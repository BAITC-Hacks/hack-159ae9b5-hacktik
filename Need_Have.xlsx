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0a7430139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152a3587cbd04e47"/>
    <x:sheet xmlns:r="http://schemas.openxmlformats.org/officeDocument/2006/relationships" name="Излишки" sheetId="2" r:id="R9c341e310bec43ec"/>
    <x:sheet xmlns:r="http://schemas.openxmlformats.org/officeDocument/2006/relationships" name="Дефицит" sheetId="3" r:id="R1aea16a8dfbd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[Red](#,##0.00);&quot;—&quot;"/>
    <x:numFmt numFmtId="201" formatCode="#,##0.000;[Red](#,##0.000);&quot;—&quot;"/>
    <x:numFmt numFmtId="202" formatCode="0.0%;[Red](0.0%);&quot;—&quot;"/>
    <x:numFmt numFmtId="203" formatCode="0.0&quot;%&quot;"/>
    <x:numFmt numFmtId="204" formatCode="dd.mm.yyyy"/>
    <x:numFmt numFmtId="205" formatCode="0.0"/>
    <x:numFmt numFmtId="206" formatCode="@"/>
    <x:numFmt numFmtId="207" formatCode="#,##0"/>
  </x:numFmts>
  <x:fonts count="11">
    <x:font>
      <x:sz val="11"/>
      <x:name val="Carlito"/>
    </x:font>
    <x:font>
      <x:sz val="10"/>
      <x:color rgb="FF19324A"/>
      <x:name val="Arial"/>
    </x:font>
    <x:font>
      <x:b/>
      <x:sz val="16"/>
      <x:color rgb="FF187E75"/>
      <x:name val="Arial"/>
    </x:font>
    <x:font>
      <x:sz val="10"/>
      <x:color rgb="FF64768A"/>
      <x:name val="Arial"/>
    </x:font>
    <x:font>
      <x:b/>
      <x:sz val="10"/>
      <x:color rgb="FFFFFFFF"/>
      <x:name val="Arial"/>
    </x:font>
    <x:font>
      <x:sz val="10"/>
      <x:color rgb="FF315DA6"/>
      <x:name val="Arial"/>
    </x:font>
    <x:font>
      <x:b/>
      <x:sz val="16"/>
      <x:color rgb="FFA66622"/>
      <x:name val="Arial"/>
    </x:font>
    <x:font>
      <x:b/>
      <x:sz val="16"/>
      <x:color rgb="FF19324A"/>
      <x:name val="Arial"/>
    </x:font>
    <x:font>
      <x:b/>
      <x:sz val="10"/>
      <x:color rgb="FF315DA6"/>
      <x:name val="Arial"/>
    </x:font>
    <x:font>
      <x:b/>
      <x:sz val="12"/>
      <x:color rgb="FF19324A"/>
      <x:name val="Arial"/>
    </x:font>
    <x:font>
      <x:sz val="10"/>
      <x:color rgb="FF8A572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87E75"/>
      </x:patternFill>
    </x:fill>
    <x:fill>
      <x:patternFill patternType="solid">
        <x:fgColor rgb="FF315DA6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FFF4CF"/>
      </x:patternFill>
    </x:fill>
    <x:fill>
      <x:patternFill patternType="solid">
        <x:fgColor rgb="FFA66622"/>
      </x:patternFill>
    </x:fill>
    <x:fill>
      <x:patternFill patternType="solid">
        <x:fgColor rgb="FFF0F5F8"/>
      </x:patternFill>
    </x:fill>
    <x:fill>
      <x:patternFill patternType="solid">
        <x:fgColor rgb="FF19324A"/>
      </x:patternFill>
    </x:fill>
  </x:fills>
  <x:borders count="1">
    <x:border/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5" fillId="6" borderId="0" xfId="0" applyNumberFormat="1" applyFont="1" applyFill="1" applyBorder="1" applyAlignment="1">
      <x:alignment horizontal="right" vertical="center"/>
    </x:xf>
    <x:xf numFmtId="0" fontId="5" fillId="6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5" fillId="6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5" fillId="6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5" fillId="6" borderId="0" xfId="0" applyNumberFormat="1" applyFont="1" applyFill="1" applyBorder="1" applyAlignment="1">
      <x:alignment horizontal="right" vertical="center"/>
    </x:xf>
    <x:xf numFmtId="204" fontId="1" fillId="5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horizontal="right" vertical="center"/>
    </x:xf>
    <x:xf numFmtId="205" fontId="1" fillId="4" borderId="0" xfId="0" applyNumberFormat="1" applyFont="1" applyFill="1" applyBorder="1" applyAlignment="1">
      <x:alignment horizontal="right" vertical="center"/>
    </x:xf>
    <x:xf numFmtId="206" fontId="1" fillId="5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207" fontId="1" fillId="5" borderId="0" xfId="0" applyNumberFormat="1" applyFont="1" applyFill="1" applyBorder="1" applyAlignment="1">
      <x:alignment horizontal="right" vertical="center"/>
    </x:xf>
    <x:xf numFmtId="207" fontId="5" fillId="6" borderId="0" xfId="0" applyNumberFormat="1" applyFont="1" applyFill="1" applyBorder="1" applyAlignment="1">
      <x:alignment horizontal="right" vertical="center"/>
    </x:xf>
    <x:xf numFmtId="207" fontId="1" fillId="4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">
    <x:dxf>
      <x:font>
        <x:b/>
        <x:color rgb="FF842630"/>
      </x:font>
      <x:fill>
        <x:patternFill patternType="solid">
          <x:bgColor rgb="FFF4CBD2"/>
        </x:patternFill>
      </x:fill>
    </x:dxf>
    <x:dxf>
      <x:font>
        <x:color rgb="FFA32F3A"/>
      </x:font>
      <x:fill>
        <x:patternFill patternType="solid">
          <x:bgColor rgb="FFFBE8EB"/>
        </x:patternFill>
      </x:fill>
    </x:dxf>
    <x:dxf>
      <x:font>
        <x:color rgb="FF81571D"/>
      </x:font>
      <x:fill>
        <x:patternFill patternType="solid">
          <x:bgColor rgb="FFFFF1D9"/>
        </x:patternFill>
      </x:fill>
    </x:dxf>
    <x:dxf>
      <x:font>
        <x:b/>
        <x:color rgb="FF842630"/>
      </x:font>
      <x:fill>
        <x:patternFill patternType="solid">
          <x:bgColor rgb="FFF4CBD2"/>
        </x:patternFill>
      </x:fill>
    </x:dxf>
    <x:dxf>
      <x:font>
        <x:color rgb="FFA32F3A"/>
      </x:font>
      <x:fill>
        <x:patternFill patternType="solid">
          <x:bgColor rgb="FFFBE8EB"/>
        </x:patternFill>
      </x:fill>
    </x:dxf>
    <x:dxf>
      <x:font>
        <x:color rgb="FF81571D"/>
      </x:font>
      <x:fill>
        <x:patternFill patternType="solid">
          <x:bgColor rgb="FFFFF1D9"/>
        </x:patternFill>
      </x:fill>
    </x:dxf>
    <x:dxf>
      <x:font>
        <x:color rgb="FFA32F3A"/>
      </x:font>
      <x:fill>
        <x:patternFill patternType="solid">
          <x:bgColor rgb="FFFBE8EB"/>
        </x:patternFill>
      </x:fill>
    </x:dxf>
    <x:dxf>
      <x:font>
        <x:b/>
        <x:color rgb="FF842630"/>
      </x:font>
      <x:fill>
        <x:patternFill patternType="solid">
          <x:bgColor rgb="FFF4CBD2"/>
        </x:patternFill>
      </x:fill>
    </x:dxf>
    <x:dxf>
      <x:font>
        <x:color rgb="FFA32F3A"/>
      </x:font>
      <x:fill>
        <x:patternFill patternType="solid">
          <x:bgColor rgb="FFFBE8EB"/>
        </x:patternFill>
      </x:fill>
    </x:dxf>
    <x:dxf>
      <x:font>
        <x:color rgb="FF81571D"/>
      </x:font>
      <x:fill>
        <x:patternFill patternType="solid">
          <x:bgColor rgb="FFFFF1D9"/>
        </x:patternFill>
      </x:fill>
    </x:dxf>
    <x:dxf>
      <x:font>
        <x:b/>
        <x:color rgb="FF842630"/>
      </x:font>
      <x:fill>
        <x:patternFill patternType="solid">
          <x:bgColor rgb="FFF4CBD2"/>
        </x:patternFill>
      </x:fill>
    </x:dxf>
    <x:dxf>
      <x:font>
        <x:color rgb="FFA32F3A"/>
      </x:font>
      <x:fill>
        <x:patternFill patternType="solid">
          <x:bgColor rgb="FFFBE8EB"/>
        </x:patternFill>
      </x:fill>
    </x:dxf>
    <x:dxf>
      <x:font>
        <x:color rgb="FF81571D"/>
      </x:font>
      <x:fill>
        <x:patternFill patternType="solid">
          <x:bgColor rgb="FFFFF1D9"/>
        </x:patternFill>
      </x:fill>
    </x:dxf>
    <x:dxf>
      <x:font>
        <x:color rgb="FFA32F3A"/>
      </x:font>
      <x:fill>
        <x:patternFill patternType="solid">
          <x:bgColor rgb="FFFBE8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751a997584207" /><Relationship Type="http://schemas.openxmlformats.org/officeDocument/2006/relationships/theme" Target="/xl/theme/theme1.xml" Id="R90b6b10e2ea7484a" /><Relationship Type="http://schemas.openxmlformats.org/officeDocument/2006/relationships/sharedStrings" Target="/xl/sharedStrings.xml" Id="Ra3c3befaf0184396" /><Relationship Type="http://schemas.openxmlformats.org/officeDocument/2006/relationships/worksheet" Target="/xl/worksheets/sheet1.xml" Id="R152a3587cbd04e47" /><Relationship Type="http://schemas.openxmlformats.org/officeDocument/2006/relationships/worksheet" Target="/xl/worksheets/sheet2.xml" Id="R9c341e310bec43ec" /><Relationship Type="http://schemas.openxmlformats.org/officeDocument/2006/relationships/worksheet" Target="/xl/worksheets/sheet3.xml" Id="R1aea16a8dfbd4ac8" /></Relationships>
</file>

<file path=xl/tables/table1.xml><?xml version="1.0" encoding="utf-8"?>
<x:table xmlns:x="http://schemas.openxmlformats.org/spreadsheetml/2006/main" id="1" name="SurplusInventory" displayName="SurplusInventory" ref="A7:AT1562" headerRowCount="1" totalsRowCount="0" totalsRowShown="0">
  <x:tableColumns count="46">
    <x:tableColumn id="1" name="Бренд"/>
    <x:tableColumn id="2" name="Код 1С"/>
    <x:tableColumn id="3" name="Артикул"/>
    <x:tableColumn id="4" name="Наименование"/>
    <x:tableColumn id="5" name="Ед."/>
    <x:tableColumn id="6" name="Рекомендовано"/>
    <x:tableColumn id="7" name="Потенциальная прибыль"/>
    <x:tableColumn id="8" name="Риск данных"/>
    <x:tableColumn id="9" name="Риск запаса"/>
    <x:tableColumn id="10" name="Статус расчёта"/>
    <x:tableColumn id="11" name="Объём сделки"/>
    <x:tableColumn id="12" name="Валюта"/>
    <x:tableColumn id="13" name="Себестоимость / закупка за ед."/>
    <x:tableColumn id="14" name="Цена продажи до скидки"/>
    <x:tableColumn id="15" name="Скидка продажи, %"/>
    <x:tableColumn id="16" name="Доставка, всего"/>
    <x:tableColumn id="17" name="Прочие расходы, всего"/>
    <x:tableColumn id="18" name="Комиссия, %"/>
    <x:tableColumn id="19" name="Обычная цена закупки"/>
    <x:tableColumn id="20" name="Продажи к расчёту"/>
    <x:tableColumn id="21" name="Цена после скидки"/>
    <x:tableColumn id="22" name="Выручка"/>
    <x:tableColumn id="23" name="Себестоимость проданного"/>
    <x:tableColumn id="24" name="Валовая прибыль"/>
    <x:tableColumn id="25" name="Маржа сделки"/>
    <x:tableColumn id="26" name="Бюджет закупки"/>
    <x:tableColumn id="27" name="Остаток MOQ в деньгах"/>
    <x:tableColumn id="28" name="Экономия цены закупки"/>
    <x:tableColumn id="29" name="Мин. цена после скидки"/>
    <x:tableColumn id="30" name="Финансовый результат"/>
    <x:tableColumn id="31" name="Расчёт прибыли"/>
    <x:tableColumn id="32" name="Прогноз на горизонт"/>
    <x:tableColumn id="33" name="Остаток"/>
    <x:tableColumn id="34" name="В пути 30 дней"/>
    <x:tableColumn id="35" name="Дата остатка"/>
    <x:tableColumn id="36" name="MOQ"/>
    <x:tableColumn id="37" name="Правило MOQ"/>
    <x:tableColumn id="38" name="Запас без поступлений, дн."/>
    <x:tableColumn id="39" name="Причины риска"/>
    <x:tableColumn id="40" name="Действие менеджера"/>
    <x:tableColumn id="41" name="Расчёт количества"/>
    <x:tableColumn id="42" name="Флаги данных"/>
    <x:tableColumn id="43" name="ID товара"/>
    <x:tableColumn id="44" name="Шаг единицы"/>
    <x:tableColumn id="45" name="Нехватка до MOQ"/>
    <x:tableColumn id="46" name="Лимит продаж 30 дней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eficitInventory" displayName="DeficitInventory" ref="A7:AT374" headerRowCount="1" totalsRowCount="0" totalsRowShown="0">
  <x:tableColumns count="46">
    <x:tableColumn id="1" name="Бренд"/>
    <x:tableColumn id="2" name="Код 1С"/>
    <x:tableColumn id="3" name="Артикул"/>
    <x:tableColumn id="4" name="Наименование"/>
    <x:tableColumn id="5" name="Ед."/>
    <x:tableColumn id="6" name="Рекомендовано"/>
    <x:tableColumn id="7" name="Потенциальная прибыль"/>
    <x:tableColumn id="8" name="Риск данных"/>
    <x:tableColumn id="9" name="Риск запаса"/>
    <x:tableColumn id="10" name="Статус расчёта"/>
    <x:tableColumn id="11" name="Объём сделки"/>
    <x:tableColumn id="12" name="Валюта"/>
    <x:tableColumn id="13" name="Себестоимость / закупка за ед."/>
    <x:tableColumn id="14" name="Цена продажи до скидки"/>
    <x:tableColumn id="15" name="Скидка продажи, %"/>
    <x:tableColumn id="16" name="Доставка, всего"/>
    <x:tableColumn id="17" name="Прочие расходы, всего"/>
    <x:tableColumn id="18" name="Комиссия, %"/>
    <x:tableColumn id="19" name="Обычная цена закупки"/>
    <x:tableColumn id="20" name="Продажи к расчёту"/>
    <x:tableColumn id="21" name="Цена после скидки"/>
    <x:tableColumn id="22" name="Выручка"/>
    <x:tableColumn id="23" name="Себестоимость проданного"/>
    <x:tableColumn id="24" name="Валовая прибыль"/>
    <x:tableColumn id="25" name="Маржа сделки"/>
    <x:tableColumn id="26" name="Бюджет закупки"/>
    <x:tableColumn id="27" name="Остаток MOQ в деньгах"/>
    <x:tableColumn id="28" name="Экономия цены закупки"/>
    <x:tableColumn id="29" name="Мин. цена после скидки"/>
    <x:tableColumn id="30" name="Финансовый результат"/>
    <x:tableColumn id="31" name="Расчёт прибыли"/>
    <x:tableColumn id="32" name="Прогноз на горизонт"/>
    <x:tableColumn id="33" name="Остаток"/>
    <x:tableColumn id="34" name="В пути 30 дней"/>
    <x:tableColumn id="35" name="Дата остатка"/>
    <x:tableColumn id="36" name="MOQ"/>
    <x:tableColumn id="37" name="Правило MOQ"/>
    <x:tableColumn id="38" name="Запас без поступлений, дн."/>
    <x:tableColumn id="39" name="Причины риска"/>
    <x:tableColumn id="40" name="Действие менеджера"/>
    <x:tableColumn id="41" name="Расчёт количества"/>
    <x:tableColumn id="42" name="Флаги данных"/>
    <x:tableColumn id="43" name="ID товара"/>
    <x:tableColumn id="44" name="Шаг единицы"/>
    <x:tableColumn id="45" name="Нехватка до MOQ"/>
    <x:tableColumn id="46" name="Лимит продаж 30 дней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fdad39054843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ef713e3c854445" /></Relationships>
</file>

<file path=xl/worksheets/sheet1.xml><?xml version="1.0" encoding="utf-8"?>
<x:worksheet xmlns:x="http://schemas.openxmlformats.org/spreadsheetml/2006/main">
  <x:sheetPr>
    <x:tabColor rgb="FF19324A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5" hidden="0" customWidth="1"/>
    <x:col min="4" max="4" width="23" hidden="0" customWidth="1"/>
    <x:col min="5" max="5" width="14" hidden="0" customWidth="1"/>
    <x:col min="6" max="6" width="4" hidden="0" customWidth="1"/>
    <x:col min="7" max="7" width="24" hidden="0" customWidth="1"/>
    <x:col min="8" max="8" width="14" hidden="0" customWidth="1"/>
    <x:col min="9" max="9" width="15" hidden="0" customWidth="1"/>
    <x:col min="10" max="10" width="26" hidden="0" customWidth="1"/>
    <x:col min="11" max="11" width="16" hidden="0" customWidth="1"/>
    <x:col min="12" max="12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43" t="str">
        <x:v>Need &amp; Have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4" t="str">
        <x:v>Экономика сделок и риски запасов. Дефицит — 30 дней. Излишки — 90 дней.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Валюта сводки</x:v>
      </x:c>
      <x:c r="B5" s="44" t="str">
        <x:v>KZT</x:v>
      </x:c>
      <x:c r="C5" s="2"/>
      <x:c r="D5" s="2" t="str">
        <x:v>Остатки и прогноз: 22.09.2026</x:v>
      </x:c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47" t="str">
        <x:v>Излишки, позиций</x:v>
      </x:c>
      <x:c r="B7" s="45"/>
      <x:c r="C7" s="2"/>
      <x:c r="D7" s="47" t="str">
        <x:v>Дефицит, позиций</x:v>
      </x:c>
      <x:c r="E7" s="45"/>
      <x:c r="F7" s="2"/>
      <x:c r="G7" s="47" t="str">
        <x:v>Рассчитано по ценам</x:v>
      </x:c>
      <x:c r="H7" s="45"/>
      <x:c r="I7" s="2"/>
      <x:c r="J7" s="47" t="str">
        <x:v>Потенциальная прибыль</x:v>
      </x:c>
      <x:c r="K7" s="45"/>
      <x:c r="L7" s="45"/>
    </x:row>
    <x:row r="8" ht="26" customHeight="1">
      <x:c r="A8" s="46" t="n">
        <x:f>COUNTA('Излишки'!$AQ$8:$AQ$1562)</x:f>
        <x:v>1555</x:v>
      </x:c>
      <x:c r="B8" s="45"/>
      <x:c r="C8" s="2"/>
      <x:c r="D8" s="46" t="n">
        <x:f>COUNTA('Дефицит'!$AQ$8:$AQ$374)</x:f>
        <x:v>367</x:v>
      </x:c>
      <x:c r="E8" s="45"/>
      <x:c r="F8" s="2"/>
      <x:c r="G8" s="46" t="n">
        <x:f>COUNTIFS('Излишки'!$J$8:$J$1562,"Рассчитано",'Излишки'!$L$8:$L$1562,$B$5)+COUNTIFS('Дефицит'!$J$8:$J$374,"Рассчитано",'Дефицит'!$L$8:$L$374,$B$5)</x:f>
        <x:v>0</x:v>
      </x:c>
      <x:c r="H8" s="45"/>
      <x:c r="I8" s="2"/>
      <x:c r="J8" s="48" t="str">
        <x:f>IF(G8=0,"н/д",SUMIFS('Излишки'!$G$8:$G$1562,'Излишки'!$J$8:$J$1562,"Рассчитано",'Излишки'!$L$8:$L$1562,$B$5)+SUMIFS('Дефицит'!$G$8:$G$374,'Дефицит'!$J$8:$J$374,"Рассчитано",'Дефицит'!$L$8:$L$374,$B$5))</x:f>
        <x:v>н/д</x:v>
      </x:c>
      <x:c r="K8" s="45"/>
      <x:c r="L8" s="45"/>
    </x:row>
    <x:row r="9" ht="26" customHeight="1">
      <x:c r="A9" s="45"/>
      <x:c r="B9" s="45"/>
      <x:c r="C9" s="2"/>
      <x:c r="D9" s="45"/>
      <x:c r="E9" s="45"/>
      <x:c r="F9" s="2"/>
      <x:c r="G9" s="45" t="str">
        <x:v>В валюте сводки</x:v>
      </x:c>
      <x:c r="H9" s="45"/>
      <x:c r="I9" s="2"/>
      <x:c r="J9" s="45" t="str">
        <x:v>Только заполненные строки</x:v>
      </x:c>
      <x:c r="K9" s="45"/>
      <x:c r="L9" s="45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A11" s="49" t="str">
        <x:v>Ассортимент и приоритеты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44" customHeight="1">
      <x:c r="A13" s="53" t="str">
        <x:v>Бренд</x:v>
      </x:c>
      <x:c r="B13" s="53" t="str">
        <x:v>Излишки</x:v>
      </x:c>
      <x:c r="C13" s="53" t="str">
        <x:v>Дефицит</x:v>
      </x:c>
      <x:c r="D13" s="53" t="str">
        <x:v>Высокий риск данных</x:v>
      </x:c>
      <x:c r="E13" s="53" t="str">
        <x:v>Критический дефицит</x:v>
      </x:c>
      <x:c r="F13" s="2"/>
      <x:c r="G13" s="49" t="str">
        <x:v>Как получить расчёт</x:v>
      </x:c>
      <x:c r="H13" s="2"/>
      <x:c r="I13" s="2"/>
      <x:c r="J13" s="2"/>
      <x:c r="K13" s="2"/>
      <x:c r="L13" s="2"/>
    </x:row>
    <x:row r="14" ht="30" customHeight="1">
      <x:c r="A14" s="2" t="str">
        <x:v>IEK</x:v>
      </x:c>
      <x:c r="B14" s="2" t="n">
        <x:f>COUNTIFS('Излишки'!$A$8:$A$1562,A14)</x:f>
        <x:v>1237</x:v>
      </x:c>
      <x:c r="C14" s="2" t="n">
        <x:f>COUNTIFS('Дефицит'!$A$8:$A$374,A14)</x:f>
        <x:v>312</x:v>
      </x:c>
      <x:c r="D14" s="2" t="n">
        <x:f>COUNTIFS('Излишки'!$A$8:$A$1562,A14,'Излишки'!$H$8:$H$1562,"Высокий")+COUNTIFS('Дефицит'!$A$8:$A$374,A14,'Дефицит'!$H$8:$H$374,"Высокий")</x:f>
        <x:v>1549</x:v>
      </x:c>
      <x:c r="E14" s="2" t="n">
        <x:f>COUNTIFS('Дефицит'!$A$8:$A$374,A14,'Дефицит'!$I$8:$I$374,"Критический")</x:f>
        <x:v>236</x:v>
      </x:c>
      <x:c r="F14" s="2"/>
      <x:c r="G14" s="2"/>
      <x:c r="H14" s="2"/>
      <x:c r="I14" s="2"/>
      <x:c r="J14" s="2"/>
      <x:c r="K14" s="2"/>
      <x:c r="L14" s="2"/>
    </x:row>
    <x:row r="15" ht="30" customHeight="1">
      <x:c r="A15" s="2" t="str">
        <x:v>Systeme Electric</x:v>
      </x:c>
      <x:c r="B15" s="2" t="n">
        <x:f>COUNTIFS('Излишки'!$A$8:$A$1562,A15)</x:f>
        <x:v>318</x:v>
      </x:c>
      <x:c r="C15" s="2" t="n">
        <x:f>COUNTIFS('Дефицит'!$A$8:$A$374,A15)</x:f>
        <x:v>55</x:v>
      </x:c>
      <x:c r="D15" s="2" t="n">
        <x:f>COUNTIFS('Излишки'!$A$8:$A$1562,A15,'Излишки'!$H$8:$H$1562,"Высокий")+COUNTIFS('Дефицит'!$A$8:$A$374,A15,'Дефицит'!$H$8:$H$374,"Высокий")</x:f>
        <x:v>60</x:v>
      </x:c>
      <x:c r="E15" s="2" t="n">
        <x:f>COUNTIFS('Дефицит'!$A$8:$A$374,A15,'Дефицит'!$I$8:$I$374,"Критический")</x:f>
        <x:v>34</x:v>
      </x:c>
      <x:c r="F15" s="2"/>
      <x:c r="G15" s="2" t="str">
        <x:v>1. Найдите товар в излишках или дефиците.</x:v>
      </x:c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 t="str">
        <x:v>2. Заполните жёлтые поля цен и расходов справа.</x:v>
      </x:c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49" t="str">
        <x:v>Что означает прибыль</x:v>
      </x:c>
      <x:c r="B19" s="2"/>
      <x:c r="C19" s="2"/>
      <x:c r="D19" s="2"/>
      <x:c r="E19" s="2"/>
      <x:c r="F19" s="2"/>
      <x:c r="G19" s="2" t="str">
        <x:v>3. Сравните прибыль и цену безубыточности.</x:v>
      </x:c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 t="str">
        <x:v>Выручка минус себестоимость проданного, комиссия, доставка и прочие введённые расходы.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 t="str">
        <x:v>Для дефицита продажи ограничены прогнозом нехватки. Непроданная часть MOQ остаётся запасом.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 t="str">
        <x:v>Для излишков показан потенциал продажи всего выбранного объёма. Внешний покупатель ещё не подтверждён.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49" t="str">
        <x:v>Проверка перед действием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54" t="str">
        <x:v>1 609 рекомендаций требуют актуализации месячного остатка. Цены не подставлялись автоматически.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 t="str">
        <x:v>Все записи — черновики. Для переноса введённых цен из Excel в SQLite используйте приложенный импортёр.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7E7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23" hidden="0" customWidth="1"/>
    <x:col min="4" max="4" width="62" hidden="0" customWidth="1"/>
    <x:col min="5" max="5" width="6" hidden="0" customWidth="1"/>
    <x:col min="6" max="6" width="15" hidden="0" customWidth="1"/>
    <x:col min="7" max="7" width="21" hidden="0" customWidth="1"/>
    <x:col min="8" max="8" width="15" hidden="0" customWidth="1"/>
    <x:col min="9" max="9" width="17" hidden="0" customWidth="1"/>
    <x:col min="10" max="10" width="21" hidden="0" customWidth="1"/>
    <x:col min="11" max="11" width="16" hidden="0" customWidth="1"/>
    <x:col min="12" max="12" width="10" hidden="0" customWidth="1"/>
    <x:col min="13" max="13" width="19" hidden="0" customWidth="1"/>
    <x:col min="14" max="14" width="19" hidden="0" customWidth="1"/>
    <x:col min="15" max="15" width="15" hidden="0" customWidth="1"/>
    <x:col min="16" max="16" width="17" hidden="0" customWidth="1"/>
    <x:col min="17" max="17" width="18" hidden="0" customWidth="1"/>
    <x:col min="18" max="18" width="14" hidden="0" customWidth="1"/>
    <x:col min="19" max="19" width="20" hidden="0" customWidth="1"/>
    <x:col min="20" max="20" width="16" hidden="0" customWidth="1"/>
    <x:col min="21" max="21" width="19" hidden="0" customWidth="1"/>
    <x:col min="22" max="22" width="20" hidden="0" customWidth="1"/>
    <x:col min="23" max="23" width="20" hidden="0" customWidth="1"/>
    <x:col min="24" max="24" width="20" hidden="0" customWidth="1"/>
    <x:col min="25" max="25" width="14" hidden="0" customWidth="1"/>
    <x:col min="26" max="26" width="20" hidden="0" customWidth="1"/>
    <x:col min="27" max="27" width="21" hidden="0" customWidth="1"/>
    <x:col min="28" max="28" width="21" hidden="0" customWidth="1"/>
    <x:col min="29" max="29" width="22" hidden="0" customWidth="1"/>
    <x:col min="30" max="30" width="20" hidden="0" customWidth="1"/>
    <x:col min="31" max="31" width="95" hidden="0" customWidth="1"/>
    <x:col min="32" max="32" width="18" hidden="0" customWidth="1"/>
    <x:col min="33" max="33" width="16" hidden="0" customWidth="1"/>
    <x:col min="34" max="34" width="17" hidden="0" customWidth="1"/>
    <x:col min="35" max="35" width="15" hidden="0" customWidth="1"/>
    <x:col min="36" max="36" width="12" hidden="0" customWidth="1"/>
    <x:col min="37" max="37" width="14" hidden="0" customWidth="1"/>
    <x:col min="38" max="38" width="20" hidden="0" customWidth="1"/>
    <x:col min="39" max="39" width="85" hidden="0" customWidth="1"/>
    <x:col min="40" max="40" width="55" hidden="0" customWidth="1"/>
    <x:col min="41" max="41" width="95" hidden="0" customWidth="1"/>
    <x:col min="42" max="42" width="85" hidden="0" customWidth="1"/>
    <x:col min="43" max="43" width="25" hidden="0" customWidth="1"/>
    <x:col min="44" max="44" width="14" hidden="0" customWidth="1"/>
    <x:col min="45" max="45" width="17" hidden="0" customWidth="1"/>
    <x:col min="46" max="46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</x:row>
    <x:row r="2" ht="30" customHeight="1">
      <x:c r="A2" s="3" t="str">
        <x:v>Излишки · 90 дней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</x:row>
    <x:row r="4">
      <x:c r="A4" s="4" t="str">
        <x:v>Расчёт запасов на 22.09.2026. Жёлтые поля справа — ввод цен и расходов. Прибыль обновляется автоматически.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</x:row>
    <x:row r="5">
      <x:c r="A5" s="4" t="str">
        <x:v>Пустое поле означает «неизвестно». Если скидки или расходов нет, введите 0. Прибыль — до неучтённых общих расходов и налогов.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</x:row>
    <x:row r="7" ht="44" customHeight="1">
      <x:c r="A7" s="8" t="str">
        <x:v>Бренд</x:v>
      </x:c>
      <x:c r="B7" s="8" t="str">
        <x:v>Код 1С</x:v>
      </x:c>
      <x:c r="C7" s="8" t="str">
        <x:v>Артикул</x:v>
      </x:c>
      <x:c r="D7" s="8" t="str">
        <x:v>Наименование</x:v>
      </x:c>
      <x:c r="E7" s="8" t="str">
        <x:v>Ед.</x:v>
      </x:c>
      <x:c r="F7" s="8" t="str">
        <x:v>Рекомендовано</x:v>
      </x:c>
      <x:c r="G7" s="8" t="str">
        <x:v>Потенциальная прибыль</x:v>
      </x:c>
      <x:c r="H7" s="8" t="str">
        <x:v>Риск данных</x:v>
      </x:c>
      <x:c r="I7" s="8" t="str">
        <x:v>Риск запаса</x:v>
      </x:c>
      <x:c r="J7" s="8" t="str">
        <x:v>Статус расчёта</x:v>
      </x:c>
      <x:c r="K7" s="9" t="str">
        <x:v>Объём сделки</x:v>
      </x:c>
      <x:c r="L7" s="9" t="str">
        <x:v>Валюта</x:v>
      </x:c>
      <x:c r="M7" s="9" t="str">
        <x:v>Себестоимость / закупка за ед.</x:v>
      </x:c>
      <x:c r="N7" s="9" t="str">
        <x:v>Цена продажи до скидки</x:v>
      </x:c>
      <x:c r="O7" s="9" t="str">
        <x:v>Скидка продажи, %</x:v>
      </x:c>
      <x:c r="P7" s="9" t="str">
        <x:v>Доставка, всего</x:v>
      </x:c>
      <x:c r="Q7" s="9" t="str">
        <x:v>Прочие расходы, всего</x:v>
      </x:c>
      <x:c r="R7" s="9" t="str">
        <x:v>Комиссия, %</x:v>
      </x:c>
      <x:c r="S7" s="9" t="str">
        <x:v>Обычная цена закупки</x:v>
      </x:c>
      <x:c r="T7" s="8" t="str">
        <x:v>Продажи к расчёту</x:v>
      </x:c>
      <x:c r="U7" s="8" t="str">
        <x:v>Цена после скидки</x:v>
      </x:c>
      <x:c r="V7" s="8" t="str">
        <x:v>Выручка</x:v>
      </x:c>
      <x:c r="W7" s="8" t="str">
        <x:v>Себестоимость проданного</x:v>
      </x:c>
      <x:c r="X7" s="8" t="str">
        <x:v>Валовая прибыль</x:v>
      </x:c>
      <x:c r="Y7" s="8" t="str">
        <x:v>Маржа сделки</x:v>
      </x:c>
      <x:c r="Z7" s="8" t="str">
        <x:v>Бюджет закупки</x:v>
      </x:c>
      <x:c r="AA7" s="8" t="str">
        <x:v>Остаток MOQ в деньгах</x:v>
      </x:c>
      <x:c r="AB7" s="8" t="str">
        <x:v>Экономия цены закупки</x:v>
      </x:c>
      <x:c r="AC7" s="8" t="str">
        <x:v>Мин. цена после скидки</x:v>
      </x:c>
      <x:c r="AD7" s="8" t="str">
        <x:v>Финансовый результат</x:v>
      </x:c>
      <x:c r="AE7" s="8" t="str">
        <x:v>Расчёт прибыли</x:v>
      </x:c>
      <x:c r="AF7" s="8" t="str">
        <x:v>Прогноз на горизонт</x:v>
      </x:c>
      <x:c r="AG7" s="8" t="str">
        <x:v>Остаток</x:v>
      </x:c>
      <x:c r="AH7" s="8" t="str">
        <x:v>В пути 30 дней</x:v>
      </x:c>
      <x:c r="AI7" s="8" t="str">
        <x:v>Дата остатка</x:v>
      </x:c>
      <x:c r="AJ7" s="8" t="str">
        <x:v>MOQ</x:v>
      </x:c>
      <x:c r="AK7" s="8" t="str">
        <x:v>Правило MOQ</x:v>
      </x:c>
      <x:c r="AL7" s="8" t="str">
        <x:v>Запас без поступлений, дн.</x:v>
      </x:c>
      <x:c r="AM7" s="8" t="str">
        <x:v>Причины риска</x:v>
      </x:c>
      <x:c r="AN7" s="8" t="str">
        <x:v>Действие менеджера</x:v>
      </x:c>
      <x:c r="AO7" s="8" t="str">
        <x:v>Расчёт количества</x:v>
      </x:c>
      <x:c r="AP7" s="8" t="str">
        <x:v>Флаги данных</x:v>
      </x:c>
      <x:c r="AQ7" s="8" t="str">
        <x:v>ID товара</x:v>
      </x:c>
      <x:c r="AR7" s="8" t="str">
        <x:v>Шаг единицы</x:v>
      </x:c>
      <x:c r="AS7" s="8" t="str">
        <x:v>Нехватка до MOQ</x:v>
      </x:c>
      <x:c r="AT7" s="8" t="str">
        <x:v>Лимит продаж 30 дней</x:v>
      </x:c>
    </x:row>
    <x:row r="8" ht="64" customHeight="1">
      <x:c r="A8" s="11" t="str">
        <x:v>IEK</x:v>
      </x:c>
      <x:c r="B8" s="33" t="str">
        <x:v>010300001_</x:v>
      </x:c>
      <x:c r="C8" s="33" t="str">
        <x:v>MAD10-2-010-C-030</x:v>
      </x:c>
      <x:c r="D8" s="12" t="str">
        <x:v>УЗО АД 12  (2ф) 10А IEK (5/40)</x:v>
      </x:c>
      <x:c r="E8" s="11" t="str">
        <x:v>шт</x:v>
      </x:c>
      <x:c r="F8" s="35" t="n">
        <x:f>MAX(0,ROUNDDOWN((AG8-AF8)/AR8+0.000000001,0)*AR8)</x:f>
        <x:v>35</x:v>
      </x:c>
      <x:c r="G8" s="20" t="str">
        <x:f>IF(J8="Рассчитано",V8*(1-R8/100)-W8-P8-Q8,"н/д")</x:f>
        <x:v>н/д</x:v>
      </x:c>
      <x:c r="H8" s="12" t="str">
        <x:v>Высокий</x:v>
      </x:c>
      <x:c r="I8" s="12" t="str">
        <x:v>Высокий</x:v>
      </x:c>
      <x:c r="J8" s="12" t="str">
        <x:f>IF(L8="","Укажите валюту",IF(NOT(ISNUMBER(K8)),"Укажите объём",IF(K8&lt;=0,"Укажите объём",IF(K8&gt;F8,"Объём выше излишка",IF(COUNT(M8:O8)&lt;3,"Нужны цены",IF(COUNT(P8:R8)&lt;3,"Нужны расходы",IF(OR(M8&lt;0,N8&lt;0,O8&lt;0,O8&gt;100,P8&lt;0,Q8&lt;0,R8&lt;0,R8&gt;100),"Проверьте значения","Рассчитано")))))))</x:f>
        <x:v>Нужны цены</x:v>
      </x:c>
      <x:c r="K8" s="36" t="n">
        <x:v>35</x:v>
      </x:c>
      <x:c r="L8" s="19" t="str">
        <x:v>KZT</x:v>
      </x:c>
      <x:c r="M8" s="22"/>
      <x:c r="N8" s="22"/>
      <x:c r="O8" s="28"/>
      <x:c r="P8" s="22"/>
      <x:c r="Q8" s="22"/>
      <x:c r="R8" s="28"/>
      <x:c r="S8" s="22"/>
      <x:c r="T8" s="35" t="n">
        <x:f>K8</x:f>
        <x:v>35</x:v>
      </x:c>
      <x:c r="U8" s="20" t="str">
        <x:f>IF(J8="Рассчитано",N8*(1-O8/100),"н/д")</x:f>
        <x:v>н/д</x:v>
      </x:c>
      <x:c r="V8" s="20" t="str">
        <x:f>IF(J8="Рассчитано",T8*U8,"н/д")</x:f>
        <x:v>н/д</x:v>
      </x:c>
      <x:c r="W8" s="20" t="str">
        <x:f>IF(J8="Рассчитано",T8*M8,"н/д")</x:f>
        <x:v>н/д</x:v>
      </x:c>
      <x:c r="X8" s="20" t="str">
        <x:f>IF(J8="Рассчитано",V8-W8,"н/д")</x:f>
        <x:v>н/д</x:v>
      </x:c>
      <x:c r="Y8" s="26" t="str">
        <x:f>IF(J8="Рассчитано",IF(V8&gt;0,G8/V8,"н/д"),"н/д")</x:f>
        <x:v>н/д</x:v>
      </x:c>
      <x:c r="Z8" s="20" t="str">
        <x:f>"н/д"</x:f>
        <x:v>н/д</x:v>
      </x:c>
      <x:c r="AA8" s="20" t="str">
        <x:f>"н/д"</x:f>
        <x:v>н/д</x:v>
      </x:c>
      <x:c r="AB8" s="20" t="str">
        <x:f>"н/д"</x:f>
        <x:v>н/д</x:v>
      </x:c>
      <x:c r="AC8" s="20" t="str">
        <x:f>IF(AND(J8="Рассчитано",T8&gt;0,R8&lt;100),(W8+P8+Q8)/(T8*(1-R8/100)),"н/д")</x:f>
        <x:v>н/д</x:v>
      </x:c>
      <x:c r="AD8" s="11" t="str">
        <x:f>IF(ISNUMBER(G8),IF(G8&lt;0,"Убыток",IF(G8=0,"Без прибыли","Прибыль &gt; 0")),"Не оценён")</x:f>
        <x:v>Не оценён</x:v>
      </x:c>
      <x:c r="AE8" s="12" t="str">
        <x:f>IF(J8="Рассчитано","Выручка "&amp;TEXT(V8,"0.00")&amp;" - себестоимость "&amp;TEXT(W8,"0.00")&amp;" - комиссия "&amp;TEXT(V8*R8/100,"0.00")&amp;" - доставка "&amp;TEXT(P8,"0.00")&amp;" - прочие "&amp;TEXT(Q8,"0.00")&amp;" = "&amp;TEXT(G8,"0.00")&amp;" "&amp;L8,"Введите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" s="23" t="n">
        <x:v>21.01585819627853</x:v>
      </x:c>
      <x:c r="AG8" s="35" t="n">
        <x:v>57</x:v>
      </x:c>
      <x:c r="AH8" s="35" t="n">
        <x:v>10</x:v>
      </x:c>
      <x:c r="AI8" s="29" t="n">
        <x:v>46266</x:v>
      </x:c>
      <x:c r="AJ8" s="35" t="n">
        <x:v>1</x:v>
      </x:c>
      <x:c r="AK8" s="11" t="str">
        <x:v>минимум</x:v>
      </x:c>
      <x:c r="AL8" s="31" t="n">
        <x:v>230.64644785982185</x:v>
      </x:c>
      <x:c r="AM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" s="12" t="str">
        <x:v>Проверить свободный остаток и установить цену для B2B</x:v>
      </x:c>
      <x:c r="AO8" s="12" t="str">
        <x:v>Остаток 57; прогноз 90 дней 21.02; избыток 35 шт. Будущие поступления не выставляются на продажу. Остаток на начало сентября: требуется актуализация.</x:v>
      </x:c>
      <x:c r="AP8" s="12" t="str">
        <x:v>["category_missing", "daily_stockout_data_missing", "new_order_lead_time_unknown", "reservations_unknown", "stale_stock"]</x:v>
      </x:c>
      <x:c r="AQ8" s="11" t="str">
        <x:v>IEK:010300001_</x:v>
      </x:c>
      <x:c r="AR8" s="23" t="n">
        <x:v>1</x:v>
      </x:c>
      <x:c r="AS8" s="23" t="n">
        <x:v>0</x:v>
      </x:c>
      <x:c r="AT8" s="23" t="n">
        <x:v>0</x:v>
      </x:c>
    </x:row>
    <x:row r="9" ht="64" customHeight="1">
      <x:c r="A9" s="10" t="str">
        <x:v>IEK</x:v>
      </x:c>
      <x:c r="B9" s="34" t="str">
        <x:v>010300002_</x:v>
      </x:c>
      <x:c r="C9" s="34" t="str">
        <x:v>MAD10-2-016-C-030</x:v>
      </x:c>
      <x:c r="D9" s="13" t="str">
        <x:v>УЗО АД 12  (2ф) 16А IEK (5/40)</x:v>
      </x:c>
      <x:c r="E9" s="10" t="str">
        <x:v>шт</x:v>
      </x:c>
      <x:c r="F9" s="37" t="n">
        <x:f>MAX(0,ROUNDDOWN((AG9-AF9)/AR9+0.000000001,0)*AR9)</x:f>
        <x:v>191</x:v>
      </x:c>
      <x:c r="G9" s="21" t="str">
        <x:f>IF(J9="Рассчитано",V9*(1-R9/100)-W9-P9-Q9,"н/д")</x:f>
        <x:v>н/д</x:v>
      </x:c>
      <x:c r="H9" s="13" t="str">
        <x:v>Высокий</x:v>
      </x:c>
      <x:c r="I9" s="13" t="str">
        <x:v>Средний</x:v>
      </x:c>
      <x:c r="J9" s="13" t="str">
        <x:f>IF(L9="","Укажите валюту",IF(NOT(ISNUMBER(K9)),"Укажите объём",IF(K9&lt;=0,"Укажите объём",IF(K9&gt;F9,"Объём выше излишка",IF(COUNT(M9:O9)&lt;3,"Нужны цены",IF(COUNT(P9:R9)&lt;3,"Нужны расходы",IF(OR(M9&lt;0,N9&lt;0,O9&lt;0,O9&gt;100,P9&lt;0,Q9&lt;0,R9&lt;0,R9&gt;100),"Проверьте значения","Рассчитано")))))))</x:f>
        <x:v>Нужны цены</x:v>
      </x:c>
      <x:c r="K9" s="36" t="n">
        <x:v>191</x:v>
      </x:c>
      <x:c r="L9" s="19" t="str">
        <x:v>KZT</x:v>
      </x:c>
      <x:c r="M9" s="22"/>
      <x:c r="N9" s="22"/>
      <x:c r="O9" s="28"/>
      <x:c r="P9" s="22"/>
      <x:c r="Q9" s="22"/>
      <x:c r="R9" s="28"/>
      <x:c r="S9" s="22"/>
      <x:c r="T9" s="37" t="n">
        <x:f>K9</x:f>
        <x:v>191</x:v>
      </x:c>
      <x:c r="U9" s="21" t="str">
        <x:f>IF(J9="Рассчитано",N9*(1-O9/100),"н/д")</x:f>
        <x:v>н/д</x:v>
      </x:c>
      <x:c r="V9" s="21" t="str">
        <x:f>IF(J9="Рассчитано",T9*U9,"н/д")</x:f>
        <x:v>н/д</x:v>
      </x:c>
      <x:c r="W9" s="21" t="str">
        <x:f>IF(J9="Рассчитано",T9*M9,"н/д")</x:f>
        <x:v>н/д</x:v>
      </x:c>
      <x:c r="X9" s="21" t="str">
        <x:f>IF(J9="Рассчитано",V9-W9,"н/д")</x:f>
        <x:v>н/д</x:v>
      </x:c>
      <x:c r="Y9" s="27" t="str">
        <x:f>IF(J9="Рассчитано",IF(V9&gt;0,G9/V9,"н/д"),"н/д")</x:f>
        <x:v>н/д</x:v>
      </x:c>
      <x:c r="Z9" s="21" t="str">
        <x:f>"н/д"</x:f>
        <x:v>н/д</x:v>
      </x:c>
      <x:c r="AA9" s="21" t="str">
        <x:f>"н/д"</x:f>
        <x:v>н/д</x:v>
      </x:c>
      <x:c r="AB9" s="21" t="str">
        <x:f>"н/д"</x:f>
        <x:v>н/д</x:v>
      </x:c>
      <x:c r="AC9" s="21" t="str">
        <x:f>IF(AND(J9="Рассчитано",T9&gt;0,R9&lt;100),(W9+P9+Q9)/(T9*(1-R9/100)),"н/д")</x:f>
        <x:v>н/д</x:v>
      </x:c>
      <x:c r="AD9" s="10" t="str">
        <x:f>IF(ISNUMBER(G9),IF(G9&lt;0,"Убыток",IF(G9=0,"Без прибыли","Прибыль &gt; 0")),"Не оценён")</x:f>
        <x:v>Не оценён</x:v>
      </x:c>
      <x:c r="AE9" s="13" t="str">
        <x:f>IF(J9="Рассчитано","Выручка "&amp;TEXT(V9,"0.00")&amp;" - себестоимость "&amp;TEXT(W9,"0.00")&amp;" - комиссия "&amp;TEXT(V9*R9/100,"0.00")&amp;" - доставка "&amp;TEXT(P9,"0.00")&amp;" - прочие "&amp;TEXT(Q9,"0.00")&amp;" = "&amp;TEXT(G9,"0.00")&amp;" "&amp;L9,"Введите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" s="24" t="n">
        <x:v>517.9839701685008</x:v>
      </x:c>
      <x:c r="AG9" s="37" t="n">
        <x:v>709</x:v>
      </x:c>
      <x:c r="AH9" s="37" t="n">
        <x:v>0</x:v>
      </x:c>
      <x:c r="AI9" s="30" t="n">
        <x:v>46266</x:v>
      </x:c>
      <x:c r="AJ9" s="37" t="n">
        <x:v>1</x:v>
      </x:c>
      <x:c r="AK9" s="10" t="str">
        <x:v>минимум</x:v>
      </x:c>
      <x:c r="AL9" s="32" t="n">
        <x:v>116.3989223160869</x:v>
      </x:c>
      <x:c r="AM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9" s="13" t="str">
        <x:v>Проверить свободный остаток и установить цену для B2B</x:v>
      </x:c>
      <x:c r="AO9" s="13" t="str">
        <x:v>Остаток 709; прогноз 90 дней 517.98; избыток 191 шт. Будущие поступления не выставляются на продажу. Остаток на начало сентября: требуется актуализация.</x:v>
      </x:c>
      <x:c r="AP9" s="13" t="str">
        <x:v>["category_missing", "daily_stockout_data_missing", "large_orders_detected", "new_order_lead_time_unknown", "reservations_unknown", "stale_stock", "transaction_month_mismatch"]</x:v>
      </x:c>
      <x:c r="AQ9" s="10" t="str">
        <x:v>IEK:010300002_</x:v>
      </x:c>
      <x:c r="AR9" s="24" t="n">
        <x:v>1</x:v>
      </x:c>
      <x:c r="AS9" s="24" t="n">
        <x:v>0</x:v>
      </x:c>
      <x:c r="AT9" s="24" t="n">
        <x:v>0</x:v>
      </x:c>
    </x:row>
    <x:row r="10" ht="64" customHeight="1">
      <x:c r="A10" s="11" t="str">
        <x:v>IEK</x:v>
      </x:c>
      <x:c r="B10" s="33" t="str">
        <x:v>010300003_</x:v>
      </x:c>
      <x:c r="C10" s="33" t="str">
        <x:v>MAD10-2-025-C-030</x:v>
      </x:c>
      <x:c r="D10" s="12" t="str">
        <x:v>УЗО АД 12  (2ф) 25А IEK (5/40)</x:v>
      </x:c>
      <x:c r="E10" s="11" t="str">
        <x:v>шт</x:v>
      </x:c>
      <x:c r="F10" s="35" t="n">
        <x:f>MAX(0,ROUNDDOWN((AG10-AF10)/AR10+0.000000001,0)*AR10)</x:f>
        <x:v>18</x:v>
      </x:c>
      <x:c r="G10" s="20" t="str">
        <x:f>IF(J10="Рассчитано",V10*(1-R10/100)-W10-P10-Q10,"н/д")</x:f>
        <x:v>н/д</x:v>
      </x:c>
      <x:c r="H10" s="12" t="str">
        <x:v>Высокий</x:v>
      </x:c>
      <x:c r="I10" s="12" t="str">
        <x:v>Средний</x:v>
      </x:c>
      <x:c r="J10" s="12" t="str">
        <x:f>IF(L10="","Укажите валюту",IF(NOT(ISNUMBER(K10)),"Укажите объём",IF(K10&lt;=0,"Укажите объём",IF(K10&gt;F10,"Объём выше излишка",IF(COUNT(M10:O10)&lt;3,"Нужны цены",IF(COUNT(P10:R10)&lt;3,"Нужны расходы",IF(OR(M10&lt;0,N10&lt;0,O10&lt;0,O10&gt;100,P10&lt;0,Q10&lt;0,R10&lt;0,R10&gt;100),"Проверьте значения","Рассчитано")))))))</x:f>
        <x:v>Нужны цены</x:v>
      </x:c>
      <x:c r="K10" s="36" t="n">
        <x:v>18</x:v>
      </x:c>
      <x:c r="L10" s="19" t="str">
        <x:v>KZT</x:v>
      </x:c>
      <x:c r="M10" s="22"/>
      <x:c r="N10" s="22"/>
      <x:c r="O10" s="28"/>
      <x:c r="P10" s="22"/>
      <x:c r="Q10" s="22"/>
      <x:c r="R10" s="28"/>
      <x:c r="S10" s="22"/>
      <x:c r="T10" s="35" t="n">
        <x:f>K10</x:f>
        <x:v>18</x:v>
      </x:c>
      <x:c r="U10" s="20" t="str">
        <x:f>IF(J10="Рассчитано",N10*(1-O10/100),"н/д")</x:f>
        <x:v>н/д</x:v>
      </x:c>
      <x:c r="V10" s="20" t="str">
        <x:f>IF(J10="Рассчитано",T10*U10,"н/д")</x:f>
        <x:v>н/д</x:v>
      </x:c>
      <x:c r="W10" s="20" t="str">
        <x:f>IF(J10="Рассчитано",T10*M10,"н/д")</x:f>
        <x:v>н/д</x:v>
      </x:c>
      <x:c r="X10" s="20" t="str">
        <x:f>IF(J10="Рассчитано",V10-W10,"н/д")</x:f>
        <x:v>н/д</x:v>
      </x:c>
      <x:c r="Y10" s="26" t="str">
        <x:f>IF(J10="Рассчитано",IF(V10&gt;0,G10/V10,"н/д"),"н/д")</x:f>
        <x:v>н/д</x:v>
      </x:c>
      <x:c r="Z10" s="20" t="str">
        <x:f>"н/д"</x:f>
        <x:v>н/д</x:v>
      </x:c>
      <x:c r="AA10" s="20" t="str">
        <x:f>"н/д"</x:f>
        <x:v>н/д</x:v>
      </x:c>
      <x:c r="AB10" s="20" t="str">
        <x:f>"н/д"</x:f>
        <x:v>н/д</x:v>
      </x:c>
      <x:c r="AC10" s="20" t="str">
        <x:f>IF(AND(J10="Рассчитано",T10&gt;0,R10&lt;100),(W10+P10+Q10)/(T10*(1-R10/100)),"н/д")</x:f>
        <x:v>н/д</x:v>
      </x:c>
      <x:c r="AD10" s="11" t="str">
        <x:f>IF(ISNUMBER(G10),IF(G10&lt;0,"Убыток",IF(G10=0,"Без прибыли","Прибыль &gt; 0")),"Не оценён")</x:f>
        <x:v>Не оценён</x:v>
      </x:c>
      <x:c r="AE10" s="12" t="str">
        <x:f>IF(J10="Рассчитано","Выручка "&amp;TEXT(V10,"0.00")&amp;" - себестоимость "&amp;TEXT(W10,"0.00")&amp;" - комиссия "&amp;TEXT(V10*R10/100,"0.00")&amp;" - доставка "&amp;TEXT(P10,"0.00")&amp;" - прочие "&amp;TEXT(Q10,"0.00")&amp;" = "&amp;TEXT(G10,"0.00")&amp;" "&amp;L10,"Введите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" s="23" t="n">
        <x:v>512.5236463138845</x:v>
      </x:c>
      <x:c r="AG10" s="35" t="n">
        <x:v>531</x:v>
      </x:c>
      <x:c r="AH10" s="35" t="n">
        <x:v>0</x:v>
      </x:c>
      <x:c r="AI10" s="29" t="n">
        <x:v>46266</x:v>
      </x:c>
      <x:c r="AJ10" s="35" t="n">
        <x:v>1</x:v>
      </x:c>
      <x:c r="AK10" s="11" t="str">
        <x:v>минимум</x:v>
      </x:c>
      <x:c r="AL10" s="31" t="n">
        <x:v>88.10481793591971</x:v>
      </x:c>
      <x:c r="AM1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" s="12" t="str">
        <x:v>Проверить свободный остаток и установить цену для B2B</x:v>
      </x:c>
      <x:c r="AO10" s="12" t="str">
        <x:v>Остаток 531; прогноз 90 дней 512.52; избыток 18 шт. Будущие поступления не выставляются на продажу. Остаток на начало сентября: требуется актуализация.</x:v>
      </x:c>
      <x:c r="AP10" s="12" t="str">
        <x:v>["category_missing", "daily_stockout_data_missing", "large_orders_detected", "new_order_lead_time_unknown", "reservations_unknown", "stale_stock", "transaction_month_mismatch"]</x:v>
      </x:c>
      <x:c r="AQ10" s="11" t="str">
        <x:v>IEK:010300003_</x:v>
      </x:c>
      <x:c r="AR10" s="23" t="n">
        <x:v>1</x:v>
      </x:c>
      <x:c r="AS10" s="23" t="n">
        <x:v>0</x:v>
      </x:c>
      <x:c r="AT10" s="23" t="n">
        <x:v>0</x:v>
      </x:c>
    </x:row>
    <x:row r="11" ht="64" customHeight="1">
      <x:c r="A11" s="10" t="str">
        <x:v>IEK</x:v>
      </x:c>
      <x:c r="B11" s="34" t="str">
        <x:v>010300004_</x:v>
      </x:c>
      <x:c r="C11" s="34" t="str">
        <x:v>MAD10-2-032-C-030</x:v>
      </x:c>
      <x:c r="D11" s="13" t="str">
        <x:v>УЗО АД 12  (2ф) 32А IEK (5/40)</x:v>
      </x:c>
      <x:c r="E11" s="10" t="str">
        <x:v>шт</x:v>
      </x:c>
      <x:c r="F11" s="37" t="n">
        <x:f>MAX(0,ROUNDDOWN((AG11-AF11)/AR11+0.000000001,0)*AR11)</x:f>
        <x:v>57</x:v>
      </x:c>
      <x:c r="G11" s="21" t="str">
        <x:f>IF(J11="Рассчитано",V11*(1-R11/100)-W11-P11-Q11,"н/д")</x:f>
        <x:v>н/д</x:v>
      </x:c>
      <x:c r="H11" s="13" t="str">
        <x:v>Высокий</x:v>
      </x:c>
      <x:c r="I11" s="13" t="str">
        <x:v>Высокий</x:v>
      </x:c>
      <x:c r="J11" s="13" t="str">
        <x:f>IF(L11="","Укажите валюту",IF(NOT(ISNUMBER(K11)),"Укажите объём",IF(K11&lt;=0,"Укажите объём",IF(K11&gt;F11,"Объём выше излишка",IF(COUNT(M11:O11)&lt;3,"Нужны цены",IF(COUNT(P11:R11)&lt;3,"Нужны расходы",IF(OR(M11&lt;0,N11&lt;0,O11&lt;0,O11&gt;100,P11&lt;0,Q11&lt;0,R11&lt;0,R11&gt;100),"Проверьте значения","Рассчитано")))))))</x:f>
        <x:v>Нужны цены</x:v>
      </x:c>
      <x:c r="K11" s="36" t="n">
        <x:v>57</x:v>
      </x:c>
      <x:c r="L11" s="19" t="str">
        <x:v>KZT</x:v>
      </x:c>
      <x:c r="M11" s="22"/>
      <x:c r="N11" s="22"/>
      <x:c r="O11" s="28"/>
      <x:c r="P11" s="22"/>
      <x:c r="Q11" s="22"/>
      <x:c r="R11" s="28"/>
      <x:c r="S11" s="22"/>
      <x:c r="T11" s="37" t="n">
        <x:f>K11</x:f>
        <x:v>57</x:v>
      </x:c>
      <x:c r="U11" s="21" t="str">
        <x:f>IF(J11="Рассчитано",N11*(1-O11/100),"н/д")</x:f>
        <x:v>н/д</x:v>
      </x:c>
      <x:c r="V11" s="21" t="str">
        <x:f>IF(J11="Рассчитано",T11*U11,"н/д")</x:f>
        <x:v>н/д</x:v>
      </x:c>
      <x:c r="W11" s="21" t="str">
        <x:f>IF(J11="Рассчитано",T11*M11,"н/д")</x:f>
        <x:v>н/д</x:v>
      </x:c>
      <x:c r="X11" s="21" t="str">
        <x:f>IF(J11="Рассчитано",V11-W11,"н/д")</x:f>
        <x:v>н/д</x:v>
      </x:c>
      <x:c r="Y11" s="27" t="str">
        <x:f>IF(J11="Рассчитано",IF(V11&gt;0,G11/V11,"н/д"),"н/д")</x:f>
        <x:v>н/д</x:v>
      </x:c>
      <x:c r="Z11" s="21" t="str">
        <x:f>"н/д"</x:f>
        <x:v>н/д</x:v>
      </x:c>
      <x:c r="AA11" s="21" t="str">
        <x:f>"н/д"</x:f>
        <x:v>н/д</x:v>
      </x:c>
      <x:c r="AB11" s="21" t="str">
        <x:f>"н/д"</x:f>
        <x:v>н/д</x:v>
      </x:c>
      <x:c r="AC11" s="21" t="str">
        <x:f>IF(AND(J11="Рассчитано",T11&gt;0,R11&lt;100),(W11+P11+Q11)/(T11*(1-R11/100)),"н/д")</x:f>
        <x:v>н/д</x:v>
      </x:c>
      <x:c r="AD11" s="10" t="str">
        <x:f>IF(ISNUMBER(G11),IF(G11&lt;0,"Убыток",IF(G11=0,"Без прибыли","Прибыль &gt; 0")),"Не оценён")</x:f>
        <x:v>Не оценён</x:v>
      </x:c>
      <x:c r="AE11" s="13" t="str">
        <x:f>IF(J11="Рассчитано","Выручка "&amp;TEXT(V11,"0.00")&amp;" - себестоимость "&amp;TEXT(W11,"0.00")&amp;" - комиссия "&amp;TEXT(V11*R11/100,"0.00")&amp;" - доставка "&amp;TEXT(P11,"0.00")&amp;" - прочие "&amp;TEXT(Q11,"0.00")&amp;" = "&amp;TEXT(G11,"0.00")&amp;" "&amp;L11,"Введите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" s="24" t="n">
        <x:v>31.806934594732517</x:v>
      </x:c>
      <x:c r="AG11" s="37" t="n">
        <x:v>89</x:v>
      </x:c>
      <x:c r="AH11" s="37" t="n">
        <x:v>0</x:v>
      </x:c>
      <x:c r="AI11" s="30" t="n">
        <x:v>46266</x:v>
      </x:c>
      <x:c r="AJ11" s="37" t="n">
        <x:v>1</x:v>
      </x:c>
      <x:c r="AK11" s="10" t="str">
        <x:v>минимум</x:v>
      </x:c>
      <x:c r="AL11" s="32" t="n">
        <x:v>237.9508360543143</x:v>
      </x:c>
      <x:c r="AM1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" s="13" t="str">
        <x:v>Проверить свободный остаток и установить цену для B2B</x:v>
      </x:c>
      <x:c r="AO11" s="13" t="str">
        <x:v>Остаток 89; прогноз 90 дней 31.81; избыток 57 шт. Будущие поступления не выставляются на продажу. Остаток на начало сентября: требуется актуализация.</x:v>
      </x:c>
      <x:c r="AP11" s="13" t="str">
        <x:v>["category_missing", "daily_stockout_data_missing", "large_orders_detected", "new_order_lead_time_unknown", "reservations_unknown", "stale_stock"]</x:v>
      </x:c>
      <x:c r="AQ11" s="10" t="str">
        <x:v>IEK:010300004_</x:v>
      </x:c>
      <x:c r="AR11" s="24" t="n">
        <x:v>1</x:v>
      </x:c>
      <x:c r="AS11" s="24" t="n">
        <x:v>0</x:v>
      </x:c>
      <x:c r="AT11" s="24" t="n">
        <x:v>0</x:v>
      </x:c>
    </x:row>
    <x:row r="12" ht="64" customHeight="1">
      <x:c r="A12" s="11" t="str">
        <x:v>IEK</x:v>
      </x:c>
      <x:c r="B12" s="33" t="str">
        <x:v>010300006_</x:v>
      </x:c>
      <x:c r="C12" s="33" t="str">
        <x:v>MAD10-2-050-C-030</x:v>
      </x:c>
      <x:c r="D12" s="12" t="str">
        <x:v>УЗО АД 12  (2ф) 50А IEK (4/32)</x:v>
      </x:c>
      <x:c r="E12" s="11" t="str">
        <x:v>шт</x:v>
      </x:c>
      <x:c r="F12" s="35" t="n">
        <x:f>MAX(0,ROUNDDOWN((AG12-AF12)/AR12+0.000000001,0)*AR12)</x:f>
        <x:v>104</x:v>
      </x:c>
      <x:c r="G12" s="20" t="str">
        <x:f>IF(J12="Рассчитано",V12*(1-R12/100)-W12-P12-Q12,"н/д")</x:f>
        <x:v>н/д</x:v>
      </x:c>
      <x:c r="H12" s="12" t="str">
        <x:v>Высокий</x:v>
      </x:c>
      <x:c r="I12" s="12" t="str">
        <x:v>Средний</x:v>
      </x:c>
      <x:c r="J12" s="12" t="str">
        <x:f>IF(L12="","Укажите валюту",IF(NOT(ISNUMBER(K12)),"Укажите объём",IF(K12&lt;=0,"Укажите объём",IF(K12&gt;F12,"Объём выше излишка",IF(COUNT(M12:O12)&lt;3,"Нужны цены",IF(COUNT(P12:R12)&lt;3,"Нужны расходы",IF(OR(M12&lt;0,N12&lt;0,O12&lt;0,O12&gt;100,P12&lt;0,Q12&lt;0,R12&lt;0,R12&gt;100),"Проверьте значения","Рассчитано")))))))</x:f>
        <x:v>Нужны цены</x:v>
      </x:c>
      <x:c r="K12" s="36" t="n">
        <x:v>104</x:v>
      </x:c>
      <x:c r="L12" s="19" t="str">
        <x:v>KZT</x:v>
      </x:c>
      <x:c r="M12" s="22"/>
      <x:c r="N12" s="22"/>
      <x:c r="O12" s="28"/>
      <x:c r="P12" s="22"/>
      <x:c r="Q12" s="22"/>
      <x:c r="R12" s="28"/>
      <x:c r="S12" s="22"/>
      <x:c r="T12" s="35" t="n">
        <x:f>K12</x:f>
        <x:v>104</x:v>
      </x:c>
      <x:c r="U12" s="20" t="str">
        <x:f>IF(J12="Рассчитано",N12*(1-O12/100),"н/д")</x:f>
        <x:v>н/д</x:v>
      </x:c>
      <x:c r="V12" s="20" t="str">
        <x:f>IF(J12="Рассчитано",T12*U12,"н/д")</x:f>
        <x:v>н/д</x:v>
      </x:c>
      <x:c r="W12" s="20" t="str">
        <x:f>IF(J12="Рассчитано",T12*M12,"н/д")</x:f>
        <x:v>н/д</x:v>
      </x:c>
      <x:c r="X12" s="20" t="str">
        <x:f>IF(J12="Рассчитано",V12-W12,"н/д")</x:f>
        <x:v>н/д</x:v>
      </x:c>
      <x:c r="Y12" s="26" t="str">
        <x:f>IF(J12="Рассчитано",IF(V12&gt;0,G12/V12,"н/д"),"н/д")</x:f>
        <x:v>н/д</x:v>
      </x:c>
      <x:c r="Z12" s="20" t="str">
        <x:f>"н/д"</x:f>
        <x:v>н/д</x:v>
      </x:c>
      <x:c r="AA12" s="20" t="str">
        <x:f>"н/д"</x:f>
        <x:v>н/д</x:v>
      </x:c>
      <x:c r="AB12" s="20" t="str">
        <x:f>"н/д"</x:f>
        <x:v>н/д</x:v>
      </x:c>
      <x:c r="AC12" s="20" t="str">
        <x:f>IF(AND(J12="Рассчитано",T12&gt;0,R12&lt;100),(W12+P12+Q12)/(T12*(1-R12/100)),"н/д")</x:f>
        <x:v>н/д</x:v>
      </x:c>
      <x:c r="AD12" s="11" t="str">
        <x:f>IF(ISNUMBER(G12),IF(G12&lt;0,"Убыток",IF(G12=0,"Без прибыли","Прибыль &gt; 0")),"Не оценён")</x:f>
        <x:v>Не оценён</x:v>
      </x:c>
      <x:c r="AE12" s="12" t="str">
        <x:f>IF(J12="Рассчитано","Выручка "&amp;TEXT(V12,"0.00")&amp;" - себестоимость "&amp;TEXT(W12,"0.00")&amp;" - комиссия "&amp;TEXT(V12*R12/100,"0.00")&amp;" - доставка "&amp;TEXT(P12,"0.00")&amp;" - прочие "&amp;TEXT(Q12,"0.00")&amp;" = "&amp;TEXT(G12,"0.00")&amp;" "&amp;L12,"Введите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" s="23" t="n">
        <x:v>325.7692895340312</x:v>
      </x:c>
      <x:c r="AG12" s="35" t="n">
        <x:v>430</x:v>
      </x:c>
      <x:c r="AH12" s="35" t="n">
        <x:v>0</x:v>
      </x:c>
      <x:c r="AI12" s="29" t="n">
        <x:v>46266</x:v>
      </x:c>
      <x:c r="AJ12" s="35" t="n">
        <x:v>1</x:v>
      </x:c>
      <x:c r="AK12" s="11" t="str">
        <x:v>минимум</x:v>
      </x:c>
      <x:c r="AL12" s="31" t="n">
        <x:v>112.24767627869205</x:v>
      </x:c>
      <x:c r="AM12" s="12" t="str">
        <x:v>Остаток на начало сентября; Резервы неизвестны; Нет ежедневных данных доступности. Запас выше прогноза на 90 дней</x:v>
      </x:c>
      <x:c r="AN12" s="12" t="str">
        <x:v>Проверить свободный остаток и установить цену для B2B</x:v>
      </x:c>
      <x:c r="AO12" s="12" t="str">
        <x:v>Остаток 430; прогноз 90 дней 325.77; избыток 104 шт. Будущие поступления не выставляются на продажу. Остаток на начало сентября: требуется актуализация.</x:v>
      </x:c>
      <x:c r="AP12" s="12" t="str">
        <x:v>["category_missing", "daily_stockout_data_missing", "large_orders_detected", "negative_net_sales_clipped_for_forecast", "new_order_lead_time_unknown", "reservations_unknown", "stale_stock"]</x:v>
      </x:c>
      <x:c r="AQ12" s="11" t="str">
        <x:v>IEK:010300006_</x:v>
      </x:c>
      <x:c r="AR12" s="23" t="n">
        <x:v>1</x:v>
      </x:c>
      <x:c r="AS12" s="23" t="n">
        <x:v>0</x:v>
      </x:c>
      <x:c r="AT12" s="23" t="n">
        <x:v>0</x:v>
      </x:c>
    </x:row>
    <x:row r="13" ht="64" customHeight="1">
      <x:c r="A13" s="10" t="str">
        <x:v>IEK</x:v>
      </x:c>
      <x:c r="B13" s="34" t="str">
        <x:v>010300010_</x:v>
      </x:c>
      <x:c r="C13" s="34" t="str">
        <x:v>MAD10-4-032-C-030</x:v>
      </x:c>
      <x:c r="D13" s="13" t="str">
        <x:v>УЗО АД 14  (4ф) 32А IEK (3/24)</x:v>
      </x:c>
      <x:c r="E13" s="10" t="str">
        <x:v>шт</x:v>
      </x:c>
      <x:c r="F13" s="37" t="n">
        <x:f>MAX(0,ROUNDDOWN((AG13-AF13)/AR13+0.000000001,0)*AR13)</x:f>
        <x:v>29</x:v>
      </x:c>
      <x:c r="G13" s="21" t="str">
        <x:f>IF(J13="Рассчитано",V13*(1-R13/100)-W13-P13-Q13,"н/д")</x:f>
        <x:v>н/д</x:v>
      </x:c>
      <x:c r="H13" s="13" t="str">
        <x:v>Высокий</x:v>
      </x:c>
      <x:c r="I13" s="13" t="str">
        <x:v>Средний</x:v>
      </x:c>
      <x:c r="J13" s="13" t="str">
        <x:f>IF(L13="","Укажите валюту",IF(NOT(ISNUMBER(K13)),"Укажите объём",IF(K13&lt;=0,"Укажите объём",IF(K13&gt;F13,"Объём выше излишка",IF(COUNT(M13:O13)&lt;3,"Нужны цены",IF(COUNT(P13:R13)&lt;3,"Нужны расходы",IF(OR(M13&lt;0,N13&lt;0,O13&lt;0,O13&gt;100,P13&lt;0,Q13&lt;0,R13&lt;0,R13&gt;100),"Проверьте значения","Рассчитано")))))))</x:f>
        <x:v>Нужны цены</x:v>
      </x:c>
      <x:c r="K13" s="36" t="n">
        <x:v>29</x:v>
      </x:c>
      <x:c r="L13" s="19" t="str">
        <x:v>KZT</x:v>
      </x:c>
      <x:c r="M13" s="22"/>
      <x:c r="N13" s="22"/>
      <x:c r="O13" s="28"/>
      <x:c r="P13" s="22"/>
      <x:c r="Q13" s="22"/>
      <x:c r="R13" s="28"/>
      <x:c r="S13" s="22"/>
      <x:c r="T13" s="37" t="n">
        <x:f>K13</x:f>
        <x:v>29</x:v>
      </x:c>
      <x:c r="U13" s="21" t="str">
        <x:f>IF(J13="Рассчитано",N13*(1-O13/100),"н/д")</x:f>
        <x:v>н/д</x:v>
      </x:c>
      <x:c r="V13" s="21" t="str">
        <x:f>IF(J13="Рассчитано",T13*U13,"н/д")</x:f>
        <x:v>н/д</x:v>
      </x:c>
      <x:c r="W13" s="21" t="str">
        <x:f>IF(J13="Рассчитано",T13*M13,"н/д")</x:f>
        <x:v>н/д</x:v>
      </x:c>
      <x:c r="X13" s="21" t="str">
        <x:f>IF(J13="Рассчитано",V13-W13,"н/д")</x:f>
        <x:v>н/д</x:v>
      </x:c>
      <x:c r="Y13" s="27" t="str">
        <x:f>IF(J13="Рассчитано",IF(V13&gt;0,G13/V13,"н/д"),"н/д")</x:f>
        <x:v>н/д</x:v>
      </x:c>
      <x:c r="Z13" s="21" t="str">
        <x:f>"н/д"</x:f>
        <x:v>н/д</x:v>
      </x:c>
      <x:c r="AA13" s="21" t="str">
        <x:f>"н/д"</x:f>
        <x:v>н/д</x:v>
      </x:c>
      <x:c r="AB13" s="21" t="str">
        <x:f>"н/д"</x:f>
        <x:v>н/д</x:v>
      </x:c>
      <x:c r="AC13" s="21" t="str">
        <x:f>IF(AND(J13="Рассчитано",T13&gt;0,R13&lt;100),(W13+P13+Q13)/(T13*(1-R13/100)),"н/д")</x:f>
        <x:v>н/д</x:v>
      </x:c>
      <x:c r="AD13" s="10" t="str">
        <x:f>IF(ISNUMBER(G13),IF(G13&lt;0,"Убыток",IF(G13=0,"Без прибыли","Прибыль &gt; 0")),"Не оценён")</x:f>
        <x:v>Не оценён</x:v>
      </x:c>
      <x:c r="AE13" s="13" t="str">
        <x:f>IF(J13="Рассчитано","Выручка "&amp;TEXT(V13,"0.00")&amp;" - себестоимость "&amp;TEXT(W13,"0.00")&amp;" - комиссия "&amp;TEXT(V13*R13/100,"0.00")&amp;" - доставка "&amp;TEXT(P13,"0.00")&amp;" - прочие "&amp;TEXT(Q13,"0.00")&amp;" = "&amp;TEXT(G13,"0.00")&amp;" "&amp;L13,"Введите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" s="24" t="n">
        <x:v>45.98092834884231</x:v>
      </x:c>
      <x:c r="AG13" s="37" t="n">
        <x:v>75</x:v>
      </x:c>
      <x:c r="AH13" s="37" t="n">
        <x:v>0</x:v>
      </x:c>
      <x:c r="AI13" s="30" t="n">
        <x:v>46266</x:v>
      </x:c>
      <x:c r="AJ13" s="37" t="n">
        <x:v>1</x:v>
      </x:c>
      <x:c r="AK13" s="10" t="str">
        <x:v>минимум</x:v>
      </x:c>
      <x:c r="AL13" s="32" t="n">
        <x:v>138.70833934391968</x:v>
      </x:c>
      <x:c r="AM1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3" s="13" t="str">
        <x:v>Проверить свободный остаток и установить цену для B2B</x:v>
      </x:c>
      <x:c r="AO13" s="13" t="str">
        <x:v>Остаток 75; прогноз 90 дней 45.98; избыток 29 шт. Будущие поступления не выставляются на продажу. Остаток на начало сентября: требуется актуализация.</x:v>
      </x:c>
      <x:c r="AP13" s="13" t="str">
        <x:v>["category_missing", "daily_stockout_data_missing", "large_orders_detected", "new_order_lead_time_unknown", "reservations_unknown", "stale_stock", "transaction_month_mismatch"]</x:v>
      </x:c>
      <x:c r="AQ13" s="10" t="str">
        <x:v>IEK:010300010_</x:v>
      </x:c>
      <x:c r="AR13" s="24" t="n">
        <x:v>1</x:v>
      </x:c>
      <x:c r="AS13" s="24" t="n">
        <x:v>0</x:v>
      </x:c>
      <x:c r="AT13" s="24" t="n">
        <x:v>0</x:v>
      </x:c>
    </x:row>
    <x:row r="14" ht="64" customHeight="1">
      <x:c r="A14" s="11" t="str">
        <x:v>IEK</x:v>
      </x:c>
      <x:c r="B14" s="33" t="str">
        <x:v>010300011_</x:v>
      </x:c>
      <x:c r="C14" s="33" t="str">
        <x:v>MAD10-4-040-C-030</x:v>
      </x:c>
      <x:c r="D14" s="12" t="str">
        <x:v>УЗО АД 14  (4ф) 40А IEK (3/24)</x:v>
      </x:c>
      <x:c r="E14" s="11" t="str">
        <x:v>шт</x:v>
      </x:c>
      <x:c r="F14" s="35" t="n">
        <x:f>MAX(0,ROUNDDOWN((AG14-AF14)/AR14+0.000000001,0)*AR14)</x:f>
        <x:v>42</x:v>
      </x:c>
      <x:c r="G14" s="20" t="str">
        <x:f>IF(J14="Рассчитано",V14*(1-R14/100)-W14-P14-Q14,"н/д")</x:f>
        <x:v>н/д</x:v>
      </x:c>
      <x:c r="H14" s="12" t="str">
        <x:v>Высокий</x:v>
      </x:c>
      <x:c r="I14" s="12" t="str">
        <x:v>Средний</x:v>
      </x:c>
      <x:c r="J14" s="12" t="str">
        <x:f>IF(L14="","Укажите валюту",IF(NOT(ISNUMBER(K14)),"Укажите объём",IF(K14&lt;=0,"Укажите объём",IF(K14&gt;F14,"Объём выше излишка",IF(COUNT(M14:O14)&lt;3,"Нужны цены",IF(COUNT(P14:R14)&lt;3,"Нужны расходы",IF(OR(M14&lt;0,N14&lt;0,O14&lt;0,O14&gt;100,P14&lt;0,Q14&lt;0,R14&lt;0,R14&gt;100),"Проверьте значения","Рассчитано")))))))</x:f>
        <x:v>Нужны цены</x:v>
      </x:c>
      <x:c r="K14" s="36" t="n">
        <x:v>42</x:v>
      </x:c>
      <x:c r="L14" s="19" t="str">
        <x:v>KZT</x:v>
      </x:c>
      <x:c r="M14" s="22"/>
      <x:c r="N14" s="22"/>
      <x:c r="O14" s="28"/>
      <x:c r="P14" s="22"/>
      <x:c r="Q14" s="22"/>
      <x:c r="R14" s="28"/>
      <x:c r="S14" s="22"/>
      <x:c r="T14" s="35" t="n">
        <x:f>K14</x:f>
        <x:v>42</x:v>
      </x:c>
      <x:c r="U14" s="20" t="str">
        <x:f>IF(J14="Рассчитано",N14*(1-O14/100),"н/д")</x:f>
        <x:v>н/д</x:v>
      </x:c>
      <x:c r="V14" s="20" t="str">
        <x:f>IF(J14="Рассчитано",T14*U14,"н/д")</x:f>
        <x:v>н/д</x:v>
      </x:c>
      <x:c r="W14" s="20" t="str">
        <x:f>IF(J14="Рассчитано",T14*M14,"н/д")</x:f>
        <x:v>н/д</x:v>
      </x:c>
      <x:c r="X14" s="20" t="str">
        <x:f>IF(J14="Рассчитано",V14-W14,"н/д")</x:f>
        <x:v>н/д</x:v>
      </x:c>
      <x:c r="Y14" s="26" t="str">
        <x:f>IF(J14="Рассчитано",IF(V14&gt;0,G14/V14,"н/д"),"н/д")</x:f>
        <x:v>н/д</x:v>
      </x:c>
      <x:c r="Z14" s="20" t="str">
        <x:f>"н/д"</x:f>
        <x:v>н/д</x:v>
      </x:c>
      <x:c r="AA14" s="20" t="str">
        <x:f>"н/д"</x:f>
        <x:v>н/д</x:v>
      </x:c>
      <x:c r="AB14" s="20" t="str">
        <x:f>"н/д"</x:f>
        <x:v>н/д</x:v>
      </x:c>
      <x:c r="AC14" s="20" t="str">
        <x:f>IF(AND(J14="Рассчитано",T14&gt;0,R14&lt;100),(W14+P14+Q14)/(T14*(1-R14/100)),"н/д")</x:f>
        <x:v>н/д</x:v>
      </x:c>
      <x:c r="AD14" s="11" t="str">
        <x:f>IF(ISNUMBER(G14),IF(G14&lt;0,"Убыток",IF(G14=0,"Без прибыли","Прибыль &gt; 0")),"Не оценён")</x:f>
        <x:v>Не оценён</x:v>
      </x:c>
      <x:c r="AE14" s="12" t="str">
        <x:f>IF(J14="Рассчитано","Выручка "&amp;TEXT(V14,"0.00")&amp;" - себестоимость "&amp;TEXT(W14,"0.00")&amp;" - комиссия "&amp;TEXT(V14*R14/100,"0.00")&amp;" - доставка "&amp;TEXT(P14,"0.00")&amp;" - прочие "&amp;TEXT(Q14,"0.00")&amp;" = "&amp;TEXT(G14,"0.00")&amp;" "&amp;L14,"Введите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" s="23" t="n">
        <x:v>39.42801148411631</x:v>
      </x:c>
      <x:c r="AG14" s="35" t="n">
        <x:v>82</x:v>
      </x:c>
      <x:c r="AH14" s="35" t="n">
        <x:v>24</x:v>
      </x:c>
      <x:c r="AI14" s="29" t="n">
        <x:v>46266</x:v>
      </x:c>
      <x:c r="AJ14" s="35" t="n">
        <x:v>1</x:v>
      </x:c>
      <x:c r="AK14" s="11" t="str">
        <x:v>минимум</x:v>
      </x:c>
      <x:c r="AL14" s="31" t="n">
        <x:v>176.8593490635399</x:v>
      </x:c>
      <x:c r="AM1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4" s="12" t="str">
        <x:v>Проверить свободный остаток и установить цену для B2B</x:v>
      </x:c>
      <x:c r="AO14" s="12" t="str">
        <x:v>Остаток 82; прогноз 90 дней 39.43; избыток 42 шт. Будущие поступления не выставляются на продажу. Остаток на начало сентября: требуется актуализация.</x:v>
      </x:c>
      <x:c r="AP14" s="12" t="str">
        <x:v>["category_missing", "daily_stockout_data_missing", "large_orders_detected", "new_order_lead_time_unknown", "reservations_unknown", "stale_stock", "transaction_month_mismatch"]</x:v>
      </x:c>
      <x:c r="AQ14" s="11" t="str">
        <x:v>IEK:010300011_</x:v>
      </x:c>
      <x:c r="AR14" s="23" t="n">
        <x:v>1</x:v>
      </x:c>
      <x:c r="AS14" s="23" t="n">
        <x:v>0</x:v>
      </x:c>
      <x:c r="AT14" s="23" t="n">
        <x:v>0</x:v>
      </x:c>
    </x:row>
    <x:row r="15" ht="64" customHeight="1">
      <x:c r="A15" s="10" t="str">
        <x:v>IEK</x:v>
      </x:c>
      <x:c r="B15" s="34" t="str">
        <x:v>010300018_</x:v>
      </x:c>
      <x:c r="C15" s="34" t="str">
        <x:v>MDV10-2-050-030</x:v>
      </x:c>
      <x:c r="D15" s="13" t="str">
        <x:v>УЗО ВД1 63 (2ф) 50А 30мА IEK  (1/48)</x:v>
      </x:c>
      <x:c r="E15" s="10" t="str">
        <x:v>шт</x:v>
      </x:c>
      <x:c r="F15" s="37" t="n">
        <x:f>MAX(0,ROUNDDOWN((AG15-AF15)/AR15+0.000000001,0)*AR15)</x:f>
        <x:v>11</x:v>
      </x:c>
      <x:c r="G15" s="21" t="str">
        <x:f>IF(J15="Рассчитано",V15*(1-R15/100)-W15-P15-Q15,"н/д")</x:f>
        <x:v>н/д</x:v>
      </x:c>
      <x:c r="H15" s="13" t="str">
        <x:v>Высокий</x:v>
      </x:c>
      <x:c r="I15" s="13" t="str">
        <x:v>Средний</x:v>
      </x:c>
      <x:c r="J15" s="13" t="str">
        <x:f>IF(L15="","Укажите валюту",IF(NOT(ISNUMBER(K15)),"Укажите объём",IF(K15&lt;=0,"Укажите объём",IF(K15&gt;F15,"Объём выше излишка",IF(COUNT(M15:O15)&lt;3,"Нужны цены",IF(COUNT(P15:R15)&lt;3,"Нужны расходы",IF(OR(M15&lt;0,N15&lt;0,O15&lt;0,O15&gt;100,P15&lt;0,Q15&lt;0,R15&lt;0,R15&gt;100),"Проверьте значения","Рассчитано")))))))</x:f>
        <x:v>Нужны цены</x:v>
      </x:c>
      <x:c r="K15" s="36" t="n">
        <x:v>11</x:v>
      </x:c>
      <x:c r="L15" s="19" t="str">
        <x:v>KZT</x:v>
      </x:c>
      <x:c r="M15" s="22"/>
      <x:c r="N15" s="22"/>
      <x:c r="O15" s="28"/>
      <x:c r="P15" s="22"/>
      <x:c r="Q15" s="22"/>
      <x:c r="R15" s="28"/>
      <x:c r="S15" s="22"/>
      <x:c r="T15" s="37" t="n">
        <x:f>K15</x:f>
        <x:v>11</x:v>
      </x:c>
      <x:c r="U15" s="21" t="str">
        <x:f>IF(J15="Рассчитано",N15*(1-O15/100),"н/д")</x:f>
        <x:v>н/д</x:v>
      </x:c>
      <x:c r="V15" s="21" t="str">
        <x:f>IF(J15="Рассчитано",T15*U15,"н/д")</x:f>
        <x:v>н/д</x:v>
      </x:c>
      <x:c r="W15" s="21" t="str">
        <x:f>IF(J15="Рассчитано",T15*M15,"н/д")</x:f>
        <x:v>н/д</x:v>
      </x:c>
      <x:c r="X15" s="21" t="str">
        <x:f>IF(J15="Рассчитано",V15-W15,"н/д")</x:f>
        <x:v>н/д</x:v>
      </x:c>
      <x:c r="Y15" s="27" t="str">
        <x:f>IF(J15="Рассчитано",IF(V15&gt;0,G15/V15,"н/д"),"н/д")</x:f>
        <x:v>н/д</x:v>
      </x:c>
      <x:c r="Z15" s="21" t="str">
        <x:f>"н/д"</x:f>
        <x:v>н/д</x:v>
      </x:c>
      <x:c r="AA15" s="21" t="str">
        <x:f>"н/д"</x:f>
        <x:v>н/д</x:v>
      </x:c>
      <x:c r="AB15" s="21" t="str">
        <x:f>"н/д"</x:f>
        <x:v>н/д</x:v>
      </x:c>
      <x:c r="AC15" s="21" t="str">
        <x:f>IF(AND(J15="Рассчитано",T15&gt;0,R15&lt;100),(W15+P15+Q15)/(T15*(1-R15/100)),"н/д")</x:f>
        <x:v>н/д</x:v>
      </x:c>
      <x:c r="AD15" s="10" t="str">
        <x:f>IF(ISNUMBER(G15),IF(G15&lt;0,"Убыток",IF(G15=0,"Без прибыли","Прибыль &gt; 0")),"Не оценён")</x:f>
        <x:v>Не оценён</x:v>
      </x:c>
      <x:c r="AE15" s="13" t="str">
        <x:f>IF(J15="Рассчитано","Выручка "&amp;TEXT(V15,"0.00")&amp;" - себестоимость "&amp;TEXT(W15,"0.00")&amp;" - комиссия "&amp;TEXT(V15*R15/100,"0.00")&amp;" - доставка "&amp;TEXT(P15,"0.00")&amp;" - прочие "&amp;TEXT(Q15,"0.00")&amp;" = "&amp;TEXT(G15,"0.00")&amp;" "&amp;L15,"Введите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" s="24" t="n">
        <x:v>49.926179622922064</x:v>
      </x:c>
      <x:c r="AG15" s="37" t="n">
        <x:v>61</x:v>
      </x:c>
      <x:c r="AH15" s="37" t="n">
        <x:v>0</x:v>
      </x:c>
      <x:c r="AI15" s="30" t="n">
        <x:v>46266</x:v>
      </x:c>
      <x:c r="AJ15" s="37" t="n">
        <x:v>1</x:v>
      </x:c>
      <x:c r="AK15" s="10" t="str">
        <x:v>минимум</x:v>
      </x:c>
      <x:c r="AL15" s="32" t="n">
        <x:v>103.90119543607645</x:v>
      </x:c>
      <x:c r="AM15" s="13" t="str">
        <x:v>Остаток на начало сентября; Резервы неизвестны; Нет ежедневных данных доступности. Запас выше прогноза на 90 дней</x:v>
      </x:c>
      <x:c r="AN15" s="13" t="str">
        <x:v>Проверить свободный остаток и установить цену для B2B</x:v>
      </x:c>
      <x:c r="AO15" s="13" t="str">
        <x:v>Остаток 61; прогноз 90 дней 49.93; избыток 11 шт. Будущие поступления не выставляются на продажу. Остаток на начало сентября: требуется актуализация.</x:v>
      </x:c>
      <x:c r="AP15" s="13" t="str">
        <x:v>["category_missing", "daily_stockout_data_missing", "new_order_lead_time_unknown", "reservations_unknown", "stale_stock"]</x:v>
      </x:c>
      <x:c r="AQ15" s="10" t="str">
        <x:v>IEK:010300018_</x:v>
      </x:c>
      <x:c r="AR15" s="24" t="n">
        <x:v>1</x:v>
      </x:c>
      <x:c r="AS15" s="24" t="n">
        <x:v>0</x:v>
      </x:c>
      <x:c r="AT15" s="24" t="n">
        <x:v>0</x:v>
      </x:c>
    </x:row>
    <x:row r="16" ht="64" customHeight="1">
      <x:c r="A16" s="11" t="str">
        <x:v>IEK</x:v>
      </x:c>
      <x:c r="B16" s="33" t="str">
        <x:v>010300052_</x:v>
      </x:c>
      <x:c r="C16" s="33" t="str">
        <x:v>MDV10-4-016-030</x:v>
      </x:c>
      <x:c r="D16" s="12" t="str">
        <x:v>УЗО ВД1-63 (4ф) 16А 30мА IEK  (1/24)</x:v>
      </x:c>
      <x:c r="E16" s="11" t="str">
        <x:v>шт</x:v>
      </x:c>
      <x:c r="F16" s="35" t="n">
        <x:f>MAX(0,ROUNDDOWN((AG16-AF16)/AR16+0.000000001,0)*AR16)</x:f>
        <x:v>14</x:v>
      </x:c>
      <x:c r="G16" s="20" t="str">
        <x:f>IF(J16="Рассчитано",V16*(1-R16/100)-W16-P16-Q16,"н/д")</x:f>
        <x:v>н/д</x:v>
      </x:c>
      <x:c r="H16" s="12" t="str">
        <x:v>Высокий</x:v>
      </x:c>
      <x:c r="I16" s="12" t="str">
        <x:v>Высокий</x:v>
      </x:c>
      <x:c r="J16" s="12" t="str">
        <x:f>IF(L16="","Укажите валюту",IF(NOT(ISNUMBER(K16)),"Укажите объём",IF(K16&lt;=0,"Укажите объём",IF(K16&gt;F16,"Объём выше излишка",IF(COUNT(M16:O16)&lt;3,"Нужны цены",IF(COUNT(P16:R16)&lt;3,"Нужны расходы",IF(OR(M16&lt;0,N16&lt;0,O16&lt;0,O16&gt;100,P16&lt;0,Q16&lt;0,R16&lt;0,R16&gt;100),"Проверьте значения","Рассчитано")))))))</x:f>
        <x:v>Нужны цены</x:v>
      </x:c>
      <x:c r="K16" s="36" t="n">
        <x:v>14</x:v>
      </x:c>
      <x:c r="L16" s="19" t="str">
        <x:v>KZT</x:v>
      </x:c>
      <x:c r="M16" s="22"/>
      <x:c r="N16" s="22"/>
      <x:c r="O16" s="28"/>
      <x:c r="P16" s="22"/>
      <x:c r="Q16" s="22"/>
      <x:c r="R16" s="28"/>
      <x:c r="S16" s="22"/>
      <x:c r="T16" s="35" t="n">
        <x:f>K16</x:f>
        <x:v>14</x:v>
      </x:c>
      <x:c r="U16" s="20" t="str">
        <x:f>IF(J16="Рассчитано",N16*(1-O16/100),"н/д")</x:f>
        <x:v>н/д</x:v>
      </x:c>
      <x:c r="V16" s="20" t="str">
        <x:f>IF(J16="Рассчитано",T16*U16,"н/д")</x:f>
        <x:v>н/д</x:v>
      </x:c>
      <x:c r="W16" s="20" t="str">
        <x:f>IF(J16="Рассчитано",T16*M16,"н/д")</x:f>
        <x:v>н/д</x:v>
      </x:c>
      <x:c r="X16" s="20" t="str">
        <x:f>IF(J16="Рассчитано",V16-W16,"н/д")</x:f>
        <x:v>н/д</x:v>
      </x:c>
      <x:c r="Y16" s="26" t="str">
        <x:f>IF(J16="Рассчитано",IF(V16&gt;0,G16/V16,"н/д"),"н/д")</x:f>
        <x:v>н/д</x:v>
      </x:c>
      <x:c r="Z16" s="20" t="str">
        <x:f>"н/д"</x:f>
        <x:v>н/д</x:v>
      </x:c>
      <x:c r="AA16" s="20" t="str">
        <x:f>"н/д"</x:f>
        <x:v>н/д</x:v>
      </x:c>
      <x:c r="AB16" s="20" t="str">
        <x:f>"н/д"</x:f>
        <x:v>н/д</x:v>
      </x:c>
      <x:c r="AC16" s="20" t="str">
        <x:f>IF(AND(J16="Рассчитано",T16&gt;0,R16&lt;100),(W16+P16+Q16)/(T16*(1-R16/100)),"н/д")</x:f>
        <x:v>н/д</x:v>
      </x:c>
      <x:c r="AD16" s="11" t="str">
        <x:f>IF(ISNUMBER(G16),IF(G16&lt;0,"Убыток",IF(G16=0,"Без прибыли","Прибыль &gt; 0")),"Не оценён")</x:f>
        <x:v>Не оценён</x:v>
      </x:c>
      <x:c r="AE16" s="12" t="str">
        <x:f>IF(J16="Рассчитано","Выручка "&amp;TEXT(V16,"0.00")&amp;" - себестоимость "&amp;TEXT(W16,"0.00")&amp;" - комиссия "&amp;TEXT(V16*R16/100,"0.00")&amp;" - доставка "&amp;TEXT(P16,"0.00")&amp;" - прочие "&amp;TEXT(Q16,"0.00")&amp;" = "&amp;TEXT(G16,"0.00")&amp;" "&amp;L16,"Введите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" s="23" t="n">
        <x:v>7.308116908538893</x:v>
      </x:c>
      <x:c r="AG16" s="35" t="n">
        <x:v>22</x:v>
      </x:c>
      <x:c r="AH16" s="35" t="n">
        <x:v>0</x:v>
      </x:c>
      <x:c r="AI16" s="29" t="n">
        <x:v>46266</x:v>
      </x:c>
      <x:c r="AJ16" s="35" t="n">
        <x:v>1</x:v>
      </x:c>
      <x:c r="AK16" s="11" t="str">
        <x:v>минимум</x:v>
      </x:c>
      <x:c r="AL16" s="31" t="n">
        <x:v>255.99780342278126</x:v>
      </x:c>
      <x:c r="AM1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6" s="12" t="str">
        <x:v>Проверить свободный остаток и установить цену для B2B</x:v>
      </x:c>
      <x:c r="AO16" s="12" t="str">
        <x:v>Остаток 22; прогноз 90 дней 7.31; избыток 14 шт. Будущие поступления не выставляются на продажу. Остаток на начало сентября: требуется актуализация.</x:v>
      </x:c>
      <x:c r="AP16" s="12" t="str">
        <x:v>["category_missing", "daily_stockout_data_missing", "large_orders_detected", "new_order_lead_time_unknown", "reservations_unknown", "stale_stock"]</x:v>
      </x:c>
      <x:c r="AQ16" s="11" t="str">
        <x:v>IEK:010300052_</x:v>
      </x:c>
      <x:c r="AR16" s="23" t="n">
        <x:v>1</x:v>
      </x:c>
      <x:c r="AS16" s="23" t="n">
        <x:v>0</x:v>
      </x:c>
      <x:c r="AT16" s="23" t="n">
        <x:v>0</x:v>
      </x:c>
    </x:row>
    <x:row r="17" ht="64" customHeight="1">
      <x:c r="A17" s="10" t="str">
        <x:v>IEK</x:v>
      </x:c>
      <x:c r="B17" s="34" t="str">
        <x:v>010300069_</x:v>
      </x:c>
      <x:c r="C17" s="34" t="str">
        <x:v>MAD12-2-032-C-030</x:v>
      </x:c>
      <x:c r="D17" s="13" t="str">
        <x:v>УЗО АД12М  (2ф) 32А IEK (5/40)</x:v>
      </x:c>
      <x:c r="E17" s="10" t="str">
        <x:v>шт</x:v>
      </x:c>
      <x:c r="F17" s="37" t="n">
        <x:f>MAX(0,ROUNDDOWN((AG17-AF17)/AR17+0.000000001,0)*AR17)</x:f>
        <x:v>1</x:v>
      </x:c>
      <x:c r="G17" s="21" t="str">
        <x:f>IF(J17="Рассчитано",V17*(1-R17/100)-W17-P17-Q17,"н/д")</x:f>
        <x:v>н/д</x:v>
      </x:c>
      <x:c r="H17" s="13" t="str">
        <x:v>Высокий</x:v>
      </x:c>
      <x:c r="I17" s="13" t="str">
        <x:v>Высокий</x:v>
      </x:c>
      <x:c r="J17" s="13" t="str">
        <x:f>IF(L17="","Укажите валюту",IF(NOT(ISNUMBER(K17)),"Укажите объём",IF(K17&lt;=0,"Укажите объём",IF(K17&gt;F17,"Объём выше излишка",IF(COUNT(M17:O17)&lt;3,"Нужны цены",IF(COUNT(P17:R17)&lt;3,"Нужны расходы",IF(OR(M17&lt;0,N17&lt;0,O17&lt;0,O17&gt;100,P17&lt;0,Q17&lt;0,R17&lt;0,R17&gt;100),"Проверьте значения","Рассчитано")))))))</x:f>
        <x:v>Нужны цены</x:v>
      </x:c>
      <x:c r="K17" s="36" t="n">
        <x:v>1</x:v>
      </x:c>
      <x:c r="L17" s="19" t="str">
        <x:v>KZT</x:v>
      </x:c>
      <x:c r="M17" s="22"/>
      <x:c r="N17" s="22"/>
      <x:c r="O17" s="28"/>
      <x:c r="P17" s="22"/>
      <x:c r="Q17" s="22"/>
      <x:c r="R17" s="28"/>
      <x:c r="S17" s="22"/>
      <x:c r="T17" s="37" t="n">
        <x:f>K17</x:f>
        <x:v>1</x:v>
      </x:c>
      <x:c r="U17" s="21" t="str">
        <x:f>IF(J17="Рассчитано",N17*(1-O17/100),"н/д")</x:f>
        <x:v>н/д</x:v>
      </x:c>
      <x:c r="V17" s="21" t="str">
        <x:f>IF(J17="Рассчитано",T17*U17,"н/д")</x:f>
        <x:v>н/д</x:v>
      </x:c>
      <x:c r="W17" s="21" t="str">
        <x:f>IF(J17="Рассчитано",T17*M17,"н/д")</x:f>
        <x:v>н/д</x:v>
      </x:c>
      <x:c r="X17" s="21" t="str">
        <x:f>IF(J17="Рассчитано",V17-W17,"н/д")</x:f>
        <x:v>н/д</x:v>
      </x:c>
      <x:c r="Y17" s="27" t="str">
        <x:f>IF(J17="Рассчитано",IF(V17&gt;0,G17/V17,"н/д"),"н/д")</x:f>
        <x:v>н/д</x:v>
      </x:c>
      <x:c r="Z17" s="21" t="str">
        <x:f>"н/д"</x:f>
        <x:v>н/д</x:v>
      </x:c>
      <x:c r="AA17" s="21" t="str">
        <x:f>"н/д"</x:f>
        <x:v>н/д</x:v>
      </x:c>
      <x:c r="AB17" s="21" t="str">
        <x:f>"н/д"</x:f>
        <x:v>н/д</x:v>
      </x:c>
      <x:c r="AC17" s="21" t="str">
        <x:f>IF(AND(J17="Рассчитано",T17&gt;0,R17&lt;100),(W17+P17+Q17)/(T17*(1-R17/100)),"н/д")</x:f>
        <x:v>н/д</x:v>
      </x:c>
      <x:c r="AD17" s="10" t="str">
        <x:f>IF(ISNUMBER(G17),IF(G17&lt;0,"Убыток",IF(G17=0,"Без прибыли","Прибыль &gt; 0")),"Не оценён")</x:f>
        <x:v>Не оценён</x:v>
      </x:c>
      <x:c r="AE17" s="13" t="str">
        <x:f>IF(J17="Рассчитано","Выручка "&amp;TEXT(V17,"0.00")&amp;" - себестоимость "&amp;TEXT(W17,"0.00")&amp;" - комиссия "&amp;TEXT(V17*R17/100,"0.00")&amp;" - доставка "&amp;TEXT(P17,"0.00")&amp;" - прочие "&amp;TEXT(Q17,"0.00")&amp;" = "&amp;TEXT(G17,"0.00")&amp;" "&amp;L17,"Введите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" s="24" t="n">
        <x:v>0.19764538434527398</x:v>
      </x:c>
      <x:c r="AG17" s="37" t="n">
        <x:v>2</x:v>
      </x:c>
      <x:c r="AH17" s="37" t="n">
        <x:v>0</x:v>
      </x:c>
      <x:c r="AI17" s="30" t="n">
        <x:v>46266</x:v>
      </x:c>
      <x:c r="AJ17" s="37" t="n">
        <x:v>1</x:v>
      </x:c>
      <x:c r="AK17" s="10" t="str">
        <x:v>минимум</x:v>
      </x:c>
      <x:c r="AL17" s="32" t="n">
        <x:v>860.5227635528382</x:v>
      </x:c>
      <x:c r="AM1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7" s="13" t="str">
        <x:v>Проверить свободный остаток и установить цену для B2B</x:v>
      </x:c>
      <x:c r="AO17" s="13" t="str">
        <x:v>Остаток 2; прогноз 90 дней 0.20; избыток 1 шт. Будущие поступления не выставляются на продажу. Остаток на начало сентября: требуется актуализация.</x:v>
      </x:c>
      <x:c r="AP17" s="13" t="str">
        <x:v>["category_missing", "daily_stockout_data_missing", "new_order_lead_time_unknown", "reservations_unknown", "stale_stock"]</x:v>
      </x:c>
      <x:c r="AQ17" s="10" t="str">
        <x:v>IEK:010300069_</x:v>
      </x:c>
      <x:c r="AR17" s="24" t="n">
        <x:v>1</x:v>
      </x:c>
      <x:c r="AS17" s="24" t="n">
        <x:v>0</x:v>
      </x:c>
      <x:c r="AT17" s="24" t="n">
        <x:v>0</x:v>
      </x:c>
    </x:row>
    <x:row r="18" ht="64" customHeight="1">
      <x:c r="A18" s="11" t="str">
        <x:v>IEK</x:v>
      </x:c>
      <x:c r="B18" s="33" t="str">
        <x:v>010300094_</x:v>
      </x:c>
      <x:c r="C18" s="33" t="str">
        <x:v>MAD22-5-006-C-30</x:v>
      </x:c>
      <x:c r="D18" s="12" t="str">
        <x:v>УЗО АВДТ 32   6А IEK  (6/60)</x:v>
      </x:c>
      <x:c r="E18" s="11" t="str">
        <x:v>шт</x:v>
      </x:c>
      <x:c r="F18" s="35" t="n">
        <x:f>MAX(0,ROUNDDOWN((AG18-AF18)/AR18+0.000000001,0)*AR18)</x:f>
        <x:v>29</x:v>
      </x:c>
      <x:c r="G18" s="20" t="str">
        <x:f>IF(J18="Рассчитано",V18*(1-R18/100)-W18-P18-Q18,"н/д")</x:f>
        <x:v>н/д</x:v>
      </x:c>
      <x:c r="H18" s="12" t="str">
        <x:v>Высокий</x:v>
      </x:c>
      <x:c r="I18" s="12" t="str">
        <x:v>Высокий</x:v>
      </x:c>
      <x:c r="J18" s="12" t="str">
        <x:f>IF(L18="","Укажите валюту",IF(NOT(ISNUMBER(K18)),"Укажите объём",IF(K18&lt;=0,"Укажите объём",IF(K18&gt;F18,"Объём выше излишка",IF(COUNT(M18:O18)&lt;3,"Нужны цены",IF(COUNT(P18:R18)&lt;3,"Нужны расходы",IF(OR(M18&lt;0,N18&lt;0,O18&lt;0,O18&gt;100,P18&lt;0,Q18&lt;0,R18&lt;0,R18&gt;100),"Проверьте значения","Рассчитано")))))))</x:f>
        <x:v>Нужны цены</x:v>
      </x:c>
      <x:c r="K18" s="36" t="n">
        <x:v>29</x:v>
      </x:c>
      <x:c r="L18" s="19" t="str">
        <x:v>KZT</x:v>
      </x:c>
      <x:c r="M18" s="22"/>
      <x:c r="N18" s="22"/>
      <x:c r="O18" s="28"/>
      <x:c r="P18" s="22"/>
      <x:c r="Q18" s="22"/>
      <x:c r="R18" s="28"/>
      <x:c r="S18" s="22"/>
      <x:c r="T18" s="35" t="n">
        <x:f>K18</x:f>
        <x:v>29</x:v>
      </x:c>
      <x:c r="U18" s="20" t="str">
        <x:f>IF(J18="Рассчитано",N18*(1-O18/100),"н/д")</x:f>
        <x:v>н/д</x:v>
      </x:c>
      <x:c r="V18" s="20" t="str">
        <x:f>IF(J18="Рассчитано",T18*U18,"н/д")</x:f>
        <x:v>н/д</x:v>
      </x:c>
      <x:c r="W18" s="20" t="str">
        <x:f>IF(J18="Рассчитано",T18*M18,"н/д")</x:f>
        <x:v>н/д</x:v>
      </x:c>
      <x:c r="X18" s="20" t="str">
        <x:f>IF(J18="Рассчитано",V18-W18,"н/д")</x:f>
        <x:v>н/д</x:v>
      </x:c>
      <x:c r="Y18" s="26" t="str">
        <x:f>IF(J18="Рассчитано",IF(V18&gt;0,G18/V18,"н/д"),"н/д")</x:f>
        <x:v>н/д</x:v>
      </x:c>
      <x:c r="Z18" s="20" t="str">
        <x:f>"н/д"</x:f>
        <x:v>н/д</x:v>
      </x:c>
      <x:c r="AA18" s="20" t="str">
        <x:f>"н/д"</x:f>
        <x:v>н/д</x:v>
      </x:c>
      <x:c r="AB18" s="20" t="str">
        <x:f>"н/д"</x:f>
        <x:v>н/д</x:v>
      </x:c>
      <x:c r="AC18" s="20" t="str">
        <x:f>IF(AND(J18="Рассчитано",T18&gt;0,R18&lt;100),(W18+P18+Q18)/(T18*(1-R18/100)),"н/д")</x:f>
        <x:v>н/д</x:v>
      </x:c>
      <x:c r="AD18" s="11" t="str">
        <x:f>IF(ISNUMBER(G18),IF(G18&lt;0,"Убыток",IF(G18=0,"Без прибыли","Прибыль &gt; 0")),"Не оценён")</x:f>
        <x:v>Не оценён</x:v>
      </x:c>
      <x:c r="AE18" s="12" t="str">
        <x:f>IF(J18="Рассчитано","Выручка "&amp;TEXT(V18,"0.00")&amp;" - себестоимость "&amp;TEXT(W18,"0.00")&amp;" - комиссия "&amp;TEXT(V18*R18/100,"0.00")&amp;" - доставка "&amp;TEXT(P18,"0.00")&amp;" - прочие "&amp;TEXT(Q18,"0.00")&amp;" = "&amp;TEXT(G18,"0.00")&amp;" "&amp;L18,"Введите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" s="23" t="n">
        <x:v>24.03228735672174</x:v>
      </x:c>
      <x:c r="AG18" s="35" t="n">
        <x:v>54</x:v>
      </x:c>
      <x:c r="AH18" s="35" t="n">
        <x:v>0</x:v>
      </x:c>
      <x:c r="AI18" s="29" t="n">
        <x:v>46266</x:v>
      </x:c>
      <x:c r="AJ18" s="35" t="n">
        <x:v>1</x:v>
      </x:c>
      <x:c r="AK18" s="11" t="str">
        <x:v>минимум</x:v>
      </x:c>
      <x:c r="AL18" s="31" t="n">
        <x:v>191.08108375304417</x:v>
      </x:c>
      <x:c r="AM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8" s="12" t="str">
        <x:v>Проверить свободный остаток и установить цену для B2B</x:v>
      </x:c>
      <x:c r="AO18" s="12" t="str">
        <x:v>Остаток 54; прогноз 90 дней 24.03; избыток 29 шт. Будущие поступления не выставляются на продажу. Остаток на начало сентября: требуется актуализация.</x:v>
      </x:c>
      <x:c r="AP18" s="12" t="str">
        <x:v>["category_missing", "daily_stockout_data_missing", "new_order_lead_time_unknown", "reservations_unknown", "stale_stock"]</x:v>
      </x:c>
      <x:c r="AQ18" s="11" t="str">
        <x:v>IEK:010300094_</x:v>
      </x:c>
      <x:c r="AR18" s="23" t="n">
        <x:v>1</x:v>
      </x:c>
      <x:c r="AS18" s="23" t="n">
        <x:v>0</x:v>
      </x:c>
      <x:c r="AT18" s="23" t="n">
        <x:v>0</x:v>
      </x:c>
    </x:row>
    <x:row r="19" ht="64" customHeight="1">
      <x:c r="A19" s="10" t="str">
        <x:v>IEK</x:v>
      </x:c>
      <x:c r="B19" s="34" t="str">
        <x:v>010300095_</x:v>
      </x:c>
      <x:c r="C19" s="34" t="str">
        <x:v>MAD22-5-020-C-30</x:v>
      </x:c>
      <x:c r="D19" s="13" t="str">
        <x:v>УЗО АВДТ 32  20А IEK  (6/60)</x:v>
      </x:c>
      <x:c r="E19" s="10" t="str">
        <x:v>шт</x:v>
      </x:c>
      <x:c r="F19" s="37" t="n">
        <x:f>MAX(0,ROUNDDOWN((AG19-AF19)/AR19+0.000000001,0)*AR19)</x:f>
        <x:v>241</x:v>
      </x:c>
      <x:c r="G19" s="21" t="str">
        <x:f>IF(J19="Рассчитано",V19*(1-R19/100)-W19-P19-Q19,"н/д")</x:f>
        <x:v>н/д</x:v>
      </x:c>
      <x:c r="H19" s="13" t="str">
        <x:v>Высокий</x:v>
      </x:c>
      <x:c r="I19" s="13" t="str">
        <x:v>Средний</x:v>
      </x:c>
      <x:c r="J19" s="13" t="str">
        <x:f>IF(L19="","Укажите валюту",IF(NOT(ISNUMBER(K19)),"Укажите объём",IF(K19&lt;=0,"Укажите объём",IF(K19&gt;F19,"Объём выше излишка",IF(COUNT(M19:O19)&lt;3,"Нужны цены",IF(COUNT(P19:R19)&lt;3,"Нужны расходы",IF(OR(M19&lt;0,N19&lt;0,O19&lt;0,O19&gt;100,P19&lt;0,Q19&lt;0,R19&lt;0,R19&gt;100),"Проверьте значения","Рассчитано")))))))</x:f>
        <x:v>Нужны цены</x:v>
      </x:c>
      <x:c r="K19" s="36" t="n">
        <x:v>241</x:v>
      </x:c>
      <x:c r="L19" s="19" t="str">
        <x:v>KZT</x:v>
      </x:c>
      <x:c r="M19" s="22"/>
      <x:c r="N19" s="22"/>
      <x:c r="O19" s="28"/>
      <x:c r="P19" s="22"/>
      <x:c r="Q19" s="22"/>
      <x:c r="R19" s="28"/>
      <x:c r="S19" s="22"/>
      <x:c r="T19" s="37" t="n">
        <x:f>K19</x:f>
        <x:v>241</x:v>
      </x:c>
      <x:c r="U19" s="21" t="str">
        <x:f>IF(J19="Рассчитано",N19*(1-O19/100),"н/д")</x:f>
        <x:v>н/д</x:v>
      </x:c>
      <x:c r="V19" s="21" t="str">
        <x:f>IF(J19="Рассчитано",T19*U19,"н/д")</x:f>
        <x:v>н/д</x:v>
      </x:c>
      <x:c r="W19" s="21" t="str">
        <x:f>IF(J19="Рассчитано",T19*M19,"н/д")</x:f>
        <x:v>н/д</x:v>
      </x:c>
      <x:c r="X19" s="21" t="str">
        <x:f>IF(J19="Рассчитано",V19-W19,"н/д")</x:f>
        <x:v>н/д</x:v>
      </x:c>
      <x:c r="Y19" s="27" t="str">
        <x:f>IF(J19="Рассчитано",IF(V19&gt;0,G19/V19,"н/д"),"н/д")</x:f>
        <x:v>н/д</x:v>
      </x:c>
      <x:c r="Z19" s="21" t="str">
        <x:f>"н/д"</x:f>
        <x:v>н/д</x:v>
      </x:c>
      <x:c r="AA19" s="21" t="str">
        <x:f>"н/д"</x:f>
        <x:v>н/д</x:v>
      </x:c>
      <x:c r="AB19" s="21" t="str">
        <x:f>"н/д"</x:f>
        <x:v>н/д</x:v>
      </x:c>
      <x:c r="AC19" s="21" t="str">
        <x:f>IF(AND(J19="Рассчитано",T19&gt;0,R19&lt;100),(W19+P19+Q19)/(T19*(1-R19/100)),"н/д")</x:f>
        <x:v>н/д</x:v>
      </x:c>
      <x:c r="AD19" s="10" t="str">
        <x:f>IF(ISNUMBER(G19),IF(G19&lt;0,"Убыток",IF(G19=0,"Без прибыли","Прибыль &gt; 0")),"Не оценён")</x:f>
        <x:v>Не оценён</x:v>
      </x:c>
      <x:c r="AE19" s="13" t="str">
        <x:f>IF(J19="Рассчитано","Выручка "&amp;TEXT(V19,"0.00")&amp;" - себестоимость "&amp;TEXT(W19,"0.00")&amp;" - комиссия "&amp;TEXT(V19*R19/100,"0.00")&amp;" - доставка "&amp;TEXT(P19,"0.00")&amp;" - прочие "&amp;TEXT(Q19,"0.00")&amp;" = "&amp;TEXT(G19,"0.00")&amp;" "&amp;L19,"Введите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" s="24" t="n">
        <x:v>235.9659247678943</x:v>
      </x:c>
      <x:c r="AG19" s="37" t="n">
        <x:v>477</x:v>
      </x:c>
      <x:c r="AH19" s="37" t="n">
        <x:v>360</x:v>
      </x:c>
      <x:c r="AI19" s="30" t="n">
        <x:v>46266</x:v>
      </x:c>
      <x:c r="AJ19" s="37" t="n">
        <x:v>1</x:v>
      </x:c>
      <x:c r="AK19" s="10" t="str">
        <x:v>минимум</x:v>
      </x:c>
      <x:c r="AL19" s="32" t="n">
        <x:v>171.90485055438242</x:v>
      </x:c>
      <x:c r="AM19" s="13" t="str">
        <x:v>Остаток на начало сентября; Резервы неизвестны; Нет ежедневных данных доступности. Запас выше прогноза на 90 дней</x:v>
      </x:c>
      <x:c r="AN19" s="13" t="str">
        <x:v>Проверить свободный остаток и установить цену для B2B</x:v>
      </x:c>
      <x:c r="AO19" s="13" t="str">
        <x:v>Остаток 477; прогноз 90 дней 235.97; избыток 241 шт. Будущие поступления не выставляются на продажу. Остаток на начало сентября: требуется актуализация.</x:v>
      </x:c>
      <x:c r="AP19" s="13" t="str">
        <x:v>["category_missing", "daily_stockout_data_missing", "large_orders_detected", "new_order_lead_time_unknown", "reservations_unknown", "stale_stock"]</x:v>
      </x:c>
      <x:c r="AQ19" s="10" t="str">
        <x:v>IEK:010300095_</x:v>
      </x:c>
      <x:c r="AR19" s="24" t="n">
        <x:v>1</x:v>
      </x:c>
      <x:c r="AS19" s="24" t="n">
        <x:v>0</x:v>
      </x:c>
      <x:c r="AT19" s="24" t="n">
        <x:v>0</x:v>
      </x:c>
    </x:row>
    <x:row r="20" ht="64" customHeight="1">
      <x:c r="A20" s="11" t="str">
        <x:v>IEK</x:v>
      </x:c>
      <x:c r="B20" s="33" t="str">
        <x:v>010300096_</x:v>
      </x:c>
      <x:c r="C20" s="33" t="str">
        <x:v>MAD22-5-040-C-30</x:v>
      </x:c>
      <x:c r="D20" s="12" t="str">
        <x:v>УЗО АВДТ 32  40А IEK  (6/60)</x:v>
      </x:c>
      <x:c r="E20" s="11" t="str">
        <x:v>шт</x:v>
      </x:c>
      <x:c r="F20" s="35" t="n">
        <x:f>MAX(0,ROUNDDOWN((AG20-AF20)/AR20+0.000000001,0)*AR20)</x:f>
        <x:v>6</x:v>
      </x:c>
      <x:c r="G20" s="20" t="str">
        <x:f>IF(J20="Рассчитано",V20*(1-R20/100)-W20-P20-Q20,"н/д")</x:f>
        <x:v>н/д</x:v>
      </x:c>
      <x:c r="H20" s="12" t="str">
        <x:v>Высокий</x:v>
      </x:c>
      <x:c r="I20" s="12" t="str">
        <x:v>Средний</x:v>
      </x:c>
      <x:c r="J20" s="12" t="str">
        <x:f>IF(L20="","Укажите валюту",IF(NOT(ISNUMBER(K20)),"Укажите объём",IF(K20&lt;=0,"Укажите объём",IF(K20&gt;F20,"Объём выше излишка",IF(COUNT(M20:O20)&lt;3,"Нужны цены",IF(COUNT(P20:R20)&lt;3,"Нужны расходы",IF(OR(M20&lt;0,N20&lt;0,O20&lt;0,O20&gt;100,P20&lt;0,Q20&lt;0,R20&lt;0,R20&gt;100),"Проверьте значения","Рассчитано")))))))</x:f>
        <x:v>Нужны цены</x:v>
      </x:c>
      <x:c r="K20" s="36" t="n">
        <x:v>6</x:v>
      </x:c>
      <x:c r="L20" s="19" t="str">
        <x:v>KZT</x:v>
      </x:c>
      <x:c r="M20" s="22"/>
      <x:c r="N20" s="22"/>
      <x:c r="O20" s="28"/>
      <x:c r="P20" s="22"/>
      <x:c r="Q20" s="22"/>
      <x:c r="R20" s="28"/>
      <x:c r="S20" s="22"/>
      <x:c r="T20" s="35" t="n">
        <x:f>K20</x:f>
        <x:v>6</x:v>
      </x:c>
      <x:c r="U20" s="20" t="str">
        <x:f>IF(J20="Рассчитано",N20*(1-O20/100),"н/д")</x:f>
        <x:v>н/д</x:v>
      </x:c>
      <x:c r="V20" s="20" t="str">
        <x:f>IF(J20="Рассчитано",T20*U20,"н/д")</x:f>
        <x:v>н/д</x:v>
      </x:c>
      <x:c r="W20" s="20" t="str">
        <x:f>IF(J20="Рассчитано",T20*M20,"н/д")</x:f>
        <x:v>н/д</x:v>
      </x:c>
      <x:c r="X20" s="20" t="str">
        <x:f>IF(J20="Рассчитано",V20-W20,"н/д")</x:f>
        <x:v>н/д</x:v>
      </x:c>
      <x:c r="Y20" s="26" t="str">
        <x:f>IF(J20="Рассчитано",IF(V20&gt;0,G20/V20,"н/д"),"н/д")</x:f>
        <x:v>н/д</x:v>
      </x:c>
      <x:c r="Z20" s="20" t="str">
        <x:f>"н/д"</x:f>
        <x:v>н/д</x:v>
      </x:c>
      <x:c r="AA20" s="20" t="str">
        <x:f>"н/д"</x:f>
        <x:v>н/д</x:v>
      </x:c>
      <x:c r="AB20" s="20" t="str">
        <x:f>"н/д"</x:f>
        <x:v>н/д</x:v>
      </x:c>
      <x:c r="AC20" s="20" t="str">
        <x:f>IF(AND(J20="Рассчитано",T20&gt;0,R20&lt;100),(W20+P20+Q20)/(T20*(1-R20/100)),"н/д")</x:f>
        <x:v>н/д</x:v>
      </x:c>
      <x:c r="AD20" s="11" t="str">
        <x:f>IF(ISNUMBER(G20),IF(G20&lt;0,"Убыток",IF(G20=0,"Без прибыли","Прибыль &gt; 0")),"Не оценён")</x:f>
        <x:v>Не оценён</x:v>
      </x:c>
      <x:c r="AE20" s="12" t="str">
        <x:f>IF(J20="Рассчитано","Выручка "&amp;TEXT(V20,"0.00")&amp;" - себестоимость "&amp;TEXT(W20,"0.00")&amp;" - комиссия "&amp;TEXT(V20*R20/100,"0.00")&amp;" - доставка "&amp;TEXT(P20,"0.00")&amp;" - прочие "&amp;TEXT(Q20,"0.00")&amp;" = "&amp;TEXT(G20,"0.00")&amp;" "&amp;L20,"Введите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" s="23" t="n">
        <x:v>748.4223271592707</x:v>
      </x:c>
      <x:c r="AG20" s="35" t="n">
        <x:v>755</x:v>
      </x:c>
      <x:c r="AH20" s="35" t="n">
        <x:v>0</x:v>
      </x:c>
      <x:c r="AI20" s="29" t="n">
        <x:v>46266</x:v>
      </x:c>
      <x:c r="AJ20" s="35" t="n">
        <x:v>1</x:v>
      </x:c>
      <x:c r="AK20" s="11" t="str">
        <x:v>минимум</x:v>
      </x:c>
      <x:c r="AL20" s="31" t="n">
        <x:v>85.78656151553345</x:v>
      </x:c>
      <x:c r="AM2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0" s="12" t="str">
        <x:v>Проверить свободный остаток и установить цену для B2B</x:v>
      </x:c>
      <x:c r="AO20" s="12" t="str">
        <x:v>Остаток 755; прогноз 90 дней 748.42; избыток 6 шт. Будущие поступления не выставляются на продажу. Остаток на начало сентября: требуется актуализация.</x:v>
      </x:c>
      <x:c r="AP20" s="12" t="str">
        <x:v>["category_missing", "daily_stockout_data_missing", "large_orders_detected", "negative_net_sales_clipped_for_forecast", "new_order_lead_time_unknown", "reservations_unknown", "stale_stock", "transaction_month_mismatch"]</x:v>
      </x:c>
      <x:c r="AQ20" s="11" t="str">
        <x:v>IEK:010300096_</x:v>
      </x:c>
      <x:c r="AR20" s="23" t="n">
        <x:v>1</x:v>
      </x:c>
      <x:c r="AS20" s="23" t="n">
        <x:v>0</x:v>
      </x:c>
      <x:c r="AT20" s="23" t="n">
        <x:v>0</x:v>
      </x:c>
    </x:row>
    <x:row r="21" ht="64" customHeight="1">
      <x:c r="A21" s="10" t="str">
        <x:v>IEK</x:v>
      </x:c>
      <x:c r="B21" s="34" t="str">
        <x:v>010300103_</x:v>
      </x:c>
      <x:c r="C21" s="34"/>
      <x:c r="D21" s="13" t="str">
        <x:v>УЗО ВД1-63 (4ф) 40А  300мА  IEK  (24) !!!</x:v>
      </x:c>
      <x:c r="E21" s="10" t="str">
        <x:v>шт</x:v>
      </x:c>
      <x:c r="F21" s="37" t="n">
        <x:f>MAX(0,ROUNDDOWN((AG21-AF21)/AR21+0.000000001,0)*AR21)</x:f>
        <x:v>3</x:v>
      </x:c>
      <x:c r="G21" s="21" t="str">
        <x:f>IF(J21="Рассчитано",V21*(1-R21/100)-W21-P21-Q21,"н/д")</x:f>
        <x:v>н/д</x:v>
      </x:c>
      <x:c r="H21" s="13" t="str">
        <x:v>Высокий</x:v>
      </x:c>
      <x:c r="I21" s="13" t="str">
        <x:v>Высокий</x:v>
      </x:c>
      <x:c r="J21" s="13" t="str">
        <x:f>IF(L21="","Укажите валюту",IF(NOT(ISNUMBER(K21)),"Укажите объём",IF(K21&lt;=0,"Укажите объём",IF(K21&gt;F21,"Объём выше излишка",IF(COUNT(M21:O21)&lt;3,"Нужны цены",IF(COUNT(P21:R21)&lt;3,"Нужны расходы",IF(OR(M21&lt;0,N21&lt;0,O21&lt;0,O21&gt;100,P21&lt;0,Q21&lt;0,R21&lt;0,R21&gt;100),"Проверьте значения","Рассчитано")))))))</x:f>
        <x:v>Нужны цены</x:v>
      </x:c>
      <x:c r="K21" s="36" t="n">
        <x:v>3</x:v>
      </x:c>
      <x:c r="L21" s="19" t="str">
        <x:v>KZT</x:v>
      </x:c>
      <x:c r="M21" s="22"/>
      <x:c r="N21" s="22"/>
      <x:c r="O21" s="28"/>
      <x:c r="P21" s="22"/>
      <x:c r="Q21" s="22"/>
      <x:c r="R21" s="28"/>
      <x:c r="S21" s="22"/>
      <x:c r="T21" s="37" t="n">
        <x:f>K21</x:f>
        <x:v>3</x:v>
      </x:c>
      <x:c r="U21" s="21" t="str">
        <x:f>IF(J21="Рассчитано",N21*(1-O21/100),"н/д")</x:f>
        <x:v>н/д</x:v>
      </x:c>
      <x:c r="V21" s="21" t="str">
        <x:f>IF(J21="Рассчитано",T21*U21,"н/д")</x:f>
        <x:v>н/д</x:v>
      </x:c>
      <x:c r="W21" s="21" t="str">
        <x:f>IF(J21="Рассчитано",T21*M21,"н/д")</x:f>
        <x:v>н/д</x:v>
      </x:c>
      <x:c r="X21" s="21" t="str">
        <x:f>IF(J21="Рассчитано",V21-W21,"н/д")</x:f>
        <x:v>н/д</x:v>
      </x:c>
      <x:c r="Y21" s="27" t="str">
        <x:f>IF(J21="Рассчитано",IF(V21&gt;0,G21/V21,"н/д"),"н/д")</x:f>
        <x:v>н/д</x:v>
      </x:c>
      <x:c r="Z21" s="21" t="str">
        <x:f>"н/д"</x:f>
        <x:v>н/д</x:v>
      </x:c>
      <x:c r="AA21" s="21" t="str">
        <x:f>"н/д"</x:f>
        <x:v>н/д</x:v>
      </x:c>
      <x:c r="AB21" s="21" t="str">
        <x:f>"н/д"</x:f>
        <x:v>н/д</x:v>
      </x:c>
      <x:c r="AC21" s="21" t="str">
        <x:f>IF(AND(J21="Рассчитано",T21&gt;0,R21&lt;100),(W21+P21+Q21)/(T21*(1-R21/100)),"н/д")</x:f>
        <x:v>н/д</x:v>
      </x:c>
      <x:c r="AD21" s="10" t="str">
        <x:f>IF(ISNUMBER(G21),IF(G21&lt;0,"Убыток",IF(G21=0,"Без прибыли","Прибыль &gt; 0")),"Не оценён")</x:f>
        <x:v>Не оценён</x:v>
      </x:c>
      <x:c r="AE21" s="13" t="str">
        <x:f>IF(J21="Рассчитано","Выручка "&amp;TEXT(V21,"0.00")&amp;" - себестоимость "&amp;TEXT(W21,"0.00")&amp;" - комиссия "&amp;TEXT(V21*R21/100,"0.00")&amp;" - доставка "&amp;TEXT(P21,"0.00")&amp;" - прочие "&amp;TEXT(Q21,"0.00")&amp;" = "&amp;TEXT(G21,"0.00")&amp;" "&amp;L21,"Введите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" s="24" t="n">
        <x:v>0.24563105835752594</x:v>
      </x:c>
      <x:c r="AG21" s="37" t="n">
        <x:v>4</x:v>
      </x:c>
      <x:c r="AH21" s="37" t="n">
        <x:v>0</x:v>
      </x:c>
      <x:c r="AI21" s="30" t="n">
        <x:v>46266</x:v>
      </x:c>
      <x:c r="AJ21" s="37"/>
      <x:c r="AK21" s="10" t="str">
        <x:v>неизвестно</x:v>
      </x:c>
      <x:c r="AL21" s="32" t="n">
        <x:v>1384.8277451355707</x:v>
      </x:c>
      <x:c r="AM21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21" s="13" t="str">
        <x:v>Проверить свободный остаток и установить цену для B2B</x:v>
      </x:c>
      <x:c r="AO21" s="13" t="str">
        <x:v>Остаток 4; прогноз 90 дней 0.25; избыток 3 шт. Будущие поступления не выставляются на продажу. Остаток на начало сентября: требуется актуализация.</x:v>
      </x:c>
      <x:c r="AP21" s="13" t="str">
        <x:v>["category_missing", "daily_stockout_data_missing", "moq_missing", "new_order_lead_time_unknown", "reservations_unknown", "stale_stock", "supplier_sku_missing"]</x:v>
      </x:c>
      <x:c r="AQ21" s="10" t="str">
        <x:v>IEK:010300103_</x:v>
      </x:c>
      <x:c r="AR21" s="24" t="n">
        <x:v>1</x:v>
      </x:c>
      <x:c r="AS21" s="24" t="n">
        <x:v>0</x:v>
      </x:c>
      <x:c r="AT21" s="24" t="n">
        <x:v>0</x:v>
      </x:c>
    </x:row>
    <x:row r="22" ht="64" customHeight="1">
      <x:c r="A22" s="11" t="str">
        <x:v>IEK</x:v>
      </x:c>
      <x:c r="B22" s="33" t="str">
        <x:v>010300108_</x:v>
      </x:c>
      <x:c r="C22" s="33"/>
      <x:c r="D22" s="12" t="str">
        <x:v>УЗО АД 14  (4ф) 50А (300мА) IEK (24) !!!</x:v>
      </x:c>
      <x:c r="E22" s="11" t="str">
        <x:v>шт</x:v>
      </x:c>
      <x:c r="F22" s="35" t="n">
        <x:f>MAX(0,ROUNDDOWN((AG22-AF22)/AR22+0.000000001,0)*AR22)</x:f>
        <x:v>2</x:v>
      </x:c>
      <x:c r="G22" s="20" t="str">
        <x:f>IF(J22="Рассчитано",V22*(1-R22/100)-W22-P22-Q22,"н/д")</x:f>
        <x:v>н/д</x:v>
      </x:c>
      <x:c r="H22" s="12" t="str">
        <x:v>Высокий</x:v>
      </x:c>
      <x:c r="I22" s="12" t="str">
        <x:v>Высокий</x:v>
      </x:c>
      <x:c r="J22" s="12" t="str">
        <x:f>IF(L22="","Укажите валюту",IF(NOT(ISNUMBER(K22)),"Укажите объём",IF(K22&lt;=0,"Укажите объём",IF(K22&gt;F22,"Объём выше излишка",IF(COUNT(M22:O22)&lt;3,"Нужны цены",IF(COUNT(P22:R22)&lt;3,"Нужны расходы",IF(OR(M22&lt;0,N22&lt;0,O22&lt;0,O22&gt;100,P22&lt;0,Q22&lt;0,R22&lt;0,R22&gt;100),"Проверьте значения","Рассчитано")))))))</x:f>
        <x:v>Нужны цены</x:v>
      </x:c>
      <x:c r="K22" s="36" t="n">
        <x:v>2</x:v>
      </x:c>
      <x:c r="L22" s="19" t="str">
        <x:v>KZT</x:v>
      </x:c>
      <x:c r="M22" s="22"/>
      <x:c r="N22" s="22"/>
      <x:c r="O22" s="28"/>
      <x:c r="P22" s="22"/>
      <x:c r="Q22" s="22"/>
      <x:c r="R22" s="28"/>
      <x:c r="S22" s="22"/>
      <x:c r="T22" s="35" t="n">
        <x:f>K22</x:f>
        <x:v>2</x:v>
      </x:c>
      <x:c r="U22" s="20" t="str">
        <x:f>IF(J22="Рассчитано",N22*(1-O22/100),"н/д")</x:f>
        <x:v>н/д</x:v>
      </x:c>
      <x:c r="V22" s="20" t="str">
        <x:f>IF(J22="Рассчитано",T22*U22,"н/д")</x:f>
        <x:v>н/д</x:v>
      </x:c>
      <x:c r="W22" s="20" t="str">
        <x:f>IF(J22="Рассчитано",T22*M22,"н/д")</x:f>
        <x:v>н/д</x:v>
      </x:c>
      <x:c r="X22" s="20" t="str">
        <x:f>IF(J22="Рассчитано",V22-W22,"н/д")</x:f>
        <x:v>н/д</x:v>
      </x:c>
      <x:c r="Y22" s="26" t="str">
        <x:f>IF(J22="Рассчитано",IF(V22&gt;0,G22/V22,"н/д"),"н/д")</x:f>
        <x:v>н/д</x:v>
      </x:c>
      <x:c r="Z22" s="20" t="str">
        <x:f>"н/д"</x:f>
        <x:v>н/д</x:v>
      </x:c>
      <x:c r="AA22" s="20" t="str">
        <x:f>"н/д"</x:f>
        <x:v>н/д</x:v>
      </x:c>
      <x:c r="AB22" s="20" t="str">
        <x:f>"н/д"</x:f>
        <x:v>н/д</x:v>
      </x:c>
      <x:c r="AC22" s="20" t="str">
        <x:f>IF(AND(J22="Рассчитано",T22&gt;0,R22&lt;100),(W22+P22+Q22)/(T22*(1-R22/100)),"н/д")</x:f>
        <x:v>н/д</x:v>
      </x:c>
      <x:c r="AD22" s="11" t="str">
        <x:f>IF(ISNUMBER(G22),IF(G22&lt;0,"Убыток",IF(G22=0,"Без прибыли","Прибыль &gt; 0")),"Не оценён")</x:f>
        <x:v>Не оценён</x:v>
      </x:c>
      <x:c r="AE22" s="12" t="str">
        <x:f>IF(J22="Рассчитано","Выручка "&amp;TEXT(V22,"0.00")&amp;" - себестоимость "&amp;TEXT(W22,"0.00")&amp;" - комиссия "&amp;TEXT(V22*R22/100,"0.00")&amp;" - доставка "&amp;TEXT(P22,"0.00")&amp;" - прочие "&amp;TEXT(Q22,"0.00")&amp;" = "&amp;TEXT(G22,"0.00")&amp;" "&amp;L22,"Введите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" s="23" t="n">
        <x:v>0.6845053365855409</x:v>
      </x:c>
      <x:c r="AG22" s="35" t="n">
        <x:v>3</x:v>
      </x:c>
      <x:c r="AH22" s="35" t="n">
        <x:v>0</x:v>
      </x:c>
      <x:c r="AI22" s="29" t="n">
        <x:v>46266</x:v>
      </x:c>
      <x:c r="AJ22" s="35"/>
      <x:c r="AK22" s="11" t="str">
        <x:v>неизвестно</x:v>
      </x:c>
      <x:c r="AL22" s="31" t="n">
        <x:v>372.7034909369274</x:v>
      </x:c>
      <x:c r="AM22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22" s="12" t="str">
        <x:v>Проверить свободный остаток и установить цену для B2B</x:v>
      </x:c>
      <x:c r="AO22" s="12" t="str">
        <x:v>Остаток 3; прогноз 90 дней 0.68; избыток 2 шт. Будущие поступления не выставляются на продажу. Остаток на начало сентября: требуется актуализация.</x:v>
      </x:c>
      <x:c r="AP22" s="12" t="str">
        <x:v>["category_missing", "daily_stockout_data_missing", "moq_missing", "new_order_lead_time_unknown", "reservations_unknown", "stale_stock", "supplier_sku_missing"]</x:v>
      </x:c>
      <x:c r="AQ22" s="11" t="str">
        <x:v>IEK:010300108_</x:v>
      </x:c>
      <x:c r="AR22" s="23" t="n">
        <x:v>1</x:v>
      </x:c>
      <x:c r="AS22" s="23" t="n">
        <x:v>0</x:v>
      </x:c>
      <x:c r="AT22" s="23" t="n">
        <x:v>0</x:v>
      </x:c>
    </x:row>
    <x:row r="23" ht="64" customHeight="1">
      <x:c r="A23" s="10" t="str">
        <x:v>IEK</x:v>
      </x:c>
      <x:c r="B23" s="34" t="str">
        <x:v>010300122_</x:v>
      </x:c>
      <x:c r="C23" s="34"/>
      <x:c r="D23" s="13" t="str">
        <x:v>УЗО АД 14  (4ф) 32А (300мА) IEK (24) !!!</x:v>
      </x:c>
      <x:c r="E23" s="10" t="str">
        <x:v>шт</x:v>
      </x:c>
      <x:c r="F23" s="37" t="n">
        <x:f>MAX(0,ROUNDDOWN((AG23-AF23)/AR23+0.000000001,0)*AR23)</x:f>
        <x:v>5</x:v>
      </x:c>
      <x:c r="G23" s="21" t="str">
        <x:f>IF(J23="Рассчитано",V23*(1-R23/100)-W23-P23-Q23,"н/д")</x:f>
        <x:v>н/д</x:v>
      </x:c>
      <x:c r="H23" s="13" t="str">
        <x:v>Высокий</x:v>
      </x:c>
      <x:c r="I23" s="13" t="str">
        <x:v>Высокий</x:v>
      </x:c>
      <x:c r="J23" s="13" t="str">
        <x:f>IF(L23="","Укажите валюту",IF(NOT(ISNUMBER(K23)),"Укажите объём",IF(K23&lt;=0,"Укажите объём",IF(K23&gt;F23,"Объём выше излишка",IF(COUNT(M23:O23)&lt;3,"Нужны цены",IF(COUNT(P23:R23)&lt;3,"Нужны расходы",IF(OR(M23&lt;0,N23&lt;0,O23&lt;0,O23&gt;100,P23&lt;0,Q23&lt;0,R23&lt;0,R23&gt;100),"Проверьте значения","Рассчитано")))))))</x:f>
        <x:v>Нужны цены</x:v>
      </x:c>
      <x:c r="K23" s="36" t="n">
        <x:v>5</x:v>
      </x:c>
      <x:c r="L23" s="19" t="str">
        <x:v>KZT</x:v>
      </x:c>
      <x:c r="M23" s="22"/>
      <x:c r="N23" s="22"/>
      <x:c r="O23" s="28"/>
      <x:c r="P23" s="22"/>
      <x:c r="Q23" s="22"/>
      <x:c r="R23" s="28"/>
      <x:c r="S23" s="22"/>
      <x:c r="T23" s="37" t="n">
        <x:f>K23</x:f>
        <x:v>5</x:v>
      </x:c>
      <x:c r="U23" s="21" t="str">
        <x:f>IF(J23="Рассчитано",N23*(1-O23/100),"н/д")</x:f>
        <x:v>н/д</x:v>
      </x:c>
      <x:c r="V23" s="21" t="str">
        <x:f>IF(J23="Рассчитано",T23*U23,"н/д")</x:f>
        <x:v>н/д</x:v>
      </x:c>
      <x:c r="W23" s="21" t="str">
        <x:f>IF(J23="Рассчитано",T23*M23,"н/д")</x:f>
        <x:v>н/д</x:v>
      </x:c>
      <x:c r="X23" s="21" t="str">
        <x:f>IF(J23="Рассчитано",V23-W23,"н/д")</x:f>
        <x:v>н/д</x:v>
      </x:c>
      <x:c r="Y23" s="27" t="str">
        <x:f>IF(J23="Рассчитано",IF(V23&gt;0,G23/V23,"н/д"),"н/д")</x:f>
        <x:v>н/д</x:v>
      </x:c>
      <x:c r="Z23" s="21" t="str">
        <x:f>"н/д"</x:f>
        <x:v>н/д</x:v>
      </x:c>
      <x:c r="AA23" s="21" t="str">
        <x:f>"н/д"</x:f>
        <x:v>н/д</x:v>
      </x:c>
      <x:c r="AB23" s="21" t="str">
        <x:f>"н/д"</x:f>
        <x:v>н/д</x:v>
      </x:c>
      <x:c r="AC23" s="21" t="str">
        <x:f>IF(AND(J23="Рассчитано",T23&gt;0,R23&lt;100),(W23+P23+Q23)/(T23*(1-R23/100)),"н/д")</x:f>
        <x:v>н/д</x:v>
      </x:c>
      <x:c r="AD23" s="10" t="str">
        <x:f>IF(ISNUMBER(G23),IF(G23&lt;0,"Убыток",IF(G23=0,"Без прибыли","Прибыль &gt; 0")),"Не оценён")</x:f>
        <x:v>Не оценён</x:v>
      </x:c>
      <x:c r="AE23" s="13" t="str">
        <x:f>IF(J23="Рассчитано","Выручка "&amp;TEXT(V23,"0.00")&amp;" - себестоимость "&amp;TEXT(W23,"0.00")&amp;" - комиссия "&amp;TEXT(V23*R23/100,"0.00")&amp;" - доставка "&amp;TEXT(P23,"0.00")&amp;" - прочие "&amp;TEXT(Q23,"0.00")&amp;" = "&amp;TEXT(G23,"0.00")&amp;" "&amp;L23,"Введите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" s="24" t="n">
        <x:v>0.8918657473101873</x:v>
      </x:c>
      <x:c r="AG23" s="37" t="n">
        <x:v>6</x:v>
      </x:c>
      <x:c r="AH23" s="37" t="n">
        <x:v>0</x:v>
      </x:c>
      <x:c r="AI23" s="30" t="n">
        <x:v>46266</x:v>
      </x:c>
      <x:c r="AJ23" s="37"/>
      <x:c r="AK23" s="10" t="str">
        <x:v>неизвестно</x:v>
      </x:c>
      <x:c r="AL23" s="32" t="n">
        <x:v>572.0985008782017</x:v>
      </x:c>
      <x:c r="AM23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23" s="13" t="str">
        <x:v>Проверить свободный остаток и установить цену для B2B</x:v>
      </x:c>
      <x:c r="AO23" s="13" t="str">
        <x:v>Остаток 6; прогноз 90 дней 0.89; избыток 5 шт. Будущие поступления не выставляются на продажу. Остаток на начало сентября: требуется актуализация.</x:v>
      </x:c>
      <x:c r="AP23" s="13" t="str">
        <x:v>["category_missing", "daily_stockout_data_missing", "moq_missing", "new_order_lead_time_unknown", "reservations_unknown", "stale_stock", "supplier_sku_missing"]</x:v>
      </x:c>
      <x:c r="AQ23" s="10" t="str">
        <x:v>IEK:010300122_</x:v>
      </x:c>
      <x:c r="AR23" s="24" t="n">
        <x:v>1</x:v>
      </x:c>
      <x:c r="AS23" s="24" t="n">
        <x:v>0</x:v>
      </x:c>
      <x:c r="AT23" s="24" t="n">
        <x:v>0</x:v>
      </x:c>
    </x:row>
    <x:row r="24" ht="64" customHeight="1">
      <x:c r="A24" s="11" t="str">
        <x:v>IEK</x:v>
      </x:c>
      <x:c r="B24" s="33" t="str">
        <x:v>010300131_</x:v>
      </x:c>
      <x:c r="C24" s="33"/>
      <x:c r="D24" s="12" t="str">
        <x:v>УЗО ВД1-63 (4ф) 50А 300мА IEK  (1/24) !!!</x:v>
      </x:c>
      <x:c r="E24" s="11" t="str">
        <x:v>шт</x:v>
      </x:c>
      <x:c r="F24" s="35" t="n">
        <x:f>MAX(0,ROUNDDOWN((AG24-AF24)/AR24+0.000000001,0)*AR24)</x:f>
        <x:v>8</x:v>
      </x:c>
      <x:c r="G24" s="20" t="str">
        <x:f>IF(J24="Рассчитано",V24*(1-R24/100)-W24-P24-Q24,"н/д")</x:f>
        <x:v>н/д</x:v>
      </x:c>
      <x:c r="H24" s="12" t="str">
        <x:v>Высокий</x:v>
      </x:c>
      <x:c r="I24" s="12" t="str">
        <x:v>Высокий</x:v>
      </x:c>
      <x:c r="J24" s="12" t="str">
        <x:f>IF(L24="","Укажите валюту",IF(NOT(ISNUMBER(K24)),"Укажите объём",IF(K24&lt;=0,"Укажите объём",IF(K24&gt;F24,"Объём выше излишка",IF(COUNT(M24:O24)&lt;3,"Нужны цены",IF(COUNT(P24:R24)&lt;3,"Нужны расходы",IF(OR(M24&lt;0,N24&lt;0,O24&lt;0,O24&gt;100,P24&lt;0,Q24&lt;0,R24&lt;0,R24&gt;100),"Проверьте значения","Рассчитано")))))))</x:f>
        <x:v>Нужны цены</x:v>
      </x:c>
      <x:c r="K24" s="36" t="n">
        <x:v>8</x:v>
      </x:c>
      <x:c r="L24" s="19" t="str">
        <x:v>KZT</x:v>
      </x:c>
      <x:c r="M24" s="22"/>
      <x:c r="N24" s="22"/>
      <x:c r="O24" s="28"/>
      <x:c r="P24" s="22"/>
      <x:c r="Q24" s="22"/>
      <x:c r="R24" s="28"/>
      <x:c r="S24" s="22"/>
      <x:c r="T24" s="35" t="n">
        <x:f>K24</x:f>
        <x:v>8</x:v>
      </x:c>
      <x:c r="U24" s="20" t="str">
        <x:f>IF(J24="Рассчитано",N24*(1-O24/100),"н/д")</x:f>
        <x:v>н/д</x:v>
      </x:c>
      <x:c r="V24" s="20" t="str">
        <x:f>IF(J24="Рассчитано",T24*U24,"н/д")</x:f>
        <x:v>н/д</x:v>
      </x:c>
      <x:c r="W24" s="20" t="str">
        <x:f>IF(J24="Рассчитано",T24*M24,"н/д")</x:f>
        <x:v>н/д</x:v>
      </x:c>
      <x:c r="X24" s="20" t="str">
        <x:f>IF(J24="Рассчитано",V24-W24,"н/д")</x:f>
        <x:v>н/д</x:v>
      </x:c>
      <x:c r="Y24" s="26" t="str">
        <x:f>IF(J24="Рассчитано",IF(V24&gt;0,G24/V24,"н/д"),"н/д")</x:f>
        <x:v>н/д</x:v>
      </x:c>
      <x:c r="Z24" s="20" t="str">
        <x:f>"н/д"</x:f>
        <x:v>н/д</x:v>
      </x:c>
      <x:c r="AA24" s="20" t="str">
        <x:f>"н/д"</x:f>
        <x:v>н/д</x:v>
      </x:c>
      <x:c r="AB24" s="20" t="str">
        <x:f>"н/д"</x:f>
        <x:v>н/д</x:v>
      </x:c>
      <x:c r="AC24" s="20" t="str">
        <x:f>IF(AND(J24="Рассчитано",T24&gt;0,R24&lt;100),(W24+P24+Q24)/(T24*(1-R24/100)),"н/д")</x:f>
        <x:v>н/д</x:v>
      </x:c>
      <x:c r="AD24" s="11" t="str">
        <x:f>IF(ISNUMBER(G24),IF(G24&lt;0,"Убыток",IF(G24=0,"Без прибыли","Прибыль &gt; 0")),"Не оценён")</x:f>
        <x:v>Не оценён</x:v>
      </x:c>
      <x:c r="AE24" s="12" t="str">
        <x:f>IF(J24="Рассчитано","Выручка "&amp;TEXT(V24,"0.00")&amp;" - себестоимость "&amp;TEXT(W24,"0.00")&amp;" - комиссия "&amp;TEXT(V24*R24/100,"0.00")&amp;" - доставка "&amp;TEXT(P24,"0.00")&amp;" - прочие "&amp;TEXT(Q24,"0.00")&amp;" = "&amp;TEXT(G24,"0.00")&amp;" "&amp;L24,"Введите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" s="23" t="n">
        <x:v>0.1688218302959816</x:v>
      </x:c>
      <x:c r="AG24" s="35" t="n">
        <x:v>9</x:v>
      </x:c>
      <x:c r="AH24" s="35" t="n">
        <x:v>0</x:v>
      </x:c>
      <x:c r="AI24" s="29" t="n">
        <x:v>46266</x:v>
      </x:c>
      <x:c r="AJ24" s="35"/>
      <x:c r="AK24" s="11" t="str">
        <x:v>неизвестно</x:v>
      </x:c>
      <x:c r="AL24" s="31" t="n">
        <x:v>4533.4929978506425</x:v>
      </x:c>
      <x:c r="AM24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24" s="12" t="str">
        <x:v>Проверить свободный остаток и установить цену для B2B</x:v>
      </x:c>
      <x:c r="AO24" s="12" t="str">
        <x:v>Остаток 9; прогноз 90 дней 0.17; избыток 8 шт. Будущие поступления не выставляются на продажу. Остаток на начало сентября: требуется актуализация.</x:v>
      </x:c>
      <x:c r="AP24" s="12" t="str">
        <x:v>["category_missing", "daily_stockout_data_missing", "moq_missing", "new_order_lead_time_unknown", "reservations_unknown", "stale_stock", "supplier_sku_missing"]</x:v>
      </x:c>
      <x:c r="AQ24" s="11" t="str">
        <x:v>IEK:010300131_</x:v>
      </x:c>
      <x:c r="AR24" s="23" t="n">
        <x:v>1</x:v>
      </x:c>
      <x:c r="AS24" s="23" t="n">
        <x:v>0</x:v>
      </x:c>
      <x:c r="AT24" s="23" t="n">
        <x:v>0</x:v>
      </x:c>
    </x:row>
    <x:row r="25" ht="64" customHeight="1">
      <x:c r="A25" s="10" t="str">
        <x:v>IEK</x:v>
      </x:c>
      <x:c r="B25" s="34" t="str">
        <x:v>010300142_</x:v>
      </x:c>
      <x:c r="C25" s="34"/>
      <x:c r="D25" s="13" t="str">
        <x:v>УЗО ВД1 63 (2ф) 80А 30мА IEK  (48) !!!</x:v>
      </x:c>
      <x:c r="E25" s="10" t="str">
        <x:v>шт</x:v>
      </x:c>
      <x:c r="F25" s="37" t="n">
        <x:f>MAX(0,ROUNDDOWN((AG25-AF25)/AR25+0.000000001,0)*AR25)</x:f>
        <x:v>2</x:v>
      </x:c>
      <x:c r="G25" s="21" t="str">
        <x:f>IF(J25="Рассчитано",V25*(1-R25/100)-W25-P25-Q25,"н/д")</x:f>
        <x:v>н/д</x:v>
      </x:c>
      <x:c r="H25" s="13" t="str">
        <x:v>Высокий</x:v>
      </x:c>
      <x:c r="I25" s="13" t="str">
        <x:v>Высокий</x:v>
      </x:c>
      <x:c r="J25" s="13" t="str">
        <x:f>IF(L25="","Укажите валюту",IF(NOT(ISNUMBER(K25)),"Укажите объём",IF(K25&lt;=0,"Укажите объём",IF(K25&gt;F25,"Объём выше излишка",IF(COUNT(M25:O25)&lt;3,"Нужны цены",IF(COUNT(P25:R25)&lt;3,"Нужны расходы",IF(OR(M25&lt;0,N25&lt;0,O25&lt;0,O25&gt;100,P25&lt;0,Q25&lt;0,R25&lt;0,R25&gt;100),"Проверьте значения","Рассчитано")))))))</x:f>
        <x:v>Нужны цены</x:v>
      </x:c>
      <x:c r="K25" s="36" t="n">
        <x:v>2</x:v>
      </x:c>
      <x:c r="L25" s="19" t="str">
        <x:v>KZT</x:v>
      </x:c>
      <x:c r="M25" s="22"/>
      <x:c r="N25" s="22"/>
      <x:c r="O25" s="28"/>
      <x:c r="P25" s="22"/>
      <x:c r="Q25" s="22"/>
      <x:c r="R25" s="28"/>
      <x:c r="S25" s="22"/>
      <x:c r="T25" s="37" t="n">
        <x:f>K25</x:f>
        <x:v>2</x:v>
      </x:c>
      <x:c r="U25" s="21" t="str">
        <x:f>IF(J25="Рассчитано",N25*(1-O25/100),"н/д")</x:f>
        <x:v>н/д</x:v>
      </x:c>
      <x:c r="V25" s="21" t="str">
        <x:f>IF(J25="Рассчитано",T25*U25,"н/д")</x:f>
        <x:v>н/д</x:v>
      </x:c>
      <x:c r="W25" s="21" t="str">
        <x:f>IF(J25="Рассчитано",T25*M25,"н/д")</x:f>
        <x:v>н/д</x:v>
      </x:c>
      <x:c r="X25" s="21" t="str">
        <x:f>IF(J25="Рассчитано",V25-W25,"н/д")</x:f>
        <x:v>н/д</x:v>
      </x:c>
      <x:c r="Y25" s="27" t="str">
        <x:f>IF(J25="Рассчитано",IF(V25&gt;0,G25/V25,"н/д"),"н/д")</x:f>
        <x:v>н/д</x:v>
      </x:c>
      <x:c r="Z25" s="21" t="str">
        <x:f>"н/д"</x:f>
        <x:v>н/д</x:v>
      </x:c>
      <x:c r="AA25" s="21" t="str">
        <x:f>"н/д"</x:f>
        <x:v>н/д</x:v>
      </x:c>
      <x:c r="AB25" s="21" t="str">
        <x:f>"н/д"</x:f>
        <x:v>н/д</x:v>
      </x:c>
      <x:c r="AC25" s="21" t="str">
        <x:f>IF(AND(J25="Рассчитано",T25&gt;0,R25&lt;100),(W25+P25+Q25)/(T25*(1-R25/100)),"н/д")</x:f>
        <x:v>н/д</x:v>
      </x:c>
      <x:c r="AD25" s="10" t="str">
        <x:f>IF(ISNUMBER(G25),IF(G25&lt;0,"Убыток",IF(G25=0,"Без прибыли","Прибыль &gt; 0")),"Не оценён")</x:f>
        <x:v>Не оценён</x:v>
      </x:c>
      <x:c r="AE25" s="13" t="str">
        <x:f>IF(J25="Рассчитано","Выручка "&amp;TEXT(V25,"0.00")&amp;" - себестоимость "&amp;TEXT(W25,"0.00")&amp;" - комиссия "&amp;TEXT(V25*R25/100,"0.00")&amp;" - доставка "&amp;TEXT(P25,"0.00")&amp;" - прочие "&amp;TEXT(Q25,"0.00")&amp;" = "&amp;TEXT(G25,"0.00")&amp;" "&amp;L25,"Введите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" s="24" t="n">
        <x:v>0.228628646455828</x:v>
      </x:c>
      <x:c r="AG25" s="37" t="n">
        <x:v>3</x:v>
      </x:c>
      <x:c r="AH25" s="37" t="n">
        <x:v>0</x:v>
      </x:c>
      <x:c r="AI25" s="30" t="n">
        <x:v>46266</x:v>
      </x:c>
      <x:c r="AJ25" s="37"/>
      <x:c r="AK25" s="10" t="str">
        <x:v>неизвестно</x:v>
      </x:c>
      <x:c r="AL25" s="32" t="n">
        <x:v>1115.8598559943673</x:v>
      </x:c>
      <x:c r="AM25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25" s="13" t="str">
        <x:v>Проверить свободный остаток и установить цену для B2B</x:v>
      </x:c>
      <x:c r="AO25" s="13" t="str">
        <x:v>Остаток 3; прогноз 90 дней 0.23; избыток 2 шт. Будущие поступления не выставляются на продажу. Остаток на начало сентября: требуется актуализация.</x:v>
      </x:c>
      <x:c r="AP25" s="13" t="str">
        <x:v>["category_missing", "daily_stockout_data_missing", "moq_missing", "new_order_lead_time_unknown", "reservations_unknown", "stale_stock", "supplier_sku_missing"]</x:v>
      </x:c>
      <x:c r="AQ25" s="10" t="str">
        <x:v>IEK:010300142_</x:v>
      </x:c>
      <x:c r="AR25" s="24" t="n">
        <x:v>1</x:v>
      </x:c>
      <x:c r="AS25" s="24" t="n">
        <x:v>0</x:v>
      </x:c>
      <x:c r="AT25" s="24" t="n">
        <x:v>0</x:v>
      </x:c>
    </x:row>
    <x:row r="26" ht="64" customHeight="1">
      <x:c r="A26" s="11" t="str">
        <x:v>IEK</x:v>
      </x:c>
      <x:c r="B26" s="33" t="str">
        <x:v>010300188_</x:v>
      </x:c>
      <x:c r="C26" s="33"/>
      <x:c r="D26" s="12" t="str">
        <x:v>УЗО АД 12  (2ф) 25А 100мА IEK !!!</x:v>
      </x:c>
      <x:c r="E26" s="11" t="str">
        <x:v>шт</x:v>
      </x:c>
      <x:c r="F26" s="35" t="n">
        <x:f>MAX(0,ROUNDDOWN((AG26-AF26)/AR26+0.000000001,0)*AR26)</x:f>
        <x:v>4</x:v>
      </x:c>
      <x:c r="G26" s="20" t="str">
        <x:f>IF(J26="Рассчитано",V26*(1-R26/100)-W26-P26-Q26,"н/д")</x:f>
        <x:v>н/д</x:v>
      </x:c>
      <x:c r="H26" s="12" t="str">
        <x:v>Высокий</x:v>
      </x:c>
      <x:c r="I26" s="12" t="str">
        <x:v>Высокий</x:v>
      </x:c>
      <x:c r="J26" s="12" t="str">
        <x:f>IF(L26="","Укажите валюту",IF(NOT(ISNUMBER(K26)),"Укажите объём",IF(K26&lt;=0,"Укажите объём",IF(K26&gt;F26,"Объём выше излишка",IF(COUNT(M26:O26)&lt;3,"Нужны цены",IF(COUNT(P26:R26)&lt;3,"Нужны расходы",IF(OR(M26&lt;0,N26&lt;0,O26&lt;0,O26&gt;100,P26&lt;0,Q26&lt;0,R26&lt;0,R26&gt;100),"Проверьте значения","Рассчитано")))))))</x:f>
        <x:v>Нужны цены</x:v>
      </x:c>
      <x:c r="K26" s="36" t="n">
        <x:v>4</x:v>
      </x:c>
      <x:c r="L26" s="19" t="str">
        <x:v>KZT</x:v>
      </x:c>
      <x:c r="M26" s="22"/>
      <x:c r="N26" s="22"/>
      <x:c r="O26" s="28"/>
      <x:c r="P26" s="22"/>
      <x:c r="Q26" s="22"/>
      <x:c r="R26" s="28"/>
      <x:c r="S26" s="22"/>
      <x:c r="T26" s="35" t="n">
        <x:f>K26</x:f>
        <x:v>4</x:v>
      </x:c>
      <x:c r="U26" s="20" t="str">
        <x:f>IF(J26="Рассчитано",N26*(1-O26/100),"н/д")</x:f>
        <x:v>н/д</x:v>
      </x:c>
      <x:c r="V26" s="20" t="str">
        <x:f>IF(J26="Рассчитано",T26*U26,"н/д")</x:f>
        <x:v>н/д</x:v>
      </x:c>
      <x:c r="W26" s="20" t="str">
        <x:f>IF(J26="Рассчитано",T26*M26,"н/д")</x:f>
        <x:v>н/д</x:v>
      </x:c>
      <x:c r="X26" s="20" t="str">
        <x:f>IF(J26="Рассчитано",V26-W26,"н/д")</x:f>
        <x:v>н/д</x:v>
      </x:c>
      <x:c r="Y26" s="26" t="str">
        <x:f>IF(J26="Рассчитано",IF(V26&gt;0,G26/V26,"н/д"),"н/д")</x:f>
        <x:v>н/д</x:v>
      </x:c>
      <x:c r="Z26" s="20" t="str">
        <x:f>"н/д"</x:f>
        <x:v>н/д</x:v>
      </x:c>
      <x:c r="AA26" s="20" t="str">
        <x:f>"н/д"</x:f>
        <x:v>н/д</x:v>
      </x:c>
      <x:c r="AB26" s="20" t="str">
        <x:f>"н/д"</x:f>
        <x:v>н/д</x:v>
      </x:c>
      <x:c r="AC26" s="20" t="str">
        <x:f>IF(AND(J26="Рассчитано",T26&gt;0,R26&lt;100),(W26+P26+Q26)/(T26*(1-R26/100)),"н/д")</x:f>
        <x:v>н/д</x:v>
      </x:c>
      <x:c r="AD26" s="11" t="str">
        <x:f>IF(ISNUMBER(G26),IF(G26&lt;0,"Убыток",IF(G26=0,"Без прибыли","Прибыль &gt; 0")),"Не оценён")</x:f>
        <x:v>Не оценён</x:v>
      </x:c>
      <x:c r="AE26" s="12" t="str">
        <x:f>IF(J26="Рассчитано","Выручка "&amp;TEXT(V26,"0.00")&amp;" - себестоимость "&amp;TEXT(W26,"0.00")&amp;" - комиссия "&amp;TEXT(V26*R26/100,"0.00")&amp;" - доставка "&amp;TEXT(P26,"0.00")&amp;" - прочие "&amp;TEXT(Q26,"0.00")&amp;" = "&amp;TEXT(G26,"0.00")&amp;" "&amp;L26,"Введите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" s="23" t="n">
        <x:v>0.24563105835752594</x:v>
      </x:c>
      <x:c r="AG26" s="35" t="n">
        <x:v>5</x:v>
      </x:c>
      <x:c r="AH26" s="35" t="n">
        <x:v>0</x:v>
      </x:c>
      <x:c r="AI26" s="29" t="n">
        <x:v>46266</x:v>
      </x:c>
      <x:c r="AJ26" s="35"/>
      <x:c r="AK26" s="11" t="str">
        <x:v>неизвестно</x:v>
      </x:c>
      <x:c r="AL26" s="31" t="n">
        <x:v>1731.0346814194634</x:v>
      </x:c>
      <x:c r="AM26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26" s="12" t="str">
        <x:v>Проверить свободный остаток и установить цену для B2B</x:v>
      </x:c>
      <x:c r="AO26" s="12" t="str">
        <x:v>Остаток 5; прогноз 90 дней 0.25; избыток 4 шт. Будущие поступления не выставляются на продажу. Остаток на начало сентября: требуется актуализация.</x:v>
      </x:c>
      <x:c r="AP26" s="12" t="str">
        <x:v>["category_missing", "daily_stockout_data_missing", "moq_missing", "new_order_lead_time_unknown", "reservations_unknown", "stale_stock", "supplier_sku_missing"]</x:v>
      </x:c>
      <x:c r="AQ26" s="11" t="str">
        <x:v>IEK:010300188_</x:v>
      </x:c>
      <x:c r="AR26" s="23" t="n">
        <x:v>1</x:v>
      </x:c>
      <x:c r="AS26" s="23" t="n">
        <x:v>0</x:v>
      </x:c>
      <x:c r="AT26" s="23" t="n">
        <x:v>0</x:v>
      </x:c>
    </x:row>
    <x:row r="27" ht="64" customHeight="1">
      <x:c r="A27" s="10" t="str">
        <x:v>IEK</x:v>
      </x:c>
      <x:c r="B27" s="34" t="str">
        <x:v>010300239_</x:v>
      </x:c>
      <x:c r="C27" s="34" t="str">
        <x:v>KA-DP11-1-016-C</x:v>
      </x:c>
      <x:c r="D27" s="13" t="str">
        <x:v>УЗДП c авт. выкл. 1P+N C 16A KARAT IEK</x:v>
      </x:c>
      <x:c r="E27" s="10" t="str">
        <x:v>шт</x:v>
      </x:c>
      <x:c r="F27" s="37" t="n">
        <x:f>MAX(0,ROUNDDOWN((AG27-AF27)/AR27+0.000000001,0)*AR27)</x:f>
        <x:v>3</x:v>
      </x:c>
      <x:c r="G27" s="21" t="str">
        <x:f>IF(J27="Рассчитано",V27*(1-R27/100)-W27-P27-Q27,"н/д")</x:f>
        <x:v>н/д</x:v>
      </x:c>
      <x:c r="H27" s="13" t="str">
        <x:v>Высокий</x:v>
      </x:c>
      <x:c r="I27" s="13" t="str">
        <x:v>Высокий</x:v>
      </x:c>
      <x:c r="J27" s="13" t="str">
        <x:f>IF(L27="","Укажите валюту",IF(NOT(ISNUMBER(K27)),"Укажите объём",IF(K27&lt;=0,"Укажите объём",IF(K27&gt;F27,"Объём выше излишка",IF(COUNT(M27:O27)&lt;3,"Нужны цены",IF(COUNT(P27:R27)&lt;3,"Нужны расходы",IF(OR(M27&lt;0,N27&lt;0,O27&lt;0,O27&gt;100,P27&lt;0,Q27&lt;0,R27&lt;0,R27&gt;100),"Проверьте значения","Рассчитано")))))))</x:f>
        <x:v>Нужны цены</x:v>
      </x:c>
      <x:c r="K27" s="36" t="n">
        <x:v>3</x:v>
      </x:c>
      <x:c r="L27" s="19" t="str">
        <x:v>KZT</x:v>
      </x:c>
      <x:c r="M27" s="22"/>
      <x:c r="N27" s="22"/>
      <x:c r="O27" s="28"/>
      <x:c r="P27" s="22"/>
      <x:c r="Q27" s="22"/>
      <x:c r="R27" s="28"/>
      <x:c r="S27" s="22"/>
      <x:c r="T27" s="37" t="n">
        <x:f>K27</x:f>
        <x:v>3</x:v>
      </x:c>
      <x:c r="U27" s="21" t="str">
        <x:f>IF(J27="Рассчитано",N27*(1-O27/100),"н/д")</x:f>
        <x:v>н/д</x:v>
      </x:c>
      <x:c r="V27" s="21" t="str">
        <x:f>IF(J27="Рассчитано",T27*U27,"н/д")</x:f>
        <x:v>н/д</x:v>
      </x:c>
      <x:c r="W27" s="21" t="str">
        <x:f>IF(J27="Рассчитано",T27*M27,"н/д")</x:f>
        <x:v>н/д</x:v>
      </x:c>
      <x:c r="X27" s="21" t="str">
        <x:f>IF(J27="Рассчитано",V27-W27,"н/д")</x:f>
        <x:v>н/д</x:v>
      </x:c>
      <x:c r="Y27" s="27" t="str">
        <x:f>IF(J27="Рассчитано",IF(V27&gt;0,G27/V27,"н/д"),"н/д")</x:f>
        <x:v>н/д</x:v>
      </x:c>
      <x:c r="Z27" s="21" t="str">
        <x:f>"н/д"</x:f>
        <x:v>н/д</x:v>
      </x:c>
      <x:c r="AA27" s="21" t="str">
        <x:f>"н/д"</x:f>
        <x:v>н/д</x:v>
      </x:c>
      <x:c r="AB27" s="21" t="str">
        <x:f>"н/д"</x:f>
        <x:v>н/д</x:v>
      </x:c>
      <x:c r="AC27" s="21" t="str">
        <x:f>IF(AND(J27="Рассчитано",T27&gt;0,R27&lt;100),(W27+P27+Q27)/(T27*(1-R27/100)),"н/д")</x:f>
        <x:v>н/д</x:v>
      </x:c>
      <x:c r="AD27" s="10" t="str">
        <x:f>IF(ISNUMBER(G27),IF(G27&lt;0,"Убыток",IF(G27=0,"Без прибыли","Прибыль &gt; 0")),"Не оценён")</x:f>
        <x:v>Не оценён</x:v>
      </x:c>
      <x:c r="AE27" s="13" t="str">
        <x:f>IF(J27="Рассчитано","Выручка "&amp;TEXT(V27,"0.00")&amp;" - себестоимость "&amp;TEXT(W27,"0.00")&amp;" - комиссия "&amp;TEXT(V27*R27/100,"0.00")&amp;" - доставка "&amp;TEXT(P27,"0.00")&amp;" - прочие "&amp;TEXT(Q27,"0.00")&amp;" = "&amp;TEXT(G27,"0.00")&amp;" "&amp;L27,"Введите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" s="24" t="n">
        <x:v>2.005895380949425</x:v>
      </x:c>
      <x:c r="AG27" s="37" t="n">
        <x:v>6</x:v>
      </x:c>
      <x:c r="AH27" s="37" t="n">
        <x:v>0</x:v>
      </x:c>
      <x:c r="AI27" s="30" t="n">
        <x:v>46266</x:v>
      </x:c>
      <x:c r="AJ27" s="37" t="n">
        <x:v>1</x:v>
      </x:c>
      <x:c r="AK27" s="10" t="str">
        <x:v>минимум</x:v>
      </x:c>
      <x:c r="AL27" s="32" t="n">
        <x:v>254.36773117213724</x:v>
      </x:c>
      <x:c r="AM27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27" s="13" t="str">
        <x:v>Проверить свободный остаток и установить цену для B2B</x:v>
      </x:c>
      <x:c r="AO27" s="13" t="str">
        <x:v>Остаток 6; прогноз 90 дней 2.01; избыток 3 шт. Будущие поступления не выставляются на продажу. Остаток на начало сентября: требуется актуализация.</x:v>
      </x:c>
      <x:c r="AP27" s="13" t="str">
        <x:v>["category_missing", "daily_stockout_data_missing", "new_order_lead_time_unknown", "reservations_unknown", "stale_stock", "stockout_proxy_used"]</x:v>
      </x:c>
      <x:c r="AQ27" s="10" t="str">
        <x:v>IEK:010300239_</x:v>
      </x:c>
      <x:c r="AR27" s="24" t="n">
        <x:v>1</x:v>
      </x:c>
      <x:c r="AS27" s="24" t="n">
        <x:v>0</x:v>
      </x:c>
      <x:c r="AT27" s="24" t="n">
        <x:v>0</x:v>
      </x:c>
    </x:row>
    <x:row r="28" ht="64" customHeight="1">
      <x:c r="A28" s="11" t="str">
        <x:v>IEK</x:v>
      </x:c>
      <x:c r="B28" s="33" t="str">
        <x:v>010300251_</x:v>
      </x:c>
      <x:c r="C28" s="33" t="str">
        <x:v>KA-DP10-1-032</x:v>
      </x:c>
      <x:c r="D28" s="12" t="str">
        <x:v>УЗДП 1P+N 32A KARAT IEK</x:v>
      </x:c>
      <x:c r="E28" s="11" t="str">
        <x:v>шт</x:v>
      </x:c>
      <x:c r="F28" s="35" t="n">
        <x:f>MAX(0,ROUNDDOWN((AG28-AF28)/AR28+0.000000001,0)*AR28)</x:f>
        <x:v>1</x:v>
      </x:c>
      <x:c r="G28" s="20" t="str">
        <x:f>IF(J28="Рассчитано",V28*(1-R28/100)-W28-P28-Q28,"н/д")</x:f>
        <x:v>н/д</x:v>
      </x:c>
      <x:c r="H28" s="12" t="str">
        <x:v>Высокий</x:v>
      </x:c>
      <x:c r="I28" s="12" t="str">
        <x:v>Средний</x:v>
      </x:c>
      <x:c r="J28" s="12" t="str">
        <x:f>IF(L28="","Укажите валюту",IF(NOT(ISNUMBER(K28)),"Укажите объём",IF(K28&lt;=0,"Укажите объём",IF(K28&gt;F28,"Объём выше излишка",IF(COUNT(M28:O28)&lt;3,"Нужны цены",IF(COUNT(P28:R28)&lt;3,"Нужны расходы",IF(OR(M28&lt;0,N28&lt;0,O28&lt;0,O28&gt;100,P28&lt;0,Q28&lt;0,R28&lt;0,R28&gt;100),"Проверьте значения","Рассчитано")))))))</x:f>
        <x:v>Нужны цены</x:v>
      </x:c>
      <x:c r="K28" s="36" t="n">
        <x:v>1</x:v>
      </x:c>
      <x:c r="L28" s="19" t="str">
        <x:v>KZT</x:v>
      </x:c>
      <x:c r="M28" s="22"/>
      <x:c r="N28" s="22"/>
      <x:c r="O28" s="28"/>
      <x:c r="P28" s="22"/>
      <x:c r="Q28" s="22"/>
      <x:c r="R28" s="28"/>
      <x:c r="S28" s="22"/>
      <x:c r="T28" s="35" t="n">
        <x:f>K28</x:f>
        <x:v>1</x:v>
      </x:c>
      <x:c r="U28" s="20" t="str">
        <x:f>IF(J28="Рассчитано",N28*(1-O28/100),"н/д")</x:f>
        <x:v>н/д</x:v>
      </x:c>
      <x:c r="V28" s="20" t="str">
        <x:f>IF(J28="Рассчитано",T28*U28,"н/д")</x:f>
        <x:v>н/д</x:v>
      </x:c>
      <x:c r="W28" s="20" t="str">
        <x:f>IF(J28="Рассчитано",T28*M28,"н/д")</x:f>
        <x:v>н/д</x:v>
      </x:c>
      <x:c r="X28" s="20" t="str">
        <x:f>IF(J28="Рассчитано",V28-W28,"н/д")</x:f>
        <x:v>н/д</x:v>
      </x:c>
      <x:c r="Y28" s="26" t="str">
        <x:f>IF(J28="Рассчитано",IF(V28&gt;0,G28/V28,"н/д"),"н/д")</x:f>
        <x:v>н/д</x:v>
      </x:c>
      <x:c r="Z28" s="20" t="str">
        <x:f>"н/д"</x:f>
        <x:v>н/д</x:v>
      </x:c>
      <x:c r="AA28" s="20" t="str">
        <x:f>"н/д"</x:f>
        <x:v>н/д</x:v>
      </x:c>
      <x:c r="AB28" s="20" t="str">
        <x:f>"н/д"</x:f>
        <x:v>н/д</x:v>
      </x:c>
      <x:c r="AC28" s="20" t="str">
        <x:f>IF(AND(J28="Рассчитано",T28&gt;0,R28&lt;100),(W28+P28+Q28)/(T28*(1-R28/100)),"н/д")</x:f>
        <x:v>н/д</x:v>
      </x:c>
      <x:c r="AD28" s="11" t="str">
        <x:f>IF(ISNUMBER(G28),IF(G28&lt;0,"Убыток",IF(G28=0,"Без прибыли","Прибыль &gt; 0")),"Не оценён")</x:f>
        <x:v>Не оценён</x:v>
      </x:c>
      <x:c r="AE28" s="12" t="str">
        <x:f>IF(J28="Рассчитано","Выручка "&amp;TEXT(V28,"0.00")&amp;" - себестоимость "&amp;TEXT(W28,"0.00")&amp;" - комиссия "&amp;TEXT(V28*R28/100,"0.00")&amp;" - доставка "&amp;TEXT(P28,"0.00")&amp;" - прочие "&amp;TEXT(Q28,"0.00")&amp;" = "&amp;TEXT(G28,"0.00")&amp;" "&amp;L28,"Введите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" s="23" t="n">
        <x:v>1.5867684100625787</x:v>
      </x:c>
      <x:c r="AG28" s="35" t="n">
        <x:v>3</x:v>
      </x:c>
      <x:c r="AH28" s="35" t="n">
        <x:v>0</x:v>
      </x:c>
      <x:c r="AI28" s="29" t="n">
        <x:v>46266</x:v>
      </x:c>
      <x:c r="AJ28" s="35" t="n">
        <x:v>1</x:v>
      </x:c>
      <x:c r="AK28" s="11" t="str">
        <x:v>минимум</x:v>
      </x:c>
      <x:c r="AL28" s="31" t="n">
        <x:v>160.7780485750445</x:v>
      </x:c>
      <x:c r="AM28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28" s="12" t="str">
        <x:v>Проверить свободный остаток и установить цену для B2B</x:v>
      </x:c>
      <x:c r="AO28" s="12" t="str">
        <x:v>Остаток 3; прогноз 90 дней 1.59; избыток 1 шт. Будущие поступления не выставляются на продажу. Остаток на начало сентября: требуется актуализация.</x:v>
      </x:c>
      <x:c r="AP28" s="12" t="str">
        <x:v>["category_missing", "daily_stockout_data_missing", "new_order_lead_time_unknown", "reservations_unknown", "stale_stock", "stockout_proxy_used"]</x:v>
      </x:c>
      <x:c r="AQ28" s="11" t="str">
        <x:v>IEK:010300251_</x:v>
      </x:c>
      <x:c r="AR28" s="23" t="n">
        <x:v>1</x:v>
      </x:c>
      <x:c r="AS28" s="23" t="n">
        <x:v>0</x:v>
      </x:c>
      <x:c r="AT28" s="23" t="n">
        <x:v>0</x:v>
      </x:c>
    </x:row>
    <x:row r="29" ht="64" customHeight="1">
      <x:c r="A29" s="10" t="str">
        <x:v>IEK</x:v>
      </x:c>
      <x:c r="B29" s="34" t="str">
        <x:v>010300252_</x:v>
      </x:c>
      <x:c r="C29" s="34" t="str">
        <x:v>KA-DP10-1-063</x:v>
      </x:c>
      <x:c r="D29" s="13" t="str">
        <x:v>УЗДП 1P+N 63A KARAT IEK</x:v>
      </x:c>
      <x:c r="E29" s="10" t="str">
        <x:v>шт</x:v>
      </x:c>
      <x:c r="F29" s="37" t="n">
        <x:f>MAX(0,ROUNDDOWN((AG29-AF29)/AR29+0.000000001,0)*AR29)</x:f>
        <x:v>1</x:v>
      </x:c>
      <x:c r="G29" s="21" t="str">
        <x:f>IF(J29="Рассчитано",V29*(1-R29/100)-W29-P29-Q29,"н/д")</x:f>
        <x:v>н/д</x:v>
      </x:c>
      <x:c r="H29" s="13" t="str">
        <x:v>Высокий</x:v>
      </x:c>
      <x:c r="I29" s="13" t="str">
        <x:v>Средний</x:v>
      </x:c>
      <x:c r="J29" s="13" t="str">
        <x:f>IF(L29="","Укажите валюту",IF(NOT(ISNUMBER(K29)),"Укажите объём",IF(K29&lt;=0,"Укажите объём",IF(K29&gt;F29,"Объём выше излишка",IF(COUNT(M29:O29)&lt;3,"Нужны цены",IF(COUNT(P29:R29)&lt;3,"Нужны расходы",IF(OR(M29&lt;0,N29&lt;0,O29&lt;0,O29&gt;100,P29&lt;0,Q29&lt;0,R29&lt;0,R29&gt;100),"Проверьте значения","Рассчитано")))))))</x:f>
        <x:v>Нужны цены</x:v>
      </x:c>
      <x:c r="K29" s="36" t="n">
        <x:v>1</x:v>
      </x:c>
      <x:c r="L29" s="19" t="str">
        <x:v>KZT</x:v>
      </x:c>
      <x:c r="M29" s="22"/>
      <x:c r="N29" s="22"/>
      <x:c r="O29" s="28"/>
      <x:c r="P29" s="22"/>
      <x:c r="Q29" s="22"/>
      <x:c r="R29" s="28"/>
      <x:c r="S29" s="22"/>
      <x:c r="T29" s="37" t="n">
        <x:f>K29</x:f>
        <x:v>1</x:v>
      </x:c>
      <x:c r="U29" s="21" t="str">
        <x:f>IF(J29="Рассчитано",N29*(1-O29/100),"н/д")</x:f>
        <x:v>н/д</x:v>
      </x:c>
      <x:c r="V29" s="21" t="str">
        <x:f>IF(J29="Рассчитано",T29*U29,"н/д")</x:f>
        <x:v>н/д</x:v>
      </x:c>
      <x:c r="W29" s="21" t="str">
        <x:f>IF(J29="Рассчитано",T29*M29,"н/д")</x:f>
        <x:v>н/д</x:v>
      </x:c>
      <x:c r="X29" s="21" t="str">
        <x:f>IF(J29="Рассчитано",V29-W29,"н/д")</x:f>
        <x:v>н/д</x:v>
      </x:c>
      <x:c r="Y29" s="27" t="str">
        <x:f>IF(J29="Рассчитано",IF(V29&gt;0,G29/V29,"н/д"),"н/д")</x:f>
        <x:v>н/д</x:v>
      </x:c>
      <x:c r="Z29" s="21" t="str">
        <x:f>"н/д"</x:f>
        <x:v>н/д</x:v>
      </x:c>
      <x:c r="AA29" s="21" t="str">
        <x:f>"н/д"</x:f>
        <x:v>н/д</x:v>
      </x:c>
      <x:c r="AB29" s="21" t="str">
        <x:f>"н/д"</x:f>
        <x:v>н/д</x:v>
      </x:c>
      <x:c r="AC29" s="21" t="str">
        <x:f>IF(AND(J29="Рассчитано",T29&gt;0,R29&lt;100),(W29+P29+Q29)/(T29*(1-R29/100)),"н/д")</x:f>
        <x:v>н/д</x:v>
      </x:c>
      <x:c r="AD29" s="10" t="str">
        <x:f>IF(ISNUMBER(G29),IF(G29&lt;0,"Убыток",IF(G29=0,"Без прибыли","Прибыль &gt; 0")),"Не оценён")</x:f>
        <x:v>Не оценён</x:v>
      </x:c>
      <x:c r="AE29" s="13" t="str">
        <x:f>IF(J29="Рассчитано","Выручка "&amp;TEXT(V29,"0.00")&amp;" - себестоимость "&amp;TEXT(W29,"0.00")&amp;" - комиссия "&amp;TEXT(V29*R29/100,"0.00")&amp;" - доставка "&amp;TEXT(P29,"0.00")&amp;" - прочие "&amp;TEXT(Q29,"0.00")&amp;" = "&amp;TEXT(G29,"0.00")&amp;" "&amp;L29,"Введите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" s="24" t="n">
        <x:v>2.7311231751265033</x:v>
      </x:c>
      <x:c r="AG29" s="37" t="n">
        <x:v>4</x:v>
      </x:c>
      <x:c r="AH29" s="37" t="n">
        <x:v>0</x:v>
      </x:c>
      <x:c r="AI29" s="30" t="n">
        <x:v>46266</x:v>
      </x:c>
      <x:c r="AJ29" s="37" t="n">
        <x:v>1</x:v>
      </x:c>
      <x:c r="AK29" s="10" t="str">
        <x:v>минимум</x:v>
      </x:c>
      <x:c r="AL29" s="32" t="n">
        <x:v>124.54828393624543</x:v>
      </x:c>
      <x:c r="AM29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29" s="13" t="str">
        <x:v>Проверить свободный остаток и установить цену для B2B</x:v>
      </x:c>
      <x:c r="AO29" s="13" t="str">
        <x:v>Остаток 4; прогноз 90 дней 2.73; избыток 1 шт. Будущие поступления не выставляются на продажу. Остаток на начало сентября: требуется актуализация.</x:v>
      </x:c>
      <x:c r="AP29" s="13" t="str">
        <x:v>["category_missing", "daily_stockout_data_missing", "new_order_lead_time_unknown", "reservations_unknown", "stale_stock", "stockout_proxy_used"]</x:v>
      </x:c>
      <x:c r="AQ29" s="10" t="str">
        <x:v>IEK:010300252_</x:v>
      </x:c>
      <x:c r="AR29" s="24" t="n">
        <x:v>1</x:v>
      </x:c>
      <x:c r="AS29" s="24" t="n">
        <x:v>0</x:v>
      </x:c>
      <x:c r="AT29" s="24" t="n">
        <x:v>0</x:v>
      </x:c>
    </x:row>
    <x:row r="30" ht="64" customHeight="1">
      <x:c r="A30" s="11" t="str">
        <x:v>IEK</x:v>
      </x:c>
      <x:c r="B30" s="33" t="str">
        <x:v>010400939_</x:v>
      </x:c>
      <x:c r="C30" s="33" t="str">
        <x:v>KKV12-7141-1-64</x:v>
      </x:c>
      <x:c r="D30" s="12" t="str">
        <x:v>Микр. конц. МП-7141 укор. рычаг с рол. IP40 IEK</x:v>
      </x:c>
      <x:c r="E30" s="11" t="str">
        <x:v>шт</x:v>
      </x:c>
      <x:c r="F30" s="35" t="n">
        <x:f>MAX(0,ROUNDDOWN((AG30-AF30)/AR30+0.000000001,0)*AR30)</x:f>
        <x:v>9</x:v>
      </x:c>
      <x:c r="G30" s="20" t="str">
        <x:f>IF(J30="Рассчитано",V30*(1-R30/100)-W30-P30-Q30,"н/д")</x:f>
        <x:v>н/д</x:v>
      </x:c>
      <x:c r="H30" s="12" t="str">
        <x:v>Высокий</x:v>
      </x:c>
      <x:c r="I30" s="12" t="str">
        <x:v>Высокий</x:v>
      </x:c>
      <x:c r="J30" s="12" t="str">
        <x:f>IF(L30="","Укажите валюту",IF(NOT(ISNUMBER(K30)),"Укажите объём",IF(K30&lt;=0,"Укажите объём",IF(K30&gt;F30,"Объём выше излишка",IF(COUNT(M30:O30)&lt;3,"Нужны цены",IF(COUNT(P30:R30)&lt;3,"Нужны расходы",IF(OR(M30&lt;0,N30&lt;0,O30&lt;0,O30&gt;100,P30&lt;0,Q30&lt;0,R30&lt;0,R30&gt;100),"Проверьте значения","Рассчитано")))))))</x:f>
        <x:v>Нужны цены</x:v>
      </x:c>
      <x:c r="K30" s="36" t="n">
        <x:v>9</x:v>
      </x:c>
      <x:c r="L30" s="19" t="str">
        <x:v>KZT</x:v>
      </x:c>
      <x:c r="M30" s="22"/>
      <x:c r="N30" s="22"/>
      <x:c r="O30" s="28"/>
      <x:c r="P30" s="22"/>
      <x:c r="Q30" s="22"/>
      <x:c r="R30" s="28"/>
      <x:c r="S30" s="22"/>
      <x:c r="T30" s="35" t="n">
        <x:f>K30</x:f>
        <x:v>9</x:v>
      </x:c>
      <x:c r="U30" s="20" t="str">
        <x:f>IF(J30="Рассчитано",N30*(1-O30/100),"н/д")</x:f>
        <x:v>н/д</x:v>
      </x:c>
      <x:c r="V30" s="20" t="str">
        <x:f>IF(J30="Рассчитано",T30*U30,"н/д")</x:f>
        <x:v>н/д</x:v>
      </x:c>
      <x:c r="W30" s="20" t="str">
        <x:f>IF(J30="Рассчитано",T30*M30,"н/д")</x:f>
        <x:v>н/д</x:v>
      </x:c>
      <x:c r="X30" s="20" t="str">
        <x:f>IF(J30="Рассчитано",V30-W30,"н/д")</x:f>
        <x:v>н/д</x:v>
      </x:c>
      <x:c r="Y30" s="26" t="str">
        <x:f>IF(J30="Рассчитано",IF(V30&gt;0,G30/V30,"н/д"),"н/д")</x:f>
        <x:v>н/д</x:v>
      </x:c>
      <x:c r="Z30" s="20" t="str">
        <x:f>"н/д"</x:f>
        <x:v>н/д</x:v>
      </x:c>
      <x:c r="AA30" s="20" t="str">
        <x:f>"н/д"</x:f>
        <x:v>н/д</x:v>
      </x:c>
      <x:c r="AB30" s="20" t="str">
        <x:f>"н/д"</x:f>
        <x:v>н/д</x:v>
      </x:c>
      <x:c r="AC30" s="20" t="str">
        <x:f>IF(AND(J30="Рассчитано",T30&gt;0,R30&lt;100),(W30+P30+Q30)/(T30*(1-R30/100)),"н/д")</x:f>
        <x:v>н/д</x:v>
      </x:c>
      <x:c r="AD30" s="11" t="str">
        <x:f>IF(ISNUMBER(G30),IF(G30&lt;0,"Убыток",IF(G30=0,"Без прибыли","Прибыль &gt; 0")),"Не оценён")</x:f>
        <x:v>Не оценён</x:v>
      </x:c>
      <x:c r="AE30" s="12" t="str">
        <x:f>IF(J30="Рассчитано","Выручка "&amp;TEXT(V30,"0.00")&amp;" - себестоимость "&amp;TEXT(W30,"0.00")&amp;" - комиссия "&amp;TEXT(V30*R30/100,"0.00")&amp;" - доставка "&amp;TEXT(P30,"0.00")&amp;" - прочие "&amp;TEXT(Q30,"0.00")&amp;" = "&amp;TEXT(G30,"0.00")&amp;" "&amp;L30,"Введите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" s="23" t="n">
        <x:v>0</x:v>
      </x:c>
      <x:c r="AG30" s="35" t="n">
        <x:v>9</x:v>
      </x:c>
      <x:c r="AH30" s="35" t="n">
        <x:v>0</x:v>
      </x:c>
      <x:c r="AI30" s="29" t="n">
        <x:v>46266</x:v>
      </x:c>
      <x:c r="AJ30" s="35" t="n">
        <x:v>1</x:v>
      </x:c>
      <x:c r="AK30" s="11" t="str">
        <x:v>минимум</x:v>
      </x:c>
      <x:c r="AL30" s="31" t="str">
        <x:v>н/д</x:v>
      </x:c>
      <x:c r="AM3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0" s="12" t="str">
        <x:v>Проверить свободный остаток и установить цену для B2B</x:v>
      </x:c>
      <x:c r="AO30" s="12" t="str">
        <x:v>Остаток 9; прогноз 90 дней 0.00; избыток 9 шт. Будущие поступления не выставляются на продажу. Остаток на начало сентября: требуется актуализация.</x:v>
      </x:c>
      <x:c r="AP30" s="12" t="str">
        <x:v>["category_missing", "daily_stockout_data_missing", "new_order_lead_time_unknown", "reservations_unknown", "stale_stock"]</x:v>
      </x:c>
      <x:c r="AQ30" s="11" t="str">
        <x:v>IEK:010400939_</x:v>
      </x:c>
      <x:c r="AR30" s="23" t="n">
        <x:v>1</x:v>
      </x:c>
      <x:c r="AS30" s="23" t="n">
        <x:v>0</x:v>
      </x:c>
      <x:c r="AT30" s="23" t="n">
        <x:v>0</x:v>
      </x:c>
    </x:row>
    <x:row r="31" ht="64" customHeight="1">
      <x:c r="A31" s="10" t="str">
        <x:v>IEK</x:v>
      </x:c>
      <x:c r="B31" s="34" t="str">
        <x:v>010400944_</x:v>
      </x:c>
      <x:c r="C31" s="34" t="str">
        <x:v>KKV12-7120-2-64</x:v>
      </x:c>
      <x:c r="D31" s="13" t="str">
        <x:v>Микр. конц. МП-7120 рычаг IP40 IEK</x:v>
      </x:c>
      <x:c r="E31" s="10" t="str">
        <x:v>шт</x:v>
      </x:c>
      <x:c r="F31" s="37" t="n">
        <x:f>MAX(0,ROUNDDOWN((AG31-AF31)/AR31+0.000000001,0)*AR31)</x:f>
        <x:v>9</x:v>
      </x:c>
      <x:c r="G31" s="21" t="str">
        <x:f>IF(J31="Рассчитано",V31*(1-R31/100)-W31-P31-Q31,"н/д")</x:f>
        <x:v>н/д</x:v>
      </x:c>
      <x:c r="H31" s="13" t="str">
        <x:v>Высокий</x:v>
      </x:c>
      <x:c r="I31" s="13" t="str">
        <x:v>Высокий</x:v>
      </x:c>
      <x:c r="J31" s="13" t="str">
        <x:f>IF(L31="","Укажите валюту",IF(NOT(ISNUMBER(K31)),"Укажите объём",IF(K31&lt;=0,"Укажите объём",IF(K31&gt;F31,"Объём выше излишка",IF(COUNT(M31:O31)&lt;3,"Нужны цены",IF(COUNT(P31:R31)&lt;3,"Нужны расходы",IF(OR(M31&lt;0,N31&lt;0,O31&lt;0,O31&gt;100,P31&lt;0,Q31&lt;0,R31&lt;0,R31&gt;100),"Проверьте значения","Рассчитано")))))))</x:f>
        <x:v>Нужны цены</x:v>
      </x:c>
      <x:c r="K31" s="36" t="n">
        <x:v>9</x:v>
      </x:c>
      <x:c r="L31" s="19" t="str">
        <x:v>KZT</x:v>
      </x:c>
      <x:c r="M31" s="22"/>
      <x:c r="N31" s="22"/>
      <x:c r="O31" s="28"/>
      <x:c r="P31" s="22"/>
      <x:c r="Q31" s="22"/>
      <x:c r="R31" s="28"/>
      <x:c r="S31" s="22"/>
      <x:c r="T31" s="37" t="n">
        <x:f>K31</x:f>
        <x:v>9</x:v>
      </x:c>
      <x:c r="U31" s="21" t="str">
        <x:f>IF(J31="Рассчитано",N31*(1-O31/100),"н/д")</x:f>
        <x:v>н/д</x:v>
      </x:c>
      <x:c r="V31" s="21" t="str">
        <x:f>IF(J31="Рассчитано",T31*U31,"н/д")</x:f>
        <x:v>н/д</x:v>
      </x:c>
      <x:c r="W31" s="21" t="str">
        <x:f>IF(J31="Рассчитано",T31*M31,"н/д")</x:f>
        <x:v>н/д</x:v>
      </x:c>
      <x:c r="X31" s="21" t="str">
        <x:f>IF(J31="Рассчитано",V31-W31,"н/д")</x:f>
        <x:v>н/д</x:v>
      </x:c>
      <x:c r="Y31" s="27" t="str">
        <x:f>IF(J31="Рассчитано",IF(V31&gt;0,G31/V31,"н/д"),"н/д")</x:f>
        <x:v>н/д</x:v>
      </x:c>
      <x:c r="Z31" s="21" t="str">
        <x:f>"н/д"</x:f>
        <x:v>н/д</x:v>
      </x:c>
      <x:c r="AA31" s="21" t="str">
        <x:f>"н/д"</x:f>
        <x:v>н/д</x:v>
      </x:c>
      <x:c r="AB31" s="21" t="str">
        <x:f>"н/д"</x:f>
        <x:v>н/д</x:v>
      </x:c>
      <x:c r="AC31" s="21" t="str">
        <x:f>IF(AND(J31="Рассчитано",T31&gt;0,R31&lt;100),(W31+P31+Q31)/(T31*(1-R31/100)),"н/д")</x:f>
        <x:v>н/д</x:v>
      </x:c>
      <x:c r="AD31" s="10" t="str">
        <x:f>IF(ISNUMBER(G31),IF(G31&lt;0,"Убыток",IF(G31=0,"Без прибыли","Прибыль &gt; 0")),"Не оценён")</x:f>
        <x:v>Не оценён</x:v>
      </x:c>
      <x:c r="AE31" s="13" t="str">
        <x:f>IF(J31="Рассчитано","Выручка "&amp;TEXT(V31,"0.00")&amp;" - себестоимость "&amp;TEXT(W31,"0.00")&amp;" - комиссия "&amp;TEXT(V31*R31/100,"0.00")&amp;" - доставка "&amp;TEXT(P31,"0.00")&amp;" - прочие "&amp;TEXT(Q31,"0.00")&amp;" = "&amp;TEXT(G31,"0.00")&amp;" "&amp;L31,"Введите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" s="24" t="n">
        <x:v>0</x:v>
      </x:c>
      <x:c r="AG31" s="37" t="n">
        <x:v>9</x:v>
      </x:c>
      <x:c r="AH31" s="37" t="n">
        <x:v>0</x:v>
      </x:c>
      <x:c r="AI31" s="30" t="n">
        <x:v>46266</x:v>
      </x:c>
      <x:c r="AJ31" s="37" t="n">
        <x:v>1</x:v>
      </x:c>
      <x:c r="AK31" s="10" t="str">
        <x:v>минимум</x:v>
      </x:c>
      <x:c r="AL31" s="32" t="str">
        <x:v>н/д</x:v>
      </x:c>
      <x:c r="AM3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1" s="13" t="str">
        <x:v>Проверить свободный остаток и установить цену для B2B</x:v>
      </x:c>
      <x:c r="AO31" s="13" t="str">
        <x:v>Остаток 9; прогноз 90 дней 0.00; избыток 9 шт. Будущие поступления не выставляются на продажу. Остаток на начало сентября: требуется актуализация.</x:v>
      </x:c>
      <x:c r="AP31" s="13" t="str">
        <x:v>["category_missing", "daily_stockout_data_missing", "new_order_lead_time_unknown", "reservations_unknown", "stale_stock"]</x:v>
      </x:c>
      <x:c r="AQ31" s="10" t="str">
        <x:v>IEK:010400944_</x:v>
      </x:c>
      <x:c r="AR31" s="24" t="n">
        <x:v>1</x:v>
      </x:c>
      <x:c r="AS31" s="24" t="n">
        <x:v>0</x:v>
      </x:c>
      <x:c r="AT31" s="24" t="n">
        <x:v>0</x:v>
      </x:c>
    </x:row>
    <x:row r="32" ht="64" customHeight="1">
      <x:c r="A32" s="11" t="str">
        <x:v>IEK</x:v>
      </x:c>
      <x:c r="B32" s="33" t="str">
        <x:v>010400947_</x:v>
      </x:c>
      <x:c r="C32" s="33" t="str">
        <x:v>KKV12-7310-2-64</x:v>
      </x:c>
      <x:c r="D32" s="12" t="str">
        <x:v>Микр. конц. МП-7310 толк. рез. IP40 IEK</x:v>
      </x:c>
      <x:c r="E32" s="11" t="str">
        <x:v>шт</x:v>
      </x:c>
      <x:c r="F32" s="35" t="n">
        <x:f>MAX(0,ROUNDDOWN((AG32-AF32)/AR32+0.000000001,0)*AR32)</x:f>
        <x:v>3</x:v>
      </x:c>
      <x:c r="G32" s="20" t="str">
        <x:f>IF(J32="Рассчитано",V32*(1-R32/100)-W32-P32-Q32,"н/д")</x:f>
        <x:v>н/д</x:v>
      </x:c>
      <x:c r="H32" s="12" t="str">
        <x:v>Высокий</x:v>
      </x:c>
      <x:c r="I32" s="12" t="str">
        <x:v>Высокий</x:v>
      </x:c>
      <x:c r="J32" s="12" t="str">
        <x:f>IF(L32="","Укажите валюту",IF(NOT(ISNUMBER(K32)),"Укажите объём",IF(K32&lt;=0,"Укажите объём",IF(K32&gt;F32,"Объём выше излишка",IF(COUNT(M32:O32)&lt;3,"Нужны цены",IF(COUNT(P32:R32)&lt;3,"Нужны расходы",IF(OR(M32&lt;0,N32&lt;0,O32&lt;0,O32&gt;100,P32&lt;0,Q32&lt;0,R32&lt;0,R32&gt;100),"Проверьте значения","Рассчитано")))))))</x:f>
        <x:v>Нужны цены</x:v>
      </x:c>
      <x:c r="K32" s="36" t="n">
        <x:v>3</x:v>
      </x:c>
      <x:c r="L32" s="19" t="str">
        <x:v>KZT</x:v>
      </x:c>
      <x:c r="M32" s="22"/>
      <x:c r="N32" s="22"/>
      <x:c r="O32" s="28"/>
      <x:c r="P32" s="22"/>
      <x:c r="Q32" s="22"/>
      <x:c r="R32" s="28"/>
      <x:c r="S32" s="22"/>
      <x:c r="T32" s="35" t="n">
        <x:f>K32</x:f>
        <x:v>3</x:v>
      </x:c>
      <x:c r="U32" s="20" t="str">
        <x:f>IF(J32="Рассчитано",N32*(1-O32/100),"н/д")</x:f>
        <x:v>н/д</x:v>
      </x:c>
      <x:c r="V32" s="20" t="str">
        <x:f>IF(J32="Рассчитано",T32*U32,"н/д")</x:f>
        <x:v>н/д</x:v>
      </x:c>
      <x:c r="W32" s="20" t="str">
        <x:f>IF(J32="Рассчитано",T32*M32,"н/д")</x:f>
        <x:v>н/д</x:v>
      </x:c>
      <x:c r="X32" s="20" t="str">
        <x:f>IF(J32="Рассчитано",V32-W32,"н/д")</x:f>
        <x:v>н/д</x:v>
      </x:c>
      <x:c r="Y32" s="26" t="str">
        <x:f>IF(J32="Рассчитано",IF(V32&gt;0,G32/V32,"н/д"),"н/д")</x:f>
        <x:v>н/д</x:v>
      </x:c>
      <x:c r="Z32" s="20" t="str">
        <x:f>"н/д"</x:f>
        <x:v>н/д</x:v>
      </x:c>
      <x:c r="AA32" s="20" t="str">
        <x:f>"н/д"</x:f>
        <x:v>н/д</x:v>
      </x:c>
      <x:c r="AB32" s="20" t="str">
        <x:f>"н/д"</x:f>
        <x:v>н/д</x:v>
      </x:c>
      <x:c r="AC32" s="20" t="str">
        <x:f>IF(AND(J32="Рассчитано",T32&gt;0,R32&lt;100),(W32+P32+Q32)/(T32*(1-R32/100)),"н/д")</x:f>
        <x:v>н/д</x:v>
      </x:c>
      <x:c r="AD32" s="11" t="str">
        <x:f>IF(ISNUMBER(G32),IF(G32&lt;0,"Убыток",IF(G32=0,"Без прибыли","Прибыль &gt; 0")),"Не оценён")</x:f>
        <x:v>Не оценён</x:v>
      </x:c>
      <x:c r="AE32" s="12" t="str">
        <x:f>IF(J32="Рассчитано","Выручка "&amp;TEXT(V32,"0.00")&amp;" - себестоимость "&amp;TEXT(W32,"0.00")&amp;" - комиссия "&amp;TEXT(V32*R32/100,"0.00")&amp;" - доставка "&amp;TEXT(P32,"0.00")&amp;" - прочие "&amp;TEXT(Q32,"0.00")&amp;" = "&amp;TEXT(G32,"0.00")&amp;" "&amp;L32,"Введите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" s="23" t="n">
        <x:v>2.284468027277963</x:v>
      </x:c>
      <x:c r="AG32" s="35" t="n">
        <x:v>6</x:v>
      </x:c>
      <x:c r="AH32" s="35" t="n">
        <x:v>6</x:v>
      </x:c>
      <x:c r="AI32" s="29" t="n">
        <x:v>46266</x:v>
      </x:c>
      <x:c r="AJ32" s="35" t="n">
        <x:v>1</x:v>
      </x:c>
      <x:c r="AK32" s="11" t="str">
        <x:v>минимум</x:v>
      </x:c>
      <x:c r="AL32" s="31" t="n">
        <x:v>223.34961615932102</x:v>
      </x:c>
      <x:c r="AM3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2" s="12" t="str">
        <x:v>Проверить свободный остаток и установить цену для B2B</x:v>
      </x:c>
      <x:c r="AO32" s="12" t="str">
        <x:v>Остаток 6; прогноз 90 дней 2.28; избыток 3 шт. Будущие поступления не выставляются на продажу. Остаток на начало сентября: требуется актуализация.</x:v>
      </x:c>
      <x:c r="AP32" s="12" t="str">
        <x:v>["category_missing", "daily_stockout_data_missing", "new_order_lead_time_unknown", "reservations_unknown", "stale_stock"]</x:v>
      </x:c>
      <x:c r="AQ32" s="11" t="str">
        <x:v>IEK:010400947_</x:v>
      </x:c>
      <x:c r="AR32" s="23" t="n">
        <x:v>1</x:v>
      </x:c>
      <x:c r="AS32" s="23" t="n">
        <x:v>0</x:v>
      </x:c>
      <x:c r="AT32" s="23" t="n">
        <x:v>0</x:v>
      </x:c>
    </x:row>
    <x:row r="33" ht="64" customHeight="1">
      <x:c r="A33" s="10" t="str">
        <x:v>IEK</x:v>
      </x:c>
      <x:c r="B33" s="34" t="str">
        <x:v>010400949_</x:v>
      </x:c>
      <x:c r="C33" s="34" t="str">
        <x:v>KKV12-P108-1-67</x:v>
      </x:c>
      <x:c r="D33" s="13" t="str">
        <x:v>Выкл. конц. C6N-108 рег. рычаг с рол. IP67 IEK</x:v>
      </x:c>
      <x:c r="E33" s="10" t="str">
        <x:v>шт</x:v>
      </x:c>
      <x:c r="F33" s="37" t="n">
        <x:f>MAX(0,ROUNDDOWN((AG33-AF33)/AR33+0.000000001,0)*AR33)</x:f>
        <x:v>7</x:v>
      </x:c>
      <x:c r="G33" s="21" t="str">
        <x:f>IF(J33="Рассчитано",V33*(1-R33/100)-W33-P33-Q33,"н/д")</x:f>
        <x:v>н/д</x:v>
      </x:c>
      <x:c r="H33" s="13" t="str">
        <x:v>Высокий</x:v>
      </x:c>
      <x:c r="I33" s="13" t="str">
        <x:v>Высокий</x:v>
      </x:c>
      <x:c r="J33" s="13" t="str">
        <x:f>IF(L33="","Укажите валюту",IF(NOT(ISNUMBER(K33)),"Укажите объём",IF(K33&lt;=0,"Укажите объём",IF(K33&gt;F33,"Объём выше излишка",IF(COUNT(M33:O33)&lt;3,"Нужны цены",IF(COUNT(P33:R33)&lt;3,"Нужны расходы",IF(OR(M33&lt;0,N33&lt;0,O33&lt;0,O33&gt;100,P33&lt;0,Q33&lt;0,R33&lt;0,R33&gt;100),"Проверьте значения","Рассчитано")))))))</x:f>
        <x:v>Нужны цены</x:v>
      </x:c>
      <x:c r="K33" s="36" t="n">
        <x:v>7</x:v>
      </x:c>
      <x:c r="L33" s="19" t="str">
        <x:v>KZT</x:v>
      </x:c>
      <x:c r="M33" s="22"/>
      <x:c r="N33" s="22"/>
      <x:c r="O33" s="28"/>
      <x:c r="P33" s="22"/>
      <x:c r="Q33" s="22"/>
      <x:c r="R33" s="28"/>
      <x:c r="S33" s="22"/>
      <x:c r="T33" s="37" t="n">
        <x:f>K33</x:f>
        <x:v>7</x:v>
      </x:c>
      <x:c r="U33" s="21" t="str">
        <x:f>IF(J33="Рассчитано",N33*(1-O33/100),"н/д")</x:f>
        <x:v>н/д</x:v>
      </x:c>
      <x:c r="V33" s="21" t="str">
        <x:f>IF(J33="Рассчитано",T33*U33,"н/д")</x:f>
        <x:v>н/д</x:v>
      </x:c>
      <x:c r="W33" s="21" t="str">
        <x:f>IF(J33="Рассчитано",T33*M33,"н/д")</x:f>
        <x:v>н/д</x:v>
      </x:c>
      <x:c r="X33" s="21" t="str">
        <x:f>IF(J33="Рассчитано",V33-W33,"н/д")</x:f>
        <x:v>н/д</x:v>
      </x:c>
      <x:c r="Y33" s="27" t="str">
        <x:f>IF(J33="Рассчитано",IF(V33&gt;0,G33/V33,"н/д"),"н/д")</x:f>
        <x:v>н/д</x:v>
      </x:c>
      <x:c r="Z33" s="21" t="str">
        <x:f>"н/д"</x:f>
        <x:v>н/д</x:v>
      </x:c>
      <x:c r="AA33" s="21" t="str">
        <x:f>"н/д"</x:f>
        <x:v>н/д</x:v>
      </x:c>
      <x:c r="AB33" s="21" t="str">
        <x:f>"н/д"</x:f>
        <x:v>н/д</x:v>
      </x:c>
      <x:c r="AC33" s="21" t="str">
        <x:f>IF(AND(J33="Рассчитано",T33&gt;0,R33&lt;100),(W33+P33+Q33)/(T33*(1-R33/100)),"н/д")</x:f>
        <x:v>н/д</x:v>
      </x:c>
      <x:c r="AD33" s="10" t="str">
        <x:f>IF(ISNUMBER(G33),IF(G33&lt;0,"Убыток",IF(G33=0,"Без прибыли","Прибыль &gt; 0")),"Не оценён")</x:f>
        <x:v>Не оценён</x:v>
      </x:c>
      <x:c r="AE33" s="13" t="str">
        <x:f>IF(J33="Рассчитано","Выручка "&amp;TEXT(V33,"0.00")&amp;" - себестоимость "&amp;TEXT(W33,"0.00")&amp;" - комиссия "&amp;TEXT(V33*R33/100,"0.00")&amp;" - доставка "&amp;TEXT(P33,"0.00")&amp;" - прочие "&amp;TEXT(Q33,"0.00")&amp;" = "&amp;TEXT(G33,"0.00")&amp;" "&amp;L33,"Введите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" s="24" t="n">
        <x:v>0.6845053365855409</x:v>
      </x:c>
      <x:c r="AG33" s="37" t="n">
        <x:v>8</x:v>
      </x:c>
      <x:c r="AH33" s="37" t="n">
        <x:v>0</x:v>
      </x:c>
      <x:c r="AI33" s="30" t="n">
        <x:v>46266</x:v>
      </x:c>
      <x:c r="AJ33" s="37" t="n">
        <x:v>1</x:v>
      </x:c>
      <x:c r="AK33" s="10" t="str">
        <x:v>минимум</x:v>
      </x:c>
      <x:c r="AL33" s="32" t="n">
        <x:v>993.8759758318064</x:v>
      </x:c>
      <x:c r="AM3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3" s="13" t="str">
        <x:v>Проверить свободный остаток и установить цену для B2B</x:v>
      </x:c>
      <x:c r="AO33" s="13" t="str">
        <x:v>Остаток 8; прогноз 90 дней 0.68; избыток 7 шт. Будущие поступления не выставляются на продажу. Остаток на начало сентября: требуется актуализация.</x:v>
      </x:c>
      <x:c r="AP33" s="13" t="str">
        <x:v>["category_missing", "daily_stockout_data_missing", "new_order_lead_time_unknown", "reservations_unknown", "stale_stock"]</x:v>
      </x:c>
      <x:c r="AQ33" s="10" t="str">
        <x:v>IEK:010400949_</x:v>
      </x:c>
      <x:c r="AR33" s="24" t="n">
        <x:v>1</x:v>
      </x:c>
      <x:c r="AS33" s="24" t="n">
        <x:v>0</x:v>
      </x:c>
      <x:c r="AT33" s="24" t="n">
        <x:v>0</x:v>
      </x:c>
    </x:row>
    <x:row r="34" ht="64" customHeight="1">
      <x:c r="A34" s="11" t="str">
        <x:v>IEK</x:v>
      </x:c>
      <x:c r="B34" s="33" t="str">
        <x:v>010400950_</x:v>
      </x:c>
      <x:c r="C34" s="33" t="str">
        <x:v>KKV12-7121-1-64</x:v>
      </x:c>
      <x:c r="D34" s="12" t="str">
        <x:v>Микр. конц. МП-7121 рычаг с рол. IP40 IEK</x:v>
      </x:c>
      <x:c r="E34" s="11" t="str">
        <x:v>шт</x:v>
      </x:c>
      <x:c r="F34" s="35" t="n">
        <x:f>MAX(0,ROUNDDOWN((AG34-AF34)/AR34+0.000000001,0)*AR34)</x:f>
        <x:v>5</x:v>
      </x:c>
      <x:c r="G34" s="20" t="str">
        <x:f>IF(J34="Рассчитано",V34*(1-R34/100)-W34-P34-Q34,"н/д")</x:f>
        <x:v>н/д</x:v>
      </x:c>
      <x:c r="H34" s="12" t="str">
        <x:v>Высокий</x:v>
      </x:c>
      <x:c r="I34" s="12" t="str">
        <x:v>Высокий</x:v>
      </x:c>
      <x:c r="J34" s="12" t="str">
        <x:f>IF(L34="","Укажите валюту",IF(NOT(ISNUMBER(K34)),"Укажите объём",IF(K34&lt;=0,"Укажите объём",IF(K34&gt;F34,"Объём выше излишка",IF(COUNT(M34:O34)&lt;3,"Нужны цены",IF(COUNT(P34:R34)&lt;3,"Нужны расходы",IF(OR(M34&lt;0,N34&lt;0,O34&lt;0,O34&gt;100,P34&lt;0,Q34&lt;0,R34&lt;0,R34&gt;100),"Проверьте значения","Рассчитано")))))))</x:f>
        <x:v>Нужны цены</x:v>
      </x:c>
      <x:c r="K34" s="36" t="n">
        <x:v>5</x:v>
      </x:c>
      <x:c r="L34" s="19" t="str">
        <x:v>KZT</x:v>
      </x:c>
      <x:c r="M34" s="22"/>
      <x:c r="N34" s="22"/>
      <x:c r="O34" s="28"/>
      <x:c r="P34" s="22"/>
      <x:c r="Q34" s="22"/>
      <x:c r="R34" s="28"/>
      <x:c r="S34" s="22"/>
      <x:c r="T34" s="35" t="n">
        <x:f>K34</x:f>
        <x:v>5</x:v>
      </x:c>
      <x:c r="U34" s="20" t="str">
        <x:f>IF(J34="Рассчитано",N34*(1-O34/100),"н/д")</x:f>
        <x:v>н/д</x:v>
      </x:c>
      <x:c r="V34" s="20" t="str">
        <x:f>IF(J34="Рассчитано",T34*U34,"н/д")</x:f>
        <x:v>н/д</x:v>
      </x:c>
      <x:c r="W34" s="20" t="str">
        <x:f>IF(J34="Рассчитано",T34*M34,"н/д")</x:f>
        <x:v>н/д</x:v>
      </x:c>
      <x:c r="X34" s="20" t="str">
        <x:f>IF(J34="Рассчитано",V34-W34,"н/д")</x:f>
        <x:v>н/д</x:v>
      </x:c>
      <x:c r="Y34" s="26" t="str">
        <x:f>IF(J34="Рассчитано",IF(V34&gt;0,G34/V34,"н/д"),"н/д")</x:f>
        <x:v>н/д</x:v>
      </x:c>
      <x:c r="Z34" s="20" t="str">
        <x:f>"н/д"</x:f>
        <x:v>н/д</x:v>
      </x:c>
      <x:c r="AA34" s="20" t="str">
        <x:f>"н/д"</x:f>
        <x:v>н/д</x:v>
      </x:c>
      <x:c r="AB34" s="20" t="str">
        <x:f>"н/д"</x:f>
        <x:v>н/д</x:v>
      </x:c>
      <x:c r="AC34" s="20" t="str">
        <x:f>IF(AND(J34="Рассчитано",T34&gt;0,R34&lt;100),(W34+P34+Q34)/(T34*(1-R34/100)),"н/д")</x:f>
        <x:v>н/д</x:v>
      </x:c>
      <x:c r="AD34" s="11" t="str">
        <x:f>IF(ISNUMBER(G34),IF(G34&lt;0,"Убыток",IF(G34=0,"Без прибыли","Прибыль &gt; 0")),"Не оценён")</x:f>
        <x:v>Не оценён</x:v>
      </x:c>
      <x:c r="AE34" s="12" t="str">
        <x:f>IF(J34="Рассчитано","Выручка "&amp;TEXT(V34,"0.00")&amp;" - себестоимость "&amp;TEXT(W34,"0.00")&amp;" - комиссия "&amp;TEXT(V34*R34/100,"0.00")&amp;" - доставка "&amp;TEXT(P34,"0.00")&amp;" - прочие "&amp;TEXT(Q34,"0.00")&amp;" = "&amp;TEXT(G34,"0.00")&amp;" "&amp;L34,"Введите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" s="23" t="n">
        <x:v>1.5999626906924245</x:v>
      </x:c>
      <x:c r="AG34" s="35" t="n">
        <x:v>7</x:v>
      </x:c>
      <x:c r="AH34" s="35" t="n">
        <x:v>0</x:v>
      </x:c>
      <x:c r="AI34" s="29" t="n">
        <x:v>46266</x:v>
      </x:c>
      <x:c r="AJ34" s="35" t="n">
        <x:v>1</x:v>
      </x:c>
      <x:c r="AK34" s="11" t="str">
        <x:v>минимум</x:v>
      </x:c>
      <x:c r="AL34" s="31" t="n">
        <x:v>372.05507144249907</x:v>
      </x:c>
      <x:c r="AM3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" s="12" t="str">
        <x:v>Проверить свободный остаток и установить цену для B2B</x:v>
      </x:c>
      <x:c r="AO34" s="12" t="str">
        <x:v>Остаток 7; прогноз 90 дней 1.60; избыток 5 шт. Будущие поступления не выставляются на продажу. Остаток на начало сентября: требуется актуализация.</x:v>
      </x:c>
      <x:c r="AP34" s="12" t="str">
        <x:v>["category_missing", "daily_stockout_data_missing", "new_order_lead_time_unknown", "reservations_unknown", "stale_stock"]</x:v>
      </x:c>
      <x:c r="AQ34" s="11" t="str">
        <x:v>IEK:010400950_</x:v>
      </x:c>
      <x:c r="AR34" s="23" t="n">
        <x:v>1</x:v>
      </x:c>
      <x:c r="AS34" s="23" t="n">
        <x:v>0</x:v>
      </x:c>
      <x:c r="AT34" s="23" t="n">
        <x:v>0</x:v>
      </x:c>
    </x:row>
    <x:row r="35" ht="64" customHeight="1">
      <x:c r="A35" s="10" t="str">
        <x:v>IEK</x:v>
      </x:c>
      <x:c r="B35" s="34" t="str">
        <x:v>010400955_</x:v>
      </x:c>
      <x:c r="C35" s="34" t="str">
        <x:v>KKV12-7311-2-64</x:v>
      </x:c>
      <x:c r="D35" s="13" t="str">
        <x:v>Микр. конц. МП-7311 гор. толк. с наж. рол. рез. IP40 IEK</x:v>
      </x:c>
      <x:c r="E35" s="10" t="str">
        <x:v>шт</x:v>
      </x:c>
      <x:c r="F35" s="37" t="n">
        <x:f>MAX(0,ROUNDDOWN((AG35-AF35)/AR35+0.000000001,0)*AR35)</x:f>
        <x:v>6</x:v>
      </x:c>
      <x:c r="G35" s="21" t="str">
        <x:f>IF(J35="Рассчитано",V35*(1-R35/100)-W35-P35-Q35,"н/д")</x:f>
        <x:v>н/д</x:v>
      </x:c>
      <x:c r="H35" s="13" t="str">
        <x:v>Высокий</x:v>
      </x:c>
      <x:c r="I35" s="13" t="str">
        <x:v>Высокий</x:v>
      </x:c>
      <x:c r="J35" s="13" t="str">
        <x:f>IF(L35="","Укажите валюту",IF(NOT(ISNUMBER(K35)),"Укажите объём",IF(K35&lt;=0,"Укажите объём",IF(K35&gt;F35,"Объём выше излишка",IF(COUNT(M35:O35)&lt;3,"Нужны цены",IF(COUNT(P35:R35)&lt;3,"Нужны расходы",IF(OR(M35&lt;0,N35&lt;0,O35&lt;0,O35&gt;100,P35&lt;0,Q35&lt;0,R35&lt;0,R35&gt;100),"Проверьте значения","Рассчитано")))))))</x:f>
        <x:v>Нужны цены</x:v>
      </x:c>
      <x:c r="K35" s="36" t="n">
        <x:v>6</x:v>
      </x:c>
      <x:c r="L35" s="19" t="str">
        <x:v>KZT</x:v>
      </x:c>
      <x:c r="M35" s="22"/>
      <x:c r="N35" s="22"/>
      <x:c r="O35" s="28"/>
      <x:c r="P35" s="22"/>
      <x:c r="Q35" s="22"/>
      <x:c r="R35" s="28"/>
      <x:c r="S35" s="22"/>
      <x:c r="T35" s="37" t="n">
        <x:f>K35</x:f>
        <x:v>6</x:v>
      </x:c>
      <x:c r="U35" s="21" t="str">
        <x:f>IF(J35="Рассчитано",N35*(1-O35/100),"н/д")</x:f>
        <x:v>н/д</x:v>
      </x:c>
      <x:c r="V35" s="21" t="str">
        <x:f>IF(J35="Рассчитано",T35*U35,"н/д")</x:f>
        <x:v>н/д</x:v>
      </x:c>
      <x:c r="W35" s="21" t="str">
        <x:f>IF(J35="Рассчитано",T35*M35,"н/д")</x:f>
        <x:v>н/д</x:v>
      </x:c>
      <x:c r="X35" s="21" t="str">
        <x:f>IF(J35="Рассчитано",V35-W35,"н/д")</x:f>
        <x:v>н/д</x:v>
      </x:c>
      <x:c r="Y35" s="27" t="str">
        <x:f>IF(J35="Рассчитано",IF(V35&gt;0,G35/V35,"н/д"),"н/д")</x:f>
        <x:v>н/д</x:v>
      </x:c>
      <x:c r="Z35" s="21" t="str">
        <x:f>"н/д"</x:f>
        <x:v>н/д</x:v>
      </x:c>
      <x:c r="AA35" s="21" t="str">
        <x:f>"н/д"</x:f>
        <x:v>н/д</x:v>
      </x:c>
      <x:c r="AB35" s="21" t="str">
        <x:f>"н/д"</x:f>
        <x:v>н/д</x:v>
      </x:c>
      <x:c r="AC35" s="21" t="str">
        <x:f>IF(AND(J35="Рассчитано",T35&gt;0,R35&lt;100),(W35+P35+Q35)/(T35*(1-R35/100)),"н/д")</x:f>
        <x:v>н/д</x:v>
      </x:c>
      <x:c r="AD35" s="10" t="str">
        <x:f>IF(ISNUMBER(G35),IF(G35&lt;0,"Убыток",IF(G35=0,"Без прибыли","Прибыль &gt; 0")),"Не оценён")</x:f>
        <x:v>Не оценён</x:v>
      </x:c>
      <x:c r="AE35" s="13" t="str">
        <x:f>IF(J35="Рассчитано","Выручка "&amp;TEXT(V35,"0.00")&amp;" - себестоимость "&amp;TEXT(W35,"0.00")&amp;" - комиссия "&amp;TEXT(V35*R35/100,"0.00")&amp;" - доставка "&amp;TEXT(P35,"0.00")&amp;" - прочие "&amp;TEXT(Q35,"0.00")&amp;" = "&amp;TEXT(G35,"0.00")&amp;" "&amp;L35,"Введите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" s="24" t="n">
        <x:v>0.7952867870856009</x:v>
      </x:c>
      <x:c r="AG35" s="37" t="n">
        <x:v>7</x:v>
      </x:c>
      <x:c r="AH35" s="37" t="n">
        <x:v>0</x:v>
      </x:c>
      <x:c r="AI35" s="30" t="n">
        <x:v>46266</x:v>
      </x:c>
      <x:c r="AJ35" s="37" t="n">
        <x:v>1</x:v>
      </x:c>
      <x:c r="AK35" s="10" t="str">
        <x:v>минимум</x:v>
      </x:c>
      <x:c r="AL35" s="32" t="n">
        <x:v>748.5026066789554</x:v>
      </x:c>
      <x:c r="AM3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5" s="13" t="str">
        <x:v>Проверить свободный остаток и установить цену для B2B</x:v>
      </x:c>
      <x:c r="AO35" s="13" t="str">
        <x:v>Остаток 7; прогноз 90 дней 0.80; избыток 6 шт. Будущие поступления не выставляются на продажу. Остаток на начало сентября: требуется актуализация.</x:v>
      </x:c>
      <x:c r="AP35" s="13" t="str">
        <x:v>["category_missing", "daily_stockout_data_missing", "new_order_lead_time_unknown", "reservations_unknown", "stale_stock"]</x:v>
      </x:c>
      <x:c r="AQ35" s="10" t="str">
        <x:v>IEK:010400955_</x:v>
      </x:c>
      <x:c r="AR35" s="24" t="n">
        <x:v>1</x:v>
      </x:c>
      <x:c r="AS35" s="24" t="n">
        <x:v>0</x:v>
      </x:c>
      <x:c r="AT35" s="24" t="n">
        <x:v>0</x:v>
      </x:c>
    </x:row>
    <x:row r="36" ht="64" customHeight="1">
      <x:c r="A36" s="11" t="str">
        <x:v>IEK</x:v>
      </x:c>
      <x:c r="B36" s="33" t="str">
        <x:v>010400958_</x:v>
      </x:c>
      <x:c r="C36" s="33" t="str">
        <x:v>KKV12-7100-2-64</x:v>
      </x:c>
      <x:c r="D36" s="12" t="str">
        <x:v>Микр. конц. МП-7100 толкатель IP40 IEK</x:v>
      </x:c>
      <x:c r="E36" s="11" t="str">
        <x:v>шт</x:v>
      </x:c>
      <x:c r="F36" s="35" t="n">
        <x:f>MAX(0,ROUNDDOWN((AG36-AF36)/AR36+0.000000001,0)*AR36)</x:f>
        <x:v>7</x:v>
      </x:c>
      <x:c r="G36" s="20" t="str">
        <x:f>IF(J36="Рассчитано",V36*(1-R36/100)-W36-P36-Q36,"н/д")</x:f>
        <x:v>н/д</x:v>
      </x:c>
      <x:c r="H36" s="12" t="str">
        <x:v>Высокий</x:v>
      </x:c>
      <x:c r="I36" s="12" t="str">
        <x:v>Высокий</x:v>
      </x:c>
      <x:c r="J36" s="12" t="str">
        <x:f>IF(L36="","Укажите валюту",IF(NOT(ISNUMBER(K36)),"Укажите объём",IF(K36&lt;=0,"Укажите объём",IF(K36&gt;F36,"Объём выше излишка",IF(COUNT(M36:O36)&lt;3,"Нужны цены",IF(COUNT(P36:R36)&lt;3,"Нужны расходы",IF(OR(M36&lt;0,N36&lt;0,O36&lt;0,O36&gt;100,P36&lt;0,Q36&lt;0,R36&lt;0,R36&gt;100),"Проверьте значения","Рассчитано")))))))</x:f>
        <x:v>Нужны цены</x:v>
      </x:c>
      <x:c r="K36" s="36" t="n">
        <x:v>7</x:v>
      </x:c>
      <x:c r="L36" s="19" t="str">
        <x:v>KZT</x:v>
      </x:c>
      <x:c r="M36" s="22"/>
      <x:c r="N36" s="22"/>
      <x:c r="O36" s="28"/>
      <x:c r="P36" s="22"/>
      <x:c r="Q36" s="22"/>
      <x:c r="R36" s="28"/>
      <x:c r="S36" s="22"/>
      <x:c r="T36" s="35" t="n">
        <x:f>K36</x:f>
        <x:v>7</x:v>
      </x:c>
      <x:c r="U36" s="20" t="str">
        <x:f>IF(J36="Рассчитано",N36*(1-O36/100),"н/д")</x:f>
        <x:v>н/д</x:v>
      </x:c>
      <x:c r="V36" s="20" t="str">
        <x:f>IF(J36="Рассчитано",T36*U36,"н/д")</x:f>
        <x:v>н/д</x:v>
      </x:c>
      <x:c r="W36" s="20" t="str">
        <x:f>IF(J36="Рассчитано",T36*M36,"н/д")</x:f>
        <x:v>н/д</x:v>
      </x:c>
      <x:c r="X36" s="20" t="str">
        <x:f>IF(J36="Рассчитано",V36-W36,"н/д")</x:f>
        <x:v>н/д</x:v>
      </x:c>
      <x:c r="Y36" s="26" t="str">
        <x:f>IF(J36="Рассчитано",IF(V36&gt;0,G36/V36,"н/д"),"н/д")</x:f>
        <x:v>н/д</x:v>
      </x:c>
      <x:c r="Z36" s="20" t="str">
        <x:f>"н/д"</x:f>
        <x:v>н/д</x:v>
      </x:c>
      <x:c r="AA36" s="20" t="str">
        <x:f>"н/д"</x:f>
        <x:v>н/д</x:v>
      </x:c>
      <x:c r="AB36" s="20" t="str">
        <x:f>"н/д"</x:f>
        <x:v>н/д</x:v>
      </x:c>
      <x:c r="AC36" s="20" t="str">
        <x:f>IF(AND(J36="Рассчитано",T36&gt;0,R36&lt;100),(W36+P36+Q36)/(T36*(1-R36/100)),"н/д")</x:f>
        <x:v>н/д</x:v>
      </x:c>
      <x:c r="AD36" s="11" t="str">
        <x:f>IF(ISNUMBER(G36),IF(G36&lt;0,"Убыток",IF(G36=0,"Без прибыли","Прибыль &gt; 0")),"Не оценён")</x:f>
        <x:v>Не оценён</x:v>
      </x:c>
      <x:c r="AE36" s="12" t="str">
        <x:f>IF(J36="Рассчитано","Выручка "&amp;TEXT(V36,"0.00")&amp;" - себестоимость "&amp;TEXT(W36,"0.00")&amp;" - комиссия "&amp;TEXT(V36*R36/100,"0.00")&amp;" - доставка "&amp;TEXT(P36,"0.00")&amp;" - прочие "&amp;TEXT(Q36,"0.00")&amp;" = "&amp;TEXT(G36,"0.00")&amp;" "&amp;L36,"Введите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" s="23" t="n">
        <x:v>0.6599922812780125</x:v>
      </x:c>
      <x:c r="AG36" s="35" t="n">
        <x:v>8</x:v>
      </x:c>
      <x:c r="AH36" s="35" t="n">
        <x:v>0</x:v>
      </x:c>
      <x:c r="AI36" s="29" t="n">
        <x:v>46266</x:v>
      </x:c>
      <x:c r="AJ36" s="35" t="n">
        <x:v>1</x:v>
      </x:c>
      <x:c r="AK36" s="11" t="str">
        <x:v>минимум</x:v>
      </x:c>
      <x:c r="AL36" s="31" t="n">
        <x:v>1030.789948094044</x:v>
      </x:c>
      <x:c r="AM3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6" s="12" t="str">
        <x:v>Проверить свободный остаток и установить цену для B2B</x:v>
      </x:c>
      <x:c r="AO36" s="12" t="str">
        <x:v>Остаток 8; прогноз 90 дней 0.66; избыток 7 шт. Будущие поступления не выставляются на продажу. Остаток на начало сентября: требуется актуализация.</x:v>
      </x:c>
      <x:c r="AP36" s="12" t="str">
        <x:v>["category_missing", "daily_stockout_data_missing", "new_order_lead_time_unknown", "reservations_unknown", "stale_stock"]</x:v>
      </x:c>
      <x:c r="AQ36" s="11" t="str">
        <x:v>IEK:010400958_</x:v>
      </x:c>
      <x:c r="AR36" s="23" t="n">
        <x:v>1</x:v>
      </x:c>
      <x:c r="AS36" s="23" t="n">
        <x:v>0</x:v>
      </x:c>
      <x:c r="AT36" s="23" t="n">
        <x:v>0</x:v>
      </x:c>
    </x:row>
    <x:row r="37" ht="64" customHeight="1">
      <x:c r="A37" s="10" t="str">
        <x:v>IEK</x:v>
      </x:c>
      <x:c r="B37" s="34" t="str">
        <x:v>010500001_</x:v>
      </x:c>
      <x:c r="C37" s="34" t="str">
        <x:v>MVA20-1-001-C</x:v>
      </x:c>
      <x:c r="D37" s="13" t="str">
        <x:v>ВА47-29 (1ф)   1А IEK (12/144)</x:v>
      </x:c>
      <x:c r="E37" s="10" t="str">
        <x:v>шт</x:v>
      </x:c>
      <x:c r="F37" s="37" t="n">
        <x:f>MAX(0,ROUNDDOWN((AG37-AF37)/AR37+0.000000001,0)*AR37)</x:f>
        <x:v>6</x:v>
      </x:c>
      <x:c r="G37" s="21" t="str">
        <x:f>IF(J37="Рассчитано",V37*(1-R37/100)-W37-P37-Q37,"н/д")</x:f>
        <x:v>н/д</x:v>
      </x:c>
      <x:c r="H37" s="13" t="str">
        <x:v>Высокий</x:v>
      </x:c>
      <x:c r="I37" s="13" t="str">
        <x:v>Средний</x:v>
      </x:c>
      <x:c r="J37" s="13" t="str">
        <x:f>IF(L37="","Укажите валюту",IF(NOT(ISNUMBER(K37)),"Укажите объём",IF(K37&lt;=0,"Укажите объём",IF(K37&gt;F37,"Объём выше излишка",IF(COUNT(M37:O37)&lt;3,"Нужны цены",IF(COUNT(P37:R37)&lt;3,"Нужны расходы",IF(OR(M37&lt;0,N37&lt;0,O37&lt;0,O37&gt;100,P37&lt;0,Q37&lt;0,R37&lt;0,R37&gt;100),"Проверьте значения","Рассчитано")))))))</x:f>
        <x:v>Нужны цены</x:v>
      </x:c>
      <x:c r="K37" s="36" t="n">
        <x:v>6</x:v>
      </x:c>
      <x:c r="L37" s="19" t="str">
        <x:v>KZT</x:v>
      </x:c>
      <x:c r="M37" s="22"/>
      <x:c r="N37" s="22"/>
      <x:c r="O37" s="28"/>
      <x:c r="P37" s="22"/>
      <x:c r="Q37" s="22"/>
      <x:c r="R37" s="28"/>
      <x:c r="S37" s="22"/>
      <x:c r="T37" s="37" t="n">
        <x:f>K37</x:f>
        <x:v>6</x:v>
      </x:c>
      <x:c r="U37" s="21" t="str">
        <x:f>IF(J37="Рассчитано",N37*(1-O37/100),"н/д")</x:f>
        <x:v>н/д</x:v>
      </x:c>
      <x:c r="V37" s="21" t="str">
        <x:f>IF(J37="Рассчитано",T37*U37,"н/д")</x:f>
        <x:v>н/д</x:v>
      </x:c>
      <x:c r="W37" s="21" t="str">
        <x:f>IF(J37="Рассчитано",T37*M37,"н/д")</x:f>
        <x:v>н/д</x:v>
      </x:c>
      <x:c r="X37" s="21" t="str">
        <x:f>IF(J37="Рассчитано",V37-W37,"н/д")</x:f>
        <x:v>н/д</x:v>
      </x:c>
      <x:c r="Y37" s="27" t="str">
        <x:f>IF(J37="Рассчитано",IF(V37&gt;0,G37/V37,"н/д"),"н/д")</x:f>
        <x:v>н/д</x:v>
      </x:c>
      <x:c r="Z37" s="21" t="str">
        <x:f>"н/д"</x:f>
        <x:v>н/д</x:v>
      </x:c>
      <x:c r="AA37" s="21" t="str">
        <x:f>"н/д"</x:f>
        <x:v>н/д</x:v>
      </x:c>
      <x:c r="AB37" s="21" t="str">
        <x:f>"н/д"</x:f>
        <x:v>н/д</x:v>
      </x:c>
      <x:c r="AC37" s="21" t="str">
        <x:f>IF(AND(J37="Рассчитано",T37&gt;0,R37&lt;100),(W37+P37+Q37)/(T37*(1-R37/100)),"н/д")</x:f>
        <x:v>н/д</x:v>
      </x:c>
      <x:c r="AD37" s="10" t="str">
        <x:f>IF(ISNUMBER(G37),IF(G37&lt;0,"Убыток",IF(G37=0,"Без прибыли","Прибыль &gt; 0")),"Не оценён")</x:f>
        <x:v>Не оценён</x:v>
      </x:c>
      <x:c r="AE37" s="13" t="str">
        <x:f>IF(J37="Рассчитано","Выручка "&amp;TEXT(V37,"0.00")&amp;" - себестоимость "&amp;TEXT(W37,"0.00")&amp;" - комиссия "&amp;TEXT(V37*R37/100,"0.00")&amp;" - доставка "&amp;TEXT(P37,"0.00")&amp;" - прочие "&amp;TEXT(Q37,"0.00")&amp;" = "&amp;TEXT(G37,"0.00")&amp;" "&amp;L37,"Введите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" s="24" t="n">
        <x:v>102.629343259826</x:v>
      </x:c>
      <x:c r="AG37" s="37" t="n">
        <x:v>109</x:v>
      </x:c>
      <x:c r="AH37" s="37" t="n">
        <x:v>0</x:v>
      </x:c>
      <x:c r="AI37" s="30" t="n">
        <x:v>46266</x:v>
      </x:c>
      <x:c r="AJ37" s="37" t="n">
        <x:v>12</x:v>
      </x:c>
      <x:c r="AK37" s="10" t="str">
        <x:v>минимум</x:v>
      </x:c>
      <x:c r="AL37" s="32" t="n">
        <x:v>90.31793352781315</x:v>
      </x:c>
      <x:c r="AM3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37" s="13" t="str">
        <x:v>Проверить свободный остаток и установить цену для B2B</x:v>
      </x:c>
      <x:c r="AO37" s="13" t="str">
        <x:v>Остаток 109; прогноз 90 дней 102.63; избыток 6 шт. Будущие поступления не выставляются на продажу. Остаток на начало сентября: требуется актуализация.</x:v>
      </x:c>
      <x:c r="AP37" s="13" t="str">
        <x:v>["category_missing", "daily_stockout_data_missing", "large_orders_detected", "new_order_lead_time_unknown", "reservations_unknown", "stale_stock", "transaction_month_mismatch"]</x:v>
      </x:c>
      <x:c r="AQ37" s="10" t="str">
        <x:v>IEK:010500001_</x:v>
      </x:c>
      <x:c r="AR37" s="24" t="n">
        <x:v>1</x:v>
      </x:c>
      <x:c r="AS37" s="24" t="n">
        <x:v>0</x:v>
      </x:c>
      <x:c r="AT37" s="24" t="n">
        <x:v>0</x:v>
      </x:c>
    </x:row>
    <x:row r="38" ht="64" customHeight="1">
      <x:c r="A38" s="11" t="str">
        <x:v>IEK</x:v>
      </x:c>
      <x:c r="B38" s="33" t="str">
        <x:v>010500003_</x:v>
      </x:c>
      <x:c r="C38" s="33" t="str">
        <x:v>MVA20-1-002-C</x:v>
      </x:c>
      <x:c r="D38" s="12" t="str">
        <x:v>ВА47-29 (1ф)   2А IEK (12/144)</x:v>
      </x:c>
      <x:c r="E38" s="11" t="str">
        <x:v>шт</x:v>
      </x:c>
      <x:c r="F38" s="35" t="n">
        <x:f>MAX(0,ROUNDDOWN((AG38-AF38)/AR38+0.000000001,0)*AR38)</x:f>
        <x:v>132</x:v>
      </x:c>
      <x:c r="G38" s="20" t="str">
        <x:f>IF(J38="Рассчитано",V38*(1-R38/100)-W38-P38-Q38,"н/д")</x:f>
        <x:v>н/д</x:v>
      </x:c>
      <x:c r="H38" s="12" t="str">
        <x:v>Высокий</x:v>
      </x:c>
      <x:c r="I38" s="12" t="str">
        <x:v>Высокий</x:v>
      </x:c>
      <x:c r="J38" s="12" t="str">
        <x:f>IF(L38="","Укажите валюту",IF(NOT(ISNUMBER(K38)),"Укажите объём",IF(K38&lt;=0,"Укажите объём",IF(K38&gt;F38,"Объём выше излишка",IF(COUNT(M38:O38)&lt;3,"Нужны цены",IF(COUNT(P38:R38)&lt;3,"Нужны расходы",IF(OR(M38&lt;0,N38&lt;0,O38&lt;0,O38&gt;100,P38&lt;0,Q38&lt;0,R38&lt;0,R38&gt;100),"Проверьте значения","Рассчитано")))))))</x:f>
        <x:v>Нужны цены</x:v>
      </x:c>
      <x:c r="K38" s="36" t="n">
        <x:v>132</x:v>
      </x:c>
      <x:c r="L38" s="19" t="str">
        <x:v>KZT</x:v>
      </x:c>
      <x:c r="M38" s="22"/>
      <x:c r="N38" s="22"/>
      <x:c r="O38" s="28"/>
      <x:c r="P38" s="22"/>
      <x:c r="Q38" s="22"/>
      <x:c r="R38" s="28"/>
      <x:c r="S38" s="22"/>
      <x:c r="T38" s="35" t="n">
        <x:f>K38</x:f>
        <x:v>132</x:v>
      </x:c>
      <x:c r="U38" s="20" t="str">
        <x:f>IF(J38="Рассчитано",N38*(1-O38/100),"н/д")</x:f>
        <x:v>н/д</x:v>
      </x:c>
      <x:c r="V38" s="20" t="str">
        <x:f>IF(J38="Рассчитано",T38*U38,"н/д")</x:f>
        <x:v>н/д</x:v>
      </x:c>
      <x:c r="W38" s="20" t="str">
        <x:f>IF(J38="Рассчитано",T38*M38,"н/д")</x:f>
        <x:v>н/д</x:v>
      </x:c>
      <x:c r="X38" s="20" t="str">
        <x:f>IF(J38="Рассчитано",V38-W38,"н/д")</x:f>
        <x:v>н/д</x:v>
      </x:c>
      <x:c r="Y38" s="26" t="str">
        <x:f>IF(J38="Рассчитано",IF(V38&gt;0,G38/V38,"н/д"),"н/д")</x:f>
        <x:v>н/д</x:v>
      </x:c>
      <x:c r="Z38" s="20" t="str">
        <x:f>"н/д"</x:f>
        <x:v>н/д</x:v>
      </x:c>
      <x:c r="AA38" s="20" t="str">
        <x:f>"н/д"</x:f>
        <x:v>н/д</x:v>
      </x:c>
      <x:c r="AB38" s="20" t="str">
        <x:f>"н/д"</x:f>
        <x:v>н/д</x:v>
      </x:c>
      <x:c r="AC38" s="20" t="str">
        <x:f>IF(AND(J38="Рассчитано",T38&gt;0,R38&lt;100),(W38+P38+Q38)/(T38*(1-R38/100)),"н/д")</x:f>
        <x:v>н/д</x:v>
      </x:c>
      <x:c r="AD38" s="11" t="str">
        <x:f>IF(ISNUMBER(G38),IF(G38&lt;0,"Убыток",IF(G38=0,"Без прибыли","Прибыль &gt; 0")),"Не оценён")</x:f>
        <x:v>Не оценён</x:v>
      </x:c>
      <x:c r="AE38" s="12" t="str">
        <x:f>IF(J38="Рассчитано","Выручка "&amp;TEXT(V38,"0.00")&amp;" - себестоимость "&amp;TEXT(W38,"0.00")&amp;" - комиссия "&amp;TEXT(V38*R38/100,"0.00")&amp;" - доставка "&amp;TEXT(P38,"0.00")&amp;" - прочие "&amp;TEXT(Q38,"0.00")&amp;" = "&amp;TEXT(G38,"0.00")&amp;" "&amp;L38,"Введите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" s="23" t="n">
        <x:v>65.50435833826626</x:v>
      </x:c>
      <x:c r="AG38" s="35" t="n">
        <x:v>198</x:v>
      </x:c>
      <x:c r="AH38" s="35" t="n">
        <x:v>48</x:v>
      </x:c>
      <x:c r="AI38" s="29" t="n">
        <x:v>46266</x:v>
      </x:c>
      <x:c r="AJ38" s="35" t="n">
        <x:v>12</x:v>
      </x:c>
      <x:c r="AK38" s="11" t="str">
        <x:v>минимум</x:v>
      </x:c>
      <x:c r="AL38" s="31" t="n">
        <x:v>257.0478867182381</x:v>
      </x:c>
      <x:c r="AM38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38" s="12" t="str">
        <x:v>Проверить свободный остаток и установить цену для B2B</x:v>
      </x:c>
      <x:c r="AO38" s="12" t="str">
        <x:v>Остаток 198; прогноз 90 дней 65.50; избыток 132 шт. Будущие поступления не выставляются на продажу. Остаток на начало сентября: требуется актуализация.</x:v>
      </x:c>
      <x:c r="AP38" s="12" t="str">
        <x:v>["category_missing", "daily_stockout_data_missing", "large_orders_detected", "new_order_lead_time_unknown", "reservations_unknown", "stale_stock", "transaction_month_mismatch"]</x:v>
      </x:c>
      <x:c r="AQ38" s="11" t="str">
        <x:v>IEK:010500003_</x:v>
      </x:c>
      <x:c r="AR38" s="23" t="n">
        <x:v>1</x:v>
      </x:c>
      <x:c r="AS38" s="23" t="n">
        <x:v>0</x:v>
      </x:c>
      <x:c r="AT38" s="23" t="n">
        <x:v>0</x:v>
      </x:c>
    </x:row>
    <x:row r="39" ht="64" customHeight="1">
      <x:c r="A39" s="10" t="str">
        <x:v>IEK</x:v>
      </x:c>
      <x:c r="B39" s="34" t="str">
        <x:v>010500008_</x:v>
      </x:c>
      <x:c r="C39" s="34" t="str">
        <x:v>MVA20-1-025-C</x:v>
      </x:c>
      <x:c r="D39" s="13" t="str">
        <x:v>ВА47-29 (1ф) 25А IEK (12/144)</x:v>
      </x:c>
      <x:c r="E39" s="10" t="str">
        <x:v>шт</x:v>
      </x:c>
      <x:c r="F39" s="37" t="n">
        <x:f>MAX(0,ROUNDDOWN((AG39-AF39)/AR39+0.000000001,0)*AR39)</x:f>
        <x:v>571</x:v>
      </x:c>
      <x:c r="G39" s="21" t="str">
        <x:f>IF(J39="Рассчитано",V39*(1-R39/100)-W39-P39-Q39,"н/д")</x:f>
        <x:v>н/д</x:v>
      </x:c>
      <x:c r="H39" s="13" t="str">
        <x:v>Высокий</x:v>
      </x:c>
      <x:c r="I39" s="13" t="str">
        <x:v>Средний</x:v>
      </x:c>
      <x:c r="J39" s="13" t="str">
        <x:f>IF(L39="","Укажите валюту",IF(NOT(ISNUMBER(K39)),"Укажите объём",IF(K39&lt;=0,"Укажите объём",IF(K39&gt;F39,"Объём выше излишка",IF(COUNT(M39:O39)&lt;3,"Нужны цены",IF(COUNT(P39:R39)&lt;3,"Нужны расходы",IF(OR(M39&lt;0,N39&lt;0,O39&lt;0,O39&gt;100,P39&lt;0,Q39&lt;0,R39&lt;0,R39&gt;100),"Проверьте значения","Рассчитано")))))))</x:f>
        <x:v>Нужны цены</x:v>
      </x:c>
      <x:c r="K39" s="36" t="n">
        <x:v>571</x:v>
      </x:c>
      <x:c r="L39" s="19" t="str">
        <x:v>KZT</x:v>
      </x:c>
      <x:c r="M39" s="22"/>
      <x:c r="N39" s="22"/>
      <x:c r="O39" s="28"/>
      <x:c r="P39" s="22"/>
      <x:c r="Q39" s="22"/>
      <x:c r="R39" s="28"/>
      <x:c r="S39" s="22"/>
      <x:c r="T39" s="37" t="n">
        <x:f>K39</x:f>
        <x:v>571</x:v>
      </x:c>
      <x:c r="U39" s="21" t="str">
        <x:f>IF(J39="Рассчитано",N39*(1-O39/100),"н/д")</x:f>
        <x:v>н/д</x:v>
      </x:c>
      <x:c r="V39" s="21" t="str">
        <x:f>IF(J39="Рассчитано",T39*U39,"н/д")</x:f>
        <x:v>н/д</x:v>
      </x:c>
      <x:c r="W39" s="21" t="str">
        <x:f>IF(J39="Рассчитано",T39*M39,"н/д")</x:f>
        <x:v>н/д</x:v>
      </x:c>
      <x:c r="X39" s="21" t="str">
        <x:f>IF(J39="Рассчитано",V39-W39,"н/д")</x:f>
        <x:v>н/д</x:v>
      </x:c>
      <x:c r="Y39" s="27" t="str">
        <x:f>IF(J39="Рассчитано",IF(V39&gt;0,G39/V39,"н/д"),"н/д")</x:f>
        <x:v>н/д</x:v>
      </x:c>
      <x:c r="Z39" s="21" t="str">
        <x:f>"н/д"</x:f>
        <x:v>н/д</x:v>
      </x:c>
      <x:c r="AA39" s="21" t="str">
        <x:f>"н/д"</x:f>
        <x:v>н/д</x:v>
      </x:c>
      <x:c r="AB39" s="21" t="str">
        <x:f>"н/д"</x:f>
        <x:v>н/д</x:v>
      </x:c>
      <x:c r="AC39" s="21" t="str">
        <x:f>IF(AND(J39="Рассчитано",T39&gt;0,R39&lt;100),(W39+P39+Q39)/(T39*(1-R39/100)),"н/д")</x:f>
        <x:v>н/д</x:v>
      </x:c>
      <x:c r="AD39" s="10" t="str">
        <x:f>IF(ISNUMBER(G39),IF(G39&lt;0,"Убыток",IF(G39=0,"Без прибыли","Прибыль &gt; 0")),"Не оценён")</x:f>
        <x:v>Не оценён</x:v>
      </x:c>
      <x:c r="AE39" s="13" t="str">
        <x:f>IF(J39="Рассчитано","Выручка "&amp;TEXT(V39,"0.00")&amp;" - себестоимость "&amp;TEXT(W39,"0.00")&amp;" - комиссия "&amp;TEXT(V39*R39/100,"0.00")&amp;" - доставка "&amp;TEXT(P39,"0.00")&amp;" - прочие "&amp;TEXT(Q39,"0.00")&amp;" = "&amp;TEXT(G39,"0.00")&amp;" "&amp;L39,"Введите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" s="24" t="n">
        <x:v>39161.18067089155</x:v>
      </x:c>
      <x:c r="AG39" s="37" t="n">
        <x:v>39733</x:v>
      </x:c>
      <x:c r="AH39" s="37" t="n">
        <x:v>12000</x:v>
      </x:c>
      <x:c r="AI39" s="30" t="n">
        <x:v>46266</x:v>
      </x:c>
      <x:c r="AJ39" s="37" t="n">
        <x:v>12</x:v>
      </x:c>
      <x:c r="AK39" s="10" t="str">
        <x:v>минимум</x:v>
      </x:c>
      <x:c r="AL39" s="32" t="n">
        <x:v>86.28089166063481</x:v>
      </x:c>
      <x:c r="AM3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39" s="13" t="str">
        <x:v>Проверить свободный остаток и установить цену для B2B</x:v>
      </x:c>
      <x:c r="AO39" s="13" t="str">
        <x:v>Остаток 39733; прогноз 90 дней 39161.18; избыток 571 шт. Будущие поступления не выставляются на продажу. Остаток на начало сентября: требуется актуализация.</x:v>
      </x:c>
      <x:c r="AP39" s="13" t="str">
        <x:v>["category_missing", "daily_stockout_data_missing", "large_orders_detected", "new_order_lead_time_unknown", "reservations_unknown", "stale_stock", "transaction_month_mismatch"]</x:v>
      </x:c>
      <x:c r="AQ39" s="10" t="str">
        <x:v>IEK:010500008_</x:v>
      </x:c>
      <x:c r="AR39" s="24" t="n">
        <x:v>1</x:v>
      </x:c>
      <x:c r="AS39" s="24" t="n">
        <x:v>0</x:v>
      </x:c>
      <x:c r="AT39" s="24" t="n">
        <x:v>0</x:v>
      </x:c>
    </x:row>
    <x:row r="40" ht="64" customHeight="1">
      <x:c r="A40" s="11" t="str">
        <x:v>IEK</x:v>
      </x:c>
      <x:c r="B40" s="33" t="str">
        <x:v>010500020_</x:v>
      </x:c>
      <x:c r="C40" s="33" t="str">
        <x:v>MVA20-2-020-C</x:v>
      </x:c>
      <x:c r="D40" s="12" t="str">
        <x:v>ВА47-29 (2ф) 20А IEK (6/72)</x:v>
      </x:c>
      <x:c r="E40" s="11" t="str">
        <x:v>шт</x:v>
      </x:c>
      <x:c r="F40" s="35" t="n">
        <x:f>MAX(0,ROUNDDOWN((AG40-AF40)/AR40+0.000000001,0)*AR40)</x:f>
        <x:v>2</x:v>
      </x:c>
      <x:c r="G40" s="20" t="str">
        <x:f>IF(J40="Рассчитано",V40*(1-R40/100)-W40-P40-Q40,"н/д")</x:f>
        <x:v>н/д</x:v>
      </x:c>
      <x:c r="H40" s="12" t="str">
        <x:v>Высокий</x:v>
      </x:c>
      <x:c r="I40" s="12" t="str">
        <x:v>Средний</x:v>
      </x:c>
      <x:c r="J40" s="12" t="str">
        <x:f>IF(L40="","Укажите валюту",IF(NOT(ISNUMBER(K40)),"Укажите объём",IF(K40&lt;=0,"Укажите объём",IF(K40&gt;F40,"Объём выше излишка",IF(COUNT(M40:O40)&lt;3,"Нужны цены",IF(COUNT(P40:R40)&lt;3,"Нужны расходы",IF(OR(M40&lt;0,N40&lt;0,O40&lt;0,O40&gt;100,P40&lt;0,Q40&lt;0,R40&lt;0,R40&gt;100),"Проверьте значения","Рассчитано")))))))</x:f>
        <x:v>Нужны цены</x:v>
      </x:c>
      <x:c r="K40" s="36" t="n">
        <x:v>2</x:v>
      </x:c>
      <x:c r="L40" s="19" t="str">
        <x:v>KZT</x:v>
      </x:c>
      <x:c r="M40" s="22"/>
      <x:c r="N40" s="22"/>
      <x:c r="O40" s="28"/>
      <x:c r="P40" s="22"/>
      <x:c r="Q40" s="22"/>
      <x:c r="R40" s="28"/>
      <x:c r="S40" s="22"/>
      <x:c r="T40" s="35" t="n">
        <x:f>K40</x:f>
        <x:v>2</x:v>
      </x:c>
      <x:c r="U40" s="20" t="str">
        <x:f>IF(J40="Рассчитано",N40*(1-O40/100),"н/д")</x:f>
        <x:v>н/д</x:v>
      </x:c>
      <x:c r="V40" s="20" t="str">
        <x:f>IF(J40="Рассчитано",T40*U40,"н/д")</x:f>
        <x:v>н/д</x:v>
      </x:c>
      <x:c r="W40" s="20" t="str">
        <x:f>IF(J40="Рассчитано",T40*M40,"н/д")</x:f>
        <x:v>н/д</x:v>
      </x:c>
      <x:c r="X40" s="20" t="str">
        <x:f>IF(J40="Рассчитано",V40-W40,"н/д")</x:f>
        <x:v>н/д</x:v>
      </x:c>
      <x:c r="Y40" s="26" t="str">
        <x:f>IF(J40="Рассчитано",IF(V40&gt;0,G40/V40,"н/д"),"н/д")</x:f>
        <x:v>н/д</x:v>
      </x:c>
      <x:c r="Z40" s="20" t="str">
        <x:f>"н/д"</x:f>
        <x:v>н/д</x:v>
      </x:c>
      <x:c r="AA40" s="20" t="str">
        <x:f>"н/д"</x:f>
        <x:v>н/д</x:v>
      </x:c>
      <x:c r="AB40" s="20" t="str">
        <x:f>"н/д"</x:f>
        <x:v>н/д</x:v>
      </x:c>
      <x:c r="AC40" s="20" t="str">
        <x:f>IF(AND(J40="Рассчитано",T40&gt;0,R40&lt;100),(W40+P40+Q40)/(T40*(1-R40/100)),"н/д")</x:f>
        <x:v>н/д</x:v>
      </x:c>
      <x:c r="AD40" s="11" t="str">
        <x:f>IF(ISNUMBER(G40),IF(G40&lt;0,"Убыток",IF(G40=0,"Без прибыли","Прибыль &gt; 0")),"Не оценён")</x:f>
        <x:v>Не оценён</x:v>
      </x:c>
      <x:c r="AE40" s="12" t="str">
        <x:f>IF(J40="Рассчитано","Выручка "&amp;TEXT(V40,"0.00")&amp;" - себестоимость "&amp;TEXT(W40,"0.00")&amp;" - комиссия "&amp;TEXT(V40*R40/100,"0.00")&amp;" - доставка "&amp;TEXT(P40,"0.00")&amp;" - прочие "&amp;TEXT(Q40,"0.00")&amp;" = "&amp;TEXT(G40,"0.00")&amp;" "&amp;L40,"Введите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" s="23" t="n">
        <x:v>45.95874817747008</x:v>
      </x:c>
      <x:c r="AG40" s="35" t="n">
        <x:v>48</x:v>
      </x:c>
      <x:c r="AH40" s="35" t="n">
        <x:v>60</x:v>
      </x:c>
      <x:c r="AI40" s="29" t="n">
        <x:v>46266</x:v>
      </x:c>
      <x:c r="AJ40" s="35" t="n">
        <x:v>6</x:v>
      </x:c>
      <x:c r="AK40" s="11" t="str">
        <x:v>минимум</x:v>
      </x:c>
      <x:c r="AL40" s="31" t="n">
        <x:v>88.81618011883135</x:v>
      </x:c>
      <x:c r="AM4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0" s="12" t="str">
        <x:v>Проверить свободный остаток и установить цену для B2B</x:v>
      </x:c>
      <x:c r="AO40" s="12" t="str">
        <x:v>Остаток 48; прогноз 90 дней 45.96; избыток 2 шт. Будущие поступления не выставляются на продажу. Остаток на начало сентября: требуется актуализация.</x:v>
      </x:c>
      <x:c r="AP40" s="12" t="str">
        <x:v>["category_missing", "daily_stockout_data_missing", "large_orders_detected", "new_order_lead_time_unknown", "reservations_unknown", "stale_stock", "transaction_month_mismatch"]</x:v>
      </x:c>
      <x:c r="AQ40" s="11" t="str">
        <x:v>IEK:010500020_</x:v>
      </x:c>
      <x:c r="AR40" s="23" t="n">
        <x:v>1</x:v>
      </x:c>
      <x:c r="AS40" s="23" t="n">
        <x:v>0</x:v>
      </x:c>
      <x:c r="AT40" s="23" t="n">
        <x:v>0</x:v>
      </x:c>
    </x:row>
    <x:row r="41" ht="64" customHeight="1">
      <x:c r="A41" s="10" t="str">
        <x:v>IEK</x:v>
      </x:c>
      <x:c r="B41" s="34" t="str">
        <x:v>010500023_</x:v>
      </x:c>
      <x:c r="C41" s="34" t="str">
        <x:v>MVA20-2-040-C</x:v>
      </x:c>
      <x:c r="D41" s="13" t="str">
        <x:v>ВА47-29 (2ф) 40А IEK (6/72)</x:v>
      </x:c>
      <x:c r="E41" s="10" t="str">
        <x:v>шт</x:v>
      </x:c>
      <x:c r="F41" s="37" t="n">
        <x:f>MAX(0,ROUNDDOWN((AG41-AF41)/AR41+0.000000001,0)*AR41)</x:f>
        <x:v>249</x:v>
      </x:c>
      <x:c r="G41" s="21" t="str">
        <x:f>IF(J41="Рассчитано",V41*(1-R41/100)-W41-P41-Q41,"н/д")</x:f>
        <x:v>н/д</x:v>
      </x:c>
      <x:c r="H41" s="13" t="str">
        <x:v>Высокий</x:v>
      </x:c>
      <x:c r="I41" s="13" t="str">
        <x:v>Средний</x:v>
      </x:c>
      <x:c r="J41" s="13" t="str">
        <x:f>IF(L41="","Укажите валюту",IF(NOT(ISNUMBER(K41)),"Укажите объём",IF(K41&lt;=0,"Укажите объём",IF(K41&gt;F41,"Объём выше излишка",IF(COUNT(M41:O41)&lt;3,"Нужны цены",IF(COUNT(P41:R41)&lt;3,"Нужны расходы",IF(OR(M41&lt;0,N41&lt;0,O41&lt;0,O41&gt;100,P41&lt;0,Q41&lt;0,R41&lt;0,R41&gt;100),"Проверьте значения","Рассчитано")))))))</x:f>
        <x:v>Нужны цены</x:v>
      </x:c>
      <x:c r="K41" s="36" t="n">
        <x:v>249</x:v>
      </x:c>
      <x:c r="L41" s="19" t="str">
        <x:v>KZT</x:v>
      </x:c>
      <x:c r="M41" s="22"/>
      <x:c r="N41" s="22"/>
      <x:c r="O41" s="28"/>
      <x:c r="P41" s="22"/>
      <x:c r="Q41" s="22"/>
      <x:c r="R41" s="28"/>
      <x:c r="S41" s="22"/>
      <x:c r="T41" s="37" t="n">
        <x:f>K41</x:f>
        <x:v>249</x:v>
      </x:c>
      <x:c r="U41" s="21" t="str">
        <x:f>IF(J41="Рассчитано",N41*(1-O41/100),"н/д")</x:f>
        <x:v>н/д</x:v>
      </x:c>
      <x:c r="V41" s="21" t="str">
        <x:f>IF(J41="Рассчитано",T41*U41,"н/д")</x:f>
        <x:v>н/д</x:v>
      </x:c>
      <x:c r="W41" s="21" t="str">
        <x:f>IF(J41="Рассчитано",T41*M41,"н/д")</x:f>
        <x:v>н/д</x:v>
      </x:c>
      <x:c r="X41" s="21" t="str">
        <x:f>IF(J41="Рассчитано",V41-W41,"н/д")</x:f>
        <x:v>н/д</x:v>
      </x:c>
      <x:c r="Y41" s="27" t="str">
        <x:f>IF(J41="Рассчитано",IF(V41&gt;0,G41/V41,"н/д"),"н/д")</x:f>
        <x:v>н/д</x:v>
      </x:c>
      <x:c r="Z41" s="21" t="str">
        <x:f>"н/д"</x:f>
        <x:v>н/д</x:v>
      </x:c>
      <x:c r="AA41" s="21" t="str">
        <x:f>"н/д"</x:f>
        <x:v>н/д</x:v>
      </x:c>
      <x:c r="AB41" s="21" t="str">
        <x:f>"н/д"</x:f>
        <x:v>н/д</x:v>
      </x:c>
      <x:c r="AC41" s="21" t="str">
        <x:f>IF(AND(J41="Рассчитано",T41&gt;0,R41&lt;100),(W41+P41+Q41)/(T41*(1-R41/100)),"н/д")</x:f>
        <x:v>н/д</x:v>
      </x:c>
      <x:c r="AD41" s="10" t="str">
        <x:f>IF(ISNUMBER(G41),IF(G41&lt;0,"Убыток",IF(G41=0,"Без прибыли","Прибыль &gt; 0")),"Не оценён")</x:f>
        <x:v>Не оценён</x:v>
      </x:c>
      <x:c r="AE41" s="13" t="str">
        <x:f>IF(J41="Рассчитано","Выручка "&amp;TEXT(V41,"0.00")&amp;" - себестоимость "&amp;TEXT(W41,"0.00")&amp;" - комиссия "&amp;TEXT(V41*R41/100,"0.00")&amp;" - доставка "&amp;TEXT(P41,"0.00")&amp;" - прочие "&amp;TEXT(Q41,"0.00")&amp;" = "&amp;TEXT(G41,"0.00")&amp;" "&amp;L41,"Введите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" s="24" t="n">
        <x:v>1933.2852753090408</x:v>
      </x:c>
      <x:c r="AG41" s="37" t="n">
        <x:v>2183</x:v>
      </x:c>
      <x:c r="AH41" s="37" t="n">
        <x:v>0</x:v>
      </x:c>
      <x:c r="AI41" s="30" t="n">
        <x:v>46266</x:v>
      </x:c>
      <x:c r="AJ41" s="37" t="n">
        <x:v>6</x:v>
      </x:c>
      <x:c r="AK41" s="10" t="str">
        <x:v>минимум</x:v>
      </x:c>
      <x:c r="AL41" s="32" t="n">
        <x:v>96.02334634743274</x:v>
      </x:c>
      <x:c r="AM4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1" s="13" t="str">
        <x:v>Проверить свободный остаток и установить цену для B2B</x:v>
      </x:c>
      <x:c r="AO41" s="13" t="str">
        <x:v>Остаток 2183; прогноз 90 дней 1933.29; избыток 249 шт. Будущие поступления не выставляются на продажу. Остаток на начало сентября: требуется актуализация.</x:v>
      </x:c>
      <x:c r="AP41" s="13" t="str">
        <x:v>["category_missing", "daily_stockout_data_missing", "large_orders_detected", "new_order_lead_time_unknown", "reservations_unknown", "stale_stock", "transaction_month_mismatch"]</x:v>
      </x:c>
      <x:c r="AQ41" s="10" t="str">
        <x:v>IEK:010500023_</x:v>
      </x:c>
      <x:c r="AR41" s="24" t="n">
        <x:v>1</x:v>
      </x:c>
      <x:c r="AS41" s="24" t="n">
        <x:v>0</x:v>
      </x:c>
      <x:c r="AT41" s="24" t="n">
        <x:v>0</x:v>
      </x:c>
    </x:row>
    <x:row r="42" ht="64" customHeight="1">
      <x:c r="A42" s="11" t="str">
        <x:v>IEK</x:v>
      </x:c>
      <x:c r="B42" s="33" t="str">
        <x:v>010500024_</x:v>
      </x:c>
      <x:c r="C42" s="33" t="str">
        <x:v>MVA20-2-050-C</x:v>
      </x:c>
      <x:c r="D42" s="12" t="str">
        <x:v>ВА47-29 (2ф) 50А IEK (6/72)</x:v>
      </x:c>
      <x:c r="E42" s="11" t="str">
        <x:v>шт</x:v>
      </x:c>
      <x:c r="F42" s="35" t="n">
        <x:f>MAX(0,ROUNDDOWN((AG42-AF42)/AR42+0.000000001,0)*AR42)</x:f>
        <x:v>303</x:v>
      </x:c>
      <x:c r="G42" s="20" t="str">
        <x:f>IF(J42="Рассчитано",V42*(1-R42/100)-W42-P42-Q42,"н/д")</x:f>
        <x:v>н/д</x:v>
      </x:c>
      <x:c r="H42" s="12" t="str">
        <x:v>Высокий</x:v>
      </x:c>
      <x:c r="I42" s="12" t="str">
        <x:v>Средний</x:v>
      </x:c>
      <x:c r="J42" s="12" t="str">
        <x:f>IF(L42="","Укажите валюту",IF(NOT(ISNUMBER(K42)),"Укажите объём",IF(K42&lt;=0,"Укажите объём",IF(K42&gt;F42,"Объём выше излишка",IF(COUNT(M42:O42)&lt;3,"Нужны цены",IF(COUNT(P42:R42)&lt;3,"Нужны расходы",IF(OR(M42&lt;0,N42&lt;0,O42&lt;0,O42&gt;100,P42&lt;0,Q42&lt;0,R42&lt;0,R42&gt;100),"Проверьте значения","Рассчитано")))))))</x:f>
        <x:v>Нужны цены</x:v>
      </x:c>
      <x:c r="K42" s="36" t="n">
        <x:v>303</x:v>
      </x:c>
      <x:c r="L42" s="19" t="str">
        <x:v>KZT</x:v>
      </x:c>
      <x:c r="M42" s="22"/>
      <x:c r="N42" s="22"/>
      <x:c r="O42" s="28"/>
      <x:c r="P42" s="22"/>
      <x:c r="Q42" s="22"/>
      <x:c r="R42" s="28"/>
      <x:c r="S42" s="22"/>
      <x:c r="T42" s="35" t="n">
        <x:f>K42</x:f>
        <x:v>303</x:v>
      </x:c>
      <x:c r="U42" s="20" t="str">
        <x:f>IF(J42="Рассчитано",N42*(1-O42/100),"н/д")</x:f>
        <x:v>н/д</x:v>
      </x:c>
      <x:c r="V42" s="20" t="str">
        <x:f>IF(J42="Рассчитано",T42*U42,"н/д")</x:f>
        <x:v>н/д</x:v>
      </x:c>
      <x:c r="W42" s="20" t="str">
        <x:f>IF(J42="Рассчитано",T42*M42,"н/д")</x:f>
        <x:v>н/д</x:v>
      </x:c>
      <x:c r="X42" s="20" t="str">
        <x:f>IF(J42="Рассчитано",V42-W42,"н/д")</x:f>
        <x:v>н/д</x:v>
      </x:c>
      <x:c r="Y42" s="26" t="str">
        <x:f>IF(J42="Рассчитано",IF(V42&gt;0,G42/V42,"н/д"),"н/д")</x:f>
        <x:v>н/д</x:v>
      </x:c>
      <x:c r="Z42" s="20" t="str">
        <x:f>"н/д"</x:f>
        <x:v>н/д</x:v>
      </x:c>
      <x:c r="AA42" s="20" t="str">
        <x:f>"н/д"</x:f>
        <x:v>н/д</x:v>
      </x:c>
      <x:c r="AB42" s="20" t="str">
        <x:f>"н/д"</x:f>
        <x:v>н/д</x:v>
      </x:c>
      <x:c r="AC42" s="20" t="str">
        <x:f>IF(AND(J42="Рассчитано",T42&gt;0,R42&lt;100),(W42+P42+Q42)/(T42*(1-R42/100)),"н/д")</x:f>
        <x:v>н/д</x:v>
      </x:c>
      <x:c r="AD42" s="11" t="str">
        <x:f>IF(ISNUMBER(G42),IF(G42&lt;0,"Убыток",IF(G42=0,"Без прибыли","Прибыль &gt; 0")),"Не оценён")</x:f>
        <x:v>Не оценён</x:v>
      </x:c>
      <x:c r="AE42" s="12" t="str">
        <x:f>IF(J42="Рассчитано","Выручка "&amp;TEXT(V42,"0.00")&amp;" - себестоимость "&amp;TEXT(W42,"0.00")&amp;" - комиссия "&amp;TEXT(V42*R42/100,"0.00")&amp;" - доставка "&amp;TEXT(P42,"0.00")&amp;" - прочие "&amp;TEXT(Q42,"0.00")&amp;" = "&amp;TEXT(G42,"0.00")&amp;" "&amp;L42,"Введите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" s="23" t="n">
        <x:v>443.4616556335104</x:v>
      </x:c>
      <x:c r="AG42" s="35" t="n">
        <x:v>747</x:v>
      </x:c>
      <x:c r="AH42" s="35" t="n">
        <x:v>144</x:v>
      </x:c>
      <x:c r="AI42" s="29" t="n">
        <x:v>46266</x:v>
      </x:c>
      <x:c r="AJ42" s="35" t="n">
        <x:v>6</x:v>
      </x:c>
      <x:c r="AK42" s="11" t="str">
        <x:v>минимум</x:v>
      </x:c>
      <x:c r="AL42" s="31" t="n">
        <x:v>143.24635240072433</x:v>
      </x:c>
      <x:c r="AM42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2" s="12" t="str">
        <x:v>Проверить свободный остаток и установить цену для B2B</x:v>
      </x:c>
      <x:c r="AO42" s="12" t="str">
        <x:v>Остаток 747; прогноз 90 дней 443.46; избыток 303 шт. Будущие поступления не выставляются на продажу. Остаток на начало сентября: требуется актуализация.</x:v>
      </x:c>
      <x:c r="AP42" s="12" t="str">
        <x:v>["category_missing", "daily_stockout_data_missing", "large_orders_detected", "new_order_lead_time_unknown", "reservations_unknown", "stale_stock", "transaction_month_mismatch"]</x:v>
      </x:c>
      <x:c r="AQ42" s="11" t="str">
        <x:v>IEK:010500024_</x:v>
      </x:c>
      <x:c r="AR42" s="23" t="n">
        <x:v>1</x:v>
      </x:c>
      <x:c r="AS42" s="23" t="n">
        <x:v>0</x:v>
      </x:c>
      <x:c r="AT42" s="23" t="n">
        <x:v>0</x:v>
      </x:c>
    </x:row>
    <x:row r="43" ht="64" customHeight="1">
      <x:c r="A43" s="10" t="str">
        <x:v>IEK</x:v>
      </x:c>
      <x:c r="B43" s="34" t="str">
        <x:v>010500025_</x:v>
      </x:c>
      <x:c r="C43" s="34" t="str">
        <x:v>MVA20-2-063-C</x:v>
      </x:c>
      <x:c r="D43" s="13" t="str">
        <x:v>ВА47-29 (2ф) 63А IEK (6/72)</x:v>
      </x:c>
      <x:c r="E43" s="10" t="str">
        <x:v>шт</x:v>
      </x:c>
      <x:c r="F43" s="37" t="n">
        <x:f>MAX(0,ROUNDDOWN((AG43-AF43)/AR43+0.000000001,0)*AR43)</x:f>
        <x:v>715</x:v>
      </x:c>
      <x:c r="G43" s="21" t="str">
        <x:f>IF(J43="Рассчитано",V43*(1-R43/100)-W43-P43-Q43,"н/д")</x:f>
        <x:v>н/д</x:v>
      </x:c>
      <x:c r="H43" s="13" t="str">
        <x:v>Высокий</x:v>
      </x:c>
      <x:c r="I43" s="13" t="str">
        <x:v>Средний</x:v>
      </x:c>
      <x:c r="J43" s="13" t="str">
        <x:f>IF(L43="","Укажите валюту",IF(NOT(ISNUMBER(K43)),"Укажите объём",IF(K43&lt;=0,"Укажите объём",IF(K43&gt;F43,"Объём выше излишка",IF(COUNT(M43:O43)&lt;3,"Нужны цены",IF(COUNT(P43:R43)&lt;3,"Нужны расходы",IF(OR(M43&lt;0,N43&lt;0,O43&lt;0,O43&gt;100,P43&lt;0,Q43&lt;0,R43&lt;0,R43&gt;100),"Проверьте значения","Рассчитано")))))))</x:f>
        <x:v>Нужны цены</x:v>
      </x:c>
      <x:c r="K43" s="36" t="n">
        <x:v>715</x:v>
      </x:c>
      <x:c r="L43" s="19" t="str">
        <x:v>KZT</x:v>
      </x:c>
      <x:c r="M43" s="22"/>
      <x:c r="N43" s="22"/>
      <x:c r="O43" s="28"/>
      <x:c r="P43" s="22"/>
      <x:c r="Q43" s="22"/>
      <x:c r="R43" s="28"/>
      <x:c r="S43" s="22"/>
      <x:c r="T43" s="37" t="n">
        <x:f>K43</x:f>
        <x:v>715</x:v>
      </x:c>
      <x:c r="U43" s="21" t="str">
        <x:f>IF(J43="Рассчитано",N43*(1-O43/100),"н/д")</x:f>
        <x:v>н/д</x:v>
      </x:c>
      <x:c r="V43" s="21" t="str">
        <x:f>IF(J43="Рассчитано",T43*U43,"н/д")</x:f>
        <x:v>н/д</x:v>
      </x:c>
      <x:c r="W43" s="21" t="str">
        <x:f>IF(J43="Рассчитано",T43*M43,"н/д")</x:f>
        <x:v>н/д</x:v>
      </x:c>
      <x:c r="X43" s="21" t="str">
        <x:f>IF(J43="Рассчитано",V43-W43,"н/д")</x:f>
        <x:v>н/д</x:v>
      </x:c>
      <x:c r="Y43" s="27" t="str">
        <x:f>IF(J43="Рассчитано",IF(V43&gt;0,G43/V43,"н/д"),"н/д")</x:f>
        <x:v>н/д</x:v>
      </x:c>
      <x:c r="Z43" s="21" t="str">
        <x:f>"н/д"</x:f>
        <x:v>н/д</x:v>
      </x:c>
      <x:c r="AA43" s="21" t="str">
        <x:f>"н/д"</x:f>
        <x:v>н/д</x:v>
      </x:c>
      <x:c r="AB43" s="21" t="str">
        <x:f>"н/д"</x:f>
        <x:v>н/д</x:v>
      </x:c>
      <x:c r="AC43" s="21" t="str">
        <x:f>IF(AND(J43="Рассчитано",T43&gt;0,R43&lt;100),(W43+P43+Q43)/(T43*(1-R43/100)),"н/д")</x:f>
        <x:v>н/д</x:v>
      </x:c>
      <x:c r="AD43" s="10" t="str">
        <x:f>IF(ISNUMBER(G43),IF(G43&lt;0,"Убыток",IF(G43=0,"Без прибыли","Прибыль &gt; 0")),"Не оценён")</x:f>
        <x:v>Не оценён</x:v>
      </x:c>
      <x:c r="AE43" s="13" t="str">
        <x:f>IF(J43="Рассчитано","Выручка "&amp;TEXT(V43,"0.00")&amp;" - себестоимость "&amp;TEXT(W43,"0.00")&amp;" - комиссия "&amp;TEXT(V43*R43/100,"0.00")&amp;" - доставка "&amp;TEXT(P43,"0.00")&amp;" - прочие "&amp;TEXT(Q43,"0.00")&amp;" = "&amp;TEXT(G43,"0.00")&amp;" "&amp;L43,"Введите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" s="24" t="n">
        <x:v>830.3780470280341</x:v>
      </x:c>
      <x:c r="AG43" s="37" t="n">
        <x:v>1546</x:v>
      </x:c>
      <x:c r="AH43" s="37" t="n">
        <x:v>480</x:v>
      </x:c>
      <x:c r="AI43" s="30" t="n">
        <x:v>46266</x:v>
      </x:c>
      <x:c r="AJ43" s="37" t="n">
        <x:v>6</x:v>
      </x:c>
      <x:c r="AK43" s="10" t="str">
        <x:v>минимум</x:v>
      </x:c>
      <x:c r="AL43" s="32" t="n">
        <x:v>158.3261585847068</x:v>
      </x:c>
      <x:c r="AM43" s="13" t="str">
        <x:v>Остаток на начало сентября; Резервы неизвестны; Нет ежедневных данных доступности. Запас выше прогноза на 90 дней</x:v>
      </x:c>
      <x:c r="AN43" s="13" t="str">
        <x:v>Проверить свободный остаток и установить цену для B2B</x:v>
      </x:c>
      <x:c r="AO43" s="13" t="str">
        <x:v>Остаток 1546; прогноз 90 дней 830.38; избыток 715 шт. Будущие поступления не выставляются на продажу. Остаток на начало сентября: требуется актуализация.</x:v>
      </x:c>
      <x:c r="AP43" s="13" t="str">
        <x:v>["category_missing", "daily_stockout_data_missing", "large_orders_detected", "new_order_lead_time_unknown", "reservations_unknown", "stale_stock"]</x:v>
      </x:c>
      <x:c r="AQ43" s="10" t="str">
        <x:v>IEK:010500025_</x:v>
      </x:c>
      <x:c r="AR43" s="24" t="n">
        <x:v>1</x:v>
      </x:c>
      <x:c r="AS43" s="24" t="n">
        <x:v>0</x:v>
      </x:c>
      <x:c r="AT43" s="24" t="n">
        <x:v>0</x:v>
      </x:c>
    </x:row>
    <x:row r="44" ht="64" customHeight="1">
      <x:c r="A44" s="11" t="str">
        <x:v>IEK</x:v>
      </x:c>
      <x:c r="B44" s="33" t="str">
        <x:v>010500032_</x:v>
      </x:c>
      <x:c r="C44" s="33" t="str">
        <x:v>MVA20-3-010-C</x:v>
      </x:c>
      <x:c r="D44" s="12" t="str">
        <x:v>ВА47-29 (3ф) 10А IEK (4/48)</x:v>
      </x:c>
      <x:c r="E44" s="11" t="str">
        <x:v>шт</x:v>
      </x:c>
      <x:c r="F44" s="35" t="n">
        <x:f>MAX(0,ROUNDDOWN((AG44-AF44)/AR44+0.000000001,0)*AR44)</x:f>
        <x:v>342</x:v>
      </x:c>
      <x:c r="G44" s="20" t="str">
        <x:f>IF(J44="Рассчитано",V44*(1-R44/100)-W44-P44-Q44,"н/д")</x:f>
        <x:v>н/д</x:v>
      </x:c>
      <x:c r="H44" s="12" t="str">
        <x:v>Высокий</x:v>
      </x:c>
      <x:c r="I44" s="12" t="str">
        <x:v>Высокий</x:v>
      </x:c>
      <x:c r="J44" s="12" t="str">
        <x:f>IF(L44="","Укажите валюту",IF(NOT(ISNUMBER(K44)),"Укажите объём",IF(K44&lt;=0,"Укажите объём",IF(K44&gt;F44,"Объём выше излишка",IF(COUNT(M44:O44)&lt;3,"Нужны цены",IF(COUNT(P44:R44)&lt;3,"Нужны расходы",IF(OR(M44&lt;0,N44&lt;0,O44&lt;0,O44&gt;100,P44&lt;0,Q44&lt;0,R44&lt;0,R44&gt;100),"Проверьте значения","Рассчитано")))))))</x:f>
        <x:v>Нужны цены</x:v>
      </x:c>
      <x:c r="K44" s="36" t="n">
        <x:v>342</x:v>
      </x:c>
      <x:c r="L44" s="19" t="str">
        <x:v>KZT</x:v>
      </x:c>
      <x:c r="M44" s="22"/>
      <x:c r="N44" s="22"/>
      <x:c r="O44" s="28"/>
      <x:c r="P44" s="22"/>
      <x:c r="Q44" s="22"/>
      <x:c r="R44" s="28"/>
      <x:c r="S44" s="22"/>
      <x:c r="T44" s="35" t="n">
        <x:f>K44</x:f>
        <x:v>342</x:v>
      </x:c>
      <x:c r="U44" s="20" t="str">
        <x:f>IF(J44="Рассчитано",N44*(1-O44/100),"н/д")</x:f>
        <x:v>н/д</x:v>
      </x:c>
      <x:c r="V44" s="20" t="str">
        <x:f>IF(J44="Рассчитано",T44*U44,"н/д")</x:f>
        <x:v>н/д</x:v>
      </x:c>
      <x:c r="W44" s="20" t="str">
        <x:f>IF(J44="Рассчитано",T44*M44,"н/д")</x:f>
        <x:v>н/д</x:v>
      </x:c>
      <x:c r="X44" s="20" t="str">
        <x:f>IF(J44="Рассчитано",V44-W44,"н/д")</x:f>
        <x:v>н/д</x:v>
      </x:c>
      <x:c r="Y44" s="26" t="str">
        <x:f>IF(J44="Рассчитано",IF(V44&gt;0,G44/V44,"н/д"),"н/д")</x:f>
        <x:v>н/д</x:v>
      </x:c>
      <x:c r="Z44" s="20" t="str">
        <x:f>"н/д"</x:f>
        <x:v>н/д</x:v>
      </x:c>
      <x:c r="AA44" s="20" t="str">
        <x:f>"н/д"</x:f>
        <x:v>н/д</x:v>
      </x:c>
      <x:c r="AB44" s="20" t="str">
        <x:f>"н/д"</x:f>
        <x:v>н/д</x:v>
      </x:c>
      <x:c r="AC44" s="20" t="str">
        <x:f>IF(AND(J44="Рассчитано",T44&gt;0,R44&lt;100),(W44+P44+Q44)/(T44*(1-R44/100)),"н/д")</x:f>
        <x:v>н/д</x:v>
      </x:c>
      <x:c r="AD44" s="11" t="str">
        <x:f>IF(ISNUMBER(G44),IF(G44&lt;0,"Убыток",IF(G44=0,"Без прибыли","Прибыль &gt; 0")),"Не оценён")</x:f>
        <x:v>Не оценён</x:v>
      </x:c>
      <x:c r="AE44" s="12" t="str">
        <x:f>IF(J44="Рассчитано","Выручка "&amp;TEXT(V44,"0.00")&amp;" - себестоимость "&amp;TEXT(W44,"0.00")&amp;" - комиссия "&amp;TEXT(V44*R44/100,"0.00")&amp;" - доставка "&amp;TEXT(P44,"0.00")&amp;" - прочие "&amp;TEXT(Q44,"0.00")&amp;" = "&amp;TEXT(G44,"0.00")&amp;" "&amp;L44,"Введите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" s="23" t="n">
        <x:v>240.93047965282622</x:v>
      </x:c>
      <x:c r="AG44" s="35" t="n">
        <x:v>583</x:v>
      </x:c>
      <x:c r="AH44" s="35" t="n">
        <x:v>96</x:v>
      </x:c>
      <x:c r="AI44" s="29" t="n">
        <x:v>46266</x:v>
      </x:c>
      <x:c r="AJ44" s="35" t="n">
        <x:v>4</x:v>
      </x:c>
      <x:c r="AK44" s="11" t="str">
        <x:v>минимум</x:v>
      </x:c>
      <x:c r="AL44" s="31" t="n">
        <x:v>205.77653677785162</x:v>
      </x:c>
      <x:c r="AM44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44" s="12" t="str">
        <x:v>Проверить свободный остаток и установить цену для B2B</x:v>
      </x:c>
      <x:c r="AO44" s="12" t="str">
        <x:v>Остаток 583; прогноз 90 дней 240.93; избыток 342 шт. Будущие поступления не выставляются на продажу. Остаток на начало сентября: требуется актуализация.</x:v>
      </x:c>
      <x:c r="AP44" s="12" t="str">
        <x:v>["category_missing", "daily_stockout_data_missing", "large_orders_detected", "new_order_lead_time_unknown", "reservations_unknown", "stale_stock", "transaction_month_mismatch"]</x:v>
      </x:c>
      <x:c r="AQ44" s="11" t="str">
        <x:v>IEK:010500032_</x:v>
      </x:c>
      <x:c r="AR44" s="23" t="n">
        <x:v>1</x:v>
      </x:c>
      <x:c r="AS44" s="23" t="n">
        <x:v>0</x:v>
      </x:c>
      <x:c r="AT44" s="23" t="n">
        <x:v>0</x:v>
      </x:c>
    </x:row>
    <x:row r="45" ht="64" customHeight="1">
      <x:c r="A45" s="10" t="str">
        <x:v>IEK</x:v>
      </x:c>
      <x:c r="B45" s="34" t="str">
        <x:v>010500033_</x:v>
      </x:c>
      <x:c r="C45" s="34" t="str">
        <x:v>MVA20-3-016-C</x:v>
      </x:c>
      <x:c r="D45" s="13" t="str">
        <x:v>ВА47-29 (3ф) 16А IEK (4/48)</x:v>
      </x:c>
      <x:c r="E45" s="10" t="str">
        <x:v>шт</x:v>
      </x:c>
      <x:c r="F45" s="37" t="n">
        <x:f>MAX(0,ROUNDDOWN((AG45-AF45)/AR45+0.000000001,0)*AR45)</x:f>
        <x:v>88</x:v>
      </x:c>
      <x:c r="G45" s="21" t="str">
        <x:f>IF(J45="Рассчитано",V45*(1-R45/100)-W45-P45-Q45,"н/д")</x:f>
        <x:v>н/д</x:v>
      </x:c>
      <x:c r="H45" s="13" t="str">
        <x:v>Высокий</x:v>
      </x:c>
      <x:c r="I45" s="13" t="str">
        <x:v>Средний</x:v>
      </x:c>
      <x:c r="J45" s="13" t="str">
        <x:f>IF(L45="","Укажите валюту",IF(NOT(ISNUMBER(K45)),"Укажите объём",IF(K45&lt;=0,"Укажите объём",IF(K45&gt;F45,"Объём выше излишка",IF(COUNT(M45:O45)&lt;3,"Нужны цены",IF(COUNT(P45:R45)&lt;3,"Нужны расходы",IF(OR(M45&lt;0,N45&lt;0,O45&lt;0,O45&gt;100,P45&lt;0,Q45&lt;0,R45&lt;0,R45&gt;100),"Проверьте значения","Рассчитано")))))))</x:f>
        <x:v>Нужны цены</x:v>
      </x:c>
      <x:c r="K45" s="36" t="n">
        <x:v>88</x:v>
      </x:c>
      <x:c r="L45" s="19" t="str">
        <x:v>KZT</x:v>
      </x:c>
      <x:c r="M45" s="22"/>
      <x:c r="N45" s="22"/>
      <x:c r="O45" s="28"/>
      <x:c r="P45" s="22"/>
      <x:c r="Q45" s="22"/>
      <x:c r="R45" s="28"/>
      <x:c r="S45" s="22"/>
      <x:c r="T45" s="37" t="n">
        <x:f>K45</x:f>
        <x:v>88</x:v>
      </x:c>
      <x:c r="U45" s="21" t="str">
        <x:f>IF(J45="Рассчитано",N45*(1-O45/100),"н/д")</x:f>
        <x:v>н/д</x:v>
      </x:c>
      <x:c r="V45" s="21" t="str">
        <x:f>IF(J45="Рассчитано",T45*U45,"н/д")</x:f>
        <x:v>н/д</x:v>
      </x:c>
      <x:c r="W45" s="21" t="str">
        <x:f>IF(J45="Рассчитано",T45*M45,"н/д")</x:f>
        <x:v>н/д</x:v>
      </x:c>
      <x:c r="X45" s="21" t="str">
        <x:f>IF(J45="Рассчитано",V45-W45,"н/д")</x:f>
        <x:v>н/д</x:v>
      </x:c>
      <x:c r="Y45" s="27" t="str">
        <x:f>IF(J45="Рассчитано",IF(V45&gt;0,G45/V45,"н/д"),"н/д")</x:f>
        <x:v>н/д</x:v>
      </x:c>
      <x:c r="Z45" s="21" t="str">
        <x:f>"н/д"</x:f>
        <x:v>н/д</x:v>
      </x:c>
      <x:c r="AA45" s="21" t="str">
        <x:f>"н/д"</x:f>
        <x:v>н/д</x:v>
      </x:c>
      <x:c r="AB45" s="21" t="str">
        <x:f>"н/д"</x:f>
        <x:v>н/д</x:v>
      </x:c>
      <x:c r="AC45" s="21" t="str">
        <x:f>IF(AND(J45="Рассчитано",T45&gt;0,R45&lt;100),(W45+P45+Q45)/(T45*(1-R45/100)),"н/д")</x:f>
        <x:v>н/д</x:v>
      </x:c>
      <x:c r="AD45" s="10" t="str">
        <x:f>IF(ISNUMBER(G45),IF(G45&lt;0,"Убыток",IF(G45=0,"Без прибыли","Прибыль &gt; 0")),"Не оценён")</x:f>
        <x:v>Не оценён</x:v>
      </x:c>
      <x:c r="AE45" s="13" t="str">
        <x:f>IF(J45="Рассчитано","Выручка "&amp;TEXT(V45,"0.00")&amp;" - себестоимость "&amp;TEXT(W45,"0.00")&amp;" - комиссия "&amp;TEXT(V45*R45/100,"0.00")&amp;" - доставка "&amp;TEXT(P45,"0.00")&amp;" - прочие "&amp;TEXT(Q45,"0.00")&amp;" = "&amp;TEXT(G45,"0.00")&amp;" "&amp;L45,"Введите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" s="24" t="n">
        <x:v>2433.1362575652315</x:v>
      </x:c>
      <x:c r="AG45" s="37" t="n">
        <x:v>2522</x:v>
      </x:c>
      <x:c r="AH45" s="37" t="n">
        <x:v>960</x:v>
      </x:c>
      <x:c r="AI45" s="30" t="n">
        <x:v>46266</x:v>
      </x:c>
      <x:c r="AJ45" s="37" t="n">
        <x:v>4</x:v>
      </x:c>
      <x:c r="AK45" s="10" t="str">
        <x:v>минимум</x:v>
      </x:c>
      <x:c r="AL45" s="32" t="n">
        <x:v>88.14500282679543</x:v>
      </x:c>
      <x:c r="AM4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5" s="13" t="str">
        <x:v>Проверить свободный остаток и установить цену для B2B</x:v>
      </x:c>
      <x:c r="AO45" s="13" t="str">
        <x:v>Остаток 2522; прогноз 90 дней 2433.14; избыток 88 шт. Будущие поступления не выставляются на продажу. Остаток на начало сентября: требуется актуализация.</x:v>
      </x:c>
      <x:c r="AP45" s="13" t="str">
        <x:v>["category_missing", "daily_stockout_data_missing", "large_orders_detected", "new_order_lead_time_unknown", "reservations_unknown", "stale_stock", "transaction_month_mismatch"]</x:v>
      </x:c>
      <x:c r="AQ45" s="10" t="str">
        <x:v>IEK:010500033_</x:v>
      </x:c>
      <x:c r="AR45" s="24" t="n">
        <x:v>1</x:v>
      </x:c>
      <x:c r="AS45" s="24" t="n">
        <x:v>0</x:v>
      </x:c>
      <x:c r="AT45" s="24" t="n">
        <x:v>0</x:v>
      </x:c>
    </x:row>
    <x:row r="46" ht="64" customHeight="1">
      <x:c r="A46" s="11" t="str">
        <x:v>IEK</x:v>
      </x:c>
      <x:c r="B46" s="33" t="str">
        <x:v>010500035_</x:v>
      </x:c>
      <x:c r="C46" s="33" t="str">
        <x:v>MVA20-3-025-C</x:v>
      </x:c>
      <x:c r="D46" s="12" t="str">
        <x:v>ВА47-29 (3ф) 25А IEK (4/48)</x:v>
      </x:c>
      <x:c r="E46" s="11" t="str">
        <x:v>шт</x:v>
      </x:c>
      <x:c r="F46" s="35" t="n">
        <x:f>MAX(0,ROUNDDOWN((AG46-AF46)/AR46+0.000000001,0)*AR46)</x:f>
        <x:v>571</x:v>
      </x:c>
      <x:c r="G46" s="20" t="str">
        <x:f>IF(J46="Рассчитано",V46*(1-R46/100)-W46-P46-Q46,"н/д")</x:f>
        <x:v>н/д</x:v>
      </x:c>
      <x:c r="H46" s="12" t="str">
        <x:v>Высокий</x:v>
      </x:c>
      <x:c r="I46" s="12" t="str">
        <x:v>Средний</x:v>
      </x:c>
      <x:c r="J46" s="12" t="str">
        <x:f>IF(L46="","Укажите валюту",IF(NOT(ISNUMBER(K46)),"Укажите объём",IF(K46&lt;=0,"Укажите объём",IF(K46&gt;F46,"Объём выше излишка",IF(COUNT(M46:O46)&lt;3,"Нужны цены",IF(COUNT(P46:R46)&lt;3,"Нужны расходы",IF(OR(M46&lt;0,N46&lt;0,O46&lt;0,O46&gt;100,P46&lt;0,Q46&lt;0,R46&lt;0,R46&gt;100),"Проверьте значения","Рассчитано")))))))</x:f>
        <x:v>Нужны цены</x:v>
      </x:c>
      <x:c r="K46" s="36" t="n">
        <x:v>571</x:v>
      </x:c>
      <x:c r="L46" s="19" t="str">
        <x:v>KZT</x:v>
      </x:c>
      <x:c r="M46" s="22"/>
      <x:c r="N46" s="22"/>
      <x:c r="O46" s="28"/>
      <x:c r="P46" s="22"/>
      <x:c r="Q46" s="22"/>
      <x:c r="R46" s="28"/>
      <x:c r="S46" s="22"/>
      <x:c r="T46" s="35" t="n">
        <x:f>K46</x:f>
        <x:v>571</x:v>
      </x:c>
      <x:c r="U46" s="20" t="str">
        <x:f>IF(J46="Рассчитано",N46*(1-O46/100),"н/д")</x:f>
        <x:v>н/д</x:v>
      </x:c>
      <x:c r="V46" s="20" t="str">
        <x:f>IF(J46="Рассчитано",T46*U46,"н/д")</x:f>
        <x:v>н/д</x:v>
      </x:c>
      <x:c r="W46" s="20" t="str">
        <x:f>IF(J46="Рассчитано",T46*M46,"н/д")</x:f>
        <x:v>н/д</x:v>
      </x:c>
      <x:c r="X46" s="20" t="str">
        <x:f>IF(J46="Рассчитано",V46-W46,"н/д")</x:f>
        <x:v>н/д</x:v>
      </x:c>
      <x:c r="Y46" s="26" t="str">
        <x:f>IF(J46="Рассчитано",IF(V46&gt;0,G46/V46,"н/д"),"н/д")</x:f>
        <x:v>н/д</x:v>
      </x:c>
      <x:c r="Z46" s="20" t="str">
        <x:f>"н/д"</x:f>
        <x:v>н/д</x:v>
      </x:c>
      <x:c r="AA46" s="20" t="str">
        <x:f>"н/д"</x:f>
        <x:v>н/д</x:v>
      </x:c>
      <x:c r="AB46" s="20" t="str">
        <x:f>"н/д"</x:f>
        <x:v>н/д</x:v>
      </x:c>
      <x:c r="AC46" s="20" t="str">
        <x:f>IF(AND(J46="Рассчитано",T46&gt;0,R46&lt;100),(W46+P46+Q46)/(T46*(1-R46/100)),"н/д")</x:f>
        <x:v>н/д</x:v>
      </x:c>
      <x:c r="AD46" s="11" t="str">
        <x:f>IF(ISNUMBER(G46),IF(G46&lt;0,"Убыток",IF(G46=0,"Без прибыли","Прибыль &gt; 0")),"Не оценён")</x:f>
        <x:v>Не оценён</x:v>
      </x:c>
      <x:c r="AE46" s="12" t="str">
        <x:f>IF(J46="Рассчитано","Выручка "&amp;TEXT(V46,"0.00")&amp;" - себестоимость "&amp;TEXT(W46,"0.00")&amp;" - комиссия "&amp;TEXT(V46*R46/100,"0.00")&amp;" - доставка "&amp;TEXT(P46,"0.00")&amp;" - прочие "&amp;TEXT(Q46,"0.00")&amp;" = "&amp;TEXT(G46,"0.00")&amp;" "&amp;L46,"Введите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" s="23" t="n">
        <x:v>4656.733274936153</x:v>
      </x:c>
      <x:c r="AG46" s="35" t="n">
        <x:v>5228</x:v>
      </x:c>
      <x:c r="AH46" s="35" t="n">
        <x:v>0</x:v>
      </x:c>
      <x:c r="AI46" s="29" t="n">
        <x:v>46266</x:v>
      </x:c>
      <x:c r="AJ46" s="35" t="n">
        <x:v>4</x:v>
      </x:c>
      <x:c r="AK46" s="11" t="str">
        <x:v>минимум</x:v>
      </x:c>
      <x:c r="AL46" s="31" t="n">
        <x:v>95.47139309230269</x:v>
      </x:c>
      <x:c r="AM4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6" s="12" t="str">
        <x:v>Проверить свободный остаток и установить цену для B2B</x:v>
      </x:c>
      <x:c r="AO46" s="12" t="str">
        <x:v>Остаток 5228; прогноз 90 дней 4656.73; избыток 571 шт. Будущие поступления не выставляются на продажу. Остаток на начало сентября: требуется актуализация.</x:v>
      </x:c>
      <x:c r="AP46" s="12" t="str">
        <x:v>["category_missing", "daily_stockout_data_missing", "large_orders_detected", "new_order_lead_time_unknown", "reservations_unknown", "stale_stock", "transaction_month_mismatch"]</x:v>
      </x:c>
      <x:c r="AQ46" s="11" t="str">
        <x:v>IEK:010500035_</x:v>
      </x:c>
      <x:c r="AR46" s="23" t="n">
        <x:v>1</x:v>
      </x:c>
      <x:c r="AS46" s="23" t="n">
        <x:v>0</x:v>
      </x:c>
      <x:c r="AT46" s="23" t="n">
        <x:v>0</x:v>
      </x:c>
    </x:row>
    <x:row r="47" ht="64" customHeight="1">
      <x:c r="A47" s="10" t="str">
        <x:v>IEK</x:v>
      </x:c>
      <x:c r="B47" s="34" t="str">
        <x:v>010500038_</x:v>
      </x:c>
      <x:c r="C47" s="34" t="str">
        <x:v>MVA20-3-050-C</x:v>
      </x:c>
      <x:c r="D47" s="13" t="str">
        <x:v>ВА47-29 (3ф) 50А IEK (4/48)</x:v>
      </x:c>
      <x:c r="E47" s="10" t="str">
        <x:v>шт</x:v>
      </x:c>
      <x:c r="F47" s="37" t="n">
        <x:f>MAX(0,ROUNDDOWN((AG47-AF47)/AR47+0.000000001,0)*AR47)</x:f>
        <x:v>626</x:v>
      </x:c>
      <x:c r="G47" s="21" t="str">
        <x:f>IF(J47="Рассчитано",V47*(1-R47/100)-W47-P47-Q47,"н/д")</x:f>
        <x:v>н/д</x:v>
      </x:c>
      <x:c r="H47" s="13" t="str">
        <x:v>Высокий</x:v>
      </x:c>
      <x:c r="I47" s="13" t="str">
        <x:v>Средний</x:v>
      </x:c>
      <x:c r="J47" s="13" t="str">
        <x:f>IF(L47="","Укажите валюту",IF(NOT(ISNUMBER(K47)),"Укажите объём",IF(K47&lt;=0,"Укажите объём",IF(K47&gt;F47,"Объём выше излишка",IF(COUNT(M47:O47)&lt;3,"Нужны цены",IF(COUNT(P47:R47)&lt;3,"Нужны расходы",IF(OR(M47&lt;0,N47&lt;0,O47&lt;0,O47&gt;100,P47&lt;0,Q47&lt;0,R47&lt;0,R47&gt;100),"Проверьте значения","Рассчитано")))))))</x:f>
        <x:v>Нужны цены</x:v>
      </x:c>
      <x:c r="K47" s="36" t="n">
        <x:v>626</x:v>
      </x:c>
      <x:c r="L47" s="19" t="str">
        <x:v>KZT</x:v>
      </x:c>
      <x:c r="M47" s="22"/>
      <x:c r="N47" s="22"/>
      <x:c r="O47" s="28"/>
      <x:c r="P47" s="22"/>
      <x:c r="Q47" s="22"/>
      <x:c r="R47" s="28"/>
      <x:c r="S47" s="22"/>
      <x:c r="T47" s="37" t="n">
        <x:f>K47</x:f>
        <x:v>626</x:v>
      </x:c>
      <x:c r="U47" s="21" t="str">
        <x:f>IF(J47="Рассчитано",N47*(1-O47/100),"н/д")</x:f>
        <x:v>н/д</x:v>
      </x:c>
      <x:c r="V47" s="21" t="str">
        <x:f>IF(J47="Рассчитано",T47*U47,"н/д")</x:f>
        <x:v>н/д</x:v>
      </x:c>
      <x:c r="W47" s="21" t="str">
        <x:f>IF(J47="Рассчитано",T47*M47,"н/д")</x:f>
        <x:v>н/д</x:v>
      </x:c>
      <x:c r="X47" s="21" t="str">
        <x:f>IF(J47="Рассчитано",V47-W47,"н/д")</x:f>
        <x:v>н/д</x:v>
      </x:c>
      <x:c r="Y47" s="27" t="str">
        <x:f>IF(J47="Рассчитано",IF(V47&gt;0,G47/V47,"н/д"),"н/д")</x:f>
        <x:v>н/д</x:v>
      </x:c>
      <x:c r="Z47" s="21" t="str">
        <x:f>"н/д"</x:f>
        <x:v>н/д</x:v>
      </x:c>
      <x:c r="AA47" s="21" t="str">
        <x:f>"н/д"</x:f>
        <x:v>н/д</x:v>
      </x:c>
      <x:c r="AB47" s="21" t="str">
        <x:f>"н/д"</x:f>
        <x:v>н/д</x:v>
      </x:c>
      <x:c r="AC47" s="21" t="str">
        <x:f>IF(AND(J47="Рассчитано",T47&gt;0,R47&lt;100),(W47+P47+Q47)/(T47*(1-R47/100)),"н/д")</x:f>
        <x:v>н/д</x:v>
      </x:c>
      <x:c r="AD47" s="10" t="str">
        <x:f>IF(ISNUMBER(G47),IF(G47&lt;0,"Убыток",IF(G47=0,"Без прибыли","Прибыль &gt; 0")),"Не оценён")</x:f>
        <x:v>Не оценён</x:v>
      </x:c>
      <x:c r="AE47" s="13" t="str">
        <x:f>IF(J47="Рассчитано","Выручка "&amp;TEXT(V47,"0.00")&amp;" - себестоимость "&amp;TEXT(W47,"0.00")&amp;" - комиссия "&amp;TEXT(V47*R47/100,"0.00")&amp;" - доставка "&amp;TEXT(P47,"0.00")&amp;" - прочие "&amp;TEXT(Q47,"0.00")&amp;" = "&amp;TEXT(G47,"0.00")&amp;" "&amp;L47,"Введите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" s="24" t="n">
        <x:v>1099.0958959207421</x:v>
      </x:c>
      <x:c r="AG47" s="37" t="n">
        <x:v>1726</x:v>
      </x:c>
      <x:c r="AH47" s="37" t="n">
        <x:v>240</x:v>
      </x:c>
      <x:c r="AI47" s="30" t="n">
        <x:v>46266</x:v>
      </x:c>
      <x:c r="AJ47" s="37" t="n">
        <x:v>4</x:v>
      </x:c>
      <x:c r="AK47" s="10" t="str">
        <x:v>минимум</x:v>
      </x:c>
      <x:c r="AL47" s="32" t="n">
        <x:v>133.54395973490873</x:v>
      </x:c>
      <x:c r="AM4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7" s="13" t="str">
        <x:v>Проверить свободный остаток и установить цену для B2B</x:v>
      </x:c>
      <x:c r="AO47" s="13" t="str">
        <x:v>Остаток 1726; прогноз 90 дней 1099.10; избыток 626 шт. Будущие поступления не выставляются на продажу. Остаток на начало сентября: требуется актуализация.</x:v>
      </x:c>
      <x:c r="AP47" s="13" t="str">
        <x:v>["category_missing", "daily_stockout_data_missing", "large_orders_detected", "new_order_lead_time_unknown", "reservations_unknown", "stale_stock", "transaction_month_mismatch"]</x:v>
      </x:c>
      <x:c r="AQ47" s="10" t="str">
        <x:v>IEK:010500038_</x:v>
      </x:c>
      <x:c r="AR47" s="24" t="n">
        <x:v>1</x:v>
      </x:c>
      <x:c r="AS47" s="24" t="n">
        <x:v>0</x:v>
      </x:c>
      <x:c r="AT47" s="24" t="n">
        <x:v>0</x:v>
      </x:c>
    </x:row>
    <x:row r="48" ht="64" customHeight="1">
      <x:c r="A48" s="11" t="str">
        <x:v>IEK</x:v>
      </x:c>
      <x:c r="B48" s="33" t="str">
        <x:v>010500039_</x:v>
      </x:c>
      <x:c r="C48" s="33" t="str">
        <x:v>MVA20-3-063-C</x:v>
      </x:c>
      <x:c r="D48" s="12" t="str">
        <x:v>ВА47-29 (3ф) 63А IEK (4/48)</x:v>
      </x:c>
      <x:c r="E48" s="11" t="str">
        <x:v>шт</x:v>
      </x:c>
      <x:c r="F48" s="35" t="n">
        <x:f>MAX(0,ROUNDDOWN((AG48-AF48)/AR48+0.000000001,0)*AR48)</x:f>
        <x:v>269</x:v>
      </x:c>
      <x:c r="G48" s="20" t="str">
        <x:f>IF(J48="Рассчитано",V48*(1-R48/100)-W48-P48-Q48,"н/д")</x:f>
        <x:v>н/д</x:v>
      </x:c>
      <x:c r="H48" s="12" t="str">
        <x:v>Высокий</x:v>
      </x:c>
      <x:c r="I48" s="12" t="str">
        <x:v>Средний</x:v>
      </x:c>
      <x:c r="J48" s="12" t="str">
        <x:f>IF(L48="","Укажите валюту",IF(NOT(ISNUMBER(K48)),"Укажите объём",IF(K48&lt;=0,"Укажите объём",IF(K48&gt;F48,"Объём выше излишка",IF(COUNT(M48:O48)&lt;3,"Нужны цены",IF(COUNT(P48:R48)&lt;3,"Нужны расходы",IF(OR(M48&lt;0,N48&lt;0,O48&lt;0,O48&gt;100,P48&lt;0,Q48&lt;0,R48&lt;0,R48&gt;100),"Проверьте значения","Рассчитано")))))))</x:f>
        <x:v>Нужны цены</x:v>
      </x:c>
      <x:c r="K48" s="36" t="n">
        <x:v>269</x:v>
      </x:c>
      <x:c r="L48" s="19" t="str">
        <x:v>KZT</x:v>
      </x:c>
      <x:c r="M48" s="22"/>
      <x:c r="N48" s="22"/>
      <x:c r="O48" s="28"/>
      <x:c r="P48" s="22"/>
      <x:c r="Q48" s="22"/>
      <x:c r="R48" s="28"/>
      <x:c r="S48" s="22"/>
      <x:c r="T48" s="35" t="n">
        <x:f>K48</x:f>
        <x:v>269</x:v>
      </x:c>
      <x:c r="U48" s="20" t="str">
        <x:f>IF(J48="Рассчитано",N48*(1-O48/100),"н/д")</x:f>
        <x:v>н/д</x:v>
      </x:c>
      <x:c r="V48" s="20" t="str">
        <x:f>IF(J48="Рассчитано",T48*U48,"н/д")</x:f>
        <x:v>н/д</x:v>
      </x:c>
      <x:c r="W48" s="20" t="str">
        <x:f>IF(J48="Рассчитано",T48*M48,"н/д")</x:f>
        <x:v>н/д</x:v>
      </x:c>
      <x:c r="X48" s="20" t="str">
        <x:f>IF(J48="Рассчитано",V48-W48,"н/д")</x:f>
        <x:v>н/д</x:v>
      </x:c>
      <x:c r="Y48" s="26" t="str">
        <x:f>IF(J48="Рассчитано",IF(V48&gt;0,G48/V48,"н/д"),"н/д")</x:f>
        <x:v>н/д</x:v>
      </x:c>
      <x:c r="Z48" s="20" t="str">
        <x:f>"н/д"</x:f>
        <x:v>н/д</x:v>
      </x:c>
      <x:c r="AA48" s="20" t="str">
        <x:f>"н/д"</x:f>
        <x:v>н/д</x:v>
      </x:c>
      <x:c r="AB48" s="20" t="str">
        <x:f>"н/д"</x:f>
        <x:v>н/д</x:v>
      </x:c>
      <x:c r="AC48" s="20" t="str">
        <x:f>IF(AND(J48="Рассчитано",T48&gt;0,R48&lt;100),(W48+P48+Q48)/(T48*(1-R48/100)),"н/д")</x:f>
        <x:v>н/д</x:v>
      </x:c>
      <x:c r="AD48" s="11" t="str">
        <x:f>IF(ISNUMBER(G48),IF(G48&lt;0,"Убыток",IF(G48=0,"Без прибыли","Прибыль &gt; 0")),"Не оценён")</x:f>
        <x:v>Не оценён</x:v>
      </x:c>
      <x:c r="AE48" s="12" t="str">
        <x:f>IF(J48="Рассчитано","Выручка "&amp;TEXT(V48,"0.00")&amp;" - себестоимость "&amp;TEXT(W48,"0.00")&amp;" - комиссия "&amp;TEXT(V48*R48/100,"0.00")&amp;" - доставка "&amp;TEXT(P48,"0.00")&amp;" - прочие "&amp;TEXT(Q48,"0.00")&amp;" = "&amp;TEXT(G48,"0.00")&amp;" "&amp;L48,"Введите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" s="23" t="n">
        <x:v>4022.9767198307577</x:v>
      </x:c>
      <x:c r="AG48" s="35" t="n">
        <x:v>4292</x:v>
      </x:c>
      <x:c r="AH48" s="35" t="n">
        <x:v>960</x:v>
      </x:c>
      <x:c r="AI48" s="29" t="n">
        <x:v>46266</x:v>
      </x:c>
      <x:c r="AJ48" s="35" t="n">
        <x:v>4</x:v>
      </x:c>
      <x:c r="AK48" s="11" t="str">
        <x:v>минимум</x:v>
      </x:c>
      <x:c r="AL48" s="31" t="n">
        <x:v>90.72589019047277</x:v>
      </x:c>
      <x:c r="AM4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8" s="12" t="str">
        <x:v>Проверить свободный остаток и установить цену для B2B</x:v>
      </x:c>
      <x:c r="AO48" s="12" t="str">
        <x:v>Остаток 4292; прогноз 90 дней 4022.98; избыток 269 шт. Будущие поступления не выставляются на продажу. Остаток на начало сентября: требуется актуализация.</x:v>
      </x:c>
      <x:c r="AP48" s="12" t="str">
        <x:v>["category_missing", "daily_stockout_data_missing", "large_orders_detected", "new_order_lead_time_unknown", "reservations_unknown", "stale_stock", "transaction_month_mismatch"]</x:v>
      </x:c>
      <x:c r="AQ48" s="11" t="str">
        <x:v>IEK:010500039_</x:v>
      </x:c>
      <x:c r="AR48" s="23" t="n">
        <x:v>1</x:v>
      </x:c>
      <x:c r="AS48" s="23" t="n">
        <x:v>0</x:v>
      </x:c>
      <x:c r="AT48" s="23" t="n">
        <x:v>0</x:v>
      </x:c>
    </x:row>
    <x:row r="49" ht="64" customHeight="1">
      <x:c r="A49" s="10" t="str">
        <x:v>IEK</x:v>
      </x:c>
      <x:c r="B49" s="34" t="str">
        <x:v>010500040_</x:v>
      </x:c>
      <x:c r="C49" s="34" t="str">
        <x:v>MNV10-3-100</x:v>
      </x:c>
      <x:c r="D49" s="13" t="str">
        <x:v>Выкл. нагрузки ВН-32 (3ф) 100А IEK (4/80)</x:v>
      </x:c>
      <x:c r="E49" s="10" t="str">
        <x:v>шт</x:v>
      </x:c>
      <x:c r="F49" s="37" t="n">
        <x:f>MAX(0,ROUNDDOWN((AG49-AF49)/AR49+0.000000001,0)*AR49)</x:f>
        <x:v>24</x:v>
      </x:c>
      <x:c r="G49" s="21" t="str">
        <x:f>IF(J49="Рассчитано",V49*(1-R49/100)-W49-P49-Q49,"н/д")</x:f>
        <x:v>н/д</x:v>
      </x:c>
      <x:c r="H49" s="13" t="str">
        <x:v>Высокий</x:v>
      </x:c>
      <x:c r="I49" s="13" t="str">
        <x:v>Высокий</x:v>
      </x:c>
      <x:c r="J49" s="13" t="str">
        <x:f>IF(L49="","Укажите валюту",IF(NOT(ISNUMBER(K49)),"Укажите объём",IF(K49&lt;=0,"Укажите объём",IF(K49&gt;F49,"Объём выше излишка",IF(COUNT(M49:O49)&lt;3,"Нужны цены",IF(COUNT(P49:R49)&lt;3,"Нужны расходы",IF(OR(M49&lt;0,N49&lt;0,O49&lt;0,O49&gt;100,P49&lt;0,Q49&lt;0,R49&lt;0,R49&gt;100),"Проверьте значения","Рассчитано")))))))</x:f>
        <x:v>Нужны цены</x:v>
      </x:c>
      <x:c r="K49" s="36" t="n">
        <x:v>24</x:v>
      </x:c>
      <x:c r="L49" s="19" t="str">
        <x:v>KZT</x:v>
      </x:c>
      <x:c r="M49" s="22"/>
      <x:c r="N49" s="22"/>
      <x:c r="O49" s="28"/>
      <x:c r="P49" s="22"/>
      <x:c r="Q49" s="22"/>
      <x:c r="R49" s="28"/>
      <x:c r="S49" s="22"/>
      <x:c r="T49" s="37" t="n">
        <x:f>K49</x:f>
        <x:v>24</x:v>
      </x:c>
      <x:c r="U49" s="21" t="str">
        <x:f>IF(J49="Рассчитано",N49*(1-O49/100),"н/д")</x:f>
        <x:v>н/д</x:v>
      </x:c>
      <x:c r="V49" s="21" t="str">
        <x:f>IF(J49="Рассчитано",T49*U49,"н/д")</x:f>
        <x:v>н/д</x:v>
      </x:c>
      <x:c r="W49" s="21" t="str">
        <x:f>IF(J49="Рассчитано",T49*M49,"н/д")</x:f>
        <x:v>н/д</x:v>
      </x:c>
      <x:c r="X49" s="21" t="str">
        <x:f>IF(J49="Рассчитано",V49-W49,"н/д")</x:f>
        <x:v>н/д</x:v>
      </x:c>
      <x:c r="Y49" s="27" t="str">
        <x:f>IF(J49="Рассчитано",IF(V49&gt;0,G49/V49,"н/д"),"н/д")</x:f>
        <x:v>н/д</x:v>
      </x:c>
      <x:c r="Z49" s="21" t="str">
        <x:f>"н/д"</x:f>
        <x:v>н/д</x:v>
      </x:c>
      <x:c r="AA49" s="21" t="str">
        <x:f>"н/д"</x:f>
        <x:v>н/д</x:v>
      </x:c>
      <x:c r="AB49" s="21" t="str">
        <x:f>"н/д"</x:f>
        <x:v>н/д</x:v>
      </x:c>
      <x:c r="AC49" s="21" t="str">
        <x:f>IF(AND(J49="Рассчитано",T49&gt;0,R49&lt;100),(W49+P49+Q49)/(T49*(1-R49/100)),"н/д")</x:f>
        <x:v>н/д</x:v>
      </x:c>
      <x:c r="AD49" s="10" t="str">
        <x:f>IF(ISNUMBER(G49),IF(G49&lt;0,"Убыток",IF(G49=0,"Без прибыли","Прибыль &gt; 0")),"Не оценён")</x:f>
        <x:v>Не оценён</x:v>
      </x:c>
      <x:c r="AE49" s="13" t="str">
        <x:f>IF(J49="Рассчитано","Выручка "&amp;TEXT(V49,"0.00")&amp;" - себестоимость "&amp;TEXT(W49,"0.00")&amp;" - комиссия "&amp;TEXT(V49*R49/100,"0.00")&amp;" - доставка "&amp;TEXT(P49,"0.00")&amp;" - прочие "&amp;TEXT(Q49,"0.00")&amp;" = "&amp;TEXT(G49,"0.00")&amp;" "&amp;L49,"Введите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" s="24" t="n">
        <x:v>19.226284241957817</x:v>
      </x:c>
      <x:c r="AG49" s="37" t="n">
        <x:v>44</x:v>
      </x:c>
      <x:c r="AH49" s="37" t="n">
        <x:v>0</x:v>
      </x:c>
      <x:c r="AI49" s="30" t="n">
        <x:v>46266</x:v>
      </x:c>
      <x:c r="AJ49" s="37" t="n">
        <x:v>4</x:v>
      </x:c>
      <x:c r="AK49" s="10" t="str">
        <x:v>минимум</x:v>
      </x:c>
      <x:c r="AL49" s="32" t="n">
        <x:v>194.61502307970986</x:v>
      </x:c>
      <x:c r="AM49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49" s="13" t="str">
        <x:v>Проверить свободный остаток и установить цену для B2B</x:v>
      </x:c>
      <x:c r="AO49" s="13" t="str">
        <x:v>Остаток 44; прогноз 90 дней 19.23; избыток 24 шт. Будущие поступления не выставляются на продажу. Остаток на начало сентября: требуется актуализация.</x:v>
      </x:c>
      <x:c r="AP49" s="13" t="str">
        <x:v>["category_missing", "daily_stockout_data_missing", "large_orders_detected", "new_order_lead_time_unknown", "reservations_unknown", "stale_stock", "transaction_month_mismatch"]</x:v>
      </x:c>
      <x:c r="AQ49" s="10" t="str">
        <x:v>IEK:010500040_</x:v>
      </x:c>
      <x:c r="AR49" s="24" t="n">
        <x:v>1</x:v>
      </x:c>
      <x:c r="AS49" s="24" t="n">
        <x:v>0</x:v>
      </x:c>
      <x:c r="AT49" s="24" t="n">
        <x:v>0</x:v>
      </x:c>
    </x:row>
    <x:row r="50" ht="64" customHeight="1">
      <x:c r="A50" s="11" t="str">
        <x:v>IEK</x:v>
      </x:c>
      <x:c r="B50" s="33" t="str">
        <x:v>010500041_</x:v>
      </x:c>
      <x:c r="C50" s="33" t="str">
        <x:v>MNV10-3-040</x:v>
      </x:c>
      <x:c r="D50" s="12" t="str">
        <x:v>Выкл. нагрузки ВН-32 (3ф)  40А IEK (4/80)</x:v>
      </x:c>
      <x:c r="E50" s="11" t="str">
        <x:v>шт</x:v>
      </x:c>
      <x:c r="F50" s="35" t="n">
        <x:f>MAX(0,ROUNDDOWN((AG50-AF50)/AR50+0.000000001,0)*AR50)</x:f>
        <x:v>4</x:v>
      </x:c>
      <x:c r="G50" s="20" t="str">
        <x:f>IF(J50="Рассчитано",V50*(1-R50/100)-W50-P50-Q50,"н/д")</x:f>
        <x:v>н/д</x:v>
      </x:c>
      <x:c r="H50" s="12" t="str">
        <x:v>Высокий</x:v>
      </x:c>
      <x:c r="I50" s="12" t="str">
        <x:v>Средний</x:v>
      </x:c>
      <x:c r="J50" s="12" t="str">
        <x:f>IF(L50="","Укажите валюту",IF(NOT(ISNUMBER(K50)),"Укажите объём",IF(K50&lt;=0,"Укажите объём",IF(K50&gt;F50,"Объём выше излишка",IF(COUNT(M50:O50)&lt;3,"Нужны цены",IF(COUNT(P50:R50)&lt;3,"Нужны расходы",IF(OR(M50&lt;0,N50&lt;0,O50&lt;0,O50&gt;100,P50&lt;0,Q50&lt;0,R50&lt;0,R50&gt;100),"Проверьте значения","Рассчитано")))))))</x:f>
        <x:v>Нужны цены</x:v>
      </x:c>
      <x:c r="K50" s="36" t="n">
        <x:v>4</x:v>
      </x:c>
      <x:c r="L50" s="19" t="str">
        <x:v>KZT</x:v>
      </x:c>
      <x:c r="M50" s="22"/>
      <x:c r="N50" s="22"/>
      <x:c r="O50" s="28"/>
      <x:c r="P50" s="22"/>
      <x:c r="Q50" s="22"/>
      <x:c r="R50" s="28"/>
      <x:c r="S50" s="22"/>
      <x:c r="T50" s="35" t="n">
        <x:f>K50</x:f>
        <x:v>4</x:v>
      </x:c>
      <x:c r="U50" s="20" t="str">
        <x:f>IF(J50="Рассчитано",N50*(1-O50/100),"н/д")</x:f>
        <x:v>н/д</x:v>
      </x:c>
      <x:c r="V50" s="20" t="str">
        <x:f>IF(J50="Рассчитано",T50*U50,"н/д")</x:f>
        <x:v>н/д</x:v>
      </x:c>
      <x:c r="W50" s="20" t="str">
        <x:f>IF(J50="Рассчитано",T50*M50,"н/д")</x:f>
        <x:v>н/д</x:v>
      </x:c>
      <x:c r="X50" s="20" t="str">
        <x:f>IF(J50="Рассчитано",V50-W50,"н/д")</x:f>
        <x:v>н/д</x:v>
      </x:c>
      <x:c r="Y50" s="26" t="str">
        <x:f>IF(J50="Рассчитано",IF(V50&gt;0,G50/V50,"н/д"),"н/д")</x:f>
        <x:v>н/д</x:v>
      </x:c>
      <x:c r="Z50" s="20" t="str">
        <x:f>"н/д"</x:f>
        <x:v>н/д</x:v>
      </x:c>
      <x:c r="AA50" s="20" t="str">
        <x:f>"н/д"</x:f>
        <x:v>н/д</x:v>
      </x:c>
      <x:c r="AB50" s="20" t="str">
        <x:f>"н/д"</x:f>
        <x:v>н/д</x:v>
      </x:c>
      <x:c r="AC50" s="20" t="str">
        <x:f>IF(AND(J50="Рассчитано",T50&gt;0,R50&lt;100),(W50+P50+Q50)/(T50*(1-R50/100)),"н/д")</x:f>
        <x:v>н/д</x:v>
      </x:c>
      <x:c r="AD50" s="11" t="str">
        <x:f>IF(ISNUMBER(G50),IF(G50&lt;0,"Убыток",IF(G50=0,"Без прибыли","Прибыль &gt; 0")),"Не оценён")</x:f>
        <x:v>Не оценён</x:v>
      </x:c>
      <x:c r="AE50" s="12" t="str">
        <x:f>IF(J50="Рассчитано","Выручка "&amp;TEXT(V50,"0.00")&amp;" - себестоимость "&amp;TEXT(W50,"0.00")&amp;" - комиссия "&amp;TEXT(V50*R50/100,"0.00")&amp;" - доставка "&amp;TEXT(P50,"0.00")&amp;" - прочие "&amp;TEXT(Q50,"0.00")&amp;" = "&amp;TEXT(G50,"0.00")&amp;" "&amp;L50,"Введите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" s="23" t="n">
        <x:v>42.75558220492986</x:v>
      </x:c>
      <x:c r="AG50" s="35" t="n">
        <x:v>47</x:v>
      </x:c>
      <x:c r="AH50" s="35" t="n">
        <x:v>0</x:v>
      </x:c>
      <x:c r="AI50" s="29" t="n">
        <x:v>46266</x:v>
      </x:c>
      <x:c r="AJ50" s="35" t="n">
        <x:v>4</x:v>
      </x:c>
      <x:c r="AK50" s="11" t="str">
        <x:v>минимум</x:v>
      </x:c>
      <x:c r="AL50" s="31" t="n">
        <x:v>93.4811567022757</x:v>
      </x:c>
      <x:c r="AM50" s="12" t="str">
        <x:v>Остаток на начало сентября; Резервы неизвестны; Нет ежедневных данных доступности. Запас выше прогноза на 90 дней</x:v>
      </x:c>
      <x:c r="AN50" s="12" t="str">
        <x:v>Проверить свободный остаток и установить цену для B2B</x:v>
      </x:c>
      <x:c r="AO50" s="12" t="str">
        <x:v>Остаток 47; прогноз 90 дней 42.76; избыток 4 шт. Будущие поступления не выставляются на продажу. Остаток на начало сентября: требуется актуализация.</x:v>
      </x:c>
      <x:c r="AP50" s="12" t="str">
        <x:v>["category_missing", "daily_stockout_data_missing", "large_orders_detected", "new_order_lead_time_unknown", "reservations_unknown", "stale_stock"]</x:v>
      </x:c>
      <x:c r="AQ50" s="11" t="str">
        <x:v>IEK:010500041_</x:v>
      </x:c>
      <x:c r="AR50" s="23" t="n">
        <x:v>1</x:v>
      </x:c>
      <x:c r="AS50" s="23" t="n">
        <x:v>0</x:v>
      </x:c>
      <x:c r="AT50" s="23" t="n">
        <x:v>0</x:v>
      </x:c>
    </x:row>
    <x:row r="51" ht="64" customHeight="1">
      <x:c r="A51" s="10" t="str">
        <x:v>IEK</x:v>
      </x:c>
      <x:c r="B51" s="34" t="str">
        <x:v>010500044_</x:v>
      </x:c>
      <x:c r="C51" s="34" t="str">
        <x:v>MVA20-1-004-C</x:v>
      </x:c>
      <x:c r="D51" s="13" t="str">
        <x:v>ВА47-29 (1ф)  4А IEK (12/144)</x:v>
      </x:c>
      <x:c r="E51" s="10" t="str">
        <x:v>шт</x:v>
      </x:c>
      <x:c r="F51" s="37" t="n">
        <x:f>MAX(0,ROUNDDOWN((AG51-AF51)/AR51+0.000000001,0)*AR51)</x:f>
        <x:v>16</x:v>
      </x:c>
      <x:c r="G51" s="21" t="str">
        <x:f>IF(J51="Рассчитано",V51*(1-R51/100)-W51-P51-Q51,"н/д")</x:f>
        <x:v>н/д</x:v>
      </x:c>
      <x:c r="H51" s="13" t="str">
        <x:v>Высокий</x:v>
      </x:c>
      <x:c r="I51" s="13" t="str">
        <x:v>Средний</x:v>
      </x:c>
      <x:c r="J51" s="13" t="str">
        <x:f>IF(L51="","Укажите валюту",IF(NOT(ISNUMBER(K51)),"Укажите объём",IF(K51&lt;=0,"Укажите объём",IF(K51&gt;F51,"Объём выше излишка",IF(COUNT(M51:O51)&lt;3,"Нужны цены",IF(COUNT(P51:R51)&lt;3,"Нужны расходы",IF(OR(M51&lt;0,N51&lt;0,O51&lt;0,O51&gt;100,P51&lt;0,Q51&lt;0,R51&lt;0,R51&gt;100),"Проверьте значения","Рассчитано")))))))</x:f>
        <x:v>Нужны цены</x:v>
      </x:c>
      <x:c r="K51" s="36" t="n">
        <x:v>16</x:v>
      </x:c>
      <x:c r="L51" s="19" t="str">
        <x:v>KZT</x:v>
      </x:c>
      <x:c r="M51" s="22"/>
      <x:c r="N51" s="22"/>
      <x:c r="O51" s="28"/>
      <x:c r="P51" s="22"/>
      <x:c r="Q51" s="22"/>
      <x:c r="R51" s="28"/>
      <x:c r="S51" s="22"/>
      <x:c r="T51" s="37" t="n">
        <x:f>K51</x:f>
        <x:v>16</x:v>
      </x:c>
      <x:c r="U51" s="21" t="str">
        <x:f>IF(J51="Рассчитано",N51*(1-O51/100),"н/д")</x:f>
        <x:v>н/д</x:v>
      </x:c>
      <x:c r="V51" s="21" t="str">
        <x:f>IF(J51="Рассчитано",T51*U51,"н/д")</x:f>
        <x:v>н/д</x:v>
      </x:c>
      <x:c r="W51" s="21" t="str">
        <x:f>IF(J51="Рассчитано",T51*M51,"н/д")</x:f>
        <x:v>н/д</x:v>
      </x:c>
      <x:c r="X51" s="21" t="str">
        <x:f>IF(J51="Рассчитано",V51-W51,"н/д")</x:f>
        <x:v>н/д</x:v>
      </x:c>
      <x:c r="Y51" s="27" t="str">
        <x:f>IF(J51="Рассчитано",IF(V51&gt;0,G51/V51,"н/д"),"н/д")</x:f>
        <x:v>н/д</x:v>
      </x:c>
      <x:c r="Z51" s="21" t="str">
        <x:f>"н/д"</x:f>
        <x:v>н/д</x:v>
      </x:c>
      <x:c r="AA51" s="21" t="str">
        <x:f>"н/д"</x:f>
        <x:v>н/д</x:v>
      </x:c>
      <x:c r="AB51" s="21" t="str">
        <x:f>"н/д"</x:f>
        <x:v>н/д</x:v>
      </x:c>
      <x:c r="AC51" s="21" t="str">
        <x:f>IF(AND(J51="Рассчитано",T51&gt;0,R51&lt;100),(W51+P51+Q51)/(T51*(1-R51/100)),"н/д")</x:f>
        <x:v>н/д</x:v>
      </x:c>
      <x:c r="AD51" s="10" t="str">
        <x:f>IF(ISNUMBER(G51),IF(G51&lt;0,"Убыток",IF(G51=0,"Без прибыли","Прибыль &gt; 0")),"Не оценён")</x:f>
        <x:v>Не оценён</x:v>
      </x:c>
      <x:c r="AE51" s="13" t="str">
        <x:f>IF(J51="Рассчитано","Выручка "&amp;TEXT(V51,"0.00")&amp;" - себестоимость "&amp;TEXT(W51,"0.00")&amp;" - комиссия "&amp;TEXT(V51*R51/100,"0.00")&amp;" - доставка "&amp;TEXT(P51,"0.00")&amp;" - прочие "&amp;TEXT(Q51,"0.00")&amp;" = "&amp;TEXT(G51,"0.00")&amp;" "&amp;L51,"Введите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" s="24" t="n">
        <x:v>62.59088498012728</x:v>
      </x:c>
      <x:c r="AG51" s="37" t="n">
        <x:v>79</x:v>
      </x:c>
      <x:c r="AH51" s="37" t="n">
        <x:v>0</x:v>
      </x:c>
      <x:c r="AI51" s="30" t="n">
        <x:v>46266</x:v>
      </x:c>
      <x:c r="AJ51" s="37" t="n">
        <x:v>12</x:v>
      </x:c>
      <x:c r="AK51" s="10" t="str">
        <x:v>минимум</x:v>
      </x:c>
      <x:c r="AL51" s="32" t="n">
        <x:v>107.33343871992224</x:v>
      </x:c>
      <x:c r="AM51" s="13" t="str">
        <x:v>Остаток на начало сентября; Резервы неизвестны; Нет ежедневных данных доступности. Запас выше прогноза на 90 дней</x:v>
      </x:c>
      <x:c r="AN51" s="13" t="str">
        <x:v>Проверить свободный остаток и установить цену для B2B</x:v>
      </x:c>
      <x:c r="AO51" s="13" t="str">
        <x:v>Остаток 79; прогноз 90 дней 62.59; избыток 16 шт. Будущие поступления не выставляются на продажу. Остаток на начало сентября: требуется актуализация.</x:v>
      </x:c>
      <x:c r="AP51" s="13" t="str">
        <x:v>["category_missing", "daily_stockout_data_missing", "large_orders_detected", "new_order_lead_time_unknown", "reservations_unknown", "stale_stock"]</x:v>
      </x:c>
      <x:c r="AQ51" s="10" t="str">
        <x:v>IEK:010500044_</x:v>
      </x:c>
      <x:c r="AR51" s="24" t="n">
        <x:v>1</x:v>
      </x:c>
      <x:c r="AS51" s="24" t="n">
        <x:v>0</x:v>
      </x:c>
      <x:c r="AT51" s="24" t="n">
        <x:v>0</x:v>
      </x:c>
    </x:row>
    <x:row r="52" ht="64" customHeight="1">
      <x:c r="A52" s="11" t="str">
        <x:v>IEK</x:v>
      </x:c>
      <x:c r="B52" s="33" t="str">
        <x:v>010500048_</x:v>
      </x:c>
      <x:c r="C52" s="33" t="str">
        <x:v>MVA20-3-006-C</x:v>
      </x:c>
      <x:c r="D52" s="12" t="str">
        <x:v>ВА47-29 (3ф)  6А IEK (4/48)</x:v>
      </x:c>
      <x:c r="E52" s="11" t="str">
        <x:v>шт</x:v>
      </x:c>
      <x:c r="F52" s="35" t="n">
        <x:f>MAX(0,ROUNDDOWN((AG52-AF52)/AR52+0.000000001,0)*AR52)</x:f>
        <x:v>53</x:v>
      </x:c>
      <x:c r="G52" s="20" t="str">
        <x:f>IF(J52="Рассчитано",V52*(1-R52/100)-W52-P52-Q52,"н/д")</x:f>
        <x:v>н/д</x:v>
      </x:c>
      <x:c r="H52" s="12" t="str">
        <x:v>Высокий</x:v>
      </x:c>
      <x:c r="I52" s="12" t="str">
        <x:v>Средний</x:v>
      </x:c>
      <x:c r="J52" s="12" t="str">
        <x:f>IF(L52="","Укажите валюту",IF(NOT(ISNUMBER(K52)),"Укажите объём",IF(K52&lt;=0,"Укажите объём",IF(K52&gt;F52,"Объём выше излишка",IF(COUNT(M52:O52)&lt;3,"Нужны цены",IF(COUNT(P52:R52)&lt;3,"Нужны расходы",IF(OR(M52&lt;0,N52&lt;0,O52&lt;0,O52&gt;100,P52&lt;0,Q52&lt;0,R52&lt;0,R52&gt;100),"Проверьте значения","Рассчитано")))))))</x:f>
        <x:v>Нужны цены</x:v>
      </x:c>
      <x:c r="K52" s="36" t="n">
        <x:v>53</x:v>
      </x:c>
      <x:c r="L52" s="19" t="str">
        <x:v>KZT</x:v>
      </x:c>
      <x:c r="M52" s="22"/>
      <x:c r="N52" s="22"/>
      <x:c r="O52" s="28"/>
      <x:c r="P52" s="22"/>
      <x:c r="Q52" s="22"/>
      <x:c r="R52" s="28"/>
      <x:c r="S52" s="22"/>
      <x:c r="T52" s="35" t="n">
        <x:f>K52</x:f>
        <x:v>53</x:v>
      </x:c>
      <x:c r="U52" s="20" t="str">
        <x:f>IF(J52="Рассчитано",N52*(1-O52/100),"н/д")</x:f>
        <x:v>н/д</x:v>
      </x:c>
      <x:c r="V52" s="20" t="str">
        <x:f>IF(J52="Рассчитано",T52*U52,"н/д")</x:f>
        <x:v>н/д</x:v>
      </x:c>
      <x:c r="W52" s="20" t="str">
        <x:f>IF(J52="Рассчитано",T52*M52,"н/д")</x:f>
        <x:v>н/д</x:v>
      </x:c>
      <x:c r="X52" s="20" t="str">
        <x:f>IF(J52="Рассчитано",V52-W52,"н/д")</x:f>
        <x:v>н/д</x:v>
      </x:c>
      <x:c r="Y52" s="26" t="str">
        <x:f>IF(J52="Рассчитано",IF(V52&gt;0,G52/V52,"н/д"),"н/д")</x:f>
        <x:v>н/д</x:v>
      </x:c>
      <x:c r="Z52" s="20" t="str">
        <x:f>"н/д"</x:f>
        <x:v>н/д</x:v>
      </x:c>
      <x:c r="AA52" s="20" t="str">
        <x:f>"н/д"</x:f>
        <x:v>н/д</x:v>
      </x:c>
      <x:c r="AB52" s="20" t="str">
        <x:f>"н/д"</x:f>
        <x:v>н/д</x:v>
      </x:c>
      <x:c r="AC52" s="20" t="str">
        <x:f>IF(AND(J52="Рассчитано",T52&gt;0,R52&lt;100),(W52+P52+Q52)/(T52*(1-R52/100)),"н/д")</x:f>
        <x:v>н/д</x:v>
      </x:c>
      <x:c r="AD52" s="11" t="str">
        <x:f>IF(ISNUMBER(G52),IF(G52&lt;0,"Убыток",IF(G52=0,"Без прибыли","Прибыль &gt; 0")),"Не оценён")</x:f>
        <x:v>Не оценён</x:v>
      </x:c>
      <x:c r="AE52" s="12" t="str">
        <x:f>IF(J52="Рассчитано","Выручка "&amp;TEXT(V52,"0.00")&amp;" - себестоимость "&amp;TEXT(W52,"0.00")&amp;" - комиссия "&amp;TEXT(V52*R52/100,"0.00")&amp;" - доставка "&amp;TEXT(P52,"0.00")&amp;" - прочие "&amp;TEXT(Q52,"0.00")&amp;" = "&amp;TEXT(G52,"0.00")&amp;" "&amp;L52,"Введите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" s="23" t="n">
        <x:v>124.28653816193258</x:v>
      </x:c>
      <x:c r="AG52" s="35" t="n">
        <x:v>178</x:v>
      </x:c>
      <x:c r="AH52" s="35" t="n">
        <x:v>48</x:v>
      </x:c>
      <x:c r="AI52" s="29" t="n">
        <x:v>46266</x:v>
      </x:c>
      <x:c r="AJ52" s="35" t="n">
        <x:v>4</x:v>
      </x:c>
      <x:c r="AK52" s="11" t="str">
        <x:v>минимум</x:v>
      </x:c>
      <x:c r="AL52" s="31" t="n">
        <x:v>121.79093232576044</x:v>
      </x:c>
      <x:c r="AM52" s="12" t="str">
        <x:v>Остаток на начало сентября; Резервы неизвестны; Нет ежедневных данных доступности. Запас выше прогноза на 90 дней</x:v>
      </x:c>
      <x:c r="AN52" s="12" t="str">
        <x:v>Проверить свободный остаток и установить цену для B2B</x:v>
      </x:c>
      <x:c r="AO52" s="12" t="str">
        <x:v>Остаток 178; прогноз 90 дней 124.29; избыток 53 шт. Будущие поступления не выставляются на продажу. Остаток на начало сентября: требуется актуализация.</x:v>
      </x:c>
      <x:c r="AP52" s="12" t="str">
        <x:v>["category_missing", "daily_stockout_data_missing", "large_orders_detected", "new_order_lead_time_unknown", "reservations_unknown", "stale_stock"]</x:v>
      </x:c>
      <x:c r="AQ52" s="11" t="str">
        <x:v>IEK:010500048_</x:v>
      </x:c>
      <x:c r="AR52" s="23" t="n">
        <x:v>1</x:v>
      </x:c>
      <x:c r="AS52" s="23" t="n">
        <x:v>0</x:v>
      </x:c>
      <x:c r="AT52" s="23" t="n">
        <x:v>0</x:v>
      </x:c>
    </x:row>
    <x:row r="53" ht="64" customHeight="1">
      <x:c r="A53" s="10" t="str">
        <x:v>IEK</x:v>
      </x:c>
      <x:c r="B53" s="34" t="str">
        <x:v>010500050_</x:v>
      </x:c>
      <x:c r="C53" s="34"/>
      <x:c r="D53" s="13" t="str">
        <x:v>ВА47-29 (3ф)  5А IEK (4/48) !!!</x:v>
      </x:c>
      <x:c r="E53" s="10" t="str">
        <x:v>шт</x:v>
      </x:c>
      <x:c r="F53" s="37" t="n">
        <x:f>MAX(0,ROUNDDOWN((AG53-AF53)/AR53+0.000000001,0)*AR53)</x:f>
        <x:v>3</x:v>
      </x:c>
      <x:c r="G53" s="21" t="str">
        <x:f>IF(J53="Рассчитано",V53*(1-R53/100)-W53-P53-Q53,"н/д")</x:f>
        <x:v>н/д</x:v>
      </x:c>
      <x:c r="H53" s="13" t="str">
        <x:v>Высокий</x:v>
      </x:c>
      <x:c r="I53" s="13" t="str">
        <x:v>Высокий</x:v>
      </x:c>
      <x:c r="J53" s="13" t="str">
        <x:f>IF(L53="","Укажите валюту",IF(NOT(ISNUMBER(K53)),"Укажите объём",IF(K53&lt;=0,"Укажите объём",IF(K53&gt;F53,"Объём выше излишка",IF(COUNT(M53:O53)&lt;3,"Нужны цены",IF(COUNT(P53:R53)&lt;3,"Нужны расходы",IF(OR(M53&lt;0,N53&lt;0,O53&lt;0,O53&gt;100,P53&lt;0,Q53&lt;0,R53&lt;0,R53&gt;100),"Проверьте значения","Рассчитано")))))))</x:f>
        <x:v>Нужны цены</x:v>
      </x:c>
      <x:c r="K53" s="36" t="n">
        <x:v>3</x:v>
      </x:c>
      <x:c r="L53" s="19" t="str">
        <x:v>KZT</x:v>
      </x:c>
      <x:c r="M53" s="22"/>
      <x:c r="N53" s="22"/>
      <x:c r="O53" s="28"/>
      <x:c r="P53" s="22"/>
      <x:c r="Q53" s="22"/>
      <x:c r="R53" s="28"/>
      <x:c r="S53" s="22"/>
      <x:c r="T53" s="37" t="n">
        <x:f>K53</x:f>
        <x:v>3</x:v>
      </x:c>
      <x:c r="U53" s="21" t="str">
        <x:f>IF(J53="Рассчитано",N53*(1-O53/100),"н/д")</x:f>
        <x:v>н/д</x:v>
      </x:c>
      <x:c r="V53" s="21" t="str">
        <x:f>IF(J53="Рассчитано",T53*U53,"н/д")</x:f>
        <x:v>н/д</x:v>
      </x:c>
      <x:c r="W53" s="21" t="str">
        <x:f>IF(J53="Рассчитано",T53*M53,"н/д")</x:f>
        <x:v>н/д</x:v>
      </x:c>
      <x:c r="X53" s="21" t="str">
        <x:f>IF(J53="Рассчитано",V53-W53,"н/д")</x:f>
        <x:v>н/д</x:v>
      </x:c>
      <x:c r="Y53" s="27" t="str">
        <x:f>IF(J53="Рассчитано",IF(V53&gt;0,G53/V53,"н/д"),"н/д")</x:f>
        <x:v>н/д</x:v>
      </x:c>
      <x:c r="Z53" s="21" t="str">
        <x:f>"н/д"</x:f>
        <x:v>н/д</x:v>
      </x:c>
      <x:c r="AA53" s="21" t="str">
        <x:f>"н/д"</x:f>
        <x:v>н/д</x:v>
      </x:c>
      <x:c r="AB53" s="21" t="str">
        <x:f>"н/д"</x:f>
        <x:v>н/д</x:v>
      </x:c>
      <x:c r="AC53" s="21" t="str">
        <x:f>IF(AND(J53="Рассчитано",T53&gt;0,R53&lt;100),(W53+P53+Q53)/(T53*(1-R53/100)),"н/д")</x:f>
        <x:v>н/д</x:v>
      </x:c>
      <x:c r="AD53" s="10" t="str">
        <x:f>IF(ISNUMBER(G53),IF(G53&lt;0,"Убыток",IF(G53=0,"Без прибыли","Прибыль &gt; 0")),"Не оценён")</x:f>
        <x:v>Не оценён</x:v>
      </x:c>
      <x:c r="AE53" s="13" t="str">
        <x:f>IF(J53="Рассчитано","Выручка "&amp;TEXT(V53,"0.00")&amp;" - себестоимость "&amp;TEXT(W53,"0.00")&amp;" - комиссия "&amp;TEXT(V53*R53/100,"0.00")&amp;" - доставка "&amp;TEXT(P53,"0.00")&amp;" - прочие "&amp;TEXT(Q53,"0.00")&amp;" = "&amp;TEXT(G53,"0.00")&amp;" "&amp;L53,"Введите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" s="24" t="n">
        <x:v>0.10104629486282299</x:v>
      </x:c>
      <x:c r="AG53" s="37" t="n">
        <x:v>4</x:v>
      </x:c>
      <x:c r="AH53" s="37" t="n">
        <x:v>0</x:v>
      </x:c>
      <x:c r="AI53" s="30" t="n">
        <x:v>46266</x:v>
      </x:c>
      <x:c r="AJ53" s="37"/>
      <x:c r="AK53" s="10" t="str">
        <x:v>неизвестно</x:v>
      </x:c>
      <x:c r="AL53" s="32" t="n">
        <x:v>3366.3451504313134</x:v>
      </x:c>
      <x:c r="AM53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53" s="13" t="str">
        <x:v>Проверить свободный остаток и установить цену для B2B</x:v>
      </x:c>
      <x:c r="AO53" s="13" t="str">
        <x:v>Остаток 4; прогноз 90 дней 0.10; избыток 3 шт. Будущие поступления не выставляются на продажу. Остаток на начало сентября: требуется актуализация.</x:v>
      </x:c>
      <x:c r="AP53" s="13" t="str">
        <x:v>["category_missing", "daily_stockout_data_missing", "moq_missing", "new_order_lead_time_unknown", "reservations_unknown", "stale_stock", "supplier_sku_missing"]</x:v>
      </x:c>
      <x:c r="AQ53" s="10" t="str">
        <x:v>IEK:010500050_</x:v>
      </x:c>
      <x:c r="AR53" s="24" t="n">
        <x:v>1</x:v>
      </x:c>
      <x:c r="AS53" s="24" t="n">
        <x:v>0</x:v>
      </x:c>
      <x:c r="AT53" s="24" t="n">
        <x:v>0</x:v>
      </x:c>
    </x:row>
    <x:row r="54" ht="64" customHeight="1">
      <x:c r="A54" s="11" t="str">
        <x:v>IEK</x:v>
      </x:c>
      <x:c r="B54" s="33" t="str">
        <x:v>010500053_</x:v>
      </x:c>
      <x:c r="C54" s="33" t="str">
        <x:v>MVA20-3-003-C</x:v>
      </x:c>
      <x:c r="D54" s="12" t="str">
        <x:v>ВА47-29 (3ф)  3А IEK (4/48)</x:v>
      </x:c>
      <x:c r="E54" s="11" t="str">
        <x:v>шт</x:v>
      </x:c>
      <x:c r="F54" s="35" t="n">
        <x:f>MAX(0,ROUNDDOWN((AG54-AF54)/AR54+0.000000001,0)*AR54)</x:f>
        <x:v>18</x:v>
      </x:c>
      <x:c r="G54" s="20" t="str">
        <x:f>IF(J54="Рассчитано",V54*(1-R54/100)-W54-P54-Q54,"н/д")</x:f>
        <x:v>н/д</x:v>
      </x:c>
      <x:c r="H54" s="12" t="str">
        <x:v>Высокий</x:v>
      </x:c>
      <x:c r="I54" s="12" t="str">
        <x:v>Высокий</x:v>
      </x:c>
      <x:c r="J54" s="12" t="str">
        <x:f>IF(L54="","Укажите валюту",IF(NOT(ISNUMBER(K54)),"Укажите объём",IF(K54&lt;=0,"Укажите объём",IF(K54&gt;F54,"Объём выше излишка",IF(COUNT(M54:O54)&lt;3,"Нужны цены",IF(COUNT(P54:R54)&lt;3,"Нужны расходы",IF(OR(M54&lt;0,N54&lt;0,O54&lt;0,O54&gt;100,P54&lt;0,Q54&lt;0,R54&lt;0,R54&gt;100),"Проверьте значения","Рассчитано")))))))</x:f>
        <x:v>Нужны цены</x:v>
      </x:c>
      <x:c r="K54" s="36" t="n">
        <x:v>18</x:v>
      </x:c>
      <x:c r="L54" s="19" t="str">
        <x:v>KZT</x:v>
      </x:c>
      <x:c r="M54" s="22"/>
      <x:c r="N54" s="22"/>
      <x:c r="O54" s="28"/>
      <x:c r="P54" s="22"/>
      <x:c r="Q54" s="22"/>
      <x:c r="R54" s="28"/>
      <x:c r="S54" s="22"/>
      <x:c r="T54" s="35" t="n">
        <x:f>K54</x:f>
        <x:v>18</x:v>
      </x:c>
      <x:c r="U54" s="20" t="str">
        <x:f>IF(J54="Рассчитано",N54*(1-O54/100),"н/д")</x:f>
        <x:v>н/д</x:v>
      </x:c>
      <x:c r="V54" s="20" t="str">
        <x:f>IF(J54="Рассчитано",T54*U54,"н/д")</x:f>
        <x:v>н/д</x:v>
      </x:c>
      <x:c r="W54" s="20" t="str">
        <x:f>IF(J54="Рассчитано",T54*M54,"н/д")</x:f>
        <x:v>н/д</x:v>
      </x:c>
      <x:c r="X54" s="20" t="str">
        <x:f>IF(J54="Рассчитано",V54-W54,"н/д")</x:f>
        <x:v>н/д</x:v>
      </x:c>
      <x:c r="Y54" s="26" t="str">
        <x:f>IF(J54="Рассчитано",IF(V54&gt;0,G54/V54,"н/д"),"н/д")</x:f>
        <x:v>н/д</x:v>
      </x:c>
      <x:c r="Z54" s="20" t="str">
        <x:f>"н/д"</x:f>
        <x:v>н/д</x:v>
      </x:c>
      <x:c r="AA54" s="20" t="str">
        <x:f>"н/д"</x:f>
        <x:v>н/д</x:v>
      </x:c>
      <x:c r="AB54" s="20" t="str">
        <x:f>"н/д"</x:f>
        <x:v>н/д</x:v>
      </x:c>
      <x:c r="AC54" s="20" t="str">
        <x:f>IF(AND(J54="Рассчитано",T54&gt;0,R54&lt;100),(W54+P54+Q54)/(T54*(1-R54/100)),"н/д")</x:f>
        <x:v>н/д</x:v>
      </x:c>
      <x:c r="AD54" s="11" t="str">
        <x:f>IF(ISNUMBER(G54),IF(G54&lt;0,"Убыток",IF(G54=0,"Без прибыли","Прибыль &gt; 0")),"Не оценён")</x:f>
        <x:v>Не оценён</x:v>
      </x:c>
      <x:c r="AE54" s="12" t="str">
        <x:f>IF(J54="Рассчитано","Выручка "&amp;TEXT(V54,"0.00")&amp;" - себестоимость "&amp;TEXT(W54,"0.00")&amp;" - комиссия "&amp;TEXT(V54*R54/100,"0.00")&amp;" - доставка "&amp;TEXT(P54,"0.00")&amp;" - прочие "&amp;TEXT(Q54,"0.00")&amp;" = "&amp;TEXT(G54,"0.00")&amp;" "&amp;L54,"Введите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" s="23" t="n">
        <x:v>1.7999642739534114</x:v>
      </x:c>
      <x:c r="AG54" s="35" t="n">
        <x:v>20</x:v>
      </x:c>
      <x:c r="AH54" s="35" t="n">
        <x:v>0</x:v>
      </x:c>
      <x:c r="AI54" s="29" t="n">
        <x:v>46266</x:v>
      </x:c>
      <x:c r="AJ54" s="35" t="n">
        <x:v>4</x:v>
      </x:c>
      <x:c r="AK54" s="11" t="str">
        <x:v>минимум</x:v>
      </x:c>
      <x:c r="AL54" s="31" t="n">
        <x:v>944.8984893833524</x:v>
      </x:c>
      <x:c r="AM5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4" s="12" t="str">
        <x:v>Проверить свободный остаток и установить цену для B2B</x:v>
      </x:c>
      <x:c r="AO54" s="12" t="str">
        <x:v>Остаток 20; прогноз 90 дней 1.80; избыток 18 шт. Будущие поступления не выставляются на продажу. Остаток на начало сентября: требуется актуализация.</x:v>
      </x:c>
      <x:c r="AP54" s="12" t="str">
        <x:v>["category_missing", "daily_stockout_data_missing", "large_orders_detected", "new_order_lead_time_unknown", "reservations_unknown", "stale_stock"]</x:v>
      </x:c>
      <x:c r="AQ54" s="11" t="str">
        <x:v>IEK:010500053_</x:v>
      </x:c>
      <x:c r="AR54" s="23" t="n">
        <x:v>1</x:v>
      </x:c>
      <x:c r="AS54" s="23" t="n">
        <x:v>0</x:v>
      </x:c>
      <x:c r="AT54" s="23" t="n">
        <x:v>0</x:v>
      </x:c>
    </x:row>
    <x:row r="55" ht="64" customHeight="1">
      <x:c r="A55" s="10" t="str">
        <x:v>IEK</x:v>
      </x:c>
      <x:c r="B55" s="34" t="str">
        <x:v>010500090_</x:v>
      </x:c>
      <x:c r="C55" s="34" t="str">
        <x:v>MVA20-4-016-C</x:v>
      </x:c>
      <x:c r="D55" s="13" t="str">
        <x:v>ВА47-29 (4ф) 16А IEK (3/36)</x:v>
      </x:c>
      <x:c r="E55" s="10" t="str">
        <x:v>шт</x:v>
      </x:c>
      <x:c r="F55" s="37" t="n">
        <x:f>MAX(0,ROUNDDOWN((AG55-AF55)/AR55+0.000000001,0)*AR55)</x:f>
        <x:v>26</x:v>
      </x:c>
      <x:c r="G55" s="21" t="str">
        <x:f>IF(J55="Рассчитано",V55*(1-R55/100)-W55-P55-Q55,"н/д")</x:f>
        <x:v>н/д</x:v>
      </x:c>
      <x:c r="H55" s="13" t="str">
        <x:v>Высокий</x:v>
      </x:c>
      <x:c r="I55" s="13" t="str">
        <x:v>Высокий</x:v>
      </x:c>
      <x:c r="J55" s="13" t="str">
        <x:f>IF(L55="","Укажите валюту",IF(NOT(ISNUMBER(K55)),"Укажите объём",IF(K55&lt;=0,"Укажите объём",IF(K55&gt;F55,"Объём выше излишка",IF(COUNT(M55:O55)&lt;3,"Нужны цены",IF(COUNT(P55:R55)&lt;3,"Нужны расходы",IF(OR(M55&lt;0,N55&lt;0,O55&lt;0,O55&gt;100,P55&lt;0,Q55&lt;0,R55&lt;0,R55&gt;100),"Проверьте значения","Рассчитано")))))))</x:f>
        <x:v>Нужны цены</x:v>
      </x:c>
      <x:c r="K55" s="36" t="n">
        <x:v>26</x:v>
      </x:c>
      <x:c r="L55" s="19" t="str">
        <x:v>KZT</x:v>
      </x:c>
      <x:c r="M55" s="22"/>
      <x:c r="N55" s="22"/>
      <x:c r="O55" s="28"/>
      <x:c r="P55" s="22"/>
      <x:c r="Q55" s="22"/>
      <x:c r="R55" s="28"/>
      <x:c r="S55" s="22"/>
      <x:c r="T55" s="37" t="n">
        <x:f>K55</x:f>
        <x:v>26</x:v>
      </x:c>
      <x:c r="U55" s="21" t="str">
        <x:f>IF(J55="Рассчитано",N55*(1-O55/100),"н/д")</x:f>
        <x:v>н/д</x:v>
      </x:c>
      <x:c r="V55" s="21" t="str">
        <x:f>IF(J55="Рассчитано",T55*U55,"н/д")</x:f>
        <x:v>н/д</x:v>
      </x:c>
      <x:c r="W55" s="21" t="str">
        <x:f>IF(J55="Рассчитано",T55*M55,"н/д")</x:f>
        <x:v>н/д</x:v>
      </x:c>
      <x:c r="X55" s="21" t="str">
        <x:f>IF(J55="Рассчитано",V55-W55,"н/д")</x:f>
        <x:v>н/д</x:v>
      </x:c>
      <x:c r="Y55" s="27" t="str">
        <x:f>IF(J55="Рассчитано",IF(V55&gt;0,G55/V55,"н/д"),"н/д")</x:f>
        <x:v>н/д</x:v>
      </x:c>
      <x:c r="Z55" s="21" t="str">
        <x:f>"н/д"</x:f>
        <x:v>н/д</x:v>
      </x:c>
      <x:c r="AA55" s="21" t="str">
        <x:f>"н/д"</x:f>
        <x:v>н/д</x:v>
      </x:c>
      <x:c r="AB55" s="21" t="str">
        <x:f>"н/д"</x:f>
        <x:v>н/д</x:v>
      </x:c>
      <x:c r="AC55" s="21" t="str">
        <x:f>IF(AND(J55="Рассчитано",T55&gt;0,R55&lt;100),(W55+P55+Q55)/(T55*(1-R55/100)),"н/д")</x:f>
        <x:v>н/д</x:v>
      </x:c>
      <x:c r="AD55" s="10" t="str">
        <x:f>IF(ISNUMBER(G55),IF(G55&lt;0,"Убыток",IF(G55=0,"Без прибыли","Прибыль &gt; 0")),"Не оценён")</x:f>
        <x:v>Не оценён</x:v>
      </x:c>
      <x:c r="AE55" s="13" t="str">
        <x:f>IF(J55="Рассчитано","Выручка "&amp;TEXT(V55,"0.00")&amp;" - себестоимость "&amp;TEXT(W55,"0.00")&amp;" - комиссия "&amp;TEXT(V55*R55/100,"0.00")&amp;" - доставка "&amp;TEXT(P55,"0.00")&amp;" - прочие "&amp;TEXT(Q55,"0.00")&amp;" = "&amp;TEXT(G55,"0.00")&amp;" "&amp;L55,"Введите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" s="24" t="n">
        <x:v>16.740466460496652</x:v>
      </x:c>
      <x:c r="AG55" s="37" t="n">
        <x:v>43</x:v>
      </x:c>
      <x:c r="AH55" s="37" t="n">
        <x:v>12</x:v>
      </x:c>
      <x:c r="AI55" s="30" t="n">
        <x:v>46266</x:v>
      </x:c>
      <x:c r="AJ55" s="37" t="n">
        <x:v>3</x:v>
      </x:c>
      <x:c r="AK55" s="10" t="str">
        <x:v>минимум</x:v>
      </x:c>
      <x:c r="AL55" s="32" t="n">
        <x:v>218.43385212379965</x:v>
      </x:c>
      <x:c r="AM55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55" s="13" t="str">
        <x:v>Проверить свободный остаток и установить цену для B2B</x:v>
      </x:c>
      <x:c r="AO55" s="13" t="str">
        <x:v>Остаток 43; прогноз 90 дней 16.74; избыток 26 шт. Будущие поступления не выставляются на продажу. Остаток на начало сентября: требуется актуализация.</x:v>
      </x:c>
      <x:c r="AP55" s="13" t="str">
        <x:v>["category_missing", "daily_stockout_data_missing", "large_orders_detected", "new_order_lead_time_unknown", "reservations_unknown", "stale_stock", "transaction_month_mismatch"]</x:v>
      </x:c>
      <x:c r="AQ55" s="10" t="str">
        <x:v>IEK:010500090_</x:v>
      </x:c>
      <x:c r="AR55" s="24" t="n">
        <x:v>1</x:v>
      </x:c>
      <x:c r="AS55" s="24" t="n">
        <x:v>0</x:v>
      </x:c>
      <x:c r="AT55" s="24" t="n">
        <x:v>0</x:v>
      </x:c>
    </x:row>
    <x:row r="56" ht="64" customHeight="1">
      <x:c r="A56" s="11" t="str">
        <x:v>IEK</x:v>
      </x:c>
      <x:c r="B56" s="33" t="str">
        <x:v>010500111_</x:v>
      </x:c>
      <x:c r="C56" s="33" t="str">
        <x:v>MNV10-3-020</x:v>
      </x:c>
      <x:c r="D56" s="12" t="str">
        <x:v>Выкл. нагрузки ВН-32 (3ф)  20А IEK (4/80)</x:v>
      </x:c>
      <x:c r="E56" s="11" t="str">
        <x:v>шт</x:v>
      </x:c>
      <x:c r="F56" s="35" t="n">
        <x:f>MAX(0,ROUNDDOWN((AG56-AF56)/AR56+0.000000001,0)*AR56)</x:f>
        <x:v>42</x:v>
      </x:c>
      <x:c r="G56" s="20" t="str">
        <x:f>IF(J56="Рассчитано",V56*(1-R56/100)-W56-P56-Q56,"н/д")</x:f>
        <x:v>н/д</x:v>
      </x:c>
      <x:c r="H56" s="12" t="str">
        <x:v>Высокий</x:v>
      </x:c>
      <x:c r="I56" s="12" t="str">
        <x:v>Высокий</x:v>
      </x:c>
      <x:c r="J56" s="12" t="str">
        <x:f>IF(L56="","Укажите валюту",IF(NOT(ISNUMBER(K56)),"Укажите объём",IF(K56&lt;=0,"Укажите объём",IF(K56&gt;F56,"Объём выше излишка",IF(COUNT(M56:O56)&lt;3,"Нужны цены",IF(COUNT(P56:R56)&lt;3,"Нужны расходы",IF(OR(M56&lt;0,N56&lt;0,O56&lt;0,O56&gt;100,P56&lt;0,Q56&lt;0,R56&lt;0,R56&gt;100),"Проверьте значения","Рассчитано")))))))</x:f>
        <x:v>Нужны цены</x:v>
      </x:c>
      <x:c r="K56" s="36" t="n">
        <x:v>42</x:v>
      </x:c>
      <x:c r="L56" s="19" t="str">
        <x:v>KZT</x:v>
      </x:c>
      <x:c r="M56" s="22"/>
      <x:c r="N56" s="22"/>
      <x:c r="O56" s="28"/>
      <x:c r="P56" s="22"/>
      <x:c r="Q56" s="22"/>
      <x:c r="R56" s="28"/>
      <x:c r="S56" s="22"/>
      <x:c r="T56" s="35" t="n">
        <x:f>K56</x:f>
        <x:v>42</x:v>
      </x:c>
      <x:c r="U56" s="20" t="str">
        <x:f>IF(J56="Рассчитано",N56*(1-O56/100),"н/д")</x:f>
        <x:v>н/д</x:v>
      </x:c>
      <x:c r="V56" s="20" t="str">
        <x:f>IF(J56="Рассчитано",T56*U56,"н/д")</x:f>
        <x:v>н/д</x:v>
      </x:c>
      <x:c r="W56" s="20" t="str">
        <x:f>IF(J56="Рассчитано",T56*M56,"н/д")</x:f>
        <x:v>н/д</x:v>
      </x:c>
      <x:c r="X56" s="20" t="str">
        <x:f>IF(J56="Рассчитано",V56-W56,"н/д")</x:f>
        <x:v>н/д</x:v>
      </x:c>
      <x:c r="Y56" s="26" t="str">
        <x:f>IF(J56="Рассчитано",IF(V56&gt;0,G56/V56,"н/д"),"н/д")</x:f>
        <x:v>н/д</x:v>
      </x:c>
      <x:c r="Z56" s="20" t="str">
        <x:f>"н/д"</x:f>
        <x:v>н/д</x:v>
      </x:c>
      <x:c r="AA56" s="20" t="str">
        <x:f>"н/д"</x:f>
        <x:v>н/д</x:v>
      </x:c>
      <x:c r="AB56" s="20" t="str">
        <x:f>"н/д"</x:f>
        <x:v>н/д</x:v>
      </x:c>
      <x:c r="AC56" s="20" t="str">
        <x:f>IF(AND(J56="Рассчитано",T56&gt;0,R56&lt;100),(W56+P56+Q56)/(T56*(1-R56/100)),"н/д")</x:f>
        <x:v>н/д</x:v>
      </x:c>
      <x:c r="AD56" s="11" t="str">
        <x:f>IF(ISNUMBER(G56),IF(G56&lt;0,"Убыток",IF(G56=0,"Без прибыли","Прибыль &gt; 0")),"Не оценён")</x:f>
        <x:v>Не оценён</x:v>
      </x:c>
      <x:c r="AE56" s="12" t="str">
        <x:f>IF(J56="Рассчитано","Выручка "&amp;TEXT(V56,"0.00")&amp;" - себестоимость "&amp;TEXT(W56,"0.00")&amp;" - комиссия "&amp;TEXT(V56*R56/100,"0.00")&amp;" - доставка "&amp;TEXT(P56,"0.00")&amp;" - прочие "&amp;TEXT(Q56,"0.00")&amp;" = "&amp;TEXT(G56,"0.00")&amp;" "&amp;L56,"Введите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" s="23" t="n">
        <x:v>30.650816161084943</x:v>
      </x:c>
      <x:c r="AG56" s="35" t="n">
        <x:v>73</x:v>
      </x:c>
      <x:c r="AH56" s="35" t="n">
        <x:v>0</x:v>
      </x:c>
      <x:c r="AI56" s="29" t="n">
        <x:v>46266</x:v>
      </x:c>
      <x:c r="AJ56" s="35" t="n">
        <x:v>4</x:v>
      </x:c>
      <x:c r="AK56" s="11" t="str">
        <x:v>минимум</x:v>
      </x:c>
      <x:c r="AL56" s="31" t="n">
        <x:v>202.5348958994794</x:v>
      </x:c>
      <x:c r="AM5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6" s="12" t="str">
        <x:v>Проверить свободный остаток и установить цену для B2B</x:v>
      </x:c>
      <x:c r="AO56" s="12" t="str">
        <x:v>Остаток 73; прогноз 90 дней 30.65; избыток 42 шт. Будущие поступления не выставляются на продажу. Остаток на начало сентября: требуется актуализация.</x:v>
      </x:c>
      <x:c r="AP56" s="12" t="str">
        <x:v>["category_missing", "daily_stockout_data_missing", "new_order_lead_time_unknown", "reservations_unknown", "stale_stock"]</x:v>
      </x:c>
      <x:c r="AQ56" s="11" t="str">
        <x:v>IEK:010500111_</x:v>
      </x:c>
      <x:c r="AR56" s="23" t="n">
        <x:v>1</x:v>
      </x:c>
      <x:c r="AS56" s="23" t="n">
        <x:v>0</x:v>
      </x:c>
      <x:c r="AT56" s="23" t="n">
        <x:v>0</x:v>
      </x:c>
    </x:row>
    <x:row r="57" ht="64" customHeight="1">
      <x:c r="A57" s="10" t="str">
        <x:v>IEK</x:v>
      </x:c>
      <x:c r="B57" s="34" t="str">
        <x:v>010500122_</x:v>
      </x:c>
      <x:c r="C57" s="34" t="str">
        <x:v>BSW60-BD-3-K02</x:v>
      </x:c>
      <x:c r="D57" s="13" t="str">
        <x:v>Переключатель LAY5-BD33 3 положения "I-0-II" стандарт ручка ИЕК (1/20)</x:v>
      </x:c>
      <x:c r="E57" s="10" t="str">
        <x:v>шт</x:v>
      </x:c>
      <x:c r="F57" s="37" t="n">
        <x:f>MAX(0,ROUNDDOWN((AG57-AF57)/AR57+0.000000001,0)*AR57)</x:f>
        <x:v>148</x:v>
      </x:c>
      <x:c r="G57" s="21" t="str">
        <x:f>IF(J57="Рассчитано",V57*(1-R57/100)-W57-P57-Q57,"н/д")</x:f>
        <x:v>н/д</x:v>
      </x:c>
      <x:c r="H57" s="13" t="str">
        <x:v>Высокий</x:v>
      </x:c>
      <x:c r="I57" s="13" t="str">
        <x:v>Средний</x:v>
      </x:c>
      <x:c r="J57" s="13" t="str">
        <x:f>IF(L57="","Укажите валюту",IF(NOT(ISNUMBER(K57)),"Укажите объём",IF(K57&lt;=0,"Укажите объём",IF(K57&gt;F57,"Объём выше излишка",IF(COUNT(M57:O57)&lt;3,"Нужны цены",IF(COUNT(P57:R57)&lt;3,"Нужны расходы",IF(OR(M57&lt;0,N57&lt;0,O57&lt;0,O57&gt;100,P57&lt;0,Q57&lt;0,R57&lt;0,R57&gt;100),"Проверьте значения","Рассчитано")))))))</x:f>
        <x:v>Нужны цены</x:v>
      </x:c>
      <x:c r="K57" s="36" t="n">
        <x:v>148</x:v>
      </x:c>
      <x:c r="L57" s="19" t="str">
        <x:v>KZT</x:v>
      </x:c>
      <x:c r="M57" s="22"/>
      <x:c r="N57" s="22"/>
      <x:c r="O57" s="28"/>
      <x:c r="P57" s="22"/>
      <x:c r="Q57" s="22"/>
      <x:c r="R57" s="28"/>
      <x:c r="S57" s="22"/>
      <x:c r="T57" s="37" t="n">
        <x:f>K57</x:f>
        <x:v>148</x:v>
      </x:c>
      <x:c r="U57" s="21" t="str">
        <x:f>IF(J57="Рассчитано",N57*(1-O57/100),"н/д")</x:f>
        <x:v>н/д</x:v>
      </x:c>
      <x:c r="V57" s="21" t="str">
        <x:f>IF(J57="Рассчитано",T57*U57,"н/д")</x:f>
        <x:v>н/д</x:v>
      </x:c>
      <x:c r="W57" s="21" t="str">
        <x:f>IF(J57="Рассчитано",T57*M57,"н/д")</x:f>
        <x:v>н/д</x:v>
      </x:c>
      <x:c r="X57" s="21" t="str">
        <x:f>IF(J57="Рассчитано",V57-W57,"н/д")</x:f>
        <x:v>н/д</x:v>
      </x:c>
      <x:c r="Y57" s="27" t="str">
        <x:f>IF(J57="Рассчитано",IF(V57&gt;0,G57/V57,"н/д"),"н/д")</x:f>
        <x:v>н/д</x:v>
      </x:c>
      <x:c r="Z57" s="21" t="str">
        <x:f>"н/д"</x:f>
        <x:v>н/д</x:v>
      </x:c>
      <x:c r="AA57" s="21" t="str">
        <x:f>"н/д"</x:f>
        <x:v>н/д</x:v>
      </x:c>
      <x:c r="AB57" s="21" t="str">
        <x:f>"н/д"</x:f>
        <x:v>н/д</x:v>
      </x:c>
      <x:c r="AC57" s="21" t="str">
        <x:f>IF(AND(J57="Рассчитано",T57&gt;0,R57&lt;100),(W57+P57+Q57)/(T57*(1-R57/100)),"н/д")</x:f>
        <x:v>н/д</x:v>
      </x:c>
      <x:c r="AD57" s="10" t="str">
        <x:f>IF(ISNUMBER(G57),IF(G57&lt;0,"Убыток",IF(G57=0,"Без прибыли","Прибыль &gt; 0")),"Не оценён")</x:f>
        <x:v>Не оценён</x:v>
      </x:c>
      <x:c r="AE57" s="13" t="str">
        <x:f>IF(J57="Рассчитано","Выручка "&amp;TEXT(V57,"0.00")&amp;" - себестоимость "&amp;TEXT(W57,"0.00")&amp;" - комиссия "&amp;TEXT(V57*R57/100,"0.00")&amp;" - доставка "&amp;TEXT(P57,"0.00")&amp;" - прочие "&amp;TEXT(Q57,"0.00")&amp;" = "&amp;TEXT(G57,"0.00")&amp;" "&amp;L57,"Введите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" s="24" t="n">
        <x:v>179.65176323633622</x:v>
      </x:c>
      <x:c r="AG57" s="37" t="n">
        <x:v>328</x:v>
      </x:c>
      <x:c r="AH57" s="37" t="n">
        <x:v>40</x:v>
      </x:c>
      <x:c r="AI57" s="30" t="n">
        <x:v>46266</x:v>
      </x:c>
      <x:c r="AJ57" s="37" t="n">
        <x:v>20</x:v>
      </x:c>
      <x:c r="AK57" s="10" t="str">
        <x:v>минимум</x:v>
      </x:c>
      <x:c r="AL57" s="32" t="n">
        <x:v>155.26065139204127</x:v>
      </x:c>
      <x:c r="AM5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7" s="13" t="str">
        <x:v>Проверить свободный остаток и установить цену для B2B</x:v>
      </x:c>
      <x:c r="AO57" s="13" t="str">
        <x:v>Остаток 328; прогноз 90 дней 179.65; избыток 148 шт. Будущие поступления не выставляются на продажу. Остаток на начало сентября: требуется актуализация.</x:v>
      </x:c>
      <x:c r="AP57" s="13" t="str">
        <x:v>["category_missing", "daily_stockout_data_missing", "large_orders_detected", "new_order_lead_time_unknown", "reservations_unknown", "stale_stock", "transaction_month_mismatch"]</x:v>
      </x:c>
      <x:c r="AQ57" s="10" t="str">
        <x:v>IEK:010500122_</x:v>
      </x:c>
      <x:c r="AR57" s="24" t="n">
        <x:v>1</x:v>
      </x:c>
      <x:c r="AS57" s="24" t="n">
        <x:v>0</x:v>
      </x:c>
      <x:c r="AT57" s="24" t="n">
        <x:v>0</x:v>
      </x:c>
    </x:row>
    <x:row r="58" ht="64" customHeight="1">
      <x:c r="A58" s="11" t="str">
        <x:v>IEK</x:v>
      </x:c>
      <x:c r="B58" s="33" t="str">
        <x:v>010500123_</x:v>
      </x:c>
      <x:c r="C58" s="33"/>
      <x:c r="D58" s="12" t="str">
        <x:v>ВА47-29 (2ф)  1А IEK (6/72) E-PRO</x:v>
      </x:c>
      <x:c r="E58" s="11" t="str">
        <x:v>шт</x:v>
      </x:c>
      <x:c r="F58" s="35" t="n">
        <x:f>MAX(0,ROUNDDOWN((AG58-AF58)/AR58+0.000000001,0)*AR58)</x:f>
        <x:v>4</x:v>
      </x:c>
      <x:c r="G58" s="20" t="str">
        <x:f>IF(J58="Рассчитано",V58*(1-R58/100)-W58-P58-Q58,"н/д")</x:f>
        <x:v>н/д</x:v>
      </x:c>
      <x:c r="H58" s="12" t="str">
        <x:v>Высокий</x:v>
      </x:c>
      <x:c r="I58" s="12" t="str">
        <x:v>Высокий</x:v>
      </x:c>
      <x:c r="J58" s="12" t="str">
        <x:f>IF(L58="","Укажите валюту",IF(NOT(ISNUMBER(K58)),"Укажите объём",IF(K58&lt;=0,"Укажите объём",IF(K58&gt;F58,"Объём выше излишка",IF(COUNT(M58:O58)&lt;3,"Нужны цены",IF(COUNT(P58:R58)&lt;3,"Нужны расходы",IF(OR(M58&lt;0,N58&lt;0,O58&lt;0,O58&gt;100,P58&lt;0,Q58&lt;0,R58&lt;0,R58&gt;100),"Проверьте значения","Рассчитано")))))))</x:f>
        <x:v>Нужны цены</x:v>
      </x:c>
      <x:c r="K58" s="36" t="n">
        <x:v>4</x:v>
      </x:c>
      <x:c r="L58" s="19" t="str">
        <x:v>KZT</x:v>
      </x:c>
      <x:c r="M58" s="22"/>
      <x:c r="N58" s="22"/>
      <x:c r="O58" s="28"/>
      <x:c r="P58" s="22"/>
      <x:c r="Q58" s="22"/>
      <x:c r="R58" s="28"/>
      <x:c r="S58" s="22"/>
      <x:c r="T58" s="35" t="n">
        <x:f>K58</x:f>
        <x:v>4</x:v>
      </x:c>
      <x:c r="U58" s="20" t="str">
        <x:f>IF(J58="Рассчитано",N58*(1-O58/100),"н/д")</x:f>
        <x:v>н/д</x:v>
      </x:c>
      <x:c r="V58" s="20" t="str">
        <x:f>IF(J58="Рассчитано",T58*U58,"н/д")</x:f>
        <x:v>н/д</x:v>
      </x:c>
      <x:c r="W58" s="20" t="str">
        <x:f>IF(J58="Рассчитано",T58*M58,"н/д")</x:f>
        <x:v>н/д</x:v>
      </x:c>
      <x:c r="X58" s="20" t="str">
        <x:f>IF(J58="Рассчитано",V58-W58,"н/д")</x:f>
        <x:v>н/д</x:v>
      </x:c>
      <x:c r="Y58" s="26" t="str">
        <x:f>IF(J58="Рассчитано",IF(V58&gt;0,G58/V58,"н/д"),"н/д")</x:f>
        <x:v>н/д</x:v>
      </x:c>
      <x:c r="Z58" s="20" t="str">
        <x:f>"н/д"</x:f>
        <x:v>н/д</x:v>
      </x:c>
      <x:c r="AA58" s="20" t="str">
        <x:f>"н/д"</x:f>
        <x:v>н/д</x:v>
      </x:c>
      <x:c r="AB58" s="20" t="str">
        <x:f>"н/д"</x:f>
        <x:v>н/д</x:v>
      </x:c>
      <x:c r="AC58" s="20" t="str">
        <x:f>IF(AND(J58="Рассчитано",T58&gt;0,R58&lt;100),(W58+P58+Q58)/(T58*(1-R58/100)),"н/д")</x:f>
        <x:v>н/д</x:v>
      </x:c>
      <x:c r="AD58" s="11" t="str">
        <x:f>IF(ISNUMBER(G58),IF(G58&lt;0,"Убыток",IF(G58=0,"Без прибыли","Прибыль &gt; 0")),"Не оценён")</x:f>
        <x:v>Не оценён</x:v>
      </x:c>
      <x:c r="AE58" s="12" t="str">
        <x:f>IF(J58="Рассчитано","Выручка "&amp;TEXT(V58,"0.00")&amp;" - себестоимость "&amp;TEXT(W58,"0.00")&amp;" - комиссия "&amp;TEXT(V58*R58/100,"0.00")&amp;" - доставка "&amp;TEXT(P58,"0.00")&amp;" - прочие "&amp;TEXT(Q58,"0.00")&amp;" = "&amp;TEXT(G58,"0.00")&amp;" "&amp;L58,"Введите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" s="23" t="n">
        <x:v>0</x:v>
      </x:c>
      <x:c r="AG58" s="35" t="n">
        <x:v>4</x:v>
      </x:c>
      <x:c r="AH58" s="35" t="n">
        <x:v>0</x:v>
      </x:c>
      <x:c r="AI58" s="29" t="n">
        <x:v>46266</x:v>
      </x:c>
      <x:c r="AJ58" s="35"/>
      <x:c r="AK58" s="11" t="str">
        <x:v>неизвестно</x:v>
      </x:c>
      <x:c r="AL58" s="31" t="str">
        <x:v>н/д</x:v>
      </x:c>
      <x:c r="AM58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58" s="12" t="str">
        <x:v>Проверить свободный остаток и установить цену для B2B</x:v>
      </x:c>
      <x:c r="AO58" s="12" t="str">
        <x:v>Остаток 4; прогноз 90 дней 0.00; избыток 4 шт. Будущие поступления не выставляются на продажу. Остаток на начало сентября: требуется актуализация.</x:v>
      </x:c>
      <x:c r="AP58" s="12" t="str">
        <x:v>["category_missing", "daily_stockout_data_missing", "moq_missing", "new_order_lead_time_unknown", "reservations_unknown", "stale_stock", "supplier_sku_missing"]</x:v>
      </x:c>
      <x:c r="AQ58" s="11" t="str">
        <x:v>IEK:010500123_</x:v>
      </x:c>
      <x:c r="AR58" s="23" t="n">
        <x:v>1</x:v>
      </x:c>
      <x:c r="AS58" s="23" t="n">
        <x:v>0</x:v>
      </x:c>
      <x:c r="AT58" s="23" t="n">
        <x:v>0</x:v>
      </x:c>
    </x:row>
    <x:row r="59" ht="64" customHeight="1">
      <x:c r="A59" s="10" t="str">
        <x:v>IEK</x:v>
      </x:c>
      <x:c r="B59" s="34" t="str">
        <x:v>010500124_</x:v>
      </x:c>
      <x:c r="C59" s="34" t="str">
        <x:v>BSW60-BD-2-K02</x:v>
      </x:c>
      <x:c r="D59" s="13" t="str">
        <x:v>Переключатель LAY5-BD25 2 полож."1-0" стандарт ручка IEK (1/20)</x:v>
      </x:c>
      <x:c r="E59" s="10" t="str">
        <x:v>шт</x:v>
      </x:c>
      <x:c r="F59" s="37" t="n">
        <x:f>MAX(0,ROUNDDOWN((AG59-AF59)/AR59+0.000000001,0)*AR59)</x:f>
        <x:v>141</x:v>
      </x:c>
      <x:c r="G59" s="21" t="str">
        <x:f>IF(J59="Рассчитано",V59*(1-R59/100)-W59-P59-Q59,"н/д")</x:f>
        <x:v>н/д</x:v>
      </x:c>
      <x:c r="H59" s="13" t="str">
        <x:v>Высокий</x:v>
      </x:c>
      <x:c r="I59" s="13" t="str">
        <x:v>Высокий</x:v>
      </x:c>
      <x:c r="J59" s="13" t="str">
        <x:f>IF(L59="","Укажите валюту",IF(NOT(ISNUMBER(K59)),"Укажите объём",IF(K59&lt;=0,"Укажите объём",IF(K59&gt;F59,"Объём выше излишка",IF(COUNT(M59:O59)&lt;3,"Нужны цены",IF(COUNT(P59:R59)&lt;3,"Нужны расходы",IF(OR(M59&lt;0,N59&lt;0,O59&lt;0,O59&gt;100,P59&lt;0,Q59&lt;0,R59&lt;0,R59&gt;100),"Проверьте значения","Рассчитано")))))))</x:f>
        <x:v>Нужны цены</x:v>
      </x:c>
      <x:c r="K59" s="36" t="n">
        <x:v>141</x:v>
      </x:c>
      <x:c r="L59" s="19" t="str">
        <x:v>KZT</x:v>
      </x:c>
      <x:c r="M59" s="22"/>
      <x:c r="N59" s="22"/>
      <x:c r="O59" s="28"/>
      <x:c r="P59" s="22"/>
      <x:c r="Q59" s="22"/>
      <x:c r="R59" s="28"/>
      <x:c r="S59" s="22"/>
      <x:c r="T59" s="37" t="n">
        <x:f>K59</x:f>
        <x:v>141</x:v>
      </x:c>
      <x:c r="U59" s="21" t="str">
        <x:f>IF(J59="Рассчитано",N59*(1-O59/100),"н/д")</x:f>
        <x:v>н/д</x:v>
      </x:c>
      <x:c r="V59" s="21" t="str">
        <x:f>IF(J59="Рассчитано",T59*U59,"н/д")</x:f>
        <x:v>н/д</x:v>
      </x:c>
      <x:c r="W59" s="21" t="str">
        <x:f>IF(J59="Рассчитано",T59*M59,"н/д")</x:f>
        <x:v>н/д</x:v>
      </x:c>
      <x:c r="X59" s="21" t="str">
        <x:f>IF(J59="Рассчитано",V59-W59,"н/д")</x:f>
        <x:v>н/д</x:v>
      </x:c>
      <x:c r="Y59" s="27" t="str">
        <x:f>IF(J59="Рассчитано",IF(V59&gt;0,G59/V59,"н/д"),"н/д")</x:f>
        <x:v>н/д</x:v>
      </x:c>
      <x:c r="Z59" s="21" t="str">
        <x:f>"н/д"</x:f>
        <x:v>н/д</x:v>
      </x:c>
      <x:c r="AA59" s="21" t="str">
        <x:f>"н/д"</x:f>
        <x:v>н/д</x:v>
      </x:c>
      <x:c r="AB59" s="21" t="str">
        <x:f>"н/д"</x:f>
        <x:v>н/д</x:v>
      </x:c>
      <x:c r="AC59" s="21" t="str">
        <x:f>IF(AND(J59="Рассчитано",T59&gt;0,R59&lt;100),(W59+P59+Q59)/(T59*(1-R59/100)),"н/д")</x:f>
        <x:v>н/д</x:v>
      </x:c>
      <x:c r="AD59" s="10" t="str">
        <x:f>IF(ISNUMBER(G59),IF(G59&lt;0,"Убыток",IF(G59=0,"Без прибыли","Прибыль &gt; 0")),"Не оценён")</x:f>
        <x:v>Не оценён</x:v>
      </x:c>
      <x:c r="AE59" s="13" t="str">
        <x:f>IF(J59="Рассчитано","Выручка "&amp;TEXT(V59,"0.00")&amp;" - себестоимость "&amp;TEXT(W59,"0.00")&amp;" - комиссия "&amp;TEXT(V59*R59/100,"0.00")&amp;" - доставка "&amp;TEXT(P59,"0.00")&amp;" - прочие "&amp;TEXT(Q59,"0.00")&amp;" = "&amp;TEXT(G59,"0.00")&amp;" "&amp;L59,"Введите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" s="24" t="n">
        <x:v>86.96234176777526</x:v>
      </x:c>
      <x:c r="AG59" s="37" t="n">
        <x:v>228</x:v>
      </x:c>
      <x:c r="AH59" s="37" t="n">
        <x:v>0</x:v>
      </x:c>
      <x:c r="AI59" s="30" t="n">
        <x:v>46266</x:v>
      </x:c>
      <x:c r="AJ59" s="37" t="n">
        <x:v>20</x:v>
      </x:c>
      <x:c r="AK59" s="10" t="str">
        <x:v>минимум</x:v>
      </x:c>
      <x:c r="AL59" s="32" t="n">
        <x:v>222.9577972792607</x:v>
      </x:c>
      <x:c r="AM5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9" s="13" t="str">
        <x:v>Проверить свободный остаток и установить цену для B2B</x:v>
      </x:c>
      <x:c r="AO59" s="13" t="str">
        <x:v>Остаток 228; прогноз 90 дней 86.96; избыток 141 шт. Будущие поступления не выставляются на продажу. Остаток на начало сентября: требуется актуализация.</x:v>
      </x:c>
      <x:c r="AP59" s="13" t="str">
        <x:v>["category_missing", "daily_stockout_data_missing", "new_order_lead_time_unknown", "reservations_unknown", "stale_stock"]</x:v>
      </x:c>
      <x:c r="AQ59" s="10" t="str">
        <x:v>IEK:010500124_</x:v>
      </x:c>
      <x:c r="AR59" s="24" t="n">
        <x:v>1</x:v>
      </x:c>
      <x:c r="AS59" s="24" t="n">
        <x:v>0</x:v>
      </x:c>
      <x:c r="AT59" s="24" t="n">
        <x:v>0</x:v>
      </x:c>
    </x:row>
    <x:row r="60" ht="64" customHeight="1">
      <x:c r="A60" s="11" t="str">
        <x:v>IEK</x:v>
      </x:c>
      <x:c r="B60" s="33" t="str">
        <x:v>010500136_</x:v>
      </x:c>
      <x:c r="C60" s="33"/>
      <x:c r="D60" s="12" t="str">
        <x:v>ВА47-29 (3ф)  8А IEK (4/48) !!!</x:v>
      </x:c>
      <x:c r="E60" s="11" t="str">
        <x:v>шт</x:v>
      </x:c>
      <x:c r="F60" s="35" t="n">
        <x:f>MAX(0,ROUNDDOWN((AG60-AF60)/AR60+0.000000001,0)*AR60)</x:f>
        <x:v>6</x:v>
      </x:c>
      <x:c r="G60" s="20" t="str">
        <x:f>IF(J60="Рассчитано",V60*(1-R60/100)-W60-P60-Q60,"н/д")</x:f>
        <x:v>н/д</x:v>
      </x:c>
      <x:c r="H60" s="12" t="str">
        <x:v>Высокий</x:v>
      </x:c>
      <x:c r="I60" s="12" t="str">
        <x:v>Высокий</x:v>
      </x:c>
      <x:c r="J60" s="12" t="str">
        <x:f>IF(L60="","Укажите валюту",IF(NOT(ISNUMBER(K60)),"Укажите объём",IF(K60&lt;=0,"Укажите объём",IF(K60&gt;F60,"Объём выше излишка",IF(COUNT(M60:O60)&lt;3,"Нужны цены",IF(COUNT(P60:R60)&lt;3,"Нужны расходы",IF(OR(M60&lt;0,N60&lt;0,O60&lt;0,O60&gt;100,P60&lt;0,Q60&lt;0,R60&lt;0,R60&gt;100),"Проверьте значения","Рассчитано")))))))</x:f>
        <x:v>Нужны цены</x:v>
      </x:c>
      <x:c r="K60" s="36" t="n">
        <x:v>6</x:v>
      </x:c>
      <x:c r="L60" s="19" t="str">
        <x:v>KZT</x:v>
      </x:c>
      <x:c r="M60" s="22"/>
      <x:c r="N60" s="22"/>
      <x:c r="O60" s="28"/>
      <x:c r="P60" s="22"/>
      <x:c r="Q60" s="22"/>
      <x:c r="R60" s="28"/>
      <x:c r="S60" s="22"/>
      <x:c r="T60" s="35" t="n">
        <x:f>K60</x:f>
        <x:v>6</x:v>
      </x:c>
      <x:c r="U60" s="20" t="str">
        <x:f>IF(J60="Рассчитано",N60*(1-O60/100),"н/д")</x:f>
        <x:v>н/д</x:v>
      </x:c>
      <x:c r="V60" s="20" t="str">
        <x:f>IF(J60="Рассчитано",T60*U60,"н/д")</x:f>
        <x:v>н/д</x:v>
      </x:c>
      <x:c r="W60" s="20" t="str">
        <x:f>IF(J60="Рассчитано",T60*M60,"н/д")</x:f>
        <x:v>н/д</x:v>
      </x:c>
      <x:c r="X60" s="20" t="str">
        <x:f>IF(J60="Рассчитано",V60-W60,"н/д")</x:f>
        <x:v>н/д</x:v>
      </x:c>
      <x:c r="Y60" s="26" t="str">
        <x:f>IF(J60="Рассчитано",IF(V60&gt;0,G60/V60,"н/д"),"н/д")</x:f>
        <x:v>н/д</x:v>
      </x:c>
      <x:c r="Z60" s="20" t="str">
        <x:f>"н/д"</x:f>
        <x:v>н/д</x:v>
      </x:c>
      <x:c r="AA60" s="20" t="str">
        <x:f>"н/д"</x:f>
        <x:v>н/д</x:v>
      </x:c>
      <x:c r="AB60" s="20" t="str">
        <x:f>"н/д"</x:f>
        <x:v>н/д</x:v>
      </x:c>
      <x:c r="AC60" s="20" t="str">
        <x:f>IF(AND(J60="Рассчитано",T60&gt;0,R60&lt;100),(W60+P60+Q60)/(T60*(1-R60/100)),"н/д")</x:f>
        <x:v>н/д</x:v>
      </x:c>
      <x:c r="AD60" s="11" t="str">
        <x:f>IF(ISNUMBER(G60),IF(G60&lt;0,"Убыток",IF(G60=0,"Без прибыли","Прибыль &gt; 0")),"Не оценён")</x:f>
        <x:v>Не оценён</x:v>
      </x:c>
      <x:c r="AE60" s="12" t="str">
        <x:f>IF(J60="Рассчитано","Выручка "&amp;TEXT(V60,"0.00")&amp;" - себестоимость "&amp;TEXT(W60,"0.00")&amp;" - комиссия "&amp;TEXT(V60*R60/100,"0.00")&amp;" - доставка "&amp;TEXT(P60,"0.00")&amp;" - прочие "&amp;TEXT(Q60,"0.00")&amp;" = "&amp;TEXT(G60,"0.00")&amp;" "&amp;L60,"Введите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" s="23" t="n">
        <x:v>0.10758727254321898</x:v>
      </x:c>
      <x:c r="AG60" s="35" t="n">
        <x:v>7</x:v>
      </x:c>
      <x:c r="AH60" s="35" t="n">
        <x:v>0</x:v>
      </x:c>
      <x:c r="AI60" s="29" t="n">
        <x:v>46266</x:v>
      </x:c>
      <x:c r="AJ60" s="35"/>
      <x:c r="AK60" s="11" t="str">
        <x:v>неизвестно</x:v>
      </x:c>
      <x:c r="AL60" s="31" t="n">
        <x:v>5532.942876228924</x:v>
      </x:c>
      <x:c r="AM6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60" s="12" t="str">
        <x:v>Проверить свободный остаток и установить цену для B2B</x:v>
      </x:c>
      <x:c r="AO60" s="12" t="str">
        <x:v>Остаток 7; прогноз 90 дней 0.11; избыток 6 шт. Будущие поступления не выставляются на продажу. Остаток на начало сентября: требуется актуализация.</x:v>
      </x:c>
      <x:c r="AP60" s="12" t="str">
        <x:v>["category_missing", "daily_stockout_data_missing", "moq_missing", "new_order_lead_time_unknown", "reservations_unknown", "stale_stock", "supplier_sku_missing"]</x:v>
      </x:c>
      <x:c r="AQ60" s="11" t="str">
        <x:v>IEK:010500136_</x:v>
      </x:c>
      <x:c r="AR60" s="23" t="n">
        <x:v>1</x:v>
      </x:c>
      <x:c r="AS60" s="23" t="n">
        <x:v>0</x:v>
      </x:c>
      <x:c r="AT60" s="23" t="n">
        <x:v>0</x:v>
      </x:c>
    </x:row>
    <x:row r="61" ht="64" customHeight="1">
      <x:c r="A61" s="10" t="str">
        <x:v>IEK</x:v>
      </x:c>
      <x:c r="B61" s="34" t="str">
        <x:v>010500141_</x:v>
      </x:c>
      <x:c r="C61" s="34" t="str">
        <x:v>MVA25-1-025-C</x:v>
      </x:c>
      <x:c r="D61" s="13" t="str">
        <x:v>ВА47-29 (1ф)  25А GENERICA (12/144) !!!</x:v>
      </x:c>
      <x:c r="E61" s="10" t="str">
        <x:v>шт</x:v>
      </x:c>
      <x:c r="F61" s="37" t="n">
        <x:f>MAX(0,ROUNDDOWN((AG61-AF61)/AR61+0.000000001,0)*AR61)</x:f>
        <x:v>4</x:v>
      </x:c>
      <x:c r="G61" s="21" t="str">
        <x:f>IF(J61="Рассчитано",V61*(1-R61/100)-W61-P61-Q61,"н/д")</x:f>
        <x:v>н/д</x:v>
      </x:c>
      <x:c r="H61" s="13" t="str">
        <x:v>Высокий</x:v>
      </x:c>
      <x:c r="I61" s="13" t="str">
        <x:v>Высокий</x:v>
      </x:c>
      <x:c r="J61" s="13" t="str">
        <x:f>IF(L61="","Укажите валюту",IF(NOT(ISNUMBER(K61)),"Укажите объём",IF(K61&lt;=0,"Укажите объём",IF(K61&gt;F61,"Объём выше излишка",IF(COUNT(M61:O61)&lt;3,"Нужны цены",IF(COUNT(P61:R61)&lt;3,"Нужны расходы",IF(OR(M61&lt;0,N61&lt;0,O61&lt;0,O61&gt;100,P61&lt;0,Q61&lt;0,R61&lt;0,R61&gt;100),"Проверьте значения","Рассчитано")))))))</x:f>
        <x:v>Нужны цены</x:v>
      </x:c>
      <x:c r="K61" s="36" t="n">
        <x:v>4</x:v>
      </x:c>
      <x:c r="L61" s="19" t="str">
        <x:v>KZT</x:v>
      </x:c>
      <x:c r="M61" s="22"/>
      <x:c r="N61" s="22"/>
      <x:c r="O61" s="28"/>
      <x:c r="P61" s="22"/>
      <x:c r="Q61" s="22"/>
      <x:c r="R61" s="28"/>
      <x:c r="S61" s="22"/>
      <x:c r="T61" s="37" t="n">
        <x:f>K61</x:f>
        <x:v>4</x:v>
      </x:c>
      <x:c r="U61" s="21" t="str">
        <x:f>IF(J61="Рассчитано",N61*(1-O61/100),"н/д")</x:f>
        <x:v>н/д</x:v>
      </x:c>
      <x:c r="V61" s="21" t="str">
        <x:f>IF(J61="Рассчитано",T61*U61,"н/д")</x:f>
        <x:v>н/д</x:v>
      </x:c>
      <x:c r="W61" s="21" t="str">
        <x:f>IF(J61="Рассчитано",T61*M61,"н/д")</x:f>
        <x:v>н/д</x:v>
      </x:c>
      <x:c r="X61" s="21" t="str">
        <x:f>IF(J61="Рассчитано",V61-W61,"н/д")</x:f>
        <x:v>н/д</x:v>
      </x:c>
      <x:c r="Y61" s="27" t="str">
        <x:f>IF(J61="Рассчитано",IF(V61&gt;0,G61/V61,"н/д"),"н/д")</x:f>
        <x:v>н/д</x:v>
      </x:c>
      <x:c r="Z61" s="21" t="str">
        <x:f>"н/д"</x:f>
        <x:v>н/д</x:v>
      </x:c>
      <x:c r="AA61" s="21" t="str">
        <x:f>"н/д"</x:f>
        <x:v>н/д</x:v>
      </x:c>
      <x:c r="AB61" s="21" t="str">
        <x:f>"н/д"</x:f>
        <x:v>н/д</x:v>
      </x:c>
      <x:c r="AC61" s="21" t="str">
        <x:f>IF(AND(J61="Рассчитано",T61&gt;0,R61&lt;100),(W61+P61+Q61)/(T61*(1-R61/100)),"н/д")</x:f>
        <x:v>н/д</x:v>
      </x:c>
      <x:c r="AD61" s="10" t="str">
        <x:f>IF(ISNUMBER(G61),IF(G61&lt;0,"Убыток",IF(G61=0,"Без прибыли","Прибыль &gt; 0")),"Не оценён")</x:f>
        <x:v>Не оценён</x:v>
      </x:c>
      <x:c r="AE61" s="13" t="str">
        <x:f>IF(J61="Рассчитано","Выручка "&amp;TEXT(V61,"0.00")&amp;" - себестоимость "&amp;TEXT(W61,"0.00")&amp;" - комиссия "&amp;TEXT(V61*R61/100,"0.00")&amp;" - доставка "&amp;TEXT(P61,"0.00")&amp;" - прочие "&amp;TEXT(Q61,"0.00")&amp;" = "&amp;TEXT(G61,"0.00")&amp;" "&amp;L61,"Введите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" s="24" t="n">
        <x:v>0</x:v>
      </x:c>
      <x:c r="AG61" s="37" t="n">
        <x:v>4</x:v>
      </x:c>
      <x:c r="AH61" s="37" t="n">
        <x:v>0</x:v>
      </x:c>
      <x:c r="AI61" s="30" t="n">
        <x:v>46266</x:v>
      </x:c>
      <x:c r="AJ61" s="37"/>
      <x:c r="AK61" s="10" t="str">
        <x:v>неизвестно</x:v>
      </x:c>
      <x:c r="AL61" s="32" t="str">
        <x:v>н/д</x:v>
      </x:c>
      <x:c r="AM6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1" s="13" t="str">
        <x:v>Проверить свободный остаток и установить цену для B2B</x:v>
      </x:c>
      <x:c r="AO61" s="13" t="str">
        <x:v>Остаток 4; прогноз 90 дней 0.00; избыток 4 шт. Будущие поступления не выставляются на продажу. Остаток на начало сентября: требуется актуализация.</x:v>
      </x:c>
      <x:c r="AP61" s="13" t="str">
        <x:v>["category_missing", "daily_stockout_data_missing", "moq_missing", "new_order_lead_time_unknown", "reservations_unknown", "stale_stock"]</x:v>
      </x:c>
      <x:c r="AQ61" s="10" t="str">
        <x:v>IEK:010500141_</x:v>
      </x:c>
      <x:c r="AR61" s="24" t="n">
        <x:v>1</x:v>
      </x:c>
      <x:c r="AS61" s="24" t="n">
        <x:v>0</x:v>
      </x:c>
      <x:c r="AT61" s="24" t="n">
        <x:v>0</x:v>
      </x:c>
    </x:row>
    <x:row r="62" ht="64" customHeight="1">
      <x:c r="A62" s="11" t="str">
        <x:v>IEK</x:v>
      </x:c>
      <x:c r="B62" s="33" t="str">
        <x:v>010500145_</x:v>
      </x:c>
      <x:c r="C62" s="33" t="str">
        <x:v>MVA25-1-063-C</x:v>
      </x:c>
      <x:c r="D62" s="12" t="str">
        <x:v>ВА47-29 (1ф)  63А GENERICA (12/144) !!!</x:v>
      </x:c>
      <x:c r="E62" s="11" t="str">
        <x:v>шт</x:v>
      </x:c>
      <x:c r="F62" s="35" t="n">
        <x:f>MAX(0,ROUNDDOWN((AG62-AF62)/AR62+0.000000001,0)*AR62)</x:f>
        <x:v>2</x:v>
      </x:c>
      <x:c r="G62" s="20" t="str">
        <x:f>IF(J62="Рассчитано",V62*(1-R62/100)-W62-P62-Q62,"н/д")</x:f>
        <x:v>н/д</x:v>
      </x:c>
      <x:c r="H62" s="12" t="str">
        <x:v>Высокий</x:v>
      </x:c>
      <x:c r="I62" s="12" t="str">
        <x:v>Высокий</x:v>
      </x:c>
      <x:c r="J62" s="12" t="str">
        <x:f>IF(L62="","Укажите валюту",IF(NOT(ISNUMBER(K62)),"Укажите объём",IF(K62&lt;=0,"Укажите объём",IF(K62&gt;F62,"Объём выше излишка",IF(COUNT(M62:O62)&lt;3,"Нужны цены",IF(COUNT(P62:R62)&lt;3,"Нужны расходы",IF(OR(M62&lt;0,N62&lt;0,O62&lt;0,O62&gt;100,P62&lt;0,Q62&lt;0,R62&lt;0,R62&gt;100),"Проверьте значения","Рассчитано")))))))</x:f>
        <x:v>Нужны цены</x:v>
      </x:c>
      <x:c r="K62" s="36" t="n">
        <x:v>2</x:v>
      </x:c>
      <x:c r="L62" s="19" t="str">
        <x:v>KZT</x:v>
      </x:c>
      <x:c r="M62" s="22"/>
      <x:c r="N62" s="22"/>
      <x:c r="O62" s="28"/>
      <x:c r="P62" s="22"/>
      <x:c r="Q62" s="22"/>
      <x:c r="R62" s="28"/>
      <x:c r="S62" s="22"/>
      <x:c r="T62" s="35" t="n">
        <x:f>K62</x:f>
        <x:v>2</x:v>
      </x:c>
      <x:c r="U62" s="20" t="str">
        <x:f>IF(J62="Рассчитано",N62*(1-O62/100),"н/д")</x:f>
        <x:v>н/д</x:v>
      </x:c>
      <x:c r="V62" s="20" t="str">
        <x:f>IF(J62="Рассчитано",T62*U62,"н/д")</x:f>
        <x:v>н/д</x:v>
      </x:c>
      <x:c r="W62" s="20" t="str">
        <x:f>IF(J62="Рассчитано",T62*M62,"н/д")</x:f>
        <x:v>н/д</x:v>
      </x:c>
      <x:c r="X62" s="20" t="str">
        <x:f>IF(J62="Рассчитано",V62-W62,"н/д")</x:f>
        <x:v>н/д</x:v>
      </x:c>
      <x:c r="Y62" s="26" t="str">
        <x:f>IF(J62="Рассчитано",IF(V62&gt;0,G62/V62,"н/д"),"н/д")</x:f>
        <x:v>н/д</x:v>
      </x:c>
      <x:c r="Z62" s="20" t="str">
        <x:f>"н/д"</x:f>
        <x:v>н/д</x:v>
      </x:c>
      <x:c r="AA62" s="20" t="str">
        <x:f>"н/д"</x:f>
        <x:v>н/д</x:v>
      </x:c>
      <x:c r="AB62" s="20" t="str">
        <x:f>"н/д"</x:f>
        <x:v>н/д</x:v>
      </x:c>
      <x:c r="AC62" s="20" t="str">
        <x:f>IF(AND(J62="Рассчитано",T62&gt;0,R62&lt;100),(W62+P62+Q62)/(T62*(1-R62/100)),"н/д")</x:f>
        <x:v>н/д</x:v>
      </x:c>
      <x:c r="AD62" s="11" t="str">
        <x:f>IF(ISNUMBER(G62),IF(G62&lt;0,"Убыток",IF(G62=0,"Без прибыли","Прибыль &gt; 0")),"Не оценён")</x:f>
        <x:v>Не оценён</x:v>
      </x:c>
      <x:c r="AE62" s="12" t="str">
        <x:f>IF(J62="Рассчитано","Выручка "&amp;TEXT(V62,"0.00")&amp;" - себестоимость "&amp;TEXT(W62,"0.00")&amp;" - комиссия "&amp;TEXT(V62*R62/100,"0.00")&amp;" - доставка "&amp;TEXT(P62,"0.00")&amp;" - прочие "&amp;TEXT(Q62,"0.00")&amp;" = "&amp;TEXT(G62,"0.00")&amp;" "&amp;L62,"Введите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" s="23" t="n">
        <x:v>0</x:v>
      </x:c>
      <x:c r="AG62" s="35" t="n">
        <x:v>2</x:v>
      </x:c>
      <x:c r="AH62" s="35" t="n">
        <x:v>0</x:v>
      </x:c>
      <x:c r="AI62" s="29" t="n">
        <x:v>46266</x:v>
      </x:c>
      <x:c r="AJ62" s="35"/>
      <x:c r="AK62" s="11" t="str">
        <x:v>неизвестно</x:v>
      </x:c>
      <x:c r="AL62" s="31" t="str">
        <x:v>н/д</x:v>
      </x:c>
      <x:c r="AM6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2" s="12" t="str">
        <x:v>Проверить свободный остаток и установить цену для B2B</x:v>
      </x:c>
      <x:c r="AO62" s="12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62" s="12" t="str">
        <x:v>["category_missing", "daily_stockout_data_missing", "moq_missing", "new_order_lead_time_unknown", "reservations_unknown", "stale_stock"]</x:v>
      </x:c>
      <x:c r="AQ62" s="11" t="str">
        <x:v>IEK:010500145_</x:v>
      </x:c>
      <x:c r="AR62" s="23" t="n">
        <x:v>1</x:v>
      </x:c>
      <x:c r="AS62" s="23" t="n">
        <x:v>0</x:v>
      </x:c>
      <x:c r="AT62" s="23" t="n">
        <x:v>0</x:v>
      </x:c>
    </x:row>
    <x:row r="63" ht="64" customHeight="1">
      <x:c r="A63" s="10" t="str">
        <x:v>IEK</x:v>
      </x:c>
      <x:c r="B63" s="34" t="str">
        <x:v>010500152_</x:v>
      </x:c>
      <x:c r="C63" s="34" t="str">
        <x:v>MVA25-2-040-C</x:v>
      </x:c>
      <x:c r="D63" s="13" t="str">
        <x:v>ВА47-29 (2ф)  40А GENERICA (6/72) !!!</x:v>
      </x:c>
      <x:c r="E63" s="10" t="str">
        <x:v>шт</x:v>
      </x:c>
      <x:c r="F63" s="37" t="n">
        <x:f>MAX(0,ROUNDDOWN((AG63-AF63)/AR63+0.000000001,0)*AR63)</x:f>
        <x:v>65</x:v>
      </x:c>
      <x:c r="G63" s="21" t="str">
        <x:f>IF(J63="Рассчитано",V63*(1-R63/100)-W63-P63-Q63,"н/д")</x:f>
        <x:v>н/д</x:v>
      </x:c>
      <x:c r="H63" s="13" t="str">
        <x:v>Высокий</x:v>
      </x:c>
      <x:c r="I63" s="13" t="str">
        <x:v>Высокий</x:v>
      </x:c>
      <x:c r="J63" s="13" t="str">
        <x:f>IF(L63="","Укажите валюту",IF(NOT(ISNUMBER(K63)),"Укажите объём",IF(K63&lt;=0,"Укажите объём",IF(K63&gt;F63,"Объём выше излишка",IF(COUNT(M63:O63)&lt;3,"Нужны цены",IF(COUNT(P63:R63)&lt;3,"Нужны расходы",IF(OR(M63&lt;0,N63&lt;0,O63&lt;0,O63&gt;100,P63&lt;0,Q63&lt;0,R63&lt;0,R63&gt;100),"Проверьте значения","Рассчитано")))))))</x:f>
        <x:v>Нужны цены</x:v>
      </x:c>
      <x:c r="K63" s="36" t="n">
        <x:v>65</x:v>
      </x:c>
      <x:c r="L63" s="19" t="str">
        <x:v>KZT</x:v>
      </x:c>
      <x:c r="M63" s="22"/>
      <x:c r="N63" s="22"/>
      <x:c r="O63" s="28"/>
      <x:c r="P63" s="22"/>
      <x:c r="Q63" s="22"/>
      <x:c r="R63" s="28"/>
      <x:c r="S63" s="22"/>
      <x:c r="T63" s="37" t="n">
        <x:f>K63</x:f>
        <x:v>65</x:v>
      </x:c>
      <x:c r="U63" s="21" t="str">
        <x:f>IF(J63="Рассчитано",N63*(1-O63/100),"н/д")</x:f>
        <x:v>н/д</x:v>
      </x:c>
      <x:c r="V63" s="21" t="str">
        <x:f>IF(J63="Рассчитано",T63*U63,"н/д")</x:f>
        <x:v>н/д</x:v>
      </x:c>
      <x:c r="W63" s="21" t="str">
        <x:f>IF(J63="Рассчитано",T63*M63,"н/д")</x:f>
        <x:v>н/д</x:v>
      </x:c>
      <x:c r="X63" s="21" t="str">
        <x:f>IF(J63="Рассчитано",V63-W63,"н/д")</x:f>
        <x:v>н/д</x:v>
      </x:c>
      <x:c r="Y63" s="27" t="str">
        <x:f>IF(J63="Рассчитано",IF(V63&gt;0,G63/V63,"н/д"),"н/д")</x:f>
        <x:v>н/д</x:v>
      </x:c>
      <x:c r="Z63" s="21" t="str">
        <x:f>"н/д"</x:f>
        <x:v>н/д</x:v>
      </x:c>
      <x:c r="AA63" s="21" t="str">
        <x:f>"н/д"</x:f>
        <x:v>н/д</x:v>
      </x:c>
      <x:c r="AB63" s="21" t="str">
        <x:f>"н/д"</x:f>
        <x:v>н/д</x:v>
      </x:c>
      <x:c r="AC63" s="21" t="str">
        <x:f>IF(AND(J63="Рассчитано",T63&gt;0,R63&lt;100),(W63+P63+Q63)/(T63*(1-R63/100)),"н/д")</x:f>
        <x:v>н/д</x:v>
      </x:c>
      <x:c r="AD63" s="10" t="str">
        <x:f>IF(ISNUMBER(G63),IF(G63&lt;0,"Убыток",IF(G63=0,"Без прибыли","Прибыль &gt; 0")),"Не оценён")</x:f>
        <x:v>Не оценён</x:v>
      </x:c>
      <x:c r="AE63" s="13" t="str">
        <x:f>IF(J63="Рассчитано","Выручка "&amp;TEXT(V63,"0.00")&amp;" - себестоимость "&amp;TEXT(W63,"0.00")&amp;" - комиссия "&amp;TEXT(V63*R63/100,"0.00")&amp;" - доставка "&amp;TEXT(P63,"0.00")&amp;" - прочие "&amp;TEXT(Q63,"0.00")&amp;" = "&amp;TEXT(G63,"0.00")&amp;" "&amp;L63,"Введите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" s="24" t="n">
        <x:v>0.5403486708123311</x:v>
      </x:c>
      <x:c r="AG63" s="37" t="n">
        <x:v>66</x:v>
      </x:c>
      <x:c r="AH63" s="37" t="n">
        <x:v>0</x:v>
      </x:c>
      <x:c r="AI63" s="30" t="n">
        <x:v>46266</x:v>
      </x:c>
      <x:c r="AJ63" s="37"/>
      <x:c r="AK63" s="10" t="str">
        <x:v>неизвестно</x:v>
      </x:c>
      <x:c r="AL63" s="32" t="n">
        <x:v>10386.9703589552</x:v>
      </x:c>
      <x:c r="AM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3" s="13" t="str">
        <x:v>Проверить свободный остаток и установить цену для B2B</x:v>
      </x:c>
      <x:c r="AO63" s="13" t="str">
        <x:v>Остаток 66; прогноз 90 дней 0.54; избыток 65 шт. Будущие поступления не выставляются на продажу. Остаток на начало сентября: требуется актуализация.</x:v>
      </x:c>
      <x:c r="AP63" s="13" t="str">
        <x:v>["category_missing", "daily_stockout_data_missing", "moq_missing", "new_order_lead_time_unknown", "reservations_unknown", "stale_stock"]</x:v>
      </x:c>
      <x:c r="AQ63" s="10" t="str">
        <x:v>IEK:010500152_</x:v>
      </x:c>
      <x:c r="AR63" s="24" t="n">
        <x:v>1</x:v>
      </x:c>
      <x:c r="AS63" s="24" t="n">
        <x:v>0</x:v>
      </x:c>
      <x:c r="AT63" s="24" t="n">
        <x:v>0</x:v>
      </x:c>
    </x:row>
    <x:row r="64" ht="64" customHeight="1">
      <x:c r="A64" s="11" t="str">
        <x:v>IEK</x:v>
      </x:c>
      <x:c r="B64" s="33" t="str">
        <x:v>010500153_</x:v>
      </x:c>
      <x:c r="C64" s="33" t="str">
        <x:v>MVA25-2-050-C</x:v>
      </x:c>
      <x:c r="D64" s="12" t="str">
        <x:v>ВА47-29 (2ф)  50А GENERICA (6/72) !!!</x:v>
      </x:c>
      <x:c r="E64" s="11" t="str">
        <x:v>шт</x:v>
      </x:c>
      <x:c r="F64" s="35" t="n">
        <x:f>MAX(0,ROUNDDOWN((AG64-AF64)/AR64+0.000000001,0)*AR64)</x:f>
        <x:v>50</x:v>
      </x:c>
      <x:c r="G64" s="20" t="str">
        <x:f>IF(J64="Рассчитано",V64*(1-R64/100)-W64-P64-Q64,"н/д")</x:f>
        <x:v>н/д</x:v>
      </x:c>
      <x:c r="H64" s="12" t="str">
        <x:v>Высокий</x:v>
      </x:c>
      <x:c r="I64" s="12" t="str">
        <x:v>Высокий</x:v>
      </x:c>
      <x:c r="J64" s="12" t="str">
        <x:f>IF(L64="","Укажите валюту",IF(NOT(ISNUMBER(K64)),"Укажите объём",IF(K64&lt;=0,"Укажите объём",IF(K64&gt;F64,"Объём выше излишка",IF(COUNT(M64:O64)&lt;3,"Нужны цены",IF(COUNT(P64:R64)&lt;3,"Нужны расходы",IF(OR(M64&lt;0,N64&lt;0,O64&lt;0,O64&gt;100,P64&lt;0,Q64&lt;0,R64&lt;0,R64&gt;100),"Проверьте значения","Рассчитано")))))))</x:f>
        <x:v>Нужны цены</x:v>
      </x:c>
      <x:c r="K64" s="36" t="n">
        <x:v>50</x:v>
      </x:c>
      <x:c r="L64" s="19" t="str">
        <x:v>KZT</x:v>
      </x:c>
      <x:c r="M64" s="22"/>
      <x:c r="N64" s="22"/>
      <x:c r="O64" s="28"/>
      <x:c r="P64" s="22"/>
      <x:c r="Q64" s="22"/>
      <x:c r="R64" s="28"/>
      <x:c r="S64" s="22"/>
      <x:c r="T64" s="35" t="n">
        <x:f>K64</x:f>
        <x:v>50</x:v>
      </x:c>
      <x:c r="U64" s="20" t="str">
        <x:f>IF(J64="Рассчитано",N64*(1-O64/100),"н/д")</x:f>
        <x:v>н/д</x:v>
      </x:c>
      <x:c r="V64" s="20" t="str">
        <x:f>IF(J64="Рассчитано",T64*U64,"н/д")</x:f>
        <x:v>н/д</x:v>
      </x:c>
      <x:c r="W64" s="20" t="str">
        <x:f>IF(J64="Рассчитано",T64*M64,"н/д")</x:f>
        <x:v>н/д</x:v>
      </x:c>
      <x:c r="X64" s="20" t="str">
        <x:f>IF(J64="Рассчитано",V64-W64,"н/д")</x:f>
        <x:v>н/д</x:v>
      </x:c>
      <x:c r="Y64" s="26" t="str">
        <x:f>IF(J64="Рассчитано",IF(V64&gt;0,G64/V64,"н/д"),"н/д")</x:f>
        <x:v>н/д</x:v>
      </x:c>
      <x:c r="Z64" s="20" t="str">
        <x:f>"н/д"</x:f>
        <x:v>н/д</x:v>
      </x:c>
      <x:c r="AA64" s="20" t="str">
        <x:f>"н/д"</x:f>
        <x:v>н/д</x:v>
      </x:c>
      <x:c r="AB64" s="20" t="str">
        <x:f>"н/д"</x:f>
        <x:v>н/д</x:v>
      </x:c>
      <x:c r="AC64" s="20" t="str">
        <x:f>IF(AND(J64="Рассчитано",T64&gt;0,R64&lt;100),(W64+P64+Q64)/(T64*(1-R64/100)),"н/д")</x:f>
        <x:v>н/д</x:v>
      </x:c>
      <x:c r="AD64" s="11" t="str">
        <x:f>IF(ISNUMBER(G64),IF(G64&lt;0,"Убыток",IF(G64=0,"Без прибыли","Прибыль &gt; 0")),"Не оценён")</x:f>
        <x:v>Не оценён</x:v>
      </x:c>
      <x:c r="AE64" s="12" t="str">
        <x:f>IF(J64="Рассчитано","Выручка "&amp;TEXT(V64,"0.00")&amp;" - себестоимость "&amp;TEXT(W64,"0.00")&amp;" - комиссия "&amp;TEXT(V64*R64/100,"0.00")&amp;" - доставка "&amp;TEXT(P64,"0.00")&amp;" - прочие "&amp;TEXT(Q64,"0.00")&amp;" = "&amp;TEXT(G64,"0.00")&amp;" "&amp;L64,"Введите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" s="23" t="n">
        <x:v>0</x:v>
      </x:c>
      <x:c r="AG64" s="35" t="n">
        <x:v>50</x:v>
      </x:c>
      <x:c r="AH64" s="35" t="n">
        <x:v>0</x:v>
      </x:c>
      <x:c r="AI64" s="29" t="n">
        <x:v>46266</x:v>
      </x:c>
      <x:c r="AJ64" s="35"/>
      <x:c r="AK64" s="11" t="str">
        <x:v>неизвестно</x:v>
      </x:c>
      <x:c r="AL64" s="31" t="str">
        <x:v>н/д</x:v>
      </x:c>
      <x:c r="AM6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4" s="12" t="str">
        <x:v>Проверить свободный остаток и установить цену для B2B</x:v>
      </x:c>
      <x:c r="AO64" s="12" t="str">
        <x:v>Остаток 50; прогноз 90 дней 0.00; избыток 50 шт. Будущие поступления не выставляются на продажу. Остаток на начало сентября: требуется актуализация.</x:v>
      </x:c>
      <x:c r="AP64" s="12" t="str">
        <x:v>["category_missing", "daily_stockout_data_missing", "moq_missing", "new_order_lead_time_unknown", "reservations_unknown", "stale_stock"]</x:v>
      </x:c>
      <x:c r="AQ64" s="11" t="str">
        <x:v>IEK:010500153_</x:v>
      </x:c>
      <x:c r="AR64" s="23" t="n">
        <x:v>1</x:v>
      </x:c>
      <x:c r="AS64" s="23" t="n">
        <x:v>0</x:v>
      </x:c>
      <x:c r="AT64" s="23" t="n">
        <x:v>0</x:v>
      </x:c>
    </x:row>
    <x:row r="65" ht="64" customHeight="1">
      <x:c r="A65" s="10" t="str">
        <x:v>IEK</x:v>
      </x:c>
      <x:c r="B65" s="34" t="str">
        <x:v>010500160_</x:v>
      </x:c>
      <x:c r="C65" s="34" t="str">
        <x:v>MVA25-3-032-C</x:v>
      </x:c>
      <x:c r="D65" s="13" t="str">
        <x:v>ВА47-29 (3ф)  32А GENERICA (4/48) !!!</x:v>
      </x:c>
      <x:c r="E65" s="10" t="str">
        <x:v>шт</x:v>
      </x:c>
      <x:c r="F65" s="37" t="n">
        <x:f>MAX(0,ROUNDDOWN((AG65-AF65)/AR65+0.000000001,0)*AR65)</x:f>
        <x:v>1</x:v>
      </x:c>
      <x:c r="G65" s="21" t="str">
        <x:f>IF(J65="Рассчитано",V65*(1-R65/100)-W65-P65-Q65,"н/д")</x:f>
        <x:v>н/д</x:v>
      </x:c>
      <x:c r="H65" s="13" t="str">
        <x:v>Высокий</x:v>
      </x:c>
      <x:c r="I65" s="13" t="str">
        <x:v>Высокий</x:v>
      </x:c>
      <x:c r="J65" s="13" t="str">
        <x:f>IF(L65="","Укажите валюту",IF(NOT(ISNUMBER(K65)),"Укажите объём",IF(K65&lt;=0,"Укажите объём",IF(K65&gt;F65,"Объём выше излишка",IF(COUNT(M65:O65)&lt;3,"Нужны цены",IF(COUNT(P65:R65)&lt;3,"Нужны расходы",IF(OR(M65&lt;0,N65&lt;0,O65&lt;0,O65&gt;100,P65&lt;0,Q65&lt;0,R65&lt;0,R65&gt;100),"Проверьте значения","Рассчитано")))))))</x:f>
        <x:v>Нужны цены</x:v>
      </x:c>
      <x:c r="K65" s="36" t="n">
        <x:v>1</x:v>
      </x:c>
      <x:c r="L65" s="19" t="str">
        <x:v>KZT</x:v>
      </x:c>
      <x:c r="M65" s="22"/>
      <x:c r="N65" s="22"/>
      <x:c r="O65" s="28"/>
      <x:c r="P65" s="22"/>
      <x:c r="Q65" s="22"/>
      <x:c r="R65" s="28"/>
      <x:c r="S65" s="22"/>
      <x:c r="T65" s="37" t="n">
        <x:f>K65</x:f>
        <x:v>1</x:v>
      </x:c>
      <x:c r="U65" s="21" t="str">
        <x:f>IF(J65="Рассчитано",N65*(1-O65/100),"н/д")</x:f>
        <x:v>н/д</x:v>
      </x:c>
      <x:c r="V65" s="21" t="str">
        <x:f>IF(J65="Рассчитано",T65*U65,"н/д")</x:f>
        <x:v>н/д</x:v>
      </x:c>
      <x:c r="W65" s="21" t="str">
        <x:f>IF(J65="Рассчитано",T65*M65,"н/д")</x:f>
        <x:v>н/д</x:v>
      </x:c>
      <x:c r="X65" s="21" t="str">
        <x:f>IF(J65="Рассчитано",V65-W65,"н/д")</x:f>
        <x:v>н/д</x:v>
      </x:c>
      <x:c r="Y65" s="27" t="str">
        <x:f>IF(J65="Рассчитано",IF(V65&gt;0,G65/V65,"н/д"),"н/д")</x:f>
        <x:v>н/д</x:v>
      </x:c>
      <x:c r="Z65" s="21" t="str">
        <x:f>"н/д"</x:f>
        <x:v>н/д</x:v>
      </x:c>
      <x:c r="AA65" s="21" t="str">
        <x:f>"н/д"</x:f>
        <x:v>н/д</x:v>
      </x:c>
      <x:c r="AB65" s="21" t="str">
        <x:f>"н/д"</x:f>
        <x:v>н/д</x:v>
      </x:c>
      <x:c r="AC65" s="21" t="str">
        <x:f>IF(AND(J65="Рассчитано",T65&gt;0,R65&lt;100),(W65+P65+Q65)/(T65*(1-R65/100)),"н/д")</x:f>
        <x:v>н/д</x:v>
      </x:c>
      <x:c r="AD65" s="10" t="str">
        <x:f>IF(ISNUMBER(G65),IF(G65&lt;0,"Убыток",IF(G65=0,"Без прибыли","Прибыль &gt; 0")),"Не оценён")</x:f>
        <x:v>Не оценён</x:v>
      </x:c>
      <x:c r="AE65" s="13" t="str">
        <x:f>IF(J65="Рассчитано","Выручка "&amp;TEXT(V65,"0.00")&amp;" - себестоимость "&amp;TEXT(W65,"0.00")&amp;" - комиссия "&amp;TEXT(V65*R65/100,"0.00")&amp;" - доставка "&amp;TEXT(P65,"0.00")&amp;" - прочие "&amp;TEXT(Q65,"0.00")&amp;" = "&amp;TEXT(G65,"0.00")&amp;" "&amp;L65,"Введите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" s="24" t="n">
        <x:v>0.10104629486282299</x:v>
      </x:c>
      <x:c r="AG65" s="37" t="n">
        <x:v>2</x:v>
      </x:c>
      <x:c r="AH65" s="37" t="n">
        <x:v>0</x:v>
      </x:c>
      <x:c r="AI65" s="30" t="n">
        <x:v>46266</x:v>
      </x:c>
      <x:c r="AJ65" s="37"/>
      <x:c r="AK65" s="10" t="str">
        <x:v>неизвестно</x:v>
      </x:c>
      <x:c r="AL65" s="32" t="n">
        <x:v>1683.1725752156567</x:v>
      </x:c>
      <x:c r="AM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5" s="13" t="str">
        <x:v>Проверить свободный остаток и установить цену для B2B</x:v>
      </x:c>
      <x:c r="AO65" s="13" t="str">
        <x:v>Остаток 2; прогноз 90 дней 0.10; избыток 1 шт. Будущие поступления не выставляются на продажу. Остаток на начало сентября: требуется актуализация.</x:v>
      </x:c>
      <x:c r="AP65" s="13" t="str">
        <x:v>["category_missing", "daily_stockout_data_missing", "moq_missing", "new_order_lead_time_unknown", "reservations_unknown", "stale_stock"]</x:v>
      </x:c>
      <x:c r="AQ65" s="10" t="str">
        <x:v>IEK:010500160_</x:v>
      </x:c>
      <x:c r="AR65" s="24" t="n">
        <x:v>1</x:v>
      </x:c>
      <x:c r="AS65" s="24" t="n">
        <x:v>0</x:v>
      </x:c>
      <x:c r="AT65" s="24" t="n">
        <x:v>0</x:v>
      </x:c>
    </x:row>
    <x:row r="66" ht="64" customHeight="1">
      <x:c r="A66" s="11" t="str">
        <x:v>IEK</x:v>
      </x:c>
      <x:c r="B66" s="33" t="str">
        <x:v>010700029_</x:v>
      </x:c>
      <x:c r="C66" s="33" t="str">
        <x:v>MVA40-3-025-C</x:v>
      </x:c>
      <x:c r="D66" s="12" t="str">
        <x:v>BA 47-100 (3ф)  25А IEK (4/40)</x:v>
      </x:c>
      <x:c r="E66" s="11" t="str">
        <x:v>шт</x:v>
      </x:c>
      <x:c r="F66" s="35" t="n">
        <x:f>MAX(0,ROUNDDOWN((AG66-AF66)/AR66+0.000000001,0)*AR66)</x:f>
        <x:v>3</x:v>
      </x:c>
      <x:c r="G66" s="20" t="str">
        <x:f>IF(J66="Рассчитано",V66*(1-R66/100)-W66-P66-Q66,"н/д")</x:f>
        <x:v>н/д</x:v>
      </x:c>
      <x:c r="H66" s="12" t="str">
        <x:v>Высокий</x:v>
      </x:c>
      <x:c r="I66" s="12" t="str">
        <x:v>Средний</x:v>
      </x:c>
      <x:c r="J66" s="12" t="str">
        <x:f>IF(L66="","Укажите валюту",IF(NOT(ISNUMBER(K66)),"Укажите объём",IF(K66&lt;=0,"Укажите объём",IF(K66&gt;F66,"Объём выше излишка",IF(COUNT(M66:O66)&lt;3,"Нужны цены",IF(COUNT(P66:R66)&lt;3,"Нужны расходы",IF(OR(M66&lt;0,N66&lt;0,O66&lt;0,O66&gt;100,P66&lt;0,Q66&lt;0,R66&lt;0,R66&gt;100),"Проверьте значения","Рассчитано")))))))</x:f>
        <x:v>Нужны цены</x:v>
      </x:c>
      <x:c r="K66" s="36" t="n">
        <x:v>3</x:v>
      </x:c>
      <x:c r="L66" s="19" t="str">
        <x:v>KZT</x:v>
      </x:c>
      <x:c r="M66" s="22"/>
      <x:c r="N66" s="22"/>
      <x:c r="O66" s="28"/>
      <x:c r="P66" s="22"/>
      <x:c r="Q66" s="22"/>
      <x:c r="R66" s="28"/>
      <x:c r="S66" s="22"/>
      <x:c r="T66" s="35" t="n">
        <x:f>K66</x:f>
        <x:v>3</x:v>
      </x:c>
      <x:c r="U66" s="20" t="str">
        <x:f>IF(J66="Рассчитано",N66*(1-O66/100),"н/д")</x:f>
        <x:v>н/д</x:v>
      </x:c>
      <x:c r="V66" s="20" t="str">
        <x:f>IF(J66="Рассчитано",T66*U66,"н/д")</x:f>
        <x:v>н/д</x:v>
      </x:c>
      <x:c r="W66" s="20" t="str">
        <x:f>IF(J66="Рассчитано",T66*M66,"н/д")</x:f>
        <x:v>н/д</x:v>
      </x:c>
      <x:c r="X66" s="20" t="str">
        <x:f>IF(J66="Рассчитано",V66-W66,"н/д")</x:f>
        <x:v>н/д</x:v>
      </x:c>
      <x:c r="Y66" s="26" t="str">
        <x:f>IF(J66="Рассчитано",IF(V66&gt;0,G66/V66,"н/д"),"н/д")</x:f>
        <x:v>н/д</x:v>
      </x:c>
      <x:c r="Z66" s="20" t="str">
        <x:f>"н/д"</x:f>
        <x:v>н/д</x:v>
      </x:c>
      <x:c r="AA66" s="20" t="str">
        <x:f>"н/д"</x:f>
        <x:v>н/д</x:v>
      </x:c>
      <x:c r="AB66" s="20" t="str">
        <x:f>"н/д"</x:f>
        <x:v>н/д</x:v>
      </x:c>
      <x:c r="AC66" s="20" t="str">
        <x:f>IF(AND(J66="Рассчитано",T66&gt;0,R66&lt;100),(W66+P66+Q66)/(T66*(1-R66/100)),"н/д")</x:f>
        <x:v>н/д</x:v>
      </x:c>
      <x:c r="AD66" s="11" t="str">
        <x:f>IF(ISNUMBER(G66),IF(G66&lt;0,"Убыток",IF(G66=0,"Без прибыли","Прибыль &gt; 0")),"Не оценён")</x:f>
        <x:v>Не оценён</x:v>
      </x:c>
      <x:c r="AE66" s="12" t="str">
        <x:f>IF(J66="Рассчитано","Выручка "&amp;TEXT(V66,"0.00")&amp;" - себестоимость "&amp;TEXT(W66,"0.00")&amp;" - комиссия "&amp;TEXT(V66*R66/100,"0.00")&amp;" - доставка "&amp;TEXT(P66,"0.00")&amp;" - прочие "&amp;TEXT(Q66,"0.00")&amp;" = "&amp;TEXT(G66,"0.00")&amp;" "&amp;L66,"Введите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" s="23" t="n">
        <x:v>52.51730975804412</x:v>
      </x:c>
      <x:c r="AG66" s="35" t="n">
        <x:v>56</x:v>
      </x:c>
      <x:c r="AH66" s="35" t="n">
        <x:v>0</x:v>
      </x:c>
      <x:c r="AI66" s="29" t="n">
        <x:v>46266</x:v>
      </x:c>
      <x:c r="AJ66" s="35" t="n">
        <x:v>4</x:v>
      </x:c>
      <x:c r="AK66" s="11" t="str">
        <x:v>минимум</x:v>
      </x:c>
      <x:c r="AL66" s="31" t="n">
        <x:v>90.67855698373437</x:v>
      </x:c>
      <x:c r="AM66" s="12" t="str">
        <x:v>Остаток на начало сентября; Резервы неизвестны; Нет ежедневных данных доступности. Запас выше прогноза на 90 дней</x:v>
      </x:c>
      <x:c r="AN66" s="12" t="str">
        <x:v>Проверить свободный остаток и установить цену для B2B</x:v>
      </x:c>
      <x:c r="AO66" s="12" t="str">
        <x:v>Остаток 56; прогноз 90 дней 52.52; избыток 3 шт. Будущие поступления не выставляются на продажу. Остаток на начало сентября: требуется актуализация.</x:v>
      </x:c>
      <x:c r="AP66" s="12" t="str">
        <x:v>["category_missing", "daily_stockout_data_missing", "new_order_lead_time_unknown", "reservations_unknown", "stale_stock"]</x:v>
      </x:c>
      <x:c r="AQ66" s="11" t="str">
        <x:v>IEK:010700029_</x:v>
      </x:c>
      <x:c r="AR66" s="23" t="n">
        <x:v>1</x:v>
      </x:c>
      <x:c r="AS66" s="23" t="n">
        <x:v>0</x:v>
      </x:c>
      <x:c r="AT66" s="23" t="n">
        <x:v>0</x:v>
      </x:c>
    </x:row>
    <x:row r="67" ht="64" customHeight="1">
      <x:c r="A67" s="10" t="str">
        <x:v>IEK</x:v>
      </x:c>
      <x:c r="B67" s="34" t="str">
        <x:v>010700031_</x:v>
      </x:c>
      <x:c r="C67" s="34" t="str">
        <x:v>MVA40-3-040-C</x:v>
      </x:c>
      <x:c r="D67" s="13" t="str">
        <x:v>BA 47-100 (3ф)  40А IEK (4/40)</x:v>
      </x:c>
      <x:c r="E67" s="10" t="str">
        <x:v>шт</x:v>
      </x:c>
      <x:c r="F67" s="37" t="n">
        <x:f>MAX(0,ROUNDDOWN((AG67-AF67)/AR67+0.000000001,0)*AR67)</x:f>
        <x:v>19</x:v>
      </x:c>
      <x:c r="G67" s="21" t="str">
        <x:f>IF(J67="Рассчитано",V67*(1-R67/100)-W67-P67-Q67,"н/д")</x:f>
        <x:v>н/д</x:v>
      </x:c>
      <x:c r="H67" s="13" t="str">
        <x:v>Высокий</x:v>
      </x:c>
      <x:c r="I67" s="13" t="str">
        <x:v>Средний</x:v>
      </x:c>
      <x:c r="J67" s="13" t="str">
        <x:f>IF(L67="","Укажите валюту",IF(NOT(ISNUMBER(K67)),"Укажите объём",IF(K67&lt;=0,"Укажите объём",IF(K67&gt;F67,"Объём выше излишка",IF(COUNT(M67:O67)&lt;3,"Нужны цены",IF(COUNT(P67:R67)&lt;3,"Нужны расходы",IF(OR(M67&lt;0,N67&lt;0,O67&lt;0,O67&gt;100,P67&lt;0,Q67&lt;0,R67&lt;0,R67&gt;100),"Проверьте значения","Рассчитано")))))))</x:f>
        <x:v>Нужны цены</x:v>
      </x:c>
      <x:c r="K67" s="36" t="n">
        <x:v>19</x:v>
      </x:c>
      <x:c r="L67" s="19" t="str">
        <x:v>KZT</x:v>
      </x:c>
      <x:c r="M67" s="22"/>
      <x:c r="N67" s="22"/>
      <x:c r="O67" s="28"/>
      <x:c r="P67" s="22"/>
      <x:c r="Q67" s="22"/>
      <x:c r="R67" s="28"/>
      <x:c r="S67" s="22"/>
      <x:c r="T67" s="37" t="n">
        <x:f>K67</x:f>
        <x:v>19</x:v>
      </x:c>
      <x:c r="U67" s="21" t="str">
        <x:f>IF(J67="Рассчитано",N67*(1-O67/100),"н/д")</x:f>
        <x:v>н/д</x:v>
      </x:c>
      <x:c r="V67" s="21" t="str">
        <x:f>IF(J67="Рассчитано",T67*U67,"н/д")</x:f>
        <x:v>н/д</x:v>
      </x:c>
      <x:c r="W67" s="21" t="str">
        <x:f>IF(J67="Рассчитано",T67*M67,"н/д")</x:f>
        <x:v>н/д</x:v>
      </x:c>
      <x:c r="X67" s="21" t="str">
        <x:f>IF(J67="Рассчитано",V67-W67,"н/д")</x:f>
        <x:v>н/д</x:v>
      </x:c>
      <x:c r="Y67" s="27" t="str">
        <x:f>IF(J67="Рассчитано",IF(V67&gt;0,G67/V67,"н/д"),"н/д")</x:f>
        <x:v>н/д</x:v>
      </x:c>
      <x:c r="Z67" s="21" t="str">
        <x:f>"н/д"</x:f>
        <x:v>н/д</x:v>
      </x:c>
      <x:c r="AA67" s="21" t="str">
        <x:f>"н/д"</x:f>
        <x:v>н/д</x:v>
      </x:c>
      <x:c r="AB67" s="21" t="str">
        <x:f>"н/д"</x:f>
        <x:v>н/д</x:v>
      </x:c>
      <x:c r="AC67" s="21" t="str">
        <x:f>IF(AND(J67="Рассчитано",T67&gt;0,R67&lt;100),(W67+P67+Q67)/(T67*(1-R67/100)),"н/д")</x:f>
        <x:v>н/д</x:v>
      </x:c>
      <x:c r="AD67" s="10" t="str">
        <x:f>IF(ISNUMBER(G67),IF(G67&lt;0,"Убыток",IF(G67=0,"Без прибыли","Прибыль &gt; 0")),"Не оценён")</x:f>
        <x:v>Не оценён</x:v>
      </x:c>
      <x:c r="AE67" s="13" t="str">
        <x:f>IF(J67="Рассчитано","Выручка "&amp;TEXT(V67,"0.00")&amp;" - себестоимость "&amp;TEXT(W67,"0.00")&amp;" - комиссия "&amp;TEXT(V67*R67/100,"0.00")&amp;" - доставка "&amp;TEXT(P67,"0.00")&amp;" - прочие "&amp;TEXT(Q67,"0.00")&amp;" = "&amp;TEXT(G67,"0.00")&amp;" "&amp;L67,"Введите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" s="24" t="n">
        <x:v>39.322140582177965</x:v>
      </x:c>
      <x:c r="AG67" s="37" t="n">
        <x:v>59</x:v>
      </x:c>
      <x:c r="AH67" s="37" t="n">
        <x:v>0</x:v>
      </x:c>
      <x:c r="AI67" s="30" t="n">
        <x:v>46266</x:v>
      </x:c>
      <x:c r="AJ67" s="37" t="n">
        <x:v>4</x:v>
      </x:c>
      <x:c r="AK67" s="10" t="str">
        <x:v>минимум</x:v>
      </x:c>
      <x:c r="AL67" s="32" t="n">
        <x:v>127.59507289670866</x:v>
      </x:c>
      <x:c r="AM6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67" s="13" t="str">
        <x:v>Проверить свободный остаток и установить цену для B2B</x:v>
      </x:c>
      <x:c r="AO67" s="13" t="str">
        <x:v>Остаток 59; прогноз 90 дней 39.32; избыток 19 шт. Будущие поступления не выставляются на продажу. Остаток на начало сентября: требуется актуализация.</x:v>
      </x:c>
      <x:c r="AP67" s="13" t="str">
        <x:v>["category_missing", "daily_stockout_data_missing", "large_orders_detected", "negative_net_sales_clipped_for_forecast", "new_order_lead_time_unknown", "reservations_unknown", "stale_stock", "transaction_month_mismatch"]</x:v>
      </x:c>
      <x:c r="AQ67" s="10" t="str">
        <x:v>IEK:010700031_</x:v>
      </x:c>
      <x:c r="AR67" s="24" t="n">
        <x:v>1</x:v>
      </x:c>
      <x:c r="AS67" s="24" t="n">
        <x:v>0</x:v>
      </x:c>
      <x:c r="AT67" s="24" t="n">
        <x:v>0</x:v>
      </x:c>
    </x:row>
    <x:row r="68" ht="64" customHeight="1">
      <x:c r="A68" s="11" t="str">
        <x:v>IEK</x:v>
      </x:c>
      <x:c r="B68" s="33" t="str">
        <x:v>010700037_</x:v>
      </x:c>
      <x:c r="C68" s="33"/>
      <x:c r="D68" s="12" t="str">
        <x:v>ВА47-29 (1ф) 10А IEK (12/144) D !!!</x:v>
      </x:c>
      <x:c r="E68" s="11" t="str">
        <x:v>шт</x:v>
      </x:c>
      <x:c r="F68" s="35" t="n">
        <x:f>MAX(0,ROUNDDOWN((AG68-AF68)/AR68+0.000000001,0)*AR68)</x:f>
        <x:v>18</x:v>
      </x:c>
      <x:c r="G68" s="20" t="str">
        <x:f>IF(J68="Рассчитано",V68*(1-R68/100)-W68-P68-Q68,"н/д")</x:f>
        <x:v>н/д</x:v>
      </x:c>
      <x:c r="H68" s="12" t="str">
        <x:v>Высокий</x:v>
      </x:c>
      <x:c r="I68" s="12" t="str">
        <x:v>Высокий</x:v>
      </x:c>
      <x:c r="J68" s="12" t="str">
        <x:f>IF(L68="","Укажите валюту",IF(NOT(ISNUMBER(K68)),"Укажите объём",IF(K68&lt;=0,"Укажите объём",IF(K68&gt;F68,"Объём выше излишка",IF(COUNT(M68:O68)&lt;3,"Нужны цены",IF(COUNT(P68:R68)&lt;3,"Нужны расходы",IF(OR(M68&lt;0,N68&lt;0,O68&lt;0,O68&gt;100,P68&lt;0,Q68&lt;0,R68&lt;0,R68&gt;100),"Проверьте значения","Рассчитано")))))))</x:f>
        <x:v>Нужны цены</x:v>
      </x:c>
      <x:c r="K68" s="36" t="n">
        <x:v>18</x:v>
      </x:c>
      <x:c r="L68" s="19" t="str">
        <x:v>KZT</x:v>
      </x:c>
      <x:c r="M68" s="22"/>
      <x:c r="N68" s="22"/>
      <x:c r="O68" s="28"/>
      <x:c r="P68" s="22"/>
      <x:c r="Q68" s="22"/>
      <x:c r="R68" s="28"/>
      <x:c r="S68" s="22"/>
      <x:c r="T68" s="35" t="n">
        <x:f>K68</x:f>
        <x:v>18</x:v>
      </x:c>
      <x:c r="U68" s="20" t="str">
        <x:f>IF(J68="Рассчитано",N68*(1-O68/100),"н/д")</x:f>
        <x:v>н/д</x:v>
      </x:c>
      <x:c r="V68" s="20" t="str">
        <x:f>IF(J68="Рассчитано",T68*U68,"н/д")</x:f>
        <x:v>н/д</x:v>
      </x:c>
      <x:c r="W68" s="20" t="str">
        <x:f>IF(J68="Рассчитано",T68*M68,"н/д")</x:f>
        <x:v>н/д</x:v>
      </x:c>
      <x:c r="X68" s="20" t="str">
        <x:f>IF(J68="Рассчитано",V68-W68,"н/д")</x:f>
        <x:v>н/д</x:v>
      </x:c>
      <x:c r="Y68" s="26" t="str">
        <x:f>IF(J68="Рассчитано",IF(V68&gt;0,G68/V68,"н/д"),"н/д")</x:f>
        <x:v>н/д</x:v>
      </x:c>
      <x:c r="Z68" s="20" t="str">
        <x:f>"н/д"</x:f>
        <x:v>н/д</x:v>
      </x:c>
      <x:c r="AA68" s="20" t="str">
        <x:f>"н/д"</x:f>
        <x:v>н/д</x:v>
      </x:c>
      <x:c r="AB68" s="20" t="str">
        <x:f>"н/д"</x:f>
        <x:v>н/д</x:v>
      </x:c>
      <x:c r="AC68" s="20" t="str">
        <x:f>IF(AND(J68="Рассчитано",T68&gt;0,R68&lt;100),(W68+P68+Q68)/(T68*(1-R68/100)),"н/д")</x:f>
        <x:v>н/д</x:v>
      </x:c>
      <x:c r="AD68" s="11" t="str">
        <x:f>IF(ISNUMBER(G68),IF(G68&lt;0,"Убыток",IF(G68=0,"Без прибыли","Прибыль &gt; 0")),"Не оценён")</x:f>
        <x:v>Не оценён</x:v>
      </x:c>
      <x:c r="AE68" s="12" t="str">
        <x:f>IF(J68="Рассчитано","Выручка "&amp;TEXT(V68,"0.00")&amp;" - себестоимость "&amp;TEXT(W68,"0.00")&amp;" - комиссия "&amp;TEXT(V68*R68/100,"0.00")&amp;" - доставка "&amp;TEXT(P68,"0.00")&amp;" - прочие "&amp;TEXT(Q68,"0.00")&amp;" = "&amp;TEXT(G68,"0.00")&amp;" "&amp;L68,"Введите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" s="23" t="n">
        <x:v>0.6565836756480606</x:v>
      </x:c>
      <x:c r="AG68" s="35" t="n">
        <x:v>19</x:v>
      </x:c>
      <x:c r="AH68" s="35" t="n">
        <x:v>0</x:v>
      </x:c>
      <x:c r="AI68" s="29" t="n">
        <x:v>46266</x:v>
      </x:c>
      <x:c r="AJ68" s="35"/>
      <x:c r="AK68" s="11" t="str">
        <x:v>неизвестно</x:v>
      </x:c>
      <x:c r="AL68" s="31" t="n">
        <x:v>2460.8353925913293</x:v>
      </x:c>
      <x:c r="AM68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68" s="12" t="str">
        <x:v>Проверить свободный остаток и установить цену для B2B</x:v>
      </x:c>
      <x:c r="AO68" s="12" t="str">
        <x:v>Остаток 19; прогноз 90 дней 0.66; избыток 18 шт. Будущие поступления не выставляются на продажу. Остаток на начало сентября: требуется актуализация.</x:v>
      </x:c>
      <x:c r="AP68" s="12" t="str">
        <x:v>["category_missing", "daily_stockout_data_missing", "moq_missing", "new_order_lead_time_unknown", "reservations_unknown", "stale_stock", "supplier_sku_missing"]</x:v>
      </x:c>
      <x:c r="AQ68" s="11" t="str">
        <x:v>IEK:010700037_</x:v>
      </x:c>
      <x:c r="AR68" s="23" t="n">
        <x:v>1</x:v>
      </x:c>
      <x:c r="AS68" s="23" t="n">
        <x:v>0</x:v>
      </x:c>
      <x:c r="AT68" s="23" t="n">
        <x:v>0</x:v>
      </x:c>
    </x:row>
    <x:row r="69" ht="64" customHeight="1">
      <x:c r="A69" s="10" t="str">
        <x:v>IEK</x:v>
      </x:c>
      <x:c r="B69" s="34" t="str">
        <x:v>010700045_</x:v>
      </x:c>
      <x:c r="C69" s="34"/>
      <x:c r="D69" s="13" t="str">
        <x:v>ВА47-29 (3ф) 40А D IEK !!!</x:v>
      </x:c>
      <x:c r="E69" s="10" t="str">
        <x:v>шт</x:v>
      </x:c>
      <x:c r="F69" s="37" t="n">
        <x:f>MAX(0,ROUNDDOWN((AG69-AF69)/AR69+0.000000001,0)*AR69)</x:f>
        <x:v>2</x:v>
      </x:c>
      <x:c r="G69" s="21" t="str">
        <x:f>IF(J69="Рассчитано",V69*(1-R69/100)-W69-P69-Q69,"н/д")</x:f>
        <x:v>н/д</x:v>
      </x:c>
      <x:c r="H69" s="13" t="str">
        <x:v>Высокий</x:v>
      </x:c>
      <x:c r="I69" s="13" t="str">
        <x:v>Высокий</x:v>
      </x:c>
      <x:c r="J69" s="13" t="str">
        <x:f>IF(L69="","Укажите валюту",IF(NOT(ISNUMBER(K69)),"Укажите объём",IF(K69&lt;=0,"Укажите объём",IF(K69&gt;F69,"Объём выше излишка",IF(COUNT(M69:O69)&lt;3,"Нужны цены",IF(COUNT(P69:R69)&lt;3,"Нужны расходы",IF(OR(M69&lt;0,N69&lt;0,O69&lt;0,O69&gt;100,P69&lt;0,Q69&lt;0,R69&lt;0,R69&gt;100),"Проверьте значения","Рассчитано")))))))</x:f>
        <x:v>Нужны цены</x:v>
      </x:c>
      <x:c r="K69" s="36" t="n">
        <x:v>2</x:v>
      </x:c>
      <x:c r="L69" s="19" t="str">
        <x:v>KZT</x:v>
      </x:c>
      <x:c r="M69" s="22"/>
      <x:c r="N69" s="22"/>
      <x:c r="O69" s="28"/>
      <x:c r="P69" s="22"/>
      <x:c r="Q69" s="22"/>
      <x:c r="R69" s="28"/>
      <x:c r="S69" s="22"/>
      <x:c r="T69" s="37" t="n">
        <x:f>K69</x:f>
        <x:v>2</x:v>
      </x:c>
      <x:c r="U69" s="21" t="str">
        <x:f>IF(J69="Рассчитано",N69*(1-O69/100),"н/д")</x:f>
        <x:v>н/д</x:v>
      </x:c>
      <x:c r="V69" s="21" t="str">
        <x:f>IF(J69="Рассчитано",T69*U69,"н/д")</x:f>
        <x:v>н/д</x:v>
      </x:c>
      <x:c r="W69" s="21" t="str">
        <x:f>IF(J69="Рассчитано",T69*M69,"н/д")</x:f>
        <x:v>н/д</x:v>
      </x:c>
      <x:c r="X69" s="21" t="str">
        <x:f>IF(J69="Рассчитано",V69-W69,"н/д")</x:f>
        <x:v>н/д</x:v>
      </x:c>
      <x:c r="Y69" s="27" t="str">
        <x:f>IF(J69="Рассчитано",IF(V69&gt;0,G69/V69,"н/д"),"н/д")</x:f>
        <x:v>н/д</x:v>
      </x:c>
      <x:c r="Z69" s="21" t="str">
        <x:f>"н/д"</x:f>
        <x:v>н/д</x:v>
      </x:c>
      <x:c r="AA69" s="21" t="str">
        <x:f>"н/д"</x:f>
        <x:v>н/д</x:v>
      </x:c>
      <x:c r="AB69" s="21" t="str">
        <x:f>"н/д"</x:f>
        <x:v>н/д</x:v>
      </x:c>
      <x:c r="AC69" s="21" t="str">
        <x:f>IF(AND(J69="Рассчитано",T69&gt;0,R69&lt;100),(W69+P69+Q69)/(T69*(1-R69/100)),"н/д")</x:f>
        <x:v>н/д</x:v>
      </x:c>
      <x:c r="AD69" s="10" t="str">
        <x:f>IF(ISNUMBER(G69),IF(G69&lt;0,"Убыток",IF(G69=0,"Без прибыли","Прибыль &gt; 0")),"Не оценён")</x:f>
        <x:v>Не оценён</x:v>
      </x:c>
      <x:c r="AE69" s="13" t="str">
        <x:f>IF(J69="Рассчитано","Выручка "&amp;TEXT(V69,"0.00")&amp;" - себестоимость "&amp;TEXT(W69,"0.00")&amp;" - комиссия "&amp;TEXT(V69*R69/100,"0.00")&amp;" - доставка "&amp;TEXT(P69,"0.00")&amp;" - прочие "&amp;TEXT(Q69,"0.00")&amp;" = "&amp;TEXT(G69,"0.00")&amp;" "&amp;L69,"Введите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" s="24" t="n">
        <x:v>0</x:v>
      </x:c>
      <x:c r="AG69" s="37" t="n">
        <x:v>2</x:v>
      </x:c>
      <x:c r="AH69" s="37" t="n">
        <x:v>0</x:v>
      </x:c>
      <x:c r="AI69" s="30" t="n">
        <x:v>46266</x:v>
      </x:c>
      <x:c r="AJ69" s="37"/>
      <x:c r="AK69" s="10" t="str">
        <x:v>неизвестно</x:v>
      </x:c>
      <x:c r="AL69" s="32" t="str">
        <x:v>н/д</x:v>
      </x:c>
      <x:c r="AM6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69" s="13" t="str">
        <x:v>Проверить свободный остаток и установить цену для B2B</x:v>
      </x:c>
      <x:c r="AO69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69" s="13" t="str">
        <x:v>["category_missing", "daily_stockout_data_missing", "moq_missing", "new_order_lead_time_unknown", "reservations_unknown", "stale_stock", "supplier_sku_missing"]</x:v>
      </x:c>
      <x:c r="AQ69" s="10" t="str">
        <x:v>IEK:010700045_</x:v>
      </x:c>
      <x:c r="AR69" s="24" t="n">
        <x:v>1</x:v>
      </x:c>
      <x:c r="AS69" s="24" t="n">
        <x:v>0</x:v>
      </x:c>
      <x:c r="AT69" s="24" t="n">
        <x:v>0</x:v>
      </x:c>
    </x:row>
    <x:row r="70" ht="64" customHeight="1">
      <x:c r="A70" s="11" t="str">
        <x:v>IEK</x:v>
      </x:c>
      <x:c r="B70" s="33" t="str">
        <x:v>010700048_</x:v>
      </x:c>
      <x:c r="C70" s="33"/>
      <x:c r="D70" s="12" t="str">
        <x:v>BA 47-100 (1ф)  16А IEK (12/120) !!!</x:v>
      </x:c>
      <x:c r="E70" s="11" t="str">
        <x:v>шт</x:v>
      </x:c>
      <x:c r="F70" s="35" t="n">
        <x:f>MAX(0,ROUNDDOWN((AG70-AF70)/AR70+0.000000001,0)*AR70)</x:f>
        <x:v>12</x:v>
      </x:c>
      <x:c r="G70" s="20" t="str">
        <x:f>IF(J70="Рассчитано",V70*(1-R70/100)-W70-P70-Q70,"н/д")</x:f>
        <x:v>н/д</x:v>
      </x:c>
      <x:c r="H70" s="12" t="str">
        <x:v>Высокий</x:v>
      </x:c>
      <x:c r="I70" s="12" t="str">
        <x:v>Высокий</x:v>
      </x:c>
      <x:c r="J70" s="12" t="str">
        <x:f>IF(L70="","Укажите валюту",IF(NOT(ISNUMBER(K70)),"Укажите объём",IF(K70&lt;=0,"Укажите объём",IF(K70&gt;F70,"Объём выше излишка",IF(COUNT(M70:O70)&lt;3,"Нужны цены",IF(COUNT(P70:R70)&lt;3,"Нужны расходы",IF(OR(M70&lt;0,N70&lt;0,O70&lt;0,O70&gt;100,P70&lt;0,Q70&lt;0,R70&lt;0,R70&gt;100),"Проверьте значения","Рассчитано")))))))</x:f>
        <x:v>Нужны цены</x:v>
      </x:c>
      <x:c r="K70" s="36" t="n">
        <x:v>12</x:v>
      </x:c>
      <x:c r="L70" s="19" t="str">
        <x:v>KZT</x:v>
      </x:c>
      <x:c r="M70" s="22"/>
      <x:c r="N70" s="22"/>
      <x:c r="O70" s="28"/>
      <x:c r="P70" s="22"/>
      <x:c r="Q70" s="22"/>
      <x:c r="R70" s="28"/>
      <x:c r="S70" s="22"/>
      <x:c r="T70" s="35" t="n">
        <x:f>K70</x:f>
        <x:v>12</x:v>
      </x:c>
      <x:c r="U70" s="20" t="str">
        <x:f>IF(J70="Рассчитано",N70*(1-O70/100),"н/д")</x:f>
        <x:v>н/д</x:v>
      </x:c>
      <x:c r="V70" s="20" t="str">
        <x:f>IF(J70="Рассчитано",T70*U70,"н/д")</x:f>
        <x:v>н/д</x:v>
      </x:c>
      <x:c r="W70" s="20" t="str">
        <x:f>IF(J70="Рассчитано",T70*M70,"н/д")</x:f>
        <x:v>н/д</x:v>
      </x:c>
      <x:c r="X70" s="20" t="str">
        <x:f>IF(J70="Рассчитано",V70-W70,"н/д")</x:f>
        <x:v>н/д</x:v>
      </x:c>
      <x:c r="Y70" s="26" t="str">
        <x:f>IF(J70="Рассчитано",IF(V70&gt;0,G70/V70,"н/д"),"н/д")</x:f>
        <x:v>н/д</x:v>
      </x:c>
      <x:c r="Z70" s="20" t="str">
        <x:f>"н/д"</x:f>
        <x:v>н/д</x:v>
      </x:c>
      <x:c r="AA70" s="20" t="str">
        <x:f>"н/д"</x:f>
        <x:v>н/д</x:v>
      </x:c>
      <x:c r="AB70" s="20" t="str">
        <x:f>"н/д"</x:f>
        <x:v>н/д</x:v>
      </x:c>
      <x:c r="AC70" s="20" t="str">
        <x:f>IF(AND(J70="Рассчитано",T70&gt;0,R70&lt;100),(W70+P70+Q70)/(T70*(1-R70/100)),"н/д")</x:f>
        <x:v>н/д</x:v>
      </x:c>
      <x:c r="AD70" s="11" t="str">
        <x:f>IF(ISNUMBER(G70),IF(G70&lt;0,"Убыток",IF(G70=0,"Без прибыли","Прибыль &gt; 0")),"Не оценён")</x:f>
        <x:v>Не оценён</x:v>
      </x:c>
      <x:c r="AE70" s="12" t="str">
        <x:f>IF(J70="Рассчитано","Выручка "&amp;TEXT(V70,"0.00")&amp;" - себестоимость "&amp;TEXT(W70,"0.00")&amp;" - комиссия "&amp;TEXT(V70*R70/100,"0.00")&amp;" - доставка "&amp;TEXT(P70,"0.00")&amp;" - прочие "&amp;TEXT(Q70,"0.00")&amp;" = "&amp;TEXT(G70,"0.00")&amp;" "&amp;L70,"Введите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" s="23" t="n">
        <x:v>0</x:v>
      </x:c>
      <x:c r="AG70" s="35" t="n">
        <x:v>12</x:v>
      </x:c>
      <x:c r="AH70" s="35" t="n">
        <x:v>0</x:v>
      </x:c>
      <x:c r="AI70" s="29" t="n">
        <x:v>46266</x:v>
      </x:c>
      <x:c r="AJ70" s="35"/>
      <x:c r="AK70" s="11" t="str">
        <x:v>неизвестно</x:v>
      </x:c>
      <x:c r="AL70" s="31" t="str">
        <x:v>н/д</x:v>
      </x:c>
      <x:c r="AM70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70" s="12" t="str">
        <x:v>Проверить свободный остаток и установить цену для B2B</x:v>
      </x:c>
      <x:c r="AO70" s="12" t="str">
        <x:v>Остаток 12; прогноз 90 дней 0.00; избыток 12 шт. Будущие поступления не выставляются на продажу. Остаток на начало сентября: требуется актуализация.</x:v>
      </x:c>
      <x:c r="AP70" s="12" t="str">
        <x:v>["category_missing", "daily_stockout_data_missing", "moq_missing", "new_order_lead_time_unknown", "reservations_unknown", "stale_stock", "supplier_sku_missing"]</x:v>
      </x:c>
      <x:c r="AQ70" s="11" t="str">
        <x:v>IEK:010700048_</x:v>
      </x:c>
      <x:c r="AR70" s="23" t="n">
        <x:v>1</x:v>
      </x:c>
      <x:c r="AS70" s="23" t="n">
        <x:v>0</x:v>
      </x:c>
      <x:c r="AT70" s="23" t="n">
        <x:v>0</x:v>
      </x:c>
    </x:row>
    <x:row r="71" ht="64" customHeight="1">
      <x:c r="A71" s="10" t="str">
        <x:v>IEK</x:v>
      </x:c>
      <x:c r="B71" s="34" t="str">
        <x:v>010700133_</x:v>
      </x:c>
      <x:c r="C71" s="34" t="str">
        <x:v>AR-M06N-1-C006</x:v>
      </x:c>
      <x:c r="D71" s="13" t="str">
        <x:v>ARMAT (1ф) 6А C IEK (1)</x:v>
      </x:c>
      <x:c r="E71" s="10" t="str">
        <x:v>шт</x:v>
      </x:c>
      <x:c r="F71" s="37" t="n">
        <x:f>MAX(0,ROUNDDOWN((AG71-AF71)/AR71+0.000000001,0)*AR71)</x:f>
        <x:v>6</x:v>
      </x:c>
      <x:c r="G71" s="21" t="str">
        <x:f>IF(J71="Рассчитано",V71*(1-R71/100)-W71-P71-Q71,"н/д")</x:f>
        <x:v>н/д</x:v>
      </x:c>
      <x:c r="H71" s="13" t="str">
        <x:v>Высокий</x:v>
      </x:c>
      <x:c r="I71" s="13" t="str">
        <x:v>Средний</x:v>
      </x:c>
      <x:c r="J71" s="13" t="str">
        <x:f>IF(L71="","Укажите валюту",IF(NOT(ISNUMBER(K71)),"Укажите объём",IF(K71&lt;=0,"Укажите объём",IF(K71&gt;F71,"Объём выше излишка",IF(COUNT(M71:O71)&lt;3,"Нужны цены",IF(COUNT(P71:R71)&lt;3,"Нужны расходы",IF(OR(M71&lt;0,N71&lt;0,O71&lt;0,O71&gt;100,P71&lt;0,Q71&lt;0,R71&lt;0,R71&gt;100),"Проверьте значения","Рассчитано")))))))</x:f>
        <x:v>Нужны цены</x:v>
      </x:c>
      <x:c r="K71" s="36" t="n">
        <x:v>6</x:v>
      </x:c>
      <x:c r="L71" s="19" t="str">
        <x:v>KZT</x:v>
      </x:c>
      <x:c r="M71" s="22"/>
      <x:c r="N71" s="22"/>
      <x:c r="O71" s="28"/>
      <x:c r="P71" s="22"/>
      <x:c r="Q71" s="22"/>
      <x:c r="R71" s="28"/>
      <x:c r="S71" s="22"/>
      <x:c r="T71" s="37" t="n">
        <x:f>K71</x:f>
        <x:v>6</x:v>
      </x:c>
      <x:c r="U71" s="21" t="str">
        <x:f>IF(J71="Рассчитано",N71*(1-O71/100),"н/д")</x:f>
        <x:v>н/д</x:v>
      </x:c>
      <x:c r="V71" s="21" t="str">
        <x:f>IF(J71="Рассчитано",T71*U71,"н/д")</x:f>
        <x:v>н/д</x:v>
      </x:c>
      <x:c r="W71" s="21" t="str">
        <x:f>IF(J71="Рассчитано",T71*M71,"н/д")</x:f>
        <x:v>н/д</x:v>
      </x:c>
      <x:c r="X71" s="21" t="str">
        <x:f>IF(J71="Рассчитано",V71-W71,"н/д")</x:f>
        <x:v>н/д</x:v>
      </x:c>
      <x:c r="Y71" s="27" t="str">
        <x:f>IF(J71="Рассчитано",IF(V71&gt;0,G71/V71,"н/д"),"н/д")</x:f>
        <x:v>н/д</x:v>
      </x:c>
      <x:c r="Z71" s="21" t="str">
        <x:f>"н/д"</x:f>
        <x:v>н/д</x:v>
      </x:c>
      <x:c r="AA71" s="21" t="str">
        <x:f>"н/д"</x:f>
        <x:v>н/д</x:v>
      </x:c>
      <x:c r="AB71" s="21" t="str">
        <x:f>"н/д"</x:f>
        <x:v>н/д</x:v>
      </x:c>
      <x:c r="AC71" s="21" t="str">
        <x:f>IF(AND(J71="Рассчитано",T71&gt;0,R71&lt;100),(W71+P71+Q71)/(T71*(1-R71/100)),"н/д")</x:f>
        <x:v>н/д</x:v>
      </x:c>
      <x:c r="AD71" s="10" t="str">
        <x:f>IF(ISNUMBER(G71),IF(G71&lt;0,"Убыток",IF(G71=0,"Без прибыли","Прибыль &gt; 0")),"Не оценён")</x:f>
        <x:v>Не оценён</x:v>
      </x:c>
      <x:c r="AE71" s="13" t="str">
        <x:f>IF(J71="Рассчитано","Выручка "&amp;TEXT(V71,"0.00")&amp;" - себестоимость "&amp;TEXT(W71,"0.00")&amp;" - комиссия "&amp;TEXT(V71*R71/100,"0.00")&amp;" - доставка "&amp;TEXT(P71,"0.00")&amp;" - прочие "&amp;TEXT(Q71,"0.00")&amp;" = "&amp;TEXT(G71,"0.00")&amp;" "&amp;L71,"Введите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" s="24" t="n">
        <x:v>71.84861567144046</x:v>
      </x:c>
      <x:c r="AG71" s="37" t="n">
        <x:v>78</x:v>
      </x:c>
      <x:c r="AH71" s="37" t="n">
        <x:v>0</x:v>
      </x:c>
      <x:c r="AI71" s="30" t="n">
        <x:v>46266</x:v>
      </x:c>
      <x:c r="AJ71" s="37" t="n">
        <x:v>1</x:v>
      </x:c>
      <x:c r="AK71" s="10" t="str">
        <x:v>минимум</x:v>
      </x:c>
      <x:c r="AL71" s="32" t="n">
        <x:v>92.31988228698302</x:v>
      </x:c>
      <x:c r="AM71" s="13" t="str">
        <x:v>Остаток на начало сентября; Резервы неизвестны; Нет ежедневных данных доступности. Запас выше прогноза на 90 дней</x:v>
      </x:c>
      <x:c r="AN71" s="13" t="str">
        <x:v>Проверить свободный остаток и установить цену для B2B</x:v>
      </x:c>
      <x:c r="AO71" s="13" t="str">
        <x:v>Остаток 78; прогноз 90 дней 71.85; избыток 6 шт. Будущие поступления не выставляются на продажу. Остаток на начало сентября: требуется актуализация.</x:v>
      </x:c>
      <x:c r="AP71" s="13" t="str">
        <x:v>["category_missing", "daily_stockout_data_missing", "new_order_lead_time_unknown", "reservations_unknown", "stale_stock"]</x:v>
      </x:c>
      <x:c r="AQ71" s="10" t="str">
        <x:v>IEK:010700133_</x:v>
      </x:c>
      <x:c r="AR71" s="24" t="n">
        <x:v>1</x:v>
      </x:c>
      <x:c r="AS71" s="24" t="n">
        <x:v>0</x:v>
      </x:c>
      <x:c r="AT71" s="24" t="n">
        <x:v>0</x:v>
      </x:c>
    </x:row>
    <x:row r="72" ht="64" customHeight="1">
      <x:c r="A72" s="11" t="str">
        <x:v>IEK</x:v>
      </x:c>
      <x:c r="B72" s="33" t="str">
        <x:v>010700135_</x:v>
      </x:c>
      <x:c r="C72" s="33" t="str">
        <x:v>AR-M06N-1-C016</x:v>
      </x:c>
      <x:c r="D72" s="12" t="str">
        <x:v>ARMAT (1ф) 16А C IEK (1)</x:v>
      </x:c>
      <x:c r="E72" s="11" t="str">
        <x:v>шт</x:v>
      </x:c>
      <x:c r="F72" s="35" t="n">
        <x:f>MAX(0,ROUNDDOWN((AG72-AF72)/AR72+0.000000001,0)*AR72)</x:f>
        <x:v>88</x:v>
      </x:c>
      <x:c r="G72" s="20" t="str">
        <x:f>IF(J72="Рассчитано",V72*(1-R72/100)-W72-P72-Q72,"н/д")</x:f>
        <x:v>н/д</x:v>
      </x:c>
      <x:c r="H72" s="12" t="str">
        <x:v>Высокий</x:v>
      </x:c>
      <x:c r="I72" s="12" t="str">
        <x:v>Средний</x:v>
      </x:c>
      <x:c r="J72" s="12" t="str">
        <x:f>IF(L72="","Укажите валюту",IF(NOT(ISNUMBER(K72)),"Укажите объём",IF(K72&lt;=0,"Укажите объём",IF(K72&gt;F72,"Объём выше излишка",IF(COUNT(M72:O72)&lt;3,"Нужны цены",IF(COUNT(P72:R72)&lt;3,"Нужны расходы",IF(OR(M72&lt;0,N72&lt;0,O72&lt;0,O72&gt;100,P72&lt;0,Q72&lt;0,R72&lt;0,R72&gt;100),"Проверьте значения","Рассчитано")))))))</x:f>
        <x:v>Нужны цены</x:v>
      </x:c>
      <x:c r="K72" s="36" t="n">
        <x:v>88</x:v>
      </x:c>
      <x:c r="L72" s="19" t="str">
        <x:v>KZT</x:v>
      </x:c>
      <x:c r="M72" s="22"/>
      <x:c r="N72" s="22"/>
      <x:c r="O72" s="28"/>
      <x:c r="P72" s="22"/>
      <x:c r="Q72" s="22"/>
      <x:c r="R72" s="28"/>
      <x:c r="S72" s="22"/>
      <x:c r="T72" s="35" t="n">
        <x:f>K72</x:f>
        <x:v>88</x:v>
      </x:c>
      <x:c r="U72" s="20" t="str">
        <x:f>IF(J72="Рассчитано",N72*(1-O72/100),"н/д")</x:f>
        <x:v>н/д</x:v>
      </x:c>
      <x:c r="V72" s="20" t="str">
        <x:f>IF(J72="Рассчитано",T72*U72,"н/д")</x:f>
        <x:v>н/д</x:v>
      </x:c>
      <x:c r="W72" s="20" t="str">
        <x:f>IF(J72="Рассчитано",T72*M72,"н/д")</x:f>
        <x:v>н/д</x:v>
      </x:c>
      <x:c r="X72" s="20" t="str">
        <x:f>IF(J72="Рассчитано",V72-W72,"н/д")</x:f>
        <x:v>н/д</x:v>
      </x:c>
      <x:c r="Y72" s="26" t="str">
        <x:f>IF(J72="Рассчитано",IF(V72&gt;0,G72/V72,"н/д"),"н/д")</x:f>
        <x:v>н/д</x:v>
      </x:c>
      <x:c r="Z72" s="20" t="str">
        <x:f>"н/д"</x:f>
        <x:v>н/д</x:v>
      </x:c>
      <x:c r="AA72" s="20" t="str">
        <x:f>"н/д"</x:f>
        <x:v>н/д</x:v>
      </x:c>
      <x:c r="AB72" s="20" t="str">
        <x:f>"н/д"</x:f>
        <x:v>н/д</x:v>
      </x:c>
      <x:c r="AC72" s="20" t="str">
        <x:f>IF(AND(J72="Рассчитано",T72&gt;0,R72&lt;100),(W72+P72+Q72)/(T72*(1-R72/100)),"н/д")</x:f>
        <x:v>н/д</x:v>
      </x:c>
      <x:c r="AD72" s="11" t="str">
        <x:f>IF(ISNUMBER(G72),IF(G72&lt;0,"Убыток",IF(G72=0,"Без прибыли","Прибыль &gt; 0")),"Не оценён")</x:f>
        <x:v>Не оценён</x:v>
      </x:c>
      <x:c r="AE72" s="12" t="str">
        <x:f>IF(J72="Рассчитано","Выручка "&amp;TEXT(V72,"0.00")&amp;" - себестоимость "&amp;TEXT(W72,"0.00")&amp;" - комиссия "&amp;TEXT(V72*R72/100,"0.00")&amp;" - доставка "&amp;TEXT(P72,"0.00")&amp;" - прочие "&amp;TEXT(Q72,"0.00")&amp;" = "&amp;TEXT(G72,"0.00")&amp;" "&amp;L72,"Введите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" s="23" t="n">
        <x:v>199.56666200246553</x:v>
      </x:c>
      <x:c r="AG72" s="35" t="n">
        <x:v>288</x:v>
      </x:c>
      <x:c r="AH72" s="35" t="n">
        <x:v>40</x:v>
      </x:c>
      <x:c r="AI72" s="29" t="n">
        <x:v>46266</x:v>
      </x:c>
      <x:c r="AJ72" s="35" t="n">
        <x:v>1</x:v>
      </x:c>
      <x:c r="AK72" s="11" t="str">
        <x:v>минимум</x:v>
      </x:c>
      <x:c r="AL72" s="31" t="n">
        <x:v>122.72231489593499</x:v>
      </x:c>
      <x:c r="AM72" s="12" t="str">
        <x:v>Остаток на начало сентября; Резервы неизвестны; Нет ежедневных данных доступности. Запас выше прогноза на 90 дней</x:v>
      </x:c>
      <x:c r="AN72" s="12" t="str">
        <x:v>Проверить свободный остаток и установить цену для B2B</x:v>
      </x:c>
      <x:c r="AO72" s="12" t="str">
        <x:v>Остаток 288; прогноз 90 дней 199.57; избыток 88 шт. Будущие поступления не выставляются на продажу. Остаток на начало сентября: требуется актуализация.</x:v>
      </x:c>
      <x:c r="AP72" s="12" t="str">
        <x:v>["category_missing", "daily_stockout_data_missing", "new_order_lead_time_unknown", "reservations_unknown", "stale_stock"]</x:v>
      </x:c>
      <x:c r="AQ72" s="11" t="str">
        <x:v>IEK:010700135_</x:v>
      </x:c>
      <x:c r="AR72" s="23" t="n">
        <x:v>1</x:v>
      </x:c>
      <x:c r="AS72" s="23" t="n">
        <x:v>0</x:v>
      </x:c>
      <x:c r="AT72" s="23" t="n">
        <x:v>0</x:v>
      </x:c>
    </x:row>
    <x:row r="73" ht="64" customHeight="1">
      <x:c r="A73" s="10" t="str">
        <x:v>IEK</x:v>
      </x:c>
      <x:c r="B73" s="34" t="str">
        <x:v>010700136_</x:v>
      </x:c>
      <x:c r="C73" s="34" t="str">
        <x:v>AR-M06N-1-C020</x:v>
      </x:c>
      <x:c r="D73" s="13" t="str">
        <x:v>ARMAT (1ф) 20А C IEK (1)</x:v>
      </x:c>
      <x:c r="E73" s="10" t="str">
        <x:v>шт</x:v>
      </x:c>
      <x:c r="F73" s="37" t="n">
        <x:f>MAX(0,ROUNDDOWN((AG73-AF73)/AR73+0.000000001,0)*AR73)</x:f>
        <x:v>13</x:v>
      </x:c>
      <x:c r="G73" s="21" t="str">
        <x:f>IF(J73="Рассчитано",V73*(1-R73/100)-W73-P73-Q73,"н/д")</x:f>
        <x:v>н/д</x:v>
      </x:c>
      <x:c r="H73" s="13" t="str">
        <x:v>Высокий</x:v>
      </x:c>
      <x:c r="I73" s="13" t="str">
        <x:v>Средний</x:v>
      </x:c>
      <x:c r="J73" s="13" t="str">
        <x:f>IF(L73="","Укажите валюту",IF(NOT(ISNUMBER(K73)),"Укажите объём",IF(K73&lt;=0,"Укажите объём",IF(K73&gt;F73,"Объём выше излишка",IF(COUNT(M73:O73)&lt;3,"Нужны цены",IF(COUNT(P73:R73)&lt;3,"Нужны расходы",IF(OR(M73&lt;0,N73&lt;0,O73&lt;0,O73&gt;100,P73&lt;0,Q73&lt;0,R73&lt;0,R73&gt;100),"Проверьте значения","Рассчитано")))))))</x:f>
        <x:v>Нужны цены</x:v>
      </x:c>
      <x:c r="K73" s="36" t="n">
        <x:v>13</x:v>
      </x:c>
      <x:c r="L73" s="19" t="str">
        <x:v>KZT</x:v>
      </x:c>
      <x:c r="M73" s="22"/>
      <x:c r="N73" s="22"/>
      <x:c r="O73" s="28"/>
      <x:c r="P73" s="22"/>
      <x:c r="Q73" s="22"/>
      <x:c r="R73" s="28"/>
      <x:c r="S73" s="22"/>
      <x:c r="T73" s="37" t="n">
        <x:f>K73</x:f>
        <x:v>13</x:v>
      </x:c>
      <x:c r="U73" s="21" t="str">
        <x:f>IF(J73="Рассчитано",N73*(1-O73/100),"н/д")</x:f>
        <x:v>н/д</x:v>
      </x:c>
      <x:c r="V73" s="21" t="str">
        <x:f>IF(J73="Рассчитано",T73*U73,"н/д")</x:f>
        <x:v>н/д</x:v>
      </x:c>
      <x:c r="W73" s="21" t="str">
        <x:f>IF(J73="Рассчитано",T73*M73,"н/д")</x:f>
        <x:v>н/д</x:v>
      </x:c>
      <x:c r="X73" s="21" t="str">
        <x:f>IF(J73="Рассчитано",V73-W73,"н/д")</x:f>
        <x:v>н/д</x:v>
      </x:c>
      <x:c r="Y73" s="27" t="str">
        <x:f>IF(J73="Рассчитано",IF(V73&gt;0,G73/V73,"н/д"),"н/д")</x:f>
        <x:v>н/д</x:v>
      </x:c>
      <x:c r="Z73" s="21" t="str">
        <x:f>"н/д"</x:f>
        <x:v>н/д</x:v>
      </x:c>
      <x:c r="AA73" s="21" t="str">
        <x:f>"н/д"</x:f>
        <x:v>н/д</x:v>
      </x:c>
      <x:c r="AB73" s="21" t="str">
        <x:f>"н/д"</x:f>
        <x:v>н/д</x:v>
      </x:c>
      <x:c r="AC73" s="21" t="str">
        <x:f>IF(AND(J73="Рассчитано",T73&gt;0,R73&lt;100),(W73+P73+Q73)/(T73*(1-R73/100)),"н/д")</x:f>
        <x:v>н/д</x:v>
      </x:c>
      <x:c r="AD73" s="10" t="str">
        <x:f>IF(ISNUMBER(G73),IF(G73&lt;0,"Убыток",IF(G73=0,"Без прибыли","Прибыль &gt; 0")),"Не оценён")</x:f>
        <x:v>Не оценён</x:v>
      </x:c>
      <x:c r="AE73" s="13" t="str">
        <x:f>IF(J73="Рассчитано","Выручка "&amp;TEXT(V73,"0.00")&amp;" - себестоимость "&amp;TEXT(W73,"0.00")&amp;" - комиссия "&amp;TEXT(V73*R73/100,"0.00")&amp;" - доставка "&amp;TEXT(P73,"0.00")&amp;" - прочие "&amp;TEXT(Q73,"0.00")&amp;" = "&amp;TEXT(G73,"0.00")&amp;" "&amp;L73,"Введите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" s="24" t="n">
        <x:v>12.764109591836903</x:v>
      </x:c>
      <x:c r="AG73" s="37" t="n">
        <x:v>26</x:v>
      </x:c>
      <x:c r="AH73" s="37" t="n">
        <x:v>0</x:v>
      </x:c>
      <x:c r="AI73" s="30" t="n">
        <x:v>46266</x:v>
      </x:c>
      <x:c r="AJ73" s="37" t="n">
        <x:v>1</x:v>
      </x:c>
      <x:c r="AK73" s="10" t="str">
        <x:v>минимум</x:v>
      </x:c>
      <x:c r="AL73" s="32" t="n">
        <x:v>173.22152904714812</x:v>
      </x:c>
      <x:c r="AM73" s="13" t="str">
        <x:v>Остаток на начало сентября; Резервы неизвестны; Нет ежедневных данных доступности. Запас выше прогноза на 90 дней</x:v>
      </x:c>
      <x:c r="AN73" s="13" t="str">
        <x:v>Проверить свободный остаток и установить цену для B2B</x:v>
      </x:c>
      <x:c r="AO73" s="13" t="str">
        <x:v>Остаток 26; прогноз 90 дней 12.76; избыток 13 шт. Будущие поступления не выставляются на продажу. Остаток на начало сентября: требуется актуализация.</x:v>
      </x:c>
      <x:c r="AP73" s="13" t="str">
        <x:v>["category_missing", "daily_stockout_data_missing", "new_order_lead_time_unknown", "reservations_unknown", "stale_stock"]</x:v>
      </x:c>
      <x:c r="AQ73" s="10" t="str">
        <x:v>IEK:010700136_</x:v>
      </x:c>
      <x:c r="AR73" s="24" t="n">
        <x:v>1</x:v>
      </x:c>
      <x:c r="AS73" s="24" t="n">
        <x:v>0</x:v>
      </x:c>
      <x:c r="AT73" s="24" t="n">
        <x:v>0</x:v>
      </x:c>
    </x:row>
    <x:row r="74" ht="64" customHeight="1">
      <x:c r="A74" s="11" t="str">
        <x:v>IEK</x:v>
      </x:c>
      <x:c r="B74" s="33" t="str">
        <x:v>010700137_</x:v>
      </x:c>
      <x:c r="C74" s="33" t="str">
        <x:v>AR-M06N-1-C025</x:v>
      </x:c>
      <x:c r="D74" s="12" t="str">
        <x:v>ARMAT (1ф) 25А C IEK (1)</x:v>
      </x:c>
      <x:c r="E74" s="11" t="str">
        <x:v>шт</x:v>
      </x:c>
      <x:c r="F74" s="35" t="n">
        <x:f>MAX(0,ROUNDDOWN((AG74-AF74)/AR74+0.000000001,0)*AR74)</x:f>
        <x:v>22</x:v>
      </x:c>
      <x:c r="G74" s="20" t="str">
        <x:f>IF(J74="Рассчитано",V74*(1-R74/100)-W74-P74-Q74,"н/д")</x:f>
        <x:v>н/д</x:v>
      </x:c>
      <x:c r="H74" s="12" t="str">
        <x:v>Высокий</x:v>
      </x:c>
      <x:c r="I74" s="12" t="str">
        <x:v>Средний</x:v>
      </x:c>
      <x:c r="J74" s="12" t="str">
        <x:f>IF(L74="","Укажите валюту",IF(NOT(ISNUMBER(K74)),"Укажите объём",IF(K74&lt;=0,"Укажите объём",IF(K74&gt;F74,"Объём выше излишка",IF(COUNT(M74:O74)&lt;3,"Нужны цены",IF(COUNT(P74:R74)&lt;3,"Нужны расходы",IF(OR(M74&lt;0,N74&lt;0,O74&lt;0,O74&gt;100,P74&lt;0,Q74&lt;0,R74&lt;0,R74&gt;100),"Проверьте значения","Рассчитано")))))))</x:f>
        <x:v>Нужны цены</x:v>
      </x:c>
      <x:c r="K74" s="36" t="n">
        <x:v>22</x:v>
      </x:c>
      <x:c r="L74" s="19" t="str">
        <x:v>KZT</x:v>
      </x:c>
      <x:c r="M74" s="22"/>
      <x:c r="N74" s="22"/>
      <x:c r="O74" s="28"/>
      <x:c r="P74" s="22"/>
      <x:c r="Q74" s="22"/>
      <x:c r="R74" s="28"/>
      <x:c r="S74" s="22"/>
      <x:c r="T74" s="35" t="n">
        <x:f>K74</x:f>
        <x:v>22</x:v>
      </x:c>
      <x:c r="U74" s="20" t="str">
        <x:f>IF(J74="Рассчитано",N74*(1-O74/100),"н/д")</x:f>
        <x:v>н/д</x:v>
      </x:c>
      <x:c r="V74" s="20" t="str">
        <x:f>IF(J74="Рассчитано",T74*U74,"н/д")</x:f>
        <x:v>н/д</x:v>
      </x:c>
      <x:c r="W74" s="20" t="str">
        <x:f>IF(J74="Рассчитано",T74*M74,"н/д")</x:f>
        <x:v>н/д</x:v>
      </x:c>
      <x:c r="X74" s="20" t="str">
        <x:f>IF(J74="Рассчитано",V74-W74,"н/д")</x:f>
        <x:v>н/д</x:v>
      </x:c>
      <x:c r="Y74" s="26" t="str">
        <x:f>IF(J74="Рассчитано",IF(V74&gt;0,G74/V74,"н/д"),"н/д")</x:f>
        <x:v>н/д</x:v>
      </x:c>
      <x:c r="Z74" s="20" t="str">
        <x:f>"н/д"</x:f>
        <x:v>н/д</x:v>
      </x:c>
      <x:c r="AA74" s="20" t="str">
        <x:f>"н/д"</x:f>
        <x:v>н/д</x:v>
      </x:c>
      <x:c r="AB74" s="20" t="str">
        <x:f>"н/д"</x:f>
        <x:v>н/д</x:v>
      </x:c>
      <x:c r="AC74" s="20" t="str">
        <x:f>IF(AND(J74="Рассчитано",T74&gt;0,R74&lt;100),(W74+P74+Q74)/(T74*(1-R74/100)),"н/д")</x:f>
        <x:v>н/д</x:v>
      </x:c>
      <x:c r="AD74" s="11" t="str">
        <x:f>IF(ISNUMBER(G74),IF(G74&lt;0,"Убыток",IF(G74=0,"Без прибыли","Прибыль &gt; 0")),"Не оценён")</x:f>
        <x:v>Не оценён</x:v>
      </x:c>
      <x:c r="AE74" s="12" t="str">
        <x:f>IF(J74="Рассчитано","Выручка "&amp;TEXT(V74,"0.00")&amp;" - себестоимость "&amp;TEXT(W74,"0.00")&amp;" - комиссия "&amp;TEXT(V74*R74/100,"0.00")&amp;" - доставка "&amp;TEXT(P74,"0.00")&amp;" - прочие "&amp;TEXT(Q74,"0.00")&amp;" = "&amp;TEXT(G74,"0.00")&amp;" "&amp;L74,"Введите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" s="23" t="n">
        <x:v>76.64933200211402</x:v>
      </x:c>
      <x:c r="AG74" s="35" t="n">
        <x:v>99</x:v>
      </x:c>
      <x:c r="AH74" s="35" t="n">
        <x:v>0</x:v>
      </x:c>
      <x:c r="AI74" s="29" t="n">
        <x:v>46266</x:v>
      </x:c>
      <x:c r="AJ74" s="35" t="n">
        <x:v>1</x:v>
      </x:c>
      <x:c r="AK74" s="11" t="str">
        <x:v>минимум</x:v>
      </x:c>
      <x:c r="AL74" s="31" t="n">
        <x:v>109.83629238426464</x:v>
      </x:c>
      <x:c r="AM74" s="12" t="str">
        <x:v>Остаток на начало сентября; Резервы неизвестны; Нет ежедневных данных доступности. Запас выше прогноза на 90 дней</x:v>
      </x:c>
      <x:c r="AN74" s="12" t="str">
        <x:v>Проверить свободный остаток и установить цену для B2B</x:v>
      </x:c>
      <x:c r="AO74" s="12" t="str">
        <x:v>Остаток 99; прогноз 90 дней 76.65; избыток 22 шт. Будущие поступления не выставляются на продажу. Остаток на начало сентября: требуется актуализация.</x:v>
      </x:c>
      <x:c r="AP74" s="12" t="str">
        <x:v>["category_missing", "daily_stockout_data_missing", "large_orders_detected", "new_order_lead_time_unknown", "reservations_unknown", "stale_stock"]</x:v>
      </x:c>
      <x:c r="AQ74" s="11" t="str">
        <x:v>IEK:010700137_</x:v>
      </x:c>
      <x:c r="AR74" s="23" t="n">
        <x:v>1</x:v>
      </x:c>
      <x:c r="AS74" s="23" t="n">
        <x:v>0</x:v>
      </x:c>
      <x:c r="AT74" s="23" t="n">
        <x:v>0</x:v>
      </x:c>
    </x:row>
    <x:row r="75" ht="64" customHeight="1">
      <x:c r="A75" s="10" t="str">
        <x:v>IEK</x:v>
      </x:c>
      <x:c r="B75" s="34" t="str">
        <x:v>010700140_</x:v>
      </x:c>
      <x:c r="C75" s="34" t="str">
        <x:v>AR-M06N-1-C050</x:v>
      </x:c>
      <x:c r="D75" s="13" t="str">
        <x:v>ARMAT (1ф) 50А C IEK (1)</x:v>
      </x:c>
      <x:c r="E75" s="10" t="str">
        <x:v>шт</x:v>
      </x:c>
      <x:c r="F75" s="37" t="n">
        <x:f>MAX(0,ROUNDDOWN((AG75-AF75)/AR75+0.000000001,0)*AR75)</x:f>
        <x:v>11</x:v>
      </x:c>
      <x:c r="G75" s="21" t="str">
        <x:f>IF(J75="Рассчитано",V75*(1-R75/100)-W75-P75-Q75,"н/д")</x:f>
        <x:v>н/д</x:v>
      </x:c>
      <x:c r="H75" s="13" t="str">
        <x:v>Высокий</x:v>
      </x:c>
      <x:c r="I75" s="13" t="str">
        <x:v>Высокий</x:v>
      </x:c>
      <x:c r="J75" s="13" t="str">
        <x:f>IF(L75="","Укажите валюту",IF(NOT(ISNUMBER(K75)),"Укажите объём",IF(K75&lt;=0,"Укажите объём",IF(K75&gt;F75,"Объём выше излишка",IF(COUNT(M75:O75)&lt;3,"Нужны цены",IF(COUNT(P75:R75)&lt;3,"Нужны расходы",IF(OR(M75&lt;0,N75&lt;0,O75&lt;0,O75&gt;100,P75&lt;0,Q75&lt;0,R75&lt;0,R75&gt;100),"Проверьте значения","Рассчитано")))))))</x:f>
        <x:v>Нужны цены</x:v>
      </x:c>
      <x:c r="K75" s="36" t="n">
        <x:v>11</x:v>
      </x:c>
      <x:c r="L75" s="19" t="str">
        <x:v>KZT</x:v>
      </x:c>
      <x:c r="M75" s="22"/>
      <x:c r="N75" s="22"/>
      <x:c r="O75" s="28"/>
      <x:c r="P75" s="22"/>
      <x:c r="Q75" s="22"/>
      <x:c r="R75" s="28"/>
      <x:c r="S75" s="22"/>
      <x:c r="T75" s="37" t="n">
        <x:f>K75</x:f>
        <x:v>11</x:v>
      </x:c>
      <x:c r="U75" s="21" t="str">
        <x:f>IF(J75="Рассчитано",N75*(1-O75/100),"н/д")</x:f>
        <x:v>н/д</x:v>
      </x:c>
      <x:c r="V75" s="21" t="str">
        <x:f>IF(J75="Рассчитано",T75*U75,"н/д")</x:f>
        <x:v>н/д</x:v>
      </x:c>
      <x:c r="W75" s="21" t="str">
        <x:f>IF(J75="Рассчитано",T75*M75,"н/д")</x:f>
        <x:v>н/д</x:v>
      </x:c>
      <x:c r="X75" s="21" t="str">
        <x:f>IF(J75="Рассчитано",V75-W75,"н/д")</x:f>
        <x:v>н/д</x:v>
      </x:c>
      <x:c r="Y75" s="27" t="str">
        <x:f>IF(J75="Рассчитано",IF(V75&gt;0,G75/V75,"н/д"),"н/д")</x:f>
        <x:v>н/д</x:v>
      </x:c>
      <x:c r="Z75" s="21" t="str">
        <x:f>"н/д"</x:f>
        <x:v>н/д</x:v>
      </x:c>
      <x:c r="AA75" s="21" t="str">
        <x:f>"н/д"</x:f>
        <x:v>н/д</x:v>
      </x:c>
      <x:c r="AB75" s="21" t="str">
        <x:f>"н/д"</x:f>
        <x:v>н/д</x:v>
      </x:c>
      <x:c r="AC75" s="21" t="str">
        <x:f>IF(AND(J75="Рассчитано",T75&gt;0,R75&lt;100),(W75+P75+Q75)/(T75*(1-R75/100)),"н/д")</x:f>
        <x:v>н/д</x:v>
      </x:c>
      <x:c r="AD75" s="10" t="str">
        <x:f>IF(ISNUMBER(G75),IF(G75&lt;0,"Убыток",IF(G75=0,"Без прибыли","Прибыль &gt; 0")),"Не оценён")</x:f>
        <x:v>Не оценён</x:v>
      </x:c>
      <x:c r="AE75" s="13" t="str">
        <x:f>IF(J75="Рассчитано","Выручка "&amp;TEXT(V75,"0.00")&amp;" - себестоимость "&amp;TEXT(W75,"0.00")&amp;" - комиссия "&amp;TEXT(V75*R75/100,"0.00")&amp;" - доставка "&amp;TEXT(P75,"0.00")&amp;" - прочие "&amp;TEXT(Q75,"0.00")&amp;" = "&amp;TEXT(G75,"0.00")&amp;" "&amp;L75,"Введите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" s="24" t="n">
        <x:v>0.10758727254321898</x:v>
      </x:c>
      <x:c r="AG75" s="37" t="n">
        <x:v>12</x:v>
      </x:c>
      <x:c r="AH75" s="37" t="n">
        <x:v>0</x:v>
      </x:c>
      <x:c r="AI75" s="30" t="n">
        <x:v>46266</x:v>
      </x:c>
      <x:c r="AJ75" s="37" t="n">
        <x:v>1</x:v>
      </x:c>
      <x:c r="AK75" s="10" t="str">
        <x:v>минимум</x:v>
      </x:c>
      <x:c r="AL75" s="32" t="n">
        <x:v>9485.044930678156</x:v>
      </x:c>
      <x:c r="AM7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5" s="13" t="str">
        <x:v>Проверить свободный остаток и установить цену для B2B</x:v>
      </x:c>
      <x:c r="AO75" s="13" t="str">
        <x:v>Остаток 12; прогноз 90 дней 0.11; избыток 11 шт. Будущие поступления не выставляются на продажу. Остаток на начало сентября: требуется актуализация.</x:v>
      </x:c>
      <x:c r="AP75" s="13" t="str">
        <x:v>["category_missing", "daily_stockout_data_missing", "new_order_lead_time_unknown", "reservations_unknown", "stale_stock"]</x:v>
      </x:c>
      <x:c r="AQ75" s="10" t="str">
        <x:v>IEK:010700140_</x:v>
      </x:c>
      <x:c r="AR75" s="24" t="n">
        <x:v>1</x:v>
      </x:c>
      <x:c r="AS75" s="24" t="n">
        <x:v>0</x:v>
      </x:c>
      <x:c r="AT75" s="24" t="n">
        <x:v>0</x:v>
      </x:c>
    </x:row>
    <x:row r="76" ht="64" customHeight="1">
      <x:c r="A76" s="11" t="str">
        <x:v>IEK</x:v>
      </x:c>
      <x:c r="B76" s="33" t="str">
        <x:v>010700141_</x:v>
      </x:c>
      <x:c r="C76" s="33" t="str">
        <x:v>AR-M06N-1-C063</x:v>
      </x:c>
      <x:c r="D76" s="12" t="str">
        <x:v>ARMAT (1ф) 63А C IEK (1)</x:v>
      </x:c>
      <x:c r="E76" s="11" t="str">
        <x:v>шт</x:v>
      </x:c>
      <x:c r="F76" s="35" t="n">
        <x:f>MAX(0,ROUNDDOWN((AG76-AF76)/AR76+0.000000001,0)*AR76)</x:f>
        <x:v>4</x:v>
      </x:c>
      <x:c r="G76" s="20" t="str">
        <x:f>IF(J76="Рассчитано",V76*(1-R76/100)-W76-P76-Q76,"н/д")</x:f>
        <x:v>н/д</x:v>
      </x:c>
      <x:c r="H76" s="12" t="str">
        <x:v>Высокий</x:v>
      </x:c>
      <x:c r="I76" s="12" t="str">
        <x:v>Высокий</x:v>
      </x:c>
      <x:c r="J76" s="12" t="str">
        <x:f>IF(L76="","Укажите валюту",IF(NOT(ISNUMBER(K76)),"Укажите объём",IF(K76&lt;=0,"Укажите объём",IF(K76&gt;F76,"Объём выше излишка",IF(COUNT(M76:O76)&lt;3,"Нужны цены",IF(COUNT(P76:R76)&lt;3,"Нужны расходы",IF(OR(M76&lt;0,N76&lt;0,O76&lt;0,O76&gt;100,P76&lt;0,Q76&lt;0,R76&lt;0,R76&gt;100),"Проверьте значения","Рассчитано")))))))</x:f>
        <x:v>Нужны цены</x:v>
      </x:c>
      <x:c r="K76" s="36" t="n">
        <x:v>4</x:v>
      </x:c>
      <x:c r="L76" s="19" t="str">
        <x:v>KZT</x:v>
      </x:c>
      <x:c r="M76" s="22"/>
      <x:c r="N76" s="22"/>
      <x:c r="O76" s="28"/>
      <x:c r="P76" s="22"/>
      <x:c r="Q76" s="22"/>
      <x:c r="R76" s="28"/>
      <x:c r="S76" s="22"/>
      <x:c r="T76" s="35" t="n">
        <x:f>K76</x:f>
        <x:v>4</x:v>
      </x:c>
      <x:c r="U76" s="20" t="str">
        <x:f>IF(J76="Рассчитано",N76*(1-O76/100),"н/д")</x:f>
        <x:v>н/д</x:v>
      </x:c>
      <x:c r="V76" s="20" t="str">
        <x:f>IF(J76="Рассчитано",T76*U76,"н/д")</x:f>
        <x:v>н/д</x:v>
      </x:c>
      <x:c r="W76" s="20" t="str">
        <x:f>IF(J76="Рассчитано",T76*M76,"н/д")</x:f>
        <x:v>н/д</x:v>
      </x:c>
      <x:c r="X76" s="20" t="str">
        <x:f>IF(J76="Рассчитано",V76-W76,"н/д")</x:f>
        <x:v>н/д</x:v>
      </x:c>
      <x:c r="Y76" s="26" t="str">
        <x:f>IF(J76="Рассчитано",IF(V76&gt;0,G76/V76,"н/д"),"н/д")</x:f>
        <x:v>н/д</x:v>
      </x:c>
      <x:c r="Z76" s="20" t="str">
        <x:f>"н/д"</x:f>
        <x:v>н/д</x:v>
      </x:c>
      <x:c r="AA76" s="20" t="str">
        <x:f>"н/д"</x:f>
        <x:v>н/д</x:v>
      </x:c>
      <x:c r="AB76" s="20" t="str">
        <x:f>"н/д"</x:f>
        <x:v>н/д</x:v>
      </x:c>
      <x:c r="AC76" s="20" t="str">
        <x:f>IF(AND(J76="Рассчитано",T76&gt;0,R76&lt;100),(W76+P76+Q76)/(T76*(1-R76/100)),"н/д")</x:f>
        <x:v>н/д</x:v>
      </x:c>
      <x:c r="AD76" s="11" t="str">
        <x:f>IF(ISNUMBER(G76),IF(G76&lt;0,"Убыток",IF(G76=0,"Без прибыли","Прибыль &gt; 0")),"Не оценён")</x:f>
        <x:v>Не оценён</x:v>
      </x:c>
      <x:c r="AE76" s="12" t="str">
        <x:f>IF(J76="Рассчитано","Выручка "&amp;TEXT(V76,"0.00")&amp;" - себестоимость "&amp;TEXT(W76,"0.00")&amp;" - комиссия "&amp;TEXT(V76*R76/100,"0.00")&amp;" - доставка "&amp;TEXT(P76,"0.00")&amp;" - прочие "&amp;TEXT(Q76,"0.00")&amp;" = "&amp;TEXT(G76,"0.00")&amp;" "&amp;L76,"Введите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" s="23" t="n">
        <x:v>0.22190159577113314</x:v>
      </x:c>
      <x:c r="AG76" s="35" t="n">
        <x:v>5</x:v>
      </x:c>
      <x:c r="AH76" s="35" t="n">
        <x:v>0</x:v>
      </x:c>
      <x:c r="AI76" s="29" t="n">
        <x:v>46266</x:v>
      </x:c>
      <x:c r="AJ76" s="35" t="n">
        <x:v>1</x:v>
      </x:c>
      <x:c r="AK76" s="11" t="str">
        <x:v>минимум</x:v>
      </x:c>
      <x:c r="AL76" s="31" t="n">
        <x:v>1916.1461159080075</x:v>
      </x:c>
      <x:c r="AM7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6" s="12" t="str">
        <x:v>Проверить свободный остаток и установить цену для B2B</x:v>
      </x:c>
      <x:c r="AO76" s="12" t="str">
        <x:v>Остаток 5; прогноз 90 дней 0.22; избыток 4 шт. Будущие поступления не выставляются на продажу. Остаток на начало сентября: требуется актуализация.</x:v>
      </x:c>
      <x:c r="AP76" s="12" t="str">
        <x:v>["category_missing", "daily_stockout_data_missing", "new_order_lead_time_unknown", "reservations_unknown", "stale_stock"]</x:v>
      </x:c>
      <x:c r="AQ76" s="11" t="str">
        <x:v>IEK:010700141_</x:v>
      </x:c>
      <x:c r="AR76" s="23" t="n">
        <x:v>1</x:v>
      </x:c>
      <x:c r="AS76" s="23" t="n">
        <x:v>0</x:v>
      </x:c>
      <x:c r="AT76" s="23" t="n">
        <x:v>0</x:v>
      </x:c>
    </x:row>
    <x:row r="77" ht="64" customHeight="1">
      <x:c r="A77" s="10" t="str">
        <x:v>IEK</x:v>
      </x:c>
      <x:c r="B77" s="34" t="str">
        <x:v>010700142_</x:v>
      </x:c>
      <x:c r="C77" s="34" t="str">
        <x:v>AR-M06N-2-C006</x:v>
      </x:c>
      <x:c r="D77" s="13" t="str">
        <x:v>ARMAT (2ф) 6А C IEK (1)</x:v>
      </x:c>
      <x:c r="E77" s="10" t="str">
        <x:v>шт</x:v>
      </x:c>
      <x:c r="F77" s="37" t="n">
        <x:f>MAX(0,ROUNDDOWN((AG77-AF77)/AR77+0.000000001,0)*AR77)</x:f>
        <x:v>2</x:v>
      </x:c>
      <x:c r="G77" s="21" t="str">
        <x:f>IF(J77="Рассчитано",V77*(1-R77/100)-W77-P77-Q77,"н/д")</x:f>
        <x:v>н/д</x:v>
      </x:c>
      <x:c r="H77" s="13" t="str">
        <x:v>Высокий</x:v>
      </x:c>
      <x:c r="I77" s="13" t="str">
        <x:v>Высокий</x:v>
      </x:c>
      <x:c r="J77" s="13" t="str">
        <x:f>IF(L77="","Укажите валюту",IF(NOT(ISNUMBER(K77)),"Укажите объём",IF(K77&lt;=0,"Укажите объём",IF(K77&gt;F77,"Объём выше излишка",IF(COUNT(M77:O77)&lt;3,"Нужны цены",IF(COUNT(P77:R77)&lt;3,"Нужны расходы",IF(OR(M77&lt;0,N77&lt;0,O77&lt;0,O77&gt;100,P77&lt;0,Q77&lt;0,R77&lt;0,R77&gt;100),"Проверьте значения","Рассчитано")))))))</x:f>
        <x:v>Нужны цены</x:v>
      </x:c>
      <x:c r="K77" s="36" t="n">
        <x:v>2</x:v>
      </x:c>
      <x:c r="L77" s="19" t="str">
        <x:v>KZT</x:v>
      </x:c>
      <x:c r="M77" s="22"/>
      <x:c r="N77" s="22"/>
      <x:c r="O77" s="28"/>
      <x:c r="P77" s="22"/>
      <x:c r="Q77" s="22"/>
      <x:c r="R77" s="28"/>
      <x:c r="S77" s="22"/>
      <x:c r="T77" s="37" t="n">
        <x:f>K77</x:f>
        <x:v>2</x:v>
      </x:c>
      <x:c r="U77" s="21" t="str">
        <x:f>IF(J77="Рассчитано",N77*(1-O77/100),"н/д")</x:f>
        <x:v>н/д</x:v>
      </x:c>
      <x:c r="V77" s="21" t="str">
        <x:f>IF(J77="Рассчитано",T77*U77,"н/д")</x:f>
        <x:v>н/д</x:v>
      </x:c>
      <x:c r="W77" s="21" t="str">
        <x:f>IF(J77="Рассчитано",T77*M77,"н/д")</x:f>
        <x:v>н/д</x:v>
      </x:c>
      <x:c r="X77" s="21" t="str">
        <x:f>IF(J77="Рассчитано",V77-W77,"н/д")</x:f>
        <x:v>н/д</x:v>
      </x:c>
      <x:c r="Y77" s="27" t="str">
        <x:f>IF(J77="Рассчитано",IF(V77&gt;0,G77/V77,"н/д"),"н/д")</x:f>
        <x:v>н/д</x:v>
      </x:c>
      <x:c r="Z77" s="21" t="str">
        <x:f>"н/д"</x:f>
        <x:v>н/д</x:v>
      </x:c>
      <x:c r="AA77" s="21" t="str">
        <x:f>"н/д"</x:f>
        <x:v>н/д</x:v>
      </x:c>
      <x:c r="AB77" s="21" t="str">
        <x:f>"н/д"</x:f>
        <x:v>н/д</x:v>
      </x:c>
      <x:c r="AC77" s="21" t="str">
        <x:f>IF(AND(J77="Рассчитано",T77&gt;0,R77&lt;100),(W77+P77+Q77)/(T77*(1-R77/100)),"н/д")</x:f>
        <x:v>н/д</x:v>
      </x:c>
      <x:c r="AD77" s="10" t="str">
        <x:f>IF(ISNUMBER(G77),IF(G77&lt;0,"Убыток",IF(G77=0,"Без прибыли","Прибыль &gt; 0")),"Не оценён")</x:f>
        <x:v>Не оценён</x:v>
      </x:c>
      <x:c r="AE77" s="13" t="str">
        <x:f>IF(J77="Рассчитано","Выручка "&amp;TEXT(V77,"0.00")&amp;" - себестоимость "&amp;TEXT(W77,"0.00")&amp;" - комиссия "&amp;TEXT(V77*R77/100,"0.00")&amp;" - доставка "&amp;TEXT(P77,"0.00")&amp;" - прочие "&amp;TEXT(Q77,"0.00")&amp;" = "&amp;TEXT(G77,"0.00")&amp;" "&amp;L77,"Введите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" s="24" t="n">
        <x:v>0</x:v>
      </x:c>
      <x:c r="AG77" s="37" t="n">
        <x:v>2</x:v>
      </x:c>
      <x:c r="AH77" s="37" t="n">
        <x:v>0</x:v>
      </x:c>
      <x:c r="AI77" s="30" t="n">
        <x:v>46266</x:v>
      </x:c>
      <x:c r="AJ77" s="37" t="n">
        <x:v>1</x:v>
      </x:c>
      <x:c r="AK77" s="10" t="str">
        <x:v>минимум</x:v>
      </x:c>
      <x:c r="AL77" s="32" t="str">
        <x:v>н/д</x:v>
      </x:c>
      <x:c r="AM7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7" s="13" t="str">
        <x:v>Проверить свободный остаток и установить цену для B2B</x:v>
      </x:c>
      <x:c r="AO77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77" s="13" t="str">
        <x:v>["category_missing", "daily_stockout_data_missing", "new_order_lead_time_unknown", "reservations_unknown", "stale_stock"]</x:v>
      </x:c>
      <x:c r="AQ77" s="10" t="str">
        <x:v>IEK:010700142_</x:v>
      </x:c>
      <x:c r="AR77" s="24" t="n">
        <x:v>1</x:v>
      </x:c>
      <x:c r="AS77" s="24" t="n">
        <x:v>0</x:v>
      </x:c>
      <x:c r="AT77" s="24" t="n">
        <x:v>0</x:v>
      </x:c>
    </x:row>
    <x:row r="78" ht="64" customHeight="1">
      <x:c r="A78" s="11" t="str">
        <x:v>IEK</x:v>
      </x:c>
      <x:c r="B78" s="33" t="str">
        <x:v>010700144_</x:v>
      </x:c>
      <x:c r="C78" s="33" t="str">
        <x:v>AR-M06N-2-C016</x:v>
      </x:c>
      <x:c r="D78" s="12" t="str">
        <x:v>ARMAT (2ф) 16А C IEK (1)</x:v>
      </x:c>
      <x:c r="E78" s="11" t="str">
        <x:v>шт</x:v>
      </x:c>
      <x:c r="F78" s="35" t="n">
        <x:f>MAX(0,ROUNDDOWN((AG78-AF78)/AR78+0.000000001,0)*AR78)</x:f>
        <x:v>2</x:v>
      </x:c>
      <x:c r="G78" s="20" t="str">
        <x:f>IF(J78="Рассчитано",V78*(1-R78/100)-W78-P78-Q78,"н/д")</x:f>
        <x:v>н/д</x:v>
      </x:c>
      <x:c r="H78" s="12" t="str">
        <x:v>Высокий</x:v>
      </x:c>
      <x:c r="I78" s="12" t="str">
        <x:v>Средний</x:v>
      </x:c>
      <x:c r="J78" s="12" t="str">
        <x:f>IF(L78="","Укажите валюту",IF(NOT(ISNUMBER(K78)),"Укажите объём",IF(K78&lt;=0,"Укажите объём",IF(K78&gt;F78,"Объём выше излишка",IF(COUNT(M78:O78)&lt;3,"Нужны цены",IF(COUNT(P78:R78)&lt;3,"Нужны расходы",IF(OR(M78&lt;0,N78&lt;0,O78&lt;0,O78&gt;100,P78&lt;0,Q78&lt;0,R78&lt;0,R78&gt;100),"Проверьте значения","Рассчитано")))))))</x:f>
        <x:v>Нужны цены</x:v>
      </x:c>
      <x:c r="K78" s="36" t="n">
        <x:v>2</x:v>
      </x:c>
      <x:c r="L78" s="19" t="str">
        <x:v>KZT</x:v>
      </x:c>
      <x:c r="M78" s="22"/>
      <x:c r="N78" s="22"/>
      <x:c r="O78" s="28"/>
      <x:c r="P78" s="22"/>
      <x:c r="Q78" s="22"/>
      <x:c r="R78" s="28"/>
      <x:c r="S78" s="22"/>
      <x:c r="T78" s="35" t="n">
        <x:f>K78</x:f>
        <x:v>2</x:v>
      </x:c>
      <x:c r="U78" s="20" t="str">
        <x:f>IF(J78="Рассчитано",N78*(1-O78/100),"н/д")</x:f>
        <x:v>н/д</x:v>
      </x:c>
      <x:c r="V78" s="20" t="str">
        <x:f>IF(J78="Рассчитано",T78*U78,"н/д")</x:f>
        <x:v>н/д</x:v>
      </x:c>
      <x:c r="W78" s="20" t="str">
        <x:f>IF(J78="Рассчитано",T78*M78,"н/д")</x:f>
        <x:v>н/д</x:v>
      </x:c>
      <x:c r="X78" s="20" t="str">
        <x:f>IF(J78="Рассчитано",V78-W78,"н/д")</x:f>
        <x:v>н/д</x:v>
      </x:c>
      <x:c r="Y78" s="26" t="str">
        <x:f>IF(J78="Рассчитано",IF(V78&gt;0,G78/V78,"н/д"),"н/д")</x:f>
        <x:v>н/д</x:v>
      </x:c>
      <x:c r="Z78" s="20" t="str">
        <x:f>"н/д"</x:f>
        <x:v>н/д</x:v>
      </x:c>
      <x:c r="AA78" s="20" t="str">
        <x:f>"н/д"</x:f>
        <x:v>н/д</x:v>
      </x:c>
      <x:c r="AB78" s="20" t="str">
        <x:f>"н/д"</x:f>
        <x:v>н/д</x:v>
      </x:c>
      <x:c r="AC78" s="20" t="str">
        <x:f>IF(AND(J78="Рассчитано",T78&gt;0,R78&lt;100),(W78+P78+Q78)/(T78*(1-R78/100)),"н/д")</x:f>
        <x:v>н/д</x:v>
      </x:c>
      <x:c r="AD78" s="11" t="str">
        <x:f>IF(ISNUMBER(G78),IF(G78&lt;0,"Убыток",IF(G78=0,"Без прибыли","Прибыль &gt; 0")),"Не оценён")</x:f>
        <x:v>Не оценён</x:v>
      </x:c>
      <x:c r="AE78" s="12" t="str">
        <x:f>IF(J78="Рассчитано","Выручка "&amp;TEXT(V78,"0.00")&amp;" - себестоимость "&amp;TEXT(W78,"0.00")&amp;" - комиссия "&amp;TEXT(V78*R78/100,"0.00")&amp;" - доставка "&amp;TEXT(P78,"0.00")&amp;" - прочие "&amp;TEXT(Q78,"0.00")&amp;" = "&amp;TEXT(G78,"0.00")&amp;" "&amp;L78,"Введите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" s="23" t="n">
        <x:v>4.222346738959995</x:v>
      </x:c>
      <x:c r="AG78" s="35" t="n">
        <x:v>7</x:v>
      </x:c>
      <x:c r="AH78" s="35" t="n">
        <x:v>0</x:v>
      </x:c>
      <x:c r="AI78" s="29" t="n">
        <x:v>46266</x:v>
      </x:c>
      <x:c r="AJ78" s="35" t="n">
        <x:v>1</x:v>
      </x:c>
      <x:c r="AK78" s="11" t="str">
        <x:v>минимум</x:v>
      </x:c>
      <x:c r="AL78" s="31" t="n">
        <x:v>140.98184492956315</x:v>
      </x:c>
      <x:c r="AM78" s="12" t="str">
        <x:v>Остаток на начало сентября; Резервы неизвестны; Нет ежедневных данных доступности. Запас выше прогноза на 90 дней</x:v>
      </x:c>
      <x:c r="AN78" s="12" t="str">
        <x:v>Проверить свободный остаток и установить цену для B2B</x:v>
      </x:c>
      <x:c r="AO78" s="12" t="str">
        <x:v>Остаток 7; прогноз 90 дней 4.22; избыток 2 шт. Будущие поступления не выставляются на продажу. Остаток на начало сентября: требуется актуализация.</x:v>
      </x:c>
      <x:c r="AP78" s="12" t="str">
        <x:v>["category_missing", "daily_stockout_data_missing", "new_order_lead_time_unknown", "reservations_unknown", "stale_stock"]</x:v>
      </x:c>
      <x:c r="AQ78" s="11" t="str">
        <x:v>IEK:010700144_</x:v>
      </x:c>
      <x:c r="AR78" s="23" t="n">
        <x:v>1</x:v>
      </x:c>
      <x:c r="AS78" s="23" t="n">
        <x:v>0</x:v>
      </x:c>
      <x:c r="AT78" s="23" t="n">
        <x:v>0</x:v>
      </x:c>
    </x:row>
    <x:row r="79" ht="64" customHeight="1">
      <x:c r="A79" s="10" t="str">
        <x:v>IEK</x:v>
      </x:c>
      <x:c r="B79" s="34" t="str">
        <x:v>010700145_</x:v>
      </x:c>
      <x:c r="C79" s="34" t="str">
        <x:v>AR-M06N-2-C020</x:v>
      </x:c>
      <x:c r="D79" s="13" t="str">
        <x:v>ARMAT (2ф) 20А C IEK (1)</x:v>
      </x:c>
      <x:c r="E79" s="10" t="str">
        <x:v>шт</x:v>
      </x:c>
      <x:c r="F79" s="37" t="n">
        <x:f>MAX(0,ROUNDDOWN((AG79-AF79)/AR79+0.000000001,0)*AR79)</x:f>
        <x:v>7</x:v>
      </x:c>
      <x:c r="G79" s="21" t="str">
        <x:f>IF(J79="Рассчитано",V79*(1-R79/100)-W79-P79-Q79,"н/д")</x:f>
        <x:v>н/д</x:v>
      </x:c>
      <x:c r="H79" s="13" t="str">
        <x:v>Высокий</x:v>
      </x:c>
      <x:c r="I79" s="13" t="str">
        <x:v>Высокий</x:v>
      </x:c>
      <x:c r="J79" s="13" t="str">
        <x:f>IF(L79="","Укажите валюту",IF(NOT(ISNUMBER(K79)),"Укажите объём",IF(K79&lt;=0,"Укажите объём",IF(K79&gt;F79,"Объём выше излишка",IF(COUNT(M79:O79)&lt;3,"Нужны цены",IF(COUNT(P79:R79)&lt;3,"Нужны расходы",IF(OR(M79&lt;0,N79&lt;0,O79&lt;0,O79&gt;100,P79&lt;0,Q79&lt;0,R79&lt;0,R79&gt;100),"Проверьте значения","Рассчитано")))))))</x:f>
        <x:v>Нужны цены</x:v>
      </x:c>
      <x:c r="K79" s="36" t="n">
        <x:v>7</x:v>
      </x:c>
      <x:c r="L79" s="19" t="str">
        <x:v>KZT</x:v>
      </x:c>
      <x:c r="M79" s="22"/>
      <x:c r="N79" s="22"/>
      <x:c r="O79" s="28"/>
      <x:c r="P79" s="22"/>
      <x:c r="Q79" s="22"/>
      <x:c r="R79" s="28"/>
      <x:c r="S79" s="22"/>
      <x:c r="T79" s="37" t="n">
        <x:f>K79</x:f>
        <x:v>7</x:v>
      </x:c>
      <x:c r="U79" s="21" t="str">
        <x:f>IF(J79="Рассчитано",N79*(1-O79/100),"н/д")</x:f>
        <x:v>н/д</x:v>
      </x:c>
      <x:c r="V79" s="21" t="str">
        <x:f>IF(J79="Рассчитано",T79*U79,"н/д")</x:f>
        <x:v>н/д</x:v>
      </x:c>
      <x:c r="W79" s="21" t="str">
        <x:f>IF(J79="Рассчитано",T79*M79,"н/д")</x:f>
        <x:v>н/д</x:v>
      </x:c>
      <x:c r="X79" s="21" t="str">
        <x:f>IF(J79="Рассчитано",V79-W79,"н/д")</x:f>
        <x:v>н/д</x:v>
      </x:c>
      <x:c r="Y79" s="27" t="str">
        <x:f>IF(J79="Рассчитано",IF(V79&gt;0,G79/V79,"н/д"),"н/д")</x:f>
        <x:v>н/д</x:v>
      </x:c>
      <x:c r="Z79" s="21" t="str">
        <x:f>"н/д"</x:f>
        <x:v>н/д</x:v>
      </x:c>
      <x:c r="AA79" s="21" t="str">
        <x:f>"н/д"</x:f>
        <x:v>н/д</x:v>
      </x:c>
      <x:c r="AB79" s="21" t="str">
        <x:f>"н/д"</x:f>
        <x:v>н/д</x:v>
      </x:c>
      <x:c r="AC79" s="21" t="str">
        <x:f>IF(AND(J79="Рассчитано",T79&gt;0,R79&lt;100),(W79+P79+Q79)/(T79*(1-R79/100)),"н/д")</x:f>
        <x:v>н/д</x:v>
      </x:c>
      <x:c r="AD79" s="10" t="str">
        <x:f>IF(ISNUMBER(G79),IF(G79&lt;0,"Убыток",IF(G79=0,"Без прибыли","Прибыль &gt; 0")),"Не оценён")</x:f>
        <x:v>Не оценён</x:v>
      </x:c>
      <x:c r="AE79" s="13" t="str">
        <x:f>IF(J79="Рассчитано","Выручка "&amp;TEXT(V79,"0.00")&amp;" - себестоимость "&amp;TEXT(W79,"0.00")&amp;" - комиссия "&amp;TEXT(V79*R79/100,"0.00")&amp;" - доставка "&amp;TEXT(P79,"0.00")&amp;" - прочие "&amp;TEXT(Q79,"0.00")&amp;" = "&amp;TEXT(G79,"0.00")&amp;" "&amp;L79,"Введите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" s="24" t="n">
        <x:v>0</x:v>
      </x:c>
      <x:c r="AG79" s="37" t="n">
        <x:v>7</x:v>
      </x:c>
      <x:c r="AH79" s="37" t="n">
        <x:v>0</x:v>
      </x:c>
      <x:c r="AI79" s="30" t="n">
        <x:v>46266</x:v>
      </x:c>
      <x:c r="AJ79" s="37" t="n">
        <x:v>1</x:v>
      </x:c>
      <x:c r="AK79" s="10" t="str">
        <x:v>минимум</x:v>
      </x:c>
      <x:c r="AL79" s="32" t="str">
        <x:v>н/д</x:v>
      </x:c>
      <x:c r="AM7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9" s="13" t="str">
        <x:v>Проверить свободный остаток и установить цену для B2B</x:v>
      </x:c>
      <x:c r="AO79" s="13" t="str">
        <x:v>Остаток 7; прогноз 90 дней 0.00; избыток 7 шт. Будущие поступления не выставляются на продажу. Остаток на начало сентября: требуется актуализация.</x:v>
      </x:c>
      <x:c r="AP79" s="13" t="str">
        <x:v>["category_missing", "daily_stockout_data_missing", "new_order_lead_time_unknown", "reservations_unknown", "stale_stock"]</x:v>
      </x:c>
      <x:c r="AQ79" s="10" t="str">
        <x:v>IEK:010700145_</x:v>
      </x:c>
      <x:c r="AR79" s="24" t="n">
        <x:v>1</x:v>
      </x:c>
      <x:c r="AS79" s="24" t="n">
        <x:v>0</x:v>
      </x:c>
      <x:c r="AT79" s="24" t="n">
        <x:v>0</x:v>
      </x:c>
    </x:row>
    <x:row r="80" ht="64" customHeight="1">
      <x:c r="A80" s="11" t="str">
        <x:v>IEK</x:v>
      </x:c>
      <x:c r="B80" s="33" t="str">
        <x:v>010700146_</x:v>
      </x:c>
      <x:c r="C80" s="33" t="str">
        <x:v>AR-M06N-2-C025</x:v>
      </x:c>
      <x:c r="D80" s="12" t="str">
        <x:v>ARMAT (2ф) 25А C IEK (1)</x:v>
      </x:c>
      <x:c r="E80" s="11" t="str">
        <x:v>шт</x:v>
      </x:c>
      <x:c r="F80" s="35" t="n">
        <x:f>MAX(0,ROUNDDOWN((AG80-AF80)/AR80+0.000000001,0)*AR80)</x:f>
        <x:v>7</x:v>
      </x:c>
      <x:c r="G80" s="20" t="str">
        <x:f>IF(J80="Рассчитано",V80*(1-R80/100)-W80-P80-Q80,"н/д")</x:f>
        <x:v>н/д</x:v>
      </x:c>
      <x:c r="H80" s="12" t="str">
        <x:v>Высокий</x:v>
      </x:c>
      <x:c r="I80" s="12" t="str">
        <x:v>Средний</x:v>
      </x:c>
      <x:c r="J80" s="12" t="str">
        <x:f>IF(L80="","Укажите валюту",IF(NOT(ISNUMBER(K80)),"Укажите объём",IF(K80&lt;=0,"Укажите объём",IF(K80&gt;F80,"Объём выше излишка",IF(COUNT(M80:O80)&lt;3,"Нужны цены",IF(COUNT(P80:R80)&lt;3,"Нужны расходы",IF(OR(M80&lt;0,N80&lt;0,O80&lt;0,O80&gt;100,P80&lt;0,Q80&lt;0,R80&lt;0,R80&gt;100),"Проверьте значения","Рассчитано")))))))</x:f>
        <x:v>Нужны цены</x:v>
      </x:c>
      <x:c r="K80" s="36" t="n">
        <x:v>7</x:v>
      </x:c>
      <x:c r="L80" s="19" t="str">
        <x:v>KZT</x:v>
      </x:c>
      <x:c r="M80" s="22"/>
      <x:c r="N80" s="22"/>
      <x:c r="O80" s="28"/>
      <x:c r="P80" s="22"/>
      <x:c r="Q80" s="22"/>
      <x:c r="R80" s="28"/>
      <x:c r="S80" s="22"/>
      <x:c r="T80" s="35" t="n">
        <x:f>K80</x:f>
        <x:v>7</x:v>
      </x:c>
      <x:c r="U80" s="20" t="str">
        <x:f>IF(J80="Рассчитано",N80*(1-O80/100),"н/д")</x:f>
        <x:v>н/д</x:v>
      </x:c>
      <x:c r="V80" s="20" t="str">
        <x:f>IF(J80="Рассчитано",T80*U80,"н/д")</x:f>
        <x:v>н/д</x:v>
      </x:c>
      <x:c r="W80" s="20" t="str">
        <x:f>IF(J80="Рассчитано",T80*M80,"н/д")</x:f>
        <x:v>н/д</x:v>
      </x:c>
      <x:c r="X80" s="20" t="str">
        <x:f>IF(J80="Рассчитано",V80-W80,"н/д")</x:f>
        <x:v>н/д</x:v>
      </x:c>
      <x:c r="Y80" s="26" t="str">
        <x:f>IF(J80="Рассчитано",IF(V80&gt;0,G80/V80,"н/д"),"н/д")</x:f>
        <x:v>н/д</x:v>
      </x:c>
      <x:c r="Z80" s="20" t="str">
        <x:f>"н/д"</x:f>
        <x:v>н/д</x:v>
      </x:c>
      <x:c r="AA80" s="20" t="str">
        <x:f>"н/д"</x:f>
        <x:v>н/д</x:v>
      </x:c>
      <x:c r="AB80" s="20" t="str">
        <x:f>"н/д"</x:f>
        <x:v>н/д</x:v>
      </x:c>
      <x:c r="AC80" s="20" t="str">
        <x:f>IF(AND(J80="Рассчитано",T80&gt;0,R80&lt;100),(W80+P80+Q80)/(T80*(1-R80/100)),"н/д")</x:f>
        <x:v>н/д</x:v>
      </x:c>
      <x:c r="AD80" s="11" t="str">
        <x:f>IF(ISNUMBER(G80),IF(G80&lt;0,"Убыток",IF(G80=0,"Без прибыли","Прибыль &gt; 0")),"Не оценён")</x:f>
        <x:v>Не оценён</x:v>
      </x:c>
      <x:c r="AE80" s="12" t="str">
        <x:f>IF(J80="Рассчитано","Выручка "&amp;TEXT(V80,"0.00")&amp;" - себестоимость "&amp;TEXT(W80,"0.00")&amp;" - комиссия "&amp;TEXT(V80*R80/100,"0.00")&amp;" - доставка "&amp;TEXT(P80,"0.00")&amp;" - прочие "&amp;TEXT(Q80,"0.00")&amp;" = "&amp;TEXT(G80,"0.00")&amp;" "&amp;L80,"Введите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" s="23" t="n">
        <x:v>11.310931500928422</x:v>
      </x:c>
      <x:c r="AG80" s="35" t="n">
        <x:v>19</x:v>
      </x:c>
      <x:c r="AH80" s="35" t="n">
        <x:v>0</x:v>
      </x:c>
      <x:c r="AI80" s="29" t="n">
        <x:v>46266</x:v>
      </x:c>
      <x:c r="AJ80" s="35" t="n">
        <x:v>1</x:v>
      </x:c>
      <x:c r="AK80" s="11" t="str">
        <x:v>минимум</x:v>
      </x:c>
      <x:c r="AL80" s="31" t="n">
        <x:v>142.8480357342653</x:v>
      </x:c>
      <x:c r="AM80" s="12" t="str">
        <x:v>Остаток на начало сентября; Резервы неизвестны; Нет ежедневных данных доступности. Запас выше прогноза на 90 дней</x:v>
      </x:c>
      <x:c r="AN80" s="12" t="str">
        <x:v>Проверить свободный остаток и установить цену для B2B</x:v>
      </x:c>
      <x:c r="AO80" s="12" t="str">
        <x:v>Остаток 19; прогноз 90 дней 11.31; избыток 7 шт. Будущие поступления не выставляются на продажу. Остаток на начало сентября: требуется актуализация.</x:v>
      </x:c>
      <x:c r="AP80" s="12" t="str">
        <x:v>["category_missing", "daily_stockout_data_missing", "new_order_lead_time_unknown", "reservations_unknown", "stale_stock"]</x:v>
      </x:c>
      <x:c r="AQ80" s="11" t="str">
        <x:v>IEK:010700146_</x:v>
      </x:c>
      <x:c r="AR80" s="23" t="n">
        <x:v>1</x:v>
      </x:c>
      <x:c r="AS80" s="23" t="n">
        <x:v>0</x:v>
      </x:c>
      <x:c r="AT80" s="23" t="n">
        <x:v>0</x:v>
      </x:c>
    </x:row>
    <x:row r="81" ht="64" customHeight="1">
      <x:c r="A81" s="10" t="str">
        <x:v>IEK</x:v>
      </x:c>
      <x:c r="B81" s="34" t="str">
        <x:v>010700147_</x:v>
      </x:c>
      <x:c r="C81" s="34" t="str">
        <x:v>AR-M06N-2-C032</x:v>
      </x:c>
      <x:c r="D81" s="13" t="str">
        <x:v>ARMAT (2ф) 32А C IEK (1)</x:v>
      </x:c>
      <x:c r="E81" s="10" t="str">
        <x:v>шт</x:v>
      </x:c>
      <x:c r="F81" s="37" t="n">
        <x:f>MAX(0,ROUNDDOWN((AG81-AF81)/AR81+0.000000001,0)*AR81)</x:f>
        <x:v>5</x:v>
      </x:c>
      <x:c r="G81" s="21" t="str">
        <x:f>IF(J81="Рассчитано",V81*(1-R81/100)-W81-P81-Q81,"н/д")</x:f>
        <x:v>н/д</x:v>
      </x:c>
      <x:c r="H81" s="13" t="str">
        <x:v>Высокий</x:v>
      </x:c>
      <x:c r="I81" s="13" t="str">
        <x:v>Средний</x:v>
      </x:c>
      <x:c r="J81" s="13" t="str">
        <x:f>IF(L81="","Укажите валюту",IF(NOT(ISNUMBER(K81)),"Укажите объём",IF(K81&lt;=0,"Укажите объём",IF(K81&gt;F81,"Объём выше излишка",IF(COUNT(M81:O81)&lt;3,"Нужны цены",IF(COUNT(P81:R81)&lt;3,"Нужны расходы",IF(OR(M81&lt;0,N81&lt;0,O81&lt;0,O81&gt;100,P81&lt;0,Q81&lt;0,R81&lt;0,R81&gt;100),"Проверьте значения","Рассчитано")))))))</x:f>
        <x:v>Нужны цены</x:v>
      </x:c>
      <x:c r="K81" s="36" t="n">
        <x:v>5</x:v>
      </x:c>
      <x:c r="L81" s="19" t="str">
        <x:v>KZT</x:v>
      </x:c>
      <x:c r="M81" s="22"/>
      <x:c r="N81" s="22"/>
      <x:c r="O81" s="28"/>
      <x:c r="P81" s="22"/>
      <x:c r="Q81" s="22"/>
      <x:c r="R81" s="28"/>
      <x:c r="S81" s="22"/>
      <x:c r="T81" s="37" t="n">
        <x:f>K81</x:f>
        <x:v>5</x:v>
      </x:c>
      <x:c r="U81" s="21" t="str">
        <x:f>IF(J81="Рассчитано",N81*(1-O81/100),"н/д")</x:f>
        <x:v>н/д</x:v>
      </x:c>
      <x:c r="V81" s="21" t="str">
        <x:f>IF(J81="Рассчитано",T81*U81,"н/д")</x:f>
        <x:v>н/д</x:v>
      </x:c>
      <x:c r="W81" s="21" t="str">
        <x:f>IF(J81="Рассчитано",T81*M81,"н/д")</x:f>
        <x:v>н/д</x:v>
      </x:c>
      <x:c r="X81" s="21" t="str">
        <x:f>IF(J81="Рассчитано",V81-W81,"н/д")</x:f>
        <x:v>н/д</x:v>
      </x:c>
      <x:c r="Y81" s="27" t="str">
        <x:f>IF(J81="Рассчитано",IF(V81&gt;0,G81/V81,"н/д"),"н/д")</x:f>
        <x:v>н/д</x:v>
      </x:c>
      <x:c r="Z81" s="21" t="str">
        <x:f>"н/д"</x:f>
        <x:v>н/д</x:v>
      </x:c>
      <x:c r="AA81" s="21" t="str">
        <x:f>"н/д"</x:f>
        <x:v>н/д</x:v>
      </x:c>
      <x:c r="AB81" s="21" t="str">
        <x:f>"н/д"</x:f>
        <x:v>н/д</x:v>
      </x:c>
      <x:c r="AC81" s="21" t="str">
        <x:f>IF(AND(J81="Рассчитано",T81&gt;0,R81&lt;100),(W81+P81+Q81)/(T81*(1-R81/100)),"н/д")</x:f>
        <x:v>н/д</x:v>
      </x:c>
      <x:c r="AD81" s="10" t="str">
        <x:f>IF(ISNUMBER(G81),IF(G81&lt;0,"Убыток",IF(G81=0,"Без прибыли","Прибыль &gt; 0")),"Не оценён")</x:f>
        <x:v>Не оценён</x:v>
      </x:c>
      <x:c r="AE81" s="13" t="str">
        <x:f>IF(J81="Рассчитано","Выручка "&amp;TEXT(V81,"0.00")&amp;" - себестоимость "&amp;TEXT(W81,"0.00")&amp;" - комиссия "&amp;TEXT(V81*R81/100,"0.00")&amp;" - доставка "&amp;TEXT(P81,"0.00")&amp;" - прочие "&amp;TEXT(Q81,"0.00")&amp;" = "&amp;TEXT(G81,"0.00")&amp;" "&amp;L81,"Введите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" s="24" t="n">
        <x:v>7.263088080398891</x:v>
      </x:c>
      <x:c r="AG81" s="37" t="n">
        <x:v>13</x:v>
      </x:c>
      <x:c r="AH81" s="37" t="n">
        <x:v>0</x:v>
      </x:c>
      <x:c r="AI81" s="30" t="n">
        <x:v>46266</x:v>
      </x:c>
      <x:c r="AJ81" s="37" t="n">
        <x:v>1</x:v>
      </x:c>
      <x:c r="AK81" s="10" t="str">
        <x:v>минимум</x:v>
      </x:c>
      <x:c r="AL81" s="32" t="n">
        <x:v>152.209263879802</x:v>
      </x:c>
      <x:c r="AM81" s="13" t="str">
        <x:v>Остаток на начало сентября; Резервы неизвестны; Нет ежедневных данных доступности. Запас выше прогноза на 90 дней</x:v>
      </x:c>
      <x:c r="AN81" s="13" t="str">
        <x:v>Проверить свободный остаток и установить цену для B2B</x:v>
      </x:c>
      <x:c r="AO81" s="13" t="str">
        <x:v>Остаток 13; прогноз 90 дней 7.26; избыток 5 шт. Будущие поступления не выставляются на продажу. Остаток на начало сентября: требуется актуализация.</x:v>
      </x:c>
      <x:c r="AP81" s="13" t="str">
        <x:v>["category_missing", "daily_stockout_data_missing", "new_order_lead_time_unknown", "reservations_unknown", "stale_stock"]</x:v>
      </x:c>
      <x:c r="AQ81" s="10" t="str">
        <x:v>IEK:010700147_</x:v>
      </x:c>
      <x:c r="AR81" s="24" t="n">
        <x:v>1</x:v>
      </x:c>
      <x:c r="AS81" s="24" t="n">
        <x:v>0</x:v>
      </x:c>
      <x:c r="AT81" s="24" t="n">
        <x:v>0</x:v>
      </x:c>
    </x:row>
    <x:row r="82" ht="64" customHeight="1">
      <x:c r="A82" s="11" t="str">
        <x:v>IEK</x:v>
      </x:c>
      <x:c r="B82" s="33" t="str">
        <x:v>010700149_</x:v>
      </x:c>
      <x:c r="C82" s="33" t="str">
        <x:v>AR-M06N-2-C050</x:v>
      </x:c>
      <x:c r="D82" s="12" t="str">
        <x:v>ARMAT (2ф) 50А C IEK (1)</x:v>
      </x:c>
      <x:c r="E82" s="11" t="str">
        <x:v>шт</x:v>
      </x:c>
      <x:c r="F82" s="35" t="n">
        <x:f>MAX(0,ROUNDDOWN((AG82-AF82)/AR82+0.000000001,0)*AR82)</x:f>
        <x:v>4</x:v>
      </x:c>
      <x:c r="G82" s="20" t="str">
        <x:f>IF(J82="Рассчитано",V82*(1-R82/100)-W82-P82-Q82,"н/д")</x:f>
        <x:v>н/д</x:v>
      </x:c>
      <x:c r="H82" s="12" t="str">
        <x:v>Высокий</x:v>
      </x:c>
      <x:c r="I82" s="12" t="str">
        <x:v>Высокий</x:v>
      </x:c>
      <x:c r="J82" s="12" t="str">
        <x:f>IF(L82="","Укажите валюту",IF(NOT(ISNUMBER(K82)),"Укажите объём",IF(K82&lt;=0,"Укажите объём",IF(K82&gt;F82,"Объём выше излишка",IF(COUNT(M82:O82)&lt;3,"Нужны цены",IF(COUNT(P82:R82)&lt;3,"Нужны расходы",IF(OR(M82&lt;0,N82&lt;0,O82&lt;0,O82&gt;100,P82&lt;0,Q82&lt;0,R82&lt;0,R82&gt;100),"Проверьте значения","Рассчитано")))))))</x:f>
        <x:v>Нужны цены</x:v>
      </x:c>
      <x:c r="K82" s="36" t="n">
        <x:v>4</x:v>
      </x:c>
      <x:c r="L82" s="19" t="str">
        <x:v>KZT</x:v>
      </x:c>
      <x:c r="M82" s="22"/>
      <x:c r="N82" s="22"/>
      <x:c r="O82" s="28"/>
      <x:c r="P82" s="22"/>
      <x:c r="Q82" s="22"/>
      <x:c r="R82" s="28"/>
      <x:c r="S82" s="22"/>
      <x:c r="T82" s="35" t="n">
        <x:f>K82</x:f>
        <x:v>4</x:v>
      </x:c>
      <x:c r="U82" s="20" t="str">
        <x:f>IF(J82="Рассчитано",N82*(1-O82/100),"н/д")</x:f>
        <x:v>н/д</x:v>
      </x:c>
      <x:c r="V82" s="20" t="str">
        <x:f>IF(J82="Рассчитано",T82*U82,"н/д")</x:f>
        <x:v>н/д</x:v>
      </x:c>
      <x:c r="W82" s="20" t="str">
        <x:f>IF(J82="Рассчитано",T82*M82,"н/д")</x:f>
        <x:v>н/д</x:v>
      </x:c>
      <x:c r="X82" s="20" t="str">
        <x:f>IF(J82="Рассчитано",V82-W82,"н/д")</x:f>
        <x:v>н/д</x:v>
      </x:c>
      <x:c r="Y82" s="26" t="str">
        <x:f>IF(J82="Рассчитано",IF(V82&gt;0,G82/V82,"н/д"),"н/д")</x:f>
        <x:v>н/д</x:v>
      </x:c>
      <x:c r="Z82" s="20" t="str">
        <x:f>"н/д"</x:f>
        <x:v>н/д</x:v>
      </x:c>
      <x:c r="AA82" s="20" t="str">
        <x:f>"н/д"</x:f>
        <x:v>н/д</x:v>
      </x:c>
      <x:c r="AB82" s="20" t="str">
        <x:f>"н/д"</x:f>
        <x:v>н/д</x:v>
      </x:c>
      <x:c r="AC82" s="20" t="str">
        <x:f>IF(AND(J82="Рассчитано",T82&gt;0,R82&lt;100),(W82+P82+Q82)/(T82*(1-R82/100)),"н/д")</x:f>
        <x:v>н/д</x:v>
      </x:c>
      <x:c r="AD82" s="11" t="str">
        <x:f>IF(ISNUMBER(G82),IF(G82&lt;0,"Убыток",IF(G82=0,"Без прибыли","Прибыль &gt; 0")),"Не оценён")</x:f>
        <x:v>Не оценён</x:v>
      </x:c>
      <x:c r="AE82" s="12" t="str">
        <x:f>IF(J82="Рассчитано","Выручка "&amp;TEXT(V82,"0.00")&amp;" - себестоимость "&amp;TEXT(W82,"0.00")&amp;" - комиссия "&amp;TEXT(V82*R82/100,"0.00")&amp;" - доставка "&amp;TEXT(P82,"0.00")&amp;" - прочие "&amp;TEXT(Q82,"0.00")&amp;" = "&amp;TEXT(G82,"0.00")&amp;" "&amp;L82,"Введите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" s="23" t="n">
        <x:v>1.4486615641604417</x:v>
      </x:c>
      <x:c r="AG82" s="35" t="n">
        <x:v>6</x:v>
      </x:c>
      <x:c r="AH82" s="35" t="n">
        <x:v>0</x:v>
      </x:c>
      <x:c r="AI82" s="29" t="n">
        <x:v>46266</x:v>
      </x:c>
      <x:c r="AJ82" s="35" t="n">
        <x:v>1</x:v>
      </x:c>
      <x:c r="AK82" s="11" t="str">
        <x:v>минимум</x:v>
      </x:c>
      <x:c r="AL82" s="31" t="n">
        <x:v>352.211358155607</x:v>
      </x:c>
      <x:c r="AM8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2" s="12" t="str">
        <x:v>Проверить свободный остаток и установить цену для B2B</x:v>
      </x:c>
      <x:c r="AO82" s="12" t="str">
        <x:v>Остаток 6; прогноз 90 дней 1.45; избыток 4 шт. Будущие поступления не выставляются на продажу. Остаток на начало сентября: требуется актуализация.</x:v>
      </x:c>
      <x:c r="AP82" s="12" t="str">
        <x:v>["category_missing", "daily_stockout_data_missing", "new_order_lead_time_unknown", "reservations_unknown", "stale_stock"]</x:v>
      </x:c>
      <x:c r="AQ82" s="11" t="str">
        <x:v>IEK:010700149_</x:v>
      </x:c>
      <x:c r="AR82" s="23" t="n">
        <x:v>1</x:v>
      </x:c>
      <x:c r="AS82" s="23" t="n">
        <x:v>0</x:v>
      </x:c>
      <x:c r="AT82" s="23" t="n">
        <x:v>0</x:v>
      </x:c>
    </x:row>
    <x:row r="83" ht="64" customHeight="1">
      <x:c r="A83" s="10" t="str">
        <x:v>IEK</x:v>
      </x:c>
      <x:c r="B83" s="34" t="str">
        <x:v>010700150_</x:v>
      </x:c>
      <x:c r="C83" s="34" t="str">
        <x:v>AR-M06N-2-C063</x:v>
      </x:c>
      <x:c r="D83" s="13" t="str">
        <x:v>ARMAT (2ф) 63А C IEK (1)</x:v>
      </x:c>
      <x:c r="E83" s="10" t="str">
        <x:v>шт</x:v>
      </x:c>
      <x:c r="F83" s="37" t="n">
        <x:f>MAX(0,ROUNDDOWN((AG83-AF83)/AR83+0.000000001,0)*AR83)</x:f>
        <x:v>2</x:v>
      </x:c>
      <x:c r="G83" s="21" t="str">
        <x:f>IF(J83="Рассчитано",V83*(1-R83/100)-W83-P83-Q83,"н/д")</x:f>
        <x:v>н/д</x:v>
      </x:c>
      <x:c r="H83" s="13" t="str">
        <x:v>Высокий</x:v>
      </x:c>
      <x:c r="I83" s="13" t="str">
        <x:v>Высокий</x:v>
      </x:c>
      <x:c r="J83" s="13" t="str">
        <x:f>IF(L83="","Укажите валюту",IF(NOT(ISNUMBER(K83)),"Укажите объём",IF(K83&lt;=0,"Укажите объём",IF(K83&gt;F83,"Объём выше излишка",IF(COUNT(M83:O83)&lt;3,"Нужны цены",IF(COUNT(P83:R83)&lt;3,"Нужны расходы",IF(OR(M83&lt;0,N83&lt;0,O83&lt;0,O83&gt;100,P83&lt;0,Q83&lt;0,R83&lt;0,R83&gt;100),"Проверьте значения","Рассчитано")))))))</x:f>
        <x:v>Нужны цены</x:v>
      </x:c>
      <x:c r="K83" s="36" t="n">
        <x:v>2</x:v>
      </x:c>
      <x:c r="L83" s="19" t="str">
        <x:v>KZT</x:v>
      </x:c>
      <x:c r="M83" s="22"/>
      <x:c r="N83" s="22"/>
      <x:c r="O83" s="28"/>
      <x:c r="P83" s="22"/>
      <x:c r="Q83" s="22"/>
      <x:c r="R83" s="28"/>
      <x:c r="S83" s="22"/>
      <x:c r="T83" s="37" t="n">
        <x:f>K83</x:f>
        <x:v>2</x:v>
      </x:c>
      <x:c r="U83" s="21" t="str">
        <x:f>IF(J83="Рассчитано",N83*(1-O83/100),"н/д")</x:f>
        <x:v>н/д</x:v>
      </x:c>
      <x:c r="V83" s="21" t="str">
        <x:f>IF(J83="Рассчитано",T83*U83,"н/д")</x:f>
        <x:v>н/д</x:v>
      </x:c>
      <x:c r="W83" s="21" t="str">
        <x:f>IF(J83="Рассчитано",T83*M83,"н/д")</x:f>
        <x:v>н/д</x:v>
      </x:c>
      <x:c r="X83" s="21" t="str">
        <x:f>IF(J83="Рассчитано",V83-W83,"н/д")</x:f>
        <x:v>н/д</x:v>
      </x:c>
      <x:c r="Y83" s="27" t="str">
        <x:f>IF(J83="Рассчитано",IF(V83&gt;0,G83/V83,"н/д"),"н/д")</x:f>
        <x:v>н/д</x:v>
      </x:c>
      <x:c r="Z83" s="21" t="str">
        <x:f>"н/д"</x:f>
        <x:v>н/д</x:v>
      </x:c>
      <x:c r="AA83" s="21" t="str">
        <x:f>"н/д"</x:f>
        <x:v>н/д</x:v>
      </x:c>
      <x:c r="AB83" s="21" t="str">
        <x:f>"н/д"</x:f>
        <x:v>н/д</x:v>
      </x:c>
      <x:c r="AC83" s="21" t="str">
        <x:f>IF(AND(J83="Рассчитано",T83&gt;0,R83&lt;100),(W83+P83+Q83)/(T83*(1-R83/100)),"н/д")</x:f>
        <x:v>н/д</x:v>
      </x:c>
      <x:c r="AD83" s="10" t="str">
        <x:f>IF(ISNUMBER(G83),IF(G83&lt;0,"Убыток",IF(G83=0,"Без прибыли","Прибыль &gt; 0")),"Не оценён")</x:f>
        <x:v>Не оценён</x:v>
      </x:c>
      <x:c r="AE83" s="13" t="str">
        <x:f>IF(J83="Рассчитано","Выручка "&amp;TEXT(V83,"0.00")&amp;" - себестоимость "&amp;TEXT(W83,"0.00")&amp;" - комиссия "&amp;TEXT(V83*R83/100,"0.00")&amp;" - доставка "&amp;TEXT(P83,"0.00")&amp;" - прочие "&amp;TEXT(Q83,"0.00")&amp;" = "&amp;TEXT(G83,"0.00")&amp;" "&amp;L83,"Введите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" s="24" t="n">
        <x:v>1.5745394655707623</x:v>
      </x:c>
      <x:c r="AG83" s="37" t="n">
        <x:v>4</x:v>
      </x:c>
      <x:c r="AH83" s="37" t="n">
        <x:v>0</x:v>
      </x:c>
      <x:c r="AI83" s="30" t="n">
        <x:v>46266</x:v>
      </x:c>
      <x:c r="AJ83" s="37" t="n">
        <x:v>1</x:v>
      </x:c>
      <x:c r="AK83" s="10" t="str">
        <x:v>минимум</x:v>
      </x:c>
      <x:c r="AL83" s="32" t="n">
        <x:v>216.0356803487369</x:v>
      </x:c>
      <x:c r="AM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3" s="13" t="str">
        <x:v>Проверить свободный остаток и установить цену для B2B</x:v>
      </x:c>
      <x:c r="AO83" s="13" t="str">
        <x:v>Остаток 4; прогноз 90 дней 1.57; избыток 2 шт. Будущие поступления не выставляются на продажу. Остаток на начало сентября: требуется актуализация.</x:v>
      </x:c>
      <x:c r="AP83" s="13" t="str">
        <x:v>["category_missing", "daily_stockout_data_missing", "new_order_lead_time_unknown", "reservations_unknown", "stale_stock"]</x:v>
      </x:c>
      <x:c r="AQ83" s="10" t="str">
        <x:v>IEK:010700150_</x:v>
      </x:c>
      <x:c r="AR83" s="24" t="n">
        <x:v>1</x:v>
      </x:c>
      <x:c r="AS83" s="24" t="n">
        <x:v>0</x:v>
      </x:c>
      <x:c r="AT83" s="24" t="n">
        <x:v>0</x:v>
      </x:c>
    </x:row>
    <x:row r="84" ht="64" customHeight="1">
      <x:c r="A84" s="11" t="str">
        <x:v>IEK</x:v>
      </x:c>
      <x:c r="B84" s="33" t="str">
        <x:v>010700151_</x:v>
      </x:c>
      <x:c r="C84" s="33" t="str">
        <x:v>AR-M06N-3-C006</x:v>
      </x:c>
      <x:c r="D84" s="12" t="str">
        <x:v>ARMAT (3ф) 6А C IEK (1)</x:v>
      </x:c>
      <x:c r="E84" s="11" t="str">
        <x:v>шт</x:v>
      </x:c>
      <x:c r="F84" s="35" t="n">
        <x:f>MAX(0,ROUNDDOWN((AG84-AF84)/AR84+0.000000001,0)*AR84)</x:f>
        <x:v>7</x:v>
      </x:c>
      <x:c r="G84" s="20" t="str">
        <x:f>IF(J84="Рассчитано",V84*(1-R84/100)-W84-P84-Q84,"н/д")</x:f>
        <x:v>н/д</x:v>
      </x:c>
      <x:c r="H84" s="12" t="str">
        <x:v>Высокий</x:v>
      </x:c>
      <x:c r="I84" s="12" t="str">
        <x:v>Высокий</x:v>
      </x:c>
      <x:c r="J84" s="12" t="str">
        <x:f>IF(L84="","Укажите валюту",IF(NOT(ISNUMBER(K84)),"Укажите объём",IF(K84&lt;=0,"Укажите объём",IF(K84&gt;F84,"Объём выше излишка",IF(COUNT(M84:O84)&lt;3,"Нужны цены",IF(COUNT(P84:R84)&lt;3,"Нужны расходы",IF(OR(M84&lt;0,N84&lt;0,O84&lt;0,O84&gt;100,P84&lt;0,Q84&lt;0,R84&lt;0,R84&gt;100),"Проверьте значения","Рассчитано")))))))</x:f>
        <x:v>Нужны цены</x:v>
      </x:c>
      <x:c r="K84" s="36" t="n">
        <x:v>7</x:v>
      </x:c>
      <x:c r="L84" s="19" t="str">
        <x:v>KZT</x:v>
      </x:c>
      <x:c r="M84" s="22"/>
      <x:c r="N84" s="22"/>
      <x:c r="O84" s="28"/>
      <x:c r="P84" s="22"/>
      <x:c r="Q84" s="22"/>
      <x:c r="R84" s="28"/>
      <x:c r="S84" s="22"/>
      <x:c r="T84" s="35" t="n">
        <x:f>K84</x:f>
        <x:v>7</x:v>
      </x:c>
      <x:c r="U84" s="20" t="str">
        <x:f>IF(J84="Рассчитано",N84*(1-O84/100),"н/д")</x:f>
        <x:v>н/д</x:v>
      </x:c>
      <x:c r="V84" s="20" t="str">
        <x:f>IF(J84="Рассчитано",T84*U84,"н/д")</x:f>
        <x:v>н/д</x:v>
      </x:c>
      <x:c r="W84" s="20" t="str">
        <x:f>IF(J84="Рассчитано",T84*M84,"н/д")</x:f>
        <x:v>н/д</x:v>
      </x:c>
      <x:c r="X84" s="20" t="str">
        <x:f>IF(J84="Рассчитано",V84-W84,"н/д")</x:f>
        <x:v>н/д</x:v>
      </x:c>
      <x:c r="Y84" s="26" t="str">
        <x:f>IF(J84="Рассчитано",IF(V84&gt;0,G84/V84,"н/д"),"н/д")</x:f>
        <x:v>н/д</x:v>
      </x:c>
      <x:c r="Z84" s="20" t="str">
        <x:f>"н/д"</x:f>
        <x:v>н/д</x:v>
      </x:c>
      <x:c r="AA84" s="20" t="str">
        <x:f>"н/д"</x:f>
        <x:v>н/д</x:v>
      </x:c>
      <x:c r="AB84" s="20" t="str">
        <x:f>"н/д"</x:f>
        <x:v>н/д</x:v>
      </x:c>
      <x:c r="AC84" s="20" t="str">
        <x:f>IF(AND(J84="Рассчитано",T84&gt;0,R84&lt;100),(W84+P84+Q84)/(T84*(1-R84/100)),"н/д")</x:f>
        <x:v>н/д</x:v>
      </x:c>
      <x:c r="AD84" s="11" t="str">
        <x:f>IF(ISNUMBER(G84),IF(G84&lt;0,"Убыток",IF(G84=0,"Без прибыли","Прибыль &gt; 0")),"Не оценён")</x:f>
        <x:v>Не оценён</x:v>
      </x:c>
      <x:c r="AE84" s="12" t="str">
        <x:f>IF(J84="Рассчитано","Выручка "&amp;TEXT(V84,"0.00")&amp;" - себестоимость "&amp;TEXT(W84,"0.00")&amp;" - комиссия "&amp;TEXT(V84*R84/100,"0.00")&amp;" - доставка "&amp;TEXT(P84,"0.00")&amp;" - прочие "&amp;TEXT(Q84,"0.00")&amp;" = "&amp;TEXT(G84,"0.00")&amp;" "&amp;L84,"Введите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" s="23" t="n">
        <x:v>0</x:v>
      </x:c>
      <x:c r="AG84" s="35" t="n">
        <x:v>7</x:v>
      </x:c>
      <x:c r="AH84" s="35" t="n">
        <x:v>0</x:v>
      </x:c>
      <x:c r="AI84" s="29" t="n">
        <x:v>46266</x:v>
      </x:c>
      <x:c r="AJ84" s="35" t="n">
        <x:v>1</x:v>
      </x:c>
      <x:c r="AK84" s="11" t="str">
        <x:v>минимум</x:v>
      </x:c>
      <x:c r="AL84" s="31" t="str">
        <x:v>н/д</x:v>
      </x:c>
      <x:c r="AM8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84" s="12" t="str">
        <x:v>Проверить свободный остаток и установить цену для B2B</x:v>
      </x:c>
      <x:c r="AO84" s="12" t="str">
        <x:v>Остаток 7; прогноз 90 дней 0.00; избыток 7 шт. Будущие поступления не выставляются на продажу. Остаток на начало сентября: требуется актуализация.</x:v>
      </x:c>
      <x:c r="AP84" s="12" t="str">
        <x:v>["category_missing", "daily_stockout_data_missing", "new_order_lead_time_unknown", "reservations_unknown", "stale_stock"]</x:v>
      </x:c>
      <x:c r="AQ84" s="11" t="str">
        <x:v>IEK:010700151_</x:v>
      </x:c>
      <x:c r="AR84" s="23" t="n">
        <x:v>1</x:v>
      </x:c>
      <x:c r="AS84" s="23" t="n">
        <x:v>0</x:v>
      </x:c>
      <x:c r="AT84" s="23" t="n">
        <x:v>0</x:v>
      </x:c>
    </x:row>
    <x:row r="85" ht="64" customHeight="1">
      <x:c r="A85" s="10" t="str">
        <x:v>IEK</x:v>
      </x:c>
      <x:c r="B85" s="34" t="str">
        <x:v>010700154_</x:v>
      </x:c>
      <x:c r="C85" s="34" t="str">
        <x:v>AR-M06N-3-C020</x:v>
      </x:c>
      <x:c r="D85" s="13" t="str">
        <x:v>ARMAT (3ф) 20А C IEK (1)</x:v>
      </x:c>
      <x:c r="E85" s="10" t="str">
        <x:v>шт</x:v>
      </x:c>
      <x:c r="F85" s="37" t="n">
        <x:f>MAX(0,ROUNDDOWN((AG85-AF85)/AR85+0.000000001,0)*AR85)</x:f>
        <x:v>6</x:v>
      </x:c>
      <x:c r="G85" s="21" t="str">
        <x:f>IF(J85="Рассчитано",V85*(1-R85/100)-W85-P85-Q85,"н/д")</x:f>
        <x:v>н/д</x:v>
      </x:c>
      <x:c r="H85" s="13" t="str">
        <x:v>Высокий</x:v>
      </x:c>
      <x:c r="I85" s="13" t="str">
        <x:v>Высокий</x:v>
      </x:c>
      <x:c r="J85" s="13" t="str">
        <x:f>IF(L85="","Укажите валюту",IF(NOT(ISNUMBER(K85)),"Укажите объём",IF(K85&lt;=0,"Укажите объём",IF(K85&gt;F85,"Объём выше излишка",IF(COUNT(M85:O85)&lt;3,"Нужны цены",IF(COUNT(P85:R85)&lt;3,"Нужны расходы",IF(OR(M85&lt;0,N85&lt;0,O85&lt;0,O85&gt;100,P85&lt;0,Q85&lt;0,R85&lt;0,R85&gt;100),"Проверьте значения","Рассчитано")))))))</x:f>
        <x:v>Нужны цены</x:v>
      </x:c>
      <x:c r="K85" s="36" t="n">
        <x:v>6</x:v>
      </x:c>
      <x:c r="L85" s="19" t="str">
        <x:v>KZT</x:v>
      </x:c>
      <x:c r="M85" s="22"/>
      <x:c r="N85" s="22"/>
      <x:c r="O85" s="28"/>
      <x:c r="P85" s="22"/>
      <x:c r="Q85" s="22"/>
      <x:c r="R85" s="28"/>
      <x:c r="S85" s="22"/>
      <x:c r="T85" s="37" t="n">
        <x:f>K85</x:f>
        <x:v>6</x:v>
      </x:c>
      <x:c r="U85" s="21" t="str">
        <x:f>IF(J85="Рассчитано",N85*(1-O85/100),"н/д")</x:f>
        <x:v>н/д</x:v>
      </x:c>
      <x:c r="V85" s="21" t="str">
        <x:f>IF(J85="Рассчитано",T85*U85,"н/д")</x:f>
        <x:v>н/д</x:v>
      </x:c>
      <x:c r="W85" s="21" t="str">
        <x:f>IF(J85="Рассчитано",T85*M85,"н/д")</x:f>
        <x:v>н/д</x:v>
      </x:c>
      <x:c r="X85" s="21" t="str">
        <x:f>IF(J85="Рассчитано",V85-W85,"н/д")</x:f>
        <x:v>н/д</x:v>
      </x:c>
      <x:c r="Y85" s="27" t="str">
        <x:f>IF(J85="Рассчитано",IF(V85&gt;0,G85/V85,"н/д"),"н/д")</x:f>
        <x:v>н/д</x:v>
      </x:c>
      <x:c r="Z85" s="21" t="str">
        <x:f>"н/д"</x:f>
        <x:v>н/д</x:v>
      </x:c>
      <x:c r="AA85" s="21" t="str">
        <x:f>"н/д"</x:f>
        <x:v>н/д</x:v>
      </x:c>
      <x:c r="AB85" s="21" t="str">
        <x:f>"н/д"</x:f>
        <x:v>н/д</x:v>
      </x:c>
      <x:c r="AC85" s="21" t="str">
        <x:f>IF(AND(J85="Рассчитано",T85&gt;0,R85&lt;100),(W85+P85+Q85)/(T85*(1-R85/100)),"н/д")</x:f>
        <x:v>н/д</x:v>
      </x:c>
      <x:c r="AD85" s="10" t="str">
        <x:f>IF(ISNUMBER(G85),IF(G85&lt;0,"Убыток",IF(G85=0,"Без прибыли","Прибыль &gt; 0")),"Не оценён")</x:f>
        <x:v>Не оценён</x:v>
      </x:c>
      <x:c r="AE85" s="13" t="str">
        <x:f>IF(J85="Рассчитано","Выручка "&amp;TEXT(V85,"0.00")&amp;" - себестоимость "&amp;TEXT(W85,"0.00")&amp;" - комиссия "&amp;TEXT(V85*R85/100,"0.00")&amp;" - доставка "&amp;TEXT(P85,"0.00")&amp;" - прочие "&amp;TEXT(Q85,"0.00")&amp;" = "&amp;TEXT(G85,"0.00")&amp;" "&amp;L85,"Введите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" s="24" t="n">
        <x:v>0.13018071613502077</x:v>
      </x:c>
      <x:c r="AG85" s="37" t="n">
        <x:v>7</x:v>
      </x:c>
      <x:c r="AH85" s="37" t="n">
        <x:v>0</x:v>
      </x:c>
      <x:c r="AI85" s="30" t="n">
        <x:v>46266</x:v>
      </x:c>
      <x:c r="AJ85" s="37" t="n">
        <x:v>1</x:v>
      </x:c>
      <x:c r="AK85" s="10" t="str">
        <x:v>минимум</x:v>
      </x:c>
      <x:c r="AL85" s="32" t="n">
        <x:v>4572.675975860339</x:v>
      </x:c>
      <x:c r="AM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5" s="13" t="str">
        <x:v>Проверить свободный остаток и установить цену для B2B</x:v>
      </x:c>
      <x:c r="AO85" s="13" t="str">
        <x:v>Остаток 7; прогноз 90 дней 0.13; избыток 6 шт. Будущие поступления не выставляются на продажу. Остаток на начало сентября: требуется актуализация.</x:v>
      </x:c>
      <x:c r="AP85" s="13" t="str">
        <x:v>["category_missing", "daily_stockout_data_missing", "new_order_lead_time_unknown", "reservations_unknown", "stale_stock"]</x:v>
      </x:c>
      <x:c r="AQ85" s="10" t="str">
        <x:v>IEK:010700154_</x:v>
      </x:c>
      <x:c r="AR85" s="24" t="n">
        <x:v>1</x:v>
      </x:c>
      <x:c r="AS85" s="24" t="n">
        <x:v>0</x:v>
      </x:c>
      <x:c r="AT85" s="24" t="n">
        <x:v>0</x:v>
      </x:c>
    </x:row>
    <x:row r="86" ht="64" customHeight="1">
      <x:c r="A86" s="11" t="str">
        <x:v>IEK</x:v>
      </x:c>
      <x:c r="B86" s="33" t="str">
        <x:v>010700156_</x:v>
      </x:c>
      <x:c r="C86" s="33" t="str">
        <x:v>AR-M06N-3-C032</x:v>
      </x:c>
      <x:c r="D86" s="12" t="str">
        <x:v>ARMAT (3ф) 32А C IEK (1)</x:v>
      </x:c>
      <x:c r="E86" s="11" t="str">
        <x:v>шт</x:v>
      </x:c>
      <x:c r="F86" s="35" t="n">
        <x:f>MAX(0,ROUNDDOWN((AG86-AF86)/AR86+0.000000001,0)*AR86)</x:f>
        <x:v>9</x:v>
      </x:c>
      <x:c r="G86" s="20" t="str">
        <x:f>IF(J86="Рассчитано",V86*(1-R86/100)-W86-P86-Q86,"н/д")</x:f>
        <x:v>н/д</x:v>
      </x:c>
      <x:c r="H86" s="12" t="str">
        <x:v>Высокий</x:v>
      </x:c>
      <x:c r="I86" s="12" t="str">
        <x:v>Средний</x:v>
      </x:c>
      <x:c r="J86" s="12" t="str">
        <x:f>IF(L86="","Укажите валюту",IF(NOT(ISNUMBER(K86)),"Укажите объём",IF(K86&lt;=0,"Укажите объём",IF(K86&gt;F86,"Объём выше излишка",IF(COUNT(M86:O86)&lt;3,"Нужны цены",IF(COUNT(P86:R86)&lt;3,"Нужны расходы",IF(OR(M86&lt;0,N86&lt;0,O86&lt;0,O86&gt;100,P86&lt;0,Q86&lt;0,R86&lt;0,R86&gt;100),"Проверьте значения","Рассчитано")))))))</x:f>
        <x:v>Нужны цены</x:v>
      </x:c>
      <x:c r="K86" s="36" t="n">
        <x:v>9</x:v>
      </x:c>
      <x:c r="L86" s="19" t="str">
        <x:v>KZT</x:v>
      </x:c>
      <x:c r="M86" s="22"/>
      <x:c r="N86" s="22"/>
      <x:c r="O86" s="28"/>
      <x:c r="P86" s="22"/>
      <x:c r="Q86" s="22"/>
      <x:c r="R86" s="28"/>
      <x:c r="S86" s="22"/>
      <x:c r="T86" s="35" t="n">
        <x:f>K86</x:f>
        <x:v>9</x:v>
      </x:c>
      <x:c r="U86" s="20" t="str">
        <x:f>IF(J86="Рассчитано",N86*(1-O86/100),"н/д")</x:f>
        <x:v>н/д</x:v>
      </x:c>
      <x:c r="V86" s="20" t="str">
        <x:f>IF(J86="Рассчитано",T86*U86,"н/д")</x:f>
        <x:v>н/д</x:v>
      </x:c>
      <x:c r="W86" s="20" t="str">
        <x:f>IF(J86="Рассчитано",T86*M86,"н/д")</x:f>
        <x:v>н/д</x:v>
      </x:c>
      <x:c r="X86" s="20" t="str">
        <x:f>IF(J86="Рассчитано",V86-W86,"н/д")</x:f>
        <x:v>н/д</x:v>
      </x:c>
      <x:c r="Y86" s="26" t="str">
        <x:f>IF(J86="Рассчитано",IF(V86&gt;0,G86/V86,"н/д"),"н/д")</x:f>
        <x:v>н/д</x:v>
      </x:c>
      <x:c r="Z86" s="20" t="str">
        <x:f>"н/д"</x:f>
        <x:v>н/д</x:v>
      </x:c>
      <x:c r="AA86" s="20" t="str">
        <x:f>"н/д"</x:f>
        <x:v>н/д</x:v>
      </x:c>
      <x:c r="AB86" s="20" t="str">
        <x:f>"н/д"</x:f>
        <x:v>н/д</x:v>
      </x:c>
      <x:c r="AC86" s="20" t="str">
        <x:f>IF(AND(J86="Рассчитано",T86&gt;0,R86&lt;100),(W86+P86+Q86)/(T86*(1-R86/100)),"н/д")</x:f>
        <x:v>н/д</x:v>
      </x:c>
      <x:c r="AD86" s="11" t="str">
        <x:f>IF(ISNUMBER(G86),IF(G86&lt;0,"Убыток",IF(G86=0,"Без прибыли","Прибыль &gt; 0")),"Не оценён")</x:f>
        <x:v>Не оценён</x:v>
      </x:c>
      <x:c r="AE86" s="12" t="str">
        <x:f>IF(J86="Рассчитано","Выручка "&amp;TEXT(V86,"0.00")&amp;" - себестоимость "&amp;TEXT(W86,"0.00")&amp;" - комиссия "&amp;TEXT(V86*R86/100,"0.00")&amp;" - доставка "&amp;TEXT(P86,"0.00")&amp;" - прочие "&amp;TEXT(Q86,"0.00")&amp;" = "&amp;TEXT(G86,"0.00")&amp;" "&amp;L86,"Введите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" s="23" t="n">
        <x:v>12.921986437008194</x:v>
      </x:c>
      <x:c r="AG86" s="35" t="n">
        <x:v>22</x:v>
      </x:c>
      <x:c r="AH86" s="35" t="n">
        <x:v>0</x:v>
      </x:c>
      <x:c r="AI86" s="29" t="n">
        <x:v>46266</x:v>
      </x:c>
      <x:c r="AJ86" s="35" t="n">
        <x:v>1</x:v>
      </x:c>
      <x:c r="AK86" s="11" t="str">
        <x:v>минимум</x:v>
      </x:c>
      <x:c r="AL86" s="31" t="n">
        <x:v>144.7812907762189</x:v>
      </x:c>
      <x:c r="AM86" s="12" t="str">
        <x:v>Остаток на начало сентября; Резервы неизвестны; Нет ежедневных данных доступности. Запас выше прогноза на 90 дней</x:v>
      </x:c>
      <x:c r="AN86" s="12" t="str">
        <x:v>Проверить свободный остаток и установить цену для B2B</x:v>
      </x:c>
      <x:c r="AO86" s="12" t="str">
        <x:v>Остаток 22; прогноз 90 дней 12.92; избыток 9 шт. Будущие поступления не выставляются на продажу. Остаток на начало сентября: требуется актуализация.</x:v>
      </x:c>
      <x:c r="AP86" s="12" t="str">
        <x:v>["category_missing", "daily_stockout_data_missing", "new_order_lead_time_unknown", "reservations_unknown", "stale_stock"]</x:v>
      </x:c>
      <x:c r="AQ86" s="11" t="str">
        <x:v>IEK:010700156_</x:v>
      </x:c>
      <x:c r="AR86" s="23" t="n">
        <x:v>1</x:v>
      </x:c>
      <x:c r="AS86" s="23" t="n">
        <x:v>0</x:v>
      </x:c>
      <x:c r="AT86" s="23" t="n">
        <x:v>0</x:v>
      </x:c>
    </x:row>
    <x:row r="87" ht="64" customHeight="1">
      <x:c r="A87" s="10" t="str">
        <x:v>IEK</x:v>
      </x:c>
      <x:c r="B87" s="34" t="str">
        <x:v>010700159_</x:v>
      </x:c>
      <x:c r="C87" s="34" t="str">
        <x:v>AR-M06N-3-C050</x:v>
      </x:c>
      <x:c r="D87" s="13" t="str">
        <x:v>ARMAT (3ф) 50А C IEK (1)</x:v>
      </x:c>
      <x:c r="E87" s="10" t="str">
        <x:v>шт</x:v>
      </x:c>
      <x:c r="F87" s="37" t="n">
        <x:f>MAX(0,ROUNDDOWN((AG87-AF87)/AR87+0.000000001,0)*AR87)</x:f>
        <x:v>2</x:v>
      </x:c>
      <x:c r="G87" s="21" t="str">
        <x:f>IF(J87="Рассчитано",V87*(1-R87/100)-W87-P87-Q87,"н/д")</x:f>
        <x:v>н/д</x:v>
      </x:c>
      <x:c r="H87" s="13" t="str">
        <x:v>Высокий</x:v>
      </x:c>
      <x:c r="I87" s="13" t="str">
        <x:v>Средний</x:v>
      </x:c>
      <x:c r="J87" s="13" t="str">
        <x:f>IF(L87="","Укажите валюту",IF(NOT(ISNUMBER(K87)),"Укажите объём",IF(K87&lt;=0,"Укажите объём",IF(K87&gt;F87,"Объём выше излишка",IF(COUNT(M87:O87)&lt;3,"Нужны цены",IF(COUNT(P87:R87)&lt;3,"Нужны расходы",IF(OR(M87&lt;0,N87&lt;0,O87&lt;0,O87&gt;100,P87&lt;0,Q87&lt;0,R87&lt;0,R87&gt;100),"Проверьте значения","Рассчитано")))))))</x:f>
        <x:v>Нужны цены</x:v>
      </x:c>
      <x:c r="K87" s="36" t="n">
        <x:v>2</x:v>
      </x:c>
      <x:c r="L87" s="19" t="str">
        <x:v>KZT</x:v>
      </x:c>
      <x:c r="M87" s="22"/>
      <x:c r="N87" s="22"/>
      <x:c r="O87" s="28"/>
      <x:c r="P87" s="22"/>
      <x:c r="Q87" s="22"/>
      <x:c r="R87" s="28"/>
      <x:c r="S87" s="22"/>
      <x:c r="T87" s="37" t="n">
        <x:f>K87</x:f>
        <x:v>2</x:v>
      </x:c>
      <x:c r="U87" s="21" t="str">
        <x:f>IF(J87="Рассчитано",N87*(1-O87/100),"н/д")</x:f>
        <x:v>н/д</x:v>
      </x:c>
      <x:c r="V87" s="21" t="str">
        <x:f>IF(J87="Рассчитано",T87*U87,"н/д")</x:f>
        <x:v>н/д</x:v>
      </x:c>
      <x:c r="W87" s="21" t="str">
        <x:f>IF(J87="Рассчитано",T87*M87,"н/д")</x:f>
        <x:v>н/д</x:v>
      </x:c>
      <x:c r="X87" s="21" t="str">
        <x:f>IF(J87="Рассчитано",V87-W87,"н/д")</x:f>
        <x:v>н/д</x:v>
      </x:c>
      <x:c r="Y87" s="27" t="str">
        <x:f>IF(J87="Рассчитано",IF(V87&gt;0,G87/V87,"н/д"),"н/д")</x:f>
        <x:v>н/д</x:v>
      </x:c>
      <x:c r="Z87" s="21" t="str">
        <x:f>"н/д"</x:f>
        <x:v>н/д</x:v>
      </x:c>
      <x:c r="AA87" s="21" t="str">
        <x:f>"н/д"</x:f>
        <x:v>н/д</x:v>
      </x:c>
      <x:c r="AB87" s="21" t="str">
        <x:f>"н/д"</x:f>
        <x:v>н/д</x:v>
      </x:c>
      <x:c r="AC87" s="21" t="str">
        <x:f>IF(AND(J87="Рассчитано",T87&gt;0,R87&lt;100),(W87+P87+Q87)/(T87*(1-R87/100)),"н/д")</x:f>
        <x:v>н/д</x:v>
      </x:c>
      <x:c r="AD87" s="10" t="str">
        <x:f>IF(ISNUMBER(G87),IF(G87&lt;0,"Убыток",IF(G87=0,"Без прибыли","Прибыль &gt; 0")),"Не оценён")</x:f>
        <x:v>Не оценён</x:v>
      </x:c>
      <x:c r="AE87" s="13" t="str">
        <x:f>IF(J87="Рассчитано","Выручка "&amp;TEXT(V87,"0.00")&amp;" - себестоимость "&amp;TEXT(W87,"0.00")&amp;" - комиссия "&amp;TEXT(V87*R87/100,"0.00")&amp;" - доставка "&amp;TEXT(P87,"0.00")&amp;" - прочие "&amp;TEXT(Q87,"0.00")&amp;" = "&amp;TEXT(G87,"0.00")&amp;" "&amp;L87,"Введите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" s="24" t="n">
        <x:v>4.304781630251395</x:v>
      </x:c>
      <x:c r="AG87" s="37" t="n">
        <x:v>7</x:v>
      </x:c>
      <x:c r="AH87" s="37" t="n">
        <x:v>0</x:v>
      </x:c>
      <x:c r="AI87" s="30" t="n">
        <x:v>46266</x:v>
      </x:c>
      <x:c r="AJ87" s="37" t="n">
        <x:v>1</x:v>
      </x:c>
      <x:c r="AK87" s="10" t="str">
        <x:v>минимум</x:v>
      </x:c>
      <x:c r="AL87" s="32" t="n">
        <x:v>138.28209751864713</x:v>
      </x:c>
      <x:c r="AM87" s="13" t="str">
        <x:v>Остаток на начало сентября; Резервы неизвестны; Нет ежедневных данных доступности. Запас выше прогноза на 90 дней</x:v>
      </x:c>
      <x:c r="AN87" s="13" t="str">
        <x:v>Проверить свободный остаток и установить цену для B2B</x:v>
      </x:c>
      <x:c r="AO87" s="13" t="str">
        <x:v>Остаток 7; прогноз 90 дней 4.30; избыток 2 шт. Будущие поступления не выставляются на продажу. Остаток на начало сентября: требуется актуализация.</x:v>
      </x:c>
      <x:c r="AP87" s="13" t="str">
        <x:v>["category_missing", "daily_stockout_data_missing", "new_order_lead_time_unknown", "reservations_unknown", "stale_stock"]</x:v>
      </x:c>
      <x:c r="AQ87" s="10" t="str">
        <x:v>IEK:010700159_</x:v>
      </x:c>
      <x:c r="AR87" s="24" t="n">
        <x:v>1</x:v>
      </x:c>
      <x:c r="AS87" s="24" t="n">
        <x:v>0</x:v>
      </x:c>
      <x:c r="AT87" s="24" t="n">
        <x:v>0</x:v>
      </x:c>
    </x:row>
    <x:row r="88" ht="64" customHeight="1">
      <x:c r="A88" s="11" t="str">
        <x:v>IEK</x:v>
      </x:c>
      <x:c r="B88" s="33" t="str">
        <x:v>010700160_</x:v>
      </x:c>
      <x:c r="C88" s="33" t="str">
        <x:v>AR-M06N-3-C063</x:v>
      </x:c>
      <x:c r="D88" s="12" t="str">
        <x:v>ARMAT (3ф) 63А C IEK (1)</x:v>
      </x:c>
      <x:c r="E88" s="11" t="str">
        <x:v>шт</x:v>
      </x:c>
      <x:c r="F88" s="35" t="n">
        <x:f>MAX(0,ROUNDDOWN((AG88-AF88)/AR88+0.000000001,0)*AR88)</x:f>
        <x:v>5</x:v>
      </x:c>
      <x:c r="G88" s="20" t="str">
        <x:f>IF(J88="Рассчитано",V88*(1-R88/100)-W88-P88-Q88,"н/д")</x:f>
        <x:v>н/д</x:v>
      </x:c>
      <x:c r="H88" s="12" t="str">
        <x:v>Высокий</x:v>
      </x:c>
      <x:c r="I88" s="12" t="str">
        <x:v>Средний</x:v>
      </x:c>
      <x:c r="J88" s="12" t="str">
        <x:f>IF(L88="","Укажите валюту",IF(NOT(ISNUMBER(K88)),"Укажите объём",IF(K88&lt;=0,"Укажите объём",IF(K88&gt;F88,"Объём выше излишка",IF(COUNT(M88:O88)&lt;3,"Нужны цены",IF(COUNT(P88:R88)&lt;3,"Нужны расходы",IF(OR(M88&lt;0,N88&lt;0,O88&lt;0,O88&gt;100,P88&lt;0,Q88&lt;0,R88&lt;0,R88&gt;100),"Проверьте значения","Рассчитано")))))))</x:f>
        <x:v>Нужны цены</x:v>
      </x:c>
      <x:c r="K88" s="36" t="n">
        <x:v>5</x:v>
      </x:c>
      <x:c r="L88" s="19" t="str">
        <x:v>KZT</x:v>
      </x:c>
      <x:c r="M88" s="22"/>
      <x:c r="N88" s="22"/>
      <x:c r="O88" s="28"/>
      <x:c r="P88" s="22"/>
      <x:c r="Q88" s="22"/>
      <x:c r="R88" s="28"/>
      <x:c r="S88" s="22"/>
      <x:c r="T88" s="35" t="n">
        <x:f>K88</x:f>
        <x:v>5</x:v>
      </x:c>
      <x:c r="U88" s="20" t="str">
        <x:f>IF(J88="Рассчитано",N88*(1-O88/100),"н/д")</x:f>
        <x:v>н/д</x:v>
      </x:c>
      <x:c r="V88" s="20" t="str">
        <x:f>IF(J88="Рассчитано",T88*U88,"н/д")</x:f>
        <x:v>н/д</x:v>
      </x:c>
      <x:c r="W88" s="20" t="str">
        <x:f>IF(J88="Рассчитано",T88*M88,"н/д")</x:f>
        <x:v>н/д</x:v>
      </x:c>
      <x:c r="X88" s="20" t="str">
        <x:f>IF(J88="Рассчитано",V88-W88,"н/д")</x:f>
        <x:v>н/д</x:v>
      </x:c>
      <x:c r="Y88" s="26" t="str">
        <x:f>IF(J88="Рассчитано",IF(V88&gt;0,G88/V88,"н/д"),"н/д")</x:f>
        <x:v>н/д</x:v>
      </x:c>
      <x:c r="Z88" s="20" t="str">
        <x:f>"н/д"</x:f>
        <x:v>н/д</x:v>
      </x:c>
      <x:c r="AA88" s="20" t="str">
        <x:f>"н/д"</x:f>
        <x:v>н/д</x:v>
      </x:c>
      <x:c r="AB88" s="20" t="str">
        <x:f>"н/д"</x:f>
        <x:v>н/д</x:v>
      </x:c>
      <x:c r="AC88" s="20" t="str">
        <x:f>IF(AND(J88="Рассчитано",T88&gt;0,R88&lt;100),(W88+P88+Q88)/(T88*(1-R88/100)),"н/д")</x:f>
        <x:v>н/д</x:v>
      </x:c>
      <x:c r="AD88" s="11" t="str">
        <x:f>IF(ISNUMBER(G88),IF(G88&lt;0,"Убыток",IF(G88=0,"Без прибыли","Прибыль &gt; 0")),"Не оценён")</x:f>
        <x:v>Не оценён</x:v>
      </x:c>
      <x:c r="AE88" s="12" t="str">
        <x:f>IF(J88="Рассчитано","Выручка "&amp;TEXT(V88,"0.00")&amp;" - себестоимость "&amp;TEXT(W88,"0.00")&amp;" - комиссия "&amp;TEXT(V88*R88/100,"0.00")&amp;" - доставка "&amp;TEXT(P88,"0.00")&amp;" - прочие "&amp;TEXT(Q88,"0.00")&amp;" = "&amp;TEXT(G88,"0.00")&amp;" "&amp;L88,"Введите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" s="23" t="n">
        <x:v>12.910660440687046</x:v>
      </x:c>
      <x:c r="AG88" s="35" t="n">
        <x:v>18</x:v>
      </x:c>
      <x:c r="AH88" s="35" t="n">
        <x:v>0</x:v>
      </x:c>
      <x:c r="AI88" s="29" t="n">
        <x:v>46266</x:v>
      </x:c>
      <x:c r="AJ88" s="35" t="n">
        <x:v>1</x:v>
      </x:c>
      <x:c r="AK88" s="11" t="str">
        <x:v>минимум</x:v>
      </x:c>
      <x:c r="AL88" s="31" t="n">
        <x:v>118.56133759342124</x:v>
      </x:c>
      <x:c r="AM88" s="12" t="str">
        <x:v>Остаток на начало сентября; Резервы неизвестны; Нет ежедневных данных доступности. Запас выше прогноза на 90 дней</x:v>
      </x:c>
      <x:c r="AN88" s="12" t="str">
        <x:v>Проверить свободный остаток и установить цену для B2B</x:v>
      </x:c>
      <x:c r="AO88" s="12" t="str">
        <x:v>Остаток 18; прогноз 90 дней 12.91; избыток 5 шт. Будущие поступления не выставляются на продажу. Остаток на начало сентября: требуется актуализация.</x:v>
      </x:c>
      <x:c r="AP88" s="12" t="str">
        <x:v>["category_missing", "daily_stockout_data_missing", "new_order_lead_time_unknown", "reservations_unknown", "stale_stock"]</x:v>
      </x:c>
      <x:c r="AQ88" s="11" t="str">
        <x:v>IEK:010700160_</x:v>
      </x:c>
      <x:c r="AR88" s="23" t="n">
        <x:v>1</x:v>
      </x:c>
      <x:c r="AS88" s="23" t="n">
        <x:v>0</x:v>
      </x:c>
      <x:c r="AT88" s="23" t="n">
        <x:v>0</x:v>
      </x:c>
    </x:row>
    <x:row r="89" ht="64" customHeight="1">
      <x:c r="A89" s="10" t="str">
        <x:v>IEK</x:v>
      </x:c>
      <x:c r="B89" s="34" t="str">
        <x:v>010700161_</x:v>
      </x:c>
      <x:c r="C89" s="34" t="str">
        <x:v>AR-R10N-2-025C030</x:v>
      </x:c>
      <x:c r="D89" s="13" t="str">
        <x:v>УЗО АВДТ 2(ф) 25А 30мА ARMAT IEK (1)</x:v>
      </x:c>
      <x:c r="E89" s="10" t="str">
        <x:v>шт</x:v>
      </x:c>
      <x:c r="F89" s="37" t="n">
        <x:f>MAX(0,ROUNDDOWN((AG89-AF89)/AR89+0.000000001,0)*AR89)</x:f>
        <x:v>4</x:v>
      </x:c>
      <x:c r="G89" s="21" t="str">
        <x:f>IF(J89="Рассчитано",V89*(1-R89/100)-W89-P89-Q89,"н/д")</x:f>
        <x:v>н/д</x:v>
      </x:c>
      <x:c r="H89" s="13" t="str">
        <x:v>Высокий</x:v>
      </x:c>
      <x:c r="I89" s="13" t="str">
        <x:v>Высокий</x:v>
      </x:c>
      <x:c r="J89" s="13" t="str">
        <x:f>IF(L89="","Укажите валюту",IF(NOT(ISNUMBER(K89)),"Укажите объём",IF(K89&lt;=0,"Укажите объём",IF(K89&gt;F89,"Объём выше излишка",IF(COUNT(M89:O89)&lt;3,"Нужны цены",IF(COUNT(P89:R89)&lt;3,"Нужны расходы",IF(OR(M89&lt;0,N89&lt;0,O89&lt;0,O89&gt;100,P89&lt;0,Q89&lt;0,R89&lt;0,R89&gt;100),"Проверьте значения","Рассчитано")))))))</x:f>
        <x:v>Нужны цены</x:v>
      </x:c>
      <x:c r="K89" s="36" t="n">
        <x:v>4</x:v>
      </x:c>
      <x:c r="L89" s="19" t="str">
        <x:v>KZT</x:v>
      </x:c>
      <x:c r="M89" s="22"/>
      <x:c r="N89" s="22"/>
      <x:c r="O89" s="28"/>
      <x:c r="P89" s="22"/>
      <x:c r="Q89" s="22"/>
      <x:c r="R89" s="28"/>
      <x:c r="S89" s="22"/>
      <x:c r="T89" s="37" t="n">
        <x:f>K89</x:f>
        <x:v>4</x:v>
      </x:c>
      <x:c r="U89" s="21" t="str">
        <x:f>IF(J89="Рассчитано",N89*(1-O89/100),"н/д")</x:f>
        <x:v>н/д</x:v>
      </x:c>
      <x:c r="V89" s="21" t="str">
        <x:f>IF(J89="Рассчитано",T89*U89,"н/д")</x:f>
        <x:v>н/д</x:v>
      </x:c>
      <x:c r="W89" s="21" t="str">
        <x:f>IF(J89="Рассчитано",T89*M89,"н/д")</x:f>
        <x:v>н/д</x:v>
      </x:c>
      <x:c r="X89" s="21" t="str">
        <x:f>IF(J89="Рассчитано",V89-W89,"н/д")</x:f>
        <x:v>н/д</x:v>
      </x:c>
      <x:c r="Y89" s="27" t="str">
        <x:f>IF(J89="Рассчитано",IF(V89&gt;0,G89/V89,"н/д"),"н/д")</x:f>
        <x:v>н/д</x:v>
      </x:c>
      <x:c r="Z89" s="21" t="str">
        <x:f>"н/д"</x:f>
        <x:v>н/д</x:v>
      </x:c>
      <x:c r="AA89" s="21" t="str">
        <x:f>"н/д"</x:f>
        <x:v>н/д</x:v>
      </x:c>
      <x:c r="AB89" s="21" t="str">
        <x:f>"н/д"</x:f>
        <x:v>н/д</x:v>
      </x:c>
      <x:c r="AC89" s="21" t="str">
        <x:f>IF(AND(J89="Рассчитано",T89&gt;0,R89&lt;100),(W89+P89+Q89)/(T89*(1-R89/100)),"н/д")</x:f>
        <x:v>н/д</x:v>
      </x:c>
      <x:c r="AD89" s="10" t="str">
        <x:f>IF(ISNUMBER(G89),IF(G89&lt;0,"Убыток",IF(G89=0,"Без прибыли","Прибыль &gt; 0")),"Не оценён")</x:f>
        <x:v>Не оценён</x:v>
      </x:c>
      <x:c r="AE89" s="13" t="str">
        <x:f>IF(J89="Рассчитано","Выручка "&amp;TEXT(V89,"0.00")&amp;" - себестоимость "&amp;TEXT(W89,"0.00")&amp;" - комиссия "&amp;TEXT(V89*R89/100,"0.00")&amp;" - доставка "&amp;TEXT(P89,"0.00")&amp;" - прочие "&amp;TEXT(Q89,"0.00")&amp;" = "&amp;TEXT(G89,"0.00")&amp;" "&amp;L89,"Введите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" s="24" t="n">
        <x:v>2.3892621881419713</x:v>
      </x:c>
      <x:c r="AG89" s="37" t="n">
        <x:v>7</x:v>
      </x:c>
      <x:c r="AH89" s="37" t="n">
        <x:v>0</x:v>
      </x:c>
      <x:c r="AI89" s="30" t="n">
        <x:v>46266</x:v>
      </x:c>
      <x:c r="AJ89" s="37" t="n">
        <x:v>1</x:v>
      </x:c>
      <x:c r="AK89" s="10" t="str">
        <x:v>минимум</x:v>
      </x:c>
      <x:c r="AL89" s="32" t="n">
        <x:v>249.1456300381269</x:v>
      </x:c>
      <x:c r="AM89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89" s="13" t="str">
        <x:v>Проверить свободный остаток и установить цену для B2B</x:v>
      </x:c>
      <x:c r="AO89" s="13" t="str">
        <x:v>Остаток 7; прогноз 90 дней 2.39; избыток 4 шт. Будущие поступления не выставляются на продажу. Остаток на начало сентября: требуется актуализация.</x:v>
      </x:c>
      <x:c r="AP89" s="13" t="str">
        <x:v>["category_missing", "daily_stockout_data_missing", "new_order_lead_time_unknown", "reservations_unknown", "stale_stock", "stockout_proxy_used"]</x:v>
      </x:c>
      <x:c r="AQ89" s="10" t="str">
        <x:v>IEK:010700161_</x:v>
      </x:c>
      <x:c r="AR89" s="24" t="n">
        <x:v>1</x:v>
      </x:c>
      <x:c r="AS89" s="24" t="n">
        <x:v>0</x:v>
      </x:c>
      <x:c r="AT89" s="24" t="n">
        <x:v>0</x:v>
      </x:c>
    </x:row>
    <x:row r="90" ht="64" customHeight="1">
      <x:c r="A90" s="11" t="str">
        <x:v>IEK</x:v>
      </x:c>
      <x:c r="B90" s="33" t="str">
        <x:v>010700162_</x:v>
      </x:c>
      <x:c r="C90" s="33" t="str">
        <x:v>AR-R10N-2-040C030</x:v>
      </x:c>
      <x:c r="D90" s="12" t="str">
        <x:v>УЗО АВДТ 2(ф) 40А 30мА ARMAT IEK (6)</x:v>
      </x:c>
      <x:c r="E90" s="11" t="str">
        <x:v>шт</x:v>
      </x:c>
      <x:c r="F90" s="35" t="n">
        <x:f>MAX(0,ROUNDDOWN((AG90-AF90)/AR90+0.000000001,0)*AR90)</x:f>
        <x:v>6</x:v>
      </x:c>
      <x:c r="G90" s="20" t="str">
        <x:f>IF(J90="Рассчитано",V90*(1-R90/100)-W90-P90-Q90,"н/д")</x:f>
        <x:v>н/д</x:v>
      </x:c>
      <x:c r="H90" s="12" t="str">
        <x:v>Высокий</x:v>
      </x:c>
      <x:c r="I90" s="12" t="str">
        <x:v>Высокий</x:v>
      </x:c>
      <x:c r="J90" s="12" t="str">
        <x:f>IF(L90="","Укажите валюту",IF(NOT(ISNUMBER(K90)),"Укажите объём",IF(K90&lt;=0,"Укажите объём",IF(K90&gt;F90,"Объём выше излишка",IF(COUNT(M90:O90)&lt;3,"Нужны цены",IF(COUNT(P90:R90)&lt;3,"Нужны расходы",IF(OR(M90&lt;0,N90&lt;0,O90&lt;0,O90&gt;100,P90&lt;0,Q90&lt;0,R90&lt;0,R90&gt;100),"Проверьте значения","Рассчитано")))))))</x:f>
        <x:v>Нужны цены</x:v>
      </x:c>
      <x:c r="K90" s="36" t="n">
        <x:v>6</x:v>
      </x:c>
      <x:c r="L90" s="19" t="str">
        <x:v>KZT</x:v>
      </x:c>
      <x:c r="M90" s="22"/>
      <x:c r="N90" s="22"/>
      <x:c r="O90" s="28"/>
      <x:c r="P90" s="22"/>
      <x:c r="Q90" s="22"/>
      <x:c r="R90" s="28"/>
      <x:c r="S90" s="22"/>
      <x:c r="T90" s="35" t="n">
        <x:f>K90</x:f>
        <x:v>6</x:v>
      </x:c>
      <x:c r="U90" s="20" t="str">
        <x:f>IF(J90="Рассчитано",N90*(1-O90/100),"н/д")</x:f>
        <x:v>н/д</x:v>
      </x:c>
      <x:c r="V90" s="20" t="str">
        <x:f>IF(J90="Рассчитано",T90*U90,"н/д")</x:f>
        <x:v>н/д</x:v>
      </x:c>
      <x:c r="W90" s="20" t="str">
        <x:f>IF(J90="Рассчитано",T90*M90,"н/д")</x:f>
        <x:v>н/д</x:v>
      </x:c>
      <x:c r="X90" s="20" t="str">
        <x:f>IF(J90="Рассчитано",V90-W90,"н/д")</x:f>
        <x:v>н/д</x:v>
      </x:c>
      <x:c r="Y90" s="26" t="str">
        <x:f>IF(J90="Рассчитано",IF(V90&gt;0,G90/V90,"н/д"),"н/д")</x:f>
        <x:v>н/д</x:v>
      </x:c>
      <x:c r="Z90" s="20" t="str">
        <x:f>"н/д"</x:f>
        <x:v>н/д</x:v>
      </x:c>
      <x:c r="AA90" s="20" t="str">
        <x:f>"н/д"</x:f>
        <x:v>н/д</x:v>
      </x:c>
      <x:c r="AB90" s="20" t="str">
        <x:f>"н/д"</x:f>
        <x:v>н/д</x:v>
      </x:c>
      <x:c r="AC90" s="20" t="str">
        <x:f>IF(AND(J90="Рассчитано",T90&gt;0,R90&lt;100),(W90+P90+Q90)/(T90*(1-R90/100)),"н/д")</x:f>
        <x:v>н/д</x:v>
      </x:c>
      <x:c r="AD90" s="11" t="str">
        <x:f>IF(ISNUMBER(G90),IF(G90&lt;0,"Убыток",IF(G90=0,"Без прибыли","Прибыль &gt; 0")),"Не оценён")</x:f>
        <x:v>Не оценён</x:v>
      </x:c>
      <x:c r="AE90" s="12" t="str">
        <x:f>IF(J90="Рассчитано","Выручка "&amp;TEXT(V90,"0.00")&amp;" - себестоимость "&amp;TEXT(W90,"0.00")&amp;" - комиссия "&amp;TEXT(V90*R90/100,"0.00")&amp;" - доставка "&amp;TEXT(P90,"0.00")&amp;" - прочие "&amp;TEXT(Q90,"0.00")&amp;" = "&amp;TEXT(G90,"0.00")&amp;" "&amp;L90,"Введите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" s="23" t="n">
        <x:v>1.4217550599520627</x:v>
      </x:c>
      <x:c r="AG90" s="35" t="n">
        <x:v>8</x:v>
      </x:c>
      <x:c r="AH90" s="35" t="n">
        <x:v>0</x:v>
      </x:c>
      <x:c r="AI90" s="29" t="n">
        <x:v>46266</x:v>
      </x:c>
      <x:c r="AJ90" s="35" t="n">
        <x:v>6</x:v>
      </x:c>
      <x:c r="AK90" s="11" t="str">
        <x:v>минимум</x:v>
      </x:c>
      <x:c r="AL90" s="31" t="n">
        <x:v>478.50254134771325</x:v>
      </x:c>
      <x:c r="AM9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0" s="12" t="str">
        <x:v>Проверить свободный остаток и установить цену для B2B</x:v>
      </x:c>
      <x:c r="AO90" s="12" t="str">
        <x:v>Остаток 8; прогноз 90 дней 1.42; избыток 6 шт. Будущие поступления не выставляются на продажу. Остаток на начало сентября: требуется актуализация.</x:v>
      </x:c>
      <x:c r="AP90" s="12" t="str">
        <x:v>["category_missing", "daily_stockout_data_missing", "negative_net_sales_clipped_for_forecast", "new_order_lead_time_unknown", "reservations_unknown", "stale_stock"]</x:v>
      </x:c>
      <x:c r="AQ90" s="11" t="str">
        <x:v>IEK:010700162_</x:v>
      </x:c>
      <x:c r="AR90" s="23" t="n">
        <x:v>1</x:v>
      </x:c>
      <x:c r="AS90" s="23" t="n">
        <x:v>0</x:v>
      </x:c>
      <x:c r="AT90" s="23" t="n">
        <x:v>0</x:v>
      </x:c>
    </x:row>
    <x:row r="91" ht="64" customHeight="1">
      <x:c r="A91" s="10" t="str">
        <x:v>IEK</x:v>
      </x:c>
      <x:c r="B91" s="34" t="str">
        <x:v>010700166_</x:v>
      </x:c>
      <x:c r="C91" s="34" t="str">
        <x:v>AR-R10N-4-063A030</x:v>
      </x:c>
      <x:c r="D91" s="13" t="str">
        <x:v>УЗО АВДТ 4(ф) 63А 30мА ARMAT IEK (3)</x:v>
      </x:c>
      <x:c r="E91" s="10" t="str">
        <x:v>шт</x:v>
      </x:c>
      <x:c r="F91" s="37" t="n">
        <x:f>MAX(0,ROUNDDOWN((AG91-AF91)/AR91+0.000000001,0)*AR91)</x:f>
        <x:v>4</x:v>
      </x:c>
      <x:c r="G91" s="21" t="str">
        <x:f>IF(J91="Рассчитано",V91*(1-R91/100)-W91-P91-Q91,"н/д")</x:f>
        <x:v>н/д</x:v>
      </x:c>
      <x:c r="H91" s="13" t="str">
        <x:v>Высокий</x:v>
      </x:c>
      <x:c r="I91" s="13" t="str">
        <x:v>Средний</x:v>
      </x:c>
      <x:c r="J91" s="13" t="str">
        <x:f>IF(L91="","Укажите валюту",IF(NOT(ISNUMBER(K91)),"Укажите объём",IF(K91&lt;=0,"Укажите объём",IF(K91&gt;F91,"Объём выше излишка",IF(COUNT(M91:O91)&lt;3,"Нужны цены",IF(COUNT(P91:R91)&lt;3,"Нужны расходы",IF(OR(M91&lt;0,N91&lt;0,O91&lt;0,O91&gt;100,P91&lt;0,Q91&lt;0,R91&lt;0,R91&gt;100),"Проверьте значения","Рассчитано")))))))</x:f>
        <x:v>Нужны цены</x:v>
      </x:c>
      <x:c r="K91" s="36" t="n">
        <x:v>4</x:v>
      </x:c>
      <x:c r="L91" s="19" t="str">
        <x:v>KZT</x:v>
      </x:c>
      <x:c r="M91" s="22"/>
      <x:c r="N91" s="22"/>
      <x:c r="O91" s="28"/>
      <x:c r="P91" s="22"/>
      <x:c r="Q91" s="22"/>
      <x:c r="R91" s="28"/>
      <x:c r="S91" s="22"/>
      <x:c r="T91" s="37" t="n">
        <x:f>K91</x:f>
        <x:v>4</x:v>
      </x:c>
      <x:c r="U91" s="21" t="str">
        <x:f>IF(J91="Рассчитано",N91*(1-O91/100),"н/д")</x:f>
        <x:v>н/д</x:v>
      </x:c>
      <x:c r="V91" s="21" t="str">
        <x:f>IF(J91="Рассчитано",T91*U91,"н/д")</x:f>
        <x:v>н/д</x:v>
      </x:c>
      <x:c r="W91" s="21" t="str">
        <x:f>IF(J91="Рассчитано",T91*M91,"н/д")</x:f>
        <x:v>н/д</x:v>
      </x:c>
      <x:c r="X91" s="21" t="str">
        <x:f>IF(J91="Рассчитано",V91-W91,"н/д")</x:f>
        <x:v>н/д</x:v>
      </x:c>
      <x:c r="Y91" s="27" t="str">
        <x:f>IF(J91="Рассчитано",IF(V91&gt;0,G91/V91,"н/д"),"н/д")</x:f>
        <x:v>н/д</x:v>
      </x:c>
      <x:c r="Z91" s="21" t="str">
        <x:f>"н/д"</x:f>
        <x:v>н/д</x:v>
      </x:c>
      <x:c r="AA91" s="21" t="str">
        <x:f>"н/д"</x:f>
        <x:v>н/д</x:v>
      </x:c>
      <x:c r="AB91" s="21" t="str">
        <x:f>"н/д"</x:f>
        <x:v>н/д</x:v>
      </x:c>
      <x:c r="AC91" s="21" t="str">
        <x:f>IF(AND(J91="Рассчитано",T91&gt;0,R91&lt;100),(W91+P91+Q91)/(T91*(1-R91/100)),"н/д")</x:f>
        <x:v>н/д</x:v>
      </x:c>
      <x:c r="AD91" s="10" t="str">
        <x:f>IF(ISNUMBER(G91),IF(G91&lt;0,"Убыток",IF(G91=0,"Без прибыли","Прибыль &gt; 0")),"Не оценён")</x:f>
        <x:v>Не оценён</x:v>
      </x:c>
      <x:c r="AE91" s="13" t="str">
        <x:f>IF(J91="Рассчитано","Выручка "&amp;TEXT(V91,"0.00")&amp;" - себестоимость "&amp;TEXT(W91,"0.00")&amp;" - комиссия "&amp;TEXT(V91*R91/100,"0.00")&amp;" - доставка "&amp;TEXT(P91,"0.00")&amp;" - прочие "&amp;TEXT(Q91,"0.00")&amp;" = "&amp;TEXT(G91,"0.00")&amp;" "&amp;L91,"Введите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" s="24" t="n">
        <x:v>5.17420355387525</x:v>
      </x:c>
      <x:c r="AG91" s="37" t="n">
        <x:v>10</x:v>
      </x:c>
      <x:c r="AH91" s="37" t="n">
        <x:v>0</x:v>
      </x:c>
      <x:c r="AI91" s="30" t="n">
        <x:v>46266</x:v>
      </x:c>
      <x:c r="AJ91" s="37" t="n">
        <x:v>3</x:v>
      </x:c>
      <x:c r="AK91" s="10" t="str">
        <x:v>минимум</x:v>
      </x:c>
      <x:c r="AL91" s="32" t="n">
        <x:v>164.3522047106909</x:v>
      </x:c>
      <x:c r="AM91" s="13" t="str">
        <x:v>Остаток на начало сентября; Резервы неизвестны; Нет ежедневных данных доступности. Запас выше прогноза на 90 дней</x:v>
      </x:c>
      <x:c r="AN91" s="13" t="str">
        <x:v>Проверить свободный остаток и установить цену для B2B</x:v>
      </x:c>
      <x:c r="AO91" s="13" t="str">
        <x:v>Остаток 10; прогноз 90 дней 5.17; избыток 4 шт. Будущие поступления не выставляются на продажу. Остаток на начало сентября: требуется актуализация.</x:v>
      </x:c>
      <x:c r="AP91" s="13" t="str">
        <x:v>["category_missing", "daily_stockout_data_missing", "new_order_lead_time_unknown", "reservations_unknown", "stale_stock"]</x:v>
      </x:c>
      <x:c r="AQ91" s="10" t="str">
        <x:v>IEK:010700166_</x:v>
      </x:c>
      <x:c r="AR91" s="24" t="n">
        <x:v>1</x:v>
      </x:c>
      <x:c r="AS91" s="24" t="n">
        <x:v>0</x:v>
      </x:c>
      <x:c r="AT91" s="24" t="n">
        <x:v>0</x:v>
      </x:c>
    </x:row>
    <x:row r="92" ht="64" customHeight="1">
      <x:c r="A92" s="11" t="str">
        <x:v>IEK</x:v>
      </x:c>
      <x:c r="B92" s="33" t="str">
        <x:v>010700167_</x:v>
      </x:c>
      <x:c r="C92" s="33" t="str">
        <x:v>AR-B06S-1N-C06C030</x:v>
      </x:c>
      <x:c r="D92" s="12" t="str">
        <x:v>УЗО АВДТ 1P+NP 6 А 30мА ARMAT IEK (12)</x:v>
      </x:c>
      <x:c r="E92" s="11" t="str">
        <x:v>шт</x:v>
      </x:c>
      <x:c r="F92" s="35" t="n">
        <x:f>MAX(0,ROUNDDOWN((AG92-AF92)/AR92+0.000000001,0)*AR92)</x:f>
        <x:v>9</x:v>
      </x:c>
      <x:c r="G92" s="20" t="str">
        <x:f>IF(J92="Рассчитано",V92*(1-R92/100)-W92-P92-Q92,"н/д")</x:f>
        <x:v>н/д</x:v>
      </x:c>
      <x:c r="H92" s="12" t="str">
        <x:v>Высокий</x:v>
      </x:c>
      <x:c r="I92" s="12" t="str">
        <x:v>Высокий</x:v>
      </x:c>
      <x:c r="J92" s="12" t="str">
        <x:f>IF(L92="","Укажите валюту",IF(NOT(ISNUMBER(K92)),"Укажите объём",IF(K92&lt;=0,"Укажите объём",IF(K92&gt;F92,"Объём выше излишка",IF(COUNT(M92:O92)&lt;3,"Нужны цены",IF(COUNT(P92:R92)&lt;3,"Нужны расходы",IF(OR(M92&lt;0,N92&lt;0,O92&lt;0,O92&gt;100,P92&lt;0,Q92&lt;0,R92&lt;0,R92&gt;100),"Проверьте значения","Рассчитано")))))))</x:f>
        <x:v>Нужны цены</x:v>
      </x:c>
      <x:c r="K92" s="36" t="n">
        <x:v>9</x:v>
      </x:c>
      <x:c r="L92" s="19" t="str">
        <x:v>KZT</x:v>
      </x:c>
      <x:c r="M92" s="22"/>
      <x:c r="N92" s="22"/>
      <x:c r="O92" s="28"/>
      <x:c r="P92" s="22"/>
      <x:c r="Q92" s="22"/>
      <x:c r="R92" s="28"/>
      <x:c r="S92" s="22"/>
      <x:c r="T92" s="35" t="n">
        <x:f>K92</x:f>
        <x:v>9</x:v>
      </x:c>
      <x:c r="U92" s="20" t="str">
        <x:f>IF(J92="Рассчитано",N92*(1-O92/100),"н/д")</x:f>
        <x:v>н/д</x:v>
      </x:c>
      <x:c r="V92" s="20" t="str">
        <x:f>IF(J92="Рассчитано",T92*U92,"н/д")</x:f>
        <x:v>н/д</x:v>
      </x:c>
      <x:c r="W92" s="20" t="str">
        <x:f>IF(J92="Рассчитано",T92*M92,"н/д")</x:f>
        <x:v>н/д</x:v>
      </x:c>
      <x:c r="X92" s="20" t="str">
        <x:f>IF(J92="Рассчитано",V92-W92,"н/д")</x:f>
        <x:v>н/д</x:v>
      </x:c>
      <x:c r="Y92" s="26" t="str">
        <x:f>IF(J92="Рассчитано",IF(V92&gt;0,G92/V92,"н/д"),"н/д")</x:f>
        <x:v>н/д</x:v>
      </x:c>
      <x:c r="Z92" s="20" t="str">
        <x:f>"н/д"</x:f>
        <x:v>н/д</x:v>
      </x:c>
      <x:c r="AA92" s="20" t="str">
        <x:f>"н/д"</x:f>
        <x:v>н/д</x:v>
      </x:c>
      <x:c r="AB92" s="20" t="str">
        <x:f>"н/д"</x:f>
        <x:v>н/д</x:v>
      </x:c>
      <x:c r="AC92" s="20" t="str">
        <x:f>IF(AND(J92="Рассчитано",T92&gt;0,R92&lt;100),(W92+P92+Q92)/(T92*(1-R92/100)),"н/д")</x:f>
        <x:v>н/д</x:v>
      </x:c>
      <x:c r="AD92" s="11" t="str">
        <x:f>IF(ISNUMBER(G92),IF(G92&lt;0,"Убыток",IF(G92=0,"Без прибыли","Прибыль &gt; 0")),"Не оценён")</x:f>
        <x:v>Не оценён</x:v>
      </x:c>
      <x:c r="AE92" s="12" t="str">
        <x:f>IF(J92="Рассчитано","Выручка "&amp;TEXT(V92,"0.00")&amp;" - себестоимость "&amp;TEXT(W92,"0.00")&amp;" - комиссия "&amp;TEXT(V92*R92/100,"0.00")&amp;" - доставка "&amp;TEXT(P92,"0.00")&amp;" - прочие "&amp;TEXT(Q92,"0.00")&amp;" = "&amp;TEXT(G92,"0.00")&amp;" "&amp;L92,"Введите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" s="23" t="n">
        <x:v>0</x:v>
      </x:c>
      <x:c r="AG92" s="35" t="n">
        <x:v>9</x:v>
      </x:c>
      <x:c r="AH92" s="35" t="n">
        <x:v>0</x:v>
      </x:c>
      <x:c r="AI92" s="29" t="n">
        <x:v>46266</x:v>
      </x:c>
      <x:c r="AJ92" s="35" t="n">
        <x:v>12</x:v>
      </x:c>
      <x:c r="AK92" s="11" t="str">
        <x:v>минимум</x:v>
      </x:c>
      <x:c r="AL92" s="31" t="str">
        <x:v>н/д</x:v>
      </x:c>
      <x:c r="AM9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2" s="12" t="str">
        <x:v>Проверить свободный остаток и установить цену для B2B</x:v>
      </x:c>
      <x:c r="AO92" s="12" t="str">
        <x:v>Остаток 9; прогноз 90 дней 0.00; избыток 9 шт. Будущие поступления не выставляются на продажу. Остаток на начало сентября: требуется актуализация.</x:v>
      </x:c>
      <x:c r="AP92" s="12" t="str">
        <x:v>["category_missing", "daily_stockout_data_missing", "new_order_lead_time_unknown", "reservations_unknown", "stale_stock"]</x:v>
      </x:c>
      <x:c r="AQ92" s="11" t="str">
        <x:v>IEK:010700167_</x:v>
      </x:c>
      <x:c r="AR92" s="23" t="n">
        <x:v>1</x:v>
      </x:c>
      <x:c r="AS92" s="23" t="n">
        <x:v>0</x:v>
      </x:c>
      <x:c r="AT92" s="23" t="n">
        <x:v>0</x:v>
      </x:c>
    </x:row>
    <x:row r="93" ht="64" customHeight="1">
      <x:c r="A93" s="10" t="str">
        <x:v>IEK</x:v>
      </x:c>
      <x:c r="B93" s="34" t="str">
        <x:v>010700168_</x:v>
      </x:c>
      <x:c r="C93" s="34" t="str">
        <x:v>AR-B06S-1N-C10C030</x:v>
      </x:c>
      <x:c r="D93" s="13" t="str">
        <x:v>УЗО АВДТ 1P+NP 10 А 30мА ARMAT IEK (12)</x:v>
      </x:c>
      <x:c r="E93" s="10" t="str">
        <x:v>шт</x:v>
      </x:c>
      <x:c r="F93" s="37" t="n">
        <x:f>MAX(0,ROUNDDOWN((AG93-AF93)/AR93+0.000000001,0)*AR93)</x:f>
        <x:v>13</x:v>
      </x:c>
      <x:c r="G93" s="21" t="str">
        <x:f>IF(J93="Рассчитано",V93*(1-R93/100)-W93-P93-Q93,"н/д")</x:f>
        <x:v>н/д</x:v>
      </x:c>
      <x:c r="H93" s="13" t="str">
        <x:v>Высокий</x:v>
      </x:c>
      <x:c r="I93" s="13" t="str">
        <x:v>Высокий</x:v>
      </x:c>
      <x:c r="J93" s="13" t="str">
        <x:f>IF(L93="","Укажите валюту",IF(NOT(ISNUMBER(K93)),"Укажите объём",IF(K93&lt;=0,"Укажите объём",IF(K93&gt;F93,"Объём выше излишка",IF(COUNT(M93:O93)&lt;3,"Нужны цены",IF(COUNT(P93:R93)&lt;3,"Нужны расходы",IF(OR(M93&lt;0,N93&lt;0,O93&lt;0,O93&gt;100,P93&lt;0,Q93&lt;0,R93&lt;0,R93&gt;100),"Проверьте значения","Рассчитано")))))))</x:f>
        <x:v>Нужны цены</x:v>
      </x:c>
      <x:c r="K93" s="36" t="n">
        <x:v>13</x:v>
      </x:c>
      <x:c r="L93" s="19" t="str">
        <x:v>KZT</x:v>
      </x:c>
      <x:c r="M93" s="22"/>
      <x:c r="N93" s="22"/>
      <x:c r="O93" s="28"/>
      <x:c r="P93" s="22"/>
      <x:c r="Q93" s="22"/>
      <x:c r="R93" s="28"/>
      <x:c r="S93" s="22"/>
      <x:c r="T93" s="37" t="n">
        <x:f>K93</x:f>
        <x:v>13</x:v>
      </x:c>
      <x:c r="U93" s="21" t="str">
        <x:f>IF(J93="Рассчитано",N93*(1-O93/100),"н/д")</x:f>
        <x:v>н/д</x:v>
      </x:c>
      <x:c r="V93" s="21" t="str">
        <x:f>IF(J93="Рассчитано",T93*U93,"н/д")</x:f>
        <x:v>н/д</x:v>
      </x:c>
      <x:c r="W93" s="21" t="str">
        <x:f>IF(J93="Рассчитано",T93*M93,"н/д")</x:f>
        <x:v>н/д</x:v>
      </x:c>
      <x:c r="X93" s="21" t="str">
        <x:f>IF(J93="Рассчитано",V93-W93,"н/д")</x:f>
        <x:v>н/д</x:v>
      </x:c>
      <x:c r="Y93" s="27" t="str">
        <x:f>IF(J93="Рассчитано",IF(V93&gt;0,G93/V93,"н/д"),"н/д")</x:f>
        <x:v>н/д</x:v>
      </x:c>
      <x:c r="Z93" s="21" t="str">
        <x:f>"н/д"</x:f>
        <x:v>н/д</x:v>
      </x:c>
      <x:c r="AA93" s="21" t="str">
        <x:f>"н/д"</x:f>
        <x:v>н/д</x:v>
      </x:c>
      <x:c r="AB93" s="21" t="str">
        <x:f>"н/д"</x:f>
        <x:v>н/д</x:v>
      </x:c>
      <x:c r="AC93" s="21" t="str">
        <x:f>IF(AND(J93="Рассчитано",T93&gt;0,R93&lt;100),(W93+P93+Q93)/(T93*(1-R93/100)),"н/д")</x:f>
        <x:v>н/д</x:v>
      </x:c>
      <x:c r="AD93" s="10" t="str">
        <x:f>IF(ISNUMBER(G93),IF(G93&lt;0,"Убыток",IF(G93=0,"Без прибыли","Прибыль &gt; 0")),"Не оценён")</x:f>
        <x:v>Не оценён</x:v>
      </x:c>
      <x:c r="AE93" s="13" t="str">
        <x:f>IF(J93="Рассчитано","Выручка "&amp;TEXT(V93,"0.00")&amp;" - себестоимость "&amp;TEXT(W93,"0.00")&amp;" - комиссия "&amp;TEXT(V93*R93/100,"0.00")&amp;" - доставка "&amp;TEXT(P93,"0.00")&amp;" - прочие "&amp;TEXT(Q93,"0.00")&amp;" = "&amp;TEXT(G93,"0.00")&amp;" "&amp;L93,"Введите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" s="24" t="n">
        <x:v>1.7833748257196143</x:v>
      </x:c>
      <x:c r="AG93" s="37" t="n">
        <x:v>15</x:v>
      </x:c>
      <x:c r="AH93" s="37" t="n">
        <x:v>0</x:v>
      </x:c>
      <x:c r="AI93" s="30" t="n">
        <x:v>46266</x:v>
      </x:c>
      <x:c r="AJ93" s="37" t="n">
        <x:v>12</x:v>
      </x:c>
      <x:c r="AK93" s="10" t="str">
        <x:v>минимум</x:v>
      </x:c>
      <x:c r="AL93" s="32" t="n">
        <x:v>715.266148291188</x:v>
      </x:c>
      <x:c r="AM9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" s="13" t="str">
        <x:v>Проверить свободный остаток и установить цену для B2B</x:v>
      </x:c>
      <x:c r="AO93" s="13" t="str">
        <x:v>Остаток 15; прогноз 90 дней 1.78; избыток 13 шт. Будущие поступления не выставляются на продажу. Остаток на начало сентября: требуется актуализация.</x:v>
      </x:c>
      <x:c r="AP93" s="13" t="str">
        <x:v>["category_missing", "daily_stockout_data_missing", "new_order_lead_time_unknown", "reservations_unknown", "stale_stock"]</x:v>
      </x:c>
      <x:c r="AQ93" s="10" t="str">
        <x:v>IEK:010700168_</x:v>
      </x:c>
      <x:c r="AR93" s="24" t="n">
        <x:v>1</x:v>
      </x:c>
      <x:c r="AS93" s="24" t="n">
        <x:v>0</x:v>
      </x:c>
      <x:c r="AT93" s="24" t="n">
        <x:v>0</x:v>
      </x:c>
    </x:row>
    <x:row r="94" ht="64" customHeight="1">
      <x:c r="A94" s="11" t="str">
        <x:v>IEK</x:v>
      </x:c>
      <x:c r="B94" s="33" t="str">
        <x:v>010700169_</x:v>
      </x:c>
      <x:c r="C94" s="33" t="str">
        <x:v>AR-B06S-1N-C16C030</x:v>
      </x:c>
      <x:c r="D94" s="12" t="str">
        <x:v>УЗО АВДТ 1P+NP 16 А 30мА ARMAT IEK (12)</x:v>
      </x:c>
      <x:c r="E94" s="11" t="str">
        <x:v>шт</x:v>
      </x:c>
      <x:c r="F94" s="35" t="n">
        <x:f>MAX(0,ROUNDDOWN((AG94-AF94)/AR94+0.000000001,0)*AR94)</x:f>
        <x:v>20</x:v>
      </x:c>
      <x:c r="G94" s="20" t="str">
        <x:f>IF(J94="Рассчитано",V94*(1-R94/100)-W94-P94-Q94,"н/д")</x:f>
        <x:v>н/д</x:v>
      </x:c>
      <x:c r="H94" s="12" t="str">
        <x:v>Высокий</x:v>
      </x:c>
      <x:c r="I94" s="12" t="str">
        <x:v>Высокий</x:v>
      </x:c>
      <x:c r="J94" s="12" t="str">
        <x:f>IF(L94="","Укажите валюту",IF(NOT(ISNUMBER(K94)),"Укажите объём",IF(K94&lt;=0,"Укажите объём",IF(K94&gt;F94,"Объём выше излишка",IF(COUNT(M94:O94)&lt;3,"Нужны цены",IF(COUNT(P94:R94)&lt;3,"Нужны расходы",IF(OR(M94&lt;0,N94&lt;0,O94&lt;0,O94&gt;100,P94&lt;0,Q94&lt;0,R94&lt;0,R94&gt;100),"Проверьте значения","Рассчитано")))))))</x:f>
        <x:v>Нужны цены</x:v>
      </x:c>
      <x:c r="K94" s="36" t="n">
        <x:v>20</x:v>
      </x:c>
      <x:c r="L94" s="19" t="str">
        <x:v>KZT</x:v>
      </x:c>
      <x:c r="M94" s="22"/>
      <x:c r="N94" s="22"/>
      <x:c r="O94" s="28"/>
      <x:c r="P94" s="22"/>
      <x:c r="Q94" s="22"/>
      <x:c r="R94" s="28"/>
      <x:c r="S94" s="22"/>
      <x:c r="T94" s="35" t="n">
        <x:f>K94</x:f>
        <x:v>20</x:v>
      </x:c>
      <x:c r="U94" s="20" t="str">
        <x:f>IF(J94="Рассчитано",N94*(1-O94/100),"н/д")</x:f>
        <x:v>н/д</x:v>
      </x:c>
      <x:c r="V94" s="20" t="str">
        <x:f>IF(J94="Рассчитано",T94*U94,"н/д")</x:f>
        <x:v>н/д</x:v>
      </x:c>
      <x:c r="W94" s="20" t="str">
        <x:f>IF(J94="Рассчитано",T94*M94,"н/д")</x:f>
        <x:v>н/д</x:v>
      </x:c>
      <x:c r="X94" s="20" t="str">
        <x:f>IF(J94="Рассчитано",V94-W94,"н/д")</x:f>
        <x:v>н/д</x:v>
      </x:c>
      <x:c r="Y94" s="26" t="str">
        <x:f>IF(J94="Рассчитано",IF(V94&gt;0,G94/V94,"н/д"),"н/д")</x:f>
        <x:v>н/д</x:v>
      </x:c>
      <x:c r="Z94" s="20" t="str">
        <x:f>"н/д"</x:f>
        <x:v>н/д</x:v>
      </x:c>
      <x:c r="AA94" s="20" t="str">
        <x:f>"н/д"</x:f>
        <x:v>н/д</x:v>
      </x:c>
      <x:c r="AB94" s="20" t="str">
        <x:f>"н/д"</x:f>
        <x:v>н/д</x:v>
      </x:c>
      <x:c r="AC94" s="20" t="str">
        <x:f>IF(AND(J94="Рассчитано",T94&gt;0,R94&lt;100),(W94+P94+Q94)/(T94*(1-R94/100)),"н/д")</x:f>
        <x:v>н/д</x:v>
      </x:c>
      <x:c r="AD94" s="11" t="str">
        <x:f>IF(ISNUMBER(G94),IF(G94&lt;0,"Убыток",IF(G94=0,"Без прибыли","Прибыль &gt; 0")),"Не оценён")</x:f>
        <x:v>Не оценён</x:v>
      </x:c>
      <x:c r="AE94" s="12" t="str">
        <x:f>IF(J94="Рассчитано","Выручка "&amp;TEXT(V94,"0.00")&amp;" - себестоимость "&amp;TEXT(W94,"0.00")&amp;" - комиссия "&amp;TEXT(V94*R94/100,"0.00")&amp;" - доставка "&amp;TEXT(P94,"0.00")&amp;" - прочие "&amp;TEXT(Q94,"0.00")&amp;" = "&amp;TEXT(G94,"0.00")&amp;" "&amp;L94,"Введите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" s="23" t="n">
        <x:v>6.507777491948274</x:v>
      </x:c>
      <x:c r="AG94" s="35" t="n">
        <x:v>27</x:v>
      </x:c>
      <x:c r="AH94" s="35" t="n">
        <x:v>0</x:v>
      </x:c>
      <x:c r="AI94" s="29" t="n">
        <x:v>46266</x:v>
      </x:c>
      <x:c r="AJ94" s="35" t="n">
        <x:v>12</x:v>
      </x:c>
      <x:c r="AK94" s="11" t="str">
        <x:v>минимум</x:v>
      </x:c>
      <x:c r="AL94" s="31" t="n">
        <x:v>352.81749559419836</x:v>
      </x:c>
      <x:c r="AM94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94" s="12" t="str">
        <x:v>Проверить свободный остаток и установить цену для B2B</x:v>
      </x:c>
      <x:c r="AO94" s="12" t="str">
        <x:v>Остаток 27; прогноз 90 дней 6.51; избыток 20 шт. Будущие поступления не выставляются на продажу. Остаток на начало сентября: требуется актуализация.</x:v>
      </x:c>
      <x:c r="AP94" s="12" t="str">
        <x:v>["category_missing", "daily_stockout_data_missing", "large_orders_detected", "new_order_lead_time_unknown", "reservations_unknown", "stale_stock", "transaction_month_mismatch"]</x:v>
      </x:c>
      <x:c r="AQ94" s="11" t="str">
        <x:v>IEK:010700169_</x:v>
      </x:c>
      <x:c r="AR94" s="23" t="n">
        <x:v>1</x:v>
      </x:c>
      <x:c r="AS94" s="23" t="n">
        <x:v>0</x:v>
      </x:c>
      <x:c r="AT94" s="23" t="n">
        <x:v>0</x:v>
      </x:c>
    </x:row>
    <x:row r="95" ht="64" customHeight="1">
      <x:c r="A95" s="10" t="str">
        <x:v>IEK</x:v>
      </x:c>
      <x:c r="B95" s="34" t="str">
        <x:v>010700171_</x:v>
      </x:c>
      <x:c r="C95" s="34" t="str">
        <x:v>AR-B06S-1N-C25C030</x:v>
      </x:c>
      <x:c r="D95" s="13" t="str">
        <x:v>УЗО АВДТ 1P+NP 25 А 30мА ARMAT IEK (12)</x:v>
      </x:c>
      <x:c r="E95" s="10" t="str">
        <x:v>шт</x:v>
      </x:c>
      <x:c r="F95" s="37" t="n">
        <x:f>MAX(0,ROUNDDOWN((AG95-AF95)/AR95+0.000000001,0)*AR95)</x:f>
        <x:v>5</x:v>
      </x:c>
      <x:c r="G95" s="21" t="str">
        <x:f>IF(J95="Рассчитано",V95*(1-R95/100)-W95-P95-Q95,"н/д")</x:f>
        <x:v>н/д</x:v>
      </x:c>
      <x:c r="H95" s="13" t="str">
        <x:v>Высокий</x:v>
      </x:c>
      <x:c r="I95" s="13" t="str">
        <x:v>Высокий</x:v>
      </x:c>
      <x:c r="J95" s="13" t="str">
        <x:f>IF(L95="","Укажите валюту",IF(NOT(ISNUMBER(K95)),"Укажите объём",IF(K95&lt;=0,"Укажите объём",IF(K95&gt;F95,"Объём выше излишка",IF(COUNT(M95:O95)&lt;3,"Нужны цены",IF(COUNT(P95:R95)&lt;3,"Нужны расходы",IF(OR(M95&lt;0,N95&lt;0,O95&lt;0,O95&gt;100,P95&lt;0,Q95&lt;0,R95&lt;0,R95&gt;100),"Проверьте значения","Рассчитано")))))))</x:f>
        <x:v>Нужны цены</x:v>
      </x:c>
      <x:c r="K95" s="36" t="n">
        <x:v>5</x:v>
      </x:c>
      <x:c r="L95" s="19" t="str">
        <x:v>KZT</x:v>
      </x:c>
      <x:c r="M95" s="22"/>
      <x:c r="N95" s="22"/>
      <x:c r="O95" s="28"/>
      <x:c r="P95" s="22"/>
      <x:c r="Q95" s="22"/>
      <x:c r="R95" s="28"/>
      <x:c r="S95" s="22"/>
      <x:c r="T95" s="37" t="n">
        <x:f>K95</x:f>
        <x:v>5</x:v>
      </x:c>
      <x:c r="U95" s="21" t="str">
        <x:f>IF(J95="Рассчитано",N95*(1-O95/100),"н/д")</x:f>
        <x:v>н/д</x:v>
      </x:c>
      <x:c r="V95" s="21" t="str">
        <x:f>IF(J95="Рассчитано",T95*U95,"н/д")</x:f>
        <x:v>н/д</x:v>
      </x:c>
      <x:c r="W95" s="21" t="str">
        <x:f>IF(J95="Рассчитано",T95*M95,"н/д")</x:f>
        <x:v>н/д</x:v>
      </x:c>
      <x:c r="X95" s="21" t="str">
        <x:f>IF(J95="Рассчитано",V95-W95,"н/д")</x:f>
        <x:v>н/д</x:v>
      </x:c>
      <x:c r="Y95" s="27" t="str">
        <x:f>IF(J95="Рассчитано",IF(V95&gt;0,G95/V95,"н/д"),"н/д")</x:f>
        <x:v>н/д</x:v>
      </x:c>
      <x:c r="Z95" s="21" t="str">
        <x:f>"н/д"</x:f>
        <x:v>н/д</x:v>
      </x:c>
      <x:c r="AA95" s="21" t="str">
        <x:f>"н/д"</x:f>
        <x:v>н/д</x:v>
      </x:c>
      <x:c r="AB95" s="21" t="str">
        <x:f>"н/д"</x:f>
        <x:v>н/д</x:v>
      </x:c>
      <x:c r="AC95" s="21" t="str">
        <x:f>IF(AND(J95="Рассчитано",T95&gt;0,R95&lt;100),(W95+P95+Q95)/(T95*(1-R95/100)),"н/д")</x:f>
        <x:v>н/д</x:v>
      </x:c>
      <x:c r="AD95" s="10" t="str">
        <x:f>IF(ISNUMBER(G95),IF(G95&lt;0,"Убыток",IF(G95=0,"Без прибыли","Прибыль &gt; 0")),"Не оценён")</x:f>
        <x:v>Не оценён</x:v>
      </x:c>
      <x:c r="AE95" s="13" t="str">
        <x:f>IF(J95="Рассчитано","Выручка "&amp;TEXT(V95,"0.00")&amp;" - себестоимость "&amp;TEXT(W95,"0.00")&amp;" - комиссия "&amp;TEXT(V95*R95/100,"0.00")&amp;" - доставка "&amp;TEXT(P95,"0.00")&amp;" - прочие "&amp;TEXT(Q95,"0.00")&amp;" = "&amp;TEXT(G95,"0.00")&amp;" "&amp;L95,"Введите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" s="24" t="n">
        <x:v>1.960419207854085</x:v>
      </x:c>
      <x:c r="AG95" s="37" t="n">
        <x:v>7</x:v>
      </x:c>
      <x:c r="AH95" s="37" t="n">
        <x:v>0</x:v>
      </x:c>
      <x:c r="AI95" s="30" t="n">
        <x:v>46266</x:v>
      </x:c>
      <x:c r="AJ95" s="37" t="n">
        <x:v>12</x:v>
      </x:c>
      <x:c r="AK95" s="10" t="str">
        <x:v>минимум</x:v>
      </x:c>
      <x:c r="AL95" s="32" t="n">
        <x:v>303.64639909976347</x:v>
      </x:c>
      <x:c r="AM9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5" s="13" t="str">
        <x:v>Проверить свободный остаток и установить цену для B2B</x:v>
      </x:c>
      <x:c r="AO95" s="13" t="str">
        <x:v>Остаток 7; прогноз 90 дней 1.96; избыток 5 шт. Будущие поступления не выставляются на продажу. Остаток на начало сентября: требуется актуализация.</x:v>
      </x:c>
      <x:c r="AP95" s="13" t="str">
        <x:v>["category_missing", "daily_stockout_data_missing", "new_order_lead_time_unknown", "reservations_unknown", "stale_stock"]</x:v>
      </x:c>
      <x:c r="AQ95" s="10" t="str">
        <x:v>IEK:010700171_</x:v>
      </x:c>
      <x:c r="AR95" s="24" t="n">
        <x:v>1</x:v>
      </x:c>
      <x:c r="AS95" s="24" t="n">
        <x:v>0</x:v>
      </x:c>
      <x:c r="AT95" s="24" t="n">
        <x:v>0</x:v>
      </x:c>
    </x:row>
    <x:row r="96" ht="64" customHeight="1">
      <x:c r="A96" s="11" t="str">
        <x:v>IEK</x:v>
      </x:c>
      <x:c r="B96" s="33" t="str">
        <x:v>010700172_</x:v>
      </x:c>
      <x:c r="C96" s="33" t="str">
        <x:v>AR-B06S-1N-C32C030</x:v>
      </x:c>
      <x:c r="D96" s="12" t="str">
        <x:v>УЗО АВДТ 1P+NP 32 А 30мА ARMAT IEK (1)</x:v>
      </x:c>
      <x:c r="E96" s="11" t="str">
        <x:v>шт</x:v>
      </x:c>
      <x:c r="F96" s="35" t="n">
        <x:f>MAX(0,ROUNDDOWN((AG96-AF96)/AR96+0.000000001,0)*AR96)</x:f>
        <x:v>1</x:v>
      </x:c>
      <x:c r="G96" s="20" t="str">
        <x:f>IF(J96="Рассчитано",V96*(1-R96/100)-W96-P96-Q96,"н/д")</x:f>
        <x:v>н/д</x:v>
      </x:c>
      <x:c r="H96" s="12" t="str">
        <x:v>Высокий</x:v>
      </x:c>
      <x:c r="I96" s="12" t="str">
        <x:v>Высокий</x:v>
      </x:c>
      <x:c r="J96" s="12" t="str">
        <x:f>IF(L96="","Укажите валюту",IF(NOT(ISNUMBER(K96)),"Укажите объём",IF(K96&lt;=0,"Укажите объём",IF(K96&gt;F96,"Объём выше излишка",IF(COUNT(M96:O96)&lt;3,"Нужны цены",IF(COUNT(P96:R96)&lt;3,"Нужны расходы",IF(OR(M96&lt;0,N96&lt;0,O96&lt;0,O96&gt;100,P96&lt;0,Q96&lt;0,R96&lt;0,R96&gt;100),"Проверьте значения","Рассчитано")))))))</x:f>
        <x:v>Нужны цены</x:v>
      </x:c>
      <x:c r="K96" s="36" t="n">
        <x:v>1</x:v>
      </x:c>
      <x:c r="L96" s="19" t="str">
        <x:v>KZT</x:v>
      </x:c>
      <x:c r="M96" s="22"/>
      <x:c r="N96" s="22"/>
      <x:c r="O96" s="28"/>
      <x:c r="P96" s="22"/>
      <x:c r="Q96" s="22"/>
      <x:c r="R96" s="28"/>
      <x:c r="S96" s="22"/>
      <x:c r="T96" s="35" t="n">
        <x:f>K96</x:f>
        <x:v>1</x:v>
      </x:c>
      <x:c r="U96" s="20" t="str">
        <x:f>IF(J96="Рассчитано",N96*(1-O96/100),"н/д")</x:f>
        <x:v>н/д</x:v>
      </x:c>
      <x:c r="V96" s="20" t="str">
        <x:f>IF(J96="Рассчитано",T96*U96,"н/д")</x:f>
        <x:v>н/д</x:v>
      </x:c>
      <x:c r="W96" s="20" t="str">
        <x:f>IF(J96="Рассчитано",T96*M96,"н/д")</x:f>
        <x:v>н/д</x:v>
      </x:c>
      <x:c r="X96" s="20" t="str">
        <x:f>IF(J96="Рассчитано",V96-W96,"н/д")</x:f>
        <x:v>н/д</x:v>
      </x:c>
      <x:c r="Y96" s="26" t="str">
        <x:f>IF(J96="Рассчитано",IF(V96&gt;0,G96/V96,"н/д"),"н/д")</x:f>
        <x:v>н/д</x:v>
      </x:c>
      <x:c r="Z96" s="20" t="str">
        <x:f>"н/д"</x:f>
        <x:v>н/д</x:v>
      </x:c>
      <x:c r="AA96" s="20" t="str">
        <x:f>"н/д"</x:f>
        <x:v>н/д</x:v>
      </x:c>
      <x:c r="AB96" s="20" t="str">
        <x:f>"н/д"</x:f>
        <x:v>н/д</x:v>
      </x:c>
      <x:c r="AC96" s="20" t="str">
        <x:f>IF(AND(J96="Рассчитано",T96&gt;0,R96&lt;100),(W96+P96+Q96)/(T96*(1-R96/100)),"н/д")</x:f>
        <x:v>н/д</x:v>
      </x:c>
      <x:c r="AD96" s="11" t="str">
        <x:f>IF(ISNUMBER(G96),IF(G96&lt;0,"Убыток",IF(G96=0,"Без прибыли","Прибыль &gt; 0")),"Не оценён")</x:f>
        <x:v>Не оценён</x:v>
      </x:c>
      <x:c r="AE96" s="12" t="str">
        <x:f>IF(J96="Рассчитано","Выручка "&amp;TEXT(V96,"0.00")&amp;" - себестоимость "&amp;TEXT(W96,"0.00")&amp;" - комиссия "&amp;TEXT(V96*R96/100,"0.00")&amp;" - доставка "&amp;TEXT(P96,"0.00")&amp;" - прочие "&amp;TEXT(Q96,"0.00")&amp;" = "&amp;TEXT(G96,"0.00")&amp;" "&amp;L96,"Введите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" s="23" t="n">
        <x:v>0.7860764616337149</x:v>
      </x:c>
      <x:c r="AG96" s="35" t="n">
        <x:v>2</x:v>
      </x:c>
      <x:c r="AH96" s="35" t="n">
        <x:v>0</x:v>
      </x:c>
      <x:c r="AI96" s="29" t="n">
        <x:v>46266</x:v>
      </x:c>
      <x:c r="AJ96" s="35" t="n">
        <x:v>1</x:v>
      </x:c>
      <x:c r="AK96" s="11" t="str">
        <x:v>минимум</x:v>
      </x:c>
      <x:c r="AL96" s="31" t="n">
        <x:v>216.3636244580861</x:v>
      </x:c>
      <x:c r="AM9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6" s="12" t="str">
        <x:v>Проверить свободный остаток и установить цену для B2B</x:v>
      </x:c>
      <x:c r="AO96" s="12" t="str">
        <x:v>Остаток 2; прогноз 90 дней 0.79; избыток 1 шт. Будущие поступления не выставляются на продажу. Остаток на начало сентября: требуется актуализация.</x:v>
      </x:c>
      <x:c r="AP96" s="12" t="str">
        <x:v>["category_missing", "daily_stockout_data_missing", "new_order_lead_time_unknown", "reservations_unknown", "stale_stock"]</x:v>
      </x:c>
      <x:c r="AQ96" s="11" t="str">
        <x:v>IEK:010700172_</x:v>
      </x:c>
      <x:c r="AR96" s="23" t="n">
        <x:v>1</x:v>
      </x:c>
      <x:c r="AS96" s="23" t="n">
        <x:v>0</x:v>
      </x:c>
      <x:c r="AT96" s="23" t="n">
        <x:v>0</x:v>
      </x:c>
    </x:row>
    <x:row r="97" ht="64" customHeight="1">
      <x:c r="A97" s="10" t="str">
        <x:v>IEK</x:v>
      </x:c>
      <x:c r="B97" s="34" t="str">
        <x:v>010700175_</x:v>
      </x:c>
      <x:c r="C97" s="34" t="str">
        <x:v>YKM80-320-54</x:v>
      </x:c>
      <x:c r="D97" s="13" t="str">
        <x:v>Распределительное устройство  РУСп – 3х16/3+2х16/5 У1 IP44</x:v>
      </x:c>
      <x:c r="E97" s="10" t="str">
        <x:v>шт</x:v>
      </x:c>
      <x:c r="F97" s="37" t="n">
        <x:f>MAX(0,ROUNDDOWN((AG97-AF97)/AR97+0.000000001,0)*AR97)</x:f>
        <x:v>1</x:v>
      </x:c>
      <x:c r="G97" s="21" t="str">
        <x:f>IF(J97="Рассчитано",V97*(1-R97/100)-W97-P97-Q97,"н/д")</x:f>
        <x:v>н/д</x:v>
      </x:c>
      <x:c r="H97" s="13" t="str">
        <x:v>Высокий</x:v>
      </x:c>
      <x:c r="I97" s="13" t="str">
        <x:v>Высокий</x:v>
      </x:c>
      <x:c r="J97" s="13" t="str">
        <x:f>IF(L97="","Укажите валюту",IF(NOT(ISNUMBER(K97)),"Укажите объём",IF(K97&lt;=0,"Укажите объём",IF(K97&gt;F97,"Объём выше излишка",IF(COUNT(M97:O97)&lt;3,"Нужны цены",IF(COUNT(P97:R97)&lt;3,"Нужны расходы",IF(OR(M97&lt;0,N97&lt;0,O97&lt;0,O97&gt;100,P97&lt;0,Q97&lt;0,R97&lt;0,R97&gt;100),"Проверьте значения","Рассчитано")))))))</x:f>
        <x:v>Нужны цены</x:v>
      </x:c>
      <x:c r="K97" s="36" t="n">
        <x:v>1</x:v>
      </x:c>
      <x:c r="L97" s="19" t="str">
        <x:v>KZT</x:v>
      </x:c>
      <x:c r="M97" s="22"/>
      <x:c r="N97" s="22"/>
      <x:c r="O97" s="28"/>
      <x:c r="P97" s="22"/>
      <x:c r="Q97" s="22"/>
      <x:c r="R97" s="28"/>
      <x:c r="S97" s="22"/>
      <x:c r="T97" s="37" t="n">
        <x:f>K97</x:f>
        <x:v>1</x:v>
      </x:c>
      <x:c r="U97" s="21" t="str">
        <x:f>IF(J97="Рассчитано",N97*(1-O97/100),"н/д")</x:f>
        <x:v>н/д</x:v>
      </x:c>
      <x:c r="V97" s="21" t="str">
        <x:f>IF(J97="Рассчитано",T97*U97,"н/д")</x:f>
        <x:v>н/д</x:v>
      </x:c>
      <x:c r="W97" s="21" t="str">
        <x:f>IF(J97="Рассчитано",T97*M97,"н/д")</x:f>
        <x:v>н/д</x:v>
      </x:c>
      <x:c r="X97" s="21" t="str">
        <x:f>IF(J97="Рассчитано",V97-W97,"н/д")</x:f>
        <x:v>н/д</x:v>
      </x:c>
      <x:c r="Y97" s="27" t="str">
        <x:f>IF(J97="Рассчитано",IF(V97&gt;0,G97/V97,"н/д"),"н/д")</x:f>
        <x:v>н/д</x:v>
      </x:c>
      <x:c r="Z97" s="21" t="str">
        <x:f>"н/д"</x:f>
        <x:v>н/д</x:v>
      </x:c>
      <x:c r="AA97" s="21" t="str">
        <x:f>"н/д"</x:f>
        <x:v>н/д</x:v>
      </x:c>
      <x:c r="AB97" s="21" t="str">
        <x:f>"н/д"</x:f>
        <x:v>н/д</x:v>
      </x:c>
      <x:c r="AC97" s="21" t="str">
        <x:f>IF(AND(J97="Рассчитано",T97&gt;0,R97&lt;100),(W97+P97+Q97)/(T97*(1-R97/100)),"н/д")</x:f>
        <x:v>н/д</x:v>
      </x:c>
      <x:c r="AD97" s="10" t="str">
        <x:f>IF(ISNUMBER(G97),IF(G97&lt;0,"Убыток",IF(G97=0,"Без прибыли","Прибыль &gt; 0")),"Не оценён")</x:f>
        <x:v>Не оценён</x:v>
      </x:c>
      <x:c r="AE97" s="13" t="str">
        <x:f>IF(J97="Рассчитано","Выручка "&amp;TEXT(V97,"0.00")&amp;" - себестоимость "&amp;TEXT(W97,"0.00")&amp;" - комиссия "&amp;TEXT(V97*R97/100,"0.00")&amp;" - доставка "&amp;TEXT(P97,"0.00")&amp;" - прочие "&amp;TEXT(Q97,"0.00")&amp;" = "&amp;TEXT(G97,"0.00")&amp;" "&amp;L97,"Введите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" s="24" t="n">
        <x:v>0</x:v>
      </x:c>
      <x:c r="AG97" s="37" t="n">
        <x:v>1</x:v>
      </x:c>
      <x:c r="AH97" s="37" t="n">
        <x:v>0</x:v>
      </x:c>
      <x:c r="AI97" s="30" t="n">
        <x:v>46266</x:v>
      </x:c>
      <x:c r="AJ97" s="37" t="n">
        <x:v>1</x:v>
      </x:c>
      <x:c r="AK97" s="10" t="str">
        <x:v>минимум</x:v>
      </x:c>
      <x:c r="AL97" s="32" t="str">
        <x:v>н/д</x:v>
      </x:c>
      <x:c r="AM9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7" s="13" t="str">
        <x:v>Проверить свободный остаток и установить цену для B2B</x:v>
      </x:c>
      <x:c r="AO97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7" s="13" t="str">
        <x:v>["category_missing", "daily_stockout_data_missing", "new_order_lead_time_unknown", "reservations_unknown", "stale_stock"]</x:v>
      </x:c>
      <x:c r="AQ97" s="10" t="str">
        <x:v>IEK:010700175_</x:v>
      </x:c>
      <x:c r="AR97" s="24" t="n">
        <x:v>1</x:v>
      </x:c>
      <x:c r="AS97" s="24" t="n">
        <x:v>0</x:v>
      </x:c>
      <x:c r="AT97" s="24" t="n">
        <x:v>0</x:v>
      </x:c>
    </x:row>
    <x:row r="98" ht="64" customHeight="1">
      <x:c r="A98" s="11" t="str">
        <x:v>IEK</x:v>
      </x:c>
      <x:c r="B98" s="33" t="str">
        <x:v>010800001_</x:v>
      </x:c>
      <x:c r="C98" s="33" t="str">
        <x:v>SVA10-3-0100</x:v>
      </x:c>
      <x:c r="D98" s="12" t="str">
        <x:v>ВА 88-32 (3ф) 100А IEK (1/20)</x:v>
      </x:c>
      <x:c r="E98" s="11" t="str">
        <x:v>шт</x:v>
      </x:c>
      <x:c r="F98" s="35" t="n">
        <x:f>MAX(0,ROUNDDOWN((AG98-AF98)/AR98+0.000000001,0)*AR98)</x:f>
        <x:v>17</x:v>
      </x:c>
      <x:c r="G98" s="20" t="str">
        <x:f>IF(J98="Рассчитано",V98*(1-R98/100)-W98-P98-Q98,"н/д")</x:f>
        <x:v>н/д</x:v>
      </x:c>
      <x:c r="H98" s="12" t="str">
        <x:v>Высокий</x:v>
      </x:c>
      <x:c r="I98" s="12" t="str">
        <x:v>Средний</x:v>
      </x:c>
      <x:c r="J98" s="12" t="str">
        <x:f>IF(L98="","Укажите валюту",IF(NOT(ISNUMBER(K98)),"Укажите объём",IF(K98&lt;=0,"Укажите объём",IF(K98&gt;F98,"Объём выше излишка",IF(COUNT(M98:O98)&lt;3,"Нужны цены",IF(COUNT(P98:R98)&lt;3,"Нужны расходы",IF(OR(M98&lt;0,N98&lt;0,O98&lt;0,O98&gt;100,P98&lt;0,Q98&lt;0,R98&lt;0,R98&gt;100),"Проверьте значения","Рассчитано")))))))</x:f>
        <x:v>Нужны цены</x:v>
      </x:c>
      <x:c r="K98" s="36" t="n">
        <x:v>17</x:v>
      </x:c>
      <x:c r="L98" s="19" t="str">
        <x:v>KZT</x:v>
      </x:c>
      <x:c r="M98" s="22"/>
      <x:c r="N98" s="22"/>
      <x:c r="O98" s="28"/>
      <x:c r="P98" s="22"/>
      <x:c r="Q98" s="22"/>
      <x:c r="R98" s="28"/>
      <x:c r="S98" s="22"/>
      <x:c r="T98" s="35" t="n">
        <x:f>K98</x:f>
        <x:v>17</x:v>
      </x:c>
      <x:c r="U98" s="20" t="str">
        <x:f>IF(J98="Рассчитано",N98*(1-O98/100),"н/д")</x:f>
        <x:v>н/д</x:v>
      </x:c>
      <x:c r="V98" s="20" t="str">
        <x:f>IF(J98="Рассчитано",T98*U98,"н/д")</x:f>
        <x:v>н/д</x:v>
      </x:c>
      <x:c r="W98" s="20" t="str">
        <x:f>IF(J98="Рассчитано",T98*M98,"н/д")</x:f>
        <x:v>н/д</x:v>
      </x:c>
      <x:c r="X98" s="20" t="str">
        <x:f>IF(J98="Рассчитано",V98-W98,"н/д")</x:f>
        <x:v>н/д</x:v>
      </x:c>
      <x:c r="Y98" s="26" t="str">
        <x:f>IF(J98="Рассчитано",IF(V98&gt;0,G98/V98,"н/д"),"н/д")</x:f>
        <x:v>н/д</x:v>
      </x:c>
      <x:c r="Z98" s="20" t="str">
        <x:f>"н/д"</x:f>
        <x:v>н/д</x:v>
      </x:c>
      <x:c r="AA98" s="20" t="str">
        <x:f>"н/д"</x:f>
        <x:v>н/д</x:v>
      </x:c>
      <x:c r="AB98" s="20" t="str">
        <x:f>"н/д"</x:f>
        <x:v>н/д</x:v>
      </x:c>
      <x:c r="AC98" s="20" t="str">
        <x:f>IF(AND(J98="Рассчитано",T98&gt;0,R98&lt;100),(W98+P98+Q98)/(T98*(1-R98/100)),"н/д")</x:f>
        <x:v>н/д</x:v>
      </x:c>
      <x:c r="AD98" s="11" t="str">
        <x:f>IF(ISNUMBER(G98),IF(G98&lt;0,"Убыток",IF(G98=0,"Без прибыли","Прибыль &gt; 0")),"Не оценён")</x:f>
        <x:v>Не оценён</x:v>
      </x:c>
      <x:c r="AE98" s="12" t="str">
        <x:f>IF(J98="Рассчитано","Выручка "&amp;TEXT(V98,"0.00")&amp;" - себестоимость "&amp;TEXT(W98,"0.00")&amp;" - комиссия "&amp;TEXT(V98*R98/100,"0.00")&amp;" - доставка "&amp;TEXT(P98,"0.00")&amp;" - прочие "&amp;TEXT(Q98,"0.00")&amp;" = "&amp;TEXT(G98,"0.00")&amp;" "&amp;L98,"Введите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" s="23" t="n">
        <x:v>98.84364138068717</x:v>
      </x:c>
      <x:c r="AG98" s="35" t="n">
        <x:v>116</x:v>
      </x:c>
      <x:c r="AH98" s="35" t="n">
        <x:v>50</x:v>
      </x:c>
      <x:c r="AI98" s="29" t="n">
        <x:v>46266</x:v>
      </x:c>
      <x:c r="AJ98" s="35" t="n">
        <x:v>1</x:v>
      </x:c>
      <x:c r="AK98" s="11" t="str">
        <x:v>минимум</x:v>
      </x:c>
      <x:c r="AL98" s="31" t="n">
        <x:v>99.7994842960367</x:v>
      </x:c>
      <x:c r="AM9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98" s="12" t="str">
        <x:v>Проверить свободный остаток и установить цену для B2B</x:v>
      </x:c>
      <x:c r="AO98" s="12" t="str">
        <x:v>Остаток 116; прогноз 90 дней 98.84; избыток 17 шт. Будущие поступления не выставляются на продажу. Остаток на начало сентября: требуется актуализация.</x:v>
      </x:c>
      <x:c r="AP98" s="12" t="str">
        <x:v>["category_missing", "daily_stockout_data_missing", "large_orders_detected", "new_order_lead_time_unknown", "reservations_unknown", "stale_stock", "transaction_month_mismatch"]</x:v>
      </x:c>
      <x:c r="AQ98" s="11" t="str">
        <x:v>IEK:010800001_</x:v>
      </x:c>
      <x:c r="AR98" s="23" t="n">
        <x:v>1</x:v>
      </x:c>
      <x:c r="AS98" s="23" t="n">
        <x:v>0</x:v>
      </x:c>
      <x:c r="AT98" s="23" t="n">
        <x:v>0</x:v>
      </x:c>
    </x:row>
    <x:row r="99" ht="64" customHeight="1">
      <x:c r="A99" s="10" t="str">
        <x:v>IEK</x:v>
      </x:c>
      <x:c r="B99" s="34" t="str">
        <x:v>010800003_</x:v>
      </x:c>
      <x:c r="C99" s="34" t="str">
        <x:v>SVA20-3-0160</x:v>
      </x:c>
      <x:c r="D99" s="13" t="str">
        <x:v>ВА 88-33 (3ф) 160А IEK (1/16)</x:v>
      </x:c>
      <x:c r="E99" s="10" t="str">
        <x:v>шт</x:v>
      </x:c>
      <x:c r="F99" s="37" t="n">
        <x:f>MAX(0,ROUNDDOWN((AG99-AF99)/AR99+0.000000001,0)*AR99)</x:f>
        <x:v>12</x:v>
      </x:c>
      <x:c r="G99" s="21" t="str">
        <x:f>IF(J99="Рассчитано",V99*(1-R99/100)-W99-P99-Q99,"н/д")</x:f>
        <x:v>н/д</x:v>
      </x:c>
      <x:c r="H99" s="13" t="str">
        <x:v>Высокий</x:v>
      </x:c>
      <x:c r="I99" s="13" t="str">
        <x:v>Средний</x:v>
      </x:c>
      <x:c r="J99" s="13" t="str">
        <x:f>IF(L99="","Укажите валюту",IF(NOT(ISNUMBER(K99)),"Укажите объём",IF(K99&lt;=0,"Укажите объём",IF(K99&gt;F99,"Объём выше излишка",IF(COUNT(M99:O99)&lt;3,"Нужны цены",IF(COUNT(P99:R99)&lt;3,"Нужны расходы",IF(OR(M99&lt;0,N99&lt;0,O99&lt;0,O99&gt;100,P99&lt;0,Q99&lt;0,R99&lt;0,R99&gt;100),"Проверьте значения","Рассчитано")))))))</x:f>
        <x:v>Нужны цены</x:v>
      </x:c>
      <x:c r="K99" s="36" t="n">
        <x:v>12</x:v>
      </x:c>
      <x:c r="L99" s="19" t="str">
        <x:v>KZT</x:v>
      </x:c>
      <x:c r="M99" s="22"/>
      <x:c r="N99" s="22"/>
      <x:c r="O99" s="28"/>
      <x:c r="P99" s="22"/>
      <x:c r="Q99" s="22"/>
      <x:c r="R99" s="28"/>
      <x:c r="S99" s="22"/>
      <x:c r="T99" s="37" t="n">
        <x:f>K99</x:f>
        <x:v>12</x:v>
      </x:c>
      <x:c r="U99" s="21" t="str">
        <x:f>IF(J99="Рассчитано",N99*(1-O99/100),"н/д")</x:f>
        <x:v>н/д</x:v>
      </x:c>
      <x:c r="V99" s="21" t="str">
        <x:f>IF(J99="Рассчитано",T99*U99,"н/д")</x:f>
        <x:v>н/д</x:v>
      </x:c>
      <x:c r="W99" s="21" t="str">
        <x:f>IF(J99="Рассчитано",T99*M99,"н/д")</x:f>
        <x:v>н/д</x:v>
      </x:c>
      <x:c r="X99" s="21" t="str">
        <x:f>IF(J99="Рассчитано",V99-W99,"н/д")</x:f>
        <x:v>н/д</x:v>
      </x:c>
      <x:c r="Y99" s="27" t="str">
        <x:f>IF(J99="Рассчитано",IF(V99&gt;0,G99/V99,"н/д"),"н/д")</x:f>
        <x:v>н/д</x:v>
      </x:c>
      <x:c r="Z99" s="21" t="str">
        <x:f>"н/д"</x:f>
        <x:v>н/д</x:v>
      </x:c>
      <x:c r="AA99" s="21" t="str">
        <x:f>"н/д"</x:f>
        <x:v>н/д</x:v>
      </x:c>
      <x:c r="AB99" s="21" t="str">
        <x:f>"н/д"</x:f>
        <x:v>н/д</x:v>
      </x:c>
      <x:c r="AC99" s="21" t="str">
        <x:f>IF(AND(J99="Рассчитано",T99&gt;0,R99&lt;100),(W99+P99+Q99)/(T99*(1-R99/100)),"н/д")</x:f>
        <x:v>н/д</x:v>
      </x:c>
      <x:c r="AD99" s="10" t="str">
        <x:f>IF(ISNUMBER(G99),IF(G99&lt;0,"Убыток",IF(G99=0,"Без прибыли","Прибыль &gt; 0")),"Не оценён")</x:f>
        <x:v>Не оценён</x:v>
      </x:c>
      <x:c r="AE99" s="13" t="str">
        <x:f>IF(J99="Рассчитано","Выручка "&amp;TEXT(V99,"0.00")&amp;" - себестоимость "&amp;TEXT(W99,"0.00")&amp;" - комиссия "&amp;TEXT(V99*R99/100,"0.00")&amp;" - доставка "&amp;TEXT(P99,"0.00")&amp;" - прочие "&amp;TEXT(Q99,"0.00")&amp;" = "&amp;TEXT(G99,"0.00")&amp;" "&amp;L99,"Введите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" s="24" t="n">
        <x:v>147.7228696566429</x:v>
      </x:c>
      <x:c r="AG99" s="37" t="n">
        <x:v>160</x:v>
      </x:c>
      <x:c r="AH99" s="37" t="n">
        <x:v>48</x:v>
      </x:c>
      <x:c r="AI99" s="30" t="n">
        <x:v>46266</x:v>
      </x:c>
      <x:c r="AJ99" s="37" t="n">
        <x:v>1</x:v>
      </x:c>
      <x:c r="AK99" s="10" t="str">
        <x:v>минимум</x:v>
      </x:c>
      <x:c r="AL99" s="32" t="n">
        <x:v>92.10671454491889</x:v>
      </x:c>
      <x:c r="AM9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99" s="13" t="str">
        <x:v>Проверить свободный остаток и установить цену для B2B</x:v>
      </x:c>
      <x:c r="AO99" s="13" t="str">
        <x:v>Остаток 160; прогноз 90 дней 147.72; избыток 12 шт. Будущие поступления не выставляются на продажу. Остаток на начало сентября: требуется актуализация.</x:v>
      </x:c>
      <x:c r="AP99" s="13" t="str">
        <x:v>["category_missing", "daily_stockout_data_missing", "large_orders_detected", "new_order_lead_time_unknown", "reservations_unknown", "stale_stock", "transaction_month_mismatch"]</x:v>
      </x:c>
      <x:c r="AQ99" s="10" t="str">
        <x:v>IEK:010800003_</x:v>
      </x:c>
      <x:c r="AR99" s="24" t="n">
        <x:v>1</x:v>
      </x:c>
      <x:c r="AS99" s="24" t="n">
        <x:v>0</x:v>
      </x:c>
      <x:c r="AT99" s="24" t="n">
        <x:v>0</x:v>
      </x:c>
    </x:row>
    <x:row r="100" ht="64" customHeight="1">
      <x:c r="A100" s="11" t="str">
        <x:v>IEK</x:v>
      </x:c>
      <x:c r="B100" s="33" t="str">
        <x:v>010800004_</x:v>
      </x:c>
      <x:c r="C100" s="33" t="str">
        <x:v>SVA30-3-0250</x:v>
      </x:c>
      <x:c r="D100" s="12" t="str">
        <x:v>ВА 88-35 (3ф) 250А IEK (1/6)</x:v>
      </x:c>
      <x:c r="E100" s="11" t="str">
        <x:v>шт</x:v>
      </x:c>
      <x:c r="F100" s="35" t="n">
        <x:f>MAX(0,ROUNDDOWN((AG100-AF100)/AR100+0.000000001,0)*AR100)</x:f>
        <x:v>41</x:v>
      </x:c>
      <x:c r="G100" s="20" t="str">
        <x:f>IF(J100="Рассчитано",V100*(1-R100/100)-W100-P100-Q100,"н/д")</x:f>
        <x:v>н/д</x:v>
      </x:c>
      <x:c r="H100" s="12" t="str">
        <x:v>Высокий</x:v>
      </x:c>
      <x:c r="I100" s="12" t="str">
        <x:v>Средний</x:v>
      </x:c>
      <x:c r="J100" s="12" t="str">
        <x:f>IF(L100="","Укажите валюту",IF(NOT(ISNUMBER(K100)),"Укажите объём",IF(K100&lt;=0,"Укажите объём",IF(K100&gt;F100,"Объём выше излишка",IF(COUNT(M100:O100)&lt;3,"Нужны цены",IF(COUNT(P100:R100)&lt;3,"Нужны расходы",IF(OR(M100&lt;0,N100&lt;0,O100&lt;0,O100&gt;100,P100&lt;0,Q100&lt;0,R100&lt;0,R100&gt;100),"Проверьте значения","Рассчитано")))))))</x:f>
        <x:v>Нужны цены</x:v>
      </x:c>
      <x:c r="K100" s="36" t="n">
        <x:v>41</x:v>
      </x:c>
      <x:c r="L100" s="19" t="str">
        <x:v>KZT</x:v>
      </x:c>
      <x:c r="M100" s="22"/>
      <x:c r="N100" s="22"/>
      <x:c r="O100" s="28"/>
      <x:c r="P100" s="22"/>
      <x:c r="Q100" s="22"/>
      <x:c r="R100" s="28"/>
      <x:c r="S100" s="22"/>
      <x:c r="T100" s="35" t="n">
        <x:f>K100</x:f>
        <x:v>41</x:v>
      </x:c>
      <x:c r="U100" s="20" t="str">
        <x:f>IF(J100="Рассчитано",N100*(1-O100/100),"н/д")</x:f>
        <x:v>н/д</x:v>
      </x:c>
      <x:c r="V100" s="20" t="str">
        <x:f>IF(J100="Рассчитано",T100*U100,"н/д")</x:f>
        <x:v>н/д</x:v>
      </x:c>
      <x:c r="W100" s="20" t="str">
        <x:f>IF(J100="Рассчитано",T100*M100,"н/д")</x:f>
        <x:v>н/д</x:v>
      </x:c>
      <x:c r="X100" s="20" t="str">
        <x:f>IF(J100="Рассчитано",V100-W100,"н/д")</x:f>
        <x:v>н/д</x:v>
      </x:c>
      <x:c r="Y100" s="26" t="str">
        <x:f>IF(J100="Рассчитано",IF(V100&gt;0,G100/V100,"н/д"),"н/д")</x:f>
        <x:v>н/д</x:v>
      </x:c>
      <x:c r="Z100" s="20" t="str">
        <x:f>"н/д"</x:f>
        <x:v>н/д</x:v>
      </x:c>
      <x:c r="AA100" s="20" t="str">
        <x:f>"н/д"</x:f>
        <x:v>н/д</x:v>
      </x:c>
      <x:c r="AB100" s="20" t="str">
        <x:f>"н/д"</x:f>
        <x:v>н/д</x:v>
      </x:c>
      <x:c r="AC100" s="20" t="str">
        <x:f>IF(AND(J100="Рассчитано",T100&gt;0,R100&lt;100),(W100+P100+Q100)/(T100*(1-R100/100)),"н/д")</x:f>
        <x:v>н/д</x:v>
      </x:c>
      <x:c r="AD100" s="11" t="str">
        <x:f>IF(ISNUMBER(G100),IF(G100&lt;0,"Убыток",IF(G100=0,"Без прибыли","Прибыль &gt; 0")),"Не оценён")</x:f>
        <x:v>Не оценён</x:v>
      </x:c>
      <x:c r="AE100" s="12" t="str">
        <x:f>IF(J100="Рассчитано","Выручка "&amp;TEXT(V100,"0.00")&amp;" - себестоимость "&amp;TEXT(W100,"0.00")&amp;" - комиссия "&amp;TEXT(V100*R100/100,"0.00")&amp;" - доставка "&amp;TEXT(P100,"0.00")&amp;" - прочие "&amp;TEXT(Q100,"0.00")&amp;" = "&amp;TEXT(G100,"0.00")&amp;" "&amp;L100,"Введите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" s="23" t="n">
        <x:v>132.79705267064142</x:v>
      </x:c>
      <x:c r="AG100" s="35" t="n">
        <x:v>174</x:v>
      </x:c>
      <x:c r="AH100" s="35" t="n">
        <x:v>30</x:v>
      </x:c>
      <x:c r="AI100" s="29" t="n">
        <x:v>46266</x:v>
      </x:c>
      <x:c r="AJ100" s="35" t="n">
        <x:v>1</x:v>
      </x:c>
      <x:c r="AK100" s="11" t="str">
        <x:v>минимум</x:v>
      </x:c>
      <x:c r="AL100" s="31" t="n">
        <x:v>111.4242850728094</x:v>
      </x:c>
      <x:c r="AM10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0" s="12" t="str">
        <x:v>Проверить свободный остаток и установить цену для B2B</x:v>
      </x:c>
      <x:c r="AO100" s="12" t="str">
        <x:v>Остаток 174; прогноз 90 дней 132.80; избыток 41 шт. Будущие поступления не выставляются на продажу. Остаток на начало сентября: требуется актуализация.</x:v>
      </x:c>
      <x:c r="AP100" s="12" t="str">
        <x:v>["category_missing", "daily_stockout_data_missing", "large_orders_detected", "new_order_lead_time_unknown", "reservations_unknown", "stale_stock", "transaction_month_mismatch"]</x:v>
      </x:c>
      <x:c r="AQ100" s="11" t="str">
        <x:v>IEK:010800004_</x:v>
      </x:c>
      <x:c r="AR100" s="23" t="n">
        <x:v>1</x:v>
      </x:c>
      <x:c r="AS100" s="23" t="n">
        <x:v>0</x:v>
      </x:c>
      <x:c r="AT100" s="23" t="n">
        <x:v>0</x:v>
      </x:c>
    </x:row>
    <x:row r="101" ht="64" customHeight="1">
      <x:c r="A101" s="10" t="str">
        <x:v>IEK</x:v>
      </x:c>
      <x:c r="B101" s="34" t="str">
        <x:v>010800005_</x:v>
      </x:c>
      <x:c r="C101" s="34" t="str">
        <x:v>SVA40-3-0400</x:v>
      </x:c>
      <x:c r="D101" s="13" t="str">
        <x:v>ВА 88-37 (3ф) 400А IEK (1/4)</x:v>
      </x:c>
      <x:c r="E101" s="10" t="str">
        <x:v>шт</x:v>
      </x:c>
      <x:c r="F101" s="37" t="n">
        <x:f>MAX(0,ROUNDDOWN((AG101-AF101)/AR101+0.000000001,0)*AR101)</x:f>
        <x:v>30</x:v>
      </x:c>
      <x:c r="G101" s="21" t="str">
        <x:f>IF(J101="Рассчитано",V101*(1-R101/100)-W101-P101-Q101,"н/д")</x:f>
        <x:v>н/д</x:v>
      </x:c>
      <x:c r="H101" s="13" t="str">
        <x:v>Высокий</x:v>
      </x:c>
      <x:c r="I101" s="13" t="str">
        <x:v>Средний</x:v>
      </x:c>
      <x:c r="J101" s="13" t="str">
        <x:f>IF(L101="","Укажите валюту",IF(NOT(ISNUMBER(K101)),"Укажите объём",IF(K101&lt;=0,"Укажите объём",IF(K101&gt;F101,"Объём выше излишка",IF(COUNT(M101:O101)&lt;3,"Нужны цены",IF(COUNT(P101:R101)&lt;3,"Нужны расходы",IF(OR(M101&lt;0,N101&lt;0,O101&lt;0,O101&gt;100,P101&lt;0,Q101&lt;0,R101&lt;0,R101&gt;100),"Проверьте значения","Рассчитано")))))))</x:f>
        <x:v>Нужны цены</x:v>
      </x:c>
      <x:c r="K101" s="36" t="n">
        <x:v>30</x:v>
      </x:c>
      <x:c r="L101" s="19" t="str">
        <x:v>KZT</x:v>
      </x:c>
      <x:c r="M101" s="22"/>
      <x:c r="N101" s="22"/>
      <x:c r="O101" s="28"/>
      <x:c r="P101" s="22"/>
      <x:c r="Q101" s="22"/>
      <x:c r="R101" s="28"/>
      <x:c r="S101" s="22"/>
      <x:c r="T101" s="37" t="n">
        <x:f>K101</x:f>
        <x:v>30</x:v>
      </x:c>
      <x:c r="U101" s="21" t="str">
        <x:f>IF(J101="Рассчитано",N101*(1-O101/100),"н/д")</x:f>
        <x:v>н/д</x:v>
      </x:c>
      <x:c r="V101" s="21" t="str">
        <x:f>IF(J101="Рассчитано",T101*U101,"н/д")</x:f>
        <x:v>н/д</x:v>
      </x:c>
      <x:c r="W101" s="21" t="str">
        <x:f>IF(J101="Рассчитано",T101*M101,"н/д")</x:f>
        <x:v>н/д</x:v>
      </x:c>
      <x:c r="X101" s="21" t="str">
        <x:f>IF(J101="Рассчитано",V101-W101,"н/д")</x:f>
        <x:v>н/д</x:v>
      </x:c>
      <x:c r="Y101" s="27" t="str">
        <x:f>IF(J101="Рассчитано",IF(V101&gt;0,G101/V101,"н/д"),"н/д")</x:f>
        <x:v>н/д</x:v>
      </x:c>
      <x:c r="Z101" s="21" t="str">
        <x:f>"н/д"</x:f>
        <x:v>н/д</x:v>
      </x:c>
      <x:c r="AA101" s="21" t="str">
        <x:f>"н/д"</x:f>
        <x:v>н/д</x:v>
      </x:c>
      <x:c r="AB101" s="21" t="str">
        <x:f>"н/д"</x:f>
        <x:v>н/д</x:v>
      </x:c>
      <x:c r="AC101" s="21" t="str">
        <x:f>IF(AND(J101="Рассчитано",T101&gt;0,R101&lt;100),(W101+P101+Q101)/(T101*(1-R101/100)),"н/д")</x:f>
        <x:v>н/д</x:v>
      </x:c>
      <x:c r="AD101" s="10" t="str">
        <x:f>IF(ISNUMBER(G101),IF(G101&lt;0,"Убыток",IF(G101=0,"Без прибыли","Прибыль &gt; 0")),"Не оценён")</x:f>
        <x:v>Не оценён</x:v>
      </x:c>
      <x:c r="AE101" s="13" t="str">
        <x:f>IF(J101="Рассчитано","Выручка "&amp;TEXT(V101,"0.00")&amp;" - себестоимость "&amp;TEXT(W101,"0.00")&amp;" - комиссия "&amp;TEXT(V101*R101/100,"0.00")&amp;" - доставка "&amp;TEXT(P101,"0.00")&amp;" - прочие "&amp;TEXT(Q101,"0.00")&amp;" = "&amp;TEXT(G101,"0.00")&amp;" "&amp;L101,"Введите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" s="24" t="n">
        <x:v>72.93162663233242</x:v>
      </x:c>
      <x:c r="AG101" s="37" t="n">
        <x:v>103</x:v>
      </x:c>
      <x:c r="AH101" s="37" t="n">
        <x:v>24</x:v>
      </x:c>
      <x:c r="AI101" s="30" t="n">
        <x:v>46266</x:v>
      </x:c>
      <x:c r="AJ101" s="37" t="n">
        <x:v>1</x:v>
      </x:c>
      <x:c r="AK101" s="10" t="str">
        <x:v>минимум</x:v>
      </x:c>
      <x:c r="AL101" s="32" t="n">
        <x:v>120.099270371137</x:v>
      </x:c>
      <x:c r="AM10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1" s="13" t="str">
        <x:v>Проверить свободный остаток и установить цену для B2B</x:v>
      </x:c>
      <x:c r="AO101" s="13" t="str">
        <x:v>Остаток 103; прогноз 90 дней 72.93; избыток 30 шт. Будущие поступления не выставляются на продажу. Остаток на начало сентября: требуется актуализация.</x:v>
      </x:c>
      <x:c r="AP101" s="13" t="str">
        <x:v>["category_missing", "daily_stockout_data_missing", "large_orders_detected", "new_order_lead_time_unknown", "reservations_unknown", "stale_stock", "transaction_month_mismatch"]</x:v>
      </x:c>
      <x:c r="AQ101" s="10" t="str">
        <x:v>IEK:010800005_</x:v>
      </x:c>
      <x:c r="AR101" s="24" t="n">
        <x:v>1</x:v>
      </x:c>
      <x:c r="AS101" s="24" t="n">
        <x:v>0</x:v>
      </x:c>
      <x:c r="AT101" s="24" t="n">
        <x:v>0</x:v>
      </x:c>
    </x:row>
    <x:row r="102" ht="64" customHeight="1">
      <x:c r="A102" s="11" t="str">
        <x:v>IEK</x:v>
      </x:c>
      <x:c r="B102" s="33" t="str">
        <x:v>010800006_</x:v>
      </x:c>
      <x:c r="C102" s="33" t="str">
        <x:v>SVA50-3-0630</x:v>
      </x:c>
      <x:c r="D102" s="12" t="str">
        <x:v>ВА 88-40 (3ф) 630А IEK (1/2)</x:v>
      </x:c>
      <x:c r="E102" s="11" t="str">
        <x:v>шт</x:v>
      </x:c>
      <x:c r="F102" s="35" t="n">
        <x:f>MAX(0,ROUNDDOWN((AG102-AF102)/AR102+0.000000001,0)*AR102)</x:f>
        <x:v>26</x:v>
      </x:c>
      <x:c r="G102" s="20" t="str">
        <x:f>IF(J102="Рассчитано",V102*(1-R102/100)-W102-P102-Q102,"н/д")</x:f>
        <x:v>н/д</x:v>
      </x:c>
      <x:c r="H102" s="12" t="str">
        <x:v>Высокий</x:v>
      </x:c>
      <x:c r="I102" s="12" t="str">
        <x:v>Высокий</x:v>
      </x:c>
      <x:c r="J102" s="12" t="str">
        <x:f>IF(L102="","Укажите валюту",IF(NOT(ISNUMBER(K102)),"Укажите объём",IF(K102&lt;=0,"Укажите объём",IF(K102&gt;F102,"Объём выше излишка",IF(COUNT(M102:O102)&lt;3,"Нужны цены",IF(COUNT(P102:R102)&lt;3,"Нужны расходы",IF(OR(M102&lt;0,N102&lt;0,O102&lt;0,O102&gt;100,P102&lt;0,Q102&lt;0,R102&lt;0,R102&gt;100),"Проверьте значения","Рассчитано")))))))</x:f>
        <x:v>Нужны цены</x:v>
      </x:c>
      <x:c r="K102" s="36" t="n">
        <x:v>26</x:v>
      </x:c>
      <x:c r="L102" s="19" t="str">
        <x:v>KZT</x:v>
      </x:c>
      <x:c r="M102" s="22"/>
      <x:c r="N102" s="22"/>
      <x:c r="O102" s="28"/>
      <x:c r="P102" s="22"/>
      <x:c r="Q102" s="22"/>
      <x:c r="R102" s="28"/>
      <x:c r="S102" s="22"/>
      <x:c r="T102" s="35" t="n">
        <x:f>K102</x:f>
        <x:v>26</x:v>
      </x:c>
      <x:c r="U102" s="20" t="str">
        <x:f>IF(J102="Рассчитано",N102*(1-O102/100),"н/д")</x:f>
        <x:v>н/д</x:v>
      </x:c>
      <x:c r="V102" s="20" t="str">
        <x:f>IF(J102="Рассчитано",T102*U102,"н/д")</x:f>
        <x:v>н/д</x:v>
      </x:c>
      <x:c r="W102" s="20" t="str">
        <x:f>IF(J102="Рассчитано",T102*M102,"н/д")</x:f>
        <x:v>н/д</x:v>
      </x:c>
      <x:c r="X102" s="20" t="str">
        <x:f>IF(J102="Рассчитано",V102-W102,"н/д")</x:f>
        <x:v>н/д</x:v>
      </x:c>
      <x:c r="Y102" s="26" t="str">
        <x:f>IF(J102="Рассчитано",IF(V102&gt;0,G102/V102,"н/д"),"н/д")</x:f>
        <x:v>н/д</x:v>
      </x:c>
      <x:c r="Z102" s="20" t="str">
        <x:f>"н/д"</x:f>
        <x:v>н/д</x:v>
      </x:c>
      <x:c r="AA102" s="20" t="str">
        <x:f>"н/д"</x:f>
        <x:v>н/д</x:v>
      </x:c>
      <x:c r="AB102" s="20" t="str">
        <x:f>"н/д"</x:f>
        <x:v>н/д</x:v>
      </x:c>
      <x:c r="AC102" s="20" t="str">
        <x:f>IF(AND(J102="Рассчитано",T102&gt;0,R102&lt;100),(W102+P102+Q102)/(T102*(1-R102/100)),"н/д")</x:f>
        <x:v>н/д</x:v>
      </x:c>
      <x:c r="AD102" s="11" t="str">
        <x:f>IF(ISNUMBER(G102),IF(G102&lt;0,"Убыток",IF(G102=0,"Без прибыли","Прибыль &gt; 0")),"Не оценён")</x:f>
        <x:v>Не оценён</x:v>
      </x:c>
      <x:c r="AE102" s="12" t="str">
        <x:f>IF(J102="Рассчитано","Выручка "&amp;TEXT(V102,"0.00")&amp;" - себестоимость "&amp;TEXT(W102,"0.00")&amp;" - комиссия "&amp;TEXT(V102*R102/100,"0.00")&amp;" - доставка "&amp;TEXT(P102,"0.00")&amp;" - прочие "&amp;TEXT(Q102,"0.00")&amp;" = "&amp;TEXT(G102,"0.00")&amp;" "&amp;L102,"Введите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" s="23" t="n">
        <x:v>21.706897955833742</x:v>
      </x:c>
      <x:c r="AG102" s="35" t="n">
        <x:v>48</x:v>
      </x:c>
      <x:c r="AH102" s="35" t="n">
        <x:v>0</x:v>
      </x:c>
      <x:c r="AI102" s="29" t="n">
        <x:v>46266</x:v>
      </x:c>
      <x:c r="AJ102" s="35" t="n">
        <x:v>1</x:v>
      </x:c>
      <x:c r="AK102" s="11" t="str">
        <x:v>минимум</x:v>
      </x:c>
      <x:c r="AL102" s="31" t="n">
        <x:v>188.0453146493546</x:v>
      </x:c>
      <x:c r="AM102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02" s="12" t="str">
        <x:v>Проверить свободный остаток и установить цену для B2B</x:v>
      </x:c>
      <x:c r="AO102" s="12" t="str">
        <x:v>Остаток 48; прогноз 90 дней 21.71; избыток 26 шт. Будущие поступления не выставляются на продажу. Остаток на начало сентября: требуется актуализация.</x:v>
      </x:c>
      <x:c r="AP102" s="12" t="str">
        <x:v>["category_missing", "daily_stockout_data_missing", "large_orders_detected", "new_order_lead_time_unknown", "reservations_unknown", "stale_stock", "transaction_month_mismatch"]</x:v>
      </x:c>
      <x:c r="AQ102" s="11" t="str">
        <x:v>IEK:010800006_</x:v>
      </x:c>
      <x:c r="AR102" s="23" t="n">
        <x:v>1</x:v>
      </x:c>
      <x:c r="AS102" s="23" t="n">
        <x:v>0</x:v>
      </x:c>
      <x:c r="AT102" s="23" t="n">
        <x:v>0</x:v>
      </x:c>
    </x:row>
    <x:row r="103" ht="64" customHeight="1">
      <x:c r="A103" s="10" t="str">
        <x:v>IEK</x:v>
      </x:c>
      <x:c r="B103" s="34" t="str">
        <x:v>010800012_</x:v>
      </x:c>
      <x:c r="C103" s="34" t="str">
        <x:v>SVA30-3-0200</x:v>
      </x:c>
      <x:c r="D103" s="13" t="str">
        <x:v>ВА 88-35 (3ф) 200А IEK (1/6)</x:v>
      </x:c>
      <x:c r="E103" s="10" t="str">
        <x:v>шт</x:v>
      </x:c>
      <x:c r="F103" s="37" t="n">
        <x:f>MAX(0,ROUNDDOWN((AG103-AF103)/AR103+0.000000001,0)*AR103)</x:f>
        <x:v>14</x:v>
      </x:c>
      <x:c r="G103" s="21" t="str">
        <x:f>IF(J103="Рассчитано",V103*(1-R103/100)-W103-P103-Q103,"н/д")</x:f>
        <x:v>н/д</x:v>
      </x:c>
      <x:c r="H103" s="13" t="str">
        <x:v>Высокий</x:v>
      </x:c>
      <x:c r="I103" s="13" t="str">
        <x:v>Средний</x:v>
      </x:c>
      <x:c r="J103" s="13" t="str">
        <x:f>IF(L103="","Укажите валюту",IF(NOT(ISNUMBER(K103)),"Укажите объём",IF(K103&lt;=0,"Укажите объём",IF(K103&gt;F103,"Объём выше излишка",IF(COUNT(M103:O103)&lt;3,"Нужны цены",IF(COUNT(P103:R103)&lt;3,"Нужны расходы",IF(OR(M103&lt;0,N103&lt;0,O103&lt;0,O103&gt;100,P103&lt;0,Q103&lt;0,R103&lt;0,R103&gt;100),"Проверьте значения","Рассчитано")))))))</x:f>
        <x:v>Нужны цены</x:v>
      </x:c>
      <x:c r="K103" s="36" t="n">
        <x:v>14</x:v>
      </x:c>
      <x:c r="L103" s="19" t="str">
        <x:v>KZT</x:v>
      </x:c>
      <x:c r="M103" s="22"/>
      <x:c r="N103" s="22"/>
      <x:c r="O103" s="28"/>
      <x:c r="P103" s="22"/>
      <x:c r="Q103" s="22"/>
      <x:c r="R103" s="28"/>
      <x:c r="S103" s="22"/>
      <x:c r="T103" s="37" t="n">
        <x:f>K103</x:f>
        <x:v>14</x:v>
      </x:c>
      <x:c r="U103" s="21" t="str">
        <x:f>IF(J103="Рассчитано",N103*(1-O103/100),"н/д")</x:f>
        <x:v>н/д</x:v>
      </x:c>
      <x:c r="V103" s="21" t="str">
        <x:f>IF(J103="Рассчитано",T103*U103,"н/д")</x:f>
        <x:v>н/д</x:v>
      </x:c>
      <x:c r="W103" s="21" t="str">
        <x:f>IF(J103="Рассчитано",T103*M103,"н/д")</x:f>
        <x:v>н/д</x:v>
      </x:c>
      <x:c r="X103" s="21" t="str">
        <x:f>IF(J103="Рассчитано",V103-W103,"н/д")</x:f>
        <x:v>н/д</x:v>
      </x:c>
      <x:c r="Y103" s="27" t="str">
        <x:f>IF(J103="Рассчитано",IF(V103&gt;0,G103/V103,"н/д"),"н/д")</x:f>
        <x:v>н/д</x:v>
      </x:c>
      <x:c r="Z103" s="21" t="str">
        <x:f>"н/д"</x:f>
        <x:v>н/д</x:v>
      </x:c>
      <x:c r="AA103" s="21" t="str">
        <x:f>"н/д"</x:f>
        <x:v>н/д</x:v>
      </x:c>
      <x:c r="AB103" s="21" t="str">
        <x:f>"н/д"</x:f>
        <x:v>н/д</x:v>
      </x:c>
      <x:c r="AC103" s="21" t="str">
        <x:f>IF(AND(J103="Рассчитано",T103&gt;0,R103&lt;100),(W103+P103+Q103)/(T103*(1-R103/100)),"н/д")</x:f>
        <x:v>н/д</x:v>
      </x:c>
      <x:c r="AD103" s="10" t="str">
        <x:f>IF(ISNUMBER(G103),IF(G103&lt;0,"Убыток",IF(G103=0,"Без прибыли","Прибыль &gt; 0")),"Не оценён")</x:f>
        <x:v>Не оценён</x:v>
      </x:c>
      <x:c r="AE103" s="13" t="str">
        <x:f>IF(J103="Рассчитано","Выручка "&amp;TEXT(V103,"0.00")&amp;" - себестоимость "&amp;TEXT(W103,"0.00")&amp;" - комиссия "&amp;TEXT(V103*R103/100,"0.00")&amp;" - доставка "&amp;TEXT(P103,"0.00")&amp;" - прочие "&amp;TEXT(Q103,"0.00")&amp;" = "&amp;TEXT(G103,"0.00")&amp;" "&amp;L103,"Введите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" s="24" t="n">
        <x:v>76.62256221023651</x:v>
      </x:c>
      <x:c r="AG103" s="37" t="n">
        <x:v>91</x:v>
      </x:c>
      <x:c r="AH103" s="37" t="n">
        <x:v>18</x:v>
      </x:c>
      <x:c r="AI103" s="30" t="n">
        <x:v>46266</x:v>
      </x:c>
      <x:c r="AJ103" s="37" t="n">
        <x:v>1</x:v>
      </x:c>
      <x:c r="AK103" s="10" t="str">
        <x:v>минимум</x:v>
      </x:c>
      <x:c r="AL103" s="32" t="n">
        <x:v>100.99590523022101</x:v>
      </x:c>
      <x:c r="AM10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3" s="13" t="str">
        <x:v>Проверить свободный остаток и установить цену для B2B</x:v>
      </x:c>
      <x:c r="AO103" s="13" t="str">
        <x:v>Остаток 91; прогноз 90 дней 76.62; избыток 14 шт. Будущие поступления не выставляются на продажу. Остаток на начало сентября: требуется актуализация.</x:v>
      </x:c>
      <x:c r="AP103" s="13" t="str">
        <x:v>["category_missing", "daily_stockout_data_missing", "large_orders_detected", "new_order_lead_time_unknown", "reservations_unknown", "stale_stock", "transaction_month_mismatch"]</x:v>
      </x:c>
      <x:c r="AQ103" s="10" t="str">
        <x:v>IEK:010800012_</x:v>
      </x:c>
      <x:c r="AR103" s="24" t="n">
        <x:v>1</x:v>
      </x:c>
      <x:c r="AS103" s="24" t="n">
        <x:v>0</x:v>
      </x:c>
      <x:c r="AT103" s="24" t="n">
        <x:v>0</x:v>
      </x:c>
    </x:row>
    <x:row r="104" ht="64" customHeight="1">
      <x:c r="A104" s="11" t="str">
        <x:v>IEK</x:v>
      </x:c>
      <x:c r="B104" s="33" t="str">
        <x:v>010800015_</x:v>
      </x:c>
      <x:c r="C104" s="33" t="str">
        <x:v>SVA10-3-0050</x:v>
      </x:c>
      <x:c r="D104" s="12" t="str">
        <x:v>ВА 88-32 (3ф)  50А IEK (1/20)</x:v>
      </x:c>
      <x:c r="E104" s="11" t="str">
        <x:v>шт</x:v>
      </x:c>
      <x:c r="F104" s="35" t="n">
        <x:f>MAX(0,ROUNDDOWN((AG104-AF104)/AR104+0.000000001,0)*AR104)</x:f>
        <x:v>25</x:v>
      </x:c>
      <x:c r="G104" s="20" t="str">
        <x:f>IF(J104="Рассчитано",V104*(1-R104/100)-W104-P104-Q104,"н/д")</x:f>
        <x:v>н/д</x:v>
      </x:c>
      <x:c r="H104" s="12" t="str">
        <x:v>Высокий</x:v>
      </x:c>
      <x:c r="I104" s="12" t="str">
        <x:v>Средний</x:v>
      </x:c>
      <x:c r="J104" s="12" t="str">
        <x:f>IF(L104="","Укажите валюту",IF(NOT(ISNUMBER(K104)),"Укажите объём",IF(K104&lt;=0,"Укажите объём",IF(K104&gt;F104,"Объём выше излишка",IF(COUNT(M104:O104)&lt;3,"Нужны цены",IF(COUNT(P104:R104)&lt;3,"Нужны расходы",IF(OR(M104&lt;0,N104&lt;0,O104&lt;0,O104&gt;100,P104&lt;0,Q104&lt;0,R104&lt;0,R104&gt;100),"Проверьте значения","Рассчитано")))))))</x:f>
        <x:v>Нужны цены</x:v>
      </x:c>
      <x:c r="K104" s="36" t="n">
        <x:v>25</x:v>
      </x:c>
      <x:c r="L104" s="19" t="str">
        <x:v>KZT</x:v>
      </x:c>
      <x:c r="M104" s="22"/>
      <x:c r="N104" s="22"/>
      <x:c r="O104" s="28"/>
      <x:c r="P104" s="22"/>
      <x:c r="Q104" s="22"/>
      <x:c r="R104" s="28"/>
      <x:c r="S104" s="22"/>
      <x:c r="T104" s="35" t="n">
        <x:f>K104</x:f>
        <x:v>25</x:v>
      </x:c>
      <x:c r="U104" s="20" t="str">
        <x:f>IF(J104="Рассчитано",N104*(1-O104/100),"н/д")</x:f>
        <x:v>н/д</x:v>
      </x:c>
      <x:c r="V104" s="20" t="str">
        <x:f>IF(J104="Рассчитано",T104*U104,"н/д")</x:f>
        <x:v>н/д</x:v>
      </x:c>
      <x:c r="W104" s="20" t="str">
        <x:f>IF(J104="Рассчитано",T104*M104,"н/д")</x:f>
        <x:v>н/д</x:v>
      </x:c>
      <x:c r="X104" s="20" t="str">
        <x:f>IF(J104="Рассчитано",V104-W104,"н/д")</x:f>
        <x:v>н/д</x:v>
      </x:c>
      <x:c r="Y104" s="26" t="str">
        <x:f>IF(J104="Рассчитано",IF(V104&gt;0,G104/V104,"н/д"),"н/д")</x:f>
        <x:v>н/д</x:v>
      </x:c>
      <x:c r="Z104" s="20" t="str">
        <x:f>"н/д"</x:f>
        <x:v>н/д</x:v>
      </x:c>
      <x:c r="AA104" s="20" t="str">
        <x:f>"н/д"</x:f>
        <x:v>н/д</x:v>
      </x:c>
      <x:c r="AB104" s="20" t="str">
        <x:f>"н/д"</x:f>
        <x:v>н/д</x:v>
      </x:c>
      <x:c r="AC104" s="20" t="str">
        <x:f>IF(AND(J104="Рассчитано",T104&gt;0,R104&lt;100),(W104+P104+Q104)/(T104*(1-R104/100)),"н/д")</x:f>
        <x:v>н/д</x:v>
      </x:c>
      <x:c r="AD104" s="11" t="str">
        <x:f>IF(ISNUMBER(G104),IF(G104&lt;0,"Убыток",IF(G104=0,"Без прибыли","Прибыль &gt; 0")),"Не оценён")</x:f>
        <x:v>Не оценён</x:v>
      </x:c>
      <x:c r="AE104" s="12" t="str">
        <x:f>IF(J104="Рассчитано","Выручка "&amp;TEXT(V104,"0.00")&amp;" - себестоимость "&amp;TEXT(W104,"0.00")&amp;" - комиссия "&amp;TEXT(V104*R104/100,"0.00")&amp;" - доставка "&amp;TEXT(P104,"0.00")&amp;" - прочие "&amp;TEXT(Q104,"0.00")&amp;" = "&amp;TEXT(G104,"0.00")&amp;" "&amp;L104,"Введите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" s="23" t="n">
        <x:v>30.263047212292317</x:v>
      </x:c>
      <x:c r="AG104" s="35" t="n">
        <x:v>56</x:v>
      </x:c>
      <x:c r="AH104" s="35" t="n">
        <x:v>40</x:v>
      </x:c>
      <x:c r="AI104" s="29" t="n">
        <x:v>46266</x:v>
      </x:c>
      <x:c r="AJ104" s="35" t="n">
        <x:v>1</x:v>
      </x:c>
      <x:c r="AK104" s="11" t="str">
        <x:v>минимум</x:v>
      </x:c>
      <x:c r="AL104" s="31" t="n">
        <x:v>157.36002498759967</x:v>
      </x:c>
      <x:c r="AM104" s="12" t="str">
        <x:v>Остаток на начало сентября; Резервы неизвестны; Нет ежедневных данных доступности. Запас выше прогноза на 90 дней</x:v>
      </x:c>
      <x:c r="AN104" s="12" t="str">
        <x:v>Проверить свободный остаток и установить цену для B2B</x:v>
      </x:c>
      <x:c r="AO104" s="12" t="str">
        <x:v>Остаток 56; прогноз 90 дней 30.26; избыток 25 шт. Будущие поступления не выставляются на продажу. Остаток на начало сентября: требуется актуализация.</x:v>
      </x:c>
      <x:c r="AP104" s="12" t="str">
        <x:v>["category_missing", "daily_stockout_data_missing", "large_orders_detected", "new_order_lead_time_unknown", "reservations_unknown", "stale_stock"]</x:v>
      </x:c>
      <x:c r="AQ104" s="11" t="str">
        <x:v>IEK:010800015_</x:v>
      </x:c>
      <x:c r="AR104" s="23" t="n">
        <x:v>1</x:v>
      </x:c>
      <x:c r="AS104" s="23" t="n">
        <x:v>0</x:v>
      </x:c>
      <x:c r="AT104" s="23" t="n">
        <x:v>0</x:v>
      </x:c>
    </x:row>
    <x:row r="105" ht="64" customHeight="1">
      <x:c r="A105" s="10" t="str">
        <x:v>IEK</x:v>
      </x:c>
      <x:c r="B105" s="34" t="str">
        <x:v>010800017_</x:v>
      </x:c>
      <x:c r="C105" s="34" t="str">
        <x:v>SVA10-3-0080</x:v>
      </x:c>
      <x:c r="D105" s="13" t="str">
        <x:v>ВА 88-32 (3ф)  80А IEK (1/20)</x:v>
      </x:c>
      <x:c r="E105" s="10" t="str">
        <x:v>шт</x:v>
      </x:c>
      <x:c r="F105" s="37" t="n">
        <x:f>MAX(0,ROUNDDOWN((AG105-AF105)/AR105+0.000000001,0)*AR105)</x:f>
        <x:v>12</x:v>
      </x:c>
      <x:c r="G105" s="21" t="str">
        <x:f>IF(J105="Рассчитано",V105*(1-R105/100)-W105-P105-Q105,"н/д")</x:f>
        <x:v>н/д</x:v>
      </x:c>
      <x:c r="H105" s="13" t="str">
        <x:v>Высокий</x:v>
      </x:c>
      <x:c r="I105" s="13" t="str">
        <x:v>Средний</x:v>
      </x:c>
      <x:c r="J105" s="13" t="str">
        <x:f>IF(L105="","Укажите валюту",IF(NOT(ISNUMBER(K105)),"Укажите объём",IF(K105&lt;=0,"Укажите объём",IF(K105&gt;F105,"Объём выше излишка",IF(COUNT(M105:O105)&lt;3,"Нужны цены",IF(COUNT(P105:R105)&lt;3,"Нужны расходы",IF(OR(M105&lt;0,N105&lt;0,O105&lt;0,O105&gt;100,P105&lt;0,Q105&lt;0,R105&lt;0,R105&gt;100),"Проверьте значения","Рассчитано")))))))</x:f>
        <x:v>Нужны цены</x:v>
      </x:c>
      <x:c r="K105" s="36" t="n">
        <x:v>12</x:v>
      </x:c>
      <x:c r="L105" s="19" t="str">
        <x:v>KZT</x:v>
      </x:c>
      <x:c r="M105" s="22"/>
      <x:c r="N105" s="22"/>
      <x:c r="O105" s="28"/>
      <x:c r="P105" s="22"/>
      <x:c r="Q105" s="22"/>
      <x:c r="R105" s="28"/>
      <x:c r="S105" s="22"/>
      <x:c r="T105" s="37" t="n">
        <x:f>K105</x:f>
        <x:v>12</x:v>
      </x:c>
      <x:c r="U105" s="21" t="str">
        <x:f>IF(J105="Рассчитано",N105*(1-O105/100),"н/д")</x:f>
        <x:v>н/д</x:v>
      </x:c>
      <x:c r="V105" s="21" t="str">
        <x:f>IF(J105="Рассчитано",T105*U105,"н/д")</x:f>
        <x:v>н/д</x:v>
      </x:c>
      <x:c r="W105" s="21" t="str">
        <x:f>IF(J105="Рассчитано",T105*M105,"н/д")</x:f>
        <x:v>н/д</x:v>
      </x:c>
      <x:c r="X105" s="21" t="str">
        <x:f>IF(J105="Рассчитано",V105-W105,"н/д")</x:f>
        <x:v>н/д</x:v>
      </x:c>
      <x:c r="Y105" s="27" t="str">
        <x:f>IF(J105="Рассчитано",IF(V105&gt;0,G105/V105,"н/д"),"н/д")</x:f>
        <x:v>н/д</x:v>
      </x:c>
      <x:c r="Z105" s="21" t="str">
        <x:f>"н/д"</x:f>
        <x:v>н/д</x:v>
      </x:c>
      <x:c r="AA105" s="21" t="str">
        <x:f>"н/д"</x:f>
        <x:v>н/д</x:v>
      </x:c>
      <x:c r="AB105" s="21" t="str">
        <x:f>"н/д"</x:f>
        <x:v>н/д</x:v>
      </x:c>
      <x:c r="AC105" s="21" t="str">
        <x:f>IF(AND(J105="Рассчитано",T105&gt;0,R105&lt;100),(W105+P105+Q105)/(T105*(1-R105/100)),"н/д")</x:f>
        <x:v>н/д</x:v>
      </x:c>
      <x:c r="AD105" s="10" t="str">
        <x:f>IF(ISNUMBER(G105),IF(G105&lt;0,"Убыток",IF(G105=0,"Без прибыли","Прибыль &gt; 0")),"Не оценён")</x:f>
        <x:v>Не оценён</x:v>
      </x:c>
      <x:c r="AE105" s="13" t="str">
        <x:f>IF(J105="Рассчитано","Выручка "&amp;TEXT(V105,"0.00")&amp;" - себестоимость "&amp;TEXT(W105,"0.00")&amp;" - комиссия "&amp;TEXT(V105*R105/100,"0.00")&amp;" - доставка "&amp;TEXT(P105,"0.00")&amp;" - прочие "&amp;TEXT(Q105,"0.00")&amp;" = "&amp;TEXT(G105,"0.00")&amp;" "&amp;L105,"Введите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" s="24" t="n">
        <x:v>48.10541007012669</x:v>
      </x:c>
      <x:c r="AG105" s="37" t="n">
        <x:v>61</x:v>
      </x:c>
      <x:c r="AH105" s="37" t="n">
        <x:v>20</x:v>
      </x:c>
      <x:c r="AI105" s="30" t="n">
        <x:v>46266</x:v>
      </x:c>
      <x:c r="AJ105" s="37" t="n">
        <x:v>1</x:v>
      </x:c>
      <x:c r="AK105" s="10" t="str">
        <x:v>минимум</x:v>
      </x:c>
      <x:c r="AL105" s="32" t="n">
        <x:v>107.83381201440434</x:v>
      </x:c>
      <x:c r="AM105" s="13" t="str">
        <x:v>Остаток на начало сентября; Резервы неизвестны; Нет ежедневных данных доступности. Запас выше прогноза на 90 дней</x:v>
      </x:c>
      <x:c r="AN105" s="13" t="str">
        <x:v>Проверить свободный остаток и установить цену для B2B</x:v>
      </x:c>
      <x:c r="AO105" s="13" t="str">
        <x:v>Остаток 61; прогноз 90 дней 48.11; избыток 12 шт. Будущие поступления не выставляются на продажу. Остаток на начало сентября: требуется актуализация.</x:v>
      </x:c>
      <x:c r="AP105" s="13" t="str">
        <x:v>["category_missing", "daily_stockout_data_missing", "large_orders_detected", "new_order_lead_time_unknown", "reservations_unknown", "stale_stock"]</x:v>
      </x:c>
      <x:c r="AQ105" s="10" t="str">
        <x:v>IEK:010800017_</x:v>
      </x:c>
      <x:c r="AR105" s="24" t="n">
        <x:v>1</x:v>
      </x:c>
      <x:c r="AS105" s="24" t="n">
        <x:v>0</x:v>
      </x:c>
      <x:c r="AT105" s="24" t="n">
        <x:v>0</x:v>
      </x:c>
    </x:row>
    <x:row r="106" ht="64" customHeight="1">
      <x:c r="A106" s="11" t="str">
        <x:v>IEK</x:v>
      </x:c>
      <x:c r="B106" s="33" t="str">
        <x:v>010800018_</x:v>
      </x:c>
      <x:c r="C106" s="33" t="str">
        <x:v>SVA10-3-0025</x:v>
      </x:c>
      <x:c r="D106" s="12" t="str">
        <x:v>ВА 88-32 (3ф)  25А IEK (1/20)</x:v>
      </x:c>
      <x:c r="E106" s="11" t="str">
        <x:v>шт</x:v>
      </x:c>
      <x:c r="F106" s="35" t="n">
        <x:f>MAX(0,ROUNDDOWN((AG106-AF106)/AR106+0.000000001,0)*AR106)</x:f>
        <x:v>15</x:v>
      </x:c>
      <x:c r="G106" s="20" t="str">
        <x:f>IF(J106="Рассчитано",V106*(1-R106/100)-W106-P106-Q106,"н/д")</x:f>
        <x:v>н/д</x:v>
      </x:c>
      <x:c r="H106" s="12" t="str">
        <x:v>Высокий</x:v>
      </x:c>
      <x:c r="I106" s="12" t="str">
        <x:v>Средний</x:v>
      </x:c>
      <x:c r="J106" s="12" t="str">
        <x:f>IF(L106="","Укажите валюту",IF(NOT(ISNUMBER(K106)),"Укажите объём",IF(K106&lt;=0,"Укажите объём",IF(K106&gt;F106,"Объём выше излишка",IF(COUNT(M106:O106)&lt;3,"Нужны цены",IF(COUNT(P106:R106)&lt;3,"Нужны расходы",IF(OR(M106&lt;0,N106&lt;0,O106&lt;0,O106&gt;100,P106&lt;0,Q106&lt;0,R106&lt;0,R106&gt;100),"Проверьте значения","Рассчитано")))))))</x:f>
        <x:v>Нужны цены</x:v>
      </x:c>
      <x:c r="K106" s="36" t="n">
        <x:v>15</x:v>
      </x:c>
      <x:c r="L106" s="19" t="str">
        <x:v>KZT</x:v>
      </x:c>
      <x:c r="M106" s="22"/>
      <x:c r="N106" s="22"/>
      <x:c r="O106" s="28"/>
      <x:c r="P106" s="22"/>
      <x:c r="Q106" s="22"/>
      <x:c r="R106" s="28"/>
      <x:c r="S106" s="22"/>
      <x:c r="T106" s="35" t="n">
        <x:f>K106</x:f>
        <x:v>15</x:v>
      </x:c>
      <x:c r="U106" s="20" t="str">
        <x:f>IF(J106="Рассчитано",N106*(1-O106/100),"н/д")</x:f>
        <x:v>н/д</x:v>
      </x:c>
      <x:c r="V106" s="20" t="str">
        <x:f>IF(J106="Рассчитано",T106*U106,"н/д")</x:f>
        <x:v>н/д</x:v>
      </x:c>
      <x:c r="W106" s="20" t="str">
        <x:f>IF(J106="Рассчитано",T106*M106,"н/д")</x:f>
        <x:v>н/д</x:v>
      </x:c>
      <x:c r="X106" s="20" t="str">
        <x:f>IF(J106="Рассчитано",V106-W106,"н/д")</x:f>
        <x:v>н/д</x:v>
      </x:c>
      <x:c r="Y106" s="26" t="str">
        <x:f>IF(J106="Рассчитано",IF(V106&gt;0,G106/V106,"н/д"),"н/д")</x:f>
        <x:v>н/д</x:v>
      </x:c>
      <x:c r="Z106" s="20" t="str">
        <x:f>"н/д"</x:f>
        <x:v>н/д</x:v>
      </x:c>
      <x:c r="AA106" s="20" t="str">
        <x:f>"н/д"</x:f>
        <x:v>н/д</x:v>
      </x:c>
      <x:c r="AB106" s="20" t="str">
        <x:f>"н/д"</x:f>
        <x:v>н/д</x:v>
      </x:c>
      <x:c r="AC106" s="20" t="str">
        <x:f>IF(AND(J106="Рассчитано",T106&gt;0,R106&lt;100),(W106+P106+Q106)/(T106*(1-R106/100)),"н/д")</x:f>
        <x:v>н/д</x:v>
      </x:c>
      <x:c r="AD106" s="11" t="str">
        <x:f>IF(ISNUMBER(G106),IF(G106&lt;0,"Убыток",IF(G106=0,"Без прибыли","Прибыль &gt; 0")),"Не оценён")</x:f>
        <x:v>Не оценён</x:v>
      </x:c>
      <x:c r="AE106" s="12" t="str">
        <x:f>IF(J106="Рассчитано","Выручка "&amp;TEXT(V106,"0.00")&amp;" - себестоимость "&amp;TEXT(W106,"0.00")&amp;" - комиссия "&amp;TEXT(V106*R106/100,"0.00")&amp;" - доставка "&amp;TEXT(P106,"0.00")&amp;" - прочие "&amp;TEXT(Q106,"0.00")&amp;" = "&amp;TEXT(G106,"0.00")&amp;" "&amp;L106,"Введите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" s="23" t="n">
        <x:v>27.592886810642096</x:v>
      </x:c>
      <x:c r="AG106" s="35" t="n">
        <x:v>43</x:v>
      </x:c>
      <x:c r="AH106" s="35" t="n">
        <x:v>40</x:v>
      </x:c>
      <x:c r="AI106" s="29" t="n">
        <x:v>46266</x:v>
      </x:c>
      <x:c r="AJ106" s="35" t="n">
        <x:v>1</x:v>
      </x:c>
      <x:c r="AK106" s="11" t="str">
        <x:v>минимум</x:v>
      </x:c>
      <x:c r="AL106" s="31" t="n">
        <x:v>132.5227258898201</x:v>
      </x:c>
      <x:c r="AM106" s="12" t="str">
        <x:v>Остаток на начало сентября; Резервы неизвестны; Нет ежедневных данных доступности. Запас выше прогноза на 90 дней</x:v>
      </x:c>
      <x:c r="AN106" s="12" t="str">
        <x:v>Проверить свободный остаток и установить цену для B2B</x:v>
      </x:c>
      <x:c r="AO106" s="12" t="str">
        <x:v>Остаток 43; прогноз 90 дней 27.59; избыток 15 шт. Будущие поступления не выставляются на продажу. Остаток на начало сентября: требуется актуализация.</x:v>
      </x:c>
      <x:c r="AP106" s="12" t="str">
        <x:v>["category_missing", "daily_stockout_data_missing", "new_order_lead_time_unknown", "reservations_unknown", "stale_stock"]</x:v>
      </x:c>
      <x:c r="AQ106" s="11" t="str">
        <x:v>IEK:010800018_</x:v>
      </x:c>
      <x:c r="AR106" s="23" t="n">
        <x:v>1</x:v>
      </x:c>
      <x:c r="AS106" s="23" t="n">
        <x:v>0</x:v>
      </x:c>
      <x:c r="AT106" s="23" t="n">
        <x:v>0</x:v>
      </x:c>
    </x:row>
    <x:row r="107" ht="64" customHeight="1">
      <x:c r="A107" s="10" t="str">
        <x:v>IEK</x:v>
      </x:c>
      <x:c r="B107" s="34" t="str">
        <x:v>010800020_</x:v>
      </x:c>
      <x:c r="C107" s="34"/>
      <x:c r="D107" s="13" t="str">
        <x:v>Привод ручной ПРП-1  125A для ВА88-32 IEK (12) !!!</x:v>
      </x:c>
      <x:c r="E107" s="10" t="str">
        <x:v>шт</x:v>
      </x:c>
      <x:c r="F107" s="37" t="n">
        <x:f>MAX(0,ROUNDDOWN((AG107-AF107)/AR107+0.000000001,0)*AR107)</x:f>
        <x:v>2</x:v>
      </x:c>
      <x:c r="G107" s="21" t="str">
        <x:f>IF(J107="Рассчитано",V107*(1-R107/100)-W107-P107-Q107,"н/д")</x:f>
        <x:v>н/д</x:v>
      </x:c>
      <x:c r="H107" s="13" t="str">
        <x:v>Высокий</x:v>
      </x:c>
      <x:c r="I107" s="13" t="str">
        <x:v>Высокий</x:v>
      </x:c>
      <x:c r="J107" s="13" t="str">
        <x:f>IF(L107="","Укажите валюту",IF(NOT(ISNUMBER(K107)),"Укажите объём",IF(K107&lt;=0,"Укажите объём",IF(K107&gt;F107,"Объём выше излишка",IF(COUNT(M107:O107)&lt;3,"Нужны цены",IF(COUNT(P107:R107)&lt;3,"Нужны расходы",IF(OR(M107&lt;0,N107&lt;0,O107&lt;0,O107&gt;100,P107&lt;0,Q107&lt;0,R107&lt;0,R107&gt;100),"Проверьте значения","Рассчитано")))))))</x:f>
        <x:v>Нужны цены</x:v>
      </x:c>
      <x:c r="K107" s="36" t="n">
        <x:v>2</x:v>
      </x:c>
      <x:c r="L107" s="19" t="str">
        <x:v>KZT</x:v>
      </x:c>
      <x:c r="M107" s="22"/>
      <x:c r="N107" s="22"/>
      <x:c r="O107" s="28"/>
      <x:c r="P107" s="22"/>
      <x:c r="Q107" s="22"/>
      <x:c r="R107" s="28"/>
      <x:c r="S107" s="22"/>
      <x:c r="T107" s="37" t="n">
        <x:f>K107</x:f>
        <x:v>2</x:v>
      </x:c>
      <x:c r="U107" s="21" t="str">
        <x:f>IF(J107="Рассчитано",N107*(1-O107/100),"н/д")</x:f>
        <x:v>н/д</x:v>
      </x:c>
      <x:c r="V107" s="21" t="str">
        <x:f>IF(J107="Рассчитано",T107*U107,"н/д")</x:f>
        <x:v>н/д</x:v>
      </x:c>
      <x:c r="W107" s="21" t="str">
        <x:f>IF(J107="Рассчитано",T107*M107,"н/д")</x:f>
        <x:v>н/д</x:v>
      </x:c>
      <x:c r="X107" s="21" t="str">
        <x:f>IF(J107="Рассчитано",V107-W107,"н/д")</x:f>
        <x:v>н/д</x:v>
      </x:c>
      <x:c r="Y107" s="27" t="str">
        <x:f>IF(J107="Рассчитано",IF(V107&gt;0,G107/V107,"н/д"),"н/д")</x:f>
        <x:v>н/д</x:v>
      </x:c>
      <x:c r="Z107" s="21" t="str">
        <x:f>"н/д"</x:f>
        <x:v>н/д</x:v>
      </x:c>
      <x:c r="AA107" s="21" t="str">
        <x:f>"н/д"</x:f>
        <x:v>н/д</x:v>
      </x:c>
      <x:c r="AB107" s="21" t="str">
        <x:f>"н/д"</x:f>
        <x:v>н/д</x:v>
      </x:c>
      <x:c r="AC107" s="21" t="str">
        <x:f>IF(AND(J107="Рассчитано",T107&gt;0,R107&lt;100),(W107+P107+Q107)/(T107*(1-R107/100)),"н/д")</x:f>
        <x:v>н/д</x:v>
      </x:c>
      <x:c r="AD107" s="10" t="str">
        <x:f>IF(ISNUMBER(G107),IF(G107&lt;0,"Убыток",IF(G107=0,"Без прибыли","Прибыль &gt; 0")),"Не оценён")</x:f>
        <x:v>Не оценён</x:v>
      </x:c>
      <x:c r="AE107" s="13" t="str">
        <x:f>IF(J107="Рассчитано","Выручка "&amp;TEXT(V107,"0.00")&amp;" - себестоимость "&amp;TEXT(W107,"0.00")&amp;" - комиссия "&amp;TEXT(V107*R107/100,"0.00")&amp;" - доставка "&amp;TEXT(P107,"0.00")&amp;" - прочие "&amp;TEXT(Q107,"0.00")&amp;" = "&amp;TEXT(G107,"0.00")&amp;" "&amp;L107,"Введите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" s="24" t="n">
        <x:v>0</x:v>
      </x:c>
      <x:c r="AG107" s="37" t="n">
        <x:v>2</x:v>
      </x:c>
      <x:c r="AH107" s="37" t="n">
        <x:v>0</x:v>
      </x:c>
      <x:c r="AI107" s="30" t="n">
        <x:v>46266</x:v>
      </x:c>
      <x:c r="AJ107" s="37"/>
      <x:c r="AK107" s="10" t="str">
        <x:v>неизвестно</x:v>
      </x:c>
      <x:c r="AL107" s="32" t="str">
        <x:v>н/д</x:v>
      </x:c>
      <x:c r="AM107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07" s="13" t="str">
        <x:v>Проверить свободный остаток и установить цену для B2B</x:v>
      </x:c>
      <x:c r="AO107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107" s="13" t="str">
        <x:v>["category_missing", "daily_stockout_data_missing", "moq_missing", "new_order_lead_time_unknown", "reservations_unknown", "stale_stock", "supplier_sku_missing"]</x:v>
      </x:c>
      <x:c r="AQ107" s="10" t="str">
        <x:v>IEK:010800020_</x:v>
      </x:c>
      <x:c r="AR107" s="24" t="n">
        <x:v>1</x:v>
      </x:c>
      <x:c r="AS107" s="24" t="n">
        <x:v>0</x:v>
      </x:c>
      <x:c r="AT107" s="24" t="n">
        <x:v>0</x:v>
      </x:c>
    </x:row>
    <x:row r="108" ht="64" customHeight="1">
      <x:c r="A108" s="11" t="str">
        <x:v>IEK</x:v>
      </x:c>
      <x:c r="B108" s="33" t="str">
        <x:v>010800021_</x:v>
      </x:c>
      <x:c r="C108" s="33"/>
      <x:c r="D108" s="12" t="str">
        <x:v>Привод ручной ПРП-1  160A для ВА88-33 IEK (12) !!!</x:v>
      </x:c>
      <x:c r="E108" s="11" t="str">
        <x:v>шт</x:v>
      </x:c>
      <x:c r="F108" s="35" t="n">
        <x:f>MAX(0,ROUNDDOWN((AG108-AF108)/AR108+0.000000001,0)*AR108)</x:f>
        <x:v>2</x:v>
      </x:c>
      <x:c r="G108" s="20" t="str">
        <x:f>IF(J108="Рассчитано",V108*(1-R108/100)-W108-P108-Q108,"н/д")</x:f>
        <x:v>н/д</x:v>
      </x:c>
      <x:c r="H108" s="12" t="str">
        <x:v>Высокий</x:v>
      </x:c>
      <x:c r="I108" s="12" t="str">
        <x:v>Высокий</x:v>
      </x:c>
      <x:c r="J108" s="12" t="str">
        <x:f>IF(L108="","Укажите валюту",IF(NOT(ISNUMBER(K108)),"Укажите объём",IF(K108&lt;=0,"Укажите объём",IF(K108&gt;F108,"Объём выше излишка",IF(COUNT(M108:O108)&lt;3,"Нужны цены",IF(COUNT(P108:R108)&lt;3,"Нужны расходы",IF(OR(M108&lt;0,N108&lt;0,O108&lt;0,O108&gt;100,P108&lt;0,Q108&lt;0,R108&lt;0,R108&gt;100),"Проверьте значения","Рассчитано")))))))</x:f>
        <x:v>Нужны цены</x:v>
      </x:c>
      <x:c r="K108" s="36" t="n">
        <x:v>2</x:v>
      </x:c>
      <x:c r="L108" s="19" t="str">
        <x:v>KZT</x:v>
      </x:c>
      <x:c r="M108" s="22"/>
      <x:c r="N108" s="22"/>
      <x:c r="O108" s="28"/>
      <x:c r="P108" s="22"/>
      <x:c r="Q108" s="22"/>
      <x:c r="R108" s="28"/>
      <x:c r="S108" s="22"/>
      <x:c r="T108" s="35" t="n">
        <x:f>K108</x:f>
        <x:v>2</x:v>
      </x:c>
      <x:c r="U108" s="20" t="str">
        <x:f>IF(J108="Рассчитано",N108*(1-O108/100),"н/д")</x:f>
        <x:v>н/д</x:v>
      </x:c>
      <x:c r="V108" s="20" t="str">
        <x:f>IF(J108="Рассчитано",T108*U108,"н/д")</x:f>
        <x:v>н/д</x:v>
      </x:c>
      <x:c r="W108" s="20" t="str">
        <x:f>IF(J108="Рассчитано",T108*M108,"н/д")</x:f>
        <x:v>н/д</x:v>
      </x:c>
      <x:c r="X108" s="20" t="str">
        <x:f>IF(J108="Рассчитано",V108-W108,"н/д")</x:f>
        <x:v>н/д</x:v>
      </x:c>
      <x:c r="Y108" s="26" t="str">
        <x:f>IF(J108="Рассчитано",IF(V108&gt;0,G108/V108,"н/д"),"н/д")</x:f>
        <x:v>н/д</x:v>
      </x:c>
      <x:c r="Z108" s="20" t="str">
        <x:f>"н/д"</x:f>
        <x:v>н/д</x:v>
      </x:c>
      <x:c r="AA108" s="20" t="str">
        <x:f>"н/д"</x:f>
        <x:v>н/д</x:v>
      </x:c>
      <x:c r="AB108" s="20" t="str">
        <x:f>"н/д"</x:f>
        <x:v>н/д</x:v>
      </x:c>
      <x:c r="AC108" s="20" t="str">
        <x:f>IF(AND(J108="Рассчитано",T108&gt;0,R108&lt;100),(W108+P108+Q108)/(T108*(1-R108/100)),"н/д")</x:f>
        <x:v>н/д</x:v>
      </x:c>
      <x:c r="AD108" s="11" t="str">
        <x:f>IF(ISNUMBER(G108),IF(G108&lt;0,"Убыток",IF(G108=0,"Без прибыли","Прибыль &gt; 0")),"Не оценён")</x:f>
        <x:v>Не оценён</x:v>
      </x:c>
      <x:c r="AE108" s="12" t="str">
        <x:f>IF(J108="Рассчитано","Выручка "&amp;TEXT(V108,"0.00")&amp;" - себестоимость "&amp;TEXT(W108,"0.00")&amp;" - комиссия "&amp;TEXT(V108*R108/100,"0.00")&amp;" - доставка "&amp;TEXT(P108,"0.00")&amp;" - прочие "&amp;TEXT(Q108,"0.00")&amp;" = "&amp;TEXT(G108,"0.00")&amp;" "&amp;L108,"Введите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" s="23" t="n">
        <x:v>0</x:v>
      </x:c>
      <x:c r="AG108" s="35" t="n">
        <x:v>2</x:v>
      </x:c>
      <x:c r="AH108" s="35" t="n">
        <x:v>0</x:v>
      </x:c>
      <x:c r="AI108" s="29" t="n">
        <x:v>46266</x:v>
      </x:c>
      <x:c r="AJ108" s="35"/>
      <x:c r="AK108" s="11" t="str">
        <x:v>неизвестно</x:v>
      </x:c>
      <x:c r="AL108" s="31" t="str">
        <x:v>н/д</x:v>
      </x:c>
      <x:c r="AM108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08" s="12" t="str">
        <x:v>Проверить свободный остаток и установить цену для B2B</x:v>
      </x:c>
      <x:c r="AO108" s="12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108" s="12" t="str">
        <x:v>["category_missing", "daily_stockout_data_missing", "moq_missing", "new_order_lead_time_unknown", "reservations_unknown", "stale_stock", "supplier_sku_missing"]</x:v>
      </x:c>
      <x:c r="AQ108" s="11" t="str">
        <x:v>IEK:010800021_</x:v>
      </x:c>
      <x:c r="AR108" s="23" t="n">
        <x:v>1</x:v>
      </x:c>
      <x:c r="AS108" s="23" t="n">
        <x:v>0</x:v>
      </x:c>
      <x:c r="AT108" s="23" t="n">
        <x:v>0</x:v>
      </x:c>
    </x:row>
    <x:row r="109" ht="64" customHeight="1">
      <x:c r="A109" s="10" t="str">
        <x:v>IEK</x:v>
      </x:c>
      <x:c r="B109" s="34" t="str">
        <x:v>010800023_</x:v>
      </x:c>
      <x:c r="C109" s="34"/>
      <x:c r="D109" s="13" t="str">
        <x:v>Привод ручной ПРП-1  400A для ВА88-37 IEK (12) !!!</x:v>
      </x:c>
      <x:c r="E109" s="10" t="str">
        <x:v>шт</x:v>
      </x:c>
      <x:c r="F109" s="37" t="n">
        <x:f>MAX(0,ROUNDDOWN((AG109-AF109)/AR109+0.000000001,0)*AR109)</x:f>
        <x:v>9</x:v>
      </x:c>
      <x:c r="G109" s="21" t="str">
        <x:f>IF(J109="Рассчитано",V109*(1-R109/100)-W109-P109-Q109,"н/д")</x:f>
        <x:v>н/д</x:v>
      </x:c>
      <x:c r="H109" s="13" t="str">
        <x:v>Высокий</x:v>
      </x:c>
      <x:c r="I109" s="13" t="str">
        <x:v>Высокий</x:v>
      </x:c>
      <x:c r="J109" s="13" t="str">
        <x:f>IF(L109="","Укажите валюту",IF(NOT(ISNUMBER(K109)),"Укажите объём",IF(K109&lt;=0,"Укажите объём",IF(K109&gt;F109,"Объём выше излишка",IF(COUNT(M109:O109)&lt;3,"Нужны цены",IF(COUNT(P109:R109)&lt;3,"Нужны расходы",IF(OR(M109&lt;0,N109&lt;0,O109&lt;0,O109&gt;100,P109&lt;0,Q109&lt;0,R109&lt;0,R109&gt;100),"Проверьте значения","Рассчитано")))))))</x:f>
        <x:v>Нужны цены</x:v>
      </x:c>
      <x:c r="K109" s="36" t="n">
        <x:v>9</x:v>
      </x:c>
      <x:c r="L109" s="19" t="str">
        <x:v>KZT</x:v>
      </x:c>
      <x:c r="M109" s="22"/>
      <x:c r="N109" s="22"/>
      <x:c r="O109" s="28"/>
      <x:c r="P109" s="22"/>
      <x:c r="Q109" s="22"/>
      <x:c r="R109" s="28"/>
      <x:c r="S109" s="22"/>
      <x:c r="T109" s="37" t="n">
        <x:f>K109</x:f>
        <x:v>9</x:v>
      </x:c>
      <x:c r="U109" s="21" t="str">
        <x:f>IF(J109="Рассчитано",N109*(1-O109/100),"н/д")</x:f>
        <x:v>н/д</x:v>
      </x:c>
      <x:c r="V109" s="21" t="str">
        <x:f>IF(J109="Рассчитано",T109*U109,"н/д")</x:f>
        <x:v>н/д</x:v>
      </x:c>
      <x:c r="W109" s="21" t="str">
        <x:f>IF(J109="Рассчитано",T109*M109,"н/д")</x:f>
        <x:v>н/д</x:v>
      </x:c>
      <x:c r="X109" s="21" t="str">
        <x:f>IF(J109="Рассчитано",V109-W109,"н/д")</x:f>
        <x:v>н/д</x:v>
      </x:c>
      <x:c r="Y109" s="27" t="str">
        <x:f>IF(J109="Рассчитано",IF(V109&gt;0,G109/V109,"н/д"),"н/д")</x:f>
        <x:v>н/д</x:v>
      </x:c>
      <x:c r="Z109" s="21" t="str">
        <x:f>"н/д"</x:f>
        <x:v>н/д</x:v>
      </x:c>
      <x:c r="AA109" s="21" t="str">
        <x:f>"н/д"</x:f>
        <x:v>н/д</x:v>
      </x:c>
      <x:c r="AB109" s="21" t="str">
        <x:f>"н/д"</x:f>
        <x:v>н/д</x:v>
      </x:c>
      <x:c r="AC109" s="21" t="str">
        <x:f>IF(AND(J109="Рассчитано",T109&gt;0,R109&lt;100),(W109+P109+Q109)/(T109*(1-R109/100)),"н/д")</x:f>
        <x:v>н/д</x:v>
      </x:c>
      <x:c r="AD109" s="10" t="str">
        <x:f>IF(ISNUMBER(G109),IF(G109&lt;0,"Убыток",IF(G109=0,"Без прибыли","Прибыль &gt; 0")),"Не оценён")</x:f>
        <x:v>Не оценён</x:v>
      </x:c>
      <x:c r="AE109" s="13" t="str">
        <x:f>IF(J109="Рассчитано","Выручка "&amp;TEXT(V109,"0.00")&amp;" - себестоимость "&amp;TEXT(W109,"0.00")&amp;" - комиссия "&amp;TEXT(V109*R109/100,"0.00")&amp;" - доставка "&amp;TEXT(P109,"0.00")&amp;" - прочие "&amp;TEXT(Q109,"0.00")&amp;" = "&amp;TEXT(G109,"0.00")&amp;" "&amp;L109,"Введите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" s="24" t="n">
        <x:v>0</x:v>
      </x:c>
      <x:c r="AG109" s="37" t="n">
        <x:v>9</x:v>
      </x:c>
      <x:c r="AH109" s="37" t="n">
        <x:v>0</x:v>
      </x:c>
      <x:c r="AI109" s="30" t="n">
        <x:v>46266</x:v>
      </x:c>
      <x:c r="AJ109" s="37"/>
      <x:c r="AK109" s="10" t="str">
        <x:v>неизвестно</x:v>
      </x:c>
      <x:c r="AL109" s="32" t="str">
        <x:v>н/д</x:v>
      </x:c>
      <x:c r="AM10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09" s="13" t="str">
        <x:v>Проверить свободный остаток и установить цену для B2B</x:v>
      </x:c>
      <x:c r="AO109" s="13" t="str">
        <x:v>Остаток 9; прогноз 90 дней 0.00; избыток 9 шт. Будущие поступления не выставляются на продажу. Остаток на начало сентября: требуется актуализация.</x:v>
      </x:c>
      <x:c r="AP109" s="13" t="str">
        <x:v>["category_missing", "daily_stockout_data_missing", "moq_missing", "new_order_lead_time_unknown", "reservations_unknown", "stale_stock", "supplier_sku_missing"]</x:v>
      </x:c>
      <x:c r="AQ109" s="10" t="str">
        <x:v>IEK:010800023_</x:v>
      </x:c>
      <x:c r="AR109" s="24" t="n">
        <x:v>1</x:v>
      </x:c>
      <x:c r="AS109" s="24" t="n">
        <x:v>0</x:v>
      </x:c>
      <x:c r="AT109" s="24" t="n">
        <x:v>0</x:v>
      </x:c>
    </x:row>
    <x:row r="110" ht="64" customHeight="1">
      <x:c r="A110" s="11" t="str">
        <x:v>IEK</x:v>
      </x:c>
      <x:c r="B110" s="33" t="str">
        <x:v>010800025_</x:v>
      </x:c>
      <x:c r="C110" s="33"/>
      <x:c r="D110" s="12" t="str">
        <x:v>Скоба RCS-2 на ДИН-рейку для ВА88-33 IEK !!!</x:v>
      </x:c>
      <x:c r="E110" s="11" t="str">
        <x:v>шт</x:v>
      </x:c>
      <x:c r="F110" s="35" t="n">
        <x:f>MAX(0,ROUNDDOWN((AG110-AF110)/AR110+0.000000001,0)*AR110)</x:f>
        <x:v>2</x:v>
      </x:c>
      <x:c r="G110" s="20" t="str">
        <x:f>IF(J110="Рассчитано",V110*(1-R110/100)-W110-P110-Q110,"н/д")</x:f>
        <x:v>н/д</x:v>
      </x:c>
      <x:c r="H110" s="12" t="str">
        <x:v>Высокий</x:v>
      </x:c>
      <x:c r="I110" s="12" t="str">
        <x:v>Высокий</x:v>
      </x:c>
      <x:c r="J110" s="12" t="str">
        <x:f>IF(L110="","Укажите валюту",IF(NOT(ISNUMBER(K110)),"Укажите объём",IF(K110&lt;=0,"Укажите объём",IF(K110&gt;F110,"Объём выше излишка",IF(COUNT(M110:O110)&lt;3,"Нужны цены",IF(COUNT(P110:R110)&lt;3,"Нужны расходы",IF(OR(M110&lt;0,N110&lt;0,O110&lt;0,O110&gt;100,P110&lt;0,Q110&lt;0,R110&lt;0,R110&gt;100),"Проверьте значения","Рассчитано")))))))</x:f>
        <x:v>Нужны цены</x:v>
      </x:c>
      <x:c r="K110" s="36" t="n">
        <x:v>2</x:v>
      </x:c>
      <x:c r="L110" s="19" t="str">
        <x:v>KZT</x:v>
      </x:c>
      <x:c r="M110" s="22"/>
      <x:c r="N110" s="22"/>
      <x:c r="O110" s="28"/>
      <x:c r="P110" s="22"/>
      <x:c r="Q110" s="22"/>
      <x:c r="R110" s="28"/>
      <x:c r="S110" s="22"/>
      <x:c r="T110" s="35" t="n">
        <x:f>K110</x:f>
        <x:v>2</x:v>
      </x:c>
      <x:c r="U110" s="20" t="str">
        <x:f>IF(J110="Рассчитано",N110*(1-O110/100),"н/д")</x:f>
        <x:v>н/д</x:v>
      </x:c>
      <x:c r="V110" s="20" t="str">
        <x:f>IF(J110="Рассчитано",T110*U110,"н/д")</x:f>
        <x:v>н/д</x:v>
      </x:c>
      <x:c r="W110" s="20" t="str">
        <x:f>IF(J110="Рассчитано",T110*M110,"н/д")</x:f>
        <x:v>н/д</x:v>
      </x:c>
      <x:c r="X110" s="20" t="str">
        <x:f>IF(J110="Рассчитано",V110-W110,"н/д")</x:f>
        <x:v>н/д</x:v>
      </x:c>
      <x:c r="Y110" s="26" t="str">
        <x:f>IF(J110="Рассчитано",IF(V110&gt;0,G110/V110,"н/д"),"н/д")</x:f>
        <x:v>н/д</x:v>
      </x:c>
      <x:c r="Z110" s="20" t="str">
        <x:f>"н/д"</x:f>
        <x:v>н/д</x:v>
      </x:c>
      <x:c r="AA110" s="20" t="str">
        <x:f>"н/д"</x:f>
        <x:v>н/д</x:v>
      </x:c>
      <x:c r="AB110" s="20" t="str">
        <x:f>"н/д"</x:f>
        <x:v>н/д</x:v>
      </x:c>
      <x:c r="AC110" s="20" t="str">
        <x:f>IF(AND(J110="Рассчитано",T110&gt;0,R110&lt;100),(W110+P110+Q110)/(T110*(1-R110/100)),"н/д")</x:f>
        <x:v>н/д</x:v>
      </x:c>
      <x:c r="AD110" s="11" t="str">
        <x:f>IF(ISNUMBER(G110),IF(G110&lt;0,"Убыток",IF(G110=0,"Без прибыли","Прибыль &gt; 0")),"Не оценён")</x:f>
        <x:v>Не оценён</x:v>
      </x:c>
      <x:c r="AE110" s="12" t="str">
        <x:f>IF(J110="Рассчитано","Выручка "&amp;TEXT(V110,"0.00")&amp;" - себестоимость "&amp;TEXT(W110,"0.00")&amp;" - комиссия "&amp;TEXT(V110*R110/100,"0.00")&amp;" - доставка "&amp;TEXT(P110,"0.00")&amp;" - прочие "&amp;TEXT(Q110,"0.00")&amp;" = "&amp;TEXT(G110,"0.00")&amp;" "&amp;L110,"Введите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" s="23" t="n">
        <x:v>0.32276181762965744</x:v>
      </x:c>
      <x:c r="AG110" s="35" t="n">
        <x:v>3</x:v>
      </x:c>
      <x:c r="AH110" s="35" t="n">
        <x:v>0</x:v>
      </x:c>
      <x:c r="AI110" s="29" t="n">
        <x:v>46266</x:v>
      </x:c>
      <x:c r="AJ110" s="35"/>
      <x:c r="AK110" s="11" t="str">
        <x:v>неизвестно</x:v>
      </x:c>
      <x:c r="AL110" s="31" t="n">
        <x:v>790.4204108898463</x:v>
      </x:c>
      <x:c r="AM11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10" s="12" t="str">
        <x:v>Проверить свободный остаток и установить цену для B2B</x:v>
      </x:c>
      <x:c r="AO110" s="12" t="str">
        <x:v>Остаток 3; прогноз 90 дней 0.32; избыток 2 шт. Будущие поступления не выставляются на продажу. Остаток на начало сентября: требуется актуализация.</x:v>
      </x:c>
      <x:c r="AP110" s="12" t="str">
        <x:v>["category_missing", "daily_stockout_data_missing", "moq_missing", "new_order_lead_time_unknown", "reservations_unknown", "stale_stock", "supplier_sku_missing"]</x:v>
      </x:c>
      <x:c r="AQ110" s="11" t="str">
        <x:v>IEK:010800025_</x:v>
      </x:c>
      <x:c r="AR110" s="23" t="n">
        <x:v>1</x:v>
      </x:c>
      <x:c r="AS110" s="23" t="n">
        <x:v>0</x:v>
      </x:c>
      <x:c r="AT110" s="23" t="n">
        <x:v>0</x:v>
      </x:c>
    </x:row>
    <x:row r="111" ht="64" customHeight="1">
      <x:c r="A111" s="10" t="str">
        <x:v>IEK</x:v>
      </x:c>
      <x:c r="B111" s="34" t="str">
        <x:v>010800027_</x:v>
      </x:c>
      <x:c r="C111" s="34" t="str">
        <x:v>SVA20-3-0100</x:v>
      </x:c>
      <x:c r="D111" s="13" t="str">
        <x:v>ВА 88-33 (3ф) 100А IEK (1/16)</x:v>
      </x:c>
      <x:c r="E111" s="10" t="str">
        <x:v>шт</x:v>
      </x:c>
      <x:c r="F111" s="37" t="n">
        <x:f>MAX(0,ROUNDDOWN((AG111-AF111)/AR111+0.000000001,0)*AR111)</x:f>
        <x:v>26</x:v>
      </x:c>
      <x:c r="G111" s="21" t="str">
        <x:f>IF(J111="Рассчитано",V111*(1-R111/100)-W111-P111-Q111,"н/д")</x:f>
        <x:v>н/д</x:v>
      </x:c>
      <x:c r="H111" s="13" t="str">
        <x:v>Высокий</x:v>
      </x:c>
      <x:c r="I111" s="13" t="str">
        <x:v>Средний</x:v>
      </x:c>
      <x:c r="J111" s="13" t="str">
        <x:f>IF(L111="","Укажите валюту",IF(NOT(ISNUMBER(K111)),"Укажите объём",IF(K111&lt;=0,"Укажите объём",IF(K111&gt;F111,"Объём выше излишка",IF(COUNT(M111:O111)&lt;3,"Нужны цены",IF(COUNT(P111:R111)&lt;3,"Нужны расходы",IF(OR(M111&lt;0,N111&lt;0,O111&lt;0,O111&gt;100,P111&lt;0,Q111&lt;0,R111&lt;0,R111&gt;100),"Проверьте значения","Рассчитано")))))))</x:f>
        <x:v>Нужны цены</x:v>
      </x:c>
      <x:c r="K111" s="36" t="n">
        <x:v>26</x:v>
      </x:c>
      <x:c r="L111" s="19" t="str">
        <x:v>KZT</x:v>
      </x:c>
      <x:c r="M111" s="22"/>
      <x:c r="N111" s="22"/>
      <x:c r="O111" s="28"/>
      <x:c r="P111" s="22"/>
      <x:c r="Q111" s="22"/>
      <x:c r="R111" s="28"/>
      <x:c r="S111" s="22"/>
      <x:c r="T111" s="37" t="n">
        <x:f>K111</x:f>
        <x:v>26</x:v>
      </x:c>
      <x:c r="U111" s="21" t="str">
        <x:f>IF(J111="Рассчитано",N111*(1-O111/100),"н/д")</x:f>
        <x:v>н/д</x:v>
      </x:c>
      <x:c r="V111" s="21" t="str">
        <x:f>IF(J111="Рассчитано",T111*U111,"н/д")</x:f>
        <x:v>н/д</x:v>
      </x:c>
      <x:c r="W111" s="21" t="str">
        <x:f>IF(J111="Рассчитано",T111*M111,"н/д")</x:f>
        <x:v>н/д</x:v>
      </x:c>
      <x:c r="X111" s="21" t="str">
        <x:f>IF(J111="Рассчитано",V111-W111,"н/д")</x:f>
        <x:v>н/д</x:v>
      </x:c>
      <x:c r="Y111" s="27" t="str">
        <x:f>IF(J111="Рассчитано",IF(V111&gt;0,G111/V111,"н/д"),"н/д")</x:f>
        <x:v>н/д</x:v>
      </x:c>
      <x:c r="Z111" s="21" t="str">
        <x:f>"н/д"</x:f>
        <x:v>н/д</x:v>
      </x:c>
      <x:c r="AA111" s="21" t="str">
        <x:f>"н/д"</x:f>
        <x:v>н/д</x:v>
      </x:c>
      <x:c r="AB111" s="21" t="str">
        <x:f>"н/д"</x:f>
        <x:v>н/д</x:v>
      </x:c>
      <x:c r="AC111" s="21" t="str">
        <x:f>IF(AND(J111="Рассчитано",T111&gt;0,R111&lt;100),(W111+P111+Q111)/(T111*(1-R111/100)),"н/д")</x:f>
        <x:v>н/д</x:v>
      </x:c>
      <x:c r="AD111" s="10" t="str">
        <x:f>IF(ISNUMBER(G111),IF(G111&lt;0,"Убыток",IF(G111=0,"Без прибыли","Прибыль &gt; 0")),"Не оценён")</x:f>
        <x:v>Не оценён</x:v>
      </x:c>
      <x:c r="AE111" s="13" t="str">
        <x:f>IF(J111="Рассчитано","Выручка "&amp;TEXT(V111,"0.00")&amp;" - себестоимость "&amp;TEXT(W111,"0.00")&amp;" - комиссия "&amp;TEXT(V111*R111/100,"0.00")&amp;" - доставка "&amp;TEXT(P111,"0.00")&amp;" - прочие "&amp;TEXT(Q111,"0.00")&amp;" = "&amp;TEXT(G111,"0.00")&amp;" "&amp;L111,"Введите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" s="24" t="n">
        <x:v>66.73698143532089</x:v>
      </x:c>
      <x:c r="AG111" s="37" t="n">
        <x:v>93</x:v>
      </x:c>
      <x:c r="AH111" s="37" t="n">
        <x:v>16</x:v>
      </x:c>
      <x:c r="AI111" s="30" t="n">
        <x:v>46266</x:v>
      </x:c>
      <x:c r="AJ111" s="37" t="n">
        <x:v>1</x:v>
      </x:c>
      <x:c r="AK111" s="10" t="str">
        <x:v>минимум</x:v>
      </x:c>
      <x:c r="AL111" s="32" t="n">
        <x:v>118.50466133963218</x:v>
      </x:c>
      <x:c r="AM11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1" s="13" t="str">
        <x:v>Проверить свободный остаток и установить цену для B2B</x:v>
      </x:c>
      <x:c r="AO111" s="13" t="str">
        <x:v>Остаток 93; прогноз 90 дней 66.74; избыток 26 шт. Будущие поступления не выставляются на продажу. Остаток на начало сентября: требуется актуализация.</x:v>
      </x:c>
      <x:c r="AP111" s="13" t="str">
        <x:v>["category_missing", "daily_stockout_data_missing", "large_orders_detected", "new_order_lead_time_unknown", "reservations_unknown", "stale_stock", "transaction_month_mismatch"]</x:v>
      </x:c>
      <x:c r="AQ111" s="10" t="str">
        <x:v>IEK:010800027_</x:v>
      </x:c>
      <x:c r="AR111" s="24" t="n">
        <x:v>1</x:v>
      </x:c>
      <x:c r="AS111" s="24" t="n">
        <x:v>0</x:v>
      </x:c>
      <x:c r="AT111" s="24" t="n">
        <x:v>0</x:v>
      </x:c>
    </x:row>
    <x:row r="112" ht="64" customHeight="1">
      <x:c r="A112" s="11" t="str">
        <x:v>IEK</x:v>
      </x:c>
      <x:c r="B112" s="33" t="str">
        <x:v>010800028_</x:v>
      </x:c>
      <x:c r="C112" s="33" t="str">
        <x:v>SVA20-3-0125</x:v>
      </x:c>
      <x:c r="D112" s="12" t="str">
        <x:v>ВА 88-33 (3ф) 125А IEK (1/16)</x:v>
      </x:c>
      <x:c r="E112" s="11" t="str">
        <x:v>шт</x:v>
      </x:c>
      <x:c r="F112" s="35" t="n">
        <x:f>MAX(0,ROUNDDOWN((AG112-AF112)/AR112+0.000000001,0)*AR112)</x:f>
        <x:v>27</x:v>
      </x:c>
      <x:c r="G112" s="20" t="str">
        <x:f>IF(J112="Рассчитано",V112*(1-R112/100)-W112-P112-Q112,"н/д")</x:f>
        <x:v>н/д</x:v>
      </x:c>
      <x:c r="H112" s="12" t="str">
        <x:v>Высокий</x:v>
      </x:c>
      <x:c r="I112" s="12" t="str">
        <x:v>Средний</x:v>
      </x:c>
      <x:c r="J112" s="12" t="str">
        <x:f>IF(L112="","Укажите валюту",IF(NOT(ISNUMBER(K112)),"Укажите объём",IF(K112&lt;=0,"Укажите объём",IF(K112&gt;F112,"Объём выше излишка",IF(COUNT(M112:O112)&lt;3,"Нужны цены",IF(COUNT(P112:R112)&lt;3,"Нужны расходы",IF(OR(M112&lt;0,N112&lt;0,O112&lt;0,O112&gt;100,P112&lt;0,Q112&lt;0,R112&lt;0,R112&gt;100),"Проверьте значения","Рассчитано")))))))</x:f>
        <x:v>Нужны цены</x:v>
      </x:c>
      <x:c r="K112" s="36" t="n">
        <x:v>27</x:v>
      </x:c>
      <x:c r="L112" s="19" t="str">
        <x:v>KZT</x:v>
      </x:c>
      <x:c r="M112" s="22"/>
      <x:c r="N112" s="22"/>
      <x:c r="O112" s="28"/>
      <x:c r="P112" s="22"/>
      <x:c r="Q112" s="22"/>
      <x:c r="R112" s="28"/>
      <x:c r="S112" s="22"/>
      <x:c r="T112" s="35" t="n">
        <x:f>K112</x:f>
        <x:v>27</x:v>
      </x:c>
      <x:c r="U112" s="20" t="str">
        <x:f>IF(J112="Рассчитано",N112*(1-O112/100),"н/д")</x:f>
        <x:v>н/д</x:v>
      </x:c>
      <x:c r="V112" s="20" t="str">
        <x:f>IF(J112="Рассчитано",T112*U112,"н/д")</x:f>
        <x:v>н/д</x:v>
      </x:c>
      <x:c r="W112" s="20" t="str">
        <x:f>IF(J112="Рассчитано",T112*M112,"н/д")</x:f>
        <x:v>н/д</x:v>
      </x:c>
      <x:c r="X112" s="20" t="str">
        <x:f>IF(J112="Рассчитано",V112-W112,"н/д")</x:f>
        <x:v>н/д</x:v>
      </x:c>
      <x:c r="Y112" s="26" t="str">
        <x:f>IF(J112="Рассчитано",IF(V112&gt;0,G112/V112,"н/д"),"н/д")</x:f>
        <x:v>н/д</x:v>
      </x:c>
      <x:c r="Z112" s="20" t="str">
        <x:f>"н/д"</x:f>
        <x:v>н/д</x:v>
      </x:c>
      <x:c r="AA112" s="20" t="str">
        <x:f>"н/д"</x:f>
        <x:v>н/д</x:v>
      </x:c>
      <x:c r="AB112" s="20" t="str">
        <x:f>"н/д"</x:f>
        <x:v>н/д</x:v>
      </x:c>
      <x:c r="AC112" s="20" t="str">
        <x:f>IF(AND(J112="Рассчитано",T112&gt;0,R112&lt;100),(W112+P112+Q112)/(T112*(1-R112/100)),"н/д")</x:f>
        <x:v>н/д</x:v>
      </x:c>
      <x:c r="AD112" s="11" t="str">
        <x:f>IF(ISNUMBER(G112),IF(G112&lt;0,"Убыток",IF(G112=0,"Без прибыли","Прибыль &gt; 0")),"Не оценён")</x:f>
        <x:v>Не оценён</x:v>
      </x:c>
      <x:c r="AE112" s="12" t="str">
        <x:f>IF(J112="Рассчитано","Выручка "&amp;TEXT(V112,"0.00")&amp;" - себестоимость "&amp;TEXT(W112,"0.00")&amp;" - комиссия "&amp;TEXT(V112*R112/100,"0.00")&amp;" - доставка "&amp;TEXT(P112,"0.00")&amp;" - прочие "&amp;TEXT(Q112,"0.00")&amp;" = "&amp;TEXT(G112,"0.00")&amp;" "&amp;L112,"Введите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" s="23" t="n">
        <x:v>43.58198829952487</x:v>
      </x:c>
      <x:c r="AG112" s="35" t="n">
        <x:v>71</x:v>
      </x:c>
      <x:c r="AH112" s="35" t="n">
        <x:v>0</x:v>
      </x:c>
      <x:c r="AI112" s="29" t="n">
        <x:v>46266</x:v>
      </x:c>
      <x:c r="AJ112" s="35" t="n">
        <x:v>1</x:v>
      </x:c>
      <x:c r="AK112" s="11" t="str">
        <x:v>минимум</x:v>
      </x:c>
      <x:c r="AL112" s="31" t="n">
        <x:v>138.5384592043724</x:v>
      </x:c>
      <x:c r="AM112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2" s="12" t="str">
        <x:v>Проверить свободный остаток и установить цену для B2B</x:v>
      </x:c>
      <x:c r="AO112" s="12" t="str">
        <x:v>Остаток 71; прогноз 90 дней 43.58; избыток 27 шт. Будущие поступления не выставляются на продажу. Остаток на начало сентября: требуется актуализация.</x:v>
      </x:c>
      <x:c r="AP112" s="12" t="str">
        <x:v>["category_missing", "daily_stockout_data_missing", "large_orders_detected", "new_order_lead_time_unknown", "reservations_unknown", "stale_stock", "transaction_month_mismatch"]</x:v>
      </x:c>
      <x:c r="AQ112" s="11" t="str">
        <x:v>IEK:010800028_</x:v>
      </x:c>
      <x:c r="AR112" s="23" t="n">
        <x:v>1</x:v>
      </x:c>
      <x:c r="AS112" s="23" t="n">
        <x:v>0</x:v>
      </x:c>
      <x:c r="AT112" s="23" t="n">
        <x:v>0</x:v>
      </x:c>
    </x:row>
    <x:row r="113" ht="64" customHeight="1">
      <x:c r="A113" s="10" t="str">
        <x:v>IEK</x:v>
      </x:c>
      <x:c r="B113" s="34" t="str">
        <x:v>010800034_</x:v>
      </x:c>
      <x:c r="C113" s="34" t="str">
        <x:v>SVA30-3-0125</x:v>
      </x:c>
      <x:c r="D113" s="13" t="str">
        <x:v>ВА 88-35 (3ф) 125А IEK (1/6)</x:v>
      </x:c>
      <x:c r="E113" s="10" t="str">
        <x:v>шт</x:v>
      </x:c>
      <x:c r="F113" s="37" t="n">
        <x:f>MAX(0,ROUNDDOWN((AG113-AF113)/AR113+0.000000001,0)*AR113)</x:f>
        <x:v>65</x:v>
      </x:c>
      <x:c r="G113" s="21" t="str">
        <x:f>IF(J113="Рассчитано",V113*(1-R113/100)-W113-P113-Q113,"н/д")</x:f>
        <x:v>н/д</x:v>
      </x:c>
      <x:c r="H113" s="13" t="str">
        <x:v>Высокий</x:v>
      </x:c>
      <x:c r="I113" s="13" t="str">
        <x:v>Высокий</x:v>
      </x:c>
      <x:c r="J113" s="13" t="str">
        <x:f>IF(L113="","Укажите валюту",IF(NOT(ISNUMBER(K113)),"Укажите объём",IF(K113&lt;=0,"Укажите объём",IF(K113&gt;F113,"Объём выше излишка",IF(COUNT(M113:O113)&lt;3,"Нужны цены",IF(COUNT(P113:R113)&lt;3,"Нужны расходы",IF(OR(M113&lt;0,N113&lt;0,O113&lt;0,O113&gt;100,P113&lt;0,Q113&lt;0,R113&lt;0,R113&gt;100),"Проверьте значения","Рассчитано")))))))</x:f>
        <x:v>Нужны цены</x:v>
      </x:c>
      <x:c r="K113" s="36" t="n">
        <x:v>65</x:v>
      </x:c>
      <x:c r="L113" s="19" t="str">
        <x:v>KZT</x:v>
      </x:c>
      <x:c r="M113" s="22"/>
      <x:c r="N113" s="22"/>
      <x:c r="O113" s="28"/>
      <x:c r="P113" s="22"/>
      <x:c r="Q113" s="22"/>
      <x:c r="R113" s="28"/>
      <x:c r="S113" s="22"/>
      <x:c r="T113" s="37" t="n">
        <x:f>K113</x:f>
        <x:v>65</x:v>
      </x:c>
      <x:c r="U113" s="21" t="str">
        <x:f>IF(J113="Рассчитано",N113*(1-O113/100),"н/д")</x:f>
        <x:v>н/д</x:v>
      </x:c>
      <x:c r="V113" s="21" t="str">
        <x:f>IF(J113="Рассчитано",T113*U113,"н/д")</x:f>
        <x:v>н/д</x:v>
      </x:c>
      <x:c r="W113" s="21" t="str">
        <x:f>IF(J113="Рассчитано",T113*M113,"н/д")</x:f>
        <x:v>н/д</x:v>
      </x:c>
      <x:c r="X113" s="21" t="str">
        <x:f>IF(J113="Рассчитано",V113-W113,"н/д")</x:f>
        <x:v>н/д</x:v>
      </x:c>
      <x:c r="Y113" s="27" t="str">
        <x:f>IF(J113="Рассчитано",IF(V113&gt;0,G113/V113,"н/д"),"н/д")</x:f>
        <x:v>н/д</x:v>
      </x:c>
      <x:c r="Z113" s="21" t="str">
        <x:f>"н/д"</x:f>
        <x:v>н/д</x:v>
      </x:c>
      <x:c r="AA113" s="21" t="str">
        <x:f>"н/д"</x:f>
        <x:v>н/д</x:v>
      </x:c>
      <x:c r="AB113" s="21" t="str">
        <x:f>"н/д"</x:f>
        <x:v>н/д</x:v>
      </x:c>
      <x:c r="AC113" s="21" t="str">
        <x:f>IF(AND(J113="Рассчитано",T113&gt;0,R113&lt;100),(W113+P113+Q113)/(T113*(1-R113/100)),"н/д")</x:f>
        <x:v>н/д</x:v>
      </x:c>
      <x:c r="AD113" s="10" t="str">
        <x:f>IF(ISNUMBER(G113),IF(G113&lt;0,"Убыток",IF(G113=0,"Без прибыли","Прибыль &gt; 0")),"Не оценён")</x:f>
        <x:v>Не оценён</x:v>
      </x:c>
      <x:c r="AE113" s="13" t="str">
        <x:f>IF(J113="Рассчитано","Выручка "&amp;TEXT(V113,"0.00")&amp;" - себестоимость "&amp;TEXT(W113,"0.00")&amp;" - комиссия "&amp;TEXT(V113*R113/100,"0.00")&amp;" - доставка "&amp;TEXT(P113,"0.00")&amp;" - прочие "&amp;TEXT(Q113,"0.00")&amp;" = "&amp;TEXT(G113,"0.00")&amp;" "&amp;L113,"Введите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" s="24" t="n">
        <x:v>38.142462675871265</x:v>
      </x:c>
      <x:c r="AG113" s="37" t="n">
        <x:v>104</x:v>
      </x:c>
      <x:c r="AH113" s="37" t="n">
        <x:v>0</x:v>
      </x:c>
      <x:c r="AI113" s="30" t="n">
        <x:v>46266</x:v>
      </x:c>
      <x:c r="AJ113" s="37" t="n">
        <x:v>1</x:v>
      </x:c>
      <x:c r="AK113" s="10" t="str">
        <x:v>минимум</x:v>
      </x:c>
      <x:c r="AL113" s="32" t="n">
        <x:v>231.86951500350156</x:v>
      </x:c>
      <x:c r="AM113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3" s="13" t="str">
        <x:v>Проверить свободный остаток и установить цену для B2B</x:v>
      </x:c>
      <x:c r="AO113" s="13" t="str">
        <x:v>Остаток 104; прогноз 90 дней 38.14; избыток 65 шт. Будущие поступления не выставляются на продажу. Остаток на начало сентября: требуется актуализация.</x:v>
      </x:c>
      <x:c r="AP113" s="13" t="str">
        <x:v>["category_missing", "daily_stockout_data_missing", "large_orders_detected", "new_order_lead_time_unknown", "reservations_unknown", "stale_stock", "transaction_month_mismatch"]</x:v>
      </x:c>
      <x:c r="AQ113" s="10" t="str">
        <x:v>IEK:010800034_</x:v>
      </x:c>
      <x:c r="AR113" s="24" t="n">
        <x:v>1</x:v>
      </x:c>
      <x:c r="AS113" s="24" t="n">
        <x:v>0</x:v>
      </x:c>
      <x:c r="AT113" s="24" t="n">
        <x:v>0</x:v>
      </x:c>
    </x:row>
    <x:row r="114" ht="64" customHeight="1">
      <x:c r="A114" s="11" t="str">
        <x:v>IEK</x:v>
      </x:c>
      <x:c r="B114" s="33" t="str">
        <x:v>010800035_</x:v>
      </x:c>
      <x:c r="C114" s="33" t="str">
        <x:v>SVA30-3-0160</x:v>
      </x:c>
      <x:c r="D114" s="12" t="str">
        <x:v>ВА 88-35 (3ф) 160А IEK (1/6)</x:v>
      </x:c>
      <x:c r="E114" s="11" t="str">
        <x:v>шт</x:v>
      </x:c>
      <x:c r="F114" s="35" t="n">
        <x:f>MAX(0,ROUNDDOWN((AG114-AF114)/AR114+0.000000001,0)*AR114)</x:f>
        <x:v>31</x:v>
      </x:c>
      <x:c r="G114" s="20" t="str">
        <x:f>IF(J114="Рассчитано",V114*(1-R114/100)-W114-P114-Q114,"н/д")</x:f>
        <x:v>н/д</x:v>
      </x:c>
      <x:c r="H114" s="12" t="str">
        <x:v>Высокий</x:v>
      </x:c>
      <x:c r="I114" s="12" t="str">
        <x:v>Средний</x:v>
      </x:c>
      <x:c r="J114" s="12" t="str">
        <x:f>IF(L114="","Укажите валюту",IF(NOT(ISNUMBER(K114)),"Укажите объём",IF(K114&lt;=0,"Укажите объём",IF(K114&gt;F114,"Объём выше излишка",IF(COUNT(M114:O114)&lt;3,"Нужны цены",IF(COUNT(P114:R114)&lt;3,"Нужны расходы",IF(OR(M114&lt;0,N114&lt;0,O114&lt;0,O114&gt;100,P114&lt;0,Q114&lt;0,R114&lt;0,R114&gt;100),"Проверьте значения","Рассчитано")))))))</x:f>
        <x:v>Нужны цены</x:v>
      </x:c>
      <x:c r="K114" s="36" t="n">
        <x:v>31</x:v>
      </x:c>
      <x:c r="L114" s="19" t="str">
        <x:v>KZT</x:v>
      </x:c>
      <x:c r="M114" s="22"/>
      <x:c r="N114" s="22"/>
      <x:c r="O114" s="28"/>
      <x:c r="P114" s="22"/>
      <x:c r="Q114" s="22"/>
      <x:c r="R114" s="28"/>
      <x:c r="S114" s="22"/>
      <x:c r="T114" s="35" t="n">
        <x:f>K114</x:f>
        <x:v>31</x:v>
      </x:c>
      <x:c r="U114" s="20" t="str">
        <x:f>IF(J114="Рассчитано",N114*(1-O114/100),"н/д")</x:f>
        <x:v>н/д</x:v>
      </x:c>
      <x:c r="V114" s="20" t="str">
        <x:f>IF(J114="Рассчитано",T114*U114,"н/д")</x:f>
        <x:v>н/д</x:v>
      </x:c>
      <x:c r="W114" s="20" t="str">
        <x:f>IF(J114="Рассчитано",T114*M114,"н/д")</x:f>
        <x:v>н/д</x:v>
      </x:c>
      <x:c r="X114" s="20" t="str">
        <x:f>IF(J114="Рассчитано",V114-W114,"н/д")</x:f>
        <x:v>н/д</x:v>
      </x:c>
      <x:c r="Y114" s="26" t="str">
        <x:f>IF(J114="Рассчитано",IF(V114&gt;0,G114/V114,"н/д"),"н/д")</x:f>
        <x:v>н/д</x:v>
      </x:c>
      <x:c r="Z114" s="20" t="str">
        <x:f>"н/д"</x:f>
        <x:v>н/д</x:v>
      </x:c>
      <x:c r="AA114" s="20" t="str">
        <x:f>"н/д"</x:f>
        <x:v>н/д</x:v>
      </x:c>
      <x:c r="AB114" s="20" t="str">
        <x:f>"н/д"</x:f>
        <x:v>н/д</x:v>
      </x:c>
      <x:c r="AC114" s="20" t="str">
        <x:f>IF(AND(J114="Рассчитано",T114&gt;0,R114&lt;100),(W114+P114+Q114)/(T114*(1-R114/100)),"н/д")</x:f>
        <x:v>н/д</x:v>
      </x:c>
      <x:c r="AD114" s="11" t="str">
        <x:f>IF(ISNUMBER(G114),IF(G114&lt;0,"Убыток",IF(G114=0,"Без прибыли","Прибыль &gt; 0")),"Не оценён")</x:f>
        <x:v>Не оценён</x:v>
      </x:c>
      <x:c r="AE114" s="12" t="str">
        <x:f>IF(J114="Рассчитано","Выручка "&amp;TEXT(V114,"0.00")&amp;" - себестоимость "&amp;TEXT(W114,"0.00")&amp;" - комиссия "&amp;TEXT(V114*R114/100,"0.00")&amp;" - доставка "&amp;TEXT(P114,"0.00")&amp;" - прочие "&amp;TEXT(Q114,"0.00")&amp;" = "&amp;TEXT(G114,"0.00")&amp;" "&amp;L114,"Введите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" s="23" t="n">
        <x:v>92.79304327511491</x:v>
      </x:c>
      <x:c r="AG114" s="35" t="n">
        <x:v>124</x:v>
      </x:c>
      <x:c r="AH114" s="35" t="n">
        <x:v>30</x:v>
      </x:c>
      <x:c r="AI114" s="29" t="n">
        <x:v>46266</x:v>
      </x:c>
      <x:c r="AJ114" s="35" t="n">
        <x:v>1</x:v>
      </x:c>
      <x:c r="AK114" s="11" t="str">
        <x:v>минимум</x:v>
      </x:c>
      <x:c r="AL114" s="31" t="n">
        <x:v>113.638452548995</x:v>
      </x:c>
      <x:c r="AM11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4" s="12" t="str">
        <x:v>Проверить свободный остаток и установить цену для B2B</x:v>
      </x:c>
      <x:c r="AO114" s="12" t="str">
        <x:v>Остаток 124; прогноз 90 дней 92.79; избыток 31 шт. Будущие поступления не выставляются на продажу. Остаток на начало сентября: требуется актуализация.</x:v>
      </x:c>
      <x:c r="AP114" s="12" t="str">
        <x:v>["category_missing", "daily_stockout_data_missing", "large_orders_detected", "new_order_lead_time_unknown", "reservations_unknown", "stale_stock", "transaction_month_mismatch"]</x:v>
      </x:c>
      <x:c r="AQ114" s="11" t="str">
        <x:v>IEK:010800035_</x:v>
      </x:c>
      <x:c r="AR114" s="23" t="n">
        <x:v>1</x:v>
      </x:c>
      <x:c r="AS114" s="23" t="n">
        <x:v>0</x:v>
      </x:c>
      <x:c r="AT114" s="23" t="n">
        <x:v>0</x:v>
      </x:c>
    </x:row>
    <x:row r="115" ht="64" customHeight="1">
      <x:c r="A115" s="10" t="str">
        <x:v>IEK</x:v>
      </x:c>
      <x:c r="B115" s="34" t="str">
        <x:v>010800036_</x:v>
      </x:c>
      <x:c r="C115" s="34" t="str">
        <x:v>SVA10D-EP</x:v>
      </x:c>
      <x:c r="D115" s="13" t="str">
        <x:v>Электропривод ЭП-32/33 230В IEK (1/16)</x:v>
      </x:c>
      <x:c r="E115" s="10" t="str">
        <x:v>шт</x:v>
      </x:c>
      <x:c r="F115" s="37" t="n">
        <x:f>MAX(0,ROUNDDOWN((AG115-AF115)/AR115+0.000000001,0)*AR115)</x:f>
        <x:v>6</x:v>
      </x:c>
      <x:c r="G115" s="21" t="str">
        <x:f>IF(J115="Рассчитано",V115*(1-R115/100)-W115-P115-Q115,"н/д")</x:f>
        <x:v>н/д</x:v>
      </x:c>
      <x:c r="H115" s="13" t="str">
        <x:v>Высокий</x:v>
      </x:c>
      <x:c r="I115" s="13" t="str">
        <x:v>Высокий</x:v>
      </x:c>
      <x:c r="J115" s="13" t="str">
        <x:f>IF(L115="","Укажите валюту",IF(NOT(ISNUMBER(K115)),"Укажите объём",IF(K115&lt;=0,"Укажите объём",IF(K115&gt;F115,"Объём выше излишка",IF(COUNT(M115:O115)&lt;3,"Нужны цены",IF(COUNT(P115:R115)&lt;3,"Нужны расходы",IF(OR(M115&lt;0,N115&lt;0,O115&lt;0,O115&gt;100,P115&lt;0,Q115&lt;0,R115&lt;0,R115&gt;100),"Проверьте значения","Рассчитано")))))))</x:f>
        <x:v>Нужны цены</x:v>
      </x:c>
      <x:c r="K115" s="36" t="n">
        <x:v>6</x:v>
      </x:c>
      <x:c r="L115" s="19" t="str">
        <x:v>KZT</x:v>
      </x:c>
      <x:c r="M115" s="22"/>
      <x:c r="N115" s="22"/>
      <x:c r="O115" s="28"/>
      <x:c r="P115" s="22"/>
      <x:c r="Q115" s="22"/>
      <x:c r="R115" s="28"/>
      <x:c r="S115" s="22"/>
      <x:c r="T115" s="37" t="n">
        <x:f>K115</x:f>
        <x:v>6</x:v>
      </x:c>
      <x:c r="U115" s="21" t="str">
        <x:f>IF(J115="Рассчитано",N115*(1-O115/100),"н/д")</x:f>
        <x:v>н/д</x:v>
      </x:c>
      <x:c r="V115" s="21" t="str">
        <x:f>IF(J115="Рассчитано",T115*U115,"н/д")</x:f>
        <x:v>н/д</x:v>
      </x:c>
      <x:c r="W115" s="21" t="str">
        <x:f>IF(J115="Рассчитано",T115*M115,"н/д")</x:f>
        <x:v>н/д</x:v>
      </x:c>
      <x:c r="X115" s="21" t="str">
        <x:f>IF(J115="Рассчитано",V115-W115,"н/д")</x:f>
        <x:v>н/д</x:v>
      </x:c>
      <x:c r="Y115" s="27" t="str">
        <x:f>IF(J115="Рассчитано",IF(V115&gt;0,G115/V115,"н/д"),"н/д")</x:f>
        <x:v>н/д</x:v>
      </x:c>
      <x:c r="Z115" s="21" t="str">
        <x:f>"н/д"</x:f>
        <x:v>н/д</x:v>
      </x:c>
      <x:c r="AA115" s="21" t="str">
        <x:f>"н/д"</x:f>
        <x:v>н/д</x:v>
      </x:c>
      <x:c r="AB115" s="21" t="str">
        <x:f>"н/д"</x:f>
        <x:v>н/д</x:v>
      </x:c>
      <x:c r="AC115" s="21" t="str">
        <x:f>IF(AND(J115="Рассчитано",T115&gt;0,R115&lt;100),(W115+P115+Q115)/(T115*(1-R115/100)),"н/д")</x:f>
        <x:v>н/д</x:v>
      </x:c>
      <x:c r="AD115" s="10" t="str">
        <x:f>IF(ISNUMBER(G115),IF(G115&lt;0,"Убыток",IF(G115=0,"Без прибыли","Прибыль &gt; 0")),"Не оценён")</x:f>
        <x:v>Не оценён</x:v>
      </x:c>
      <x:c r="AE115" s="13" t="str">
        <x:f>IF(J115="Рассчитано","Выручка "&amp;TEXT(V115,"0.00")&amp;" - себестоимость "&amp;TEXT(W115,"0.00")&amp;" - комиссия "&amp;TEXT(V115*R115/100,"0.00")&amp;" - доставка "&amp;TEXT(P115,"0.00")&amp;" - прочие "&amp;TEXT(Q115,"0.00")&amp;" = "&amp;TEXT(G115,"0.00")&amp;" "&amp;L115,"Введите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" s="24" t="n">
        <x:v>0</x:v>
      </x:c>
      <x:c r="AG115" s="37" t="n">
        <x:v>6</x:v>
      </x:c>
      <x:c r="AH115" s="37" t="n">
        <x:v>0</x:v>
      </x:c>
      <x:c r="AI115" s="30" t="n">
        <x:v>46266</x:v>
      </x:c>
      <x:c r="AJ115" s="37"/>
      <x:c r="AK115" s="10" t="str">
        <x:v>неизвестно</x:v>
      </x:c>
      <x:c r="AL115" s="32" t="str">
        <x:v>н/д</x:v>
      </x:c>
      <x:c r="AM11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15" s="13" t="str">
        <x:v>Проверить свободный остаток и установить цену для B2B</x:v>
      </x:c>
      <x:c r="AO115" s="13" t="str">
        <x:v>Остаток 6; прогноз 90 дней 0.00; избыток 6 шт. Будущие поступления не выставляются на продажу. Остаток на начало сентября: требуется актуализация.</x:v>
      </x:c>
      <x:c r="AP115" s="13" t="str">
        <x:v>["category_missing", "daily_stockout_data_missing", "moq_missing", "new_order_lead_time_unknown", "reservations_unknown", "stale_stock"]</x:v>
      </x:c>
      <x:c r="AQ115" s="10" t="str">
        <x:v>IEK:010800036_</x:v>
      </x:c>
      <x:c r="AR115" s="24" t="n">
        <x:v>1</x:v>
      </x:c>
      <x:c r="AS115" s="24" t="n">
        <x:v>0</x:v>
      </x:c>
      <x:c r="AT115" s="24" t="n">
        <x:v>0</x:v>
      </x:c>
    </x:row>
    <x:row r="116" ht="64" customHeight="1">
      <x:c r="A116" s="11" t="str">
        <x:v>IEK</x:v>
      </x:c>
      <x:c r="B116" s="33" t="str">
        <x:v>010800049_</x:v>
      </x:c>
      <x:c r="C116" s="33"/>
      <x:c r="D116" s="12" t="str">
        <x:v>Доп. контакт ДК-250(400)А IEK !!!</x:v>
      </x:c>
      <x:c r="E116" s="11" t="str">
        <x:v>шт</x:v>
      </x:c>
      <x:c r="F116" s="35" t="n">
        <x:f>MAX(0,ROUNDDOWN((AG116-AF116)/AR116+0.000000001,0)*AR116)</x:f>
        <x:v>5</x:v>
      </x:c>
      <x:c r="G116" s="20" t="str">
        <x:f>IF(J116="Рассчитано",V116*(1-R116/100)-W116-P116-Q116,"н/д")</x:f>
        <x:v>н/д</x:v>
      </x:c>
      <x:c r="H116" s="12" t="str">
        <x:v>Высокий</x:v>
      </x:c>
      <x:c r="I116" s="12" t="str">
        <x:v>Высокий</x:v>
      </x:c>
      <x:c r="J116" s="12" t="str">
        <x:f>IF(L116="","Укажите валюту",IF(NOT(ISNUMBER(K116)),"Укажите объём",IF(K116&lt;=0,"Укажите объём",IF(K116&gt;F116,"Объём выше излишка",IF(COUNT(M116:O116)&lt;3,"Нужны цены",IF(COUNT(P116:R116)&lt;3,"Нужны расходы",IF(OR(M116&lt;0,N116&lt;0,O116&lt;0,O116&gt;100,P116&lt;0,Q116&lt;0,R116&lt;0,R116&gt;100),"Проверьте значения","Рассчитано")))))))</x:f>
        <x:v>Нужны цены</x:v>
      </x:c>
      <x:c r="K116" s="36" t="n">
        <x:v>5</x:v>
      </x:c>
      <x:c r="L116" s="19" t="str">
        <x:v>KZT</x:v>
      </x:c>
      <x:c r="M116" s="22"/>
      <x:c r="N116" s="22"/>
      <x:c r="O116" s="28"/>
      <x:c r="P116" s="22"/>
      <x:c r="Q116" s="22"/>
      <x:c r="R116" s="28"/>
      <x:c r="S116" s="22"/>
      <x:c r="T116" s="35" t="n">
        <x:f>K116</x:f>
        <x:v>5</x:v>
      </x:c>
      <x:c r="U116" s="20" t="str">
        <x:f>IF(J116="Рассчитано",N116*(1-O116/100),"н/д")</x:f>
        <x:v>н/д</x:v>
      </x:c>
      <x:c r="V116" s="20" t="str">
        <x:f>IF(J116="Рассчитано",T116*U116,"н/д")</x:f>
        <x:v>н/д</x:v>
      </x:c>
      <x:c r="W116" s="20" t="str">
        <x:f>IF(J116="Рассчитано",T116*M116,"н/д")</x:f>
        <x:v>н/д</x:v>
      </x:c>
      <x:c r="X116" s="20" t="str">
        <x:f>IF(J116="Рассчитано",V116-W116,"н/д")</x:f>
        <x:v>н/д</x:v>
      </x:c>
      <x:c r="Y116" s="26" t="str">
        <x:f>IF(J116="Рассчитано",IF(V116&gt;0,G116/V116,"н/д"),"н/д")</x:f>
        <x:v>н/д</x:v>
      </x:c>
      <x:c r="Z116" s="20" t="str">
        <x:f>"н/д"</x:f>
        <x:v>н/д</x:v>
      </x:c>
      <x:c r="AA116" s="20" t="str">
        <x:f>"н/д"</x:f>
        <x:v>н/д</x:v>
      </x:c>
      <x:c r="AB116" s="20" t="str">
        <x:f>"н/д"</x:f>
        <x:v>н/д</x:v>
      </x:c>
      <x:c r="AC116" s="20" t="str">
        <x:f>IF(AND(J116="Рассчитано",T116&gt;0,R116&lt;100),(W116+P116+Q116)/(T116*(1-R116/100)),"н/д")</x:f>
        <x:v>н/д</x:v>
      </x:c>
      <x:c r="AD116" s="11" t="str">
        <x:f>IF(ISNUMBER(G116),IF(G116&lt;0,"Убыток",IF(G116=0,"Без прибыли","Прибыль &gt; 0")),"Не оценён")</x:f>
        <x:v>Не оценён</x:v>
      </x:c>
      <x:c r="AE116" s="12" t="str">
        <x:f>IF(J116="Рассчитано","Выручка "&amp;TEXT(V116,"0.00")&amp;" - себестоимость "&amp;TEXT(W116,"0.00")&amp;" - комиссия "&amp;TEXT(V116*R116/100,"0.00")&amp;" - доставка "&amp;TEXT(P116,"0.00")&amp;" - прочие "&amp;TEXT(Q116,"0.00")&amp;" = "&amp;TEXT(G116,"0.00")&amp;" "&amp;L116,"Введите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" s="23" t="n">
        <x:v>0</x:v>
      </x:c>
      <x:c r="AG116" s="35" t="n">
        <x:v>5</x:v>
      </x:c>
      <x:c r="AH116" s="35" t="n">
        <x:v>0</x:v>
      </x:c>
      <x:c r="AI116" s="29" t="n">
        <x:v>46266</x:v>
      </x:c>
      <x:c r="AJ116" s="35"/>
      <x:c r="AK116" s="11" t="str">
        <x:v>неизвестно</x:v>
      </x:c>
      <x:c r="AL116" s="31" t="str">
        <x:v>н/д</x:v>
      </x:c>
      <x:c r="AM116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16" s="12" t="str">
        <x:v>Проверить свободный остаток и установить цену для B2B</x:v>
      </x:c>
      <x:c r="AO116" s="12" t="str">
        <x:v>Остаток 5; прогноз 90 дней 0.00; избыток 5 шт. Будущие поступления не выставляются на продажу. Остаток на начало сентября: требуется актуализация.</x:v>
      </x:c>
      <x:c r="AP116" s="12" t="str">
        <x:v>["category_missing", "daily_stockout_data_missing", "moq_missing", "new_order_lead_time_unknown", "reservations_unknown", "stale_stock", "supplier_sku_missing"]</x:v>
      </x:c>
      <x:c r="AQ116" s="11" t="str">
        <x:v>IEK:010800049_</x:v>
      </x:c>
      <x:c r="AR116" s="23" t="n">
        <x:v>1</x:v>
      </x:c>
      <x:c r="AS116" s="23" t="n">
        <x:v>0</x:v>
      </x:c>
      <x:c r="AT116" s="23" t="n">
        <x:v>0</x:v>
      </x:c>
    </x:row>
    <x:row r="117" ht="64" customHeight="1">
      <x:c r="A117" s="10" t="str">
        <x:v>IEK</x:v>
      </x:c>
      <x:c r="B117" s="34" t="str">
        <x:v>010800050_</x:v>
      </x:c>
      <x:c r="C117" s="34" t="str">
        <x:v>SVA50D-DK-1</x:v>
      </x:c>
      <x:c r="D117" s="13" t="str">
        <x:v>Доп. контакт ДК-630/800/1600 А IEK !!!</x:v>
      </x:c>
      <x:c r="E117" s="10" t="str">
        <x:v>шт</x:v>
      </x:c>
      <x:c r="F117" s="37" t="n">
        <x:f>MAX(0,ROUNDDOWN((AG117-AF117)/AR117+0.000000001,0)*AR117)</x:f>
        <x:v>5</x:v>
      </x:c>
      <x:c r="G117" s="21" t="str">
        <x:f>IF(J117="Рассчитано",V117*(1-R117/100)-W117-P117-Q117,"н/д")</x:f>
        <x:v>н/д</x:v>
      </x:c>
      <x:c r="H117" s="13" t="str">
        <x:v>Высокий</x:v>
      </x:c>
      <x:c r="I117" s="13" t="str">
        <x:v>Высокий</x:v>
      </x:c>
      <x:c r="J117" s="13" t="str">
        <x:f>IF(L117="","Укажите валюту",IF(NOT(ISNUMBER(K117)),"Укажите объём",IF(K117&lt;=0,"Укажите объём",IF(K117&gt;F117,"Объём выше излишка",IF(COUNT(M117:O117)&lt;3,"Нужны цены",IF(COUNT(P117:R117)&lt;3,"Нужны расходы",IF(OR(M117&lt;0,N117&lt;0,O117&lt;0,O117&gt;100,P117&lt;0,Q117&lt;0,R117&lt;0,R117&gt;100),"Проверьте значения","Рассчитано")))))))</x:f>
        <x:v>Нужны цены</x:v>
      </x:c>
      <x:c r="K117" s="36" t="n">
        <x:v>5</x:v>
      </x:c>
      <x:c r="L117" s="19" t="str">
        <x:v>KZT</x:v>
      </x:c>
      <x:c r="M117" s="22"/>
      <x:c r="N117" s="22"/>
      <x:c r="O117" s="28"/>
      <x:c r="P117" s="22"/>
      <x:c r="Q117" s="22"/>
      <x:c r="R117" s="28"/>
      <x:c r="S117" s="22"/>
      <x:c r="T117" s="37" t="n">
        <x:f>K117</x:f>
        <x:v>5</x:v>
      </x:c>
      <x:c r="U117" s="21" t="str">
        <x:f>IF(J117="Рассчитано",N117*(1-O117/100),"н/д")</x:f>
        <x:v>н/д</x:v>
      </x:c>
      <x:c r="V117" s="21" t="str">
        <x:f>IF(J117="Рассчитано",T117*U117,"н/д")</x:f>
        <x:v>н/д</x:v>
      </x:c>
      <x:c r="W117" s="21" t="str">
        <x:f>IF(J117="Рассчитано",T117*M117,"н/д")</x:f>
        <x:v>н/д</x:v>
      </x:c>
      <x:c r="X117" s="21" t="str">
        <x:f>IF(J117="Рассчитано",V117-W117,"н/д")</x:f>
        <x:v>н/д</x:v>
      </x:c>
      <x:c r="Y117" s="27" t="str">
        <x:f>IF(J117="Рассчитано",IF(V117&gt;0,G117/V117,"н/д"),"н/д")</x:f>
        <x:v>н/д</x:v>
      </x:c>
      <x:c r="Z117" s="21" t="str">
        <x:f>"н/д"</x:f>
        <x:v>н/д</x:v>
      </x:c>
      <x:c r="AA117" s="21" t="str">
        <x:f>"н/д"</x:f>
        <x:v>н/д</x:v>
      </x:c>
      <x:c r="AB117" s="21" t="str">
        <x:f>"н/д"</x:f>
        <x:v>н/д</x:v>
      </x:c>
      <x:c r="AC117" s="21" t="str">
        <x:f>IF(AND(J117="Рассчитано",T117&gt;0,R117&lt;100),(W117+P117+Q117)/(T117*(1-R117/100)),"н/д")</x:f>
        <x:v>н/д</x:v>
      </x:c>
      <x:c r="AD117" s="10" t="str">
        <x:f>IF(ISNUMBER(G117),IF(G117&lt;0,"Убыток",IF(G117=0,"Без прибыли","Прибыль &gt; 0")),"Не оценён")</x:f>
        <x:v>Не оценён</x:v>
      </x:c>
      <x:c r="AE117" s="13" t="str">
        <x:f>IF(J117="Рассчитано","Выручка "&amp;TEXT(V117,"0.00")&amp;" - себестоимость "&amp;TEXT(W117,"0.00")&amp;" - комиссия "&amp;TEXT(V117*R117/100,"0.00")&amp;" - доставка "&amp;TEXT(P117,"0.00")&amp;" - прочие "&amp;TEXT(Q117,"0.00")&amp;" = "&amp;TEXT(G117,"0.00")&amp;" "&amp;L117,"Введите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" s="24" t="n">
        <x:v>0</x:v>
      </x:c>
      <x:c r="AG117" s="37" t="n">
        <x:v>5</x:v>
      </x:c>
      <x:c r="AH117" s="37" t="n">
        <x:v>0</x:v>
      </x:c>
      <x:c r="AI117" s="30" t="n">
        <x:v>46266</x:v>
      </x:c>
      <x:c r="AJ117" s="37"/>
      <x:c r="AK117" s="10" t="str">
        <x:v>неизвестно</x:v>
      </x:c>
      <x:c r="AL117" s="32" t="str">
        <x:v>н/д</x:v>
      </x:c>
      <x:c r="AM11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17" s="13" t="str">
        <x:v>Проверить свободный остаток и установить цену для B2B</x:v>
      </x:c>
      <x:c r="AO117" s="13" t="str">
        <x:v>Остаток 5; прогноз 90 дней 0.00; избыток 5 шт. Будущие поступления не выставляются на продажу. Остаток на начало сентября: требуется актуализация.</x:v>
      </x:c>
      <x:c r="AP117" s="13" t="str">
        <x:v>["category_missing", "daily_stockout_data_missing", "moq_missing", "new_order_lead_time_unknown", "reservations_unknown", "stale_stock"]</x:v>
      </x:c>
      <x:c r="AQ117" s="10" t="str">
        <x:v>IEK:010800050_</x:v>
      </x:c>
      <x:c r="AR117" s="24" t="n">
        <x:v>1</x:v>
      </x:c>
      <x:c r="AS117" s="24" t="n">
        <x:v>0</x:v>
      </x:c>
      <x:c r="AT117" s="24" t="n">
        <x:v>0</x:v>
      </x:c>
    </x:row>
    <x:row r="118" ht="64" customHeight="1">
      <x:c r="A118" s="11" t="str">
        <x:v>IEK</x:v>
      </x:c>
      <x:c r="B118" s="33" t="str">
        <x:v>010800053_</x:v>
      </x:c>
      <x:c r="C118" s="33" t="str">
        <x:v>SVA50D-RN</x:v>
      </x:c>
      <x:c r="D118" s="12" t="str">
        <x:v>Расцепитель независимый РН-800/1600 IEK !!!</x:v>
      </x:c>
      <x:c r="E118" s="11" t="str">
        <x:v>шт</x:v>
      </x:c>
      <x:c r="F118" s="35" t="n">
        <x:f>MAX(0,ROUNDDOWN((AG118-AF118)/AR118+0.000000001,0)*AR118)</x:f>
        <x:v>70</x:v>
      </x:c>
      <x:c r="G118" s="20" t="str">
        <x:f>IF(J118="Рассчитано",V118*(1-R118/100)-W118-P118-Q118,"н/д")</x:f>
        <x:v>н/д</x:v>
      </x:c>
      <x:c r="H118" s="12" t="str">
        <x:v>Высокий</x:v>
      </x:c>
      <x:c r="I118" s="12" t="str">
        <x:v>Высокий</x:v>
      </x:c>
      <x:c r="J118" s="12" t="str">
        <x:f>IF(L118="","Укажите валюту",IF(NOT(ISNUMBER(K118)),"Укажите объём",IF(K118&lt;=0,"Укажите объём",IF(K118&gt;F118,"Объём выше излишка",IF(COUNT(M118:O118)&lt;3,"Нужны цены",IF(COUNT(P118:R118)&lt;3,"Нужны расходы",IF(OR(M118&lt;0,N118&lt;0,O118&lt;0,O118&gt;100,P118&lt;0,Q118&lt;0,R118&lt;0,R118&gt;100),"Проверьте значения","Рассчитано")))))))</x:f>
        <x:v>Нужны цены</x:v>
      </x:c>
      <x:c r="K118" s="36" t="n">
        <x:v>70</x:v>
      </x:c>
      <x:c r="L118" s="19" t="str">
        <x:v>KZT</x:v>
      </x:c>
      <x:c r="M118" s="22"/>
      <x:c r="N118" s="22"/>
      <x:c r="O118" s="28"/>
      <x:c r="P118" s="22"/>
      <x:c r="Q118" s="22"/>
      <x:c r="R118" s="28"/>
      <x:c r="S118" s="22"/>
      <x:c r="T118" s="35" t="n">
        <x:f>K118</x:f>
        <x:v>70</x:v>
      </x:c>
      <x:c r="U118" s="20" t="str">
        <x:f>IF(J118="Рассчитано",N118*(1-O118/100),"н/д")</x:f>
        <x:v>н/д</x:v>
      </x:c>
      <x:c r="V118" s="20" t="str">
        <x:f>IF(J118="Рассчитано",T118*U118,"н/д")</x:f>
        <x:v>н/д</x:v>
      </x:c>
      <x:c r="W118" s="20" t="str">
        <x:f>IF(J118="Рассчитано",T118*M118,"н/д")</x:f>
        <x:v>н/д</x:v>
      </x:c>
      <x:c r="X118" s="20" t="str">
        <x:f>IF(J118="Рассчитано",V118-W118,"н/д")</x:f>
        <x:v>н/д</x:v>
      </x:c>
      <x:c r="Y118" s="26" t="str">
        <x:f>IF(J118="Рассчитано",IF(V118&gt;0,G118/V118,"н/д"),"н/д")</x:f>
        <x:v>н/д</x:v>
      </x:c>
      <x:c r="Z118" s="20" t="str">
        <x:f>"н/д"</x:f>
        <x:v>н/д</x:v>
      </x:c>
      <x:c r="AA118" s="20" t="str">
        <x:f>"н/д"</x:f>
        <x:v>н/д</x:v>
      </x:c>
      <x:c r="AB118" s="20" t="str">
        <x:f>"н/д"</x:f>
        <x:v>н/д</x:v>
      </x:c>
      <x:c r="AC118" s="20" t="str">
        <x:f>IF(AND(J118="Рассчитано",T118&gt;0,R118&lt;100),(W118+P118+Q118)/(T118*(1-R118/100)),"н/д")</x:f>
        <x:v>н/д</x:v>
      </x:c>
      <x:c r="AD118" s="11" t="str">
        <x:f>IF(ISNUMBER(G118),IF(G118&lt;0,"Убыток",IF(G118=0,"Без прибыли","Прибыль &gt; 0")),"Не оценён")</x:f>
        <x:v>Не оценён</x:v>
      </x:c>
      <x:c r="AE118" s="12" t="str">
        <x:f>IF(J118="Рассчитано","Выручка "&amp;TEXT(V118,"0.00")&amp;" - себестоимость "&amp;TEXT(W118,"0.00")&amp;" - комиссия "&amp;TEXT(V118*R118/100,"0.00")&amp;" - доставка "&amp;TEXT(P118,"0.00")&amp;" - прочие "&amp;TEXT(Q118,"0.00")&amp;" = "&amp;TEXT(G118,"0.00")&amp;" "&amp;L118,"Введите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" s="23" t="n">
        <x:v>0.28735945190549056</x:v>
      </x:c>
      <x:c r="AG118" s="35" t="n">
        <x:v>71</x:v>
      </x:c>
      <x:c r="AH118" s="35" t="n">
        <x:v>0</x:v>
      </x:c>
      <x:c r="AI118" s="29" t="n">
        <x:v>46266</x:v>
      </x:c>
      <x:c r="AJ118" s="35"/>
      <x:c r="AK118" s="11" t="str">
        <x:v>неизвестно</x:v>
      </x:c>
      <x:c r="AL118" s="31" t="n">
        <x:v>21011.25078031168</x:v>
      </x:c>
      <x:c r="AM1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8" s="12" t="str">
        <x:v>Проверить свободный остаток и установить цену для B2B</x:v>
      </x:c>
      <x:c r="AO118" s="12" t="str">
        <x:v>Остаток 71; прогноз 90 дней 0.29; избыток 70 шт. Будущие поступления не выставляются на продажу. Остаток на начало сентября: требуется актуализация.</x:v>
      </x:c>
      <x:c r="AP118" s="12" t="str">
        <x:v>["category_missing", "daily_stockout_data_missing", "moq_missing", "new_order_lead_time_unknown", "reservations_unknown", "stale_stock"]</x:v>
      </x:c>
      <x:c r="AQ118" s="11" t="str">
        <x:v>IEK:010800053_</x:v>
      </x:c>
      <x:c r="AR118" s="23" t="n">
        <x:v>1</x:v>
      </x:c>
      <x:c r="AS118" s="23" t="n">
        <x:v>0</x:v>
      </x:c>
      <x:c r="AT118" s="23" t="n">
        <x:v>0</x:v>
      </x:c>
    </x:row>
    <x:row r="119" ht="64" customHeight="1">
      <x:c r="A119" s="10" t="str">
        <x:v>IEK</x:v>
      </x:c>
      <x:c r="B119" s="34" t="str">
        <x:v>010800055_</x:v>
      </x:c>
      <x:c r="C119" s="34" t="str">
        <x:v>SVA40-3-0250</x:v>
      </x:c>
      <x:c r="D119" s="13" t="str">
        <x:v>ВА 88-37 (3ф) 250А IEK (1/4)</x:v>
      </x:c>
      <x:c r="E119" s="10" t="str">
        <x:v>шт</x:v>
      </x:c>
      <x:c r="F119" s="37" t="n">
        <x:f>MAX(0,ROUNDDOWN((AG119-AF119)/AR119+0.000000001,0)*AR119)</x:f>
        <x:v>1</x:v>
      </x:c>
      <x:c r="G119" s="21" t="str">
        <x:f>IF(J119="Рассчитано",V119*(1-R119/100)-W119-P119-Q119,"н/д")</x:f>
        <x:v>н/д</x:v>
      </x:c>
      <x:c r="H119" s="13" t="str">
        <x:v>Высокий</x:v>
      </x:c>
      <x:c r="I119" s="13" t="str">
        <x:v>Средний</x:v>
      </x:c>
      <x:c r="J119" s="13" t="str">
        <x:f>IF(L119="","Укажите валюту",IF(NOT(ISNUMBER(K119)),"Укажите объём",IF(K119&lt;=0,"Укажите объём",IF(K119&gt;F119,"Объём выше излишка",IF(COUNT(M119:O119)&lt;3,"Нужны цены",IF(COUNT(P119:R119)&lt;3,"Нужны расходы",IF(OR(M119&lt;0,N119&lt;0,O119&lt;0,O119&gt;100,P119&lt;0,Q119&lt;0,R119&lt;0,R119&gt;100),"Проверьте значения","Рассчитано")))))))</x:f>
        <x:v>Нужны цены</x:v>
      </x:c>
      <x:c r="K119" s="36" t="n">
        <x:v>1</x:v>
      </x:c>
      <x:c r="L119" s="19" t="str">
        <x:v>KZT</x:v>
      </x:c>
      <x:c r="M119" s="22"/>
      <x:c r="N119" s="22"/>
      <x:c r="O119" s="28"/>
      <x:c r="P119" s="22"/>
      <x:c r="Q119" s="22"/>
      <x:c r="R119" s="28"/>
      <x:c r="S119" s="22"/>
      <x:c r="T119" s="37" t="n">
        <x:f>K119</x:f>
        <x:v>1</x:v>
      </x:c>
      <x:c r="U119" s="21" t="str">
        <x:f>IF(J119="Рассчитано",N119*(1-O119/100),"н/д")</x:f>
        <x:v>н/д</x:v>
      </x:c>
      <x:c r="V119" s="21" t="str">
        <x:f>IF(J119="Рассчитано",T119*U119,"н/д")</x:f>
        <x:v>н/д</x:v>
      </x:c>
      <x:c r="W119" s="21" t="str">
        <x:f>IF(J119="Рассчитано",T119*M119,"н/д")</x:f>
        <x:v>н/д</x:v>
      </x:c>
      <x:c r="X119" s="21" t="str">
        <x:f>IF(J119="Рассчитано",V119-W119,"н/д")</x:f>
        <x:v>н/д</x:v>
      </x:c>
      <x:c r="Y119" s="27" t="str">
        <x:f>IF(J119="Рассчитано",IF(V119&gt;0,G119/V119,"н/д"),"н/д")</x:f>
        <x:v>н/д</x:v>
      </x:c>
      <x:c r="Z119" s="21" t="str">
        <x:f>"н/д"</x:f>
        <x:v>н/д</x:v>
      </x:c>
      <x:c r="AA119" s="21" t="str">
        <x:f>"н/д"</x:f>
        <x:v>н/д</x:v>
      </x:c>
      <x:c r="AB119" s="21" t="str">
        <x:f>"н/д"</x:f>
        <x:v>н/д</x:v>
      </x:c>
      <x:c r="AC119" s="21" t="str">
        <x:f>IF(AND(J119="Рассчитано",T119&gt;0,R119&lt;100),(W119+P119+Q119)/(T119*(1-R119/100)),"н/д")</x:f>
        <x:v>н/д</x:v>
      </x:c>
      <x:c r="AD119" s="10" t="str">
        <x:f>IF(ISNUMBER(G119),IF(G119&lt;0,"Убыток",IF(G119=0,"Без прибыли","Прибыль &gt; 0")),"Не оценён")</x:f>
        <x:v>Не оценён</x:v>
      </x:c>
      <x:c r="AE119" s="13" t="str">
        <x:f>IF(J119="Рассчитано","Выручка "&amp;TEXT(V119,"0.00")&amp;" - себестоимость "&amp;TEXT(W119,"0.00")&amp;" - комиссия "&amp;TEXT(V119*R119/100,"0.00")&amp;" - доставка "&amp;TEXT(P119,"0.00")&amp;" - прочие "&amp;TEXT(Q119,"0.00")&amp;" = "&amp;TEXT(G119,"0.00")&amp;" "&amp;L119,"Введите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" s="24" t="n">
        <x:v>46.81450231778755</x:v>
      </x:c>
      <x:c r="AG119" s="37" t="n">
        <x:v>48</x:v>
      </x:c>
      <x:c r="AH119" s="37" t="n">
        <x:v>0</x:v>
      </x:c>
      <x:c r="AI119" s="30" t="n">
        <x:v>46266</x:v>
      </x:c>
      <x:c r="AJ119" s="37" t="n">
        <x:v>1</x:v>
      </x:c>
      <x:c r="AK119" s="10" t="str">
        <x:v>минимум</x:v>
      </x:c>
      <x:c r="AL119" s="32" t="n">
        <x:v>87.19264873216996</x:v>
      </x:c>
      <x:c r="AM11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9" s="13" t="str">
        <x:v>Проверить свободный остаток и установить цену для B2B</x:v>
      </x:c>
      <x:c r="AO119" s="13" t="str">
        <x:v>Остаток 48; прогноз 90 дней 46.81; избыток 1 шт. Будущие поступления не выставляются на продажу. Остаток на начало сентября: требуется актуализация.</x:v>
      </x:c>
      <x:c r="AP119" s="13" t="str">
        <x:v>["category_missing", "daily_stockout_data_missing", "large_orders_detected", "new_order_lead_time_unknown", "reservations_unknown", "stale_stock", "transaction_month_mismatch"]</x:v>
      </x:c>
      <x:c r="AQ119" s="10" t="str">
        <x:v>IEK:010800055_</x:v>
      </x:c>
      <x:c r="AR119" s="24" t="n">
        <x:v>1</x:v>
      </x:c>
      <x:c r="AS119" s="24" t="n">
        <x:v>0</x:v>
      </x:c>
      <x:c r="AT119" s="24" t="n">
        <x:v>0</x:v>
      </x:c>
    </x:row>
    <x:row r="120" ht="64" customHeight="1">
      <x:c r="A120" s="11" t="str">
        <x:v>IEK</x:v>
      </x:c>
      <x:c r="B120" s="33" t="str">
        <x:v>010800056_</x:v>
      </x:c>
      <x:c r="C120" s="33" t="str">
        <x:v>DMS11D-AE20</x:v>
      </x:c>
      <x:c r="D120" s="12" t="str">
        <x:v>Доп. контакт поперечный ДКП32-20 IEK !!! (1000)</x:v>
      </x:c>
      <x:c r="E120" s="11" t="str">
        <x:v>шт</x:v>
      </x:c>
      <x:c r="F120" s="35" t="n">
        <x:f>MAX(0,ROUNDDOWN((AG120-AF120)/AR120+0.000000001,0)*AR120)</x:f>
        <x:v>789</x:v>
      </x:c>
      <x:c r="G120" s="20" t="str">
        <x:f>IF(J120="Рассчитано",V120*(1-R120/100)-W120-P120-Q120,"н/д")</x:f>
        <x:v>н/д</x:v>
      </x:c>
      <x:c r="H120" s="12" t="str">
        <x:v>Высокий</x:v>
      </x:c>
      <x:c r="I120" s="12" t="str">
        <x:v>Высокий</x:v>
      </x:c>
      <x:c r="J120" s="12" t="str">
        <x:f>IF(L120="","Укажите валюту",IF(NOT(ISNUMBER(K120)),"Укажите объём",IF(K120&lt;=0,"Укажите объём",IF(K120&gt;F120,"Объём выше излишка",IF(COUNT(M120:O120)&lt;3,"Нужны цены",IF(COUNT(P120:R120)&lt;3,"Нужны расходы",IF(OR(M120&lt;0,N120&lt;0,O120&lt;0,O120&gt;100,P120&lt;0,Q120&lt;0,R120&lt;0,R120&gt;100),"Проверьте значения","Рассчитано")))))))</x:f>
        <x:v>Нужны цены</x:v>
      </x:c>
      <x:c r="K120" s="36" t="n">
        <x:v>789</x:v>
      </x:c>
      <x:c r="L120" s="19" t="str">
        <x:v>KZT</x:v>
      </x:c>
      <x:c r="M120" s="22"/>
      <x:c r="N120" s="22"/>
      <x:c r="O120" s="28"/>
      <x:c r="P120" s="22"/>
      <x:c r="Q120" s="22"/>
      <x:c r="R120" s="28"/>
      <x:c r="S120" s="22"/>
      <x:c r="T120" s="35" t="n">
        <x:f>K120</x:f>
        <x:v>789</x:v>
      </x:c>
      <x:c r="U120" s="20" t="str">
        <x:f>IF(J120="Рассчитано",N120*(1-O120/100),"н/д")</x:f>
        <x:v>н/д</x:v>
      </x:c>
      <x:c r="V120" s="20" t="str">
        <x:f>IF(J120="Рассчитано",T120*U120,"н/д")</x:f>
        <x:v>н/д</x:v>
      </x:c>
      <x:c r="W120" s="20" t="str">
        <x:f>IF(J120="Рассчитано",T120*M120,"н/д")</x:f>
        <x:v>н/д</x:v>
      </x:c>
      <x:c r="X120" s="20" t="str">
        <x:f>IF(J120="Рассчитано",V120-W120,"н/д")</x:f>
        <x:v>н/д</x:v>
      </x:c>
      <x:c r="Y120" s="26" t="str">
        <x:f>IF(J120="Рассчитано",IF(V120&gt;0,G120/V120,"н/д"),"н/д")</x:f>
        <x:v>н/д</x:v>
      </x:c>
      <x:c r="Z120" s="20" t="str">
        <x:f>"н/д"</x:f>
        <x:v>н/д</x:v>
      </x:c>
      <x:c r="AA120" s="20" t="str">
        <x:f>"н/д"</x:f>
        <x:v>н/д</x:v>
      </x:c>
      <x:c r="AB120" s="20" t="str">
        <x:f>"н/д"</x:f>
        <x:v>н/д</x:v>
      </x:c>
      <x:c r="AC120" s="20" t="str">
        <x:f>IF(AND(J120="Рассчитано",T120&gt;0,R120&lt;100),(W120+P120+Q120)/(T120*(1-R120/100)),"н/д")</x:f>
        <x:v>н/д</x:v>
      </x:c>
      <x:c r="AD120" s="11" t="str">
        <x:f>IF(ISNUMBER(G120),IF(G120&lt;0,"Убыток",IF(G120=0,"Без прибыли","Прибыль &gt; 0")),"Не оценён")</x:f>
        <x:v>Не оценён</x:v>
      </x:c>
      <x:c r="AE120" s="12" t="str">
        <x:f>IF(J120="Рассчитано","Выручка "&amp;TEXT(V120,"0.00")&amp;" - себестоимость "&amp;TEXT(W120,"0.00")&amp;" - комиссия "&amp;TEXT(V120*R120/100,"0.00")&amp;" - доставка "&amp;TEXT(P120,"0.00")&amp;" - прочие "&amp;TEXT(Q120,"0.00")&amp;" = "&amp;TEXT(G120,"0.00")&amp;" "&amp;L120,"Введите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" s="23" t="n">
        <x:v>0.9568715625021756</x:v>
      </x:c>
      <x:c r="AG120" s="35" t="n">
        <x:v>790</x:v>
      </x:c>
      <x:c r="AH120" s="35" t="n">
        <x:v>0</x:v>
      </x:c>
      <x:c r="AI120" s="29" t="n">
        <x:v>46266</x:v>
      </x:c>
      <x:c r="AJ120" s="35"/>
      <x:c r="AK120" s="11" t="str">
        <x:v>неизвестно</x:v>
      </x:c>
      <x:c r="AL120" s="31" t="n">
        <x:v>70208.9515532543</x:v>
      </x:c>
      <x:c r="AM12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0" s="12" t="str">
        <x:v>Проверить свободный остаток и установить цену для B2B</x:v>
      </x:c>
      <x:c r="AO120" s="12" t="str">
        <x:v>Остаток 790; прогноз 90 дней 0.96; избыток 789 шт. Будущие поступления не выставляются на продажу. Остаток на начало сентября: требуется актуализация.</x:v>
      </x:c>
      <x:c r="AP120" s="12" t="str">
        <x:v>["category_missing", "daily_stockout_data_missing", "moq_missing", "new_order_lead_time_unknown", "reservations_unknown", "stale_stock"]</x:v>
      </x:c>
      <x:c r="AQ120" s="11" t="str">
        <x:v>IEK:010800056_</x:v>
      </x:c>
      <x:c r="AR120" s="23" t="n">
        <x:v>1</x:v>
      </x:c>
      <x:c r="AS120" s="23" t="n">
        <x:v>0</x:v>
      </x:c>
      <x:c r="AT120" s="23" t="n">
        <x:v>0</x:v>
      </x:c>
    </x:row>
    <x:row r="121" ht="64" customHeight="1">
      <x:c r="A121" s="10" t="str">
        <x:v>IEK</x:v>
      </x:c>
      <x:c r="B121" s="34" t="str">
        <x:v>010800061_</x:v>
      </x:c>
      <x:c r="C121" s="34" t="str">
        <x:v>DMS11D-FA02</x:v>
      </x:c>
      <x:c r="D121" s="13" t="str">
        <x:v>Аварийно-доп. контакт ДК/АК32-02 IEK!!! (150)</x:v>
      </x:c>
      <x:c r="E121" s="10" t="str">
        <x:v>шт</x:v>
      </x:c>
      <x:c r="F121" s="37" t="n">
        <x:f>MAX(0,ROUNDDOWN((AG121-AF121)/AR121+0.000000001,0)*AR121)</x:f>
        <x:v>90</x:v>
      </x:c>
      <x:c r="G121" s="21" t="str">
        <x:f>IF(J121="Рассчитано",V121*(1-R121/100)-W121-P121-Q121,"н/д")</x:f>
        <x:v>н/д</x:v>
      </x:c>
      <x:c r="H121" s="13" t="str">
        <x:v>Высокий</x:v>
      </x:c>
      <x:c r="I121" s="13" t="str">
        <x:v>Высокий</x:v>
      </x:c>
      <x:c r="J121" s="13" t="str">
        <x:f>IF(L121="","Укажите валюту",IF(NOT(ISNUMBER(K121)),"Укажите объём",IF(K121&lt;=0,"Укажите объём",IF(K121&gt;F121,"Объём выше излишка",IF(COUNT(M121:O121)&lt;3,"Нужны цены",IF(COUNT(P121:R121)&lt;3,"Нужны расходы",IF(OR(M121&lt;0,N121&lt;0,O121&lt;0,O121&gt;100,P121&lt;0,Q121&lt;0,R121&lt;0,R121&gt;100),"Проверьте значения","Рассчитано")))))))</x:f>
        <x:v>Нужны цены</x:v>
      </x:c>
      <x:c r="K121" s="36" t="n">
        <x:v>90</x:v>
      </x:c>
      <x:c r="L121" s="19" t="str">
        <x:v>KZT</x:v>
      </x:c>
      <x:c r="M121" s="22"/>
      <x:c r="N121" s="22"/>
      <x:c r="O121" s="28"/>
      <x:c r="P121" s="22"/>
      <x:c r="Q121" s="22"/>
      <x:c r="R121" s="28"/>
      <x:c r="S121" s="22"/>
      <x:c r="T121" s="37" t="n">
        <x:f>K121</x:f>
        <x:v>90</x:v>
      </x:c>
      <x:c r="U121" s="21" t="str">
        <x:f>IF(J121="Рассчитано",N121*(1-O121/100),"н/д")</x:f>
        <x:v>н/д</x:v>
      </x:c>
      <x:c r="V121" s="21" t="str">
        <x:f>IF(J121="Рассчитано",T121*U121,"н/д")</x:f>
        <x:v>н/д</x:v>
      </x:c>
      <x:c r="W121" s="21" t="str">
        <x:f>IF(J121="Рассчитано",T121*M121,"н/д")</x:f>
        <x:v>н/д</x:v>
      </x:c>
      <x:c r="X121" s="21" t="str">
        <x:f>IF(J121="Рассчитано",V121-W121,"н/д")</x:f>
        <x:v>н/д</x:v>
      </x:c>
      <x:c r="Y121" s="27" t="str">
        <x:f>IF(J121="Рассчитано",IF(V121&gt;0,G121/V121,"н/д"),"н/д")</x:f>
        <x:v>н/д</x:v>
      </x:c>
      <x:c r="Z121" s="21" t="str">
        <x:f>"н/д"</x:f>
        <x:v>н/д</x:v>
      </x:c>
      <x:c r="AA121" s="21" t="str">
        <x:f>"н/д"</x:f>
        <x:v>н/д</x:v>
      </x:c>
      <x:c r="AB121" s="21" t="str">
        <x:f>"н/д"</x:f>
        <x:v>н/д</x:v>
      </x:c>
      <x:c r="AC121" s="21" t="str">
        <x:f>IF(AND(J121="Рассчитано",T121&gt;0,R121&lt;100),(W121+P121+Q121)/(T121*(1-R121/100)),"н/д")</x:f>
        <x:v>н/д</x:v>
      </x:c>
      <x:c r="AD121" s="10" t="str">
        <x:f>IF(ISNUMBER(G121),IF(G121&lt;0,"Убыток",IF(G121=0,"Без прибыли","Прибыль &gt; 0")),"Не оценён")</x:f>
        <x:v>Не оценён</x:v>
      </x:c>
      <x:c r="AE121" s="13" t="str">
        <x:f>IF(J121="Рассчитано","Выручка "&amp;TEXT(V121,"0.00")&amp;" - себестоимость "&amp;TEXT(W121,"0.00")&amp;" - комиссия "&amp;TEXT(V121*R121/100,"0.00")&amp;" - доставка "&amp;TEXT(P121,"0.00")&amp;" - прочие "&amp;TEXT(Q121,"0.00")&amp;" = "&amp;TEXT(G121,"0.00")&amp;" "&amp;L121,"Введите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" s="24" t="n">
        <x:v>2.4312606894604585</x:v>
      </x:c>
      <x:c r="AG121" s="37" t="n">
        <x:v>93</x:v>
      </x:c>
      <x:c r="AH121" s="37" t="n">
        <x:v>0</x:v>
      </x:c>
      <x:c r="AI121" s="30" t="n">
        <x:v>46266</x:v>
      </x:c>
      <x:c r="AJ121" s="37"/>
      <x:c r="AK121" s="10" t="str">
        <x:v>неизвестно</x:v>
      </x:c>
      <x:c r="AL121" s="32" t="n">
        <x:v>3252.898143792667</x:v>
      </x:c>
      <x:c r="AM12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1" s="13" t="str">
        <x:v>Проверить свободный остаток и установить цену для B2B</x:v>
      </x:c>
      <x:c r="AO121" s="13" t="str">
        <x:v>Остаток 93; прогноз 90 дней 2.43; избыток 90 шт. Будущие поступления не выставляются на продажу. Остаток на начало сентября: требуется актуализация.</x:v>
      </x:c>
      <x:c r="AP121" s="13" t="str">
        <x:v>["category_missing", "daily_stockout_data_missing", "moq_missing", "new_order_lead_time_unknown", "reservations_unknown", "stale_stock"]</x:v>
      </x:c>
      <x:c r="AQ121" s="10" t="str">
        <x:v>IEK:010800061_</x:v>
      </x:c>
      <x:c r="AR121" s="24" t="n">
        <x:v>1</x:v>
      </x:c>
      <x:c r="AS121" s="24" t="n">
        <x:v>0</x:v>
      </x:c>
      <x:c r="AT121" s="24" t="n">
        <x:v>0</x:v>
      </x:c>
    </x:row>
    <x:row r="122" ht="64" customHeight="1">
      <x:c r="A122" s="11" t="str">
        <x:v>IEK</x:v>
      </x:c>
      <x:c r="B122" s="33" t="str">
        <x:v>010800062_</x:v>
      </x:c>
      <x:c r="C122" s="33" t="str">
        <x:v>DMS11D-FA20</x:v>
      </x:c>
      <x:c r="D122" s="12" t="str">
        <x:v>Аварийно-доп. контакт ДК/АК32-20 IEK !!! (150)</x:v>
      </x:c>
      <x:c r="E122" s="11" t="str">
        <x:v>шт</x:v>
      </x:c>
      <x:c r="F122" s="35" t="n">
        <x:f>MAX(0,ROUNDDOWN((AG122-AF122)/AR122+0.000000001,0)*AR122)</x:f>
        <x:v>99</x:v>
      </x:c>
      <x:c r="G122" s="20" t="str">
        <x:f>IF(J122="Рассчитано",V122*(1-R122/100)-W122-P122-Q122,"н/д")</x:f>
        <x:v>н/д</x:v>
      </x:c>
      <x:c r="H122" s="12" t="str">
        <x:v>Высокий</x:v>
      </x:c>
      <x:c r="I122" s="12" t="str">
        <x:v>Высокий</x:v>
      </x:c>
      <x:c r="J122" s="12" t="str">
        <x:f>IF(L122="","Укажите валюту",IF(NOT(ISNUMBER(K122)),"Укажите объём",IF(K122&lt;=0,"Укажите объём",IF(K122&gt;F122,"Объём выше излишка",IF(COUNT(M122:O122)&lt;3,"Нужны цены",IF(COUNT(P122:R122)&lt;3,"Нужны расходы",IF(OR(M122&lt;0,N122&lt;0,O122&lt;0,O122&gt;100,P122&lt;0,Q122&lt;0,R122&lt;0,R122&gt;100),"Проверьте значения","Рассчитано")))))))</x:f>
        <x:v>Нужны цены</x:v>
      </x:c>
      <x:c r="K122" s="36" t="n">
        <x:v>99</x:v>
      </x:c>
      <x:c r="L122" s="19" t="str">
        <x:v>KZT</x:v>
      </x:c>
      <x:c r="M122" s="22"/>
      <x:c r="N122" s="22"/>
      <x:c r="O122" s="28"/>
      <x:c r="P122" s="22"/>
      <x:c r="Q122" s="22"/>
      <x:c r="R122" s="28"/>
      <x:c r="S122" s="22"/>
      <x:c r="T122" s="35" t="n">
        <x:f>K122</x:f>
        <x:v>99</x:v>
      </x:c>
      <x:c r="U122" s="20" t="str">
        <x:f>IF(J122="Рассчитано",N122*(1-O122/100),"н/д")</x:f>
        <x:v>н/д</x:v>
      </x:c>
      <x:c r="V122" s="20" t="str">
        <x:f>IF(J122="Рассчитано",T122*U122,"н/д")</x:f>
        <x:v>н/д</x:v>
      </x:c>
      <x:c r="W122" s="20" t="str">
        <x:f>IF(J122="Рассчитано",T122*M122,"н/д")</x:f>
        <x:v>н/д</x:v>
      </x:c>
      <x:c r="X122" s="20" t="str">
        <x:f>IF(J122="Рассчитано",V122-W122,"н/д")</x:f>
        <x:v>н/д</x:v>
      </x:c>
      <x:c r="Y122" s="26" t="str">
        <x:f>IF(J122="Рассчитано",IF(V122&gt;0,G122/V122,"н/д"),"н/д")</x:f>
        <x:v>н/д</x:v>
      </x:c>
      <x:c r="Z122" s="20" t="str">
        <x:f>"н/д"</x:f>
        <x:v>н/д</x:v>
      </x:c>
      <x:c r="AA122" s="20" t="str">
        <x:f>"н/д"</x:f>
        <x:v>н/д</x:v>
      </x:c>
      <x:c r="AB122" s="20" t="str">
        <x:f>"н/д"</x:f>
        <x:v>н/д</x:v>
      </x:c>
      <x:c r="AC122" s="20" t="str">
        <x:f>IF(AND(J122="Рассчитано",T122&gt;0,R122&lt;100),(W122+P122+Q122)/(T122*(1-R122/100)),"н/д")</x:f>
        <x:v>н/д</x:v>
      </x:c>
      <x:c r="AD122" s="11" t="str">
        <x:f>IF(ISNUMBER(G122),IF(G122&lt;0,"Убыток",IF(G122=0,"Без прибыли","Прибыль &gt; 0")),"Не оценён")</x:f>
        <x:v>Не оценён</x:v>
      </x:c>
      <x:c r="AE122" s="12" t="str">
        <x:f>IF(J122="Рассчитано","Выручка "&amp;TEXT(V122,"0.00")&amp;" - себестоимость "&amp;TEXT(W122,"0.00")&amp;" - комиссия "&amp;TEXT(V122*R122/100,"0.00")&amp;" - доставка "&amp;TEXT(P122,"0.00")&amp;" - прочие "&amp;TEXT(Q122,"0.00")&amp;" = "&amp;TEXT(G122,"0.00")&amp;" "&amp;L122,"Введите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" s="23" t="n">
        <x:v>2.5545449983171427</x:v>
      </x:c>
      <x:c r="AG122" s="35" t="n">
        <x:v>102</x:v>
      </x:c>
      <x:c r="AH122" s="35" t="n">
        <x:v>0</x:v>
      </x:c>
      <x:c r="AI122" s="29" t="n">
        <x:v>46266</x:v>
      </x:c>
      <x:c r="AJ122" s="35"/>
      <x:c r="AK122" s="11" t="str">
        <x:v>неизвестно</x:v>
      </x:c>
      <x:c r="AL122" s="31" t="n">
        <x:v>3395.5150428226357</x:v>
      </x:c>
      <x:c r="AM12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2" s="12" t="str">
        <x:v>Проверить свободный остаток и установить цену для B2B</x:v>
      </x:c>
      <x:c r="AO122" s="12" t="str">
        <x:v>Остаток 102; прогноз 90 дней 2.55; избыток 99 шт. Будущие поступления не выставляются на продажу. Остаток на начало сентября: требуется актуализация.</x:v>
      </x:c>
      <x:c r="AP122" s="12" t="str">
        <x:v>["category_missing", "daily_stockout_data_missing", "moq_missing", "negative_net_sales_clipped_for_forecast", "new_order_lead_time_unknown", "reservations_unknown", "stale_stock"]</x:v>
      </x:c>
      <x:c r="AQ122" s="11" t="str">
        <x:v>IEK:010800062_</x:v>
      </x:c>
      <x:c r="AR122" s="23" t="n">
        <x:v>1</x:v>
      </x:c>
      <x:c r="AS122" s="23" t="n">
        <x:v>0</x:v>
      </x:c>
      <x:c r="AT122" s="23" t="n">
        <x:v>0</x:v>
      </x:c>
    </x:row>
    <x:row r="123" ht="64" customHeight="1">
      <x:c r="A123" s="10" t="str">
        <x:v>IEK</x:v>
      </x:c>
      <x:c r="B123" s="34" t="str">
        <x:v>010800070_</x:v>
      </x:c>
      <x:c r="C123" s="34" t="str">
        <x:v>CLW10-DR</x:v>
      </x:c>
      <x:c r="D123" s="13" t="str">
        <x:v>Держатель потолочный DR IEK (50)</x:v>
      </x:c>
      <x:c r="E123" s="10" t="str">
        <x:v>шт</x:v>
      </x:c>
      <x:c r="F123" s="37" t="n">
        <x:f>MAX(0,ROUNDDOWN((AG123-AF123)/AR123+0.000000001,0)*AR123)</x:f>
        <x:v>50</x:v>
      </x:c>
      <x:c r="G123" s="21" t="str">
        <x:f>IF(J123="Рассчитано",V123*(1-R123/100)-W123-P123-Q123,"н/д")</x:f>
        <x:v>н/д</x:v>
      </x:c>
      <x:c r="H123" s="13" t="str">
        <x:v>Высокий</x:v>
      </x:c>
      <x:c r="I123" s="13" t="str">
        <x:v>Высокий</x:v>
      </x:c>
      <x:c r="J123" s="13" t="str">
        <x:f>IF(L123="","Укажите валюту",IF(NOT(ISNUMBER(K123)),"Укажите объём",IF(K123&lt;=0,"Укажите объём",IF(K123&gt;F123,"Объём выше излишка",IF(COUNT(M123:O123)&lt;3,"Нужны цены",IF(COUNT(P123:R123)&lt;3,"Нужны расходы",IF(OR(M123&lt;0,N123&lt;0,O123&lt;0,O123&gt;100,P123&lt;0,Q123&lt;0,R123&lt;0,R123&gt;100),"Проверьте значения","Рассчитано")))))))</x:f>
        <x:v>Нужны цены</x:v>
      </x:c>
      <x:c r="K123" s="36" t="n">
        <x:v>50</x:v>
      </x:c>
      <x:c r="L123" s="19" t="str">
        <x:v>KZT</x:v>
      </x:c>
      <x:c r="M123" s="22"/>
      <x:c r="N123" s="22"/>
      <x:c r="O123" s="28"/>
      <x:c r="P123" s="22"/>
      <x:c r="Q123" s="22"/>
      <x:c r="R123" s="28"/>
      <x:c r="S123" s="22"/>
      <x:c r="T123" s="37" t="n">
        <x:f>K123</x:f>
        <x:v>50</x:v>
      </x:c>
      <x:c r="U123" s="21" t="str">
        <x:f>IF(J123="Рассчитано",N123*(1-O123/100),"н/д")</x:f>
        <x:v>н/д</x:v>
      </x:c>
      <x:c r="V123" s="21" t="str">
        <x:f>IF(J123="Рассчитано",T123*U123,"н/д")</x:f>
        <x:v>н/д</x:v>
      </x:c>
      <x:c r="W123" s="21" t="str">
        <x:f>IF(J123="Рассчитано",T123*M123,"н/д")</x:f>
        <x:v>н/д</x:v>
      </x:c>
      <x:c r="X123" s="21" t="str">
        <x:f>IF(J123="Рассчитано",V123-W123,"н/д")</x:f>
        <x:v>н/д</x:v>
      </x:c>
      <x:c r="Y123" s="27" t="str">
        <x:f>IF(J123="Рассчитано",IF(V123&gt;0,G123/V123,"н/д"),"н/д")</x:f>
        <x:v>н/д</x:v>
      </x:c>
      <x:c r="Z123" s="21" t="str">
        <x:f>"н/д"</x:f>
        <x:v>н/д</x:v>
      </x:c>
      <x:c r="AA123" s="21" t="str">
        <x:f>"н/д"</x:f>
        <x:v>н/д</x:v>
      </x:c>
      <x:c r="AB123" s="21" t="str">
        <x:f>"н/д"</x:f>
        <x:v>н/д</x:v>
      </x:c>
      <x:c r="AC123" s="21" t="str">
        <x:f>IF(AND(J123="Рассчитано",T123&gt;0,R123&lt;100),(W123+P123+Q123)/(T123*(1-R123/100)),"н/д")</x:f>
        <x:v>н/д</x:v>
      </x:c>
      <x:c r="AD123" s="10" t="str">
        <x:f>IF(ISNUMBER(G123),IF(G123&lt;0,"Убыток",IF(G123=0,"Без прибыли","Прибыль &gt; 0")),"Не оценён")</x:f>
        <x:v>Не оценён</x:v>
      </x:c>
      <x:c r="AE123" s="13" t="str">
        <x:f>IF(J123="Рассчитано","Выручка "&amp;TEXT(V123,"0.00")&amp;" - себестоимость "&amp;TEXT(W123,"0.00")&amp;" - комиссия "&amp;TEXT(V123*R123/100,"0.00")&amp;" - доставка "&amp;TEXT(P123,"0.00")&amp;" - прочие "&amp;TEXT(Q123,"0.00")&amp;" = "&amp;TEXT(G123,"0.00")&amp;" "&amp;L123,"Введите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" s="24" t="n">
        <x:v>8.724664816752277</x:v>
      </x:c>
      <x:c r="AG123" s="37" t="n">
        <x:v>59</x:v>
      </x:c>
      <x:c r="AH123" s="37" t="n">
        <x:v>0</x:v>
      </x:c>
      <x:c r="AI123" s="30" t="n">
        <x:v>46266</x:v>
      </x:c>
      <x:c r="AJ123" s="37" t="n">
        <x:v>50</x:v>
      </x:c>
      <x:c r="AK123" s="10" t="str">
        <x:v>минимум</x:v>
      </x:c>
      <x:c r="AL123" s="32" t="n">
        <x:v>575.0721087191627</x:v>
      </x:c>
      <x:c r="AM12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3" s="13" t="str">
        <x:v>Проверить свободный остаток и установить цену для B2B</x:v>
      </x:c>
      <x:c r="AO123" s="13" t="str">
        <x:v>Остаток 59; прогноз 90 дней 8.72; избыток 50 шт. Будущие поступления не выставляются на продажу. Остаток на начало сентября: требуется актуализация.</x:v>
      </x:c>
      <x:c r="AP123" s="13" t="str">
        <x:v>["category_missing", "daily_stockout_data_missing", "new_order_lead_time_unknown", "reservations_unknown", "stale_stock"]</x:v>
      </x:c>
      <x:c r="AQ123" s="10" t="str">
        <x:v>IEK:010800070_</x:v>
      </x:c>
      <x:c r="AR123" s="24" t="n">
        <x:v>1</x:v>
      </x:c>
      <x:c r="AS123" s="24" t="n">
        <x:v>0</x:v>
      </x:c>
      <x:c r="AT123" s="24" t="n">
        <x:v>0</x:v>
      </x:c>
    </x:row>
    <x:row r="124" ht="64" customHeight="1">
      <x:c r="A124" s="11" t="str">
        <x:v>IEK</x:v>
      </x:c>
      <x:c r="B124" s="33" t="str">
        <x:v>010800139_</x:v>
      </x:c>
      <x:c r="C124" s="33" t="str">
        <x:v>SVA4410-3-0250</x:v>
      </x:c>
      <x:c r="D124" s="12" t="str">
        <x:v>ВА 44-35 (3ф) 250А IEK (1/6)</x:v>
      </x:c>
      <x:c r="E124" s="11" t="str">
        <x:v>шт</x:v>
      </x:c>
      <x:c r="F124" s="35" t="n">
        <x:f>MAX(0,ROUNDDOWN((AG124-AF124)/AR124+0.000000001,0)*AR124)</x:f>
        <x:v>2</x:v>
      </x:c>
      <x:c r="G124" s="20" t="str">
        <x:f>IF(J124="Рассчитано",V124*(1-R124/100)-W124-P124-Q124,"н/д")</x:f>
        <x:v>н/д</x:v>
      </x:c>
      <x:c r="H124" s="12" t="str">
        <x:v>Высокий</x:v>
      </x:c>
      <x:c r="I124" s="12" t="str">
        <x:v>Средний</x:v>
      </x:c>
      <x:c r="J124" s="12" t="str">
        <x:f>IF(L124="","Укажите валюту",IF(NOT(ISNUMBER(K124)),"Укажите объём",IF(K124&lt;=0,"Укажите объём",IF(K124&gt;F124,"Объём выше излишка",IF(COUNT(M124:O124)&lt;3,"Нужны цены",IF(COUNT(P124:R124)&lt;3,"Нужны расходы",IF(OR(M124&lt;0,N124&lt;0,O124&lt;0,O124&gt;100,P124&lt;0,Q124&lt;0,R124&lt;0,R124&gt;100),"Проверьте значения","Рассчитано")))))))</x:f>
        <x:v>Нужны цены</x:v>
      </x:c>
      <x:c r="K124" s="36" t="n">
        <x:v>2</x:v>
      </x:c>
      <x:c r="L124" s="19" t="str">
        <x:v>KZT</x:v>
      </x:c>
      <x:c r="M124" s="22"/>
      <x:c r="N124" s="22"/>
      <x:c r="O124" s="28"/>
      <x:c r="P124" s="22"/>
      <x:c r="Q124" s="22"/>
      <x:c r="R124" s="28"/>
      <x:c r="S124" s="22"/>
      <x:c r="T124" s="35" t="n">
        <x:f>K124</x:f>
        <x:v>2</x:v>
      </x:c>
      <x:c r="U124" s="20" t="str">
        <x:f>IF(J124="Рассчитано",N124*(1-O124/100),"н/д")</x:f>
        <x:v>н/д</x:v>
      </x:c>
      <x:c r="V124" s="20" t="str">
        <x:f>IF(J124="Рассчитано",T124*U124,"н/д")</x:f>
        <x:v>н/д</x:v>
      </x:c>
      <x:c r="W124" s="20" t="str">
        <x:f>IF(J124="Рассчитано",T124*M124,"н/д")</x:f>
        <x:v>н/д</x:v>
      </x:c>
      <x:c r="X124" s="20" t="str">
        <x:f>IF(J124="Рассчитано",V124-W124,"н/д")</x:f>
        <x:v>н/д</x:v>
      </x:c>
      <x:c r="Y124" s="26" t="str">
        <x:f>IF(J124="Рассчитано",IF(V124&gt;0,G124/V124,"н/д"),"н/д")</x:f>
        <x:v>н/д</x:v>
      </x:c>
      <x:c r="Z124" s="20" t="str">
        <x:f>"н/д"</x:f>
        <x:v>н/д</x:v>
      </x:c>
      <x:c r="AA124" s="20" t="str">
        <x:f>"н/д"</x:f>
        <x:v>н/д</x:v>
      </x:c>
      <x:c r="AB124" s="20" t="str">
        <x:f>"н/д"</x:f>
        <x:v>н/д</x:v>
      </x:c>
      <x:c r="AC124" s="20" t="str">
        <x:f>IF(AND(J124="Рассчитано",T124&gt;0,R124&lt;100),(W124+P124+Q124)/(T124*(1-R124/100)),"н/д")</x:f>
        <x:v>н/д</x:v>
      </x:c>
      <x:c r="AD124" s="11" t="str">
        <x:f>IF(ISNUMBER(G124),IF(G124&lt;0,"Убыток",IF(G124=0,"Без прибыли","Прибыль &gt; 0")),"Не оценён")</x:f>
        <x:v>Не оценён</x:v>
      </x:c>
      <x:c r="AE124" s="12" t="str">
        <x:f>IF(J124="Рассчитано","Выручка "&amp;TEXT(V124,"0.00")&amp;" - себестоимость "&amp;TEXT(W124,"0.00")&amp;" - комиссия "&amp;TEXT(V124*R124/100,"0.00")&amp;" - доставка "&amp;TEXT(P124,"0.00")&amp;" - прочие "&amp;TEXT(Q124,"0.00")&amp;" = "&amp;TEXT(G124,"0.00")&amp;" "&amp;L124,"Введите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" s="23" t="n">
        <x:v>4.335953032488382</x:v>
      </x:c>
      <x:c r="AG124" s="35" t="n">
        <x:v>7</x:v>
      </x:c>
      <x:c r="AH124" s="35" t="n">
        <x:v>0</x:v>
      </x:c>
      <x:c r="AI124" s="29" t="n">
        <x:v>46266</x:v>
      </x:c>
      <x:c r="AJ124" s="35" t="n">
        <x:v>1</x:v>
      </x:c>
      <x:c r="AK124" s="11" t="str">
        <x:v>минимум</x:v>
      </x:c>
      <x:c r="AL124" s="31" t="n">
        <x:v>137.28797999670178</x:v>
      </x:c>
      <x:c r="AM124" s="12" t="str">
        <x:v>Остаток на начало сентября; Резервы неизвестны; Нет ежедневных данных доступности. Запас выше прогноза на 90 дней</x:v>
      </x:c>
      <x:c r="AN124" s="12" t="str">
        <x:v>Проверить свободный остаток и установить цену для B2B</x:v>
      </x:c>
      <x:c r="AO124" s="12" t="str">
        <x:v>Остаток 7; прогноз 90 дней 4.34; избыток 2 шт. Будущие поступления не выставляются на продажу. Остаток на начало сентября: требуется актуализация.</x:v>
      </x:c>
      <x:c r="AP124" s="12" t="str">
        <x:v>["category_missing", "daily_stockout_data_missing", "new_order_lead_time_unknown", "reservations_unknown", "stale_stock"]</x:v>
      </x:c>
      <x:c r="AQ124" s="11" t="str">
        <x:v>IEK:010800139_</x:v>
      </x:c>
      <x:c r="AR124" s="23" t="n">
        <x:v>1</x:v>
      </x:c>
      <x:c r="AS124" s="23" t="n">
        <x:v>0</x:v>
      </x:c>
      <x:c r="AT124" s="23" t="n">
        <x:v>0</x:v>
      </x:c>
    </x:row>
    <x:row r="125" ht="64" customHeight="1">
      <x:c r="A125" s="10" t="str">
        <x:v>IEK</x:v>
      </x:c>
      <x:c r="B125" s="34" t="str">
        <x:v>011100121_</x:v>
      </x:c>
      <x:c r="C125" s="34"/>
      <x:c r="D125" s="13" t="str">
        <x:v>Расцепитель независимый РН-125/160 (РН-32/33) TDM !!!</x:v>
      </x:c>
      <x:c r="E125" s="10" t="str">
        <x:v>шт</x:v>
      </x:c>
      <x:c r="F125" s="37" t="n">
        <x:f>MAX(0,ROUNDDOWN((AG125-AF125)/AR125+0.000000001,0)*AR125)</x:f>
        <x:v>168</x:v>
      </x:c>
      <x:c r="G125" s="21" t="str">
        <x:f>IF(J125="Рассчитано",V125*(1-R125/100)-W125-P125-Q125,"н/д")</x:f>
        <x:v>н/д</x:v>
      </x:c>
      <x:c r="H125" s="13" t="str">
        <x:v>Высокий</x:v>
      </x:c>
      <x:c r="I125" s="13" t="str">
        <x:v>Высокий</x:v>
      </x:c>
      <x:c r="J125" s="13" t="str">
        <x:f>IF(L125="","Укажите валюту",IF(NOT(ISNUMBER(K125)),"Укажите объём",IF(K125&lt;=0,"Укажите объём",IF(K125&gt;F125,"Объём выше излишка",IF(COUNT(M125:O125)&lt;3,"Нужны цены",IF(COUNT(P125:R125)&lt;3,"Нужны расходы",IF(OR(M125&lt;0,N125&lt;0,O125&lt;0,O125&gt;100,P125&lt;0,Q125&lt;0,R125&lt;0,R125&gt;100),"Проверьте значения","Рассчитано")))))))</x:f>
        <x:v>Нужны цены</x:v>
      </x:c>
      <x:c r="K125" s="36" t="n">
        <x:v>168</x:v>
      </x:c>
      <x:c r="L125" s="19" t="str">
        <x:v>KZT</x:v>
      </x:c>
      <x:c r="M125" s="22"/>
      <x:c r="N125" s="22"/>
      <x:c r="O125" s="28"/>
      <x:c r="P125" s="22"/>
      <x:c r="Q125" s="22"/>
      <x:c r="R125" s="28"/>
      <x:c r="S125" s="22"/>
      <x:c r="T125" s="37" t="n">
        <x:f>K125</x:f>
        <x:v>168</x:v>
      </x:c>
      <x:c r="U125" s="21" t="str">
        <x:f>IF(J125="Рассчитано",N125*(1-O125/100),"н/д")</x:f>
        <x:v>н/д</x:v>
      </x:c>
      <x:c r="V125" s="21" t="str">
        <x:f>IF(J125="Рассчитано",T125*U125,"н/д")</x:f>
        <x:v>н/д</x:v>
      </x:c>
      <x:c r="W125" s="21" t="str">
        <x:f>IF(J125="Рассчитано",T125*M125,"н/д")</x:f>
        <x:v>н/д</x:v>
      </x:c>
      <x:c r="X125" s="21" t="str">
        <x:f>IF(J125="Рассчитано",V125-W125,"н/д")</x:f>
        <x:v>н/д</x:v>
      </x:c>
      <x:c r="Y125" s="27" t="str">
        <x:f>IF(J125="Рассчитано",IF(V125&gt;0,G125/V125,"н/д"),"н/д")</x:f>
        <x:v>н/д</x:v>
      </x:c>
      <x:c r="Z125" s="21" t="str">
        <x:f>"н/д"</x:f>
        <x:v>н/д</x:v>
      </x:c>
      <x:c r="AA125" s="21" t="str">
        <x:f>"н/д"</x:f>
        <x:v>н/д</x:v>
      </x:c>
      <x:c r="AB125" s="21" t="str">
        <x:f>"н/д"</x:f>
        <x:v>н/д</x:v>
      </x:c>
      <x:c r="AC125" s="21" t="str">
        <x:f>IF(AND(J125="Рассчитано",T125&gt;0,R125&lt;100),(W125+P125+Q125)/(T125*(1-R125/100)),"н/д")</x:f>
        <x:v>н/д</x:v>
      </x:c>
      <x:c r="AD125" s="10" t="str">
        <x:f>IF(ISNUMBER(G125),IF(G125&lt;0,"Убыток",IF(G125=0,"Без прибыли","Прибыль &gt; 0")),"Не оценён")</x:f>
        <x:v>Не оценён</x:v>
      </x:c>
      <x:c r="AE125" s="13" t="str">
        <x:f>IF(J125="Рассчитано","Выручка "&amp;TEXT(V125,"0.00")&amp;" - себестоимость "&amp;TEXT(W125,"0.00")&amp;" - комиссия "&amp;TEXT(V125*R125/100,"0.00")&amp;" - доставка "&amp;TEXT(P125,"0.00")&amp;" - прочие "&amp;TEXT(Q125,"0.00")&amp;" = "&amp;TEXT(G125,"0.00")&amp;" "&amp;L125,"Введите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" s="24" t="n">
        <x:v>0</x:v>
      </x:c>
      <x:c r="AG125" s="37" t="n">
        <x:v>168</x:v>
      </x:c>
      <x:c r="AH125" s="37" t="n">
        <x:v>0</x:v>
      </x:c>
      <x:c r="AI125" s="30" t="n">
        <x:v>46266</x:v>
      </x:c>
      <x:c r="AJ125" s="37"/>
      <x:c r="AK125" s="10" t="str">
        <x:v>неизвестно</x:v>
      </x:c>
      <x:c r="AL125" s="32" t="str">
        <x:v>н/д</x:v>
      </x:c>
      <x:c r="AM125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5" s="13" t="str">
        <x:v>Проверить свободный остаток и установить цену для B2B</x:v>
      </x:c>
      <x:c r="AO125" s="13" t="str">
        <x:v>Остаток 168; прогноз 90 дней 0.00; избыток 168 шт. Будущие поступления не выставляются на продажу. Остаток на начало сентября: требуется актуализация.</x:v>
      </x:c>
      <x:c r="AP125" s="13" t="str">
        <x:v>["category_missing", "daily_stockout_data_missing", "moq_missing", "new_order_lead_time_unknown", "reservations_unknown", "stale_stock", "supplier_sku_missing"]</x:v>
      </x:c>
      <x:c r="AQ125" s="10" t="str">
        <x:v>IEK:011100121_</x:v>
      </x:c>
      <x:c r="AR125" s="24" t="n">
        <x:v>1</x:v>
      </x:c>
      <x:c r="AS125" s="24" t="n">
        <x:v>0</x:v>
      </x:c>
      <x:c r="AT125" s="24" t="n">
        <x:v>0</x:v>
      </x:c>
    </x:row>
    <x:row r="126" ht="64" customHeight="1">
      <x:c r="A126" s="11" t="str">
        <x:v>IEK</x:v>
      </x:c>
      <x:c r="B126" s="33" t="str">
        <x:v>011100123_</x:v>
      </x:c>
      <x:c r="C126" s="33"/>
      <x:c r="D126" s="12" t="str">
        <x:v>Аварийный контакт АК-125/160 (АК 32/33)   ТДМ !!!</x:v>
      </x:c>
      <x:c r="E126" s="11" t="str">
        <x:v>шт</x:v>
      </x:c>
      <x:c r="F126" s="35" t="n">
        <x:f>MAX(0,ROUNDDOWN((AG126-AF126)/AR126+0.000000001,0)*AR126)</x:f>
        <x:v>380</x:v>
      </x:c>
      <x:c r="G126" s="20" t="str">
        <x:f>IF(J126="Рассчитано",V126*(1-R126/100)-W126-P126-Q126,"н/д")</x:f>
        <x:v>н/д</x:v>
      </x:c>
      <x:c r="H126" s="12" t="str">
        <x:v>Высокий</x:v>
      </x:c>
      <x:c r="I126" s="12" t="str">
        <x:v>Высокий</x:v>
      </x:c>
      <x:c r="J126" s="12" t="str">
        <x:f>IF(L126="","Укажите валюту",IF(NOT(ISNUMBER(K126)),"Укажите объём",IF(K126&lt;=0,"Укажите объём",IF(K126&gt;F126,"Объём выше излишка",IF(COUNT(M126:O126)&lt;3,"Нужны цены",IF(COUNT(P126:R126)&lt;3,"Нужны расходы",IF(OR(M126&lt;0,N126&lt;0,O126&lt;0,O126&gt;100,P126&lt;0,Q126&lt;0,R126&lt;0,R126&gt;100),"Проверьте значения","Рассчитано")))))))</x:f>
        <x:v>Нужны цены</x:v>
      </x:c>
      <x:c r="K126" s="36" t="n">
        <x:v>380</x:v>
      </x:c>
      <x:c r="L126" s="19" t="str">
        <x:v>KZT</x:v>
      </x:c>
      <x:c r="M126" s="22"/>
      <x:c r="N126" s="22"/>
      <x:c r="O126" s="28"/>
      <x:c r="P126" s="22"/>
      <x:c r="Q126" s="22"/>
      <x:c r="R126" s="28"/>
      <x:c r="S126" s="22"/>
      <x:c r="T126" s="35" t="n">
        <x:f>K126</x:f>
        <x:v>380</x:v>
      </x:c>
      <x:c r="U126" s="20" t="str">
        <x:f>IF(J126="Рассчитано",N126*(1-O126/100),"н/д")</x:f>
        <x:v>н/д</x:v>
      </x:c>
      <x:c r="V126" s="20" t="str">
        <x:f>IF(J126="Рассчитано",T126*U126,"н/д")</x:f>
        <x:v>н/д</x:v>
      </x:c>
      <x:c r="W126" s="20" t="str">
        <x:f>IF(J126="Рассчитано",T126*M126,"н/д")</x:f>
        <x:v>н/д</x:v>
      </x:c>
      <x:c r="X126" s="20" t="str">
        <x:f>IF(J126="Рассчитано",V126-W126,"н/д")</x:f>
        <x:v>н/д</x:v>
      </x:c>
      <x:c r="Y126" s="26" t="str">
        <x:f>IF(J126="Рассчитано",IF(V126&gt;0,G126/V126,"н/д"),"н/д")</x:f>
        <x:v>н/д</x:v>
      </x:c>
      <x:c r="Z126" s="20" t="str">
        <x:f>"н/д"</x:f>
        <x:v>н/д</x:v>
      </x:c>
      <x:c r="AA126" s="20" t="str">
        <x:f>"н/д"</x:f>
        <x:v>н/д</x:v>
      </x:c>
      <x:c r="AB126" s="20" t="str">
        <x:f>"н/д"</x:f>
        <x:v>н/д</x:v>
      </x:c>
      <x:c r="AC126" s="20" t="str">
        <x:f>IF(AND(J126="Рассчитано",T126&gt;0,R126&lt;100),(W126+P126+Q126)/(T126*(1-R126/100)),"н/д")</x:f>
        <x:v>н/д</x:v>
      </x:c>
      <x:c r="AD126" s="11" t="str">
        <x:f>IF(ISNUMBER(G126),IF(G126&lt;0,"Убыток",IF(G126=0,"Без прибыли","Прибыль &gt; 0")),"Не оценён")</x:f>
        <x:v>Не оценён</x:v>
      </x:c>
      <x:c r="AE126" s="12" t="str">
        <x:f>IF(J126="Рассчитано","Выручка "&amp;TEXT(V126,"0.00")&amp;" - себестоимость "&amp;TEXT(W126,"0.00")&amp;" - комиссия "&amp;TEXT(V126*R126/100,"0.00")&amp;" - доставка "&amp;TEXT(P126,"0.00")&amp;" - прочие "&amp;TEXT(Q126,"0.00")&amp;" = "&amp;TEXT(G126,"0.00")&amp;" "&amp;L126,"Введите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" s="23" t="n">
        <x:v>0.6455236352593149</x:v>
      </x:c>
      <x:c r="AG126" s="35" t="n">
        <x:v>381</x:v>
      </x:c>
      <x:c r="AH126" s="35" t="n">
        <x:v>0</x:v>
      </x:c>
      <x:c r="AI126" s="29" t="n">
        <x:v>46266</x:v>
      </x:c>
      <x:c r="AJ126" s="35"/>
      <x:c r="AK126" s="11" t="str">
        <x:v>неизвестно</x:v>
      </x:c>
      <x:c r="AL126" s="31" t="n">
        <x:v>50191.69609150524</x:v>
      </x:c>
      <x:c r="AM126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6" s="12" t="str">
        <x:v>Проверить свободный остаток и установить цену для B2B</x:v>
      </x:c>
      <x:c r="AO126" s="12" t="str">
        <x:v>Остаток 381; прогноз 90 дней 0.65; избыток 380 шт. Будущие поступления не выставляются на продажу. Остаток на начало сентября: требуется актуализация.</x:v>
      </x:c>
      <x:c r="AP126" s="12" t="str">
        <x:v>["category_missing", "daily_stockout_data_missing", "moq_missing", "new_order_lead_time_unknown", "reservations_unknown", "stale_stock", "supplier_sku_missing"]</x:v>
      </x:c>
      <x:c r="AQ126" s="11" t="str">
        <x:v>IEK:011100123_</x:v>
      </x:c>
      <x:c r="AR126" s="23" t="n">
        <x:v>1</x:v>
      </x:c>
      <x:c r="AS126" s="23" t="n">
        <x:v>0</x:v>
      </x:c>
      <x:c r="AT126" s="23" t="n">
        <x:v>0</x:v>
      </x:c>
    </x:row>
    <x:row r="127" ht="64" customHeight="1">
      <x:c r="A127" s="10" t="str">
        <x:v>IEK</x:v>
      </x:c>
      <x:c r="B127" s="34" t="str">
        <x:v>011100124_</x:v>
      </x:c>
      <x:c r="C127" s="34"/>
      <x:c r="D127" s="13" t="str">
        <x:v>Аварийный контакт АК-250/400 (АК 35/37)   ТДМ !!!</x:v>
      </x:c>
      <x:c r="E127" s="10" t="str">
        <x:v>шт</x:v>
      </x:c>
      <x:c r="F127" s="37" t="n">
        <x:f>MAX(0,ROUNDDOWN((AG127-AF127)/AR127+0.000000001,0)*AR127)</x:f>
        <x:v>168</x:v>
      </x:c>
      <x:c r="G127" s="21" t="str">
        <x:f>IF(J127="Рассчитано",V127*(1-R127/100)-W127-P127-Q127,"н/д")</x:f>
        <x:v>н/д</x:v>
      </x:c>
      <x:c r="H127" s="13" t="str">
        <x:v>Высокий</x:v>
      </x:c>
      <x:c r="I127" s="13" t="str">
        <x:v>Высокий</x:v>
      </x:c>
      <x:c r="J127" s="13" t="str">
        <x:f>IF(L127="","Укажите валюту",IF(NOT(ISNUMBER(K127)),"Укажите объём",IF(K127&lt;=0,"Укажите объём",IF(K127&gt;F127,"Объём выше излишка",IF(COUNT(M127:O127)&lt;3,"Нужны цены",IF(COUNT(P127:R127)&lt;3,"Нужны расходы",IF(OR(M127&lt;0,N127&lt;0,O127&lt;0,O127&gt;100,P127&lt;0,Q127&lt;0,R127&lt;0,R127&gt;100),"Проверьте значения","Рассчитано")))))))</x:f>
        <x:v>Нужны цены</x:v>
      </x:c>
      <x:c r="K127" s="36" t="n">
        <x:v>168</x:v>
      </x:c>
      <x:c r="L127" s="19" t="str">
        <x:v>KZT</x:v>
      </x:c>
      <x:c r="M127" s="22"/>
      <x:c r="N127" s="22"/>
      <x:c r="O127" s="28"/>
      <x:c r="P127" s="22"/>
      <x:c r="Q127" s="22"/>
      <x:c r="R127" s="28"/>
      <x:c r="S127" s="22"/>
      <x:c r="T127" s="37" t="n">
        <x:f>K127</x:f>
        <x:v>168</x:v>
      </x:c>
      <x:c r="U127" s="21" t="str">
        <x:f>IF(J127="Рассчитано",N127*(1-O127/100),"н/д")</x:f>
        <x:v>н/д</x:v>
      </x:c>
      <x:c r="V127" s="21" t="str">
        <x:f>IF(J127="Рассчитано",T127*U127,"н/д")</x:f>
        <x:v>н/д</x:v>
      </x:c>
      <x:c r="W127" s="21" t="str">
        <x:f>IF(J127="Рассчитано",T127*M127,"н/д")</x:f>
        <x:v>н/д</x:v>
      </x:c>
      <x:c r="X127" s="21" t="str">
        <x:f>IF(J127="Рассчитано",V127-W127,"н/д")</x:f>
        <x:v>н/д</x:v>
      </x:c>
      <x:c r="Y127" s="27" t="str">
        <x:f>IF(J127="Рассчитано",IF(V127&gt;0,G127/V127,"н/д"),"н/д")</x:f>
        <x:v>н/д</x:v>
      </x:c>
      <x:c r="Z127" s="21" t="str">
        <x:f>"н/д"</x:f>
        <x:v>н/д</x:v>
      </x:c>
      <x:c r="AA127" s="21" t="str">
        <x:f>"н/д"</x:f>
        <x:v>н/д</x:v>
      </x:c>
      <x:c r="AB127" s="21" t="str">
        <x:f>"н/д"</x:f>
        <x:v>н/д</x:v>
      </x:c>
      <x:c r="AC127" s="21" t="str">
        <x:f>IF(AND(J127="Рассчитано",T127&gt;0,R127&lt;100),(W127+P127+Q127)/(T127*(1-R127/100)),"н/д")</x:f>
        <x:v>н/д</x:v>
      </x:c>
      <x:c r="AD127" s="10" t="str">
        <x:f>IF(ISNUMBER(G127),IF(G127&lt;0,"Убыток",IF(G127=0,"Без прибыли","Прибыль &gt; 0")),"Не оценён")</x:f>
        <x:v>Не оценён</x:v>
      </x:c>
      <x:c r="AE127" s="13" t="str">
        <x:f>IF(J127="Рассчитано","Выручка "&amp;TEXT(V127,"0.00")&amp;" - себестоимость "&amp;TEXT(W127,"0.00")&amp;" - комиссия "&amp;TEXT(V127*R127/100,"0.00")&amp;" - доставка "&amp;TEXT(P127,"0.00")&amp;" - прочие "&amp;TEXT(Q127,"0.00")&amp;" = "&amp;TEXT(G127,"0.00")&amp;" "&amp;L127,"Введите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" s="24" t="n">
        <x:v>0.8431690196045889</x:v>
      </x:c>
      <x:c r="AG127" s="37" t="n">
        <x:v>169</x:v>
      </x:c>
      <x:c r="AH127" s="37" t="n">
        <x:v>0</x:v>
      </x:c>
      <x:c r="AI127" s="30" t="n">
        <x:v>46266</x:v>
      </x:c>
      <x:c r="AJ127" s="37"/>
      <x:c r="AK127" s="10" t="str">
        <x:v>неизвестно</x:v>
      </x:c>
      <x:c r="AL127" s="32" t="n">
        <x:v>17044.768532282545</x:v>
      </x:c>
      <x:c r="AM127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7" s="13" t="str">
        <x:v>Проверить свободный остаток и установить цену для B2B</x:v>
      </x:c>
      <x:c r="AO127" s="13" t="str">
        <x:v>Остаток 169; прогноз 90 дней 0.84; избыток 168 шт. Будущие поступления не выставляются на продажу. Остаток на начало сентября: требуется актуализация.</x:v>
      </x:c>
      <x:c r="AP127" s="13" t="str">
        <x:v>["category_missing", "daily_stockout_data_missing", "moq_missing", "new_order_lead_time_unknown", "reservations_unknown", "stale_stock", "supplier_sku_missing"]</x:v>
      </x:c>
      <x:c r="AQ127" s="10" t="str">
        <x:v>IEK:011100124_</x:v>
      </x:c>
      <x:c r="AR127" s="24" t="n">
        <x:v>1</x:v>
      </x:c>
      <x:c r="AS127" s="24" t="n">
        <x:v>0</x:v>
      </x:c>
      <x:c r="AT127" s="24" t="n">
        <x:v>0</x:v>
      </x:c>
    </x:row>
    <x:row r="128" ht="64" customHeight="1">
      <x:c r="A128" s="11" t="str">
        <x:v>IEK</x:v>
      </x:c>
      <x:c r="B128" s="33" t="str">
        <x:v>011100126_</x:v>
      </x:c>
      <x:c r="C128" s="33"/>
      <x:c r="D128" s="12" t="str">
        <x:v>Доп. контакт ДК-250(400)А (АК-35/37)  TDM !!!</x:v>
      </x:c>
      <x:c r="E128" s="11" t="str">
        <x:v>шт</x:v>
      </x:c>
      <x:c r="F128" s="35" t="n">
        <x:f>MAX(0,ROUNDDOWN((AG128-AF128)/AR128+0.000000001,0)*AR128)</x:f>
        <x:v>181</x:v>
      </x:c>
      <x:c r="G128" s="20" t="str">
        <x:f>IF(J128="Рассчитано",V128*(1-R128/100)-W128-P128-Q128,"н/д")</x:f>
        <x:v>н/д</x:v>
      </x:c>
      <x:c r="H128" s="12" t="str">
        <x:v>Высокий</x:v>
      </x:c>
      <x:c r="I128" s="12" t="str">
        <x:v>Высокий</x:v>
      </x:c>
      <x:c r="J128" s="12" t="str">
        <x:f>IF(L128="","Укажите валюту",IF(NOT(ISNUMBER(K128)),"Укажите объём",IF(K128&lt;=0,"Укажите объём",IF(K128&gt;F128,"Объём выше излишка",IF(COUNT(M128:O128)&lt;3,"Нужны цены",IF(COUNT(P128:R128)&lt;3,"Нужны расходы",IF(OR(M128&lt;0,N128&lt;0,O128&lt;0,O128&gt;100,P128&lt;0,Q128&lt;0,R128&lt;0,R128&gt;100),"Проверьте значения","Рассчитано")))))))</x:f>
        <x:v>Нужны цены</x:v>
      </x:c>
      <x:c r="K128" s="36" t="n">
        <x:v>181</x:v>
      </x:c>
      <x:c r="L128" s="19" t="str">
        <x:v>KZT</x:v>
      </x:c>
      <x:c r="M128" s="22"/>
      <x:c r="N128" s="22"/>
      <x:c r="O128" s="28"/>
      <x:c r="P128" s="22"/>
      <x:c r="Q128" s="22"/>
      <x:c r="R128" s="28"/>
      <x:c r="S128" s="22"/>
      <x:c r="T128" s="35" t="n">
        <x:f>K128</x:f>
        <x:v>181</x:v>
      </x:c>
      <x:c r="U128" s="20" t="str">
        <x:f>IF(J128="Рассчитано",N128*(1-O128/100),"н/д")</x:f>
        <x:v>н/д</x:v>
      </x:c>
      <x:c r="V128" s="20" t="str">
        <x:f>IF(J128="Рассчитано",T128*U128,"н/д")</x:f>
        <x:v>н/д</x:v>
      </x:c>
      <x:c r="W128" s="20" t="str">
        <x:f>IF(J128="Рассчитано",T128*M128,"н/д")</x:f>
        <x:v>н/д</x:v>
      </x:c>
      <x:c r="X128" s="20" t="str">
        <x:f>IF(J128="Рассчитано",V128-W128,"н/д")</x:f>
        <x:v>н/д</x:v>
      </x:c>
      <x:c r="Y128" s="26" t="str">
        <x:f>IF(J128="Рассчитано",IF(V128&gt;0,G128/V128,"н/д"),"н/д")</x:f>
        <x:v>н/д</x:v>
      </x:c>
      <x:c r="Z128" s="20" t="str">
        <x:f>"н/д"</x:f>
        <x:v>н/д</x:v>
      </x:c>
      <x:c r="AA128" s="20" t="str">
        <x:f>"н/д"</x:f>
        <x:v>н/д</x:v>
      </x:c>
      <x:c r="AB128" s="20" t="str">
        <x:f>"н/д"</x:f>
        <x:v>н/д</x:v>
      </x:c>
      <x:c r="AC128" s="20" t="str">
        <x:f>IF(AND(J128="Рассчитано",T128&gt;0,R128&lt;100),(W128+P128+Q128)/(T128*(1-R128/100)),"н/д")</x:f>
        <x:v>н/д</x:v>
      </x:c>
      <x:c r="AD128" s="11" t="str">
        <x:f>IF(ISNUMBER(G128),IF(G128&lt;0,"Убыток",IF(G128=0,"Без прибыли","Прибыль &gt; 0")),"Не оценён")</x:f>
        <x:v>Не оценён</x:v>
      </x:c>
      <x:c r="AE128" s="12" t="str">
        <x:f>IF(J128="Рассчитано","Выручка "&amp;TEXT(V128,"0.00")&amp;" - себестоимость "&amp;TEXT(W128,"0.00")&amp;" - комиссия "&amp;TEXT(V128*R128/100,"0.00")&amp;" - доставка "&amp;TEXT(P128,"0.00")&amp;" - прочие "&amp;TEXT(Q128,"0.00")&amp;" = "&amp;TEXT(G128,"0.00")&amp;" "&amp;L128,"Введите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" s="23" t="n">
        <x:v>0.977867986759498</x:v>
      </x:c>
      <x:c r="AG128" s="35" t="n">
        <x:v>182</x:v>
      </x:c>
      <x:c r="AH128" s="35" t="n">
        <x:v>0</x:v>
      </x:c>
      <x:c r="AI128" s="29" t="n">
        <x:v>46266</x:v>
      </x:c>
      <x:c r="AJ128" s="35"/>
      <x:c r="AK128" s="11" t="str">
        <x:v>неизвестно</x:v>
      </x:c>
      <x:c r="AL128" s="31" t="n">
        <x:v>15827.422793798869</x:v>
      </x:c>
      <x:c r="AM128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8" s="12" t="str">
        <x:v>Проверить свободный остаток и установить цену для B2B</x:v>
      </x:c>
      <x:c r="AO128" s="12" t="str">
        <x:v>Остаток 182; прогноз 90 дней 0.98; избыток 181 шт. Будущие поступления не выставляются на продажу. Остаток на начало сентября: требуется актуализация.</x:v>
      </x:c>
      <x:c r="AP128" s="12" t="str">
        <x:v>["category_missing", "daily_stockout_data_missing", "moq_missing", "new_order_lead_time_unknown", "reservations_unknown", "stale_stock", "supplier_sku_missing"]</x:v>
      </x:c>
      <x:c r="AQ128" s="11" t="str">
        <x:v>IEK:011100126_</x:v>
      </x:c>
      <x:c r="AR128" s="23" t="n">
        <x:v>1</x:v>
      </x:c>
      <x:c r="AS128" s="23" t="n">
        <x:v>0</x:v>
      </x:c>
      <x:c r="AT128" s="23" t="n">
        <x:v>0</x:v>
      </x:c>
    </x:row>
    <x:row r="129" ht="64" customHeight="1">
      <x:c r="A129" s="10" t="str">
        <x:v>IEK</x:v>
      </x:c>
      <x:c r="B129" s="34" t="str">
        <x:v>011100210_</x:v>
      </x:c>
      <x:c r="C129" s="34"/>
      <x:c r="D129" s="13" t="str">
        <x:v>Расцепитель независимый РН-800/1600  TDM !!!</x:v>
      </x:c>
      <x:c r="E129" s="10" t="str">
        <x:v>шт</x:v>
      </x:c>
      <x:c r="F129" s="37" t="n">
        <x:f>MAX(0,ROUNDDOWN((AG129-AF129)/AR129+0.000000001,0)*AR129)</x:f>
        <x:v>32</x:v>
      </x:c>
      <x:c r="G129" s="21" t="str">
        <x:f>IF(J129="Рассчитано",V129*(1-R129/100)-W129-P129-Q129,"н/д")</x:f>
        <x:v>н/д</x:v>
      </x:c>
      <x:c r="H129" s="13" t="str">
        <x:v>Высокий</x:v>
      </x:c>
      <x:c r="I129" s="13" t="str">
        <x:v>Высокий</x:v>
      </x:c>
      <x:c r="J129" s="13" t="str">
        <x:f>IF(L129="","Укажите валюту",IF(NOT(ISNUMBER(K129)),"Укажите объём",IF(K129&lt;=0,"Укажите объём",IF(K129&gt;F129,"Объём выше излишка",IF(COUNT(M129:O129)&lt;3,"Нужны цены",IF(COUNT(P129:R129)&lt;3,"Нужны расходы",IF(OR(M129&lt;0,N129&lt;0,O129&lt;0,O129&gt;100,P129&lt;0,Q129&lt;0,R129&lt;0,R129&gt;100),"Проверьте значения","Рассчитано")))))))</x:f>
        <x:v>Нужны цены</x:v>
      </x:c>
      <x:c r="K129" s="36" t="n">
        <x:v>32</x:v>
      </x:c>
      <x:c r="L129" s="19" t="str">
        <x:v>KZT</x:v>
      </x:c>
      <x:c r="M129" s="22"/>
      <x:c r="N129" s="22"/>
      <x:c r="O129" s="28"/>
      <x:c r="P129" s="22"/>
      <x:c r="Q129" s="22"/>
      <x:c r="R129" s="28"/>
      <x:c r="S129" s="22"/>
      <x:c r="T129" s="37" t="n">
        <x:f>K129</x:f>
        <x:v>32</x:v>
      </x:c>
      <x:c r="U129" s="21" t="str">
        <x:f>IF(J129="Рассчитано",N129*(1-O129/100),"н/д")</x:f>
        <x:v>н/д</x:v>
      </x:c>
      <x:c r="V129" s="21" t="str">
        <x:f>IF(J129="Рассчитано",T129*U129,"н/д")</x:f>
        <x:v>н/д</x:v>
      </x:c>
      <x:c r="W129" s="21" t="str">
        <x:f>IF(J129="Рассчитано",T129*M129,"н/д")</x:f>
        <x:v>н/д</x:v>
      </x:c>
      <x:c r="X129" s="21" t="str">
        <x:f>IF(J129="Рассчитано",V129-W129,"н/д")</x:f>
        <x:v>н/д</x:v>
      </x:c>
      <x:c r="Y129" s="27" t="str">
        <x:f>IF(J129="Рассчитано",IF(V129&gt;0,G129/V129,"н/д"),"н/д")</x:f>
        <x:v>н/д</x:v>
      </x:c>
      <x:c r="Z129" s="21" t="str">
        <x:f>"н/д"</x:f>
        <x:v>н/д</x:v>
      </x:c>
      <x:c r="AA129" s="21" t="str">
        <x:f>"н/д"</x:f>
        <x:v>н/д</x:v>
      </x:c>
      <x:c r="AB129" s="21" t="str">
        <x:f>"н/д"</x:f>
        <x:v>н/д</x:v>
      </x:c>
      <x:c r="AC129" s="21" t="str">
        <x:f>IF(AND(J129="Рассчитано",T129&gt;0,R129&lt;100),(W129+P129+Q129)/(T129*(1-R129/100)),"н/д")</x:f>
        <x:v>н/д</x:v>
      </x:c>
      <x:c r="AD129" s="10" t="str">
        <x:f>IF(ISNUMBER(G129),IF(G129&lt;0,"Убыток",IF(G129=0,"Без прибыли","Прибыль &gt; 0")),"Не оценён")</x:f>
        <x:v>Не оценён</x:v>
      </x:c>
      <x:c r="AE129" s="13" t="str">
        <x:f>IF(J129="Рассчитано","Выручка "&amp;TEXT(V129,"0.00")&amp;" - себестоимость "&amp;TEXT(W129,"0.00")&amp;" - комиссия "&amp;TEXT(V129*R129/100,"0.00")&amp;" - доставка "&amp;TEXT(P129,"0.00")&amp;" - прочие "&amp;TEXT(Q129,"0.00")&amp;" = "&amp;TEXT(G129,"0.00")&amp;" "&amp;L129,"Введите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" s="24" t="n">
        <x:v>0</x:v>
      </x:c>
      <x:c r="AG129" s="37" t="n">
        <x:v>32</x:v>
      </x:c>
      <x:c r="AH129" s="37" t="n">
        <x:v>0</x:v>
      </x:c>
      <x:c r="AI129" s="30" t="n">
        <x:v>46266</x:v>
      </x:c>
      <x:c r="AJ129" s="37"/>
      <x:c r="AK129" s="10" t="str">
        <x:v>неизвестно</x:v>
      </x:c>
      <x:c r="AL129" s="32" t="str">
        <x:v>н/д</x:v>
      </x:c>
      <x:c r="AM12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9" s="13" t="str">
        <x:v>Проверить свободный остаток и установить цену для B2B</x:v>
      </x:c>
      <x:c r="AO129" s="13" t="str">
        <x:v>Остаток 32; прогноз 90 дней 0.00; избыток 32 шт. Будущие поступления не выставляются на продажу. Остаток на начало сентября: требуется актуализация.</x:v>
      </x:c>
      <x:c r="AP129" s="13" t="str">
        <x:v>["category_missing", "daily_stockout_data_missing", "moq_missing", "new_order_lead_time_unknown", "reservations_unknown", "stale_stock", "supplier_sku_missing"]</x:v>
      </x:c>
      <x:c r="AQ129" s="10" t="str">
        <x:v>IEK:011100210_</x:v>
      </x:c>
      <x:c r="AR129" s="24" t="n">
        <x:v>1</x:v>
      </x:c>
      <x:c r="AS129" s="24" t="n">
        <x:v>0</x:v>
      </x:c>
      <x:c r="AT129" s="24" t="n">
        <x:v>0</x:v>
      </x:c>
    </x:row>
    <x:row r="130" ht="64" customHeight="1">
      <x:c r="A130" s="11" t="str">
        <x:v>IEK</x:v>
      </x:c>
      <x:c r="B130" s="33" t="str">
        <x:v>011100245_</x:v>
      </x:c>
      <x:c r="C130" s="33"/>
      <x:c r="D130" s="12" t="str">
        <x:v>Аварийный контакт АК-800/1600 (АК 40/43)   ТДМ !!!</x:v>
      </x:c>
      <x:c r="E130" s="11" t="str">
        <x:v>шт</x:v>
      </x:c>
      <x:c r="F130" s="35" t="n">
        <x:f>MAX(0,ROUNDDOWN((AG130-AF130)/AR130+0.000000001,0)*AR130)</x:f>
        <x:v>33</x:v>
      </x:c>
      <x:c r="G130" s="20" t="str">
        <x:f>IF(J130="Рассчитано",V130*(1-R130/100)-W130-P130-Q130,"н/д")</x:f>
        <x:v>н/д</x:v>
      </x:c>
      <x:c r="H130" s="12" t="str">
        <x:v>Высокий</x:v>
      </x:c>
      <x:c r="I130" s="12" t="str">
        <x:v>Высокий</x:v>
      </x:c>
      <x:c r="J130" s="12" t="str">
        <x:f>IF(L130="","Укажите валюту",IF(NOT(ISNUMBER(K130)),"Укажите объём",IF(K130&lt;=0,"Укажите объём",IF(K130&gt;F130,"Объём выше излишка",IF(COUNT(M130:O130)&lt;3,"Нужны цены",IF(COUNT(P130:R130)&lt;3,"Нужны расходы",IF(OR(M130&lt;0,N130&lt;0,O130&lt;0,O130&gt;100,P130&lt;0,Q130&lt;0,R130&lt;0,R130&gt;100),"Проверьте значения","Рассчитано")))))))</x:f>
        <x:v>Нужны цены</x:v>
      </x:c>
      <x:c r="K130" s="36" t="n">
        <x:v>33</x:v>
      </x:c>
      <x:c r="L130" s="19" t="str">
        <x:v>KZT</x:v>
      </x:c>
      <x:c r="M130" s="22"/>
      <x:c r="N130" s="22"/>
      <x:c r="O130" s="28"/>
      <x:c r="P130" s="22"/>
      <x:c r="Q130" s="22"/>
      <x:c r="R130" s="28"/>
      <x:c r="S130" s="22"/>
      <x:c r="T130" s="35" t="n">
        <x:f>K130</x:f>
        <x:v>33</x:v>
      </x:c>
      <x:c r="U130" s="20" t="str">
        <x:f>IF(J130="Рассчитано",N130*(1-O130/100),"н/д")</x:f>
        <x:v>н/д</x:v>
      </x:c>
      <x:c r="V130" s="20" t="str">
        <x:f>IF(J130="Рассчитано",T130*U130,"н/д")</x:f>
        <x:v>н/д</x:v>
      </x:c>
      <x:c r="W130" s="20" t="str">
        <x:f>IF(J130="Рассчитано",T130*M130,"н/д")</x:f>
        <x:v>н/д</x:v>
      </x:c>
      <x:c r="X130" s="20" t="str">
        <x:f>IF(J130="Рассчитано",V130-W130,"н/д")</x:f>
        <x:v>н/д</x:v>
      </x:c>
      <x:c r="Y130" s="26" t="str">
        <x:f>IF(J130="Рассчитано",IF(V130&gt;0,G130/V130,"н/д"),"н/д")</x:f>
        <x:v>н/д</x:v>
      </x:c>
      <x:c r="Z130" s="20" t="str">
        <x:f>"н/д"</x:f>
        <x:v>н/д</x:v>
      </x:c>
      <x:c r="AA130" s="20" t="str">
        <x:f>"н/д"</x:f>
        <x:v>н/д</x:v>
      </x:c>
      <x:c r="AB130" s="20" t="str">
        <x:f>"н/д"</x:f>
        <x:v>н/д</x:v>
      </x:c>
      <x:c r="AC130" s="20" t="str">
        <x:f>IF(AND(J130="Рассчитано",T130&gt;0,R130&lt;100),(W130+P130+Q130)/(T130*(1-R130/100)),"н/д")</x:f>
        <x:v>н/д</x:v>
      </x:c>
      <x:c r="AD130" s="11" t="str">
        <x:f>IF(ISNUMBER(G130),IF(G130&lt;0,"Убыток",IF(G130=0,"Без прибыли","Прибыль &gt; 0")),"Не оценён")</x:f>
        <x:v>Не оценён</x:v>
      </x:c>
      <x:c r="AE130" s="12" t="str">
        <x:f>IF(J130="Рассчитано","Выручка "&amp;TEXT(V130,"0.00")&amp;" - себестоимость "&amp;TEXT(W130,"0.00")&amp;" - комиссия "&amp;TEXT(V130*R130/100,"0.00")&amp;" - доставка "&amp;TEXT(P130,"0.00")&amp;" - прочие "&amp;TEXT(Q130,"0.00")&amp;" = "&amp;TEXT(G130,"0.00")&amp;" "&amp;L130,"Введите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" s="23" t="n">
        <x:v>0.27017433540616553</x:v>
      </x:c>
      <x:c r="AG130" s="35" t="n">
        <x:v>34</x:v>
      </x:c>
      <x:c r="AH130" s="35" t="n">
        <x:v>0</x:v>
      </x:c>
      <x:c r="AI130" s="29" t="n">
        <x:v>46266</x:v>
      </x:c>
      <x:c r="AJ130" s="35"/>
      <x:c r="AK130" s="11" t="str">
        <x:v>неизвестно</x:v>
      </x:c>
      <x:c r="AL130" s="31" t="n">
        <x:v>10701.727036499295</x:v>
      </x:c>
      <x:c r="AM13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30" s="12" t="str">
        <x:v>Проверить свободный остаток и установить цену для B2B</x:v>
      </x:c>
      <x:c r="AO130" s="12" t="str">
        <x:v>Остаток 34; прогноз 90 дней 0.27; избыток 33 шт. Будущие поступления не выставляются на продажу. Остаток на начало сентября: требуется актуализация.</x:v>
      </x:c>
      <x:c r="AP130" s="12" t="str">
        <x:v>["category_missing", "daily_stockout_data_missing", "moq_missing", "new_order_lead_time_unknown", "reservations_unknown", "stale_stock", "supplier_sku_missing"]</x:v>
      </x:c>
      <x:c r="AQ130" s="11" t="str">
        <x:v>IEK:011100245_</x:v>
      </x:c>
      <x:c r="AR130" s="23" t="n">
        <x:v>1</x:v>
      </x:c>
      <x:c r="AS130" s="23" t="n">
        <x:v>0</x:v>
      </x:c>
      <x:c r="AT130" s="23" t="n">
        <x:v>0</x:v>
      </x:c>
    </x:row>
    <x:row r="131" ht="64" customHeight="1">
      <x:c r="A131" s="10" t="str">
        <x:v>IEK</x:v>
      </x:c>
      <x:c r="B131" s="34" t="str">
        <x:v>020100001_</x:v>
      </x:c>
      <x:c r="C131" s="34" t="str">
        <x:v>PSR01-016-3</x:v>
      </x:c>
      <x:c r="D131" s="13" t="str">
        <x:v>Переносная вилка 013- 2р+е 16А 220В IEK</x:v>
      </x:c>
      <x:c r="E131" s="10" t="str">
        <x:v>шт</x:v>
      </x:c>
      <x:c r="F131" s="37" t="n">
        <x:f>MAX(0,ROUNDDOWN((AG131-AF131)/AR131+0.000000001,0)*AR131)</x:f>
        <x:v>1</x:v>
      </x:c>
      <x:c r="G131" s="21" t="str">
        <x:f>IF(J131="Рассчитано",V131*(1-R131/100)-W131-P131-Q131,"н/д")</x:f>
        <x:v>н/д</x:v>
      </x:c>
      <x:c r="H131" s="13" t="str">
        <x:v>Высокий</x:v>
      </x:c>
      <x:c r="I131" s="13" t="str">
        <x:v>Средний</x:v>
      </x:c>
      <x:c r="J131" s="13" t="str">
        <x:f>IF(L131="","Укажите валюту",IF(NOT(ISNUMBER(K131)),"Укажите объём",IF(K131&lt;=0,"Укажите объём",IF(K131&gt;F131,"Объём выше излишка",IF(COUNT(M131:O131)&lt;3,"Нужны цены",IF(COUNT(P131:R131)&lt;3,"Нужны расходы",IF(OR(M131&lt;0,N131&lt;0,O131&lt;0,O131&gt;100,P131&lt;0,Q131&lt;0,R131&lt;0,R131&gt;100),"Проверьте значения","Рассчитано")))))))</x:f>
        <x:v>Нужны цены</x:v>
      </x:c>
      <x:c r="K131" s="36" t="n">
        <x:v>1</x:v>
      </x:c>
      <x:c r="L131" s="19" t="str">
        <x:v>KZT</x:v>
      </x:c>
      <x:c r="M131" s="22"/>
      <x:c r="N131" s="22"/>
      <x:c r="O131" s="28"/>
      <x:c r="P131" s="22"/>
      <x:c r="Q131" s="22"/>
      <x:c r="R131" s="28"/>
      <x:c r="S131" s="22"/>
      <x:c r="T131" s="37" t="n">
        <x:f>K131</x:f>
        <x:v>1</x:v>
      </x:c>
      <x:c r="U131" s="21" t="str">
        <x:f>IF(J131="Рассчитано",N131*(1-O131/100),"н/д")</x:f>
        <x:v>н/д</x:v>
      </x:c>
      <x:c r="V131" s="21" t="str">
        <x:f>IF(J131="Рассчитано",T131*U131,"н/д")</x:f>
        <x:v>н/д</x:v>
      </x:c>
      <x:c r="W131" s="21" t="str">
        <x:f>IF(J131="Рассчитано",T131*M131,"н/д")</x:f>
        <x:v>н/д</x:v>
      </x:c>
      <x:c r="X131" s="21" t="str">
        <x:f>IF(J131="Рассчитано",V131-W131,"н/д")</x:f>
        <x:v>н/д</x:v>
      </x:c>
      <x:c r="Y131" s="27" t="str">
        <x:f>IF(J131="Рассчитано",IF(V131&gt;0,G131/V131,"н/д"),"н/д")</x:f>
        <x:v>н/д</x:v>
      </x:c>
      <x:c r="Z131" s="21" t="str">
        <x:f>"н/д"</x:f>
        <x:v>н/д</x:v>
      </x:c>
      <x:c r="AA131" s="21" t="str">
        <x:f>"н/д"</x:f>
        <x:v>н/д</x:v>
      </x:c>
      <x:c r="AB131" s="21" t="str">
        <x:f>"н/д"</x:f>
        <x:v>н/д</x:v>
      </x:c>
      <x:c r="AC131" s="21" t="str">
        <x:f>IF(AND(J131="Рассчитано",T131&gt;0,R131&lt;100),(W131+P131+Q131)/(T131*(1-R131/100)),"н/д")</x:f>
        <x:v>н/д</x:v>
      </x:c>
      <x:c r="AD131" s="10" t="str">
        <x:f>IF(ISNUMBER(G131),IF(G131&lt;0,"Убыток",IF(G131=0,"Без прибыли","Прибыль &gt; 0")),"Не оценён")</x:f>
        <x:v>Не оценён</x:v>
      </x:c>
      <x:c r="AE131" s="13" t="str">
        <x:f>IF(J131="Рассчитано","Выручка "&amp;TEXT(V131,"0.00")&amp;" - себестоимость "&amp;TEXT(W131,"0.00")&amp;" - комиссия "&amp;TEXT(V131*R131/100,"0.00")&amp;" - доставка "&amp;TEXT(P131,"0.00")&amp;" - прочие "&amp;TEXT(Q131,"0.00")&amp;" = "&amp;TEXT(G131,"0.00")&amp;" "&amp;L131,"Введите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" s="24" t="n">
        <x:v>10.595172900208414</x:v>
      </x:c>
      <x:c r="AG131" s="37" t="n">
        <x:v>12</x:v>
      </x:c>
      <x:c r="AH131" s="37" t="n">
        <x:v>0</x:v>
      </x:c>
      <x:c r="AI131" s="30" t="n">
        <x:v>46266</x:v>
      </x:c>
      <x:c r="AJ131" s="37" t="n">
        <x:v>10</x:v>
      </x:c>
      <x:c r="AK131" s="10" t="str">
        <x:v>минимум</x:v>
      </x:c>
      <x:c r="AL131" s="32" t="n">
        <x:v>96.31462588227082</x:v>
      </x:c>
      <x:c r="AM131" s="13" t="str">
        <x:v>Остаток на начало сентября; Резервы неизвестны; Нет ежедневных данных доступности. Запас выше прогноза на 90 дней</x:v>
      </x:c>
      <x:c r="AN131" s="13" t="str">
        <x:v>Проверить свободный остаток и установить цену для B2B</x:v>
      </x:c>
      <x:c r="AO131" s="13" t="str">
        <x:v>Остаток 12; прогноз 90 дней 10.60; избыток 1 шт. Будущие поступления не выставляются на продажу. Остаток на начало сентября: требуется актуализация.</x:v>
      </x:c>
      <x:c r="AP131" s="13" t="str">
        <x:v>["category_missing", "daily_stockout_data_missing", "new_order_lead_time_unknown", "reservations_unknown", "stale_stock"]</x:v>
      </x:c>
      <x:c r="AQ131" s="10" t="str">
        <x:v>IEK:020100001_</x:v>
      </x:c>
      <x:c r="AR131" s="24" t="n">
        <x:v>1</x:v>
      </x:c>
      <x:c r="AS131" s="24" t="n">
        <x:v>0</x:v>
      </x:c>
      <x:c r="AT131" s="24" t="n">
        <x:v>0</x:v>
      </x:c>
    </x:row>
    <x:row r="132" ht="64" customHeight="1">
      <x:c r="A132" s="11" t="str">
        <x:v>IEK</x:v>
      </x:c>
      <x:c r="B132" s="33" t="str">
        <x:v>020100003_</x:v>
      </x:c>
      <x:c r="C132" s="33" t="str">
        <x:v>PSR02-016-5</x:v>
      </x:c>
      <x:c r="D132" s="12" t="str">
        <x:v>Переносная вилка 015 3р+ре+n 16А 380В IP 44 IEK</x:v>
      </x:c>
      <x:c r="E132" s="11" t="str">
        <x:v>шт</x:v>
      </x:c>
      <x:c r="F132" s="35" t="n">
        <x:f>MAX(0,ROUNDDOWN((AG132-AF132)/AR132+0.000000001,0)*AR132)</x:f>
        <x:v>7</x:v>
      </x:c>
      <x:c r="G132" s="20" t="str">
        <x:f>IF(J132="Рассчитано",V132*(1-R132/100)-W132-P132-Q132,"н/д")</x:f>
        <x:v>н/д</x:v>
      </x:c>
      <x:c r="H132" s="12" t="str">
        <x:v>Высокий</x:v>
      </x:c>
      <x:c r="I132" s="12" t="str">
        <x:v>Средний</x:v>
      </x:c>
      <x:c r="J132" s="12" t="str">
        <x:f>IF(L132="","Укажите валюту",IF(NOT(ISNUMBER(K132)),"Укажите объём",IF(K132&lt;=0,"Укажите объём",IF(K132&gt;F132,"Объём выше излишка",IF(COUNT(M132:O132)&lt;3,"Нужны цены",IF(COUNT(P132:R132)&lt;3,"Нужны расходы",IF(OR(M132&lt;0,N132&lt;0,O132&lt;0,O132&gt;100,P132&lt;0,Q132&lt;0,R132&lt;0,R132&gt;100),"Проверьте значения","Рассчитано")))))))</x:f>
        <x:v>Нужны цены</x:v>
      </x:c>
      <x:c r="K132" s="36" t="n">
        <x:v>7</x:v>
      </x:c>
      <x:c r="L132" s="19" t="str">
        <x:v>KZT</x:v>
      </x:c>
      <x:c r="M132" s="22"/>
      <x:c r="N132" s="22"/>
      <x:c r="O132" s="28"/>
      <x:c r="P132" s="22"/>
      <x:c r="Q132" s="22"/>
      <x:c r="R132" s="28"/>
      <x:c r="S132" s="22"/>
      <x:c r="T132" s="35" t="n">
        <x:f>K132</x:f>
        <x:v>7</x:v>
      </x:c>
      <x:c r="U132" s="20" t="str">
        <x:f>IF(J132="Рассчитано",N132*(1-O132/100),"н/д")</x:f>
        <x:v>н/д</x:v>
      </x:c>
      <x:c r="V132" s="20" t="str">
        <x:f>IF(J132="Рассчитано",T132*U132,"н/д")</x:f>
        <x:v>н/д</x:v>
      </x:c>
      <x:c r="W132" s="20" t="str">
        <x:f>IF(J132="Рассчитано",T132*M132,"н/д")</x:f>
        <x:v>н/д</x:v>
      </x:c>
      <x:c r="X132" s="20" t="str">
        <x:f>IF(J132="Рассчитано",V132-W132,"н/д")</x:f>
        <x:v>н/д</x:v>
      </x:c>
      <x:c r="Y132" s="26" t="str">
        <x:f>IF(J132="Рассчитано",IF(V132&gt;0,G132/V132,"н/д"),"н/д")</x:f>
        <x:v>н/д</x:v>
      </x:c>
      <x:c r="Z132" s="20" t="str">
        <x:f>"н/д"</x:f>
        <x:v>н/д</x:v>
      </x:c>
      <x:c r="AA132" s="20" t="str">
        <x:f>"н/д"</x:f>
        <x:v>н/д</x:v>
      </x:c>
      <x:c r="AB132" s="20" t="str">
        <x:f>"н/д"</x:f>
        <x:v>н/д</x:v>
      </x:c>
      <x:c r="AC132" s="20" t="str">
        <x:f>IF(AND(J132="Рассчитано",T132&gt;0,R132&lt;100),(W132+P132+Q132)/(T132*(1-R132/100)),"н/д")</x:f>
        <x:v>н/д</x:v>
      </x:c>
      <x:c r="AD132" s="11" t="str">
        <x:f>IF(ISNUMBER(G132),IF(G132&lt;0,"Убыток",IF(G132=0,"Без прибыли","Прибыль &gt; 0")),"Не оценён")</x:f>
        <x:v>Не оценён</x:v>
      </x:c>
      <x:c r="AE132" s="12" t="str">
        <x:f>IF(J132="Рассчитано","Выручка "&amp;TEXT(V132,"0.00")&amp;" - себестоимость "&amp;TEXT(W132,"0.00")&amp;" - комиссия "&amp;TEXT(V132*R132/100,"0.00")&amp;" - доставка "&amp;TEXT(P132,"0.00")&amp;" - прочие "&amp;TEXT(Q132,"0.00")&amp;" = "&amp;TEXT(G132,"0.00")&amp;" "&amp;L132,"Введите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" s="23" t="n">
        <x:v>25.11168857324024</x:v>
      </x:c>
      <x:c r="AG132" s="35" t="n">
        <x:v>33</x:v>
      </x:c>
      <x:c r="AH132" s="35" t="n">
        <x:v>0</x:v>
      </x:c>
      <x:c r="AI132" s="29" t="n">
        <x:v>46266</x:v>
      </x:c>
      <x:c r="AJ132" s="35" t="n">
        <x:v>10</x:v>
      </x:c>
      <x:c r="AK132" s="11" t="str">
        <x:v>минимум</x:v>
      </x:c>
      <x:c r="AL132" s="31" t="n">
        <x:v>111.75245366035365</x:v>
      </x:c>
      <x:c r="AM132" s="12" t="str">
        <x:v>Остаток на начало сентября; Резервы неизвестны; Нет ежедневных данных доступности. Запас выше прогноза на 90 дней</x:v>
      </x:c>
      <x:c r="AN132" s="12" t="str">
        <x:v>Проверить свободный остаток и установить цену для B2B</x:v>
      </x:c>
      <x:c r="AO132" s="12" t="str">
        <x:v>Остаток 33; прогноз 90 дней 25.11; избыток 7 шт. Будущие поступления не выставляются на продажу. Остаток на начало сентября: требуется актуализация.</x:v>
      </x:c>
      <x:c r="AP132" s="12" t="str">
        <x:v>["category_missing", "daily_stockout_data_missing", "new_order_lead_time_unknown", "reservations_unknown", "stale_stock"]</x:v>
      </x:c>
      <x:c r="AQ132" s="11" t="str">
        <x:v>IEK:020100003_</x:v>
      </x:c>
      <x:c r="AR132" s="23" t="n">
        <x:v>1</x:v>
      </x:c>
      <x:c r="AS132" s="23" t="n">
        <x:v>0</x:v>
      </x:c>
      <x:c r="AT132" s="23" t="n">
        <x:v>0</x:v>
      </x:c>
    </x:row>
    <x:row r="133" ht="64" customHeight="1">
      <x:c r="A133" s="10" t="str">
        <x:v>IEK</x:v>
      </x:c>
      <x:c r="B133" s="34" t="str">
        <x:v>020100007_</x:v>
      </x:c>
      <x:c r="C133" s="34" t="str">
        <x:v>PSR02-063-4</x:v>
      </x:c>
      <x:c r="D133" s="13" t="str">
        <x:v>Переносная вилка 034 3р+ре 63А 380В IP 54 IEK</x:v>
      </x:c>
      <x:c r="E133" s="10" t="str">
        <x:v>шт</x:v>
      </x:c>
      <x:c r="F133" s="37" t="n">
        <x:f>MAX(0,ROUNDDOWN((AG133-AF133)/AR133+0.000000001,0)*AR133)</x:f>
        <x:v>30</x:v>
      </x:c>
      <x:c r="G133" s="21" t="str">
        <x:f>IF(J133="Рассчитано",V133*(1-R133/100)-W133-P133-Q133,"н/д")</x:f>
        <x:v>н/д</x:v>
      </x:c>
      <x:c r="H133" s="13" t="str">
        <x:v>Высокий</x:v>
      </x:c>
      <x:c r="I133" s="13" t="str">
        <x:v>Высокий</x:v>
      </x:c>
      <x:c r="J133" s="13" t="str">
        <x:f>IF(L133="","Укажите валюту",IF(NOT(ISNUMBER(K133)),"Укажите объём",IF(K133&lt;=0,"Укажите объём",IF(K133&gt;F133,"Объём выше излишка",IF(COUNT(M133:O133)&lt;3,"Нужны цены",IF(COUNT(P133:R133)&lt;3,"Нужны расходы",IF(OR(M133&lt;0,N133&lt;0,O133&lt;0,O133&gt;100,P133&lt;0,Q133&lt;0,R133&lt;0,R133&gt;100),"Проверьте значения","Рассчитано")))))))</x:f>
        <x:v>Нужны цены</x:v>
      </x:c>
      <x:c r="K133" s="36" t="n">
        <x:v>30</x:v>
      </x:c>
      <x:c r="L133" s="19" t="str">
        <x:v>KZT</x:v>
      </x:c>
      <x:c r="M133" s="22"/>
      <x:c r="N133" s="22"/>
      <x:c r="O133" s="28"/>
      <x:c r="P133" s="22"/>
      <x:c r="Q133" s="22"/>
      <x:c r="R133" s="28"/>
      <x:c r="S133" s="22"/>
      <x:c r="T133" s="37" t="n">
        <x:f>K133</x:f>
        <x:v>30</x:v>
      </x:c>
      <x:c r="U133" s="21" t="str">
        <x:f>IF(J133="Рассчитано",N133*(1-O133/100),"н/д")</x:f>
        <x:v>н/д</x:v>
      </x:c>
      <x:c r="V133" s="21" t="str">
        <x:f>IF(J133="Рассчитано",T133*U133,"н/д")</x:f>
        <x:v>н/д</x:v>
      </x:c>
      <x:c r="W133" s="21" t="str">
        <x:f>IF(J133="Рассчитано",T133*M133,"н/д")</x:f>
        <x:v>н/д</x:v>
      </x:c>
      <x:c r="X133" s="21" t="str">
        <x:f>IF(J133="Рассчитано",V133-W133,"н/д")</x:f>
        <x:v>н/д</x:v>
      </x:c>
      <x:c r="Y133" s="27" t="str">
        <x:f>IF(J133="Рассчитано",IF(V133&gt;0,G133/V133,"н/д"),"н/д")</x:f>
        <x:v>н/д</x:v>
      </x:c>
      <x:c r="Z133" s="21" t="str">
        <x:f>"н/д"</x:f>
        <x:v>н/д</x:v>
      </x:c>
      <x:c r="AA133" s="21" t="str">
        <x:f>"н/д"</x:f>
        <x:v>н/д</x:v>
      </x:c>
      <x:c r="AB133" s="21" t="str">
        <x:f>"н/д"</x:f>
        <x:v>н/д</x:v>
      </x:c>
      <x:c r="AC133" s="21" t="str">
        <x:f>IF(AND(J133="Рассчитано",T133&gt;0,R133&lt;100),(W133+P133+Q133)/(T133*(1-R133/100)),"н/д")</x:f>
        <x:v>н/д</x:v>
      </x:c>
      <x:c r="AD133" s="10" t="str">
        <x:f>IF(ISNUMBER(G133),IF(G133&lt;0,"Убыток",IF(G133=0,"Без прибыли","Прибыль &gt; 0")),"Не оценён")</x:f>
        <x:v>Не оценён</x:v>
      </x:c>
      <x:c r="AE133" s="13" t="str">
        <x:f>IF(J133="Рассчитано","Выручка "&amp;TEXT(V133,"0.00")&amp;" - себестоимость "&amp;TEXT(W133,"0.00")&amp;" - комиссия "&amp;TEXT(V133*R133/100,"0.00")&amp;" - доставка "&amp;TEXT(P133,"0.00")&amp;" - прочие "&amp;TEXT(Q133,"0.00")&amp;" = "&amp;TEXT(G133,"0.00")&amp;" "&amp;L133,"Введите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" s="24" t="n">
        <x:v>15.253195351017277</x:v>
      </x:c>
      <x:c r="AG133" s="37" t="n">
        <x:v>46</x:v>
      </x:c>
      <x:c r="AH133" s="37" t="n">
        <x:v>0</x:v>
      </x:c>
      <x:c r="AI133" s="30" t="n">
        <x:v>46266</x:v>
      </x:c>
      <x:c r="AJ133" s="37" t="n">
        <x:v>2</x:v>
      </x:c>
      <x:c r="AK133" s="10" t="str">
        <x:v>минимум</x:v>
      </x:c>
      <x:c r="AL133" s="32" t="n">
        <x:v>256.45787743517315</x:v>
      </x:c>
      <x:c r="AM13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33" s="13" t="str">
        <x:v>Проверить свободный остаток и установить цену для B2B</x:v>
      </x:c>
      <x:c r="AO133" s="13" t="str">
        <x:v>Остаток 46; прогноз 90 дней 15.25; избыток 30 шт. Будущие поступления не выставляются на продажу. Остаток на начало сентября: требуется актуализация.</x:v>
      </x:c>
      <x:c r="AP133" s="13" t="str">
        <x:v>["category_missing", "daily_stockout_data_missing", "negative_net_sales_clipped_for_forecast", "new_order_lead_time_unknown", "reservations_unknown", "stale_stock"]</x:v>
      </x:c>
      <x:c r="AQ133" s="10" t="str">
        <x:v>IEK:020100007_</x:v>
      </x:c>
      <x:c r="AR133" s="24" t="n">
        <x:v>1</x:v>
      </x:c>
      <x:c r="AS133" s="24" t="n">
        <x:v>0</x:v>
      </x:c>
      <x:c r="AT133" s="24" t="n">
        <x:v>0</x:v>
      </x:c>
    </x:row>
    <x:row r="134" ht="64" customHeight="1">
      <x:c r="A134" s="11" t="str">
        <x:v>IEK</x:v>
      </x:c>
      <x:c r="B134" s="33" t="str">
        <x:v>020100008_</x:v>
      </x:c>
      <x:c r="C134" s="33" t="str">
        <x:v>PSR21-016-3</x:v>
      </x:c>
      <x:c r="D134" s="12" t="str">
        <x:v>Переносная розетка  213 2р+е 16А 220В IP44 IEK</x:v>
      </x:c>
      <x:c r="E134" s="11" t="str">
        <x:v>шт</x:v>
      </x:c>
      <x:c r="F134" s="35" t="n">
        <x:f>MAX(0,ROUNDDOWN((AG134-AF134)/AR134+0.000000001,0)*AR134)</x:f>
        <x:v>5</x:v>
      </x:c>
      <x:c r="G134" s="20" t="str">
        <x:f>IF(J134="Рассчитано",V134*(1-R134/100)-W134-P134-Q134,"н/д")</x:f>
        <x:v>н/д</x:v>
      </x:c>
      <x:c r="H134" s="12" t="str">
        <x:v>Высокий</x:v>
      </x:c>
      <x:c r="I134" s="12" t="str">
        <x:v>Высокий</x:v>
      </x:c>
      <x:c r="J134" s="12" t="str">
        <x:f>IF(L134="","Укажите валюту",IF(NOT(ISNUMBER(K134)),"Укажите объём",IF(K134&lt;=0,"Укажите объём",IF(K134&gt;F134,"Объём выше излишка",IF(COUNT(M134:O134)&lt;3,"Нужны цены",IF(COUNT(P134:R134)&lt;3,"Нужны расходы",IF(OR(M134&lt;0,N134&lt;0,O134&lt;0,O134&gt;100,P134&lt;0,Q134&lt;0,R134&lt;0,R134&gt;100),"Проверьте значения","Рассчитано")))))))</x:f>
        <x:v>Нужны цены</x:v>
      </x:c>
      <x:c r="K134" s="36" t="n">
        <x:v>5</x:v>
      </x:c>
      <x:c r="L134" s="19" t="str">
        <x:v>KZT</x:v>
      </x:c>
      <x:c r="M134" s="22"/>
      <x:c r="N134" s="22"/>
      <x:c r="O134" s="28"/>
      <x:c r="P134" s="22"/>
      <x:c r="Q134" s="22"/>
      <x:c r="R134" s="28"/>
      <x:c r="S134" s="22"/>
      <x:c r="T134" s="35" t="n">
        <x:f>K134</x:f>
        <x:v>5</x:v>
      </x:c>
      <x:c r="U134" s="20" t="str">
        <x:f>IF(J134="Рассчитано",N134*(1-O134/100),"н/д")</x:f>
        <x:v>н/д</x:v>
      </x:c>
      <x:c r="V134" s="20" t="str">
        <x:f>IF(J134="Рассчитано",T134*U134,"н/д")</x:f>
        <x:v>н/д</x:v>
      </x:c>
      <x:c r="W134" s="20" t="str">
        <x:f>IF(J134="Рассчитано",T134*M134,"н/д")</x:f>
        <x:v>н/д</x:v>
      </x:c>
      <x:c r="X134" s="20" t="str">
        <x:f>IF(J134="Рассчитано",V134-W134,"н/д")</x:f>
        <x:v>н/д</x:v>
      </x:c>
      <x:c r="Y134" s="26" t="str">
        <x:f>IF(J134="Рассчитано",IF(V134&gt;0,G134/V134,"н/д"),"н/д")</x:f>
        <x:v>н/д</x:v>
      </x:c>
      <x:c r="Z134" s="20" t="str">
        <x:f>"н/д"</x:f>
        <x:v>н/д</x:v>
      </x:c>
      <x:c r="AA134" s="20" t="str">
        <x:f>"н/д"</x:f>
        <x:v>н/д</x:v>
      </x:c>
      <x:c r="AB134" s="20" t="str">
        <x:f>"н/д"</x:f>
        <x:v>н/д</x:v>
      </x:c>
      <x:c r="AC134" s="20" t="str">
        <x:f>IF(AND(J134="Рассчитано",T134&gt;0,R134&lt;100),(W134+P134+Q134)/(T134*(1-R134/100)),"н/д")</x:f>
        <x:v>н/д</x:v>
      </x:c>
      <x:c r="AD134" s="11" t="str">
        <x:f>IF(ISNUMBER(G134),IF(G134&lt;0,"Убыток",IF(G134=0,"Без прибыли","Прибыль &gt; 0")),"Не оценён")</x:f>
        <x:v>Не оценён</x:v>
      </x:c>
      <x:c r="AE134" s="12" t="str">
        <x:f>IF(J134="Рассчитано","Выручка "&amp;TEXT(V134,"0.00")&amp;" - себестоимость "&amp;TEXT(W134,"0.00")&amp;" - комиссия "&amp;TEXT(V134*R134/100,"0.00")&amp;" - доставка "&amp;TEXT(P134,"0.00")&amp;" - прочие "&amp;TEXT(Q134,"0.00")&amp;" = "&amp;TEXT(G134,"0.00")&amp;" "&amp;L134,"Введите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" s="23" t="n">
        <x:v>3.1097637025016702</x:v>
      </x:c>
      <x:c r="AG134" s="35" t="n">
        <x:v>9</x:v>
      </x:c>
      <x:c r="AH134" s="35" t="n">
        <x:v>0</x:v>
      </x:c>
      <x:c r="AI134" s="29" t="n">
        <x:v>46266</x:v>
      </x:c>
      <x:c r="AJ134" s="35" t="n">
        <x:v>10</x:v>
      </x:c>
      <x:c r="AK134" s="11" t="str">
        <x:v>минимум</x:v>
      </x:c>
      <x:c r="AL134" s="31" t="n">
        <x:v>246.11277857396965</x:v>
      </x:c>
      <x:c r="AM13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34" s="12" t="str">
        <x:v>Проверить свободный остаток и установить цену для B2B</x:v>
      </x:c>
      <x:c r="AO134" s="12" t="str">
        <x:v>Остаток 9; прогноз 90 дней 3.11; избыток 5 шт. Будущие поступления не выставляются на продажу. Остаток на начало сентября: требуется актуализация.</x:v>
      </x:c>
      <x:c r="AP134" s="12" t="str">
        <x:v>["category_missing", "daily_stockout_data_missing", "new_order_lead_time_unknown", "reservations_unknown", "stale_stock"]</x:v>
      </x:c>
      <x:c r="AQ134" s="11" t="str">
        <x:v>IEK:020100008_</x:v>
      </x:c>
      <x:c r="AR134" s="23" t="n">
        <x:v>1</x:v>
      </x:c>
      <x:c r="AS134" s="23" t="n">
        <x:v>0</x:v>
      </x:c>
      <x:c r="AT134" s="23" t="n">
        <x:v>0</x:v>
      </x:c>
    </x:row>
    <x:row r="135" ht="64" customHeight="1">
      <x:c r="A135" s="10" t="str">
        <x:v>IEK</x:v>
      </x:c>
      <x:c r="B135" s="34" t="str">
        <x:v>020100010_</x:v>
      </x:c>
      <x:c r="C135" s="34" t="str">
        <x:v>PSR22-016-5</x:v>
      </x:c>
      <x:c r="D135" s="13" t="str">
        <x:v>Переносная розетка  215 3р+ре+n 16А 380В IP44 IEK</x:v>
      </x:c>
      <x:c r="E135" s="10" t="str">
        <x:v>шт</x:v>
      </x:c>
      <x:c r="F135" s="37" t="n">
        <x:f>MAX(0,ROUNDDOWN((AG135-AF135)/AR135+0.000000001,0)*AR135)</x:f>
        <x:v>2</x:v>
      </x:c>
      <x:c r="G135" s="21" t="str">
        <x:f>IF(J135="Рассчитано",V135*(1-R135/100)-W135-P135-Q135,"н/д")</x:f>
        <x:v>н/д</x:v>
      </x:c>
      <x:c r="H135" s="13" t="str">
        <x:v>Высокий</x:v>
      </x:c>
      <x:c r="I135" s="13" t="str">
        <x:v>Средний</x:v>
      </x:c>
      <x:c r="J135" s="13" t="str">
        <x:f>IF(L135="","Укажите валюту",IF(NOT(ISNUMBER(K135)),"Укажите объём",IF(K135&lt;=0,"Укажите объём",IF(K135&gt;F135,"Объём выше излишка",IF(COUNT(M135:O135)&lt;3,"Нужны цены",IF(COUNT(P135:R135)&lt;3,"Нужны расходы",IF(OR(M135&lt;0,N135&lt;0,O135&lt;0,O135&gt;100,P135&lt;0,Q135&lt;0,R135&lt;0,R135&gt;100),"Проверьте значения","Рассчитано")))))))</x:f>
        <x:v>Нужны цены</x:v>
      </x:c>
      <x:c r="K135" s="36" t="n">
        <x:v>2</x:v>
      </x:c>
      <x:c r="L135" s="19" t="str">
        <x:v>KZT</x:v>
      </x:c>
      <x:c r="M135" s="22"/>
      <x:c r="N135" s="22"/>
      <x:c r="O135" s="28"/>
      <x:c r="P135" s="22"/>
      <x:c r="Q135" s="22"/>
      <x:c r="R135" s="28"/>
      <x:c r="S135" s="22"/>
      <x:c r="T135" s="37" t="n">
        <x:f>K135</x:f>
        <x:v>2</x:v>
      </x:c>
      <x:c r="U135" s="21" t="str">
        <x:f>IF(J135="Рассчитано",N135*(1-O135/100),"н/д")</x:f>
        <x:v>н/д</x:v>
      </x:c>
      <x:c r="V135" s="21" t="str">
        <x:f>IF(J135="Рассчитано",T135*U135,"н/д")</x:f>
        <x:v>н/д</x:v>
      </x:c>
      <x:c r="W135" s="21" t="str">
        <x:f>IF(J135="Рассчитано",T135*M135,"н/д")</x:f>
        <x:v>н/д</x:v>
      </x:c>
      <x:c r="X135" s="21" t="str">
        <x:f>IF(J135="Рассчитано",V135-W135,"н/д")</x:f>
        <x:v>н/д</x:v>
      </x:c>
      <x:c r="Y135" s="27" t="str">
        <x:f>IF(J135="Рассчитано",IF(V135&gt;0,G135/V135,"н/д"),"н/д")</x:f>
        <x:v>н/д</x:v>
      </x:c>
      <x:c r="Z135" s="21" t="str">
        <x:f>"н/д"</x:f>
        <x:v>н/д</x:v>
      </x:c>
      <x:c r="AA135" s="21" t="str">
        <x:f>"н/д"</x:f>
        <x:v>н/д</x:v>
      </x:c>
      <x:c r="AB135" s="21" t="str">
        <x:f>"н/д"</x:f>
        <x:v>н/д</x:v>
      </x:c>
      <x:c r="AC135" s="21" t="str">
        <x:f>IF(AND(J135="Рассчитано",T135&gt;0,R135&lt;100),(W135+P135+Q135)/(T135*(1-R135/100)),"н/д")</x:f>
        <x:v>н/д</x:v>
      </x:c>
      <x:c r="AD135" s="10" t="str">
        <x:f>IF(ISNUMBER(G135),IF(G135&lt;0,"Убыток",IF(G135=0,"Без прибыли","Прибыль &gt; 0")),"Не оценён")</x:f>
        <x:v>Не оценён</x:v>
      </x:c>
      <x:c r="AE135" s="13" t="str">
        <x:f>IF(J135="Рассчитано","Выручка "&amp;TEXT(V135,"0.00")&amp;" - себестоимость "&amp;TEXT(W135,"0.00")&amp;" - комиссия "&amp;TEXT(V135*R135/100,"0.00")&amp;" - доставка "&amp;TEXT(P135,"0.00")&amp;" - прочие "&amp;TEXT(Q135,"0.00")&amp;" = "&amp;TEXT(G135,"0.00")&amp;" "&amp;L135,"Введите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" s="24" t="n">
        <x:v>21.74649745925118</x:v>
      </x:c>
      <x:c r="AG135" s="37" t="n">
        <x:v>24</x:v>
      </x:c>
      <x:c r="AH135" s="37" t="n">
        <x:v>0</x:v>
      </x:c>
      <x:c r="AI135" s="30" t="n">
        <x:v>46266</x:v>
      </x:c>
      <x:c r="AJ135" s="37" t="n">
        <x:v>10</x:v>
      </x:c>
      <x:c r="AK135" s="10" t="str">
        <x:v>минимум</x:v>
      </x:c>
      <x:c r="AL135" s="32" t="n">
        <x:v>93.85144582052526</x:v>
      </x:c>
      <x:c r="AM135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135" s="13" t="str">
        <x:v>Проверить свободный остаток и установить цену для B2B</x:v>
      </x:c>
      <x:c r="AO135" s="13" t="str">
        <x:v>Остаток 24; прогноз 90 дней 21.75; избыток 2 шт. Будущие поступления не выставляются на продажу. Остаток на начало сентября: требуется актуализация.</x:v>
      </x:c>
      <x:c r="AP135" s="13" t="str">
        <x:v>["category_missing", "daily_stockout_data_missing", "new_order_lead_time_unknown", "reservations_unknown", "stale_stock", "stockout_proxy_used"]</x:v>
      </x:c>
      <x:c r="AQ135" s="10" t="str">
        <x:v>IEK:020100010_</x:v>
      </x:c>
      <x:c r="AR135" s="24" t="n">
        <x:v>1</x:v>
      </x:c>
      <x:c r="AS135" s="24" t="n">
        <x:v>0</x:v>
      </x:c>
      <x:c r="AT135" s="24" t="n">
        <x:v>0</x:v>
      </x:c>
    </x:row>
    <x:row r="136" ht="64" customHeight="1">
      <x:c r="A136" s="11" t="str">
        <x:v>IEK</x:v>
      </x:c>
      <x:c r="B136" s="33" t="str">
        <x:v>020100011_</x:v>
      </x:c>
      <x:c r="C136" s="33" t="str">
        <x:v>PSR21-032-3</x:v>
      </x:c>
      <x:c r="D136" s="12" t="str">
        <x:v>Переносная розетка  223 2р+ре 32А 220В  IEK</x:v>
      </x:c>
      <x:c r="E136" s="11" t="str">
        <x:v>шт</x:v>
      </x:c>
      <x:c r="F136" s="35" t="n">
        <x:f>MAX(0,ROUNDDOWN((AG136-AF136)/AR136+0.000000001,0)*AR136)</x:f>
        <x:v>26</x:v>
      </x:c>
      <x:c r="G136" s="20" t="str">
        <x:f>IF(J136="Рассчитано",V136*(1-R136/100)-W136-P136-Q136,"н/д")</x:f>
        <x:v>н/д</x:v>
      </x:c>
      <x:c r="H136" s="12" t="str">
        <x:v>Высокий</x:v>
      </x:c>
      <x:c r="I136" s="12" t="str">
        <x:v>Высокий</x:v>
      </x:c>
      <x:c r="J136" s="12" t="str">
        <x:f>IF(L136="","Укажите валюту",IF(NOT(ISNUMBER(K136)),"Укажите объём",IF(K136&lt;=0,"Укажите объём",IF(K136&gt;F136,"Объём выше излишка",IF(COUNT(M136:O136)&lt;3,"Нужны цены",IF(COUNT(P136:R136)&lt;3,"Нужны расходы",IF(OR(M136&lt;0,N136&lt;0,O136&lt;0,O136&gt;100,P136&lt;0,Q136&lt;0,R136&lt;0,R136&gt;100),"Проверьте значения","Рассчитано")))))))</x:f>
        <x:v>Нужны цены</x:v>
      </x:c>
      <x:c r="K136" s="36" t="n">
        <x:v>26</x:v>
      </x:c>
      <x:c r="L136" s="19" t="str">
        <x:v>KZT</x:v>
      </x:c>
      <x:c r="M136" s="22"/>
      <x:c r="N136" s="22"/>
      <x:c r="O136" s="28"/>
      <x:c r="P136" s="22"/>
      <x:c r="Q136" s="22"/>
      <x:c r="R136" s="28"/>
      <x:c r="S136" s="22"/>
      <x:c r="T136" s="35" t="n">
        <x:f>K136</x:f>
        <x:v>26</x:v>
      </x:c>
      <x:c r="U136" s="20" t="str">
        <x:f>IF(J136="Рассчитано",N136*(1-O136/100),"н/д")</x:f>
        <x:v>н/д</x:v>
      </x:c>
      <x:c r="V136" s="20" t="str">
        <x:f>IF(J136="Рассчитано",T136*U136,"н/д")</x:f>
        <x:v>н/д</x:v>
      </x:c>
      <x:c r="W136" s="20" t="str">
        <x:f>IF(J136="Рассчитано",T136*M136,"н/д")</x:f>
        <x:v>н/д</x:v>
      </x:c>
      <x:c r="X136" s="20" t="str">
        <x:f>IF(J136="Рассчитано",V136-W136,"н/д")</x:f>
        <x:v>н/д</x:v>
      </x:c>
      <x:c r="Y136" s="26" t="str">
        <x:f>IF(J136="Рассчитано",IF(V136&gt;0,G136/V136,"н/д"),"н/д")</x:f>
        <x:v>н/д</x:v>
      </x:c>
      <x:c r="Z136" s="20" t="str">
        <x:f>"н/д"</x:f>
        <x:v>н/д</x:v>
      </x:c>
      <x:c r="AA136" s="20" t="str">
        <x:f>"н/д"</x:f>
        <x:v>н/д</x:v>
      </x:c>
      <x:c r="AB136" s="20" t="str">
        <x:f>"н/д"</x:f>
        <x:v>н/д</x:v>
      </x:c>
      <x:c r="AC136" s="20" t="str">
        <x:f>IF(AND(J136="Рассчитано",T136&gt;0,R136&lt;100),(W136+P136+Q136)/(T136*(1-R136/100)),"н/д")</x:f>
        <x:v>н/д</x:v>
      </x:c>
      <x:c r="AD136" s="11" t="str">
        <x:f>IF(ISNUMBER(G136),IF(G136&lt;0,"Убыток",IF(G136=0,"Без прибыли","Прибыль &gt; 0")),"Не оценён")</x:f>
        <x:v>Не оценён</x:v>
      </x:c>
      <x:c r="AE136" s="12" t="str">
        <x:f>IF(J136="Рассчитано","Выручка "&amp;TEXT(V136,"0.00")&amp;" - себестоимость "&amp;TEXT(W136,"0.00")&amp;" - комиссия "&amp;TEXT(V136*R136/100,"0.00")&amp;" - доставка "&amp;TEXT(P136,"0.00")&amp;" - прочие "&amp;TEXT(Q136,"0.00")&amp;" = "&amp;TEXT(G136,"0.00")&amp;" "&amp;L136,"Введите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" s="23" t="n">
        <x:v>7.580784288471437</x:v>
      </x:c>
      <x:c r="AG136" s="35" t="n">
        <x:v>34</x:v>
      </x:c>
      <x:c r="AH136" s="35" t="n">
        <x:v>0</x:v>
      </x:c>
      <x:c r="AI136" s="29" t="n">
        <x:v>46266</x:v>
      </x:c>
      <x:c r="AJ136" s="35" t="n">
        <x:v>10</x:v>
      </x:c>
      <x:c r="AK136" s="11" t="str">
        <x:v>минимум</x:v>
      </x:c>
      <x:c r="AL136" s="31" t="n">
        <x:v>381.4027519792923</x:v>
      </x:c>
      <x:c r="AM13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36" s="12" t="str">
        <x:v>Проверить свободный остаток и установить цену для B2B</x:v>
      </x:c>
      <x:c r="AO136" s="12" t="str">
        <x:v>Остаток 34; прогноз 90 дней 7.58; избыток 26 шт. Будущие поступления не выставляются на продажу. Остаток на начало сентября: требуется актуализация.</x:v>
      </x:c>
      <x:c r="AP136" s="12" t="str">
        <x:v>["category_missing", "daily_stockout_data_missing", "new_order_lead_time_unknown", "reservations_unknown", "stale_stock"]</x:v>
      </x:c>
      <x:c r="AQ136" s="11" t="str">
        <x:v>IEK:020100011_</x:v>
      </x:c>
      <x:c r="AR136" s="23" t="n">
        <x:v>1</x:v>
      </x:c>
      <x:c r="AS136" s="23" t="n">
        <x:v>0</x:v>
      </x:c>
      <x:c r="AT136" s="23" t="n">
        <x:v>0</x:v>
      </x:c>
    </x:row>
    <x:row r="137" ht="64" customHeight="1">
      <x:c r="A137" s="10" t="str">
        <x:v>IEK</x:v>
      </x:c>
      <x:c r="B137" s="34" t="str">
        <x:v>020100013_</x:v>
      </x:c>
      <x:c r="C137" s="34" t="str">
        <x:v>PSR22-032-5</x:v>
      </x:c>
      <x:c r="D137" s="13" t="str">
        <x:v>Переносная розетка  225 3р+ре+n 32А 380В IEK</x:v>
      </x:c>
      <x:c r="E137" s="10" t="str">
        <x:v>шт</x:v>
      </x:c>
      <x:c r="F137" s="37" t="n">
        <x:f>MAX(0,ROUNDDOWN((AG137-AF137)/AR137+0.000000001,0)*AR137)</x:f>
        <x:v>28</x:v>
      </x:c>
      <x:c r="G137" s="21" t="str">
        <x:f>IF(J137="Рассчитано",V137*(1-R137/100)-W137-P137-Q137,"н/д")</x:f>
        <x:v>н/д</x:v>
      </x:c>
      <x:c r="H137" s="13" t="str">
        <x:v>Высокий</x:v>
      </x:c>
      <x:c r="I137" s="13" t="str">
        <x:v>Средний</x:v>
      </x:c>
      <x:c r="J137" s="13" t="str">
        <x:f>IF(L137="","Укажите валюту",IF(NOT(ISNUMBER(K137)),"Укажите объём",IF(K137&lt;=0,"Укажите объём",IF(K137&gt;F137,"Объём выше излишка",IF(COUNT(M137:O137)&lt;3,"Нужны цены",IF(COUNT(P137:R137)&lt;3,"Нужны расходы",IF(OR(M137&lt;0,N137&lt;0,O137&lt;0,O137&gt;100,P137&lt;0,Q137&lt;0,R137&lt;0,R137&gt;100),"Проверьте значения","Рассчитано")))))))</x:f>
        <x:v>Нужны цены</x:v>
      </x:c>
      <x:c r="K137" s="36" t="n">
        <x:v>28</x:v>
      </x:c>
      <x:c r="L137" s="19" t="str">
        <x:v>KZT</x:v>
      </x:c>
      <x:c r="M137" s="22"/>
      <x:c r="N137" s="22"/>
      <x:c r="O137" s="28"/>
      <x:c r="P137" s="22"/>
      <x:c r="Q137" s="22"/>
      <x:c r="R137" s="28"/>
      <x:c r="S137" s="22"/>
      <x:c r="T137" s="37" t="n">
        <x:f>K137</x:f>
        <x:v>28</x:v>
      </x:c>
      <x:c r="U137" s="21" t="str">
        <x:f>IF(J137="Рассчитано",N137*(1-O137/100),"н/д")</x:f>
        <x:v>н/д</x:v>
      </x:c>
      <x:c r="V137" s="21" t="str">
        <x:f>IF(J137="Рассчитано",T137*U137,"н/д")</x:f>
        <x:v>н/д</x:v>
      </x:c>
      <x:c r="W137" s="21" t="str">
        <x:f>IF(J137="Рассчитано",T137*M137,"н/д")</x:f>
        <x:v>н/д</x:v>
      </x:c>
      <x:c r="X137" s="21" t="str">
        <x:f>IF(J137="Рассчитано",V137-W137,"н/д")</x:f>
        <x:v>н/д</x:v>
      </x:c>
      <x:c r="Y137" s="27" t="str">
        <x:f>IF(J137="Рассчитано",IF(V137&gt;0,G137/V137,"н/д"),"н/д")</x:f>
        <x:v>н/д</x:v>
      </x:c>
      <x:c r="Z137" s="21" t="str">
        <x:f>"н/д"</x:f>
        <x:v>н/д</x:v>
      </x:c>
      <x:c r="AA137" s="21" t="str">
        <x:f>"н/д"</x:f>
        <x:v>н/д</x:v>
      </x:c>
      <x:c r="AB137" s="21" t="str">
        <x:f>"н/д"</x:f>
        <x:v>н/д</x:v>
      </x:c>
      <x:c r="AC137" s="21" t="str">
        <x:f>IF(AND(J137="Рассчитано",T137&gt;0,R137&lt;100),(W137+P137+Q137)/(T137*(1-R137/100)),"н/д")</x:f>
        <x:v>н/д</x:v>
      </x:c>
      <x:c r="AD137" s="10" t="str">
        <x:f>IF(ISNUMBER(G137),IF(G137&lt;0,"Убыток",IF(G137=0,"Без прибыли","Прибыль &gt; 0")),"Не оценён")</x:f>
        <x:v>Не оценён</x:v>
      </x:c>
      <x:c r="AE137" s="13" t="str">
        <x:f>IF(J137="Рассчитано","Выручка "&amp;TEXT(V137,"0.00")&amp;" - себестоимость "&amp;TEXT(W137,"0.00")&amp;" - комиссия "&amp;TEXT(V137*R137/100,"0.00")&amp;" - доставка "&amp;TEXT(P137,"0.00")&amp;" - прочие "&amp;TEXT(Q137,"0.00")&amp;" = "&amp;TEXT(G137,"0.00")&amp;" "&amp;L137,"Введите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" s="24" t="n">
        <x:v>74.12895546450318</x:v>
      </x:c>
      <x:c r="AG137" s="37" t="n">
        <x:v>103</x:v>
      </x:c>
      <x:c r="AH137" s="37" t="n">
        <x:v>0</x:v>
      </x:c>
      <x:c r="AI137" s="30" t="n">
        <x:v>46266</x:v>
      </x:c>
      <x:c r="AJ137" s="37" t="n">
        <x:v>10</x:v>
      </x:c>
      <x:c r="AK137" s="10" t="str">
        <x:v>минимум</x:v>
      </x:c>
      <x:c r="AL137" s="32" t="n">
        <x:v>118.15943028790657</x:v>
      </x:c>
      <x:c r="AM137" s="13" t="str">
        <x:v>Остаток на начало сентября; Резервы неизвестны; Нет ежедневных данных доступности. Запас выше прогноза на 90 дней</x:v>
      </x:c>
      <x:c r="AN137" s="13" t="str">
        <x:v>Проверить свободный остаток и установить цену для B2B</x:v>
      </x:c>
      <x:c r="AO137" s="13" t="str">
        <x:v>Остаток 103; прогноз 90 дней 74.13; избыток 28 шт. Будущие поступления не выставляются на продажу. Остаток на начало сентября: требуется актуализация.</x:v>
      </x:c>
      <x:c r="AP137" s="13" t="str">
        <x:v>["category_missing", "daily_stockout_data_missing", "large_orders_detected", "new_order_lead_time_unknown", "reservations_unknown", "stale_stock"]</x:v>
      </x:c>
      <x:c r="AQ137" s="10" t="str">
        <x:v>IEK:020100013_</x:v>
      </x:c>
      <x:c r="AR137" s="24" t="n">
        <x:v>1</x:v>
      </x:c>
      <x:c r="AS137" s="24" t="n">
        <x:v>0</x:v>
      </x:c>
      <x:c r="AT137" s="24" t="n">
        <x:v>0</x:v>
      </x:c>
    </x:row>
    <x:row r="138" ht="64" customHeight="1">
      <x:c r="A138" s="11" t="str">
        <x:v>IEK</x:v>
      </x:c>
      <x:c r="B138" s="33" t="str">
        <x:v>020100015_</x:v>
      </x:c>
      <x:c r="C138" s="33" t="str">
        <x:v>PSR11-016-3</x:v>
      </x:c>
      <x:c r="D138" s="12" t="str">
        <x:v>Стационарная розетка  113 2р+ре 16А 220В IP44 IEK</x:v>
      </x:c>
      <x:c r="E138" s="11" t="str">
        <x:v>шт</x:v>
      </x:c>
      <x:c r="F138" s="35" t="n">
        <x:f>MAX(0,ROUNDDOWN((AG138-AF138)/AR138+0.000000001,0)*AR138)</x:f>
        <x:v>14</x:v>
      </x:c>
      <x:c r="G138" s="20" t="str">
        <x:f>IF(J138="Рассчитано",V138*(1-R138/100)-W138-P138-Q138,"н/д")</x:f>
        <x:v>н/д</x:v>
      </x:c>
      <x:c r="H138" s="12" t="str">
        <x:v>Высокий</x:v>
      </x:c>
      <x:c r="I138" s="12" t="str">
        <x:v>Средний</x:v>
      </x:c>
      <x:c r="J138" s="12" t="str">
        <x:f>IF(L138="","Укажите валюту",IF(NOT(ISNUMBER(K138)),"Укажите объём",IF(K138&lt;=0,"Укажите объём",IF(K138&gt;F138,"Объём выше излишка",IF(COUNT(M138:O138)&lt;3,"Нужны цены",IF(COUNT(P138:R138)&lt;3,"Нужны расходы",IF(OR(M138&lt;0,N138&lt;0,O138&lt;0,O138&gt;100,P138&lt;0,Q138&lt;0,R138&lt;0,R138&gt;100),"Проверьте значения","Рассчитано")))))))</x:f>
        <x:v>Нужны цены</x:v>
      </x:c>
      <x:c r="K138" s="36" t="n">
        <x:v>14</x:v>
      </x:c>
      <x:c r="L138" s="19" t="str">
        <x:v>KZT</x:v>
      </x:c>
      <x:c r="M138" s="22"/>
      <x:c r="N138" s="22"/>
      <x:c r="O138" s="28"/>
      <x:c r="P138" s="22"/>
      <x:c r="Q138" s="22"/>
      <x:c r="R138" s="28"/>
      <x:c r="S138" s="22"/>
      <x:c r="T138" s="35" t="n">
        <x:f>K138</x:f>
        <x:v>14</x:v>
      </x:c>
      <x:c r="U138" s="20" t="str">
        <x:f>IF(J138="Рассчитано",N138*(1-O138/100),"н/д")</x:f>
        <x:v>н/д</x:v>
      </x:c>
      <x:c r="V138" s="20" t="str">
        <x:f>IF(J138="Рассчитано",T138*U138,"н/д")</x:f>
        <x:v>н/д</x:v>
      </x:c>
      <x:c r="W138" s="20" t="str">
        <x:f>IF(J138="Рассчитано",T138*M138,"н/д")</x:f>
        <x:v>н/д</x:v>
      </x:c>
      <x:c r="X138" s="20" t="str">
        <x:f>IF(J138="Рассчитано",V138-W138,"н/д")</x:f>
        <x:v>н/д</x:v>
      </x:c>
      <x:c r="Y138" s="26" t="str">
        <x:f>IF(J138="Рассчитано",IF(V138&gt;0,G138/V138,"н/д"),"н/д")</x:f>
        <x:v>н/д</x:v>
      </x:c>
      <x:c r="Z138" s="20" t="str">
        <x:f>"н/д"</x:f>
        <x:v>н/д</x:v>
      </x:c>
      <x:c r="AA138" s="20" t="str">
        <x:f>"н/д"</x:f>
        <x:v>н/д</x:v>
      </x:c>
      <x:c r="AB138" s="20" t="str">
        <x:f>"н/д"</x:f>
        <x:v>н/д</x:v>
      </x:c>
      <x:c r="AC138" s="20" t="str">
        <x:f>IF(AND(J138="Рассчитано",T138&gt;0,R138&lt;100),(W138+P138+Q138)/(T138*(1-R138/100)),"н/д")</x:f>
        <x:v>н/д</x:v>
      </x:c>
      <x:c r="AD138" s="11" t="str">
        <x:f>IF(ISNUMBER(G138),IF(G138&lt;0,"Убыток",IF(G138=0,"Без прибыли","Прибыль &gt; 0")),"Не оценён")</x:f>
        <x:v>Не оценён</x:v>
      </x:c>
      <x:c r="AE138" s="12" t="str">
        <x:f>IF(J138="Рассчитано","Выручка "&amp;TEXT(V138,"0.00")&amp;" - себестоимость "&amp;TEXT(W138,"0.00")&amp;" - комиссия "&amp;TEXT(V138*R138/100,"0.00")&amp;" - доставка "&amp;TEXT(P138,"0.00")&amp;" - прочие "&amp;TEXT(Q138,"0.00")&amp;" = "&amp;TEXT(G138,"0.00")&amp;" "&amp;L138,"Введите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" s="23" t="n">
        <x:v>16.33097544741168</x:v>
      </x:c>
      <x:c r="AG138" s="35" t="n">
        <x:v>31</x:v>
      </x:c>
      <x:c r="AH138" s="35" t="n">
        <x:v>0</x:v>
      </x:c>
      <x:c r="AI138" s="29" t="n">
        <x:v>46266</x:v>
      </x:c>
      <x:c r="AJ138" s="35" t="n">
        <x:v>10</x:v>
      </x:c>
      <x:c r="AK138" s="11" t="str">
        <x:v>минимум</x:v>
      </x:c>
      <x:c r="AL138" s="31" t="n">
        <x:v>161.424188638519</x:v>
      </x:c>
      <x:c r="AM138" s="12" t="str">
        <x:v>Остаток на начало сентября; Резервы неизвестны; Нет ежедневных данных доступности. Запас выше прогноза на 90 дней</x:v>
      </x:c>
      <x:c r="AN138" s="12" t="str">
        <x:v>Проверить свободный остаток и установить цену для B2B</x:v>
      </x:c>
      <x:c r="AO138" s="12" t="str">
        <x:v>Остаток 31; прогноз 90 дней 16.33; избыток 14 шт. Будущие поступления не выставляются на продажу. Остаток на начало сентября: требуется актуализация.</x:v>
      </x:c>
      <x:c r="AP138" s="12" t="str">
        <x:v>["category_missing", "daily_stockout_data_missing", "new_order_lead_time_unknown", "reservations_unknown", "stale_stock"]</x:v>
      </x:c>
      <x:c r="AQ138" s="11" t="str">
        <x:v>IEK:020100015_</x:v>
      </x:c>
      <x:c r="AR138" s="23" t="n">
        <x:v>1</x:v>
      </x:c>
      <x:c r="AS138" s="23" t="n">
        <x:v>0</x:v>
      </x:c>
      <x:c r="AT138" s="23" t="n">
        <x:v>0</x:v>
      </x:c>
    </x:row>
    <x:row r="139" ht="64" customHeight="1">
      <x:c r="A139" s="10" t="str">
        <x:v>IEK</x:v>
      </x:c>
      <x:c r="B139" s="34" t="str">
        <x:v>020100017_</x:v>
      </x:c>
      <x:c r="C139" s="34" t="str">
        <x:v>PSR12-016-4</x:v>
      </x:c>
      <x:c r="D139" s="13" t="str">
        <x:v>Стационарная розетка  114 3р+е 16А 380В IP 44 IEK</x:v>
      </x:c>
      <x:c r="E139" s="10" t="str">
        <x:v>шт</x:v>
      </x:c>
      <x:c r="F139" s="37" t="n">
        <x:f>MAX(0,ROUNDDOWN((AG139-AF139)/AR139+0.000000001,0)*AR139)</x:f>
        <x:v>7</x:v>
      </x:c>
      <x:c r="G139" s="21" t="str">
        <x:f>IF(J139="Рассчитано",V139*(1-R139/100)-W139-P139-Q139,"н/д")</x:f>
        <x:v>н/д</x:v>
      </x:c>
      <x:c r="H139" s="13" t="str">
        <x:v>Высокий</x:v>
      </x:c>
      <x:c r="I139" s="13" t="str">
        <x:v>Средний</x:v>
      </x:c>
      <x:c r="J139" s="13" t="str">
        <x:f>IF(L139="","Укажите валюту",IF(NOT(ISNUMBER(K139)),"Укажите объём",IF(K139&lt;=0,"Укажите объём",IF(K139&gt;F139,"Объём выше излишка",IF(COUNT(M139:O139)&lt;3,"Нужны цены",IF(COUNT(P139:R139)&lt;3,"Нужны расходы",IF(OR(M139&lt;0,N139&lt;0,O139&lt;0,O139&gt;100,P139&lt;0,Q139&lt;0,R139&lt;0,R139&gt;100),"Проверьте значения","Рассчитано")))))))</x:f>
        <x:v>Нужны цены</x:v>
      </x:c>
      <x:c r="K139" s="36" t="n">
        <x:v>7</x:v>
      </x:c>
      <x:c r="L139" s="19" t="str">
        <x:v>KZT</x:v>
      </x:c>
      <x:c r="M139" s="22"/>
      <x:c r="N139" s="22"/>
      <x:c r="O139" s="28"/>
      <x:c r="P139" s="22"/>
      <x:c r="Q139" s="22"/>
      <x:c r="R139" s="28"/>
      <x:c r="S139" s="22"/>
      <x:c r="T139" s="37" t="n">
        <x:f>K139</x:f>
        <x:v>7</x:v>
      </x:c>
      <x:c r="U139" s="21" t="str">
        <x:f>IF(J139="Рассчитано",N139*(1-O139/100),"н/д")</x:f>
        <x:v>н/д</x:v>
      </x:c>
      <x:c r="V139" s="21" t="str">
        <x:f>IF(J139="Рассчитано",T139*U139,"н/д")</x:f>
        <x:v>н/д</x:v>
      </x:c>
      <x:c r="W139" s="21" t="str">
        <x:f>IF(J139="Рассчитано",T139*M139,"н/д")</x:f>
        <x:v>н/д</x:v>
      </x:c>
      <x:c r="X139" s="21" t="str">
        <x:f>IF(J139="Рассчитано",V139-W139,"н/д")</x:f>
        <x:v>н/д</x:v>
      </x:c>
      <x:c r="Y139" s="27" t="str">
        <x:f>IF(J139="Рассчитано",IF(V139&gt;0,G139/V139,"н/д"),"н/д")</x:f>
        <x:v>н/д</x:v>
      </x:c>
      <x:c r="Z139" s="21" t="str">
        <x:f>"н/д"</x:f>
        <x:v>н/д</x:v>
      </x:c>
      <x:c r="AA139" s="21" t="str">
        <x:f>"н/д"</x:f>
        <x:v>н/д</x:v>
      </x:c>
      <x:c r="AB139" s="21" t="str">
        <x:f>"н/д"</x:f>
        <x:v>н/д</x:v>
      </x:c>
      <x:c r="AC139" s="21" t="str">
        <x:f>IF(AND(J139="Рассчитано",T139&gt;0,R139&lt;100),(W139+P139+Q139)/(T139*(1-R139/100)),"н/д")</x:f>
        <x:v>н/д</x:v>
      </x:c>
      <x:c r="AD139" s="10" t="str">
        <x:f>IF(ISNUMBER(G139),IF(G139&lt;0,"Убыток",IF(G139=0,"Без прибыли","Прибыль &gt; 0")),"Не оценён")</x:f>
        <x:v>Не оценён</x:v>
      </x:c>
      <x:c r="AE139" s="13" t="str">
        <x:f>IF(J139="Рассчитано","Выручка "&amp;TEXT(V139,"0.00")&amp;" - себестоимость "&amp;TEXT(W139,"0.00")&amp;" - комиссия "&amp;TEXT(V139*R139/100,"0.00")&amp;" - доставка "&amp;TEXT(P139,"0.00")&amp;" - прочие "&amp;TEXT(Q139,"0.00")&amp;" = "&amp;TEXT(G139,"0.00")&amp;" "&amp;L139,"Введите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" s="24" t="n">
        <x:v>8.352564074661164</x:v>
      </x:c>
      <x:c r="AG139" s="37" t="n">
        <x:v>16</x:v>
      </x:c>
      <x:c r="AH139" s="37" t="n">
        <x:v>0</x:v>
      </x:c>
      <x:c r="AI139" s="30" t="n">
        <x:v>46266</x:v>
      </x:c>
      <x:c r="AJ139" s="37" t="n">
        <x:v>10</x:v>
      </x:c>
      <x:c r="AK139" s="10" t="str">
        <x:v>минимум</x:v>
      </x:c>
      <x:c r="AL139" s="32" t="n">
        <x:v>162.8992973366996</x:v>
      </x:c>
      <x:c r="AM139" s="13" t="str">
        <x:v>Остаток на начало сентября; Резервы неизвестны; Нет ежедневных данных доступности. Запас выше прогноза на 90 дней</x:v>
      </x:c>
      <x:c r="AN139" s="13" t="str">
        <x:v>Проверить свободный остаток и установить цену для B2B</x:v>
      </x:c>
      <x:c r="AO139" s="13" t="str">
        <x:v>Остаток 16; прогноз 90 дней 8.35; избыток 7 шт. Будущие поступления не выставляются на продажу. Остаток на начало сентября: требуется актуализация.</x:v>
      </x:c>
      <x:c r="AP139" s="13" t="str">
        <x:v>["category_missing", "daily_stockout_data_missing", "new_order_lead_time_unknown", "reservations_unknown", "stale_stock"]</x:v>
      </x:c>
      <x:c r="AQ139" s="10" t="str">
        <x:v>IEK:020100017_</x:v>
      </x:c>
      <x:c r="AR139" s="24" t="n">
        <x:v>1</x:v>
      </x:c>
      <x:c r="AS139" s="24" t="n">
        <x:v>0</x:v>
      </x:c>
      <x:c r="AT139" s="24" t="n">
        <x:v>0</x:v>
      </x:c>
    </x:row>
    <x:row r="140" ht="64" customHeight="1">
      <x:c r="A140" s="11" t="str">
        <x:v>IEK</x:v>
      </x:c>
      <x:c r="B140" s="33" t="str">
        <x:v>020100018_</x:v>
      </x:c>
      <x:c r="C140" s="33" t="str">
        <x:v>PSR12-016-5</x:v>
      </x:c>
      <x:c r="D140" s="12" t="str">
        <x:v>Стационарная розетка  115 3р+ре+n 16А 380В IP 44 IEK</x:v>
      </x:c>
      <x:c r="E140" s="11" t="str">
        <x:v>шт</x:v>
      </x:c>
      <x:c r="F140" s="35" t="n">
        <x:f>MAX(0,ROUNDDOWN((AG140-AF140)/AR140+0.000000001,0)*AR140)</x:f>
        <x:v>11</x:v>
      </x:c>
      <x:c r="G140" s="20" t="str">
        <x:f>IF(J140="Рассчитано",V140*(1-R140/100)-W140-P140-Q140,"н/д")</x:f>
        <x:v>н/д</x:v>
      </x:c>
      <x:c r="H140" s="12" t="str">
        <x:v>Высокий</x:v>
      </x:c>
      <x:c r="I140" s="12" t="str">
        <x:v>Высокий</x:v>
      </x:c>
      <x:c r="J140" s="12" t="str">
        <x:f>IF(L140="","Укажите валюту",IF(NOT(ISNUMBER(K140)),"Укажите объём",IF(K140&lt;=0,"Укажите объём",IF(K140&gt;F140,"Объём выше излишка",IF(COUNT(M140:O140)&lt;3,"Нужны цены",IF(COUNT(P140:R140)&lt;3,"Нужны расходы",IF(OR(M140&lt;0,N140&lt;0,O140&lt;0,O140&gt;100,P140&lt;0,Q140&lt;0,R140&lt;0,R140&gt;100),"Проверьте значения","Рассчитано")))))))</x:f>
        <x:v>Нужны цены</x:v>
      </x:c>
      <x:c r="K140" s="36" t="n">
        <x:v>11</x:v>
      </x:c>
      <x:c r="L140" s="19" t="str">
        <x:v>KZT</x:v>
      </x:c>
      <x:c r="M140" s="22"/>
      <x:c r="N140" s="22"/>
      <x:c r="O140" s="28"/>
      <x:c r="P140" s="22"/>
      <x:c r="Q140" s="22"/>
      <x:c r="R140" s="28"/>
      <x:c r="S140" s="22"/>
      <x:c r="T140" s="35" t="n">
        <x:f>K140</x:f>
        <x:v>11</x:v>
      </x:c>
      <x:c r="U140" s="20" t="str">
        <x:f>IF(J140="Рассчитано",N140*(1-O140/100),"н/д")</x:f>
        <x:v>н/д</x:v>
      </x:c>
      <x:c r="V140" s="20" t="str">
        <x:f>IF(J140="Рассчитано",T140*U140,"н/д")</x:f>
        <x:v>н/д</x:v>
      </x:c>
      <x:c r="W140" s="20" t="str">
        <x:f>IF(J140="Рассчитано",T140*M140,"н/д")</x:f>
        <x:v>н/д</x:v>
      </x:c>
      <x:c r="X140" s="20" t="str">
        <x:f>IF(J140="Рассчитано",V140-W140,"н/д")</x:f>
        <x:v>н/д</x:v>
      </x:c>
      <x:c r="Y140" s="26" t="str">
        <x:f>IF(J140="Рассчитано",IF(V140&gt;0,G140/V140,"н/д"),"н/д")</x:f>
        <x:v>н/д</x:v>
      </x:c>
      <x:c r="Z140" s="20" t="str">
        <x:f>"н/д"</x:f>
        <x:v>н/д</x:v>
      </x:c>
      <x:c r="AA140" s="20" t="str">
        <x:f>"н/д"</x:f>
        <x:v>н/д</x:v>
      </x:c>
      <x:c r="AB140" s="20" t="str">
        <x:f>"н/д"</x:f>
        <x:v>н/д</x:v>
      </x:c>
      <x:c r="AC140" s="20" t="str">
        <x:f>IF(AND(J140="Рассчитано",T140&gt;0,R140&lt;100),(W140+P140+Q140)/(T140*(1-R140/100)),"н/д")</x:f>
        <x:v>н/д</x:v>
      </x:c>
      <x:c r="AD140" s="11" t="str">
        <x:f>IF(ISNUMBER(G140),IF(G140&lt;0,"Убыток",IF(G140=0,"Без прибыли","Прибыль &gt; 0")),"Не оценён")</x:f>
        <x:v>Не оценён</x:v>
      </x:c>
      <x:c r="AE140" s="12" t="str">
        <x:f>IF(J140="Рассчитано","Выручка "&amp;TEXT(V140,"0.00")&amp;" - себестоимость "&amp;TEXT(W140,"0.00")&amp;" - комиссия "&amp;TEXT(V140*R140/100,"0.00")&amp;" - доставка "&amp;TEXT(P140,"0.00")&amp;" - прочие "&amp;TEXT(Q140,"0.00")&amp;" = "&amp;TEXT(G140,"0.00")&amp;" "&amp;L140,"Введите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" s="23" t="n">
        <x:v>8.209223183746962</x:v>
      </x:c>
      <x:c r="AG140" s="35" t="n">
        <x:v>20</x:v>
      </x:c>
      <x:c r="AH140" s="35" t="n">
        <x:v>0</x:v>
      </x:c>
      <x:c r="AI140" s="29" t="n">
        <x:v>46266</x:v>
      </x:c>
      <x:c r="AJ140" s="35" t="n">
        <x:v>10</x:v>
      </x:c>
      <x:c r="AK140" s="11" t="str">
        <x:v>минимум</x:v>
      </x:c>
      <x:c r="AL140" s="31" t="n">
        <x:v>207.1795936514289</x:v>
      </x:c>
      <x:c r="AM14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40" s="12" t="str">
        <x:v>Проверить свободный остаток и установить цену для B2B</x:v>
      </x:c>
      <x:c r="AO140" s="12" t="str">
        <x:v>Остаток 20; прогноз 90 дней 8.21; избыток 11 шт. Будущие поступления не выставляются на продажу. Остаток на начало сентября: требуется актуализация.</x:v>
      </x:c>
      <x:c r="AP140" s="12" t="str">
        <x:v>["category_missing", "daily_stockout_data_missing", "new_order_lead_time_unknown", "reservations_unknown", "stale_stock"]</x:v>
      </x:c>
      <x:c r="AQ140" s="11" t="str">
        <x:v>IEK:020100018_</x:v>
      </x:c>
      <x:c r="AR140" s="23" t="n">
        <x:v>1</x:v>
      </x:c>
      <x:c r="AS140" s="23" t="n">
        <x:v>0</x:v>
      </x:c>
      <x:c r="AT140" s="23" t="n">
        <x:v>0</x:v>
      </x:c>
    </x:row>
    <x:row r="141" ht="64" customHeight="1">
      <x:c r="A141" s="10" t="str">
        <x:v>IEK</x:v>
      </x:c>
      <x:c r="B141" s="34" t="str">
        <x:v>020100019_</x:v>
      </x:c>
      <x:c r="C141" s="34" t="str">
        <x:v>PSR11-032-3</x:v>
      </x:c>
      <x:c r="D141" s="13" t="str">
        <x:v>Стационарная розетка  123 2р+е 32А 220В IP44 IEK</x:v>
      </x:c>
      <x:c r="E141" s="10" t="str">
        <x:v>шт</x:v>
      </x:c>
      <x:c r="F141" s="37" t="n">
        <x:f>MAX(0,ROUNDDOWN((AG141-AF141)/AR141+0.000000001,0)*AR141)</x:f>
        <x:v>22</x:v>
      </x:c>
      <x:c r="G141" s="21" t="str">
        <x:f>IF(J141="Рассчитано",V141*(1-R141/100)-W141-P141-Q141,"н/д")</x:f>
        <x:v>н/д</x:v>
      </x:c>
      <x:c r="H141" s="13" t="str">
        <x:v>Высокий</x:v>
      </x:c>
      <x:c r="I141" s="13" t="str">
        <x:v>Средний</x:v>
      </x:c>
      <x:c r="J141" s="13" t="str">
        <x:f>IF(L141="","Укажите валюту",IF(NOT(ISNUMBER(K141)),"Укажите объём",IF(K141&lt;=0,"Укажите объём",IF(K141&gt;F141,"Объём выше излишка",IF(COUNT(M141:O141)&lt;3,"Нужны цены",IF(COUNT(P141:R141)&lt;3,"Нужны расходы",IF(OR(M141&lt;0,N141&lt;0,O141&lt;0,O141&gt;100,P141&lt;0,Q141&lt;0,R141&lt;0,R141&gt;100),"Проверьте значения","Рассчитано")))))))</x:f>
        <x:v>Нужны цены</x:v>
      </x:c>
      <x:c r="K141" s="36" t="n">
        <x:v>22</x:v>
      </x:c>
      <x:c r="L141" s="19" t="str">
        <x:v>KZT</x:v>
      </x:c>
      <x:c r="M141" s="22"/>
      <x:c r="N141" s="22"/>
      <x:c r="O141" s="28"/>
      <x:c r="P141" s="22"/>
      <x:c r="Q141" s="22"/>
      <x:c r="R141" s="28"/>
      <x:c r="S141" s="22"/>
      <x:c r="T141" s="37" t="n">
        <x:f>K141</x:f>
        <x:v>22</x:v>
      </x:c>
      <x:c r="U141" s="21" t="str">
        <x:f>IF(J141="Рассчитано",N141*(1-O141/100),"н/д")</x:f>
        <x:v>н/д</x:v>
      </x:c>
      <x:c r="V141" s="21" t="str">
        <x:f>IF(J141="Рассчитано",T141*U141,"н/д")</x:f>
        <x:v>н/д</x:v>
      </x:c>
      <x:c r="W141" s="21" t="str">
        <x:f>IF(J141="Рассчитано",T141*M141,"н/д")</x:f>
        <x:v>н/д</x:v>
      </x:c>
      <x:c r="X141" s="21" t="str">
        <x:f>IF(J141="Рассчитано",V141-W141,"н/д")</x:f>
        <x:v>н/д</x:v>
      </x:c>
      <x:c r="Y141" s="27" t="str">
        <x:f>IF(J141="Рассчитано",IF(V141&gt;0,G141/V141,"н/д"),"н/д")</x:f>
        <x:v>н/д</x:v>
      </x:c>
      <x:c r="Z141" s="21" t="str">
        <x:f>"н/д"</x:f>
        <x:v>н/д</x:v>
      </x:c>
      <x:c r="AA141" s="21" t="str">
        <x:f>"н/д"</x:f>
        <x:v>н/д</x:v>
      </x:c>
      <x:c r="AB141" s="21" t="str">
        <x:f>"н/д"</x:f>
        <x:v>н/д</x:v>
      </x:c>
      <x:c r="AC141" s="21" t="str">
        <x:f>IF(AND(J141="Рассчитано",T141&gt;0,R141&lt;100),(W141+P141+Q141)/(T141*(1-R141/100)),"н/д")</x:f>
        <x:v>н/д</x:v>
      </x:c>
      <x:c r="AD141" s="10" t="str">
        <x:f>IF(ISNUMBER(G141),IF(G141&lt;0,"Убыток",IF(G141=0,"Без прибыли","Прибыль &gt; 0")),"Не оценён")</x:f>
        <x:v>Не оценён</x:v>
      </x:c>
      <x:c r="AE141" s="13" t="str">
        <x:f>IF(J141="Рассчитано","Выручка "&amp;TEXT(V141,"0.00")&amp;" - себестоимость "&amp;TEXT(W141,"0.00")&amp;" - комиссия "&amp;TEXT(V141*R141/100,"0.00")&amp;" - доставка "&amp;TEXT(P141,"0.00")&amp;" - прочие "&amp;TEXT(Q141,"0.00")&amp;" = "&amp;TEXT(G141,"0.00")&amp;" "&amp;L141,"Введите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" s="24" t="n">
        <x:v>34.597440694242714</x:v>
      </x:c>
      <x:c r="AG141" s="37" t="n">
        <x:v>57</x:v>
      </x:c>
      <x:c r="AH141" s="37" t="n">
        <x:v>0</x:v>
      </x:c>
      <x:c r="AI141" s="30" t="n">
        <x:v>46266</x:v>
      </x:c>
      <x:c r="AJ141" s="37" t="n">
        <x:v>10</x:v>
      </x:c>
      <x:c r="AK141" s="10" t="str">
        <x:v>минимум</x:v>
      </x:c>
      <x:c r="AL141" s="32" t="n">
        <x:v>140.10380376210813</x:v>
      </x:c>
      <x:c r="AM141" s="13" t="str">
        <x:v>Остаток на начало сентября; Резервы неизвестны; Нет ежедневных данных доступности. Запас выше прогноза на 90 дней</x:v>
      </x:c>
      <x:c r="AN141" s="13" t="str">
        <x:v>Проверить свободный остаток и установить цену для B2B</x:v>
      </x:c>
      <x:c r="AO141" s="13" t="str">
        <x:v>Остаток 57; прогноз 90 дней 34.60; избыток 22 шт. Будущие поступления не выставляются на продажу. Остаток на начало сентября: требуется актуализация.</x:v>
      </x:c>
      <x:c r="AP141" s="13" t="str">
        <x:v>["category_missing", "daily_stockout_data_missing", "negative_net_sales_clipped_for_forecast", "new_order_lead_time_unknown", "reservations_unknown", "stale_stock"]</x:v>
      </x:c>
      <x:c r="AQ141" s="10" t="str">
        <x:v>IEK:020100019_</x:v>
      </x:c>
      <x:c r="AR141" s="24" t="n">
        <x:v>1</x:v>
      </x:c>
      <x:c r="AS141" s="24" t="n">
        <x:v>0</x:v>
      </x:c>
      <x:c r="AT141" s="24" t="n">
        <x:v>0</x:v>
      </x:c>
    </x:row>
    <x:row r="142" ht="64" customHeight="1">
      <x:c r="A142" s="11" t="str">
        <x:v>IEK</x:v>
      </x:c>
      <x:c r="B142" s="33" t="str">
        <x:v>020100023_</x:v>
      </x:c>
      <x:c r="C142" s="33" t="str">
        <x:v>PSR42-016-4</x:v>
      </x:c>
      <x:c r="D142" s="12" t="str">
        <x:v>Стационарная розетка  414 скрытая 3р+ре 16А 380В IP44 IEK</x:v>
      </x:c>
      <x:c r="E142" s="11" t="str">
        <x:v>шт</x:v>
      </x:c>
      <x:c r="F142" s="35" t="n">
        <x:f>MAX(0,ROUNDDOWN((AG142-AF142)/AR142+0.000000001,0)*AR142)</x:f>
        <x:v>7</x:v>
      </x:c>
      <x:c r="G142" s="20" t="str">
        <x:f>IF(J142="Рассчитано",V142*(1-R142/100)-W142-P142-Q142,"н/д")</x:f>
        <x:v>н/д</x:v>
      </x:c>
      <x:c r="H142" s="12" t="str">
        <x:v>Высокий</x:v>
      </x:c>
      <x:c r="I142" s="12" t="str">
        <x:v>Высокий</x:v>
      </x:c>
      <x:c r="J142" s="12" t="str">
        <x:f>IF(L142="","Укажите валюту",IF(NOT(ISNUMBER(K142)),"Укажите объём",IF(K142&lt;=0,"Укажите объём",IF(K142&gt;F142,"Объём выше излишка",IF(COUNT(M142:O142)&lt;3,"Нужны цены",IF(COUNT(P142:R142)&lt;3,"Нужны расходы",IF(OR(M142&lt;0,N142&lt;0,O142&lt;0,O142&gt;100,P142&lt;0,Q142&lt;0,R142&lt;0,R142&gt;100),"Проверьте значения","Рассчитано")))))))</x:f>
        <x:v>Нужны цены</x:v>
      </x:c>
      <x:c r="K142" s="36" t="n">
        <x:v>7</x:v>
      </x:c>
      <x:c r="L142" s="19" t="str">
        <x:v>KZT</x:v>
      </x:c>
      <x:c r="M142" s="22"/>
      <x:c r="N142" s="22"/>
      <x:c r="O142" s="28"/>
      <x:c r="P142" s="22"/>
      <x:c r="Q142" s="22"/>
      <x:c r="R142" s="28"/>
      <x:c r="S142" s="22"/>
      <x:c r="T142" s="35" t="n">
        <x:f>K142</x:f>
        <x:v>7</x:v>
      </x:c>
      <x:c r="U142" s="20" t="str">
        <x:f>IF(J142="Рассчитано",N142*(1-O142/100),"н/д")</x:f>
        <x:v>н/д</x:v>
      </x:c>
      <x:c r="V142" s="20" t="str">
        <x:f>IF(J142="Рассчитано",T142*U142,"н/д")</x:f>
        <x:v>н/д</x:v>
      </x:c>
      <x:c r="W142" s="20" t="str">
        <x:f>IF(J142="Рассчитано",T142*M142,"н/д")</x:f>
        <x:v>н/д</x:v>
      </x:c>
      <x:c r="X142" s="20" t="str">
        <x:f>IF(J142="Рассчитано",V142-W142,"н/д")</x:f>
        <x:v>н/д</x:v>
      </x:c>
      <x:c r="Y142" s="26" t="str">
        <x:f>IF(J142="Рассчитано",IF(V142&gt;0,G142/V142,"н/д"),"н/д")</x:f>
        <x:v>н/д</x:v>
      </x:c>
      <x:c r="Z142" s="20" t="str">
        <x:f>"н/д"</x:f>
        <x:v>н/д</x:v>
      </x:c>
      <x:c r="AA142" s="20" t="str">
        <x:f>"н/д"</x:f>
        <x:v>н/д</x:v>
      </x:c>
      <x:c r="AB142" s="20" t="str">
        <x:f>"н/д"</x:f>
        <x:v>н/д</x:v>
      </x:c>
      <x:c r="AC142" s="20" t="str">
        <x:f>IF(AND(J142="Рассчитано",T142&gt;0,R142&lt;100),(W142+P142+Q142)/(T142*(1-R142/100)),"н/д")</x:f>
        <x:v>н/д</x:v>
      </x:c>
      <x:c r="AD142" s="11" t="str">
        <x:f>IF(ISNUMBER(G142),IF(G142&lt;0,"Убыток",IF(G142=0,"Без прибыли","Прибыль &gt; 0")),"Не оценён")</x:f>
        <x:v>Не оценён</x:v>
      </x:c>
      <x:c r="AE142" s="12" t="str">
        <x:f>IF(J142="Рассчитано","Выручка "&amp;TEXT(V142,"0.00")&amp;" - себестоимость "&amp;TEXT(W142,"0.00")&amp;" - комиссия "&amp;TEXT(V142*R142/100,"0.00")&amp;" - доставка "&amp;TEXT(P142,"0.00")&amp;" - прочие "&amp;TEXT(Q142,"0.00")&amp;" = "&amp;TEXT(G142,"0.00")&amp;" "&amp;L142,"Введите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" s="23" t="n">
        <x:v>0.1688218302959816</x:v>
      </x:c>
      <x:c r="AG142" s="35" t="n">
        <x:v>8</x:v>
      </x:c>
      <x:c r="AH142" s="35" t="n">
        <x:v>0</x:v>
      </x:c>
      <x:c r="AI142" s="29" t="n">
        <x:v>46266</x:v>
      </x:c>
      <x:c r="AJ142" s="35" t="n">
        <x:v>10</x:v>
      </x:c>
      <x:c r="AK142" s="11" t="str">
        <x:v>минимум</x:v>
      </x:c>
      <x:c r="AL142" s="31" t="n">
        <x:v>4029.7715536450155</x:v>
      </x:c>
      <x:c r="AM14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42" s="12" t="str">
        <x:v>Проверить свободный остаток и установить цену для B2B</x:v>
      </x:c>
      <x:c r="AO142" s="12" t="str">
        <x:v>Остаток 8; прогноз 90 дней 0.17; избыток 7 шт. Будущие поступления не выставляются на продажу. Остаток на начало сентября: требуется актуализация.</x:v>
      </x:c>
      <x:c r="AP142" s="12" t="str">
        <x:v>["category_missing", "daily_stockout_data_missing", "new_order_lead_time_unknown", "reservations_unknown", "stale_stock"]</x:v>
      </x:c>
      <x:c r="AQ142" s="11" t="str">
        <x:v>IEK:020100023_</x:v>
      </x:c>
      <x:c r="AR142" s="23" t="n">
        <x:v>1</x:v>
      </x:c>
      <x:c r="AS142" s="23" t="n">
        <x:v>0</x:v>
      </x:c>
      <x:c r="AT142" s="23" t="n">
        <x:v>0</x:v>
      </x:c>
    </x:row>
    <x:row r="143" ht="64" customHeight="1">
      <x:c r="A143" s="10" t="str">
        <x:v>IEK</x:v>
      </x:c>
      <x:c r="B143" s="34" t="str">
        <x:v>020100044_</x:v>
      </x:c>
      <x:c r="C143" s="34" t="str">
        <x:v>PSR02-063-5</x:v>
      </x:c>
      <x:c r="D143" s="13" t="str">
        <x:v>Переносная вилка 035 3р+ре+n63А 380В IP 54 IEK</x:v>
      </x:c>
      <x:c r="E143" s="10" t="str">
        <x:v>шт</x:v>
      </x:c>
      <x:c r="F143" s="37" t="n">
        <x:f>MAX(0,ROUNDDOWN((AG143-AF143)/AR143+0.000000001,0)*AR143)</x:f>
        <x:v>12</x:v>
      </x:c>
      <x:c r="G143" s="21" t="str">
        <x:f>IF(J143="Рассчитано",V143*(1-R143/100)-W143-P143-Q143,"н/д")</x:f>
        <x:v>н/д</x:v>
      </x:c>
      <x:c r="H143" s="13" t="str">
        <x:v>Высокий</x:v>
      </x:c>
      <x:c r="I143" s="13" t="str">
        <x:v>Высокий</x:v>
      </x:c>
      <x:c r="J143" s="13" t="str">
        <x:f>IF(L143="","Укажите валюту",IF(NOT(ISNUMBER(K143)),"Укажите объём",IF(K143&lt;=0,"Укажите объём",IF(K143&gt;F143,"Объём выше излишка",IF(COUNT(M143:O143)&lt;3,"Нужны цены",IF(COUNT(P143:R143)&lt;3,"Нужны расходы",IF(OR(M143&lt;0,N143&lt;0,O143&lt;0,O143&gt;100,P143&lt;0,Q143&lt;0,R143&lt;0,R143&gt;100),"Проверьте значения","Рассчитано")))))))</x:f>
        <x:v>Нужны цены</x:v>
      </x:c>
      <x:c r="K143" s="36" t="n">
        <x:v>12</x:v>
      </x:c>
      <x:c r="L143" s="19" t="str">
        <x:v>KZT</x:v>
      </x:c>
      <x:c r="M143" s="22"/>
      <x:c r="N143" s="22"/>
      <x:c r="O143" s="28"/>
      <x:c r="P143" s="22"/>
      <x:c r="Q143" s="22"/>
      <x:c r="R143" s="28"/>
      <x:c r="S143" s="22"/>
      <x:c r="T143" s="37" t="n">
        <x:f>K143</x:f>
        <x:v>12</x:v>
      </x:c>
      <x:c r="U143" s="21" t="str">
        <x:f>IF(J143="Рассчитано",N143*(1-O143/100),"н/д")</x:f>
        <x:v>н/д</x:v>
      </x:c>
      <x:c r="V143" s="21" t="str">
        <x:f>IF(J143="Рассчитано",T143*U143,"н/д")</x:f>
        <x:v>н/д</x:v>
      </x:c>
      <x:c r="W143" s="21" t="str">
        <x:f>IF(J143="Рассчитано",T143*M143,"н/д")</x:f>
        <x:v>н/д</x:v>
      </x:c>
      <x:c r="X143" s="21" t="str">
        <x:f>IF(J143="Рассчитано",V143-W143,"н/д")</x:f>
        <x:v>н/д</x:v>
      </x:c>
      <x:c r="Y143" s="27" t="str">
        <x:f>IF(J143="Рассчитано",IF(V143&gt;0,G143/V143,"н/д"),"н/д")</x:f>
        <x:v>н/д</x:v>
      </x:c>
      <x:c r="Z143" s="21" t="str">
        <x:f>"н/д"</x:f>
        <x:v>н/д</x:v>
      </x:c>
      <x:c r="AA143" s="21" t="str">
        <x:f>"н/д"</x:f>
        <x:v>н/д</x:v>
      </x:c>
      <x:c r="AB143" s="21" t="str">
        <x:f>"н/д"</x:f>
        <x:v>н/д</x:v>
      </x:c>
      <x:c r="AC143" s="21" t="str">
        <x:f>IF(AND(J143="Рассчитано",T143&gt;0,R143&lt;100),(W143+P143+Q143)/(T143*(1-R143/100)),"н/д")</x:f>
        <x:v>н/д</x:v>
      </x:c>
      <x:c r="AD143" s="10" t="str">
        <x:f>IF(ISNUMBER(G143),IF(G143&lt;0,"Убыток",IF(G143=0,"Без прибыли","Прибыль &gt; 0")),"Не оценён")</x:f>
        <x:v>Не оценён</x:v>
      </x:c>
      <x:c r="AE143" s="13" t="str">
        <x:f>IF(J143="Рассчитано","Выручка "&amp;TEXT(V143,"0.00")&amp;" - себестоимость "&amp;TEXT(W143,"0.00")&amp;" - комиссия "&amp;TEXT(V143*R143/100,"0.00")&amp;" - доставка "&amp;TEXT(P143,"0.00")&amp;" - прочие "&amp;TEXT(Q143,"0.00")&amp;" = "&amp;TEXT(G143,"0.00")&amp;" "&amp;L143,"Введите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" s="24" t="n">
        <x:v>5.867806379097172</x:v>
      </x:c>
      <x:c r="AG143" s="37" t="n">
        <x:v>18</x:v>
      </x:c>
      <x:c r="AH143" s="37" t="n">
        <x:v>0</x:v>
      </x:c>
      <x:c r="AI143" s="30" t="n">
        <x:v>46266</x:v>
      </x:c>
      <x:c r="AJ143" s="37" t="n">
        <x:v>2</x:v>
      </x:c>
      <x:c r="AK143" s="10" t="str">
        <x:v>минимум</x:v>
      </x:c>
      <x:c r="AL143" s="32" t="n">
        <x:v>260.86497613744365</x:v>
      </x:c>
      <x:c r="AM14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43" s="13" t="str">
        <x:v>Проверить свободный остаток и установить цену для B2B</x:v>
      </x:c>
      <x:c r="AO143" s="13" t="str">
        <x:v>Остаток 18; прогноз 90 дней 5.87; избыток 12 шт. Будущие поступления не выставляются на продажу. Остаток на начало сентября: требуется актуализация.</x:v>
      </x:c>
      <x:c r="AP143" s="13" t="str">
        <x:v>["category_missing", "daily_stockout_data_missing", "new_order_lead_time_unknown", "reservations_unknown", "stale_stock"]</x:v>
      </x:c>
      <x:c r="AQ143" s="10" t="str">
        <x:v>IEK:020100044_</x:v>
      </x:c>
      <x:c r="AR143" s="24" t="n">
        <x:v>1</x:v>
      </x:c>
      <x:c r="AS143" s="24" t="n">
        <x:v>0</x:v>
      </x:c>
      <x:c r="AT143" s="24" t="n">
        <x:v>0</x:v>
      </x:c>
    </x:row>
    <x:row r="144" ht="64" customHeight="1">
      <x:c r="A144" s="11" t="str">
        <x:v>IEK</x:v>
      </x:c>
      <x:c r="B144" s="33" t="str">
        <x:v>020100045_</x:v>
      </x:c>
      <x:c r="C144" s="33" t="str">
        <x:v>PSR12-063-5</x:v>
      </x:c>
      <x:c r="D144" s="12" t="str">
        <x:v>Стационарная розетка  135 3р+ре+n 63А 380В IP 54 IEK</x:v>
      </x:c>
      <x:c r="E144" s="11" t="str">
        <x:v>шт</x:v>
      </x:c>
      <x:c r="F144" s="35" t="n">
        <x:f>MAX(0,ROUNDDOWN((AG144-AF144)/AR144+0.000000001,0)*AR144)</x:f>
        <x:v>8</x:v>
      </x:c>
      <x:c r="G144" s="20" t="str">
        <x:f>IF(J144="Рассчитано",V144*(1-R144/100)-W144-P144-Q144,"н/д")</x:f>
        <x:v>н/д</x:v>
      </x:c>
      <x:c r="H144" s="12" t="str">
        <x:v>Высокий</x:v>
      </x:c>
      <x:c r="I144" s="12" t="str">
        <x:v>Высокий</x:v>
      </x:c>
      <x:c r="J144" s="12" t="str">
        <x:f>IF(L144="","Укажите валюту",IF(NOT(ISNUMBER(K144)),"Укажите объём",IF(K144&lt;=0,"Укажите объём",IF(K144&gt;F144,"Объём выше излишка",IF(COUNT(M144:O144)&lt;3,"Нужны цены",IF(COUNT(P144:R144)&lt;3,"Нужны расходы",IF(OR(M144&lt;0,N144&lt;0,O144&lt;0,O144&gt;100,P144&lt;0,Q144&lt;0,R144&lt;0,R144&gt;100),"Проверьте значения","Рассчитано")))))))</x:f>
        <x:v>Нужны цены</x:v>
      </x:c>
      <x:c r="K144" s="36" t="n">
        <x:v>8</x:v>
      </x:c>
      <x:c r="L144" s="19" t="str">
        <x:v>KZT</x:v>
      </x:c>
      <x:c r="M144" s="22"/>
      <x:c r="N144" s="22"/>
      <x:c r="O144" s="28"/>
      <x:c r="P144" s="22"/>
      <x:c r="Q144" s="22"/>
      <x:c r="R144" s="28"/>
      <x:c r="S144" s="22"/>
      <x:c r="T144" s="35" t="n">
        <x:f>K144</x:f>
        <x:v>8</x:v>
      </x:c>
      <x:c r="U144" s="20" t="str">
        <x:f>IF(J144="Рассчитано",N144*(1-O144/100),"н/д")</x:f>
        <x:v>н/д</x:v>
      </x:c>
      <x:c r="V144" s="20" t="str">
        <x:f>IF(J144="Рассчитано",T144*U144,"н/д")</x:f>
        <x:v>н/д</x:v>
      </x:c>
      <x:c r="W144" s="20" t="str">
        <x:f>IF(J144="Рассчитано",T144*M144,"н/д")</x:f>
        <x:v>н/д</x:v>
      </x:c>
      <x:c r="X144" s="20" t="str">
        <x:f>IF(J144="Рассчитано",V144-W144,"н/д")</x:f>
        <x:v>н/д</x:v>
      </x:c>
      <x:c r="Y144" s="26" t="str">
        <x:f>IF(J144="Рассчитано",IF(V144&gt;0,G144/V144,"н/д"),"н/д")</x:f>
        <x:v>н/д</x:v>
      </x:c>
      <x:c r="Z144" s="20" t="str">
        <x:f>"н/д"</x:f>
        <x:v>н/д</x:v>
      </x:c>
      <x:c r="AA144" s="20" t="str">
        <x:f>"н/д"</x:f>
        <x:v>н/д</x:v>
      </x:c>
      <x:c r="AB144" s="20" t="str">
        <x:f>"н/д"</x:f>
        <x:v>н/д</x:v>
      </x:c>
      <x:c r="AC144" s="20" t="str">
        <x:f>IF(AND(J144="Рассчитано",T144&gt;0,R144&lt;100),(W144+P144+Q144)/(T144*(1-R144/100)),"н/д")</x:f>
        <x:v>н/д</x:v>
      </x:c>
      <x:c r="AD144" s="11" t="str">
        <x:f>IF(ISNUMBER(G144),IF(G144&lt;0,"Убыток",IF(G144=0,"Без прибыли","Прибыль &gt; 0")),"Не оценён")</x:f>
        <x:v>Не оценён</x:v>
      </x:c>
      <x:c r="AE144" s="12" t="str">
        <x:f>IF(J144="Рассчитано","Выручка "&amp;TEXT(V144,"0.00")&amp;" - себестоимость "&amp;TEXT(W144,"0.00")&amp;" - комиссия "&amp;TEXT(V144*R144/100,"0.00")&amp;" - доставка "&amp;TEXT(P144,"0.00")&amp;" - прочие "&amp;TEXT(Q144,"0.00")&amp;" = "&amp;TEXT(G144,"0.00")&amp;" "&amp;L144,"Введите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" s="23" t="n">
        <x:v>6.461401221346306</x:v>
      </x:c>
      <x:c r="AG144" s="35" t="n">
        <x:v>15</x:v>
      </x:c>
      <x:c r="AH144" s="35" t="n">
        <x:v>0</x:v>
      </x:c>
      <x:c r="AI144" s="29" t="n">
        <x:v>46266</x:v>
      </x:c>
      <x:c r="AJ144" s="35" t="n">
        <x:v>2</x:v>
      </x:c>
      <x:c r="AK144" s="11" t="str">
        <x:v>минимум</x:v>
      </x:c>
      <x:c r="AL144" s="31" t="n">
        <x:v>197.41656629181634</x:v>
      </x:c>
      <x:c r="AM14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44" s="12" t="str">
        <x:v>Проверить свободный остаток и установить цену для B2B</x:v>
      </x:c>
      <x:c r="AO144" s="12" t="str">
        <x:v>Остаток 15; прогноз 90 дней 6.46; избыток 8 шт. Будущие поступления не выставляются на продажу. Остаток на начало сентября: требуется актуализация.</x:v>
      </x:c>
      <x:c r="AP144" s="12" t="str">
        <x:v>["category_missing", "daily_stockout_data_missing", "large_orders_detected", "new_order_lead_time_unknown", "reservations_unknown", "stale_stock"]</x:v>
      </x:c>
      <x:c r="AQ144" s="11" t="str">
        <x:v>IEK:020100045_</x:v>
      </x:c>
      <x:c r="AR144" s="23" t="n">
        <x:v>1</x:v>
      </x:c>
      <x:c r="AS144" s="23" t="n">
        <x:v>0</x:v>
      </x:c>
      <x:c r="AT144" s="23" t="n">
        <x:v>0</x:v>
      </x:c>
    </x:row>
    <x:row r="145" ht="64" customHeight="1">
      <x:c r="A145" s="10" t="str">
        <x:v>IEK</x:v>
      </x:c>
      <x:c r="B145" s="34" t="str">
        <x:v>020300150_</x:v>
      </x:c>
      <x:c r="C145" s="34"/>
      <x:c r="D145" s="13" t="str">
        <x:v>Распред. блок на DIN-рейку РБД-500А IEK</x:v>
      </x:c>
      <x:c r="E145" s="10" t="str">
        <x:v>шт</x:v>
      </x:c>
      <x:c r="F145" s="37" t="n">
        <x:f>MAX(0,ROUNDDOWN((AG145-AF145)/AR145+0.000000001,0)*AR145)</x:f>
        <x:v>29</x:v>
      </x:c>
      <x:c r="G145" s="21" t="str">
        <x:f>IF(J145="Рассчитано",V145*(1-R145/100)-W145-P145-Q145,"н/д")</x:f>
        <x:v>н/д</x:v>
      </x:c>
      <x:c r="H145" s="13" t="str">
        <x:v>Высокий</x:v>
      </x:c>
      <x:c r="I145" s="13" t="str">
        <x:v>Высокий</x:v>
      </x:c>
      <x:c r="J145" s="13" t="str">
        <x:f>IF(L145="","Укажите валюту",IF(NOT(ISNUMBER(K145)),"Укажите объём",IF(K145&lt;=0,"Укажите объём",IF(K145&gt;F145,"Объём выше излишка",IF(COUNT(M145:O145)&lt;3,"Нужны цены",IF(COUNT(P145:R145)&lt;3,"Нужны расходы",IF(OR(M145&lt;0,N145&lt;0,O145&lt;0,O145&gt;100,P145&lt;0,Q145&lt;0,R145&lt;0,R145&gt;100),"Проверьте значения","Рассчитано")))))))</x:f>
        <x:v>Нужны цены</x:v>
      </x:c>
      <x:c r="K145" s="36" t="n">
        <x:v>29</x:v>
      </x:c>
      <x:c r="L145" s="19" t="str">
        <x:v>KZT</x:v>
      </x:c>
      <x:c r="M145" s="22"/>
      <x:c r="N145" s="22"/>
      <x:c r="O145" s="28"/>
      <x:c r="P145" s="22"/>
      <x:c r="Q145" s="22"/>
      <x:c r="R145" s="28"/>
      <x:c r="S145" s="22"/>
      <x:c r="T145" s="37" t="n">
        <x:f>K145</x:f>
        <x:v>29</x:v>
      </x:c>
      <x:c r="U145" s="21" t="str">
        <x:f>IF(J145="Рассчитано",N145*(1-O145/100),"н/д")</x:f>
        <x:v>н/д</x:v>
      </x:c>
      <x:c r="V145" s="21" t="str">
        <x:f>IF(J145="Рассчитано",T145*U145,"н/д")</x:f>
        <x:v>н/д</x:v>
      </x:c>
      <x:c r="W145" s="21" t="str">
        <x:f>IF(J145="Рассчитано",T145*M145,"н/д")</x:f>
        <x:v>н/д</x:v>
      </x:c>
      <x:c r="X145" s="21" t="str">
        <x:f>IF(J145="Рассчитано",V145-W145,"н/д")</x:f>
        <x:v>н/д</x:v>
      </x:c>
      <x:c r="Y145" s="27" t="str">
        <x:f>IF(J145="Рассчитано",IF(V145&gt;0,G145/V145,"н/д"),"н/д")</x:f>
        <x:v>н/д</x:v>
      </x:c>
      <x:c r="Z145" s="21" t="str">
        <x:f>"н/д"</x:f>
        <x:v>н/д</x:v>
      </x:c>
      <x:c r="AA145" s="21" t="str">
        <x:f>"н/д"</x:f>
        <x:v>н/д</x:v>
      </x:c>
      <x:c r="AB145" s="21" t="str">
        <x:f>"н/д"</x:f>
        <x:v>н/д</x:v>
      </x:c>
      <x:c r="AC145" s="21" t="str">
        <x:f>IF(AND(J145="Рассчитано",T145&gt;0,R145&lt;100),(W145+P145+Q145)/(T145*(1-R145/100)),"н/д")</x:f>
        <x:v>н/д</x:v>
      </x:c>
      <x:c r="AD145" s="10" t="str">
        <x:f>IF(ISNUMBER(G145),IF(G145&lt;0,"Убыток",IF(G145=0,"Без прибыли","Прибыль &gt; 0")),"Не оценён")</x:f>
        <x:v>Не оценён</x:v>
      </x:c>
      <x:c r="AE145" s="13" t="str">
        <x:f>IF(J145="Рассчитано","Выручка "&amp;TEXT(V145,"0.00")&amp;" - себестоимость "&amp;TEXT(W145,"0.00")&amp;" - комиссия "&amp;TEXT(V145*R145/100,"0.00")&amp;" - доставка "&amp;TEXT(P145,"0.00")&amp;" - прочие "&amp;TEXT(Q145,"0.00")&amp;" = "&amp;TEXT(G145,"0.00")&amp;" "&amp;L145,"Введите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" s="24" t="n">
        <x:v>2.004489899141567</x:v>
      </x:c>
      <x:c r="AG145" s="37" t="n">
        <x:v>32</x:v>
      </x:c>
      <x:c r="AH145" s="37" t="n">
        <x:v>0</x:v>
      </x:c>
      <x:c r="AI145" s="30" t="n">
        <x:v>46266</x:v>
      </x:c>
      <x:c r="AJ145" s="37"/>
      <x:c r="AK145" s="10" t="str">
        <x:v>неизвестно</x:v>
      </x:c>
      <x:c r="AL145" s="32" t="n">
        <x:v>1357.5791220547055</x:v>
      </x:c>
      <x:c r="AM145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45" s="13" t="str">
        <x:v>Проверить свободный остаток и установить цену для B2B</x:v>
      </x:c>
      <x:c r="AO145" s="13" t="str">
        <x:v>Остаток 32; прогноз 90 дней 2.00; избыток 29 шт. Будущие поступления не выставляются на продажу. Остаток на начало сентября: требуется актуализация.</x:v>
      </x:c>
      <x:c r="AP145" s="13" t="str">
        <x:v>["category_missing", "daily_stockout_data_missing", "moq_missing", "new_order_lead_time_unknown", "reservations_unknown", "stale_stock", "supplier_sku_missing"]</x:v>
      </x:c>
      <x:c r="AQ145" s="10" t="str">
        <x:v>IEK:020300150_</x:v>
      </x:c>
      <x:c r="AR145" s="24" t="n">
        <x:v>1</x:v>
      </x:c>
      <x:c r="AS145" s="24" t="n">
        <x:v>0</x:v>
      </x:c>
      <x:c r="AT145" s="24" t="n">
        <x:v>0</x:v>
      </x:c>
    </x:row>
    <x:row r="146" ht="64" customHeight="1">
      <x:c r="A146" s="11" t="str">
        <x:v>IEK</x:v>
      </x:c>
      <x:c r="B146" s="33" t="str">
        <x:v>030200406_</x:v>
      </x:c>
      <x:c r="C146" s="33" t="str">
        <x:v>BR-R14-16-K47</x:v>
      </x:c>
      <x:c r="D146" s="12" t="str">
        <x:v>Роз. с з/к/ш 16А б/рамки "BRITE" алюминий (1/100)</x:v>
      </x:c>
      <x:c r="E146" s="11" t="str">
        <x:v>шт</x:v>
      </x:c>
      <x:c r="F146" s="35" t="n">
        <x:f>MAX(0,ROUNDDOWN((AG146-AF146)/AR146+0.000000001,0)*AR146)</x:f>
        <x:v>40</x:v>
      </x:c>
      <x:c r="G146" s="20" t="str">
        <x:f>IF(J146="Рассчитано",V146*(1-R146/100)-W146-P146-Q146,"н/д")</x:f>
        <x:v>н/д</x:v>
      </x:c>
      <x:c r="H146" s="12" t="str">
        <x:v>Высокий</x:v>
      </x:c>
      <x:c r="I146" s="12" t="str">
        <x:v>Средний</x:v>
      </x:c>
      <x:c r="J146" s="12" t="str">
        <x:f>IF(L146="","Укажите валюту",IF(NOT(ISNUMBER(K146)),"Укажите объём",IF(K146&lt;=0,"Укажите объём",IF(K146&gt;F146,"Объём выше излишка",IF(COUNT(M146:O146)&lt;3,"Нужны цены",IF(COUNT(P146:R146)&lt;3,"Нужны расходы",IF(OR(M146&lt;0,N146&lt;0,O146&lt;0,O146&gt;100,P146&lt;0,Q146&lt;0,R146&lt;0,R146&gt;100),"Проверьте значения","Рассчитано")))))))</x:f>
        <x:v>Нужны цены</x:v>
      </x:c>
      <x:c r="K146" s="36" t="n">
        <x:v>40</x:v>
      </x:c>
      <x:c r="L146" s="19" t="str">
        <x:v>KZT</x:v>
      </x:c>
      <x:c r="M146" s="22"/>
      <x:c r="N146" s="22"/>
      <x:c r="O146" s="28"/>
      <x:c r="P146" s="22"/>
      <x:c r="Q146" s="22"/>
      <x:c r="R146" s="28"/>
      <x:c r="S146" s="22"/>
      <x:c r="T146" s="35" t="n">
        <x:f>K146</x:f>
        <x:v>40</x:v>
      </x:c>
      <x:c r="U146" s="20" t="str">
        <x:f>IF(J146="Рассчитано",N146*(1-O146/100),"н/д")</x:f>
        <x:v>н/д</x:v>
      </x:c>
      <x:c r="V146" s="20" t="str">
        <x:f>IF(J146="Рассчитано",T146*U146,"н/д")</x:f>
        <x:v>н/д</x:v>
      </x:c>
      <x:c r="W146" s="20" t="str">
        <x:f>IF(J146="Рассчитано",T146*M146,"н/д")</x:f>
        <x:v>н/д</x:v>
      </x:c>
      <x:c r="X146" s="20" t="str">
        <x:f>IF(J146="Рассчитано",V146-W146,"н/д")</x:f>
        <x:v>н/д</x:v>
      </x:c>
      <x:c r="Y146" s="26" t="str">
        <x:f>IF(J146="Рассчитано",IF(V146&gt;0,G146/V146,"н/д"),"н/д")</x:f>
        <x:v>н/д</x:v>
      </x:c>
      <x:c r="Z146" s="20" t="str">
        <x:f>"н/д"</x:f>
        <x:v>н/д</x:v>
      </x:c>
      <x:c r="AA146" s="20" t="str">
        <x:f>"н/д"</x:f>
        <x:v>н/д</x:v>
      </x:c>
      <x:c r="AB146" s="20" t="str">
        <x:f>"н/д"</x:f>
        <x:v>н/д</x:v>
      </x:c>
      <x:c r="AC146" s="20" t="str">
        <x:f>IF(AND(J146="Рассчитано",T146&gt;0,R146&lt;100),(W146+P146+Q146)/(T146*(1-R146/100)),"н/д")</x:f>
        <x:v>н/д</x:v>
      </x:c>
      <x:c r="AD146" s="11" t="str">
        <x:f>IF(ISNUMBER(G146),IF(G146&lt;0,"Убыток",IF(G146=0,"Без прибыли","Прибыль &gt; 0")),"Не оценён")</x:f>
        <x:v>Не оценён</x:v>
      </x:c>
      <x:c r="AE146" s="12" t="str">
        <x:f>IF(J146="Рассчитано","Выручка "&amp;TEXT(V146,"0.00")&amp;" - себестоимость "&amp;TEXT(W146,"0.00")&amp;" - комиссия "&amp;TEXT(V146*R146/100,"0.00")&amp;" - доставка "&amp;TEXT(P146,"0.00")&amp;" - прочие "&amp;TEXT(Q146,"0.00")&amp;" = "&amp;TEXT(G146,"0.00")&amp;" "&amp;L146,"Введите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" s="23" t="n">
        <x:v>715.2778479915349</x:v>
      </x:c>
      <x:c r="AG146" s="35" t="n">
        <x:v>756</x:v>
      </x:c>
      <x:c r="AH146" s="35" t="n">
        <x:v>0</x:v>
      </x:c>
      <x:c r="AI146" s="29" t="n">
        <x:v>46266</x:v>
      </x:c>
      <x:c r="AJ146" s="35" t="n">
        <x:v>1</x:v>
      </x:c>
      <x:c r="AK146" s="11" t="str">
        <x:v>минимум</x:v>
      </x:c>
      <x:c r="AL146" s="31" t="n">
        <x:v>89.88062102739471</x:v>
      </x:c>
      <x:c r="AM146" s="12" t="str">
        <x:v>Остаток на начало сентября; Резервы неизвестны; Нет ежедневных данных доступности. Запас выше прогноза на 90 дней</x:v>
      </x:c>
      <x:c r="AN146" s="12" t="str">
        <x:v>Проверить свободный остаток и установить цену для B2B</x:v>
      </x:c>
      <x:c r="AO146" s="12" t="str">
        <x:v>Остаток 756; прогноз 90 дней 715.28; избыток 40 шт. Будущие поступления не выставляются на продажу. Остаток на начало сентября: требуется актуализация.</x:v>
      </x:c>
      <x:c r="AP146" s="12" t="str">
        <x:v>["category_missing", "daily_stockout_data_missing", "large_orders_detected", "new_order_lead_time_unknown", "reservations_unknown", "stale_stock"]</x:v>
      </x:c>
      <x:c r="AQ146" s="11" t="str">
        <x:v>IEK:030200406_</x:v>
      </x:c>
      <x:c r="AR146" s="23" t="n">
        <x:v>1</x:v>
      </x:c>
      <x:c r="AS146" s="23" t="n">
        <x:v>0</x:v>
      </x:c>
      <x:c r="AT146" s="23" t="n">
        <x:v>0</x:v>
      </x:c>
    </x:row>
    <x:row r="147" ht="64" customHeight="1">
      <x:c r="A147" s="10" t="str">
        <x:v>IEK</x:v>
      </x:c>
      <x:c r="B147" s="34" t="str">
        <x:v>030200409_</x:v>
      </x:c>
      <x:c r="C147" s="34" t="str">
        <x:v>BR-V20-0-10-K47</x:v>
      </x:c>
      <x:c r="D147" s="13" t="str">
        <x:v>Выкл 2-кл. 10А б/рамки "BRITE" алюминий (1/100)</x:v>
      </x:c>
      <x:c r="E147" s="10" t="str">
        <x:v>шт</x:v>
      </x:c>
      <x:c r="F147" s="37" t="n">
        <x:f>MAX(0,ROUNDDOWN((AG147-AF147)/AR147+0.000000001,0)*AR147)</x:f>
        <x:v>23</x:v>
      </x:c>
      <x:c r="G147" s="21" t="str">
        <x:f>IF(J147="Рассчитано",V147*(1-R147/100)-W147-P147-Q147,"н/д")</x:f>
        <x:v>н/д</x:v>
      </x:c>
      <x:c r="H147" s="13" t="str">
        <x:v>Высокий</x:v>
      </x:c>
      <x:c r="I147" s="13" t="str">
        <x:v>Средний</x:v>
      </x:c>
      <x:c r="J147" s="13" t="str">
        <x:f>IF(L147="","Укажите валюту",IF(NOT(ISNUMBER(K147)),"Укажите объём",IF(K147&lt;=0,"Укажите объём",IF(K147&gt;F147,"Объём выше излишка",IF(COUNT(M147:O147)&lt;3,"Нужны цены",IF(COUNT(P147:R147)&lt;3,"Нужны расходы",IF(OR(M147&lt;0,N147&lt;0,O147&lt;0,O147&gt;100,P147&lt;0,Q147&lt;0,R147&lt;0,R147&gt;100),"Проверьте значения","Рассчитано")))))))</x:f>
        <x:v>Нужны цены</x:v>
      </x:c>
      <x:c r="K147" s="36" t="n">
        <x:v>23</x:v>
      </x:c>
      <x:c r="L147" s="19" t="str">
        <x:v>KZT</x:v>
      </x:c>
      <x:c r="M147" s="22"/>
      <x:c r="N147" s="22"/>
      <x:c r="O147" s="28"/>
      <x:c r="P147" s="22"/>
      <x:c r="Q147" s="22"/>
      <x:c r="R147" s="28"/>
      <x:c r="S147" s="22"/>
      <x:c r="T147" s="37" t="n">
        <x:f>K147</x:f>
        <x:v>23</x:v>
      </x:c>
      <x:c r="U147" s="21" t="str">
        <x:f>IF(J147="Рассчитано",N147*(1-O147/100),"н/д")</x:f>
        <x:v>н/д</x:v>
      </x:c>
      <x:c r="V147" s="21" t="str">
        <x:f>IF(J147="Рассчитано",T147*U147,"н/д")</x:f>
        <x:v>н/д</x:v>
      </x:c>
      <x:c r="W147" s="21" t="str">
        <x:f>IF(J147="Рассчитано",T147*M147,"н/д")</x:f>
        <x:v>н/д</x:v>
      </x:c>
      <x:c r="X147" s="21" t="str">
        <x:f>IF(J147="Рассчитано",V147-W147,"н/д")</x:f>
        <x:v>н/д</x:v>
      </x:c>
      <x:c r="Y147" s="27" t="str">
        <x:f>IF(J147="Рассчитано",IF(V147&gt;0,G147/V147,"н/д"),"н/д")</x:f>
        <x:v>н/д</x:v>
      </x:c>
      <x:c r="Z147" s="21" t="str">
        <x:f>"н/д"</x:f>
        <x:v>н/д</x:v>
      </x:c>
      <x:c r="AA147" s="21" t="str">
        <x:f>"н/д"</x:f>
        <x:v>н/д</x:v>
      </x:c>
      <x:c r="AB147" s="21" t="str">
        <x:f>"н/д"</x:f>
        <x:v>н/д</x:v>
      </x:c>
      <x:c r="AC147" s="21" t="str">
        <x:f>IF(AND(J147="Рассчитано",T147&gt;0,R147&lt;100),(W147+P147+Q147)/(T147*(1-R147/100)),"н/д")</x:f>
        <x:v>н/д</x:v>
      </x:c>
      <x:c r="AD147" s="10" t="str">
        <x:f>IF(ISNUMBER(G147),IF(G147&lt;0,"Убыток",IF(G147=0,"Без прибыли","Прибыль &gt; 0")),"Не оценён")</x:f>
        <x:v>Не оценён</x:v>
      </x:c>
      <x:c r="AE147" s="13" t="str">
        <x:f>IF(J147="Рассчитано","Выручка "&amp;TEXT(V147,"0.00")&amp;" - себестоимость "&amp;TEXT(W147,"0.00")&amp;" - комиссия "&amp;TEXT(V147*R147/100,"0.00")&amp;" - доставка "&amp;TEXT(P147,"0.00")&amp;" - прочие "&amp;TEXT(Q147,"0.00")&amp;" = "&amp;TEXT(G147,"0.00")&amp;" "&amp;L147,"Введите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" s="24" t="n">
        <x:v>190.68242318568429</x:v>
      </x:c>
      <x:c r="AG147" s="37" t="n">
        <x:v>214</x:v>
      </x:c>
      <x:c r="AH147" s="37" t="n">
        <x:v>0</x:v>
      </x:c>
      <x:c r="AI147" s="30" t="n">
        <x:v>46266</x:v>
      </x:c>
      <x:c r="AJ147" s="37" t="n">
        <x:v>1</x:v>
      </x:c>
      <x:c r="AK147" s="10" t="str">
        <x:v>минимум</x:v>
      </x:c>
      <x:c r="AL147" s="32" t="n">
        <x:v>95.43818143472106</x:v>
      </x:c>
      <x:c r="AM14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47" s="13" t="str">
        <x:v>Проверить свободный остаток и установить цену для B2B</x:v>
      </x:c>
      <x:c r="AO147" s="13" t="str">
        <x:v>Остаток 214; прогноз 90 дней 190.68; избыток 23 шт. Будущие поступления не выставляются на продажу. Остаток на начало сентября: требуется актуализация.</x:v>
      </x:c>
      <x:c r="AP147" s="13" t="str">
        <x:v>["category_missing", "daily_stockout_data_missing", "large_orders_detected", "new_order_lead_time_unknown", "reservations_unknown", "stale_stock", "transaction_month_mismatch"]</x:v>
      </x:c>
      <x:c r="AQ147" s="10" t="str">
        <x:v>IEK:030200409_</x:v>
      </x:c>
      <x:c r="AR147" s="24" t="n">
        <x:v>1</x:v>
      </x:c>
      <x:c r="AS147" s="24" t="n">
        <x:v>0</x:v>
      </x:c>
      <x:c r="AT147" s="24" t="n">
        <x:v>0</x:v>
      </x:c>
    </x:row>
    <x:row r="148" ht="64" customHeight="1">
      <x:c r="A148" s="11" t="str">
        <x:v>IEK</x:v>
      </x:c>
      <x:c r="B148" s="33" t="str">
        <x:v>030200410_</x:v>
      </x:c>
      <x:c r="C148" s="33" t="str">
        <x:v>BR-V20-1-10-K47</x:v>
      </x:c>
      <x:c r="D148" s="12" t="str">
        <x:v>Выкл 2-кл. с инд. б/рамки "BRITE" алюминий (1/100)</x:v>
      </x:c>
      <x:c r="E148" s="11" t="str">
        <x:v>шт</x:v>
      </x:c>
      <x:c r="F148" s="35" t="n">
        <x:f>MAX(0,ROUNDDOWN((AG148-AF148)/AR148+0.000000001,0)*AR148)</x:f>
        <x:v>5</x:v>
      </x:c>
      <x:c r="G148" s="20" t="str">
        <x:f>IF(J148="Рассчитано",V148*(1-R148/100)-W148-P148-Q148,"н/д")</x:f>
        <x:v>н/д</x:v>
      </x:c>
      <x:c r="H148" s="12" t="str">
        <x:v>Высокий</x:v>
      </x:c>
      <x:c r="I148" s="12" t="str">
        <x:v>Высокий</x:v>
      </x:c>
      <x:c r="J148" s="12" t="str">
        <x:f>IF(L148="","Укажите валюту",IF(NOT(ISNUMBER(K148)),"Укажите объём",IF(K148&lt;=0,"Укажите объём",IF(K148&gt;F148,"Объём выше излишка",IF(COUNT(M148:O148)&lt;3,"Нужны цены",IF(COUNT(P148:R148)&lt;3,"Нужны расходы",IF(OR(M148&lt;0,N148&lt;0,O148&lt;0,O148&gt;100,P148&lt;0,Q148&lt;0,R148&lt;0,R148&gt;100),"Проверьте значения","Рассчитано")))))))</x:f>
        <x:v>Нужны цены</x:v>
      </x:c>
      <x:c r="K148" s="36" t="n">
        <x:v>5</x:v>
      </x:c>
      <x:c r="L148" s="19" t="str">
        <x:v>KZT</x:v>
      </x:c>
      <x:c r="M148" s="22"/>
      <x:c r="N148" s="22"/>
      <x:c r="O148" s="28"/>
      <x:c r="P148" s="22"/>
      <x:c r="Q148" s="22"/>
      <x:c r="R148" s="28"/>
      <x:c r="S148" s="22"/>
      <x:c r="T148" s="35" t="n">
        <x:f>K148</x:f>
        <x:v>5</x:v>
      </x:c>
      <x:c r="U148" s="20" t="str">
        <x:f>IF(J148="Рассчитано",N148*(1-O148/100),"н/д")</x:f>
        <x:v>н/д</x:v>
      </x:c>
      <x:c r="V148" s="20" t="str">
        <x:f>IF(J148="Рассчитано",T148*U148,"н/д")</x:f>
        <x:v>н/д</x:v>
      </x:c>
      <x:c r="W148" s="20" t="str">
        <x:f>IF(J148="Рассчитано",T148*M148,"н/д")</x:f>
        <x:v>н/д</x:v>
      </x:c>
      <x:c r="X148" s="20" t="str">
        <x:f>IF(J148="Рассчитано",V148-W148,"н/д")</x:f>
        <x:v>н/д</x:v>
      </x:c>
      <x:c r="Y148" s="26" t="str">
        <x:f>IF(J148="Рассчитано",IF(V148&gt;0,G148/V148,"н/д"),"н/д")</x:f>
        <x:v>н/д</x:v>
      </x:c>
      <x:c r="Z148" s="20" t="str">
        <x:f>"н/д"</x:f>
        <x:v>н/д</x:v>
      </x:c>
      <x:c r="AA148" s="20" t="str">
        <x:f>"н/д"</x:f>
        <x:v>н/д</x:v>
      </x:c>
      <x:c r="AB148" s="20" t="str">
        <x:f>"н/д"</x:f>
        <x:v>н/д</x:v>
      </x:c>
      <x:c r="AC148" s="20" t="str">
        <x:f>IF(AND(J148="Рассчитано",T148&gt;0,R148&lt;100),(W148+P148+Q148)/(T148*(1-R148/100)),"н/д")</x:f>
        <x:v>н/д</x:v>
      </x:c>
      <x:c r="AD148" s="11" t="str">
        <x:f>IF(ISNUMBER(G148),IF(G148&lt;0,"Убыток",IF(G148=0,"Без прибыли","Прибыль &gt; 0")),"Не оценён")</x:f>
        <x:v>Не оценён</x:v>
      </x:c>
      <x:c r="AE148" s="12" t="str">
        <x:f>IF(J148="Рассчитано","Выручка "&amp;TEXT(V148,"0.00")&amp;" - себестоимость "&amp;TEXT(W148,"0.00")&amp;" - комиссия "&amp;TEXT(V148*R148/100,"0.00")&amp;" - доставка "&amp;TEXT(P148,"0.00")&amp;" - прочие "&amp;TEXT(Q148,"0.00")&amp;" = "&amp;TEXT(G148,"0.00")&amp;" "&amp;L148,"Введите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" s="23" t="n">
        <x:v>4.506275394288907</x:v>
      </x:c>
      <x:c r="AG148" s="35" t="n">
        <x:v>10</x:v>
      </x:c>
      <x:c r="AH148" s="35" t="n">
        <x:v>0</x:v>
      </x:c>
      <x:c r="AI148" s="29" t="n">
        <x:v>46266</x:v>
      </x:c>
      <x:c r="AJ148" s="35" t="n">
        <x:v>1</x:v>
      </x:c>
      <x:c r="AK148" s="11" t="str">
        <x:v>минимум</x:v>
      </x:c>
      <x:c r="AL148" s="31" t="n">
        <x:v>188.7127810206736</x:v>
      </x:c>
      <x:c r="AM148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148" s="12" t="str">
        <x:v>Проверить свободный остаток и установить цену для B2B</x:v>
      </x:c>
      <x:c r="AO148" s="12" t="str">
        <x:v>Остаток 10; прогноз 90 дней 4.51; избыток 5 шт. Будущие поступления не выставляются на продажу. Остаток на начало сентября: требуется актуализация.</x:v>
      </x:c>
      <x:c r="AP148" s="12" t="str">
        <x:v>["category_missing", "daily_stockout_data_missing", "negative_net_sales_clipped_for_forecast", "new_order_lead_time_unknown", "reservations_unknown", "stale_stock", "stockout_proxy_used"]</x:v>
      </x:c>
      <x:c r="AQ148" s="11" t="str">
        <x:v>IEK:030200410_</x:v>
      </x:c>
      <x:c r="AR148" s="23" t="n">
        <x:v>1</x:v>
      </x:c>
      <x:c r="AS148" s="23" t="n">
        <x:v>0</x:v>
      </x:c>
      <x:c r="AT148" s="23" t="n">
        <x:v>0</x:v>
      </x:c>
    </x:row>
    <x:row r="149" ht="64" customHeight="1">
      <x:c r="A149" s="10" t="str">
        <x:v>IEK</x:v>
      </x:c>
      <x:c r="B149" s="34" t="str">
        <x:v>030200412_</x:v>
      </x:c>
      <x:c r="C149" s="34" t="str">
        <x:v>BR-V12-0-10-K47</x:v>
      </x:c>
      <x:c r="D149" s="13" t="str">
        <x:v>Выкл 1-кл. прох. 10А б/рамки "BRITE" алюминий (1/100)</x:v>
      </x:c>
      <x:c r="E149" s="10" t="str">
        <x:v>шт</x:v>
      </x:c>
      <x:c r="F149" s="37" t="n">
        <x:f>MAX(0,ROUNDDOWN((AG149-AF149)/AR149+0.000000001,0)*AR149)</x:f>
        <x:v>21</x:v>
      </x:c>
      <x:c r="G149" s="21" t="str">
        <x:f>IF(J149="Рассчитано",V149*(1-R149/100)-W149-P149-Q149,"н/д")</x:f>
        <x:v>н/д</x:v>
      </x:c>
      <x:c r="H149" s="13" t="str">
        <x:v>Высокий</x:v>
      </x:c>
      <x:c r="I149" s="13" t="str">
        <x:v>Средний</x:v>
      </x:c>
      <x:c r="J149" s="13" t="str">
        <x:f>IF(L149="","Укажите валюту",IF(NOT(ISNUMBER(K149)),"Укажите объём",IF(K149&lt;=0,"Укажите объём",IF(K149&gt;F149,"Объём выше излишка",IF(COUNT(M149:O149)&lt;3,"Нужны цены",IF(COUNT(P149:R149)&lt;3,"Нужны расходы",IF(OR(M149&lt;0,N149&lt;0,O149&lt;0,O149&gt;100,P149&lt;0,Q149&lt;0,R149&lt;0,R149&gt;100),"Проверьте значения","Рассчитано")))))))</x:f>
        <x:v>Нужны цены</x:v>
      </x:c>
      <x:c r="K149" s="36" t="n">
        <x:v>21</x:v>
      </x:c>
      <x:c r="L149" s="19" t="str">
        <x:v>KZT</x:v>
      </x:c>
      <x:c r="M149" s="22"/>
      <x:c r="N149" s="22"/>
      <x:c r="O149" s="28"/>
      <x:c r="P149" s="22"/>
      <x:c r="Q149" s="22"/>
      <x:c r="R149" s="28"/>
      <x:c r="S149" s="22"/>
      <x:c r="T149" s="37" t="n">
        <x:f>K149</x:f>
        <x:v>21</x:v>
      </x:c>
      <x:c r="U149" s="21" t="str">
        <x:f>IF(J149="Рассчитано",N149*(1-O149/100),"н/д")</x:f>
        <x:v>н/д</x:v>
      </x:c>
      <x:c r="V149" s="21" t="str">
        <x:f>IF(J149="Рассчитано",T149*U149,"н/д")</x:f>
        <x:v>н/д</x:v>
      </x:c>
      <x:c r="W149" s="21" t="str">
        <x:f>IF(J149="Рассчитано",T149*M149,"н/д")</x:f>
        <x:v>н/д</x:v>
      </x:c>
      <x:c r="X149" s="21" t="str">
        <x:f>IF(J149="Рассчитано",V149-W149,"н/д")</x:f>
        <x:v>н/д</x:v>
      </x:c>
      <x:c r="Y149" s="27" t="str">
        <x:f>IF(J149="Рассчитано",IF(V149&gt;0,G149/V149,"н/д"),"н/д")</x:f>
        <x:v>н/д</x:v>
      </x:c>
      <x:c r="Z149" s="21" t="str">
        <x:f>"н/д"</x:f>
        <x:v>н/д</x:v>
      </x:c>
      <x:c r="AA149" s="21" t="str">
        <x:f>"н/д"</x:f>
        <x:v>н/д</x:v>
      </x:c>
      <x:c r="AB149" s="21" t="str">
        <x:f>"н/д"</x:f>
        <x:v>н/д</x:v>
      </x:c>
      <x:c r="AC149" s="21" t="str">
        <x:f>IF(AND(J149="Рассчитано",T149&gt;0,R149&lt;100),(W149+P149+Q149)/(T149*(1-R149/100)),"н/д")</x:f>
        <x:v>н/д</x:v>
      </x:c>
      <x:c r="AD149" s="10" t="str">
        <x:f>IF(ISNUMBER(G149),IF(G149&lt;0,"Убыток",IF(G149=0,"Без прибыли","Прибыль &gt; 0")),"Не оценён")</x:f>
        <x:v>Не оценён</x:v>
      </x:c>
      <x:c r="AE149" s="13" t="str">
        <x:f>IF(J149="Рассчитано","Выручка "&amp;TEXT(V149,"0.00")&amp;" - себестоимость "&amp;TEXT(W149,"0.00")&amp;" - комиссия "&amp;TEXT(V149*R149/100,"0.00")&amp;" - доставка "&amp;TEXT(P149,"0.00")&amp;" - прочие "&amp;TEXT(Q149,"0.00")&amp;" = "&amp;TEXT(G149,"0.00")&amp;" "&amp;L149,"Введите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" s="24" t="n">
        <x:v>25.226629764790648</x:v>
      </x:c>
      <x:c r="AG149" s="37" t="n">
        <x:v>47</x:v>
      </x:c>
      <x:c r="AH149" s="37" t="n">
        <x:v>0</x:v>
      </x:c>
      <x:c r="AI149" s="30" t="n">
        <x:v>46266</x:v>
      </x:c>
      <x:c r="AJ149" s="37" t="n">
        <x:v>1</x:v>
      </x:c>
      <x:c r="AK149" s="10" t="str">
        <x:v>минимум</x:v>
      </x:c>
      <x:c r="AL149" s="32" t="n">
        <x:v>158.43738609802506</x:v>
      </x:c>
      <x:c r="AM149" s="13" t="str">
        <x:v>Остаток на начало сентября; Резервы неизвестны; Нет ежедневных данных доступности. Запас выше прогноза на 90 дней</x:v>
      </x:c>
      <x:c r="AN149" s="13" t="str">
        <x:v>Проверить свободный остаток и установить цену для B2B</x:v>
      </x:c>
      <x:c r="AO149" s="13" t="str">
        <x:v>Остаток 47; прогноз 90 дней 25.23; избыток 21 шт. Будущие поступления не выставляются на продажу. Остаток на начало сентября: требуется актуализация.</x:v>
      </x:c>
      <x:c r="AP149" s="13" t="str">
        <x:v>["category_missing", "daily_stockout_data_missing", "negative_net_sales_clipped_for_forecast", "new_order_lead_time_unknown", "reservations_unknown", "stale_stock"]</x:v>
      </x:c>
      <x:c r="AQ149" s="10" t="str">
        <x:v>IEK:030200412_</x:v>
      </x:c>
      <x:c r="AR149" s="24" t="n">
        <x:v>1</x:v>
      </x:c>
      <x:c r="AS149" s="24" t="n">
        <x:v>0</x:v>
      </x:c>
      <x:c r="AT149" s="24" t="n">
        <x:v>0</x:v>
      </x:c>
    </x:row>
    <x:row r="150" ht="64" customHeight="1">
      <x:c r="A150" s="11" t="str">
        <x:v>IEK</x:v>
      </x:c>
      <x:c r="B150" s="33" t="str">
        <x:v>030200413_</x:v>
      </x:c>
      <x:c r="C150" s="33" t="str">
        <x:v>BR-R21-16-K47-F</x:v>
      </x:c>
      <x:c r="D150" s="12" t="str">
        <x:v>Роз. 2-я с з/к без з/ш 16А в сборе "BRITE" алюминий (1/100)</x:v>
      </x:c>
      <x:c r="E150" s="11" t="str">
        <x:v>шт</x:v>
      </x:c>
      <x:c r="F150" s="35" t="n">
        <x:f>MAX(0,ROUNDDOWN((AG150-AF150)/AR150+0.000000001,0)*AR150)</x:f>
        <x:v>87</x:v>
      </x:c>
      <x:c r="G150" s="20" t="str">
        <x:f>IF(J150="Рассчитано",V150*(1-R150/100)-W150-P150-Q150,"н/д")</x:f>
        <x:v>н/д</x:v>
      </x:c>
      <x:c r="H150" s="12" t="str">
        <x:v>Высокий</x:v>
      </x:c>
      <x:c r="I150" s="12" t="str">
        <x:v>Средний</x:v>
      </x:c>
      <x:c r="J150" s="12" t="str">
        <x:f>IF(L150="","Укажите валюту",IF(NOT(ISNUMBER(K150)),"Укажите объём",IF(K150&lt;=0,"Укажите объём",IF(K150&gt;F150,"Объём выше излишка",IF(COUNT(M150:O150)&lt;3,"Нужны цены",IF(COUNT(P150:R150)&lt;3,"Нужны расходы",IF(OR(M150&lt;0,N150&lt;0,O150&lt;0,O150&gt;100,P150&lt;0,Q150&lt;0,R150&lt;0,R150&gt;100),"Проверьте значения","Рассчитано")))))))</x:f>
        <x:v>Нужны цены</x:v>
      </x:c>
      <x:c r="K150" s="36" t="n">
        <x:v>87</x:v>
      </x:c>
      <x:c r="L150" s="19" t="str">
        <x:v>KZT</x:v>
      </x:c>
      <x:c r="M150" s="22"/>
      <x:c r="N150" s="22"/>
      <x:c r="O150" s="28"/>
      <x:c r="P150" s="22"/>
      <x:c r="Q150" s="22"/>
      <x:c r="R150" s="28"/>
      <x:c r="S150" s="22"/>
      <x:c r="T150" s="35" t="n">
        <x:f>K150</x:f>
        <x:v>87</x:v>
      </x:c>
      <x:c r="U150" s="20" t="str">
        <x:f>IF(J150="Рассчитано",N150*(1-O150/100),"н/д")</x:f>
        <x:v>н/д</x:v>
      </x:c>
      <x:c r="V150" s="20" t="str">
        <x:f>IF(J150="Рассчитано",T150*U150,"н/д")</x:f>
        <x:v>н/д</x:v>
      </x:c>
      <x:c r="W150" s="20" t="str">
        <x:f>IF(J150="Рассчитано",T150*M150,"н/д")</x:f>
        <x:v>н/д</x:v>
      </x:c>
      <x:c r="X150" s="20" t="str">
        <x:f>IF(J150="Рассчитано",V150-W150,"н/д")</x:f>
        <x:v>н/д</x:v>
      </x:c>
      <x:c r="Y150" s="26" t="str">
        <x:f>IF(J150="Рассчитано",IF(V150&gt;0,G150/V150,"н/д"),"н/д")</x:f>
        <x:v>н/д</x:v>
      </x:c>
      <x:c r="Z150" s="20" t="str">
        <x:f>"н/д"</x:f>
        <x:v>н/д</x:v>
      </x:c>
      <x:c r="AA150" s="20" t="str">
        <x:f>"н/д"</x:f>
        <x:v>н/д</x:v>
      </x:c>
      <x:c r="AB150" s="20" t="str">
        <x:f>"н/д"</x:f>
        <x:v>н/д</x:v>
      </x:c>
      <x:c r="AC150" s="20" t="str">
        <x:f>IF(AND(J150="Рассчитано",T150&gt;0,R150&lt;100),(W150+P150+Q150)/(T150*(1-R150/100)),"н/д")</x:f>
        <x:v>н/д</x:v>
      </x:c>
      <x:c r="AD150" s="11" t="str">
        <x:f>IF(ISNUMBER(G150),IF(G150&lt;0,"Убыток",IF(G150=0,"Без прибыли","Прибыль &gt; 0")),"Не оценён")</x:f>
        <x:v>Не оценён</x:v>
      </x:c>
      <x:c r="AE150" s="12" t="str">
        <x:f>IF(J150="Рассчитано","Выручка "&amp;TEXT(V150,"0.00")&amp;" - себестоимость "&amp;TEXT(W150,"0.00")&amp;" - комиссия "&amp;TEXT(V150*R150/100,"0.00")&amp;" - доставка "&amp;TEXT(P150,"0.00")&amp;" - прочие "&amp;TEXT(Q150,"0.00")&amp;" = "&amp;TEXT(G150,"0.00")&amp;" "&amp;L150,"Введите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" s="23" t="n">
        <x:v>260.85449762469636</x:v>
      </x:c>
      <x:c r="AG150" s="35" t="n">
        <x:v>348</x:v>
      </x:c>
      <x:c r="AH150" s="35" t="n">
        <x:v>0</x:v>
      </x:c>
      <x:c r="AI150" s="29" t="n">
        <x:v>46266</x:v>
      </x:c>
      <x:c r="AJ150" s="35" t="n">
        <x:v>1</x:v>
      </x:c>
      <x:c r="AK150" s="11" t="str">
        <x:v>минимум</x:v>
      </x:c>
      <x:c r="AL150" s="31" t="n">
        <x:v>113.44881371293323</x:v>
      </x:c>
      <x:c r="AM150" s="12" t="str">
        <x:v>Остаток на начало сентября; Резервы неизвестны; Нет ежедневных данных доступности. Запас выше прогноза на 90 дней</x:v>
      </x:c>
      <x:c r="AN150" s="12" t="str">
        <x:v>Проверить свободный остаток и установить цену для B2B</x:v>
      </x:c>
      <x:c r="AO150" s="12" t="str">
        <x:v>Остаток 348; прогноз 90 дней 260.85; избыток 87 шт. Будущие поступления не выставляются на продажу. Остаток на начало сентября: требуется актуализация.</x:v>
      </x:c>
      <x:c r="AP150" s="12" t="str">
        <x:v>["category_missing", "daily_stockout_data_missing", "large_orders_detected", "new_order_lead_time_unknown", "reservations_unknown", "stale_stock"]</x:v>
      </x:c>
      <x:c r="AQ150" s="11" t="str">
        <x:v>IEK:030200413_</x:v>
      </x:c>
      <x:c r="AR150" s="23" t="n">
        <x:v>1</x:v>
      </x:c>
      <x:c r="AS150" s="23" t="n">
        <x:v>0</x:v>
      </x:c>
      <x:c r="AT150" s="23" t="n">
        <x:v>0</x:v>
      </x:c>
    </x:row>
    <x:row r="151" ht="64" customHeight="1">
      <x:c r="A151" s="10" t="str">
        <x:v>IEK</x:v>
      </x:c>
      <x:c r="B151" s="34" t="str">
        <x:v>030200414_</x:v>
      </x:c>
      <x:c r="C151" s="34" t="str">
        <x:v>BR-R24-16-K47-F</x:v>
      </x:c>
      <x:c r="D151" s="13" t="str">
        <x:v>Роз. 2-я с з/к/ш 16А в сборе "BRITE" алюминий (1/100)</x:v>
      </x:c>
      <x:c r="E151" s="10" t="str">
        <x:v>шт</x:v>
      </x:c>
      <x:c r="F151" s="37" t="n">
        <x:f>MAX(0,ROUNDDOWN((AG151-AF151)/AR151+0.000000001,0)*AR151)</x:f>
        <x:v>49</x:v>
      </x:c>
      <x:c r="G151" s="21" t="str">
        <x:f>IF(J151="Рассчитано",V151*(1-R151/100)-W151-P151-Q151,"н/д")</x:f>
        <x:v>н/д</x:v>
      </x:c>
      <x:c r="H151" s="13" t="str">
        <x:v>Высокий</x:v>
      </x:c>
      <x:c r="I151" s="13" t="str">
        <x:v>Средний</x:v>
      </x:c>
      <x:c r="J151" s="13" t="str">
        <x:f>IF(L151="","Укажите валюту",IF(NOT(ISNUMBER(K151)),"Укажите объём",IF(K151&lt;=0,"Укажите объём",IF(K151&gt;F151,"Объём выше излишка",IF(COUNT(M151:O151)&lt;3,"Нужны цены",IF(COUNT(P151:R151)&lt;3,"Нужны расходы",IF(OR(M151&lt;0,N151&lt;0,O151&lt;0,O151&gt;100,P151&lt;0,Q151&lt;0,R151&lt;0,R151&gt;100),"Проверьте значения","Рассчитано")))))))</x:f>
        <x:v>Нужны цены</x:v>
      </x:c>
      <x:c r="K151" s="36" t="n">
        <x:v>49</x:v>
      </x:c>
      <x:c r="L151" s="19" t="str">
        <x:v>KZT</x:v>
      </x:c>
      <x:c r="M151" s="22"/>
      <x:c r="N151" s="22"/>
      <x:c r="O151" s="28"/>
      <x:c r="P151" s="22"/>
      <x:c r="Q151" s="22"/>
      <x:c r="R151" s="28"/>
      <x:c r="S151" s="22"/>
      <x:c r="T151" s="37" t="n">
        <x:f>K151</x:f>
        <x:v>49</x:v>
      </x:c>
      <x:c r="U151" s="21" t="str">
        <x:f>IF(J151="Рассчитано",N151*(1-O151/100),"н/д")</x:f>
        <x:v>н/д</x:v>
      </x:c>
      <x:c r="V151" s="21" t="str">
        <x:f>IF(J151="Рассчитано",T151*U151,"н/д")</x:f>
        <x:v>н/д</x:v>
      </x:c>
      <x:c r="W151" s="21" t="str">
        <x:f>IF(J151="Рассчитано",T151*M151,"н/д")</x:f>
        <x:v>н/д</x:v>
      </x:c>
      <x:c r="X151" s="21" t="str">
        <x:f>IF(J151="Рассчитано",V151-W151,"н/д")</x:f>
        <x:v>н/д</x:v>
      </x:c>
      <x:c r="Y151" s="27" t="str">
        <x:f>IF(J151="Рассчитано",IF(V151&gt;0,G151/V151,"н/д"),"н/д")</x:f>
        <x:v>н/д</x:v>
      </x:c>
      <x:c r="Z151" s="21" t="str">
        <x:f>"н/д"</x:f>
        <x:v>н/д</x:v>
      </x:c>
      <x:c r="AA151" s="21" t="str">
        <x:f>"н/д"</x:f>
        <x:v>н/д</x:v>
      </x:c>
      <x:c r="AB151" s="21" t="str">
        <x:f>"н/д"</x:f>
        <x:v>н/д</x:v>
      </x:c>
      <x:c r="AC151" s="21" t="str">
        <x:f>IF(AND(J151="Рассчитано",T151&gt;0,R151&lt;100),(W151+P151+Q151)/(T151*(1-R151/100)),"н/д")</x:f>
        <x:v>н/д</x:v>
      </x:c>
      <x:c r="AD151" s="10" t="str">
        <x:f>IF(ISNUMBER(G151),IF(G151&lt;0,"Убыток",IF(G151=0,"Без прибыли","Прибыль &gt; 0")),"Не оценён")</x:f>
        <x:v>Не оценён</x:v>
      </x:c>
      <x:c r="AE151" s="13" t="str">
        <x:f>IF(J151="Рассчитано","Выручка "&amp;TEXT(V151,"0.00")&amp;" - себестоимость "&amp;TEXT(W151,"0.00")&amp;" - комиссия "&amp;TEXT(V151*R151/100,"0.00")&amp;" - доставка "&amp;TEXT(P151,"0.00")&amp;" - прочие "&amp;TEXT(Q151,"0.00")&amp;" = "&amp;TEXT(G151,"0.00")&amp;" "&amp;L151,"Введите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" s="24" t="n">
        <x:v>103.01020270211716</x:v>
      </x:c>
      <x:c r="AG151" s="37" t="n">
        <x:v>153</x:v>
      </x:c>
      <x:c r="AH151" s="37" t="n">
        <x:v>0</x:v>
      </x:c>
      <x:c r="AI151" s="30" t="n">
        <x:v>46266</x:v>
      </x:c>
      <x:c r="AJ151" s="37" t="n">
        <x:v>1</x:v>
      </x:c>
      <x:c r="AK151" s="10" t="str">
        <x:v>минимум</x:v>
      </x:c>
      <x:c r="AL151" s="32" t="n">
        <x:v>126.30781818432776</x:v>
      </x:c>
      <x:c r="AM151" s="13" t="str">
        <x:v>Остаток на начало сентября; Резервы неизвестны; Нет ежедневных данных доступности. Запас выше прогноза на 90 дней</x:v>
      </x:c>
      <x:c r="AN151" s="13" t="str">
        <x:v>Проверить свободный остаток и установить цену для B2B</x:v>
      </x:c>
      <x:c r="AO151" s="13" t="str">
        <x:v>Остаток 153; прогноз 90 дней 103.01; избыток 49 шт. Будущие поступления не выставляются на продажу. Остаток на начало сентября: требуется актуализация.</x:v>
      </x:c>
      <x:c r="AP151" s="13" t="str">
        <x:v>["category_missing", "daily_stockout_data_missing", "large_orders_detected", "new_order_lead_time_unknown", "reservations_unknown", "stale_stock"]</x:v>
      </x:c>
      <x:c r="AQ151" s="10" t="str">
        <x:v>IEK:030200414_</x:v>
      </x:c>
      <x:c r="AR151" s="24" t="n">
        <x:v>1</x:v>
      </x:c>
      <x:c r="AS151" s="24" t="n">
        <x:v>0</x:v>
      </x:c>
      <x:c r="AT151" s="24" t="n">
        <x:v>0</x:v>
      </x:c>
    </x:row>
    <x:row r="152" ht="64" customHeight="1">
      <x:c r="A152" s="11" t="str">
        <x:v>IEK</x:v>
      </x:c>
      <x:c r="B152" s="33" t="str">
        <x:v>030200415_</x:v>
      </x:c>
      <x:c r="C152" s="33" t="str">
        <x:v>BR-M12-K47</x:v>
      </x:c>
      <x:c r="D152" s="12" t="str">
        <x:v>Рамка 1-мест. "BRITE" алюминий (1/100)</x:v>
      </x:c>
      <x:c r="E152" s="11" t="str">
        <x:v>шт</x:v>
      </x:c>
      <x:c r="F152" s="35" t="n">
        <x:f>MAX(0,ROUNDDOWN((AG152-AF152)/AR152+0.000000001,0)*AR152)</x:f>
        <x:v>148</x:v>
      </x:c>
      <x:c r="G152" s="20" t="str">
        <x:f>IF(J152="Рассчитано",V152*(1-R152/100)-W152-P152-Q152,"н/д")</x:f>
        <x:v>н/д</x:v>
      </x:c>
      <x:c r="H152" s="12" t="str">
        <x:v>Высокий</x:v>
      </x:c>
      <x:c r="I152" s="12" t="str">
        <x:v>Средний</x:v>
      </x:c>
      <x:c r="J152" s="12" t="str">
        <x:f>IF(L152="","Укажите валюту",IF(NOT(ISNUMBER(K152)),"Укажите объём",IF(K152&lt;=0,"Укажите объём",IF(K152&gt;F152,"Объём выше излишка",IF(COUNT(M152:O152)&lt;3,"Нужны цены",IF(COUNT(P152:R152)&lt;3,"Нужны расходы",IF(OR(M152&lt;0,N152&lt;0,O152&lt;0,O152&gt;100,P152&lt;0,Q152&lt;0,R152&lt;0,R152&gt;100),"Проверьте значения","Рассчитано")))))))</x:f>
        <x:v>Нужны цены</x:v>
      </x:c>
      <x:c r="K152" s="36" t="n">
        <x:v>148</x:v>
      </x:c>
      <x:c r="L152" s="19" t="str">
        <x:v>KZT</x:v>
      </x:c>
      <x:c r="M152" s="22"/>
      <x:c r="N152" s="22"/>
      <x:c r="O152" s="28"/>
      <x:c r="P152" s="22"/>
      <x:c r="Q152" s="22"/>
      <x:c r="R152" s="28"/>
      <x:c r="S152" s="22"/>
      <x:c r="T152" s="35" t="n">
        <x:f>K152</x:f>
        <x:v>148</x:v>
      </x:c>
      <x:c r="U152" s="20" t="str">
        <x:f>IF(J152="Рассчитано",N152*(1-O152/100),"н/д")</x:f>
        <x:v>н/д</x:v>
      </x:c>
      <x:c r="V152" s="20" t="str">
        <x:f>IF(J152="Рассчитано",T152*U152,"н/д")</x:f>
        <x:v>н/д</x:v>
      </x:c>
      <x:c r="W152" s="20" t="str">
        <x:f>IF(J152="Рассчитано",T152*M152,"н/д")</x:f>
        <x:v>н/д</x:v>
      </x:c>
      <x:c r="X152" s="20" t="str">
        <x:f>IF(J152="Рассчитано",V152-W152,"н/д")</x:f>
        <x:v>н/д</x:v>
      </x:c>
      <x:c r="Y152" s="26" t="str">
        <x:f>IF(J152="Рассчитано",IF(V152&gt;0,G152/V152,"н/д"),"н/д")</x:f>
        <x:v>н/д</x:v>
      </x:c>
      <x:c r="Z152" s="20" t="str">
        <x:f>"н/д"</x:f>
        <x:v>н/д</x:v>
      </x:c>
      <x:c r="AA152" s="20" t="str">
        <x:f>"н/д"</x:f>
        <x:v>н/д</x:v>
      </x:c>
      <x:c r="AB152" s="20" t="str">
        <x:f>"н/д"</x:f>
        <x:v>н/д</x:v>
      </x:c>
      <x:c r="AC152" s="20" t="str">
        <x:f>IF(AND(J152="Рассчитано",T152&gt;0,R152&lt;100),(W152+P152+Q152)/(T152*(1-R152/100)),"н/д")</x:f>
        <x:v>н/д</x:v>
      </x:c>
      <x:c r="AD152" s="11" t="str">
        <x:f>IF(ISNUMBER(G152),IF(G152&lt;0,"Убыток",IF(G152=0,"Без прибыли","Прибыль &gt; 0")),"Не оценён")</x:f>
        <x:v>Не оценён</x:v>
      </x:c>
      <x:c r="AE152" s="12" t="str">
        <x:f>IF(J152="Рассчитано","Выручка "&amp;TEXT(V152,"0.00")&amp;" - себестоимость "&amp;TEXT(W152,"0.00")&amp;" - комиссия "&amp;TEXT(V152*R152/100,"0.00")&amp;" - доставка "&amp;TEXT(P152,"0.00")&amp;" - прочие "&amp;TEXT(Q152,"0.00")&amp;" = "&amp;TEXT(G152,"0.00")&amp;" "&amp;L152,"Введите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" s="23" t="n">
        <x:v>901.9754245174508</x:v>
      </x:c>
      <x:c r="AG152" s="35" t="n">
        <x:v>1050</x:v>
      </x:c>
      <x:c r="AH152" s="35" t="n">
        <x:v>0</x:v>
      </x:c>
      <x:c r="AI152" s="29" t="n">
        <x:v>46266</x:v>
      </x:c>
      <x:c r="AJ152" s="35" t="n">
        <x:v>1</x:v>
      </x:c>
      <x:c r="AK152" s="11" t="str">
        <x:v>минимум</x:v>
      </x:c>
      <x:c r="AL152" s="31" t="n">
        <x:v>98.99508628675268</x:v>
      </x:c>
      <x:c r="AM152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52" s="12" t="str">
        <x:v>Проверить свободный остаток и установить цену для B2B</x:v>
      </x:c>
      <x:c r="AO152" s="12" t="str">
        <x:v>Остаток 1050; прогноз 90 дней 901.98; избыток 148 шт. Будущие поступления не выставляются на продажу. Остаток на начало сентября: требуется актуализация.</x:v>
      </x:c>
      <x:c r="AP152" s="12" t="str">
        <x:v>["category_missing", "daily_stockout_data_missing", "large_orders_detected", "new_order_lead_time_unknown", "reservations_unknown", "stale_stock", "transaction_month_mismatch"]</x:v>
      </x:c>
      <x:c r="AQ152" s="11" t="str">
        <x:v>IEK:030200415_</x:v>
      </x:c>
      <x:c r="AR152" s="23" t="n">
        <x:v>1</x:v>
      </x:c>
      <x:c r="AS152" s="23" t="n">
        <x:v>0</x:v>
      </x:c>
      <x:c r="AT152" s="23" t="n">
        <x:v>0</x:v>
      </x:c>
    </x:row>
    <x:row r="153" ht="64" customHeight="1">
      <x:c r="A153" s="10" t="str">
        <x:v>IEK</x:v>
      </x:c>
      <x:c r="B153" s="34" t="str">
        <x:v>030200418_</x:v>
      </x:c>
      <x:c r="C153" s="34" t="str">
        <x:v>BR-M42-K47</x:v>
      </x:c>
      <x:c r="D153" s="13" t="str">
        <x:v>Рамка 4-мест. "BRITE" алюминий (1/100)</x:v>
      </x:c>
      <x:c r="E153" s="10" t="str">
        <x:v>шт</x:v>
      </x:c>
      <x:c r="F153" s="37" t="n">
        <x:f>MAX(0,ROUNDDOWN((AG153-AF153)/AR153+0.000000001,0)*AR153)</x:f>
        <x:v>2</x:v>
      </x:c>
      <x:c r="G153" s="21" t="str">
        <x:f>IF(J153="Рассчитано",V153*(1-R153/100)-W153-P153-Q153,"н/д")</x:f>
        <x:v>н/д</x:v>
      </x:c>
      <x:c r="H153" s="13" t="str">
        <x:v>Высокий</x:v>
      </x:c>
      <x:c r="I153" s="13" t="str">
        <x:v>Средний</x:v>
      </x:c>
      <x:c r="J153" s="13" t="str">
        <x:f>IF(L153="","Укажите валюту",IF(NOT(ISNUMBER(K153)),"Укажите объём",IF(K153&lt;=0,"Укажите объём",IF(K153&gt;F153,"Объём выше излишка",IF(COUNT(M153:O153)&lt;3,"Нужны цены",IF(COUNT(P153:R153)&lt;3,"Нужны расходы",IF(OR(M153&lt;0,N153&lt;0,O153&lt;0,O153&gt;100,P153&lt;0,Q153&lt;0,R153&lt;0,R153&gt;100),"Проверьте значения","Рассчитано")))))))</x:f>
        <x:v>Нужны цены</x:v>
      </x:c>
      <x:c r="K153" s="36" t="n">
        <x:v>2</x:v>
      </x:c>
      <x:c r="L153" s="19" t="str">
        <x:v>KZT</x:v>
      </x:c>
      <x:c r="M153" s="22"/>
      <x:c r="N153" s="22"/>
      <x:c r="O153" s="28"/>
      <x:c r="P153" s="22"/>
      <x:c r="Q153" s="22"/>
      <x:c r="R153" s="28"/>
      <x:c r="S153" s="22"/>
      <x:c r="T153" s="37" t="n">
        <x:f>K153</x:f>
        <x:v>2</x:v>
      </x:c>
      <x:c r="U153" s="21" t="str">
        <x:f>IF(J153="Рассчитано",N153*(1-O153/100),"н/д")</x:f>
        <x:v>н/д</x:v>
      </x:c>
      <x:c r="V153" s="21" t="str">
        <x:f>IF(J153="Рассчитано",T153*U153,"н/д")</x:f>
        <x:v>н/д</x:v>
      </x:c>
      <x:c r="W153" s="21" t="str">
        <x:f>IF(J153="Рассчитано",T153*M153,"н/д")</x:f>
        <x:v>н/д</x:v>
      </x:c>
      <x:c r="X153" s="21" t="str">
        <x:f>IF(J153="Рассчитано",V153-W153,"н/д")</x:f>
        <x:v>н/д</x:v>
      </x:c>
      <x:c r="Y153" s="27" t="str">
        <x:f>IF(J153="Рассчитано",IF(V153&gt;0,G153/V153,"н/д"),"н/д")</x:f>
        <x:v>н/д</x:v>
      </x:c>
      <x:c r="Z153" s="21" t="str">
        <x:f>"н/д"</x:f>
        <x:v>н/д</x:v>
      </x:c>
      <x:c r="AA153" s="21" t="str">
        <x:f>"н/д"</x:f>
        <x:v>н/д</x:v>
      </x:c>
      <x:c r="AB153" s="21" t="str">
        <x:f>"н/д"</x:f>
        <x:v>н/д</x:v>
      </x:c>
      <x:c r="AC153" s="21" t="str">
        <x:f>IF(AND(J153="Рассчитано",T153&gt;0,R153&lt;100),(W153+P153+Q153)/(T153*(1-R153/100)),"н/д")</x:f>
        <x:v>н/д</x:v>
      </x:c>
      <x:c r="AD153" s="10" t="str">
        <x:f>IF(ISNUMBER(G153),IF(G153&lt;0,"Убыток",IF(G153=0,"Без прибыли","Прибыль &gt; 0")),"Не оценён")</x:f>
        <x:v>Не оценён</x:v>
      </x:c>
      <x:c r="AE153" s="13" t="str">
        <x:f>IF(J153="Рассчитано","Выручка "&amp;TEXT(V153,"0.00")&amp;" - себестоимость "&amp;TEXT(W153,"0.00")&amp;" - комиссия "&amp;TEXT(V153*R153/100,"0.00")&amp;" - доставка "&amp;TEXT(P153,"0.00")&amp;" - прочие "&amp;TEXT(Q153,"0.00")&amp;" = "&amp;TEXT(G153,"0.00")&amp;" "&amp;L153,"Введите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" s="24" t="n">
        <x:v>22.673129171518745</x:v>
      </x:c>
      <x:c r="AG153" s="37" t="n">
        <x:v>25</x:v>
      </x:c>
      <x:c r="AH153" s="37" t="n">
        <x:v>0</x:v>
      </x:c>
      <x:c r="AI153" s="30" t="n">
        <x:v>46266</x:v>
      </x:c>
      <x:c r="AJ153" s="37" t="n">
        <x:v>1</x:v>
      </x:c>
      <x:c r="AK153" s="10" t="str">
        <x:v>минимум</x:v>
      </x:c>
      <x:c r="AL153" s="32" t="n">
        <x:v>93.76647520377622</x:v>
      </x:c>
      <x:c r="AM153" s="13" t="str">
        <x:v>Остаток на начало сентября; Резервы неизвестны; Нет ежедневных данных доступности. Запас выше прогноза на 90 дней</x:v>
      </x:c>
      <x:c r="AN153" s="13" t="str">
        <x:v>Проверить свободный остаток и установить цену для B2B</x:v>
      </x:c>
      <x:c r="AO153" s="13" t="str">
        <x:v>Остаток 25; прогноз 90 дней 22.67; избыток 2 шт. Будущие поступления не выставляются на продажу. Остаток на начало сентября: требуется актуализация.</x:v>
      </x:c>
      <x:c r="AP153" s="13" t="str">
        <x:v>["category_missing", "daily_stockout_data_missing", "large_orders_detected", "negative_net_sales_clipped_for_forecast", "new_order_lead_time_unknown", "reservations_unknown", "stale_stock"]</x:v>
      </x:c>
      <x:c r="AQ153" s="10" t="str">
        <x:v>IEK:030200418_</x:v>
      </x:c>
      <x:c r="AR153" s="24" t="n">
        <x:v>1</x:v>
      </x:c>
      <x:c r="AS153" s="24" t="n">
        <x:v>0</x:v>
      </x:c>
      <x:c r="AT153" s="24" t="n">
        <x:v>0</x:v>
      </x:c>
    </x:row>
    <x:row r="154" ht="64" customHeight="1">
      <x:c r="A154" s="11" t="str">
        <x:v>IEK</x:v>
      </x:c>
      <x:c r="B154" s="33" t="str">
        <x:v>030200419_</x:v>
      </x:c>
      <x:c r="C154" s="33" t="str">
        <x:v>BR-V22-0-10-K47</x:v>
      </x:c>
      <x:c r="D154" s="12" t="str">
        <x:v>Выкл 2-кл. прох. б/рамки "BRITE" алюминий (1/100)</x:v>
      </x:c>
      <x:c r="E154" s="11" t="str">
        <x:v>шт</x:v>
      </x:c>
      <x:c r="F154" s="35" t="n">
        <x:f>MAX(0,ROUNDDOWN((AG154-AF154)/AR154+0.000000001,0)*AR154)</x:f>
        <x:v>15</x:v>
      </x:c>
      <x:c r="G154" s="20" t="str">
        <x:f>IF(J154="Рассчитано",V154*(1-R154/100)-W154-P154-Q154,"н/д")</x:f>
        <x:v>н/д</x:v>
      </x:c>
      <x:c r="H154" s="12" t="str">
        <x:v>Высокий</x:v>
      </x:c>
      <x:c r="I154" s="12" t="str">
        <x:v>Высокий</x:v>
      </x:c>
      <x:c r="J154" s="12" t="str">
        <x:f>IF(L154="","Укажите валюту",IF(NOT(ISNUMBER(K154)),"Укажите объём",IF(K154&lt;=0,"Укажите объём",IF(K154&gt;F154,"Объём выше излишка",IF(COUNT(M154:O154)&lt;3,"Нужны цены",IF(COUNT(P154:R154)&lt;3,"Нужны расходы",IF(OR(M154&lt;0,N154&lt;0,O154&lt;0,O154&gt;100,P154&lt;0,Q154&lt;0,R154&lt;0,R154&gt;100),"Проверьте значения","Рассчитано")))))))</x:f>
        <x:v>Нужны цены</x:v>
      </x:c>
      <x:c r="K154" s="36" t="n">
        <x:v>15</x:v>
      </x:c>
      <x:c r="L154" s="19" t="str">
        <x:v>KZT</x:v>
      </x:c>
      <x:c r="M154" s="22"/>
      <x:c r="N154" s="22"/>
      <x:c r="O154" s="28"/>
      <x:c r="P154" s="22"/>
      <x:c r="Q154" s="22"/>
      <x:c r="R154" s="28"/>
      <x:c r="S154" s="22"/>
      <x:c r="T154" s="35" t="n">
        <x:f>K154</x:f>
        <x:v>15</x:v>
      </x:c>
      <x:c r="U154" s="20" t="str">
        <x:f>IF(J154="Рассчитано",N154*(1-O154/100),"н/д")</x:f>
        <x:v>н/д</x:v>
      </x:c>
      <x:c r="V154" s="20" t="str">
        <x:f>IF(J154="Рассчитано",T154*U154,"н/д")</x:f>
        <x:v>н/д</x:v>
      </x:c>
      <x:c r="W154" s="20" t="str">
        <x:f>IF(J154="Рассчитано",T154*M154,"н/д")</x:f>
        <x:v>н/д</x:v>
      </x:c>
      <x:c r="X154" s="20" t="str">
        <x:f>IF(J154="Рассчитано",V154-W154,"н/д")</x:f>
        <x:v>н/д</x:v>
      </x:c>
      <x:c r="Y154" s="26" t="str">
        <x:f>IF(J154="Рассчитано",IF(V154&gt;0,G154/V154,"н/д"),"н/д")</x:f>
        <x:v>н/д</x:v>
      </x:c>
      <x:c r="Z154" s="20" t="str">
        <x:f>"н/д"</x:f>
        <x:v>н/д</x:v>
      </x:c>
      <x:c r="AA154" s="20" t="str">
        <x:f>"н/д"</x:f>
        <x:v>н/д</x:v>
      </x:c>
      <x:c r="AB154" s="20" t="str">
        <x:f>"н/д"</x:f>
        <x:v>н/д</x:v>
      </x:c>
      <x:c r="AC154" s="20" t="str">
        <x:f>IF(AND(J154="Рассчитано",T154&gt;0,R154&lt;100),(W154+P154+Q154)/(T154*(1-R154/100)),"н/д")</x:f>
        <x:v>н/д</x:v>
      </x:c>
      <x:c r="AD154" s="11" t="str">
        <x:f>IF(ISNUMBER(G154),IF(G154&lt;0,"Убыток",IF(G154=0,"Без прибыли","Прибыль &gt; 0")),"Не оценён")</x:f>
        <x:v>Не оценён</x:v>
      </x:c>
      <x:c r="AE154" s="12" t="str">
        <x:f>IF(J154="Рассчитано","Выручка "&amp;TEXT(V154,"0.00")&amp;" - себестоимость "&amp;TEXT(W154,"0.00")&amp;" - комиссия "&amp;TEXT(V154*R154/100,"0.00")&amp;" - доставка "&amp;TEXT(P154,"0.00")&amp;" - прочие "&amp;TEXT(Q154,"0.00")&amp;" = "&amp;TEXT(G154,"0.00")&amp;" "&amp;L154,"Введите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" s="23" t="n">
        <x:v>3.690072410484319</x:v>
      </x:c>
      <x:c r="AG154" s="35" t="n">
        <x:v>19</x:v>
      </x:c>
      <x:c r="AH154" s="35" t="n">
        <x:v>0</x:v>
      </x:c>
      <x:c r="AI154" s="29" t="n">
        <x:v>46266</x:v>
      </x:c>
      <x:c r="AJ154" s="35" t="n">
        <x:v>1</x:v>
      </x:c>
      <x:c r="AK154" s="11" t="str">
        <x:v>минимум</x:v>
      </x:c>
      <x:c r="AL154" s="31" t="n">
        <x:v>437.86250444347974</x:v>
      </x:c>
      <x:c r="AM15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54" s="12" t="str">
        <x:v>Проверить свободный остаток и установить цену для B2B</x:v>
      </x:c>
      <x:c r="AO154" s="12" t="str">
        <x:v>Остаток 19; прогноз 90 дней 3.69; избыток 15 шт. Будущие поступления не выставляются на продажу. Остаток на начало сентября: требуется актуализация.</x:v>
      </x:c>
      <x:c r="AP154" s="12" t="str">
        <x:v>["category_missing", "daily_stockout_data_missing", "negative_net_sales_clipped_for_forecast", "new_order_lead_time_unknown", "reservations_unknown", "stale_stock"]</x:v>
      </x:c>
      <x:c r="AQ154" s="11" t="str">
        <x:v>IEK:030200419_</x:v>
      </x:c>
      <x:c r="AR154" s="23" t="n">
        <x:v>1</x:v>
      </x:c>
      <x:c r="AS154" s="23" t="n">
        <x:v>0</x:v>
      </x:c>
      <x:c r="AT154" s="23" t="n">
        <x:v>0</x:v>
      </x:c>
    </x:row>
    <x:row r="155" ht="64" customHeight="1">
      <x:c r="A155" s="10" t="str">
        <x:v>IEK</x:v>
      </x:c>
      <x:c r="B155" s="34" t="str">
        <x:v>030200420_</x:v>
      </x:c>
      <x:c r="C155" s="34" t="str">
        <x:v>BR-V10-0-10-K36</x:v>
      </x:c>
      <x:c r="D155" s="13" t="str">
        <x:v>Выкл 1-кл. 10А б/рамки "BRITE" жемчуг (1/100)</x:v>
      </x:c>
      <x:c r="E155" s="10" t="str">
        <x:v>шт</x:v>
      </x:c>
      <x:c r="F155" s="37" t="n">
        <x:f>MAX(0,ROUNDDOWN((AG155-AF155)/AR155+0.000000001,0)*AR155)</x:f>
        <x:v>65</x:v>
      </x:c>
      <x:c r="G155" s="21" t="str">
        <x:f>IF(J155="Рассчитано",V155*(1-R155/100)-W155-P155-Q155,"н/д")</x:f>
        <x:v>н/д</x:v>
      </x:c>
      <x:c r="H155" s="13" t="str">
        <x:v>Высокий</x:v>
      </x:c>
      <x:c r="I155" s="13" t="str">
        <x:v>Средний</x:v>
      </x:c>
      <x:c r="J155" s="13" t="str">
        <x:f>IF(L155="","Укажите валюту",IF(NOT(ISNUMBER(K155)),"Укажите объём",IF(K155&lt;=0,"Укажите объём",IF(K155&gt;F155,"Объём выше излишка",IF(COUNT(M155:O155)&lt;3,"Нужны цены",IF(COUNT(P155:R155)&lt;3,"Нужны расходы",IF(OR(M155&lt;0,N155&lt;0,O155&lt;0,O155&gt;100,P155&lt;0,Q155&lt;0,R155&lt;0,R155&gt;100),"Проверьте значения","Рассчитано")))))))</x:f>
        <x:v>Нужны цены</x:v>
      </x:c>
      <x:c r="K155" s="36" t="n">
        <x:v>65</x:v>
      </x:c>
      <x:c r="L155" s="19" t="str">
        <x:v>KZT</x:v>
      </x:c>
      <x:c r="M155" s="22"/>
      <x:c r="N155" s="22"/>
      <x:c r="O155" s="28"/>
      <x:c r="P155" s="22"/>
      <x:c r="Q155" s="22"/>
      <x:c r="R155" s="28"/>
      <x:c r="S155" s="22"/>
      <x:c r="T155" s="37" t="n">
        <x:f>K155</x:f>
        <x:v>65</x:v>
      </x:c>
      <x:c r="U155" s="21" t="str">
        <x:f>IF(J155="Рассчитано",N155*(1-O155/100),"н/д")</x:f>
        <x:v>н/д</x:v>
      </x:c>
      <x:c r="V155" s="21" t="str">
        <x:f>IF(J155="Рассчитано",T155*U155,"н/д")</x:f>
        <x:v>н/д</x:v>
      </x:c>
      <x:c r="W155" s="21" t="str">
        <x:f>IF(J155="Рассчитано",T155*M155,"н/д")</x:f>
        <x:v>н/д</x:v>
      </x:c>
      <x:c r="X155" s="21" t="str">
        <x:f>IF(J155="Рассчитано",V155-W155,"н/д")</x:f>
        <x:v>н/д</x:v>
      </x:c>
      <x:c r="Y155" s="27" t="str">
        <x:f>IF(J155="Рассчитано",IF(V155&gt;0,G155/V155,"н/д"),"н/д")</x:f>
        <x:v>н/д</x:v>
      </x:c>
      <x:c r="Z155" s="21" t="str">
        <x:f>"н/д"</x:f>
        <x:v>н/д</x:v>
      </x:c>
      <x:c r="AA155" s="21" t="str">
        <x:f>"н/д"</x:f>
        <x:v>н/д</x:v>
      </x:c>
      <x:c r="AB155" s="21" t="str">
        <x:f>"н/д"</x:f>
        <x:v>н/д</x:v>
      </x:c>
      <x:c r="AC155" s="21" t="str">
        <x:f>IF(AND(J155="Рассчитано",T155&gt;0,R155&lt;100),(W155+P155+Q155)/(T155*(1-R155/100)),"н/д")</x:f>
        <x:v>н/д</x:v>
      </x:c>
      <x:c r="AD155" s="10" t="str">
        <x:f>IF(ISNUMBER(G155),IF(G155&lt;0,"Убыток",IF(G155=0,"Без прибыли","Прибыль &gt; 0")),"Не оценён")</x:f>
        <x:v>Не оценён</x:v>
      </x:c>
      <x:c r="AE155" s="13" t="str">
        <x:f>IF(J155="Рассчитано","Выручка "&amp;TEXT(V155,"0.00")&amp;" - себестоимость "&amp;TEXT(W155,"0.00")&amp;" - комиссия "&amp;TEXT(V155*R155/100,"0.00")&amp;" - доставка "&amp;TEXT(P155,"0.00")&amp;" - прочие "&amp;TEXT(Q155,"0.00")&amp;" = "&amp;TEXT(G155,"0.00")&amp;" "&amp;L155,"Введите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" s="24" t="n">
        <x:v>63.58013720362891</x:v>
      </x:c>
      <x:c r="AG155" s="37" t="n">
        <x:v>129</x:v>
      </x:c>
      <x:c r="AH155" s="37" t="n">
        <x:v>0</x:v>
      </x:c>
      <x:c r="AI155" s="30" t="n">
        <x:v>46266</x:v>
      </x:c>
      <x:c r="AJ155" s="37" t="n">
        <x:v>1</x:v>
      </x:c>
      <x:c r="AK155" s="10" t="str">
        <x:v>минимум</x:v>
      </x:c>
      <x:c r="AL155" s="32" t="n">
        <x:v>172.53900680982645</x:v>
      </x:c>
      <x:c r="AM155" s="13" t="str">
        <x:v>Остаток на начало сентября; Резервы неизвестны; Нет ежедневных данных доступности. Запас выше прогноза на 90 дней</x:v>
      </x:c>
      <x:c r="AN155" s="13" t="str">
        <x:v>Проверить свободный остаток и установить цену для B2B</x:v>
      </x:c>
      <x:c r="AO155" s="13" t="str">
        <x:v>Остаток 129; прогноз 90 дней 63.58; избыток 65 шт. Будущие поступления не выставляются на продажу. Остаток на начало сентября: требуется актуализация.</x:v>
      </x:c>
      <x:c r="AP155" s="13" t="str">
        <x:v>["category_missing", "daily_stockout_data_missing", "new_order_lead_time_unknown", "reservations_unknown", "stale_stock"]</x:v>
      </x:c>
      <x:c r="AQ155" s="10" t="str">
        <x:v>IEK:030200420_</x:v>
      </x:c>
      <x:c r="AR155" s="24" t="n">
        <x:v>1</x:v>
      </x:c>
      <x:c r="AS155" s="24" t="n">
        <x:v>0</x:v>
      </x:c>
      <x:c r="AT155" s="24" t="n">
        <x:v>0</x:v>
      </x:c>
    </x:row>
    <x:row r="156" ht="64" customHeight="1">
      <x:c r="A156" s="11" t="str">
        <x:v>IEK</x:v>
      </x:c>
      <x:c r="B156" s="33" t="str">
        <x:v>030200421_</x:v>
      </x:c>
      <x:c r="C156" s="33" t="str">
        <x:v>BR-V10-1-10-K36</x:v>
      </x:c>
      <x:c r="D156" s="12" t="str">
        <x:v>Выкл 1-кл. с инд. 10А б/рамки "BRITE" жемчуг (1/100)</x:v>
      </x:c>
      <x:c r="E156" s="11" t="str">
        <x:v>шт</x:v>
      </x:c>
      <x:c r="F156" s="35" t="n">
        <x:f>MAX(0,ROUNDDOWN((AG156-AF156)/AR156+0.000000001,0)*AR156)</x:f>
        <x:v>4</x:v>
      </x:c>
      <x:c r="G156" s="20" t="str">
        <x:f>IF(J156="Рассчитано",V156*(1-R156/100)-W156-P156-Q156,"н/д")</x:f>
        <x:v>н/д</x:v>
      </x:c>
      <x:c r="H156" s="12" t="str">
        <x:v>Высокий</x:v>
      </x:c>
      <x:c r="I156" s="12" t="str">
        <x:v>Средний</x:v>
      </x:c>
      <x:c r="J156" s="12" t="str">
        <x:f>IF(L156="","Укажите валюту",IF(NOT(ISNUMBER(K156)),"Укажите объём",IF(K156&lt;=0,"Укажите объём",IF(K156&gt;F156,"Объём выше излишка",IF(COUNT(M156:O156)&lt;3,"Нужны цены",IF(COUNT(P156:R156)&lt;3,"Нужны расходы",IF(OR(M156&lt;0,N156&lt;0,O156&lt;0,O156&gt;100,P156&lt;0,Q156&lt;0,R156&lt;0,R156&gt;100),"Проверьте значения","Рассчитано")))))))</x:f>
        <x:v>Нужны цены</x:v>
      </x:c>
      <x:c r="K156" s="36" t="n">
        <x:v>4</x:v>
      </x:c>
      <x:c r="L156" s="19" t="str">
        <x:v>KZT</x:v>
      </x:c>
      <x:c r="M156" s="22"/>
      <x:c r="N156" s="22"/>
      <x:c r="O156" s="28"/>
      <x:c r="P156" s="22"/>
      <x:c r="Q156" s="22"/>
      <x:c r="R156" s="28"/>
      <x:c r="S156" s="22"/>
      <x:c r="T156" s="35" t="n">
        <x:f>K156</x:f>
        <x:v>4</x:v>
      </x:c>
      <x:c r="U156" s="20" t="str">
        <x:f>IF(J156="Рассчитано",N156*(1-O156/100),"н/д")</x:f>
        <x:v>н/д</x:v>
      </x:c>
      <x:c r="V156" s="20" t="str">
        <x:f>IF(J156="Рассчитано",T156*U156,"н/д")</x:f>
        <x:v>н/д</x:v>
      </x:c>
      <x:c r="W156" s="20" t="str">
        <x:f>IF(J156="Рассчитано",T156*M156,"н/д")</x:f>
        <x:v>н/д</x:v>
      </x:c>
      <x:c r="X156" s="20" t="str">
        <x:f>IF(J156="Рассчитано",V156-W156,"н/д")</x:f>
        <x:v>н/д</x:v>
      </x:c>
      <x:c r="Y156" s="26" t="str">
        <x:f>IF(J156="Рассчитано",IF(V156&gt;0,G156/V156,"н/д"),"н/д")</x:f>
        <x:v>н/д</x:v>
      </x:c>
      <x:c r="Z156" s="20" t="str">
        <x:f>"н/д"</x:f>
        <x:v>н/д</x:v>
      </x:c>
      <x:c r="AA156" s="20" t="str">
        <x:f>"н/д"</x:f>
        <x:v>н/д</x:v>
      </x:c>
      <x:c r="AB156" s="20" t="str">
        <x:f>"н/д"</x:f>
        <x:v>н/д</x:v>
      </x:c>
      <x:c r="AC156" s="20" t="str">
        <x:f>IF(AND(J156="Рассчитано",T156&gt;0,R156&lt;100),(W156+P156+Q156)/(T156*(1-R156/100)),"н/д")</x:f>
        <x:v>н/д</x:v>
      </x:c>
      <x:c r="AD156" s="11" t="str">
        <x:f>IF(ISNUMBER(G156),IF(G156&lt;0,"Убыток",IF(G156=0,"Без прибыли","Прибыль &gt; 0")),"Не оценён")</x:f>
        <x:v>Не оценён</x:v>
      </x:c>
      <x:c r="AE156" s="12" t="str">
        <x:f>IF(J156="Рассчитано","Выручка "&amp;TEXT(V156,"0.00")&amp;" - себестоимость "&amp;TEXT(W156,"0.00")&amp;" - комиссия "&amp;TEXT(V156*R156/100,"0.00")&amp;" - доставка "&amp;TEXT(P156,"0.00")&amp;" - прочие "&amp;TEXT(Q156,"0.00")&amp;" = "&amp;TEXT(G156,"0.00")&amp;" "&amp;L156,"Введите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6" s="23" t="n">
        <x:v>6.817652150701673</x:v>
      </x:c>
      <x:c r="AG156" s="35" t="n">
        <x:v>11</x:v>
      </x:c>
      <x:c r="AH156" s="35" t="n">
        <x:v>0</x:v>
      </x:c>
      <x:c r="AI156" s="29" t="n">
        <x:v>46266</x:v>
      </x:c>
      <x:c r="AJ156" s="35" t="n">
        <x:v>1</x:v>
      </x:c>
      <x:c r="AK156" s="11" t="str">
        <x:v>минимум</x:v>
      </x:c>
      <x:c r="AL156" s="31" t="n">
        <x:v>137.2071964356741</x:v>
      </x:c>
      <x:c r="AM156" s="12" t="str">
        <x:v>Остаток на начало сентября; Резервы неизвестны; Нет ежедневных данных доступности. Запас выше прогноза на 90 дней</x:v>
      </x:c>
      <x:c r="AN156" s="12" t="str">
        <x:v>Проверить свободный остаток и установить цену для B2B</x:v>
      </x:c>
      <x:c r="AO156" s="12" t="str">
        <x:v>Остаток 11; прогноз 90 дней 6.82; избыток 4 шт. Будущие поступления не выставляются на продажу. Остаток на начало сентября: требуется актуализация.</x:v>
      </x:c>
      <x:c r="AP156" s="12" t="str">
        <x:v>["category_missing", "daily_stockout_data_missing", "new_order_lead_time_unknown", "reservations_unknown", "stale_stock"]</x:v>
      </x:c>
      <x:c r="AQ156" s="11" t="str">
        <x:v>IEK:030200421_</x:v>
      </x:c>
      <x:c r="AR156" s="23" t="n">
        <x:v>1</x:v>
      </x:c>
      <x:c r="AS156" s="23" t="n">
        <x:v>0</x:v>
      </x:c>
      <x:c r="AT156" s="23" t="n">
        <x:v>0</x:v>
      </x:c>
    </x:row>
    <x:row r="157" ht="64" customHeight="1">
      <x:c r="A157" s="10" t="str">
        <x:v>IEK</x:v>
      </x:c>
      <x:c r="B157" s="34" t="str">
        <x:v>030200422_</x:v>
      </x:c>
      <x:c r="C157" s="34" t="str">
        <x:v>BR-V20-0-10-K36</x:v>
      </x:c>
      <x:c r="D157" s="13" t="str">
        <x:v>Выкл 2-кл. 10А б/рамки "BRITE" жемчуг (1/100)</x:v>
      </x:c>
      <x:c r="E157" s="10" t="str">
        <x:v>шт</x:v>
      </x:c>
      <x:c r="F157" s="37" t="n">
        <x:f>MAX(0,ROUNDDOWN((AG157-AF157)/AR157+0.000000001,0)*AR157)</x:f>
        <x:v>39</x:v>
      </x:c>
      <x:c r="G157" s="21" t="str">
        <x:f>IF(J157="Рассчитано",V157*(1-R157/100)-W157-P157-Q157,"н/д")</x:f>
        <x:v>н/д</x:v>
      </x:c>
      <x:c r="H157" s="13" t="str">
        <x:v>Высокий</x:v>
      </x:c>
      <x:c r="I157" s="13" t="str">
        <x:v>Средний</x:v>
      </x:c>
      <x:c r="J157" s="13" t="str">
        <x:f>IF(L157="","Укажите валюту",IF(NOT(ISNUMBER(K157)),"Укажите объём",IF(K157&lt;=0,"Укажите объём",IF(K157&gt;F157,"Объём выше излишка",IF(COUNT(M157:O157)&lt;3,"Нужны цены",IF(COUNT(P157:R157)&lt;3,"Нужны расходы",IF(OR(M157&lt;0,N157&lt;0,O157&lt;0,O157&gt;100,P157&lt;0,Q157&lt;0,R157&lt;0,R157&gt;100),"Проверьте значения","Рассчитано")))))))</x:f>
        <x:v>Нужны цены</x:v>
      </x:c>
      <x:c r="K157" s="36" t="n">
        <x:v>39</x:v>
      </x:c>
      <x:c r="L157" s="19" t="str">
        <x:v>KZT</x:v>
      </x:c>
      <x:c r="M157" s="22"/>
      <x:c r="N157" s="22"/>
      <x:c r="O157" s="28"/>
      <x:c r="P157" s="22"/>
      <x:c r="Q157" s="22"/>
      <x:c r="R157" s="28"/>
      <x:c r="S157" s="22"/>
      <x:c r="T157" s="37" t="n">
        <x:f>K157</x:f>
        <x:v>39</x:v>
      </x:c>
      <x:c r="U157" s="21" t="str">
        <x:f>IF(J157="Рассчитано",N157*(1-O157/100),"н/д")</x:f>
        <x:v>н/д</x:v>
      </x:c>
      <x:c r="V157" s="21" t="str">
        <x:f>IF(J157="Рассчитано",T157*U157,"н/д")</x:f>
        <x:v>н/д</x:v>
      </x:c>
      <x:c r="W157" s="21" t="str">
        <x:f>IF(J157="Рассчитано",T157*M157,"н/д")</x:f>
        <x:v>н/д</x:v>
      </x:c>
      <x:c r="X157" s="21" t="str">
        <x:f>IF(J157="Рассчитано",V157-W157,"н/д")</x:f>
        <x:v>н/д</x:v>
      </x:c>
      <x:c r="Y157" s="27" t="str">
        <x:f>IF(J157="Рассчитано",IF(V157&gt;0,G157/V157,"н/д"),"н/д")</x:f>
        <x:v>н/д</x:v>
      </x:c>
      <x:c r="Z157" s="21" t="str">
        <x:f>"н/д"</x:f>
        <x:v>н/д</x:v>
      </x:c>
      <x:c r="AA157" s="21" t="str">
        <x:f>"н/д"</x:f>
        <x:v>н/д</x:v>
      </x:c>
      <x:c r="AB157" s="21" t="str">
        <x:f>"н/д"</x:f>
        <x:v>н/д</x:v>
      </x:c>
      <x:c r="AC157" s="21" t="str">
        <x:f>IF(AND(J157="Рассчитано",T157&gt;0,R157&lt;100),(W157+P157+Q157)/(T157*(1-R157/100)),"н/д")</x:f>
        <x:v>н/д</x:v>
      </x:c>
      <x:c r="AD157" s="10" t="str">
        <x:f>IF(ISNUMBER(G157),IF(G157&lt;0,"Убыток",IF(G157=0,"Без прибыли","Прибыль &gt; 0")),"Не оценён")</x:f>
        <x:v>Не оценён</x:v>
      </x:c>
      <x:c r="AE157" s="13" t="str">
        <x:f>IF(J157="Рассчитано","Выручка "&amp;TEXT(V157,"0.00")&amp;" - себестоимость "&amp;TEXT(W157,"0.00")&amp;" - комиссия "&amp;TEXT(V157*R157/100,"0.00")&amp;" - доставка "&amp;TEXT(P157,"0.00")&amp;" - прочие "&amp;TEXT(Q157,"0.00")&amp;" = "&amp;TEXT(G157,"0.00")&amp;" "&amp;L157,"Введите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7" s="24" t="n">
        <x:v>39.21090569969297</x:v>
      </x:c>
      <x:c r="AG157" s="37" t="n">
        <x:v>79</x:v>
      </x:c>
      <x:c r="AH157" s="37" t="n">
        <x:v>0</x:v>
      </x:c>
      <x:c r="AI157" s="30" t="n">
        <x:v>46266</x:v>
      </x:c>
      <x:c r="AJ157" s="37" t="n">
        <x:v>1</x:v>
      </x:c>
      <x:c r="AK157" s="10" t="str">
        <x:v>минимум</x:v>
      </x:c>
      <x:c r="AL157" s="32" t="n">
        <x:v>171.3323066009361</x:v>
      </x:c>
      <x:c r="AM157" s="13" t="str">
        <x:v>Остаток на начало сентября; Резервы неизвестны; Нет ежедневных данных доступности. Запас выше прогноза на 90 дней</x:v>
      </x:c>
      <x:c r="AN157" s="13" t="str">
        <x:v>Проверить свободный остаток и установить цену для B2B</x:v>
      </x:c>
      <x:c r="AO157" s="13" t="str">
        <x:v>Остаток 79; прогноз 90 дней 39.21; избыток 39 шт. Будущие поступления не выставляются на продажу. Остаток на начало сентября: требуется актуализация.</x:v>
      </x:c>
      <x:c r="AP157" s="13" t="str">
        <x:v>["category_missing", "daily_stockout_data_missing", "new_order_lead_time_unknown", "reservations_unknown", "stale_stock"]</x:v>
      </x:c>
      <x:c r="AQ157" s="10" t="str">
        <x:v>IEK:030200422_</x:v>
      </x:c>
      <x:c r="AR157" s="24" t="n">
        <x:v>1</x:v>
      </x:c>
      <x:c r="AS157" s="24" t="n">
        <x:v>0</x:v>
      </x:c>
      <x:c r="AT157" s="24" t="n">
        <x:v>0</x:v>
      </x:c>
    </x:row>
    <x:row r="158" ht="64" customHeight="1">
      <x:c r="A158" s="11" t="str">
        <x:v>IEK</x:v>
      </x:c>
      <x:c r="B158" s="33" t="str">
        <x:v>030200424_</x:v>
      </x:c>
      <x:c r="C158" s="33" t="str">
        <x:v>BR-K10-1-K36</x:v>
      </x:c>
      <x:c r="D158" s="12" t="str">
        <x:v>Роз. комп. RJ45 кат.5E б/рамки "BRITE" жемчуг (1/100)</x:v>
      </x:c>
      <x:c r="E158" s="11" t="str">
        <x:v>шт</x:v>
      </x:c>
      <x:c r="F158" s="35" t="n">
        <x:f>MAX(0,ROUNDDOWN((AG158-AF158)/AR158+0.000000001,0)*AR158)</x:f>
        <x:v>2</x:v>
      </x:c>
      <x:c r="G158" s="20" t="str">
        <x:f>IF(J158="Рассчитано",V158*(1-R158/100)-W158-P158-Q158,"н/д")</x:f>
        <x:v>н/д</x:v>
      </x:c>
      <x:c r="H158" s="12" t="str">
        <x:v>Высокий</x:v>
      </x:c>
      <x:c r="I158" s="12" t="str">
        <x:v>Средний</x:v>
      </x:c>
      <x:c r="J158" s="12" t="str">
        <x:f>IF(L158="","Укажите валюту",IF(NOT(ISNUMBER(K158)),"Укажите объём",IF(K158&lt;=0,"Укажите объём",IF(K158&gt;F158,"Объём выше излишка",IF(COUNT(M158:O158)&lt;3,"Нужны цены",IF(COUNT(P158:R158)&lt;3,"Нужны расходы",IF(OR(M158&lt;0,N158&lt;0,O158&lt;0,O158&gt;100,P158&lt;0,Q158&lt;0,R158&lt;0,R158&gt;100),"Проверьте значения","Рассчитано")))))))</x:f>
        <x:v>Нужны цены</x:v>
      </x:c>
      <x:c r="K158" s="36" t="n">
        <x:v>2</x:v>
      </x:c>
      <x:c r="L158" s="19" t="str">
        <x:v>KZT</x:v>
      </x:c>
      <x:c r="M158" s="22"/>
      <x:c r="N158" s="22"/>
      <x:c r="O158" s="28"/>
      <x:c r="P158" s="22"/>
      <x:c r="Q158" s="22"/>
      <x:c r="R158" s="28"/>
      <x:c r="S158" s="22"/>
      <x:c r="T158" s="35" t="n">
        <x:f>K158</x:f>
        <x:v>2</x:v>
      </x:c>
      <x:c r="U158" s="20" t="str">
        <x:f>IF(J158="Рассчитано",N158*(1-O158/100),"н/д")</x:f>
        <x:v>н/д</x:v>
      </x:c>
      <x:c r="V158" s="20" t="str">
        <x:f>IF(J158="Рассчитано",T158*U158,"н/д")</x:f>
        <x:v>н/д</x:v>
      </x:c>
      <x:c r="W158" s="20" t="str">
        <x:f>IF(J158="Рассчитано",T158*M158,"н/д")</x:f>
        <x:v>н/д</x:v>
      </x:c>
      <x:c r="X158" s="20" t="str">
        <x:f>IF(J158="Рассчитано",V158-W158,"н/д")</x:f>
        <x:v>н/д</x:v>
      </x:c>
      <x:c r="Y158" s="26" t="str">
        <x:f>IF(J158="Рассчитано",IF(V158&gt;0,G158/V158,"н/д"),"н/д")</x:f>
        <x:v>н/д</x:v>
      </x:c>
      <x:c r="Z158" s="20" t="str">
        <x:f>"н/д"</x:f>
        <x:v>н/д</x:v>
      </x:c>
      <x:c r="AA158" s="20" t="str">
        <x:f>"н/д"</x:f>
        <x:v>н/д</x:v>
      </x:c>
      <x:c r="AB158" s="20" t="str">
        <x:f>"н/д"</x:f>
        <x:v>н/д</x:v>
      </x:c>
      <x:c r="AC158" s="20" t="str">
        <x:f>IF(AND(J158="Рассчитано",T158&gt;0,R158&lt;100),(W158+P158+Q158)/(T158*(1-R158/100)),"н/д")</x:f>
        <x:v>н/д</x:v>
      </x:c>
      <x:c r="AD158" s="11" t="str">
        <x:f>IF(ISNUMBER(G158),IF(G158&lt;0,"Убыток",IF(G158=0,"Без прибыли","Прибыль &gt; 0")),"Не оценён")</x:f>
        <x:v>Не оценён</x:v>
      </x:c>
      <x:c r="AE158" s="12" t="str">
        <x:f>IF(J158="Рассчитано","Выручка "&amp;TEXT(V158,"0.00")&amp;" - себестоимость "&amp;TEXT(W158,"0.00")&amp;" - комиссия "&amp;TEXT(V158*R158/100,"0.00")&amp;" - доставка "&amp;TEXT(P158,"0.00")&amp;" - прочие "&amp;TEXT(Q158,"0.00")&amp;" = "&amp;TEXT(G158,"0.00")&amp;" "&amp;L158,"Введите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8" s="23" t="n">
        <x:v>8.776489352977034</x:v>
      </x:c>
      <x:c r="AG158" s="35" t="n">
        <x:v>11</x:v>
      </x:c>
      <x:c r="AH158" s="35" t="n">
        <x:v>0</x:v>
      </x:c>
      <x:c r="AI158" s="29" t="n">
        <x:v>46266</x:v>
      </x:c>
      <x:c r="AJ158" s="35" t="n">
        <x:v>1</x:v>
      </x:c>
      <x:c r="AK158" s="11" t="str">
        <x:v>минимум</x:v>
      </x:c>
      <x:c r="AL158" s="31" t="n">
        <x:v>106.58372616314013</x:v>
      </x:c>
      <x:c r="AM158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158" s="12" t="str">
        <x:v>Проверить свободный остаток и установить цену для B2B</x:v>
      </x:c>
      <x:c r="AO158" s="12" t="str">
        <x:v>Остаток 11; прогноз 90 дней 8.78; избыток 2 шт. Будущие поступления не выставляются на продажу. Остаток на начало сентября: требуется актуализация.</x:v>
      </x:c>
      <x:c r="AP158" s="12" t="str">
        <x:v>["category_missing", "daily_stockout_data_missing", "new_order_lead_time_unknown", "reservations_unknown", "stale_stock", "stockout_proxy_used"]</x:v>
      </x:c>
      <x:c r="AQ158" s="11" t="str">
        <x:v>IEK:030200424_</x:v>
      </x:c>
      <x:c r="AR158" s="23" t="n">
        <x:v>1</x:v>
      </x:c>
      <x:c r="AS158" s="23" t="n">
        <x:v>0</x:v>
      </x:c>
      <x:c r="AT158" s="23" t="n">
        <x:v>0</x:v>
      </x:c>
    </x:row>
    <x:row r="159" ht="64" customHeight="1">
      <x:c r="A159" s="10" t="str">
        <x:v>IEK</x:v>
      </x:c>
      <x:c r="B159" s="34" t="str">
        <x:v>030200425_</x:v>
      </x:c>
      <x:c r="C159" s="34" t="str">
        <x:v>BR-V12-0-10-K36</x:v>
      </x:c>
      <x:c r="D159" s="13" t="str">
        <x:v>Выкл 1-кл. прох. 10А б/рамки "BRITE" жемчуг (1/100)</x:v>
      </x:c>
      <x:c r="E159" s="10" t="str">
        <x:v>шт</x:v>
      </x:c>
      <x:c r="F159" s="37" t="n">
        <x:f>MAX(0,ROUNDDOWN((AG159-AF159)/AR159+0.000000001,0)*AR159)</x:f>
        <x:v>25</x:v>
      </x:c>
      <x:c r="G159" s="21" t="str">
        <x:f>IF(J159="Рассчитано",V159*(1-R159/100)-W159-P159-Q159,"н/д")</x:f>
        <x:v>н/д</x:v>
      </x:c>
      <x:c r="H159" s="13" t="str">
        <x:v>Высокий</x:v>
      </x:c>
      <x:c r="I159" s="13" t="str">
        <x:v>Высокий</x:v>
      </x:c>
      <x:c r="J159" s="13" t="str">
        <x:f>IF(L159="","Укажите валюту",IF(NOT(ISNUMBER(K159)),"Укажите объём",IF(K159&lt;=0,"Укажите объём",IF(K159&gt;F159,"Объём выше излишка",IF(COUNT(M159:O159)&lt;3,"Нужны цены",IF(COUNT(P159:R159)&lt;3,"Нужны расходы",IF(OR(M159&lt;0,N159&lt;0,O159&lt;0,O159&gt;100,P159&lt;0,Q159&lt;0,R159&lt;0,R159&gt;100),"Проверьте значения","Рассчитано")))))))</x:f>
        <x:v>Нужны цены</x:v>
      </x:c>
      <x:c r="K159" s="36" t="n">
        <x:v>25</x:v>
      </x:c>
      <x:c r="L159" s="19" t="str">
        <x:v>KZT</x:v>
      </x:c>
      <x:c r="M159" s="22"/>
      <x:c r="N159" s="22"/>
      <x:c r="O159" s="28"/>
      <x:c r="P159" s="22"/>
      <x:c r="Q159" s="22"/>
      <x:c r="R159" s="28"/>
      <x:c r="S159" s="22"/>
      <x:c r="T159" s="37" t="n">
        <x:f>K159</x:f>
        <x:v>25</x:v>
      </x:c>
      <x:c r="U159" s="21" t="str">
        <x:f>IF(J159="Рассчитано",N159*(1-O159/100),"н/д")</x:f>
        <x:v>н/д</x:v>
      </x:c>
      <x:c r="V159" s="21" t="str">
        <x:f>IF(J159="Рассчитано",T159*U159,"н/д")</x:f>
        <x:v>н/д</x:v>
      </x:c>
      <x:c r="W159" s="21" t="str">
        <x:f>IF(J159="Рассчитано",T159*M159,"н/д")</x:f>
        <x:v>н/д</x:v>
      </x:c>
      <x:c r="X159" s="21" t="str">
        <x:f>IF(J159="Рассчитано",V159-W159,"н/д")</x:f>
        <x:v>н/д</x:v>
      </x:c>
      <x:c r="Y159" s="27" t="str">
        <x:f>IF(J159="Рассчитано",IF(V159&gt;0,G159/V159,"н/д"),"н/д")</x:f>
        <x:v>н/д</x:v>
      </x:c>
      <x:c r="Z159" s="21" t="str">
        <x:f>"н/д"</x:f>
        <x:v>н/д</x:v>
      </x:c>
      <x:c r="AA159" s="21" t="str">
        <x:f>"н/д"</x:f>
        <x:v>н/д</x:v>
      </x:c>
      <x:c r="AB159" s="21" t="str">
        <x:f>"н/д"</x:f>
        <x:v>н/д</x:v>
      </x:c>
      <x:c r="AC159" s="21" t="str">
        <x:f>IF(AND(J159="Рассчитано",T159&gt;0,R159&lt;100),(W159+P159+Q159)/(T159*(1-R159/100)),"н/д")</x:f>
        <x:v>н/д</x:v>
      </x:c>
      <x:c r="AD159" s="10" t="str">
        <x:f>IF(ISNUMBER(G159),IF(G159&lt;0,"Убыток",IF(G159=0,"Без прибыли","Прибыль &gt; 0")),"Не оценён")</x:f>
        <x:v>Не оценён</x:v>
      </x:c>
      <x:c r="AE159" s="13" t="str">
        <x:f>IF(J159="Рассчитано","Выручка "&amp;TEXT(V159,"0.00")&amp;" - себестоимость "&amp;TEXT(W159,"0.00")&amp;" - комиссия "&amp;TEXT(V159*R159/100,"0.00")&amp;" - доставка "&amp;TEXT(P159,"0.00")&amp;" - прочие "&amp;TEXT(Q159,"0.00")&amp;" = "&amp;TEXT(G159,"0.00")&amp;" "&amp;L159,"Введите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9" s="24" t="n">
        <x:v>11.929373911657434</x:v>
      </x:c>
      <x:c r="AG159" s="37" t="n">
        <x:v>37</x:v>
      </x:c>
      <x:c r="AH159" s="37" t="n">
        <x:v>0</x:v>
      </x:c>
      <x:c r="AI159" s="30" t="n">
        <x:v>46266</x:v>
      </x:c>
      <x:c r="AJ159" s="37" t="n">
        <x:v>1</x:v>
      </x:c>
      <x:c r="AK159" s="10" t="str">
        <x:v>минимум</x:v>
      </x:c>
      <x:c r="AL159" s="32" t="n">
        <x:v>263.7564671537414</x:v>
      </x:c>
      <x:c r="AM15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59" s="13" t="str">
        <x:v>Проверить свободный остаток и установить цену для B2B</x:v>
      </x:c>
      <x:c r="AO159" s="13" t="str">
        <x:v>Остаток 37; прогноз 90 дней 11.93; избыток 25 шт. Будущие поступления не выставляются на продажу. Остаток на начало сентября: требуется актуализация.</x:v>
      </x:c>
      <x:c r="AP159" s="13" t="str">
        <x:v>["category_missing", "daily_stockout_data_missing", "new_order_lead_time_unknown", "reservations_unknown", "stale_stock"]</x:v>
      </x:c>
      <x:c r="AQ159" s="10" t="str">
        <x:v>IEK:030200425_</x:v>
      </x:c>
      <x:c r="AR159" s="24" t="n">
        <x:v>1</x:v>
      </x:c>
      <x:c r="AS159" s="24" t="n">
        <x:v>0</x:v>
      </x:c>
      <x:c r="AT159" s="24" t="n">
        <x:v>0</x:v>
      </x:c>
    </x:row>
    <x:row r="160" ht="64" customHeight="1">
      <x:c r="A160" s="11" t="str">
        <x:v>IEK</x:v>
      </x:c>
      <x:c r="B160" s="33" t="str">
        <x:v>030200426_</x:v>
      </x:c>
      <x:c r="C160" s="33" t="str">
        <x:v>BR-R21-16-K36-F</x:v>
      </x:c>
      <x:c r="D160" s="12" t="str">
        <x:v>Роз. 2-я с з/к без з/ш 16А в сборе "BRITE" жемчуг (1/100)</x:v>
      </x:c>
      <x:c r="E160" s="11" t="str">
        <x:v>шт</x:v>
      </x:c>
      <x:c r="F160" s="35" t="n">
        <x:f>MAX(0,ROUNDDOWN((AG160-AF160)/AR160+0.000000001,0)*AR160)</x:f>
        <x:v>39</x:v>
      </x:c>
      <x:c r="G160" s="20" t="str">
        <x:f>IF(J160="Рассчитано",V160*(1-R160/100)-W160-P160-Q160,"н/д")</x:f>
        <x:v>н/д</x:v>
      </x:c>
      <x:c r="H160" s="12" t="str">
        <x:v>Высокий</x:v>
      </x:c>
      <x:c r="I160" s="12" t="str">
        <x:v>Высокий</x:v>
      </x:c>
      <x:c r="J160" s="12" t="str">
        <x:f>IF(L160="","Укажите валюту",IF(NOT(ISNUMBER(K160)),"Укажите объём",IF(K160&lt;=0,"Укажите объём",IF(K160&gt;F160,"Объём выше излишка",IF(COUNT(M160:O160)&lt;3,"Нужны цены",IF(COUNT(P160:R160)&lt;3,"Нужны расходы",IF(OR(M160&lt;0,N160&lt;0,O160&lt;0,O160&gt;100,P160&lt;0,Q160&lt;0,R160&lt;0,R160&gt;100),"Проверьте значения","Рассчитано")))))))</x:f>
        <x:v>Нужны цены</x:v>
      </x:c>
      <x:c r="K160" s="36" t="n">
        <x:v>39</x:v>
      </x:c>
      <x:c r="L160" s="19" t="str">
        <x:v>KZT</x:v>
      </x:c>
      <x:c r="M160" s="22"/>
      <x:c r="N160" s="22"/>
      <x:c r="O160" s="28"/>
      <x:c r="P160" s="22"/>
      <x:c r="Q160" s="22"/>
      <x:c r="R160" s="28"/>
      <x:c r="S160" s="22"/>
      <x:c r="T160" s="35" t="n">
        <x:f>K160</x:f>
        <x:v>39</x:v>
      </x:c>
      <x:c r="U160" s="20" t="str">
        <x:f>IF(J160="Рассчитано",N160*(1-O160/100),"н/д")</x:f>
        <x:v>н/д</x:v>
      </x:c>
      <x:c r="V160" s="20" t="str">
        <x:f>IF(J160="Рассчитано",T160*U160,"н/д")</x:f>
        <x:v>н/д</x:v>
      </x:c>
      <x:c r="W160" s="20" t="str">
        <x:f>IF(J160="Рассчитано",T160*M160,"н/д")</x:f>
        <x:v>н/д</x:v>
      </x:c>
      <x:c r="X160" s="20" t="str">
        <x:f>IF(J160="Рассчитано",V160-W160,"н/д")</x:f>
        <x:v>н/д</x:v>
      </x:c>
      <x:c r="Y160" s="26" t="str">
        <x:f>IF(J160="Рассчитано",IF(V160&gt;0,G160/V160,"н/д"),"н/д")</x:f>
        <x:v>н/д</x:v>
      </x:c>
      <x:c r="Z160" s="20" t="str">
        <x:f>"н/д"</x:f>
        <x:v>н/д</x:v>
      </x:c>
      <x:c r="AA160" s="20" t="str">
        <x:f>"н/д"</x:f>
        <x:v>н/д</x:v>
      </x:c>
      <x:c r="AB160" s="20" t="str">
        <x:f>"н/д"</x:f>
        <x:v>н/д</x:v>
      </x:c>
      <x:c r="AC160" s="20" t="str">
        <x:f>IF(AND(J160="Рассчитано",T160&gt;0,R160&lt;100),(W160+P160+Q160)/(T160*(1-R160/100)),"н/д")</x:f>
        <x:v>н/д</x:v>
      </x:c>
      <x:c r="AD160" s="11" t="str">
        <x:f>IF(ISNUMBER(G160),IF(G160&lt;0,"Убыток",IF(G160=0,"Без прибыли","Прибыль &gt; 0")),"Не оценён")</x:f>
        <x:v>Не оценён</x:v>
      </x:c>
      <x:c r="AE160" s="12" t="str">
        <x:f>IF(J160="Рассчитано","Выручка "&amp;TEXT(V160,"0.00")&amp;" - себестоимость "&amp;TEXT(W160,"0.00")&amp;" - комиссия "&amp;TEXT(V160*R160/100,"0.00")&amp;" - доставка "&amp;TEXT(P160,"0.00")&amp;" - прочие "&amp;TEXT(Q160,"0.00")&amp;" = "&amp;TEXT(G160,"0.00")&amp;" "&amp;L160,"Введите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0" s="23" t="n">
        <x:v>33.68053013977046</x:v>
      </x:c>
      <x:c r="AG160" s="35" t="n">
        <x:v>73</x:v>
      </x:c>
      <x:c r="AH160" s="35" t="n">
        <x:v>0</x:v>
      </x:c>
      <x:c r="AI160" s="29" t="n">
        <x:v>46266</x:v>
      </x:c>
      <x:c r="AJ160" s="35" t="n">
        <x:v>1</x:v>
      </x:c>
      <x:c r="AK160" s="11" t="str">
        <x:v>минимум</x:v>
      </x:c>
      <x:c r="AL160" s="31" t="n">
        <x:v>184.31597824195458</x:v>
      </x:c>
      <x:c r="AM1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60" s="12" t="str">
        <x:v>Проверить свободный остаток и установить цену для B2B</x:v>
      </x:c>
      <x:c r="AO160" s="12" t="str">
        <x:v>Остаток 73; прогноз 90 дней 33.68; избыток 39 шт. Будущие поступления не выставляются на продажу. Остаток на начало сентября: требуется актуализация.</x:v>
      </x:c>
      <x:c r="AP160" s="12" t="str">
        <x:v>["category_missing", "daily_stockout_data_missing", "new_order_lead_time_unknown", "reservations_unknown", "stale_stock"]</x:v>
      </x:c>
      <x:c r="AQ160" s="11" t="str">
        <x:v>IEK:030200426_</x:v>
      </x:c>
      <x:c r="AR160" s="23" t="n">
        <x:v>1</x:v>
      </x:c>
      <x:c r="AS160" s="23" t="n">
        <x:v>0</x:v>
      </x:c>
      <x:c r="AT160" s="23" t="n">
        <x:v>0</x:v>
      </x:c>
    </x:row>
    <x:row r="161" ht="64" customHeight="1">
      <x:c r="A161" s="10" t="str">
        <x:v>IEK</x:v>
      </x:c>
      <x:c r="B161" s="34" t="str">
        <x:v>030200427_</x:v>
      </x:c>
      <x:c r="C161" s="34" t="str">
        <x:v>BR-R24-16-K36-F</x:v>
      </x:c>
      <x:c r="D161" s="13" t="str">
        <x:v>Роз. 2-я с з/к/ш 16А в сборе "BRITE" жемчуг (1/100)</x:v>
      </x:c>
      <x:c r="E161" s="10" t="str">
        <x:v>шт</x:v>
      </x:c>
      <x:c r="F161" s="37" t="n">
        <x:f>MAX(0,ROUNDDOWN((AG161-AF161)/AR161+0.000000001,0)*AR161)</x:f>
        <x:v>59</x:v>
      </x:c>
      <x:c r="G161" s="21" t="str">
        <x:f>IF(J161="Рассчитано",V161*(1-R161/100)-W161-P161-Q161,"н/д")</x:f>
        <x:v>н/д</x:v>
      </x:c>
      <x:c r="H161" s="13" t="str">
        <x:v>Высокий</x:v>
      </x:c>
      <x:c r="I161" s="13" t="str">
        <x:v>Высокий</x:v>
      </x:c>
      <x:c r="J161" s="13" t="str">
        <x:f>IF(L161="","Укажите валюту",IF(NOT(ISNUMBER(K161)),"Укажите объём",IF(K161&lt;=0,"Укажите объём",IF(K161&gt;F161,"Объём выше излишка",IF(COUNT(M161:O161)&lt;3,"Нужны цены",IF(COUNT(P161:R161)&lt;3,"Нужны расходы",IF(OR(M161&lt;0,N161&lt;0,O161&lt;0,O161&gt;100,P161&lt;0,Q161&lt;0,R161&lt;0,R161&gt;100),"Проверьте значения","Рассчитано")))))))</x:f>
        <x:v>Нужны цены</x:v>
      </x:c>
      <x:c r="K161" s="36" t="n">
        <x:v>59</x:v>
      </x:c>
      <x:c r="L161" s="19" t="str">
        <x:v>KZT</x:v>
      </x:c>
      <x:c r="M161" s="22"/>
      <x:c r="N161" s="22"/>
      <x:c r="O161" s="28"/>
      <x:c r="P161" s="22"/>
      <x:c r="Q161" s="22"/>
      <x:c r="R161" s="28"/>
      <x:c r="S161" s="22"/>
      <x:c r="T161" s="37" t="n">
        <x:f>K161</x:f>
        <x:v>59</x:v>
      </x:c>
      <x:c r="U161" s="21" t="str">
        <x:f>IF(J161="Рассчитано",N161*(1-O161/100),"н/д")</x:f>
        <x:v>н/д</x:v>
      </x:c>
      <x:c r="V161" s="21" t="str">
        <x:f>IF(J161="Рассчитано",T161*U161,"н/д")</x:f>
        <x:v>н/д</x:v>
      </x:c>
      <x:c r="W161" s="21" t="str">
        <x:f>IF(J161="Рассчитано",T161*M161,"н/д")</x:f>
        <x:v>н/д</x:v>
      </x:c>
      <x:c r="X161" s="21" t="str">
        <x:f>IF(J161="Рассчитано",V161-W161,"н/д")</x:f>
        <x:v>н/д</x:v>
      </x:c>
      <x:c r="Y161" s="27" t="str">
        <x:f>IF(J161="Рассчитано",IF(V161&gt;0,G161/V161,"н/д"),"н/д")</x:f>
        <x:v>н/д</x:v>
      </x:c>
      <x:c r="Z161" s="21" t="str">
        <x:f>"н/д"</x:f>
        <x:v>н/д</x:v>
      </x:c>
      <x:c r="AA161" s="21" t="str">
        <x:f>"н/д"</x:f>
        <x:v>н/д</x:v>
      </x:c>
      <x:c r="AB161" s="21" t="str">
        <x:f>"н/д"</x:f>
        <x:v>н/д</x:v>
      </x:c>
      <x:c r="AC161" s="21" t="str">
        <x:f>IF(AND(J161="Рассчитано",T161&gt;0,R161&lt;100),(W161+P161+Q161)/(T161*(1-R161/100)),"н/д")</x:f>
        <x:v>н/д</x:v>
      </x:c>
      <x:c r="AD161" s="10" t="str">
        <x:f>IF(ISNUMBER(G161),IF(G161&lt;0,"Убыток",IF(G161=0,"Без прибыли","Прибыль &gt; 0")),"Не оценён")</x:f>
        <x:v>Не оценён</x:v>
      </x:c>
      <x:c r="AE161" s="13" t="str">
        <x:f>IF(J161="Рассчитано","Выручка "&amp;TEXT(V161,"0.00")&amp;" - себестоимость "&amp;TEXT(W161,"0.00")&amp;" - комиссия "&amp;TEXT(V161*R161/100,"0.00")&amp;" - доставка "&amp;TEXT(P161,"0.00")&amp;" - прочие "&amp;TEXT(Q161,"0.00")&amp;" = "&amp;TEXT(G161,"0.00")&amp;" "&amp;L161,"Введите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1" s="24" t="n">
        <x:v>34.094649789548434</x:v>
      </x:c>
      <x:c r="AG161" s="37" t="n">
        <x:v>94</x:v>
      </x:c>
      <x:c r="AH161" s="37" t="n">
        <x:v>0</x:v>
      </x:c>
      <x:c r="AI161" s="30" t="n">
        <x:v>46266</x:v>
      </x:c>
      <x:c r="AJ161" s="37" t="n">
        <x:v>1</x:v>
      </x:c>
      <x:c r="AK161" s="10" t="str">
        <x:v>минимум</x:v>
      </x:c>
      <x:c r="AL161" s="32" t="n">
        <x:v>234.45562894277242</x:v>
      </x:c>
      <x:c r="AM16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61" s="13" t="str">
        <x:v>Проверить свободный остаток и установить цену для B2B</x:v>
      </x:c>
      <x:c r="AO161" s="13" t="str">
        <x:v>Остаток 94; прогноз 90 дней 34.09; избыток 59 шт. Будущие поступления не выставляются на продажу. Остаток на начало сентября: требуется актуализация.</x:v>
      </x:c>
      <x:c r="AP161" s="13" t="str">
        <x:v>["category_missing", "daily_stockout_data_missing", "new_order_lead_time_unknown", "reservations_unknown", "stale_stock"]</x:v>
      </x:c>
      <x:c r="AQ161" s="10" t="str">
        <x:v>IEK:030200427_</x:v>
      </x:c>
      <x:c r="AR161" s="24" t="n">
        <x:v>1</x:v>
      </x:c>
      <x:c r="AS161" s="24" t="n">
        <x:v>0</x:v>
      </x:c>
      <x:c r="AT161" s="24" t="n">
        <x:v>0</x:v>
      </x:c>
    </x:row>
    <x:row r="162" ht="64" customHeight="1">
      <x:c r="A162" s="11" t="str">
        <x:v>IEK</x:v>
      </x:c>
      <x:c r="B162" s="33" t="str">
        <x:v>030200428_</x:v>
      </x:c>
      <x:c r="C162" s="33" t="str">
        <x:v>BR-R14-16-K36</x:v>
      </x:c>
      <x:c r="D162" s="12" t="str">
        <x:v>Роз. с з/к/ш 16А б/рамки "BRITE" жемчуг (1/100)</x:v>
      </x:c>
      <x:c r="E162" s="11" t="str">
        <x:v>шт</x:v>
      </x:c>
      <x:c r="F162" s="35" t="n">
        <x:f>MAX(0,ROUNDDOWN((AG162-AF162)/AR162+0.000000001,0)*AR162)</x:f>
        <x:v>85</x:v>
      </x:c>
      <x:c r="G162" s="20" t="str">
        <x:f>IF(J162="Рассчитано",V162*(1-R162/100)-W162-P162-Q162,"н/д")</x:f>
        <x:v>н/д</x:v>
      </x:c>
      <x:c r="H162" s="12" t="str">
        <x:v>Высокий</x:v>
      </x:c>
      <x:c r="I162" s="12" t="str">
        <x:v>Средний</x:v>
      </x:c>
      <x:c r="J162" s="12" t="str">
        <x:f>IF(L162="","Укажите валюту",IF(NOT(ISNUMBER(K162)),"Укажите объём",IF(K162&lt;=0,"Укажите объём",IF(K162&gt;F162,"Объём выше излишка",IF(COUNT(M162:O162)&lt;3,"Нужны цены",IF(COUNT(P162:R162)&lt;3,"Нужны расходы",IF(OR(M162&lt;0,N162&lt;0,O162&lt;0,O162&gt;100,P162&lt;0,Q162&lt;0,R162&lt;0,R162&gt;100),"Проверьте значения","Рассчитано")))))))</x:f>
        <x:v>Нужны цены</x:v>
      </x:c>
      <x:c r="K162" s="36" t="n">
        <x:v>85</x:v>
      </x:c>
      <x:c r="L162" s="19" t="str">
        <x:v>KZT</x:v>
      </x:c>
      <x:c r="M162" s="22"/>
      <x:c r="N162" s="22"/>
      <x:c r="O162" s="28"/>
      <x:c r="P162" s="22"/>
      <x:c r="Q162" s="22"/>
      <x:c r="R162" s="28"/>
      <x:c r="S162" s="22"/>
      <x:c r="T162" s="35" t="n">
        <x:f>K162</x:f>
        <x:v>85</x:v>
      </x:c>
      <x:c r="U162" s="20" t="str">
        <x:f>IF(J162="Рассчитано",N162*(1-O162/100),"н/д")</x:f>
        <x:v>н/д</x:v>
      </x:c>
      <x:c r="V162" s="20" t="str">
        <x:f>IF(J162="Рассчитано",T162*U162,"н/д")</x:f>
        <x:v>н/д</x:v>
      </x:c>
      <x:c r="W162" s="20" t="str">
        <x:f>IF(J162="Рассчитано",T162*M162,"н/д")</x:f>
        <x:v>н/д</x:v>
      </x:c>
      <x:c r="X162" s="20" t="str">
        <x:f>IF(J162="Рассчитано",V162-W162,"н/д")</x:f>
        <x:v>н/д</x:v>
      </x:c>
      <x:c r="Y162" s="26" t="str">
        <x:f>IF(J162="Рассчитано",IF(V162&gt;0,G162/V162,"н/д"),"н/д")</x:f>
        <x:v>н/д</x:v>
      </x:c>
      <x:c r="Z162" s="20" t="str">
        <x:f>"н/д"</x:f>
        <x:v>н/д</x:v>
      </x:c>
      <x:c r="AA162" s="20" t="str">
        <x:f>"н/д"</x:f>
        <x:v>н/д</x:v>
      </x:c>
      <x:c r="AB162" s="20" t="str">
        <x:f>"н/д"</x:f>
        <x:v>н/д</x:v>
      </x:c>
      <x:c r="AC162" s="20" t="str">
        <x:f>IF(AND(J162="Рассчитано",T162&gt;0,R162&lt;100),(W162+P162+Q162)/(T162*(1-R162/100)),"н/д")</x:f>
        <x:v>н/д</x:v>
      </x:c>
      <x:c r="AD162" s="11" t="str">
        <x:f>IF(ISNUMBER(G162),IF(G162&lt;0,"Убыток",IF(G162=0,"Без прибыли","Прибыль &gt; 0")),"Не оценён")</x:f>
        <x:v>Не оценён</x:v>
      </x:c>
      <x:c r="AE162" s="12" t="str">
        <x:f>IF(J162="Рассчитано","Выручка "&amp;TEXT(V162,"0.00")&amp;" - себестоимость "&amp;TEXT(W162,"0.00")&amp;" - комиссия "&amp;TEXT(V162*R162/100,"0.00")&amp;" - доставка "&amp;TEXT(P162,"0.00")&amp;" - прочие "&amp;TEXT(Q162,"0.00")&amp;" = "&amp;TEXT(G162,"0.00")&amp;" "&amp;L162,"Введите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2" s="23" t="n">
        <x:v>80.83108008040749</x:v>
      </x:c>
      <x:c r="AG162" s="35" t="n">
        <x:v>166</x:v>
      </x:c>
      <x:c r="AH162" s="35" t="n">
        <x:v>0</x:v>
      </x:c>
      <x:c r="AI162" s="29" t="n">
        <x:v>46266</x:v>
      </x:c>
      <x:c r="AJ162" s="35" t="n">
        <x:v>1</x:v>
      </x:c>
      <x:c r="AK162" s="11" t="str">
        <x:v>минимум</x:v>
      </x:c>
      <x:c r="AL162" s="31" t="n">
        <x:v>174.64202173469505</x:v>
      </x:c>
      <x:c r="AM162" s="12" t="str">
        <x:v>Остаток на начало сентября; Резервы неизвестны; Нет ежедневных данных доступности. Запас выше прогноза на 90 дней</x:v>
      </x:c>
      <x:c r="AN162" s="12" t="str">
        <x:v>Проверить свободный остаток и установить цену для B2B</x:v>
      </x:c>
      <x:c r="AO162" s="12" t="str">
        <x:v>Остаток 166; прогноз 90 дней 80.83; избыток 85 шт. Будущие поступления не выставляются на продажу. Остаток на начало сентября: требуется актуализация.</x:v>
      </x:c>
      <x:c r="AP162" s="12" t="str">
        <x:v>["category_missing", "daily_stockout_data_missing", "new_order_lead_time_unknown", "reservations_unknown", "stale_stock"]</x:v>
      </x:c>
      <x:c r="AQ162" s="11" t="str">
        <x:v>IEK:030200428_</x:v>
      </x:c>
      <x:c r="AR162" s="23" t="n">
        <x:v>1</x:v>
      </x:c>
      <x:c r="AS162" s="23" t="n">
        <x:v>0</x:v>
      </x:c>
      <x:c r="AT162" s="23" t="n">
        <x:v>0</x:v>
      </x:c>
    </x:row>
    <x:row r="163" ht="64" customHeight="1">
      <x:c r="A163" s="10" t="str">
        <x:v>IEK</x:v>
      </x:c>
      <x:c r="B163" s="34" t="str">
        <x:v>030200429_</x:v>
      </x:c>
      <x:c r="C163" s="34" t="str">
        <x:v>BR-M12-K36</x:v>
      </x:c>
      <x:c r="D163" s="13" t="str">
        <x:v>Рамка 1-мест. "BRITE" жемчуг (1/100)</x:v>
      </x:c>
      <x:c r="E163" s="10" t="str">
        <x:v>шт</x:v>
      </x:c>
      <x:c r="F163" s="37" t="n">
        <x:f>MAX(0,ROUNDDOWN((AG163-AF163)/AR163+0.000000001,0)*AR163)</x:f>
        <x:v>103</x:v>
      </x:c>
      <x:c r="G163" s="21" t="str">
        <x:f>IF(J163="Рассчитано",V163*(1-R163/100)-W163-P163-Q163,"н/д")</x:f>
        <x:v>н/д</x:v>
      </x:c>
      <x:c r="H163" s="13" t="str">
        <x:v>Высокий</x:v>
      </x:c>
      <x:c r="I163" s="13" t="str">
        <x:v>Средний</x:v>
      </x:c>
      <x:c r="J163" s="13" t="str">
        <x:f>IF(L163="","Укажите валюту",IF(NOT(ISNUMBER(K163)),"Укажите объём",IF(K163&lt;=0,"Укажите объём",IF(K163&gt;F163,"Объём выше излишка",IF(COUNT(M163:O163)&lt;3,"Нужны цены",IF(COUNT(P163:R163)&lt;3,"Нужны расходы",IF(OR(M163&lt;0,N163&lt;0,O163&lt;0,O163&gt;100,P163&lt;0,Q163&lt;0,R163&lt;0,R163&gt;100),"Проверьте значения","Рассчитано")))))))</x:f>
        <x:v>Нужны цены</x:v>
      </x:c>
      <x:c r="K163" s="36" t="n">
        <x:v>103</x:v>
      </x:c>
      <x:c r="L163" s="19" t="str">
        <x:v>KZT</x:v>
      </x:c>
      <x:c r="M163" s="22"/>
      <x:c r="N163" s="22"/>
      <x:c r="O163" s="28"/>
      <x:c r="P163" s="22"/>
      <x:c r="Q163" s="22"/>
      <x:c r="R163" s="28"/>
      <x:c r="S163" s="22"/>
      <x:c r="T163" s="37" t="n">
        <x:f>K163</x:f>
        <x:v>103</x:v>
      </x:c>
      <x:c r="U163" s="21" t="str">
        <x:f>IF(J163="Рассчитано",N163*(1-O163/100),"н/д")</x:f>
        <x:v>н/д</x:v>
      </x:c>
      <x:c r="V163" s="21" t="str">
        <x:f>IF(J163="Рассчитано",T163*U163,"н/д")</x:f>
        <x:v>н/д</x:v>
      </x:c>
      <x:c r="W163" s="21" t="str">
        <x:f>IF(J163="Рассчитано",T163*M163,"н/д")</x:f>
        <x:v>н/д</x:v>
      </x:c>
      <x:c r="X163" s="21" t="str">
        <x:f>IF(J163="Рассчитано",V163-W163,"н/д")</x:f>
        <x:v>н/д</x:v>
      </x:c>
      <x:c r="Y163" s="27" t="str">
        <x:f>IF(J163="Рассчитано",IF(V163&gt;0,G163/V163,"н/д"),"н/д")</x:f>
        <x:v>н/д</x:v>
      </x:c>
      <x:c r="Z163" s="21" t="str">
        <x:f>"н/д"</x:f>
        <x:v>н/д</x:v>
      </x:c>
      <x:c r="AA163" s="21" t="str">
        <x:f>"н/д"</x:f>
        <x:v>н/д</x:v>
      </x:c>
      <x:c r="AB163" s="21" t="str">
        <x:f>"н/д"</x:f>
        <x:v>н/д</x:v>
      </x:c>
      <x:c r="AC163" s="21" t="str">
        <x:f>IF(AND(J163="Рассчитано",T163&gt;0,R163&lt;100),(W163+P163+Q163)/(T163*(1-R163/100)),"н/д")</x:f>
        <x:v>н/д</x:v>
      </x:c>
      <x:c r="AD163" s="10" t="str">
        <x:f>IF(ISNUMBER(G163),IF(G163&lt;0,"Убыток",IF(G163=0,"Без прибыли","Прибыль &gt; 0")),"Не оценён")</x:f>
        <x:v>Не оценён</x:v>
      </x:c>
      <x:c r="AE163" s="13" t="str">
        <x:f>IF(J163="Рассчитано","Выручка "&amp;TEXT(V163,"0.00")&amp;" - себестоимость "&amp;TEXT(W163,"0.00")&amp;" - комиссия "&amp;TEXT(V163*R163/100,"0.00")&amp;" - доставка "&amp;TEXT(P163,"0.00")&amp;" - прочие "&amp;TEXT(Q163,"0.00")&amp;" = "&amp;TEXT(G163,"0.00")&amp;" "&amp;L163,"Введите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3" s="24" t="n">
        <x:v>268.84370539033574</x:v>
      </x:c>
      <x:c r="AG163" s="37" t="n">
        <x:v>372</x:v>
      </x:c>
      <x:c r="AH163" s="37" t="n">
        <x:v>0</x:v>
      </x:c>
      <x:c r="AI163" s="30" t="n">
        <x:v>46266</x:v>
      </x:c>
      <x:c r="AJ163" s="37" t="n">
        <x:v>1</x:v>
      </x:c>
      <x:c r="AK163" s="10" t="str">
        <x:v>минимум</x:v>
      </x:c>
      <x:c r="AL163" s="32" t="n">
        <x:v>117.66901326314328</x:v>
      </x:c>
      <x:c r="AM163" s="13" t="str">
        <x:v>Остаток на начало сентября; Резервы неизвестны; Нет ежедневных данных доступности. Запас выше прогноза на 90 дней</x:v>
      </x:c>
      <x:c r="AN163" s="13" t="str">
        <x:v>Проверить свободный остаток и установить цену для B2B</x:v>
      </x:c>
      <x:c r="AO163" s="13" t="str">
        <x:v>Остаток 372; прогноз 90 дней 268.84; избыток 103 шт. Будущие поступления не выставляются на продажу. Остаток на начало сентября: требуется актуализация.</x:v>
      </x:c>
      <x:c r="AP163" s="13" t="str">
        <x:v>["category_missing", "daily_stockout_data_missing", "new_order_lead_time_unknown", "reservations_unknown", "stale_stock"]</x:v>
      </x:c>
      <x:c r="AQ163" s="10" t="str">
        <x:v>IEK:030200429_</x:v>
      </x:c>
      <x:c r="AR163" s="24" t="n">
        <x:v>1</x:v>
      </x:c>
      <x:c r="AS163" s="24" t="n">
        <x:v>0</x:v>
      </x:c>
      <x:c r="AT163" s="24" t="n">
        <x:v>0</x:v>
      </x:c>
    </x:row>
    <x:row r="164" ht="64" customHeight="1">
      <x:c r="A164" s="11" t="str">
        <x:v>IEK</x:v>
      </x:c>
      <x:c r="B164" s="33" t="str">
        <x:v>030200430_</x:v>
      </x:c>
      <x:c r="C164" s="33" t="str">
        <x:v>BR-M22-K36</x:v>
      </x:c>
      <x:c r="D164" s="12" t="str">
        <x:v>Рамка 2-мест. "BRITE" жемчуг (1/100)</x:v>
      </x:c>
      <x:c r="E164" s="11" t="str">
        <x:v>шт</x:v>
      </x:c>
      <x:c r="F164" s="35" t="n">
        <x:f>MAX(0,ROUNDDOWN((AG164-AF164)/AR164+0.000000001,0)*AR164)</x:f>
        <x:v>86</x:v>
      </x:c>
      <x:c r="G164" s="20" t="str">
        <x:f>IF(J164="Рассчитано",V164*(1-R164/100)-W164-P164-Q164,"н/д")</x:f>
        <x:v>н/д</x:v>
      </x:c>
      <x:c r="H164" s="12" t="str">
        <x:v>Высокий</x:v>
      </x:c>
      <x:c r="I164" s="12" t="str">
        <x:v>Высокий</x:v>
      </x:c>
      <x:c r="J164" s="12" t="str">
        <x:f>IF(L164="","Укажите валюту",IF(NOT(ISNUMBER(K164)),"Укажите объём",IF(K164&lt;=0,"Укажите объём",IF(K164&gt;F164,"Объём выше излишка",IF(COUNT(M164:O164)&lt;3,"Нужны цены",IF(COUNT(P164:R164)&lt;3,"Нужны расходы",IF(OR(M164&lt;0,N164&lt;0,O164&lt;0,O164&gt;100,P164&lt;0,Q164&lt;0,R164&lt;0,R164&gt;100),"Проверьте значения","Рассчитано")))))))</x:f>
        <x:v>Нужны цены</x:v>
      </x:c>
      <x:c r="K164" s="36" t="n">
        <x:v>86</x:v>
      </x:c>
      <x:c r="L164" s="19" t="str">
        <x:v>KZT</x:v>
      </x:c>
      <x:c r="M164" s="22"/>
      <x:c r="N164" s="22"/>
      <x:c r="O164" s="28"/>
      <x:c r="P164" s="22"/>
      <x:c r="Q164" s="22"/>
      <x:c r="R164" s="28"/>
      <x:c r="S164" s="22"/>
      <x:c r="T164" s="35" t="n">
        <x:f>K164</x:f>
        <x:v>86</x:v>
      </x:c>
      <x:c r="U164" s="20" t="str">
        <x:f>IF(J164="Рассчитано",N164*(1-O164/100),"н/д")</x:f>
        <x:v>н/д</x:v>
      </x:c>
      <x:c r="V164" s="20" t="str">
        <x:f>IF(J164="Рассчитано",T164*U164,"н/д")</x:f>
        <x:v>н/д</x:v>
      </x:c>
      <x:c r="W164" s="20" t="str">
        <x:f>IF(J164="Рассчитано",T164*M164,"н/д")</x:f>
        <x:v>н/д</x:v>
      </x:c>
      <x:c r="X164" s="20" t="str">
        <x:f>IF(J164="Рассчитано",V164-W164,"н/д")</x:f>
        <x:v>н/д</x:v>
      </x:c>
      <x:c r="Y164" s="26" t="str">
        <x:f>IF(J164="Рассчитано",IF(V164&gt;0,G164/V164,"н/д"),"н/д")</x:f>
        <x:v>н/д</x:v>
      </x:c>
      <x:c r="Z164" s="20" t="str">
        <x:f>"н/д"</x:f>
        <x:v>н/д</x:v>
      </x:c>
      <x:c r="AA164" s="20" t="str">
        <x:f>"н/д"</x:f>
        <x:v>н/д</x:v>
      </x:c>
      <x:c r="AB164" s="20" t="str">
        <x:f>"н/д"</x:f>
        <x:v>н/д</x:v>
      </x:c>
      <x:c r="AC164" s="20" t="str">
        <x:f>IF(AND(J164="Рассчитано",T164&gt;0,R164&lt;100),(W164+P164+Q164)/(T164*(1-R164/100)),"н/д")</x:f>
        <x:v>н/д</x:v>
      </x:c>
      <x:c r="AD164" s="11" t="str">
        <x:f>IF(ISNUMBER(G164),IF(G164&lt;0,"Убыток",IF(G164=0,"Без прибыли","Прибыль &gt; 0")),"Не оценён")</x:f>
        <x:v>Не оценён</x:v>
      </x:c>
      <x:c r="AE164" s="12" t="str">
        <x:f>IF(J164="Рассчитано","Выручка "&amp;TEXT(V164,"0.00")&amp;" - себестоимость "&amp;TEXT(W164,"0.00")&amp;" - комиссия "&amp;TEXT(V164*R164/100,"0.00")&amp;" - доставка "&amp;TEXT(P164,"0.00")&amp;" - прочие "&amp;TEXT(Q164,"0.00")&amp;" = "&amp;TEXT(G164,"0.00")&amp;" "&amp;L164,"Введите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4" s="23" t="n">
        <x:v>73.97378690096903</x:v>
      </x:c>
      <x:c r="AG164" s="35" t="n">
        <x:v>160</x:v>
      </x:c>
      <x:c r="AH164" s="35" t="n">
        <x:v>0</x:v>
      </x:c>
      <x:c r="AI164" s="29" t="n">
        <x:v>46266</x:v>
      </x:c>
      <x:c r="AJ164" s="35" t="n">
        <x:v>1</x:v>
      </x:c>
      <x:c r="AK164" s="11" t="str">
        <x:v>минимум</x:v>
      </x:c>
      <x:c r="AL164" s="31" t="n">
        <x:v>183.93364402765786</x:v>
      </x:c>
      <x:c r="AM16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64" s="12" t="str">
        <x:v>Проверить свободный остаток и установить цену для B2B</x:v>
      </x:c>
      <x:c r="AO164" s="12" t="str">
        <x:v>Остаток 160; прогноз 90 дней 73.97; избыток 86 шт. Будущие поступления не выставляются на продажу. Остаток на начало сентября: требуется актуализация.</x:v>
      </x:c>
      <x:c r="AP164" s="12" t="str">
        <x:v>["category_missing", "daily_stockout_data_missing", "new_order_lead_time_unknown", "reservations_unknown", "stale_stock"]</x:v>
      </x:c>
      <x:c r="AQ164" s="11" t="str">
        <x:v>IEK:030200430_</x:v>
      </x:c>
      <x:c r="AR164" s="23" t="n">
        <x:v>1</x:v>
      </x:c>
      <x:c r="AS164" s="23" t="n">
        <x:v>0</x:v>
      </x:c>
      <x:c r="AT164" s="23" t="n">
        <x:v>0</x:v>
      </x:c>
    </x:row>
    <x:row r="165" ht="64" customHeight="1">
      <x:c r="A165" s="10" t="str">
        <x:v>IEK</x:v>
      </x:c>
      <x:c r="B165" s="34" t="str">
        <x:v>030200431_</x:v>
      </x:c>
      <x:c r="C165" s="34" t="str">
        <x:v>BR-M32-K36</x:v>
      </x:c>
      <x:c r="D165" s="13" t="str">
        <x:v>Рамка 3-мест. "BRITE" жемчуг (1/100)</x:v>
      </x:c>
      <x:c r="E165" s="10" t="str">
        <x:v>шт</x:v>
      </x:c>
      <x:c r="F165" s="37" t="n">
        <x:f>MAX(0,ROUNDDOWN((AG165-AF165)/AR165+0.000000001,0)*AR165)</x:f>
        <x:v>40</x:v>
      </x:c>
      <x:c r="G165" s="21" t="str">
        <x:f>IF(J165="Рассчитано",V165*(1-R165/100)-W165-P165-Q165,"н/д")</x:f>
        <x:v>н/д</x:v>
      </x:c>
      <x:c r="H165" s="13" t="str">
        <x:v>Высокий</x:v>
      </x:c>
      <x:c r="I165" s="13" t="str">
        <x:v>Высокий</x:v>
      </x:c>
      <x:c r="J165" s="13" t="str">
        <x:f>IF(L165="","Укажите валюту",IF(NOT(ISNUMBER(K165)),"Укажите объём",IF(K165&lt;=0,"Укажите объём",IF(K165&gt;F165,"Объём выше излишка",IF(COUNT(M165:O165)&lt;3,"Нужны цены",IF(COUNT(P165:R165)&lt;3,"Нужны расходы",IF(OR(M165&lt;0,N165&lt;0,O165&lt;0,O165&gt;100,P165&lt;0,Q165&lt;0,R165&lt;0,R165&gt;100),"Проверьте значения","Рассчитано")))))))</x:f>
        <x:v>Нужны цены</x:v>
      </x:c>
      <x:c r="K165" s="36" t="n">
        <x:v>40</x:v>
      </x:c>
      <x:c r="L165" s="19" t="str">
        <x:v>KZT</x:v>
      </x:c>
      <x:c r="M165" s="22"/>
      <x:c r="N165" s="22"/>
      <x:c r="O165" s="28"/>
      <x:c r="P165" s="22"/>
      <x:c r="Q165" s="22"/>
      <x:c r="R165" s="28"/>
      <x:c r="S165" s="22"/>
      <x:c r="T165" s="37" t="n">
        <x:f>K165</x:f>
        <x:v>40</x:v>
      </x:c>
      <x:c r="U165" s="21" t="str">
        <x:f>IF(J165="Рассчитано",N165*(1-O165/100),"н/д")</x:f>
        <x:v>н/д</x:v>
      </x:c>
      <x:c r="V165" s="21" t="str">
        <x:f>IF(J165="Рассчитано",T165*U165,"н/д")</x:f>
        <x:v>н/д</x:v>
      </x:c>
      <x:c r="W165" s="21" t="str">
        <x:f>IF(J165="Рассчитано",T165*M165,"н/д")</x:f>
        <x:v>н/д</x:v>
      </x:c>
      <x:c r="X165" s="21" t="str">
        <x:f>IF(J165="Рассчитано",V165-W165,"н/д")</x:f>
        <x:v>н/д</x:v>
      </x:c>
      <x:c r="Y165" s="27" t="str">
        <x:f>IF(J165="Рассчитано",IF(V165&gt;0,G165/V165,"н/д"),"н/д")</x:f>
        <x:v>н/д</x:v>
      </x:c>
      <x:c r="Z165" s="21" t="str">
        <x:f>"н/д"</x:f>
        <x:v>н/д</x:v>
      </x:c>
      <x:c r="AA165" s="21" t="str">
        <x:f>"н/д"</x:f>
        <x:v>н/д</x:v>
      </x:c>
      <x:c r="AB165" s="21" t="str">
        <x:f>"н/д"</x:f>
        <x:v>н/д</x:v>
      </x:c>
      <x:c r="AC165" s="21" t="str">
        <x:f>IF(AND(J165="Рассчитано",T165&gt;0,R165&lt;100),(W165+P165+Q165)/(T165*(1-R165/100)),"н/д")</x:f>
        <x:v>н/д</x:v>
      </x:c>
      <x:c r="AD165" s="10" t="str">
        <x:f>IF(ISNUMBER(G165),IF(G165&lt;0,"Убыток",IF(G165=0,"Без прибыли","Прибыль &gt; 0")),"Не оценён")</x:f>
        <x:v>Не оценён</x:v>
      </x:c>
      <x:c r="AE165" s="13" t="str">
        <x:f>IF(J165="Рассчитано","Выручка "&amp;TEXT(V165,"0.00")&amp;" - себестоимость "&amp;TEXT(W165,"0.00")&amp;" - комиссия "&amp;TEXT(V165*R165/100,"0.00")&amp;" - доставка "&amp;TEXT(P165,"0.00")&amp;" - прочие "&amp;TEXT(Q165,"0.00")&amp;" = "&amp;TEXT(G165,"0.00")&amp;" "&amp;L165,"Введите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5" s="24" t="n">
        <x:v>25.701563028081566</x:v>
      </x:c>
      <x:c r="AG165" s="37" t="n">
        <x:v>66</x:v>
      </x:c>
      <x:c r="AH165" s="37" t="n">
        <x:v>0</x:v>
      </x:c>
      <x:c r="AI165" s="30" t="n">
        <x:v>46266</x:v>
      </x:c>
      <x:c r="AJ165" s="37" t="n">
        <x:v>1</x:v>
      </x:c>
      <x:c r="AK165" s="10" t="str">
        <x:v>минимум</x:v>
      </x:c>
      <x:c r="AL165" s="32" t="n">
        <x:v>218.37526461313672</x:v>
      </x:c>
      <x:c r="AM1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65" s="13" t="str">
        <x:v>Проверить свободный остаток и установить цену для B2B</x:v>
      </x:c>
      <x:c r="AO165" s="13" t="str">
        <x:v>Остаток 66; прогноз 90 дней 25.70; избыток 40 шт. Будущие поступления не выставляются на продажу. Остаток на начало сентября: требуется актуализация.</x:v>
      </x:c>
      <x:c r="AP165" s="13" t="str">
        <x:v>["category_missing", "daily_stockout_data_missing", "new_order_lead_time_unknown", "reservations_unknown", "stale_stock"]</x:v>
      </x:c>
      <x:c r="AQ165" s="10" t="str">
        <x:v>IEK:030200431_</x:v>
      </x:c>
      <x:c r="AR165" s="24" t="n">
        <x:v>1</x:v>
      </x:c>
      <x:c r="AS165" s="24" t="n">
        <x:v>0</x:v>
      </x:c>
      <x:c r="AT165" s="24" t="n">
        <x:v>0</x:v>
      </x:c>
    </x:row>
    <x:row r="166" ht="64" customHeight="1">
      <x:c r="A166" s="11" t="str">
        <x:v>IEK</x:v>
      </x:c>
      <x:c r="B166" s="33" t="str">
        <x:v>030200433_</x:v>
      </x:c>
      <x:c r="C166" s="33" t="str">
        <x:v>BR-V22-0-10-K36</x:v>
      </x:c>
      <x:c r="D166" s="12" t="str">
        <x:v>Выкл 2-кл. прох. 10А б/рамки "BRITE" жемчуг (1/100)</x:v>
      </x:c>
      <x:c r="E166" s="11" t="str">
        <x:v>шт</x:v>
      </x:c>
      <x:c r="F166" s="35" t="n">
        <x:f>MAX(0,ROUNDDOWN((AG166-AF166)/AR166+0.000000001,0)*AR166)</x:f>
        <x:v>3</x:v>
      </x:c>
      <x:c r="G166" s="20" t="str">
        <x:f>IF(J166="Рассчитано",V166*(1-R166/100)-W166-P166-Q166,"н/д")</x:f>
        <x:v>н/д</x:v>
      </x:c>
      <x:c r="H166" s="12" t="str">
        <x:v>Высокий</x:v>
      </x:c>
      <x:c r="I166" s="12" t="str">
        <x:v>Средний</x:v>
      </x:c>
      <x:c r="J166" s="12" t="str">
        <x:f>IF(L166="","Укажите валюту",IF(NOT(ISNUMBER(K166)),"Укажите объём",IF(K166&lt;=0,"Укажите объём",IF(K166&gt;F166,"Объём выше излишка",IF(COUNT(M166:O166)&lt;3,"Нужны цены",IF(COUNT(P166:R166)&lt;3,"Нужны расходы",IF(OR(M166&lt;0,N166&lt;0,O166&lt;0,O166&gt;100,P166&lt;0,Q166&lt;0,R166&lt;0,R166&gt;100),"Проверьте значения","Рассчитано")))))))</x:f>
        <x:v>Нужны цены</x:v>
      </x:c>
      <x:c r="K166" s="36" t="n">
        <x:v>3</x:v>
      </x:c>
      <x:c r="L166" s="19" t="str">
        <x:v>KZT</x:v>
      </x:c>
      <x:c r="M166" s="22"/>
      <x:c r="N166" s="22"/>
      <x:c r="O166" s="28"/>
      <x:c r="P166" s="22"/>
      <x:c r="Q166" s="22"/>
      <x:c r="R166" s="28"/>
      <x:c r="S166" s="22"/>
      <x:c r="T166" s="35" t="n">
        <x:f>K166</x:f>
        <x:v>3</x:v>
      </x:c>
      <x:c r="U166" s="20" t="str">
        <x:f>IF(J166="Рассчитано",N166*(1-O166/100),"н/д")</x:f>
        <x:v>н/д</x:v>
      </x:c>
      <x:c r="V166" s="20" t="str">
        <x:f>IF(J166="Рассчитано",T166*U166,"н/д")</x:f>
        <x:v>н/д</x:v>
      </x:c>
      <x:c r="W166" s="20" t="str">
        <x:f>IF(J166="Рассчитано",T166*M166,"н/д")</x:f>
        <x:v>н/д</x:v>
      </x:c>
      <x:c r="X166" s="20" t="str">
        <x:f>IF(J166="Рассчитано",V166-W166,"н/д")</x:f>
        <x:v>н/д</x:v>
      </x:c>
      <x:c r="Y166" s="26" t="str">
        <x:f>IF(J166="Рассчитано",IF(V166&gt;0,G166/V166,"н/д"),"н/д")</x:f>
        <x:v>н/д</x:v>
      </x:c>
      <x:c r="Z166" s="20" t="str">
        <x:f>"н/д"</x:f>
        <x:v>н/д</x:v>
      </x:c>
      <x:c r="AA166" s="20" t="str">
        <x:f>"н/д"</x:f>
        <x:v>н/д</x:v>
      </x:c>
      <x:c r="AB166" s="20" t="str">
        <x:f>"н/д"</x:f>
        <x:v>н/д</x:v>
      </x:c>
      <x:c r="AC166" s="20" t="str">
        <x:f>IF(AND(J166="Рассчитано",T166&gt;0,R166&lt;100),(W166+P166+Q166)/(T166*(1-R166/100)),"н/д")</x:f>
        <x:v>н/д</x:v>
      </x:c>
      <x:c r="AD166" s="11" t="str">
        <x:f>IF(ISNUMBER(G166),IF(G166&lt;0,"Убыток",IF(G166=0,"Без прибыли","Прибыль &gt; 0")),"Не оценён")</x:f>
        <x:v>Не оценён</x:v>
      </x:c>
      <x:c r="AE166" s="12" t="str">
        <x:f>IF(J166="Рассчитано","Выручка "&amp;TEXT(V166,"0.00")&amp;" - себестоимость "&amp;TEXT(W166,"0.00")&amp;" - комиссия "&amp;TEXT(V166*R166/100,"0.00")&amp;" - доставка "&amp;TEXT(P166,"0.00")&amp;" - прочие "&amp;TEXT(Q166,"0.00")&amp;" = "&amp;TEXT(G166,"0.00")&amp;" "&amp;L166,"Введите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6" s="23" t="n">
        <x:v>9.930867532668486</x:v>
      </x:c>
      <x:c r="AG166" s="35" t="n">
        <x:v>13</x:v>
      </x:c>
      <x:c r="AH166" s="35" t="n">
        <x:v>0</x:v>
      </x:c>
      <x:c r="AI166" s="29" t="n">
        <x:v>46266</x:v>
      </x:c>
      <x:c r="AJ166" s="35" t="n">
        <x:v>1</x:v>
      </x:c>
      <x:c r="AK166" s="11" t="str">
        <x:v>минимум</x:v>
      </x:c>
      <x:c r="AL166" s="31" t="n">
        <x:v>111.32051520927098</x:v>
      </x:c>
      <x:c r="AM166" s="12" t="str">
        <x:v>Остаток на начало сентября; Резервы неизвестны; Нет ежедневных данных доступности. Запас выше прогноза на 90 дней</x:v>
      </x:c>
      <x:c r="AN166" s="12" t="str">
        <x:v>Проверить свободный остаток и установить цену для B2B</x:v>
      </x:c>
      <x:c r="AO166" s="12" t="str">
        <x:v>Остаток 13; прогноз 90 дней 9.93; избыток 3 шт. Будущие поступления не выставляются на продажу. Остаток на начало сентября: требуется актуализация.</x:v>
      </x:c>
      <x:c r="AP166" s="12" t="str">
        <x:v>["category_missing", "daily_stockout_data_missing", "new_order_lead_time_unknown", "reservations_unknown", "stale_stock"]</x:v>
      </x:c>
      <x:c r="AQ166" s="11" t="str">
        <x:v>IEK:030200433_</x:v>
      </x:c>
      <x:c r="AR166" s="23" t="n">
        <x:v>1</x:v>
      </x:c>
      <x:c r="AS166" s="23" t="n">
        <x:v>0</x:v>
      </x:c>
      <x:c r="AT166" s="23" t="n">
        <x:v>0</x:v>
      </x:c>
    </x:row>
    <x:row r="167" ht="64" customHeight="1">
      <x:c r="A167" s="10" t="str">
        <x:v>IEK</x:v>
      </x:c>
      <x:c r="B167" s="34" t="str">
        <x:v>030200435_</x:v>
      </x:c>
      <x:c r="C167" s="34" t="str">
        <x:v>BR-V10-0-10-K37</x:v>
      </x:c>
      <x:c r="D167" s="13" t="str">
        <x:v>Выкл 1-кл. 10А б/рамки "BRITE" шампань (1/100)</x:v>
      </x:c>
      <x:c r="E167" s="10" t="str">
        <x:v>шт</x:v>
      </x:c>
      <x:c r="F167" s="37" t="n">
        <x:f>MAX(0,ROUNDDOWN((AG167-AF167)/AR167+0.000000001,0)*AR167)</x:f>
        <x:v>147</x:v>
      </x:c>
      <x:c r="G167" s="21" t="str">
        <x:f>IF(J167="Рассчитано",V167*(1-R167/100)-W167-P167-Q167,"н/д")</x:f>
        <x:v>н/д</x:v>
      </x:c>
      <x:c r="H167" s="13" t="str">
        <x:v>Высокий</x:v>
      </x:c>
      <x:c r="I167" s="13" t="str">
        <x:v>Средний</x:v>
      </x:c>
      <x:c r="J167" s="13" t="str">
        <x:f>IF(L167="","Укажите валюту",IF(NOT(ISNUMBER(K167)),"Укажите объём",IF(K167&lt;=0,"Укажите объём",IF(K167&gt;F167,"Объём выше излишка",IF(COUNT(M167:O167)&lt;3,"Нужны цены",IF(COUNT(P167:R167)&lt;3,"Нужны расходы",IF(OR(M167&lt;0,N167&lt;0,O167&lt;0,O167&gt;100,P167&lt;0,Q167&lt;0,R167&lt;0,R167&gt;100),"Проверьте значения","Рассчитано")))))))</x:f>
        <x:v>Нужны цены</x:v>
      </x:c>
      <x:c r="K167" s="36" t="n">
        <x:v>147</x:v>
      </x:c>
      <x:c r="L167" s="19" t="str">
        <x:v>KZT</x:v>
      </x:c>
      <x:c r="M167" s="22"/>
      <x:c r="N167" s="22"/>
      <x:c r="O167" s="28"/>
      <x:c r="P167" s="22"/>
      <x:c r="Q167" s="22"/>
      <x:c r="R167" s="28"/>
      <x:c r="S167" s="22"/>
      <x:c r="T167" s="37" t="n">
        <x:f>K167</x:f>
        <x:v>147</x:v>
      </x:c>
      <x:c r="U167" s="21" t="str">
        <x:f>IF(J167="Рассчитано",N167*(1-O167/100),"н/д")</x:f>
        <x:v>н/д</x:v>
      </x:c>
      <x:c r="V167" s="21" t="str">
        <x:f>IF(J167="Рассчитано",T167*U167,"н/д")</x:f>
        <x:v>н/д</x:v>
      </x:c>
      <x:c r="W167" s="21" t="str">
        <x:f>IF(J167="Рассчитано",T167*M167,"н/д")</x:f>
        <x:v>н/д</x:v>
      </x:c>
      <x:c r="X167" s="21" t="str">
        <x:f>IF(J167="Рассчитано",V167-W167,"н/д")</x:f>
        <x:v>н/д</x:v>
      </x:c>
      <x:c r="Y167" s="27" t="str">
        <x:f>IF(J167="Рассчитано",IF(V167&gt;0,G167/V167,"н/д"),"н/д")</x:f>
        <x:v>н/д</x:v>
      </x:c>
      <x:c r="Z167" s="21" t="str">
        <x:f>"н/д"</x:f>
        <x:v>н/д</x:v>
      </x:c>
      <x:c r="AA167" s="21" t="str">
        <x:f>"н/д"</x:f>
        <x:v>н/д</x:v>
      </x:c>
      <x:c r="AB167" s="21" t="str">
        <x:f>"н/д"</x:f>
        <x:v>н/д</x:v>
      </x:c>
      <x:c r="AC167" s="21" t="str">
        <x:f>IF(AND(J167="Рассчитано",T167&gt;0,R167&lt;100),(W167+P167+Q167)/(T167*(1-R167/100)),"н/д")</x:f>
        <x:v>н/д</x:v>
      </x:c>
      <x:c r="AD167" s="10" t="str">
        <x:f>IF(ISNUMBER(G167),IF(G167&lt;0,"Убыток",IF(G167=0,"Без прибыли","Прибыль &gt; 0")),"Не оценён")</x:f>
        <x:v>Не оценён</x:v>
      </x:c>
      <x:c r="AE167" s="13" t="str">
        <x:f>IF(J167="Рассчитано","Выручка "&amp;TEXT(V167,"0.00")&amp;" - себестоимость "&amp;TEXT(W167,"0.00")&amp;" - комиссия "&amp;TEXT(V167*R167/100,"0.00")&amp;" - доставка "&amp;TEXT(P167,"0.00")&amp;" - прочие "&amp;TEXT(Q167,"0.00")&amp;" = "&amp;TEXT(G167,"0.00")&amp;" "&amp;L167,"Введите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7" s="24" t="n">
        <x:v>269.4916275744173</x:v>
      </x:c>
      <x:c r="AG167" s="37" t="n">
        <x:v>417</x:v>
      </x:c>
      <x:c r="AH167" s="37" t="n">
        <x:v>0</x:v>
      </x:c>
      <x:c r="AI167" s="30" t="n">
        <x:v>46266</x:v>
      </x:c>
      <x:c r="AJ167" s="37" t="n">
        <x:v>1</x:v>
      </x:c>
      <x:c r="AK167" s="10" t="str">
        <x:v>минимум</x:v>
      </x:c>
      <x:c r="AL167" s="32" t="n">
        <x:v>131.58604139993773</x:v>
      </x:c>
      <x:c r="AM16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67" s="13" t="str">
        <x:v>Проверить свободный остаток и установить цену для B2B</x:v>
      </x:c>
      <x:c r="AO167" s="13" t="str">
        <x:v>Остаток 417; прогноз 90 дней 269.49; избыток 147 шт. Будущие поступления не выставляются на продажу. Остаток на начало сентября: требуется актуализация.</x:v>
      </x:c>
      <x:c r="AP167" s="13" t="str">
        <x:v>["category_missing", "daily_stockout_data_missing", "large_orders_detected", "new_order_lead_time_unknown", "reservations_unknown", "stale_stock", "transaction_month_mismatch"]</x:v>
      </x:c>
      <x:c r="AQ167" s="10" t="str">
        <x:v>IEK:030200435_</x:v>
      </x:c>
      <x:c r="AR167" s="24" t="n">
        <x:v>1</x:v>
      </x:c>
      <x:c r="AS167" s="24" t="n">
        <x:v>0</x:v>
      </x:c>
      <x:c r="AT167" s="24" t="n">
        <x:v>0</x:v>
      </x:c>
    </x:row>
    <x:row r="168" ht="64" customHeight="1">
      <x:c r="A168" s="11" t="str">
        <x:v>IEK</x:v>
      </x:c>
      <x:c r="B168" s="33" t="str">
        <x:v>030200439_</x:v>
      </x:c>
      <x:c r="C168" s="33" t="str">
        <x:v>BR-K10-1-K37</x:v>
      </x:c>
      <x:c r="D168" s="12" t="str">
        <x:v>Роз. комп. RJ45 кат.5E б/рамки "BRITE" шампань (1/100)</x:v>
      </x:c>
      <x:c r="E168" s="11" t="str">
        <x:v>шт</x:v>
      </x:c>
      <x:c r="F168" s="35" t="n">
        <x:f>MAX(0,ROUNDDOWN((AG168-AF168)/AR168+0.000000001,0)*AR168)</x:f>
        <x:v>11</x:v>
      </x:c>
      <x:c r="G168" s="20" t="str">
        <x:f>IF(J168="Рассчитано",V168*(1-R168/100)-W168-P168-Q168,"н/д")</x:f>
        <x:v>н/д</x:v>
      </x:c>
      <x:c r="H168" s="12" t="str">
        <x:v>Высокий</x:v>
      </x:c>
      <x:c r="I168" s="12" t="str">
        <x:v>Средний</x:v>
      </x:c>
      <x:c r="J168" s="12" t="str">
        <x:f>IF(L168="","Укажите валюту",IF(NOT(ISNUMBER(K168)),"Укажите объём",IF(K168&lt;=0,"Укажите объём",IF(K168&gt;F168,"Объём выше излишка",IF(COUNT(M168:O168)&lt;3,"Нужны цены",IF(COUNT(P168:R168)&lt;3,"Нужны расходы",IF(OR(M168&lt;0,N168&lt;0,O168&lt;0,O168&gt;100,P168&lt;0,Q168&lt;0,R168&lt;0,R168&gt;100),"Проверьте значения","Рассчитано")))))))</x:f>
        <x:v>Нужны цены</x:v>
      </x:c>
      <x:c r="K168" s="36" t="n">
        <x:v>11</x:v>
      </x:c>
      <x:c r="L168" s="19" t="str">
        <x:v>KZT</x:v>
      </x:c>
      <x:c r="M168" s="22"/>
      <x:c r="N168" s="22"/>
      <x:c r="O168" s="28"/>
      <x:c r="P168" s="22"/>
      <x:c r="Q168" s="22"/>
      <x:c r="R168" s="28"/>
      <x:c r="S168" s="22"/>
      <x:c r="T168" s="35" t="n">
        <x:f>K168</x:f>
        <x:v>11</x:v>
      </x:c>
      <x:c r="U168" s="20" t="str">
        <x:f>IF(J168="Рассчитано",N168*(1-O168/100),"н/д")</x:f>
        <x:v>н/д</x:v>
      </x:c>
      <x:c r="V168" s="20" t="str">
        <x:f>IF(J168="Рассчитано",T168*U168,"н/д")</x:f>
        <x:v>н/д</x:v>
      </x:c>
      <x:c r="W168" s="20" t="str">
        <x:f>IF(J168="Рассчитано",T168*M168,"н/д")</x:f>
        <x:v>н/д</x:v>
      </x:c>
      <x:c r="X168" s="20" t="str">
        <x:f>IF(J168="Рассчитано",V168-W168,"н/д")</x:f>
        <x:v>н/д</x:v>
      </x:c>
      <x:c r="Y168" s="26" t="str">
        <x:f>IF(J168="Рассчитано",IF(V168&gt;0,G168/V168,"н/д"),"н/д")</x:f>
        <x:v>н/д</x:v>
      </x:c>
      <x:c r="Z168" s="20" t="str">
        <x:f>"н/д"</x:f>
        <x:v>н/д</x:v>
      </x:c>
      <x:c r="AA168" s="20" t="str">
        <x:f>"н/д"</x:f>
        <x:v>н/д</x:v>
      </x:c>
      <x:c r="AB168" s="20" t="str">
        <x:f>"н/д"</x:f>
        <x:v>н/д</x:v>
      </x:c>
      <x:c r="AC168" s="20" t="str">
        <x:f>IF(AND(J168="Рассчитано",T168&gt;0,R168&lt;100),(W168+P168+Q168)/(T168*(1-R168/100)),"н/д")</x:f>
        <x:v>н/д</x:v>
      </x:c>
      <x:c r="AD168" s="11" t="str">
        <x:f>IF(ISNUMBER(G168),IF(G168&lt;0,"Убыток",IF(G168=0,"Без прибыли","Прибыль &gt; 0")),"Не оценён")</x:f>
        <x:v>Не оценён</x:v>
      </x:c>
      <x:c r="AE168" s="12" t="str">
        <x:f>IF(J168="Рассчитано","Выручка "&amp;TEXT(V168,"0.00")&amp;" - себестоимость "&amp;TEXT(W168,"0.00")&amp;" - комиссия "&amp;TEXT(V168*R168/100,"0.00")&amp;" - доставка "&amp;TEXT(P168,"0.00")&amp;" - прочие "&amp;TEXT(Q168,"0.00")&amp;" = "&amp;TEXT(G168,"0.00")&amp;" "&amp;L168,"Введите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8" s="23" t="n">
        <x:v>57.336927433871054</x:v>
      </x:c>
      <x:c r="AG168" s="35" t="n">
        <x:v>69</x:v>
      </x:c>
      <x:c r="AH168" s="35" t="n">
        <x:v>0</x:v>
      </x:c>
      <x:c r="AI168" s="29" t="n">
        <x:v>46266</x:v>
      </x:c>
      <x:c r="AJ168" s="35" t="n">
        <x:v>1</x:v>
      </x:c>
      <x:c r="AK168" s="11" t="str">
        <x:v>минимум</x:v>
      </x:c>
      <x:c r="AL168" s="31" t="n">
        <x:v>102.33724439640345</x:v>
      </x:c>
      <x:c r="AM168" s="12" t="str">
        <x:v>Остаток на начало сентября; Резервы неизвестны; Нет ежедневных данных доступности. Запас выше прогноза на 90 дней</x:v>
      </x:c>
      <x:c r="AN168" s="12" t="str">
        <x:v>Проверить свободный остаток и установить цену для B2B</x:v>
      </x:c>
      <x:c r="AO168" s="12" t="str">
        <x:v>Остаток 69; прогноз 90 дней 57.34; избыток 11 шт. Будущие поступления не выставляются на продажу. Остаток на начало сентября: требуется актуализация.</x:v>
      </x:c>
      <x:c r="AP168" s="12" t="str">
        <x:v>["category_missing", "daily_stockout_data_missing", "new_order_lead_time_unknown", "reservations_unknown", "stale_stock"]</x:v>
      </x:c>
      <x:c r="AQ168" s="11" t="str">
        <x:v>IEK:030200439_</x:v>
      </x:c>
      <x:c r="AR168" s="23" t="n">
        <x:v>1</x:v>
      </x:c>
      <x:c r="AS168" s="23" t="n">
        <x:v>0</x:v>
      </x:c>
      <x:c r="AT168" s="23" t="n">
        <x:v>0</x:v>
      </x:c>
    </x:row>
    <x:row r="169" ht="64" customHeight="1">
      <x:c r="A169" s="10" t="str">
        <x:v>IEK</x:v>
      </x:c>
      <x:c r="B169" s="34" t="str">
        <x:v>030200441_</x:v>
      </x:c>
      <x:c r="C169" s="34" t="str">
        <x:v>BR-R21-16-K37-F</x:v>
      </x:c>
      <x:c r="D169" s="13" t="str">
        <x:v>Роз. 2-я с з/к без з/ш 16А в сборе "BRITE" шампань (1/100)</x:v>
      </x:c>
      <x:c r="E169" s="10" t="str">
        <x:v>шт</x:v>
      </x:c>
      <x:c r="F169" s="37" t="n">
        <x:f>MAX(0,ROUNDDOWN((AG169-AF169)/AR169+0.000000001,0)*AR169)</x:f>
        <x:v>184</x:v>
      </x:c>
      <x:c r="G169" s="21" t="str">
        <x:f>IF(J169="Рассчитано",V169*(1-R169/100)-W169-P169-Q169,"н/д")</x:f>
        <x:v>н/д</x:v>
      </x:c>
      <x:c r="H169" s="13" t="str">
        <x:v>Высокий</x:v>
      </x:c>
      <x:c r="I169" s="13" t="str">
        <x:v>Средний</x:v>
      </x:c>
      <x:c r="J169" s="13" t="str">
        <x:f>IF(L169="","Укажите валюту",IF(NOT(ISNUMBER(K169)),"Укажите объём",IF(K169&lt;=0,"Укажите объём",IF(K169&gt;F169,"Объём выше излишка",IF(COUNT(M169:O169)&lt;3,"Нужны цены",IF(COUNT(P169:R169)&lt;3,"Нужны расходы",IF(OR(M169&lt;0,N169&lt;0,O169&lt;0,O169&gt;100,P169&lt;0,Q169&lt;0,R169&lt;0,R169&gt;100),"Проверьте значения","Рассчитано")))))))</x:f>
        <x:v>Нужны цены</x:v>
      </x:c>
      <x:c r="K169" s="36" t="n">
        <x:v>184</x:v>
      </x:c>
      <x:c r="L169" s="19" t="str">
        <x:v>KZT</x:v>
      </x:c>
      <x:c r="M169" s="22"/>
      <x:c r="N169" s="22"/>
      <x:c r="O169" s="28"/>
      <x:c r="P169" s="22"/>
      <x:c r="Q169" s="22"/>
      <x:c r="R169" s="28"/>
      <x:c r="S169" s="22"/>
      <x:c r="T169" s="37" t="n">
        <x:f>K169</x:f>
        <x:v>184</x:v>
      </x:c>
      <x:c r="U169" s="21" t="str">
        <x:f>IF(J169="Рассчитано",N169*(1-O169/100),"н/д")</x:f>
        <x:v>н/д</x:v>
      </x:c>
      <x:c r="V169" s="21" t="str">
        <x:f>IF(J169="Рассчитано",T169*U169,"н/д")</x:f>
        <x:v>н/д</x:v>
      </x:c>
      <x:c r="W169" s="21" t="str">
        <x:f>IF(J169="Рассчитано",T169*M169,"н/д")</x:f>
        <x:v>н/д</x:v>
      </x:c>
      <x:c r="X169" s="21" t="str">
        <x:f>IF(J169="Рассчитано",V169-W169,"н/д")</x:f>
        <x:v>н/д</x:v>
      </x:c>
      <x:c r="Y169" s="27" t="str">
        <x:f>IF(J169="Рассчитано",IF(V169&gt;0,G169/V169,"н/д"),"н/д")</x:f>
        <x:v>н/д</x:v>
      </x:c>
      <x:c r="Z169" s="21" t="str">
        <x:f>"н/д"</x:f>
        <x:v>н/д</x:v>
      </x:c>
      <x:c r="AA169" s="21" t="str">
        <x:f>"н/д"</x:f>
        <x:v>н/д</x:v>
      </x:c>
      <x:c r="AB169" s="21" t="str">
        <x:f>"н/д"</x:f>
        <x:v>н/д</x:v>
      </x:c>
      <x:c r="AC169" s="21" t="str">
        <x:f>IF(AND(J169="Рассчитано",T169&gt;0,R169&lt;100),(W169+P169+Q169)/(T169*(1-R169/100)),"н/д")</x:f>
        <x:v>н/д</x:v>
      </x:c>
      <x:c r="AD169" s="10" t="str">
        <x:f>IF(ISNUMBER(G169),IF(G169&lt;0,"Убыток",IF(G169=0,"Без прибыли","Прибыль &gt; 0")),"Не оценён")</x:f>
        <x:v>Не оценён</x:v>
      </x:c>
      <x:c r="AE169" s="13" t="str">
        <x:f>IF(J169="Рассчитано","Выручка "&amp;TEXT(V169,"0.00")&amp;" - себестоимость "&amp;TEXT(W169,"0.00")&amp;" - комиссия "&amp;TEXT(V169*R169/100,"0.00")&amp;" - доставка "&amp;TEXT(P169,"0.00")&amp;" - прочие "&amp;TEXT(Q169,"0.00")&amp;" = "&amp;TEXT(G169,"0.00")&amp;" "&amp;L169,"Введите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9" s="24" t="n">
        <x:v>175.76951130244558</x:v>
      </x:c>
      <x:c r="AG169" s="37" t="n">
        <x:v>360</x:v>
      </x:c>
      <x:c r="AH169" s="37" t="n">
        <x:v>0</x:v>
      </x:c>
      <x:c r="AI169" s="30" t="n">
        <x:v>46266</x:v>
      </x:c>
      <x:c r="AJ169" s="37" t="n">
        <x:v>1</x:v>
      </x:c>
      <x:c r="AK169" s="10" t="str">
        <x:v>минимум</x:v>
      </x:c>
      <x:c r="AL169" s="32" t="n">
        <x:v>174.17186401894813</x:v>
      </x:c>
      <x:c r="AM169" s="13" t="str">
        <x:v>Остаток на начало сентября; Резервы неизвестны; Нет ежедневных данных доступности. Запас выше прогноза на 90 дней</x:v>
      </x:c>
      <x:c r="AN169" s="13" t="str">
        <x:v>Проверить свободный остаток и установить цену для B2B</x:v>
      </x:c>
      <x:c r="AO169" s="13" t="str">
        <x:v>Остаток 360; прогноз 90 дней 175.77; избыток 184 шт. Будущие поступления не выставляются на продажу. Остаток на начало сентября: требуется актуализация.</x:v>
      </x:c>
      <x:c r="AP169" s="13" t="str">
        <x:v>["category_missing", "daily_stockout_data_missing", "new_order_lead_time_unknown", "reservations_unknown", "stale_stock"]</x:v>
      </x:c>
      <x:c r="AQ169" s="10" t="str">
        <x:v>IEK:030200441_</x:v>
      </x:c>
      <x:c r="AR169" s="24" t="n">
        <x:v>1</x:v>
      </x:c>
      <x:c r="AS169" s="24" t="n">
        <x:v>0</x:v>
      </x:c>
      <x:c r="AT169" s="24" t="n">
        <x:v>0</x:v>
      </x:c>
    </x:row>
    <x:row r="170" ht="64" customHeight="1">
      <x:c r="A170" s="11" t="str">
        <x:v>IEK</x:v>
      </x:c>
      <x:c r="B170" s="33" t="str">
        <x:v>030200443_</x:v>
      </x:c>
      <x:c r="C170" s="33" t="str">
        <x:v>BR-M12-K37</x:v>
      </x:c>
      <x:c r="D170" s="12" t="str">
        <x:v>Рамка 1-мест. "BRITE" шампань (1/100)</x:v>
      </x:c>
      <x:c r="E170" s="11" t="str">
        <x:v>шт</x:v>
      </x:c>
      <x:c r="F170" s="35" t="n">
        <x:f>MAX(0,ROUNDDOWN((AG170-AF170)/AR170+0.000000001,0)*AR170)</x:f>
        <x:v>359</x:v>
      </x:c>
      <x:c r="G170" s="20" t="str">
        <x:f>IF(J170="Рассчитано",V170*(1-R170/100)-W170-P170-Q170,"н/д")</x:f>
        <x:v>н/д</x:v>
      </x:c>
      <x:c r="H170" s="12" t="str">
        <x:v>Высокий</x:v>
      </x:c>
      <x:c r="I170" s="12" t="str">
        <x:v>Средний</x:v>
      </x:c>
      <x:c r="J170" s="12" t="str">
        <x:f>IF(L170="","Укажите валюту",IF(NOT(ISNUMBER(K170)),"Укажите объём",IF(K170&lt;=0,"Укажите объём",IF(K170&gt;F170,"Объём выше излишка",IF(COUNT(M170:O170)&lt;3,"Нужны цены",IF(COUNT(P170:R170)&lt;3,"Нужны расходы",IF(OR(M170&lt;0,N170&lt;0,O170&lt;0,O170&gt;100,P170&lt;0,Q170&lt;0,R170&lt;0,R170&gt;100),"Проверьте значения","Рассчитано")))))))</x:f>
        <x:v>Нужны цены</x:v>
      </x:c>
      <x:c r="K170" s="36" t="n">
        <x:v>359</x:v>
      </x:c>
      <x:c r="L170" s="19" t="str">
        <x:v>KZT</x:v>
      </x:c>
      <x:c r="M170" s="22"/>
      <x:c r="N170" s="22"/>
      <x:c r="O170" s="28"/>
      <x:c r="P170" s="22"/>
      <x:c r="Q170" s="22"/>
      <x:c r="R170" s="28"/>
      <x:c r="S170" s="22"/>
      <x:c r="T170" s="35" t="n">
        <x:f>K170</x:f>
        <x:v>359</x:v>
      </x:c>
      <x:c r="U170" s="20" t="str">
        <x:f>IF(J170="Рассчитано",N170*(1-O170/100),"н/д")</x:f>
        <x:v>н/д</x:v>
      </x:c>
      <x:c r="V170" s="20" t="str">
        <x:f>IF(J170="Рассчитано",T170*U170,"н/д")</x:f>
        <x:v>н/д</x:v>
      </x:c>
      <x:c r="W170" s="20" t="str">
        <x:f>IF(J170="Рассчитано",T170*M170,"н/д")</x:f>
        <x:v>н/д</x:v>
      </x:c>
      <x:c r="X170" s="20" t="str">
        <x:f>IF(J170="Рассчитано",V170-W170,"н/д")</x:f>
        <x:v>н/д</x:v>
      </x:c>
      <x:c r="Y170" s="26" t="str">
        <x:f>IF(J170="Рассчитано",IF(V170&gt;0,G170/V170,"н/д"),"н/д")</x:f>
        <x:v>н/д</x:v>
      </x:c>
      <x:c r="Z170" s="20" t="str">
        <x:f>"н/д"</x:f>
        <x:v>н/д</x:v>
      </x:c>
      <x:c r="AA170" s="20" t="str">
        <x:f>"н/д"</x:f>
        <x:v>н/д</x:v>
      </x:c>
      <x:c r="AB170" s="20" t="str">
        <x:f>"н/д"</x:f>
        <x:v>н/д</x:v>
      </x:c>
      <x:c r="AC170" s="20" t="str">
        <x:f>IF(AND(J170="Рассчитано",T170&gt;0,R170&lt;100),(W170+P170+Q170)/(T170*(1-R170/100)),"н/д")</x:f>
        <x:v>н/д</x:v>
      </x:c>
      <x:c r="AD170" s="11" t="str">
        <x:f>IF(ISNUMBER(G170),IF(G170&lt;0,"Убыток",IF(G170=0,"Без прибыли","Прибыль &gt; 0")),"Не оценён")</x:f>
        <x:v>Не оценён</x:v>
      </x:c>
      <x:c r="AE170" s="12" t="str">
        <x:f>IF(J170="Рассчитано","Выручка "&amp;TEXT(V170,"0.00")&amp;" - себестоимость "&amp;TEXT(W170,"0.00")&amp;" - комиссия "&amp;TEXT(V170*R170/100,"0.00")&amp;" - доставка "&amp;TEXT(P170,"0.00")&amp;" - прочие "&amp;TEXT(Q170,"0.00")&amp;" = "&amp;TEXT(G170,"0.00")&amp;" "&amp;L170,"Введите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0" s="23" t="n">
        <x:v>693.0498528157743</x:v>
      </x:c>
      <x:c r="AG170" s="35" t="n">
        <x:v>1053</x:v>
      </x:c>
      <x:c r="AH170" s="35" t="n">
        <x:v>0</x:v>
      </x:c>
      <x:c r="AI170" s="29" t="n">
        <x:v>46266</x:v>
      </x:c>
      <x:c r="AJ170" s="35" t="n">
        <x:v>1</x:v>
      </x:c>
      <x:c r="AK170" s="11" t="str">
        <x:v>минимум</x:v>
      </x:c>
      <x:c r="AL170" s="31" t="n">
        <x:v>129.2060767971174</x:v>
      </x:c>
      <x:c r="AM170" s="12" t="str">
        <x:v>Остаток на начало сентября; Резервы неизвестны; Нет ежедневных данных доступности. Запас выше прогноза на 90 дней</x:v>
      </x:c>
      <x:c r="AN170" s="12" t="str">
        <x:v>Проверить свободный остаток и установить цену для B2B</x:v>
      </x:c>
      <x:c r="AO170" s="12" t="str">
        <x:v>Остаток 1053; прогноз 90 дней 693.05; избыток 359 шт. Будущие поступления не выставляются на продажу. Остаток на начало сентября: требуется актуализация.</x:v>
      </x:c>
      <x:c r="AP170" s="12" t="str">
        <x:v>["category_missing", "daily_stockout_data_missing", "new_order_lead_time_unknown", "reservations_unknown", "stale_stock"]</x:v>
      </x:c>
      <x:c r="AQ170" s="11" t="str">
        <x:v>IEK:030200443_</x:v>
      </x:c>
      <x:c r="AR170" s="23" t="n">
        <x:v>1</x:v>
      </x:c>
      <x:c r="AS170" s="23" t="n">
        <x:v>0</x:v>
      </x:c>
      <x:c r="AT170" s="23" t="n">
        <x:v>0</x:v>
      </x:c>
    </x:row>
    <x:row r="171" ht="64" customHeight="1">
      <x:c r="A171" s="10" t="str">
        <x:v>IEK</x:v>
      </x:c>
      <x:c r="B171" s="34" t="str">
        <x:v>030200444_</x:v>
      </x:c>
      <x:c r="C171" s="34" t="str">
        <x:v>BR-M22-K37</x:v>
      </x:c>
      <x:c r="D171" s="13" t="str">
        <x:v>Рамка 2-мест. "BRITE" шампань (1/100)</x:v>
      </x:c>
      <x:c r="E171" s="10" t="str">
        <x:v>шт</x:v>
      </x:c>
      <x:c r="F171" s="37" t="n">
        <x:f>MAX(0,ROUNDDOWN((AG171-AF171)/AR171+0.000000001,0)*AR171)</x:f>
        <x:v>89</x:v>
      </x:c>
      <x:c r="G171" s="21" t="str">
        <x:f>IF(J171="Рассчитано",V171*(1-R171/100)-W171-P171-Q171,"н/д")</x:f>
        <x:v>н/д</x:v>
      </x:c>
      <x:c r="H171" s="13" t="str">
        <x:v>Высокий</x:v>
      </x:c>
      <x:c r="I171" s="13" t="str">
        <x:v>Средний</x:v>
      </x:c>
      <x:c r="J171" s="13" t="str">
        <x:f>IF(L171="","Укажите валюту",IF(NOT(ISNUMBER(K171)),"Укажите объём",IF(K171&lt;=0,"Укажите объём",IF(K171&gt;F171,"Объём выше излишка",IF(COUNT(M171:O171)&lt;3,"Нужны цены",IF(COUNT(P171:R171)&lt;3,"Нужны расходы",IF(OR(M171&lt;0,N171&lt;0,O171&lt;0,O171&gt;100,P171&lt;0,Q171&lt;0,R171&lt;0,R171&gt;100),"Проверьте значения","Рассчитано")))))))</x:f>
        <x:v>Нужны цены</x:v>
      </x:c>
      <x:c r="K171" s="36" t="n">
        <x:v>89</x:v>
      </x:c>
      <x:c r="L171" s="19" t="str">
        <x:v>KZT</x:v>
      </x:c>
      <x:c r="M171" s="22"/>
      <x:c r="N171" s="22"/>
      <x:c r="O171" s="28"/>
      <x:c r="P171" s="22"/>
      <x:c r="Q171" s="22"/>
      <x:c r="R171" s="28"/>
      <x:c r="S171" s="22"/>
      <x:c r="T171" s="37" t="n">
        <x:f>K171</x:f>
        <x:v>89</x:v>
      </x:c>
      <x:c r="U171" s="21" t="str">
        <x:f>IF(J171="Рассчитано",N171*(1-O171/100),"н/д")</x:f>
        <x:v>н/д</x:v>
      </x:c>
      <x:c r="V171" s="21" t="str">
        <x:f>IF(J171="Рассчитано",T171*U171,"н/д")</x:f>
        <x:v>н/д</x:v>
      </x:c>
      <x:c r="W171" s="21" t="str">
        <x:f>IF(J171="Рассчитано",T171*M171,"н/д")</x:f>
        <x:v>н/д</x:v>
      </x:c>
      <x:c r="X171" s="21" t="str">
        <x:f>IF(J171="Рассчитано",V171-W171,"н/д")</x:f>
        <x:v>н/д</x:v>
      </x:c>
      <x:c r="Y171" s="27" t="str">
        <x:f>IF(J171="Рассчитано",IF(V171&gt;0,G171/V171,"н/д"),"н/д")</x:f>
        <x:v>н/д</x:v>
      </x:c>
      <x:c r="Z171" s="21" t="str">
        <x:f>"н/д"</x:f>
        <x:v>н/д</x:v>
      </x:c>
      <x:c r="AA171" s="21" t="str">
        <x:f>"н/д"</x:f>
        <x:v>н/д</x:v>
      </x:c>
      <x:c r="AB171" s="21" t="str">
        <x:f>"н/д"</x:f>
        <x:v>н/д</x:v>
      </x:c>
      <x:c r="AC171" s="21" t="str">
        <x:f>IF(AND(J171="Рассчитано",T171&gt;0,R171&lt;100),(W171+P171+Q171)/(T171*(1-R171/100)),"н/д")</x:f>
        <x:v>н/д</x:v>
      </x:c>
      <x:c r="AD171" s="10" t="str">
        <x:f>IF(ISNUMBER(G171),IF(G171&lt;0,"Убыток",IF(G171=0,"Без прибыли","Прибыль &gt; 0")),"Не оценён")</x:f>
        <x:v>Не оценён</x:v>
      </x:c>
      <x:c r="AE171" s="13" t="str">
        <x:f>IF(J171="Рассчитано","Выручка "&amp;TEXT(V171,"0.00")&amp;" - себестоимость "&amp;TEXT(W171,"0.00")&amp;" - комиссия "&amp;TEXT(V171*R171/100,"0.00")&amp;" - доставка "&amp;TEXT(P171,"0.00")&amp;" - прочие "&amp;TEXT(Q171,"0.00")&amp;" = "&amp;TEXT(G171,"0.00")&amp;" "&amp;L171,"Введите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1" s="24" t="n">
        <x:v>212.05828350516975</x:v>
      </x:c>
      <x:c r="AG171" s="37" t="n">
        <x:v>302</x:v>
      </x:c>
      <x:c r="AH171" s="37" t="n">
        <x:v>0</x:v>
      </x:c>
      <x:c r="AI171" s="30" t="n">
        <x:v>46266</x:v>
      </x:c>
      <x:c r="AJ171" s="37" t="n">
        <x:v>1</x:v>
      </x:c>
      <x:c r="AK171" s="10" t="str">
        <x:v>минимум</x:v>
      </x:c>
      <x:c r="AL171" s="32" t="n">
        <x:v>121.10741810636644</x:v>
      </x:c>
      <x:c r="AM17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71" s="13" t="str">
        <x:v>Проверить свободный остаток и установить цену для B2B</x:v>
      </x:c>
      <x:c r="AO171" s="13" t="str">
        <x:v>Остаток 302; прогноз 90 дней 212.06; избыток 89 шт. Будущие поступления не выставляются на продажу. Остаток на начало сентября: требуется актуализация.</x:v>
      </x:c>
      <x:c r="AP171" s="13" t="str">
        <x:v>["category_missing", "daily_stockout_data_missing", "large_orders_detected", "new_order_lead_time_unknown", "reservations_unknown", "stale_stock", "transaction_month_mismatch"]</x:v>
      </x:c>
      <x:c r="AQ171" s="10" t="str">
        <x:v>IEK:030200444_</x:v>
      </x:c>
      <x:c r="AR171" s="24" t="n">
        <x:v>1</x:v>
      </x:c>
      <x:c r="AS171" s="24" t="n">
        <x:v>0</x:v>
      </x:c>
      <x:c r="AT171" s="24" t="n">
        <x:v>0</x:v>
      </x:c>
    </x:row>
    <x:row r="172" ht="64" customHeight="1">
      <x:c r="A172" s="11" t="str">
        <x:v>IEK</x:v>
      </x:c>
      <x:c r="B172" s="33" t="str">
        <x:v>030200445_</x:v>
      </x:c>
      <x:c r="C172" s="33" t="str">
        <x:v>BR-M32-K37</x:v>
      </x:c>
      <x:c r="D172" s="12" t="str">
        <x:v>Рамка 3-мест. "BRITE" шампань (1/100)</x:v>
      </x:c>
      <x:c r="E172" s="11" t="str">
        <x:v>шт</x:v>
      </x:c>
      <x:c r="F172" s="35" t="n">
        <x:f>MAX(0,ROUNDDOWN((AG172-AF172)/AR172+0.000000001,0)*AR172)</x:f>
        <x:v>64</x:v>
      </x:c>
      <x:c r="G172" s="20" t="str">
        <x:f>IF(J172="Рассчитано",V172*(1-R172/100)-W172-P172-Q172,"н/д")</x:f>
        <x:v>н/д</x:v>
      </x:c>
      <x:c r="H172" s="12" t="str">
        <x:v>Высокий</x:v>
      </x:c>
      <x:c r="I172" s="12" t="str">
        <x:v>Средний</x:v>
      </x:c>
      <x:c r="J172" s="12" t="str">
        <x:f>IF(L172="","Укажите валюту",IF(NOT(ISNUMBER(K172)),"Укажите объём",IF(K172&lt;=0,"Укажите объём",IF(K172&gt;F172,"Объём выше излишка",IF(COUNT(M172:O172)&lt;3,"Нужны цены",IF(COUNT(P172:R172)&lt;3,"Нужны расходы",IF(OR(M172&lt;0,N172&lt;0,O172&lt;0,O172&gt;100,P172&lt;0,Q172&lt;0,R172&lt;0,R172&gt;100),"Проверьте значения","Рассчитано")))))))</x:f>
        <x:v>Нужны цены</x:v>
      </x:c>
      <x:c r="K172" s="36" t="n">
        <x:v>64</x:v>
      </x:c>
      <x:c r="L172" s="19" t="str">
        <x:v>KZT</x:v>
      </x:c>
      <x:c r="M172" s="22"/>
      <x:c r="N172" s="22"/>
      <x:c r="O172" s="28"/>
      <x:c r="P172" s="22"/>
      <x:c r="Q172" s="22"/>
      <x:c r="R172" s="28"/>
      <x:c r="S172" s="22"/>
      <x:c r="T172" s="35" t="n">
        <x:f>K172</x:f>
        <x:v>64</x:v>
      </x:c>
      <x:c r="U172" s="20" t="str">
        <x:f>IF(J172="Рассчитано",N172*(1-O172/100),"н/д")</x:f>
        <x:v>н/д</x:v>
      </x:c>
      <x:c r="V172" s="20" t="str">
        <x:f>IF(J172="Рассчитано",T172*U172,"н/д")</x:f>
        <x:v>н/д</x:v>
      </x:c>
      <x:c r="W172" s="20" t="str">
        <x:f>IF(J172="Рассчитано",T172*M172,"н/д")</x:f>
        <x:v>н/д</x:v>
      </x:c>
      <x:c r="X172" s="20" t="str">
        <x:f>IF(J172="Рассчитано",V172-W172,"н/д")</x:f>
        <x:v>н/д</x:v>
      </x:c>
      <x:c r="Y172" s="26" t="str">
        <x:f>IF(J172="Рассчитано",IF(V172&gt;0,G172/V172,"н/д"),"н/д")</x:f>
        <x:v>н/д</x:v>
      </x:c>
      <x:c r="Z172" s="20" t="str">
        <x:f>"н/д"</x:f>
        <x:v>н/д</x:v>
      </x:c>
      <x:c r="AA172" s="20" t="str">
        <x:f>"н/д"</x:f>
        <x:v>н/д</x:v>
      </x:c>
      <x:c r="AB172" s="20" t="str">
        <x:f>"н/д"</x:f>
        <x:v>н/д</x:v>
      </x:c>
      <x:c r="AC172" s="20" t="str">
        <x:f>IF(AND(J172="Рассчитано",T172&gt;0,R172&lt;100),(W172+P172+Q172)/(T172*(1-R172/100)),"н/д")</x:f>
        <x:v>н/д</x:v>
      </x:c>
      <x:c r="AD172" s="11" t="str">
        <x:f>IF(ISNUMBER(G172),IF(G172&lt;0,"Убыток",IF(G172=0,"Без прибыли","Прибыль &gt; 0")),"Не оценён")</x:f>
        <x:v>Не оценён</x:v>
      </x:c>
      <x:c r="AE172" s="12" t="str">
        <x:f>IF(J172="Рассчитано","Выручка "&amp;TEXT(V172,"0.00")&amp;" - себестоимость "&amp;TEXT(W172,"0.00")&amp;" - комиссия "&amp;TEXT(V172*R172/100,"0.00")&amp;" - доставка "&amp;TEXT(P172,"0.00")&amp;" - прочие "&amp;TEXT(Q172,"0.00")&amp;" = "&amp;TEXT(G172,"0.00")&amp;" "&amp;L172,"Введите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2" s="23" t="n">
        <x:v>78.6479133031307</x:v>
      </x:c>
      <x:c r="AG172" s="35" t="n">
        <x:v>143</x:v>
      </x:c>
      <x:c r="AH172" s="35" t="n">
        <x:v>0</x:v>
      </x:c>
      <x:c r="AI172" s="29" t="n">
        <x:v>46266</x:v>
      </x:c>
      <x:c r="AJ172" s="35" t="n">
        <x:v>1</x:v>
      </x:c>
      <x:c r="AK172" s="11" t="str">
        <x:v>минимум</x:v>
      </x:c>
      <x:c r="AL172" s="31" t="n">
        <x:v>154.62078625605915</x:v>
      </x:c>
      <x:c r="AM172" s="12" t="str">
        <x:v>Остаток на начало сентября; Резервы неизвестны; Нет ежедневных данных доступности. Запас выше прогноза на 90 дней</x:v>
      </x:c>
      <x:c r="AN172" s="12" t="str">
        <x:v>Проверить свободный остаток и установить цену для B2B</x:v>
      </x:c>
      <x:c r="AO172" s="12" t="str">
        <x:v>Остаток 143; прогноз 90 дней 78.65; избыток 64 шт. Будущие поступления не выставляются на продажу. Остаток на начало сентября: требуется актуализация.</x:v>
      </x:c>
      <x:c r="AP172" s="12" t="str">
        <x:v>["category_missing", "daily_stockout_data_missing", "new_order_lead_time_unknown", "reservations_unknown", "stale_stock"]</x:v>
      </x:c>
      <x:c r="AQ172" s="11" t="str">
        <x:v>IEK:030200445_</x:v>
      </x:c>
      <x:c r="AR172" s="23" t="n">
        <x:v>1</x:v>
      </x:c>
      <x:c r="AS172" s="23" t="n">
        <x:v>0</x:v>
      </x:c>
      <x:c r="AT172" s="23" t="n">
        <x:v>0</x:v>
      </x:c>
    </x:row>
    <x:row r="173" ht="64" customHeight="1">
      <x:c r="A173" s="10" t="str">
        <x:v>IEK</x:v>
      </x:c>
      <x:c r="B173" s="34" t="str">
        <x:v>030200451_</x:v>
      </x:c>
      <x:c r="C173" s="34" t="str">
        <x:v>BR-V20-1-10-K01</x:v>
      </x:c>
      <x:c r="D173" s="13" t="str">
        <x:v>Выкл 2-кл. с инд. 10А б/рамки "BRITE" белый (1/100)</x:v>
      </x:c>
      <x:c r="E173" s="10" t="str">
        <x:v>шт</x:v>
      </x:c>
      <x:c r="F173" s="37" t="n">
        <x:f>MAX(0,ROUNDDOWN((AG173-AF173)/AR173+0.000000001,0)*AR173)</x:f>
        <x:v>12</x:v>
      </x:c>
      <x:c r="G173" s="21" t="str">
        <x:f>IF(J173="Рассчитано",V173*(1-R173/100)-W173-P173-Q173,"н/д")</x:f>
        <x:v>н/д</x:v>
      </x:c>
      <x:c r="H173" s="13" t="str">
        <x:v>Высокий</x:v>
      </x:c>
      <x:c r="I173" s="13" t="str">
        <x:v>Средний</x:v>
      </x:c>
      <x:c r="J173" s="13" t="str">
        <x:f>IF(L173="","Укажите валюту",IF(NOT(ISNUMBER(K173)),"Укажите объём",IF(K173&lt;=0,"Укажите объём",IF(K173&gt;F173,"Объём выше излишка",IF(COUNT(M173:O173)&lt;3,"Нужны цены",IF(COUNT(P173:R173)&lt;3,"Нужны расходы",IF(OR(M173&lt;0,N173&lt;0,O173&lt;0,O173&gt;100,P173&lt;0,Q173&lt;0,R173&lt;0,R173&gt;100),"Проверьте значения","Рассчитано")))))))</x:f>
        <x:v>Нужны цены</x:v>
      </x:c>
      <x:c r="K173" s="36" t="n">
        <x:v>12</x:v>
      </x:c>
      <x:c r="L173" s="19" t="str">
        <x:v>KZT</x:v>
      </x:c>
      <x:c r="M173" s="22"/>
      <x:c r="N173" s="22"/>
      <x:c r="O173" s="28"/>
      <x:c r="P173" s="22"/>
      <x:c r="Q173" s="22"/>
      <x:c r="R173" s="28"/>
      <x:c r="S173" s="22"/>
      <x:c r="T173" s="37" t="n">
        <x:f>K173</x:f>
        <x:v>12</x:v>
      </x:c>
      <x:c r="U173" s="21" t="str">
        <x:f>IF(J173="Рассчитано",N173*(1-O173/100),"н/д")</x:f>
        <x:v>н/д</x:v>
      </x:c>
      <x:c r="V173" s="21" t="str">
        <x:f>IF(J173="Рассчитано",T173*U173,"н/д")</x:f>
        <x:v>н/д</x:v>
      </x:c>
      <x:c r="W173" s="21" t="str">
        <x:f>IF(J173="Рассчитано",T173*M173,"н/д")</x:f>
        <x:v>н/д</x:v>
      </x:c>
      <x:c r="X173" s="21" t="str">
        <x:f>IF(J173="Рассчитано",V173-W173,"н/д")</x:f>
        <x:v>н/д</x:v>
      </x:c>
      <x:c r="Y173" s="27" t="str">
        <x:f>IF(J173="Рассчитано",IF(V173&gt;0,G173/V173,"н/д"),"н/д")</x:f>
        <x:v>н/д</x:v>
      </x:c>
      <x:c r="Z173" s="21" t="str">
        <x:f>"н/д"</x:f>
        <x:v>н/д</x:v>
      </x:c>
      <x:c r="AA173" s="21" t="str">
        <x:f>"н/д"</x:f>
        <x:v>н/д</x:v>
      </x:c>
      <x:c r="AB173" s="21" t="str">
        <x:f>"н/д"</x:f>
        <x:v>н/д</x:v>
      </x:c>
      <x:c r="AC173" s="21" t="str">
        <x:f>IF(AND(J173="Рассчитано",T173&gt;0,R173&lt;100),(W173+P173+Q173)/(T173*(1-R173/100)),"н/д")</x:f>
        <x:v>н/д</x:v>
      </x:c>
      <x:c r="AD173" s="10" t="str">
        <x:f>IF(ISNUMBER(G173),IF(G173&lt;0,"Убыток",IF(G173=0,"Без прибыли","Прибыль &gt; 0")),"Не оценён")</x:f>
        <x:v>Не оценён</x:v>
      </x:c>
      <x:c r="AE173" s="13" t="str">
        <x:f>IF(J173="Рассчитано","Выручка "&amp;TEXT(V173,"0.00")&amp;" - себестоимость "&amp;TEXT(W173,"0.00")&amp;" - комиссия "&amp;TEXT(V173*R173/100,"0.00")&amp;" - доставка "&amp;TEXT(P173,"0.00")&amp;" - прочие "&amp;TEXT(Q173,"0.00")&amp;" = "&amp;TEXT(G173,"0.00")&amp;" "&amp;L173,"Введите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3" s="24" t="n">
        <x:v>70.0521404716256</x:v>
      </x:c>
      <x:c r="AG173" s="37" t="n">
        <x:v>83</x:v>
      </x:c>
      <x:c r="AH173" s="37" t="n">
        <x:v>0</x:v>
      </x:c>
      <x:c r="AI173" s="30" t="n">
        <x:v>46266</x:v>
      </x:c>
      <x:c r="AJ173" s="37" t="n">
        <x:v>1</x:v>
      </x:c>
      <x:c r="AK173" s="10" t="str">
        <x:v>минимум</x:v>
      </x:c>
      <x:c r="AL173" s="32" t="n">
        <x:v>100.75711569412547</x:v>
      </x:c>
      <x:c r="AM173" s="13" t="str">
        <x:v>Остаток на начало сентября; Резервы неизвестны; Нет ежедневных данных доступности. Запас выше прогноза на 90 дней</x:v>
      </x:c>
      <x:c r="AN173" s="13" t="str">
        <x:v>Проверить свободный остаток и установить цену для B2B</x:v>
      </x:c>
      <x:c r="AO173" s="13" t="str">
        <x:v>Остаток 83; прогноз 90 дней 70.05; избыток 12 шт. Будущие поступления не выставляются на продажу. Остаток на начало сентября: требуется актуализация.</x:v>
      </x:c>
      <x:c r="AP173" s="13" t="str">
        <x:v>["category_missing", "daily_stockout_data_missing", "new_order_lead_time_unknown", "reservations_unknown", "stale_stock"]</x:v>
      </x:c>
      <x:c r="AQ173" s="10" t="str">
        <x:v>IEK:030200451_</x:v>
      </x:c>
      <x:c r="AR173" s="24" t="n">
        <x:v>1</x:v>
      </x:c>
      <x:c r="AS173" s="24" t="n">
        <x:v>0</x:v>
      </x:c>
      <x:c r="AT173" s="24" t="n">
        <x:v>0</x:v>
      </x:c>
    </x:row>
    <x:row r="174" ht="64" customHeight="1">
      <x:c r="A174" s="11" t="str">
        <x:v>IEK</x:v>
      </x:c>
      <x:c r="B174" s="33" t="str">
        <x:v>030200454_</x:v>
      </x:c>
      <x:c r="C174" s="33" t="str">
        <x:v>BR-V12-0-10-K01</x:v>
      </x:c>
      <x:c r="D174" s="12" t="str">
        <x:v>Выкл 1-кл. прох. 10А б/рамки "BRITE" белый (1/100)</x:v>
      </x:c>
      <x:c r="E174" s="11" t="str">
        <x:v>шт</x:v>
      </x:c>
      <x:c r="F174" s="35" t="n">
        <x:f>MAX(0,ROUNDDOWN((AG174-AF174)/AR174+0.000000001,0)*AR174)</x:f>
        <x:v>129</x:v>
      </x:c>
      <x:c r="G174" s="20" t="str">
        <x:f>IF(J174="Рассчитано",V174*(1-R174/100)-W174-P174-Q174,"н/д")</x:f>
        <x:v>н/д</x:v>
      </x:c>
      <x:c r="H174" s="12" t="str">
        <x:v>Высокий</x:v>
      </x:c>
      <x:c r="I174" s="12" t="str">
        <x:v>Средний</x:v>
      </x:c>
      <x:c r="J174" s="12" t="str">
        <x:f>IF(L174="","Укажите валюту",IF(NOT(ISNUMBER(K174)),"Укажите объём",IF(K174&lt;=0,"Укажите объём",IF(K174&gt;F174,"Объём выше излишка",IF(COUNT(M174:O174)&lt;3,"Нужны цены",IF(COUNT(P174:R174)&lt;3,"Нужны расходы",IF(OR(M174&lt;0,N174&lt;0,O174&lt;0,O174&gt;100,P174&lt;0,Q174&lt;0,R174&lt;0,R174&gt;100),"Проверьте значения","Рассчитано")))))))</x:f>
        <x:v>Нужны цены</x:v>
      </x:c>
      <x:c r="K174" s="36" t="n">
        <x:v>129</x:v>
      </x:c>
      <x:c r="L174" s="19" t="str">
        <x:v>KZT</x:v>
      </x:c>
      <x:c r="M174" s="22"/>
      <x:c r="N174" s="22"/>
      <x:c r="O174" s="28"/>
      <x:c r="P174" s="22"/>
      <x:c r="Q174" s="22"/>
      <x:c r="R174" s="28"/>
      <x:c r="S174" s="22"/>
      <x:c r="T174" s="35" t="n">
        <x:f>K174</x:f>
        <x:v>129</x:v>
      </x:c>
      <x:c r="U174" s="20" t="str">
        <x:f>IF(J174="Рассчитано",N174*(1-O174/100),"н/д")</x:f>
        <x:v>н/д</x:v>
      </x:c>
      <x:c r="V174" s="20" t="str">
        <x:f>IF(J174="Рассчитано",T174*U174,"н/д")</x:f>
        <x:v>н/д</x:v>
      </x:c>
      <x:c r="W174" s="20" t="str">
        <x:f>IF(J174="Рассчитано",T174*M174,"н/д")</x:f>
        <x:v>н/д</x:v>
      </x:c>
      <x:c r="X174" s="20" t="str">
        <x:f>IF(J174="Рассчитано",V174-W174,"н/д")</x:f>
        <x:v>н/д</x:v>
      </x:c>
      <x:c r="Y174" s="26" t="str">
        <x:f>IF(J174="Рассчитано",IF(V174&gt;0,G174/V174,"н/д"),"н/д")</x:f>
        <x:v>н/д</x:v>
      </x:c>
      <x:c r="Z174" s="20" t="str">
        <x:f>"н/д"</x:f>
        <x:v>н/д</x:v>
      </x:c>
      <x:c r="AA174" s="20" t="str">
        <x:f>"н/д"</x:f>
        <x:v>н/д</x:v>
      </x:c>
      <x:c r="AB174" s="20" t="str">
        <x:f>"н/д"</x:f>
        <x:v>н/д</x:v>
      </x:c>
      <x:c r="AC174" s="20" t="str">
        <x:f>IF(AND(J174="Рассчитано",T174&gt;0,R174&lt;100),(W174+P174+Q174)/(T174*(1-R174/100)),"н/д")</x:f>
        <x:v>н/д</x:v>
      </x:c>
      <x:c r="AD174" s="11" t="str">
        <x:f>IF(ISNUMBER(G174),IF(G174&lt;0,"Убыток",IF(G174=0,"Без прибыли","Прибыль &gt; 0")),"Не оценён")</x:f>
        <x:v>Не оценён</x:v>
      </x:c>
      <x:c r="AE174" s="12" t="str">
        <x:f>IF(J174="Рассчитано","Выручка "&amp;TEXT(V174,"0.00")&amp;" - себестоимость "&amp;TEXT(W174,"0.00")&amp;" - комиссия "&amp;TEXT(V174*R174/100,"0.00")&amp;" - доставка "&amp;TEXT(P174,"0.00")&amp;" - прочие "&amp;TEXT(Q174,"0.00")&amp;" = "&amp;TEXT(G174,"0.00")&amp;" "&amp;L174,"Введите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4" s="23" t="n">
        <x:v>253.74790029917702</x:v>
      </x:c>
      <x:c r="AG174" s="35" t="n">
        <x:v>383</x:v>
      </x:c>
      <x:c r="AH174" s="35" t="n">
        <x:v>0</x:v>
      </x:c>
      <x:c r="AI174" s="29" t="n">
        <x:v>46266</x:v>
      </x:c>
      <x:c r="AJ174" s="35" t="n">
        <x:v>1</x:v>
      </x:c>
      <x:c r="AK174" s="11" t="str">
        <x:v>минимум</x:v>
      </x:c>
      <x:c r="AL174" s="31" t="n">
        <x:v>128.35575953439738</x:v>
      </x:c>
      <x:c r="AM17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74" s="12" t="str">
        <x:v>Проверить свободный остаток и установить цену для B2B</x:v>
      </x:c>
      <x:c r="AO174" s="12" t="str">
        <x:v>Остаток 383; прогноз 90 дней 253.75; избыток 129 шт. Будущие поступления не выставляются на продажу. Остаток на начало сентября: требуется актуализация.</x:v>
      </x:c>
      <x:c r="AP174" s="12" t="str">
        <x:v>["category_missing", "daily_stockout_data_missing", "large_orders_detected", "new_order_lead_time_unknown", "reservations_unknown", "stale_stock", "transaction_month_mismatch"]</x:v>
      </x:c>
      <x:c r="AQ174" s="11" t="str">
        <x:v>IEK:030200454_</x:v>
      </x:c>
      <x:c r="AR174" s="23" t="n">
        <x:v>1</x:v>
      </x:c>
      <x:c r="AS174" s="23" t="n">
        <x:v>0</x:v>
      </x:c>
      <x:c r="AT174" s="23" t="n">
        <x:v>0</x:v>
      </x:c>
    </x:row>
    <x:row r="175" ht="64" customHeight="1">
      <x:c r="A175" s="10" t="str">
        <x:v>IEK</x:v>
      </x:c>
      <x:c r="B175" s="34" t="str">
        <x:v>030200455_</x:v>
      </x:c>
      <x:c r="C175" s="34" t="str">
        <x:v>BR-V12-1-10-K01</x:v>
      </x:c>
      <x:c r="D175" s="13" t="str">
        <x:v>Выкл 1-кл. прох. с инд. 10А "BRITE" белый (1/100)</x:v>
      </x:c>
      <x:c r="E175" s="10" t="str">
        <x:v>шт</x:v>
      </x:c>
      <x:c r="F175" s="37" t="n">
        <x:f>MAX(0,ROUNDDOWN((AG175-AF175)/AR175+0.000000001,0)*AR175)</x:f>
        <x:v>39</x:v>
      </x:c>
      <x:c r="G175" s="21" t="str">
        <x:f>IF(J175="Рассчитано",V175*(1-R175/100)-W175-P175-Q175,"н/д")</x:f>
        <x:v>н/д</x:v>
      </x:c>
      <x:c r="H175" s="13" t="str">
        <x:v>Высокий</x:v>
      </x:c>
      <x:c r="I175" s="13" t="str">
        <x:v>Высокий</x:v>
      </x:c>
      <x:c r="J175" s="13" t="str">
        <x:f>IF(L175="","Укажите валюту",IF(NOT(ISNUMBER(K175)),"Укажите объём",IF(K175&lt;=0,"Укажите объём",IF(K175&gt;F175,"Объём выше излишка",IF(COUNT(M175:O175)&lt;3,"Нужны цены",IF(COUNT(P175:R175)&lt;3,"Нужны расходы",IF(OR(M175&lt;0,N175&lt;0,O175&lt;0,O175&gt;100,P175&lt;0,Q175&lt;0,R175&lt;0,R175&gt;100),"Проверьте значения","Рассчитано")))))))</x:f>
        <x:v>Нужны цены</x:v>
      </x:c>
      <x:c r="K175" s="36" t="n">
        <x:v>39</x:v>
      </x:c>
      <x:c r="L175" s="19" t="str">
        <x:v>KZT</x:v>
      </x:c>
      <x:c r="M175" s="22"/>
      <x:c r="N175" s="22"/>
      <x:c r="O175" s="28"/>
      <x:c r="P175" s="22"/>
      <x:c r="Q175" s="22"/>
      <x:c r="R175" s="28"/>
      <x:c r="S175" s="22"/>
      <x:c r="T175" s="37" t="n">
        <x:f>K175</x:f>
        <x:v>39</x:v>
      </x:c>
      <x:c r="U175" s="21" t="str">
        <x:f>IF(J175="Рассчитано",N175*(1-O175/100),"н/д")</x:f>
        <x:v>н/д</x:v>
      </x:c>
      <x:c r="V175" s="21" t="str">
        <x:f>IF(J175="Рассчитано",T175*U175,"н/д")</x:f>
        <x:v>н/д</x:v>
      </x:c>
      <x:c r="W175" s="21" t="str">
        <x:f>IF(J175="Рассчитано",T175*M175,"н/д")</x:f>
        <x:v>н/д</x:v>
      </x:c>
      <x:c r="X175" s="21" t="str">
        <x:f>IF(J175="Рассчитано",V175-W175,"н/д")</x:f>
        <x:v>н/д</x:v>
      </x:c>
      <x:c r="Y175" s="27" t="str">
        <x:f>IF(J175="Рассчитано",IF(V175&gt;0,G175/V175,"н/д"),"н/д")</x:f>
        <x:v>н/д</x:v>
      </x:c>
      <x:c r="Z175" s="21" t="str">
        <x:f>"н/д"</x:f>
        <x:v>н/д</x:v>
      </x:c>
      <x:c r="AA175" s="21" t="str">
        <x:f>"н/д"</x:f>
        <x:v>н/д</x:v>
      </x:c>
      <x:c r="AB175" s="21" t="str">
        <x:f>"н/д"</x:f>
        <x:v>н/д</x:v>
      </x:c>
      <x:c r="AC175" s="21" t="str">
        <x:f>IF(AND(J175="Рассчитано",T175&gt;0,R175&lt;100),(W175+P175+Q175)/(T175*(1-R175/100)),"н/д")</x:f>
        <x:v>н/д</x:v>
      </x:c>
      <x:c r="AD175" s="10" t="str">
        <x:f>IF(ISNUMBER(G175),IF(G175&lt;0,"Убыток",IF(G175=0,"Без прибыли","Прибыль &gt; 0")),"Не оценён")</x:f>
        <x:v>Не оценён</x:v>
      </x:c>
      <x:c r="AE175" s="13" t="str">
        <x:f>IF(J175="Рассчитано","Выручка "&amp;TEXT(V175,"0.00")&amp;" - себестоимость "&amp;TEXT(W175,"0.00")&amp;" - комиссия "&amp;TEXT(V175*R175/100,"0.00")&amp;" - доставка "&amp;TEXT(P175,"0.00")&amp;" - прочие "&amp;TEXT(Q175,"0.00")&amp;" = "&amp;TEXT(G175,"0.00")&amp;" "&amp;L175,"Введите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5" s="24" t="n">
        <x:v>9.519045179897159</x:v>
      </x:c>
      <x:c r="AG175" s="37" t="n">
        <x:v>49</x:v>
      </x:c>
      <x:c r="AH175" s="37" t="n">
        <x:v>0</x:v>
      </x:c>
      <x:c r="AI175" s="30" t="n">
        <x:v>46266</x:v>
      </x:c>
      <x:c r="AJ175" s="37" t="n">
        <x:v>1</x:v>
      </x:c>
      <x:c r="AK175" s="10" t="str">
        <x:v>минимум</x:v>
      </x:c>
      <x:c r="AL175" s="32" t="n">
        <x:v>437.7455462798154</x:v>
      </x:c>
      <x:c r="AM17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75" s="13" t="str">
        <x:v>Проверить свободный остаток и установить цену для B2B</x:v>
      </x:c>
      <x:c r="AO175" s="13" t="str">
        <x:v>Остаток 49; прогноз 90 дней 9.52; избыток 39 шт. Будущие поступления не выставляются на продажу. Остаток на начало сентября: требуется актуализация.</x:v>
      </x:c>
      <x:c r="AP175" s="13" t="str">
        <x:v>["category_missing", "daily_stockout_data_missing", "new_order_lead_time_unknown", "reservations_unknown", "stale_stock"]</x:v>
      </x:c>
      <x:c r="AQ175" s="10" t="str">
        <x:v>IEK:030200455_</x:v>
      </x:c>
      <x:c r="AR175" s="24" t="n">
        <x:v>1</x:v>
      </x:c>
      <x:c r="AS175" s="24" t="n">
        <x:v>0</x:v>
      </x:c>
      <x:c r="AT175" s="24" t="n">
        <x:v>0</x:v>
      </x:c>
    </x:row>
    <x:row r="176" ht="64" customHeight="1">
      <x:c r="A176" s="11" t="str">
        <x:v>IEK</x:v>
      </x:c>
      <x:c r="B176" s="33" t="str">
        <x:v>030200456_</x:v>
      </x:c>
      <x:c r="C176" s="33" t="str">
        <x:v>BR-V13-0-10-K01</x:v>
      </x:c>
      <x:c r="D176" s="12" t="str">
        <x:v>Выкл 1-кл перекр 10А б/рамки "BRITE" белый (1/100)</x:v>
      </x:c>
      <x:c r="E176" s="11" t="str">
        <x:v>шт</x:v>
      </x:c>
      <x:c r="F176" s="35" t="n">
        <x:f>MAX(0,ROUNDDOWN((AG176-AF176)/AR176+0.000000001,0)*AR176)</x:f>
        <x:v>3</x:v>
      </x:c>
      <x:c r="G176" s="20" t="str">
        <x:f>IF(J176="Рассчитано",V176*(1-R176/100)-W176-P176-Q176,"н/д")</x:f>
        <x:v>н/д</x:v>
      </x:c>
      <x:c r="H176" s="12" t="str">
        <x:v>Высокий</x:v>
      </x:c>
      <x:c r="I176" s="12" t="str">
        <x:v>Средний</x:v>
      </x:c>
      <x:c r="J176" s="12" t="str">
        <x:f>IF(L176="","Укажите валюту",IF(NOT(ISNUMBER(K176)),"Укажите объём",IF(K176&lt;=0,"Укажите объём",IF(K176&gt;F176,"Объём выше излишка",IF(COUNT(M176:O176)&lt;3,"Нужны цены",IF(COUNT(P176:R176)&lt;3,"Нужны расходы",IF(OR(M176&lt;0,N176&lt;0,O176&lt;0,O176&gt;100,P176&lt;0,Q176&lt;0,R176&lt;0,R176&gt;100),"Проверьте значения","Рассчитано")))))))</x:f>
        <x:v>Нужны цены</x:v>
      </x:c>
      <x:c r="K176" s="36" t="n">
        <x:v>3</x:v>
      </x:c>
      <x:c r="L176" s="19" t="str">
        <x:v>KZT</x:v>
      </x:c>
      <x:c r="M176" s="22"/>
      <x:c r="N176" s="22"/>
      <x:c r="O176" s="28"/>
      <x:c r="P176" s="22"/>
      <x:c r="Q176" s="22"/>
      <x:c r="R176" s="28"/>
      <x:c r="S176" s="22"/>
      <x:c r="T176" s="35" t="n">
        <x:f>K176</x:f>
        <x:v>3</x:v>
      </x:c>
      <x:c r="U176" s="20" t="str">
        <x:f>IF(J176="Рассчитано",N176*(1-O176/100),"н/д")</x:f>
        <x:v>н/д</x:v>
      </x:c>
      <x:c r="V176" s="20" t="str">
        <x:f>IF(J176="Рассчитано",T176*U176,"н/д")</x:f>
        <x:v>н/д</x:v>
      </x:c>
      <x:c r="W176" s="20" t="str">
        <x:f>IF(J176="Рассчитано",T176*M176,"н/д")</x:f>
        <x:v>н/д</x:v>
      </x:c>
      <x:c r="X176" s="20" t="str">
        <x:f>IF(J176="Рассчитано",V176-W176,"н/д")</x:f>
        <x:v>н/д</x:v>
      </x:c>
      <x:c r="Y176" s="26" t="str">
        <x:f>IF(J176="Рассчитано",IF(V176&gt;0,G176/V176,"н/д"),"н/д")</x:f>
        <x:v>н/д</x:v>
      </x:c>
      <x:c r="Z176" s="20" t="str">
        <x:f>"н/д"</x:f>
        <x:v>н/д</x:v>
      </x:c>
      <x:c r="AA176" s="20" t="str">
        <x:f>"н/д"</x:f>
        <x:v>н/д</x:v>
      </x:c>
      <x:c r="AB176" s="20" t="str">
        <x:f>"н/д"</x:f>
        <x:v>н/д</x:v>
      </x:c>
      <x:c r="AC176" s="20" t="str">
        <x:f>IF(AND(J176="Рассчитано",T176&gt;0,R176&lt;100),(W176+P176+Q176)/(T176*(1-R176/100)),"н/д")</x:f>
        <x:v>н/д</x:v>
      </x:c>
      <x:c r="AD176" s="11" t="str">
        <x:f>IF(ISNUMBER(G176),IF(G176&lt;0,"Убыток",IF(G176=0,"Без прибыли","Прибыль &gt; 0")),"Не оценён")</x:f>
        <x:v>Не оценён</x:v>
      </x:c>
      <x:c r="AE176" s="12" t="str">
        <x:f>IF(J176="Рассчитано","Выручка "&amp;TEXT(V176,"0.00")&amp;" - себестоимость "&amp;TEXT(W176,"0.00")&amp;" - комиссия "&amp;TEXT(V176*R176/100,"0.00")&amp;" - доставка "&amp;TEXT(P176,"0.00")&amp;" - прочие "&amp;TEXT(Q176,"0.00")&amp;" = "&amp;TEXT(G176,"0.00")&amp;" "&amp;L176,"Введите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6" s="23" t="n">
        <x:v>40.85813273985862</x:v>
      </x:c>
      <x:c r="AG176" s="35" t="n">
        <x:v>44</x:v>
      </x:c>
      <x:c r="AH176" s="35" t="n">
        <x:v>0</x:v>
      </x:c>
      <x:c r="AI176" s="29" t="n">
        <x:v>46266</x:v>
      </x:c>
      <x:c r="AJ176" s="35" t="n">
        <x:v>1</x:v>
      </x:c>
      <x:c r="AK176" s="11" t="str">
        <x:v>минимум</x:v>
      </x:c>
      <x:c r="AL176" s="31" t="n">
        <x:v>91.578432507159</x:v>
      </x:c>
      <x:c r="AM176" s="12" t="str">
        <x:v>Остаток на начало сентября; Резервы неизвестны; Нет ежедневных данных доступности. Запас выше прогноза на 90 дней</x:v>
      </x:c>
      <x:c r="AN176" s="12" t="str">
        <x:v>Проверить свободный остаток и установить цену для B2B</x:v>
      </x:c>
      <x:c r="AO176" s="12" t="str">
        <x:v>Остаток 44; прогноз 90 дней 40.86; избыток 3 шт. Будущие поступления не выставляются на продажу. Остаток на начало сентября: требуется актуализация.</x:v>
      </x:c>
      <x:c r="AP176" s="12" t="str">
        <x:v>["category_missing", "daily_stockout_data_missing", "new_order_lead_time_unknown", "reservations_unknown", "stale_stock"]</x:v>
      </x:c>
      <x:c r="AQ176" s="11" t="str">
        <x:v>IEK:030200456_</x:v>
      </x:c>
      <x:c r="AR176" s="23" t="n">
        <x:v>1</x:v>
      </x:c>
      <x:c r="AS176" s="23" t="n">
        <x:v>0</x:v>
      </x:c>
      <x:c r="AT176" s="23" t="n">
        <x:v>0</x:v>
      </x:c>
    </x:row>
    <x:row r="177" ht="64" customHeight="1">
      <x:c r="A177" s="10" t="str">
        <x:v>IEK</x:v>
      </x:c>
      <x:c r="B177" s="34" t="str">
        <x:v>030200457_</x:v>
      </x:c>
      <x:c r="C177" s="34" t="str">
        <x:v>BR-R20-10-K01-F</x:v>
      </x:c>
      <x:c r="D177" s="13" t="str">
        <x:v>Роз. 2-я без з/к/ш 10А в сборе "BRITE" белый (1/100)</x:v>
      </x:c>
      <x:c r="E177" s="10" t="str">
        <x:v>шт</x:v>
      </x:c>
      <x:c r="F177" s="37" t="n">
        <x:f>MAX(0,ROUNDDOWN((AG177-AF177)/AR177+0.000000001,0)*AR177)</x:f>
        <x:v>477</x:v>
      </x:c>
      <x:c r="G177" s="21" t="str">
        <x:f>IF(J177="Рассчитано",V177*(1-R177/100)-W177-P177-Q177,"н/д")</x:f>
        <x:v>н/д</x:v>
      </x:c>
      <x:c r="H177" s="13" t="str">
        <x:v>Высокий</x:v>
      </x:c>
      <x:c r="I177" s="13" t="str">
        <x:v>Средний</x:v>
      </x:c>
      <x:c r="J177" s="13" t="str">
        <x:f>IF(L177="","Укажите валюту",IF(NOT(ISNUMBER(K177)),"Укажите объём",IF(K177&lt;=0,"Укажите объём",IF(K177&gt;F177,"Объём выше излишка",IF(COUNT(M177:O177)&lt;3,"Нужны цены",IF(COUNT(P177:R177)&lt;3,"Нужны расходы",IF(OR(M177&lt;0,N177&lt;0,O177&lt;0,O177&gt;100,P177&lt;0,Q177&lt;0,R177&lt;0,R177&gt;100),"Проверьте значения","Рассчитано")))))))</x:f>
        <x:v>Нужны цены</x:v>
      </x:c>
      <x:c r="K177" s="36" t="n">
        <x:v>477</x:v>
      </x:c>
      <x:c r="L177" s="19" t="str">
        <x:v>KZT</x:v>
      </x:c>
      <x:c r="M177" s="22"/>
      <x:c r="N177" s="22"/>
      <x:c r="O177" s="28"/>
      <x:c r="P177" s="22"/>
      <x:c r="Q177" s="22"/>
      <x:c r="R177" s="28"/>
      <x:c r="S177" s="22"/>
      <x:c r="T177" s="37" t="n">
        <x:f>K177</x:f>
        <x:v>477</x:v>
      </x:c>
      <x:c r="U177" s="21" t="str">
        <x:f>IF(J177="Рассчитано",N177*(1-O177/100),"н/д")</x:f>
        <x:v>н/д</x:v>
      </x:c>
      <x:c r="V177" s="21" t="str">
        <x:f>IF(J177="Рассчитано",T177*U177,"н/д")</x:f>
        <x:v>н/д</x:v>
      </x:c>
      <x:c r="W177" s="21" t="str">
        <x:f>IF(J177="Рассчитано",T177*M177,"н/д")</x:f>
        <x:v>н/д</x:v>
      </x:c>
      <x:c r="X177" s="21" t="str">
        <x:f>IF(J177="Рассчитано",V177-W177,"н/д")</x:f>
        <x:v>н/д</x:v>
      </x:c>
      <x:c r="Y177" s="27" t="str">
        <x:f>IF(J177="Рассчитано",IF(V177&gt;0,G177/V177,"н/д"),"н/д")</x:f>
        <x:v>н/д</x:v>
      </x:c>
      <x:c r="Z177" s="21" t="str">
        <x:f>"н/д"</x:f>
        <x:v>н/д</x:v>
      </x:c>
      <x:c r="AA177" s="21" t="str">
        <x:f>"н/д"</x:f>
        <x:v>н/д</x:v>
      </x:c>
      <x:c r="AB177" s="21" t="str">
        <x:f>"н/д"</x:f>
        <x:v>н/д</x:v>
      </x:c>
      <x:c r="AC177" s="21" t="str">
        <x:f>IF(AND(J177="Рассчитано",T177&gt;0,R177&lt;100),(W177+P177+Q177)/(T177*(1-R177/100)),"н/д")</x:f>
        <x:v>н/д</x:v>
      </x:c>
      <x:c r="AD177" s="10" t="str">
        <x:f>IF(ISNUMBER(G177),IF(G177&lt;0,"Убыток",IF(G177=0,"Без прибыли","Прибыль &gt; 0")),"Не оценён")</x:f>
        <x:v>Не оценён</x:v>
      </x:c>
      <x:c r="AE177" s="13" t="str">
        <x:f>IF(J177="Рассчитано","Выручка "&amp;TEXT(V177,"0.00")&amp;" - себестоимость "&amp;TEXT(W177,"0.00")&amp;" - комиссия "&amp;TEXT(V177*R177/100,"0.00")&amp;" - доставка "&amp;TEXT(P177,"0.00")&amp;" - прочие "&amp;TEXT(Q177,"0.00")&amp;" = "&amp;TEXT(G177,"0.00")&amp;" "&amp;L177,"Введите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7" s="24" t="n">
        <x:v>615.0708444854797</x:v>
      </x:c>
      <x:c r="AG177" s="37" t="n">
        <x:v>1093</x:v>
      </x:c>
      <x:c r="AH177" s="37" t="n">
        <x:v>0</x:v>
      </x:c>
      <x:c r="AI177" s="30" t="n">
        <x:v>46266</x:v>
      </x:c>
      <x:c r="AJ177" s="37" t="n">
        <x:v>1</x:v>
      </x:c>
      <x:c r="AK177" s="10" t="str">
        <x:v>минимум</x:v>
      </x:c>
      <x:c r="AL177" s="32" t="n">
        <x:v>151.11725809683617</x:v>
      </x:c>
      <x:c r="AM17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77" s="13" t="str">
        <x:v>Проверить свободный остаток и установить цену для B2B</x:v>
      </x:c>
      <x:c r="AO177" s="13" t="str">
        <x:v>Остаток 1093; прогноз 90 дней 615.07; избыток 477 шт. Будущие поступления не выставляются на продажу. Остаток на начало сентября: требуется актуализация.</x:v>
      </x:c>
      <x:c r="AP177" s="13" t="str">
        <x:v>["category_missing", "daily_stockout_data_missing", "large_orders_detected", "new_order_lead_time_unknown", "reservations_unknown", "stale_stock", "transaction_month_mismatch"]</x:v>
      </x:c>
      <x:c r="AQ177" s="10" t="str">
        <x:v>IEK:030200457_</x:v>
      </x:c>
      <x:c r="AR177" s="24" t="n">
        <x:v>1</x:v>
      </x:c>
      <x:c r="AS177" s="24" t="n">
        <x:v>0</x:v>
      </x:c>
      <x:c r="AT177" s="24" t="n">
        <x:v>0</x:v>
      </x:c>
    </x:row>
    <x:row r="178" ht="64" customHeight="1">
      <x:c r="A178" s="11" t="str">
        <x:v>IEK</x:v>
      </x:c>
      <x:c r="B178" s="33" t="str">
        <x:v>030200462_</x:v>
      </x:c>
      <x:c r="C178" s="33" t="str">
        <x:v>BR-A10-O-K01</x:v>
      </x:c>
      <x:c r="D178" s="12" t="str">
        <x:v>Роз. TV оконечная б/рамки "BRITE" белый (1/100)</x:v>
      </x:c>
      <x:c r="E178" s="11" t="str">
        <x:v>шт</x:v>
      </x:c>
      <x:c r="F178" s="35" t="n">
        <x:f>MAX(0,ROUNDDOWN((AG178-AF178)/AR178+0.000000001,0)*AR178)</x:f>
        <x:v>21</x:v>
      </x:c>
      <x:c r="G178" s="20" t="str">
        <x:f>IF(J178="Рассчитано",V178*(1-R178/100)-W178-P178-Q178,"н/д")</x:f>
        <x:v>н/д</x:v>
      </x:c>
      <x:c r="H178" s="12" t="str">
        <x:v>Высокий</x:v>
      </x:c>
      <x:c r="I178" s="12" t="str">
        <x:v>Средний</x:v>
      </x:c>
      <x:c r="J178" s="12" t="str">
        <x:f>IF(L178="","Укажите валюту",IF(NOT(ISNUMBER(K178)),"Укажите объём",IF(K178&lt;=0,"Укажите объём",IF(K178&gt;F178,"Объём выше излишка",IF(COUNT(M178:O178)&lt;3,"Нужны цены",IF(COUNT(P178:R178)&lt;3,"Нужны расходы",IF(OR(M178&lt;0,N178&lt;0,O178&lt;0,O178&gt;100,P178&lt;0,Q178&lt;0,R178&lt;0,R178&gt;100),"Проверьте значения","Рассчитано")))))))</x:f>
        <x:v>Нужны цены</x:v>
      </x:c>
      <x:c r="K178" s="36" t="n">
        <x:v>21</x:v>
      </x:c>
      <x:c r="L178" s="19" t="str">
        <x:v>KZT</x:v>
      </x:c>
      <x:c r="M178" s="22"/>
      <x:c r="N178" s="22"/>
      <x:c r="O178" s="28"/>
      <x:c r="P178" s="22"/>
      <x:c r="Q178" s="22"/>
      <x:c r="R178" s="28"/>
      <x:c r="S178" s="22"/>
      <x:c r="T178" s="35" t="n">
        <x:f>K178</x:f>
        <x:v>21</x:v>
      </x:c>
      <x:c r="U178" s="20" t="str">
        <x:f>IF(J178="Рассчитано",N178*(1-O178/100),"н/д")</x:f>
        <x:v>н/д</x:v>
      </x:c>
      <x:c r="V178" s="20" t="str">
        <x:f>IF(J178="Рассчитано",T178*U178,"н/д")</x:f>
        <x:v>н/д</x:v>
      </x:c>
      <x:c r="W178" s="20" t="str">
        <x:f>IF(J178="Рассчитано",T178*M178,"н/д")</x:f>
        <x:v>н/д</x:v>
      </x:c>
      <x:c r="X178" s="20" t="str">
        <x:f>IF(J178="Рассчитано",V178-W178,"н/д")</x:f>
        <x:v>н/д</x:v>
      </x:c>
      <x:c r="Y178" s="26" t="str">
        <x:f>IF(J178="Рассчитано",IF(V178&gt;0,G178/V178,"н/д"),"н/д")</x:f>
        <x:v>н/д</x:v>
      </x:c>
      <x:c r="Z178" s="20" t="str">
        <x:f>"н/д"</x:f>
        <x:v>н/д</x:v>
      </x:c>
      <x:c r="AA178" s="20" t="str">
        <x:f>"н/д"</x:f>
        <x:v>н/д</x:v>
      </x:c>
      <x:c r="AB178" s="20" t="str">
        <x:f>"н/д"</x:f>
        <x:v>н/д</x:v>
      </x:c>
      <x:c r="AC178" s="20" t="str">
        <x:f>IF(AND(J178="Рассчитано",T178&gt;0,R178&lt;100),(W178+P178+Q178)/(T178*(1-R178/100)),"н/д")</x:f>
        <x:v>н/д</x:v>
      </x:c>
      <x:c r="AD178" s="11" t="str">
        <x:f>IF(ISNUMBER(G178),IF(G178&lt;0,"Убыток",IF(G178=0,"Без прибыли","Прибыль &gt; 0")),"Не оценён")</x:f>
        <x:v>Не оценён</x:v>
      </x:c>
      <x:c r="AE178" s="12" t="str">
        <x:f>IF(J178="Рассчитано","Выручка "&amp;TEXT(V178,"0.00")&amp;" - себестоимость "&amp;TEXT(W178,"0.00")&amp;" - комиссия "&amp;TEXT(V178*R178/100,"0.00")&amp;" - доставка "&amp;TEXT(P178,"0.00")&amp;" - прочие "&amp;TEXT(Q178,"0.00")&amp;" = "&amp;TEXT(G178,"0.00")&amp;" "&amp;L178,"Введите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8" s="23" t="n">
        <x:v>55.88825854832547</x:v>
      </x:c>
      <x:c r="AG178" s="35" t="n">
        <x:v>77</x:v>
      </x:c>
      <x:c r="AH178" s="35" t="n">
        <x:v>0</x:v>
      </x:c>
      <x:c r="AI178" s="29" t="n">
        <x:v>46266</x:v>
      </x:c>
      <x:c r="AJ178" s="35" t="n">
        <x:v>1</x:v>
      </x:c>
      <x:c r="AK178" s="11" t="str">
        <x:v>минимум</x:v>
      </x:c>
      <x:c r="AL178" s="31" t="n">
        <x:v>117.16265160486283</x:v>
      </x:c>
      <x:c r="AM178" s="12" t="str">
        <x:v>Остаток на начало сентября; Резервы неизвестны; Нет ежедневных данных доступности. Запас выше прогноза на 90 дней</x:v>
      </x:c>
      <x:c r="AN178" s="12" t="str">
        <x:v>Проверить свободный остаток и установить цену для B2B</x:v>
      </x:c>
      <x:c r="AO178" s="12" t="str">
        <x:v>Остаток 77; прогноз 90 дней 55.89; избыток 21 шт. Будущие поступления не выставляются на продажу. Остаток на начало сентября: требуется актуализация.</x:v>
      </x:c>
      <x:c r="AP178" s="12" t="str">
        <x:v>["category_missing", "daily_stockout_data_missing", "negative_net_sales_clipped_for_forecast", "new_order_lead_time_unknown", "reservations_unknown", "stale_stock"]</x:v>
      </x:c>
      <x:c r="AQ178" s="11" t="str">
        <x:v>IEK:030200462_</x:v>
      </x:c>
      <x:c r="AR178" s="23" t="n">
        <x:v>1</x:v>
      </x:c>
      <x:c r="AS178" s="23" t="n">
        <x:v>0</x:v>
      </x:c>
      <x:c r="AT178" s="23" t="n">
        <x:v>0</x:v>
      </x:c>
    </x:row>
    <x:row r="179" ht="64" customHeight="1">
      <x:c r="A179" s="10" t="str">
        <x:v>IEK</x:v>
      </x:c>
      <x:c r="B179" s="34" t="str">
        <x:v>030200463_</x:v>
      </x:c>
      <x:c r="C179" s="34" t="str">
        <x:v>BR-M12-K01</x:v>
      </x:c>
      <x:c r="D179" s="13" t="str">
        <x:v>Рамка 1-мест. "BRITE" белый (1/100)</x:v>
      </x:c>
      <x:c r="E179" s="10" t="str">
        <x:v>шт</x:v>
      </x:c>
      <x:c r="F179" s="37" t="n">
        <x:f>MAX(0,ROUNDDOWN((AG179-AF179)/AR179+0.000000001,0)*AR179)</x:f>
        <x:v>144</x:v>
      </x:c>
      <x:c r="G179" s="21" t="str">
        <x:f>IF(J179="Рассчитано",V179*(1-R179/100)-W179-P179-Q179,"н/д")</x:f>
        <x:v>н/д</x:v>
      </x:c>
      <x:c r="H179" s="13" t="str">
        <x:v>Высокий</x:v>
      </x:c>
      <x:c r="I179" s="13" t="str">
        <x:v>Средний</x:v>
      </x:c>
      <x:c r="J179" s="13" t="str">
        <x:f>IF(L179="","Укажите валюту",IF(NOT(ISNUMBER(K179)),"Укажите объём",IF(K179&lt;=0,"Укажите объём",IF(K179&gt;F179,"Объём выше излишка",IF(COUNT(M179:O179)&lt;3,"Нужны цены",IF(COUNT(P179:R179)&lt;3,"Нужны расходы",IF(OR(M179&lt;0,N179&lt;0,O179&lt;0,O179&gt;100,P179&lt;0,Q179&lt;0,R179&lt;0,R179&gt;100),"Проверьте значения","Рассчитано")))))))</x:f>
        <x:v>Нужны цены</x:v>
      </x:c>
      <x:c r="K179" s="36" t="n">
        <x:v>144</x:v>
      </x:c>
      <x:c r="L179" s="19" t="str">
        <x:v>KZT</x:v>
      </x:c>
      <x:c r="M179" s="22"/>
      <x:c r="N179" s="22"/>
      <x:c r="O179" s="28"/>
      <x:c r="P179" s="22"/>
      <x:c r="Q179" s="22"/>
      <x:c r="R179" s="28"/>
      <x:c r="S179" s="22"/>
      <x:c r="T179" s="37" t="n">
        <x:f>K179</x:f>
        <x:v>144</x:v>
      </x:c>
      <x:c r="U179" s="21" t="str">
        <x:f>IF(J179="Рассчитано",N179*(1-O179/100),"н/д")</x:f>
        <x:v>н/д</x:v>
      </x:c>
      <x:c r="V179" s="21" t="str">
        <x:f>IF(J179="Рассчитано",T179*U179,"н/д")</x:f>
        <x:v>н/д</x:v>
      </x:c>
      <x:c r="W179" s="21" t="str">
        <x:f>IF(J179="Рассчитано",T179*M179,"н/д")</x:f>
        <x:v>н/д</x:v>
      </x:c>
      <x:c r="X179" s="21" t="str">
        <x:f>IF(J179="Рассчитано",V179-W179,"н/д")</x:f>
        <x:v>н/д</x:v>
      </x:c>
      <x:c r="Y179" s="27" t="str">
        <x:f>IF(J179="Рассчитано",IF(V179&gt;0,G179/V179,"н/д"),"н/д")</x:f>
        <x:v>н/д</x:v>
      </x:c>
      <x:c r="Z179" s="21" t="str">
        <x:f>"н/д"</x:f>
        <x:v>н/д</x:v>
      </x:c>
      <x:c r="AA179" s="21" t="str">
        <x:f>"н/д"</x:f>
        <x:v>н/д</x:v>
      </x:c>
      <x:c r="AB179" s="21" t="str">
        <x:f>"н/д"</x:f>
        <x:v>н/д</x:v>
      </x:c>
      <x:c r="AC179" s="21" t="str">
        <x:f>IF(AND(J179="Рассчитано",T179&gt;0,R179&lt;100),(W179+P179+Q179)/(T179*(1-R179/100)),"н/д")</x:f>
        <x:v>н/д</x:v>
      </x:c>
      <x:c r="AD179" s="10" t="str">
        <x:f>IF(ISNUMBER(G179),IF(G179&lt;0,"Убыток",IF(G179=0,"Без прибыли","Прибыль &gt; 0")),"Не оценён")</x:f>
        <x:v>Не оценён</x:v>
      </x:c>
      <x:c r="AE179" s="13" t="str">
        <x:f>IF(J179="Рассчитано","Выручка "&amp;TEXT(V179,"0.00")&amp;" - себестоимость "&amp;TEXT(W179,"0.00")&amp;" - комиссия "&amp;TEXT(V179*R179/100,"0.00")&amp;" - доставка "&amp;TEXT(P179,"0.00")&amp;" - прочие "&amp;TEXT(Q179,"0.00")&amp;" = "&amp;TEXT(G179,"0.00")&amp;" "&amp;L179,"Введите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9" s="24" t="n">
        <x:v>4458.187382348259</x:v>
      </x:c>
      <x:c r="AG179" s="37" t="n">
        <x:v>4603</x:v>
      </x:c>
      <x:c r="AH179" s="37" t="n">
        <x:v>0</x:v>
      </x:c>
      <x:c r="AI179" s="30" t="n">
        <x:v>46266</x:v>
      </x:c>
      <x:c r="AJ179" s="37" t="n">
        <x:v>1</x:v>
      </x:c>
      <x:c r="AK179" s="10" t="str">
        <x:v>минимум</x:v>
      </x:c>
      <x:c r="AL179" s="32" t="n">
        <x:v>87.80145255018952</x:v>
      </x:c>
      <x:c r="AM17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79" s="13" t="str">
        <x:v>Проверить свободный остаток и установить цену для B2B</x:v>
      </x:c>
      <x:c r="AO179" s="13" t="str">
        <x:v>Остаток 4603; прогноз 90 дней 4458.19; избыток 144 шт. Будущие поступления не выставляются на продажу. Остаток на начало сентября: требуется актуализация.</x:v>
      </x:c>
      <x:c r="AP179" s="13" t="str">
        <x:v>["category_missing", "daily_stockout_data_missing", "large_orders_detected", "new_order_lead_time_unknown", "reservations_unknown", "stale_stock", "transaction_month_mismatch"]</x:v>
      </x:c>
      <x:c r="AQ179" s="10" t="str">
        <x:v>IEK:030200463_</x:v>
      </x:c>
      <x:c r="AR179" s="24" t="n">
        <x:v>1</x:v>
      </x:c>
      <x:c r="AS179" s="24" t="n">
        <x:v>0</x:v>
      </x:c>
      <x:c r="AT179" s="24" t="n">
        <x:v>0</x:v>
      </x:c>
    </x:row>
    <x:row r="180" ht="64" customHeight="1">
      <x:c r="A180" s="11" t="str">
        <x:v>IEK</x:v>
      </x:c>
      <x:c r="B180" s="33" t="str">
        <x:v>030200464_</x:v>
      </x:c>
      <x:c r="C180" s="33" t="str">
        <x:v>BR-M22-K01</x:v>
      </x:c>
      <x:c r="D180" s="12" t="str">
        <x:v>Рамка 2-мест. "BRITE" белый (1/100)</x:v>
      </x:c>
      <x:c r="E180" s="11" t="str">
        <x:v>шт</x:v>
      </x:c>
      <x:c r="F180" s="35" t="n">
        <x:f>MAX(0,ROUNDDOWN((AG180-AF180)/AR180+0.000000001,0)*AR180)</x:f>
        <x:v>625</x:v>
      </x:c>
      <x:c r="G180" s="20" t="str">
        <x:f>IF(J180="Рассчитано",V180*(1-R180/100)-W180-P180-Q180,"н/д")</x:f>
        <x:v>н/д</x:v>
      </x:c>
      <x:c r="H180" s="12" t="str">
        <x:v>Высокий</x:v>
      </x:c>
      <x:c r="I180" s="12" t="str">
        <x:v>Средний</x:v>
      </x:c>
      <x:c r="J180" s="12" t="str">
        <x:f>IF(L180="","Укажите валюту",IF(NOT(ISNUMBER(K180)),"Укажите объём",IF(K180&lt;=0,"Укажите объём",IF(K180&gt;F180,"Объём выше излишка",IF(COUNT(M180:O180)&lt;3,"Нужны цены",IF(COUNT(P180:R180)&lt;3,"Нужны расходы",IF(OR(M180&lt;0,N180&lt;0,O180&lt;0,O180&gt;100,P180&lt;0,Q180&lt;0,R180&lt;0,R180&gt;100),"Проверьте значения","Рассчитано")))))))</x:f>
        <x:v>Нужны цены</x:v>
      </x:c>
      <x:c r="K180" s="36" t="n">
        <x:v>625</x:v>
      </x:c>
      <x:c r="L180" s="19" t="str">
        <x:v>KZT</x:v>
      </x:c>
      <x:c r="M180" s="22"/>
      <x:c r="N180" s="22"/>
      <x:c r="O180" s="28"/>
      <x:c r="P180" s="22"/>
      <x:c r="Q180" s="22"/>
      <x:c r="R180" s="28"/>
      <x:c r="S180" s="22"/>
      <x:c r="T180" s="35" t="n">
        <x:f>K180</x:f>
        <x:v>625</x:v>
      </x:c>
      <x:c r="U180" s="20" t="str">
        <x:f>IF(J180="Рассчитано",N180*(1-O180/100),"н/д")</x:f>
        <x:v>н/д</x:v>
      </x:c>
      <x:c r="V180" s="20" t="str">
        <x:f>IF(J180="Рассчитано",T180*U180,"н/д")</x:f>
        <x:v>н/д</x:v>
      </x:c>
      <x:c r="W180" s="20" t="str">
        <x:f>IF(J180="Рассчитано",T180*M180,"н/д")</x:f>
        <x:v>н/д</x:v>
      </x:c>
      <x:c r="X180" s="20" t="str">
        <x:f>IF(J180="Рассчитано",V180-W180,"н/д")</x:f>
        <x:v>н/д</x:v>
      </x:c>
      <x:c r="Y180" s="26" t="str">
        <x:f>IF(J180="Рассчитано",IF(V180&gt;0,G180/V180,"н/д"),"н/д")</x:f>
        <x:v>н/д</x:v>
      </x:c>
      <x:c r="Z180" s="20" t="str">
        <x:f>"н/д"</x:f>
        <x:v>н/д</x:v>
      </x:c>
      <x:c r="AA180" s="20" t="str">
        <x:f>"н/д"</x:f>
        <x:v>н/д</x:v>
      </x:c>
      <x:c r="AB180" s="20" t="str">
        <x:f>"н/д"</x:f>
        <x:v>н/д</x:v>
      </x:c>
      <x:c r="AC180" s="20" t="str">
        <x:f>IF(AND(J180="Рассчитано",T180&gt;0,R180&lt;100),(W180+P180+Q180)/(T180*(1-R180/100)),"н/д")</x:f>
        <x:v>н/д</x:v>
      </x:c>
      <x:c r="AD180" s="11" t="str">
        <x:f>IF(ISNUMBER(G180),IF(G180&lt;0,"Убыток",IF(G180=0,"Без прибыли","Прибыль &gt; 0")),"Не оценён")</x:f>
        <x:v>Не оценён</x:v>
      </x:c>
      <x:c r="AE180" s="12" t="str">
        <x:f>IF(J180="Рассчитано","Выручка "&amp;TEXT(V180,"0.00")&amp;" - себестоимость "&amp;TEXT(W180,"0.00")&amp;" - комиссия "&amp;TEXT(V180*R180/100,"0.00")&amp;" - доставка "&amp;TEXT(P180,"0.00")&amp;" - прочие "&amp;TEXT(Q180,"0.00")&amp;" = "&amp;TEXT(G180,"0.00")&amp;" "&amp;L180,"Введите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0" s="23" t="n">
        <x:v>1511.4204859682259</x:v>
      </x:c>
      <x:c r="AG180" s="35" t="n">
        <x:v>2137</x:v>
      </x:c>
      <x:c r="AH180" s="35" t="n">
        <x:v>0</x:v>
      </x:c>
      <x:c r="AI180" s="29" t="n">
        <x:v>46266</x:v>
      </x:c>
      <x:c r="AJ180" s="35" t="n">
        <x:v>1</x:v>
      </x:c>
      <x:c r="AK180" s="11" t="str">
        <x:v>минимум</x:v>
      </x:c>
      <x:c r="AL180" s="31" t="n">
        <x:v>120.23703606157581</x:v>
      </x:c>
      <x:c r="AM18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80" s="12" t="str">
        <x:v>Проверить свободный остаток и установить цену для B2B</x:v>
      </x:c>
      <x:c r="AO180" s="12" t="str">
        <x:v>Остаток 2137; прогноз 90 дней 1511.42; избыток 625 шт. Будущие поступления не выставляются на продажу. Остаток на начало сентября: требуется актуализация.</x:v>
      </x:c>
      <x:c r="AP180" s="12" t="str">
        <x:v>["category_missing", "daily_stockout_data_missing", "large_orders_detected", "new_order_lead_time_unknown", "reservations_unknown", "stale_stock", "transaction_month_mismatch"]</x:v>
      </x:c>
      <x:c r="AQ180" s="11" t="str">
        <x:v>IEK:030200464_</x:v>
      </x:c>
      <x:c r="AR180" s="23" t="n">
        <x:v>1</x:v>
      </x:c>
      <x:c r="AS180" s="23" t="n">
        <x:v>0</x:v>
      </x:c>
      <x:c r="AT180" s="23" t="n">
        <x:v>0</x:v>
      </x:c>
    </x:row>
    <x:row r="181" ht="64" customHeight="1">
      <x:c r="A181" s="10" t="str">
        <x:v>IEK</x:v>
      </x:c>
      <x:c r="B181" s="34" t="str">
        <x:v>030200467_</x:v>
      </x:c>
      <x:c r="C181" s="34" t="str">
        <x:v>BR-R16-16-44-K01</x:v>
      </x:c>
      <x:c r="D181" s="13" t="str">
        <x:v>Роз. с з/к/ш с кр. 16А IP44 б/рамки "BRITE" белый (1/100)</x:v>
      </x:c>
      <x:c r="E181" s="10" t="str">
        <x:v>шт</x:v>
      </x:c>
      <x:c r="F181" s="37" t="n">
        <x:f>MAX(0,ROUNDDOWN((AG181-AF181)/AR181+0.000000001,0)*AR181)</x:f>
        <x:v>162</x:v>
      </x:c>
      <x:c r="G181" s="21" t="str">
        <x:f>IF(J181="Рассчитано",V181*(1-R181/100)-W181-P181-Q181,"н/д")</x:f>
        <x:v>н/д</x:v>
      </x:c>
      <x:c r="H181" s="13" t="str">
        <x:v>Высокий</x:v>
      </x:c>
      <x:c r="I181" s="13" t="str">
        <x:v>Средний</x:v>
      </x:c>
      <x:c r="J181" s="13" t="str">
        <x:f>IF(L181="","Укажите валюту",IF(NOT(ISNUMBER(K181)),"Укажите объём",IF(K181&lt;=0,"Укажите объём",IF(K181&gt;F181,"Объём выше излишка",IF(COUNT(M181:O181)&lt;3,"Нужны цены",IF(COUNT(P181:R181)&lt;3,"Нужны расходы",IF(OR(M181&lt;0,N181&lt;0,O181&lt;0,O181&gt;100,P181&lt;0,Q181&lt;0,R181&lt;0,R181&gt;100),"Проверьте значения","Рассчитано")))))))</x:f>
        <x:v>Нужны цены</x:v>
      </x:c>
      <x:c r="K181" s="36" t="n">
        <x:v>162</x:v>
      </x:c>
      <x:c r="L181" s="19" t="str">
        <x:v>KZT</x:v>
      </x:c>
      <x:c r="M181" s="22"/>
      <x:c r="N181" s="22"/>
      <x:c r="O181" s="28"/>
      <x:c r="P181" s="22"/>
      <x:c r="Q181" s="22"/>
      <x:c r="R181" s="28"/>
      <x:c r="S181" s="22"/>
      <x:c r="T181" s="37" t="n">
        <x:f>K181</x:f>
        <x:v>162</x:v>
      </x:c>
      <x:c r="U181" s="21" t="str">
        <x:f>IF(J181="Рассчитано",N181*(1-O181/100),"н/д")</x:f>
        <x:v>н/д</x:v>
      </x:c>
      <x:c r="V181" s="21" t="str">
        <x:f>IF(J181="Рассчитано",T181*U181,"н/д")</x:f>
        <x:v>н/д</x:v>
      </x:c>
      <x:c r="W181" s="21" t="str">
        <x:f>IF(J181="Рассчитано",T181*M181,"н/д")</x:f>
        <x:v>н/д</x:v>
      </x:c>
      <x:c r="X181" s="21" t="str">
        <x:f>IF(J181="Рассчитано",V181-W181,"н/д")</x:f>
        <x:v>н/д</x:v>
      </x:c>
      <x:c r="Y181" s="27" t="str">
        <x:f>IF(J181="Рассчитано",IF(V181&gt;0,G181/V181,"н/д"),"н/д")</x:f>
        <x:v>н/д</x:v>
      </x:c>
      <x:c r="Z181" s="21" t="str">
        <x:f>"н/д"</x:f>
        <x:v>н/д</x:v>
      </x:c>
      <x:c r="AA181" s="21" t="str">
        <x:f>"н/д"</x:f>
        <x:v>н/д</x:v>
      </x:c>
      <x:c r="AB181" s="21" t="str">
        <x:f>"н/д"</x:f>
        <x:v>н/д</x:v>
      </x:c>
      <x:c r="AC181" s="21" t="str">
        <x:f>IF(AND(J181="Рассчитано",T181&gt;0,R181&lt;100),(W181+P181+Q181)/(T181*(1-R181/100)),"н/д")</x:f>
        <x:v>н/д</x:v>
      </x:c>
      <x:c r="AD181" s="10" t="str">
        <x:f>IF(ISNUMBER(G181),IF(G181&lt;0,"Убыток",IF(G181=0,"Без прибыли","Прибыль &gt; 0")),"Не оценён")</x:f>
        <x:v>Не оценён</x:v>
      </x:c>
      <x:c r="AE181" s="13" t="str">
        <x:f>IF(J181="Рассчитано","Выручка "&amp;TEXT(V181,"0.00")&amp;" - себестоимость "&amp;TEXT(W181,"0.00")&amp;" - комиссия "&amp;TEXT(V181*R181/100,"0.00")&amp;" - доставка "&amp;TEXT(P181,"0.00")&amp;" - прочие "&amp;TEXT(Q181,"0.00")&amp;" = "&amp;TEXT(G181,"0.00")&amp;" "&amp;L181,"Введите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1" s="24" t="n">
        <x:v>194.94203212692955</x:v>
      </x:c>
      <x:c r="AG181" s="37" t="n">
        <x:v>357</x:v>
      </x:c>
      <x:c r="AH181" s="37" t="n">
        <x:v>0</x:v>
      </x:c>
      <x:c r="AI181" s="30" t="n">
        <x:v>46266</x:v>
      </x:c>
      <x:c r="AJ181" s="37" t="n">
        <x:v>1</x:v>
      </x:c>
      <x:c r="AK181" s="10" t="str">
        <x:v>минимум</x:v>
      </x:c>
      <x:c r="AL181" s="32" t="n">
        <x:v>155.7334021888565</x:v>
      </x:c>
      <x:c r="AM18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81" s="13" t="str">
        <x:v>Проверить свободный остаток и установить цену для B2B</x:v>
      </x:c>
      <x:c r="AO181" s="13" t="str">
        <x:v>Остаток 357; прогноз 90 дней 194.94; избыток 162 шт. Будущие поступления не выставляются на продажу. Остаток на начало сентября: требуется актуализация.</x:v>
      </x:c>
      <x:c r="AP181" s="13" t="str">
        <x:v>["category_missing", "daily_stockout_data_missing", "large_orders_detected", "new_order_lead_time_unknown", "reservations_unknown", "stale_stock", "transaction_month_mismatch"]</x:v>
      </x:c>
      <x:c r="AQ181" s="10" t="str">
        <x:v>IEK:030200467_</x:v>
      </x:c>
      <x:c r="AR181" s="24" t="n">
        <x:v>1</x:v>
      </x:c>
      <x:c r="AS181" s="24" t="n">
        <x:v>0</x:v>
      </x:c>
      <x:c r="AT181" s="24" t="n">
        <x:v>0</x:v>
      </x:c>
    </x:row>
    <x:row r="182" ht="64" customHeight="1">
      <x:c r="A182" s="11" t="str">
        <x:v>IEK</x:v>
      </x:c>
      <x:c r="B182" s="33" t="str">
        <x:v>030200470_</x:v>
      </x:c>
      <x:c r="C182" s="33" t="str">
        <x:v>BR-V22-0-10-K01</x:v>
      </x:c>
      <x:c r="D182" s="12" t="str">
        <x:v>Выкл 2-кл. прох. 10А б/рамки "BRITE" белый (1/100)</x:v>
      </x:c>
      <x:c r="E182" s="11" t="str">
        <x:v>шт</x:v>
      </x:c>
      <x:c r="F182" s="35" t="n">
        <x:f>MAX(0,ROUNDDOWN((AG182-AF182)/AR182+0.000000001,0)*AR182)</x:f>
        <x:v>11</x:v>
      </x:c>
      <x:c r="G182" s="20" t="str">
        <x:f>IF(J182="Рассчитано",V182*(1-R182/100)-W182-P182-Q182,"н/д")</x:f>
        <x:v>н/д</x:v>
      </x:c>
      <x:c r="H182" s="12" t="str">
        <x:v>Высокий</x:v>
      </x:c>
      <x:c r="I182" s="12" t="str">
        <x:v>Средний</x:v>
      </x:c>
      <x:c r="J182" s="12" t="str">
        <x:f>IF(L182="","Укажите валюту",IF(NOT(ISNUMBER(K182)),"Укажите объём",IF(K182&lt;=0,"Укажите объём",IF(K182&gt;F182,"Объём выше излишка",IF(COUNT(M182:O182)&lt;3,"Нужны цены",IF(COUNT(P182:R182)&lt;3,"Нужны расходы",IF(OR(M182&lt;0,N182&lt;0,O182&lt;0,O182&gt;100,P182&lt;0,Q182&lt;0,R182&lt;0,R182&gt;100),"Проверьте значения","Рассчитано")))))))</x:f>
        <x:v>Нужны цены</x:v>
      </x:c>
      <x:c r="K182" s="36" t="n">
        <x:v>11</x:v>
      </x:c>
      <x:c r="L182" s="19" t="str">
        <x:v>KZT</x:v>
      </x:c>
      <x:c r="M182" s="22"/>
      <x:c r="N182" s="22"/>
      <x:c r="O182" s="28"/>
      <x:c r="P182" s="22"/>
      <x:c r="Q182" s="22"/>
      <x:c r="R182" s="28"/>
      <x:c r="S182" s="22"/>
      <x:c r="T182" s="35" t="n">
        <x:f>K182</x:f>
        <x:v>11</x:v>
      </x:c>
      <x:c r="U182" s="20" t="str">
        <x:f>IF(J182="Рассчитано",N182*(1-O182/100),"н/д")</x:f>
        <x:v>н/д</x:v>
      </x:c>
      <x:c r="V182" s="20" t="str">
        <x:f>IF(J182="Рассчитано",T182*U182,"н/д")</x:f>
        <x:v>н/д</x:v>
      </x:c>
      <x:c r="W182" s="20" t="str">
        <x:f>IF(J182="Рассчитано",T182*M182,"н/д")</x:f>
        <x:v>н/д</x:v>
      </x:c>
      <x:c r="X182" s="20" t="str">
        <x:f>IF(J182="Рассчитано",V182-W182,"н/д")</x:f>
        <x:v>н/д</x:v>
      </x:c>
      <x:c r="Y182" s="26" t="str">
        <x:f>IF(J182="Рассчитано",IF(V182&gt;0,G182/V182,"н/д"),"н/д")</x:f>
        <x:v>н/д</x:v>
      </x:c>
      <x:c r="Z182" s="20" t="str">
        <x:f>"н/д"</x:f>
        <x:v>н/д</x:v>
      </x:c>
      <x:c r="AA182" s="20" t="str">
        <x:f>"н/д"</x:f>
        <x:v>н/д</x:v>
      </x:c>
      <x:c r="AB182" s="20" t="str">
        <x:f>"н/д"</x:f>
        <x:v>н/д</x:v>
      </x:c>
      <x:c r="AC182" s="20" t="str">
        <x:f>IF(AND(J182="Рассчитано",T182&gt;0,R182&lt;100),(W182+P182+Q182)/(T182*(1-R182/100)),"н/д")</x:f>
        <x:v>н/д</x:v>
      </x:c>
      <x:c r="AD182" s="11" t="str">
        <x:f>IF(ISNUMBER(G182),IF(G182&lt;0,"Убыток",IF(G182=0,"Без прибыли","Прибыль &gt; 0")),"Не оценён")</x:f>
        <x:v>Не оценён</x:v>
      </x:c>
      <x:c r="AE182" s="12" t="str">
        <x:f>IF(J182="Рассчитано","Выручка "&amp;TEXT(V182,"0.00")&amp;" - себестоимость "&amp;TEXT(W182,"0.00")&amp;" - комиссия "&amp;TEXT(V182*R182/100,"0.00")&amp;" - доставка "&amp;TEXT(P182,"0.00")&amp;" - прочие "&amp;TEXT(Q182,"0.00")&amp;" = "&amp;TEXT(G182,"0.00")&amp;" "&amp;L182,"Введите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2" s="23" t="n">
        <x:v>135.53892575915506</x:v>
      </x:c>
      <x:c r="AG182" s="35" t="n">
        <x:v>147</x:v>
      </x:c>
      <x:c r="AH182" s="35" t="n">
        <x:v>0</x:v>
      </x:c>
      <x:c r="AI182" s="29" t="n">
        <x:v>46266</x:v>
      </x:c>
      <x:c r="AJ182" s="35" t="n">
        <x:v>1</x:v>
      </x:c>
      <x:c r="AK182" s="11" t="str">
        <x:v>минимум</x:v>
      </x:c>
      <x:c r="AL182" s="31" t="n">
        <x:v>92.23002784618569</x:v>
      </x:c>
      <x:c r="AM182" s="12" t="str">
        <x:v>Остаток на начало сентября; Резервы неизвестны; Нет ежедневных данных доступности. Запас выше прогноза на 90 дней</x:v>
      </x:c>
      <x:c r="AN182" s="12" t="str">
        <x:v>Проверить свободный остаток и установить цену для B2B</x:v>
      </x:c>
      <x:c r="AO182" s="12" t="str">
        <x:v>Остаток 147; прогноз 90 дней 135.54; избыток 11 шт. Будущие поступления не выставляются на продажу. Остаток на начало сентября: требуется актуализация.</x:v>
      </x:c>
      <x:c r="AP182" s="12" t="str">
        <x:v>["category_missing", "daily_stockout_data_missing", "new_order_lead_time_unknown", "reservations_unknown", "stale_stock"]</x:v>
      </x:c>
      <x:c r="AQ182" s="11" t="str">
        <x:v>IEK:030200470_</x:v>
      </x:c>
      <x:c r="AR182" s="23" t="n">
        <x:v>1</x:v>
      </x:c>
      <x:c r="AS182" s="23" t="n">
        <x:v>0</x:v>
      </x:c>
      <x:c r="AT182" s="23" t="n">
        <x:v>0</x:v>
      </x:c>
    </x:row>
    <x:row r="183" ht="64" customHeight="1">
      <x:c r="A183" s="10" t="str">
        <x:v>IEK</x:v>
      </x:c>
      <x:c r="B183" s="34" t="str">
        <x:v>030200471_</x:v>
      </x:c>
      <x:c r="C183" s="34" t="str">
        <x:v>BR-R14-16-K53</x:v>
      </x:c>
      <x:c r="D183" s="13" t="str">
        <x:v>Роз. с з/к/ш 16А б/рамки "BRITE" графит (1/100)</x:v>
      </x:c>
      <x:c r="E183" s="10" t="str">
        <x:v>шт</x:v>
      </x:c>
      <x:c r="F183" s="37" t="n">
        <x:f>MAX(0,ROUNDDOWN((AG183-AF183)/AR183+0.000000001,0)*AR183)</x:f>
        <x:v>255</x:v>
      </x:c>
      <x:c r="G183" s="21" t="str">
        <x:f>IF(J183="Рассчитано",V183*(1-R183/100)-W183-P183-Q183,"н/д")</x:f>
        <x:v>н/д</x:v>
      </x:c>
      <x:c r="H183" s="13" t="str">
        <x:v>Высокий</x:v>
      </x:c>
      <x:c r="I183" s="13" t="str">
        <x:v>Средний</x:v>
      </x:c>
      <x:c r="J183" s="13" t="str">
        <x:f>IF(L183="","Укажите валюту",IF(NOT(ISNUMBER(K183)),"Укажите объём",IF(K183&lt;=0,"Укажите объём",IF(K183&gt;F183,"Объём выше излишка",IF(COUNT(M183:O183)&lt;3,"Нужны цены",IF(COUNT(P183:R183)&lt;3,"Нужны расходы",IF(OR(M183&lt;0,N183&lt;0,O183&lt;0,O183&gt;100,P183&lt;0,Q183&lt;0,R183&lt;0,R183&gt;100),"Проверьте значения","Рассчитано")))))))</x:f>
        <x:v>Нужны цены</x:v>
      </x:c>
      <x:c r="K183" s="36" t="n">
        <x:v>255</x:v>
      </x:c>
      <x:c r="L183" s="19" t="str">
        <x:v>KZT</x:v>
      </x:c>
      <x:c r="M183" s="22"/>
      <x:c r="N183" s="22"/>
      <x:c r="O183" s="28"/>
      <x:c r="P183" s="22"/>
      <x:c r="Q183" s="22"/>
      <x:c r="R183" s="28"/>
      <x:c r="S183" s="22"/>
      <x:c r="T183" s="37" t="n">
        <x:f>K183</x:f>
        <x:v>255</x:v>
      </x:c>
      <x:c r="U183" s="21" t="str">
        <x:f>IF(J183="Рассчитано",N183*(1-O183/100),"н/д")</x:f>
        <x:v>н/д</x:v>
      </x:c>
      <x:c r="V183" s="21" t="str">
        <x:f>IF(J183="Рассчитано",T183*U183,"н/д")</x:f>
        <x:v>н/д</x:v>
      </x:c>
      <x:c r="W183" s="21" t="str">
        <x:f>IF(J183="Рассчитано",T183*M183,"н/д")</x:f>
        <x:v>н/д</x:v>
      </x:c>
      <x:c r="X183" s="21" t="str">
        <x:f>IF(J183="Рассчитано",V183-W183,"н/д")</x:f>
        <x:v>н/д</x:v>
      </x:c>
      <x:c r="Y183" s="27" t="str">
        <x:f>IF(J183="Рассчитано",IF(V183&gt;0,G183/V183,"н/д"),"н/д")</x:f>
        <x:v>н/д</x:v>
      </x:c>
      <x:c r="Z183" s="21" t="str">
        <x:f>"н/д"</x:f>
        <x:v>н/д</x:v>
      </x:c>
      <x:c r="AA183" s="21" t="str">
        <x:f>"н/д"</x:f>
        <x:v>н/д</x:v>
      </x:c>
      <x:c r="AB183" s="21" t="str">
        <x:f>"н/д"</x:f>
        <x:v>н/д</x:v>
      </x:c>
      <x:c r="AC183" s="21" t="str">
        <x:f>IF(AND(J183="Рассчитано",T183&gt;0,R183&lt;100),(W183+P183+Q183)/(T183*(1-R183/100)),"н/д")</x:f>
        <x:v>н/д</x:v>
      </x:c>
      <x:c r="AD183" s="10" t="str">
        <x:f>IF(ISNUMBER(G183),IF(G183&lt;0,"Убыток",IF(G183=0,"Без прибыли","Прибыль &gt; 0")),"Не оценён")</x:f>
        <x:v>Не оценён</x:v>
      </x:c>
      <x:c r="AE183" s="13" t="str">
        <x:f>IF(J183="Рассчитано","Выручка "&amp;TEXT(V183,"0.00")&amp;" - себестоимость "&amp;TEXT(W183,"0.00")&amp;" - комиссия "&amp;TEXT(V183*R183/100,"0.00")&amp;" - доставка "&amp;TEXT(P183,"0.00")&amp;" - прочие "&amp;TEXT(Q183,"0.00")&amp;" = "&amp;TEXT(G183,"0.00")&amp;" "&amp;L183,"Введите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3" s="24" t="n">
        <x:v>722.0244661159363</x:v>
      </x:c>
      <x:c r="AG183" s="37" t="n">
        <x:v>978</x:v>
      </x:c>
      <x:c r="AH183" s="37" t="n">
        <x:v>0</x:v>
      </x:c>
      <x:c r="AI183" s="30" t="n">
        <x:v>46266</x:v>
      </x:c>
      <x:c r="AJ183" s="37" t="n">
        <x:v>1</x:v>
      </x:c>
      <x:c r="AK183" s="10" t="str">
        <x:v>минимум</x:v>
      </x:c>
      <x:c r="AL183" s="32" t="n">
        <x:v>115.18766772791292</x:v>
      </x:c>
      <x:c r="AM18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83" s="13" t="str">
        <x:v>Проверить свободный остаток и установить цену для B2B</x:v>
      </x:c>
      <x:c r="AO183" s="13" t="str">
        <x:v>Остаток 978; прогноз 90 дней 722.02; избыток 255 шт. Будущие поступления не выставляются на продажу. Остаток на начало сентября: требуется актуализация.</x:v>
      </x:c>
      <x:c r="AP183" s="13" t="str">
        <x:v>["category_missing", "daily_stockout_data_missing", "large_orders_detected", "new_order_lead_time_unknown", "reservations_unknown", "stale_stock", "transaction_month_mismatch"]</x:v>
      </x:c>
      <x:c r="AQ183" s="10" t="str">
        <x:v>IEK:030200471_</x:v>
      </x:c>
      <x:c r="AR183" s="24" t="n">
        <x:v>1</x:v>
      </x:c>
      <x:c r="AS183" s="24" t="n">
        <x:v>0</x:v>
      </x:c>
      <x:c r="AT183" s="24" t="n">
        <x:v>0</x:v>
      </x:c>
    </x:row>
    <x:row r="184" ht="64" customHeight="1">
      <x:c r="A184" s="11" t="str">
        <x:v>IEK</x:v>
      </x:c>
      <x:c r="B184" s="33" t="str">
        <x:v>030200473_</x:v>
      </x:c>
      <x:c r="C184" s="33" t="str">
        <x:v>BR-V10-1-10-K53</x:v>
      </x:c>
      <x:c r="D184" s="12" t="str">
        <x:v>Выкл 1-кл. с инд. 10А б/рамки "BRITE" графит (1/100)</x:v>
      </x:c>
      <x:c r="E184" s="11" t="str">
        <x:v>шт</x:v>
      </x:c>
      <x:c r="F184" s="35" t="n">
        <x:f>MAX(0,ROUNDDOWN((AG184-AF184)/AR184+0.000000001,0)*AR184)</x:f>
        <x:v>5</x:v>
      </x:c>
      <x:c r="G184" s="20" t="str">
        <x:f>IF(J184="Рассчитано",V184*(1-R184/100)-W184-P184-Q184,"н/д")</x:f>
        <x:v>н/д</x:v>
      </x:c>
      <x:c r="H184" s="12" t="str">
        <x:v>Высокий</x:v>
      </x:c>
      <x:c r="I184" s="12" t="str">
        <x:v>Средний</x:v>
      </x:c>
      <x:c r="J184" s="12" t="str">
        <x:f>IF(L184="","Укажите валюту",IF(NOT(ISNUMBER(K184)),"Укажите объём",IF(K184&lt;=0,"Укажите объём",IF(K184&gt;F184,"Объём выше излишка",IF(COUNT(M184:O184)&lt;3,"Нужны цены",IF(COUNT(P184:R184)&lt;3,"Нужны расходы",IF(OR(M184&lt;0,N184&lt;0,O184&lt;0,O184&gt;100,P184&lt;0,Q184&lt;0,R184&lt;0,R184&gt;100),"Проверьте значения","Рассчитано")))))))</x:f>
        <x:v>Нужны цены</x:v>
      </x:c>
      <x:c r="K184" s="36" t="n">
        <x:v>5</x:v>
      </x:c>
      <x:c r="L184" s="19" t="str">
        <x:v>KZT</x:v>
      </x:c>
      <x:c r="M184" s="22"/>
      <x:c r="N184" s="22"/>
      <x:c r="O184" s="28"/>
      <x:c r="P184" s="22"/>
      <x:c r="Q184" s="22"/>
      <x:c r="R184" s="28"/>
      <x:c r="S184" s="22"/>
      <x:c r="T184" s="35" t="n">
        <x:f>K184</x:f>
        <x:v>5</x:v>
      </x:c>
      <x:c r="U184" s="20" t="str">
        <x:f>IF(J184="Рассчитано",N184*(1-O184/100),"н/д")</x:f>
        <x:v>н/д</x:v>
      </x:c>
      <x:c r="V184" s="20" t="str">
        <x:f>IF(J184="Рассчитано",T184*U184,"н/д")</x:f>
        <x:v>н/д</x:v>
      </x:c>
      <x:c r="W184" s="20" t="str">
        <x:f>IF(J184="Рассчитано",T184*M184,"н/д")</x:f>
        <x:v>н/д</x:v>
      </x:c>
      <x:c r="X184" s="20" t="str">
        <x:f>IF(J184="Рассчитано",V184-W184,"н/д")</x:f>
        <x:v>н/д</x:v>
      </x:c>
      <x:c r="Y184" s="26" t="str">
        <x:f>IF(J184="Рассчитано",IF(V184&gt;0,G184/V184,"н/д"),"н/д")</x:f>
        <x:v>н/д</x:v>
      </x:c>
      <x:c r="Z184" s="20" t="str">
        <x:f>"н/д"</x:f>
        <x:v>н/д</x:v>
      </x:c>
      <x:c r="AA184" s="20" t="str">
        <x:f>"н/д"</x:f>
        <x:v>н/д</x:v>
      </x:c>
      <x:c r="AB184" s="20" t="str">
        <x:f>"н/д"</x:f>
        <x:v>н/д</x:v>
      </x:c>
      <x:c r="AC184" s="20" t="str">
        <x:f>IF(AND(J184="Рассчитано",T184&gt;0,R184&lt;100),(W184+P184+Q184)/(T184*(1-R184/100)),"н/д")</x:f>
        <x:v>н/д</x:v>
      </x:c>
      <x:c r="AD184" s="11" t="str">
        <x:f>IF(ISNUMBER(G184),IF(G184&lt;0,"Убыток",IF(G184=0,"Без прибыли","Прибыль &gt; 0")),"Не оценён")</x:f>
        <x:v>Не оценён</x:v>
      </x:c>
      <x:c r="AE184" s="12" t="str">
        <x:f>IF(J184="Рассчитано","Выручка "&amp;TEXT(V184,"0.00")&amp;" - себестоимость "&amp;TEXT(W184,"0.00")&amp;" - комиссия "&amp;TEXT(V184*R184/100,"0.00")&amp;" - доставка "&amp;TEXT(P184,"0.00")&amp;" - прочие "&amp;TEXT(Q184,"0.00")&amp;" = "&amp;TEXT(G184,"0.00")&amp;" "&amp;L184,"Введите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4" s="23" t="n">
        <x:v>28.68145922271704</x:v>
      </x:c>
      <x:c r="AG184" s="35" t="n">
        <x:v>34</x:v>
      </x:c>
      <x:c r="AH184" s="35" t="n">
        <x:v>0</x:v>
      </x:c>
      <x:c r="AI184" s="29" t="n">
        <x:v>46266</x:v>
      </x:c>
      <x:c r="AJ184" s="35" t="n">
        <x:v>1</x:v>
      </x:c>
      <x:c r="AK184" s="11" t="str">
        <x:v>минимум</x:v>
      </x:c>
      <x:c r="AL184" s="31" t="n">
        <x:v>100.80839915893543</x:v>
      </x:c>
      <x:c r="AM184" s="12" t="str">
        <x:v>Остаток на начало сентября; Резервы неизвестны; Нет ежедневных данных доступности. Запас выше прогноза на 90 дней</x:v>
      </x:c>
      <x:c r="AN184" s="12" t="str">
        <x:v>Проверить свободный остаток и установить цену для B2B</x:v>
      </x:c>
      <x:c r="AO184" s="12" t="str">
        <x:v>Остаток 34; прогноз 90 дней 28.68; избыток 5 шт. Будущие поступления не выставляются на продажу. Остаток на начало сентября: требуется актуализация.</x:v>
      </x:c>
      <x:c r="AP184" s="12" t="str">
        <x:v>["category_missing", "daily_stockout_data_missing", "negative_net_sales_clipped_for_forecast", "new_order_lead_time_unknown", "reservations_unknown", "stale_stock"]</x:v>
      </x:c>
      <x:c r="AQ184" s="11" t="str">
        <x:v>IEK:030200473_</x:v>
      </x:c>
      <x:c r="AR184" s="23" t="n">
        <x:v>1</x:v>
      </x:c>
      <x:c r="AS184" s="23" t="n">
        <x:v>0</x:v>
      </x:c>
      <x:c r="AT184" s="23" t="n">
        <x:v>0</x:v>
      </x:c>
    </x:row>
    <x:row r="185" ht="64" customHeight="1">
      <x:c r="A185" s="10" t="str">
        <x:v>IEK</x:v>
      </x:c>
      <x:c r="B185" s="34" t="str">
        <x:v>030200474_</x:v>
      </x:c>
      <x:c r="C185" s="34" t="str">
        <x:v>BR-V20-0-10-K53</x:v>
      </x:c>
      <x:c r="D185" s="13" t="str">
        <x:v>Выкл 2-кл. 10А б/рамки "BRITE" графит (1/100)</x:v>
      </x:c>
      <x:c r="E185" s="10" t="str">
        <x:v>шт</x:v>
      </x:c>
      <x:c r="F185" s="37" t="n">
        <x:f>MAX(0,ROUNDDOWN((AG185-AF185)/AR185+0.000000001,0)*AR185)</x:f>
        <x:v>125</x:v>
      </x:c>
      <x:c r="G185" s="21" t="str">
        <x:f>IF(J185="Рассчитано",V185*(1-R185/100)-W185-P185-Q185,"н/д")</x:f>
        <x:v>н/д</x:v>
      </x:c>
      <x:c r="H185" s="13" t="str">
        <x:v>Высокий</x:v>
      </x:c>
      <x:c r="I185" s="13" t="str">
        <x:v>Средний</x:v>
      </x:c>
      <x:c r="J185" s="13" t="str">
        <x:f>IF(L185="","Укажите валюту",IF(NOT(ISNUMBER(K185)),"Укажите объём",IF(K185&lt;=0,"Укажите объём",IF(K185&gt;F185,"Объём выше излишка",IF(COUNT(M185:O185)&lt;3,"Нужны цены",IF(COUNT(P185:R185)&lt;3,"Нужны расходы",IF(OR(M185&lt;0,N185&lt;0,O185&lt;0,O185&gt;100,P185&lt;0,Q185&lt;0,R185&lt;0,R185&gt;100),"Проверьте значения","Рассчитано")))))))</x:f>
        <x:v>Нужны цены</x:v>
      </x:c>
      <x:c r="K185" s="36" t="n">
        <x:v>125</x:v>
      </x:c>
      <x:c r="L185" s="19" t="str">
        <x:v>KZT</x:v>
      </x:c>
      <x:c r="M185" s="22"/>
      <x:c r="N185" s="22"/>
      <x:c r="O185" s="28"/>
      <x:c r="P185" s="22"/>
      <x:c r="Q185" s="22"/>
      <x:c r="R185" s="28"/>
      <x:c r="S185" s="22"/>
      <x:c r="T185" s="37" t="n">
        <x:f>K185</x:f>
        <x:v>125</x:v>
      </x:c>
      <x:c r="U185" s="21" t="str">
        <x:f>IF(J185="Рассчитано",N185*(1-O185/100),"н/д")</x:f>
        <x:v>н/д</x:v>
      </x:c>
      <x:c r="V185" s="21" t="str">
        <x:f>IF(J185="Рассчитано",T185*U185,"н/д")</x:f>
        <x:v>н/д</x:v>
      </x:c>
      <x:c r="W185" s="21" t="str">
        <x:f>IF(J185="Рассчитано",T185*M185,"н/д")</x:f>
        <x:v>н/д</x:v>
      </x:c>
      <x:c r="X185" s="21" t="str">
        <x:f>IF(J185="Рассчитано",V185-W185,"н/д")</x:f>
        <x:v>н/д</x:v>
      </x:c>
      <x:c r="Y185" s="27" t="str">
        <x:f>IF(J185="Рассчитано",IF(V185&gt;0,G185/V185,"н/д"),"н/д")</x:f>
        <x:v>н/д</x:v>
      </x:c>
      <x:c r="Z185" s="21" t="str">
        <x:f>"н/д"</x:f>
        <x:v>н/д</x:v>
      </x:c>
      <x:c r="AA185" s="21" t="str">
        <x:f>"н/д"</x:f>
        <x:v>н/д</x:v>
      </x:c>
      <x:c r="AB185" s="21" t="str">
        <x:f>"н/д"</x:f>
        <x:v>н/д</x:v>
      </x:c>
      <x:c r="AC185" s="21" t="str">
        <x:f>IF(AND(J185="Рассчитано",T185&gt;0,R185&lt;100),(W185+P185+Q185)/(T185*(1-R185/100)),"н/д")</x:f>
        <x:v>н/д</x:v>
      </x:c>
      <x:c r="AD185" s="10" t="str">
        <x:f>IF(ISNUMBER(G185),IF(G185&lt;0,"Убыток",IF(G185=0,"Без прибыли","Прибыль &gt; 0")),"Не оценён")</x:f>
        <x:v>Не оценён</x:v>
      </x:c>
      <x:c r="AE185" s="13" t="str">
        <x:f>IF(J185="Рассчитано","Выручка "&amp;TEXT(V185,"0.00")&amp;" - себестоимость "&amp;TEXT(W185,"0.00")&amp;" - комиссия "&amp;TEXT(V185*R185/100,"0.00")&amp;" - доставка "&amp;TEXT(P185,"0.00")&amp;" - прочие "&amp;TEXT(Q185,"0.00")&amp;" = "&amp;TEXT(G185,"0.00")&amp;" "&amp;L185,"Введите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5" s="24" t="n">
        <x:v>201.9639174536095</x:v>
      </x:c>
      <x:c r="AG185" s="37" t="n">
        <x:v>327</x:v>
      </x:c>
      <x:c r="AH185" s="37" t="n">
        <x:v>0</x:v>
      </x:c>
      <x:c r="AI185" s="30" t="n">
        <x:v>46266</x:v>
      </x:c>
      <x:c r="AJ185" s="37" t="n">
        <x:v>1</x:v>
      </x:c>
      <x:c r="AK185" s="10" t="str">
        <x:v>минимум</x:v>
      </x:c>
      <x:c r="AL185" s="32" t="n">
        <x:v>137.68702329721646</x:v>
      </x:c>
      <x:c r="AM18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85" s="13" t="str">
        <x:v>Проверить свободный остаток и установить цену для B2B</x:v>
      </x:c>
      <x:c r="AO185" s="13" t="str">
        <x:v>Остаток 327; прогноз 90 дней 201.96; избыток 125 шт. Будущие поступления не выставляются на продажу. Остаток на начало сентября: требуется актуализация.</x:v>
      </x:c>
      <x:c r="AP185" s="13" t="str">
        <x:v>["category_missing", "daily_stockout_data_missing", "large_orders_detected", "new_order_lead_time_unknown", "reservations_unknown", "stale_stock", "transaction_month_mismatch"]</x:v>
      </x:c>
      <x:c r="AQ185" s="10" t="str">
        <x:v>IEK:030200474_</x:v>
      </x:c>
      <x:c r="AR185" s="24" t="n">
        <x:v>1</x:v>
      </x:c>
      <x:c r="AS185" s="24" t="n">
        <x:v>0</x:v>
      </x:c>
      <x:c r="AT185" s="24" t="n">
        <x:v>0</x:v>
      </x:c>
    </x:row>
    <x:row r="186" ht="64" customHeight="1">
      <x:c r="A186" s="11" t="str">
        <x:v>IEK</x:v>
      </x:c>
      <x:c r="B186" s="33" t="str">
        <x:v>030200475_</x:v>
      </x:c>
      <x:c r="C186" s="33" t="str">
        <x:v>BR-V20-1-10-K53</x:v>
      </x:c>
      <x:c r="D186" s="12" t="str">
        <x:v>Выкл 2-кл. с инд. 10А б/рамки "BRITE" графит (1/100)</x:v>
      </x:c>
      <x:c r="E186" s="11" t="str">
        <x:v>шт</x:v>
      </x:c>
      <x:c r="F186" s="35" t="n">
        <x:f>MAX(0,ROUNDDOWN((AG186-AF186)/AR186+0.000000001,0)*AR186)</x:f>
        <x:v>13</x:v>
      </x:c>
      <x:c r="G186" s="20" t="str">
        <x:f>IF(J186="Рассчитано",V186*(1-R186/100)-W186-P186-Q186,"н/д")</x:f>
        <x:v>н/д</x:v>
      </x:c>
      <x:c r="H186" s="12" t="str">
        <x:v>Высокий</x:v>
      </x:c>
      <x:c r="I186" s="12" t="str">
        <x:v>Высокий</x:v>
      </x:c>
      <x:c r="J186" s="12" t="str">
        <x:f>IF(L186="","Укажите валюту",IF(NOT(ISNUMBER(K186)),"Укажите объём",IF(K186&lt;=0,"Укажите объём",IF(K186&gt;F186,"Объём выше излишка",IF(COUNT(M186:O186)&lt;3,"Нужны цены",IF(COUNT(P186:R186)&lt;3,"Нужны расходы",IF(OR(M186&lt;0,N186&lt;0,O186&lt;0,O186&gt;100,P186&lt;0,Q186&lt;0,R186&lt;0,R186&gt;100),"Проверьте значения","Рассчитано")))))))</x:f>
        <x:v>Нужны цены</x:v>
      </x:c>
      <x:c r="K186" s="36" t="n">
        <x:v>13</x:v>
      </x:c>
      <x:c r="L186" s="19" t="str">
        <x:v>KZT</x:v>
      </x:c>
      <x:c r="M186" s="22"/>
      <x:c r="N186" s="22"/>
      <x:c r="O186" s="28"/>
      <x:c r="P186" s="22"/>
      <x:c r="Q186" s="22"/>
      <x:c r="R186" s="28"/>
      <x:c r="S186" s="22"/>
      <x:c r="T186" s="35" t="n">
        <x:f>K186</x:f>
        <x:v>13</x:v>
      </x:c>
      <x:c r="U186" s="20" t="str">
        <x:f>IF(J186="Рассчитано",N186*(1-O186/100),"н/д")</x:f>
        <x:v>н/д</x:v>
      </x:c>
      <x:c r="V186" s="20" t="str">
        <x:f>IF(J186="Рассчитано",T186*U186,"н/д")</x:f>
        <x:v>н/д</x:v>
      </x:c>
      <x:c r="W186" s="20" t="str">
        <x:f>IF(J186="Рассчитано",T186*M186,"н/д")</x:f>
        <x:v>н/д</x:v>
      </x:c>
      <x:c r="X186" s="20" t="str">
        <x:f>IF(J186="Рассчитано",V186-W186,"н/д")</x:f>
        <x:v>н/д</x:v>
      </x:c>
      <x:c r="Y186" s="26" t="str">
        <x:f>IF(J186="Рассчитано",IF(V186&gt;0,G186/V186,"н/д"),"н/д")</x:f>
        <x:v>н/д</x:v>
      </x:c>
      <x:c r="Z186" s="20" t="str">
        <x:f>"н/д"</x:f>
        <x:v>н/д</x:v>
      </x:c>
      <x:c r="AA186" s="20" t="str">
        <x:f>"н/д"</x:f>
        <x:v>н/д</x:v>
      </x:c>
      <x:c r="AB186" s="20" t="str">
        <x:f>"н/д"</x:f>
        <x:v>н/д</x:v>
      </x:c>
      <x:c r="AC186" s="20" t="str">
        <x:f>IF(AND(J186="Рассчитано",T186&gt;0,R186&lt;100),(W186+P186+Q186)/(T186*(1-R186/100)),"н/д")</x:f>
        <x:v>н/д</x:v>
      </x:c>
      <x:c r="AD186" s="11" t="str">
        <x:f>IF(ISNUMBER(G186),IF(G186&lt;0,"Убыток",IF(G186=0,"Без прибыли","Прибыль &gt; 0")),"Не оценён")</x:f>
        <x:v>Не оценён</x:v>
      </x:c>
      <x:c r="AE186" s="12" t="str">
        <x:f>IF(J186="Рассчитано","Выручка "&amp;TEXT(V186,"0.00")&amp;" - себестоимость "&amp;TEXT(W186,"0.00")&amp;" - комиссия "&amp;TEXT(V186*R186/100,"0.00")&amp;" - доставка "&amp;TEXT(P186,"0.00")&amp;" - прочие "&amp;TEXT(Q186,"0.00")&amp;" = "&amp;TEXT(G186,"0.00")&amp;" "&amp;L186,"Введите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6" s="23" t="n">
        <x:v>11.0662045159244</x:v>
      </x:c>
      <x:c r="AG186" s="35" t="n">
        <x:v>25</x:v>
      </x:c>
      <x:c r="AH186" s="35" t="n">
        <x:v>0</x:v>
      </x:c>
      <x:c r="AI186" s="29" t="n">
        <x:v>46266</x:v>
      </x:c>
      <x:c r="AJ186" s="35" t="n">
        <x:v>1</x:v>
      </x:c>
      <x:c r="AK186" s="11" t="str">
        <x:v>минимум</x:v>
      </x:c>
      <x:c r="AL186" s="31" t="n">
        <x:v>192.11459549603603</x:v>
      </x:c>
      <x:c r="AM18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86" s="12" t="str">
        <x:v>Проверить свободный остаток и установить цену для B2B</x:v>
      </x:c>
      <x:c r="AO186" s="12" t="str">
        <x:v>Остаток 25; прогноз 90 дней 11.07; избыток 13 шт. Будущие поступления не выставляются на продажу. Остаток на начало сентября: требуется актуализация.</x:v>
      </x:c>
      <x:c r="AP186" s="12" t="str">
        <x:v>["category_missing", "daily_stockout_data_missing", "negative_net_sales_clipped_for_forecast", "new_order_lead_time_unknown", "reservations_unknown", "stale_stock"]</x:v>
      </x:c>
      <x:c r="AQ186" s="11" t="str">
        <x:v>IEK:030200475_</x:v>
      </x:c>
      <x:c r="AR186" s="23" t="n">
        <x:v>1</x:v>
      </x:c>
      <x:c r="AS186" s="23" t="n">
        <x:v>0</x:v>
      </x:c>
      <x:c r="AT186" s="23" t="n">
        <x:v>0</x:v>
      </x:c>
    </x:row>
    <x:row r="187" ht="64" customHeight="1">
      <x:c r="A187" s="10" t="str">
        <x:v>IEK</x:v>
      </x:c>
      <x:c r="B187" s="34" t="str">
        <x:v>030200476_</x:v>
      </x:c>
      <x:c r="C187" s="34" t="str">
        <x:v>BR-K10-1-K53</x:v>
      </x:c>
      <x:c r="D187" s="13" t="str">
        <x:v>Роз. комп. RJ45 кат.5E б/рамки "BRITE" графит (1/100)</x:v>
      </x:c>
      <x:c r="E187" s="10" t="str">
        <x:v>шт</x:v>
      </x:c>
      <x:c r="F187" s="37" t="n">
        <x:f>MAX(0,ROUNDDOWN((AG187-AF187)/AR187+0.000000001,0)*AR187)</x:f>
        <x:v>12</x:v>
      </x:c>
      <x:c r="G187" s="21" t="str">
        <x:f>IF(J187="Рассчитано",V187*(1-R187/100)-W187-P187-Q187,"н/д")</x:f>
        <x:v>н/д</x:v>
      </x:c>
      <x:c r="H187" s="13" t="str">
        <x:v>Высокий</x:v>
      </x:c>
      <x:c r="I187" s="13" t="str">
        <x:v>Средний</x:v>
      </x:c>
      <x:c r="J187" s="13" t="str">
        <x:f>IF(L187="","Укажите валюту",IF(NOT(ISNUMBER(K187)),"Укажите объём",IF(K187&lt;=0,"Укажите объём",IF(K187&gt;F187,"Объём выше излишка",IF(COUNT(M187:O187)&lt;3,"Нужны цены",IF(COUNT(P187:R187)&lt;3,"Нужны расходы",IF(OR(M187&lt;0,N187&lt;0,O187&lt;0,O187&gt;100,P187&lt;0,Q187&lt;0,R187&lt;0,R187&gt;100),"Проверьте значения","Рассчитано")))))))</x:f>
        <x:v>Нужны цены</x:v>
      </x:c>
      <x:c r="K187" s="36" t="n">
        <x:v>12</x:v>
      </x:c>
      <x:c r="L187" s="19" t="str">
        <x:v>KZT</x:v>
      </x:c>
      <x:c r="M187" s="22"/>
      <x:c r="N187" s="22"/>
      <x:c r="O187" s="28"/>
      <x:c r="P187" s="22"/>
      <x:c r="Q187" s="22"/>
      <x:c r="R187" s="28"/>
      <x:c r="S187" s="22"/>
      <x:c r="T187" s="37" t="n">
        <x:f>K187</x:f>
        <x:v>12</x:v>
      </x:c>
      <x:c r="U187" s="21" t="str">
        <x:f>IF(J187="Рассчитано",N187*(1-O187/100),"н/д")</x:f>
        <x:v>н/д</x:v>
      </x:c>
      <x:c r="V187" s="21" t="str">
        <x:f>IF(J187="Рассчитано",T187*U187,"н/д")</x:f>
        <x:v>н/д</x:v>
      </x:c>
      <x:c r="W187" s="21" t="str">
        <x:f>IF(J187="Рассчитано",T187*M187,"н/д")</x:f>
        <x:v>н/д</x:v>
      </x:c>
      <x:c r="X187" s="21" t="str">
        <x:f>IF(J187="Рассчитано",V187-W187,"н/д")</x:f>
        <x:v>н/д</x:v>
      </x:c>
      <x:c r="Y187" s="27" t="str">
        <x:f>IF(J187="Рассчитано",IF(V187&gt;0,G187/V187,"н/д"),"н/д")</x:f>
        <x:v>н/д</x:v>
      </x:c>
      <x:c r="Z187" s="21" t="str">
        <x:f>"н/д"</x:f>
        <x:v>н/д</x:v>
      </x:c>
      <x:c r="AA187" s="21" t="str">
        <x:f>"н/д"</x:f>
        <x:v>н/д</x:v>
      </x:c>
      <x:c r="AB187" s="21" t="str">
        <x:f>"н/д"</x:f>
        <x:v>н/д</x:v>
      </x:c>
      <x:c r="AC187" s="21" t="str">
        <x:f>IF(AND(J187="Рассчитано",T187&gt;0,R187&lt;100),(W187+P187+Q187)/(T187*(1-R187/100)),"н/д")</x:f>
        <x:v>н/д</x:v>
      </x:c>
      <x:c r="AD187" s="10" t="str">
        <x:f>IF(ISNUMBER(G187),IF(G187&lt;0,"Убыток",IF(G187=0,"Без прибыли","Прибыль &gt; 0")),"Не оценён")</x:f>
        <x:v>Не оценён</x:v>
      </x:c>
      <x:c r="AE187" s="13" t="str">
        <x:f>IF(J187="Рассчитано","Выручка "&amp;TEXT(V187,"0.00")&amp;" - себестоимость "&amp;TEXT(W187,"0.00")&amp;" - комиссия "&amp;TEXT(V187*R187/100,"0.00")&amp;" - доставка "&amp;TEXT(P187,"0.00")&amp;" - прочие "&amp;TEXT(Q187,"0.00")&amp;" = "&amp;TEXT(G187,"0.00")&amp;" "&amp;L187,"Введите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7" s="24" t="n">
        <x:v>40.724510969904436</x:v>
      </x:c>
      <x:c r="AG187" s="37" t="n">
        <x:v>53</x:v>
      </x:c>
      <x:c r="AH187" s="37" t="n">
        <x:v>0</x:v>
      </x:c>
      <x:c r="AI187" s="30" t="n">
        <x:v>46266</x:v>
      </x:c>
      <x:c r="AJ187" s="37" t="n">
        <x:v>1</x:v>
      </x:c>
      <x:c r="AK187" s="10" t="str">
        <x:v>минимум</x:v>
      </x:c>
      <x:c r="AL187" s="32" t="n">
        <x:v>110.67232557679051</x:v>
      </x:c>
      <x:c r="AM18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87" s="13" t="str">
        <x:v>Проверить свободный остаток и установить цену для B2B</x:v>
      </x:c>
      <x:c r="AO187" s="13" t="str">
        <x:v>Остаток 53; прогноз 90 дней 40.72; избыток 12 шт. Будущие поступления не выставляются на продажу. Остаток на начало сентября: требуется актуализация.</x:v>
      </x:c>
      <x:c r="AP187" s="13" t="str">
        <x:v>["category_missing", "daily_stockout_data_missing", "large_orders_detected", "new_order_lead_time_unknown", "reservations_unknown", "stale_stock", "transaction_month_mismatch"]</x:v>
      </x:c>
      <x:c r="AQ187" s="10" t="str">
        <x:v>IEK:030200476_</x:v>
      </x:c>
      <x:c r="AR187" s="24" t="n">
        <x:v>1</x:v>
      </x:c>
      <x:c r="AS187" s="24" t="n">
        <x:v>0</x:v>
      </x:c>
      <x:c r="AT187" s="24" t="n">
        <x:v>0</x:v>
      </x:c>
    </x:row>
    <x:row r="188" ht="64" customHeight="1">
      <x:c r="A188" s="11" t="str">
        <x:v>IEK</x:v>
      </x:c>
      <x:c r="B188" s="33" t="str">
        <x:v>030200478_</x:v>
      </x:c>
      <x:c r="C188" s="33" t="str">
        <x:v>BR-R21-16-K53-F</x:v>
      </x:c>
      <x:c r="D188" s="12" t="str">
        <x:v>Роз. 2-я с з/к без з/ш 16А в сборе "BRITE" графит (1/100)</x:v>
      </x:c>
      <x:c r="E188" s="11" t="str">
        <x:v>шт</x:v>
      </x:c>
      <x:c r="F188" s="35" t="n">
        <x:f>MAX(0,ROUNDDOWN((AG188-AF188)/AR188+0.000000001,0)*AR188)</x:f>
        <x:v>93</x:v>
      </x:c>
      <x:c r="G188" s="20" t="str">
        <x:f>IF(J188="Рассчитано",V188*(1-R188/100)-W188-P188-Q188,"н/д")</x:f>
        <x:v>н/д</x:v>
      </x:c>
      <x:c r="H188" s="12" t="str">
        <x:v>Высокий</x:v>
      </x:c>
      <x:c r="I188" s="12" t="str">
        <x:v>Средний</x:v>
      </x:c>
      <x:c r="J188" s="12" t="str">
        <x:f>IF(L188="","Укажите валюту",IF(NOT(ISNUMBER(K188)),"Укажите объём",IF(K188&lt;=0,"Укажите объём",IF(K188&gt;F188,"Объём выше излишка",IF(COUNT(M188:O188)&lt;3,"Нужны цены",IF(COUNT(P188:R188)&lt;3,"Нужны расходы",IF(OR(M188&lt;0,N188&lt;0,O188&lt;0,O188&gt;100,P188&lt;0,Q188&lt;0,R188&lt;0,R188&gt;100),"Проверьте значения","Рассчитано")))))))</x:f>
        <x:v>Нужны цены</x:v>
      </x:c>
      <x:c r="K188" s="36" t="n">
        <x:v>93</x:v>
      </x:c>
      <x:c r="L188" s="19" t="str">
        <x:v>KZT</x:v>
      </x:c>
      <x:c r="M188" s="22"/>
      <x:c r="N188" s="22"/>
      <x:c r="O188" s="28"/>
      <x:c r="P188" s="22"/>
      <x:c r="Q188" s="22"/>
      <x:c r="R188" s="28"/>
      <x:c r="S188" s="22"/>
      <x:c r="T188" s="35" t="n">
        <x:f>K188</x:f>
        <x:v>93</x:v>
      </x:c>
      <x:c r="U188" s="20" t="str">
        <x:f>IF(J188="Рассчитано",N188*(1-O188/100),"н/д")</x:f>
        <x:v>н/д</x:v>
      </x:c>
      <x:c r="V188" s="20" t="str">
        <x:f>IF(J188="Рассчитано",T188*U188,"н/д")</x:f>
        <x:v>н/д</x:v>
      </x:c>
      <x:c r="W188" s="20" t="str">
        <x:f>IF(J188="Рассчитано",T188*M188,"н/д")</x:f>
        <x:v>н/д</x:v>
      </x:c>
      <x:c r="X188" s="20" t="str">
        <x:f>IF(J188="Рассчитано",V188-W188,"н/д")</x:f>
        <x:v>н/д</x:v>
      </x:c>
      <x:c r="Y188" s="26" t="str">
        <x:f>IF(J188="Рассчитано",IF(V188&gt;0,G188/V188,"н/д"),"н/д")</x:f>
        <x:v>н/д</x:v>
      </x:c>
      <x:c r="Z188" s="20" t="str">
        <x:f>"н/д"</x:f>
        <x:v>н/д</x:v>
      </x:c>
      <x:c r="AA188" s="20" t="str">
        <x:f>"н/д"</x:f>
        <x:v>н/д</x:v>
      </x:c>
      <x:c r="AB188" s="20" t="str">
        <x:f>"н/д"</x:f>
        <x:v>н/д</x:v>
      </x:c>
      <x:c r="AC188" s="20" t="str">
        <x:f>IF(AND(J188="Рассчитано",T188&gt;0,R188&lt;100),(W188+P188+Q188)/(T188*(1-R188/100)),"н/д")</x:f>
        <x:v>н/д</x:v>
      </x:c>
      <x:c r="AD188" s="11" t="str">
        <x:f>IF(ISNUMBER(G188),IF(G188&lt;0,"Убыток",IF(G188=0,"Без прибыли","Прибыль &gt; 0")),"Не оценён")</x:f>
        <x:v>Не оценён</x:v>
      </x:c>
      <x:c r="AE188" s="12" t="str">
        <x:f>IF(J188="Рассчитано","Выручка "&amp;TEXT(V188,"0.00")&amp;" - себестоимость "&amp;TEXT(W188,"0.00")&amp;" - комиссия "&amp;TEXT(V188*R188/100,"0.00")&amp;" - доставка "&amp;TEXT(P188,"0.00")&amp;" - прочие "&amp;TEXT(Q188,"0.00")&amp;" = "&amp;TEXT(G188,"0.00")&amp;" "&amp;L188,"Введите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8" s="23" t="n">
        <x:v>245.71010584919787</x:v>
      </x:c>
      <x:c r="AG188" s="35" t="n">
        <x:v>339</x:v>
      </x:c>
      <x:c r="AH188" s="35" t="n">
        <x:v>0</x:v>
      </x:c>
      <x:c r="AI188" s="29" t="n">
        <x:v>46266</x:v>
      </x:c>
      <x:c r="AJ188" s="35" t="n">
        <x:v>1</x:v>
      </x:c>
      <x:c r="AK188" s="11" t="str">
        <x:v>минимум</x:v>
      </x:c>
      <x:c r="AL188" s="31" t="n">
        <x:v>117.326394134423</x:v>
      </x:c>
      <x:c r="AM18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88" s="12" t="str">
        <x:v>Проверить свободный остаток и установить цену для B2B</x:v>
      </x:c>
      <x:c r="AO188" s="12" t="str">
        <x:v>Остаток 339; прогноз 90 дней 245.71; избыток 93 шт. Будущие поступления не выставляются на продажу. Остаток на начало сентября: требуется актуализация.</x:v>
      </x:c>
      <x:c r="AP188" s="12" t="str">
        <x:v>["category_missing", "daily_stockout_data_missing", "large_orders_detected", "new_order_lead_time_unknown", "reservations_unknown", "stale_stock", "transaction_month_mismatch"]</x:v>
      </x:c>
      <x:c r="AQ188" s="11" t="str">
        <x:v>IEK:030200478_</x:v>
      </x:c>
      <x:c r="AR188" s="23" t="n">
        <x:v>1</x:v>
      </x:c>
      <x:c r="AS188" s="23" t="n">
        <x:v>0</x:v>
      </x:c>
      <x:c r="AT188" s="23" t="n">
        <x:v>0</x:v>
      </x:c>
    </x:row>
    <x:row r="189" ht="64" customHeight="1">
      <x:c r="A189" s="10" t="str">
        <x:v>IEK</x:v>
      </x:c>
      <x:c r="B189" s="34" t="str">
        <x:v>030200479_</x:v>
      </x:c>
      <x:c r="C189" s="34" t="str">
        <x:v>BR-R24-16-K53-F</x:v>
      </x:c>
      <x:c r="D189" s="13" t="str">
        <x:v>Роз. 2-я с з/к/ш 16А в сборе "BRITE" графит (1/100)</x:v>
      </x:c>
      <x:c r="E189" s="10" t="str">
        <x:v>шт</x:v>
      </x:c>
      <x:c r="F189" s="37" t="n">
        <x:f>MAX(0,ROUNDDOWN((AG189-AF189)/AR189+0.000000001,0)*AR189)</x:f>
        <x:v>90</x:v>
      </x:c>
      <x:c r="G189" s="21" t="str">
        <x:f>IF(J189="Рассчитано",V189*(1-R189/100)-W189-P189-Q189,"н/д")</x:f>
        <x:v>н/д</x:v>
      </x:c>
      <x:c r="H189" s="13" t="str">
        <x:v>Высокий</x:v>
      </x:c>
      <x:c r="I189" s="13" t="str">
        <x:v>Средний</x:v>
      </x:c>
      <x:c r="J189" s="13" t="str">
        <x:f>IF(L189="","Укажите валюту",IF(NOT(ISNUMBER(K189)),"Укажите объём",IF(K189&lt;=0,"Укажите объём",IF(K189&gt;F189,"Объём выше излишка",IF(COUNT(M189:O189)&lt;3,"Нужны цены",IF(COUNT(P189:R189)&lt;3,"Нужны расходы",IF(OR(M189&lt;0,N189&lt;0,O189&lt;0,O189&gt;100,P189&lt;0,Q189&lt;0,R189&lt;0,R189&gt;100),"Проверьте значения","Рассчитано")))))))</x:f>
        <x:v>Нужны цены</x:v>
      </x:c>
      <x:c r="K189" s="36" t="n">
        <x:v>90</x:v>
      </x:c>
      <x:c r="L189" s="19" t="str">
        <x:v>KZT</x:v>
      </x:c>
      <x:c r="M189" s="22"/>
      <x:c r="N189" s="22"/>
      <x:c r="O189" s="28"/>
      <x:c r="P189" s="22"/>
      <x:c r="Q189" s="22"/>
      <x:c r="R189" s="28"/>
      <x:c r="S189" s="22"/>
      <x:c r="T189" s="37" t="n">
        <x:f>K189</x:f>
        <x:v>90</x:v>
      </x:c>
      <x:c r="U189" s="21" t="str">
        <x:f>IF(J189="Рассчитано",N189*(1-O189/100),"н/д")</x:f>
        <x:v>н/д</x:v>
      </x:c>
      <x:c r="V189" s="21" t="str">
        <x:f>IF(J189="Рассчитано",T189*U189,"н/д")</x:f>
        <x:v>н/д</x:v>
      </x:c>
      <x:c r="W189" s="21" t="str">
        <x:f>IF(J189="Рассчитано",T189*M189,"н/д")</x:f>
        <x:v>н/д</x:v>
      </x:c>
      <x:c r="X189" s="21" t="str">
        <x:f>IF(J189="Рассчитано",V189-W189,"н/д")</x:f>
        <x:v>н/д</x:v>
      </x:c>
      <x:c r="Y189" s="27" t="str">
        <x:f>IF(J189="Рассчитано",IF(V189&gt;0,G189/V189,"н/д"),"н/д")</x:f>
        <x:v>н/д</x:v>
      </x:c>
      <x:c r="Z189" s="21" t="str">
        <x:f>"н/д"</x:f>
        <x:v>н/д</x:v>
      </x:c>
      <x:c r="AA189" s="21" t="str">
        <x:f>"н/д"</x:f>
        <x:v>н/д</x:v>
      </x:c>
      <x:c r="AB189" s="21" t="str">
        <x:f>"н/д"</x:f>
        <x:v>н/д</x:v>
      </x:c>
      <x:c r="AC189" s="21" t="str">
        <x:f>IF(AND(J189="Рассчитано",T189&gt;0,R189&lt;100),(W189+P189+Q189)/(T189*(1-R189/100)),"н/д")</x:f>
        <x:v>н/д</x:v>
      </x:c>
      <x:c r="AD189" s="10" t="str">
        <x:f>IF(ISNUMBER(G189),IF(G189&lt;0,"Убыток",IF(G189=0,"Без прибыли","Прибыль &gt; 0")),"Не оценён")</x:f>
        <x:v>Не оценён</x:v>
      </x:c>
      <x:c r="AE189" s="13" t="str">
        <x:f>IF(J189="Рассчитано","Выручка "&amp;TEXT(V189,"0.00")&amp;" - себестоимость "&amp;TEXT(W189,"0.00")&amp;" - комиссия "&amp;TEXT(V189*R189/100,"0.00")&amp;" - доставка "&amp;TEXT(P189,"0.00")&amp;" - прочие "&amp;TEXT(Q189,"0.00")&amp;" = "&amp;TEXT(G189,"0.00")&amp;" "&amp;L189,"Введите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9" s="24" t="n">
        <x:v>100.47656059789624</x:v>
      </x:c>
      <x:c r="AG189" s="37" t="n">
        <x:v>191</x:v>
      </x:c>
      <x:c r="AH189" s="37" t="n">
        <x:v>0</x:v>
      </x:c>
      <x:c r="AI189" s="30" t="n">
        <x:v>46266</x:v>
      </x:c>
      <x:c r="AJ189" s="37" t="n">
        <x:v>1</x:v>
      </x:c>
      <x:c r="AK189" s="10" t="str">
        <x:v>минимум</x:v>
      </x:c>
      <x:c r="AL189" s="32" t="n">
        <x:v>161.6544450948767</x:v>
      </x:c>
      <x:c r="AM189" s="13" t="str">
        <x:v>Остаток на начало сентября; Резервы неизвестны; Нет ежедневных данных доступности. Запас выше прогноза на 90 дней</x:v>
      </x:c>
      <x:c r="AN189" s="13" t="str">
        <x:v>Проверить свободный остаток и установить цену для B2B</x:v>
      </x:c>
      <x:c r="AO189" s="13" t="str">
        <x:v>Остаток 191; прогноз 90 дней 100.48; избыток 90 шт. Будущие поступления не выставляются на продажу. Остаток на начало сентября: требуется актуализация.</x:v>
      </x:c>
      <x:c r="AP189" s="13" t="str">
        <x:v>["category_missing", "daily_stockout_data_missing", "large_orders_detected", "negative_net_sales_clipped_for_forecast", "new_order_lead_time_unknown", "reservations_unknown", "stale_stock"]</x:v>
      </x:c>
      <x:c r="AQ189" s="10" t="str">
        <x:v>IEK:030200479_</x:v>
      </x:c>
      <x:c r="AR189" s="24" t="n">
        <x:v>1</x:v>
      </x:c>
      <x:c r="AS189" s="24" t="n">
        <x:v>0</x:v>
      </x:c>
      <x:c r="AT189" s="24" t="n">
        <x:v>0</x:v>
      </x:c>
    </x:row>
    <x:row r="190" ht="64" customHeight="1">
      <x:c r="A190" s="11" t="str">
        <x:v>IEK</x:v>
      </x:c>
      <x:c r="B190" s="33" t="str">
        <x:v>030200481_</x:v>
      </x:c>
      <x:c r="C190" s="33" t="str">
        <x:v>BR-M22-K53</x:v>
      </x:c>
      <x:c r="D190" s="12" t="str">
        <x:v>Рамка 2-мест. "BRITE" графит (1/100)</x:v>
      </x:c>
      <x:c r="E190" s="11" t="str">
        <x:v>шт</x:v>
      </x:c>
      <x:c r="F190" s="35" t="n">
        <x:f>MAX(0,ROUNDDOWN((AG190-AF190)/AR190+0.000000001,0)*AR190)</x:f>
        <x:v>2</x:v>
      </x:c>
      <x:c r="G190" s="20" t="str">
        <x:f>IF(J190="Рассчитано",V190*(1-R190/100)-W190-P190-Q190,"н/д")</x:f>
        <x:v>н/д</x:v>
      </x:c>
      <x:c r="H190" s="12" t="str">
        <x:v>Высокий</x:v>
      </x:c>
      <x:c r="I190" s="12" t="str">
        <x:v>Средний</x:v>
      </x:c>
      <x:c r="J190" s="12" t="str">
        <x:f>IF(L190="","Укажите валюту",IF(NOT(ISNUMBER(K190)),"Укажите объём",IF(K190&lt;=0,"Укажите объём",IF(K190&gt;F190,"Объём выше излишка",IF(COUNT(M190:O190)&lt;3,"Нужны цены",IF(COUNT(P190:R190)&lt;3,"Нужны расходы",IF(OR(M190&lt;0,N190&lt;0,O190&lt;0,O190&gt;100,P190&lt;0,Q190&lt;0,R190&lt;0,R190&gt;100),"Проверьте значения","Рассчитано")))))))</x:f>
        <x:v>Нужны цены</x:v>
      </x:c>
      <x:c r="K190" s="36" t="n">
        <x:v>2</x:v>
      </x:c>
      <x:c r="L190" s="19" t="str">
        <x:v>KZT</x:v>
      </x:c>
      <x:c r="M190" s="22"/>
      <x:c r="N190" s="22"/>
      <x:c r="O190" s="28"/>
      <x:c r="P190" s="22"/>
      <x:c r="Q190" s="22"/>
      <x:c r="R190" s="28"/>
      <x:c r="S190" s="22"/>
      <x:c r="T190" s="35" t="n">
        <x:f>K190</x:f>
        <x:v>2</x:v>
      </x:c>
      <x:c r="U190" s="20" t="str">
        <x:f>IF(J190="Рассчитано",N190*(1-O190/100),"н/д")</x:f>
        <x:v>н/д</x:v>
      </x:c>
      <x:c r="V190" s="20" t="str">
        <x:f>IF(J190="Рассчитано",T190*U190,"н/д")</x:f>
        <x:v>н/д</x:v>
      </x:c>
      <x:c r="W190" s="20" t="str">
        <x:f>IF(J190="Рассчитано",T190*M190,"н/д")</x:f>
        <x:v>н/д</x:v>
      </x:c>
      <x:c r="X190" s="20" t="str">
        <x:f>IF(J190="Рассчитано",V190-W190,"н/д")</x:f>
        <x:v>н/д</x:v>
      </x:c>
      <x:c r="Y190" s="26" t="str">
        <x:f>IF(J190="Рассчитано",IF(V190&gt;0,G190/V190,"н/д"),"н/д")</x:f>
        <x:v>н/д</x:v>
      </x:c>
      <x:c r="Z190" s="20" t="str">
        <x:f>"н/д"</x:f>
        <x:v>н/д</x:v>
      </x:c>
      <x:c r="AA190" s="20" t="str">
        <x:f>"н/д"</x:f>
        <x:v>н/д</x:v>
      </x:c>
      <x:c r="AB190" s="20" t="str">
        <x:f>"н/д"</x:f>
        <x:v>н/д</x:v>
      </x:c>
      <x:c r="AC190" s="20" t="str">
        <x:f>IF(AND(J190="Рассчитано",T190&gt;0,R190&lt;100),(W190+P190+Q190)/(T190*(1-R190/100)),"н/д")</x:f>
        <x:v>н/д</x:v>
      </x:c>
      <x:c r="AD190" s="11" t="str">
        <x:f>IF(ISNUMBER(G190),IF(G190&lt;0,"Убыток",IF(G190=0,"Без прибыли","Прибыль &gt; 0")),"Не оценён")</x:f>
        <x:v>Не оценён</x:v>
      </x:c>
      <x:c r="AE190" s="12" t="str">
        <x:f>IF(J190="Рассчитано","Выручка "&amp;TEXT(V190,"0.00")&amp;" - себестоимость "&amp;TEXT(W190,"0.00")&amp;" - комиссия "&amp;TEXT(V190*R190/100,"0.00")&amp;" - доставка "&amp;TEXT(P190,"0.00")&amp;" - прочие "&amp;TEXT(Q190,"0.00")&amp;" = "&amp;TEXT(G190,"0.00")&amp;" "&amp;L190,"Введите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0" s="23" t="n">
        <x:v>425.49827609510885</x:v>
      </x:c>
      <x:c r="AG190" s="35" t="n">
        <x:v>428</x:v>
      </x:c>
      <x:c r="AH190" s="35" t="n">
        <x:v>0</x:v>
      </x:c>
      <x:c r="AI190" s="29" t="n">
        <x:v>46266</x:v>
      </x:c>
      <x:c r="AJ190" s="35" t="n">
        <x:v>1</x:v>
      </x:c>
      <x:c r="AK190" s="11" t="str">
        <x:v>минимум</x:v>
      </x:c>
      <x:c r="AL190" s="31" t="n">
        <x:v>85.53916536357409</x:v>
      </x:c>
      <x:c r="AM19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90" s="12" t="str">
        <x:v>Проверить свободный остаток и установить цену для B2B</x:v>
      </x:c>
      <x:c r="AO190" s="12" t="str">
        <x:v>Остаток 428; прогноз 90 дней 425.50; избыток 2 шт. Будущие поступления не выставляются на продажу. Остаток на начало сентября: требуется актуализация.</x:v>
      </x:c>
      <x:c r="AP190" s="12" t="str">
        <x:v>["category_missing", "daily_stockout_data_missing", "large_orders_detected", "new_order_lead_time_unknown", "reservations_unknown", "stale_stock", "transaction_month_mismatch"]</x:v>
      </x:c>
      <x:c r="AQ190" s="11" t="str">
        <x:v>IEK:030200481_</x:v>
      </x:c>
      <x:c r="AR190" s="23" t="n">
        <x:v>1</x:v>
      </x:c>
      <x:c r="AS190" s="23" t="n">
        <x:v>0</x:v>
      </x:c>
      <x:c r="AT190" s="23" t="n">
        <x:v>0</x:v>
      </x:c>
    </x:row>
    <x:row r="191" ht="64" customHeight="1">
      <x:c r="A191" s="10" t="str">
        <x:v>IEK</x:v>
      </x:c>
      <x:c r="B191" s="34" t="str">
        <x:v>030200482_</x:v>
      </x:c>
      <x:c r="C191" s="34" t="str">
        <x:v>BR-M32-K53</x:v>
      </x:c>
      <x:c r="D191" s="13" t="str">
        <x:v>Рамка 3-мест. "BRITE" графит (1/100)</x:v>
      </x:c>
      <x:c r="E191" s="10" t="str">
        <x:v>шт</x:v>
      </x:c>
      <x:c r="F191" s="37" t="n">
        <x:f>MAX(0,ROUNDDOWN((AG191-AF191)/AR191+0.000000001,0)*AR191)</x:f>
        <x:v>10</x:v>
      </x:c>
      <x:c r="G191" s="21" t="str">
        <x:f>IF(J191="Рассчитано",V191*(1-R191/100)-W191-P191-Q191,"н/д")</x:f>
        <x:v>н/д</x:v>
      </x:c>
      <x:c r="H191" s="13" t="str">
        <x:v>Высокий</x:v>
      </x:c>
      <x:c r="I191" s="13" t="str">
        <x:v>Средний</x:v>
      </x:c>
      <x:c r="J191" s="13" t="str">
        <x:f>IF(L191="","Укажите валюту",IF(NOT(ISNUMBER(K191)),"Укажите объём",IF(K191&lt;=0,"Укажите объём",IF(K191&gt;F191,"Объём выше излишка",IF(COUNT(M191:O191)&lt;3,"Нужны цены",IF(COUNT(P191:R191)&lt;3,"Нужны расходы",IF(OR(M191&lt;0,N191&lt;0,O191&lt;0,O191&gt;100,P191&lt;0,Q191&lt;0,R191&lt;0,R191&gt;100),"Проверьте значения","Рассчитано")))))))</x:f>
        <x:v>Нужны цены</x:v>
      </x:c>
      <x:c r="K191" s="36" t="n">
        <x:v>10</x:v>
      </x:c>
      <x:c r="L191" s="19" t="str">
        <x:v>KZT</x:v>
      </x:c>
      <x:c r="M191" s="22"/>
      <x:c r="N191" s="22"/>
      <x:c r="O191" s="28"/>
      <x:c r="P191" s="22"/>
      <x:c r="Q191" s="22"/>
      <x:c r="R191" s="28"/>
      <x:c r="S191" s="22"/>
      <x:c r="T191" s="37" t="n">
        <x:f>K191</x:f>
        <x:v>10</x:v>
      </x:c>
      <x:c r="U191" s="21" t="str">
        <x:f>IF(J191="Рассчитано",N191*(1-O191/100),"н/д")</x:f>
        <x:v>н/д</x:v>
      </x:c>
      <x:c r="V191" s="21" t="str">
        <x:f>IF(J191="Рассчитано",T191*U191,"н/д")</x:f>
        <x:v>н/д</x:v>
      </x:c>
      <x:c r="W191" s="21" t="str">
        <x:f>IF(J191="Рассчитано",T191*M191,"н/д")</x:f>
        <x:v>н/д</x:v>
      </x:c>
      <x:c r="X191" s="21" t="str">
        <x:f>IF(J191="Рассчитано",V191-W191,"н/д")</x:f>
        <x:v>н/д</x:v>
      </x:c>
      <x:c r="Y191" s="27" t="str">
        <x:f>IF(J191="Рассчитано",IF(V191&gt;0,G191/V191,"н/д"),"н/д")</x:f>
        <x:v>н/д</x:v>
      </x:c>
      <x:c r="Z191" s="21" t="str">
        <x:f>"н/д"</x:f>
        <x:v>н/д</x:v>
      </x:c>
      <x:c r="AA191" s="21" t="str">
        <x:f>"н/д"</x:f>
        <x:v>н/д</x:v>
      </x:c>
      <x:c r="AB191" s="21" t="str">
        <x:f>"н/д"</x:f>
        <x:v>н/д</x:v>
      </x:c>
      <x:c r="AC191" s="21" t="str">
        <x:f>IF(AND(J191="Рассчитано",T191&gt;0,R191&lt;100),(W191+P191+Q191)/(T191*(1-R191/100)),"н/д")</x:f>
        <x:v>н/д</x:v>
      </x:c>
      <x:c r="AD191" s="10" t="str">
        <x:f>IF(ISNUMBER(G191),IF(G191&lt;0,"Убыток",IF(G191=0,"Без прибыли","Прибыль &gt; 0")),"Не оценён")</x:f>
        <x:v>Не оценён</x:v>
      </x:c>
      <x:c r="AE191" s="13" t="str">
        <x:f>IF(J191="Рассчитано","Выручка "&amp;TEXT(V191,"0.00")&amp;" - себестоимость "&amp;TEXT(W191,"0.00")&amp;" - комиссия "&amp;TEXT(V191*R191/100,"0.00")&amp;" - доставка "&amp;TEXT(P191,"0.00")&amp;" - прочие "&amp;TEXT(Q191,"0.00")&amp;" = "&amp;TEXT(G191,"0.00")&amp;" "&amp;L191,"Введите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1" s="24" t="n">
        <x:v>232.6746760683312</x:v>
      </x:c>
      <x:c r="AG191" s="37" t="n">
        <x:v>243</x:v>
      </x:c>
      <x:c r="AH191" s="37" t="n">
        <x:v>0</x:v>
      </x:c>
      <x:c r="AI191" s="30" t="n">
        <x:v>46266</x:v>
      </x:c>
      <x:c r="AJ191" s="37" t="n">
        <x:v>1</x:v>
      </x:c>
      <x:c r="AK191" s="10" t="str">
        <x:v>минимум</x:v>
      </x:c>
      <x:c r="AL191" s="32" t="n">
        <x:v>88.81293039072584</x:v>
      </x:c>
      <x:c r="AM191" s="13" t="str">
        <x:v>Остаток на начало сентября; Резервы неизвестны; Нет ежедневных данных доступности. Запас выше прогноза на 90 дней</x:v>
      </x:c>
      <x:c r="AN191" s="13" t="str">
        <x:v>Проверить свободный остаток и установить цену для B2B</x:v>
      </x:c>
      <x:c r="AO191" s="13" t="str">
        <x:v>Остаток 243; прогноз 90 дней 232.67; избыток 10 шт. Будущие поступления не выставляются на продажу. Остаток на начало сентября: требуется актуализация.</x:v>
      </x:c>
      <x:c r="AP191" s="13" t="str">
        <x:v>["category_missing", "daily_stockout_data_missing", "new_order_lead_time_unknown", "reservations_unknown", "stale_stock"]</x:v>
      </x:c>
      <x:c r="AQ191" s="10" t="str">
        <x:v>IEK:030200482_</x:v>
      </x:c>
      <x:c r="AR191" s="24" t="n">
        <x:v>1</x:v>
      </x:c>
      <x:c r="AS191" s="24" t="n">
        <x:v>0</x:v>
      </x:c>
      <x:c r="AT191" s="24" t="n">
        <x:v>0</x:v>
      </x:c>
    </x:row>
    <x:row r="192" ht="64" customHeight="1">
      <x:c r="A192" s="11" t="str">
        <x:v>IEK</x:v>
      </x:c>
      <x:c r="B192" s="33" t="str">
        <x:v>030200483_</x:v>
      </x:c>
      <x:c r="C192" s="33" t="str">
        <x:v>BR-M42-K53</x:v>
      </x:c>
      <x:c r="D192" s="12" t="str">
        <x:v>Рамка 4-мест. "BRITE" графит (1/100)</x:v>
      </x:c>
      <x:c r="E192" s="11" t="str">
        <x:v>шт</x:v>
      </x:c>
      <x:c r="F192" s="35" t="n">
        <x:f>MAX(0,ROUNDDOWN((AG192-AF192)/AR192+0.000000001,0)*AR192)</x:f>
        <x:v>40</x:v>
      </x:c>
      <x:c r="G192" s="20" t="str">
        <x:f>IF(J192="Рассчитано",V192*(1-R192/100)-W192-P192-Q192,"н/д")</x:f>
        <x:v>н/д</x:v>
      </x:c>
      <x:c r="H192" s="12" t="str">
        <x:v>Высокий</x:v>
      </x:c>
      <x:c r="I192" s="12" t="str">
        <x:v>Средний</x:v>
      </x:c>
      <x:c r="J192" s="12" t="str">
        <x:f>IF(L192="","Укажите валюту",IF(NOT(ISNUMBER(K192)),"Укажите объём",IF(K192&lt;=0,"Укажите объём",IF(K192&gt;F192,"Объём выше излишка",IF(COUNT(M192:O192)&lt;3,"Нужны цены",IF(COUNT(P192:R192)&lt;3,"Нужны расходы",IF(OR(M192&lt;0,N192&lt;0,O192&lt;0,O192&gt;100,P192&lt;0,Q192&lt;0,R192&lt;0,R192&gt;100),"Проверьте значения","Рассчитано")))))))</x:f>
        <x:v>Нужны цены</x:v>
      </x:c>
      <x:c r="K192" s="36" t="n">
        <x:v>40</x:v>
      </x:c>
      <x:c r="L192" s="19" t="str">
        <x:v>KZT</x:v>
      </x:c>
      <x:c r="M192" s="22"/>
      <x:c r="N192" s="22"/>
      <x:c r="O192" s="28"/>
      <x:c r="P192" s="22"/>
      <x:c r="Q192" s="22"/>
      <x:c r="R192" s="28"/>
      <x:c r="S192" s="22"/>
      <x:c r="T192" s="35" t="n">
        <x:f>K192</x:f>
        <x:v>40</x:v>
      </x:c>
      <x:c r="U192" s="20" t="str">
        <x:f>IF(J192="Рассчитано",N192*(1-O192/100),"н/д")</x:f>
        <x:v>н/д</x:v>
      </x:c>
      <x:c r="V192" s="20" t="str">
        <x:f>IF(J192="Рассчитано",T192*U192,"н/д")</x:f>
        <x:v>н/д</x:v>
      </x:c>
      <x:c r="W192" s="20" t="str">
        <x:f>IF(J192="Рассчитано",T192*M192,"н/д")</x:f>
        <x:v>н/д</x:v>
      </x:c>
      <x:c r="X192" s="20" t="str">
        <x:f>IF(J192="Рассчитано",V192-W192,"н/д")</x:f>
        <x:v>н/д</x:v>
      </x:c>
      <x:c r="Y192" s="26" t="str">
        <x:f>IF(J192="Рассчитано",IF(V192&gt;0,G192/V192,"н/д"),"н/д")</x:f>
        <x:v>н/д</x:v>
      </x:c>
      <x:c r="Z192" s="20" t="str">
        <x:f>"н/д"</x:f>
        <x:v>н/д</x:v>
      </x:c>
      <x:c r="AA192" s="20" t="str">
        <x:f>"н/д"</x:f>
        <x:v>н/д</x:v>
      </x:c>
      <x:c r="AB192" s="20" t="str">
        <x:f>"н/д"</x:f>
        <x:v>н/д</x:v>
      </x:c>
      <x:c r="AC192" s="20" t="str">
        <x:f>IF(AND(J192="Рассчитано",T192&gt;0,R192&lt;100),(W192+P192+Q192)/(T192*(1-R192/100)),"н/д")</x:f>
        <x:v>н/д</x:v>
      </x:c>
      <x:c r="AD192" s="11" t="str">
        <x:f>IF(ISNUMBER(G192),IF(G192&lt;0,"Убыток",IF(G192=0,"Без прибыли","Прибыль &gt; 0")),"Не оценён")</x:f>
        <x:v>Не оценён</x:v>
      </x:c>
      <x:c r="AE192" s="12" t="str">
        <x:f>IF(J192="Рассчитано","Выручка "&amp;TEXT(V192,"0.00")&amp;" - себестоимость "&amp;TEXT(W192,"0.00")&amp;" - комиссия "&amp;TEXT(V192*R192/100,"0.00")&amp;" - доставка "&amp;TEXT(P192,"0.00")&amp;" - прочие "&amp;TEXT(Q192,"0.00")&amp;" = "&amp;TEXT(G192,"0.00")&amp;" "&amp;L192,"Введите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2" s="23" t="n">
        <x:v>39.315018342704015</x:v>
      </x:c>
      <x:c r="AG192" s="35" t="n">
        <x:v>80</x:v>
      </x:c>
      <x:c r="AH192" s="35" t="n">
        <x:v>0</x:v>
      </x:c>
      <x:c r="AI192" s="29" t="n">
        <x:v>46266</x:v>
      </x:c>
      <x:c r="AJ192" s="35" t="n">
        <x:v>1</x:v>
      </x:c>
      <x:c r="AK192" s="11" t="str">
        <x:v>минимум</x:v>
      </x:c>
      <x:c r="AL192" s="31" t="n">
        <x:v>173.0416105699933</x:v>
      </x:c>
      <x:c r="AM192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92" s="12" t="str">
        <x:v>Проверить свободный остаток и установить цену для B2B</x:v>
      </x:c>
      <x:c r="AO192" s="12" t="str">
        <x:v>Остаток 80; прогноз 90 дней 39.32; избыток 40 шт. Будущие поступления не выставляются на продажу. Остаток на начало сентября: требуется актуализация.</x:v>
      </x:c>
      <x:c r="AP192" s="12" t="str">
        <x:v>["category_missing", "daily_stockout_data_missing", "large_orders_detected", "negative_net_sales_clipped_for_forecast", "new_order_lead_time_unknown", "reservations_unknown", "stale_stock", "transaction_month_mismatch"]</x:v>
      </x:c>
      <x:c r="AQ192" s="11" t="str">
        <x:v>IEK:030200483_</x:v>
      </x:c>
      <x:c r="AR192" s="23" t="n">
        <x:v>1</x:v>
      </x:c>
      <x:c r="AS192" s="23" t="n">
        <x:v>0</x:v>
      </x:c>
      <x:c r="AT192" s="23" t="n">
        <x:v>0</x:v>
      </x:c>
    </x:row>
    <x:row r="193" ht="64" customHeight="1">
      <x:c r="A193" s="10" t="str">
        <x:v>IEK</x:v>
      </x:c>
      <x:c r="B193" s="34" t="str">
        <x:v>030200484_</x:v>
      </x:c>
      <x:c r="C193" s="34" t="str">
        <x:v>BR-V22-0-10-K53</x:v>
      </x:c>
      <x:c r="D193" s="13" t="str">
        <x:v>Выкл 2-кл. прох. 10А б/рамки "BRITE" графит (1/100)</x:v>
      </x:c>
      <x:c r="E193" s="10" t="str">
        <x:v>шт</x:v>
      </x:c>
      <x:c r="F193" s="37" t="n">
        <x:f>MAX(0,ROUNDDOWN((AG193-AF193)/AR193+0.000000001,0)*AR193)</x:f>
        <x:v>59</x:v>
      </x:c>
      <x:c r="G193" s="21" t="str">
        <x:f>IF(J193="Рассчитано",V193*(1-R193/100)-W193-P193-Q193,"н/д")</x:f>
        <x:v>н/д</x:v>
      </x:c>
      <x:c r="H193" s="13" t="str">
        <x:v>Высокий</x:v>
      </x:c>
      <x:c r="I193" s="13" t="str">
        <x:v>Высокий</x:v>
      </x:c>
      <x:c r="J193" s="13" t="str">
        <x:f>IF(L193="","Укажите валюту",IF(NOT(ISNUMBER(K193)),"Укажите объём",IF(K193&lt;=0,"Укажите объём",IF(K193&gt;F193,"Объём выше излишка",IF(COUNT(M193:O193)&lt;3,"Нужны цены",IF(COUNT(P193:R193)&lt;3,"Нужны расходы",IF(OR(M193&lt;0,N193&lt;0,O193&lt;0,O193&gt;100,P193&lt;0,Q193&lt;0,R193&lt;0,R193&gt;100),"Проверьте значения","Рассчитано")))))))</x:f>
        <x:v>Нужны цены</x:v>
      </x:c>
      <x:c r="K193" s="36" t="n">
        <x:v>59</x:v>
      </x:c>
      <x:c r="L193" s="19" t="str">
        <x:v>KZT</x:v>
      </x:c>
      <x:c r="M193" s="22"/>
      <x:c r="N193" s="22"/>
      <x:c r="O193" s="28"/>
      <x:c r="P193" s="22"/>
      <x:c r="Q193" s="22"/>
      <x:c r="R193" s="28"/>
      <x:c r="S193" s="22"/>
      <x:c r="T193" s="37" t="n">
        <x:f>K193</x:f>
        <x:v>59</x:v>
      </x:c>
      <x:c r="U193" s="21" t="str">
        <x:f>IF(J193="Рассчитано",N193*(1-O193/100),"н/д")</x:f>
        <x:v>н/д</x:v>
      </x:c>
      <x:c r="V193" s="21" t="str">
        <x:f>IF(J193="Рассчитано",T193*U193,"н/д")</x:f>
        <x:v>н/д</x:v>
      </x:c>
      <x:c r="W193" s="21" t="str">
        <x:f>IF(J193="Рассчитано",T193*M193,"н/д")</x:f>
        <x:v>н/д</x:v>
      </x:c>
      <x:c r="X193" s="21" t="str">
        <x:f>IF(J193="Рассчитано",V193-W193,"н/д")</x:f>
        <x:v>н/д</x:v>
      </x:c>
      <x:c r="Y193" s="27" t="str">
        <x:f>IF(J193="Рассчитано",IF(V193&gt;0,G193/V193,"н/д"),"н/д")</x:f>
        <x:v>н/д</x:v>
      </x:c>
      <x:c r="Z193" s="21" t="str">
        <x:f>"н/д"</x:f>
        <x:v>н/д</x:v>
      </x:c>
      <x:c r="AA193" s="21" t="str">
        <x:f>"н/д"</x:f>
        <x:v>н/д</x:v>
      </x:c>
      <x:c r="AB193" s="21" t="str">
        <x:f>"н/д"</x:f>
        <x:v>н/д</x:v>
      </x:c>
      <x:c r="AC193" s="21" t="str">
        <x:f>IF(AND(J193="Рассчитано",T193&gt;0,R193&lt;100),(W193+P193+Q193)/(T193*(1-R193/100)),"н/д")</x:f>
        <x:v>н/д</x:v>
      </x:c>
      <x:c r="AD193" s="10" t="str">
        <x:f>IF(ISNUMBER(G193),IF(G193&lt;0,"Убыток",IF(G193=0,"Без прибыли","Прибыль &gt; 0")),"Не оценён")</x:f>
        <x:v>Не оценён</x:v>
      </x:c>
      <x:c r="AE193" s="13" t="str">
        <x:f>IF(J193="Рассчитано","Выручка "&amp;TEXT(V193,"0.00")&amp;" - себестоимость "&amp;TEXT(W193,"0.00")&amp;" - комиссия "&amp;TEXT(V193*R193/100,"0.00")&amp;" - доставка "&amp;TEXT(P193,"0.00")&amp;" - прочие "&amp;TEXT(Q193,"0.00")&amp;" = "&amp;TEXT(G193,"0.00")&amp;" "&amp;L193,"Введите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3" s="24" t="n">
        <x:v>23.75552609192414</x:v>
      </x:c>
      <x:c r="AG193" s="37" t="n">
        <x:v>83</x:v>
      </x:c>
      <x:c r="AH193" s="37" t="n">
        <x:v>0</x:v>
      </x:c>
      <x:c r="AI193" s="30" t="n">
        <x:v>46266</x:v>
      </x:c>
      <x:c r="AJ193" s="37" t="n">
        <x:v>1</x:v>
      </x:c>
      <x:c r="AK193" s="10" t="str">
        <x:v>минимум</x:v>
      </x:c>
      <x:c r="AL193" s="32" t="n">
        <x:v>297.1204087338742</x:v>
      </x:c>
      <x:c r="AM19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93" s="13" t="str">
        <x:v>Проверить свободный остаток и установить цену для B2B</x:v>
      </x:c>
      <x:c r="AO193" s="13" t="str">
        <x:v>Остаток 83; прогноз 90 дней 23.76; избыток 59 шт. Будущие поступления не выставляются на продажу. Остаток на начало сентября: требуется актуализация.</x:v>
      </x:c>
      <x:c r="AP193" s="13" t="str">
        <x:v>["category_missing", "daily_stockout_data_missing", "negative_net_sales_clipped_for_forecast", "new_order_lead_time_unknown", "reservations_unknown", "stale_stock"]</x:v>
      </x:c>
      <x:c r="AQ193" s="10" t="str">
        <x:v>IEK:030200484_</x:v>
      </x:c>
      <x:c r="AR193" s="24" t="n">
        <x:v>1</x:v>
      </x:c>
      <x:c r="AS193" s="24" t="n">
        <x:v>0</x:v>
      </x:c>
      <x:c r="AT193" s="24" t="n">
        <x:v>0</x:v>
      </x:c>
    </x:row>
    <x:row r="194" ht="64" customHeight="1">
      <x:c r="A194" s="11" t="str">
        <x:v>IEK</x:v>
      </x:c>
      <x:c r="B194" s="33" t="str">
        <x:v>030200485_</x:v>
      </x:c>
      <x:c r="C194" s="33" t="str">
        <x:v>BR-R11-16-K02</x:v>
      </x:c>
      <x:c r="D194" s="12" t="str">
        <x:v>Роз. с з/к без з/ш 16А б/рамки "BRITE" черный (1/100)</x:v>
      </x:c>
      <x:c r="E194" s="11" t="str">
        <x:v>шт</x:v>
      </x:c>
      <x:c r="F194" s="35" t="n">
        <x:f>MAX(0,ROUNDDOWN((AG194-AF194)/AR194+0.000000001,0)*AR194)</x:f>
        <x:v>146</x:v>
      </x:c>
      <x:c r="G194" s="20" t="str">
        <x:f>IF(J194="Рассчитано",V194*(1-R194/100)-W194-P194-Q194,"н/д")</x:f>
        <x:v>н/д</x:v>
      </x:c>
      <x:c r="H194" s="12" t="str">
        <x:v>Высокий</x:v>
      </x:c>
      <x:c r="I194" s="12" t="str">
        <x:v>Средний</x:v>
      </x:c>
      <x:c r="J194" s="12" t="str">
        <x:f>IF(L194="","Укажите валюту",IF(NOT(ISNUMBER(K194)),"Укажите объём",IF(K194&lt;=0,"Укажите объём",IF(K194&gt;F194,"Объём выше излишка",IF(COUNT(M194:O194)&lt;3,"Нужны цены",IF(COUNT(P194:R194)&lt;3,"Нужны расходы",IF(OR(M194&lt;0,N194&lt;0,O194&lt;0,O194&gt;100,P194&lt;0,Q194&lt;0,R194&lt;0,R194&gt;100),"Проверьте значения","Рассчитано")))))))</x:f>
        <x:v>Нужны цены</x:v>
      </x:c>
      <x:c r="K194" s="36" t="n">
        <x:v>146</x:v>
      </x:c>
      <x:c r="L194" s="19" t="str">
        <x:v>KZT</x:v>
      </x:c>
      <x:c r="M194" s="22"/>
      <x:c r="N194" s="22"/>
      <x:c r="O194" s="28"/>
      <x:c r="P194" s="22"/>
      <x:c r="Q194" s="22"/>
      <x:c r="R194" s="28"/>
      <x:c r="S194" s="22"/>
      <x:c r="T194" s="35" t="n">
        <x:f>K194</x:f>
        <x:v>146</x:v>
      </x:c>
      <x:c r="U194" s="20" t="str">
        <x:f>IF(J194="Рассчитано",N194*(1-O194/100),"н/д")</x:f>
        <x:v>н/д</x:v>
      </x:c>
      <x:c r="V194" s="20" t="str">
        <x:f>IF(J194="Рассчитано",T194*U194,"н/д")</x:f>
        <x:v>н/д</x:v>
      </x:c>
      <x:c r="W194" s="20" t="str">
        <x:f>IF(J194="Рассчитано",T194*M194,"н/д")</x:f>
        <x:v>н/д</x:v>
      </x:c>
      <x:c r="X194" s="20" t="str">
        <x:f>IF(J194="Рассчитано",V194-W194,"н/д")</x:f>
        <x:v>н/д</x:v>
      </x:c>
      <x:c r="Y194" s="26" t="str">
        <x:f>IF(J194="Рассчитано",IF(V194&gt;0,G194/V194,"н/д"),"н/д")</x:f>
        <x:v>н/д</x:v>
      </x:c>
      <x:c r="Z194" s="20" t="str">
        <x:f>"н/д"</x:f>
        <x:v>н/д</x:v>
      </x:c>
      <x:c r="AA194" s="20" t="str">
        <x:f>"н/д"</x:f>
        <x:v>н/д</x:v>
      </x:c>
      <x:c r="AB194" s="20" t="str">
        <x:f>"н/д"</x:f>
        <x:v>н/д</x:v>
      </x:c>
      <x:c r="AC194" s="20" t="str">
        <x:f>IF(AND(J194="Рассчитано",T194&gt;0,R194&lt;100),(W194+P194+Q194)/(T194*(1-R194/100)),"н/д")</x:f>
        <x:v>н/д</x:v>
      </x:c>
      <x:c r="AD194" s="11" t="str">
        <x:f>IF(ISNUMBER(G194),IF(G194&lt;0,"Убыток",IF(G194=0,"Без прибыли","Прибыль &gt; 0")),"Не оценён")</x:f>
        <x:v>Не оценён</x:v>
      </x:c>
      <x:c r="AE194" s="12" t="str">
        <x:f>IF(J194="Рассчитано","Выручка "&amp;TEXT(V194,"0.00")&amp;" - себестоимость "&amp;TEXT(W194,"0.00")&amp;" - комиссия "&amp;TEXT(V194*R194/100,"0.00")&amp;" - доставка "&amp;TEXT(P194,"0.00")&amp;" - прочие "&amp;TEXT(Q194,"0.00")&amp;" = "&amp;TEXT(G194,"0.00")&amp;" "&amp;L194,"Введите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4" s="23" t="n">
        <x:v>6607.482159344812</x:v>
      </x:c>
      <x:c r="AG194" s="35" t="n">
        <x:v>6754</x:v>
      </x:c>
      <x:c r="AH194" s="35" t="n">
        <x:v>0</x:v>
      </x:c>
      <x:c r="AI194" s="29" t="n">
        <x:v>46266</x:v>
      </x:c>
      <x:c r="AJ194" s="35" t="n">
        <x:v>1</x:v>
      </x:c>
      <x:c r="AK194" s="11" t="str">
        <x:v>минимум</x:v>
      </x:c>
      <x:c r="AL194" s="31" t="n">
        <x:v>86.92488031023372</x:v>
      </x:c>
      <x:c r="AM19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94" s="12" t="str">
        <x:v>Проверить свободный остаток и установить цену для B2B</x:v>
      </x:c>
      <x:c r="AO194" s="12" t="str">
        <x:v>Остаток 6754; прогноз 90 дней 6607.48; избыток 146 шт. Будущие поступления не выставляются на продажу. Остаток на начало сентября: требуется актуализация.</x:v>
      </x:c>
      <x:c r="AP194" s="12" t="str">
        <x:v>["category_missing", "daily_stockout_data_missing", "large_orders_detected", "new_order_lead_time_unknown", "reservations_unknown", "stale_stock", "transaction_month_mismatch"]</x:v>
      </x:c>
      <x:c r="AQ194" s="11" t="str">
        <x:v>IEK:030200485_</x:v>
      </x:c>
      <x:c r="AR194" s="23" t="n">
        <x:v>1</x:v>
      </x:c>
      <x:c r="AS194" s="23" t="n">
        <x:v>0</x:v>
      </x:c>
      <x:c r="AT194" s="23" t="n">
        <x:v>0</x:v>
      </x:c>
    </x:row>
    <x:row r="195" ht="64" customHeight="1">
      <x:c r="A195" s="10" t="str">
        <x:v>IEK</x:v>
      </x:c>
      <x:c r="B195" s="34" t="str">
        <x:v>030200489_</x:v>
      </x:c>
      <x:c r="C195" s="34" t="str">
        <x:v>BR-V20-1-10-K02</x:v>
      </x:c>
      <x:c r="D195" s="13" t="str">
        <x:v>Выкл 2-кл. с инд. 10А б/рамки "BRITE" черный (1/100)</x:v>
      </x:c>
      <x:c r="E195" s="10" t="str">
        <x:v>шт</x:v>
      </x:c>
      <x:c r="F195" s="37" t="n">
        <x:f>MAX(0,ROUNDDOWN((AG195-AF195)/AR195+0.000000001,0)*AR195)</x:f>
        <x:v>48</x:v>
      </x:c>
      <x:c r="G195" s="21" t="str">
        <x:f>IF(J195="Рассчитано",V195*(1-R195/100)-W195-P195-Q195,"н/д")</x:f>
        <x:v>н/д</x:v>
      </x:c>
      <x:c r="H195" s="13" t="str">
        <x:v>Высокий</x:v>
      </x:c>
      <x:c r="I195" s="13" t="str">
        <x:v>Высокий</x:v>
      </x:c>
      <x:c r="J195" s="13" t="str">
        <x:f>IF(L195="","Укажите валюту",IF(NOT(ISNUMBER(K195)),"Укажите объём",IF(K195&lt;=0,"Укажите объём",IF(K195&gt;F195,"Объём выше излишка",IF(COUNT(M195:O195)&lt;3,"Нужны цены",IF(COUNT(P195:R195)&lt;3,"Нужны расходы",IF(OR(M195&lt;0,N195&lt;0,O195&lt;0,O195&gt;100,P195&lt;0,Q195&lt;0,R195&lt;0,R195&gt;100),"Проверьте значения","Рассчитано")))))))</x:f>
        <x:v>Нужны цены</x:v>
      </x:c>
      <x:c r="K195" s="36" t="n">
        <x:v>48</x:v>
      </x:c>
      <x:c r="L195" s="19" t="str">
        <x:v>KZT</x:v>
      </x:c>
      <x:c r="M195" s="22"/>
      <x:c r="N195" s="22"/>
      <x:c r="O195" s="28"/>
      <x:c r="P195" s="22"/>
      <x:c r="Q195" s="22"/>
      <x:c r="R195" s="28"/>
      <x:c r="S195" s="22"/>
      <x:c r="T195" s="37" t="n">
        <x:f>K195</x:f>
        <x:v>48</x:v>
      </x:c>
      <x:c r="U195" s="21" t="str">
        <x:f>IF(J195="Рассчитано",N195*(1-O195/100),"н/д")</x:f>
        <x:v>н/д</x:v>
      </x:c>
      <x:c r="V195" s="21" t="str">
        <x:f>IF(J195="Рассчитано",T195*U195,"н/д")</x:f>
        <x:v>н/д</x:v>
      </x:c>
      <x:c r="W195" s="21" t="str">
        <x:f>IF(J195="Рассчитано",T195*M195,"н/д")</x:f>
        <x:v>н/д</x:v>
      </x:c>
      <x:c r="X195" s="21" t="str">
        <x:f>IF(J195="Рассчитано",V195-W195,"н/д")</x:f>
        <x:v>н/д</x:v>
      </x:c>
      <x:c r="Y195" s="27" t="str">
        <x:f>IF(J195="Рассчитано",IF(V195&gt;0,G195/V195,"н/д"),"н/д")</x:f>
        <x:v>н/д</x:v>
      </x:c>
      <x:c r="Z195" s="21" t="str">
        <x:f>"н/д"</x:f>
        <x:v>н/д</x:v>
      </x:c>
      <x:c r="AA195" s="21" t="str">
        <x:f>"н/д"</x:f>
        <x:v>н/д</x:v>
      </x:c>
      <x:c r="AB195" s="21" t="str">
        <x:f>"н/д"</x:f>
        <x:v>н/д</x:v>
      </x:c>
      <x:c r="AC195" s="21" t="str">
        <x:f>IF(AND(J195="Рассчитано",T195&gt;0,R195&lt;100),(W195+P195+Q195)/(T195*(1-R195/100)),"н/д")</x:f>
        <x:v>н/д</x:v>
      </x:c>
      <x:c r="AD195" s="10" t="str">
        <x:f>IF(ISNUMBER(G195),IF(G195&lt;0,"Убыток",IF(G195=0,"Без прибыли","Прибыль &gt; 0")),"Не оценён")</x:f>
        <x:v>Не оценён</x:v>
      </x:c>
      <x:c r="AE195" s="13" t="str">
        <x:f>IF(J195="Рассчитано","Выручка "&amp;TEXT(V195,"0.00")&amp;" - себестоимость "&amp;TEXT(W195,"0.00")&amp;" - комиссия "&amp;TEXT(V195*R195/100,"0.00")&amp;" - доставка "&amp;TEXT(P195,"0.00")&amp;" - прочие "&amp;TEXT(Q195,"0.00")&amp;" = "&amp;TEXT(G195,"0.00")&amp;" "&amp;L195,"Введите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5" s="24" t="n">
        <x:v>37.648273240251996</x:v>
      </x:c>
      <x:c r="AG195" s="37" t="n">
        <x:v>86</x:v>
      </x:c>
      <x:c r="AH195" s="37" t="n">
        <x:v>0</x:v>
      </x:c>
      <x:c r="AI195" s="30" t="n">
        <x:v>46266</x:v>
      </x:c>
      <x:c r="AJ195" s="37" t="n">
        <x:v>1</x:v>
      </x:c>
      <x:c r="AK195" s="10" t="str">
        <x:v>минимум</x:v>
      </x:c>
      <x:c r="AL195" s="32" t="n">
        <x:v>194.25510179340586</x:v>
      </x:c>
      <x:c r="AM19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95" s="13" t="str">
        <x:v>Проверить свободный остаток и установить цену для B2B</x:v>
      </x:c>
      <x:c r="AO195" s="13" t="str">
        <x:v>Остаток 86; прогноз 90 дней 37.65; избыток 48 шт. Будущие поступления не выставляются на продажу. Остаток на начало сентября: требуется актуализация.</x:v>
      </x:c>
      <x:c r="AP195" s="13" t="str">
        <x:v>["category_missing", "daily_stockout_data_missing", "new_order_lead_time_unknown", "reservations_unknown", "stale_stock"]</x:v>
      </x:c>
      <x:c r="AQ195" s="10" t="str">
        <x:v>IEK:030200489_</x:v>
      </x:c>
      <x:c r="AR195" s="24" t="n">
        <x:v>1</x:v>
      </x:c>
      <x:c r="AS195" s="24" t="n">
        <x:v>0</x:v>
      </x:c>
      <x:c r="AT195" s="24" t="n">
        <x:v>0</x:v>
      </x:c>
    </x:row>
    <x:row r="196" ht="64" customHeight="1">
      <x:c r="A196" s="11" t="str">
        <x:v>IEK</x:v>
      </x:c>
      <x:c r="B196" s="33" t="str">
        <x:v>030200490_</x:v>
      </x:c>
      <x:c r="C196" s="33" t="str">
        <x:v>BR-K10-1-K02</x:v>
      </x:c>
      <x:c r="D196" s="12" t="str">
        <x:v>Роз. комп. RJ45 кат.5E б/рамки "BRITE" черный (1/100)</x:v>
      </x:c>
      <x:c r="E196" s="11" t="str">
        <x:v>шт</x:v>
      </x:c>
      <x:c r="F196" s="35" t="n">
        <x:f>MAX(0,ROUNDDOWN((AG196-AF196)/AR196+0.000000001,0)*AR196)</x:f>
        <x:v>21</x:v>
      </x:c>
      <x:c r="G196" s="20" t="str">
        <x:f>IF(J196="Рассчитано",V196*(1-R196/100)-W196-P196-Q196,"н/д")</x:f>
        <x:v>н/д</x:v>
      </x:c>
      <x:c r="H196" s="12" t="str">
        <x:v>Высокий</x:v>
      </x:c>
      <x:c r="I196" s="12" t="str">
        <x:v>Средний</x:v>
      </x:c>
      <x:c r="J196" s="12" t="str">
        <x:f>IF(L196="","Укажите валюту",IF(NOT(ISNUMBER(K196)),"Укажите объём",IF(K196&lt;=0,"Укажите объём",IF(K196&gt;F196,"Объём выше излишка",IF(COUNT(M196:O196)&lt;3,"Нужны цены",IF(COUNT(P196:R196)&lt;3,"Нужны расходы",IF(OR(M196&lt;0,N196&lt;0,O196&lt;0,O196&gt;100,P196&lt;0,Q196&lt;0,R196&lt;0,R196&gt;100),"Проверьте значения","Рассчитано")))))))</x:f>
        <x:v>Нужны цены</x:v>
      </x:c>
      <x:c r="K196" s="36" t="n">
        <x:v>21</x:v>
      </x:c>
      <x:c r="L196" s="19" t="str">
        <x:v>KZT</x:v>
      </x:c>
      <x:c r="M196" s="22"/>
      <x:c r="N196" s="22"/>
      <x:c r="O196" s="28"/>
      <x:c r="P196" s="22"/>
      <x:c r="Q196" s="22"/>
      <x:c r="R196" s="28"/>
      <x:c r="S196" s="22"/>
      <x:c r="T196" s="35" t="n">
        <x:f>K196</x:f>
        <x:v>21</x:v>
      </x:c>
      <x:c r="U196" s="20" t="str">
        <x:f>IF(J196="Рассчитано",N196*(1-O196/100),"н/д")</x:f>
        <x:v>н/д</x:v>
      </x:c>
      <x:c r="V196" s="20" t="str">
        <x:f>IF(J196="Рассчитано",T196*U196,"н/д")</x:f>
        <x:v>н/д</x:v>
      </x:c>
      <x:c r="W196" s="20" t="str">
        <x:f>IF(J196="Рассчитано",T196*M196,"н/д")</x:f>
        <x:v>н/д</x:v>
      </x:c>
      <x:c r="X196" s="20" t="str">
        <x:f>IF(J196="Рассчитано",V196-W196,"н/д")</x:f>
        <x:v>н/д</x:v>
      </x:c>
      <x:c r="Y196" s="26" t="str">
        <x:f>IF(J196="Рассчитано",IF(V196&gt;0,G196/V196,"н/д"),"н/д")</x:f>
        <x:v>н/д</x:v>
      </x:c>
      <x:c r="Z196" s="20" t="str">
        <x:f>"н/д"</x:f>
        <x:v>н/д</x:v>
      </x:c>
      <x:c r="AA196" s="20" t="str">
        <x:f>"н/д"</x:f>
        <x:v>н/д</x:v>
      </x:c>
      <x:c r="AB196" s="20" t="str">
        <x:f>"н/д"</x:f>
        <x:v>н/д</x:v>
      </x:c>
      <x:c r="AC196" s="20" t="str">
        <x:f>IF(AND(J196="Рассчитано",T196&gt;0,R196&lt;100),(W196+P196+Q196)/(T196*(1-R196/100)),"н/д")</x:f>
        <x:v>н/д</x:v>
      </x:c>
      <x:c r="AD196" s="11" t="str">
        <x:f>IF(ISNUMBER(G196),IF(G196&lt;0,"Убыток",IF(G196=0,"Без прибыли","Прибыль &gt; 0")),"Не оценён")</x:f>
        <x:v>Не оценён</x:v>
      </x:c>
      <x:c r="AE196" s="12" t="str">
        <x:f>IF(J196="Рассчитано","Выручка "&amp;TEXT(V196,"0.00")&amp;" - себестоимость "&amp;TEXT(W196,"0.00")&amp;" - комиссия "&amp;TEXT(V196*R196/100,"0.00")&amp;" - доставка "&amp;TEXT(P196,"0.00")&amp;" - прочие "&amp;TEXT(Q196,"0.00")&amp;" = "&amp;TEXT(G196,"0.00")&amp;" "&amp;L196,"Введите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6" s="23" t="n">
        <x:v>283.2436291102535</x:v>
      </x:c>
      <x:c r="AG196" s="35" t="n">
        <x:v>305</x:v>
      </x:c>
      <x:c r="AH196" s="35" t="n">
        <x:v>0</x:v>
      </x:c>
      <x:c r="AI196" s="29" t="n">
        <x:v>46266</x:v>
      </x:c>
      <x:c r="AJ196" s="35" t="n">
        <x:v>1</x:v>
      </x:c>
      <x:c r="AK196" s="11" t="str">
        <x:v>минимум</x:v>
      </x:c>
      <x:c r="AL196" s="31" t="n">
        <x:v>91.57116371289449</x:v>
      </x:c>
      <x:c r="AM19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96" s="12" t="str">
        <x:v>Проверить свободный остаток и установить цену для B2B</x:v>
      </x:c>
      <x:c r="AO196" s="12" t="str">
        <x:v>Остаток 305; прогноз 90 дней 283.24; избыток 21 шт. Будущие поступления не выставляются на продажу. Остаток на начало сентября: требуется актуализация.</x:v>
      </x:c>
      <x:c r="AP196" s="12" t="str">
        <x:v>["category_missing", "daily_stockout_data_missing", "large_orders_detected", "new_order_lead_time_unknown", "reservations_unknown", "stale_stock", "transaction_month_mismatch"]</x:v>
      </x:c>
      <x:c r="AQ196" s="11" t="str">
        <x:v>IEK:030200490_</x:v>
      </x:c>
      <x:c r="AR196" s="23" t="n">
        <x:v>1</x:v>
      </x:c>
      <x:c r="AS196" s="23" t="n">
        <x:v>0</x:v>
      </x:c>
      <x:c r="AT196" s="23" t="n">
        <x:v>0</x:v>
      </x:c>
    </x:row>
    <x:row r="197" ht="64" customHeight="1">
      <x:c r="A197" s="10" t="str">
        <x:v>IEK</x:v>
      </x:c>
      <x:c r="B197" s="34" t="str">
        <x:v>030200493_</x:v>
      </x:c>
      <x:c r="C197" s="34" t="str">
        <x:v>BR-R24-16-K02-F</x:v>
      </x:c>
      <x:c r="D197" s="13" t="str">
        <x:v>Роз. 2-я с з/к/ш 16А в сборе "BRITE" черный (1/100)</x:v>
      </x:c>
      <x:c r="E197" s="10" t="str">
        <x:v>шт</x:v>
      </x:c>
      <x:c r="F197" s="37" t="n">
        <x:f>MAX(0,ROUNDDOWN((AG197-AF197)/AR197+0.000000001,0)*AR197)</x:f>
        <x:v>62</x:v>
      </x:c>
      <x:c r="G197" s="21" t="str">
        <x:f>IF(J197="Рассчитано",V197*(1-R197/100)-W197-P197-Q197,"н/д")</x:f>
        <x:v>н/д</x:v>
      </x:c>
      <x:c r="H197" s="13" t="str">
        <x:v>Высокий</x:v>
      </x:c>
      <x:c r="I197" s="13" t="str">
        <x:v>Средний</x:v>
      </x:c>
      <x:c r="J197" s="13" t="str">
        <x:f>IF(L197="","Укажите валюту",IF(NOT(ISNUMBER(K197)),"Укажите объём",IF(K197&lt;=0,"Укажите объём",IF(K197&gt;F197,"Объём выше излишка",IF(COUNT(M197:O197)&lt;3,"Нужны цены",IF(COUNT(P197:R197)&lt;3,"Нужны расходы",IF(OR(M197&lt;0,N197&lt;0,O197&lt;0,O197&gt;100,P197&lt;0,Q197&lt;0,R197&lt;0,R197&gt;100),"Проверьте значения","Рассчитано")))))))</x:f>
        <x:v>Нужны цены</x:v>
      </x:c>
      <x:c r="K197" s="36" t="n">
        <x:v>62</x:v>
      </x:c>
      <x:c r="L197" s="19" t="str">
        <x:v>KZT</x:v>
      </x:c>
      <x:c r="M197" s="22"/>
      <x:c r="N197" s="22"/>
      <x:c r="O197" s="28"/>
      <x:c r="P197" s="22"/>
      <x:c r="Q197" s="22"/>
      <x:c r="R197" s="28"/>
      <x:c r="S197" s="22"/>
      <x:c r="T197" s="37" t="n">
        <x:f>K197</x:f>
        <x:v>62</x:v>
      </x:c>
      <x:c r="U197" s="21" t="str">
        <x:f>IF(J197="Рассчитано",N197*(1-O197/100),"н/д")</x:f>
        <x:v>н/д</x:v>
      </x:c>
      <x:c r="V197" s="21" t="str">
        <x:f>IF(J197="Рассчитано",T197*U197,"н/д")</x:f>
        <x:v>н/д</x:v>
      </x:c>
      <x:c r="W197" s="21" t="str">
        <x:f>IF(J197="Рассчитано",T197*M197,"н/д")</x:f>
        <x:v>н/д</x:v>
      </x:c>
      <x:c r="X197" s="21" t="str">
        <x:f>IF(J197="Рассчитано",V197-W197,"н/д")</x:f>
        <x:v>н/д</x:v>
      </x:c>
      <x:c r="Y197" s="27" t="str">
        <x:f>IF(J197="Рассчитано",IF(V197&gt;0,G197/V197,"н/д"),"н/д")</x:f>
        <x:v>н/д</x:v>
      </x:c>
      <x:c r="Z197" s="21" t="str">
        <x:f>"н/д"</x:f>
        <x:v>н/д</x:v>
      </x:c>
      <x:c r="AA197" s="21" t="str">
        <x:f>"н/д"</x:f>
        <x:v>н/д</x:v>
      </x:c>
      <x:c r="AB197" s="21" t="str">
        <x:f>"н/д"</x:f>
        <x:v>н/д</x:v>
      </x:c>
      <x:c r="AC197" s="21" t="str">
        <x:f>IF(AND(J197="Рассчитано",T197&gt;0,R197&lt;100),(W197+P197+Q197)/(T197*(1-R197/100)),"н/д")</x:f>
        <x:v>н/д</x:v>
      </x:c>
      <x:c r="AD197" s="10" t="str">
        <x:f>IF(ISNUMBER(G197),IF(G197&lt;0,"Убыток",IF(G197=0,"Без прибыли","Прибыль &gt; 0")),"Не оценён")</x:f>
        <x:v>Не оценён</x:v>
      </x:c>
      <x:c r="AE197" s="13" t="str">
        <x:f>IF(J197="Рассчитано","Выручка "&amp;TEXT(V197,"0.00")&amp;" - себестоимость "&amp;TEXT(W197,"0.00")&amp;" - комиссия "&amp;TEXT(V197*R197/100,"0.00")&amp;" - доставка "&amp;TEXT(P197,"0.00")&amp;" - прочие "&amp;TEXT(Q197,"0.00")&amp;" = "&amp;TEXT(G197,"0.00")&amp;" "&amp;L197,"Введите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7" s="24" t="n">
        <x:v>352.0403789910924</x:v>
      </x:c>
      <x:c r="AG197" s="37" t="n">
        <x:v>415</x:v>
      </x:c>
      <x:c r="AH197" s="37" t="n">
        <x:v>0</x:v>
      </x:c>
      <x:c r="AI197" s="30" t="n">
        <x:v>46266</x:v>
      </x:c>
      <x:c r="AJ197" s="37" t="n">
        <x:v>1</x:v>
      </x:c>
      <x:c r="AK197" s="10" t="str">
        <x:v>минимум</x:v>
      </x:c>
      <x:c r="AL197" s="32" t="n">
        <x:v>100.24775627086976</x:v>
      </x:c>
      <x:c r="AM197" s="13" t="str">
        <x:v>Остаток на начало сентября; Резервы неизвестны; Нет ежедневных данных доступности. Запас выше прогноза на 90 дней</x:v>
      </x:c>
      <x:c r="AN197" s="13" t="str">
        <x:v>Проверить свободный остаток и установить цену для B2B</x:v>
      </x:c>
      <x:c r="AO197" s="13" t="str">
        <x:v>Остаток 415; прогноз 90 дней 352.04; избыток 62 шт. Будущие поступления не выставляются на продажу. Остаток на начало сентября: требуется актуализация.</x:v>
      </x:c>
      <x:c r="AP197" s="13" t="str">
        <x:v>["category_missing", "daily_stockout_data_missing", "new_order_lead_time_unknown", "reservations_unknown", "stale_stock"]</x:v>
      </x:c>
      <x:c r="AQ197" s="10" t="str">
        <x:v>IEK:030200493_</x:v>
      </x:c>
      <x:c r="AR197" s="24" t="n">
        <x:v>1</x:v>
      </x:c>
      <x:c r="AS197" s="24" t="n">
        <x:v>0</x:v>
      </x:c>
      <x:c r="AT197" s="24" t="n">
        <x:v>0</x:v>
      </x:c>
    </x:row>
    <x:row r="198" ht="64" customHeight="1">
      <x:c r="A198" s="11" t="str">
        <x:v>IEK</x:v>
      </x:c>
      <x:c r="B198" s="33" t="str">
        <x:v>030200494_</x:v>
      </x:c>
      <x:c r="C198" s="33" t="str">
        <x:v>BR-M12-K02</x:v>
      </x:c>
      <x:c r="D198" s="12" t="str">
        <x:v>Рамка 1-мест. "BRITE" черный (1/100)</x:v>
      </x:c>
      <x:c r="E198" s="11" t="str">
        <x:v>шт</x:v>
      </x:c>
      <x:c r="F198" s="35" t="n">
        <x:f>MAX(0,ROUNDDOWN((AG198-AF198)/AR198+0.000000001,0)*AR198)</x:f>
        <x:v>53</x:v>
      </x:c>
      <x:c r="G198" s="20" t="str">
        <x:f>IF(J198="Рассчитано",V198*(1-R198/100)-W198-P198-Q198,"н/д")</x:f>
        <x:v>н/д</x:v>
      </x:c>
      <x:c r="H198" s="12" t="str">
        <x:v>Высокий</x:v>
      </x:c>
      <x:c r="I198" s="12" t="str">
        <x:v>Средний</x:v>
      </x:c>
      <x:c r="J198" s="12" t="str">
        <x:f>IF(L198="","Укажите валюту",IF(NOT(ISNUMBER(K198)),"Укажите объём",IF(K198&lt;=0,"Укажите объём",IF(K198&gt;F198,"Объём выше излишка",IF(COUNT(M198:O198)&lt;3,"Нужны цены",IF(COUNT(P198:R198)&lt;3,"Нужны расходы",IF(OR(M198&lt;0,N198&lt;0,O198&lt;0,O198&gt;100,P198&lt;0,Q198&lt;0,R198&lt;0,R198&gt;100),"Проверьте значения","Рассчитано")))))))</x:f>
        <x:v>Нужны цены</x:v>
      </x:c>
      <x:c r="K198" s="36" t="n">
        <x:v>53</x:v>
      </x:c>
      <x:c r="L198" s="19" t="str">
        <x:v>KZT</x:v>
      </x:c>
      <x:c r="M198" s="22"/>
      <x:c r="N198" s="22"/>
      <x:c r="O198" s="28"/>
      <x:c r="P198" s="22"/>
      <x:c r="Q198" s="22"/>
      <x:c r="R198" s="28"/>
      <x:c r="S198" s="22"/>
      <x:c r="T198" s="35" t="n">
        <x:f>K198</x:f>
        <x:v>53</x:v>
      </x:c>
      <x:c r="U198" s="20" t="str">
        <x:f>IF(J198="Рассчитано",N198*(1-O198/100),"н/д")</x:f>
        <x:v>н/д</x:v>
      </x:c>
      <x:c r="V198" s="20" t="str">
        <x:f>IF(J198="Рассчитано",T198*U198,"н/д")</x:f>
        <x:v>н/д</x:v>
      </x:c>
      <x:c r="W198" s="20" t="str">
        <x:f>IF(J198="Рассчитано",T198*M198,"н/д")</x:f>
        <x:v>н/д</x:v>
      </x:c>
      <x:c r="X198" s="20" t="str">
        <x:f>IF(J198="Рассчитано",V198-W198,"н/д")</x:f>
        <x:v>н/д</x:v>
      </x:c>
      <x:c r="Y198" s="26" t="str">
        <x:f>IF(J198="Рассчитано",IF(V198&gt;0,G198/V198,"н/д"),"н/д")</x:f>
        <x:v>н/д</x:v>
      </x:c>
      <x:c r="Z198" s="20" t="str">
        <x:f>"н/д"</x:f>
        <x:v>н/д</x:v>
      </x:c>
      <x:c r="AA198" s="20" t="str">
        <x:f>"н/д"</x:f>
        <x:v>н/д</x:v>
      </x:c>
      <x:c r="AB198" s="20" t="str">
        <x:f>"н/д"</x:f>
        <x:v>н/д</x:v>
      </x:c>
      <x:c r="AC198" s="20" t="str">
        <x:f>IF(AND(J198="Рассчитано",T198&gt;0,R198&lt;100),(W198+P198+Q198)/(T198*(1-R198/100)),"н/д")</x:f>
        <x:v>н/д</x:v>
      </x:c>
      <x:c r="AD198" s="11" t="str">
        <x:f>IF(ISNUMBER(G198),IF(G198&lt;0,"Убыток",IF(G198=0,"Без прибыли","Прибыль &gt; 0")),"Не оценён")</x:f>
        <x:v>Не оценён</x:v>
      </x:c>
      <x:c r="AE198" s="12" t="str">
        <x:f>IF(J198="Рассчитано","Выручка "&amp;TEXT(V198,"0.00")&amp;" - себестоимость "&amp;TEXT(W198,"0.00")&amp;" - комиссия "&amp;TEXT(V198*R198/100,"0.00")&amp;" - доставка "&amp;TEXT(P198,"0.00")&amp;" - прочие "&amp;TEXT(Q198,"0.00")&amp;" = "&amp;TEXT(G198,"0.00")&amp;" "&amp;L198,"Введите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8" s="23" t="n">
        <x:v>6514.961922077273</x:v>
      </x:c>
      <x:c r="AG198" s="35" t="n">
        <x:v>6568</x:v>
      </x:c>
      <x:c r="AH198" s="35" t="n">
        <x:v>0</x:v>
      </x:c>
      <x:c r="AI198" s="29" t="n">
        <x:v>46266</x:v>
      </x:c>
      <x:c r="AJ198" s="35" t="n">
        <x:v>1</x:v>
      </x:c>
      <x:c r="AK198" s="11" t="str">
        <x:v>минимум</x:v>
      </x:c>
      <x:c r="AL198" s="31" t="n">
        <x:v>85.7314771392126</x:v>
      </x:c>
      <x:c r="AM19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98" s="12" t="str">
        <x:v>Проверить свободный остаток и установить цену для B2B</x:v>
      </x:c>
      <x:c r="AO198" s="12" t="str">
        <x:v>Остаток 6568; прогноз 90 дней 6514.96; избыток 53 шт. Будущие поступления не выставляются на продажу. Остаток на начало сентября: требуется актуализация.</x:v>
      </x:c>
      <x:c r="AP198" s="12" t="str">
        <x:v>["category_missing", "daily_stockout_data_missing", "large_orders_detected", "new_order_lead_time_unknown", "reservations_unknown", "stale_stock", "transaction_month_mismatch"]</x:v>
      </x:c>
      <x:c r="AQ198" s="11" t="str">
        <x:v>IEK:030200494_</x:v>
      </x:c>
      <x:c r="AR198" s="23" t="n">
        <x:v>1</x:v>
      </x:c>
      <x:c r="AS198" s="23" t="n">
        <x:v>0</x:v>
      </x:c>
      <x:c r="AT198" s="23" t="n">
        <x:v>0</x:v>
      </x:c>
    </x:row>
    <x:row r="199" ht="64" customHeight="1">
      <x:c r="A199" s="10" t="str">
        <x:v>IEK</x:v>
      </x:c>
      <x:c r="B199" s="34" t="str">
        <x:v>030200495_</x:v>
      </x:c>
      <x:c r="C199" s="34" t="str">
        <x:v>BR-M22-K02</x:v>
      </x:c>
      <x:c r="D199" s="13" t="str">
        <x:v>Рамка 2-мест. "BRITE" черный (1/100)</x:v>
      </x:c>
      <x:c r="E199" s="10" t="str">
        <x:v>шт</x:v>
      </x:c>
      <x:c r="F199" s="37" t="n">
        <x:f>MAX(0,ROUNDDOWN((AG199-AF199)/AR199+0.000000001,0)*AR199)</x:f>
        <x:v>129</x:v>
      </x:c>
      <x:c r="G199" s="21" t="str">
        <x:f>IF(J199="Рассчитано",V199*(1-R199/100)-W199-P199-Q199,"н/д")</x:f>
        <x:v>н/д</x:v>
      </x:c>
      <x:c r="H199" s="13" t="str">
        <x:v>Высокий</x:v>
      </x:c>
      <x:c r="I199" s="13" t="str">
        <x:v>Средний</x:v>
      </x:c>
      <x:c r="J199" s="13" t="str">
        <x:f>IF(L199="","Укажите валюту",IF(NOT(ISNUMBER(K199)),"Укажите объём",IF(K199&lt;=0,"Укажите объём",IF(K199&gt;F199,"Объём выше излишка",IF(COUNT(M199:O199)&lt;3,"Нужны цены",IF(COUNT(P199:R199)&lt;3,"Нужны расходы",IF(OR(M199&lt;0,N199&lt;0,O199&lt;0,O199&gt;100,P199&lt;0,Q199&lt;0,R199&lt;0,R199&gt;100),"Проверьте значения","Рассчитано")))))))</x:f>
        <x:v>Нужны цены</x:v>
      </x:c>
      <x:c r="K199" s="36" t="n">
        <x:v>129</x:v>
      </x:c>
      <x:c r="L199" s="19" t="str">
        <x:v>KZT</x:v>
      </x:c>
      <x:c r="M199" s="22"/>
      <x:c r="N199" s="22"/>
      <x:c r="O199" s="28"/>
      <x:c r="P199" s="22"/>
      <x:c r="Q199" s="22"/>
      <x:c r="R199" s="28"/>
      <x:c r="S199" s="22"/>
      <x:c r="T199" s="37" t="n">
        <x:f>K199</x:f>
        <x:v>129</x:v>
      </x:c>
      <x:c r="U199" s="21" t="str">
        <x:f>IF(J199="Рассчитано",N199*(1-O199/100),"н/д")</x:f>
        <x:v>н/д</x:v>
      </x:c>
      <x:c r="V199" s="21" t="str">
        <x:f>IF(J199="Рассчитано",T199*U199,"н/д")</x:f>
        <x:v>н/д</x:v>
      </x:c>
      <x:c r="W199" s="21" t="str">
        <x:f>IF(J199="Рассчитано",T199*M199,"н/д")</x:f>
        <x:v>н/д</x:v>
      </x:c>
      <x:c r="X199" s="21" t="str">
        <x:f>IF(J199="Рассчитано",V199-W199,"н/д")</x:f>
        <x:v>н/д</x:v>
      </x:c>
      <x:c r="Y199" s="27" t="str">
        <x:f>IF(J199="Рассчитано",IF(V199&gt;0,G199/V199,"н/д"),"н/д")</x:f>
        <x:v>н/д</x:v>
      </x:c>
      <x:c r="Z199" s="21" t="str">
        <x:f>"н/д"</x:f>
        <x:v>н/д</x:v>
      </x:c>
      <x:c r="AA199" s="21" t="str">
        <x:f>"н/д"</x:f>
        <x:v>н/д</x:v>
      </x:c>
      <x:c r="AB199" s="21" t="str">
        <x:f>"н/д"</x:f>
        <x:v>н/д</x:v>
      </x:c>
      <x:c r="AC199" s="21" t="str">
        <x:f>IF(AND(J199="Рассчитано",T199&gt;0,R199&lt;100),(W199+P199+Q199)/(T199*(1-R199/100)),"н/д")</x:f>
        <x:v>н/д</x:v>
      </x:c>
      <x:c r="AD199" s="10" t="str">
        <x:f>IF(ISNUMBER(G199),IF(G199&lt;0,"Убыток",IF(G199=0,"Без прибыли","Прибыль &gt; 0")),"Не оценён")</x:f>
        <x:v>Не оценён</x:v>
      </x:c>
      <x:c r="AE199" s="13" t="str">
        <x:f>IF(J199="Рассчитано","Выручка "&amp;TEXT(V199,"0.00")&amp;" - себестоимость "&amp;TEXT(W199,"0.00")&amp;" - комиссия "&amp;TEXT(V199*R199/100,"0.00")&amp;" - доставка "&amp;TEXT(P199,"0.00")&amp;" - прочие "&amp;TEXT(Q199,"0.00")&amp;" = "&amp;TEXT(G199,"0.00")&amp;" "&amp;L199,"Введите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9" s="24" t="n">
        <x:v>1657.1079602144296</x:v>
      </x:c>
      <x:c r="AG199" s="37" t="n">
        <x:v>1787</x:v>
      </x:c>
      <x:c r="AH199" s="37" t="n">
        <x:v>0</x:v>
      </x:c>
      <x:c r="AI199" s="30" t="n">
        <x:v>46266</x:v>
      </x:c>
      <x:c r="AJ199" s="37" t="n">
        <x:v>1</x:v>
      </x:c>
      <x:c r="AK199" s="10" t="str">
        <x:v>минимум</x:v>
      </x:c>
      <x:c r="AL199" s="32" t="n">
        <x:v>91.70495312590052</x:v>
      </x:c>
      <x:c r="AM19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99" s="13" t="str">
        <x:v>Проверить свободный остаток и установить цену для B2B</x:v>
      </x:c>
      <x:c r="AO199" s="13" t="str">
        <x:v>Остаток 1787; прогноз 90 дней 1657.11; избыток 129 шт. Будущие поступления не выставляются на продажу. Остаток на начало сентября: требуется актуализация.</x:v>
      </x:c>
      <x:c r="AP199" s="13" t="str">
        <x:v>["category_missing", "daily_stockout_data_missing", "large_orders_detected", "new_order_lead_time_unknown", "reservations_unknown", "stale_stock", "transaction_month_mismatch"]</x:v>
      </x:c>
      <x:c r="AQ199" s="10" t="str">
        <x:v>IEK:030200495_</x:v>
      </x:c>
      <x:c r="AR199" s="24" t="n">
        <x:v>1</x:v>
      </x:c>
      <x:c r="AS199" s="24" t="n">
        <x:v>0</x:v>
      </x:c>
      <x:c r="AT199" s="24" t="n">
        <x:v>0</x:v>
      </x:c>
    </x:row>
    <x:row r="200" ht="64" customHeight="1">
      <x:c r="A200" s="11" t="str">
        <x:v>IEK</x:v>
      </x:c>
      <x:c r="B200" s="33" t="str">
        <x:v>030200496_</x:v>
      </x:c>
      <x:c r="C200" s="33" t="str">
        <x:v>BR-M32-K02</x:v>
      </x:c>
      <x:c r="D200" s="12" t="str">
        <x:v>Рамка 3-мест. "BRITE" черный (1/100)</x:v>
      </x:c>
      <x:c r="E200" s="11" t="str">
        <x:v>шт</x:v>
      </x:c>
      <x:c r="F200" s="35" t="n">
        <x:f>MAX(0,ROUNDDOWN((AG200-AF200)/AR200+0.000000001,0)*AR200)</x:f>
        <x:v>299</x:v>
      </x:c>
      <x:c r="G200" s="20" t="str">
        <x:f>IF(J200="Рассчитано",V200*(1-R200/100)-W200-P200-Q200,"н/д")</x:f>
        <x:v>н/д</x:v>
      </x:c>
      <x:c r="H200" s="12" t="str">
        <x:v>Высокий</x:v>
      </x:c>
      <x:c r="I200" s="12" t="str">
        <x:v>Средний</x:v>
      </x:c>
      <x:c r="J200" s="12" t="str">
        <x:f>IF(L200="","Укажите валюту",IF(NOT(ISNUMBER(K200)),"Укажите объём",IF(K200&lt;=0,"Укажите объём",IF(K200&gt;F200,"Объём выше излишка",IF(COUNT(M200:O200)&lt;3,"Нужны цены",IF(COUNT(P200:R200)&lt;3,"Нужны расходы",IF(OR(M200&lt;0,N200&lt;0,O200&lt;0,O200&gt;100,P200&lt;0,Q200&lt;0,R200&lt;0,R200&gt;100),"Проверьте значения","Рассчитано")))))))</x:f>
        <x:v>Нужны цены</x:v>
      </x:c>
      <x:c r="K200" s="36" t="n">
        <x:v>299</x:v>
      </x:c>
      <x:c r="L200" s="19" t="str">
        <x:v>KZT</x:v>
      </x:c>
      <x:c r="M200" s="22"/>
      <x:c r="N200" s="22"/>
      <x:c r="O200" s="28"/>
      <x:c r="P200" s="22"/>
      <x:c r="Q200" s="22"/>
      <x:c r="R200" s="28"/>
      <x:c r="S200" s="22"/>
      <x:c r="T200" s="35" t="n">
        <x:f>K200</x:f>
        <x:v>299</x:v>
      </x:c>
      <x:c r="U200" s="20" t="str">
        <x:f>IF(J200="Рассчитано",N200*(1-O200/100),"н/д")</x:f>
        <x:v>н/д</x:v>
      </x:c>
      <x:c r="V200" s="20" t="str">
        <x:f>IF(J200="Рассчитано",T200*U200,"н/д")</x:f>
        <x:v>н/д</x:v>
      </x:c>
      <x:c r="W200" s="20" t="str">
        <x:f>IF(J200="Рассчитано",T200*M200,"н/д")</x:f>
        <x:v>н/д</x:v>
      </x:c>
      <x:c r="X200" s="20" t="str">
        <x:f>IF(J200="Рассчитано",V200-W200,"н/д")</x:f>
        <x:v>н/д</x:v>
      </x:c>
      <x:c r="Y200" s="26" t="str">
        <x:f>IF(J200="Рассчитано",IF(V200&gt;0,G200/V200,"н/д"),"н/д")</x:f>
        <x:v>н/д</x:v>
      </x:c>
      <x:c r="Z200" s="20" t="str">
        <x:f>"н/д"</x:f>
        <x:v>н/д</x:v>
      </x:c>
      <x:c r="AA200" s="20" t="str">
        <x:f>"н/д"</x:f>
        <x:v>н/д</x:v>
      </x:c>
      <x:c r="AB200" s="20" t="str">
        <x:f>"н/д"</x:f>
        <x:v>н/д</x:v>
      </x:c>
      <x:c r="AC200" s="20" t="str">
        <x:f>IF(AND(J200="Рассчитано",T200&gt;0,R200&lt;100),(W200+P200+Q200)/(T200*(1-R200/100)),"н/д")</x:f>
        <x:v>н/д</x:v>
      </x:c>
      <x:c r="AD200" s="11" t="str">
        <x:f>IF(ISNUMBER(G200),IF(G200&lt;0,"Убыток",IF(G200=0,"Без прибыли","Прибыль &gt; 0")),"Не оценён")</x:f>
        <x:v>Не оценён</x:v>
      </x:c>
      <x:c r="AE200" s="12" t="str">
        <x:f>IF(J200="Рассчитано","Выручка "&amp;TEXT(V200,"0.00")&amp;" - себестоимость "&amp;TEXT(W200,"0.00")&amp;" - комиссия "&amp;TEXT(V200*R200/100,"0.00")&amp;" - доставка "&amp;TEXT(P200,"0.00")&amp;" - прочие "&amp;TEXT(Q200,"0.00")&amp;" = "&amp;TEXT(G200,"0.00")&amp;" "&amp;L200,"Введите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0" s="23" t="n">
        <x:v>485.76382945606656</x:v>
      </x:c>
      <x:c r="AG200" s="35" t="n">
        <x:v>785</x:v>
      </x:c>
      <x:c r="AH200" s="35" t="n">
        <x:v>0</x:v>
      </x:c>
      <x:c r="AI200" s="29" t="n">
        <x:v>46266</x:v>
      </x:c>
      <x:c r="AJ200" s="35" t="n">
        <x:v>1</x:v>
      </x:c>
      <x:c r="AK200" s="11" t="str">
        <x:v>минимум</x:v>
      </x:c>
      <x:c r="AL200" s="31" t="n">
        <x:v>137.42429807567393</x:v>
      </x:c>
      <x:c r="AM20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00" s="12" t="str">
        <x:v>Проверить свободный остаток и установить цену для B2B</x:v>
      </x:c>
      <x:c r="AO200" s="12" t="str">
        <x:v>Остаток 785; прогноз 90 дней 485.76; избыток 299 шт. Будущие поступления не выставляются на продажу. Остаток на начало сентября: требуется актуализация.</x:v>
      </x:c>
      <x:c r="AP200" s="12" t="str">
        <x:v>["category_missing", "daily_stockout_data_missing", "large_orders_detected", "new_order_lead_time_unknown", "reservations_unknown", "stale_stock", "transaction_month_mismatch"]</x:v>
      </x:c>
      <x:c r="AQ200" s="11" t="str">
        <x:v>IEK:030200496_</x:v>
      </x:c>
      <x:c r="AR200" s="23" t="n">
        <x:v>1</x:v>
      </x:c>
      <x:c r="AS200" s="23" t="n">
        <x:v>0</x:v>
      </x:c>
      <x:c r="AT200" s="23" t="n">
        <x:v>0</x:v>
      </x:c>
    </x:row>
    <x:row r="201" ht="64" customHeight="1">
      <x:c r="A201" s="10" t="str">
        <x:v>IEK</x:v>
      </x:c>
      <x:c r="B201" s="34" t="str">
        <x:v>030200499_</x:v>
      </x:c>
      <x:c r="C201" s="34" t="str">
        <x:v>BR-R14-16-K46</x:v>
      </x:c>
      <x:c r="D201" s="13" t="str">
        <x:v>Роз. с з/к/ш 16А б/рамки "BRITE" сталь (1/100)</x:v>
      </x:c>
      <x:c r="E201" s="10" t="str">
        <x:v>шт</x:v>
      </x:c>
      <x:c r="F201" s="37" t="n">
        <x:f>MAX(0,ROUNDDOWN((AG201-AF201)/AR201+0.000000001,0)*AR201)</x:f>
        <x:v>11</x:v>
      </x:c>
      <x:c r="G201" s="21" t="str">
        <x:f>IF(J201="Рассчитано",V201*(1-R201/100)-W201-P201-Q201,"н/д")</x:f>
        <x:v>н/д</x:v>
      </x:c>
      <x:c r="H201" s="13" t="str">
        <x:v>Высокий</x:v>
      </x:c>
      <x:c r="I201" s="13" t="str">
        <x:v>Средний</x:v>
      </x:c>
      <x:c r="J201" s="13" t="str">
        <x:f>IF(L201="","Укажите валюту",IF(NOT(ISNUMBER(K201)),"Укажите объём",IF(K201&lt;=0,"Укажите объём",IF(K201&gt;F201,"Объём выше излишка",IF(COUNT(M201:O201)&lt;3,"Нужны цены",IF(COUNT(P201:R201)&lt;3,"Нужны расходы",IF(OR(M201&lt;0,N201&lt;0,O201&lt;0,O201&gt;100,P201&lt;0,Q201&lt;0,R201&lt;0,R201&gt;100),"Проверьте значения","Рассчитано")))))))</x:f>
        <x:v>Нужны цены</x:v>
      </x:c>
      <x:c r="K201" s="36" t="n">
        <x:v>11</x:v>
      </x:c>
      <x:c r="L201" s="19" t="str">
        <x:v>KZT</x:v>
      </x:c>
      <x:c r="M201" s="22"/>
      <x:c r="N201" s="22"/>
      <x:c r="O201" s="28"/>
      <x:c r="P201" s="22"/>
      <x:c r="Q201" s="22"/>
      <x:c r="R201" s="28"/>
      <x:c r="S201" s="22"/>
      <x:c r="T201" s="37" t="n">
        <x:f>K201</x:f>
        <x:v>11</x:v>
      </x:c>
      <x:c r="U201" s="21" t="str">
        <x:f>IF(J201="Рассчитано",N201*(1-O201/100),"н/д")</x:f>
        <x:v>н/д</x:v>
      </x:c>
      <x:c r="V201" s="21" t="str">
        <x:f>IF(J201="Рассчитано",T201*U201,"н/д")</x:f>
        <x:v>н/д</x:v>
      </x:c>
      <x:c r="W201" s="21" t="str">
        <x:f>IF(J201="Рассчитано",T201*M201,"н/д")</x:f>
        <x:v>н/д</x:v>
      </x:c>
      <x:c r="X201" s="21" t="str">
        <x:f>IF(J201="Рассчитано",V201-W201,"н/д")</x:f>
        <x:v>н/д</x:v>
      </x:c>
      <x:c r="Y201" s="27" t="str">
        <x:f>IF(J201="Рассчитано",IF(V201&gt;0,G201/V201,"н/д"),"н/д")</x:f>
        <x:v>н/д</x:v>
      </x:c>
      <x:c r="Z201" s="21" t="str">
        <x:f>"н/д"</x:f>
        <x:v>н/д</x:v>
      </x:c>
      <x:c r="AA201" s="21" t="str">
        <x:f>"н/д"</x:f>
        <x:v>н/д</x:v>
      </x:c>
      <x:c r="AB201" s="21" t="str">
        <x:f>"н/д"</x:f>
        <x:v>н/д</x:v>
      </x:c>
      <x:c r="AC201" s="21" t="str">
        <x:f>IF(AND(J201="Рассчитано",T201&gt;0,R201&lt;100),(W201+P201+Q201)/(T201*(1-R201/100)),"н/д")</x:f>
        <x:v>н/д</x:v>
      </x:c>
      <x:c r="AD201" s="10" t="str">
        <x:f>IF(ISNUMBER(G201),IF(G201&lt;0,"Убыток",IF(G201=0,"Без прибыли","Прибыль &gt; 0")),"Не оценён")</x:f>
        <x:v>Не оценён</x:v>
      </x:c>
      <x:c r="AE201" s="13" t="str">
        <x:f>IF(J201="Рассчитано","Выручка "&amp;TEXT(V201,"0.00")&amp;" - себестоимость "&amp;TEXT(W201,"0.00")&amp;" - комиссия "&amp;TEXT(V201*R201/100,"0.00")&amp;" - доставка "&amp;TEXT(P201,"0.00")&amp;" - прочие "&amp;TEXT(Q201,"0.00")&amp;" = "&amp;TEXT(G201,"0.00")&amp;" "&amp;L201,"Введите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1" s="24" t="n">
        <x:v>672.908818962627</x:v>
      </x:c>
      <x:c r="AG201" s="37" t="n">
        <x:v>684</x:v>
      </x:c>
      <x:c r="AH201" s="37" t="n">
        <x:v>0</x:v>
      </x:c>
      <x:c r="AI201" s="30" t="n">
        <x:v>46266</x:v>
      </x:c>
      <x:c r="AJ201" s="37" t="n">
        <x:v>1</x:v>
      </x:c>
      <x:c r="AK201" s="10" t="str">
        <x:v>минимум</x:v>
      </x:c>
      <x:c r="AL201" s="32" t="n">
        <x:v>86.4408295169021</x:v>
      </x:c>
      <x:c r="AM201" s="13" t="str">
        <x:v>Остаток на начало сентября; Резервы неизвестны; Нет ежедневных данных доступности. Запас выше прогноза на 90 дней</x:v>
      </x:c>
      <x:c r="AN201" s="13" t="str">
        <x:v>Проверить свободный остаток и установить цену для B2B</x:v>
      </x:c>
      <x:c r="AO201" s="13" t="str">
        <x:v>Остаток 684; прогноз 90 дней 672.91; избыток 11 шт. Будущие поступления не выставляются на продажу. Остаток на начало сентября: требуется актуализация.</x:v>
      </x:c>
      <x:c r="AP201" s="13" t="str">
        <x:v>["category_missing", "daily_stockout_data_missing", "new_order_lead_time_unknown", "reservations_unknown", "stale_stock"]</x:v>
      </x:c>
      <x:c r="AQ201" s="10" t="str">
        <x:v>IEK:030200499_</x:v>
      </x:c>
      <x:c r="AR201" s="24" t="n">
        <x:v>1</x:v>
      </x:c>
      <x:c r="AS201" s="24" t="n">
        <x:v>0</x:v>
      </x:c>
      <x:c r="AT201" s="24" t="n">
        <x:v>0</x:v>
      </x:c>
    </x:row>
    <x:row r="202" ht="64" customHeight="1">
      <x:c r="A202" s="11" t="str">
        <x:v>IEK</x:v>
      </x:c>
      <x:c r="B202" s="33" t="str">
        <x:v>030200503_</x:v>
      </x:c>
      <x:c r="C202" s="33" t="str">
        <x:v>BR-V20-1-10-K46</x:v>
      </x:c>
      <x:c r="D202" s="12" t="str">
        <x:v>Выкл 2-кл. с инд. 10А б/рамки "BRITE" сталь (1/100)</x:v>
      </x:c>
      <x:c r="E202" s="11" t="str">
        <x:v>шт</x:v>
      </x:c>
      <x:c r="F202" s="35" t="n">
        <x:f>MAX(0,ROUNDDOWN((AG202-AF202)/AR202+0.000000001,0)*AR202)</x:f>
        <x:v>11</x:v>
      </x:c>
      <x:c r="G202" s="20" t="str">
        <x:f>IF(J202="Рассчитано",V202*(1-R202/100)-W202-P202-Q202,"н/д")</x:f>
        <x:v>н/д</x:v>
      </x:c>
      <x:c r="H202" s="12" t="str">
        <x:v>Высокий</x:v>
      </x:c>
      <x:c r="I202" s="12" t="str">
        <x:v>Средний</x:v>
      </x:c>
      <x:c r="J202" s="12" t="str">
        <x:f>IF(L202="","Укажите валюту",IF(NOT(ISNUMBER(K202)),"Укажите объём",IF(K202&lt;=0,"Укажите объём",IF(K202&gt;F202,"Объём выше излишка",IF(COUNT(M202:O202)&lt;3,"Нужны цены",IF(COUNT(P202:R202)&lt;3,"Нужны расходы",IF(OR(M202&lt;0,N202&lt;0,O202&lt;0,O202&gt;100,P202&lt;0,Q202&lt;0,R202&lt;0,R202&gt;100),"Проверьте значения","Рассчитано")))))))</x:f>
        <x:v>Нужны цены</x:v>
      </x:c>
      <x:c r="K202" s="36" t="n">
        <x:v>11</x:v>
      </x:c>
      <x:c r="L202" s="19" t="str">
        <x:v>KZT</x:v>
      </x:c>
      <x:c r="M202" s="22"/>
      <x:c r="N202" s="22"/>
      <x:c r="O202" s="28"/>
      <x:c r="P202" s="22"/>
      <x:c r="Q202" s="22"/>
      <x:c r="R202" s="28"/>
      <x:c r="S202" s="22"/>
      <x:c r="T202" s="35" t="n">
        <x:f>K202</x:f>
        <x:v>11</x:v>
      </x:c>
      <x:c r="U202" s="20" t="str">
        <x:f>IF(J202="Рассчитано",N202*(1-O202/100),"н/д")</x:f>
        <x:v>н/д</x:v>
      </x:c>
      <x:c r="V202" s="20" t="str">
        <x:f>IF(J202="Рассчитано",T202*U202,"н/д")</x:f>
        <x:v>н/д</x:v>
      </x:c>
      <x:c r="W202" s="20" t="str">
        <x:f>IF(J202="Рассчитано",T202*M202,"н/д")</x:f>
        <x:v>н/д</x:v>
      </x:c>
      <x:c r="X202" s="20" t="str">
        <x:f>IF(J202="Рассчитано",V202-W202,"н/д")</x:f>
        <x:v>н/д</x:v>
      </x:c>
      <x:c r="Y202" s="26" t="str">
        <x:f>IF(J202="Рассчитано",IF(V202&gt;0,G202/V202,"н/д"),"н/д")</x:f>
        <x:v>н/д</x:v>
      </x:c>
      <x:c r="Z202" s="20" t="str">
        <x:f>"н/д"</x:f>
        <x:v>н/д</x:v>
      </x:c>
      <x:c r="AA202" s="20" t="str">
        <x:f>"н/д"</x:f>
        <x:v>н/д</x:v>
      </x:c>
      <x:c r="AB202" s="20" t="str">
        <x:f>"н/д"</x:f>
        <x:v>н/д</x:v>
      </x:c>
      <x:c r="AC202" s="20" t="str">
        <x:f>IF(AND(J202="Рассчитано",T202&gt;0,R202&lt;100),(W202+P202+Q202)/(T202*(1-R202/100)),"н/д")</x:f>
        <x:v>н/д</x:v>
      </x:c>
      <x:c r="AD202" s="11" t="str">
        <x:f>IF(ISNUMBER(G202),IF(G202&lt;0,"Убыток",IF(G202=0,"Без прибыли","Прибыль &gt; 0")),"Не оценён")</x:f>
        <x:v>Не оценён</x:v>
      </x:c>
      <x:c r="AE202" s="12" t="str">
        <x:f>IF(J202="Рассчитано","Выручка "&amp;TEXT(V202,"0.00")&amp;" - себестоимость "&amp;TEXT(W202,"0.00")&amp;" - комиссия "&amp;TEXT(V202*R202/100,"0.00")&amp;" - доставка "&amp;TEXT(P202,"0.00")&amp;" - прочие "&amp;TEXT(Q202,"0.00")&amp;" = "&amp;TEXT(G202,"0.00")&amp;" "&amp;L202,"Введите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2" s="23" t="n">
        <x:v>11.561670810404394</x:v>
      </x:c>
      <x:c r="AG202" s="35" t="n">
        <x:v>23</x:v>
      </x:c>
      <x:c r="AH202" s="35" t="n">
        <x:v>0</x:v>
      </x:c>
      <x:c r="AI202" s="29" t="n">
        <x:v>46266</x:v>
      </x:c>
      <x:c r="AJ202" s="35" t="n">
        <x:v>1</x:v>
      </x:c>
      <x:c r="AK202" s="11" t="str">
        <x:v>минимум</x:v>
      </x:c>
      <x:c r="AL202" s="31" t="n">
        <x:v>169.1711417827988</x:v>
      </x:c>
      <x:c r="AM202" s="12" t="str">
        <x:v>Остаток на начало сентября; Резервы неизвестны; Нет ежедневных данных доступности. Запас выше прогноза на 90 дней</x:v>
      </x:c>
      <x:c r="AN202" s="12" t="str">
        <x:v>Проверить свободный остаток и установить цену для B2B</x:v>
      </x:c>
      <x:c r="AO202" s="12" t="str">
        <x:v>Остаток 23; прогноз 90 дней 11.56; избыток 11 шт. Будущие поступления не выставляются на продажу. Остаток на начало сентября: требуется актуализация.</x:v>
      </x:c>
      <x:c r="AP202" s="12" t="str">
        <x:v>["category_missing", "daily_stockout_data_missing", "negative_net_sales_clipped_for_forecast", "new_order_lead_time_unknown", "reservations_unknown", "stale_stock"]</x:v>
      </x:c>
      <x:c r="AQ202" s="11" t="str">
        <x:v>IEK:030200503_</x:v>
      </x:c>
      <x:c r="AR202" s="23" t="n">
        <x:v>1</x:v>
      </x:c>
      <x:c r="AS202" s="23" t="n">
        <x:v>0</x:v>
      </x:c>
      <x:c r="AT202" s="23" t="n">
        <x:v>0</x:v>
      </x:c>
    </x:row>
    <x:row r="203" ht="64" customHeight="1">
      <x:c r="A203" s="10" t="str">
        <x:v>IEK</x:v>
      </x:c>
      <x:c r="B203" s="34" t="str">
        <x:v>030200505_</x:v>
      </x:c>
      <x:c r="C203" s="34" t="str">
        <x:v>BR-V12-0-10-K46</x:v>
      </x:c>
      <x:c r="D203" s="13" t="str">
        <x:v>Выкл 1-кл. прох. 10А б/рамки "BRITE" сталь (1/100)</x:v>
      </x:c>
      <x:c r="E203" s="10" t="str">
        <x:v>шт</x:v>
      </x:c>
      <x:c r="F203" s="37" t="n">
        <x:f>MAX(0,ROUNDDOWN((AG203-AF203)/AR203+0.000000001,0)*AR203)</x:f>
        <x:v>22</x:v>
      </x:c>
      <x:c r="G203" s="21" t="str">
        <x:f>IF(J203="Рассчитано",V203*(1-R203/100)-W203-P203-Q203,"н/д")</x:f>
        <x:v>н/д</x:v>
      </x:c>
      <x:c r="H203" s="13" t="str">
        <x:v>Высокий</x:v>
      </x:c>
      <x:c r="I203" s="13" t="str">
        <x:v>Средний</x:v>
      </x:c>
      <x:c r="J203" s="13" t="str">
        <x:f>IF(L203="","Укажите валюту",IF(NOT(ISNUMBER(K203)),"Укажите объём",IF(K203&lt;=0,"Укажите объём",IF(K203&gt;F203,"Объём выше излишка",IF(COUNT(M203:O203)&lt;3,"Нужны цены",IF(COUNT(P203:R203)&lt;3,"Нужны расходы",IF(OR(M203&lt;0,N203&lt;0,O203&lt;0,O203&gt;100,P203&lt;0,Q203&lt;0,R203&lt;0,R203&gt;100),"Проверьте значения","Рассчитано")))))))</x:f>
        <x:v>Нужны цены</x:v>
      </x:c>
      <x:c r="K203" s="36" t="n">
        <x:v>22</x:v>
      </x:c>
      <x:c r="L203" s="19" t="str">
        <x:v>KZT</x:v>
      </x:c>
      <x:c r="M203" s="22"/>
      <x:c r="N203" s="22"/>
      <x:c r="O203" s="28"/>
      <x:c r="P203" s="22"/>
      <x:c r="Q203" s="22"/>
      <x:c r="R203" s="28"/>
      <x:c r="S203" s="22"/>
      <x:c r="T203" s="37" t="n">
        <x:f>K203</x:f>
        <x:v>22</x:v>
      </x:c>
      <x:c r="U203" s="21" t="str">
        <x:f>IF(J203="Рассчитано",N203*(1-O203/100),"н/д")</x:f>
        <x:v>н/д</x:v>
      </x:c>
      <x:c r="V203" s="21" t="str">
        <x:f>IF(J203="Рассчитано",T203*U203,"н/д")</x:f>
        <x:v>н/д</x:v>
      </x:c>
      <x:c r="W203" s="21" t="str">
        <x:f>IF(J203="Рассчитано",T203*M203,"н/д")</x:f>
        <x:v>н/д</x:v>
      </x:c>
      <x:c r="X203" s="21" t="str">
        <x:f>IF(J203="Рассчитано",V203-W203,"н/д")</x:f>
        <x:v>н/д</x:v>
      </x:c>
      <x:c r="Y203" s="27" t="str">
        <x:f>IF(J203="Рассчитано",IF(V203&gt;0,G203/V203,"н/д"),"н/д")</x:f>
        <x:v>н/д</x:v>
      </x:c>
      <x:c r="Z203" s="21" t="str">
        <x:f>"н/д"</x:f>
        <x:v>н/д</x:v>
      </x:c>
      <x:c r="AA203" s="21" t="str">
        <x:f>"н/д"</x:f>
        <x:v>н/д</x:v>
      </x:c>
      <x:c r="AB203" s="21" t="str">
        <x:f>"н/д"</x:f>
        <x:v>н/д</x:v>
      </x:c>
      <x:c r="AC203" s="21" t="str">
        <x:f>IF(AND(J203="Рассчитано",T203&gt;0,R203&lt;100),(W203+P203+Q203)/(T203*(1-R203/100)),"н/д")</x:f>
        <x:v>н/д</x:v>
      </x:c>
      <x:c r="AD203" s="10" t="str">
        <x:f>IF(ISNUMBER(G203),IF(G203&lt;0,"Убыток",IF(G203=0,"Без прибыли","Прибыль &gt; 0")),"Не оценён")</x:f>
        <x:v>Не оценён</x:v>
      </x:c>
      <x:c r="AE203" s="13" t="str">
        <x:f>IF(J203="Рассчитано","Выручка "&amp;TEXT(V203,"0.00")&amp;" - себестоимость "&amp;TEXT(W203,"0.00")&amp;" - комиссия "&amp;TEXT(V203*R203/100,"0.00")&amp;" - доставка "&amp;TEXT(P203,"0.00")&amp;" - прочие "&amp;TEXT(Q203,"0.00")&amp;" = "&amp;TEXT(G203,"0.00")&amp;" "&amp;L203,"Введите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3" s="24" t="n">
        <x:v>42.42541428097228</x:v>
      </x:c>
      <x:c r="AG203" s="37" t="n">
        <x:v>65</x:v>
      </x:c>
      <x:c r="AH203" s="37" t="n">
        <x:v>0</x:v>
      </x:c>
      <x:c r="AI203" s="30" t="n">
        <x:v>46266</x:v>
      </x:c>
      <x:c r="AJ203" s="37" t="n">
        <x:v>1</x:v>
      </x:c>
      <x:c r="AK203" s="10" t="str">
        <x:v>минимум</x:v>
      </x:c>
      <x:c r="AL203" s="32" t="n">
        <x:v>130.28856747163206</x:v>
      </x:c>
      <x:c r="AM20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03" s="13" t="str">
        <x:v>Проверить свободный остаток и установить цену для B2B</x:v>
      </x:c>
      <x:c r="AO203" s="13" t="str">
        <x:v>Остаток 65; прогноз 90 дней 42.43; избыток 22 шт. Будущие поступления не выставляются на продажу. Остаток на начало сентября: требуется актуализация.</x:v>
      </x:c>
      <x:c r="AP203" s="13" t="str">
        <x:v>["category_missing", "daily_stockout_data_missing", "large_orders_detected", "new_order_lead_time_unknown", "reservations_unknown", "stale_stock", "transaction_month_mismatch"]</x:v>
      </x:c>
      <x:c r="AQ203" s="10" t="str">
        <x:v>IEK:030200505_</x:v>
      </x:c>
      <x:c r="AR203" s="24" t="n">
        <x:v>1</x:v>
      </x:c>
      <x:c r="AS203" s="24" t="n">
        <x:v>0</x:v>
      </x:c>
      <x:c r="AT203" s="24" t="n">
        <x:v>0</x:v>
      </x:c>
    </x:row>
    <x:row r="204" ht="64" customHeight="1">
      <x:c r="A204" s="11" t="str">
        <x:v>IEK</x:v>
      </x:c>
      <x:c r="B204" s="33" t="str">
        <x:v>030200507_</x:v>
      </x:c>
      <x:c r="C204" s="33" t="str">
        <x:v>BR-R24-16-K46-F</x:v>
      </x:c>
      <x:c r="D204" s="12" t="str">
        <x:v>Роз. 2-я с з/к/ш 16А в сборе "BRITE" сталь (1/100)</x:v>
      </x:c>
      <x:c r="E204" s="11" t="str">
        <x:v>шт</x:v>
      </x:c>
      <x:c r="F204" s="35" t="n">
        <x:f>MAX(0,ROUNDDOWN((AG204-AF204)/AR204+0.000000001,0)*AR204)</x:f>
        <x:v>43</x:v>
      </x:c>
      <x:c r="G204" s="20" t="str">
        <x:f>IF(J204="Рассчитано",V204*(1-R204/100)-W204-P204-Q204,"н/д")</x:f>
        <x:v>н/д</x:v>
      </x:c>
      <x:c r="H204" s="12" t="str">
        <x:v>Высокий</x:v>
      </x:c>
      <x:c r="I204" s="12" t="str">
        <x:v>Средний</x:v>
      </x:c>
      <x:c r="J204" s="12" t="str">
        <x:f>IF(L204="","Укажите валюту",IF(NOT(ISNUMBER(K204)),"Укажите объём",IF(K204&lt;=0,"Укажите объём",IF(K204&gt;F204,"Объём выше излишка",IF(COUNT(M204:O204)&lt;3,"Нужны цены",IF(COUNT(P204:R204)&lt;3,"Нужны расходы",IF(OR(M204&lt;0,N204&lt;0,O204&lt;0,O204&gt;100,P204&lt;0,Q204&lt;0,R204&lt;0,R204&gt;100),"Проверьте значения","Рассчитано")))))))</x:f>
        <x:v>Нужны цены</x:v>
      </x:c>
      <x:c r="K204" s="36" t="n">
        <x:v>43</x:v>
      </x:c>
      <x:c r="L204" s="19" t="str">
        <x:v>KZT</x:v>
      </x:c>
      <x:c r="M204" s="22"/>
      <x:c r="N204" s="22"/>
      <x:c r="O204" s="28"/>
      <x:c r="P204" s="22"/>
      <x:c r="Q204" s="22"/>
      <x:c r="R204" s="28"/>
      <x:c r="S204" s="22"/>
      <x:c r="T204" s="35" t="n">
        <x:f>K204</x:f>
        <x:v>43</x:v>
      </x:c>
      <x:c r="U204" s="20" t="str">
        <x:f>IF(J204="Рассчитано",N204*(1-O204/100),"н/д")</x:f>
        <x:v>н/д</x:v>
      </x:c>
      <x:c r="V204" s="20" t="str">
        <x:f>IF(J204="Рассчитано",T204*U204,"н/д")</x:f>
        <x:v>н/д</x:v>
      </x:c>
      <x:c r="W204" s="20" t="str">
        <x:f>IF(J204="Рассчитано",T204*M204,"н/д")</x:f>
        <x:v>н/д</x:v>
      </x:c>
      <x:c r="X204" s="20" t="str">
        <x:f>IF(J204="Рассчитано",V204-W204,"н/д")</x:f>
        <x:v>н/д</x:v>
      </x:c>
      <x:c r="Y204" s="26" t="str">
        <x:f>IF(J204="Рассчитано",IF(V204&gt;0,G204/V204,"н/д"),"н/д")</x:f>
        <x:v>н/д</x:v>
      </x:c>
      <x:c r="Z204" s="20" t="str">
        <x:f>"н/д"</x:f>
        <x:v>н/д</x:v>
      </x:c>
      <x:c r="AA204" s="20" t="str">
        <x:f>"н/д"</x:f>
        <x:v>н/д</x:v>
      </x:c>
      <x:c r="AB204" s="20" t="str">
        <x:f>"н/д"</x:f>
        <x:v>н/д</x:v>
      </x:c>
      <x:c r="AC204" s="20" t="str">
        <x:f>IF(AND(J204="Рассчитано",T204&gt;0,R204&lt;100),(W204+P204+Q204)/(T204*(1-R204/100)),"н/д")</x:f>
        <x:v>н/д</x:v>
      </x:c>
      <x:c r="AD204" s="11" t="str">
        <x:f>IF(ISNUMBER(G204),IF(G204&lt;0,"Убыток",IF(G204=0,"Без прибыли","Прибыль &gt; 0")),"Не оценён")</x:f>
        <x:v>Не оценён</x:v>
      </x:c>
      <x:c r="AE204" s="12" t="str">
        <x:f>IF(J204="Рассчитано","Выручка "&amp;TEXT(V204,"0.00")&amp;" - себестоимость "&amp;TEXT(W204,"0.00")&amp;" - комиссия "&amp;TEXT(V204*R204/100,"0.00")&amp;" - доставка "&amp;TEXT(P204,"0.00")&amp;" - прочие "&amp;TEXT(Q204,"0.00")&amp;" = "&amp;TEXT(G204,"0.00")&amp;" "&amp;L204,"Введите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4" s="23" t="n">
        <x:v>135.50998887884825</x:v>
      </x:c>
      <x:c r="AG204" s="35" t="n">
        <x:v>179</x:v>
      </x:c>
      <x:c r="AH204" s="35" t="n">
        <x:v>0</x:v>
      </x:c>
      <x:c r="AI204" s="29" t="n">
        <x:v>46266</x:v>
      </x:c>
      <x:c r="AJ204" s="35" t="n">
        <x:v>1</x:v>
      </x:c>
      <x:c r="AK204" s="11" t="str">
        <x:v>минимум</x:v>
      </x:c>
      <x:c r="AL204" s="31" t="n">
        <x:v>112.33129498713353</x:v>
      </x:c>
      <x:c r="AM204" s="12" t="str">
        <x:v>Остаток на начало сентября; Резервы неизвестны; Нет ежедневных данных доступности. Запас выше прогноза на 90 дней</x:v>
      </x:c>
      <x:c r="AN204" s="12" t="str">
        <x:v>Проверить свободный остаток и установить цену для B2B</x:v>
      </x:c>
      <x:c r="AO204" s="12" t="str">
        <x:v>Остаток 179; прогноз 90 дней 135.51; избыток 43 шт. Будущие поступления не выставляются на продажу. Остаток на начало сентября: требуется актуализация.</x:v>
      </x:c>
      <x:c r="AP204" s="12" t="str">
        <x:v>["category_missing", "daily_stockout_data_missing", "large_orders_detected", "new_order_lead_time_unknown", "reservations_unknown", "stale_stock"]</x:v>
      </x:c>
      <x:c r="AQ204" s="11" t="str">
        <x:v>IEK:030200507_</x:v>
      </x:c>
      <x:c r="AR204" s="23" t="n">
        <x:v>1</x:v>
      </x:c>
      <x:c r="AS204" s="23" t="n">
        <x:v>0</x:v>
      </x:c>
      <x:c r="AT204" s="23" t="n">
        <x:v>0</x:v>
      </x:c>
    </x:row>
    <x:row r="205" ht="64" customHeight="1">
      <x:c r="A205" s="10" t="str">
        <x:v>IEK</x:v>
      </x:c>
      <x:c r="B205" s="34" t="str">
        <x:v>030200510_</x:v>
      </x:c>
      <x:c r="C205" s="34" t="str">
        <x:v>BR-M32-K46</x:v>
      </x:c>
      <x:c r="D205" s="13" t="str">
        <x:v>Рамка 3-мест. "BRITE" сталь (1/100)</x:v>
      </x:c>
      <x:c r="E205" s="10" t="str">
        <x:v>шт</x:v>
      </x:c>
      <x:c r="F205" s="37" t="n">
        <x:f>MAX(0,ROUNDDOWN((AG205-AF205)/AR205+0.000000001,0)*AR205)</x:f>
        <x:v>45</x:v>
      </x:c>
      <x:c r="G205" s="21" t="str">
        <x:f>IF(J205="Рассчитано",V205*(1-R205/100)-W205-P205-Q205,"н/д")</x:f>
        <x:v>н/д</x:v>
      </x:c>
      <x:c r="H205" s="13" t="str">
        <x:v>Высокий</x:v>
      </x:c>
      <x:c r="I205" s="13" t="str">
        <x:v>Средний</x:v>
      </x:c>
      <x:c r="J205" s="13" t="str">
        <x:f>IF(L205="","Укажите валюту",IF(NOT(ISNUMBER(K205)),"Укажите объём",IF(K205&lt;=0,"Укажите объём",IF(K205&gt;F205,"Объём выше излишка",IF(COUNT(M205:O205)&lt;3,"Нужны цены",IF(COUNT(P205:R205)&lt;3,"Нужны расходы",IF(OR(M205&lt;0,N205&lt;0,O205&lt;0,O205&gt;100,P205&lt;0,Q205&lt;0,R205&lt;0,R205&gt;100),"Проверьте значения","Рассчитано")))))))</x:f>
        <x:v>Нужны цены</x:v>
      </x:c>
      <x:c r="K205" s="36" t="n">
        <x:v>45</x:v>
      </x:c>
      <x:c r="L205" s="19" t="str">
        <x:v>KZT</x:v>
      </x:c>
      <x:c r="M205" s="22"/>
      <x:c r="N205" s="22"/>
      <x:c r="O205" s="28"/>
      <x:c r="P205" s="22"/>
      <x:c r="Q205" s="22"/>
      <x:c r="R205" s="28"/>
      <x:c r="S205" s="22"/>
      <x:c r="T205" s="37" t="n">
        <x:f>K205</x:f>
        <x:v>45</x:v>
      </x:c>
      <x:c r="U205" s="21" t="str">
        <x:f>IF(J205="Рассчитано",N205*(1-O205/100),"н/д")</x:f>
        <x:v>н/д</x:v>
      </x:c>
      <x:c r="V205" s="21" t="str">
        <x:f>IF(J205="Рассчитано",T205*U205,"н/д")</x:f>
        <x:v>н/д</x:v>
      </x:c>
      <x:c r="W205" s="21" t="str">
        <x:f>IF(J205="Рассчитано",T205*M205,"н/д")</x:f>
        <x:v>н/д</x:v>
      </x:c>
      <x:c r="X205" s="21" t="str">
        <x:f>IF(J205="Рассчитано",V205-W205,"н/д")</x:f>
        <x:v>н/д</x:v>
      </x:c>
      <x:c r="Y205" s="27" t="str">
        <x:f>IF(J205="Рассчитано",IF(V205&gt;0,G205/V205,"н/д"),"н/д")</x:f>
        <x:v>н/д</x:v>
      </x:c>
      <x:c r="Z205" s="21" t="str">
        <x:f>"н/д"</x:f>
        <x:v>н/д</x:v>
      </x:c>
      <x:c r="AA205" s="21" t="str">
        <x:f>"н/д"</x:f>
        <x:v>н/д</x:v>
      </x:c>
      <x:c r="AB205" s="21" t="str">
        <x:f>"н/д"</x:f>
        <x:v>н/д</x:v>
      </x:c>
      <x:c r="AC205" s="21" t="str">
        <x:f>IF(AND(J205="Рассчитано",T205&gt;0,R205&lt;100),(W205+P205+Q205)/(T205*(1-R205/100)),"н/д")</x:f>
        <x:v>н/д</x:v>
      </x:c>
      <x:c r="AD205" s="10" t="str">
        <x:f>IF(ISNUMBER(G205),IF(G205&lt;0,"Убыток",IF(G205=0,"Без прибыли","Прибыль &gt; 0")),"Не оценён")</x:f>
        <x:v>Не оценён</x:v>
      </x:c>
      <x:c r="AE205" s="13" t="str">
        <x:f>IF(J205="Рассчитано","Выручка "&amp;TEXT(V205,"0.00")&amp;" - себестоимость "&amp;TEXT(W205,"0.00")&amp;" - комиссия "&amp;TEXT(V205*R205/100,"0.00")&amp;" - доставка "&amp;TEXT(P205,"0.00")&amp;" - прочие "&amp;TEXT(Q205,"0.00")&amp;" = "&amp;TEXT(G205,"0.00")&amp;" "&amp;L205,"Введите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5" s="24" t="n">
        <x:v>119.87687138730412</x:v>
      </x:c>
      <x:c r="AG205" s="37" t="n">
        <x:v>165</x:v>
      </x:c>
      <x:c r="AH205" s="37" t="n">
        <x:v>0</x:v>
      </x:c>
      <x:c r="AI205" s="30" t="n">
        <x:v>46266</x:v>
      </x:c>
      <x:c r="AJ205" s="37" t="n">
        <x:v>1</x:v>
      </x:c>
      <x:c r="AK205" s="10" t="str">
        <x:v>минимум</x:v>
      </x:c>
      <x:c r="AL205" s="32" t="n">
        <x:v>117.04896787586131</x:v>
      </x:c>
      <x:c r="AM20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05" s="13" t="str">
        <x:v>Проверить свободный остаток и установить цену для B2B</x:v>
      </x:c>
      <x:c r="AO205" s="13" t="str">
        <x:v>Остаток 165; прогноз 90 дней 119.88; избыток 45 шт. Будущие поступления не выставляются на продажу. Остаток на начало сентября: требуется актуализация.</x:v>
      </x:c>
      <x:c r="AP205" s="13" t="str">
        <x:v>["category_missing", "daily_stockout_data_missing", "large_orders_detected", "negative_net_sales_clipped_for_forecast", "new_order_lead_time_unknown", "reservations_unknown", "stale_stock", "transaction_month_mismatch"]</x:v>
      </x:c>
      <x:c r="AQ205" s="10" t="str">
        <x:v>IEK:030200510_</x:v>
      </x:c>
      <x:c r="AR205" s="24" t="n">
        <x:v>1</x:v>
      </x:c>
      <x:c r="AS205" s="24" t="n">
        <x:v>0</x:v>
      </x:c>
      <x:c r="AT205" s="24" t="n">
        <x:v>0</x:v>
      </x:c>
    </x:row>
    <x:row r="206" ht="64" customHeight="1">
      <x:c r="A206" s="11" t="str">
        <x:v>IEK</x:v>
      </x:c>
      <x:c r="B206" s="33" t="str">
        <x:v>030200513_</x:v>
      </x:c>
      <x:c r="C206" s="33" t="str">
        <x:v>BR-A10-O-K36</x:v>
      </x:c>
      <x:c r="D206" s="12" t="str">
        <x:v>Роз TV оконечная  б/рамки "BRITE" жемчуг (1/100)</x:v>
      </x:c>
      <x:c r="E206" s="11" t="str">
        <x:v>шт</x:v>
      </x:c>
      <x:c r="F206" s="35" t="n">
        <x:f>MAX(0,ROUNDDOWN((AG206-AF206)/AR206+0.000000001,0)*AR206)</x:f>
        <x:v>5</x:v>
      </x:c>
      <x:c r="G206" s="20" t="str">
        <x:f>IF(J206="Рассчитано",V206*(1-R206/100)-W206-P206-Q206,"н/д")</x:f>
        <x:v>н/д</x:v>
      </x:c>
      <x:c r="H206" s="12" t="str">
        <x:v>Высокий</x:v>
      </x:c>
      <x:c r="I206" s="12" t="str">
        <x:v>Высокий</x:v>
      </x:c>
      <x:c r="J206" s="12" t="str">
        <x:f>IF(L206="","Укажите валюту",IF(NOT(ISNUMBER(K206)),"Укажите объём",IF(K206&lt;=0,"Укажите объём",IF(K206&gt;F206,"Объём выше излишка",IF(COUNT(M206:O206)&lt;3,"Нужны цены",IF(COUNT(P206:R206)&lt;3,"Нужны расходы",IF(OR(M206&lt;0,N206&lt;0,O206&lt;0,O206&gt;100,P206&lt;0,Q206&lt;0,R206&lt;0,R206&gt;100),"Проверьте значения","Рассчитано")))))))</x:f>
        <x:v>Нужны цены</x:v>
      </x:c>
      <x:c r="K206" s="36" t="n">
        <x:v>5</x:v>
      </x:c>
      <x:c r="L206" s="19" t="str">
        <x:v>KZT</x:v>
      </x:c>
      <x:c r="M206" s="22"/>
      <x:c r="N206" s="22"/>
      <x:c r="O206" s="28"/>
      <x:c r="P206" s="22"/>
      <x:c r="Q206" s="22"/>
      <x:c r="R206" s="28"/>
      <x:c r="S206" s="22"/>
      <x:c r="T206" s="35" t="n">
        <x:f>K206</x:f>
        <x:v>5</x:v>
      </x:c>
      <x:c r="U206" s="20" t="str">
        <x:f>IF(J206="Рассчитано",N206*(1-O206/100),"н/д")</x:f>
        <x:v>н/д</x:v>
      </x:c>
      <x:c r="V206" s="20" t="str">
        <x:f>IF(J206="Рассчитано",T206*U206,"н/д")</x:f>
        <x:v>н/д</x:v>
      </x:c>
      <x:c r="W206" s="20" t="str">
        <x:f>IF(J206="Рассчитано",T206*M206,"н/д")</x:f>
        <x:v>н/д</x:v>
      </x:c>
      <x:c r="X206" s="20" t="str">
        <x:f>IF(J206="Рассчитано",V206-W206,"н/д")</x:f>
        <x:v>н/д</x:v>
      </x:c>
      <x:c r="Y206" s="26" t="str">
        <x:f>IF(J206="Рассчитано",IF(V206&gt;0,G206/V206,"н/д"),"н/д")</x:f>
        <x:v>н/д</x:v>
      </x:c>
      <x:c r="Z206" s="20" t="str">
        <x:f>"н/д"</x:f>
        <x:v>н/д</x:v>
      </x:c>
      <x:c r="AA206" s="20" t="str">
        <x:f>"н/д"</x:f>
        <x:v>н/д</x:v>
      </x:c>
      <x:c r="AB206" s="20" t="str">
        <x:f>"н/д"</x:f>
        <x:v>н/д</x:v>
      </x:c>
      <x:c r="AC206" s="20" t="str">
        <x:f>IF(AND(J206="Рассчитано",T206&gt;0,R206&lt;100),(W206+P206+Q206)/(T206*(1-R206/100)),"н/д")</x:f>
        <x:v>н/д</x:v>
      </x:c>
      <x:c r="AD206" s="11" t="str">
        <x:f>IF(ISNUMBER(G206),IF(G206&lt;0,"Убыток",IF(G206=0,"Без прибыли","Прибыль &gt; 0")),"Не оценён")</x:f>
        <x:v>Не оценён</x:v>
      </x:c>
      <x:c r="AE206" s="12" t="str">
        <x:f>IF(J206="Рассчитано","Выручка "&amp;TEXT(V206,"0.00")&amp;" - себестоимость "&amp;TEXT(W206,"0.00")&amp;" - комиссия "&amp;TEXT(V206*R206/100,"0.00")&amp;" - доставка "&amp;TEXT(P206,"0.00")&amp;" - прочие "&amp;TEXT(Q206,"0.00")&amp;" = "&amp;TEXT(G206,"0.00")&amp;" "&amp;L206,"Введите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6" s="23" t="n">
        <x:v>1.638235685334532</x:v>
      </x:c>
      <x:c r="AG206" s="35" t="n">
        <x:v>7</x:v>
      </x:c>
      <x:c r="AH206" s="35" t="n">
        <x:v>0</x:v>
      </x:c>
      <x:c r="AI206" s="29" t="n">
        <x:v>46266</x:v>
      </x:c>
      <x:c r="AJ206" s="35" t="n">
        <x:v>1</x:v>
      </x:c>
      <x:c r="AK206" s="11" t="str">
        <x:v>минимум</x:v>
      </x:c>
      <x:c r="AL206" s="31" t="n">
        <x:v>363.3629999149641</x:v>
      </x:c>
      <x:c r="AM20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06" s="12" t="str">
        <x:v>Проверить свободный остаток и установить цену для B2B</x:v>
      </x:c>
      <x:c r="AO206" s="12" t="str">
        <x:v>Остаток 7; прогноз 90 дней 1.64; избыток 5 шт. Будущие поступления не выставляются на продажу. Остаток на начало сентября: требуется актуализация.</x:v>
      </x:c>
      <x:c r="AP206" s="12" t="str">
        <x:v>["category_missing", "daily_stockout_data_missing", "new_order_lead_time_unknown", "reservations_unknown", "stale_stock"]</x:v>
      </x:c>
      <x:c r="AQ206" s="11" t="str">
        <x:v>IEK:030200513_</x:v>
      </x:c>
      <x:c r="AR206" s="23" t="n">
        <x:v>1</x:v>
      </x:c>
      <x:c r="AS206" s="23" t="n">
        <x:v>0</x:v>
      </x:c>
      <x:c r="AT206" s="23" t="n">
        <x:v>0</x:v>
      </x:c>
    </x:row>
    <x:row r="207" ht="64" customHeight="1">
      <x:c r="A207" s="10" t="str">
        <x:v>IEK</x:v>
      </x:c>
      <x:c r="B207" s="34" t="str">
        <x:v>030200516_</x:v>
      </x:c>
      <x:c r="C207" s="34" t="str">
        <x:v>BR-R10-10-K01</x:v>
      </x:c>
      <x:c r="D207" s="13" t="str">
        <x:v>Роз. без з/к 10А б/рамки "BRITE" белый (1/100)</x:v>
      </x:c>
      <x:c r="E207" s="10" t="str">
        <x:v>шт</x:v>
      </x:c>
      <x:c r="F207" s="37" t="n">
        <x:f>MAX(0,ROUNDDOWN((AG207-AF207)/AR207+0.000000001,0)*AR207)</x:f>
        <x:v>150</x:v>
      </x:c>
      <x:c r="G207" s="21" t="str">
        <x:f>IF(J207="Рассчитано",V207*(1-R207/100)-W207-P207-Q207,"н/д")</x:f>
        <x:v>н/д</x:v>
      </x:c>
      <x:c r="H207" s="13" t="str">
        <x:v>Высокий</x:v>
      </x:c>
      <x:c r="I207" s="13" t="str">
        <x:v>Средний</x:v>
      </x:c>
      <x:c r="J207" s="13" t="str">
        <x:f>IF(L207="","Укажите валюту",IF(NOT(ISNUMBER(K207)),"Укажите объём",IF(K207&lt;=0,"Укажите объём",IF(K207&gt;F207,"Объём выше излишка",IF(COUNT(M207:O207)&lt;3,"Нужны цены",IF(COUNT(P207:R207)&lt;3,"Нужны расходы",IF(OR(M207&lt;0,N207&lt;0,O207&lt;0,O207&gt;100,P207&lt;0,Q207&lt;0,R207&lt;0,R207&gt;100),"Проверьте значения","Рассчитано")))))))</x:f>
        <x:v>Нужны цены</x:v>
      </x:c>
      <x:c r="K207" s="36" t="n">
        <x:v>150</x:v>
      </x:c>
      <x:c r="L207" s="19" t="str">
        <x:v>KZT</x:v>
      </x:c>
      <x:c r="M207" s="22"/>
      <x:c r="N207" s="22"/>
      <x:c r="O207" s="28"/>
      <x:c r="P207" s="22"/>
      <x:c r="Q207" s="22"/>
      <x:c r="R207" s="28"/>
      <x:c r="S207" s="22"/>
      <x:c r="T207" s="37" t="n">
        <x:f>K207</x:f>
        <x:v>150</x:v>
      </x:c>
      <x:c r="U207" s="21" t="str">
        <x:f>IF(J207="Рассчитано",N207*(1-O207/100),"н/д")</x:f>
        <x:v>н/д</x:v>
      </x:c>
      <x:c r="V207" s="21" t="str">
        <x:f>IF(J207="Рассчитано",T207*U207,"н/д")</x:f>
        <x:v>н/д</x:v>
      </x:c>
      <x:c r="W207" s="21" t="str">
        <x:f>IF(J207="Рассчитано",T207*M207,"н/д")</x:f>
        <x:v>н/д</x:v>
      </x:c>
      <x:c r="X207" s="21" t="str">
        <x:f>IF(J207="Рассчитано",V207-W207,"н/д")</x:f>
        <x:v>н/д</x:v>
      </x:c>
      <x:c r="Y207" s="27" t="str">
        <x:f>IF(J207="Рассчитано",IF(V207&gt;0,G207/V207,"н/д"),"н/д")</x:f>
        <x:v>н/д</x:v>
      </x:c>
      <x:c r="Z207" s="21" t="str">
        <x:f>"н/д"</x:f>
        <x:v>н/д</x:v>
      </x:c>
      <x:c r="AA207" s="21" t="str">
        <x:f>"н/д"</x:f>
        <x:v>н/д</x:v>
      </x:c>
      <x:c r="AB207" s="21" t="str">
        <x:f>"н/д"</x:f>
        <x:v>н/д</x:v>
      </x:c>
      <x:c r="AC207" s="21" t="str">
        <x:f>IF(AND(J207="Рассчитано",T207&gt;0,R207&lt;100),(W207+P207+Q207)/(T207*(1-R207/100)),"н/д")</x:f>
        <x:v>н/д</x:v>
      </x:c>
      <x:c r="AD207" s="10" t="str">
        <x:f>IF(ISNUMBER(G207),IF(G207&lt;0,"Убыток",IF(G207=0,"Без прибыли","Прибыль &gt; 0")),"Не оценён")</x:f>
        <x:v>Не оценён</x:v>
      </x:c>
      <x:c r="AE207" s="13" t="str">
        <x:f>IF(J207="Рассчитано","Выручка "&amp;TEXT(V207,"0.00")&amp;" - себестоимость "&amp;TEXT(W207,"0.00")&amp;" - комиссия "&amp;TEXT(V207*R207/100,"0.00")&amp;" - доставка "&amp;TEXT(P207,"0.00")&amp;" - прочие "&amp;TEXT(Q207,"0.00")&amp;" = "&amp;TEXT(G207,"0.00")&amp;" "&amp;L207,"Введите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7" s="24" t="n">
        <x:v>556.3905280742096</x:v>
      </x:c>
      <x:c r="AG207" s="37" t="n">
        <x:v>707</x:v>
      </x:c>
      <x:c r="AH207" s="37" t="n">
        <x:v>0</x:v>
      </x:c>
      <x:c r="AI207" s="30" t="n">
        <x:v>46266</x:v>
      </x:c>
      <x:c r="AJ207" s="37" t="n">
        <x:v>1</x:v>
      </x:c>
      <x:c r="AK207" s="10" t="str">
        <x:v>минимум</x:v>
      </x:c>
      <x:c r="AL207" s="32" t="n">
        <x:v>108.05844909038811</x:v>
      </x:c>
      <x:c r="AM207" s="13" t="str">
        <x:v>Остаток на начало сентября; Резервы неизвестны; Нет ежедневных данных доступности. Запас выше прогноза на 90 дней</x:v>
      </x:c>
      <x:c r="AN207" s="13" t="str">
        <x:v>Проверить свободный остаток и установить цену для B2B</x:v>
      </x:c>
      <x:c r="AO207" s="13" t="str">
        <x:v>Остаток 707; прогноз 90 дней 556.39; избыток 150 шт. Будущие поступления не выставляются на продажу. Остаток на начало сентября: требуется актуализация.</x:v>
      </x:c>
      <x:c r="AP207" s="13" t="str">
        <x:v>["category_missing", "daily_stockout_data_missing", "large_orders_detected", "new_order_lead_time_unknown", "reservations_unknown", "stale_stock"]</x:v>
      </x:c>
      <x:c r="AQ207" s="10" t="str">
        <x:v>IEK:030200516_</x:v>
      </x:c>
      <x:c r="AR207" s="24" t="n">
        <x:v>1</x:v>
      </x:c>
      <x:c r="AS207" s="24" t="n">
        <x:v>0</x:v>
      </x:c>
      <x:c r="AT207" s="24" t="n">
        <x:v>0</x:v>
      </x:c>
    </x:row>
    <x:row r="208" ht="64" customHeight="1">
      <x:c r="A208" s="11" t="str">
        <x:v>IEK</x:v>
      </x:c>
      <x:c r="B208" s="33" t="str">
        <x:v>030200517_</x:v>
      </x:c>
      <x:c r="C208" s="33" t="str">
        <x:v>BR-R14-16-K01-F</x:v>
      </x:c>
      <x:c r="D208" s="12" t="str">
        <x:v>Роз. с з/к  с з/ш 16А в сборе "BRITE" белый (1/100)</x:v>
      </x:c>
      <x:c r="E208" s="11" t="str">
        <x:v>шт</x:v>
      </x:c>
      <x:c r="F208" s="35" t="n">
        <x:f>MAX(0,ROUNDDOWN((AG208-AF208)/AR208+0.000000001,0)*AR208)</x:f>
        <x:v>1121</x:v>
      </x:c>
      <x:c r="G208" s="20" t="str">
        <x:f>IF(J208="Рассчитано",V208*(1-R208/100)-W208-P208-Q208,"н/д")</x:f>
        <x:v>н/д</x:v>
      </x:c>
      <x:c r="H208" s="12" t="str">
        <x:v>Высокий</x:v>
      </x:c>
      <x:c r="I208" s="12" t="str">
        <x:v>Средний</x:v>
      </x:c>
      <x:c r="J208" s="12" t="str">
        <x:f>IF(L208="","Укажите валюту",IF(NOT(ISNUMBER(K208)),"Укажите объём",IF(K208&lt;=0,"Укажите объём",IF(K208&gt;F208,"Объём выше излишка",IF(COUNT(M208:O208)&lt;3,"Нужны цены",IF(COUNT(P208:R208)&lt;3,"Нужны расходы",IF(OR(M208&lt;0,N208&lt;0,O208&lt;0,O208&gt;100,P208&lt;0,Q208&lt;0,R208&lt;0,R208&gt;100),"Проверьте значения","Рассчитано")))))))</x:f>
        <x:v>Нужны цены</x:v>
      </x:c>
      <x:c r="K208" s="36" t="n">
        <x:v>1121</x:v>
      </x:c>
      <x:c r="L208" s="19" t="str">
        <x:v>KZT</x:v>
      </x:c>
      <x:c r="M208" s="22"/>
      <x:c r="N208" s="22"/>
      <x:c r="O208" s="28"/>
      <x:c r="P208" s="22"/>
      <x:c r="Q208" s="22"/>
      <x:c r="R208" s="28"/>
      <x:c r="S208" s="22"/>
      <x:c r="T208" s="35" t="n">
        <x:f>K208</x:f>
        <x:v>1121</x:v>
      </x:c>
      <x:c r="U208" s="20" t="str">
        <x:f>IF(J208="Рассчитано",N208*(1-O208/100),"н/д")</x:f>
        <x:v>н/д</x:v>
      </x:c>
      <x:c r="V208" s="20" t="str">
        <x:f>IF(J208="Рассчитано",T208*U208,"н/д")</x:f>
        <x:v>н/д</x:v>
      </x:c>
      <x:c r="W208" s="20" t="str">
        <x:f>IF(J208="Рассчитано",T208*M208,"н/д")</x:f>
        <x:v>н/д</x:v>
      </x:c>
      <x:c r="X208" s="20" t="str">
        <x:f>IF(J208="Рассчитано",V208-W208,"н/д")</x:f>
        <x:v>н/д</x:v>
      </x:c>
      <x:c r="Y208" s="26" t="str">
        <x:f>IF(J208="Рассчитано",IF(V208&gt;0,G208/V208,"н/д"),"н/д")</x:f>
        <x:v>н/д</x:v>
      </x:c>
      <x:c r="Z208" s="20" t="str">
        <x:f>"н/д"</x:f>
        <x:v>н/д</x:v>
      </x:c>
      <x:c r="AA208" s="20" t="str">
        <x:f>"н/д"</x:f>
        <x:v>н/д</x:v>
      </x:c>
      <x:c r="AB208" s="20" t="str">
        <x:f>"н/д"</x:f>
        <x:v>н/д</x:v>
      </x:c>
      <x:c r="AC208" s="20" t="str">
        <x:f>IF(AND(J208="Рассчитано",T208&gt;0,R208&lt;100),(W208+P208+Q208)/(T208*(1-R208/100)),"н/д")</x:f>
        <x:v>н/д</x:v>
      </x:c>
      <x:c r="AD208" s="11" t="str">
        <x:f>IF(ISNUMBER(G208),IF(G208&lt;0,"Убыток",IF(G208=0,"Без прибыли","Прибыль &gt; 0")),"Не оценён")</x:f>
        <x:v>Не оценён</x:v>
      </x:c>
      <x:c r="AE208" s="12" t="str">
        <x:f>IF(J208="Рассчитано","Выручка "&amp;TEXT(V208,"0.00")&amp;" - себестоимость "&amp;TEXT(W208,"0.00")&amp;" - комиссия "&amp;TEXT(V208*R208/100,"0.00")&amp;" - доставка "&amp;TEXT(P208,"0.00")&amp;" - прочие "&amp;TEXT(Q208,"0.00")&amp;" = "&amp;TEXT(G208,"0.00")&amp;" "&amp;L208,"Введите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8" s="23" t="n">
        <x:v>2528.4636542364724</x:v>
      </x:c>
      <x:c r="AG208" s="35" t="n">
        <x:v>3650</x:v>
      </x:c>
      <x:c r="AH208" s="35" t="n">
        <x:v>0</x:v>
      </x:c>
      <x:c r="AI208" s="29" t="n">
        <x:v>46266</x:v>
      </x:c>
      <x:c r="AJ208" s="35" t="n">
        <x:v>1</x:v>
      </x:c>
      <x:c r="AK208" s="11" t="str">
        <x:v>минимум</x:v>
      </x:c>
      <x:c r="AL208" s="31" t="n">
        <x:v>122.7595233575551</x:v>
      </x:c>
      <x:c r="AM20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08" s="12" t="str">
        <x:v>Проверить свободный остаток и установить цену для B2B</x:v>
      </x:c>
      <x:c r="AO208" s="12" t="str">
        <x:v>Остаток 3650; прогноз 90 дней 2528.46; избыток 1121 шт. Будущие поступления не выставляются на продажу. Остаток на начало сентября: требуется актуализация.</x:v>
      </x:c>
      <x:c r="AP208" s="12" t="str">
        <x:v>["category_missing", "daily_stockout_data_missing", "large_orders_detected", "new_order_lead_time_unknown", "reservations_unknown", "stale_stock", "transaction_month_mismatch"]</x:v>
      </x:c>
      <x:c r="AQ208" s="11" t="str">
        <x:v>IEK:030200517_</x:v>
      </x:c>
      <x:c r="AR208" s="23" t="n">
        <x:v>1</x:v>
      </x:c>
      <x:c r="AS208" s="23" t="n">
        <x:v>0</x:v>
      </x:c>
      <x:c r="AT208" s="23" t="n">
        <x:v>0</x:v>
      </x:c>
    </x:row>
    <x:row r="209" ht="64" customHeight="1">
      <x:c r="A209" s="10" t="str">
        <x:v>IEK</x:v>
      </x:c>
      <x:c r="B209" s="34" t="str">
        <x:v>030200519_</x:v>
      </x:c>
      <x:c r="C209" s="34" t="str">
        <x:v>BR-R26-16-44-K01-F</x:v>
      </x:c>
      <x:c r="D209" s="13" t="str">
        <x:v>Роз 2-я с кр. 16А в сб IP44 "BRITE" Белый (1/100)</x:v>
      </x:c>
      <x:c r="E209" s="10" t="str">
        <x:v>шт</x:v>
      </x:c>
      <x:c r="F209" s="37" t="n">
        <x:f>MAX(0,ROUNDDOWN((AG209-AF209)/AR209+0.000000001,0)*AR209)</x:f>
        <x:v>23</x:v>
      </x:c>
      <x:c r="G209" s="21" t="str">
        <x:f>IF(J209="Рассчитано",V209*(1-R209/100)-W209-P209-Q209,"н/д")</x:f>
        <x:v>н/д</x:v>
      </x:c>
      <x:c r="H209" s="13" t="str">
        <x:v>Высокий</x:v>
      </x:c>
      <x:c r="I209" s="13" t="str">
        <x:v>Средний</x:v>
      </x:c>
      <x:c r="J209" s="13" t="str">
        <x:f>IF(L209="","Укажите валюту",IF(NOT(ISNUMBER(K209)),"Укажите объём",IF(K209&lt;=0,"Укажите объём",IF(K209&gt;F209,"Объём выше излишка",IF(COUNT(M209:O209)&lt;3,"Нужны цены",IF(COUNT(P209:R209)&lt;3,"Нужны расходы",IF(OR(M209&lt;0,N209&lt;0,O209&lt;0,O209&gt;100,P209&lt;0,Q209&lt;0,R209&lt;0,R209&gt;100),"Проверьте значения","Рассчитано")))))))</x:f>
        <x:v>Нужны цены</x:v>
      </x:c>
      <x:c r="K209" s="36" t="n">
        <x:v>23</x:v>
      </x:c>
      <x:c r="L209" s="19" t="str">
        <x:v>KZT</x:v>
      </x:c>
      <x:c r="M209" s="22"/>
      <x:c r="N209" s="22"/>
      <x:c r="O209" s="28"/>
      <x:c r="P209" s="22"/>
      <x:c r="Q209" s="22"/>
      <x:c r="R209" s="28"/>
      <x:c r="S209" s="22"/>
      <x:c r="T209" s="37" t="n">
        <x:f>K209</x:f>
        <x:v>23</x:v>
      </x:c>
      <x:c r="U209" s="21" t="str">
        <x:f>IF(J209="Рассчитано",N209*(1-O209/100),"н/д")</x:f>
        <x:v>н/д</x:v>
      </x:c>
      <x:c r="V209" s="21" t="str">
        <x:f>IF(J209="Рассчитано",T209*U209,"н/д")</x:f>
        <x:v>н/д</x:v>
      </x:c>
      <x:c r="W209" s="21" t="str">
        <x:f>IF(J209="Рассчитано",T209*M209,"н/д")</x:f>
        <x:v>н/д</x:v>
      </x:c>
      <x:c r="X209" s="21" t="str">
        <x:f>IF(J209="Рассчитано",V209-W209,"н/д")</x:f>
        <x:v>н/д</x:v>
      </x:c>
      <x:c r="Y209" s="27" t="str">
        <x:f>IF(J209="Рассчитано",IF(V209&gt;0,G209/V209,"н/д"),"н/д")</x:f>
        <x:v>н/д</x:v>
      </x:c>
      <x:c r="Z209" s="21" t="str">
        <x:f>"н/д"</x:f>
        <x:v>н/д</x:v>
      </x:c>
      <x:c r="AA209" s="21" t="str">
        <x:f>"н/д"</x:f>
        <x:v>н/д</x:v>
      </x:c>
      <x:c r="AB209" s="21" t="str">
        <x:f>"н/д"</x:f>
        <x:v>н/д</x:v>
      </x:c>
      <x:c r="AC209" s="21" t="str">
        <x:f>IF(AND(J209="Рассчитано",T209&gt;0,R209&lt;100),(W209+P209+Q209)/(T209*(1-R209/100)),"н/д")</x:f>
        <x:v>н/д</x:v>
      </x:c>
      <x:c r="AD209" s="10" t="str">
        <x:f>IF(ISNUMBER(G209),IF(G209&lt;0,"Убыток",IF(G209=0,"Без прибыли","Прибыль &gt; 0")),"Не оценён")</x:f>
        <x:v>Не оценён</x:v>
      </x:c>
      <x:c r="AE209" s="13" t="str">
        <x:f>IF(J209="Рассчитано","Выручка "&amp;TEXT(V209,"0.00")&amp;" - себестоимость "&amp;TEXT(W209,"0.00")&amp;" - комиссия "&amp;TEXT(V209*R209/100,"0.00")&amp;" - доставка "&amp;TEXT(P209,"0.00")&amp;" - прочие "&amp;TEXT(Q209,"0.00")&amp;" = "&amp;TEXT(G209,"0.00")&amp;" "&amp;L209,"Введите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9" s="24" t="n">
        <x:v>27.255640175283716</x:v>
      </x:c>
      <x:c r="AG209" s="37" t="n">
        <x:v>51</x:v>
      </x:c>
      <x:c r="AH209" s="37" t="n">
        <x:v>0</x:v>
      </x:c>
      <x:c r="AI209" s="30" t="n">
        <x:v>46266</x:v>
      </x:c>
      <x:c r="AJ209" s="37" t="n">
        <x:v>1</x:v>
      </x:c>
      <x:c r="AK209" s="10" t="str">
        <x:v>минимум</x:v>
      </x:c>
      <x:c r="AL209" s="32" t="n">
        <x:v>159.1229542503834</x:v>
      </x:c>
      <x:c r="AM209" s="13" t="str">
        <x:v>Остаток на начало сентября; Резервы неизвестны; Нет ежедневных данных доступности. Запас выше прогноза на 90 дней</x:v>
      </x:c>
      <x:c r="AN209" s="13" t="str">
        <x:v>Проверить свободный остаток и установить цену для B2B</x:v>
      </x:c>
      <x:c r="AO209" s="13" t="str">
        <x:v>Остаток 51; прогноз 90 дней 27.26; избыток 23 шт. Будущие поступления не выставляются на продажу. Остаток на начало сентября: требуется актуализация.</x:v>
      </x:c>
      <x:c r="AP209" s="13" t="str">
        <x:v>["category_missing", "daily_stockout_data_missing", "large_orders_detected", "new_order_lead_time_unknown", "reservations_unknown", "stale_stock"]</x:v>
      </x:c>
      <x:c r="AQ209" s="10" t="str">
        <x:v>IEK:030200519_</x:v>
      </x:c>
      <x:c r="AR209" s="24" t="n">
        <x:v>1</x:v>
      </x:c>
      <x:c r="AS209" s="24" t="n">
        <x:v>0</x:v>
      </x:c>
      <x:c r="AT209" s="24" t="n">
        <x:v>0</x:v>
      </x:c>
    </x:row>
    <x:row r="210" ht="64" customHeight="1">
      <x:c r="A210" s="11" t="str">
        <x:v>IEK</x:v>
      </x:c>
      <x:c r="B210" s="33" t="str">
        <x:v>030200521_</x:v>
      </x:c>
      <x:c r="C210" s="33" t="str">
        <x:v>BR-R10-10-K36</x:v>
      </x:c>
      <x:c r="D210" s="12" t="str">
        <x:v>Роз. без з/к 10А б/рамки "BRITE" жемчуг (1/100)</x:v>
      </x:c>
      <x:c r="E210" s="11" t="str">
        <x:v>шт</x:v>
      </x:c>
      <x:c r="F210" s="35" t="n">
        <x:f>MAX(0,ROUNDDOWN((AG210-AF210)/AR210+0.000000001,0)*AR210)</x:f>
        <x:v>32</x:v>
      </x:c>
      <x:c r="G210" s="20" t="str">
        <x:f>IF(J210="Рассчитано",V210*(1-R210/100)-W210-P210-Q210,"н/д")</x:f>
        <x:v>н/д</x:v>
      </x:c>
      <x:c r="H210" s="12" t="str">
        <x:v>Высокий</x:v>
      </x:c>
      <x:c r="I210" s="12" t="str">
        <x:v>Высокий</x:v>
      </x:c>
      <x:c r="J210" s="12" t="str">
        <x:f>IF(L210="","Укажите валюту",IF(NOT(ISNUMBER(K210)),"Укажите объём",IF(K210&lt;=0,"Укажите объём",IF(K210&gt;F210,"Объём выше излишка",IF(COUNT(M210:O210)&lt;3,"Нужны цены",IF(COUNT(P210:R210)&lt;3,"Нужны расходы",IF(OR(M210&lt;0,N210&lt;0,O210&lt;0,O210&gt;100,P210&lt;0,Q210&lt;0,R210&lt;0,R210&gt;100),"Проверьте значения","Рассчитано")))))))</x:f>
        <x:v>Нужны цены</x:v>
      </x:c>
      <x:c r="K210" s="36" t="n">
        <x:v>32</x:v>
      </x:c>
      <x:c r="L210" s="19" t="str">
        <x:v>KZT</x:v>
      </x:c>
      <x:c r="M210" s="22"/>
      <x:c r="N210" s="22"/>
      <x:c r="O210" s="28"/>
      <x:c r="P210" s="22"/>
      <x:c r="Q210" s="22"/>
      <x:c r="R210" s="28"/>
      <x:c r="S210" s="22"/>
      <x:c r="T210" s="35" t="n">
        <x:f>K210</x:f>
        <x:v>32</x:v>
      </x:c>
      <x:c r="U210" s="20" t="str">
        <x:f>IF(J210="Рассчитано",N210*(1-O210/100),"н/д")</x:f>
        <x:v>н/д</x:v>
      </x:c>
      <x:c r="V210" s="20" t="str">
        <x:f>IF(J210="Рассчитано",T210*U210,"н/д")</x:f>
        <x:v>н/д</x:v>
      </x:c>
      <x:c r="W210" s="20" t="str">
        <x:f>IF(J210="Рассчитано",T210*M210,"н/д")</x:f>
        <x:v>н/д</x:v>
      </x:c>
      <x:c r="X210" s="20" t="str">
        <x:f>IF(J210="Рассчитано",V210-W210,"н/д")</x:f>
        <x:v>н/д</x:v>
      </x:c>
      <x:c r="Y210" s="26" t="str">
        <x:f>IF(J210="Рассчитано",IF(V210&gt;0,G210/V210,"н/д"),"н/д")</x:f>
        <x:v>н/д</x:v>
      </x:c>
      <x:c r="Z210" s="20" t="str">
        <x:f>"н/д"</x:f>
        <x:v>н/д</x:v>
      </x:c>
      <x:c r="AA210" s="20" t="str">
        <x:f>"н/д"</x:f>
        <x:v>н/д</x:v>
      </x:c>
      <x:c r="AB210" s="20" t="str">
        <x:f>"н/д"</x:f>
        <x:v>н/д</x:v>
      </x:c>
      <x:c r="AC210" s="20" t="str">
        <x:f>IF(AND(J210="Рассчитано",T210&gt;0,R210&lt;100),(W210+P210+Q210)/(T210*(1-R210/100)),"н/д")</x:f>
        <x:v>н/д</x:v>
      </x:c>
      <x:c r="AD210" s="11" t="str">
        <x:f>IF(ISNUMBER(G210),IF(G210&lt;0,"Убыток",IF(G210=0,"Без прибыли","Прибыль &gt; 0")),"Не оценён")</x:f>
        <x:v>Не оценён</x:v>
      </x:c>
      <x:c r="AE210" s="12" t="str">
        <x:f>IF(J210="Рассчитано","Выручка "&amp;TEXT(V210,"0.00")&amp;" - себестоимость "&amp;TEXT(W210,"0.00")&amp;" - комиссия "&amp;TEXT(V210*R210/100,"0.00")&amp;" - доставка "&amp;TEXT(P210,"0.00")&amp;" - прочие "&amp;TEXT(Q210,"0.00")&amp;" = "&amp;TEXT(G210,"0.00")&amp;" "&amp;L210,"Введите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0" s="23" t="n">
        <x:v>5.919040203103047</x:v>
      </x:c>
      <x:c r="AG210" s="35" t="n">
        <x:v>38</x:v>
      </x:c>
      <x:c r="AH210" s="35" t="n">
        <x:v>0</x:v>
      </x:c>
      <x:c r="AI210" s="29" t="n">
        <x:v>46266</x:v>
      </x:c>
      <x:c r="AJ210" s="35" t="n">
        <x:v>1</x:v>
      </x:c>
      <x:c r="AK210" s="11" t="str">
        <x:v>минимум</x:v>
      </x:c>
      <x:c r="AL210" s="31" t="n">
        <x:v>545.9480901600912</x:v>
      </x:c>
      <x:c r="AM21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10" s="12" t="str">
        <x:v>Проверить свободный остаток и установить цену для B2B</x:v>
      </x:c>
      <x:c r="AO210" s="12" t="str">
        <x:v>Остаток 38; прогноз 90 дней 5.92; избыток 32 шт. Будущие поступления не выставляются на продажу. Остаток на начало сентября: требуется актуализация.</x:v>
      </x:c>
      <x:c r="AP210" s="12" t="str">
        <x:v>["category_missing", "daily_stockout_data_missing", "new_order_lead_time_unknown", "reservations_unknown", "stale_stock"]</x:v>
      </x:c>
      <x:c r="AQ210" s="11" t="str">
        <x:v>IEK:030200521_</x:v>
      </x:c>
      <x:c r="AR210" s="23" t="n">
        <x:v>1</x:v>
      </x:c>
      <x:c r="AS210" s="23" t="n">
        <x:v>0</x:v>
      </x:c>
      <x:c r="AT210" s="23" t="n">
        <x:v>0</x:v>
      </x:c>
    </x:row>
    <x:row r="211" ht="64" customHeight="1">
      <x:c r="A211" s="10" t="str">
        <x:v>IEK</x:v>
      </x:c>
      <x:c r="B211" s="34" t="str">
        <x:v>030200522_</x:v>
      </x:c>
      <x:c r="C211" s="34" t="str">
        <x:v>BR-R11-16-K36</x:v>
      </x:c>
      <x:c r="D211" s="13" t="str">
        <x:v>Роз. с з/к без з/ш 16А б/рамки "BRITE" жемчуг (1/100)</x:v>
      </x:c>
      <x:c r="E211" s="10" t="str">
        <x:v>шт</x:v>
      </x:c>
      <x:c r="F211" s="37" t="n">
        <x:f>MAX(0,ROUNDDOWN((AG211-AF211)/AR211+0.000000001,0)*AR211)</x:f>
        <x:v>240</x:v>
      </x:c>
      <x:c r="G211" s="21" t="str">
        <x:f>IF(J211="Рассчитано",V211*(1-R211/100)-W211-P211-Q211,"н/д")</x:f>
        <x:v>н/д</x:v>
      </x:c>
      <x:c r="H211" s="13" t="str">
        <x:v>Высокий</x:v>
      </x:c>
      <x:c r="I211" s="13" t="str">
        <x:v>Средний</x:v>
      </x:c>
      <x:c r="J211" s="13" t="str">
        <x:f>IF(L211="","Укажите валюту",IF(NOT(ISNUMBER(K211)),"Укажите объём",IF(K211&lt;=0,"Укажите объём",IF(K211&gt;F211,"Объём выше излишка",IF(COUNT(M211:O211)&lt;3,"Нужны цены",IF(COUNT(P211:R211)&lt;3,"Нужны расходы",IF(OR(M211&lt;0,N211&lt;0,O211&lt;0,O211&gt;100,P211&lt;0,Q211&lt;0,R211&lt;0,R211&gt;100),"Проверьте значения","Рассчитано")))))))</x:f>
        <x:v>Нужны цены</x:v>
      </x:c>
      <x:c r="K211" s="36" t="n">
        <x:v>240</x:v>
      </x:c>
      <x:c r="L211" s="19" t="str">
        <x:v>KZT</x:v>
      </x:c>
      <x:c r="M211" s="22"/>
      <x:c r="N211" s="22"/>
      <x:c r="O211" s="28"/>
      <x:c r="P211" s="22"/>
      <x:c r="Q211" s="22"/>
      <x:c r="R211" s="28"/>
      <x:c r="S211" s="22"/>
      <x:c r="T211" s="37" t="n">
        <x:f>K211</x:f>
        <x:v>240</x:v>
      </x:c>
      <x:c r="U211" s="21" t="str">
        <x:f>IF(J211="Рассчитано",N211*(1-O211/100),"н/д")</x:f>
        <x:v>н/д</x:v>
      </x:c>
      <x:c r="V211" s="21" t="str">
        <x:f>IF(J211="Рассчитано",T211*U211,"н/д")</x:f>
        <x:v>н/д</x:v>
      </x:c>
      <x:c r="W211" s="21" t="str">
        <x:f>IF(J211="Рассчитано",T211*M211,"н/д")</x:f>
        <x:v>н/д</x:v>
      </x:c>
      <x:c r="X211" s="21" t="str">
        <x:f>IF(J211="Рассчитано",V211-W211,"н/д")</x:f>
        <x:v>н/д</x:v>
      </x:c>
      <x:c r="Y211" s="27" t="str">
        <x:f>IF(J211="Рассчитано",IF(V211&gt;0,G211/V211,"н/д"),"н/д")</x:f>
        <x:v>н/д</x:v>
      </x:c>
      <x:c r="Z211" s="21" t="str">
        <x:f>"н/д"</x:f>
        <x:v>н/д</x:v>
      </x:c>
      <x:c r="AA211" s="21" t="str">
        <x:f>"н/д"</x:f>
        <x:v>н/д</x:v>
      </x:c>
      <x:c r="AB211" s="21" t="str">
        <x:f>"н/д"</x:f>
        <x:v>н/д</x:v>
      </x:c>
      <x:c r="AC211" s="21" t="str">
        <x:f>IF(AND(J211="Рассчитано",T211&gt;0,R211&lt;100),(W211+P211+Q211)/(T211*(1-R211/100)),"н/д")</x:f>
        <x:v>н/д</x:v>
      </x:c>
      <x:c r="AD211" s="10" t="str">
        <x:f>IF(ISNUMBER(G211),IF(G211&lt;0,"Убыток",IF(G211=0,"Без прибыли","Прибыль &gt; 0")),"Не оценён")</x:f>
        <x:v>Не оценён</x:v>
      </x:c>
      <x:c r="AE211" s="13" t="str">
        <x:f>IF(J211="Рассчитано","Выручка "&amp;TEXT(V211,"0.00")&amp;" - себестоимость "&amp;TEXT(W211,"0.00")&amp;" - комиссия "&amp;TEXT(V211*R211/100,"0.00")&amp;" - доставка "&amp;TEXT(P211,"0.00")&amp;" - прочие "&amp;TEXT(Q211,"0.00")&amp;" = "&amp;TEXT(G211,"0.00")&amp;" "&amp;L211,"Введите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1" s="24" t="n">
        <x:v>240.89633152298492</x:v>
      </x:c>
      <x:c r="AG211" s="37" t="n">
        <x:v>481</x:v>
      </x:c>
      <x:c r="AH211" s="37" t="n">
        <x:v>0</x:v>
      </x:c>
      <x:c r="AI211" s="30" t="n">
        <x:v>46266</x:v>
      </x:c>
      <x:c r="AJ211" s="37" t="n">
        <x:v>1</x:v>
      </x:c>
      <x:c r="AK211" s="10" t="str">
        <x:v>минимум</x:v>
      </x:c>
      <x:c r="AL211" s="32" t="n">
        <x:v>169.79853316665924</x:v>
      </x:c>
      <x:c r="AM211" s="13" t="str">
        <x:v>Остаток на начало сентября; Резервы неизвестны; Нет ежедневных данных доступности. Запас выше прогноза на 90 дней</x:v>
      </x:c>
      <x:c r="AN211" s="13" t="str">
        <x:v>Проверить свободный остаток и установить цену для B2B</x:v>
      </x:c>
      <x:c r="AO211" s="13" t="str">
        <x:v>Остаток 481; прогноз 90 дней 240.90; избыток 240 шт. Будущие поступления не выставляются на продажу. Остаток на начало сентября: требуется актуализация.</x:v>
      </x:c>
      <x:c r="AP211" s="13" t="str">
        <x:v>["category_missing", "daily_stockout_data_missing", "new_order_lead_time_unknown", "reservations_unknown", "stale_stock"]</x:v>
      </x:c>
      <x:c r="AQ211" s="10" t="str">
        <x:v>IEK:030200522_</x:v>
      </x:c>
      <x:c r="AR211" s="24" t="n">
        <x:v>1</x:v>
      </x:c>
      <x:c r="AS211" s="24" t="n">
        <x:v>0</x:v>
      </x:c>
      <x:c r="AT211" s="24" t="n">
        <x:v>0</x:v>
      </x:c>
    </x:row>
    <x:row r="212" ht="64" customHeight="1">
      <x:c r="A212" s="11" t="str">
        <x:v>IEK</x:v>
      </x:c>
      <x:c r="B212" s="33" t="str">
        <x:v>030200524_</x:v>
      </x:c>
      <x:c r="C212" s="33" t="str">
        <x:v>BR-R10-10-K37</x:v>
      </x:c>
      <x:c r="D212" s="12" t="str">
        <x:v>Роз. без з/к 10А б/рамки "BRITE" шампань (1/100)</x:v>
      </x:c>
      <x:c r="E212" s="11" t="str">
        <x:v>шт</x:v>
      </x:c>
      <x:c r="F212" s="35" t="n">
        <x:f>MAX(0,ROUNDDOWN((AG212-AF212)/AR212+0.000000001,0)*AR212)</x:f>
        <x:v>9</x:v>
      </x:c>
      <x:c r="G212" s="20" t="str">
        <x:f>IF(J212="Рассчитано",V212*(1-R212/100)-W212-P212-Q212,"н/д")</x:f>
        <x:v>н/д</x:v>
      </x:c>
      <x:c r="H212" s="12" t="str">
        <x:v>Высокий</x:v>
      </x:c>
      <x:c r="I212" s="12" t="str">
        <x:v>Высокий</x:v>
      </x:c>
      <x:c r="J212" s="12" t="str">
        <x:f>IF(L212="","Укажите валюту",IF(NOT(ISNUMBER(K212)),"Укажите объём",IF(K212&lt;=0,"Укажите объём",IF(K212&gt;F212,"Объём выше излишка",IF(COUNT(M212:O212)&lt;3,"Нужны цены",IF(COUNT(P212:R212)&lt;3,"Нужны расходы",IF(OR(M212&lt;0,N212&lt;0,O212&lt;0,O212&gt;100,P212&lt;0,Q212&lt;0,R212&lt;0,R212&gt;100),"Проверьте значения","Рассчитано")))))))</x:f>
        <x:v>Нужны цены</x:v>
      </x:c>
      <x:c r="K212" s="36" t="n">
        <x:v>9</x:v>
      </x:c>
      <x:c r="L212" s="19" t="str">
        <x:v>KZT</x:v>
      </x:c>
      <x:c r="M212" s="22"/>
      <x:c r="N212" s="22"/>
      <x:c r="O212" s="28"/>
      <x:c r="P212" s="22"/>
      <x:c r="Q212" s="22"/>
      <x:c r="R212" s="28"/>
      <x:c r="S212" s="22"/>
      <x:c r="T212" s="35" t="n">
        <x:f>K212</x:f>
        <x:v>9</x:v>
      </x:c>
      <x:c r="U212" s="20" t="str">
        <x:f>IF(J212="Рассчитано",N212*(1-O212/100),"н/д")</x:f>
        <x:v>н/д</x:v>
      </x:c>
      <x:c r="V212" s="20" t="str">
        <x:f>IF(J212="Рассчитано",T212*U212,"н/д")</x:f>
        <x:v>н/д</x:v>
      </x:c>
      <x:c r="W212" s="20" t="str">
        <x:f>IF(J212="Рассчитано",T212*M212,"н/д")</x:f>
        <x:v>н/д</x:v>
      </x:c>
      <x:c r="X212" s="20" t="str">
        <x:f>IF(J212="Рассчитано",V212-W212,"н/д")</x:f>
        <x:v>н/д</x:v>
      </x:c>
      <x:c r="Y212" s="26" t="str">
        <x:f>IF(J212="Рассчитано",IF(V212&gt;0,G212/V212,"н/д"),"н/д")</x:f>
        <x:v>н/д</x:v>
      </x:c>
      <x:c r="Z212" s="20" t="str">
        <x:f>"н/д"</x:f>
        <x:v>н/д</x:v>
      </x:c>
      <x:c r="AA212" s="20" t="str">
        <x:f>"н/д"</x:f>
        <x:v>н/д</x:v>
      </x:c>
      <x:c r="AB212" s="20" t="str">
        <x:f>"н/д"</x:f>
        <x:v>н/д</x:v>
      </x:c>
      <x:c r="AC212" s="20" t="str">
        <x:f>IF(AND(J212="Рассчитано",T212&gt;0,R212&lt;100),(W212+P212+Q212)/(T212*(1-R212/100)),"н/д")</x:f>
        <x:v>н/д</x:v>
      </x:c>
      <x:c r="AD212" s="11" t="str">
        <x:f>IF(ISNUMBER(G212),IF(G212&lt;0,"Убыток",IF(G212=0,"Без прибыли","Прибыль &gt; 0")),"Не оценён")</x:f>
        <x:v>Не оценён</x:v>
      </x:c>
      <x:c r="AE212" s="12" t="str">
        <x:f>IF(J212="Рассчитано","Выручка "&amp;TEXT(V212,"0.00")&amp;" - себестоимость "&amp;TEXT(W212,"0.00")&amp;" - комиссия "&amp;TEXT(V212*R212/100,"0.00")&amp;" - доставка "&amp;TEXT(P212,"0.00")&amp;" - прочие "&amp;TEXT(Q212,"0.00")&amp;" = "&amp;TEXT(G212,"0.00")&amp;" "&amp;L212,"Введите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2" s="23" t="n">
        <x:v>0.3946026802068693</x:v>
      </x:c>
      <x:c r="AG212" s="35" t="n">
        <x:v>10</x:v>
      </x:c>
      <x:c r="AH212" s="35" t="n">
        <x:v>0</x:v>
      </x:c>
      <x:c r="AI212" s="29" t="n">
        <x:v>46266</x:v>
      </x:c>
      <x:c r="AJ212" s="35" t="n">
        <x:v>1</x:v>
      </x:c>
      <x:c r="AK212" s="11" t="str">
        <x:v>минимум</x:v>
      </x:c>
      <x:c r="AL212" s="31" t="n">
        <x:v>2155.05825063194</x:v>
      </x:c>
      <x:c r="AM21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12" s="12" t="str">
        <x:v>Проверить свободный остаток и установить цену для B2B</x:v>
      </x:c>
      <x:c r="AO212" s="12" t="str">
        <x:v>Остаток 10; прогноз 90 дней 0.39; избыток 9 шт. Будущие поступления не выставляются на продажу. Остаток на начало сентября: требуется актуализация.</x:v>
      </x:c>
      <x:c r="AP212" s="12" t="str">
        <x:v>["category_missing", "daily_stockout_data_missing", "new_order_lead_time_unknown", "reservations_unknown", "stale_stock"]</x:v>
      </x:c>
      <x:c r="AQ212" s="11" t="str">
        <x:v>IEK:030200524_</x:v>
      </x:c>
      <x:c r="AR212" s="23" t="n">
        <x:v>1</x:v>
      </x:c>
      <x:c r="AS212" s="23" t="n">
        <x:v>0</x:v>
      </x:c>
      <x:c r="AT212" s="23" t="n">
        <x:v>0</x:v>
      </x:c>
    </x:row>
    <x:row r="213" ht="64" customHeight="1">
      <x:c r="A213" s="10" t="str">
        <x:v>IEK</x:v>
      </x:c>
      <x:c r="B213" s="34" t="str">
        <x:v>030200529_</x:v>
      </x:c>
      <x:c r="C213" s="34" t="str">
        <x:v>BR-AK20-1-K47</x:v>
      </x:c>
      <x:c r="D213" s="13" t="str">
        <x:v>Роз. 2-я TV+RJ45 кат.5E б/рамки "BRITE" алюминий (1/100)</x:v>
      </x:c>
      <x:c r="E213" s="10" t="str">
        <x:v>шт</x:v>
      </x:c>
      <x:c r="F213" s="37" t="n">
        <x:f>MAX(0,ROUNDDOWN((AG213-AF213)/AR213+0.000000001,0)*AR213)</x:f>
        <x:v>3</x:v>
      </x:c>
      <x:c r="G213" s="21" t="str">
        <x:f>IF(J213="Рассчитано",V213*(1-R213/100)-W213-P213-Q213,"н/д")</x:f>
        <x:v>н/д</x:v>
      </x:c>
      <x:c r="H213" s="13" t="str">
        <x:v>Высокий</x:v>
      </x:c>
      <x:c r="I213" s="13" t="str">
        <x:v>Высокий</x:v>
      </x:c>
      <x:c r="J213" s="13" t="str">
        <x:f>IF(L213="","Укажите валюту",IF(NOT(ISNUMBER(K213)),"Укажите объём",IF(K213&lt;=0,"Укажите объём",IF(K213&gt;F213,"Объём выше излишка",IF(COUNT(M213:O213)&lt;3,"Нужны цены",IF(COUNT(P213:R213)&lt;3,"Нужны расходы",IF(OR(M213&lt;0,N213&lt;0,O213&lt;0,O213&gt;100,P213&lt;0,Q213&lt;0,R213&lt;0,R213&gt;100),"Проверьте значения","Рассчитано")))))))</x:f>
        <x:v>Нужны цены</x:v>
      </x:c>
      <x:c r="K213" s="36" t="n">
        <x:v>3</x:v>
      </x:c>
      <x:c r="L213" s="19" t="str">
        <x:v>KZT</x:v>
      </x:c>
      <x:c r="M213" s="22"/>
      <x:c r="N213" s="22"/>
      <x:c r="O213" s="28"/>
      <x:c r="P213" s="22"/>
      <x:c r="Q213" s="22"/>
      <x:c r="R213" s="28"/>
      <x:c r="S213" s="22"/>
      <x:c r="T213" s="37" t="n">
        <x:f>K213</x:f>
        <x:v>3</x:v>
      </x:c>
      <x:c r="U213" s="21" t="str">
        <x:f>IF(J213="Рассчитано",N213*(1-O213/100),"н/д")</x:f>
        <x:v>н/д</x:v>
      </x:c>
      <x:c r="V213" s="21" t="str">
        <x:f>IF(J213="Рассчитано",T213*U213,"н/д")</x:f>
        <x:v>н/д</x:v>
      </x:c>
      <x:c r="W213" s="21" t="str">
        <x:f>IF(J213="Рассчитано",T213*M213,"н/д")</x:f>
        <x:v>н/д</x:v>
      </x:c>
      <x:c r="X213" s="21" t="str">
        <x:f>IF(J213="Рассчитано",V213-W213,"н/д")</x:f>
        <x:v>н/д</x:v>
      </x:c>
      <x:c r="Y213" s="27" t="str">
        <x:f>IF(J213="Рассчитано",IF(V213&gt;0,G213/V213,"н/д"),"н/д")</x:f>
        <x:v>н/д</x:v>
      </x:c>
      <x:c r="Z213" s="21" t="str">
        <x:f>"н/д"</x:f>
        <x:v>н/д</x:v>
      </x:c>
      <x:c r="AA213" s="21" t="str">
        <x:f>"н/д"</x:f>
        <x:v>н/д</x:v>
      </x:c>
      <x:c r="AB213" s="21" t="str">
        <x:f>"н/д"</x:f>
        <x:v>н/д</x:v>
      </x:c>
      <x:c r="AC213" s="21" t="str">
        <x:f>IF(AND(J213="Рассчитано",T213&gt;0,R213&lt;100),(W213+P213+Q213)/(T213*(1-R213/100)),"н/д")</x:f>
        <x:v>н/д</x:v>
      </x:c>
      <x:c r="AD213" s="10" t="str">
        <x:f>IF(ISNUMBER(G213),IF(G213&lt;0,"Убыток",IF(G213=0,"Без прибыли","Прибыль &gt; 0")),"Не оценён")</x:f>
        <x:v>Не оценён</x:v>
      </x:c>
      <x:c r="AE213" s="13" t="str">
        <x:f>IF(J213="Рассчитано","Выручка "&amp;TEXT(V213,"0.00")&amp;" - себестоимость "&amp;TEXT(W213,"0.00")&amp;" - комиссия "&amp;TEXT(V213*R213/100,"0.00")&amp;" - доставка "&amp;TEXT(P213,"0.00")&amp;" - прочие "&amp;TEXT(Q213,"0.00")&amp;" = "&amp;TEXT(G213,"0.00")&amp;" "&amp;L213,"Введите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3" s="24" t="n">
        <x:v>0.6565836756480606</x:v>
      </x:c>
      <x:c r="AG213" s="37" t="n">
        <x:v>4</x:v>
      </x:c>
      <x:c r="AH213" s="37" t="n">
        <x:v>0</x:v>
      </x:c>
      <x:c r="AI213" s="30" t="n">
        <x:v>46266</x:v>
      </x:c>
      <x:c r="AJ213" s="37" t="n">
        <x:v>1</x:v>
      </x:c>
      <x:c r="AK213" s="10" t="str">
        <x:v>минимум</x:v>
      </x:c>
      <x:c r="AL213" s="32" t="n">
        <x:v>518.0706089665956</x:v>
      </x:c>
      <x:c r="AM21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13" s="13" t="str">
        <x:v>Проверить свободный остаток и установить цену для B2B</x:v>
      </x:c>
      <x:c r="AO213" s="13" t="str">
        <x:v>Остаток 4; прогноз 90 дней 0.66; избыток 3 шт. Будущие поступления не выставляются на продажу. Остаток на начало сентября: требуется актуализация.</x:v>
      </x:c>
      <x:c r="AP213" s="13" t="str">
        <x:v>["category_missing", "daily_stockout_data_missing", "new_order_lead_time_unknown", "reservations_unknown", "stale_stock"]</x:v>
      </x:c>
      <x:c r="AQ213" s="10" t="str">
        <x:v>IEK:030200529_</x:v>
      </x:c>
      <x:c r="AR213" s="24" t="n">
        <x:v>1</x:v>
      </x:c>
      <x:c r="AS213" s="24" t="n">
        <x:v>0</x:v>
      </x:c>
      <x:c r="AT213" s="24" t="n">
        <x:v>0</x:v>
      </x:c>
    </x:row>
    <x:row r="214" ht="64" customHeight="1">
      <x:c r="A214" s="11" t="str">
        <x:v>IEK</x:v>
      </x:c>
      <x:c r="B214" s="33" t="str">
        <x:v>030200530_</x:v>
      </x:c>
      <x:c r="C214" s="33" t="str">
        <x:v>BR-R10-10-K46</x:v>
      </x:c>
      <x:c r="D214" s="12" t="str">
        <x:v>Роз. без з/к 10А б/рамки "BRITE" сталь (1/100)</x:v>
      </x:c>
      <x:c r="E214" s="11" t="str">
        <x:v>шт</x:v>
      </x:c>
      <x:c r="F214" s="35" t="n">
        <x:f>MAX(0,ROUNDDOWN((AG214-AF214)/AR214+0.000000001,0)*AR214)</x:f>
        <x:v>13</x:v>
      </x:c>
      <x:c r="G214" s="20" t="str">
        <x:f>IF(J214="Рассчитано",V214*(1-R214/100)-W214-P214-Q214,"н/д")</x:f>
        <x:v>н/д</x:v>
      </x:c>
      <x:c r="H214" s="12" t="str">
        <x:v>Высокий</x:v>
      </x:c>
      <x:c r="I214" s="12" t="str">
        <x:v>Средний</x:v>
      </x:c>
      <x:c r="J214" s="12" t="str">
        <x:f>IF(L214="","Укажите валюту",IF(NOT(ISNUMBER(K214)),"Укажите объём",IF(K214&lt;=0,"Укажите объём",IF(K214&gt;F214,"Объём выше излишка",IF(COUNT(M214:O214)&lt;3,"Нужны цены",IF(COUNT(P214:R214)&lt;3,"Нужны расходы",IF(OR(M214&lt;0,N214&lt;0,O214&lt;0,O214&gt;100,P214&lt;0,Q214&lt;0,R214&lt;0,R214&gt;100),"Проверьте значения","Рассчитано")))))))</x:f>
        <x:v>Нужны цены</x:v>
      </x:c>
      <x:c r="K214" s="36" t="n">
        <x:v>13</x:v>
      </x:c>
      <x:c r="L214" s="19" t="str">
        <x:v>KZT</x:v>
      </x:c>
      <x:c r="M214" s="22"/>
      <x:c r="N214" s="22"/>
      <x:c r="O214" s="28"/>
      <x:c r="P214" s="22"/>
      <x:c r="Q214" s="22"/>
      <x:c r="R214" s="28"/>
      <x:c r="S214" s="22"/>
      <x:c r="T214" s="35" t="n">
        <x:f>K214</x:f>
        <x:v>13</x:v>
      </x:c>
      <x:c r="U214" s="20" t="str">
        <x:f>IF(J214="Рассчитано",N214*(1-O214/100),"н/д")</x:f>
        <x:v>н/д</x:v>
      </x:c>
      <x:c r="V214" s="20" t="str">
        <x:f>IF(J214="Рассчитано",T214*U214,"н/д")</x:f>
        <x:v>н/д</x:v>
      </x:c>
      <x:c r="W214" s="20" t="str">
        <x:f>IF(J214="Рассчитано",T214*M214,"н/д")</x:f>
        <x:v>н/д</x:v>
      </x:c>
      <x:c r="X214" s="20" t="str">
        <x:f>IF(J214="Рассчитано",V214-W214,"н/д")</x:f>
        <x:v>н/д</x:v>
      </x:c>
      <x:c r="Y214" s="26" t="str">
        <x:f>IF(J214="Рассчитано",IF(V214&gt;0,G214/V214,"н/д"),"н/д")</x:f>
        <x:v>н/д</x:v>
      </x:c>
      <x:c r="Z214" s="20" t="str">
        <x:f>"н/д"</x:f>
        <x:v>н/д</x:v>
      </x:c>
      <x:c r="AA214" s="20" t="str">
        <x:f>"н/д"</x:f>
        <x:v>н/д</x:v>
      </x:c>
      <x:c r="AB214" s="20" t="str">
        <x:f>"н/д"</x:f>
        <x:v>н/д</x:v>
      </x:c>
      <x:c r="AC214" s="20" t="str">
        <x:f>IF(AND(J214="Рассчитано",T214&gt;0,R214&lt;100),(W214+P214+Q214)/(T214*(1-R214/100)),"н/д")</x:f>
        <x:v>н/д</x:v>
      </x:c>
      <x:c r="AD214" s="11" t="str">
        <x:f>IF(ISNUMBER(G214),IF(G214&lt;0,"Убыток",IF(G214=0,"Без прибыли","Прибыль &gt; 0")),"Не оценён")</x:f>
        <x:v>Не оценён</x:v>
      </x:c>
      <x:c r="AE214" s="12" t="str">
        <x:f>IF(J214="Рассчитано","Выручка "&amp;TEXT(V214,"0.00")&amp;" - себестоимость "&amp;TEXT(W214,"0.00")&amp;" - комиссия "&amp;TEXT(V214*R214/100,"0.00")&amp;" - доставка "&amp;TEXT(P214,"0.00")&amp;" - прочие "&amp;TEXT(Q214,"0.00")&amp;" = "&amp;TEXT(G214,"0.00")&amp;" "&amp;L214,"Введите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4" s="23" t="n">
        <x:v>109.6498493275772</x:v>
      </x:c>
      <x:c r="AG214" s="35" t="n">
        <x:v>123</x:v>
      </x:c>
      <x:c r="AH214" s="35" t="n">
        <x:v>0</x:v>
      </x:c>
      <x:c r="AI214" s="29" t="n">
        <x:v>46266</x:v>
      </x:c>
      <x:c r="AJ214" s="35" t="n">
        <x:v>1</x:v>
      </x:c>
      <x:c r="AK214" s="11" t="str">
        <x:v>минимум</x:v>
      </x:c>
      <x:c r="AL214" s="31" t="n">
        <x:v>95.39291419979364</x:v>
      </x:c>
      <x:c r="AM214" s="12" t="str">
        <x:v>Остаток на начало сентября; Резервы неизвестны; Нет ежедневных данных доступности. Запас выше прогноза на 90 дней</x:v>
      </x:c>
      <x:c r="AN214" s="12" t="str">
        <x:v>Проверить свободный остаток и установить цену для B2B</x:v>
      </x:c>
      <x:c r="AO214" s="12" t="str">
        <x:v>Остаток 123; прогноз 90 дней 109.65; избыток 13 шт. Будущие поступления не выставляются на продажу. Остаток на начало сентября: требуется актуализация.</x:v>
      </x:c>
      <x:c r="AP214" s="12" t="str">
        <x:v>["category_missing", "daily_stockout_data_missing", "new_order_lead_time_unknown", "reservations_unknown", "stale_stock"]</x:v>
      </x:c>
      <x:c r="AQ214" s="11" t="str">
        <x:v>IEK:030200530_</x:v>
      </x:c>
      <x:c r="AR214" s="23" t="n">
        <x:v>1</x:v>
      </x:c>
      <x:c r="AS214" s="23" t="n">
        <x:v>0</x:v>
      </x:c>
      <x:c r="AT214" s="23" t="n">
        <x:v>0</x:v>
      </x:c>
    </x:row>
    <x:row r="215" ht="64" customHeight="1">
      <x:c r="A215" s="10" t="str">
        <x:v>IEK</x:v>
      </x:c>
      <x:c r="B215" s="34" t="str">
        <x:v>030200533_</x:v>
      </x:c>
      <x:c r="C215" s="34" t="str">
        <x:v>BR-R10-10-K53</x:v>
      </x:c>
      <x:c r="D215" s="13" t="str">
        <x:v>Роз. без з/к 10А б/рамки "BRITE" графит (1/100)</x:v>
      </x:c>
      <x:c r="E215" s="10" t="str">
        <x:v>шт</x:v>
      </x:c>
      <x:c r="F215" s="37" t="n">
        <x:f>MAX(0,ROUNDDOWN((AG215-AF215)/AR215+0.000000001,0)*AR215)</x:f>
        <x:v>227</x:v>
      </x:c>
      <x:c r="G215" s="21" t="str">
        <x:f>IF(J215="Рассчитано",V215*(1-R215/100)-W215-P215-Q215,"н/д")</x:f>
        <x:v>н/д</x:v>
      </x:c>
      <x:c r="H215" s="13" t="str">
        <x:v>Высокий</x:v>
      </x:c>
      <x:c r="I215" s="13" t="str">
        <x:v>Высокий</x:v>
      </x:c>
      <x:c r="J215" s="13" t="str">
        <x:f>IF(L215="","Укажите валюту",IF(NOT(ISNUMBER(K215)),"Укажите объём",IF(K215&lt;=0,"Укажите объём",IF(K215&gt;F215,"Объём выше излишка",IF(COUNT(M215:O215)&lt;3,"Нужны цены",IF(COUNT(P215:R215)&lt;3,"Нужны расходы",IF(OR(M215&lt;0,N215&lt;0,O215&lt;0,O215&gt;100,P215&lt;0,Q215&lt;0,R215&lt;0,R215&gt;100),"Проверьте значения","Рассчитано")))))))</x:f>
        <x:v>Нужны цены</x:v>
      </x:c>
      <x:c r="K215" s="36" t="n">
        <x:v>227</x:v>
      </x:c>
      <x:c r="L215" s="19" t="str">
        <x:v>KZT</x:v>
      </x:c>
      <x:c r="M215" s="22"/>
      <x:c r="N215" s="22"/>
      <x:c r="O215" s="28"/>
      <x:c r="P215" s="22"/>
      <x:c r="Q215" s="22"/>
      <x:c r="R215" s="28"/>
      <x:c r="S215" s="22"/>
      <x:c r="T215" s="37" t="n">
        <x:f>K215</x:f>
        <x:v>227</x:v>
      </x:c>
      <x:c r="U215" s="21" t="str">
        <x:f>IF(J215="Рассчитано",N215*(1-O215/100),"н/д")</x:f>
        <x:v>н/д</x:v>
      </x:c>
      <x:c r="V215" s="21" t="str">
        <x:f>IF(J215="Рассчитано",T215*U215,"н/д")</x:f>
        <x:v>н/д</x:v>
      </x:c>
      <x:c r="W215" s="21" t="str">
        <x:f>IF(J215="Рассчитано",T215*M215,"н/д")</x:f>
        <x:v>н/д</x:v>
      </x:c>
      <x:c r="X215" s="21" t="str">
        <x:f>IF(J215="Рассчитано",V215-W215,"н/д")</x:f>
        <x:v>н/д</x:v>
      </x:c>
      <x:c r="Y215" s="27" t="str">
        <x:f>IF(J215="Рассчитано",IF(V215&gt;0,G215/V215,"н/д"),"н/д")</x:f>
        <x:v>н/д</x:v>
      </x:c>
      <x:c r="Z215" s="21" t="str">
        <x:f>"н/д"</x:f>
        <x:v>н/д</x:v>
      </x:c>
      <x:c r="AA215" s="21" t="str">
        <x:f>"н/д"</x:f>
        <x:v>н/д</x:v>
      </x:c>
      <x:c r="AB215" s="21" t="str">
        <x:f>"н/д"</x:f>
        <x:v>н/д</x:v>
      </x:c>
      <x:c r="AC215" s="21" t="str">
        <x:f>IF(AND(J215="Рассчитано",T215&gt;0,R215&lt;100),(W215+P215+Q215)/(T215*(1-R215/100)),"н/д")</x:f>
        <x:v>н/д</x:v>
      </x:c>
      <x:c r="AD215" s="10" t="str">
        <x:f>IF(ISNUMBER(G215),IF(G215&lt;0,"Убыток",IF(G215=0,"Без прибыли","Прибыль &gt; 0")),"Не оценён")</x:f>
        <x:v>Не оценён</x:v>
      </x:c>
      <x:c r="AE215" s="13" t="str">
        <x:f>IF(J215="Рассчитано","Выручка "&amp;TEXT(V215,"0.00")&amp;" - себестоимость "&amp;TEXT(W215,"0.00")&amp;" - комиссия "&amp;TEXT(V215*R215/100,"0.00")&amp;" - доставка "&amp;TEXT(P215,"0.00")&amp;" - прочие "&amp;TEXT(Q215,"0.00")&amp;" = "&amp;TEXT(G215,"0.00")&amp;" "&amp;L215,"Введите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5" s="24" t="n">
        <x:v>81.16687091927105</x:v>
      </x:c>
      <x:c r="AG215" s="37" t="n">
        <x:v>309</x:v>
      </x:c>
      <x:c r="AH215" s="37" t="n">
        <x:v>0</x:v>
      </x:c>
      <x:c r="AI215" s="30" t="n">
        <x:v>46266</x:v>
      </x:c>
      <x:c r="AJ215" s="37" t="n">
        <x:v>1</x:v>
      </x:c>
      <x:c r="AK215" s="10" t="str">
        <x:v>минимум</x:v>
      </x:c>
      <x:c r="AL215" s="32" t="n">
        <x:v>323.74175743087653</x:v>
      </x:c>
      <x:c r="AM21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15" s="13" t="str">
        <x:v>Проверить свободный остаток и установить цену для B2B</x:v>
      </x:c>
      <x:c r="AO215" s="13" t="str">
        <x:v>Остаток 309; прогноз 90 дней 81.17; избыток 227 шт. Будущие поступления не выставляются на продажу. Остаток на начало сентября: требуется актуализация.</x:v>
      </x:c>
      <x:c r="AP215" s="13" t="str">
        <x:v>["category_missing", "daily_stockout_data_missing", "new_order_lead_time_unknown", "reservations_unknown", "stale_stock"]</x:v>
      </x:c>
      <x:c r="AQ215" s="10" t="str">
        <x:v>IEK:030200533_</x:v>
      </x:c>
      <x:c r="AR215" s="24" t="n">
        <x:v>1</x:v>
      </x:c>
      <x:c r="AS215" s="24" t="n">
        <x:v>0</x:v>
      </x:c>
      <x:c r="AT215" s="24" t="n">
        <x:v>0</x:v>
      </x:c>
    </x:row>
    <x:row r="216" ht="64" customHeight="1">
      <x:c r="A216" s="11" t="str">
        <x:v>IEK</x:v>
      </x:c>
      <x:c r="B216" s="33" t="str">
        <x:v>030200536_</x:v>
      </x:c>
      <x:c r="C216" s="33" t="str">
        <x:v>BR-R10-10-K02</x:v>
      </x:c>
      <x:c r="D216" s="12" t="str">
        <x:v>Роз. без з/к 10А б/рамки "BRITE" черный (1/100)</x:v>
      </x:c>
      <x:c r="E216" s="11" t="str">
        <x:v>шт</x:v>
      </x:c>
      <x:c r="F216" s="35" t="n">
        <x:f>MAX(0,ROUNDDOWN((AG216-AF216)/AR216+0.000000001,0)*AR216)</x:f>
        <x:v>295</x:v>
      </x:c>
      <x:c r="G216" s="20" t="str">
        <x:f>IF(J216="Рассчитано",V216*(1-R216/100)-W216-P216-Q216,"н/д")</x:f>
        <x:v>н/д</x:v>
      </x:c>
      <x:c r="H216" s="12" t="str">
        <x:v>Высокий</x:v>
      </x:c>
      <x:c r="I216" s="12" t="str">
        <x:v>Средний</x:v>
      </x:c>
      <x:c r="J216" s="12" t="str">
        <x:f>IF(L216="","Укажите валюту",IF(NOT(ISNUMBER(K216)),"Укажите объём",IF(K216&lt;=0,"Укажите объём",IF(K216&gt;F216,"Объём выше излишка",IF(COUNT(M216:O216)&lt;3,"Нужны цены",IF(COUNT(P216:R216)&lt;3,"Нужны расходы",IF(OR(M216&lt;0,N216&lt;0,O216&lt;0,O216&gt;100,P216&lt;0,Q216&lt;0,R216&lt;0,R216&gt;100),"Проверьте значения","Рассчитано")))))))</x:f>
        <x:v>Нужны цены</x:v>
      </x:c>
      <x:c r="K216" s="36" t="n">
        <x:v>295</x:v>
      </x:c>
      <x:c r="L216" s="19" t="str">
        <x:v>KZT</x:v>
      </x:c>
      <x:c r="M216" s="22"/>
      <x:c r="N216" s="22"/>
      <x:c r="O216" s="28"/>
      <x:c r="P216" s="22"/>
      <x:c r="Q216" s="22"/>
      <x:c r="R216" s="28"/>
      <x:c r="S216" s="22"/>
      <x:c r="T216" s="35" t="n">
        <x:f>K216</x:f>
        <x:v>295</x:v>
      </x:c>
      <x:c r="U216" s="20" t="str">
        <x:f>IF(J216="Рассчитано",N216*(1-O216/100),"н/д")</x:f>
        <x:v>н/д</x:v>
      </x:c>
      <x:c r="V216" s="20" t="str">
        <x:f>IF(J216="Рассчитано",T216*U216,"н/д")</x:f>
        <x:v>н/д</x:v>
      </x:c>
      <x:c r="W216" s="20" t="str">
        <x:f>IF(J216="Рассчитано",T216*M216,"н/д")</x:f>
        <x:v>н/д</x:v>
      </x:c>
      <x:c r="X216" s="20" t="str">
        <x:f>IF(J216="Рассчитано",V216-W216,"н/д")</x:f>
        <x:v>н/д</x:v>
      </x:c>
      <x:c r="Y216" s="26" t="str">
        <x:f>IF(J216="Рассчитано",IF(V216&gt;0,G216/V216,"н/д"),"н/д")</x:f>
        <x:v>н/д</x:v>
      </x:c>
      <x:c r="Z216" s="20" t="str">
        <x:f>"н/д"</x:f>
        <x:v>н/д</x:v>
      </x:c>
      <x:c r="AA216" s="20" t="str">
        <x:f>"н/д"</x:f>
        <x:v>н/д</x:v>
      </x:c>
      <x:c r="AB216" s="20" t="str">
        <x:f>"н/д"</x:f>
        <x:v>н/д</x:v>
      </x:c>
      <x:c r="AC216" s="20" t="str">
        <x:f>IF(AND(J216="Рассчитано",T216&gt;0,R216&lt;100),(W216+P216+Q216)/(T216*(1-R216/100)),"н/д")</x:f>
        <x:v>н/д</x:v>
      </x:c>
      <x:c r="AD216" s="11" t="str">
        <x:f>IF(ISNUMBER(G216),IF(G216&lt;0,"Убыток",IF(G216=0,"Без прибыли","Прибыль &gt; 0")),"Не оценён")</x:f>
        <x:v>Не оценён</x:v>
      </x:c>
      <x:c r="AE216" s="12" t="str">
        <x:f>IF(J216="Рассчитано","Выручка "&amp;TEXT(V216,"0.00")&amp;" - себестоимость "&amp;TEXT(W216,"0.00")&amp;" - комиссия "&amp;TEXT(V216*R216/100,"0.00")&amp;" - доставка "&amp;TEXT(P216,"0.00")&amp;" - прочие "&amp;TEXT(Q216,"0.00")&amp;" = "&amp;TEXT(G216,"0.00")&amp;" "&amp;L216,"Введите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6" s="23" t="n">
        <x:v>838.4480575380348</x:v>
      </x:c>
      <x:c r="AG216" s="35" t="n">
        <x:v>1134</x:v>
      </x:c>
      <x:c r="AH216" s="35" t="n">
        <x:v>0</x:v>
      </x:c>
      <x:c r="AI216" s="29" t="n">
        <x:v>46266</x:v>
      </x:c>
      <x:c r="AJ216" s="35" t="n">
        <x:v>1</x:v>
      </x:c>
      <x:c r="AK216" s="11" t="str">
        <x:v>минимум</x:v>
      </x:c>
      <x:c r="AL216" s="31" t="n">
        <x:v>115.01538456668412</x:v>
      </x:c>
      <x:c r="AM216" s="12" t="str">
        <x:v>Остаток на начало сентября; Резервы неизвестны; Нет ежедневных данных доступности. Запас выше прогноза на 90 дней</x:v>
      </x:c>
      <x:c r="AN216" s="12" t="str">
        <x:v>Проверить свободный остаток и установить цену для B2B</x:v>
      </x:c>
      <x:c r="AO216" s="12" t="str">
        <x:v>Остаток 1134; прогноз 90 дней 838.45; избыток 295 шт. Будущие поступления не выставляются на продажу. Остаток на начало сентября: требуется актуализация.</x:v>
      </x:c>
      <x:c r="AP216" s="12" t="str">
        <x:v>["category_missing", "daily_stockout_data_missing", "new_order_lead_time_unknown", "reservations_unknown", "stale_stock"]</x:v>
      </x:c>
      <x:c r="AQ216" s="11" t="str">
        <x:v>IEK:030200536_</x:v>
      </x:c>
      <x:c r="AR216" s="23" t="n">
        <x:v>1</x:v>
      </x:c>
      <x:c r="AS216" s="23" t="n">
        <x:v>0</x:v>
      </x:c>
      <x:c r="AT216" s="23" t="n">
        <x:v>0</x:v>
      </x:c>
    </x:row>
    <x:row r="217" ht="64" customHeight="1">
      <x:c r="A217" s="10" t="str">
        <x:v>IEK</x:v>
      </x:c>
      <x:c r="B217" s="34" t="str">
        <x:v>030200539_</x:v>
      </x:c>
      <x:c r="C217" s="34" t="str">
        <x:v>BR-A10-O-K37</x:v>
      </x:c>
      <x:c r="D217" s="13" t="str">
        <x:v>Роз TV оконечная  б/рамки "BRITE" шампань (1/100)</x:v>
      </x:c>
      <x:c r="E217" s="10" t="str">
        <x:v>шт</x:v>
      </x:c>
      <x:c r="F217" s="37" t="n">
        <x:f>MAX(0,ROUNDDOWN((AG217-AF217)/AR217+0.000000001,0)*AR217)</x:f>
        <x:v>1</x:v>
      </x:c>
      <x:c r="G217" s="21" t="str">
        <x:f>IF(J217="Рассчитано",V217*(1-R217/100)-W217-P217-Q217,"н/д")</x:f>
        <x:v>н/д</x:v>
      </x:c>
      <x:c r="H217" s="13" t="str">
        <x:v>Высокий</x:v>
      </x:c>
      <x:c r="I217" s="13" t="str">
        <x:v>Средний</x:v>
      </x:c>
      <x:c r="J217" s="13" t="str">
        <x:f>IF(L217="","Укажите валюту",IF(NOT(ISNUMBER(K217)),"Укажите объём",IF(K217&lt;=0,"Укажите объём",IF(K217&gt;F217,"Объём выше излишка",IF(COUNT(M217:O217)&lt;3,"Нужны цены",IF(COUNT(P217:R217)&lt;3,"Нужны расходы",IF(OR(M217&lt;0,N217&lt;0,O217&lt;0,O217&gt;100,P217&lt;0,Q217&lt;0,R217&lt;0,R217&gt;100),"Проверьте значения","Рассчитано")))))))</x:f>
        <x:v>Нужны цены</x:v>
      </x:c>
      <x:c r="K217" s="36" t="n">
        <x:v>1</x:v>
      </x:c>
      <x:c r="L217" s="19" t="str">
        <x:v>KZT</x:v>
      </x:c>
      <x:c r="M217" s="22"/>
      <x:c r="N217" s="22"/>
      <x:c r="O217" s="28"/>
      <x:c r="P217" s="22"/>
      <x:c r="Q217" s="22"/>
      <x:c r="R217" s="28"/>
      <x:c r="S217" s="22"/>
      <x:c r="T217" s="37" t="n">
        <x:f>K217</x:f>
        <x:v>1</x:v>
      </x:c>
      <x:c r="U217" s="21" t="str">
        <x:f>IF(J217="Рассчитано",N217*(1-O217/100),"н/д")</x:f>
        <x:v>н/д</x:v>
      </x:c>
      <x:c r="V217" s="21" t="str">
        <x:f>IF(J217="Рассчитано",T217*U217,"н/д")</x:f>
        <x:v>н/д</x:v>
      </x:c>
      <x:c r="W217" s="21" t="str">
        <x:f>IF(J217="Рассчитано",T217*M217,"н/д")</x:f>
        <x:v>н/д</x:v>
      </x:c>
      <x:c r="X217" s="21" t="str">
        <x:f>IF(J217="Рассчитано",V217-W217,"н/д")</x:f>
        <x:v>н/д</x:v>
      </x:c>
      <x:c r="Y217" s="27" t="str">
        <x:f>IF(J217="Рассчитано",IF(V217&gt;0,G217/V217,"н/д"),"н/д")</x:f>
        <x:v>н/д</x:v>
      </x:c>
      <x:c r="Z217" s="21" t="str">
        <x:f>"н/д"</x:f>
        <x:v>н/д</x:v>
      </x:c>
      <x:c r="AA217" s="21" t="str">
        <x:f>"н/д"</x:f>
        <x:v>н/д</x:v>
      </x:c>
      <x:c r="AB217" s="21" t="str">
        <x:f>"н/д"</x:f>
        <x:v>н/д</x:v>
      </x:c>
      <x:c r="AC217" s="21" t="str">
        <x:f>IF(AND(J217="Рассчитано",T217&gt;0,R217&lt;100),(W217+P217+Q217)/(T217*(1-R217/100)),"н/д")</x:f>
        <x:v>н/д</x:v>
      </x:c>
      <x:c r="AD217" s="10" t="str">
        <x:f>IF(ISNUMBER(G217),IF(G217&lt;0,"Убыток",IF(G217=0,"Без прибыли","Прибыль &gt; 0")),"Не оценён")</x:f>
        <x:v>Не оценён</x:v>
      </x:c>
      <x:c r="AE217" s="13" t="str">
        <x:f>IF(J217="Рассчитано","Выручка "&amp;TEXT(V217,"0.00")&amp;" - себестоимость "&amp;TEXT(W217,"0.00")&amp;" - комиссия "&amp;TEXT(V217*R217/100,"0.00")&amp;" - доставка "&amp;TEXT(P217,"0.00")&amp;" - прочие "&amp;TEXT(Q217,"0.00")&amp;" = "&amp;TEXT(G217,"0.00")&amp;" "&amp;L217,"Введите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7" s="24" t="n">
        <x:v>10.788152522476587</x:v>
      </x:c>
      <x:c r="AG217" s="37" t="n">
        <x:v>12</x:v>
      </x:c>
      <x:c r="AH217" s="37" t="n">
        <x:v>0</x:v>
      </x:c>
      <x:c r="AI217" s="30" t="n">
        <x:v>46266</x:v>
      </x:c>
      <x:c r="AJ217" s="37" t="n">
        <x:v>1</x:v>
      </x:c>
      <x:c r="AK217" s="10" t="str">
        <x:v>минимум</x:v>
      </x:c>
      <x:c r="AL217" s="32" t="n">
        <x:v>94.59173958798316</x:v>
      </x:c>
      <x:c r="AM217" s="13" t="str">
        <x:v>Остаток на начало сентября; Резервы неизвестны; Нет ежедневных данных доступности. Запас выше прогноза на 90 дней</x:v>
      </x:c>
      <x:c r="AN217" s="13" t="str">
        <x:v>Проверить свободный остаток и установить цену для B2B</x:v>
      </x:c>
      <x:c r="AO217" s="13" t="str">
        <x:v>Остаток 12; прогноз 90 дней 10.79; избыток 1 шт. Будущие поступления не выставляются на продажу. Остаток на начало сентября: требуется актуализация.</x:v>
      </x:c>
      <x:c r="AP217" s="13" t="str">
        <x:v>["category_missing", "daily_stockout_data_missing", "new_order_lead_time_unknown", "reservations_unknown", "stale_stock"]</x:v>
      </x:c>
      <x:c r="AQ217" s="10" t="str">
        <x:v>IEK:030200539_</x:v>
      </x:c>
      <x:c r="AR217" s="24" t="n">
        <x:v>1</x:v>
      </x:c>
      <x:c r="AS217" s="24" t="n">
        <x:v>0</x:v>
      </x:c>
      <x:c r="AT217" s="24" t="n">
        <x:v>0</x:v>
      </x:c>
    </x:row>
    <x:row r="218" ht="64" customHeight="1">
      <x:c r="A218" s="11" t="str">
        <x:v>IEK</x:v>
      </x:c>
      <x:c r="B218" s="33" t="str">
        <x:v>030200540_</x:v>
      </x:c>
      <x:c r="C218" s="33" t="str">
        <x:v>BR-A10-O-K47</x:v>
      </x:c>
      <x:c r="D218" s="12" t="str">
        <x:v>Роз TV оконечная  б/рамки "BRITE" алюминий (1/100)</x:v>
      </x:c>
      <x:c r="E218" s="11" t="str">
        <x:v>шт</x:v>
      </x:c>
      <x:c r="F218" s="35" t="n">
        <x:f>MAX(0,ROUNDDOWN((AG218-AF218)/AR218+0.000000001,0)*AR218)</x:f>
        <x:v>63</x:v>
      </x:c>
      <x:c r="G218" s="20" t="str">
        <x:f>IF(J218="Рассчитано",V218*(1-R218/100)-W218-P218-Q218,"н/д")</x:f>
        <x:v>н/д</x:v>
      </x:c>
      <x:c r="H218" s="12" t="str">
        <x:v>Высокий</x:v>
      </x:c>
      <x:c r="I218" s="12" t="str">
        <x:v>Высокий</x:v>
      </x:c>
      <x:c r="J218" s="12" t="str">
        <x:f>IF(L218="","Укажите валюту",IF(NOT(ISNUMBER(K218)),"Укажите объём",IF(K218&lt;=0,"Укажите объём",IF(K218&gt;F218,"Объём выше излишка",IF(COUNT(M218:O218)&lt;3,"Нужны цены",IF(COUNT(P218:R218)&lt;3,"Нужны расходы",IF(OR(M218&lt;0,N218&lt;0,O218&lt;0,O218&gt;100,P218&lt;0,Q218&lt;0,R218&lt;0,R218&gt;100),"Проверьте значения","Рассчитано")))))))</x:f>
        <x:v>Нужны цены</x:v>
      </x:c>
      <x:c r="K218" s="36" t="n">
        <x:v>63</x:v>
      </x:c>
      <x:c r="L218" s="19" t="str">
        <x:v>KZT</x:v>
      </x:c>
      <x:c r="M218" s="22"/>
      <x:c r="N218" s="22"/>
      <x:c r="O218" s="28"/>
      <x:c r="P218" s="22"/>
      <x:c r="Q218" s="22"/>
      <x:c r="R218" s="28"/>
      <x:c r="S218" s="22"/>
      <x:c r="T218" s="35" t="n">
        <x:f>K218</x:f>
        <x:v>63</x:v>
      </x:c>
      <x:c r="U218" s="20" t="str">
        <x:f>IF(J218="Рассчитано",N218*(1-O218/100),"н/д")</x:f>
        <x:v>н/д</x:v>
      </x:c>
      <x:c r="V218" s="20" t="str">
        <x:f>IF(J218="Рассчитано",T218*U218,"н/д")</x:f>
        <x:v>н/д</x:v>
      </x:c>
      <x:c r="W218" s="20" t="str">
        <x:f>IF(J218="Рассчитано",T218*M218,"н/д")</x:f>
        <x:v>н/д</x:v>
      </x:c>
      <x:c r="X218" s="20" t="str">
        <x:f>IF(J218="Рассчитано",V218-W218,"н/д")</x:f>
        <x:v>н/д</x:v>
      </x:c>
      <x:c r="Y218" s="26" t="str">
        <x:f>IF(J218="Рассчитано",IF(V218&gt;0,G218/V218,"н/д"),"н/д")</x:f>
        <x:v>н/д</x:v>
      </x:c>
      <x:c r="Z218" s="20" t="str">
        <x:f>"н/д"</x:f>
        <x:v>н/д</x:v>
      </x:c>
      <x:c r="AA218" s="20" t="str">
        <x:f>"н/д"</x:f>
        <x:v>н/д</x:v>
      </x:c>
      <x:c r="AB218" s="20" t="str">
        <x:f>"н/д"</x:f>
        <x:v>н/д</x:v>
      </x:c>
      <x:c r="AC218" s="20" t="str">
        <x:f>IF(AND(J218="Рассчитано",T218&gt;0,R218&lt;100),(W218+P218+Q218)/(T218*(1-R218/100)),"н/д")</x:f>
        <x:v>н/д</x:v>
      </x:c>
      <x:c r="AD218" s="11" t="str">
        <x:f>IF(ISNUMBER(G218),IF(G218&lt;0,"Убыток",IF(G218=0,"Без прибыли","Прибыль &gt; 0")),"Не оценён")</x:f>
        <x:v>Не оценён</x:v>
      </x:c>
      <x:c r="AE218" s="12" t="str">
        <x:f>IF(J218="Рассчитано","Выручка "&amp;TEXT(V218,"0.00")&amp;" - себестоимость "&amp;TEXT(W218,"0.00")&amp;" - комиссия "&amp;TEXT(V218*R218/100,"0.00")&amp;" - доставка "&amp;TEXT(P218,"0.00")&amp;" - прочие "&amp;TEXT(Q218,"0.00")&amp;" = "&amp;TEXT(G218,"0.00")&amp;" "&amp;L218,"Введите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8" s="23" t="n">
        <x:v>6.131808831272663</x:v>
      </x:c>
      <x:c r="AG218" s="35" t="n">
        <x:v>70</x:v>
      </x:c>
      <x:c r="AH218" s="35" t="n">
        <x:v>0</x:v>
      </x:c>
      <x:c r="AI218" s="29" t="n">
        <x:v>46266</x:v>
      </x:c>
      <x:c r="AJ218" s="35" t="n">
        <x:v>1</x:v>
      </x:c>
      <x:c r="AK218" s="11" t="str">
        <x:v>минимум</x:v>
      </x:c>
      <x:c r="AL218" s="31" t="n">
        <x:v>970.7971164315529</x:v>
      </x:c>
      <x:c r="AM2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18" s="12" t="str">
        <x:v>Проверить свободный остаток и установить цену для B2B</x:v>
      </x:c>
      <x:c r="AO218" s="12" t="str">
        <x:v>Остаток 70; прогноз 90 дней 6.13; избыток 63 шт. Будущие поступления не выставляются на продажу. Остаток на начало сентября: требуется актуализация.</x:v>
      </x:c>
      <x:c r="AP218" s="12" t="str">
        <x:v>["category_missing", "daily_stockout_data_missing", "new_order_lead_time_unknown", "reservations_unknown", "stale_stock"]</x:v>
      </x:c>
      <x:c r="AQ218" s="11" t="str">
        <x:v>IEK:030200540_</x:v>
      </x:c>
      <x:c r="AR218" s="23" t="n">
        <x:v>1</x:v>
      </x:c>
      <x:c r="AS218" s="23" t="n">
        <x:v>0</x:v>
      </x:c>
      <x:c r="AT218" s="23" t="n">
        <x:v>0</x:v>
      </x:c>
    </x:row>
    <x:row r="219" ht="64" customHeight="1">
      <x:c r="A219" s="10" t="str">
        <x:v>IEK</x:v>
      </x:c>
      <x:c r="B219" s="34" t="str">
        <x:v>030200542_</x:v>
      </x:c>
      <x:c r="C219" s="34" t="str">
        <x:v>BR-A10-O-K53</x:v>
      </x:c>
      <x:c r="D219" s="13" t="str">
        <x:v>Роз TV оконечная  б/рамки "BRITE" графит (1/100)</x:v>
      </x:c>
      <x:c r="E219" s="10" t="str">
        <x:v>шт</x:v>
      </x:c>
      <x:c r="F219" s="37" t="n">
        <x:f>MAX(0,ROUNDDOWN((AG219-AF219)/AR219+0.000000001,0)*AR219)</x:f>
        <x:v>88</x:v>
      </x:c>
      <x:c r="G219" s="21" t="str">
        <x:f>IF(J219="Рассчитано",V219*(1-R219/100)-W219-P219-Q219,"н/д")</x:f>
        <x:v>н/д</x:v>
      </x:c>
      <x:c r="H219" s="13" t="str">
        <x:v>Высокий</x:v>
      </x:c>
      <x:c r="I219" s="13" t="str">
        <x:v>Высокий</x:v>
      </x:c>
      <x:c r="J219" s="13" t="str">
        <x:f>IF(L219="","Укажите валюту",IF(NOT(ISNUMBER(K219)),"Укажите объём",IF(K219&lt;=0,"Укажите объём",IF(K219&gt;F219,"Объём выше излишка",IF(COUNT(M219:O219)&lt;3,"Нужны цены",IF(COUNT(P219:R219)&lt;3,"Нужны расходы",IF(OR(M219&lt;0,N219&lt;0,O219&lt;0,O219&gt;100,P219&lt;0,Q219&lt;0,R219&lt;0,R219&gt;100),"Проверьте значения","Рассчитано")))))))</x:f>
        <x:v>Нужны цены</x:v>
      </x:c>
      <x:c r="K219" s="36" t="n">
        <x:v>88</x:v>
      </x:c>
      <x:c r="L219" s="19" t="str">
        <x:v>KZT</x:v>
      </x:c>
      <x:c r="M219" s="22"/>
      <x:c r="N219" s="22"/>
      <x:c r="O219" s="28"/>
      <x:c r="P219" s="22"/>
      <x:c r="Q219" s="22"/>
      <x:c r="R219" s="28"/>
      <x:c r="S219" s="22"/>
      <x:c r="T219" s="37" t="n">
        <x:f>K219</x:f>
        <x:v>88</x:v>
      </x:c>
      <x:c r="U219" s="21" t="str">
        <x:f>IF(J219="Рассчитано",N219*(1-O219/100),"н/д")</x:f>
        <x:v>н/д</x:v>
      </x:c>
      <x:c r="V219" s="21" t="str">
        <x:f>IF(J219="Рассчитано",T219*U219,"н/д")</x:f>
        <x:v>н/д</x:v>
      </x:c>
      <x:c r="W219" s="21" t="str">
        <x:f>IF(J219="Рассчитано",T219*M219,"н/д")</x:f>
        <x:v>н/д</x:v>
      </x:c>
      <x:c r="X219" s="21" t="str">
        <x:f>IF(J219="Рассчитано",V219-W219,"н/д")</x:f>
        <x:v>н/д</x:v>
      </x:c>
      <x:c r="Y219" s="27" t="str">
        <x:f>IF(J219="Рассчитано",IF(V219&gt;0,G219/V219,"н/д"),"н/д")</x:f>
        <x:v>н/д</x:v>
      </x:c>
      <x:c r="Z219" s="21" t="str">
        <x:f>"н/д"</x:f>
        <x:v>н/д</x:v>
      </x:c>
      <x:c r="AA219" s="21" t="str">
        <x:f>"н/д"</x:f>
        <x:v>н/д</x:v>
      </x:c>
      <x:c r="AB219" s="21" t="str">
        <x:f>"н/д"</x:f>
        <x:v>н/д</x:v>
      </x:c>
      <x:c r="AC219" s="21" t="str">
        <x:f>IF(AND(J219="Рассчитано",T219&gt;0,R219&lt;100),(W219+P219+Q219)/(T219*(1-R219/100)),"н/д")</x:f>
        <x:v>н/д</x:v>
      </x:c>
      <x:c r="AD219" s="10" t="str">
        <x:f>IF(ISNUMBER(G219),IF(G219&lt;0,"Убыток",IF(G219=0,"Без прибыли","Прибыль &gt; 0")),"Не оценён")</x:f>
        <x:v>Не оценён</x:v>
      </x:c>
      <x:c r="AE219" s="13" t="str">
        <x:f>IF(J219="Рассчитано","Выручка "&amp;TEXT(V219,"0.00")&amp;" - себестоимость "&amp;TEXT(W219,"0.00")&amp;" - комиссия "&amp;TEXT(V219*R219/100,"0.00")&amp;" - доставка "&amp;TEXT(P219,"0.00")&amp;" - прочие "&amp;TEXT(Q219,"0.00")&amp;" = "&amp;TEXT(G219,"0.00")&amp;" "&amp;L219,"Введите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9" s="24" t="n">
        <x:v>11.390875808566076</x:v>
      </x:c>
      <x:c r="AG219" s="37" t="n">
        <x:v>100</x:v>
      </x:c>
      <x:c r="AH219" s="37" t="n">
        <x:v>0</x:v>
      </x:c>
      <x:c r="AI219" s="30" t="n">
        <x:v>46266</x:v>
      </x:c>
      <x:c r="AJ219" s="37" t="n">
        <x:v>1</x:v>
      </x:c>
      <x:c r="AK219" s="10" t="str">
        <x:v>минимум</x:v>
      </x:c>
      <x:c r="AL219" s="32" t="n">
        <x:v>746.5552043520527</x:v>
      </x:c>
      <x:c r="AM21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19" s="13" t="str">
        <x:v>Проверить свободный остаток и установить цену для B2B</x:v>
      </x:c>
      <x:c r="AO219" s="13" t="str">
        <x:v>Остаток 100; прогноз 90 дней 11.39; избыток 88 шт. Будущие поступления не выставляются на продажу. Остаток на начало сентября: требуется актуализация.</x:v>
      </x:c>
      <x:c r="AP219" s="13" t="str">
        <x:v>["category_missing", "daily_stockout_data_missing", "negative_net_sales_clipped_for_forecast", "new_order_lead_time_unknown", "reservations_unknown", "stale_stock"]</x:v>
      </x:c>
      <x:c r="AQ219" s="10" t="str">
        <x:v>IEK:030200542_</x:v>
      </x:c>
      <x:c r="AR219" s="24" t="n">
        <x:v>1</x:v>
      </x:c>
      <x:c r="AS219" s="24" t="n">
        <x:v>0</x:v>
      </x:c>
      <x:c r="AT219" s="24" t="n">
        <x:v>0</x:v>
      </x:c>
    </x:row>
    <x:row r="220" ht="64" customHeight="1">
      <x:c r="A220" s="11" t="str">
        <x:v>IEK</x:v>
      </x:c>
      <x:c r="B220" s="33" t="str">
        <x:v>030200543_</x:v>
      </x:c>
      <x:c r="C220" s="33" t="str">
        <x:v>BR-A10-O-K02</x:v>
      </x:c>
      <x:c r="D220" s="12" t="str">
        <x:v>Роз TV оконечная  б/рамки "BRITE" чёрный (1/100)</x:v>
      </x:c>
      <x:c r="E220" s="11" t="str">
        <x:v>шт</x:v>
      </x:c>
      <x:c r="F220" s="35" t="n">
        <x:f>MAX(0,ROUNDDOWN((AG220-AF220)/AR220+0.000000001,0)*AR220)</x:f>
        <x:v>13</x:v>
      </x:c>
      <x:c r="G220" s="20" t="str">
        <x:f>IF(J220="Рассчитано",V220*(1-R220/100)-W220-P220-Q220,"н/д")</x:f>
        <x:v>н/д</x:v>
      </x:c>
      <x:c r="H220" s="12" t="str">
        <x:v>Высокий</x:v>
      </x:c>
      <x:c r="I220" s="12" t="str">
        <x:v>Средний</x:v>
      </x:c>
      <x:c r="J220" s="12" t="str">
        <x:f>IF(L220="","Укажите валюту",IF(NOT(ISNUMBER(K220)),"Укажите объём",IF(K220&lt;=0,"Укажите объём",IF(K220&gt;F220,"Объём выше излишка",IF(COUNT(M220:O220)&lt;3,"Нужны цены",IF(COUNT(P220:R220)&lt;3,"Нужны расходы",IF(OR(M220&lt;0,N220&lt;0,O220&lt;0,O220&gt;100,P220&lt;0,Q220&lt;0,R220&lt;0,R220&gt;100),"Проверьте значения","Рассчитано")))))))</x:f>
        <x:v>Нужны цены</x:v>
      </x:c>
      <x:c r="K220" s="36" t="n">
        <x:v>13</x:v>
      </x:c>
      <x:c r="L220" s="19" t="str">
        <x:v>KZT</x:v>
      </x:c>
      <x:c r="M220" s="22"/>
      <x:c r="N220" s="22"/>
      <x:c r="O220" s="28"/>
      <x:c r="P220" s="22"/>
      <x:c r="Q220" s="22"/>
      <x:c r="R220" s="28"/>
      <x:c r="S220" s="22"/>
      <x:c r="T220" s="35" t="n">
        <x:f>K220</x:f>
        <x:v>13</x:v>
      </x:c>
      <x:c r="U220" s="20" t="str">
        <x:f>IF(J220="Рассчитано",N220*(1-O220/100),"н/д")</x:f>
        <x:v>н/д</x:v>
      </x:c>
      <x:c r="V220" s="20" t="str">
        <x:f>IF(J220="Рассчитано",T220*U220,"н/д")</x:f>
        <x:v>н/д</x:v>
      </x:c>
      <x:c r="W220" s="20" t="str">
        <x:f>IF(J220="Рассчитано",T220*M220,"н/д")</x:f>
        <x:v>н/д</x:v>
      </x:c>
      <x:c r="X220" s="20" t="str">
        <x:f>IF(J220="Рассчитано",V220-W220,"н/д")</x:f>
        <x:v>н/д</x:v>
      </x:c>
      <x:c r="Y220" s="26" t="str">
        <x:f>IF(J220="Рассчитано",IF(V220&gt;0,G220/V220,"н/д"),"н/д")</x:f>
        <x:v>н/д</x:v>
      </x:c>
      <x:c r="Z220" s="20" t="str">
        <x:f>"н/д"</x:f>
        <x:v>н/д</x:v>
      </x:c>
      <x:c r="AA220" s="20" t="str">
        <x:f>"н/д"</x:f>
        <x:v>н/д</x:v>
      </x:c>
      <x:c r="AB220" s="20" t="str">
        <x:f>"н/д"</x:f>
        <x:v>н/д</x:v>
      </x:c>
      <x:c r="AC220" s="20" t="str">
        <x:f>IF(AND(J220="Рассчитано",T220&gt;0,R220&lt;100),(W220+P220+Q220)/(T220*(1-R220/100)),"н/д")</x:f>
        <x:v>н/д</x:v>
      </x:c>
      <x:c r="AD220" s="11" t="str">
        <x:f>IF(ISNUMBER(G220),IF(G220&lt;0,"Убыток",IF(G220=0,"Без прибыли","Прибыль &gt; 0")),"Не оценён")</x:f>
        <x:v>Не оценён</x:v>
      </x:c>
      <x:c r="AE220" s="12" t="str">
        <x:f>IF(J220="Рассчитано","Выручка "&amp;TEXT(V220,"0.00")&amp;" - себестоимость "&amp;TEXT(W220,"0.00")&amp;" - комиссия "&amp;TEXT(V220*R220/100,"0.00")&amp;" - доставка "&amp;TEXT(P220,"0.00")&amp;" - прочие "&amp;TEXT(Q220,"0.00")&amp;" = "&amp;TEXT(G220,"0.00")&amp;" "&amp;L220,"Введите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0" s="23" t="n">
        <x:v>25.638957225963996</x:v>
      </x:c>
      <x:c r="AG220" s="35" t="n">
        <x:v>39</x:v>
      </x:c>
      <x:c r="AH220" s="35" t="n">
        <x:v>0</x:v>
      </x:c>
      <x:c r="AI220" s="29" t="n">
        <x:v>46266</x:v>
      </x:c>
      <x:c r="AJ220" s="35" t="n">
        <x:v>1</x:v>
      </x:c>
      <x:c r="AK220" s="11" t="str">
        <x:v>минимум</x:v>
      </x:c>
      <x:c r="AL220" s="31" t="n">
        <x:v>129.35502178990592</x:v>
      </x:c>
      <x:c r="AM220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220" s="12" t="str">
        <x:v>Проверить свободный остаток и установить цену для B2B</x:v>
      </x:c>
      <x:c r="AO220" s="12" t="str">
        <x:v>Остаток 39; прогноз 90 дней 25.64; избыток 13 шт. Будущие поступления не выставляются на продажу. Остаток на начало сентября: требуется актуализация.</x:v>
      </x:c>
      <x:c r="AP220" s="12" t="str">
        <x:v>["category_missing", "daily_stockout_data_missing", "large_orders_detected", "new_order_lead_time_unknown", "reservations_unknown", "stale_stock", "stockout_proxy_used"]</x:v>
      </x:c>
      <x:c r="AQ220" s="11" t="str">
        <x:v>IEK:030200543_</x:v>
      </x:c>
      <x:c r="AR220" s="23" t="n">
        <x:v>1</x:v>
      </x:c>
      <x:c r="AS220" s="23" t="n">
        <x:v>0</x:v>
      </x:c>
      <x:c r="AT220" s="23" t="n">
        <x:v>0</x:v>
      </x:c>
    </x:row>
    <x:row r="221" ht="64" customHeight="1">
      <x:c r="A221" s="10" t="str">
        <x:v>IEK</x:v>
      </x:c>
      <x:c r="B221" s="34" t="str">
        <x:v>030200552_</x:v>
      </x:c>
      <x:c r="C221" s="34" t="str">
        <x:v>BR-V10-1-10-K35</x:v>
      </x:c>
      <x:c r="D221" s="13" t="str">
        <x:v>Выкл 1-кл. с инд. 10А б/рамки "BRITE" маренго (1/100)</x:v>
      </x:c>
      <x:c r="E221" s="10" t="str">
        <x:v>шт</x:v>
      </x:c>
      <x:c r="F221" s="37" t="n">
        <x:f>MAX(0,ROUNDDOWN((AG221-AF221)/AR221+0.000000001,0)*AR221)</x:f>
        <x:v>3</x:v>
      </x:c>
      <x:c r="G221" s="21" t="str">
        <x:f>IF(J221="Рассчитано",V221*(1-R221/100)-W221-P221-Q221,"н/д")</x:f>
        <x:v>н/д</x:v>
      </x:c>
      <x:c r="H221" s="13" t="str">
        <x:v>Высокий</x:v>
      </x:c>
      <x:c r="I221" s="13" t="str">
        <x:v>Высокий</x:v>
      </x:c>
      <x:c r="J221" s="13" t="str">
        <x:f>IF(L221="","Укажите валюту",IF(NOT(ISNUMBER(K221)),"Укажите объём",IF(K221&lt;=0,"Укажите объём",IF(K221&gt;F221,"Объём выше излишка",IF(COUNT(M221:O221)&lt;3,"Нужны цены",IF(COUNT(P221:R221)&lt;3,"Нужны расходы",IF(OR(M221&lt;0,N221&lt;0,O221&lt;0,O221&gt;100,P221&lt;0,Q221&lt;0,R221&lt;0,R221&gt;100),"Проверьте значения","Рассчитано")))))))</x:f>
        <x:v>Нужны цены</x:v>
      </x:c>
      <x:c r="K221" s="36" t="n">
        <x:v>3</x:v>
      </x:c>
      <x:c r="L221" s="19" t="str">
        <x:v>KZT</x:v>
      </x:c>
      <x:c r="M221" s="22"/>
      <x:c r="N221" s="22"/>
      <x:c r="O221" s="28"/>
      <x:c r="P221" s="22"/>
      <x:c r="Q221" s="22"/>
      <x:c r="R221" s="28"/>
      <x:c r="S221" s="22"/>
      <x:c r="T221" s="37" t="n">
        <x:f>K221</x:f>
        <x:v>3</x:v>
      </x:c>
      <x:c r="U221" s="21" t="str">
        <x:f>IF(J221="Рассчитано",N221*(1-O221/100),"н/д")</x:f>
        <x:v>н/д</x:v>
      </x:c>
      <x:c r="V221" s="21" t="str">
        <x:f>IF(J221="Рассчитано",T221*U221,"н/д")</x:f>
        <x:v>н/д</x:v>
      </x:c>
      <x:c r="W221" s="21" t="str">
        <x:f>IF(J221="Рассчитано",T221*M221,"н/д")</x:f>
        <x:v>н/д</x:v>
      </x:c>
      <x:c r="X221" s="21" t="str">
        <x:f>IF(J221="Рассчитано",V221-W221,"н/д")</x:f>
        <x:v>н/д</x:v>
      </x:c>
      <x:c r="Y221" s="27" t="str">
        <x:f>IF(J221="Рассчитано",IF(V221&gt;0,G221/V221,"н/д"),"н/д")</x:f>
        <x:v>н/д</x:v>
      </x:c>
      <x:c r="Z221" s="21" t="str">
        <x:f>"н/д"</x:f>
        <x:v>н/д</x:v>
      </x:c>
      <x:c r="AA221" s="21" t="str">
        <x:f>"н/д"</x:f>
        <x:v>н/д</x:v>
      </x:c>
      <x:c r="AB221" s="21" t="str">
        <x:f>"н/д"</x:f>
        <x:v>н/д</x:v>
      </x:c>
      <x:c r="AC221" s="21" t="str">
        <x:f>IF(AND(J221="Рассчитано",T221&gt;0,R221&lt;100),(W221+P221+Q221)/(T221*(1-R221/100)),"н/д")</x:f>
        <x:v>н/д</x:v>
      </x:c>
      <x:c r="AD221" s="10" t="str">
        <x:f>IF(ISNUMBER(G221),IF(G221&lt;0,"Убыток",IF(G221=0,"Без прибыли","Прибыль &gt; 0")),"Не оценён")</x:f>
        <x:v>Не оценён</x:v>
      </x:c>
      <x:c r="AE221" s="13" t="str">
        <x:f>IF(J221="Рассчитано","Выручка "&amp;TEXT(V221,"0.00")&amp;" - себестоимость "&amp;TEXT(W221,"0.00")&amp;" - комиссия "&amp;TEXT(V221*R221/100,"0.00")&amp;" - доставка "&amp;TEXT(P221,"0.00")&amp;" - прочие "&amp;TEXT(Q221,"0.00")&amp;" = "&amp;TEXT(G221,"0.00")&amp;" "&amp;L221,"Введите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1" s="24" t="n">
        <x:v>0.8545374905695298</x:v>
      </x:c>
      <x:c r="AG221" s="37" t="n">
        <x:v>4</x:v>
      </x:c>
      <x:c r="AH221" s="37" t="n">
        <x:v>0</x:v>
      </x:c>
      <x:c r="AI221" s="30" t="n">
        <x:v>46266</x:v>
      </x:c>
      <x:c r="AJ221" s="37"/>
      <x:c r="AK221" s="10" t="str">
        <x:v>неизвестно</x:v>
      </x:c>
      <x:c r="AL221" s="32" t="n">
        <x:v>398.05942797642507</x:v>
      </x:c>
      <x:c r="AM22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21" s="13" t="str">
        <x:v>Проверить свободный остаток и установить цену для B2B</x:v>
      </x:c>
      <x:c r="AO221" s="13" t="str">
        <x:v>Остаток 4; прогноз 90 дней 0.85; избыток 3 шт. Будущие поступления не выставляются на продажу. Остаток на начало сентября: требуется актуализация.</x:v>
      </x:c>
      <x:c r="AP221" s="13" t="str">
        <x:v>["category_missing", "daily_stockout_data_missing", "moq_missing", "new_order_lead_time_unknown", "reservations_unknown", "stale_stock"]</x:v>
      </x:c>
      <x:c r="AQ221" s="10" t="str">
        <x:v>IEK:030200552_</x:v>
      </x:c>
      <x:c r="AR221" s="24" t="n">
        <x:v>1</x:v>
      </x:c>
      <x:c r="AS221" s="24" t="n">
        <x:v>0</x:v>
      </x:c>
      <x:c r="AT221" s="24" t="n">
        <x:v>0</x:v>
      </x:c>
    </x:row>
    <x:row r="222" ht="64" customHeight="1">
      <x:c r="A222" s="11" t="str">
        <x:v>IEK</x:v>
      </x:c>
      <x:c r="B222" s="33" t="str">
        <x:v>030200554_</x:v>
      </x:c>
      <x:c r="C222" s="33" t="str">
        <x:v>BR-V20-1-10-K35</x:v>
      </x:c>
      <x:c r="D222" s="12" t="str">
        <x:v>Выкл 2-кл. с инд. 10А б/рамки "BRITE" маренго (1/100)</x:v>
      </x:c>
      <x:c r="E222" s="11" t="str">
        <x:v>шт</x:v>
      </x:c>
      <x:c r="F222" s="35" t="n">
        <x:f>MAX(0,ROUNDDOWN((AG222-AF222)/AR222+0.000000001,0)*AR222)</x:f>
        <x:v>17</x:v>
      </x:c>
      <x:c r="G222" s="20" t="str">
        <x:f>IF(J222="Рассчитано",V222*(1-R222/100)-W222-P222-Q222,"н/д")</x:f>
        <x:v>н/д</x:v>
      </x:c>
      <x:c r="H222" s="12" t="str">
        <x:v>Высокий</x:v>
      </x:c>
      <x:c r="I222" s="12" t="str">
        <x:v>Высокий</x:v>
      </x:c>
      <x:c r="J222" s="12" t="str">
        <x:f>IF(L222="","Укажите валюту",IF(NOT(ISNUMBER(K222)),"Укажите объём",IF(K222&lt;=0,"Укажите объём",IF(K222&gt;F222,"Объём выше излишка",IF(COUNT(M222:O222)&lt;3,"Нужны цены",IF(COUNT(P222:R222)&lt;3,"Нужны расходы",IF(OR(M222&lt;0,N222&lt;0,O222&lt;0,O222&gt;100,P222&lt;0,Q222&lt;0,R222&lt;0,R222&gt;100),"Проверьте значения","Рассчитано")))))))</x:f>
        <x:v>Нужны цены</x:v>
      </x:c>
      <x:c r="K222" s="36" t="n">
        <x:v>17</x:v>
      </x:c>
      <x:c r="L222" s="19" t="str">
        <x:v>KZT</x:v>
      </x:c>
      <x:c r="M222" s="22"/>
      <x:c r="N222" s="22"/>
      <x:c r="O222" s="28"/>
      <x:c r="P222" s="22"/>
      <x:c r="Q222" s="22"/>
      <x:c r="R222" s="28"/>
      <x:c r="S222" s="22"/>
      <x:c r="T222" s="35" t="n">
        <x:f>K222</x:f>
        <x:v>17</x:v>
      </x:c>
      <x:c r="U222" s="20" t="str">
        <x:f>IF(J222="Рассчитано",N222*(1-O222/100),"н/д")</x:f>
        <x:v>н/д</x:v>
      </x:c>
      <x:c r="V222" s="20" t="str">
        <x:f>IF(J222="Рассчитано",T222*U222,"н/д")</x:f>
        <x:v>н/д</x:v>
      </x:c>
      <x:c r="W222" s="20" t="str">
        <x:f>IF(J222="Рассчитано",T222*M222,"н/д")</x:f>
        <x:v>н/д</x:v>
      </x:c>
      <x:c r="X222" s="20" t="str">
        <x:f>IF(J222="Рассчитано",V222-W222,"н/д")</x:f>
        <x:v>н/д</x:v>
      </x:c>
      <x:c r="Y222" s="26" t="str">
        <x:f>IF(J222="Рассчитано",IF(V222&gt;0,G222/V222,"н/д"),"н/д")</x:f>
        <x:v>н/д</x:v>
      </x:c>
      <x:c r="Z222" s="20" t="str">
        <x:f>"н/д"</x:f>
        <x:v>н/д</x:v>
      </x:c>
      <x:c r="AA222" s="20" t="str">
        <x:f>"н/д"</x:f>
        <x:v>н/д</x:v>
      </x:c>
      <x:c r="AB222" s="20" t="str">
        <x:f>"н/д"</x:f>
        <x:v>н/д</x:v>
      </x:c>
      <x:c r="AC222" s="20" t="str">
        <x:f>IF(AND(J222="Рассчитано",T222&gt;0,R222&lt;100),(W222+P222+Q222)/(T222*(1-R222/100)),"н/д")</x:f>
        <x:v>н/д</x:v>
      </x:c>
      <x:c r="AD222" s="11" t="str">
        <x:f>IF(ISNUMBER(G222),IF(G222&lt;0,"Убыток",IF(G222=0,"Без прибыли","Прибыль &gt; 0")),"Не оценён")</x:f>
        <x:v>Не оценён</x:v>
      </x:c>
      <x:c r="AE222" s="12" t="str">
        <x:f>IF(J222="Рассчитано","Выручка "&amp;TEXT(V222,"0.00")&amp;" - себестоимость "&amp;TEXT(W222,"0.00")&amp;" - комиссия "&amp;TEXT(V222*R222/100,"0.00")&amp;" - доставка "&amp;TEXT(P222,"0.00")&amp;" - прочие "&amp;TEXT(Q222,"0.00")&amp;" = "&amp;TEXT(G222,"0.00")&amp;" "&amp;L222,"Введите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2" s="23" t="n">
        <x:v>0.4272687452847649</x:v>
      </x:c>
      <x:c r="AG222" s="35" t="n">
        <x:v>18</x:v>
      </x:c>
      <x:c r="AH222" s="35" t="n">
        <x:v>0</x:v>
      </x:c>
      <x:c r="AI222" s="29" t="n">
        <x:v>46266</x:v>
      </x:c>
      <x:c r="AJ222" s="35"/>
      <x:c r="AK222" s="11" t="str">
        <x:v>неизвестно</x:v>
      </x:c>
      <x:c r="AL222" s="31" t="n">
        <x:v>3582.5348517878256</x:v>
      </x:c>
      <x:c r="AM22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22" s="12" t="str">
        <x:v>Проверить свободный остаток и установить цену для B2B</x:v>
      </x:c>
      <x:c r="AO222" s="12" t="str">
        <x:v>Остаток 18; прогноз 90 дней 0.43; избыток 17 шт. Будущие поступления не выставляются на продажу. Остаток на начало сентября: требуется актуализация.</x:v>
      </x:c>
      <x:c r="AP222" s="12" t="str">
        <x:v>["category_missing", "daily_stockout_data_missing", "moq_missing", "negative_net_sales_clipped_for_forecast", "new_order_lead_time_unknown", "reservations_unknown", "stale_stock"]</x:v>
      </x:c>
      <x:c r="AQ222" s="11" t="str">
        <x:v>IEK:030200554_</x:v>
      </x:c>
      <x:c r="AR222" s="23" t="n">
        <x:v>1</x:v>
      </x:c>
      <x:c r="AS222" s="23" t="n">
        <x:v>0</x:v>
      </x:c>
      <x:c r="AT222" s="23" t="n">
        <x:v>0</x:v>
      </x:c>
    </x:row>
    <x:row r="223" ht="64" customHeight="1">
      <x:c r="A223" s="10" t="str">
        <x:v>IEK</x:v>
      </x:c>
      <x:c r="B223" s="34" t="str">
        <x:v>030200555_</x:v>
      </x:c>
      <x:c r="C223" s="34" t="str">
        <x:v>BR-K10-1-K35</x:v>
      </x:c>
      <x:c r="D223" s="13" t="str">
        <x:v>Роз. комп. RJ45 кат.5E б/рамки "BRITE" маренго (1/100)</x:v>
      </x:c>
      <x:c r="E223" s="10" t="str">
        <x:v>шт</x:v>
      </x:c>
      <x:c r="F223" s="37" t="n">
        <x:f>MAX(0,ROUNDDOWN((AG223-AF223)/AR223+0.000000001,0)*AR223)</x:f>
        <x:v>61</x:v>
      </x:c>
      <x:c r="G223" s="21" t="str">
        <x:f>IF(J223="Рассчитано",V223*(1-R223/100)-W223-P223-Q223,"н/д")</x:f>
        <x:v>н/д</x:v>
      </x:c>
      <x:c r="H223" s="13" t="str">
        <x:v>Высокий</x:v>
      </x:c>
      <x:c r="I223" s="13" t="str">
        <x:v>Высокий</x:v>
      </x:c>
      <x:c r="J223" s="13" t="str">
        <x:f>IF(L223="","Укажите валюту",IF(NOT(ISNUMBER(K223)),"Укажите объём",IF(K223&lt;=0,"Укажите объём",IF(K223&gt;F223,"Объём выше излишка",IF(COUNT(M223:O223)&lt;3,"Нужны цены",IF(COUNT(P223:R223)&lt;3,"Нужны расходы",IF(OR(M223&lt;0,N223&lt;0,O223&lt;0,O223&gt;100,P223&lt;0,Q223&lt;0,R223&lt;0,R223&gt;100),"Проверьте значения","Рассчитано")))))))</x:f>
        <x:v>Нужны цены</x:v>
      </x:c>
      <x:c r="K223" s="36" t="n">
        <x:v>61</x:v>
      </x:c>
      <x:c r="L223" s="19" t="str">
        <x:v>KZT</x:v>
      </x:c>
      <x:c r="M223" s="22"/>
      <x:c r="N223" s="22"/>
      <x:c r="O223" s="28"/>
      <x:c r="P223" s="22"/>
      <x:c r="Q223" s="22"/>
      <x:c r="R223" s="28"/>
      <x:c r="S223" s="22"/>
      <x:c r="T223" s="37" t="n">
        <x:f>K223</x:f>
        <x:v>61</x:v>
      </x:c>
      <x:c r="U223" s="21" t="str">
        <x:f>IF(J223="Рассчитано",N223*(1-O223/100),"н/д")</x:f>
        <x:v>н/д</x:v>
      </x:c>
      <x:c r="V223" s="21" t="str">
        <x:f>IF(J223="Рассчитано",T223*U223,"н/д")</x:f>
        <x:v>н/д</x:v>
      </x:c>
      <x:c r="W223" s="21" t="str">
        <x:f>IF(J223="Рассчитано",T223*M223,"н/д")</x:f>
        <x:v>н/д</x:v>
      </x:c>
      <x:c r="X223" s="21" t="str">
        <x:f>IF(J223="Рассчитано",V223-W223,"н/д")</x:f>
        <x:v>н/д</x:v>
      </x:c>
      <x:c r="Y223" s="27" t="str">
        <x:f>IF(J223="Рассчитано",IF(V223&gt;0,G223/V223,"н/д"),"н/д")</x:f>
        <x:v>н/д</x:v>
      </x:c>
      <x:c r="Z223" s="21" t="str">
        <x:f>"н/д"</x:f>
        <x:v>н/д</x:v>
      </x:c>
      <x:c r="AA223" s="21" t="str">
        <x:f>"н/д"</x:f>
        <x:v>н/д</x:v>
      </x:c>
      <x:c r="AB223" s="21" t="str">
        <x:f>"н/д"</x:f>
        <x:v>н/д</x:v>
      </x:c>
      <x:c r="AC223" s="21" t="str">
        <x:f>IF(AND(J223="Рассчитано",T223&gt;0,R223&lt;100),(W223+P223+Q223)/(T223*(1-R223/100)),"н/д")</x:f>
        <x:v>н/д</x:v>
      </x:c>
      <x:c r="AD223" s="10" t="str">
        <x:f>IF(ISNUMBER(G223),IF(G223&lt;0,"Убыток",IF(G223=0,"Без прибыли","Прибыль &gt; 0")),"Не оценён")</x:f>
        <x:v>Не оценён</x:v>
      </x:c>
      <x:c r="AE223" s="13" t="str">
        <x:f>IF(J223="Рассчитано","Выручка "&amp;TEXT(V223,"0.00")&amp;" - себестоимость "&amp;TEXT(W223,"0.00")&amp;" - комиссия "&amp;TEXT(V223*R223/100,"0.00")&amp;" - доставка "&amp;TEXT(P223,"0.00")&amp;" - прочие "&amp;TEXT(Q223,"0.00")&amp;" = "&amp;TEXT(G223,"0.00")&amp;" "&amp;L223,"Введите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3" s="24" t="n">
        <x:v>0.9985166247279952</x:v>
      </x:c>
      <x:c r="AG223" s="37" t="n">
        <x:v>62</x:v>
      </x:c>
      <x:c r="AH223" s="37" t="n">
        <x:v>0</x:v>
      </x:c>
      <x:c r="AI223" s="30" t="n">
        <x:v>46266</x:v>
      </x:c>
      <x:c r="AJ223" s="37"/>
      <x:c r="AK223" s="10" t="str">
        <x:v>неизвестно</x:v>
      </x:c>
      <x:c r="AL223" s="32" t="n">
        <x:v>5280.261531934202</x:v>
      </x:c>
      <x:c r="AM22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23" s="13" t="str">
        <x:v>Проверить свободный остаток и установить цену для B2B</x:v>
      </x:c>
      <x:c r="AO223" s="13" t="str">
        <x:v>Остаток 62; прогноз 90 дней 1.00; избыток 61 шт. Будущие поступления не выставляются на продажу. Остаток на начало сентября: требуется актуализация.</x:v>
      </x:c>
      <x:c r="AP223" s="13" t="str">
        <x:v>["category_missing", "daily_stockout_data_missing", "moq_missing", "negative_net_sales_clipped_for_forecast", "new_order_lead_time_unknown", "reservations_unknown", "stale_stock"]</x:v>
      </x:c>
      <x:c r="AQ223" s="10" t="str">
        <x:v>IEK:030200555_</x:v>
      </x:c>
      <x:c r="AR223" s="24" t="n">
        <x:v>1</x:v>
      </x:c>
      <x:c r="AS223" s="24" t="n">
        <x:v>0</x:v>
      </x:c>
      <x:c r="AT223" s="24" t="n">
        <x:v>0</x:v>
      </x:c>
    </x:row>
    <x:row r="224" ht="64" customHeight="1">
      <x:c r="A224" s="11" t="str">
        <x:v>IEK</x:v>
      </x:c>
      <x:c r="B224" s="33" t="str">
        <x:v>030200556_</x:v>
      </x:c>
      <x:c r="C224" s="33" t="str">
        <x:v>BR-V12-0-10-K35</x:v>
      </x:c>
      <x:c r="D224" s="12" t="str">
        <x:v>Выкл 1-кл. прох. 10А б/рамки "BRITE" маренго (1/100)</x:v>
      </x:c>
      <x:c r="E224" s="11" t="str">
        <x:v>шт</x:v>
      </x:c>
      <x:c r="F224" s="35" t="n">
        <x:f>MAX(0,ROUNDDOWN((AG224-AF224)/AR224+0.000000001,0)*AR224)</x:f>
        <x:v>76</x:v>
      </x:c>
      <x:c r="G224" s="20" t="str">
        <x:f>IF(J224="Рассчитано",V224*(1-R224/100)-W224-P224-Q224,"н/д")</x:f>
        <x:v>н/д</x:v>
      </x:c>
      <x:c r="H224" s="12" t="str">
        <x:v>Высокий</x:v>
      </x:c>
      <x:c r="I224" s="12" t="str">
        <x:v>Высокий</x:v>
      </x:c>
      <x:c r="J224" s="12" t="str">
        <x:f>IF(L224="","Укажите валюту",IF(NOT(ISNUMBER(K224)),"Укажите объём",IF(K224&lt;=0,"Укажите объём",IF(K224&gt;F224,"Объём выше излишка",IF(COUNT(M224:O224)&lt;3,"Нужны цены",IF(COUNT(P224:R224)&lt;3,"Нужны расходы",IF(OR(M224&lt;0,N224&lt;0,O224&lt;0,O224&gt;100,P224&lt;0,Q224&lt;0,R224&lt;0,R224&gt;100),"Проверьте значения","Рассчитано")))))))</x:f>
        <x:v>Нужны цены</x:v>
      </x:c>
      <x:c r="K224" s="36" t="n">
        <x:v>76</x:v>
      </x:c>
      <x:c r="L224" s="19" t="str">
        <x:v>KZT</x:v>
      </x:c>
      <x:c r="M224" s="22"/>
      <x:c r="N224" s="22"/>
      <x:c r="O224" s="28"/>
      <x:c r="P224" s="22"/>
      <x:c r="Q224" s="22"/>
      <x:c r="R224" s="28"/>
      <x:c r="S224" s="22"/>
      <x:c r="T224" s="35" t="n">
        <x:f>K224</x:f>
        <x:v>76</x:v>
      </x:c>
      <x:c r="U224" s="20" t="str">
        <x:f>IF(J224="Рассчитано",N224*(1-O224/100),"н/д")</x:f>
        <x:v>н/д</x:v>
      </x:c>
      <x:c r="V224" s="20" t="str">
        <x:f>IF(J224="Рассчитано",T224*U224,"н/д")</x:f>
        <x:v>н/д</x:v>
      </x:c>
      <x:c r="W224" s="20" t="str">
        <x:f>IF(J224="Рассчитано",T224*M224,"н/д")</x:f>
        <x:v>н/д</x:v>
      </x:c>
      <x:c r="X224" s="20" t="str">
        <x:f>IF(J224="Рассчитано",V224-W224,"н/д")</x:f>
        <x:v>н/д</x:v>
      </x:c>
      <x:c r="Y224" s="26" t="str">
        <x:f>IF(J224="Рассчитано",IF(V224&gt;0,G224/V224,"н/д"),"н/д")</x:f>
        <x:v>н/д</x:v>
      </x:c>
      <x:c r="Z224" s="20" t="str">
        <x:f>"н/д"</x:f>
        <x:v>н/д</x:v>
      </x:c>
      <x:c r="AA224" s="20" t="str">
        <x:f>"н/д"</x:f>
        <x:v>н/д</x:v>
      </x:c>
      <x:c r="AB224" s="20" t="str">
        <x:f>"н/д"</x:f>
        <x:v>н/д</x:v>
      </x:c>
      <x:c r="AC224" s="20" t="str">
        <x:f>IF(AND(J224="Рассчитано",T224&gt;0,R224&lt;100),(W224+P224+Q224)/(T224*(1-R224/100)),"н/д")</x:f>
        <x:v>н/д</x:v>
      </x:c>
      <x:c r="AD224" s="11" t="str">
        <x:f>IF(ISNUMBER(G224),IF(G224&lt;0,"Убыток",IF(G224=0,"Без прибыли","Прибыль &gt; 0")),"Не оценён")</x:f>
        <x:v>Не оценён</x:v>
      </x:c>
      <x:c r="AE224" s="12" t="str">
        <x:f>IF(J224="Рассчитано","Выручка "&amp;TEXT(V224,"0.00")&amp;" - себестоимость "&amp;TEXT(W224,"0.00")&amp;" - комиссия "&amp;TEXT(V224*R224/100,"0.00")&amp;" - доставка "&amp;TEXT(P224,"0.00")&amp;" - прочие "&amp;TEXT(Q224,"0.00")&amp;" = "&amp;TEXT(G224,"0.00")&amp;" "&amp;L224,"Введите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4" s="23" t="n">
        <x:v>5.981493904555633</x:v>
      </x:c>
      <x:c r="AG224" s="35" t="n">
        <x:v>82</x:v>
      </x:c>
      <x:c r="AH224" s="35" t="n">
        <x:v>0</x:v>
      </x:c>
      <x:c r="AI224" s="29" t="n">
        <x:v>46266</x:v>
      </x:c>
      <x:c r="AJ224" s="35"/>
      <x:c r="AK224" s="11" t="str">
        <x:v>неизвестно</x:v>
      </x:c>
      <x:c r="AL224" s="31" t="n">
        <x:v>1165.7978018902006</x:v>
      </x:c>
      <x:c r="AM22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24" s="12" t="str">
        <x:v>Проверить свободный остаток и установить цену для B2B</x:v>
      </x:c>
      <x:c r="AO224" s="12" t="str">
        <x:v>Остаток 82; прогноз 90 дней 5.98; избыток 76 шт. Будущие поступления не выставляются на продажу. Остаток на начало сентября: требуется актуализация.</x:v>
      </x:c>
      <x:c r="AP224" s="12" t="str">
        <x:v>["category_missing", "daily_stockout_data_missing", "moq_missing", "new_order_lead_time_unknown", "reservations_unknown", "stale_stock"]</x:v>
      </x:c>
      <x:c r="AQ224" s="11" t="str">
        <x:v>IEK:030200556_</x:v>
      </x:c>
      <x:c r="AR224" s="23" t="n">
        <x:v>1</x:v>
      </x:c>
      <x:c r="AS224" s="23" t="n">
        <x:v>0</x:v>
      </x:c>
      <x:c r="AT224" s="23" t="n">
        <x:v>0</x:v>
      </x:c>
    </x:row>
    <x:row r="225" ht="64" customHeight="1">
      <x:c r="A225" s="10" t="str">
        <x:v>IEK</x:v>
      </x:c>
      <x:c r="B225" s="34" t="str">
        <x:v>030200557_</x:v>
      </x:c>
      <x:c r="C225" s="34" t="str">
        <x:v>BR-R21-16-K35-F</x:v>
      </x:c>
      <x:c r="D225" s="13" t="str">
        <x:v>Роз. 2-я с з/к 16А в сб. "BRITE" маренго (1/100)</x:v>
      </x:c>
      <x:c r="E225" s="10" t="str">
        <x:v>шт</x:v>
      </x:c>
      <x:c r="F225" s="37" t="n">
        <x:f>MAX(0,ROUNDDOWN((AG225-AF225)/AR225+0.000000001,0)*AR225)</x:f>
        <x:v>3</x:v>
      </x:c>
      <x:c r="G225" s="21" t="str">
        <x:f>IF(J225="Рассчитано",V225*(1-R225/100)-W225-P225-Q225,"н/д")</x:f>
        <x:v>н/д</x:v>
      </x:c>
      <x:c r="H225" s="13" t="str">
        <x:v>Высокий</x:v>
      </x:c>
      <x:c r="I225" s="13" t="str">
        <x:v>Средний</x:v>
      </x:c>
      <x:c r="J225" s="13" t="str">
        <x:f>IF(L225="","Укажите валюту",IF(NOT(ISNUMBER(K225)),"Укажите объём",IF(K225&lt;=0,"Укажите объём",IF(K225&gt;F225,"Объём выше излишка",IF(COUNT(M225:O225)&lt;3,"Нужны цены",IF(COUNT(P225:R225)&lt;3,"Нужны расходы",IF(OR(M225&lt;0,N225&lt;0,O225&lt;0,O225&gt;100,P225&lt;0,Q225&lt;0,R225&lt;0,R225&gt;100),"Проверьте значения","Рассчитано")))))))</x:f>
        <x:v>Нужны цены</x:v>
      </x:c>
      <x:c r="K225" s="36" t="n">
        <x:v>3</x:v>
      </x:c>
      <x:c r="L225" s="19" t="str">
        <x:v>KZT</x:v>
      </x:c>
      <x:c r="M225" s="22"/>
      <x:c r="N225" s="22"/>
      <x:c r="O225" s="28"/>
      <x:c r="P225" s="22"/>
      <x:c r="Q225" s="22"/>
      <x:c r="R225" s="28"/>
      <x:c r="S225" s="22"/>
      <x:c r="T225" s="37" t="n">
        <x:f>K225</x:f>
        <x:v>3</x:v>
      </x:c>
      <x:c r="U225" s="21" t="str">
        <x:f>IF(J225="Рассчитано",N225*(1-O225/100),"н/д")</x:f>
        <x:v>н/д</x:v>
      </x:c>
      <x:c r="V225" s="21" t="str">
        <x:f>IF(J225="Рассчитано",T225*U225,"н/д")</x:f>
        <x:v>н/д</x:v>
      </x:c>
      <x:c r="W225" s="21" t="str">
        <x:f>IF(J225="Рассчитано",T225*M225,"н/д")</x:f>
        <x:v>н/д</x:v>
      </x:c>
      <x:c r="X225" s="21" t="str">
        <x:f>IF(J225="Рассчитано",V225-W225,"н/д")</x:f>
        <x:v>н/д</x:v>
      </x:c>
      <x:c r="Y225" s="27" t="str">
        <x:f>IF(J225="Рассчитано",IF(V225&gt;0,G225/V225,"н/д"),"н/д")</x:f>
        <x:v>н/д</x:v>
      </x:c>
      <x:c r="Z225" s="21" t="str">
        <x:f>"н/д"</x:f>
        <x:v>н/д</x:v>
      </x:c>
      <x:c r="AA225" s="21" t="str">
        <x:f>"н/д"</x:f>
        <x:v>н/д</x:v>
      </x:c>
      <x:c r="AB225" s="21" t="str">
        <x:f>"н/д"</x:f>
        <x:v>н/д</x:v>
      </x:c>
      <x:c r="AC225" s="21" t="str">
        <x:f>IF(AND(J225="Рассчитано",T225&gt;0,R225&lt;100),(W225+P225+Q225)/(T225*(1-R225/100)),"н/д")</x:f>
        <x:v>н/д</x:v>
      </x:c>
      <x:c r="AD225" s="10" t="str">
        <x:f>IF(ISNUMBER(G225),IF(G225&lt;0,"Убыток",IF(G225=0,"Без прибыли","Прибыль &gt; 0")),"Не оценён")</x:f>
        <x:v>Не оценён</x:v>
      </x:c>
      <x:c r="AE225" s="13" t="str">
        <x:f>IF(J225="Рассчитано","Выручка "&amp;TEXT(V225,"0.00")&amp;" - себестоимость "&amp;TEXT(W225,"0.00")&amp;" - комиссия "&amp;TEXT(V225*R225/100,"0.00")&amp;" - доставка "&amp;TEXT(P225,"0.00")&amp;" - прочие "&amp;TEXT(Q225,"0.00")&amp;" = "&amp;TEXT(G225,"0.00")&amp;" "&amp;L225,"Введите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5" s="24" t="n">
        <x:v>38.39641516561624</x:v>
      </x:c>
      <x:c r="AG225" s="37" t="n">
        <x:v>42</x:v>
      </x:c>
      <x:c r="AH225" s="37" t="n">
        <x:v>0</x:v>
      </x:c>
      <x:c r="AI225" s="30" t="n">
        <x:v>46266</x:v>
      </x:c>
      <x:c r="AJ225" s="37"/>
      <x:c r="AK225" s="10" t="str">
        <x:v>неизвестно</x:v>
      </x:c>
      <x:c r="AL225" s="32" t="n">
        <x:v>93.02028285035873</x:v>
      </x:c>
      <x:c r="AM225" s="13" t="str">
        <x:v>Остаток на начало сентября; Резервы неизвестны; Нет ежедневных данных доступности. Запас выше прогноза на 90 дней</x:v>
      </x:c>
      <x:c r="AN225" s="13" t="str">
        <x:v>Проверить свободный остаток и установить цену для B2B</x:v>
      </x:c>
      <x:c r="AO225" s="13" t="str">
        <x:v>Остаток 42; прогноз 90 дней 38.40; избыток 3 шт. Будущие поступления не выставляются на продажу. Остаток на начало сентября: требуется актуализация.</x:v>
      </x:c>
      <x:c r="AP225" s="13" t="str">
        <x:v>["category_missing", "daily_stockout_data_missing", "moq_missing", "new_order_lead_time_unknown", "reservations_unknown", "stale_stock"]</x:v>
      </x:c>
      <x:c r="AQ225" s="10" t="str">
        <x:v>IEK:030200557_</x:v>
      </x:c>
      <x:c r="AR225" s="24" t="n">
        <x:v>1</x:v>
      </x:c>
      <x:c r="AS225" s="24" t="n">
        <x:v>0</x:v>
      </x:c>
      <x:c r="AT225" s="24" t="n">
        <x:v>0</x:v>
      </x:c>
    </x:row>
    <x:row r="226" ht="64" customHeight="1">
      <x:c r="A226" s="11" t="str">
        <x:v>IEK</x:v>
      </x:c>
      <x:c r="B226" s="33" t="str">
        <x:v>030200558_</x:v>
      </x:c>
      <x:c r="C226" s="33" t="str">
        <x:v>BR-R24-16-K35-F</x:v>
      </x:c>
      <x:c r="D226" s="12" t="str">
        <x:v>Роз. 2-я с з/к/ш 16А в сб. "BRITE" маренго (1/100)</x:v>
      </x:c>
      <x:c r="E226" s="11" t="str">
        <x:v>шт</x:v>
      </x:c>
      <x:c r="F226" s="35" t="n">
        <x:f>MAX(0,ROUNDDOWN((AG226-AF226)/AR226+0.000000001,0)*AR226)</x:f>
        <x:v>5</x:v>
      </x:c>
      <x:c r="G226" s="20" t="str">
        <x:f>IF(J226="Рассчитано",V226*(1-R226/100)-W226-P226-Q226,"н/д")</x:f>
        <x:v>н/д</x:v>
      </x:c>
      <x:c r="H226" s="12" t="str">
        <x:v>Высокий</x:v>
      </x:c>
      <x:c r="I226" s="12" t="str">
        <x:v>Высокий</x:v>
      </x:c>
      <x:c r="J226" s="12" t="str">
        <x:f>IF(L226="","Укажите валюту",IF(NOT(ISNUMBER(K226)),"Укажите объём",IF(K226&lt;=0,"Укажите объём",IF(K226&gt;F226,"Объём выше излишка",IF(COUNT(M226:O226)&lt;3,"Нужны цены",IF(COUNT(P226:R226)&lt;3,"Нужны расходы",IF(OR(M226&lt;0,N226&lt;0,O226&lt;0,O226&gt;100,P226&lt;0,Q226&lt;0,R226&lt;0,R226&gt;100),"Проверьте значения","Рассчитано")))))))</x:f>
        <x:v>Нужны цены</x:v>
      </x:c>
      <x:c r="K226" s="36" t="n">
        <x:v>5</x:v>
      </x:c>
      <x:c r="L226" s="19" t="str">
        <x:v>KZT</x:v>
      </x:c>
      <x:c r="M226" s="22"/>
      <x:c r="N226" s="22"/>
      <x:c r="O226" s="28"/>
      <x:c r="P226" s="22"/>
      <x:c r="Q226" s="22"/>
      <x:c r="R226" s="28"/>
      <x:c r="S226" s="22"/>
      <x:c r="T226" s="35" t="n">
        <x:f>K226</x:f>
        <x:v>5</x:v>
      </x:c>
      <x:c r="U226" s="20" t="str">
        <x:f>IF(J226="Рассчитано",N226*(1-O226/100),"н/д")</x:f>
        <x:v>н/д</x:v>
      </x:c>
      <x:c r="V226" s="20" t="str">
        <x:f>IF(J226="Рассчитано",T226*U226,"н/д")</x:f>
        <x:v>н/д</x:v>
      </x:c>
      <x:c r="W226" s="20" t="str">
        <x:f>IF(J226="Рассчитано",T226*M226,"н/д")</x:f>
        <x:v>н/д</x:v>
      </x:c>
      <x:c r="X226" s="20" t="str">
        <x:f>IF(J226="Рассчитано",V226-W226,"н/д")</x:f>
        <x:v>н/д</x:v>
      </x:c>
      <x:c r="Y226" s="26" t="str">
        <x:f>IF(J226="Рассчитано",IF(V226&gt;0,G226/V226,"н/д"),"н/д")</x:f>
        <x:v>н/д</x:v>
      </x:c>
      <x:c r="Z226" s="20" t="str">
        <x:f>"н/д"</x:f>
        <x:v>н/д</x:v>
      </x:c>
      <x:c r="AA226" s="20" t="str">
        <x:f>"н/д"</x:f>
        <x:v>н/д</x:v>
      </x:c>
      <x:c r="AB226" s="20" t="str">
        <x:f>"н/д"</x:f>
        <x:v>н/д</x:v>
      </x:c>
      <x:c r="AC226" s="20" t="str">
        <x:f>IF(AND(J226="Рассчитано",T226&gt;0,R226&lt;100),(W226+P226+Q226)/(T226*(1-R226/100)),"н/д")</x:f>
        <x:v>н/д</x:v>
      </x:c>
      <x:c r="AD226" s="11" t="str">
        <x:f>IF(ISNUMBER(G226),IF(G226&lt;0,"Убыток",IF(G226=0,"Без прибыли","Прибыль &gt; 0")),"Не оценён")</x:f>
        <x:v>Не оценён</x:v>
      </x:c>
      <x:c r="AE226" s="12" t="str">
        <x:f>IF(J226="Рассчитано","Выручка "&amp;TEXT(V226,"0.00")&amp;" - себестоимость "&amp;TEXT(W226,"0.00")&amp;" - комиссия "&amp;TEXT(V226*R226/100,"0.00")&amp;" - доставка "&amp;TEXT(P226,"0.00")&amp;" - прочие "&amp;TEXT(Q226,"0.00")&amp;" = "&amp;TEXT(G226,"0.00")&amp;" "&amp;L226,"Введите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6" s="23" t="n">
        <x:v>0</x:v>
      </x:c>
      <x:c r="AG226" s="35" t="n">
        <x:v>5</x:v>
      </x:c>
      <x:c r="AH226" s="35" t="n">
        <x:v>0</x:v>
      </x:c>
      <x:c r="AI226" s="29" t="n">
        <x:v>46266</x:v>
      </x:c>
      <x:c r="AJ226" s="35"/>
      <x:c r="AK226" s="11" t="str">
        <x:v>неизвестно</x:v>
      </x:c>
      <x:c r="AL226" s="31" t="str">
        <x:v>н/д</x:v>
      </x:c>
      <x:c r="AM22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226" s="12" t="str">
        <x:v>Проверить свободный остаток и установить цену для B2B</x:v>
      </x:c>
      <x:c r="AO226" s="12" t="str">
        <x:v>Остаток 5; прогноз 90 дней 0.00; избыток 5 шт. Будущие поступления не выставляются на продажу. Остаток на начало сентября: требуется актуализация.</x:v>
      </x:c>
      <x:c r="AP226" s="12" t="str">
        <x:v>["category_missing", "daily_stockout_data_missing", "moq_missing", "new_order_lead_time_unknown", "reservations_unknown", "stale_stock"]</x:v>
      </x:c>
      <x:c r="AQ226" s="11" t="str">
        <x:v>IEK:030200558_</x:v>
      </x:c>
      <x:c r="AR226" s="23" t="n">
        <x:v>1</x:v>
      </x:c>
      <x:c r="AS226" s="23" t="n">
        <x:v>0</x:v>
      </x:c>
      <x:c r="AT226" s="23" t="n">
        <x:v>0</x:v>
      </x:c>
    </x:row>
    <x:row r="227" ht="64" customHeight="1">
      <x:c r="A227" s="10" t="str">
        <x:v>IEK</x:v>
      </x:c>
      <x:c r="B227" s="34" t="str">
        <x:v>030200561_</x:v>
      </x:c>
      <x:c r="C227" s="34" t="str">
        <x:v>BR-M32-K35</x:v>
      </x:c>
      <x:c r="D227" s="13" t="str">
        <x:v>Рамка 3-мест. "BRITE" маренго (1/100)</x:v>
      </x:c>
      <x:c r="E227" s="10" t="str">
        <x:v>шт</x:v>
      </x:c>
      <x:c r="F227" s="37" t="n">
        <x:f>MAX(0,ROUNDDOWN((AG227-AF227)/AR227+0.000000001,0)*AR227)</x:f>
        <x:v>11</x:v>
      </x:c>
      <x:c r="G227" s="21" t="str">
        <x:f>IF(J227="Рассчитано",V227*(1-R227/100)-W227-P227-Q227,"н/д")</x:f>
        <x:v>н/д</x:v>
      </x:c>
      <x:c r="H227" s="13" t="str">
        <x:v>Высокий</x:v>
      </x:c>
      <x:c r="I227" s="13" t="str">
        <x:v>Высокий</x:v>
      </x:c>
      <x:c r="J227" s="13" t="str">
        <x:f>IF(L227="","Укажите валюту",IF(NOT(ISNUMBER(K227)),"Укажите объём",IF(K227&lt;=0,"Укажите объём",IF(K227&gt;F227,"Объём выше излишка",IF(COUNT(M227:O227)&lt;3,"Нужны цены",IF(COUNT(P227:R227)&lt;3,"Нужны расходы",IF(OR(M227&lt;0,N227&lt;0,O227&lt;0,O227&gt;100,P227&lt;0,Q227&lt;0,R227&lt;0,R227&gt;100),"Проверьте значения","Рассчитано")))))))</x:f>
        <x:v>Нужны цены</x:v>
      </x:c>
      <x:c r="K227" s="36" t="n">
        <x:v>11</x:v>
      </x:c>
      <x:c r="L227" s="19" t="str">
        <x:v>KZT</x:v>
      </x:c>
      <x:c r="M227" s="22"/>
      <x:c r="N227" s="22"/>
      <x:c r="O227" s="28"/>
      <x:c r="P227" s="22"/>
      <x:c r="Q227" s="22"/>
      <x:c r="R227" s="28"/>
      <x:c r="S227" s="22"/>
      <x:c r="T227" s="37" t="n">
        <x:f>K227</x:f>
        <x:v>11</x:v>
      </x:c>
      <x:c r="U227" s="21" t="str">
        <x:f>IF(J227="Рассчитано",N227*(1-O227/100),"н/д")</x:f>
        <x:v>н/д</x:v>
      </x:c>
      <x:c r="V227" s="21" t="str">
        <x:f>IF(J227="Рассчитано",T227*U227,"н/д")</x:f>
        <x:v>н/д</x:v>
      </x:c>
      <x:c r="W227" s="21" t="str">
        <x:f>IF(J227="Рассчитано",T227*M227,"н/д")</x:f>
        <x:v>н/д</x:v>
      </x:c>
      <x:c r="X227" s="21" t="str">
        <x:f>IF(J227="Рассчитано",V227-W227,"н/д")</x:f>
        <x:v>н/д</x:v>
      </x:c>
      <x:c r="Y227" s="27" t="str">
        <x:f>IF(J227="Рассчитано",IF(V227&gt;0,G227/V227,"н/д"),"н/д")</x:f>
        <x:v>н/д</x:v>
      </x:c>
      <x:c r="Z227" s="21" t="str">
        <x:f>"н/д"</x:f>
        <x:v>н/д</x:v>
      </x:c>
      <x:c r="AA227" s="21" t="str">
        <x:f>"н/д"</x:f>
        <x:v>н/д</x:v>
      </x:c>
      <x:c r="AB227" s="21" t="str">
        <x:f>"н/д"</x:f>
        <x:v>н/д</x:v>
      </x:c>
      <x:c r="AC227" s="21" t="str">
        <x:f>IF(AND(J227="Рассчитано",T227&gt;0,R227&lt;100),(W227+P227+Q227)/(T227*(1-R227/100)),"н/д")</x:f>
        <x:v>н/д</x:v>
      </x:c>
      <x:c r="AD227" s="10" t="str">
        <x:f>IF(ISNUMBER(G227),IF(G227&lt;0,"Убыток",IF(G227=0,"Без прибыли","Прибыль &gt; 0")),"Не оценён")</x:f>
        <x:v>Не оценён</x:v>
      </x:c>
      <x:c r="AE227" s="13" t="str">
        <x:f>IF(J227="Рассчитано","Выручка "&amp;TEXT(V227,"0.00")&amp;" - себестоимость "&amp;TEXT(W227,"0.00")&amp;" - комиссия "&amp;TEXT(V227*R227/100,"0.00")&amp;" - доставка "&amp;TEXT(P227,"0.00")&amp;" - прочие "&amp;TEXT(Q227,"0.00")&amp;" = "&amp;TEXT(G227,"0.00")&amp;" "&amp;L227,"Введите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7" s="24" t="n">
        <x:v>10.207201733322512</x:v>
      </x:c>
      <x:c r="AG227" s="37" t="n">
        <x:v>22</x:v>
      </x:c>
      <x:c r="AH227" s="37" t="n">
        <x:v>0</x:v>
      </x:c>
      <x:c r="AI227" s="30" t="n">
        <x:v>46266</x:v>
      </x:c>
      <x:c r="AJ227" s="37"/>
      <x:c r="AK227" s="10" t="str">
        <x:v>неизвестно</x:v>
      </x:c>
      <x:c r="AL227" s="32" t="n">
        <x:v>183.28841974732504</x:v>
      </x:c>
      <x:c r="AM22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27" s="13" t="str">
        <x:v>Проверить свободный остаток и установить цену для B2B</x:v>
      </x:c>
      <x:c r="AO227" s="13" t="str">
        <x:v>Остаток 22; прогноз 90 дней 10.21; избыток 11 шт. Будущие поступления не выставляются на продажу. Остаток на начало сентября: требуется актуализация.</x:v>
      </x:c>
      <x:c r="AP227" s="13" t="str">
        <x:v>["category_missing", "daily_stockout_data_missing", "moq_missing", "negative_net_sales_clipped_for_forecast", "new_order_lead_time_unknown", "reservations_unknown", "stale_stock"]</x:v>
      </x:c>
      <x:c r="AQ227" s="10" t="str">
        <x:v>IEK:030200561_</x:v>
      </x:c>
      <x:c r="AR227" s="24" t="n">
        <x:v>1</x:v>
      </x:c>
      <x:c r="AS227" s="24" t="n">
        <x:v>0</x:v>
      </x:c>
      <x:c r="AT227" s="24" t="n">
        <x:v>0</x:v>
      </x:c>
    </x:row>
    <x:row r="228" ht="64" customHeight="1">
      <x:c r="A228" s="11" t="str">
        <x:v>IEK</x:v>
      </x:c>
      <x:c r="B228" s="33" t="str">
        <x:v>030200562_</x:v>
      </x:c>
      <x:c r="C228" s="33" t="str">
        <x:v>BR-M42-K35</x:v>
      </x:c>
      <x:c r="D228" s="12" t="str">
        <x:v>Рамка 4-мест. "BRITE" маренго (1/100)</x:v>
      </x:c>
      <x:c r="E228" s="11" t="str">
        <x:v>шт</x:v>
      </x:c>
      <x:c r="F228" s="35" t="n">
        <x:f>MAX(0,ROUNDDOWN((AG228-AF228)/AR228+0.000000001,0)*AR228)</x:f>
        <x:v>42</x:v>
      </x:c>
      <x:c r="G228" s="20" t="str">
        <x:f>IF(J228="Рассчитано",V228*(1-R228/100)-W228-P228-Q228,"н/д")</x:f>
        <x:v>н/д</x:v>
      </x:c>
      <x:c r="H228" s="12" t="str">
        <x:v>Высокий</x:v>
      </x:c>
      <x:c r="I228" s="12" t="str">
        <x:v>Высокий</x:v>
      </x:c>
      <x:c r="J228" s="12" t="str">
        <x:f>IF(L228="","Укажите валюту",IF(NOT(ISNUMBER(K228)),"Укажите объём",IF(K228&lt;=0,"Укажите объём",IF(K228&gt;F228,"Объём выше излишка",IF(COUNT(M228:O228)&lt;3,"Нужны цены",IF(COUNT(P228:R228)&lt;3,"Нужны расходы",IF(OR(M228&lt;0,N228&lt;0,O228&lt;0,O228&gt;100,P228&lt;0,Q228&lt;0,R228&lt;0,R228&gt;100),"Проверьте значения","Рассчитано")))))))</x:f>
        <x:v>Нужны цены</x:v>
      </x:c>
      <x:c r="K228" s="36" t="n">
        <x:v>42</x:v>
      </x:c>
      <x:c r="L228" s="19" t="str">
        <x:v>KZT</x:v>
      </x:c>
      <x:c r="M228" s="22"/>
      <x:c r="N228" s="22"/>
      <x:c r="O228" s="28"/>
      <x:c r="P228" s="22"/>
      <x:c r="Q228" s="22"/>
      <x:c r="R228" s="28"/>
      <x:c r="S228" s="22"/>
      <x:c r="T228" s="35" t="n">
        <x:f>K228</x:f>
        <x:v>42</x:v>
      </x:c>
      <x:c r="U228" s="20" t="str">
        <x:f>IF(J228="Рассчитано",N228*(1-O228/100),"н/д")</x:f>
        <x:v>н/д</x:v>
      </x:c>
      <x:c r="V228" s="20" t="str">
        <x:f>IF(J228="Рассчитано",T228*U228,"н/д")</x:f>
        <x:v>н/д</x:v>
      </x:c>
      <x:c r="W228" s="20" t="str">
        <x:f>IF(J228="Рассчитано",T228*M228,"н/д")</x:f>
        <x:v>н/д</x:v>
      </x:c>
      <x:c r="X228" s="20" t="str">
        <x:f>IF(J228="Рассчитано",V228-W228,"н/д")</x:f>
        <x:v>н/д</x:v>
      </x:c>
      <x:c r="Y228" s="26" t="str">
        <x:f>IF(J228="Рассчитано",IF(V228&gt;0,G228/V228,"н/д"),"н/д")</x:f>
        <x:v>н/д</x:v>
      </x:c>
      <x:c r="Z228" s="20" t="str">
        <x:f>"н/д"</x:f>
        <x:v>н/д</x:v>
      </x:c>
      <x:c r="AA228" s="20" t="str">
        <x:f>"н/д"</x:f>
        <x:v>н/д</x:v>
      </x:c>
      <x:c r="AB228" s="20" t="str">
        <x:f>"н/д"</x:f>
        <x:v>н/д</x:v>
      </x:c>
      <x:c r="AC228" s="20" t="str">
        <x:f>IF(AND(J228="Рассчитано",T228&gt;0,R228&lt;100),(W228+P228+Q228)/(T228*(1-R228/100)),"н/д")</x:f>
        <x:v>н/д</x:v>
      </x:c>
      <x:c r="AD228" s="11" t="str">
        <x:f>IF(ISNUMBER(G228),IF(G228&lt;0,"Убыток",IF(G228=0,"Без прибыли","Прибыль &gt; 0")),"Не оценён")</x:f>
        <x:v>Не оценён</x:v>
      </x:c>
      <x:c r="AE228" s="12" t="str">
        <x:f>IF(J228="Рассчитано","Выручка "&amp;TEXT(V228,"0.00")&amp;" - себестоимость "&amp;TEXT(W228,"0.00")&amp;" - комиссия "&amp;TEXT(V228*R228/100,"0.00")&amp;" - доставка "&amp;TEXT(P228,"0.00")&amp;" - прочие "&amp;TEXT(Q228,"0.00")&amp;" = "&amp;TEXT(G228,"0.00")&amp;" "&amp;L228,"Введите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8" s="23" t="n">
        <x:v>2.806565293891332</x:v>
      </x:c>
      <x:c r="AG228" s="35" t="n">
        <x:v>45</x:v>
      </x:c>
      <x:c r="AH228" s="35" t="n">
        <x:v>0</x:v>
      </x:c>
      <x:c r="AI228" s="29" t="n">
        <x:v>46266</x:v>
      </x:c>
      <x:c r="AJ228" s="35"/>
      <x:c r="AK228" s="11" t="str">
        <x:v>неизвестно</x:v>
      </x:c>
      <x:c r="AL228" s="31" t="n">
        <x:v>1363.5039726262585</x:v>
      </x:c>
      <x:c r="AM22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28" s="12" t="str">
        <x:v>Проверить свободный остаток и установить цену для B2B</x:v>
      </x:c>
      <x:c r="AO228" s="12" t="str">
        <x:v>Остаток 45; прогноз 90 дней 2.81; избыток 42 шт. Будущие поступления не выставляются на продажу. Остаток на начало сентября: требуется актуализация.</x:v>
      </x:c>
      <x:c r="AP228" s="12" t="str">
        <x:v>["category_missing", "daily_stockout_data_missing", "moq_missing", "new_order_lead_time_unknown", "reservations_unknown", "stale_stock"]</x:v>
      </x:c>
      <x:c r="AQ228" s="11" t="str">
        <x:v>IEK:030200562_</x:v>
      </x:c>
      <x:c r="AR228" s="23" t="n">
        <x:v>1</x:v>
      </x:c>
      <x:c r="AS228" s="23" t="n">
        <x:v>0</x:v>
      </x:c>
      <x:c r="AT228" s="23" t="n">
        <x:v>0</x:v>
      </x:c>
    </x:row>
    <x:row r="229" ht="64" customHeight="1">
      <x:c r="A229" s="10" t="str">
        <x:v>IEK</x:v>
      </x:c>
      <x:c r="B229" s="34" t="str">
        <x:v>030200563_</x:v>
      </x:c>
      <x:c r="C229" s="34" t="str">
        <x:v>BR-V22-0-10-K35</x:v>
      </x:c>
      <x:c r="D229" s="13" t="str">
        <x:v>Выкл 2-кл. прох. 10А б/рамки "BRITE" маренго (1/100)</x:v>
      </x:c>
      <x:c r="E229" s="10" t="str">
        <x:v>шт</x:v>
      </x:c>
      <x:c r="F229" s="37" t="n">
        <x:f>MAX(0,ROUNDDOWN((AG229-AF229)/AR229+0.000000001,0)*AR229)</x:f>
        <x:v>95</x:v>
      </x:c>
      <x:c r="G229" s="21" t="str">
        <x:f>IF(J229="Рассчитано",V229*(1-R229/100)-W229-P229-Q229,"н/д")</x:f>
        <x:v>н/д</x:v>
      </x:c>
      <x:c r="H229" s="13" t="str">
        <x:v>Высокий</x:v>
      </x:c>
      <x:c r="I229" s="13" t="str">
        <x:v>Высокий</x:v>
      </x:c>
      <x:c r="J229" s="13" t="str">
        <x:f>IF(L229="","Укажите валюту",IF(NOT(ISNUMBER(K229)),"Укажите объём",IF(K229&lt;=0,"Укажите объём",IF(K229&gt;F229,"Объём выше излишка",IF(COUNT(M229:O229)&lt;3,"Нужны цены",IF(COUNT(P229:R229)&lt;3,"Нужны расходы",IF(OR(M229&lt;0,N229&lt;0,O229&lt;0,O229&gt;100,P229&lt;0,Q229&lt;0,R229&lt;0,R229&gt;100),"Проверьте значения","Рассчитано")))))))</x:f>
        <x:v>Нужны цены</x:v>
      </x:c>
      <x:c r="K229" s="36" t="n">
        <x:v>95</x:v>
      </x:c>
      <x:c r="L229" s="19" t="str">
        <x:v>KZT</x:v>
      </x:c>
      <x:c r="M229" s="22"/>
      <x:c r="N229" s="22"/>
      <x:c r="O229" s="28"/>
      <x:c r="P229" s="22"/>
      <x:c r="Q229" s="22"/>
      <x:c r="R229" s="28"/>
      <x:c r="S229" s="22"/>
      <x:c r="T229" s="37" t="n">
        <x:f>K229</x:f>
        <x:v>95</x:v>
      </x:c>
      <x:c r="U229" s="21" t="str">
        <x:f>IF(J229="Рассчитано",N229*(1-O229/100),"н/д")</x:f>
        <x:v>н/д</x:v>
      </x:c>
      <x:c r="V229" s="21" t="str">
        <x:f>IF(J229="Рассчитано",T229*U229,"н/д")</x:f>
        <x:v>н/д</x:v>
      </x:c>
      <x:c r="W229" s="21" t="str">
        <x:f>IF(J229="Рассчитано",T229*M229,"н/д")</x:f>
        <x:v>н/д</x:v>
      </x:c>
      <x:c r="X229" s="21" t="str">
        <x:f>IF(J229="Рассчитано",V229-W229,"н/д")</x:f>
        <x:v>н/д</x:v>
      </x:c>
      <x:c r="Y229" s="27" t="str">
        <x:f>IF(J229="Рассчитано",IF(V229&gt;0,G229/V229,"н/д"),"н/д")</x:f>
        <x:v>н/д</x:v>
      </x:c>
      <x:c r="Z229" s="21" t="str">
        <x:f>"н/д"</x:f>
        <x:v>н/д</x:v>
      </x:c>
      <x:c r="AA229" s="21" t="str">
        <x:f>"н/д"</x:f>
        <x:v>н/д</x:v>
      </x:c>
      <x:c r="AB229" s="21" t="str">
        <x:f>"н/д"</x:f>
        <x:v>н/д</x:v>
      </x:c>
      <x:c r="AC229" s="21" t="str">
        <x:f>IF(AND(J229="Рассчитано",T229&gt;0,R229&lt;100),(W229+P229+Q229)/(T229*(1-R229/100)),"н/д")</x:f>
        <x:v>н/д</x:v>
      </x:c>
      <x:c r="AD229" s="10" t="str">
        <x:f>IF(ISNUMBER(G229),IF(G229&lt;0,"Убыток",IF(G229=0,"Без прибыли","Прибыль &gt; 0")),"Не оценён")</x:f>
        <x:v>Не оценён</x:v>
      </x:c>
      <x:c r="AE229" s="13" t="str">
        <x:f>IF(J229="Рассчитано","Выручка "&amp;TEXT(V229,"0.00")&amp;" - себестоимость "&amp;TEXT(W229,"0.00")&amp;" - комиссия "&amp;TEXT(V229*R229/100,"0.00")&amp;" - доставка "&amp;TEXT(P229,"0.00")&amp;" - прочие "&amp;TEXT(Q229,"0.00")&amp;" = "&amp;TEXT(G229,"0.00")&amp;" "&amp;L229,"Введите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9" s="24" t="n">
        <x:v>0</x:v>
      </x:c>
      <x:c r="AG229" s="37" t="n">
        <x:v>95</x:v>
      </x:c>
      <x:c r="AH229" s="37" t="n">
        <x:v>0</x:v>
      </x:c>
      <x:c r="AI229" s="30" t="n">
        <x:v>46266</x:v>
      </x:c>
      <x:c r="AJ229" s="37"/>
      <x:c r="AK229" s="10" t="str">
        <x:v>неизвестно</x:v>
      </x:c>
      <x:c r="AL229" s="32" t="str">
        <x:v>н/д</x:v>
      </x:c>
      <x:c r="AM22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229" s="13" t="str">
        <x:v>Проверить свободный остаток и установить цену для B2B</x:v>
      </x:c>
      <x:c r="AO229" s="13" t="str">
        <x:v>Остаток 95; прогноз 90 дней 0.00; избыток 95 шт. Будущие поступления не выставляются на продажу. Остаток на начало сентября: требуется актуализация.</x:v>
      </x:c>
      <x:c r="AP229" s="13" t="str">
        <x:v>["category_missing", "daily_stockout_data_missing", "moq_missing", "new_order_lead_time_unknown", "reservations_unknown", "stale_stock"]</x:v>
      </x:c>
      <x:c r="AQ229" s="10" t="str">
        <x:v>IEK:030200563_</x:v>
      </x:c>
      <x:c r="AR229" s="24" t="n">
        <x:v>1</x:v>
      </x:c>
      <x:c r="AS229" s="24" t="n">
        <x:v>0</x:v>
      </x:c>
      <x:c r="AT229" s="24" t="n">
        <x:v>0</x:v>
      </x:c>
    </x:row>
    <x:row r="230" ht="64" customHeight="1">
      <x:c r="A230" s="11" t="str">
        <x:v>IEK</x:v>
      </x:c>
      <x:c r="B230" s="33" t="str">
        <x:v>030200564_</x:v>
      </x:c>
      <x:c r="C230" s="33"/>
      <x:c r="D230" s="12" t="str">
        <x:v>BRITE Розетка 1-местная без заземления без защитных шторок 10А РС10-1-0-БрМ маренго IEK</x:v>
      </x:c>
      <x:c r="E230" s="11" t="str">
        <x:v>шт</x:v>
      </x:c>
      <x:c r="F230" s="35" t="n">
        <x:f>MAX(0,ROUNDDOWN((AG230-AF230)/AR230+0.000000001,0)*AR230)</x:f>
        <x:v>16</x:v>
      </x:c>
      <x:c r="G230" s="20" t="str">
        <x:f>IF(J230="Рассчитано",V230*(1-R230/100)-W230-P230-Q230,"н/д")</x:f>
        <x:v>н/д</x:v>
      </x:c>
      <x:c r="H230" s="12" t="str">
        <x:v>Высокий</x:v>
      </x:c>
      <x:c r="I230" s="12" t="str">
        <x:v>Высокий</x:v>
      </x:c>
      <x:c r="J230" s="12" t="str">
        <x:f>IF(L230="","Укажите валюту",IF(NOT(ISNUMBER(K230)),"Укажите объём",IF(K230&lt;=0,"Укажите объём",IF(K230&gt;F230,"Объём выше излишка",IF(COUNT(M230:O230)&lt;3,"Нужны цены",IF(COUNT(P230:R230)&lt;3,"Нужны расходы",IF(OR(M230&lt;0,N230&lt;0,O230&lt;0,O230&gt;100,P230&lt;0,Q230&lt;0,R230&lt;0,R230&gt;100),"Проверьте значения","Рассчитано")))))))</x:f>
        <x:v>Нужны цены</x:v>
      </x:c>
      <x:c r="K230" s="36" t="n">
        <x:v>16</x:v>
      </x:c>
      <x:c r="L230" s="19" t="str">
        <x:v>KZT</x:v>
      </x:c>
      <x:c r="M230" s="22"/>
      <x:c r="N230" s="22"/>
      <x:c r="O230" s="28"/>
      <x:c r="P230" s="22"/>
      <x:c r="Q230" s="22"/>
      <x:c r="R230" s="28"/>
      <x:c r="S230" s="22"/>
      <x:c r="T230" s="35" t="n">
        <x:f>K230</x:f>
        <x:v>16</x:v>
      </x:c>
      <x:c r="U230" s="20" t="str">
        <x:f>IF(J230="Рассчитано",N230*(1-O230/100),"н/д")</x:f>
        <x:v>н/д</x:v>
      </x:c>
      <x:c r="V230" s="20" t="str">
        <x:f>IF(J230="Рассчитано",T230*U230,"н/д")</x:f>
        <x:v>н/д</x:v>
      </x:c>
      <x:c r="W230" s="20" t="str">
        <x:f>IF(J230="Рассчитано",T230*M230,"н/д")</x:f>
        <x:v>н/д</x:v>
      </x:c>
      <x:c r="X230" s="20" t="str">
        <x:f>IF(J230="Рассчитано",V230-W230,"н/д")</x:f>
        <x:v>н/д</x:v>
      </x:c>
      <x:c r="Y230" s="26" t="str">
        <x:f>IF(J230="Рассчитано",IF(V230&gt;0,G230/V230,"н/д"),"н/д")</x:f>
        <x:v>н/д</x:v>
      </x:c>
      <x:c r="Z230" s="20" t="str">
        <x:f>"н/д"</x:f>
        <x:v>н/д</x:v>
      </x:c>
      <x:c r="AA230" s="20" t="str">
        <x:f>"н/д"</x:f>
        <x:v>н/д</x:v>
      </x:c>
      <x:c r="AB230" s="20" t="str">
        <x:f>"н/д"</x:f>
        <x:v>н/д</x:v>
      </x:c>
      <x:c r="AC230" s="20" t="str">
        <x:f>IF(AND(J230="Рассчитано",T230&gt;0,R230&lt;100),(W230+P230+Q230)/(T230*(1-R230/100)),"н/д")</x:f>
        <x:v>н/д</x:v>
      </x:c>
      <x:c r="AD230" s="11" t="str">
        <x:f>IF(ISNUMBER(G230),IF(G230&lt;0,"Убыток",IF(G230=0,"Без прибыли","Прибыль &gt; 0")),"Не оценён")</x:f>
        <x:v>Не оценён</x:v>
      </x:c>
      <x:c r="AE230" s="12" t="str">
        <x:f>IF(J230="Рассчитано","Выручка "&amp;TEXT(V230,"0.00")&amp;" - себестоимость "&amp;TEXT(W230,"0.00")&amp;" - комиссия "&amp;TEXT(V230*R230/100,"0.00")&amp;" - доставка "&amp;TEXT(P230,"0.00")&amp;" - прочие "&amp;TEXT(Q230,"0.00")&amp;" = "&amp;TEXT(G230,"0.00")&amp;" "&amp;L230,"Введите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0" s="23" t="n">
        <x:v>0.11078145050006173</x:v>
      </x:c>
      <x:c r="AG230" s="35" t="n">
        <x:v>17</x:v>
      </x:c>
      <x:c r="AH230" s="35" t="n">
        <x:v>0</x:v>
      </x:c>
      <x:c r="AI230" s="29" t="n">
        <x:v>46266</x:v>
      </x:c>
      <x:c r="AJ230" s="35"/>
      <x:c r="AK230" s="11" t="str">
        <x:v>неизвестно</x:v>
      </x:c>
      <x:c r="AL230" s="31" t="n">
        <x:v>13049.711737538519</x:v>
      </x:c>
      <x:c r="AM23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230" s="12" t="str">
        <x:v>Проверить свободный остаток и установить цену для B2B</x:v>
      </x:c>
      <x:c r="AO230" s="12" t="str">
        <x:v>Остаток 17; прогноз 90 дней 0.11; избыток 16 шт. Будущие поступления не выставляются на продажу. Остаток на начало сентября: требуется актуализация.</x:v>
      </x:c>
      <x:c r="AP230" s="12" t="str">
        <x:v>["category_missing", "daily_stockout_data_missing", "moq_missing", "negative_net_sales_clipped_for_forecast", "new_order_lead_time_unknown", "reservations_unknown", "stale_stock", "supplier_sku_missing"]</x:v>
      </x:c>
      <x:c r="AQ230" s="11" t="str">
        <x:v>IEK:030200564_</x:v>
      </x:c>
      <x:c r="AR230" s="23" t="n">
        <x:v>1</x:v>
      </x:c>
      <x:c r="AS230" s="23" t="n">
        <x:v>0</x:v>
      </x:c>
      <x:c r="AT230" s="23" t="n">
        <x:v>0</x:v>
      </x:c>
    </x:row>
    <x:row r="231" ht="64" customHeight="1">
      <x:c r="A231" s="10" t="str">
        <x:v>IEK</x:v>
      </x:c>
      <x:c r="B231" s="34" t="str">
        <x:v>030200566_</x:v>
      </x:c>
      <x:c r="C231" s="34" t="str">
        <x:v>BR-A10-O-K35</x:v>
      </x:c>
      <x:c r="D231" s="13" t="str">
        <x:v>Роз. TV окон б/рамки "BRITE" маренго (1/100)</x:v>
      </x:c>
      <x:c r="E231" s="10" t="str">
        <x:v>шт</x:v>
      </x:c>
      <x:c r="F231" s="37" t="n">
        <x:f>MAX(0,ROUNDDOWN((AG231-AF231)/AR231+0.000000001,0)*AR231)</x:f>
        <x:v>77</x:v>
      </x:c>
      <x:c r="G231" s="21" t="str">
        <x:f>IF(J231="Рассчитано",V231*(1-R231/100)-W231-P231-Q231,"н/д")</x:f>
        <x:v>н/д</x:v>
      </x:c>
      <x:c r="H231" s="13" t="str">
        <x:v>Высокий</x:v>
      </x:c>
      <x:c r="I231" s="13" t="str">
        <x:v>Высокий</x:v>
      </x:c>
      <x:c r="J231" s="13" t="str">
        <x:f>IF(L231="","Укажите валюту",IF(NOT(ISNUMBER(K231)),"Укажите объём",IF(K231&lt;=0,"Укажите объём",IF(K231&gt;F231,"Объём выше излишка",IF(COUNT(M231:O231)&lt;3,"Нужны цены",IF(COUNT(P231:R231)&lt;3,"Нужны расходы",IF(OR(M231&lt;0,N231&lt;0,O231&lt;0,O231&gt;100,P231&lt;0,Q231&lt;0,R231&lt;0,R231&gt;100),"Проверьте значения","Рассчитано")))))))</x:f>
        <x:v>Нужны цены</x:v>
      </x:c>
      <x:c r="K231" s="36" t="n">
        <x:v>77</x:v>
      </x:c>
      <x:c r="L231" s="19" t="str">
        <x:v>KZT</x:v>
      </x:c>
      <x:c r="M231" s="22"/>
      <x:c r="N231" s="22"/>
      <x:c r="O231" s="28"/>
      <x:c r="P231" s="22"/>
      <x:c r="Q231" s="22"/>
      <x:c r="R231" s="28"/>
      <x:c r="S231" s="22"/>
      <x:c r="T231" s="37" t="n">
        <x:f>K231</x:f>
        <x:v>77</x:v>
      </x:c>
      <x:c r="U231" s="21" t="str">
        <x:f>IF(J231="Рассчитано",N231*(1-O231/100),"н/д")</x:f>
        <x:v>н/д</x:v>
      </x:c>
      <x:c r="V231" s="21" t="str">
        <x:f>IF(J231="Рассчитано",T231*U231,"н/д")</x:f>
        <x:v>н/д</x:v>
      </x:c>
      <x:c r="W231" s="21" t="str">
        <x:f>IF(J231="Рассчитано",T231*M231,"н/д")</x:f>
        <x:v>н/д</x:v>
      </x:c>
      <x:c r="X231" s="21" t="str">
        <x:f>IF(J231="Рассчитано",V231-W231,"н/д")</x:f>
        <x:v>н/д</x:v>
      </x:c>
      <x:c r="Y231" s="27" t="str">
        <x:f>IF(J231="Рассчитано",IF(V231&gt;0,G231/V231,"н/д"),"н/д")</x:f>
        <x:v>н/д</x:v>
      </x:c>
      <x:c r="Z231" s="21" t="str">
        <x:f>"н/д"</x:f>
        <x:v>н/д</x:v>
      </x:c>
      <x:c r="AA231" s="21" t="str">
        <x:f>"н/д"</x:f>
        <x:v>н/д</x:v>
      </x:c>
      <x:c r="AB231" s="21" t="str">
        <x:f>"н/д"</x:f>
        <x:v>н/д</x:v>
      </x:c>
      <x:c r="AC231" s="21" t="str">
        <x:f>IF(AND(J231="Рассчитано",T231&gt;0,R231&lt;100),(W231+P231+Q231)/(T231*(1-R231/100)),"н/д")</x:f>
        <x:v>н/д</x:v>
      </x:c>
      <x:c r="AD231" s="10" t="str">
        <x:f>IF(ISNUMBER(G231),IF(G231&lt;0,"Убыток",IF(G231=0,"Без прибыли","Прибыль &gt; 0")),"Не оценён")</x:f>
        <x:v>Не оценён</x:v>
      </x:c>
      <x:c r="AE231" s="13" t="str">
        <x:f>IF(J231="Рассчитано","Выручка "&amp;TEXT(V231,"0.00")&amp;" - себестоимость "&amp;TEXT(W231,"0.00")&amp;" - комиссия "&amp;TEXT(V231*R231/100,"0.00")&amp;" - доставка "&amp;TEXT(P231,"0.00")&amp;" - прочие "&amp;TEXT(Q231,"0.00")&amp;" = "&amp;TEXT(G231,"0.00")&amp;" "&amp;L231,"Введите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1" s="24" t="n">
        <x:v>0.508917003434784</x:v>
      </x:c>
      <x:c r="AG231" s="37" t="n">
        <x:v>78</x:v>
      </x:c>
      <x:c r="AH231" s="37" t="n">
        <x:v>0</x:v>
      </x:c>
      <x:c r="AI231" s="30" t="n">
        <x:v>46266</x:v>
      </x:c>
      <x:c r="AJ231" s="37"/>
      <x:c r="AK231" s="10" t="str">
        <x:v>неизвестно</x:v>
      </x:c>
      <x:c r="AL231" s="32" t="n">
        <x:v>13033.668941108746</x:v>
      </x:c>
      <x:c r="AM23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31" s="13" t="str">
        <x:v>Проверить свободный остаток и установить цену для B2B</x:v>
      </x:c>
      <x:c r="AO231" s="13" t="str">
        <x:v>Остаток 78; прогноз 90 дней 0.51; избыток 77 шт. Будущие поступления не выставляются на продажу. Остаток на начало сентября: требуется актуализация.</x:v>
      </x:c>
      <x:c r="AP231" s="13" t="str">
        <x:v>["category_missing", "daily_stockout_data_missing", "moq_missing", "new_order_lead_time_unknown", "reservations_unknown", "stale_stock"]</x:v>
      </x:c>
      <x:c r="AQ231" s="10" t="str">
        <x:v>IEK:030200566_</x:v>
      </x:c>
      <x:c r="AR231" s="24" t="n">
        <x:v>1</x:v>
      </x:c>
      <x:c r="AS231" s="24" t="n">
        <x:v>0</x:v>
      </x:c>
      <x:c r="AT231" s="24" t="n">
        <x:v>0</x:v>
      </x:c>
    </x:row>
    <x:row r="232" ht="64" customHeight="1">
      <x:c r="A232" s="11" t="str">
        <x:v>IEK</x:v>
      </x:c>
      <x:c r="B232" s="33" t="str">
        <x:v>030200739_</x:v>
      </x:c>
      <x:c r="C232" s="33" t="str">
        <x:v>BR-V30-0-10-K36</x:v>
      </x:c>
      <x:c r="D232" s="12" t="str">
        <x:v>Выкл 3-кл. 10А  б/рамки "BRITE" жемчуг (1/100)</x:v>
      </x:c>
      <x:c r="E232" s="11" t="str">
        <x:v>шт</x:v>
      </x:c>
      <x:c r="F232" s="35" t="n">
        <x:f>MAX(0,ROUNDDOWN((AG232-AF232)/AR232+0.000000001,0)*AR232)</x:f>
        <x:v>4</x:v>
      </x:c>
      <x:c r="G232" s="20" t="str">
        <x:f>IF(J232="Рассчитано",V232*(1-R232/100)-W232-P232-Q232,"н/д")</x:f>
        <x:v>н/д</x:v>
      </x:c>
      <x:c r="H232" s="12" t="str">
        <x:v>Высокий</x:v>
      </x:c>
      <x:c r="I232" s="12" t="str">
        <x:v>Средний</x:v>
      </x:c>
      <x:c r="J232" s="12" t="str">
        <x:f>IF(L232="","Укажите валюту",IF(NOT(ISNUMBER(K232)),"Укажите объём",IF(K232&lt;=0,"Укажите объём",IF(K232&gt;F232,"Объём выше излишка",IF(COUNT(M232:O232)&lt;3,"Нужны цены",IF(COUNT(P232:R232)&lt;3,"Нужны расходы",IF(OR(M232&lt;0,N232&lt;0,O232&lt;0,O232&gt;100,P232&lt;0,Q232&lt;0,R232&lt;0,R232&gt;100),"Проверьте значения","Рассчитано")))))))</x:f>
        <x:v>Нужны цены</x:v>
      </x:c>
      <x:c r="K232" s="36" t="n">
        <x:v>4</x:v>
      </x:c>
      <x:c r="L232" s="19" t="str">
        <x:v>KZT</x:v>
      </x:c>
      <x:c r="M232" s="22"/>
      <x:c r="N232" s="22"/>
      <x:c r="O232" s="28"/>
      <x:c r="P232" s="22"/>
      <x:c r="Q232" s="22"/>
      <x:c r="R232" s="28"/>
      <x:c r="S232" s="22"/>
      <x:c r="T232" s="35" t="n">
        <x:f>K232</x:f>
        <x:v>4</x:v>
      </x:c>
      <x:c r="U232" s="20" t="str">
        <x:f>IF(J232="Рассчитано",N232*(1-O232/100),"н/д")</x:f>
        <x:v>н/д</x:v>
      </x:c>
      <x:c r="V232" s="20" t="str">
        <x:f>IF(J232="Рассчитано",T232*U232,"н/д")</x:f>
        <x:v>н/д</x:v>
      </x:c>
      <x:c r="W232" s="20" t="str">
        <x:f>IF(J232="Рассчитано",T232*M232,"н/д")</x:f>
        <x:v>н/д</x:v>
      </x:c>
      <x:c r="X232" s="20" t="str">
        <x:f>IF(J232="Рассчитано",V232-W232,"н/д")</x:f>
        <x:v>н/д</x:v>
      </x:c>
      <x:c r="Y232" s="26" t="str">
        <x:f>IF(J232="Рассчитано",IF(V232&gt;0,G232/V232,"н/д"),"н/д")</x:f>
        <x:v>н/д</x:v>
      </x:c>
      <x:c r="Z232" s="20" t="str">
        <x:f>"н/д"</x:f>
        <x:v>н/д</x:v>
      </x:c>
      <x:c r="AA232" s="20" t="str">
        <x:f>"н/д"</x:f>
        <x:v>н/д</x:v>
      </x:c>
      <x:c r="AB232" s="20" t="str">
        <x:f>"н/д"</x:f>
        <x:v>н/д</x:v>
      </x:c>
      <x:c r="AC232" s="20" t="str">
        <x:f>IF(AND(J232="Рассчитано",T232&gt;0,R232&lt;100),(W232+P232+Q232)/(T232*(1-R232/100)),"н/д")</x:f>
        <x:v>н/д</x:v>
      </x:c>
      <x:c r="AD232" s="11" t="str">
        <x:f>IF(ISNUMBER(G232),IF(G232&lt;0,"Убыток",IF(G232=0,"Без прибыли","Прибыль &gt; 0")),"Не оценён")</x:f>
        <x:v>Не оценён</x:v>
      </x:c>
      <x:c r="AE232" s="12" t="str">
        <x:f>IF(J232="Рассчитано","Выручка "&amp;TEXT(V232,"0.00")&amp;" - себестоимость "&amp;TEXT(W232,"0.00")&amp;" - комиссия "&amp;TEXT(V232*R232/100,"0.00")&amp;" - доставка "&amp;TEXT(P232,"0.00")&amp;" - прочие "&amp;TEXT(Q232,"0.00")&amp;" = "&amp;TEXT(G232,"0.00")&amp;" "&amp;L232,"Введите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2" s="23" t="n">
        <x:v>7.9707453827433286</x:v>
      </x:c>
      <x:c r="AG232" s="35" t="n">
        <x:v>12</x:v>
      </x:c>
      <x:c r="AH232" s="35" t="n">
        <x:v>0</x:v>
      </x:c>
      <x:c r="AI232" s="29" t="n">
        <x:v>46266</x:v>
      </x:c>
      <x:c r="AJ232" s="35" t="n">
        <x:v>1</x:v>
      </x:c>
      <x:c r="AK232" s="11" t="str">
        <x:v>минимум</x:v>
      </x:c>
      <x:c r="AL232" s="31" t="n">
        <x:v>128.0269366339147</x:v>
      </x:c>
      <x:c r="AM232" s="12" t="str">
        <x:v>Остаток на начало сентября; Резервы неизвестны; Нет ежедневных данных доступности. Запас выше прогноза на 90 дней</x:v>
      </x:c>
      <x:c r="AN232" s="12" t="str">
        <x:v>Проверить свободный остаток и установить цену для B2B</x:v>
      </x:c>
      <x:c r="AO232" s="12" t="str">
        <x:v>Остаток 12; прогноз 90 дней 7.97; избыток 4 шт. Будущие поступления не выставляются на продажу. Остаток на начало сентября: требуется актуализация.</x:v>
      </x:c>
      <x:c r="AP232" s="12" t="str">
        <x:v>["category_missing", "daily_stockout_data_missing", "new_order_lead_time_unknown", "reservations_unknown", "stale_stock"]</x:v>
      </x:c>
      <x:c r="AQ232" s="11" t="str">
        <x:v>IEK:030200739_</x:v>
      </x:c>
      <x:c r="AR232" s="23" t="n">
        <x:v>1</x:v>
      </x:c>
      <x:c r="AS232" s="23" t="n">
        <x:v>0</x:v>
      </x:c>
      <x:c r="AT232" s="23" t="n">
        <x:v>0</x:v>
      </x:c>
    </x:row>
    <x:row r="233" ht="64" customHeight="1">
      <x:c r="A233" s="10" t="str">
        <x:v>IEK</x:v>
      </x:c>
      <x:c r="B233" s="34" t="str">
        <x:v>030200740_</x:v>
      </x:c>
      <x:c r="C233" s="34" t="str">
        <x:v>BR-V30-0-10-K47</x:v>
      </x:c>
      <x:c r="D233" s="13" t="str">
        <x:v>Выкл 3-кл. 10А б/рамки "BRITE" алюминий (1/100)</x:v>
      </x:c>
      <x:c r="E233" s="10" t="str">
        <x:v>шт</x:v>
      </x:c>
      <x:c r="F233" s="37" t="n">
        <x:f>MAX(0,ROUNDDOWN((AG233-AF233)/AR233+0.000000001,0)*AR233)</x:f>
        <x:v>140</x:v>
      </x:c>
      <x:c r="G233" s="21" t="str">
        <x:f>IF(J233="Рассчитано",V233*(1-R233/100)-W233-P233-Q233,"н/д")</x:f>
        <x:v>н/д</x:v>
      </x:c>
      <x:c r="H233" s="13" t="str">
        <x:v>Высокий</x:v>
      </x:c>
      <x:c r="I233" s="13" t="str">
        <x:v>Высокий</x:v>
      </x:c>
      <x:c r="J233" s="13" t="str">
        <x:f>IF(L233="","Укажите валюту",IF(NOT(ISNUMBER(K233)),"Укажите объём",IF(K233&lt;=0,"Укажите объём",IF(K233&gt;F233,"Объём выше излишка",IF(COUNT(M233:O233)&lt;3,"Нужны цены",IF(COUNT(P233:R233)&lt;3,"Нужны расходы",IF(OR(M233&lt;0,N233&lt;0,O233&lt;0,O233&gt;100,P233&lt;0,Q233&lt;0,R233&lt;0,R233&gt;100),"Проверьте значения","Рассчитано")))))))</x:f>
        <x:v>Нужны цены</x:v>
      </x:c>
      <x:c r="K233" s="36" t="n">
        <x:v>140</x:v>
      </x:c>
      <x:c r="L233" s="19" t="str">
        <x:v>KZT</x:v>
      </x:c>
      <x:c r="M233" s="22"/>
      <x:c r="N233" s="22"/>
      <x:c r="O233" s="28"/>
      <x:c r="P233" s="22"/>
      <x:c r="Q233" s="22"/>
      <x:c r="R233" s="28"/>
      <x:c r="S233" s="22"/>
      <x:c r="T233" s="37" t="n">
        <x:f>K233</x:f>
        <x:v>140</x:v>
      </x:c>
      <x:c r="U233" s="21" t="str">
        <x:f>IF(J233="Рассчитано",N233*(1-O233/100),"н/д")</x:f>
        <x:v>н/д</x:v>
      </x:c>
      <x:c r="V233" s="21" t="str">
        <x:f>IF(J233="Рассчитано",T233*U233,"н/д")</x:f>
        <x:v>н/д</x:v>
      </x:c>
      <x:c r="W233" s="21" t="str">
        <x:f>IF(J233="Рассчитано",T233*M233,"н/д")</x:f>
        <x:v>н/д</x:v>
      </x:c>
      <x:c r="X233" s="21" t="str">
        <x:f>IF(J233="Рассчитано",V233-W233,"н/д")</x:f>
        <x:v>н/д</x:v>
      </x:c>
      <x:c r="Y233" s="27" t="str">
        <x:f>IF(J233="Рассчитано",IF(V233&gt;0,G233/V233,"н/д"),"н/д")</x:f>
        <x:v>н/д</x:v>
      </x:c>
      <x:c r="Z233" s="21" t="str">
        <x:f>"н/д"</x:f>
        <x:v>н/д</x:v>
      </x:c>
      <x:c r="AA233" s="21" t="str">
        <x:f>"н/д"</x:f>
        <x:v>н/д</x:v>
      </x:c>
      <x:c r="AB233" s="21" t="str">
        <x:f>"н/д"</x:f>
        <x:v>н/д</x:v>
      </x:c>
      <x:c r="AC233" s="21" t="str">
        <x:f>IF(AND(J233="Рассчитано",T233&gt;0,R233&lt;100),(W233+P233+Q233)/(T233*(1-R233/100)),"н/д")</x:f>
        <x:v>н/д</x:v>
      </x:c>
      <x:c r="AD233" s="10" t="str">
        <x:f>IF(ISNUMBER(G233),IF(G233&lt;0,"Убыток",IF(G233=0,"Без прибыли","Прибыль &gt; 0")),"Не оценён")</x:f>
        <x:v>Не оценён</x:v>
      </x:c>
      <x:c r="AE233" s="13" t="str">
        <x:f>IF(J233="Рассчитано","Выручка "&amp;TEXT(V233,"0.00")&amp;" - себестоимость "&amp;TEXT(W233,"0.00")&amp;" - комиссия "&amp;TEXT(V233*R233/100,"0.00")&amp;" - доставка "&amp;TEXT(P233,"0.00")&amp;" - прочие "&amp;TEXT(Q233,"0.00")&amp;" = "&amp;TEXT(G233,"0.00")&amp;" "&amp;L233,"Введите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3" s="24" t="n">
        <x:v>11.914717984077702</x:v>
      </x:c>
      <x:c r="AG233" s="37" t="n">
        <x:v>152</x:v>
      </x:c>
      <x:c r="AH233" s="37" t="n">
        <x:v>0</x:v>
      </x:c>
      <x:c r="AI233" s="30" t="n">
        <x:v>46266</x:v>
      </x:c>
      <x:c r="AJ233" s="37" t="n">
        <x:v>1</x:v>
      </x:c>
      <x:c r="AK233" s="10" t="str">
        <x:v>минимум</x:v>
      </x:c>
      <x:c r="AL233" s="32" t="n">
        <x:v>1084.8729105576228</x:v>
      </x:c>
      <x:c r="AM23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33" s="13" t="str">
        <x:v>Проверить свободный остаток и установить цену для B2B</x:v>
      </x:c>
      <x:c r="AO233" s="13" t="str">
        <x:v>Остаток 152; прогноз 90 дней 11.91; избыток 140 шт. Будущие поступления не выставляются на продажу. Остаток на начало сентября: требуется актуализация.</x:v>
      </x:c>
      <x:c r="AP233" s="13" t="str">
        <x:v>["category_missing", "daily_stockout_data_missing", "negative_net_sales_clipped_for_forecast", "new_order_lead_time_unknown", "reservations_unknown", "stale_stock"]</x:v>
      </x:c>
      <x:c r="AQ233" s="10" t="str">
        <x:v>IEK:030200740_</x:v>
      </x:c>
      <x:c r="AR233" s="24" t="n">
        <x:v>1</x:v>
      </x:c>
      <x:c r="AS233" s="24" t="n">
        <x:v>0</x:v>
      </x:c>
      <x:c r="AT233" s="24" t="n">
        <x:v>0</x:v>
      </x:c>
    </x:row>
    <x:row r="234" ht="64" customHeight="1">
      <x:c r="A234" s="11" t="str">
        <x:v>IEK</x:v>
      </x:c>
      <x:c r="B234" s="33" t="str">
        <x:v>030200742_</x:v>
      </x:c>
      <x:c r="C234" s="33" t="str">
        <x:v>BR-A10-P-K46</x:v>
      </x:c>
      <x:c r="D234" s="12" t="str">
        <x:v>Роз. TV проходная б/рамки "BRITE" сталь (1/100)</x:v>
      </x:c>
      <x:c r="E234" s="11" t="str">
        <x:v>шт</x:v>
      </x:c>
      <x:c r="F234" s="35" t="n">
        <x:f>MAX(0,ROUNDDOWN((AG234-AF234)/AR234+0.000000001,0)*AR234)</x:f>
        <x:v>10</x:v>
      </x:c>
      <x:c r="G234" s="20" t="str">
        <x:f>IF(J234="Рассчитано",V234*(1-R234/100)-W234-P234-Q234,"н/д")</x:f>
        <x:v>н/д</x:v>
      </x:c>
      <x:c r="H234" s="12" t="str">
        <x:v>Высокий</x:v>
      </x:c>
      <x:c r="I234" s="12" t="str">
        <x:v>Высокий</x:v>
      </x:c>
      <x:c r="J234" s="12" t="str">
        <x:f>IF(L234="","Укажите валюту",IF(NOT(ISNUMBER(K234)),"Укажите объём",IF(K234&lt;=0,"Укажите объём",IF(K234&gt;F234,"Объём выше излишка",IF(COUNT(M234:O234)&lt;3,"Нужны цены",IF(COUNT(P234:R234)&lt;3,"Нужны расходы",IF(OR(M234&lt;0,N234&lt;0,O234&lt;0,O234&gt;100,P234&lt;0,Q234&lt;0,R234&lt;0,R234&gt;100),"Проверьте значения","Рассчитано")))))))</x:f>
        <x:v>Нужны цены</x:v>
      </x:c>
      <x:c r="K234" s="36" t="n">
        <x:v>10</x:v>
      </x:c>
      <x:c r="L234" s="19" t="str">
        <x:v>KZT</x:v>
      </x:c>
      <x:c r="M234" s="22"/>
      <x:c r="N234" s="22"/>
      <x:c r="O234" s="28"/>
      <x:c r="P234" s="22"/>
      <x:c r="Q234" s="22"/>
      <x:c r="R234" s="28"/>
      <x:c r="S234" s="22"/>
      <x:c r="T234" s="35" t="n">
        <x:f>K234</x:f>
        <x:v>10</x:v>
      </x:c>
      <x:c r="U234" s="20" t="str">
        <x:f>IF(J234="Рассчитано",N234*(1-O234/100),"н/д")</x:f>
        <x:v>н/д</x:v>
      </x:c>
      <x:c r="V234" s="20" t="str">
        <x:f>IF(J234="Рассчитано",T234*U234,"н/д")</x:f>
        <x:v>н/д</x:v>
      </x:c>
      <x:c r="W234" s="20" t="str">
        <x:f>IF(J234="Рассчитано",T234*M234,"н/д")</x:f>
        <x:v>н/д</x:v>
      </x:c>
      <x:c r="X234" s="20" t="str">
        <x:f>IF(J234="Рассчитано",V234-W234,"н/д")</x:f>
        <x:v>н/д</x:v>
      </x:c>
      <x:c r="Y234" s="26" t="str">
        <x:f>IF(J234="Рассчитано",IF(V234&gt;0,G234/V234,"н/д"),"н/д")</x:f>
        <x:v>н/д</x:v>
      </x:c>
      <x:c r="Z234" s="20" t="str">
        <x:f>"н/д"</x:f>
        <x:v>н/д</x:v>
      </x:c>
      <x:c r="AA234" s="20" t="str">
        <x:f>"н/д"</x:f>
        <x:v>н/д</x:v>
      </x:c>
      <x:c r="AB234" s="20" t="str">
        <x:f>"н/д"</x:f>
        <x:v>н/д</x:v>
      </x:c>
      <x:c r="AC234" s="20" t="str">
        <x:f>IF(AND(J234="Рассчитано",T234&gt;0,R234&lt;100),(W234+P234+Q234)/(T234*(1-R234/100)),"н/д")</x:f>
        <x:v>н/д</x:v>
      </x:c>
      <x:c r="AD234" s="11" t="str">
        <x:f>IF(ISNUMBER(G234),IF(G234&lt;0,"Убыток",IF(G234=0,"Без прибыли","Прибыль &gt; 0")),"Не оценён")</x:f>
        <x:v>Не оценён</x:v>
      </x:c>
      <x:c r="AE234" s="12" t="str">
        <x:f>IF(J234="Рассчитано","Выручка "&amp;TEXT(V234,"0.00")&amp;" - себестоимость "&amp;TEXT(W234,"0.00")&amp;" - комиссия "&amp;TEXT(V234*R234/100,"0.00")&amp;" - доставка "&amp;TEXT(P234,"0.00")&amp;" - прочие "&amp;TEXT(Q234,"0.00")&amp;" = "&amp;TEXT(G234,"0.00")&amp;" "&amp;L234,"Введите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4" s="23" t="n">
        <x:v>3.9548812443119803</x:v>
      </x:c>
      <x:c r="AG234" s="35" t="n">
        <x:v>14</x:v>
      </x:c>
      <x:c r="AH234" s="35" t="n">
        <x:v>0</x:v>
      </x:c>
      <x:c r="AI234" s="29" t="n">
        <x:v>46266</x:v>
      </x:c>
      <x:c r="AJ234" s="35" t="n">
        <x:v>1</x:v>
      </x:c>
      <x:c r="AK234" s="11" t="str">
        <x:v>минимум</x:v>
      </x:c>
      <x:c r="AL234" s="31" t="n">
        <x:v>301.0326714851649</x:v>
      </x:c>
      <x:c r="AM23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34" s="12" t="str">
        <x:v>Проверить свободный остаток и установить цену для B2B</x:v>
      </x:c>
      <x:c r="AO234" s="12" t="str">
        <x:v>Остаток 14; прогноз 90 дней 3.95; избыток 10 шт. Будущие поступления не выставляются на продажу. Остаток на начало сентября: требуется актуализация.</x:v>
      </x:c>
      <x:c r="AP234" s="12" t="str">
        <x:v>["category_missing", "daily_stockout_data_missing", "negative_net_sales_clipped_for_forecast", "new_order_lead_time_unknown", "reservations_unknown", "stale_stock"]</x:v>
      </x:c>
      <x:c r="AQ234" s="11" t="str">
        <x:v>IEK:030200742_</x:v>
      </x:c>
      <x:c r="AR234" s="23" t="n">
        <x:v>1</x:v>
      </x:c>
      <x:c r="AS234" s="23" t="n">
        <x:v>0</x:v>
      </x:c>
      <x:c r="AT234" s="23" t="n">
        <x:v>0</x:v>
      </x:c>
    </x:row>
    <x:row r="235" ht="64" customHeight="1">
      <x:c r="A235" s="10" t="str">
        <x:v>IEK</x:v>
      </x:c>
      <x:c r="B235" s="34" t="str">
        <x:v>030200743_</x:v>
      </x:c>
      <x:c r="C235" s="34" t="str">
        <x:v>BR-V30-0-10-K53</x:v>
      </x:c>
      <x:c r="D235" s="13" t="str">
        <x:v>Выкл 3-кл. 10А 10А б/рамки "BRITE" графит (1/100)</x:v>
      </x:c>
      <x:c r="E235" s="10" t="str">
        <x:v>шт</x:v>
      </x:c>
      <x:c r="F235" s="37" t="n">
        <x:f>MAX(0,ROUNDDOWN((AG235-AF235)/AR235+0.000000001,0)*AR235)</x:f>
        <x:v>25</x:v>
      </x:c>
      <x:c r="G235" s="21" t="str">
        <x:f>IF(J235="Рассчитано",V235*(1-R235/100)-W235-P235-Q235,"н/д")</x:f>
        <x:v>н/д</x:v>
      </x:c>
      <x:c r="H235" s="13" t="str">
        <x:v>Высокий</x:v>
      </x:c>
      <x:c r="I235" s="13" t="str">
        <x:v>Высокий</x:v>
      </x:c>
      <x:c r="J235" s="13" t="str">
        <x:f>IF(L235="","Укажите валюту",IF(NOT(ISNUMBER(K235)),"Укажите объём",IF(K235&lt;=0,"Укажите объём",IF(K235&gt;F235,"Объём выше излишка",IF(COUNT(M235:O235)&lt;3,"Нужны цены",IF(COUNT(P235:R235)&lt;3,"Нужны расходы",IF(OR(M235&lt;0,N235&lt;0,O235&lt;0,O235&gt;100,P235&lt;0,Q235&lt;0,R235&lt;0,R235&gt;100),"Проверьте значения","Рассчитано")))))))</x:f>
        <x:v>Нужны цены</x:v>
      </x:c>
      <x:c r="K235" s="36" t="n">
        <x:v>25</x:v>
      </x:c>
      <x:c r="L235" s="19" t="str">
        <x:v>KZT</x:v>
      </x:c>
      <x:c r="M235" s="22"/>
      <x:c r="N235" s="22"/>
      <x:c r="O235" s="28"/>
      <x:c r="P235" s="22"/>
      <x:c r="Q235" s="22"/>
      <x:c r="R235" s="28"/>
      <x:c r="S235" s="22"/>
      <x:c r="T235" s="37" t="n">
        <x:f>K235</x:f>
        <x:v>25</x:v>
      </x:c>
      <x:c r="U235" s="21" t="str">
        <x:f>IF(J235="Рассчитано",N235*(1-O235/100),"н/д")</x:f>
        <x:v>н/д</x:v>
      </x:c>
      <x:c r="V235" s="21" t="str">
        <x:f>IF(J235="Рассчитано",T235*U235,"н/д")</x:f>
        <x:v>н/д</x:v>
      </x:c>
      <x:c r="W235" s="21" t="str">
        <x:f>IF(J235="Рассчитано",T235*M235,"н/д")</x:f>
        <x:v>н/д</x:v>
      </x:c>
      <x:c r="X235" s="21" t="str">
        <x:f>IF(J235="Рассчитано",V235-W235,"н/д")</x:f>
        <x:v>н/д</x:v>
      </x:c>
      <x:c r="Y235" s="27" t="str">
        <x:f>IF(J235="Рассчитано",IF(V235&gt;0,G235/V235,"н/д"),"н/д")</x:f>
        <x:v>н/д</x:v>
      </x:c>
      <x:c r="Z235" s="21" t="str">
        <x:f>"н/д"</x:f>
        <x:v>н/д</x:v>
      </x:c>
      <x:c r="AA235" s="21" t="str">
        <x:f>"н/д"</x:f>
        <x:v>н/д</x:v>
      </x:c>
      <x:c r="AB235" s="21" t="str">
        <x:f>"н/д"</x:f>
        <x:v>н/д</x:v>
      </x:c>
      <x:c r="AC235" s="21" t="str">
        <x:f>IF(AND(J235="Рассчитано",T235&gt;0,R235&lt;100),(W235+P235+Q235)/(T235*(1-R235/100)),"н/д")</x:f>
        <x:v>н/д</x:v>
      </x:c>
      <x:c r="AD235" s="10" t="str">
        <x:f>IF(ISNUMBER(G235),IF(G235&lt;0,"Убыток",IF(G235=0,"Без прибыли","Прибыль &gt; 0")),"Не оценён")</x:f>
        <x:v>Не оценён</x:v>
      </x:c>
      <x:c r="AE235" s="13" t="str">
        <x:f>IF(J235="Рассчитано","Выручка "&amp;TEXT(V235,"0.00")&amp;" - себестоимость "&amp;TEXT(W235,"0.00")&amp;" - комиссия "&amp;TEXT(V235*R235/100,"0.00")&amp;" - доставка "&amp;TEXT(P235,"0.00")&amp;" - прочие "&amp;TEXT(Q235,"0.00")&amp;" = "&amp;TEXT(G235,"0.00")&amp;" "&amp;L235,"Введите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5" s="24" t="n">
        <x:v>15.870128242993426</x:v>
      </x:c>
      <x:c r="AG235" s="37" t="n">
        <x:v>41</x:v>
      </x:c>
      <x:c r="AH235" s="37" t="n">
        <x:v>0</x:v>
      </x:c>
      <x:c r="AI235" s="30" t="n">
        <x:v>46266</x:v>
      </x:c>
      <x:c r="AJ235" s="37" t="n">
        <x:v>1</x:v>
      </x:c>
      <x:c r="AK235" s="10" t="str">
        <x:v>минимум</x:v>
      </x:c>
      <x:c r="AL235" s="32" t="n">
        <x:v>219.6961593246485</x:v>
      </x:c>
      <x:c r="AM23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35" s="13" t="str">
        <x:v>Проверить свободный остаток и установить цену для B2B</x:v>
      </x:c>
      <x:c r="AO235" s="13" t="str">
        <x:v>Остаток 41; прогноз 90 дней 15.87; избыток 25 шт. Будущие поступления не выставляются на продажу. Остаток на начало сентября: требуется актуализация.</x:v>
      </x:c>
      <x:c r="AP235" s="13" t="str">
        <x:v>["category_missing", "daily_stockout_data_missing", "negative_net_sales_clipped_for_forecast", "new_order_lead_time_unknown", "reservations_unknown", "stale_stock"]</x:v>
      </x:c>
      <x:c r="AQ235" s="10" t="str">
        <x:v>IEK:030200743_</x:v>
      </x:c>
      <x:c r="AR235" s="24" t="n">
        <x:v>1</x:v>
      </x:c>
      <x:c r="AS235" s="24" t="n">
        <x:v>0</x:v>
      </x:c>
      <x:c r="AT235" s="24" t="n">
        <x:v>0</x:v>
      </x:c>
    </x:row>
    <x:row r="236" ht="64" customHeight="1">
      <x:c r="A236" s="11" t="str">
        <x:v>IEK</x:v>
      </x:c>
      <x:c r="B236" s="33" t="str">
        <x:v>030200744_</x:v>
      </x:c>
      <x:c r="C236" s="33" t="str">
        <x:v>BR-V30-0-10-K02</x:v>
      </x:c>
      <x:c r="D236" s="12" t="str">
        <x:v>Выкл 3-кл. 10А  б/рамки "BRITE" чёрный (1/100)</x:v>
      </x:c>
      <x:c r="E236" s="11" t="str">
        <x:v>шт</x:v>
      </x:c>
      <x:c r="F236" s="35" t="n">
        <x:f>MAX(0,ROUNDDOWN((AG236-AF236)/AR236+0.000000001,0)*AR236)</x:f>
        <x:v>38</x:v>
      </x:c>
      <x:c r="G236" s="20" t="str">
        <x:f>IF(J236="Рассчитано",V236*(1-R236/100)-W236-P236-Q236,"н/д")</x:f>
        <x:v>н/д</x:v>
      </x:c>
      <x:c r="H236" s="12" t="str">
        <x:v>Высокий</x:v>
      </x:c>
      <x:c r="I236" s="12" t="str">
        <x:v>Средний</x:v>
      </x:c>
      <x:c r="J236" s="12" t="str">
        <x:f>IF(L236="","Укажите валюту",IF(NOT(ISNUMBER(K236)),"Укажите объём",IF(K236&lt;=0,"Укажите объём",IF(K236&gt;F236,"Объём выше излишка",IF(COUNT(M236:O236)&lt;3,"Нужны цены",IF(COUNT(P236:R236)&lt;3,"Нужны расходы",IF(OR(M236&lt;0,N236&lt;0,O236&lt;0,O236&gt;100,P236&lt;0,Q236&lt;0,R236&lt;0,R236&gt;100),"Проверьте значения","Рассчитано")))))))</x:f>
        <x:v>Нужны цены</x:v>
      </x:c>
      <x:c r="K236" s="36" t="n">
        <x:v>38</x:v>
      </x:c>
      <x:c r="L236" s="19" t="str">
        <x:v>KZT</x:v>
      </x:c>
      <x:c r="M236" s="22"/>
      <x:c r="N236" s="22"/>
      <x:c r="O236" s="28"/>
      <x:c r="P236" s="22"/>
      <x:c r="Q236" s="22"/>
      <x:c r="R236" s="28"/>
      <x:c r="S236" s="22"/>
      <x:c r="T236" s="35" t="n">
        <x:f>K236</x:f>
        <x:v>38</x:v>
      </x:c>
      <x:c r="U236" s="20" t="str">
        <x:f>IF(J236="Рассчитано",N236*(1-O236/100),"н/д")</x:f>
        <x:v>н/д</x:v>
      </x:c>
      <x:c r="V236" s="20" t="str">
        <x:f>IF(J236="Рассчитано",T236*U236,"н/д")</x:f>
        <x:v>н/д</x:v>
      </x:c>
      <x:c r="W236" s="20" t="str">
        <x:f>IF(J236="Рассчитано",T236*M236,"н/д")</x:f>
        <x:v>н/д</x:v>
      </x:c>
      <x:c r="X236" s="20" t="str">
        <x:f>IF(J236="Рассчитано",V236-W236,"н/д")</x:f>
        <x:v>н/д</x:v>
      </x:c>
      <x:c r="Y236" s="26" t="str">
        <x:f>IF(J236="Рассчитано",IF(V236&gt;0,G236/V236,"н/д"),"н/д")</x:f>
        <x:v>н/д</x:v>
      </x:c>
      <x:c r="Z236" s="20" t="str">
        <x:f>"н/д"</x:f>
        <x:v>н/д</x:v>
      </x:c>
      <x:c r="AA236" s="20" t="str">
        <x:f>"н/д"</x:f>
        <x:v>н/д</x:v>
      </x:c>
      <x:c r="AB236" s="20" t="str">
        <x:f>"н/д"</x:f>
        <x:v>н/д</x:v>
      </x:c>
      <x:c r="AC236" s="20" t="str">
        <x:f>IF(AND(J236="Рассчитано",T236&gt;0,R236&lt;100),(W236+P236+Q236)/(T236*(1-R236/100)),"н/д")</x:f>
        <x:v>н/д</x:v>
      </x:c>
      <x:c r="AD236" s="11" t="str">
        <x:f>IF(ISNUMBER(G236),IF(G236&lt;0,"Убыток",IF(G236=0,"Без прибыли","Прибыль &gt; 0")),"Не оценён")</x:f>
        <x:v>Не оценён</x:v>
      </x:c>
      <x:c r="AE236" s="12" t="str">
        <x:f>IF(J236="Рассчитано","Выручка "&amp;TEXT(V236,"0.00")&amp;" - себестоимость "&amp;TEXT(W236,"0.00")&amp;" - комиссия "&amp;TEXT(V236*R236/100,"0.00")&amp;" - доставка "&amp;TEXT(P236,"0.00")&amp;" - прочие "&amp;TEXT(Q236,"0.00")&amp;" = "&amp;TEXT(G236,"0.00")&amp;" "&amp;L236,"Введите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6" s="23" t="n">
        <x:v>84.01494293996086</x:v>
      </x:c>
      <x:c r="AG236" s="35" t="n">
        <x:v>123</x:v>
      </x:c>
      <x:c r="AH236" s="35" t="n">
        <x:v>0</x:v>
      </x:c>
      <x:c r="AI236" s="29" t="n">
        <x:v>46266</x:v>
      </x:c>
      <x:c r="AJ236" s="35" t="n">
        <x:v>1</x:v>
      </x:c>
      <x:c r="AK236" s="11" t="str">
        <x:v>минимум</x:v>
      </x:c>
      <x:c r="AL236" s="31" t="n">
        <x:v>124.49950333717102</x:v>
      </x:c>
      <x:c r="AM23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36" s="12" t="str">
        <x:v>Проверить свободный остаток и установить цену для B2B</x:v>
      </x:c>
      <x:c r="AO236" s="12" t="str">
        <x:v>Остаток 123; прогноз 90 дней 84.01; избыток 38 шт. Будущие поступления не выставляются на продажу. Остаток на начало сентября: требуется актуализация.</x:v>
      </x:c>
      <x:c r="AP236" s="12" t="str">
        <x:v>["category_missing", "daily_stockout_data_missing", "large_orders_detected", "new_order_lead_time_unknown", "reservations_unknown", "stale_stock", "transaction_month_mismatch"]</x:v>
      </x:c>
      <x:c r="AQ236" s="11" t="str">
        <x:v>IEK:030200744_</x:v>
      </x:c>
      <x:c r="AR236" s="23" t="n">
        <x:v>1</x:v>
      </x:c>
      <x:c r="AS236" s="23" t="n">
        <x:v>0</x:v>
      </x:c>
      <x:c r="AT236" s="23" t="n">
        <x:v>0</x:v>
      </x:c>
    </x:row>
    <x:row r="237" ht="64" customHeight="1">
      <x:c r="A237" s="10" t="str">
        <x:v>IEK</x:v>
      </x:c>
      <x:c r="B237" s="34" t="str">
        <x:v>030200745_</x:v>
      </x:c>
      <x:c r="C237" s="34" t="str">
        <x:v>BR-A10-P-K02</x:v>
      </x:c>
      <x:c r="D237" s="13" t="str">
        <x:v>Роз. TV проходная б/рамки "BRITE" черный (1/100)</x:v>
      </x:c>
      <x:c r="E237" s="10" t="str">
        <x:v>шт</x:v>
      </x:c>
      <x:c r="F237" s="37" t="n">
        <x:f>MAX(0,ROUNDDOWN((AG237-AF237)/AR237+0.000000001,0)*AR237)</x:f>
        <x:v>13</x:v>
      </x:c>
      <x:c r="G237" s="21" t="str">
        <x:f>IF(J237="Рассчитано",V237*(1-R237/100)-W237-P237-Q237,"н/д")</x:f>
        <x:v>н/д</x:v>
      </x:c>
      <x:c r="H237" s="13" t="str">
        <x:v>Высокий</x:v>
      </x:c>
      <x:c r="I237" s="13" t="str">
        <x:v>Высокий</x:v>
      </x:c>
      <x:c r="J237" s="13" t="str">
        <x:f>IF(L237="","Укажите валюту",IF(NOT(ISNUMBER(K237)),"Укажите объём",IF(K237&lt;=0,"Укажите объём",IF(K237&gt;F237,"Объём выше излишка",IF(COUNT(M237:O237)&lt;3,"Нужны цены",IF(COUNT(P237:R237)&lt;3,"Нужны расходы",IF(OR(M237&lt;0,N237&lt;0,O237&lt;0,O237&gt;100,P237&lt;0,Q237&lt;0,R237&lt;0,R237&gt;100),"Проверьте значения","Рассчитано")))))))</x:f>
        <x:v>Нужны цены</x:v>
      </x:c>
      <x:c r="K237" s="36" t="n">
        <x:v>13</x:v>
      </x:c>
      <x:c r="L237" s="19" t="str">
        <x:v>KZT</x:v>
      </x:c>
      <x:c r="M237" s="22"/>
      <x:c r="N237" s="22"/>
      <x:c r="O237" s="28"/>
      <x:c r="P237" s="22"/>
      <x:c r="Q237" s="22"/>
      <x:c r="R237" s="28"/>
      <x:c r="S237" s="22"/>
      <x:c r="T237" s="37" t="n">
        <x:f>K237</x:f>
        <x:v>13</x:v>
      </x:c>
      <x:c r="U237" s="21" t="str">
        <x:f>IF(J237="Рассчитано",N237*(1-O237/100),"н/д")</x:f>
        <x:v>н/д</x:v>
      </x:c>
      <x:c r="V237" s="21" t="str">
        <x:f>IF(J237="Рассчитано",T237*U237,"н/д")</x:f>
        <x:v>н/д</x:v>
      </x:c>
      <x:c r="W237" s="21" t="str">
        <x:f>IF(J237="Рассчитано",T237*M237,"н/д")</x:f>
        <x:v>н/д</x:v>
      </x:c>
      <x:c r="X237" s="21" t="str">
        <x:f>IF(J237="Рассчитано",V237-W237,"н/д")</x:f>
        <x:v>н/д</x:v>
      </x:c>
      <x:c r="Y237" s="27" t="str">
        <x:f>IF(J237="Рассчитано",IF(V237&gt;0,G237/V237,"н/д"),"н/д")</x:f>
        <x:v>н/д</x:v>
      </x:c>
      <x:c r="Z237" s="21" t="str">
        <x:f>"н/д"</x:f>
        <x:v>н/д</x:v>
      </x:c>
      <x:c r="AA237" s="21" t="str">
        <x:f>"н/д"</x:f>
        <x:v>н/д</x:v>
      </x:c>
      <x:c r="AB237" s="21" t="str">
        <x:f>"н/д"</x:f>
        <x:v>н/д</x:v>
      </x:c>
      <x:c r="AC237" s="21" t="str">
        <x:f>IF(AND(J237="Рассчитано",T237&gt;0,R237&lt;100),(W237+P237+Q237)/(T237*(1-R237/100)),"н/д")</x:f>
        <x:v>н/д</x:v>
      </x:c>
      <x:c r="AD237" s="10" t="str">
        <x:f>IF(ISNUMBER(G237),IF(G237&lt;0,"Убыток",IF(G237=0,"Без прибыли","Прибыль &gt; 0")),"Не оценён")</x:f>
        <x:v>Не оценён</x:v>
      </x:c>
      <x:c r="AE237" s="13" t="str">
        <x:f>IF(J237="Рассчитано","Выручка "&amp;TEXT(V237,"0.00")&amp;" - себестоимость "&amp;TEXT(W237,"0.00")&amp;" - комиссия "&amp;TEXT(V237*R237/100,"0.00")&amp;" - доставка "&amp;TEXT(P237,"0.00")&amp;" - прочие "&amp;TEXT(Q237,"0.00")&amp;" = "&amp;TEXT(G237,"0.00")&amp;" "&amp;L237,"Введите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7" s="24" t="n">
        <x:v>2.16595844037014</x:v>
      </x:c>
      <x:c r="AG237" s="37" t="n">
        <x:v>16</x:v>
      </x:c>
      <x:c r="AH237" s="37" t="n">
        <x:v>0</x:v>
      </x:c>
      <x:c r="AI237" s="30" t="n">
        <x:v>46266</x:v>
      </x:c>
      <x:c r="AJ237" s="37" t="n">
        <x:v>1</x:v>
      </x:c>
      <x:c r="AK237" s="10" t="str">
        <x:v>минимум</x:v>
      </x:c>
      <x:c r="AL237" s="32" t="n">
        <x:v>628.1869464169171</x:v>
      </x:c>
      <x:c r="AM23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37" s="13" t="str">
        <x:v>Проверить свободный остаток и установить цену для B2B</x:v>
      </x:c>
      <x:c r="AO237" s="13" t="str">
        <x:v>Остаток 16; прогноз 90 дней 2.17; избыток 13 шт. Будущие поступления не выставляются на продажу. Остаток на начало сентября: требуется актуализация.</x:v>
      </x:c>
      <x:c r="AP237" s="13" t="str">
        <x:v>["category_missing", "daily_stockout_data_missing", "negative_net_sales_clipped_for_forecast", "new_order_lead_time_unknown", "reservations_unknown", "stale_stock"]</x:v>
      </x:c>
      <x:c r="AQ237" s="10" t="str">
        <x:v>IEK:030200745_</x:v>
      </x:c>
      <x:c r="AR237" s="24" t="n">
        <x:v>1</x:v>
      </x:c>
      <x:c r="AS237" s="24" t="n">
        <x:v>0</x:v>
      </x:c>
      <x:c r="AT237" s="24" t="n">
        <x:v>0</x:v>
      </x:c>
    </x:row>
    <x:row r="238" ht="64" customHeight="1">
      <x:c r="A238" s="11" t="str">
        <x:v>IEK</x:v>
      </x:c>
      <x:c r="B238" s="33" t="str">
        <x:v>030200746_</x:v>
      </x:c>
      <x:c r="C238" s="33" t="str">
        <x:v>BR-A10-P-K47</x:v>
      </x:c>
      <x:c r="D238" s="12" t="str">
        <x:v>Роз. TV проходная б/рамки "BRITE" алюминий (1/100)</x:v>
      </x:c>
      <x:c r="E238" s="11" t="str">
        <x:v>шт</x:v>
      </x:c>
      <x:c r="F238" s="35" t="n">
        <x:f>MAX(0,ROUNDDOWN((AG238-AF238)/AR238+0.000000001,0)*AR238)</x:f>
        <x:v>5</x:v>
      </x:c>
      <x:c r="G238" s="20" t="str">
        <x:f>IF(J238="Рассчитано",V238*(1-R238/100)-W238-P238-Q238,"н/д")</x:f>
        <x:v>н/д</x:v>
      </x:c>
      <x:c r="H238" s="12" t="str">
        <x:v>Высокий</x:v>
      </x:c>
      <x:c r="I238" s="12" t="str">
        <x:v>Высокий</x:v>
      </x:c>
      <x:c r="J238" s="12" t="str">
        <x:f>IF(L238="","Укажите валюту",IF(NOT(ISNUMBER(K238)),"Укажите объём",IF(K238&lt;=0,"Укажите объём",IF(K238&gt;F238,"Объём выше излишка",IF(COUNT(M238:O238)&lt;3,"Нужны цены",IF(COUNT(P238:R238)&lt;3,"Нужны расходы",IF(OR(M238&lt;0,N238&lt;0,O238&lt;0,O238&gt;100,P238&lt;0,Q238&lt;0,R238&lt;0,R238&gt;100),"Проверьте значения","Рассчитано")))))))</x:f>
        <x:v>Нужны цены</x:v>
      </x:c>
      <x:c r="K238" s="36" t="n">
        <x:v>5</x:v>
      </x:c>
      <x:c r="L238" s="19" t="str">
        <x:v>KZT</x:v>
      </x:c>
      <x:c r="M238" s="22"/>
      <x:c r="N238" s="22"/>
      <x:c r="O238" s="28"/>
      <x:c r="P238" s="22"/>
      <x:c r="Q238" s="22"/>
      <x:c r="R238" s="28"/>
      <x:c r="S238" s="22"/>
      <x:c r="T238" s="35" t="n">
        <x:f>K238</x:f>
        <x:v>5</x:v>
      </x:c>
      <x:c r="U238" s="20" t="str">
        <x:f>IF(J238="Рассчитано",N238*(1-O238/100),"н/д")</x:f>
        <x:v>н/д</x:v>
      </x:c>
      <x:c r="V238" s="20" t="str">
        <x:f>IF(J238="Рассчитано",T238*U238,"н/д")</x:f>
        <x:v>н/д</x:v>
      </x:c>
      <x:c r="W238" s="20" t="str">
        <x:f>IF(J238="Рассчитано",T238*M238,"н/д")</x:f>
        <x:v>н/д</x:v>
      </x:c>
      <x:c r="X238" s="20" t="str">
        <x:f>IF(J238="Рассчитано",V238-W238,"н/д")</x:f>
        <x:v>н/д</x:v>
      </x:c>
      <x:c r="Y238" s="26" t="str">
        <x:f>IF(J238="Рассчитано",IF(V238&gt;0,G238/V238,"н/д"),"н/д")</x:f>
        <x:v>н/д</x:v>
      </x:c>
      <x:c r="Z238" s="20" t="str">
        <x:f>"н/д"</x:f>
        <x:v>н/д</x:v>
      </x:c>
      <x:c r="AA238" s="20" t="str">
        <x:f>"н/д"</x:f>
        <x:v>н/д</x:v>
      </x:c>
      <x:c r="AB238" s="20" t="str">
        <x:f>"н/д"</x:f>
        <x:v>н/д</x:v>
      </x:c>
      <x:c r="AC238" s="20" t="str">
        <x:f>IF(AND(J238="Рассчитано",T238&gt;0,R238&lt;100),(W238+P238+Q238)/(T238*(1-R238/100)),"н/д")</x:f>
        <x:v>н/д</x:v>
      </x:c>
      <x:c r="AD238" s="11" t="str">
        <x:f>IF(ISNUMBER(G238),IF(G238&lt;0,"Убыток",IF(G238=0,"Без прибыли","Прибыль &gt; 0")),"Не оценён")</x:f>
        <x:v>Не оценён</x:v>
      </x:c>
      <x:c r="AE238" s="12" t="str">
        <x:f>IF(J238="Рассчитано","Выручка "&amp;TEXT(V238,"0.00")&amp;" - себестоимость "&amp;TEXT(W238,"0.00")&amp;" - комиссия "&amp;TEXT(V238*R238/100,"0.00")&amp;" - доставка "&amp;TEXT(P238,"0.00")&amp;" - прочие "&amp;TEXT(Q238,"0.00")&amp;" = "&amp;TEXT(G238,"0.00")&amp;" "&amp;L238,"Введите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8" s="23" t="n">
        <x:v>0</x:v>
      </x:c>
      <x:c r="AG238" s="35" t="n">
        <x:v>5</x:v>
      </x:c>
      <x:c r="AH238" s="35" t="n">
        <x:v>0</x:v>
      </x:c>
      <x:c r="AI238" s="29" t="n">
        <x:v>46266</x:v>
      </x:c>
      <x:c r="AJ238" s="35" t="n">
        <x:v>1</x:v>
      </x:c>
      <x:c r="AK238" s="11" t="str">
        <x:v>минимум</x:v>
      </x:c>
      <x:c r="AL238" s="31" t="str">
        <x:v>н/д</x:v>
      </x:c>
      <x:c r="AM23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238" s="12" t="str">
        <x:v>Проверить свободный остаток и установить цену для B2B</x:v>
      </x:c>
      <x:c r="AO238" s="12" t="str">
        <x:v>Остаток 5; прогноз 90 дней 0.00; избыток 5 шт. Будущие поступления не выставляются на продажу. Остаток на начало сентября: требуется актуализация.</x:v>
      </x:c>
      <x:c r="AP238" s="12" t="str">
        <x:v>["category_missing", "daily_stockout_data_missing", "negative_net_sales_clipped_for_forecast", "new_order_lead_time_unknown", "reservations_unknown", "stale_stock"]</x:v>
      </x:c>
      <x:c r="AQ238" s="11" t="str">
        <x:v>IEK:030200746_</x:v>
      </x:c>
      <x:c r="AR238" s="23" t="n">
        <x:v>1</x:v>
      </x:c>
      <x:c r="AS238" s="23" t="n">
        <x:v>0</x:v>
      </x:c>
      <x:c r="AT238" s="23" t="n">
        <x:v>0</x:v>
      </x:c>
    </x:row>
    <x:row r="239" ht="64" customHeight="1">
      <x:c r="A239" s="10" t="str">
        <x:v>IEK</x:v>
      </x:c>
      <x:c r="B239" s="34" t="str">
        <x:v>030200748_</x:v>
      </x:c>
      <x:c r="C239" s="34" t="str">
        <x:v>BR-M52-K53</x:v>
      </x:c>
      <x:c r="D239" s="13" t="str">
        <x:v>Рамка 5-мест. "BRITE" графит (1/100)</x:v>
      </x:c>
      <x:c r="E239" s="10" t="str">
        <x:v>шт</x:v>
      </x:c>
      <x:c r="F239" s="37" t="n">
        <x:f>MAX(0,ROUNDDOWN((AG239-AF239)/AR239+0.000000001,0)*AR239)</x:f>
        <x:v>20</x:v>
      </x:c>
      <x:c r="G239" s="21" t="str">
        <x:f>IF(J239="Рассчитано",V239*(1-R239/100)-W239-P239-Q239,"н/д")</x:f>
        <x:v>н/д</x:v>
      </x:c>
      <x:c r="H239" s="13" t="str">
        <x:v>Высокий</x:v>
      </x:c>
      <x:c r="I239" s="13" t="str">
        <x:v>Высокий</x:v>
      </x:c>
      <x:c r="J239" s="13" t="str">
        <x:f>IF(L239="","Укажите валюту",IF(NOT(ISNUMBER(K239)),"Укажите объём",IF(K239&lt;=0,"Укажите объём",IF(K239&gt;F239,"Объём выше излишка",IF(COUNT(M239:O239)&lt;3,"Нужны цены",IF(COUNT(P239:R239)&lt;3,"Нужны расходы",IF(OR(M239&lt;0,N239&lt;0,O239&lt;0,O239&gt;100,P239&lt;0,Q239&lt;0,R239&lt;0,R239&gt;100),"Проверьте значения","Рассчитано")))))))</x:f>
        <x:v>Нужны цены</x:v>
      </x:c>
      <x:c r="K239" s="36" t="n">
        <x:v>20</x:v>
      </x:c>
      <x:c r="L239" s="19" t="str">
        <x:v>KZT</x:v>
      </x:c>
      <x:c r="M239" s="22"/>
      <x:c r="N239" s="22"/>
      <x:c r="O239" s="28"/>
      <x:c r="P239" s="22"/>
      <x:c r="Q239" s="22"/>
      <x:c r="R239" s="28"/>
      <x:c r="S239" s="22"/>
      <x:c r="T239" s="37" t="n">
        <x:f>K239</x:f>
        <x:v>20</x:v>
      </x:c>
      <x:c r="U239" s="21" t="str">
        <x:f>IF(J239="Рассчитано",N239*(1-O239/100),"н/д")</x:f>
        <x:v>н/д</x:v>
      </x:c>
      <x:c r="V239" s="21" t="str">
        <x:f>IF(J239="Рассчитано",T239*U239,"н/д")</x:f>
        <x:v>н/д</x:v>
      </x:c>
      <x:c r="W239" s="21" t="str">
        <x:f>IF(J239="Рассчитано",T239*M239,"н/д")</x:f>
        <x:v>н/д</x:v>
      </x:c>
      <x:c r="X239" s="21" t="str">
        <x:f>IF(J239="Рассчитано",V239-W239,"н/д")</x:f>
        <x:v>н/д</x:v>
      </x:c>
      <x:c r="Y239" s="27" t="str">
        <x:f>IF(J239="Рассчитано",IF(V239&gt;0,G239/V239,"н/д"),"н/д")</x:f>
        <x:v>н/д</x:v>
      </x:c>
      <x:c r="Z239" s="21" t="str">
        <x:f>"н/д"</x:f>
        <x:v>н/д</x:v>
      </x:c>
      <x:c r="AA239" s="21" t="str">
        <x:f>"н/д"</x:f>
        <x:v>н/д</x:v>
      </x:c>
      <x:c r="AB239" s="21" t="str">
        <x:f>"н/д"</x:f>
        <x:v>н/д</x:v>
      </x:c>
      <x:c r="AC239" s="21" t="str">
        <x:f>IF(AND(J239="Рассчитано",T239&gt;0,R239&lt;100),(W239+P239+Q239)/(T239*(1-R239/100)),"н/д")</x:f>
        <x:v>н/д</x:v>
      </x:c>
      <x:c r="AD239" s="10" t="str">
        <x:f>IF(ISNUMBER(G239),IF(G239&lt;0,"Убыток",IF(G239=0,"Без прибыли","Прибыль &gt; 0")),"Не оценён")</x:f>
        <x:v>Не оценён</x:v>
      </x:c>
      <x:c r="AE239" s="13" t="str">
        <x:f>IF(J239="Рассчитано","Выручка "&amp;TEXT(V239,"0.00")&amp;" - себестоимость "&amp;TEXT(W239,"0.00")&amp;" - комиссия "&amp;TEXT(V239*R239/100,"0.00")&amp;" - доставка "&amp;TEXT(P239,"0.00")&amp;" - прочие "&amp;TEXT(Q239,"0.00")&amp;" = "&amp;TEXT(G239,"0.00")&amp;" "&amp;L239,"Введите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9" s="24" t="n">
        <x:v>7.16516894877505</x:v>
      </x:c>
      <x:c r="AG239" s="37" t="n">
        <x:v>28</x:v>
      </x:c>
      <x:c r="AH239" s="37" t="n">
        <x:v>0</x:v>
      </x:c>
      <x:c r="AI239" s="30" t="n">
        <x:v>46266</x:v>
      </x:c>
      <x:c r="AJ239" s="37" t="n">
        <x:v>1</x:v>
      </x:c>
      <x:c r="AK239" s="10" t="str">
        <x:v>минимум</x:v>
      </x:c>
      <x:c r="AL239" s="32" t="n">
        <x:v>332.31553223468455</x:v>
      </x:c>
      <x:c r="AM23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39" s="13" t="str">
        <x:v>Проверить свободный остаток и установить цену для B2B</x:v>
      </x:c>
      <x:c r="AO239" s="13" t="str">
        <x:v>Остаток 28; прогноз 90 дней 7.17; избыток 20 шт. Будущие поступления не выставляются на продажу. Остаток на начало сентября: требуется актуализация.</x:v>
      </x:c>
      <x:c r="AP239" s="13" t="str">
        <x:v>["category_missing", "daily_stockout_data_missing", "negative_net_sales_clipped_for_forecast", "new_order_lead_time_unknown", "reservations_unknown", "stale_stock"]</x:v>
      </x:c>
      <x:c r="AQ239" s="10" t="str">
        <x:v>IEK:030200748_</x:v>
      </x:c>
      <x:c r="AR239" s="24" t="n">
        <x:v>1</x:v>
      </x:c>
      <x:c r="AS239" s="24" t="n">
        <x:v>0</x:v>
      </x:c>
      <x:c r="AT239" s="24" t="n">
        <x:v>0</x:v>
      </x:c>
    </x:row>
    <x:row r="240" ht="64" customHeight="1">
      <x:c r="A240" s="11" t="str">
        <x:v>IEK</x:v>
      </x:c>
      <x:c r="B240" s="33" t="str">
        <x:v>030200752_</x:v>
      </x:c>
      <x:c r="C240" s="33" t="str">
        <x:v>BR-V30-0-10-K37</x:v>
      </x:c>
      <x:c r="D240" s="12" t="str">
        <x:v>Выкл 3-кл. 10А  б/рамки "BRITE" шампань (1/100)</x:v>
      </x:c>
      <x:c r="E240" s="11" t="str">
        <x:v>шт</x:v>
      </x:c>
      <x:c r="F240" s="35" t="n">
        <x:f>MAX(0,ROUNDDOWN((AG240-AF240)/AR240+0.000000001,0)*AR240)</x:f>
        <x:v>2</x:v>
      </x:c>
      <x:c r="G240" s="20" t="str">
        <x:f>IF(J240="Рассчитано",V240*(1-R240/100)-W240-P240-Q240,"н/д")</x:f>
        <x:v>н/д</x:v>
      </x:c>
      <x:c r="H240" s="12" t="str">
        <x:v>Высокий</x:v>
      </x:c>
      <x:c r="I240" s="12" t="str">
        <x:v>Средний</x:v>
      </x:c>
      <x:c r="J240" s="12" t="str">
        <x:f>IF(L240="","Укажите валюту",IF(NOT(ISNUMBER(K240)),"Укажите объём",IF(K240&lt;=0,"Укажите объём",IF(K240&gt;F240,"Объём выше излишка",IF(COUNT(M240:O240)&lt;3,"Нужны цены",IF(COUNT(P240:R240)&lt;3,"Нужны расходы",IF(OR(M240&lt;0,N240&lt;0,O240&lt;0,O240&gt;100,P240&lt;0,Q240&lt;0,R240&lt;0,R240&gt;100),"Проверьте значения","Рассчитано")))))))</x:f>
        <x:v>Нужны цены</x:v>
      </x:c>
      <x:c r="K240" s="36" t="n">
        <x:v>2</x:v>
      </x:c>
      <x:c r="L240" s="19" t="str">
        <x:v>KZT</x:v>
      </x:c>
      <x:c r="M240" s="22"/>
      <x:c r="N240" s="22"/>
      <x:c r="O240" s="28"/>
      <x:c r="P240" s="22"/>
      <x:c r="Q240" s="22"/>
      <x:c r="R240" s="28"/>
      <x:c r="S240" s="22"/>
      <x:c r="T240" s="35" t="n">
        <x:f>K240</x:f>
        <x:v>2</x:v>
      </x:c>
      <x:c r="U240" s="20" t="str">
        <x:f>IF(J240="Рассчитано",N240*(1-O240/100),"н/д")</x:f>
        <x:v>н/д</x:v>
      </x:c>
      <x:c r="V240" s="20" t="str">
        <x:f>IF(J240="Рассчитано",T240*U240,"н/д")</x:f>
        <x:v>н/д</x:v>
      </x:c>
      <x:c r="W240" s="20" t="str">
        <x:f>IF(J240="Рассчитано",T240*M240,"н/д")</x:f>
        <x:v>н/д</x:v>
      </x:c>
      <x:c r="X240" s="20" t="str">
        <x:f>IF(J240="Рассчитано",V240-W240,"н/д")</x:f>
        <x:v>н/д</x:v>
      </x:c>
      <x:c r="Y240" s="26" t="str">
        <x:f>IF(J240="Рассчитано",IF(V240&gt;0,G240/V240,"н/д"),"н/д")</x:f>
        <x:v>н/д</x:v>
      </x:c>
      <x:c r="Z240" s="20" t="str">
        <x:f>"н/д"</x:f>
        <x:v>н/д</x:v>
      </x:c>
      <x:c r="AA240" s="20" t="str">
        <x:f>"н/д"</x:f>
        <x:v>н/д</x:v>
      </x:c>
      <x:c r="AB240" s="20" t="str">
        <x:f>"н/д"</x:f>
        <x:v>н/д</x:v>
      </x:c>
      <x:c r="AC240" s="20" t="str">
        <x:f>IF(AND(J240="Рассчитано",T240&gt;0,R240&lt;100),(W240+P240+Q240)/(T240*(1-R240/100)),"н/д")</x:f>
        <x:v>н/д</x:v>
      </x:c>
      <x:c r="AD240" s="11" t="str">
        <x:f>IF(ISNUMBER(G240),IF(G240&lt;0,"Убыток",IF(G240=0,"Без прибыли","Прибыль &gt; 0")),"Не оценён")</x:f>
        <x:v>Не оценён</x:v>
      </x:c>
      <x:c r="AE240" s="12" t="str">
        <x:f>IF(J240="Рассчитано","Выручка "&amp;TEXT(V240,"0.00")&amp;" - себестоимость "&amp;TEXT(W240,"0.00")&amp;" - комиссия "&amp;TEXT(V240*R240/100,"0.00")&amp;" - доставка "&amp;TEXT(P240,"0.00")&amp;" - прочие "&amp;TEXT(Q240,"0.00")&amp;" = "&amp;TEXT(G240,"0.00")&amp;" "&amp;L240,"Введите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0" s="23" t="n">
        <x:v>19.380191428541362</x:v>
      </x:c>
      <x:c r="AG240" s="35" t="n">
        <x:v>22</x:v>
      </x:c>
      <x:c r="AH240" s="35" t="n">
        <x:v>0</x:v>
      </x:c>
      <x:c r="AI240" s="29" t="n">
        <x:v>46266</x:v>
      </x:c>
      <x:c r="AJ240" s="35" t="n">
        <x:v>1</x:v>
      </x:c>
      <x:c r="AK240" s="11" t="str">
        <x:v>минимум</x:v>
      </x:c>
      <x:c r="AL240" s="31" t="n">
        <x:v>96.53474696785555</x:v>
      </x:c>
      <x:c r="AM240" s="12" t="str">
        <x:v>Остаток на начало сентября; Резервы неизвестны; Нет ежедневных данных доступности. Запас выше прогноза на 90 дней</x:v>
      </x:c>
      <x:c r="AN240" s="12" t="str">
        <x:v>Проверить свободный остаток и установить цену для B2B</x:v>
      </x:c>
      <x:c r="AO240" s="12" t="str">
        <x:v>Остаток 22; прогноз 90 дней 19.38; избыток 2 шт. Будущие поступления не выставляются на продажу. Остаток на начало сентября: требуется актуализация.</x:v>
      </x:c>
      <x:c r="AP240" s="12" t="str">
        <x:v>["category_missing", "daily_stockout_data_missing", "new_order_lead_time_unknown", "reservations_unknown", "stale_stock"]</x:v>
      </x:c>
      <x:c r="AQ240" s="11" t="str">
        <x:v>IEK:030200752_</x:v>
      </x:c>
      <x:c r="AR240" s="23" t="n">
        <x:v>1</x:v>
      </x:c>
      <x:c r="AS240" s="23" t="n">
        <x:v>0</x:v>
      </x:c>
      <x:c r="AT240" s="23" t="n">
        <x:v>0</x:v>
      </x:c>
    </x:row>
    <x:row r="241" ht="64" customHeight="1">
      <x:c r="A241" s="10" t="str">
        <x:v>IEK</x:v>
      </x:c>
      <x:c r="B241" s="34" t="str">
        <x:v>030200755_</x:v>
      </x:c>
      <x:c r="C241" s="34" t="str">
        <x:v>BR-M52-K37</x:v>
      </x:c>
      <x:c r="D241" s="13" t="str">
        <x:v>BRITE Рамка 5-местная РУ-5-БрШ шампань IEK</x:v>
      </x:c>
      <x:c r="E241" s="10" t="str">
        <x:v>шт</x:v>
      </x:c>
      <x:c r="F241" s="37" t="n">
        <x:f>MAX(0,ROUNDDOWN((AG241-AF241)/AR241+0.000000001,0)*AR241)</x:f>
        <x:v>3</x:v>
      </x:c>
      <x:c r="G241" s="21" t="str">
        <x:f>IF(J241="Рассчитано",V241*(1-R241/100)-W241-P241-Q241,"н/д")</x:f>
        <x:v>н/д</x:v>
      </x:c>
      <x:c r="H241" s="13" t="str">
        <x:v>Высокий</x:v>
      </x:c>
      <x:c r="I241" s="13" t="str">
        <x:v>Высокий</x:v>
      </x:c>
      <x:c r="J241" s="13" t="str">
        <x:f>IF(L241="","Укажите валюту",IF(NOT(ISNUMBER(K241)),"Укажите объём",IF(K241&lt;=0,"Укажите объём",IF(K241&gt;F241,"Объём выше излишка",IF(COUNT(M241:O241)&lt;3,"Нужны цены",IF(COUNT(P241:R241)&lt;3,"Нужны расходы",IF(OR(M241&lt;0,N241&lt;0,O241&lt;0,O241&gt;100,P241&lt;0,Q241&lt;0,R241&lt;0,R241&gt;100),"Проверьте значения","Рассчитано")))))))</x:f>
        <x:v>Нужны цены</x:v>
      </x:c>
      <x:c r="K241" s="36" t="n">
        <x:v>3</x:v>
      </x:c>
      <x:c r="L241" s="19" t="str">
        <x:v>KZT</x:v>
      </x:c>
      <x:c r="M241" s="22"/>
      <x:c r="N241" s="22"/>
      <x:c r="O241" s="28"/>
      <x:c r="P241" s="22"/>
      <x:c r="Q241" s="22"/>
      <x:c r="R241" s="28"/>
      <x:c r="S241" s="22"/>
      <x:c r="T241" s="37" t="n">
        <x:f>K241</x:f>
        <x:v>3</x:v>
      </x:c>
      <x:c r="U241" s="21" t="str">
        <x:f>IF(J241="Рассчитано",N241*(1-O241/100),"н/д")</x:f>
        <x:v>н/д</x:v>
      </x:c>
      <x:c r="V241" s="21" t="str">
        <x:f>IF(J241="Рассчитано",T241*U241,"н/д")</x:f>
        <x:v>н/д</x:v>
      </x:c>
      <x:c r="W241" s="21" t="str">
        <x:f>IF(J241="Рассчитано",T241*M241,"н/д")</x:f>
        <x:v>н/д</x:v>
      </x:c>
      <x:c r="X241" s="21" t="str">
        <x:f>IF(J241="Рассчитано",V241-W241,"н/д")</x:f>
        <x:v>н/д</x:v>
      </x:c>
      <x:c r="Y241" s="27" t="str">
        <x:f>IF(J241="Рассчитано",IF(V241&gt;0,G241/V241,"н/д"),"н/д")</x:f>
        <x:v>н/д</x:v>
      </x:c>
      <x:c r="Z241" s="21" t="str">
        <x:f>"н/д"</x:f>
        <x:v>н/д</x:v>
      </x:c>
      <x:c r="AA241" s="21" t="str">
        <x:f>"н/д"</x:f>
        <x:v>н/д</x:v>
      </x:c>
      <x:c r="AB241" s="21" t="str">
        <x:f>"н/д"</x:f>
        <x:v>н/д</x:v>
      </x:c>
      <x:c r="AC241" s="21" t="str">
        <x:f>IF(AND(J241="Рассчитано",T241&gt;0,R241&lt;100),(W241+P241+Q241)/(T241*(1-R241/100)),"н/д")</x:f>
        <x:v>н/д</x:v>
      </x:c>
      <x:c r="AD241" s="10" t="str">
        <x:f>IF(ISNUMBER(G241),IF(G241&lt;0,"Убыток",IF(G241=0,"Без прибыли","Прибыль &gt; 0")),"Не оценён")</x:f>
        <x:v>Не оценён</x:v>
      </x:c>
      <x:c r="AE241" s="13" t="str">
        <x:f>IF(J241="Рассчитано","Выручка "&amp;TEXT(V241,"0.00")&amp;" - себестоимость "&amp;TEXT(W241,"0.00")&amp;" - комиссия "&amp;TEXT(V241*R241/100,"0.00")&amp;" - доставка "&amp;TEXT(P241,"0.00")&amp;" - прочие "&amp;TEXT(Q241,"0.00")&amp;" = "&amp;TEXT(G241,"0.00")&amp;" "&amp;L241,"Введите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1" s="24" t="n">
        <x:v>3.189693215349139</x:v>
      </x:c>
      <x:c r="AG241" s="37" t="n">
        <x:v>7</x:v>
      </x:c>
      <x:c r="AH241" s="37" t="n">
        <x:v>0</x:v>
      </x:c>
      <x:c r="AI241" s="30" t="n">
        <x:v>46266</x:v>
      </x:c>
      <x:c r="AJ241" s="37" t="n">
        <x:v>1</x:v>
      </x:c>
      <x:c r="AK241" s="10" t="str">
        <x:v>минимум</x:v>
      </x:c>
      <x:c r="AL241" s="32" t="n">
        <x:v>186.624290488622</x:v>
      </x:c>
      <x:c r="AM24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41" s="13" t="str">
        <x:v>Проверить свободный остаток и установить цену для B2B</x:v>
      </x:c>
      <x:c r="AO241" s="13" t="str">
        <x:v>Остаток 7; прогноз 90 дней 3.19; избыток 3 шт. Будущие поступления не выставляются на продажу. Остаток на начало сентября: требуется актуализация.</x:v>
      </x:c>
      <x:c r="AP241" s="13" t="str">
        <x:v>["category_missing", "daily_stockout_data_missing", "new_order_lead_time_unknown", "reservations_unknown", "stale_stock"]</x:v>
      </x:c>
      <x:c r="AQ241" s="10" t="str">
        <x:v>IEK:030200755_</x:v>
      </x:c>
      <x:c r="AR241" s="24" t="n">
        <x:v>1</x:v>
      </x:c>
      <x:c r="AS241" s="24" t="n">
        <x:v>0</x:v>
      </x:c>
      <x:c r="AT241" s="24" t="n">
        <x:v>0</x:v>
      </x:c>
    </x:row>
    <x:row r="242" ht="64" customHeight="1">
      <x:c r="A242" s="11" t="str">
        <x:v>IEK</x:v>
      </x:c>
      <x:c r="B242" s="33" t="str">
        <x:v>030200756_</x:v>
      </x:c>
      <x:c r="C242" s="33" t="str">
        <x:v>BR-M52-K47</x:v>
      </x:c>
      <x:c r="D242" s="12" t="str">
        <x:v>Рамка 5-мест. "BRITE" алюминий (1/100)</x:v>
      </x:c>
      <x:c r="E242" s="11" t="str">
        <x:v>шт</x:v>
      </x:c>
      <x:c r="F242" s="35" t="n">
        <x:f>MAX(0,ROUNDDOWN((AG242-AF242)/AR242+0.000000001,0)*AR242)</x:f>
        <x:v>4</x:v>
      </x:c>
      <x:c r="G242" s="20" t="str">
        <x:f>IF(J242="Рассчитано",V242*(1-R242/100)-W242-P242-Q242,"н/д")</x:f>
        <x:v>н/д</x:v>
      </x:c>
      <x:c r="H242" s="12" t="str">
        <x:v>Высокий</x:v>
      </x:c>
      <x:c r="I242" s="12" t="str">
        <x:v>Средний</x:v>
      </x:c>
      <x:c r="J242" s="12" t="str">
        <x:f>IF(L242="","Укажите валюту",IF(NOT(ISNUMBER(K242)),"Укажите объём",IF(K242&lt;=0,"Укажите объём",IF(K242&gt;F242,"Объём выше излишка",IF(COUNT(M242:O242)&lt;3,"Нужны цены",IF(COUNT(P242:R242)&lt;3,"Нужны расходы",IF(OR(M242&lt;0,N242&lt;0,O242&lt;0,O242&gt;100,P242&lt;0,Q242&lt;0,R242&lt;0,R242&gt;100),"Проверьте значения","Рассчитано")))))))</x:f>
        <x:v>Нужны цены</x:v>
      </x:c>
      <x:c r="K242" s="36" t="n">
        <x:v>4</x:v>
      </x:c>
      <x:c r="L242" s="19" t="str">
        <x:v>KZT</x:v>
      </x:c>
      <x:c r="M242" s="22"/>
      <x:c r="N242" s="22"/>
      <x:c r="O242" s="28"/>
      <x:c r="P242" s="22"/>
      <x:c r="Q242" s="22"/>
      <x:c r="R242" s="28"/>
      <x:c r="S242" s="22"/>
      <x:c r="T242" s="35" t="n">
        <x:f>K242</x:f>
        <x:v>4</x:v>
      </x:c>
      <x:c r="U242" s="20" t="str">
        <x:f>IF(J242="Рассчитано",N242*(1-O242/100),"н/д")</x:f>
        <x:v>н/д</x:v>
      </x:c>
      <x:c r="V242" s="20" t="str">
        <x:f>IF(J242="Рассчитано",T242*U242,"н/д")</x:f>
        <x:v>н/д</x:v>
      </x:c>
      <x:c r="W242" s="20" t="str">
        <x:f>IF(J242="Рассчитано",T242*M242,"н/д")</x:f>
        <x:v>н/д</x:v>
      </x:c>
      <x:c r="X242" s="20" t="str">
        <x:f>IF(J242="Рассчитано",V242-W242,"н/д")</x:f>
        <x:v>н/д</x:v>
      </x:c>
      <x:c r="Y242" s="26" t="str">
        <x:f>IF(J242="Рассчитано",IF(V242&gt;0,G242/V242,"н/д"),"н/д")</x:f>
        <x:v>н/д</x:v>
      </x:c>
      <x:c r="Z242" s="20" t="str">
        <x:f>"н/д"</x:f>
        <x:v>н/д</x:v>
      </x:c>
      <x:c r="AA242" s="20" t="str">
        <x:f>"н/д"</x:f>
        <x:v>н/д</x:v>
      </x:c>
      <x:c r="AB242" s="20" t="str">
        <x:f>"н/д"</x:f>
        <x:v>н/д</x:v>
      </x:c>
      <x:c r="AC242" s="20" t="str">
        <x:f>IF(AND(J242="Рассчитано",T242&gt;0,R242&lt;100),(W242+P242+Q242)/(T242*(1-R242/100)),"н/д")</x:f>
        <x:v>н/д</x:v>
      </x:c>
      <x:c r="AD242" s="11" t="str">
        <x:f>IF(ISNUMBER(G242),IF(G242&lt;0,"Убыток",IF(G242=0,"Без прибыли","Прибыль &gt; 0")),"Не оценён")</x:f>
        <x:v>Не оценён</x:v>
      </x:c>
      <x:c r="AE242" s="12" t="str">
        <x:f>IF(J242="Рассчитано","Выручка "&amp;TEXT(V242,"0.00")&amp;" - себестоимость "&amp;TEXT(W242,"0.00")&amp;" - комиссия "&amp;TEXT(V242*R242/100,"0.00")&amp;" - доставка "&amp;TEXT(P242,"0.00")&amp;" - прочие "&amp;TEXT(Q242,"0.00")&amp;" = "&amp;TEXT(G242,"0.00")&amp;" "&amp;L242,"Введите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2" s="23" t="n">
        <x:v>6.966084164681119</x:v>
      </x:c>
      <x:c r="AG242" s="35" t="n">
        <x:v>11</x:v>
      </x:c>
      <x:c r="AH242" s="35" t="n">
        <x:v>0</x:v>
      </x:c>
      <x:c r="AI242" s="29" t="n">
        <x:v>46266</x:v>
      </x:c>
      <x:c r="AJ242" s="35" t="n">
        <x:v>1</x:v>
      </x:c>
      <x:c r="AK242" s="11" t="str">
        <x:v>минимум</x:v>
      </x:c>
      <x:c r="AL242" s="31" t="n">
        <x:v>134.2836112452054</x:v>
      </x:c>
      <x:c r="AM242" s="12" t="str">
        <x:v>Остаток на начало сентября; Резервы неизвестны; Нет ежедневных данных доступности. Запас выше прогноза на 90 дней</x:v>
      </x:c>
      <x:c r="AN242" s="12" t="str">
        <x:v>Проверить свободный остаток и установить цену для B2B</x:v>
      </x:c>
      <x:c r="AO242" s="12" t="str">
        <x:v>Остаток 11; прогноз 90 дней 6.97; избыток 4 шт. Будущие поступления не выставляются на продажу. Остаток на начало сентября: требуется актуализация.</x:v>
      </x:c>
      <x:c r="AP242" s="12" t="str">
        <x:v>["category_missing", "daily_stockout_data_missing", "new_order_lead_time_unknown", "reservations_unknown", "stale_stock"]</x:v>
      </x:c>
      <x:c r="AQ242" s="11" t="str">
        <x:v>IEK:030200756_</x:v>
      </x:c>
      <x:c r="AR242" s="23" t="n">
        <x:v>1</x:v>
      </x:c>
      <x:c r="AS242" s="23" t="n">
        <x:v>0</x:v>
      </x:c>
      <x:c r="AT242" s="23" t="n">
        <x:v>0</x:v>
      </x:c>
    </x:row>
    <x:row r="243" ht="64" customHeight="1">
      <x:c r="A243" s="10" t="str">
        <x:v>IEK</x:v>
      </x:c>
      <x:c r="B243" s="34" t="str">
        <x:v>030200758_</x:v>
      </x:c>
      <x:c r="C243" s="34" t="str">
        <x:v>BR-M52-K02</x:v>
      </x:c>
      <x:c r="D243" s="13" t="str">
        <x:v>Рамка 5-мест. "BRITE" черный (1/100)</x:v>
      </x:c>
      <x:c r="E243" s="10" t="str">
        <x:v>шт</x:v>
      </x:c>
      <x:c r="F243" s="37" t="n">
        <x:f>MAX(0,ROUNDDOWN((AG243-AF243)/AR243+0.000000001,0)*AR243)</x:f>
        <x:v>9</x:v>
      </x:c>
      <x:c r="G243" s="21" t="str">
        <x:f>IF(J243="Рассчитано",V243*(1-R243/100)-W243-P243-Q243,"н/д")</x:f>
        <x:v>н/д</x:v>
      </x:c>
      <x:c r="H243" s="13" t="str">
        <x:v>Высокий</x:v>
      </x:c>
      <x:c r="I243" s="13" t="str">
        <x:v>Средний</x:v>
      </x:c>
      <x:c r="J243" s="13" t="str">
        <x:f>IF(L243="","Укажите валюту",IF(NOT(ISNUMBER(K243)),"Укажите объём",IF(K243&lt;=0,"Укажите объём",IF(K243&gt;F243,"Объём выше излишка",IF(COUNT(M243:O243)&lt;3,"Нужны цены",IF(COUNT(P243:R243)&lt;3,"Нужны расходы",IF(OR(M243&lt;0,N243&lt;0,O243&lt;0,O243&gt;100,P243&lt;0,Q243&lt;0,R243&lt;0,R243&gt;100),"Проверьте значения","Рассчитано")))))))</x:f>
        <x:v>Нужны цены</x:v>
      </x:c>
      <x:c r="K243" s="36" t="n">
        <x:v>9</x:v>
      </x:c>
      <x:c r="L243" s="19" t="str">
        <x:v>KZT</x:v>
      </x:c>
      <x:c r="M243" s="22"/>
      <x:c r="N243" s="22"/>
      <x:c r="O243" s="28"/>
      <x:c r="P243" s="22"/>
      <x:c r="Q243" s="22"/>
      <x:c r="R243" s="28"/>
      <x:c r="S243" s="22"/>
      <x:c r="T243" s="37" t="n">
        <x:f>K243</x:f>
        <x:v>9</x:v>
      </x:c>
      <x:c r="U243" s="21" t="str">
        <x:f>IF(J243="Рассчитано",N243*(1-O243/100),"н/д")</x:f>
        <x:v>н/д</x:v>
      </x:c>
      <x:c r="V243" s="21" t="str">
        <x:f>IF(J243="Рассчитано",T243*U243,"н/д")</x:f>
        <x:v>н/д</x:v>
      </x:c>
      <x:c r="W243" s="21" t="str">
        <x:f>IF(J243="Рассчитано",T243*M243,"н/д")</x:f>
        <x:v>н/д</x:v>
      </x:c>
      <x:c r="X243" s="21" t="str">
        <x:f>IF(J243="Рассчитано",V243-W243,"н/д")</x:f>
        <x:v>н/д</x:v>
      </x:c>
      <x:c r="Y243" s="27" t="str">
        <x:f>IF(J243="Рассчитано",IF(V243&gt;0,G243/V243,"н/д"),"н/д")</x:f>
        <x:v>н/д</x:v>
      </x:c>
      <x:c r="Z243" s="21" t="str">
        <x:f>"н/д"</x:f>
        <x:v>н/д</x:v>
      </x:c>
      <x:c r="AA243" s="21" t="str">
        <x:f>"н/д"</x:f>
        <x:v>н/д</x:v>
      </x:c>
      <x:c r="AB243" s="21" t="str">
        <x:f>"н/д"</x:f>
        <x:v>н/д</x:v>
      </x:c>
      <x:c r="AC243" s="21" t="str">
        <x:f>IF(AND(J243="Рассчитано",T243&gt;0,R243&lt;100),(W243+P243+Q243)/(T243*(1-R243/100)),"н/д")</x:f>
        <x:v>н/д</x:v>
      </x:c>
      <x:c r="AD243" s="10" t="str">
        <x:f>IF(ISNUMBER(G243),IF(G243&lt;0,"Убыток",IF(G243=0,"Без прибыли","Прибыль &gt; 0")),"Не оценён")</x:f>
        <x:v>Не оценён</x:v>
      </x:c>
      <x:c r="AE243" s="13" t="str">
        <x:f>IF(J243="Рассчитано","Выручка "&amp;TEXT(V243,"0.00")&amp;" - себестоимость "&amp;TEXT(W243,"0.00")&amp;" - комиссия "&amp;TEXT(V243*R243/100,"0.00")&amp;" - доставка "&amp;TEXT(P243,"0.00")&amp;" - прочие "&amp;TEXT(Q243,"0.00")&amp;" = "&amp;TEXT(G243,"0.00")&amp;" "&amp;L243,"Введите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3" s="24" t="n">
        <x:v>14.612479691962793</x:v>
      </x:c>
      <x:c r="AG243" s="37" t="n">
        <x:v>24</x:v>
      </x:c>
      <x:c r="AH243" s="37" t="n">
        <x:v>0</x:v>
      </x:c>
      <x:c r="AI243" s="30" t="n">
        <x:v>46266</x:v>
      </x:c>
      <x:c r="AJ243" s="37" t="n">
        <x:v>1</x:v>
      </x:c>
      <x:c r="AK243" s="10" t="str">
        <x:v>минимум</x:v>
      </x:c>
      <x:c r="AL243" s="32" t="n">
        <x:v>139.67103948864093</x:v>
      </x:c>
      <x:c r="AM243" s="13" t="str">
        <x:v>Остаток на начало сентября; Резервы неизвестны; Нет ежедневных данных доступности. Запас выше прогноза на 90 дней</x:v>
      </x:c>
      <x:c r="AN243" s="13" t="str">
        <x:v>Проверить свободный остаток и установить цену для B2B</x:v>
      </x:c>
      <x:c r="AO243" s="13" t="str">
        <x:v>Остаток 24; прогноз 90 дней 14.61; избыток 9 шт. Будущие поступления не выставляются на продажу. Остаток на начало сентября: требуется актуализация.</x:v>
      </x:c>
      <x:c r="AP243" s="13" t="str">
        <x:v>["category_missing", "daily_stockout_data_missing", "large_orders_detected", "negative_net_sales_clipped_for_forecast", "new_order_lead_time_unknown", "reservations_unknown", "stale_stock"]</x:v>
      </x:c>
      <x:c r="AQ243" s="10" t="str">
        <x:v>IEK:030200758_</x:v>
      </x:c>
      <x:c r="AR243" s="24" t="n">
        <x:v>1</x:v>
      </x:c>
      <x:c r="AS243" s="24" t="n">
        <x:v>0</x:v>
      </x:c>
      <x:c r="AT243" s="24" t="n">
        <x:v>0</x:v>
      </x:c>
    </x:row>
    <x:row r="244" ht="64" customHeight="1">
      <x:c r="A244" s="11" t="str">
        <x:v>IEK</x:v>
      </x:c>
      <x:c r="B244" s="33" t="str">
        <x:v>030200759_</x:v>
      </x:c>
      <x:c r="C244" s="33" t="str">
        <x:v>BR-R14-16-U21-D31-K01</x:v>
      </x:c>
      <x:c r="D244" s="12" t="str">
        <x:v>Роз. с з/к с з/ш 16А USB A+A 3,1А б/рамки "BRITE" белый (1/80)</x:v>
      </x:c>
      <x:c r="E244" s="11" t="str">
        <x:v>шт</x:v>
      </x:c>
      <x:c r="F244" s="35" t="n">
        <x:f>MAX(0,ROUNDDOWN((AG244-AF244)/AR244+0.000000001,0)*AR244)</x:f>
        <x:v>5</x:v>
      </x:c>
      <x:c r="G244" s="20" t="str">
        <x:f>IF(J244="Рассчитано",V244*(1-R244/100)-W244-P244-Q244,"н/д")</x:f>
        <x:v>н/д</x:v>
      </x:c>
      <x:c r="H244" s="12" t="str">
        <x:v>Высокий</x:v>
      </x:c>
      <x:c r="I244" s="12" t="str">
        <x:v>Высокий</x:v>
      </x:c>
      <x:c r="J244" s="12" t="str">
        <x:f>IF(L244="","Укажите валюту",IF(NOT(ISNUMBER(K244)),"Укажите объём",IF(K244&lt;=0,"Укажите объём",IF(K244&gt;F244,"Объём выше излишка",IF(COUNT(M244:O244)&lt;3,"Нужны цены",IF(COUNT(P244:R244)&lt;3,"Нужны расходы",IF(OR(M244&lt;0,N244&lt;0,O244&lt;0,O244&gt;100,P244&lt;0,Q244&lt;0,R244&lt;0,R244&gt;100),"Проверьте значения","Рассчитано")))))))</x:f>
        <x:v>Нужны цены</x:v>
      </x:c>
      <x:c r="K244" s="36" t="n">
        <x:v>5</x:v>
      </x:c>
      <x:c r="L244" s="19" t="str">
        <x:v>KZT</x:v>
      </x:c>
      <x:c r="M244" s="22"/>
      <x:c r="N244" s="22"/>
      <x:c r="O244" s="28"/>
      <x:c r="P244" s="22"/>
      <x:c r="Q244" s="22"/>
      <x:c r="R244" s="28"/>
      <x:c r="S244" s="22"/>
      <x:c r="T244" s="35" t="n">
        <x:f>K244</x:f>
        <x:v>5</x:v>
      </x:c>
      <x:c r="U244" s="20" t="str">
        <x:f>IF(J244="Рассчитано",N244*(1-O244/100),"н/д")</x:f>
        <x:v>н/д</x:v>
      </x:c>
      <x:c r="V244" s="20" t="str">
        <x:f>IF(J244="Рассчитано",T244*U244,"н/д")</x:f>
        <x:v>н/д</x:v>
      </x:c>
      <x:c r="W244" s="20" t="str">
        <x:f>IF(J244="Рассчитано",T244*M244,"н/д")</x:f>
        <x:v>н/д</x:v>
      </x:c>
      <x:c r="X244" s="20" t="str">
        <x:f>IF(J244="Рассчитано",V244-W244,"н/д")</x:f>
        <x:v>н/д</x:v>
      </x:c>
      <x:c r="Y244" s="26" t="str">
        <x:f>IF(J244="Рассчитано",IF(V244&gt;0,G244/V244,"н/д"),"н/д")</x:f>
        <x:v>н/д</x:v>
      </x:c>
      <x:c r="Z244" s="20" t="str">
        <x:f>"н/д"</x:f>
        <x:v>н/д</x:v>
      </x:c>
      <x:c r="AA244" s="20" t="str">
        <x:f>"н/д"</x:f>
        <x:v>н/д</x:v>
      </x:c>
      <x:c r="AB244" s="20" t="str">
        <x:f>"н/д"</x:f>
        <x:v>н/д</x:v>
      </x:c>
      <x:c r="AC244" s="20" t="str">
        <x:f>IF(AND(J244="Рассчитано",T244&gt;0,R244&lt;100),(W244+P244+Q244)/(T244*(1-R244/100)),"н/д")</x:f>
        <x:v>н/д</x:v>
      </x:c>
      <x:c r="AD244" s="11" t="str">
        <x:f>IF(ISNUMBER(G244),IF(G244&lt;0,"Убыток",IF(G244=0,"Без прибыли","Прибыль &gt; 0")),"Не оценён")</x:f>
        <x:v>Не оценён</x:v>
      </x:c>
      <x:c r="AE244" s="12" t="str">
        <x:f>IF(J244="Рассчитано","Выручка "&amp;TEXT(V244,"0.00")&amp;" - себестоимость "&amp;TEXT(W244,"0.00")&amp;" - комиссия "&amp;TEXT(V244*R244/100,"0.00")&amp;" - доставка "&amp;TEXT(P244,"0.00")&amp;" - прочие "&amp;TEXT(Q244,"0.00")&amp;" = "&amp;TEXT(G244,"0.00")&amp;" "&amp;L244,"Введите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4" s="23" t="n">
        <x:v>0.19730134010343464</x:v>
      </x:c>
      <x:c r="AG244" s="35" t="n">
        <x:v>6</x:v>
      </x:c>
      <x:c r="AH244" s="35" t="n">
        <x:v>0</x:v>
      </x:c>
      <x:c r="AI244" s="29" t="n">
        <x:v>46266</x:v>
      </x:c>
      <x:c r="AJ244" s="35" t="n">
        <x:v>1</x:v>
      </x:c>
      <x:c r="AK244" s="11" t="str">
        <x:v>минимум</x:v>
      </x:c>
      <x:c r="AL244" s="31" t="n">
        <x:v>2586.069900758328</x:v>
      </x:c>
      <x:c r="AM24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44" s="12" t="str">
        <x:v>Проверить свободный остаток и установить цену для B2B</x:v>
      </x:c>
      <x:c r="AO244" s="12" t="str">
        <x:v>Остаток 6; прогноз 90 дней 0.20; избыток 5 шт. Будущие поступления не выставляются на продажу. Остаток на начало сентября: требуется актуализация.</x:v>
      </x:c>
      <x:c r="AP244" s="12" t="str">
        <x:v>["category_missing", "daily_stockout_data_missing", "new_order_lead_time_unknown", "reservations_unknown", "stale_stock"]</x:v>
      </x:c>
      <x:c r="AQ244" s="11" t="str">
        <x:v>IEK:030200759_</x:v>
      </x:c>
      <x:c r="AR244" s="23" t="n">
        <x:v>1</x:v>
      </x:c>
      <x:c r="AS244" s="23" t="n">
        <x:v>0</x:v>
      </x:c>
      <x:c r="AT244" s="23" t="n">
        <x:v>0</x:v>
      </x:c>
    </x:row>
    <x:row r="245" ht="64" customHeight="1">
      <x:c r="A245" s="10" t="str">
        <x:v>IEK</x:v>
      </x:c>
      <x:c r="B245" s="34" t="str">
        <x:v>030200765_</x:v>
      </x:c>
      <x:c r="C245" s="34" t="str">
        <x:v>BR-U22-018-K47</x:v>
      </x:c>
      <x:c r="D245" s="13" t="str">
        <x:v>Роз. USB A+C 18Вт б/рамки "BRITE" алюминий (1/80)</x:v>
      </x:c>
      <x:c r="E245" s="10" t="str">
        <x:v>шт</x:v>
      </x:c>
      <x:c r="F245" s="37" t="n">
        <x:f>MAX(0,ROUNDDOWN((AG245-AF245)/AR245+0.000000001,0)*AR245)</x:f>
        <x:v>5</x:v>
      </x:c>
      <x:c r="G245" s="21" t="str">
        <x:f>IF(J245="Рассчитано",V245*(1-R245/100)-W245-P245-Q245,"н/д")</x:f>
        <x:v>н/д</x:v>
      </x:c>
      <x:c r="H245" s="13" t="str">
        <x:v>Высокий</x:v>
      </x:c>
      <x:c r="I245" s="13" t="str">
        <x:v>Высокий</x:v>
      </x:c>
      <x:c r="J245" s="13" t="str">
        <x:f>IF(L245="","Укажите валюту",IF(NOT(ISNUMBER(K245)),"Укажите объём",IF(K245&lt;=0,"Укажите объём",IF(K245&gt;F245,"Объём выше излишка",IF(COUNT(M245:O245)&lt;3,"Нужны цены",IF(COUNT(P245:R245)&lt;3,"Нужны расходы",IF(OR(M245&lt;0,N245&lt;0,O245&lt;0,O245&gt;100,P245&lt;0,Q245&lt;0,R245&lt;0,R245&gt;100),"Проверьте значения","Рассчитано")))))))</x:f>
        <x:v>Нужны цены</x:v>
      </x:c>
      <x:c r="K245" s="36" t="n">
        <x:v>5</x:v>
      </x:c>
      <x:c r="L245" s="19" t="str">
        <x:v>KZT</x:v>
      </x:c>
      <x:c r="M245" s="22"/>
      <x:c r="N245" s="22"/>
      <x:c r="O245" s="28"/>
      <x:c r="P245" s="22"/>
      <x:c r="Q245" s="22"/>
      <x:c r="R245" s="28"/>
      <x:c r="S245" s="22"/>
      <x:c r="T245" s="37" t="n">
        <x:f>K245</x:f>
        <x:v>5</x:v>
      </x:c>
      <x:c r="U245" s="21" t="str">
        <x:f>IF(J245="Рассчитано",N245*(1-O245/100),"н/д")</x:f>
        <x:v>н/д</x:v>
      </x:c>
      <x:c r="V245" s="21" t="str">
        <x:f>IF(J245="Рассчитано",T245*U245,"н/д")</x:f>
        <x:v>н/д</x:v>
      </x:c>
      <x:c r="W245" s="21" t="str">
        <x:f>IF(J245="Рассчитано",T245*M245,"н/д")</x:f>
        <x:v>н/д</x:v>
      </x:c>
      <x:c r="X245" s="21" t="str">
        <x:f>IF(J245="Рассчитано",V245-W245,"н/д")</x:f>
        <x:v>н/д</x:v>
      </x:c>
      <x:c r="Y245" s="27" t="str">
        <x:f>IF(J245="Рассчитано",IF(V245&gt;0,G245/V245,"н/д"),"н/д")</x:f>
        <x:v>н/д</x:v>
      </x:c>
      <x:c r="Z245" s="21" t="str">
        <x:f>"н/д"</x:f>
        <x:v>н/д</x:v>
      </x:c>
      <x:c r="AA245" s="21" t="str">
        <x:f>"н/д"</x:f>
        <x:v>н/д</x:v>
      </x:c>
      <x:c r="AB245" s="21" t="str">
        <x:f>"н/д"</x:f>
        <x:v>н/д</x:v>
      </x:c>
      <x:c r="AC245" s="21" t="str">
        <x:f>IF(AND(J245="Рассчитано",T245&gt;0,R245&lt;100),(W245+P245+Q245)/(T245*(1-R245/100)),"н/д")</x:f>
        <x:v>н/д</x:v>
      </x:c>
      <x:c r="AD245" s="10" t="str">
        <x:f>IF(ISNUMBER(G245),IF(G245&lt;0,"Убыток",IF(G245=0,"Без прибыли","Прибыль &gt; 0")),"Не оценён")</x:f>
        <x:v>Не оценён</x:v>
      </x:c>
      <x:c r="AE245" s="13" t="str">
        <x:f>IF(J245="Рассчитано","Выручка "&amp;TEXT(V245,"0.00")&amp;" - себестоимость "&amp;TEXT(W245,"0.00")&amp;" - комиссия "&amp;TEXT(V245*R245/100,"0.00")&amp;" - доставка "&amp;TEXT(P245,"0.00")&amp;" - прочие "&amp;TEXT(Q245,"0.00")&amp;" = "&amp;TEXT(G245,"0.00")&amp;" "&amp;L245,"Введите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5" s="24" t="n">
        <x:v>0.10758727254321898</x:v>
      </x:c>
      <x:c r="AG245" s="37" t="n">
        <x:v>6</x:v>
      </x:c>
      <x:c r="AH245" s="37" t="n">
        <x:v>0</x:v>
      </x:c>
      <x:c r="AI245" s="30" t="n">
        <x:v>46266</x:v>
      </x:c>
      <x:c r="AJ245" s="37" t="n">
        <x:v>1</x:v>
      </x:c>
      <x:c r="AK245" s="10" t="str">
        <x:v>минимум</x:v>
      </x:c>
      <x:c r="AL245" s="32" t="n">
        <x:v>4742.522465339078</x:v>
      </x:c>
      <x:c r="AM24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45" s="13" t="str">
        <x:v>Проверить свободный остаток и установить цену для B2B</x:v>
      </x:c>
      <x:c r="AO245" s="13" t="str">
        <x:v>Остаток 6; прогноз 90 дней 0.11; избыток 5 шт. Будущие поступления не выставляются на продажу. Остаток на начало сентября: требуется актуализация.</x:v>
      </x:c>
      <x:c r="AP245" s="13" t="str">
        <x:v>["category_missing", "daily_stockout_data_missing", "new_order_lead_time_unknown", "reservations_unknown", "stale_stock"]</x:v>
      </x:c>
      <x:c r="AQ245" s="10" t="str">
        <x:v>IEK:030200765_</x:v>
      </x:c>
      <x:c r="AR245" s="24" t="n">
        <x:v>1</x:v>
      </x:c>
      <x:c r="AS245" s="24" t="n">
        <x:v>0</x:v>
      </x:c>
      <x:c r="AT245" s="24" t="n">
        <x:v>0</x:v>
      </x:c>
    </x:row>
    <x:row r="246" ht="64" customHeight="1">
      <x:c r="A246" s="11" t="str">
        <x:v>IEK</x:v>
      </x:c>
      <x:c r="B246" s="33" t="str">
        <x:v>030200767_</x:v>
      </x:c>
      <x:c r="C246" s="33" t="str">
        <x:v>BR-U22-018-K46</x:v>
      </x:c>
      <x:c r="D246" s="12" t="str">
        <x:v>Роз. USB A+C 18Вт б/рамки "BRITE" сталь (1/80)</x:v>
      </x:c>
      <x:c r="E246" s="11" t="str">
        <x:v>шт</x:v>
      </x:c>
      <x:c r="F246" s="35" t="n">
        <x:f>MAX(0,ROUNDDOWN((AG246-AF246)/AR246+0.000000001,0)*AR246)</x:f>
        <x:v>1</x:v>
      </x:c>
      <x:c r="G246" s="20" t="str">
        <x:f>IF(J246="Рассчитано",V246*(1-R246/100)-W246-P246-Q246,"н/д")</x:f>
        <x:v>н/д</x:v>
      </x:c>
      <x:c r="H246" s="12" t="str">
        <x:v>Высокий</x:v>
      </x:c>
      <x:c r="I246" s="12" t="str">
        <x:v>Высокий</x:v>
      </x:c>
      <x:c r="J246" s="12" t="str">
        <x:f>IF(L246="","Укажите валюту",IF(NOT(ISNUMBER(K246)),"Укажите объём",IF(K246&lt;=0,"Укажите объём",IF(K246&gt;F246,"Объём выше излишка",IF(COUNT(M246:O246)&lt;3,"Нужны цены",IF(COUNT(P246:R246)&lt;3,"Нужны расходы",IF(OR(M246&lt;0,N246&lt;0,O246&lt;0,O246&gt;100,P246&lt;0,Q246&lt;0,R246&lt;0,R246&gt;100),"Проверьте значения","Рассчитано")))))))</x:f>
        <x:v>Нужны цены</x:v>
      </x:c>
      <x:c r="K246" s="36" t="n">
        <x:v>1</x:v>
      </x:c>
      <x:c r="L246" s="19" t="str">
        <x:v>KZT</x:v>
      </x:c>
      <x:c r="M246" s="22"/>
      <x:c r="N246" s="22"/>
      <x:c r="O246" s="28"/>
      <x:c r="P246" s="22"/>
      <x:c r="Q246" s="22"/>
      <x:c r="R246" s="28"/>
      <x:c r="S246" s="22"/>
      <x:c r="T246" s="35" t="n">
        <x:f>K246</x:f>
        <x:v>1</x:v>
      </x:c>
      <x:c r="U246" s="20" t="str">
        <x:f>IF(J246="Рассчитано",N246*(1-O246/100),"н/д")</x:f>
        <x:v>н/д</x:v>
      </x:c>
      <x:c r="V246" s="20" t="str">
        <x:f>IF(J246="Рассчитано",T246*U246,"н/д")</x:f>
        <x:v>н/д</x:v>
      </x:c>
      <x:c r="W246" s="20" t="str">
        <x:f>IF(J246="Рассчитано",T246*M246,"н/д")</x:f>
        <x:v>н/д</x:v>
      </x:c>
      <x:c r="X246" s="20" t="str">
        <x:f>IF(J246="Рассчитано",V246-W246,"н/д")</x:f>
        <x:v>н/д</x:v>
      </x:c>
      <x:c r="Y246" s="26" t="str">
        <x:f>IF(J246="Рассчитано",IF(V246&gt;0,G246/V246,"н/д"),"н/д")</x:f>
        <x:v>н/д</x:v>
      </x:c>
      <x:c r="Z246" s="20" t="str">
        <x:f>"н/д"</x:f>
        <x:v>н/д</x:v>
      </x:c>
      <x:c r="AA246" s="20" t="str">
        <x:f>"н/д"</x:f>
        <x:v>н/д</x:v>
      </x:c>
      <x:c r="AB246" s="20" t="str">
        <x:f>"н/д"</x:f>
        <x:v>н/д</x:v>
      </x:c>
      <x:c r="AC246" s="20" t="str">
        <x:f>IF(AND(J246="Рассчитано",T246&gt;0,R246&lt;100),(W246+P246+Q246)/(T246*(1-R246/100)),"н/д")</x:f>
        <x:v>н/д</x:v>
      </x:c>
      <x:c r="AD246" s="11" t="str">
        <x:f>IF(ISNUMBER(G246),IF(G246&lt;0,"Убыток",IF(G246=0,"Без прибыли","Прибыль &gt; 0")),"Не оценён")</x:f>
        <x:v>Не оценён</x:v>
      </x:c>
      <x:c r="AE246" s="12" t="str">
        <x:f>IF(J246="Рассчитано","Выручка "&amp;TEXT(V246,"0.00")&amp;" - себестоимость "&amp;TEXT(W246,"0.00")&amp;" - комиссия "&amp;TEXT(V246*R246/100,"0.00")&amp;" - доставка "&amp;TEXT(P246,"0.00")&amp;" - прочие "&amp;TEXT(Q246,"0.00")&amp;" = "&amp;TEXT(G246,"0.00")&amp;" "&amp;L246,"Введите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6" s="23" t="n">
        <x:v>0.32276181762965744</x:v>
      </x:c>
      <x:c r="AG246" s="35" t="n">
        <x:v>2</x:v>
      </x:c>
      <x:c r="AH246" s="35" t="n">
        <x:v>0</x:v>
      </x:c>
      <x:c r="AI246" s="29" t="n">
        <x:v>46266</x:v>
      </x:c>
      <x:c r="AJ246" s="35" t="n">
        <x:v>1</x:v>
      </x:c>
      <x:c r="AK246" s="11" t="str">
        <x:v>минимум</x:v>
      </x:c>
      <x:c r="AL246" s="31" t="n">
        <x:v>526.9469405932308</x:v>
      </x:c>
      <x:c r="AM24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46" s="12" t="str">
        <x:v>Проверить свободный остаток и установить цену для B2B</x:v>
      </x:c>
      <x:c r="AO246" s="12" t="str">
        <x:v>Остаток 2; прогноз 90 дней 0.32; избыток 1 шт. Будущие поступления не выставляются на продажу. Остаток на начало сентября: требуется актуализация.</x:v>
      </x:c>
      <x:c r="AP246" s="12" t="str">
        <x:v>["category_missing", "daily_stockout_data_missing", "new_order_lead_time_unknown", "reservations_unknown", "stale_stock"]</x:v>
      </x:c>
      <x:c r="AQ246" s="11" t="str">
        <x:v>IEK:030200767_</x:v>
      </x:c>
      <x:c r="AR246" s="23" t="n">
        <x:v>1</x:v>
      </x:c>
      <x:c r="AS246" s="23" t="n">
        <x:v>0</x:v>
      </x:c>
      <x:c r="AT246" s="23" t="n">
        <x:v>0</x:v>
      </x:c>
    </x:row>
    <x:row r="247" ht="64" customHeight="1">
      <x:c r="A247" s="10" t="str">
        <x:v>IEK</x:v>
      </x:c>
      <x:c r="B247" s="34" t="str">
        <x:v>030200768_</x:v>
      </x:c>
      <x:c r="C247" s="34" t="str">
        <x:v>BR-R14-16-U21-D31-K53</x:v>
      </x:c>
      <x:c r="D247" s="13" t="str">
        <x:v>Роз. с з/к с з/ш 16А с USB A+A 3,1А б/рамки "BRITE" графит (1/80)</x:v>
      </x:c>
      <x:c r="E247" s="10" t="str">
        <x:v>шт</x:v>
      </x:c>
      <x:c r="F247" s="37" t="n">
        <x:f>MAX(0,ROUNDDOWN((AG247-AF247)/AR247+0.000000001,0)*AR247)</x:f>
        <x:v>1</x:v>
      </x:c>
      <x:c r="G247" s="21" t="str">
        <x:f>IF(J247="Рассчитано",V247*(1-R247/100)-W247-P247-Q247,"н/д")</x:f>
        <x:v>н/д</x:v>
      </x:c>
      <x:c r="H247" s="13" t="str">
        <x:v>Высокий</x:v>
      </x:c>
      <x:c r="I247" s="13" t="str">
        <x:v>Высокий</x:v>
      </x:c>
      <x:c r="J247" s="13" t="str">
        <x:f>IF(L247="","Укажите валюту",IF(NOT(ISNUMBER(K247)),"Укажите объём",IF(K247&lt;=0,"Укажите объём",IF(K247&gt;F247,"Объём выше излишка",IF(COUNT(M247:O247)&lt;3,"Нужны цены",IF(COUNT(P247:R247)&lt;3,"Нужны расходы",IF(OR(M247&lt;0,N247&lt;0,O247&lt;0,O247&gt;100,P247&lt;0,Q247&lt;0,R247&lt;0,R247&gt;100),"Проверьте значения","Рассчитано")))))))</x:f>
        <x:v>Нужны цены</x:v>
      </x:c>
      <x:c r="K247" s="36" t="n">
        <x:v>1</x:v>
      </x:c>
      <x:c r="L247" s="19" t="str">
        <x:v>KZT</x:v>
      </x:c>
      <x:c r="M247" s="22"/>
      <x:c r="N247" s="22"/>
      <x:c r="O247" s="28"/>
      <x:c r="P247" s="22"/>
      <x:c r="Q247" s="22"/>
      <x:c r="R247" s="28"/>
      <x:c r="S247" s="22"/>
      <x:c r="T247" s="37" t="n">
        <x:f>K247</x:f>
        <x:v>1</x:v>
      </x:c>
      <x:c r="U247" s="21" t="str">
        <x:f>IF(J247="Рассчитано",N247*(1-O247/100),"н/д")</x:f>
        <x:v>н/д</x:v>
      </x:c>
      <x:c r="V247" s="21" t="str">
        <x:f>IF(J247="Рассчитано",T247*U247,"н/д")</x:f>
        <x:v>н/д</x:v>
      </x:c>
      <x:c r="W247" s="21" t="str">
        <x:f>IF(J247="Рассчитано",T247*M247,"н/д")</x:f>
        <x:v>н/д</x:v>
      </x:c>
      <x:c r="X247" s="21" t="str">
        <x:f>IF(J247="Рассчитано",V247-W247,"н/д")</x:f>
        <x:v>н/д</x:v>
      </x:c>
      <x:c r="Y247" s="27" t="str">
        <x:f>IF(J247="Рассчитано",IF(V247&gt;0,G247/V247,"н/д"),"н/д")</x:f>
        <x:v>н/д</x:v>
      </x:c>
      <x:c r="Z247" s="21" t="str">
        <x:f>"н/д"</x:f>
        <x:v>н/д</x:v>
      </x:c>
      <x:c r="AA247" s="21" t="str">
        <x:f>"н/д"</x:f>
        <x:v>н/д</x:v>
      </x:c>
      <x:c r="AB247" s="21" t="str">
        <x:f>"н/д"</x:f>
        <x:v>н/д</x:v>
      </x:c>
      <x:c r="AC247" s="21" t="str">
        <x:f>IF(AND(J247="Рассчитано",T247&gt;0,R247&lt;100),(W247+P247+Q247)/(T247*(1-R247/100)),"н/д")</x:f>
        <x:v>н/д</x:v>
      </x:c>
      <x:c r="AD247" s="10" t="str">
        <x:f>IF(ISNUMBER(G247),IF(G247&lt;0,"Убыток",IF(G247=0,"Без прибыли","Прибыль &gt; 0")),"Не оценён")</x:f>
        <x:v>Не оценён</x:v>
      </x:c>
      <x:c r="AE247" s="13" t="str">
        <x:f>IF(J247="Рассчитано","Выручка "&amp;TEXT(V247,"0.00")&amp;" - себестоимость "&amp;TEXT(W247,"0.00")&amp;" - комиссия "&amp;TEXT(V247*R247/100,"0.00")&amp;" - доставка "&amp;TEXT(P247,"0.00")&amp;" - прочие "&amp;TEXT(Q247,"0.00")&amp;" = "&amp;TEXT(G247,"0.00")&amp;" "&amp;L247,"Введите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7" s="24" t="n">
        <x:v>0.4806002602071172</x:v>
      </x:c>
      <x:c r="AG247" s="37" t="n">
        <x:v>2</x:v>
      </x:c>
      <x:c r="AH247" s="37" t="n">
        <x:v>0</x:v>
      </x:c>
      <x:c r="AI247" s="30" t="n">
        <x:v>46266</x:v>
      </x:c>
      <x:c r="AJ247" s="37" t="n">
        <x:v>1</x:v>
      </x:c>
      <x:c r="AK247" s="10" t="str">
        <x:v>минимум</x:v>
      </x:c>
      <x:c r="AL247" s="32" t="n">
        <x:v>353.8873496800895</x:v>
      </x:c>
      <x:c r="AM24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47" s="13" t="str">
        <x:v>Проверить свободный остаток и установить цену для B2B</x:v>
      </x:c>
      <x:c r="AO247" s="13" t="str">
        <x:v>Остаток 2; прогноз 90 дней 0.48; избыток 1 шт. Будущие поступления не выставляются на продажу. Остаток на начало сентября: требуется актуализация.</x:v>
      </x:c>
      <x:c r="AP247" s="13" t="str">
        <x:v>["category_missing", "daily_stockout_data_missing", "new_order_lead_time_unknown", "reservations_unknown", "stale_stock"]</x:v>
      </x:c>
      <x:c r="AQ247" s="10" t="str">
        <x:v>IEK:030200768_</x:v>
      </x:c>
      <x:c r="AR247" s="24" t="n">
        <x:v>1</x:v>
      </x:c>
      <x:c r="AS247" s="24" t="n">
        <x:v>0</x:v>
      </x:c>
      <x:c r="AT247" s="24" t="n">
        <x:v>0</x:v>
      </x:c>
    </x:row>
    <x:row r="248" ht="64" customHeight="1">
      <x:c r="A248" s="11" t="str">
        <x:v>IEK</x:v>
      </x:c>
      <x:c r="B248" s="33" t="str">
        <x:v>030200769_</x:v>
      </x:c>
      <x:c r="C248" s="33" t="str">
        <x:v>BR-U22-018-K53</x:v>
      </x:c>
      <x:c r="D248" s="12" t="str">
        <x:v>Роз. USB A+C 18Вт б/рамки "BRITE" графит (1/80)</x:v>
      </x:c>
      <x:c r="E248" s="11" t="str">
        <x:v>шт</x:v>
      </x:c>
      <x:c r="F248" s="35" t="n">
        <x:f>MAX(0,ROUNDDOWN((AG248-AF248)/AR248+0.000000001,0)*AR248)</x:f>
        <x:v>2</x:v>
      </x:c>
      <x:c r="G248" s="20" t="str">
        <x:f>IF(J248="Рассчитано",V248*(1-R248/100)-W248-P248-Q248,"н/д")</x:f>
        <x:v>н/д</x:v>
      </x:c>
      <x:c r="H248" s="12" t="str">
        <x:v>Высокий</x:v>
      </x:c>
      <x:c r="I248" s="12" t="str">
        <x:v>Высокий</x:v>
      </x:c>
      <x:c r="J248" s="12" t="str">
        <x:f>IF(L248="","Укажите валюту",IF(NOT(ISNUMBER(K248)),"Укажите объём",IF(K248&lt;=0,"Укажите объём",IF(K248&gt;F248,"Объём выше излишка",IF(COUNT(M248:O248)&lt;3,"Нужны цены",IF(COUNT(P248:R248)&lt;3,"Нужны расходы",IF(OR(M248&lt;0,N248&lt;0,O248&lt;0,O248&gt;100,P248&lt;0,Q248&lt;0,R248&lt;0,R248&gt;100),"Проверьте значения","Рассчитано")))))))</x:f>
        <x:v>Нужны цены</x:v>
      </x:c>
      <x:c r="K248" s="36" t="n">
        <x:v>2</x:v>
      </x:c>
      <x:c r="L248" s="19" t="str">
        <x:v>KZT</x:v>
      </x:c>
      <x:c r="M248" s="22"/>
      <x:c r="N248" s="22"/>
      <x:c r="O248" s="28"/>
      <x:c r="P248" s="22"/>
      <x:c r="Q248" s="22"/>
      <x:c r="R248" s="28"/>
      <x:c r="S248" s="22"/>
      <x:c r="T248" s="35" t="n">
        <x:f>K248</x:f>
        <x:v>2</x:v>
      </x:c>
      <x:c r="U248" s="20" t="str">
        <x:f>IF(J248="Рассчитано",N248*(1-O248/100),"н/д")</x:f>
        <x:v>н/д</x:v>
      </x:c>
      <x:c r="V248" s="20" t="str">
        <x:f>IF(J248="Рассчитано",T248*U248,"н/д")</x:f>
        <x:v>н/д</x:v>
      </x:c>
      <x:c r="W248" s="20" t="str">
        <x:f>IF(J248="Рассчитано",T248*M248,"н/д")</x:f>
        <x:v>н/д</x:v>
      </x:c>
      <x:c r="X248" s="20" t="str">
        <x:f>IF(J248="Рассчитано",V248-W248,"н/д")</x:f>
        <x:v>н/д</x:v>
      </x:c>
      <x:c r="Y248" s="26" t="str">
        <x:f>IF(J248="Рассчитано",IF(V248&gt;0,G248/V248,"н/д"),"н/д")</x:f>
        <x:v>н/д</x:v>
      </x:c>
      <x:c r="Z248" s="20" t="str">
        <x:f>"н/д"</x:f>
        <x:v>н/д</x:v>
      </x:c>
      <x:c r="AA248" s="20" t="str">
        <x:f>"н/д"</x:f>
        <x:v>н/д</x:v>
      </x:c>
      <x:c r="AB248" s="20" t="str">
        <x:f>"н/д"</x:f>
        <x:v>н/д</x:v>
      </x:c>
      <x:c r="AC248" s="20" t="str">
        <x:f>IF(AND(J248="Рассчитано",T248&gt;0,R248&lt;100),(W248+P248+Q248)/(T248*(1-R248/100)),"н/д")</x:f>
        <x:v>н/д</x:v>
      </x:c>
      <x:c r="AD248" s="11" t="str">
        <x:f>IF(ISNUMBER(G248),IF(G248&lt;0,"Убыток",IF(G248=0,"Без прибыли","Прибыль &gt; 0")),"Не оценён")</x:f>
        <x:v>Не оценён</x:v>
      </x:c>
      <x:c r="AE248" s="12" t="str">
        <x:f>IF(J248="Рассчитано","Выручка "&amp;TEXT(V248,"0.00")&amp;" - себестоимость "&amp;TEXT(W248,"0.00")&amp;" - комиссия "&amp;TEXT(V248*R248/100,"0.00")&amp;" - доставка "&amp;TEXT(P248,"0.00")&amp;" - прочие "&amp;TEXT(Q248,"0.00")&amp;" = "&amp;TEXT(G248,"0.00")&amp;" "&amp;L248,"Введите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8" s="23" t="n">
        <x:v>0</x:v>
      </x:c>
      <x:c r="AG248" s="35" t="n">
        <x:v>2</x:v>
      </x:c>
      <x:c r="AH248" s="35" t="n">
        <x:v>0</x:v>
      </x:c>
      <x:c r="AI248" s="29" t="n">
        <x:v>46266</x:v>
      </x:c>
      <x:c r="AJ248" s="35" t="n">
        <x:v>1</x:v>
      </x:c>
      <x:c r="AK248" s="11" t="str">
        <x:v>минимум</x:v>
      </x:c>
      <x:c r="AL248" s="31" t="str">
        <x:v>н/д</x:v>
      </x:c>
      <x:c r="AM24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248" s="12" t="str">
        <x:v>Проверить свободный остаток и установить цену для B2B</x:v>
      </x:c>
      <x:c r="AO248" s="12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248" s="12" t="str">
        <x:v>["category_missing", "daily_stockout_data_missing", "new_order_lead_time_unknown", "reservations_unknown", "stale_stock"]</x:v>
      </x:c>
      <x:c r="AQ248" s="11" t="str">
        <x:v>IEK:030200769_</x:v>
      </x:c>
      <x:c r="AR248" s="23" t="n">
        <x:v>1</x:v>
      </x:c>
      <x:c r="AS248" s="23" t="n">
        <x:v>0</x:v>
      </x:c>
      <x:c r="AT248" s="23" t="n">
        <x:v>0</x:v>
      </x:c>
    </x:row>
    <x:row r="249" ht="64" customHeight="1">
      <x:c r="A249" s="10" t="str">
        <x:v>IEK</x:v>
      </x:c>
      <x:c r="B249" s="34" t="str">
        <x:v>030200770_</x:v>
      </x:c>
      <x:c r="C249" s="34" t="str">
        <x:v>BR-R14-16-U21-D31-K02</x:v>
      </x:c>
      <x:c r="D249" s="13" t="str">
        <x:v>Роз. с з/к с з/ш 16А с USB A+A 3,1А б/рамки "BRITE" черный (1/80)</x:v>
      </x:c>
      <x:c r="E249" s="10" t="str">
        <x:v>шт</x:v>
      </x:c>
      <x:c r="F249" s="37" t="n">
        <x:f>MAX(0,ROUNDDOWN((AG249-AF249)/AR249+0.000000001,0)*AR249)</x:f>
        <x:v>51</x:v>
      </x:c>
      <x:c r="G249" s="21" t="str">
        <x:f>IF(J249="Рассчитано",V249*(1-R249/100)-W249-P249-Q249,"н/д")</x:f>
        <x:v>н/д</x:v>
      </x:c>
      <x:c r="H249" s="13" t="str">
        <x:v>Высокий</x:v>
      </x:c>
      <x:c r="I249" s="13" t="str">
        <x:v>Высокий</x:v>
      </x:c>
      <x:c r="J249" s="13" t="str">
        <x:f>IF(L249="","Укажите валюту",IF(NOT(ISNUMBER(K249)),"Укажите объём",IF(K249&lt;=0,"Укажите объём",IF(K249&gt;F249,"Объём выше излишка",IF(COUNT(M249:O249)&lt;3,"Нужны цены",IF(COUNT(P249:R249)&lt;3,"Нужны расходы",IF(OR(M249&lt;0,N249&lt;0,O249&lt;0,O249&gt;100,P249&lt;0,Q249&lt;0,R249&lt;0,R249&gt;100),"Проверьте значения","Рассчитано")))))))</x:f>
        <x:v>Нужны цены</x:v>
      </x:c>
      <x:c r="K249" s="36" t="n">
        <x:v>51</x:v>
      </x:c>
      <x:c r="L249" s="19" t="str">
        <x:v>KZT</x:v>
      </x:c>
      <x:c r="M249" s="22"/>
      <x:c r="N249" s="22"/>
      <x:c r="O249" s="28"/>
      <x:c r="P249" s="22"/>
      <x:c r="Q249" s="22"/>
      <x:c r="R249" s="28"/>
      <x:c r="S249" s="22"/>
      <x:c r="T249" s="37" t="n">
        <x:f>K249</x:f>
        <x:v>51</x:v>
      </x:c>
      <x:c r="U249" s="21" t="str">
        <x:f>IF(J249="Рассчитано",N249*(1-O249/100),"н/д")</x:f>
        <x:v>н/д</x:v>
      </x:c>
      <x:c r="V249" s="21" t="str">
        <x:f>IF(J249="Рассчитано",T249*U249,"н/д")</x:f>
        <x:v>н/д</x:v>
      </x:c>
      <x:c r="W249" s="21" t="str">
        <x:f>IF(J249="Рассчитано",T249*M249,"н/д")</x:f>
        <x:v>н/д</x:v>
      </x:c>
      <x:c r="X249" s="21" t="str">
        <x:f>IF(J249="Рассчитано",V249-W249,"н/д")</x:f>
        <x:v>н/д</x:v>
      </x:c>
      <x:c r="Y249" s="27" t="str">
        <x:f>IF(J249="Рассчитано",IF(V249&gt;0,G249/V249,"н/д"),"н/д")</x:f>
        <x:v>н/д</x:v>
      </x:c>
      <x:c r="Z249" s="21" t="str">
        <x:f>"н/д"</x:f>
        <x:v>н/д</x:v>
      </x:c>
      <x:c r="AA249" s="21" t="str">
        <x:f>"н/д"</x:f>
        <x:v>н/д</x:v>
      </x:c>
      <x:c r="AB249" s="21" t="str">
        <x:f>"н/д"</x:f>
        <x:v>н/д</x:v>
      </x:c>
      <x:c r="AC249" s="21" t="str">
        <x:f>IF(AND(J249="Рассчитано",T249&gt;0,R249&lt;100),(W249+P249+Q249)/(T249*(1-R249/100)),"н/д")</x:f>
        <x:v>н/д</x:v>
      </x:c>
      <x:c r="AD249" s="10" t="str">
        <x:f>IF(ISNUMBER(G249),IF(G249&lt;0,"Убыток",IF(G249=0,"Без прибыли","Прибыль &gt; 0")),"Не оценён")</x:f>
        <x:v>Не оценён</x:v>
      </x:c>
      <x:c r="AE249" s="13" t="str">
        <x:f>IF(J249="Рассчитано","Выручка "&amp;TEXT(V249,"0.00")&amp;" - себестоимость "&amp;TEXT(W249,"0.00")&amp;" - комиссия "&amp;TEXT(V249*R249/100,"0.00")&amp;" - доставка "&amp;TEXT(P249,"0.00")&amp;" - прочие "&amp;TEXT(Q249,"0.00")&amp;" = "&amp;TEXT(G249,"0.00")&amp;" "&amp;L249,"Введите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9" s="24" t="n">
        <x:v>0.10104629486282299</x:v>
      </x:c>
      <x:c r="AG249" s="37" t="n">
        <x:v>52</x:v>
      </x:c>
      <x:c r="AH249" s="37" t="n">
        <x:v>0</x:v>
      </x:c>
      <x:c r="AI249" s="30" t="n">
        <x:v>46266</x:v>
      </x:c>
      <x:c r="AJ249" s="37" t="n">
        <x:v>1</x:v>
      </x:c>
      <x:c r="AK249" s="10" t="str">
        <x:v>минимум</x:v>
      </x:c>
      <x:c r="AL249" s="32" t="n">
        <x:v>43762.48695560708</x:v>
      </x:c>
      <x:c r="AM24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49" s="13" t="str">
        <x:v>Проверить свободный остаток и установить цену для B2B</x:v>
      </x:c>
      <x:c r="AO249" s="13" t="str">
        <x:v>Остаток 52; прогноз 90 дней 0.10; избыток 51 шт. Будущие поступления не выставляются на продажу. Остаток на начало сентября: требуется актуализация.</x:v>
      </x:c>
      <x:c r="AP249" s="13" t="str">
        <x:v>["category_missing", "daily_stockout_data_missing", "new_order_lead_time_unknown", "reservations_unknown", "stale_stock"]</x:v>
      </x:c>
      <x:c r="AQ249" s="10" t="str">
        <x:v>IEK:030200770_</x:v>
      </x:c>
      <x:c r="AR249" s="24" t="n">
        <x:v>1</x:v>
      </x:c>
      <x:c r="AS249" s="24" t="n">
        <x:v>0</x:v>
      </x:c>
      <x:c r="AT249" s="24" t="n">
        <x:v>0</x:v>
      </x:c>
    </x:row>
    <x:row r="250" ht="64" customHeight="1">
      <x:c r="A250" s="11" t="str">
        <x:v>IEK</x:v>
      </x:c>
      <x:c r="B250" s="33" t="str">
        <x:v>030200772_</x:v>
      </x:c>
      <x:c r="C250" s="33" t="str">
        <x:v>BR-V30-0-10-K35</x:v>
      </x:c>
      <x:c r="D250" s="12" t="str">
        <x:v>Выкл 3-кл. 10А б/рамки "BRITE" маренго (1/100)</x:v>
      </x:c>
      <x:c r="E250" s="11" t="str">
        <x:v>шт</x:v>
      </x:c>
      <x:c r="F250" s="35" t="n">
        <x:f>MAX(0,ROUNDDOWN((AG250-AF250)/AR250+0.000000001,0)*AR250)</x:f>
        <x:v>150</x:v>
      </x:c>
      <x:c r="G250" s="20" t="str">
        <x:f>IF(J250="Рассчитано",V250*(1-R250/100)-W250-P250-Q250,"н/д")</x:f>
        <x:v>н/д</x:v>
      </x:c>
      <x:c r="H250" s="12" t="str">
        <x:v>Высокий</x:v>
      </x:c>
      <x:c r="I250" s="12" t="str">
        <x:v>Высокий</x:v>
      </x:c>
      <x:c r="J250" s="12" t="str">
        <x:f>IF(L250="","Укажите валюту",IF(NOT(ISNUMBER(K250)),"Укажите объём",IF(K250&lt;=0,"Укажите объём",IF(K250&gt;F250,"Объём выше излишка",IF(COUNT(M250:O250)&lt;3,"Нужны цены",IF(COUNT(P250:R250)&lt;3,"Нужны расходы",IF(OR(M250&lt;0,N250&lt;0,O250&lt;0,O250&gt;100,P250&lt;0,Q250&lt;0,R250&lt;0,R250&gt;100),"Проверьте значения","Рассчитано")))))))</x:f>
        <x:v>Нужны цены</x:v>
      </x:c>
      <x:c r="K250" s="36" t="n">
        <x:v>150</x:v>
      </x:c>
      <x:c r="L250" s="19" t="str">
        <x:v>KZT</x:v>
      </x:c>
      <x:c r="M250" s="22"/>
      <x:c r="N250" s="22"/>
      <x:c r="O250" s="28"/>
      <x:c r="P250" s="22"/>
      <x:c r="Q250" s="22"/>
      <x:c r="R250" s="28"/>
      <x:c r="S250" s="22"/>
      <x:c r="T250" s="35" t="n">
        <x:f>K250</x:f>
        <x:v>150</x:v>
      </x:c>
      <x:c r="U250" s="20" t="str">
        <x:f>IF(J250="Рассчитано",N250*(1-O250/100),"н/д")</x:f>
        <x:v>н/д</x:v>
      </x:c>
      <x:c r="V250" s="20" t="str">
        <x:f>IF(J250="Рассчитано",T250*U250,"н/д")</x:f>
        <x:v>н/д</x:v>
      </x:c>
      <x:c r="W250" s="20" t="str">
        <x:f>IF(J250="Рассчитано",T250*M250,"н/д")</x:f>
        <x:v>н/д</x:v>
      </x:c>
      <x:c r="X250" s="20" t="str">
        <x:f>IF(J250="Рассчитано",V250-W250,"н/д")</x:f>
        <x:v>н/д</x:v>
      </x:c>
      <x:c r="Y250" s="26" t="str">
        <x:f>IF(J250="Рассчитано",IF(V250&gt;0,G250/V250,"н/д"),"н/д")</x:f>
        <x:v>н/д</x:v>
      </x:c>
      <x:c r="Z250" s="20" t="str">
        <x:f>"н/д"</x:f>
        <x:v>н/д</x:v>
      </x:c>
      <x:c r="AA250" s="20" t="str">
        <x:f>"н/д"</x:f>
        <x:v>н/д</x:v>
      </x:c>
      <x:c r="AB250" s="20" t="str">
        <x:f>"н/д"</x:f>
        <x:v>н/д</x:v>
      </x:c>
      <x:c r="AC250" s="20" t="str">
        <x:f>IF(AND(J250="Рассчитано",T250&gt;0,R250&lt;100),(W250+P250+Q250)/(T250*(1-R250/100)),"н/д")</x:f>
        <x:v>н/д</x:v>
      </x:c>
      <x:c r="AD250" s="11" t="str">
        <x:f>IF(ISNUMBER(G250),IF(G250&lt;0,"Убыток",IF(G250=0,"Без прибыли","Прибыль &gt; 0")),"Не оценён")</x:f>
        <x:v>Не оценён</x:v>
      </x:c>
      <x:c r="AE250" s="12" t="str">
        <x:f>IF(J250="Рассчитано","Выручка "&amp;TEXT(V250,"0.00")&amp;" - себестоимость "&amp;TEXT(W250,"0.00")&amp;" - комиссия "&amp;TEXT(V250*R250/100,"0.00")&amp;" - доставка "&amp;TEXT(P250,"0.00")&amp;" - прочие "&amp;TEXT(Q250,"0.00")&amp;" = "&amp;TEXT(G250,"0.00")&amp;" "&amp;L250,"Введите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0" s="23" t="n">
        <x:v>1.3690106731710818</x:v>
      </x:c>
      <x:c r="AG250" s="35" t="n">
        <x:v>152</x:v>
      </x:c>
      <x:c r="AH250" s="35" t="n">
        <x:v>0</x:v>
      </x:c>
      <x:c r="AI250" s="29" t="n">
        <x:v>46266</x:v>
      </x:c>
      <x:c r="AJ250" s="35"/>
      <x:c r="AK250" s="11" t="str">
        <x:v>неизвестно</x:v>
      </x:c>
      <x:c r="AL250" s="31" t="n">
        <x:v>9441.82177040216</x:v>
      </x:c>
      <x:c r="AM2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50" s="12" t="str">
        <x:v>Проверить свободный остаток и установить цену для B2B</x:v>
      </x:c>
      <x:c r="AO250" s="12" t="str">
        <x:v>Остаток 152; прогноз 90 дней 1.37; избыток 150 шт. Будущие поступления не выставляются на продажу. Остаток на начало сентября: требуется актуализация.</x:v>
      </x:c>
      <x:c r="AP250" s="12" t="str">
        <x:v>["category_missing", "daily_stockout_data_missing", "moq_missing", "new_order_lead_time_unknown", "reservations_unknown", "stale_stock"]</x:v>
      </x:c>
      <x:c r="AQ250" s="11" t="str">
        <x:v>IEK:030200772_</x:v>
      </x:c>
      <x:c r="AR250" s="23" t="n">
        <x:v>1</x:v>
      </x:c>
      <x:c r="AS250" s="23" t="n">
        <x:v>0</x:v>
      </x:c>
      <x:c r="AT250" s="23" t="n">
        <x:v>0</x:v>
      </x:c>
    </x:row>
    <x:row r="251" ht="64" customHeight="1">
      <x:c r="A251" s="10" t="str">
        <x:v>IEK</x:v>
      </x:c>
      <x:c r="B251" s="34" t="str">
        <x:v>030200775_</x:v>
      </x:c>
      <x:c r="C251" s="34" t="str">
        <x:v>BR-V13-0-10-K36</x:v>
      </x:c>
      <x:c r="D251" s="13" t="str">
        <x:v>Выкл 1-кл перекрестный 10А б/рамки "BRITE" жемчуг (1/100)</x:v>
      </x:c>
      <x:c r="E251" s="10" t="str">
        <x:v>шт</x:v>
      </x:c>
      <x:c r="F251" s="37" t="n">
        <x:f>MAX(0,ROUNDDOWN((AG251-AF251)/AR251+0.000000001,0)*AR251)</x:f>
        <x:v>101</x:v>
      </x:c>
      <x:c r="G251" s="21" t="str">
        <x:f>IF(J251="Рассчитано",V251*(1-R251/100)-W251-P251-Q251,"н/д")</x:f>
        <x:v>н/д</x:v>
      </x:c>
      <x:c r="H251" s="13" t="str">
        <x:v>Высокий</x:v>
      </x:c>
      <x:c r="I251" s="13" t="str">
        <x:v>Высокий</x:v>
      </x:c>
      <x:c r="J251" s="13" t="str">
        <x:f>IF(L251="","Укажите валюту",IF(NOT(ISNUMBER(K251)),"Укажите объём",IF(K251&lt;=0,"Укажите объём",IF(K251&gt;F251,"Объём выше излишка",IF(COUNT(M251:O251)&lt;3,"Нужны цены",IF(COUNT(P251:R251)&lt;3,"Нужны расходы",IF(OR(M251&lt;0,N251&lt;0,O251&lt;0,O251&gt;100,P251&lt;0,Q251&lt;0,R251&lt;0,R251&gt;100),"Проверьте значения","Рассчитано")))))))</x:f>
        <x:v>Нужны цены</x:v>
      </x:c>
      <x:c r="K251" s="36" t="n">
        <x:v>101</x:v>
      </x:c>
      <x:c r="L251" s="19" t="str">
        <x:v>KZT</x:v>
      </x:c>
      <x:c r="M251" s="22"/>
      <x:c r="N251" s="22"/>
      <x:c r="O251" s="28"/>
      <x:c r="P251" s="22"/>
      <x:c r="Q251" s="22"/>
      <x:c r="R251" s="28"/>
      <x:c r="S251" s="22"/>
      <x:c r="T251" s="37" t="n">
        <x:f>K251</x:f>
        <x:v>101</x:v>
      </x:c>
      <x:c r="U251" s="21" t="str">
        <x:f>IF(J251="Рассчитано",N251*(1-O251/100),"н/д")</x:f>
        <x:v>н/д</x:v>
      </x:c>
      <x:c r="V251" s="21" t="str">
        <x:f>IF(J251="Рассчитано",T251*U251,"н/д")</x:f>
        <x:v>н/д</x:v>
      </x:c>
      <x:c r="W251" s="21" t="str">
        <x:f>IF(J251="Рассчитано",T251*M251,"н/д")</x:f>
        <x:v>н/д</x:v>
      </x:c>
      <x:c r="X251" s="21" t="str">
        <x:f>IF(J251="Рассчитано",V251-W251,"н/д")</x:f>
        <x:v>н/д</x:v>
      </x:c>
      <x:c r="Y251" s="27" t="str">
        <x:f>IF(J251="Рассчитано",IF(V251&gt;0,G251/V251,"н/д"),"н/д")</x:f>
        <x:v>н/д</x:v>
      </x:c>
      <x:c r="Z251" s="21" t="str">
        <x:f>"н/д"</x:f>
        <x:v>н/д</x:v>
      </x:c>
      <x:c r="AA251" s="21" t="str">
        <x:f>"н/д"</x:f>
        <x:v>н/д</x:v>
      </x:c>
      <x:c r="AB251" s="21" t="str">
        <x:f>"н/д"</x:f>
        <x:v>н/д</x:v>
      </x:c>
      <x:c r="AC251" s="21" t="str">
        <x:f>IF(AND(J251="Рассчитано",T251&gt;0,R251&lt;100),(W251+P251+Q251)/(T251*(1-R251/100)),"н/д")</x:f>
        <x:v>н/д</x:v>
      </x:c>
      <x:c r="AD251" s="10" t="str">
        <x:f>IF(ISNUMBER(G251),IF(G251&lt;0,"Убыток",IF(G251=0,"Без прибыли","Прибыль &gt; 0")),"Не оценён")</x:f>
        <x:v>Не оценён</x:v>
      </x:c>
      <x:c r="AE251" s="13" t="str">
        <x:f>IF(J251="Рассчитано","Выручка "&amp;TEXT(V251,"0.00")&amp;" - себестоимость "&amp;TEXT(W251,"0.00")&amp;" - комиссия "&amp;TEXT(V251*R251/100,"0.00")&amp;" - доставка "&amp;TEXT(P251,"0.00")&amp;" - прочие "&amp;TEXT(Q251,"0.00")&amp;" = "&amp;TEXT(G251,"0.00")&amp;" "&amp;L251,"Введите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1" s="24" t="n">
        <x:v>4.687496476178042</x:v>
      </x:c>
      <x:c r="AG251" s="37" t="n">
        <x:v>106</x:v>
      </x:c>
      <x:c r="AH251" s="37" t="n">
        <x:v>0</x:v>
      </x:c>
      <x:c r="AI251" s="30" t="n">
        <x:v>46266</x:v>
      </x:c>
      <x:c r="AJ251" s="37" t="n">
        <x:v>1</x:v>
      </x:c>
      <x:c r="AK251" s="10" t="str">
        <x:v>минимум</x:v>
      </x:c>
      <x:c r="AL251" s="32" t="n">
        <x:v>1923.0206827554534</x:v>
      </x:c>
      <x:c r="AM25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51" s="13" t="str">
        <x:v>Проверить свободный остаток и установить цену для B2B</x:v>
      </x:c>
      <x:c r="AO251" s="13" t="str">
        <x:v>Остаток 106; прогноз 90 дней 4.69; избыток 101 шт. Будущие поступления не выставляются на продажу. Остаток на начало сентября: требуется актуализация.</x:v>
      </x:c>
      <x:c r="AP251" s="13" t="str">
        <x:v>["category_missing", "daily_stockout_data_missing", "new_order_lead_time_unknown", "reservations_unknown", "stale_stock"]</x:v>
      </x:c>
      <x:c r="AQ251" s="10" t="str">
        <x:v>IEK:030200775_</x:v>
      </x:c>
      <x:c r="AR251" s="24" t="n">
        <x:v>1</x:v>
      </x:c>
      <x:c r="AS251" s="24" t="n">
        <x:v>0</x:v>
      </x:c>
      <x:c r="AT251" s="24" t="n">
        <x:v>0</x:v>
      </x:c>
    </x:row>
    <x:row r="252" ht="64" customHeight="1">
      <x:c r="A252" s="11" t="str">
        <x:v>IEK</x:v>
      </x:c>
      <x:c r="B252" s="33" t="str">
        <x:v>030200776_</x:v>
      </x:c>
      <x:c r="C252" s="33" t="str">
        <x:v>BR-V13-0-10-K37</x:v>
      </x:c>
      <x:c r="D252" s="12" t="str">
        <x:v>Выкл 1-кл перекрестный  10А б/рамки "BRITE" шампань (1/100)</x:v>
      </x:c>
      <x:c r="E252" s="11" t="str">
        <x:v>шт</x:v>
      </x:c>
      <x:c r="F252" s="35" t="n">
        <x:f>MAX(0,ROUNDDOWN((AG252-AF252)/AR252+0.000000001,0)*AR252)</x:f>
        <x:v>12</x:v>
      </x:c>
      <x:c r="G252" s="20" t="str">
        <x:f>IF(J252="Рассчитано",V252*(1-R252/100)-W252-P252-Q252,"н/д")</x:f>
        <x:v>н/д</x:v>
      </x:c>
      <x:c r="H252" s="12" t="str">
        <x:v>Высокий</x:v>
      </x:c>
      <x:c r="I252" s="12" t="str">
        <x:v>Высокий</x:v>
      </x:c>
      <x:c r="J252" s="12" t="str">
        <x:f>IF(L252="","Укажите валюту",IF(NOT(ISNUMBER(K252)),"Укажите объём",IF(K252&lt;=0,"Укажите объём",IF(K252&gt;F252,"Объём выше излишка",IF(COUNT(M252:O252)&lt;3,"Нужны цены",IF(COUNT(P252:R252)&lt;3,"Нужны расходы",IF(OR(M252&lt;0,N252&lt;0,O252&lt;0,O252&gt;100,P252&lt;0,Q252&lt;0,R252&lt;0,R252&gt;100),"Проверьте значения","Рассчитано")))))))</x:f>
        <x:v>Нужны цены</x:v>
      </x:c>
      <x:c r="K252" s="36" t="n">
        <x:v>12</x:v>
      </x:c>
      <x:c r="L252" s="19" t="str">
        <x:v>KZT</x:v>
      </x:c>
      <x:c r="M252" s="22"/>
      <x:c r="N252" s="22"/>
      <x:c r="O252" s="28"/>
      <x:c r="P252" s="22"/>
      <x:c r="Q252" s="22"/>
      <x:c r="R252" s="28"/>
      <x:c r="S252" s="22"/>
      <x:c r="T252" s="35" t="n">
        <x:f>K252</x:f>
        <x:v>12</x:v>
      </x:c>
      <x:c r="U252" s="20" t="str">
        <x:f>IF(J252="Рассчитано",N252*(1-O252/100),"н/д")</x:f>
        <x:v>н/д</x:v>
      </x:c>
      <x:c r="V252" s="20" t="str">
        <x:f>IF(J252="Рассчитано",T252*U252,"н/д")</x:f>
        <x:v>н/д</x:v>
      </x:c>
      <x:c r="W252" s="20" t="str">
        <x:f>IF(J252="Рассчитано",T252*M252,"н/д")</x:f>
        <x:v>н/д</x:v>
      </x:c>
      <x:c r="X252" s="20" t="str">
        <x:f>IF(J252="Рассчитано",V252-W252,"н/д")</x:f>
        <x:v>н/д</x:v>
      </x:c>
      <x:c r="Y252" s="26" t="str">
        <x:f>IF(J252="Рассчитано",IF(V252&gt;0,G252/V252,"н/д"),"н/д")</x:f>
        <x:v>н/д</x:v>
      </x:c>
      <x:c r="Z252" s="20" t="str">
        <x:f>"н/д"</x:f>
        <x:v>н/д</x:v>
      </x:c>
      <x:c r="AA252" s="20" t="str">
        <x:f>"н/д"</x:f>
        <x:v>н/д</x:v>
      </x:c>
      <x:c r="AB252" s="20" t="str">
        <x:f>"н/д"</x:f>
        <x:v>н/д</x:v>
      </x:c>
      <x:c r="AC252" s="20" t="str">
        <x:f>IF(AND(J252="Рассчитано",T252&gt;0,R252&lt;100),(W252+P252+Q252)/(T252*(1-R252/100)),"н/д")</x:f>
        <x:v>н/д</x:v>
      </x:c>
      <x:c r="AD252" s="11" t="str">
        <x:f>IF(ISNUMBER(G252),IF(G252&lt;0,"Убыток",IF(G252=0,"Без прибыли","Прибыль &gt; 0")),"Не оценён")</x:f>
        <x:v>Не оценён</x:v>
      </x:c>
      <x:c r="AE252" s="12" t="str">
        <x:f>IF(J252="Рассчитано","Выручка "&amp;TEXT(V252,"0.00")&amp;" - себестоимость "&amp;TEXT(W252,"0.00")&amp;" - комиссия "&amp;TEXT(V252*R252/100,"0.00")&amp;" - доставка "&amp;TEXT(P252,"0.00")&amp;" - прочие "&amp;TEXT(Q252,"0.00")&amp;" = "&amp;TEXT(G252,"0.00")&amp;" "&amp;L252,"Введите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2" s="23" t="n">
        <x:v>5.6296465320474836</x:v>
      </x:c>
      <x:c r="AG252" s="35" t="n">
        <x:v>18</x:v>
      </x:c>
      <x:c r="AH252" s="35" t="n">
        <x:v>0</x:v>
      </x:c>
      <x:c r="AI252" s="29" t="n">
        <x:v>46266</x:v>
      </x:c>
      <x:c r="AJ252" s="35" t="n">
        <x:v>1</x:v>
      </x:c>
      <x:c r="AK252" s="11" t="str">
        <x:v>минимум</x:v>
      </x:c>
      <x:c r="AL252" s="31" t="n">
        <x:v>271.90076008299815</x:v>
      </x:c>
      <x:c r="AM25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52" s="12" t="str">
        <x:v>Проверить свободный остаток и установить цену для B2B</x:v>
      </x:c>
      <x:c r="AO252" s="12" t="str">
        <x:v>Остаток 18; прогноз 90 дней 5.63; избыток 12 шт. Будущие поступления не выставляются на продажу. Остаток на начало сентября: требуется актуализация.</x:v>
      </x:c>
      <x:c r="AP252" s="12" t="str">
        <x:v>["category_missing", "daily_stockout_data_missing", "negative_net_sales_clipped_for_forecast", "new_order_lead_time_unknown", "reservations_unknown", "stale_stock"]</x:v>
      </x:c>
      <x:c r="AQ252" s="11" t="str">
        <x:v>IEK:030200776_</x:v>
      </x:c>
      <x:c r="AR252" s="23" t="n">
        <x:v>1</x:v>
      </x:c>
      <x:c r="AS252" s="23" t="n">
        <x:v>0</x:v>
      </x:c>
      <x:c r="AT252" s="23" t="n">
        <x:v>0</x:v>
      </x:c>
    </x:row>
    <x:row r="253" ht="64" customHeight="1">
      <x:c r="A253" s="10" t="str">
        <x:v>IEK</x:v>
      </x:c>
      <x:c r="B253" s="34" t="str">
        <x:v>030200777_</x:v>
      </x:c>
      <x:c r="C253" s="34" t="str">
        <x:v>BR-V13-0-10-K47</x:v>
      </x:c>
      <x:c r="D253" s="13" t="str">
        <x:v>Выкл 1-кл перекрестный  10А б/рамки "BRITE" алюминий (1/100)</x:v>
      </x:c>
      <x:c r="E253" s="10" t="str">
        <x:v>шт</x:v>
      </x:c>
      <x:c r="F253" s="37" t="n">
        <x:f>MAX(0,ROUNDDOWN((AG253-AF253)/AR253+0.000000001,0)*AR253)</x:f>
        <x:v>26</x:v>
      </x:c>
      <x:c r="G253" s="21" t="str">
        <x:f>IF(J253="Рассчитано",V253*(1-R253/100)-W253-P253-Q253,"н/д")</x:f>
        <x:v>н/д</x:v>
      </x:c>
      <x:c r="H253" s="13" t="str">
        <x:v>Высокий</x:v>
      </x:c>
      <x:c r="I253" s="13" t="str">
        <x:v>Высокий</x:v>
      </x:c>
      <x:c r="J253" s="13" t="str">
        <x:f>IF(L253="","Укажите валюту",IF(NOT(ISNUMBER(K253)),"Укажите объём",IF(K253&lt;=0,"Укажите объём",IF(K253&gt;F253,"Объём выше излишка",IF(COUNT(M253:O253)&lt;3,"Нужны цены",IF(COUNT(P253:R253)&lt;3,"Нужны расходы",IF(OR(M253&lt;0,N253&lt;0,O253&lt;0,O253&gt;100,P253&lt;0,Q253&lt;0,R253&lt;0,R253&gt;100),"Проверьте значения","Рассчитано")))))))</x:f>
        <x:v>Нужны цены</x:v>
      </x:c>
      <x:c r="K253" s="36" t="n">
        <x:v>26</x:v>
      </x:c>
      <x:c r="L253" s="19" t="str">
        <x:v>KZT</x:v>
      </x:c>
      <x:c r="M253" s="22"/>
      <x:c r="N253" s="22"/>
      <x:c r="O253" s="28"/>
      <x:c r="P253" s="22"/>
      <x:c r="Q253" s="22"/>
      <x:c r="R253" s="28"/>
      <x:c r="S253" s="22"/>
      <x:c r="T253" s="37" t="n">
        <x:f>K253</x:f>
        <x:v>26</x:v>
      </x:c>
      <x:c r="U253" s="21" t="str">
        <x:f>IF(J253="Рассчитано",N253*(1-O253/100),"н/д")</x:f>
        <x:v>н/д</x:v>
      </x:c>
      <x:c r="V253" s="21" t="str">
        <x:f>IF(J253="Рассчитано",T253*U253,"н/д")</x:f>
        <x:v>н/д</x:v>
      </x:c>
      <x:c r="W253" s="21" t="str">
        <x:f>IF(J253="Рассчитано",T253*M253,"н/д")</x:f>
        <x:v>н/д</x:v>
      </x:c>
      <x:c r="X253" s="21" t="str">
        <x:f>IF(J253="Рассчитано",V253-W253,"н/д")</x:f>
        <x:v>н/д</x:v>
      </x:c>
      <x:c r="Y253" s="27" t="str">
        <x:f>IF(J253="Рассчитано",IF(V253&gt;0,G253/V253,"н/д"),"н/д")</x:f>
        <x:v>н/д</x:v>
      </x:c>
      <x:c r="Z253" s="21" t="str">
        <x:f>"н/д"</x:f>
        <x:v>н/д</x:v>
      </x:c>
      <x:c r="AA253" s="21" t="str">
        <x:f>"н/д"</x:f>
        <x:v>н/д</x:v>
      </x:c>
      <x:c r="AB253" s="21" t="str">
        <x:f>"н/д"</x:f>
        <x:v>н/д</x:v>
      </x:c>
      <x:c r="AC253" s="21" t="str">
        <x:f>IF(AND(J253="Рассчитано",T253&gt;0,R253&lt;100),(W253+P253+Q253)/(T253*(1-R253/100)),"н/д")</x:f>
        <x:v>н/д</x:v>
      </x:c>
      <x:c r="AD253" s="10" t="str">
        <x:f>IF(ISNUMBER(G253),IF(G253&lt;0,"Убыток",IF(G253=0,"Без прибыли","Прибыль &gt; 0")),"Не оценён")</x:f>
        <x:v>Не оценён</x:v>
      </x:c>
      <x:c r="AE253" s="13" t="str">
        <x:f>IF(J253="Рассчитано","Выручка "&amp;TEXT(V253,"0.00")&amp;" - себестоимость "&amp;TEXT(W253,"0.00")&amp;" - комиссия "&amp;TEXT(V253*R253/100,"0.00")&amp;" - доставка "&amp;TEXT(P253,"0.00")&amp;" - прочие "&amp;TEXT(Q253,"0.00")&amp;" = "&amp;TEXT(G253,"0.00")&amp;" "&amp;L253,"Введите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3" s="24" t="n">
        <x:v>6.893264530018019</x:v>
      </x:c>
      <x:c r="AG253" s="37" t="n">
        <x:v>33</x:v>
      </x:c>
      <x:c r="AH253" s="37" t="n">
        <x:v>0</x:v>
      </x:c>
      <x:c r="AI253" s="30" t="n">
        <x:v>46266</x:v>
      </x:c>
      <x:c r="AJ253" s="37" t="n">
        <x:v>1</x:v>
      </x:c>
      <x:c r="AK253" s="10" t="str">
        <x:v>минимум</x:v>
      </x:c>
      <x:c r="AL253" s="32" t="n">
        <x:v>407.1065024987404</x:v>
      </x:c>
      <x:c r="AM2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53" s="13" t="str">
        <x:v>Проверить свободный остаток и установить цену для B2B</x:v>
      </x:c>
      <x:c r="AO253" s="13" t="str">
        <x:v>Остаток 33; прогноз 90 дней 6.89; избыток 26 шт. Будущие поступления не выставляются на продажу. Остаток на начало сентября: требуется актуализация.</x:v>
      </x:c>
      <x:c r="AP253" s="13" t="str">
        <x:v>["category_missing", "daily_stockout_data_missing", "negative_net_sales_clipped_for_forecast", "new_order_lead_time_unknown", "reservations_unknown", "stale_stock"]</x:v>
      </x:c>
      <x:c r="AQ253" s="10" t="str">
        <x:v>IEK:030200777_</x:v>
      </x:c>
      <x:c r="AR253" s="24" t="n">
        <x:v>1</x:v>
      </x:c>
      <x:c r="AS253" s="24" t="n">
        <x:v>0</x:v>
      </x:c>
      <x:c r="AT253" s="24" t="n">
        <x:v>0</x:v>
      </x:c>
    </x:row>
    <x:row r="254" ht="64" customHeight="1">
      <x:c r="A254" s="11" t="str">
        <x:v>IEK</x:v>
      </x:c>
      <x:c r="B254" s="33" t="str">
        <x:v>030200778_</x:v>
      </x:c>
      <x:c r="C254" s="33" t="str">
        <x:v>BR-V13-0-10-K46</x:v>
      </x:c>
      <x:c r="D254" s="12" t="str">
        <x:v>Выкл 1-кл перекрестный  б/рамки 10А "BRITE" сталь (1/100)</x:v>
      </x:c>
      <x:c r="E254" s="11" t="str">
        <x:v>шт</x:v>
      </x:c>
      <x:c r="F254" s="35" t="n">
        <x:f>MAX(0,ROUNDDOWN((AG254-AF254)/AR254+0.000000001,0)*AR254)</x:f>
        <x:v>38</x:v>
      </x:c>
      <x:c r="G254" s="20" t="str">
        <x:f>IF(J254="Рассчитано",V254*(1-R254/100)-W254-P254-Q254,"н/д")</x:f>
        <x:v>н/д</x:v>
      </x:c>
      <x:c r="H254" s="12" t="str">
        <x:v>Высокий</x:v>
      </x:c>
      <x:c r="I254" s="12" t="str">
        <x:v>Высокий</x:v>
      </x:c>
      <x:c r="J254" s="12" t="str">
        <x:f>IF(L254="","Укажите валюту",IF(NOT(ISNUMBER(K254)),"Укажите объём",IF(K254&lt;=0,"Укажите объём",IF(K254&gt;F254,"Объём выше излишка",IF(COUNT(M254:O254)&lt;3,"Нужны цены",IF(COUNT(P254:R254)&lt;3,"Нужны расходы",IF(OR(M254&lt;0,N254&lt;0,O254&lt;0,O254&gt;100,P254&lt;0,Q254&lt;0,R254&lt;0,R254&gt;100),"Проверьте значения","Рассчитано")))))))</x:f>
        <x:v>Нужны цены</x:v>
      </x:c>
      <x:c r="K254" s="36" t="n">
        <x:v>38</x:v>
      </x:c>
      <x:c r="L254" s="19" t="str">
        <x:v>KZT</x:v>
      </x:c>
      <x:c r="M254" s="22"/>
      <x:c r="N254" s="22"/>
      <x:c r="O254" s="28"/>
      <x:c r="P254" s="22"/>
      <x:c r="Q254" s="22"/>
      <x:c r="R254" s="28"/>
      <x:c r="S254" s="22"/>
      <x:c r="T254" s="35" t="n">
        <x:f>K254</x:f>
        <x:v>38</x:v>
      </x:c>
      <x:c r="U254" s="20" t="str">
        <x:f>IF(J254="Рассчитано",N254*(1-O254/100),"н/д")</x:f>
        <x:v>н/д</x:v>
      </x:c>
      <x:c r="V254" s="20" t="str">
        <x:f>IF(J254="Рассчитано",T254*U254,"н/д")</x:f>
        <x:v>н/д</x:v>
      </x:c>
      <x:c r="W254" s="20" t="str">
        <x:f>IF(J254="Рассчитано",T254*M254,"н/д")</x:f>
        <x:v>н/д</x:v>
      </x:c>
      <x:c r="X254" s="20" t="str">
        <x:f>IF(J254="Рассчитано",V254-W254,"н/д")</x:f>
        <x:v>н/д</x:v>
      </x:c>
      <x:c r="Y254" s="26" t="str">
        <x:f>IF(J254="Рассчитано",IF(V254&gt;0,G254/V254,"н/д"),"н/д")</x:f>
        <x:v>н/д</x:v>
      </x:c>
      <x:c r="Z254" s="20" t="str">
        <x:f>"н/д"</x:f>
        <x:v>н/д</x:v>
      </x:c>
      <x:c r="AA254" s="20" t="str">
        <x:f>"н/д"</x:f>
        <x:v>н/д</x:v>
      </x:c>
      <x:c r="AB254" s="20" t="str">
        <x:f>"н/д"</x:f>
        <x:v>н/д</x:v>
      </x:c>
      <x:c r="AC254" s="20" t="str">
        <x:f>IF(AND(J254="Рассчитано",T254&gt;0,R254&lt;100),(W254+P254+Q254)/(T254*(1-R254/100)),"н/д")</x:f>
        <x:v>н/д</x:v>
      </x:c>
      <x:c r="AD254" s="11" t="str">
        <x:f>IF(ISNUMBER(G254),IF(G254&lt;0,"Убыток",IF(G254=0,"Без прибыли","Прибыль &gt; 0")),"Не оценён")</x:f>
        <x:v>Не оценён</x:v>
      </x:c>
      <x:c r="AE254" s="12" t="str">
        <x:f>IF(J254="Рассчитано","Выручка "&amp;TEXT(V254,"0.00")&amp;" - себестоимость "&amp;TEXT(W254,"0.00")&amp;" - комиссия "&amp;TEXT(V254*R254/100,"0.00")&amp;" - доставка "&amp;TEXT(P254,"0.00")&amp;" - прочие "&amp;TEXT(Q254,"0.00")&amp;" = "&amp;TEXT(G254,"0.00")&amp;" "&amp;L254,"Введите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4" s="23" t="n">
        <x:v>9.054408414947009</x:v>
      </x:c>
      <x:c r="AG254" s="35" t="n">
        <x:v>48</x:v>
      </x:c>
      <x:c r="AH254" s="35" t="n">
        <x:v>0</x:v>
      </x:c>
      <x:c r="AI254" s="29" t="n">
        <x:v>46266</x:v>
      </x:c>
      <x:c r="AJ254" s="35" t="n">
        <x:v>1</x:v>
      </x:c>
      <x:c r="AK254" s="11" t="str">
        <x:v>минимум</x:v>
      </x:c>
      <x:c r="AL254" s="31" t="n">
        <x:v>450.81691360728036</x:v>
      </x:c>
      <x:c r="AM25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254" s="12" t="str">
        <x:v>Проверить свободный остаток и установить цену для B2B</x:v>
      </x:c>
      <x:c r="AO254" s="12" t="str">
        <x:v>Остаток 48; прогноз 90 дней 9.05; избыток 38 шт. Будущие поступления не выставляются на продажу. Остаток на начало сентября: требуется актуализация.</x:v>
      </x:c>
      <x:c r="AP254" s="12" t="str">
        <x:v>["category_missing", "daily_stockout_data_missing", "negative_net_sales_clipped_for_forecast", "new_order_lead_time_unknown", "reservations_unknown", "stale_stock"]</x:v>
      </x:c>
      <x:c r="AQ254" s="11" t="str">
        <x:v>IEK:030200778_</x:v>
      </x:c>
      <x:c r="AR254" s="23" t="n">
        <x:v>1</x:v>
      </x:c>
      <x:c r="AS254" s="23" t="n">
        <x:v>0</x:v>
      </x:c>
      <x:c r="AT254" s="23" t="n">
        <x:v>0</x:v>
      </x:c>
    </x:row>
    <x:row r="255" ht="64" customHeight="1">
      <x:c r="A255" s="10" t="str">
        <x:v>IEK</x:v>
      </x:c>
      <x:c r="B255" s="34" t="str">
        <x:v>030200779_</x:v>
      </x:c>
      <x:c r="C255" s="34" t="str">
        <x:v>BR-V13-0-10-K53</x:v>
      </x:c>
      <x:c r="D255" s="13" t="str">
        <x:v>Выкл 1-кл перекрестный  б/рамки 10А "BRITE" графит (1/100)</x:v>
      </x:c>
      <x:c r="E255" s="10" t="str">
        <x:v>шт</x:v>
      </x:c>
      <x:c r="F255" s="37" t="n">
        <x:f>MAX(0,ROUNDDOWN((AG255-AF255)/AR255+0.000000001,0)*AR255)</x:f>
        <x:v>3</x:v>
      </x:c>
      <x:c r="G255" s="21" t="str">
        <x:f>IF(J255="Рассчитано",V255*(1-R255/100)-W255-P255-Q255,"н/д")</x:f>
        <x:v>н/д</x:v>
      </x:c>
      <x:c r="H255" s="13" t="str">
        <x:v>Высокий</x:v>
      </x:c>
      <x:c r="I255" s="13" t="str">
        <x:v>Средний</x:v>
      </x:c>
      <x:c r="J255" s="13" t="str">
        <x:f>IF(L255="","Укажите валюту",IF(NOT(ISNUMBER(K255)),"Укажите объём",IF(K255&lt;=0,"Укажите объём",IF(K255&gt;F255,"Объём выше излишка",IF(COUNT(M255:O255)&lt;3,"Нужны цены",IF(COUNT(P255:R255)&lt;3,"Нужны расходы",IF(OR(M255&lt;0,N255&lt;0,O255&lt;0,O255&gt;100,P255&lt;0,Q255&lt;0,R255&lt;0,R255&gt;100),"Проверьте значения","Рассчитано")))))))</x:f>
        <x:v>Нужны цены</x:v>
      </x:c>
      <x:c r="K255" s="36" t="n">
        <x:v>3</x:v>
      </x:c>
      <x:c r="L255" s="19" t="str">
        <x:v>KZT</x:v>
      </x:c>
      <x:c r="M255" s="22"/>
      <x:c r="N255" s="22"/>
      <x:c r="O255" s="28"/>
      <x:c r="P255" s="22"/>
      <x:c r="Q255" s="22"/>
      <x:c r="R255" s="28"/>
      <x:c r="S255" s="22"/>
      <x:c r="T255" s="37" t="n">
        <x:f>K255</x:f>
        <x:v>3</x:v>
      </x:c>
      <x:c r="U255" s="21" t="str">
        <x:f>IF(J255="Рассчитано",N255*(1-O255/100),"н/д")</x:f>
        <x:v>н/д</x:v>
      </x:c>
      <x:c r="V255" s="21" t="str">
        <x:f>IF(J255="Рассчитано",T255*U255,"н/д")</x:f>
        <x:v>н/д</x:v>
      </x:c>
      <x:c r="W255" s="21" t="str">
        <x:f>IF(J255="Рассчитано",T255*M255,"н/д")</x:f>
        <x:v>н/д</x:v>
      </x:c>
      <x:c r="X255" s="21" t="str">
        <x:f>IF(J255="Рассчитано",V255-W255,"н/д")</x:f>
        <x:v>н/д</x:v>
      </x:c>
      <x:c r="Y255" s="27" t="str">
        <x:f>IF(J255="Рассчитано",IF(V255&gt;0,G255/V255,"н/д"),"н/д")</x:f>
        <x:v>н/д</x:v>
      </x:c>
      <x:c r="Z255" s="21" t="str">
        <x:f>"н/д"</x:f>
        <x:v>н/д</x:v>
      </x:c>
      <x:c r="AA255" s="21" t="str">
        <x:f>"н/д"</x:f>
        <x:v>н/д</x:v>
      </x:c>
      <x:c r="AB255" s="21" t="str">
        <x:f>"н/д"</x:f>
        <x:v>н/д</x:v>
      </x:c>
      <x:c r="AC255" s="21" t="str">
        <x:f>IF(AND(J255="Рассчитано",T255&gt;0,R255&lt;100),(W255+P255+Q255)/(T255*(1-R255/100)),"н/д")</x:f>
        <x:v>н/д</x:v>
      </x:c>
      <x:c r="AD255" s="10" t="str">
        <x:f>IF(ISNUMBER(G255),IF(G255&lt;0,"Убыток",IF(G255=0,"Без прибыли","Прибыль &gt; 0")),"Не оценён")</x:f>
        <x:v>Не оценён</x:v>
      </x:c>
      <x:c r="AE255" s="13" t="str">
        <x:f>IF(J255="Рассчитано","Выручка "&amp;TEXT(V255,"0.00")&amp;" - себестоимость "&amp;TEXT(W255,"0.00")&amp;" - комиссия "&amp;TEXT(V255*R255/100,"0.00")&amp;" - доставка "&amp;TEXT(P255,"0.00")&amp;" - прочие "&amp;TEXT(Q255,"0.00")&amp;" = "&amp;TEXT(G255,"0.00")&amp;" "&amp;L255,"Введите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5" s="24" t="n">
        <x:v>20.507303125082384</x:v>
      </x:c>
      <x:c r="AG255" s="37" t="n">
        <x:v>24</x:v>
      </x:c>
      <x:c r="AH255" s="37" t="n">
        <x:v>0</x:v>
      </x:c>
      <x:c r="AI255" s="30" t="n">
        <x:v>46266</x:v>
      </x:c>
      <x:c r="AJ255" s="37" t="n">
        <x:v>1</x:v>
      </x:c>
      <x:c r="AK255" s="10" t="str">
        <x:v>минимум</x:v>
      </x:c>
      <x:c r="AL255" s="32" t="n">
        <x:v>99.5226049780691</x:v>
      </x:c>
      <x:c r="AM255" s="13" t="str">
        <x:v>Остаток на начало сентября; Резервы неизвестны; Нет ежедневных данных доступности. Запас выше прогноза на 90 дней</x:v>
      </x:c>
      <x:c r="AN255" s="13" t="str">
        <x:v>Проверить свободный остаток и установить цену для B2B</x:v>
      </x:c>
      <x:c r="AO255" s="13" t="str">
        <x:v>Остаток 24; прогноз 90 дней 20.51; избыток 3 шт. Будущие поступления не выставляются на продажу. Остаток на начало сентября: требуется актуализация.</x:v>
      </x:c>
      <x:c r="AP255" s="13" t="str">
        <x:v>["category_missing", "daily_stockout_data_missing", "negative_net_sales_clipped_for_forecast", "new_order_lead_time_unknown", "reservations_unknown", "stale_stock"]</x:v>
      </x:c>
      <x:c r="AQ255" s="10" t="str">
        <x:v>IEK:030200779_</x:v>
      </x:c>
      <x:c r="AR255" s="24" t="n">
        <x:v>1</x:v>
      </x:c>
      <x:c r="AS255" s="24" t="n">
        <x:v>0</x:v>
      </x:c>
      <x:c r="AT255" s="24" t="n">
        <x:v>0</x:v>
      </x:c>
    </x:row>
    <x:row r="256" ht="64" customHeight="1">
      <x:c r="A256" s="11" t="str">
        <x:v>IEK</x:v>
      </x:c>
      <x:c r="B256" s="33" t="str">
        <x:v>030200780_</x:v>
      </x:c>
      <x:c r="C256" s="33" t="str">
        <x:v>BR-V13-0-10-K02</x:v>
      </x:c>
      <x:c r="D256" s="12" t="str">
        <x:v>Выкл 1-кл перекрестный 10А б/рамки "BRITE" чёрный (1/100)</x:v>
      </x:c>
      <x:c r="E256" s="11" t="str">
        <x:v>шт</x:v>
      </x:c>
      <x:c r="F256" s="35" t="n">
        <x:f>MAX(0,ROUNDDOWN((AG256-AF256)/AR256+0.000000001,0)*AR256)</x:f>
        <x:v>51</x:v>
      </x:c>
      <x:c r="G256" s="20" t="str">
        <x:f>IF(J256="Рассчитано",V256*(1-R256/100)-W256-P256-Q256,"н/д")</x:f>
        <x:v>н/д</x:v>
      </x:c>
      <x:c r="H256" s="12" t="str">
        <x:v>Высокий</x:v>
      </x:c>
      <x:c r="I256" s="12" t="str">
        <x:v>Высокий</x:v>
      </x:c>
      <x:c r="J256" s="12" t="str">
        <x:f>IF(L256="","Укажите валюту",IF(NOT(ISNUMBER(K256)),"Укажите объём",IF(K256&lt;=0,"Укажите объём",IF(K256&gt;F256,"Объём выше излишка",IF(COUNT(M256:O256)&lt;3,"Нужны цены",IF(COUNT(P256:R256)&lt;3,"Нужны расходы",IF(OR(M256&lt;0,N256&lt;0,O256&lt;0,O256&gt;100,P256&lt;0,Q256&lt;0,R256&lt;0,R256&gt;100),"Проверьте значения","Рассчитано")))))))</x:f>
        <x:v>Нужны цены</x:v>
      </x:c>
      <x:c r="K256" s="36" t="n">
        <x:v>51</x:v>
      </x:c>
      <x:c r="L256" s="19" t="str">
        <x:v>KZT</x:v>
      </x:c>
      <x:c r="M256" s="22"/>
      <x:c r="N256" s="22"/>
      <x:c r="O256" s="28"/>
      <x:c r="P256" s="22"/>
      <x:c r="Q256" s="22"/>
      <x:c r="R256" s="28"/>
      <x:c r="S256" s="22"/>
      <x:c r="T256" s="35" t="n">
        <x:f>K256</x:f>
        <x:v>51</x:v>
      </x:c>
      <x:c r="U256" s="20" t="str">
        <x:f>IF(J256="Рассчитано",N256*(1-O256/100),"н/д")</x:f>
        <x:v>н/д</x:v>
      </x:c>
      <x:c r="V256" s="20" t="str">
        <x:f>IF(J256="Рассчитано",T256*U256,"н/д")</x:f>
        <x:v>н/д</x:v>
      </x:c>
      <x:c r="W256" s="20" t="str">
        <x:f>IF(J256="Рассчитано",T256*M256,"н/д")</x:f>
        <x:v>н/д</x:v>
      </x:c>
      <x:c r="X256" s="20" t="str">
        <x:f>IF(J256="Рассчитано",V256-W256,"н/д")</x:f>
        <x:v>н/д</x:v>
      </x:c>
      <x:c r="Y256" s="26" t="str">
        <x:f>IF(J256="Рассчитано",IF(V256&gt;0,G256/V256,"н/д"),"н/д")</x:f>
        <x:v>н/д</x:v>
      </x:c>
      <x:c r="Z256" s="20" t="str">
        <x:f>"н/д"</x:f>
        <x:v>н/д</x:v>
      </x:c>
      <x:c r="AA256" s="20" t="str">
        <x:f>"н/д"</x:f>
        <x:v>н/д</x:v>
      </x:c>
      <x:c r="AB256" s="20" t="str">
        <x:f>"н/д"</x:f>
        <x:v>н/д</x:v>
      </x:c>
      <x:c r="AC256" s="20" t="str">
        <x:f>IF(AND(J256="Рассчитано",T256&gt;0,R256&lt;100),(W256+P256+Q256)/(T256*(1-R256/100)),"н/д")</x:f>
        <x:v>н/д</x:v>
      </x:c>
      <x:c r="AD256" s="11" t="str">
        <x:f>IF(ISNUMBER(G256),IF(G256&lt;0,"Убыток",IF(G256=0,"Без прибыли","Прибыль &gt; 0")),"Не оценён")</x:f>
        <x:v>Не оценён</x:v>
      </x:c>
      <x:c r="AE256" s="12" t="str">
        <x:f>IF(J256="Рассчитано","Выручка "&amp;TEXT(V256,"0.00")&amp;" - себестоимость "&amp;TEXT(W256,"0.00")&amp;" - комиссия "&amp;TEXT(V256*R256/100,"0.00")&amp;" - доставка "&amp;TEXT(P256,"0.00")&amp;" - прочие "&amp;TEXT(Q256,"0.00")&amp;" = "&amp;TEXT(G256,"0.00")&amp;" "&amp;L256,"Введите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6" s="23" t="n">
        <x:v>25.825525390856953</x:v>
      </x:c>
      <x:c r="AG256" s="35" t="n">
        <x:v>77</x:v>
      </x:c>
      <x:c r="AH256" s="35" t="n">
        <x:v>0</x:v>
      </x:c>
      <x:c r="AI256" s="29" t="n">
        <x:v>46266</x:v>
      </x:c>
      <x:c r="AJ256" s="35" t="n">
        <x:v>1</x:v>
      </x:c>
      <x:c r="AK256" s="11" t="str">
        <x:v>минимум</x:v>
      </x:c>
      <x:c r="AL256" s="31" t="n">
        <x:v>253.54824213636886</x:v>
      </x:c>
      <x:c r="AM25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56" s="12" t="str">
        <x:v>Проверить свободный остаток и установить цену для B2B</x:v>
      </x:c>
      <x:c r="AO256" s="12" t="str">
        <x:v>Остаток 77; прогноз 90 дней 25.83; избыток 51 шт. Будущие поступления не выставляются на продажу. Остаток на начало сентября: требуется актуализация.</x:v>
      </x:c>
      <x:c r="AP256" s="12" t="str">
        <x:v>["category_missing", "daily_stockout_data_missing", "new_order_lead_time_unknown", "reservations_unknown", "stale_stock"]</x:v>
      </x:c>
      <x:c r="AQ256" s="11" t="str">
        <x:v>IEK:030200780_</x:v>
      </x:c>
      <x:c r="AR256" s="23" t="n">
        <x:v>1</x:v>
      </x:c>
      <x:c r="AS256" s="23" t="n">
        <x:v>0</x:v>
      </x:c>
      <x:c r="AT256" s="23" t="n">
        <x:v>0</x:v>
      </x:c>
    </x:row>
    <x:row r="257" ht="64" customHeight="1">
      <x:c r="A257" s="10" t="str">
        <x:v>IEK</x:v>
      </x:c>
      <x:c r="B257" s="34" t="str">
        <x:v>030200781_</x:v>
      </x:c>
      <x:c r="C257" s="34" t="str">
        <x:v>BR-R14-16-U21-D21-K53</x:v>
      </x:c>
      <x:c r="D257" s="13" t="str">
        <x:v>Роз. с з/к с з/ш 16А с USB A+A 2,1А б/рамки "BRITE" графит (1/80)</x:v>
      </x:c>
      <x:c r="E257" s="10" t="str">
        <x:v>шт</x:v>
      </x:c>
      <x:c r="F257" s="37" t="n">
        <x:f>MAX(0,ROUNDDOWN((AG257-AF257)/AR257+0.000000001,0)*AR257)</x:f>
        <x:v>6</x:v>
      </x:c>
      <x:c r="G257" s="21" t="str">
        <x:f>IF(J257="Рассчитано",V257*(1-R257/100)-W257-P257-Q257,"н/д")</x:f>
        <x:v>н/д</x:v>
      </x:c>
      <x:c r="H257" s="13" t="str">
        <x:v>Высокий</x:v>
      </x:c>
      <x:c r="I257" s="13" t="str">
        <x:v>Высокий</x:v>
      </x:c>
      <x:c r="J257" s="13" t="str">
        <x:f>IF(L257="","Укажите валюту",IF(NOT(ISNUMBER(K257)),"Укажите объём",IF(K257&lt;=0,"Укажите объём",IF(K257&gt;F257,"Объём выше излишка",IF(COUNT(M257:O257)&lt;3,"Нужны цены",IF(COUNT(P257:R257)&lt;3,"Нужны расходы",IF(OR(M257&lt;0,N257&lt;0,O257&lt;0,O257&gt;100,P257&lt;0,Q257&lt;0,R257&lt;0,R257&gt;100),"Проверьте значения","Рассчитано")))))))</x:f>
        <x:v>Нужны цены</x:v>
      </x:c>
      <x:c r="K257" s="36" t="n">
        <x:v>6</x:v>
      </x:c>
      <x:c r="L257" s="19" t="str">
        <x:v>KZT</x:v>
      </x:c>
      <x:c r="M257" s="22"/>
      <x:c r="N257" s="22"/>
      <x:c r="O257" s="28"/>
      <x:c r="P257" s="22"/>
      <x:c r="Q257" s="22"/>
      <x:c r="R257" s="28"/>
      <x:c r="S257" s="22"/>
      <x:c r="T257" s="37" t="n">
        <x:f>K257</x:f>
        <x:v>6</x:v>
      </x:c>
      <x:c r="U257" s="21" t="str">
        <x:f>IF(J257="Рассчитано",N257*(1-O257/100),"н/д")</x:f>
        <x:v>н/д</x:v>
      </x:c>
      <x:c r="V257" s="21" t="str">
        <x:f>IF(J257="Рассчитано",T257*U257,"н/д")</x:f>
        <x:v>н/д</x:v>
      </x:c>
      <x:c r="W257" s="21" t="str">
        <x:f>IF(J257="Рассчитано",T257*M257,"н/д")</x:f>
        <x:v>н/д</x:v>
      </x:c>
      <x:c r="X257" s="21" t="str">
        <x:f>IF(J257="Рассчитано",V257-W257,"н/д")</x:f>
        <x:v>н/д</x:v>
      </x:c>
      <x:c r="Y257" s="27" t="str">
        <x:f>IF(J257="Рассчитано",IF(V257&gt;0,G257/V257,"н/д"),"н/д")</x:f>
        <x:v>н/д</x:v>
      </x:c>
      <x:c r="Z257" s="21" t="str">
        <x:f>"н/д"</x:f>
        <x:v>н/д</x:v>
      </x:c>
      <x:c r="AA257" s="21" t="str">
        <x:f>"н/д"</x:f>
        <x:v>н/д</x:v>
      </x:c>
      <x:c r="AB257" s="21" t="str">
        <x:f>"н/д"</x:f>
        <x:v>н/д</x:v>
      </x:c>
      <x:c r="AC257" s="21" t="str">
        <x:f>IF(AND(J257="Рассчитано",T257&gt;0,R257&lt;100),(W257+P257+Q257)/(T257*(1-R257/100)),"н/д")</x:f>
        <x:v>н/д</x:v>
      </x:c>
      <x:c r="AD257" s="10" t="str">
        <x:f>IF(ISNUMBER(G257),IF(G257&lt;0,"Убыток",IF(G257=0,"Без прибыли","Прибыль &gt; 0")),"Не оценён")</x:f>
        <x:v>Не оценён</x:v>
      </x:c>
      <x:c r="AE257" s="13" t="str">
        <x:f>IF(J257="Рассчитано","Выручка "&amp;TEXT(V257,"0.00")&amp;" - себестоимость "&amp;TEXT(W257,"0.00")&amp;" - комиссия "&amp;TEXT(V257*R257/100,"0.00")&amp;" - доставка "&amp;TEXT(P257,"0.00")&amp;" - прочие "&amp;TEXT(Q257,"0.00")&amp;" = "&amp;TEXT(G257,"0.00")&amp;" "&amp;L257,"Введите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7" s="24" t="n">
        <x:v>0</x:v>
      </x:c>
      <x:c r="AG257" s="37" t="n">
        <x:v>6</x:v>
      </x:c>
      <x:c r="AH257" s="37" t="n">
        <x:v>0</x:v>
      </x:c>
      <x:c r="AI257" s="30" t="n">
        <x:v>46266</x:v>
      </x:c>
      <x:c r="AJ257" s="37" t="n">
        <x:v>1</x:v>
      </x:c>
      <x:c r="AK257" s="10" t="str">
        <x:v>минимум</x:v>
      </x:c>
      <x:c r="AL257" s="32" t="str">
        <x:v>н/д</x:v>
      </x:c>
      <x:c r="AM25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257" s="13" t="str">
        <x:v>Проверить свободный остаток и установить цену для B2B</x:v>
      </x:c>
      <x:c r="AO257" s="13" t="str">
        <x:v>Остаток 6; прогноз 90 дней 0.00; избыток 6 шт. Будущие поступления не выставляются на продажу. Остаток на начало сентября: требуется актуализация.</x:v>
      </x:c>
      <x:c r="AP257" s="13" t="str">
        <x:v>["category_missing", "daily_stockout_data_missing", "new_order_lead_time_unknown", "reservations_unknown", "stale_stock"]</x:v>
      </x:c>
      <x:c r="AQ257" s="10" t="str">
        <x:v>IEK:030200781_</x:v>
      </x:c>
      <x:c r="AR257" s="24" t="n">
        <x:v>1</x:v>
      </x:c>
      <x:c r="AS257" s="24" t="n">
        <x:v>0</x:v>
      </x:c>
      <x:c r="AT257" s="24" t="n">
        <x:v>0</x:v>
      </x:c>
    </x:row>
    <x:row r="258" ht="64" customHeight="1">
      <x:c r="A258" s="11" t="str">
        <x:v>IEK</x:v>
      </x:c>
      <x:c r="B258" s="33" t="str">
        <x:v>030200785_</x:v>
      </x:c>
      <x:c r="C258" s="33" t="str">
        <x:v>BR-KT20-O-1-K53</x:v>
      </x:c>
      <x:c r="D258" s="12" t="str">
        <x:v>Роз. 2-я RJ11+RJ45 кат.5E б/рамки "BRITE" графит (1/100)</x:v>
      </x:c>
      <x:c r="E258" s="11" t="str">
        <x:v>шт</x:v>
      </x:c>
      <x:c r="F258" s="35" t="n">
        <x:f>MAX(0,ROUNDDOWN((AG258-AF258)/AR258+0.000000001,0)*AR258)</x:f>
        <x:v>16</x:v>
      </x:c>
      <x:c r="G258" s="20" t="str">
        <x:f>IF(J258="Рассчитано",V258*(1-R258/100)-W258-P258-Q258,"н/д")</x:f>
        <x:v>н/д</x:v>
      </x:c>
      <x:c r="H258" s="12" t="str">
        <x:v>Высокий</x:v>
      </x:c>
      <x:c r="I258" s="12" t="str">
        <x:v>Высокий</x:v>
      </x:c>
      <x:c r="J258" s="12" t="str">
        <x:f>IF(L258="","Укажите валюту",IF(NOT(ISNUMBER(K258)),"Укажите объём",IF(K258&lt;=0,"Укажите объём",IF(K258&gt;F258,"Объём выше излишка",IF(COUNT(M258:O258)&lt;3,"Нужны цены",IF(COUNT(P258:R258)&lt;3,"Нужны расходы",IF(OR(M258&lt;0,N258&lt;0,O258&lt;0,O258&gt;100,P258&lt;0,Q258&lt;0,R258&lt;0,R258&gt;100),"Проверьте значения","Рассчитано")))))))</x:f>
        <x:v>Нужны цены</x:v>
      </x:c>
      <x:c r="K258" s="36" t="n">
        <x:v>16</x:v>
      </x:c>
      <x:c r="L258" s="19" t="str">
        <x:v>KZT</x:v>
      </x:c>
      <x:c r="M258" s="22"/>
      <x:c r="N258" s="22"/>
      <x:c r="O258" s="28"/>
      <x:c r="P258" s="22"/>
      <x:c r="Q258" s="22"/>
      <x:c r="R258" s="28"/>
      <x:c r="S258" s="22"/>
      <x:c r="T258" s="35" t="n">
        <x:f>K258</x:f>
        <x:v>16</x:v>
      </x:c>
      <x:c r="U258" s="20" t="str">
        <x:f>IF(J258="Рассчитано",N258*(1-O258/100),"н/д")</x:f>
        <x:v>н/д</x:v>
      </x:c>
      <x:c r="V258" s="20" t="str">
        <x:f>IF(J258="Рассчитано",T258*U258,"н/д")</x:f>
        <x:v>н/д</x:v>
      </x:c>
      <x:c r="W258" s="20" t="str">
        <x:f>IF(J258="Рассчитано",T258*M258,"н/д")</x:f>
        <x:v>н/д</x:v>
      </x:c>
      <x:c r="X258" s="20" t="str">
        <x:f>IF(J258="Рассчитано",V258-W258,"н/д")</x:f>
        <x:v>н/д</x:v>
      </x:c>
      <x:c r="Y258" s="26" t="str">
        <x:f>IF(J258="Рассчитано",IF(V258&gt;0,G258/V258,"н/д"),"н/д")</x:f>
        <x:v>н/д</x:v>
      </x:c>
      <x:c r="Z258" s="20" t="str">
        <x:f>"н/д"</x:f>
        <x:v>н/д</x:v>
      </x:c>
      <x:c r="AA258" s="20" t="str">
        <x:f>"н/д"</x:f>
        <x:v>н/д</x:v>
      </x:c>
      <x:c r="AB258" s="20" t="str">
        <x:f>"н/д"</x:f>
        <x:v>н/д</x:v>
      </x:c>
      <x:c r="AC258" s="20" t="str">
        <x:f>IF(AND(J258="Рассчитано",T258&gt;0,R258&lt;100),(W258+P258+Q258)/(T258*(1-R258/100)),"н/д")</x:f>
        <x:v>н/д</x:v>
      </x:c>
      <x:c r="AD258" s="11" t="str">
        <x:f>IF(ISNUMBER(G258),IF(G258&lt;0,"Убыток",IF(G258=0,"Без прибыли","Прибыль &gt; 0")),"Не оценён")</x:f>
        <x:v>Не оценён</x:v>
      </x:c>
      <x:c r="AE258" s="12" t="str">
        <x:f>IF(J258="Рассчитано","Выручка "&amp;TEXT(V258,"0.00")&amp;" - себестоимость "&amp;TEXT(W258,"0.00")&amp;" - комиссия "&amp;TEXT(V258*R258/100,"0.00")&amp;" - доставка "&amp;TEXT(P258,"0.00")&amp;" - прочие "&amp;TEXT(Q258,"0.00")&amp;" = "&amp;TEXT(G258,"0.00")&amp;" "&amp;L258,"Введите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8" s="23" t="n">
        <x:v>0</x:v>
      </x:c>
      <x:c r="AG258" s="35" t="n">
        <x:v>16</x:v>
      </x:c>
      <x:c r="AH258" s="35" t="n">
        <x:v>0</x:v>
      </x:c>
      <x:c r="AI258" s="29" t="n">
        <x:v>46266</x:v>
      </x:c>
      <x:c r="AJ258" s="35" t="n">
        <x:v>1</x:v>
      </x:c>
      <x:c r="AK258" s="11" t="str">
        <x:v>минимум</x:v>
      </x:c>
      <x:c r="AL258" s="31" t="str">
        <x:v>н/д</x:v>
      </x:c>
      <x:c r="AM25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258" s="12" t="str">
        <x:v>Проверить свободный остаток и установить цену для B2B</x:v>
      </x:c>
      <x:c r="AO258" s="12" t="str">
        <x:v>Остаток 16; прогноз 90 дней 0.00; избыток 16 шт. Будущие поступления не выставляются на продажу. Остаток на начало сентября: требуется актуализация.</x:v>
      </x:c>
      <x:c r="AP258" s="12" t="str">
        <x:v>["category_missing", "daily_stockout_data_missing", "negative_net_sales_clipped_for_forecast", "new_order_lead_time_unknown", "reservations_unknown", "stale_stock"]</x:v>
      </x:c>
      <x:c r="AQ258" s="11" t="str">
        <x:v>IEK:030200785_</x:v>
      </x:c>
      <x:c r="AR258" s="23" t="n">
        <x:v>1</x:v>
      </x:c>
      <x:c r="AS258" s="23" t="n">
        <x:v>0</x:v>
      </x:c>
      <x:c r="AT258" s="23" t="n">
        <x:v>0</x:v>
      </x:c>
    </x:row>
    <x:row r="259" ht="64" customHeight="1">
      <x:c r="A259" s="10" t="str">
        <x:v>IEK</x:v>
      </x:c>
      <x:c r="B259" s="34" t="str">
        <x:v>030200786_</x:v>
      </x:c>
      <x:c r="C259" s="34"/>
      <x:c r="D259" s="13" t="str">
        <x:v>BRITE Розетка двойная RJ11+RJ45 кат.5E РК/Т12-БрМ маренго IEK</x:v>
      </x:c>
      <x:c r="E259" s="10" t="str">
        <x:v>шт</x:v>
      </x:c>
      <x:c r="F259" s="37" t="n">
        <x:f>MAX(0,ROUNDDOWN((AG259-AF259)/AR259+0.000000001,0)*AR259)</x:f>
        <x:v>44</x:v>
      </x:c>
      <x:c r="G259" s="21" t="str">
        <x:f>IF(J259="Рассчитано",V259*(1-R259/100)-W259-P259-Q259,"н/д")</x:f>
        <x:v>н/д</x:v>
      </x:c>
      <x:c r="H259" s="13" t="str">
        <x:v>Высокий</x:v>
      </x:c>
      <x:c r="I259" s="13" t="str">
        <x:v>Высокий</x:v>
      </x:c>
      <x:c r="J259" s="13" t="str">
        <x:f>IF(L259="","Укажите валюту",IF(NOT(ISNUMBER(K259)),"Укажите объём",IF(K259&lt;=0,"Укажите объём",IF(K259&gt;F259,"Объём выше излишка",IF(COUNT(M259:O259)&lt;3,"Нужны цены",IF(COUNT(P259:R259)&lt;3,"Нужны расходы",IF(OR(M259&lt;0,N259&lt;0,O259&lt;0,O259&gt;100,P259&lt;0,Q259&lt;0,R259&lt;0,R259&gt;100),"Проверьте значения","Рассчитано")))))))</x:f>
        <x:v>Нужны цены</x:v>
      </x:c>
      <x:c r="K259" s="36" t="n">
        <x:v>44</x:v>
      </x:c>
      <x:c r="L259" s="19" t="str">
        <x:v>KZT</x:v>
      </x:c>
      <x:c r="M259" s="22"/>
      <x:c r="N259" s="22"/>
      <x:c r="O259" s="28"/>
      <x:c r="P259" s="22"/>
      <x:c r="Q259" s="22"/>
      <x:c r="R259" s="28"/>
      <x:c r="S259" s="22"/>
      <x:c r="T259" s="37" t="n">
        <x:f>K259</x:f>
        <x:v>44</x:v>
      </x:c>
      <x:c r="U259" s="21" t="str">
        <x:f>IF(J259="Рассчитано",N259*(1-O259/100),"н/д")</x:f>
        <x:v>н/д</x:v>
      </x:c>
      <x:c r="V259" s="21" t="str">
        <x:f>IF(J259="Рассчитано",T259*U259,"н/д")</x:f>
        <x:v>н/д</x:v>
      </x:c>
      <x:c r="W259" s="21" t="str">
        <x:f>IF(J259="Рассчитано",T259*M259,"н/д")</x:f>
        <x:v>н/д</x:v>
      </x:c>
      <x:c r="X259" s="21" t="str">
        <x:f>IF(J259="Рассчитано",V259-W259,"н/д")</x:f>
        <x:v>н/д</x:v>
      </x:c>
      <x:c r="Y259" s="27" t="str">
        <x:f>IF(J259="Рассчитано",IF(V259&gt;0,G259/V259,"н/д"),"н/д")</x:f>
        <x:v>н/д</x:v>
      </x:c>
      <x:c r="Z259" s="21" t="str">
        <x:f>"н/д"</x:f>
        <x:v>н/д</x:v>
      </x:c>
      <x:c r="AA259" s="21" t="str">
        <x:f>"н/д"</x:f>
        <x:v>н/д</x:v>
      </x:c>
      <x:c r="AB259" s="21" t="str">
        <x:f>"н/д"</x:f>
        <x:v>н/д</x:v>
      </x:c>
      <x:c r="AC259" s="21" t="str">
        <x:f>IF(AND(J259="Рассчитано",T259&gt;0,R259&lt;100),(W259+P259+Q259)/(T259*(1-R259/100)),"н/д")</x:f>
        <x:v>н/д</x:v>
      </x:c>
      <x:c r="AD259" s="10" t="str">
        <x:f>IF(ISNUMBER(G259),IF(G259&lt;0,"Убыток",IF(G259=0,"Без прибыли","Прибыль &gt; 0")),"Не оценён")</x:f>
        <x:v>Не оценён</x:v>
      </x:c>
      <x:c r="AE259" s="13" t="str">
        <x:f>IF(J259="Рассчитано","Выручка "&amp;TEXT(V259,"0.00")&amp;" - себестоимость "&amp;TEXT(W259,"0.00")&amp;" - комиссия "&amp;TEXT(V259*R259/100,"0.00")&amp;" - доставка "&amp;TEXT(P259,"0.00")&amp;" - прочие "&amp;TEXT(Q259,"0.00")&amp;" = "&amp;TEXT(G259,"0.00")&amp;" "&amp;L259,"Введите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9" s="24" t="n">
        <x:v>0.10104629486282299</x:v>
      </x:c>
      <x:c r="AG259" s="37" t="n">
        <x:v>45</x:v>
      </x:c>
      <x:c r="AH259" s="37" t="n">
        <x:v>0</x:v>
      </x:c>
      <x:c r="AI259" s="30" t="n">
        <x:v>46266</x:v>
      </x:c>
      <x:c r="AJ259" s="37"/>
      <x:c r="AK259" s="10" t="str">
        <x:v>неизвестно</x:v>
      </x:c>
      <x:c r="AL259" s="32" t="n">
        <x:v>37871.38294235228</x:v>
      </x:c>
      <x:c r="AM259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259" s="13" t="str">
        <x:v>Проверить свободный остаток и установить цену для B2B</x:v>
      </x:c>
      <x:c r="AO259" s="13" t="str">
        <x:v>Остаток 45; прогноз 90 дней 0.10; избыток 44 шт. Будущие поступления не выставляются на продажу. Остаток на начало сентября: требуется актуализация.</x:v>
      </x:c>
      <x:c r="AP259" s="13" t="str">
        <x:v>["category_missing", "daily_stockout_data_missing", "moq_missing", "new_order_lead_time_unknown", "reservations_unknown", "stale_stock", "supplier_sku_missing"]</x:v>
      </x:c>
      <x:c r="AQ259" s="10" t="str">
        <x:v>IEK:030200786_</x:v>
      </x:c>
      <x:c r="AR259" s="24" t="n">
        <x:v>1</x:v>
      </x:c>
      <x:c r="AS259" s="24" t="n">
        <x:v>0</x:v>
      </x:c>
      <x:c r="AT259" s="24" t="n">
        <x:v>0</x:v>
      </x:c>
    </x:row>
    <x:row r="260" ht="64" customHeight="1">
      <x:c r="A260" s="11" t="str">
        <x:v>IEK</x:v>
      </x:c>
      <x:c r="B260" s="33" t="str">
        <x:v>030200787_</x:v>
      </x:c>
      <x:c r="C260" s="33" t="str">
        <x:v>BR-KT20-O-1-K02</x:v>
      </x:c>
      <x:c r="D260" s="12" t="str">
        <x:v>Роз. 2-я RJ11+RJ45 кат.5E б/рамки "BRITE" черный (1/100)</x:v>
      </x:c>
      <x:c r="E260" s="11" t="str">
        <x:v>шт</x:v>
      </x:c>
      <x:c r="F260" s="35" t="n">
        <x:f>MAX(0,ROUNDDOWN((AG260-AF260)/AR260+0.000000001,0)*AR260)</x:f>
        <x:v>1</x:v>
      </x:c>
      <x:c r="G260" s="20" t="str">
        <x:f>IF(J260="Рассчитано",V260*(1-R260/100)-W260-P260-Q260,"н/д")</x:f>
        <x:v>н/д</x:v>
      </x:c>
      <x:c r="H260" s="12" t="str">
        <x:v>Высокий</x:v>
      </x:c>
      <x:c r="I260" s="12" t="str">
        <x:v>Высокий</x:v>
      </x:c>
      <x:c r="J260" s="12" t="str">
        <x:f>IF(L260="","Укажите валюту",IF(NOT(ISNUMBER(K260)),"Укажите объём",IF(K260&lt;=0,"Укажите объём",IF(K260&gt;F260,"Объём выше излишка",IF(COUNT(M260:O260)&lt;3,"Нужны цены",IF(COUNT(P260:R260)&lt;3,"Нужны расходы",IF(OR(M260&lt;0,N260&lt;0,O260&lt;0,O260&gt;100,P260&lt;0,Q260&lt;0,R260&lt;0,R260&gt;100),"Проверьте значения","Рассчитано")))))))</x:f>
        <x:v>Нужны цены</x:v>
      </x:c>
      <x:c r="K260" s="36" t="n">
        <x:v>1</x:v>
      </x:c>
      <x:c r="L260" s="19" t="str">
        <x:v>KZT</x:v>
      </x:c>
      <x:c r="M260" s="22"/>
      <x:c r="N260" s="22"/>
      <x:c r="O260" s="28"/>
      <x:c r="P260" s="22"/>
      <x:c r="Q260" s="22"/>
      <x:c r="R260" s="28"/>
      <x:c r="S260" s="22"/>
      <x:c r="T260" s="35" t="n">
        <x:f>K260</x:f>
        <x:v>1</x:v>
      </x:c>
      <x:c r="U260" s="20" t="str">
        <x:f>IF(J260="Рассчитано",N260*(1-O260/100),"н/д")</x:f>
        <x:v>н/д</x:v>
      </x:c>
      <x:c r="V260" s="20" t="str">
        <x:f>IF(J260="Рассчитано",T260*U260,"н/д")</x:f>
        <x:v>н/д</x:v>
      </x:c>
      <x:c r="W260" s="20" t="str">
        <x:f>IF(J260="Рассчитано",T260*M260,"н/д")</x:f>
        <x:v>н/д</x:v>
      </x:c>
      <x:c r="X260" s="20" t="str">
        <x:f>IF(J260="Рассчитано",V260-W260,"н/д")</x:f>
        <x:v>н/д</x:v>
      </x:c>
      <x:c r="Y260" s="26" t="str">
        <x:f>IF(J260="Рассчитано",IF(V260&gt;0,G260/V260,"н/д"),"н/д")</x:f>
        <x:v>н/д</x:v>
      </x:c>
      <x:c r="Z260" s="20" t="str">
        <x:f>"н/д"</x:f>
        <x:v>н/д</x:v>
      </x:c>
      <x:c r="AA260" s="20" t="str">
        <x:f>"н/д"</x:f>
        <x:v>н/д</x:v>
      </x:c>
      <x:c r="AB260" s="20" t="str">
        <x:f>"н/д"</x:f>
        <x:v>н/д</x:v>
      </x:c>
      <x:c r="AC260" s="20" t="str">
        <x:f>IF(AND(J260="Рассчитано",T260&gt;0,R260&lt;100),(W260+P260+Q260)/(T260*(1-R260/100)),"н/д")</x:f>
        <x:v>н/д</x:v>
      </x:c>
      <x:c r="AD260" s="11" t="str">
        <x:f>IF(ISNUMBER(G260),IF(G260&lt;0,"Убыток",IF(G260=0,"Без прибыли","Прибыль &gt; 0")),"Не оценён")</x:f>
        <x:v>Не оценён</x:v>
      </x:c>
      <x:c r="AE260" s="12" t="str">
        <x:f>IF(J260="Рассчитано","Выручка "&amp;TEXT(V260,"0.00")&amp;" - себестоимость "&amp;TEXT(W260,"0.00")&amp;" - комиссия "&amp;TEXT(V260*R260/100,"0.00")&amp;" - доставка "&amp;TEXT(P260,"0.00")&amp;" - прочие "&amp;TEXT(Q260,"0.00")&amp;" = "&amp;TEXT(G260,"0.00")&amp;" "&amp;L260,"Введите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0" s="23" t="n">
        <x:v>0.35615382572628734</x:v>
      </x:c>
      <x:c r="AG260" s="35" t="n">
        <x:v>2</x:v>
      </x:c>
      <x:c r="AH260" s="35" t="n">
        <x:v>0</x:v>
      </x:c>
      <x:c r="AI260" s="29" t="n">
        <x:v>46266</x:v>
      </x:c>
      <x:c r="AJ260" s="35" t="n">
        <x:v>1</x:v>
      </x:c>
      <x:c r="AK260" s="11" t="str">
        <x:v>минимум</x:v>
      </x:c>
      <x:c r="AL260" s="31" t="n">
        <x:v>477.5418374165309</x:v>
      </x:c>
      <x:c r="AM2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60" s="12" t="str">
        <x:v>Проверить свободный остаток и установить цену для B2B</x:v>
      </x:c>
      <x:c r="AO260" s="12" t="str">
        <x:v>Остаток 2; прогноз 90 дней 0.36; избыток 1 шт. Будущие поступления не выставляются на продажу. Остаток на начало сентября: требуется актуализация.</x:v>
      </x:c>
      <x:c r="AP260" s="12" t="str">
        <x:v>["category_missing", "daily_stockout_data_missing", "new_order_lead_time_unknown", "reservations_unknown", "stale_stock"]</x:v>
      </x:c>
      <x:c r="AQ260" s="11" t="str">
        <x:v>IEK:030200787_</x:v>
      </x:c>
      <x:c r="AR260" s="23" t="n">
        <x:v>1</x:v>
      </x:c>
      <x:c r="AS260" s="23" t="n">
        <x:v>0</x:v>
      </x:c>
      <x:c r="AT260" s="23" t="n">
        <x:v>0</x:v>
      </x:c>
    </x:row>
    <x:row r="261" ht="64" customHeight="1">
      <x:c r="A261" s="10" t="str">
        <x:v>IEK</x:v>
      </x:c>
      <x:c r="B261" s="34" t="str">
        <x:v>030200789_</x:v>
      </x:c>
      <x:c r="C261" s="34" t="str">
        <x:v>BR-M52-K35</x:v>
      </x:c>
      <x:c r="D261" s="13" t="str">
        <x:v>Рамка 5-мест. "BRITE" маренго (1/100)</x:v>
      </x:c>
      <x:c r="E261" s="10" t="str">
        <x:v>шт</x:v>
      </x:c>
      <x:c r="F261" s="37" t="n">
        <x:f>MAX(0,ROUNDDOWN((AG261-AF261)/AR261+0.000000001,0)*AR261)</x:f>
        <x:v>66</x:v>
      </x:c>
      <x:c r="G261" s="21" t="str">
        <x:f>IF(J261="Рассчитано",V261*(1-R261/100)-W261-P261-Q261,"н/д")</x:f>
        <x:v>н/д</x:v>
      </x:c>
      <x:c r="H261" s="13" t="str">
        <x:v>Высокий</x:v>
      </x:c>
      <x:c r="I261" s="13" t="str">
        <x:v>Высокий</x:v>
      </x:c>
      <x:c r="J261" s="13" t="str">
        <x:f>IF(L261="","Укажите валюту",IF(NOT(ISNUMBER(K261)),"Укажите объём",IF(K261&lt;=0,"Укажите объём",IF(K261&gt;F261,"Объём выше излишка",IF(COUNT(M261:O261)&lt;3,"Нужны цены",IF(COUNT(P261:R261)&lt;3,"Нужны расходы",IF(OR(M261&lt;0,N261&lt;0,O261&lt;0,O261&gt;100,P261&lt;0,Q261&lt;0,R261&lt;0,R261&gt;100),"Проверьте значения","Рассчитано")))))))</x:f>
        <x:v>Нужны цены</x:v>
      </x:c>
      <x:c r="K261" s="36" t="n">
        <x:v>66</x:v>
      </x:c>
      <x:c r="L261" s="19" t="str">
        <x:v>KZT</x:v>
      </x:c>
      <x:c r="M261" s="22"/>
      <x:c r="N261" s="22"/>
      <x:c r="O261" s="28"/>
      <x:c r="P261" s="22"/>
      <x:c r="Q261" s="22"/>
      <x:c r="R261" s="28"/>
      <x:c r="S261" s="22"/>
      <x:c r="T261" s="37" t="n">
        <x:f>K261</x:f>
        <x:v>66</x:v>
      </x:c>
      <x:c r="U261" s="21" t="str">
        <x:f>IF(J261="Рассчитано",N261*(1-O261/100),"н/д")</x:f>
        <x:v>н/д</x:v>
      </x:c>
      <x:c r="V261" s="21" t="str">
        <x:f>IF(J261="Рассчитано",T261*U261,"н/д")</x:f>
        <x:v>н/д</x:v>
      </x:c>
      <x:c r="W261" s="21" t="str">
        <x:f>IF(J261="Рассчитано",T261*M261,"н/д")</x:f>
        <x:v>н/д</x:v>
      </x:c>
      <x:c r="X261" s="21" t="str">
        <x:f>IF(J261="Рассчитано",V261-W261,"н/д")</x:f>
        <x:v>н/д</x:v>
      </x:c>
      <x:c r="Y261" s="27" t="str">
        <x:f>IF(J261="Рассчитано",IF(V261&gt;0,G261/V261,"н/д"),"н/д")</x:f>
        <x:v>н/д</x:v>
      </x:c>
      <x:c r="Z261" s="21" t="str">
        <x:f>"н/д"</x:f>
        <x:v>н/д</x:v>
      </x:c>
      <x:c r="AA261" s="21" t="str">
        <x:f>"н/д"</x:f>
        <x:v>н/д</x:v>
      </x:c>
      <x:c r="AB261" s="21" t="str">
        <x:f>"н/д"</x:f>
        <x:v>н/д</x:v>
      </x:c>
      <x:c r="AC261" s="21" t="str">
        <x:f>IF(AND(J261="Рассчитано",T261&gt;0,R261&lt;100),(W261+P261+Q261)/(T261*(1-R261/100)),"н/д")</x:f>
        <x:v>н/д</x:v>
      </x:c>
      <x:c r="AD261" s="10" t="str">
        <x:f>IF(ISNUMBER(G261),IF(G261&lt;0,"Убыток",IF(G261=0,"Без прибыли","Прибыль &gt; 0")),"Не оценён")</x:f>
        <x:v>Не оценён</x:v>
      </x:c>
      <x:c r="AE261" s="13" t="str">
        <x:f>IF(J261="Рассчитано","Выручка "&amp;TEXT(V261,"0.00")&amp;" - себестоимость "&amp;TEXT(W261,"0.00")&amp;" - комиссия "&amp;TEXT(V261*R261/100,"0.00")&amp;" - доставка "&amp;TEXT(P261,"0.00")&amp;" - прочие "&amp;TEXT(Q261,"0.00")&amp;" = "&amp;TEXT(G261,"0.00")&amp;" "&amp;L261,"Введите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1" s="24" t="n">
        <x:v>0.2959520101551521</x:v>
      </x:c>
      <x:c r="AG261" s="37" t="n">
        <x:v>67</x:v>
      </x:c>
      <x:c r="AH261" s="37" t="n">
        <x:v>0</x:v>
      </x:c>
      <x:c r="AI261" s="30" t="n">
        <x:v>46266</x:v>
      </x:c>
      <x:c r="AJ261" s="37"/>
      <x:c r="AK261" s="10" t="str">
        <x:v>неизвестно</x:v>
      </x:c>
      <x:c r="AL261" s="32" t="n">
        <x:v>19251.853705645324</x:v>
      </x:c>
      <x:c r="AM26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61" s="13" t="str">
        <x:v>Проверить свободный остаток и установить цену для B2B</x:v>
      </x:c>
      <x:c r="AO261" s="13" t="str">
        <x:v>Остаток 67; прогноз 90 дней 0.30; избыток 66 шт. Будущие поступления не выставляются на продажу. Остаток на начало сентября: требуется актуализация.</x:v>
      </x:c>
      <x:c r="AP261" s="13" t="str">
        <x:v>["category_missing", "daily_stockout_data_missing", "moq_missing", "negative_net_sales_clipped_for_forecast", "new_order_lead_time_unknown", "reservations_unknown", "stale_stock"]</x:v>
      </x:c>
      <x:c r="AQ261" s="10" t="str">
        <x:v>IEK:030200789_</x:v>
      </x:c>
      <x:c r="AR261" s="24" t="n">
        <x:v>1</x:v>
      </x:c>
      <x:c r="AS261" s="24" t="n">
        <x:v>0</x:v>
      </x:c>
      <x:c r="AT261" s="24" t="n">
        <x:v>0</x:v>
      </x:c>
    </x:row>
    <x:row r="262" ht="64" customHeight="1">
      <x:c r="A262" s="11" t="str">
        <x:v>IEK</x:v>
      </x:c>
      <x:c r="B262" s="33" t="str">
        <x:v>030200809_</x:v>
      </x:c>
      <x:c r="C262" s="33" t="str">
        <x:v>BR-H10-K35</x:v>
      </x:c>
      <x:c r="D262" s="12" t="str">
        <x:v>Роз. HDMI б/рамки "BRITE" маренго (1/100)</x:v>
      </x:c>
      <x:c r="E262" s="11" t="str">
        <x:v>шт</x:v>
      </x:c>
      <x:c r="F262" s="35" t="n">
        <x:f>MAX(0,ROUNDDOWN((AG262-AF262)/AR262+0.000000001,0)*AR262)</x:f>
        <x:v>17</x:v>
      </x:c>
      <x:c r="G262" s="20" t="str">
        <x:f>IF(J262="Рассчитано",V262*(1-R262/100)-W262-P262-Q262,"н/д")</x:f>
        <x:v>н/д</x:v>
      </x:c>
      <x:c r="H262" s="12" t="str">
        <x:v>Высокий</x:v>
      </x:c>
      <x:c r="I262" s="12" t="str">
        <x:v>Высокий</x:v>
      </x:c>
      <x:c r="J262" s="12" t="str">
        <x:f>IF(L262="","Укажите валюту",IF(NOT(ISNUMBER(K262)),"Укажите объём",IF(K262&lt;=0,"Укажите объём",IF(K262&gt;F262,"Объём выше излишка",IF(COUNT(M262:O262)&lt;3,"Нужны цены",IF(COUNT(P262:R262)&lt;3,"Нужны расходы",IF(OR(M262&lt;0,N262&lt;0,O262&lt;0,O262&gt;100,P262&lt;0,Q262&lt;0,R262&lt;0,R262&gt;100),"Проверьте значения","Рассчитано")))))))</x:f>
        <x:v>Нужны цены</x:v>
      </x:c>
      <x:c r="K262" s="36" t="n">
        <x:v>17</x:v>
      </x:c>
      <x:c r="L262" s="19" t="str">
        <x:v>KZT</x:v>
      </x:c>
      <x:c r="M262" s="22"/>
      <x:c r="N262" s="22"/>
      <x:c r="O262" s="28"/>
      <x:c r="P262" s="22"/>
      <x:c r="Q262" s="22"/>
      <x:c r="R262" s="28"/>
      <x:c r="S262" s="22"/>
      <x:c r="T262" s="35" t="n">
        <x:f>K262</x:f>
        <x:v>17</x:v>
      </x:c>
      <x:c r="U262" s="20" t="str">
        <x:f>IF(J262="Рассчитано",N262*(1-O262/100),"н/д")</x:f>
        <x:v>н/д</x:v>
      </x:c>
      <x:c r="V262" s="20" t="str">
        <x:f>IF(J262="Рассчитано",T262*U262,"н/д")</x:f>
        <x:v>н/д</x:v>
      </x:c>
      <x:c r="W262" s="20" t="str">
        <x:f>IF(J262="Рассчитано",T262*M262,"н/д")</x:f>
        <x:v>н/д</x:v>
      </x:c>
      <x:c r="X262" s="20" t="str">
        <x:f>IF(J262="Рассчитано",V262-W262,"н/д")</x:f>
        <x:v>н/д</x:v>
      </x:c>
      <x:c r="Y262" s="26" t="str">
        <x:f>IF(J262="Рассчитано",IF(V262&gt;0,G262/V262,"н/д"),"н/д")</x:f>
        <x:v>н/д</x:v>
      </x:c>
      <x:c r="Z262" s="20" t="str">
        <x:f>"н/д"</x:f>
        <x:v>н/д</x:v>
      </x:c>
      <x:c r="AA262" s="20" t="str">
        <x:f>"н/д"</x:f>
        <x:v>н/д</x:v>
      </x:c>
      <x:c r="AB262" s="20" t="str">
        <x:f>"н/д"</x:f>
        <x:v>н/д</x:v>
      </x:c>
      <x:c r="AC262" s="20" t="str">
        <x:f>IF(AND(J262="Рассчитано",T262&gt;0,R262&lt;100),(W262+P262+Q262)/(T262*(1-R262/100)),"н/д")</x:f>
        <x:v>н/д</x:v>
      </x:c>
      <x:c r="AD262" s="11" t="str">
        <x:f>IF(ISNUMBER(G262),IF(G262&lt;0,"Убыток",IF(G262=0,"Без прибыли","Прибыль &gt; 0")),"Не оценён")</x:f>
        <x:v>Не оценён</x:v>
      </x:c>
      <x:c r="AE262" s="12" t="str">
        <x:f>IF(J262="Рассчитано","Выручка "&amp;TEXT(V262,"0.00")&amp;" - себестоимость "&amp;TEXT(W262,"0.00")&amp;" - комиссия "&amp;TEXT(V262*R262/100,"0.00")&amp;" - доставка "&amp;TEXT(P262,"0.00")&amp;" - прочие "&amp;TEXT(Q262,"0.00")&amp;" = "&amp;TEXT(G262,"0.00")&amp;" "&amp;L262,"Введите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2" s="23" t="n">
        <x:v>0.39054214840506235</x:v>
      </x:c>
      <x:c r="AG262" s="35" t="n">
        <x:v>18</x:v>
      </x:c>
      <x:c r="AH262" s="35" t="n">
        <x:v>0</x:v>
      </x:c>
      <x:c r="AI262" s="29" t="n">
        <x:v>46266</x:v>
      </x:c>
      <x:c r="AJ262" s="35"/>
      <x:c r="AK262" s="11" t="str">
        <x:v>неизвестно</x:v>
      </x:c>
      <x:c r="AL262" s="31" t="n">
        <x:v>3919.4365507374337</x:v>
      </x:c>
      <x:c r="AM26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62" s="12" t="str">
        <x:v>Проверить свободный остаток и установить цену для B2B</x:v>
      </x:c>
      <x:c r="AO262" s="12" t="str">
        <x:v>Остаток 18; прогноз 90 дней 0.39; избыток 17 шт. Будущие поступления не выставляются на продажу. Остаток на начало сентября: требуется актуализация.</x:v>
      </x:c>
      <x:c r="AP262" s="12" t="str">
        <x:v>["category_missing", "daily_stockout_data_missing", "moq_missing", "new_order_lead_time_unknown", "reservations_unknown", "stale_stock"]</x:v>
      </x:c>
      <x:c r="AQ262" s="11" t="str">
        <x:v>IEK:030200809_</x:v>
      </x:c>
      <x:c r="AR262" s="23" t="n">
        <x:v>1</x:v>
      </x:c>
      <x:c r="AS262" s="23" t="n">
        <x:v>0</x:v>
      </x:c>
      <x:c r="AT262" s="23" t="n">
        <x:v>0</x:v>
      </x:c>
    </x:row>
    <x:row r="263" ht="64" customHeight="1">
      <x:c r="A263" s="10" t="str">
        <x:v>IEK</x:v>
      </x:c>
      <x:c r="B263" s="34" t="str">
        <x:v>030200813_</x:v>
      </x:c>
      <x:c r="C263" s="34" t="str">
        <x:v>BR-V20-0-10-K45</x:v>
      </x:c>
      <x:c r="D263" s="13" t="str">
        <x:v>Выкл 2-кл. 10А б/рамки "BRITE" темная бронза (1/100)</x:v>
      </x:c>
      <x:c r="E263" s="10" t="str">
        <x:v>шт</x:v>
      </x:c>
      <x:c r="F263" s="37" t="n">
        <x:f>MAX(0,ROUNDDOWN((AG263-AF263)/AR263+0.000000001,0)*AR263)</x:f>
        <x:v>18</x:v>
      </x:c>
      <x:c r="G263" s="21" t="str">
        <x:f>IF(J263="Рассчитано",V263*(1-R263/100)-W263-P263-Q263,"н/д")</x:f>
        <x:v>н/д</x:v>
      </x:c>
      <x:c r="H263" s="13" t="str">
        <x:v>Высокий</x:v>
      </x:c>
      <x:c r="I263" s="13" t="str">
        <x:v>Средний</x:v>
      </x:c>
      <x:c r="J263" s="13" t="str">
        <x:f>IF(L263="","Укажите валюту",IF(NOT(ISNUMBER(K263)),"Укажите объём",IF(K263&lt;=0,"Укажите объём",IF(K263&gt;F263,"Объём выше излишка",IF(COUNT(M263:O263)&lt;3,"Нужны цены",IF(COUNT(P263:R263)&lt;3,"Нужны расходы",IF(OR(M263&lt;0,N263&lt;0,O263&lt;0,O263&gt;100,P263&lt;0,Q263&lt;0,R263&lt;0,R263&gt;100),"Проверьте значения","Рассчитано")))))))</x:f>
        <x:v>Нужны цены</x:v>
      </x:c>
      <x:c r="K263" s="36" t="n">
        <x:v>18</x:v>
      </x:c>
      <x:c r="L263" s="19" t="str">
        <x:v>KZT</x:v>
      </x:c>
      <x:c r="M263" s="22"/>
      <x:c r="N263" s="22"/>
      <x:c r="O263" s="28"/>
      <x:c r="P263" s="22"/>
      <x:c r="Q263" s="22"/>
      <x:c r="R263" s="28"/>
      <x:c r="S263" s="22"/>
      <x:c r="T263" s="37" t="n">
        <x:f>K263</x:f>
        <x:v>18</x:v>
      </x:c>
      <x:c r="U263" s="21" t="str">
        <x:f>IF(J263="Рассчитано",N263*(1-O263/100),"н/д")</x:f>
        <x:v>н/д</x:v>
      </x:c>
      <x:c r="V263" s="21" t="str">
        <x:f>IF(J263="Рассчитано",T263*U263,"н/д")</x:f>
        <x:v>н/д</x:v>
      </x:c>
      <x:c r="W263" s="21" t="str">
        <x:f>IF(J263="Рассчитано",T263*M263,"н/д")</x:f>
        <x:v>н/д</x:v>
      </x:c>
      <x:c r="X263" s="21" t="str">
        <x:f>IF(J263="Рассчитано",V263-W263,"н/д")</x:f>
        <x:v>н/д</x:v>
      </x:c>
      <x:c r="Y263" s="27" t="str">
        <x:f>IF(J263="Рассчитано",IF(V263&gt;0,G263/V263,"н/д"),"н/д")</x:f>
        <x:v>н/д</x:v>
      </x:c>
      <x:c r="Z263" s="21" t="str">
        <x:f>"н/д"</x:f>
        <x:v>н/д</x:v>
      </x:c>
      <x:c r="AA263" s="21" t="str">
        <x:f>"н/д"</x:f>
        <x:v>н/д</x:v>
      </x:c>
      <x:c r="AB263" s="21" t="str">
        <x:f>"н/д"</x:f>
        <x:v>н/д</x:v>
      </x:c>
      <x:c r="AC263" s="21" t="str">
        <x:f>IF(AND(J263="Рассчитано",T263&gt;0,R263&lt;100),(W263+P263+Q263)/(T263*(1-R263/100)),"н/д")</x:f>
        <x:v>н/д</x:v>
      </x:c>
      <x:c r="AD263" s="10" t="str">
        <x:f>IF(ISNUMBER(G263),IF(G263&lt;0,"Убыток",IF(G263=0,"Без прибыли","Прибыль &gt; 0")),"Не оценён")</x:f>
        <x:v>Не оценён</x:v>
      </x:c>
      <x:c r="AE263" s="13" t="str">
        <x:f>IF(J263="Рассчитано","Выручка "&amp;TEXT(V263,"0.00")&amp;" - себестоимость "&amp;TEXT(W263,"0.00")&amp;" - комиссия "&amp;TEXT(V263*R263/100,"0.00")&amp;" - доставка "&amp;TEXT(P263,"0.00")&amp;" - прочие "&amp;TEXT(Q263,"0.00")&amp;" = "&amp;TEXT(G263,"0.00")&amp;" "&amp;L263,"Введите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3" s="24" t="n">
        <x:v>22.989622719772445</x:v>
      </x:c>
      <x:c r="AG263" s="37" t="n">
        <x:v>41</x:v>
      </x:c>
      <x:c r="AH263" s="37" t="n">
        <x:v>0</x:v>
      </x:c>
      <x:c r="AI263" s="30" t="n">
        <x:v>46266</x:v>
      </x:c>
      <x:c r="AJ263" s="37" t="n">
        <x:v>1</x:v>
      </x:c>
      <x:c r="AK263" s="10" t="str">
        <x:v>минимум</x:v>
      </x:c>
      <x:c r="AL263" s="32" t="n">
        <x:v>151.66000179622796</x:v>
      </x:c>
      <x:c r="AM263" s="13" t="str">
        <x:v>Остаток на начало сентября; Резервы неизвестны; Нет ежедневных данных доступности. Запас выше прогноза на 90 дней</x:v>
      </x:c>
      <x:c r="AN263" s="13" t="str">
        <x:v>Проверить свободный остаток и установить цену для B2B</x:v>
      </x:c>
      <x:c r="AO263" s="13" t="str">
        <x:v>Остаток 41; прогноз 90 дней 22.99; избыток 18 шт. Будущие поступления не выставляются на продажу. Остаток на начало сентября: требуется актуализация.</x:v>
      </x:c>
      <x:c r="AP263" s="13" t="str">
        <x:v>["category_missing", "daily_stockout_data_missing", "new_order_lead_time_unknown", "reservations_unknown", "stale_stock"]</x:v>
      </x:c>
      <x:c r="AQ263" s="10" t="str">
        <x:v>IEK:030200813_</x:v>
      </x:c>
      <x:c r="AR263" s="24" t="n">
        <x:v>1</x:v>
      </x:c>
      <x:c r="AS263" s="24" t="n">
        <x:v>0</x:v>
      </x:c>
      <x:c r="AT263" s="24" t="n">
        <x:v>0</x:v>
      </x:c>
    </x:row>
    <x:row r="264" ht="64" customHeight="1">
      <x:c r="A264" s="11" t="str">
        <x:v>IEK</x:v>
      </x:c>
      <x:c r="B264" s="33" t="str">
        <x:v>030200814_</x:v>
      </x:c>
      <x:c r="C264" s="33" t="str">
        <x:v>BR-V20-1-10-K45</x:v>
      </x:c>
      <x:c r="D264" s="12" t="str">
        <x:v>Выкл 2-кл. с инд. 10А б/рамки "BRITE" темная бронза (1/100)</x:v>
      </x:c>
      <x:c r="E264" s="11" t="str">
        <x:v>шт</x:v>
      </x:c>
      <x:c r="F264" s="35" t="n">
        <x:f>MAX(0,ROUNDDOWN((AG264-AF264)/AR264+0.000000001,0)*AR264)</x:f>
        <x:v>36</x:v>
      </x:c>
      <x:c r="G264" s="20" t="str">
        <x:f>IF(J264="Рассчитано",V264*(1-R264/100)-W264-P264-Q264,"н/д")</x:f>
        <x:v>н/д</x:v>
      </x:c>
      <x:c r="H264" s="12" t="str">
        <x:v>Высокий</x:v>
      </x:c>
      <x:c r="I264" s="12" t="str">
        <x:v>Высокий</x:v>
      </x:c>
      <x:c r="J264" s="12" t="str">
        <x:f>IF(L264="","Укажите валюту",IF(NOT(ISNUMBER(K264)),"Укажите объём",IF(K264&lt;=0,"Укажите объём",IF(K264&gt;F264,"Объём выше излишка",IF(COUNT(M264:O264)&lt;3,"Нужны цены",IF(COUNT(P264:R264)&lt;3,"Нужны расходы",IF(OR(M264&lt;0,N264&lt;0,O264&lt;0,O264&gt;100,P264&lt;0,Q264&lt;0,R264&lt;0,R264&gt;100),"Проверьте значения","Рассчитано")))))))</x:f>
        <x:v>Нужны цены</x:v>
      </x:c>
      <x:c r="K264" s="36" t="n">
        <x:v>36</x:v>
      </x:c>
      <x:c r="L264" s="19" t="str">
        <x:v>KZT</x:v>
      </x:c>
      <x:c r="M264" s="22"/>
      <x:c r="N264" s="22"/>
      <x:c r="O264" s="28"/>
      <x:c r="P264" s="22"/>
      <x:c r="Q264" s="22"/>
      <x:c r="R264" s="28"/>
      <x:c r="S264" s="22"/>
      <x:c r="T264" s="35" t="n">
        <x:f>K264</x:f>
        <x:v>36</x:v>
      </x:c>
      <x:c r="U264" s="20" t="str">
        <x:f>IF(J264="Рассчитано",N264*(1-O264/100),"н/д")</x:f>
        <x:v>н/д</x:v>
      </x:c>
      <x:c r="V264" s="20" t="str">
        <x:f>IF(J264="Рассчитано",T264*U264,"н/д")</x:f>
        <x:v>н/д</x:v>
      </x:c>
      <x:c r="W264" s="20" t="str">
        <x:f>IF(J264="Рассчитано",T264*M264,"н/д")</x:f>
        <x:v>н/д</x:v>
      </x:c>
      <x:c r="X264" s="20" t="str">
        <x:f>IF(J264="Рассчитано",V264-W264,"н/д")</x:f>
        <x:v>н/д</x:v>
      </x:c>
      <x:c r="Y264" s="26" t="str">
        <x:f>IF(J264="Рассчитано",IF(V264&gt;0,G264/V264,"н/д"),"н/д")</x:f>
        <x:v>н/д</x:v>
      </x:c>
      <x:c r="Z264" s="20" t="str">
        <x:f>"н/д"</x:f>
        <x:v>н/д</x:v>
      </x:c>
      <x:c r="AA264" s="20" t="str">
        <x:f>"н/д"</x:f>
        <x:v>н/д</x:v>
      </x:c>
      <x:c r="AB264" s="20" t="str">
        <x:f>"н/д"</x:f>
        <x:v>н/д</x:v>
      </x:c>
      <x:c r="AC264" s="20" t="str">
        <x:f>IF(AND(J264="Рассчитано",T264&gt;0,R264&lt;100),(W264+P264+Q264)/(T264*(1-R264/100)),"н/д")</x:f>
        <x:v>н/д</x:v>
      </x:c>
      <x:c r="AD264" s="11" t="str">
        <x:f>IF(ISNUMBER(G264),IF(G264&lt;0,"Убыток",IF(G264=0,"Без прибыли","Прибыль &gt; 0")),"Не оценён")</x:f>
        <x:v>Не оценён</x:v>
      </x:c>
      <x:c r="AE264" s="12" t="str">
        <x:f>IF(J264="Рассчитано","Выручка "&amp;TEXT(V264,"0.00")&amp;" - себестоимость "&amp;TEXT(W264,"0.00")&amp;" - комиссия "&amp;TEXT(V264*R264/100,"0.00")&amp;" - доставка "&amp;TEXT(P264,"0.00")&amp;" - прочие "&amp;TEXT(Q264,"0.00")&amp;" = "&amp;TEXT(G264,"0.00")&amp;" "&amp;L264,"Введите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4" s="23" t="n">
        <x:v>1.5976393196269072</x:v>
      </x:c>
      <x:c r="AG264" s="35" t="n">
        <x:v>38</x:v>
      </x:c>
      <x:c r="AH264" s="35" t="n">
        <x:v>0</x:v>
      </x:c>
      <x:c r="AI264" s="29" t="n">
        <x:v>46266</x:v>
      </x:c>
      <x:c r="AJ264" s="35" t="n">
        <x:v>1</x:v>
      </x:c>
      <x:c r="AK264" s="11" t="str">
        <x:v>минимум</x:v>
      </x:c>
      <x:c r="AL264" s="31" t="n">
        <x:v>2022.6647246135294</x:v>
      </x:c>
      <x:c r="AM26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64" s="12" t="str">
        <x:v>Проверить свободный остаток и установить цену для B2B</x:v>
      </x:c>
      <x:c r="AO264" s="12" t="str">
        <x:v>Остаток 38; прогноз 90 дней 1.60; избыток 36 шт. Будущие поступления не выставляются на продажу. Остаток на начало сентября: требуется актуализация.</x:v>
      </x:c>
      <x:c r="AP264" s="12" t="str">
        <x:v>["category_missing", "daily_stockout_data_missing", "new_order_lead_time_unknown", "reservations_unknown", "stale_stock"]</x:v>
      </x:c>
      <x:c r="AQ264" s="11" t="str">
        <x:v>IEK:030200814_</x:v>
      </x:c>
      <x:c r="AR264" s="23" t="n">
        <x:v>1</x:v>
      </x:c>
      <x:c r="AS264" s="23" t="n">
        <x:v>0</x:v>
      </x:c>
      <x:c r="AT264" s="23" t="n">
        <x:v>0</x:v>
      </x:c>
    </x:row>
    <x:row r="265" ht="64" customHeight="1">
      <x:c r="A265" s="10" t="str">
        <x:v>IEK</x:v>
      </x:c>
      <x:c r="B265" s="34" t="str">
        <x:v>030200815_</x:v>
      </x:c>
      <x:c r="C265" s="34" t="str">
        <x:v>BR-K10-1-K45</x:v>
      </x:c>
      <x:c r="D265" s="13" t="str">
        <x:v>Роз. комп. RJ45 кат.5E б/рамки "BRITE" темная бронза (1/100)</x:v>
      </x:c>
      <x:c r="E265" s="10" t="str">
        <x:v>шт</x:v>
      </x:c>
      <x:c r="F265" s="37" t="n">
        <x:f>MAX(0,ROUNDDOWN((AG265-AF265)/AR265+0.000000001,0)*AR265)</x:f>
        <x:v>17</x:v>
      </x:c>
      <x:c r="G265" s="21" t="str">
        <x:f>IF(J265="Рассчитано",V265*(1-R265/100)-W265-P265-Q265,"н/д")</x:f>
        <x:v>н/д</x:v>
      </x:c>
      <x:c r="H265" s="13" t="str">
        <x:v>Высокий</x:v>
      </x:c>
      <x:c r="I265" s="13" t="str">
        <x:v>Высокий</x:v>
      </x:c>
      <x:c r="J265" s="13" t="str">
        <x:f>IF(L265="","Укажите валюту",IF(NOT(ISNUMBER(K265)),"Укажите объём",IF(K265&lt;=0,"Укажите объём",IF(K265&gt;F265,"Объём выше излишка",IF(COUNT(M265:O265)&lt;3,"Нужны цены",IF(COUNT(P265:R265)&lt;3,"Нужны расходы",IF(OR(M265&lt;0,N265&lt;0,O265&lt;0,O265&gt;100,P265&lt;0,Q265&lt;0,R265&lt;0,R265&gt;100),"Проверьте значения","Рассчитано")))))))</x:f>
        <x:v>Нужны цены</x:v>
      </x:c>
      <x:c r="K265" s="36" t="n">
        <x:v>17</x:v>
      </x:c>
      <x:c r="L265" s="19" t="str">
        <x:v>KZT</x:v>
      </x:c>
      <x:c r="M265" s="22"/>
      <x:c r="N265" s="22"/>
      <x:c r="O265" s="28"/>
      <x:c r="P265" s="22"/>
      <x:c r="Q265" s="22"/>
      <x:c r="R265" s="28"/>
      <x:c r="S265" s="22"/>
      <x:c r="T265" s="37" t="n">
        <x:f>K265</x:f>
        <x:v>17</x:v>
      </x:c>
      <x:c r="U265" s="21" t="str">
        <x:f>IF(J265="Рассчитано",N265*(1-O265/100),"н/д")</x:f>
        <x:v>н/д</x:v>
      </x:c>
      <x:c r="V265" s="21" t="str">
        <x:f>IF(J265="Рассчитано",T265*U265,"н/д")</x:f>
        <x:v>н/д</x:v>
      </x:c>
      <x:c r="W265" s="21" t="str">
        <x:f>IF(J265="Рассчитано",T265*M265,"н/д")</x:f>
        <x:v>н/д</x:v>
      </x:c>
      <x:c r="X265" s="21" t="str">
        <x:f>IF(J265="Рассчитано",V265-W265,"н/д")</x:f>
        <x:v>н/д</x:v>
      </x:c>
      <x:c r="Y265" s="27" t="str">
        <x:f>IF(J265="Рассчитано",IF(V265&gt;0,G265/V265,"н/д"),"н/д")</x:f>
        <x:v>н/д</x:v>
      </x:c>
      <x:c r="Z265" s="21" t="str">
        <x:f>"н/д"</x:f>
        <x:v>н/д</x:v>
      </x:c>
      <x:c r="AA265" s="21" t="str">
        <x:f>"н/д"</x:f>
        <x:v>н/д</x:v>
      </x:c>
      <x:c r="AB265" s="21" t="str">
        <x:f>"н/д"</x:f>
        <x:v>н/д</x:v>
      </x:c>
      <x:c r="AC265" s="21" t="str">
        <x:f>IF(AND(J265="Рассчитано",T265&gt;0,R265&lt;100),(W265+P265+Q265)/(T265*(1-R265/100)),"н/д")</x:f>
        <x:v>н/д</x:v>
      </x:c>
      <x:c r="AD265" s="10" t="str">
        <x:f>IF(ISNUMBER(G265),IF(G265&lt;0,"Убыток",IF(G265=0,"Без прибыли","Прибыль &gt; 0")),"Не оценён")</x:f>
        <x:v>Не оценён</x:v>
      </x:c>
      <x:c r="AE265" s="13" t="str">
        <x:f>IF(J265="Рассчитано","Выручка "&amp;TEXT(V265,"0.00")&amp;" - себестоимость "&amp;TEXT(W265,"0.00")&amp;" - комиссия "&amp;TEXT(V265*R265/100,"0.00")&amp;" - доставка "&amp;TEXT(P265,"0.00")&amp;" - прочие "&amp;TEXT(Q265,"0.00")&amp;" = "&amp;TEXT(G265,"0.00")&amp;" "&amp;L265,"Введите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5" s="24" t="n">
        <x:v>11.603310691814789</x:v>
      </x:c>
      <x:c r="AG265" s="37" t="n">
        <x:v>29</x:v>
      </x:c>
      <x:c r="AH265" s="37" t="n">
        <x:v>0</x:v>
      </x:c>
      <x:c r="AI265" s="30" t="n">
        <x:v>46266</x:v>
      </x:c>
      <x:c r="AJ265" s="37" t="n">
        <x:v>1</x:v>
      </x:c>
      <x:c r="AK265" s="10" t="str">
        <x:v>минимум</x:v>
      </x:c>
      <x:c r="AL265" s="32" t="n">
        <x:v>212.5372813358696</x:v>
      </x:c>
      <x:c r="AM2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65" s="13" t="str">
        <x:v>Проверить свободный остаток и установить цену для B2B</x:v>
      </x:c>
      <x:c r="AO265" s="13" t="str">
        <x:v>Остаток 29; прогноз 90 дней 11.60; избыток 17 шт. Будущие поступления не выставляются на продажу. Остаток на начало сентября: требуется актуализация.</x:v>
      </x:c>
      <x:c r="AP265" s="13" t="str">
        <x:v>["category_missing", "daily_stockout_data_missing", "large_orders_detected", "new_order_lead_time_unknown", "reservations_unknown", "stale_stock"]</x:v>
      </x:c>
      <x:c r="AQ265" s="10" t="str">
        <x:v>IEK:030200815_</x:v>
      </x:c>
      <x:c r="AR265" s="24" t="n">
        <x:v>1</x:v>
      </x:c>
      <x:c r="AS265" s="24" t="n">
        <x:v>0</x:v>
      </x:c>
      <x:c r="AT265" s="24" t="n">
        <x:v>0</x:v>
      </x:c>
    </x:row>
    <x:row r="266" ht="64" customHeight="1">
      <x:c r="A266" s="11" t="str">
        <x:v>IEK</x:v>
      </x:c>
      <x:c r="B266" s="33" t="str">
        <x:v>030200816_</x:v>
      </x:c>
      <x:c r="C266" s="33" t="str">
        <x:v>BR-V12-0-10-K45</x:v>
      </x:c>
      <x:c r="D266" s="12" t="str">
        <x:v>Выкл 1-кл. прох. 10А б/рамки "BRITE" темная бронза (1/100)</x:v>
      </x:c>
      <x:c r="E266" s="11" t="str">
        <x:v>шт</x:v>
      </x:c>
      <x:c r="F266" s="35" t="n">
        <x:f>MAX(0,ROUNDDOWN((AG266-AF266)/AR266+0.000000001,0)*AR266)</x:f>
        <x:v>35</x:v>
      </x:c>
      <x:c r="G266" s="20" t="str">
        <x:f>IF(J266="Рассчитано",V266*(1-R266/100)-W266-P266-Q266,"н/д")</x:f>
        <x:v>н/д</x:v>
      </x:c>
      <x:c r="H266" s="12" t="str">
        <x:v>Высокий</x:v>
      </x:c>
      <x:c r="I266" s="12" t="str">
        <x:v>Высокий</x:v>
      </x:c>
      <x:c r="J266" s="12" t="str">
        <x:f>IF(L266="","Укажите валюту",IF(NOT(ISNUMBER(K266)),"Укажите объём",IF(K266&lt;=0,"Укажите объём",IF(K266&gt;F266,"Объём выше излишка",IF(COUNT(M266:O266)&lt;3,"Нужны цены",IF(COUNT(P266:R266)&lt;3,"Нужны расходы",IF(OR(M266&lt;0,N266&lt;0,O266&lt;0,O266&gt;100,P266&lt;0,Q266&lt;0,R266&lt;0,R266&gt;100),"Проверьте значения","Рассчитано")))))))</x:f>
        <x:v>Нужны цены</x:v>
      </x:c>
      <x:c r="K266" s="36" t="n">
        <x:v>35</x:v>
      </x:c>
      <x:c r="L266" s="19" t="str">
        <x:v>KZT</x:v>
      </x:c>
      <x:c r="M266" s="22"/>
      <x:c r="N266" s="22"/>
      <x:c r="O266" s="28"/>
      <x:c r="P266" s="22"/>
      <x:c r="Q266" s="22"/>
      <x:c r="R266" s="28"/>
      <x:c r="S266" s="22"/>
      <x:c r="T266" s="35" t="n">
        <x:f>K266</x:f>
        <x:v>35</x:v>
      </x:c>
      <x:c r="U266" s="20" t="str">
        <x:f>IF(J266="Рассчитано",N266*(1-O266/100),"н/д")</x:f>
        <x:v>н/д</x:v>
      </x:c>
      <x:c r="V266" s="20" t="str">
        <x:f>IF(J266="Рассчитано",T266*U266,"н/д")</x:f>
        <x:v>н/д</x:v>
      </x:c>
      <x:c r="W266" s="20" t="str">
        <x:f>IF(J266="Рассчитано",T266*M266,"н/д")</x:f>
        <x:v>н/д</x:v>
      </x:c>
      <x:c r="X266" s="20" t="str">
        <x:f>IF(J266="Рассчитано",V266-W266,"н/д")</x:f>
        <x:v>н/д</x:v>
      </x:c>
      <x:c r="Y266" s="26" t="str">
        <x:f>IF(J266="Рассчитано",IF(V266&gt;0,G266/V266,"н/д"),"н/д")</x:f>
        <x:v>н/д</x:v>
      </x:c>
      <x:c r="Z266" s="20" t="str">
        <x:f>"н/д"</x:f>
        <x:v>н/д</x:v>
      </x:c>
      <x:c r="AA266" s="20" t="str">
        <x:f>"н/д"</x:f>
        <x:v>н/д</x:v>
      </x:c>
      <x:c r="AB266" s="20" t="str">
        <x:f>"н/д"</x:f>
        <x:v>н/д</x:v>
      </x:c>
      <x:c r="AC266" s="20" t="str">
        <x:f>IF(AND(J266="Рассчитано",T266&gt;0,R266&lt;100),(W266+P266+Q266)/(T266*(1-R266/100)),"н/д")</x:f>
        <x:v>н/д</x:v>
      </x:c>
      <x:c r="AD266" s="11" t="str">
        <x:f>IF(ISNUMBER(G266),IF(G266&lt;0,"Убыток",IF(G266=0,"Без прибыли","Прибыль &gt; 0")),"Не оценён")</x:f>
        <x:v>Не оценён</x:v>
      </x:c>
      <x:c r="AE266" s="12" t="str">
        <x:f>IF(J266="Рассчитано","Выручка "&amp;TEXT(V266,"0.00")&amp;" - себестоимость "&amp;TEXT(W266,"0.00")&amp;" - комиссия "&amp;TEXT(V266*R266/100,"0.00")&amp;" - доставка "&amp;TEXT(P266,"0.00")&amp;" - прочие "&amp;TEXT(Q266,"0.00")&amp;" = "&amp;TEXT(G266,"0.00")&amp;" "&amp;L266,"Введите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6" s="23" t="n">
        <x:v>26.219619315883012</x:v>
      </x:c>
      <x:c r="AG266" s="35" t="n">
        <x:v>62</x:v>
      </x:c>
      <x:c r="AH266" s="35" t="n">
        <x:v>0</x:v>
      </x:c>
      <x:c r="AI266" s="29" t="n">
        <x:v>46266</x:v>
      </x:c>
      <x:c r="AJ266" s="35" t="n">
        <x:v>1</x:v>
      </x:c>
      <x:c r="AK266" s="11" t="str">
        <x:v>минимум</x:v>
      </x:c>
      <x:c r="AL266" s="31" t="n">
        <x:v>201.08716526460523</x:v>
      </x:c>
      <x:c r="AM26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66" s="12" t="str">
        <x:v>Проверить свободный остаток и установить цену для B2B</x:v>
      </x:c>
      <x:c r="AO266" s="12" t="str">
        <x:v>Остаток 62; прогноз 90 дней 26.22; избыток 35 шт. Будущие поступления не выставляются на продажу. Остаток на начало сентября: требуется актуализация.</x:v>
      </x:c>
      <x:c r="AP266" s="12" t="str">
        <x:v>["category_missing", "daily_stockout_data_missing", "new_order_lead_time_unknown", "reservations_unknown", "stale_stock"]</x:v>
      </x:c>
      <x:c r="AQ266" s="11" t="str">
        <x:v>IEK:030200816_</x:v>
      </x:c>
      <x:c r="AR266" s="23" t="n">
        <x:v>1</x:v>
      </x:c>
      <x:c r="AS266" s="23" t="n">
        <x:v>0</x:v>
      </x:c>
      <x:c r="AT266" s="23" t="n">
        <x:v>0</x:v>
      </x:c>
    </x:row>
    <x:row r="267" ht="64" customHeight="1">
      <x:c r="A267" s="10" t="str">
        <x:v>IEK</x:v>
      </x:c>
      <x:c r="B267" s="34" t="str">
        <x:v>030200817_</x:v>
      </x:c>
      <x:c r="C267" s="34" t="str">
        <x:v>BR-R21-16-K45-F</x:v>
      </x:c>
      <x:c r="D267" s="13" t="str">
        <x:v>Роз. 2-я с з/к без з/ш 16А в сб. "BRITE" темная бронза (1/100)</x:v>
      </x:c>
      <x:c r="E267" s="10" t="str">
        <x:v>шт</x:v>
      </x:c>
      <x:c r="F267" s="37" t="n">
        <x:f>MAX(0,ROUNDDOWN((AG267-AF267)/AR267+0.000000001,0)*AR267)</x:f>
        <x:v>1</x:v>
      </x:c>
      <x:c r="G267" s="21" t="str">
        <x:f>IF(J267="Рассчитано",V267*(1-R267/100)-W267-P267-Q267,"н/д")</x:f>
        <x:v>н/д</x:v>
      </x:c>
      <x:c r="H267" s="13" t="str">
        <x:v>Высокий</x:v>
      </x:c>
      <x:c r="I267" s="13" t="str">
        <x:v>Средний</x:v>
      </x:c>
      <x:c r="J267" s="13" t="str">
        <x:f>IF(L267="","Укажите валюту",IF(NOT(ISNUMBER(K267)),"Укажите объём",IF(K267&lt;=0,"Укажите объём",IF(K267&gt;F267,"Объём выше излишка",IF(COUNT(M267:O267)&lt;3,"Нужны цены",IF(COUNT(P267:R267)&lt;3,"Нужны расходы",IF(OR(M267&lt;0,N267&lt;0,O267&lt;0,O267&gt;100,P267&lt;0,Q267&lt;0,R267&lt;0,R267&gt;100),"Проверьте значения","Рассчитано")))))))</x:f>
        <x:v>Нужны цены</x:v>
      </x:c>
      <x:c r="K267" s="36" t="n">
        <x:v>1</x:v>
      </x:c>
      <x:c r="L267" s="19" t="str">
        <x:v>KZT</x:v>
      </x:c>
      <x:c r="M267" s="22"/>
      <x:c r="N267" s="22"/>
      <x:c r="O267" s="28"/>
      <x:c r="P267" s="22"/>
      <x:c r="Q267" s="22"/>
      <x:c r="R267" s="28"/>
      <x:c r="S267" s="22"/>
      <x:c r="T267" s="37" t="n">
        <x:f>K267</x:f>
        <x:v>1</x:v>
      </x:c>
      <x:c r="U267" s="21" t="str">
        <x:f>IF(J267="Рассчитано",N267*(1-O267/100),"н/д")</x:f>
        <x:v>н/д</x:v>
      </x:c>
      <x:c r="V267" s="21" t="str">
        <x:f>IF(J267="Рассчитано",T267*U267,"н/д")</x:f>
        <x:v>н/д</x:v>
      </x:c>
      <x:c r="W267" s="21" t="str">
        <x:f>IF(J267="Рассчитано",T267*M267,"н/д")</x:f>
        <x:v>н/д</x:v>
      </x:c>
      <x:c r="X267" s="21" t="str">
        <x:f>IF(J267="Рассчитано",V267-W267,"н/д")</x:f>
        <x:v>н/д</x:v>
      </x:c>
      <x:c r="Y267" s="27" t="str">
        <x:f>IF(J267="Рассчитано",IF(V267&gt;0,G267/V267,"н/д"),"н/д")</x:f>
        <x:v>н/д</x:v>
      </x:c>
      <x:c r="Z267" s="21" t="str">
        <x:f>"н/д"</x:f>
        <x:v>н/д</x:v>
      </x:c>
      <x:c r="AA267" s="21" t="str">
        <x:f>"н/д"</x:f>
        <x:v>н/д</x:v>
      </x:c>
      <x:c r="AB267" s="21" t="str">
        <x:f>"н/д"</x:f>
        <x:v>н/д</x:v>
      </x:c>
      <x:c r="AC267" s="21" t="str">
        <x:f>IF(AND(J267="Рассчитано",T267&gt;0,R267&lt;100),(W267+P267+Q267)/(T267*(1-R267/100)),"н/д")</x:f>
        <x:v>н/д</x:v>
      </x:c>
      <x:c r="AD267" s="10" t="str">
        <x:f>IF(ISNUMBER(G267),IF(G267&lt;0,"Убыток",IF(G267=0,"Без прибыли","Прибыль &gt; 0")),"Не оценён")</x:f>
        <x:v>Не оценён</x:v>
      </x:c>
      <x:c r="AE267" s="13" t="str">
        <x:f>IF(J267="Рассчитано","Выручка "&amp;TEXT(V267,"0.00")&amp;" - себестоимость "&amp;TEXT(W267,"0.00")&amp;" - комиссия "&amp;TEXT(V267*R267/100,"0.00")&amp;" - доставка "&amp;TEXT(P267,"0.00")&amp;" - прочие "&amp;TEXT(Q267,"0.00")&amp;" = "&amp;TEXT(G267,"0.00")&amp;" "&amp;L267,"Введите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7" s="24" t="n">
        <x:v>25.560288278834413</x:v>
      </x:c>
      <x:c r="AG267" s="37" t="n">
        <x:v>27</x:v>
      </x:c>
      <x:c r="AH267" s="37" t="n">
        <x:v>0</x:v>
      </x:c>
      <x:c r="AI267" s="30" t="n">
        <x:v>46266</x:v>
      </x:c>
      <x:c r="AJ267" s="37" t="n">
        <x:v>1</x:v>
      </x:c>
      <x:c r="AK267" s="10" t="str">
        <x:v>минимум</x:v>
      </x:c>
      <x:c r="AL267" s="32" t="n">
        <x:v>89.82910253382286</x:v>
      </x:c>
      <x:c r="AM267" s="13" t="str">
        <x:v>Остаток на начало сентября; Резервы неизвестны; Нет ежедневных данных доступности. Запас выше прогноза на 90 дней</x:v>
      </x:c>
      <x:c r="AN267" s="13" t="str">
        <x:v>Проверить свободный остаток и установить цену для B2B</x:v>
      </x:c>
      <x:c r="AO267" s="13" t="str">
        <x:v>Остаток 27; прогноз 90 дней 25.56; избыток 1 шт. Будущие поступления не выставляются на продажу. Остаток на начало сентября: требуется актуализация.</x:v>
      </x:c>
      <x:c r="AP267" s="13" t="str">
        <x:v>["category_missing", "daily_stockout_data_missing", "new_order_lead_time_unknown", "reservations_unknown", "stale_stock"]</x:v>
      </x:c>
      <x:c r="AQ267" s="10" t="str">
        <x:v>IEK:030200817_</x:v>
      </x:c>
      <x:c r="AR267" s="24" t="n">
        <x:v>1</x:v>
      </x:c>
      <x:c r="AS267" s="24" t="n">
        <x:v>0</x:v>
      </x:c>
      <x:c r="AT267" s="24" t="n">
        <x:v>0</x:v>
      </x:c>
    </x:row>
    <x:row r="268" ht="64" customHeight="1">
      <x:c r="A268" s="11" t="str">
        <x:v>IEK</x:v>
      </x:c>
      <x:c r="B268" s="33" t="str">
        <x:v>030200820_</x:v>
      </x:c>
      <x:c r="C268" s="33" t="str">
        <x:v>BR-M22-K45</x:v>
      </x:c>
      <x:c r="D268" s="12" t="str">
        <x:v>Рамка 2-мест. "BRITE" темная бронза (1/100)</x:v>
      </x:c>
      <x:c r="E268" s="11" t="str">
        <x:v>шт</x:v>
      </x:c>
      <x:c r="F268" s="35" t="n">
        <x:f>MAX(0,ROUNDDOWN((AG268-AF268)/AR268+0.000000001,0)*AR268)</x:f>
        <x:v>25</x:v>
      </x:c>
      <x:c r="G268" s="20" t="str">
        <x:f>IF(J268="Рассчитано",V268*(1-R268/100)-W268-P268-Q268,"н/д")</x:f>
        <x:v>н/д</x:v>
      </x:c>
      <x:c r="H268" s="12" t="str">
        <x:v>Высокий</x:v>
      </x:c>
      <x:c r="I268" s="12" t="str">
        <x:v>Средний</x:v>
      </x:c>
      <x:c r="J268" s="12" t="str">
        <x:f>IF(L268="","Укажите валюту",IF(NOT(ISNUMBER(K268)),"Укажите объём",IF(K268&lt;=0,"Укажите объём",IF(K268&gt;F268,"Объём выше излишка",IF(COUNT(M268:O268)&lt;3,"Нужны цены",IF(COUNT(P268:R268)&lt;3,"Нужны расходы",IF(OR(M268&lt;0,N268&lt;0,O268&lt;0,O268&gt;100,P268&lt;0,Q268&lt;0,R268&lt;0,R268&gt;100),"Проверьте значения","Рассчитано")))))))</x:f>
        <x:v>Нужны цены</x:v>
      </x:c>
      <x:c r="K268" s="36" t="n">
        <x:v>25</x:v>
      </x:c>
      <x:c r="L268" s="19" t="str">
        <x:v>KZT</x:v>
      </x:c>
      <x:c r="M268" s="22"/>
      <x:c r="N268" s="22"/>
      <x:c r="O268" s="28"/>
      <x:c r="P268" s="22"/>
      <x:c r="Q268" s="22"/>
      <x:c r="R268" s="28"/>
      <x:c r="S268" s="22"/>
      <x:c r="T268" s="35" t="n">
        <x:f>K268</x:f>
        <x:v>25</x:v>
      </x:c>
      <x:c r="U268" s="20" t="str">
        <x:f>IF(J268="Рассчитано",N268*(1-O268/100),"н/д")</x:f>
        <x:v>н/д</x:v>
      </x:c>
      <x:c r="V268" s="20" t="str">
        <x:f>IF(J268="Рассчитано",T268*U268,"н/д")</x:f>
        <x:v>н/д</x:v>
      </x:c>
      <x:c r="W268" s="20" t="str">
        <x:f>IF(J268="Рассчитано",T268*M268,"н/д")</x:f>
        <x:v>н/д</x:v>
      </x:c>
      <x:c r="X268" s="20" t="str">
        <x:f>IF(J268="Рассчитано",V268-W268,"н/д")</x:f>
        <x:v>н/д</x:v>
      </x:c>
      <x:c r="Y268" s="26" t="str">
        <x:f>IF(J268="Рассчитано",IF(V268&gt;0,G268/V268,"н/д"),"н/д")</x:f>
        <x:v>н/д</x:v>
      </x:c>
      <x:c r="Z268" s="20" t="str">
        <x:f>"н/д"</x:f>
        <x:v>н/д</x:v>
      </x:c>
      <x:c r="AA268" s="20" t="str">
        <x:f>"н/д"</x:f>
        <x:v>н/д</x:v>
      </x:c>
      <x:c r="AB268" s="20" t="str">
        <x:f>"н/д"</x:f>
        <x:v>н/д</x:v>
      </x:c>
      <x:c r="AC268" s="20" t="str">
        <x:f>IF(AND(J268="Рассчитано",T268&gt;0,R268&lt;100),(W268+P268+Q268)/(T268*(1-R268/100)),"н/д")</x:f>
        <x:v>н/д</x:v>
      </x:c>
      <x:c r="AD268" s="11" t="str">
        <x:f>IF(ISNUMBER(G268),IF(G268&lt;0,"Убыток",IF(G268=0,"Без прибыли","Прибыль &gt; 0")),"Не оценён")</x:f>
        <x:v>Не оценён</x:v>
      </x:c>
      <x:c r="AE268" s="12" t="str">
        <x:f>IF(J268="Рассчитано","Выручка "&amp;TEXT(V268,"0.00")&amp;" - себестоимость "&amp;TEXT(W268,"0.00")&amp;" - комиссия "&amp;TEXT(V268*R268/100,"0.00")&amp;" - доставка "&amp;TEXT(P268,"0.00")&amp;" - прочие "&amp;TEXT(Q268,"0.00")&amp;" = "&amp;TEXT(G268,"0.00")&amp;" "&amp;L268,"Введите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8" s="23" t="n">
        <x:v>64.63265786100801</x:v>
      </x:c>
      <x:c r="AG268" s="35" t="n">
        <x:v>90</x:v>
      </x:c>
      <x:c r="AH268" s="35" t="n">
        <x:v>0</x:v>
      </x:c>
      <x:c r="AI268" s="29" t="n">
        <x:v>46266</x:v>
      </x:c>
      <x:c r="AJ268" s="35" t="n">
        <x:v>1</x:v>
      </x:c>
      <x:c r="AK268" s="11" t="str">
        <x:v>минимум</x:v>
      </x:c>
      <x:c r="AL268" s="31" t="n">
        <x:v>118.41576856966735</x:v>
      </x:c>
      <x:c r="AM26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68" s="12" t="str">
        <x:v>Проверить свободный остаток и установить цену для B2B</x:v>
      </x:c>
      <x:c r="AO268" s="12" t="str">
        <x:v>Остаток 90; прогноз 90 дней 64.63; избыток 25 шт. Будущие поступления не выставляются на продажу. Остаток на начало сентября: требуется актуализация.</x:v>
      </x:c>
      <x:c r="AP268" s="12" t="str">
        <x:v>["category_missing", "daily_stockout_data_missing", "large_orders_detected", "new_order_lead_time_unknown", "reservations_unknown", "stale_stock", "transaction_month_mismatch"]</x:v>
      </x:c>
      <x:c r="AQ268" s="11" t="str">
        <x:v>IEK:030200820_</x:v>
      </x:c>
      <x:c r="AR268" s="23" t="n">
        <x:v>1</x:v>
      </x:c>
      <x:c r="AS268" s="23" t="n">
        <x:v>0</x:v>
      </x:c>
      <x:c r="AT268" s="23" t="n">
        <x:v>0</x:v>
      </x:c>
    </x:row>
    <x:row r="269" ht="64" customHeight="1">
      <x:c r="A269" s="10" t="str">
        <x:v>IEK</x:v>
      </x:c>
      <x:c r="B269" s="34" t="str">
        <x:v>030200822_</x:v>
      </x:c>
      <x:c r="C269" s="34" t="str">
        <x:v>BR-M42-K45</x:v>
      </x:c>
      <x:c r="D269" s="13" t="str">
        <x:v>Рамка 4-мест. "BRITE" темная бронза (1/100)</x:v>
      </x:c>
      <x:c r="E269" s="10" t="str">
        <x:v>шт</x:v>
      </x:c>
      <x:c r="F269" s="37" t="n">
        <x:f>MAX(0,ROUNDDOWN((AG269-AF269)/AR269+0.000000001,0)*AR269)</x:f>
        <x:v>17</x:v>
      </x:c>
      <x:c r="G269" s="21" t="str">
        <x:f>IF(J269="Рассчитано",V269*(1-R269/100)-W269-P269-Q269,"н/д")</x:f>
        <x:v>н/д</x:v>
      </x:c>
      <x:c r="H269" s="13" t="str">
        <x:v>Высокий</x:v>
      </x:c>
      <x:c r="I269" s="13" t="str">
        <x:v>Высокий</x:v>
      </x:c>
      <x:c r="J269" s="13" t="str">
        <x:f>IF(L269="","Укажите валюту",IF(NOT(ISNUMBER(K269)),"Укажите объём",IF(K269&lt;=0,"Укажите объём",IF(K269&gt;F269,"Объём выше излишка",IF(COUNT(M269:O269)&lt;3,"Нужны цены",IF(COUNT(P269:R269)&lt;3,"Нужны расходы",IF(OR(M269&lt;0,N269&lt;0,O269&lt;0,O269&gt;100,P269&lt;0,Q269&lt;0,R269&lt;0,R269&gt;100),"Проверьте значения","Рассчитано")))))))</x:f>
        <x:v>Нужны цены</x:v>
      </x:c>
      <x:c r="K269" s="36" t="n">
        <x:v>17</x:v>
      </x:c>
      <x:c r="L269" s="19" t="str">
        <x:v>KZT</x:v>
      </x:c>
      <x:c r="M269" s="22"/>
      <x:c r="N269" s="22"/>
      <x:c r="O269" s="28"/>
      <x:c r="P269" s="22"/>
      <x:c r="Q269" s="22"/>
      <x:c r="R269" s="28"/>
      <x:c r="S269" s="22"/>
      <x:c r="T269" s="37" t="n">
        <x:f>K269</x:f>
        <x:v>17</x:v>
      </x:c>
      <x:c r="U269" s="21" t="str">
        <x:f>IF(J269="Рассчитано",N269*(1-O269/100),"н/д")</x:f>
        <x:v>н/д</x:v>
      </x:c>
      <x:c r="V269" s="21" t="str">
        <x:f>IF(J269="Рассчитано",T269*U269,"н/д")</x:f>
        <x:v>н/д</x:v>
      </x:c>
      <x:c r="W269" s="21" t="str">
        <x:f>IF(J269="Рассчитано",T269*M269,"н/д")</x:f>
        <x:v>н/д</x:v>
      </x:c>
      <x:c r="X269" s="21" t="str">
        <x:f>IF(J269="Рассчитано",V269-W269,"н/д")</x:f>
        <x:v>н/д</x:v>
      </x:c>
      <x:c r="Y269" s="27" t="str">
        <x:f>IF(J269="Рассчитано",IF(V269&gt;0,G269/V269,"н/д"),"н/д")</x:f>
        <x:v>н/д</x:v>
      </x:c>
      <x:c r="Z269" s="21" t="str">
        <x:f>"н/д"</x:f>
        <x:v>н/д</x:v>
      </x:c>
      <x:c r="AA269" s="21" t="str">
        <x:f>"н/д"</x:f>
        <x:v>н/д</x:v>
      </x:c>
      <x:c r="AB269" s="21" t="str">
        <x:f>"н/д"</x:f>
        <x:v>н/д</x:v>
      </x:c>
      <x:c r="AC269" s="21" t="str">
        <x:f>IF(AND(J269="Рассчитано",T269&gt;0,R269&lt;100),(W269+P269+Q269)/(T269*(1-R269/100)),"н/д")</x:f>
        <x:v>н/д</x:v>
      </x:c>
      <x:c r="AD269" s="10" t="str">
        <x:f>IF(ISNUMBER(G269),IF(G269&lt;0,"Убыток",IF(G269=0,"Без прибыли","Прибыль &gt; 0")),"Не оценён")</x:f>
        <x:v>Не оценён</x:v>
      </x:c>
      <x:c r="AE269" s="13" t="str">
        <x:f>IF(J269="Рассчитано","Выручка "&amp;TEXT(V269,"0.00")&amp;" - себестоимость "&amp;TEXT(W269,"0.00")&amp;" - комиссия "&amp;TEXT(V269*R269/100,"0.00")&amp;" - доставка "&amp;TEXT(P269,"0.00")&amp;" - прочие "&amp;TEXT(Q269,"0.00")&amp;" = "&amp;TEXT(G269,"0.00")&amp;" "&amp;L269,"Введите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9" s="24" t="n">
        <x:v>8.294482881690147</x:v>
      </x:c>
      <x:c r="AG269" s="37" t="n">
        <x:v>26</x:v>
      </x:c>
      <x:c r="AH269" s="37" t="n">
        <x:v>0</x:v>
      </x:c>
      <x:c r="AI269" s="30" t="n">
        <x:v>46266</x:v>
      </x:c>
      <x:c r="AJ269" s="37" t="n">
        <x:v>1</x:v>
      </x:c>
      <x:c r="AK269" s="10" t="str">
        <x:v>минимум</x:v>
      </x:c>
      <x:c r="AL269" s="32" t="n">
        <x:v>266.56496998795694</x:v>
      </x:c>
      <x:c r="AM26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69" s="13" t="str">
        <x:v>Проверить свободный остаток и установить цену для B2B</x:v>
      </x:c>
      <x:c r="AO269" s="13" t="str">
        <x:v>Остаток 26; прогноз 90 дней 8.29; избыток 17 шт. Будущие поступления не выставляются на продажу. Остаток на начало сентября: требуется актуализация.</x:v>
      </x:c>
      <x:c r="AP269" s="13" t="str">
        <x:v>["category_missing", "daily_stockout_data_missing", "new_order_lead_time_unknown", "reservations_unknown", "stale_stock"]</x:v>
      </x:c>
      <x:c r="AQ269" s="10" t="str">
        <x:v>IEK:030200822_</x:v>
      </x:c>
      <x:c r="AR269" s="24" t="n">
        <x:v>1</x:v>
      </x:c>
      <x:c r="AS269" s="24" t="n">
        <x:v>0</x:v>
      </x:c>
      <x:c r="AT269" s="24" t="n">
        <x:v>0</x:v>
      </x:c>
    </x:row>
    <x:row r="270" ht="64" customHeight="1">
      <x:c r="A270" s="11" t="str">
        <x:v>IEK</x:v>
      </x:c>
      <x:c r="B270" s="33" t="str">
        <x:v>030200823_</x:v>
      </x:c>
      <x:c r="C270" s="33" t="str">
        <x:v>BR-V22-0-10-K45</x:v>
      </x:c>
      <x:c r="D270" s="12" t="str">
        <x:v>Выкл 2-кл. прох. 10А б/рамки "BRITE" темная бронза (1/100)</x:v>
      </x:c>
      <x:c r="E270" s="11" t="str">
        <x:v>шт</x:v>
      </x:c>
      <x:c r="F270" s="35" t="n">
        <x:f>MAX(0,ROUNDDOWN((AG270-AF270)/AR270+0.000000001,0)*AR270)</x:f>
        <x:v>19</x:v>
      </x:c>
      <x:c r="G270" s="20" t="str">
        <x:f>IF(J270="Рассчитано",V270*(1-R270/100)-W270-P270-Q270,"н/д")</x:f>
        <x:v>н/д</x:v>
      </x:c>
      <x:c r="H270" s="12" t="str">
        <x:v>Высокий</x:v>
      </x:c>
      <x:c r="I270" s="12" t="str">
        <x:v>Высокий</x:v>
      </x:c>
      <x:c r="J270" s="12" t="str">
        <x:f>IF(L270="","Укажите валюту",IF(NOT(ISNUMBER(K270)),"Укажите объём",IF(K270&lt;=0,"Укажите объём",IF(K270&gt;F270,"Объём выше излишка",IF(COUNT(M270:O270)&lt;3,"Нужны цены",IF(COUNT(P270:R270)&lt;3,"Нужны расходы",IF(OR(M270&lt;0,N270&lt;0,O270&lt;0,O270&gt;100,P270&lt;0,Q270&lt;0,R270&lt;0,R270&gt;100),"Проверьте значения","Рассчитано")))))))</x:f>
        <x:v>Нужны цены</x:v>
      </x:c>
      <x:c r="K270" s="36" t="n">
        <x:v>19</x:v>
      </x:c>
      <x:c r="L270" s="19" t="str">
        <x:v>KZT</x:v>
      </x:c>
      <x:c r="M270" s="22"/>
      <x:c r="N270" s="22"/>
      <x:c r="O270" s="28"/>
      <x:c r="P270" s="22"/>
      <x:c r="Q270" s="22"/>
      <x:c r="R270" s="28"/>
      <x:c r="S270" s="22"/>
      <x:c r="T270" s="35" t="n">
        <x:f>K270</x:f>
        <x:v>19</x:v>
      </x:c>
      <x:c r="U270" s="20" t="str">
        <x:f>IF(J270="Рассчитано",N270*(1-O270/100),"н/д")</x:f>
        <x:v>н/д</x:v>
      </x:c>
      <x:c r="V270" s="20" t="str">
        <x:f>IF(J270="Рассчитано",T270*U270,"н/д")</x:f>
        <x:v>н/д</x:v>
      </x:c>
      <x:c r="W270" s="20" t="str">
        <x:f>IF(J270="Рассчитано",T270*M270,"н/д")</x:f>
        <x:v>н/д</x:v>
      </x:c>
      <x:c r="X270" s="20" t="str">
        <x:f>IF(J270="Рассчитано",V270-W270,"н/д")</x:f>
        <x:v>н/д</x:v>
      </x:c>
      <x:c r="Y270" s="26" t="str">
        <x:f>IF(J270="Рассчитано",IF(V270&gt;0,G270/V270,"н/д"),"н/д")</x:f>
        <x:v>н/д</x:v>
      </x:c>
      <x:c r="Z270" s="20" t="str">
        <x:f>"н/д"</x:f>
        <x:v>н/д</x:v>
      </x:c>
      <x:c r="AA270" s="20" t="str">
        <x:f>"н/д"</x:f>
        <x:v>н/д</x:v>
      </x:c>
      <x:c r="AB270" s="20" t="str">
        <x:f>"н/д"</x:f>
        <x:v>н/д</x:v>
      </x:c>
      <x:c r="AC270" s="20" t="str">
        <x:f>IF(AND(J270="Рассчитано",T270&gt;0,R270&lt;100),(W270+P270+Q270)/(T270*(1-R270/100)),"н/д")</x:f>
        <x:v>н/д</x:v>
      </x:c>
      <x:c r="AD270" s="11" t="str">
        <x:f>IF(ISNUMBER(G270),IF(G270&lt;0,"Убыток",IF(G270=0,"Без прибыли","Прибыль &gt; 0")),"Не оценён")</x:f>
        <x:v>Не оценён</x:v>
      </x:c>
      <x:c r="AE270" s="12" t="str">
        <x:f>IF(J270="Рассчитано","Выручка "&amp;TEXT(V270,"0.00")&amp;" - себестоимость "&amp;TEXT(W270,"0.00")&amp;" - комиссия "&amp;TEXT(V270*R270/100,"0.00")&amp;" - доставка "&amp;TEXT(P270,"0.00")&amp;" - прочие "&amp;TEXT(Q270,"0.00")&amp;" = "&amp;TEXT(G270,"0.00")&amp;" "&amp;L270,"Введите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0" s="23" t="n">
        <x:v>7.408065865264739</x:v>
      </x:c>
      <x:c r="AG270" s="35" t="n">
        <x:v>27</x:v>
      </x:c>
      <x:c r="AH270" s="35" t="n">
        <x:v>0</x:v>
      </x:c>
      <x:c r="AI270" s="29" t="n">
        <x:v>46266</x:v>
      </x:c>
      <x:c r="AJ270" s="35" t="n">
        <x:v>1</x:v>
      </x:c>
      <x:c r="AK270" s="11" t="str">
        <x:v>минимум</x:v>
      </x:c>
      <x:c r="AL270" s="31" t="n">
        <x:v>309.9402459904334</x:v>
      </x:c>
      <x:c r="AM27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70" s="12" t="str">
        <x:v>Проверить свободный остаток и установить цену для B2B</x:v>
      </x:c>
      <x:c r="AO270" s="12" t="str">
        <x:v>Остаток 27; прогноз 90 дней 7.41; избыток 19 шт. Будущие поступления не выставляются на продажу. Остаток на начало сентября: требуется актуализация.</x:v>
      </x:c>
      <x:c r="AP270" s="12" t="str">
        <x:v>["category_missing", "daily_stockout_data_missing", "large_orders_detected", "new_order_lead_time_unknown", "reservations_unknown", "stale_stock"]</x:v>
      </x:c>
      <x:c r="AQ270" s="11" t="str">
        <x:v>IEK:030200823_</x:v>
      </x:c>
      <x:c r="AR270" s="23" t="n">
        <x:v>1</x:v>
      </x:c>
      <x:c r="AS270" s="23" t="n">
        <x:v>0</x:v>
      </x:c>
      <x:c r="AT270" s="23" t="n">
        <x:v>0</x:v>
      </x:c>
    </x:row>
    <x:row r="271" ht="64" customHeight="1">
      <x:c r="A271" s="10" t="str">
        <x:v>IEK</x:v>
      </x:c>
      <x:c r="B271" s="34" t="str">
        <x:v>030200824_</x:v>
      </x:c>
      <x:c r="C271" s="34" t="str">
        <x:v>BR-V30-0-10-K45</x:v>
      </x:c>
      <x:c r="D271" s="13" t="str">
        <x:v>Выкл 3-кл. 10А б/рамки "BRITE" темная бронза (1/100)</x:v>
      </x:c>
      <x:c r="E271" s="10" t="str">
        <x:v>шт</x:v>
      </x:c>
      <x:c r="F271" s="37" t="n">
        <x:f>MAX(0,ROUNDDOWN((AG271-AF271)/AR271+0.000000001,0)*AR271)</x:f>
        <x:v>157</x:v>
      </x:c>
      <x:c r="G271" s="21" t="str">
        <x:f>IF(J271="Рассчитано",V271*(1-R271/100)-W271-P271-Q271,"н/д")</x:f>
        <x:v>н/д</x:v>
      </x:c>
      <x:c r="H271" s="13" t="str">
        <x:v>Высокий</x:v>
      </x:c>
      <x:c r="I271" s="13" t="str">
        <x:v>Высокий</x:v>
      </x:c>
      <x:c r="J271" s="13" t="str">
        <x:f>IF(L271="","Укажите валюту",IF(NOT(ISNUMBER(K271)),"Укажите объём",IF(K271&lt;=0,"Укажите объём",IF(K271&gt;F271,"Объём выше излишка",IF(COUNT(M271:O271)&lt;3,"Нужны цены",IF(COUNT(P271:R271)&lt;3,"Нужны расходы",IF(OR(M271&lt;0,N271&lt;0,O271&lt;0,O271&gt;100,P271&lt;0,Q271&lt;0,R271&lt;0,R271&gt;100),"Проверьте значения","Рассчитано")))))))</x:f>
        <x:v>Нужны цены</x:v>
      </x:c>
      <x:c r="K271" s="36" t="n">
        <x:v>157</x:v>
      </x:c>
      <x:c r="L271" s="19" t="str">
        <x:v>KZT</x:v>
      </x:c>
      <x:c r="M271" s="22"/>
      <x:c r="N271" s="22"/>
      <x:c r="O271" s="28"/>
      <x:c r="P271" s="22"/>
      <x:c r="Q271" s="22"/>
      <x:c r="R271" s="28"/>
      <x:c r="S271" s="22"/>
      <x:c r="T271" s="37" t="n">
        <x:f>K271</x:f>
        <x:v>157</x:v>
      </x:c>
      <x:c r="U271" s="21" t="str">
        <x:f>IF(J271="Рассчитано",N271*(1-O271/100),"н/д")</x:f>
        <x:v>н/д</x:v>
      </x:c>
      <x:c r="V271" s="21" t="str">
        <x:f>IF(J271="Рассчитано",T271*U271,"н/д")</x:f>
        <x:v>н/д</x:v>
      </x:c>
      <x:c r="W271" s="21" t="str">
        <x:f>IF(J271="Рассчитано",T271*M271,"н/д")</x:f>
        <x:v>н/д</x:v>
      </x:c>
      <x:c r="X271" s="21" t="str">
        <x:f>IF(J271="Рассчитано",V271-W271,"н/д")</x:f>
        <x:v>н/д</x:v>
      </x:c>
      <x:c r="Y271" s="27" t="str">
        <x:f>IF(J271="Рассчитано",IF(V271&gt;0,G271/V271,"н/д"),"н/д")</x:f>
        <x:v>н/д</x:v>
      </x:c>
      <x:c r="Z271" s="21" t="str">
        <x:f>"н/д"</x:f>
        <x:v>н/д</x:v>
      </x:c>
      <x:c r="AA271" s="21" t="str">
        <x:f>"н/д"</x:f>
        <x:v>н/д</x:v>
      </x:c>
      <x:c r="AB271" s="21" t="str">
        <x:f>"н/д"</x:f>
        <x:v>н/д</x:v>
      </x:c>
      <x:c r="AC271" s="21" t="str">
        <x:f>IF(AND(J271="Рассчитано",T271&gt;0,R271&lt;100),(W271+P271+Q271)/(T271*(1-R271/100)),"н/д")</x:f>
        <x:v>н/д</x:v>
      </x:c>
      <x:c r="AD271" s="10" t="str">
        <x:f>IF(ISNUMBER(G271),IF(G271&lt;0,"Убыток",IF(G271=0,"Без прибыли","Прибыль &gt; 0")),"Не оценён")</x:f>
        <x:v>Не оценён</x:v>
      </x:c>
      <x:c r="AE271" s="13" t="str">
        <x:f>IF(J271="Рассчитано","Выручка "&amp;TEXT(V271,"0.00")&amp;" - себестоимость "&amp;TEXT(W271,"0.00")&amp;" - комиссия "&amp;TEXT(V271*R271/100,"0.00")&amp;" - доставка "&amp;TEXT(P271,"0.00")&amp;" - прочие "&amp;TEXT(Q271,"0.00")&amp;" = "&amp;TEXT(G271,"0.00")&amp;" "&amp;L271,"Введите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1" s="24" t="n">
        <x:v>3.420898751977271</x:v>
      </x:c>
      <x:c r="AG271" s="37" t="n">
        <x:v>161</x:v>
      </x:c>
      <x:c r="AH271" s="37" t="n">
        <x:v>0</x:v>
      </x:c>
      <x:c r="AI271" s="30" t="n">
        <x:v>46266</x:v>
      </x:c>
      <x:c r="AJ271" s="37" t="n">
        <x:v>1</x:v>
      </x:c>
      <x:c r="AK271" s="10" t="str">
        <x:v>минимум</x:v>
      </x:c>
      <x:c r="AL271" s="32" t="n">
        <x:v>4002.2544822401564</x:v>
      </x:c>
      <x:c r="AM27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71" s="13" t="str">
        <x:v>Проверить свободный остаток и установить цену для B2B</x:v>
      </x:c>
      <x:c r="AO271" s="13" t="str">
        <x:v>Остаток 161; прогноз 90 дней 3.42; избыток 157 шт. Будущие поступления не выставляются на продажу. Остаток на начало сентября: требуется актуализация.</x:v>
      </x:c>
      <x:c r="AP271" s="13" t="str">
        <x:v>["category_missing", "daily_stockout_data_missing", "new_order_lead_time_unknown", "reservations_unknown", "stale_stock"]</x:v>
      </x:c>
      <x:c r="AQ271" s="10" t="str">
        <x:v>IEK:030200824_</x:v>
      </x:c>
      <x:c r="AR271" s="24" t="n">
        <x:v>1</x:v>
      </x:c>
      <x:c r="AS271" s="24" t="n">
        <x:v>0</x:v>
      </x:c>
      <x:c r="AT271" s="24" t="n">
        <x:v>0</x:v>
      </x:c>
    </x:row>
    <x:row r="272" ht="64" customHeight="1">
      <x:c r="A272" s="11" t="str">
        <x:v>IEK</x:v>
      </x:c>
      <x:c r="B272" s="33" t="str">
        <x:v>030200825_</x:v>
      </x:c>
      <x:c r="C272" s="33" t="str">
        <x:v>BR-A10-O-K45</x:v>
      </x:c>
      <x:c r="D272" s="12" t="str">
        <x:v>Роз. TV окон б/рамки "BRITE" темная бронза (1/100)</x:v>
      </x:c>
      <x:c r="E272" s="11" t="str">
        <x:v>шт</x:v>
      </x:c>
      <x:c r="F272" s="35" t="n">
        <x:f>MAX(0,ROUNDDOWN((AG272-AF272)/AR272+0.000000001,0)*AR272)</x:f>
        <x:v>91</x:v>
      </x:c>
      <x:c r="G272" s="20" t="str">
        <x:f>IF(J272="Рассчитано",V272*(1-R272/100)-W272-P272-Q272,"н/д")</x:f>
        <x:v>н/д</x:v>
      </x:c>
      <x:c r="H272" s="12" t="str">
        <x:v>Высокий</x:v>
      </x:c>
      <x:c r="I272" s="12" t="str">
        <x:v>Высокий</x:v>
      </x:c>
      <x:c r="J272" s="12" t="str">
        <x:f>IF(L272="","Укажите валюту",IF(NOT(ISNUMBER(K272)),"Укажите объём",IF(K272&lt;=0,"Укажите объём",IF(K272&gt;F272,"Объём выше излишка",IF(COUNT(M272:O272)&lt;3,"Нужны цены",IF(COUNT(P272:R272)&lt;3,"Нужны расходы",IF(OR(M272&lt;0,N272&lt;0,O272&lt;0,O272&gt;100,P272&lt;0,Q272&lt;0,R272&lt;0,R272&gt;100),"Проверьте значения","Рассчитано")))))))</x:f>
        <x:v>Нужны цены</x:v>
      </x:c>
      <x:c r="K272" s="36" t="n">
        <x:v>91</x:v>
      </x:c>
      <x:c r="L272" s="19" t="str">
        <x:v>KZT</x:v>
      </x:c>
      <x:c r="M272" s="22"/>
      <x:c r="N272" s="22"/>
      <x:c r="O272" s="28"/>
      <x:c r="P272" s="22"/>
      <x:c r="Q272" s="22"/>
      <x:c r="R272" s="28"/>
      <x:c r="S272" s="22"/>
      <x:c r="T272" s="35" t="n">
        <x:f>K272</x:f>
        <x:v>91</x:v>
      </x:c>
      <x:c r="U272" s="20" t="str">
        <x:f>IF(J272="Рассчитано",N272*(1-O272/100),"н/д")</x:f>
        <x:v>н/д</x:v>
      </x:c>
      <x:c r="V272" s="20" t="str">
        <x:f>IF(J272="Рассчитано",T272*U272,"н/д")</x:f>
        <x:v>н/д</x:v>
      </x:c>
      <x:c r="W272" s="20" t="str">
        <x:f>IF(J272="Рассчитано",T272*M272,"н/д")</x:f>
        <x:v>н/д</x:v>
      </x:c>
      <x:c r="X272" s="20" t="str">
        <x:f>IF(J272="Рассчитано",V272-W272,"н/д")</x:f>
        <x:v>н/д</x:v>
      </x:c>
      <x:c r="Y272" s="26" t="str">
        <x:f>IF(J272="Рассчитано",IF(V272&gt;0,G272/V272,"н/д"),"н/д")</x:f>
        <x:v>н/д</x:v>
      </x:c>
      <x:c r="Z272" s="20" t="str">
        <x:f>"н/д"</x:f>
        <x:v>н/д</x:v>
      </x:c>
      <x:c r="AA272" s="20" t="str">
        <x:f>"н/д"</x:f>
        <x:v>н/д</x:v>
      </x:c>
      <x:c r="AB272" s="20" t="str">
        <x:f>"н/д"</x:f>
        <x:v>н/д</x:v>
      </x:c>
      <x:c r="AC272" s="20" t="str">
        <x:f>IF(AND(J272="Рассчитано",T272&gt;0,R272&lt;100),(W272+P272+Q272)/(T272*(1-R272/100)),"н/д")</x:f>
        <x:v>н/д</x:v>
      </x:c>
      <x:c r="AD272" s="11" t="str">
        <x:f>IF(ISNUMBER(G272),IF(G272&lt;0,"Убыток",IF(G272=0,"Без прибыли","Прибыль &gt; 0")),"Не оценён")</x:f>
        <x:v>Не оценён</x:v>
      </x:c>
      <x:c r="AE272" s="12" t="str">
        <x:f>IF(J272="Рассчитано","Выручка "&amp;TEXT(V272,"0.00")&amp;" - себестоимость "&amp;TEXT(W272,"0.00")&amp;" - комиссия "&amp;TEXT(V272*R272/100,"0.00")&amp;" - доставка "&amp;TEXT(P272,"0.00")&amp;" - прочие "&amp;TEXT(Q272,"0.00")&amp;" = "&amp;TEXT(G272,"0.00")&amp;" "&amp;L272,"Введите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2" s="23" t="n">
        <x:v>1.3438722734834876</x:v>
      </x:c>
      <x:c r="AG272" s="35" t="n">
        <x:v>93</x:v>
      </x:c>
      <x:c r="AH272" s="35" t="n">
        <x:v>0</x:v>
      </x:c>
      <x:c r="AI272" s="29" t="n">
        <x:v>46266</x:v>
      </x:c>
      <x:c r="AJ272" s="35" t="n">
        <x:v>1</x:v>
      </x:c>
      <x:c r="AK272" s="11" t="str">
        <x:v>минимум</x:v>
      </x:c>
      <x:c r="AL272" s="31" t="n">
        <x:v>5884.966555133847</x:v>
      </x:c>
      <x:c r="AM27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72" s="12" t="str">
        <x:v>Проверить свободный остаток и установить цену для B2B</x:v>
      </x:c>
      <x:c r="AO272" s="12" t="str">
        <x:v>Остаток 93; прогноз 90 дней 1.34; избыток 91 шт. Будущие поступления не выставляются на продажу. Остаток на начало сентября: требуется актуализация.</x:v>
      </x:c>
      <x:c r="AP272" s="12" t="str">
        <x:v>["category_missing", "daily_stockout_data_missing", "new_order_lead_time_unknown", "reservations_unknown", "stale_stock"]</x:v>
      </x:c>
      <x:c r="AQ272" s="11" t="str">
        <x:v>IEK:030200825_</x:v>
      </x:c>
      <x:c r="AR272" s="23" t="n">
        <x:v>1</x:v>
      </x:c>
      <x:c r="AS272" s="23" t="n">
        <x:v>0</x:v>
      </x:c>
      <x:c r="AT272" s="23" t="n">
        <x:v>0</x:v>
      </x:c>
    </x:row>
    <x:row r="273" ht="64" customHeight="1">
      <x:c r="A273" s="10" t="str">
        <x:v>IEK</x:v>
      </x:c>
      <x:c r="B273" s="34" t="str">
        <x:v>030200826_</x:v>
      </x:c>
      <x:c r="C273" s="34" t="str">
        <x:v>BR-H10-K45</x:v>
      </x:c>
      <x:c r="D273" s="13" t="str">
        <x:v>Роз. HDMI б/рамки "BRITE" темная бронза (1/100)</x:v>
      </x:c>
      <x:c r="E273" s="10" t="str">
        <x:v>шт</x:v>
      </x:c>
      <x:c r="F273" s="37" t="n">
        <x:f>MAX(0,ROUNDDOWN((AG273-AF273)/AR273+0.000000001,0)*AR273)</x:f>
        <x:v>38</x:v>
      </x:c>
      <x:c r="G273" s="21" t="str">
        <x:f>IF(J273="Рассчитано",V273*(1-R273/100)-W273-P273-Q273,"н/д")</x:f>
        <x:v>н/д</x:v>
      </x:c>
      <x:c r="H273" s="13" t="str">
        <x:v>Высокий</x:v>
      </x:c>
      <x:c r="I273" s="13" t="str">
        <x:v>Высокий</x:v>
      </x:c>
      <x:c r="J273" s="13" t="str">
        <x:f>IF(L273="","Укажите валюту",IF(NOT(ISNUMBER(K273)),"Укажите объём",IF(K273&lt;=0,"Укажите объём",IF(K273&gt;F273,"Объём выше излишка",IF(COUNT(M273:O273)&lt;3,"Нужны цены",IF(COUNT(P273:R273)&lt;3,"Нужны расходы",IF(OR(M273&lt;0,N273&lt;0,O273&lt;0,O273&gt;100,P273&lt;0,Q273&lt;0,R273&lt;0,R273&gt;100),"Проверьте значения","Рассчитано")))))))</x:f>
        <x:v>Нужны цены</x:v>
      </x:c>
      <x:c r="K273" s="36" t="n">
        <x:v>38</x:v>
      </x:c>
      <x:c r="L273" s="19" t="str">
        <x:v>KZT</x:v>
      </x:c>
      <x:c r="M273" s="22"/>
      <x:c r="N273" s="22"/>
      <x:c r="O273" s="28"/>
      <x:c r="P273" s="22"/>
      <x:c r="Q273" s="22"/>
      <x:c r="R273" s="28"/>
      <x:c r="S273" s="22"/>
      <x:c r="T273" s="37" t="n">
        <x:f>K273</x:f>
        <x:v>38</x:v>
      </x:c>
      <x:c r="U273" s="21" t="str">
        <x:f>IF(J273="Рассчитано",N273*(1-O273/100),"н/д")</x:f>
        <x:v>н/д</x:v>
      </x:c>
      <x:c r="V273" s="21" t="str">
        <x:f>IF(J273="Рассчитано",T273*U273,"н/д")</x:f>
        <x:v>н/д</x:v>
      </x:c>
      <x:c r="W273" s="21" t="str">
        <x:f>IF(J273="Рассчитано",T273*M273,"н/д")</x:f>
        <x:v>н/д</x:v>
      </x:c>
      <x:c r="X273" s="21" t="str">
        <x:f>IF(J273="Рассчитано",V273-W273,"н/д")</x:f>
        <x:v>н/д</x:v>
      </x:c>
      <x:c r="Y273" s="27" t="str">
        <x:f>IF(J273="Рассчитано",IF(V273&gt;0,G273/V273,"н/д"),"н/д")</x:f>
        <x:v>н/д</x:v>
      </x:c>
      <x:c r="Z273" s="21" t="str">
        <x:f>"н/д"</x:f>
        <x:v>н/д</x:v>
      </x:c>
      <x:c r="AA273" s="21" t="str">
        <x:f>"н/д"</x:f>
        <x:v>н/д</x:v>
      </x:c>
      <x:c r="AB273" s="21" t="str">
        <x:f>"н/д"</x:f>
        <x:v>н/д</x:v>
      </x:c>
      <x:c r="AC273" s="21" t="str">
        <x:f>IF(AND(J273="Рассчитано",T273&gt;0,R273&lt;100),(W273+P273+Q273)/(T273*(1-R273/100)),"н/д")</x:f>
        <x:v>н/д</x:v>
      </x:c>
      <x:c r="AD273" s="10" t="str">
        <x:f>IF(ISNUMBER(G273),IF(G273&lt;0,"Убыток",IF(G273=0,"Без прибыли","Прибыль &gt; 0")),"Не оценён")</x:f>
        <x:v>Не оценён</x:v>
      </x:c>
      <x:c r="AE273" s="13" t="str">
        <x:f>IF(J273="Рассчитано","Выручка "&amp;TEXT(V273,"0.00")&amp;" - себестоимость "&amp;TEXT(W273,"0.00")&amp;" - комиссия "&amp;TEXT(V273*R273/100,"0.00")&amp;" - доставка "&amp;TEXT(P273,"0.00")&amp;" - прочие "&amp;TEXT(Q273,"0.00")&amp;" = "&amp;TEXT(G273,"0.00")&amp;" "&amp;L273,"Введите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3" s="24" t="n">
        <x:v>0.5252669405184482</x:v>
      </x:c>
      <x:c r="AG273" s="37" t="n">
        <x:v>39</x:v>
      </x:c>
      <x:c r="AH273" s="37" t="n">
        <x:v>0</x:v>
      </x:c>
      <x:c r="AI273" s="30" t="n">
        <x:v>46266</x:v>
      </x:c>
      <x:c r="AJ273" s="37" t="n">
        <x:v>1</x:v>
      </x:c>
      <x:c r="AK273" s="10" t="str">
        <x:v>минимум</x:v>
      </x:c>
      <x:c r="AL273" s="32" t="n">
        <x:v>6313.985546780383</x:v>
      </x:c>
      <x:c r="AM2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73" s="13" t="str">
        <x:v>Проверить свободный остаток и установить цену для B2B</x:v>
      </x:c>
      <x:c r="AO273" s="13" t="str">
        <x:v>Остаток 39; прогноз 90 дней 0.53; избыток 38 шт. Будущие поступления не выставляются на продажу. Остаток на начало сентября: требуется актуализация.</x:v>
      </x:c>
      <x:c r="AP273" s="13" t="str">
        <x:v>["category_missing", "daily_stockout_data_missing", "new_order_lead_time_unknown", "reservations_unknown", "stale_stock"]</x:v>
      </x:c>
      <x:c r="AQ273" s="10" t="str">
        <x:v>IEK:030200826_</x:v>
      </x:c>
      <x:c r="AR273" s="24" t="n">
        <x:v>1</x:v>
      </x:c>
      <x:c r="AS273" s="24" t="n">
        <x:v>0</x:v>
      </x:c>
      <x:c r="AT273" s="24" t="n">
        <x:v>0</x:v>
      </x:c>
    </x:row>
    <x:row r="274" ht="64" customHeight="1">
      <x:c r="A274" s="11" t="str">
        <x:v>IEK</x:v>
      </x:c>
      <x:c r="B274" s="33" t="str">
        <x:v>030200827_</x:v>
      </x:c>
      <x:c r="C274" s="33" t="str">
        <x:v>BR-R14-16-K10</x:v>
      </x:c>
      <x:c r="D274" s="12" t="str">
        <x:v>Роз. с з/к/ш 16А б/рамки "BRITE" бежевый (1/100)</x:v>
      </x:c>
      <x:c r="E274" s="11" t="str">
        <x:v>шт</x:v>
      </x:c>
      <x:c r="F274" s="35" t="n">
        <x:f>MAX(0,ROUNDDOWN((AG274-AF274)/AR274+0.000000001,0)*AR274)</x:f>
        <x:v>238</x:v>
      </x:c>
      <x:c r="G274" s="20" t="str">
        <x:f>IF(J274="Рассчитано",V274*(1-R274/100)-W274-P274-Q274,"н/д")</x:f>
        <x:v>н/д</x:v>
      </x:c>
      <x:c r="H274" s="12" t="str">
        <x:v>Высокий</x:v>
      </x:c>
      <x:c r="I274" s="12" t="str">
        <x:v>Средний</x:v>
      </x:c>
      <x:c r="J274" s="12" t="str">
        <x:f>IF(L274="","Укажите валюту",IF(NOT(ISNUMBER(K274)),"Укажите объём",IF(K274&lt;=0,"Укажите объём",IF(K274&gt;F274,"Объём выше излишка",IF(COUNT(M274:O274)&lt;3,"Нужны цены",IF(COUNT(P274:R274)&lt;3,"Нужны расходы",IF(OR(M274&lt;0,N274&lt;0,O274&lt;0,O274&gt;100,P274&lt;0,Q274&lt;0,R274&lt;0,R274&gt;100),"Проверьте значения","Рассчитано")))))))</x:f>
        <x:v>Нужны цены</x:v>
      </x:c>
      <x:c r="K274" s="36" t="n">
        <x:v>238</x:v>
      </x:c>
      <x:c r="L274" s="19" t="str">
        <x:v>KZT</x:v>
      </x:c>
      <x:c r="M274" s="22"/>
      <x:c r="N274" s="22"/>
      <x:c r="O274" s="28"/>
      <x:c r="P274" s="22"/>
      <x:c r="Q274" s="22"/>
      <x:c r="R274" s="28"/>
      <x:c r="S274" s="22"/>
      <x:c r="T274" s="35" t="n">
        <x:f>K274</x:f>
        <x:v>238</x:v>
      </x:c>
      <x:c r="U274" s="20" t="str">
        <x:f>IF(J274="Рассчитано",N274*(1-O274/100),"н/д")</x:f>
        <x:v>н/д</x:v>
      </x:c>
      <x:c r="V274" s="20" t="str">
        <x:f>IF(J274="Рассчитано",T274*U274,"н/д")</x:f>
        <x:v>н/д</x:v>
      </x:c>
      <x:c r="W274" s="20" t="str">
        <x:f>IF(J274="Рассчитано",T274*M274,"н/д")</x:f>
        <x:v>н/д</x:v>
      </x:c>
      <x:c r="X274" s="20" t="str">
        <x:f>IF(J274="Рассчитано",V274-W274,"н/д")</x:f>
        <x:v>н/д</x:v>
      </x:c>
      <x:c r="Y274" s="26" t="str">
        <x:f>IF(J274="Рассчитано",IF(V274&gt;0,G274/V274,"н/д"),"н/д")</x:f>
        <x:v>н/д</x:v>
      </x:c>
      <x:c r="Z274" s="20" t="str">
        <x:f>"н/д"</x:f>
        <x:v>н/д</x:v>
      </x:c>
      <x:c r="AA274" s="20" t="str">
        <x:f>"н/д"</x:f>
        <x:v>н/д</x:v>
      </x:c>
      <x:c r="AB274" s="20" t="str">
        <x:f>"н/д"</x:f>
        <x:v>н/д</x:v>
      </x:c>
      <x:c r="AC274" s="20" t="str">
        <x:f>IF(AND(J274="Рассчитано",T274&gt;0,R274&lt;100),(W274+P274+Q274)/(T274*(1-R274/100)),"н/д")</x:f>
        <x:v>н/д</x:v>
      </x:c>
      <x:c r="AD274" s="11" t="str">
        <x:f>IF(ISNUMBER(G274),IF(G274&lt;0,"Убыток",IF(G274=0,"Без прибыли","Прибыль &gt; 0")),"Не оценён")</x:f>
        <x:v>Не оценён</x:v>
      </x:c>
      <x:c r="AE274" s="12" t="str">
        <x:f>IF(J274="Рассчитано","Выручка "&amp;TEXT(V274,"0.00")&amp;" - себестоимость "&amp;TEXT(W274,"0.00")&amp;" - комиссия "&amp;TEXT(V274*R274/100,"0.00")&amp;" - доставка "&amp;TEXT(P274,"0.00")&amp;" - прочие "&amp;TEXT(Q274,"0.00")&amp;" = "&amp;TEXT(G274,"0.00")&amp;" "&amp;L274,"Введите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4" s="23" t="n">
        <x:v>389.29990600461645</x:v>
      </x:c>
      <x:c r="AG274" s="35" t="n">
        <x:v>628</x:v>
      </x:c>
      <x:c r="AH274" s="35" t="n">
        <x:v>0</x:v>
      </x:c>
      <x:c r="AI274" s="29" t="n">
        <x:v>46266</x:v>
      </x:c>
      <x:c r="AJ274" s="35" t="n">
        <x:v>1</x:v>
      </x:c>
      <x:c r="AK274" s="11" t="str">
        <x:v>минимум</x:v>
      </x:c>
      <x:c r="AL274" s="31" t="n">
        <x:v>137.1811341619174</x:v>
      </x:c>
      <x:c r="AM27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74" s="12" t="str">
        <x:v>Проверить свободный остаток и установить цену для B2B</x:v>
      </x:c>
      <x:c r="AO274" s="12" t="str">
        <x:v>Остаток 628; прогноз 90 дней 389.30; избыток 238 шт. Будущие поступления не выставляются на продажу. Остаток на начало сентября: требуется актуализация.</x:v>
      </x:c>
      <x:c r="AP274" s="12" t="str">
        <x:v>["category_missing", "daily_stockout_data_missing", "large_orders_detected", "new_order_lead_time_unknown", "reservations_unknown", "stale_stock", "transaction_month_mismatch"]</x:v>
      </x:c>
      <x:c r="AQ274" s="11" t="str">
        <x:v>IEK:030200827_</x:v>
      </x:c>
      <x:c r="AR274" s="23" t="n">
        <x:v>1</x:v>
      </x:c>
      <x:c r="AS274" s="23" t="n">
        <x:v>0</x:v>
      </x:c>
      <x:c r="AT274" s="23" t="n">
        <x:v>0</x:v>
      </x:c>
    </x:row>
    <x:row r="275" ht="64" customHeight="1">
      <x:c r="A275" s="10" t="str">
        <x:v>IEK</x:v>
      </x:c>
      <x:c r="B275" s="34" t="str">
        <x:v>030200828_</x:v>
      </x:c>
      <x:c r="C275" s="34" t="str">
        <x:v>BR-V10-0-10-K10</x:v>
      </x:c>
      <x:c r="D275" s="13" t="str">
        <x:v>Выкл 1-кл. 10А б/рамки "BRITE" бежевый (1/100)</x:v>
      </x:c>
      <x:c r="E275" s="10" t="str">
        <x:v>шт</x:v>
      </x:c>
      <x:c r="F275" s="37" t="n">
        <x:f>MAX(0,ROUNDDOWN((AG275-AF275)/AR275+0.000000001,0)*AR275)</x:f>
        <x:v>132</x:v>
      </x:c>
      <x:c r="G275" s="21" t="str">
        <x:f>IF(J275="Рассчитано",V275*(1-R275/100)-W275-P275-Q275,"н/д")</x:f>
        <x:v>н/д</x:v>
      </x:c>
      <x:c r="H275" s="13" t="str">
        <x:v>Высокий</x:v>
      </x:c>
      <x:c r="I275" s="13" t="str">
        <x:v>Средний</x:v>
      </x:c>
      <x:c r="J275" s="13" t="str">
        <x:f>IF(L275="","Укажите валюту",IF(NOT(ISNUMBER(K275)),"Укажите объём",IF(K275&lt;=0,"Укажите объём",IF(K275&gt;F275,"Объём выше излишка",IF(COUNT(M275:O275)&lt;3,"Нужны цены",IF(COUNT(P275:R275)&lt;3,"Нужны расходы",IF(OR(M275&lt;0,N275&lt;0,O275&lt;0,O275&gt;100,P275&lt;0,Q275&lt;0,R275&lt;0,R275&gt;100),"Проверьте значения","Рассчитано")))))))</x:f>
        <x:v>Нужны цены</x:v>
      </x:c>
      <x:c r="K275" s="36" t="n">
        <x:v>132</x:v>
      </x:c>
      <x:c r="L275" s="19" t="str">
        <x:v>KZT</x:v>
      </x:c>
      <x:c r="M275" s="22"/>
      <x:c r="N275" s="22"/>
      <x:c r="O275" s="28"/>
      <x:c r="P275" s="22"/>
      <x:c r="Q275" s="22"/>
      <x:c r="R275" s="28"/>
      <x:c r="S275" s="22"/>
      <x:c r="T275" s="37" t="n">
        <x:f>K275</x:f>
        <x:v>132</x:v>
      </x:c>
      <x:c r="U275" s="21" t="str">
        <x:f>IF(J275="Рассчитано",N275*(1-O275/100),"н/д")</x:f>
        <x:v>н/д</x:v>
      </x:c>
      <x:c r="V275" s="21" t="str">
        <x:f>IF(J275="Рассчитано",T275*U275,"н/д")</x:f>
        <x:v>н/д</x:v>
      </x:c>
      <x:c r="W275" s="21" t="str">
        <x:f>IF(J275="Рассчитано",T275*M275,"н/д")</x:f>
        <x:v>н/д</x:v>
      </x:c>
      <x:c r="X275" s="21" t="str">
        <x:f>IF(J275="Рассчитано",V275-W275,"н/д")</x:f>
        <x:v>н/д</x:v>
      </x:c>
      <x:c r="Y275" s="27" t="str">
        <x:f>IF(J275="Рассчитано",IF(V275&gt;0,G275/V275,"н/д"),"н/д")</x:f>
        <x:v>н/д</x:v>
      </x:c>
      <x:c r="Z275" s="21" t="str">
        <x:f>"н/д"</x:f>
        <x:v>н/д</x:v>
      </x:c>
      <x:c r="AA275" s="21" t="str">
        <x:f>"н/д"</x:f>
        <x:v>н/д</x:v>
      </x:c>
      <x:c r="AB275" s="21" t="str">
        <x:f>"н/д"</x:f>
        <x:v>н/д</x:v>
      </x:c>
      <x:c r="AC275" s="21" t="str">
        <x:f>IF(AND(J275="Рассчитано",T275&gt;0,R275&lt;100),(W275+P275+Q275)/(T275*(1-R275/100)),"н/д")</x:f>
        <x:v>н/д</x:v>
      </x:c>
      <x:c r="AD275" s="10" t="str">
        <x:f>IF(ISNUMBER(G275),IF(G275&lt;0,"Убыток",IF(G275=0,"Без прибыли","Прибыль &gt; 0")),"Не оценён")</x:f>
        <x:v>Не оценён</x:v>
      </x:c>
      <x:c r="AE275" s="13" t="str">
        <x:f>IF(J275="Рассчитано","Выручка "&amp;TEXT(V275,"0.00")&amp;" - себестоимость "&amp;TEXT(W275,"0.00")&amp;" - комиссия "&amp;TEXT(V275*R275/100,"0.00")&amp;" - доставка "&amp;TEXT(P275,"0.00")&amp;" - прочие "&amp;TEXT(Q275,"0.00")&amp;" = "&amp;TEXT(G275,"0.00")&amp;" "&amp;L275,"Введите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5" s="24" t="n">
        <x:v>130.42336245724584</x:v>
      </x:c>
      <x:c r="AG275" s="37" t="n">
        <x:v>263</x:v>
      </x:c>
      <x:c r="AH275" s="37" t="n">
        <x:v>0</x:v>
      </x:c>
      <x:c r="AI275" s="30" t="n">
        <x:v>46266</x:v>
      </x:c>
      <x:c r="AJ275" s="37" t="n">
        <x:v>1</x:v>
      </x:c>
      <x:c r="AK275" s="10" t="str">
        <x:v>минимум</x:v>
      </x:c>
      <x:c r="AL275" s="32" t="n">
        <x:v>171.48233960058752</x:v>
      </x:c>
      <x:c r="AM27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75" s="13" t="str">
        <x:v>Проверить свободный остаток и установить цену для B2B</x:v>
      </x:c>
      <x:c r="AO275" s="13" t="str">
        <x:v>Остаток 263; прогноз 90 дней 130.42; избыток 132 шт. Будущие поступления не выставляются на продажу. Остаток на начало сентября: требуется актуализация.</x:v>
      </x:c>
      <x:c r="AP275" s="13" t="str">
        <x:v>["category_missing", "daily_stockout_data_missing", "large_orders_detected", "new_order_lead_time_unknown", "reservations_unknown", "stale_stock", "transaction_month_mismatch"]</x:v>
      </x:c>
      <x:c r="AQ275" s="10" t="str">
        <x:v>IEK:030200828_</x:v>
      </x:c>
      <x:c r="AR275" s="24" t="n">
        <x:v>1</x:v>
      </x:c>
      <x:c r="AS275" s="24" t="n">
        <x:v>0</x:v>
      </x:c>
      <x:c r="AT275" s="24" t="n">
        <x:v>0</x:v>
      </x:c>
    </x:row>
    <x:row r="276" ht="64" customHeight="1">
      <x:c r="A276" s="11" t="str">
        <x:v>IEK</x:v>
      </x:c>
      <x:c r="B276" s="33" t="str">
        <x:v>030200829_</x:v>
      </x:c>
      <x:c r="C276" s="33" t="str">
        <x:v>BR-V10-1-10-K10</x:v>
      </x:c>
      <x:c r="D276" s="12" t="str">
        <x:v>Выкл 1-кл. с инд. 10А б/рамки "BRITE" бежевый (1/100)</x:v>
      </x:c>
      <x:c r="E276" s="11" t="str">
        <x:v>шт</x:v>
      </x:c>
      <x:c r="F276" s="35" t="n">
        <x:f>MAX(0,ROUNDDOWN((AG276-AF276)/AR276+0.000000001,0)*AR276)</x:f>
        <x:v>5</x:v>
      </x:c>
      <x:c r="G276" s="20" t="str">
        <x:f>IF(J276="Рассчитано",V276*(1-R276/100)-W276-P276-Q276,"н/д")</x:f>
        <x:v>н/д</x:v>
      </x:c>
      <x:c r="H276" s="12" t="str">
        <x:v>Высокий</x:v>
      </x:c>
      <x:c r="I276" s="12" t="str">
        <x:v>Высокий</x:v>
      </x:c>
      <x:c r="J276" s="12" t="str">
        <x:f>IF(L276="","Укажите валюту",IF(NOT(ISNUMBER(K276)),"Укажите объём",IF(K276&lt;=0,"Укажите объём",IF(K276&gt;F276,"Объём выше излишка",IF(COUNT(M276:O276)&lt;3,"Нужны цены",IF(COUNT(P276:R276)&lt;3,"Нужны расходы",IF(OR(M276&lt;0,N276&lt;0,O276&lt;0,O276&gt;100,P276&lt;0,Q276&lt;0,R276&lt;0,R276&gt;100),"Проверьте значения","Рассчитано")))))))</x:f>
        <x:v>Нужны цены</x:v>
      </x:c>
      <x:c r="K276" s="36" t="n">
        <x:v>5</x:v>
      </x:c>
      <x:c r="L276" s="19" t="str">
        <x:v>KZT</x:v>
      </x:c>
      <x:c r="M276" s="22"/>
      <x:c r="N276" s="22"/>
      <x:c r="O276" s="28"/>
      <x:c r="P276" s="22"/>
      <x:c r="Q276" s="22"/>
      <x:c r="R276" s="28"/>
      <x:c r="S276" s="22"/>
      <x:c r="T276" s="35" t="n">
        <x:f>K276</x:f>
        <x:v>5</x:v>
      </x:c>
      <x:c r="U276" s="20" t="str">
        <x:f>IF(J276="Рассчитано",N276*(1-O276/100),"н/д")</x:f>
        <x:v>н/д</x:v>
      </x:c>
      <x:c r="V276" s="20" t="str">
        <x:f>IF(J276="Рассчитано",T276*U276,"н/д")</x:f>
        <x:v>н/д</x:v>
      </x:c>
      <x:c r="W276" s="20" t="str">
        <x:f>IF(J276="Рассчитано",T276*M276,"н/д")</x:f>
        <x:v>н/д</x:v>
      </x:c>
      <x:c r="X276" s="20" t="str">
        <x:f>IF(J276="Рассчитано",V276-W276,"н/д")</x:f>
        <x:v>н/д</x:v>
      </x:c>
      <x:c r="Y276" s="26" t="str">
        <x:f>IF(J276="Рассчитано",IF(V276&gt;0,G276/V276,"н/д"),"н/д")</x:f>
        <x:v>н/д</x:v>
      </x:c>
      <x:c r="Z276" s="20" t="str">
        <x:f>"н/д"</x:f>
        <x:v>н/д</x:v>
      </x:c>
      <x:c r="AA276" s="20" t="str">
        <x:f>"н/д"</x:f>
        <x:v>н/д</x:v>
      </x:c>
      <x:c r="AB276" s="20" t="str">
        <x:f>"н/д"</x:f>
        <x:v>н/д</x:v>
      </x:c>
      <x:c r="AC276" s="20" t="str">
        <x:f>IF(AND(J276="Рассчитано",T276&gt;0,R276&lt;100),(W276+P276+Q276)/(T276*(1-R276/100)),"н/д")</x:f>
        <x:v>н/д</x:v>
      </x:c>
      <x:c r="AD276" s="11" t="str">
        <x:f>IF(ISNUMBER(G276),IF(G276&lt;0,"Убыток",IF(G276=0,"Без прибыли","Прибыль &gt; 0")),"Не оценён")</x:f>
        <x:v>Не оценён</x:v>
      </x:c>
      <x:c r="AE276" s="12" t="str">
        <x:f>IF(J276="Рассчитано","Выручка "&amp;TEXT(V276,"0.00")&amp;" - себестоимость "&amp;TEXT(W276,"0.00")&amp;" - комиссия "&amp;TEXT(V276*R276/100,"0.00")&amp;" - доставка "&amp;TEXT(P276,"0.00")&amp;" - прочие "&amp;TEXT(Q276,"0.00")&amp;" = "&amp;TEXT(G276,"0.00")&amp;" "&amp;L276,"Введите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6" s="23" t="n">
        <x:v>3.886155999695883</x:v>
      </x:c>
      <x:c r="AG276" s="35" t="n">
        <x:v>9</x:v>
      </x:c>
      <x:c r="AH276" s="35" t="n">
        <x:v>0</x:v>
      </x:c>
      <x:c r="AI276" s="29" t="n">
        <x:v>46266</x:v>
      </x:c>
      <x:c r="AJ276" s="35" t="n">
        <x:v>1</x:v>
      </x:c>
      <x:c r="AK276" s="11" t="str">
        <x:v>минимум</x:v>
      </x:c>
      <x:c r="AL276" s="31" t="n">
        <x:v>196.9433511138141</x:v>
      </x:c>
      <x:c r="AM27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76" s="12" t="str">
        <x:v>Проверить свободный остаток и установить цену для B2B</x:v>
      </x:c>
      <x:c r="AO276" s="12" t="str">
        <x:v>Остаток 9; прогноз 90 дней 3.89; избыток 5 шт. Будущие поступления не выставляются на продажу. Остаток на начало сентября: требуется актуализация.</x:v>
      </x:c>
      <x:c r="AP276" s="12" t="str">
        <x:v>["category_missing", "daily_stockout_data_missing", "new_order_lead_time_unknown", "reservations_unknown", "stale_stock"]</x:v>
      </x:c>
      <x:c r="AQ276" s="11" t="str">
        <x:v>IEK:030200829_</x:v>
      </x:c>
      <x:c r="AR276" s="23" t="n">
        <x:v>1</x:v>
      </x:c>
      <x:c r="AS276" s="23" t="n">
        <x:v>0</x:v>
      </x:c>
      <x:c r="AT276" s="23" t="n">
        <x:v>0</x:v>
      </x:c>
    </x:row>
    <x:row r="277" ht="64" customHeight="1">
      <x:c r="A277" s="10" t="str">
        <x:v>IEK</x:v>
      </x:c>
      <x:c r="B277" s="34" t="str">
        <x:v>030200831_</x:v>
      </x:c>
      <x:c r="C277" s="34" t="str">
        <x:v>BR-V20-1-10-K10</x:v>
      </x:c>
      <x:c r="D277" s="13" t="str">
        <x:v>Выкл 2-кл. с инд. 10А б/рамки "BRITE" бежевый (1/100)</x:v>
      </x:c>
      <x:c r="E277" s="10" t="str">
        <x:v>шт</x:v>
      </x:c>
      <x:c r="F277" s="37" t="n">
        <x:f>MAX(0,ROUNDDOWN((AG277-AF277)/AR277+0.000000001,0)*AR277)</x:f>
        <x:v>7</x:v>
      </x:c>
      <x:c r="G277" s="21" t="str">
        <x:f>IF(J277="Рассчитано",V277*(1-R277/100)-W277-P277-Q277,"н/д")</x:f>
        <x:v>н/д</x:v>
      </x:c>
      <x:c r="H277" s="13" t="str">
        <x:v>Высокий</x:v>
      </x:c>
      <x:c r="I277" s="13" t="str">
        <x:v>Высокий</x:v>
      </x:c>
      <x:c r="J277" s="13" t="str">
        <x:f>IF(L277="","Укажите валюту",IF(NOT(ISNUMBER(K277)),"Укажите объём",IF(K277&lt;=0,"Укажите объём",IF(K277&gt;F277,"Объём выше излишка",IF(COUNT(M277:O277)&lt;3,"Нужны цены",IF(COUNT(P277:R277)&lt;3,"Нужны расходы",IF(OR(M277&lt;0,N277&lt;0,O277&lt;0,O277&gt;100,P277&lt;0,Q277&lt;0,R277&lt;0,R277&gt;100),"Проверьте значения","Рассчитано")))))))</x:f>
        <x:v>Нужны цены</x:v>
      </x:c>
      <x:c r="K277" s="36" t="n">
        <x:v>7</x:v>
      </x:c>
      <x:c r="L277" s="19" t="str">
        <x:v>KZT</x:v>
      </x:c>
      <x:c r="M277" s="22"/>
      <x:c r="N277" s="22"/>
      <x:c r="O277" s="28"/>
      <x:c r="P277" s="22"/>
      <x:c r="Q277" s="22"/>
      <x:c r="R277" s="28"/>
      <x:c r="S277" s="22"/>
      <x:c r="T277" s="37" t="n">
        <x:f>K277</x:f>
        <x:v>7</x:v>
      </x:c>
      <x:c r="U277" s="21" t="str">
        <x:f>IF(J277="Рассчитано",N277*(1-O277/100),"н/д")</x:f>
        <x:v>н/д</x:v>
      </x:c>
      <x:c r="V277" s="21" t="str">
        <x:f>IF(J277="Рассчитано",T277*U277,"н/д")</x:f>
        <x:v>н/д</x:v>
      </x:c>
      <x:c r="W277" s="21" t="str">
        <x:f>IF(J277="Рассчитано",T277*M277,"н/д")</x:f>
        <x:v>н/д</x:v>
      </x:c>
      <x:c r="X277" s="21" t="str">
        <x:f>IF(J277="Рассчитано",V277-W277,"н/д")</x:f>
        <x:v>н/д</x:v>
      </x:c>
      <x:c r="Y277" s="27" t="str">
        <x:f>IF(J277="Рассчитано",IF(V277&gt;0,G277/V277,"н/д"),"н/д")</x:f>
        <x:v>н/д</x:v>
      </x:c>
      <x:c r="Z277" s="21" t="str">
        <x:f>"н/д"</x:f>
        <x:v>н/д</x:v>
      </x:c>
      <x:c r="AA277" s="21" t="str">
        <x:f>"н/д"</x:f>
        <x:v>н/д</x:v>
      </x:c>
      <x:c r="AB277" s="21" t="str">
        <x:f>"н/д"</x:f>
        <x:v>н/д</x:v>
      </x:c>
      <x:c r="AC277" s="21" t="str">
        <x:f>IF(AND(J277="Рассчитано",T277&gt;0,R277&lt;100),(W277+P277+Q277)/(T277*(1-R277/100)),"н/д")</x:f>
        <x:v>н/д</x:v>
      </x:c>
      <x:c r="AD277" s="10" t="str">
        <x:f>IF(ISNUMBER(G277),IF(G277&lt;0,"Убыток",IF(G277=0,"Без прибыли","Прибыль &gt; 0")),"Не оценён")</x:f>
        <x:v>Не оценён</x:v>
      </x:c>
      <x:c r="AE277" s="13" t="str">
        <x:f>IF(J277="Рассчитано","Выручка "&amp;TEXT(V277,"0.00")&amp;" - себестоимость "&amp;TEXT(W277,"0.00")&amp;" - комиссия "&amp;TEXT(V277*R277/100,"0.00")&amp;" - доставка "&amp;TEXT(P277,"0.00")&amp;" - прочие "&amp;TEXT(Q277,"0.00")&amp;" = "&amp;TEXT(G277,"0.00")&amp;" "&amp;L277,"Введите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7" s="24" t="n">
        <x:v>3.4399165529242293</x:v>
      </x:c>
      <x:c r="AG277" s="37" t="n">
        <x:v>11</x:v>
      </x:c>
      <x:c r="AH277" s="37" t="n">
        <x:v>0</x:v>
      </x:c>
      <x:c r="AI277" s="30" t="n">
        <x:v>46266</x:v>
      </x:c>
      <x:c r="AJ277" s="37" t="n">
        <x:v>1</x:v>
      </x:c>
      <x:c r="AK277" s="10" t="str">
        <x:v>минимум</x:v>
      </x:c>
      <x:c r="AL277" s="32" t="n">
        <x:v>271.9341947630163</x:v>
      </x:c>
      <x:c r="AM27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77" s="13" t="str">
        <x:v>Проверить свободный остаток и установить цену для B2B</x:v>
      </x:c>
      <x:c r="AO277" s="13" t="str">
        <x:v>Остаток 11; прогноз 90 дней 3.44; избыток 7 шт. Будущие поступления не выставляются на продажу. Остаток на начало сентября: требуется актуализация.</x:v>
      </x:c>
      <x:c r="AP277" s="13" t="str">
        <x:v>["category_missing", "daily_stockout_data_missing", "new_order_lead_time_unknown", "reservations_unknown", "stale_stock"]</x:v>
      </x:c>
      <x:c r="AQ277" s="10" t="str">
        <x:v>IEK:030200831_</x:v>
      </x:c>
      <x:c r="AR277" s="24" t="n">
        <x:v>1</x:v>
      </x:c>
      <x:c r="AS277" s="24" t="n">
        <x:v>0</x:v>
      </x:c>
      <x:c r="AT277" s="24" t="n">
        <x:v>0</x:v>
      </x:c>
    </x:row>
    <x:row r="278" ht="64" customHeight="1">
      <x:c r="A278" s="11" t="str">
        <x:v>IEK</x:v>
      </x:c>
      <x:c r="B278" s="33" t="str">
        <x:v>030200832_</x:v>
      </x:c>
      <x:c r="C278" s="33" t="str">
        <x:v>BR-K10-1-K10</x:v>
      </x:c>
      <x:c r="D278" s="12" t="str">
        <x:v>Роз. комп. RJ45 кат.5E б/рамки "BRITE" бежевый (1/100)</x:v>
      </x:c>
      <x:c r="E278" s="11" t="str">
        <x:v>шт</x:v>
      </x:c>
      <x:c r="F278" s="35" t="n">
        <x:f>MAX(0,ROUNDDOWN((AG278-AF278)/AR278+0.000000001,0)*AR278)</x:f>
        <x:v>8</x:v>
      </x:c>
      <x:c r="G278" s="20" t="str">
        <x:f>IF(J278="Рассчитано",V278*(1-R278/100)-W278-P278-Q278,"н/д")</x:f>
        <x:v>н/д</x:v>
      </x:c>
      <x:c r="H278" s="12" t="str">
        <x:v>Высокий</x:v>
      </x:c>
      <x:c r="I278" s="12" t="str">
        <x:v>Средний</x:v>
      </x:c>
      <x:c r="J278" s="12" t="str">
        <x:f>IF(L278="","Укажите валюту",IF(NOT(ISNUMBER(K278)),"Укажите объём",IF(K278&lt;=0,"Укажите объём",IF(K278&gt;F278,"Объём выше излишка",IF(COUNT(M278:O278)&lt;3,"Нужны цены",IF(COUNT(P278:R278)&lt;3,"Нужны расходы",IF(OR(M278&lt;0,N278&lt;0,O278&lt;0,O278&gt;100,P278&lt;0,Q278&lt;0,R278&lt;0,R278&gt;100),"Проверьте значения","Рассчитано")))))))</x:f>
        <x:v>Нужны цены</x:v>
      </x:c>
      <x:c r="K278" s="36" t="n">
        <x:v>8</x:v>
      </x:c>
      <x:c r="L278" s="19" t="str">
        <x:v>KZT</x:v>
      </x:c>
      <x:c r="M278" s="22"/>
      <x:c r="N278" s="22"/>
      <x:c r="O278" s="28"/>
      <x:c r="P278" s="22"/>
      <x:c r="Q278" s="22"/>
      <x:c r="R278" s="28"/>
      <x:c r="S278" s="22"/>
      <x:c r="T278" s="35" t="n">
        <x:f>K278</x:f>
        <x:v>8</x:v>
      </x:c>
      <x:c r="U278" s="20" t="str">
        <x:f>IF(J278="Рассчитано",N278*(1-O278/100),"н/д")</x:f>
        <x:v>н/д</x:v>
      </x:c>
      <x:c r="V278" s="20" t="str">
        <x:f>IF(J278="Рассчитано",T278*U278,"н/д")</x:f>
        <x:v>н/д</x:v>
      </x:c>
      <x:c r="W278" s="20" t="str">
        <x:f>IF(J278="Рассчитано",T278*M278,"н/д")</x:f>
        <x:v>н/д</x:v>
      </x:c>
      <x:c r="X278" s="20" t="str">
        <x:f>IF(J278="Рассчитано",V278-W278,"н/д")</x:f>
        <x:v>н/д</x:v>
      </x:c>
      <x:c r="Y278" s="26" t="str">
        <x:f>IF(J278="Рассчитано",IF(V278&gt;0,G278/V278,"н/д"),"н/д")</x:f>
        <x:v>н/д</x:v>
      </x:c>
      <x:c r="Z278" s="20" t="str">
        <x:f>"н/д"</x:f>
        <x:v>н/д</x:v>
      </x:c>
      <x:c r="AA278" s="20" t="str">
        <x:f>"н/д"</x:f>
        <x:v>н/д</x:v>
      </x:c>
      <x:c r="AB278" s="20" t="str">
        <x:f>"н/д"</x:f>
        <x:v>н/д</x:v>
      </x:c>
      <x:c r="AC278" s="20" t="str">
        <x:f>IF(AND(J278="Рассчитано",T278&gt;0,R278&lt;100),(W278+P278+Q278)/(T278*(1-R278/100)),"н/д")</x:f>
        <x:v>н/д</x:v>
      </x:c>
      <x:c r="AD278" s="11" t="str">
        <x:f>IF(ISNUMBER(G278),IF(G278&lt;0,"Убыток",IF(G278=0,"Без прибыли","Прибыль &gt; 0")),"Не оценён")</x:f>
        <x:v>Не оценён</x:v>
      </x:c>
      <x:c r="AE278" s="12" t="str">
        <x:f>IF(J278="Рассчитано","Выручка "&amp;TEXT(V278,"0.00")&amp;" - себестоимость "&amp;TEXT(W278,"0.00")&amp;" - комиссия "&amp;TEXT(V278*R278/100,"0.00")&amp;" - доставка "&amp;TEXT(P278,"0.00")&amp;" - прочие "&amp;TEXT(Q278,"0.00")&amp;" = "&amp;TEXT(G278,"0.00")&amp;" "&amp;L278,"Введите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8" s="23" t="n">
        <x:v>39.72254789335347</x:v>
      </x:c>
      <x:c r="AG278" s="35" t="n">
        <x:v>48</x:v>
      </x:c>
      <x:c r="AH278" s="35" t="n">
        <x:v>0</x:v>
      </x:c>
      <x:c r="AI278" s="29" t="n">
        <x:v>46266</x:v>
      </x:c>
      <x:c r="AJ278" s="35" t="n">
        <x:v>1</x:v>
      </x:c>
      <x:c r="AK278" s="11" t="str">
        <x:v>минимум</x:v>
      </x:c>
      <x:c r="AL278" s="31" t="n">
        <x:v>102.75978437045816</x:v>
      </x:c>
      <x:c r="AM278" s="12" t="str">
        <x:v>Остаток на начало сентября; Резервы неизвестны; Нет ежедневных данных доступности. Запас выше прогноза на 90 дней</x:v>
      </x:c>
      <x:c r="AN278" s="12" t="str">
        <x:v>Проверить свободный остаток и установить цену для B2B</x:v>
      </x:c>
      <x:c r="AO278" s="12" t="str">
        <x:v>Остаток 48; прогноз 90 дней 39.72; избыток 8 шт. Будущие поступления не выставляются на продажу. Остаток на начало сентября: требуется актуализация.</x:v>
      </x:c>
      <x:c r="AP278" s="12" t="str">
        <x:v>["category_missing", "daily_stockout_data_missing", "large_orders_detected", "new_order_lead_time_unknown", "reservations_unknown", "stale_stock"]</x:v>
      </x:c>
      <x:c r="AQ278" s="11" t="str">
        <x:v>IEK:030200832_</x:v>
      </x:c>
      <x:c r="AR278" s="23" t="n">
        <x:v>1</x:v>
      </x:c>
      <x:c r="AS278" s="23" t="n">
        <x:v>0</x:v>
      </x:c>
      <x:c r="AT278" s="23" t="n">
        <x:v>0</x:v>
      </x:c>
    </x:row>
    <x:row r="279" ht="64" customHeight="1">
      <x:c r="A279" s="10" t="str">
        <x:v>IEK</x:v>
      </x:c>
      <x:c r="B279" s="34" t="str">
        <x:v>030200834_</x:v>
      </x:c>
      <x:c r="C279" s="34" t="str">
        <x:v>BR-R21-16-K10-F</x:v>
      </x:c>
      <x:c r="D279" s="13" t="str">
        <x:v>Роз. 2-мест. с з/к 16А в сборе "BRITE" "BRITE" бежевый (1/100)</x:v>
      </x:c>
      <x:c r="E279" s="10" t="str">
        <x:v>шт</x:v>
      </x:c>
      <x:c r="F279" s="37" t="n">
        <x:f>MAX(0,ROUNDDOWN((AG279-AF279)/AR279+0.000000001,0)*AR279)</x:f>
        <x:v>2</x:v>
      </x:c>
      <x:c r="G279" s="21" t="str">
        <x:f>IF(J279="Рассчитано",V279*(1-R279/100)-W279-P279-Q279,"н/д")</x:f>
        <x:v>н/д</x:v>
      </x:c>
      <x:c r="H279" s="13" t="str">
        <x:v>Высокий</x:v>
      </x:c>
      <x:c r="I279" s="13" t="str">
        <x:v>Средний</x:v>
      </x:c>
      <x:c r="J279" s="13" t="str">
        <x:f>IF(L279="","Укажите валюту",IF(NOT(ISNUMBER(K279)),"Укажите объём",IF(K279&lt;=0,"Укажите объём",IF(K279&gt;F279,"Объём выше излишка",IF(COUNT(M279:O279)&lt;3,"Нужны цены",IF(COUNT(P279:R279)&lt;3,"Нужны расходы",IF(OR(M279&lt;0,N279&lt;0,O279&lt;0,O279&gt;100,P279&lt;0,Q279&lt;0,R279&lt;0,R279&gt;100),"Проверьте значения","Рассчитано")))))))</x:f>
        <x:v>Нужны цены</x:v>
      </x:c>
      <x:c r="K279" s="36" t="n">
        <x:v>2</x:v>
      </x:c>
      <x:c r="L279" s="19" t="str">
        <x:v>KZT</x:v>
      </x:c>
      <x:c r="M279" s="22"/>
      <x:c r="N279" s="22"/>
      <x:c r="O279" s="28"/>
      <x:c r="P279" s="22"/>
      <x:c r="Q279" s="22"/>
      <x:c r="R279" s="28"/>
      <x:c r="S279" s="22"/>
      <x:c r="T279" s="37" t="n">
        <x:f>K279</x:f>
        <x:v>2</x:v>
      </x:c>
      <x:c r="U279" s="21" t="str">
        <x:f>IF(J279="Рассчитано",N279*(1-O279/100),"н/д")</x:f>
        <x:v>н/д</x:v>
      </x:c>
      <x:c r="V279" s="21" t="str">
        <x:f>IF(J279="Рассчитано",T279*U279,"н/д")</x:f>
        <x:v>н/д</x:v>
      </x:c>
      <x:c r="W279" s="21" t="str">
        <x:f>IF(J279="Рассчитано",T279*M279,"н/д")</x:f>
        <x:v>н/д</x:v>
      </x:c>
      <x:c r="X279" s="21" t="str">
        <x:f>IF(J279="Рассчитано",V279-W279,"н/д")</x:f>
        <x:v>н/д</x:v>
      </x:c>
      <x:c r="Y279" s="27" t="str">
        <x:f>IF(J279="Рассчитано",IF(V279&gt;0,G279/V279,"н/д"),"н/д")</x:f>
        <x:v>н/д</x:v>
      </x:c>
      <x:c r="Z279" s="21" t="str">
        <x:f>"н/д"</x:f>
        <x:v>н/д</x:v>
      </x:c>
      <x:c r="AA279" s="21" t="str">
        <x:f>"н/д"</x:f>
        <x:v>н/д</x:v>
      </x:c>
      <x:c r="AB279" s="21" t="str">
        <x:f>"н/д"</x:f>
        <x:v>н/д</x:v>
      </x:c>
      <x:c r="AC279" s="21" t="str">
        <x:f>IF(AND(J279="Рассчитано",T279&gt;0,R279&lt;100),(W279+P279+Q279)/(T279*(1-R279/100)),"н/д")</x:f>
        <x:v>н/д</x:v>
      </x:c>
      <x:c r="AD279" s="10" t="str">
        <x:f>IF(ISNUMBER(G279),IF(G279&lt;0,"Убыток",IF(G279=0,"Без прибыли","Прибыль &gt; 0")),"Не оценён")</x:f>
        <x:v>Не оценён</x:v>
      </x:c>
      <x:c r="AE279" s="13" t="str">
        <x:f>IF(J279="Рассчитано","Выручка "&amp;TEXT(V279,"0.00")&amp;" - себестоимость "&amp;TEXT(W279,"0.00")&amp;" - комиссия "&amp;TEXT(V279*R279/100,"0.00")&amp;" - доставка "&amp;TEXT(P279,"0.00")&amp;" - прочие "&amp;TEXT(Q279,"0.00")&amp;" = "&amp;TEXT(G279,"0.00")&amp;" "&amp;L279,"Введите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9" s="24" t="n">
        <x:v>77.58530395366581</x:v>
      </x:c>
      <x:c r="AG279" s="37" t="n">
        <x:v>80</x:v>
      </x:c>
      <x:c r="AH279" s="37" t="n">
        <x:v>0</x:v>
      </x:c>
      <x:c r="AI279" s="30" t="n">
        <x:v>46266</x:v>
      </x:c>
      <x:c r="AJ279" s="37" t="n">
        <x:v>1</x:v>
      </x:c>
      <x:c r="AK279" s="10" t="str">
        <x:v>минимум</x:v>
      </x:c>
      <x:c r="AL279" s="32" t="n">
        <x:v>87.68585991070138</x:v>
      </x:c>
      <x:c r="AM279" s="13" t="str">
        <x:v>Остаток на начало сентября; Резервы неизвестны; Нет ежедневных данных доступности. Запас выше прогноза на 90 дней</x:v>
      </x:c>
      <x:c r="AN279" s="13" t="str">
        <x:v>Проверить свободный остаток и установить цену для B2B</x:v>
      </x:c>
      <x:c r="AO279" s="13" t="str">
        <x:v>Остаток 80; прогноз 90 дней 77.59; избыток 2 шт. Будущие поступления не выставляются на продажу. Остаток на начало сентября: требуется актуализация.</x:v>
      </x:c>
      <x:c r="AP279" s="13" t="str">
        <x:v>["category_missing", "daily_stockout_data_missing", "new_order_lead_time_unknown", "reservations_unknown", "stale_stock"]</x:v>
      </x:c>
      <x:c r="AQ279" s="10" t="str">
        <x:v>IEK:030200834_</x:v>
      </x:c>
      <x:c r="AR279" s="24" t="n">
        <x:v>1</x:v>
      </x:c>
      <x:c r="AS279" s="24" t="n">
        <x:v>0</x:v>
      </x:c>
      <x:c r="AT279" s="24" t="n">
        <x:v>0</x:v>
      </x:c>
    </x:row>
    <x:row r="280" ht="64" customHeight="1">
      <x:c r="A280" s="11" t="str">
        <x:v>IEK</x:v>
      </x:c>
      <x:c r="B280" s="33" t="str">
        <x:v>030200836_</x:v>
      </x:c>
      <x:c r="C280" s="33" t="str">
        <x:v>BR-M12-K10</x:v>
      </x:c>
      <x:c r="D280" s="12" t="str">
        <x:v>Рамка 1-мест. "BRITE" бежевый (1/100)</x:v>
      </x:c>
      <x:c r="E280" s="11" t="str">
        <x:v>шт</x:v>
      </x:c>
      <x:c r="F280" s="35" t="n">
        <x:f>MAX(0,ROUNDDOWN((AG280-AF280)/AR280+0.000000001,0)*AR280)</x:f>
        <x:v>371</x:v>
      </x:c>
      <x:c r="G280" s="20" t="str">
        <x:f>IF(J280="Рассчитано",V280*(1-R280/100)-W280-P280-Q280,"н/д")</x:f>
        <x:v>н/д</x:v>
      </x:c>
      <x:c r="H280" s="12" t="str">
        <x:v>Высокий</x:v>
      </x:c>
      <x:c r="I280" s="12" t="str">
        <x:v>Средний</x:v>
      </x:c>
      <x:c r="J280" s="12" t="str">
        <x:f>IF(L280="","Укажите валюту",IF(NOT(ISNUMBER(K280)),"Укажите объём",IF(K280&lt;=0,"Укажите объём",IF(K280&gt;F280,"Объём выше излишка",IF(COUNT(M280:O280)&lt;3,"Нужны цены",IF(COUNT(P280:R280)&lt;3,"Нужны расходы",IF(OR(M280&lt;0,N280&lt;0,O280&lt;0,O280&gt;100,P280&lt;0,Q280&lt;0,R280&lt;0,R280&gt;100),"Проверьте значения","Рассчитано")))))))</x:f>
        <x:v>Нужны цены</x:v>
      </x:c>
      <x:c r="K280" s="36" t="n">
        <x:v>371</x:v>
      </x:c>
      <x:c r="L280" s="19" t="str">
        <x:v>KZT</x:v>
      </x:c>
      <x:c r="M280" s="22"/>
      <x:c r="N280" s="22"/>
      <x:c r="O280" s="28"/>
      <x:c r="P280" s="22"/>
      <x:c r="Q280" s="22"/>
      <x:c r="R280" s="28"/>
      <x:c r="S280" s="22"/>
      <x:c r="T280" s="35" t="n">
        <x:f>K280</x:f>
        <x:v>371</x:v>
      </x:c>
      <x:c r="U280" s="20" t="str">
        <x:f>IF(J280="Рассчитано",N280*(1-O280/100),"н/д")</x:f>
        <x:v>н/д</x:v>
      </x:c>
      <x:c r="V280" s="20" t="str">
        <x:f>IF(J280="Рассчитано",T280*U280,"н/д")</x:f>
        <x:v>н/д</x:v>
      </x:c>
      <x:c r="W280" s="20" t="str">
        <x:f>IF(J280="Рассчитано",T280*M280,"н/д")</x:f>
        <x:v>н/д</x:v>
      </x:c>
      <x:c r="X280" s="20" t="str">
        <x:f>IF(J280="Рассчитано",V280-W280,"н/д")</x:f>
        <x:v>н/д</x:v>
      </x:c>
      <x:c r="Y280" s="26" t="str">
        <x:f>IF(J280="Рассчитано",IF(V280&gt;0,G280/V280,"н/д"),"н/д")</x:f>
        <x:v>н/д</x:v>
      </x:c>
      <x:c r="Z280" s="20" t="str">
        <x:f>"н/д"</x:f>
        <x:v>н/д</x:v>
      </x:c>
      <x:c r="AA280" s="20" t="str">
        <x:f>"н/д"</x:f>
        <x:v>н/д</x:v>
      </x:c>
      <x:c r="AB280" s="20" t="str">
        <x:f>"н/д"</x:f>
        <x:v>н/д</x:v>
      </x:c>
      <x:c r="AC280" s="20" t="str">
        <x:f>IF(AND(J280="Рассчитано",T280&gt;0,R280&lt;100),(W280+P280+Q280)/(T280*(1-R280/100)),"н/д")</x:f>
        <x:v>н/д</x:v>
      </x:c>
      <x:c r="AD280" s="11" t="str">
        <x:f>IF(ISNUMBER(G280),IF(G280&lt;0,"Убыток",IF(G280=0,"Без прибыли","Прибыль &gt; 0")),"Не оценён")</x:f>
        <x:v>Не оценён</x:v>
      </x:c>
      <x:c r="AE280" s="12" t="str">
        <x:f>IF(J280="Рассчитано","Выручка "&amp;TEXT(V280,"0.00")&amp;" - себестоимость "&amp;TEXT(W280,"0.00")&amp;" - комиссия "&amp;TEXT(V280*R280/100,"0.00")&amp;" - доставка "&amp;TEXT(P280,"0.00")&amp;" - прочие "&amp;TEXT(Q280,"0.00")&amp;" = "&amp;TEXT(G280,"0.00")&amp;" "&amp;L280,"Введите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0" s="23" t="n">
        <x:v>420.3650980733457</x:v>
      </x:c>
      <x:c r="AG280" s="35" t="n">
        <x:v>792</x:v>
      </x:c>
      <x:c r="AH280" s="35" t="n">
        <x:v>0</x:v>
      </x:c>
      <x:c r="AI280" s="29" t="n">
        <x:v>46266</x:v>
      </x:c>
      <x:c r="AJ280" s="35" t="n">
        <x:v>1</x:v>
      </x:c>
      <x:c r="AK280" s="11" t="str">
        <x:v>минимум</x:v>
      </x:c>
      <x:c r="AL280" s="31" t="n">
        <x:v>160.22031285525702</x:v>
      </x:c>
      <x:c r="AM28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280" s="12" t="str">
        <x:v>Проверить свободный остаток и установить цену для B2B</x:v>
      </x:c>
      <x:c r="AO280" s="12" t="str">
        <x:v>Остаток 792; прогноз 90 дней 420.37; избыток 371 шт. Будущие поступления не выставляются на продажу. Остаток на начало сентября: требуется актуализация.</x:v>
      </x:c>
      <x:c r="AP280" s="12" t="str">
        <x:v>["category_missing", "daily_stockout_data_missing", "large_orders_detected", "new_order_lead_time_unknown", "reservations_unknown", "stale_stock", "transaction_month_mismatch"]</x:v>
      </x:c>
      <x:c r="AQ280" s="11" t="str">
        <x:v>IEK:030200836_</x:v>
      </x:c>
      <x:c r="AR280" s="23" t="n">
        <x:v>1</x:v>
      </x:c>
      <x:c r="AS280" s="23" t="n">
        <x:v>0</x:v>
      </x:c>
      <x:c r="AT280" s="23" t="n">
        <x:v>0</x:v>
      </x:c>
    </x:row>
    <x:row r="281" ht="64" customHeight="1">
      <x:c r="A281" s="10" t="str">
        <x:v>IEK</x:v>
      </x:c>
      <x:c r="B281" s="34" t="str">
        <x:v>030200837_</x:v>
      </x:c>
      <x:c r="C281" s="34" t="str">
        <x:v>BR-M22-K10</x:v>
      </x:c>
      <x:c r="D281" s="13" t="str">
        <x:v>Рамка 2-мест. "BRITE" бежевый (1/100)</x:v>
      </x:c>
      <x:c r="E281" s="10" t="str">
        <x:v>шт</x:v>
      </x:c>
      <x:c r="F281" s="37" t="n">
        <x:f>MAX(0,ROUNDDOWN((AG281-AF281)/AR281+0.000000001,0)*AR281)</x:f>
        <x:v>120</x:v>
      </x:c>
      <x:c r="G281" s="21" t="str">
        <x:f>IF(J281="Рассчитано",V281*(1-R281/100)-W281-P281-Q281,"н/д")</x:f>
        <x:v>н/д</x:v>
      </x:c>
      <x:c r="H281" s="13" t="str">
        <x:v>Высокий</x:v>
      </x:c>
      <x:c r="I281" s="13" t="str">
        <x:v>Высокий</x:v>
      </x:c>
      <x:c r="J281" s="13" t="str">
        <x:f>IF(L281="","Укажите валюту",IF(NOT(ISNUMBER(K281)),"Укажите объём",IF(K281&lt;=0,"Укажите объём",IF(K281&gt;F281,"Объём выше излишка",IF(COUNT(M281:O281)&lt;3,"Нужны цены",IF(COUNT(P281:R281)&lt;3,"Нужны расходы",IF(OR(M281&lt;0,N281&lt;0,O281&lt;0,O281&gt;100,P281&lt;0,Q281&lt;0,R281&lt;0,R281&gt;100),"Проверьте значения","Рассчитано")))))))</x:f>
        <x:v>Нужны цены</x:v>
      </x:c>
      <x:c r="K281" s="36" t="n">
        <x:v>120</x:v>
      </x:c>
      <x:c r="L281" s="19" t="str">
        <x:v>KZT</x:v>
      </x:c>
      <x:c r="M281" s="22"/>
      <x:c r="N281" s="22"/>
      <x:c r="O281" s="28"/>
      <x:c r="P281" s="22"/>
      <x:c r="Q281" s="22"/>
      <x:c r="R281" s="28"/>
      <x:c r="S281" s="22"/>
      <x:c r="T281" s="37" t="n">
        <x:f>K281</x:f>
        <x:v>120</x:v>
      </x:c>
      <x:c r="U281" s="21" t="str">
        <x:f>IF(J281="Рассчитано",N281*(1-O281/100),"н/д")</x:f>
        <x:v>н/д</x:v>
      </x:c>
      <x:c r="V281" s="21" t="str">
        <x:f>IF(J281="Рассчитано",T281*U281,"н/д")</x:f>
        <x:v>н/д</x:v>
      </x:c>
      <x:c r="W281" s="21" t="str">
        <x:f>IF(J281="Рассчитано",T281*M281,"н/д")</x:f>
        <x:v>н/д</x:v>
      </x:c>
      <x:c r="X281" s="21" t="str">
        <x:f>IF(J281="Рассчитано",V281-W281,"н/д")</x:f>
        <x:v>н/д</x:v>
      </x:c>
      <x:c r="Y281" s="27" t="str">
        <x:f>IF(J281="Рассчитано",IF(V281&gt;0,G281/V281,"н/д"),"н/д")</x:f>
        <x:v>н/д</x:v>
      </x:c>
      <x:c r="Z281" s="21" t="str">
        <x:f>"н/д"</x:f>
        <x:v>н/д</x:v>
      </x:c>
      <x:c r="AA281" s="21" t="str">
        <x:f>"н/д"</x:f>
        <x:v>н/д</x:v>
      </x:c>
      <x:c r="AB281" s="21" t="str">
        <x:f>"н/д"</x:f>
        <x:v>н/д</x:v>
      </x:c>
      <x:c r="AC281" s="21" t="str">
        <x:f>IF(AND(J281="Рассчитано",T281&gt;0,R281&lt;100),(W281+P281+Q281)/(T281*(1-R281/100)),"н/д")</x:f>
        <x:v>н/д</x:v>
      </x:c>
      <x:c r="AD281" s="10" t="str">
        <x:f>IF(ISNUMBER(G281),IF(G281&lt;0,"Убыток",IF(G281=0,"Без прибыли","Прибыль &gt; 0")),"Не оценён")</x:f>
        <x:v>Не оценён</x:v>
      </x:c>
      <x:c r="AE281" s="13" t="str">
        <x:f>IF(J281="Рассчитано","Выручка "&amp;TEXT(V281,"0.00")&amp;" - себестоимость "&amp;TEXT(W281,"0.00")&amp;" - комиссия "&amp;TEXT(V281*R281/100,"0.00")&amp;" - доставка "&amp;TEXT(P281,"0.00")&amp;" - прочие "&amp;TEXT(Q281,"0.00")&amp;" = "&amp;TEXT(G281,"0.00")&amp;" "&amp;L281,"Введите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1" s="24" t="n">
        <x:v>93.41711905530386</x:v>
      </x:c>
      <x:c r="AG281" s="37" t="n">
        <x:v>214</x:v>
      </x:c>
      <x:c r="AH281" s="37" t="n">
        <x:v>0</x:v>
      </x:c>
      <x:c r="AI281" s="30" t="n">
        <x:v>46266</x:v>
      </x:c>
      <x:c r="AJ281" s="37" t="n">
        <x:v>1</x:v>
      </x:c>
      <x:c r="AK281" s="10" t="str">
        <x:v>минимум</x:v>
      </x:c>
      <x:c r="AL281" s="32" t="n">
        <x:v>194.80780272868407</x:v>
      </x:c>
      <x:c r="AM28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81" s="13" t="str">
        <x:v>Проверить свободный остаток и установить цену для B2B</x:v>
      </x:c>
      <x:c r="AO281" s="13" t="str">
        <x:v>Остаток 214; прогноз 90 дней 93.42; избыток 120 шт. Будущие поступления не выставляются на продажу. Остаток на начало сентября: требуется актуализация.</x:v>
      </x:c>
      <x:c r="AP281" s="13" t="str">
        <x:v>["category_missing", "daily_stockout_data_missing", "new_order_lead_time_unknown", "reservations_unknown", "stale_stock"]</x:v>
      </x:c>
      <x:c r="AQ281" s="10" t="str">
        <x:v>IEK:030200837_</x:v>
      </x:c>
      <x:c r="AR281" s="24" t="n">
        <x:v>1</x:v>
      </x:c>
      <x:c r="AS281" s="24" t="n">
        <x:v>0</x:v>
      </x:c>
      <x:c r="AT281" s="24" t="n">
        <x:v>0</x:v>
      </x:c>
    </x:row>
    <x:row r="282" ht="64" customHeight="1">
      <x:c r="A282" s="11" t="str">
        <x:v>IEK</x:v>
      </x:c>
      <x:c r="B282" s="33" t="str">
        <x:v>030200840_</x:v>
      </x:c>
      <x:c r="C282" s="33" t="str">
        <x:v>BR-V22-0-10-K10</x:v>
      </x:c>
      <x:c r="D282" s="12" t="str">
        <x:v>Выкл 2-кл. прох. 10А б/рамки "BRITE" бежевый (1/100)</x:v>
      </x:c>
      <x:c r="E282" s="11" t="str">
        <x:v>шт</x:v>
      </x:c>
      <x:c r="F282" s="35" t="n">
        <x:f>MAX(0,ROUNDDOWN((AG282-AF282)/AR282+0.000000001,0)*AR282)</x:f>
        <x:v>1</x:v>
      </x:c>
      <x:c r="G282" s="20" t="str">
        <x:f>IF(J282="Рассчитано",V282*(1-R282/100)-W282-P282-Q282,"н/д")</x:f>
        <x:v>н/д</x:v>
      </x:c>
      <x:c r="H282" s="12" t="str">
        <x:v>Высокий</x:v>
      </x:c>
      <x:c r="I282" s="12" t="str">
        <x:v>Средний</x:v>
      </x:c>
      <x:c r="J282" s="12" t="str">
        <x:f>IF(L282="","Укажите валюту",IF(NOT(ISNUMBER(K282)),"Укажите объём",IF(K282&lt;=0,"Укажите объём",IF(K282&gt;F282,"Объём выше излишка",IF(COUNT(M282:O282)&lt;3,"Нужны цены",IF(COUNT(P282:R282)&lt;3,"Нужны расходы",IF(OR(M282&lt;0,N282&lt;0,O282&lt;0,O282&gt;100,P282&lt;0,Q282&lt;0,R282&lt;0,R282&gt;100),"Проверьте значения","Рассчитано")))))))</x:f>
        <x:v>Нужны цены</x:v>
      </x:c>
      <x:c r="K282" s="36" t="n">
        <x:v>1</x:v>
      </x:c>
      <x:c r="L282" s="19" t="str">
        <x:v>KZT</x:v>
      </x:c>
      <x:c r="M282" s="22"/>
      <x:c r="N282" s="22"/>
      <x:c r="O282" s="28"/>
      <x:c r="P282" s="22"/>
      <x:c r="Q282" s="22"/>
      <x:c r="R282" s="28"/>
      <x:c r="S282" s="22"/>
      <x:c r="T282" s="35" t="n">
        <x:f>K282</x:f>
        <x:v>1</x:v>
      </x:c>
      <x:c r="U282" s="20" t="str">
        <x:f>IF(J282="Рассчитано",N282*(1-O282/100),"н/д")</x:f>
        <x:v>н/д</x:v>
      </x:c>
      <x:c r="V282" s="20" t="str">
        <x:f>IF(J282="Рассчитано",T282*U282,"н/д")</x:f>
        <x:v>н/д</x:v>
      </x:c>
      <x:c r="W282" s="20" t="str">
        <x:f>IF(J282="Рассчитано",T282*M282,"н/д")</x:f>
        <x:v>н/д</x:v>
      </x:c>
      <x:c r="X282" s="20" t="str">
        <x:f>IF(J282="Рассчитано",V282-W282,"н/д")</x:f>
        <x:v>н/д</x:v>
      </x:c>
      <x:c r="Y282" s="26" t="str">
        <x:f>IF(J282="Рассчитано",IF(V282&gt;0,G282/V282,"н/д"),"н/д")</x:f>
        <x:v>н/д</x:v>
      </x:c>
      <x:c r="Z282" s="20" t="str">
        <x:f>"н/д"</x:f>
        <x:v>н/д</x:v>
      </x:c>
      <x:c r="AA282" s="20" t="str">
        <x:f>"н/д"</x:f>
        <x:v>н/д</x:v>
      </x:c>
      <x:c r="AB282" s="20" t="str">
        <x:f>"н/д"</x:f>
        <x:v>н/д</x:v>
      </x:c>
      <x:c r="AC282" s="20" t="str">
        <x:f>IF(AND(J282="Рассчитано",T282&gt;0,R282&lt;100),(W282+P282+Q282)/(T282*(1-R282/100)),"н/д")</x:f>
        <x:v>н/д</x:v>
      </x:c>
      <x:c r="AD282" s="11" t="str">
        <x:f>IF(ISNUMBER(G282),IF(G282&lt;0,"Убыток",IF(G282=0,"Без прибыли","Прибыль &gt; 0")),"Не оценён")</x:f>
        <x:v>Не оценён</x:v>
      </x:c>
      <x:c r="AE282" s="12" t="str">
        <x:f>IF(J282="Рассчитано","Выручка "&amp;TEXT(V282,"0.00")&amp;" - себестоимость "&amp;TEXT(W282,"0.00")&amp;" - комиссия "&amp;TEXT(V282*R282/100,"0.00")&amp;" - доставка "&amp;TEXT(P282,"0.00")&amp;" - прочие "&amp;TEXT(Q282,"0.00")&amp;" = "&amp;TEXT(G282,"0.00")&amp;" "&amp;L282,"Введите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2" s="23" t="n">
        <x:v>26.199173450070838</x:v>
      </x:c>
      <x:c r="AG282" s="35" t="n">
        <x:v>28</x:v>
      </x:c>
      <x:c r="AH282" s="35" t="n">
        <x:v>0</x:v>
      </x:c>
      <x:c r="AI282" s="29" t="n">
        <x:v>46266</x:v>
      </x:c>
      <x:c r="AJ282" s="35" t="n">
        <x:v>1</x:v>
      </x:c>
      <x:c r="AK282" s="11" t="str">
        <x:v>минимум</x:v>
      </x:c>
      <x:c r="AL282" s="31" t="n">
        <x:v>90.88442951459513</x:v>
      </x:c>
      <x:c r="AM282" s="12" t="str">
        <x:v>Остаток на начало сентября; Резервы неизвестны; Нет ежедневных данных доступности. Запас выше прогноза на 90 дней</x:v>
      </x:c>
      <x:c r="AN282" s="12" t="str">
        <x:v>Проверить свободный остаток и установить цену для B2B</x:v>
      </x:c>
      <x:c r="AO282" s="12" t="str">
        <x:v>Остаток 28; прогноз 90 дней 26.20; избыток 1 шт. Будущие поступления не выставляются на продажу. Остаток на начало сентября: требуется актуализация.</x:v>
      </x:c>
      <x:c r="AP282" s="12" t="str">
        <x:v>["category_missing", "daily_stockout_data_missing", "new_order_lead_time_unknown", "reservations_unknown", "stale_stock"]</x:v>
      </x:c>
      <x:c r="AQ282" s="11" t="str">
        <x:v>IEK:030200840_</x:v>
      </x:c>
      <x:c r="AR282" s="23" t="n">
        <x:v>1</x:v>
      </x:c>
      <x:c r="AS282" s="23" t="n">
        <x:v>0</x:v>
      </x:c>
      <x:c r="AT282" s="23" t="n">
        <x:v>0</x:v>
      </x:c>
    </x:row>
    <x:row r="283" ht="64" customHeight="1">
      <x:c r="A283" s="10" t="str">
        <x:v>IEK</x:v>
      </x:c>
      <x:c r="B283" s="34" t="str">
        <x:v>030200841_</x:v>
      </x:c>
      <x:c r="C283" s="34" t="str">
        <x:v>BR-V30-0-10-K10</x:v>
      </x:c>
      <x:c r="D283" s="13" t="str">
        <x:v>Выкл 3-кл. 10А б/рамки "BRITE" бежевый (1/100)</x:v>
      </x:c>
      <x:c r="E283" s="10" t="str">
        <x:v>шт</x:v>
      </x:c>
      <x:c r="F283" s="37" t="n">
        <x:f>MAX(0,ROUNDDOWN((AG283-AF283)/AR283+0.000000001,0)*AR283)</x:f>
        <x:v>22</x:v>
      </x:c>
      <x:c r="G283" s="21" t="str">
        <x:f>IF(J283="Рассчитано",V283*(1-R283/100)-W283-P283-Q283,"н/д")</x:f>
        <x:v>н/д</x:v>
      </x:c>
      <x:c r="H283" s="13" t="str">
        <x:v>Высокий</x:v>
      </x:c>
      <x:c r="I283" s="13" t="str">
        <x:v>Высокий</x:v>
      </x:c>
      <x:c r="J283" s="13" t="str">
        <x:f>IF(L283="","Укажите валюту",IF(NOT(ISNUMBER(K283)),"Укажите объём",IF(K283&lt;=0,"Укажите объём",IF(K283&gt;F283,"Объём выше излишка",IF(COUNT(M283:O283)&lt;3,"Нужны цены",IF(COUNT(P283:R283)&lt;3,"Нужны расходы",IF(OR(M283&lt;0,N283&lt;0,O283&lt;0,O283&gt;100,P283&lt;0,Q283&lt;0,R283&lt;0,R283&gt;100),"Проверьте значения","Рассчитано")))))))</x:f>
        <x:v>Нужны цены</x:v>
      </x:c>
      <x:c r="K283" s="36" t="n">
        <x:v>22</x:v>
      </x:c>
      <x:c r="L283" s="19" t="str">
        <x:v>KZT</x:v>
      </x:c>
      <x:c r="M283" s="22"/>
      <x:c r="N283" s="22"/>
      <x:c r="O283" s="28"/>
      <x:c r="P283" s="22"/>
      <x:c r="Q283" s="22"/>
      <x:c r="R283" s="28"/>
      <x:c r="S283" s="22"/>
      <x:c r="T283" s="37" t="n">
        <x:f>K283</x:f>
        <x:v>22</x:v>
      </x:c>
      <x:c r="U283" s="21" t="str">
        <x:f>IF(J283="Рассчитано",N283*(1-O283/100),"н/д")</x:f>
        <x:v>н/д</x:v>
      </x:c>
      <x:c r="V283" s="21" t="str">
        <x:f>IF(J283="Рассчитано",T283*U283,"н/д")</x:f>
        <x:v>н/д</x:v>
      </x:c>
      <x:c r="W283" s="21" t="str">
        <x:f>IF(J283="Рассчитано",T283*M283,"н/д")</x:f>
        <x:v>н/д</x:v>
      </x:c>
      <x:c r="X283" s="21" t="str">
        <x:f>IF(J283="Рассчитано",V283-W283,"н/д")</x:f>
        <x:v>н/д</x:v>
      </x:c>
      <x:c r="Y283" s="27" t="str">
        <x:f>IF(J283="Рассчитано",IF(V283&gt;0,G283/V283,"н/д"),"н/д")</x:f>
        <x:v>н/д</x:v>
      </x:c>
      <x:c r="Z283" s="21" t="str">
        <x:f>"н/д"</x:f>
        <x:v>н/д</x:v>
      </x:c>
      <x:c r="AA283" s="21" t="str">
        <x:f>"н/д"</x:f>
        <x:v>н/д</x:v>
      </x:c>
      <x:c r="AB283" s="21" t="str">
        <x:f>"н/д"</x:f>
        <x:v>н/д</x:v>
      </x:c>
      <x:c r="AC283" s="21" t="str">
        <x:f>IF(AND(J283="Рассчитано",T283&gt;0,R283&lt;100),(W283+P283+Q283)/(T283*(1-R283/100)),"н/д")</x:f>
        <x:v>н/д</x:v>
      </x:c>
      <x:c r="AD283" s="10" t="str">
        <x:f>IF(ISNUMBER(G283),IF(G283&lt;0,"Убыток",IF(G283=0,"Без прибыли","Прибыль &gt; 0")),"Не оценён")</x:f>
        <x:v>Не оценён</x:v>
      </x:c>
      <x:c r="AE283" s="13" t="str">
        <x:f>IF(J283="Рассчитано","Выручка "&amp;TEXT(V283,"0.00")&amp;" - себестоимость "&amp;TEXT(W283,"0.00")&amp;" - комиссия "&amp;TEXT(V283*R283/100,"0.00")&amp;" - доставка "&amp;TEXT(P283,"0.00")&amp;" - прочие "&amp;TEXT(Q283,"0.00")&amp;" = "&amp;TEXT(G283,"0.00")&amp;" "&amp;L283,"Введите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3" s="24" t="n">
        <x:v>6.518727178161807</x:v>
      </x:c>
      <x:c r="AG283" s="37" t="n">
        <x:v>29</x:v>
      </x:c>
      <x:c r="AH283" s="37" t="n">
        <x:v>0</x:v>
      </x:c>
      <x:c r="AI283" s="30" t="n">
        <x:v>46266</x:v>
      </x:c>
      <x:c r="AJ283" s="37" t="n">
        <x:v>1</x:v>
      </x:c>
      <x:c r="AK283" s="10" t="str">
        <x:v>минимум</x:v>
      </x:c>
      <x:c r="AL283" s="32" t="n">
        <x:v>378.3155885393508</x:v>
      </x:c>
      <x:c r="AM2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83" s="13" t="str">
        <x:v>Проверить свободный остаток и установить цену для B2B</x:v>
      </x:c>
      <x:c r="AO283" s="13" t="str">
        <x:v>Остаток 29; прогноз 90 дней 6.52; избыток 22 шт. Будущие поступления не выставляются на продажу. Остаток на начало сентября: требуется актуализация.</x:v>
      </x:c>
      <x:c r="AP283" s="13" t="str">
        <x:v>["category_missing", "daily_stockout_data_missing", "large_orders_detected", "negative_net_sales_clipped_for_forecast", "new_order_lead_time_unknown", "reservations_unknown", "stale_stock"]</x:v>
      </x:c>
      <x:c r="AQ283" s="10" t="str">
        <x:v>IEK:030200841_</x:v>
      </x:c>
      <x:c r="AR283" s="24" t="n">
        <x:v>1</x:v>
      </x:c>
      <x:c r="AS283" s="24" t="n">
        <x:v>0</x:v>
      </x:c>
      <x:c r="AT283" s="24" t="n">
        <x:v>0</x:v>
      </x:c>
    </x:row>
    <x:row r="284" ht="64" customHeight="1">
      <x:c r="A284" s="11" t="str">
        <x:v>IEK</x:v>
      </x:c>
      <x:c r="B284" s="33" t="str">
        <x:v>030200842_</x:v>
      </x:c>
      <x:c r="C284" s="33" t="str">
        <x:v>BR-R26-16-44-K10-F</x:v>
      </x:c>
      <x:c r="D284" s="12" t="str">
        <x:v>Роз. 2-я с кр. 16А в сб IP44 "BRITE" бежевый (1/100)</x:v>
      </x:c>
      <x:c r="E284" s="11" t="str">
        <x:v>шт</x:v>
      </x:c>
      <x:c r="F284" s="35" t="n">
        <x:f>MAX(0,ROUNDDOWN((AG284-AF284)/AR284+0.000000001,0)*AR284)</x:f>
        <x:v>185</x:v>
      </x:c>
      <x:c r="G284" s="20" t="str">
        <x:f>IF(J284="Рассчитано",V284*(1-R284/100)-W284-P284-Q284,"н/д")</x:f>
        <x:v>н/д</x:v>
      </x:c>
      <x:c r="H284" s="12" t="str">
        <x:v>Высокий</x:v>
      </x:c>
      <x:c r="I284" s="12" t="str">
        <x:v>Высокий</x:v>
      </x:c>
      <x:c r="J284" s="12" t="str">
        <x:f>IF(L284="","Укажите валюту",IF(NOT(ISNUMBER(K284)),"Укажите объём",IF(K284&lt;=0,"Укажите объём",IF(K284&gt;F284,"Объём выше излишка",IF(COUNT(M284:O284)&lt;3,"Нужны цены",IF(COUNT(P284:R284)&lt;3,"Нужны расходы",IF(OR(M284&lt;0,N284&lt;0,O284&lt;0,O284&gt;100,P284&lt;0,Q284&lt;0,R284&lt;0,R284&gt;100),"Проверьте значения","Рассчитано")))))))</x:f>
        <x:v>Нужны цены</x:v>
      </x:c>
      <x:c r="K284" s="36" t="n">
        <x:v>185</x:v>
      </x:c>
      <x:c r="L284" s="19" t="str">
        <x:v>KZT</x:v>
      </x:c>
      <x:c r="M284" s="22"/>
      <x:c r="N284" s="22"/>
      <x:c r="O284" s="28"/>
      <x:c r="P284" s="22"/>
      <x:c r="Q284" s="22"/>
      <x:c r="R284" s="28"/>
      <x:c r="S284" s="22"/>
      <x:c r="T284" s="35" t="n">
        <x:f>K284</x:f>
        <x:v>185</x:v>
      </x:c>
      <x:c r="U284" s="20" t="str">
        <x:f>IF(J284="Рассчитано",N284*(1-O284/100),"н/д")</x:f>
        <x:v>н/д</x:v>
      </x:c>
      <x:c r="V284" s="20" t="str">
        <x:f>IF(J284="Рассчитано",T284*U284,"н/д")</x:f>
        <x:v>н/д</x:v>
      </x:c>
      <x:c r="W284" s="20" t="str">
        <x:f>IF(J284="Рассчитано",T284*M284,"н/д")</x:f>
        <x:v>н/д</x:v>
      </x:c>
      <x:c r="X284" s="20" t="str">
        <x:f>IF(J284="Рассчитано",V284-W284,"н/д")</x:f>
        <x:v>н/д</x:v>
      </x:c>
      <x:c r="Y284" s="26" t="str">
        <x:f>IF(J284="Рассчитано",IF(V284&gt;0,G284/V284,"н/д"),"н/д")</x:f>
        <x:v>н/д</x:v>
      </x:c>
      <x:c r="Z284" s="20" t="str">
        <x:f>"н/д"</x:f>
        <x:v>н/д</x:v>
      </x:c>
      <x:c r="AA284" s="20" t="str">
        <x:f>"н/д"</x:f>
        <x:v>н/д</x:v>
      </x:c>
      <x:c r="AB284" s="20" t="str">
        <x:f>"н/д"</x:f>
        <x:v>н/д</x:v>
      </x:c>
      <x:c r="AC284" s="20" t="str">
        <x:f>IF(AND(J284="Рассчитано",T284&gt;0,R284&lt;100),(W284+P284+Q284)/(T284*(1-R284/100)),"н/д")</x:f>
        <x:v>н/д</x:v>
      </x:c>
      <x:c r="AD284" s="11" t="str">
        <x:f>IF(ISNUMBER(G284),IF(G284&lt;0,"Убыток",IF(G284=0,"Без прибыли","Прибыль &gt; 0")),"Не оценён")</x:f>
        <x:v>Не оценён</x:v>
      </x:c>
      <x:c r="AE284" s="12" t="str">
        <x:f>IF(J284="Рассчитано","Выручка "&amp;TEXT(V284,"0.00")&amp;" - себестоимость "&amp;TEXT(W284,"0.00")&amp;" - комиссия "&amp;TEXT(V284*R284/100,"0.00")&amp;" - доставка "&amp;TEXT(P284,"0.00")&amp;" - прочие "&amp;TEXT(Q284,"0.00")&amp;" = "&amp;TEXT(G284,"0.00")&amp;" "&amp;L284,"Введите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4" s="23" t="n">
        <x:v>3.721112988925202</x:v>
      </x:c>
      <x:c r="AG284" s="35" t="n">
        <x:v>189</x:v>
      </x:c>
      <x:c r="AH284" s="35" t="n">
        <x:v>0</x:v>
      </x:c>
      <x:c r="AI284" s="29" t="n">
        <x:v>46266</x:v>
      </x:c>
      <x:c r="AJ284" s="35" t="n">
        <x:v>1</x:v>
      </x:c>
      <x:c r="AK284" s="11" t="str">
        <x:v>минимум</x:v>
      </x:c>
      <x:c r="AL284" s="31" t="n">
        <x:v>4319.24651145751</x:v>
      </x:c>
      <x:c r="AM28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84" s="12" t="str">
        <x:v>Проверить свободный остаток и установить цену для B2B</x:v>
      </x:c>
      <x:c r="AO284" s="12" t="str">
        <x:v>Остаток 189; прогноз 90 дней 3.72; избыток 185 шт. Будущие поступления не выставляются на продажу. Остаток на начало сентября: требуется актуализация.</x:v>
      </x:c>
      <x:c r="AP284" s="12" t="str">
        <x:v>["category_missing", "daily_stockout_data_missing", "new_order_lead_time_unknown", "reservations_unknown", "stale_stock"]</x:v>
      </x:c>
      <x:c r="AQ284" s="11" t="str">
        <x:v>IEK:030200842_</x:v>
      </x:c>
      <x:c r="AR284" s="23" t="n">
        <x:v>1</x:v>
      </x:c>
      <x:c r="AS284" s="23" t="n">
        <x:v>0</x:v>
      </x:c>
      <x:c r="AT284" s="23" t="n">
        <x:v>0</x:v>
      </x:c>
    </x:row>
    <x:row r="285" ht="64" customHeight="1">
      <x:c r="A285" s="10" t="str">
        <x:v>IEK</x:v>
      </x:c>
      <x:c r="B285" s="34" t="str">
        <x:v>030200844_</x:v>
      </x:c>
      <x:c r="C285" s="34" t="str">
        <x:v>BR-A10-O-K10</x:v>
      </x:c>
      <x:c r="D285" s="13" t="str">
        <x:v>Роз. TV окон б/рамки "BRITE" бежевый (1/100)</x:v>
      </x:c>
      <x:c r="E285" s="10" t="str">
        <x:v>шт</x:v>
      </x:c>
      <x:c r="F285" s="37" t="n">
        <x:f>MAX(0,ROUNDDOWN((AG285-AF285)/AR285+0.000000001,0)*AR285)</x:f>
        <x:v>9</x:v>
      </x:c>
      <x:c r="G285" s="21" t="str">
        <x:f>IF(J285="Рассчитано",V285*(1-R285/100)-W285-P285-Q285,"н/д")</x:f>
        <x:v>н/д</x:v>
      </x:c>
      <x:c r="H285" s="13" t="str">
        <x:v>Высокий</x:v>
      </x:c>
      <x:c r="I285" s="13" t="str">
        <x:v>Высокий</x:v>
      </x:c>
      <x:c r="J285" s="13" t="str">
        <x:f>IF(L285="","Укажите валюту",IF(NOT(ISNUMBER(K285)),"Укажите объём",IF(K285&lt;=0,"Укажите объём",IF(K285&gt;F285,"Объём выше излишка",IF(COUNT(M285:O285)&lt;3,"Нужны цены",IF(COUNT(P285:R285)&lt;3,"Нужны расходы",IF(OR(M285&lt;0,N285&lt;0,O285&lt;0,O285&gt;100,P285&lt;0,Q285&lt;0,R285&lt;0,R285&gt;100),"Проверьте значения","Рассчитано")))))))</x:f>
        <x:v>Нужны цены</x:v>
      </x:c>
      <x:c r="K285" s="36" t="n">
        <x:v>9</x:v>
      </x:c>
      <x:c r="L285" s="19" t="str">
        <x:v>KZT</x:v>
      </x:c>
      <x:c r="M285" s="22"/>
      <x:c r="N285" s="22"/>
      <x:c r="O285" s="28"/>
      <x:c r="P285" s="22"/>
      <x:c r="Q285" s="22"/>
      <x:c r="R285" s="28"/>
      <x:c r="S285" s="22"/>
      <x:c r="T285" s="37" t="n">
        <x:f>K285</x:f>
        <x:v>9</x:v>
      </x:c>
      <x:c r="U285" s="21" t="str">
        <x:f>IF(J285="Рассчитано",N285*(1-O285/100),"н/д")</x:f>
        <x:v>н/д</x:v>
      </x:c>
      <x:c r="V285" s="21" t="str">
        <x:f>IF(J285="Рассчитано",T285*U285,"н/д")</x:f>
        <x:v>н/д</x:v>
      </x:c>
      <x:c r="W285" s="21" t="str">
        <x:f>IF(J285="Рассчитано",T285*M285,"н/д")</x:f>
        <x:v>н/д</x:v>
      </x:c>
      <x:c r="X285" s="21" t="str">
        <x:f>IF(J285="Рассчитано",V285-W285,"н/д")</x:f>
        <x:v>н/д</x:v>
      </x:c>
      <x:c r="Y285" s="27" t="str">
        <x:f>IF(J285="Рассчитано",IF(V285&gt;0,G285/V285,"н/д"),"н/д")</x:f>
        <x:v>н/д</x:v>
      </x:c>
      <x:c r="Z285" s="21" t="str">
        <x:f>"н/д"</x:f>
        <x:v>н/д</x:v>
      </x:c>
      <x:c r="AA285" s="21" t="str">
        <x:f>"н/д"</x:f>
        <x:v>н/д</x:v>
      </x:c>
      <x:c r="AB285" s="21" t="str">
        <x:f>"н/д"</x:f>
        <x:v>н/д</x:v>
      </x:c>
      <x:c r="AC285" s="21" t="str">
        <x:f>IF(AND(J285="Рассчитано",T285&gt;0,R285&lt;100),(W285+P285+Q285)/(T285*(1-R285/100)),"н/д")</x:f>
        <x:v>н/д</x:v>
      </x:c>
      <x:c r="AD285" s="10" t="str">
        <x:f>IF(ISNUMBER(G285),IF(G285&lt;0,"Убыток",IF(G285=0,"Без прибыли","Прибыль &gt; 0")),"Не оценён")</x:f>
        <x:v>Не оценён</x:v>
      </x:c>
      <x:c r="AE285" s="13" t="str">
        <x:f>IF(J285="Рассчитано","Выручка "&amp;TEXT(V285,"0.00")&amp;" - себестоимость "&amp;TEXT(W285,"0.00")&amp;" - комиссия "&amp;TEXT(V285*R285/100,"0.00")&amp;" - доставка "&amp;TEXT(P285,"0.00")&amp;" - прочие "&amp;TEXT(Q285,"0.00")&amp;" = "&amp;TEXT(G285,"0.00")&amp;" "&amp;L285,"Введите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5" s="24" t="n">
        <x:v>7.423987367293128</x:v>
      </x:c>
      <x:c r="AG285" s="37" t="n">
        <x:v>17</x:v>
      </x:c>
      <x:c r="AH285" s="37" t="n">
        <x:v>0</x:v>
      </x:c>
      <x:c r="AI285" s="30" t="n">
        <x:v>46266</x:v>
      </x:c>
      <x:c r="AJ285" s="37" t="n">
        <x:v>1</x:v>
      </x:c>
      <x:c r="AK285" s="10" t="str">
        <x:v>минимум</x:v>
      </x:c>
      <x:c r="AL285" s="32" t="n">
        <x:v>194.72904833609672</x:v>
      </x:c>
      <x:c r="AM2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85" s="13" t="str">
        <x:v>Проверить свободный остаток и установить цену для B2B</x:v>
      </x:c>
      <x:c r="AO285" s="13" t="str">
        <x:v>Остаток 17; прогноз 90 дней 7.42; избыток 9 шт. Будущие поступления не выставляются на продажу. Остаток на начало сентября: требуется актуализация.</x:v>
      </x:c>
      <x:c r="AP285" s="13" t="str">
        <x:v>["category_missing", "daily_stockout_data_missing", "new_order_lead_time_unknown", "reservations_unknown", "stale_stock"]</x:v>
      </x:c>
      <x:c r="AQ285" s="10" t="str">
        <x:v>IEK:030200844_</x:v>
      </x:c>
      <x:c r="AR285" s="24" t="n">
        <x:v>1</x:v>
      </x:c>
      <x:c r="AS285" s="24" t="n">
        <x:v>0</x:v>
      </x:c>
      <x:c r="AT285" s="24" t="n">
        <x:v>0</x:v>
      </x:c>
    </x:row>
    <x:row r="286" ht="64" customHeight="1">
      <x:c r="A286" s="11" t="str">
        <x:v>IEK</x:v>
      </x:c>
      <x:c r="B286" s="33" t="str">
        <x:v>030200845_</x:v>
      </x:c>
      <x:c r="C286" s="33" t="str">
        <x:v>BR-H10-K10</x:v>
      </x:c>
      <x:c r="D286" s="12" t="str">
        <x:v>Роз. HDMI б/рамки "BRITE" бежевый (1/100)</x:v>
      </x:c>
      <x:c r="E286" s="11" t="str">
        <x:v>шт</x:v>
      </x:c>
      <x:c r="F286" s="35" t="n">
        <x:f>MAX(0,ROUNDDOWN((AG286-AF286)/AR286+0.000000001,0)*AR286)</x:f>
        <x:v>28</x:v>
      </x:c>
      <x:c r="G286" s="20" t="str">
        <x:f>IF(J286="Рассчитано",V286*(1-R286/100)-W286-P286-Q286,"н/д")</x:f>
        <x:v>н/д</x:v>
      </x:c>
      <x:c r="H286" s="12" t="str">
        <x:v>Высокий</x:v>
      </x:c>
      <x:c r="I286" s="12" t="str">
        <x:v>Высокий</x:v>
      </x:c>
      <x:c r="J286" s="12" t="str">
        <x:f>IF(L286="","Укажите валюту",IF(NOT(ISNUMBER(K286)),"Укажите объём",IF(K286&lt;=0,"Укажите объём",IF(K286&gt;F286,"Объём выше излишка",IF(COUNT(M286:O286)&lt;3,"Нужны цены",IF(COUNT(P286:R286)&lt;3,"Нужны расходы",IF(OR(M286&lt;0,N286&lt;0,O286&lt;0,O286&gt;100,P286&lt;0,Q286&lt;0,R286&lt;0,R286&gt;100),"Проверьте значения","Рассчитано")))))))</x:f>
        <x:v>Нужны цены</x:v>
      </x:c>
      <x:c r="K286" s="36" t="n">
        <x:v>28</x:v>
      </x:c>
      <x:c r="L286" s="19" t="str">
        <x:v>KZT</x:v>
      </x:c>
      <x:c r="M286" s="22"/>
      <x:c r="N286" s="22"/>
      <x:c r="O286" s="28"/>
      <x:c r="P286" s="22"/>
      <x:c r="Q286" s="22"/>
      <x:c r="R286" s="28"/>
      <x:c r="S286" s="22"/>
      <x:c r="T286" s="35" t="n">
        <x:f>K286</x:f>
        <x:v>28</x:v>
      </x:c>
      <x:c r="U286" s="20" t="str">
        <x:f>IF(J286="Рассчитано",N286*(1-O286/100),"н/д")</x:f>
        <x:v>н/д</x:v>
      </x:c>
      <x:c r="V286" s="20" t="str">
        <x:f>IF(J286="Рассчитано",T286*U286,"н/д")</x:f>
        <x:v>н/д</x:v>
      </x:c>
      <x:c r="W286" s="20" t="str">
        <x:f>IF(J286="Рассчитано",T286*M286,"н/д")</x:f>
        <x:v>н/д</x:v>
      </x:c>
      <x:c r="X286" s="20" t="str">
        <x:f>IF(J286="Рассчитано",V286-W286,"н/д")</x:f>
        <x:v>н/д</x:v>
      </x:c>
      <x:c r="Y286" s="26" t="str">
        <x:f>IF(J286="Рассчитано",IF(V286&gt;0,G286/V286,"н/д"),"н/д")</x:f>
        <x:v>н/д</x:v>
      </x:c>
      <x:c r="Z286" s="20" t="str">
        <x:f>"н/д"</x:f>
        <x:v>н/д</x:v>
      </x:c>
      <x:c r="AA286" s="20" t="str">
        <x:f>"н/д"</x:f>
        <x:v>н/д</x:v>
      </x:c>
      <x:c r="AB286" s="20" t="str">
        <x:f>"н/д"</x:f>
        <x:v>н/д</x:v>
      </x:c>
      <x:c r="AC286" s="20" t="str">
        <x:f>IF(AND(J286="Рассчитано",T286&gt;0,R286&lt;100),(W286+P286+Q286)/(T286*(1-R286/100)),"н/д")</x:f>
        <x:v>н/д</x:v>
      </x:c>
      <x:c r="AD286" s="11" t="str">
        <x:f>IF(ISNUMBER(G286),IF(G286&lt;0,"Убыток",IF(G286=0,"Без прибыли","Прибыль &gt; 0")),"Не оценён")</x:f>
        <x:v>Не оценён</x:v>
      </x:c>
      <x:c r="AE286" s="12" t="str">
        <x:f>IF(J286="Рассчитано","Выручка "&amp;TEXT(V286,"0.00")&amp;" - себестоимость "&amp;TEXT(W286,"0.00")&amp;" - комиссия "&amp;TEXT(V286*R286/100,"0.00")&amp;" - доставка "&amp;TEXT(P286,"0.00")&amp;" - прочие "&amp;TEXT(Q286,"0.00")&amp;" = "&amp;TEXT(G286,"0.00")&amp;" "&amp;L286,"Введите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6" s="23" t="n">
        <x:v>0</x:v>
      </x:c>
      <x:c r="AG286" s="35" t="n">
        <x:v>28</x:v>
      </x:c>
      <x:c r="AH286" s="35" t="n">
        <x:v>0</x:v>
      </x:c>
      <x:c r="AI286" s="29" t="n">
        <x:v>46266</x:v>
      </x:c>
      <x:c r="AJ286" s="35" t="n">
        <x:v>1</x:v>
      </x:c>
      <x:c r="AK286" s="11" t="str">
        <x:v>минимум</x:v>
      </x:c>
      <x:c r="AL286" s="31" t="str">
        <x:v>н/д</x:v>
      </x:c>
      <x:c r="AM28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286" s="12" t="str">
        <x:v>Проверить свободный остаток и установить цену для B2B</x:v>
      </x:c>
      <x:c r="AO286" s="12" t="str">
        <x:v>Остаток 28; прогноз 90 дней 0.00; избыток 28 шт. Будущие поступления не выставляются на продажу. Остаток на начало сентября: требуется актуализация.</x:v>
      </x:c>
      <x:c r="AP286" s="12" t="str">
        <x:v>["category_missing", "daily_stockout_data_missing", "new_order_lead_time_unknown", "reservations_unknown", "stale_stock"]</x:v>
      </x:c>
      <x:c r="AQ286" s="11" t="str">
        <x:v>IEK:030200845_</x:v>
      </x:c>
      <x:c r="AR286" s="23" t="n">
        <x:v>1</x:v>
      </x:c>
      <x:c r="AS286" s="23" t="n">
        <x:v>0</x:v>
      </x:c>
      <x:c r="AT286" s="23" t="n">
        <x:v>0</x:v>
      </x:c>
    </x:row>
    <x:row r="287" ht="64" customHeight="1">
      <x:c r="A287" s="10" t="str">
        <x:v>IEK</x:v>
      </x:c>
      <x:c r="B287" s="34" t="str">
        <x:v>030200847_</x:v>
      </x:c>
      <x:c r="C287" s="34" t="str">
        <x:v>BR-M12-M-K02</x:v>
      </x:c>
      <x:c r="D287" s="13" t="str">
        <x:v>Рамка 1-мест. "BRITE" металл черный (1/100)</x:v>
      </x:c>
      <x:c r="E287" s="10" t="str">
        <x:v>шт</x:v>
      </x:c>
      <x:c r="F287" s="37" t="n">
        <x:f>MAX(0,ROUNDDOWN((AG287-AF287)/AR287+0.000000001,0)*AR287)</x:f>
        <x:v>11</x:v>
      </x:c>
      <x:c r="G287" s="21" t="str">
        <x:f>IF(J287="Рассчитано",V287*(1-R287/100)-W287-P287-Q287,"н/д")</x:f>
        <x:v>н/д</x:v>
      </x:c>
      <x:c r="H287" s="13" t="str">
        <x:v>Высокий</x:v>
      </x:c>
      <x:c r="I287" s="13" t="str">
        <x:v>Высокий</x:v>
      </x:c>
      <x:c r="J287" s="13" t="str">
        <x:f>IF(L287="","Укажите валюту",IF(NOT(ISNUMBER(K287)),"Укажите объём",IF(K287&lt;=0,"Укажите объём",IF(K287&gt;F287,"Объём выше излишка",IF(COUNT(M287:O287)&lt;3,"Нужны цены",IF(COUNT(P287:R287)&lt;3,"Нужны расходы",IF(OR(M287&lt;0,N287&lt;0,O287&lt;0,O287&gt;100,P287&lt;0,Q287&lt;0,R287&lt;0,R287&gt;100),"Проверьте значения","Рассчитано")))))))</x:f>
        <x:v>Нужны цены</x:v>
      </x:c>
      <x:c r="K287" s="36" t="n">
        <x:v>11</x:v>
      </x:c>
      <x:c r="L287" s="19" t="str">
        <x:v>KZT</x:v>
      </x:c>
      <x:c r="M287" s="22"/>
      <x:c r="N287" s="22"/>
      <x:c r="O287" s="28"/>
      <x:c r="P287" s="22"/>
      <x:c r="Q287" s="22"/>
      <x:c r="R287" s="28"/>
      <x:c r="S287" s="22"/>
      <x:c r="T287" s="37" t="n">
        <x:f>K287</x:f>
        <x:v>11</x:v>
      </x:c>
      <x:c r="U287" s="21" t="str">
        <x:f>IF(J287="Рассчитано",N287*(1-O287/100),"н/д")</x:f>
        <x:v>н/д</x:v>
      </x:c>
      <x:c r="V287" s="21" t="str">
        <x:f>IF(J287="Рассчитано",T287*U287,"н/д")</x:f>
        <x:v>н/д</x:v>
      </x:c>
      <x:c r="W287" s="21" t="str">
        <x:f>IF(J287="Рассчитано",T287*M287,"н/д")</x:f>
        <x:v>н/д</x:v>
      </x:c>
      <x:c r="X287" s="21" t="str">
        <x:f>IF(J287="Рассчитано",V287-W287,"н/д")</x:f>
        <x:v>н/д</x:v>
      </x:c>
      <x:c r="Y287" s="27" t="str">
        <x:f>IF(J287="Рассчитано",IF(V287&gt;0,G287/V287,"н/д"),"н/д")</x:f>
        <x:v>н/д</x:v>
      </x:c>
      <x:c r="Z287" s="21" t="str">
        <x:f>"н/д"</x:f>
        <x:v>н/д</x:v>
      </x:c>
      <x:c r="AA287" s="21" t="str">
        <x:f>"н/д"</x:f>
        <x:v>н/д</x:v>
      </x:c>
      <x:c r="AB287" s="21" t="str">
        <x:f>"н/д"</x:f>
        <x:v>н/д</x:v>
      </x:c>
      <x:c r="AC287" s="21" t="str">
        <x:f>IF(AND(J287="Рассчитано",T287&gt;0,R287&lt;100),(W287+P287+Q287)/(T287*(1-R287/100)),"н/д")</x:f>
        <x:v>н/д</x:v>
      </x:c>
      <x:c r="AD287" s="10" t="str">
        <x:f>IF(ISNUMBER(G287),IF(G287&lt;0,"Убыток",IF(G287=0,"Без прибыли","Прибыль &gt; 0")),"Не оценён")</x:f>
        <x:v>Не оценён</x:v>
      </x:c>
      <x:c r="AE287" s="13" t="str">
        <x:f>IF(J287="Рассчитано","Выручка "&amp;TEXT(V287,"0.00")&amp;" - себестоимость "&amp;TEXT(W287,"0.00")&amp;" - комиссия "&amp;TEXT(V287*R287/100,"0.00")&amp;" - доставка "&amp;TEXT(P287,"0.00")&amp;" - прочие "&amp;TEXT(Q287,"0.00")&amp;" = "&amp;TEXT(G287,"0.00")&amp;" "&amp;L287,"Введите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7" s="24" t="n">
        <x:v>1.476214620950697</x:v>
      </x:c>
      <x:c r="AG287" s="37" t="n">
        <x:v>13</x:v>
      </x:c>
      <x:c r="AH287" s="37" t="n">
        <x:v>0</x:v>
      </x:c>
      <x:c r="AI287" s="30" t="n">
        <x:v>46266</x:v>
      </x:c>
      <x:c r="AJ287" s="37" t="n">
        <x:v>1</x:v>
      </x:c>
      <x:c r="AK287" s="10" t="str">
        <x:v>минимум</x:v>
      </x:c>
      <x:c r="AL287" s="32" t="n">
        <x:v>748.8811413476709</x:v>
      </x:c>
      <x:c r="AM28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87" s="13" t="str">
        <x:v>Проверить свободный остаток и установить цену для B2B</x:v>
      </x:c>
      <x:c r="AO287" s="13" t="str">
        <x:v>Остаток 13; прогноз 90 дней 1.48; избыток 11 шт. Будущие поступления не выставляются на продажу. Остаток на начало сентября: требуется актуализация.</x:v>
      </x:c>
      <x:c r="AP287" s="13" t="str">
        <x:v>["category_missing", "daily_stockout_data_missing", "large_orders_detected", "negative_net_sales_clipped_for_forecast", "new_order_lead_time_unknown", "reservations_unknown", "stale_stock"]</x:v>
      </x:c>
      <x:c r="AQ287" s="10" t="str">
        <x:v>IEK:030200847_</x:v>
      </x:c>
      <x:c r="AR287" s="24" t="n">
        <x:v>1</x:v>
      </x:c>
      <x:c r="AS287" s="24" t="n">
        <x:v>0</x:v>
      </x:c>
      <x:c r="AT287" s="24" t="n">
        <x:v>0</x:v>
      </x:c>
    </x:row>
    <x:row r="288" ht="64" customHeight="1">
      <x:c r="A288" s="11" t="str">
        <x:v>IEK</x:v>
      </x:c>
      <x:c r="B288" s="33" t="str">
        <x:v>030200849_</x:v>
      </x:c>
      <x:c r="C288" s="33" t="str">
        <x:v>BR-M22-M-K02</x:v>
      </x:c>
      <x:c r="D288" s="12" t="str">
        <x:v>Рамка 2-мест. "BRITE" металл черный (1/100)</x:v>
      </x:c>
      <x:c r="E288" s="11" t="str">
        <x:v>шт</x:v>
      </x:c>
      <x:c r="F288" s="35" t="n">
        <x:f>MAX(0,ROUNDDOWN((AG288-AF288)/AR288+0.000000001,0)*AR288)</x:f>
        <x:v>2</x:v>
      </x:c>
      <x:c r="G288" s="20" t="str">
        <x:f>IF(J288="Рассчитано",V288*(1-R288/100)-W288-P288-Q288,"н/д")</x:f>
        <x:v>н/д</x:v>
      </x:c>
      <x:c r="H288" s="12" t="str">
        <x:v>Высокий</x:v>
      </x:c>
      <x:c r="I288" s="12" t="str">
        <x:v>Высокий</x:v>
      </x:c>
      <x:c r="J288" s="12" t="str">
        <x:f>IF(L288="","Укажите валюту",IF(NOT(ISNUMBER(K288)),"Укажите объём",IF(K288&lt;=0,"Укажите объём",IF(K288&gt;F288,"Объём выше излишка",IF(COUNT(M288:O288)&lt;3,"Нужны цены",IF(COUNT(P288:R288)&lt;3,"Нужны расходы",IF(OR(M288&lt;0,N288&lt;0,O288&lt;0,O288&gt;100,P288&lt;0,Q288&lt;0,R288&lt;0,R288&gt;100),"Проверьте значения","Рассчитано")))))))</x:f>
        <x:v>Нужны цены</x:v>
      </x:c>
      <x:c r="K288" s="36" t="n">
        <x:v>2</x:v>
      </x:c>
      <x:c r="L288" s="19" t="str">
        <x:v>KZT</x:v>
      </x:c>
      <x:c r="M288" s="22"/>
      <x:c r="N288" s="22"/>
      <x:c r="O288" s="28"/>
      <x:c r="P288" s="22"/>
      <x:c r="Q288" s="22"/>
      <x:c r="R288" s="28"/>
      <x:c r="S288" s="22"/>
      <x:c r="T288" s="35" t="n">
        <x:f>K288</x:f>
        <x:v>2</x:v>
      </x:c>
      <x:c r="U288" s="20" t="str">
        <x:f>IF(J288="Рассчитано",N288*(1-O288/100),"н/д")</x:f>
        <x:v>н/д</x:v>
      </x:c>
      <x:c r="V288" s="20" t="str">
        <x:f>IF(J288="Рассчитано",T288*U288,"н/д")</x:f>
        <x:v>н/д</x:v>
      </x:c>
      <x:c r="W288" s="20" t="str">
        <x:f>IF(J288="Рассчитано",T288*M288,"н/д")</x:f>
        <x:v>н/д</x:v>
      </x:c>
      <x:c r="X288" s="20" t="str">
        <x:f>IF(J288="Рассчитано",V288-W288,"н/д")</x:f>
        <x:v>н/д</x:v>
      </x:c>
      <x:c r="Y288" s="26" t="str">
        <x:f>IF(J288="Рассчитано",IF(V288&gt;0,G288/V288,"н/д"),"н/д")</x:f>
        <x:v>н/д</x:v>
      </x:c>
      <x:c r="Z288" s="20" t="str">
        <x:f>"н/д"</x:f>
        <x:v>н/д</x:v>
      </x:c>
      <x:c r="AA288" s="20" t="str">
        <x:f>"н/д"</x:f>
        <x:v>н/д</x:v>
      </x:c>
      <x:c r="AB288" s="20" t="str">
        <x:f>"н/д"</x:f>
        <x:v>н/д</x:v>
      </x:c>
      <x:c r="AC288" s="20" t="str">
        <x:f>IF(AND(J288="Рассчитано",T288&gt;0,R288&lt;100),(W288+P288+Q288)/(T288*(1-R288/100)),"н/д")</x:f>
        <x:v>н/д</x:v>
      </x:c>
      <x:c r="AD288" s="11" t="str">
        <x:f>IF(ISNUMBER(G288),IF(G288&lt;0,"Убыток",IF(G288=0,"Без прибыли","Прибыль &gt; 0")),"Не оценён")</x:f>
        <x:v>Не оценён</x:v>
      </x:c>
      <x:c r="AE288" s="12" t="str">
        <x:f>IF(J288="Рассчитано","Выручка "&amp;TEXT(V288,"0.00")&amp;" - себестоимость "&amp;TEXT(W288,"0.00")&amp;" - комиссия "&amp;TEXT(V288*R288/100,"0.00")&amp;" - доставка "&amp;TEXT(P288,"0.00")&amp;" - прочие "&amp;TEXT(Q288,"0.00")&amp;" = "&amp;TEXT(G288,"0.00")&amp;" "&amp;L288,"Введите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8" s="23" t="n">
        <x:v>0.7636727181507514</x:v>
      </x:c>
      <x:c r="AG288" s="35" t="n">
        <x:v>3</x:v>
      </x:c>
      <x:c r="AH288" s="35" t="n">
        <x:v>0</x:v>
      </x:c>
      <x:c r="AI288" s="29" t="n">
        <x:v>46266</x:v>
      </x:c>
      <x:c r="AJ288" s="35" t="n">
        <x:v>1</x:v>
      </x:c>
      <x:c r="AK288" s="11" t="str">
        <x:v>минимум</x:v>
      </x:c>
      <x:c r="AL288" s="31" t="n">
        <x:v>334.0665738697063</x:v>
      </x:c>
      <x:c r="AM28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88" s="12" t="str">
        <x:v>Проверить свободный остаток и установить цену для B2B</x:v>
      </x:c>
      <x:c r="AO288" s="12" t="str">
        <x:v>Остаток 3; прогноз 90 дней 0.76; избыток 2 шт. Будущие поступления не выставляются на продажу. Остаток на начало сентября: требуется актуализация.</x:v>
      </x:c>
      <x:c r="AP288" s="12" t="str">
        <x:v>["category_missing", "daily_stockout_data_missing", "new_order_lead_time_unknown", "reservations_unknown", "stale_stock"]</x:v>
      </x:c>
      <x:c r="AQ288" s="11" t="str">
        <x:v>IEK:030200849_</x:v>
      </x:c>
      <x:c r="AR288" s="23" t="n">
        <x:v>1</x:v>
      </x:c>
      <x:c r="AS288" s="23" t="n">
        <x:v>0</x:v>
      </x:c>
      <x:c r="AT288" s="23" t="n">
        <x:v>0</x:v>
      </x:c>
    </x:row>
    <x:row r="289" ht="64" customHeight="1">
      <x:c r="A289" s="10" t="str">
        <x:v>IEK</x:v>
      </x:c>
      <x:c r="B289" s="34" t="str">
        <x:v>030200850_</x:v>
      </x:c>
      <x:c r="C289" s="34" t="str">
        <x:v>BR-M22-M-K47</x:v>
      </x:c>
      <x:c r="D289" s="13" t="str">
        <x:v>Рамка 2-мест. "BRITE" металл алюминий (1/100)</x:v>
      </x:c>
      <x:c r="E289" s="10" t="str">
        <x:v>шт</x:v>
      </x:c>
      <x:c r="F289" s="37" t="n">
        <x:f>MAX(0,ROUNDDOWN((AG289-AF289)/AR289+0.000000001,0)*AR289)</x:f>
        <x:v>8</x:v>
      </x:c>
      <x:c r="G289" s="21" t="str">
        <x:f>IF(J289="Рассчитано",V289*(1-R289/100)-W289-P289-Q289,"н/д")</x:f>
        <x:v>н/д</x:v>
      </x:c>
      <x:c r="H289" s="13" t="str">
        <x:v>Высокий</x:v>
      </x:c>
      <x:c r="I289" s="13" t="str">
        <x:v>Высокий</x:v>
      </x:c>
      <x:c r="J289" s="13" t="str">
        <x:f>IF(L289="","Укажите валюту",IF(NOT(ISNUMBER(K289)),"Укажите объём",IF(K289&lt;=0,"Укажите объём",IF(K289&gt;F289,"Объём выше излишка",IF(COUNT(M289:O289)&lt;3,"Нужны цены",IF(COUNT(P289:R289)&lt;3,"Нужны расходы",IF(OR(M289&lt;0,N289&lt;0,O289&lt;0,O289&gt;100,P289&lt;0,Q289&lt;0,R289&lt;0,R289&gt;100),"Проверьте значения","Рассчитано")))))))</x:f>
        <x:v>Нужны цены</x:v>
      </x:c>
      <x:c r="K289" s="36" t="n">
        <x:v>8</x:v>
      </x:c>
      <x:c r="L289" s="19" t="str">
        <x:v>KZT</x:v>
      </x:c>
      <x:c r="M289" s="22"/>
      <x:c r="N289" s="22"/>
      <x:c r="O289" s="28"/>
      <x:c r="P289" s="22"/>
      <x:c r="Q289" s="22"/>
      <x:c r="R289" s="28"/>
      <x:c r="S289" s="22"/>
      <x:c r="T289" s="37" t="n">
        <x:f>K289</x:f>
        <x:v>8</x:v>
      </x:c>
      <x:c r="U289" s="21" t="str">
        <x:f>IF(J289="Рассчитано",N289*(1-O289/100),"н/д")</x:f>
        <x:v>н/д</x:v>
      </x:c>
      <x:c r="V289" s="21" t="str">
        <x:f>IF(J289="Рассчитано",T289*U289,"н/д")</x:f>
        <x:v>н/д</x:v>
      </x:c>
      <x:c r="W289" s="21" t="str">
        <x:f>IF(J289="Рассчитано",T289*M289,"н/д")</x:f>
        <x:v>н/д</x:v>
      </x:c>
      <x:c r="X289" s="21" t="str">
        <x:f>IF(J289="Рассчитано",V289-W289,"н/д")</x:f>
        <x:v>н/д</x:v>
      </x:c>
      <x:c r="Y289" s="27" t="str">
        <x:f>IF(J289="Рассчитано",IF(V289&gt;0,G289/V289,"н/д"),"н/д")</x:f>
        <x:v>н/д</x:v>
      </x:c>
      <x:c r="Z289" s="21" t="str">
        <x:f>"н/д"</x:f>
        <x:v>н/д</x:v>
      </x:c>
      <x:c r="AA289" s="21" t="str">
        <x:f>"н/д"</x:f>
        <x:v>н/д</x:v>
      </x:c>
      <x:c r="AB289" s="21" t="str">
        <x:f>"н/д"</x:f>
        <x:v>н/д</x:v>
      </x:c>
      <x:c r="AC289" s="21" t="str">
        <x:f>IF(AND(J289="Рассчитано",T289&gt;0,R289&lt;100),(W289+P289+Q289)/(T289*(1-R289/100)),"н/д")</x:f>
        <x:v>н/д</x:v>
      </x:c>
      <x:c r="AD289" s="10" t="str">
        <x:f>IF(ISNUMBER(G289),IF(G289&lt;0,"Убыток",IF(G289=0,"Без прибыли","Прибыль &gt; 0")),"Не оценён")</x:f>
        <x:v>Не оценён</x:v>
      </x:c>
      <x:c r="AE289" s="13" t="str">
        <x:f>IF(J289="Рассчитано","Выручка "&amp;TEXT(V289,"0.00")&amp;" - себестоимость "&amp;TEXT(W289,"0.00")&amp;" - комиссия "&amp;TEXT(V289*R289/100,"0.00")&amp;" - доставка "&amp;TEXT(P289,"0.00")&amp;" - прочие "&amp;TEXT(Q289,"0.00")&amp;" = "&amp;TEXT(G289,"0.00")&amp;" "&amp;L289,"Введите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9" s="24" t="n">
        <x:v>3.884430717970397</x:v>
      </x:c>
      <x:c r="AG289" s="37" t="n">
        <x:v>12</x:v>
      </x:c>
      <x:c r="AH289" s="37" t="n">
        <x:v>0</x:v>
      </x:c>
      <x:c r="AI289" s="30" t="n">
        <x:v>46266</x:v>
      </x:c>
      <x:c r="AJ289" s="37" t="n">
        <x:v>1</x:v>
      </x:c>
      <x:c r="AK289" s="10" t="str">
        <x:v>минимум</x:v>
      </x:c>
      <x:c r="AL289" s="32" t="n">
        <x:v>262.7077654701338</x:v>
      </x:c>
      <x:c r="AM28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89" s="13" t="str">
        <x:v>Проверить свободный остаток и установить цену для B2B</x:v>
      </x:c>
      <x:c r="AO289" s="13" t="str">
        <x:v>Остаток 12; прогноз 90 дней 3.88; избыток 8 шт. Будущие поступления не выставляются на продажу. Остаток на начало сентября: требуется актуализация.</x:v>
      </x:c>
      <x:c r="AP289" s="13" t="str">
        <x:v>["category_missing", "daily_stockout_data_missing", "negative_net_sales_clipped_for_forecast", "new_order_lead_time_unknown", "reservations_unknown", "stale_stock"]</x:v>
      </x:c>
      <x:c r="AQ289" s="10" t="str">
        <x:v>IEK:030200850_</x:v>
      </x:c>
      <x:c r="AR289" s="24" t="n">
        <x:v>1</x:v>
      </x:c>
      <x:c r="AS289" s="24" t="n">
        <x:v>0</x:v>
      </x:c>
      <x:c r="AT289" s="24" t="n">
        <x:v>0</x:v>
      </x:c>
    </x:row>
    <x:row r="290" ht="64" customHeight="1">
      <x:c r="A290" s="11" t="str">
        <x:v>IEK</x:v>
      </x:c>
      <x:c r="B290" s="33" t="str">
        <x:v>030200851_</x:v>
      </x:c>
      <x:c r="C290" s="33" t="str">
        <x:v>BR-M32-M-K02</x:v>
      </x:c>
      <x:c r="D290" s="12" t="str">
        <x:v>Рамка 3-мест. "BRITE" металл черный (1/50)</x:v>
      </x:c>
      <x:c r="E290" s="11" t="str">
        <x:v>шт</x:v>
      </x:c>
      <x:c r="F290" s="35" t="n">
        <x:f>MAX(0,ROUNDDOWN((AG290-AF290)/AR290+0.000000001,0)*AR290)</x:f>
        <x:v>17</x:v>
      </x:c>
      <x:c r="G290" s="20" t="str">
        <x:f>IF(J290="Рассчитано",V290*(1-R290/100)-W290-P290-Q290,"н/д")</x:f>
        <x:v>н/д</x:v>
      </x:c>
      <x:c r="H290" s="12" t="str">
        <x:v>Высокий</x:v>
      </x:c>
      <x:c r="I290" s="12" t="str">
        <x:v>Высокий</x:v>
      </x:c>
      <x:c r="J290" s="12" t="str">
        <x:f>IF(L290="","Укажите валюту",IF(NOT(ISNUMBER(K290)),"Укажите объём",IF(K290&lt;=0,"Укажите объём",IF(K290&gt;F290,"Объём выше излишка",IF(COUNT(M290:O290)&lt;3,"Нужны цены",IF(COUNT(P290:R290)&lt;3,"Нужны расходы",IF(OR(M290&lt;0,N290&lt;0,O290&lt;0,O290&gt;100,P290&lt;0,Q290&lt;0,R290&lt;0,R290&gt;100),"Проверьте значения","Рассчитано")))))))</x:f>
        <x:v>Нужны цены</x:v>
      </x:c>
      <x:c r="K290" s="36" t="n">
        <x:v>17</x:v>
      </x:c>
      <x:c r="L290" s="19" t="str">
        <x:v>KZT</x:v>
      </x:c>
      <x:c r="M290" s="22"/>
      <x:c r="N290" s="22"/>
      <x:c r="O290" s="28"/>
      <x:c r="P290" s="22"/>
      <x:c r="Q290" s="22"/>
      <x:c r="R290" s="28"/>
      <x:c r="S290" s="22"/>
      <x:c r="T290" s="35" t="n">
        <x:f>K290</x:f>
        <x:v>17</x:v>
      </x:c>
      <x:c r="U290" s="20" t="str">
        <x:f>IF(J290="Рассчитано",N290*(1-O290/100),"н/д")</x:f>
        <x:v>н/д</x:v>
      </x:c>
      <x:c r="V290" s="20" t="str">
        <x:f>IF(J290="Рассчитано",T290*U290,"н/д")</x:f>
        <x:v>н/д</x:v>
      </x:c>
      <x:c r="W290" s="20" t="str">
        <x:f>IF(J290="Рассчитано",T290*M290,"н/д")</x:f>
        <x:v>н/д</x:v>
      </x:c>
      <x:c r="X290" s="20" t="str">
        <x:f>IF(J290="Рассчитано",V290-W290,"н/д")</x:f>
        <x:v>н/д</x:v>
      </x:c>
      <x:c r="Y290" s="26" t="str">
        <x:f>IF(J290="Рассчитано",IF(V290&gt;0,G290/V290,"н/д"),"н/д")</x:f>
        <x:v>н/д</x:v>
      </x:c>
      <x:c r="Z290" s="20" t="str">
        <x:f>"н/д"</x:f>
        <x:v>н/д</x:v>
      </x:c>
      <x:c r="AA290" s="20" t="str">
        <x:f>"н/д"</x:f>
        <x:v>н/д</x:v>
      </x:c>
      <x:c r="AB290" s="20" t="str">
        <x:f>"н/д"</x:f>
        <x:v>н/д</x:v>
      </x:c>
      <x:c r="AC290" s="20" t="str">
        <x:f>IF(AND(J290="Рассчитано",T290&gt;0,R290&lt;100),(W290+P290+Q290)/(T290*(1-R290/100)),"н/д")</x:f>
        <x:v>н/д</x:v>
      </x:c>
      <x:c r="AD290" s="11" t="str">
        <x:f>IF(ISNUMBER(G290),IF(G290&lt;0,"Убыток",IF(G290=0,"Без прибыли","Прибыль &gt; 0")),"Не оценён")</x:f>
        <x:v>Не оценён</x:v>
      </x:c>
      <x:c r="AE290" s="12" t="str">
        <x:f>IF(J290="Рассчитано","Выручка "&amp;TEXT(V290,"0.00")&amp;" - себестоимость "&amp;TEXT(W290,"0.00")&amp;" - комиссия "&amp;TEXT(V290*R290/100,"0.00")&amp;" - доставка "&amp;TEXT(P290,"0.00")&amp;" - прочие "&amp;TEXT(Q290,"0.00")&amp;" = "&amp;TEXT(G290,"0.00")&amp;" "&amp;L290,"Введите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0" s="23" t="n">
        <x:v>0.5857528025185122</x:v>
      </x:c>
      <x:c r="AG290" s="35" t="n">
        <x:v>18</x:v>
      </x:c>
      <x:c r="AH290" s="35" t="n">
        <x:v>0</x:v>
      </x:c>
      <x:c r="AI290" s="29" t="n">
        <x:v>46266</x:v>
      </x:c>
      <x:c r="AJ290" s="35" t="n">
        <x:v>1</x:v>
      </x:c>
      <x:c r="AK290" s="11" t="str">
        <x:v>минимум</x:v>
      </x:c>
      <x:c r="AL290" s="31" t="n">
        <x:v>2613.2272256844194</x:v>
      </x:c>
      <x:c r="AM29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90" s="12" t="str">
        <x:v>Проверить свободный остаток и установить цену для B2B</x:v>
      </x:c>
      <x:c r="AO290" s="12" t="str">
        <x:v>Остаток 18; прогноз 90 дней 0.59; избыток 17 шт. Будущие поступления не выставляются на продажу. Остаток на начало сентября: требуется актуализация.</x:v>
      </x:c>
      <x:c r="AP290" s="12" t="str">
        <x:v>["category_missing", "daily_stockout_data_missing", "negative_net_sales_clipped_for_forecast", "new_order_lead_time_unknown", "reservations_unknown", "stale_stock"]</x:v>
      </x:c>
      <x:c r="AQ290" s="11" t="str">
        <x:v>IEK:030200851_</x:v>
      </x:c>
      <x:c r="AR290" s="23" t="n">
        <x:v>1</x:v>
      </x:c>
      <x:c r="AS290" s="23" t="n">
        <x:v>0</x:v>
      </x:c>
      <x:c r="AT290" s="23" t="n">
        <x:v>0</x:v>
      </x:c>
    </x:row>
    <x:row r="291" ht="64" customHeight="1">
      <x:c r="A291" s="10" t="str">
        <x:v>IEK</x:v>
      </x:c>
      <x:c r="B291" s="34" t="str">
        <x:v>030200852_</x:v>
      </x:c>
      <x:c r="C291" s="34" t="str">
        <x:v>BR-M32-M-K47</x:v>
      </x:c>
      <x:c r="D291" s="13" t="str">
        <x:v>Рамка 3-мест. "BRITE" металл алюминий (1/50)</x:v>
      </x:c>
      <x:c r="E291" s="10" t="str">
        <x:v>шт</x:v>
      </x:c>
      <x:c r="F291" s="37" t="n">
        <x:f>MAX(0,ROUNDDOWN((AG291-AF291)/AR291+0.000000001,0)*AR291)</x:f>
        <x:v>17</x:v>
      </x:c>
      <x:c r="G291" s="21" t="str">
        <x:f>IF(J291="Рассчитано",V291*(1-R291/100)-W291-P291-Q291,"н/д")</x:f>
        <x:v>н/д</x:v>
      </x:c>
      <x:c r="H291" s="13" t="str">
        <x:v>Высокий</x:v>
      </x:c>
      <x:c r="I291" s="13" t="str">
        <x:v>Высокий</x:v>
      </x:c>
      <x:c r="J291" s="13" t="str">
        <x:f>IF(L291="","Укажите валюту",IF(NOT(ISNUMBER(K291)),"Укажите объём",IF(K291&lt;=0,"Укажите объём",IF(K291&gt;F291,"Объём выше излишка",IF(COUNT(M291:O291)&lt;3,"Нужны цены",IF(COUNT(P291:R291)&lt;3,"Нужны расходы",IF(OR(M291&lt;0,N291&lt;0,O291&lt;0,O291&gt;100,P291&lt;0,Q291&lt;0,R291&lt;0,R291&gt;100),"Проверьте значения","Рассчитано")))))))</x:f>
        <x:v>Нужны цены</x:v>
      </x:c>
      <x:c r="K291" s="36" t="n">
        <x:v>17</x:v>
      </x:c>
      <x:c r="L291" s="19" t="str">
        <x:v>KZT</x:v>
      </x:c>
      <x:c r="M291" s="22"/>
      <x:c r="N291" s="22"/>
      <x:c r="O291" s="28"/>
      <x:c r="P291" s="22"/>
      <x:c r="Q291" s="22"/>
      <x:c r="R291" s="28"/>
      <x:c r="S291" s="22"/>
      <x:c r="T291" s="37" t="n">
        <x:f>K291</x:f>
        <x:v>17</x:v>
      </x:c>
      <x:c r="U291" s="21" t="str">
        <x:f>IF(J291="Рассчитано",N291*(1-O291/100),"н/д")</x:f>
        <x:v>н/д</x:v>
      </x:c>
      <x:c r="V291" s="21" t="str">
        <x:f>IF(J291="Рассчитано",T291*U291,"н/д")</x:f>
        <x:v>н/д</x:v>
      </x:c>
      <x:c r="W291" s="21" t="str">
        <x:f>IF(J291="Рассчитано",T291*M291,"н/д")</x:f>
        <x:v>н/д</x:v>
      </x:c>
      <x:c r="X291" s="21" t="str">
        <x:f>IF(J291="Рассчитано",V291-W291,"н/д")</x:f>
        <x:v>н/д</x:v>
      </x:c>
      <x:c r="Y291" s="27" t="str">
        <x:f>IF(J291="Рассчитано",IF(V291&gt;0,G291/V291,"н/д"),"н/д")</x:f>
        <x:v>н/д</x:v>
      </x:c>
      <x:c r="Z291" s="21" t="str">
        <x:f>"н/д"</x:f>
        <x:v>н/д</x:v>
      </x:c>
      <x:c r="AA291" s="21" t="str">
        <x:f>"н/д"</x:f>
        <x:v>н/д</x:v>
      </x:c>
      <x:c r="AB291" s="21" t="str">
        <x:f>"н/д"</x:f>
        <x:v>н/д</x:v>
      </x:c>
      <x:c r="AC291" s="21" t="str">
        <x:f>IF(AND(J291="Рассчитано",T291&gt;0,R291&lt;100),(W291+P291+Q291)/(T291*(1-R291/100)),"н/д")</x:f>
        <x:v>н/д</x:v>
      </x:c>
      <x:c r="AD291" s="10" t="str">
        <x:f>IF(ISNUMBER(G291),IF(G291&lt;0,"Убыток",IF(G291=0,"Без прибыли","Прибыль &gt; 0")),"Не оценён")</x:f>
        <x:v>Не оценён</x:v>
      </x:c>
      <x:c r="AE291" s="13" t="str">
        <x:f>IF(J291="Рассчитано","Выручка "&amp;TEXT(V291,"0.00")&amp;" - себестоимость "&amp;TEXT(W291,"0.00")&amp;" - комиссия "&amp;TEXT(V291*R291/100,"0.00")&amp;" - доставка "&amp;TEXT(P291,"0.00")&amp;" - прочие "&amp;TEXT(Q291,"0.00")&amp;" = "&amp;TEXT(G291,"0.00")&amp;" "&amp;L291,"Введите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1" s="24" t="n">
        <x:v>1.5999626906924245</x:v>
      </x:c>
      <x:c r="AG291" s="37" t="n">
        <x:v>19</x:v>
      </x:c>
      <x:c r="AH291" s="37" t="n">
        <x:v>0</x:v>
      </x:c>
      <x:c r="AI291" s="30" t="n">
        <x:v>46266</x:v>
      </x:c>
      <x:c r="AJ291" s="37" t="n">
        <x:v>1</x:v>
      </x:c>
      <x:c r="AK291" s="10" t="str">
        <x:v>минимум</x:v>
      </x:c>
      <x:c r="AL291" s="32" t="n">
        <x:v>1009.8637653439259</x:v>
      </x:c>
      <x:c r="AM29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91" s="13" t="str">
        <x:v>Проверить свободный остаток и установить цену для B2B</x:v>
      </x:c>
      <x:c r="AO291" s="13" t="str">
        <x:v>Остаток 19; прогноз 90 дней 1.60; избыток 17 шт. Будущие поступления не выставляются на продажу. Остаток на начало сентября: требуется актуализация.</x:v>
      </x:c>
      <x:c r="AP291" s="13" t="str">
        <x:v>["category_missing", "daily_stockout_data_missing", "negative_net_sales_clipped_for_forecast", "new_order_lead_time_unknown", "reservations_unknown", "stale_stock"]</x:v>
      </x:c>
      <x:c r="AQ291" s="10" t="str">
        <x:v>IEK:030200852_</x:v>
      </x:c>
      <x:c r="AR291" s="24" t="n">
        <x:v>1</x:v>
      </x:c>
      <x:c r="AS291" s="24" t="n">
        <x:v>0</x:v>
      </x:c>
      <x:c r="AT291" s="24" t="n">
        <x:v>0</x:v>
      </x:c>
    </x:row>
    <x:row r="292" ht="64" customHeight="1">
      <x:c r="A292" s="11" t="str">
        <x:v>IEK</x:v>
      </x:c>
      <x:c r="B292" s="33" t="str">
        <x:v>030200853_</x:v>
      </x:c>
      <x:c r="C292" s="33" t="str">
        <x:v>BR-M42-M-K02</x:v>
      </x:c>
      <x:c r="D292" s="12" t="str">
        <x:v>Рамка 4-мест. "BRITE" металл черный (1/50)</x:v>
      </x:c>
      <x:c r="E292" s="11" t="str">
        <x:v>шт</x:v>
      </x:c>
      <x:c r="F292" s="35" t="n">
        <x:f>MAX(0,ROUNDDOWN((AG292-AF292)/AR292+0.000000001,0)*AR292)</x:f>
        <x:v>6</x:v>
      </x:c>
      <x:c r="G292" s="20" t="str">
        <x:f>IF(J292="Рассчитано",V292*(1-R292/100)-W292-P292-Q292,"н/д")</x:f>
        <x:v>н/д</x:v>
      </x:c>
      <x:c r="H292" s="12" t="str">
        <x:v>Высокий</x:v>
      </x:c>
      <x:c r="I292" s="12" t="str">
        <x:v>Высокий</x:v>
      </x:c>
      <x:c r="J292" s="12" t="str">
        <x:f>IF(L292="","Укажите валюту",IF(NOT(ISNUMBER(K292)),"Укажите объём",IF(K292&lt;=0,"Укажите объём",IF(K292&gt;F292,"Объём выше излишка",IF(COUNT(M292:O292)&lt;3,"Нужны цены",IF(COUNT(P292:R292)&lt;3,"Нужны расходы",IF(OR(M292&lt;0,N292&lt;0,O292&lt;0,O292&gt;100,P292&lt;0,Q292&lt;0,R292&lt;0,R292&gt;100),"Проверьте значения","Рассчитано")))))))</x:f>
        <x:v>Нужны цены</x:v>
      </x:c>
      <x:c r="K292" s="36" t="n">
        <x:v>6</x:v>
      </x:c>
      <x:c r="L292" s="19" t="str">
        <x:v>KZT</x:v>
      </x:c>
      <x:c r="M292" s="22"/>
      <x:c r="N292" s="22"/>
      <x:c r="O292" s="28"/>
      <x:c r="P292" s="22"/>
      <x:c r="Q292" s="22"/>
      <x:c r="R292" s="28"/>
      <x:c r="S292" s="22"/>
      <x:c r="T292" s="35" t="n">
        <x:f>K292</x:f>
        <x:v>6</x:v>
      </x:c>
      <x:c r="U292" s="20" t="str">
        <x:f>IF(J292="Рассчитано",N292*(1-O292/100),"н/д")</x:f>
        <x:v>н/д</x:v>
      </x:c>
      <x:c r="V292" s="20" t="str">
        <x:f>IF(J292="Рассчитано",T292*U292,"н/д")</x:f>
        <x:v>н/д</x:v>
      </x:c>
      <x:c r="W292" s="20" t="str">
        <x:f>IF(J292="Рассчитано",T292*M292,"н/д")</x:f>
        <x:v>н/д</x:v>
      </x:c>
      <x:c r="X292" s="20" t="str">
        <x:f>IF(J292="Рассчитано",V292-W292,"н/д")</x:f>
        <x:v>н/д</x:v>
      </x:c>
      <x:c r="Y292" s="26" t="str">
        <x:f>IF(J292="Рассчитано",IF(V292&gt;0,G292/V292,"н/д"),"н/д")</x:f>
        <x:v>н/д</x:v>
      </x:c>
      <x:c r="Z292" s="20" t="str">
        <x:f>"н/д"</x:f>
        <x:v>н/д</x:v>
      </x:c>
      <x:c r="AA292" s="20" t="str">
        <x:f>"н/д"</x:f>
        <x:v>н/д</x:v>
      </x:c>
      <x:c r="AB292" s="20" t="str">
        <x:f>"н/д"</x:f>
        <x:v>н/д</x:v>
      </x:c>
      <x:c r="AC292" s="20" t="str">
        <x:f>IF(AND(J292="Рассчитано",T292&gt;0,R292&lt;100),(W292+P292+Q292)/(T292*(1-R292/100)),"н/д")</x:f>
        <x:v>н/д</x:v>
      </x:c>
      <x:c r="AD292" s="11" t="str">
        <x:f>IF(ISNUMBER(G292),IF(G292&lt;0,"Убыток",IF(G292=0,"Без прибыли","Прибыль &gt; 0")),"Не оценён")</x:f>
        <x:v>Не оценён</x:v>
      </x:c>
      <x:c r="AE292" s="12" t="str">
        <x:f>IF(J292="Рассчитано","Выручка "&amp;TEXT(V292,"0.00")&amp;" - себестоимость "&amp;TEXT(W292,"0.00")&amp;" - комиссия "&amp;TEXT(V292*R292/100,"0.00")&amp;" - доставка "&amp;TEXT(P292,"0.00")&amp;" - прочие "&amp;TEXT(Q292,"0.00")&amp;" = "&amp;TEXT(G292,"0.00")&amp;" "&amp;L292,"Введите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2" s="23" t="n">
        <x:v>0.09865067005171732</x:v>
      </x:c>
      <x:c r="AG292" s="35" t="n">
        <x:v>7</x:v>
      </x:c>
      <x:c r="AH292" s="35" t="n">
        <x:v>0</x:v>
      </x:c>
      <x:c r="AI292" s="29" t="n">
        <x:v>46266</x:v>
      </x:c>
      <x:c r="AJ292" s="35" t="n">
        <x:v>1</x:v>
      </x:c>
      <x:c r="AK292" s="11" t="str">
        <x:v>минимум</x:v>
      </x:c>
      <x:c r="AL292" s="31" t="n">
        <x:v>6034.163101769433</x:v>
      </x:c>
      <x:c r="AM29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92" s="12" t="str">
        <x:v>Проверить свободный остаток и установить цену для B2B</x:v>
      </x:c>
      <x:c r="AO292" s="12" t="str">
        <x:v>Остаток 7; прогноз 90 дней 0.10; избыток 6 шт. Будущие поступления не выставляются на продажу. Остаток на начало сентября: требуется актуализация.</x:v>
      </x:c>
      <x:c r="AP292" s="12" t="str">
        <x:v>["category_missing", "daily_stockout_data_missing", "negative_net_sales_clipped_for_forecast", "new_order_lead_time_unknown", "reservations_unknown", "stale_stock"]</x:v>
      </x:c>
      <x:c r="AQ292" s="11" t="str">
        <x:v>IEK:030200853_</x:v>
      </x:c>
      <x:c r="AR292" s="23" t="n">
        <x:v>1</x:v>
      </x:c>
      <x:c r="AS292" s="23" t="n">
        <x:v>0</x:v>
      </x:c>
      <x:c r="AT292" s="23" t="n">
        <x:v>0</x:v>
      </x:c>
    </x:row>
    <x:row r="293" ht="64" customHeight="1">
      <x:c r="A293" s="10" t="str">
        <x:v>IEK</x:v>
      </x:c>
      <x:c r="B293" s="34" t="str">
        <x:v>030200854_</x:v>
      </x:c>
      <x:c r="C293" s="34" t="str">
        <x:v>BR-M42-M-K47</x:v>
      </x:c>
      <x:c r="D293" s="13" t="str">
        <x:v>Рамка 4-мест. "BRITE" металл алюминий (1/50)</x:v>
      </x:c>
      <x:c r="E293" s="10" t="str">
        <x:v>шт</x:v>
      </x:c>
      <x:c r="F293" s="37" t="n">
        <x:f>MAX(0,ROUNDDOWN((AG293-AF293)/AR293+0.000000001,0)*AR293)</x:f>
        <x:v>16</x:v>
      </x:c>
      <x:c r="G293" s="21" t="str">
        <x:f>IF(J293="Рассчитано",V293*(1-R293/100)-W293-P293-Q293,"н/д")</x:f>
        <x:v>н/д</x:v>
      </x:c>
      <x:c r="H293" s="13" t="str">
        <x:v>Высокий</x:v>
      </x:c>
      <x:c r="I293" s="13" t="str">
        <x:v>Высокий</x:v>
      </x:c>
      <x:c r="J293" s="13" t="str">
        <x:f>IF(L293="","Укажите валюту",IF(NOT(ISNUMBER(K293)),"Укажите объём",IF(K293&lt;=0,"Укажите объём",IF(K293&gt;F293,"Объём выше излишка",IF(COUNT(M293:O293)&lt;3,"Нужны цены",IF(COUNT(P293:R293)&lt;3,"Нужны расходы",IF(OR(M293&lt;0,N293&lt;0,O293&lt;0,O293&gt;100,P293&lt;0,Q293&lt;0,R293&lt;0,R293&gt;100),"Проверьте значения","Рассчитано")))))))</x:f>
        <x:v>Нужны цены</x:v>
      </x:c>
      <x:c r="K293" s="36" t="n">
        <x:v>16</x:v>
      </x:c>
      <x:c r="L293" s="19" t="str">
        <x:v>KZT</x:v>
      </x:c>
      <x:c r="M293" s="22"/>
      <x:c r="N293" s="22"/>
      <x:c r="O293" s="28"/>
      <x:c r="P293" s="22"/>
      <x:c r="Q293" s="22"/>
      <x:c r="R293" s="28"/>
      <x:c r="S293" s="22"/>
      <x:c r="T293" s="37" t="n">
        <x:f>K293</x:f>
        <x:v>16</x:v>
      </x:c>
      <x:c r="U293" s="21" t="str">
        <x:f>IF(J293="Рассчитано",N293*(1-O293/100),"н/д")</x:f>
        <x:v>н/д</x:v>
      </x:c>
      <x:c r="V293" s="21" t="str">
        <x:f>IF(J293="Рассчитано",T293*U293,"н/д")</x:f>
        <x:v>н/д</x:v>
      </x:c>
      <x:c r="W293" s="21" t="str">
        <x:f>IF(J293="Рассчитано",T293*M293,"н/д")</x:f>
        <x:v>н/д</x:v>
      </x:c>
      <x:c r="X293" s="21" t="str">
        <x:f>IF(J293="Рассчитано",V293-W293,"н/д")</x:f>
        <x:v>н/д</x:v>
      </x:c>
      <x:c r="Y293" s="27" t="str">
        <x:f>IF(J293="Рассчитано",IF(V293&gt;0,G293/V293,"н/д"),"н/д")</x:f>
        <x:v>н/д</x:v>
      </x:c>
      <x:c r="Z293" s="21" t="str">
        <x:f>"н/д"</x:f>
        <x:v>н/д</x:v>
      </x:c>
      <x:c r="AA293" s="21" t="str">
        <x:f>"н/д"</x:f>
        <x:v>н/д</x:v>
      </x:c>
      <x:c r="AB293" s="21" t="str">
        <x:f>"н/д"</x:f>
        <x:v>н/д</x:v>
      </x:c>
      <x:c r="AC293" s="21" t="str">
        <x:f>IF(AND(J293="Рассчитано",T293&gt;0,R293&lt;100),(W293+P293+Q293)/(T293*(1-R293/100)),"н/д")</x:f>
        <x:v>н/д</x:v>
      </x:c>
      <x:c r="AD293" s="10" t="str">
        <x:f>IF(ISNUMBER(G293),IF(G293&lt;0,"Убыток",IF(G293=0,"Без прибыли","Прибыль &gt; 0")),"Не оценён")</x:f>
        <x:v>Не оценён</x:v>
      </x:c>
      <x:c r="AE293" s="13" t="str">
        <x:f>IF(J293="Рассчитано","Выручка "&amp;TEXT(V293,"0.00")&amp;" - себестоимость "&amp;TEXT(W293,"0.00")&amp;" - комиссия "&amp;TEXT(V293*R293/100,"0.00")&amp;" - доставка "&amp;TEXT(P293,"0.00")&amp;" - прочие "&amp;TEXT(Q293,"0.00")&amp;" = "&amp;TEXT(G293,"0.00")&amp;" "&amp;L293,"Введите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3" s="24" t="n">
        <x:v>0.7999813453462122</x:v>
      </x:c>
      <x:c r="AG293" s="37" t="n">
        <x:v>17</x:v>
      </x:c>
      <x:c r="AH293" s="37" t="n">
        <x:v>0</x:v>
      </x:c>
      <x:c r="AI293" s="30" t="n">
        <x:v>46266</x:v>
      </x:c>
      <x:c r="AJ293" s="37" t="n">
        <x:v>1</x:v>
      </x:c>
      <x:c r="AK293" s="10" t="str">
        <x:v>минимум</x:v>
      </x:c>
      <x:c r="AL293" s="32" t="n">
        <x:v>1807.1246327207098</x:v>
      </x:c>
      <x:c r="AM29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93" s="13" t="str">
        <x:v>Проверить свободный остаток и установить цену для B2B</x:v>
      </x:c>
      <x:c r="AO293" s="13" t="str">
        <x:v>Остаток 17; прогноз 90 дней 0.80; избыток 16 шт. Будущие поступления не выставляются на продажу. Остаток на начало сентября: требуется актуализация.</x:v>
      </x:c>
      <x:c r="AP293" s="13" t="str">
        <x:v>["category_missing", "daily_stockout_data_missing", "negative_net_sales_clipped_for_forecast", "new_order_lead_time_unknown", "reservations_unknown", "stale_stock"]</x:v>
      </x:c>
      <x:c r="AQ293" s="10" t="str">
        <x:v>IEK:030200854_</x:v>
      </x:c>
      <x:c r="AR293" s="24" t="n">
        <x:v>1</x:v>
      </x:c>
      <x:c r="AS293" s="24" t="n">
        <x:v>0</x:v>
      </x:c>
      <x:c r="AT293" s="24" t="n">
        <x:v>0</x:v>
      </x:c>
    </x:row>
    <x:row r="294" ht="64" customHeight="1">
      <x:c r="A294" s="11" t="str">
        <x:v>IEK</x:v>
      </x:c>
      <x:c r="B294" s="33" t="str">
        <x:v>030200855_</x:v>
      </x:c>
      <x:c r="C294" s="33" t="str">
        <x:v>BR-M12-G-K01</x:v>
      </x:c>
      <x:c r="D294" s="12" t="str">
        <x:v>Рамка 1-мест. "BRITE" стекло белый (1/100)</x:v>
      </x:c>
      <x:c r="E294" s="11" t="str">
        <x:v>шт</x:v>
      </x:c>
      <x:c r="F294" s="35" t="n">
        <x:f>MAX(0,ROUNDDOWN((AG294-AF294)/AR294+0.000000001,0)*AR294)</x:f>
        <x:v>6</x:v>
      </x:c>
      <x:c r="G294" s="20" t="str">
        <x:f>IF(J294="Рассчитано",V294*(1-R294/100)-W294-P294-Q294,"н/д")</x:f>
        <x:v>н/д</x:v>
      </x:c>
      <x:c r="H294" s="12" t="str">
        <x:v>Высокий</x:v>
      </x:c>
      <x:c r="I294" s="12" t="str">
        <x:v>Средний</x:v>
      </x:c>
      <x:c r="J294" s="12" t="str">
        <x:f>IF(L294="","Укажите валюту",IF(NOT(ISNUMBER(K294)),"Укажите объём",IF(K294&lt;=0,"Укажите объём",IF(K294&gt;F294,"Объём выше излишка",IF(COUNT(M294:O294)&lt;3,"Нужны цены",IF(COUNT(P294:R294)&lt;3,"Нужны расходы",IF(OR(M294&lt;0,N294&lt;0,O294&lt;0,O294&gt;100,P294&lt;0,Q294&lt;0,R294&lt;0,R294&gt;100),"Проверьте значения","Рассчитано")))))))</x:f>
        <x:v>Нужны цены</x:v>
      </x:c>
      <x:c r="K294" s="36" t="n">
        <x:v>6</x:v>
      </x:c>
      <x:c r="L294" s="19" t="str">
        <x:v>KZT</x:v>
      </x:c>
      <x:c r="M294" s="22"/>
      <x:c r="N294" s="22"/>
      <x:c r="O294" s="28"/>
      <x:c r="P294" s="22"/>
      <x:c r="Q294" s="22"/>
      <x:c r="R294" s="28"/>
      <x:c r="S294" s="22"/>
      <x:c r="T294" s="35" t="n">
        <x:f>K294</x:f>
        <x:v>6</x:v>
      </x:c>
      <x:c r="U294" s="20" t="str">
        <x:f>IF(J294="Рассчитано",N294*(1-O294/100),"н/д")</x:f>
        <x:v>н/д</x:v>
      </x:c>
      <x:c r="V294" s="20" t="str">
        <x:f>IF(J294="Рассчитано",T294*U294,"н/д")</x:f>
        <x:v>н/д</x:v>
      </x:c>
      <x:c r="W294" s="20" t="str">
        <x:f>IF(J294="Рассчитано",T294*M294,"н/д")</x:f>
        <x:v>н/д</x:v>
      </x:c>
      <x:c r="X294" s="20" t="str">
        <x:f>IF(J294="Рассчитано",V294-W294,"н/д")</x:f>
        <x:v>н/д</x:v>
      </x:c>
      <x:c r="Y294" s="26" t="str">
        <x:f>IF(J294="Рассчитано",IF(V294&gt;0,G294/V294,"н/д"),"н/д")</x:f>
        <x:v>н/д</x:v>
      </x:c>
      <x:c r="Z294" s="20" t="str">
        <x:f>"н/д"</x:f>
        <x:v>н/д</x:v>
      </x:c>
      <x:c r="AA294" s="20" t="str">
        <x:f>"н/д"</x:f>
        <x:v>н/д</x:v>
      </x:c>
      <x:c r="AB294" s="20" t="str">
        <x:f>"н/д"</x:f>
        <x:v>н/д</x:v>
      </x:c>
      <x:c r="AC294" s="20" t="str">
        <x:f>IF(AND(J294="Рассчитано",T294&gt;0,R294&lt;100),(W294+P294+Q294)/(T294*(1-R294/100)),"н/д")</x:f>
        <x:v>н/д</x:v>
      </x:c>
      <x:c r="AD294" s="11" t="str">
        <x:f>IF(ISNUMBER(G294),IF(G294&lt;0,"Убыток",IF(G294=0,"Без прибыли","Прибыль &gt; 0")),"Не оценён")</x:f>
        <x:v>Не оценён</x:v>
      </x:c>
      <x:c r="AE294" s="12" t="str">
        <x:f>IF(J294="Рассчитано","Выручка "&amp;TEXT(V294,"0.00")&amp;" - себестоимость "&amp;TEXT(W294,"0.00")&amp;" - комиссия "&amp;TEXT(V294*R294/100,"0.00")&amp;" - доставка "&amp;TEXT(P294,"0.00")&amp;" - прочие "&amp;TEXT(Q294,"0.00")&amp;" = "&amp;TEXT(G294,"0.00")&amp;" "&amp;L294,"Введите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4" s="23" t="n">
        <x:v>10.578549080490056</x:v>
      </x:c>
      <x:c r="AG294" s="35" t="n">
        <x:v>17</x:v>
      </x:c>
      <x:c r="AH294" s="35" t="n">
        <x:v>0</x:v>
      </x:c>
      <x:c r="AI294" s="29" t="n">
        <x:v>46266</x:v>
      </x:c>
      <x:c r="AJ294" s="35" t="n">
        <x:v>1</x:v>
      </x:c>
      <x:c r="AK294" s="11" t="str">
        <x:v>минимум</x:v>
      </x:c>
      <x:c r="AL294" s="31" t="n">
        <x:v>136.66013967439346</x:v>
      </x:c>
      <x:c r="AM294" s="12" t="str">
        <x:v>Остаток на начало сентября; Резервы неизвестны; Нет ежедневных данных доступности. Запас выше прогноза на 90 дней</x:v>
      </x:c>
      <x:c r="AN294" s="12" t="str">
        <x:v>Проверить свободный остаток и установить цену для B2B</x:v>
      </x:c>
      <x:c r="AO294" s="12" t="str">
        <x:v>Остаток 17; прогноз 90 дней 10.58; избыток 6 шт. Будущие поступления не выставляются на продажу. Остаток на начало сентября: требуется актуализация.</x:v>
      </x:c>
      <x:c r="AP294" s="12" t="str">
        <x:v>["category_missing", "daily_stockout_data_missing", "large_orders_detected", "negative_net_sales_clipped_for_forecast", "new_order_lead_time_unknown", "reservations_unknown", "stale_stock"]</x:v>
      </x:c>
      <x:c r="AQ294" s="11" t="str">
        <x:v>IEK:030200855_</x:v>
      </x:c>
      <x:c r="AR294" s="23" t="n">
        <x:v>1</x:v>
      </x:c>
      <x:c r="AS294" s="23" t="n">
        <x:v>0</x:v>
      </x:c>
      <x:c r="AT294" s="23" t="n">
        <x:v>0</x:v>
      </x:c>
    </x:row>
    <x:row r="295" ht="64" customHeight="1">
      <x:c r="A295" s="10" t="str">
        <x:v>IEK</x:v>
      </x:c>
      <x:c r="B295" s="34" t="str">
        <x:v>030200856_</x:v>
      </x:c>
      <x:c r="C295" s="34" t="str">
        <x:v>BR-M12-G-K02</x:v>
      </x:c>
      <x:c r="D295" s="13" t="str">
        <x:v>Рамка 1-мест. "BRITE" стекло черный (1/100)</x:v>
      </x:c>
      <x:c r="E295" s="10" t="str">
        <x:v>шт</x:v>
      </x:c>
      <x:c r="F295" s="37" t="n">
        <x:f>MAX(0,ROUNDDOWN((AG295-AF295)/AR295+0.000000001,0)*AR295)</x:f>
        <x:v>15</x:v>
      </x:c>
      <x:c r="G295" s="21" t="str">
        <x:f>IF(J295="Рассчитано",V295*(1-R295/100)-W295-P295-Q295,"н/д")</x:f>
        <x:v>н/д</x:v>
      </x:c>
      <x:c r="H295" s="13" t="str">
        <x:v>Высокий</x:v>
      </x:c>
      <x:c r="I295" s="13" t="str">
        <x:v>Высокий</x:v>
      </x:c>
      <x:c r="J295" s="13" t="str">
        <x:f>IF(L295="","Укажите валюту",IF(NOT(ISNUMBER(K295)),"Укажите объём",IF(K295&lt;=0,"Укажите объём",IF(K295&gt;F295,"Объём выше излишка",IF(COUNT(M295:O295)&lt;3,"Нужны цены",IF(COUNT(P295:R295)&lt;3,"Нужны расходы",IF(OR(M295&lt;0,N295&lt;0,O295&lt;0,O295&gt;100,P295&lt;0,Q295&lt;0,R295&lt;0,R295&gt;100),"Проверьте значения","Рассчитано")))))))</x:f>
        <x:v>Нужны цены</x:v>
      </x:c>
      <x:c r="K295" s="36" t="n">
        <x:v>15</x:v>
      </x:c>
      <x:c r="L295" s="19" t="str">
        <x:v>KZT</x:v>
      </x:c>
      <x:c r="M295" s="22"/>
      <x:c r="N295" s="22"/>
      <x:c r="O295" s="28"/>
      <x:c r="P295" s="22"/>
      <x:c r="Q295" s="22"/>
      <x:c r="R295" s="28"/>
      <x:c r="S295" s="22"/>
      <x:c r="T295" s="37" t="n">
        <x:f>K295</x:f>
        <x:v>15</x:v>
      </x:c>
      <x:c r="U295" s="21" t="str">
        <x:f>IF(J295="Рассчитано",N295*(1-O295/100),"н/д")</x:f>
        <x:v>н/д</x:v>
      </x:c>
      <x:c r="V295" s="21" t="str">
        <x:f>IF(J295="Рассчитано",T295*U295,"н/д")</x:f>
        <x:v>н/д</x:v>
      </x:c>
      <x:c r="W295" s="21" t="str">
        <x:f>IF(J295="Рассчитано",T295*M295,"н/д")</x:f>
        <x:v>н/д</x:v>
      </x:c>
      <x:c r="X295" s="21" t="str">
        <x:f>IF(J295="Рассчитано",V295-W295,"н/д")</x:f>
        <x:v>н/д</x:v>
      </x:c>
      <x:c r="Y295" s="27" t="str">
        <x:f>IF(J295="Рассчитано",IF(V295&gt;0,G295/V295,"н/д"),"н/д")</x:f>
        <x:v>н/д</x:v>
      </x:c>
      <x:c r="Z295" s="21" t="str">
        <x:f>"н/д"</x:f>
        <x:v>н/д</x:v>
      </x:c>
      <x:c r="AA295" s="21" t="str">
        <x:f>"н/д"</x:f>
        <x:v>н/д</x:v>
      </x:c>
      <x:c r="AB295" s="21" t="str">
        <x:f>"н/д"</x:f>
        <x:v>н/д</x:v>
      </x:c>
      <x:c r="AC295" s="21" t="str">
        <x:f>IF(AND(J295="Рассчитано",T295&gt;0,R295&lt;100),(W295+P295+Q295)/(T295*(1-R295/100)),"н/д")</x:f>
        <x:v>н/д</x:v>
      </x:c>
      <x:c r="AD295" s="10" t="str">
        <x:f>IF(ISNUMBER(G295),IF(G295&lt;0,"Убыток",IF(G295=0,"Без прибыли","Прибыль &gt; 0")),"Не оценён")</x:f>
        <x:v>Не оценён</x:v>
      </x:c>
      <x:c r="AE295" s="13" t="str">
        <x:f>IF(J295="Рассчитано","Выручка "&amp;TEXT(V295,"0.00")&amp;" - себестоимость "&amp;TEXT(W295,"0.00")&amp;" - комиссия "&amp;TEXT(V295*R295/100,"0.00")&amp;" - доставка "&amp;TEXT(P295,"0.00")&amp;" - прочие "&amp;TEXT(Q295,"0.00")&amp;" = "&amp;TEXT(G295,"0.00")&amp;" "&amp;L295,"Введите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5" s="24" t="n">
        <x:v>3.614986963582232</x:v>
      </x:c>
      <x:c r="AG295" s="37" t="n">
        <x:v>19</x:v>
      </x:c>
      <x:c r="AH295" s="37" t="n">
        <x:v>0</x:v>
      </x:c>
      <x:c r="AI295" s="30" t="n">
        <x:v>46266</x:v>
      </x:c>
      <x:c r="AJ295" s="37" t="n">
        <x:v>1</x:v>
      </x:c>
      <x:c r="AK295" s="10" t="str">
        <x:v>минимум</x:v>
      </x:c>
      <x:c r="AL295" s="32" t="n">
        <x:v>446.9571712179425</x:v>
      </x:c>
      <x:c r="AM29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95" s="13" t="str">
        <x:v>Проверить свободный остаток и установить цену для B2B</x:v>
      </x:c>
      <x:c r="AO295" s="13" t="str">
        <x:v>Остаток 19; прогноз 90 дней 3.61; избыток 15 шт. Будущие поступления не выставляются на продажу. Остаток на начало сентября: требуется актуализация.</x:v>
      </x:c>
      <x:c r="AP295" s="13" t="str">
        <x:v>["category_missing", "daily_stockout_data_missing", "negative_net_sales_clipped_for_forecast", "new_order_lead_time_unknown", "reservations_unknown", "stale_stock"]</x:v>
      </x:c>
      <x:c r="AQ295" s="10" t="str">
        <x:v>IEK:030200856_</x:v>
      </x:c>
      <x:c r="AR295" s="24" t="n">
        <x:v>1</x:v>
      </x:c>
      <x:c r="AS295" s="24" t="n">
        <x:v>0</x:v>
      </x:c>
      <x:c r="AT295" s="24" t="n">
        <x:v>0</x:v>
      </x:c>
    </x:row>
    <x:row r="296" ht="64" customHeight="1">
      <x:c r="A296" s="11" t="str">
        <x:v>IEK</x:v>
      </x:c>
      <x:c r="B296" s="33" t="str">
        <x:v>030200857_</x:v>
      </x:c>
      <x:c r="C296" s="33" t="str">
        <x:v>BR-M22-G-K01</x:v>
      </x:c>
      <x:c r="D296" s="12" t="str">
        <x:v>Рамка 2-мест. "BRITE" стекло белый (1/100)</x:v>
      </x:c>
      <x:c r="E296" s="11" t="str">
        <x:v>шт</x:v>
      </x:c>
      <x:c r="F296" s="35" t="n">
        <x:f>MAX(0,ROUNDDOWN((AG296-AF296)/AR296+0.000000001,0)*AR296)</x:f>
        <x:v>3</x:v>
      </x:c>
      <x:c r="G296" s="20" t="str">
        <x:f>IF(J296="Рассчитано",V296*(1-R296/100)-W296-P296-Q296,"н/д")</x:f>
        <x:v>н/д</x:v>
      </x:c>
      <x:c r="H296" s="12" t="str">
        <x:v>Высокий</x:v>
      </x:c>
      <x:c r="I296" s="12" t="str">
        <x:v>Средний</x:v>
      </x:c>
      <x:c r="J296" s="12" t="str">
        <x:f>IF(L296="","Укажите валюту",IF(NOT(ISNUMBER(K296)),"Укажите объём",IF(K296&lt;=0,"Укажите объём",IF(K296&gt;F296,"Объём выше излишка",IF(COUNT(M296:O296)&lt;3,"Нужны цены",IF(COUNT(P296:R296)&lt;3,"Нужны расходы",IF(OR(M296&lt;0,N296&lt;0,O296&lt;0,O296&gt;100,P296&lt;0,Q296&lt;0,R296&lt;0,R296&gt;100),"Проверьте значения","Рассчитано")))))))</x:f>
        <x:v>Нужны цены</x:v>
      </x:c>
      <x:c r="K296" s="36" t="n">
        <x:v>3</x:v>
      </x:c>
      <x:c r="L296" s="19" t="str">
        <x:v>KZT</x:v>
      </x:c>
      <x:c r="M296" s="22"/>
      <x:c r="N296" s="22"/>
      <x:c r="O296" s="28"/>
      <x:c r="P296" s="22"/>
      <x:c r="Q296" s="22"/>
      <x:c r="R296" s="28"/>
      <x:c r="S296" s="22"/>
      <x:c r="T296" s="35" t="n">
        <x:f>K296</x:f>
        <x:v>3</x:v>
      </x:c>
      <x:c r="U296" s="20" t="str">
        <x:f>IF(J296="Рассчитано",N296*(1-O296/100),"н/д")</x:f>
        <x:v>н/д</x:v>
      </x:c>
      <x:c r="V296" s="20" t="str">
        <x:f>IF(J296="Рассчитано",T296*U296,"н/д")</x:f>
        <x:v>н/д</x:v>
      </x:c>
      <x:c r="W296" s="20" t="str">
        <x:f>IF(J296="Рассчитано",T296*M296,"н/д")</x:f>
        <x:v>н/д</x:v>
      </x:c>
      <x:c r="X296" s="20" t="str">
        <x:f>IF(J296="Рассчитано",V296-W296,"н/д")</x:f>
        <x:v>н/д</x:v>
      </x:c>
      <x:c r="Y296" s="26" t="str">
        <x:f>IF(J296="Рассчитано",IF(V296&gt;0,G296/V296,"н/д"),"н/д")</x:f>
        <x:v>н/д</x:v>
      </x:c>
      <x:c r="Z296" s="20" t="str">
        <x:f>"н/д"</x:f>
        <x:v>н/д</x:v>
      </x:c>
      <x:c r="AA296" s="20" t="str">
        <x:f>"н/д"</x:f>
        <x:v>н/д</x:v>
      </x:c>
      <x:c r="AB296" s="20" t="str">
        <x:f>"н/д"</x:f>
        <x:v>н/д</x:v>
      </x:c>
      <x:c r="AC296" s="20" t="str">
        <x:f>IF(AND(J296="Рассчитано",T296&gt;0,R296&lt;100),(W296+P296+Q296)/(T296*(1-R296/100)),"н/д")</x:f>
        <x:v>н/д</x:v>
      </x:c>
      <x:c r="AD296" s="11" t="str">
        <x:f>IF(ISNUMBER(G296),IF(G296&lt;0,"Убыток",IF(G296=0,"Без прибыли","Прибыль &gt; 0")),"Не оценён")</x:f>
        <x:v>Не оценён</x:v>
      </x:c>
      <x:c r="AE296" s="12" t="str">
        <x:f>IF(J296="Рассчитано","Выручка "&amp;TEXT(V296,"0.00")&amp;" - себестоимость "&amp;TEXT(W296,"0.00")&amp;" - комиссия "&amp;TEXT(V296*R296/100,"0.00")&amp;" - доставка "&amp;TEXT(P296,"0.00")&amp;" - прочие "&amp;TEXT(Q296,"0.00")&amp;" = "&amp;TEXT(G296,"0.00")&amp;" "&amp;L296,"Введите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6" s="23" t="n">
        <x:v>6.802015402505773</x:v>
      </x:c>
      <x:c r="AG296" s="35" t="n">
        <x:v>10</x:v>
      </x:c>
      <x:c r="AH296" s="35" t="n">
        <x:v>0</x:v>
      </x:c>
      <x:c r="AI296" s="29" t="n">
        <x:v>46266</x:v>
      </x:c>
      <x:c r="AJ296" s="35" t="n">
        <x:v>1</x:v>
      </x:c>
      <x:c r="AK296" s="11" t="str">
        <x:v>минимум</x:v>
      </x:c>
      <x:c r="AL296" s="31" t="n">
        <x:v>125.02055808165589</x:v>
      </x:c>
      <x:c r="AM296" s="12" t="str">
        <x:v>Остаток на начало сентября; Резервы неизвестны; Нет ежедневных данных доступности. Запас выше прогноза на 90 дней</x:v>
      </x:c>
      <x:c r="AN296" s="12" t="str">
        <x:v>Проверить свободный остаток и установить цену для B2B</x:v>
      </x:c>
      <x:c r="AO296" s="12" t="str">
        <x:v>Остаток 10; прогноз 90 дней 6.80; избыток 3 шт. Будущие поступления не выставляются на продажу. Остаток на начало сентября: требуется актуализация.</x:v>
      </x:c>
      <x:c r="AP296" s="12" t="str">
        <x:v>["category_missing", "daily_stockout_data_missing", "negative_net_sales_clipped_for_forecast", "new_order_lead_time_unknown", "reservations_unknown", "stale_stock"]</x:v>
      </x:c>
      <x:c r="AQ296" s="11" t="str">
        <x:v>IEK:030200857_</x:v>
      </x:c>
      <x:c r="AR296" s="23" t="n">
        <x:v>1</x:v>
      </x:c>
      <x:c r="AS296" s="23" t="n">
        <x:v>0</x:v>
      </x:c>
      <x:c r="AT296" s="23" t="n">
        <x:v>0</x:v>
      </x:c>
    </x:row>
    <x:row r="297" ht="64" customHeight="1">
      <x:c r="A297" s="10" t="str">
        <x:v>IEK</x:v>
      </x:c>
      <x:c r="B297" s="34" t="str">
        <x:v>030200858_</x:v>
      </x:c>
      <x:c r="C297" s="34" t="str">
        <x:v>BR-M22-G-K02</x:v>
      </x:c>
      <x:c r="D297" s="13" t="str">
        <x:v>Рамка 2-мест. "BRITE" стекло черный (1/100)</x:v>
      </x:c>
      <x:c r="E297" s="10" t="str">
        <x:v>шт</x:v>
      </x:c>
      <x:c r="F297" s="37" t="n">
        <x:f>MAX(0,ROUNDDOWN((AG297-AF297)/AR297+0.000000001,0)*AR297)</x:f>
        <x:v>10</x:v>
      </x:c>
      <x:c r="G297" s="21" t="str">
        <x:f>IF(J297="Рассчитано",V297*(1-R297/100)-W297-P297-Q297,"н/д")</x:f>
        <x:v>н/д</x:v>
      </x:c>
      <x:c r="H297" s="13" t="str">
        <x:v>Высокий</x:v>
      </x:c>
      <x:c r="I297" s="13" t="str">
        <x:v>Высокий</x:v>
      </x:c>
      <x:c r="J297" s="13" t="str">
        <x:f>IF(L297="","Укажите валюту",IF(NOT(ISNUMBER(K297)),"Укажите объём",IF(K297&lt;=0,"Укажите объём",IF(K297&gt;F297,"Объём выше излишка",IF(COUNT(M297:O297)&lt;3,"Нужны цены",IF(COUNT(P297:R297)&lt;3,"Нужны расходы",IF(OR(M297&lt;0,N297&lt;0,O297&lt;0,O297&gt;100,P297&lt;0,Q297&lt;0,R297&lt;0,R297&gt;100),"Проверьте значения","Рассчитано")))))))</x:f>
        <x:v>Нужны цены</x:v>
      </x:c>
      <x:c r="K297" s="36" t="n">
        <x:v>10</x:v>
      </x:c>
      <x:c r="L297" s="19" t="str">
        <x:v>KZT</x:v>
      </x:c>
      <x:c r="M297" s="22"/>
      <x:c r="N297" s="22"/>
      <x:c r="O297" s="28"/>
      <x:c r="P297" s="22"/>
      <x:c r="Q297" s="22"/>
      <x:c r="R297" s="28"/>
      <x:c r="S297" s="22"/>
      <x:c r="T297" s="37" t="n">
        <x:f>K297</x:f>
        <x:v>10</x:v>
      </x:c>
      <x:c r="U297" s="21" t="str">
        <x:f>IF(J297="Рассчитано",N297*(1-O297/100),"н/д")</x:f>
        <x:v>н/д</x:v>
      </x:c>
      <x:c r="V297" s="21" t="str">
        <x:f>IF(J297="Рассчитано",T297*U297,"н/д")</x:f>
        <x:v>н/д</x:v>
      </x:c>
      <x:c r="W297" s="21" t="str">
        <x:f>IF(J297="Рассчитано",T297*M297,"н/д")</x:f>
        <x:v>н/д</x:v>
      </x:c>
      <x:c r="X297" s="21" t="str">
        <x:f>IF(J297="Рассчитано",V297-W297,"н/д")</x:f>
        <x:v>н/д</x:v>
      </x:c>
      <x:c r="Y297" s="27" t="str">
        <x:f>IF(J297="Рассчитано",IF(V297&gt;0,G297/V297,"н/д"),"н/д")</x:f>
        <x:v>н/д</x:v>
      </x:c>
      <x:c r="Z297" s="21" t="str">
        <x:f>"н/д"</x:f>
        <x:v>н/д</x:v>
      </x:c>
      <x:c r="AA297" s="21" t="str">
        <x:f>"н/д"</x:f>
        <x:v>н/д</x:v>
      </x:c>
      <x:c r="AB297" s="21" t="str">
        <x:f>"н/д"</x:f>
        <x:v>н/д</x:v>
      </x:c>
      <x:c r="AC297" s="21" t="str">
        <x:f>IF(AND(J297="Рассчитано",T297&gt;0,R297&lt;100),(W297+P297+Q297)/(T297*(1-R297/100)),"н/д")</x:f>
        <x:v>н/д</x:v>
      </x:c>
      <x:c r="AD297" s="10" t="str">
        <x:f>IF(ISNUMBER(G297),IF(G297&lt;0,"Убыток",IF(G297=0,"Без прибыли","Прибыль &gt; 0")),"Не оценён")</x:f>
        <x:v>Не оценён</x:v>
      </x:c>
      <x:c r="AE297" s="13" t="str">
        <x:f>IF(J297="Рассчитано","Выручка "&amp;TEXT(V297,"0.00")&amp;" - себестоимость "&amp;TEXT(W297,"0.00")&amp;" - комиссия "&amp;TEXT(V297*R297/100,"0.00")&amp;" - доставка "&amp;TEXT(P297,"0.00")&amp;" - прочие "&amp;TEXT(Q297,"0.00")&amp;" = "&amp;TEXT(G297,"0.00")&amp;" "&amp;L297,"Введите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7" s="24" t="n">
        <x:v>2.0444377522372097</x:v>
      </x:c>
      <x:c r="AG297" s="37" t="n">
        <x:v>13</x:v>
      </x:c>
      <x:c r="AH297" s="37" t="n">
        <x:v>0</x:v>
      </x:c>
      <x:c r="AI297" s="30" t="n">
        <x:v>46266</x:v>
      </x:c>
      <x:c r="AJ297" s="37" t="n">
        <x:v>1</x:v>
      </x:c>
      <x:c r="AK297" s="10" t="str">
        <x:v>минимум</x:v>
      </x:c>
      <x:c r="AL297" s="32" t="n">
        <x:v>540.7400098153781</x:v>
      </x:c>
      <x:c r="AM29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97" s="13" t="str">
        <x:v>Проверить свободный остаток и установить цену для B2B</x:v>
      </x:c>
      <x:c r="AO297" s="13" t="str">
        <x:v>Остаток 13; прогноз 90 дней 2.04; избыток 10 шт. Будущие поступления не выставляются на продажу. Остаток на начало сентября: требуется актуализация.</x:v>
      </x:c>
      <x:c r="AP297" s="13" t="str">
        <x:v>["category_missing", "daily_stockout_data_missing", "negative_net_sales_clipped_for_forecast", "new_order_lead_time_unknown", "reservations_unknown", "stale_stock"]</x:v>
      </x:c>
      <x:c r="AQ297" s="10" t="str">
        <x:v>IEK:030200858_</x:v>
      </x:c>
      <x:c r="AR297" s="24" t="n">
        <x:v>1</x:v>
      </x:c>
      <x:c r="AS297" s="24" t="n">
        <x:v>0</x:v>
      </x:c>
      <x:c r="AT297" s="24" t="n">
        <x:v>0</x:v>
      </x:c>
    </x:row>
    <x:row r="298" ht="64" customHeight="1">
      <x:c r="A298" s="11" t="str">
        <x:v>IEK</x:v>
      </x:c>
      <x:c r="B298" s="33" t="str">
        <x:v>030200859_</x:v>
      </x:c>
      <x:c r="C298" s="33" t="str">
        <x:v>BR-M32-G-K01</x:v>
      </x:c>
      <x:c r="D298" s="12" t="str">
        <x:v>Рамка 3-мест. "BRITE" стекло белый (1/50)</x:v>
      </x:c>
      <x:c r="E298" s="11" t="str">
        <x:v>шт</x:v>
      </x:c>
      <x:c r="F298" s="35" t="n">
        <x:f>MAX(0,ROUNDDOWN((AG298-AF298)/AR298+0.000000001,0)*AR298)</x:f>
        <x:v>8</x:v>
      </x:c>
      <x:c r="G298" s="20" t="str">
        <x:f>IF(J298="Рассчитано",V298*(1-R298/100)-W298-P298-Q298,"н/д")</x:f>
        <x:v>н/д</x:v>
      </x:c>
      <x:c r="H298" s="12" t="str">
        <x:v>Высокий</x:v>
      </x:c>
      <x:c r="I298" s="12" t="str">
        <x:v>Высокий</x:v>
      </x:c>
      <x:c r="J298" s="12" t="str">
        <x:f>IF(L298="","Укажите валюту",IF(NOT(ISNUMBER(K298)),"Укажите объём",IF(K298&lt;=0,"Укажите объём",IF(K298&gt;F298,"Объём выше излишка",IF(COUNT(M298:O298)&lt;3,"Нужны цены",IF(COUNT(P298:R298)&lt;3,"Нужны расходы",IF(OR(M298&lt;0,N298&lt;0,O298&lt;0,O298&gt;100,P298&lt;0,Q298&lt;0,R298&lt;0,R298&gt;100),"Проверьте значения","Рассчитано")))))))</x:f>
        <x:v>Нужны цены</x:v>
      </x:c>
      <x:c r="K298" s="36" t="n">
        <x:v>8</x:v>
      </x:c>
      <x:c r="L298" s="19" t="str">
        <x:v>KZT</x:v>
      </x:c>
      <x:c r="M298" s="22"/>
      <x:c r="N298" s="22"/>
      <x:c r="O298" s="28"/>
      <x:c r="P298" s="22"/>
      <x:c r="Q298" s="22"/>
      <x:c r="R298" s="28"/>
      <x:c r="S298" s="22"/>
      <x:c r="T298" s="35" t="n">
        <x:f>K298</x:f>
        <x:v>8</x:v>
      </x:c>
      <x:c r="U298" s="20" t="str">
        <x:f>IF(J298="Рассчитано",N298*(1-O298/100),"н/д")</x:f>
        <x:v>н/д</x:v>
      </x:c>
      <x:c r="V298" s="20" t="str">
        <x:f>IF(J298="Рассчитано",T298*U298,"н/д")</x:f>
        <x:v>н/д</x:v>
      </x:c>
      <x:c r="W298" s="20" t="str">
        <x:f>IF(J298="Рассчитано",T298*M298,"н/д")</x:f>
        <x:v>н/д</x:v>
      </x:c>
      <x:c r="X298" s="20" t="str">
        <x:f>IF(J298="Рассчитано",V298-W298,"н/д")</x:f>
        <x:v>н/д</x:v>
      </x:c>
      <x:c r="Y298" s="26" t="str">
        <x:f>IF(J298="Рассчитано",IF(V298&gt;0,G298/V298,"н/д"),"н/д")</x:f>
        <x:v>н/д</x:v>
      </x:c>
      <x:c r="Z298" s="20" t="str">
        <x:f>"н/д"</x:f>
        <x:v>н/д</x:v>
      </x:c>
      <x:c r="AA298" s="20" t="str">
        <x:f>"н/д"</x:f>
        <x:v>н/д</x:v>
      </x:c>
      <x:c r="AB298" s="20" t="str">
        <x:f>"н/д"</x:f>
        <x:v>н/д</x:v>
      </x:c>
      <x:c r="AC298" s="20" t="str">
        <x:f>IF(AND(J298="Рассчитано",T298&gt;0,R298&lt;100),(W298+P298+Q298)/(T298*(1-R298/100)),"н/д")</x:f>
        <x:v>н/д</x:v>
      </x:c>
      <x:c r="AD298" s="11" t="str">
        <x:f>IF(ISNUMBER(G298),IF(G298&lt;0,"Убыток",IF(G298=0,"Без прибыли","Прибыль &gt; 0")),"Не оценён")</x:f>
        <x:v>Не оценён</x:v>
      </x:c>
      <x:c r="AE298" s="12" t="str">
        <x:f>IF(J298="Рассчитано","Выручка "&amp;TEXT(V298,"0.00")&amp;" - себестоимость "&amp;TEXT(W298,"0.00")&amp;" - комиссия "&amp;TEXT(V298*R298/100,"0.00")&amp;" - доставка "&amp;TEXT(P298,"0.00")&amp;" - прочие "&amp;TEXT(Q298,"0.00")&amp;" = "&amp;TEXT(G298,"0.00")&amp;" "&amp;L298,"Введите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8" s="23" t="n">
        <x:v>6.922532008643063</x:v>
      </x:c>
      <x:c r="AG298" s="35" t="n">
        <x:v>15</x:v>
      </x:c>
      <x:c r="AH298" s="35" t="n">
        <x:v>0</x:v>
      </x:c>
      <x:c r="AI298" s="29" t="n">
        <x:v>46266</x:v>
      </x:c>
      <x:c r="AJ298" s="35" t="n">
        <x:v>1</x:v>
      </x:c>
      <x:c r="AK298" s="11" t="str">
        <x:v>минимум</x:v>
      </x:c>
      <x:c r="AL298" s="31" t="n">
        <x:v>184.2660519242542</x:v>
      </x:c>
      <x:c r="AM29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98" s="12" t="str">
        <x:v>Проверить свободный остаток и установить цену для B2B</x:v>
      </x:c>
      <x:c r="AO298" s="12" t="str">
        <x:v>Остаток 15; прогноз 90 дней 6.92; избыток 8 шт. Будущие поступления не выставляются на продажу. Остаток на начало сентября: требуется актуализация.</x:v>
      </x:c>
      <x:c r="AP298" s="12" t="str">
        <x:v>["category_missing", "daily_stockout_data_missing", "negative_net_sales_clipped_for_forecast", "new_order_lead_time_unknown", "reservations_unknown", "stale_stock"]</x:v>
      </x:c>
      <x:c r="AQ298" s="11" t="str">
        <x:v>IEK:030200859_</x:v>
      </x:c>
      <x:c r="AR298" s="23" t="n">
        <x:v>1</x:v>
      </x:c>
      <x:c r="AS298" s="23" t="n">
        <x:v>0</x:v>
      </x:c>
      <x:c r="AT298" s="23" t="n">
        <x:v>0</x:v>
      </x:c>
    </x:row>
    <x:row r="299" ht="64" customHeight="1">
      <x:c r="A299" s="10" t="str">
        <x:v>IEK</x:v>
      </x:c>
      <x:c r="B299" s="34" t="str">
        <x:v>030200860_</x:v>
      </x:c>
      <x:c r="C299" s="34" t="str">
        <x:v>BR-M32-G-K02</x:v>
      </x:c>
      <x:c r="D299" s="13" t="str">
        <x:v>Рамка 3-мест. "BRITE" стекло черный (1/50)</x:v>
      </x:c>
      <x:c r="E299" s="10" t="str">
        <x:v>шт</x:v>
      </x:c>
      <x:c r="F299" s="37" t="n">
        <x:f>MAX(0,ROUNDDOWN((AG299-AF299)/AR299+0.000000001,0)*AR299)</x:f>
        <x:v>1</x:v>
      </x:c>
      <x:c r="G299" s="21" t="str">
        <x:f>IF(J299="Рассчитано",V299*(1-R299/100)-W299-P299-Q299,"н/д")</x:f>
        <x:v>н/д</x:v>
      </x:c>
      <x:c r="H299" s="13" t="str">
        <x:v>Высокий</x:v>
      </x:c>
      <x:c r="I299" s="13" t="str">
        <x:v>Высокий</x:v>
      </x:c>
      <x:c r="J299" s="13" t="str">
        <x:f>IF(L299="","Укажите валюту",IF(NOT(ISNUMBER(K299)),"Укажите объём",IF(K299&lt;=0,"Укажите объём",IF(K299&gt;F299,"Объём выше излишка",IF(COUNT(M299:O299)&lt;3,"Нужны цены",IF(COUNT(P299:R299)&lt;3,"Нужны расходы",IF(OR(M299&lt;0,N299&lt;0,O299&lt;0,O299&gt;100,P299&lt;0,Q299&lt;0,R299&lt;0,R299&gt;100),"Проверьте значения","Рассчитано")))))))</x:f>
        <x:v>Нужны цены</x:v>
      </x:c>
      <x:c r="K299" s="36" t="n">
        <x:v>1</x:v>
      </x:c>
      <x:c r="L299" s="19" t="str">
        <x:v>KZT</x:v>
      </x:c>
      <x:c r="M299" s="22"/>
      <x:c r="N299" s="22"/>
      <x:c r="O299" s="28"/>
      <x:c r="P299" s="22"/>
      <x:c r="Q299" s="22"/>
      <x:c r="R299" s="28"/>
      <x:c r="S299" s="22"/>
      <x:c r="T299" s="37" t="n">
        <x:f>K299</x:f>
        <x:v>1</x:v>
      </x:c>
      <x:c r="U299" s="21" t="str">
        <x:f>IF(J299="Рассчитано",N299*(1-O299/100),"н/д")</x:f>
        <x:v>н/д</x:v>
      </x:c>
      <x:c r="V299" s="21" t="str">
        <x:f>IF(J299="Рассчитано",T299*U299,"н/д")</x:f>
        <x:v>н/д</x:v>
      </x:c>
      <x:c r="W299" s="21" t="str">
        <x:f>IF(J299="Рассчитано",T299*M299,"н/д")</x:f>
        <x:v>н/д</x:v>
      </x:c>
      <x:c r="X299" s="21" t="str">
        <x:f>IF(J299="Рассчитано",V299-W299,"н/д")</x:f>
        <x:v>н/д</x:v>
      </x:c>
      <x:c r="Y299" s="27" t="str">
        <x:f>IF(J299="Рассчитано",IF(V299&gt;0,G299/V299,"н/д"),"н/д")</x:f>
        <x:v>н/д</x:v>
      </x:c>
      <x:c r="Z299" s="21" t="str">
        <x:f>"н/д"</x:f>
        <x:v>н/д</x:v>
      </x:c>
      <x:c r="AA299" s="21" t="str">
        <x:f>"н/д"</x:f>
        <x:v>н/д</x:v>
      </x:c>
      <x:c r="AB299" s="21" t="str">
        <x:f>"н/д"</x:f>
        <x:v>н/д</x:v>
      </x:c>
      <x:c r="AC299" s="21" t="str">
        <x:f>IF(AND(J299="Рассчитано",T299&gt;0,R299&lt;100),(W299+P299+Q299)/(T299*(1-R299/100)),"н/д")</x:f>
        <x:v>н/д</x:v>
      </x:c>
      <x:c r="AD299" s="10" t="str">
        <x:f>IF(ISNUMBER(G299),IF(G299&lt;0,"Убыток",IF(G299=0,"Без прибыли","Прибыль &gt; 0")),"Не оценён")</x:f>
        <x:v>Не оценён</x:v>
      </x:c>
      <x:c r="AE299" s="13" t="str">
        <x:f>IF(J299="Рассчитано","Выручка "&amp;TEXT(V299,"0.00")&amp;" - себестоимость "&amp;TEXT(W299,"0.00")&amp;" - комиссия "&amp;TEXT(V299*R299/100,"0.00")&amp;" - доставка "&amp;TEXT(P299,"0.00")&amp;" - прочие "&amp;TEXT(Q299,"0.00")&amp;" = "&amp;TEXT(G299,"0.00")&amp;" "&amp;L299,"Введите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9" s="24" t="n">
        <x:v>1.4025579229057463</x:v>
      </x:c>
      <x:c r="AG299" s="37" t="n">
        <x:v>3</x:v>
      </x:c>
      <x:c r="AH299" s="37" t="n">
        <x:v>0</x:v>
      </x:c>
      <x:c r="AI299" s="30" t="n">
        <x:v>46266</x:v>
      </x:c>
      <x:c r="AJ299" s="37" t="n">
        <x:v>1</x:v>
      </x:c>
      <x:c r="AK299" s="10" t="str">
        <x:v>минимум</x:v>
      </x:c>
      <x:c r="AL299" s="32" t="n">
        <x:v>181.89446891565674</x:v>
      </x:c>
      <x:c r="AM29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299" s="13" t="str">
        <x:v>Проверить свободный остаток и установить цену для B2B</x:v>
      </x:c>
      <x:c r="AO299" s="13" t="str">
        <x:v>Остаток 3; прогноз 90 дней 1.40; избыток 1 шт. Будущие поступления не выставляются на продажу. Остаток на начало сентября: требуется актуализация.</x:v>
      </x:c>
      <x:c r="AP299" s="13" t="str">
        <x:v>["category_missing", "daily_stockout_data_missing", "negative_net_sales_clipped_for_forecast", "new_order_lead_time_unknown", "reservations_unknown", "stale_stock"]</x:v>
      </x:c>
      <x:c r="AQ299" s="10" t="str">
        <x:v>IEK:030200860_</x:v>
      </x:c>
      <x:c r="AR299" s="24" t="n">
        <x:v>1</x:v>
      </x:c>
      <x:c r="AS299" s="24" t="n">
        <x:v>0</x:v>
      </x:c>
      <x:c r="AT299" s="24" t="n">
        <x:v>0</x:v>
      </x:c>
    </x:row>
    <x:row r="300" ht="64" customHeight="1">
      <x:c r="A300" s="11" t="str">
        <x:v>IEK</x:v>
      </x:c>
      <x:c r="B300" s="33" t="str">
        <x:v>030200861_</x:v>
      </x:c>
      <x:c r="C300" s="33" t="str">
        <x:v>BR-M42-G-K01</x:v>
      </x:c>
      <x:c r="D300" s="12" t="str">
        <x:v>Рамка 4-мест. "BRITE" стекло белый (1/50)</x:v>
      </x:c>
      <x:c r="E300" s="11" t="str">
        <x:v>шт</x:v>
      </x:c>
      <x:c r="F300" s="35" t="n">
        <x:f>MAX(0,ROUNDDOWN((AG300-AF300)/AR300+0.000000001,0)*AR300)</x:f>
        <x:v>18</x:v>
      </x:c>
      <x:c r="G300" s="20" t="str">
        <x:f>IF(J300="Рассчитано",V300*(1-R300/100)-W300-P300-Q300,"н/д")</x:f>
        <x:v>н/д</x:v>
      </x:c>
      <x:c r="H300" s="12" t="str">
        <x:v>Высокий</x:v>
      </x:c>
      <x:c r="I300" s="12" t="str">
        <x:v>Высокий</x:v>
      </x:c>
      <x:c r="J300" s="12" t="str">
        <x:f>IF(L300="","Укажите валюту",IF(NOT(ISNUMBER(K300)),"Укажите объём",IF(K300&lt;=0,"Укажите объём",IF(K300&gt;F300,"Объём выше излишка",IF(COUNT(M300:O300)&lt;3,"Нужны цены",IF(COUNT(P300:R300)&lt;3,"Нужны расходы",IF(OR(M300&lt;0,N300&lt;0,O300&lt;0,O300&gt;100,P300&lt;0,Q300&lt;0,R300&lt;0,R300&gt;100),"Проверьте значения","Рассчитано")))))))</x:f>
        <x:v>Нужны цены</x:v>
      </x:c>
      <x:c r="K300" s="36" t="n">
        <x:v>18</x:v>
      </x:c>
      <x:c r="L300" s="19" t="str">
        <x:v>KZT</x:v>
      </x:c>
      <x:c r="M300" s="22"/>
      <x:c r="N300" s="22"/>
      <x:c r="O300" s="28"/>
      <x:c r="P300" s="22"/>
      <x:c r="Q300" s="22"/>
      <x:c r="R300" s="28"/>
      <x:c r="S300" s="22"/>
      <x:c r="T300" s="35" t="n">
        <x:f>K300</x:f>
        <x:v>18</x:v>
      </x:c>
      <x:c r="U300" s="20" t="str">
        <x:f>IF(J300="Рассчитано",N300*(1-O300/100),"н/д")</x:f>
        <x:v>н/д</x:v>
      </x:c>
      <x:c r="V300" s="20" t="str">
        <x:f>IF(J300="Рассчитано",T300*U300,"н/д")</x:f>
        <x:v>н/д</x:v>
      </x:c>
      <x:c r="W300" s="20" t="str">
        <x:f>IF(J300="Рассчитано",T300*M300,"н/д")</x:f>
        <x:v>н/д</x:v>
      </x:c>
      <x:c r="X300" s="20" t="str">
        <x:f>IF(J300="Рассчитано",V300-W300,"н/д")</x:f>
        <x:v>н/д</x:v>
      </x:c>
      <x:c r="Y300" s="26" t="str">
        <x:f>IF(J300="Рассчитано",IF(V300&gt;0,G300/V300,"н/д"),"н/д")</x:f>
        <x:v>н/д</x:v>
      </x:c>
      <x:c r="Z300" s="20" t="str">
        <x:f>"н/д"</x:f>
        <x:v>н/д</x:v>
      </x:c>
      <x:c r="AA300" s="20" t="str">
        <x:f>"н/д"</x:f>
        <x:v>н/д</x:v>
      </x:c>
      <x:c r="AB300" s="20" t="str">
        <x:f>"н/д"</x:f>
        <x:v>н/д</x:v>
      </x:c>
      <x:c r="AC300" s="20" t="str">
        <x:f>IF(AND(J300="Рассчитано",T300&gt;0,R300&lt;100),(W300+P300+Q300)/(T300*(1-R300/100)),"н/д")</x:f>
        <x:v>н/д</x:v>
      </x:c>
      <x:c r="AD300" s="11" t="str">
        <x:f>IF(ISNUMBER(G300),IF(G300&lt;0,"Убыток",IF(G300=0,"Без прибыли","Прибыль &gt; 0")),"Не оценён")</x:f>
        <x:v>Не оценён</x:v>
      </x:c>
      <x:c r="AE300" s="12" t="str">
        <x:f>IF(J300="Рассчитано","Выручка "&amp;TEXT(V300,"0.00")&amp;" - себестоимость "&amp;TEXT(W300,"0.00")&amp;" - комиссия "&amp;TEXT(V300*R300/100,"0.00")&amp;" - доставка "&amp;TEXT(P300,"0.00")&amp;" - прочие "&amp;TEXT(Q300,"0.00")&amp;" = "&amp;TEXT(G300,"0.00")&amp;" "&amp;L300,"Введите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0" s="23" t="n">
        <x:v>0.6599922812780125</x:v>
      </x:c>
      <x:c r="AG300" s="35" t="n">
        <x:v>19</x:v>
      </x:c>
      <x:c r="AH300" s="35" t="n">
        <x:v>0</x:v>
      </x:c>
      <x:c r="AI300" s="29" t="n">
        <x:v>46266</x:v>
      </x:c>
      <x:c r="AJ300" s="35" t="n">
        <x:v>1</x:v>
      </x:c>
      <x:c r="AK300" s="11" t="str">
        <x:v>минимум</x:v>
      </x:c>
      <x:c r="AL300" s="31" t="n">
        <x:v>2448.1261267233544</x:v>
      </x:c>
      <x:c r="AM30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00" s="12" t="str">
        <x:v>Проверить свободный остаток и установить цену для B2B</x:v>
      </x:c>
      <x:c r="AO300" s="12" t="str">
        <x:v>Остаток 19; прогноз 90 дней 0.66; избыток 18 шт. Будущие поступления не выставляются на продажу. Остаток на начало сентября: требуется актуализация.</x:v>
      </x:c>
      <x:c r="AP300" s="12" t="str">
        <x:v>["category_missing", "daily_stockout_data_missing", "negative_net_sales_clipped_for_forecast", "new_order_lead_time_unknown", "reservations_unknown", "stale_stock"]</x:v>
      </x:c>
      <x:c r="AQ300" s="11" t="str">
        <x:v>IEK:030200861_</x:v>
      </x:c>
      <x:c r="AR300" s="23" t="n">
        <x:v>1</x:v>
      </x:c>
      <x:c r="AS300" s="23" t="n">
        <x:v>0</x:v>
      </x:c>
      <x:c r="AT300" s="23" t="n">
        <x:v>0</x:v>
      </x:c>
    </x:row>
    <x:row r="301" ht="64" customHeight="1">
      <x:c r="A301" s="10" t="str">
        <x:v>IEK</x:v>
      </x:c>
      <x:c r="B301" s="34" t="str">
        <x:v>030200864_</x:v>
      </x:c>
      <x:c r="C301" s="34" t="str">
        <x:v>BR-M12-G-K10</x:v>
      </x:c>
      <x:c r="D301" s="13" t="str">
        <x:v>Рамка 1-мест. "BRITE" стекло ванильный (1/100)</x:v>
      </x:c>
      <x:c r="E301" s="10" t="str">
        <x:v>шт</x:v>
      </x:c>
      <x:c r="F301" s="37" t="n">
        <x:f>MAX(0,ROUNDDOWN((AG301-AF301)/AR301+0.000000001,0)*AR301)</x:f>
        <x:v>34</x:v>
      </x:c>
      <x:c r="G301" s="21" t="str">
        <x:f>IF(J301="Рассчитано",V301*(1-R301/100)-W301-P301-Q301,"н/д")</x:f>
        <x:v>н/д</x:v>
      </x:c>
      <x:c r="H301" s="13" t="str">
        <x:v>Высокий</x:v>
      </x:c>
      <x:c r="I301" s="13" t="str">
        <x:v>Высокий</x:v>
      </x:c>
      <x:c r="J301" s="13" t="str">
        <x:f>IF(L301="","Укажите валюту",IF(NOT(ISNUMBER(K301)),"Укажите объём",IF(K301&lt;=0,"Укажите объём",IF(K301&gt;F301,"Объём выше излишка",IF(COUNT(M301:O301)&lt;3,"Нужны цены",IF(COUNT(P301:R301)&lt;3,"Нужны расходы",IF(OR(M301&lt;0,N301&lt;0,O301&lt;0,O301&gt;100,P301&lt;0,Q301&lt;0,R301&lt;0,R301&gt;100),"Проверьте значения","Рассчитано")))))))</x:f>
        <x:v>Нужны цены</x:v>
      </x:c>
      <x:c r="K301" s="36" t="n">
        <x:v>34</x:v>
      </x:c>
      <x:c r="L301" s="19" t="str">
        <x:v>KZT</x:v>
      </x:c>
      <x:c r="M301" s="22"/>
      <x:c r="N301" s="22"/>
      <x:c r="O301" s="28"/>
      <x:c r="P301" s="22"/>
      <x:c r="Q301" s="22"/>
      <x:c r="R301" s="28"/>
      <x:c r="S301" s="22"/>
      <x:c r="T301" s="37" t="n">
        <x:f>K301</x:f>
        <x:v>34</x:v>
      </x:c>
      <x:c r="U301" s="21" t="str">
        <x:f>IF(J301="Рассчитано",N301*(1-O301/100),"н/д")</x:f>
        <x:v>н/д</x:v>
      </x:c>
      <x:c r="V301" s="21" t="str">
        <x:f>IF(J301="Рассчитано",T301*U301,"н/д")</x:f>
        <x:v>н/д</x:v>
      </x:c>
      <x:c r="W301" s="21" t="str">
        <x:f>IF(J301="Рассчитано",T301*M301,"н/д")</x:f>
        <x:v>н/д</x:v>
      </x:c>
      <x:c r="X301" s="21" t="str">
        <x:f>IF(J301="Рассчитано",V301-W301,"н/д")</x:f>
        <x:v>н/д</x:v>
      </x:c>
      <x:c r="Y301" s="27" t="str">
        <x:f>IF(J301="Рассчитано",IF(V301&gt;0,G301/V301,"н/д"),"н/д")</x:f>
        <x:v>н/д</x:v>
      </x:c>
      <x:c r="Z301" s="21" t="str">
        <x:f>"н/д"</x:f>
        <x:v>н/д</x:v>
      </x:c>
      <x:c r="AA301" s="21" t="str">
        <x:f>"н/д"</x:f>
        <x:v>н/д</x:v>
      </x:c>
      <x:c r="AB301" s="21" t="str">
        <x:f>"н/д"</x:f>
        <x:v>н/д</x:v>
      </x:c>
      <x:c r="AC301" s="21" t="str">
        <x:f>IF(AND(J301="Рассчитано",T301&gt;0,R301&lt;100),(W301+P301+Q301)/(T301*(1-R301/100)),"н/д")</x:f>
        <x:v>н/д</x:v>
      </x:c>
      <x:c r="AD301" s="10" t="str">
        <x:f>IF(ISNUMBER(G301),IF(G301&lt;0,"Убыток",IF(G301=0,"Без прибыли","Прибыль &gt; 0")),"Не оценён")</x:f>
        <x:v>Не оценён</x:v>
      </x:c>
      <x:c r="AE301" s="13" t="str">
        <x:f>IF(J301="Рассчитано","Выручка "&amp;TEXT(V301,"0.00")&amp;" - себестоимость "&amp;TEXT(W301,"0.00")&amp;" - комиссия "&amp;TEXT(V301*R301/100,"0.00")&amp;" - доставка "&amp;TEXT(P301,"0.00")&amp;" - прочие "&amp;TEXT(Q301,"0.00")&amp;" = "&amp;TEXT(G301,"0.00")&amp;" "&amp;L301,"Введите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1" s="24" t="n">
        <x:v>20.985657953131582</x:v>
      </x:c>
      <x:c r="AG301" s="37" t="n">
        <x:v>55</x:v>
      </x:c>
      <x:c r="AH301" s="37" t="n">
        <x:v>0</x:v>
      </x:c>
      <x:c r="AI301" s="30" t="n">
        <x:v>46266</x:v>
      </x:c>
      <x:c r="AJ301" s="37" t="n">
        <x:v>1</x:v>
      </x:c>
      <x:c r="AK301" s="10" t="str">
        <x:v>минимум</x:v>
      </x:c>
      <x:c r="AL301" s="32" t="n">
        <x:v>222.87386460805024</x:v>
      </x:c>
      <x:c r="AM30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01" s="13" t="str">
        <x:v>Проверить свободный остаток и установить цену для B2B</x:v>
      </x:c>
      <x:c r="AO301" s="13" t="str">
        <x:v>Остаток 55; прогноз 90 дней 20.99; избыток 34 шт. Будущие поступления не выставляются на продажу. Остаток на начало сентября: требуется актуализация.</x:v>
      </x:c>
      <x:c r="AP301" s="13" t="str">
        <x:v>["category_missing", "daily_stockout_data_missing", "negative_net_sales_clipped_for_forecast", "new_order_lead_time_unknown", "reservations_unknown", "stale_stock"]</x:v>
      </x:c>
      <x:c r="AQ301" s="10" t="str">
        <x:v>IEK:030200864_</x:v>
      </x:c>
      <x:c r="AR301" s="24" t="n">
        <x:v>1</x:v>
      </x:c>
      <x:c r="AS301" s="24" t="n">
        <x:v>0</x:v>
      </x:c>
      <x:c r="AT301" s="24" t="n">
        <x:v>0</x:v>
      </x:c>
    </x:row>
    <x:row r="302" ht="64" customHeight="1">
      <x:c r="A302" s="11" t="str">
        <x:v>IEK</x:v>
      </x:c>
      <x:c r="B302" s="33" t="str">
        <x:v>030200865_</x:v>
      </x:c>
      <x:c r="C302" s="33" t="str">
        <x:v>BR-M12-G-K30</x:v>
      </x:c>
      <x:c r="D302" s="12" t="str">
        <x:v>Рамка 1-мест. "BRITE" стекло дымчатый (1/100)</x:v>
      </x:c>
      <x:c r="E302" s="11" t="str">
        <x:v>шт</x:v>
      </x:c>
      <x:c r="F302" s="35" t="n">
        <x:f>MAX(0,ROUNDDOWN((AG302-AF302)/AR302+0.000000001,0)*AR302)</x:f>
        <x:v>2</x:v>
      </x:c>
      <x:c r="G302" s="20" t="str">
        <x:f>IF(J302="Рассчитано",V302*(1-R302/100)-W302-P302-Q302,"н/д")</x:f>
        <x:v>н/д</x:v>
      </x:c>
      <x:c r="H302" s="12" t="str">
        <x:v>Высокий</x:v>
      </x:c>
      <x:c r="I302" s="12" t="str">
        <x:v>Средний</x:v>
      </x:c>
      <x:c r="J302" s="12" t="str">
        <x:f>IF(L302="","Укажите валюту",IF(NOT(ISNUMBER(K302)),"Укажите объём",IF(K302&lt;=0,"Укажите объём",IF(K302&gt;F302,"Объём выше излишка",IF(COUNT(M302:O302)&lt;3,"Нужны цены",IF(COUNT(P302:R302)&lt;3,"Нужны расходы",IF(OR(M302&lt;0,N302&lt;0,O302&lt;0,O302&gt;100,P302&lt;0,Q302&lt;0,R302&lt;0,R302&gt;100),"Проверьте значения","Рассчитано")))))))</x:f>
        <x:v>Нужны цены</x:v>
      </x:c>
      <x:c r="K302" s="36" t="n">
        <x:v>2</x:v>
      </x:c>
      <x:c r="L302" s="19" t="str">
        <x:v>KZT</x:v>
      </x:c>
      <x:c r="M302" s="22"/>
      <x:c r="N302" s="22"/>
      <x:c r="O302" s="28"/>
      <x:c r="P302" s="22"/>
      <x:c r="Q302" s="22"/>
      <x:c r="R302" s="28"/>
      <x:c r="S302" s="22"/>
      <x:c r="T302" s="35" t="n">
        <x:f>K302</x:f>
        <x:v>2</x:v>
      </x:c>
      <x:c r="U302" s="20" t="str">
        <x:f>IF(J302="Рассчитано",N302*(1-O302/100),"н/д")</x:f>
        <x:v>н/д</x:v>
      </x:c>
      <x:c r="V302" s="20" t="str">
        <x:f>IF(J302="Рассчитано",T302*U302,"н/д")</x:f>
        <x:v>н/д</x:v>
      </x:c>
      <x:c r="W302" s="20" t="str">
        <x:f>IF(J302="Рассчитано",T302*M302,"н/д")</x:f>
        <x:v>н/д</x:v>
      </x:c>
      <x:c r="X302" s="20" t="str">
        <x:f>IF(J302="Рассчитано",V302-W302,"н/д")</x:f>
        <x:v>н/д</x:v>
      </x:c>
      <x:c r="Y302" s="26" t="str">
        <x:f>IF(J302="Рассчитано",IF(V302&gt;0,G302/V302,"н/д"),"н/д")</x:f>
        <x:v>н/д</x:v>
      </x:c>
      <x:c r="Z302" s="20" t="str">
        <x:f>"н/д"</x:f>
        <x:v>н/д</x:v>
      </x:c>
      <x:c r="AA302" s="20" t="str">
        <x:f>"н/д"</x:f>
        <x:v>н/д</x:v>
      </x:c>
      <x:c r="AB302" s="20" t="str">
        <x:f>"н/д"</x:f>
        <x:v>н/д</x:v>
      </x:c>
      <x:c r="AC302" s="20" t="str">
        <x:f>IF(AND(J302="Рассчитано",T302&gt;0,R302&lt;100),(W302+P302+Q302)/(T302*(1-R302/100)),"н/д")</x:f>
        <x:v>н/д</x:v>
      </x:c>
      <x:c r="AD302" s="11" t="str">
        <x:f>IF(ISNUMBER(G302),IF(G302&lt;0,"Убыток",IF(G302=0,"Без прибыли","Прибыль &gt; 0")),"Не оценён")</x:f>
        <x:v>Не оценён</x:v>
      </x:c>
      <x:c r="AE302" s="12" t="str">
        <x:f>IF(J302="Рассчитано","Выручка "&amp;TEXT(V302,"0.00")&amp;" - себестоимость "&amp;TEXT(W302,"0.00")&amp;" - комиссия "&amp;TEXT(V302*R302/100,"0.00")&amp;" - доставка "&amp;TEXT(P302,"0.00")&amp;" - прочие "&amp;TEXT(Q302,"0.00")&amp;" = "&amp;TEXT(G302,"0.00")&amp;" "&amp;L302,"Введите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2" s="23" t="n">
        <x:v>14.450106916959298</x:v>
      </x:c>
      <x:c r="AG302" s="35" t="n">
        <x:v>17</x:v>
      </x:c>
      <x:c r="AH302" s="35" t="n">
        <x:v>0</x:v>
      </x:c>
      <x:c r="AI302" s="29" t="n">
        <x:v>46266</x:v>
      </x:c>
      <x:c r="AJ302" s="35" t="n">
        <x:v>1</x:v>
      </x:c>
      <x:c r="AK302" s="11" t="str">
        <x:v>минимум</x:v>
      </x:c>
      <x:c r="AL302" s="31" t="n">
        <x:v>100.04534936661936</x:v>
      </x:c>
      <x:c r="AM302" s="12" t="str">
        <x:v>Остаток на начало сентября; Резервы неизвестны; Нет ежедневных данных доступности. Запас выше прогноза на 90 дней</x:v>
      </x:c>
      <x:c r="AN302" s="12" t="str">
        <x:v>Проверить свободный остаток и установить цену для B2B</x:v>
      </x:c>
      <x:c r="AO302" s="12" t="str">
        <x:v>Остаток 17; прогноз 90 дней 14.45; избыток 2 шт. Будущие поступления не выставляются на продажу. Остаток на начало сентября: требуется актуализация.</x:v>
      </x:c>
      <x:c r="AP302" s="12" t="str">
        <x:v>["category_missing", "daily_stockout_data_missing", "negative_net_sales_clipped_for_forecast", "new_order_lead_time_unknown", "reservations_unknown", "stale_stock"]</x:v>
      </x:c>
      <x:c r="AQ302" s="11" t="str">
        <x:v>IEK:030200865_</x:v>
      </x:c>
      <x:c r="AR302" s="23" t="n">
        <x:v>1</x:v>
      </x:c>
      <x:c r="AS302" s="23" t="n">
        <x:v>0</x:v>
      </x:c>
      <x:c r="AT302" s="23" t="n">
        <x:v>0</x:v>
      </x:c>
    </x:row>
    <x:row r="303" ht="64" customHeight="1">
      <x:c r="A303" s="10" t="str">
        <x:v>IEK</x:v>
      </x:c>
      <x:c r="B303" s="34" t="str">
        <x:v>030200866_</x:v>
      </x:c>
      <x:c r="C303" s="34" t="str">
        <x:v>BR-M12-G-K45</x:v>
      </x:c>
      <x:c r="D303" s="13" t="str">
        <x:v>Рамка 1-мест. "BRITE" стекло темная бронза (1/100)</x:v>
      </x:c>
      <x:c r="E303" s="10" t="str">
        <x:v>шт</x:v>
      </x:c>
      <x:c r="F303" s="37" t="n">
        <x:f>MAX(0,ROUNDDOWN((AG303-AF303)/AR303+0.000000001,0)*AR303)</x:f>
        <x:v>5</x:v>
      </x:c>
      <x:c r="G303" s="21" t="str">
        <x:f>IF(J303="Рассчитано",V303*(1-R303/100)-W303-P303-Q303,"н/д")</x:f>
        <x:v>н/д</x:v>
      </x:c>
      <x:c r="H303" s="13" t="str">
        <x:v>Высокий</x:v>
      </x:c>
      <x:c r="I303" s="13" t="str">
        <x:v>Средний</x:v>
      </x:c>
      <x:c r="J303" s="13" t="str">
        <x:f>IF(L303="","Укажите валюту",IF(NOT(ISNUMBER(K303)),"Укажите объём",IF(K303&lt;=0,"Укажите объём",IF(K303&gt;F303,"Объём выше излишка",IF(COUNT(M303:O303)&lt;3,"Нужны цены",IF(COUNT(P303:R303)&lt;3,"Нужны расходы",IF(OR(M303&lt;0,N303&lt;0,O303&lt;0,O303&gt;100,P303&lt;0,Q303&lt;0,R303&lt;0,R303&gt;100),"Проверьте значения","Рассчитано")))))))</x:f>
        <x:v>Нужны цены</x:v>
      </x:c>
      <x:c r="K303" s="36" t="n">
        <x:v>5</x:v>
      </x:c>
      <x:c r="L303" s="19" t="str">
        <x:v>KZT</x:v>
      </x:c>
      <x:c r="M303" s="22"/>
      <x:c r="N303" s="22"/>
      <x:c r="O303" s="28"/>
      <x:c r="P303" s="22"/>
      <x:c r="Q303" s="22"/>
      <x:c r="R303" s="28"/>
      <x:c r="S303" s="22"/>
      <x:c r="T303" s="37" t="n">
        <x:f>K303</x:f>
        <x:v>5</x:v>
      </x:c>
      <x:c r="U303" s="21" t="str">
        <x:f>IF(J303="Рассчитано",N303*(1-O303/100),"н/д")</x:f>
        <x:v>н/д</x:v>
      </x:c>
      <x:c r="V303" s="21" t="str">
        <x:f>IF(J303="Рассчитано",T303*U303,"н/д")</x:f>
        <x:v>н/д</x:v>
      </x:c>
      <x:c r="W303" s="21" t="str">
        <x:f>IF(J303="Рассчитано",T303*M303,"н/д")</x:f>
        <x:v>н/д</x:v>
      </x:c>
      <x:c r="X303" s="21" t="str">
        <x:f>IF(J303="Рассчитано",V303-W303,"н/д")</x:f>
        <x:v>н/д</x:v>
      </x:c>
      <x:c r="Y303" s="27" t="str">
        <x:f>IF(J303="Рассчитано",IF(V303&gt;0,G303/V303,"н/д"),"н/д")</x:f>
        <x:v>н/д</x:v>
      </x:c>
      <x:c r="Z303" s="21" t="str">
        <x:f>"н/д"</x:f>
        <x:v>н/д</x:v>
      </x:c>
      <x:c r="AA303" s="21" t="str">
        <x:f>"н/д"</x:f>
        <x:v>н/д</x:v>
      </x:c>
      <x:c r="AB303" s="21" t="str">
        <x:f>"н/д"</x:f>
        <x:v>н/д</x:v>
      </x:c>
      <x:c r="AC303" s="21" t="str">
        <x:f>IF(AND(J303="Рассчитано",T303&gt;0,R303&lt;100),(W303+P303+Q303)/(T303*(1-R303/100)),"н/д")</x:f>
        <x:v>н/д</x:v>
      </x:c>
      <x:c r="AD303" s="10" t="str">
        <x:f>IF(ISNUMBER(G303),IF(G303&lt;0,"Убыток",IF(G303=0,"Без прибыли","Прибыль &gt; 0")),"Не оценён")</x:f>
        <x:v>Не оценён</x:v>
      </x:c>
      <x:c r="AE303" s="13" t="str">
        <x:f>IF(J303="Рассчитано","Выручка "&amp;TEXT(V303,"0.00")&amp;" - себестоимость "&amp;TEXT(W303,"0.00")&amp;" - комиссия "&amp;TEXT(V303*R303/100,"0.00")&amp;" - доставка "&amp;TEXT(P303,"0.00")&amp;" - прочие "&amp;TEXT(Q303,"0.00")&amp;" = "&amp;TEXT(G303,"0.00")&amp;" "&amp;L303,"Введите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3" s="24" t="n">
        <x:v>16.385440139892257</x:v>
      </x:c>
      <x:c r="AG303" s="37" t="n">
        <x:v>22</x:v>
      </x:c>
      <x:c r="AH303" s="37" t="n">
        <x:v>0</x:v>
      </x:c>
      <x:c r="AI303" s="30" t="n">
        <x:v>46266</x:v>
      </x:c>
      <x:c r="AJ303" s="37" t="n">
        <x:v>1</x:v>
      </x:c>
      <x:c r="AK303" s="10" t="str">
        <x:v>минимум</x:v>
      </x:c>
      <x:c r="AL303" s="32" t="n">
        <x:v>114.17831073014696</x:v>
      </x:c>
      <x:c r="AM303" s="13" t="str">
        <x:v>Остаток на начало сентября; Резервы неизвестны; Нет ежедневных данных доступности. Запас выше прогноза на 90 дней</x:v>
      </x:c>
      <x:c r="AN303" s="13" t="str">
        <x:v>Проверить свободный остаток и установить цену для B2B</x:v>
      </x:c>
      <x:c r="AO303" s="13" t="str">
        <x:v>Остаток 22; прогноз 90 дней 16.39; избыток 5 шт. Будущие поступления не выставляются на продажу. Остаток на начало сентября: требуется актуализация.</x:v>
      </x:c>
      <x:c r="AP303" s="13" t="str">
        <x:v>["category_missing", "daily_stockout_data_missing", "negative_net_sales_clipped_for_forecast", "new_order_lead_time_unknown", "reservations_unknown", "stale_stock"]</x:v>
      </x:c>
      <x:c r="AQ303" s="10" t="str">
        <x:v>IEK:030200866_</x:v>
      </x:c>
      <x:c r="AR303" s="24" t="n">
        <x:v>1</x:v>
      </x:c>
      <x:c r="AS303" s="24" t="n">
        <x:v>0</x:v>
      </x:c>
      <x:c r="AT303" s="24" t="n">
        <x:v>0</x:v>
      </x:c>
    </x:row>
    <x:row r="304" ht="64" customHeight="1">
      <x:c r="A304" s="11" t="str">
        <x:v>IEK</x:v>
      </x:c>
      <x:c r="B304" s="33" t="str">
        <x:v>030200867_</x:v>
      </x:c>
      <x:c r="C304" s="33" t="str">
        <x:v>BR-V12-1-10-K47</x:v>
      </x:c>
      <x:c r="D304" s="12" t="str">
        <x:v>Выкл 1-кл. прох. с инд б/рамки 10А "BRITE" алюминий (1/100)</x:v>
      </x:c>
      <x:c r="E304" s="11" t="str">
        <x:v>шт</x:v>
      </x:c>
      <x:c r="F304" s="35" t="n">
        <x:f>MAX(0,ROUNDDOWN((AG304-AF304)/AR304+0.000000001,0)*AR304)</x:f>
        <x:v>111</x:v>
      </x:c>
      <x:c r="G304" s="20" t="str">
        <x:f>IF(J304="Рассчитано",V304*(1-R304/100)-W304-P304-Q304,"н/д")</x:f>
        <x:v>н/д</x:v>
      </x:c>
      <x:c r="H304" s="12" t="str">
        <x:v>Высокий</x:v>
      </x:c>
      <x:c r="I304" s="12" t="str">
        <x:v>Высокий</x:v>
      </x:c>
      <x:c r="J304" s="12" t="str">
        <x:f>IF(L304="","Укажите валюту",IF(NOT(ISNUMBER(K304)),"Укажите объём",IF(K304&lt;=0,"Укажите объём",IF(K304&gt;F304,"Объём выше излишка",IF(COUNT(M304:O304)&lt;3,"Нужны цены",IF(COUNT(P304:R304)&lt;3,"Нужны расходы",IF(OR(M304&lt;0,N304&lt;0,O304&lt;0,O304&gt;100,P304&lt;0,Q304&lt;0,R304&lt;0,R304&gt;100),"Проверьте значения","Рассчитано")))))))</x:f>
        <x:v>Нужны цены</x:v>
      </x:c>
      <x:c r="K304" s="36" t="n">
        <x:v>111</x:v>
      </x:c>
      <x:c r="L304" s="19" t="str">
        <x:v>KZT</x:v>
      </x:c>
      <x:c r="M304" s="22"/>
      <x:c r="N304" s="22"/>
      <x:c r="O304" s="28"/>
      <x:c r="P304" s="22"/>
      <x:c r="Q304" s="22"/>
      <x:c r="R304" s="28"/>
      <x:c r="S304" s="22"/>
      <x:c r="T304" s="35" t="n">
        <x:f>K304</x:f>
        <x:v>111</x:v>
      </x:c>
      <x:c r="U304" s="20" t="str">
        <x:f>IF(J304="Рассчитано",N304*(1-O304/100),"н/д")</x:f>
        <x:v>н/д</x:v>
      </x:c>
      <x:c r="V304" s="20" t="str">
        <x:f>IF(J304="Рассчитано",T304*U304,"н/д")</x:f>
        <x:v>н/д</x:v>
      </x:c>
      <x:c r="W304" s="20" t="str">
        <x:f>IF(J304="Рассчитано",T304*M304,"н/д")</x:f>
        <x:v>н/д</x:v>
      </x:c>
      <x:c r="X304" s="20" t="str">
        <x:f>IF(J304="Рассчитано",V304-W304,"н/д")</x:f>
        <x:v>н/д</x:v>
      </x:c>
      <x:c r="Y304" s="26" t="str">
        <x:f>IF(J304="Рассчитано",IF(V304&gt;0,G304/V304,"н/д"),"н/д")</x:f>
        <x:v>н/д</x:v>
      </x:c>
      <x:c r="Z304" s="20" t="str">
        <x:f>"н/д"</x:f>
        <x:v>н/д</x:v>
      </x:c>
      <x:c r="AA304" s="20" t="str">
        <x:f>"н/д"</x:f>
        <x:v>н/д</x:v>
      </x:c>
      <x:c r="AB304" s="20" t="str">
        <x:f>"н/д"</x:f>
        <x:v>н/д</x:v>
      </x:c>
      <x:c r="AC304" s="20" t="str">
        <x:f>IF(AND(J304="Рассчитано",T304&gt;0,R304&lt;100),(W304+P304+Q304)/(T304*(1-R304/100)),"н/д")</x:f>
        <x:v>н/д</x:v>
      </x:c>
      <x:c r="AD304" s="11" t="str">
        <x:f>IF(ISNUMBER(G304),IF(G304&lt;0,"Убыток",IF(G304=0,"Без прибыли","Прибыль &gt; 0")),"Не оценён")</x:f>
        <x:v>Не оценён</x:v>
      </x:c>
      <x:c r="AE304" s="12" t="str">
        <x:f>IF(J304="Рассчитано","Выручка "&amp;TEXT(V304,"0.00")&amp;" - себестоимость "&amp;TEXT(W304,"0.00")&amp;" - комиссия "&amp;TEXT(V304*R304/100,"0.00")&amp;" - доставка "&amp;TEXT(P304,"0.00")&amp;" - прочие "&amp;TEXT(Q304,"0.00")&amp;" = "&amp;TEXT(G304,"0.00")&amp;" "&amp;L304,"Введите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4" s="23" t="n">
        <x:v>0</x:v>
      </x:c>
      <x:c r="AG304" s="35" t="n">
        <x:v>111</x:v>
      </x:c>
      <x:c r="AH304" s="35" t="n">
        <x:v>0</x:v>
      </x:c>
      <x:c r="AI304" s="29" t="n">
        <x:v>46266</x:v>
      </x:c>
      <x:c r="AJ304" s="35" t="n">
        <x:v>1</x:v>
      </x:c>
      <x:c r="AK304" s="11" t="str">
        <x:v>минимум</x:v>
      </x:c>
      <x:c r="AL304" s="31" t="str">
        <x:v>н/д</x:v>
      </x:c>
      <x:c r="AM30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04" s="12" t="str">
        <x:v>Проверить свободный остаток и установить цену для B2B</x:v>
      </x:c>
      <x:c r="AO304" s="12" t="str">
        <x:v>Остаток 111; прогноз 90 дней 0.00; избыток 111 шт. Будущие поступления не выставляются на продажу. Остаток на начало сентября: требуется актуализация.</x:v>
      </x:c>
      <x:c r="AP304" s="12" t="str">
        <x:v>["category_missing", "daily_stockout_data_missing", "new_order_lead_time_unknown", "reservations_unknown", "stale_stock"]</x:v>
      </x:c>
      <x:c r="AQ304" s="11" t="str">
        <x:v>IEK:030200867_</x:v>
      </x:c>
      <x:c r="AR304" s="23" t="n">
        <x:v>1</x:v>
      </x:c>
      <x:c r="AS304" s="23" t="n">
        <x:v>0</x:v>
      </x:c>
      <x:c r="AT304" s="23" t="n">
        <x:v>0</x:v>
      </x:c>
    </x:row>
    <x:row r="305" ht="64" customHeight="1">
      <x:c r="A305" s="10" t="str">
        <x:v>IEK</x:v>
      </x:c>
      <x:c r="B305" s="34" t="str">
        <x:v>030200868_</x:v>
      </x:c>
      <x:c r="C305" s="34" t="str">
        <x:v>BR-R26-16-44-K47-F</x:v>
      </x:c>
      <x:c r="D305" s="13" t="str">
        <x:v>Роз 2-я с кр.  16А в сб IP44 "BRITE" алюминий (1/100)</x:v>
      </x:c>
      <x:c r="E305" s="10" t="str">
        <x:v>шт</x:v>
      </x:c>
      <x:c r="F305" s="37" t="n">
        <x:f>MAX(0,ROUNDDOWN((AG305-AF305)/AR305+0.000000001,0)*AR305)</x:f>
        <x:v>46</x:v>
      </x:c>
      <x:c r="G305" s="21" t="str">
        <x:f>IF(J305="Рассчитано",V305*(1-R305/100)-W305-P305-Q305,"н/д")</x:f>
        <x:v>н/д</x:v>
      </x:c>
      <x:c r="H305" s="13" t="str">
        <x:v>Высокий</x:v>
      </x:c>
      <x:c r="I305" s="13" t="str">
        <x:v>Высокий</x:v>
      </x:c>
      <x:c r="J305" s="13" t="str">
        <x:f>IF(L305="","Укажите валюту",IF(NOT(ISNUMBER(K305)),"Укажите объём",IF(K305&lt;=0,"Укажите объём",IF(K305&gt;F305,"Объём выше излишка",IF(COUNT(M305:O305)&lt;3,"Нужны цены",IF(COUNT(P305:R305)&lt;3,"Нужны расходы",IF(OR(M305&lt;0,N305&lt;0,O305&lt;0,O305&gt;100,P305&lt;0,Q305&lt;0,R305&lt;0,R305&gt;100),"Проверьте значения","Рассчитано")))))))</x:f>
        <x:v>Нужны цены</x:v>
      </x:c>
      <x:c r="K305" s="36" t="n">
        <x:v>46</x:v>
      </x:c>
      <x:c r="L305" s="19" t="str">
        <x:v>KZT</x:v>
      </x:c>
      <x:c r="M305" s="22"/>
      <x:c r="N305" s="22"/>
      <x:c r="O305" s="28"/>
      <x:c r="P305" s="22"/>
      <x:c r="Q305" s="22"/>
      <x:c r="R305" s="28"/>
      <x:c r="S305" s="22"/>
      <x:c r="T305" s="37" t="n">
        <x:f>K305</x:f>
        <x:v>46</x:v>
      </x:c>
      <x:c r="U305" s="21" t="str">
        <x:f>IF(J305="Рассчитано",N305*(1-O305/100),"н/д")</x:f>
        <x:v>н/д</x:v>
      </x:c>
      <x:c r="V305" s="21" t="str">
        <x:f>IF(J305="Рассчитано",T305*U305,"н/д")</x:f>
        <x:v>н/д</x:v>
      </x:c>
      <x:c r="W305" s="21" t="str">
        <x:f>IF(J305="Рассчитано",T305*M305,"н/д")</x:f>
        <x:v>н/д</x:v>
      </x:c>
      <x:c r="X305" s="21" t="str">
        <x:f>IF(J305="Рассчитано",V305-W305,"н/д")</x:f>
        <x:v>н/д</x:v>
      </x:c>
      <x:c r="Y305" s="27" t="str">
        <x:f>IF(J305="Рассчитано",IF(V305&gt;0,G305/V305,"н/д"),"н/д")</x:f>
        <x:v>н/д</x:v>
      </x:c>
      <x:c r="Z305" s="21" t="str">
        <x:f>"н/д"</x:f>
        <x:v>н/д</x:v>
      </x:c>
      <x:c r="AA305" s="21" t="str">
        <x:f>"н/д"</x:f>
        <x:v>н/д</x:v>
      </x:c>
      <x:c r="AB305" s="21" t="str">
        <x:f>"н/д"</x:f>
        <x:v>н/д</x:v>
      </x:c>
      <x:c r="AC305" s="21" t="str">
        <x:f>IF(AND(J305="Рассчитано",T305&gt;0,R305&lt;100),(W305+P305+Q305)/(T305*(1-R305/100)),"н/д")</x:f>
        <x:v>н/д</x:v>
      </x:c>
      <x:c r="AD305" s="10" t="str">
        <x:f>IF(ISNUMBER(G305),IF(G305&lt;0,"Убыток",IF(G305=0,"Без прибыли","Прибыль &gt; 0")),"Не оценён")</x:f>
        <x:v>Не оценён</x:v>
      </x:c>
      <x:c r="AE305" s="13" t="str">
        <x:f>IF(J305="Рассчитано","Выручка "&amp;TEXT(V305,"0.00")&amp;" - себестоимость "&amp;TEXT(W305,"0.00")&amp;" - комиссия "&amp;TEXT(V305*R305/100,"0.00")&amp;" - доставка "&amp;TEXT(P305,"0.00")&amp;" - прочие "&amp;TEXT(Q305,"0.00")&amp;" = "&amp;TEXT(G305,"0.00")&amp;" "&amp;L305,"Введите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5" s="24" t="n">
        <x:v>0</x:v>
      </x:c>
      <x:c r="AG305" s="37" t="n">
        <x:v>46</x:v>
      </x:c>
      <x:c r="AH305" s="37" t="n">
        <x:v>0</x:v>
      </x:c>
      <x:c r="AI305" s="30" t="n">
        <x:v>46266</x:v>
      </x:c>
      <x:c r="AJ305" s="37" t="n">
        <x:v>1</x:v>
      </x:c>
      <x:c r="AK305" s="10" t="str">
        <x:v>минимум</x:v>
      </x:c>
      <x:c r="AL305" s="32" t="str">
        <x:v>н/д</x:v>
      </x:c>
      <x:c r="AM30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05" s="13" t="str">
        <x:v>Проверить свободный остаток и установить цену для B2B</x:v>
      </x:c>
      <x:c r="AO305" s="13" t="str">
        <x:v>Остаток 46; прогноз 90 дней 0.00; избыток 46 шт. Будущие поступления не выставляются на продажу. Остаток на начало сентября: требуется актуализация.</x:v>
      </x:c>
      <x:c r="AP305" s="13" t="str">
        <x:v>["category_missing", "daily_stockout_data_missing", "new_order_lead_time_unknown", "reservations_unknown", "stale_stock"]</x:v>
      </x:c>
      <x:c r="AQ305" s="10" t="str">
        <x:v>IEK:030200868_</x:v>
      </x:c>
      <x:c r="AR305" s="24" t="n">
        <x:v>1</x:v>
      </x:c>
      <x:c r="AS305" s="24" t="n">
        <x:v>0</x:v>
      </x:c>
      <x:c r="AT305" s="24" t="n">
        <x:v>0</x:v>
      </x:c>
    </x:row>
    <x:row r="306" ht="64" customHeight="1">
      <x:c r="A306" s="11" t="str">
        <x:v>IEK</x:v>
      </x:c>
      <x:c r="B306" s="33" t="str">
        <x:v>030200869_</x:v>
      </x:c>
      <x:c r="C306" s="33" t="str">
        <x:v>BR-K20-1-K47</x:v>
      </x:c>
      <x:c r="D306" s="12" t="str">
        <x:v>Роз 2-ая комп. RJ45 кат.5E б/рамки "BRITE" алюминий (1/100)</x:v>
      </x:c>
      <x:c r="E306" s="11" t="str">
        <x:v>шт</x:v>
      </x:c>
      <x:c r="F306" s="35" t="n">
        <x:f>MAX(0,ROUNDDOWN((AG306-AF306)/AR306+0.000000001,0)*AR306)</x:f>
        <x:v>6</x:v>
      </x:c>
      <x:c r="G306" s="20" t="str">
        <x:f>IF(J306="Рассчитано",V306*(1-R306/100)-W306-P306-Q306,"н/д")</x:f>
        <x:v>н/д</x:v>
      </x:c>
      <x:c r="H306" s="12" t="str">
        <x:v>Высокий</x:v>
      </x:c>
      <x:c r="I306" s="12" t="str">
        <x:v>Средний</x:v>
      </x:c>
      <x:c r="J306" s="12" t="str">
        <x:f>IF(L306="","Укажите валюту",IF(NOT(ISNUMBER(K306)),"Укажите объём",IF(K306&lt;=0,"Укажите объём",IF(K306&gt;F306,"Объём выше излишка",IF(COUNT(M306:O306)&lt;3,"Нужны цены",IF(COUNT(P306:R306)&lt;3,"Нужны расходы",IF(OR(M306&lt;0,N306&lt;0,O306&lt;0,O306&gt;100,P306&lt;0,Q306&lt;0,R306&lt;0,R306&gt;100),"Проверьте значения","Рассчитано")))))))</x:f>
        <x:v>Нужны цены</x:v>
      </x:c>
      <x:c r="K306" s="36" t="n">
        <x:v>6</x:v>
      </x:c>
      <x:c r="L306" s="19" t="str">
        <x:v>KZT</x:v>
      </x:c>
      <x:c r="M306" s="22"/>
      <x:c r="N306" s="22"/>
      <x:c r="O306" s="28"/>
      <x:c r="P306" s="22"/>
      <x:c r="Q306" s="22"/>
      <x:c r="R306" s="28"/>
      <x:c r="S306" s="22"/>
      <x:c r="T306" s="35" t="n">
        <x:f>K306</x:f>
        <x:v>6</x:v>
      </x:c>
      <x:c r="U306" s="20" t="str">
        <x:f>IF(J306="Рассчитано",N306*(1-O306/100),"н/д")</x:f>
        <x:v>н/д</x:v>
      </x:c>
      <x:c r="V306" s="20" t="str">
        <x:f>IF(J306="Рассчитано",T306*U306,"н/д")</x:f>
        <x:v>н/д</x:v>
      </x:c>
      <x:c r="W306" s="20" t="str">
        <x:f>IF(J306="Рассчитано",T306*M306,"н/д")</x:f>
        <x:v>н/д</x:v>
      </x:c>
      <x:c r="X306" s="20" t="str">
        <x:f>IF(J306="Рассчитано",V306-W306,"н/д")</x:f>
        <x:v>н/д</x:v>
      </x:c>
      <x:c r="Y306" s="26" t="str">
        <x:f>IF(J306="Рассчитано",IF(V306&gt;0,G306/V306,"н/д"),"н/д")</x:f>
        <x:v>н/д</x:v>
      </x:c>
      <x:c r="Z306" s="20" t="str">
        <x:f>"н/д"</x:f>
        <x:v>н/д</x:v>
      </x:c>
      <x:c r="AA306" s="20" t="str">
        <x:f>"н/д"</x:f>
        <x:v>н/д</x:v>
      </x:c>
      <x:c r="AB306" s="20" t="str">
        <x:f>"н/д"</x:f>
        <x:v>н/д</x:v>
      </x:c>
      <x:c r="AC306" s="20" t="str">
        <x:f>IF(AND(J306="Рассчитано",T306&gt;0,R306&lt;100),(W306+P306+Q306)/(T306*(1-R306/100)),"н/д")</x:f>
        <x:v>н/д</x:v>
      </x:c>
      <x:c r="AD306" s="11" t="str">
        <x:f>IF(ISNUMBER(G306),IF(G306&lt;0,"Убыток",IF(G306=0,"Без прибыли","Прибыль &gt; 0")),"Не оценён")</x:f>
        <x:v>Не оценён</x:v>
      </x:c>
      <x:c r="AE306" s="12" t="str">
        <x:f>IF(J306="Рассчитано","Выручка "&amp;TEXT(V306,"0.00")&amp;" - себестоимость "&amp;TEXT(W306,"0.00")&amp;" - комиссия "&amp;TEXT(V306*R306/100,"0.00")&amp;" - доставка "&amp;TEXT(P306,"0.00")&amp;" - прочие "&amp;TEXT(Q306,"0.00")&amp;" = "&amp;TEXT(G306,"0.00")&amp;" "&amp;L306,"Введите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6" s="23" t="n">
        <x:v>28.07138598855465</x:v>
      </x:c>
      <x:c r="AG306" s="35" t="n">
        <x:v>35</x:v>
      </x:c>
      <x:c r="AH306" s="35" t="n">
        <x:v>0</x:v>
      </x:c>
      <x:c r="AI306" s="29" t="n">
        <x:v>46266</x:v>
      </x:c>
      <x:c r="AJ306" s="35" t="n">
        <x:v>1</x:v>
      </x:c>
      <x:c r="AK306" s="11" t="str">
        <x:v>минимум</x:v>
      </x:c>
      <x:c r="AL306" s="31" t="n">
        <x:v>106.02865021228563</x:v>
      </x:c>
      <x:c r="AM306" s="12" t="str">
        <x:v>Остаток на начало сентября; Резервы неизвестны; Нет ежедневных данных доступности. Запас выше прогноза на 90 дней</x:v>
      </x:c>
      <x:c r="AN306" s="12" t="str">
        <x:v>Проверить свободный остаток и установить цену для B2B</x:v>
      </x:c>
      <x:c r="AO306" s="12" t="str">
        <x:v>Остаток 35; прогноз 90 дней 28.07; избыток 6 шт. Будущие поступления не выставляются на продажу. Остаток на начало сентября: требуется актуализация.</x:v>
      </x:c>
      <x:c r="AP306" s="12" t="str">
        <x:v>["category_missing", "daily_stockout_data_missing", "large_orders_detected", "new_order_lead_time_unknown", "reservations_unknown", "stale_stock"]</x:v>
      </x:c>
      <x:c r="AQ306" s="11" t="str">
        <x:v>IEK:030200869_</x:v>
      </x:c>
      <x:c r="AR306" s="23" t="n">
        <x:v>1</x:v>
      </x:c>
      <x:c r="AS306" s="23" t="n">
        <x:v>0</x:v>
      </x:c>
      <x:c r="AT306" s="23" t="n">
        <x:v>0</x:v>
      </x:c>
    </x:row>
    <x:row r="307" ht="64" customHeight="1">
      <x:c r="A307" s="10" t="str">
        <x:v>IEK</x:v>
      </x:c>
      <x:c r="B307" s="34" t="str">
        <x:v>030200870_</x:v>
      </x:c>
      <x:c r="C307" s="34" t="str">
        <x:v>BR-V12-1-10-K36</x:v>
      </x:c>
      <x:c r="D307" s="13" t="str">
        <x:v>Выкл 1-кл. прох. с инд б/рамки 10А "BRITE" жемчуг (1/100)</x:v>
      </x:c>
      <x:c r="E307" s="10" t="str">
        <x:v>шт</x:v>
      </x:c>
      <x:c r="F307" s="37" t="n">
        <x:f>MAX(0,ROUNDDOWN((AG307-AF307)/AR307+0.000000001,0)*AR307)</x:f>
        <x:v>153</x:v>
      </x:c>
      <x:c r="G307" s="21" t="str">
        <x:f>IF(J307="Рассчитано",V307*(1-R307/100)-W307-P307-Q307,"н/д")</x:f>
        <x:v>н/д</x:v>
      </x:c>
      <x:c r="H307" s="13" t="str">
        <x:v>Высокий</x:v>
      </x:c>
      <x:c r="I307" s="13" t="str">
        <x:v>Высокий</x:v>
      </x:c>
      <x:c r="J307" s="13" t="str">
        <x:f>IF(L307="","Укажите валюту",IF(NOT(ISNUMBER(K307)),"Укажите объём",IF(K307&lt;=0,"Укажите объём",IF(K307&gt;F307,"Объём выше излишка",IF(COUNT(M307:O307)&lt;3,"Нужны цены",IF(COUNT(P307:R307)&lt;3,"Нужны расходы",IF(OR(M307&lt;0,N307&lt;0,O307&lt;0,O307&gt;100,P307&lt;0,Q307&lt;0,R307&lt;0,R307&gt;100),"Проверьте значения","Рассчитано")))))))</x:f>
        <x:v>Нужны цены</x:v>
      </x:c>
      <x:c r="K307" s="36" t="n">
        <x:v>153</x:v>
      </x:c>
      <x:c r="L307" s="19" t="str">
        <x:v>KZT</x:v>
      </x:c>
      <x:c r="M307" s="22"/>
      <x:c r="N307" s="22"/>
      <x:c r="O307" s="28"/>
      <x:c r="P307" s="22"/>
      <x:c r="Q307" s="22"/>
      <x:c r="R307" s="28"/>
      <x:c r="S307" s="22"/>
      <x:c r="T307" s="37" t="n">
        <x:f>K307</x:f>
        <x:v>153</x:v>
      </x:c>
      <x:c r="U307" s="21" t="str">
        <x:f>IF(J307="Рассчитано",N307*(1-O307/100),"н/д")</x:f>
        <x:v>н/д</x:v>
      </x:c>
      <x:c r="V307" s="21" t="str">
        <x:f>IF(J307="Рассчитано",T307*U307,"н/д")</x:f>
        <x:v>н/д</x:v>
      </x:c>
      <x:c r="W307" s="21" t="str">
        <x:f>IF(J307="Рассчитано",T307*M307,"н/д")</x:f>
        <x:v>н/д</x:v>
      </x:c>
      <x:c r="X307" s="21" t="str">
        <x:f>IF(J307="Рассчитано",V307-W307,"н/д")</x:f>
        <x:v>н/д</x:v>
      </x:c>
      <x:c r="Y307" s="27" t="str">
        <x:f>IF(J307="Рассчитано",IF(V307&gt;0,G307/V307,"н/д"),"н/д")</x:f>
        <x:v>н/д</x:v>
      </x:c>
      <x:c r="Z307" s="21" t="str">
        <x:f>"н/д"</x:f>
        <x:v>н/д</x:v>
      </x:c>
      <x:c r="AA307" s="21" t="str">
        <x:f>"н/д"</x:f>
        <x:v>н/д</x:v>
      </x:c>
      <x:c r="AB307" s="21" t="str">
        <x:f>"н/д"</x:f>
        <x:v>н/д</x:v>
      </x:c>
      <x:c r="AC307" s="21" t="str">
        <x:f>IF(AND(J307="Рассчитано",T307&gt;0,R307&lt;100),(W307+P307+Q307)/(T307*(1-R307/100)),"н/д")</x:f>
        <x:v>н/д</x:v>
      </x:c>
      <x:c r="AD307" s="10" t="str">
        <x:f>IF(ISNUMBER(G307),IF(G307&lt;0,"Убыток",IF(G307=0,"Без прибыли","Прибыль &gt; 0")),"Не оценён")</x:f>
        <x:v>Не оценён</x:v>
      </x:c>
      <x:c r="AE307" s="13" t="str">
        <x:f>IF(J307="Рассчитано","Выручка "&amp;TEXT(V307,"0.00")&amp;" - себестоимость "&amp;TEXT(W307,"0.00")&amp;" - комиссия "&amp;TEXT(V307*R307/100,"0.00")&amp;" - доставка "&amp;TEXT(P307,"0.00")&amp;" - прочие "&amp;TEXT(Q307,"0.00")&amp;" = "&amp;TEXT(G307,"0.00")&amp;" "&amp;L307,"Введите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7" s="24" t="n">
        <x:v>0</x:v>
      </x:c>
      <x:c r="AG307" s="37" t="n">
        <x:v>153</x:v>
      </x:c>
      <x:c r="AH307" s="37" t="n">
        <x:v>0</x:v>
      </x:c>
      <x:c r="AI307" s="30" t="n">
        <x:v>46266</x:v>
      </x:c>
      <x:c r="AJ307" s="37" t="n">
        <x:v>1</x:v>
      </x:c>
      <x:c r="AK307" s="10" t="str">
        <x:v>минимум</x:v>
      </x:c>
      <x:c r="AL307" s="32" t="str">
        <x:v>н/д</x:v>
      </x:c>
      <x:c r="AM30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07" s="13" t="str">
        <x:v>Проверить свободный остаток и установить цену для B2B</x:v>
      </x:c>
      <x:c r="AO307" s="13" t="str">
        <x:v>Остаток 153; прогноз 90 дней 0.00; избыток 153 шт. Будущие поступления не выставляются на продажу. Остаток на начало сентября: требуется актуализация.</x:v>
      </x:c>
      <x:c r="AP307" s="13" t="str">
        <x:v>["category_missing", "daily_stockout_data_missing", "new_order_lead_time_unknown", "reservations_unknown", "stale_stock"]</x:v>
      </x:c>
      <x:c r="AQ307" s="10" t="str">
        <x:v>IEK:030200870_</x:v>
      </x:c>
      <x:c r="AR307" s="24" t="n">
        <x:v>1</x:v>
      </x:c>
      <x:c r="AS307" s="24" t="n">
        <x:v>0</x:v>
      </x:c>
      <x:c r="AT307" s="24" t="n">
        <x:v>0</x:v>
      </x:c>
    </x:row>
    <x:row r="308" ht="64" customHeight="1">
      <x:c r="A308" s="11" t="str">
        <x:v>IEK</x:v>
      </x:c>
      <x:c r="B308" s="33" t="str">
        <x:v>030200871_</x:v>
      </x:c>
      <x:c r="C308" s="33" t="str">
        <x:v>BR-R26-16-44-K36-F</x:v>
      </x:c>
      <x:c r="D308" s="12" t="str">
        <x:v>Роз 2-я с кр. 16А в сб IP44 "BRITE" жемчуг (1/100)</x:v>
      </x:c>
      <x:c r="E308" s="11" t="str">
        <x:v>шт</x:v>
      </x:c>
      <x:c r="F308" s="35" t="n">
        <x:f>MAX(0,ROUNDDOWN((AG308-AF308)/AR308+0.000000001,0)*AR308)</x:f>
        <x:v>36</x:v>
      </x:c>
      <x:c r="G308" s="20" t="str">
        <x:f>IF(J308="Рассчитано",V308*(1-R308/100)-W308-P308-Q308,"н/д")</x:f>
        <x:v>н/д</x:v>
      </x:c>
      <x:c r="H308" s="12" t="str">
        <x:v>Высокий</x:v>
      </x:c>
      <x:c r="I308" s="12" t="str">
        <x:v>Высокий</x:v>
      </x:c>
      <x:c r="J308" s="12" t="str">
        <x:f>IF(L308="","Укажите валюту",IF(NOT(ISNUMBER(K308)),"Укажите объём",IF(K308&lt;=0,"Укажите объём",IF(K308&gt;F308,"Объём выше излишка",IF(COUNT(M308:O308)&lt;3,"Нужны цены",IF(COUNT(P308:R308)&lt;3,"Нужны расходы",IF(OR(M308&lt;0,N308&lt;0,O308&lt;0,O308&gt;100,P308&lt;0,Q308&lt;0,R308&lt;0,R308&gt;100),"Проверьте значения","Рассчитано")))))))</x:f>
        <x:v>Нужны цены</x:v>
      </x:c>
      <x:c r="K308" s="36" t="n">
        <x:v>36</x:v>
      </x:c>
      <x:c r="L308" s="19" t="str">
        <x:v>KZT</x:v>
      </x:c>
      <x:c r="M308" s="22"/>
      <x:c r="N308" s="22"/>
      <x:c r="O308" s="28"/>
      <x:c r="P308" s="22"/>
      <x:c r="Q308" s="22"/>
      <x:c r="R308" s="28"/>
      <x:c r="S308" s="22"/>
      <x:c r="T308" s="35" t="n">
        <x:f>K308</x:f>
        <x:v>36</x:v>
      </x:c>
      <x:c r="U308" s="20" t="str">
        <x:f>IF(J308="Рассчитано",N308*(1-O308/100),"н/д")</x:f>
        <x:v>н/д</x:v>
      </x:c>
      <x:c r="V308" s="20" t="str">
        <x:f>IF(J308="Рассчитано",T308*U308,"н/д")</x:f>
        <x:v>н/д</x:v>
      </x:c>
      <x:c r="W308" s="20" t="str">
        <x:f>IF(J308="Рассчитано",T308*M308,"н/д")</x:f>
        <x:v>н/д</x:v>
      </x:c>
      <x:c r="X308" s="20" t="str">
        <x:f>IF(J308="Рассчитано",V308-W308,"н/д")</x:f>
        <x:v>н/д</x:v>
      </x:c>
      <x:c r="Y308" s="26" t="str">
        <x:f>IF(J308="Рассчитано",IF(V308&gt;0,G308/V308,"н/д"),"н/д")</x:f>
        <x:v>н/д</x:v>
      </x:c>
      <x:c r="Z308" s="20" t="str">
        <x:f>"н/д"</x:f>
        <x:v>н/д</x:v>
      </x:c>
      <x:c r="AA308" s="20" t="str">
        <x:f>"н/д"</x:f>
        <x:v>н/д</x:v>
      </x:c>
      <x:c r="AB308" s="20" t="str">
        <x:f>"н/д"</x:f>
        <x:v>н/д</x:v>
      </x:c>
      <x:c r="AC308" s="20" t="str">
        <x:f>IF(AND(J308="Рассчитано",T308&gt;0,R308&lt;100),(W308+P308+Q308)/(T308*(1-R308/100)),"н/д")</x:f>
        <x:v>н/д</x:v>
      </x:c>
      <x:c r="AD308" s="11" t="str">
        <x:f>IF(ISNUMBER(G308),IF(G308&lt;0,"Убыток",IF(G308=0,"Без прибыли","Прибыль &gt; 0")),"Не оценён")</x:f>
        <x:v>Не оценён</x:v>
      </x:c>
      <x:c r="AE308" s="12" t="str">
        <x:f>IF(J308="Рассчитано","Выручка "&amp;TEXT(V308,"0.00")&amp;" - себестоимость "&amp;TEXT(W308,"0.00")&amp;" - комиссия "&amp;TEXT(V308*R308/100,"0.00")&amp;" - доставка "&amp;TEXT(P308,"0.00")&amp;" - прочие "&amp;TEXT(Q308,"0.00")&amp;" = "&amp;TEXT(G308,"0.00")&amp;" "&amp;L308,"Введите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8" s="23" t="n">
        <x:v>0.3322733058606666</x:v>
      </x:c>
      <x:c r="AG308" s="35" t="n">
        <x:v>37</x:v>
      </x:c>
      <x:c r="AH308" s="35" t="n">
        <x:v>0</x:v>
      </x:c>
      <x:c r="AI308" s="29" t="n">
        <x:v>46266</x:v>
      </x:c>
      <x:c r="AJ308" s="35" t="n">
        <x:v>1</x:v>
      </x:c>
      <x:c r="AK308" s="11" t="str">
        <x:v>минимум</x:v>
      </x:c>
      <x:c r="AL308" s="31" t="n">
        <x:v>9469.462225214647</x:v>
      </x:c>
      <x:c r="AM30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08" s="12" t="str">
        <x:v>Проверить свободный остаток и установить цену для B2B</x:v>
      </x:c>
      <x:c r="AO308" s="12" t="str">
        <x:v>Остаток 37; прогноз 90 дней 0.33; избыток 36 шт. Будущие поступления не выставляются на продажу. Остаток на начало сентября: требуется актуализация.</x:v>
      </x:c>
      <x:c r="AP308" s="12" t="str">
        <x:v>["category_missing", "daily_stockout_data_missing", "new_order_lead_time_unknown", "reservations_unknown", "stale_stock"]</x:v>
      </x:c>
      <x:c r="AQ308" s="11" t="str">
        <x:v>IEK:030200871_</x:v>
      </x:c>
      <x:c r="AR308" s="23" t="n">
        <x:v>1</x:v>
      </x:c>
      <x:c r="AS308" s="23" t="n">
        <x:v>0</x:v>
      </x:c>
      <x:c r="AT308" s="23" t="n">
        <x:v>0</x:v>
      </x:c>
    </x:row>
    <x:row r="309" ht="64" customHeight="1">
      <x:c r="A309" s="10" t="str">
        <x:v>IEK</x:v>
      </x:c>
      <x:c r="B309" s="34" t="str">
        <x:v>030200872_</x:v>
      </x:c>
      <x:c r="C309" s="34" t="str">
        <x:v>BR-K20-1-K36</x:v>
      </x:c>
      <x:c r="D309" s="13" t="str">
        <x:v>Роз 2-ая комп. RJ45 кат.5E б/рамки "BRITE" жемчуг (1/100)</x:v>
      </x:c>
      <x:c r="E309" s="10" t="str">
        <x:v>шт</x:v>
      </x:c>
      <x:c r="F309" s="37" t="n">
        <x:f>MAX(0,ROUNDDOWN((AG309-AF309)/AR309+0.000000001,0)*AR309)</x:f>
        <x:v>7</x:v>
      </x:c>
      <x:c r="G309" s="21" t="str">
        <x:f>IF(J309="Рассчитано",V309*(1-R309/100)-W309-P309-Q309,"н/д")</x:f>
        <x:v>н/д</x:v>
      </x:c>
      <x:c r="H309" s="13" t="str">
        <x:v>Высокий</x:v>
      </x:c>
      <x:c r="I309" s="13" t="str">
        <x:v>Высокий</x:v>
      </x:c>
      <x:c r="J309" s="13" t="str">
        <x:f>IF(L309="","Укажите валюту",IF(NOT(ISNUMBER(K309)),"Укажите объём",IF(K309&lt;=0,"Укажите объём",IF(K309&gt;F309,"Объём выше излишка",IF(COUNT(M309:O309)&lt;3,"Нужны цены",IF(COUNT(P309:R309)&lt;3,"Нужны расходы",IF(OR(M309&lt;0,N309&lt;0,O309&lt;0,O309&gt;100,P309&lt;0,Q309&lt;0,R309&lt;0,R309&gt;100),"Проверьте значения","Рассчитано")))))))</x:f>
        <x:v>Нужны цены</x:v>
      </x:c>
      <x:c r="K309" s="36" t="n">
        <x:v>7</x:v>
      </x:c>
      <x:c r="L309" s="19" t="str">
        <x:v>KZT</x:v>
      </x:c>
      <x:c r="M309" s="22"/>
      <x:c r="N309" s="22"/>
      <x:c r="O309" s="28"/>
      <x:c r="P309" s="22"/>
      <x:c r="Q309" s="22"/>
      <x:c r="R309" s="28"/>
      <x:c r="S309" s="22"/>
      <x:c r="T309" s="37" t="n">
        <x:f>K309</x:f>
        <x:v>7</x:v>
      </x:c>
      <x:c r="U309" s="21" t="str">
        <x:f>IF(J309="Рассчитано",N309*(1-O309/100),"н/д")</x:f>
        <x:v>н/д</x:v>
      </x:c>
      <x:c r="V309" s="21" t="str">
        <x:f>IF(J309="Рассчитано",T309*U309,"н/д")</x:f>
        <x:v>н/д</x:v>
      </x:c>
      <x:c r="W309" s="21" t="str">
        <x:f>IF(J309="Рассчитано",T309*M309,"н/д")</x:f>
        <x:v>н/д</x:v>
      </x:c>
      <x:c r="X309" s="21" t="str">
        <x:f>IF(J309="Рассчитано",V309-W309,"н/д")</x:f>
        <x:v>н/д</x:v>
      </x:c>
      <x:c r="Y309" s="27" t="str">
        <x:f>IF(J309="Рассчитано",IF(V309&gt;0,G309/V309,"н/д"),"н/д")</x:f>
        <x:v>н/д</x:v>
      </x:c>
      <x:c r="Z309" s="21" t="str">
        <x:f>"н/д"</x:f>
        <x:v>н/д</x:v>
      </x:c>
      <x:c r="AA309" s="21" t="str">
        <x:f>"н/д"</x:f>
        <x:v>н/д</x:v>
      </x:c>
      <x:c r="AB309" s="21" t="str">
        <x:f>"н/д"</x:f>
        <x:v>н/д</x:v>
      </x:c>
      <x:c r="AC309" s="21" t="str">
        <x:f>IF(AND(J309="Рассчитано",T309&gt;0,R309&lt;100),(W309+P309+Q309)/(T309*(1-R309/100)),"н/д")</x:f>
        <x:v>н/д</x:v>
      </x:c>
      <x:c r="AD309" s="10" t="str">
        <x:f>IF(ISNUMBER(G309),IF(G309&lt;0,"Убыток",IF(G309=0,"Без прибыли","Прибыль &gt; 0")),"Не оценён")</x:f>
        <x:v>Не оценён</x:v>
      </x:c>
      <x:c r="AE309" s="13" t="str">
        <x:f>IF(J309="Рассчитано","Выручка "&amp;TEXT(V309,"0.00")&amp;" - себестоимость "&amp;TEXT(W309,"0.00")&amp;" - комиссия "&amp;TEXT(V309*R309/100,"0.00")&amp;" - доставка "&amp;TEXT(P309,"0.00")&amp;" - прочие "&amp;TEXT(Q309,"0.00")&amp;" = "&amp;TEXT(G309,"0.00")&amp;" "&amp;L309,"Введите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9" s="24" t="n">
        <x:v>2.1815896519076357</x:v>
      </x:c>
      <x:c r="AG309" s="37" t="n">
        <x:v>10</x:v>
      </x:c>
      <x:c r="AH309" s="37" t="n">
        <x:v>0</x:v>
      </x:c>
      <x:c r="AI309" s="30" t="n">
        <x:v>46266</x:v>
      </x:c>
      <x:c r="AJ309" s="37" t="n">
        <x:v>1</x:v>
      </x:c>
      <x:c r="AK309" s="10" t="str">
        <x:v>минимум</x:v>
      </x:c>
      <x:c r="AL309" s="32" t="n">
        <x:v>389.80371994233064</x:v>
      </x:c>
      <x:c r="AM309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309" s="13" t="str">
        <x:v>Проверить свободный остаток и установить цену для B2B</x:v>
      </x:c>
      <x:c r="AO309" s="13" t="str">
        <x:v>Остаток 10; прогноз 90 дней 2.18; избыток 7 шт. Будущие поступления не выставляются на продажу. Остаток на начало сентября: требуется актуализация.</x:v>
      </x:c>
      <x:c r="AP309" s="13" t="str">
        <x:v>["category_missing", "daily_stockout_data_missing", "new_order_lead_time_unknown", "reservations_unknown", "stale_stock", "stockout_proxy_used"]</x:v>
      </x:c>
      <x:c r="AQ309" s="10" t="str">
        <x:v>IEK:030200872_</x:v>
      </x:c>
      <x:c r="AR309" s="24" t="n">
        <x:v>1</x:v>
      </x:c>
      <x:c r="AS309" s="24" t="n">
        <x:v>0</x:v>
      </x:c>
      <x:c r="AT309" s="24" t="n">
        <x:v>0</x:v>
      </x:c>
    </x:row>
    <x:row r="310" ht="64" customHeight="1">
      <x:c r="A310" s="11" t="str">
        <x:v>IEK</x:v>
      </x:c>
      <x:c r="B310" s="33" t="str">
        <x:v>030200873_</x:v>
      </x:c>
      <x:c r="C310" s="33" t="str">
        <x:v>BR-V12-1-10-K37</x:v>
      </x:c>
      <x:c r="D310" s="12" t="str">
        <x:v>Выкл 1-кл. прох. с инд. б/рамки 10А "BRITE" шампань (1/100)</x:v>
      </x:c>
      <x:c r="E310" s="11" t="str">
        <x:v>шт</x:v>
      </x:c>
      <x:c r="F310" s="35" t="n">
        <x:f>MAX(0,ROUNDDOWN((AG310-AF310)/AR310+0.000000001,0)*AR310)</x:f>
        <x:v>125</x:v>
      </x:c>
      <x:c r="G310" s="20" t="str">
        <x:f>IF(J310="Рассчитано",V310*(1-R310/100)-W310-P310-Q310,"н/д")</x:f>
        <x:v>н/д</x:v>
      </x:c>
      <x:c r="H310" s="12" t="str">
        <x:v>Высокий</x:v>
      </x:c>
      <x:c r="I310" s="12" t="str">
        <x:v>Высокий</x:v>
      </x:c>
      <x:c r="J310" s="12" t="str">
        <x:f>IF(L310="","Укажите валюту",IF(NOT(ISNUMBER(K310)),"Укажите объём",IF(K310&lt;=0,"Укажите объём",IF(K310&gt;F310,"Объём выше излишка",IF(COUNT(M310:O310)&lt;3,"Нужны цены",IF(COUNT(P310:R310)&lt;3,"Нужны расходы",IF(OR(M310&lt;0,N310&lt;0,O310&lt;0,O310&gt;100,P310&lt;0,Q310&lt;0,R310&lt;0,R310&gt;100),"Проверьте значения","Рассчитано")))))))</x:f>
        <x:v>Нужны цены</x:v>
      </x:c>
      <x:c r="K310" s="36" t="n">
        <x:v>125</x:v>
      </x:c>
      <x:c r="L310" s="19" t="str">
        <x:v>KZT</x:v>
      </x:c>
      <x:c r="M310" s="22"/>
      <x:c r="N310" s="22"/>
      <x:c r="O310" s="28"/>
      <x:c r="P310" s="22"/>
      <x:c r="Q310" s="22"/>
      <x:c r="R310" s="28"/>
      <x:c r="S310" s="22"/>
      <x:c r="T310" s="35" t="n">
        <x:f>K310</x:f>
        <x:v>125</x:v>
      </x:c>
      <x:c r="U310" s="20" t="str">
        <x:f>IF(J310="Рассчитано",N310*(1-O310/100),"н/д")</x:f>
        <x:v>н/д</x:v>
      </x:c>
      <x:c r="V310" s="20" t="str">
        <x:f>IF(J310="Рассчитано",T310*U310,"н/д")</x:f>
        <x:v>н/д</x:v>
      </x:c>
      <x:c r="W310" s="20" t="str">
        <x:f>IF(J310="Рассчитано",T310*M310,"н/д")</x:f>
        <x:v>н/д</x:v>
      </x:c>
      <x:c r="X310" s="20" t="str">
        <x:f>IF(J310="Рассчитано",V310-W310,"н/д")</x:f>
        <x:v>н/д</x:v>
      </x:c>
      <x:c r="Y310" s="26" t="str">
        <x:f>IF(J310="Рассчитано",IF(V310&gt;0,G310/V310,"н/д"),"н/д")</x:f>
        <x:v>н/д</x:v>
      </x:c>
      <x:c r="Z310" s="20" t="str">
        <x:f>"н/д"</x:f>
        <x:v>н/д</x:v>
      </x:c>
      <x:c r="AA310" s="20" t="str">
        <x:f>"н/д"</x:f>
        <x:v>н/д</x:v>
      </x:c>
      <x:c r="AB310" s="20" t="str">
        <x:f>"н/д"</x:f>
        <x:v>н/д</x:v>
      </x:c>
      <x:c r="AC310" s="20" t="str">
        <x:f>IF(AND(J310="Рассчитано",T310&gt;0,R310&lt;100),(W310+P310+Q310)/(T310*(1-R310/100)),"н/д")</x:f>
        <x:v>н/д</x:v>
      </x:c>
      <x:c r="AD310" s="11" t="str">
        <x:f>IF(ISNUMBER(G310),IF(G310&lt;0,"Убыток",IF(G310=0,"Без прибыли","Прибыль &gt; 0")),"Не оценён")</x:f>
        <x:v>Не оценён</x:v>
      </x:c>
      <x:c r="AE310" s="12" t="str">
        <x:f>IF(J310="Рассчитано","Выручка "&amp;TEXT(V310,"0.00")&amp;" - себестоимость "&amp;TEXT(W310,"0.00")&amp;" - комиссия "&amp;TEXT(V310*R310/100,"0.00")&amp;" - доставка "&amp;TEXT(P310,"0.00")&amp;" - прочие "&amp;TEXT(Q310,"0.00")&amp;" = "&amp;TEXT(G310,"0.00")&amp;" "&amp;L310,"Введите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0" s="23" t="n">
        <x:v>1.3690106731710818</x:v>
      </x:c>
      <x:c r="AG310" s="35" t="n">
        <x:v>127</x:v>
      </x:c>
      <x:c r="AH310" s="35" t="n">
        <x:v>0</x:v>
      </x:c>
      <x:c r="AI310" s="29" t="n">
        <x:v>46266</x:v>
      </x:c>
      <x:c r="AJ310" s="35" t="n">
        <x:v>1</x:v>
      </x:c>
      <x:c r="AK310" s="11" t="str">
        <x:v>минимум</x:v>
      </x:c>
      <x:c r="AL310" s="31" t="n">
        <x:v>7888.890558164963</x:v>
      </x:c>
      <x:c r="AM31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10" s="12" t="str">
        <x:v>Проверить свободный остаток и установить цену для B2B</x:v>
      </x:c>
      <x:c r="AO310" s="12" t="str">
        <x:v>Остаток 127; прогноз 90 дней 1.37; избыток 125 шт. Будущие поступления не выставляются на продажу. Остаток на начало сентября: требуется актуализация.</x:v>
      </x:c>
      <x:c r="AP310" s="12" t="str">
        <x:v>["category_missing", "daily_stockout_data_missing", "new_order_lead_time_unknown", "reservations_unknown", "stale_stock"]</x:v>
      </x:c>
      <x:c r="AQ310" s="11" t="str">
        <x:v>IEK:030200873_</x:v>
      </x:c>
      <x:c r="AR310" s="23" t="n">
        <x:v>1</x:v>
      </x:c>
      <x:c r="AS310" s="23" t="n">
        <x:v>0</x:v>
      </x:c>
      <x:c r="AT310" s="23" t="n">
        <x:v>0</x:v>
      </x:c>
    </x:row>
    <x:row r="311" ht="64" customHeight="1">
      <x:c r="A311" s="10" t="str">
        <x:v>IEK</x:v>
      </x:c>
      <x:c r="B311" s="34" t="str">
        <x:v>030200874_</x:v>
      </x:c>
      <x:c r="C311" s="34" t="str">
        <x:v>BR-V12-1-10-K53</x:v>
      </x:c>
      <x:c r="D311" s="13" t="str">
        <x:v>Выкл 1-кл. прох. с инд.  10А "BRITE" графит (1/100)</x:v>
      </x:c>
      <x:c r="E311" s="10" t="str">
        <x:v>шт</x:v>
      </x:c>
      <x:c r="F311" s="37" t="n">
        <x:f>MAX(0,ROUNDDOWN((AG311-AF311)/AR311+0.000000001,0)*AR311)</x:f>
        <x:v>38</x:v>
      </x:c>
      <x:c r="G311" s="21" t="str">
        <x:f>IF(J311="Рассчитано",V311*(1-R311/100)-W311-P311-Q311,"н/д")</x:f>
        <x:v>н/д</x:v>
      </x:c>
      <x:c r="H311" s="13" t="str">
        <x:v>Высокий</x:v>
      </x:c>
      <x:c r="I311" s="13" t="str">
        <x:v>Высокий</x:v>
      </x:c>
      <x:c r="J311" s="13" t="str">
        <x:f>IF(L311="","Укажите валюту",IF(NOT(ISNUMBER(K311)),"Укажите объём",IF(K311&lt;=0,"Укажите объём",IF(K311&gt;F311,"Объём выше излишка",IF(COUNT(M311:O311)&lt;3,"Нужны цены",IF(COUNT(P311:R311)&lt;3,"Нужны расходы",IF(OR(M311&lt;0,N311&lt;0,O311&lt;0,O311&gt;100,P311&lt;0,Q311&lt;0,R311&lt;0,R311&gt;100),"Проверьте значения","Рассчитано")))))))</x:f>
        <x:v>Нужны цены</x:v>
      </x:c>
      <x:c r="K311" s="36" t="n">
        <x:v>38</x:v>
      </x:c>
      <x:c r="L311" s="19" t="str">
        <x:v>KZT</x:v>
      </x:c>
      <x:c r="M311" s="22"/>
      <x:c r="N311" s="22"/>
      <x:c r="O311" s="28"/>
      <x:c r="P311" s="22"/>
      <x:c r="Q311" s="22"/>
      <x:c r="R311" s="28"/>
      <x:c r="S311" s="22"/>
      <x:c r="T311" s="37" t="n">
        <x:f>K311</x:f>
        <x:v>38</x:v>
      </x:c>
      <x:c r="U311" s="21" t="str">
        <x:f>IF(J311="Рассчитано",N311*(1-O311/100),"н/д")</x:f>
        <x:v>н/д</x:v>
      </x:c>
      <x:c r="V311" s="21" t="str">
        <x:f>IF(J311="Рассчитано",T311*U311,"н/д")</x:f>
        <x:v>н/д</x:v>
      </x:c>
      <x:c r="W311" s="21" t="str">
        <x:f>IF(J311="Рассчитано",T311*M311,"н/д")</x:f>
        <x:v>н/д</x:v>
      </x:c>
      <x:c r="X311" s="21" t="str">
        <x:f>IF(J311="Рассчитано",V311-W311,"н/д")</x:f>
        <x:v>н/д</x:v>
      </x:c>
      <x:c r="Y311" s="27" t="str">
        <x:f>IF(J311="Рассчитано",IF(V311&gt;0,G311/V311,"н/д"),"н/д")</x:f>
        <x:v>н/д</x:v>
      </x:c>
      <x:c r="Z311" s="21" t="str">
        <x:f>"н/д"</x:f>
        <x:v>н/д</x:v>
      </x:c>
      <x:c r="AA311" s="21" t="str">
        <x:f>"н/д"</x:f>
        <x:v>н/д</x:v>
      </x:c>
      <x:c r="AB311" s="21" t="str">
        <x:f>"н/д"</x:f>
        <x:v>н/д</x:v>
      </x:c>
      <x:c r="AC311" s="21" t="str">
        <x:f>IF(AND(J311="Рассчитано",T311&gt;0,R311&lt;100),(W311+P311+Q311)/(T311*(1-R311/100)),"н/д")</x:f>
        <x:v>н/д</x:v>
      </x:c>
      <x:c r="AD311" s="10" t="str">
        <x:f>IF(ISNUMBER(G311),IF(G311&lt;0,"Убыток",IF(G311=0,"Без прибыли","Прибыль &gt; 0")),"Не оценён")</x:f>
        <x:v>Не оценён</x:v>
      </x:c>
      <x:c r="AE311" s="13" t="str">
        <x:f>IF(J311="Рассчитано","Выручка "&amp;TEXT(V311,"0.00")&amp;" - себестоимость "&amp;TEXT(W311,"0.00")&amp;" - комиссия "&amp;TEXT(V311*R311/100,"0.00")&amp;" - доставка "&amp;TEXT(P311,"0.00")&amp;" - прочие "&amp;TEXT(Q311,"0.00")&amp;" = "&amp;TEXT(G311,"0.00")&amp;" "&amp;L311,"Введите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1" s="24" t="n">
        <x:v>0.5919040203103042</x:v>
      </x:c>
      <x:c r="AG311" s="37" t="n">
        <x:v>39</x:v>
      </x:c>
      <x:c r="AH311" s="37" t="n">
        <x:v>0</x:v>
      </x:c>
      <x:c r="AI311" s="30" t="n">
        <x:v>46266</x:v>
      </x:c>
      <x:c r="AJ311" s="37" t="n">
        <x:v>1</x:v>
      </x:c>
      <x:c r="AK311" s="10" t="str">
        <x:v>минимум</x:v>
      </x:c>
      <x:c r="AL311" s="32" t="n">
        <x:v>5603.151451643042</x:v>
      </x:c>
      <x:c r="AM31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11" s="13" t="str">
        <x:v>Проверить свободный остаток и установить цену для B2B</x:v>
      </x:c>
      <x:c r="AO311" s="13" t="str">
        <x:v>Остаток 39; прогноз 90 дней 0.59; избыток 38 шт. Будущие поступления не выставляются на продажу. Остаток на начало сентября: требуется актуализация.</x:v>
      </x:c>
      <x:c r="AP311" s="13" t="str">
        <x:v>["category_missing", "daily_stockout_data_missing", "negative_net_sales_clipped_for_forecast", "new_order_lead_time_unknown", "reservations_unknown", "stale_stock"]</x:v>
      </x:c>
      <x:c r="AQ311" s="10" t="str">
        <x:v>IEK:030200874_</x:v>
      </x:c>
      <x:c r="AR311" s="24" t="n">
        <x:v>1</x:v>
      </x:c>
      <x:c r="AS311" s="24" t="n">
        <x:v>0</x:v>
      </x:c>
      <x:c r="AT311" s="24" t="n">
        <x:v>0</x:v>
      </x:c>
    </x:row>
    <x:row r="312" ht="64" customHeight="1">
      <x:c r="A312" s="11" t="str">
        <x:v>IEK</x:v>
      </x:c>
      <x:c r="B312" s="33" t="str">
        <x:v>030200876_</x:v>
      </x:c>
      <x:c r="C312" s="33" t="str">
        <x:v>BR-V12-1-10-K02</x:v>
      </x:c>
      <x:c r="D312" s="12" t="str">
        <x:v>Выкл 1-кл. прох. с инд.  10А "BRITE" чёрный (1/100)</x:v>
      </x:c>
      <x:c r="E312" s="11" t="str">
        <x:v>шт</x:v>
      </x:c>
      <x:c r="F312" s="35" t="n">
        <x:f>MAX(0,ROUNDDOWN((AG312-AF312)/AR312+0.000000001,0)*AR312)</x:f>
        <x:v>77</x:v>
      </x:c>
      <x:c r="G312" s="20" t="str">
        <x:f>IF(J312="Рассчитано",V312*(1-R312/100)-W312-P312-Q312,"н/д")</x:f>
        <x:v>н/д</x:v>
      </x:c>
      <x:c r="H312" s="12" t="str">
        <x:v>Высокий</x:v>
      </x:c>
      <x:c r="I312" s="12" t="str">
        <x:v>Высокий</x:v>
      </x:c>
      <x:c r="J312" s="12" t="str">
        <x:f>IF(L312="","Укажите валюту",IF(NOT(ISNUMBER(K312)),"Укажите объём",IF(K312&lt;=0,"Укажите объём",IF(K312&gt;F312,"Объём выше излишка",IF(COUNT(M312:O312)&lt;3,"Нужны цены",IF(COUNT(P312:R312)&lt;3,"Нужны расходы",IF(OR(M312&lt;0,N312&lt;0,O312&lt;0,O312&gt;100,P312&lt;0,Q312&lt;0,R312&lt;0,R312&gt;100),"Проверьте значения","Рассчитано")))))))</x:f>
        <x:v>Нужны цены</x:v>
      </x:c>
      <x:c r="K312" s="36" t="n">
        <x:v>77</x:v>
      </x:c>
      <x:c r="L312" s="19" t="str">
        <x:v>KZT</x:v>
      </x:c>
      <x:c r="M312" s="22"/>
      <x:c r="N312" s="22"/>
      <x:c r="O312" s="28"/>
      <x:c r="P312" s="22"/>
      <x:c r="Q312" s="22"/>
      <x:c r="R312" s="28"/>
      <x:c r="S312" s="22"/>
      <x:c r="T312" s="35" t="n">
        <x:f>K312</x:f>
        <x:v>77</x:v>
      </x:c>
      <x:c r="U312" s="20" t="str">
        <x:f>IF(J312="Рассчитано",N312*(1-O312/100),"н/д")</x:f>
        <x:v>н/д</x:v>
      </x:c>
      <x:c r="V312" s="20" t="str">
        <x:f>IF(J312="Рассчитано",T312*U312,"н/д")</x:f>
        <x:v>н/д</x:v>
      </x:c>
      <x:c r="W312" s="20" t="str">
        <x:f>IF(J312="Рассчитано",T312*M312,"н/д")</x:f>
        <x:v>н/д</x:v>
      </x:c>
      <x:c r="X312" s="20" t="str">
        <x:f>IF(J312="Рассчитано",V312-W312,"н/д")</x:f>
        <x:v>н/д</x:v>
      </x:c>
      <x:c r="Y312" s="26" t="str">
        <x:f>IF(J312="Рассчитано",IF(V312&gt;0,G312/V312,"н/д"),"н/д")</x:f>
        <x:v>н/д</x:v>
      </x:c>
      <x:c r="Z312" s="20" t="str">
        <x:f>"н/д"</x:f>
        <x:v>н/д</x:v>
      </x:c>
      <x:c r="AA312" s="20" t="str">
        <x:f>"н/д"</x:f>
        <x:v>н/д</x:v>
      </x:c>
      <x:c r="AB312" s="20" t="str">
        <x:f>"н/д"</x:f>
        <x:v>н/д</x:v>
      </x:c>
      <x:c r="AC312" s="20" t="str">
        <x:f>IF(AND(J312="Рассчитано",T312&gt;0,R312&lt;100),(W312+P312+Q312)/(T312*(1-R312/100)),"н/д")</x:f>
        <x:v>н/д</x:v>
      </x:c>
      <x:c r="AD312" s="11" t="str">
        <x:f>IF(ISNUMBER(G312),IF(G312&lt;0,"Убыток",IF(G312=0,"Без прибыли","Прибыль &gt; 0")),"Не оценён")</x:f>
        <x:v>Не оценён</x:v>
      </x:c>
      <x:c r="AE312" s="12" t="str">
        <x:f>IF(J312="Рассчитано","Выручка "&amp;TEXT(V312,"0.00")&amp;" - себестоимость "&amp;TEXT(W312,"0.00")&amp;" - комиссия "&amp;TEXT(V312*R312/100,"0.00")&amp;" - доставка "&amp;TEXT(P312,"0.00")&amp;" - прочие "&amp;TEXT(Q312,"0.00")&amp;" = "&amp;TEXT(G312,"0.00")&amp;" "&amp;L312,"Введите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2" s="23" t="n">
        <x:v>0.8142686847703512</x:v>
      </x:c>
      <x:c r="AG312" s="35" t="n">
        <x:v>78</x:v>
      </x:c>
      <x:c r="AH312" s="35" t="n">
        <x:v>0</x:v>
      </x:c>
      <x:c r="AI312" s="29" t="n">
        <x:v>46266</x:v>
      </x:c>
      <x:c r="AJ312" s="35" t="n">
        <x:v>1</x:v>
      </x:c>
      <x:c r="AK312" s="11" t="str">
        <x:v>минимум</x:v>
      </x:c>
      <x:c r="AL312" s="31" t="n">
        <x:v>8146.028289348754</x:v>
      </x:c>
      <x:c r="AM31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12" s="12" t="str">
        <x:v>Проверить свободный остаток и установить цену для B2B</x:v>
      </x:c>
      <x:c r="AO312" s="12" t="str">
        <x:v>Остаток 78; прогноз 90 дней 0.81; избыток 77 шт. Будущие поступления не выставляются на продажу. Остаток на начало сентября: требуется актуализация.</x:v>
      </x:c>
      <x:c r="AP312" s="12" t="str">
        <x:v>["category_missing", "daily_stockout_data_missing", "negative_net_sales_clipped_for_forecast", "new_order_lead_time_unknown", "reservations_unknown", "stale_stock"]</x:v>
      </x:c>
      <x:c r="AQ312" s="11" t="str">
        <x:v>IEK:030200876_</x:v>
      </x:c>
      <x:c r="AR312" s="23" t="n">
        <x:v>1</x:v>
      </x:c>
      <x:c r="AS312" s="23" t="n">
        <x:v>0</x:v>
      </x:c>
      <x:c r="AT312" s="23" t="n">
        <x:v>0</x:v>
      </x:c>
    </x:row>
    <x:row r="313" ht="64" customHeight="1">
      <x:c r="A313" s="10" t="str">
        <x:v>IEK</x:v>
      </x:c>
      <x:c r="B313" s="34" t="str">
        <x:v>030200878_</x:v>
      </x:c>
      <x:c r="C313" s="34" t="str">
        <x:v>BR-V12-1-10-K46</x:v>
      </x:c>
      <x:c r="D313" s="13" t="str">
        <x:v>Выкл 1-кл. прох. с инд. 10А "BRITE" сталь (1/100)</x:v>
      </x:c>
      <x:c r="E313" s="10" t="str">
        <x:v>шт</x:v>
      </x:c>
      <x:c r="F313" s="37" t="n">
        <x:f>MAX(0,ROUNDDOWN((AG313-AF313)/AR313+0.000000001,0)*AR313)</x:f>
        <x:v>123</x:v>
      </x:c>
      <x:c r="G313" s="21" t="str">
        <x:f>IF(J313="Рассчитано",V313*(1-R313/100)-W313-P313-Q313,"н/д")</x:f>
        <x:v>н/д</x:v>
      </x:c>
      <x:c r="H313" s="13" t="str">
        <x:v>Высокий</x:v>
      </x:c>
      <x:c r="I313" s="13" t="str">
        <x:v>Высокий</x:v>
      </x:c>
      <x:c r="J313" s="13" t="str">
        <x:f>IF(L313="","Укажите валюту",IF(NOT(ISNUMBER(K313)),"Укажите объём",IF(K313&lt;=0,"Укажите объём",IF(K313&gt;F313,"Объём выше излишка",IF(COUNT(M313:O313)&lt;3,"Нужны цены",IF(COUNT(P313:R313)&lt;3,"Нужны расходы",IF(OR(M313&lt;0,N313&lt;0,O313&lt;0,O313&gt;100,P313&lt;0,Q313&lt;0,R313&lt;0,R313&gt;100),"Проверьте значения","Рассчитано")))))))</x:f>
        <x:v>Нужны цены</x:v>
      </x:c>
      <x:c r="K313" s="36" t="n">
        <x:v>123</x:v>
      </x:c>
      <x:c r="L313" s="19" t="str">
        <x:v>KZT</x:v>
      </x:c>
      <x:c r="M313" s="22"/>
      <x:c r="N313" s="22"/>
      <x:c r="O313" s="28"/>
      <x:c r="P313" s="22"/>
      <x:c r="Q313" s="22"/>
      <x:c r="R313" s="28"/>
      <x:c r="S313" s="22"/>
      <x:c r="T313" s="37" t="n">
        <x:f>K313</x:f>
        <x:v>123</x:v>
      </x:c>
      <x:c r="U313" s="21" t="str">
        <x:f>IF(J313="Рассчитано",N313*(1-O313/100),"н/д")</x:f>
        <x:v>н/д</x:v>
      </x:c>
      <x:c r="V313" s="21" t="str">
        <x:f>IF(J313="Рассчитано",T313*U313,"н/д")</x:f>
        <x:v>н/д</x:v>
      </x:c>
      <x:c r="W313" s="21" t="str">
        <x:f>IF(J313="Рассчитано",T313*M313,"н/д")</x:f>
        <x:v>н/д</x:v>
      </x:c>
      <x:c r="X313" s="21" t="str">
        <x:f>IF(J313="Рассчитано",V313-W313,"н/д")</x:f>
        <x:v>н/д</x:v>
      </x:c>
      <x:c r="Y313" s="27" t="str">
        <x:f>IF(J313="Рассчитано",IF(V313&gt;0,G313/V313,"н/д"),"н/д")</x:f>
        <x:v>н/д</x:v>
      </x:c>
      <x:c r="Z313" s="21" t="str">
        <x:f>"н/д"</x:f>
        <x:v>н/д</x:v>
      </x:c>
      <x:c r="AA313" s="21" t="str">
        <x:f>"н/д"</x:f>
        <x:v>н/д</x:v>
      </x:c>
      <x:c r="AB313" s="21" t="str">
        <x:f>"н/д"</x:f>
        <x:v>н/д</x:v>
      </x:c>
      <x:c r="AC313" s="21" t="str">
        <x:f>IF(AND(J313="Рассчитано",T313&gt;0,R313&lt;100),(W313+P313+Q313)/(T313*(1-R313/100)),"н/д")</x:f>
        <x:v>н/д</x:v>
      </x:c>
      <x:c r="AD313" s="10" t="str">
        <x:f>IF(ISNUMBER(G313),IF(G313&lt;0,"Убыток",IF(G313=0,"Без прибыли","Прибыль &gt; 0")),"Не оценён")</x:f>
        <x:v>Не оценён</x:v>
      </x:c>
      <x:c r="AE313" s="13" t="str">
        <x:f>IF(J313="Рассчитано","Выручка "&amp;TEXT(V313,"0.00")&amp;" - себестоимость "&amp;TEXT(W313,"0.00")&amp;" - комиссия "&amp;TEXT(V313*R313/100,"0.00")&amp;" - доставка "&amp;TEXT(P313,"0.00")&amp;" - прочие "&amp;TEXT(Q313,"0.00")&amp;" = "&amp;TEXT(G313,"0.00")&amp;" "&amp;L313,"Введите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3" s="24" t="n">
        <x:v>0</x:v>
      </x:c>
      <x:c r="AG313" s="37" t="n">
        <x:v>123</x:v>
      </x:c>
      <x:c r="AH313" s="37" t="n">
        <x:v>0</x:v>
      </x:c>
      <x:c r="AI313" s="30" t="n">
        <x:v>46266</x:v>
      </x:c>
      <x:c r="AJ313" s="37" t="n">
        <x:v>1</x:v>
      </x:c>
      <x:c r="AK313" s="10" t="str">
        <x:v>минимум</x:v>
      </x:c>
      <x:c r="AL313" s="32" t="str">
        <x:v>н/д</x:v>
      </x:c>
      <x:c r="AM31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13" s="13" t="str">
        <x:v>Проверить свободный остаток и установить цену для B2B</x:v>
      </x:c>
      <x:c r="AO313" s="13" t="str">
        <x:v>Остаток 123; прогноз 90 дней 0.00; избыток 123 шт. Будущие поступления не выставляются на продажу. Остаток на начало сентября: требуется актуализация.</x:v>
      </x:c>
      <x:c r="AP313" s="13" t="str">
        <x:v>["category_missing", "daily_stockout_data_missing", "new_order_lead_time_unknown", "reservations_unknown", "stale_stock"]</x:v>
      </x:c>
      <x:c r="AQ313" s="10" t="str">
        <x:v>IEK:030200878_</x:v>
      </x:c>
      <x:c r="AR313" s="24" t="n">
        <x:v>1</x:v>
      </x:c>
      <x:c r="AS313" s="24" t="n">
        <x:v>0</x:v>
      </x:c>
      <x:c r="AT313" s="24" t="n">
        <x:v>0</x:v>
      </x:c>
    </x:row>
    <x:row r="314" ht="64" customHeight="1">
      <x:c r="A314" s="11" t="str">
        <x:v>IEK</x:v>
      </x:c>
      <x:c r="B314" s="33" t="str">
        <x:v>030200886_</x:v>
      </x:c>
      <x:c r="C314" s="33" t="str">
        <x:v>BR-PL10-K01</x:v>
      </x:c>
      <x:c r="D314" s="12" t="str">
        <x:v>Заглушка с суппортом "BRITE" белый (1/200)</x:v>
      </x:c>
      <x:c r="E314" s="11" t="str">
        <x:v>шт</x:v>
      </x:c>
      <x:c r="F314" s="35" t="n">
        <x:f>MAX(0,ROUNDDOWN((AG314-AF314)/AR314+0.000000001,0)*AR314)</x:f>
        <x:v>1</x:v>
      </x:c>
      <x:c r="G314" s="20" t="str">
        <x:f>IF(J314="Рассчитано",V314*(1-R314/100)-W314-P314-Q314,"н/д")</x:f>
        <x:v>н/д</x:v>
      </x:c>
      <x:c r="H314" s="12" t="str">
        <x:v>Высокий</x:v>
      </x:c>
      <x:c r="I314" s="12" t="str">
        <x:v>Средний</x:v>
      </x:c>
      <x:c r="J314" s="12" t="str">
        <x:f>IF(L314="","Укажите валюту",IF(NOT(ISNUMBER(K314)),"Укажите объём",IF(K314&lt;=0,"Укажите объём",IF(K314&gt;F314,"Объём выше излишка",IF(COUNT(M314:O314)&lt;3,"Нужны цены",IF(COUNT(P314:R314)&lt;3,"Нужны расходы",IF(OR(M314&lt;0,N314&lt;0,O314&lt;0,O314&gt;100,P314&lt;0,Q314&lt;0,R314&lt;0,R314&gt;100),"Проверьте значения","Рассчитано")))))))</x:f>
        <x:v>Нужны цены</x:v>
      </x:c>
      <x:c r="K314" s="36" t="n">
        <x:v>1</x:v>
      </x:c>
      <x:c r="L314" s="19" t="str">
        <x:v>KZT</x:v>
      </x:c>
      <x:c r="M314" s="22"/>
      <x:c r="N314" s="22"/>
      <x:c r="O314" s="28"/>
      <x:c r="P314" s="22"/>
      <x:c r="Q314" s="22"/>
      <x:c r="R314" s="28"/>
      <x:c r="S314" s="22"/>
      <x:c r="T314" s="35" t="n">
        <x:f>K314</x:f>
        <x:v>1</x:v>
      </x:c>
      <x:c r="U314" s="20" t="str">
        <x:f>IF(J314="Рассчитано",N314*(1-O314/100),"н/д")</x:f>
        <x:v>н/д</x:v>
      </x:c>
      <x:c r="V314" s="20" t="str">
        <x:f>IF(J314="Рассчитано",T314*U314,"н/д")</x:f>
        <x:v>н/д</x:v>
      </x:c>
      <x:c r="W314" s="20" t="str">
        <x:f>IF(J314="Рассчитано",T314*M314,"н/д")</x:f>
        <x:v>н/д</x:v>
      </x:c>
      <x:c r="X314" s="20" t="str">
        <x:f>IF(J314="Рассчитано",V314-W314,"н/д")</x:f>
        <x:v>н/д</x:v>
      </x:c>
      <x:c r="Y314" s="26" t="str">
        <x:f>IF(J314="Рассчитано",IF(V314&gt;0,G314/V314,"н/д"),"н/д")</x:f>
        <x:v>н/д</x:v>
      </x:c>
      <x:c r="Z314" s="20" t="str">
        <x:f>"н/д"</x:f>
        <x:v>н/д</x:v>
      </x:c>
      <x:c r="AA314" s="20" t="str">
        <x:f>"н/д"</x:f>
        <x:v>н/д</x:v>
      </x:c>
      <x:c r="AB314" s="20" t="str">
        <x:f>"н/д"</x:f>
        <x:v>н/д</x:v>
      </x:c>
      <x:c r="AC314" s="20" t="str">
        <x:f>IF(AND(J314="Рассчитано",T314&gt;0,R314&lt;100),(W314+P314+Q314)/(T314*(1-R314/100)),"н/д")</x:f>
        <x:v>н/д</x:v>
      </x:c>
      <x:c r="AD314" s="11" t="str">
        <x:f>IF(ISNUMBER(G314),IF(G314&lt;0,"Убыток",IF(G314=0,"Без прибыли","Прибыль &gt; 0")),"Не оценён")</x:f>
        <x:v>Не оценён</x:v>
      </x:c>
      <x:c r="AE314" s="12" t="str">
        <x:f>IF(J314="Рассчитано","Выручка "&amp;TEXT(V314,"0.00")&amp;" - себестоимость "&amp;TEXT(W314,"0.00")&amp;" - комиссия "&amp;TEXT(V314*R314/100,"0.00")&amp;" - доставка "&amp;TEXT(P314,"0.00")&amp;" - прочие "&amp;TEXT(Q314,"0.00")&amp;" = "&amp;TEXT(G314,"0.00")&amp;" "&amp;L314,"Введите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4" s="23" t="n">
        <x:v>15.10057654010814</x:v>
      </x:c>
      <x:c r="AG314" s="35" t="n">
        <x:v>17</x:v>
      </x:c>
      <x:c r="AH314" s="35" t="n">
        <x:v>0</x:v>
      </x:c>
      <x:c r="AI314" s="29" t="n">
        <x:v>46266</x:v>
      </x:c>
      <x:c r="AJ314" s="35" t="n">
        <x:v>1</x:v>
      </x:c>
      <x:c r="AK314" s="11" t="str">
        <x:v>минимум</x:v>
      </x:c>
      <x:c r="AL314" s="31" t="n">
        <x:v>95.73581452684338</x:v>
      </x:c>
      <x:c r="AM314" s="12" t="str">
        <x:v>Остаток на начало сентября; Резервы неизвестны; Нет ежедневных данных доступности. Запас выше прогноза на 90 дней</x:v>
      </x:c>
      <x:c r="AN314" s="12" t="str">
        <x:v>Проверить свободный остаток и установить цену для B2B</x:v>
      </x:c>
      <x:c r="AO314" s="12" t="str">
        <x:v>Остаток 17; прогноз 90 дней 15.10; избыток 1 шт. Будущие поступления не выставляются на продажу. Остаток на начало сентября: требуется актуализация.</x:v>
      </x:c>
      <x:c r="AP314" s="12" t="str">
        <x:v>["category_missing", "daily_stockout_data_missing", "large_orders_detected", "negative_net_sales_clipped_for_forecast", "new_order_lead_time_unknown", "reservations_unknown", "stale_stock"]</x:v>
      </x:c>
      <x:c r="AQ314" s="11" t="str">
        <x:v>IEK:030200886_</x:v>
      </x:c>
      <x:c r="AR314" s="23" t="n">
        <x:v>1</x:v>
      </x:c>
      <x:c r="AS314" s="23" t="n">
        <x:v>0</x:v>
      </x:c>
      <x:c r="AT314" s="23" t="n">
        <x:v>0</x:v>
      </x:c>
    </x:row>
    <x:row r="315" ht="64" customHeight="1">
      <x:c r="A315" s="10" t="str">
        <x:v>IEK</x:v>
      </x:c>
      <x:c r="B315" s="34" t="str">
        <x:v>030200889_</x:v>
      </x:c>
      <x:c r="C315" s="34" t="str">
        <x:v>BR-PL10-K47</x:v>
      </x:c>
      <x:c r="D315" s="13" t="str">
        <x:v>Заглушка c суппортом "BRITE" алюминий (1/200)</x:v>
      </x:c>
      <x:c r="E315" s="10" t="str">
        <x:v>шт</x:v>
      </x:c>
      <x:c r="F315" s="37" t="n">
        <x:f>MAX(0,ROUNDDOWN((AG315-AF315)/AR315+0.000000001,0)*AR315)</x:f>
        <x:v>85</x:v>
      </x:c>
      <x:c r="G315" s="21" t="str">
        <x:f>IF(J315="Рассчитано",V315*(1-R315/100)-W315-P315-Q315,"н/д")</x:f>
        <x:v>н/д</x:v>
      </x:c>
      <x:c r="H315" s="13" t="str">
        <x:v>Высокий</x:v>
      </x:c>
      <x:c r="I315" s="13" t="str">
        <x:v>Высокий</x:v>
      </x:c>
      <x:c r="J315" s="13" t="str">
        <x:f>IF(L315="","Укажите валюту",IF(NOT(ISNUMBER(K315)),"Укажите объём",IF(K315&lt;=0,"Укажите объём",IF(K315&gt;F315,"Объём выше излишка",IF(COUNT(M315:O315)&lt;3,"Нужны цены",IF(COUNT(P315:R315)&lt;3,"Нужны расходы",IF(OR(M315&lt;0,N315&lt;0,O315&lt;0,O315&gt;100,P315&lt;0,Q315&lt;0,R315&lt;0,R315&gt;100),"Проверьте значения","Рассчитано")))))))</x:f>
        <x:v>Нужны цены</x:v>
      </x:c>
      <x:c r="K315" s="36" t="n">
        <x:v>85</x:v>
      </x:c>
      <x:c r="L315" s="19" t="str">
        <x:v>KZT</x:v>
      </x:c>
      <x:c r="M315" s="22"/>
      <x:c r="N315" s="22"/>
      <x:c r="O315" s="28"/>
      <x:c r="P315" s="22"/>
      <x:c r="Q315" s="22"/>
      <x:c r="R315" s="28"/>
      <x:c r="S315" s="22"/>
      <x:c r="T315" s="37" t="n">
        <x:f>K315</x:f>
        <x:v>85</x:v>
      </x:c>
      <x:c r="U315" s="21" t="str">
        <x:f>IF(J315="Рассчитано",N315*(1-O315/100),"н/д")</x:f>
        <x:v>н/д</x:v>
      </x:c>
      <x:c r="V315" s="21" t="str">
        <x:f>IF(J315="Рассчитано",T315*U315,"н/д")</x:f>
        <x:v>н/д</x:v>
      </x:c>
      <x:c r="W315" s="21" t="str">
        <x:f>IF(J315="Рассчитано",T315*M315,"н/д")</x:f>
        <x:v>н/д</x:v>
      </x:c>
      <x:c r="X315" s="21" t="str">
        <x:f>IF(J315="Рассчитано",V315-W315,"н/д")</x:f>
        <x:v>н/д</x:v>
      </x:c>
      <x:c r="Y315" s="27" t="str">
        <x:f>IF(J315="Рассчитано",IF(V315&gt;0,G315/V315,"н/д"),"н/д")</x:f>
        <x:v>н/д</x:v>
      </x:c>
      <x:c r="Z315" s="21" t="str">
        <x:f>"н/д"</x:f>
        <x:v>н/д</x:v>
      </x:c>
      <x:c r="AA315" s="21" t="str">
        <x:f>"н/д"</x:f>
        <x:v>н/д</x:v>
      </x:c>
      <x:c r="AB315" s="21" t="str">
        <x:f>"н/д"</x:f>
        <x:v>н/д</x:v>
      </x:c>
      <x:c r="AC315" s="21" t="str">
        <x:f>IF(AND(J315="Рассчитано",T315&gt;0,R315&lt;100),(W315+P315+Q315)/(T315*(1-R315/100)),"н/д")</x:f>
        <x:v>н/д</x:v>
      </x:c>
      <x:c r="AD315" s="10" t="str">
        <x:f>IF(ISNUMBER(G315),IF(G315&lt;0,"Убыток",IF(G315=0,"Без прибыли","Прибыль &gt; 0")),"Не оценён")</x:f>
        <x:v>Не оценён</x:v>
      </x:c>
      <x:c r="AE315" s="13" t="str">
        <x:f>IF(J315="Рассчитано","Выручка "&amp;TEXT(V315,"0.00")&amp;" - себестоимость "&amp;TEXT(W315,"0.00")&amp;" - комиссия "&amp;TEXT(V315*R315/100,"0.00")&amp;" - доставка "&amp;TEXT(P315,"0.00")&amp;" - прочие "&amp;TEXT(Q315,"0.00")&amp;" = "&amp;TEXT(G315,"0.00")&amp;" "&amp;L315,"Введите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5" s="24" t="n">
        <x:v>2.445328103260834</x:v>
      </x:c>
      <x:c r="AG315" s="37" t="n">
        <x:v>88</x:v>
      </x:c>
      <x:c r="AH315" s="37" t="n">
        <x:v>0</x:v>
      </x:c>
      <x:c r="AI315" s="30" t="n">
        <x:v>46266</x:v>
      </x:c>
      <x:c r="AJ315" s="37" t="n">
        <x:v>1</x:v>
      </x:c>
      <x:c r="AK315" s="10" t="str">
        <x:v>минимум</x:v>
      </x:c>
      <x:c r="AL315" s="32" t="n">
        <x:v>3060.3040520379295</x:v>
      </x:c>
      <x:c r="AM31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15" s="13" t="str">
        <x:v>Проверить свободный остаток и установить цену для B2B</x:v>
      </x:c>
      <x:c r="AO315" s="13" t="str">
        <x:v>Остаток 88; прогноз 90 дней 2.45; избыток 85 шт. Будущие поступления не выставляются на продажу. Остаток на начало сентября: требуется актуализация.</x:v>
      </x:c>
      <x:c r="AP315" s="13" t="str">
        <x:v>["category_missing", "daily_stockout_data_missing", "new_order_lead_time_unknown", "reservations_unknown", "stale_stock"]</x:v>
      </x:c>
      <x:c r="AQ315" s="10" t="str">
        <x:v>IEK:030200889_</x:v>
      </x:c>
      <x:c r="AR315" s="24" t="n">
        <x:v>1</x:v>
      </x:c>
      <x:c r="AS315" s="24" t="n">
        <x:v>0</x:v>
      </x:c>
      <x:c r="AT315" s="24" t="n">
        <x:v>0</x:v>
      </x:c>
    </x:row>
    <x:row r="316" ht="64" customHeight="1">
      <x:c r="A316" s="11" t="str">
        <x:v>IEK</x:v>
      </x:c>
      <x:c r="B316" s="33" t="str">
        <x:v>030200890_</x:v>
      </x:c>
      <x:c r="C316" s="33" t="str">
        <x:v>BR-PL10-K46</x:v>
      </x:c>
      <x:c r="D316" s="12" t="str">
        <x:v>Заглушка c суппортом "BRITE" сталь (1/200)</x:v>
      </x:c>
      <x:c r="E316" s="11" t="str">
        <x:v>шт</x:v>
      </x:c>
      <x:c r="F316" s="35" t="n">
        <x:f>MAX(0,ROUNDDOWN((AG316-AF316)/AR316+0.000000001,0)*AR316)</x:f>
        <x:v>12</x:v>
      </x:c>
      <x:c r="G316" s="20" t="str">
        <x:f>IF(J316="Рассчитано",V316*(1-R316/100)-W316-P316-Q316,"н/д")</x:f>
        <x:v>н/д</x:v>
      </x:c>
      <x:c r="H316" s="12" t="str">
        <x:v>Высокий</x:v>
      </x:c>
      <x:c r="I316" s="12" t="str">
        <x:v>Высокий</x:v>
      </x:c>
      <x:c r="J316" s="12" t="str">
        <x:f>IF(L316="","Укажите валюту",IF(NOT(ISNUMBER(K316)),"Укажите объём",IF(K316&lt;=0,"Укажите объём",IF(K316&gt;F316,"Объём выше излишка",IF(COUNT(M316:O316)&lt;3,"Нужны цены",IF(COUNT(P316:R316)&lt;3,"Нужны расходы",IF(OR(M316&lt;0,N316&lt;0,O316&lt;0,O316&gt;100,P316&lt;0,Q316&lt;0,R316&lt;0,R316&gt;100),"Проверьте значения","Рассчитано")))))))</x:f>
        <x:v>Нужны цены</x:v>
      </x:c>
      <x:c r="K316" s="36" t="n">
        <x:v>12</x:v>
      </x:c>
      <x:c r="L316" s="19" t="str">
        <x:v>KZT</x:v>
      </x:c>
      <x:c r="M316" s="22"/>
      <x:c r="N316" s="22"/>
      <x:c r="O316" s="28"/>
      <x:c r="P316" s="22"/>
      <x:c r="Q316" s="22"/>
      <x:c r="R316" s="28"/>
      <x:c r="S316" s="22"/>
      <x:c r="T316" s="35" t="n">
        <x:f>K316</x:f>
        <x:v>12</x:v>
      </x:c>
      <x:c r="U316" s="20" t="str">
        <x:f>IF(J316="Рассчитано",N316*(1-O316/100),"н/д")</x:f>
        <x:v>н/д</x:v>
      </x:c>
      <x:c r="V316" s="20" t="str">
        <x:f>IF(J316="Рассчитано",T316*U316,"н/д")</x:f>
        <x:v>н/д</x:v>
      </x:c>
      <x:c r="W316" s="20" t="str">
        <x:f>IF(J316="Рассчитано",T316*M316,"н/д")</x:f>
        <x:v>н/д</x:v>
      </x:c>
      <x:c r="X316" s="20" t="str">
        <x:f>IF(J316="Рассчитано",V316-W316,"н/д")</x:f>
        <x:v>н/д</x:v>
      </x:c>
      <x:c r="Y316" s="26" t="str">
        <x:f>IF(J316="Рассчитано",IF(V316&gt;0,G316/V316,"н/д"),"н/д")</x:f>
        <x:v>н/д</x:v>
      </x:c>
      <x:c r="Z316" s="20" t="str">
        <x:f>"н/д"</x:f>
        <x:v>н/д</x:v>
      </x:c>
      <x:c r="AA316" s="20" t="str">
        <x:f>"н/д"</x:f>
        <x:v>н/д</x:v>
      </x:c>
      <x:c r="AB316" s="20" t="str">
        <x:f>"н/д"</x:f>
        <x:v>н/д</x:v>
      </x:c>
      <x:c r="AC316" s="20" t="str">
        <x:f>IF(AND(J316="Рассчитано",T316&gt;0,R316&lt;100),(W316+P316+Q316)/(T316*(1-R316/100)),"н/д")</x:f>
        <x:v>н/д</x:v>
      </x:c>
      <x:c r="AD316" s="11" t="str">
        <x:f>IF(ISNUMBER(G316),IF(G316&lt;0,"Убыток",IF(G316=0,"Без прибыли","Прибыль &gt; 0")),"Не оценён")</x:f>
        <x:v>Не оценён</x:v>
      </x:c>
      <x:c r="AE316" s="12" t="str">
        <x:f>IF(J316="Рассчитано","Выручка "&amp;TEXT(V316,"0.00")&amp;" - себестоимость "&amp;TEXT(W316,"0.00")&amp;" - комиссия "&amp;TEXT(V316*R316/100,"0.00")&amp;" - доставка "&amp;TEXT(P316,"0.00")&amp;" - прочие "&amp;TEXT(Q316,"0.00")&amp;" = "&amp;TEXT(G316,"0.00")&amp;" "&amp;L316,"Введите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6" s="23" t="n">
        <x:v>1.3690106731710818</x:v>
      </x:c>
      <x:c r="AG316" s="35" t="n">
        <x:v>14</x:v>
      </x:c>
      <x:c r="AH316" s="35" t="n">
        <x:v>0</x:v>
      </x:c>
      <x:c r="AI316" s="29" t="n">
        <x:v>46266</x:v>
      </x:c>
      <x:c r="AJ316" s="35" t="n">
        <x:v>1</x:v>
      </x:c>
      <x:c r="AK316" s="11" t="str">
        <x:v>минимум</x:v>
      </x:c>
      <x:c r="AL316" s="31" t="n">
        <x:v>869.6414788528306</x:v>
      </x:c>
      <x:c r="AM31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16" s="12" t="str">
        <x:v>Проверить свободный остаток и установить цену для B2B</x:v>
      </x:c>
      <x:c r="AO316" s="12" t="str">
        <x:v>Остаток 14; прогноз 90 дней 1.37; избыток 12 шт. Будущие поступления не выставляются на продажу. Остаток на начало сентября: требуется актуализация.</x:v>
      </x:c>
      <x:c r="AP316" s="12" t="str">
        <x:v>["category_missing", "daily_stockout_data_missing", "new_order_lead_time_unknown", "reservations_unknown", "stale_stock"]</x:v>
      </x:c>
      <x:c r="AQ316" s="11" t="str">
        <x:v>IEK:030200890_</x:v>
      </x:c>
      <x:c r="AR316" s="23" t="n">
        <x:v>1</x:v>
      </x:c>
      <x:c r="AS316" s="23" t="n">
        <x:v>0</x:v>
      </x:c>
      <x:c r="AT316" s="23" t="n">
        <x:v>0</x:v>
      </x:c>
    </x:row>
    <x:row r="317" ht="64" customHeight="1">
      <x:c r="A317" s="10" t="str">
        <x:v>IEK</x:v>
      </x:c>
      <x:c r="B317" s="34" t="str">
        <x:v>030200892_</x:v>
      </x:c>
      <x:c r="C317" s="34" t="str">
        <x:v>BR-PL10-K02</x:v>
      </x:c>
      <x:c r="D317" s="13" t="str">
        <x:v>Заглушка c суппортом "BRITE" черный (1/200)</x:v>
      </x:c>
      <x:c r="E317" s="10" t="str">
        <x:v>шт</x:v>
      </x:c>
      <x:c r="F317" s="37" t="n">
        <x:f>MAX(0,ROUNDDOWN((AG317-AF317)/AR317+0.000000001,0)*AR317)</x:f>
        <x:v>15</x:v>
      </x:c>
      <x:c r="G317" s="21" t="str">
        <x:f>IF(J317="Рассчитано",V317*(1-R317/100)-W317-P317-Q317,"н/д")</x:f>
        <x:v>н/д</x:v>
      </x:c>
      <x:c r="H317" s="13" t="str">
        <x:v>Высокий</x:v>
      </x:c>
      <x:c r="I317" s="13" t="str">
        <x:v>Высокий</x:v>
      </x:c>
      <x:c r="J317" s="13" t="str">
        <x:f>IF(L317="","Укажите валюту",IF(NOT(ISNUMBER(K317)),"Укажите объём",IF(K317&lt;=0,"Укажите объём",IF(K317&gt;F317,"Объём выше излишка",IF(COUNT(M317:O317)&lt;3,"Нужны цены",IF(COUNT(P317:R317)&lt;3,"Нужны расходы",IF(OR(M317&lt;0,N317&lt;0,O317&lt;0,O317&gt;100,P317&lt;0,Q317&lt;0,R317&lt;0,R317&gt;100),"Проверьте значения","Рассчитано")))))))</x:f>
        <x:v>Нужны цены</x:v>
      </x:c>
      <x:c r="K317" s="36" t="n">
        <x:v>15</x:v>
      </x:c>
      <x:c r="L317" s="19" t="str">
        <x:v>KZT</x:v>
      </x:c>
      <x:c r="M317" s="22"/>
      <x:c r="N317" s="22"/>
      <x:c r="O317" s="28"/>
      <x:c r="P317" s="22"/>
      <x:c r="Q317" s="22"/>
      <x:c r="R317" s="28"/>
      <x:c r="S317" s="22"/>
      <x:c r="T317" s="37" t="n">
        <x:f>K317</x:f>
        <x:v>15</x:v>
      </x:c>
      <x:c r="U317" s="21" t="str">
        <x:f>IF(J317="Рассчитано",N317*(1-O317/100),"н/д")</x:f>
        <x:v>н/д</x:v>
      </x:c>
      <x:c r="V317" s="21" t="str">
        <x:f>IF(J317="Рассчитано",T317*U317,"н/д")</x:f>
        <x:v>н/д</x:v>
      </x:c>
      <x:c r="W317" s="21" t="str">
        <x:f>IF(J317="Рассчитано",T317*M317,"н/д")</x:f>
        <x:v>н/д</x:v>
      </x:c>
      <x:c r="X317" s="21" t="str">
        <x:f>IF(J317="Рассчитано",V317-W317,"н/д")</x:f>
        <x:v>н/д</x:v>
      </x:c>
      <x:c r="Y317" s="27" t="str">
        <x:f>IF(J317="Рассчитано",IF(V317&gt;0,G317/V317,"н/д"),"н/д")</x:f>
        <x:v>н/д</x:v>
      </x:c>
      <x:c r="Z317" s="21" t="str">
        <x:f>"н/д"</x:f>
        <x:v>н/д</x:v>
      </x:c>
      <x:c r="AA317" s="21" t="str">
        <x:f>"н/д"</x:f>
        <x:v>н/д</x:v>
      </x:c>
      <x:c r="AB317" s="21" t="str">
        <x:f>"н/д"</x:f>
        <x:v>н/д</x:v>
      </x:c>
      <x:c r="AC317" s="21" t="str">
        <x:f>IF(AND(J317="Рассчитано",T317&gt;0,R317&lt;100),(W317+P317+Q317)/(T317*(1-R317/100)),"н/д")</x:f>
        <x:v>н/д</x:v>
      </x:c>
      <x:c r="AD317" s="10" t="str">
        <x:f>IF(ISNUMBER(G317),IF(G317&lt;0,"Убыток",IF(G317=0,"Без прибыли","Прибыль &gt; 0")),"Не оценён")</x:f>
        <x:v>Не оценён</x:v>
      </x:c>
      <x:c r="AE317" s="13" t="str">
        <x:f>IF(J317="Рассчитано","Выручка "&amp;TEXT(V317,"0.00")&amp;" - себестоимость "&amp;TEXT(W317,"0.00")&amp;" - комиссия "&amp;TEXT(V317*R317/100,"0.00")&amp;" - доставка "&amp;TEXT(P317,"0.00")&amp;" - прочие "&amp;TEXT(Q317,"0.00")&amp;" = "&amp;TEXT(G317,"0.00")&amp;" "&amp;L317,"Введите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7" s="24" t="n">
        <x:v>5.6399909843515115</x:v>
      </x:c>
      <x:c r="AG317" s="37" t="n">
        <x:v>21</x:v>
      </x:c>
      <x:c r="AH317" s="37" t="n">
        <x:v>0</x:v>
      </x:c>
      <x:c r="AI317" s="30" t="n">
        <x:v>46266</x:v>
      </x:c>
      <x:c r="AJ317" s="37" t="n">
        <x:v>1</x:v>
      </x:c>
      <x:c r="AK317" s="10" t="str">
        <x:v>минимум</x:v>
      </x:c>
      <x:c r="AL317" s="32" t="n">
        <x:v>316.6357365690088</x:v>
      </x:c>
      <x:c r="AM31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17" s="13" t="str">
        <x:v>Проверить свободный остаток и установить цену для B2B</x:v>
      </x:c>
      <x:c r="AO317" s="13" t="str">
        <x:v>Остаток 21; прогноз 90 дней 5.64; избыток 15 шт. Будущие поступления не выставляются на продажу. Остаток на начало сентября: требуется актуализация.</x:v>
      </x:c>
      <x:c r="AP317" s="13" t="str">
        <x:v>["category_missing", "daily_stockout_data_missing", "negative_net_sales_clipped_for_forecast", "new_order_lead_time_unknown", "reservations_unknown", "stale_stock"]</x:v>
      </x:c>
      <x:c r="AQ317" s="10" t="str">
        <x:v>IEK:030200892_</x:v>
      </x:c>
      <x:c r="AR317" s="24" t="n">
        <x:v>1</x:v>
      </x:c>
      <x:c r="AS317" s="24" t="n">
        <x:v>0</x:v>
      </x:c>
      <x:c r="AT317" s="24" t="n">
        <x:v>0</x:v>
      </x:c>
    </x:row>
    <x:row r="318" ht="64" customHeight="1">
      <x:c r="A318" s="11" t="str">
        <x:v>IEK</x:v>
      </x:c>
      <x:c r="B318" s="33" t="str">
        <x:v>030200894_</x:v>
      </x:c>
      <x:c r="C318" s="33" t="str">
        <x:v>BR-M22-G-K10</x:v>
      </x:c>
      <x:c r="D318" s="12" t="str">
        <x:v>Рамка 2-мест. "BRITE" стекло ванильный (1/100)</x:v>
      </x:c>
      <x:c r="E318" s="11" t="str">
        <x:v>шт</x:v>
      </x:c>
      <x:c r="F318" s="35" t="n">
        <x:f>MAX(0,ROUNDDOWN((AG318-AF318)/AR318+0.000000001,0)*AR318)</x:f>
        <x:v>23</x:v>
      </x:c>
      <x:c r="G318" s="20" t="str">
        <x:f>IF(J318="Рассчитано",V318*(1-R318/100)-W318-P318-Q318,"н/д")</x:f>
        <x:v>н/д</x:v>
      </x:c>
      <x:c r="H318" s="12" t="str">
        <x:v>Высокий</x:v>
      </x:c>
      <x:c r="I318" s="12" t="str">
        <x:v>Высокий</x:v>
      </x:c>
      <x:c r="J318" s="12" t="str">
        <x:f>IF(L318="","Укажите валюту",IF(NOT(ISNUMBER(K318)),"Укажите объём",IF(K318&lt;=0,"Укажите объём",IF(K318&gt;F318,"Объём выше излишка",IF(COUNT(M318:O318)&lt;3,"Нужны цены",IF(COUNT(P318:R318)&lt;3,"Нужны расходы",IF(OR(M318&lt;0,N318&lt;0,O318&lt;0,O318&gt;100,P318&lt;0,Q318&lt;0,R318&lt;0,R318&gt;100),"Проверьте значения","Рассчитано")))))))</x:f>
        <x:v>Нужны цены</x:v>
      </x:c>
      <x:c r="K318" s="36" t="n">
        <x:v>23</x:v>
      </x:c>
      <x:c r="L318" s="19" t="str">
        <x:v>KZT</x:v>
      </x:c>
      <x:c r="M318" s="22"/>
      <x:c r="N318" s="22"/>
      <x:c r="O318" s="28"/>
      <x:c r="P318" s="22"/>
      <x:c r="Q318" s="22"/>
      <x:c r="R318" s="28"/>
      <x:c r="S318" s="22"/>
      <x:c r="T318" s="35" t="n">
        <x:f>K318</x:f>
        <x:v>23</x:v>
      </x:c>
      <x:c r="U318" s="20" t="str">
        <x:f>IF(J318="Рассчитано",N318*(1-O318/100),"н/д")</x:f>
        <x:v>н/д</x:v>
      </x:c>
      <x:c r="V318" s="20" t="str">
        <x:f>IF(J318="Рассчитано",T318*U318,"н/д")</x:f>
        <x:v>н/д</x:v>
      </x:c>
      <x:c r="W318" s="20" t="str">
        <x:f>IF(J318="Рассчитано",T318*M318,"н/д")</x:f>
        <x:v>н/д</x:v>
      </x:c>
      <x:c r="X318" s="20" t="str">
        <x:f>IF(J318="Рассчитано",V318-W318,"н/д")</x:f>
        <x:v>н/д</x:v>
      </x:c>
      <x:c r="Y318" s="26" t="str">
        <x:f>IF(J318="Рассчитано",IF(V318&gt;0,G318/V318,"н/д"),"н/д")</x:f>
        <x:v>н/д</x:v>
      </x:c>
      <x:c r="Z318" s="20" t="str">
        <x:f>"н/д"</x:f>
        <x:v>н/д</x:v>
      </x:c>
      <x:c r="AA318" s="20" t="str">
        <x:f>"н/д"</x:f>
        <x:v>н/д</x:v>
      </x:c>
      <x:c r="AB318" s="20" t="str">
        <x:f>"н/д"</x:f>
        <x:v>н/д</x:v>
      </x:c>
      <x:c r="AC318" s="20" t="str">
        <x:f>IF(AND(J318="Рассчитано",T318&gt;0,R318&lt;100),(W318+P318+Q318)/(T318*(1-R318/100)),"н/д")</x:f>
        <x:v>н/д</x:v>
      </x:c>
      <x:c r="AD318" s="11" t="str">
        <x:f>IF(ISNUMBER(G318),IF(G318&lt;0,"Убыток",IF(G318=0,"Без прибыли","Прибыль &gt; 0")),"Не оценён")</x:f>
        <x:v>Не оценён</x:v>
      </x:c>
      <x:c r="AE318" s="12" t="str">
        <x:f>IF(J318="Рассчитано","Выручка "&amp;TEXT(V318,"0.00")&amp;" - себестоимость "&amp;TEXT(W318,"0.00")&amp;" - комиссия "&amp;TEXT(V318*R318/100,"0.00")&amp;" - доставка "&amp;TEXT(P318,"0.00")&amp;" - прочие "&amp;TEXT(Q318,"0.00")&amp;" = "&amp;TEXT(G318,"0.00")&amp;" "&amp;L318,"Введите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8" s="23" t="n">
        <x:v>9.436393049193972</x:v>
      </x:c>
      <x:c r="AG318" s="35" t="n">
        <x:v>33</x:v>
      </x:c>
      <x:c r="AH318" s="35" t="n">
        <x:v>0</x:v>
      </x:c>
      <x:c r="AI318" s="29" t="n">
        <x:v>46266</x:v>
      </x:c>
      <x:c r="AJ318" s="35" t="n">
        <x:v>1</x:v>
      </x:c>
      <x:c r="AK318" s="11" t="str">
        <x:v>минимум</x:v>
      </x:c>
      <x:c r="AL318" s="31" t="n">
        <x:v>297.39041167366025</x:v>
      </x:c>
      <x:c r="AM3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18" s="12" t="str">
        <x:v>Проверить свободный остаток и установить цену для B2B</x:v>
      </x:c>
      <x:c r="AO318" s="12" t="str">
        <x:v>Остаток 33; прогноз 90 дней 9.44; избыток 23 шт. Будущие поступления не выставляются на продажу. Остаток на начало сентября: требуется актуализация.</x:v>
      </x:c>
      <x:c r="AP318" s="12" t="str">
        <x:v>["category_missing", "daily_stockout_data_missing", "negative_net_sales_clipped_for_forecast", "new_order_lead_time_unknown", "reservations_unknown", "stale_stock"]</x:v>
      </x:c>
      <x:c r="AQ318" s="11" t="str">
        <x:v>IEK:030200894_</x:v>
      </x:c>
      <x:c r="AR318" s="23" t="n">
        <x:v>1</x:v>
      </x:c>
      <x:c r="AS318" s="23" t="n">
        <x:v>0</x:v>
      </x:c>
      <x:c r="AT318" s="23" t="n">
        <x:v>0</x:v>
      </x:c>
    </x:row>
    <x:row r="319" ht="64" customHeight="1">
      <x:c r="A319" s="10" t="str">
        <x:v>IEK</x:v>
      </x:c>
      <x:c r="B319" s="34" t="str">
        <x:v>030200895_</x:v>
      </x:c>
      <x:c r="C319" s="34" t="str">
        <x:v>BR-M22-G-K30</x:v>
      </x:c>
      <x:c r="D319" s="13" t="str">
        <x:v>Рамка 2-мест. "BRITE" стекло дымчатый (1/100)</x:v>
      </x:c>
      <x:c r="E319" s="10" t="str">
        <x:v>шт</x:v>
      </x:c>
      <x:c r="F319" s="37" t="n">
        <x:f>MAX(0,ROUNDDOWN((AG319-AF319)/AR319+0.000000001,0)*AR319)</x:f>
        <x:v>11</x:v>
      </x:c>
      <x:c r="G319" s="21" t="str">
        <x:f>IF(J319="Рассчитано",V319*(1-R319/100)-W319-P319-Q319,"н/д")</x:f>
        <x:v>н/д</x:v>
      </x:c>
      <x:c r="H319" s="13" t="str">
        <x:v>Высокий</x:v>
      </x:c>
      <x:c r="I319" s="13" t="str">
        <x:v>Высокий</x:v>
      </x:c>
      <x:c r="J319" s="13" t="str">
        <x:f>IF(L319="","Укажите валюту",IF(NOT(ISNUMBER(K319)),"Укажите объём",IF(K319&lt;=0,"Укажите объём",IF(K319&gt;F319,"Объём выше излишка",IF(COUNT(M319:O319)&lt;3,"Нужны цены",IF(COUNT(P319:R319)&lt;3,"Нужны расходы",IF(OR(M319&lt;0,N319&lt;0,O319&lt;0,O319&gt;100,P319&lt;0,Q319&lt;0,R319&lt;0,R319&gt;100),"Проверьте значения","Рассчитано")))))))</x:f>
        <x:v>Нужны цены</x:v>
      </x:c>
      <x:c r="K319" s="36" t="n">
        <x:v>11</x:v>
      </x:c>
      <x:c r="L319" s="19" t="str">
        <x:v>KZT</x:v>
      </x:c>
      <x:c r="M319" s="22"/>
      <x:c r="N319" s="22"/>
      <x:c r="O319" s="28"/>
      <x:c r="P319" s="22"/>
      <x:c r="Q319" s="22"/>
      <x:c r="R319" s="28"/>
      <x:c r="S319" s="22"/>
      <x:c r="T319" s="37" t="n">
        <x:f>K319</x:f>
        <x:v>11</x:v>
      </x:c>
      <x:c r="U319" s="21" t="str">
        <x:f>IF(J319="Рассчитано",N319*(1-O319/100),"н/д")</x:f>
        <x:v>н/д</x:v>
      </x:c>
      <x:c r="V319" s="21" t="str">
        <x:f>IF(J319="Рассчитано",T319*U319,"н/д")</x:f>
        <x:v>н/д</x:v>
      </x:c>
      <x:c r="W319" s="21" t="str">
        <x:f>IF(J319="Рассчитано",T319*M319,"н/д")</x:f>
        <x:v>н/д</x:v>
      </x:c>
      <x:c r="X319" s="21" t="str">
        <x:f>IF(J319="Рассчитано",V319-W319,"н/д")</x:f>
        <x:v>н/д</x:v>
      </x:c>
      <x:c r="Y319" s="27" t="str">
        <x:f>IF(J319="Рассчитано",IF(V319&gt;0,G319/V319,"н/д"),"н/д")</x:f>
        <x:v>н/д</x:v>
      </x:c>
      <x:c r="Z319" s="21" t="str">
        <x:f>"н/д"</x:f>
        <x:v>н/д</x:v>
      </x:c>
      <x:c r="AA319" s="21" t="str">
        <x:f>"н/д"</x:f>
        <x:v>н/д</x:v>
      </x:c>
      <x:c r="AB319" s="21" t="str">
        <x:f>"н/д"</x:f>
        <x:v>н/д</x:v>
      </x:c>
      <x:c r="AC319" s="21" t="str">
        <x:f>IF(AND(J319="Рассчитано",T319&gt;0,R319&lt;100),(W319+P319+Q319)/(T319*(1-R319/100)),"н/д")</x:f>
        <x:v>н/д</x:v>
      </x:c>
      <x:c r="AD319" s="10" t="str">
        <x:f>IF(ISNUMBER(G319),IF(G319&lt;0,"Убыток",IF(G319=0,"Без прибыли","Прибыль &gt; 0")),"Не оценён")</x:f>
        <x:v>Не оценён</x:v>
      </x:c>
      <x:c r="AE319" s="13" t="str">
        <x:f>IF(J319="Рассчитано","Выручка "&amp;TEXT(V319,"0.00")&amp;" - себестоимость "&amp;TEXT(W319,"0.00")&amp;" - комиссия "&amp;TEXT(V319*R319/100,"0.00")&amp;" - доставка "&amp;TEXT(P319,"0.00")&amp;" - прочие "&amp;TEXT(Q319,"0.00")&amp;" = "&amp;TEXT(G319,"0.00")&amp;" "&amp;L319,"Введите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9" s="24" t="n">
        <x:v>9.025803534391233</x:v>
      </x:c>
      <x:c r="AG319" s="37" t="n">
        <x:v>21</x:v>
      </x:c>
      <x:c r="AH319" s="37" t="n">
        <x:v>0</x:v>
      </x:c>
      <x:c r="AI319" s="30" t="n">
        <x:v>46266</x:v>
      </x:c>
      <x:c r="AJ319" s="37" t="n">
        <x:v>1</x:v>
      </x:c>
      <x:c r="AK319" s="10" t="str">
        <x:v>минимум</x:v>
      </x:c>
      <x:c r="AL319" s="32" t="n">
        <x:v>197.8574752672322</x:v>
      </x:c>
      <x:c r="AM31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19" s="13" t="str">
        <x:v>Проверить свободный остаток и установить цену для B2B</x:v>
      </x:c>
      <x:c r="AO319" s="13" t="str">
        <x:v>Остаток 21; прогноз 90 дней 9.03; избыток 11 шт. Будущие поступления не выставляются на продажу. Остаток на начало сентября: требуется актуализация.</x:v>
      </x:c>
      <x:c r="AP319" s="13" t="str">
        <x:v>["category_missing", "daily_stockout_data_missing", "negative_net_sales_clipped_for_forecast", "new_order_lead_time_unknown", "reservations_unknown", "stale_stock"]</x:v>
      </x:c>
      <x:c r="AQ319" s="10" t="str">
        <x:v>IEK:030200895_</x:v>
      </x:c>
      <x:c r="AR319" s="24" t="n">
        <x:v>1</x:v>
      </x:c>
      <x:c r="AS319" s="24" t="n">
        <x:v>0</x:v>
      </x:c>
      <x:c r="AT319" s="24" t="n">
        <x:v>0</x:v>
      </x:c>
    </x:row>
    <x:row r="320" ht="64" customHeight="1">
      <x:c r="A320" s="11" t="str">
        <x:v>IEK</x:v>
      </x:c>
      <x:c r="B320" s="33" t="str">
        <x:v>030200896_</x:v>
      </x:c>
      <x:c r="C320" s="33" t="str">
        <x:v>BR-M22-G-K45</x:v>
      </x:c>
      <x:c r="D320" s="12" t="str">
        <x:v>Рамка 2-мест. "BRITE" стекло темная бронза (1/100)</x:v>
      </x:c>
      <x:c r="E320" s="11" t="str">
        <x:v>шт</x:v>
      </x:c>
      <x:c r="F320" s="35" t="n">
        <x:f>MAX(0,ROUNDDOWN((AG320-AF320)/AR320+0.000000001,0)*AR320)</x:f>
        <x:v>4</x:v>
      </x:c>
      <x:c r="G320" s="20" t="str">
        <x:f>IF(J320="Рассчитано",V320*(1-R320/100)-W320-P320-Q320,"н/д")</x:f>
        <x:v>н/д</x:v>
      </x:c>
      <x:c r="H320" s="12" t="str">
        <x:v>Высокий</x:v>
      </x:c>
      <x:c r="I320" s="12" t="str">
        <x:v>Средний</x:v>
      </x:c>
      <x:c r="J320" s="12" t="str">
        <x:f>IF(L320="","Укажите валюту",IF(NOT(ISNUMBER(K320)),"Укажите объём",IF(K320&lt;=0,"Укажите объём",IF(K320&gt;F320,"Объём выше излишка",IF(COUNT(M320:O320)&lt;3,"Нужны цены",IF(COUNT(P320:R320)&lt;3,"Нужны расходы",IF(OR(M320&lt;0,N320&lt;0,O320&lt;0,O320&gt;100,P320&lt;0,Q320&lt;0,R320&lt;0,R320&gt;100),"Проверьте значения","Рассчитано")))))))</x:f>
        <x:v>Нужны цены</x:v>
      </x:c>
      <x:c r="K320" s="36" t="n">
        <x:v>4</x:v>
      </x:c>
      <x:c r="L320" s="19" t="str">
        <x:v>KZT</x:v>
      </x:c>
      <x:c r="M320" s="22"/>
      <x:c r="N320" s="22"/>
      <x:c r="O320" s="28"/>
      <x:c r="P320" s="22"/>
      <x:c r="Q320" s="22"/>
      <x:c r="R320" s="28"/>
      <x:c r="S320" s="22"/>
      <x:c r="T320" s="35" t="n">
        <x:f>K320</x:f>
        <x:v>4</x:v>
      </x:c>
      <x:c r="U320" s="20" t="str">
        <x:f>IF(J320="Рассчитано",N320*(1-O320/100),"н/д")</x:f>
        <x:v>н/д</x:v>
      </x:c>
      <x:c r="V320" s="20" t="str">
        <x:f>IF(J320="Рассчитано",T320*U320,"н/д")</x:f>
        <x:v>н/д</x:v>
      </x:c>
      <x:c r="W320" s="20" t="str">
        <x:f>IF(J320="Рассчитано",T320*M320,"н/д")</x:f>
        <x:v>н/д</x:v>
      </x:c>
      <x:c r="X320" s="20" t="str">
        <x:f>IF(J320="Рассчитано",V320-W320,"н/д")</x:f>
        <x:v>н/д</x:v>
      </x:c>
      <x:c r="Y320" s="26" t="str">
        <x:f>IF(J320="Рассчитано",IF(V320&gt;0,G320/V320,"н/д"),"н/д")</x:f>
        <x:v>н/д</x:v>
      </x:c>
      <x:c r="Z320" s="20" t="str">
        <x:f>"н/д"</x:f>
        <x:v>н/д</x:v>
      </x:c>
      <x:c r="AA320" s="20" t="str">
        <x:f>"н/д"</x:f>
        <x:v>н/д</x:v>
      </x:c>
      <x:c r="AB320" s="20" t="str">
        <x:f>"н/д"</x:f>
        <x:v>н/д</x:v>
      </x:c>
      <x:c r="AC320" s="20" t="str">
        <x:f>IF(AND(J320="Рассчитано",T320&gt;0,R320&lt;100),(W320+P320+Q320)/(T320*(1-R320/100)),"н/д")</x:f>
        <x:v>н/д</x:v>
      </x:c>
      <x:c r="AD320" s="11" t="str">
        <x:f>IF(ISNUMBER(G320),IF(G320&lt;0,"Убыток",IF(G320=0,"Без прибыли","Прибыль &gt; 0")),"Не оценён")</x:f>
        <x:v>Не оценён</x:v>
      </x:c>
      <x:c r="AE320" s="12" t="str">
        <x:f>IF(J320="Рассчитано","Выручка "&amp;TEXT(V320,"0.00")&amp;" - себестоимость "&amp;TEXT(W320,"0.00")&amp;" - комиссия "&amp;TEXT(V320*R320/100,"0.00")&amp;" - доставка "&amp;TEXT(P320,"0.00")&amp;" - прочие "&amp;TEXT(Q320,"0.00")&amp;" = "&amp;TEXT(G320,"0.00")&amp;" "&amp;L320,"Введите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0" s="23" t="n">
        <x:v>8.510684040714896</x:v>
      </x:c>
      <x:c r="AG320" s="35" t="n">
        <x:v>13</x:v>
      </x:c>
      <x:c r="AH320" s="35" t="n">
        <x:v>0</x:v>
      </x:c>
      <x:c r="AI320" s="29" t="n">
        <x:v>46266</x:v>
      </x:c>
      <x:c r="AJ320" s="35" t="n">
        <x:v>1</x:v>
      </x:c>
      <x:c r="AK320" s="11" t="str">
        <x:v>минимум</x:v>
      </x:c>
      <x:c r="AL320" s="31" t="n">
        <x:v>129.8966434334715</x:v>
      </x:c>
      <x:c r="AM320" s="12" t="str">
        <x:v>Остаток на начало сентября; Резервы неизвестны; Нет ежедневных данных доступности. Запас выше прогноза на 90 дней</x:v>
      </x:c>
      <x:c r="AN320" s="12" t="str">
        <x:v>Проверить свободный остаток и установить цену для B2B</x:v>
      </x:c>
      <x:c r="AO320" s="12" t="str">
        <x:v>Остаток 13; прогноз 90 дней 8.51; избыток 4 шт. Будущие поступления не выставляются на продажу. Остаток на начало сентября: требуется актуализация.</x:v>
      </x:c>
      <x:c r="AP320" s="12" t="str">
        <x:v>["category_missing", "daily_stockout_data_missing", "negative_net_sales_clipped_for_forecast", "new_order_lead_time_unknown", "reservations_unknown", "stale_stock"]</x:v>
      </x:c>
      <x:c r="AQ320" s="11" t="str">
        <x:v>IEK:030200896_</x:v>
      </x:c>
      <x:c r="AR320" s="23" t="n">
        <x:v>1</x:v>
      </x:c>
      <x:c r="AS320" s="23" t="n">
        <x:v>0</x:v>
      </x:c>
      <x:c r="AT320" s="23" t="n">
        <x:v>0</x:v>
      </x:c>
    </x:row>
    <x:row r="321" ht="64" customHeight="1">
      <x:c r="A321" s="10" t="str">
        <x:v>IEK</x:v>
      </x:c>
      <x:c r="B321" s="34" t="str">
        <x:v>030200898_</x:v>
      </x:c>
      <x:c r="C321" s="34" t="str">
        <x:v>BR-M32-G-K10</x:v>
      </x:c>
      <x:c r="D321" s="13" t="str">
        <x:v>Рамка 3-мест. "BRITE" стекло ванильный (1/50)</x:v>
      </x:c>
      <x:c r="E321" s="10" t="str">
        <x:v>шт</x:v>
      </x:c>
      <x:c r="F321" s="37" t="n">
        <x:f>MAX(0,ROUNDDOWN((AG321-AF321)/AR321+0.000000001,0)*AR321)</x:f>
        <x:v>3</x:v>
      </x:c>
      <x:c r="G321" s="21" t="str">
        <x:f>IF(J321="Рассчитано",V321*(1-R321/100)-W321-P321-Q321,"н/д")</x:f>
        <x:v>н/д</x:v>
      </x:c>
      <x:c r="H321" s="13" t="str">
        <x:v>Высокий</x:v>
      </x:c>
      <x:c r="I321" s="13" t="str">
        <x:v>Средний</x:v>
      </x:c>
      <x:c r="J321" s="13" t="str">
        <x:f>IF(L321="","Укажите валюту",IF(NOT(ISNUMBER(K321)),"Укажите объём",IF(K321&lt;=0,"Укажите объём",IF(K321&gt;F321,"Объём выше излишка",IF(COUNT(M321:O321)&lt;3,"Нужны цены",IF(COUNT(P321:R321)&lt;3,"Нужны расходы",IF(OR(M321&lt;0,N321&lt;0,O321&lt;0,O321&gt;100,P321&lt;0,Q321&lt;0,R321&lt;0,R321&gt;100),"Проверьте значения","Рассчитано")))))))</x:f>
        <x:v>Нужны цены</x:v>
      </x:c>
      <x:c r="K321" s="36" t="n">
        <x:v>3</x:v>
      </x:c>
      <x:c r="L321" s="19" t="str">
        <x:v>KZT</x:v>
      </x:c>
      <x:c r="M321" s="22"/>
      <x:c r="N321" s="22"/>
      <x:c r="O321" s="28"/>
      <x:c r="P321" s="22"/>
      <x:c r="Q321" s="22"/>
      <x:c r="R321" s="28"/>
      <x:c r="S321" s="22"/>
      <x:c r="T321" s="37" t="n">
        <x:f>K321</x:f>
        <x:v>3</x:v>
      </x:c>
      <x:c r="U321" s="21" t="str">
        <x:f>IF(J321="Рассчитано",N321*(1-O321/100),"н/д")</x:f>
        <x:v>н/д</x:v>
      </x:c>
      <x:c r="V321" s="21" t="str">
        <x:f>IF(J321="Рассчитано",T321*U321,"н/д")</x:f>
        <x:v>н/д</x:v>
      </x:c>
      <x:c r="W321" s="21" t="str">
        <x:f>IF(J321="Рассчитано",T321*M321,"н/д")</x:f>
        <x:v>н/д</x:v>
      </x:c>
      <x:c r="X321" s="21" t="str">
        <x:f>IF(J321="Рассчитано",V321-W321,"н/д")</x:f>
        <x:v>н/д</x:v>
      </x:c>
      <x:c r="Y321" s="27" t="str">
        <x:f>IF(J321="Рассчитано",IF(V321&gt;0,G321/V321,"н/д"),"н/д")</x:f>
        <x:v>н/д</x:v>
      </x:c>
      <x:c r="Z321" s="21" t="str">
        <x:f>"н/д"</x:f>
        <x:v>н/д</x:v>
      </x:c>
      <x:c r="AA321" s="21" t="str">
        <x:f>"н/д"</x:f>
        <x:v>н/д</x:v>
      </x:c>
      <x:c r="AB321" s="21" t="str">
        <x:f>"н/д"</x:f>
        <x:v>н/д</x:v>
      </x:c>
      <x:c r="AC321" s="21" t="str">
        <x:f>IF(AND(J321="Рассчитано",T321&gt;0,R321&lt;100),(W321+P321+Q321)/(T321*(1-R321/100)),"н/д")</x:f>
        <x:v>н/д</x:v>
      </x:c>
      <x:c r="AD321" s="10" t="str">
        <x:f>IF(ISNUMBER(G321),IF(G321&lt;0,"Убыток",IF(G321=0,"Без прибыли","Прибыль &gt; 0")),"Не оценён")</x:f>
        <x:v>Не оценён</x:v>
      </x:c>
      <x:c r="AE321" s="13" t="str">
        <x:f>IF(J321="Рассчитано","Выручка "&amp;TEXT(V321,"0.00")&amp;" - себестоимость "&amp;TEXT(W321,"0.00")&amp;" - комиссия "&amp;TEXT(V321*R321/100,"0.00")&amp;" - доставка "&amp;TEXT(P321,"0.00")&amp;" - прочие "&amp;TEXT(Q321,"0.00")&amp;" = "&amp;TEXT(G321,"0.00")&amp;" "&amp;L321,"Введите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1" s="24" t="n">
        <x:v>4.87803698198475</x:v>
      </x:c>
      <x:c r="AG321" s="37" t="n">
        <x:v>8</x:v>
      </x:c>
      <x:c r="AH321" s="37" t="n">
        <x:v>0</x:v>
      </x:c>
      <x:c r="AI321" s="30" t="n">
        <x:v>46266</x:v>
      </x:c>
      <x:c r="AJ321" s="37" t="n">
        <x:v>1</x:v>
      </x:c>
      <x:c r="AK321" s="10" t="str">
        <x:v>минимум</x:v>
      </x:c>
      <x:c r="AL321" s="32" t="n">
        <x:v>139.4645862410478</x:v>
      </x:c>
      <x:c r="AM321" s="13" t="str">
        <x:v>Остаток на начало сентября; Резервы неизвестны; Нет ежедневных данных доступности. Запас выше прогноза на 90 дней</x:v>
      </x:c>
      <x:c r="AN321" s="13" t="str">
        <x:v>Проверить свободный остаток и установить цену для B2B</x:v>
      </x:c>
      <x:c r="AO321" s="13" t="str">
        <x:v>Остаток 8; прогноз 90 дней 4.88; избыток 3 шт. Будущие поступления не выставляются на продажу. Остаток на начало сентября: требуется актуализация.</x:v>
      </x:c>
      <x:c r="AP321" s="13" t="str">
        <x:v>["category_missing", "daily_stockout_data_missing", "negative_net_sales_clipped_for_forecast", "new_order_lead_time_unknown", "reservations_unknown", "stale_stock"]</x:v>
      </x:c>
      <x:c r="AQ321" s="10" t="str">
        <x:v>IEK:030200898_</x:v>
      </x:c>
      <x:c r="AR321" s="24" t="n">
        <x:v>1</x:v>
      </x:c>
      <x:c r="AS321" s="24" t="n">
        <x:v>0</x:v>
      </x:c>
      <x:c r="AT321" s="24" t="n">
        <x:v>0</x:v>
      </x:c>
    </x:row>
    <x:row r="322" ht="64" customHeight="1">
      <x:c r="A322" s="11" t="str">
        <x:v>IEK</x:v>
      </x:c>
      <x:c r="B322" s="33" t="str">
        <x:v>030200899_</x:v>
      </x:c>
      <x:c r="C322" s="33" t="str">
        <x:v>BR-M32-G-K30</x:v>
      </x:c>
      <x:c r="D322" s="12" t="str">
        <x:v>Рамка 3-мест. "BRITE" стекло дымчатый (1/50)</x:v>
      </x:c>
      <x:c r="E322" s="11" t="str">
        <x:v>шт</x:v>
      </x:c>
      <x:c r="F322" s="35" t="n">
        <x:f>MAX(0,ROUNDDOWN((AG322-AF322)/AR322+0.000000001,0)*AR322)</x:f>
        <x:v>4</x:v>
      </x:c>
      <x:c r="G322" s="20" t="str">
        <x:f>IF(J322="Рассчитано",V322*(1-R322/100)-W322-P322-Q322,"н/д")</x:f>
        <x:v>н/д</x:v>
      </x:c>
      <x:c r="H322" s="12" t="str">
        <x:v>Высокий</x:v>
      </x:c>
      <x:c r="I322" s="12" t="str">
        <x:v>Средний</x:v>
      </x:c>
      <x:c r="J322" s="12" t="str">
        <x:f>IF(L322="","Укажите валюту",IF(NOT(ISNUMBER(K322)),"Укажите объём",IF(K322&lt;=0,"Укажите объём",IF(K322&gt;F322,"Объём выше излишка",IF(COUNT(M322:O322)&lt;3,"Нужны цены",IF(COUNT(P322:R322)&lt;3,"Нужны расходы",IF(OR(M322&lt;0,N322&lt;0,O322&lt;0,O322&gt;100,P322&lt;0,Q322&lt;0,R322&lt;0,R322&gt;100),"Проверьте значения","Рассчитано")))))))</x:f>
        <x:v>Нужны цены</x:v>
      </x:c>
      <x:c r="K322" s="36" t="n">
        <x:v>4</x:v>
      </x:c>
      <x:c r="L322" s="19" t="str">
        <x:v>KZT</x:v>
      </x:c>
      <x:c r="M322" s="22"/>
      <x:c r="N322" s="22"/>
      <x:c r="O322" s="28"/>
      <x:c r="P322" s="22"/>
      <x:c r="Q322" s="22"/>
      <x:c r="R322" s="28"/>
      <x:c r="S322" s="22"/>
      <x:c r="T322" s="35" t="n">
        <x:f>K322</x:f>
        <x:v>4</x:v>
      </x:c>
      <x:c r="U322" s="20" t="str">
        <x:f>IF(J322="Рассчитано",N322*(1-O322/100),"н/д")</x:f>
        <x:v>н/д</x:v>
      </x:c>
      <x:c r="V322" s="20" t="str">
        <x:f>IF(J322="Рассчитано",T322*U322,"н/д")</x:f>
        <x:v>н/д</x:v>
      </x:c>
      <x:c r="W322" s="20" t="str">
        <x:f>IF(J322="Рассчитано",T322*M322,"н/д")</x:f>
        <x:v>н/д</x:v>
      </x:c>
      <x:c r="X322" s="20" t="str">
        <x:f>IF(J322="Рассчитано",V322-W322,"н/д")</x:f>
        <x:v>н/д</x:v>
      </x:c>
      <x:c r="Y322" s="26" t="str">
        <x:f>IF(J322="Рассчитано",IF(V322&gt;0,G322/V322,"н/д"),"н/д")</x:f>
        <x:v>н/д</x:v>
      </x:c>
      <x:c r="Z322" s="20" t="str">
        <x:f>"н/д"</x:f>
        <x:v>н/д</x:v>
      </x:c>
      <x:c r="AA322" s="20" t="str">
        <x:f>"н/д"</x:f>
        <x:v>н/д</x:v>
      </x:c>
      <x:c r="AB322" s="20" t="str">
        <x:f>"н/д"</x:f>
        <x:v>н/д</x:v>
      </x:c>
      <x:c r="AC322" s="20" t="str">
        <x:f>IF(AND(J322="Рассчитано",T322&gt;0,R322&lt;100),(W322+P322+Q322)/(T322*(1-R322/100)),"н/д")</x:f>
        <x:v>н/д</x:v>
      </x:c>
      <x:c r="AD322" s="11" t="str">
        <x:f>IF(ISNUMBER(G322),IF(G322&lt;0,"Убыток",IF(G322=0,"Без прибыли","Прибыль &gt; 0")),"Не оценён")</x:f>
        <x:v>Не оценён</x:v>
      </x:c>
      <x:c r="AE322" s="12" t="str">
        <x:f>IF(J322="Рассчитано","Выручка "&amp;TEXT(V322,"0.00")&amp;" - себестоимость "&amp;TEXT(W322,"0.00")&amp;" - комиссия "&amp;TEXT(V322*R322/100,"0.00")&amp;" - доставка "&amp;TEXT(P322,"0.00")&amp;" - прочие "&amp;TEXT(Q322,"0.00")&amp;" = "&amp;TEXT(G322,"0.00")&amp;" "&amp;L322,"Введите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2" s="23" t="n">
        <x:v>3.967281560347151</x:v>
      </x:c>
      <x:c r="AG322" s="35" t="n">
        <x:v>8</x:v>
      </x:c>
      <x:c r="AH322" s="35" t="n">
        <x:v>0</x:v>
      </x:c>
      <x:c r="AI322" s="29" t="n">
        <x:v>46266</x:v>
      </x:c>
      <x:c r="AJ322" s="35" t="n">
        <x:v>1</x:v>
      </x:c>
      <x:c r="AK322" s="11" t="str">
        <x:v>минимум</x:v>
      </x:c>
      <x:c r="AL322" s="31" t="n">
        <x:v>171.48100002801516</x:v>
      </x:c>
      <x:c r="AM322" s="12" t="str">
        <x:v>Остаток на начало сентября; Резервы неизвестны; Нет ежедневных данных доступности. Запас выше прогноза на 90 дней</x:v>
      </x:c>
      <x:c r="AN322" s="12" t="str">
        <x:v>Проверить свободный остаток и установить цену для B2B</x:v>
      </x:c>
      <x:c r="AO322" s="12" t="str">
        <x:v>Остаток 8; прогноз 90 дней 3.97; избыток 4 шт. Будущие поступления не выставляются на продажу. Остаток на начало сентября: требуется актуализация.</x:v>
      </x:c>
      <x:c r="AP322" s="12" t="str">
        <x:v>["category_missing", "daily_stockout_data_missing", "negative_net_sales_clipped_for_forecast", "new_order_lead_time_unknown", "reservations_unknown", "stale_stock"]</x:v>
      </x:c>
      <x:c r="AQ322" s="11" t="str">
        <x:v>IEK:030200899_</x:v>
      </x:c>
      <x:c r="AR322" s="23" t="n">
        <x:v>1</x:v>
      </x:c>
      <x:c r="AS322" s="23" t="n">
        <x:v>0</x:v>
      </x:c>
      <x:c r="AT322" s="23" t="n">
        <x:v>0</x:v>
      </x:c>
    </x:row>
    <x:row r="323" ht="64" customHeight="1">
      <x:c r="A323" s="10" t="str">
        <x:v>IEK</x:v>
      </x:c>
      <x:c r="B323" s="34" t="str">
        <x:v>030200900_</x:v>
      </x:c>
      <x:c r="C323" s="34" t="str">
        <x:v>BR-M32-G-K45</x:v>
      </x:c>
      <x:c r="D323" s="13" t="str">
        <x:v>Рамка 3-мест. "BRITE" стекло темная бронза (1/50)</x:v>
      </x:c>
      <x:c r="E323" s="10" t="str">
        <x:v>шт</x:v>
      </x:c>
      <x:c r="F323" s="37" t="n">
        <x:f>MAX(0,ROUNDDOWN((AG323-AF323)/AR323+0.000000001,0)*AR323)</x:f>
        <x:v>3</x:v>
      </x:c>
      <x:c r="G323" s="21" t="str">
        <x:f>IF(J323="Рассчитано",V323*(1-R323/100)-W323-P323-Q323,"н/д")</x:f>
        <x:v>н/д</x:v>
      </x:c>
      <x:c r="H323" s="13" t="str">
        <x:v>Высокий</x:v>
      </x:c>
      <x:c r="I323" s="13" t="str">
        <x:v>Высокий</x:v>
      </x:c>
      <x:c r="J323" s="13" t="str">
        <x:f>IF(L323="","Укажите валюту",IF(NOT(ISNUMBER(K323)),"Укажите объём",IF(K323&lt;=0,"Укажите объём",IF(K323&gt;F323,"Объём выше излишка",IF(COUNT(M323:O323)&lt;3,"Нужны цены",IF(COUNT(P323:R323)&lt;3,"Нужны расходы",IF(OR(M323&lt;0,N323&lt;0,O323&lt;0,O323&gt;100,P323&lt;0,Q323&lt;0,R323&lt;0,R323&gt;100),"Проверьте значения","Рассчитано")))))))</x:f>
        <x:v>Нужны цены</x:v>
      </x:c>
      <x:c r="K323" s="36" t="n">
        <x:v>3</x:v>
      </x:c>
      <x:c r="L323" s="19" t="str">
        <x:v>KZT</x:v>
      </x:c>
      <x:c r="M323" s="22"/>
      <x:c r="N323" s="22"/>
      <x:c r="O323" s="28"/>
      <x:c r="P323" s="22"/>
      <x:c r="Q323" s="22"/>
      <x:c r="R323" s="28"/>
      <x:c r="S323" s="22"/>
      <x:c r="T323" s="37" t="n">
        <x:f>K323</x:f>
        <x:v>3</x:v>
      </x:c>
      <x:c r="U323" s="21" t="str">
        <x:f>IF(J323="Рассчитано",N323*(1-O323/100),"н/д")</x:f>
        <x:v>н/д</x:v>
      </x:c>
      <x:c r="V323" s="21" t="str">
        <x:f>IF(J323="Рассчитано",T323*U323,"н/д")</x:f>
        <x:v>н/д</x:v>
      </x:c>
      <x:c r="W323" s="21" t="str">
        <x:f>IF(J323="Рассчитано",T323*M323,"н/д")</x:f>
        <x:v>н/д</x:v>
      </x:c>
      <x:c r="X323" s="21" t="str">
        <x:f>IF(J323="Рассчитано",V323-W323,"н/д")</x:f>
        <x:v>н/д</x:v>
      </x:c>
      <x:c r="Y323" s="27" t="str">
        <x:f>IF(J323="Рассчитано",IF(V323&gt;0,G323/V323,"н/д"),"н/д")</x:f>
        <x:v>н/д</x:v>
      </x:c>
      <x:c r="Z323" s="21" t="str">
        <x:f>"н/д"</x:f>
        <x:v>н/д</x:v>
      </x:c>
      <x:c r="AA323" s="21" t="str">
        <x:f>"н/д"</x:f>
        <x:v>н/д</x:v>
      </x:c>
      <x:c r="AB323" s="21" t="str">
        <x:f>"н/д"</x:f>
        <x:v>н/д</x:v>
      </x:c>
      <x:c r="AC323" s="21" t="str">
        <x:f>IF(AND(J323="Рассчитано",T323&gt;0,R323&lt;100),(W323+P323+Q323)/(T323*(1-R323/100)),"н/д")</x:f>
        <x:v>н/д</x:v>
      </x:c>
      <x:c r="AD323" s="10" t="str">
        <x:f>IF(ISNUMBER(G323),IF(G323&lt;0,"Убыток",IF(G323=0,"Без прибыли","Прибыль &gt; 0")),"Не оценён")</x:f>
        <x:v>Не оценён</x:v>
      </x:c>
      <x:c r="AE323" s="13" t="str">
        <x:f>IF(J323="Рассчитано","Выручка "&amp;TEXT(V323,"0.00")&amp;" - себестоимость "&amp;TEXT(W323,"0.00")&amp;" - комиссия "&amp;TEXT(V323*R323/100,"0.00")&amp;" - доставка "&amp;TEXT(P323,"0.00")&amp;" - прочие "&amp;TEXT(Q323,"0.00")&amp;" = "&amp;TEXT(G323,"0.00")&amp;" "&amp;L323,"Введите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3" s="24" t="n">
        <x:v>1.727631232501103</x:v>
      </x:c>
      <x:c r="AG323" s="37" t="n">
        <x:v>5</x:v>
      </x:c>
      <x:c r="AH323" s="37" t="n">
        <x:v>0</x:v>
      </x:c>
      <x:c r="AI323" s="30" t="n">
        <x:v>46266</x:v>
      </x:c>
      <x:c r="AJ323" s="37" t="n">
        <x:v>1</x:v>
      </x:c>
      <x:c r="AK323" s="10" t="str">
        <x:v>минимум</x:v>
      </x:c>
      <x:c r="AL323" s="32" t="n">
        <x:v>246.11495373065628</x:v>
      </x:c>
      <x:c r="AM32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23" s="13" t="str">
        <x:v>Проверить свободный остаток и установить цену для B2B</x:v>
      </x:c>
      <x:c r="AO323" s="13" t="str">
        <x:v>Остаток 5; прогноз 90 дней 1.73; избыток 3 шт. Будущие поступления не выставляются на продажу. Остаток на начало сентября: требуется актуализация.</x:v>
      </x:c>
      <x:c r="AP323" s="13" t="str">
        <x:v>["category_missing", "daily_stockout_data_missing", "negative_net_sales_clipped_for_forecast", "new_order_lead_time_unknown", "reservations_unknown", "stale_stock"]</x:v>
      </x:c>
      <x:c r="AQ323" s="10" t="str">
        <x:v>IEK:030200900_</x:v>
      </x:c>
      <x:c r="AR323" s="24" t="n">
        <x:v>1</x:v>
      </x:c>
      <x:c r="AS323" s="24" t="n">
        <x:v>0</x:v>
      </x:c>
      <x:c r="AT323" s="24" t="n">
        <x:v>0</x:v>
      </x:c>
    </x:row>
    <x:row r="324" ht="64" customHeight="1">
      <x:c r="A324" s="11" t="str">
        <x:v>IEK</x:v>
      </x:c>
      <x:c r="B324" s="33" t="str">
        <x:v>030200901_</x:v>
      </x:c>
      <x:c r="C324" s="33" t="str">
        <x:v>BR-M42-G-K03</x:v>
      </x:c>
      <x:c r="D324" s="12" t="str">
        <x:v>Рамка 4-мест. "BRITE" стекло серый (1/50)</x:v>
      </x:c>
      <x:c r="E324" s="11" t="str">
        <x:v>шт</x:v>
      </x:c>
      <x:c r="F324" s="35" t="n">
        <x:f>MAX(0,ROUNDDOWN((AG324-AF324)/AR324+0.000000001,0)*AR324)</x:f>
        <x:v>8</x:v>
      </x:c>
      <x:c r="G324" s="20" t="str">
        <x:f>IF(J324="Рассчитано",V324*(1-R324/100)-W324-P324-Q324,"н/д")</x:f>
        <x:v>н/д</x:v>
      </x:c>
      <x:c r="H324" s="12" t="str">
        <x:v>Высокий</x:v>
      </x:c>
      <x:c r="I324" s="12" t="str">
        <x:v>Высокий</x:v>
      </x:c>
      <x:c r="J324" s="12" t="str">
        <x:f>IF(L324="","Укажите валюту",IF(NOT(ISNUMBER(K324)),"Укажите объём",IF(K324&lt;=0,"Укажите объём",IF(K324&gt;F324,"Объём выше излишка",IF(COUNT(M324:O324)&lt;3,"Нужны цены",IF(COUNT(P324:R324)&lt;3,"Нужны расходы",IF(OR(M324&lt;0,N324&lt;0,O324&lt;0,O324&gt;100,P324&lt;0,Q324&lt;0,R324&lt;0,R324&gt;100),"Проверьте значения","Рассчитано")))))))</x:f>
        <x:v>Нужны цены</x:v>
      </x:c>
      <x:c r="K324" s="36" t="n">
        <x:v>8</x:v>
      </x:c>
      <x:c r="L324" s="19" t="str">
        <x:v>KZT</x:v>
      </x:c>
      <x:c r="M324" s="22"/>
      <x:c r="N324" s="22"/>
      <x:c r="O324" s="28"/>
      <x:c r="P324" s="22"/>
      <x:c r="Q324" s="22"/>
      <x:c r="R324" s="28"/>
      <x:c r="S324" s="22"/>
      <x:c r="T324" s="35" t="n">
        <x:f>K324</x:f>
        <x:v>8</x:v>
      </x:c>
      <x:c r="U324" s="20" t="str">
        <x:f>IF(J324="Рассчитано",N324*(1-O324/100),"н/д")</x:f>
        <x:v>н/д</x:v>
      </x:c>
      <x:c r="V324" s="20" t="str">
        <x:f>IF(J324="Рассчитано",T324*U324,"н/д")</x:f>
        <x:v>н/д</x:v>
      </x:c>
      <x:c r="W324" s="20" t="str">
        <x:f>IF(J324="Рассчитано",T324*M324,"н/д")</x:f>
        <x:v>н/д</x:v>
      </x:c>
      <x:c r="X324" s="20" t="str">
        <x:f>IF(J324="Рассчитано",V324-W324,"н/д")</x:f>
        <x:v>н/д</x:v>
      </x:c>
      <x:c r="Y324" s="26" t="str">
        <x:f>IF(J324="Рассчитано",IF(V324&gt;0,G324/V324,"н/д"),"н/д")</x:f>
        <x:v>н/д</x:v>
      </x:c>
      <x:c r="Z324" s="20" t="str">
        <x:f>"н/д"</x:f>
        <x:v>н/д</x:v>
      </x:c>
      <x:c r="AA324" s="20" t="str">
        <x:f>"н/д"</x:f>
        <x:v>н/д</x:v>
      </x:c>
      <x:c r="AB324" s="20" t="str">
        <x:f>"н/д"</x:f>
        <x:v>н/д</x:v>
      </x:c>
      <x:c r="AC324" s="20" t="str">
        <x:f>IF(AND(J324="Рассчитано",T324&gt;0,R324&lt;100),(W324+P324+Q324)/(T324*(1-R324/100)),"н/д")</x:f>
        <x:v>н/д</x:v>
      </x:c>
      <x:c r="AD324" s="11" t="str">
        <x:f>IF(ISNUMBER(G324),IF(G324&lt;0,"Убыток",IF(G324=0,"Без прибыли","Прибыль &gt; 0")),"Не оценён")</x:f>
        <x:v>Не оценён</x:v>
      </x:c>
      <x:c r="AE324" s="12" t="str">
        <x:f>IF(J324="Рассчитано","Выручка "&amp;TEXT(V324,"0.00")&amp;" - себестоимость "&amp;TEXT(W324,"0.00")&amp;" - комиссия "&amp;TEXT(V324*R324/100,"0.00")&amp;" - доставка "&amp;TEXT(P324,"0.00")&amp;" - прочие "&amp;TEXT(Q324,"0.00")&amp;" = "&amp;TEXT(G324,"0.00")&amp;" "&amp;L324,"Введите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4" s="23" t="n">
        <x:v>1.23033043551909</x:v>
      </x:c>
      <x:c r="AG324" s="35" t="n">
        <x:v>10</x:v>
      </x:c>
      <x:c r="AH324" s="35" t="n">
        <x:v>0</x:v>
      </x:c>
      <x:c r="AI324" s="29" t="n">
        <x:v>46266</x:v>
      </x:c>
      <x:c r="AJ324" s="35" t="n">
        <x:v>1</x:v>
      </x:c>
      <x:c r="AK324" s="11" t="str">
        <x:v>минимум</x:v>
      </x:c>
      <x:c r="AL324" s="31" t="n">
        <x:v>691.1897301333536</x:v>
      </x:c>
      <x:c r="AM32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24" s="12" t="str">
        <x:v>Проверить свободный остаток и установить цену для B2B</x:v>
      </x:c>
      <x:c r="AO324" s="12" t="str">
        <x:v>Остаток 10; прогноз 90 дней 1.23; избыток 8 шт. Будущие поступления не выставляются на продажу. Остаток на начало сентября: требуется актуализация.</x:v>
      </x:c>
      <x:c r="AP324" s="12" t="str">
        <x:v>["category_missing", "daily_stockout_data_missing", "negative_net_sales_clipped_for_forecast", "new_order_lead_time_unknown", "reservations_unknown", "stale_stock"]</x:v>
      </x:c>
      <x:c r="AQ324" s="11" t="str">
        <x:v>IEK:030200901_</x:v>
      </x:c>
      <x:c r="AR324" s="23" t="n">
        <x:v>1</x:v>
      </x:c>
      <x:c r="AS324" s="23" t="n">
        <x:v>0</x:v>
      </x:c>
      <x:c r="AT324" s="23" t="n">
        <x:v>0</x:v>
      </x:c>
    </x:row>
    <x:row r="325" ht="64" customHeight="1">
      <x:c r="A325" s="10" t="str">
        <x:v>IEK</x:v>
      </x:c>
      <x:c r="B325" s="34" t="str">
        <x:v>030200902_</x:v>
      </x:c>
      <x:c r="C325" s="34" t="str">
        <x:v>BR-M42-G-K10</x:v>
      </x:c>
      <x:c r="D325" s="13" t="str">
        <x:v>Рамка 4-мест. "BRITE" стекло ванильный (1/50)</x:v>
      </x:c>
      <x:c r="E325" s="10" t="str">
        <x:v>шт</x:v>
      </x:c>
      <x:c r="F325" s="37" t="n">
        <x:f>MAX(0,ROUNDDOWN((AG325-AF325)/AR325+0.000000001,0)*AR325)</x:f>
        <x:v>8</x:v>
      </x:c>
      <x:c r="G325" s="21" t="str">
        <x:f>IF(J325="Рассчитано",V325*(1-R325/100)-W325-P325-Q325,"н/д")</x:f>
        <x:v>н/д</x:v>
      </x:c>
      <x:c r="H325" s="13" t="str">
        <x:v>Высокий</x:v>
      </x:c>
      <x:c r="I325" s="13" t="str">
        <x:v>Высокий</x:v>
      </x:c>
      <x:c r="J325" s="13" t="str">
        <x:f>IF(L325="","Укажите валюту",IF(NOT(ISNUMBER(K325)),"Укажите объём",IF(K325&lt;=0,"Укажите объём",IF(K325&gt;F325,"Объём выше излишка",IF(COUNT(M325:O325)&lt;3,"Нужны цены",IF(COUNT(P325:R325)&lt;3,"Нужны расходы",IF(OR(M325&lt;0,N325&lt;0,O325&lt;0,O325&gt;100,P325&lt;0,Q325&lt;0,R325&lt;0,R325&gt;100),"Проверьте значения","Рассчитано")))))))</x:f>
        <x:v>Нужны цены</x:v>
      </x:c>
      <x:c r="K325" s="36" t="n">
        <x:v>8</x:v>
      </x:c>
      <x:c r="L325" s="19" t="str">
        <x:v>KZT</x:v>
      </x:c>
      <x:c r="M325" s="22"/>
      <x:c r="N325" s="22"/>
      <x:c r="O325" s="28"/>
      <x:c r="P325" s="22"/>
      <x:c r="Q325" s="22"/>
      <x:c r="R325" s="28"/>
      <x:c r="S325" s="22"/>
      <x:c r="T325" s="37" t="n">
        <x:f>K325</x:f>
        <x:v>8</x:v>
      </x:c>
      <x:c r="U325" s="21" t="str">
        <x:f>IF(J325="Рассчитано",N325*(1-O325/100),"н/д")</x:f>
        <x:v>н/д</x:v>
      </x:c>
      <x:c r="V325" s="21" t="str">
        <x:f>IF(J325="Рассчитано",T325*U325,"н/д")</x:f>
        <x:v>н/д</x:v>
      </x:c>
      <x:c r="W325" s="21" t="str">
        <x:f>IF(J325="Рассчитано",T325*M325,"н/д")</x:f>
        <x:v>н/д</x:v>
      </x:c>
      <x:c r="X325" s="21" t="str">
        <x:f>IF(J325="Рассчитано",V325-W325,"н/д")</x:f>
        <x:v>н/д</x:v>
      </x:c>
      <x:c r="Y325" s="27" t="str">
        <x:f>IF(J325="Рассчитано",IF(V325&gt;0,G325/V325,"н/д"),"н/д")</x:f>
        <x:v>н/д</x:v>
      </x:c>
      <x:c r="Z325" s="21" t="str">
        <x:f>"н/д"</x:f>
        <x:v>н/д</x:v>
      </x:c>
      <x:c r="AA325" s="21" t="str">
        <x:f>"н/д"</x:f>
        <x:v>н/д</x:v>
      </x:c>
      <x:c r="AB325" s="21" t="str">
        <x:f>"н/д"</x:f>
        <x:v>н/д</x:v>
      </x:c>
      <x:c r="AC325" s="21" t="str">
        <x:f>IF(AND(J325="Рассчитано",T325&gt;0,R325&lt;100),(W325+P325+Q325)/(T325*(1-R325/100)),"н/д")</x:f>
        <x:v>н/д</x:v>
      </x:c>
      <x:c r="AD325" s="10" t="str">
        <x:f>IF(ISNUMBER(G325),IF(G325&lt;0,"Убыток",IF(G325=0,"Без прибыли","Прибыль &gt; 0")),"Не оценён")</x:f>
        <x:v>Не оценён</x:v>
      </x:c>
      <x:c r="AE325" s="13" t="str">
        <x:f>IF(J325="Рассчитано","Выручка "&amp;TEXT(V325,"0.00")&amp;" - себестоимость "&amp;TEXT(W325,"0.00")&amp;" - комиссия "&amp;TEXT(V325*R325/100,"0.00")&amp;" - доставка "&amp;TEXT(P325,"0.00")&amp;" - прочие "&amp;TEXT(Q325,"0.00")&amp;" = "&amp;TEXT(G325,"0.00")&amp;" "&amp;L325,"Введите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5" s="24" t="n">
        <x:v>3.324640859524686</x:v>
      </x:c>
      <x:c r="AG325" s="37" t="n">
        <x:v>12</x:v>
      </x:c>
      <x:c r="AH325" s="37" t="n">
        <x:v>0</x:v>
      </x:c>
      <x:c r="AI325" s="30" t="n">
        <x:v>46266</x:v>
      </x:c>
      <x:c r="AJ325" s="37" t="n">
        <x:v>1</x:v>
      </x:c>
      <x:c r="AK325" s="10" t="str">
        <x:v>минимум</x:v>
      </x:c>
      <x:c r="AL325" s="32" t="n">
        <x:v>306.9414583888143</x:v>
      </x:c>
      <x:c r="AM32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25" s="13" t="str">
        <x:v>Проверить свободный остаток и установить цену для B2B</x:v>
      </x:c>
      <x:c r="AO325" s="13" t="str">
        <x:v>Остаток 12; прогноз 90 дней 3.32; избыток 8 шт. Будущие поступления не выставляются на продажу. Остаток на начало сентября: требуется актуализация.</x:v>
      </x:c>
      <x:c r="AP325" s="13" t="str">
        <x:v>["category_missing", "daily_stockout_data_missing", "negative_net_sales_clipped_for_forecast", "new_order_lead_time_unknown", "reservations_unknown", "stale_stock"]</x:v>
      </x:c>
      <x:c r="AQ325" s="10" t="str">
        <x:v>IEK:030200902_</x:v>
      </x:c>
      <x:c r="AR325" s="24" t="n">
        <x:v>1</x:v>
      </x:c>
      <x:c r="AS325" s="24" t="n">
        <x:v>0</x:v>
      </x:c>
      <x:c r="AT325" s="24" t="n">
        <x:v>0</x:v>
      </x:c>
    </x:row>
    <x:row r="326" ht="64" customHeight="1">
      <x:c r="A326" s="11" t="str">
        <x:v>IEK</x:v>
      </x:c>
      <x:c r="B326" s="33" t="str">
        <x:v>030200903_</x:v>
      </x:c>
      <x:c r="C326" s="33" t="str">
        <x:v>BR-M42-G-K30</x:v>
      </x:c>
      <x:c r="D326" s="12" t="str">
        <x:v>Рамка 4-мест. "BRITE" стекло дымчатый (1/50)</x:v>
      </x:c>
      <x:c r="E326" s="11" t="str">
        <x:v>шт</x:v>
      </x:c>
      <x:c r="F326" s="35" t="n">
        <x:f>MAX(0,ROUNDDOWN((AG326-AF326)/AR326+0.000000001,0)*AR326)</x:f>
        <x:v>23</x:v>
      </x:c>
      <x:c r="G326" s="20" t="str">
        <x:f>IF(J326="Рассчитано",V326*(1-R326/100)-W326-P326-Q326,"н/д")</x:f>
        <x:v>н/д</x:v>
      </x:c>
      <x:c r="H326" s="12" t="str">
        <x:v>Высокий</x:v>
      </x:c>
      <x:c r="I326" s="12" t="str">
        <x:v>Высокий</x:v>
      </x:c>
      <x:c r="J326" s="12" t="str">
        <x:f>IF(L326="","Укажите валюту",IF(NOT(ISNUMBER(K326)),"Укажите объём",IF(K326&lt;=0,"Укажите объём",IF(K326&gt;F326,"Объём выше излишка",IF(COUNT(M326:O326)&lt;3,"Нужны цены",IF(COUNT(P326:R326)&lt;3,"Нужны расходы",IF(OR(M326&lt;0,N326&lt;0,O326&lt;0,O326&gt;100,P326&lt;0,Q326&lt;0,R326&lt;0,R326&gt;100),"Проверьте значения","Рассчитано")))))))</x:f>
        <x:v>Нужны цены</x:v>
      </x:c>
      <x:c r="K326" s="36" t="n">
        <x:v>23</x:v>
      </x:c>
      <x:c r="L326" s="19" t="str">
        <x:v>KZT</x:v>
      </x:c>
      <x:c r="M326" s="22"/>
      <x:c r="N326" s="22"/>
      <x:c r="O326" s="28"/>
      <x:c r="P326" s="22"/>
      <x:c r="Q326" s="22"/>
      <x:c r="R326" s="28"/>
      <x:c r="S326" s="22"/>
      <x:c r="T326" s="35" t="n">
        <x:f>K326</x:f>
        <x:v>23</x:v>
      </x:c>
      <x:c r="U326" s="20" t="str">
        <x:f>IF(J326="Рассчитано",N326*(1-O326/100),"н/д")</x:f>
        <x:v>н/д</x:v>
      </x:c>
      <x:c r="V326" s="20" t="str">
        <x:f>IF(J326="Рассчитано",T326*U326,"н/д")</x:f>
        <x:v>н/д</x:v>
      </x:c>
      <x:c r="W326" s="20" t="str">
        <x:f>IF(J326="Рассчитано",T326*M326,"н/д")</x:f>
        <x:v>н/д</x:v>
      </x:c>
      <x:c r="X326" s="20" t="str">
        <x:f>IF(J326="Рассчитано",V326-W326,"н/д")</x:f>
        <x:v>н/д</x:v>
      </x:c>
      <x:c r="Y326" s="26" t="str">
        <x:f>IF(J326="Рассчитано",IF(V326&gt;0,G326/V326,"н/д"),"н/д")</x:f>
        <x:v>н/д</x:v>
      </x:c>
      <x:c r="Z326" s="20" t="str">
        <x:f>"н/д"</x:f>
        <x:v>н/д</x:v>
      </x:c>
      <x:c r="AA326" s="20" t="str">
        <x:f>"н/д"</x:f>
        <x:v>н/д</x:v>
      </x:c>
      <x:c r="AB326" s="20" t="str">
        <x:f>"н/д"</x:f>
        <x:v>н/д</x:v>
      </x:c>
      <x:c r="AC326" s="20" t="str">
        <x:f>IF(AND(J326="Рассчитано",T326&gt;0,R326&lt;100),(W326+P326+Q326)/(T326*(1-R326/100)),"н/д")</x:f>
        <x:v>н/д</x:v>
      </x:c>
      <x:c r="AD326" s="11" t="str">
        <x:f>IF(ISNUMBER(G326),IF(G326&lt;0,"Убыток",IF(G326=0,"Без прибыли","Прибыль &gt; 0")),"Не оценён")</x:f>
        <x:v>Не оценён</x:v>
      </x:c>
      <x:c r="AE326" s="12" t="str">
        <x:f>IF(J326="Рассчитано","Выручка "&amp;TEXT(V326,"0.00")&amp;" - себестоимость "&amp;TEXT(W326,"0.00")&amp;" - комиссия "&amp;TEXT(V326*R326/100,"0.00")&amp;" - доставка "&amp;TEXT(P326,"0.00")&amp;" - прочие "&amp;TEXT(Q326,"0.00")&amp;" = "&amp;TEXT(G326,"0.00")&amp;" "&amp;L326,"Введите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6" s="23" t="n">
        <x:v>2.1182761203673297</x:v>
      </x:c>
      <x:c r="AG326" s="35" t="n">
        <x:v>26</x:v>
      </x:c>
      <x:c r="AH326" s="35" t="n">
        <x:v>0</x:v>
      </x:c>
      <x:c r="AI326" s="29" t="n">
        <x:v>46266</x:v>
      </x:c>
      <x:c r="AJ326" s="35" t="n">
        <x:v>1</x:v>
      </x:c>
      <x:c r="AK326" s="11" t="str">
        <x:v>минимум</x:v>
      </x:c>
      <x:c r="AL326" s="31" t="n">
        <x:v>1043.7820448261216</x:v>
      </x:c>
      <x:c r="AM32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26" s="12" t="str">
        <x:v>Проверить свободный остаток и установить цену для B2B</x:v>
      </x:c>
      <x:c r="AO326" s="12" t="str">
        <x:v>Остаток 26; прогноз 90 дней 2.12; избыток 23 шт. Будущие поступления не выставляются на продажу. Остаток на начало сентября: требуется актуализация.</x:v>
      </x:c>
      <x:c r="AP326" s="12" t="str">
        <x:v>["category_missing", "daily_stockout_data_missing", "negative_net_sales_clipped_for_forecast", "new_order_lead_time_unknown", "reservations_unknown", "stale_stock"]</x:v>
      </x:c>
      <x:c r="AQ326" s="11" t="str">
        <x:v>IEK:030200903_</x:v>
      </x:c>
      <x:c r="AR326" s="23" t="n">
        <x:v>1</x:v>
      </x:c>
      <x:c r="AS326" s="23" t="n">
        <x:v>0</x:v>
      </x:c>
      <x:c r="AT326" s="23" t="n">
        <x:v>0</x:v>
      </x:c>
    </x:row>
    <x:row r="327" ht="64" customHeight="1">
      <x:c r="A327" s="10" t="str">
        <x:v>IEK</x:v>
      </x:c>
      <x:c r="B327" s="34" t="str">
        <x:v>030200904_</x:v>
      </x:c>
      <x:c r="C327" s="34" t="str">
        <x:v>BR-M42-G-K45</x:v>
      </x:c>
      <x:c r="D327" s="13" t="str">
        <x:v>Рамка 4-мест. "BRITE" стекло темная бронза (1/50)</x:v>
      </x:c>
      <x:c r="E327" s="10" t="str">
        <x:v>шт</x:v>
      </x:c>
      <x:c r="F327" s="37" t="n">
        <x:f>MAX(0,ROUNDDOWN((AG327-AF327)/AR327+0.000000001,0)*AR327)</x:f>
        <x:v>3</x:v>
      </x:c>
      <x:c r="G327" s="21" t="str">
        <x:f>IF(J327="Рассчитано",V327*(1-R327/100)-W327-P327-Q327,"н/д")</x:f>
        <x:v>н/д</x:v>
      </x:c>
      <x:c r="H327" s="13" t="str">
        <x:v>Высокий</x:v>
      </x:c>
      <x:c r="I327" s="13" t="str">
        <x:v>Высокий</x:v>
      </x:c>
      <x:c r="J327" s="13" t="str">
        <x:f>IF(L327="","Укажите валюту",IF(NOT(ISNUMBER(K327)),"Укажите объём",IF(K327&lt;=0,"Укажите объём",IF(K327&gt;F327,"Объём выше излишка",IF(COUNT(M327:O327)&lt;3,"Нужны цены",IF(COUNT(P327:R327)&lt;3,"Нужны расходы",IF(OR(M327&lt;0,N327&lt;0,O327&lt;0,O327&gt;100,P327&lt;0,Q327&lt;0,R327&lt;0,R327&gt;100),"Проверьте значения","Рассчитано")))))))</x:f>
        <x:v>Нужны цены</x:v>
      </x:c>
      <x:c r="K327" s="36" t="n">
        <x:v>3</x:v>
      </x:c>
      <x:c r="L327" s="19" t="str">
        <x:v>KZT</x:v>
      </x:c>
      <x:c r="M327" s="22"/>
      <x:c r="N327" s="22"/>
      <x:c r="O327" s="28"/>
      <x:c r="P327" s="22"/>
      <x:c r="Q327" s="22"/>
      <x:c r="R327" s="28"/>
      <x:c r="S327" s="22"/>
      <x:c r="T327" s="37" t="n">
        <x:f>K327</x:f>
        <x:v>3</x:v>
      </x:c>
      <x:c r="U327" s="21" t="str">
        <x:f>IF(J327="Рассчитано",N327*(1-O327/100),"н/д")</x:f>
        <x:v>н/д</x:v>
      </x:c>
      <x:c r="V327" s="21" t="str">
        <x:f>IF(J327="Рассчитано",T327*U327,"н/д")</x:f>
        <x:v>н/д</x:v>
      </x:c>
      <x:c r="W327" s="21" t="str">
        <x:f>IF(J327="Рассчитано",T327*M327,"н/д")</x:f>
        <x:v>н/д</x:v>
      </x:c>
      <x:c r="X327" s="21" t="str">
        <x:f>IF(J327="Рассчитано",V327-W327,"н/д")</x:f>
        <x:v>н/д</x:v>
      </x:c>
      <x:c r="Y327" s="27" t="str">
        <x:f>IF(J327="Рассчитано",IF(V327&gt;0,G327/V327,"н/д"),"н/д")</x:f>
        <x:v>н/д</x:v>
      </x:c>
      <x:c r="Z327" s="21" t="str">
        <x:f>"н/д"</x:f>
        <x:v>н/д</x:v>
      </x:c>
      <x:c r="AA327" s="21" t="str">
        <x:f>"н/д"</x:f>
        <x:v>н/д</x:v>
      </x:c>
      <x:c r="AB327" s="21" t="str">
        <x:f>"н/д"</x:f>
        <x:v>н/д</x:v>
      </x:c>
      <x:c r="AC327" s="21" t="str">
        <x:f>IF(AND(J327="Рассчитано",T327&gt;0,R327&lt;100),(W327+P327+Q327)/(T327*(1-R327/100)),"н/д")</x:f>
        <x:v>н/д</x:v>
      </x:c>
      <x:c r="AD327" s="10" t="str">
        <x:f>IF(ISNUMBER(G327),IF(G327&lt;0,"Убыток",IF(G327=0,"Без прибыли","Прибыль &gt; 0")),"Не оценён")</x:f>
        <x:v>Не оценён</x:v>
      </x:c>
      <x:c r="AE327" s="13" t="str">
        <x:f>IF(J327="Рассчитано","Выручка "&amp;TEXT(V327,"0.00")&amp;" - себестоимость "&amp;TEXT(W327,"0.00")&amp;" - комиссия "&amp;TEXT(V327*R327/100,"0.00")&amp;" - доставка "&amp;TEXT(P327,"0.00")&amp;" - прочие "&amp;TEXT(Q327,"0.00")&amp;" = "&amp;TEXT(G327,"0.00")&amp;" "&amp;L327,"Введите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7" s="24" t="n">
        <x:v>0.22996740518132958</x:v>
      </x:c>
      <x:c r="AG327" s="37" t="n">
        <x:v>4</x:v>
      </x:c>
      <x:c r="AH327" s="37" t="n">
        <x:v>0</x:v>
      </x:c>
      <x:c r="AI327" s="30" t="n">
        <x:v>46266</x:v>
      </x:c>
      <x:c r="AJ327" s="37" t="n">
        <x:v>1</x:v>
      </x:c>
      <x:c r="AK327" s="10" t="str">
        <x:v>минимум</x:v>
      </x:c>
      <x:c r="AL327" s="32" t="n">
        <x:v>1479.1518146334806</x:v>
      </x:c>
      <x:c r="AM32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27" s="13" t="str">
        <x:v>Проверить свободный остаток и установить цену для B2B</x:v>
      </x:c>
      <x:c r="AO327" s="13" t="str">
        <x:v>Остаток 4; прогноз 90 дней 0.23; избыток 3 шт. Будущие поступления не выставляются на продажу. Остаток на начало сентября: требуется актуализация.</x:v>
      </x:c>
      <x:c r="AP327" s="13" t="str">
        <x:v>["category_missing", "daily_stockout_data_missing", "negative_net_sales_clipped_for_forecast", "new_order_lead_time_unknown", "reservations_unknown", "stale_stock"]</x:v>
      </x:c>
      <x:c r="AQ327" s="10" t="str">
        <x:v>IEK:030200904_</x:v>
      </x:c>
      <x:c r="AR327" s="24" t="n">
        <x:v>1</x:v>
      </x:c>
      <x:c r="AS327" s="24" t="n">
        <x:v>0</x:v>
      </x:c>
      <x:c r="AT327" s="24" t="n">
        <x:v>0</x:v>
      </x:c>
    </x:row>
    <x:row r="328" ht="64" customHeight="1">
      <x:c r="A328" s="11" t="str">
        <x:v>IEK</x:v>
      </x:c>
      <x:c r="B328" s="33" t="str">
        <x:v>030200905_</x:v>
      </x:c>
      <x:c r="C328" s="33" t="str">
        <x:v>BR-VK10-0-K01</x:v>
      </x:c>
      <x:c r="D328" s="12" t="str">
        <x:v>Вывод кабеля "BRITE" белый (1/200)</x:v>
      </x:c>
      <x:c r="E328" s="11" t="str">
        <x:v>шт</x:v>
      </x:c>
      <x:c r="F328" s="35" t="n">
        <x:f>MAX(0,ROUNDDOWN((AG328-AF328)/AR328+0.000000001,0)*AR328)</x:f>
        <x:v>17</x:v>
      </x:c>
      <x:c r="G328" s="20" t="str">
        <x:f>IF(J328="Рассчитано",V328*(1-R328/100)-W328-P328-Q328,"н/д")</x:f>
        <x:v>н/д</x:v>
      </x:c>
      <x:c r="H328" s="12" t="str">
        <x:v>Высокий</x:v>
      </x:c>
      <x:c r="I328" s="12" t="str">
        <x:v>Высокий</x:v>
      </x:c>
      <x:c r="J328" s="12" t="str">
        <x:f>IF(L328="","Укажите валюту",IF(NOT(ISNUMBER(K328)),"Укажите объём",IF(K328&lt;=0,"Укажите объём",IF(K328&gt;F328,"Объём выше излишка",IF(COUNT(M328:O328)&lt;3,"Нужны цены",IF(COUNT(P328:R328)&lt;3,"Нужны расходы",IF(OR(M328&lt;0,N328&lt;0,O328&lt;0,O328&gt;100,P328&lt;0,Q328&lt;0,R328&lt;0,R328&gt;100),"Проверьте значения","Рассчитано")))))))</x:f>
        <x:v>Нужны цены</x:v>
      </x:c>
      <x:c r="K328" s="36" t="n">
        <x:v>17</x:v>
      </x:c>
      <x:c r="L328" s="19" t="str">
        <x:v>KZT</x:v>
      </x:c>
      <x:c r="M328" s="22"/>
      <x:c r="N328" s="22"/>
      <x:c r="O328" s="28"/>
      <x:c r="P328" s="22"/>
      <x:c r="Q328" s="22"/>
      <x:c r="R328" s="28"/>
      <x:c r="S328" s="22"/>
      <x:c r="T328" s="35" t="n">
        <x:f>K328</x:f>
        <x:v>17</x:v>
      </x:c>
      <x:c r="U328" s="20" t="str">
        <x:f>IF(J328="Рассчитано",N328*(1-O328/100),"н/д")</x:f>
        <x:v>н/д</x:v>
      </x:c>
      <x:c r="V328" s="20" t="str">
        <x:f>IF(J328="Рассчитано",T328*U328,"н/д")</x:f>
        <x:v>н/д</x:v>
      </x:c>
      <x:c r="W328" s="20" t="str">
        <x:f>IF(J328="Рассчитано",T328*M328,"н/д")</x:f>
        <x:v>н/д</x:v>
      </x:c>
      <x:c r="X328" s="20" t="str">
        <x:f>IF(J328="Рассчитано",V328-W328,"н/д")</x:f>
        <x:v>н/д</x:v>
      </x:c>
      <x:c r="Y328" s="26" t="str">
        <x:f>IF(J328="Рассчитано",IF(V328&gt;0,G328/V328,"н/д"),"н/д")</x:f>
        <x:v>н/д</x:v>
      </x:c>
      <x:c r="Z328" s="20" t="str">
        <x:f>"н/д"</x:f>
        <x:v>н/д</x:v>
      </x:c>
      <x:c r="AA328" s="20" t="str">
        <x:f>"н/д"</x:f>
        <x:v>н/д</x:v>
      </x:c>
      <x:c r="AB328" s="20" t="str">
        <x:f>"н/д"</x:f>
        <x:v>н/д</x:v>
      </x:c>
      <x:c r="AC328" s="20" t="str">
        <x:f>IF(AND(J328="Рассчитано",T328&gt;0,R328&lt;100),(W328+P328+Q328)/(T328*(1-R328/100)),"н/д")</x:f>
        <x:v>н/д</x:v>
      </x:c>
      <x:c r="AD328" s="11" t="str">
        <x:f>IF(ISNUMBER(G328),IF(G328&lt;0,"Убыток",IF(G328=0,"Без прибыли","Прибыль &gt; 0")),"Не оценён")</x:f>
        <x:v>Не оценён</x:v>
      </x:c>
      <x:c r="AE328" s="12" t="str">
        <x:f>IF(J328="Рассчитано","Выручка "&amp;TEXT(V328,"0.00")&amp;" - себестоимость "&amp;TEXT(W328,"0.00")&amp;" - комиссия "&amp;TEXT(V328*R328/100,"0.00")&amp;" - доставка "&amp;TEXT(P328,"0.00")&amp;" - прочие "&amp;TEXT(Q328,"0.00")&amp;" = "&amp;TEXT(G328,"0.00")&amp;" "&amp;L328,"Введите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8" s="23" t="n">
        <x:v>9.557009626422788</x:v>
      </x:c>
      <x:c r="AG328" s="35" t="n">
        <x:v>27</x:v>
      </x:c>
      <x:c r="AH328" s="35" t="n">
        <x:v>0</x:v>
      </x:c>
      <x:c r="AI328" s="29" t="n">
        <x:v>46266</x:v>
      </x:c>
      <x:c r="AJ328" s="35" t="n">
        <x:v>1</x:v>
      </x:c>
      <x:c r="AK328" s="11" t="str">
        <x:v>минимум</x:v>
      </x:c>
      <x:c r="AL328" s="31" t="n">
        <x:v>240.24855538969527</x:v>
      </x:c>
      <x:c r="AM32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28" s="12" t="str">
        <x:v>Проверить свободный остаток и установить цену для B2B</x:v>
      </x:c>
      <x:c r="AO328" s="12" t="str">
        <x:v>Остаток 27; прогноз 90 дней 9.56; избыток 17 шт. Будущие поступления не выставляются на продажу. Остаток на начало сентября: требуется актуализация.</x:v>
      </x:c>
      <x:c r="AP328" s="12" t="str">
        <x:v>["category_missing", "daily_stockout_data_missing", "new_order_lead_time_unknown", "reservations_unknown", "stale_stock"]</x:v>
      </x:c>
      <x:c r="AQ328" s="11" t="str">
        <x:v>IEK:030200905_</x:v>
      </x:c>
      <x:c r="AR328" s="23" t="n">
        <x:v>1</x:v>
      </x:c>
      <x:c r="AS328" s="23" t="n">
        <x:v>0</x:v>
      </x:c>
      <x:c r="AT328" s="23" t="n">
        <x:v>0</x:v>
      </x:c>
    </x:row>
    <x:row r="329" ht="64" customHeight="1">
      <x:c r="A329" s="10" t="str">
        <x:v>IEK</x:v>
      </x:c>
      <x:c r="B329" s="34" t="str">
        <x:v>030200908_</x:v>
      </x:c>
      <x:c r="C329" s="34" t="str">
        <x:v>BR-VK10-0-K47</x:v>
      </x:c>
      <x:c r="D329" s="13" t="str">
        <x:v>Вывод кабеля "BRITE" алюминий (1/200)</x:v>
      </x:c>
      <x:c r="E329" s="10" t="str">
        <x:v>шт</x:v>
      </x:c>
      <x:c r="F329" s="37" t="n">
        <x:f>MAX(0,ROUNDDOWN((AG329-AF329)/AR329+0.000000001,0)*AR329)</x:f>
        <x:v>1</x:v>
      </x:c>
      <x:c r="G329" s="21" t="str">
        <x:f>IF(J329="Рассчитано",V329*(1-R329/100)-W329-P329-Q329,"н/д")</x:f>
        <x:v>н/д</x:v>
      </x:c>
      <x:c r="H329" s="13" t="str">
        <x:v>Высокий</x:v>
      </x:c>
      <x:c r="I329" s="13" t="str">
        <x:v>Средний</x:v>
      </x:c>
      <x:c r="J329" s="13" t="str">
        <x:f>IF(L329="","Укажите валюту",IF(NOT(ISNUMBER(K329)),"Укажите объём",IF(K329&lt;=0,"Укажите объём",IF(K329&gt;F329,"Объём выше излишка",IF(COUNT(M329:O329)&lt;3,"Нужны цены",IF(COUNT(P329:R329)&lt;3,"Нужны расходы",IF(OR(M329&lt;0,N329&lt;0,O329&lt;0,O329&gt;100,P329&lt;0,Q329&lt;0,R329&lt;0,R329&gt;100),"Проверьте значения","Рассчитано")))))))</x:f>
        <x:v>Нужны цены</x:v>
      </x:c>
      <x:c r="K329" s="36" t="n">
        <x:v>1</x:v>
      </x:c>
      <x:c r="L329" s="19" t="str">
        <x:v>KZT</x:v>
      </x:c>
      <x:c r="M329" s="22"/>
      <x:c r="N329" s="22"/>
      <x:c r="O329" s="28"/>
      <x:c r="P329" s="22"/>
      <x:c r="Q329" s="22"/>
      <x:c r="R329" s="28"/>
      <x:c r="S329" s="22"/>
      <x:c r="T329" s="37" t="n">
        <x:f>K329</x:f>
        <x:v>1</x:v>
      </x:c>
      <x:c r="U329" s="21" t="str">
        <x:f>IF(J329="Рассчитано",N329*(1-O329/100),"н/д")</x:f>
        <x:v>н/д</x:v>
      </x:c>
      <x:c r="V329" s="21" t="str">
        <x:f>IF(J329="Рассчитано",T329*U329,"н/д")</x:f>
        <x:v>н/д</x:v>
      </x:c>
      <x:c r="W329" s="21" t="str">
        <x:f>IF(J329="Рассчитано",T329*M329,"н/д")</x:f>
        <x:v>н/д</x:v>
      </x:c>
      <x:c r="X329" s="21" t="str">
        <x:f>IF(J329="Рассчитано",V329-W329,"н/д")</x:f>
        <x:v>н/д</x:v>
      </x:c>
      <x:c r="Y329" s="27" t="str">
        <x:f>IF(J329="Рассчитано",IF(V329&gt;0,G329/V329,"н/д"),"н/д")</x:f>
        <x:v>н/д</x:v>
      </x:c>
      <x:c r="Z329" s="21" t="str">
        <x:f>"н/д"</x:f>
        <x:v>н/д</x:v>
      </x:c>
      <x:c r="AA329" s="21" t="str">
        <x:f>"н/д"</x:f>
        <x:v>н/д</x:v>
      </x:c>
      <x:c r="AB329" s="21" t="str">
        <x:f>"н/д"</x:f>
        <x:v>н/д</x:v>
      </x:c>
      <x:c r="AC329" s="21" t="str">
        <x:f>IF(AND(J329="Рассчитано",T329&gt;0,R329&lt;100),(W329+P329+Q329)/(T329*(1-R329/100)),"н/д")</x:f>
        <x:v>н/д</x:v>
      </x:c>
      <x:c r="AD329" s="10" t="str">
        <x:f>IF(ISNUMBER(G329),IF(G329&lt;0,"Убыток",IF(G329=0,"Без прибыли","Прибыль &gt; 0")),"Не оценён")</x:f>
        <x:v>Не оценён</x:v>
      </x:c>
      <x:c r="AE329" s="13" t="str">
        <x:f>IF(J329="Рассчитано","Выручка "&amp;TEXT(V329,"0.00")&amp;" - себестоимость "&amp;TEXT(W329,"0.00")&amp;" - комиссия "&amp;TEXT(V329*R329/100,"0.00")&amp;" - доставка "&amp;TEXT(P329,"0.00")&amp;" - прочие "&amp;TEXT(Q329,"0.00")&amp;" = "&amp;TEXT(G329,"0.00")&amp;" "&amp;L329,"Введите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9" s="24" t="n">
        <x:v>2.5437382738591126</x:v>
      </x:c>
      <x:c r="AG329" s="37" t="n">
        <x:v>4</x:v>
      </x:c>
      <x:c r="AH329" s="37" t="n">
        <x:v>0</x:v>
      </x:c>
      <x:c r="AI329" s="30" t="n">
        <x:v>46266</x:v>
      </x:c>
      <x:c r="AJ329" s="37" t="n">
        <x:v>1</x:v>
      </x:c>
      <x:c r="AK329" s="10" t="str">
        <x:v>минимум</x:v>
      </x:c>
      <x:c r="AL329" s="32" t="n">
        <x:v>133.72315390154685</x:v>
      </x:c>
      <x:c r="AM329" s="13" t="str">
        <x:v>Остаток на начало сентября; Резервы неизвестны; Нет ежедневных данных доступности. Запас выше прогноза на 90 дней</x:v>
      </x:c>
      <x:c r="AN329" s="13" t="str">
        <x:v>Проверить свободный остаток и установить цену для B2B</x:v>
      </x:c>
      <x:c r="AO329" s="13" t="str">
        <x:v>Остаток 4; прогноз 90 дней 2.54; избыток 1 шт. Будущие поступления не выставляются на продажу. Остаток на начало сентября: требуется актуализация.</x:v>
      </x:c>
      <x:c r="AP329" s="13" t="str">
        <x:v>["category_missing", "daily_stockout_data_missing", "new_order_lead_time_unknown", "reservations_unknown", "stale_stock"]</x:v>
      </x:c>
      <x:c r="AQ329" s="10" t="str">
        <x:v>IEK:030200908_</x:v>
      </x:c>
      <x:c r="AR329" s="24" t="n">
        <x:v>1</x:v>
      </x:c>
      <x:c r="AS329" s="24" t="n">
        <x:v>0</x:v>
      </x:c>
      <x:c r="AT329" s="24" t="n">
        <x:v>0</x:v>
      </x:c>
    </x:row>
    <x:row r="330" ht="64" customHeight="1">
      <x:c r="A330" s="11" t="str">
        <x:v>IEK</x:v>
      </x:c>
      <x:c r="B330" s="33" t="str">
        <x:v>030200909_</x:v>
      </x:c>
      <x:c r="C330" s="33" t="str">
        <x:v>BR-VK10-0-K46</x:v>
      </x:c>
      <x:c r="D330" s="12" t="str">
        <x:v>Вывод кабеля "BRITE" сталь (1/200)</x:v>
      </x:c>
      <x:c r="E330" s="11" t="str">
        <x:v>шт</x:v>
      </x:c>
      <x:c r="F330" s="35" t="n">
        <x:f>MAX(0,ROUNDDOWN((AG330-AF330)/AR330+0.000000001,0)*AR330)</x:f>
        <x:v>1</x:v>
      </x:c>
      <x:c r="G330" s="20" t="str">
        <x:f>IF(J330="Рассчитано",V330*(1-R330/100)-W330-P330-Q330,"н/д")</x:f>
        <x:v>н/д</x:v>
      </x:c>
      <x:c r="H330" s="12" t="str">
        <x:v>Высокий</x:v>
      </x:c>
      <x:c r="I330" s="12" t="str">
        <x:v>Средний</x:v>
      </x:c>
      <x:c r="J330" s="12" t="str">
        <x:f>IF(L330="","Укажите валюту",IF(NOT(ISNUMBER(K330)),"Укажите объём",IF(K330&lt;=0,"Укажите объём",IF(K330&gt;F330,"Объём выше излишка",IF(COUNT(M330:O330)&lt;3,"Нужны цены",IF(COUNT(P330:R330)&lt;3,"Нужны расходы",IF(OR(M330&lt;0,N330&lt;0,O330&lt;0,O330&gt;100,P330&lt;0,Q330&lt;0,R330&lt;0,R330&gt;100),"Проверьте значения","Рассчитано")))))))</x:f>
        <x:v>Нужны цены</x:v>
      </x:c>
      <x:c r="K330" s="36" t="n">
        <x:v>1</x:v>
      </x:c>
      <x:c r="L330" s="19" t="str">
        <x:v>KZT</x:v>
      </x:c>
      <x:c r="M330" s="22"/>
      <x:c r="N330" s="22"/>
      <x:c r="O330" s="28"/>
      <x:c r="P330" s="22"/>
      <x:c r="Q330" s="22"/>
      <x:c r="R330" s="28"/>
      <x:c r="S330" s="22"/>
      <x:c r="T330" s="35" t="n">
        <x:f>K330</x:f>
        <x:v>1</x:v>
      </x:c>
      <x:c r="U330" s="20" t="str">
        <x:f>IF(J330="Рассчитано",N330*(1-O330/100),"н/д")</x:f>
        <x:v>н/д</x:v>
      </x:c>
      <x:c r="V330" s="20" t="str">
        <x:f>IF(J330="Рассчитано",T330*U330,"н/д")</x:f>
        <x:v>н/д</x:v>
      </x:c>
      <x:c r="W330" s="20" t="str">
        <x:f>IF(J330="Рассчитано",T330*M330,"н/д")</x:f>
        <x:v>н/д</x:v>
      </x:c>
      <x:c r="X330" s="20" t="str">
        <x:f>IF(J330="Рассчитано",V330-W330,"н/д")</x:f>
        <x:v>н/д</x:v>
      </x:c>
      <x:c r="Y330" s="26" t="str">
        <x:f>IF(J330="Рассчитано",IF(V330&gt;0,G330/V330,"н/д"),"н/д")</x:f>
        <x:v>н/д</x:v>
      </x:c>
      <x:c r="Z330" s="20" t="str">
        <x:f>"н/д"</x:f>
        <x:v>н/д</x:v>
      </x:c>
      <x:c r="AA330" s="20" t="str">
        <x:f>"н/д"</x:f>
        <x:v>н/д</x:v>
      </x:c>
      <x:c r="AB330" s="20" t="str">
        <x:f>"н/д"</x:f>
        <x:v>н/д</x:v>
      </x:c>
      <x:c r="AC330" s="20" t="str">
        <x:f>IF(AND(J330="Рассчитано",T330&gt;0,R330&lt;100),(W330+P330+Q330)/(T330*(1-R330/100)),"н/д")</x:f>
        <x:v>н/д</x:v>
      </x:c>
      <x:c r="AD330" s="11" t="str">
        <x:f>IF(ISNUMBER(G330),IF(G330&lt;0,"Убыток",IF(G330=0,"Без прибыли","Прибыль &gt; 0")),"Не оценён")</x:f>
        <x:v>Не оценён</x:v>
      </x:c>
      <x:c r="AE330" s="12" t="str">
        <x:f>IF(J330="Рассчитано","Выручка "&amp;TEXT(V330,"0.00")&amp;" - себестоимость "&amp;TEXT(W330,"0.00")&amp;" - комиссия "&amp;TEXT(V330*R330/100,"0.00")&amp;" - доставка "&amp;TEXT(P330,"0.00")&amp;" - прочие "&amp;TEXT(Q330,"0.00")&amp;" = "&amp;TEXT(G330,"0.00")&amp;" "&amp;L330,"Введите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0" s="23" t="n">
        <x:v>5.025444952901773</x:v>
      </x:c>
      <x:c r="AG330" s="35" t="n">
        <x:v>7</x:v>
      </x:c>
      <x:c r="AH330" s="35" t="n">
        <x:v>0</x:v>
      </x:c>
      <x:c r="AI330" s="29" t="n">
        <x:v>46266</x:v>
      </x:c>
      <x:c r="AJ330" s="35" t="n">
        <x:v>1</x:v>
      </x:c>
      <x:c r="AK330" s="11" t="str">
        <x:v>минимум</x:v>
      </x:c>
      <x:c r="AL330" s="31" t="n">
        <x:v>118.4520452954482</x:v>
      </x:c>
      <x:c r="AM33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330" s="12" t="str">
        <x:v>Проверить свободный остаток и установить цену для B2B</x:v>
      </x:c>
      <x:c r="AO330" s="12" t="str">
        <x:v>Остаток 7; прогноз 90 дней 5.03; избыток 1 шт. Будущие поступления не выставляются на продажу. Остаток на начало сентября: требуется актуализация.</x:v>
      </x:c>
      <x:c r="AP330" s="12" t="str">
        <x:v>["category_missing", "daily_stockout_data_missing", "large_orders_detected", "new_order_lead_time_unknown", "reservations_unknown", "stale_stock", "transaction_month_mismatch"]</x:v>
      </x:c>
      <x:c r="AQ330" s="11" t="str">
        <x:v>IEK:030200909_</x:v>
      </x:c>
      <x:c r="AR330" s="23" t="n">
        <x:v>1</x:v>
      </x:c>
      <x:c r="AS330" s="23" t="n">
        <x:v>0</x:v>
      </x:c>
      <x:c r="AT330" s="23" t="n">
        <x:v>0</x:v>
      </x:c>
    </x:row>
    <x:row r="331" ht="64" customHeight="1">
      <x:c r="A331" s="10" t="str">
        <x:v>IEK</x:v>
      </x:c>
      <x:c r="B331" s="34" t="str">
        <x:v>030200910_</x:v>
      </x:c>
      <x:c r="C331" s="34" t="str">
        <x:v>BR-VK10-0-K53</x:v>
      </x:c>
      <x:c r="D331" s="13" t="str">
        <x:v>Вывод кабеля "BRITE" графит (1/200)</x:v>
      </x:c>
      <x:c r="E331" s="10" t="str">
        <x:v>шт</x:v>
      </x:c>
      <x:c r="F331" s="37" t="n">
        <x:f>MAX(0,ROUNDDOWN((AG331-AF331)/AR331+0.000000001,0)*AR331)</x:f>
        <x:v>5</x:v>
      </x:c>
      <x:c r="G331" s="21" t="str">
        <x:f>IF(J331="Рассчитано",V331*(1-R331/100)-W331-P331-Q331,"н/д")</x:f>
        <x:v>н/д</x:v>
      </x:c>
      <x:c r="H331" s="13" t="str">
        <x:v>Высокий</x:v>
      </x:c>
      <x:c r="I331" s="13" t="str">
        <x:v>Высокий</x:v>
      </x:c>
      <x:c r="J331" s="13" t="str">
        <x:f>IF(L331="","Укажите валюту",IF(NOT(ISNUMBER(K331)),"Укажите объём",IF(K331&lt;=0,"Укажите объём",IF(K331&gt;F331,"Объём выше излишка",IF(COUNT(M331:O331)&lt;3,"Нужны цены",IF(COUNT(P331:R331)&lt;3,"Нужны расходы",IF(OR(M331&lt;0,N331&lt;0,O331&lt;0,O331&gt;100,P331&lt;0,Q331&lt;0,R331&lt;0,R331&gt;100),"Проверьте значения","Рассчитано")))))))</x:f>
        <x:v>Нужны цены</x:v>
      </x:c>
      <x:c r="K331" s="36" t="n">
        <x:v>5</x:v>
      </x:c>
      <x:c r="L331" s="19" t="str">
        <x:v>KZT</x:v>
      </x:c>
      <x:c r="M331" s="22"/>
      <x:c r="N331" s="22"/>
      <x:c r="O331" s="28"/>
      <x:c r="P331" s="22"/>
      <x:c r="Q331" s="22"/>
      <x:c r="R331" s="28"/>
      <x:c r="S331" s="22"/>
      <x:c r="T331" s="37" t="n">
        <x:f>K331</x:f>
        <x:v>5</x:v>
      </x:c>
      <x:c r="U331" s="21" t="str">
        <x:f>IF(J331="Рассчитано",N331*(1-O331/100),"н/д")</x:f>
        <x:v>н/д</x:v>
      </x:c>
      <x:c r="V331" s="21" t="str">
        <x:f>IF(J331="Рассчитано",T331*U331,"н/д")</x:f>
        <x:v>н/д</x:v>
      </x:c>
      <x:c r="W331" s="21" t="str">
        <x:f>IF(J331="Рассчитано",T331*M331,"н/д")</x:f>
        <x:v>н/д</x:v>
      </x:c>
      <x:c r="X331" s="21" t="str">
        <x:f>IF(J331="Рассчитано",V331-W331,"н/д")</x:f>
        <x:v>н/д</x:v>
      </x:c>
      <x:c r="Y331" s="27" t="str">
        <x:f>IF(J331="Рассчитано",IF(V331&gt;0,G331/V331,"н/д"),"н/д")</x:f>
        <x:v>н/д</x:v>
      </x:c>
      <x:c r="Z331" s="21" t="str">
        <x:f>"н/д"</x:f>
        <x:v>н/д</x:v>
      </x:c>
      <x:c r="AA331" s="21" t="str">
        <x:f>"н/д"</x:f>
        <x:v>н/д</x:v>
      </x:c>
      <x:c r="AB331" s="21" t="str">
        <x:f>"н/д"</x:f>
        <x:v>н/д</x:v>
      </x:c>
      <x:c r="AC331" s="21" t="str">
        <x:f>IF(AND(J331="Рассчитано",T331&gt;0,R331&lt;100),(W331+P331+Q331)/(T331*(1-R331/100)),"н/д")</x:f>
        <x:v>н/д</x:v>
      </x:c>
      <x:c r="AD331" s="10" t="str">
        <x:f>IF(ISNUMBER(G331),IF(G331&lt;0,"Убыток",IF(G331=0,"Без прибыли","Прибыль &gt; 0")),"Не оценён")</x:f>
        <x:v>Не оценён</x:v>
      </x:c>
      <x:c r="AE331" s="13" t="str">
        <x:f>IF(J331="Рассчитано","Выручка "&amp;TEXT(V331,"0.00")&amp;" - себестоимость "&amp;TEXT(W331,"0.00")&amp;" - комиссия "&amp;TEXT(V331*R331/100,"0.00")&amp;" - доставка "&amp;TEXT(P331,"0.00")&amp;" - прочие "&amp;TEXT(Q331,"0.00")&amp;" = "&amp;TEXT(G331,"0.00")&amp;" "&amp;L331,"Введите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1" s="24" t="n">
        <x:v>2.0765985719851283</x:v>
      </x:c>
      <x:c r="AG331" s="37" t="n">
        <x:v>8</x:v>
      </x:c>
      <x:c r="AH331" s="37" t="n">
        <x:v>0</x:v>
      </x:c>
      <x:c r="AI331" s="30" t="n">
        <x:v>46266</x:v>
      </x:c>
      <x:c r="AJ331" s="37" t="n">
        <x:v>1</x:v>
      </x:c>
      <x:c r="AK331" s="10" t="str">
        <x:v>минимум</x:v>
      </x:c>
      <x:c r="AL331" s="32" t="n">
        <x:v>327.60949493993206</x:v>
      </x:c>
      <x:c r="AM33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31" s="13" t="str">
        <x:v>Проверить свободный остаток и установить цену для B2B</x:v>
      </x:c>
      <x:c r="AO331" s="13" t="str">
        <x:v>Остаток 8; прогноз 90 дней 2.08; избыток 5 шт. Будущие поступления не выставляются на продажу. Остаток на начало сентября: требуется актуализация.</x:v>
      </x:c>
      <x:c r="AP331" s="13" t="str">
        <x:v>["category_missing", "daily_stockout_data_missing", "new_order_lead_time_unknown", "reservations_unknown", "stale_stock"]</x:v>
      </x:c>
      <x:c r="AQ331" s="10" t="str">
        <x:v>IEK:030200910_</x:v>
      </x:c>
      <x:c r="AR331" s="24" t="n">
        <x:v>1</x:v>
      </x:c>
      <x:c r="AS331" s="24" t="n">
        <x:v>0</x:v>
      </x:c>
      <x:c r="AT331" s="24" t="n">
        <x:v>0</x:v>
      </x:c>
    </x:row>
    <x:row r="332" ht="64" customHeight="1">
      <x:c r="A332" s="11" t="str">
        <x:v>IEK</x:v>
      </x:c>
      <x:c r="B332" s="33" t="str">
        <x:v>030200911_</x:v>
      </x:c>
      <x:c r="C332" s="33" t="str">
        <x:v>BR-VK10-0-K02</x:v>
      </x:c>
      <x:c r="D332" s="12" t="str">
        <x:v>Вывод кабеля "BRITE" черный (1/200)</x:v>
      </x:c>
      <x:c r="E332" s="11" t="str">
        <x:v>шт</x:v>
      </x:c>
      <x:c r="F332" s="35" t="n">
        <x:f>MAX(0,ROUNDDOWN((AG332-AF332)/AR332+0.000000001,0)*AR332)</x:f>
        <x:v>17</x:v>
      </x:c>
      <x:c r="G332" s="20" t="str">
        <x:f>IF(J332="Рассчитано",V332*(1-R332/100)-W332-P332-Q332,"н/д")</x:f>
        <x:v>н/д</x:v>
      </x:c>
      <x:c r="H332" s="12" t="str">
        <x:v>Высокий</x:v>
      </x:c>
      <x:c r="I332" s="12" t="str">
        <x:v>Высокий</x:v>
      </x:c>
      <x:c r="J332" s="12" t="str">
        <x:f>IF(L332="","Укажите валюту",IF(NOT(ISNUMBER(K332)),"Укажите объём",IF(K332&lt;=0,"Укажите объём",IF(K332&gt;F332,"Объём выше излишка",IF(COUNT(M332:O332)&lt;3,"Нужны цены",IF(COUNT(P332:R332)&lt;3,"Нужны расходы",IF(OR(M332&lt;0,N332&lt;0,O332&lt;0,O332&gt;100,P332&lt;0,Q332&lt;0,R332&lt;0,R332&gt;100),"Проверьте значения","Рассчитано")))))))</x:f>
        <x:v>Нужны цены</x:v>
      </x:c>
      <x:c r="K332" s="36" t="n">
        <x:v>17</x:v>
      </x:c>
      <x:c r="L332" s="19" t="str">
        <x:v>KZT</x:v>
      </x:c>
      <x:c r="M332" s="22"/>
      <x:c r="N332" s="22"/>
      <x:c r="O332" s="28"/>
      <x:c r="P332" s="22"/>
      <x:c r="Q332" s="22"/>
      <x:c r="R332" s="28"/>
      <x:c r="S332" s="22"/>
      <x:c r="T332" s="35" t="n">
        <x:f>K332</x:f>
        <x:v>17</x:v>
      </x:c>
      <x:c r="U332" s="20" t="str">
        <x:f>IF(J332="Рассчитано",N332*(1-O332/100),"н/д")</x:f>
        <x:v>н/д</x:v>
      </x:c>
      <x:c r="V332" s="20" t="str">
        <x:f>IF(J332="Рассчитано",T332*U332,"н/д")</x:f>
        <x:v>н/д</x:v>
      </x:c>
      <x:c r="W332" s="20" t="str">
        <x:f>IF(J332="Рассчитано",T332*M332,"н/д")</x:f>
        <x:v>н/д</x:v>
      </x:c>
      <x:c r="X332" s="20" t="str">
        <x:f>IF(J332="Рассчитано",V332-W332,"н/д")</x:f>
        <x:v>н/д</x:v>
      </x:c>
      <x:c r="Y332" s="26" t="str">
        <x:f>IF(J332="Рассчитано",IF(V332&gt;0,G332/V332,"н/д"),"н/д")</x:f>
        <x:v>н/д</x:v>
      </x:c>
      <x:c r="Z332" s="20" t="str">
        <x:f>"н/д"</x:f>
        <x:v>н/д</x:v>
      </x:c>
      <x:c r="AA332" s="20" t="str">
        <x:f>"н/д"</x:f>
        <x:v>н/д</x:v>
      </x:c>
      <x:c r="AB332" s="20" t="str">
        <x:f>"н/д"</x:f>
        <x:v>н/д</x:v>
      </x:c>
      <x:c r="AC332" s="20" t="str">
        <x:f>IF(AND(J332="Рассчитано",T332&gt;0,R332&lt;100),(W332+P332+Q332)/(T332*(1-R332/100)),"н/д")</x:f>
        <x:v>н/д</x:v>
      </x:c>
      <x:c r="AD332" s="11" t="str">
        <x:f>IF(ISNUMBER(G332),IF(G332&lt;0,"Убыток",IF(G332=0,"Без прибыли","Прибыль &gt; 0")),"Не оценён")</x:f>
        <x:v>Не оценён</x:v>
      </x:c>
      <x:c r="AE332" s="12" t="str">
        <x:f>IF(J332="Рассчитано","Выручка "&amp;TEXT(V332,"0.00")&amp;" - себестоимость "&amp;TEXT(W332,"0.00")&amp;" - комиссия "&amp;TEXT(V332*R332/100,"0.00")&amp;" - доставка "&amp;TEXT(P332,"0.00")&amp;" - прочие "&amp;TEXT(Q332,"0.00")&amp;" = "&amp;TEXT(G332,"0.00")&amp;" "&amp;L332,"Введите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2" s="23" t="n">
        <x:v>8.768712764574271</x:v>
      </x:c>
      <x:c r="AG332" s="35" t="n">
        <x:v>26</x:v>
      </x:c>
      <x:c r="AH332" s="35" t="n">
        <x:v>0</x:v>
      </x:c>
      <x:c r="AI332" s="29" t="n">
        <x:v>46266</x:v>
      </x:c>
      <x:c r="AJ332" s="35" t="n">
        <x:v>1</x:v>
      </x:c>
      <x:c r="AK332" s="11" t="str">
        <x:v>минимум</x:v>
      </x:c>
      <x:c r="AL332" s="31" t="n">
        <x:v>252.14859236305497</x:v>
      </x:c>
      <x:c r="AM33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32" s="12" t="str">
        <x:v>Проверить свободный остаток и установить цену для B2B</x:v>
      </x:c>
      <x:c r="AO332" s="12" t="str">
        <x:v>Остаток 26; прогноз 90 дней 8.77; избыток 17 шт. Будущие поступления не выставляются на продажу. Остаток на начало сентября: требуется актуализация.</x:v>
      </x:c>
      <x:c r="AP332" s="12" t="str">
        <x:v>["category_missing", "daily_stockout_data_missing", "new_order_lead_time_unknown", "reservations_unknown", "stale_stock"]</x:v>
      </x:c>
      <x:c r="AQ332" s="11" t="str">
        <x:v>IEK:030200911_</x:v>
      </x:c>
      <x:c r="AR332" s="23" t="n">
        <x:v>1</x:v>
      </x:c>
      <x:c r="AS332" s="23" t="n">
        <x:v>0</x:v>
      </x:c>
      <x:c r="AT332" s="23" t="n">
        <x:v>0</x:v>
      </x:c>
    </x:row>
    <x:row r="333" ht="64" customHeight="1">
      <x:c r="A333" s="10" t="str">
        <x:v>IEK</x:v>
      </x:c>
      <x:c r="B333" s="34" t="str">
        <x:v>030200912_</x:v>
      </x:c>
      <x:c r="C333" s="34" t="str">
        <x:v>BR-U21-D31-K01</x:v>
      </x:c>
      <x:c r="D333" s="13" t="str">
        <x:v>Роз. USB A+A 3,1А б/рамки "BRITE" белый (1/80)</x:v>
      </x:c>
      <x:c r="E333" s="10" t="str">
        <x:v>шт</x:v>
      </x:c>
      <x:c r="F333" s="37" t="n">
        <x:f>MAX(0,ROUNDDOWN((AG333-AF333)/AR333+0.000000001,0)*AR333)</x:f>
        <x:v>2</x:v>
      </x:c>
      <x:c r="G333" s="21" t="str">
        <x:f>IF(J333="Рассчитано",V333*(1-R333/100)-W333-P333-Q333,"н/д")</x:f>
        <x:v>н/д</x:v>
      </x:c>
      <x:c r="H333" s="13" t="str">
        <x:v>Высокий</x:v>
      </x:c>
      <x:c r="I333" s="13" t="str">
        <x:v>Высокий</x:v>
      </x:c>
      <x:c r="J333" s="13" t="str">
        <x:f>IF(L333="","Укажите валюту",IF(NOT(ISNUMBER(K333)),"Укажите объём",IF(K333&lt;=0,"Укажите объём",IF(K333&gt;F333,"Объём выше излишка",IF(COUNT(M333:O333)&lt;3,"Нужны цены",IF(COUNT(P333:R333)&lt;3,"Нужны расходы",IF(OR(M333&lt;0,N333&lt;0,O333&lt;0,O333&gt;100,P333&lt;0,Q333&lt;0,R333&lt;0,R333&gt;100),"Проверьте значения","Рассчитано")))))))</x:f>
        <x:v>Нужны цены</x:v>
      </x:c>
      <x:c r="K333" s="36" t="n">
        <x:v>2</x:v>
      </x:c>
      <x:c r="L333" s="19" t="str">
        <x:v>KZT</x:v>
      </x:c>
      <x:c r="M333" s="22"/>
      <x:c r="N333" s="22"/>
      <x:c r="O333" s="28"/>
      <x:c r="P333" s="22"/>
      <x:c r="Q333" s="22"/>
      <x:c r="R333" s="28"/>
      <x:c r="S333" s="22"/>
      <x:c r="T333" s="37" t="n">
        <x:f>K333</x:f>
        <x:v>2</x:v>
      </x:c>
      <x:c r="U333" s="21" t="str">
        <x:f>IF(J333="Рассчитано",N333*(1-O333/100),"н/д")</x:f>
        <x:v>н/д</x:v>
      </x:c>
      <x:c r="V333" s="21" t="str">
        <x:f>IF(J333="Рассчитано",T333*U333,"н/д")</x:f>
        <x:v>н/д</x:v>
      </x:c>
      <x:c r="W333" s="21" t="str">
        <x:f>IF(J333="Рассчитано",T333*M333,"н/д")</x:f>
        <x:v>н/д</x:v>
      </x:c>
      <x:c r="X333" s="21" t="str">
        <x:f>IF(J333="Рассчитано",V333-W333,"н/д")</x:f>
        <x:v>н/д</x:v>
      </x:c>
      <x:c r="Y333" s="27" t="str">
        <x:f>IF(J333="Рассчитано",IF(V333&gt;0,G333/V333,"н/д"),"н/д")</x:f>
        <x:v>н/д</x:v>
      </x:c>
      <x:c r="Z333" s="21" t="str">
        <x:f>"н/д"</x:f>
        <x:v>н/д</x:v>
      </x:c>
      <x:c r="AA333" s="21" t="str">
        <x:f>"н/д"</x:f>
        <x:v>н/д</x:v>
      </x:c>
      <x:c r="AB333" s="21" t="str">
        <x:f>"н/д"</x:f>
        <x:v>н/д</x:v>
      </x:c>
      <x:c r="AC333" s="21" t="str">
        <x:f>IF(AND(J333="Рассчитано",T333&gt;0,R333&lt;100),(W333+P333+Q333)/(T333*(1-R333/100)),"н/д")</x:f>
        <x:v>н/д</x:v>
      </x:c>
      <x:c r="AD333" s="10" t="str">
        <x:f>IF(ISNUMBER(G333),IF(G333&lt;0,"Убыток",IF(G333=0,"Без прибыли","Прибыль &gt; 0")),"Не оценён")</x:f>
        <x:v>Не оценён</x:v>
      </x:c>
      <x:c r="AE333" s="13" t="str">
        <x:f>IF(J333="Рассчитано","Выручка "&amp;TEXT(V333,"0.00")&amp;" - себестоимость "&amp;TEXT(W333,"0.00")&amp;" - комиссия "&amp;TEXT(V333*R333/100,"0.00")&amp;" - доставка "&amp;TEXT(P333,"0.00")&amp;" - прочие "&amp;TEXT(Q333,"0.00")&amp;" = "&amp;TEXT(G333,"0.00")&amp;" "&amp;L333,"Введите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3" s="24" t="n">
        <x:v>1.0104629486282275</x:v>
      </x:c>
      <x:c r="AG333" s="37" t="n">
        <x:v>4</x:v>
      </x:c>
      <x:c r="AH333" s="37" t="n">
        <x:v>0</x:v>
      </x:c>
      <x:c r="AI333" s="30" t="n">
        <x:v>46266</x:v>
      </x:c>
      <x:c r="AJ333" s="37" t="n">
        <x:v>1</x:v>
      </x:c>
      <x:c r="AK333" s="10" t="str">
        <x:v>минимум</x:v>
      </x:c>
      <x:c r="AL333" s="32" t="n">
        <x:v>336.63451504313156</x:v>
      </x:c>
      <x:c r="AM33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33" s="13" t="str">
        <x:v>Проверить свободный остаток и установить цену для B2B</x:v>
      </x:c>
      <x:c r="AO333" s="13" t="str">
        <x:v>Остаток 4; прогноз 90 дней 1.01; избыток 2 шт. Будущие поступления не выставляются на продажу. Остаток на начало сентября: требуется актуализация.</x:v>
      </x:c>
      <x:c r="AP333" s="13" t="str">
        <x:v>["category_missing", "daily_stockout_data_missing", "new_order_lead_time_unknown", "reservations_unknown", "stale_stock"]</x:v>
      </x:c>
      <x:c r="AQ333" s="10" t="str">
        <x:v>IEK:030200912_</x:v>
      </x:c>
      <x:c r="AR333" s="24" t="n">
        <x:v>1</x:v>
      </x:c>
      <x:c r="AS333" s="24" t="n">
        <x:v>0</x:v>
      </x:c>
      <x:c r="AT333" s="24" t="n">
        <x:v>0</x:v>
      </x:c>
    </x:row>
    <x:row r="334" ht="64" customHeight="1">
      <x:c r="A334" s="11" t="str">
        <x:v>IEK</x:v>
      </x:c>
      <x:c r="B334" s="33" t="str">
        <x:v>030200917_</x:v>
      </x:c>
      <x:c r="C334" s="33" t="str">
        <x:v>BR-U21-D31-K53</x:v>
      </x:c>
      <x:c r="D334" s="12" t="str">
        <x:v>Роз. USB A+A 3,1А б/рамки "BRITE" графит (1/80)</x:v>
      </x:c>
      <x:c r="E334" s="11" t="str">
        <x:v>шт</x:v>
      </x:c>
      <x:c r="F334" s="35" t="n">
        <x:f>MAX(0,ROUNDDOWN((AG334-AF334)/AR334+0.000000001,0)*AR334)</x:f>
        <x:v>9</x:v>
      </x:c>
      <x:c r="G334" s="20" t="str">
        <x:f>IF(J334="Рассчитано",V334*(1-R334/100)-W334-P334-Q334,"н/д")</x:f>
        <x:v>н/д</x:v>
      </x:c>
      <x:c r="H334" s="12" t="str">
        <x:v>Высокий</x:v>
      </x:c>
      <x:c r="I334" s="12" t="str">
        <x:v>Высокий</x:v>
      </x:c>
      <x:c r="J334" s="12" t="str">
        <x:f>IF(L334="","Укажите валюту",IF(NOT(ISNUMBER(K334)),"Укажите объём",IF(K334&lt;=0,"Укажите объём",IF(K334&gt;F334,"Объём выше излишка",IF(COUNT(M334:O334)&lt;3,"Нужны цены",IF(COUNT(P334:R334)&lt;3,"Нужны расходы",IF(OR(M334&lt;0,N334&lt;0,O334&lt;0,O334&gt;100,P334&lt;0,Q334&lt;0,R334&lt;0,R334&gt;100),"Проверьте значения","Рассчитано")))))))</x:f>
        <x:v>Нужны цены</x:v>
      </x:c>
      <x:c r="K334" s="36" t="n">
        <x:v>9</x:v>
      </x:c>
      <x:c r="L334" s="19" t="str">
        <x:v>KZT</x:v>
      </x:c>
      <x:c r="M334" s="22"/>
      <x:c r="N334" s="22"/>
      <x:c r="O334" s="28"/>
      <x:c r="P334" s="22"/>
      <x:c r="Q334" s="22"/>
      <x:c r="R334" s="28"/>
      <x:c r="S334" s="22"/>
      <x:c r="T334" s="35" t="n">
        <x:f>K334</x:f>
        <x:v>9</x:v>
      </x:c>
      <x:c r="U334" s="20" t="str">
        <x:f>IF(J334="Рассчитано",N334*(1-O334/100),"н/д")</x:f>
        <x:v>н/д</x:v>
      </x:c>
      <x:c r="V334" s="20" t="str">
        <x:f>IF(J334="Рассчитано",T334*U334,"н/д")</x:f>
        <x:v>н/д</x:v>
      </x:c>
      <x:c r="W334" s="20" t="str">
        <x:f>IF(J334="Рассчитано",T334*M334,"н/д")</x:f>
        <x:v>н/д</x:v>
      </x:c>
      <x:c r="X334" s="20" t="str">
        <x:f>IF(J334="Рассчитано",V334-W334,"н/д")</x:f>
        <x:v>н/д</x:v>
      </x:c>
      <x:c r="Y334" s="26" t="str">
        <x:f>IF(J334="Рассчитано",IF(V334&gt;0,G334/V334,"н/д"),"н/д")</x:f>
        <x:v>н/д</x:v>
      </x:c>
      <x:c r="Z334" s="20" t="str">
        <x:f>"н/д"</x:f>
        <x:v>н/д</x:v>
      </x:c>
      <x:c r="AA334" s="20" t="str">
        <x:f>"н/д"</x:f>
        <x:v>н/д</x:v>
      </x:c>
      <x:c r="AB334" s="20" t="str">
        <x:f>"н/д"</x:f>
        <x:v>н/д</x:v>
      </x:c>
      <x:c r="AC334" s="20" t="str">
        <x:f>IF(AND(J334="Рассчитано",T334&gt;0,R334&lt;100),(W334+P334+Q334)/(T334*(1-R334/100)),"н/д")</x:f>
        <x:v>н/д</x:v>
      </x:c>
      <x:c r="AD334" s="11" t="str">
        <x:f>IF(ISNUMBER(G334),IF(G334&lt;0,"Убыток",IF(G334=0,"Без прибыли","Прибыль &gt; 0")),"Не оценён")</x:f>
        <x:v>Не оценён</x:v>
      </x:c>
      <x:c r="AE334" s="12" t="str">
        <x:f>IF(J334="Рассчитано","Выручка "&amp;TEXT(V334,"0.00")&amp;" - себестоимость "&amp;TEXT(W334,"0.00")&amp;" - комиссия "&amp;TEXT(V334*R334/100,"0.00")&amp;" - доставка "&amp;TEXT(P334,"0.00")&amp;" - прочие "&amp;TEXT(Q334,"0.00")&amp;" = "&amp;TEXT(G334,"0.00")&amp;" "&amp;L334,"Введите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4" s="23" t="n">
        <x:v>0</x:v>
      </x:c>
      <x:c r="AG334" s="35" t="n">
        <x:v>9</x:v>
      </x:c>
      <x:c r="AH334" s="35" t="n">
        <x:v>0</x:v>
      </x:c>
      <x:c r="AI334" s="29" t="n">
        <x:v>46266</x:v>
      </x:c>
      <x:c r="AJ334" s="35" t="n">
        <x:v>1</x:v>
      </x:c>
      <x:c r="AK334" s="11" t="str">
        <x:v>минимум</x:v>
      </x:c>
      <x:c r="AL334" s="31" t="str">
        <x:v>н/д</x:v>
      </x:c>
      <x:c r="AM33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34" s="12" t="str">
        <x:v>Проверить свободный остаток и установить цену для B2B</x:v>
      </x:c>
      <x:c r="AO334" s="12" t="str">
        <x:v>Остаток 9; прогноз 90 дней 0.00; избыток 9 шт. Будущие поступления не выставляются на продажу. Остаток на начало сентября: требуется актуализация.</x:v>
      </x:c>
      <x:c r="AP334" s="12" t="str">
        <x:v>["category_missing", "daily_stockout_data_missing", "negative_net_sales_clipped_for_forecast", "new_order_lead_time_unknown", "reservations_unknown", "stale_stock"]</x:v>
      </x:c>
      <x:c r="AQ334" s="11" t="str">
        <x:v>IEK:030200917_</x:v>
      </x:c>
      <x:c r="AR334" s="23" t="n">
        <x:v>1</x:v>
      </x:c>
      <x:c r="AS334" s="23" t="n">
        <x:v>0</x:v>
      </x:c>
      <x:c r="AT334" s="23" t="n">
        <x:v>0</x:v>
      </x:c>
    </x:row>
    <x:row r="335" ht="64" customHeight="1">
      <x:c r="A335" s="10" t="str">
        <x:v>IEK</x:v>
      </x:c>
      <x:c r="B335" s="34" t="str">
        <x:v>030200918_</x:v>
      </x:c>
      <x:c r="C335" s="34" t="str">
        <x:v>BR-U21-D31-K02</x:v>
      </x:c>
      <x:c r="D335" s="13" t="str">
        <x:v>Роз. USB A+A 3,1А б/рамки "BRITE" черный (1/80)</x:v>
      </x:c>
      <x:c r="E335" s="10" t="str">
        <x:v>шт</x:v>
      </x:c>
      <x:c r="F335" s="37" t="n">
        <x:f>MAX(0,ROUNDDOWN((AG335-AF335)/AR335+0.000000001,0)*AR335)</x:f>
        <x:v>9</x:v>
      </x:c>
      <x:c r="G335" s="21" t="str">
        <x:f>IF(J335="Рассчитано",V335*(1-R335/100)-W335-P335-Q335,"н/д")</x:f>
        <x:v>н/д</x:v>
      </x:c>
      <x:c r="H335" s="13" t="str">
        <x:v>Высокий</x:v>
      </x:c>
      <x:c r="I335" s="13" t="str">
        <x:v>Высокий</x:v>
      </x:c>
      <x:c r="J335" s="13" t="str">
        <x:f>IF(L335="","Укажите валюту",IF(NOT(ISNUMBER(K335)),"Укажите объём",IF(K335&lt;=0,"Укажите объём",IF(K335&gt;F335,"Объём выше излишка",IF(COUNT(M335:O335)&lt;3,"Нужны цены",IF(COUNT(P335:R335)&lt;3,"Нужны расходы",IF(OR(M335&lt;0,N335&lt;0,O335&lt;0,O335&gt;100,P335&lt;0,Q335&lt;0,R335&lt;0,R335&gt;100),"Проверьте значения","Рассчитано")))))))</x:f>
        <x:v>Нужны цены</x:v>
      </x:c>
      <x:c r="K335" s="36" t="n">
        <x:v>9</x:v>
      </x:c>
      <x:c r="L335" s="19" t="str">
        <x:v>KZT</x:v>
      </x:c>
      <x:c r="M335" s="22"/>
      <x:c r="N335" s="22"/>
      <x:c r="O335" s="28"/>
      <x:c r="P335" s="22"/>
      <x:c r="Q335" s="22"/>
      <x:c r="R335" s="28"/>
      <x:c r="S335" s="22"/>
      <x:c r="T335" s="37" t="n">
        <x:f>K335</x:f>
        <x:v>9</x:v>
      </x:c>
      <x:c r="U335" s="21" t="str">
        <x:f>IF(J335="Рассчитано",N335*(1-O335/100),"н/д")</x:f>
        <x:v>н/д</x:v>
      </x:c>
      <x:c r="V335" s="21" t="str">
        <x:f>IF(J335="Рассчитано",T335*U335,"н/д")</x:f>
        <x:v>н/д</x:v>
      </x:c>
      <x:c r="W335" s="21" t="str">
        <x:f>IF(J335="Рассчитано",T335*M335,"н/д")</x:f>
        <x:v>н/д</x:v>
      </x:c>
      <x:c r="X335" s="21" t="str">
        <x:f>IF(J335="Рассчитано",V335-W335,"н/д")</x:f>
        <x:v>н/д</x:v>
      </x:c>
      <x:c r="Y335" s="27" t="str">
        <x:f>IF(J335="Рассчитано",IF(V335&gt;0,G335/V335,"н/д"),"н/д")</x:f>
        <x:v>н/д</x:v>
      </x:c>
      <x:c r="Z335" s="21" t="str">
        <x:f>"н/д"</x:f>
        <x:v>н/д</x:v>
      </x:c>
      <x:c r="AA335" s="21" t="str">
        <x:f>"н/д"</x:f>
        <x:v>н/д</x:v>
      </x:c>
      <x:c r="AB335" s="21" t="str">
        <x:f>"н/д"</x:f>
        <x:v>н/д</x:v>
      </x:c>
      <x:c r="AC335" s="21" t="str">
        <x:f>IF(AND(J335="Рассчитано",T335&gt;0,R335&lt;100),(W335+P335+Q335)/(T335*(1-R335/100)),"н/д")</x:f>
        <x:v>н/д</x:v>
      </x:c>
      <x:c r="AD335" s="10" t="str">
        <x:f>IF(ISNUMBER(G335),IF(G335&lt;0,"Убыток",IF(G335=0,"Без прибыли","Прибыль &gt; 0")),"Не оценён")</x:f>
        <x:v>Не оценён</x:v>
      </x:c>
      <x:c r="AE335" s="13" t="str">
        <x:f>IF(J335="Рассчитано","Выручка "&amp;TEXT(V335,"0.00")&amp;" - себестоимость "&amp;TEXT(W335,"0.00")&amp;" - комиссия "&amp;TEXT(V335*R335/100,"0.00")&amp;" - доставка "&amp;TEXT(P335,"0.00")&amp;" - прочие "&amp;TEXT(Q335,"0.00")&amp;" = "&amp;TEXT(G335,"0.00")&amp;" "&amp;L335,"Введите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5" s="24" t="n">
        <x:v>0.6789192054661041</x:v>
      </x:c>
      <x:c r="AG335" s="37" t="n">
        <x:v>10</x:v>
      </x:c>
      <x:c r="AH335" s="37" t="n">
        <x:v>0</x:v>
      </x:c>
      <x:c r="AI335" s="30" t="n">
        <x:v>46266</x:v>
      </x:c>
      <x:c r="AJ335" s="37" t="n">
        <x:v>1</x:v>
      </x:c>
      <x:c r="AK335" s="10" t="str">
        <x:v>минимум</x:v>
      </x:c>
      <x:c r="AL335" s="32" t="n">
        <x:v>1252.566954734274</x:v>
      </x:c>
      <x:c r="AM33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35" s="13" t="str">
        <x:v>Проверить свободный остаток и установить цену для B2B</x:v>
      </x:c>
      <x:c r="AO335" s="13" t="str">
        <x:v>Остаток 10; прогноз 90 дней 0.68; избыток 9 шт. Будущие поступления не выставляются на продажу. Остаток на начало сентября: требуется актуализация.</x:v>
      </x:c>
      <x:c r="AP335" s="13" t="str">
        <x:v>["category_missing", "daily_stockout_data_missing", "negative_net_sales_clipped_for_forecast", "new_order_lead_time_unknown", "reservations_unknown", "stale_stock"]</x:v>
      </x:c>
      <x:c r="AQ335" s="10" t="str">
        <x:v>IEK:030200918_</x:v>
      </x:c>
      <x:c r="AR335" s="24" t="n">
        <x:v>1</x:v>
      </x:c>
      <x:c r="AS335" s="24" t="n">
        <x:v>0</x:v>
      </x:c>
      <x:c r="AT335" s="24" t="n">
        <x:v>0</x:v>
      </x:c>
    </x:row>
    <x:row r="336" ht="64" customHeight="1">
      <x:c r="A336" s="11" t="str">
        <x:v>IEK</x:v>
      </x:c>
      <x:c r="B336" s="33" t="str">
        <x:v>030200923_</x:v>
      </x:c>
      <x:c r="C336" s="33" t="str">
        <x:v>BR-R16-16-K47</x:v>
      </x:c>
      <x:c r="D336" s="12" t="str">
        <x:v>Роз. с з/к с з/ш с кр. 16А IP20 б/рамки "BRITE" алюминий (1/100)</x:v>
      </x:c>
      <x:c r="E336" s="11" t="str">
        <x:v>шт</x:v>
      </x:c>
      <x:c r="F336" s="35" t="n">
        <x:f>MAX(0,ROUNDDOWN((AG336-AF336)/AR336+0.000000001,0)*AR336)</x:f>
        <x:v>9</x:v>
      </x:c>
      <x:c r="G336" s="20" t="str">
        <x:f>IF(J336="Рассчитано",V336*(1-R336/100)-W336-P336-Q336,"н/д")</x:f>
        <x:v>н/д</x:v>
      </x:c>
      <x:c r="H336" s="12" t="str">
        <x:v>Высокий</x:v>
      </x:c>
      <x:c r="I336" s="12" t="str">
        <x:v>Высокий</x:v>
      </x:c>
      <x:c r="J336" s="12" t="str">
        <x:f>IF(L336="","Укажите валюту",IF(NOT(ISNUMBER(K336)),"Укажите объём",IF(K336&lt;=0,"Укажите объём",IF(K336&gt;F336,"Объём выше излишка",IF(COUNT(M336:O336)&lt;3,"Нужны цены",IF(COUNT(P336:R336)&lt;3,"Нужны расходы",IF(OR(M336&lt;0,N336&lt;0,O336&lt;0,O336&gt;100,P336&lt;0,Q336&lt;0,R336&lt;0,R336&gt;100),"Проверьте значения","Рассчитано")))))))</x:f>
        <x:v>Нужны цены</x:v>
      </x:c>
      <x:c r="K336" s="36" t="n">
        <x:v>9</x:v>
      </x:c>
      <x:c r="L336" s="19" t="str">
        <x:v>KZT</x:v>
      </x:c>
      <x:c r="M336" s="22"/>
      <x:c r="N336" s="22"/>
      <x:c r="O336" s="28"/>
      <x:c r="P336" s="22"/>
      <x:c r="Q336" s="22"/>
      <x:c r="R336" s="28"/>
      <x:c r="S336" s="22"/>
      <x:c r="T336" s="35" t="n">
        <x:f>K336</x:f>
        <x:v>9</x:v>
      </x:c>
      <x:c r="U336" s="20" t="str">
        <x:f>IF(J336="Рассчитано",N336*(1-O336/100),"н/д")</x:f>
        <x:v>н/д</x:v>
      </x:c>
      <x:c r="V336" s="20" t="str">
        <x:f>IF(J336="Рассчитано",T336*U336,"н/д")</x:f>
        <x:v>н/д</x:v>
      </x:c>
      <x:c r="W336" s="20" t="str">
        <x:f>IF(J336="Рассчитано",T336*M336,"н/д")</x:f>
        <x:v>н/д</x:v>
      </x:c>
      <x:c r="X336" s="20" t="str">
        <x:f>IF(J336="Рассчитано",V336-W336,"н/д")</x:f>
        <x:v>н/д</x:v>
      </x:c>
      <x:c r="Y336" s="26" t="str">
        <x:f>IF(J336="Рассчитано",IF(V336&gt;0,G336/V336,"н/д"),"н/д")</x:f>
        <x:v>н/д</x:v>
      </x:c>
      <x:c r="Z336" s="20" t="str">
        <x:f>"н/д"</x:f>
        <x:v>н/д</x:v>
      </x:c>
      <x:c r="AA336" s="20" t="str">
        <x:f>"н/д"</x:f>
        <x:v>н/д</x:v>
      </x:c>
      <x:c r="AB336" s="20" t="str">
        <x:f>"н/д"</x:f>
        <x:v>н/д</x:v>
      </x:c>
      <x:c r="AC336" s="20" t="str">
        <x:f>IF(AND(J336="Рассчитано",T336&gt;0,R336&lt;100),(W336+P336+Q336)/(T336*(1-R336/100)),"н/д")</x:f>
        <x:v>н/д</x:v>
      </x:c>
      <x:c r="AD336" s="11" t="str">
        <x:f>IF(ISNUMBER(G336),IF(G336&lt;0,"Убыток",IF(G336=0,"Без прибыли","Прибыль &gt; 0")),"Не оценён")</x:f>
        <x:v>Не оценён</x:v>
      </x:c>
      <x:c r="AE336" s="12" t="str">
        <x:f>IF(J336="Рассчитано","Выручка "&amp;TEXT(V336,"0.00")&amp;" - себестоимость "&amp;TEXT(W336,"0.00")&amp;" - комиссия "&amp;TEXT(V336*R336/100,"0.00")&amp;" - доставка "&amp;TEXT(P336,"0.00")&amp;" - прочие "&amp;TEXT(Q336,"0.00")&amp;" = "&amp;TEXT(G336,"0.00")&amp;" "&amp;L336,"Введите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6" s="23" t="n">
        <x:v>5.290162931699844</x:v>
      </x:c>
      <x:c r="AG336" s="35" t="n">
        <x:v>15</x:v>
      </x:c>
      <x:c r="AH336" s="35" t="n">
        <x:v>0</x:v>
      </x:c>
      <x:c r="AI336" s="29" t="n">
        <x:v>46266</x:v>
      </x:c>
      <x:c r="AJ336" s="35" t="n">
        <x:v>1</x:v>
      </x:c>
      <x:c r="AK336" s="11" t="str">
        <x:v>минимум</x:v>
      </x:c>
      <x:c r="AL336" s="31" t="n">
        <x:v>241.12445287995416</x:v>
      </x:c>
      <x:c r="AM33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36" s="12" t="str">
        <x:v>Проверить свободный остаток и установить цену для B2B</x:v>
      </x:c>
      <x:c r="AO336" s="12" t="str">
        <x:v>Остаток 15; прогноз 90 дней 5.29; избыток 9 шт. Будущие поступления не выставляются на продажу. Остаток на начало сентября: требуется актуализация.</x:v>
      </x:c>
      <x:c r="AP336" s="12" t="str">
        <x:v>["category_missing", "daily_stockout_data_missing", "new_order_lead_time_unknown", "reservations_unknown", "stale_stock"]</x:v>
      </x:c>
      <x:c r="AQ336" s="11" t="str">
        <x:v>IEK:030200923_</x:v>
      </x:c>
      <x:c r="AR336" s="23" t="n">
        <x:v>1</x:v>
      </x:c>
      <x:c r="AS336" s="23" t="n">
        <x:v>0</x:v>
      </x:c>
      <x:c r="AT336" s="23" t="n">
        <x:v>0</x:v>
      </x:c>
    </x:row>
    <x:row r="337" ht="64" customHeight="1">
      <x:c r="A337" s="10" t="str">
        <x:v>IEK</x:v>
      </x:c>
      <x:c r="B337" s="34" t="str">
        <x:v>030200931_</x:v>
      </x:c>
      <x:c r="C337" s="34" t="str">
        <x:v>BR-R16-16-44-K35</x:v>
      </x:c>
      <x:c r="D337" s="13" t="str">
        <x:v>Роз. 1-мест. с/з з/ш 16А IP44 б/рамки "BRITE" маренго (1/100)</x:v>
      </x:c>
      <x:c r="E337" s="10" t="str">
        <x:v>шт</x:v>
      </x:c>
      <x:c r="F337" s="37" t="n">
        <x:f>MAX(0,ROUNDDOWN((AG337-AF337)/AR337+0.000000001,0)*AR337)</x:f>
        <x:v>50</x:v>
      </x:c>
      <x:c r="G337" s="21" t="str">
        <x:f>IF(J337="Рассчитано",V337*(1-R337/100)-W337-P337-Q337,"н/д")</x:f>
        <x:v>н/д</x:v>
      </x:c>
      <x:c r="H337" s="13" t="str">
        <x:v>Высокий</x:v>
      </x:c>
      <x:c r="I337" s="13" t="str">
        <x:v>Высокий</x:v>
      </x:c>
      <x:c r="J337" s="13" t="str">
        <x:f>IF(L337="","Укажите валюту",IF(NOT(ISNUMBER(K337)),"Укажите объём",IF(K337&lt;=0,"Укажите объём",IF(K337&gt;F337,"Объём выше излишка",IF(COUNT(M337:O337)&lt;3,"Нужны цены",IF(COUNT(P337:R337)&lt;3,"Нужны расходы",IF(OR(M337&lt;0,N337&lt;0,O337&lt;0,O337&gt;100,P337&lt;0,Q337&lt;0,R337&lt;0,R337&gt;100),"Проверьте значения","Рассчитано")))))))</x:f>
        <x:v>Нужны цены</x:v>
      </x:c>
      <x:c r="K337" s="36" t="n">
        <x:v>50</x:v>
      </x:c>
      <x:c r="L337" s="19" t="str">
        <x:v>KZT</x:v>
      </x:c>
      <x:c r="M337" s="22"/>
      <x:c r="N337" s="22"/>
      <x:c r="O337" s="28"/>
      <x:c r="P337" s="22"/>
      <x:c r="Q337" s="22"/>
      <x:c r="R337" s="28"/>
      <x:c r="S337" s="22"/>
      <x:c r="T337" s="37" t="n">
        <x:f>K337</x:f>
        <x:v>50</x:v>
      </x:c>
      <x:c r="U337" s="21" t="str">
        <x:f>IF(J337="Рассчитано",N337*(1-O337/100),"н/д")</x:f>
        <x:v>н/д</x:v>
      </x:c>
      <x:c r="V337" s="21" t="str">
        <x:f>IF(J337="Рассчитано",T337*U337,"н/д")</x:f>
        <x:v>н/д</x:v>
      </x:c>
      <x:c r="W337" s="21" t="str">
        <x:f>IF(J337="Рассчитано",T337*M337,"н/д")</x:f>
        <x:v>н/д</x:v>
      </x:c>
      <x:c r="X337" s="21" t="str">
        <x:f>IF(J337="Рассчитано",V337-W337,"н/д")</x:f>
        <x:v>н/д</x:v>
      </x:c>
      <x:c r="Y337" s="27" t="str">
        <x:f>IF(J337="Рассчитано",IF(V337&gt;0,G337/V337,"н/д"),"н/д")</x:f>
        <x:v>н/д</x:v>
      </x:c>
      <x:c r="Z337" s="21" t="str">
        <x:f>"н/д"</x:f>
        <x:v>н/д</x:v>
      </x:c>
      <x:c r="AA337" s="21" t="str">
        <x:f>"н/д"</x:f>
        <x:v>н/д</x:v>
      </x:c>
      <x:c r="AB337" s="21" t="str">
        <x:f>"н/д"</x:f>
        <x:v>н/д</x:v>
      </x:c>
      <x:c r="AC337" s="21" t="str">
        <x:f>IF(AND(J337="Рассчитано",T337&gt;0,R337&lt;100),(W337+P337+Q337)/(T337*(1-R337/100)),"н/д")</x:f>
        <x:v>н/д</x:v>
      </x:c>
      <x:c r="AD337" s="10" t="str">
        <x:f>IF(ISNUMBER(G337),IF(G337&lt;0,"Убыток",IF(G337=0,"Без прибыли","Прибыль &gt; 0")),"Не оценён")</x:f>
        <x:v>Не оценён</x:v>
      </x:c>
      <x:c r="AE337" s="13" t="str">
        <x:f>IF(J337="Рассчитано","Выручка "&amp;TEXT(V337,"0.00")&amp;" - себестоимость "&amp;TEXT(W337,"0.00")&amp;" - комиссия "&amp;TEXT(V337*R337/100,"0.00")&amp;" - доставка "&amp;TEXT(P337,"0.00")&amp;" - прочие "&amp;TEXT(Q337,"0.00")&amp;" = "&amp;TEXT(G337,"0.00")&amp;" "&amp;L337,"Введите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7" s="24" t="n">
        <x:v>34.74349111482793</x:v>
      </x:c>
      <x:c r="AG337" s="37" t="n">
        <x:v>85</x:v>
      </x:c>
      <x:c r="AH337" s="37" t="n">
        <x:v>0</x:v>
      </x:c>
      <x:c r="AI337" s="30" t="n">
        <x:v>46266</x:v>
      </x:c>
      <x:c r="AJ337" s="37"/>
      <x:c r="AK337" s="10" t="str">
        <x:v>неизвестно</x:v>
      </x:c>
      <x:c r="AL337" s="32" t="n">
        <x:v>208.04846440362567</x:v>
      </x:c>
      <x:c r="AM33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37" s="13" t="str">
        <x:v>Проверить свободный остаток и установить цену для B2B</x:v>
      </x:c>
      <x:c r="AO337" s="13" t="str">
        <x:v>Остаток 85; прогноз 90 дней 34.74; избыток 50 шт. Будущие поступления не выставляются на продажу. Остаток на начало сентября: требуется актуализация.</x:v>
      </x:c>
      <x:c r="AP337" s="13" t="str">
        <x:v>["category_missing", "daily_stockout_data_missing", "moq_missing", "negative_net_sales_clipped_for_forecast", "new_order_lead_time_unknown", "reservations_unknown", "stale_stock"]</x:v>
      </x:c>
      <x:c r="AQ337" s="10" t="str">
        <x:v>IEK:030200931_</x:v>
      </x:c>
      <x:c r="AR337" s="24" t="n">
        <x:v>1</x:v>
      </x:c>
      <x:c r="AS337" s="24" t="n">
        <x:v>0</x:v>
      </x:c>
      <x:c r="AT337" s="24" t="n">
        <x:v>0</x:v>
      </x:c>
    </x:row>
    <x:row r="338" ht="64" customHeight="1">
      <x:c r="A338" s="11" t="str">
        <x:v>IEK</x:v>
      </x:c>
      <x:c r="B338" s="33" t="str">
        <x:v>030200933_</x:v>
      </x:c>
      <x:c r="C338" s="33" t="str">
        <x:v>BR-V13-0-10-K35</x:v>
      </x:c>
      <x:c r="D338" s="12" t="str">
        <x:v>Выкл 1-кл. перекр 10А б/рамки "BRITE" маренго (1/100)</x:v>
      </x:c>
      <x:c r="E338" s="11" t="str">
        <x:v>шт</x:v>
      </x:c>
      <x:c r="F338" s="35" t="n">
        <x:f>MAX(0,ROUNDDOWN((AG338-AF338)/AR338+0.000000001,0)*AR338)</x:f>
        <x:v>58</x:v>
      </x:c>
      <x:c r="G338" s="20" t="str">
        <x:f>IF(J338="Рассчитано",V338*(1-R338/100)-W338-P338-Q338,"н/д")</x:f>
        <x:v>н/д</x:v>
      </x:c>
      <x:c r="H338" s="12" t="str">
        <x:v>Высокий</x:v>
      </x:c>
      <x:c r="I338" s="12" t="str">
        <x:v>Высокий</x:v>
      </x:c>
      <x:c r="J338" s="12" t="str">
        <x:f>IF(L338="","Укажите валюту",IF(NOT(ISNUMBER(K338)),"Укажите объём",IF(K338&lt;=0,"Укажите объём",IF(K338&gt;F338,"Объём выше излишка",IF(COUNT(M338:O338)&lt;3,"Нужны цены",IF(COUNT(P338:R338)&lt;3,"Нужны расходы",IF(OR(M338&lt;0,N338&lt;0,O338&lt;0,O338&gt;100,P338&lt;0,Q338&lt;0,R338&lt;0,R338&gt;100),"Проверьте значения","Рассчитано")))))))</x:f>
        <x:v>Нужны цены</x:v>
      </x:c>
      <x:c r="K338" s="36" t="n">
        <x:v>58</x:v>
      </x:c>
      <x:c r="L338" s="19" t="str">
        <x:v>KZT</x:v>
      </x:c>
      <x:c r="M338" s="22"/>
      <x:c r="N338" s="22"/>
      <x:c r="O338" s="28"/>
      <x:c r="P338" s="22"/>
      <x:c r="Q338" s="22"/>
      <x:c r="R338" s="28"/>
      <x:c r="S338" s="22"/>
      <x:c r="T338" s="35" t="n">
        <x:f>K338</x:f>
        <x:v>58</x:v>
      </x:c>
      <x:c r="U338" s="20" t="str">
        <x:f>IF(J338="Рассчитано",N338*(1-O338/100),"н/д")</x:f>
        <x:v>н/д</x:v>
      </x:c>
      <x:c r="V338" s="20" t="str">
        <x:f>IF(J338="Рассчитано",T338*U338,"н/д")</x:f>
        <x:v>н/д</x:v>
      </x:c>
      <x:c r="W338" s="20" t="str">
        <x:f>IF(J338="Рассчитано",T338*M338,"н/д")</x:f>
        <x:v>н/д</x:v>
      </x:c>
      <x:c r="X338" s="20" t="str">
        <x:f>IF(J338="Рассчитано",V338-W338,"н/д")</x:f>
        <x:v>н/д</x:v>
      </x:c>
      <x:c r="Y338" s="26" t="str">
        <x:f>IF(J338="Рассчитано",IF(V338&gt;0,G338/V338,"н/д"),"н/д")</x:f>
        <x:v>н/д</x:v>
      </x:c>
      <x:c r="Z338" s="20" t="str">
        <x:f>"н/д"</x:f>
        <x:v>н/д</x:v>
      </x:c>
      <x:c r="AA338" s="20" t="str">
        <x:f>"н/д"</x:f>
        <x:v>н/д</x:v>
      </x:c>
      <x:c r="AB338" s="20" t="str">
        <x:f>"н/д"</x:f>
        <x:v>н/д</x:v>
      </x:c>
      <x:c r="AC338" s="20" t="str">
        <x:f>IF(AND(J338="Рассчитано",T338&gt;0,R338&lt;100),(W338+P338+Q338)/(T338*(1-R338/100)),"н/д")</x:f>
        <x:v>н/д</x:v>
      </x:c>
      <x:c r="AD338" s="11" t="str">
        <x:f>IF(ISNUMBER(G338),IF(G338&lt;0,"Убыток",IF(G338=0,"Без прибыли","Прибыль &gt; 0")),"Не оценён")</x:f>
        <x:v>Не оценён</x:v>
      </x:c>
      <x:c r="AE338" s="12" t="str">
        <x:f>IF(J338="Рассчитано","Выручка "&amp;TEXT(V338,"0.00")&amp;" - себестоимость "&amp;TEXT(W338,"0.00")&amp;" - комиссия "&amp;TEXT(V338*R338/100,"0.00")&amp;" - доставка "&amp;TEXT(P338,"0.00")&amp;" - прочие "&amp;TEXT(Q338,"0.00")&amp;" = "&amp;TEXT(G338,"0.00")&amp;" "&amp;L338,"Введите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8" s="23" t="n">
        <x:v>0.09865067005171732</x:v>
      </x:c>
      <x:c r="AG338" s="35" t="n">
        <x:v>59</x:v>
      </x:c>
      <x:c r="AH338" s="35" t="n">
        <x:v>0</x:v>
      </x:c>
      <x:c r="AI338" s="29" t="n">
        <x:v>46266</x:v>
      </x:c>
      <x:c r="AJ338" s="35"/>
      <x:c r="AK338" s="11" t="str">
        <x:v>неизвестно</x:v>
      </x:c>
      <x:c r="AL338" s="31" t="n">
        <x:v>50859.374714913785</x:v>
      </x:c>
      <x:c r="AM33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38" s="12" t="str">
        <x:v>Проверить свободный остаток и установить цену для B2B</x:v>
      </x:c>
      <x:c r="AO338" s="12" t="str">
        <x:v>Остаток 59; прогноз 90 дней 0.10; избыток 58 шт. Будущие поступления не выставляются на продажу. Остаток на начало сентября: требуется актуализация.</x:v>
      </x:c>
      <x:c r="AP338" s="12" t="str">
        <x:v>["category_missing", "daily_stockout_data_missing", "moq_missing", "new_order_lead_time_unknown", "reservations_unknown", "stale_stock"]</x:v>
      </x:c>
      <x:c r="AQ338" s="11" t="str">
        <x:v>IEK:030200933_</x:v>
      </x:c>
      <x:c r="AR338" s="23" t="n">
        <x:v>1</x:v>
      </x:c>
      <x:c r="AS338" s="23" t="n">
        <x:v>0</x:v>
      </x:c>
      <x:c r="AT338" s="23" t="n">
        <x:v>0</x:v>
      </x:c>
    </x:row>
    <x:row r="339" ht="64" customHeight="1">
      <x:c r="A339" s="10" t="str">
        <x:v>IEK</x:v>
      </x:c>
      <x:c r="B339" s="34" t="str">
        <x:v>030200935_</x:v>
      </x:c>
      <x:c r="C339" s="34" t="str">
        <x:v>BR-H10-K01</x:v>
      </x:c>
      <x:c r="D339" s="13" t="str">
        <x:v>Роз. HDMI б/рамки "BRITE" белый (1/100)</x:v>
      </x:c>
      <x:c r="E339" s="10" t="str">
        <x:v>шт</x:v>
      </x:c>
      <x:c r="F339" s="37" t="n">
        <x:f>MAX(0,ROUNDDOWN((AG339-AF339)/AR339+0.000000001,0)*AR339)</x:f>
        <x:v>15</x:v>
      </x:c>
      <x:c r="G339" s="21" t="str">
        <x:f>IF(J339="Рассчитано",V339*(1-R339/100)-W339-P339-Q339,"н/д")</x:f>
        <x:v>н/д</x:v>
      </x:c>
      <x:c r="H339" s="13" t="str">
        <x:v>Высокий</x:v>
      </x:c>
      <x:c r="I339" s="13" t="str">
        <x:v>Средний</x:v>
      </x:c>
      <x:c r="J339" s="13" t="str">
        <x:f>IF(L339="","Укажите валюту",IF(NOT(ISNUMBER(K339)),"Укажите объём",IF(K339&lt;=0,"Укажите объём",IF(K339&gt;F339,"Объём выше излишка",IF(COUNT(M339:O339)&lt;3,"Нужны цены",IF(COUNT(P339:R339)&lt;3,"Нужны расходы",IF(OR(M339&lt;0,N339&lt;0,O339&lt;0,O339&gt;100,P339&lt;0,Q339&lt;0,R339&lt;0,R339&gt;100),"Проверьте значения","Рассчитано")))))))</x:f>
        <x:v>Нужны цены</x:v>
      </x:c>
      <x:c r="K339" s="36" t="n">
        <x:v>15</x:v>
      </x:c>
      <x:c r="L339" s="19" t="str">
        <x:v>KZT</x:v>
      </x:c>
      <x:c r="M339" s="22"/>
      <x:c r="N339" s="22"/>
      <x:c r="O339" s="28"/>
      <x:c r="P339" s="22"/>
      <x:c r="Q339" s="22"/>
      <x:c r="R339" s="28"/>
      <x:c r="S339" s="22"/>
      <x:c r="T339" s="37" t="n">
        <x:f>K339</x:f>
        <x:v>15</x:v>
      </x:c>
      <x:c r="U339" s="21" t="str">
        <x:f>IF(J339="Рассчитано",N339*(1-O339/100),"н/д")</x:f>
        <x:v>н/д</x:v>
      </x:c>
      <x:c r="V339" s="21" t="str">
        <x:f>IF(J339="Рассчитано",T339*U339,"н/д")</x:f>
        <x:v>н/д</x:v>
      </x:c>
      <x:c r="W339" s="21" t="str">
        <x:f>IF(J339="Рассчитано",T339*M339,"н/д")</x:f>
        <x:v>н/д</x:v>
      </x:c>
      <x:c r="X339" s="21" t="str">
        <x:f>IF(J339="Рассчитано",V339-W339,"н/д")</x:f>
        <x:v>н/д</x:v>
      </x:c>
      <x:c r="Y339" s="27" t="str">
        <x:f>IF(J339="Рассчитано",IF(V339&gt;0,G339/V339,"н/д"),"н/д")</x:f>
        <x:v>н/д</x:v>
      </x:c>
      <x:c r="Z339" s="21" t="str">
        <x:f>"н/д"</x:f>
        <x:v>н/д</x:v>
      </x:c>
      <x:c r="AA339" s="21" t="str">
        <x:f>"н/д"</x:f>
        <x:v>н/д</x:v>
      </x:c>
      <x:c r="AB339" s="21" t="str">
        <x:f>"н/д"</x:f>
        <x:v>н/д</x:v>
      </x:c>
      <x:c r="AC339" s="21" t="str">
        <x:f>IF(AND(J339="Рассчитано",T339&gt;0,R339&lt;100),(W339+P339+Q339)/(T339*(1-R339/100)),"н/д")</x:f>
        <x:v>н/д</x:v>
      </x:c>
      <x:c r="AD339" s="10" t="str">
        <x:f>IF(ISNUMBER(G339),IF(G339&lt;0,"Убыток",IF(G339=0,"Без прибыли","Прибыль &gt; 0")),"Не оценён")</x:f>
        <x:v>Не оценён</x:v>
      </x:c>
      <x:c r="AE339" s="13" t="str">
        <x:f>IF(J339="Рассчитано","Выручка "&amp;TEXT(V339,"0.00")&amp;" - себестоимость "&amp;TEXT(W339,"0.00")&amp;" - комиссия "&amp;TEXT(V339*R339/100,"0.00")&amp;" - доставка "&amp;TEXT(P339,"0.00")&amp;" - прочие "&amp;TEXT(Q339,"0.00")&amp;" = "&amp;TEXT(G339,"0.00")&amp;" "&amp;L339,"Введите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9" s="24" t="n">
        <x:v>18.357792862047415</x:v>
      </x:c>
      <x:c r="AG339" s="37" t="n">
        <x:v>34</x:v>
      </x:c>
      <x:c r="AH339" s="37" t="n">
        <x:v>0</x:v>
      </x:c>
      <x:c r="AI339" s="30" t="n">
        <x:v>46266</x:v>
      </x:c>
      <x:c r="AJ339" s="37" t="n">
        <x:v>1</x:v>
      </x:c>
      <x:c r="AK339" s="10" t="str">
        <x:v>минимум</x:v>
      </x:c>
      <x:c r="AL339" s="32" t="n">
        <x:v>157.49888951856946</x:v>
      </x:c>
      <x:c r="AM339" s="13" t="str">
        <x:v>Остаток на начало сентября; Резервы неизвестны; Нет ежедневных данных доступности. Запас выше прогноза на 90 дней</x:v>
      </x:c>
      <x:c r="AN339" s="13" t="str">
        <x:v>Проверить свободный остаток и установить цену для B2B</x:v>
      </x:c>
      <x:c r="AO339" s="13" t="str">
        <x:v>Остаток 34; прогноз 90 дней 18.36; избыток 15 шт. Будущие поступления не выставляются на продажу. Остаток на начало сентября: требуется актуализация.</x:v>
      </x:c>
      <x:c r="AP339" s="13" t="str">
        <x:v>["category_missing", "daily_stockout_data_missing", "large_orders_detected", "new_order_lead_time_unknown", "reservations_unknown", "stale_stock"]</x:v>
      </x:c>
      <x:c r="AQ339" s="10" t="str">
        <x:v>IEK:030200935_</x:v>
      </x:c>
      <x:c r="AR339" s="24" t="n">
        <x:v>1</x:v>
      </x:c>
      <x:c r="AS339" s="24" t="n">
        <x:v>0</x:v>
      </x:c>
      <x:c r="AT339" s="24" t="n">
        <x:v>0</x:v>
      </x:c>
    </x:row>
    <x:row r="340" ht="64" customHeight="1">
      <x:c r="A340" s="11" t="str">
        <x:v>IEK</x:v>
      </x:c>
      <x:c r="B340" s="33" t="str">
        <x:v>030200938_</x:v>
      </x:c>
      <x:c r="C340" s="33" t="str">
        <x:v>BR-H10-K47</x:v>
      </x:c>
      <x:c r="D340" s="12" t="str">
        <x:v>Роз. HDMI б/рамки "BRITE" алюминий (1/100)</x:v>
      </x:c>
      <x:c r="E340" s="11" t="str">
        <x:v>шт</x:v>
      </x:c>
      <x:c r="F340" s="35" t="n">
        <x:f>MAX(0,ROUNDDOWN((AG340-AF340)/AR340+0.000000001,0)*AR340)</x:f>
        <x:v>2</x:v>
      </x:c>
      <x:c r="G340" s="20" t="str">
        <x:f>IF(J340="Рассчитано",V340*(1-R340/100)-W340-P340-Q340,"н/д")</x:f>
        <x:v>н/д</x:v>
      </x:c>
      <x:c r="H340" s="12" t="str">
        <x:v>Высокий</x:v>
      </x:c>
      <x:c r="I340" s="12" t="str">
        <x:v>Высокий</x:v>
      </x:c>
      <x:c r="J340" s="12" t="str">
        <x:f>IF(L340="","Укажите валюту",IF(NOT(ISNUMBER(K340)),"Укажите объём",IF(K340&lt;=0,"Укажите объём",IF(K340&gt;F340,"Объём выше излишка",IF(COUNT(M340:O340)&lt;3,"Нужны цены",IF(COUNT(P340:R340)&lt;3,"Нужны расходы",IF(OR(M340&lt;0,N340&lt;0,O340&lt;0,O340&gt;100,P340&lt;0,Q340&lt;0,R340&lt;0,R340&gt;100),"Проверьте значения","Рассчитано")))))))</x:f>
        <x:v>Нужны цены</x:v>
      </x:c>
      <x:c r="K340" s="36" t="n">
        <x:v>2</x:v>
      </x:c>
      <x:c r="L340" s="19" t="str">
        <x:v>KZT</x:v>
      </x:c>
      <x:c r="M340" s="22"/>
      <x:c r="N340" s="22"/>
      <x:c r="O340" s="28"/>
      <x:c r="P340" s="22"/>
      <x:c r="Q340" s="22"/>
      <x:c r="R340" s="28"/>
      <x:c r="S340" s="22"/>
      <x:c r="T340" s="35" t="n">
        <x:f>K340</x:f>
        <x:v>2</x:v>
      </x:c>
      <x:c r="U340" s="20" t="str">
        <x:f>IF(J340="Рассчитано",N340*(1-O340/100),"н/д")</x:f>
        <x:v>н/д</x:v>
      </x:c>
      <x:c r="V340" s="20" t="str">
        <x:f>IF(J340="Рассчитано",T340*U340,"н/д")</x:f>
        <x:v>н/д</x:v>
      </x:c>
      <x:c r="W340" s="20" t="str">
        <x:f>IF(J340="Рассчитано",T340*M340,"н/д")</x:f>
        <x:v>н/д</x:v>
      </x:c>
      <x:c r="X340" s="20" t="str">
        <x:f>IF(J340="Рассчитано",V340-W340,"н/д")</x:f>
        <x:v>н/д</x:v>
      </x:c>
      <x:c r="Y340" s="26" t="str">
        <x:f>IF(J340="Рассчитано",IF(V340&gt;0,G340/V340,"н/д"),"н/д")</x:f>
        <x:v>н/д</x:v>
      </x:c>
      <x:c r="Z340" s="20" t="str">
        <x:f>"н/д"</x:f>
        <x:v>н/д</x:v>
      </x:c>
      <x:c r="AA340" s="20" t="str">
        <x:f>"н/д"</x:f>
        <x:v>н/д</x:v>
      </x:c>
      <x:c r="AB340" s="20" t="str">
        <x:f>"н/д"</x:f>
        <x:v>н/д</x:v>
      </x:c>
      <x:c r="AC340" s="20" t="str">
        <x:f>IF(AND(J340="Рассчитано",T340&gt;0,R340&lt;100),(W340+P340+Q340)/(T340*(1-R340/100)),"н/д")</x:f>
        <x:v>н/д</x:v>
      </x:c>
      <x:c r="AD340" s="11" t="str">
        <x:f>IF(ISNUMBER(G340),IF(G340&lt;0,"Убыток",IF(G340=0,"Без прибыли","Прибыль &gt; 0")),"Не оценён")</x:f>
        <x:v>Не оценён</x:v>
      </x:c>
      <x:c r="AE340" s="12" t="str">
        <x:f>IF(J340="Рассчитано","Выручка "&amp;TEXT(V340,"0.00")&amp;" - себестоимость "&amp;TEXT(W340,"0.00")&amp;" - комиссия "&amp;TEXT(V340*R340/100,"0.00")&amp;" - доставка "&amp;TEXT(P340,"0.00")&amp;" - прочие "&amp;TEXT(Q340,"0.00")&amp;" = "&amp;TEXT(G340,"0.00")&amp;" "&amp;L340,"Введите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0" s="23" t="n">
        <x:v>0.774306604505926</x:v>
      </x:c>
      <x:c r="AG340" s="35" t="n">
        <x:v>3</x:v>
      </x:c>
      <x:c r="AH340" s="35" t="n">
        <x:v>0</x:v>
      </x:c>
      <x:c r="AI340" s="29" t="n">
        <x:v>46266</x:v>
      </x:c>
      <x:c r="AJ340" s="35" t="n">
        <x:v>1</x:v>
      </x:c>
      <x:c r="AK340" s="11" t="str">
        <x:v>минимум</x:v>
      </x:c>
      <x:c r="AL340" s="31" t="n">
        <x:v>329.47869361539784</x:v>
      </x:c>
      <x:c r="AM34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0" s="12" t="str">
        <x:v>Проверить свободный остаток и установить цену для B2B</x:v>
      </x:c>
      <x:c r="AO340" s="12" t="str">
        <x:v>Остаток 3; прогноз 90 дней 0.77; избыток 2 шт. Будущие поступления не выставляются на продажу. Остаток на начало сентября: требуется актуализация.</x:v>
      </x:c>
      <x:c r="AP340" s="12" t="str">
        <x:v>["category_missing", "daily_stockout_data_missing", "new_order_lead_time_unknown", "reservations_unknown", "stale_stock"]</x:v>
      </x:c>
      <x:c r="AQ340" s="11" t="str">
        <x:v>IEK:030200938_</x:v>
      </x:c>
      <x:c r="AR340" s="23" t="n">
        <x:v>1</x:v>
      </x:c>
      <x:c r="AS340" s="23" t="n">
        <x:v>0</x:v>
      </x:c>
      <x:c r="AT340" s="23" t="n">
        <x:v>0</x:v>
      </x:c>
    </x:row>
    <x:row r="341" ht="64" customHeight="1">
      <x:c r="A341" s="10" t="str">
        <x:v>IEK</x:v>
      </x:c>
      <x:c r="B341" s="34" t="str">
        <x:v>030200940_</x:v>
      </x:c>
      <x:c r="C341" s="34" t="str">
        <x:v>BR-H10-K53</x:v>
      </x:c>
      <x:c r="D341" s="13" t="str">
        <x:v>Роз. HDMI б/рамки "BRITE" графит (1/100)</x:v>
      </x:c>
      <x:c r="E341" s="10" t="str">
        <x:v>шт</x:v>
      </x:c>
      <x:c r="F341" s="37" t="n">
        <x:f>MAX(0,ROUNDDOWN((AG341-AF341)/AR341+0.000000001,0)*AR341)</x:f>
        <x:v>6</x:v>
      </x:c>
      <x:c r="G341" s="21" t="str">
        <x:f>IF(J341="Рассчитано",V341*(1-R341/100)-W341-P341-Q341,"н/д")</x:f>
        <x:v>н/д</x:v>
      </x:c>
      <x:c r="H341" s="13" t="str">
        <x:v>Высокий</x:v>
      </x:c>
      <x:c r="I341" s="13" t="str">
        <x:v>Высокий</x:v>
      </x:c>
      <x:c r="J341" s="13" t="str">
        <x:f>IF(L341="","Укажите валюту",IF(NOT(ISNUMBER(K341)),"Укажите объём",IF(K341&lt;=0,"Укажите объём",IF(K341&gt;F341,"Объём выше излишка",IF(COUNT(M341:O341)&lt;3,"Нужны цены",IF(COUNT(P341:R341)&lt;3,"Нужны расходы",IF(OR(M341&lt;0,N341&lt;0,O341&lt;0,O341&gt;100,P341&lt;0,Q341&lt;0,R341&lt;0,R341&gt;100),"Проверьте значения","Рассчитано")))))))</x:f>
        <x:v>Нужны цены</x:v>
      </x:c>
      <x:c r="K341" s="36" t="n">
        <x:v>6</x:v>
      </x:c>
      <x:c r="L341" s="19" t="str">
        <x:v>KZT</x:v>
      </x:c>
      <x:c r="M341" s="22"/>
      <x:c r="N341" s="22"/>
      <x:c r="O341" s="28"/>
      <x:c r="P341" s="22"/>
      <x:c r="Q341" s="22"/>
      <x:c r="R341" s="28"/>
      <x:c r="S341" s="22"/>
      <x:c r="T341" s="37" t="n">
        <x:f>K341</x:f>
        <x:v>6</x:v>
      </x:c>
      <x:c r="U341" s="21" t="str">
        <x:f>IF(J341="Рассчитано",N341*(1-O341/100),"н/д")</x:f>
        <x:v>н/д</x:v>
      </x:c>
      <x:c r="V341" s="21" t="str">
        <x:f>IF(J341="Рассчитано",T341*U341,"н/д")</x:f>
        <x:v>н/д</x:v>
      </x:c>
      <x:c r="W341" s="21" t="str">
        <x:f>IF(J341="Рассчитано",T341*M341,"н/д")</x:f>
        <x:v>н/д</x:v>
      </x:c>
      <x:c r="X341" s="21" t="str">
        <x:f>IF(J341="Рассчитано",V341-W341,"н/д")</x:f>
        <x:v>н/д</x:v>
      </x:c>
      <x:c r="Y341" s="27" t="str">
        <x:f>IF(J341="Рассчитано",IF(V341&gt;0,G341/V341,"н/д"),"н/д")</x:f>
        <x:v>н/д</x:v>
      </x:c>
      <x:c r="Z341" s="21" t="str">
        <x:f>"н/д"</x:f>
        <x:v>н/д</x:v>
      </x:c>
      <x:c r="AA341" s="21" t="str">
        <x:f>"н/д"</x:f>
        <x:v>н/д</x:v>
      </x:c>
      <x:c r="AB341" s="21" t="str">
        <x:f>"н/д"</x:f>
        <x:v>н/д</x:v>
      </x:c>
      <x:c r="AC341" s="21" t="str">
        <x:f>IF(AND(J341="Рассчитано",T341&gt;0,R341&lt;100),(W341+P341+Q341)/(T341*(1-R341/100)),"н/д")</x:f>
        <x:v>н/д</x:v>
      </x:c>
      <x:c r="AD341" s="10" t="str">
        <x:f>IF(ISNUMBER(G341),IF(G341&lt;0,"Убыток",IF(G341=0,"Без прибыли","Прибыль &gt; 0")),"Не оценён")</x:f>
        <x:v>Не оценён</x:v>
      </x:c>
      <x:c r="AE341" s="13" t="str">
        <x:f>IF(J341="Рассчитано","Выручка "&amp;TEXT(V341,"0.00")&amp;" - себестоимость "&amp;TEXT(W341,"0.00")&amp;" - комиссия "&amp;TEXT(V341*R341/100,"0.00")&amp;" - доставка "&amp;TEXT(P341,"0.00")&amp;" - прочие "&amp;TEXT(Q341,"0.00")&amp;" = "&amp;TEXT(G341,"0.00")&amp;" "&amp;L341,"Введите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1" s="24" t="n">
        <x:v>0.7613918108811564</x:v>
      </x:c>
      <x:c r="AG341" s="37" t="n">
        <x:v>7</x:v>
      </x:c>
      <x:c r="AH341" s="37" t="n">
        <x:v>0</x:v>
      </x:c>
      <x:c r="AI341" s="30" t="n">
        <x:v>46266</x:v>
      </x:c>
      <x:c r="AJ341" s="37" t="n">
        <x:v>1</x:v>
      </x:c>
      <x:c r="AK341" s="10" t="str">
        <x:v>минимум</x:v>
      </x:c>
      <x:c r="AL341" s="32" t="n">
        <x:v>781.8237925385533</x:v>
      </x:c>
      <x:c r="AM34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1" s="13" t="str">
        <x:v>Проверить свободный остаток и установить цену для B2B</x:v>
      </x:c>
      <x:c r="AO341" s="13" t="str">
        <x:v>Остаток 7; прогноз 90 дней 0.76; избыток 6 шт. Будущие поступления не выставляются на продажу. Остаток на начало сентября: требуется актуализация.</x:v>
      </x:c>
      <x:c r="AP341" s="13" t="str">
        <x:v>["category_missing", "daily_stockout_data_missing", "new_order_lead_time_unknown", "reservations_unknown", "stale_stock"]</x:v>
      </x:c>
      <x:c r="AQ341" s="10" t="str">
        <x:v>IEK:030200940_</x:v>
      </x:c>
      <x:c r="AR341" s="24" t="n">
        <x:v>1</x:v>
      </x:c>
      <x:c r="AS341" s="24" t="n">
        <x:v>0</x:v>
      </x:c>
      <x:c r="AT341" s="24" t="n">
        <x:v>0</x:v>
      </x:c>
    </x:row>
    <x:row r="342" ht="64" customHeight="1">
      <x:c r="A342" s="11" t="str">
        <x:v>IEK</x:v>
      </x:c>
      <x:c r="B342" s="33" t="str">
        <x:v>030200941_</x:v>
      </x:c>
      <x:c r="C342" s="33" t="str">
        <x:v>BR-H10-K02</x:v>
      </x:c>
      <x:c r="D342" s="12" t="str">
        <x:v>Роз. HDMI б/рамки "BRITE" черный (1/100)</x:v>
      </x:c>
      <x:c r="E342" s="11" t="str">
        <x:v>шт</x:v>
      </x:c>
      <x:c r="F342" s="35" t="n">
        <x:f>MAX(0,ROUNDDOWN((AG342-AF342)/AR342+0.000000001,0)*AR342)</x:f>
        <x:v>6</x:v>
      </x:c>
      <x:c r="G342" s="20" t="str">
        <x:f>IF(J342="Рассчитано",V342*(1-R342/100)-W342-P342-Q342,"н/д")</x:f>
        <x:v>н/д</x:v>
      </x:c>
      <x:c r="H342" s="12" t="str">
        <x:v>Высокий</x:v>
      </x:c>
      <x:c r="I342" s="12" t="str">
        <x:v>Высокий</x:v>
      </x:c>
      <x:c r="J342" s="12" t="str">
        <x:f>IF(L342="","Укажите валюту",IF(NOT(ISNUMBER(K342)),"Укажите объём",IF(K342&lt;=0,"Укажите объём",IF(K342&gt;F342,"Объём выше излишка",IF(COUNT(M342:O342)&lt;3,"Нужны цены",IF(COUNT(P342:R342)&lt;3,"Нужны расходы",IF(OR(M342&lt;0,N342&lt;0,O342&lt;0,O342&gt;100,P342&lt;0,Q342&lt;0,R342&lt;0,R342&gt;100),"Проверьте значения","Рассчитано")))))))</x:f>
        <x:v>Нужны цены</x:v>
      </x:c>
      <x:c r="K342" s="36" t="n">
        <x:v>6</x:v>
      </x:c>
      <x:c r="L342" s="19" t="str">
        <x:v>KZT</x:v>
      </x:c>
      <x:c r="M342" s="22"/>
      <x:c r="N342" s="22"/>
      <x:c r="O342" s="28"/>
      <x:c r="P342" s="22"/>
      <x:c r="Q342" s="22"/>
      <x:c r="R342" s="28"/>
      <x:c r="S342" s="22"/>
      <x:c r="T342" s="35" t="n">
        <x:f>K342</x:f>
        <x:v>6</x:v>
      </x:c>
      <x:c r="U342" s="20" t="str">
        <x:f>IF(J342="Рассчитано",N342*(1-O342/100),"н/д")</x:f>
        <x:v>н/д</x:v>
      </x:c>
      <x:c r="V342" s="20" t="str">
        <x:f>IF(J342="Рассчитано",T342*U342,"н/д")</x:f>
        <x:v>н/д</x:v>
      </x:c>
      <x:c r="W342" s="20" t="str">
        <x:f>IF(J342="Рассчитано",T342*M342,"н/д")</x:f>
        <x:v>н/д</x:v>
      </x:c>
      <x:c r="X342" s="20" t="str">
        <x:f>IF(J342="Рассчитано",V342-W342,"н/д")</x:f>
        <x:v>н/д</x:v>
      </x:c>
      <x:c r="Y342" s="26" t="str">
        <x:f>IF(J342="Рассчитано",IF(V342&gt;0,G342/V342,"н/д"),"н/д")</x:f>
        <x:v>н/д</x:v>
      </x:c>
      <x:c r="Z342" s="20" t="str">
        <x:f>"н/д"</x:f>
        <x:v>н/д</x:v>
      </x:c>
      <x:c r="AA342" s="20" t="str">
        <x:f>"н/д"</x:f>
        <x:v>н/д</x:v>
      </x:c>
      <x:c r="AB342" s="20" t="str">
        <x:f>"н/д"</x:f>
        <x:v>н/д</x:v>
      </x:c>
      <x:c r="AC342" s="20" t="str">
        <x:f>IF(AND(J342="Рассчитано",T342&gt;0,R342&lt;100),(W342+P342+Q342)/(T342*(1-R342/100)),"н/д")</x:f>
        <x:v>н/д</x:v>
      </x:c>
      <x:c r="AD342" s="11" t="str">
        <x:f>IF(ISNUMBER(G342),IF(G342&lt;0,"Убыток",IF(G342=0,"Без прибыли","Прибыль &gt; 0")),"Не оценён")</x:f>
        <x:v>Не оценён</x:v>
      </x:c>
      <x:c r="AE342" s="12" t="str">
        <x:f>IF(J342="Рассчитано","Выручка "&amp;TEXT(V342,"0.00")&amp;" - себестоимость "&amp;TEXT(W342,"0.00")&amp;" - комиссия "&amp;TEXT(V342*R342/100,"0.00")&amp;" - доставка "&amp;TEXT(P342,"0.00")&amp;" - прочие "&amp;TEXT(Q342,"0.00")&amp;" = "&amp;TEXT(G342,"0.00")&amp;" "&amp;L342,"Введите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2" s="23" t="n">
        <x:v>4.184791564556888</x:v>
      </x:c>
      <x:c r="AG342" s="35" t="n">
        <x:v>11</x:v>
      </x:c>
      <x:c r="AH342" s="35" t="n">
        <x:v>0</x:v>
      </x:c>
      <x:c r="AI342" s="29" t="n">
        <x:v>46266</x:v>
      </x:c>
      <x:c r="AJ342" s="35" t="n">
        <x:v>1</x:v>
      </x:c>
      <x:c r="AK342" s="11" t="str">
        <x:v>минимум</x:v>
      </x:c>
      <x:c r="AL342" s="31" t="n">
        <x:v>223.53107041078377</x:v>
      </x:c>
      <x:c r="AM34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2" s="12" t="str">
        <x:v>Проверить свободный остаток и установить цену для B2B</x:v>
      </x:c>
      <x:c r="AO342" s="12" t="str">
        <x:v>Остаток 11; прогноз 90 дней 4.18; избыток 6 шт. Будущие поступления не выставляются на продажу. Остаток на начало сентября: требуется актуализация.</x:v>
      </x:c>
      <x:c r="AP342" s="12" t="str">
        <x:v>["category_missing", "daily_stockout_data_missing", "new_order_lead_time_unknown", "reservations_unknown", "stale_stock"]</x:v>
      </x:c>
      <x:c r="AQ342" s="11" t="str">
        <x:v>IEK:030200941_</x:v>
      </x:c>
      <x:c r="AR342" s="23" t="n">
        <x:v>1</x:v>
      </x:c>
      <x:c r="AS342" s="23" t="n">
        <x:v>0</x:v>
      </x:c>
      <x:c r="AT342" s="23" t="n">
        <x:v>0</x:v>
      </x:c>
    </x:row>
    <x:row r="343" ht="64" customHeight="1">
      <x:c r="A343" s="10" t="str">
        <x:v>IEK</x:v>
      </x:c>
      <x:c r="B343" s="34" t="str">
        <x:v>030200943_</x:v>
      </x:c>
      <x:c r="C343" s="34" t="str">
        <x:v>BR-V15-0-10-K02</x:v>
      </x:c>
      <x:c r="D343" s="13" t="str">
        <x:v>Выкл. жалюзи 10А "BRITE" черный (1/100)</x:v>
      </x:c>
      <x:c r="E343" s="10" t="str">
        <x:v>шт</x:v>
      </x:c>
      <x:c r="F343" s="37" t="n">
        <x:f>MAX(0,ROUNDDOWN((AG343-AF343)/AR343+0.000000001,0)*AR343)</x:f>
        <x:v>22</x:v>
      </x:c>
      <x:c r="G343" s="21" t="str">
        <x:f>IF(J343="Рассчитано",V343*(1-R343/100)-W343-P343-Q343,"н/д")</x:f>
        <x:v>н/д</x:v>
      </x:c>
      <x:c r="H343" s="13" t="str">
        <x:v>Высокий</x:v>
      </x:c>
      <x:c r="I343" s="13" t="str">
        <x:v>Высокий</x:v>
      </x:c>
      <x:c r="J343" s="13" t="str">
        <x:f>IF(L343="","Укажите валюту",IF(NOT(ISNUMBER(K343)),"Укажите объём",IF(K343&lt;=0,"Укажите объём",IF(K343&gt;F343,"Объём выше излишка",IF(COUNT(M343:O343)&lt;3,"Нужны цены",IF(COUNT(P343:R343)&lt;3,"Нужны расходы",IF(OR(M343&lt;0,N343&lt;0,O343&lt;0,O343&gt;100,P343&lt;0,Q343&lt;0,R343&lt;0,R343&gt;100),"Проверьте значения","Рассчитано")))))))</x:f>
        <x:v>Нужны цены</x:v>
      </x:c>
      <x:c r="K343" s="36" t="n">
        <x:v>22</x:v>
      </x:c>
      <x:c r="L343" s="19" t="str">
        <x:v>KZT</x:v>
      </x:c>
      <x:c r="M343" s="22"/>
      <x:c r="N343" s="22"/>
      <x:c r="O343" s="28"/>
      <x:c r="P343" s="22"/>
      <x:c r="Q343" s="22"/>
      <x:c r="R343" s="28"/>
      <x:c r="S343" s="22"/>
      <x:c r="T343" s="37" t="n">
        <x:f>K343</x:f>
        <x:v>22</x:v>
      </x:c>
      <x:c r="U343" s="21" t="str">
        <x:f>IF(J343="Рассчитано",N343*(1-O343/100),"н/д")</x:f>
        <x:v>н/д</x:v>
      </x:c>
      <x:c r="V343" s="21" t="str">
        <x:f>IF(J343="Рассчитано",T343*U343,"н/д")</x:f>
        <x:v>н/д</x:v>
      </x:c>
      <x:c r="W343" s="21" t="str">
        <x:f>IF(J343="Рассчитано",T343*M343,"н/д")</x:f>
        <x:v>н/д</x:v>
      </x:c>
      <x:c r="X343" s="21" t="str">
        <x:f>IF(J343="Рассчитано",V343-W343,"н/д")</x:f>
        <x:v>н/д</x:v>
      </x:c>
      <x:c r="Y343" s="27" t="str">
        <x:f>IF(J343="Рассчитано",IF(V343&gt;0,G343/V343,"н/д"),"н/д")</x:f>
        <x:v>н/д</x:v>
      </x:c>
      <x:c r="Z343" s="21" t="str">
        <x:f>"н/д"</x:f>
        <x:v>н/д</x:v>
      </x:c>
      <x:c r="AA343" s="21" t="str">
        <x:f>"н/д"</x:f>
        <x:v>н/д</x:v>
      </x:c>
      <x:c r="AB343" s="21" t="str">
        <x:f>"н/д"</x:f>
        <x:v>н/д</x:v>
      </x:c>
      <x:c r="AC343" s="21" t="str">
        <x:f>IF(AND(J343="Рассчитано",T343&gt;0,R343&lt;100),(W343+P343+Q343)/(T343*(1-R343/100)),"н/д")</x:f>
        <x:v>н/д</x:v>
      </x:c>
      <x:c r="AD343" s="10" t="str">
        <x:f>IF(ISNUMBER(G343),IF(G343&lt;0,"Убыток",IF(G343=0,"Без прибыли","Прибыль &gt; 0")),"Не оценён")</x:f>
        <x:v>Не оценён</x:v>
      </x:c>
      <x:c r="AE343" s="13" t="str">
        <x:f>IF(J343="Рассчитано","Выручка "&amp;TEXT(V343,"0.00")&amp;" - себестоимость "&amp;TEXT(W343,"0.00")&amp;" - комиссия "&amp;TEXT(V343*R343/100,"0.00")&amp;" - доставка "&amp;TEXT(P343,"0.00")&amp;" - прочие "&amp;TEXT(Q343,"0.00")&amp;" = "&amp;TEXT(G343,"0.00")&amp;" "&amp;L343,"Введите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3" s="24" t="n">
        <x:v>12.011454004197983</x:v>
      </x:c>
      <x:c r="AG343" s="37" t="n">
        <x:v>35</x:v>
      </x:c>
      <x:c r="AH343" s="37" t="n">
        <x:v>0</x:v>
      </x:c>
      <x:c r="AI343" s="30" t="n">
        <x:v>46266</x:v>
      </x:c>
      <x:c r="AJ343" s="37" t="n">
        <x:v>1</x:v>
      </x:c>
      <x:c r="AK343" s="10" t="str">
        <x:v>минимум</x:v>
      </x:c>
      <x:c r="AL343" s="32" t="n">
        <x:v>247.79441064456296</x:v>
      </x:c>
      <x:c r="AM34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3" s="13" t="str">
        <x:v>Проверить свободный остаток и установить цену для B2B</x:v>
      </x:c>
      <x:c r="AO343" s="13" t="str">
        <x:v>Остаток 35; прогноз 90 дней 12.01; избыток 22 шт. Будущие поступления не выставляются на продажу. Остаток на начало сентября: требуется актуализация.</x:v>
      </x:c>
      <x:c r="AP343" s="13" t="str">
        <x:v>["category_missing", "daily_stockout_data_missing", "new_order_lead_time_unknown", "reservations_unknown", "stale_stock"]</x:v>
      </x:c>
      <x:c r="AQ343" s="10" t="str">
        <x:v>IEK:030200943_</x:v>
      </x:c>
      <x:c r="AR343" s="24" t="n">
        <x:v>1</x:v>
      </x:c>
      <x:c r="AS343" s="24" t="n">
        <x:v>0</x:v>
      </x:c>
      <x:c r="AT343" s="24" t="n">
        <x:v>0</x:v>
      </x:c>
    </x:row>
    <x:row r="344" ht="64" customHeight="1">
      <x:c r="A344" s="11" t="str">
        <x:v>IEK</x:v>
      </x:c>
      <x:c r="B344" s="33" t="str">
        <x:v>030200944_</x:v>
      </x:c>
      <x:c r="C344" s="33" t="str">
        <x:v>BR-V15-0-10-K53</x:v>
      </x:c>
      <x:c r="D344" s="12" t="str">
        <x:v>Выкл. жалюзи 10А "BRITE" графит (1/100)</x:v>
      </x:c>
      <x:c r="E344" s="11" t="str">
        <x:v>шт</x:v>
      </x:c>
      <x:c r="F344" s="35" t="n">
        <x:f>MAX(0,ROUNDDOWN((AG344-AF344)/AR344+0.000000001,0)*AR344)</x:f>
        <x:v>2</x:v>
      </x:c>
      <x:c r="G344" s="20" t="str">
        <x:f>IF(J344="Рассчитано",V344*(1-R344/100)-W344-P344-Q344,"н/д")</x:f>
        <x:v>н/д</x:v>
      </x:c>
      <x:c r="H344" s="12" t="str">
        <x:v>Высокий</x:v>
      </x:c>
      <x:c r="I344" s="12" t="str">
        <x:v>Высокий</x:v>
      </x:c>
      <x:c r="J344" s="12" t="str">
        <x:f>IF(L344="","Укажите валюту",IF(NOT(ISNUMBER(K344)),"Укажите объём",IF(K344&lt;=0,"Укажите объём",IF(K344&gt;F344,"Объём выше излишка",IF(COUNT(M344:O344)&lt;3,"Нужны цены",IF(COUNT(P344:R344)&lt;3,"Нужны расходы",IF(OR(M344&lt;0,N344&lt;0,O344&lt;0,O344&gt;100,P344&lt;0,Q344&lt;0,R344&lt;0,R344&gt;100),"Проверьте значения","Рассчитано")))))))</x:f>
        <x:v>Нужны цены</x:v>
      </x:c>
      <x:c r="K344" s="36" t="n">
        <x:v>2</x:v>
      </x:c>
      <x:c r="L344" s="19" t="str">
        <x:v>KZT</x:v>
      </x:c>
      <x:c r="M344" s="22"/>
      <x:c r="N344" s="22"/>
      <x:c r="O344" s="28"/>
      <x:c r="P344" s="22"/>
      <x:c r="Q344" s="22"/>
      <x:c r="R344" s="28"/>
      <x:c r="S344" s="22"/>
      <x:c r="T344" s="35" t="n">
        <x:f>K344</x:f>
        <x:v>2</x:v>
      </x:c>
      <x:c r="U344" s="20" t="str">
        <x:f>IF(J344="Рассчитано",N344*(1-O344/100),"н/д")</x:f>
        <x:v>н/д</x:v>
      </x:c>
      <x:c r="V344" s="20" t="str">
        <x:f>IF(J344="Рассчитано",T344*U344,"н/д")</x:f>
        <x:v>н/д</x:v>
      </x:c>
      <x:c r="W344" s="20" t="str">
        <x:f>IF(J344="Рассчитано",T344*M344,"н/д")</x:f>
        <x:v>н/д</x:v>
      </x:c>
      <x:c r="X344" s="20" t="str">
        <x:f>IF(J344="Рассчитано",V344-W344,"н/д")</x:f>
        <x:v>н/д</x:v>
      </x:c>
      <x:c r="Y344" s="26" t="str">
        <x:f>IF(J344="Рассчитано",IF(V344&gt;0,G344/V344,"н/д"),"н/д")</x:f>
        <x:v>н/д</x:v>
      </x:c>
      <x:c r="Z344" s="20" t="str">
        <x:f>"н/д"</x:f>
        <x:v>н/д</x:v>
      </x:c>
      <x:c r="AA344" s="20" t="str">
        <x:f>"н/д"</x:f>
        <x:v>н/д</x:v>
      </x:c>
      <x:c r="AB344" s="20" t="str">
        <x:f>"н/д"</x:f>
        <x:v>н/д</x:v>
      </x:c>
      <x:c r="AC344" s="20" t="str">
        <x:f>IF(AND(J344="Рассчитано",T344&gt;0,R344&lt;100),(W344+P344+Q344)/(T344*(1-R344/100)),"н/д")</x:f>
        <x:v>н/д</x:v>
      </x:c>
      <x:c r="AD344" s="11" t="str">
        <x:f>IF(ISNUMBER(G344),IF(G344&lt;0,"Убыток",IF(G344=0,"Без прибыли","Прибыль &gt; 0")),"Не оценён")</x:f>
        <x:v>Не оценён</x:v>
      </x:c>
      <x:c r="AE344" s="12" t="str">
        <x:f>IF(J344="Рассчитано","Выручка "&amp;TEXT(V344,"0.00")&amp;" - себестоимость "&amp;TEXT(W344,"0.00")&amp;" - комиссия "&amp;TEXT(V344*R344/100,"0.00")&amp;" - доставка "&amp;TEXT(P344,"0.00")&amp;" - прочие "&amp;TEXT(Q344,"0.00")&amp;" = "&amp;TEXT(G344,"0.00")&amp;" "&amp;L344,"Введите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4" s="23" t="n">
        <x:v>1.2016812456036112</x:v>
      </x:c>
      <x:c r="AG344" s="35" t="n">
        <x:v>4</x:v>
      </x:c>
      <x:c r="AH344" s="35" t="n">
        <x:v>0</x:v>
      </x:c>
      <x:c r="AI344" s="29" t="n">
        <x:v>46266</x:v>
      </x:c>
      <x:c r="AJ344" s="35" t="n">
        <x:v>1</x:v>
      </x:c>
      <x:c r="AK344" s="11" t="str">
        <x:v>минимум</x:v>
      </x:c>
      <x:c r="AL344" s="31" t="n">
        <x:v>283.0673324768863</x:v>
      </x:c>
      <x:c r="AM34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4" s="12" t="str">
        <x:v>Проверить свободный остаток и установить цену для B2B</x:v>
      </x:c>
      <x:c r="AO344" s="12" t="str">
        <x:v>Остаток 4; прогноз 90 дней 1.20; избыток 2 шт. Будущие поступления не выставляются на продажу. Остаток на начало сентября: требуется актуализация.</x:v>
      </x:c>
      <x:c r="AP344" s="12" t="str">
        <x:v>["category_missing", "daily_stockout_data_missing", "new_order_lead_time_unknown", "reservations_unknown", "stale_stock"]</x:v>
      </x:c>
      <x:c r="AQ344" s="11" t="str">
        <x:v>IEK:030200944_</x:v>
      </x:c>
      <x:c r="AR344" s="23" t="n">
        <x:v>1</x:v>
      </x:c>
      <x:c r="AS344" s="23" t="n">
        <x:v>0</x:v>
      </x:c>
      <x:c r="AT344" s="23" t="n">
        <x:v>0</x:v>
      </x:c>
    </x:row>
    <x:row r="345" ht="64" customHeight="1">
      <x:c r="A345" s="10" t="str">
        <x:v>IEK</x:v>
      </x:c>
      <x:c r="B345" s="34" t="str">
        <x:v>030200945_</x:v>
      </x:c>
      <x:c r="C345" s="34" t="str">
        <x:v>BR-V15-0-10-K46</x:v>
      </x:c>
      <x:c r="D345" s="13" t="str">
        <x:v>Выкл. жалюзи 10А "BRITE" сталь (1/100)</x:v>
      </x:c>
      <x:c r="E345" s="10" t="str">
        <x:v>шт</x:v>
      </x:c>
      <x:c r="F345" s="37" t="n">
        <x:f>MAX(0,ROUNDDOWN((AG345-AF345)/AR345+0.000000001,0)*AR345)</x:f>
        <x:v>4</x:v>
      </x:c>
      <x:c r="G345" s="21" t="str">
        <x:f>IF(J345="Рассчитано",V345*(1-R345/100)-W345-P345-Q345,"н/д")</x:f>
        <x:v>н/д</x:v>
      </x:c>
      <x:c r="H345" s="13" t="str">
        <x:v>Высокий</x:v>
      </x:c>
      <x:c r="I345" s="13" t="str">
        <x:v>Средний</x:v>
      </x:c>
      <x:c r="J345" s="13" t="str">
        <x:f>IF(L345="","Укажите валюту",IF(NOT(ISNUMBER(K345)),"Укажите объём",IF(K345&lt;=0,"Укажите объём",IF(K345&gt;F345,"Объём выше излишка",IF(COUNT(M345:O345)&lt;3,"Нужны цены",IF(COUNT(P345:R345)&lt;3,"Нужны расходы",IF(OR(M345&lt;0,N345&lt;0,O345&lt;0,O345&gt;100,P345&lt;0,Q345&lt;0,R345&lt;0,R345&gt;100),"Проверьте значения","Рассчитано")))))))</x:f>
        <x:v>Нужны цены</x:v>
      </x:c>
      <x:c r="K345" s="36" t="n">
        <x:v>4</x:v>
      </x:c>
      <x:c r="L345" s="19" t="str">
        <x:v>KZT</x:v>
      </x:c>
      <x:c r="M345" s="22"/>
      <x:c r="N345" s="22"/>
      <x:c r="O345" s="28"/>
      <x:c r="P345" s="22"/>
      <x:c r="Q345" s="22"/>
      <x:c r="R345" s="28"/>
      <x:c r="S345" s="22"/>
      <x:c r="T345" s="37" t="n">
        <x:f>K345</x:f>
        <x:v>4</x:v>
      </x:c>
      <x:c r="U345" s="21" t="str">
        <x:f>IF(J345="Рассчитано",N345*(1-O345/100),"н/д")</x:f>
        <x:v>н/д</x:v>
      </x:c>
      <x:c r="V345" s="21" t="str">
        <x:f>IF(J345="Рассчитано",T345*U345,"н/д")</x:f>
        <x:v>н/д</x:v>
      </x:c>
      <x:c r="W345" s="21" t="str">
        <x:f>IF(J345="Рассчитано",T345*M345,"н/д")</x:f>
        <x:v>н/д</x:v>
      </x:c>
      <x:c r="X345" s="21" t="str">
        <x:f>IF(J345="Рассчитано",V345-W345,"н/д")</x:f>
        <x:v>н/д</x:v>
      </x:c>
      <x:c r="Y345" s="27" t="str">
        <x:f>IF(J345="Рассчитано",IF(V345&gt;0,G345/V345,"н/д"),"н/д")</x:f>
        <x:v>н/д</x:v>
      </x:c>
      <x:c r="Z345" s="21" t="str">
        <x:f>"н/д"</x:f>
        <x:v>н/д</x:v>
      </x:c>
      <x:c r="AA345" s="21" t="str">
        <x:f>"н/д"</x:f>
        <x:v>н/д</x:v>
      </x:c>
      <x:c r="AB345" s="21" t="str">
        <x:f>"н/д"</x:f>
        <x:v>н/д</x:v>
      </x:c>
      <x:c r="AC345" s="21" t="str">
        <x:f>IF(AND(J345="Рассчитано",T345&gt;0,R345&lt;100),(W345+P345+Q345)/(T345*(1-R345/100)),"н/д")</x:f>
        <x:v>н/д</x:v>
      </x:c>
      <x:c r="AD345" s="10" t="str">
        <x:f>IF(ISNUMBER(G345),IF(G345&lt;0,"Убыток",IF(G345=0,"Без прибыли","Прибыль &gt; 0")),"Не оценён")</x:f>
        <x:v>Не оценён</x:v>
      </x:c>
      <x:c r="AE345" s="13" t="str">
        <x:f>IF(J345="Рассчитано","Выручка "&amp;TEXT(V345,"0.00")&amp;" - себестоимость "&amp;TEXT(W345,"0.00")&amp;" - комиссия "&amp;TEXT(V345*R345/100,"0.00")&amp;" - доставка "&amp;TEXT(P345,"0.00")&amp;" - прочие "&amp;TEXT(Q345,"0.00")&amp;" = "&amp;TEXT(G345,"0.00")&amp;" "&amp;L345,"Введите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5" s="24" t="n">
        <x:v>4.6926852376483605</x:v>
      </x:c>
      <x:c r="AG345" s="37" t="n">
        <x:v>9</x:v>
      </x:c>
      <x:c r="AH345" s="37" t="n">
        <x:v>0</x:v>
      </x:c>
      <x:c r="AI345" s="30" t="n">
        <x:v>46266</x:v>
      </x:c>
      <x:c r="AJ345" s="37" t="n">
        <x:v>1</x:v>
      </x:c>
      <x:c r="AK345" s="10" t="str">
        <x:v>минимум</x:v>
      </x:c>
      <x:c r="AL345" s="32" t="n">
        <x:v>163.0948053772948</x:v>
      </x:c>
      <x:c r="AM345" s="13" t="str">
        <x:v>Остаток на начало сентября; Резервы неизвестны; Нет ежедневных данных доступности. Запас выше прогноза на 90 дней</x:v>
      </x:c>
      <x:c r="AN345" s="13" t="str">
        <x:v>Проверить свободный остаток и установить цену для B2B</x:v>
      </x:c>
      <x:c r="AO345" s="13" t="str">
        <x:v>Остаток 9; прогноз 90 дней 4.69; избыток 4 шт. Будущие поступления не выставляются на продажу. Остаток на начало сентября: требуется актуализация.</x:v>
      </x:c>
      <x:c r="AP345" s="13" t="str">
        <x:v>["category_missing", "daily_stockout_data_missing", "new_order_lead_time_unknown", "reservations_unknown", "stale_stock"]</x:v>
      </x:c>
      <x:c r="AQ345" s="10" t="str">
        <x:v>IEK:030200945_</x:v>
      </x:c>
      <x:c r="AR345" s="24" t="n">
        <x:v>1</x:v>
      </x:c>
      <x:c r="AS345" s="24" t="n">
        <x:v>0</x:v>
      </x:c>
      <x:c r="AT345" s="24" t="n">
        <x:v>0</x:v>
      </x:c>
    </x:row>
    <x:row r="346" ht="64" customHeight="1">
      <x:c r="A346" s="11" t="str">
        <x:v>IEK</x:v>
      </x:c>
      <x:c r="B346" s="33" t="str">
        <x:v>030200946_</x:v>
      </x:c>
      <x:c r="C346" s="33" t="str">
        <x:v>BR-V15-0-10-K47</x:v>
      </x:c>
      <x:c r="D346" s="12" t="str">
        <x:v>Выкл. жалюзи 10А "BRITE" алюминий (1/100)</x:v>
      </x:c>
      <x:c r="E346" s="11" t="str">
        <x:v>шт</x:v>
      </x:c>
      <x:c r="F346" s="35" t="n">
        <x:f>MAX(0,ROUNDDOWN((AG346-AF346)/AR346+0.000000001,0)*AR346)</x:f>
        <x:v>1</x:v>
      </x:c>
      <x:c r="G346" s="20" t="str">
        <x:f>IF(J346="Рассчитано",V346*(1-R346/100)-W346-P346-Q346,"н/д")</x:f>
        <x:v>н/д</x:v>
      </x:c>
      <x:c r="H346" s="12" t="str">
        <x:v>Высокий</x:v>
      </x:c>
      <x:c r="I346" s="12" t="str">
        <x:v>Высокий</x:v>
      </x:c>
      <x:c r="J346" s="12" t="str">
        <x:f>IF(L346="","Укажите валюту",IF(NOT(ISNUMBER(K346)),"Укажите объём",IF(K346&lt;=0,"Укажите объём",IF(K346&gt;F346,"Объём выше излишка",IF(COUNT(M346:O346)&lt;3,"Нужны цены",IF(COUNT(P346:R346)&lt;3,"Нужны расходы",IF(OR(M346&lt;0,N346&lt;0,O346&lt;0,O346&gt;100,P346&lt;0,Q346&lt;0,R346&lt;0,R346&gt;100),"Проверьте значения","Рассчитано")))))))</x:f>
        <x:v>Нужны цены</x:v>
      </x:c>
      <x:c r="K346" s="36" t="n">
        <x:v>1</x:v>
      </x:c>
      <x:c r="L346" s="19" t="str">
        <x:v>KZT</x:v>
      </x:c>
      <x:c r="M346" s="22"/>
      <x:c r="N346" s="22"/>
      <x:c r="O346" s="28"/>
      <x:c r="P346" s="22"/>
      <x:c r="Q346" s="22"/>
      <x:c r="R346" s="28"/>
      <x:c r="S346" s="22"/>
      <x:c r="T346" s="35" t="n">
        <x:f>K346</x:f>
        <x:v>1</x:v>
      </x:c>
      <x:c r="U346" s="20" t="str">
        <x:f>IF(J346="Рассчитано",N346*(1-O346/100),"н/д")</x:f>
        <x:v>н/д</x:v>
      </x:c>
      <x:c r="V346" s="20" t="str">
        <x:f>IF(J346="Рассчитано",T346*U346,"н/д")</x:f>
        <x:v>н/д</x:v>
      </x:c>
      <x:c r="W346" s="20" t="str">
        <x:f>IF(J346="Рассчитано",T346*M346,"н/д")</x:f>
        <x:v>н/д</x:v>
      </x:c>
      <x:c r="X346" s="20" t="str">
        <x:f>IF(J346="Рассчитано",V346-W346,"н/д")</x:f>
        <x:v>н/д</x:v>
      </x:c>
      <x:c r="Y346" s="26" t="str">
        <x:f>IF(J346="Рассчитано",IF(V346&gt;0,G346/V346,"н/д"),"н/д")</x:f>
        <x:v>н/д</x:v>
      </x:c>
      <x:c r="Z346" s="20" t="str">
        <x:f>"н/д"</x:f>
        <x:v>н/д</x:v>
      </x:c>
      <x:c r="AA346" s="20" t="str">
        <x:f>"н/д"</x:f>
        <x:v>н/д</x:v>
      </x:c>
      <x:c r="AB346" s="20" t="str">
        <x:f>"н/д"</x:f>
        <x:v>н/д</x:v>
      </x:c>
      <x:c r="AC346" s="20" t="str">
        <x:f>IF(AND(J346="Рассчитано",T346&gt;0,R346&lt;100),(W346+P346+Q346)/(T346*(1-R346/100)),"н/д")</x:f>
        <x:v>н/д</x:v>
      </x:c>
      <x:c r="AD346" s="11" t="str">
        <x:f>IF(ISNUMBER(G346),IF(G346&lt;0,"Убыток",IF(G346=0,"Без прибыли","Прибыль &gt; 0")),"Не оценён")</x:f>
        <x:v>Не оценён</x:v>
      </x:c>
      <x:c r="AE346" s="12" t="str">
        <x:f>IF(J346="Рассчитано","Выручка "&amp;TEXT(V346,"0.00")&amp;" - себестоимость "&amp;TEXT(W346,"0.00")&amp;" - комиссия "&amp;TEXT(V346*R346/100,"0.00")&amp;" - доставка "&amp;TEXT(P346,"0.00")&amp;" - прочие "&amp;TEXT(Q346,"0.00")&amp;" = "&amp;TEXT(G346,"0.00")&amp;" "&amp;L346,"Введите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6" s="23" t="n">
        <x:v>0.5175347345411155</x:v>
      </x:c>
      <x:c r="AG346" s="35" t="n">
        <x:v>2</x:v>
      </x:c>
      <x:c r="AH346" s="35" t="n">
        <x:v>0</x:v>
      </x:c>
      <x:c r="AI346" s="29" t="n">
        <x:v>46266</x:v>
      </x:c>
      <x:c r="AJ346" s="35" t="n">
        <x:v>1</x:v>
      </x:c>
      <x:c r="AK346" s="11" t="str">
        <x:v>минимум</x:v>
      </x:c>
      <x:c r="AL346" s="31" t="n">
        <x:v>328.631763220805</x:v>
      </x:c>
      <x:c r="AM34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6" s="12" t="str">
        <x:v>Проверить свободный остаток и установить цену для B2B</x:v>
      </x:c>
      <x:c r="AO346" s="12" t="str">
        <x:v>Остаток 2; прогноз 90 дней 0.52; избыток 1 шт. Будущие поступления не выставляются на продажу. Остаток на начало сентября: требуется актуализация.</x:v>
      </x:c>
      <x:c r="AP346" s="12" t="str">
        <x:v>["category_missing", "daily_stockout_data_missing", "new_order_lead_time_unknown", "reservations_unknown", "stale_stock"]</x:v>
      </x:c>
      <x:c r="AQ346" s="11" t="str">
        <x:v>IEK:030200946_</x:v>
      </x:c>
      <x:c r="AR346" s="23" t="n">
        <x:v>1</x:v>
      </x:c>
      <x:c r="AS346" s="23" t="n">
        <x:v>0</x:v>
      </x:c>
      <x:c r="AT346" s="23" t="n">
        <x:v>0</x:v>
      </x:c>
    </x:row>
    <x:row r="347" ht="64" customHeight="1">
      <x:c r="A347" s="10" t="str">
        <x:v>IEK</x:v>
      </x:c>
      <x:c r="B347" s="34" t="str">
        <x:v>030200948_</x:v>
      </x:c>
      <x:c r="C347" s="34" t="str">
        <x:v>BR-R14-16-U22-018-K53</x:v>
      </x:c>
      <x:c r="D347" s="13" t="str">
        <x:v>Роз. с з/к с з/ш 16А с USB A+C 18Вт б/рамки "BRITE" графит (1/80)</x:v>
      </x:c>
      <x:c r="E347" s="10" t="str">
        <x:v>шт</x:v>
      </x:c>
      <x:c r="F347" s="37" t="n">
        <x:f>MAX(0,ROUNDDOWN((AG347-AF347)/AR347+0.000000001,0)*AR347)</x:f>
        <x:v>20</x:v>
      </x:c>
      <x:c r="G347" s="21" t="str">
        <x:f>IF(J347="Рассчитано",V347*(1-R347/100)-W347-P347-Q347,"н/д")</x:f>
        <x:v>н/д</x:v>
      </x:c>
      <x:c r="H347" s="13" t="str">
        <x:v>Высокий</x:v>
      </x:c>
      <x:c r="I347" s="13" t="str">
        <x:v>Высокий</x:v>
      </x:c>
      <x:c r="J347" s="13" t="str">
        <x:f>IF(L347="","Укажите валюту",IF(NOT(ISNUMBER(K347)),"Укажите объём",IF(K347&lt;=0,"Укажите объём",IF(K347&gt;F347,"Объём выше излишка",IF(COUNT(M347:O347)&lt;3,"Нужны цены",IF(COUNT(P347:R347)&lt;3,"Нужны расходы",IF(OR(M347&lt;0,N347&lt;0,O347&lt;0,O347&gt;100,P347&lt;0,Q347&lt;0,R347&lt;0,R347&gt;100),"Проверьте значения","Рассчитано")))))))</x:f>
        <x:v>Нужны цены</x:v>
      </x:c>
      <x:c r="K347" s="36" t="n">
        <x:v>20</x:v>
      </x:c>
      <x:c r="L347" s="19" t="str">
        <x:v>KZT</x:v>
      </x:c>
      <x:c r="M347" s="22"/>
      <x:c r="N347" s="22"/>
      <x:c r="O347" s="28"/>
      <x:c r="P347" s="22"/>
      <x:c r="Q347" s="22"/>
      <x:c r="R347" s="28"/>
      <x:c r="S347" s="22"/>
      <x:c r="T347" s="37" t="n">
        <x:f>K347</x:f>
        <x:v>20</x:v>
      </x:c>
      <x:c r="U347" s="21" t="str">
        <x:f>IF(J347="Рассчитано",N347*(1-O347/100),"н/д")</x:f>
        <x:v>н/д</x:v>
      </x:c>
      <x:c r="V347" s="21" t="str">
        <x:f>IF(J347="Рассчитано",T347*U347,"н/д")</x:f>
        <x:v>н/д</x:v>
      </x:c>
      <x:c r="W347" s="21" t="str">
        <x:f>IF(J347="Рассчитано",T347*M347,"н/д")</x:f>
        <x:v>н/д</x:v>
      </x:c>
      <x:c r="X347" s="21" t="str">
        <x:f>IF(J347="Рассчитано",V347-W347,"н/д")</x:f>
        <x:v>н/д</x:v>
      </x:c>
      <x:c r="Y347" s="27" t="str">
        <x:f>IF(J347="Рассчитано",IF(V347&gt;0,G347/V347,"н/д"),"н/д")</x:f>
        <x:v>н/д</x:v>
      </x:c>
      <x:c r="Z347" s="21" t="str">
        <x:f>"н/д"</x:f>
        <x:v>н/д</x:v>
      </x:c>
      <x:c r="AA347" s="21" t="str">
        <x:f>"н/д"</x:f>
        <x:v>н/д</x:v>
      </x:c>
      <x:c r="AB347" s="21" t="str">
        <x:f>"н/д"</x:f>
        <x:v>н/д</x:v>
      </x:c>
      <x:c r="AC347" s="21" t="str">
        <x:f>IF(AND(J347="Рассчитано",T347&gt;0,R347&lt;100),(W347+P347+Q347)/(T347*(1-R347/100)),"н/д")</x:f>
        <x:v>н/д</x:v>
      </x:c>
      <x:c r="AD347" s="10" t="str">
        <x:f>IF(ISNUMBER(G347),IF(G347&lt;0,"Убыток",IF(G347=0,"Без прибыли","Прибыль &gt; 0")),"Не оценён")</x:f>
        <x:v>Не оценён</x:v>
      </x:c>
      <x:c r="AE347" s="13" t="str">
        <x:f>IF(J347="Рассчитано","Выручка "&amp;TEXT(V347,"0.00")&amp;" - себестоимость "&amp;TEXT(W347,"0.00")&amp;" - комиссия "&amp;TEXT(V347*R347/100,"0.00")&amp;" - доставка "&amp;TEXT(P347,"0.00")&amp;" - прочие "&amp;TEXT(Q347,"0.00")&amp;" = "&amp;TEXT(G347,"0.00")&amp;" "&amp;L347,"Введите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7" s="24" t="n">
        <x:v>0.114314323227914</x:v>
      </x:c>
      <x:c r="AG347" s="37" t="n">
        <x:v>21</x:v>
      </x:c>
      <x:c r="AH347" s="37" t="n">
        <x:v>0</x:v>
      </x:c>
      <x:c r="AI347" s="30" t="n">
        <x:v>46266</x:v>
      </x:c>
      <x:c r="AJ347" s="37" t="n">
        <x:v>1</x:v>
      </x:c>
      <x:c r="AK347" s="10" t="str">
        <x:v>минимум</x:v>
      </x:c>
      <x:c r="AL347" s="32" t="n">
        <x:v>15622.037983921144</x:v>
      </x:c>
      <x:c r="AM34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7" s="13" t="str">
        <x:v>Проверить свободный остаток и установить цену для B2B</x:v>
      </x:c>
      <x:c r="AO347" s="13" t="str">
        <x:v>Остаток 21; прогноз 90 дней 0.11; избыток 20 шт. Будущие поступления не выставляются на продажу. Остаток на начало сентября: требуется актуализация.</x:v>
      </x:c>
      <x:c r="AP347" s="13" t="str">
        <x:v>["category_missing", "daily_stockout_data_missing", "new_order_lead_time_unknown", "reservations_unknown", "stale_stock"]</x:v>
      </x:c>
      <x:c r="AQ347" s="10" t="str">
        <x:v>IEK:030200948_</x:v>
      </x:c>
      <x:c r="AR347" s="24" t="n">
        <x:v>1</x:v>
      </x:c>
      <x:c r="AS347" s="24" t="n">
        <x:v>0</x:v>
      </x:c>
      <x:c r="AT347" s="24" t="n">
        <x:v>0</x:v>
      </x:c>
    </x:row>
    <x:row r="348" ht="64" customHeight="1">
      <x:c r="A348" s="11" t="str">
        <x:v>IEK</x:v>
      </x:c>
      <x:c r="B348" s="33" t="str">
        <x:v>030200950_</x:v>
      </x:c>
      <x:c r="C348" s="33" t="str">
        <x:v>BR-R14-16-U22-018-K47</x:v>
      </x:c>
      <x:c r="D348" s="12" t="str">
        <x:v>Роз. с з/к с з/ш 16А с USB A+C 18Вт б/рамки "BRITE" алюминий (1/80)</x:v>
      </x:c>
      <x:c r="E348" s="11" t="str">
        <x:v>шт</x:v>
      </x:c>
      <x:c r="F348" s="35" t="n">
        <x:f>MAX(0,ROUNDDOWN((AG348-AF348)/AR348+0.000000001,0)*AR348)</x:f>
        <x:v>2</x:v>
      </x:c>
      <x:c r="G348" s="20" t="str">
        <x:f>IF(J348="Рассчитано",V348*(1-R348/100)-W348-P348-Q348,"н/д")</x:f>
        <x:v>н/д</x:v>
      </x:c>
      <x:c r="H348" s="12" t="str">
        <x:v>Высокий</x:v>
      </x:c>
      <x:c r="I348" s="12" t="str">
        <x:v>Высокий</x:v>
      </x:c>
      <x:c r="J348" s="12" t="str">
        <x:f>IF(L348="","Укажите валюту",IF(NOT(ISNUMBER(K348)),"Укажите объём",IF(K348&lt;=0,"Укажите объём",IF(K348&gt;F348,"Объём выше излишка",IF(COUNT(M348:O348)&lt;3,"Нужны цены",IF(COUNT(P348:R348)&lt;3,"Нужны расходы",IF(OR(M348&lt;0,N348&lt;0,O348&lt;0,O348&gt;100,P348&lt;0,Q348&lt;0,R348&lt;0,R348&gt;100),"Проверьте значения","Рассчитано")))))))</x:f>
        <x:v>Нужны цены</x:v>
      </x:c>
      <x:c r="K348" s="36" t="n">
        <x:v>2</x:v>
      </x:c>
      <x:c r="L348" s="19" t="str">
        <x:v>KZT</x:v>
      </x:c>
      <x:c r="M348" s="22"/>
      <x:c r="N348" s="22"/>
      <x:c r="O348" s="28"/>
      <x:c r="P348" s="22"/>
      <x:c r="Q348" s="22"/>
      <x:c r="R348" s="28"/>
      <x:c r="S348" s="22"/>
      <x:c r="T348" s="35" t="n">
        <x:f>K348</x:f>
        <x:v>2</x:v>
      </x:c>
      <x:c r="U348" s="20" t="str">
        <x:f>IF(J348="Рассчитано",N348*(1-O348/100),"н/д")</x:f>
        <x:v>н/д</x:v>
      </x:c>
      <x:c r="V348" s="20" t="str">
        <x:f>IF(J348="Рассчитано",T348*U348,"н/д")</x:f>
        <x:v>н/д</x:v>
      </x:c>
      <x:c r="W348" s="20" t="str">
        <x:f>IF(J348="Рассчитано",T348*M348,"н/д")</x:f>
        <x:v>н/д</x:v>
      </x:c>
      <x:c r="X348" s="20" t="str">
        <x:f>IF(J348="Рассчитано",V348-W348,"н/д")</x:f>
        <x:v>н/д</x:v>
      </x:c>
      <x:c r="Y348" s="26" t="str">
        <x:f>IF(J348="Рассчитано",IF(V348&gt;0,G348/V348,"н/д"),"н/д")</x:f>
        <x:v>н/д</x:v>
      </x:c>
      <x:c r="Z348" s="20" t="str">
        <x:f>"н/д"</x:f>
        <x:v>н/д</x:v>
      </x:c>
      <x:c r="AA348" s="20" t="str">
        <x:f>"н/д"</x:f>
        <x:v>н/д</x:v>
      </x:c>
      <x:c r="AB348" s="20" t="str">
        <x:f>"н/д"</x:f>
        <x:v>н/д</x:v>
      </x:c>
      <x:c r="AC348" s="20" t="str">
        <x:f>IF(AND(J348="Рассчитано",T348&gt;0,R348&lt;100),(W348+P348+Q348)/(T348*(1-R348/100)),"н/д")</x:f>
        <x:v>н/д</x:v>
      </x:c>
      <x:c r="AD348" s="11" t="str">
        <x:f>IF(ISNUMBER(G348),IF(G348&lt;0,"Убыток",IF(G348=0,"Без прибыли","Прибыль &gt; 0")),"Не оценён")</x:f>
        <x:v>Не оценён</x:v>
      </x:c>
      <x:c r="AE348" s="12" t="str">
        <x:f>IF(J348="Рассчитано","Выручка "&amp;TEXT(V348,"0.00")&amp;" - себестоимость "&amp;TEXT(W348,"0.00")&amp;" - комиссия "&amp;TEXT(V348*R348/100,"0.00")&amp;" - доставка "&amp;TEXT(P348,"0.00")&amp;" - прочие "&amp;TEXT(Q348,"0.00")&amp;" = "&amp;TEXT(G348,"0.00")&amp;" "&amp;L348,"Введите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8" s="23" t="n">
        <x:v>0.54432471862978</x:v>
      </x:c>
      <x:c r="AG348" s="35" t="n">
        <x:v>3</x:v>
      </x:c>
      <x:c r="AH348" s="35" t="n">
        <x:v>0</x:v>
      </x:c>
      <x:c r="AI348" s="29" t="n">
        <x:v>46266</x:v>
      </x:c>
      <x:c r="AJ348" s="35" t="n">
        <x:v>1</x:v>
      </x:c>
      <x:c r="AK348" s="11" t="str">
        <x:v>минимум</x:v>
      </x:c>
      <x:c r="AL348" s="31" t="n">
        <x:v>468.6862818807688</x:v>
      </x:c>
      <x:c r="AM34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8" s="12" t="str">
        <x:v>Проверить свободный остаток и установить цену для B2B</x:v>
      </x:c>
      <x:c r="AO348" s="12" t="str">
        <x:v>Остаток 3; прогноз 90 дней 0.54; избыток 2 шт. Будущие поступления не выставляются на продажу. Остаток на начало сентября: требуется актуализация.</x:v>
      </x:c>
      <x:c r="AP348" s="12" t="str">
        <x:v>["category_missing", "daily_stockout_data_missing", "new_order_lead_time_unknown", "reservations_unknown", "stale_stock"]</x:v>
      </x:c>
      <x:c r="AQ348" s="11" t="str">
        <x:v>IEK:030200950_</x:v>
      </x:c>
      <x:c r="AR348" s="23" t="n">
        <x:v>1</x:v>
      </x:c>
      <x:c r="AS348" s="23" t="n">
        <x:v>0</x:v>
      </x:c>
      <x:c r="AT348" s="23" t="n">
        <x:v>0</x:v>
      </x:c>
    </x:row>
    <x:row r="349" ht="64" customHeight="1">
      <x:c r="A349" s="10" t="str">
        <x:v>IEK</x:v>
      </x:c>
      <x:c r="B349" s="34" t="str">
        <x:v>030200951_</x:v>
      </x:c>
      <x:c r="C349" s="34" t="str">
        <x:v>BR-FL20-K01</x:v>
      </x:c>
      <x:c r="D349" s="13" t="str">
        <x:v>Подсветка LED встр. "BRITE" белый (1/100)</x:v>
      </x:c>
      <x:c r="E349" s="10" t="str">
        <x:v>шт</x:v>
      </x:c>
      <x:c r="F349" s="37" t="n">
        <x:f>MAX(0,ROUNDDOWN((AG349-AF349)/AR349+0.000000001,0)*AR349)</x:f>
        <x:v>23</x:v>
      </x:c>
      <x:c r="G349" s="21" t="str">
        <x:f>IF(J349="Рассчитано",V349*(1-R349/100)-W349-P349-Q349,"н/д")</x:f>
        <x:v>н/д</x:v>
      </x:c>
      <x:c r="H349" s="13" t="str">
        <x:v>Высокий</x:v>
      </x:c>
      <x:c r="I349" s="13" t="str">
        <x:v>Высокий</x:v>
      </x:c>
      <x:c r="J349" s="13" t="str">
        <x:f>IF(L349="","Укажите валюту",IF(NOT(ISNUMBER(K349)),"Укажите объём",IF(K349&lt;=0,"Укажите объём",IF(K349&gt;F349,"Объём выше излишка",IF(COUNT(M349:O349)&lt;3,"Нужны цены",IF(COUNT(P349:R349)&lt;3,"Нужны расходы",IF(OR(M349&lt;0,N349&lt;0,O349&lt;0,O349&gt;100,P349&lt;0,Q349&lt;0,R349&lt;0,R349&gt;100),"Проверьте значения","Рассчитано")))))))</x:f>
        <x:v>Нужны цены</x:v>
      </x:c>
      <x:c r="K349" s="36" t="n">
        <x:v>23</x:v>
      </x:c>
      <x:c r="L349" s="19" t="str">
        <x:v>KZT</x:v>
      </x:c>
      <x:c r="M349" s="22"/>
      <x:c r="N349" s="22"/>
      <x:c r="O349" s="28"/>
      <x:c r="P349" s="22"/>
      <x:c r="Q349" s="22"/>
      <x:c r="R349" s="28"/>
      <x:c r="S349" s="22"/>
      <x:c r="T349" s="37" t="n">
        <x:f>K349</x:f>
        <x:v>23</x:v>
      </x:c>
      <x:c r="U349" s="21" t="str">
        <x:f>IF(J349="Рассчитано",N349*(1-O349/100),"н/д")</x:f>
        <x:v>н/д</x:v>
      </x:c>
      <x:c r="V349" s="21" t="str">
        <x:f>IF(J349="Рассчитано",T349*U349,"н/д")</x:f>
        <x:v>н/д</x:v>
      </x:c>
      <x:c r="W349" s="21" t="str">
        <x:f>IF(J349="Рассчитано",T349*M349,"н/д")</x:f>
        <x:v>н/д</x:v>
      </x:c>
      <x:c r="X349" s="21" t="str">
        <x:f>IF(J349="Рассчитано",V349-W349,"н/д")</x:f>
        <x:v>н/д</x:v>
      </x:c>
      <x:c r="Y349" s="27" t="str">
        <x:f>IF(J349="Рассчитано",IF(V349&gt;0,G349/V349,"н/д"),"н/д")</x:f>
        <x:v>н/д</x:v>
      </x:c>
      <x:c r="Z349" s="21" t="str">
        <x:f>"н/д"</x:f>
        <x:v>н/д</x:v>
      </x:c>
      <x:c r="AA349" s="21" t="str">
        <x:f>"н/д"</x:f>
        <x:v>н/д</x:v>
      </x:c>
      <x:c r="AB349" s="21" t="str">
        <x:f>"н/д"</x:f>
        <x:v>н/д</x:v>
      </x:c>
      <x:c r="AC349" s="21" t="str">
        <x:f>IF(AND(J349="Рассчитано",T349&gt;0,R349&lt;100),(W349+P349+Q349)/(T349*(1-R349/100)),"н/д")</x:f>
        <x:v>н/д</x:v>
      </x:c>
      <x:c r="AD349" s="10" t="str">
        <x:f>IF(ISNUMBER(G349),IF(G349&lt;0,"Убыток",IF(G349=0,"Без прибыли","Прибыль &gt; 0")),"Не оценён")</x:f>
        <x:v>Не оценён</x:v>
      </x:c>
      <x:c r="AE349" s="13" t="str">
        <x:f>IF(J349="Рассчитано","Выручка "&amp;TEXT(V349,"0.00")&amp;" - себестоимость "&amp;TEXT(W349,"0.00")&amp;" - комиссия "&amp;TEXT(V349*R349/100,"0.00")&amp;" - доставка "&amp;TEXT(P349,"0.00")&amp;" - прочие "&amp;TEXT(Q349,"0.00")&amp;" = "&amp;TEXT(G349,"0.00")&amp;" "&amp;L349,"Введите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9" s="24" t="n">
        <x:v>14.181474137629484</x:v>
      </x:c>
      <x:c r="AG349" s="37" t="n">
        <x:v>38</x:v>
      </x:c>
      <x:c r="AH349" s="37" t="n">
        <x:v>0</x:v>
      </x:c>
      <x:c r="AI349" s="30" t="n">
        <x:v>46266</x:v>
      </x:c>
      <x:c r="AJ349" s="37" t="n">
        <x:v>1</x:v>
      </x:c>
      <x:c r="AK349" s="10" t="str">
        <x:v>минимум</x:v>
      </x:c>
      <x:c r="AL349" s="32" t="n">
        <x:v>227.86691024527502</x:v>
      </x:c>
      <x:c r="AM34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49" s="13" t="str">
        <x:v>Проверить свободный остаток и установить цену для B2B</x:v>
      </x:c>
      <x:c r="AO349" s="13" t="str">
        <x:v>Остаток 38; прогноз 90 дней 14.18; избыток 23 шт. Будущие поступления не выставляются на продажу. Остаток на начало сентября: требуется актуализация.</x:v>
      </x:c>
      <x:c r="AP349" s="13" t="str">
        <x:v>["category_missing", "daily_stockout_data_missing", "new_order_lead_time_unknown", "reservations_unknown", "stale_stock"]</x:v>
      </x:c>
      <x:c r="AQ349" s="10" t="str">
        <x:v>IEK:030200951_</x:v>
      </x:c>
      <x:c r="AR349" s="24" t="n">
        <x:v>1</x:v>
      </x:c>
      <x:c r="AS349" s="24" t="n">
        <x:v>0</x:v>
      </x:c>
      <x:c r="AT349" s="24" t="n">
        <x:v>0</x:v>
      </x:c>
    </x:row>
    <x:row r="350" ht="64" customHeight="1">
      <x:c r="A350" s="11" t="str">
        <x:v>IEK</x:v>
      </x:c>
      <x:c r="B350" s="33" t="str">
        <x:v>030200952_</x:v>
      </x:c>
      <x:c r="C350" s="33" t="str">
        <x:v>BR-FL20-K02</x:v>
      </x:c>
      <x:c r="D350" s="12" t="str">
        <x:v>Подсветка LED встр. "BRITE" черный (1/100)</x:v>
      </x:c>
      <x:c r="E350" s="11" t="str">
        <x:v>шт</x:v>
      </x:c>
      <x:c r="F350" s="35" t="n">
        <x:f>MAX(0,ROUNDDOWN((AG350-AF350)/AR350+0.000000001,0)*AR350)</x:f>
        <x:v>147</x:v>
      </x:c>
      <x:c r="G350" s="20" t="str">
        <x:f>IF(J350="Рассчитано",V350*(1-R350/100)-W350-P350-Q350,"н/д")</x:f>
        <x:v>н/д</x:v>
      </x:c>
      <x:c r="H350" s="12" t="str">
        <x:v>Высокий</x:v>
      </x:c>
      <x:c r="I350" s="12" t="str">
        <x:v>Высокий</x:v>
      </x:c>
      <x:c r="J350" s="12" t="str">
        <x:f>IF(L350="","Укажите валюту",IF(NOT(ISNUMBER(K350)),"Укажите объём",IF(K350&lt;=0,"Укажите объём",IF(K350&gt;F350,"Объём выше излишка",IF(COUNT(M350:O350)&lt;3,"Нужны цены",IF(COUNT(P350:R350)&lt;3,"Нужны расходы",IF(OR(M350&lt;0,N350&lt;0,O350&lt;0,O350&gt;100,P350&lt;0,Q350&lt;0,R350&lt;0,R350&gt;100),"Проверьте значения","Рассчитано")))))))</x:f>
        <x:v>Нужны цены</x:v>
      </x:c>
      <x:c r="K350" s="36" t="n">
        <x:v>147</x:v>
      </x:c>
      <x:c r="L350" s="19" t="str">
        <x:v>KZT</x:v>
      </x:c>
      <x:c r="M350" s="22"/>
      <x:c r="N350" s="22"/>
      <x:c r="O350" s="28"/>
      <x:c r="P350" s="22"/>
      <x:c r="Q350" s="22"/>
      <x:c r="R350" s="28"/>
      <x:c r="S350" s="22"/>
      <x:c r="T350" s="35" t="n">
        <x:f>K350</x:f>
        <x:v>147</x:v>
      </x:c>
      <x:c r="U350" s="20" t="str">
        <x:f>IF(J350="Рассчитано",N350*(1-O350/100),"н/д")</x:f>
        <x:v>н/д</x:v>
      </x:c>
      <x:c r="V350" s="20" t="str">
        <x:f>IF(J350="Рассчитано",T350*U350,"н/д")</x:f>
        <x:v>н/д</x:v>
      </x:c>
      <x:c r="W350" s="20" t="str">
        <x:f>IF(J350="Рассчитано",T350*M350,"н/д")</x:f>
        <x:v>н/д</x:v>
      </x:c>
      <x:c r="X350" s="20" t="str">
        <x:f>IF(J350="Рассчитано",V350-W350,"н/д")</x:f>
        <x:v>н/д</x:v>
      </x:c>
      <x:c r="Y350" s="26" t="str">
        <x:f>IF(J350="Рассчитано",IF(V350&gt;0,G350/V350,"н/д"),"н/д")</x:f>
        <x:v>н/д</x:v>
      </x:c>
      <x:c r="Z350" s="20" t="str">
        <x:f>"н/д"</x:f>
        <x:v>н/д</x:v>
      </x:c>
      <x:c r="AA350" s="20" t="str">
        <x:f>"н/д"</x:f>
        <x:v>н/д</x:v>
      </x:c>
      <x:c r="AB350" s="20" t="str">
        <x:f>"н/д"</x:f>
        <x:v>н/д</x:v>
      </x:c>
      <x:c r="AC350" s="20" t="str">
        <x:f>IF(AND(J350="Рассчитано",T350&gt;0,R350&lt;100),(W350+P350+Q350)/(T350*(1-R350/100)),"н/д")</x:f>
        <x:v>н/д</x:v>
      </x:c>
      <x:c r="AD350" s="11" t="str">
        <x:f>IF(ISNUMBER(G350),IF(G350&lt;0,"Убыток",IF(G350=0,"Без прибыли","Прибыль &gt; 0")),"Не оценён")</x:f>
        <x:v>Не оценён</x:v>
      </x:c>
      <x:c r="AE350" s="12" t="str">
        <x:f>IF(J350="Рассчитано","Выручка "&amp;TEXT(V350,"0.00")&amp;" - себестоимость "&amp;TEXT(W350,"0.00")&amp;" - комиссия "&amp;TEXT(V350*R350/100,"0.00")&amp;" - доставка "&amp;TEXT(P350,"0.00")&amp;" - прочие "&amp;TEXT(Q350,"0.00")&amp;" = "&amp;TEXT(G350,"0.00")&amp;" "&amp;L350,"Введите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0" s="23" t="n">
        <x:v>9.281962689934742</x:v>
      </x:c>
      <x:c r="AG350" s="35" t="n">
        <x:v>157</x:v>
      </x:c>
      <x:c r="AH350" s="35" t="n">
        <x:v>0</x:v>
      </x:c>
      <x:c r="AI350" s="29" t="n">
        <x:v>46266</x:v>
      </x:c>
      <x:c r="AJ350" s="35" t="n">
        <x:v>1</x:v>
      </x:c>
      <x:c r="AK350" s="11" t="str">
        <x:v>минимум</x:v>
      </x:c>
      <x:c r="AL350" s="31" t="n">
        <x:v>1438.397363220183</x:v>
      </x:c>
      <x:c r="AM3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50" s="12" t="str">
        <x:v>Проверить свободный остаток и установить цену для B2B</x:v>
      </x:c>
      <x:c r="AO350" s="12" t="str">
        <x:v>Остаток 157; прогноз 90 дней 9.28; избыток 147 шт. Будущие поступления не выставляются на продажу. Остаток на начало сентября: требуется актуализация.</x:v>
      </x:c>
      <x:c r="AP350" s="12" t="str">
        <x:v>["category_missing", "daily_stockout_data_missing", "negative_net_sales_clipped_for_forecast", "new_order_lead_time_unknown", "reservations_unknown", "stale_stock"]</x:v>
      </x:c>
      <x:c r="AQ350" s="11" t="str">
        <x:v>IEK:030200952_</x:v>
      </x:c>
      <x:c r="AR350" s="23" t="n">
        <x:v>1</x:v>
      </x:c>
      <x:c r="AS350" s="23" t="n">
        <x:v>0</x:v>
      </x:c>
      <x:c r="AT350" s="23" t="n">
        <x:v>0</x:v>
      </x:c>
    </x:row>
    <x:row r="351" ht="64" customHeight="1">
      <x:c r="A351" s="10" t="str">
        <x:v>IEK</x:v>
      </x:c>
      <x:c r="B351" s="34" t="str">
        <x:v>030200953_</x:v>
      </x:c>
      <x:c r="C351" s="34" t="str">
        <x:v>BR-FL20-K53</x:v>
      </x:c>
      <x:c r="D351" s="13" t="str">
        <x:v>Подсветка LED встр. "BRITE" графит (1/100)</x:v>
      </x:c>
      <x:c r="E351" s="10" t="str">
        <x:v>шт</x:v>
      </x:c>
      <x:c r="F351" s="37" t="n">
        <x:f>MAX(0,ROUNDDOWN((AG351-AF351)/AR351+0.000000001,0)*AR351)</x:f>
        <x:v>2</x:v>
      </x:c>
      <x:c r="G351" s="21" t="str">
        <x:f>IF(J351="Рассчитано",V351*(1-R351/100)-W351-P351-Q351,"н/д")</x:f>
        <x:v>н/д</x:v>
      </x:c>
      <x:c r="H351" s="13" t="str">
        <x:v>Высокий</x:v>
      </x:c>
      <x:c r="I351" s="13" t="str">
        <x:v>Высокий</x:v>
      </x:c>
      <x:c r="J351" s="13" t="str">
        <x:f>IF(L351="","Укажите валюту",IF(NOT(ISNUMBER(K351)),"Укажите объём",IF(K351&lt;=0,"Укажите объём",IF(K351&gt;F351,"Объём выше излишка",IF(COUNT(M351:O351)&lt;3,"Нужны цены",IF(COUNT(P351:R351)&lt;3,"Нужны расходы",IF(OR(M351&lt;0,N351&lt;0,O351&lt;0,O351&gt;100,P351&lt;0,Q351&lt;0,R351&lt;0,R351&gt;100),"Проверьте значения","Рассчитано")))))))</x:f>
        <x:v>Нужны цены</x:v>
      </x:c>
      <x:c r="K351" s="36" t="n">
        <x:v>2</x:v>
      </x:c>
      <x:c r="L351" s="19" t="str">
        <x:v>KZT</x:v>
      </x:c>
      <x:c r="M351" s="22"/>
      <x:c r="N351" s="22"/>
      <x:c r="O351" s="28"/>
      <x:c r="P351" s="22"/>
      <x:c r="Q351" s="22"/>
      <x:c r="R351" s="28"/>
      <x:c r="S351" s="22"/>
      <x:c r="T351" s="37" t="n">
        <x:f>K351</x:f>
        <x:v>2</x:v>
      </x:c>
      <x:c r="U351" s="21" t="str">
        <x:f>IF(J351="Рассчитано",N351*(1-O351/100),"н/д")</x:f>
        <x:v>н/д</x:v>
      </x:c>
      <x:c r="V351" s="21" t="str">
        <x:f>IF(J351="Рассчитано",T351*U351,"н/д")</x:f>
        <x:v>н/д</x:v>
      </x:c>
      <x:c r="W351" s="21" t="str">
        <x:f>IF(J351="Рассчитано",T351*M351,"н/д")</x:f>
        <x:v>н/д</x:v>
      </x:c>
      <x:c r="X351" s="21" t="str">
        <x:f>IF(J351="Рассчитано",V351-W351,"н/д")</x:f>
        <x:v>н/д</x:v>
      </x:c>
      <x:c r="Y351" s="27" t="str">
        <x:f>IF(J351="Рассчитано",IF(V351&gt;0,G351/V351,"н/д"),"н/д")</x:f>
        <x:v>н/д</x:v>
      </x:c>
      <x:c r="Z351" s="21" t="str">
        <x:f>"н/д"</x:f>
        <x:v>н/д</x:v>
      </x:c>
      <x:c r="AA351" s="21" t="str">
        <x:f>"н/д"</x:f>
        <x:v>н/д</x:v>
      </x:c>
      <x:c r="AB351" s="21" t="str">
        <x:f>"н/д"</x:f>
        <x:v>н/д</x:v>
      </x:c>
      <x:c r="AC351" s="21" t="str">
        <x:f>IF(AND(J351="Рассчитано",T351&gt;0,R351&lt;100),(W351+P351+Q351)/(T351*(1-R351/100)),"н/д")</x:f>
        <x:v>н/д</x:v>
      </x:c>
      <x:c r="AD351" s="10" t="str">
        <x:f>IF(ISNUMBER(G351),IF(G351&lt;0,"Убыток",IF(G351=0,"Без прибыли","Прибыль &gt; 0")),"Не оценён")</x:f>
        <x:v>Не оценён</x:v>
      </x:c>
      <x:c r="AE351" s="13" t="str">
        <x:f>IF(J351="Рассчитано","Выручка "&amp;TEXT(V351,"0.00")&amp;" - себестоимость "&amp;TEXT(W351,"0.00")&amp;" - комиссия "&amp;TEXT(V351*R351/100,"0.00")&amp;" - доставка "&amp;TEXT(P351,"0.00")&amp;" - прочие "&amp;TEXT(Q351,"0.00")&amp;" = "&amp;TEXT(G351,"0.00")&amp;" "&amp;L351,"Введите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1" s="24" t="n">
        <x:v>0</x:v>
      </x:c>
      <x:c r="AG351" s="37" t="n">
        <x:v>2</x:v>
      </x:c>
      <x:c r="AH351" s="37" t="n">
        <x:v>0</x:v>
      </x:c>
      <x:c r="AI351" s="30" t="n">
        <x:v>46266</x:v>
      </x:c>
      <x:c r="AJ351" s="37" t="n">
        <x:v>1</x:v>
      </x:c>
      <x:c r="AK351" s="10" t="str">
        <x:v>минимум</x:v>
      </x:c>
      <x:c r="AL351" s="32" t="str">
        <x:v>н/д</x:v>
      </x:c>
      <x:c r="AM35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51" s="13" t="str">
        <x:v>Проверить свободный остаток и установить цену для B2B</x:v>
      </x:c>
      <x:c r="AO351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351" s="13" t="str">
        <x:v>["category_missing", "daily_stockout_data_missing", "new_order_lead_time_unknown", "reservations_unknown", "stale_stock"]</x:v>
      </x:c>
      <x:c r="AQ351" s="10" t="str">
        <x:v>IEK:030200953_</x:v>
      </x:c>
      <x:c r="AR351" s="24" t="n">
        <x:v>1</x:v>
      </x:c>
      <x:c r="AS351" s="24" t="n">
        <x:v>0</x:v>
      </x:c>
      <x:c r="AT351" s="24" t="n">
        <x:v>0</x:v>
      </x:c>
    </x:row>
    <x:row r="352" ht="64" customHeight="1">
      <x:c r="A352" s="11" t="str">
        <x:v>IEK</x:v>
      </x:c>
      <x:c r="B352" s="33" t="str">
        <x:v>030200955_</x:v>
      </x:c>
      <x:c r="C352" s="33" t="str">
        <x:v>BR-FL20-K47</x:v>
      </x:c>
      <x:c r="D352" s="12" t="str">
        <x:v>Подсветка LED встр. "BRITE" алюминий (1/100)</x:v>
      </x:c>
      <x:c r="E352" s="11" t="str">
        <x:v>шт</x:v>
      </x:c>
      <x:c r="F352" s="35" t="n">
        <x:f>MAX(0,ROUNDDOWN((AG352-AF352)/AR352+0.000000001,0)*AR352)</x:f>
        <x:v>2</x:v>
      </x:c>
      <x:c r="G352" s="20" t="str">
        <x:f>IF(J352="Рассчитано",V352*(1-R352/100)-W352-P352-Q352,"н/д")</x:f>
        <x:v>н/д</x:v>
      </x:c>
      <x:c r="H352" s="12" t="str">
        <x:v>Высокий</x:v>
      </x:c>
      <x:c r="I352" s="12" t="str">
        <x:v>Высокий</x:v>
      </x:c>
      <x:c r="J352" s="12" t="str">
        <x:f>IF(L352="","Укажите валюту",IF(NOT(ISNUMBER(K352)),"Укажите объём",IF(K352&lt;=0,"Укажите объём",IF(K352&gt;F352,"Объём выше излишка",IF(COUNT(M352:O352)&lt;3,"Нужны цены",IF(COUNT(P352:R352)&lt;3,"Нужны расходы",IF(OR(M352&lt;0,N352&lt;0,O352&lt;0,O352&gt;100,P352&lt;0,Q352&lt;0,R352&lt;0,R352&gt;100),"Проверьте значения","Рассчитано")))))))</x:f>
        <x:v>Нужны цены</x:v>
      </x:c>
      <x:c r="K352" s="36" t="n">
        <x:v>2</x:v>
      </x:c>
      <x:c r="L352" s="19" t="str">
        <x:v>KZT</x:v>
      </x:c>
      <x:c r="M352" s="22"/>
      <x:c r="N352" s="22"/>
      <x:c r="O352" s="28"/>
      <x:c r="P352" s="22"/>
      <x:c r="Q352" s="22"/>
      <x:c r="R352" s="28"/>
      <x:c r="S352" s="22"/>
      <x:c r="T352" s="35" t="n">
        <x:f>K352</x:f>
        <x:v>2</x:v>
      </x:c>
      <x:c r="U352" s="20" t="str">
        <x:f>IF(J352="Рассчитано",N352*(1-O352/100),"н/д")</x:f>
        <x:v>н/д</x:v>
      </x:c>
      <x:c r="V352" s="20" t="str">
        <x:f>IF(J352="Рассчитано",T352*U352,"н/д")</x:f>
        <x:v>н/д</x:v>
      </x:c>
      <x:c r="W352" s="20" t="str">
        <x:f>IF(J352="Рассчитано",T352*M352,"н/д")</x:f>
        <x:v>н/д</x:v>
      </x:c>
      <x:c r="X352" s="20" t="str">
        <x:f>IF(J352="Рассчитано",V352-W352,"н/д")</x:f>
        <x:v>н/д</x:v>
      </x:c>
      <x:c r="Y352" s="26" t="str">
        <x:f>IF(J352="Рассчитано",IF(V352&gt;0,G352/V352,"н/д"),"н/д")</x:f>
        <x:v>н/д</x:v>
      </x:c>
      <x:c r="Z352" s="20" t="str">
        <x:f>"н/д"</x:f>
        <x:v>н/д</x:v>
      </x:c>
      <x:c r="AA352" s="20" t="str">
        <x:f>"н/д"</x:f>
        <x:v>н/д</x:v>
      </x:c>
      <x:c r="AB352" s="20" t="str">
        <x:f>"н/д"</x:f>
        <x:v>н/д</x:v>
      </x:c>
      <x:c r="AC352" s="20" t="str">
        <x:f>IF(AND(J352="Рассчитано",T352&gt;0,R352&lt;100),(W352+P352+Q352)/(T352*(1-R352/100)),"н/д")</x:f>
        <x:v>н/д</x:v>
      </x:c>
      <x:c r="AD352" s="11" t="str">
        <x:f>IF(ISNUMBER(G352),IF(G352&lt;0,"Убыток",IF(G352=0,"Без прибыли","Прибыль &gt; 0")),"Не оценён")</x:f>
        <x:v>Не оценён</x:v>
      </x:c>
      <x:c r="AE352" s="12" t="str">
        <x:f>IF(J352="Рассчитано","Выручка "&amp;TEXT(V352,"0.00")&amp;" - себестоимость "&amp;TEXT(W352,"0.00")&amp;" - комиссия "&amp;TEXT(V352*R352/100,"0.00")&amp;" - доставка "&amp;TEXT(P352,"0.00")&amp;" - прочие "&amp;TEXT(Q352,"0.00")&amp;" = "&amp;TEXT(G352,"0.00")&amp;" "&amp;L352,"Введите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2" s="23" t="n">
        <x:v>0.5252669405184482</x:v>
      </x:c>
      <x:c r="AG352" s="35" t="n">
        <x:v>3</x:v>
      </x:c>
      <x:c r="AH352" s="35" t="n">
        <x:v>0</x:v>
      </x:c>
      <x:c r="AI352" s="29" t="n">
        <x:v>46266</x:v>
      </x:c>
      <x:c r="AJ352" s="35" t="n">
        <x:v>1</x:v>
      </x:c>
      <x:c r="AK352" s="11" t="str">
        <x:v>минимум</x:v>
      </x:c>
      <x:c r="AL352" s="31" t="n">
        <x:v>485.6911959061833</x:v>
      </x:c>
      <x:c r="AM35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52" s="12" t="str">
        <x:v>Проверить свободный остаток и установить цену для B2B</x:v>
      </x:c>
      <x:c r="AO352" s="12" t="str">
        <x:v>Остаток 3; прогноз 90 дней 0.53; избыток 2 шт. Будущие поступления не выставляются на продажу. Остаток на начало сентября: требуется актуализация.</x:v>
      </x:c>
      <x:c r="AP352" s="12" t="str">
        <x:v>["category_missing", "daily_stockout_data_missing", "new_order_lead_time_unknown", "reservations_unknown", "stale_stock"]</x:v>
      </x:c>
      <x:c r="AQ352" s="11" t="str">
        <x:v>IEK:030200955_</x:v>
      </x:c>
      <x:c r="AR352" s="23" t="n">
        <x:v>1</x:v>
      </x:c>
      <x:c r="AS352" s="23" t="n">
        <x:v>0</x:v>
      </x:c>
      <x:c r="AT352" s="23" t="n">
        <x:v>0</x:v>
      </x:c>
    </x:row>
    <x:row r="353" ht="64" customHeight="1">
      <x:c r="A353" s="10" t="str">
        <x:v>IEK</x:v>
      </x:c>
      <x:c r="B353" s="34" t="str">
        <x:v>030200957_</x:v>
      </x:c>
      <x:c r="C353" s="34" t="str">
        <x:v>BR-RT11-K02</x:v>
      </x:c>
      <x:c r="D353" s="13" t="str">
        <x:v>Термостат с инд. "BRITE" черный (1/80)</x:v>
      </x:c>
      <x:c r="E353" s="10" t="str">
        <x:v>шт</x:v>
      </x:c>
      <x:c r="F353" s="37" t="n">
        <x:f>MAX(0,ROUNDDOWN((AG353-AF353)/AR353+0.000000001,0)*AR353)</x:f>
        <x:v>10</x:v>
      </x:c>
      <x:c r="G353" s="21" t="str">
        <x:f>IF(J353="Рассчитано",V353*(1-R353/100)-W353-P353-Q353,"н/д")</x:f>
        <x:v>н/д</x:v>
      </x:c>
      <x:c r="H353" s="13" t="str">
        <x:v>Высокий</x:v>
      </x:c>
      <x:c r="I353" s="13" t="str">
        <x:v>Высокий</x:v>
      </x:c>
      <x:c r="J353" s="13" t="str">
        <x:f>IF(L353="","Укажите валюту",IF(NOT(ISNUMBER(K353)),"Укажите объём",IF(K353&lt;=0,"Укажите объём",IF(K353&gt;F353,"Объём выше излишка",IF(COUNT(M353:O353)&lt;3,"Нужны цены",IF(COUNT(P353:R353)&lt;3,"Нужны расходы",IF(OR(M353&lt;0,N353&lt;0,O353&lt;0,O353&gt;100,P353&lt;0,Q353&lt;0,R353&lt;0,R353&gt;100),"Проверьте значения","Рассчитано")))))))</x:f>
        <x:v>Нужны цены</x:v>
      </x:c>
      <x:c r="K353" s="36" t="n">
        <x:v>10</x:v>
      </x:c>
      <x:c r="L353" s="19" t="str">
        <x:v>KZT</x:v>
      </x:c>
      <x:c r="M353" s="22"/>
      <x:c r="N353" s="22"/>
      <x:c r="O353" s="28"/>
      <x:c r="P353" s="22"/>
      <x:c r="Q353" s="22"/>
      <x:c r="R353" s="28"/>
      <x:c r="S353" s="22"/>
      <x:c r="T353" s="37" t="n">
        <x:f>K353</x:f>
        <x:v>10</x:v>
      </x:c>
      <x:c r="U353" s="21" t="str">
        <x:f>IF(J353="Рассчитано",N353*(1-O353/100),"н/д")</x:f>
        <x:v>н/д</x:v>
      </x:c>
      <x:c r="V353" s="21" t="str">
        <x:f>IF(J353="Рассчитано",T353*U353,"н/д")</x:f>
        <x:v>н/д</x:v>
      </x:c>
      <x:c r="W353" s="21" t="str">
        <x:f>IF(J353="Рассчитано",T353*M353,"н/д")</x:f>
        <x:v>н/д</x:v>
      </x:c>
      <x:c r="X353" s="21" t="str">
        <x:f>IF(J353="Рассчитано",V353-W353,"н/д")</x:f>
        <x:v>н/д</x:v>
      </x:c>
      <x:c r="Y353" s="27" t="str">
        <x:f>IF(J353="Рассчитано",IF(V353&gt;0,G353/V353,"н/д"),"н/д")</x:f>
        <x:v>н/д</x:v>
      </x:c>
      <x:c r="Z353" s="21" t="str">
        <x:f>"н/д"</x:f>
        <x:v>н/д</x:v>
      </x:c>
      <x:c r="AA353" s="21" t="str">
        <x:f>"н/д"</x:f>
        <x:v>н/д</x:v>
      </x:c>
      <x:c r="AB353" s="21" t="str">
        <x:f>"н/д"</x:f>
        <x:v>н/д</x:v>
      </x:c>
      <x:c r="AC353" s="21" t="str">
        <x:f>IF(AND(J353="Рассчитано",T353&gt;0,R353&lt;100),(W353+P353+Q353)/(T353*(1-R353/100)),"н/д")</x:f>
        <x:v>н/д</x:v>
      </x:c>
      <x:c r="AD353" s="10" t="str">
        <x:f>IF(ISNUMBER(G353),IF(G353&lt;0,"Убыток",IF(G353=0,"Без прибыли","Прибыль &gt; 0")),"Не оценён")</x:f>
        <x:v>Не оценён</x:v>
      </x:c>
      <x:c r="AE353" s="13" t="str">
        <x:f>IF(J353="Рассчитано","Выручка "&amp;TEXT(V353,"0.00")&amp;" - себестоимость "&amp;TEXT(W353,"0.00")&amp;" - комиссия "&amp;TEXT(V353*R353/100,"0.00")&amp;" - доставка "&amp;TEXT(P353,"0.00")&amp;" - прочие "&amp;TEXT(Q353,"0.00")&amp;" = "&amp;TEXT(G353,"0.00")&amp;" "&amp;L353,"Введите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3" s="24" t="n">
        <x:v>5.393492721125624</x:v>
      </x:c>
      <x:c r="AG353" s="37" t="n">
        <x:v>16</x:v>
      </x:c>
      <x:c r="AH353" s="37" t="n">
        <x:v>0</x:v>
      </x:c>
      <x:c r="AI353" s="30" t="n">
        <x:v>46266</x:v>
      </x:c>
      <x:c r="AJ353" s="37" t="n">
        <x:v>1</x:v>
      </x:c>
      <x:c r="AK353" s="10" t="str">
        <x:v>минимум</x:v>
      </x:c>
      <x:c r="AL353" s="32" t="n">
        <x:v>252.27193009692255</x:v>
      </x:c>
      <x:c r="AM3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53" s="13" t="str">
        <x:v>Проверить свободный остаток и установить цену для B2B</x:v>
      </x:c>
      <x:c r="AO353" s="13" t="str">
        <x:v>Остаток 16; прогноз 90 дней 5.39; избыток 10 шт. Будущие поступления не выставляются на продажу. Остаток на начало сентября: требуется актуализация.</x:v>
      </x:c>
      <x:c r="AP353" s="13" t="str">
        <x:v>["category_missing", "daily_stockout_data_missing", "new_order_lead_time_unknown", "reservations_unknown", "stale_stock"]</x:v>
      </x:c>
      <x:c r="AQ353" s="10" t="str">
        <x:v>IEK:030200957_</x:v>
      </x:c>
      <x:c r="AR353" s="24" t="n">
        <x:v>1</x:v>
      </x:c>
      <x:c r="AS353" s="24" t="n">
        <x:v>0</x:v>
      </x:c>
      <x:c r="AT353" s="24" t="n">
        <x:v>0</x:v>
      </x:c>
    </x:row>
    <x:row r="354" ht="64" customHeight="1">
      <x:c r="A354" s="11" t="str">
        <x:v>IEK</x:v>
      </x:c>
      <x:c r="B354" s="33" t="str">
        <x:v>030200958_</x:v>
      </x:c>
      <x:c r="C354" s="33" t="str">
        <x:v>BR-RT11-K53</x:v>
      </x:c>
      <x:c r="D354" s="12" t="str">
        <x:v>Термостат с инд. "BRITE" графит (1/80)</x:v>
      </x:c>
      <x:c r="E354" s="11" t="str">
        <x:v>шт</x:v>
      </x:c>
      <x:c r="F354" s="35" t="n">
        <x:f>MAX(0,ROUNDDOWN((AG354-AF354)/AR354+0.000000001,0)*AR354)</x:f>
        <x:v>2</x:v>
      </x:c>
      <x:c r="G354" s="20" t="str">
        <x:f>IF(J354="Рассчитано",V354*(1-R354/100)-W354-P354-Q354,"н/д")</x:f>
        <x:v>н/д</x:v>
      </x:c>
      <x:c r="H354" s="12" t="str">
        <x:v>Высокий</x:v>
      </x:c>
      <x:c r="I354" s="12" t="str">
        <x:v>Средний</x:v>
      </x:c>
      <x:c r="J354" s="12" t="str">
        <x:f>IF(L354="","Укажите валюту",IF(NOT(ISNUMBER(K354)),"Укажите объём",IF(K354&lt;=0,"Укажите объём",IF(K354&gt;F354,"Объём выше излишка",IF(COUNT(M354:O354)&lt;3,"Нужны цены",IF(COUNT(P354:R354)&lt;3,"Нужны расходы",IF(OR(M354&lt;0,N354&lt;0,O354&lt;0,O354&gt;100,P354&lt;0,Q354&lt;0,R354&lt;0,R354&gt;100),"Проверьте значения","Рассчитано")))))))</x:f>
        <x:v>Нужны цены</x:v>
      </x:c>
      <x:c r="K354" s="36" t="n">
        <x:v>2</x:v>
      </x:c>
      <x:c r="L354" s="19" t="str">
        <x:v>KZT</x:v>
      </x:c>
      <x:c r="M354" s="22"/>
      <x:c r="N354" s="22"/>
      <x:c r="O354" s="28"/>
      <x:c r="P354" s="22"/>
      <x:c r="Q354" s="22"/>
      <x:c r="R354" s="28"/>
      <x:c r="S354" s="22"/>
      <x:c r="T354" s="35" t="n">
        <x:f>K354</x:f>
        <x:v>2</x:v>
      </x:c>
      <x:c r="U354" s="20" t="str">
        <x:f>IF(J354="Рассчитано",N354*(1-O354/100),"н/д")</x:f>
        <x:v>н/д</x:v>
      </x:c>
      <x:c r="V354" s="20" t="str">
        <x:f>IF(J354="Рассчитано",T354*U354,"н/д")</x:f>
        <x:v>н/д</x:v>
      </x:c>
      <x:c r="W354" s="20" t="str">
        <x:f>IF(J354="Рассчитано",T354*M354,"н/д")</x:f>
        <x:v>н/д</x:v>
      </x:c>
      <x:c r="X354" s="20" t="str">
        <x:f>IF(J354="Рассчитано",V354-W354,"н/д")</x:f>
        <x:v>н/д</x:v>
      </x:c>
      <x:c r="Y354" s="26" t="str">
        <x:f>IF(J354="Рассчитано",IF(V354&gt;0,G354/V354,"н/д"),"н/д")</x:f>
        <x:v>н/д</x:v>
      </x:c>
      <x:c r="Z354" s="20" t="str">
        <x:f>"н/д"</x:f>
        <x:v>н/д</x:v>
      </x:c>
      <x:c r="AA354" s="20" t="str">
        <x:f>"н/д"</x:f>
        <x:v>н/д</x:v>
      </x:c>
      <x:c r="AB354" s="20" t="str">
        <x:f>"н/д"</x:f>
        <x:v>н/д</x:v>
      </x:c>
      <x:c r="AC354" s="20" t="str">
        <x:f>IF(AND(J354="Рассчитано",T354&gt;0,R354&lt;100),(W354+P354+Q354)/(T354*(1-R354/100)),"н/д")</x:f>
        <x:v>н/д</x:v>
      </x:c>
      <x:c r="AD354" s="11" t="str">
        <x:f>IF(ISNUMBER(G354),IF(G354&lt;0,"Убыток",IF(G354=0,"Без прибыли","Прибыль &gt; 0")),"Не оценён")</x:f>
        <x:v>Не оценён</x:v>
      </x:c>
      <x:c r="AE354" s="12" t="str">
        <x:f>IF(J354="Рассчитано","Выручка "&amp;TEXT(V354,"0.00")&amp;" - себестоимость "&amp;TEXT(W354,"0.00")&amp;" - комиссия "&amp;TEXT(V354*R354/100,"0.00")&amp;" - доставка "&amp;TEXT(P354,"0.00")&amp;" - прочие "&amp;TEXT(Q354,"0.00")&amp;" = "&amp;TEXT(G354,"0.00")&amp;" "&amp;L354,"Введите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4" s="23" t="n">
        <x:v>2.3776532846653713</x:v>
      </x:c>
      <x:c r="AG354" s="35" t="n">
        <x:v>5</x:v>
      </x:c>
      <x:c r="AH354" s="35" t="n">
        <x:v>0</x:v>
      </x:c>
      <x:c r="AI354" s="29" t="n">
        <x:v>46266</x:v>
      </x:c>
      <x:c r="AJ354" s="35" t="n">
        <x:v>1</x:v>
      </x:c>
      <x:c r="AK354" s="11" t="str">
        <x:v>минимум</x:v>
      </x:c>
      <x:c r="AL354" s="31" t="n">
        <x:v>178.8300605445455</x:v>
      </x:c>
      <x:c r="AM354" s="12" t="str">
        <x:v>Остаток на начало сентября; Резервы неизвестны; Нет ежедневных данных доступности. Запас выше прогноза на 90 дней</x:v>
      </x:c>
      <x:c r="AN354" s="12" t="str">
        <x:v>Проверить свободный остаток и установить цену для B2B</x:v>
      </x:c>
      <x:c r="AO354" s="12" t="str">
        <x:v>Остаток 5; прогноз 90 дней 2.38; избыток 2 шт. Будущие поступления не выставляются на продажу. Остаток на начало сентября: требуется актуализация.</x:v>
      </x:c>
      <x:c r="AP354" s="12" t="str">
        <x:v>["category_missing", "daily_stockout_data_missing", "new_order_lead_time_unknown", "reservations_unknown", "stale_stock"]</x:v>
      </x:c>
      <x:c r="AQ354" s="11" t="str">
        <x:v>IEK:030200958_</x:v>
      </x:c>
      <x:c r="AR354" s="23" t="n">
        <x:v>1</x:v>
      </x:c>
      <x:c r="AS354" s="23" t="n">
        <x:v>0</x:v>
      </x:c>
      <x:c r="AT354" s="23" t="n">
        <x:v>0</x:v>
      </x:c>
    </x:row>
    <x:row r="355" ht="64" customHeight="1">
      <x:c r="A355" s="10" t="str">
        <x:v>IEK</x:v>
      </x:c>
      <x:c r="B355" s="34" t="str">
        <x:v>030200961_</x:v>
      </x:c>
      <x:c r="C355" s="34" t="str">
        <x:v>BR-MS10-N-150-05-K01</x:v>
      </x:c>
      <x:c r="D355" s="13" t="str">
        <x:v>Датчик движения "BRITE" белый (1/80)</x:v>
      </x:c>
      <x:c r="E355" s="10" t="str">
        <x:v>шт</x:v>
      </x:c>
      <x:c r="F355" s="37" t="n">
        <x:f>MAX(0,ROUNDDOWN((AG355-AF355)/AR355+0.000000001,0)*AR355)</x:f>
        <x:v>5</x:v>
      </x:c>
      <x:c r="G355" s="21" t="str">
        <x:f>IF(J355="Рассчитано",V355*(1-R355/100)-W355-P355-Q355,"н/д")</x:f>
        <x:v>н/д</x:v>
      </x:c>
      <x:c r="H355" s="13" t="str">
        <x:v>Высокий</x:v>
      </x:c>
      <x:c r="I355" s="13" t="str">
        <x:v>Средний</x:v>
      </x:c>
      <x:c r="J355" s="13" t="str">
        <x:f>IF(L355="","Укажите валюту",IF(NOT(ISNUMBER(K355)),"Укажите объём",IF(K355&lt;=0,"Укажите объём",IF(K355&gt;F355,"Объём выше излишка",IF(COUNT(M355:O355)&lt;3,"Нужны цены",IF(COUNT(P355:R355)&lt;3,"Нужны расходы",IF(OR(M355&lt;0,N355&lt;0,O355&lt;0,O355&gt;100,P355&lt;0,Q355&lt;0,R355&lt;0,R355&gt;100),"Проверьте значения","Рассчитано")))))))</x:f>
        <x:v>Нужны цены</x:v>
      </x:c>
      <x:c r="K355" s="36" t="n">
        <x:v>5</x:v>
      </x:c>
      <x:c r="L355" s="19" t="str">
        <x:v>KZT</x:v>
      </x:c>
      <x:c r="M355" s="22"/>
      <x:c r="N355" s="22"/>
      <x:c r="O355" s="28"/>
      <x:c r="P355" s="22"/>
      <x:c r="Q355" s="22"/>
      <x:c r="R355" s="28"/>
      <x:c r="S355" s="22"/>
      <x:c r="T355" s="37" t="n">
        <x:f>K355</x:f>
        <x:v>5</x:v>
      </x:c>
      <x:c r="U355" s="21" t="str">
        <x:f>IF(J355="Рассчитано",N355*(1-O355/100),"н/д")</x:f>
        <x:v>н/д</x:v>
      </x:c>
      <x:c r="V355" s="21" t="str">
        <x:f>IF(J355="Рассчитано",T355*U355,"н/д")</x:f>
        <x:v>н/д</x:v>
      </x:c>
      <x:c r="W355" s="21" t="str">
        <x:f>IF(J355="Рассчитано",T355*M355,"н/д")</x:f>
        <x:v>н/д</x:v>
      </x:c>
      <x:c r="X355" s="21" t="str">
        <x:f>IF(J355="Рассчитано",V355-W355,"н/д")</x:f>
        <x:v>н/д</x:v>
      </x:c>
      <x:c r="Y355" s="27" t="str">
        <x:f>IF(J355="Рассчитано",IF(V355&gt;0,G355/V355,"н/д"),"н/д")</x:f>
        <x:v>н/д</x:v>
      </x:c>
      <x:c r="Z355" s="21" t="str">
        <x:f>"н/д"</x:f>
        <x:v>н/д</x:v>
      </x:c>
      <x:c r="AA355" s="21" t="str">
        <x:f>"н/д"</x:f>
        <x:v>н/д</x:v>
      </x:c>
      <x:c r="AB355" s="21" t="str">
        <x:f>"н/д"</x:f>
        <x:v>н/д</x:v>
      </x:c>
      <x:c r="AC355" s="21" t="str">
        <x:f>IF(AND(J355="Рассчитано",T355&gt;0,R355&lt;100),(W355+P355+Q355)/(T355*(1-R355/100)),"н/д")</x:f>
        <x:v>н/д</x:v>
      </x:c>
      <x:c r="AD355" s="10" t="str">
        <x:f>IF(ISNUMBER(G355),IF(G355&lt;0,"Убыток",IF(G355=0,"Без прибыли","Прибыль &gt; 0")),"Не оценён")</x:f>
        <x:v>Не оценён</x:v>
      </x:c>
      <x:c r="AE355" s="13" t="str">
        <x:f>IF(J355="Рассчитано","Выручка "&amp;TEXT(V355,"0.00")&amp;" - себестоимость "&amp;TEXT(W355,"0.00")&amp;" - комиссия "&amp;TEXT(V355*R355/100,"0.00")&amp;" - доставка "&amp;TEXT(P355,"0.00")&amp;" - прочие "&amp;TEXT(Q355,"0.00")&amp;" = "&amp;TEXT(G355,"0.00")&amp;" "&amp;L355,"Введите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5" s="24" t="n">
        <x:v>13.912525870358609</x:v>
      </x:c>
      <x:c r="AG355" s="37" t="n">
        <x:v>19</x:v>
      </x:c>
      <x:c r="AH355" s="37" t="n">
        <x:v>0</x:v>
      </x:c>
      <x:c r="AI355" s="30" t="n">
        <x:v>46266</x:v>
      </x:c>
      <x:c r="AJ355" s="37" t="n">
        <x:v>1</x:v>
      </x:c>
      <x:c r="AK355" s="10" t="str">
        <x:v>минимум</x:v>
      </x:c>
      <x:c r="AL355" s="32" t="n">
        <x:v>116.13594557080985</x:v>
      </x:c>
      <x:c r="AM355" s="13" t="str">
        <x:v>Остаток на начало сентября; Резервы неизвестны; Нет ежедневных данных доступности. Запас выше прогноза на 90 дней</x:v>
      </x:c>
      <x:c r="AN355" s="13" t="str">
        <x:v>Проверить свободный остаток и установить цену для B2B</x:v>
      </x:c>
      <x:c r="AO355" s="13" t="str">
        <x:v>Остаток 19; прогноз 90 дней 13.91; избыток 5 шт. Будущие поступления не выставляются на продажу. Остаток на начало сентября: требуется актуализация.</x:v>
      </x:c>
      <x:c r="AP355" s="13" t="str">
        <x:v>["category_missing", "daily_stockout_data_missing", "large_orders_detected", "new_order_lead_time_unknown", "reservations_unknown", "stale_stock"]</x:v>
      </x:c>
      <x:c r="AQ355" s="10" t="str">
        <x:v>IEK:030200961_</x:v>
      </x:c>
      <x:c r="AR355" s="24" t="n">
        <x:v>1</x:v>
      </x:c>
      <x:c r="AS355" s="24" t="n">
        <x:v>0</x:v>
      </x:c>
      <x:c r="AT355" s="24" t="n">
        <x:v>0</x:v>
      </x:c>
    </x:row>
    <x:row r="356" ht="64" customHeight="1">
      <x:c r="A356" s="11" t="str">
        <x:v>IEK</x:v>
      </x:c>
      <x:c r="B356" s="33" t="str">
        <x:v>030200962_</x:v>
      </x:c>
      <x:c r="C356" s="33" t="str">
        <x:v>BR-MS10-N-150-05-K02</x:v>
      </x:c>
      <x:c r="D356" s="12" t="str">
        <x:v>Датчик движения "BRITE" черный (1/80)</x:v>
      </x:c>
      <x:c r="E356" s="11" t="str">
        <x:v>шт</x:v>
      </x:c>
      <x:c r="F356" s="35" t="n">
        <x:f>MAX(0,ROUNDDOWN((AG356-AF356)/AR356+0.000000001,0)*AR356)</x:f>
        <x:v>4</x:v>
      </x:c>
      <x:c r="G356" s="20" t="str">
        <x:f>IF(J356="Рассчитано",V356*(1-R356/100)-W356-P356-Q356,"н/д")</x:f>
        <x:v>н/д</x:v>
      </x:c>
      <x:c r="H356" s="12" t="str">
        <x:v>Высокий</x:v>
      </x:c>
      <x:c r="I356" s="12" t="str">
        <x:v>Высокий</x:v>
      </x:c>
      <x:c r="J356" s="12" t="str">
        <x:f>IF(L356="","Укажите валюту",IF(NOT(ISNUMBER(K356)),"Укажите объём",IF(K356&lt;=0,"Укажите объём",IF(K356&gt;F356,"Объём выше излишка",IF(COUNT(M356:O356)&lt;3,"Нужны цены",IF(COUNT(P356:R356)&lt;3,"Нужны расходы",IF(OR(M356&lt;0,N356&lt;0,O356&lt;0,O356&gt;100,P356&lt;0,Q356&lt;0,R356&lt;0,R356&gt;100),"Проверьте значения","Рассчитано")))))))</x:f>
        <x:v>Нужны цены</x:v>
      </x:c>
      <x:c r="K356" s="36" t="n">
        <x:v>4</x:v>
      </x:c>
      <x:c r="L356" s="19" t="str">
        <x:v>KZT</x:v>
      </x:c>
      <x:c r="M356" s="22"/>
      <x:c r="N356" s="22"/>
      <x:c r="O356" s="28"/>
      <x:c r="P356" s="22"/>
      <x:c r="Q356" s="22"/>
      <x:c r="R356" s="28"/>
      <x:c r="S356" s="22"/>
      <x:c r="T356" s="35" t="n">
        <x:f>K356</x:f>
        <x:v>4</x:v>
      </x:c>
      <x:c r="U356" s="20" t="str">
        <x:f>IF(J356="Рассчитано",N356*(1-O356/100),"н/д")</x:f>
        <x:v>н/д</x:v>
      </x:c>
      <x:c r="V356" s="20" t="str">
        <x:f>IF(J356="Рассчитано",T356*U356,"н/д")</x:f>
        <x:v>н/д</x:v>
      </x:c>
      <x:c r="W356" s="20" t="str">
        <x:f>IF(J356="Рассчитано",T356*M356,"н/д")</x:f>
        <x:v>н/д</x:v>
      </x:c>
      <x:c r="X356" s="20" t="str">
        <x:f>IF(J356="Рассчитано",V356-W356,"н/д")</x:f>
        <x:v>н/д</x:v>
      </x:c>
      <x:c r="Y356" s="26" t="str">
        <x:f>IF(J356="Рассчитано",IF(V356&gt;0,G356/V356,"н/д"),"н/д")</x:f>
        <x:v>н/д</x:v>
      </x:c>
      <x:c r="Z356" s="20" t="str">
        <x:f>"н/д"</x:f>
        <x:v>н/д</x:v>
      </x:c>
      <x:c r="AA356" s="20" t="str">
        <x:f>"н/д"</x:f>
        <x:v>н/д</x:v>
      </x:c>
      <x:c r="AB356" s="20" t="str">
        <x:f>"н/д"</x:f>
        <x:v>н/д</x:v>
      </x:c>
      <x:c r="AC356" s="20" t="str">
        <x:f>IF(AND(J356="Рассчитано",T356&gt;0,R356&lt;100),(W356+P356+Q356)/(T356*(1-R356/100)),"н/д")</x:f>
        <x:v>н/д</x:v>
      </x:c>
      <x:c r="AD356" s="11" t="str">
        <x:f>IF(ISNUMBER(G356),IF(G356&lt;0,"Убыток",IF(G356=0,"Без прибыли","Прибыль &gt; 0")),"Не оценён")</x:f>
        <x:v>Не оценён</x:v>
      </x:c>
      <x:c r="AE356" s="12" t="str">
        <x:f>IF(J356="Рассчитано","Выручка "&amp;TEXT(V356,"0.00")&amp;" - себестоимость "&amp;TEXT(W356,"0.00")&amp;" - комиссия "&amp;TEXT(V356*R356/100,"0.00")&amp;" - доставка "&amp;TEXT(P356,"0.00")&amp;" - прочие "&amp;TEXT(Q356,"0.00")&amp;" = "&amp;TEXT(G356,"0.00")&amp;" "&amp;L356,"Введите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6" s="23" t="n">
        <x:v>2.71992346800658</x:v>
      </x:c>
      <x:c r="AG356" s="35" t="n">
        <x:v>7</x:v>
      </x:c>
      <x:c r="AH356" s="35" t="n">
        <x:v>0</x:v>
      </x:c>
      <x:c r="AI356" s="29" t="n">
        <x:v>46266</x:v>
      </x:c>
      <x:c r="AJ356" s="35" t="n">
        <x:v>1</x:v>
      </x:c>
      <x:c r="AK356" s="11" t="str">
        <x:v>минимум</x:v>
      </x:c>
      <x:c r="AL356" s="31" t="n">
        <x:v>218.85697895285884</x:v>
      </x:c>
      <x:c r="AM35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56" s="12" t="str">
        <x:v>Проверить свободный остаток и установить цену для B2B</x:v>
      </x:c>
      <x:c r="AO356" s="12" t="str">
        <x:v>Остаток 7; прогноз 90 дней 2.72; избыток 4 шт. Будущие поступления не выставляются на продажу. Остаток на начало сентября: требуется актуализация.</x:v>
      </x:c>
      <x:c r="AP356" s="12" t="str">
        <x:v>["category_missing", "daily_stockout_data_missing", "new_order_lead_time_unknown", "reservations_unknown", "stale_stock"]</x:v>
      </x:c>
      <x:c r="AQ356" s="11" t="str">
        <x:v>IEK:030200962_</x:v>
      </x:c>
      <x:c r="AR356" s="23" t="n">
        <x:v>1</x:v>
      </x:c>
      <x:c r="AS356" s="23" t="n">
        <x:v>0</x:v>
      </x:c>
      <x:c r="AT356" s="23" t="n">
        <x:v>0</x:v>
      </x:c>
    </x:row>
    <x:row r="357" ht="64" customHeight="1">
      <x:c r="A357" s="10" t="str">
        <x:v>IEK</x:v>
      </x:c>
      <x:c r="B357" s="34" t="str">
        <x:v>030200964_</x:v>
      </x:c>
      <x:c r="C357" s="34" t="str">
        <x:v>BR-MS10-N-150-05-K46</x:v>
      </x:c>
      <x:c r="D357" s="13" t="str">
        <x:v>Датчик движения "BRITE" сталь (1/80)</x:v>
      </x:c>
      <x:c r="E357" s="10" t="str">
        <x:v>шт</x:v>
      </x:c>
      <x:c r="F357" s="37" t="n">
        <x:f>MAX(0,ROUNDDOWN((AG357-AF357)/AR357+0.000000001,0)*AR357)</x:f>
        <x:v>1</x:v>
      </x:c>
      <x:c r="G357" s="21" t="str">
        <x:f>IF(J357="Рассчитано",V357*(1-R357/100)-W357-P357-Q357,"н/д")</x:f>
        <x:v>н/д</x:v>
      </x:c>
      <x:c r="H357" s="13" t="str">
        <x:v>Высокий</x:v>
      </x:c>
      <x:c r="I357" s="13" t="str">
        <x:v>Средний</x:v>
      </x:c>
      <x:c r="J357" s="13" t="str">
        <x:f>IF(L357="","Укажите валюту",IF(NOT(ISNUMBER(K357)),"Укажите объём",IF(K357&lt;=0,"Укажите объём",IF(K357&gt;F357,"Объём выше излишка",IF(COUNT(M357:O357)&lt;3,"Нужны цены",IF(COUNT(P357:R357)&lt;3,"Нужны расходы",IF(OR(M357&lt;0,N357&lt;0,O357&lt;0,O357&gt;100,P357&lt;0,Q357&lt;0,R357&lt;0,R357&gt;100),"Проверьте значения","Рассчитано")))))))</x:f>
        <x:v>Нужны цены</x:v>
      </x:c>
      <x:c r="K357" s="36" t="n">
        <x:v>1</x:v>
      </x:c>
      <x:c r="L357" s="19" t="str">
        <x:v>KZT</x:v>
      </x:c>
      <x:c r="M357" s="22"/>
      <x:c r="N357" s="22"/>
      <x:c r="O357" s="28"/>
      <x:c r="P357" s="22"/>
      <x:c r="Q357" s="22"/>
      <x:c r="R357" s="28"/>
      <x:c r="S357" s="22"/>
      <x:c r="T357" s="37" t="n">
        <x:f>K357</x:f>
        <x:v>1</x:v>
      </x:c>
      <x:c r="U357" s="21" t="str">
        <x:f>IF(J357="Рассчитано",N357*(1-O357/100),"н/д")</x:f>
        <x:v>н/д</x:v>
      </x:c>
      <x:c r="V357" s="21" t="str">
        <x:f>IF(J357="Рассчитано",T357*U357,"н/д")</x:f>
        <x:v>н/д</x:v>
      </x:c>
      <x:c r="W357" s="21" t="str">
        <x:f>IF(J357="Рассчитано",T357*M357,"н/д")</x:f>
        <x:v>н/д</x:v>
      </x:c>
      <x:c r="X357" s="21" t="str">
        <x:f>IF(J357="Рассчитано",V357-W357,"н/д")</x:f>
        <x:v>н/д</x:v>
      </x:c>
      <x:c r="Y357" s="27" t="str">
        <x:f>IF(J357="Рассчитано",IF(V357&gt;0,G357/V357,"н/д"),"н/д")</x:f>
        <x:v>н/д</x:v>
      </x:c>
      <x:c r="Z357" s="21" t="str">
        <x:f>"н/д"</x:f>
        <x:v>н/д</x:v>
      </x:c>
      <x:c r="AA357" s="21" t="str">
        <x:f>"н/д"</x:f>
        <x:v>н/д</x:v>
      </x:c>
      <x:c r="AB357" s="21" t="str">
        <x:f>"н/д"</x:f>
        <x:v>н/д</x:v>
      </x:c>
      <x:c r="AC357" s="21" t="str">
        <x:f>IF(AND(J357="Рассчитано",T357&gt;0,R357&lt;100),(W357+P357+Q357)/(T357*(1-R357/100)),"н/д")</x:f>
        <x:v>н/д</x:v>
      </x:c>
      <x:c r="AD357" s="10" t="str">
        <x:f>IF(ISNUMBER(G357),IF(G357&lt;0,"Убыток",IF(G357=0,"Без прибыли","Прибыль &gt; 0")),"Не оценён")</x:f>
        <x:v>Не оценён</x:v>
      </x:c>
      <x:c r="AE357" s="13" t="str">
        <x:f>IF(J357="Рассчитано","Выручка "&amp;TEXT(V357,"0.00")&amp;" - себестоимость "&amp;TEXT(W357,"0.00")&amp;" - комиссия "&amp;TEXT(V357*R357/100,"0.00")&amp;" - доставка "&amp;TEXT(P357,"0.00")&amp;" - прочие "&amp;TEXT(Q357,"0.00")&amp;" = "&amp;TEXT(G357,"0.00")&amp;" "&amp;L357,"Введите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7" s="24" t="n">
        <x:v>1.8646479759568162</x:v>
      </x:c>
      <x:c r="AG357" s="37" t="n">
        <x:v>3</x:v>
      </x:c>
      <x:c r="AH357" s="37" t="n">
        <x:v>0</x:v>
      </x:c>
      <x:c r="AI357" s="30" t="n">
        <x:v>46266</x:v>
      </x:c>
      <x:c r="AJ357" s="37" t="n">
        <x:v>1</x:v>
      </x:c>
      <x:c r="AK357" s="10" t="str">
        <x:v>минимум</x:v>
      </x:c>
      <x:c r="AL357" s="32" t="n">
        <x:v>136.81806528627877</x:v>
      </x:c>
      <x:c r="AM357" s="13" t="str">
        <x:v>Остаток на начало сентября; Резервы неизвестны; Нет ежедневных данных доступности. Запас выше прогноза на 90 дней</x:v>
      </x:c>
      <x:c r="AN357" s="13" t="str">
        <x:v>Проверить свободный остаток и установить цену для B2B</x:v>
      </x:c>
      <x:c r="AO357" s="13" t="str">
        <x:v>Остаток 3; прогноз 90 дней 1.86; избыток 1 шт. Будущие поступления не выставляются на продажу. Остаток на начало сентября: требуется актуализация.</x:v>
      </x:c>
      <x:c r="AP357" s="13" t="str">
        <x:v>["category_missing", "daily_stockout_data_missing", "new_order_lead_time_unknown", "reservations_unknown", "stale_stock"]</x:v>
      </x:c>
      <x:c r="AQ357" s="10" t="str">
        <x:v>IEK:030200964_</x:v>
      </x:c>
      <x:c r="AR357" s="24" t="n">
        <x:v>1</x:v>
      </x:c>
      <x:c r="AS357" s="24" t="n">
        <x:v>0</x:v>
      </x:c>
      <x:c r="AT357" s="24" t="n">
        <x:v>0</x:v>
      </x:c>
    </x:row>
    <x:row r="358" ht="64" customHeight="1">
      <x:c r="A358" s="11" t="str">
        <x:v>IEK</x:v>
      </x:c>
      <x:c r="B358" s="33" t="str">
        <x:v>030200965_</x:v>
      </x:c>
      <x:c r="C358" s="33" t="str">
        <x:v>BR-MS10-N-150-05-K47</x:v>
      </x:c>
      <x:c r="D358" s="12" t="str">
        <x:v>Датчик движения "BRITE" алюминий (1/80)</x:v>
      </x:c>
      <x:c r="E358" s="11" t="str">
        <x:v>шт</x:v>
      </x:c>
      <x:c r="F358" s="35" t="n">
        <x:f>MAX(0,ROUNDDOWN((AG358-AF358)/AR358+0.000000001,0)*AR358)</x:f>
        <x:v>8</x:v>
      </x:c>
      <x:c r="G358" s="20" t="str">
        <x:f>IF(J358="Рассчитано",V358*(1-R358/100)-W358-P358-Q358,"н/д")</x:f>
        <x:v>н/д</x:v>
      </x:c>
      <x:c r="H358" s="12" t="str">
        <x:v>Высокий</x:v>
      </x:c>
      <x:c r="I358" s="12" t="str">
        <x:v>Высокий</x:v>
      </x:c>
      <x:c r="J358" s="12" t="str">
        <x:f>IF(L358="","Укажите валюту",IF(NOT(ISNUMBER(K358)),"Укажите объём",IF(K358&lt;=0,"Укажите объём",IF(K358&gt;F358,"Объём выше излишка",IF(COUNT(M358:O358)&lt;3,"Нужны цены",IF(COUNT(P358:R358)&lt;3,"Нужны расходы",IF(OR(M358&lt;0,N358&lt;0,O358&lt;0,O358&gt;100,P358&lt;0,Q358&lt;0,R358&lt;0,R358&gt;100),"Проверьте значения","Рассчитано")))))))</x:f>
        <x:v>Нужны цены</x:v>
      </x:c>
      <x:c r="K358" s="36" t="n">
        <x:v>8</x:v>
      </x:c>
      <x:c r="L358" s="19" t="str">
        <x:v>KZT</x:v>
      </x:c>
      <x:c r="M358" s="22"/>
      <x:c r="N358" s="22"/>
      <x:c r="O358" s="28"/>
      <x:c r="P358" s="22"/>
      <x:c r="Q358" s="22"/>
      <x:c r="R358" s="28"/>
      <x:c r="S358" s="22"/>
      <x:c r="T358" s="35" t="n">
        <x:f>K358</x:f>
        <x:v>8</x:v>
      </x:c>
      <x:c r="U358" s="20" t="str">
        <x:f>IF(J358="Рассчитано",N358*(1-O358/100),"н/д")</x:f>
        <x:v>н/д</x:v>
      </x:c>
      <x:c r="V358" s="20" t="str">
        <x:f>IF(J358="Рассчитано",T358*U358,"н/д")</x:f>
        <x:v>н/д</x:v>
      </x:c>
      <x:c r="W358" s="20" t="str">
        <x:f>IF(J358="Рассчитано",T358*M358,"н/д")</x:f>
        <x:v>н/д</x:v>
      </x:c>
      <x:c r="X358" s="20" t="str">
        <x:f>IF(J358="Рассчитано",V358-W358,"н/д")</x:f>
        <x:v>н/д</x:v>
      </x:c>
      <x:c r="Y358" s="26" t="str">
        <x:f>IF(J358="Рассчитано",IF(V358&gt;0,G358/V358,"н/д"),"н/д")</x:f>
        <x:v>н/д</x:v>
      </x:c>
      <x:c r="Z358" s="20" t="str">
        <x:f>"н/д"</x:f>
        <x:v>н/д</x:v>
      </x:c>
      <x:c r="AA358" s="20" t="str">
        <x:f>"н/д"</x:f>
        <x:v>н/д</x:v>
      </x:c>
      <x:c r="AB358" s="20" t="str">
        <x:f>"н/д"</x:f>
        <x:v>н/д</x:v>
      </x:c>
      <x:c r="AC358" s="20" t="str">
        <x:f>IF(AND(J358="Рассчитано",T358&gt;0,R358&lt;100),(W358+P358+Q358)/(T358*(1-R358/100)),"н/д")</x:f>
        <x:v>н/д</x:v>
      </x:c>
      <x:c r="AD358" s="11" t="str">
        <x:f>IF(ISNUMBER(G358),IF(G358&lt;0,"Убыток",IF(G358=0,"Без прибыли","Прибыль &gt; 0")),"Не оценён")</x:f>
        <x:v>Не оценён</x:v>
      </x:c>
      <x:c r="AE358" s="12" t="str">
        <x:f>IF(J358="Рассчитано","Выручка "&amp;TEXT(V358,"0.00")&amp;" - себестоимость "&amp;TEXT(W358,"0.00")&amp;" - комиссия "&amp;TEXT(V358*R358/100,"0.00")&amp;" - доставка "&amp;TEXT(P358,"0.00")&amp;" - прочие "&amp;TEXT(Q358,"0.00")&amp;" = "&amp;TEXT(G358,"0.00")&amp;" "&amp;L358,"Введите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8" s="23" t="n">
        <x:v>0.3200255169833842</x:v>
      </x:c>
      <x:c r="AG358" s="35" t="n">
        <x:v>9</x:v>
      </x:c>
      <x:c r="AH358" s="35" t="n">
        <x:v>0</x:v>
      </x:c>
      <x:c r="AI358" s="29" t="n">
        <x:v>46266</x:v>
      </x:c>
      <x:c r="AJ358" s="35" t="n">
        <x:v>1</x:v>
      </x:c>
      <x:c r="AK358" s="11" t="str">
        <x:v>минимум</x:v>
      </x:c>
      <x:c r="AL358" s="31" t="n">
        <x:v>2391.5361273235553</x:v>
      </x:c>
      <x:c r="AM35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58" s="12" t="str">
        <x:v>Проверить свободный остаток и установить цену для B2B</x:v>
      </x:c>
      <x:c r="AO358" s="12" t="str">
        <x:v>Остаток 9; прогноз 90 дней 0.32; избыток 8 шт. Будущие поступления не выставляются на продажу. Остаток на начало сентября: требуется актуализация.</x:v>
      </x:c>
      <x:c r="AP358" s="12" t="str">
        <x:v>["category_missing", "daily_stockout_data_missing", "new_order_lead_time_unknown", "reservations_unknown", "stale_stock"]</x:v>
      </x:c>
      <x:c r="AQ358" s="11" t="str">
        <x:v>IEK:030200965_</x:v>
      </x:c>
      <x:c r="AR358" s="23" t="n">
        <x:v>1</x:v>
      </x:c>
      <x:c r="AS358" s="23" t="n">
        <x:v>0</x:v>
      </x:c>
      <x:c r="AT358" s="23" t="n">
        <x:v>0</x:v>
      </x:c>
    </x:row>
    <x:row r="359" ht="64" customHeight="1">
      <x:c r="A359" s="10" t="str">
        <x:v>IEK</x:v>
      </x:c>
      <x:c r="B359" s="34" t="str">
        <x:v>030200967_</x:v>
      </x:c>
      <x:c r="C359" s="34" t="str">
        <x:v>BR-R14-16-U21-D21-K02</x:v>
      </x:c>
      <x:c r="D359" s="13" t="str">
        <x:v>Роз. с з/к с з/ш 16А с USB A+A 2,1А б/рамки "BRITE" черный (1/80)</x:v>
      </x:c>
      <x:c r="E359" s="10" t="str">
        <x:v>шт</x:v>
      </x:c>
      <x:c r="F359" s="37" t="n">
        <x:f>MAX(0,ROUNDDOWN((AG359-AF359)/AR359+0.000000001,0)*AR359)</x:f>
        <x:v>2</x:v>
      </x:c>
      <x:c r="G359" s="21" t="str">
        <x:f>IF(J359="Рассчитано",V359*(1-R359/100)-W359-P359-Q359,"н/д")</x:f>
        <x:v>н/д</x:v>
      </x:c>
      <x:c r="H359" s="13" t="str">
        <x:v>Высокий</x:v>
      </x:c>
      <x:c r="I359" s="13" t="str">
        <x:v>Высокий</x:v>
      </x:c>
      <x:c r="J359" s="13" t="str">
        <x:f>IF(L359="","Укажите валюту",IF(NOT(ISNUMBER(K359)),"Укажите объём",IF(K359&lt;=0,"Укажите объём",IF(K359&gt;F359,"Объём выше излишка",IF(COUNT(M359:O359)&lt;3,"Нужны цены",IF(COUNT(P359:R359)&lt;3,"Нужны расходы",IF(OR(M359&lt;0,N359&lt;0,O359&lt;0,O359&gt;100,P359&lt;0,Q359&lt;0,R359&lt;0,R359&gt;100),"Проверьте значения","Рассчитано")))))))</x:f>
        <x:v>Нужны цены</x:v>
      </x:c>
      <x:c r="K359" s="36" t="n">
        <x:v>2</x:v>
      </x:c>
      <x:c r="L359" s="19" t="str">
        <x:v>KZT</x:v>
      </x:c>
      <x:c r="M359" s="22"/>
      <x:c r="N359" s="22"/>
      <x:c r="O359" s="28"/>
      <x:c r="P359" s="22"/>
      <x:c r="Q359" s="22"/>
      <x:c r="R359" s="28"/>
      <x:c r="S359" s="22"/>
      <x:c r="T359" s="37" t="n">
        <x:f>K359</x:f>
        <x:v>2</x:v>
      </x:c>
      <x:c r="U359" s="21" t="str">
        <x:f>IF(J359="Рассчитано",N359*(1-O359/100),"н/д")</x:f>
        <x:v>н/д</x:v>
      </x:c>
      <x:c r="V359" s="21" t="str">
        <x:f>IF(J359="Рассчитано",T359*U359,"н/д")</x:f>
        <x:v>н/д</x:v>
      </x:c>
      <x:c r="W359" s="21" t="str">
        <x:f>IF(J359="Рассчитано",T359*M359,"н/д")</x:f>
        <x:v>н/д</x:v>
      </x:c>
      <x:c r="X359" s="21" t="str">
        <x:f>IF(J359="Рассчитано",V359-W359,"н/д")</x:f>
        <x:v>н/д</x:v>
      </x:c>
      <x:c r="Y359" s="27" t="str">
        <x:f>IF(J359="Рассчитано",IF(V359&gt;0,G359/V359,"н/д"),"н/д")</x:f>
        <x:v>н/д</x:v>
      </x:c>
      <x:c r="Z359" s="21" t="str">
        <x:f>"н/д"</x:f>
        <x:v>н/д</x:v>
      </x:c>
      <x:c r="AA359" s="21" t="str">
        <x:f>"н/д"</x:f>
        <x:v>н/д</x:v>
      </x:c>
      <x:c r="AB359" s="21" t="str">
        <x:f>"н/д"</x:f>
        <x:v>н/д</x:v>
      </x:c>
      <x:c r="AC359" s="21" t="str">
        <x:f>IF(AND(J359="Рассчитано",T359&gt;0,R359&lt;100),(W359+P359+Q359)/(T359*(1-R359/100)),"н/д")</x:f>
        <x:v>н/д</x:v>
      </x:c>
      <x:c r="AD359" s="10" t="str">
        <x:f>IF(ISNUMBER(G359),IF(G359&lt;0,"Убыток",IF(G359=0,"Без прибыли","Прибыль &gt; 0")),"Не оценён")</x:f>
        <x:v>Не оценён</x:v>
      </x:c>
      <x:c r="AE359" s="13" t="str">
        <x:f>IF(J359="Рассчитано","Выручка "&amp;TEXT(V359,"0.00")&amp;" - себестоимость "&amp;TEXT(W359,"0.00")&amp;" - комиссия "&amp;TEXT(V359*R359/100,"0.00")&amp;" - доставка "&amp;TEXT(P359,"0.00")&amp;" - прочие "&amp;TEXT(Q359,"0.00")&amp;" = "&amp;TEXT(G359,"0.00")&amp;" "&amp;L359,"Введите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9" s="24" t="n">
        <x:v>0.774306604505926</x:v>
      </x:c>
      <x:c r="AG359" s="37" t="n">
        <x:v>3</x:v>
      </x:c>
      <x:c r="AH359" s="37" t="n">
        <x:v>0</x:v>
      </x:c>
      <x:c r="AI359" s="30" t="n">
        <x:v>46266</x:v>
      </x:c>
      <x:c r="AJ359" s="37" t="n">
        <x:v>1</x:v>
      </x:c>
      <x:c r="AK359" s="10" t="str">
        <x:v>минимум</x:v>
      </x:c>
      <x:c r="AL359" s="32" t="n">
        <x:v>329.47869361539784</x:v>
      </x:c>
      <x:c r="AM35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59" s="13" t="str">
        <x:v>Проверить свободный остаток и установить цену для B2B</x:v>
      </x:c>
      <x:c r="AO359" s="13" t="str">
        <x:v>Остаток 3; прогноз 90 дней 0.77; избыток 2 шт. Будущие поступления не выставляются на продажу. Остаток на начало сентября: требуется актуализация.</x:v>
      </x:c>
      <x:c r="AP359" s="13" t="str">
        <x:v>["category_missing", "daily_stockout_data_missing", "new_order_lead_time_unknown", "reservations_unknown", "stale_stock"]</x:v>
      </x:c>
      <x:c r="AQ359" s="10" t="str">
        <x:v>IEK:030200967_</x:v>
      </x:c>
      <x:c r="AR359" s="24" t="n">
        <x:v>1</x:v>
      </x:c>
      <x:c r="AS359" s="24" t="n">
        <x:v>0</x:v>
      </x:c>
      <x:c r="AT359" s="24" t="n">
        <x:v>0</x:v>
      </x:c>
    </x:row>
    <x:row r="360" ht="64" customHeight="1">
      <x:c r="A360" s="11" t="str">
        <x:v>IEK</x:v>
      </x:c>
      <x:c r="B360" s="33" t="str">
        <x:v>030200968_</x:v>
      </x:c>
      <x:c r="C360" s="33" t="str">
        <x:v>BR-R14-16-U21-D21-K46</x:v>
      </x:c>
      <x:c r="D360" s="12" t="str">
        <x:v>Роз. с з/к с з/ш 16А с USB A+A 2,1А б/рамки "BRITE" сталь (1/80)</x:v>
      </x:c>
      <x:c r="E360" s="11" t="str">
        <x:v>шт</x:v>
      </x:c>
      <x:c r="F360" s="35" t="n">
        <x:f>MAX(0,ROUNDDOWN((AG360-AF360)/AR360+0.000000001,0)*AR360)</x:f>
        <x:v>5</x:v>
      </x:c>
      <x:c r="G360" s="20" t="str">
        <x:f>IF(J360="Рассчитано",V360*(1-R360/100)-W360-P360-Q360,"н/д")</x:f>
        <x:v>н/д</x:v>
      </x:c>
      <x:c r="H360" s="12" t="str">
        <x:v>Высокий</x:v>
      </x:c>
      <x:c r="I360" s="12" t="str">
        <x:v>Высокий</x:v>
      </x:c>
      <x:c r="J360" s="12" t="str">
        <x:f>IF(L360="","Укажите валюту",IF(NOT(ISNUMBER(K360)),"Укажите объём",IF(K360&lt;=0,"Укажите объём",IF(K360&gt;F360,"Объём выше излишка",IF(COUNT(M360:O360)&lt;3,"Нужны цены",IF(COUNT(P360:R360)&lt;3,"Нужны расходы",IF(OR(M360&lt;0,N360&lt;0,O360&lt;0,O360&gt;100,P360&lt;0,Q360&lt;0,R360&lt;0,R360&gt;100),"Проверьте значения","Рассчитано")))))))</x:f>
        <x:v>Нужны цены</x:v>
      </x:c>
      <x:c r="K360" s="36" t="n">
        <x:v>5</x:v>
      </x:c>
      <x:c r="L360" s="19" t="str">
        <x:v>KZT</x:v>
      </x:c>
      <x:c r="M360" s="22"/>
      <x:c r="N360" s="22"/>
      <x:c r="O360" s="28"/>
      <x:c r="P360" s="22"/>
      <x:c r="Q360" s="22"/>
      <x:c r="R360" s="28"/>
      <x:c r="S360" s="22"/>
      <x:c r="T360" s="35" t="n">
        <x:f>K360</x:f>
        <x:v>5</x:v>
      </x:c>
      <x:c r="U360" s="20" t="str">
        <x:f>IF(J360="Рассчитано",N360*(1-O360/100),"н/д")</x:f>
        <x:v>н/д</x:v>
      </x:c>
      <x:c r="V360" s="20" t="str">
        <x:f>IF(J360="Рассчитано",T360*U360,"н/д")</x:f>
        <x:v>н/д</x:v>
      </x:c>
      <x:c r="W360" s="20" t="str">
        <x:f>IF(J360="Рассчитано",T360*M360,"н/д")</x:f>
        <x:v>н/д</x:v>
      </x:c>
      <x:c r="X360" s="20" t="str">
        <x:f>IF(J360="Рассчитано",V360-W360,"н/д")</x:f>
        <x:v>н/д</x:v>
      </x:c>
      <x:c r="Y360" s="26" t="str">
        <x:f>IF(J360="Рассчитано",IF(V360&gt;0,G360/V360,"н/д"),"н/д")</x:f>
        <x:v>н/д</x:v>
      </x:c>
      <x:c r="Z360" s="20" t="str">
        <x:f>"н/д"</x:f>
        <x:v>н/д</x:v>
      </x:c>
      <x:c r="AA360" s="20" t="str">
        <x:f>"н/д"</x:f>
        <x:v>н/д</x:v>
      </x:c>
      <x:c r="AB360" s="20" t="str">
        <x:f>"н/д"</x:f>
        <x:v>н/д</x:v>
      </x:c>
      <x:c r="AC360" s="20" t="str">
        <x:f>IF(AND(J360="Рассчитано",T360&gt;0,R360&lt;100),(W360+P360+Q360)/(T360*(1-R360/100)),"н/д")</x:f>
        <x:v>н/д</x:v>
      </x:c>
      <x:c r="AD360" s="11" t="str">
        <x:f>IF(ISNUMBER(G360),IF(G360&lt;0,"Убыток",IF(G360=0,"Без прибыли","Прибыль &gt; 0")),"Не оценён")</x:f>
        <x:v>Не оценён</x:v>
      </x:c>
      <x:c r="AE360" s="12" t="str">
        <x:f>IF(J360="Рассчитано","Выручка "&amp;TEXT(V360,"0.00")&amp;" - себестоимость "&amp;TEXT(W360,"0.00")&amp;" - комиссия "&amp;TEXT(V360*R360/100,"0.00")&amp;" - доставка "&amp;TEXT(P360,"0.00")&amp;" - прочие "&amp;TEXT(Q360,"0.00")&amp;" = "&amp;TEXT(G360,"0.00")&amp;" "&amp;L360,"Введите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0" s="23" t="n">
        <x:v>0.09005811180205522</x:v>
      </x:c>
      <x:c r="AG360" s="35" t="n">
        <x:v>6</x:v>
      </x:c>
      <x:c r="AH360" s="35" t="n">
        <x:v>0</x:v>
      </x:c>
      <x:c r="AI360" s="29" t="n">
        <x:v>46266</x:v>
      </x:c>
      <x:c r="AJ360" s="35" t="n">
        <x:v>1</x:v>
      </x:c>
      <x:c r="AK360" s="11" t="str">
        <x:v>минимум</x:v>
      </x:c>
      <x:c r="AL360" s="31" t="n">
        <x:v>5665.620195793741</x:v>
      </x:c>
      <x:c r="AM3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60" s="12" t="str">
        <x:v>Проверить свободный остаток и установить цену для B2B</x:v>
      </x:c>
      <x:c r="AO360" s="12" t="str">
        <x:v>Остаток 6; прогноз 90 дней 0.09; избыток 5 шт. Будущие поступления не выставляются на продажу. Остаток на начало сентября: требуется актуализация.</x:v>
      </x:c>
      <x:c r="AP360" s="12" t="str">
        <x:v>["category_missing", "daily_stockout_data_missing", "new_order_lead_time_unknown", "reservations_unknown", "stale_stock"]</x:v>
      </x:c>
      <x:c r="AQ360" s="11" t="str">
        <x:v>IEK:030200968_</x:v>
      </x:c>
      <x:c r="AR360" s="23" t="n">
        <x:v>1</x:v>
      </x:c>
      <x:c r="AS360" s="23" t="n">
        <x:v>0</x:v>
      </x:c>
      <x:c r="AT360" s="23" t="n">
        <x:v>0</x:v>
      </x:c>
    </x:row>
    <x:row r="361" ht="64" customHeight="1">
      <x:c r="A361" s="10" t="str">
        <x:v>IEK</x:v>
      </x:c>
      <x:c r="B361" s="34" t="str">
        <x:v>030200969_</x:v>
      </x:c>
      <x:c r="C361" s="34" t="str">
        <x:v>BR-R14-16-U21-D21-K47</x:v>
      </x:c>
      <x:c r="D361" s="13" t="str">
        <x:v>Роз. с з/к с з/ш 16А с USB A+A 2,1А б/рамки "BRITE" алюминий (1/80)</x:v>
      </x:c>
      <x:c r="E361" s="10" t="str">
        <x:v>шт</x:v>
      </x:c>
      <x:c r="F361" s="37" t="n">
        <x:f>MAX(0,ROUNDDOWN((AG361-AF361)/AR361+0.000000001,0)*AR361)</x:f>
        <x:v>3</x:v>
      </x:c>
      <x:c r="G361" s="21" t="str">
        <x:f>IF(J361="Рассчитано",V361*(1-R361/100)-W361-P361-Q361,"н/д")</x:f>
        <x:v>н/д</x:v>
      </x:c>
      <x:c r="H361" s="13" t="str">
        <x:v>Высокий</x:v>
      </x:c>
      <x:c r="I361" s="13" t="str">
        <x:v>Высокий</x:v>
      </x:c>
      <x:c r="J361" s="13" t="str">
        <x:f>IF(L361="","Укажите валюту",IF(NOT(ISNUMBER(K361)),"Укажите объём",IF(K361&lt;=0,"Укажите объём",IF(K361&gt;F361,"Объём выше излишка",IF(COUNT(M361:O361)&lt;3,"Нужны цены",IF(COUNT(P361:R361)&lt;3,"Нужны расходы",IF(OR(M361&lt;0,N361&lt;0,O361&lt;0,O361&gt;100,P361&lt;0,Q361&lt;0,R361&lt;0,R361&gt;100),"Проверьте значения","Рассчитано")))))))</x:f>
        <x:v>Нужны цены</x:v>
      </x:c>
      <x:c r="K361" s="36" t="n">
        <x:v>3</x:v>
      </x:c>
      <x:c r="L361" s="19" t="str">
        <x:v>KZT</x:v>
      </x:c>
      <x:c r="M361" s="22"/>
      <x:c r="N361" s="22"/>
      <x:c r="O361" s="28"/>
      <x:c r="P361" s="22"/>
      <x:c r="Q361" s="22"/>
      <x:c r="R361" s="28"/>
      <x:c r="S361" s="22"/>
      <x:c r="T361" s="37" t="n">
        <x:f>K361</x:f>
        <x:v>3</x:v>
      </x:c>
      <x:c r="U361" s="21" t="str">
        <x:f>IF(J361="Рассчитано",N361*(1-O361/100),"н/д")</x:f>
        <x:v>н/д</x:v>
      </x:c>
      <x:c r="V361" s="21" t="str">
        <x:f>IF(J361="Рассчитано",T361*U361,"н/д")</x:f>
        <x:v>н/д</x:v>
      </x:c>
      <x:c r="W361" s="21" t="str">
        <x:f>IF(J361="Рассчитано",T361*M361,"н/д")</x:f>
        <x:v>н/д</x:v>
      </x:c>
      <x:c r="X361" s="21" t="str">
        <x:f>IF(J361="Рассчитано",V361-W361,"н/д")</x:f>
        <x:v>н/д</x:v>
      </x:c>
      <x:c r="Y361" s="27" t="str">
        <x:f>IF(J361="Рассчитано",IF(V361&gt;0,G361/V361,"н/д"),"н/д")</x:f>
        <x:v>н/д</x:v>
      </x:c>
      <x:c r="Z361" s="21" t="str">
        <x:f>"н/д"</x:f>
        <x:v>н/д</x:v>
      </x:c>
      <x:c r="AA361" s="21" t="str">
        <x:f>"н/д"</x:f>
        <x:v>н/д</x:v>
      </x:c>
      <x:c r="AB361" s="21" t="str">
        <x:f>"н/д"</x:f>
        <x:v>н/д</x:v>
      </x:c>
      <x:c r="AC361" s="21" t="str">
        <x:f>IF(AND(J361="Рассчитано",T361&gt;0,R361&lt;100),(W361+P361+Q361)/(T361*(1-R361/100)),"н/д")</x:f>
        <x:v>н/д</x:v>
      </x:c>
      <x:c r="AD361" s="10" t="str">
        <x:f>IF(ISNUMBER(G361),IF(G361&lt;0,"Убыток",IF(G361=0,"Без прибыли","Прибыль &gt; 0")),"Не оценён")</x:f>
        <x:v>Не оценён</x:v>
      </x:c>
      <x:c r="AE361" s="13" t="str">
        <x:f>IF(J361="Рассчитано","Выручка "&amp;TEXT(V361,"0.00")&amp;" - себестоимость "&amp;TEXT(W361,"0.00")&amp;" - комиссия "&amp;TEXT(V361*R361/100,"0.00")&amp;" - доставка "&amp;TEXT(P361,"0.00")&amp;" - прочие "&amp;TEXT(Q361,"0.00")&amp;" = "&amp;TEXT(G361,"0.00")&amp;" "&amp;L361,"Введите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1" s="24" t="n">
        <x:v>0.10758727254321898</x:v>
      </x:c>
      <x:c r="AG361" s="37" t="n">
        <x:v>4</x:v>
      </x:c>
      <x:c r="AH361" s="37" t="n">
        <x:v>0</x:v>
      </x:c>
      <x:c r="AI361" s="30" t="n">
        <x:v>46266</x:v>
      </x:c>
      <x:c r="AJ361" s="37" t="n">
        <x:v>1</x:v>
      </x:c>
      <x:c r="AK361" s="10" t="str">
        <x:v>минимум</x:v>
      </x:c>
      <x:c r="AL361" s="32" t="n">
        <x:v>3161.681643559385</x:v>
      </x:c>
      <x:c r="AM36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61" s="13" t="str">
        <x:v>Проверить свободный остаток и установить цену для B2B</x:v>
      </x:c>
      <x:c r="AO361" s="13" t="str">
        <x:v>Остаток 4; прогноз 90 дней 0.11; избыток 3 шт. Будущие поступления не выставляются на продажу. Остаток на начало сентября: требуется актуализация.</x:v>
      </x:c>
      <x:c r="AP361" s="13" t="str">
        <x:v>["category_missing", "daily_stockout_data_missing", "new_order_lead_time_unknown", "reservations_unknown", "stale_stock"]</x:v>
      </x:c>
      <x:c r="AQ361" s="10" t="str">
        <x:v>IEK:030200969_</x:v>
      </x:c>
      <x:c r="AR361" s="24" t="n">
        <x:v>1</x:v>
      </x:c>
      <x:c r="AS361" s="24" t="n">
        <x:v>0</x:v>
      </x:c>
      <x:c r="AT361" s="24" t="n">
        <x:v>0</x:v>
      </x:c>
    </x:row>
    <x:row r="362" ht="64" customHeight="1">
      <x:c r="A362" s="11" t="str">
        <x:v>IEK</x:v>
      </x:c>
      <x:c r="B362" s="33" t="str">
        <x:v>030200973_</x:v>
      </x:c>
      <x:c r="C362" s="33" t="str">
        <x:v>BR-V14-0-10-K46</x:v>
      </x:c>
      <x:c r="D362" s="12" t="str">
        <x:v>Выкл. 1-кл. самовозвратн. 10А "BRITE" сталь (1/100)</x:v>
      </x:c>
      <x:c r="E362" s="11" t="str">
        <x:v>шт</x:v>
      </x:c>
      <x:c r="F362" s="35" t="n">
        <x:f>MAX(0,ROUNDDOWN((AG362-AF362)/AR362+0.000000001,0)*AR362)</x:f>
        <x:v>1</x:v>
      </x:c>
      <x:c r="G362" s="20" t="str">
        <x:f>IF(J362="Рассчитано",V362*(1-R362/100)-W362-P362-Q362,"н/д")</x:f>
        <x:v>н/д</x:v>
      </x:c>
      <x:c r="H362" s="12" t="str">
        <x:v>Высокий</x:v>
      </x:c>
      <x:c r="I362" s="12" t="str">
        <x:v>Высокий</x:v>
      </x:c>
      <x:c r="J362" s="12" t="str">
        <x:f>IF(L362="","Укажите валюту",IF(NOT(ISNUMBER(K362)),"Укажите объём",IF(K362&lt;=0,"Укажите объём",IF(K362&gt;F362,"Объём выше излишка",IF(COUNT(M362:O362)&lt;3,"Нужны цены",IF(COUNT(P362:R362)&lt;3,"Нужны расходы",IF(OR(M362&lt;0,N362&lt;0,O362&lt;0,O362&gt;100,P362&lt;0,Q362&lt;0,R362&lt;0,R362&gt;100),"Проверьте значения","Рассчитано")))))))</x:f>
        <x:v>Нужны цены</x:v>
      </x:c>
      <x:c r="K362" s="36" t="n">
        <x:v>1</x:v>
      </x:c>
      <x:c r="L362" s="19" t="str">
        <x:v>KZT</x:v>
      </x:c>
      <x:c r="M362" s="22"/>
      <x:c r="N362" s="22"/>
      <x:c r="O362" s="28"/>
      <x:c r="P362" s="22"/>
      <x:c r="Q362" s="22"/>
      <x:c r="R362" s="28"/>
      <x:c r="S362" s="22"/>
      <x:c r="T362" s="35" t="n">
        <x:f>K362</x:f>
        <x:v>1</x:v>
      </x:c>
      <x:c r="U362" s="20" t="str">
        <x:f>IF(J362="Рассчитано",N362*(1-O362/100),"н/д")</x:f>
        <x:v>н/д</x:v>
      </x:c>
      <x:c r="V362" s="20" t="str">
        <x:f>IF(J362="Рассчитано",T362*U362,"н/д")</x:f>
        <x:v>н/д</x:v>
      </x:c>
      <x:c r="W362" s="20" t="str">
        <x:f>IF(J362="Рассчитано",T362*M362,"н/д")</x:f>
        <x:v>н/д</x:v>
      </x:c>
      <x:c r="X362" s="20" t="str">
        <x:f>IF(J362="Рассчитано",V362-W362,"н/д")</x:f>
        <x:v>н/д</x:v>
      </x:c>
      <x:c r="Y362" s="26" t="str">
        <x:f>IF(J362="Рассчитано",IF(V362&gt;0,G362/V362,"н/д"),"н/д")</x:f>
        <x:v>н/д</x:v>
      </x:c>
      <x:c r="Z362" s="20" t="str">
        <x:f>"н/д"</x:f>
        <x:v>н/д</x:v>
      </x:c>
      <x:c r="AA362" s="20" t="str">
        <x:f>"н/д"</x:f>
        <x:v>н/д</x:v>
      </x:c>
      <x:c r="AB362" s="20" t="str">
        <x:f>"н/д"</x:f>
        <x:v>н/д</x:v>
      </x:c>
      <x:c r="AC362" s="20" t="str">
        <x:f>IF(AND(J362="Рассчитано",T362&gt;0,R362&lt;100),(W362+P362+Q362)/(T362*(1-R362/100)),"н/д")</x:f>
        <x:v>н/д</x:v>
      </x:c>
      <x:c r="AD362" s="11" t="str">
        <x:f>IF(ISNUMBER(G362),IF(G362&lt;0,"Убыток",IF(G362=0,"Без прибыли","Прибыль &gt; 0")),"Не оценён")</x:f>
        <x:v>Не оценён</x:v>
      </x:c>
      <x:c r="AE362" s="12" t="str">
        <x:f>IF(J362="Рассчитано","Выручка "&amp;TEXT(V362,"0.00")&amp;" - себестоимость "&amp;TEXT(W362,"0.00")&amp;" - комиссия "&amp;TEXT(V362*R362/100,"0.00")&amp;" - доставка "&amp;TEXT(P362,"0.00")&amp;" - прочие "&amp;TEXT(Q362,"0.00")&amp;" = "&amp;TEXT(G362,"0.00")&amp;" "&amp;L362,"Введите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2" s="23" t="n">
        <x:v>0</x:v>
      </x:c>
      <x:c r="AG362" s="35" t="n">
        <x:v>1</x:v>
      </x:c>
      <x:c r="AH362" s="35" t="n">
        <x:v>0</x:v>
      </x:c>
      <x:c r="AI362" s="29" t="n">
        <x:v>46266</x:v>
      </x:c>
      <x:c r="AJ362" s="35" t="n">
        <x:v>1</x:v>
      </x:c>
      <x:c r="AK362" s="11" t="str">
        <x:v>минимум</x:v>
      </x:c>
      <x:c r="AL362" s="31" t="str">
        <x:v>н/д</x:v>
      </x:c>
      <x:c r="AM36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62" s="12" t="str">
        <x:v>Проверить свободный остаток и установить цену для B2B</x:v>
      </x:c>
      <x:c r="AO362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362" s="12" t="str">
        <x:v>["category_missing", "daily_stockout_data_missing", "new_order_lead_time_unknown", "reservations_unknown", "stale_stock"]</x:v>
      </x:c>
      <x:c r="AQ362" s="11" t="str">
        <x:v>IEK:030200973_</x:v>
      </x:c>
      <x:c r="AR362" s="23" t="n">
        <x:v>1</x:v>
      </x:c>
      <x:c r="AS362" s="23" t="n">
        <x:v>0</x:v>
      </x:c>
      <x:c r="AT362" s="23" t="n">
        <x:v>0</x:v>
      </x:c>
    </x:row>
    <x:row r="363" ht="64" customHeight="1">
      <x:c r="A363" s="10" t="str">
        <x:v>IEK</x:v>
      </x:c>
      <x:c r="B363" s="34" t="str">
        <x:v>030200974_</x:v>
      </x:c>
      <x:c r="C363" s="34" t="str">
        <x:v>BR-V14-0-10-K47</x:v>
      </x:c>
      <x:c r="D363" s="13" t="str">
        <x:v>Выкл. 1-кл. самовозвратн. 10А "BRITE" алюминий (1/100)</x:v>
      </x:c>
      <x:c r="E363" s="10" t="str">
        <x:v>шт</x:v>
      </x:c>
      <x:c r="F363" s="37" t="n">
        <x:f>MAX(0,ROUNDDOWN((AG363-AF363)/AR363+0.000000001,0)*AR363)</x:f>
        <x:v>1</x:v>
      </x:c>
      <x:c r="G363" s="21" t="str">
        <x:f>IF(J363="Рассчитано",V363*(1-R363/100)-W363-P363-Q363,"н/д")</x:f>
        <x:v>н/д</x:v>
      </x:c>
      <x:c r="H363" s="13" t="str">
        <x:v>Высокий</x:v>
      </x:c>
      <x:c r="I363" s="13" t="str">
        <x:v>Высокий</x:v>
      </x:c>
      <x:c r="J363" s="13" t="str">
        <x:f>IF(L363="","Укажите валюту",IF(NOT(ISNUMBER(K363)),"Укажите объём",IF(K363&lt;=0,"Укажите объём",IF(K363&gt;F363,"Объём выше излишка",IF(COUNT(M363:O363)&lt;3,"Нужны цены",IF(COUNT(P363:R363)&lt;3,"Нужны расходы",IF(OR(M363&lt;0,N363&lt;0,O363&lt;0,O363&gt;100,P363&lt;0,Q363&lt;0,R363&lt;0,R363&gt;100),"Проверьте значения","Рассчитано")))))))</x:f>
        <x:v>Нужны цены</x:v>
      </x:c>
      <x:c r="K363" s="36" t="n">
        <x:v>1</x:v>
      </x:c>
      <x:c r="L363" s="19" t="str">
        <x:v>KZT</x:v>
      </x:c>
      <x:c r="M363" s="22"/>
      <x:c r="N363" s="22"/>
      <x:c r="O363" s="28"/>
      <x:c r="P363" s="22"/>
      <x:c r="Q363" s="22"/>
      <x:c r="R363" s="28"/>
      <x:c r="S363" s="22"/>
      <x:c r="T363" s="37" t="n">
        <x:f>K363</x:f>
        <x:v>1</x:v>
      </x:c>
      <x:c r="U363" s="21" t="str">
        <x:f>IF(J363="Рассчитано",N363*(1-O363/100),"н/д")</x:f>
        <x:v>н/д</x:v>
      </x:c>
      <x:c r="V363" s="21" t="str">
        <x:f>IF(J363="Рассчитано",T363*U363,"н/д")</x:f>
        <x:v>н/д</x:v>
      </x:c>
      <x:c r="W363" s="21" t="str">
        <x:f>IF(J363="Рассчитано",T363*M363,"н/д")</x:f>
        <x:v>н/д</x:v>
      </x:c>
      <x:c r="X363" s="21" t="str">
        <x:f>IF(J363="Рассчитано",V363-W363,"н/д")</x:f>
        <x:v>н/д</x:v>
      </x:c>
      <x:c r="Y363" s="27" t="str">
        <x:f>IF(J363="Рассчитано",IF(V363&gt;0,G363/V363,"н/д"),"н/д")</x:f>
        <x:v>н/д</x:v>
      </x:c>
      <x:c r="Z363" s="21" t="str">
        <x:f>"н/д"</x:f>
        <x:v>н/д</x:v>
      </x:c>
      <x:c r="AA363" s="21" t="str">
        <x:f>"н/д"</x:f>
        <x:v>н/д</x:v>
      </x:c>
      <x:c r="AB363" s="21" t="str">
        <x:f>"н/д"</x:f>
        <x:v>н/д</x:v>
      </x:c>
      <x:c r="AC363" s="21" t="str">
        <x:f>IF(AND(J363="Рассчитано",T363&gt;0,R363&lt;100),(W363+P363+Q363)/(T363*(1-R363/100)),"н/д")</x:f>
        <x:v>н/д</x:v>
      </x:c>
      <x:c r="AD363" s="10" t="str">
        <x:f>IF(ISNUMBER(G363),IF(G363&lt;0,"Убыток",IF(G363=0,"Без прибыли","Прибыль &gt; 0")),"Не оценён")</x:f>
        <x:v>Не оценён</x:v>
      </x:c>
      <x:c r="AE363" s="13" t="str">
        <x:f>IF(J363="Рассчитано","Выручка "&amp;TEXT(V363,"0.00")&amp;" - себестоимость "&amp;TEXT(W363,"0.00")&amp;" - комиссия "&amp;TEXT(V363*R363/100,"0.00")&amp;" - доставка "&amp;TEXT(P363,"0.00")&amp;" - прочие "&amp;TEXT(Q363,"0.00")&amp;" = "&amp;TEXT(G363,"0.00")&amp;" "&amp;L363,"Введите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3" s="24" t="n">
        <x:v>0.5757319894935744</x:v>
      </x:c>
      <x:c r="AG363" s="37" t="n">
        <x:v>2</x:v>
      </x:c>
      <x:c r="AH363" s="37" t="n">
        <x:v>0</x:v>
      </x:c>
      <x:c r="AI363" s="30" t="n">
        <x:v>46266</x:v>
      </x:c>
      <x:c r="AJ363" s="37" t="n">
        <x:v>1</x:v>
      </x:c>
      <x:c r="AK363" s="10" t="str">
        <x:v>минимум</x:v>
      </x:c>
      <x:c r="AL363" s="32" t="n">
        <x:v>295.41237145752973</x:v>
      </x:c>
      <x:c r="AM3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63" s="13" t="str">
        <x:v>Проверить свободный остаток и установить цену для B2B</x:v>
      </x:c>
      <x:c r="AO363" s="13" t="str">
        <x:v>Остаток 2; прогноз 90 дней 0.58; избыток 1 шт. Будущие поступления не выставляются на продажу. Остаток на начало сентября: требуется актуализация.</x:v>
      </x:c>
      <x:c r="AP363" s="13" t="str">
        <x:v>["category_missing", "daily_stockout_data_missing", "new_order_lead_time_unknown", "reservations_unknown", "stale_stock"]</x:v>
      </x:c>
      <x:c r="AQ363" s="10" t="str">
        <x:v>IEK:030200974_</x:v>
      </x:c>
      <x:c r="AR363" s="24" t="n">
        <x:v>1</x:v>
      </x:c>
      <x:c r="AS363" s="24" t="n">
        <x:v>0</x:v>
      </x:c>
      <x:c r="AT363" s="24" t="n">
        <x:v>0</x:v>
      </x:c>
    </x:row>
    <x:row r="364" ht="64" customHeight="1">
      <x:c r="A364" s="11" t="str">
        <x:v>IEK</x:v>
      </x:c>
      <x:c r="B364" s="33" t="str">
        <x:v>030200975_</x:v>
      </x:c>
      <x:c r="C364" s="33" t="str">
        <x:v>BR-S40-K01</x:v>
      </x:c>
      <x:c r="D364" s="12" t="str">
        <x:v>Роз. аудио 4-мест. "BRITE" белый (1/100)</x:v>
      </x:c>
      <x:c r="E364" s="11" t="str">
        <x:v>шт</x:v>
      </x:c>
      <x:c r="F364" s="35" t="n">
        <x:f>MAX(0,ROUNDDOWN((AG364-AF364)/AR364+0.000000001,0)*AR364)</x:f>
        <x:v>40</x:v>
      </x:c>
      <x:c r="G364" s="20" t="str">
        <x:f>IF(J364="Рассчитано",V364*(1-R364/100)-W364-P364-Q364,"н/д")</x:f>
        <x:v>н/д</x:v>
      </x:c>
      <x:c r="H364" s="12" t="str">
        <x:v>Высокий</x:v>
      </x:c>
      <x:c r="I364" s="12" t="str">
        <x:v>Высокий</x:v>
      </x:c>
      <x:c r="J364" s="12" t="str">
        <x:f>IF(L364="","Укажите валюту",IF(NOT(ISNUMBER(K364)),"Укажите объём",IF(K364&lt;=0,"Укажите объём",IF(K364&gt;F364,"Объём выше излишка",IF(COUNT(M364:O364)&lt;3,"Нужны цены",IF(COUNT(P364:R364)&lt;3,"Нужны расходы",IF(OR(M364&lt;0,N364&lt;0,O364&lt;0,O364&gt;100,P364&lt;0,Q364&lt;0,R364&lt;0,R364&gt;100),"Проверьте значения","Рассчитано")))))))</x:f>
        <x:v>Нужны цены</x:v>
      </x:c>
      <x:c r="K364" s="36" t="n">
        <x:v>40</x:v>
      </x:c>
      <x:c r="L364" s="19" t="str">
        <x:v>KZT</x:v>
      </x:c>
      <x:c r="M364" s="22"/>
      <x:c r="N364" s="22"/>
      <x:c r="O364" s="28"/>
      <x:c r="P364" s="22"/>
      <x:c r="Q364" s="22"/>
      <x:c r="R364" s="28"/>
      <x:c r="S364" s="22"/>
      <x:c r="T364" s="35" t="n">
        <x:f>K364</x:f>
        <x:v>40</x:v>
      </x:c>
      <x:c r="U364" s="20" t="str">
        <x:f>IF(J364="Рассчитано",N364*(1-O364/100),"н/д")</x:f>
        <x:v>н/д</x:v>
      </x:c>
      <x:c r="V364" s="20" t="str">
        <x:f>IF(J364="Рассчитано",T364*U364,"н/д")</x:f>
        <x:v>н/д</x:v>
      </x:c>
      <x:c r="W364" s="20" t="str">
        <x:f>IF(J364="Рассчитано",T364*M364,"н/д")</x:f>
        <x:v>н/д</x:v>
      </x:c>
      <x:c r="X364" s="20" t="str">
        <x:f>IF(J364="Рассчитано",V364-W364,"н/д")</x:f>
        <x:v>н/д</x:v>
      </x:c>
      <x:c r="Y364" s="26" t="str">
        <x:f>IF(J364="Рассчитано",IF(V364&gt;0,G364/V364,"н/д"),"н/д")</x:f>
        <x:v>н/д</x:v>
      </x:c>
      <x:c r="Z364" s="20" t="str">
        <x:f>"н/д"</x:f>
        <x:v>н/д</x:v>
      </x:c>
      <x:c r="AA364" s="20" t="str">
        <x:f>"н/д"</x:f>
        <x:v>н/д</x:v>
      </x:c>
      <x:c r="AB364" s="20" t="str">
        <x:f>"н/д"</x:f>
        <x:v>н/д</x:v>
      </x:c>
      <x:c r="AC364" s="20" t="str">
        <x:f>IF(AND(J364="Рассчитано",T364&gt;0,R364&lt;100),(W364+P364+Q364)/(T364*(1-R364/100)),"н/д")</x:f>
        <x:v>н/д</x:v>
      </x:c>
      <x:c r="AD364" s="11" t="str">
        <x:f>IF(ISNUMBER(G364),IF(G364&lt;0,"Убыток",IF(G364=0,"Без прибыли","Прибыль &gt; 0")),"Не оценён")</x:f>
        <x:v>Не оценён</x:v>
      </x:c>
      <x:c r="AE364" s="12" t="str">
        <x:f>IF(J364="Рассчитано","Выручка "&amp;TEXT(V364,"0.00")&amp;" - себестоимость "&amp;TEXT(W364,"0.00")&amp;" - комиссия "&amp;TEXT(V364*R364/100,"0.00")&amp;" - доставка "&amp;TEXT(P364,"0.00")&amp;" - прочие "&amp;TEXT(Q364,"0.00")&amp;" = "&amp;TEXT(G364,"0.00")&amp;" "&amp;L364,"Введите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4" s="23" t="n">
        <x:v>1.5710982614713735</x:v>
      </x:c>
      <x:c r="AG364" s="35" t="n">
        <x:v>42</x:v>
      </x:c>
      <x:c r="AH364" s="35" t="n">
        <x:v>0</x:v>
      </x:c>
      <x:c r="AI364" s="29" t="n">
        <x:v>46266</x:v>
      </x:c>
      <x:c r="AJ364" s="35" t="n">
        <x:v>1</x:v>
      </x:c>
      <x:c r="AK364" s="11" t="str">
        <x:v>минимум</x:v>
      </x:c>
      <x:c r="AL364" s="31" t="n">
        <x:v>2273.343104460245</x:v>
      </x:c>
      <x:c r="AM36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64" s="12" t="str">
        <x:v>Проверить свободный остаток и установить цену для B2B</x:v>
      </x:c>
      <x:c r="AO364" s="12" t="str">
        <x:v>Остаток 42; прогноз 90 дней 1.57; избыток 40 шт. Будущие поступления не выставляются на продажу. Остаток на начало сентября: требуется актуализация.</x:v>
      </x:c>
      <x:c r="AP364" s="12" t="str">
        <x:v>["category_missing", "daily_stockout_data_missing", "new_order_lead_time_unknown", "reservations_unknown", "stale_stock"]</x:v>
      </x:c>
      <x:c r="AQ364" s="11" t="str">
        <x:v>IEK:030200975_</x:v>
      </x:c>
      <x:c r="AR364" s="23" t="n">
        <x:v>1</x:v>
      </x:c>
      <x:c r="AS364" s="23" t="n">
        <x:v>0</x:v>
      </x:c>
      <x:c r="AT364" s="23" t="n">
        <x:v>0</x:v>
      </x:c>
    </x:row>
    <x:row r="365" ht="64" customHeight="1">
      <x:c r="A365" s="10" t="str">
        <x:v>IEK</x:v>
      </x:c>
      <x:c r="B365" s="34" t="str">
        <x:v>030200977_</x:v>
      </x:c>
      <x:c r="C365" s="34" t="str">
        <x:v>BR-S40-K53</x:v>
      </x:c>
      <x:c r="D365" s="13" t="str">
        <x:v>Роз. аудио 4-мест. "BRITE" графит (1/100)</x:v>
      </x:c>
      <x:c r="E365" s="10" t="str">
        <x:v>шт</x:v>
      </x:c>
      <x:c r="F365" s="37" t="n">
        <x:f>MAX(0,ROUNDDOWN((AG365-AF365)/AR365+0.000000001,0)*AR365)</x:f>
        <x:v>8</x:v>
      </x:c>
      <x:c r="G365" s="21" t="str">
        <x:f>IF(J365="Рассчитано",V365*(1-R365/100)-W365-P365-Q365,"н/д")</x:f>
        <x:v>н/д</x:v>
      </x:c>
      <x:c r="H365" s="13" t="str">
        <x:v>Высокий</x:v>
      </x:c>
      <x:c r="I365" s="13" t="str">
        <x:v>Высокий</x:v>
      </x:c>
      <x:c r="J365" s="13" t="str">
        <x:f>IF(L365="","Укажите валюту",IF(NOT(ISNUMBER(K365)),"Укажите объём",IF(K365&lt;=0,"Укажите объём",IF(K365&gt;F365,"Объём выше излишка",IF(COUNT(M365:O365)&lt;3,"Нужны цены",IF(COUNT(P365:R365)&lt;3,"Нужны расходы",IF(OR(M365&lt;0,N365&lt;0,O365&lt;0,O365&gt;100,P365&lt;0,Q365&lt;0,R365&lt;0,R365&gt;100),"Проверьте значения","Рассчитано")))))))</x:f>
        <x:v>Нужны цены</x:v>
      </x:c>
      <x:c r="K365" s="36" t="n">
        <x:v>8</x:v>
      </x:c>
      <x:c r="L365" s="19" t="str">
        <x:v>KZT</x:v>
      </x:c>
      <x:c r="M365" s="22"/>
      <x:c r="N365" s="22"/>
      <x:c r="O365" s="28"/>
      <x:c r="P365" s="22"/>
      <x:c r="Q365" s="22"/>
      <x:c r="R365" s="28"/>
      <x:c r="S365" s="22"/>
      <x:c r="T365" s="37" t="n">
        <x:f>K365</x:f>
        <x:v>8</x:v>
      </x:c>
      <x:c r="U365" s="21" t="str">
        <x:f>IF(J365="Рассчитано",N365*(1-O365/100),"н/д")</x:f>
        <x:v>н/д</x:v>
      </x:c>
      <x:c r="V365" s="21" t="str">
        <x:f>IF(J365="Рассчитано",T365*U365,"н/д")</x:f>
        <x:v>н/д</x:v>
      </x:c>
      <x:c r="W365" s="21" t="str">
        <x:f>IF(J365="Рассчитано",T365*M365,"н/д")</x:f>
        <x:v>н/д</x:v>
      </x:c>
      <x:c r="X365" s="21" t="str">
        <x:f>IF(J365="Рассчитано",V365-W365,"н/д")</x:f>
        <x:v>н/д</x:v>
      </x:c>
      <x:c r="Y365" s="27" t="str">
        <x:f>IF(J365="Рассчитано",IF(V365&gt;0,G365/V365,"н/д"),"н/д")</x:f>
        <x:v>н/д</x:v>
      </x:c>
      <x:c r="Z365" s="21" t="str">
        <x:f>"н/д"</x:f>
        <x:v>н/д</x:v>
      </x:c>
      <x:c r="AA365" s="21" t="str">
        <x:f>"н/д"</x:f>
        <x:v>н/д</x:v>
      </x:c>
      <x:c r="AB365" s="21" t="str">
        <x:f>"н/д"</x:f>
        <x:v>н/д</x:v>
      </x:c>
      <x:c r="AC365" s="21" t="str">
        <x:f>IF(AND(J365="Рассчитано",T365&gt;0,R365&lt;100),(W365+P365+Q365)/(T365*(1-R365/100)),"н/д")</x:f>
        <x:v>н/д</x:v>
      </x:c>
      <x:c r="AD365" s="10" t="str">
        <x:f>IF(ISNUMBER(G365),IF(G365&lt;0,"Убыток",IF(G365=0,"Без прибыли","Прибыль &gt; 0")),"Не оценён")</x:f>
        <x:v>Не оценён</x:v>
      </x:c>
      <x:c r="AE365" s="13" t="str">
        <x:f>IF(J365="Рассчитано","Выручка "&amp;TEXT(V365,"0.00")&amp;" - себестоимость "&amp;TEXT(W365,"0.00")&amp;" - комиссия "&amp;TEXT(V365*R365/100,"0.00")&amp;" - доставка "&amp;TEXT(P365,"0.00")&amp;" - прочие "&amp;TEXT(Q365,"0.00")&amp;" = "&amp;TEXT(G365,"0.00")&amp;" "&amp;L365,"Введите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5" s="24" t="n">
        <x:v>0</x:v>
      </x:c>
      <x:c r="AG365" s="37" t="n">
        <x:v>8</x:v>
      </x:c>
      <x:c r="AH365" s="37" t="n">
        <x:v>0</x:v>
      </x:c>
      <x:c r="AI365" s="30" t="n">
        <x:v>46266</x:v>
      </x:c>
      <x:c r="AJ365" s="37" t="n">
        <x:v>1</x:v>
      </x:c>
      <x:c r="AK365" s="10" t="str">
        <x:v>минимум</x:v>
      </x:c>
      <x:c r="AL365" s="32" t="str">
        <x:v>н/д</x:v>
      </x:c>
      <x:c r="AM36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65" s="13" t="str">
        <x:v>Проверить свободный остаток и установить цену для B2B</x:v>
      </x:c>
      <x:c r="AO365" s="13" t="str">
        <x:v>Остаток 8; прогноз 90 дней 0.00; избыток 8 шт. Будущие поступления не выставляются на продажу. Остаток на начало сентября: требуется актуализация.</x:v>
      </x:c>
      <x:c r="AP365" s="13" t="str">
        <x:v>["category_missing", "daily_stockout_data_missing", "new_order_lead_time_unknown", "reservations_unknown", "stale_stock"]</x:v>
      </x:c>
      <x:c r="AQ365" s="10" t="str">
        <x:v>IEK:030200977_</x:v>
      </x:c>
      <x:c r="AR365" s="24" t="n">
        <x:v>1</x:v>
      </x:c>
      <x:c r="AS365" s="24" t="n">
        <x:v>0</x:v>
      </x:c>
      <x:c r="AT365" s="24" t="n">
        <x:v>0</x:v>
      </x:c>
    </x:row>
    <x:row r="366" ht="64" customHeight="1">
      <x:c r="A366" s="11" t="str">
        <x:v>IEK</x:v>
      </x:c>
      <x:c r="B366" s="33" t="str">
        <x:v>030200978_</x:v>
      </x:c>
      <x:c r="C366" s="33" t="str">
        <x:v>BR-S40-K46</x:v>
      </x:c>
      <x:c r="D366" s="12" t="str">
        <x:v>Роз. аудио 4-мест. "BRITE" сталь (1/100)</x:v>
      </x:c>
      <x:c r="E366" s="11" t="str">
        <x:v>шт</x:v>
      </x:c>
      <x:c r="F366" s="35" t="n">
        <x:f>MAX(0,ROUNDDOWN((AG366-AF366)/AR366+0.000000001,0)*AR366)</x:f>
        <x:v>3</x:v>
      </x:c>
      <x:c r="G366" s="20" t="str">
        <x:f>IF(J366="Рассчитано",V366*(1-R366/100)-W366-P366-Q366,"н/д")</x:f>
        <x:v>н/д</x:v>
      </x:c>
      <x:c r="H366" s="12" t="str">
        <x:v>Высокий</x:v>
      </x:c>
      <x:c r="I366" s="12" t="str">
        <x:v>Высокий</x:v>
      </x:c>
      <x:c r="J366" s="12" t="str">
        <x:f>IF(L366="","Укажите валюту",IF(NOT(ISNUMBER(K366)),"Укажите объём",IF(K366&lt;=0,"Укажите объём",IF(K366&gt;F366,"Объём выше излишка",IF(COUNT(M366:O366)&lt;3,"Нужны цены",IF(COUNT(P366:R366)&lt;3,"Нужны расходы",IF(OR(M366&lt;0,N366&lt;0,O366&lt;0,O366&gt;100,P366&lt;0,Q366&lt;0,R366&lt;0,R366&gt;100),"Проверьте значения","Рассчитано")))))))</x:f>
        <x:v>Нужны цены</x:v>
      </x:c>
      <x:c r="K366" s="36" t="n">
        <x:v>3</x:v>
      </x:c>
      <x:c r="L366" s="19" t="str">
        <x:v>KZT</x:v>
      </x:c>
      <x:c r="M366" s="22"/>
      <x:c r="N366" s="22"/>
      <x:c r="O366" s="28"/>
      <x:c r="P366" s="22"/>
      <x:c r="Q366" s="22"/>
      <x:c r="R366" s="28"/>
      <x:c r="S366" s="22"/>
      <x:c r="T366" s="35" t="n">
        <x:f>K366</x:f>
        <x:v>3</x:v>
      </x:c>
      <x:c r="U366" s="20" t="str">
        <x:f>IF(J366="Рассчитано",N366*(1-O366/100),"н/д")</x:f>
        <x:v>н/д</x:v>
      </x:c>
      <x:c r="V366" s="20" t="str">
        <x:f>IF(J366="Рассчитано",T366*U366,"н/д")</x:f>
        <x:v>н/д</x:v>
      </x:c>
      <x:c r="W366" s="20" t="str">
        <x:f>IF(J366="Рассчитано",T366*M366,"н/д")</x:f>
        <x:v>н/д</x:v>
      </x:c>
      <x:c r="X366" s="20" t="str">
        <x:f>IF(J366="Рассчитано",V366-W366,"н/д")</x:f>
        <x:v>н/д</x:v>
      </x:c>
      <x:c r="Y366" s="26" t="str">
        <x:f>IF(J366="Рассчитано",IF(V366&gt;0,G366/V366,"н/д"),"н/д")</x:f>
        <x:v>н/д</x:v>
      </x:c>
      <x:c r="Z366" s="20" t="str">
        <x:f>"н/д"</x:f>
        <x:v>н/д</x:v>
      </x:c>
      <x:c r="AA366" s="20" t="str">
        <x:f>"н/д"</x:f>
        <x:v>н/д</x:v>
      </x:c>
      <x:c r="AB366" s="20" t="str">
        <x:f>"н/д"</x:f>
        <x:v>н/д</x:v>
      </x:c>
      <x:c r="AC366" s="20" t="str">
        <x:f>IF(AND(J366="Рассчитано",T366&gt;0,R366&lt;100),(W366+P366+Q366)/(T366*(1-R366/100)),"н/д")</x:f>
        <x:v>н/д</x:v>
      </x:c>
      <x:c r="AD366" s="11" t="str">
        <x:f>IF(ISNUMBER(G366),IF(G366&lt;0,"Убыток",IF(G366=0,"Без прибыли","Прибыль &gt; 0")),"Не оценён")</x:f>
        <x:v>Не оценён</x:v>
      </x:c>
      <x:c r="AE366" s="12" t="str">
        <x:f>IF(J366="Рассчитано","Выручка "&amp;TEXT(V366,"0.00")&amp;" - себестоимость "&amp;TEXT(W366,"0.00")&amp;" - комиссия "&amp;TEXT(V366*R366/100,"0.00")&amp;" - доставка "&amp;TEXT(P366,"0.00")&amp;" - прочие "&amp;TEXT(Q366,"0.00")&amp;" = "&amp;TEXT(G366,"0.00")&amp;" "&amp;L366,"Введите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6" s="23" t="n">
        <x:v>0</x:v>
      </x:c>
      <x:c r="AG366" s="35" t="n">
        <x:v>3</x:v>
      </x:c>
      <x:c r="AH366" s="35" t="n">
        <x:v>0</x:v>
      </x:c>
      <x:c r="AI366" s="29" t="n">
        <x:v>46266</x:v>
      </x:c>
      <x:c r="AJ366" s="35" t="n">
        <x:v>1</x:v>
      </x:c>
      <x:c r="AK366" s="11" t="str">
        <x:v>минимум</x:v>
      </x:c>
      <x:c r="AL366" s="31" t="str">
        <x:v>н/д</x:v>
      </x:c>
      <x:c r="AM36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66" s="12" t="str">
        <x:v>Проверить свободный остаток и установить цену для B2B</x:v>
      </x:c>
      <x:c r="AO366" s="12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366" s="12" t="str">
        <x:v>["category_missing", "daily_stockout_data_missing", "new_order_lead_time_unknown", "reservations_unknown", "stale_stock"]</x:v>
      </x:c>
      <x:c r="AQ366" s="11" t="str">
        <x:v>IEK:030200978_</x:v>
      </x:c>
      <x:c r="AR366" s="23" t="n">
        <x:v>1</x:v>
      </x:c>
      <x:c r="AS366" s="23" t="n">
        <x:v>0</x:v>
      </x:c>
      <x:c r="AT366" s="23" t="n">
        <x:v>0</x:v>
      </x:c>
    </x:row>
    <x:row r="367" ht="64" customHeight="1">
      <x:c r="A367" s="10" t="str">
        <x:v>IEK</x:v>
      </x:c>
      <x:c r="B367" s="34" t="str">
        <x:v>030200980_</x:v>
      </x:c>
      <x:c r="C367" s="34" t="str">
        <x:v>BR-AF20-O-K01</x:v>
      </x:c>
      <x:c r="D367" s="13" t="str">
        <x:v>Роз. 2-я TV+SAT б/рамки "BRITE" белый (1/100)</x:v>
      </x:c>
      <x:c r="E367" s="10" t="str">
        <x:v>шт</x:v>
      </x:c>
      <x:c r="F367" s="37" t="n">
        <x:f>MAX(0,ROUNDDOWN((AG367-AF367)/AR367+0.000000001,0)*AR367)</x:f>
        <x:v>3</x:v>
      </x:c>
      <x:c r="G367" s="21" t="str">
        <x:f>IF(J367="Рассчитано",V367*(1-R367/100)-W367-P367-Q367,"н/д")</x:f>
        <x:v>н/д</x:v>
      </x:c>
      <x:c r="H367" s="13" t="str">
        <x:v>Высокий</x:v>
      </x:c>
      <x:c r="I367" s="13" t="str">
        <x:v>Высокий</x:v>
      </x:c>
      <x:c r="J367" s="13" t="str">
        <x:f>IF(L367="","Укажите валюту",IF(NOT(ISNUMBER(K367)),"Укажите объём",IF(K367&lt;=0,"Укажите объём",IF(K367&gt;F367,"Объём выше излишка",IF(COUNT(M367:O367)&lt;3,"Нужны цены",IF(COUNT(P367:R367)&lt;3,"Нужны расходы",IF(OR(M367&lt;0,N367&lt;0,O367&lt;0,O367&gt;100,P367&lt;0,Q367&lt;0,R367&lt;0,R367&gt;100),"Проверьте значения","Рассчитано")))))))</x:f>
        <x:v>Нужны цены</x:v>
      </x:c>
      <x:c r="K367" s="36" t="n">
        <x:v>3</x:v>
      </x:c>
      <x:c r="L367" s="19" t="str">
        <x:v>KZT</x:v>
      </x:c>
      <x:c r="M367" s="22"/>
      <x:c r="N367" s="22"/>
      <x:c r="O367" s="28"/>
      <x:c r="P367" s="22"/>
      <x:c r="Q367" s="22"/>
      <x:c r="R367" s="28"/>
      <x:c r="S367" s="22"/>
      <x:c r="T367" s="37" t="n">
        <x:f>K367</x:f>
        <x:v>3</x:v>
      </x:c>
      <x:c r="U367" s="21" t="str">
        <x:f>IF(J367="Рассчитано",N367*(1-O367/100),"н/д")</x:f>
        <x:v>н/д</x:v>
      </x:c>
      <x:c r="V367" s="21" t="str">
        <x:f>IF(J367="Рассчитано",T367*U367,"н/д")</x:f>
        <x:v>н/д</x:v>
      </x:c>
      <x:c r="W367" s="21" t="str">
        <x:f>IF(J367="Рассчитано",T367*M367,"н/д")</x:f>
        <x:v>н/д</x:v>
      </x:c>
      <x:c r="X367" s="21" t="str">
        <x:f>IF(J367="Рассчитано",V367-W367,"н/д")</x:f>
        <x:v>н/д</x:v>
      </x:c>
      <x:c r="Y367" s="27" t="str">
        <x:f>IF(J367="Рассчитано",IF(V367&gt;0,G367/V367,"н/д"),"н/д")</x:f>
        <x:v>н/д</x:v>
      </x:c>
      <x:c r="Z367" s="21" t="str">
        <x:f>"н/д"</x:f>
        <x:v>н/д</x:v>
      </x:c>
      <x:c r="AA367" s="21" t="str">
        <x:f>"н/д"</x:f>
        <x:v>н/д</x:v>
      </x:c>
      <x:c r="AB367" s="21" t="str">
        <x:f>"н/д"</x:f>
        <x:v>н/д</x:v>
      </x:c>
      <x:c r="AC367" s="21" t="str">
        <x:f>IF(AND(J367="Рассчитано",T367&gt;0,R367&lt;100),(W367+P367+Q367)/(T367*(1-R367/100)),"н/д")</x:f>
        <x:v>н/д</x:v>
      </x:c>
      <x:c r="AD367" s="10" t="str">
        <x:f>IF(ISNUMBER(G367),IF(G367&lt;0,"Убыток",IF(G367=0,"Без прибыли","Прибыль &gt; 0")),"Не оценён")</x:f>
        <x:v>Не оценён</x:v>
      </x:c>
      <x:c r="AE367" s="13" t="str">
        <x:f>IF(J367="Рассчитано","Выручка "&amp;TEXT(V367,"0.00")&amp;" - себестоимость "&amp;TEXT(W367,"0.00")&amp;" - комиссия "&amp;TEXT(V367*R367/100,"0.00")&amp;" - доставка "&amp;TEXT(P367,"0.00")&amp;" - прочие "&amp;TEXT(Q367,"0.00")&amp;" = "&amp;TEXT(G367,"0.00")&amp;" "&amp;L367,"Введите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7" s="24" t="n">
        <x:v>0.4172671348120835</x:v>
      </x:c>
      <x:c r="AG367" s="37" t="n">
        <x:v>4</x:v>
      </x:c>
      <x:c r="AH367" s="37" t="n">
        <x:v>0</x:v>
      </x:c>
      <x:c r="AI367" s="30" t="n">
        <x:v>46266</x:v>
      </x:c>
      <x:c r="AJ367" s="37" t="n">
        <x:v>1</x:v>
      </x:c>
      <x:c r="AK367" s="10" t="str">
        <x:v>минимум</x:v>
      </x:c>
      <x:c r="AL367" s="32" t="n">
        <x:v>815.2012854635815</x:v>
      </x:c>
      <x:c r="AM36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67" s="13" t="str">
        <x:v>Проверить свободный остаток и установить цену для B2B</x:v>
      </x:c>
      <x:c r="AO367" s="13" t="str">
        <x:v>Остаток 4; прогноз 90 дней 0.42; избыток 3 шт. Будущие поступления не выставляются на продажу. Остаток на начало сентября: требуется актуализация.</x:v>
      </x:c>
      <x:c r="AP367" s="13" t="str">
        <x:v>["category_missing", "daily_stockout_data_missing", "new_order_lead_time_unknown", "reservations_unknown", "stale_stock"]</x:v>
      </x:c>
      <x:c r="AQ367" s="10" t="str">
        <x:v>IEK:030200980_</x:v>
      </x:c>
      <x:c r="AR367" s="24" t="n">
        <x:v>1</x:v>
      </x:c>
      <x:c r="AS367" s="24" t="n">
        <x:v>0</x:v>
      </x:c>
      <x:c r="AT367" s="24" t="n">
        <x:v>0</x:v>
      </x:c>
    </x:row>
    <x:row r="368" ht="64" customHeight="1">
      <x:c r="A368" s="11" t="str">
        <x:v>IEK</x:v>
      </x:c>
      <x:c r="B368" s="33" t="str">
        <x:v>030200985_</x:v>
      </x:c>
      <x:c r="C368" s="33" t="str">
        <x:v>BR-D20-0600-K53</x:v>
      </x:c>
      <x:c r="D368" s="12" t="str">
        <x:v>Светорег. пов-наж. 600Вт "BRITE" графит (1/80)</x:v>
      </x:c>
      <x:c r="E368" s="11" t="str">
        <x:v>шт</x:v>
      </x:c>
      <x:c r="F368" s="35" t="n">
        <x:f>MAX(0,ROUNDDOWN((AG368-AF368)/AR368+0.000000001,0)*AR368)</x:f>
        <x:v>5</x:v>
      </x:c>
      <x:c r="G368" s="20" t="str">
        <x:f>IF(J368="Рассчитано",V368*(1-R368/100)-W368-P368-Q368,"н/д")</x:f>
        <x:v>н/д</x:v>
      </x:c>
      <x:c r="H368" s="12" t="str">
        <x:v>Высокий</x:v>
      </x:c>
      <x:c r="I368" s="12" t="str">
        <x:v>Средний</x:v>
      </x:c>
      <x:c r="J368" s="12" t="str">
        <x:f>IF(L368="","Укажите валюту",IF(NOT(ISNUMBER(K368)),"Укажите объём",IF(K368&lt;=0,"Укажите объём",IF(K368&gt;F368,"Объём выше излишка",IF(COUNT(M368:O368)&lt;3,"Нужны цены",IF(COUNT(P368:R368)&lt;3,"Нужны расходы",IF(OR(M368&lt;0,N368&lt;0,O368&lt;0,O368&gt;100,P368&lt;0,Q368&lt;0,R368&lt;0,R368&gt;100),"Проверьте значения","Рассчитано")))))))</x:f>
        <x:v>Нужны цены</x:v>
      </x:c>
      <x:c r="K368" s="36" t="n">
        <x:v>5</x:v>
      </x:c>
      <x:c r="L368" s="19" t="str">
        <x:v>KZT</x:v>
      </x:c>
      <x:c r="M368" s="22"/>
      <x:c r="N368" s="22"/>
      <x:c r="O368" s="28"/>
      <x:c r="P368" s="22"/>
      <x:c r="Q368" s="22"/>
      <x:c r="R368" s="28"/>
      <x:c r="S368" s="22"/>
      <x:c r="T368" s="35" t="n">
        <x:f>K368</x:f>
        <x:v>5</x:v>
      </x:c>
      <x:c r="U368" s="20" t="str">
        <x:f>IF(J368="Рассчитано",N368*(1-O368/100),"н/д")</x:f>
        <x:v>н/д</x:v>
      </x:c>
      <x:c r="V368" s="20" t="str">
        <x:f>IF(J368="Рассчитано",T368*U368,"н/д")</x:f>
        <x:v>н/д</x:v>
      </x:c>
      <x:c r="W368" s="20" t="str">
        <x:f>IF(J368="Рассчитано",T368*M368,"н/д")</x:f>
        <x:v>н/д</x:v>
      </x:c>
      <x:c r="X368" s="20" t="str">
        <x:f>IF(J368="Рассчитано",V368-W368,"н/д")</x:f>
        <x:v>н/д</x:v>
      </x:c>
      <x:c r="Y368" s="26" t="str">
        <x:f>IF(J368="Рассчитано",IF(V368&gt;0,G368/V368,"н/д"),"н/д")</x:f>
        <x:v>н/д</x:v>
      </x:c>
      <x:c r="Z368" s="20" t="str">
        <x:f>"н/д"</x:f>
        <x:v>н/д</x:v>
      </x:c>
      <x:c r="AA368" s="20" t="str">
        <x:f>"н/д"</x:f>
        <x:v>н/д</x:v>
      </x:c>
      <x:c r="AB368" s="20" t="str">
        <x:f>"н/д"</x:f>
        <x:v>н/д</x:v>
      </x:c>
      <x:c r="AC368" s="20" t="str">
        <x:f>IF(AND(J368="Рассчитано",T368&gt;0,R368&lt;100),(W368+P368+Q368)/(T368*(1-R368/100)),"н/д")</x:f>
        <x:v>н/д</x:v>
      </x:c>
      <x:c r="AD368" s="11" t="str">
        <x:f>IF(ISNUMBER(G368),IF(G368&lt;0,"Убыток",IF(G368=0,"Без прибыли","Прибыль &gt; 0")),"Не оценён")</x:f>
        <x:v>Не оценён</x:v>
      </x:c>
      <x:c r="AE368" s="12" t="str">
        <x:f>IF(J368="Рассчитано","Выручка "&amp;TEXT(V368,"0.00")&amp;" - себестоимость "&amp;TEXT(W368,"0.00")&amp;" - комиссия "&amp;TEXT(V368*R368/100,"0.00")&amp;" - доставка "&amp;TEXT(P368,"0.00")&amp;" - прочие "&amp;TEXT(Q368,"0.00")&amp;" = "&amp;TEXT(G368,"0.00")&amp;" "&amp;L368,"Введите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8" s="23" t="n">
        <x:v>7.201356302230566</x:v>
      </x:c>
      <x:c r="AG368" s="35" t="n">
        <x:v>13</x:v>
      </x:c>
      <x:c r="AH368" s="35" t="n">
        <x:v>0</x:v>
      </x:c>
      <x:c r="AI368" s="29" t="n">
        <x:v>46266</x:v>
      </x:c>
      <x:c r="AJ368" s="35" t="n">
        <x:v>1</x:v>
      </x:c>
      <x:c r="AK368" s="11" t="str">
        <x:v>минимум</x:v>
      </x:c>
      <x:c r="AL368" s="31" t="n">
        <x:v>153.51403871924188</x:v>
      </x:c>
      <x:c r="AM368" s="12" t="str">
        <x:v>Остаток на начало сентября; Резервы неизвестны; Нет ежедневных данных доступности. Запас выше прогноза на 90 дней</x:v>
      </x:c>
      <x:c r="AN368" s="12" t="str">
        <x:v>Проверить свободный остаток и установить цену для B2B</x:v>
      </x:c>
      <x:c r="AO368" s="12" t="str">
        <x:v>Остаток 13; прогноз 90 дней 7.20; избыток 5 шт. Будущие поступления не выставляются на продажу. Остаток на начало сентября: требуется актуализация.</x:v>
      </x:c>
      <x:c r="AP368" s="12" t="str">
        <x:v>["category_missing", "daily_stockout_data_missing", "new_order_lead_time_unknown", "reservations_unknown", "stale_stock"]</x:v>
      </x:c>
      <x:c r="AQ368" s="11" t="str">
        <x:v>IEK:030200985_</x:v>
      </x:c>
      <x:c r="AR368" s="23" t="n">
        <x:v>1</x:v>
      </x:c>
      <x:c r="AS368" s="23" t="n">
        <x:v>0</x:v>
      </x:c>
      <x:c r="AT368" s="23" t="n">
        <x:v>0</x:v>
      </x:c>
    </x:row>
    <x:row r="369" ht="64" customHeight="1">
      <x:c r="A369" s="10" t="str">
        <x:v>IEK</x:v>
      </x:c>
      <x:c r="B369" s="34" t="str">
        <x:v>030200986_</x:v>
      </x:c>
      <x:c r="C369" s="34" t="str">
        <x:v>BR-D20-0600-K46</x:v>
      </x:c>
      <x:c r="D369" s="13" t="str">
        <x:v>Светорег. пов-наж. 600Вт "BRITE" сталь (1/80)</x:v>
      </x:c>
      <x:c r="E369" s="10" t="str">
        <x:v>шт</x:v>
      </x:c>
      <x:c r="F369" s="37" t="n">
        <x:f>MAX(0,ROUNDDOWN((AG369-AF369)/AR369+0.000000001,0)*AR369)</x:f>
        <x:v>2</x:v>
      </x:c>
      <x:c r="G369" s="21" t="str">
        <x:f>IF(J369="Рассчитано",V369*(1-R369/100)-W369-P369-Q369,"н/д")</x:f>
        <x:v>н/д</x:v>
      </x:c>
      <x:c r="H369" s="13" t="str">
        <x:v>Высокий</x:v>
      </x:c>
      <x:c r="I369" s="13" t="str">
        <x:v>Высокий</x:v>
      </x:c>
      <x:c r="J369" s="13" t="str">
        <x:f>IF(L369="","Укажите валюту",IF(NOT(ISNUMBER(K369)),"Укажите объём",IF(K369&lt;=0,"Укажите объём",IF(K369&gt;F369,"Объём выше излишка",IF(COUNT(M369:O369)&lt;3,"Нужны цены",IF(COUNT(P369:R369)&lt;3,"Нужны расходы",IF(OR(M369&lt;0,N369&lt;0,O369&lt;0,O369&gt;100,P369&lt;0,Q369&lt;0,R369&lt;0,R369&gt;100),"Проверьте значения","Рассчитано")))))))</x:f>
        <x:v>Нужны цены</x:v>
      </x:c>
      <x:c r="K369" s="36" t="n">
        <x:v>2</x:v>
      </x:c>
      <x:c r="L369" s="19" t="str">
        <x:v>KZT</x:v>
      </x:c>
      <x:c r="M369" s="22"/>
      <x:c r="N369" s="22"/>
      <x:c r="O369" s="28"/>
      <x:c r="P369" s="22"/>
      <x:c r="Q369" s="22"/>
      <x:c r="R369" s="28"/>
      <x:c r="S369" s="22"/>
      <x:c r="T369" s="37" t="n">
        <x:f>K369</x:f>
        <x:v>2</x:v>
      </x:c>
      <x:c r="U369" s="21" t="str">
        <x:f>IF(J369="Рассчитано",N369*(1-O369/100),"н/д")</x:f>
        <x:v>н/д</x:v>
      </x:c>
      <x:c r="V369" s="21" t="str">
        <x:f>IF(J369="Рассчитано",T369*U369,"н/д")</x:f>
        <x:v>н/д</x:v>
      </x:c>
      <x:c r="W369" s="21" t="str">
        <x:f>IF(J369="Рассчитано",T369*M369,"н/д")</x:f>
        <x:v>н/д</x:v>
      </x:c>
      <x:c r="X369" s="21" t="str">
        <x:f>IF(J369="Рассчитано",V369-W369,"н/д")</x:f>
        <x:v>н/д</x:v>
      </x:c>
      <x:c r="Y369" s="27" t="str">
        <x:f>IF(J369="Рассчитано",IF(V369&gt;0,G369/V369,"н/д"),"н/д")</x:f>
        <x:v>н/д</x:v>
      </x:c>
      <x:c r="Z369" s="21" t="str">
        <x:f>"н/д"</x:f>
        <x:v>н/д</x:v>
      </x:c>
      <x:c r="AA369" s="21" t="str">
        <x:f>"н/д"</x:f>
        <x:v>н/д</x:v>
      </x:c>
      <x:c r="AB369" s="21" t="str">
        <x:f>"н/д"</x:f>
        <x:v>н/д</x:v>
      </x:c>
      <x:c r="AC369" s="21" t="str">
        <x:f>IF(AND(J369="Рассчитано",T369&gt;0,R369&lt;100),(W369+P369+Q369)/(T369*(1-R369/100)),"н/д")</x:f>
        <x:v>н/д</x:v>
      </x:c>
      <x:c r="AD369" s="10" t="str">
        <x:f>IF(ISNUMBER(G369),IF(G369&lt;0,"Убыток",IF(G369=0,"Без прибыли","Прибыль &gt; 0")),"Не оценён")</x:f>
        <x:v>Не оценён</x:v>
      </x:c>
      <x:c r="AE369" s="13" t="str">
        <x:f>IF(J369="Рассчитано","Выручка "&amp;TEXT(V369,"0.00")&amp;" - себестоимость "&amp;TEXT(W369,"0.00")&amp;" - комиссия "&amp;TEXT(V369*R369/100,"0.00")&amp;" - доставка "&amp;TEXT(P369,"0.00")&amp;" - прочие "&amp;TEXT(Q369,"0.00")&amp;" = "&amp;TEXT(G369,"0.00")&amp;" "&amp;L369,"Введите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9" s="24" t="n">
        <x:v>0.30523265688849344</x:v>
      </x:c>
      <x:c r="AG369" s="37" t="n">
        <x:v>3</x:v>
      </x:c>
      <x:c r="AH369" s="37" t="n">
        <x:v>0</x:v>
      </x:c>
      <x:c r="AI369" s="30" t="n">
        <x:v>46266</x:v>
      </x:c>
      <x:c r="AJ369" s="37" t="n">
        <x:v>1</x:v>
      </x:c>
      <x:c r="AK369" s="10" t="str">
        <x:v>минимум</x:v>
      </x:c>
      <x:c r="AL369" s="32" t="n">
        <x:v>835.8133468123166</x:v>
      </x:c>
      <x:c r="AM36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69" s="13" t="str">
        <x:v>Проверить свободный остаток и установить цену для B2B</x:v>
      </x:c>
      <x:c r="AO369" s="13" t="str">
        <x:v>Остаток 3; прогноз 90 дней 0.31; избыток 2 шт. Будущие поступления не выставляются на продажу. Остаток на начало сентября: требуется актуализация.</x:v>
      </x:c>
      <x:c r="AP369" s="13" t="str">
        <x:v>["category_missing", "daily_stockout_data_missing", "new_order_lead_time_unknown", "reservations_unknown", "stale_stock"]</x:v>
      </x:c>
      <x:c r="AQ369" s="10" t="str">
        <x:v>IEK:030200986_</x:v>
      </x:c>
      <x:c r="AR369" s="24" t="n">
        <x:v>1</x:v>
      </x:c>
      <x:c r="AS369" s="24" t="n">
        <x:v>0</x:v>
      </x:c>
      <x:c r="AT369" s="24" t="n">
        <x:v>0</x:v>
      </x:c>
    </x:row>
    <x:row r="370" ht="64" customHeight="1">
      <x:c r="A370" s="11" t="str">
        <x:v>IEK</x:v>
      </x:c>
      <x:c r="B370" s="33" t="str">
        <x:v>030200988_</x:v>
      </x:c>
      <x:c r="C370" s="33" t="str">
        <x:v>BR-A10-P-K01</x:v>
      </x:c>
      <x:c r="D370" s="12" t="str">
        <x:v>Роз. TV проходная б/рамки "BRITE" белый (1/100)</x:v>
      </x:c>
      <x:c r="E370" s="11" t="str">
        <x:v>шт</x:v>
      </x:c>
      <x:c r="F370" s="35" t="n">
        <x:f>MAX(0,ROUNDDOWN((AG370-AF370)/AR370+0.000000001,0)*AR370)</x:f>
        <x:v>50</x:v>
      </x:c>
      <x:c r="G370" s="20" t="str">
        <x:f>IF(J370="Рассчитано",V370*(1-R370/100)-W370-P370-Q370,"н/д")</x:f>
        <x:v>н/д</x:v>
      </x:c>
      <x:c r="H370" s="12" t="str">
        <x:v>Высокий</x:v>
      </x:c>
      <x:c r="I370" s="12" t="str">
        <x:v>Высокий</x:v>
      </x:c>
      <x:c r="J370" s="12" t="str">
        <x:f>IF(L370="","Укажите валюту",IF(NOT(ISNUMBER(K370)),"Укажите объём",IF(K370&lt;=0,"Укажите объём",IF(K370&gt;F370,"Объём выше излишка",IF(COUNT(M370:O370)&lt;3,"Нужны цены",IF(COUNT(P370:R370)&lt;3,"Нужны расходы",IF(OR(M370&lt;0,N370&lt;0,O370&lt;0,O370&gt;100,P370&lt;0,Q370&lt;0,R370&lt;0,R370&gt;100),"Проверьте значения","Рассчитано")))))))</x:f>
        <x:v>Нужны цены</x:v>
      </x:c>
      <x:c r="K370" s="36" t="n">
        <x:v>50</x:v>
      </x:c>
      <x:c r="L370" s="19" t="str">
        <x:v>KZT</x:v>
      </x:c>
      <x:c r="M370" s="22"/>
      <x:c r="N370" s="22"/>
      <x:c r="O370" s="28"/>
      <x:c r="P370" s="22"/>
      <x:c r="Q370" s="22"/>
      <x:c r="R370" s="28"/>
      <x:c r="S370" s="22"/>
      <x:c r="T370" s="35" t="n">
        <x:f>K370</x:f>
        <x:v>50</x:v>
      </x:c>
      <x:c r="U370" s="20" t="str">
        <x:f>IF(J370="Рассчитано",N370*(1-O370/100),"н/д")</x:f>
        <x:v>н/д</x:v>
      </x:c>
      <x:c r="V370" s="20" t="str">
        <x:f>IF(J370="Рассчитано",T370*U370,"н/д")</x:f>
        <x:v>н/д</x:v>
      </x:c>
      <x:c r="W370" s="20" t="str">
        <x:f>IF(J370="Рассчитано",T370*M370,"н/д")</x:f>
        <x:v>н/д</x:v>
      </x:c>
      <x:c r="X370" s="20" t="str">
        <x:f>IF(J370="Рассчитано",V370-W370,"н/д")</x:f>
        <x:v>н/д</x:v>
      </x:c>
      <x:c r="Y370" s="26" t="str">
        <x:f>IF(J370="Рассчитано",IF(V370&gt;0,G370/V370,"н/д"),"н/д")</x:f>
        <x:v>н/д</x:v>
      </x:c>
      <x:c r="Z370" s="20" t="str">
        <x:f>"н/д"</x:f>
        <x:v>н/д</x:v>
      </x:c>
      <x:c r="AA370" s="20" t="str">
        <x:f>"н/д"</x:f>
        <x:v>н/д</x:v>
      </x:c>
      <x:c r="AB370" s="20" t="str">
        <x:f>"н/д"</x:f>
        <x:v>н/д</x:v>
      </x:c>
      <x:c r="AC370" s="20" t="str">
        <x:f>IF(AND(J370="Рассчитано",T370&gt;0,R370&lt;100),(W370+P370+Q370)/(T370*(1-R370/100)),"н/д")</x:f>
        <x:v>н/д</x:v>
      </x:c>
      <x:c r="AD370" s="11" t="str">
        <x:f>IF(ISNUMBER(G370),IF(G370&lt;0,"Убыток",IF(G370=0,"Без прибыли","Прибыль &gt; 0")),"Не оценён")</x:f>
        <x:v>Не оценён</x:v>
      </x:c>
      <x:c r="AE370" s="12" t="str">
        <x:f>IF(J370="Рассчитано","Выручка "&amp;TEXT(V370,"0.00")&amp;" - себестоимость "&amp;TEXT(W370,"0.00")&amp;" - комиссия "&amp;TEXT(V370*R370/100,"0.00")&amp;" - доставка "&amp;TEXT(P370,"0.00")&amp;" - прочие "&amp;TEXT(Q370,"0.00")&amp;" = "&amp;TEXT(G370,"0.00")&amp;" "&amp;L370,"Введите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0" s="23" t="n">
        <x:v>2.331558508110473</x:v>
      </x:c>
      <x:c r="AG370" s="35" t="n">
        <x:v>53</x:v>
      </x:c>
      <x:c r="AH370" s="35" t="n">
        <x:v>0</x:v>
      </x:c>
      <x:c r="AI370" s="29" t="n">
        <x:v>46266</x:v>
      </x:c>
      <x:c r="AJ370" s="35" t="n">
        <x:v>1</x:v>
      </x:c>
      <x:c r="AK370" s="11" t="str">
        <x:v>минимум</x:v>
      </x:c>
      <x:c r="AL370" s="31" t="n">
        <x:v>1933.0745170402959</x:v>
      </x:c>
      <x:c r="AM37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70" s="12" t="str">
        <x:v>Проверить свободный остаток и установить цену для B2B</x:v>
      </x:c>
      <x:c r="AO370" s="12" t="str">
        <x:v>Остаток 53; прогноз 90 дней 2.33; избыток 50 шт. Будущие поступления не выставляются на продажу. Остаток на начало сентября: требуется актуализация.</x:v>
      </x:c>
      <x:c r="AP370" s="12" t="str">
        <x:v>["category_missing", "daily_stockout_data_missing", "new_order_lead_time_unknown", "reservations_unknown", "stale_stock"]</x:v>
      </x:c>
      <x:c r="AQ370" s="11" t="str">
        <x:v>IEK:030200988_</x:v>
      </x:c>
      <x:c r="AR370" s="23" t="n">
        <x:v>1</x:v>
      </x:c>
      <x:c r="AS370" s="23" t="n">
        <x:v>0</x:v>
      </x:c>
      <x:c r="AT370" s="23" t="n">
        <x:v>0</x:v>
      </x:c>
    </x:row>
    <x:row r="371" ht="64" customHeight="1">
      <x:c r="A371" s="10" t="str">
        <x:v>IEK</x:v>
      </x:c>
      <x:c r="B371" s="34" t="str">
        <x:v>030200989_</x:v>
      </x:c>
      <x:c r="C371" s="34" t="str">
        <x:v>BR-KT20-O-1-K46</x:v>
      </x:c>
      <x:c r="D371" s="13" t="str">
        <x:v>Роз. 2-я RJ11+RJ45 кат.5E б/рамки "BRITE" сталь (1/100)</x:v>
      </x:c>
      <x:c r="E371" s="10" t="str">
        <x:v>шт</x:v>
      </x:c>
      <x:c r="F371" s="37" t="n">
        <x:f>MAX(0,ROUNDDOWN((AG371-AF371)/AR371+0.000000001,0)*AR371)</x:f>
        <x:v>10</x:v>
      </x:c>
      <x:c r="G371" s="21" t="str">
        <x:f>IF(J371="Рассчитано",V371*(1-R371/100)-W371-P371-Q371,"н/д")</x:f>
        <x:v>н/д</x:v>
      </x:c>
      <x:c r="H371" s="13" t="str">
        <x:v>Высокий</x:v>
      </x:c>
      <x:c r="I371" s="13" t="str">
        <x:v>Высокий</x:v>
      </x:c>
      <x:c r="J371" s="13" t="str">
        <x:f>IF(L371="","Укажите валюту",IF(NOT(ISNUMBER(K371)),"Укажите объём",IF(K371&lt;=0,"Укажите объём",IF(K371&gt;F371,"Объём выше излишка",IF(COUNT(M371:O371)&lt;3,"Нужны цены",IF(COUNT(P371:R371)&lt;3,"Нужны расходы",IF(OR(M371&lt;0,N371&lt;0,O371&lt;0,O371&gt;100,P371&lt;0,Q371&lt;0,R371&lt;0,R371&gt;100),"Проверьте значения","Рассчитано")))))))</x:f>
        <x:v>Нужны цены</x:v>
      </x:c>
      <x:c r="K371" s="36" t="n">
        <x:v>10</x:v>
      </x:c>
      <x:c r="L371" s="19" t="str">
        <x:v>KZT</x:v>
      </x:c>
      <x:c r="M371" s="22"/>
      <x:c r="N371" s="22"/>
      <x:c r="O371" s="28"/>
      <x:c r="P371" s="22"/>
      <x:c r="Q371" s="22"/>
      <x:c r="R371" s="28"/>
      <x:c r="S371" s="22"/>
      <x:c r="T371" s="37" t="n">
        <x:f>K371</x:f>
        <x:v>10</x:v>
      </x:c>
      <x:c r="U371" s="21" t="str">
        <x:f>IF(J371="Рассчитано",N371*(1-O371/100),"н/д")</x:f>
        <x:v>н/д</x:v>
      </x:c>
      <x:c r="V371" s="21" t="str">
        <x:f>IF(J371="Рассчитано",T371*U371,"н/д")</x:f>
        <x:v>н/д</x:v>
      </x:c>
      <x:c r="W371" s="21" t="str">
        <x:f>IF(J371="Рассчитано",T371*M371,"н/д")</x:f>
        <x:v>н/д</x:v>
      </x:c>
      <x:c r="X371" s="21" t="str">
        <x:f>IF(J371="Рассчитано",V371-W371,"н/д")</x:f>
        <x:v>н/д</x:v>
      </x:c>
      <x:c r="Y371" s="27" t="str">
        <x:f>IF(J371="Рассчитано",IF(V371&gt;0,G371/V371,"н/д"),"н/д")</x:f>
        <x:v>н/д</x:v>
      </x:c>
      <x:c r="Z371" s="21" t="str">
        <x:f>"н/д"</x:f>
        <x:v>н/д</x:v>
      </x:c>
      <x:c r="AA371" s="21" t="str">
        <x:f>"н/д"</x:f>
        <x:v>н/д</x:v>
      </x:c>
      <x:c r="AB371" s="21" t="str">
        <x:f>"н/д"</x:f>
        <x:v>н/д</x:v>
      </x:c>
      <x:c r="AC371" s="21" t="str">
        <x:f>IF(AND(J371="Рассчитано",T371&gt;0,R371&lt;100),(W371+P371+Q371)/(T371*(1-R371/100)),"н/д")</x:f>
        <x:v>н/д</x:v>
      </x:c>
      <x:c r="AD371" s="10" t="str">
        <x:f>IF(ISNUMBER(G371),IF(G371&lt;0,"Убыток",IF(G371=0,"Без прибыли","Прибыль &gt; 0")),"Не оценён")</x:f>
        <x:v>Не оценён</x:v>
      </x:c>
      <x:c r="AE371" s="13" t="str">
        <x:f>IF(J371="Рассчитано","Выручка "&amp;TEXT(V371,"0.00")&amp;" - себестоимость "&amp;TEXT(W371,"0.00")&amp;" - комиссия "&amp;TEXT(V371*R371/100,"0.00")&amp;" - доставка "&amp;TEXT(P371,"0.00")&amp;" - прочие "&amp;TEXT(Q371,"0.00")&amp;" = "&amp;TEXT(G371,"0.00")&amp;" "&amp;L371,"Введите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1" s="24" t="n">
        <x:v>3.9871122809157455</x:v>
      </x:c>
      <x:c r="AG371" s="37" t="n">
        <x:v>14</x:v>
      </x:c>
      <x:c r="AH371" s="37" t="n">
        <x:v>0</x:v>
      </x:c>
      <x:c r="AI371" s="30" t="n">
        <x:v>46266</x:v>
      </x:c>
      <x:c r="AJ371" s="37" t="n">
        <x:v>1</x:v>
      </x:c>
      <x:c r="AK371" s="10" t="str">
        <x:v>минимум</x:v>
      </x:c>
      <x:c r="AL371" s="32" t="n">
        <x:v>298.59918219016504</x:v>
      </x:c>
      <x:c r="AM37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71" s="13" t="str">
        <x:v>Проверить свободный остаток и установить цену для B2B</x:v>
      </x:c>
      <x:c r="AO371" s="13" t="str">
        <x:v>Остаток 14; прогноз 90 дней 3.99; избыток 10 шт. Будущие поступления не выставляются на продажу. Остаток на начало сентября: требуется актуализация.</x:v>
      </x:c>
      <x:c r="AP371" s="13" t="str">
        <x:v>["category_missing", "daily_stockout_data_missing", "negative_net_sales_clipped_for_forecast", "new_order_lead_time_unknown", "reservations_unknown", "stale_stock"]</x:v>
      </x:c>
      <x:c r="AQ371" s="10" t="str">
        <x:v>IEK:030200989_</x:v>
      </x:c>
      <x:c r="AR371" s="24" t="n">
        <x:v>1</x:v>
      </x:c>
      <x:c r="AS371" s="24" t="n">
        <x:v>0</x:v>
      </x:c>
      <x:c r="AT371" s="24" t="n">
        <x:v>0</x:v>
      </x:c>
    </x:row>
    <x:row r="372" ht="64" customHeight="1">
      <x:c r="A372" s="11" t="str">
        <x:v>IEK</x:v>
      </x:c>
      <x:c r="B372" s="33" t="str">
        <x:v>030200990_</x:v>
      </x:c>
      <x:c r="C372" s="33" t="str">
        <x:v>BR-K10-2-K01</x:v>
      </x:c>
      <x:c r="D372" s="12" t="str">
        <x:v>Роз. комп. RJ45 кат.6 б/рамки "BRITE" белый (1/100)</x:v>
      </x:c>
      <x:c r="E372" s="11" t="str">
        <x:v>шт</x:v>
      </x:c>
      <x:c r="F372" s="35" t="n">
        <x:f>MAX(0,ROUNDDOWN((AG372-AF372)/AR372+0.000000001,0)*AR372)</x:f>
        <x:v>27</x:v>
      </x:c>
      <x:c r="G372" s="20" t="str">
        <x:f>IF(J372="Рассчитано",V372*(1-R372/100)-W372-P372-Q372,"н/д")</x:f>
        <x:v>н/д</x:v>
      </x:c>
      <x:c r="H372" s="12" t="str">
        <x:v>Высокий</x:v>
      </x:c>
      <x:c r="I372" s="12" t="str">
        <x:v>Средний</x:v>
      </x:c>
      <x:c r="J372" s="12" t="str">
        <x:f>IF(L372="","Укажите валюту",IF(NOT(ISNUMBER(K372)),"Укажите объём",IF(K372&lt;=0,"Укажите объём",IF(K372&gt;F372,"Объём выше излишка",IF(COUNT(M372:O372)&lt;3,"Нужны цены",IF(COUNT(P372:R372)&lt;3,"Нужны расходы",IF(OR(M372&lt;0,N372&lt;0,O372&lt;0,O372&gt;100,P372&lt;0,Q372&lt;0,R372&lt;0,R372&gt;100),"Проверьте значения","Рассчитано")))))))</x:f>
        <x:v>Нужны цены</x:v>
      </x:c>
      <x:c r="K372" s="36" t="n">
        <x:v>27</x:v>
      </x:c>
      <x:c r="L372" s="19" t="str">
        <x:v>KZT</x:v>
      </x:c>
      <x:c r="M372" s="22"/>
      <x:c r="N372" s="22"/>
      <x:c r="O372" s="28"/>
      <x:c r="P372" s="22"/>
      <x:c r="Q372" s="22"/>
      <x:c r="R372" s="28"/>
      <x:c r="S372" s="22"/>
      <x:c r="T372" s="35" t="n">
        <x:f>K372</x:f>
        <x:v>27</x:v>
      </x:c>
      <x:c r="U372" s="20" t="str">
        <x:f>IF(J372="Рассчитано",N372*(1-O372/100),"н/д")</x:f>
        <x:v>н/д</x:v>
      </x:c>
      <x:c r="V372" s="20" t="str">
        <x:f>IF(J372="Рассчитано",T372*U372,"н/д")</x:f>
        <x:v>н/д</x:v>
      </x:c>
      <x:c r="W372" s="20" t="str">
        <x:f>IF(J372="Рассчитано",T372*M372,"н/д")</x:f>
        <x:v>н/д</x:v>
      </x:c>
      <x:c r="X372" s="20" t="str">
        <x:f>IF(J372="Рассчитано",V372-W372,"н/д")</x:f>
        <x:v>н/д</x:v>
      </x:c>
      <x:c r="Y372" s="26" t="str">
        <x:f>IF(J372="Рассчитано",IF(V372&gt;0,G372/V372,"н/д"),"н/д")</x:f>
        <x:v>н/д</x:v>
      </x:c>
      <x:c r="Z372" s="20" t="str">
        <x:f>"н/д"</x:f>
        <x:v>н/д</x:v>
      </x:c>
      <x:c r="AA372" s="20" t="str">
        <x:f>"н/д"</x:f>
        <x:v>н/д</x:v>
      </x:c>
      <x:c r="AB372" s="20" t="str">
        <x:f>"н/д"</x:f>
        <x:v>н/д</x:v>
      </x:c>
      <x:c r="AC372" s="20" t="str">
        <x:f>IF(AND(J372="Рассчитано",T372&gt;0,R372&lt;100),(W372+P372+Q372)/(T372*(1-R372/100)),"н/д")</x:f>
        <x:v>н/д</x:v>
      </x:c>
      <x:c r="AD372" s="11" t="str">
        <x:f>IF(ISNUMBER(G372),IF(G372&lt;0,"Убыток",IF(G372=0,"Без прибыли","Прибыль &gt; 0")),"Не оценён")</x:f>
        <x:v>Не оценён</x:v>
      </x:c>
      <x:c r="AE372" s="12" t="str">
        <x:f>IF(J372="Рассчитано","Выручка "&amp;TEXT(V372,"0.00")&amp;" - себестоимость "&amp;TEXT(W372,"0.00")&amp;" - комиссия "&amp;TEXT(V372*R372/100,"0.00")&amp;" - доставка "&amp;TEXT(P372,"0.00")&amp;" - прочие "&amp;TEXT(Q372,"0.00")&amp;" = "&amp;TEXT(G372,"0.00")&amp;" "&amp;L372,"Введите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2" s="23" t="n">
        <x:v>47.9008719864721</x:v>
      </x:c>
      <x:c r="AG372" s="35" t="n">
        <x:v>75</x:v>
      </x:c>
      <x:c r="AH372" s="35" t="n">
        <x:v>0</x:v>
      </x:c>
      <x:c r="AI372" s="29" t="n">
        <x:v>46266</x:v>
      </x:c>
      <x:c r="AJ372" s="35" t="n">
        <x:v>1</x:v>
      </x:c>
      <x:c r="AK372" s="11" t="str">
        <x:v>минимум</x:v>
      </x:c>
      <x:c r="AL372" s="31" t="n">
        <x:v>133.14868703352428</x:v>
      </x:c>
      <x:c r="AM372" s="12" t="str">
        <x:v>Остаток на начало сентября; Резервы неизвестны; Нет ежедневных данных доступности. Запас выше прогноза на 90 дней</x:v>
      </x:c>
      <x:c r="AN372" s="12" t="str">
        <x:v>Проверить свободный остаток и установить цену для B2B</x:v>
      </x:c>
      <x:c r="AO372" s="12" t="str">
        <x:v>Остаток 75; прогноз 90 дней 47.90; избыток 27 шт. Будущие поступления не выставляются на продажу. Остаток на начало сентября: требуется актуализация.</x:v>
      </x:c>
      <x:c r="AP372" s="12" t="str">
        <x:v>["category_missing", "daily_stockout_data_missing", "negative_net_sales_clipped_for_forecast", "new_order_lead_time_unknown", "reservations_unknown", "stale_stock"]</x:v>
      </x:c>
      <x:c r="AQ372" s="11" t="str">
        <x:v>IEK:030200990_</x:v>
      </x:c>
      <x:c r="AR372" s="23" t="n">
        <x:v>1</x:v>
      </x:c>
      <x:c r="AS372" s="23" t="n">
        <x:v>0</x:v>
      </x:c>
      <x:c r="AT372" s="23" t="n">
        <x:v>0</x:v>
      </x:c>
    </x:row>
    <x:row r="373" ht="64" customHeight="1">
      <x:c r="A373" s="10" t="str">
        <x:v>IEK</x:v>
      </x:c>
      <x:c r="B373" s="34" t="str">
        <x:v>030201012_</x:v>
      </x:c>
      <x:c r="C373" s="34" t="str">
        <x:v>BR-R16-16-44-K53</x:v>
      </x:c>
      <x:c r="D373" s="13" t="str">
        <x:v>BRITE Розетка 1-местная с заземлением с защитными шторками и крышкой 16А IP44 РСбш10-3-44-БрГ графит</x:v>
      </x:c>
      <x:c r="E373" s="10" t="str">
        <x:v>шт</x:v>
      </x:c>
      <x:c r="F373" s="37" t="n">
        <x:f>MAX(0,ROUNDDOWN((AG373-AF373)/AR373+0.000000001,0)*AR373)</x:f>
        <x:v>12</x:v>
      </x:c>
      <x:c r="G373" s="21" t="str">
        <x:f>IF(J373="Рассчитано",V373*(1-R373/100)-W373-P373-Q373,"н/д")</x:f>
        <x:v>н/д</x:v>
      </x:c>
      <x:c r="H373" s="13" t="str">
        <x:v>Высокий</x:v>
      </x:c>
      <x:c r="I373" s="13" t="str">
        <x:v>Высокий</x:v>
      </x:c>
      <x:c r="J373" s="13" t="str">
        <x:f>IF(L373="","Укажите валюту",IF(NOT(ISNUMBER(K373)),"Укажите объём",IF(K373&lt;=0,"Укажите объём",IF(K373&gt;F373,"Объём выше излишка",IF(COUNT(M373:O373)&lt;3,"Нужны цены",IF(COUNT(P373:R373)&lt;3,"Нужны расходы",IF(OR(M373&lt;0,N373&lt;0,O373&lt;0,O373&gt;100,P373&lt;0,Q373&lt;0,R373&lt;0,R373&gt;100),"Проверьте значения","Рассчитано")))))))</x:f>
        <x:v>Нужны цены</x:v>
      </x:c>
      <x:c r="K373" s="36" t="n">
        <x:v>12</x:v>
      </x:c>
      <x:c r="L373" s="19" t="str">
        <x:v>KZT</x:v>
      </x:c>
      <x:c r="M373" s="22"/>
      <x:c r="N373" s="22"/>
      <x:c r="O373" s="28"/>
      <x:c r="P373" s="22"/>
      <x:c r="Q373" s="22"/>
      <x:c r="R373" s="28"/>
      <x:c r="S373" s="22"/>
      <x:c r="T373" s="37" t="n">
        <x:f>K373</x:f>
        <x:v>12</x:v>
      </x:c>
      <x:c r="U373" s="21" t="str">
        <x:f>IF(J373="Рассчитано",N373*(1-O373/100),"н/д")</x:f>
        <x:v>н/д</x:v>
      </x:c>
      <x:c r="V373" s="21" t="str">
        <x:f>IF(J373="Рассчитано",T373*U373,"н/д")</x:f>
        <x:v>н/д</x:v>
      </x:c>
      <x:c r="W373" s="21" t="str">
        <x:f>IF(J373="Рассчитано",T373*M373,"н/д")</x:f>
        <x:v>н/д</x:v>
      </x:c>
      <x:c r="X373" s="21" t="str">
        <x:f>IF(J373="Рассчитано",V373-W373,"н/д")</x:f>
        <x:v>н/д</x:v>
      </x:c>
      <x:c r="Y373" s="27" t="str">
        <x:f>IF(J373="Рассчитано",IF(V373&gt;0,G373/V373,"н/д"),"н/д")</x:f>
        <x:v>н/д</x:v>
      </x:c>
      <x:c r="Z373" s="21" t="str">
        <x:f>"н/д"</x:f>
        <x:v>н/д</x:v>
      </x:c>
      <x:c r="AA373" s="21" t="str">
        <x:f>"н/д"</x:f>
        <x:v>н/д</x:v>
      </x:c>
      <x:c r="AB373" s="21" t="str">
        <x:f>"н/д"</x:f>
        <x:v>н/д</x:v>
      </x:c>
      <x:c r="AC373" s="21" t="str">
        <x:f>IF(AND(J373="Рассчитано",T373&gt;0,R373&lt;100),(W373+P373+Q373)/(T373*(1-R373/100)),"н/д")</x:f>
        <x:v>н/д</x:v>
      </x:c>
      <x:c r="AD373" s="10" t="str">
        <x:f>IF(ISNUMBER(G373),IF(G373&lt;0,"Убыток",IF(G373=0,"Без прибыли","Прибыль &gt; 0")),"Не оценён")</x:f>
        <x:v>Не оценён</x:v>
      </x:c>
      <x:c r="AE373" s="13" t="str">
        <x:f>IF(J373="Рассчитано","Выручка "&amp;TEXT(V373,"0.00")&amp;" - себестоимость "&amp;TEXT(W373,"0.00")&amp;" - комиссия "&amp;TEXT(V373*R373/100,"0.00")&amp;" - доставка "&amp;TEXT(P373,"0.00")&amp;" - прочие "&amp;TEXT(Q373,"0.00")&amp;" = "&amp;TEXT(G373,"0.00")&amp;" "&amp;L373,"Введите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3" s="24" t="n">
        <x:v>0.6845053365855409</x:v>
      </x:c>
      <x:c r="AG373" s="37" t="n">
        <x:v>13</x:v>
      </x:c>
      <x:c r="AH373" s="37" t="n">
        <x:v>0</x:v>
      </x:c>
      <x:c r="AI373" s="30" t="n">
        <x:v>46266</x:v>
      </x:c>
      <x:c r="AJ373" s="37" t="n">
        <x:v>1</x:v>
      </x:c>
      <x:c r="AK373" s="10" t="str">
        <x:v>минимум</x:v>
      </x:c>
      <x:c r="AL373" s="32" t="n">
        <x:v>1615.0484607266853</x:v>
      </x:c>
      <x:c r="AM3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73" s="13" t="str">
        <x:v>Проверить свободный остаток и установить цену для B2B</x:v>
      </x:c>
      <x:c r="AO373" s="13" t="str">
        <x:v>Остаток 13; прогноз 90 дней 0.68; избыток 12 шт. Будущие поступления не выставляются на продажу. Остаток на начало сентября: требуется актуализация.</x:v>
      </x:c>
      <x:c r="AP373" s="13" t="str">
        <x:v>["category_missing", "daily_stockout_data_missing", "new_order_lead_time_unknown", "reservations_unknown", "stale_stock"]</x:v>
      </x:c>
      <x:c r="AQ373" s="10" t="str">
        <x:v>IEK:030201012_</x:v>
      </x:c>
      <x:c r="AR373" s="24" t="n">
        <x:v>1</x:v>
      </x:c>
      <x:c r="AS373" s="24" t="n">
        <x:v>0</x:v>
      </x:c>
      <x:c r="AT373" s="24" t="n">
        <x:v>0</x:v>
      </x:c>
    </x:row>
    <x:row r="374" ht="64" customHeight="1">
      <x:c r="A374" s="11" t="str">
        <x:v>IEK</x:v>
      </x:c>
      <x:c r="B374" s="33" t="str">
        <x:v>030201019_</x:v>
      </x:c>
      <x:c r="C374" s="33" t="str">
        <x:v>BR-M52-K10</x:v>
      </x:c>
      <x:c r="D374" s="12" t="str">
        <x:v>Рамка 5-мест. "BRITE" бежевый (1/100)</x:v>
      </x:c>
      <x:c r="E374" s="11" t="str">
        <x:v>шт</x:v>
      </x:c>
      <x:c r="F374" s="35" t="n">
        <x:f>MAX(0,ROUNDDOWN((AG374-AF374)/AR374+0.000000001,0)*AR374)</x:f>
        <x:v>35</x:v>
      </x:c>
      <x:c r="G374" s="20" t="str">
        <x:f>IF(J374="Рассчитано",V374*(1-R374/100)-W374-P374-Q374,"н/д")</x:f>
        <x:v>н/д</x:v>
      </x:c>
      <x:c r="H374" s="12" t="str">
        <x:v>Высокий</x:v>
      </x:c>
      <x:c r="I374" s="12" t="str">
        <x:v>Высокий</x:v>
      </x:c>
      <x:c r="J374" s="12" t="str">
        <x:f>IF(L374="","Укажите валюту",IF(NOT(ISNUMBER(K374)),"Укажите объём",IF(K374&lt;=0,"Укажите объём",IF(K374&gt;F374,"Объём выше излишка",IF(COUNT(M374:O374)&lt;3,"Нужны цены",IF(COUNT(P374:R374)&lt;3,"Нужны расходы",IF(OR(M374&lt;0,N374&lt;0,O374&lt;0,O374&gt;100,P374&lt;0,Q374&lt;0,R374&lt;0,R374&gt;100),"Проверьте значения","Рассчитано")))))))</x:f>
        <x:v>Нужны цены</x:v>
      </x:c>
      <x:c r="K374" s="36" t="n">
        <x:v>35</x:v>
      </x:c>
      <x:c r="L374" s="19" t="str">
        <x:v>KZT</x:v>
      </x:c>
      <x:c r="M374" s="22"/>
      <x:c r="N374" s="22"/>
      <x:c r="O374" s="28"/>
      <x:c r="P374" s="22"/>
      <x:c r="Q374" s="22"/>
      <x:c r="R374" s="28"/>
      <x:c r="S374" s="22"/>
      <x:c r="T374" s="35" t="n">
        <x:f>K374</x:f>
        <x:v>35</x:v>
      </x:c>
      <x:c r="U374" s="20" t="str">
        <x:f>IF(J374="Рассчитано",N374*(1-O374/100),"н/д")</x:f>
        <x:v>н/д</x:v>
      </x:c>
      <x:c r="V374" s="20" t="str">
        <x:f>IF(J374="Рассчитано",T374*U374,"н/д")</x:f>
        <x:v>н/д</x:v>
      </x:c>
      <x:c r="W374" s="20" t="str">
        <x:f>IF(J374="Рассчитано",T374*M374,"н/д")</x:f>
        <x:v>н/д</x:v>
      </x:c>
      <x:c r="X374" s="20" t="str">
        <x:f>IF(J374="Рассчитано",V374-W374,"н/д")</x:f>
        <x:v>н/д</x:v>
      </x:c>
      <x:c r="Y374" s="26" t="str">
        <x:f>IF(J374="Рассчитано",IF(V374&gt;0,G374/V374,"н/д"),"н/д")</x:f>
        <x:v>н/д</x:v>
      </x:c>
      <x:c r="Z374" s="20" t="str">
        <x:f>"н/д"</x:f>
        <x:v>н/д</x:v>
      </x:c>
      <x:c r="AA374" s="20" t="str">
        <x:f>"н/д"</x:f>
        <x:v>н/д</x:v>
      </x:c>
      <x:c r="AB374" s="20" t="str">
        <x:f>"н/д"</x:f>
        <x:v>н/д</x:v>
      </x:c>
      <x:c r="AC374" s="20" t="str">
        <x:f>IF(AND(J374="Рассчитано",T374&gt;0,R374&lt;100),(W374+P374+Q374)/(T374*(1-R374/100)),"н/д")</x:f>
        <x:v>н/д</x:v>
      </x:c>
      <x:c r="AD374" s="11" t="str">
        <x:f>IF(ISNUMBER(G374),IF(G374&lt;0,"Убыток",IF(G374=0,"Без прибыли","Прибыль &gt; 0")),"Не оценён")</x:f>
        <x:v>Не оценён</x:v>
      </x:c>
      <x:c r="AE374" s="12" t="str">
        <x:f>IF(J374="Рассчитано","Выручка "&amp;TEXT(V374,"0.00")&amp;" - себестоимость "&amp;TEXT(W374,"0.00")&amp;" - комиссия "&amp;TEXT(V374*R374/100,"0.00")&amp;" - доставка "&amp;TEXT(P374,"0.00")&amp;" - прочие "&amp;TEXT(Q374,"0.00")&amp;" = "&amp;TEXT(G374,"0.00")&amp;" "&amp;L374,"Введите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4" s="23" t="n">
        <x:v>6.869003290397653</x:v>
      </x:c>
      <x:c r="AG374" s="35" t="n">
        <x:v>42</x:v>
      </x:c>
      <x:c r="AH374" s="35" t="n">
        <x:v>0</x:v>
      </x:c>
      <x:c r="AI374" s="29" t="n">
        <x:v>46266</x:v>
      </x:c>
      <x:c r="AJ374" s="35" t="n">
        <x:v>1</x:v>
      </x:c>
      <x:c r="AK374" s="11" t="str">
        <x:v>минимум</x:v>
      </x:c>
      <x:c r="AL374" s="31" t="n">
        <x:v>519.9655973579618</x:v>
      </x:c>
      <x:c r="AM37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74" s="12" t="str">
        <x:v>Проверить свободный остаток и установить цену для B2B</x:v>
      </x:c>
      <x:c r="AO374" s="12" t="str">
        <x:v>Остаток 42; прогноз 90 дней 6.87; избыток 35 шт. Будущие поступления не выставляются на продажу. Остаток на начало сентября: требуется актуализация.</x:v>
      </x:c>
      <x:c r="AP374" s="12" t="str">
        <x:v>["category_missing", "daily_stockout_data_missing", "new_order_lead_time_unknown", "reservations_unknown", "stale_stock"]</x:v>
      </x:c>
      <x:c r="AQ374" s="11" t="str">
        <x:v>IEK:030201019_</x:v>
      </x:c>
      <x:c r="AR374" s="23" t="n">
        <x:v>1</x:v>
      </x:c>
      <x:c r="AS374" s="23" t="n">
        <x:v>0</x:v>
      </x:c>
      <x:c r="AT374" s="23" t="n">
        <x:v>0</x:v>
      </x:c>
    </x:row>
    <x:row r="375" ht="64" customHeight="1">
      <x:c r="A375" s="10" t="str">
        <x:v>IEK</x:v>
      </x:c>
      <x:c r="B375" s="34" t="str">
        <x:v>030201020_</x:v>
      </x:c>
      <x:c r="C375" s="34" t="str">
        <x:v>BR-R11-16-K10</x:v>
      </x:c>
      <x:c r="D375" s="13" t="str">
        <x:v>Роз. с з/к без з/ш 16А б/рамки "BRITE" бежевый (1/100)</x:v>
      </x:c>
      <x:c r="E375" s="10" t="str">
        <x:v>шт</x:v>
      </x:c>
      <x:c r="F375" s="37" t="n">
        <x:f>MAX(0,ROUNDDOWN((AG375-AF375)/AR375+0.000000001,0)*AR375)</x:f>
        <x:v>200</x:v>
      </x:c>
      <x:c r="G375" s="21" t="str">
        <x:f>IF(J375="Рассчитано",V375*(1-R375/100)-W375-P375-Q375,"н/д")</x:f>
        <x:v>н/д</x:v>
      </x:c>
      <x:c r="H375" s="13" t="str">
        <x:v>Высокий</x:v>
      </x:c>
      <x:c r="I375" s="13" t="str">
        <x:v>Высокий</x:v>
      </x:c>
      <x:c r="J375" s="13" t="str">
        <x:f>IF(L375="","Укажите валюту",IF(NOT(ISNUMBER(K375)),"Укажите объём",IF(K375&lt;=0,"Укажите объём",IF(K375&gt;F375,"Объём выше излишка",IF(COUNT(M375:O375)&lt;3,"Нужны цены",IF(COUNT(P375:R375)&lt;3,"Нужны расходы",IF(OR(M375&lt;0,N375&lt;0,O375&lt;0,O375&gt;100,P375&lt;0,Q375&lt;0,R375&lt;0,R375&gt;100),"Проверьте значения","Рассчитано")))))))</x:f>
        <x:v>Нужны цены</x:v>
      </x:c>
      <x:c r="K375" s="36" t="n">
        <x:v>200</x:v>
      </x:c>
      <x:c r="L375" s="19" t="str">
        <x:v>KZT</x:v>
      </x:c>
      <x:c r="M375" s="22"/>
      <x:c r="N375" s="22"/>
      <x:c r="O375" s="28"/>
      <x:c r="P375" s="22"/>
      <x:c r="Q375" s="22"/>
      <x:c r="R375" s="28"/>
      <x:c r="S375" s="22"/>
      <x:c r="T375" s="37" t="n">
        <x:f>K375</x:f>
        <x:v>200</x:v>
      </x:c>
      <x:c r="U375" s="21" t="str">
        <x:f>IF(J375="Рассчитано",N375*(1-O375/100),"н/д")</x:f>
        <x:v>н/д</x:v>
      </x:c>
      <x:c r="V375" s="21" t="str">
        <x:f>IF(J375="Рассчитано",T375*U375,"н/д")</x:f>
        <x:v>н/д</x:v>
      </x:c>
      <x:c r="W375" s="21" t="str">
        <x:f>IF(J375="Рассчитано",T375*M375,"н/д")</x:f>
        <x:v>н/д</x:v>
      </x:c>
      <x:c r="X375" s="21" t="str">
        <x:f>IF(J375="Рассчитано",V375-W375,"н/д")</x:f>
        <x:v>н/д</x:v>
      </x:c>
      <x:c r="Y375" s="27" t="str">
        <x:f>IF(J375="Рассчитано",IF(V375&gt;0,G375/V375,"н/д"),"н/д")</x:f>
        <x:v>н/д</x:v>
      </x:c>
      <x:c r="Z375" s="21" t="str">
        <x:f>"н/д"</x:f>
        <x:v>н/д</x:v>
      </x:c>
      <x:c r="AA375" s="21" t="str">
        <x:f>"н/д"</x:f>
        <x:v>н/д</x:v>
      </x:c>
      <x:c r="AB375" s="21" t="str">
        <x:f>"н/д"</x:f>
        <x:v>н/д</x:v>
      </x:c>
      <x:c r="AC375" s="21" t="str">
        <x:f>IF(AND(J375="Рассчитано",T375&gt;0,R375&lt;100),(W375+P375+Q375)/(T375*(1-R375/100)),"н/д")</x:f>
        <x:v>н/д</x:v>
      </x:c>
      <x:c r="AD375" s="10" t="str">
        <x:f>IF(ISNUMBER(G375),IF(G375&lt;0,"Убыток",IF(G375=0,"Без прибыли","Прибыль &gt; 0")),"Не оценён")</x:f>
        <x:v>Не оценён</x:v>
      </x:c>
      <x:c r="AE375" s="13" t="str">
        <x:f>IF(J375="Рассчитано","Выручка "&amp;TEXT(V375,"0.00")&amp;" - себестоимость "&amp;TEXT(W375,"0.00")&amp;" - комиссия "&amp;TEXT(V375*R375/100,"0.00")&amp;" - доставка "&amp;TEXT(P375,"0.00")&amp;" - прочие "&amp;TEXT(Q375,"0.00")&amp;" = "&amp;TEXT(G375,"0.00")&amp;" "&amp;L375,"Введите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5" s="24" t="n">
        <x:v>178.39721397406973</x:v>
      </x:c>
      <x:c r="AG375" s="37" t="n">
        <x:v>379</x:v>
      </x:c>
      <x:c r="AH375" s="37" t="n">
        <x:v>0</x:v>
      </x:c>
      <x:c r="AI375" s="30" t="n">
        <x:v>46266</x:v>
      </x:c>
      <x:c r="AJ375" s="37" t="n">
        <x:v>1</x:v>
      </x:c>
      <x:c r="AK375" s="10" t="str">
        <x:v>минимум</x:v>
      </x:c>
      <x:c r="AL375" s="32" t="n">
        <x:v>180.6634030347785</x:v>
      </x:c>
      <x:c r="AM375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375" s="13" t="str">
        <x:v>Проверить свободный остаток и установить цену для B2B</x:v>
      </x:c>
      <x:c r="AO375" s="13" t="str">
        <x:v>Остаток 379; прогноз 90 дней 178.40; избыток 200 шт. Будущие поступления не выставляются на продажу. Остаток на начало сентября: требуется актуализация.</x:v>
      </x:c>
      <x:c r="AP375" s="13" t="str">
        <x:v>["category_missing", "daily_stockout_data_missing", "large_orders_detected", "new_order_lead_time_unknown", "reservations_unknown", "stale_stock", "transaction_month_mismatch"]</x:v>
      </x:c>
      <x:c r="AQ375" s="10" t="str">
        <x:v>IEK:030201020_</x:v>
      </x:c>
      <x:c r="AR375" s="24" t="n">
        <x:v>1</x:v>
      </x:c>
      <x:c r="AS375" s="24" t="n">
        <x:v>0</x:v>
      </x:c>
      <x:c r="AT375" s="24" t="n">
        <x:v>0</x:v>
      </x:c>
    </x:row>
    <x:row r="376" ht="64" customHeight="1">
      <x:c r="A376" s="11" t="str">
        <x:v>IEK</x:v>
      </x:c>
      <x:c r="B376" s="33" t="str">
        <x:v>030201022_</x:v>
      </x:c>
      <x:c r="C376" s="33" t="str">
        <x:v>BR-R11-16-K45</x:v>
      </x:c>
      <x:c r="D376" s="12" t="str">
        <x:v>Роз. с з/к без з/ш 16А б/рамки "BRITE" темная бронза (1/100)</x:v>
      </x:c>
      <x:c r="E376" s="11" t="str">
        <x:v>шт</x:v>
      </x:c>
      <x:c r="F376" s="35" t="n">
        <x:f>MAX(0,ROUNDDOWN((AG376-AF376)/AR376+0.000000001,0)*AR376)</x:f>
        <x:v>105</x:v>
      </x:c>
      <x:c r="G376" s="20" t="str">
        <x:f>IF(J376="Рассчитано",V376*(1-R376/100)-W376-P376-Q376,"н/д")</x:f>
        <x:v>н/д</x:v>
      </x:c>
      <x:c r="H376" s="12" t="str">
        <x:v>Высокий</x:v>
      </x:c>
      <x:c r="I376" s="12" t="str">
        <x:v>Высокий</x:v>
      </x:c>
      <x:c r="J376" s="12" t="str">
        <x:f>IF(L376="","Укажите валюту",IF(NOT(ISNUMBER(K376)),"Укажите объём",IF(K376&lt;=0,"Укажите объём",IF(K376&gt;F376,"Объём выше излишка",IF(COUNT(M376:O376)&lt;3,"Нужны цены",IF(COUNT(P376:R376)&lt;3,"Нужны расходы",IF(OR(M376&lt;0,N376&lt;0,O376&lt;0,O376&gt;100,P376&lt;0,Q376&lt;0,R376&lt;0,R376&gt;100),"Проверьте значения","Рассчитано")))))))</x:f>
        <x:v>Нужны цены</x:v>
      </x:c>
      <x:c r="K376" s="36" t="n">
        <x:v>105</x:v>
      </x:c>
      <x:c r="L376" s="19" t="str">
        <x:v>KZT</x:v>
      </x:c>
      <x:c r="M376" s="22"/>
      <x:c r="N376" s="22"/>
      <x:c r="O376" s="28"/>
      <x:c r="P376" s="22"/>
      <x:c r="Q376" s="22"/>
      <x:c r="R376" s="28"/>
      <x:c r="S376" s="22"/>
      <x:c r="T376" s="35" t="n">
        <x:f>K376</x:f>
        <x:v>105</x:v>
      </x:c>
      <x:c r="U376" s="20" t="str">
        <x:f>IF(J376="Рассчитано",N376*(1-O376/100),"н/д")</x:f>
        <x:v>н/д</x:v>
      </x:c>
      <x:c r="V376" s="20" t="str">
        <x:f>IF(J376="Рассчитано",T376*U376,"н/д")</x:f>
        <x:v>н/д</x:v>
      </x:c>
      <x:c r="W376" s="20" t="str">
        <x:f>IF(J376="Рассчитано",T376*M376,"н/д")</x:f>
        <x:v>н/д</x:v>
      </x:c>
      <x:c r="X376" s="20" t="str">
        <x:f>IF(J376="Рассчитано",V376-W376,"н/д")</x:f>
        <x:v>н/д</x:v>
      </x:c>
      <x:c r="Y376" s="26" t="str">
        <x:f>IF(J376="Рассчитано",IF(V376&gt;0,G376/V376,"н/д"),"н/д")</x:f>
        <x:v>н/д</x:v>
      </x:c>
      <x:c r="Z376" s="20" t="str">
        <x:f>"н/д"</x:f>
        <x:v>н/д</x:v>
      </x:c>
      <x:c r="AA376" s="20" t="str">
        <x:f>"н/д"</x:f>
        <x:v>н/д</x:v>
      </x:c>
      <x:c r="AB376" s="20" t="str">
        <x:f>"н/д"</x:f>
        <x:v>н/д</x:v>
      </x:c>
      <x:c r="AC376" s="20" t="str">
        <x:f>IF(AND(J376="Рассчитано",T376&gt;0,R376&lt;100),(W376+P376+Q376)/(T376*(1-R376/100)),"н/д")</x:f>
        <x:v>н/д</x:v>
      </x:c>
      <x:c r="AD376" s="11" t="str">
        <x:f>IF(ISNUMBER(G376),IF(G376&lt;0,"Убыток",IF(G376=0,"Без прибыли","Прибыль &gt; 0")),"Не оценён")</x:f>
        <x:v>Не оценён</x:v>
      </x:c>
      <x:c r="AE376" s="12" t="str">
        <x:f>IF(J376="Рассчитано","Выручка "&amp;TEXT(V376,"0.00")&amp;" - себестоимость "&amp;TEXT(W376,"0.00")&amp;" - комиссия "&amp;TEXT(V376*R376/100,"0.00")&amp;" - доставка "&amp;TEXT(P376,"0.00")&amp;" - прочие "&amp;TEXT(Q376,"0.00")&amp;" = "&amp;TEXT(G376,"0.00")&amp;" "&amp;L376,"Введите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6" s="23" t="n">
        <x:v>76.93561855040242</x:v>
      </x:c>
      <x:c r="AG376" s="35" t="n">
        <x:v>182</x:v>
      </x:c>
      <x:c r="AH376" s="35" t="n">
        <x:v>0</x:v>
      </x:c>
      <x:c r="AI376" s="29" t="n">
        <x:v>46266</x:v>
      </x:c>
      <x:c r="AJ376" s="35" t="n">
        <x:v>1</x:v>
      </x:c>
      <x:c r="AK376" s="11" t="str">
        <x:v>минимум</x:v>
      </x:c>
      <x:c r="AL376" s="31" t="n">
        <x:v>201.1698918469608</x:v>
      </x:c>
      <x:c r="AM37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76" s="12" t="str">
        <x:v>Проверить свободный остаток и установить цену для B2B</x:v>
      </x:c>
      <x:c r="AO376" s="12" t="str">
        <x:v>Остаток 182; прогноз 90 дней 76.94; избыток 105 шт. Будущие поступления не выставляются на продажу. Остаток на начало сентября: требуется актуализация.</x:v>
      </x:c>
      <x:c r="AP376" s="12" t="str">
        <x:v>["category_missing", "daily_stockout_data_missing", "negative_net_sales_clipped_for_forecast", "new_order_lead_time_unknown", "reservations_unknown", "stale_stock"]</x:v>
      </x:c>
      <x:c r="AQ376" s="11" t="str">
        <x:v>IEK:030201022_</x:v>
      </x:c>
      <x:c r="AR376" s="23" t="n">
        <x:v>1</x:v>
      </x:c>
      <x:c r="AS376" s="23" t="n">
        <x:v>0</x:v>
      </x:c>
      <x:c r="AT376" s="23" t="n">
        <x:v>0</x:v>
      </x:c>
    </x:row>
    <x:row r="377" ht="64" customHeight="1">
      <x:c r="A377" s="10" t="str">
        <x:v>IEK</x:v>
      </x:c>
      <x:c r="B377" s="34" t="str">
        <x:v>030201032_</x:v>
      </x:c>
      <x:c r="C377" s="34" t="str">
        <x:v>BR-M52-K45</x:v>
      </x:c>
      <x:c r="D377" s="13" t="str">
        <x:v>BRITE Рамка 5-местная РУ-5-БрТБ темная бронза IEK</x:v>
      </x:c>
      <x:c r="E377" s="10" t="str">
        <x:v>шт</x:v>
      </x:c>
      <x:c r="F377" s="37" t="n">
        <x:f>MAX(0,ROUNDDOWN((AG377-AF377)/AR377+0.000000001,0)*AR377)</x:f>
        <x:v>27</x:v>
      </x:c>
      <x:c r="G377" s="21" t="str">
        <x:f>IF(J377="Рассчитано",V377*(1-R377/100)-W377-P377-Q377,"н/д")</x:f>
        <x:v>н/д</x:v>
      </x:c>
      <x:c r="H377" s="13" t="str">
        <x:v>Высокий</x:v>
      </x:c>
      <x:c r="I377" s="13" t="str">
        <x:v>Высокий</x:v>
      </x:c>
      <x:c r="J377" s="13" t="str">
        <x:f>IF(L377="","Укажите валюту",IF(NOT(ISNUMBER(K377)),"Укажите объём",IF(K377&lt;=0,"Укажите объём",IF(K377&gt;F377,"Объём выше излишка",IF(COUNT(M377:O377)&lt;3,"Нужны цены",IF(COUNT(P377:R377)&lt;3,"Нужны расходы",IF(OR(M377&lt;0,N377&lt;0,O377&lt;0,O377&gt;100,P377&lt;0,Q377&lt;0,R377&lt;0,R377&gt;100),"Проверьте значения","Рассчитано")))))))</x:f>
        <x:v>Нужны цены</x:v>
      </x:c>
      <x:c r="K377" s="36" t="n">
        <x:v>27</x:v>
      </x:c>
      <x:c r="L377" s="19" t="str">
        <x:v>KZT</x:v>
      </x:c>
      <x:c r="M377" s="22"/>
      <x:c r="N377" s="22"/>
      <x:c r="O377" s="28"/>
      <x:c r="P377" s="22"/>
      <x:c r="Q377" s="22"/>
      <x:c r="R377" s="28"/>
      <x:c r="S377" s="22"/>
      <x:c r="T377" s="37" t="n">
        <x:f>K377</x:f>
        <x:v>27</x:v>
      </x:c>
      <x:c r="U377" s="21" t="str">
        <x:f>IF(J377="Рассчитано",N377*(1-O377/100),"н/д")</x:f>
        <x:v>н/д</x:v>
      </x:c>
      <x:c r="V377" s="21" t="str">
        <x:f>IF(J377="Рассчитано",T377*U377,"н/д")</x:f>
        <x:v>н/д</x:v>
      </x:c>
      <x:c r="W377" s="21" t="str">
        <x:f>IF(J377="Рассчитано",T377*M377,"н/д")</x:f>
        <x:v>н/д</x:v>
      </x:c>
      <x:c r="X377" s="21" t="str">
        <x:f>IF(J377="Рассчитано",V377-W377,"н/д")</x:f>
        <x:v>н/д</x:v>
      </x:c>
      <x:c r="Y377" s="27" t="str">
        <x:f>IF(J377="Рассчитано",IF(V377&gt;0,G377/V377,"н/д"),"н/д")</x:f>
        <x:v>н/д</x:v>
      </x:c>
      <x:c r="Z377" s="21" t="str">
        <x:f>"н/д"</x:f>
        <x:v>н/д</x:v>
      </x:c>
      <x:c r="AA377" s="21" t="str">
        <x:f>"н/д"</x:f>
        <x:v>н/д</x:v>
      </x:c>
      <x:c r="AB377" s="21" t="str">
        <x:f>"н/д"</x:f>
        <x:v>н/д</x:v>
      </x:c>
      <x:c r="AC377" s="21" t="str">
        <x:f>IF(AND(J377="Рассчитано",T377&gt;0,R377&lt;100),(W377+P377+Q377)/(T377*(1-R377/100)),"н/д")</x:f>
        <x:v>н/д</x:v>
      </x:c>
      <x:c r="AD377" s="10" t="str">
        <x:f>IF(ISNUMBER(G377),IF(G377&lt;0,"Убыток",IF(G377=0,"Без прибыли","Прибыль &gt; 0")),"Не оценён")</x:f>
        <x:v>Не оценён</x:v>
      </x:c>
      <x:c r="AE377" s="13" t="str">
        <x:f>IF(J377="Рассчитано","Выручка "&amp;TEXT(V377,"0.00")&amp;" - себестоимость "&amp;TEXT(W377,"0.00")&amp;" - комиссия "&amp;TEXT(V377*R377/100,"0.00")&amp;" - доставка "&amp;TEXT(P377,"0.00")&amp;" - прочие "&amp;TEXT(Q377,"0.00")&amp;" = "&amp;TEXT(G377,"0.00")&amp;" "&amp;L377,"Введите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7" s="24" t="n">
        <x:v>0.9827540989076707</x:v>
      </x:c>
      <x:c r="AG377" s="37" t="n">
        <x:v>28</x:v>
      </x:c>
      <x:c r="AH377" s="37" t="n">
        <x:v>0</x:v>
      </x:c>
      <x:c r="AI377" s="30" t="n">
        <x:v>46266</x:v>
      </x:c>
      <x:c r="AJ377" s="37" t="n">
        <x:v>1</x:v>
      </x:c>
      <x:c r="AK377" s="10" t="str">
        <x:v>минимум</x:v>
      </x:c>
      <x:c r="AL377" s="32" t="n">
        <x:v>2422.8817111118665</x:v>
      </x:c>
      <x:c r="AM37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77" s="13" t="str">
        <x:v>Проверить свободный остаток и установить цену для B2B</x:v>
      </x:c>
      <x:c r="AO377" s="13" t="str">
        <x:v>Остаток 28; прогноз 90 дней 0.98; избыток 27 шт. Будущие поступления не выставляются на продажу. Остаток на начало сентября: требуется актуализация.</x:v>
      </x:c>
      <x:c r="AP377" s="13" t="str">
        <x:v>["category_missing", "daily_stockout_data_missing", "new_order_lead_time_unknown", "reservations_unknown", "stale_stock"]</x:v>
      </x:c>
      <x:c r="AQ377" s="10" t="str">
        <x:v>IEK:030201032_</x:v>
      </x:c>
      <x:c r="AR377" s="24" t="n">
        <x:v>1</x:v>
      </x:c>
      <x:c r="AS377" s="24" t="n">
        <x:v>0</x:v>
      </x:c>
      <x:c r="AT377" s="24" t="n">
        <x:v>0</x:v>
      </x:c>
    </x:row>
    <x:row r="378" ht="64" customHeight="1">
      <x:c r="A378" s="11" t="str">
        <x:v>IEK</x:v>
      </x:c>
      <x:c r="B378" s="33" t="str">
        <x:v>030201034_</x:v>
      </x:c>
      <x:c r="C378" s="33" t="str">
        <x:v>BR-M12-M-01-K49</x:v>
      </x:c>
      <x:c r="D378" s="12" t="str">
        <x:v>Рамка 1-мест. "BRITE"  металл латунь RE  IEK  (1/100)</x:v>
      </x:c>
      <x:c r="E378" s="11" t="str">
        <x:v>шт</x:v>
      </x:c>
      <x:c r="F378" s="35" t="n">
        <x:f>MAX(0,ROUNDDOWN((AG378-AF378)/AR378+0.000000001,0)*AR378)</x:f>
        <x:v>14</x:v>
      </x:c>
      <x:c r="G378" s="20" t="str">
        <x:f>IF(J378="Рассчитано",V378*(1-R378/100)-W378-P378-Q378,"н/д")</x:f>
        <x:v>н/д</x:v>
      </x:c>
      <x:c r="H378" s="12" t="str">
        <x:v>Высокий</x:v>
      </x:c>
      <x:c r="I378" s="12" t="str">
        <x:v>Высокий</x:v>
      </x:c>
      <x:c r="J378" s="12" t="str">
        <x:f>IF(L378="","Укажите валюту",IF(NOT(ISNUMBER(K378)),"Укажите объём",IF(K378&lt;=0,"Укажите объём",IF(K378&gt;F378,"Объём выше излишка",IF(COUNT(M378:O378)&lt;3,"Нужны цены",IF(COUNT(P378:R378)&lt;3,"Нужны расходы",IF(OR(M378&lt;0,N378&lt;0,O378&lt;0,O378&gt;100,P378&lt;0,Q378&lt;0,R378&lt;0,R378&gt;100),"Проверьте значения","Рассчитано")))))))</x:f>
        <x:v>Нужны цены</x:v>
      </x:c>
      <x:c r="K378" s="36" t="n">
        <x:v>14</x:v>
      </x:c>
      <x:c r="L378" s="19" t="str">
        <x:v>KZT</x:v>
      </x:c>
      <x:c r="M378" s="22"/>
      <x:c r="N378" s="22"/>
      <x:c r="O378" s="28"/>
      <x:c r="P378" s="22"/>
      <x:c r="Q378" s="22"/>
      <x:c r="R378" s="28"/>
      <x:c r="S378" s="22"/>
      <x:c r="T378" s="35" t="n">
        <x:f>K378</x:f>
        <x:v>14</x:v>
      </x:c>
      <x:c r="U378" s="20" t="str">
        <x:f>IF(J378="Рассчитано",N378*(1-O378/100),"н/д")</x:f>
        <x:v>н/д</x:v>
      </x:c>
      <x:c r="V378" s="20" t="str">
        <x:f>IF(J378="Рассчитано",T378*U378,"н/д")</x:f>
        <x:v>н/д</x:v>
      </x:c>
      <x:c r="W378" s="20" t="str">
        <x:f>IF(J378="Рассчитано",T378*M378,"н/д")</x:f>
        <x:v>н/д</x:v>
      </x:c>
      <x:c r="X378" s="20" t="str">
        <x:f>IF(J378="Рассчитано",V378-W378,"н/д")</x:f>
        <x:v>н/д</x:v>
      </x:c>
      <x:c r="Y378" s="26" t="str">
        <x:f>IF(J378="Рассчитано",IF(V378&gt;0,G378/V378,"н/д"),"н/д")</x:f>
        <x:v>н/д</x:v>
      </x:c>
      <x:c r="Z378" s="20" t="str">
        <x:f>"н/д"</x:f>
        <x:v>н/д</x:v>
      </x:c>
      <x:c r="AA378" s="20" t="str">
        <x:f>"н/д"</x:f>
        <x:v>н/д</x:v>
      </x:c>
      <x:c r="AB378" s="20" t="str">
        <x:f>"н/д"</x:f>
        <x:v>н/д</x:v>
      </x:c>
      <x:c r="AC378" s="20" t="str">
        <x:f>IF(AND(J378="Рассчитано",T378&gt;0,R378&lt;100),(W378+P378+Q378)/(T378*(1-R378/100)),"н/д")</x:f>
        <x:v>н/д</x:v>
      </x:c>
      <x:c r="AD378" s="11" t="str">
        <x:f>IF(ISNUMBER(G378),IF(G378&lt;0,"Убыток",IF(G378=0,"Без прибыли","Прибыль &gt; 0")),"Не оценён")</x:f>
        <x:v>Не оценён</x:v>
      </x:c>
      <x:c r="AE378" s="12" t="str">
        <x:f>IF(J378="Рассчитано","Выручка "&amp;TEXT(V378,"0.00")&amp;" - себестоимость "&amp;TEXT(W378,"0.00")&amp;" - комиссия "&amp;TEXT(V378*R378/100,"0.00")&amp;" - доставка "&amp;TEXT(P378,"0.00")&amp;" - прочие "&amp;TEXT(Q378,"0.00")&amp;" = "&amp;TEXT(G378,"0.00")&amp;" "&amp;L378,"Введите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8" s="23" t="n">
        <x:v>4.300194252470122</x:v>
      </x:c>
      <x:c r="AG378" s="35" t="n">
        <x:v>19</x:v>
      </x:c>
      <x:c r="AH378" s="35" t="n">
        <x:v>0</x:v>
      </x:c>
      <x:c r="AI378" s="29" t="n">
        <x:v>46266</x:v>
      </x:c>
      <x:c r="AJ378" s="35" t="n">
        <x:v>1</x:v>
      </x:c>
      <x:c r="AK378" s="11" t="str">
        <x:v>минимум</x:v>
      </x:c>
      <x:c r="AL378" s="31" t="n">
        <x:v>375.73752541628465</x:v>
      </x:c>
      <x:c r="AM37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78" s="12" t="str">
        <x:v>Проверить свободный остаток и установить цену для B2B</x:v>
      </x:c>
      <x:c r="AO378" s="12" t="str">
        <x:v>Остаток 19; прогноз 90 дней 4.30; избыток 14 шт. Будущие поступления не выставляются на продажу. Остаток на начало сентября: требуется актуализация.</x:v>
      </x:c>
      <x:c r="AP378" s="12" t="str">
        <x:v>["category_missing", "daily_stockout_data_missing", "new_order_lead_time_unknown", "reservations_unknown", "stale_stock"]</x:v>
      </x:c>
      <x:c r="AQ378" s="11" t="str">
        <x:v>IEK:030201034_</x:v>
      </x:c>
      <x:c r="AR378" s="23" t="n">
        <x:v>1</x:v>
      </x:c>
      <x:c r="AS378" s="23" t="n">
        <x:v>0</x:v>
      </x:c>
      <x:c r="AT378" s="23" t="n">
        <x:v>0</x:v>
      </x:c>
    </x:row>
    <x:row r="379" ht="64" customHeight="1">
      <x:c r="A379" s="10" t="str">
        <x:v>IEK</x:v>
      </x:c>
      <x:c r="B379" s="34" t="str">
        <x:v>030201035_</x:v>
      </x:c>
      <x:c r="C379" s="34" t="str">
        <x:v>BR-M22-M-01-K49</x:v>
      </x:c>
      <x:c r="D379" s="13" t="str">
        <x:v>Рамка 2-мест. "BRITE"  металл латунь RE  IEK  (1/100)</x:v>
      </x:c>
      <x:c r="E379" s="10" t="str">
        <x:v>шт</x:v>
      </x:c>
      <x:c r="F379" s="37" t="n">
        <x:f>MAX(0,ROUNDDOWN((AG379-AF379)/AR379+0.000000001,0)*AR379)</x:f>
        <x:v>12</x:v>
      </x:c>
      <x:c r="G379" s="21" t="str">
        <x:f>IF(J379="Рассчитано",V379*(1-R379/100)-W379-P379-Q379,"н/д")</x:f>
        <x:v>н/д</x:v>
      </x:c>
      <x:c r="H379" s="13" t="str">
        <x:v>Высокий</x:v>
      </x:c>
      <x:c r="I379" s="13" t="str">
        <x:v>Высокий</x:v>
      </x:c>
      <x:c r="J379" s="13" t="str">
        <x:f>IF(L379="","Укажите валюту",IF(NOT(ISNUMBER(K379)),"Укажите объём",IF(K379&lt;=0,"Укажите объём",IF(K379&gt;F379,"Объём выше излишка",IF(COUNT(M379:O379)&lt;3,"Нужны цены",IF(COUNT(P379:R379)&lt;3,"Нужны расходы",IF(OR(M379&lt;0,N379&lt;0,O379&lt;0,O379&gt;100,P379&lt;0,Q379&lt;0,R379&lt;0,R379&gt;100),"Проверьте значения","Рассчитано")))))))</x:f>
        <x:v>Нужны цены</x:v>
      </x:c>
      <x:c r="K379" s="36" t="n">
        <x:v>12</x:v>
      </x:c>
      <x:c r="L379" s="19" t="str">
        <x:v>KZT</x:v>
      </x:c>
      <x:c r="M379" s="22"/>
      <x:c r="N379" s="22"/>
      <x:c r="O379" s="28"/>
      <x:c r="P379" s="22"/>
      <x:c r="Q379" s="22"/>
      <x:c r="R379" s="28"/>
      <x:c r="S379" s="22"/>
      <x:c r="T379" s="37" t="n">
        <x:f>K379</x:f>
        <x:v>12</x:v>
      </x:c>
      <x:c r="U379" s="21" t="str">
        <x:f>IF(J379="Рассчитано",N379*(1-O379/100),"н/д")</x:f>
        <x:v>н/д</x:v>
      </x:c>
      <x:c r="V379" s="21" t="str">
        <x:f>IF(J379="Рассчитано",T379*U379,"н/д")</x:f>
        <x:v>н/д</x:v>
      </x:c>
      <x:c r="W379" s="21" t="str">
        <x:f>IF(J379="Рассчитано",T379*M379,"н/д")</x:f>
        <x:v>н/д</x:v>
      </x:c>
      <x:c r="X379" s="21" t="str">
        <x:f>IF(J379="Рассчитано",V379-W379,"н/д")</x:f>
        <x:v>н/д</x:v>
      </x:c>
      <x:c r="Y379" s="27" t="str">
        <x:f>IF(J379="Рассчитано",IF(V379&gt;0,G379/V379,"н/д"),"н/д")</x:f>
        <x:v>н/д</x:v>
      </x:c>
      <x:c r="Z379" s="21" t="str">
        <x:f>"н/д"</x:f>
        <x:v>н/д</x:v>
      </x:c>
      <x:c r="AA379" s="21" t="str">
        <x:f>"н/д"</x:f>
        <x:v>н/д</x:v>
      </x:c>
      <x:c r="AB379" s="21" t="str">
        <x:f>"н/д"</x:f>
        <x:v>н/д</x:v>
      </x:c>
      <x:c r="AC379" s="21" t="str">
        <x:f>IF(AND(J379="Рассчитано",T379&gt;0,R379&lt;100),(W379+P379+Q379)/(T379*(1-R379/100)),"н/д")</x:f>
        <x:v>н/д</x:v>
      </x:c>
      <x:c r="AD379" s="10" t="str">
        <x:f>IF(ISNUMBER(G379),IF(G379&lt;0,"Убыток",IF(G379=0,"Без прибыли","Прибыль &gt; 0")),"Не оценён")</x:f>
        <x:v>Не оценён</x:v>
      </x:c>
      <x:c r="AE379" s="13" t="str">
        <x:f>IF(J379="Рассчитано","Выручка "&amp;TEXT(V379,"0.00")&amp;" - себестоимость "&amp;TEXT(W379,"0.00")&amp;" - комиссия "&amp;TEXT(V379*R379/100,"0.00")&amp;" - доставка "&amp;TEXT(P379,"0.00")&amp;" - прочие "&amp;TEXT(Q379,"0.00")&amp;" = "&amp;TEXT(G379,"0.00")&amp;" "&amp;L379,"Введите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9" s="24" t="n">
        <x:v>0</x:v>
      </x:c>
      <x:c r="AG379" s="37" t="n">
        <x:v>12</x:v>
      </x:c>
      <x:c r="AH379" s="37" t="n">
        <x:v>0</x:v>
      </x:c>
      <x:c r="AI379" s="30" t="n">
        <x:v>46266</x:v>
      </x:c>
      <x:c r="AJ379" s="37" t="n">
        <x:v>1</x:v>
      </x:c>
      <x:c r="AK379" s="10" t="str">
        <x:v>минимум</x:v>
      </x:c>
      <x:c r="AL379" s="32" t="str">
        <x:v>н/д</x:v>
      </x:c>
      <x:c r="AM37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79" s="13" t="str">
        <x:v>Проверить свободный остаток и установить цену для B2B</x:v>
      </x:c>
      <x:c r="AO379" s="13" t="str">
        <x:v>Остаток 12; прогноз 90 дней 0.00; избыток 12 шт. Будущие поступления не выставляются на продажу. Остаток на начало сентября: требуется актуализация.</x:v>
      </x:c>
      <x:c r="AP379" s="13" t="str">
        <x:v>["category_missing", "daily_stockout_data_missing", "new_order_lead_time_unknown", "reservations_unknown", "stale_stock"]</x:v>
      </x:c>
      <x:c r="AQ379" s="10" t="str">
        <x:v>IEK:030201035_</x:v>
      </x:c>
      <x:c r="AR379" s="24" t="n">
        <x:v>1</x:v>
      </x:c>
      <x:c r="AS379" s="24" t="n">
        <x:v>0</x:v>
      </x:c>
      <x:c r="AT379" s="24" t="n">
        <x:v>0</x:v>
      </x:c>
    </x:row>
    <x:row r="380" ht="64" customHeight="1">
      <x:c r="A380" s="11" t="str">
        <x:v>IEK</x:v>
      </x:c>
      <x:c r="B380" s="33" t="str">
        <x:v>030201036_</x:v>
      </x:c>
      <x:c r="C380" s="33" t="str">
        <x:v>BR-M32-M-01-K49</x:v>
      </x:c>
      <x:c r="D380" s="12" t="str">
        <x:v>Рамка 3-мест. "BRITE"  металл латунь RE  IEK  (1/50)</x:v>
      </x:c>
      <x:c r="E380" s="11" t="str">
        <x:v>шт</x:v>
      </x:c>
      <x:c r="F380" s="35" t="n">
        <x:f>MAX(0,ROUNDDOWN((AG380-AF380)/AR380+0.000000001,0)*AR380)</x:f>
        <x:v>13</x:v>
      </x:c>
      <x:c r="G380" s="20" t="str">
        <x:f>IF(J380="Рассчитано",V380*(1-R380/100)-W380-P380-Q380,"н/д")</x:f>
        <x:v>н/д</x:v>
      </x:c>
      <x:c r="H380" s="12" t="str">
        <x:v>Высокий</x:v>
      </x:c>
      <x:c r="I380" s="12" t="str">
        <x:v>Высокий</x:v>
      </x:c>
      <x:c r="J380" s="12" t="str">
        <x:f>IF(L380="","Укажите валюту",IF(NOT(ISNUMBER(K380)),"Укажите объём",IF(K380&lt;=0,"Укажите объём",IF(K380&gt;F380,"Объём выше излишка",IF(COUNT(M380:O380)&lt;3,"Нужны цены",IF(COUNT(P380:R380)&lt;3,"Нужны расходы",IF(OR(M380&lt;0,N380&lt;0,O380&lt;0,O380&gt;100,P380&lt;0,Q380&lt;0,R380&lt;0,R380&gt;100),"Проверьте значения","Рассчитано")))))))</x:f>
        <x:v>Нужны цены</x:v>
      </x:c>
      <x:c r="K380" s="36" t="n">
        <x:v>13</x:v>
      </x:c>
      <x:c r="L380" s="19" t="str">
        <x:v>KZT</x:v>
      </x:c>
      <x:c r="M380" s="22"/>
      <x:c r="N380" s="22"/>
      <x:c r="O380" s="28"/>
      <x:c r="P380" s="22"/>
      <x:c r="Q380" s="22"/>
      <x:c r="R380" s="28"/>
      <x:c r="S380" s="22"/>
      <x:c r="T380" s="35" t="n">
        <x:f>K380</x:f>
        <x:v>13</x:v>
      </x:c>
      <x:c r="U380" s="20" t="str">
        <x:f>IF(J380="Рассчитано",N380*(1-O380/100),"н/д")</x:f>
        <x:v>н/д</x:v>
      </x:c>
      <x:c r="V380" s="20" t="str">
        <x:f>IF(J380="Рассчитано",T380*U380,"н/д")</x:f>
        <x:v>н/д</x:v>
      </x:c>
      <x:c r="W380" s="20" t="str">
        <x:f>IF(J380="Рассчитано",T380*M380,"н/д")</x:f>
        <x:v>н/д</x:v>
      </x:c>
      <x:c r="X380" s="20" t="str">
        <x:f>IF(J380="Рассчитано",V380-W380,"н/д")</x:f>
        <x:v>н/д</x:v>
      </x:c>
      <x:c r="Y380" s="26" t="str">
        <x:f>IF(J380="Рассчитано",IF(V380&gt;0,G380/V380,"н/д"),"н/д")</x:f>
        <x:v>н/д</x:v>
      </x:c>
      <x:c r="Z380" s="20" t="str">
        <x:f>"н/д"</x:f>
        <x:v>н/д</x:v>
      </x:c>
      <x:c r="AA380" s="20" t="str">
        <x:f>"н/д"</x:f>
        <x:v>н/д</x:v>
      </x:c>
      <x:c r="AB380" s="20" t="str">
        <x:f>"н/д"</x:f>
        <x:v>н/д</x:v>
      </x:c>
      <x:c r="AC380" s="20" t="str">
        <x:f>IF(AND(J380="Рассчитано",T380&gt;0,R380&lt;100),(W380+P380+Q380)/(T380*(1-R380/100)),"н/д")</x:f>
        <x:v>н/д</x:v>
      </x:c>
      <x:c r="AD380" s="11" t="str">
        <x:f>IF(ISNUMBER(G380),IF(G380&lt;0,"Убыток",IF(G380=0,"Без прибыли","Прибыль &gt; 0")),"Не оценён")</x:f>
        <x:v>Не оценён</x:v>
      </x:c>
      <x:c r="AE380" s="12" t="str">
        <x:f>IF(J380="Рассчитано","Выручка "&amp;TEXT(V380,"0.00")&amp;" - себестоимость "&amp;TEXT(W380,"0.00")&amp;" - комиссия "&amp;TEXT(V380*R380/100,"0.00")&amp;" - доставка "&amp;TEXT(P380,"0.00")&amp;" - прочие "&amp;TEXT(Q380,"0.00")&amp;" = "&amp;TEXT(G380,"0.00")&amp;" "&amp;L380,"Введите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0" s="23" t="n">
        <x:v>0</x:v>
      </x:c>
      <x:c r="AG380" s="35" t="n">
        <x:v>13</x:v>
      </x:c>
      <x:c r="AH380" s="35" t="n">
        <x:v>0</x:v>
      </x:c>
      <x:c r="AI380" s="29" t="n">
        <x:v>46266</x:v>
      </x:c>
      <x:c r="AJ380" s="35" t="n">
        <x:v>1</x:v>
      </x:c>
      <x:c r="AK380" s="11" t="str">
        <x:v>минимум</x:v>
      </x:c>
      <x:c r="AL380" s="31" t="str">
        <x:v>н/д</x:v>
      </x:c>
      <x:c r="AM38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80" s="12" t="str">
        <x:v>Проверить свободный остаток и установить цену для B2B</x:v>
      </x:c>
      <x:c r="AO380" s="12" t="str">
        <x:v>Остаток 13; прогноз 90 дней 0.00; избыток 13 шт. Будущие поступления не выставляются на продажу. Остаток на начало сентября: требуется актуализация.</x:v>
      </x:c>
      <x:c r="AP380" s="12" t="str">
        <x:v>["category_missing", "daily_stockout_data_missing", "negative_net_sales_clipped_for_forecast", "new_order_lead_time_unknown", "reservations_unknown", "stale_stock"]</x:v>
      </x:c>
      <x:c r="AQ380" s="11" t="str">
        <x:v>IEK:030201036_</x:v>
      </x:c>
      <x:c r="AR380" s="23" t="n">
        <x:v>1</x:v>
      </x:c>
      <x:c r="AS380" s="23" t="n">
        <x:v>0</x:v>
      </x:c>
      <x:c r="AT380" s="23" t="n">
        <x:v>0</x:v>
      </x:c>
    </x:row>
    <x:row r="381" ht="64" customHeight="1">
      <x:c r="A381" s="10" t="str">
        <x:v>IEK</x:v>
      </x:c>
      <x:c r="B381" s="34" t="str">
        <x:v>030201037_</x:v>
      </x:c>
      <x:c r="C381" s="34" t="str">
        <x:v>BR-M42-M-01-K49</x:v>
      </x:c>
      <x:c r="D381" s="13" t="str">
        <x:v>Рамка 4-мест. "BRITE"  металл латунь RE  IEK  (1/50)</x:v>
      </x:c>
      <x:c r="E381" s="10" t="str">
        <x:v>шт</x:v>
      </x:c>
      <x:c r="F381" s="37" t="n">
        <x:f>MAX(0,ROUNDDOWN((AG381-AF381)/AR381+0.000000001,0)*AR381)</x:f>
        <x:v>7</x:v>
      </x:c>
      <x:c r="G381" s="21" t="str">
        <x:f>IF(J381="Рассчитано",V381*(1-R381/100)-W381-P381-Q381,"н/д")</x:f>
        <x:v>н/д</x:v>
      </x:c>
      <x:c r="H381" s="13" t="str">
        <x:v>Высокий</x:v>
      </x:c>
      <x:c r="I381" s="13" t="str">
        <x:v>Высокий</x:v>
      </x:c>
      <x:c r="J381" s="13" t="str">
        <x:f>IF(L381="","Укажите валюту",IF(NOT(ISNUMBER(K381)),"Укажите объём",IF(K381&lt;=0,"Укажите объём",IF(K381&gt;F381,"Объём выше излишка",IF(COUNT(M381:O381)&lt;3,"Нужны цены",IF(COUNT(P381:R381)&lt;3,"Нужны расходы",IF(OR(M381&lt;0,N381&lt;0,O381&lt;0,O381&gt;100,P381&lt;0,Q381&lt;0,R381&lt;0,R381&gt;100),"Проверьте значения","Рассчитано")))))))</x:f>
        <x:v>Нужны цены</x:v>
      </x:c>
      <x:c r="K381" s="36" t="n">
        <x:v>7</x:v>
      </x:c>
      <x:c r="L381" s="19" t="str">
        <x:v>KZT</x:v>
      </x:c>
      <x:c r="M381" s="22"/>
      <x:c r="N381" s="22"/>
      <x:c r="O381" s="28"/>
      <x:c r="P381" s="22"/>
      <x:c r="Q381" s="22"/>
      <x:c r="R381" s="28"/>
      <x:c r="S381" s="22"/>
      <x:c r="T381" s="37" t="n">
        <x:f>K381</x:f>
        <x:v>7</x:v>
      </x:c>
      <x:c r="U381" s="21" t="str">
        <x:f>IF(J381="Рассчитано",N381*(1-O381/100),"н/д")</x:f>
        <x:v>н/д</x:v>
      </x:c>
      <x:c r="V381" s="21" t="str">
        <x:f>IF(J381="Рассчитано",T381*U381,"н/д")</x:f>
        <x:v>н/д</x:v>
      </x:c>
      <x:c r="W381" s="21" t="str">
        <x:f>IF(J381="Рассчитано",T381*M381,"н/д")</x:f>
        <x:v>н/д</x:v>
      </x:c>
      <x:c r="X381" s="21" t="str">
        <x:f>IF(J381="Рассчитано",V381-W381,"н/д")</x:f>
        <x:v>н/д</x:v>
      </x:c>
      <x:c r="Y381" s="27" t="str">
        <x:f>IF(J381="Рассчитано",IF(V381&gt;0,G381/V381,"н/д"),"н/д")</x:f>
        <x:v>н/д</x:v>
      </x:c>
      <x:c r="Z381" s="21" t="str">
        <x:f>"н/д"</x:f>
        <x:v>н/д</x:v>
      </x:c>
      <x:c r="AA381" s="21" t="str">
        <x:f>"н/д"</x:f>
        <x:v>н/д</x:v>
      </x:c>
      <x:c r="AB381" s="21" t="str">
        <x:f>"н/д"</x:f>
        <x:v>н/д</x:v>
      </x:c>
      <x:c r="AC381" s="21" t="str">
        <x:f>IF(AND(J381="Рассчитано",T381&gt;0,R381&lt;100),(W381+P381+Q381)/(T381*(1-R381/100)),"н/д")</x:f>
        <x:v>н/д</x:v>
      </x:c>
      <x:c r="AD381" s="10" t="str">
        <x:f>IF(ISNUMBER(G381),IF(G381&lt;0,"Убыток",IF(G381=0,"Без прибыли","Прибыль &gt; 0")),"Не оценён")</x:f>
        <x:v>Не оценён</x:v>
      </x:c>
      <x:c r="AE381" s="13" t="str">
        <x:f>IF(J381="Рассчитано","Выручка "&amp;TEXT(V381,"0.00")&amp;" - себестоимость "&amp;TEXT(W381,"0.00")&amp;" - комиссия "&amp;TEXT(V381*R381/100,"0.00")&amp;" - доставка "&amp;TEXT(P381,"0.00")&amp;" - прочие "&amp;TEXT(Q381,"0.00")&amp;" = "&amp;TEXT(G381,"0.00")&amp;" "&amp;L381,"Введите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1" s="24" t="n">
        <x:v>0</x:v>
      </x:c>
      <x:c r="AG381" s="37" t="n">
        <x:v>7</x:v>
      </x:c>
      <x:c r="AH381" s="37" t="n">
        <x:v>0</x:v>
      </x:c>
      <x:c r="AI381" s="30" t="n">
        <x:v>46266</x:v>
      </x:c>
      <x:c r="AJ381" s="37" t="n">
        <x:v>1</x:v>
      </x:c>
      <x:c r="AK381" s="10" t="str">
        <x:v>минимум</x:v>
      </x:c>
      <x:c r="AL381" s="32" t="str">
        <x:v>н/д</x:v>
      </x:c>
      <x:c r="AM38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81" s="13" t="str">
        <x:v>Проверить свободный остаток и установить цену для B2B</x:v>
      </x:c>
      <x:c r="AO381" s="13" t="str">
        <x:v>Остаток 7; прогноз 90 дней 0.00; избыток 7 шт. Будущие поступления не выставляются на продажу. Остаток на начало сентября: требуется актуализация.</x:v>
      </x:c>
      <x:c r="AP381" s="13" t="str">
        <x:v>["category_missing", "daily_stockout_data_missing", "new_order_lead_time_unknown", "reservations_unknown", "stale_stock"]</x:v>
      </x:c>
      <x:c r="AQ381" s="10" t="str">
        <x:v>IEK:030201037_</x:v>
      </x:c>
      <x:c r="AR381" s="24" t="n">
        <x:v>1</x:v>
      </x:c>
      <x:c r="AS381" s="24" t="n">
        <x:v>0</x:v>
      </x:c>
      <x:c r="AT381" s="24" t="n">
        <x:v>0</x:v>
      </x:c>
    </x:row>
    <x:row r="382" ht="64" customHeight="1">
      <x:c r="A382" s="11" t="str">
        <x:v>IEK</x:v>
      </x:c>
      <x:c r="B382" s="33" t="str">
        <x:v>030201049_</x:v>
      </x:c>
      <x:c r="C382" s="33" t="str">
        <x:v>BR-V13-0-10-K45</x:v>
      </x:c>
      <x:c r="D382" s="12" t="str">
        <x:v>BRITE Выключатель 1-клавишный перекрестный 10А ВС10-1-3-БрТБ темная бронза IEK</x:v>
      </x:c>
      <x:c r="E382" s="11" t="str">
        <x:v>шт</x:v>
      </x:c>
      <x:c r="F382" s="35" t="n">
        <x:f>MAX(0,ROUNDDOWN((AG382-AF382)/AR382+0.000000001,0)*AR382)</x:f>
        <x:v>81</x:v>
      </x:c>
      <x:c r="G382" s="20" t="str">
        <x:f>IF(J382="Рассчитано",V382*(1-R382/100)-W382-P382-Q382,"н/д")</x:f>
        <x:v>н/д</x:v>
      </x:c>
      <x:c r="H382" s="12" t="str">
        <x:v>Высокий</x:v>
      </x:c>
      <x:c r="I382" s="12" t="str">
        <x:v>Высокий</x:v>
      </x:c>
      <x:c r="J382" s="12" t="str">
        <x:f>IF(L382="","Укажите валюту",IF(NOT(ISNUMBER(K382)),"Укажите объём",IF(K382&lt;=0,"Укажите объём",IF(K382&gt;F382,"Объём выше излишка",IF(COUNT(M382:O382)&lt;3,"Нужны цены",IF(COUNT(P382:R382)&lt;3,"Нужны расходы",IF(OR(M382&lt;0,N382&lt;0,O382&lt;0,O382&gt;100,P382&lt;0,Q382&lt;0,R382&lt;0,R382&gt;100),"Проверьте значения","Рассчитано")))))))</x:f>
        <x:v>Нужны цены</x:v>
      </x:c>
      <x:c r="K382" s="36" t="n">
        <x:v>81</x:v>
      </x:c>
      <x:c r="L382" s="19" t="str">
        <x:v>KZT</x:v>
      </x:c>
      <x:c r="M382" s="22"/>
      <x:c r="N382" s="22"/>
      <x:c r="O382" s="28"/>
      <x:c r="P382" s="22"/>
      <x:c r="Q382" s="22"/>
      <x:c r="R382" s="28"/>
      <x:c r="S382" s="22"/>
      <x:c r="T382" s="35" t="n">
        <x:f>K382</x:f>
        <x:v>81</x:v>
      </x:c>
      <x:c r="U382" s="20" t="str">
        <x:f>IF(J382="Рассчитано",N382*(1-O382/100),"н/д")</x:f>
        <x:v>н/д</x:v>
      </x:c>
      <x:c r="V382" s="20" t="str">
        <x:f>IF(J382="Рассчитано",T382*U382,"н/д")</x:f>
        <x:v>н/д</x:v>
      </x:c>
      <x:c r="W382" s="20" t="str">
        <x:f>IF(J382="Рассчитано",T382*M382,"н/д")</x:f>
        <x:v>н/д</x:v>
      </x:c>
      <x:c r="X382" s="20" t="str">
        <x:f>IF(J382="Рассчитано",V382-W382,"н/д")</x:f>
        <x:v>н/д</x:v>
      </x:c>
      <x:c r="Y382" s="26" t="str">
        <x:f>IF(J382="Рассчитано",IF(V382&gt;0,G382/V382,"н/д"),"н/д")</x:f>
        <x:v>н/д</x:v>
      </x:c>
      <x:c r="Z382" s="20" t="str">
        <x:f>"н/д"</x:f>
        <x:v>н/д</x:v>
      </x:c>
      <x:c r="AA382" s="20" t="str">
        <x:f>"н/д"</x:f>
        <x:v>н/д</x:v>
      </x:c>
      <x:c r="AB382" s="20" t="str">
        <x:f>"н/д"</x:f>
        <x:v>н/д</x:v>
      </x:c>
      <x:c r="AC382" s="20" t="str">
        <x:f>IF(AND(J382="Рассчитано",T382&gt;0,R382&lt;100),(W382+P382+Q382)/(T382*(1-R382/100)),"н/д")</x:f>
        <x:v>н/д</x:v>
      </x:c>
      <x:c r="AD382" s="11" t="str">
        <x:f>IF(ISNUMBER(G382),IF(G382&lt;0,"Убыток",IF(G382=0,"Без прибыли","Прибыль &gt; 0")),"Не оценён")</x:f>
        <x:v>Не оценён</x:v>
      </x:c>
      <x:c r="AE382" s="12" t="str">
        <x:f>IF(J382="Рассчитано","Выручка "&amp;TEXT(V382,"0.00")&amp;" - себестоимость "&amp;TEXT(W382,"0.00")&amp;" - комиссия "&amp;TEXT(V382*R382/100,"0.00")&amp;" - доставка "&amp;TEXT(P382,"0.00")&amp;" - прочие "&amp;TEXT(Q382,"0.00")&amp;" = "&amp;TEXT(G382,"0.00")&amp;" "&amp;L382,"Введите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2" s="23" t="n">
        <x:v>1.9638735317480431</x:v>
      </x:c>
      <x:c r="AG382" s="35" t="n">
        <x:v>83</x:v>
      </x:c>
      <x:c r="AH382" s="35" t="n">
        <x:v>0</x:v>
      </x:c>
      <x:c r="AI382" s="29" t="n">
        <x:v>46266</x:v>
      </x:c>
      <x:c r="AJ382" s="35" t="n">
        <x:v>1</x:v>
      </x:c>
      <x:c r="AK382" s="11" t="str">
        <x:v>минимум</x:v>
      </x:c>
      <x:c r="AL382" s="31" t="n">
        <x:v>3594.045903678011</x:v>
      </x:c>
      <x:c r="AM38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82" s="12" t="str">
        <x:v>Проверить свободный остаток и установить цену для B2B</x:v>
      </x:c>
      <x:c r="AO382" s="12" t="str">
        <x:v>Остаток 83; прогноз 90 дней 1.96; избыток 81 шт. Будущие поступления не выставляются на продажу. Остаток на начало сентября: требуется актуализация.</x:v>
      </x:c>
      <x:c r="AP382" s="12" t="str">
        <x:v>["category_missing", "daily_stockout_data_missing", "new_order_lead_time_unknown", "reservations_unknown", "stale_stock"]</x:v>
      </x:c>
      <x:c r="AQ382" s="11" t="str">
        <x:v>IEK:030201049_</x:v>
      </x:c>
      <x:c r="AR382" s="23" t="n">
        <x:v>1</x:v>
      </x:c>
      <x:c r="AS382" s="23" t="n">
        <x:v>0</x:v>
      </x:c>
      <x:c r="AT382" s="23" t="n">
        <x:v>0</x:v>
      </x:c>
    </x:row>
    <x:row r="383" ht="64" customHeight="1">
      <x:c r="A383" s="10" t="str">
        <x:v>IEK</x:v>
      </x:c>
      <x:c r="B383" s="34" t="str">
        <x:v>030201052_</x:v>
      </x:c>
      <x:c r="C383" s="34" t="str">
        <x:v>BR-M12-12-K01</x:v>
      </x:c>
      <x:c r="D383" s="13" t="str">
        <x:v>Рамка 1-мест. "BRITE"  бел./бел.  IEK  (1/100)</x:v>
      </x:c>
      <x:c r="E383" s="10" t="str">
        <x:v>шт</x:v>
      </x:c>
      <x:c r="F383" s="37" t="n">
        <x:f>MAX(0,ROUNDDOWN((AG383-AF383)/AR383+0.000000001,0)*AR383)</x:f>
        <x:v>25</x:v>
      </x:c>
      <x:c r="G383" s="21" t="str">
        <x:f>IF(J383="Рассчитано",V383*(1-R383/100)-W383-P383-Q383,"н/д")</x:f>
        <x:v>н/д</x:v>
      </x:c>
      <x:c r="H383" s="13" t="str">
        <x:v>Высокий</x:v>
      </x:c>
      <x:c r="I383" s="13" t="str">
        <x:v>Высокий</x:v>
      </x:c>
      <x:c r="J383" s="13" t="str">
        <x:f>IF(L383="","Укажите валюту",IF(NOT(ISNUMBER(K383)),"Укажите объём",IF(K383&lt;=0,"Укажите объём",IF(K383&gt;F383,"Объём выше излишка",IF(COUNT(M383:O383)&lt;3,"Нужны цены",IF(COUNT(P383:R383)&lt;3,"Нужны расходы",IF(OR(M383&lt;0,N383&lt;0,O383&lt;0,O383&gt;100,P383&lt;0,Q383&lt;0,R383&lt;0,R383&gt;100),"Проверьте значения","Рассчитано")))))))</x:f>
        <x:v>Нужны цены</x:v>
      </x:c>
      <x:c r="K383" s="36" t="n">
        <x:v>25</x:v>
      </x:c>
      <x:c r="L383" s="19" t="str">
        <x:v>KZT</x:v>
      </x:c>
      <x:c r="M383" s="22"/>
      <x:c r="N383" s="22"/>
      <x:c r="O383" s="28"/>
      <x:c r="P383" s="22"/>
      <x:c r="Q383" s="22"/>
      <x:c r="R383" s="28"/>
      <x:c r="S383" s="22"/>
      <x:c r="T383" s="37" t="n">
        <x:f>K383</x:f>
        <x:v>25</x:v>
      </x:c>
      <x:c r="U383" s="21" t="str">
        <x:f>IF(J383="Рассчитано",N383*(1-O383/100),"н/д")</x:f>
        <x:v>н/д</x:v>
      </x:c>
      <x:c r="V383" s="21" t="str">
        <x:f>IF(J383="Рассчитано",T383*U383,"н/д")</x:f>
        <x:v>н/д</x:v>
      </x:c>
      <x:c r="W383" s="21" t="str">
        <x:f>IF(J383="Рассчитано",T383*M383,"н/д")</x:f>
        <x:v>н/д</x:v>
      </x:c>
      <x:c r="X383" s="21" t="str">
        <x:f>IF(J383="Рассчитано",V383-W383,"н/д")</x:f>
        <x:v>н/д</x:v>
      </x:c>
      <x:c r="Y383" s="27" t="str">
        <x:f>IF(J383="Рассчитано",IF(V383&gt;0,G383/V383,"н/д"),"н/д")</x:f>
        <x:v>н/д</x:v>
      </x:c>
      <x:c r="Z383" s="21" t="str">
        <x:f>"н/д"</x:f>
        <x:v>н/д</x:v>
      </x:c>
      <x:c r="AA383" s="21" t="str">
        <x:f>"н/д"</x:f>
        <x:v>н/д</x:v>
      </x:c>
      <x:c r="AB383" s="21" t="str">
        <x:f>"н/д"</x:f>
        <x:v>н/д</x:v>
      </x:c>
      <x:c r="AC383" s="21" t="str">
        <x:f>IF(AND(J383="Рассчитано",T383&gt;0,R383&lt;100),(W383+P383+Q383)/(T383*(1-R383/100)),"н/д")</x:f>
        <x:v>н/д</x:v>
      </x:c>
      <x:c r="AD383" s="10" t="str">
        <x:f>IF(ISNUMBER(G383),IF(G383&lt;0,"Убыток",IF(G383=0,"Без прибыли","Прибыль &gt; 0")),"Не оценён")</x:f>
        <x:v>Не оценён</x:v>
      </x:c>
      <x:c r="AE383" s="13" t="str">
        <x:f>IF(J383="Рассчитано","Выручка "&amp;TEXT(V383,"0.00")&amp;" - себестоимость "&amp;TEXT(W383,"0.00")&amp;" - комиссия "&amp;TEXT(V383*R383/100,"0.00")&amp;" - доставка "&amp;TEXT(P383,"0.00")&amp;" - прочие "&amp;TEXT(Q383,"0.00")&amp;" = "&amp;TEXT(G383,"0.00")&amp;" "&amp;L383,"Введите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3" s="24" t="n">
        <x:v>0.18870878185377274</x:v>
      </x:c>
      <x:c r="AG383" s="37" t="n">
        <x:v>26</x:v>
      </x:c>
      <x:c r="AH383" s="37" t="n">
        <x:v>0</x:v>
      </x:c>
      <x:c r="AI383" s="30" t="n">
        <x:v>46266</x:v>
      </x:c>
      <x:c r="AJ383" s="37" t="n">
        <x:v>1</x:v>
      </x:c>
      <x:c r="AK383" s="10" t="str">
        <x:v>минимум</x:v>
      </x:c>
      <x:c r="AL383" s="32" t="n">
        <x:v>11716.56432044927</x:v>
      </x:c>
      <x:c r="AM3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83" s="13" t="str">
        <x:v>Проверить свободный остаток и установить цену для B2B</x:v>
      </x:c>
      <x:c r="AO383" s="13" t="str">
        <x:v>Остаток 26; прогноз 90 дней 0.19; избыток 25 шт. Будущие поступления не выставляются на продажу. Остаток на начало сентября: требуется актуализация.</x:v>
      </x:c>
      <x:c r="AP383" s="13" t="str">
        <x:v>["category_missing", "daily_stockout_data_missing", "new_order_lead_time_unknown", "reservations_unknown", "stale_stock"]</x:v>
      </x:c>
      <x:c r="AQ383" s="10" t="str">
        <x:v>IEK:030201052_</x:v>
      </x:c>
      <x:c r="AR383" s="24" t="n">
        <x:v>1</x:v>
      </x:c>
      <x:c r="AS383" s="24" t="n">
        <x:v>0</x:v>
      </x:c>
      <x:c r="AT383" s="24" t="n">
        <x:v>0</x:v>
      </x:c>
    </x:row>
    <x:row r="384" ht="64" customHeight="1">
      <x:c r="A384" s="11" t="str">
        <x:v>IEK</x:v>
      </x:c>
      <x:c r="B384" s="33" t="str">
        <x:v>030201053_</x:v>
      </x:c>
      <x:c r="C384" s="33" t="str">
        <x:v>BR-M22-12-K01</x:v>
      </x:c>
      <x:c r="D384" s="12" t="str">
        <x:v>Рамка 2-мест. "BRITE"  бел./бел.  IEK  (1/100)</x:v>
      </x:c>
      <x:c r="E384" s="11" t="str">
        <x:v>шт</x:v>
      </x:c>
      <x:c r="F384" s="35" t="n">
        <x:f>MAX(0,ROUNDDOWN((AG384-AF384)/AR384+0.000000001,0)*AR384)</x:f>
        <x:v>9</x:v>
      </x:c>
      <x:c r="G384" s="20" t="str">
        <x:f>IF(J384="Рассчитано",V384*(1-R384/100)-W384-P384-Q384,"н/д")</x:f>
        <x:v>н/д</x:v>
      </x:c>
      <x:c r="H384" s="12" t="str">
        <x:v>Высокий</x:v>
      </x:c>
      <x:c r="I384" s="12" t="str">
        <x:v>Высокий</x:v>
      </x:c>
      <x:c r="J384" s="12" t="str">
        <x:f>IF(L384="","Укажите валюту",IF(NOT(ISNUMBER(K384)),"Укажите объём",IF(K384&lt;=0,"Укажите объём",IF(K384&gt;F384,"Объём выше излишка",IF(COUNT(M384:O384)&lt;3,"Нужны цены",IF(COUNT(P384:R384)&lt;3,"Нужны расходы",IF(OR(M384&lt;0,N384&lt;0,O384&lt;0,O384&gt;100,P384&lt;0,Q384&lt;0,R384&lt;0,R384&gt;100),"Проверьте значения","Рассчитано")))))))</x:f>
        <x:v>Нужны цены</x:v>
      </x:c>
      <x:c r="K384" s="36" t="n">
        <x:v>9</x:v>
      </x:c>
      <x:c r="L384" s="19" t="str">
        <x:v>KZT</x:v>
      </x:c>
      <x:c r="M384" s="22"/>
      <x:c r="N384" s="22"/>
      <x:c r="O384" s="28"/>
      <x:c r="P384" s="22"/>
      <x:c r="Q384" s="22"/>
      <x:c r="R384" s="28"/>
      <x:c r="S384" s="22"/>
      <x:c r="T384" s="35" t="n">
        <x:f>K384</x:f>
        <x:v>9</x:v>
      </x:c>
      <x:c r="U384" s="20" t="str">
        <x:f>IF(J384="Рассчитано",N384*(1-O384/100),"н/д")</x:f>
        <x:v>н/д</x:v>
      </x:c>
      <x:c r="V384" s="20" t="str">
        <x:f>IF(J384="Рассчитано",T384*U384,"н/д")</x:f>
        <x:v>н/д</x:v>
      </x:c>
      <x:c r="W384" s="20" t="str">
        <x:f>IF(J384="Рассчитано",T384*M384,"н/д")</x:f>
        <x:v>н/д</x:v>
      </x:c>
      <x:c r="X384" s="20" t="str">
        <x:f>IF(J384="Рассчитано",V384-W384,"н/д")</x:f>
        <x:v>н/д</x:v>
      </x:c>
      <x:c r="Y384" s="26" t="str">
        <x:f>IF(J384="Рассчитано",IF(V384&gt;0,G384/V384,"н/д"),"н/д")</x:f>
        <x:v>н/д</x:v>
      </x:c>
      <x:c r="Z384" s="20" t="str">
        <x:f>"н/д"</x:f>
        <x:v>н/д</x:v>
      </x:c>
      <x:c r="AA384" s="20" t="str">
        <x:f>"н/д"</x:f>
        <x:v>н/д</x:v>
      </x:c>
      <x:c r="AB384" s="20" t="str">
        <x:f>"н/д"</x:f>
        <x:v>н/д</x:v>
      </x:c>
      <x:c r="AC384" s="20" t="str">
        <x:f>IF(AND(J384="Рассчитано",T384&gt;0,R384&lt;100),(W384+P384+Q384)/(T384*(1-R384/100)),"н/д")</x:f>
        <x:v>н/д</x:v>
      </x:c>
      <x:c r="AD384" s="11" t="str">
        <x:f>IF(ISNUMBER(G384),IF(G384&lt;0,"Убыток",IF(G384=0,"Без прибыли","Прибыль &gt; 0")),"Не оценён")</x:f>
        <x:v>Не оценён</x:v>
      </x:c>
      <x:c r="AE384" s="12" t="str">
        <x:f>IF(J384="Рассчитано","Выручка "&amp;TEXT(V384,"0.00")&amp;" - себестоимость "&amp;TEXT(W384,"0.00")&amp;" - комиссия "&amp;TEXT(V384*R384/100,"0.00")&amp;" - доставка "&amp;TEXT(P384,"0.00")&amp;" - прочие "&amp;TEXT(Q384,"0.00")&amp;" = "&amp;TEXT(G384,"0.00")&amp;" "&amp;L384,"Введите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4" s="23" t="n">
        <x:v>0</x:v>
      </x:c>
      <x:c r="AG384" s="35" t="n">
        <x:v>9</x:v>
      </x:c>
      <x:c r="AH384" s="35" t="n">
        <x:v>0</x:v>
      </x:c>
      <x:c r="AI384" s="29" t="n">
        <x:v>46266</x:v>
      </x:c>
      <x:c r="AJ384" s="35" t="n">
        <x:v>1</x:v>
      </x:c>
      <x:c r="AK384" s="11" t="str">
        <x:v>минимум</x:v>
      </x:c>
      <x:c r="AL384" s="31" t="str">
        <x:v>н/д</x:v>
      </x:c>
      <x:c r="AM38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84" s="12" t="str">
        <x:v>Проверить свободный остаток и установить цену для B2B</x:v>
      </x:c>
      <x:c r="AO384" s="12" t="str">
        <x:v>Остаток 9; прогноз 90 дней 0.00; избыток 9 шт. Будущие поступления не выставляются на продажу. Остаток на начало сентября: требуется актуализация.</x:v>
      </x:c>
      <x:c r="AP384" s="12" t="str">
        <x:v>["category_missing", "daily_stockout_data_missing", "new_order_lead_time_unknown", "reservations_unknown", "stale_stock"]</x:v>
      </x:c>
      <x:c r="AQ384" s="11" t="str">
        <x:v>IEK:030201053_</x:v>
      </x:c>
      <x:c r="AR384" s="23" t="n">
        <x:v>1</x:v>
      </x:c>
      <x:c r="AS384" s="23" t="n">
        <x:v>0</x:v>
      </x:c>
      <x:c r="AT384" s="23" t="n">
        <x:v>0</x:v>
      </x:c>
    </x:row>
    <x:row r="385" ht="64" customHeight="1">
      <x:c r="A385" s="10" t="str">
        <x:v>IEK</x:v>
      </x:c>
      <x:c r="B385" s="34" t="str">
        <x:v>030201054_</x:v>
      </x:c>
      <x:c r="C385" s="34" t="str">
        <x:v>BR-M32-12-K01</x:v>
      </x:c>
      <x:c r="D385" s="13" t="str">
        <x:v>Рамка 3-мест. "BRITE"  бел./бел.  IEK  (1/100)</x:v>
      </x:c>
      <x:c r="E385" s="10" t="str">
        <x:v>шт</x:v>
      </x:c>
      <x:c r="F385" s="37" t="n">
        <x:f>MAX(0,ROUNDDOWN((AG385-AF385)/AR385+0.000000001,0)*AR385)</x:f>
        <x:v>12</x:v>
      </x:c>
      <x:c r="G385" s="21" t="str">
        <x:f>IF(J385="Рассчитано",V385*(1-R385/100)-W385-P385-Q385,"н/д")</x:f>
        <x:v>н/д</x:v>
      </x:c>
      <x:c r="H385" s="13" t="str">
        <x:v>Высокий</x:v>
      </x:c>
      <x:c r="I385" s="13" t="str">
        <x:v>Высокий</x:v>
      </x:c>
      <x:c r="J385" s="13" t="str">
        <x:f>IF(L385="","Укажите валюту",IF(NOT(ISNUMBER(K385)),"Укажите объём",IF(K385&lt;=0,"Укажите объём",IF(K385&gt;F385,"Объём выше излишка",IF(COUNT(M385:O385)&lt;3,"Нужны цены",IF(COUNT(P385:R385)&lt;3,"Нужны расходы",IF(OR(M385&lt;0,N385&lt;0,O385&lt;0,O385&gt;100,P385&lt;0,Q385&lt;0,R385&lt;0,R385&gt;100),"Проверьте значения","Рассчитано")))))))</x:f>
        <x:v>Нужны цены</x:v>
      </x:c>
      <x:c r="K385" s="36" t="n">
        <x:v>12</x:v>
      </x:c>
      <x:c r="L385" s="19" t="str">
        <x:v>KZT</x:v>
      </x:c>
      <x:c r="M385" s="22"/>
      <x:c r="N385" s="22"/>
      <x:c r="O385" s="28"/>
      <x:c r="P385" s="22"/>
      <x:c r="Q385" s="22"/>
      <x:c r="R385" s="28"/>
      <x:c r="S385" s="22"/>
      <x:c r="T385" s="37" t="n">
        <x:f>K385</x:f>
        <x:v>12</x:v>
      </x:c>
      <x:c r="U385" s="21" t="str">
        <x:f>IF(J385="Рассчитано",N385*(1-O385/100),"н/д")</x:f>
        <x:v>н/д</x:v>
      </x:c>
      <x:c r="V385" s="21" t="str">
        <x:f>IF(J385="Рассчитано",T385*U385,"н/д")</x:f>
        <x:v>н/д</x:v>
      </x:c>
      <x:c r="W385" s="21" t="str">
        <x:f>IF(J385="Рассчитано",T385*M385,"н/д")</x:f>
        <x:v>н/д</x:v>
      </x:c>
      <x:c r="X385" s="21" t="str">
        <x:f>IF(J385="Рассчитано",V385-W385,"н/д")</x:f>
        <x:v>н/д</x:v>
      </x:c>
      <x:c r="Y385" s="27" t="str">
        <x:f>IF(J385="Рассчитано",IF(V385&gt;0,G385/V385,"н/д"),"н/д")</x:f>
        <x:v>н/д</x:v>
      </x:c>
      <x:c r="Z385" s="21" t="str">
        <x:f>"н/д"</x:f>
        <x:v>н/д</x:v>
      </x:c>
      <x:c r="AA385" s="21" t="str">
        <x:f>"н/д"</x:f>
        <x:v>н/д</x:v>
      </x:c>
      <x:c r="AB385" s="21" t="str">
        <x:f>"н/д"</x:f>
        <x:v>н/д</x:v>
      </x:c>
      <x:c r="AC385" s="21" t="str">
        <x:f>IF(AND(J385="Рассчитано",T385&gt;0,R385&lt;100),(W385+P385+Q385)/(T385*(1-R385/100)),"н/д")</x:f>
        <x:v>н/д</x:v>
      </x:c>
      <x:c r="AD385" s="10" t="str">
        <x:f>IF(ISNUMBER(G385),IF(G385&lt;0,"Убыток",IF(G385=0,"Без прибыли","Прибыль &gt; 0")),"Не оценён")</x:f>
        <x:v>Не оценён</x:v>
      </x:c>
      <x:c r="AE385" s="13" t="str">
        <x:f>IF(J385="Рассчитано","Выручка "&amp;TEXT(V385,"0.00")&amp;" - себестоимость "&amp;TEXT(W385,"0.00")&amp;" - комиссия "&amp;TEXT(V385*R385/100,"0.00")&amp;" - доставка "&amp;TEXT(P385,"0.00")&amp;" - прочие "&amp;TEXT(Q385,"0.00")&amp;" = "&amp;TEXT(G385,"0.00")&amp;" "&amp;L385,"Введите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5" s="24" t="n">
        <x:v>0.13131673512961206</x:v>
      </x:c>
      <x:c r="AG385" s="37" t="n">
        <x:v>13</x:v>
      </x:c>
      <x:c r="AH385" s="37" t="n">
        <x:v>0</x:v>
      </x:c>
      <x:c r="AI385" s="30" t="n">
        <x:v>46266</x:v>
      </x:c>
      <x:c r="AJ385" s="37" t="n">
        <x:v>1</x:v>
      </x:c>
      <x:c r="AK385" s="10" t="str">
        <x:v>минимум</x:v>
      </x:c>
      <x:c r="AL385" s="32" t="n">
        <x:v>8418.647395707178</x:v>
      </x:c>
      <x:c r="AM3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85" s="13" t="str">
        <x:v>Проверить свободный остаток и установить цену для B2B</x:v>
      </x:c>
      <x:c r="AO385" s="13" t="str">
        <x:v>Остаток 13; прогноз 90 дней 0.13; избыток 12 шт. Будущие поступления не выставляются на продажу. Остаток на начало сентября: требуется актуализация.</x:v>
      </x:c>
      <x:c r="AP385" s="13" t="str">
        <x:v>["category_missing", "daily_stockout_data_missing", "new_order_lead_time_unknown", "reservations_unknown", "stale_stock"]</x:v>
      </x:c>
      <x:c r="AQ385" s="10" t="str">
        <x:v>IEK:030201054_</x:v>
      </x:c>
      <x:c r="AR385" s="24" t="n">
        <x:v>1</x:v>
      </x:c>
      <x:c r="AS385" s="24" t="n">
        <x:v>0</x:v>
      </x:c>
      <x:c r="AT385" s="24" t="n">
        <x:v>0</x:v>
      </x:c>
    </x:row>
    <x:row r="386" ht="64" customHeight="1">
      <x:c r="A386" s="11" t="str">
        <x:v>IEK</x:v>
      </x:c>
      <x:c r="B386" s="33" t="str">
        <x:v>030201055_</x:v>
      </x:c>
      <x:c r="C386" s="33" t="str">
        <x:v>BR-M12-12-1-K10</x:v>
      </x:c>
      <x:c r="D386" s="12" t="str">
        <x:v>Рамка 1-мест. "BRITE"  беж./жемч.  IEK  (1/100)</x:v>
      </x:c>
      <x:c r="E386" s="11" t="str">
        <x:v>шт</x:v>
      </x:c>
      <x:c r="F386" s="35" t="n">
        <x:f>MAX(0,ROUNDDOWN((AG386-AF386)/AR386+0.000000001,0)*AR386)</x:f>
        <x:v>17</x:v>
      </x:c>
      <x:c r="G386" s="20" t="str">
        <x:f>IF(J386="Рассчитано",V386*(1-R386/100)-W386-P386-Q386,"н/д")</x:f>
        <x:v>н/д</x:v>
      </x:c>
      <x:c r="H386" s="12" t="str">
        <x:v>Высокий</x:v>
      </x:c>
      <x:c r="I386" s="12" t="str">
        <x:v>Высокий</x:v>
      </x:c>
      <x:c r="J386" s="12" t="str">
        <x:f>IF(L386="","Укажите валюту",IF(NOT(ISNUMBER(K386)),"Укажите объём",IF(K386&lt;=0,"Укажите объём",IF(K386&gt;F386,"Объём выше излишка",IF(COUNT(M386:O386)&lt;3,"Нужны цены",IF(COUNT(P386:R386)&lt;3,"Нужны расходы",IF(OR(M386&lt;0,N386&lt;0,O386&lt;0,O386&gt;100,P386&lt;0,Q386&lt;0,R386&lt;0,R386&gt;100),"Проверьте значения","Рассчитано")))))))</x:f>
        <x:v>Нужны цены</x:v>
      </x:c>
      <x:c r="K386" s="36" t="n">
        <x:v>17</x:v>
      </x:c>
      <x:c r="L386" s="19" t="str">
        <x:v>KZT</x:v>
      </x:c>
      <x:c r="M386" s="22"/>
      <x:c r="N386" s="22"/>
      <x:c r="O386" s="28"/>
      <x:c r="P386" s="22"/>
      <x:c r="Q386" s="22"/>
      <x:c r="R386" s="28"/>
      <x:c r="S386" s="22"/>
      <x:c r="T386" s="35" t="n">
        <x:f>K386</x:f>
        <x:v>17</x:v>
      </x:c>
      <x:c r="U386" s="20" t="str">
        <x:f>IF(J386="Рассчитано",N386*(1-O386/100),"н/д")</x:f>
        <x:v>н/д</x:v>
      </x:c>
      <x:c r="V386" s="20" t="str">
        <x:f>IF(J386="Рассчитано",T386*U386,"н/д")</x:f>
        <x:v>н/д</x:v>
      </x:c>
      <x:c r="W386" s="20" t="str">
        <x:f>IF(J386="Рассчитано",T386*M386,"н/д")</x:f>
        <x:v>н/д</x:v>
      </x:c>
      <x:c r="X386" s="20" t="str">
        <x:f>IF(J386="Рассчитано",V386-W386,"н/д")</x:f>
        <x:v>н/д</x:v>
      </x:c>
      <x:c r="Y386" s="26" t="str">
        <x:f>IF(J386="Рассчитано",IF(V386&gt;0,G386/V386,"н/д"),"н/д")</x:f>
        <x:v>н/д</x:v>
      </x:c>
      <x:c r="Z386" s="20" t="str">
        <x:f>"н/д"</x:f>
        <x:v>н/д</x:v>
      </x:c>
      <x:c r="AA386" s="20" t="str">
        <x:f>"н/д"</x:f>
        <x:v>н/д</x:v>
      </x:c>
      <x:c r="AB386" s="20" t="str">
        <x:f>"н/д"</x:f>
        <x:v>н/д</x:v>
      </x:c>
      <x:c r="AC386" s="20" t="str">
        <x:f>IF(AND(J386="Рассчитано",T386&gt;0,R386&lt;100),(W386+P386+Q386)/(T386*(1-R386/100)),"н/д")</x:f>
        <x:v>н/д</x:v>
      </x:c>
      <x:c r="AD386" s="11" t="str">
        <x:f>IF(ISNUMBER(G386),IF(G386&lt;0,"Убыток",IF(G386=0,"Без прибыли","Прибыль &gt; 0")),"Не оценён")</x:f>
        <x:v>Не оценён</x:v>
      </x:c>
      <x:c r="AE386" s="12" t="str">
        <x:f>IF(J386="Рассчитано","Выручка "&amp;TEXT(V386,"0.00")&amp;" - себестоимость "&amp;TEXT(W386,"0.00")&amp;" - комиссия "&amp;TEXT(V386*R386/100,"0.00")&amp;" - доставка "&amp;TEXT(P386,"0.00")&amp;" - прочие "&amp;TEXT(Q386,"0.00")&amp;" = "&amp;TEXT(G386,"0.00")&amp;" "&amp;L386,"Введите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6" s="23" t="n">
        <x:v>0</x:v>
      </x:c>
      <x:c r="AG386" s="35" t="n">
        <x:v>17</x:v>
      </x:c>
      <x:c r="AH386" s="35" t="n">
        <x:v>0</x:v>
      </x:c>
      <x:c r="AI386" s="29" t="n">
        <x:v>46266</x:v>
      </x:c>
      <x:c r="AJ386" s="35" t="n">
        <x:v>1</x:v>
      </x:c>
      <x:c r="AK386" s="11" t="str">
        <x:v>минимум</x:v>
      </x:c>
      <x:c r="AL386" s="31" t="str">
        <x:v>н/д</x:v>
      </x:c>
      <x:c r="AM38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86" s="12" t="str">
        <x:v>Проверить свободный остаток и установить цену для B2B</x:v>
      </x:c>
      <x:c r="AO386" s="12" t="str">
        <x:v>Остаток 17; прогноз 90 дней 0.00; избыток 17 шт. Будущие поступления не выставляются на продажу. Остаток на начало сентября: требуется актуализация.</x:v>
      </x:c>
      <x:c r="AP386" s="12" t="str">
        <x:v>["category_missing", "daily_stockout_data_missing", "new_order_lead_time_unknown", "reservations_unknown", "stale_stock"]</x:v>
      </x:c>
      <x:c r="AQ386" s="11" t="str">
        <x:v>IEK:030201055_</x:v>
      </x:c>
      <x:c r="AR386" s="23" t="n">
        <x:v>1</x:v>
      </x:c>
      <x:c r="AS386" s="23" t="n">
        <x:v>0</x:v>
      </x:c>
      <x:c r="AT386" s="23" t="n">
        <x:v>0</x:v>
      </x:c>
    </x:row>
    <x:row r="387" ht="64" customHeight="1">
      <x:c r="A387" s="10" t="str">
        <x:v>IEK</x:v>
      </x:c>
      <x:c r="B387" s="34" t="str">
        <x:v>030201056_</x:v>
      </x:c>
      <x:c r="C387" s="34" t="str">
        <x:v>BR-M22-12-1-K10</x:v>
      </x:c>
      <x:c r="D387" s="13" t="str">
        <x:v>Рамка 2-мест. "BRITE"  беж./жемч.  IEK  (1/100)</x:v>
      </x:c>
      <x:c r="E387" s="10" t="str">
        <x:v>шт</x:v>
      </x:c>
      <x:c r="F387" s="37" t="n">
        <x:f>MAX(0,ROUNDDOWN((AG387-AF387)/AR387+0.000000001,0)*AR387)</x:f>
        <x:v>2</x:v>
      </x:c>
      <x:c r="G387" s="21" t="str">
        <x:f>IF(J387="Рассчитано",V387*(1-R387/100)-W387-P387-Q387,"н/д")</x:f>
        <x:v>н/д</x:v>
      </x:c>
      <x:c r="H387" s="13" t="str">
        <x:v>Высокий</x:v>
      </x:c>
      <x:c r="I387" s="13" t="str">
        <x:v>Высокий</x:v>
      </x:c>
      <x:c r="J387" s="13" t="str">
        <x:f>IF(L387="","Укажите валюту",IF(NOT(ISNUMBER(K387)),"Укажите объём",IF(K387&lt;=0,"Укажите объём",IF(K387&gt;F387,"Объём выше излишка",IF(COUNT(M387:O387)&lt;3,"Нужны цены",IF(COUNT(P387:R387)&lt;3,"Нужны расходы",IF(OR(M387&lt;0,N387&lt;0,O387&lt;0,O387&gt;100,P387&lt;0,Q387&lt;0,R387&lt;0,R387&gt;100),"Проверьте значения","Рассчитано")))))))</x:f>
        <x:v>Нужны цены</x:v>
      </x:c>
      <x:c r="K387" s="36" t="n">
        <x:v>2</x:v>
      </x:c>
      <x:c r="L387" s="19" t="str">
        <x:v>KZT</x:v>
      </x:c>
      <x:c r="M387" s="22"/>
      <x:c r="N387" s="22"/>
      <x:c r="O387" s="28"/>
      <x:c r="P387" s="22"/>
      <x:c r="Q387" s="22"/>
      <x:c r="R387" s="28"/>
      <x:c r="S387" s="22"/>
      <x:c r="T387" s="37" t="n">
        <x:f>K387</x:f>
        <x:v>2</x:v>
      </x:c>
      <x:c r="U387" s="21" t="str">
        <x:f>IF(J387="Рассчитано",N387*(1-O387/100),"н/д")</x:f>
        <x:v>н/д</x:v>
      </x:c>
      <x:c r="V387" s="21" t="str">
        <x:f>IF(J387="Рассчитано",T387*U387,"н/д")</x:f>
        <x:v>н/д</x:v>
      </x:c>
      <x:c r="W387" s="21" t="str">
        <x:f>IF(J387="Рассчитано",T387*M387,"н/д")</x:f>
        <x:v>н/д</x:v>
      </x:c>
      <x:c r="X387" s="21" t="str">
        <x:f>IF(J387="Рассчитано",V387-W387,"н/д")</x:f>
        <x:v>н/д</x:v>
      </x:c>
      <x:c r="Y387" s="27" t="str">
        <x:f>IF(J387="Рассчитано",IF(V387&gt;0,G387/V387,"н/д"),"н/д")</x:f>
        <x:v>н/д</x:v>
      </x:c>
      <x:c r="Z387" s="21" t="str">
        <x:f>"н/д"</x:f>
        <x:v>н/д</x:v>
      </x:c>
      <x:c r="AA387" s="21" t="str">
        <x:f>"н/д"</x:f>
        <x:v>н/д</x:v>
      </x:c>
      <x:c r="AB387" s="21" t="str">
        <x:f>"н/д"</x:f>
        <x:v>н/д</x:v>
      </x:c>
      <x:c r="AC387" s="21" t="str">
        <x:f>IF(AND(J387="Рассчитано",T387&gt;0,R387&lt;100),(W387+P387+Q387)/(T387*(1-R387/100)),"н/д")</x:f>
        <x:v>н/д</x:v>
      </x:c>
      <x:c r="AD387" s="10" t="str">
        <x:f>IF(ISNUMBER(G387),IF(G387&lt;0,"Убыток",IF(G387=0,"Без прибыли","Прибыль &gt; 0")),"Не оценён")</x:f>
        <x:v>Не оценён</x:v>
      </x:c>
      <x:c r="AE387" s="13" t="str">
        <x:f>IF(J387="Рассчитано","Выручка "&amp;TEXT(V387,"0.00")&amp;" - себестоимость "&amp;TEXT(W387,"0.00")&amp;" - комиссия "&amp;TEXT(V387*R387/100,"0.00")&amp;" - доставка "&amp;TEXT(P387,"0.00")&amp;" - прочие "&amp;TEXT(Q387,"0.00")&amp;" = "&amp;TEXT(G387,"0.00")&amp;" "&amp;L387,"Введите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7" s="24" t="n">
        <x:v>0</x:v>
      </x:c>
      <x:c r="AG387" s="37" t="n">
        <x:v>2</x:v>
      </x:c>
      <x:c r="AH387" s="37" t="n">
        <x:v>0</x:v>
      </x:c>
      <x:c r="AI387" s="30" t="n">
        <x:v>46266</x:v>
      </x:c>
      <x:c r="AJ387" s="37" t="n">
        <x:v>1</x:v>
      </x:c>
      <x:c r="AK387" s="10" t="str">
        <x:v>минимум</x:v>
      </x:c>
      <x:c r="AL387" s="32" t="str">
        <x:v>н/д</x:v>
      </x:c>
      <x:c r="AM38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87" s="13" t="str">
        <x:v>Проверить свободный остаток и установить цену для B2B</x:v>
      </x:c>
      <x:c r="AO387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387" s="13" t="str">
        <x:v>["category_missing", "daily_stockout_data_missing", "new_order_lead_time_unknown", "reservations_unknown", "stale_stock"]</x:v>
      </x:c>
      <x:c r="AQ387" s="10" t="str">
        <x:v>IEK:030201056_</x:v>
      </x:c>
      <x:c r="AR387" s="24" t="n">
        <x:v>1</x:v>
      </x:c>
      <x:c r="AS387" s="24" t="n">
        <x:v>0</x:v>
      </x:c>
      <x:c r="AT387" s="24" t="n">
        <x:v>0</x:v>
      </x:c>
    </x:row>
    <x:row r="388" ht="64" customHeight="1">
      <x:c r="A388" s="11" t="str">
        <x:v>IEK</x:v>
      </x:c>
      <x:c r="B388" s="33" t="str">
        <x:v>030201063_</x:v>
      </x:c>
      <x:c r="C388" s="33" t="str">
        <x:v>BR-M12-12-3-K10</x:v>
      </x:c>
      <x:c r="D388" s="12" t="str">
        <x:v>Рамка 1-мест. "BRITE"  беж./шамп.  IEK  (1/100)</x:v>
      </x:c>
      <x:c r="E388" s="11" t="str">
        <x:v>шт</x:v>
      </x:c>
      <x:c r="F388" s="35" t="n">
        <x:f>MAX(0,ROUNDDOWN((AG388-AF388)/AR388+0.000000001,0)*AR388)</x:f>
        <x:v>5</x:v>
      </x:c>
      <x:c r="G388" s="20" t="str">
        <x:f>IF(J388="Рассчитано",V388*(1-R388/100)-W388-P388-Q388,"н/д")</x:f>
        <x:v>н/д</x:v>
      </x:c>
      <x:c r="H388" s="12" t="str">
        <x:v>Высокий</x:v>
      </x:c>
      <x:c r="I388" s="12" t="str">
        <x:v>Средний</x:v>
      </x:c>
      <x:c r="J388" s="12" t="str">
        <x:f>IF(L388="","Укажите валюту",IF(NOT(ISNUMBER(K388)),"Укажите объём",IF(K388&lt;=0,"Укажите объём",IF(K388&gt;F388,"Объём выше излишка",IF(COUNT(M388:O388)&lt;3,"Нужны цены",IF(COUNT(P388:R388)&lt;3,"Нужны расходы",IF(OR(M388&lt;0,N388&lt;0,O388&lt;0,O388&gt;100,P388&lt;0,Q388&lt;0,R388&lt;0,R388&gt;100),"Проверьте значения","Рассчитано")))))))</x:f>
        <x:v>Нужны цены</x:v>
      </x:c>
      <x:c r="K388" s="36" t="n">
        <x:v>5</x:v>
      </x:c>
      <x:c r="L388" s="19" t="str">
        <x:v>KZT</x:v>
      </x:c>
      <x:c r="M388" s="22"/>
      <x:c r="N388" s="22"/>
      <x:c r="O388" s="28"/>
      <x:c r="P388" s="22"/>
      <x:c r="Q388" s="22"/>
      <x:c r="R388" s="28"/>
      <x:c r="S388" s="22"/>
      <x:c r="T388" s="35" t="n">
        <x:f>K388</x:f>
        <x:v>5</x:v>
      </x:c>
      <x:c r="U388" s="20" t="str">
        <x:f>IF(J388="Рассчитано",N388*(1-O388/100),"н/д")</x:f>
        <x:v>н/д</x:v>
      </x:c>
      <x:c r="V388" s="20" t="str">
        <x:f>IF(J388="Рассчитано",T388*U388,"н/д")</x:f>
        <x:v>н/д</x:v>
      </x:c>
      <x:c r="W388" s="20" t="str">
        <x:f>IF(J388="Рассчитано",T388*M388,"н/д")</x:f>
        <x:v>н/д</x:v>
      </x:c>
      <x:c r="X388" s="20" t="str">
        <x:f>IF(J388="Рассчитано",V388-W388,"н/д")</x:f>
        <x:v>н/д</x:v>
      </x:c>
      <x:c r="Y388" s="26" t="str">
        <x:f>IF(J388="Рассчитано",IF(V388&gt;0,G388/V388,"н/д"),"н/д")</x:f>
        <x:v>н/д</x:v>
      </x:c>
      <x:c r="Z388" s="20" t="str">
        <x:f>"н/д"</x:f>
        <x:v>н/д</x:v>
      </x:c>
      <x:c r="AA388" s="20" t="str">
        <x:f>"н/д"</x:f>
        <x:v>н/д</x:v>
      </x:c>
      <x:c r="AB388" s="20" t="str">
        <x:f>"н/д"</x:f>
        <x:v>н/д</x:v>
      </x:c>
      <x:c r="AC388" s="20" t="str">
        <x:f>IF(AND(J388="Рассчитано",T388&gt;0,R388&lt;100),(W388+P388+Q388)/(T388*(1-R388/100)),"н/д")</x:f>
        <x:v>н/д</x:v>
      </x:c>
      <x:c r="AD388" s="11" t="str">
        <x:f>IF(ISNUMBER(G388),IF(G388&lt;0,"Убыток",IF(G388=0,"Без прибыли","Прибыль &gt; 0")),"Не оценён")</x:f>
        <x:v>Не оценён</x:v>
      </x:c>
      <x:c r="AE388" s="12" t="str">
        <x:f>IF(J388="Рассчитано","Выручка "&amp;TEXT(V388,"0.00")&amp;" - себестоимость "&amp;TEXT(W388,"0.00")&amp;" - комиссия "&amp;TEXT(V388*R388/100,"0.00")&amp;" - доставка "&amp;TEXT(P388,"0.00")&amp;" - прочие "&amp;TEXT(Q388,"0.00")&amp;" = "&amp;TEXT(G388,"0.00")&amp;" "&amp;L388,"Введите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8" s="23" t="n">
        <x:v>36.26459012117626</x:v>
      </x:c>
      <x:c r="AG388" s="35" t="n">
        <x:v>42</x:v>
      </x:c>
      <x:c r="AH388" s="35" t="n">
        <x:v>0</x:v>
      </x:c>
      <x:c r="AI388" s="29" t="n">
        <x:v>46266</x:v>
      </x:c>
      <x:c r="AJ388" s="35" t="n">
        <x:v>1</x:v>
      </x:c>
      <x:c r="AK388" s="11" t="str">
        <x:v>минимум</x:v>
      </x:c>
      <x:c r="AL388" s="31" t="n">
        <x:v>98.4885086860474</x:v>
      </x:c>
      <x:c r="AM388" s="12" t="str">
        <x:v>Остаток на начало сентября; Резервы неизвестны; Нет ежедневных данных доступности. Запас выше прогноза на 90 дней</x:v>
      </x:c>
      <x:c r="AN388" s="12" t="str">
        <x:v>Проверить свободный остаток и установить цену для B2B</x:v>
      </x:c>
      <x:c r="AO388" s="12" t="str">
        <x:v>Остаток 42; прогноз 90 дней 36.26; избыток 5 шт. Будущие поступления не выставляются на продажу. Остаток на начало сентября: требуется актуализация.</x:v>
      </x:c>
      <x:c r="AP388" s="12" t="str">
        <x:v>["category_missing", "daily_stockout_data_missing", "new_order_lead_time_unknown", "reservations_unknown", "stale_stock"]</x:v>
      </x:c>
      <x:c r="AQ388" s="11" t="str">
        <x:v>IEK:030201063_</x:v>
      </x:c>
      <x:c r="AR388" s="23" t="n">
        <x:v>1</x:v>
      </x:c>
      <x:c r="AS388" s="23" t="n">
        <x:v>0</x:v>
      </x:c>
      <x:c r="AT388" s="23" t="n">
        <x:v>0</x:v>
      </x:c>
    </x:row>
    <x:row r="389" ht="64" customHeight="1">
      <x:c r="A389" s="10" t="str">
        <x:v>IEK</x:v>
      </x:c>
      <x:c r="B389" s="34" t="str">
        <x:v>030201064_</x:v>
      </x:c>
      <x:c r="C389" s="34" t="str">
        <x:v>BR-M12-12-K47</x:v>
      </x:c>
      <x:c r="D389" s="13" t="str">
        <x:v>Рамка 1-мест. "BRITE"  алюм./алюм.  IEK  (1/100)</x:v>
      </x:c>
      <x:c r="E389" s="10" t="str">
        <x:v>шт</x:v>
      </x:c>
      <x:c r="F389" s="37" t="n">
        <x:f>MAX(0,ROUNDDOWN((AG389-AF389)/AR389+0.000000001,0)*AR389)</x:f>
        <x:v>9</x:v>
      </x:c>
      <x:c r="G389" s="21" t="str">
        <x:f>IF(J389="Рассчитано",V389*(1-R389/100)-W389-P389-Q389,"н/д")</x:f>
        <x:v>н/д</x:v>
      </x:c>
      <x:c r="H389" s="13" t="str">
        <x:v>Высокий</x:v>
      </x:c>
      <x:c r="I389" s="13" t="str">
        <x:v>Высокий</x:v>
      </x:c>
      <x:c r="J389" s="13" t="str">
        <x:f>IF(L389="","Укажите валюту",IF(NOT(ISNUMBER(K389)),"Укажите объём",IF(K389&lt;=0,"Укажите объём",IF(K389&gt;F389,"Объём выше излишка",IF(COUNT(M389:O389)&lt;3,"Нужны цены",IF(COUNT(P389:R389)&lt;3,"Нужны расходы",IF(OR(M389&lt;0,N389&lt;0,O389&lt;0,O389&gt;100,P389&lt;0,Q389&lt;0,R389&lt;0,R389&gt;100),"Проверьте значения","Рассчитано")))))))</x:f>
        <x:v>Нужны цены</x:v>
      </x:c>
      <x:c r="K389" s="36" t="n">
        <x:v>9</x:v>
      </x:c>
      <x:c r="L389" s="19" t="str">
        <x:v>KZT</x:v>
      </x:c>
      <x:c r="M389" s="22"/>
      <x:c r="N389" s="22"/>
      <x:c r="O389" s="28"/>
      <x:c r="P389" s="22"/>
      <x:c r="Q389" s="22"/>
      <x:c r="R389" s="28"/>
      <x:c r="S389" s="22"/>
      <x:c r="T389" s="37" t="n">
        <x:f>K389</x:f>
        <x:v>9</x:v>
      </x:c>
      <x:c r="U389" s="21" t="str">
        <x:f>IF(J389="Рассчитано",N389*(1-O389/100),"н/д")</x:f>
        <x:v>н/д</x:v>
      </x:c>
      <x:c r="V389" s="21" t="str">
        <x:f>IF(J389="Рассчитано",T389*U389,"н/д")</x:f>
        <x:v>н/д</x:v>
      </x:c>
      <x:c r="W389" s="21" t="str">
        <x:f>IF(J389="Рассчитано",T389*M389,"н/д")</x:f>
        <x:v>н/д</x:v>
      </x:c>
      <x:c r="X389" s="21" t="str">
        <x:f>IF(J389="Рассчитано",V389-W389,"н/д")</x:f>
        <x:v>н/д</x:v>
      </x:c>
      <x:c r="Y389" s="27" t="str">
        <x:f>IF(J389="Рассчитано",IF(V389&gt;0,G389/V389,"н/д"),"н/д")</x:f>
        <x:v>н/д</x:v>
      </x:c>
      <x:c r="Z389" s="21" t="str">
        <x:f>"н/д"</x:f>
        <x:v>н/д</x:v>
      </x:c>
      <x:c r="AA389" s="21" t="str">
        <x:f>"н/д"</x:f>
        <x:v>н/д</x:v>
      </x:c>
      <x:c r="AB389" s="21" t="str">
        <x:f>"н/д"</x:f>
        <x:v>н/д</x:v>
      </x:c>
      <x:c r="AC389" s="21" t="str">
        <x:f>IF(AND(J389="Рассчитано",T389&gt;0,R389&lt;100),(W389+P389+Q389)/(T389*(1-R389/100)),"н/д")</x:f>
        <x:v>н/д</x:v>
      </x:c>
      <x:c r="AD389" s="10" t="str">
        <x:f>IF(ISNUMBER(G389),IF(G389&lt;0,"Убыток",IF(G389=0,"Без прибыли","Прибыль &gt; 0")),"Не оценён")</x:f>
        <x:v>Не оценён</x:v>
      </x:c>
      <x:c r="AE389" s="13" t="str">
        <x:f>IF(J389="Рассчитано","Выручка "&amp;TEXT(V389,"0.00")&amp;" - себестоимость "&amp;TEXT(W389,"0.00")&amp;" - комиссия "&amp;TEXT(V389*R389/100,"0.00")&amp;" - доставка "&amp;TEXT(P389,"0.00")&amp;" - прочие "&amp;TEXT(Q389,"0.00")&amp;" = "&amp;TEXT(G389,"0.00")&amp;" "&amp;L389,"Введите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9" s="24" t="n">
        <x:v>1.0021703536933697</x:v>
      </x:c>
      <x:c r="AG389" s="37" t="n">
        <x:v>11</x:v>
      </x:c>
      <x:c r="AH389" s="37" t="n">
        <x:v>0</x:v>
      </x:c>
      <x:c r="AI389" s="30" t="n">
        <x:v>46266</x:v>
      </x:c>
      <x:c r="AJ389" s="37" t="n">
        <x:v>1</x:v>
      </x:c>
      <x:c r="AK389" s="10" t="str">
        <x:v>минимум</x:v>
      </x:c>
      <x:c r="AL389" s="32" t="n">
        <x:v>933.4051186248017</x:v>
      </x:c>
      <x:c r="AM38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89" s="13" t="str">
        <x:v>Проверить свободный остаток и установить цену для B2B</x:v>
      </x:c>
      <x:c r="AO389" s="13" t="str">
        <x:v>Остаток 11; прогноз 90 дней 1.00; избыток 9 шт. Будущие поступления не выставляются на продажу. Остаток на начало сентября: требуется актуализация.</x:v>
      </x:c>
      <x:c r="AP389" s="13" t="str">
        <x:v>["category_missing", "daily_stockout_data_missing", "new_order_lead_time_unknown", "reservations_unknown", "stale_stock"]</x:v>
      </x:c>
      <x:c r="AQ389" s="10" t="str">
        <x:v>IEK:030201064_</x:v>
      </x:c>
      <x:c r="AR389" s="24" t="n">
        <x:v>1</x:v>
      </x:c>
      <x:c r="AS389" s="24" t="n">
        <x:v>0</x:v>
      </x:c>
      <x:c r="AT389" s="24" t="n">
        <x:v>0</x:v>
      </x:c>
    </x:row>
    <x:row r="390" ht="64" customHeight="1">
      <x:c r="A390" s="11" t="str">
        <x:v>IEK</x:v>
      </x:c>
      <x:c r="B390" s="33" t="str">
        <x:v>030201065_</x:v>
      </x:c>
      <x:c r="C390" s="33" t="str">
        <x:v>BR-M12-12-2-K23</x:v>
      </x:c>
      <x:c r="D390" s="12" t="str">
        <x:v>Рамка 1-мест. "BRITE"  хром/черн.  IEK  (1/100)</x:v>
      </x:c>
      <x:c r="E390" s="11" t="str">
        <x:v>шт</x:v>
      </x:c>
      <x:c r="F390" s="35" t="n">
        <x:f>MAX(0,ROUNDDOWN((AG390-AF390)/AR390+0.000000001,0)*AR390)</x:f>
        <x:v>8</x:v>
      </x:c>
      <x:c r="G390" s="20" t="str">
        <x:f>IF(J390="Рассчитано",V390*(1-R390/100)-W390-P390-Q390,"н/д")</x:f>
        <x:v>н/д</x:v>
      </x:c>
      <x:c r="H390" s="12" t="str">
        <x:v>Высокий</x:v>
      </x:c>
      <x:c r="I390" s="12" t="str">
        <x:v>Средний</x:v>
      </x:c>
      <x:c r="J390" s="12" t="str">
        <x:f>IF(L390="","Укажите валюту",IF(NOT(ISNUMBER(K390)),"Укажите объём",IF(K390&lt;=0,"Укажите объём",IF(K390&gt;F390,"Объём выше излишка",IF(COUNT(M390:O390)&lt;3,"Нужны цены",IF(COUNT(P390:R390)&lt;3,"Нужны расходы",IF(OR(M390&lt;0,N390&lt;0,O390&lt;0,O390&gt;100,P390&lt;0,Q390&lt;0,R390&lt;0,R390&gt;100),"Проверьте значения","Рассчитано")))))))</x:f>
        <x:v>Нужны цены</x:v>
      </x:c>
      <x:c r="K390" s="36" t="n">
        <x:v>8</x:v>
      </x:c>
      <x:c r="L390" s="19" t="str">
        <x:v>KZT</x:v>
      </x:c>
      <x:c r="M390" s="22"/>
      <x:c r="N390" s="22"/>
      <x:c r="O390" s="28"/>
      <x:c r="P390" s="22"/>
      <x:c r="Q390" s="22"/>
      <x:c r="R390" s="28"/>
      <x:c r="S390" s="22"/>
      <x:c r="T390" s="35" t="n">
        <x:f>K390</x:f>
        <x:v>8</x:v>
      </x:c>
      <x:c r="U390" s="20" t="str">
        <x:f>IF(J390="Рассчитано",N390*(1-O390/100),"н/д")</x:f>
        <x:v>н/д</x:v>
      </x:c>
      <x:c r="V390" s="20" t="str">
        <x:f>IF(J390="Рассчитано",T390*U390,"н/д")</x:f>
        <x:v>н/д</x:v>
      </x:c>
      <x:c r="W390" s="20" t="str">
        <x:f>IF(J390="Рассчитано",T390*M390,"н/д")</x:f>
        <x:v>н/д</x:v>
      </x:c>
      <x:c r="X390" s="20" t="str">
        <x:f>IF(J390="Рассчитано",V390-W390,"н/д")</x:f>
        <x:v>н/д</x:v>
      </x:c>
      <x:c r="Y390" s="26" t="str">
        <x:f>IF(J390="Рассчитано",IF(V390&gt;0,G390/V390,"н/д"),"н/д")</x:f>
        <x:v>н/д</x:v>
      </x:c>
      <x:c r="Z390" s="20" t="str">
        <x:f>"н/д"</x:f>
        <x:v>н/д</x:v>
      </x:c>
      <x:c r="AA390" s="20" t="str">
        <x:f>"н/д"</x:f>
        <x:v>н/д</x:v>
      </x:c>
      <x:c r="AB390" s="20" t="str">
        <x:f>"н/д"</x:f>
        <x:v>н/д</x:v>
      </x:c>
      <x:c r="AC390" s="20" t="str">
        <x:f>IF(AND(J390="Рассчитано",T390&gt;0,R390&lt;100),(W390+P390+Q390)/(T390*(1-R390/100)),"н/д")</x:f>
        <x:v>н/д</x:v>
      </x:c>
      <x:c r="AD390" s="11" t="str">
        <x:f>IF(ISNUMBER(G390),IF(G390&lt;0,"Убыток",IF(G390=0,"Без прибыли","Прибыль &gt; 0")),"Не оценён")</x:f>
        <x:v>Не оценён</x:v>
      </x:c>
      <x:c r="AE390" s="12" t="str">
        <x:f>IF(J390="Рассчитано","Выручка "&amp;TEXT(V390,"0.00")&amp;" - себестоимость "&amp;TEXT(W390,"0.00")&amp;" - комиссия "&amp;TEXT(V390*R390/100,"0.00")&amp;" - доставка "&amp;TEXT(P390,"0.00")&amp;" - прочие "&amp;TEXT(Q390,"0.00")&amp;" = "&amp;TEXT(G390,"0.00")&amp;" "&amp;L390,"Введите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0" s="23" t="n">
        <x:v>16.719306661447572</x:v>
      </x:c>
      <x:c r="AG390" s="35" t="n">
        <x:v>25</x:v>
      </x:c>
      <x:c r="AH390" s="35" t="n">
        <x:v>0</x:v>
      </x:c>
      <x:c r="AI390" s="29" t="n">
        <x:v>46266</x:v>
      </x:c>
      <x:c r="AJ390" s="35" t="n">
        <x:v>1</x:v>
      </x:c>
      <x:c r="AK390" s="11" t="str">
        <x:v>минимум</x:v>
      </x:c>
      <x:c r="AL390" s="31" t="n">
        <x:v>127.15715114882387</x:v>
      </x:c>
      <x:c r="AM390" s="12" t="str">
        <x:v>Остаток на начало сентября; Резервы неизвестны; Нет ежедневных данных доступности. Запас выше прогноза на 90 дней</x:v>
      </x:c>
      <x:c r="AN390" s="12" t="str">
        <x:v>Проверить свободный остаток и установить цену для B2B</x:v>
      </x:c>
      <x:c r="AO390" s="12" t="str">
        <x:v>Остаток 25; прогноз 90 дней 16.72; избыток 8 шт. Будущие поступления не выставляются на продажу. Остаток на начало сентября: требуется актуализация.</x:v>
      </x:c>
      <x:c r="AP390" s="12" t="str">
        <x:v>["category_missing", "daily_stockout_data_missing", "new_order_lead_time_unknown", "reservations_unknown", "stale_stock"]</x:v>
      </x:c>
      <x:c r="AQ390" s="11" t="str">
        <x:v>IEK:030201065_</x:v>
      </x:c>
      <x:c r="AR390" s="23" t="n">
        <x:v>1</x:v>
      </x:c>
      <x:c r="AS390" s="23" t="n">
        <x:v>0</x:v>
      </x:c>
      <x:c r="AT390" s="23" t="n">
        <x:v>0</x:v>
      </x:c>
    </x:row>
    <x:row r="391" ht="64" customHeight="1">
      <x:c r="A391" s="10" t="str">
        <x:v>IEK</x:v>
      </x:c>
      <x:c r="B391" s="34" t="str">
        <x:v>030201066_</x:v>
      </x:c>
      <x:c r="C391" s="34" t="str">
        <x:v>BR-M12-51-K01</x:v>
      </x:c>
      <x:c r="D391" s="13" t="str">
        <x:v>Рамка 1-мест. "BRITE"  бел. рифленый  IEK  (1/100)</x:v>
      </x:c>
      <x:c r="E391" s="10" t="str">
        <x:v>шт</x:v>
      </x:c>
      <x:c r="F391" s="37" t="n">
        <x:f>MAX(0,ROUNDDOWN((AG391-AF391)/AR391+0.000000001,0)*AR391)</x:f>
        <x:v>12</x:v>
      </x:c>
      <x:c r="G391" s="21" t="str">
        <x:f>IF(J391="Рассчитано",V391*(1-R391/100)-W391-P391-Q391,"н/д")</x:f>
        <x:v>н/д</x:v>
      </x:c>
      <x:c r="H391" s="13" t="str">
        <x:v>Высокий</x:v>
      </x:c>
      <x:c r="I391" s="13" t="str">
        <x:v>Высокий</x:v>
      </x:c>
      <x:c r="J391" s="13" t="str">
        <x:f>IF(L391="","Укажите валюту",IF(NOT(ISNUMBER(K391)),"Укажите объём",IF(K391&lt;=0,"Укажите объём",IF(K391&gt;F391,"Объём выше излишка",IF(COUNT(M391:O391)&lt;3,"Нужны цены",IF(COUNT(P391:R391)&lt;3,"Нужны расходы",IF(OR(M391&lt;0,N391&lt;0,O391&lt;0,O391&gt;100,P391&lt;0,Q391&lt;0,R391&lt;0,R391&gt;100),"Проверьте значения","Рассчитано")))))))</x:f>
        <x:v>Нужны цены</x:v>
      </x:c>
      <x:c r="K391" s="36" t="n">
        <x:v>12</x:v>
      </x:c>
      <x:c r="L391" s="19" t="str">
        <x:v>KZT</x:v>
      </x:c>
      <x:c r="M391" s="22"/>
      <x:c r="N391" s="22"/>
      <x:c r="O391" s="28"/>
      <x:c r="P391" s="22"/>
      <x:c r="Q391" s="22"/>
      <x:c r="R391" s="28"/>
      <x:c r="S391" s="22"/>
      <x:c r="T391" s="37" t="n">
        <x:f>K391</x:f>
        <x:v>12</x:v>
      </x:c>
      <x:c r="U391" s="21" t="str">
        <x:f>IF(J391="Рассчитано",N391*(1-O391/100),"н/д")</x:f>
        <x:v>н/д</x:v>
      </x:c>
      <x:c r="V391" s="21" t="str">
        <x:f>IF(J391="Рассчитано",T391*U391,"н/д")</x:f>
        <x:v>н/д</x:v>
      </x:c>
      <x:c r="W391" s="21" t="str">
        <x:f>IF(J391="Рассчитано",T391*M391,"н/д")</x:f>
        <x:v>н/д</x:v>
      </x:c>
      <x:c r="X391" s="21" t="str">
        <x:f>IF(J391="Рассчитано",V391-W391,"н/д")</x:f>
        <x:v>н/д</x:v>
      </x:c>
      <x:c r="Y391" s="27" t="str">
        <x:f>IF(J391="Рассчитано",IF(V391&gt;0,G391/V391,"н/д"),"н/д")</x:f>
        <x:v>н/д</x:v>
      </x:c>
      <x:c r="Z391" s="21" t="str">
        <x:f>"н/д"</x:f>
        <x:v>н/д</x:v>
      </x:c>
      <x:c r="AA391" s="21" t="str">
        <x:f>"н/д"</x:f>
        <x:v>н/д</x:v>
      </x:c>
      <x:c r="AB391" s="21" t="str">
        <x:f>"н/д"</x:f>
        <x:v>н/д</x:v>
      </x:c>
      <x:c r="AC391" s="21" t="str">
        <x:f>IF(AND(J391="Рассчитано",T391&gt;0,R391&lt;100),(W391+P391+Q391)/(T391*(1-R391/100)),"н/д")</x:f>
        <x:v>н/д</x:v>
      </x:c>
      <x:c r="AD391" s="10" t="str">
        <x:f>IF(ISNUMBER(G391),IF(G391&lt;0,"Убыток",IF(G391=0,"Без прибыли","Прибыль &gt; 0")),"Не оценён")</x:f>
        <x:v>Не оценён</x:v>
      </x:c>
      <x:c r="AE391" s="13" t="str">
        <x:f>IF(J391="Рассчитано","Выручка "&amp;TEXT(V391,"0.00")&amp;" - себестоимость "&amp;TEXT(W391,"0.00")&amp;" - комиссия "&amp;TEXT(V391*R391/100,"0.00")&amp;" - доставка "&amp;TEXT(P391,"0.00")&amp;" - прочие "&amp;TEXT(Q391,"0.00")&amp;" = "&amp;TEXT(G391,"0.00")&amp;" "&amp;L391,"Введите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1" s="24" t="n">
        <x:v>2.1836967258916387</x:v>
      </x:c>
      <x:c r="AG391" s="37" t="n">
        <x:v>15</x:v>
      </x:c>
      <x:c r="AH391" s="37" t="n">
        <x:v>0</x:v>
      </x:c>
      <x:c r="AI391" s="30" t="n">
        <x:v>46266</x:v>
      </x:c>
      <x:c r="AJ391" s="37" t="n">
        <x:v>1</x:v>
      </x:c>
      <x:c r="AK391" s="10" t="str">
        <x:v>минимум</x:v>
      </x:c>
      <x:c r="AL391" s="32" t="n">
        <x:v>584.1413908019177</x:v>
      </x:c>
      <x:c r="AM39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91" s="13" t="str">
        <x:v>Проверить свободный остаток и установить цену для B2B</x:v>
      </x:c>
      <x:c r="AO391" s="13" t="str">
        <x:v>Остаток 15; прогноз 90 дней 2.18; избыток 12 шт. Будущие поступления не выставляются на продажу. Остаток на начало сентября: требуется актуализация.</x:v>
      </x:c>
      <x:c r="AP391" s="13" t="str">
        <x:v>["category_missing", "daily_stockout_data_missing", "new_order_lead_time_unknown", "reservations_unknown", "stale_stock"]</x:v>
      </x:c>
      <x:c r="AQ391" s="10" t="str">
        <x:v>IEK:030201066_</x:v>
      </x:c>
      <x:c r="AR391" s="24" t="n">
        <x:v>1</x:v>
      </x:c>
      <x:c r="AS391" s="24" t="n">
        <x:v>0</x:v>
      </x:c>
      <x:c r="AT391" s="24" t="n">
        <x:v>0</x:v>
      </x:c>
    </x:row>
    <x:row r="392" ht="64" customHeight="1">
      <x:c r="A392" s="11" t="str">
        <x:v>IEK</x:v>
      </x:c>
      <x:c r="B392" s="33" t="str">
        <x:v>030201067_</x:v>
      </x:c>
      <x:c r="C392" s="33" t="str">
        <x:v>BR-M12-51-K10</x:v>
      </x:c>
      <x:c r="D392" s="12" t="str">
        <x:v>Рамка 1-мест. "BRITE"  беж. рифленый  IEK  (1/100)</x:v>
      </x:c>
      <x:c r="E392" s="11" t="str">
        <x:v>шт</x:v>
      </x:c>
      <x:c r="F392" s="35" t="n">
        <x:f>MAX(0,ROUNDDOWN((AG392-AF392)/AR392+0.000000001,0)*AR392)</x:f>
        <x:v>17</x:v>
      </x:c>
      <x:c r="G392" s="20" t="str">
        <x:f>IF(J392="Рассчитано",V392*(1-R392/100)-W392-P392-Q392,"н/д")</x:f>
        <x:v>н/д</x:v>
      </x:c>
      <x:c r="H392" s="12" t="str">
        <x:v>Высокий</x:v>
      </x:c>
      <x:c r="I392" s="12" t="str">
        <x:v>Высокий</x:v>
      </x:c>
      <x:c r="J392" s="12" t="str">
        <x:f>IF(L392="","Укажите валюту",IF(NOT(ISNUMBER(K392)),"Укажите объём",IF(K392&lt;=0,"Укажите объём",IF(K392&gt;F392,"Объём выше излишка",IF(COUNT(M392:O392)&lt;3,"Нужны цены",IF(COUNT(P392:R392)&lt;3,"Нужны расходы",IF(OR(M392&lt;0,N392&lt;0,O392&lt;0,O392&gt;100,P392&lt;0,Q392&lt;0,R392&lt;0,R392&gt;100),"Проверьте значения","Рассчитано")))))))</x:f>
        <x:v>Нужны цены</x:v>
      </x:c>
      <x:c r="K392" s="36" t="n">
        <x:v>17</x:v>
      </x:c>
      <x:c r="L392" s="19" t="str">
        <x:v>KZT</x:v>
      </x:c>
      <x:c r="M392" s="22"/>
      <x:c r="N392" s="22"/>
      <x:c r="O392" s="28"/>
      <x:c r="P392" s="22"/>
      <x:c r="Q392" s="22"/>
      <x:c r="R392" s="28"/>
      <x:c r="S392" s="22"/>
      <x:c r="T392" s="35" t="n">
        <x:f>K392</x:f>
        <x:v>17</x:v>
      </x:c>
      <x:c r="U392" s="20" t="str">
        <x:f>IF(J392="Рассчитано",N392*(1-O392/100),"н/д")</x:f>
        <x:v>н/д</x:v>
      </x:c>
      <x:c r="V392" s="20" t="str">
        <x:f>IF(J392="Рассчитано",T392*U392,"н/д")</x:f>
        <x:v>н/д</x:v>
      </x:c>
      <x:c r="W392" s="20" t="str">
        <x:f>IF(J392="Рассчитано",T392*M392,"н/д")</x:f>
        <x:v>н/д</x:v>
      </x:c>
      <x:c r="X392" s="20" t="str">
        <x:f>IF(J392="Рассчитано",V392-W392,"н/д")</x:f>
        <x:v>н/д</x:v>
      </x:c>
      <x:c r="Y392" s="26" t="str">
        <x:f>IF(J392="Рассчитано",IF(V392&gt;0,G392/V392,"н/д"),"н/д")</x:f>
        <x:v>н/д</x:v>
      </x:c>
      <x:c r="Z392" s="20" t="str">
        <x:f>"н/д"</x:f>
        <x:v>н/д</x:v>
      </x:c>
      <x:c r="AA392" s="20" t="str">
        <x:f>"н/д"</x:f>
        <x:v>н/д</x:v>
      </x:c>
      <x:c r="AB392" s="20" t="str">
        <x:f>"н/д"</x:f>
        <x:v>н/д</x:v>
      </x:c>
      <x:c r="AC392" s="20" t="str">
        <x:f>IF(AND(J392="Рассчитано",T392&gt;0,R392&lt;100),(W392+P392+Q392)/(T392*(1-R392/100)),"н/д")</x:f>
        <x:v>н/д</x:v>
      </x:c>
      <x:c r="AD392" s="11" t="str">
        <x:f>IF(ISNUMBER(G392),IF(G392&lt;0,"Убыток",IF(G392=0,"Без прибыли","Прибыль &gt; 0")),"Не оценён")</x:f>
        <x:v>Не оценён</x:v>
      </x:c>
      <x:c r="AE392" s="12" t="str">
        <x:f>IF(J392="Рассчитано","Выручка "&amp;TEXT(V392,"0.00")&amp;" - себестоимость "&amp;TEXT(W392,"0.00")&amp;" - комиссия "&amp;TEXT(V392*R392/100,"0.00")&amp;" - доставка "&amp;TEXT(P392,"0.00")&amp;" - прочие "&amp;TEXT(Q392,"0.00")&amp;" = "&amp;TEXT(G392,"0.00")&amp;" "&amp;L392,"Введите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2" s="23" t="n">
        <x:v>15.020534396627605</x:v>
      </x:c>
      <x:c r="AG392" s="35" t="n">
        <x:v>33</x:v>
      </x:c>
      <x:c r="AH392" s="35" t="n">
        <x:v>0</x:v>
      </x:c>
      <x:c r="AI392" s="29" t="n">
        <x:v>46266</x:v>
      </x:c>
      <x:c r="AJ392" s="35" t="n">
        <x:v>1</x:v>
      </x:c>
      <x:c r="AK392" s="11" t="str">
        <x:v>минимум</x:v>
      </x:c>
      <x:c r="AL392" s="31" t="n">
        <x:v>186.8304242387227</x:v>
      </x:c>
      <x:c r="AM39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92" s="12" t="str">
        <x:v>Проверить свободный остаток и установить цену для B2B</x:v>
      </x:c>
      <x:c r="AO392" s="12" t="str">
        <x:v>Остаток 33; прогноз 90 дней 15.02; избыток 17 шт. Будущие поступления не выставляются на продажу. Остаток на начало сентября: требуется актуализация.</x:v>
      </x:c>
      <x:c r="AP392" s="12" t="str">
        <x:v>["category_missing", "daily_stockout_data_missing", "negative_net_sales_clipped_for_forecast", "new_order_lead_time_unknown", "reservations_unknown", "stale_stock"]</x:v>
      </x:c>
      <x:c r="AQ392" s="11" t="str">
        <x:v>IEK:030201067_</x:v>
      </x:c>
      <x:c r="AR392" s="23" t="n">
        <x:v>1</x:v>
      </x:c>
      <x:c r="AS392" s="23" t="n">
        <x:v>0</x:v>
      </x:c>
      <x:c r="AT392" s="23" t="n">
        <x:v>0</x:v>
      </x:c>
    </x:row>
    <x:row r="393" ht="64" customHeight="1">
      <x:c r="A393" s="10" t="str">
        <x:v>IEK</x:v>
      </x:c>
      <x:c r="B393" s="34" t="str">
        <x:v>030201068_</x:v>
      </x:c>
      <x:c r="C393" s="34" t="str">
        <x:v>BR-M22-12-3-K10</x:v>
      </x:c>
      <x:c r="D393" s="13" t="str">
        <x:v>Рамка 2-мест. "BRITE"  беж./шамп.  IEK  (1/100)</x:v>
      </x:c>
      <x:c r="E393" s="10" t="str">
        <x:v>шт</x:v>
      </x:c>
      <x:c r="F393" s="37" t="n">
        <x:f>MAX(0,ROUNDDOWN((AG393-AF393)/AR393+0.000000001,0)*AR393)</x:f>
        <x:v>2</x:v>
      </x:c>
      <x:c r="G393" s="21" t="str">
        <x:f>IF(J393="Рассчитано",V393*(1-R393/100)-W393-P393-Q393,"н/д")</x:f>
        <x:v>н/д</x:v>
      </x:c>
      <x:c r="H393" s="13" t="str">
        <x:v>Высокий</x:v>
      </x:c>
      <x:c r="I393" s="13" t="str">
        <x:v>Средний</x:v>
      </x:c>
      <x:c r="J393" s="13" t="str">
        <x:f>IF(L393="","Укажите валюту",IF(NOT(ISNUMBER(K393)),"Укажите объём",IF(K393&lt;=0,"Укажите объём",IF(K393&gt;F393,"Объём выше излишка",IF(COUNT(M393:O393)&lt;3,"Нужны цены",IF(COUNT(P393:R393)&lt;3,"Нужны расходы",IF(OR(M393&lt;0,N393&lt;0,O393&lt;0,O393&gt;100,P393&lt;0,Q393&lt;0,R393&lt;0,R393&gt;100),"Проверьте значения","Рассчитано")))))))</x:f>
        <x:v>Нужны цены</x:v>
      </x:c>
      <x:c r="K393" s="36" t="n">
        <x:v>2</x:v>
      </x:c>
      <x:c r="L393" s="19" t="str">
        <x:v>KZT</x:v>
      </x:c>
      <x:c r="M393" s="22"/>
      <x:c r="N393" s="22"/>
      <x:c r="O393" s="28"/>
      <x:c r="P393" s="22"/>
      <x:c r="Q393" s="22"/>
      <x:c r="R393" s="28"/>
      <x:c r="S393" s="22"/>
      <x:c r="T393" s="37" t="n">
        <x:f>K393</x:f>
        <x:v>2</x:v>
      </x:c>
      <x:c r="U393" s="21" t="str">
        <x:f>IF(J393="Рассчитано",N393*(1-O393/100),"н/д")</x:f>
        <x:v>н/д</x:v>
      </x:c>
      <x:c r="V393" s="21" t="str">
        <x:f>IF(J393="Рассчитано",T393*U393,"н/д")</x:f>
        <x:v>н/д</x:v>
      </x:c>
      <x:c r="W393" s="21" t="str">
        <x:f>IF(J393="Рассчитано",T393*M393,"н/д")</x:f>
        <x:v>н/д</x:v>
      </x:c>
      <x:c r="X393" s="21" t="str">
        <x:f>IF(J393="Рассчитано",V393-W393,"н/д")</x:f>
        <x:v>н/д</x:v>
      </x:c>
      <x:c r="Y393" s="27" t="str">
        <x:f>IF(J393="Рассчитано",IF(V393&gt;0,G393/V393,"н/д"),"н/д")</x:f>
        <x:v>н/д</x:v>
      </x:c>
      <x:c r="Z393" s="21" t="str">
        <x:f>"н/д"</x:f>
        <x:v>н/д</x:v>
      </x:c>
      <x:c r="AA393" s="21" t="str">
        <x:f>"н/д"</x:f>
        <x:v>н/д</x:v>
      </x:c>
      <x:c r="AB393" s="21" t="str">
        <x:f>"н/д"</x:f>
        <x:v>н/д</x:v>
      </x:c>
      <x:c r="AC393" s="21" t="str">
        <x:f>IF(AND(J393="Рассчитано",T393&gt;0,R393&lt;100),(W393+P393+Q393)/(T393*(1-R393/100)),"н/д")</x:f>
        <x:v>н/д</x:v>
      </x:c>
      <x:c r="AD393" s="10" t="str">
        <x:f>IF(ISNUMBER(G393),IF(G393&lt;0,"Убыток",IF(G393=0,"Без прибыли","Прибыль &gt; 0")),"Не оценён")</x:f>
        <x:v>Не оценён</x:v>
      </x:c>
      <x:c r="AE393" s="13" t="str">
        <x:f>IF(J393="Рассчитано","Выручка "&amp;TEXT(V393,"0.00")&amp;" - себестоимость "&amp;TEXT(W393,"0.00")&amp;" - комиссия "&amp;TEXT(V393*R393/100,"0.00")&amp;" - доставка "&amp;TEXT(P393,"0.00")&amp;" - прочие "&amp;TEXT(Q393,"0.00")&amp;" = "&amp;TEXT(G393,"0.00")&amp;" "&amp;L393,"Введите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3" s="24" t="n">
        <x:v>17.563735744441097</x:v>
      </x:c>
      <x:c r="AG393" s="37" t="n">
        <x:v>20</x:v>
      </x:c>
      <x:c r="AH393" s="37" t="n">
        <x:v>0</x:v>
      </x:c>
      <x:c r="AI393" s="30" t="n">
        <x:v>46266</x:v>
      </x:c>
      <x:c r="AJ393" s="37" t="n">
        <x:v>1</x:v>
      </x:c>
      <x:c r="AK393" s="10" t="str">
        <x:v>минимум</x:v>
      </x:c>
      <x:c r="AL393" s="32" t="n">
        <x:v>96.83495289098053</x:v>
      </x:c>
      <x:c r="AM393" s="13" t="str">
        <x:v>Остаток на начало сентября; Резервы неизвестны; Нет ежедневных данных доступности. Запас выше прогноза на 90 дней</x:v>
      </x:c>
      <x:c r="AN393" s="13" t="str">
        <x:v>Проверить свободный остаток и установить цену для B2B</x:v>
      </x:c>
      <x:c r="AO393" s="13" t="str">
        <x:v>Остаток 20; прогноз 90 дней 17.56; избыток 2 шт. Будущие поступления не выставляются на продажу. Остаток на начало сентября: требуется актуализация.</x:v>
      </x:c>
      <x:c r="AP393" s="13" t="str">
        <x:v>["category_missing", "daily_stockout_data_missing", "new_order_lead_time_unknown", "reservations_unknown", "stale_stock"]</x:v>
      </x:c>
      <x:c r="AQ393" s="10" t="str">
        <x:v>IEK:030201068_</x:v>
      </x:c>
      <x:c r="AR393" s="24" t="n">
        <x:v>1</x:v>
      </x:c>
      <x:c r="AS393" s="24" t="n">
        <x:v>0</x:v>
      </x:c>
      <x:c r="AT393" s="24" t="n">
        <x:v>0</x:v>
      </x:c>
    </x:row>
    <x:row r="394" ht="64" customHeight="1">
      <x:c r="A394" s="11" t="str">
        <x:v>IEK</x:v>
      </x:c>
      <x:c r="B394" s="33" t="str">
        <x:v>030201069_</x:v>
      </x:c>
      <x:c r="C394" s="33" t="str">
        <x:v>BR-M22-12-K47</x:v>
      </x:c>
      <x:c r="D394" s="12" t="str">
        <x:v>Рамка 2-мест. "BRITE"  алюм./алюм.  IEK  (1/100)</x:v>
      </x:c>
      <x:c r="E394" s="11" t="str">
        <x:v>шт</x:v>
      </x:c>
      <x:c r="F394" s="35" t="n">
        <x:f>MAX(0,ROUNDDOWN((AG394-AF394)/AR394+0.000000001,0)*AR394)</x:f>
        <x:v>4</x:v>
      </x:c>
      <x:c r="G394" s="20" t="str">
        <x:f>IF(J394="Рассчитано",V394*(1-R394/100)-W394-P394-Q394,"н/д")</x:f>
        <x:v>н/д</x:v>
      </x:c>
      <x:c r="H394" s="12" t="str">
        <x:v>Высокий</x:v>
      </x:c>
      <x:c r="I394" s="12" t="str">
        <x:v>Высокий</x:v>
      </x:c>
      <x:c r="J394" s="12" t="str">
        <x:f>IF(L394="","Укажите валюту",IF(NOT(ISNUMBER(K394)),"Укажите объём",IF(K394&lt;=0,"Укажите объём",IF(K394&gt;F394,"Объём выше излишка",IF(COUNT(M394:O394)&lt;3,"Нужны цены",IF(COUNT(P394:R394)&lt;3,"Нужны расходы",IF(OR(M394&lt;0,N394&lt;0,O394&lt;0,O394&gt;100,P394&lt;0,Q394&lt;0,R394&lt;0,R394&gt;100),"Проверьте значения","Рассчитано")))))))</x:f>
        <x:v>Нужны цены</x:v>
      </x:c>
      <x:c r="K394" s="36" t="n">
        <x:v>4</x:v>
      </x:c>
      <x:c r="L394" s="19" t="str">
        <x:v>KZT</x:v>
      </x:c>
      <x:c r="M394" s="22"/>
      <x:c r="N394" s="22"/>
      <x:c r="O394" s="28"/>
      <x:c r="P394" s="22"/>
      <x:c r="Q394" s="22"/>
      <x:c r="R394" s="28"/>
      <x:c r="S394" s="22"/>
      <x:c r="T394" s="35" t="n">
        <x:f>K394</x:f>
        <x:v>4</x:v>
      </x:c>
      <x:c r="U394" s="20" t="str">
        <x:f>IF(J394="Рассчитано",N394*(1-O394/100),"н/д")</x:f>
        <x:v>н/д</x:v>
      </x:c>
      <x:c r="V394" s="20" t="str">
        <x:f>IF(J394="Рассчитано",T394*U394,"н/д")</x:f>
        <x:v>н/д</x:v>
      </x:c>
      <x:c r="W394" s="20" t="str">
        <x:f>IF(J394="Рассчитано",T394*M394,"н/д")</x:f>
        <x:v>н/д</x:v>
      </x:c>
      <x:c r="X394" s="20" t="str">
        <x:f>IF(J394="Рассчитано",V394-W394,"н/д")</x:f>
        <x:v>н/д</x:v>
      </x:c>
      <x:c r="Y394" s="26" t="str">
        <x:f>IF(J394="Рассчитано",IF(V394&gt;0,G394/V394,"н/д"),"н/д")</x:f>
        <x:v>н/д</x:v>
      </x:c>
      <x:c r="Z394" s="20" t="str">
        <x:f>"н/д"</x:f>
        <x:v>н/д</x:v>
      </x:c>
      <x:c r="AA394" s="20" t="str">
        <x:f>"н/д"</x:f>
        <x:v>н/д</x:v>
      </x:c>
      <x:c r="AB394" s="20" t="str">
        <x:f>"н/д"</x:f>
        <x:v>н/д</x:v>
      </x:c>
      <x:c r="AC394" s="20" t="str">
        <x:f>IF(AND(J394="Рассчитано",T394&gt;0,R394&lt;100),(W394+P394+Q394)/(T394*(1-R394/100)),"н/д")</x:f>
        <x:v>н/д</x:v>
      </x:c>
      <x:c r="AD394" s="11" t="str">
        <x:f>IF(ISNUMBER(G394),IF(G394&lt;0,"Убыток",IF(G394=0,"Без прибыли","Прибыль &gt; 0")),"Не оценён")</x:f>
        <x:v>Не оценён</x:v>
      </x:c>
      <x:c r="AE394" s="12" t="str">
        <x:f>IF(J394="Рассчитано","Выручка "&amp;TEXT(V394,"0.00")&amp;" - себестоимость "&amp;TEXT(W394,"0.00")&amp;" - комиссия "&amp;TEXT(V394*R394/100,"0.00")&amp;" - доставка "&amp;TEXT(P394,"0.00")&amp;" - прочие "&amp;TEXT(Q394,"0.00")&amp;" = "&amp;TEXT(G394,"0.00")&amp;" "&amp;L394,"Введите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4" s="23" t="n">
        <x:v>0</x:v>
      </x:c>
      <x:c r="AG394" s="35" t="n">
        <x:v>4</x:v>
      </x:c>
      <x:c r="AH394" s="35" t="n">
        <x:v>0</x:v>
      </x:c>
      <x:c r="AI394" s="29" t="n">
        <x:v>46266</x:v>
      </x:c>
      <x:c r="AJ394" s="35" t="n">
        <x:v>1</x:v>
      </x:c>
      <x:c r="AK394" s="11" t="str">
        <x:v>минимум</x:v>
      </x:c>
      <x:c r="AL394" s="31" t="str">
        <x:v>н/д</x:v>
      </x:c>
      <x:c r="AM39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394" s="12" t="str">
        <x:v>Проверить свободный остаток и установить цену для B2B</x:v>
      </x:c>
      <x:c r="AO394" s="12" t="str">
        <x:v>Остаток 4; прогноз 90 дней 0.00; избыток 4 шт. Будущие поступления не выставляются на продажу. Остаток на начало сентября: требуется актуализация.</x:v>
      </x:c>
      <x:c r="AP394" s="12" t="str">
        <x:v>["category_missing", "daily_stockout_data_missing", "new_order_lead_time_unknown", "reservations_unknown", "stale_stock"]</x:v>
      </x:c>
      <x:c r="AQ394" s="11" t="str">
        <x:v>IEK:030201069_</x:v>
      </x:c>
      <x:c r="AR394" s="23" t="n">
        <x:v>1</x:v>
      </x:c>
      <x:c r="AS394" s="23" t="n">
        <x:v>0</x:v>
      </x:c>
      <x:c r="AT394" s="23" t="n">
        <x:v>0</x:v>
      </x:c>
    </x:row>
    <x:row r="395" ht="64" customHeight="1">
      <x:c r="A395" s="10" t="str">
        <x:v>IEK</x:v>
      </x:c>
      <x:c r="B395" s="34" t="str">
        <x:v>030201070_</x:v>
      </x:c>
      <x:c r="C395" s="34" t="str">
        <x:v>BR-M32-12-K47</x:v>
      </x:c>
      <x:c r="D395" s="13" t="str">
        <x:v>Рамка 3-мест. "BRITE"  алюм./алюм.  IEK  (1/100)</x:v>
      </x:c>
      <x:c r="E395" s="10" t="str">
        <x:v>шт</x:v>
      </x:c>
      <x:c r="F395" s="37" t="n">
        <x:f>MAX(0,ROUNDDOWN((AG395-AF395)/AR395+0.000000001,0)*AR395)</x:f>
        <x:v>28</x:v>
      </x:c>
      <x:c r="G395" s="21" t="str">
        <x:f>IF(J395="Рассчитано",V395*(1-R395/100)-W395-P395-Q395,"н/д")</x:f>
        <x:v>н/д</x:v>
      </x:c>
      <x:c r="H395" s="13" t="str">
        <x:v>Высокий</x:v>
      </x:c>
      <x:c r="I395" s="13" t="str">
        <x:v>Высокий</x:v>
      </x:c>
      <x:c r="J395" s="13" t="str">
        <x:f>IF(L395="","Укажите валюту",IF(NOT(ISNUMBER(K395)),"Укажите объём",IF(K395&lt;=0,"Укажите объём",IF(K395&gt;F395,"Объём выше излишка",IF(COUNT(M395:O395)&lt;3,"Нужны цены",IF(COUNT(P395:R395)&lt;3,"Нужны расходы",IF(OR(M395&lt;0,N395&lt;0,O395&lt;0,O395&gt;100,P395&lt;0,Q395&lt;0,R395&lt;0,R395&gt;100),"Проверьте значения","Рассчитано")))))))</x:f>
        <x:v>Нужны цены</x:v>
      </x:c>
      <x:c r="K395" s="36" t="n">
        <x:v>28</x:v>
      </x:c>
      <x:c r="L395" s="19" t="str">
        <x:v>KZT</x:v>
      </x:c>
      <x:c r="M395" s="22"/>
      <x:c r="N395" s="22"/>
      <x:c r="O395" s="28"/>
      <x:c r="P395" s="22"/>
      <x:c r="Q395" s="22"/>
      <x:c r="R395" s="28"/>
      <x:c r="S395" s="22"/>
      <x:c r="T395" s="37" t="n">
        <x:f>K395</x:f>
        <x:v>28</x:v>
      </x:c>
      <x:c r="U395" s="21" t="str">
        <x:f>IF(J395="Рассчитано",N395*(1-O395/100),"н/д")</x:f>
        <x:v>н/д</x:v>
      </x:c>
      <x:c r="V395" s="21" t="str">
        <x:f>IF(J395="Рассчитано",T395*U395,"н/д")</x:f>
        <x:v>н/д</x:v>
      </x:c>
      <x:c r="W395" s="21" t="str">
        <x:f>IF(J395="Рассчитано",T395*M395,"н/д")</x:f>
        <x:v>н/д</x:v>
      </x:c>
      <x:c r="X395" s="21" t="str">
        <x:f>IF(J395="Рассчитано",V395-W395,"н/д")</x:f>
        <x:v>н/д</x:v>
      </x:c>
      <x:c r="Y395" s="27" t="str">
        <x:f>IF(J395="Рассчитано",IF(V395&gt;0,G395/V395,"н/д"),"н/д")</x:f>
        <x:v>н/д</x:v>
      </x:c>
      <x:c r="Z395" s="21" t="str">
        <x:f>"н/д"</x:f>
        <x:v>н/д</x:v>
      </x:c>
      <x:c r="AA395" s="21" t="str">
        <x:f>"н/д"</x:f>
        <x:v>н/д</x:v>
      </x:c>
      <x:c r="AB395" s="21" t="str">
        <x:f>"н/д"</x:f>
        <x:v>н/д</x:v>
      </x:c>
      <x:c r="AC395" s="21" t="str">
        <x:f>IF(AND(J395="Рассчитано",T395&gt;0,R395&lt;100),(W395+P395+Q395)/(T395*(1-R395/100)),"н/д")</x:f>
        <x:v>н/д</x:v>
      </x:c>
      <x:c r="AD395" s="10" t="str">
        <x:f>IF(ISNUMBER(G395),IF(G395&lt;0,"Убыток",IF(G395=0,"Без прибыли","Прибыль &gt; 0")),"Не оценён")</x:f>
        <x:v>Не оценён</x:v>
      </x:c>
      <x:c r="AE395" s="13" t="str">
        <x:f>IF(J395="Рассчитано","Выручка "&amp;TEXT(V395,"0.00")&amp;" - себестоимость "&amp;TEXT(W395,"0.00")&amp;" - комиссия "&amp;TEXT(V395*R395/100,"0.00")&amp;" - доставка "&amp;TEXT(P395,"0.00")&amp;" - прочие "&amp;TEXT(Q395,"0.00")&amp;" = "&amp;TEXT(G395,"0.00")&amp;" "&amp;L395,"Введите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5" s="24" t="n">
        <x:v>0.5919040203103042</x:v>
      </x:c>
      <x:c r="AG395" s="37" t="n">
        <x:v>29</x:v>
      </x:c>
      <x:c r="AH395" s="37" t="n">
        <x:v>0</x:v>
      </x:c>
      <x:c r="AI395" s="30" t="n">
        <x:v>46266</x:v>
      </x:c>
      <x:c r="AJ395" s="37" t="n">
        <x:v>1</x:v>
      </x:c>
      <x:c r="AK395" s="10" t="str">
        <x:v>минимум</x:v>
      </x:c>
      <x:c r="AL395" s="32" t="n">
        <x:v>4166.445951221749</x:v>
      </x:c>
      <x:c r="AM39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95" s="13" t="str">
        <x:v>Проверить свободный остаток и установить цену для B2B</x:v>
      </x:c>
      <x:c r="AO395" s="13" t="str">
        <x:v>Остаток 29; прогноз 90 дней 0.59; избыток 28 шт. Будущие поступления не выставляются на продажу. Остаток на начало сентября: требуется актуализация.</x:v>
      </x:c>
      <x:c r="AP395" s="13" t="str">
        <x:v>["category_missing", "daily_stockout_data_missing", "new_order_lead_time_unknown", "reservations_unknown", "stale_stock"]</x:v>
      </x:c>
      <x:c r="AQ395" s="10" t="str">
        <x:v>IEK:030201070_</x:v>
      </x:c>
      <x:c r="AR395" s="24" t="n">
        <x:v>1</x:v>
      </x:c>
      <x:c r="AS395" s="24" t="n">
        <x:v>0</x:v>
      </x:c>
      <x:c r="AT395" s="24" t="n">
        <x:v>0</x:v>
      </x:c>
    </x:row>
    <x:row r="396" ht="64" customHeight="1">
      <x:c r="A396" s="11" t="str">
        <x:v>IEK</x:v>
      </x:c>
      <x:c r="B396" s="33" t="str">
        <x:v>030201071_</x:v>
      </x:c>
      <x:c r="C396" s="33" t="str">
        <x:v>BR-M42-12-K47</x:v>
      </x:c>
      <x:c r="D396" s="12" t="str">
        <x:v>Рамка 4-мест. "BRITE"  алюм./алюм.  IEK  (1/100)</x:v>
      </x:c>
      <x:c r="E396" s="11" t="str">
        <x:v>шт</x:v>
      </x:c>
      <x:c r="F396" s="35" t="n">
        <x:f>MAX(0,ROUNDDOWN((AG396-AF396)/AR396+0.000000001,0)*AR396)</x:f>
        <x:v>4</x:v>
      </x:c>
      <x:c r="G396" s="20" t="str">
        <x:f>IF(J396="Рассчитано",V396*(1-R396/100)-W396-P396-Q396,"н/д")</x:f>
        <x:v>н/д</x:v>
      </x:c>
      <x:c r="H396" s="12" t="str">
        <x:v>Высокий</x:v>
      </x:c>
      <x:c r="I396" s="12" t="str">
        <x:v>Высокий</x:v>
      </x:c>
      <x:c r="J396" s="12" t="str">
        <x:f>IF(L396="","Укажите валюту",IF(NOT(ISNUMBER(K396)),"Укажите объём",IF(K396&lt;=0,"Укажите объём",IF(K396&gt;F396,"Объём выше излишка",IF(COUNT(M396:O396)&lt;3,"Нужны цены",IF(COUNT(P396:R396)&lt;3,"Нужны расходы",IF(OR(M396&lt;0,N396&lt;0,O396&lt;0,O396&gt;100,P396&lt;0,Q396&lt;0,R396&lt;0,R396&gt;100),"Проверьте значения","Рассчитано")))))))</x:f>
        <x:v>Нужны цены</x:v>
      </x:c>
      <x:c r="K396" s="36" t="n">
        <x:v>4</x:v>
      </x:c>
      <x:c r="L396" s="19" t="str">
        <x:v>KZT</x:v>
      </x:c>
      <x:c r="M396" s="22"/>
      <x:c r="N396" s="22"/>
      <x:c r="O396" s="28"/>
      <x:c r="P396" s="22"/>
      <x:c r="Q396" s="22"/>
      <x:c r="R396" s="28"/>
      <x:c r="S396" s="22"/>
      <x:c r="T396" s="35" t="n">
        <x:f>K396</x:f>
        <x:v>4</x:v>
      </x:c>
      <x:c r="U396" s="20" t="str">
        <x:f>IF(J396="Рассчитано",N396*(1-O396/100),"н/д")</x:f>
        <x:v>н/д</x:v>
      </x:c>
      <x:c r="V396" s="20" t="str">
        <x:f>IF(J396="Рассчитано",T396*U396,"н/д")</x:f>
        <x:v>н/д</x:v>
      </x:c>
      <x:c r="W396" s="20" t="str">
        <x:f>IF(J396="Рассчитано",T396*M396,"н/д")</x:f>
        <x:v>н/д</x:v>
      </x:c>
      <x:c r="X396" s="20" t="str">
        <x:f>IF(J396="Рассчитано",V396-W396,"н/д")</x:f>
        <x:v>н/д</x:v>
      </x:c>
      <x:c r="Y396" s="26" t="str">
        <x:f>IF(J396="Рассчитано",IF(V396&gt;0,G396/V396,"н/д"),"н/д")</x:f>
        <x:v>н/д</x:v>
      </x:c>
      <x:c r="Z396" s="20" t="str">
        <x:f>"н/д"</x:f>
        <x:v>н/д</x:v>
      </x:c>
      <x:c r="AA396" s="20" t="str">
        <x:f>"н/д"</x:f>
        <x:v>н/д</x:v>
      </x:c>
      <x:c r="AB396" s="20" t="str">
        <x:f>"н/д"</x:f>
        <x:v>н/д</x:v>
      </x:c>
      <x:c r="AC396" s="20" t="str">
        <x:f>IF(AND(J396="Рассчитано",T396&gt;0,R396&lt;100),(W396+P396+Q396)/(T396*(1-R396/100)),"н/д")</x:f>
        <x:v>н/д</x:v>
      </x:c>
      <x:c r="AD396" s="11" t="str">
        <x:f>IF(ISNUMBER(G396),IF(G396&lt;0,"Убыток",IF(G396=0,"Без прибыли","Прибыль &gt; 0")),"Не оценён")</x:f>
        <x:v>Не оценён</x:v>
      </x:c>
      <x:c r="AE396" s="12" t="str">
        <x:f>IF(J396="Рассчитано","Выручка "&amp;TEXT(V396,"0.00")&amp;" - себестоимость "&amp;TEXT(W396,"0.00")&amp;" - комиссия "&amp;TEXT(V396*R396/100,"0.00")&amp;" - доставка "&amp;TEXT(P396,"0.00")&amp;" - прочие "&amp;TEXT(Q396,"0.00")&amp;" = "&amp;TEXT(G396,"0.00")&amp;" "&amp;L396,"Введите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6" s="23" t="n">
        <x:v>0.19730134010343464</x:v>
      </x:c>
      <x:c r="AG396" s="35" t="n">
        <x:v>5</x:v>
      </x:c>
      <x:c r="AH396" s="35" t="n">
        <x:v>0</x:v>
      </x:c>
      <x:c r="AI396" s="29" t="n">
        <x:v>46266</x:v>
      </x:c>
      <x:c r="AJ396" s="35" t="n">
        <x:v>1</x:v>
      </x:c>
      <x:c r="AK396" s="11" t="str">
        <x:v>минимум</x:v>
      </x:c>
      <x:c r="AL396" s="31" t="n">
        <x:v>2155.05825063194</x:v>
      </x:c>
      <x:c r="AM39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96" s="12" t="str">
        <x:v>Проверить свободный остаток и установить цену для B2B</x:v>
      </x:c>
      <x:c r="AO396" s="12" t="str">
        <x:v>Остаток 5; прогноз 90 дней 0.20; избыток 4 шт. Будущие поступления не выставляются на продажу. Остаток на начало сентября: требуется актуализация.</x:v>
      </x:c>
      <x:c r="AP396" s="12" t="str">
        <x:v>["category_missing", "daily_stockout_data_missing", "new_order_lead_time_unknown", "reservations_unknown", "stale_stock"]</x:v>
      </x:c>
      <x:c r="AQ396" s="11" t="str">
        <x:v>IEK:030201071_</x:v>
      </x:c>
      <x:c r="AR396" s="23" t="n">
        <x:v>1</x:v>
      </x:c>
      <x:c r="AS396" s="23" t="n">
        <x:v>0</x:v>
      </x:c>
      <x:c r="AT396" s="23" t="n">
        <x:v>0</x:v>
      </x:c>
    </x:row>
    <x:row r="397" ht="64" customHeight="1">
      <x:c r="A397" s="10" t="str">
        <x:v>IEK</x:v>
      </x:c>
      <x:c r="B397" s="34" t="str">
        <x:v>030201072_</x:v>
      </x:c>
      <x:c r="C397" s="34" t="str">
        <x:v>BR-M12-12-4-K23</x:v>
      </x:c>
      <x:c r="D397" s="13" t="str">
        <x:v>Рамка 1-мест. "BRITE"  хром/никель  IEK  (1/100)</x:v>
      </x:c>
      <x:c r="E397" s="10" t="str">
        <x:v>шт</x:v>
      </x:c>
      <x:c r="F397" s="37" t="n">
        <x:f>MAX(0,ROUNDDOWN((AG397-AF397)/AR397+0.000000001,0)*AR397)</x:f>
        <x:v>8</x:v>
      </x:c>
      <x:c r="G397" s="21" t="str">
        <x:f>IF(J397="Рассчитано",V397*(1-R397/100)-W397-P397-Q397,"н/д")</x:f>
        <x:v>н/д</x:v>
      </x:c>
      <x:c r="H397" s="13" t="str">
        <x:v>Высокий</x:v>
      </x:c>
      <x:c r="I397" s="13" t="str">
        <x:v>Высокий</x:v>
      </x:c>
      <x:c r="J397" s="13" t="str">
        <x:f>IF(L397="","Укажите валюту",IF(NOT(ISNUMBER(K397)),"Укажите объём",IF(K397&lt;=0,"Укажите объём",IF(K397&gt;F397,"Объём выше излишка",IF(COUNT(M397:O397)&lt;3,"Нужны цены",IF(COUNT(P397:R397)&lt;3,"Нужны расходы",IF(OR(M397&lt;0,N397&lt;0,O397&lt;0,O397&gt;100,P397&lt;0,Q397&lt;0,R397&lt;0,R397&gt;100),"Проверьте значения","Рассчитано")))))))</x:f>
        <x:v>Нужны цены</x:v>
      </x:c>
      <x:c r="K397" s="36" t="n">
        <x:v>8</x:v>
      </x:c>
      <x:c r="L397" s="19" t="str">
        <x:v>KZT</x:v>
      </x:c>
      <x:c r="M397" s="22"/>
      <x:c r="N397" s="22"/>
      <x:c r="O397" s="28"/>
      <x:c r="P397" s="22"/>
      <x:c r="Q397" s="22"/>
      <x:c r="R397" s="28"/>
      <x:c r="S397" s="22"/>
      <x:c r="T397" s="37" t="n">
        <x:f>K397</x:f>
        <x:v>8</x:v>
      </x:c>
      <x:c r="U397" s="21" t="str">
        <x:f>IF(J397="Рассчитано",N397*(1-O397/100),"н/д")</x:f>
        <x:v>н/д</x:v>
      </x:c>
      <x:c r="V397" s="21" t="str">
        <x:f>IF(J397="Рассчитано",T397*U397,"н/д")</x:f>
        <x:v>н/д</x:v>
      </x:c>
      <x:c r="W397" s="21" t="str">
        <x:f>IF(J397="Рассчитано",T397*M397,"н/д")</x:f>
        <x:v>н/д</x:v>
      </x:c>
      <x:c r="X397" s="21" t="str">
        <x:f>IF(J397="Рассчитано",V397-W397,"н/д")</x:f>
        <x:v>н/д</x:v>
      </x:c>
      <x:c r="Y397" s="27" t="str">
        <x:f>IF(J397="Рассчитано",IF(V397&gt;0,G397/V397,"н/д"),"н/д")</x:f>
        <x:v>н/д</x:v>
      </x:c>
      <x:c r="Z397" s="21" t="str">
        <x:f>"н/д"</x:f>
        <x:v>н/д</x:v>
      </x:c>
      <x:c r="AA397" s="21" t="str">
        <x:f>"н/д"</x:f>
        <x:v>н/д</x:v>
      </x:c>
      <x:c r="AB397" s="21" t="str">
        <x:f>"н/д"</x:f>
        <x:v>н/д</x:v>
      </x:c>
      <x:c r="AC397" s="21" t="str">
        <x:f>IF(AND(J397="Рассчитано",T397&gt;0,R397&lt;100),(W397+P397+Q397)/(T397*(1-R397/100)),"н/д")</x:f>
        <x:v>н/д</x:v>
      </x:c>
      <x:c r="AD397" s="10" t="str">
        <x:f>IF(ISNUMBER(G397),IF(G397&lt;0,"Убыток",IF(G397=0,"Без прибыли","Прибыль &gt; 0")),"Не оценён")</x:f>
        <x:v>Не оценён</x:v>
      </x:c>
      <x:c r="AE397" s="13" t="str">
        <x:f>IF(J397="Рассчитано","Выручка "&amp;TEXT(V397,"0.00")&amp;" - себестоимость "&amp;TEXT(W397,"0.00")&amp;" - комиссия "&amp;TEXT(V397*R397/100,"0.00")&amp;" - доставка "&amp;TEXT(P397,"0.00")&amp;" - прочие "&amp;TEXT(Q397,"0.00")&amp;" = "&amp;TEXT(G397,"0.00")&amp;" "&amp;L397,"Введите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7" s="24" t="n">
        <x:v>1.9365709057779414</x:v>
      </x:c>
      <x:c r="AG397" s="37" t="n">
        <x:v>10</x:v>
      </x:c>
      <x:c r="AH397" s="37" t="n">
        <x:v>0</x:v>
      </x:c>
      <x:c r="AI397" s="30" t="n">
        <x:v>46266</x:v>
      </x:c>
      <x:c r="AJ397" s="37" t="n">
        <x:v>1</x:v>
      </x:c>
      <x:c r="AK397" s="10" t="str">
        <x:v>минимум</x:v>
      </x:c>
      <x:c r="AL397" s="32" t="n">
        <x:v>439.12245049435904</x:v>
      </x:c>
      <x:c r="AM39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97" s="13" t="str">
        <x:v>Проверить свободный остаток и установить цену для B2B</x:v>
      </x:c>
      <x:c r="AO397" s="13" t="str">
        <x:v>Остаток 10; прогноз 90 дней 1.94; избыток 8 шт. Будущие поступления не выставляются на продажу. Остаток на начало сентября: требуется актуализация.</x:v>
      </x:c>
      <x:c r="AP397" s="13" t="str">
        <x:v>["category_missing", "daily_stockout_data_missing", "new_order_lead_time_unknown", "reservations_unknown", "stale_stock"]</x:v>
      </x:c>
      <x:c r="AQ397" s="10" t="str">
        <x:v>IEK:030201072_</x:v>
      </x:c>
      <x:c r="AR397" s="24" t="n">
        <x:v>1</x:v>
      </x:c>
      <x:c r="AS397" s="24" t="n">
        <x:v>0</x:v>
      </x:c>
      <x:c r="AT397" s="24" t="n">
        <x:v>0</x:v>
      </x:c>
    </x:row>
    <x:row r="398" ht="64" customHeight="1">
      <x:c r="A398" s="11" t="str">
        <x:v>IEK</x:v>
      </x:c>
      <x:c r="B398" s="33" t="str">
        <x:v>030201073_</x:v>
      </x:c>
      <x:c r="C398" s="33" t="str">
        <x:v>BR-M22-12-2-K23</x:v>
      </x:c>
      <x:c r="D398" s="12" t="str">
        <x:v>Рамка 2-мест. "BRITE"  хром/черн.  IEK  (1/100)</x:v>
      </x:c>
      <x:c r="E398" s="11" t="str">
        <x:v>шт</x:v>
      </x:c>
      <x:c r="F398" s="35" t="n">
        <x:f>MAX(0,ROUNDDOWN((AG398-AF398)/AR398+0.000000001,0)*AR398)</x:f>
        <x:v>4</x:v>
      </x:c>
      <x:c r="G398" s="20" t="str">
        <x:f>IF(J398="Рассчитано",V398*(1-R398/100)-W398-P398-Q398,"н/д")</x:f>
        <x:v>н/д</x:v>
      </x:c>
      <x:c r="H398" s="12" t="str">
        <x:v>Высокий</x:v>
      </x:c>
      <x:c r="I398" s="12" t="str">
        <x:v>Средний</x:v>
      </x:c>
      <x:c r="J398" s="12" t="str">
        <x:f>IF(L398="","Укажите валюту",IF(NOT(ISNUMBER(K398)),"Укажите объём",IF(K398&lt;=0,"Укажите объём",IF(K398&gt;F398,"Объём выше излишка",IF(COUNT(M398:O398)&lt;3,"Нужны цены",IF(COUNT(P398:R398)&lt;3,"Нужны расходы",IF(OR(M398&lt;0,N398&lt;0,O398&lt;0,O398&gt;100,P398&lt;0,Q398&lt;0,R398&lt;0,R398&gt;100),"Проверьте значения","Рассчитано")))))))</x:f>
        <x:v>Нужны цены</x:v>
      </x:c>
      <x:c r="K398" s="36" t="n">
        <x:v>4</x:v>
      </x:c>
      <x:c r="L398" s="19" t="str">
        <x:v>KZT</x:v>
      </x:c>
      <x:c r="M398" s="22"/>
      <x:c r="N398" s="22"/>
      <x:c r="O398" s="28"/>
      <x:c r="P398" s="22"/>
      <x:c r="Q398" s="22"/>
      <x:c r="R398" s="28"/>
      <x:c r="S398" s="22"/>
      <x:c r="T398" s="35" t="n">
        <x:f>K398</x:f>
        <x:v>4</x:v>
      </x:c>
      <x:c r="U398" s="20" t="str">
        <x:f>IF(J398="Рассчитано",N398*(1-O398/100),"н/д")</x:f>
        <x:v>н/д</x:v>
      </x:c>
      <x:c r="V398" s="20" t="str">
        <x:f>IF(J398="Рассчитано",T398*U398,"н/д")</x:f>
        <x:v>н/д</x:v>
      </x:c>
      <x:c r="W398" s="20" t="str">
        <x:f>IF(J398="Рассчитано",T398*M398,"н/д")</x:f>
        <x:v>н/д</x:v>
      </x:c>
      <x:c r="X398" s="20" t="str">
        <x:f>IF(J398="Рассчитано",V398-W398,"н/д")</x:f>
        <x:v>н/д</x:v>
      </x:c>
      <x:c r="Y398" s="26" t="str">
        <x:f>IF(J398="Рассчитано",IF(V398&gt;0,G398/V398,"н/д"),"н/д")</x:f>
        <x:v>н/д</x:v>
      </x:c>
      <x:c r="Z398" s="20" t="str">
        <x:f>"н/д"</x:f>
        <x:v>н/д</x:v>
      </x:c>
      <x:c r="AA398" s="20" t="str">
        <x:f>"н/д"</x:f>
        <x:v>н/д</x:v>
      </x:c>
      <x:c r="AB398" s="20" t="str">
        <x:f>"н/д"</x:f>
        <x:v>н/д</x:v>
      </x:c>
      <x:c r="AC398" s="20" t="str">
        <x:f>IF(AND(J398="Рассчитано",T398&gt;0,R398&lt;100),(W398+P398+Q398)/(T398*(1-R398/100)),"н/д")</x:f>
        <x:v>н/д</x:v>
      </x:c>
      <x:c r="AD398" s="11" t="str">
        <x:f>IF(ISNUMBER(G398),IF(G398&lt;0,"Убыток",IF(G398=0,"Без прибыли","Прибыль &gt; 0")),"Не оценён")</x:f>
        <x:v>Не оценён</x:v>
      </x:c>
      <x:c r="AE398" s="12" t="str">
        <x:f>IF(J398="Рассчитано","Выручка "&amp;TEXT(V398,"0.00")&amp;" - себестоимость "&amp;TEXT(W398,"0.00")&amp;" - комиссия "&amp;TEXT(V398*R398/100,"0.00")&amp;" - доставка "&amp;TEXT(P398,"0.00")&amp;" - прочие "&amp;TEXT(Q398,"0.00")&amp;" = "&amp;TEXT(G398,"0.00")&amp;" "&amp;L398,"Введите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8" s="23" t="n">
        <x:v>11.357591521241817</x:v>
      </x:c>
      <x:c r="AG398" s="35" t="n">
        <x:v>16</x:v>
      </x:c>
      <x:c r="AH398" s="35" t="n">
        <x:v>0</x:v>
      </x:c>
      <x:c r="AI398" s="29" t="n">
        <x:v>46266</x:v>
      </x:c>
      <x:c r="AJ398" s="35" t="n">
        <x:v>1</x:v>
      </x:c>
      <x:c r="AK398" s="11" t="str">
        <x:v>минимум</x:v>
      </x:c>
      <x:c r="AL398" s="31" t="n">
        <x:v>119.79888660173413</x:v>
      </x:c>
      <x:c r="AM398" s="12" t="str">
        <x:v>Остаток на начало сентября; Резервы неизвестны; Нет ежедневных данных доступности. Запас выше прогноза на 90 дней</x:v>
      </x:c>
      <x:c r="AN398" s="12" t="str">
        <x:v>Проверить свободный остаток и установить цену для B2B</x:v>
      </x:c>
      <x:c r="AO398" s="12" t="str">
        <x:v>Остаток 16; прогноз 90 дней 11.36; избыток 4 шт. Будущие поступления не выставляются на продажу. Остаток на начало сентября: требуется актуализация.</x:v>
      </x:c>
      <x:c r="AP398" s="12" t="str">
        <x:v>["category_missing", "daily_stockout_data_missing", "new_order_lead_time_unknown", "reservations_unknown", "stale_stock"]</x:v>
      </x:c>
      <x:c r="AQ398" s="11" t="str">
        <x:v>IEK:030201073_</x:v>
      </x:c>
      <x:c r="AR398" s="23" t="n">
        <x:v>1</x:v>
      </x:c>
      <x:c r="AS398" s="23" t="n">
        <x:v>0</x:v>
      </x:c>
      <x:c r="AT398" s="23" t="n">
        <x:v>0</x:v>
      </x:c>
    </x:row>
    <x:row r="399" ht="64" customHeight="1">
      <x:c r="A399" s="10" t="str">
        <x:v>IEK</x:v>
      </x:c>
      <x:c r="B399" s="34" t="str">
        <x:v>030201074_</x:v>
      </x:c>
      <x:c r="C399" s="34" t="str">
        <x:v>BR-M22-51-K01</x:v>
      </x:c>
      <x:c r="D399" s="13" t="str">
        <x:v>Рамка 2-мест. "BRITE"  бел. рифленый  IEK  (1/100)</x:v>
      </x:c>
      <x:c r="E399" s="10" t="str">
        <x:v>шт</x:v>
      </x:c>
      <x:c r="F399" s="37" t="n">
        <x:f>MAX(0,ROUNDDOWN((AG399-AF399)/AR399+0.000000001,0)*AR399)</x:f>
        <x:v>3</x:v>
      </x:c>
      <x:c r="G399" s="21" t="str">
        <x:f>IF(J399="Рассчитано",V399*(1-R399/100)-W399-P399-Q399,"н/д")</x:f>
        <x:v>н/д</x:v>
      </x:c>
      <x:c r="H399" s="13" t="str">
        <x:v>Высокий</x:v>
      </x:c>
      <x:c r="I399" s="13" t="str">
        <x:v>Высокий</x:v>
      </x:c>
      <x:c r="J399" s="13" t="str">
        <x:f>IF(L399="","Укажите валюту",IF(NOT(ISNUMBER(K399)),"Укажите объём",IF(K399&lt;=0,"Укажите объём",IF(K399&gt;F399,"Объём выше излишка",IF(COUNT(M399:O399)&lt;3,"Нужны цены",IF(COUNT(P399:R399)&lt;3,"Нужны расходы",IF(OR(M399&lt;0,N399&lt;0,O399&lt;0,O399&gt;100,P399&lt;0,Q399&lt;0,R399&lt;0,R399&gt;100),"Проверьте значения","Рассчитано")))))))</x:f>
        <x:v>Нужны цены</x:v>
      </x:c>
      <x:c r="K399" s="36" t="n">
        <x:v>3</x:v>
      </x:c>
      <x:c r="L399" s="19" t="str">
        <x:v>KZT</x:v>
      </x:c>
      <x:c r="M399" s="22"/>
      <x:c r="N399" s="22"/>
      <x:c r="O399" s="28"/>
      <x:c r="P399" s="22"/>
      <x:c r="Q399" s="22"/>
      <x:c r="R399" s="28"/>
      <x:c r="S399" s="22"/>
      <x:c r="T399" s="37" t="n">
        <x:f>K399</x:f>
        <x:v>3</x:v>
      </x:c>
      <x:c r="U399" s="21" t="str">
        <x:f>IF(J399="Рассчитано",N399*(1-O399/100),"н/д")</x:f>
        <x:v>н/д</x:v>
      </x:c>
      <x:c r="V399" s="21" t="str">
        <x:f>IF(J399="Рассчитано",T399*U399,"н/д")</x:f>
        <x:v>н/д</x:v>
      </x:c>
      <x:c r="W399" s="21" t="str">
        <x:f>IF(J399="Рассчитано",T399*M399,"н/д")</x:f>
        <x:v>н/д</x:v>
      </x:c>
      <x:c r="X399" s="21" t="str">
        <x:f>IF(J399="Рассчитано",V399-W399,"н/д")</x:f>
        <x:v>н/д</x:v>
      </x:c>
      <x:c r="Y399" s="27" t="str">
        <x:f>IF(J399="Рассчитано",IF(V399&gt;0,G399/V399,"н/д"),"н/д")</x:f>
        <x:v>н/д</x:v>
      </x:c>
      <x:c r="Z399" s="21" t="str">
        <x:f>"н/д"</x:f>
        <x:v>н/д</x:v>
      </x:c>
      <x:c r="AA399" s="21" t="str">
        <x:f>"н/д"</x:f>
        <x:v>н/д</x:v>
      </x:c>
      <x:c r="AB399" s="21" t="str">
        <x:f>"н/д"</x:f>
        <x:v>н/д</x:v>
      </x:c>
      <x:c r="AC399" s="21" t="str">
        <x:f>IF(AND(J399="Рассчитано",T399&gt;0,R399&lt;100),(W399+P399+Q399)/(T399*(1-R399/100)),"н/д")</x:f>
        <x:v>н/д</x:v>
      </x:c>
      <x:c r="AD399" s="10" t="str">
        <x:f>IF(ISNUMBER(G399),IF(G399&lt;0,"Убыток",IF(G399=0,"Без прибыли","Прибыль &gt; 0")),"Не оценён")</x:f>
        <x:v>Не оценён</x:v>
      </x:c>
      <x:c r="AE399" s="13" t="str">
        <x:f>IF(J399="Рассчитано","Выручка "&amp;TEXT(V399,"0.00")&amp;" - себестоимость "&amp;TEXT(W399,"0.00")&amp;" - комиссия "&amp;TEXT(V399*R399/100,"0.00")&amp;" - доставка "&amp;TEXT(P399,"0.00")&amp;" - прочие "&amp;TEXT(Q399,"0.00")&amp;" = "&amp;TEXT(G399,"0.00")&amp;" "&amp;L399,"Введите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9" s="24" t="n">
        <x:v>0.114314323227914</x:v>
      </x:c>
      <x:c r="AG399" s="37" t="n">
        <x:v>4</x:v>
      </x:c>
      <x:c r="AH399" s="37" t="n">
        <x:v>0</x:v>
      </x:c>
      <x:c r="AI399" s="30" t="n">
        <x:v>46266</x:v>
      </x:c>
      <x:c r="AJ399" s="37" t="n">
        <x:v>1</x:v>
      </x:c>
      <x:c r="AK399" s="10" t="str">
        <x:v>минимум</x:v>
      </x:c>
      <x:c r="AL399" s="32" t="n">
        <x:v>2975.6262826516463</x:v>
      </x:c>
      <x:c r="AM39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399" s="13" t="str">
        <x:v>Проверить свободный остаток и установить цену для B2B</x:v>
      </x:c>
      <x:c r="AO399" s="13" t="str">
        <x:v>Остаток 4; прогноз 90 дней 0.11; избыток 3 шт. Будущие поступления не выставляются на продажу. Остаток на начало сентября: требуется актуализация.</x:v>
      </x:c>
      <x:c r="AP399" s="13" t="str">
        <x:v>["category_missing", "daily_stockout_data_missing", "new_order_lead_time_unknown", "reservations_unknown", "stale_stock"]</x:v>
      </x:c>
      <x:c r="AQ399" s="10" t="str">
        <x:v>IEK:030201074_</x:v>
      </x:c>
      <x:c r="AR399" s="24" t="n">
        <x:v>1</x:v>
      </x:c>
      <x:c r="AS399" s="24" t="n">
        <x:v>0</x:v>
      </x:c>
      <x:c r="AT399" s="24" t="n">
        <x:v>0</x:v>
      </x:c>
    </x:row>
    <x:row r="400" ht="64" customHeight="1">
      <x:c r="A400" s="11" t="str">
        <x:v>IEK</x:v>
      </x:c>
      <x:c r="B400" s="33" t="str">
        <x:v>030201075_</x:v>
      </x:c>
      <x:c r="C400" s="33" t="str">
        <x:v>BR-M22-51-K10</x:v>
      </x:c>
      <x:c r="D400" s="12" t="str">
        <x:v>Рамка 2-мест. "BRITE"  беж. рифленый  IEK  (1/100)</x:v>
      </x:c>
      <x:c r="E400" s="11" t="str">
        <x:v>шт</x:v>
      </x:c>
      <x:c r="F400" s="35" t="n">
        <x:f>MAX(0,ROUNDDOWN((AG400-AF400)/AR400+0.000000001,0)*AR400)</x:f>
        <x:v>2</x:v>
      </x:c>
      <x:c r="G400" s="20" t="str">
        <x:f>IF(J400="Рассчитано",V400*(1-R400/100)-W400-P400-Q400,"н/д")</x:f>
        <x:v>н/д</x:v>
      </x:c>
      <x:c r="H400" s="12" t="str">
        <x:v>Высокий</x:v>
      </x:c>
      <x:c r="I400" s="12" t="str">
        <x:v>Средний</x:v>
      </x:c>
      <x:c r="J400" s="12" t="str">
        <x:f>IF(L400="","Укажите валюту",IF(NOT(ISNUMBER(K400)),"Укажите объём",IF(K400&lt;=0,"Укажите объём",IF(K400&gt;F400,"Объём выше излишка",IF(COUNT(M400:O400)&lt;3,"Нужны цены",IF(COUNT(P400:R400)&lt;3,"Нужны расходы",IF(OR(M400&lt;0,N400&lt;0,O400&lt;0,O400&gt;100,P400&lt;0,Q400&lt;0,R400&lt;0,R400&gt;100),"Проверьте значения","Рассчитано")))))))</x:f>
        <x:v>Нужны цены</x:v>
      </x:c>
      <x:c r="K400" s="36" t="n">
        <x:v>2</x:v>
      </x:c>
      <x:c r="L400" s="19" t="str">
        <x:v>KZT</x:v>
      </x:c>
      <x:c r="M400" s="22"/>
      <x:c r="N400" s="22"/>
      <x:c r="O400" s="28"/>
      <x:c r="P400" s="22"/>
      <x:c r="Q400" s="22"/>
      <x:c r="R400" s="28"/>
      <x:c r="S400" s="22"/>
      <x:c r="T400" s="35" t="n">
        <x:f>K400</x:f>
        <x:v>2</x:v>
      </x:c>
      <x:c r="U400" s="20" t="str">
        <x:f>IF(J400="Рассчитано",N400*(1-O400/100),"н/д")</x:f>
        <x:v>н/д</x:v>
      </x:c>
      <x:c r="V400" s="20" t="str">
        <x:f>IF(J400="Рассчитано",T400*U400,"н/д")</x:f>
        <x:v>н/д</x:v>
      </x:c>
      <x:c r="W400" s="20" t="str">
        <x:f>IF(J400="Рассчитано",T400*M400,"н/д")</x:f>
        <x:v>н/д</x:v>
      </x:c>
      <x:c r="X400" s="20" t="str">
        <x:f>IF(J400="Рассчитано",V400-W400,"н/д")</x:f>
        <x:v>н/д</x:v>
      </x:c>
      <x:c r="Y400" s="26" t="str">
        <x:f>IF(J400="Рассчитано",IF(V400&gt;0,G400/V400,"н/д"),"н/д")</x:f>
        <x:v>н/д</x:v>
      </x:c>
      <x:c r="Z400" s="20" t="str">
        <x:f>"н/д"</x:f>
        <x:v>н/д</x:v>
      </x:c>
      <x:c r="AA400" s="20" t="str">
        <x:f>"н/д"</x:f>
        <x:v>н/д</x:v>
      </x:c>
      <x:c r="AB400" s="20" t="str">
        <x:f>"н/д"</x:f>
        <x:v>н/д</x:v>
      </x:c>
      <x:c r="AC400" s="20" t="str">
        <x:f>IF(AND(J400="Рассчитано",T400&gt;0,R400&lt;100),(W400+P400+Q400)/(T400*(1-R400/100)),"н/д")</x:f>
        <x:v>н/д</x:v>
      </x:c>
      <x:c r="AD400" s="11" t="str">
        <x:f>IF(ISNUMBER(G400),IF(G400&lt;0,"Убыток",IF(G400=0,"Без прибыли","Прибыль &gt; 0")),"Не оценён")</x:f>
        <x:v>Не оценён</x:v>
      </x:c>
      <x:c r="AE400" s="12" t="str">
        <x:f>IF(J400="Рассчитано","Выручка "&amp;TEXT(V400,"0.00")&amp;" - себестоимость "&amp;TEXT(W400,"0.00")&amp;" - комиссия "&amp;TEXT(V400*R400/100,"0.00")&amp;" - доставка "&amp;TEXT(P400,"0.00")&amp;" - прочие "&amp;TEXT(Q400,"0.00")&amp;" = "&amp;TEXT(G400,"0.00")&amp;" "&amp;L400,"Введите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0" s="23" t="n">
        <x:v>10.982125540728267</x:v>
      </x:c>
      <x:c r="AG400" s="35" t="n">
        <x:v>13</x:v>
      </x:c>
      <x:c r="AH400" s="35" t="n">
        <x:v>0</x:v>
      </x:c>
      <x:c r="AI400" s="29" t="n">
        <x:v>46266</x:v>
      </x:c>
      <x:c r="AJ400" s="35" t="n">
        <x:v>1</x:v>
      </x:c>
      <x:c r="AK400" s="11" t="str">
        <x:v>минимум</x:v>
      </x:c>
      <x:c r="AL400" s="31" t="n">
        <x:v>100.6644192976844</x:v>
      </x:c>
      <x:c r="AM400" s="12" t="str">
        <x:v>Остаток на начало сентября; Резервы неизвестны; Нет ежедневных данных доступности. Запас выше прогноза на 90 дней</x:v>
      </x:c>
      <x:c r="AN400" s="12" t="str">
        <x:v>Проверить свободный остаток и установить цену для B2B</x:v>
      </x:c>
      <x:c r="AO400" s="12" t="str">
        <x:v>Остаток 13; прогноз 90 дней 10.98; избыток 2 шт. Будущие поступления не выставляются на продажу. Остаток на начало сентября: требуется актуализация.</x:v>
      </x:c>
      <x:c r="AP400" s="12" t="str">
        <x:v>["category_missing", "daily_stockout_data_missing", "negative_net_sales_clipped_for_forecast", "new_order_lead_time_unknown", "reservations_unknown", "stale_stock"]</x:v>
      </x:c>
      <x:c r="AQ400" s="11" t="str">
        <x:v>IEK:030201075_</x:v>
      </x:c>
      <x:c r="AR400" s="23" t="n">
        <x:v>1</x:v>
      </x:c>
      <x:c r="AS400" s="23" t="n">
        <x:v>0</x:v>
      </x:c>
      <x:c r="AT400" s="23" t="n">
        <x:v>0</x:v>
      </x:c>
    </x:row>
    <x:row r="401" ht="64" customHeight="1">
      <x:c r="A401" s="10" t="str">
        <x:v>IEK</x:v>
      </x:c>
      <x:c r="B401" s="34" t="str">
        <x:v>030201076_</x:v>
      </x:c>
      <x:c r="C401" s="34" t="str">
        <x:v>BR-M32-12-3-K10</x:v>
      </x:c>
      <x:c r="D401" s="13" t="str">
        <x:v>Рамка 3-мест. "BRITE"  беж./шамп.  IEK  (1/100)</x:v>
      </x:c>
      <x:c r="E401" s="10" t="str">
        <x:v>шт</x:v>
      </x:c>
      <x:c r="F401" s="37" t="n">
        <x:f>MAX(0,ROUNDDOWN((AG401-AF401)/AR401+0.000000001,0)*AR401)</x:f>
        <x:v>1</x:v>
      </x:c>
      <x:c r="G401" s="21" t="str">
        <x:f>IF(J401="Рассчитано",V401*(1-R401/100)-W401-P401-Q401,"н/д")</x:f>
        <x:v>н/д</x:v>
      </x:c>
      <x:c r="H401" s="13" t="str">
        <x:v>Высокий</x:v>
      </x:c>
      <x:c r="I401" s="13" t="str">
        <x:v>Средний</x:v>
      </x:c>
      <x:c r="J401" s="13" t="str">
        <x:f>IF(L401="","Укажите валюту",IF(NOT(ISNUMBER(K401)),"Укажите объём",IF(K401&lt;=0,"Укажите объём",IF(K401&gt;F401,"Объём выше излишка",IF(COUNT(M401:O401)&lt;3,"Нужны цены",IF(COUNT(P401:R401)&lt;3,"Нужны расходы",IF(OR(M401&lt;0,N401&lt;0,O401&lt;0,O401&gt;100,P401&lt;0,Q401&lt;0,R401&lt;0,R401&gt;100),"Проверьте значения","Рассчитано")))))))</x:f>
        <x:v>Нужны цены</x:v>
      </x:c>
      <x:c r="K401" s="36" t="n">
        <x:v>1</x:v>
      </x:c>
      <x:c r="L401" s="19" t="str">
        <x:v>KZT</x:v>
      </x:c>
      <x:c r="M401" s="22"/>
      <x:c r="N401" s="22"/>
      <x:c r="O401" s="28"/>
      <x:c r="P401" s="22"/>
      <x:c r="Q401" s="22"/>
      <x:c r="R401" s="28"/>
      <x:c r="S401" s="22"/>
      <x:c r="T401" s="37" t="n">
        <x:f>K401</x:f>
        <x:v>1</x:v>
      </x:c>
      <x:c r="U401" s="21" t="str">
        <x:f>IF(J401="Рассчитано",N401*(1-O401/100),"н/д")</x:f>
        <x:v>н/д</x:v>
      </x:c>
      <x:c r="V401" s="21" t="str">
        <x:f>IF(J401="Рассчитано",T401*U401,"н/д")</x:f>
        <x:v>н/д</x:v>
      </x:c>
      <x:c r="W401" s="21" t="str">
        <x:f>IF(J401="Рассчитано",T401*M401,"н/д")</x:f>
        <x:v>н/д</x:v>
      </x:c>
      <x:c r="X401" s="21" t="str">
        <x:f>IF(J401="Рассчитано",V401-W401,"н/д")</x:f>
        <x:v>н/д</x:v>
      </x:c>
      <x:c r="Y401" s="27" t="str">
        <x:f>IF(J401="Рассчитано",IF(V401&gt;0,G401/V401,"н/д"),"н/д")</x:f>
        <x:v>н/д</x:v>
      </x:c>
      <x:c r="Z401" s="21" t="str">
        <x:f>"н/д"</x:f>
        <x:v>н/д</x:v>
      </x:c>
      <x:c r="AA401" s="21" t="str">
        <x:f>"н/д"</x:f>
        <x:v>н/д</x:v>
      </x:c>
      <x:c r="AB401" s="21" t="str">
        <x:f>"н/д"</x:f>
        <x:v>н/д</x:v>
      </x:c>
      <x:c r="AC401" s="21" t="str">
        <x:f>IF(AND(J401="Рассчитано",T401&gt;0,R401&lt;100),(W401+P401+Q401)/(T401*(1-R401/100)),"н/д")</x:f>
        <x:v>н/д</x:v>
      </x:c>
      <x:c r="AD401" s="10" t="str">
        <x:f>IF(ISNUMBER(G401),IF(G401&lt;0,"Убыток",IF(G401=0,"Без прибыли","Прибыль &gt; 0")),"Не оценён")</x:f>
        <x:v>Не оценён</x:v>
      </x:c>
      <x:c r="AE401" s="13" t="str">
        <x:f>IF(J401="Рассчитано","Выручка "&amp;TEXT(V401,"0.00")&amp;" - себестоимость "&amp;TEXT(W401,"0.00")&amp;" - комиссия "&amp;TEXT(V401*R401/100,"0.00")&amp;" - доставка "&amp;TEXT(P401,"0.00")&amp;" - прочие "&amp;TEXT(Q401,"0.00")&amp;" = "&amp;TEXT(G401,"0.00")&amp;" "&amp;L401,"Введите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1" s="24" t="n">
        <x:v>8.78484243878051</x:v>
      </x:c>
      <x:c r="AG401" s="37" t="n">
        <x:v>10</x:v>
      </x:c>
      <x:c r="AH401" s="37" t="n">
        <x:v>0</x:v>
      </x:c>
      <x:c r="AI401" s="30" t="n">
        <x:v>46266</x:v>
      </x:c>
      <x:c r="AJ401" s="37" t="n">
        <x:v>1</x:v>
      </x:c>
      <x:c r="AK401" s="10" t="str">
        <x:v>минимум</x:v>
      </x:c>
      <x:c r="AL401" s="32" t="n">
        <x:v>96.80216436748516</x:v>
      </x:c>
      <x:c r="AM401" s="13" t="str">
        <x:v>Остаток на начало сентября; Резервы неизвестны; Нет ежедневных данных доступности. Запас выше прогноза на 90 дней</x:v>
      </x:c>
      <x:c r="AN401" s="13" t="str">
        <x:v>Проверить свободный остаток и установить цену для B2B</x:v>
      </x:c>
      <x:c r="AO401" s="13" t="str">
        <x:v>Остаток 10; прогноз 90 дней 8.78; избыток 1 шт. Будущие поступления не выставляются на продажу. Остаток на начало сентября: требуется актуализация.</x:v>
      </x:c>
      <x:c r="AP401" s="13" t="str">
        <x:v>["category_missing", "daily_stockout_data_missing", "new_order_lead_time_unknown", "reservations_unknown", "stale_stock"]</x:v>
      </x:c>
      <x:c r="AQ401" s="10" t="str">
        <x:v>IEK:030201076_</x:v>
      </x:c>
      <x:c r="AR401" s="24" t="n">
        <x:v>1</x:v>
      </x:c>
      <x:c r="AS401" s="24" t="n">
        <x:v>0</x:v>
      </x:c>
      <x:c r="AT401" s="24" t="n">
        <x:v>0</x:v>
      </x:c>
    </x:row>
    <x:row r="402" ht="64" customHeight="1">
      <x:c r="A402" s="11" t="str">
        <x:v>IEK</x:v>
      </x:c>
      <x:c r="B402" s="33" t="str">
        <x:v>030201077_</x:v>
      </x:c>
      <x:c r="C402" s="33" t="str">
        <x:v>BR-M42-12-K01</x:v>
      </x:c>
      <x:c r="D402" s="12" t="str">
        <x:v>Рамка 4-мест. "BRITE"  бел./бел.  IEK  (1/100)</x:v>
      </x:c>
      <x:c r="E402" s="11" t="str">
        <x:v>шт</x:v>
      </x:c>
      <x:c r="F402" s="35" t="n">
        <x:f>MAX(0,ROUNDDOWN((AG402-AF402)/AR402+0.000000001,0)*AR402)</x:f>
        <x:v>12</x:v>
      </x:c>
      <x:c r="G402" s="20" t="str">
        <x:f>IF(J402="Рассчитано",V402*(1-R402/100)-W402-P402-Q402,"н/д")</x:f>
        <x:v>н/д</x:v>
      </x:c>
      <x:c r="H402" s="12" t="str">
        <x:v>Высокий</x:v>
      </x:c>
      <x:c r="I402" s="12" t="str">
        <x:v>Высокий</x:v>
      </x:c>
      <x:c r="J402" s="12" t="str">
        <x:f>IF(L402="","Укажите валюту",IF(NOT(ISNUMBER(K402)),"Укажите объём",IF(K402&lt;=0,"Укажите объём",IF(K402&gt;F402,"Объём выше излишка",IF(COUNT(M402:O402)&lt;3,"Нужны цены",IF(COUNT(P402:R402)&lt;3,"Нужны расходы",IF(OR(M402&lt;0,N402&lt;0,O402&lt;0,O402&gt;100,P402&lt;0,Q402&lt;0,R402&lt;0,R402&gt;100),"Проверьте значения","Рассчитано")))))))</x:f>
        <x:v>Нужны цены</x:v>
      </x:c>
      <x:c r="K402" s="36" t="n">
        <x:v>12</x:v>
      </x:c>
      <x:c r="L402" s="19" t="str">
        <x:v>KZT</x:v>
      </x:c>
      <x:c r="M402" s="22"/>
      <x:c r="N402" s="22"/>
      <x:c r="O402" s="28"/>
      <x:c r="P402" s="22"/>
      <x:c r="Q402" s="22"/>
      <x:c r="R402" s="28"/>
      <x:c r="S402" s="22"/>
      <x:c r="T402" s="35" t="n">
        <x:f>K402</x:f>
        <x:v>12</x:v>
      </x:c>
      <x:c r="U402" s="20" t="str">
        <x:f>IF(J402="Рассчитано",N402*(1-O402/100),"н/д")</x:f>
        <x:v>н/д</x:v>
      </x:c>
      <x:c r="V402" s="20" t="str">
        <x:f>IF(J402="Рассчитано",T402*U402,"н/д")</x:f>
        <x:v>н/д</x:v>
      </x:c>
      <x:c r="W402" s="20" t="str">
        <x:f>IF(J402="Рассчитано",T402*M402,"н/д")</x:f>
        <x:v>н/д</x:v>
      </x:c>
      <x:c r="X402" s="20" t="str">
        <x:f>IF(J402="Рассчитано",V402-W402,"н/д")</x:f>
        <x:v>н/д</x:v>
      </x:c>
      <x:c r="Y402" s="26" t="str">
        <x:f>IF(J402="Рассчитано",IF(V402&gt;0,G402/V402,"н/д"),"н/д")</x:f>
        <x:v>н/д</x:v>
      </x:c>
      <x:c r="Z402" s="20" t="str">
        <x:f>"н/д"</x:f>
        <x:v>н/д</x:v>
      </x:c>
      <x:c r="AA402" s="20" t="str">
        <x:f>"н/д"</x:f>
        <x:v>н/д</x:v>
      </x:c>
      <x:c r="AB402" s="20" t="str">
        <x:f>"н/д"</x:f>
        <x:v>н/д</x:v>
      </x:c>
      <x:c r="AC402" s="20" t="str">
        <x:f>IF(AND(J402="Рассчитано",T402&gt;0,R402&lt;100),(W402+P402+Q402)/(T402*(1-R402/100)),"н/д")</x:f>
        <x:v>н/д</x:v>
      </x:c>
      <x:c r="AD402" s="11" t="str">
        <x:f>IF(ISNUMBER(G402),IF(G402&lt;0,"Убыток",IF(G402=0,"Без прибыли","Прибыль &gt; 0")),"Не оценён")</x:f>
        <x:v>Не оценён</x:v>
      </x:c>
      <x:c r="AE402" s="12" t="str">
        <x:f>IF(J402="Рассчитано","Выручка "&amp;TEXT(V402,"0.00")&amp;" - себестоимость "&amp;TEXT(W402,"0.00")&amp;" - комиссия "&amp;TEXT(V402*R402/100,"0.00")&amp;" - доставка "&amp;TEXT(P402,"0.00")&amp;" - прочие "&amp;TEXT(Q402,"0.00")&amp;" = "&amp;TEXT(G402,"0.00")&amp;" "&amp;L402,"Введите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2" s="23" t="n">
        <x:v>0</x:v>
      </x:c>
      <x:c r="AG402" s="35" t="n">
        <x:v>12</x:v>
      </x:c>
      <x:c r="AH402" s="35" t="n">
        <x:v>0</x:v>
      </x:c>
      <x:c r="AI402" s="29" t="n">
        <x:v>46266</x:v>
      </x:c>
      <x:c r="AJ402" s="35" t="n">
        <x:v>1</x:v>
      </x:c>
      <x:c r="AK402" s="11" t="str">
        <x:v>минимум</x:v>
      </x:c>
      <x:c r="AL402" s="31" t="str">
        <x:v>н/д</x:v>
      </x:c>
      <x:c r="AM40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02" s="12" t="str">
        <x:v>Проверить свободный остаток и установить цену для B2B</x:v>
      </x:c>
      <x:c r="AO402" s="12" t="str">
        <x:v>Остаток 12; прогноз 90 дней 0.00; избыток 12 шт. Будущие поступления не выставляются на продажу. Остаток на начало сентября: требуется актуализация.</x:v>
      </x:c>
      <x:c r="AP402" s="12" t="str">
        <x:v>["category_missing", "daily_stockout_data_missing", "new_order_lead_time_unknown", "reservations_unknown", "stale_stock"]</x:v>
      </x:c>
      <x:c r="AQ402" s="11" t="str">
        <x:v>IEK:030201077_</x:v>
      </x:c>
      <x:c r="AR402" s="23" t="n">
        <x:v>1</x:v>
      </x:c>
      <x:c r="AS402" s="23" t="n">
        <x:v>0</x:v>
      </x:c>
      <x:c r="AT402" s="23" t="n">
        <x:v>0</x:v>
      </x:c>
    </x:row>
    <x:row r="403" ht="64" customHeight="1">
      <x:c r="A403" s="10" t="str">
        <x:v>IEK</x:v>
      </x:c>
      <x:c r="B403" s="34" t="str">
        <x:v>030201078_</x:v>
      </x:c>
      <x:c r="C403" s="34" t="str">
        <x:v>BR-M22-12-4-K23</x:v>
      </x:c>
      <x:c r="D403" s="13" t="str">
        <x:v>Рамка 2-мест. "BRITE"  хром/никель  IEK  (1/100)</x:v>
      </x:c>
      <x:c r="E403" s="10" t="str">
        <x:v>шт</x:v>
      </x:c>
      <x:c r="F403" s="37" t="n">
        <x:f>MAX(0,ROUNDDOWN((AG403-AF403)/AR403+0.000000001,0)*AR403)</x:f>
        <x:v>8</x:v>
      </x:c>
      <x:c r="G403" s="21" t="str">
        <x:f>IF(J403="Рассчитано",V403*(1-R403/100)-W403-P403-Q403,"н/д")</x:f>
        <x:v>н/д</x:v>
      </x:c>
      <x:c r="H403" s="13" t="str">
        <x:v>Высокий</x:v>
      </x:c>
      <x:c r="I403" s="13" t="str">
        <x:v>Высокий</x:v>
      </x:c>
      <x:c r="J403" s="13" t="str">
        <x:f>IF(L403="","Укажите валюту",IF(NOT(ISNUMBER(K403)),"Укажите объём",IF(K403&lt;=0,"Укажите объём",IF(K403&gt;F403,"Объём выше излишка",IF(COUNT(M403:O403)&lt;3,"Нужны цены",IF(COUNT(P403:R403)&lt;3,"Нужны расходы",IF(OR(M403&lt;0,N403&lt;0,O403&lt;0,O403&gt;100,P403&lt;0,Q403&lt;0,R403&lt;0,R403&gt;100),"Проверьте значения","Рассчитано")))))))</x:f>
        <x:v>Нужны цены</x:v>
      </x:c>
      <x:c r="K403" s="36" t="n">
        <x:v>8</x:v>
      </x:c>
      <x:c r="L403" s="19" t="str">
        <x:v>KZT</x:v>
      </x:c>
      <x:c r="M403" s="22"/>
      <x:c r="N403" s="22"/>
      <x:c r="O403" s="28"/>
      <x:c r="P403" s="22"/>
      <x:c r="Q403" s="22"/>
      <x:c r="R403" s="28"/>
      <x:c r="S403" s="22"/>
      <x:c r="T403" s="37" t="n">
        <x:f>K403</x:f>
        <x:v>8</x:v>
      </x:c>
      <x:c r="U403" s="21" t="str">
        <x:f>IF(J403="Рассчитано",N403*(1-O403/100),"н/д")</x:f>
        <x:v>н/д</x:v>
      </x:c>
      <x:c r="V403" s="21" t="str">
        <x:f>IF(J403="Рассчитано",T403*U403,"н/д")</x:f>
        <x:v>н/д</x:v>
      </x:c>
      <x:c r="W403" s="21" t="str">
        <x:f>IF(J403="Рассчитано",T403*M403,"н/д")</x:f>
        <x:v>н/д</x:v>
      </x:c>
      <x:c r="X403" s="21" t="str">
        <x:f>IF(J403="Рассчитано",V403-W403,"н/д")</x:f>
        <x:v>н/д</x:v>
      </x:c>
      <x:c r="Y403" s="27" t="str">
        <x:f>IF(J403="Рассчитано",IF(V403&gt;0,G403/V403,"н/д"),"н/д")</x:f>
        <x:v>н/д</x:v>
      </x:c>
      <x:c r="Z403" s="21" t="str">
        <x:f>"н/д"</x:f>
        <x:v>н/д</x:v>
      </x:c>
      <x:c r="AA403" s="21" t="str">
        <x:f>"н/д"</x:f>
        <x:v>н/д</x:v>
      </x:c>
      <x:c r="AB403" s="21" t="str">
        <x:f>"н/д"</x:f>
        <x:v>н/д</x:v>
      </x:c>
      <x:c r="AC403" s="21" t="str">
        <x:f>IF(AND(J403="Рассчитано",T403&gt;0,R403&lt;100),(W403+P403+Q403)/(T403*(1-R403/100)),"н/д")</x:f>
        <x:v>н/д</x:v>
      </x:c>
      <x:c r="AD403" s="10" t="str">
        <x:f>IF(ISNUMBER(G403),IF(G403&lt;0,"Убыток",IF(G403=0,"Без прибыли","Прибыль &gt; 0")),"Не оценён")</x:f>
        <x:v>Не оценён</x:v>
      </x:c>
      <x:c r="AE403" s="13" t="str">
        <x:f>IF(J403="Рассчитано","Выручка "&amp;TEXT(V403,"0.00")&amp;" - себестоимость "&amp;TEXT(W403,"0.00")&amp;" - комиссия "&amp;TEXT(V403*R403/100,"0.00")&amp;" - доставка "&amp;TEXT(P403,"0.00")&amp;" - прочие "&amp;TEXT(Q403,"0.00")&amp;" = "&amp;TEXT(G403,"0.00")&amp;" "&amp;L403,"Введите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3" s="24" t="n">
        <x:v>1.828983633234726</x:v>
      </x:c>
      <x:c r="AG403" s="37" t="n">
        <x:v>10</x:v>
      </x:c>
      <x:c r="AH403" s="37" t="n">
        <x:v>0</x:v>
      </x:c>
      <x:c r="AI403" s="30" t="n">
        <x:v>46266</x:v>
      </x:c>
      <x:c r="AJ403" s="37" t="n">
        <x:v>1</x:v>
      </x:c>
      <x:c r="AK403" s="10" t="str">
        <x:v>минимум</x:v>
      </x:c>
      <x:c r="AL403" s="32" t="n">
        <x:v>464.9531828763801</x:v>
      </x:c>
      <x:c r="AM40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03" s="13" t="str">
        <x:v>Проверить свободный остаток и установить цену для B2B</x:v>
      </x:c>
      <x:c r="AO403" s="13" t="str">
        <x:v>Остаток 10; прогноз 90 дней 1.83; избыток 8 шт. Будущие поступления не выставляются на продажу. Остаток на начало сентября: требуется актуализация.</x:v>
      </x:c>
      <x:c r="AP403" s="13" t="str">
        <x:v>["category_missing", "daily_stockout_data_missing", "new_order_lead_time_unknown", "reservations_unknown", "stale_stock"]</x:v>
      </x:c>
      <x:c r="AQ403" s="10" t="str">
        <x:v>IEK:030201078_</x:v>
      </x:c>
      <x:c r="AR403" s="24" t="n">
        <x:v>1</x:v>
      </x:c>
      <x:c r="AS403" s="24" t="n">
        <x:v>0</x:v>
      </x:c>
      <x:c r="AT403" s="24" t="n">
        <x:v>0</x:v>
      </x:c>
    </x:row>
    <x:row r="404" ht="64" customHeight="1">
      <x:c r="A404" s="11" t="str">
        <x:v>IEK</x:v>
      </x:c>
      <x:c r="B404" s="33" t="str">
        <x:v>030201080_</x:v>
      </x:c>
      <x:c r="C404" s="33" t="str">
        <x:v>BR-M32-12-4-K23</x:v>
      </x:c>
      <x:c r="D404" s="12" t="str">
        <x:v>Рамка 3-мест. "BRITE"  хром/никель  IEK  (1/100)</x:v>
      </x:c>
      <x:c r="E404" s="11" t="str">
        <x:v>шт</x:v>
      </x:c>
      <x:c r="F404" s="35" t="n">
        <x:f>MAX(0,ROUNDDOWN((AG404-AF404)/AR404+0.000000001,0)*AR404)</x:f>
        <x:v>12</x:v>
      </x:c>
      <x:c r="G404" s="20" t="str">
        <x:f>IF(J404="Рассчитано",V404*(1-R404/100)-W404-P404-Q404,"н/д")</x:f>
        <x:v>н/д</x:v>
      </x:c>
      <x:c r="H404" s="12" t="str">
        <x:v>Высокий</x:v>
      </x:c>
      <x:c r="I404" s="12" t="str">
        <x:v>Высокий</x:v>
      </x:c>
      <x:c r="J404" s="12" t="str">
        <x:f>IF(L404="","Укажите валюту",IF(NOT(ISNUMBER(K404)),"Укажите объём",IF(K404&lt;=0,"Укажите объём",IF(K404&gt;F404,"Объём выше излишка",IF(COUNT(M404:O404)&lt;3,"Нужны цены",IF(COUNT(P404:R404)&lt;3,"Нужны расходы",IF(OR(M404&lt;0,N404&lt;0,O404&lt;0,O404&gt;100,P404&lt;0,Q404&lt;0,R404&lt;0,R404&gt;100),"Проверьте значения","Рассчитано")))))))</x:f>
        <x:v>Нужны цены</x:v>
      </x:c>
      <x:c r="K404" s="36" t="n">
        <x:v>12</x:v>
      </x:c>
      <x:c r="L404" s="19" t="str">
        <x:v>KZT</x:v>
      </x:c>
      <x:c r="M404" s="22"/>
      <x:c r="N404" s="22"/>
      <x:c r="O404" s="28"/>
      <x:c r="P404" s="22"/>
      <x:c r="Q404" s="22"/>
      <x:c r="R404" s="28"/>
      <x:c r="S404" s="22"/>
      <x:c r="T404" s="35" t="n">
        <x:f>K404</x:f>
        <x:v>12</x:v>
      </x:c>
      <x:c r="U404" s="20" t="str">
        <x:f>IF(J404="Рассчитано",N404*(1-O404/100),"н/д")</x:f>
        <x:v>н/д</x:v>
      </x:c>
      <x:c r="V404" s="20" t="str">
        <x:f>IF(J404="Рассчитано",T404*U404,"н/д")</x:f>
        <x:v>н/д</x:v>
      </x:c>
      <x:c r="W404" s="20" t="str">
        <x:f>IF(J404="Рассчитано",T404*M404,"н/д")</x:f>
        <x:v>н/д</x:v>
      </x:c>
      <x:c r="X404" s="20" t="str">
        <x:f>IF(J404="Рассчитано",V404-W404,"н/д")</x:f>
        <x:v>н/д</x:v>
      </x:c>
      <x:c r="Y404" s="26" t="str">
        <x:f>IF(J404="Рассчитано",IF(V404&gt;0,G404/V404,"н/д"),"н/д")</x:f>
        <x:v>н/д</x:v>
      </x:c>
      <x:c r="Z404" s="20" t="str">
        <x:f>"н/д"</x:f>
        <x:v>н/д</x:v>
      </x:c>
      <x:c r="AA404" s="20" t="str">
        <x:f>"н/д"</x:f>
        <x:v>н/д</x:v>
      </x:c>
      <x:c r="AB404" s="20" t="str">
        <x:f>"н/д"</x:f>
        <x:v>н/д</x:v>
      </x:c>
      <x:c r="AC404" s="20" t="str">
        <x:f>IF(AND(J404="Рассчитано",T404&gt;0,R404&lt;100),(W404+P404+Q404)/(T404*(1-R404/100)),"н/д")</x:f>
        <x:v>н/д</x:v>
      </x:c>
      <x:c r="AD404" s="11" t="str">
        <x:f>IF(ISNUMBER(G404),IF(G404&lt;0,"Убыток",IF(G404=0,"Без прибыли","Прибыль &gt; 0")),"Не оценён")</x:f>
        <x:v>Не оценён</x:v>
      </x:c>
      <x:c r="AE404" s="12" t="str">
        <x:f>IF(J404="Рассчитано","Выручка "&amp;TEXT(V404,"0.00")&amp;" - себестоимость "&amp;TEXT(W404,"0.00")&amp;" - комиссия "&amp;TEXT(V404*R404/100,"0.00")&amp;" - доставка "&amp;TEXT(P404,"0.00")&amp;" - прочие "&amp;TEXT(Q404,"0.00")&amp;" = "&amp;TEXT(G404,"0.00")&amp;" "&amp;L404,"Введите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4" s="23" t="n">
        <x:v>0.4303490901728759</x:v>
      </x:c>
      <x:c r="AG404" s="35" t="n">
        <x:v>13</x:v>
      </x:c>
      <x:c r="AH404" s="35" t="n">
        <x:v>0</x:v>
      </x:c>
      <x:c r="AI404" s="29" t="n">
        <x:v>46266</x:v>
      </x:c>
      <x:c r="AJ404" s="35" t="n">
        <x:v>1</x:v>
      </x:c>
      <x:c r="AK404" s="11" t="str">
        <x:v>минимум</x:v>
      </x:c>
      <x:c r="AL404" s="31" t="n">
        <x:v>2568.8663353920006</x:v>
      </x:c>
      <x:c r="AM40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04" s="12" t="str">
        <x:v>Проверить свободный остаток и установить цену для B2B</x:v>
      </x:c>
      <x:c r="AO404" s="12" t="str">
        <x:v>Остаток 13; прогноз 90 дней 0.43; избыток 12 шт. Будущие поступления не выставляются на продажу. Остаток на начало сентября: требуется актуализация.</x:v>
      </x:c>
      <x:c r="AP404" s="12" t="str">
        <x:v>["category_missing", "daily_stockout_data_missing", "new_order_lead_time_unknown", "reservations_unknown", "stale_stock"]</x:v>
      </x:c>
      <x:c r="AQ404" s="11" t="str">
        <x:v>IEK:030201080_</x:v>
      </x:c>
      <x:c r="AR404" s="23" t="n">
        <x:v>1</x:v>
      </x:c>
      <x:c r="AS404" s="23" t="n">
        <x:v>0</x:v>
      </x:c>
      <x:c r="AT404" s="23" t="n">
        <x:v>0</x:v>
      </x:c>
    </x:row>
    <x:row r="405" ht="64" customHeight="1">
      <x:c r="A405" s="10" t="str">
        <x:v>IEK</x:v>
      </x:c>
      <x:c r="B405" s="34" t="str">
        <x:v>030201081_</x:v>
      </x:c>
      <x:c r="C405" s="34" t="str">
        <x:v>BR-M32-12-2-K23</x:v>
      </x:c>
      <x:c r="D405" s="13" t="str">
        <x:v>Рамка 3-мест. "BRITE"  хром/черн.  IEK  (1/100)</x:v>
      </x:c>
      <x:c r="E405" s="10" t="str">
        <x:v>шт</x:v>
      </x:c>
      <x:c r="F405" s="37" t="n">
        <x:f>MAX(0,ROUNDDOWN((AG405-AF405)/AR405+0.000000001,0)*AR405)</x:f>
        <x:v>6</x:v>
      </x:c>
      <x:c r="G405" s="21" t="str">
        <x:f>IF(J405="Рассчитано",V405*(1-R405/100)-W405-P405-Q405,"н/д")</x:f>
        <x:v>н/д</x:v>
      </x:c>
      <x:c r="H405" s="13" t="str">
        <x:v>Высокий</x:v>
      </x:c>
      <x:c r="I405" s="13" t="str">
        <x:v>Высокий</x:v>
      </x:c>
      <x:c r="J405" s="13" t="str">
        <x:f>IF(L405="","Укажите валюту",IF(NOT(ISNUMBER(K405)),"Укажите объём",IF(K405&lt;=0,"Укажите объём",IF(K405&gt;F405,"Объём выше излишка",IF(COUNT(M405:O405)&lt;3,"Нужны цены",IF(COUNT(P405:R405)&lt;3,"Нужны расходы",IF(OR(M405&lt;0,N405&lt;0,O405&lt;0,O405&gt;100,P405&lt;0,Q405&lt;0,R405&lt;0,R405&gt;100),"Проверьте значения","Рассчитано")))))))</x:f>
        <x:v>Нужны цены</x:v>
      </x:c>
      <x:c r="K405" s="36" t="n">
        <x:v>6</x:v>
      </x:c>
      <x:c r="L405" s="19" t="str">
        <x:v>KZT</x:v>
      </x:c>
      <x:c r="M405" s="22"/>
      <x:c r="N405" s="22"/>
      <x:c r="O405" s="28"/>
      <x:c r="P405" s="22"/>
      <x:c r="Q405" s="22"/>
      <x:c r="R405" s="28"/>
      <x:c r="S405" s="22"/>
      <x:c r="T405" s="37" t="n">
        <x:f>K405</x:f>
        <x:v>6</x:v>
      </x:c>
      <x:c r="U405" s="21" t="str">
        <x:f>IF(J405="Рассчитано",N405*(1-O405/100),"н/д")</x:f>
        <x:v>н/д</x:v>
      </x:c>
      <x:c r="V405" s="21" t="str">
        <x:f>IF(J405="Рассчитано",T405*U405,"н/д")</x:f>
        <x:v>н/д</x:v>
      </x:c>
      <x:c r="W405" s="21" t="str">
        <x:f>IF(J405="Рассчитано",T405*M405,"н/д")</x:f>
        <x:v>н/д</x:v>
      </x:c>
      <x:c r="X405" s="21" t="str">
        <x:f>IF(J405="Рассчитано",V405-W405,"н/д")</x:f>
        <x:v>н/д</x:v>
      </x:c>
      <x:c r="Y405" s="27" t="str">
        <x:f>IF(J405="Рассчитано",IF(V405&gt;0,G405/V405,"н/д"),"н/д")</x:f>
        <x:v>н/д</x:v>
      </x:c>
      <x:c r="Z405" s="21" t="str">
        <x:f>"н/д"</x:f>
        <x:v>н/д</x:v>
      </x:c>
      <x:c r="AA405" s="21" t="str">
        <x:f>"н/д"</x:f>
        <x:v>н/д</x:v>
      </x:c>
      <x:c r="AB405" s="21" t="str">
        <x:f>"н/д"</x:f>
        <x:v>н/д</x:v>
      </x:c>
      <x:c r="AC405" s="21" t="str">
        <x:f>IF(AND(J405="Рассчитано",T405&gt;0,R405&lt;100),(W405+P405+Q405)/(T405*(1-R405/100)),"н/д")</x:f>
        <x:v>н/д</x:v>
      </x:c>
      <x:c r="AD405" s="10" t="str">
        <x:f>IF(ISNUMBER(G405),IF(G405&lt;0,"Убыток",IF(G405=0,"Без прибыли","Прибыль &gt; 0")),"Не оценён")</x:f>
        <x:v>Не оценён</x:v>
      </x:c>
      <x:c r="AE405" s="13" t="str">
        <x:f>IF(J405="Рассчитано","Выручка "&amp;TEXT(V405,"0.00")&amp;" - себестоимость "&amp;TEXT(W405,"0.00")&amp;" - комиссия "&amp;TEXT(V405*R405/100,"0.00")&amp;" - доставка "&amp;TEXT(P405,"0.00")&amp;" - прочие "&amp;TEXT(Q405,"0.00")&amp;" = "&amp;TEXT(G405,"0.00")&amp;" "&amp;L405,"Введите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5" s="24" t="n">
        <x:v>4.874451304532674</x:v>
      </x:c>
      <x:c r="AG405" s="37" t="n">
        <x:v>11</x:v>
      </x:c>
      <x:c r="AH405" s="37" t="n">
        <x:v>0</x:v>
      </x:c>
      <x:c r="AI405" s="30" t="n">
        <x:v>46266</x:v>
      </x:c>
      <x:c r="AJ405" s="37" t="n">
        <x:v>1</x:v>
      </x:c>
      <x:c r="AK405" s="10" t="str">
        <x:v>минимум</x:v>
      </x:c>
      <x:c r="AL405" s="32" t="n">
        <x:v>191.9048687596034</x:v>
      </x:c>
      <x:c r="AM40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05" s="13" t="str">
        <x:v>Проверить свободный остаток и установить цену для B2B</x:v>
      </x:c>
      <x:c r="AO405" s="13" t="str">
        <x:v>Остаток 11; прогноз 90 дней 4.87; избыток 6 шт. Будущие поступления не выставляются на продажу. Остаток на начало сентября: требуется актуализация.</x:v>
      </x:c>
      <x:c r="AP405" s="13" t="str">
        <x:v>["category_missing", "daily_stockout_data_missing", "new_order_lead_time_unknown", "reservations_unknown", "stale_stock"]</x:v>
      </x:c>
      <x:c r="AQ405" s="10" t="str">
        <x:v>IEK:030201081_</x:v>
      </x:c>
      <x:c r="AR405" s="24" t="n">
        <x:v>1</x:v>
      </x:c>
      <x:c r="AS405" s="24" t="n">
        <x:v>0</x:v>
      </x:c>
      <x:c r="AT405" s="24" t="n">
        <x:v>0</x:v>
      </x:c>
    </x:row>
    <x:row r="406" ht="64" customHeight="1">
      <x:c r="A406" s="11" t="str">
        <x:v>IEK</x:v>
      </x:c>
      <x:c r="B406" s="33" t="str">
        <x:v>030201082_</x:v>
      </x:c>
      <x:c r="C406" s="33" t="str">
        <x:v>BR-M32-51-K01</x:v>
      </x:c>
      <x:c r="D406" s="12" t="str">
        <x:v>Рамка 3-мест. "BRITE"  бел. рифленый  IEK  (1/100)</x:v>
      </x:c>
      <x:c r="E406" s="11" t="str">
        <x:v>шт</x:v>
      </x:c>
      <x:c r="F406" s="35" t="n">
        <x:f>MAX(0,ROUNDDOWN((AG406-AF406)/AR406+0.000000001,0)*AR406)</x:f>
        <x:v>6</x:v>
      </x:c>
      <x:c r="G406" s="20" t="str">
        <x:f>IF(J406="Рассчитано",V406*(1-R406/100)-W406-P406-Q406,"н/д")</x:f>
        <x:v>н/д</x:v>
      </x:c>
      <x:c r="H406" s="12" t="str">
        <x:v>Высокий</x:v>
      </x:c>
      <x:c r="I406" s="12" t="str">
        <x:v>Высокий</x:v>
      </x:c>
      <x:c r="J406" s="12" t="str">
        <x:f>IF(L406="","Укажите валюту",IF(NOT(ISNUMBER(K406)),"Укажите объём",IF(K406&lt;=0,"Укажите объём",IF(K406&gt;F406,"Объём выше излишка",IF(COUNT(M406:O406)&lt;3,"Нужны цены",IF(COUNT(P406:R406)&lt;3,"Нужны расходы",IF(OR(M406&lt;0,N406&lt;0,O406&lt;0,O406&gt;100,P406&lt;0,Q406&lt;0,R406&lt;0,R406&gt;100),"Проверьте значения","Рассчитано")))))))</x:f>
        <x:v>Нужны цены</x:v>
      </x:c>
      <x:c r="K406" s="36" t="n">
        <x:v>6</x:v>
      </x:c>
      <x:c r="L406" s="19" t="str">
        <x:v>KZT</x:v>
      </x:c>
      <x:c r="M406" s="22"/>
      <x:c r="N406" s="22"/>
      <x:c r="O406" s="28"/>
      <x:c r="P406" s="22"/>
      <x:c r="Q406" s="22"/>
      <x:c r="R406" s="28"/>
      <x:c r="S406" s="22"/>
      <x:c r="T406" s="35" t="n">
        <x:f>K406</x:f>
        <x:v>6</x:v>
      </x:c>
      <x:c r="U406" s="20" t="str">
        <x:f>IF(J406="Рассчитано",N406*(1-O406/100),"н/д")</x:f>
        <x:v>н/д</x:v>
      </x:c>
      <x:c r="V406" s="20" t="str">
        <x:f>IF(J406="Рассчитано",T406*U406,"н/д")</x:f>
        <x:v>н/д</x:v>
      </x:c>
      <x:c r="W406" s="20" t="str">
        <x:f>IF(J406="Рассчитано",T406*M406,"н/д")</x:f>
        <x:v>н/д</x:v>
      </x:c>
      <x:c r="X406" s="20" t="str">
        <x:f>IF(J406="Рассчитано",V406-W406,"н/д")</x:f>
        <x:v>н/д</x:v>
      </x:c>
      <x:c r="Y406" s="26" t="str">
        <x:f>IF(J406="Рассчитано",IF(V406&gt;0,G406/V406,"н/д"),"н/д")</x:f>
        <x:v>н/д</x:v>
      </x:c>
      <x:c r="Z406" s="20" t="str">
        <x:f>"н/д"</x:f>
        <x:v>н/д</x:v>
      </x:c>
      <x:c r="AA406" s="20" t="str">
        <x:f>"н/д"</x:f>
        <x:v>н/д</x:v>
      </x:c>
      <x:c r="AB406" s="20" t="str">
        <x:f>"н/д"</x:f>
        <x:v>н/д</x:v>
      </x:c>
      <x:c r="AC406" s="20" t="str">
        <x:f>IF(AND(J406="Рассчитано",T406&gt;0,R406&lt;100),(W406+P406+Q406)/(T406*(1-R406/100)),"н/д")</x:f>
        <x:v>н/д</x:v>
      </x:c>
      <x:c r="AD406" s="11" t="str">
        <x:f>IF(ISNUMBER(G406),IF(G406&lt;0,"Убыток",IF(G406=0,"Без прибыли","Прибыль &gt; 0")),"Не оценён")</x:f>
        <x:v>Не оценён</x:v>
      </x:c>
      <x:c r="AE406" s="12" t="str">
        <x:f>IF(J406="Рассчитано","Выручка "&amp;TEXT(V406,"0.00")&amp;" - себестоимость "&amp;TEXT(W406,"0.00")&amp;" - комиссия "&amp;TEXT(V406*R406/100,"0.00")&amp;" - доставка "&amp;TEXT(P406,"0.00")&amp;" - прочие "&amp;TEXT(Q406,"0.00")&amp;" = "&amp;TEXT(G406,"0.00")&amp;" "&amp;L406,"Введите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6" s="23" t="n">
        <x:v>0.9142956685741257</x:v>
      </x:c>
      <x:c r="AG406" s="35" t="n">
        <x:v>7</x:v>
      </x:c>
      <x:c r="AH406" s="35" t="n">
        <x:v>0</x:v>
      </x:c>
      <x:c r="AI406" s="29" t="n">
        <x:v>46266</x:v>
      </x:c>
      <x:c r="AJ406" s="35" t="n">
        <x:v>1</x:v>
      </x:c>
      <x:c r="AK406" s="11" t="str">
        <x:v>минимум</x:v>
      </x:c>
      <x:c r="AL406" s="31" t="n">
        <x:v>651.0741039813227</x:v>
      </x:c>
      <x:c r="AM40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06" s="12" t="str">
        <x:v>Проверить свободный остаток и установить цену для B2B</x:v>
      </x:c>
      <x:c r="AO406" s="12" t="str">
        <x:v>Остаток 7; прогноз 90 дней 0.91; избыток 6 шт. Будущие поступления не выставляются на продажу. Остаток на начало сентября: требуется актуализация.</x:v>
      </x:c>
      <x:c r="AP406" s="12" t="str">
        <x:v>["category_missing", "daily_stockout_data_missing", "new_order_lead_time_unknown", "reservations_unknown", "stale_stock"]</x:v>
      </x:c>
      <x:c r="AQ406" s="11" t="str">
        <x:v>IEK:030201082_</x:v>
      </x:c>
      <x:c r="AR406" s="23" t="n">
        <x:v>1</x:v>
      </x:c>
      <x:c r="AS406" s="23" t="n">
        <x:v>0</x:v>
      </x:c>
      <x:c r="AT406" s="23" t="n">
        <x:v>0</x:v>
      </x:c>
    </x:row>
    <x:row r="407" ht="64" customHeight="1">
      <x:c r="A407" s="10" t="str">
        <x:v>IEK</x:v>
      </x:c>
      <x:c r="B407" s="34" t="str">
        <x:v>030201084_</x:v>
      </x:c>
      <x:c r="C407" s="34" t="str">
        <x:v>BR-M42-12-2-K23</x:v>
      </x:c>
      <x:c r="D407" s="13" t="str">
        <x:v>Рамка 4-мест. "BRITE"  хром/черн.  IEK  (1/100)</x:v>
      </x:c>
      <x:c r="E407" s="10" t="str">
        <x:v>шт</x:v>
      </x:c>
      <x:c r="F407" s="37" t="n">
        <x:f>MAX(0,ROUNDDOWN((AG407-AF407)/AR407+0.000000001,0)*AR407)</x:f>
        <x:v>13</x:v>
      </x:c>
      <x:c r="G407" s="21" t="str">
        <x:f>IF(J407="Рассчитано",V407*(1-R407/100)-W407-P407-Q407,"н/д")</x:f>
        <x:v>н/д</x:v>
      </x:c>
      <x:c r="H407" s="13" t="str">
        <x:v>Высокий</x:v>
      </x:c>
      <x:c r="I407" s="13" t="str">
        <x:v>Высокий</x:v>
      </x:c>
      <x:c r="J407" s="13" t="str">
        <x:f>IF(L407="","Укажите валюту",IF(NOT(ISNUMBER(K407)),"Укажите объём",IF(K407&lt;=0,"Укажите объём",IF(K407&gt;F407,"Объём выше излишка",IF(COUNT(M407:O407)&lt;3,"Нужны цены",IF(COUNT(P407:R407)&lt;3,"Нужны расходы",IF(OR(M407&lt;0,N407&lt;0,O407&lt;0,O407&gt;100,P407&lt;0,Q407&lt;0,R407&lt;0,R407&gt;100),"Проверьте значения","Рассчитано")))))))</x:f>
        <x:v>Нужны цены</x:v>
      </x:c>
      <x:c r="K407" s="36" t="n">
        <x:v>13</x:v>
      </x:c>
      <x:c r="L407" s="19" t="str">
        <x:v>KZT</x:v>
      </x:c>
      <x:c r="M407" s="22"/>
      <x:c r="N407" s="22"/>
      <x:c r="O407" s="28"/>
      <x:c r="P407" s="22"/>
      <x:c r="Q407" s="22"/>
      <x:c r="R407" s="28"/>
      <x:c r="S407" s="22"/>
      <x:c r="T407" s="37" t="n">
        <x:f>K407</x:f>
        <x:v>13</x:v>
      </x:c>
      <x:c r="U407" s="21" t="str">
        <x:f>IF(J407="Рассчитано",N407*(1-O407/100),"н/д")</x:f>
        <x:v>н/д</x:v>
      </x:c>
      <x:c r="V407" s="21" t="str">
        <x:f>IF(J407="Рассчитано",T407*U407,"н/д")</x:f>
        <x:v>н/д</x:v>
      </x:c>
      <x:c r="W407" s="21" t="str">
        <x:f>IF(J407="Рассчитано",T407*M407,"н/д")</x:f>
        <x:v>н/д</x:v>
      </x:c>
      <x:c r="X407" s="21" t="str">
        <x:f>IF(J407="Рассчитано",V407-W407,"н/д")</x:f>
        <x:v>н/д</x:v>
      </x:c>
      <x:c r="Y407" s="27" t="str">
        <x:f>IF(J407="Рассчитано",IF(V407&gt;0,G407/V407,"н/д"),"н/д")</x:f>
        <x:v>н/д</x:v>
      </x:c>
      <x:c r="Z407" s="21" t="str">
        <x:f>"н/д"</x:f>
        <x:v>н/д</x:v>
      </x:c>
      <x:c r="AA407" s="21" t="str">
        <x:f>"н/д"</x:f>
        <x:v>н/д</x:v>
      </x:c>
      <x:c r="AB407" s="21" t="str">
        <x:f>"н/д"</x:f>
        <x:v>н/д</x:v>
      </x:c>
      <x:c r="AC407" s="21" t="str">
        <x:f>IF(AND(J407="Рассчитано",T407&gt;0,R407&lt;100),(W407+P407+Q407)/(T407*(1-R407/100)),"н/д")</x:f>
        <x:v>н/д</x:v>
      </x:c>
      <x:c r="AD407" s="10" t="str">
        <x:f>IF(ISNUMBER(G407),IF(G407&lt;0,"Убыток",IF(G407=0,"Без прибыли","Прибыль &gt; 0")),"Не оценён")</x:f>
        <x:v>Не оценён</x:v>
      </x:c>
      <x:c r="AE407" s="13" t="str">
        <x:f>IF(J407="Рассчитано","Выручка "&amp;TEXT(V407,"0.00")&amp;" - себестоимость "&amp;TEXT(W407,"0.00")&amp;" - комиссия "&amp;TEXT(V407*R407/100,"0.00")&amp;" - доставка "&amp;TEXT(P407,"0.00")&amp;" - прочие "&amp;TEXT(Q407,"0.00")&amp;" = "&amp;TEXT(G407,"0.00")&amp;" "&amp;L407,"Введите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7" s="24" t="n">
        <x:v>0.6455236352593149</x:v>
      </x:c>
      <x:c r="AG407" s="37" t="n">
        <x:v>14</x:v>
      </x:c>
      <x:c r="AH407" s="37" t="n">
        <x:v>0</x:v>
      </x:c>
      <x:c r="AI407" s="30" t="n">
        <x:v>46266</x:v>
      </x:c>
      <x:c r="AJ407" s="37" t="n">
        <x:v>1</x:v>
      </x:c>
      <x:c r="AK407" s="10" t="str">
        <x:v>минимум</x:v>
      </x:c>
      <x:c r="AL407" s="32" t="n">
        <x:v>1844.314292076308</x:v>
      </x:c>
      <x:c r="AM40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07" s="13" t="str">
        <x:v>Проверить свободный остаток и установить цену для B2B</x:v>
      </x:c>
      <x:c r="AO407" s="13" t="str">
        <x:v>Остаток 14; прогноз 90 дней 0.65; избыток 13 шт. Будущие поступления не выставляются на продажу. Остаток на начало сентября: требуется актуализация.</x:v>
      </x:c>
      <x:c r="AP407" s="13" t="str">
        <x:v>["category_missing", "daily_stockout_data_missing", "new_order_lead_time_unknown", "reservations_unknown", "stale_stock"]</x:v>
      </x:c>
      <x:c r="AQ407" s="10" t="str">
        <x:v>IEK:030201084_</x:v>
      </x:c>
      <x:c r="AR407" s="24" t="n">
        <x:v>1</x:v>
      </x:c>
      <x:c r="AS407" s="24" t="n">
        <x:v>0</x:v>
      </x:c>
      <x:c r="AT407" s="24" t="n">
        <x:v>0</x:v>
      </x:c>
    </x:row>
    <x:row r="408" ht="64" customHeight="1">
      <x:c r="A408" s="11" t="str">
        <x:v>IEK</x:v>
      </x:c>
      <x:c r="B408" s="33" t="str">
        <x:v>030201085_</x:v>
      </x:c>
      <x:c r="C408" s="33" t="str">
        <x:v>BR-M42-51-K01</x:v>
      </x:c>
      <x:c r="D408" s="12" t="str">
        <x:v>Рамка 4-мест. "BRITE"  бел. рифленый  IEK  (1/100)</x:v>
      </x:c>
      <x:c r="E408" s="11" t="str">
        <x:v>шт</x:v>
      </x:c>
      <x:c r="F408" s="35" t="n">
        <x:f>MAX(0,ROUNDDOWN((AG408-AF408)/AR408+0.000000001,0)*AR408)</x:f>
        <x:v>12</x:v>
      </x:c>
      <x:c r="G408" s="20" t="str">
        <x:f>IF(J408="Рассчитано",V408*(1-R408/100)-W408-P408-Q408,"н/д")</x:f>
        <x:v>н/д</x:v>
      </x:c>
      <x:c r="H408" s="12" t="str">
        <x:v>Высокий</x:v>
      </x:c>
      <x:c r="I408" s="12" t="str">
        <x:v>Высокий</x:v>
      </x:c>
      <x:c r="J408" s="12" t="str">
        <x:f>IF(L408="","Укажите валюту",IF(NOT(ISNUMBER(K408)),"Укажите объём",IF(K408&lt;=0,"Укажите объём",IF(K408&gt;F408,"Объём выше излишка",IF(COUNT(M408:O408)&lt;3,"Нужны цены",IF(COUNT(P408:R408)&lt;3,"Нужны расходы",IF(OR(M408&lt;0,N408&lt;0,O408&lt;0,O408&gt;100,P408&lt;0,Q408&lt;0,R408&lt;0,R408&gt;100),"Проверьте значения","Рассчитано")))))))</x:f>
        <x:v>Нужны цены</x:v>
      </x:c>
      <x:c r="K408" s="36" t="n">
        <x:v>12</x:v>
      </x:c>
      <x:c r="L408" s="19" t="str">
        <x:v>KZT</x:v>
      </x:c>
      <x:c r="M408" s="22"/>
      <x:c r="N408" s="22"/>
      <x:c r="O408" s="28"/>
      <x:c r="P408" s="22"/>
      <x:c r="Q408" s="22"/>
      <x:c r="R408" s="28"/>
      <x:c r="S408" s="22"/>
      <x:c r="T408" s="35" t="n">
        <x:f>K408</x:f>
        <x:v>12</x:v>
      </x:c>
      <x:c r="U408" s="20" t="str">
        <x:f>IF(J408="Рассчитано",N408*(1-O408/100),"н/д")</x:f>
        <x:v>н/д</x:v>
      </x:c>
      <x:c r="V408" s="20" t="str">
        <x:f>IF(J408="Рассчитано",T408*U408,"н/д")</x:f>
        <x:v>н/д</x:v>
      </x:c>
      <x:c r="W408" s="20" t="str">
        <x:f>IF(J408="Рассчитано",T408*M408,"н/д")</x:f>
        <x:v>н/д</x:v>
      </x:c>
      <x:c r="X408" s="20" t="str">
        <x:f>IF(J408="Рассчитано",V408-W408,"н/д")</x:f>
        <x:v>н/д</x:v>
      </x:c>
      <x:c r="Y408" s="26" t="str">
        <x:f>IF(J408="Рассчитано",IF(V408&gt;0,G408/V408,"н/д"),"н/д")</x:f>
        <x:v>н/д</x:v>
      </x:c>
      <x:c r="Z408" s="20" t="str">
        <x:f>"н/д"</x:f>
        <x:v>н/д</x:v>
      </x:c>
      <x:c r="AA408" s="20" t="str">
        <x:f>"н/д"</x:f>
        <x:v>н/д</x:v>
      </x:c>
      <x:c r="AB408" s="20" t="str">
        <x:f>"н/д"</x:f>
        <x:v>н/д</x:v>
      </x:c>
      <x:c r="AC408" s="20" t="str">
        <x:f>IF(AND(J408="Рассчитано",T408&gt;0,R408&lt;100),(W408+P408+Q408)/(T408*(1-R408/100)),"н/д")</x:f>
        <x:v>н/д</x:v>
      </x:c>
      <x:c r="AD408" s="11" t="str">
        <x:f>IF(ISNUMBER(G408),IF(G408&lt;0,"Убыток",IF(G408=0,"Без прибыли","Прибыль &gt; 0")),"Не оценён")</x:f>
        <x:v>Не оценён</x:v>
      </x:c>
      <x:c r="AE408" s="12" t="str">
        <x:f>IF(J408="Рассчитано","Выручка "&amp;TEXT(V408,"0.00")&amp;" - себестоимость "&amp;TEXT(W408,"0.00")&amp;" - комиссия "&amp;TEXT(V408*R408/100,"0.00")&amp;" - доставка "&amp;TEXT(P408,"0.00")&amp;" - прочие "&amp;TEXT(Q408,"0.00")&amp;" = "&amp;TEXT(G408,"0.00")&amp;" "&amp;L408,"Введите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8" s="23" t="n">
        <x:v>0</x:v>
      </x:c>
      <x:c r="AG408" s="35" t="n">
        <x:v>12</x:v>
      </x:c>
      <x:c r="AH408" s="35" t="n">
        <x:v>0</x:v>
      </x:c>
      <x:c r="AI408" s="29" t="n">
        <x:v>46266</x:v>
      </x:c>
      <x:c r="AJ408" s="35" t="n">
        <x:v>1</x:v>
      </x:c>
      <x:c r="AK408" s="11" t="str">
        <x:v>минимум</x:v>
      </x:c>
      <x:c r="AL408" s="31" t="str">
        <x:v>н/д</x:v>
      </x:c>
      <x:c r="AM40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08" s="12" t="str">
        <x:v>Проверить свободный остаток и установить цену для B2B</x:v>
      </x:c>
      <x:c r="AO408" s="12" t="str">
        <x:v>Остаток 12; прогноз 90 дней 0.00; избыток 12 шт. Будущие поступления не выставляются на продажу. Остаток на начало сентября: требуется актуализация.</x:v>
      </x:c>
      <x:c r="AP408" s="12" t="str">
        <x:v>["category_missing", "daily_stockout_data_missing", "new_order_lead_time_unknown", "reservations_unknown", "stale_stock"]</x:v>
      </x:c>
      <x:c r="AQ408" s="11" t="str">
        <x:v>IEK:030201085_</x:v>
      </x:c>
      <x:c r="AR408" s="23" t="n">
        <x:v>1</x:v>
      </x:c>
      <x:c r="AS408" s="23" t="n">
        <x:v>0</x:v>
      </x:c>
      <x:c r="AT408" s="23" t="n">
        <x:v>0</x:v>
      </x:c>
    </x:row>
    <x:row r="409" ht="64" customHeight="1">
      <x:c r="A409" s="10" t="str">
        <x:v>IEK</x:v>
      </x:c>
      <x:c r="B409" s="34" t="str">
        <x:v>030201086_</x:v>
      </x:c>
      <x:c r="C409" s="34" t="str">
        <x:v>BR-M42-51-K10</x:v>
      </x:c>
      <x:c r="D409" s="13" t="str">
        <x:v>Рамка 4-мест. "BRITE"  беж. рифленый  IEK  (1/100)</x:v>
      </x:c>
      <x:c r="E409" s="10" t="str">
        <x:v>шт</x:v>
      </x:c>
      <x:c r="F409" s="37" t="n">
        <x:f>MAX(0,ROUNDDOWN((AG409-AF409)/AR409+0.000000001,0)*AR409)</x:f>
        <x:v>10</x:v>
      </x:c>
      <x:c r="G409" s="21" t="str">
        <x:f>IF(J409="Рассчитано",V409*(1-R409/100)-W409-P409-Q409,"н/д")</x:f>
        <x:v>н/д</x:v>
      </x:c>
      <x:c r="H409" s="13" t="str">
        <x:v>Высокий</x:v>
      </x:c>
      <x:c r="I409" s="13" t="str">
        <x:v>Высокий</x:v>
      </x:c>
      <x:c r="J409" s="13" t="str">
        <x:f>IF(L409="","Укажите валюту",IF(NOT(ISNUMBER(K409)),"Укажите объём",IF(K409&lt;=0,"Укажите объём",IF(K409&gt;F409,"Объём выше излишка",IF(COUNT(M409:O409)&lt;3,"Нужны цены",IF(COUNT(P409:R409)&lt;3,"Нужны расходы",IF(OR(M409&lt;0,N409&lt;0,O409&lt;0,O409&gt;100,P409&lt;0,Q409&lt;0,R409&lt;0,R409&gt;100),"Проверьте значения","Рассчитано")))))))</x:f>
        <x:v>Нужны цены</x:v>
      </x:c>
      <x:c r="K409" s="36" t="n">
        <x:v>10</x:v>
      </x:c>
      <x:c r="L409" s="19" t="str">
        <x:v>KZT</x:v>
      </x:c>
      <x:c r="M409" s="22"/>
      <x:c r="N409" s="22"/>
      <x:c r="O409" s="28"/>
      <x:c r="P409" s="22"/>
      <x:c r="Q409" s="22"/>
      <x:c r="R409" s="28"/>
      <x:c r="S409" s="22"/>
      <x:c r="T409" s="37" t="n">
        <x:f>K409</x:f>
        <x:v>10</x:v>
      </x:c>
      <x:c r="U409" s="21" t="str">
        <x:f>IF(J409="Рассчитано",N409*(1-O409/100),"н/д")</x:f>
        <x:v>н/д</x:v>
      </x:c>
      <x:c r="V409" s="21" t="str">
        <x:f>IF(J409="Рассчитано",T409*U409,"н/д")</x:f>
        <x:v>н/д</x:v>
      </x:c>
      <x:c r="W409" s="21" t="str">
        <x:f>IF(J409="Рассчитано",T409*M409,"н/д")</x:f>
        <x:v>н/д</x:v>
      </x:c>
      <x:c r="X409" s="21" t="str">
        <x:f>IF(J409="Рассчитано",V409-W409,"н/д")</x:f>
        <x:v>н/д</x:v>
      </x:c>
      <x:c r="Y409" s="27" t="str">
        <x:f>IF(J409="Рассчитано",IF(V409&gt;0,G409/V409,"н/д"),"н/д")</x:f>
        <x:v>н/д</x:v>
      </x:c>
      <x:c r="Z409" s="21" t="str">
        <x:f>"н/д"</x:f>
        <x:v>н/д</x:v>
      </x:c>
      <x:c r="AA409" s="21" t="str">
        <x:f>"н/д"</x:f>
        <x:v>н/д</x:v>
      </x:c>
      <x:c r="AB409" s="21" t="str">
        <x:f>"н/д"</x:f>
        <x:v>н/д</x:v>
      </x:c>
      <x:c r="AC409" s="21" t="str">
        <x:f>IF(AND(J409="Рассчитано",T409&gt;0,R409&lt;100),(W409+P409+Q409)/(T409*(1-R409/100)),"н/д")</x:f>
        <x:v>н/д</x:v>
      </x:c>
      <x:c r="AD409" s="10" t="str">
        <x:f>IF(ISNUMBER(G409),IF(G409&lt;0,"Убыток",IF(G409=0,"Без прибыли","Прибыль &gt; 0")),"Не оценён")</x:f>
        <x:v>Не оценён</x:v>
      </x:c>
      <x:c r="AE409" s="13" t="str">
        <x:f>IF(J409="Рассчитано","Выручка "&amp;TEXT(V409,"0.00")&amp;" - себестоимость "&amp;TEXT(W409,"0.00")&amp;" - комиссия "&amp;TEXT(V409*R409/100,"0.00")&amp;" - доставка "&amp;TEXT(P409,"0.00")&amp;" - прочие "&amp;TEXT(Q409,"0.00")&amp;" = "&amp;TEXT(G409,"0.00")&amp;" "&amp;L409,"Введите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9" s="24" t="n">
        <x:v>0.6845053365855409</x:v>
      </x:c>
      <x:c r="AG409" s="37" t="n">
        <x:v>11</x:v>
      </x:c>
      <x:c r="AH409" s="37" t="n">
        <x:v>0</x:v>
      </x:c>
      <x:c r="AI409" s="30" t="n">
        <x:v>46266</x:v>
      </x:c>
      <x:c r="AJ409" s="37" t="n">
        <x:v>1</x:v>
      </x:c>
      <x:c r="AK409" s="10" t="str">
        <x:v>минимум</x:v>
      </x:c>
      <x:c r="AL409" s="32" t="n">
        <x:v>1366.5794667687337</x:v>
      </x:c>
      <x:c r="AM40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09" s="13" t="str">
        <x:v>Проверить свободный остаток и установить цену для B2B</x:v>
      </x:c>
      <x:c r="AO409" s="13" t="str">
        <x:v>Остаток 11; прогноз 90 дней 0.68; избыток 10 шт. Будущие поступления не выставляются на продажу. Остаток на начало сентября: требуется актуализация.</x:v>
      </x:c>
      <x:c r="AP409" s="13" t="str">
        <x:v>["category_missing", "daily_stockout_data_missing", "new_order_lead_time_unknown", "reservations_unknown", "stale_stock"]</x:v>
      </x:c>
      <x:c r="AQ409" s="10" t="str">
        <x:v>IEK:030201086_</x:v>
      </x:c>
      <x:c r="AR409" s="24" t="n">
        <x:v>1</x:v>
      </x:c>
      <x:c r="AS409" s="24" t="n">
        <x:v>0</x:v>
      </x:c>
      <x:c r="AT409" s="24" t="n">
        <x:v>0</x:v>
      </x:c>
    </x:row>
    <x:row r="410" ht="64" customHeight="1">
      <x:c r="A410" s="11" t="str">
        <x:v>IEK</x:v>
      </x:c>
      <x:c r="B410" s="33" t="str">
        <x:v>030201087_</x:v>
      </x:c>
      <x:c r="C410" s="33" t="str">
        <x:v>BR-M12-G-31-K01</x:v>
      </x:c>
      <x:c r="D410" s="12" t="str">
        <x:v>Рамка 1-мест. "BRITE"  стекло бел. матовый  IEK  (1/100)</x:v>
      </x:c>
      <x:c r="E410" s="11" t="str">
        <x:v>шт</x:v>
      </x:c>
      <x:c r="F410" s="35" t="n">
        <x:f>MAX(0,ROUNDDOWN((AG410-AF410)/AR410+0.000000001,0)*AR410)</x:f>
        <x:v>10</x:v>
      </x:c>
      <x:c r="G410" s="20" t="str">
        <x:f>IF(J410="Рассчитано",V410*(1-R410/100)-W410-P410-Q410,"н/д")</x:f>
        <x:v>н/д</x:v>
      </x:c>
      <x:c r="H410" s="12" t="str">
        <x:v>Высокий</x:v>
      </x:c>
      <x:c r="I410" s="12" t="str">
        <x:v>Высокий</x:v>
      </x:c>
      <x:c r="J410" s="12" t="str">
        <x:f>IF(L410="","Укажите валюту",IF(NOT(ISNUMBER(K410)),"Укажите объём",IF(K410&lt;=0,"Укажите объём",IF(K410&gt;F410,"Объём выше излишка",IF(COUNT(M410:O410)&lt;3,"Нужны цены",IF(COUNT(P410:R410)&lt;3,"Нужны расходы",IF(OR(M410&lt;0,N410&lt;0,O410&lt;0,O410&gt;100,P410&lt;0,Q410&lt;0,R410&lt;0,R410&gt;100),"Проверьте значения","Рассчитано")))))))</x:f>
        <x:v>Нужны цены</x:v>
      </x:c>
      <x:c r="K410" s="36" t="n">
        <x:v>10</x:v>
      </x:c>
      <x:c r="L410" s="19" t="str">
        <x:v>KZT</x:v>
      </x:c>
      <x:c r="M410" s="22"/>
      <x:c r="N410" s="22"/>
      <x:c r="O410" s="28"/>
      <x:c r="P410" s="22"/>
      <x:c r="Q410" s="22"/>
      <x:c r="R410" s="28"/>
      <x:c r="S410" s="22"/>
      <x:c r="T410" s="35" t="n">
        <x:f>K410</x:f>
        <x:v>10</x:v>
      </x:c>
      <x:c r="U410" s="20" t="str">
        <x:f>IF(J410="Рассчитано",N410*(1-O410/100),"н/д")</x:f>
        <x:v>н/д</x:v>
      </x:c>
      <x:c r="V410" s="20" t="str">
        <x:f>IF(J410="Рассчитано",T410*U410,"н/д")</x:f>
        <x:v>н/д</x:v>
      </x:c>
      <x:c r="W410" s="20" t="str">
        <x:f>IF(J410="Рассчитано",T410*M410,"н/д")</x:f>
        <x:v>н/д</x:v>
      </x:c>
      <x:c r="X410" s="20" t="str">
        <x:f>IF(J410="Рассчитано",V410-W410,"н/д")</x:f>
        <x:v>н/д</x:v>
      </x:c>
      <x:c r="Y410" s="26" t="str">
        <x:f>IF(J410="Рассчитано",IF(V410&gt;0,G410/V410,"н/д"),"н/д")</x:f>
        <x:v>н/д</x:v>
      </x:c>
      <x:c r="Z410" s="20" t="str">
        <x:f>"н/д"</x:f>
        <x:v>н/д</x:v>
      </x:c>
      <x:c r="AA410" s="20" t="str">
        <x:f>"н/д"</x:f>
        <x:v>н/д</x:v>
      </x:c>
      <x:c r="AB410" s="20" t="str">
        <x:f>"н/д"</x:f>
        <x:v>н/д</x:v>
      </x:c>
      <x:c r="AC410" s="20" t="str">
        <x:f>IF(AND(J410="Рассчитано",T410&gt;0,R410&lt;100),(W410+P410+Q410)/(T410*(1-R410/100)),"н/д")</x:f>
        <x:v>н/д</x:v>
      </x:c>
      <x:c r="AD410" s="11" t="str">
        <x:f>IF(ISNUMBER(G410),IF(G410&lt;0,"Убыток",IF(G410=0,"Без прибыли","Прибыль &gt; 0")),"Не оценён")</x:f>
        <x:v>Не оценён</x:v>
      </x:c>
      <x:c r="AE410" s="12" t="str">
        <x:f>IF(J410="Рассчитано","Выручка "&amp;TEXT(V410,"0.00")&amp;" - себестоимость "&amp;TEXT(W410,"0.00")&amp;" - комиссия "&amp;TEXT(V410*R410/100,"0.00")&amp;" - доставка "&amp;TEXT(P410,"0.00")&amp;" - прочие "&amp;TEXT(Q410,"0.00")&amp;" = "&amp;TEXT(G410,"0.00")&amp;" "&amp;L410,"Введите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0" s="23" t="n">
        <x:v>4.879171006581697</x:v>
      </x:c>
      <x:c r="AG410" s="35" t="n">
        <x:v>15</x:v>
      </x:c>
      <x:c r="AH410" s="35" t="n">
        <x:v>0</x:v>
      </x:c>
      <x:c r="AI410" s="29" t="n">
        <x:v>46266</x:v>
      </x:c>
      <x:c r="AJ410" s="35" t="n">
        <x:v>1</x:v>
      </x:c>
      <x:c r="AK410" s="11" t="str">
        <x:v>минимум</x:v>
      </x:c>
      <x:c r="AL410" s="31" t="n">
        <x:v>261.4353218674336</x:v>
      </x:c>
      <x:c r="AM41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10" s="12" t="str">
        <x:v>Проверить свободный остаток и установить цену для B2B</x:v>
      </x:c>
      <x:c r="AO410" s="12" t="str">
        <x:v>Остаток 15; прогноз 90 дней 4.88; избыток 10 шт. Будущие поступления не выставляются на продажу. Остаток на начало сентября: требуется актуализация.</x:v>
      </x:c>
      <x:c r="AP410" s="12" t="str">
        <x:v>["category_missing", "daily_stockout_data_missing", "new_order_lead_time_unknown", "reservations_unknown", "stale_stock"]</x:v>
      </x:c>
      <x:c r="AQ410" s="11" t="str">
        <x:v>IEK:030201087_</x:v>
      </x:c>
      <x:c r="AR410" s="23" t="n">
        <x:v>1</x:v>
      </x:c>
      <x:c r="AS410" s="23" t="n">
        <x:v>0</x:v>
      </x:c>
      <x:c r="AT410" s="23" t="n">
        <x:v>0</x:v>
      </x:c>
    </x:row>
    <x:row r="411" ht="64" customHeight="1">
      <x:c r="A411" s="10" t="str">
        <x:v>IEK</x:v>
      </x:c>
      <x:c r="B411" s="34" t="str">
        <x:v>030201088_</x:v>
      </x:c>
      <x:c r="C411" s="34" t="str">
        <x:v>BR-M12-G-31-K02</x:v>
      </x:c>
      <x:c r="D411" s="13" t="str">
        <x:v>Рамка 1-мест. "BRITE"  стекло черн. матовый  IEK  (1/100)</x:v>
      </x:c>
      <x:c r="E411" s="10" t="str">
        <x:v>шт</x:v>
      </x:c>
      <x:c r="F411" s="37" t="n">
        <x:f>MAX(0,ROUNDDOWN((AG411-AF411)/AR411+0.000000001,0)*AR411)</x:f>
        <x:v>8</x:v>
      </x:c>
      <x:c r="G411" s="21" t="str">
        <x:f>IF(J411="Рассчитано",V411*(1-R411/100)-W411-P411-Q411,"н/д")</x:f>
        <x:v>н/д</x:v>
      </x:c>
      <x:c r="H411" s="13" t="str">
        <x:v>Высокий</x:v>
      </x:c>
      <x:c r="I411" s="13" t="str">
        <x:v>Высокий</x:v>
      </x:c>
      <x:c r="J411" s="13" t="str">
        <x:f>IF(L411="","Укажите валюту",IF(NOT(ISNUMBER(K411)),"Укажите объём",IF(K411&lt;=0,"Укажите объём",IF(K411&gt;F411,"Объём выше излишка",IF(COUNT(M411:O411)&lt;3,"Нужны цены",IF(COUNT(P411:R411)&lt;3,"Нужны расходы",IF(OR(M411&lt;0,N411&lt;0,O411&lt;0,O411&gt;100,P411&lt;0,Q411&lt;0,R411&lt;0,R411&gt;100),"Проверьте значения","Рассчитано")))))))</x:f>
        <x:v>Нужны цены</x:v>
      </x:c>
      <x:c r="K411" s="36" t="n">
        <x:v>8</x:v>
      </x:c>
      <x:c r="L411" s="19" t="str">
        <x:v>KZT</x:v>
      </x:c>
      <x:c r="M411" s="22"/>
      <x:c r="N411" s="22"/>
      <x:c r="O411" s="28"/>
      <x:c r="P411" s="22"/>
      <x:c r="Q411" s="22"/>
      <x:c r="R411" s="28"/>
      <x:c r="S411" s="22"/>
      <x:c r="T411" s="37" t="n">
        <x:f>K411</x:f>
        <x:v>8</x:v>
      </x:c>
      <x:c r="U411" s="21" t="str">
        <x:f>IF(J411="Рассчитано",N411*(1-O411/100),"н/д")</x:f>
        <x:v>н/д</x:v>
      </x:c>
      <x:c r="V411" s="21" t="str">
        <x:f>IF(J411="Рассчитано",T411*U411,"н/д")</x:f>
        <x:v>н/д</x:v>
      </x:c>
      <x:c r="W411" s="21" t="str">
        <x:f>IF(J411="Рассчитано",T411*M411,"н/д")</x:f>
        <x:v>н/д</x:v>
      </x:c>
      <x:c r="X411" s="21" t="str">
        <x:f>IF(J411="Рассчитано",V411-W411,"н/д")</x:f>
        <x:v>н/д</x:v>
      </x:c>
      <x:c r="Y411" s="27" t="str">
        <x:f>IF(J411="Рассчитано",IF(V411&gt;0,G411/V411,"н/д"),"н/д")</x:f>
        <x:v>н/д</x:v>
      </x:c>
      <x:c r="Z411" s="21" t="str">
        <x:f>"н/д"</x:f>
        <x:v>н/д</x:v>
      </x:c>
      <x:c r="AA411" s="21" t="str">
        <x:f>"н/д"</x:f>
        <x:v>н/д</x:v>
      </x:c>
      <x:c r="AB411" s="21" t="str">
        <x:f>"н/д"</x:f>
        <x:v>н/д</x:v>
      </x:c>
      <x:c r="AC411" s="21" t="str">
        <x:f>IF(AND(J411="Рассчитано",T411&gt;0,R411&lt;100),(W411+P411+Q411)/(T411*(1-R411/100)),"н/д")</x:f>
        <x:v>н/д</x:v>
      </x:c>
      <x:c r="AD411" s="10" t="str">
        <x:f>IF(ISNUMBER(G411),IF(G411&lt;0,"Убыток",IF(G411=0,"Без прибыли","Прибыль &gt; 0")),"Не оценён")</x:f>
        <x:v>Не оценён</x:v>
      </x:c>
      <x:c r="AE411" s="13" t="str">
        <x:f>IF(J411="Рассчитано","Выручка "&amp;TEXT(V411,"0.00")&amp;" - себестоимость "&amp;TEXT(W411,"0.00")&amp;" - комиссия "&amp;TEXT(V411*R411/100,"0.00")&amp;" - доставка "&amp;TEXT(P411,"0.00")&amp;" - прочие "&amp;TEXT(Q411,"0.00")&amp;" = "&amp;TEXT(G411,"0.00")&amp;" "&amp;L411,"Введите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1" s="24" t="n">
        <x:v>0</x:v>
      </x:c>
      <x:c r="AG411" s="37" t="n">
        <x:v>8</x:v>
      </x:c>
      <x:c r="AH411" s="37" t="n">
        <x:v>0</x:v>
      </x:c>
      <x:c r="AI411" s="30" t="n">
        <x:v>46266</x:v>
      </x:c>
      <x:c r="AJ411" s="37" t="n">
        <x:v>1</x:v>
      </x:c>
      <x:c r="AK411" s="10" t="str">
        <x:v>минимум</x:v>
      </x:c>
      <x:c r="AL411" s="32" t="str">
        <x:v>н/д</x:v>
      </x:c>
      <x:c r="AM41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11" s="13" t="str">
        <x:v>Проверить свободный остаток и установить цену для B2B</x:v>
      </x:c>
      <x:c r="AO411" s="13" t="str">
        <x:v>Остаток 8; прогноз 90 дней 0.00; избыток 8 шт. Будущие поступления не выставляются на продажу. Остаток на начало сентября: требуется актуализация.</x:v>
      </x:c>
      <x:c r="AP411" s="13" t="str">
        <x:v>["category_missing", "daily_stockout_data_missing", "new_order_lead_time_unknown", "reservations_unknown", "stale_stock"]</x:v>
      </x:c>
      <x:c r="AQ411" s="10" t="str">
        <x:v>IEK:030201088_</x:v>
      </x:c>
      <x:c r="AR411" s="24" t="n">
        <x:v>1</x:v>
      </x:c>
      <x:c r="AS411" s="24" t="n">
        <x:v>0</x:v>
      </x:c>
      <x:c r="AT411" s="24" t="n">
        <x:v>0</x:v>
      </x:c>
    </x:row>
    <x:row r="412" ht="64" customHeight="1">
      <x:c r="A412" s="11" t="str">
        <x:v>IEK</x:v>
      </x:c>
      <x:c r="B412" s="33" t="str">
        <x:v>030201089_</x:v>
      </x:c>
      <x:c r="C412" s="33" t="str">
        <x:v>BR-M12-G-31-K35</x:v>
      </x:c>
      <x:c r="D412" s="12" t="str">
        <x:v>Рамка 1-мест. "BRITE"  стекло маренго матовый  IEK  (1/100)</x:v>
      </x:c>
      <x:c r="E412" s="11" t="str">
        <x:v>шт</x:v>
      </x:c>
      <x:c r="F412" s="35" t="n">
        <x:f>MAX(0,ROUNDDOWN((AG412-AF412)/AR412+0.000000001,0)*AR412)</x:f>
        <x:v>2</x:v>
      </x:c>
      <x:c r="G412" s="20" t="str">
        <x:f>IF(J412="Рассчитано",V412*(1-R412/100)-W412-P412-Q412,"н/д")</x:f>
        <x:v>н/д</x:v>
      </x:c>
      <x:c r="H412" s="12" t="str">
        <x:v>Высокий</x:v>
      </x:c>
      <x:c r="I412" s="12" t="str">
        <x:v>Высокий</x:v>
      </x:c>
      <x:c r="J412" s="12" t="str">
        <x:f>IF(L412="","Укажите валюту",IF(NOT(ISNUMBER(K412)),"Укажите объём",IF(K412&lt;=0,"Укажите объём",IF(K412&gt;F412,"Объём выше излишка",IF(COUNT(M412:O412)&lt;3,"Нужны цены",IF(COUNT(P412:R412)&lt;3,"Нужны расходы",IF(OR(M412&lt;0,N412&lt;0,O412&lt;0,O412&gt;100,P412&lt;0,Q412&lt;0,R412&lt;0,R412&gt;100),"Проверьте значения","Рассчитано")))))))</x:f>
        <x:v>Нужны цены</x:v>
      </x:c>
      <x:c r="K412" s="36" t="n">
        <x:v>2</x:v>
      </x:c>
      <x:c r="L412" s="19" t="str">
        <x:v>KZT</x:v>
      </x:c>
      <x:c r="M412" s="22"/>
      <x:c r="N412" s="22"/>
      <x:c r="O412" s="28"/>
      <x:c r="P412" s="22"/>
      <x:c r="Q412" s="22"/>
      <x:c r="R412" s="28"/>
      <x:c r="S412" s="22"/>
      <x:c r="T412" s="35" t="n">
        <x:f>K412</x:f>
        <x:v>2</x:v>
      </x:c>
      <x:c r="U412" s="20" t="str">
        <x:f>IF(J412="Рассчитано",N412*(1-O412/100),"н/д")</x:f>
        <x:v>н/д</x:v>
      </x:c>
      <x:c r="V412" s="20" t="str">
        <x:f>IF(J412="Рассчитано",T412*U412,"н/д")</x:f>
        <x:v>н/д</x:v>
      </x:c>
      <x:c r="W412" s="20" t="str">
        <x:f>IF(J412="Рассчитано",T412*M412,"н/д")</x:f>
        <x:v>н/д</x:v>
      </x:c>
      <x:c r="X412" s="20" t="str">
        <x:f>IF(J412="Рассчитано",V412-W412,"н/д")</x:f>
        <x:v>н/д</x:v>
      </x:c>
      <x:c r="Y412" s="26" t="str">
        <x:f>IF(J412="Рассчитано",IF(V412&gt;0,G412/V412,"н/д"),"н/д")</x:f>
        <x:v>н/д</x:v>
      </x:c>
      <x:c r="Z412" s="20" t="str">
        <x:f>"н/д"</x:f>
        <x:v>н/д</x:v>
      </x:c>
      <x:c r="AA412" s="20" t="str">
        <x:f>"н/д"</x:f>
        <x:v>н/д</x:v>
      </x:c>
      <x:c r="AB412" s="20" t="str">
        <x:f>"н/д"</x:f>
        <x:v>н/д</x:v>
      </x:c>
      <x:c r="AC412" s="20" t="str">
        <x:f>IF(AND(J412="Рассчитано",T412&gt;0,R412&lt;100),(W412+P412+Q412)/(T412*(1-R412/100)),"н/д")</x:f>
        <x:v>н/д</x:v>
      </x:c>
      <x:c r="AD412" s="11" t="str">
        <x:f>IF(ISNUMBER(G412),IF(G412&lt;0,"Убыток",IF(G412=0,"Без прибыли","Прибыль &gt; 0")),"Не оценён")</x:f>
        <x:v>Не оценён</x:v>
      </x:c>
      <x:c r="AE412" s="12" t="str">
        <x:f>IF(J412="Рассчитано","Выручка "&amp;TEXT(V412,"0.00")&amp;" - себестоимость "&amp;TEXT(W412,"0.00")&amp;" - комиссия "&amp;TEXT(V412*R412/100,"0.00")&amp;" - доставка "&amp;TEXT(P412,"0.00")&amp;" - прочие "&amp;TEXT(Q412,"0.00")&amp;" = "&amp;TEXT(G412,"0.00")&amp;" "&amp;L412,"Введите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2" s="23" t="n">
        <x:v>1.4590687849731367</x:v>
      </x:c>
      <x:c r="AG412" s="35" t="n">
        <x:v>4</x:v>
      </x:c>
      <x:c r="AH412" s="35" t="n">
        <x:v>0</x:v>
      </x:c>
      <x:c r="AI412" s="29" t="n">
        <x:v>46266</x:v>
      </x:c>
      <x:c r="AJ412" s="35" t="n">
        <x:v>1</x:v>
      </x:c>
      <x:c r="AK412" s="11" t="str">
        <x:v>минимум</x:v>
      </x:c>
      <x:c r="AL412" s="31" t="n">
        <x:v>233.13274067937775</x:v>
      </x:c>
      <x:c r="AM41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12" s="12" t="str">
        <x:v>Проверить свободный остаток и установить цену для B2B</x:v>
      </x:c>
      <x:c r="AO412" s="12" t="str">
        <x:v>Остаток 4; прогноз 90 дней 1.46; избыток 2 шт. Будущие поступления не выставляются на продажу. Остаток на начало сентября: требуется актуализация.</x:v>
      </x:c>
      <x:c r="AP412" s="12" t="str">
        <x:v>["category_missing", "daily_stockout_data_missing", "new_order_lead_time_unknown", "reservations_unknown", "stale_stock"]</x:v>
      </x:c>
      <x:c r="AQ412" s="11" t="str">
        <x:v>IEK:030201089_</x:v>
      </x:c>
      <x:c r="AR412" s="23" t="n">
        <x:v>1</x:v>
      </x:c>
      <x:c r="AS412" s="23" t="n">
        <x:v>0</x:v>
      </x:c>
      <x:c r="AT412" s="23" t="n">
        <x:v>0</x:v>
      </x:c>
    </x:row>
    <x:row r="413" ht="64" customHeight="1">
      <x:c r="A413" s="10" t="str">
        <x:v>IEK</x:v>
      </x:c>
      <x:c r="B413" s="34" t="str">
        <x:v>030201091_</x:v>
      </x:c>
      <x:c r="C413" s="34" t="str">
        <x:v>BR-M12-G-41-K02</x:v>
      </x:c>
      <x:c r="D413" s="13" t="str">
        <x:v>Рамка 1-мест. "BRITE"  стекло черн. RE  IEK  (1/100)</x:v>
      </x:c>
      <x:c r="E413" s="10" t="str">
        <x:v>шт</x:v>
      </x:c>
      <x:c r="F413" s="37" t="n">
        <x:f>MAX(0,ROUNDDOWN((AG413-AF413)/AR413+0.000000001,0)*AR413)</x:f>
        <x:v>39</x:v>
      </x:c>
      <x:c r="G413" s="21" t="str">
        <x:f>IF(J413="Рассчитано",V413*(1-R413/100)-W413-P413-Q413,"н/д")</x:f>
        <x:v>н/д</x:v>
      </x:c>
      <x:c r="H413" s="13" t="str">
        <x:v>Высокий</x:v>
      </x:c>
      <x:c r="I413" s="13" t="str">
        <x:v>Высокий</x:v>
      </x:c>
      <x:c r="J413" s="13" t="str">
        <x:f>IF(L413="","Укажите валюту",IF(NOT(ISNUMBER(K413)),"Укажите объём",IF(K413&lt;=0,"Укажите объём",IF(K413&gt;F413,"Объём выше излишка",IF(COUNT(M413:O413)&lt;3,"Нужны цены",IF(COUNT(P413:R413)&lt;3,"Нужны расходы",IF(OR(M413&lt;0,N413&lt;0,O413&lt;0,O413&gt;100,P413&lt;0,Q413&lt;0,R413&lt;0,R413&gt;100),"Проверьте значения","Рассчитано")))))))</x:f>
        <x:v>Нужны цены</x:v>
      </x:c>
      <x:c r="K413" s="36" t="n">
        <x:v>39</x:v>
      </x:c>
      <x:c r="L413" s="19" t="str">
        <x:v>KZT</x:v>
      </x:c>
      <x:c r="M413" s="22"/>
      <x:c r="N413" s="22"/>
      <x:c r="O413" s="28"/>
      <x:c r="P413" s="22"/>
      <x:c r="Q413" s="22"/>
      <x:c r="R413" s="28"/>
      <x:c r="S413" s="22"/>
      <x:c r="T413" s="37" t="n">
        <x:f>K413</x:f>
        <x:v>39</x:v>
      </x:c>
      <x:c r="U413" s="21" t="str">
        <x:f>IF(J413="Рассчитано",N413*(1-O413/100),"н/д")</x:f>
        <x:v>н/д</x:v>
      </x:c>
      <x:c r="V413" s="21" t="str">
        <x:f>IF(J413="Рассчитано",T413*U413,"н/д")</x:f>
        <x:v>н/д</x:v>
      </x:c>
      <x:c r="W413" s="21" t="str">
        <x:f>IF(J413="Рассчитано",T413*M413,"н/д")</x:f>
        <x:v>н/д</x:v>
      </x:c>
      <x:c r="X413" s="21" t="str">
        <x:f>IF(J413="Рассчитано",V413-W413,"н/д")</x:f>
        <x:v>н/д</x:v>
      </x:c>
      <x:c r="Y413" s="27" t="str">
        <x:f>IF(J413="Рассчитано",IF(V413&gt;0,G413/V413,"н/д"),"н/д")</x:f>
        <x:v>н/д</x:v>
      </x:c>
      <x:c r="Z413" s="21" t="str">
        <x:f>"н/д"</x:f>
        <x:v>н/д</x:v>
      </x:c>
      <x:c r="AA413" s="21" t="str">
        <x:f>"н/д"</x:f>
        <x:v>н/д</x:v>
      </x:c>
      <x:c r="AB413" s="21" t="str">
        <x:f>"н/д"</x:f>
        <x:v>н/д</x:v>
      </x:c>
      <x:c r="AC413" s="21" t="str">
        <x:f>IF(AND(J413="Рассчитано",T413&gt;0,R413&lt;100),(W413+P413+Q413)/(T413*(1-R413/100)),"н/д")</x:f>
        <x:v>н/д</x:v>
      </x:c>
      <x:c r="AD413" s="10" t="str">
        <x:f>IF(ISNUMBER(G413),IF(G413&lt;0,"Убыток",IF(G413=0,"Без прибыли","Прибыль &gt; 0")),"Не оценён")</x:f>
        <x:v>Не оценён</x:v>
      </x:c>
      <x:c r="AE413" s="13" t="str">
        <x:f>IF(J413="Рассчитано","Выручка "&amp;TEXT(V413,"0.00")&amp;" - себестоимость "&amp;TEXT(W413,"0.00")&amp;" - комиссия "&amp;TEXT(V413*R413/100,"0.00")&amp;" - доставка "&amp;TEXT(P413,"0.00")&amp;" - прочие "&amp;TEXT(Q413,"0.00")&amp;" = "&amp;TEXT(G413,"0.00")&amp;" "&amp;L413,"Введите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3" s="24" t="n">
        <x:v>6.7655584783285825</x:v>
      </x:c>
      <x:c r="AG413" s="37" t="n">
        <x:v>46</x:v>
      </x:c>
      <x:c r="AH413" s="37" t="n">
        <x:v>0</x:v>
      </x:c>
      <x:c r="AI413" s="30" t="n">
        <x:v>46266</x:v>
      </x:c>
      <x:c r="AJ413" s="37" t="n">
        <x:v>1</x:v>
      </x:c>
      <x:c r="AK413" s="10" t="str">
        <x:v>минимум</x:v>
      </x:c>
      <x:c r="AL413" s="32" t="n">
        <x:v>578.1935248000907</x:v>
      </x:c>
      <x:c r="AM41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13" s="13" t="str">
        <x:v>Проверить свободный остаток и установить цену для B2B</x:v>
      </x:c>
      <x:c r="AO413" s="13" t="str">
        <x:v>Остаток 46; прогноз 90 дней 6.77; избыток 39 шт. Будущие поступления не выставляются на продажу. Остаток на начало сентября: требуется актуализация.</x:v>
      </x:c>
      <x:c r="AP413" s="13" t="str">
        <x:v>["category_missing", "daily_stockout_data_missing", "new_order_lead_time_unknown", "reservations_unknown", "stale_stock"]</x:v>
      </x:c>
      <x:c r="AQ413" s="10" t="str">
        <x:v>IEK:030201091_</x:v>
      </x:c>
      <x:c r="AR413" s="24" t="n">
        <x:v>1</x:v>
      </x:c>
      <x:c r="AS413" s="24" t="n">
        <x:v>0</x:v>
      </x:c>
      <x:c r="AT413" s="24" t="n">
        <x:v>0</x:v>
      </x:c>
    </x:row>
    <x:row r="414" ht="64" customHeight="1">
      <x:c r="A414" s="11" t="str">
        <x:v>IEK</x:v>
      </x:c>
      <x:c r="B414" s="33" t="str">
        <x:v>030201092_</x:v>
      </x:c>
      <x:c r="C414" s="33" t="str">
        <x:v>BR-M12-G-41-K53</x:v>
      </x:c>
      <x:c r="D414" s="12" t="str">
        <x:v>Рамка 1-мест. "BRITE"  стекло графит RE  IEK  (1/100)</x:v>
      </x:c>
      <x:c r="E414" s="11" t="str">
        <x:v>шт</x:v>
      </x:c>
      <x:c r="F414" s="35" t="n">
        <x:f>MAX(0,ROUNDDOWN((AG414-AF414)/AR414+0.000000001,0)*AR414)</x:f>
        <x:v>4</x:v>
      </x:c>
      <x:c r="G414" s="20" t="str">
        <x:f>IF(J414="Рассчитано",V414*(1-R414/100)-W414-P414-Q414,"н/д")</x:f>
        <x:v>н/д</x:v>
      </x:c>
      <x:c r="H414" s="12" t="str">
        <x:v>Высокий</x:v>
      </x:c>
      <x:c r="I414" s="12" t="str">
        <x:v>Средний</x:v>
      </x:c>
      <x:c r="J414" s="12" t="str">
        <x:f>IF(L414="","Укажите валюту",IF(NOT(ISNUMBER(K414)),"Укажите объём",IF(K414&lt;=0,"Укажите объём",IF(K414&gt;F414,"Объём выше излишка",IF(COUNT(M414:O414)&lt;3,"Нужны цены",IF(COUNT(P414:R414)&lt;3,"Нужны расходы",IF(OR(M414&lt;0,N414&lt;0,O414&lt;0,O414&gt;100,P414&lt;0,Q414&lt;0,R414&lt;0,R414&gt;100),"Проверьте значения","Рассчитано")))))))</x:f>
        <x:v>Нужны цены</x:v>
      </x:c>
      <x:c r="K414" s="36" t="n">
        <x:v>4</x:v>
      </x:c>
      <x:c r="L414" s="19" t="str">
        <x:v>KZT</x:v>
      </x:c>
      <x:c r="M414" s="22"/>
      <x:c r="N414" s="22"/>
      <x:c r="O414" s="28"/>
      <x:c r="P414" s="22"/>
      <x:c r="Q414" s="22"/>
      <x:c r="R414" s="28"/>
      <x:c r="S414" s="22"/>
      <x:c r="T414" s="35" t="n">
        <x:f>K414</x:f>
        <x:v>4</x:v>
      </x:c>
      <x:c r="U414" s="20" t="str">
        <x:f>IF(J414="Рассчитано",N414*(1-O414/100),"н/д")</x:f>
        <x:v>н/д</x:v>
      </x:c>
      <x:c r="V414" s="20" t="str">
        <x:f>IF(J414="Рассчитано",T414*U414,"н/д")</x:f>
        <x:v>н/д</x:v>
      </x:c>
      <x:c r="W414" s="20" t="str">
        <x:f>IF(J414="Рассчитано",T414*M414,"н/д")</x:f>
        <x:v>н/д</x:v>
      </x:c>
      <x:c r="X414" s="20" t="str">
        <x:f>IF(J414="Рассчитано",V414-W414,"н/д")</x:f>
        <x:v>н/д</x:v>
      </x:c>
      <x:c r="Y414" s="26" t="str">
        <x:f>IF(J414="Рассчитано",IF(V414&gt;0,G414/V414,"н/д"),"н/д")</x:f>
        <x:v>н/д</x:v>
      </x:c>
      <x:c r="Z414" s="20" t="str">
        <x:f>"н/д"</x:f>
        <x:v>н/д</x:v>
      </x:c>
      <x:c r="AA414" s="20" t="str">
        <x:f>"н/д"</x:f>
        <x:v>н/д</x:v>
      </x:c>
      <x:c r="AB414" s="20" t="str">
        <x:f>"н/д"</x:f>
        <x:v>н/д</x:v>
      </x:c>
      <x:c r="AC414" s="20" t="str">
        <x:f>IF(AND(J414="Рассчитано",T414&gt;0,R414&lt;100),(W414+P414+Q414)/(T414*(1-R414/100)),"н/д")</x:f>
        <x:v>н/д</x:v>
      </x:c>
      <x:c r="AD414" s="11" t="str">
        <x:f>IF(ISNUMBER(G414),IF(G414&lt;0,"Убыток",IF(G414=0,"Без прибыли","Прибыль &gt; 0")),"Не оценён")</x:f>
        <x:v>Не оценён</x:v>
      </x:c>
      <x:c r="AE414" s="12" t="str">
        <x:f>IF(J414="Рассчитано","Выручка "&amp;TEXT(V414,"0.00")&amp;" - себестоимость "&amp;TEXT(W414,"0.00")&amp;" - комиссия "&amp;TEXT(V414*R414/100,"0.00")&amp;" - доставка "&amp;TEXT(P414,"0.00")&amp;" - прочие "&amp;TEXT(Q414,"0.00")&amp;" = "&amp;TEXT(G414,"0.00")&amp;" "&amp;L414,"Введите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4" s="23" t="n">
        <x:v>8.32421150331071</x:v>
      </x:c>
      <x:c r="AG414" s="35" t="n">
        <x:v>13</x:v>
      </x:c>
      <x:c r="AH414" s="35" t="n">
        <x:v>0</x:v>
      </x:c>
      <x:c r="AI414" s="29" t="n">
        <x:v>46266</x:v>
      </x:c>
      <x:c r="AJ414" s="35" t="n">
        <x:v>1</x:v>
      </x:c>
      <x:c r="AK414" s="11" t="str">
        <x:v>минимум</x:v>
      </x:c>
      <x:c r="AL414" s="31" t="n">
        <x:v>132.80648740988786</x:v>
      </x:c>
      <x:c r="AM414" s="12" t="str">
        <x:v>Остаток на начало сентября; Резервы неизвестны; Нет ежедневных данных доступности. Запас выше прогноза на 90 дней</x:v>
      </x:c>
      <x:c r="AN414" s="12" t="str">
        <x:v>Проверить свободный остаток и установить цену для B2B</x:v>
      </x:c>
      <x:c r="AO414" s="12" t="str">
        <x:v>Остаток 13; прогноз 90 дней 8.32; избыток 4 шт. Будущие поступления не выставляются на продажу. Остаток на начало сентября: требуется актуализация.</x:v>
      </x:c>
      <x:c r="AP414" s="12" t="str">
        <x:v>["category_missing", "daily_stockout_data_missing", "new_order_lead_time_unknown", "reservations_unknown", "stale_stock"]</x:v>
      </x:c>
      <x:c r="AQ414" s="11" t="str">
        <x:v>IEK:030201092_</x:v>
      </x:c>
      <x:c r="AR414" s="23" t="n">
        <x:v>1</x:v>
      </x:c>
      <x:c r="AS414" s="23" t="n">
        <x:v>0</x:v>
      </x:c>
      <x:c r="AT414" s="23" t="n">
        <x:v>0</x:v>
      </x:c>
    </x:row>
    <x:row r="415" ht="64" customHeight="1">
      <x:c r="A415" s="10" t="str">
        <x:v>IEK</x:v>
      </x:c>
      <x:c r="B415" s="34" t="str">
        <x:v>030201093_</x:v>
      </x:c>
      <x:c r="C415" s="34" t="str">
        <x:v>BR-M12-G-41-K98</x:v>
      </x:c>
      <x:c r="D415" s="13" t="str">
        <x:v>Рамка 1-мест. "BRITE"  стекло песчаный RE  IEK  (1/100)</x:v>
      </x:c>
      <x:c r="E415" s="10" t="str">
        <x:v>шт</x:v>
      </x:c>
      <x:c r="F415" s="37" t="n">
        <x:f>MAX(0,ROUNDDOWN((AG415-AF415)/AR415+0.000000001,0)*AR415)</x:f>
        <x:v>16</x:v>
      </x:c>
      <x:c r="G415" s="21" t="str">
        <x:f>IF(J415="Рассчитано",V415*(1-R415/100)-W415-P415-Q415,"н/д")</x:f>
        <x:v>н/д</x:v>
      </x:c>
      <x:c r="H415" s="13" t="str">
        <x:v>Высокий</x:v>
      </x:c>
      <x:c r="I415" s="13" t="str">
        <x:v>Высокий</x:v>
      </x:c>
      <x:c r="J415" s="13" t="str">
        <x:f>IF(L415="","Укажите валюту",IF(NOT(ISNUMBER(K415)),"Укажите объём",IF(K415&lt;=0,"Укажите объём",IF(K415&gt;F415,"Объём выше излишка",IF(COUNT(M415:O415)&lt;3,"Нужны цены",IF(COUNT(P415:R415)&lt;3,"Нужны расходы",IF(OR(M415&lt;0,N415&lt;0,O415&lt;0,O415&gt;100,P415&lt;0,Q415&lt;0,R415&lt;0,R415&gt;100),"Проверьте значения","Рассчитано")))))))</x:f>
        <x:v>Нужны цены</x:v>
      </x:c>
      <x:c r="K415" s="36" t="n">
        <x:v>16</x:v>
      </x:c>
      <x:c r="L415" s="19" t="str">
        <x:v>KZT</x:v>
      </x:c>
      <x:c r="M415" s="22"/>
      <x:c r="N415" s="22"/>
      <x:c r="O415" s="28"/>
      <x:c r="P415" s="22"/>
      <x:c r="Q415" s="22"/>
      <x:c r="R415" s="28"/>
      <x:c r="S415" s="22"/>
      <x:c r="T415" s="37" t="n">
        <x:f>K415</x:f>
        <x:v>16</x:v>
      </x:c>
      <x:c r="U415" s="21" t="str">
        <x:f>IF(J415="Рассчитано",N415*(1-O415/100),"н/д")</x:f>
        <x:v>н/д</x:v>
      </x:c>
      <x:c r="V415" s="21" t="str">
        <x:f>IF(J415="Рассчитано",T415*U415,"н/д")</x:f>
        <x:v>н/д</x:v>
      </x:c>
      <x:c r="W415" s="21" t="str">
        <x:f>IF(J415="Рассчитано",T415*M415,"н/д")</x:f>
        <x:v>н/д</x:v>
      </x:c>
      <x:c r="X415" s="21" t="str">
        <x:f>IF(J415="Рассчитано",V415-W415,"н/д")</x:f>
        <x:v>н/д</x:v>
      </x:c>
      <x:c r="Y415" s="27" t="str">
        <x:f>IF(J415="Рассчитано",IF(V415&gt;0,G415/V415,"н/д"),"н/д")</x:f>
        <x:v>н/д</x:v>
      </x:c>
      <x:c r="Z415" s="21" t="str">
        <x:f>"н/д"</x:f>
        <x:v>н/д</x:v>
      </x:c>
      <x:c r="AA415" s="21" t="str">
        <x:f>"н/д"</x:f>
        <x:v>н/д</x:v>
      </x:c>
      <x:c r="AB415" s="21" t="str">
        <x:f>"н/д"</x:f>
        <x:v>н/д</x:v>
      </x:c>
      <x:c r="AC415" s="21" t="str">
        <x:f>IF(AND(J415="Рассчитано",T415&gt;0,R415&lt;100),(W415+P415+Q415)/(T415*(1-R415/100)),"н/д")</x:f>
        <x:v>н/д</x:v>
      </x:c>
      <x:c r="AD415" s="10" t="str">
        <x:f>IF(ISNUMBER(G415),IF(G415&lt;0,"Убыток",IF(G415=0,"Без прибыли","Прибыль &gt; 0")),"Не оценён")</x:f>
        <x:v>Не оценён</x:v>
      </x:c>
      <x:c r="AE415" s="13" t="str">
        <x:f>IF(J415="Рассчитано","Выручка "&amp;TEXT(V415,"0.00")&amp;" - себестоимость "&amp;TEXT(W415,"0.00")&amp;" - комиссия "&amp;TEXT(V415*R415/100,"0.00")&amp;" - доставка "&amp;TEXT(P415,"0.00")&amp;" - прочие "&amp;TEXT(Q415,"0.00")&amp;" = "&amp;TEXT(G415,"0.00")&amp;" "&amp;L415,"Введите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5" s="24" t="n">
        <x:v>12.160476094614086</x:v>
      </x:c>
      <x:c r="AG415" s="37" t="n">
        <x:v>29</x:v>
      </x:c>
      <x:c r="AH415" s="37" t="n">
        <x:v>0</x:v>
      </x:c>
      <x:c r="AI415" s="30" t="n">
        <x:v>46266</x:v>
      </x:c>
      <x:c r="AJ415" s="37" t="n">
        <x:v>1</x:v>
      </x:c>
      <x:c r="AK415" s="10" t="str">
        <x:v>минимум</x:v>
      </x:c>
      <x:c r="AL415" s="32" t="n">
        <x:v>202.799305697086</x:v>
      </x:c>
      <x:c r="AM41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15" s="13" t="str">
        <x:v>Проверить свободный остаток и установить цену для B2B</x:v>
      </x:c>
      <x:c r="AO415" s="13" t="str">
        <x:v>Остаток 29; прогноз 90 дней 12.16; избыток 16 шт. Будущие поступления не выставляются на продажу. Остаток на начало сентября: требуется актуализация.</x:v>
      </x:c>
      <x:c r="AP415" s="13" t="str">
        <x:v>["category_missing", "daily_stockout_data_missing", "new_order_lead_time_unknown", "reservations_unknown", "stale_stock"]</x:v>
      </x:c>
      <x:c r="AQ415" s="10" t="str">
        <x:v>IEK:030201093_</x:v>
      </x:c>
      <x:c r="AR415" s="24" t="n">
        <x:v>1</x:v>
      </x:c>
      <x:c r="AS415" s="24" t="n">
        <x:v>0</x:v>
      </x:c>
      <x:c r="AT415" s="24" t="n">
        <x:v>0</x:v>
      </x:c>
    </x:row>
    <x:row r="416" ht="64" customHeight="1">
      <x:c r="A416" s="11" t="str">
        <x:v>IEK</x:v>
      </x:c>
      <x:c r="B416" s="33" t="str">
        <x:v>030201094_</x:v>
      </x:c>
      <x:c r="C416" s="33" t="str">
        <x:v>BR-M12-M-01-K02</x:v>
      </x:c>
      <x:c r="D416" s="12" t="str">
        <x:v>Рамка 1-мест. "BRITE"  металл черн. RE  IEK  (1/100)</x:v>
      </x:c>
      <x:c r="E416" s="11" t="str">
        <x:v>шт</x:v>
      </x:c>
      <x:c r="F416" s="35" t="n">
        <x:f>MAX(0,ROUNDDOWN((AG416-AF416)/AR416+0.000000001,0)*AR416)</x:f>
        <x:v>14</x:v>
      </x:c>
      <x:c r="G416" s="20" t="str">
        <x:f>IF(J416="Рассчитано",V416*(1-R416/100)-W416-P416-Q416,"н/д")</x:f>
        <x:v>н/д</x:v>
      </x:c>
      <x:c r="H416" s="12" t="str">
        <x:v>Высокий</x:v>
      </x:c>
      <x:c r="I416" s="12" t="str">
        <x:v>Высокий</x:v>
      </x:c>
      <x:c r="J416" s="12" t="str">
        <x:f>IF(L416="","Укажите валюту",IF(NOT(ISNUMBER(K416)),"Укажите объём",IF(K416&lt;=0,"Укажите объём",IF(K416&gt;F416,"Объём выше излишка",IF(COUNT(M416:O416)&lt;3,"Нужны цены",IF(COUNT(P416:R416)&lt;3,"Нужны расходы",IF(OR(M416&lt;0,N416&lt;0,O416&lt;0,O416&gt;100,P416&lt;0,Q416&lt;0,R416&lt;0,R416&gt;100),"Проверьте значения","Рассчитано")))))))</x:f>
        <x:v>Нужны цены</x:v>
      </x:c>
      <x:c r="K416" s="36" t="n">
        <x:v>14</x:v>
      </x:c>
      <x:c r="L416" s="19" t="str">
        <x:v>KZT</x:v>
      </x:c>
      <x:c r="M416" s="22"/>
      <x:c r="N416" s="22"/>
      <x:c r="O416" s="28"/>
      <x:c r="P416" s="22"/>
      <x:c r="Q416" s="22"/>
      <x:c r="R416" s="28"/>
      <x:c r="S416" s="22"/>
      <x:c r="T416" s="35" t="n">
        <x:f>K416</x:f>
        <x:v>14</x:v>
      </x:c>
      <x:c r="U416" s="20" t="str">
        <x:f>IF(J416="Рассчитано",N416*(1-O416/100),"н/д")</x:f>
        <x:v>н/д</x:v>
      </x:c>
      <x:c r="V416" s="20" t="str">
        <x:f>IF(J416="Рассчитано",T416*U416,"н/д")</x:f>
        <x:v>н/д</x:v>
      </x:c>
      <x:c r="W416" s="20" t="str">
        <x:f>IF(J416="Рассчитано",T416*M416,"н/д")</x:f>
        <x:v>н/д</x:v>
      </x:c>
      <x:c r="X416" s="20" t="str">
        <x:f>IF(J416="Рассчитано",V416-W416,"н/д")</x:f>
        <x:v>н/д</x:v>
      </x:c>
      <x:c r="Y416" s="26" t="str">
        <x:f>IF(J416="Рассчитано",IF(V416&gt;0,G416/V416,"н/д"),"н/д")</x:f>
        <x:v>н/д</x:v>
      </x:c>
      <x:c r="Z416" s="20" t="str">
        <x:f>"н/д"</x:f>
        <x:v>н/д</x:v>
      </x:c>
      <x:c r="AA416" s="20" t="str">
        <x:f>"н/д"</x:f>
        <x:v>н/д</x:v>
      </x:c>
      <x:c r="AB416" s="20" t="str">
        <x:f>"н/д"</x:f>
        <x:v>н/д</x:v>
      </x:c>
      <x:c r="AC416" s="20" t="str">
        <x:f>IF(AND(J416="Рассчитано",T416&gt;0,R416&lt;100),(W416+P416+Q416)/(T416*(1-R416/100)),"н/д")</x:f>
        <x:v>н/д</x:v>
      </x:c>
      <x:c r="AD416" s="11" t="str">
        <x:f>IF(ISNUMBER(G416),IF(G416&lt;0,"Убыток",IF(G416=0,"Без прибыли","Прибыль &gt; 0")),"Не оценён")</x:f>
        <x:v>Не оценён</x:v>
      </x:c>
      <x:c r="AE416" s="12" t="str">
        <x:f>IF(J416="Рассчитано","Выручка "&amp;TEXT(V416,"0.00")&amp;" - себестоимость "&amp;TEXT(W416,"0.00")&amp;" - комиссия "&amp;TEXT(V416*R416/100,"0.00")&amp;" - доставка "&amp;TEXT(P416,"0.00")&amp;" - прочие "&amp;TEXT(Q416,"0.00")&amp;" = "&amp;TEXT(G416,"0.00")&amp;" "&amp;L416,"Введите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6" s="23" t="n">
        <x:v>4.005272380350508</x:v>
      </x:c>
      <x:c r="AG416" s="35" t="n">
        <x:v>19</x:v>
      </x:c>
      <x:c r="AH416" s="35" t="n">
        <x:v>0</x:v>
      </x:c>
      <x:c r="AI416" s="29" t="n">
        <x:v>46266</x:v>
      </x:c>
      <x:c r="AJ416" s="35" t="n">
        <x:v>1</x:v>
      </x:c>
      <x:c r="AK416" s="11" t="str">
        <x:v>минимум</x:v>
      </x:c>
      <x:c r="AL416" s="31" t="n">
        <x:v>403.4043615008906</x:v>
      </x:c>
      <x:c r="AM41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16" s="12" t="str">
        <x:v>Проверить свободный остаток и установить цену для B2B</x:v>
      </x:c>
      <x:c r="AO416" s="12" t="str">
        <x:v>Остаток 19; прогноз 90 дней 4.01; избыток 14 шт. Будущие поступления не выставляются на продажу. Остаток на начало сентября: требуется актуализация.</x:v>
      </x:c>
      <x:c r="AP416" s="12" t="str">
        <x:v>["category_missing", "daily_stockout_data_missing", "new_order_lead_time_unknown", "reservations_unknown", "stale_stock"]</x:v>
      </x:c>
      <x:c r="AQ416" s="11" t="str">
        <x:v>IEK:030201094_</x:v>
      </x:c>
      <x:c r="AR416" s="23" t="n">
        <x:v>1</x:v>
      </x:c>
      <x:c r="AS416" s="23" t="n">
        <x:v>0</x:v>
      </x:c>
      <x:c r="AT416" s="23" t="n">
        <x:v>0</x:v>
      </x:c>
    </x:row>
    <x:row r="417" ht="64" customHeight="1">
      <x:c r="A417" s="10" t="str">
        <x:v>IEK</x:v>
      </x:c>
      <x:c r="B417" s="34" t="str">
        <x:v>030201096_</x:v>
      </x:c>
      <x:c r="C417" s="34" t="str">
        <x:v>BR-M12-M-01-K48</x:v>
      </x:c>
      <x:c r="D417" s="13" t="str">
        <x:v>Рамка 1-мест. "BRITE"  металл титан RE  IEK  (1/100)</x:v>
      </x:c>
      <x:c r="E417" s="10" t="str">
        <x:v>шт</x:v>
      </x:c>
      <x:c r="F417" s="37" t="n">
        <x:f>MAX(0,ROUNDDOWN((AG417-AF417)/AR417+0.000000001,0)*AR417)</x:f>
        <x:v>12</x:v>
      </x:c>
      <x:c r="G417" s="21" t="str">
        <x:f>IF(J417="Рассчитано",V417*(1-R417/100)-W417-P417-Q417,"н/д")</x:f>
        <x:v>н/д</x:v>
      </x:c>
      <x:c r="H417" s="13" t="str">
        <x:v>Высокий</x:v>
      </x:c>
      <x:c r="I417" s="13" t="str">
        <x:v>Высокий</x:v>
      </x:c>
      <x:c r="J417" s="13" t="str">
        <x:f>IF(L417="","Укажите валюту",IF(NOT(ISNUMBER(K417)),"Укажите объём",IF(K417&lt;=0,"Укажите объём",IF(K417&gt;F417,"Объём выше излишка",IF(COUNT(M417:O417)&lt;3,"Нужны цены",IF(COUNT(P417:R417)&lt;3,"Нужны расходы",IF(OR(M417&lt;0,N417&lt;0,O417&lt;0,O417&gt;100,P417&lt;0,Q417&lt;0,R417&lt;0,R417&gt;100),"Проверьте значения","Рассчитано")))))))</x:f>
        <x:v>Нужны цены</x:v>
      </x:c>
      <x:c r="K417" s="36" t="n">
        <x:v>12</x:v>
      </x:c>
      <x:c r="L417" s="19" t="str">
        <x:v>KZT</x:v>
      </x:c>
      <x:c r="M417" s="22"/>
      <x:c r="N417" s="22"/>
      <x:c r="O417" s="28"/>
      <x:c r="P417" s="22"/>
      <x:c r="Q417" s="22"/>
      <x:c r="R417" s="28"/>
      <x:c r="S417" s="22"/>
      <x:c r="T417" s="37" t="n">
        <x:f>K417</x:f>
        <x:v>12</x:v>
      </x:c>
      <x:c r="U417" s="21" t="str">
        <x:f>IF(J417="Рассчитано",N417*(1-O417/100),"н/д")</x:f>
        <x:v>н/д</x:v>
      </x:c>
      <x:c r="V417" s="21" t="str">
        <x:f>IF(J417="Рассчитано",T417*U417,"н/д")</x:f>
        <x:v>н/д</x:v>
      </x:c>
      <x:c r="W417" s="21" t="str">
        <x:f>IF(J417="Рассчитано",T417*M417,"н/д")</x:f>
        <x:v>н/д</x:v>
      </x:c>
      <x:c r="X417" s="21" t="str">
        <x:f>IF(J417="Рассчитано",V417-W417,"н/д")</x:f>
        <x:v>н/д</x:v>
      </x:c>
      <x:c r="Y417" s="27" t="str">
        <x:f>IF(J417="Рассчитано",IF(V417&gt;0,G417/V417,"н/д"),"н/д")</x:f>
        <x:v>н/д</x:v>
      </x:c>
      <x:c r="Z417" s="21" t="str">
        <x:f>"н/д"</x:f>
        <x:v>н/д</x:v>
      </x:c>
      <x:c r="AA417" s="21" t="str">
        <x:f>"н/д"</x:f>
        <x:v>н/д</x:v>
      </x:c>
      <x:c r="AB417" s="21" t="str">
        <x:f>"н/д"</x:f>
        <x:v>н/д</x:v>
      </x:c>
      <x:c r="AC417" s="21" t="str">
        <x:f>IF(AND(J417="Рассчитано",T417&gt;0,R417&lt;100),(W417+P417+Q417)/(T417*(1-R417/100)),"н/д")</x:f>
        <x:v>н/д</x:v>
      </x:c>
      <x:c r="AD417" s="10" t="str">
        <x:f>IF(ISNUMBER(G417),IF(G417&lt;0,"Убыток",IF(G417=0,"Без прибыли","Прибыль &gt; 0")),"Не оценён")</x:f>
        <x:v>Не оценён</x:v>
      </x:c>
      <x:c r="AE417" s="13" t="str">
        <x:f>IF(J417="Рассчитано","Выручка "&amp;TEXT(V417,"0.00")&amp;" - себестоимость "&amp;TEXT(W417,"0.00")&amp;" - комиссия "&amp;TEXT(V417*R417/100,"0.00")&amp;" - доставка "&amp;TEXT(P417,"0.00")&amp;" - прочие "&amp;TEXT(Q417,"0.00")&amp;" = "&amp;TEXT(G417,"0.00")&amp;" "&amp;L417,"Введите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7" s="24" t="n">
        <x:v>0.24209818562967375</x:v>
      </x:c>
      <x:c r="AG417" s="37" t="n">
        <x:v>13</x:v>
      </x:c>
      <x:c r="AH417" s="37" t="n">
        <x:v>0</x:v>
      </x:c>
      <x:c r="AI417" s="30" t="n">
        <x:v>46266</x:v>
      </x:c>
      <x:c r="AJ417" s="37" t="n">
        <x:v>1</x:v>
      </x:c>
      <x:c r="AK417" s="10" t="str">
        <x:v>минимум</x:v>
      </x:c>
      <x:c r="AL417" s="32" t="n">
        <x:v>4566.367514636088</x:v>
      </x:c>
      <x:c r="AM41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17" s="13" t="str">
        <x:v>Проверить свободный остаток и установить цену для B2B</x:v>
      </x:c>
      <x:c r="AO417" s="13" t="str">
        <x:v>Остаток 13; прогноз 90 дней 0.24; избыток 12 шт. Будущие поступления не выставляются на продажу. Остаток на начало сентября: требуется актуализация.</x:v>
      </x:c>
      <x:c r="AP417" s="13" t="str">
        <x:v>["category_missing", "daily_stockout_data_missing", "new_order_lead_time_unknown", "reservations_unknown", "stale_stock"]</x:v>
      </x:c>
      <x:c r="AQ417" s="10" t="str">
        <x:v>IEK:030201096_</x:v>
      </x:c>
      <x:c r="AR417" s="24" t="n">
        <x:v>1</x:v>
      </x:c>
      <x:c r="AS417" s="24" t="n">
        <x:v>0</x:v>
      </x:c>
      <x:c r="AT417" s="24" t="n">
        <x:v>0</x:v>
      </x:c>
    </x:row>
    <x:row r="418" ht="64" customHeight="1">
      <x:c r="A418" s="11" t="str">
        <x:v>IEK</x:v>
      </x:c>
      <x:c r="B418" s="33" t="str">
        <x:v>030201097_</x:v>
      </x:c>
      <x:c r="C418" s="33" t="str">
        <x:v>BR-M12-M-21-K02</x:v>
      </x:c>
      <x:c r="D418" s="12" t="str">
        <x:v>Рамка 1-мест. "BRITE"  металл черн. RE AL  IEK  (1/100)</x:v>
      </x:c>
      <x:c r="E418" s="11" t="str">
        <x:v>шт</x:v>
      </x:c>
      <x:c r="F418" s="35" t="n">
        <x:f>MAX(0,ROUNDDOWN((AG418-AF418)/AR418+0.000000001,0)*AR418)</x:f>
        <x:v>4</x:v>
      </x:c>
      <x:c r="G418" s="20" t="str">
        <x:f>IF(J418="Рассчитано",V418*(1-R418/100)-W418-P418-Q418,"н/д")</x:f>
        <x:v>н/д</x:v>
      </x:c>
      <x:c r="H418" s="12" t="str">
        <x:v>Высокий</x:v>
      </x:c>
      <x:c r="I418" s="12" t="str">
        <x:v>Высокий</x:v>
      </x:c>
      <x:c r="J418" s="12" t="str">
        <x:f>IF(L418="","Укажите валюту",IF(NOT(ISNUMBER(K418)),"Укажите объём",IF(K418&lt;=0,"Укажите объём",IF(K418&gt;F418,"Объём выше излишка",IF(COUNT(M418:O418)&lt;3,"Нужны цены",IF(COUNT(P418:R418)&lt;3,"Нужны расходы",IF(OR(M418&lt;0,N418&lt;0,O418&lt;0,O418&gt;100,P418&lt;0,Q418&lt;0,R418&lt;0,R418&gt;100),"Проверьте значения","Рассчитано")))))))</x:f>
        <x:v>Нужны цены</x:v>
      </x:c>
      <x:c r="K418" s="36" t="n">
        <x:v>4</x:v>
      </x:c>
      <x:c r="L418" s="19" t="str">
        <x:v>KZT</x:v>
      </x:c>
      <x:c r="M418" s="22"/>
      <x:c r="N418" s="22"/>
      <x:c r="O418" s="28"/>
      <x:c r="P418" s="22"/>
      <x:c r="Q418" s="22"/>
      <x:c r="R418" s="28"/>
      <x:c r="S418" s="22"/>
      <x:c r="T418" s="35" t="n">
        <x:f>K418</x:f>
        <x:v>4</x:v>
      </x:c>
      <x:c r="U418" s="20" t="str">
        <x:f>IF(J418="Рассчитано",N418*(1-O418/100),"н/д")</x:f>
        <x:v>н/д</x:v>
      </x:c>
      <x:c r="V418" s="20" t="str">
        <x:f>IF(J418="Рассчитано",T418*U418,"н/д")</x:f>
        <x:v>н/д</x:v>
      </x:c>
      <x:c r="W418" s="20" t="str">
        <x:f>IF(J418="Рассчитано",T418*M418,"н/д")</x:f>
        <x:v>н/д</x:v>
      </x:c>
      <x:c r="X418" s="20" t="str">
        <x:f>IF(J418="Рассчитано",V418-W418,"н/д")</x:f>
        <x:v>н/д</x:v>
      </x:c>
      <x:c r="Y418" s="26" t="str">
        <x:f>IF(J418="Рассчитано",IF(V418&gt;0,G418/V418,"н/д"),"н/д")</x:f>
        <x:v>н/д</x:v>
      </x:c>
      <x:c r="Z418" s="20" t="str">
        <x:f>"н/д"</x:f>
        <x:v>н/д</x:v>
      </x:c>
      <x:c r="AA418" s="20" t="str">
        <x:f>"н/д"</x:f>
        <x:v>н/д</x:v>
      </x:c>
      <x:c r="AB418" s="20" t="str">
        <x:f>"н/д"</x:f>
        <x:v>н/д</x:v>
      </x:c>
      <x:c r="AC418" s="20" t="str">
        <x:f>IF(AND(J418="Рассчитано",T418&gt;0,R418&lt;100),(W418+P418+Q418)/(T418*(1-R418/100)),"н/д")</x:f>
        <x:v>н/д</x:v>
      </x:c>
      <x:c r="AD418" s="11" t="str">
        <x:f>IF(ISNUMBER(G418),IF(G418&lt;0,"Убыток",IF(G418=0,"Без прибыли","Прибыль &gt; 0")),"Не оценён")</x:f>
        <x:v>Не оценён</x:v>
      </x:c>
      <x:c r="AE418" s="12" t="str">
        <x:f>IF(J418="Рассчитано","Выручка "&amp;TEXT(V418,"0.00")&amp;" - себестоимость "&amp;TEXT(W418,"0.00")&amp;" - комиссия "&amp;TEXT(V418*R418/100,"0.00")&amp;" - доставка "&amp;TEXT(P418,"0.00")&amp;" - прочие "&amp;TEXT(Q418,"0.00")&amp;" = "&amp;TEXT(G418,"0.00")&amp;" "&amp;L418,"Введите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8" s="23" t="n">
        <x:v>0.650903580675105</x:v>
      </x:c>
      <x:c r="AG418" s="35" t="n">
        <x:v>5</x:v>
      </x:c>
      <x:c r="AH418" s="35" t="n">
        <x:v>0</x:v>
      </x:c>
      <x:c r="AI418" s="29" t="n">
        <x:v>46266</x:v>
      </x:c>
      <x:c r="AJ418" s="35" t="n">
        <x:v>1</x:v>
      </x:c>
      <x:c r="AK418" s="11" t="str">
        <x:v>минимум</x:v>
      </x:c>
      <x:c r="AL418" s="31" t="n">
        <x:v>653.239425122905</x:v>
      </x:c>
      <x:c r="AM4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18" s="12" t="str">
        <x:v>Проверить свободный остаток и установить цену для B2B</x:v>
      </x:c>
      <x:c r="AO418" s="12" t="str">
        <x:v>Остаток 5; прогноз 90 дней 0.65; избыток 4 шт. Будущие поступления не выставляются на продажу. Остаток на начало сентября: требуется актуализация.</x:v>
      </x:c>
      <x:c r="AP418" s="12" t="str">
        <x:v>["category_missing", "daily_stockout_data_missing", "new_order_lead_time_unknown", "reservations_unknown", "stale_stock"]</x:v>
      </x:c>
      <x:c r="AQ418" s="11" t="str">
        <x:v>IEK:030201097_</x:v>
      </x:c>
      <x:c r="AR418" s="23" t="n">
        <x:v>1</x:v>
      </x:c>
      <x:c r="AS418" s="23" t="n">
        <x:v>0</x:v>
      </x:c>
      <x:c r="AT418" s="23" t="n">
        <x:v>0</x:v>
      </x:c>
    </x:row>
    <x:row r="419" ht="64" customHeight="1">
      <x:c r="A419" s="10" t="str">
        <x:v>IEK</x:v>
      </x:c>
      <x:c r="B419" s="34" t="str">
        <x:v>030201098_</x:v>
      </x:c>
      <x:c r="C419" s="34" t="str">
        <x:v>BR-M12-M-21-K30</x:v>
      </x:c>
      <x:c r="D419" s="13" t="str">
        <x:v>Рамка 1-мест. "BRITE"  металл коричн. RE AL  IEK  (1/100)</x:v>
      </x:c>
      <x:c r="E419" s="10" t="str">
        <x:v>шт</x:v>
      </x:c>
      <x:c r="F419" s="37" t="n">
        <x:f>MAX(0,ROUNDDOWN((AG419-AF419)/AR419+0.000000001,0)*AR419)</x:f>
        <x:v>15</x:v>
      </x:c>
      <x:c r="G419" s="21" t="str">
        <x:f>IF(J419="Рассчитано",V419*(1-R419/100)-W419-P419-Q419,"н/д")</x:f>
        <x:v>н/д</x:v>
      </x:c>
      <x:c r="H419" s="13" t="str">
        <x:v>Высокий</x:v>
      </x:c>
      <x:c r="I419" s="13" t="str">
        <x:v>Высокий</x:v>
      </x:c>
      <x:c r="J419" s="13" t="str">
        <x:f>IF(L419="","Укажите валюту",IF(NOT(ISNUMBER(K419)),"Укажите объём",IF(K419&lt;=0,"Укажите объём",IF(K419&gt;F419,"Объём выше излишка",IF(COUNT(M419:O419)&lt;3,"Нужны цены",IF(COUNT(P419:R419)&lt;3,"Нужны расходы",IF(OR(M419&lt;0,N419&lt;0,O419&lt;0,O419&gt;100,P419&lt;0,Q419&lt;0,R419&lt;0,R419&gt;100),"Проверьте значения","Рассчитано")))))))</x:f>
        <x:v>Нужны цены</x:v>
      </x:c>
      <x:c r="K419" s="36" t="n">
        <x:v>15</x:v>
      </x:c>
      <x:c r="L419" s="19" t="str">
        <x:v>KZT</x:v>
      </x:c>
      <x:c r="M419" s="22"/>
      <x:c r="N419" s="22"/>
      <x:c r="O419" s="28"/>
      <x:c r="P419" s="22"/>
      <x:c r="Q419" s="22"/>
      <x:c r="R419" s="28"/>
      <x:c r="S419" s="22"/>
      <x:c r="T419" s="37" t="n">
        <x:f>K419</x:f>
        <x:v>15</x:v>
      </x:c>
      <x:c r="U419" s="21" t="str">
        <x:f>IF(J419="Рассчитано",N419*(1-O419/100),"н/д")</x:f>
        <x:v>н/д</x:v>
      </x:c>
      <x:c r="V419" s="21" t="str">
        <x:f>IF(J419="Рассчитано",T419*U419,"н/д")</x:f>
        <x:v>н/д</x:v>
      </x:c>
      <x:c r="W419" s="21" t="str">
        <x:f>IF(J419="Рассчитано",T419*M419,"н/д")</x:f>
        <x:v>н/д</x:v>
      </x:c>
      <x:c r="X419" s="21" t="str">
        <x:f>IF(J419="Рассчитано",V419-W419,"н/д")</x:f>
        <x:v>н/д</x:v>
      </x:c>
      <x:c r="Y419" s="27" t="str">
        <x:f>IF(J419="Рассчитано",IF(V419&gt;0,G419/V419,"н/д"),"н/д")</x:f>
        <x:v>н/д</x:v>
      </x:c>
      <x:c r="Z419" s="21" t="str">
        <x:f>"н/д"</x:f>
        <x:v>н/д</x:v>
      </x:c>
      <x:c r="AA419" s="21" t="str">
        <x:f>"н/д"</x:f>
        <x:v>н/д</x:v>
      </x:c>
      <x:c r="AB419" s="21" t="str">
        <x:f>"н/д"</x:f>
        <x:v>н/д</x:v>
      </x:c>
      <x:c r="AC419" s="21" t="str">
        <x:f>IF(AND(J419="Рассчитано",T419&gt;0,R419&lt;100),(W419+P419+Q419)/(T419*(1-R419/100)),"н/д")</x:f>
        <x:v>н/д</x:v>
      </x:c>
      <x:c r="AD419" s="10" t="str">
        <x:f>IF(ISNUMBER(G419),IF(G419&lt;0,"Убыток",IF(G419=0,"Без прибыли","Прибыль &gt; 0")),"Не оценён")</x:f>
        <x:v>Не оценён</x:v>
      </x:c>
      <x:c r="AE419" s="13" t="str">
        <x:f>IF(J419="Рассчитано","Выручка "&amp;TEXT(V419,"0.00")&amp;" - себестоимость "&amp;TEXT(W419,"0.00")&amp;" - комиссия "&amp;TEXT(V419*R419/100,"0.00")&amp;" - доставка "&amp;TEXT(P419,"0.00")&amp;" - прочие "&amp;TEXT(Q419,"0.00")&amp;" = "&amp;TEXT(G419,"0.00")&amp;" "&amp;L419,"Введите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9" s="24" t="n">
        <x:v>2.265167345604953</x:v>
      </x:c>
      <x:c r="AG419" s="37" t="n">
        <x:v>18</x:v>
      </x:c>
      <x:c r="AH419" s="37" t="n">
        <x:v>0</x:v>
      </x:c>
      <x:c r="AI419" s="30" t="n">
        <x:v>46266</x:v>
      </x:c>
      <x:c r="AJ419" s="37" t="n">
        <x:v>1</x:v>
      </x:c>
      <x:c r="AK419" s="10" t="str">
        <x:v>минимум</x:v>
      </x:c>
      <x:c r="AL419" s="32" t="n">
        <x:v>675.7580953267369</x:v>
      </x:c>
      <x:c r="AM41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19" s="13" t="str">
        <x:v>Проверить свободный остаток и установить цену для B2B</x:v>
      </x:c>
      <x:c r="AO419" s="13" t="str">
        <x:v>Остаток 18; прогноз 90 дней 2.27; избыток 15 шт. Будущие поступления не выставляются на продажу. Остаток на начало сентября: требуется актуализация.</x:v>
      </x:c>
      <x:c r="AP419" s="13" t="str">
        <x:v>["category_missing", "daily_stockout_data_missing", "new_order_lead_time_unknown", "reservations_unknown", "stale_stock"]</x:v>
      </x:c>
      <x:c r="AQ419" s="10" t="str">
        <x:v>IEK:030201098_</x:v>
      </x:c>
      <x:c r="AR419" s="24" t="n">
        <x:v>1</x:v>
      </x:c>
      <x:c r="AS419" s="24" t="n">
        <x:v>0</x:v>
      </x:c>
      <x:c r="AT419" s="24" t="n">
        <x:v>0</x:v>
      </x:c>
    </x:row>
    <x:row r="420" ht="64" customHeight="1">
      <x:c r="A420" s="11" t="str">
        <x:v>IEK</x:v>
      </x:c>
      <x:c r="B420" s="33" t="str">
        <x:v>030201099_</x:v>
      </x:c>
      <x:c r="C420" s="33" t="str">
        <x:v>BR-M12-M-21-K37</x:v>
      </x:c>
      <x:c r="D420" s="12" t="str">
        <x:v>Рамка 1-мест. "BRITE"  металл шамп. RE AL  IEK  (1/100)</x:v>
      </x:c>
      <x:c r="E420" s="11" t="str">
        <x:v>шт</x:v>
      </x:c>
      <x:c r="F420" s="35" t="n">
        <x:f>MAX(0,ROUNDDOWN((AG420-AF420)/AR420+0.000000001,0)*AR420)</x:f>
        <x:v>129</x:v>
      </x:c>
      <x:c r="G420" s="20" t="str">
        <x:f>IF(J420="Рассчитано",V420*(1-R420/100)-W420-P420-Q420,"н/д")</x:f>
        <x:v>н/д</x:v>
      </x:c>
      <x:c r="H420" s="12" t="str">
        <x:v>Высокий</x:v>
      </x:c>
      <x:c r="I420" s="12" t="str">
        <x:v>Высокий</x:v>
      </x:c>
      <x:c r="J420" s="12" t="str">
        <x:f>IF(L420="","Укажите валюту",IF(NOT(ISNUMBER(K420)),"Укажите объём",IF(K420&lt;=0,"Укажите объём",IF(K420&gt;F420,"Объём выше излишка",IF(COUNT(M420:O420)&lt;3,"Нужны цены",IF(COUNT(P420:R420)&lt;3,"Нужны расходы",IF(OR(M420&lt;0,N420&lt;0,O420&lt;0,O420&gt;100,P420&lt;0,Q420&lt;0,R420&lt;0,R420&gt;100),"Проверьте значения","Рассчитано")))))))</x:f>
        <x:v>Нужны цены</x:v>
      </x:c>
      <x:c r="K420" s="36" t="n">
        <x:v>129</x:v>
      </x:c>
      <x:c r="L420" s="19" t="str">
        <x:v>KZT</x:v>
      </x:c>
      <x:c r="M420" s="22"/>
      <x:c r="N420" s="22"/>
      <x:c r="O420" s="28"/>
      <x:c r="P420" s="22"/>
      <x:c r="Q420" s="22"/>
      <x:c r="R420" s="28"/>
      <x:c r="S420" s="22"/>
      <x:c r="T420" s="35" t="n">
        <x:f>K420</x:f>
        <x:v>129</x:v>
      </x:c>
      <x:c r="U420" s="20" t="str">
        <x:f>IF(J420="Рассчитано",N420*(1-O420/100),"н/д")</x:f>
        <x:v>н/д</x:v>
      </x:c>
      <x:c r="V420" s="20" t="str">
        <x:f>IF(J420="Рассчитано",T420*U420,"н/д")</x:f>
        <x:v>н/д</x:v>
      </x:c>
      <x:c r="W420" s="20" t="str">
        <x:f>IF(J420="Рассчитано",T420*M420,"н/д")</x:f>
        <x:v>н/д</x:v>
      </x:c>
      <x:c r="X420" s="20" t="str">
        <x:f>IF(J420="Рассчитано",V420-W420,"н/д")</x:f>
        <x:v>н/д</x:v>
      </x:c>
      <x:c r="Y420" s="26" t="str">
        <x:f>IF(J420="Рассчитано",IF(V420&gt;0,G420/V420,"н/д"),"н/д")</x:f>
        <x:v>н/д</x:v>
      </x:c>
      <x:c r="Z420" s="20" t="str">
        <x:f>"н/д"</x:f>
        <x:v>н/д</x:v>
      </x:c>
      <x:c r="AA420" s="20" t="str">
        <x:f>"н/д"</x:f>
        <x:v>н/д</x:v>
      </x:c>
      <x:c r="AB420" s="20" t="str">
        <x:f>"н/д"</x:f>
        <x:v>н/д</x:v>
      </x:c>
      <x:c r="AC420" s="20" t="str">
        <x:f>IF(AND(J420="Рассчитано",T420&gt;0,R420&lt;100),(W420+P420+Q420)/(T420*(1-R420/100)),"н/д")</x:f>
        <x:v>н/д</x:v>
      </x:c>
      <x:c r="AD420" s="11" t="str">
        <x:f>IF(ISNUMBER(G420),IF(G420&lt;0,"Убыток",IF(G420=0,"Без прибыли","Прибыль &gt; 0")),"Не оценён")</x:f>
        <x:v>Не оценён</x:v>
      </x:c>
      <x:c r="AE420" s="12" t="str">
        <x:f>IF(J420="Рассчитано","Выручка "&amp;TEXT(V420,"0.00")&amp;" - себестоимость "&amp;TEXT(W420,"0.00")&amp;" - комиссия "&amp;TEXT(V420*R420/100,"0.00")&amp;" - доставка "&amp;TEXT(P420,"0.00")&amp;" - прочие "&amp;TEXT(Q420,"0.00")&amp;" = "&amp;TEXT(G420,"0.00")&amp;" "&amp;L420,"Введите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0" s="23" t="n">
        <x:v>3.1090540859059783</x:v>
      </x:c>
      <x:c r="AG420" s="35" t="n">
        <x:v>133</x:v>
      </x:c>
      <x:c r="AH420" s="35" t="n">
        <x:v>0</x:v>
      </x:c>
      <x:c r="AI420" s="29" t="n">
        <x:v>46266</x:v>
      </x:c>
      <x:c r="AJ420" s="35" t="n">
        <x:v>1</x:v>
      </x:c>
      <x:c r="AK420" s="11" t="str">
        <x:v>минимум</x:v>
      </x:c>
      <x:c r="AL420" s="31" t="n">
        <x:v>3637.8300660316054</x:v>
      </x:c>
      <x:c r="AM42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20" s="12" t="str">
        <x:v>Проверить свободный остаток и установить цену для B2B</x:v>
      </x:c>
      <x:c r="AO420" s="12" t="str">
        <x:v>Остаток 133; прогноз 90 дней 3.11; избыток 129 шт. Будущие поступления не выставляются на продажу. Остаток на начало сентября: требуется актуализация.</x:v>
      </x:c>
      <x:c r="AP420" s="12" t="str">
        <x:v>["category_missing", "daily_stockout_data_missing", "new_order_lead_time_unknown", "reservations_unknown", "stale_stock"]</x:v>
      </x:c>
      <x:c r="AQ420" s="11" t="str">
        <x:v>IEK:030201099_</x:v>
      </x:c>
      <x:c r="AR420" s="23" t="n">
        <x:v>1</x:v>
      </x:c>
      <x:c r="AS420" s="23" t="n">
        <x:v>0</x:v>
      </x:c>
      <x:c r="AT420" s="23" t="n">
        <x:v>0</x:v>
      </x:c>
    </x:row>
    <x:row r="421" ht="64" customHeight="1">
      <x:c r="A421" s="10" t="str">
        <x:v>IEK</x:v>
      </x:c>
      <x:c r="B421" s="34" t="str">
        <x:v>030201101_</x:v>
      </x:c>
      <x:c r="C421" s="34" t="str">
        <x:v>BR-M42-12-4-K23</x:v>
      </x:c>
      <x:c r="D421" s="13" t="str">
        <x:v>Рамка 4-мест. "BRITE"  хром/никель  IEK  (1/100)</x:v>
      </x:c>
      <x:c r="E421" s="10" t="str">
        <x:v>шт</x:v>
      </x:c>
      <x:c r="F421" s="37" t="n">
        <x:f>MAX(0,ROUNDDOWN((AG421-AF421)/AR421+0.000000001,0)*AR421)</x:f>
        <x:v>15</x:v>
      </x:c>
      <x:c r="G421" s="21" t="str">
        <x:f>IF(J421="Рассчитано",V421*(1-R421/100)-W421-P421-Q421,"н/д")</x:f>
        <x:v>н/д</x:v>
      </x:c>
      <x:c r="H421" s="13" t="str">
        <x:v>Высокий</x:v>
      </x:c>
      <x:c r="I421" s="13" t="str">
        <x:v>Высокий</x:v>
      </x:c>
      <x:c r="J421" s="13" t="str">
        <x:f>IF(L421="","Укажите валюту",IF(NOT(ISNUMBER(K421)),"Укажите объём",IF(K421&lt;=0,"Укажите объём",IF(K421&gt;F421,"Объём выше излишка",IF(COUNT(M421:O421)&lt;3,"Нужны цены",IF(COUNT(P421:R421)&lt;3,"Нужны расходы",IF(OR(M421&lt;0,N421&lt;0,O421&lt;0,O421&gt;100,P421&lt;0,Q421&lt;0,R421&lt;0,R421&gt;100),"Проверьте значения","Рассчитано")))))))</x:f>
        <x:v>Нужны цены</x:v>
      </x:c>
      <x:c r="K421" s="36" t="n">
        <x:v>15</x:v>
      </x:c>
      <x:c r="L421" s="19" t="str">
        <x:v>KZT</x:v>
      </x:c>
      <x:c r="M421" s="22"/>
      <x:c r="N421" s="22"/>
      <x:c r="O421" s="28"/>
      <x:c r="P421" s="22"/>
      <x:c r="Q421" s="22"/>
      <x:c r="R421" s="28"/>
      <x:c r="S421" s="22"/>
      <x:c r="T421" s="37" t="n">
        <x:f>K421</x:f>
        <x:v>15</x:v>
      </x:c>
      <x:c r="U421" s="21" t="str">
        <x:f>IF(J421="Рассчитано",N421*(1-O421/100),"н/д")</x:f>
        <x:v>н/д</x:v>
      </x:c>
      <x:c r="V421" s="21" t="str">
        <x:f>IF(J421="Рассчитано",T421*U421,"н/д")</x:f>
        <x:v>н/д</x:v>
      </x:c>
      <x:c r="W421" s="21" t="str">
        <x:f>IF(J421="Рассчитано",T421*M421,"н/д")</x:f>
        <x:v>н/д</x:v>
      </x:c>
      <x:c r="X421" s="21" t="str">
        <x:f>IF(J421="Рассчитано",V421-W421,"н/д")</x:f>
        <x:v>н/д</x:v>
      </x:c>
      <x:c r="Y421" s="27" t="str">
        <x:f>IF(J421="Рассчитано",IF(V421&gt;0,G421/V421,"н/д"),"н/д")</x:f>
        <x:v>н/д</x:v>
      </x:c>
      <x:c r="Z421" s="21" t="str">
        <x:f>"н/д"</x:f>
        <x:v>н/д</x:v>
      </x:c>
      <x:c r="AA421" s="21" t="str">
        <x:f>"н/д"</x:f>
        <x:v>н/д</x:v>
      </x:c>
      <x:c r="AB421" s="21" t="str">
        <x:f>"н/д"</x:f>
        <x:v>н/д</x:v>
      </x:c>
      <x:c r="AC421" s="21" t="str">
        <x:f>IF(AND(J421="Рассчитано",T421&gt;0,R421&lt;100),(W421+P421+Q421)/(T421*(1-R421/100)),"н/д")</x:f>
        <x:v>н/д</x:v>
      </x:c>
      <x:c r="AD421" s="10" t="str">
        <x:f>IF(ISNUMBER(G421),IF(G421&lt;0,"Убыток",IF(G421=0,"Без прибыли","Прибыль &gt; 0")),"Не оценён")</x:f>
        <x:v>Не оценён</x:v>
      </x:c>
      <x:c r="AE421" s="13" t="str">
        <x:f>IF(J421="Рассчитано","Выручка "&amp;TEXT(V421,"0.00")&amp;" - себестоимость "&amp;TEXT(W421,"0.00")&amp;" - комиссия "&amp;TEXT(V421*R421/100,"0.00")&amp;" - доставка "&amp;TEXT(P421,"0.00")&amp;" - прочие "&amp;TEXT(Q421,"0.00")&amp;" = "&amp;TEXT(G421,"0.00")&amp;" "&amp;L421,"Введите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1" s="24" t="n">
        <x:v>0.10758727254321898</x:v>
      </x:c>
      <x:c r="AG421" s="37" t="n">
        <x:v>16</x:v>
      </x:c>
      <x:c r="AH421" s="37" t="n">
        <x:v>0</x:v>
      </x:c>
      <x:c r="AI421" s="30" t="n">
        <x:v>46266</x:v>
      </x:c>
      <x:c r="AJ421" s="37" t="n">
        <x:v>1</x:v>
      </x:c>
      <x:c r="AK421" s="10" t="str">
        <x:v>минимум</x:v>
      </x:c>
      <x:c r="AL421" s="32" t="n">
        <x:v>12646.72657423754</x:v>
      </x:c>
      <x:c r="AM42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21" s="13" t="str">
        <x:v>Проверить свободный остаток и установить цену для B2B</x:v>
      </x:c>
      <x:c r="AO421" s="13" t="str">
        <x:v>Остаток 16; прогноз 90 дней 0.11; избыток 15 шт. Будущие поступления не выставляются на продажу. Остаток на начало сентября: требуется актуализация.</x:v>
      </x:c>
      <x:c r="AP421" s="13" t="str">
        <x:v>["category_missing", "daily_stockout_data_missing", "new_order_lead_time_unknown", "reservations_unknown", "stale_stock"]</x:v>
      </x:c>
      <x:c r="AQ421" s="10" t="str">
        <x:v>IEK:030201101_</x:v>
      </x:c>
      <x:c r="AR421" s="24" t="n">
        <x:v>1</x:v>
      </x:c>
      <x:c r="AS421" s="24" t="n">
        <x:v>0</x:v>
      </x:c>
      <x:c r="AT421" s="24" t="n">
        <x:v>0</x:v>
      </x:c>
    </x:row>
    <x:row r="422" ht="64" customHeight="1">
      <x:c r="A422" s="11" t="str">
        <x:v>IEK</x:v>
      </x:c>
      <x:c r="B422" s="33" t="str">
        <x:v>030201102_</x:v>
      </x:c>
      <x:c r="C422" s="33" t="str">
        <x:v>BR-M22-G-31-K01</x:v>
      </x:c>
      <x:c r="D422" s="12" t="str">
        <x:v>Рамка 2-мест. "BRITE"  стекло бел. матовый  IEK  (1/100)</x:v>
      </x:c>
      <x:c r="E422" s="11" t="str">
        <x:v>шт</x:v>
      </x:c>
      <x:c r="F422" s="35" t="n">
        <x:f>MAX(0,ROUNDDOWN((AG422-AF422)/AR422+0.000000001,0)*AR422)</x:f>
        <x:v>15</x:v>
      </x:c>
      <x:c r="G422" s="20" t="str">
        <x:f>IF(J422="Рассчитано",V422*(1-R422/100)-W422-P422-Q422,"н/д")</x:f>
        <x:v>н/д</x:v>
      </x:c>
      <x:c r="H422" s="12" t="str">
        <x:v>Высокий</x:v>
      </x:c>
      <x:c r="I422" s="12" t="str">
        <x:v>Высокий</x:v>
      </x:c>
      <x:c r="J422" s="12" t="str">
        <x:f>IF(L422="","Укажите валюту",IF(NOT(ISNUMBER(K422)),"Укажите объём",IF(K422&lt;=0,"Укажите объём",IF(K422&gt;F422,"Объём выше излишка",IF(COUNT(M422:O422)&lt;3,"Нужны цены",IF(COUNT(P422:R422)&lt;3,"Нужны расходы",IF(OR(M422&lt;0,N422&lt;0,O422&lt;0,O422&gt;100,P422&lt;0,Q422&lt;0,R422&lt;0,R422&gt;100),"Проверьте значения","Рассчитано")))))))</x:f>
        <x:v>Нужны цены</x:v>
      </x:c>
      <x:c r="K422" s="36" t="n">
        <x:v>15</x:v>
      </x:c>
      <x:c r="L422" s="19" t="str">
        <x:v>KZT</x:v>
      </x:c>
      <x:c r="M422" s="22"/>
      <x:c r="N422" s="22"/>
      <x:c r="O422" s="28"/>
      <x:c r="P422" s="22"/>
      <x:c r="Q422" s="22"/>
      <x:c r="R422" s="28"/>
      <x:c r="S422" s="22"/>
      <x:c r="T422" s="35" t="n">
        <x:f>K422</x:f>
        <x:v>15</x:v>
      </x:c>
      <x:c r="U422" s="20" t="str">
        <x:f>IF(J422="Рассчитано",N422*(1-O422/100),"н/д")</x:f>
        <x:v>н/д</x:v>
      </x:c>
      <x:c r="V422" s="20" t="str">
        <x:f>IF(J422="Рассчитано",T422*U422,"н/д")</x:f>
        <x:v>н/д</x:v>
      </x:c>
      <x:c r="W422" s="20" t="str">
        <x:f>IF(J422="Рассчитано",T422*M422,"н/д")</x:f>
        <x:v>н/д</x:v>
      </x:c>
      <x:c r="X422" s="20" t="str">
        <x:f>IF(J422="Рассчитано",V422-W422,"н/д")</x:f>
        <x:v>н/д</x:v>
      </x:c>
      <x:c r="Y422" s="26" t="str">
        <x:f>IF(J422="Рассчитано",IF(V422&gt;0,G422/V422,"н/д"),"н/д")</x:f>
        <x:v>н/д</x:v>
      </x:c>
      <x:c r="Z422" s="20" t="str">
        <x:f>"н/д"</x:f>
        <x:v>н/д</x:v>
      </x:c>
      <x:c r="AA422" s="20" t="str">
        <x:f>"н/д"</x:f>
        <x:v>н/д</x:v>
      </x:c>
      <x:c r="AB422" s="20" t="str">
        <x:f>"н/д"</x:f>
        <x:v>н/д</x:v>
      </x:c>
      <x:c r="AC422" s="20" t="str">
        <x:f>IF(AND(J422="Рассчитано",T422&gt;0,R422&lt;100),(W422+P422+Q422)/(T422*(1-R422/100)),"н/д")</x:f>
        <x:v>н/д</x:v>
      </x:c>
      <x:c r="AD422" s="11" t="str">
        <x:f>IF(ISNUMBER(G422),IF(G422&lt;0,"Убыток",IF(G422=0,"Без прибыли","Прибыль &gt; 0")),"Не оценён")</x:f>
        <x:v>Не оценён</x:v>
      </x:c>
      <x:c r="AE422" s="12" t="str">
        <x:f>IF(J422="Рассчитано","Выручка "&amp;TEXT(V422,"0.00")&amp;" - себестоимость "&amp;TEXT(W422,"0.00")&amp;" - комиссия "&amp;TEXT(V422*R422/100,"0.00")&amp;" - доставка "&amp;TEXT(P422,"0.00")&amp;" - прочие "&amp;TEXT(Q422,"0.00")&amp;" = "&amp;TEXT(G422,"0.00")&amp;" "&amp;L422,"Введите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2" s="23" t="n">
        <x:v>1.4053127739094506</x:v>
      </x:c>
      <x:c r="AG422" s="35" t="n">
        <x:v>17</x:v>
      </x:c>
      <x:c r="AH422" s="35" t="n">
        <x:v>0</x:v>
      </x:c>
      <x:c r="AI422" s="29" t="n">
        <x:v>46266</x:v>
      </x:c>
      <x:c r="AJ422" s="35" t="n">
        <x:v>1</x:v>
      </x:c>
      <x:c r="AK422" s="11" t="str">
        <x:v>минимум</x:v>
      </x:c>
      <x:c r="AL422" s="31" t="n">
        <x:v>1028.7147613911502</x:v>
      </x:c>
      <x:c r="AM42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22" s="12" t="str">
        <x:v>Проверить свободный остаток и установить цену для B2B</x:v>
      </x:c>
      <x:c r="AO422" s="12" t="str">
        <x:v>Остаток 17; прогноз 90 дней 1.41; избыток 15 шт. Будущие поступления не выставляются на продажу. Остаток на начало сентября: требуется актуализация.</x:v>
      </x:c>
      <x:c r="AP422" s="12" t="str">
        <x:v>["category_missing", "daily_stockout_data_missing", "new_order_lead_time_unknown", "reservations_unknown", "stale_stock"]</x:v>
      </x:c>
      <x:c r="AQ422" s="11" t="str">
        <x:v>IEK:030201102_</x:v>
      </x:c>
      <x:c r="AR422" s="23" t="n">
        <x:v>1</x:v>
      </x:c>
      <x:c r="AS422" s="23" t="n">
        <x:v>0</x:v>
      </x:c>
      <x:c r="AT422" s="23" t="n">
        <x:v>0</x:v>
      </x:c>
    </x:row>
    <x:row r="423" ht="64" customHeight="1">
      <x:c r="A423" s="10" t="str">
        <x:v>IEK</x:v>
      </x:c>
      <x:c r="B423" s="34" t="str">
        <x:v>030201103_</x:v>
      </x:c>
      <x:c r="C423" s="34" t="str">
        <x:v>BR-M22-G-31-K02</x:v>
      </x:c>
      <x:c r="D423" s="13" t="str">
        <x:v>Рамка 2-мест. "BRITE"  стекло черн. матовый  IEK  (1/100)</x:v>
      </x:c>
      <x:c r="E423" s="10" t="str">
        <x:v>шт</x:v>
      </x:c>
      <x:c r="F423" s="37" t="n">
        <x:f>MAX(0,ROUNDDOWN((AG423-AF423)/AR423+0.000000001,0)*AR423)</x:f>
        <x:v>9</x:v>
      </x:c>
      <x:c r="G423" s="21" t="str">
        <x:f>IF(J423="Рассчитано",V423*(1-R423/100)-W423-P423-Q423,"н/д")</x:f>
        <x:v>н/д</x:v>
      </x:c>
      <x:c r="H423" s="13" t="str">
        <x:v>Высокий</x:v>
      </x:c>
      <x:c r="I423" s="13" t="str">
        <x:v>Высокий</x:v>
      </x:c>
      <x:c r="J423" s="13" t="str">
        <x:f>IF(L423="","Укажите валюту",IF(NOT(ISNUMBER(K423)),"Укажите объём",IF(K423&lt;=0,"Укажите объём",IF(K423&gt;F423,"Объём выше излишка",IF(COUNT(M423:O423)&lt;3,"Нужны цены",IF(COUNT(P423:R423)&lt;3,"Нужны расходы",IF(OR(M423&lt;0,N423&lt;0,O423&lt;0,O423&gt;100,P423&lt;0,Q423&lt;0,R423&lt;0,R423&gt;100),"Проверьте значения","Рассчитано")))))))</x:f>
        <x:v>Нужны цены</x:v>
      </x:c>
      <x:c r="K423" s="36" t="n">
        <x:v>9</x:v>
      </x:c>
      <x:c r="L423" s="19" t="str">
        <x:v>KZT</x:v>
      </x:c>
      <x:c r="M423" s="22"/>
      <x:c r="N423" s="22"/>
      <x:c r="O423" s="28"/>
      <x:c r="P423" s="22"/>
      <x:c r="Q423" s="22"/>
      <x:c r="R423" s="28"/>
      <x:c r="S423" s="22"/>
      <x:c r="T423" s="37" t="n">
        <x:f>K423</x:f>
        <x:v>9</x:v>
      </x:c>
      <x:c r="U423" s="21" t="str">
        <x:f>IF(J423="Рассчитано",N423*(1-O423/100),"н/д")</x:f>
        <x:v>н/д</x:v>
      </x:c>
      <x:c r="V423" s="21" t="str">
        <x:f>IF(J423="Рассчитано",T423*U423,"н/д")</x:f>
        <x:v>н/д</x:v>
      </x:c>
      <x:c r="W423" s="21" t="str">
        <x:f>IF(J423="Рассчитано",T423*M423,"н/д")</x:f>
        <x:v>н/д</x:v>
      </x:c>
      <x:c r="X423" s="21" t="str">
        <x:f>IF(J423="Рассчитано",V423-W423,"н/д")</x:f>
        <x:v>н/д</x:v>
      </x:c>
      <x:c r="Y423" s="27" t="str">
        <x:f>IF(J423="Рассчитано",IF(V423&gt;0,G423/V423,"н/д"),"н/д")</x:f>
        <x:v>н/д</x:v>
      </x:c>
      <x:c r="Z423" s="21" t="str">
        <x:f>"н/д"</x:f>
        <x:v>н/д</x:v>
      </x:c>
      <x:c r="AA423" s="21" t="str">
        <x:f>"н/д"</x:f>
        <x:v>н/д</x:v>
      </x:c>
      <x:c r="AB423" s="21" t="str">
        <x:f>"н/д"</x:f>
        <x:v>н/д</x:v>
      </x:c>
      <x:c r="AC423" s="21" t="str">
        <x:f>IF(AND(J423="Рассчитано",T423&gt;0,R423&lt;100),(W423+P423+Q423)/(T423*(1-R423/100)),"н/д")</x:f>
        <x:v>н/д</x:v>
      </x:c>
      <x:c r="AD423" s="10" t="str">
        <x:f>IF(ISNUMBER(G423),IF(G423&lt;0,"Убыток",IF(G423=0,"Без прибыли","Прибыль &gt; 0")),"Не оценён")</x:f>
        <x:v>Не оценён</x:v>
      </x:c>
      <x:c r="AE423" s="13" t="str">
        <x:f>IF(J423="Рассчитано","Выручка "&amp;TEXT(V423,"0.00")&amp;" - себестоимость "&amp;TEXT(W423,"0.00")&amp;" - комиссия "&amp;TEXT(V423*R423/100,"0.00")&amp;" - доставка "&amp;TEXT(P423,"0.00")&amp;" - прочие "&amp;TEXT(Q423,"0.00")&amp;" = "&amp;TEXT(G423,"0.00")&amp;" "&amp;L423,"Введите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3" s="24" t="n">
        <x:v>0.9203537135480541</x:v>
      </x:c>
      <x:c r="AG423" s="37" t="n">
        <x:v>10</x:v>
      </x:c>
      <x:c r="AH423" s="37" t="n">
        <x:v>0</x:v>
      </x:c>
      <x:c r="AI423" s="30" t="n">
        <x:v>46266</x:v>
      </x:c>
      <x:c r="AJ423" s="37" t="n">
        <x:v>1</x:v>
      </x:c>
      <x:c r="AK423" s="10" t="str">
        <x:v>минимум</x:v>
      </x:c>
      <x:c r="AL423" s="32" t="n">
        <x:v>923.983626276626</x:v>
      </x:c>
      <x:c r="AM42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23" s="13" t="str">
        <x:v>Проверить свободный остаток и установить цену для B2B</x:v>
      </x:c>
      <x:c r="AO423" s="13" t="str">
        <x:v>Остаток 10; прогноз 90 дней 0.92; избыток 9 шт. Будущие поступления не выставляются на продажу. Остаток на начало сентября: требуется актуализация.</x:v>
      </x:c>
      <x:c r="AP423" s="13" t="str">
        <x:v>["category_missing", "daily_stockout_data_missing", "new_order_lead_time_unknown", "reservations_unknown", "stale_stock"]</x:v>
      </x:c>
      <x:c r="AQ423" s="10" t="str">
        <x:v>IEK:030201103_</x:v>
      </x:c>
      <x:c r="AR423" s="24" t="n">
        <x:v>1</x:v>
      </x:c>
      <x:c r="AS423" s="24" t="n">
        <x:v>0</x:v>
      </x:c>
      <x:c r="AT423" s="24" t="n">
        <x:v>0</x:v>
      </x:c>
    </x:row>
    <x:row r="424" ht="64" customHeight="1">
      <x:c r="A424" s="11" t="str">
        <x:v>IEK</x:v>
      </x:c>
      <x:c r="B424" s="33" t="str">
        <x:v>030201104_</x:v>
      </x:c>
      <x:c r="C424" s="33" t="str">
        <x:v>BR-M22-G-31-K35</x:v>
      </x:c>
      <x:c r="D424" s="12" t="str">
        <x:v>Рамка 2-мест. "BRITE"  стекло маренго матовый  IEK  (1/100)</x:v>
      </x:c>
      <x:c r="E424" s="11" t="str">
        <x:v>шт</x:v>
      </x:c>
      <x:c r="F424" s="35" t="n">
        <x:f>MAX(0,ROUNDDOWN((AG424-AF424)/AR424+0.000000001,0)*AR424)</x:f>
        <x:v>14</x:v>
      </x:c>
      <x:c r="G424" s="20" t="str">
        <x:f>IF(J424="Рассчитано",V424*(1-R424/100)-W424-P424-Q424,"н/д")</x:f>
        <x:v>н/д</x:v>
      </x:c>
      <x:c r="H424" s="12" t="str">
        <x:v>Высокий</x:v>
      </x:c>
      <x:c r="I424" s="12" t="str">
        <x:v>Высокий</x:v>
      </x:c>
      <x:c r="J424" s="12" t="str">
        <x:f>IF(L424="","Укажите валюту",IF(NOT(ISNUMBER(K424)),"Укажите объём",IF(K424&lt;=0,"Укажите объём",IF(K424&gt;F424,"Объём выше излишка",IF(COUNT(M424:O424)&lt;3,"Нужны цены",IF(COUNT(P424:R424)&lt;3,"Нужны расходы",IF(OR(M424&lt;0,N424&lt;0,O424&lt;0,O424&gt;100,P424&lt;0,Q424&lt;0,R424&lt;0,R424&gt;100),"Проверьте значения","Рассчитано")))))))</x:f>
        <x:v>Нужны цены</x:v>
      </x:c>
      <x:c r="K424" s="36" t="n">
        <x:v>14</x:v>
      </x:c>
      <x:c r="L424" s="19" t="str">
        <x:v>KZT</x:v>
      </x:c>
      <x:c r="M424" s="22"/>
      <x:c r="N424" s="22"/>
      <x:c r="O424" s="28"/>
      <x:c r="P424" s="22"/>
      <x:c r="Q424" s="22"/>
      <x:c r="R424" s="28"/>
      <x:c r="S424" s="22"/>
      <x:c r="T424" s="35" t="n">
        <x:f>K424</x:f>
        <x:v>14</x:v>
      </x:c>
      <x:c r="U424" s="20" t="str">
        <x:f>IF(J424="Рассчитано",N424*(1-O424/100),"н/д")</x:f>
        <x:v>н/д</x:v>
      </x:c>
      <x:c r="V424" s="20" t="str">
        <x:f>IF(J424="Рассчитано",T424*U424,"н/д")</x:f>
        <x:v>н/д</x:v>
      </x:c>
      <x:c r="W424" s="20" t="str">
        <x:f>IF(J424="Рассчитано",T424*M424,"н/д")</x:f>
        <x:v>н/д</x:v>
      </x:c>
      <x:c r="X424" s="20" t="str">
        <x:f>IF(J424="Рассчитано",V424-W424,"н/д")</x:f>
        <x:v>н/д</x:v>
      </x:c>
      <x:c r="Y424" s="26" t="str">
        <x:f>IF(J424="Рассчитано",IF(V424&gt;0,G424/V424,"н/д"),"н/д")</x:f>
        <x:v>н/д</x:v>
      </x:c>
      <x:c r="Z424" s="20" t="str">
        <x:f>"н/д"</x:f>
        <x:v>н/д</x:v>
      </x:c>
      <x:c r="AA424" s="20" t="str">
        <x:f>"н/д"</x:f>
        <x:v>н/д</x:v>
      </x:c>
      <x:c r="AB424" s="20" t="str">
        <x:f>"н/д"</x:f>
        <x:v>н/д</x:v>
      </x:c>
      <x:c r="AC424" s="20" t="str">
        <x:f>IF(AND(J424="Рассчитано",T424&gt;0,R424&lt;100),(W424+P424+Q424)/(T424*(1-R424/100)),"н/д")</x:f>
        <x:v>н/д</x:v>
      </x:c>
      <x:c r="AD424" s="11" t="str">
        <x:f>IF(ISNUMBER(G424),IF(G424&lt;0,"Убыток",IF(G424=0,"Без прибыли","Прибыль &gt; 0")),"Не оценён")</x:f>
        <x:v>Не оценён</x:v>
      </x:c>
      <x:c r="AE424" s="12" t="str">
        <x:f>IF(J424="Рассчитано","Выручка "&amp;TEXT(V424,"0.00")&amp;" - себестоимость "&amp;TEXT(W424,"0.00")&amp;" - комиссия "&amp;TEXT(V424*R424/100,"0.00")&amp;" - доставка "&amp;TEXT(P424,"0.00")&amp;" - прочие "&amp;TEXT(Q424,"0.00")&amp;" = "&amp;TEXT(G424,"0.00")&amp;" "&amp;L424,"Введите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4" s="23" t="n">
        <x:v>0.6845053365855409</x:v>
      </x:c>
      <x:c r="AG424" s="35" t="n">
        <x:v>15</x:v>
      </x:c>
      <x:c r="AH424" s="35" t="n">
        <x:v>0</x:v>
      </x:c>
      <x:c r="AI424" s="29" t="n">
        <x:v>46266</x:v>
      </x:c>
      <x:c r="AJ424" s="35" t="n">
        <x:v>1</x:v>
      </x:c>
      <x:c r="AK424" s="11" t="str">
        <x:v>минимум</x:v>
      </x:c>
      <x:c r="AL424" s="31" t="n">
        <x:v>1863.517454684637</x:v>
      </x:c>
      <x:c r="AM42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24" s="12" t="str">
        <x:v>Проверить свободный остаток и установить цену для B2B</x:v>
      </x:c>
      <x:c r="AO424" s="12" t="str">
        <x:v>Остаток 15; прогноз 90 дней 0.68; избыток 14 шт. Будущие поступления не выставляются на продажу. Остаток на начало сентября: требуется актуализация.</x:v>
      </x:c>
      <x:c r="AP424" s="12" t="str">
        <x:v>["category_missing", "daily_stockout_data_missing", "new_order_lead_time_unknown", "reservations_unknown", "stale_stock"]</x:v>
      </x:c>
      <x:c r="AQ424" s="11" t="str">
        <x:v>IEK:030201104_</x:v>
      </x:c>
      <x:c r="AR424" s="23" t="n">
        <x:v>1</x:v>
      </x:c>
      <x:c r="AS424" s="23" t="n">
        <x:v>0</x:v>
      </x:c>
      <x:c r="AT424" s="23" t="n">
        <x:v>0</x:v>
      </x:c>
    </x:row>
    <x:row r="425" ht="64" customHeight="1">
      <x:c r="A425" s="10" t="str">
        <x:v>IEK</x:v>
      </x:c>
      <x:c r="B425" s="34" t="str">
        <x:v>030201105_</x:v>
      </x:c>
      <x:c r="C425" s="34" t="str">
        <x:v>BR-M22-G-41-K01</x:v>
      </x:c>
      <x:c r="D425" s="13" t="str">
        <x:v>Рамка 2-мест. "BRITE"  стекло бел. RE  IEK  (1/100)</x:v>
      </x:c>
      <x:c r="E425" s="10" t="str">
        <x:v>шт</x:v>
      </x:c>
      <x:c r="F425" s="37" t="n">
        <x:f>MAX(0,ROUNDDOWN((AG425-AF425)/AR425+0.000000001,0)*AR425)</x:f>
        <x:v>33</x:v>
      </x:c>
      <x:c r="G425" s="21" t="str">
        <x:f>IF(J425="Рассчитано",V425*(1-R425/100)-W425-P425-Q425,"н/д")</x:f>
        <x:v>н/д</x:v>
      </x:c>
      <x:c r="H425" s="13" t="str">
        <x:v>Высокий</x:v>
      </x:c>
      <x:c r="I425" s="13" t="str">
        <x:v>Высокий</x:v>
      </x:c>
      <x:c r="J425" s="13" t="str">
        <x:f>IF(L425="","Укажите валюту",IF(NOT(ISNUMBER(K425)),"Укажите объём",IF(K425&lt;=0,"Укажите объём",IF(K425&gt;F425,"Объём выше излишка",IF(COUNT(M425:O425)&lt;3,"Нужны цены",IF(COUNT(P425:R425)&lt;3,"Нужны расходы",IF(OR(M425&lt;0,N425&lt;0,O425&lt;0,O425&gt;100,P425&lt;0,Q425&lt;0,R425&lt;0,R425&gt;100),"Проверьте значения","Рассчитано")))))))</x:f>
        <x:v>Нужны цены</x:v>
      </x:c>
      <x:c r="K425" s="36" t="n">
        <x:v>33</x:v>
      </x:c>
      <x:c r="L425" s="19" t="str">
        <x:v>KZT</x:v>
      </x:c>
      <x:c r="M425" s="22"/>
      <x:c r="N425" s="22"/>
      <x:c r="O425" s="28"/>
      <x:c r="P425" s="22"/>
      <x:c r="Q425" s="22"/>
      <x:c r="R425" s="28"/>
      <x:c r="S425" s="22"/>
      <x:c r="T425" s="37" t="n">
        <x:f>K425</x:f>
        <x:v>33</x:v>
      </x:c>
      <x:c r="U425" s="21" t="str">
        <x:f>IF(J425="Рассчитано",N425*(1-O425/100),"н/д")</x:f>
        <x:v>н/д</x:v>
      </x:c>
      <x:c r="V425" s="21" t="str">
        <x:f>IF(J425="Рассчитано",T425*U425,"н/д")</x:f>
        <x:v>н/д</x:v>
      </x:c>
      <x:c r="W425" s="21" t="str">
        <x:f>IF(J425="Рассчитано",T425*M425,"н/д")</x:f>
        <x:v>н/д</x:v>
      </x:c>
      <x:c r="X425" s="21" t="str">
        <x:f>IF(J425="Рассчитано",V425-W425,"н/д")</x:f>
        <x:v>н/д</x:v>
      </x:c>
      <x:c r="Y425" s="27" t="str">
        <x:f>IF(J425="Рассчитано",IF(V425&gt;0,G425/V425,"н/д"),"н/д")</x:f>
        <x:v>н/д</x:v>
      </x:c>
      <x:c r="Z425" s="21" t="str">
        <x:f>"н/д"</x:f>
        <x:v>н/д</x:v>
      </x:c>
      <x:c r="AA425" s="21" t="str">
        <x:f>"н/д"</x:f>
        <x:v>н/д</x:v>
      </x:c>
      <x:c r="AB425" s="21" t="str">
        <x:f>"н/д"</x:f>
        <x:v>н/д</x:v>
      </x:c>
      <x:c r="AC425" s="21" t="str">
        <x:f>IF(AND(J425="Рассчитано",T425&gt;0,R425&lt;100),(W425+P425+Q425)/(T425*(1-R425/100)),"н/д")</x:f>
        <x:v>н/д</x:v>
      </x:c>
      <x:c r="AD425" s="10" t="str">
        <x:f>IF(ISNUMBER(G425),IF(G425&lt;0,"Убыток",IF(G425=0,"Без прибыли","Прибыль &gt; 0")),"Не оценён")</x:f>
        <x:v>Не оценён</x:v>
      </x:c>
      <x:c r="AE425" s="13" t="str">
        <x:f>IF(J425="Рассчитано","Выручка "&amp;TEXT(V425,"0.00")&amp;" - себестоимость "&amp;TEXT(W425,"0.00")&amp;" - комиссия "&amp;TEXT(V425*R425/100,"0.00")&amp;" - доставка "&amp;TEXT(P425,"0.00")&amp;" - прочие "&amp;TEXT(Q425,"0.00")&amp;" = "&amp;TEXT(G425,"0.00")&amp;" "&amp;L425,"Введите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5" s="24" t="n">
        <x:v>15.248562876843106</x:v>
      </x:c>
      <x:c r="AG425" s="37" t="n">
        <x:v>49</x:v>
      </x:c>
      <x:c r="AH425" s="37" t="n">
        <x:v>0</x:v>
      </x:c>
      <x:c r="AI425" s="30" t="n">
        <x:v>46266</x:v>
      </x:c>
      <x:c r="AJ425" s="37" t="n">
        <x:v>1</x:v>
      </x:c>
      <x:c r="AK425" s="10" t="str">
        <x:v>минимум</x:v>
      </x:c>
      <x:c r="AL425" s="32" t="n">
        <x:v>273.26638359240593</x:v>
      </x:c>
      <x:c r="AM42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25" s="13" t="str">
        <x:v>Проверить свободный остаток и установить цену для B2B</x:v>
      </x:c>
      <x:c r="AO425" s="13" t="str">
        <x:v>Остаток 49; прогноз 90 дней 15.25; избыток 33 шт. Будущие поступления не выставляются на продажу. Остаток на начало сентября: требуется актуализация.</x:v>
      </x:c>
      <x:c r="AP425" s="13" t="str">
        <x:v>["category_missing", "daily_stockout_data_missing", "large_orders_detected", "new_order_lead_time_unknown", "reservations_unknown", "stale_stock"]</x:v>
      </x:c>
      <x:c r="AQ425" s="10" t="str">
        <x:v>IEK:030201105_</x:v>
      </x:c>
      <x:c r="AR425" s="24" t="n">
        <x:v>1</x:v>
      </x:c>
      <x:c r="AS425" s="24" t="n">
        <x:v>0</x:v>
      </x:c>
      <x:c r="AT425" s="24" t="n">
        <x:v>0</x:v>
      </x:c>
    </x:row>
    <x:row r="426" ht="64" customHeight="1">
      <x:c r="A426" s="11" t="str">
        <x:v>IEK</x:v>
      </x:c>
      <x:c r="B426" s="33" t="str">
        <x:v>030201106_</x:v>
      </x:c>
      <x:c r="C426" s="33" t="str">
        <x:v>BR-M22-G-41-K02</x:v>
      </x:c>
      <x:c r="D426" s="12" t="str">
        <x:v>Рамка 2-мест. "BRITE"  стекло черн. RE  IEK  (1/100)</x:v>
      </x:c>
      <x:c r="E426" s="11" t="str">
        <x:v>шт</x:v>
      </x:c>
      <x:c r="F426" s="35" t="n">
        <x:f>MAX(0,ROUNDDOWN((AG426-AF426)/AR426+0.000000001,0)*AR426)</x:f>
        <x:v>19</x:v>
      </x:c>
      <x:c r="G426" s="20" t="str">
        <x:f>IF(J426="Рассчитано",V426*(1-R426/100)-W426-P426-Q426,"н/д")</x:f>
        <x:v>н/д</x:v>
      </x:c>
      <x:c r="H426" s="12" t="str">
        <x:v>Высокий</x:v>
      </x:c>
      <x:c r="I426" s="12" t="str">
        <x:v>Высокий</x:v>
      </x:c>
      <x:c r="J426" s="12" t="str">
        <x:f>IF(L426="","Укажите валюту",IF(NOT(ISNUMBER(K426)),"Укажите объём",IF(K426&lt;=0,"Укажите объём",IF(K426&gt;F426,"Объём выше излишка",IF(COUNT(M426:O426)&lt;3,"Нужны цены",IF(COUNT(P426:R426)&lt;3,"Нужны расходы",IF(OR(M426&lt;0,N426&lt;0,O426&lt;0,O426&gt;100,P426&lt;0,Q426&lt;0,R426&lt;0,R426&gt;100),"Проверьте значения","Рассчитано")))))))</x:f>
        <x:v>Нужны цены</x:v>
      </x:c>
      <x:c r="K426" s="36" t="n">
        <x:v>19</x:v>
      </x:c>
      <x:c r="L426" s="19" t="str">
        <x:v>KZT</x:v>
      </x:c>
      <x:c r="M426" s="22"/>
      <x:c r="N426" s="22"/>
      <x:c r="O426" s="28"/>
      <x:c r="P426" s="22"/>
      <x:c r="Q426" s="22"/>
      <x:c r="R426" s="28"/>
      <x:c r="S426" s="22"/>
      <x:c r="T426" s="35" t="n">
        <x:f>K426</x:f>
        <x:v>19</x:v>
      </x:c>
      <x:c r="U426" s="20" t="str">
        <x:f>IF(J426="Рассчитано",N426*(1-O426/100),"н/д")</x:f>
        <x:v>н/д</x:v>
      </x:c>
      <x:c r="V426" s="20" t="str">
        <x:f>IF(J426="Рассчитано",T426*U426,"н/д")</x:f>
        <x:v>н/д</x:v>
      </x:c>
      <x:c r="W426" s="20" t="str">
        <x:f>IF(J426="Рассчитано",T426*M426,"н/д")</x:f>
        <x:v>н/д</x:v>
      </x:c>
      <x:c r="X426" s="20" t="str">
        <x:f>IF(J426="Рассчитано",V426-W426,"н/д")</x:f>
        <x:v>н/д</x:v>
      </x:c>
      <x:c r="Y426" s="26" t="str">
        <x:f>IF(J426="Рассчитано",IF(V426&gt;0,G426/V426,"н/д"),"н/д")</x:f>
        <x:v>н/д</x:v>
      </x:c>
      <x:c r="Z426" s="20" t="str">
        <x:f>"н/д"</x:f>
        <x:v>н/д</x:v>
      </x:c>
      <x:c r="AA426" s="20" t="str">
        <x:f>"н/д"</x:f>
        <x:v>н/д</x:v>
      </x:c>
      <x:c r="AB426" s="20" t="str">
        <x:f>"н/д"</x:f>
        <x:v>н/д</x:v>
      </x:c>
      <x:c r="AC426" s="20" t="str">
        <x:f>IF(AND(J426="Рассчитано",T426&gt;0,R426&lt;100),(W426+P426+Q426)/(T426*(1-R426/100)),"н/д")</x:f>
        <x:v>н/д</x:v>
      </x:c>
      <x:c r="AD426" s="11" t="str">
        <x:f>IF(ISNUMBER(G426),IF(G426&lt;0,"Убыток",IF(G426=0,"Без прибыли","Прибыль &gt; 0")),"Не оценён")</x:f>
        <x:v>Не оценён</x:v>
      </x:c>
      <x:c r="AE426" s="12" t="str">
        <x:f>IF(J426="Рассчитано","Выручка "&amp;TEXT(V426,"0.00")&amp;" - себестоимость "&amp;TEXT(W426,"0.00")&amp;" - комиссия "&amp;TEXT(V426*R426/100,"0.00")&amp;" - доставка "&amp;TEXT(P426,"0.00")&amp;" - прочие "&amp;TEXT(Q426,"0.00")&amp;" = "&amp;TEXT(G426,"0.00")&amp;" "&amp;L426,"Введите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6" s="23" t="n">
        <x:v>6.5323570160123765</x:v>
      </x:c>
      <x:c r="AG426" s="35" t="n">
        <x:v>26</x:v>
      </x:c>
      <x:c r="AH426" s="35" t="n">
        <x:v>0</x:v>
      </x:c>
      <x:c r="AI426" s="29" t="n">
        <x:v>46266</x:v>
      </x:c>
      <x:c r="AJ426" s="35" t="n">
        <x:v>1</x:v>
      </x:c>
      <x:c r="AK426" s="11" t="str">
        <x:v>минимум</x:v>
      </x:c>
      <x:c r="AL426" s="31" t="n">
        <x:v>338.4717912697698</x:v>
      </x:c>
      <x:c r="AM42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26" s="12" t="str">
        <x:v>Проверить свободный остаток и установить цену для B2B</x:v>
      </x:c>
      <x:c r="AO426" s="12" t="str">
        <x:v>Остаток 26; прогноз 90 дней 6.53; избыток 19 шт. Будущие поступления не выставляются на продажу. Остаток на начало сентября: требуется актуализация.</x:v>
      </x:c>
      <x:c r="AP426" s="12" t="str">
        <x:v>["category_missing", "daily_stockout_data_missing", "negative_net_sales_clipped_for_forecast", "new_order_lead_time_unknown", "reservations_unknown", "stale_stock"]</x:v>
      </x:c>
      <x:c r="AQ426" s="11" t="str">
        <x:v>IEK:030201106_</x:v>
      </x:c>
      <x:c r="AR426" s="23" t="n">
        <x:v>1</x:v>
      </x:c>
      <x:c r="AS426" s="23" t="n">
        <x:v>0</x:v>
      </x:c>
      <x:c r="AT426" s="23" t="n">
        <x:v>0</x:v>
      </x:c>
    </x:row>
    <x:row r="427" ht="64" customHeight="1">
      <x:c r="A427" s="10" t="str">
        <x:v>IEK</x:v>
      </x:c>
      <x:c r="B427" s="34" t="str">
        <x:v>030201107_</x:v>
      </x:c>
      <x:c r="C427" s="34" t="str">
        <x:v>BR-M22-G-41-K53</x:v>
      </x:c>
      <x:c r="D427" s="13" t="str">
        <x:v>Рамка 2-мест. "BRITE"  стекло графит RE  IEK  (1/100)</x:v>
      </x:c>
      <x:c r="E427" s="10" t="str">
        <x:v>шт</x:v>
      </x:c>
      <x:c r="F427" s="37" t="n">
        <x:f>MAX(0,ROUNDDOWN((AG427-AF427)/AR427+0.000000001,0)*AR427)</x:f>
        <x:v>4</x:v>
      </x:c>
      <x:c r="G427" s="21" t="str">
        <x:f>IF(J427="Рассчитано",V427*(1-R427/100)-W427-P427-Q427,"н/д")</x:f>
        <x:v>н/д</x:v>
      </x:c>
      <x:c r="H427" s="13" t="str">
        <x:v>Высокий</x:v>
      </x:c>
      <x:c r="I427" s="13" t="str">
        <x:v>Высокий</x:v>
      </x:c>
      <x:c r="J427" s="13" t="str">
        <x:f>IF(L427="","Укажите валюту",IF(NOT(ISNUMBER(K427)),"Укажите объём",IF(K427&lt;=0,"Укажите объём",IF(K427&gt;F427,"Объём выше излишка",IF(COUNT(M427:O427)&lt;3,"Нужны цены",IF(COUNT(P427:R427)&lt;3,"Нужны расходы",IF(OR(M427&lt;0,N427&lt;0,O427&lt;0,O427&gt;100,P427&lt;0,Q427&lt;0,R427&lt;0,R427&gt;100),"Проверьте значения","Рассчитано")))))))</x:f>
        <x:v>Нужны цены</x:v>
      </x:c>
      <x:c r="K427" s="36" t="n">
        <x:v>4</x:v>
      </x:c>
      <x:c r="L427" s="19" t="str">
        <x:v>KZT</x:v>
      </x:c>
      <x:c r="M427" s="22"/>
      <x:c r="N427" s="22"/>
      <x:c r="O427" s="28"/>
      <x:c r="P427" s="22"/>
      <x:c r="Q427" s="22"/>
      <x:c r="R427" s="28"/>
      <x:c r="S427" s="22"/>
      <x:c r="T427" s="37" t="n">
        <x:f>K427</x:f>
        <x:v>4</x:v>
      </x:c>
      <x:c r="U427" s="21" t="str">
        <x:f>IF(J427="Рассчитано",N427*(1-O427/100),"н/д")</x:f>
        <x:v>н/д</x:v>
      </x:c>
      <x:c r="V427" s="21" t="str">
        <x:f>IF(J427="Рассчитано",T427*U427,"н/д")</x:f>
        <x:v>н/д</x:v>
      </x:c>
      <x:c r="W427" s="21" t="str">
        <x:f>IF(J427="Рассчитано",T427*M427,"н/д")</x:f>
        <x:v>н/д</x:v>
      </x:c>
      <x:c r="X427" s="21" t="str">
        <x:f>IF(J427="Рассчитано",V427-W427,"н/д")</x:f>
        <x:v>н/д</x:v>
      </x:c>
      <x:c r="Y427" s="27" t="str">
        <x:f>IF(J427="Рассчитано",IF(V427&gt;0,G427/V427,"н/д"),"н/д")</x:f>
        <x:v>н/д</x:v>
      </x:c>
      <x:c r="Z427" s="21" t="str">
        <x:f>"н/д"</x:f>
        <x:v>н/д</x:v>
      </x:c>
      <x:c r="AA427" s="21" t="str">
        <x:f>"н/д"</x:f>
        <x:v>н/д</x:v>
      </x:c>
      <x:c r="AB427" s="21" t="str">
        <x:f>"н/д"</x:f>
        <x:v>н/д</x:v>
      </x:c>
      <x:c r="AC427" s="21" t="str">
        <x:f>IF(AND(J427="Рассчитано",T427&gt;0,R427&lt;100),(W427+P427+Q427)/(T427*(1-R427/100)),"н/д")</x:f>
        <x:v>н/д</x:v>
      </x:c>
      <x:c r="AD427" s="10" t="str">
        <x:f>IF(ISNUMBER(G427),IF(G427&lt;0,"Убыток",IF(G427=0,"Без прибыли","Прибыль &gt; 0")),"Не оценён")</x:f>
        <x:v>Не оценён</x:v>
      </x:c>
      <x:c r="AE427" s="13" t="str">
        <x:f>IF(J427="Рассчитано","Выручка "&amp;TEXT(V427,"0.00")&amp;" - себестоимость "&amp;TEXT(W427,"0.00")&amp;" - комиссия "&amp;TEXT(V427*R427/100,"0.00")&amp;" - доставка "&amp;TEXT(P427,"0.00")&amp;" - прочие "&amp;TEXT(Q427,"0.00")&amp;" = "&amp;TEXT(G427,"0.00")&amp;" "&amp;L427,"Введите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7" s="24" t="n">
        <x:v>1.8104442939744425</x:v>
      </x:c>
      <x:c r="AG427" s="37" t="n">
        <x:v>6</x:v>
      </x:c>
      <x:c r="AH427" s="37" t="n">
        <x:v>0</x:v>
      </x:c>
      <x:c r="AI427" s="30" t="n">
        <x:v>46266</x:v>
      </x:c>
      <x:c r="AJ427" s="37" t="n">
        <x:v>1</x:v>
      </x:c>
      <x:c r="AK427" s="10" t="str">
        <x:v>минимум</x:v>
      </x:c>
      <x:c r="AL427" s="32" t="n">
        <x:v>281.82864212886847</x:v>
      </x:c>
      <x:c r="AM42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27" s="13" t="str">
        <x:v>Проверить свободный остаток и установить цену для B2B</x:v>
      </x:c>
      <x:c r="AO427" s="13" t="str">
        <x:v>Остаток 6; прогноз 90 дней 1.81; избыток 4 шт. Будущие поступления не выставляются на продажу. Остаток на начало сентября: требуется актуализация.</x:v>
      </x:c>
      <x:c r="AP427" s="13" t="str">
        <x:v>["category_missing", "daily_stockout_data_missing", "new_order_lead_time_unknown", "reservations_unknown", "stale_stock"]</x:v>
      </x:c>
      <x:c r="AQ427" s="10" t="str">
        <x:v>IEK:030201107_</x:v>
      </x:c>
      <x:c r="AR427" s="24" t="n">
        <x:v>1</x:v>
      </x:c>
      <x:c r="AS427" s="24" t="n">
        <x:v>0</x:v>
      </x:c>
      <x:c r="AT427" s="24" t="n">
        <x:v>0</x:v>
      </x:c>
    </x:row>
    <x:row r="428" ht="64" customHeight="1">
      <x:c r="A428" s="11" t="str">
        <x:v>IEK</x:v>
      </x:c>
      <x:c r="B428" s="33" t="str">
        <x:v>030201108_</x:v>
      </x:c>
      <x:c r="C428" s="33" t="str">
        <x:v>BR-M22-G-41-K98</x:v>
      </x:c>
      <x:c r="D428" s="12" t="str">
        <x:v>Рамка 2-мест. "BRITE"  стекло песчаный RE  IEK  (1/100)</x:v>
      </x:c>
      <x:c r="E428" s="11" t="str">
        <x:v>шт</x:v>
      </x:c>
      <x:c r="F428" s="35" t="n">
        <x:f>MAX(0,ROUNDDOWN((AG428-AF428)/AR428+0.000000001,0)*AR428)</x:f>
        <x:v>3</x:v>
      </x:c>
      <x:c r="G428" s="20" t="str">
        <x:f>IF(J428="Рассчитано",V428*(1-R428/100)-W428-P428-Q428,"н/д")</x:f>
        <x:v>н/д</x:v>
      </x:c>
      <x:c r="H428" s="12" t="str">
        <x:v>Высокий</x:v>
      </x:c>
      <x:c r="I428" s="12" t="str">
        <x:v>Средний</x:v>
      </x:c>
      <x:c r="J428" s="12" t="str">
        <x:f>IF(L428="","Укажите валюту",IF(NOT(ISNUMBER(K428)),"Укажите объём",IF(K428&lt;=0,"Укажите объём",IF(K428&gt;F428,"Объём выше излишка",IF(COUNT(M428:O428)&lt;3,"Нужны цены",IF(COUNT(P428:R428)&lt;3,"Нужны расходы",IF(OR(M428&lt;0,N428&lt;0,O428&lt;0,O428&gt;100,P428&lt;0,Q428&lt;0,R428&lt;0,R428&gt;100),"Проверьте значения","Рассчитано")))))))</x:f>
        <x:v>Нужны цены</x:v>
      </x:c>
      <x:c r="K428" s="36" t="n">
        <x:v>3</x:v>
      </x:c>
      <x:c r="L428" s="19" t="str">
        <x:v>KZT</x:v>
      </x:c>
      <x:c r="M428" s="22"/>
      <x:c r="N428" s="22"/>
      <x:c r="O428" s="28"/>
      <x:c r="P428" s="22"/>
      <x:c r="Q428" s="22"/>
      <x:c r="R428" s="28"/>
      <x:c r="S428" s="22"/>
      <x:c r="T428" s="35" t="n">
        <x:f>K428</x:f>
        <x:v>3</x:v>
      </x:c>
      <x:c r="U428" s="20" t="str">
        <x:f>IF(J428="Рассчитано",N428*(1-O428/100),"н/д")</x:f>
        <x:v>н/д</x:v>
      </x:c>
      <x:c r="V428" s="20" t="str">
        <x:f>IF(J428="Рассчитано",T428*U428,"н/д")</x:f>
        <x:v>н/д</x:v>
      </x:c>
      <x:c r="W428" s="20" t="str">
        <x:f>IF(J428="Рассчитано",T428*M428,"н/д")</x:f>
        <x:v>н/д</x:v>
      </x:c>
      <x:c r="X428" s="20" t="str">
        <x:f>IF(J428="Рассчитано",V428-W428,"н/д")</x:f>
        <x:v>н/д</x:v>
      </x:c>
      <x:c r="Y428" s="26" t="str">
        <x:f>IF(J428="Рассчитано",IF(V428&gt;0,G428/V428,"н/д"),"н/д")</x:f>
        <x:v>н/д</x:v>
      </x:c>
      <x:c r="Z428" s="20" t="str">
        <x:f>"н/д"</x:f>
        <x:v>н/д</x:v>
      </x:c>
      <x:c r="AA428" s="20" t="str">
        <x:f>"н/д"</x:f>
        <x:v>н/д</x:v>
      </x:c>
      <x:c r="AB428" s="20" t="str">
        <x:f>"н/д"</x:f>
        <x:v>н/д</x:v>
      </x:c>
      <x:c r="AC428" s="20" t="str">
        <x:f>IF(AND(J428="Рассчитано",T428&gt;0,R428&lt;100),(W428+P428+Q428)/(T428*(1-R428/100)),"н/д")</x:f>
        <x:v>н/д</x:v>
      </x:c>
      <x:c r="AD428" s="11" t="str">
        <x:f>IF(ISNUMBER(G428),IF(G428&lt;0,"Убыток",IF(G428=0,"Без прибыли","Прибыль &gt; 0")),"Не оценён")</x:f>
        <x:v>Не оценён</x:v>
      </x:c>
      <x:c r="AE428" s="12" t="str">
        <x:f>IF(J428="Рассчитано","Выручка "&amp;TEXT(V428,"0.00")&amp;" - себестоимость "&amp;TEXT(W428,"0.00")&amp;" - комиссия "&amp;TEXT(V428*R428/100,"0.00")&amp;" - доставка "&amp;TEXT(P428,"0.00")&amp;" - прочие "&amp;TEXT(Q428,"0.00")&amp;" = "&amp;TEXT(G428,"0.00")&amp;" "&amp;L428,"Введите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8" s="23" t="n">
        <x:v>12.722872875129159</x:v>
      </x:c>
      <x:c r="AG428" s="35" t="n">
        <x:v>16</x:v>
      </x:c>
      <x:c r="AH428" s="35" t="n">
        <x:v>0</x:v>
      </x:c>
      <x:c r="AI428" s="29" t="n">
        <x:v>46266</x:v>
      </x:c>
      <x:c r="AJ428" s="35" t="n">
        <x:v>1</x:v>
      </x:c>
      <x:c r="AK428" s="11" t="str">
        <x:v>минимум</x:v>
      </x:c>
      <x:c r="AL428" s="31" t="n">
        <x:v>106.94336350572489</x:v>
      </x:c>
      <x:c r="AM428" s="12" t="str">
        <x:v>Остаток на начало сентября; Резервы неизвестны; Нет ежедневных данных доступности. Запас выше прогноза на 90 дней</x:v>
      </x:c>
      <x:c r="AN428" s="12" t="str">
        <x:v>Проверить свободный остаток и установить цену для B2B</x:v>
      </x:c>
      <x:c r="AO428" s="12" t="str">
        <x:v>Остаток 16; прогноз 90 дней 12.72; избыток 3 шт. Будущие поступления не выставляются на продажу. Остаток на начало сентября: требуется актуализация.</x:v>
      </x:c>
      <x:c r="AP428" s="12" t="str">
        <x:v>["category_missing", "daily_stockout_data_missing", "new_order_lead_time_unknown", "reservations_unknown", "stale_stock"]</x:v>
      </x:c>
      <x:c r="AQ428" s="11" t="str">
        <x:v>IEK:030201108_</x:v>
      </x:c>
      <x:c r="AR428" s="23" t="n">
        <x:v>1</x:v>
      </x:c>
      <x:c r="AS428" s="23" t="n">
        <x:v>0</x:v>
      </x:c>
      <x:c r="AT428" s="23" t="n">
        <x:v>0</x:v>
      </x:c>
    </x:row>
    <x:row r="429" ht="64" customHeight="1">
      <x:c r="A429" s="10" t="str">
        <x:v>IEK</x:v>
      </x:c>
      <x:c r="B429" s="34" t="str">
        <x:v>030201109_</x:v>
      </x:c>
      <x:c r="C429" s="34" t="str">
        <x:v>BR-M22-M-01-K02</x:v>
      </x:c>
      <x:c r="D429" s="13" t="str">
        <x:v>Рамка 2-мест. "BRITE"  металл черн. RE  IEK  (1/100)</x:v>
      </x:c>
      <x:c r="E429" s="10" t="str">
        <x:v>шт</x:v>
      </x:c>
      <x:c r="F429" s="37" t="n">
        <x:f>MAX(0,ROUNDDOWN((AG429-AF429)/AR429+0.000000001,0)*AR429)</x:f>
        <x:v>5</x:v>
      </x:c>
      <x:c r="G429" s="21" t="str">
        <x:f>IF(J429="Рассчитано",V429*(1-R429/100)-W429-P429-Q429,"н/д")</x:f>
        <x:v>н/д</x:v>
      </x:c>
      <x:c r="H429" s="13" t="str">
        <x:v>Высокий</x:v>
      </x:c>
      <x:c r="I429" s="13" t="str">
        <x:v>Средний</x:v>
      </x:c>
      <x:c r="J429" s="13" t="str">
        <x:f>IF(L429="","Укажите валюту",IF(NOT(ISNUMBER(K429)),"Укажите объём",IF(K429&lt;=0,"Укажите объём",IF(K429&gt;F429,"Объём выше излишка",IF(COUNT(M429:O429)&lt;3,"Нужны цены",IF(COUNT(P429:R429)&lt;3,"Нужны расходы",IF(OR(M429&lt;0,N429&lt;0,O429&lt;0,O429&gt;100,P429&lt;0,Q429&lt;0,R429&lt;0,R429&gt;100),"Проверьте значения","Рассчитано")))))))</x:f>
        <x:v>Нужны цены</x:v>
      </x:c>
      <x:c r="K429" s="36" t="n">
        <x:v>5</x:v>
      </x:c>
      <x:c r="L429" s="19" t="str">
        <x:v>KZT</x:v>
      </x:c>
      <x:c r="M429" s="22"/>
      <x:c r="N429" s="22"/>
      <x:c r="O429" s="28"/>
      <x:c r="P429" s="22"/>
      <x:c r="Q429" s="22"/>
      <x:c r="R429" s="28"/>
      <x:c r="S429" s="22"/>
      <x:c r="T429" s="37" t="n">
        <x:f>K429</x:f>
        <x:v>5</x:v>
      </x:c>
      <x:c r="U429" s="21" t="str">
        <x:f>IF(J429="Рассчитано",N429*(1-O429/100),"н/д")</x:f>
        <x:v>н/д</x:v>
      </x:c>
      <x:c r="V429" s="21" t="str">
        <x:f>IF(J429="Рассчитано",T429*U429,"н/д")</x:f>
        <x:v>н/д</x:v>
      </x:c>
      <x:c r="W429" s="21" t="str">
        <x:f>IF(J429="Рассчитано",T429*M429,"н/д")</x:f>
        <x:v>н/д</x:v>
      </x:c>
      <x:c r="X429" s="21" t="str">
        <x:f>IF(J429="Рассчитано",V429-W429,"н/д")</x:f>
        <x:v>н/д</x:v>
      </x:c>
      <x:c r="Y429" s="27" t="str">
        <x:f>IF(J429="Рассчитано",IF(V429&gt;0,G429/V429,"н/д"),"н/д")</x:f>
        <x:v>н/д</x:v>
      </x:c>
      <x:c r="Z429" s="21" t="str">
        <x:f>"н/д"</x:f>
        <x:v>н/д</x:v>
      </x:c>
      <x:c r="AA429" s="21" t="str">
        <x:f>"н/д"</x:f>
        <x:v>н/д</x:v>
      </x:c>
      <x:c r="AB429" s="21" t="str">
        <x:f>"н/д"</x:f>
        <x:v>н/д</x:v>
      </x:c>
      <x:c r="AC429" s="21" t="str">
        <x:f>IF(AND(J429="Рассчитано",T429&gt;0,R429&lt;100),(W429+P429+Q429)/(T429*(1-R429/100)),"н/д")</x:f>
        <x:v>н/д</x:v>
      </x:c>
      <x:c r="AD429" s="10" t="str">
        <x:f>IF(ISNUMBER(G429),IF(G429&lt;0,"Убыток",IF(G429=0,"Без прибыли","Прибыль &gt; 0")),"Не оценён")</x:f>
        <x:v>Не оценён</x:v>
      </x:c>
      <x:c r="AE429" s="13" t="str">
        <x:f>IF(J429="Рассчитано","Выручка "&amp;TEXT(V429,"0.00")&amp;" - себестоимость "&amp;TEXT(W429,"0.00")&amp;" - комиссия "&amp;TEXT(V429*R429/100,"0.00")&amp;" - доставка "&amp;TEXT(P429,"0.00")&amp;" - прочие "&amp;TEXT(Q429,"0.00")&amp;" = "&amp;TEXT(G429,"0.00")&amp;" "&amp;L429,"Введите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9" s="24" t="n">
        <x:v>9.576509619912894</x:v>
      </x:c>
      <x:c r="AG429" s="37" t="n">
        <x:v>15</x:v>
      </x:c>
      <x:c r="AH429" s="37" t="n">
        <x:v>0</x:v>
      </x:c>
      <x:c r="AI429" s="30" t="n">
        <x:v>46266</x:v>
      </x:c>
      <x:c r="AJ429" s="37" t="n">
        <x:v>1</x:v>
      </x:c>
      <x:c r="AK429" s="10" t="str">
        <x:v>минимум</x:v>
      </x:c>
      <x:c r="AL429" s="32" t="n">
        <x:v>133.19964091087505</x:v>
      </x:c>
      <x:c r="AM429" s="13" t="str">
        <x:v>Остаток на начало сентября; Резервы неизвестны; Нет ежедневных данных доступности. Запас выше прогноза на 90 дней</x:v>
      </x:c>
      <x:c r="AN429" s="13" t="str">
        <x:v>Проверить свободный остаток и установить цену для B2B</x:v>
      </x:c>
      <x:c r="AO429" s="13" t="str">
        <x:v>Остаток 15; прогноз 90 дней 9.58; избыток 5 шт. Будущие поступления не выставляются на продажу. Остаток на начало сентября: требуется актуализация.</x:v>
      </x:c>
      <x:c r="AP429" s="13" t="str">
        <x:v>["category_missing", "daily_stockout_data_missing", "new_order_lead_time_unknown", "reservations_unknown", "stale_stock"]</x:v>
      </x:c>
      <x:c r="AQ429" s="10" t="str">
        <x:v>IEK:030201109_</x:v>
      </x:c>
      <x:c r="AR429" s="24" t="n">
        <x:v>1</x:v>
      </x:c>
      <x:c r="AS429" s="24" t="n">
        <x:v>0</x:v>
      </x:c>
      <x:c r="AT429" s="24" t="n">
        <x:v>0</x:v>
      </x:c>
    </x:row>
    <x:row r="430" ht="64" customHeight="1">
      <x:c r="A430" s="11" t="str">
        <x:v>IEK</x:v>
      </x:c>
      <x:c r="B430" s="33" t="str">
        <x:v>030201111_</x:v>
      </x:c>
      <x:c r="C430" s="33" t="str">
        <x:v>BR-M22-M-01-K48</x:v>
      </x:c>
      <x:c r="D430" s="12" t="str">
        <x:v>Рамка 2-мест. "BRITE"  металл титан RE  IEK  (1/100)</x:v>
      </x:c>
      <x:c r="E430" s="11" t="str">
        <x:v>шт</x:v>
      </x:c>
      <x:c r="F430" s="35" t="n">
        <x:f>MAX(0,ROUNDDOWN((AG430-AF430)/AR430+0.000000001,0)*AR430)</x:f>
        <x:v>15</x:v>
      </x:c>
      <x:c r="G430" s="20" t="str">
        <x:f>IF(J430="Рассчитано",V430*(1-R430/100)-W430-P430-Q430,"н/д")</x:f>
        <x:v>н/д</x:v>
      </x:c>
      <x:c r="H430" s="12" t="str">
        <x:v>Высокий</x:v>
      </x:c>
      <x:c r="I430" s="12" t="str">
        <x:v>Высокий</x:v>
      </x:c>
      <x:c r="J430" s="12" t="str">
        <x:f>IF(L430="","Укажите валюту",IF(NOT(ISNUMBER(K430)),"Укажите объём",IF(K430&lt;=0,"Укажите объём",IF(K430&gt;F430,"Объём выше излишка",IF(COUNT(M430:O430)&lt;3,"Нужны цены",IF(COUNT(P430:R430)&lt;3,"Нужны расходы",IF(OR(M430&lt;0,N430&lt;0,O430&lt;0,O430&gt;100,P430&lt;0,Q430&lt;0,R430&lt;0,R430&gt;100),"Проверьте значения","Рассчитано")))))))</x:f>
        <x:v>Нужны цены</x:v>
      </x:c>
      <x:c r="K430" s="36" t="n">
        <x:v>15</x:v>
      </x:c>
      <x:c r="L430" s="19" t="str">
        <x:v>KZT</x:v>
      </x:c>
      <x:c r="M430" s="22"/>
      <x:c r="N430" s="22"/>
      <x:c r="O430" s="28"/>
      <x:c r="P430" s="22"/>
      <x:c r="Q430" s="22"/>
      <x:c r="R430" s="28"/>
      <x:c r="S430" s="22"/>
      <x:c r="T430" s="35" t="n">
        <x:f>K430</x:f>
        <x:v>15</x:v>
      </x:c>
      <x:c r="U430" s="20" t="str">
        <x:f>IF(J430="Рассчитано",N430*(1-O430/100),"н/д")</x:f>
        <x:v>н/д</x:v>
      </x:c>
      <x:c r="V430" s="20" t="str">
        <x:f>IF(J430="Рассчитано",T430*U430,"н/д")</x:f>
        <x:v>н/д</x:v>
      </x:c>
      <x:c r="W430" s="20" t="str">
        <x:f>IF(J430="Рассчитано",T430*M430,"н/д")</x:f>
        <x:v>н/д</x:v>
      </x:c>
      <x:c r="X430" s="20" t="str">
        <x:f>IF(J430="Рассчитано",V430-W430,"н/д")</x:f>
        <x:v>н/д</x:v>
      </x:c>
      <x:c r="Y430" s="26" t="str">
        <x:f>IF(J430="Рассчитано",IF(V430&gt;0,G430/V430,"н/д"),"н/д")</x:f>
        <x:v>н/д</x:v>
      </x:c>
      <x:c r="Z430" s="20" t="str">
        <x:f>"н/д"</x:f>
        <x:v>н/д</x:v>
      </x:c>
      <x:c r="AA430" s="20" t="str">
        <x:f>"н/д"</x:f>
        <x:v>н/д</x:v>
      </x:c>
      <x:c r="AB430" s="20" t="str">
        <x:f>"н/д"</x:f>
        <x:v>н/д</x:v>
      </x:c>
      <x:c r="AC430" s="20" t="str">
        <x:f>IF(AND(J430="Рассчитано",T430&gt;0,R430&lt;100),(W430+P430+Q430)/(T430*(1-R430/100)),"н/д")</x:f>
        <x:v>н/д</x:v>
      </x:c>
      <x:c r="AD430" s="11" t="str">
        <x:f>IF(ISNUMBER(G430),IF(G430&lt;0,"Убыток",IF(G430=0,"Без прибыли","Прибыль &gt; 0")),"Не оценён")</x:f>
        <x:v>Не оценён</x:v>
      </x:c>
      <x:c r="AE430" s="12" t="str">
        <x:f>IF(J430="Рассчитано","Выручка "&amp;TEXT(V430,"0.00")&amp;" - себестоимость "&amp;TEXT(W430,"0.00")&amp;" - комиссия "&amp;TEXT(V430*R430/100,"0.00")&amp;" - доставка "&amp;TEXT(P430,"0.00")&amp;" - прочие "&amp;TEXT(Q430,"0.00")&amp;" = "&amp;TEXT(G430,"0.00")&amp;" "&amp;L430,"Введите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0" s="23" t="n">
        <x:v>0.14538289932069773</x:v>
      </x:c>
      <x:c r="AG430" s="35" t="n">
        <x:v>16</x:v>
      </x:c>
      <x:c r="AH430" s="35" t="n">
        <x:v>0</x:v>
      </x:c>
      <x:c r="AI430" s="29" t="n">
        <x:v>46266</x:v>
      </x:c>
      <x:c r="AJ430" s="35" t="n">
        <x:v>1</x:v>
      </x:c>
      <x:c r="AK430" s="11" t="str">
        <x:v>минимум</x:v>
      </x:c>
      <x:c r="AL430" s="31" t="n">
        <x:v>9358.919275097702</x:v>
      </x:c>
      <x:c r="AM43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30" s="12" t="str">
        <x:v>Проверить свободный остаток и установить цену для B2B</x:v>
      </x:c>
      <x:c r="AO430" s="12" t="str">
        <x:v>Остаток 16; прогноз 90 дней 0.15; избыток 15 шт. Будущие поступления не выставляются на продажу. Остаток на начало сентября: требуется актуализация.</x:v>
      </x:c>
      <x:c r="AP430" s="12" t="str">
        <x:v>["category_missing", "daily_stockout_data_missing", "new_order_lead_time_unknown", "reservations_unknown", "stale_stock"]</x:v>
      </x:c>
      <x:c r="AQ430" s="11" t="str">
        <x:v>IEK:030201111_</x:v>
      </x:c>
      <x:c r="AR430" s="23" t="n">
        <x:v>1</x:v>
      </x:c>
      <x:c r="AS430" s="23" t="n">
        <x:v>0</x:v>
      </x:c>
      <x:c r="AT430" s="23" t="n">
        <x:v>0</x:v>
      </x:c>
    </x:row>
    <x:row r="431" ht="64" customHeight="1">
      <x:c r="A431" s="10" t="str">
        <x:v>IEK</x:v>
      </x:c>
      <x:c r="B431" s="34" t="str">
        <x:v>030201112_</x:v>
      </x:c>
      <x:c r="C431" s="34" t="str">
        <x:v>BR-M22-M-21-K02</x:v>
      </x:c>
      <x:c r="D431" s="13" t="str">
        <x:v>Рамка 2-мест. "BRITE"  металл черн. RE AL  IEK  (1/100)</x:v>
      </x:c>
      <x:c r="E431" s="10" t="str">
        <x:v>шт</x:v>
      </x:c>
      <x:c r="F431" s="37" t="n">
        <x:f>MAX(0,ROUNDDOWN((AG431-AF431)/AR431+0.000000001,0)*AR431)</x:f>
        <x:v>10</x:v>
      </x:c>
      <x:c r="G431" s="21" t="str">
        <x:f>IF(J431="Рассчитано",V431*(1-R431/100)-W431-P431-Q431,"н/д")</x:f>
        <x:v>н/д</x:v>
      </x:c>
      <x:c r="H431" s="13" t="str">
        <x:v>Высокий</x:v>
      </x:c>
      <x:c r="I431" s="13" t="str">
        <x:v>Высокий</x:v>
      </x:c>
      <x:c r="J431" s="13" t="str">
        <x:f>IF(L431="","Укажите валюту",IF(NOT(ISNUMBER(K431)),"Укажите объём",IF(K431&lt;=0,"Укажите объём",IF(K431&gt;F431,"Объём выше излишка",IF(COUNT(M431:O431)&lt;3,"Нужны цены",IF(COUNT(P431:R431)&lt;3,"Нужны расходы",IF(OR(M431&lt;0,N431&lt;0,O431&lt;0,O431&gt;100,P431&lt;0,Q431&lt;0,R431&lt;0,R431&gt;100),"Проверьте значения","Рассчитано")))))))</x:f>
        <x:v>Нужны цены</x:v>
      </x:c>
      <x:c r="K431" s="36" t="n">
        <x:v>10</x:v>
      </x:c>
      <x:c r="L431" s="19" t="str">
        <x:v>KZT</x:v>
      </x:c>
      <x:c r="M431" s="22"/>
      <x:c r="N431" s="22"/>
      <x:c r="O431" s="28"/>
      <x:c r="P431" s="22"/>
      <x:c r="Q431" s="22"/>
      <x:c r="R431" s="28"/>
      <x:c r="S431" s="22"/>
      <x:c r="T431" s="37" t="n">
        <x:f>K431</x:f>
        <x:v>10</x:v>
      </x:c>
      <x:c r="U431" s="21" t="str">
        <x:f>IF(J431="Рассчитано",N431*(1-O431/100),"н/д")</x:f>
        <x:v>н/д</x:v>
      </x:c>
      <x:c r="V431" s="21" t="str">
        <x:f>IF(J431="Рассчитано",T431*U431,"н/д")</x:f>
        <x:v>н/д</x:v>
      </x:c>
      <x:c r="W431" s="21" t="str">
        <x:f>IF(J431="Рассчитано",T431*M431,"н/д")</x:f>
        <x:v>н/д</x:v>
      </x:c>
      <x:c r="X431" s="21" t="str">
        <x:f>IF(J431="Рассчитано",V431-W431,"н/д")</x:f>
        <x:v>н/д</x:v>
      </x:c>
      <x:c r="Y431" s="27" t="str">
        <x:f>IF(J431="Рассчитано",IF(V431&gt;0,G431/V431,"н/д"),"н/д")</x:f>
        <x:v>н/д</x:v>
      </x:c>
      <x:c r="Z431" s="21" t="str">
        <x:f>"н/д"</x:f>
        <x:v>н/д</x:v>
      </x:c>
      <x:c r="AA431" s="21" t="str">
        <x:f>"н/д"</x:f>
        <x:v>н/д</x:v>
      </x:c>
      <x:c r="AB431" s="21" t="str">
        <x:f>"н/д"</x:f>
        <x:v>н/д</x:v>
      </x:c>
      <x:c r="AC431" s="21" t="str">
        <x:f>IF(AND(J431="Рассчитано",T431&gt;0,R431&lt;100),(W431+P431+Q431)/(T431*(1-R431/100)),"н/д")</x:f>
        <x:v>н/д</x:v>
      </x:c>
      <x:c r="AD431" s="10" t="str">
        <x:f>IF(ISNUMBER(G431),IF(G431&lt;0,"Убыток",IF(G431=0,"Без прибыли","Прибыль &gt; 0")),"Не оценён")</x:f>
        <x:v>Не оценён</x:v>
      </x:c>
      <x:c r="AE431" s="13" t="str">
        <x:f>IF(J431="Рассчитано","Выручка "&amp;TEXT(V431,"0.00")&amp;" - себестоимость "&amp;TEXT(W431,"0.00")&amp;" - комиссия "&amp;TEXT(V431*R431/100,"0.00")&amp;" - доставка "&amp;TEXT(P431,"0.00")&amp;" - прочие "&amp;TEXT(Q431,"0.00")&amp;" = "&amp;TEXT(G431,"0.00")&amp;" "&amp;L431,"Введите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1" s="24" t="n">
        <x:v>0.26036143227004155</x:v>
      </x:c>
      <x:c r="AG431" s="37" t="n">
        <x:v>11</x:v>
      </x:c>
      <x:c r="AH431" s="37" t="n">
        <x:v>0</x:v>
      </x:c>
      <x:c r="AI431" s="30" t="n">
        <x:v>46266</x:v>
      </x:c>
      <x:c r="AJ431" s="37" t="n">
        <x:v>1</x:v>
      </x:c>
      <x:c r="AK431" s="10" t="str">
        <x:v>минимум</x:v>
      </x:c>
      <x:c r="AL431" s="32" t="n">
        <x:v>3592.816838175981</x:v>
      </x:c>
      <x:c r="AM43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31" s="13" t="str">
        <x:v>Проверить свободный остаток и установить цену для B2B</x:v>
      </x:c>
      <x:c r="AO431" s="13" t="str">
        <x:v>Остаток 11; прогноз 90 дней 0.26; избыток 10 шт. Будущие поступления не выставляются на продажу. Остаток на начало сентября: требуется актуализация.</x:v>
      </x:c>
      <x:c r="AP431" s="13" t="str">
        <x:v>["category_missing", "daily_stockout_data_missing", "new_order_lead_time_unknown", "reservations_unknown", "stale_stock"]</x:v>
      </x:c>
      <x:c r="AQ431" s="10" t="str">
        <x:v>IEK:030201112_</x:v>
      </x:c>
      <x:c r="AR431" s="24" t="n">
        <x:v>1</x:v>
      </x:c>
      <x:c r="AS431" s="24" t="n">
        <x:v>0</x:v>
      </x:c>
      <x:c r="AT431" s="24" t="n">
        <x:v>0</x:v>
      </x:c>
    </x:row>
    <x:row r="432" ht="64" customHeight="1">
      <x:c r="A432" s="11" t="str">
        <x:v>IEK</x:v>
      </x:c>
      <x:c r="B432" s="33" t="str">
        <x:v>030201113_</x:v>
      </x:c>
      <x:c r="C432" s="33" t="str">
        <x:v>BR-M22-M-21-K30</x:v>
      </x:c>
      <x:c r="D432" s="12" t="str">
        <x:v>Рамка 2-мест. "BRITE"  металл коричн. RE AL  IEK  (1/100)</x:v>
      </x:c>
      <x:c r="E432" s="11" t="str">
        <x:v>шт</x:v>
      </x:c>
      <x:c r="F432" s="35" t="n">
        <x:f>MAX(0,ROUNDDOWN((AG432-AF432)/AR432+0.000000001,0)*AR432)</x:f>
        <x:v>8</x:v>
      </x:c>
      <x:c r="G432" s="20" t="str">
        <x:f>IF(J432="Рассчитано",V432*(1-R432/100)-W432-P432-Q432,"н/д")</x:f>
        <x:v>н/д</x:v>
      </x:c>
      <x:c r="H432" s="12" t="str">
        <x:v>Высокий</x:v>
      </x:c>
      <x:c r="I432" s="12" t="str">
        <x:v>Высокий</x:v>
      </x:c>
      <x:c r="J432" s="12" t="str">
        <x:f>IF(L432="","Укажите валюту",IF(NOT(ISNUMBER(K432)),"Укажите объём",IF(K432&lt;=0,"Укажите объём",IF(K432&gt;F432,"Объём выше излишка",IF(COUNT(M432:O432)&lt;3,"Нужны цены",IF(COUNT(P432:R432)&lt;3,"Нужны расходы",IF(OR(M432&lt;0,N432&lt;0,O432&lt;0,O432&gt;100,P432&lt;0,Q432&lt;0,R432&lt;0,R432&gt;100),"Проверьте значения","Рассчитано")))))))</x:f>
        <x:v>Нужны цены</x:v>
      </x:c>
      <x:c r="K432" s="36" t="n">
        <x:v>8</x:v>
      </x:c>
      <x:c r="L432" s="19" t="str">
        <x:v>KZT</x:v>
      </x:c>
      <x:c r="M432" s="22"/>
      <x:c r="N432" s="22"/>
      <x:c r="O432" s="28"/>
      <x:c r="P432" s="22"/>
      <x:c r="Q432" s="22"/>
      <x:c r="R432" s="28"/>
      <x:c r="S432" s="22"/>
      <x:c r="T432" s="35" t="n">
        <x:f>K432</x:f>
        <x:v>8</x:v>
      </x:c>
      <x:c r="U432" s="20" t="str">
        <x:f>IF(J432="Рассчитано",N432*(1-O432/100),"н/д")</x:f>
        <x:v>н/д</x:v>
      </x:c>
      <x:c r="V432" s="20" t="str">
        <x:f>IF(J432="Рассчитано",T432*U432,"н/д")</x:f>
        <x:v>н/д</x:v>
      </x:c>
      <x:c r="W432" s="20" t="str">
        <x:f>IF(J432="Рассчитано",T432*M432,"н/д")</x:f>
        <x:v>н/д</x:v>
      </x:c>
      <x:c r="X432" s="20" t="str">
        <x:f>IF(J432="Рассчитано",V432-W432,"н/д")</x:f>
        <x:v>н/д</x:v>
      </x:c>
      <x:c r="Y432" s="26" t="str">
        <x:f>IF(J432="Рассчитано",IF(V432&gt;0,G432/V432,"н/д"),"н/д")</x:f>
        <x:v>н/д</x:v>
      </x:c>
      <x:c r="Z432" s="20" t="str">
        <x:f>"н/д"</x:f>
        <x:v>н/д</x:v>
      </x:c>
      <x:c r="AA432" s="20" t="str">
        <x:f>"н/д"</x:f>
        <x:v>н/д</x:v>
      </x:c>
      <x:c r="AB432" s="20" t="str">
        <x:f>"н/д"</x:f>
        <x:v>н/д</x:v>
      </x:c>
      <x:c r="AC432" s="20" t="str">
        <x:f>IF(AND(J432="Рассчитано",T432&gt;0,R432&lt;100),(W432+P432+Q432)/(T432*(1-R432/100)),"н/д")</x:f>
        <x:v>н/д</x:v>
      </x:c>
      <x:c r="AD432" s="11" t="str">
        <x:f>IF(ISNUMBER(G432),IF(G432&lt;0,"Убыток",IF(G432=0,"Без прибыли","Прибыль &gt; 0")),"Не оценён")</x:f>
        <x:v>Не оценён</x:v>
      </x:c>
      <x:c r="AE432" s="12" t="str">
        <x:f>IF(J432="Рассчитано","Выручка "&amp;TEXT(V432,"0.00")&amp;" - себестоимость "&amp;TEXT(W432,"0.00")&amp;" - комиссия "&amp;TEXT(V432*R432/100,"0.00")&amp;" - доставка "&amp;TEXT(P432,"0.00")&amp;" - прочие "&amp;TEXT(Q432,"0.00")&amp;" = "&amp;TEXT(G432,"0.00")&amp;" "&amp;L432,"Введите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2" s="23" t="n">
        <x:v>2.7380213463421637</x:v>
      </x:c>
      <x:c r="AG432" s="35" t="n">
        <x:v>11</x:v>
      </x:c>
      <x:c r="AH432" s="35" t="n">
        <x:v>0</x:v>
      </x:c>
      <x:c r="AI432" s="29" t="n">
        <x:v>46266</x:v>
      </x:c>
      <x:c r="AJ432" s="35" t="n">
        <x:v>1</x:v>
      </x:c>
      <x:c r="AK432" s="11" t="str">
        <x:v>минимум</x:v>
      </x:c>
      <x:c r="AL432" s="31" t="n">
        <x:v>341.6448666921834</x:v>
      </x:c>
      <x:c r="AM43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32" s="12" t="str">
        <x:v>Проверить свободный остаток и установить цену для B2B</x:v>
      </x:c>
      <x:c r="AO432" s="12" t="str">
        <x:v>Остаток 11; прогноз 90 дней 2.74; избыток 8 шт. Будущие поступления не выставляются на продажу. Остаток на начало сентября: требуется актуализация.</x:v>
      </x:c>
      <x:c r="AP432" s="12" t="str">
        <x:v>["category_missing", "daily_stockout_data_missing", "new_order_lead_time_unknown", "reservations_unknown", "stale_stock"]</x:v>
      </x:c>
      <x:c r="AQ432" s="11" t="str">
        <x:v>IEK:030201113_</x:v>
      </x:c>
      <x:c r="AR432" s="23" t="n">
        <x:v>1</x:v>
      </x:c>
      <x:c r="AS432" s="23" t="n">
        <x:v>0</x:v>
      </x:c>
      <x:c r="AT432" s="23" t="n">
        <x:v>0</x:v>
      </x:c>
    </x:row>
    <x:row r="433" ht="64" customHeight="1">
      <x:c r="A433" s="10" t="str">
        <x:v>IEK</x:v>
      </x:c>
      <x:c r="B433" s="34" t="str">
        <x:v>030201114_</x:v>
      </x:c>
      <x:c r="C433" s="34" t="str">
        <x:v>BR-M22-M-21-K37</x:v>
      </x:c>
      <x:c r="D433" s="13" t="str">
        <x:v>Рамка 2-мест. "BRITE"  металл шамп. RE AL  IEK  (1/100)</x:v>
      </x:c>
      <x:c r="E433" s="10" t="str">
        <x:v>шт</x:v>
      </x:c>
      <x:c r="F433" s="37" t="n">
        <x:f>MAX(0,ROUNDDOWN((AG433-AF433)/AR433+0.000000001,0)*AR433)</x:f>
        <x:v>28</x:v>
      </x:c>
      <x:c r="G433" s="21" t="str">
        <x:f>IF(J433="Рассчитано",V433*(1-R433/100)-W433-P433-Q433,"н/д")</x:f>
        <x:v>н/д</x:v>
      </x:c>
      <x:c r="H433" s="13" t="str">
        <x:v>Высокий</x:v>
      </x:c>
      <x:c r="I433" s="13" t="str">
        <x:v>Высокий</x:v>
      </x:c>
      <x:c r="J433" s="13" t="str">
        <x:f>IF(L433="","Укажите валюту",IF(NOT(ISNUMBER(K433)),"Укажите объём",IF(K433&lt;=0,"Укажите объём",IF(K433&gt;F433,"Объём выше излишка",IF(COUNT(M433:O433)&lt;3,"Нужны цены",IF(COUNT(P433:R433)&lt;3,"Нужны расходы",IF(OR(M433&lt;0,N433&lt;0,O433&lt;0,O433&gt;100,P433&lt;0,Q433&lt;0,R433&lt;0,R433&gt;100),"Проверьте значения","Рассчитано")))))))</x:f>
        <x:v>Нужны цены</x:v>
      </x:c>
      <x:c r="K433" s="36" t="n">
        <x:v>28</x:v>
      </x:c>
      <x:c r="L433" s="19" t="str">
        <x:v>KZT</x:v>
      </x:c>
      <x:c r="M433" s="22"/>
      <x:c r="N433" s="22"/>
      <x:c r="O433" s="28"/>
      <x:c r="P433" s="22"/>
      <x:c r="Q433" s="22"/>
      <x:c r="R433" s="28"/>
      <x:c r="S433" s="22"/>
      <x:c r="T433" s="37" t="n">
        <x:f>K433</x:f>
        <x:v>28</x:v>
      </x:c>
      <x:c r="U433" s="21" t="str">
        <x:f>IF(J433="Рассчитано",N433*(1-O433/100),"н/д")</x:f>
        <x:v>н/д</x:v>
      </x:c>
      <x:c r="V433" s="21" t="str">
        <x:f>IF(J433="Рассчитано",T433*U433,"н/д")</x:f>
        <x:v>н/д</x:v>
      </x:c>
      <x:c r="W433" s="21" t="str">
        <x:f>IF(J433="Рассчитано",T433*M433,"н/д")</x:f>
        <x:v>н/д</x:v>
      </x:c>
      <x:c r="X433" s="21" t="str">
        <x:f>IF(J433="Рассчитано",V433-W433,"н/д")</x:f>
        <x:v>н/д</x:v>
      </x:c>
      <x:c r="Y433" s="27" t="str">
        <x:f>IF(J433="Рассчитано",IF(V433&gt;0,G433/V433,"н/д"),"н/д")</x:f>
        <x:v>н/д</x:v>
      </x:c>
      <x:c r="Z433" s="21" t="str">
        <x:f>"н/д"</x:f>
        <x:v>н/д</x:v>
      </x:c>
      <x:c r="AA433" s="21" t="str">
        <x:f>"н/д"</x:f>
        <x:v>н/д</x:v>
      </x:c>
      <x:c r="AB433" s="21" t="str">
        <x:f>"н/д"</x:f>
        <x:v>н/д</x:v>
      </x:c>
      <x:c r="AC433" s="21" t="str">
        <x:f>IF(AND(J433="Рассчитано",T433&gt;0,R433&lt;100),(W433+P433+Q433)/(T433*(1-R433/100)),"н/д")</x:f>
        <x:v>н/д</x:v>
      </x:c>
      <x:c r="AD433" s="10" t="str">
        <x:f>IF(ISNUMBER(G433),IF(G433&lt;0,"Убыток",IF(G433=0,"Без прибыли","Прибыль &gt; 0")),"Не оценён")</x:f>
        <x:v>Не оценён</x:v>
      </x:c>
      <x:c r="AE433" s="13" t="str">
        <x:f>IF(J433="Рассчитано","Выручка "&amp;TEXT(V433,"0.00")&amp;" - себестоимость "&amp;TEXT(W433,"0.00")&amp;" - комиссия "&amp;TEXT(V433*R433/100,"0.00")&amp;" - доставка "&amp;TEXT(P433,"0.00")&amp;" - прочие "&amp;TEXT(Q433,"0.00")&amp;" = "&amp;TEXT(G433,"0.00")&amp;" "&amp;L433,"Введите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3" s="24" t="n">
        <x:v>1.7451496518469052</x:v>
      </x:c>
      <x:c r="AG433" s="37" t="n">
        <x:v>30</x:v>
      </x:c>
      <x:c r="AH433" s="37" t="n">
        <x:v>0</x:v>
      </x:c>
      <x:c r="AI433" s="30" t="n">
        <x:v>46266</x:v>
      </x:c>
      <x:c r="AJ433" s="37" t="n">
        <x:v>1</x:v>
      </x:c>
      <x:c r="AK433" s="10" t="str">
        <x:v>минимум</x:v>
      </x:c>
      <x:c r="AL433" s="32" t="n">
        <x:v>1461.866197207754</x:v>
      </x:c>
      <x:c r="AM43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33" s="13" t="str">
        <x:v>Проверить свободный остаток и установить цену для B2B</x:v>
      </x:c>
      <x:c r="AO433" s="13" t="str">
        <x:v>Остаток 30; прогноз 90 дней 1.75; избыток 28 шт. Будущие поступления не выставляются на продажу. Остаток на начало сентября: требуется актуализация.</x:v>
      </x:c>
      <x:c r="AP433" s="13" t="str">
        <x:v>["category_missing", "daily_stockout_data_missing", "new_order_lead_time_unknown", "reservations_unknown", "stale_stock"]</x:v>
      </x:c>
      <x:c r="AQ433" s="10" t="str">
        <x:v>IEK:030201114_</x:v>
      </x:c>
      <x:c r="AR433" s="24" t="n">
        <x:v>1</x:v>
      </x:c>
      <x:c r="AS433" s="24" t="n">
        <x:v>0</x:v>
      </x:c>
      <x:c r="AT433" s="24" t="n">
        <x:v>0</x:v>
      </x:c>
    </x:row>
    <x:row r="434" ht="64" customHeight="1">
      <x:c r="A434" s="11" t="str">
        <x:v>IEK</x:v>
      </x:c>
      <x:c r="B434" s="33" t="str">
        <x:v>030201116_</x:v>
      </x:c>
      <x:c r="C434" s="33" t="str">
        <x:v>BR-M32-G-31-K01</x:v>
      </x:c>
      <x:c r="D434" s="12" t="str">
        <x:v>Рамка 3-мест. "BRITE"  стекло бел. матовый  IEK  (1/50)</x:v>
      </x:c>
      <x:c r="E434" s="11" t="str">
        <x:v>шт</x:v>
      </x:c>
      <x:c r="F434" s="35" t="n">
        <x:f>MAX(0,ROUNDDOWN((AG434-AF434)/AR434+0.000000001,0)*AR434)</x:f>
        <x:v>9</x:v>
      </x:c>
      <x:c r="G434" s="20" t="str">
        <x:f>IF(J434="Рассчитано",V434*(1-R434/100)-W434-P434-Q434,"н/д")</x:f>
        <x:v>н/д</x:v>
      </x:c>
      <x:c r="H434" s="12" t="str">
        <x:v>Высокий</x:v>
      </x:c>
      <x:c r="I434" s="12" t="str">
        <x:v>Высокий</x:v>
      </x:c>
      <x:c r="J434" s="12" t="str">
        <x:f>IF(L434="","Укажите валюту",IF(NOT(ISNUMBER(K434)),"Укажите объём",IF(K434&lt;=0,"Укажите объём",IF(K434&gt;F434,"Объём выше излишка",IF(COUNT(M434:O434)&lt;3,"Нужны цены",IF(COUNT(P434:R434)&lt;3,"Нужны расходы",IF(OR(M434&lt;0,N434&lt;0,O434&lt;0,O434&gt;100,P434&lt;0,Q434&lt;0,R434&lt;0,R434&gt;100),"Проверьте значения","Рассчитано")))))))</x:f>
        <x:v>Нужны цены</x:v>
      </x:c>
      <x:c r="K434" s="36" t="n">
        <x:v>9</x:v>
      </x:c>
      <x:c r="L434" s="19" t="str">
        <x:v>KZT</x:v>
      </x:c>
      <x:c r="M434" s="22"/>
      <x:c r="N434" s="22"/>
      <x:c r="O434" s="28"/>
      <x:c r="P434" s="22"/>
      <x:c r="Q434" s="22"/>
      <x:c r="R434" s="28"/>
      <x:c r="S434" s="22"/>
      <x:c r="T434" s="35" t="n">
        <x:f>K434</x:f>
        <x:v>9</x:v>
      </x:c>
      <x:c r="U434" s="20" t="str">
        <x:f>IF(J434="Рассчитано",N434*(1-O434/100),"н/д")</x:f>
        <x:v>н/д</x:v>
      </x:c>
      <x:c r="V434" s="20" t="str">
        <x:f>IF(J434="Рассчитано",T434*U434,"н/д")</x:f>
        <x:v>н/д</x:v>
      </x:c>
      <x:c r="W434" s="20" t="str">
        <x:f>IF(J434="Рассчитано",T434*M434,"н/д")</x:f>
        <x:v>н/д</x:v>
      </x:c>
      <x:c r="X434" s="20" t="str">
        <x:f>IF(J434="Рассчитано",V434-W434,"н/д")</x:f>
        <x:v>н/д</x:v>
      </x:c>
      <x:c r="Y434" s="26" t="str">
        <x:f>IF(J434="Рассчитано",IF(V434&gt;0,G434/V434,"н/д"),"н/д")</x:f>
        <x:v>н/д</x:v>
      </x:c>
      <x:c r="Z434" s="20" t="str">
        <x:f>"н/д"</x:f>
        <x:v>н/д</x:v>
      </x:c>
      <x:c r="AA434" s="20" t="str">
        <x:f>"н/д"</x:f>
        <x:v>н/д</x:v>
      </x:c>
      <x:c r="AB434" s="20" t="str">
        <x:f>"н/д"</x:f>
        <x:v>н/д</x:v>
      </x:c>
      <x:c r="AC434" s="20" t="str">
        <x:f>IF(AND(J434="Рассчитано",T434&gt;0,R434&lt;100),(W434+P434+Q434)/(T434*(1-R434/100)),"н/д")</x:f>
        <x:v>н/д</x:v>
      </x:c>
      <x:c r="AD434" s="11" t="str">
        <x:f>IF(ISNUMBER(G434),IF(G434&lt;0,"Убыток",IF(G434=0,"Без прибыли","Прибыль &gt; 0")),"Не оценён")</x:f>
        <x:v>Не оценён</x:v>
      </x:c>
      <x:c r="AE434" s="12" t="str">
        <x:f>IF(J434="Рассчитано","Выручка "&amp;TEXT(V434,"0.00")&amp;" - себестоимость "&amp;TEXT(W434,"0.00")&amp;" - комиссия "&amp;TEXT(V434*R434/100,"0.00")&amp;" - доставка "&amp;TEXT(P434,"0.00")&amp;" - прочие "&amp;TEXT(Q434,"0.00")&amp;" = "&amp;TEXT(G434,"0.00")&amp;" "&amp;L434,"Введите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4" s="23" t="n">
        <x:v>0.24209818562967375</x:v>
      </x:c>
      <x:c r="AG434" s="35" t="n">
        <x:v>10</x:v>
      </x:c>
      <x:c r="AH434" s="35" t="n">
        <x:v>0</x:v>
      </x:c>
      <x:c r="AI434" s="29" t="n">
        <x:v>46266</x:v>
      </x:c>
      <x:c r="AJ434" s="35" t="n">
        <x:v>1</x:v>
      </x:c>
      <x:c r="AK434" s="11" t="str">
        <x:v>минимум</x:v>
      </x:c>
      <x:c r="AL434" s="31" t="n">
        <x:v>3512.590395873914</x:v>
      </x:c>
      <x:c r="AM43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34" s="12" t="str">
        <x:v>Проверить свободный остаток и установить цену для B2B</x:v>
      </x:c>
      <x:c r="AO434" s="12" t="str">
        <x:v>Остаток 10; прогноз 90 дней 0.24; избыток 9 шт. Будущие поступления не выставляются на продажу. Остаток на начало сентября: требуется актуализация.</x:v>
      </x:c>
      <x:c r="AP434" s="12" t="str">
        <x:v>["category_missing", "daily_stockout_data_missing", "new_order_lead_time_unknown", "reservations_unknown", "stale_stock"]</x:v>
      </x:c>
      <x:c r="AQ434" s="11" t="str">
        <x:v>IEK:030201116_</x:v>
      </x:c>
      <x:c r="AR434" s="23" t="n">
        <x:v>1</x:v>
      </x:c>
      <x:c r="AS434" s="23" t="n">
        <x:v>0</x:v>
      </x:c>
      <x:c r="AT434" s="23" t="n">
        <x:v>0</x:v>
      </x:c>
    </x:row>
    <x:row r="435" ht="64" customHeight="1">
      <x:c r="A435" s="10" t="str">
        <x:v>IEK</x:v>
      </x:c>
      <x:c r="B435" s="34" t="str">
        <x:v>030201117_</x:v>
      </x:c>
      <x:c r="C435" s="34" t="str">
        <x:v>BR-M32-G-31-K02</x:v>
      </x:c>
      <x:c r="D435" s="13" t="str">
        <x:v>Рамка 3-мест. "BRITE"  стекло черн. матовый  IEK  (1/50)</x:v>
      </x:c>
      <x:c r="E435" s="10" t="str">
        <x:v>шт</x:v>
      </x:c>
      <x:c r="F435" s="37" t="n">
        <x:f>MAX(0,ROUNDDOWN((AG435-AF435)/AR435+0.000000001,0)*AR435)</x:f>
        <x:v>12</x:v>
      </x:c>
      <x:c r="G435" s="21" t="str">
        <x:f>IF(J435="Рассчитано",V435*(1-R435/100)-W435-P435-Q435,"н/д")</x:f>
        <x:v>н/д</x:v>
      </x:c>
      <x:c r="H435" s="13" t="str">
        <x:v>Высокий</x:v>
      </x:c>
      <x:c r="I435" s="13" t="str">
        <x:v>Высокий</x:v>
      </x:c>
      <x:c r="J435" s="13" t="str">
        <x:f>IF(L435="","Укажите валюту",IF(NOT(ISNUMBER(K435)),"Укажите объём",IF(K435&lt;=0,"Укажите объём",IF(K435&gt;F435,"Объём выше излишка",IF(COUNT(M435:O435)&lt;3,"Нужны цены",IF(COUNT(P435:R435)&lt;3,"Нужны расходы",IF(OR(M435&lt;0,N435&lt;0,O435&lt;0,O435&gt;100,P435&lt;0,Q435&lt;0,R435&lt;0,R435&gt;100),"Проверьте значения","Рассчитано")))))))</x:f>
        <x:v>Нужны цены</x:v>
      </x:c>
      <x:c r="K435" s="36" t="n">
        <x:v>12</x:v>
      </x:c>
      <x:c r="L435" s="19" t="str">
        <x:v>KZT</x:v>
      </x:c>
      <x:c r="M435" s="22"/>
      <x:c r="N435" s="22"/>
      <x:c r="O435" s="28"/>
      <x:c r="P435" s="22"/>
      <x:c r="Q435" s="22"/>
      <x:c r="R435" s="28"/>
      <x:c r="S435" s="22"/>
      <x:c r="T435" s="37" t="n">
        <x:f>K435</x:f>
        <x:v>12</x:v>
      </x:c>
      <x:c r="U435" s="21" t="str">
        <x:f>IF(J435="Рассчитано",N435*(1-O435/100),"н/д")</x:f>
        <x:v>н/д</x:v>
      </x:c>
      <x:c r="V435" s="21" t="str">
        <x:f>IF(J435="Рассчитано",T435*U435,"н/д")</x:f>
        <x:v>н/д</x:v>
      </x:c>
      <x:c r="W435" s="21" t="str">
        <x:f>IF(J435="Рассчитано",T435*M435,"н/д")</x:f>
        <x:v>н/д</x:v>
      </x:c>
      <x:c r="X435" s="21" t="str">
        <x:f>IF(J435="Рассчитано",V435-W435,"н/д")</x:f>
        <x:v>н/д</x:v>
      </x:c>
      <x:c r="Y435" s="27" t="str">
        <x:f>IF(J435="Рассчитано",IF(V435&gt;0,G435/V435,"н/д"),"н/д")</x:f>
        <x:v>н/д</x:v>
      </x:c>
      <x:c r="Z435" s="21" t="str">
        <x:f>"н/д"</x:f>
        <x:v>н/д</x:v>
      </x:c>
      <x:c r="AA435" s="21" t="str">
        <x:f>"н/д"</x:f>
        <x:v>н/д</x:v>
      </x:c>
      <x:c r="AB435" s="21" t="str">
        <x:f>"н/д"</x:f>
        <x:v>н/д</x:v>
      </x:c>
      <x:c r="AC435" s="21" t="str">
        <x:f>IF(AND(J435="Рассчитано",T435&gt;0,R435&lt;100),(W435+P435+Q435)/(T435*(1-R435/100)),"н/д")</x:f>
        <x:v>н/д</x:v>
      </x:c>
      <x:c r="AD435" s="10" t="str">
        <x:f>IF(ISNUMBER(G435),IF(G435&lt;0,"Убыток",IF(G435=0,"Без прибыли","Прибыль &gt; 0")),"Не оценён")</x:f>
        <x:v>Не оценён</x:v>
      </x:c>
      <x:c r="AE435" s="13" t="str">
        <x:f>IF(J435="Рассчитано","Выручка "&amp;TEXT(V435,"0.00")&amp;" - себестоимость "&amp;TEXT(W435,"0.00")&amp;" - комиссия "&amp;TEXT(V435*R435/100,"0.00")&amp;" - доставка "&amp;TEXT(P435,"0.00")&amp;" - прочие "&amp;TEXT(Q435,"0.00")&amp;" = "&amp;TEXT(G435,"0.00")&amp;" "&amp;L435,"Введите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5" s="24" t="n">
        <x:v>0</x:v>
      </x:c>
      <x:c r="AG435" s="37" t="n">
        <x:v>12</x:v>
      </x:c>
      <x:c r="AH435" s="37" t="n">
        <x:v>0</x:v>
      </x:c>
      <x:c r="AI435" s="30" t="n">
        <x:v>46266</x:v>
      </x:c>
      <x:c r="AJ435" s="37" t="n">
        <x:v>1</x:v>
      </x:c>
      <x:c r="AK435" s="10" t="str">
        <x:v>минимум</x:v>
      </x:c>
      <x:c r="AL435" s="32" t="str">
        <x:v>н/д</x:v>
      </x:c>
      <x:c r="AM43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35" s="13" t="str">
        <x:v>Проверить свободный остаток и установить цену для B2B</x:v>
      </x:c>
      <x:c r="AO435" s="13" t="str">
        <x:v>Остаток 12; прогноз 90 дней 0.00; избыток 12 шт. Будущие поступления не выставляются на продажу. Остаток на начало сентября: требуется актуализация.</x:v>
      </x:c>
      <x:c r="AP435" s="13" t="str">
        <x:v>["category_missing", "daily_stockout_data_missing", "new_order_lead_time_unknown", "reservations_unknown", "stale_stock"]</x:v>
      </x:c>
      <x:c r="AQ435" s="10" t="str">
        <x:v>IEK:030201117_</x:v>
      </x:c>
      <x:c r="AR435" s="24" t="n">
        <x:v>1</x:v>
      </x:c>
      <x:c r="AS435" s="24" t="n">
        <x:v>0</x:v>
      </x:c>
      <x:c r="AT435" s="24" t="n">
        <x:v>0</x:v>
      </x:c>
    </x:row>
    <x:row r="436" ht="64" customHeight="1">
      <x:c r="A436" s="11" t="str">
        <x:v>IEK</x:v>
      </x:c>
      <x:c r="B436" s="33" t="str">
        <x:v>030201118_</x:v>
      </x:c>
      <x:c r="C436" s="33" t="str">
        <x:v>BR-M32-G-31-K35</x:v>
      </x:c>
      <x:c r="D436" s="12" t="str">
        <x:v>Рамка 3-мест. "BRITE"  стекло маренго матовый  IEK  (1/50)</x:v>
      </x:c>
      <x:c r="E436" s="11" t="str">
        <x:v>шт</x:v>
      </x:c>
      <x:c r="F436" s="35" t="n">
        <x:f>MAX(0,ROUNDDOWN((AG436-AF436)/AR436+0.000000001,0)*AR436)</x:f>
        <x:v>9</x:v>
      </x:c>
      <x:c r="G436" s="20" t="str">
        <x:f>IF(J436="Рассчитано",V436*(1-R436/100)-W436-P436-Q436,"н/д")</x:f>
        <x:v>н/д</x:v>
      </x:c>
      <x:c r="H436" s="12" t="str">
        <x:v>Высокий</x:v>
      </x:c>
      <x:c r="I436" s="12" t="str">
        <x:v>Высокий</x:v>
      </x:c>
      <x:c r="J436" s="12" t="str">
        <x:f>IF(L436="","Укажите валюту",IF(NOT(ISNUMBER(K436)),"Укажите объём",IF(K436&lt;=0,"Укажите объём",IF(K436&gt;F436,"Объём выше излишка",IF(COUNT(M436:O436)&lt;3,"Нужны цены",IF(COUNT(P436:R436)&lt;3,"Нужны расходы",IF(OR(M436&lt;0,N436&lt;0,O436&lt;0,O436&gt;100,P436&lt;0,Q436&lt;0,R436&lt;0,R436&gt;100),"Проверьте значения","Рассчитано")))))))</x:f>
        <x:v>Нужны цены</x:v>
      </x:c>
      <x:c r="K436" s="36" t="n">
        <x:v>9</x:v>
      </x:c>
      <x:c r="L436" s="19" t="str">
        <x:v>KZT</x:v>
      </x:c>
      <x:c r="M436" s="22"/>
      <x:c r="N436" s="22"/>
      <x:c r="O436" s="28"/>
      <x:c r="P436" s="22"/>
      <x:c r="Q436" s="22"/>
      <x:c r="R436" s="28"/>
      <x:c r="S436" s="22"/>
      <x:c r="T436" s="35" t="n">
        <x:f>K436</x:f>
        <x:v>9</x:v>
      </x:c>
      <x:c r="U436" s="20" t="str">
        <x:f>IF(J436="Рассчитано",N436*(1-O436/100),"н/д")</x:f>
        <x:v>н/д</x:v>
      </x:c>
      <x:c r="V436" s="20" t="str">
        <x:f>IF(J436="Рассчитано",T436*U436,"н/д")</x:f>
        <x:v>н/д</x:v>
      </x:c>
      <x:c r="W436" s="20" t="str">
        <x:f>IF(J436="Рассчитано",T436*M436,"н/д")</x:f>
        <x:v>н/д</x:v>
      </x:c>
      <x:c r="X436" s="20" t="str">
        <x:f>IF(J436="Рассчитано",V436-W436,"н/д")</x:f>
        <x:v>н/д</x:v>
      </x:c>
      <x:c r="Y436" s="26" t="str">
        <x:f>IF(J436="Рассчитано",IF(V436&gt;0,G436/V436,"н/д"),"н/д")</x:f>
        <x:v>н/д</x:v>
      </x:c>
      <x:c r="Z436" s="20" t="str">
        <x:f>"н/д"</x:f>
        <x:v>н/д</x:v>
      </x:c>
      <x:c r="AA436" s="20" t="str">
        <x:f>"н/д"</x:f>
        <x:v>н/д</x:v>
      </x:c>
      <x:c r="AB436" s="20" t="str">
        <x:f>"н/д"</x:f>
        <x:v>н/д</x:v>
      </x:c>
      <x:c r="AC436" s="20" t="str">
        <x:f>IF(AND(J436="Рассчитано",T436&gt;0,R436&lt;100),(W436+P436+Q436)/(T436*(1-R436/100)),"н/д")</x:f>
        <x:v>н/д</x:v>
      </x:c>
      <x:c r="AD436" s="11" t="str">
        <x:f>IF(ISNUMBER(G436),IF(G436&lt;0,"Убыток",IF(G436=0,"Без прибыли","Прибыль &gt; 0")),"Не оценён")</x:f>
        <x:v>Не оценён</x:v>
      </x:c>
      <x:c r="AE436" s="12" t="str">
        <x:f>IF(J436="Рассчитано","Выручка "&amp;TEXT(V436,"0.00")&amp;" - себестоимость "&amp;TEXT(W436,"0.00")&amp;" - комиссия "&amp;TEXT(V436*R436/100,"0.00")&amp;" - доставка "&amp;TEXT(P436,"0.00")&amp;" - прочие "&amp;TEXT(Q436,"0.00")&amp;" = "&amp;TEXT(G436,"0.00")&amp;" "&amp;L436,"Введите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6" s="23" t="n">
        <x:v>2.0535160097566165</x:v>
      </x:c>
      <x:c r="AG436" s="35" t="n">
        <x:v>12</x:v>
      </x:c>
      <x:c r="AH436" s="35" t="n">
        <x:v>0</x:v>
      </x:c>
      <x:c r="AI436" s="29" t="n">
        <x:v>46266</x:v>
      </x:c>
      <x:c r="AJ436" s="35" t="n">
        <x:v>1</x:v>
      </x:c>
      <x:c r="AK436" s="11" t="str">
        <x:v>минимум</x:v>
      </x:c>
      <x:c r="AL436" s="31" t="n">
        <x:v>496.9379879159035</x:v>
      </x:c>
      <x:c r="AM43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36" s="12" t="str">
        <x:v>Проверить свободный остаток и установить цену для B2B</x:v>
      </x:c>
      <x:c r="AO436" s="12" t="str">
        <x:v>Остаток 12; прогноз 90 дней 2.05; избыток 9 шт. Будущие поступления не выставляются на продажу. Остаток на начало сентября: требуется актуализация.</x:v>
      </x:c>
      <x:c r="AP436" s="12" t="str">
        <x:v>["category_missing", "daily_stockout_data_missing", "new_order_lead_time_unknown", "reservations_unknown", "stale_stock"]</x:v>
      </x:c>
      <x:c r="AQ436" s="11" t="str">
        <x:v>IEK:030201118_</x:v>
      </x:c>
      <x:c r="AR436" s="23" t="n">
        <x:v>1</x:v>
      </x:c>
      <x:c r="AS436" s="23" t="n">
        <x:v>0</x:v>
      </x:c>
      <x:c r="AT436" s="23" t="n">
        <x:v>0</x:v>
      </x:c>
    </x:row>
    <x:row r="437" ht="64" customHeight="1">
      <x:c r="A437" s="10" t="str">
        <x:v>IEK</x:v>
      </x:c>
      <x:c r="B437" s="34" t="str">
        <x:v>030201119_</x:v>
      </x:c>
      <x:c r="C437" s="34" t="str">
        <x:v>BR-M32-G-41-K01</x:v>
      </x:c>
      <x:c r="D437" s="13" t="str">
        <x:v>Рамка 3-мест. "BRITE"  стекло бел. RE  IEK  (1/50)</x:v>
      </x:c>
      <x:c r="E437" s="10" t="str">
        <x:v>шт</x:v>
      </x:c>
      <x:c r="F437" s="37" t="n">
        <x:f>MAX(0,ROUNDDOWN((AG437-AF437)/AR437+0.000000001,0)*AR437)</x:f>
        <x:v>1</x:v>
      </x:c>
      <x:c r="G437" s="21" t="str">
        <x:f>IF(J437="Рассчитано",V437*(1-R437/100)-W437-P437-Q437,"н/д")</x:f>
        <x:v>н/д</x:v>
      </x:c>
      <x:c r="H437" s="13" t="str">
        <x:v>Высокий</x:v>
      </x:c>
      <x:c r="I437" s="13" t="str">
        <x:v>Средний</x:v>
      </x:c>
      <x:c r="J437" s="13" t="str">
        <x:f>IF(L437="","Укажите валюту",IF(NOT(ISNUMBER(K437)),"Укажите объём",IF(K437&lt;=0,"Укажите объём",IF(K437&gt;F437,"Объём выше излишка",IF(COUNT(M437:O437)&lt;3,"Нужны цены",IF(COUNT(P437:R437)&lt;3,"Нужны расходы",IF(OR(M437&lt;0,N437&lt;0,O437&lt;0,O437&gt;100,P437&lt;0,Q437&lt;0,R437&lt;0,R437&gt;100),"Проверьте значения","Рассчитано")))))))</x:f>
        <x:v>Нужны цены</x:v>
      </x:c>
      <x:c r="K437" s="36" t="n">
        <x:v>1</x:v>
      </x:c>
      <x:c r="L437" s="19" t="str">
        <x:v>KZT</x:v>
      </x:c>
      <x:c r="M437" s="22"/>
      <x:c r="N437" s="22"/>
      <x:c r="O437" s="28"/>
      <x:c r="P437" s="22"/>
      <x:c r="Q437" s="22"/>
      <x:c r="R437" s="28"/>
      <x:c r="S437" s="22"/>
      <x:c r="T437" s="37" t="n">
        <x:f>K437</x:f>
        <x:v>1</x:v>
      </x:c>
      <x:c r="U437" s="21" t="str">
        <x:f>IF(J437="Рассчитано",N437*(1-O437/100),"н/д")</x:f>
        <x:v>н/д</x:v>
      </x:c>
      <x:c r="V437" s="21" t="str">
        <x:f>IF(J437="Рассчитано",T437*U437,"н/д")</x:f>
        <x:v>н/д</x:v>
      </x:c>
      <x:c r="W437" s="21" t="str">
        <x:f>IF(J437="Рассчитано",T437*M437,"н/д")</x:f>
        <x:v>н/д</x:v>
      </x:c>
      <x:c r="X437" s="21" t="str">
        <x:f>IF(J437="Рассчитано",V437-W437,"н/д")</x:f>
        <x:v>н/д</x:v>
      </x:c>
      <x:c r="Y437" s="27" t="str">
        <x:f>IF(J437="Рассчитано",IF(V437&gt;0,G437/V437,"н/д"),"н/д")</x:f>
        <x:v>н/д</x:v>
      </x:c>
      <x:c r="Z437" s="21" t="str">
        <x:f>"н/д"</x:f>
        <x:v>н/д</x:v>
      </x:c>
      <x:c r="AA437" s="21" t="str">
        <x:f>"н/д"</x:f>
        <x:v>н/д</x:v>
      </x:c>
      <x:c r="AB437" s="21" t="str">
        <x:f>"н/д"</x:f>
        <x:v>н/д</x:v>
      </x:c>
      <x:c r="AC437" s="21" t="str">
        <x:f>IF(AND(J437="Рассчитано",T437&gt;0,R437&lt;100),(W437+P437+Q437)/(T437*(1-R437/100)),"н/д")</x:f>
        <x:v>н/д</x:v>
      </x:c>
      <x:c r="AD437" s="10" t="str">
        <x:f>IF(ISNUMBER(G437),IF(G437&lt;0,"Убыток",IF(G437=0,"Без прибыли","Прибыль &gt; 0")),"Не оценён")</x:f>
        <x:v>Не оценён</x:v>
      </x:c>
      <x:c r="AE437" s="13" t="str">
        <x:f>IF(J437="Рассчитано","Выручка "&amp;TEXT(V437,"0.00")&amp;" - себестоимость "&amp;TEXT(W437,"0.00")&amp;" - комиссия "&amp;TEXT(V437*R437/100,"0.00")&amp;" - доставка "&amp;TEXT(P437,"0.00")&amp;" - прочие "&amp;TEXT(Q437,"0.00")&amp;" = "&amp;TEXT(G437,"0.00")&amp;" "&amp;L437,"Введите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7" s="24" t="n">
        <x:v>8.449849034192598</x:v>
      </x:c>
      <x:c r="AG437" s="37" t="n">
        <x:v>10</x:v>
      </x:c>
      <x:c r="AH437" s="37" t="n">
        <x:v>0</x:v>
      </x:c>
      <x:c r="AI437" s="30" t="n">
        <x:v>46266</x:v>
      </x:c>
      <x:c r="AJ437" s="37" t="n">
        <x:v>1</x:v>
      </x:c>
      <x:c r="AK437" s="10" t="str">
        <x:v>минимум</x:v>
      </x:c>
      <x:c r="AL437" s="32" t="n">
        <x:v>100.63987631733437</x:v>
      </x:c>
      <x:c r="AM437" s="13" t="str">
        <x:v>Остаток на начало сентября; Резервы неизвестны; Нет ежедневных данных доступности. Запас выше прогноза на 90 дней</x:v>
      </x:c>
      <x:c r="AN437" s="13" t="str">
        <x:v>Проверить свободный остаток и установить цену для B2B</x:v>
      </x:c>
      <x:c r="AO437" s="13" t="str">
        <x:v>Остаток 10; прогноз 90 дней 8.45; избыток 1 шт. Будущие поступления не выставляются на продажу. Остаток на начало сентября: требуется актуализация.</x:v>
      </x:c>
      <x:c r="AP437" s="13" t="str">
        <x:v>["category_missing", "daily_stockout_data_missing", "new_order_lead_time_unknown", "reservations_unknown", "stale_stock"]</x:v>
      </x:c>
      <x:c r="AQ437" s="10" t="str">
        <x:v>IEK:030201119_</x:v>
      </x:c>
      <x:c r="AR437" s="24" t="n">
        <x:v>1</x:v>
      </x:c>
      <x:c r="AS437" s="24" t="n">
        <x:v>0</x:v>
      </x:c>
      <x:c r="AT437" s="24" t="n">
        <x:v>0</x:v>
      </x:c>
    </x:row>
    <x:row r="438" ht="64" customHeight="1">
      <x:c r="A438" s="11" t="str">
        <x:v>IEK</x:v>
      </x:c>
      <x:c r="B438" s="33" t="str">
        <x:v>030201120_</x:v>
      </x:c>
      <x:c r="C438" s="33" t="str">
        <x:v>BR-M32-G-41-K02</x:v>
      </x:c>
      <x:c r="D438" s="12" t="str">
        <x:v>Рамка 3-мест. "BRITE"  стекло черн. RE  IEK  (1/50)</x:v>
      </x:c>
      <x:c r="E438" s="11" t="str">
        <x:v>шт</x:v>
      </x:c>
      <x:c r="F438" s="35" t="n">
        <x:f>MAX(0,ROUNDDOWN((AG438-AF438)/AR438+0.000000001,0)*AR438)</x:f>
        <x:v>5</x:v>
      </x:c>
      <x:c r="G438" s="20" t="str">
        <x:f>IF(J438="Рассчитано",V438*(1-R438/100)-W438-P438-Q438,"н/д")</x:f>
        <x:v>н/д</x:v>
      </x:c>
      <x:c r="H438" s="12" t="str">
        <x:v>Высокий</x:v>
      </x:c>
      <x:c r="I438" s="12" t="str">
        <x:v>Высокий</x:v>
      </x:c>
      <x:c r="J438" s="12" t="str">
        <x:f>IF(L438="","Укажите валюту",IF(NOT(ISNUMBER(K438)),"Укажите объём",IF(K438&lt;=0,"Укажите объём",IF(K438&gt;F438,"Объём выше излишка",IF(COUNT(M438:O438)&lt;3,"Нужны цены",IF(COUNT(P438:R438)&lt;3,"Нужны расходы",IF(OR(M438&lt;0,N438&lt;0,O438&lt;0,O438&gt;100,P438&lt;0,Q438&lt;0,R438&lt;0,R438&gt;100),"Проверьте значения","Рассчитано")))))))</x:f>
        <x:v>Нужны цены</x:v>
      </x:c>
      <x:c r="K438" s="36" t="n">
        <x:v>5</x:v>
      </x:c>
      <x:c r="L438" s="19" t="str">
        <x:v>KZT</x:v>
      </x:c>
      <x:c r="M438" s="22"/>
      <x:c r="N438" s="22"/>
      <x:c r="O438" s="28"/>
      <x:c r="P438" s="22"/>
      <x:c r="Q438" s="22"/>
      <x:c r="R438" s="28"/>
      <x:c r="S438" s="22"/>
      <x:c r="T438" s="35" t="n">
        <x:f>K438</x:f>
        <x:v>5</x:v>
      </x:c>
      <x:c r="U438" s="20" t="str">
        <x:f>IF(J438="Рассчитано",N438*(1-O438/100),"н/д")</x:f>
        <x:v>н/д</x:v>
      </x:c>
      <x:c r="V438" s="20" t="str">
        <x:f>IF(J438="Рассчитано",T438*U438,"н/д")</x:f>
        <x:v>н/д</x:v>
      </x:c>
      <x:c r="W438" s="20" t="str">
        <x:f>IF(J438="Рассчитано",T438*M438,"н/д")</x:f>
        <x:v>н/д</x:v>
      </x:c>
      <x:c r="X438" s="20" t="str">
        <x:f>IF(J438="Рассчитано",V438-W438,"н/д")</x:f>
        <x:v>н/д</x:v>
      </x:c>
      <x:c r="Y438" s="26" t="str">
        <x:f>IF(J438="Рассчитано",IF(V438&gt;0,G438/V438,"н/д"),"н/д")</x:f>
        <x:v>н/д</x:v>
      </x:c>
      <x:c r="Z438" s="20" t="str">
        <x:f>"н/д"</x:f>
        <x:v>н/д</x:v>
      </x:c>
      <x:c r="AA438" s="20" t="str">
        <x:f>"н/д"</x:f>
        <x:v>н/д</x:v>
      </x:c>
      <x:c r="AB438" s="20" t="str">
        <x:f>"н/д"</x:f>
        <x:v>н/д</x:v>
      </x:c>
      <x:c r="AC438" s="20" t="str">
        <x:f>IF(AND(J438="Рассчитано",T438&gt;0,R438&lt;100),(W438+P438+Q438)/(T438*(1-R438/100)),"н/д")</x:f>
        <x:v>н/д</x:v>
      </x:c>
      <x:c r="AD438" s="11" t="str">
        <x:f>IF(ISNUMBER(G438),IF(G438&lt;0,"Убыток",IF(G438=0,"Без прибыли","Прибыль &gt; 0")),"Не оценён")</x:f>
        <x:v>Не оценён</x:v>
      </x:c>
      <x:c r="AE438" s="12" t="str">
        <x:f>IF(J438="Рассчитано","Выручка "&amp;TEXT(V438,"0.00")&amp;" - себестоимость "&amp;TEXT(W438,"0.00")&amp;" - комиссия "&amp;TEXT(V438*R438/100,"0.00")&amp;" - доставка "&amp;TEXT(P438,"0.00")&amp;" - прочие "&amp;TEXT(Q438,"0.00")&amp;" = "&amp;TEXT(G438,"0.00")&amp;" "&amp;L438,"Введите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8" s="23" t="n">
        <x:v>0.9720737456878524</x:v>
      </x:c>
      <x:c r="AG438" s="35" t="n">
        <x:v>6</x:v>
      </x:c>
      <x:c r="AH438" s="35" t="n">
        <x:v>0</x:v>
      </x:c>
      <x:c r="AI438" s="29" t="n">
        <x:v>46266</x:v>
      </x:c>
      <x:c r="AJ438" s="35" t="n">
        <x:v>1</x:v>
      </x:c>
      <x:c r="AK438" s="11" t="str">
        <x:v>минимум</x:v>
      </x:c>
      <x:c r="AL438" s="31" t="n">
        <x:v>524.8933625501072</x:v>
      </x:c>
      <x:c r="AM43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38" s="12" t="str">
        <x:v>Проверить свободный остаток и установить цену для B2B</x:v>
      </x:c>
      <x:c r="AO438" s="12" t="str">
        <x:v>Остаток 6; прогноз 90 дней 0.97; избыток 5 шт. Будущие поступления не выставляются на продажу. Остаток на начало сентября: требуется актуализация.</x:v>
      </x:c>
      <x:c r="AP438" s="12" t="str">
        <x:v>["category_missing", "daily_stockout_data_missing", "new_order_lead_time_unknown", "reservations_unknown", "stale_stock"]</x:v>
      </x:c>
      <x:c r="AQ438" s="11" t="str">
        <x:v>IEK:030201120_</x:v>
      </x:c>
      <x:c r="AR438" s="23" t="n">
        <x:v>1</x:v>
      </x:c>
      <x:c r="AS438" s="23" t="n">
        <x:v>0</x:v>
      </x:c>
      <x:c r="AT438" s="23" t="n">
        <x:v>0</x:v>
      </x:c>
    </x:row>
    <x:row r="439" ht="64" customHeight="1">
      <x:c r="A439" s="10" t="str">
        <x:v>IEK</x:v>
      </x:c>
      <x:c r="B439" s="34" t="str">
        <x:v>030201122_</x:v>
      </x:c>
      <x:c r="C439" s="34" t="str">
        <x:v>BR-M32-G-41-K98</x:v>
      </x:c>
      <x:c r="D439" s="13" t="str">
        <x:v>Рамка 3-мест. "BRITE"  стекло песчаный RE  IEK  (1/50)</x:v>
      </x:c>
      <x:c r="E439" s="10" t="str">
        <x:v>шт</x:v>
      </x:c>
      <x:c r="F439" s="37" t="n">
        <x:f>MAX(0,ROUNDDOWN((AG439-AF439)/AR439+0.000000001,0)*AR439)</x:f>
        <x:v>3</x:v>
      </x:c>
      <x:c r="G439" s="21" t="str">
        <x:f>IF(J439="Рассчитано",V439*(1-R439/100)-W439-P439-Q439,"н/д")</x:f>
        <x:v>н/д</x:v>
      </x:c>
      <x:c r="H439" s="13" t="str">
        <x:v>Высокий</x:v>
      </x:c>
      <x:c r="I439" s="13" t="str">
        <x:v>Высокий</x:v>
      </x:c>
      <x:c r="J439" s="13" t="str">
        <x:f>IF(L439="","Укажите валюту",IF(NOT(ISNUMBER(K439)),"Укажите объём",IF(K439&lt;=0,"Укажите объём",IF(K439&gt;F439,"Объём выше излишка",IF(COUNT(M439:O439)&lt;3,"Нужны цены",IF(COUNT(P439:R439)&lt;3,"Нужны расходы",IF(OR(M439&lt;0,N439&lt;0,O439&lt;0,O439&gt;100,P439&lt;0,Q439&lt;0,R439&lt;0,R439&gt;100),"Проверьте значения","Рассчитано")))))))</x:f>
        <x:v>Нужны цены</x:v>
      </x:c>
      <x:c r="K439" s="36" t="n">
        <x:v>3</x:v>
      </x:c>
      <x:c r="L439" s="19" t="str">
        <x:v>KZT</x:v>
      </x:c>
      <x:c r="M439" s="22"/>
      <x:c r="N439" s="22"/>
      <x:c r="O439" s="28"/>
      <x:c r="P439" s="22"/>
      <x:c r="Q439" s="22"/>
      <x:c r="R439" s="28"/>
      <x:c r="S439" s="22"/>
      <x:c r="T439" s="37" t="n">
        <x:f>K439</x:f>
        <x:v>3</x:v>
      </x:c>
      <x:c r="U439" s="21" t="str">
        <x:f>IF(J439="Рассчитано",N439*(1-O439/100),"н/д")</x:f>
        <x:v>н/д</x:v>
      </x:c>
      <x:c r="V439" s="21" t="str">
        <x:f>IF(J439="Рассчитано",T439*U439,"н/д")</x:f>
        <x:v>н/д</x:v>
      </x:c>
      <x:c r="W439" s="21" t="str">
        <x:f>IF(J439="Рассчитано",T439*M439,"н/д")</x:f>
        <x:v>н/д</x:v>
      </x:c>
      <x:c r="X439" s="21" t="str">
        <x:f>IF(J439="Рассчитано",V439-W439,"н/д")</x:f>
        <x:v>н/д</x:v>
      </x:c>
      <x:c r="Y439" s="27" t="str">
        <x:f>IF(J439="Рассчитано",IF(V439&gt;0,G439/V439,"н/д"),"н/д")</x:f>
        <x:v>н/д</x:v>
      </x:c>
      <x:c r="Z439" s="21" t="str">
        <x:f>"н/д"</x:f>
        <x:v>н/д</x:v>
      </x:c>
      <x:c r="AA439" s="21" t="str">
        <x:f>"н/д"</x:f>
        <x:v>н/д</x:v>
      </x:c>
      <x:c r="AB439" s="21" t="str">
        <x:f>"н/д"</x:f>
        <x:v>н/д</x:v>
      </x:c>
      <x:c r="AC439" s="21" t="str">
        <x:f>IF(AND(J439="Рассчитано",T439&gt;0,R439&lt;100),(W439+P439+Q439)/(T439*(1-R439/100)),"н/д")</x:f>
        <x:v>н/д</x:v>
      </x:c>
      <x:c r="AD439" s="10" t="str">
        <x:f>IF(ISNUMBER(G439),IF(G439&lt;0,"Убыток",IF(G439=0,"Без прибыли","Прибыль &gt; 0")),"Не оценён")</x:f>
        <x:v>Не оценён</x:v>
      </x:c>
      <x:c r="AE439" s="13" t="str">
        <x:f>IF(J439="Рассчитано","Выручка "&amp;TEXT(V439,"0.00")&amp;" - себестоимость "&amp;TEXT(W439,"0.00")&amp;" - комиссия "&amp;TEXT(V439*R439/100,"0.00")&amp;" - доставка "&amp;TEXT(P439,"0.00")&amp;" - прочие "&amp;TEXT(Q439,"0.00")&amp;" = "&amp;TEXT(G439,"0.00")&amp;" "&amp;L439,"Введите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9" s="24" t="n">
        <x:v>3.261474816671739</x:v>
      </x:c>
      <x:c r="AG439" s="37" t="n">
        <x:v>7</x:v>
      </x:c>
      <x:c r="AH439" s="37" t="n">
        <x:v>0</x:v>
      </x:c>
      <x:c r="AI439" s="30" t="n">
        <x:v>46266</x:v>
      </x:c>
      <x:c r="AJ439" s="37" t="n">
        <x:v>1</x:v>
      </x:c>
      <x:c r="AK439" s="10" t="str">
        <x:v>минимум</x:v>
      </x:c>
      <x:c r="AL439" s="32" t="n">
        <x:v>182.51688780426264</x:v>
      </x:c>
      <x:c r="AM43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39" s="13" t="str">
        <x:v>Проверить свободный остаток и установить цену для B2B</x:v>
      </x:c>
      <x:c r="AO439" s="13" t="str">
        <x:v>Остаток 7; прогноз 90 дней 3.26; избыток 3 шт. Будущие поступления не выставляются на продажу. Остаток на начало сентября: требуется актуализация.</x:v>
      </x:c>
      <x:c r="AP439" s="13" t="str">
        <x:v>["category_missing", "daily_stockout_data_missing", "new_order_lead_time_unknown", "reservations_unknown", "stale_stock"]</x:v>
      </x:c>
      <x:c r="AQ439" s="10" t="str">
        <x:v>IEK:030201122_</x:v>
      </x:c>
      <x:c r="AR439" s="24" t="n">
        <x:v>1</x:v>
      </x:c>
      <x:c r="AS439" s="24" t="n">
        <x:v>0</x:v>
      </x:c>
      <x:c r="AT439" s="24" t="n">
        <x:v>0</x:v>
      </x:c>
    </x:row>
    <x:row r="440" ht="64" customHeight="1">
      <x:c r="A440" s="11" t="str">
        <x:v>IEK</x:v>
      </x:c>
      <x:c r="B440" s="33" t="str">
        <x:v>030201123_</x:v>
      </x:c>
      <x:c r="C440" s="33" t="str">
        <x:v>BR-M32-M-01-K02</x:v>
      </x:c>
      <x:c r="D440" s="12" t="str">
        <x:v>Рамка 3-мест. "BRITE"  металл черн. RE  IEK  (1/50)</x:v>
      </x:c>
      <x:c r="E440" s="11" t="str">
        <x:v>шт</x:v>
      </x:c>
      <x:c r="F440" s="35" t="n">
        <x:f>MAX(0,ROUNDDOWN((AG440-AF440)/AR440+0.000000001,0)*AR440)</x:f>
        <x:v>4</x:v>
      </x:c>
      <x:c r="G440" s="20" t="str">
        <x:f>IF(J440="Рассчитано",V440*(1-R440/100)-W440-P440-Q440,"н/д")</x:f>
        <x:v>н/д</x:v>
      </x:c>
      <x:c r="H440" s="12" t="str">
        <x:v>Высокий</x:v>
      </x:c>
      <x:c r="I440" s="12" t="str">
        <x:v>Высокий</x:v>
      </x:c>
      <x:c r="J440" s="12" t="str">
        <x:f>IF(L440="","Укажите валюту",IF(NOT(ISNUMBER(K440)),"Укажите объём",IF(K440&lt;=0,"Укажите объём",IF(K440&gt;F440,"Объём выше излишка",IF(COUNT(M440:O440)&lt;3,"Нужны цены",IF(COUNT(P440:R440)&lt;3,"Нужны расходы",IF(OR(M440&lt;0,N440&lt;0,O440&lt;0,O440&gt;100,P440&lt;0,Q440&lt;0,R440&lt;0,R440&gt;100),"Проверьте значения","Рассчитано")))))))</x:f>
        <x:v>Нужны цены</x:v>
      </x:c>
      <x:c r="K440" s="36" t="n">
        <x:v>4</x:v>
      </x:c>
      <x:c r="L440" s="19" t="str">
        <x:v>KZT</x:v>
      </x:c>
      <x:c r="M440" s="22"/>
      <x:c r="N440" s="22"/>
      <x:c r="O440" s="28"/>
      <x:c r="P440" s="22"/>
      <x:c r="Q440" s="22"/>
      <x:c r="R440" s="28"/>
      <x:c r="S440" s="22"/>
      <x:c r="T440" s="35" t="n">
        <x:f>K440</x:f>
        <x:v>4</x:v>
      </x:c>
      <x:c r="U440" s="20" t="str">
        <x:f>IF(J440="Рассчитано",N440*(1-O440/100),"н/д")</x:f>
        <x:v>н/д</x:v>
      </x:c>
      <x:c r="V440" s="20" t="str">
        <x:f>IF(J440="Рассчитано",T440*U440,"н/д")</x:f>
        <x:v>н/д</x:v>
      </x:c>
      <x:c r="W440" s="20" t="str">
        <x:f>IF(J440="Рассчитано",T440*M440,"н/д")</x:f>
        <x:v>н/д</x:v>
      </x:c>
      <x:c r="X440" s="20" t="str">
        <x:f>IF(J440="Рассчитано",V440-W440,"н/д")</x:f>
        <x:v>н/д</x:v>
      </x:c>
      <x:c r="Y440" s="26" t="str">
        <x:f>IF(J440="Рассчитано",IF(V440&gt;0,G440/V440,"н/д"),"н/д")</x:f>
        <x:v>н/д</x:v>
      </x:c>
      <x:c r="Z440" s="20" t="str">
        <x:f>"н/д"</x:f>
        <x:v>н/д</x:v>
      </x:c>
      <x:c r="AA440" s="20" t="str">
        <x:f>"н/д"</x:f>
        <x:v>н/д</x:v>
      </x:c>
      <x:c r="AB440" s="20" t="str">
        <x:f>"н/д"</x:f>
        <x:v>н/д</x:v>
      </x:c>
      <x:c r="AC440" s="20" t="str">
        <x:f>IF(AND(J440="Рассчитано",T440&gt;0,R440&lt;100),(W440+P440+Q440)/(T440*(1-R440/100)),"н/д")</x:f>
        <x:v>н/д</x:v>
      </x:c>
      <x:c r="AD440" s="11" t="str">
        <x:f>IF(ISNUMBER(G440),IF(G440&lt;0,"Убыток",IF(G440=0,"Без прибыли","Прибыль &gt; 0")),"Не оценён")</x:f>
        <x:v>Не оценён</x:v>
      </x:c>
      <x:c r="AE440" s="12" t="str">
        <x:f>IF(J440="Рассчитано","Выручка "&amp;TEXT(V440,"0.00")&amp;" - себестоимость "&amp;TEXT(W440,"0.00")&amp;" - комиссия "&amp;TEXT(V440*R440/100,"0.00")&amp;" - доставка "&amp;TEXT(P440,"0.00")&amp;" - прочие "&amp;TEXT(Q440,"0.00")&amp;" = "&amp;TEXT(G440,"0.00")&amp;" "&amp;L440,"Введите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0" s="23" t="n">
        <x:v>1.3673163453177724</x:v>
      </x:c>
      <x:c r="AG440" s="35" t="n">
        <x:v>6</x:v>
      </x:c>
      <x:c r="AH440" s="35" t="n">
        <x:v>0</x:v>
      </x:c>
      <x:c r="AI440" s="29" t="n">
        <x:v>46266</x:v>
      </x:c>
      <x:c r="AJ440" s="35" t="n">
        <x:v>1</x:v>
      </x:c>
      <x:c r="AK440" s="11" t="str">
        <x:v>минимум</x:v>
      </x:c>
      <x:c r="AL440" s="31" t="n">
        <x:v>373.16533132074335</x:v>
      </x:c>
      <x:c r="AM44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40" s="12" t="str">
        <x:v>Проверить свободный остаток и установить цену для B2B</x:v>
      </x:c>
      <x:c r="AO440" s="12" t="str">
        <x:v>Остаток 6; прогноз 90 дней 1.37; избыток 4 шт. Будущие поступления не выставляются на продажу. Остаток на начало сентября: требуется актуализация.</x:v>
      </x:c>
      <x:c r="AP440" s="12" t="str">
        <x:v>["category_missing", "daily_stockout_data_missing", "new_order_lead_time_unknown", "reservations_unknown", "stale_stock"]</x:v>
      </x:c>
      <x:c r="AQ440" s="11" t="str">
        <x:v>IEK:030201123_</x:v>
      </x:c>
      <x:c r="AR440" s="23" t="n">
        <x:v>1</x:v>
      </x:c>
      <x:c r="AS440" s="23" t="n">
        <x:v>0</x:v>
      </x:c>
      <x:c r="AT440" s="23" t="n">
        <x:v>0</x:v>
      </x:c>
    </x:row>
    <x:row r="441" ht="64" customHeight="1">
      <x:c r="A441" s="10" t="str">
        <x:v>IEK</x:v>
      </x:c>
      <x:c r="B441" s="34" t="str">
        <x:v>030201124_</x:v>
      </x:c>
      <x:c r="C441" s="34" t="str">
        <x:v>BR-M32-M-01-K47</x:v>
      </x:c>
      <x:c r="D441" s="13" t="str">
        <x:v>Рамка 3-мест. "BRITE"  металл алюм. RE  IEK  (1/50)</x:v>
      </x:c>
      <x:c r="E441" s="10" t="str">
        <x:v>шт</x:v>
      </x:c>
      <x:c r="F441" s="37" t="n">
        <x:f>MAX(0,ROUNDDOWN((AG441-AF441)/AR441+0.000000001,0)*AR441)</x:f>
        <x:v>6</x:v>
      </x:c>
      <x:c r="G441" s="21" t="str">
        <x:f>IF(J441="Рассчитано",V441*(1-R441/100)-W441-P441-Q441,"н/д")</x:f>
        <x:v>н/д</x:v>
      </x:c>
      <x:c r="H441" s="13" t="str">
        <x:v>Высокий</x:v>
      </x:c>
      <x:c r="I441" s="13" t="str">
        <x:v>Высокий</x:v>
      </x:c>
      <x:c r="J441" s="13" t="str">
        <x:f>IF(L441="","Укажите валюту",IF(NOT(ISNUMBER(K441)),"Укажите объём",IF(K441&lt;=0,"Укажите объём",IF(K441&gt;F441,"Объём выше излишка",IF(COUNT(M441:O441)&lt;3,"Нужны цены",IF(COUNT(P441:R441)&lt;3,"Нужны расходы",IF(OR(M441&lt;0,N441&lt;0,O441&lt;0,O441&gt;100,P441&lt;0,Q441&lt;0,R441&lt;0,R441&gt;100),"Проверьте значения","Рассчитано")))))))</x:f>
        <x:v>Нужны цены</x:v>
      </x:c>
      <x:c r="K441" s="36" t="n">
        <x:v>6</x:v>
      </x:c>
      <x:c r="L441" s="19" t="str">
        <x:v>KZT</x:v>
      </x:c>
      <x:c r="M441" s="22"/>
      <x:c r="N441" s="22"/>
      <x:c r="O441" s="28"/>
      <x:c r="P441" s="22"/>
      <x:c r="Q441" s="22"/>
      <x:c r="R441" s="28"/>
      <x:c r="S441" s="22"/>
      <x:c r="T441" s="37" t="n">
        <x:f>K441</x:f>
        <x:v>6</x:v>
      </x:c>
      <x:c r="U441" s="21" t="str">
        <x:f>IF(J441="Рассчитано",N441*(1-O441/100),"н/д")</x:f>
        <x:v>н/д</x:v>
      </x:c>
      <x:c r="V441" s="21" t="str">
        <x:f>IF(J441="Рассчитано",T441*U441,"н/д")</x:f>
        <x:v>н/д</x:v>
      </x:c>
      <x:c r="W441" s="21" t="str">
        <x:f>IF(J441="Рассчитано",T441*M441,"н/д")</x:f>
        <x:v>н/д</x:v>
      </x:c>
      <x:c r="X441" s="21" t="str">
        <x:f>IF(J441="Рассчитано",V441-W441,"н/д")</x:f>
        <x:v>н/д</x:v>
      </x:c>
      <x:c r="Y441" s="27" t="str">
        <x:f>IF(J441="Рассчитано",IF(V441&gt;0,G441/V441,"н/д"),"н/д")</x:f>
        <x:v>н/д</x:v>
      </x:c>
      <x:c r="Z441" s="21" t="str">
        <x:f>"н/д"</x:f>
        <x:v>н/д</x:v>
      </x:c>
      <x:c r="AA441" s="21" t="str">
        <x:f>"н/д"</x:f>
        <x:v>н/д</x:v>
      </x:c>
      <x:c r="AB441" s="21" t="str">
        <x:f>"н/д"</x:f>
        <x:v>н/д</x:v>
      </x:c>
      <x:c r="AC441" s="21" t="str">
        <x:f>IF(AND(J441="Рассчитано",T441&gt;0,R441&lt;100),(W441+P441+Q441)/(T441*(1-R441/100)),"н/д")</x:f>
        <x:v>н/д</x:v>
      </x:c>
      <x:c r="AD441" s="10" t="str">
        <x:f>IF(ISNUMBER(G441),IF(G441&lt;0,"Убыток",IF(G441=0,"Без прибыли","Прибыль &gt; 0")),"Не оценён")</x:f>
        <x:v>Не оценён</x:v>
      </x:c>
      <x:c r="AE441" s="13" t="str">
        <x:f>IF(J441="Рассчитано","Выручка "&amp;TEXT(V441,"0.00")&amp;" - себестоимость "&amp;TEXT(W441,"0.00")&amp;" - комиссия "&amp;TEXT(V441*R441/100,"0.00")&amp;" - доставка "&amp;TEXT(P441,"0.00")&amp;" - прочие "&amp;TEXT(Q441,"0.00")&amp;" = "&amp;TEXT(G441,"0.00")&amp;" "&amp;L441,"Введите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1" s="24" t="n">
        <x:v>3.562594876649294</x:v>
      </x:c>
      <x:c r="AG441" s="37" t="n">
        <x:v>10</x:v>
      </x:c>
      <x:c r="AH441" s="37" t="n">
        <x:v>0</x:v>
      </x:c>
      <x:c r="AI441" s="30" t="n">
        <x:v>46266</x:v>
      </x:c>
      <x:c r="AJ441" s="37" t="n">
        <x:v>1</x:v>
      </x:c>
      <x:c r="AK441" s="10" t="str">
        <x:v>минимум</x:v>
      </x:c>
      <x:c r="AL441" s="32" t="n">
        <x:v>238.70010235379505</x:v>
      </x:c>
      <x:c r="AM44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41" s="13" t="str">
        <x:v>Проверить свободный остаток и установить цену для B2B</x:v>
      </x:c>
      <x:c r="AO441" s="13" t="str">
        <x:v>Остаток 10; прогноз 90 дней 3.56; избыток 6 шт. Будущие поступления не выставляются на продажу. Остаток на начало сентября: требуется актуализация.</x:v>
      </x:c>
      <x:c r="AP441" s="13" t="str">
        <x:v>["category_missing", "daily_stockout_data_missing", "new_order_lead_time_unknown", "reservations_unknown", "stale_stock"]</x:v>
      </x:c>
      <x:c r="AQ441" s="10" t="str">
        <x:v>IEK:030201124_</x:v>
      </x:c>
      <x:c r="AR441" s="24" t="n">
        <x:v>1</x:v>
      </x:c>
      <x:c r="AS441" s="24" t="n">
        <x:v>0</x:v>
      </x:c>
      <x:c r="AT441" s="24" t="n">
        <x:v>0</x:v>
      </x:c>
    </x:row>
    <x:row r="442" ht="64" customHeight="1">
      <x:c r="A442" s="11" t="str">
        <x:v>IEK</x:v>
      </x:c>
      <x:c r="B442" s="33" t="str">
        <x:v>030201126_</x:v>
      </x:c>
      <x:c r="C442" s="33" t="str">
        <x:v>BR-M32-M-21-K02</x:v>
      </x:c>
      <x:c r="D442" s="12" t="str">
        <x:v>Рамка 3-мест. "BRITE"  металл черн. RE AL  IEK  (1/50)</x:v>
      </x:c>
      <x:c r="E442" s="11" t="str">
        <x:v>шт</x:v>
      </x:c>
      <x:c r="F442" s="35" t="n">
        <x:f>MAX(0,ROUNDDOWN((AG442-AF442)/AR442+0.000000001,0)*AR442)</x:f>
        <x:v>5</x:v>
      </x:c>
      <x:c r="G442" s="20" t="str">
        <x:f>IF(J442="Рассчитано",V442*(1-R442/100)-W442-P442-Q442,"н/д")</x:f>
        <x:v>н/д</x:v>
      </x:c>
      <x:c r="H442" s="12" t="str">
        <x:v>Высокий</x:v>
      </x:c>
      <x:c r="I442" s="12" t="str">
        <x:v>Высокий</x:v>
      </x:c>
      <x:c r="J442" s="12" t="str">
        <x:f>IF(L442="","Укажите валюту",IF(NOT(ISNUMBER(K442)),"Укажите объём",IF(K442&lt;=0,"Укажите объём",IF(K442&gt;F442,"Объём выше излишка",IF(COUNT(M442:O442)&lt;3,"Нужны цены",IF(COUNT(P442:R442)&lt;3,"Нужны расходы",IF(OR(M442&lt;0,N442&lt;0,O442&lt;0,O442&gt;100,P442&lt;0,Q442&lt;0,R442&lt;0,R442&gt;100),"Проверьте значения","Рассчитано")))))))</x:f>
        <x:v>Нужны цены</x:v>
      </x:c>
      <x:c r="K442" s="36" t="n">
        <x:v>5</x:v>
      </x:c>
      <x:c r="L442" s="19" t="str">
        <x:v>KZT</x:v>
      </x:c>
      <x:c r="M442" s="22"/>
      <x:c r="N442" s="22"/>
      <x:c r="O442" s="28"/>
      <x:c r="P442" s="22"/>
      <x:c r="Q442" s="22"/>
      <x:c r="R442" s="28"/>
      <x:c r="S442" s="22"/>
      <x:c r="T442" s="35" t="n">
        <x:f>K442</x:f>
        <x:v>5</x:v>
      </x:c>
      <x:c r="U442" s="20" t="str">
        <x:f>IF(J442="Рассчитано",N442*(1-O442/100),"н/д")</x:f>
        <x:v>н/д</x:v>
      </x:c>
      <x:c r="V442" s="20" t="str">
        <x:f>IF(J442="Рассчитано",T442*U442,"н/д")</x:f>
        <x:v>н/д</x:v>
      </x:c>
      <x:c r="W442" s="20" t="str">
        <x:f>IF(J442="Рассчитано",T442*M442,"н/д")</x:f>
        <x:v>н/д</x:v>
      </x:c>
      <x:c r="X442" s="20" t="str">
        <x:f>IF(J442="Рассчитано",V442-W442,"н/д")</x:f>
        <x:v>н/д</x:v>
      </x:c>
      <x:c r="Y442" s="26" t="str">
        <x:f>IF(J442="Рассчитано",IF(V442&gt;0,G442/V442,"н/д"),"н/д")</x:f>
        <x:v>н/д</x:v>
      </x:c>
      <x:c r="Z442" s="20" t="str">
        <x:f>"н/д"</x:f>
        <x:v>н/д</x:v>
      </x:c>
      <x:c r="AA442" s="20" t="str">
        <x:f>"н/д"</x:f>
        <x:v>н/д</x:v>
      </x:c>
      <x:c r="AB442" s="20" t="str">
        <x:f>"н/д"</x:f>
        <x:v>н/д</x:v>
      </x:c>
      <x:c r="AC442" s="20" t="str">
        <x:f>IF(AND(J442="Рассчитано",T442&gt;0,R442&lt;100),(W442+P442+Q442)/(T442*(1-R442/100)),"н/д")</x:f>
        <x:v>н/д</x:v>
      </x:c>
      <x:c r="AD442" s="11" t="str">
        <x:f>IF(ISNUMBER(G442),IF(G442&lt;0,"Убыток",IF(G442=0,"Без прибыли","Прибыль &gt; 0")),"Не оценён")</x:f>
        <x:v>Не оценён</x:v>
      </x:c>
      <x:c r="AE442" s="12" t="str">
        <x:f>IF(J442="Рассчитано","Выручка "&amp;TEXT(V442,"0.00")&amp;" - себестоимость "&amp;TEXT(W442,"0.00")&amp;" - комиссия "&amp;TEXT(V442*R442/100,"0.00")&amp;" - доставка "&amp;TEXT(P442,"0.00")&amp;" - прочие "&amp;TEXT(Q442,"0.00")&amp;" = "&amp;TEXT(G442,"0.00")&amp;" "&amp;L442,"Введите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2" s="23" t="n">
        <x:v>1.8595733247977129</x:v>
      </x:c>
      <x:c r="AG442" s="35" t="n">
        <x:v>7</x:v>
      </x:c>
      <x:c r="AH442" s="35" t="n">
        <x:v>0</x:v>
      </x:c>
      <x:c r="AI442" s="29" t="n">
        <x:v>46266</x:v>
      </x:c>
      <x:c r="AJ442" s="35" t="n">
        <x:v>1</x:v>
      </x:c>
      <x:c r="AK442" s="11" t="str">
        <x:v>минимум</x:v>
      </x:c>
      <x:c r="AL442" s="31" t="n">
        <x:v>320.11334280440775</x:v>
      </x:c>
      <x:c r="AM44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42" s="12" t="str">
        <x:v>Проверить свободный остаток и установить цену для B2B</x:v>
      </x:c>
      <x:c r="AO442" s="12" t="str">
        <x:v>Остаток 7; прогноз 90 дней 1.86; избыток 5 шт. Будущие поступления не выставляются на продажу. Остаток на начало сентября: требуется актуализация.</x:v>
      </x:c>
      <x:c r="AP442" s="12" t="str">
        <x:v>["category_missing", "daily_stockout_data_missing", "new_order_lead_time_unknown", "reservations_unknown", "stale_stock"]</x:v>
      </x:c>
      <x:c r="AQ442" s="11" t="str">
        <x:v>IEK:030201126_</x:v>
      </x:c>
      <x:c r="AR442" s="23" t="n">
        <x:v>1</x:v>
      </x:c>
      <x:c r="AS442" s="23" t="n">
        <x:v>0</x:v>
      </x:c>
      <x:c r="AT442" s="23" t="n">
        <x:v>0</x:v>
      </x:c>
    </x:row>
    <x:row r="443" ht="64" customHeight="1">
      <x:c r="A443" s="10" t="str">
        <x:v>IEK</x:v>
      </x:c>
      <x:c r="B443" s="34" t="str">
        <x:v>030201127_</x:v>
      </x:c>
      <x:c r="C443" s="34" t="str">
        <x:v>BR-M32-M-21-K30</x:v>
      </x:c>
      <x:c r="D443" s="13" t="str">
        <x:v>Рамка 3-мест. "BRITE"  металл коричн. RE AL  IEK  (1/50)</x:v>
      </x:c>
      <x:c r="E443" s="10" t="str">
        <x:v>шт</x:v>
      </x:c>
      <x:c r="F443" s="37" t="n">
        <x:f>MAX(0,ROUNDDOWN((AG443-AF443)/AR443+0.000000001,0)*AR443)</x:f>
        <x:v>14</x:v>
      </x:c>
      <x:c r="G443" s="21" t="str">
        <x:f>IF(J443="Рассчитано",V443*(1-R443/100)-W443-P443-Q443,"н/д")</x:f>
        <x:v>н/д</x:v>
      </x:c>
      <x:c r="H443" s="13" t="str">
        <x:v>Высокий</x:v>
      </x:c>
      <x:c r="I443" s="13" t="str">
        <x:v>Высокий</x:v>
      </x:c>
      <x:c r="J443" s="13" t="str">
        <x:f>IF(L443="","Укажите валюту",IF(NOT(ISNUMBER(K443)),"Укажите объём",IF(K443&lt;=0,"Укажите объём",IF(K443&gt;F443,"Объём выше излишка",IF(COUNT(M443:O443)&lt;3,"Нужны цены",IF(COUNT(P443:R443)&lt;3,"Нужны расходы",IF(OR(M443&lt;0,N443&lt;0,O443&lt;0,O443&gt;100,P443&lt;0,Q443&lt;0,R443&lt;0,R443&gt;100),"Проверьте значения","Рассчитано")))))))</x:f>
        <x:v>Нужны цены</x:v>
      </x:c>
      <x:c r="K443" s="36" t="n">
        <x:v>14</x:v>
      </x:c>
      <x:c r="L443" s="19" t="str">
        <x:v>KZT</x:v>
      </x:c>
      <x:c r="M443" s="22"/>
      <x:c r="N443" s="22"/>
      <x:c r="O443" s="28"/>
      <x:c r="P443" s="22"/>
      <x:c r="Q443" s="22"/>
      <x:c r="R443" s="28"/>
      <x:c r="S443" s="22"/>
      <x:c r="T443" s="37" t="n">
        <x:f>K443</x:f>
        <x:v>14</x:v>
      </x:c>
      <x:c r="U443" s="21" t="str">
        <x:f>IF(J443="Рассчитано",N443*(1-O443/100),"н/д")</x:f>
        <x:v>н/д</x:v>
      </x:c>
      <x:c r="V443" s="21" t="str">
        <x:f>IF(J443="Рассчитано",T443*U443,"н/д")</x:f>
        <x:v>н/д</x:v>
      </x:c>
      <x:c r="W443" s="21" t="str">
        <x:f>IF(J443="Рассчитано",T443*M443,"н/д")</x:f>
        <x:v>н/д</x:v>
      </x:c>
      <x:c r="X443" s="21" t="str">
        <x:f>IF(J443="Рассчитано",V443-W443,"н/д")</x:f>
        <x:v>н/д</x:v>
      </x:c>
      <x:c r="Y443" s="27" t="str">
        <x:f>IF(J443="Рассчитано",IF(V443&gt;0,G443/V443,"н/д"),"н/д")</x:f>
        <x:v>н/д</x:v>
      </x:c>
      <x:c r="Z443" s="21" t="str">
        <x:f>"н/д"</x:f>
        <x:v>н/д</x:v>
      </x:c>
      <x:c r="AA443" s="21" t="str">
        <x:f>"н/д"</x:f>
        <x:v>н/д</x:v>
      </x:c>
      <x:c r="AB443" s="21" t="str">
        <x:f>"н/д"</x:f>
        <x:v>н/д</x:v>
      </x:c>
      <x:c r="AC443" s="21" t="str">
        <x:f>IF(AND(J443="Рассчитано",T443&gt;0,R443&lt;100),(W443+P443+Q443)/(T443*(1-R443/100)),"н/д")</x:f>
        <x:v>н/д</x:v>
      </x:c>
      <x:c r="AD443" s="10" t="str">
        <x:f>IF(ISNUMBER(G443),IF(G443&lt;0,"Убыток",IF(G443=0,"Без прибыли","Прибыль &gt; 0")),"Не оценён")</x:f>
        <x:v>Не оценён</x:v>
      </x:c>
      <x:c r="AE443" s="13" t="str">
        <x:f>IF(J443="Рассчитано","Выручка "&amp;TEXT(V443,"0.00")&amp;" - себестоимость "&amp;TEXT(W443,"0.00")&amp;" - комиссия "&amp;TEXT(V443*R443/100,"0.00")&amp;" - доставка "&amp;TEXT(P443,"0.00")&amp;" - прочие "&amp;TEXT(Q443,"0.00")&amp;" = "&amp;TEXT(G443,"0.00")&amp;" "&amp;L443,"Введите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3" s="24" t="n">
        <x:v>0</x:v>
      </x:c>
      <x:c r="AG443" s="37" t="n">
        <x:v>14</x:v>
      </x:c>
      <x:c r="AH443" s="37" t="n">
        <x:v>0</x:v>
      </x:c>
      <x:c r="AI443" s="30" t="n">
        <x:v>46266</x:v>
      </x:c>
      <x:c r="AJ443" s="37" t="n">
        <x:v>1</x:v>
      </x:c>
      <x:c r="AK443" s="10" t="str">
        <x:v>минимум</x:v>
      </x:c>
      <x:c r="AL443" s="32" t="str">
        <x:v>н/д</x:v>
      </x:c>
      <x:c r="AM44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43" s="13" t="str">
        <x:v>Проверить свободный остаток и установить цену для B2B</x:v>
      </x:c>
      <x:c r="AO443" s="13" t="str">
        <x:v>Остаток 14; прогноз 90 дней 0.00; избыток 14 шт. Будущие поступления не выставляются на продажу. Остаток на начало сентября: требуется актуализация.</x:v>
      </x:c>
      <x:c r="AP443" s="13" t="str">
        <x:v>["category_missing", "daily_stockout_data_missing", "new_order_lead_time_unknown", "reservations_unknown", "stale_stock"]</x:v>
      </x:c>
      <x:c r="AQ443" s="10" t="str">
        <x:v>IEK:030201127_</x:v>
      </x:c>
      <x:c r="AR443" s="24" t="n">
        <x:v>1</x:v>
      </x:c>
      <x:c r="AS443" s="24" t="n">
        <x:v>0</x:v>
      </x:c>
      <x:c r="AT443" s="24" t="n">
        <x:v>0</x:v>
      </x:c>
    </x:row>
    <x:row r="444" ht="64" customHeight="1">
      <x:c r="A444" s="11" t="str">
        <x:v>IEK</x:v>
      </x:c>
      <x:c r="B444" s="33" t="str">
        <x:v>030201128_</x:v>
      </x:c>
      <x:c r="C444" s="33" t="str">
        <x:v>BR-M32-M-21-K37</x:v>
      </x:c>
      <x:c r="D444" s="12" t="str">
        <x:v>Рамка 3-мест. "BRITE"  металл шамп. RE AL  IEK  (1/50)</x:v>
      </x:c>
      <x:c r="E444" s="11" t="str">
        <x:v>шт</x:v>
      </x:c>
      <x:c r="F444" s="35" t="n">
        <x:f>MAX(0,ROUNDDOWN((AG444-AF444)/AR444+0.000000001,0)*AR444)</x:f>
        <x:v>19</x:v>
      </x:c>
      <x:c r="G444" s="20" t="str">
        <x:f>IF(J444="Рассчитано",V444*(1-R444/100)-W444-P444-Q444,"н/д")</x:f>
        <x:v>н/д</x:v>
      </x:c>
      <x:c r="H444" s="12" t="str">
        <x:v>Высокий</x:v>
      </x:c>
      <x:c r="I444" s="12" t="str">
        <x:v>Высокий</x:v>
      </x:c>
      <x:c r="J444" s="12" t="str">
        <x:f>IF(L444="","Укажите валюту",IF(NOT(ISNUMBER(K444)),"Укажите объём",IF(K444&lt;=0,"Укажите объём",IF(K444&gt;F444,"Объём выше излишка",IF(COUNT(M444:O444)&lt;3,"Нужны цены",IF(COUNT(P444:R444)&lt;3,"Нужны расходы",IF(OR(M444&lt;0,N444&lt;0,O444&lt;0,O444&gt;100,P444&lt;0,Q444&lt;0,R444&lt;0,R444&gt;100),"Проверьте значения","Рассчитано")))))))</x:f>
        <x:v>Нужны цены</x:v>
      </x:c>
      <x:c r="K444" s="36" t="n">
        <x:v>19</x:v>
      </x:c>
      <x:c r="L444" s="19" t="str">
        <x:v>KZT</x:v>
      </x:c>
      <x:c r="M444" s="22"/>
      <x:c r="N444" s="22"/>
      <x:c r="O444" s="28"/>
      <x:c r="P444" s="22"/>
      <x:c r="Q444" s="22"/>
      <x:c r="R444" s="28"/>
      <x:c r="S444" s="22"/>
      <x:c r="T444" s="35" t="n">
        <x:f>K444</x:f>
        <x:v>19</x:v>
      </x:c>
      <x:c r="U444" s="20" t="str">
        <x:f>IF(J444="Рассчитано",N444*(1-O444/100),"н/д")</x:f>
        <x:v>н/д</x:v>
      </x:c>
      <x:c r="V444" s="20" t="str">
        <x:f>IF(J444="Рассчитано",T444*U444,"н/д")</x:f>
        <x:v>н/д</x:v>
      </x:c>
      <x:c r="W444" s="20" t="str">
        <x:f>IF(J444="Рассчитано",T444*M444,"н/д")</x:f>
        <x:v>н/д</x:v>
      </x:c>
      <x:c r="X444" s="20" t="str">
        <x:f>IF(J444="Рассчитано",V444-W444,"н/д")</x:f>
        <x:v>н/д</x:v>
      </x:c>
      <x:c r="Y444" s="26" t="str">
        <x:f>IF(J444="Рассчитано",IF(V444&gt;0,G444/V444,"н/д"),"н/д")</x:f>
        <x:v>н/д</x:v>
      </x:c>
      <x:c r="Z444" s="20" t="str">
        <x:f>"н/д"</x:f>
        <x:v>н/д</x:v>
      </x:c>
      <x:c r="AA444" s="20" t="str">
        <x:f>"н/д"</x:f>
        <x:v>н/д</x:v>
      </x:c>
      <x:c r="AB444" s="20" t="str">
        <x:f>"н/д"</x:f>
        <x:v>н/д</x:v>
      </x:c>
      <x:c r="AC444" s="20" t="str">
        <x:f>IF(AND(J444="Рассчитано",T444&gt;0,R444&lt;100),(W444+P444+Q444)/(T444*(1-R444/100)),"н/д")</x:f>
        <x:v>н/д</x:v>
      </x:c>
      <x:c r="AD444" s="11" t="str">
        <x:f>IF(ISNUMBER(G444),IF(G444&lt;0,"Убыток",IF(G444=0,"Без прибыли","Прибыль &gt; 0")),"Не оценён")</x:f>
        <x:v>Не оценён</x:v>
      </x:c>
      <x:c r="AE444" s="12" t="str">
        <x:f>IF(J444="Рассчитано","Выручка "&amp;TEXT(V444,"0.00")&amp;" - себестоимость "&amp;TEXT(W444,"0.00")&amp;" - комиссия "&amp;TEXT(V444*R444/100,"0.00")&amp;" - доставка "&amp;TEXT(P444,"0.00")&amp;" - прочие "&amp;TEXT(Q444,"0.00")&amp;" = "&amp;TEXT(G444,"0.00")&amp;" "&amp;L444,"Введите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4" s="23" t="n">
        <x:v>2.6454200300669246</x:v>
      </x:c>
      <x:c r="AG444" s="35" t="n">
        <x:v>22</x:v>
      </x:c>
      <x:c r="AH444" s="35" t="n">
        <x:v>0</x:v>
      </x:c>
      <x:c r="AI444" s="29" t="n">
        <x:v>46266</x:v>
      </x:c>
      <x:c r="AJ444" s="35" t="n">
        <x:v>1</x:v>
      </x:c>
      <x:c r="AK444" s="11" t="str">
        <x:v>минимум</x:v>
      </x:c>
      <x:c r="AL444" s="31" t="n">
        <x:v>707.2078741671545</x:v>
      </x:c>
      <x:c r="AM44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44" s="12" t="str">
        <x:v>Проверить свободный остаток и установить цену для B2B</x:v>
      </x:c>
      <x:c r="AO444" s="12" t="str">
        <x:v>Остаток 22; прогноз 90 дней 2.65; избыток 19 шт. Будущие поступления не выставляются на продажу. Остаток на начало сентября: требуется актуализация.</x:v>
      </x:c>
      <x:c r="AP444" s="12" t="str">
        <x:v>["category_missing", "daily_stockout_data_missing", "new_order_lead_time_unknown", "reservations_unknown", "stale_stock"]</x:v>
      </x:c>
      <x:c r="AQ444" s="11" t="str">
        <x:v>IEK:030201128_</x:v>
      </x:c>
      <x:c r="AR444" s="23" t="n">
        <x:v>1</x:v>
      </x:c>
      <x:c r="AS444" s="23" t="n">
        <x:v>0</x:v>
      </x:c>
      <x:c r="AT444" s="23" t="n">
        <x:v>0</x:v>
      </x:c>
    </x:row>
    <x:row r="445" ht="64" customHeight="1">
      <x:c r="A445" s="10" t="str">
        <x:v>IEK</x:v>
      </x:c>
      <x:c r="B445" s="34" t="str">
        <x:v>030201129_</x:v>
      </x:c>
      <x:c r="C445" s="34" t="str">
        <x:v>BR-M32-M-21-K47</x:v>
      </x:c>
      <x:c r="D445" s="13" t="str">
        <x:v>Рамка 3-мест. "BRITE"  металл алюм. RE AL  IEK  (1/50)</x:v>
      </x:c>
      <x:c r="E445" s="10" t="str">
        <x:v>шт</x:v>
      </x:c>
      <x:c r="F445" s="37" t="n">
        <x:f>MAX(0,ROUNDDOWN((AG445-AF445)/AR445+0.000000001,0)*AR445)</x:f>
        <x:v>7</x:v>
      </x:c>
      <x:c r="G445" s="21" t="str">
        <x:f>IF(J445="Рассчитано",V445*(1-R445/100)-W445-P445-Q445,"н/д")</x:f>
        <x:v>н/д</x:v>
      </x:c>
      <x:c r="H445" s="13" t="str">
        <x:v>Высокий</x:v>
      </x:c>
      <x:c r="I445" s="13" t="str">
        <x:v>Высокий</x:v>
      </x:c>
      <x:c r="J445" s="13" t="str">
        <x:f>IF(L445="","Укажите валюту",IF(NOT(ISNUMBER(K445)),"Укажите объём",IF(K445&lt;=0,"Укажите объём",IF(K445&gt;F445,"Объём выше излишка",IF(COUNT(M445:O445)&lt;3,"Нужны цены",IF(COUNT(P445:R445)&lt;3,"Нужны расходы",IF(OR(M445&lt;0,N445&lt;0,O445&lt;0,O445&gt;100,P445&lt;0,Q445&lt;0,R445&lt;0,R445&gt;100),"Проверьте значения","Рассчитано")))))))</x:f>
        <x:v>Нужны цены</x:v>
      </x:c>
      <x:c r="K445" s="36" t="n">
        <x:v>7</x:v>
      </x:c>
      <x:c r="L445" s="19" t="str">
        <x:v>KZT</x:v>
      </x:c>
      <x:c r="M445" s="22"/>
      <x:c r="N445" s="22"/>
      <x:c r="O445" s="28"/>
      <x:c r="P445" s="22"/>
      <x:c r="Q445" s="22"/>
      <x:c r="R445" s="28"/>
      <x:c r="S445" s="22"/>
      <x:c r="T445" s="37" t="n">
        <x:f>K445</x:f>
        <x:v>7</x:v>
      </x:c>
      <x:c r="U445" s="21" t="str">
        <x:f>IF(J445="Рассчитано",N445*(1-O445/100),"н/д")</x:f>
        <x:v>н/д</x:v>
      </x:c>
      <x:c r="V445" s="21" t="str">
        <x:f>IF(J445="Рассчитано",T445*U445,"н/д")</x:f>
        <x:v>н/д</x:v>
      </x:c>
      <x:c r="W445" s="21" t="str">
        <x:f>IF(J445="Рассчитано",T445*M445,"н/д")</x:f>
        <x:v>н/д</x:v>
      </x:c>
      <x:c r="X445" s="21" t="str">
        <x:f>IF(J445="Рассчитано",V445-W445,"н/д")</x:f>
        <x:v>н/д</x:v>
      </x:c>
      <x:c r="Y445" s="27" t="str">
        <x:f>IF(J445="Рассчитано",IF(V445&gt;0,G445/V445,"н/д"),"н/д")</x:f>
        <x:v>н/д</x:v>
      </x:c>
      <x:c r="Z445" s="21" t="str">
        <x:f>"н/д"</x:f>
        <x:v>н/д</x:v>
      </x:c>
      <x:c r="AA445" s="21" t="str">
        <x:f>"н/д"</x:f>
        <x:v>н/д</x:v>
      </x:c>
      <x:c r="AB445" s="21" t="str">
        <x:f>"н/д"</x:f>
        <x:v>н/д</x:v>
      </x:c>
      <x:c r="AC445" s="21" t="str">
        <x:f>IF(AND(J445="Рассчитано",T445&gt;0,R445&lt;100),(W445+P445+Q445)/(T445*(1-R445/100)),"н/д")</x:f>
        <x:v>н/д</x:v>
      </x:c>
      <x:c r="AD445" s="10" t="str">
        <x:f>IF(ISNUMBER(G445),IF(G445&lt;0,"Убыток",IF(G445=0,"Без прибыли","Прибыль &gt; 0")),"Не оценён")</x:f>
        <x:v>Не оценён</x:v>
      </x:c>
      <x:c r="AE445" s="13" t="str">
        <x:f>IF(J445="Рассчитано","Выручка "&amp;TEXT(V445,"0.00")&amp;" - себестоимость "&amp;TEXT(W445,"0.00")&amp;" - комиссия "&amp;TEXT(V445*R445/100,"0.00")&amp;" - доставка "&amp;TEXT(P445,"0.00")&amp;" - прочие "&amp;TEXT(Q445,"0.00")&amp;" = "&amp;TEXT(G445,"0.00")&amp;" "&amp;L445,"Введите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5" s="24" t="n">
        <x:v>1.303878871177342</x:v>
      </x:c>
      <x:c r="AG445" s="37" t="n">
        <x:v>9</x:v>
      </x:c>
      <x:c r="AH445" s="37" t="n">
        <x:v>0</x:v>
      </x:c>
      <x:c r="AI445" s="30" t="n">
        <x:v>46266</x:v>
      </x:c>
      <x:c r="AJ445" s="37" t="n">
        <x:v>1</x:v>
      </x:c>
      <x:c r="AK445" s="10" t="str">
        <x:v>минимум</x:v>
      </x:c>
      <x:c r="AL445" s="32" t="n">
        <x:v>586.981354211289</x:v>
      </x:c>
      <x:c r="AM44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45" s="13" t="str">
        <x:v>Проверить свободный остаток и установить цену для B2B</x:v>
      </x:c>
      <x:c r="AO445" s="13" t="str">
        <x:v>Остаток 9; прогноз 90 дней 1.30; избыток 7 шт. Будущие поступления не выставляются на продажу. Остаток на начало сентября: требуется актуализация.</x:v>
      </x:c>
      <x:c r="AP445" s="13" t="str">
        <x:v>["category_missing", "daily_stockout_data_missing", "new_order_lead_time_unknown", "reservations_unknown", "stale_stock"]</x:v>
      </x:c>
      <x:c r="AQ445" s="10" t="str">
        <x:v>IEK:030201129_</x:v>
      </x:c>
      <x:c r="AR445" s="24" t="n">
        <x:v>1</x:v>
      </x:c>
      <x:c r="AS445" s="24" t="n">
        <x:v>0</x:v>
      </x:c>
      <x:c r="AT445" s="24" t="n">
        <x:v>0</x:v>
      </x:c>
    </x:row>
    <x:row r="446" ht="64" customHeight="1">
      <x:c r="A446" s="11" t="str">
        <x:v>IEK</x:v>
      </x:c>
      <x:c r="B446" s="33" t="str">
        <x:v>030201130_</x:v>
      </x:c>
      <x:c r="C446" s="33" t="str">
        <x:v>BR-M42-G-31-K01</x:v>
      </x:c>
      <x:c r="D446" s="12" t="str">
        <x:v>Рамка 4-мест. "BRITE"  стекло бел. матовый  IEK  (1/50)</x:v>
      </x:c>
      <x:c r="E446" s="11" t="str">
        <x:v>шт</x:v>
      </x:c>
      <x:c r="F446" s="35" t="n">
        <x:f>MAX(0,ROUNDDOWN((AG446-AF446)/AR446+0.000000001,0)*AR446)</x:f>
        <x:v>4</x:v>
      </x:c>
      <x:c r="G446" s="20" t="str">
        <x:f>IF(J446="Рассчитано",V446*(1-R446/100)-W446-P446-Q446,"н/д")</x:f>
        <x:v>н/д</x:v>
      </x:c>
      <x:c r="H446" s="12" t="str">
        <x:v>Высокий</x:v>
      </x:c>
      <x:c r="I446" s="12" t="str">
        <x:v>Высокий</x:v>
      </x:c>
      <x:c r="J446" s="12" t="str">
        <x:f>IF(L446="","Укажите валюту",IF(NOT(ISNUMBER(K446)),"Укажите объём",IF(K446&lt;=0,"Укажите объём",IF(K446&gt;F446,"Объём выше излишка",IF(COUNT(M446:O446)&lt;3,"Нужны цены",IF(COUNT(P446:R446)&lt;3,"Нужны расходы",IF(OR(M446&lt;0,N446&lt;0,O446&lt;0,O446&gt;100,P446&lt;0,Q446&lt;0,R446&lt;0,R446&gt;100),"Проверьте значения","Рассчитано")))))))</x:f>
        <x:v>Нужны цены</x:v>
      </x:c>
      <x:c r="K446" s="36" t="n">
        <x:v>4</x:v>
      </x:c>
      <x:c r="L446" s="19" t="str">
        <x:v>KZT</x:v>
      </x:c>
      <x:c r="M446" s="22"/>
      <x:c r="N446" s="22"/>
      <x:c r="O446" s="28"/>
      <x:c r="P446" s="22"/>
      <x:c r="Q446" s="22"/>
      <x:c r="R446" s="28"/>
      <x:c r="S446" s="22"/>
      <x:c r="T446" s="35" t="n">
        <x:f>K446</x:f>
        <x:v>4</x:v>
      </x:c>
      <x:c r="U446" s="20" t="str">
        <x:f>IF(J446="Рассчитано",N446*(1-O446/100),"н/д")</x:f>
        <x:v>н/д</x:v>
      </x:c>
      <x:c r="V446" s="20" t="str">
        <x:f>IF(J446="Рассчитано",T446*U446,"н/д")</x:f>
        <x:v>н/д</x:v>
      </x:c>
      <x:c r="W446" s="20" t="str">
        <x:f>IF(J446="Рассчитано",T446*M446,"н/д")</x:f>
        <x:v>н/д</x:v>
      </x:c>
      <x:c r="X446" s="20" t="str">
        <x:f>IF(J446="Рассчитано",V446-W446,"н/д")</x:f>
        <x:v>н/д</x:v>
      </x:c>
      <x:c r="Y446" s="26" t="str">
        <x:f>IF(J446="Рассчитано",IF(V446&gt;0,G446/V446,"н/д"),"н/д")</x:f>
        <x:v>н/д</x:v>
      </x:c>
      <x:c r="Z446" s="20" t="str">
        <x:f>"н/д"</x:f>
        <x:v>н/д</x:v>
      </x:c>
      <x:c r="AA446" s="20" t="str">
        <x:f>"н/д"</x:f>
        <x:v>н/д</x:v>
      </x:c>
      <x:c r="AB446" s="20" t="str">
        <x:f>"н/д"</x:f>
        <x:v>н/д</x:v>
      </x:c>
      <x:c r="AC446" s="20" t="str">
        <x:f>IF(AND(J446="Рассчитано",T446&gt;0,R446&lt;100),(W446+P446+Q446)/(T446*(1-R446/100)),"н/д")</x:f>
        <x:v>н/д</x:v>
      </x:c>
      <x:c r="AD446" s="11" t="str">
        <x:f>IF(ISNUMBER(G446),IF(G446&lt;0,"Убыток",IF(G446=0,"Без прибыли","Прибыль &gt; 0")),"Не оценён")</x:f>
        <x:v>Не оценён</x:v>
      </x:c>
      <x:c r="AE446" s="12" t="str">
        <x:f>IF(J446="Рассчитано","Выручка "&amp;TEXT(V446,"0.00")&amp;" - себестоимость "&amp;TEXT(W446,"0.00")&amp;" - комиссия "&amp;TEXT(V446*R446/100,"0.00")&amp;" - доставка "&amp;TEXT(P446,"0.00")&amp;" - прочие "&amp;TEXT(Q446,"0.00")&amp;" = "&amp;TEXT(G446,"0.00")&amp;" "&amp;L446,"Введите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6" s="23" t="n">
        <x:v>0.13131673512961206</x:v>
      </x:c>
      <x:c r="AG446" s="35" t="n">
        <x:v>5</x:v>
      </x:c>
      <x:c r="AH446" s="35" t="n">
        <x:v>0</x:v>
      </x:c>
      <x:c r="AI446" s="29" t="n">
        <x:v>46266</x:v>
      </x:c>
      <x:c r="AJ446" s="35" t="n">
        <x:v>1</x:v>
      </x:c>
      <x:c r="AK446" s="11" t="str">
        <x:v>минимум</x:v>
      </x:c>
      <x:c r="AL446" s="31" t="n">
        <x:v>3237.9413060412217</x:v>
      </x:c>
      <x:c r="AM44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46" s="12" t="str">
        <x:v>Проверить свободный остаток и установить цену для B2B</x:v>
      </x:c>
      <x:c r="AO446" s="12" t="str">
        <x:v>Остаток 5; прогноз 90 дней 0.13; избыток 4 шт. Будущие поступления не выставляются на продажу. Остаток на начало сентября: требуется актуализация.</x:v>
      </x:c>
      <x:c r="AP446" s="12" t="str">
        <x:v>["category_missing", "daily_stockout_data_missing", "new_order_lead_time_unknown", "reservations_unknown", "stale_stock"]</x:v>
      </x:c>
      <x:c r="AQ446" s="11" t="str">
        <x:v>IEK:030201130_</x:v>
      </x:c>
      <x:c r="AR446" s="23" t="n">
        <x:v>1</x:v>
      </x:c>
      <x:c r="AS446" s="23" t="n">
        <x:v>0</x:v>
      </x:c>
      <x:c r="AT446" s="23" t="n">
        <x:v>0</x:v>
      </x:c>
    </x:row>
    <x:row r="447" ht="64" customHeight="1">
      <x:c r="A447" s="10" t="str">
        <x:v>IEK</x:v>
      </x:c>
      <x:c r="B447" s="34" t="str">
        <x:v>030201131_</x:v>
      </x:c>
      <x:c r="C447" s="34" t="str">
        <x:v>BR-M42-G-31-K02</x:v>
      </x:c>
      <x:c r="D447" s="13" t="str">
        <x:v>Рамка 4-мест. "BRITE"  стекло черн. матовый  IEK  (1/50)</x:v>
      </x:c>
      <x:c r="E447" s="10" t="str">
        <x:v>шт</x:v>
      </x:c>
      <x:c r="F447" s="37" t="n">
        <x:f>MAX(0,ROUNDDOWN((AG447-AF447)/AR447+0.000000001,0)*AR447)</x:f>
        <x:v>8</x:v>
      </x:c>
      <x:c r="G447" s="21" t="str">
        <x:f>IF(J447="Рассчитано",V447*(1-R447/100)-W447-P447-Q447,"н/д")</x:f>
        <x:v>н/д</x:v>
      </x:c>
      <x:c r="H447" s="13" t="str">
        <x:v>Высокий</x:v>
      </x:c>
      <x:c r="I447" s="13" t="str">
        <x:v>Высокий</x:v>
      </x:c>
      <x:c r="J447" s="13" t="str">
        <x:f>IF(L447="","Укажите валюту",IF(NOT(ISNUMBER(K447)),"Укажите объём",IF(K447&lt;=0,"Укажите объём",IF(K447&gt;F447,"Объём выше излишка",IF(COUNT(M447:O447)&lt;3,"Нужны цены",IF(COUNT(P447:R447)&lt;3,"Нужны расходы",IF(OR(M447&lt;0,N447&lt;0,O447&lt;0,O447&gt;100,P447&lt;0,Q447&lt;0,R447&lt;0,R447&gt;100),"Проверьте значения","Рассчитано")))))))</x:f>
        <x:v>Нужны цены</x:v>
      </x:c>
      <x:c r="K447" s="36" t="n">
        <x:v>8</x:v>
      </x:c>
      <x:c r="L447" s="19" t="str">
        <x:v>KZT</x:v>
      </x:c>
      <x:c r="M447" s="22"/>
      <x:c r="N447" s="22"/>
      <x:c r="O447" s="28"/>
      <x:c r="P447" s="22"/>
      <x:c r="Q447" s="22"/>
      <x:c r="R447" s="28"/>
      <x:c r="S447" s="22"/>
      <x:c r="T447" s="37" t="n">
        <x:f>K447</x:f>
        <x:v>8</x:v>
      </x:c>
      <x:c r="U447" s="21" t="str">
        <x:f>IF(J447="Рассчитано",N447*(1-O447/100),"н/д")</x:f>
        <x:v>н/д</x:v>
      </x:c>
      <x:c r="V447" s="21" t="str">
        <x:f>IF(J447="Рассчитано",T447*U447,"н/д")</x:f>
        <x:v>н/д</x:v>
      </x:c>
      <x:c r="W447" s="21" t="str">
        <x:f>IF(J447="Рассчитано",T447*M447,"н/д")</x:f>
        <x:v>н/д</x:v>
      </x:c>
      <x:c r="X447" s="21" t="str">
        <x:f>IF(J447="Рассчитано",V447-W447,"н/д")</x:f>
        <x:v>н/д</x:v>
      </x:c>
      <x:c r="Y447" s="27" t="str">
        <x:f>IF(J447="Рассчитано",IF(V447&gt;0,G447/V447,"н/д"),"н/д")</x:f>
        <x:v>н/д</x:v>
      </x:c>
      <x:c r="Z447" s="21" t="str">
        <x:f>"н/д"</x:f>
        <x:v>н/д</x:v>
      </x:c>
      <x:c r="AA447" s="21" t="str">
        <x:f>"н/д"</x:f>
        <x:v>н/д</x:v>
      </x:c>
      <x:c r="AB447" s="21" t="str">
        <x:f>"н/д"</x:f>
        <x:v>н/д</x:v>
      </x:c>
      <x:c r="AC447" s="21" t="str">
        <x:f>IF(AND(J447="Рассчитано",T447&gt;0,R447&lt;100),(W447+P447+Q447)/(T447*(1-R447/100)),"н/д")</x:f>
        <x:v>н/д</x:v>
      </x:c>
      <x:c r="AD447" s="10" t="str">
        <x:f>IF(ISNUMBER(G447),IF(G447&lt;0,"Убыток",IF(G447=0,"Без прибыли","Прибыль &gt; 0")),"Не оценён")</x:f>
        <x:v>Не оценён</x:v>
      </x:c>
      <x:c r="AE447" s="13" t="str">
        <x:f>IF(J447="Рассчитано","Выручка "&amp;TEXT(V447,"0.00")&amp;" - себестоимость "&amp;TEXT(W447,"0.00")&amp;" - комиссия "&amp;TEXT(V447*R447/100,"0.00")&amp;" - доставка "&amp;TEXT(P447,"0.00")&amp;" - прочие "&amp;TEXT(Q447,"0.00")&amp;" = "&amp;TEXT(G447,"0.00")&amp;" "&amp;L447,"Введите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7" s="24" t="n">
        <x:v>0</x:v>
      </x:c>
      <x:c r="AG447" s="37" t="n">
        <x:v>8</x:v>
      </x:c>
      <x:c r="AH447" s="37" t="n">
        <x:v>0</x:v>
      </x:c>
      <x:c r="AI447" s="30" t="n">
        <x:v>46266</x:v>
      </x:c>
      <x:c r="AJ447" s="37" t="n">
        <x:v>1</x:v>
      </x:c>
      <x:c r="AK447" s="10" t="str">
        <x:v>минимум</x:v>
      </x:c>
      <x:c r="AL447" s="32" t="str">
        <x:v>н/д</x:v>
      </x:c>
      <x:c r="AM44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47" s="13" t="str">
        <x:v>Проверить свободный остаток и установить цену для B2B</x:v>
      </x:c>
      <x:c r="AO447" s="13" t="str">
        <x:v>Остаток 8; прогноз 90 дней 0.00; избыток 8 шт. Будущие поступления не выставляются на продажу. Остаток на начало сентября: требуется актуализация.</x:v>
      </x:c>
      <x:c r="AP447" s="13" t="str">
        <x:v>["category_missing", "daily_stockout_data_missing", "new_order_lead_time_unknown", "reservations_unknown", "stale_stock"]</x:v>
      </x:c>
      <x:c r="AQ447" s="10" t="str">
        <x:v>IEK:030201131_</x:v>
      </x:c>
      <x:c r="AR447" s="24" t="n">
        <x:v>1</x:v>
      </x:c>
      <x:c r="AS447" s="24" t="n">
        <x:v>0</x:v>
      </x:c>
      <x:c r="AT447" s="24" t="n">
        <x:v>0</x:v>
      </x:c>
    </x:row>
    <x:row r="448" ht="64" customHeight="1">
      <x:c r="A448" s="11" t="str">
        <x:v>IEK</x:v>
      </x:c>
      <x:c r="B448" s="33" t="str">
        <x:v>030201133_</x:v>
      </x:c>
      <x:c r="C448" s="33" t="str">
        <x:v>BR-M42-G-41-K01</x:v>
      </x:c>
      <x:c r="D448" s="12" t="str">
        <x:v>Рамка 4-мест. "BRITE"  стекло бел. RE  IEK  (1/50)</x:v>
      </x:c>
      <x:c r="E448" s="11" t="str">
        <x:v>шт</x:v>
      </x:c>
      <x:c r="F448" s="35" t="n">
        <x:f>MAX(0,ROUNDDOWN((AG448-AF448)/AR448+0.000000001,0)*AR448)</x:f>
        <x:v>8</x:v>
      </x:c>
      <x:c r="G448" s="20" t="str">
        <x:f>IF(J448="Рассчитано",V448*(1-R448/100)-W448-P448-Q448,"н/д")</x:f>
        <x:v>н/д</x:v>
      </x:c>
      <x:c r="H448" s="12" t="str">
        <x:v>Высокий</x:v>
      </x:c>
      <x:c r="I448" s="12" t="str">
        <x:v>Высокий</x:v>
      </x:c>
      <x:c r="J448" s="12" t="str">
        <x:f>IF(L448="","Укажите валюту",IF(NOT(ISNUMBER(K448)),"Укажите объём",IF(K448&lt;=0,"Укажите объём",IF(K448&gt;F448,"Объём выше излишка",IF(COUNT(M448:O448)&lt;3,"Нужны цены",IF(COUNT(P448:R448)&lt;3,"Нужны расходы",IF(OR(M448&lt;0,N448&lt;0,O448&lt;0,O448&gt;100,P448&lt;0,Q448&lt;0,R448&lt;0,R448&gt;100),"Проверьте значения","Рассчитано")))))))</x:f>
        <x:v>Нужны цены</x:v>
      </x:c>
      <x:c r="K448" s="36" t="n">
        <x:v>8</x:v>
      </x:c>
      <x:c r="L448" s="19" t="str">
        <x:v>KZT</x:v>
      </x:c>
      <x:c r="M448" s="22"/>
      <x:c r="N448" s="22"/>
      <x:c r="O448" s="28"/>
      <x:c r="P448" s="22"/>
      <x:c r="Q448" s="22"/>
      <x:c r="R448" s="28"/>
      <x:c r="S448" s="22"/>
      <x:c r="T448" s="35" t="n">
        <x:f>K448</x:f>
        <x:v>8</x:v>
      </x:c>
      <x:c r="U448" s="20" t="str">
        <x:f>IF(J448="Рассчитано",N448*(1-O448/100),"н/д")</x:f>
        <x:v>н/д</x:v>
      </x:c>
      <x:c r="V448" s="20" t="str">
        <x:f>IF(J448="Рассчитано",T448*U448,"н/д")</x:f>
        <x:v>н/д</x:v>
      </x:c>
      <x:c r="W448" s="20" t="str">
        <x:f>IF(J448="Рассчитано",T448*M448,"н/д")</x:f>
        <x:v>н/д</x:v>
      </x:c>
      <x:c r="X448" s="20" t="str">
        <x:f>IF(J448="Рассчитано",V448-W448,"н/д")</x:f>
        <x:v>н/д</x:v>
      </x:c>
      <x:c r="Y448" s="26" t="str">
        <x:f>IF(J448="Рассчитано",IF(V448&gt;0,G448/V448,"н/д"),"н/д")</x:f>
        <x:v>н/д</x:v>
      </x:c>
      <x:c r="Z448" s="20" t="str">
        <x:f>"н/д"</x:f>
        <x:v>н/д</x:v>
      </x:c>
      <x:c r="AA448" s="20" t="str">
        <x:f>"н/д"</x:f>
        <x:v>н/д</x:v>
      </x:c>
      <x:c r="AB448" s="20" t="str">
        <x:f>"н/д"</x:f>
        <x:v>н/д</x:v>
      </x:c>
      <x:c r="AC448" s="20" t="str">
        <x:f>IF(AND(J448="Рассчитано",T448&gt;0,R448&lt;100),(W448+P448+Q448)/(T448*(1-R448/100)),"н/д")</x:f>
        <x:v>н/д</x:v>
      </x:c>
      <x:c r="AD448" s="11" t="str">
        <x:f>IF(ISNUMBER(G448),IF(G448&lt;0,"Убыток",IF(G448=0,"Без прибыли","Прибыль &gt; 0")),"Не оценён")</x:f>
        <x:v>Не оценён</x:v>
      </x:c>
      <x:c r="AE448" s="12" t="str">
        <x:f>IF(J448="Рассчитано","Выручка "&amp;TEXT(V448,"0.00")&amp;" - себестоимость "&amp;TEXT(W448,"0.00")&amp;" - комиссия "&amp;TEXT(V448*R448/100,"0.00")&amp;" - доставка "&amp;TEXT(P448,"0.00")&amp;" - прочие "&amp;TEXT(Q448,"0.00")&amp;" = "&amp;TEXT(G448,"0.00")&amp;" "&amp;L448,"Введите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8" s="23" t="n">
        <x:v>1.851379947591724</x:v>
      </x:c>
      <x:c r="AG448" s="35" t="n">
        <x:v>10</x:v>
      </x:c>
      <x:c r="AH448" s="35" t="n">
        <x:v>0</x:v>
      </x:c>
      <x:c r="AI448" s="29" t="n">
        <x:v>46266</x:v>
      </x:c>
      <x:c r="AJ448" s="35" t="n">
        <x:v>1</x:v>
      </x:c>
      <x:c r="AK448" s="11" t="str">
        <x:v>минимум</x:v>
      </x:c>
      <x:c r="AL448" s="31" t="n">
        <x:v>459.32860124550916</x:v>
      </x:c>
      <x:c r="AM44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48" s="12" t="str">
        <x:v>Проверить свободный остаток и установить цену для B2B</x:v>
      </x:c>
      <x:c r="AO448" s="12" t="str">
        <x:v>Остаток 10; прогноз 90 дней 1.85; избыток 8 шт. Будущие поступления не выставляются на продажу. Остаток на начало сентября: требуется актуализация.</x:v>
      </x:c>
      <x:c r="AP448" s="12" t="str">
        <x:v>["category_missing", "daily_stockout_data_missing", "large_orders_detected", "new_order_lead_time_unknown", "reservations_unknown", "stale_stock"]</x:v>
      </x:c>
      <x:c r="AQ448" s="11" t="str">
        <x:v>IEK:030201133_</x:v>
      </x:c>
      <x:c r="AR448" s="23" t="n">
        <x:v>1</x:v>
      </x:c>
      <x:c r="AS448" s="23" t="n">
        <x:v>0</x:v>
      </x:c>
      <x:c r="AT448" s="23" t="n">
        <x:v>0</x:v>
      </x:c>
    </x:row>
    <x:row r="449" ht="64" customHeight="1">
      <x:c r="A449" s="10" t="str">
        <x:v>IEK</x:v>
      </x:c>
      <x:c r="B449" s="34" t="str">
        <x:v>030201134_</x:v>
      </x:c>
      <x:c r="C449" s="34" t="str">
        <x:v>BR-M42-G-41-K02</x:v>
      </x:c>
      <x:c r="D449" s="13" t="str">
        <x:v>Рамка 4-мест. "BRITE"  стекло черн. RE  IEK  (1/50)</x:v>
      </x:c>
      <x:c r="E449" s="10" t="str">
        <x:v>шт</x:v>
      </x:c>
      <x:c r="F449" s="37" t="n">
        <x:f>MAX(0,ROUNDDOWN((AG449-AF449)/AR449+0.000000001,0)*AR449)</x:f>
        <x:v>6</x:v>
      </x:c>
      <x:c r="G449" s="21" t="str">
        <x:f>IF(J449="Рассчитано",V449*(1-R449/100)-W449-P449-Q449,"н/д")</x:f>
        <x:v>н/д</x:v>
      </x:c>
      <x:c r="H449" s="13" t="str">
        <x:v>Высокий</x:v>
      </x:c>
      <x:c r="I449" s="13" t="str">
        <x:v>Высокий</x:v>
      </x:c>
      <x:c r="J449" s="13" t="str">
        <x:f>IF(L449="","Укажите валюту",IF(NOT(ISNUMBER(K449)),"Укажите объём",IF(K449&lt;=0,"Укажите объём",IF(K449&gt;F449,"Объём выше излишка",IF(COUNT(M449:O449)&lt;3,"Нужны цены",IF(COUNT(P449:R449)&lt;3,"Нужны расходы",IF(OR(M449&lt;0,N449&lt;0,O449&lt;0,O449&gt;100,P449&lt;0,Q449&lt;0,R449&lt;0,R449&gt;100),"Проверьте значения","Рассчитано")))))))</x:f>
        <x:v>Нужны цены</x:v>
      </x:c>
      <x:c r="K449" s="36" t="n">
        <x:v>6</x:v>
      </x:c>
      <x:c r="L449" s="19" t="str">
        <x:v>KZT</x:v>
      </x:c>
      <x:c r="M449" s="22"/>
      <x:c r="N449" s="22"/>
      <x:c r="O449" s="28"/>
      <x:c r="P449" s="22"/>
      <x:c r="Q449" s="22"/>
      <x:c r="R449" s="28"/>
      <x:c r="S449" s="22"/>
      <x:c r="T449" s="37" t="n">
        <x:f>K449</x:f>
        <x:v>6</x:v>
      </x:c>
      <x:c r="U449" s="21" t="str">
        <x:f>IF(J449="Рассчитано",N449*(1-O449/100),"н/д")</x:f>
        <x:v>н/д</x:v>
      </x:c>
      <x:c r="V449" s="21" t="str">
        <x:f>IF(J449="Рассчитано",T449*U449,"н/д")</x:f>
        <x:v>н/д</x:v>
      </x:c>
      <x:c r="W449" s="21" t="str">
        <x:f>IF(J449="Рассчитано",T449*M449,"н/д")</x:f>
        <x:v>н/д</x:v>
      </x:c>
      <x:c r="X449" s="21" t="str">
        <x:f>IF(J449="Рассчитано",V449-W449,"н/д")</x:f>
        <x:v>н/д</x:v>
      </x:c>
      <x:c r="Y449" s="27" t="str">
        <x:f>IF(J449="Рассчитано",IF(V449&gt;0,G449/V449,"н/д"),"н/д")</x:f>
        <x:v>н/д</x:v>
      </x:c>
      <x:c r="Z449" s="21" t="str">
        <x:f>"н/д"</x:f>
        <x:v>н/д</x:v>
      </x:c>
      <x:c r="AA449" s="21" t="str">
        <x:f>"н/д"</x:f>
        <x:v>н/д</x:v>
      </x:c>
      <x:c r="AB449" s="21" t="str">
        <x:f>"н/д"</x:f>
        <x:v>н/д</x:v>
      </x:c>
      <x:c r="AC449" s="21" t="str">
        <x:f>IF(AND(J449="Рассчитано",T449&gt;0,R449&lt;100),(W449+P449+Q449)/(T449*(1-R449/100)),"н/д")</x:f>
        <x:v>н/д</x:v>
      </x:c>
      <x:c r="AD449" s="10" t="str">
        <x:f>IF(ISNUMBER(G449),IF(G449&lt;0,"Убыток",IF(G449=0,"Без прибыли","Прибыль &gt; 0")),"Не оценён")</x:f>
        <x:v>Не оценён</x:v>
      </x:c>
      <x:c r="AE449" s="13" t="str">
        <x:f>IF(J449="Рассчитано","Выручка "&amp;TEXT(V449,"0.00")&amp;" - себестоимость "&amp;TEXT(W449,"0.00")&amp;" - комиссия "&amp;TEXT(V449*R449/100,"0.00")&amp;" - доставка "&amp;TEXT(P449,"0.00")&amp;" - прочие "&amp;TEXT(Q449,"0.00")&amp;" = "&amp;TEXT(G449,"0.00")&amp;" "&amp;L449,"Введите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9" s="24" t="n">
        <x:v>1.0969968720341532</x:v>
      </x:c>
      <x:c r="AG449" s="37" t="n">
        <x:v>8</x:v>
      </x:c>
      <x:c r="AH449" s="37" t="n">
        <x:v>0</x:v>
      </x:c>
      <x:c r="AI449" s="30" t="n">
        <x:v>46266</x:v>
      </x:c>
      <x:c r="AJ449" s="37" t="n">
        <x:v>1</x:v>
      </x:c>
      <x:c r="AK449" s="10" t="str">
        <x:v>минимум</x:v>
      </x:c>
      <x:c r="AL449" s="32" t="n">
        <x:v>620.1598443025023</x:v>
      </x:c>
      <x:c r="AM44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49" s="13" t="str">
        <x:v>Проверить свободный остаток и установить цену для B2B</x:v>
      </x:c>
      <x:c r="AO449" s="13" t="str">
        <x:v>Остаток 8; прогноз 90 дней 1.10; избыток 6 шт. Будущие поступления не выставляются на продажу. Остаток на начало сентября: требуется актуализация.</x:v>
      </x:c>
      <x:c r="AP449" s="13" t="str">
        <x:v>["category_missing", "daily_stockout_data_missing", "new_order_lead_time_unknown", "reservations_unknown", "stale_stock"]</x:v>
      </x:c>
      <x:c r="AQ449" s="10" t="str">
        <x:v>IEK:030201134_</x:v>
      </x:c>
      <x:c r="AR449" s="24" t="n">
        <x:v>1</x:v>
      </x:c>
      <x:c r="AS449" s="24" t="n">
        <x:v>0</x:v>
      </x:c>
      <x:c r="AT449" s="24" t="n">
        <x:v>0</x:v>
      </x:c>
    </x:row>
    <x:row r="450" ht="64" customHeight="1">
      <x:c r="A450" s="11" t="str">
        <x:v>IEK</x:v>
      </x:c>
      <x:c r="B450" s="33" t="str">
        <x:v>030201135_</x:v>
      </x:c>
      <x:c r="C450" s="33" t="str">
        <x:v>BR-M42-G-41-K53</x:v>
      </x:c>
      <x:c r="D450" s="12" t="str">
        <x:v>Рамка 4-мест. "BRITE"  стекло графит RE  IEK  (1/50)</x:v>
      </x:c>
      <x:c r="E450" s="11" t="str">
        <x:v>шт</x:v>
      </x:c>
      <x:c r="F450" s="35" t="n">
        <x:f>MAX(0,ROUNDDOWN((AG450-AF450)/AR450+0.000000001,0)*AR450)</x:f>
        <x:v>5</x:v>
      </x:c>
      <x:c r="G450" s="20" t="str">
        <x:f>IF(J450="Рассчитано",V450*(1-R450/100)-W450-P450-Q450,"н/д")</x:f>
        <x:v>н/д</x:v>
      </x:c>
      <x:c r="H450" s="12" t="str">
        <x:v>Высокий</x:v>
      </x:c>
      <x:c r="I450" s="12" t="str">
        <x:v>Высокий</x:v>
      </x:c>
      <x:c r="J450" s="12" t="str">
        <x:f>IF(L450="","Укажите валюту",IF(NOT(ISNUMBER(K450)),"Укажите объём",IF(K450&lt;=0,"Укажите объём",IF(K450&gt;F450,"Объём выше излишка",IF(COUNT(M450:O450)&lt;3,"Нужны цены",IF(COUNT(P450:R450)&lt;3,"Нужны расходы",IF(OR(M450&lt;0,N450&lt;0,O450&lt;0,O450&gt;100,P450&lt;0,Q450&lt;0,R450&lt;0,R450&gt;100),"Проверьте значения","Рассчитано")))))))</x:f>
        <x:v>Нужны цены</x:v>
      </x:c>
      <x:c r="K450" s="36" t="n">
        <x:v>5</x:v>
      </x:c>
      <x:c r="L450" s="19" t="str">
        <x:v>KZT</x:v>
      </x:c>
      <x:c r="M450" s="22"/>
      <x:c r="N450" s="22"/>
      <x:c r="O450" s="28"/>
      <x:c r="P450" s="22"/>
      <x:c r="Q450" s="22"/>
      <x:c r="R450" s="28"/>
      <x:c r="S450" s="22"/>
      <x:c r="T450" s="35" t="n">
        <x:f>K450</x:f>
        <x:v>5</x:v>
      </x:c>
      <x:c r="U450" s="20" t="str">
        <x:f>IF(J450="Рассчитано",N450*(1-O450/100),"н/д")</x:f>
        <x:v>н/д</x:v>
      </x:c>
      <x:c r="V450" s="20" t="str">
        <x:f>IF(J450="Рассчитано",T450*U450,"н/д")</x:f>
        <x:v>н/д</x:v>
      </x:c>
      <x:c r="W450" s="20" t="str">
        <x:f>IF(J450="Рассчитано",T450*M450,"н/д")</x:f>
        <x:v>н/д</x:v>
      </x:c>
      <x:c r="X450" s="20" t="str">
        <x:f>IF(J450="Рассчитано",V450-W450,"н/д")</x:f>
        <x:v>н/д</x:v>
      </x:c>
      <x:c r="Y450" s="26" t="str">
        <x:f>IF(J450="Рассчитано",IF(V450&gt;0,G450/V450,"н/д"),"н/д")</x:f>
        <x:v>н/д</x:v>
      </x:c>
      <x:c r="Z450" s="20" t="str">
        <x:f>"н/д"</x:f>
        <x:v>н/д</x:v>
      </x:c>
      <x:c r="AA450" s="20" t="str">
        <x:f>"н/д"</x:f>
        <x:v>н/д</x:v>
      </x:c>
      <x:c r="AB450" s="20" t="str">
        <x:f>"н/д"</x:f>
        <x:v>н/д</x:v>
      </x:c>
      <x:c r="AC450" s="20" t="str">
        <x:f>IF(AND(J450="Рассчитано",T450&gt;0,R450&lt;100),(W450+P450+Q450)/(T450*(1-R450/100)),"н/д")</x:f>
        <x:v>н/д</x:v>
      </x:c>
      <x:c r="AD450" s="11" t="str">
        <x:f>IF(ISNUMBER(G450),IF(G450&lt;0,"Убыток",IF(G450=0,"Без прибыли","Прибыль &gt; 0")),"Не оценён")</x:f>
        <x:v>Не оценён</x:v>
      </x:c>
      <x:c r="AE450" s="12" t="str">
        <x:f>IF(J450="Рассчитано","Выручка "&amp;TEXT(V450,"0.00")&amp;" - себестоимость "&amp;TEXT(W450,"0.00")&amp;" - комиссия "&amp;TEXT(V450*R450/100,"0.00")&amp;" - доставка "&amp;TEXT(P450,"0.00")&amp;" - прочие "&amp;TEXT(Q450,"0.00")&amp;" = "&amp;TEXT(G450,"0.00")&amp;" "&amp;L450,"Введите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0" s="23" t="n">
        <x:v>0.6599922812780125</x:v>
      </x:c>
      <x:c r="AG450" s="35" t="n">
        <x:v>6</x:v>
      </x:c>
      <x:c r="AH450" s="35" t="n">
        <x:v>0</x:v>
      </x:c>
      <x:c r="AI450" s="29" t="n">
        <x:v>46266</x:v>
      </x:c>
      <x:c r="AJ450" s="35" t="n">
        <x:v>1</x:v>
      </x:c>
      <x:c r="AK450" s="11" t="str">
        <x:v>минимум</x:v>
      </x:c>
      <x:c r="AL450" s="31" t="n">
        <x:v>773.092461070533</x:v>
      </x:c>
      <x:c r="AM4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50" s="12" t="str">
        <x:v>Проверить свободный остаток и установить цену для B2B</x:v>
      </x:c>
      <x:c r="AO450" s="12" t="str">
        <x:v>Остаток 6; прогноз 90 дней 0.66; избыток 5 шт. Будущие поступления не выставляются на продажу. Остаток на начало сентября: требуется актуализация.</x:v>
      </x:c>
      <x:c r="AP450" s="12" t="str">
        <x:v>["category_missing", "daily_stockout_data_missing", "new_order_lead_time_unknown", "reservations_unknown", "stale_stock"]</x:v>
      </x:c>
      <x:c r="AQ450" s="11" t="str">
        <x:v>IEK:030201135_</x:v>
      </x:c>
      <x:c r="AR450" s="23" t="n">
        <x:v>1</x:v>
      </x:c>
      <x:c r="AS450" s="23" t="n">
        <x:v>0</x:v>
      </x:c>
      <x:c r="AT450" s="23" t="n">
        <x:v>0</x:v>
      </x:c>
    </x:row>
    <x:row r="451" ht="64" customHeight="1">
      <x:c r="A451" s="10" t="str">
        <x:v>IEK</x:v>
      </x:c>
      <x:c r="B451" s="34" t="str">
        <x:v>030201136_</x:v>
      </x:c>
      <x:c r="C451" s="34" t="str">
        <x:v>BR-M42-G-41-K98</x:v>
      </x:c>
      <x:c r="D451" s="13" t="str">
        <x:v>Рамка 4-мест. "BRITE"  стекло песчаный RE  IEK  (1/50)</x:v>
      </x:c>
      <x:c r="E451" s="10" t="str">
        <x:v>шт</x:v>
      </x:c>
      <x:c r="F451" s="37" t="n">
        <x:f>MAX(0,ROUNDDOWN((AG451-AF451)/AR451+0.000000001,0)*AR451)</x:f>
        <x:v>2</x:v>
      </x:c>
      <x:c r="G451" s="21" t="str">
        <x:f>IF(J451="Рассчитано",V451*(1-R451/100)-W451-P451-Q451,"н/д")</x:f>
        <x:v>н/д</x:v>
      </x:c>
      <x:c r="H451" s="13" t="str">
        <x:v>Высокий</x:v>
      </x:c>
      <x:c r="I451" s="13" t="str">
        <x:v>Высокий</x:v>
      </x:c>
      <x:c r="J451" s="13" t="str">
        <x:f>IF(L451="","Укажите валюту",IF(NOT(ISNUMBER(K451)),"Укажите объём",IF(K451&lt;=0,"Укажите объём",IF(K451&gt;F451,"Объём выше излишка",IF(COUNT(M451:O451)&lt;3,"Нужны цены",IF(COUNT(P451:R451)&lt;3,"Нужны расходы",IF(OR(M451&lt;0,N451&lt;0,O451&lt;0,O451&gt;100,P451&lt;0,Q451&lt;0,R451&lt;0,R451&gt;100),"Проверьте значения","Рассчитано")))))))</x:f>
        <x:v>Нужны цены</x:v>
      </x:c>
      <x:c r="K451" s="36" t="n">
        <x:v>2</x:v>
      </x:c>
      <x:c r="L451" s="19" t="str">
        <x:v>KZT</x:v>
      </x:c>
      <x:c r="M451" s="22"/>
      <x:c r="N451" s="22"/>
      <x:c r="O451" s="28"/>
      <x:c r="P451" s="22"/>
      <x:c r="Q451" s="22"/>
      <x:c r="R451" s="28"/>
      <x:c r="S451" s="22"/>
      <x:c r="T451" s="37" t="n">
        <x:f>K451</x:f>
        <x:v>2</x:v>
      </x:c>
      <x:c r="U451" s="21" t="str">
        <x:f>IF(J451="Рассчитано",N451*(1-O451/100),"н/д")</x:f>
        <x:v>н/д</x:v>
      </x:c>
      <x:c r="V451" s="21" t="str">
        <x:f>IF(J451="Рассчитано",T451*U451,"н/д")</x:f>
        <x:v>н/д</x:v>
      </x:c>
      <x:c r="W451" s="21" t="str">
        <x:f>IF(J451="Рассчитано",T451*M451,"н/д")</x:f>
        <x:v>н/д</x:v>
      </x:c>
      <x:c r="X451" s="21" t="str">
        <x:f>IF(J451="Рассчитано",V451-W451,"н/д")</x:f>
        <x:v>н/д</x:v>
      </x:c>
      <x:c r="Y451" s="27" t="str">
        <x:f>IF(J451="Рассчитано",IF(V451&gt;0,G451/V451,"н/д"),"н/д")</x:f>
        <x:v>н/д</x:v>
      </x:c>
      <x:c r="Z451" s="21" t="str">
        <x:f>"н/д"</x:f>
        <x:v>н/д</x:v>
      </x:c>
      <x:c r="AA451" s="21" t="str">
        <x:f>"н/д"</x:f>
        <x:v>н/д</x:v>
      </x:c>
      <x:c r="AB451" s="21" t="str">
        <x:f>"н/д"</x:f>
        <x:v>н/д</x:v>
      </x:c>
      <x:c r="AC451" s="21" t="str">
        <x:f>IF(AND(J451="Рассчитано",T451&gt;0,R451&lt;100),(W451+P451+Q451)/(T451*(1-R451/100)),"н/д")</x:f>
        <x:v>н/д</x:v>
      </x:c>
      <x:c r="AD451" s="10" t="str">
        <x:f>IF(ISNUMBER(G451),IF(G451&lt;0,"Убыток",IF(G451=0,"Без прибыли","Прибыль &gt; 0")),"Не оценён")</x:f>
        <x:v>Не оценён</x:v>
      </x:c>
      <x:c r="AE451" s="13" t="str">
        <x:f>IF(J451="Рассчитано","Выручка "&amp;TEXT(V451,"0.00")&amp;" - себестоимость "&amp;TEXT(W451,"0.00")&amp;" - комиссия "&amp;TEXT(V451*R451/100,"0.00")&amp;" - доставка "&amp;TEXT(P451,"0.00")&amp;" - прочие "&amp;TEXT(Q451,"0.00")&amp;" = "&amp;TEXT(G451,"0.00")&amp;" "&amp;L451,"Введите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1" s="24" t="n">
        <x:v>0.6458581235598647</x:v>
      </x:c>
      <x:c r="AG451" s="37" t="n">
        <x:v>3</x:v>
      </x:c>
      <x:c r="AH451" s="37" t="n">
        <x:v>0</x:v>
      </x:c>
      <x:c r="AI451" s="30" t="n">
        <x:v>46266</x:v>
      </x:c>
      <x:c r="AJ451" s="37" t="n">
        <x:v>1</x:v>
      </x:c>
      <x:c r="AK451" s="10" t="str">
        <x:v>минимум</x:v>
      </x:c>
      <x:c r="AL451" s="32" t="n">
        <x:v>395.0055270718305</x:v>
      </x:c>
      <x:c r="AM45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51" s="13" t="str">
        <x:v>Проверить свободный остаток и установить цену для B2B</x:v>
      </x:c>
      <x:c r="AO451" s="13" t="str">
        <x:v>Остаток 3; прогноз 90 дней 0.65; избыток 2 шт. Будущие поступления не выставляются на продажу. Остаток на начало сентября: требуется актуализация.</x:v>
      </x:c>
      <x:c r="AP451" s="13" t="str">
        <x:v>["category_missing", "daily_stockout_data_missing", "new_order_lead_time_unknown", "reservations_unknown", "stale_stock"]</x:v>
      </x:c>
      <x:c r="AQ451" s="10" t="str">
        <x:v>IEK:030201136_</x:v>
      </x:c>
      <x:c r="AR451" s="24" t="n">
        <x:v>1</x:v>
      </x:c>
      <x:c r="AS451" s="24" t="n">
        <x:v>0</x:v>
      </x:c>
      <x:c r="AT451" s="24" t="n">
        <x:v>0</x:v>
      </x:c>
    </x:row>
    <x:row r="452" ht="64" customHeight="1">
      <x:c r="A452" s="11" t="str">
        <x:v>IEK</x:v>
      </x:c>
      <x:c r="B452" s="33" t="str">
        <x:v>030201137_</x:v>
      </x:c>
      <x:c r="C452" s="33" t="str">
        <x:v>BR-M42-M-01-K02</x:v>
      </x:c>
      <x:c r="D452" s="12" t="str">
        <x:v>Рамка 4-мест. "BRITE"  металл черн. RE  IEK  (1/50)</x:v>
      </x:c>
      <x:c r="E452" s="11" t="str">
        <x:v>шт</x:v>
      </x:c>
      <x:c r="F452" s="35" t="n">
        <x:f>MAX(0,ROUNDDOWN((AG452-AF452)/AR452+0.000000001,0)*AR452)</x:f>
        <x:v>5</x:v>
      </x:c>
      <x:c r="G452" s="20" t="str">
        <x:f>IF(J452="Рассчитано",V452*(1-R452/100)-W452-P452-Q452,"н/д")</x:f>
        <x:v>н/д</x:v>
      </x:c>
      <x:c r="H452" s="12" t="str">
        <x:v>Высокий</x:v>
      </x:c>
      <x:c r="I452" s="12" t="str">
        <x:v>Высокий</x:v>
      </x:c>
      <x:c r="J452" s="12" t="str">
        <x:f>IF(L452="","Укажите валюту",IF(NOT(ISNUMBER(K452)),"Укажите объём",IF(K452&lt;=0,"Укажите объём",IF(K452&gt;F452,"Объём выше излишка",IF(COUNT(M452:O452)&lt;3,"Нужны цены",IF(COUNT(P452:R452)&lt;3,"Нужны расходы",IF(OR(M452&lt;0,N452&lt;0,O452&lt;0,O452&gt;100,P452&lt;0,Q452&lt;0,R452&lt;0,R452&gt;100),"Проверьте значения","Рассчитано")))))))</x:f>
        <x:v>Нужны цены</x:v>
      </x:c>
      <x:c r="K452" s="36" t="n">
        <x:v>5</x:v>
      </x:c>
      <x:c r="L452" s="19" t="str">
        <x:v>KZT</x:v>
      </x:c>
      <x:c r="M452" s="22"/>
      <x:c r="N452" s="22"/>
      <x:c r="O452" s="28"/>
      <x:c r="P452" s="22"/>
      <x:c r="Q452" s="22"/>
      <x:c r="R452" s="28"/>
      <x:c r="S452" s="22"/>
      <x:c r="T452" s="35" t="n">
        <x:f>K452</x:f>
        <x:v>5</x:v>
      </x:c>
      <x:c r="U452" s="20" t="str">
        <x:f>IF(J452="Рассчитано",N452*(1-O452/100),"н/д")</x:f>
        <x:v>н/д</x:v>
      </x:c>
      <x:c r="V452" s="20" t="str">
        <x:f>IF(J452="Рассчитано",T452*U452,"н/д")</x:f>
        <x:v>н/д</x:v>
      </x:c>
      <x:c r="W452" s="20" t="str">
        <x:f>IF(J452="Рассчитано",T452*M452,"н/д")</x:f>
        <x:v>н/д</x:v>
      </x:c>
      <x:c r="X452" s="20" t="str">
        <x:f>IF(J452="Рассчитано",V452-W452,"н/д")</x:f>
        <x:v>н/д</x:v>
      </x:c>
      <x:c r="Y452" s="26" t="str">
        <x:f>IF(J452="Рассчитано",IF(V452&gt;0,G452/V452,"н/д"),"н/д")</x:f>
        <x:v>н/д</x:v>
      </x:c>
      <x:c r="Z452" s="20" t="str">
        <x:f>"н/д"</x:f>
        <x:v>н/д</x:v>
      </x:c>
      <x:c r="AA452" s="20" t="str">
        <x:f>"н/д"</x:f>
        <x:v>н/д</x:v>
      </x:c>
      <x:c r="AB452" s="20" t="str">
        <x:f>"н/д"</x:f>
        <x:v>н/д</x:v>
      </x:c>
      <x:c r="AC452" s="20" t="str">
        <x:f>IF(AND(J452="Рассчитано",T452&gt;0,R452&lt;100),(W452+P452+Q452)/(T452*(1-R452/100)),"н/д")</x:f>
        <x:v>н/д</x:v>
      </x:c>
      <x:c r="AD452" s="11" t="str">
        <x:f>IF(ISNUMBER(G452),IF(G452&lt;0,"Убыток",IF(G452=0,"Без прибыли","Прибыль &gt; 0")),"Не оценён")</x:f>
        <x:v>Не оценён</x:v>
      </x:c>
      <x:c r="AE452" s="12" t="str">
        <x:f>IF(J452="Рассчитано","Выручка "&amp;TEXT(V452,"0.00")&amp;" - себестоимость "&amp;TEXT(W452,"0.00")&amp;" - комиссия "&amp;TEXT(V452*R452/100,"0.00")&amp;" - доставка "&amp;TEXT(P452,"0.00")&amp;" - прочие "&amp;TEXT(Q452,"0.00")&amp;" = "&amp;TEXT(G452,"0.00")&amp;" "&amp;L452,"Введите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2" s="23" t="n">
        <x:v>0.10104629486282299</x:v>
      </x:c>
      <x:c r="AG452" s="35" t="n">
        <x:v>6</x:v>
      </x:c>
      <x:c r="AH452" s="35" t="n">
        <x:v>0</x:v>
      </x:c>
      <x:c r="AI452" s="29" t="n">
        <x:v>46266</x:v>
      </x:c>
      <x:c r="AJ452" s="35" t="n">
        <x:v>1</x:v>
      </x:c>
      <x:c r="AK452" s="11" t="str">
        <x:v>минимум</x:v>
      </x:c>
      <x:c r="AL452" s="31" t="n">
        <x:v>5049.517725646971</x:v>
      </x:c>
      <x:c r="AM45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52" s="12" t="str">
        <x:v>Проверить свободный остаток и установить цену для B2B</x:v>
      </x:c>
      <x:c r="AO452" s="12" t="str">
        <x:v>Остаток 6; прогноз 90 дней 0.10; избыток 5 шт. Будущие поступления не выставляются на продажу. Остаток на начало сентября: требуется актуализация.</x:v>
      </x:c>
      <x:c r="AP452" s="12" t="str">
        <x:v>["category_missing", "daily_stockout_data_missing", "new_order_lead_time_unknown", "reservations_unknown", "stale_stock"]</x:v>
      </x:c>
      <x:c r="AQ452" s="11" t="str">
        <x:v>IEK:030201137_</x:v>
      </x:c>
      <x:c r="AR452" s="23" t="n">
        <x:v>1</x:v>
      </x:c>
      <x:c r="AS452" s="23" t="n">
        <x:v>0</x:v>
      </x:c>
      <x:c r="AT452" s="23" t="n">
        <x:v>0</x:v>
      </x:c>
    </x:row>
    <x:row r="453" ht="64" customHeight="1">
      <x:c r="A453" s="10" t="str">
        <x:v>IEK</x:v>
      </x:c>
      <x:c r="B453" s="34" t="str">
        <x:v>030201138_</x:v>
      </x:c>
      <x:c r="C453" s="34" t="str">
        <x:v>BR-M42-M-01-K47</x:v>
      </x:c>
      <x:c r="D453" s="13" t="str">
        <x:v>Рамка 4-мест. "BRITE"  металл алюм. RE  IEK  (1/50)</x:v>
      </x:c>
      <x:c r="E453" s="10" t="str">
        <x:v>шт</x:v>
      </x:c>
      <x:c r="F453" s="37" t="n">
        <x:f>MAX(0,ROUNDDOWN((AG453-AF453)/AR453+0.000000001,0)*AR453)</x:f>
        <x:v>5</x:v>
      </x:c>
      <x:c r="G453" s="21" t="str">
        <x:f>IF(J453="Рассчитано",V453*(1-R453/100)-W453-P453-Q453,"н/д")</x:f>
        <x:v>н/д</x:v>
      </x:c>
      <x:c r="H453" s="13" t="str">
        <x:v>Высокий</x:v>
      </x:c>
      <x:c r="I453" s="13" t="str">
        <x:v>Высокий</x:v>
      </x:c>
      <x:c r="J453" s="13" t="str">
        <x:f>IF(L453="","Укажите валюту",IF(NOT(ISNUMBER(K453)),"Укажите объём",IF(K453&lt;=0,"Укажите объём",IF(K453&gt;F453,"Объём выше излишка",IF(COUNT(M453:O453)&lt;3,"Нужны цены",IF(COUNT(P453:R453)&lt;3,"Нужны расходы",IF(OR(M453&lt;0,N453&lt;0,O453&lt;0,O453&gt;100,P453&lt;0,Q453&lt;0,R453&lt;0,R453&gt;100),"Проверьте значения","Рассчитано")))))))</x:f>
        <x:v>Нужны цены</x:v>
      </x:c>
      <x:c r="K453" s="36" t="n">
        <x:v>5</x:v>
      </x:c>
      <x:c r="L453" s="19" t="str">
        <x:v>KZT</x:v>
      </x:c>
      <x:c r="M453" s="22"/>
      <x:c r="N453" s="22"/>
      <x:c r="O453" s="28"/>
      <x:c r="P453" s="22"/>
      <x:c r="Q453" s="22"/>
      <x:c r="R453" s="28"/>
      <x:c r="S453" s="22"/>
      <x:c r="T453" s="37" t="n">
        <x:f>K453</x:f>
        <x:v>5</x:v>
      </x:c>
      <x:c r="U453" s="21" t="str">
        <x:f>IF(J453="Рассчитано",N453*(1-O453/100),"н/д")</x:f>
        <x:v>н/д</x:v>
      </x:c>
      <x:c r="V453" s="21" t="str">
        <x:f>IF(J453="Рассчитано",T453*U453,"н/д")</x:f>
        <x:v>н/д</x:v>
      </x:c>
      <x:c r="W453" s="21" t="str">
        <x:f>IF(J453="Рассчитано",T453*M453,"н/д")</x:f>
        <x:v>н/д</x:v>
      </x:c>
      <x:c r="X453" s="21" t="str">
        <x:f>IF(J453="Рассчитано",V453-W453,"н/д")</x:f>
        <x:v>н/д</x:v>
      </x:c>
      <x:c r="Y453" s="27" t="str">
        <x:f>IF(J453="Рассчитано",IF(V453&gt;0,G453/V453,"н/д"),"н/д")</x:f>
        <x:v>н/д</x:v>
      </x:c>
      <x:c r="Z453" s="21" t="str">
        <x:f>"н/д"</x:f>
        <x:v>н/д</x:v>
      </x:c>
      <x:c r="AA453" s="21" t="str">
        <x:f>"н/д"</x:f>
        <x:v>н/д</x:v>
      </x:c>
      <x:c r="AB453" s="21" t="str">
        <x:f>"н/д"</x:f>
        <x:v>н/д</x:v>
      </x:c>
      <x:c r="AC453" s="21" t="str">
        <x:f>IF(AND(J453="Рассчитано",T453&gt;0,R453&lt;100),(W453+P453+Q453)/(T453*(1-R453/100)),"н/д")</x:f>
        <x:v>н/д</x:v>
      </x:c>
      <x:c r="AD453" s="10" t="str">
        <x:f>IF(ISNUMBER(G453),IF(G453&lt;0,"Убыток",IF(G453=0,"Без прибыли","Прибыль &gt; 0")),"Не оценён")</x:f>
        <x:v>Не оценён</x:v>
      </x:c>
      <x:c r="AE453" s="13" t="str">
        <x:f>IF(J453="Рассчитано","Выручка "&amp;TEXT(V453,"0.00")&amp;" - себестоимость "&amp;TEXT(W453,"0.00")&amp;" - комиссия "&amp;TEXT(V453*R453/100,"0.00")&amp;" - доставка "&amp;TEXT(P453,"0.00")&amp;" - прочие "&amp;TEXT(Q453,"0.00")&amp;" = "&amp;TEXT(G453,"0.00")&amp;" "&amp;L453,"Введите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3" s="24" t="n">
        <x:v>0.6599922812780125</x:v>
      </x:c>
      <x:c r="AG453" s="37" t="n">
        <x:v>6</x:v>
      </x:c>
      <x:c r="AH453" s="37" t="n">
        <x:v>0</x:v>
      </x:c>
      <x:c r="AI453" s="30" t="n">
        <x:v>46266</x:v>
      </x:c>
      <x:c r="AJ453" s="37" t="n">
        <x:v>1</x:v>
      </x:c>
      <x:c r="AK453" s="10" t="str">
        <x:v>минимум</x:v>
      </x:c>
      <x:c r="AL453" s="32" t="n">
        <x:v>773.092461070533</x:v>
      </x:c>
      <x:c r="AM4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53" s="13" t="str">
        <x:v>Проверить свободный остаток и установить цену для B2B</x:v>
      </x:c>
      <x:c r="AO453" s="13" t="str">
        <x:v>Остаток 6; прогноз 90 дней 0.66; избыток 5 шт. Будущие поступления не выставляются на продажу. Остаток на начало сентября: требуется актуализация.</x:v>
      </x:c>
      <x:c r="AP453" s="13" t="str">
        <x:v>["category_missing", "daily_stockout_data_missing", "new_order_lead_time_unknown", "reservations_unknown", "stale_stock"]</x:v>
      </x:c>
      <x:c r="AQ453" s="10" t="str">
        <x:v>IEK:030201138_</x:v>
      </x:c>
      <x:c r="AR453" s="24" t="n">
        <x:v>1</x:v>
      </x:c>
      <x:c r="AS453" s="24" t="n">
        <x:v>0</x:v>
      </x:c>
      <x:c r="AT453" s="24" t="n">
        <x:v>0</x:v>
      </x:c>
    </x:row>
    <x:row r="454" ht="64" customHeight="1">
      <x:c r="A454" s="11" t="str">
        <x:v>IEK</x:v>
      </x:c>
      <x:c r="B454" s="33" t="str">
        <x:v>030201140_</x:v>
      </x:c>
      <x:c r="C454" s="33" t="str">
        <x:v>BR-M42-M-21-K02</x:v>
      </x:c>
      <x:c r="D454" s="12" t="str">
        <x:v>Рамка 4-мест. "BRITE"  металл черн. RE AL  IEK  (1/50)</x:v>
      </x:c>
      <x:c r="E454" s="11" t="str">
        <x:v>шт</x:v>
      </x:c>
      <x:c r="F454" s="35" t="n">
        <x:f>MAX(0,ROUNDDOWN((AG454-AF454)/AR454+0.000000001,0)*AR454)</x:f>
        <x:v>1</x:v>
      </x:c>
      <x:c r="G454" s="20" t="str">
        <x:f>IF(J454="Рассчитано",V454*(1-R454/100)-W454-P454-Q454,"н/д")</x:f>
        <x:v>н/д</x:v>
      </x:c>
      <x:c r="H454" s="12" t="str">
        <x:v>Высокий</x:v>
      </x:c>
      <x:c r="I454" s="12" t="str">
        <x:v>Высокий</x:v>
      </x:c>
      <x:c r="J454" s="12" t="str">
        <x:f>IF(L454="","Укажите валюту",IF(NOT(ISNUMBER(K454)),"Укажите объём",IF(K454&lt;=0,"Укажите объём",IF(K454&gt;F454,"Объём выше излишка",IF(COUNT(M454:O454)&lt;3,"Нужны цены",IF(COUNT(P454:R454)&lt;3,"Нужны расходы",IF(OR(M454&lt;0,N454&lt;0,O454&lt;0,O454&gt;100,P454&lt;0,Q454&lt;0,R454&lt;0,R454&gt;100),"Проверьте значения","Рассчитано")))))))</x:f>
        <x:v>Нужны цены</x:v>
      </x:c>
      <x:c r="K454" s="36" t="n">
        <x:v>1</x:v>
      </x:c>
      <x:c r="L454" s="19" t="str">
        <x:v>KZT</x:v>
      </x:c>
      <x:c r="M454" s="22"/>
      <x:c r="N454" s="22"/>
      <x:c r="O454" s="28"/>
      <x:c r="P454" s="22"/>
      <x:c r="Q454" s="22"/>
      <x:c r="R454" s="28"/>
      <x:c r="S454" s="22"/>
      <x:c r="T454" s="35" t="n">
        <x:f>K454</x:f>
        <x:v>1</x:v>
      </x:c>
      <x:c r="U454" s="20" t="str">
        <x:f>IF(J454="Рассчитано",N454*(1-O454/100),"н/д")</x:f>
        <x:v>н/д</x:v>
      </x:c>
      <x:c r="V454" s="20" t="str">
        <x:f>IF(J454="Рассчитано",T454*U454,"н/д")</x:f>
        <x:v>н/д</x:v>
      </x:c>
      <x:c r="W454" s="20" t="str">
        <x:f>IF(J454="Рассчитано",T454*M454,"н/д")</x:f>
        <x:v>н/д</x:v>
      </x:c>
      <x:c r="X454" s="20" t="str">
        <x:f>IF(J454="Рассчитано",V454-W454,"н/д")</x:f>
        <x:v>н/д</x:v>
      </x:c>
      <x:c r="Y454" s="26" t="str">
        <x:f>IF(J454="Рассчитано",IF(V454&gt;0,G454/V454,"н/д"),"н/д")</x:f>
        <x:v>н/д</x:v>
      </x:c>
      <x:c r="Z454" s="20" t="str">
        <x:f>"н/д"</x:f>
        <x:v>н/д</x:v>
      </x:c>
      <x:c r="AA454" s="20" t="str">
        <x:f>"н/д"</x:f>
        <x:v>н/д</x:v>
      </x:c>
      <x:c r="AB454" s="20" t="str">
        <x:f>"н/д"</x:f>
        <x:v>н/д</x:v>
      </x:c>
      <x:c r="AC454" s="20" t="str">
        <x:f>IF(AND(J454="Рассчитано",T454&gt;0,R454&lt;100),(W454+P454+Q454)/(T454*(1-R454/100)),"н/д")</x:f>
        <x:v>н/д</x:v>
      </x:c>
      <x:c r="AD454" s="11" t="str">
        <x:f>IF(ISNUMBER(G454),IF(G454&lt;0,"Убыток",IF(G454=0,"Без прибыли","Прибыль &gt; 0")),"Не оценён")</x:f>
        <x:v>Не оценён</x:v>
      </x:c>
      <x:c r="AE454" s="12" t="str">
        <x:f>IF(J454="Рассчитано","Выручка "&amp;TEXT(V454,"0.00")&amp;" - себестоимость "&amp;TEXT(W454,"0.00")&amp;" - комиссия "&amp;TEXT(V454*R454/100,"0.00")&amp;" - доставка "&amp;TEXT(P454,"0.00")&amp;" - прочие "&amp;TEXT(Q454,"0.00")&amp;" = "&amp;TEXT(G454,"0.00")&amp;" "&amp;L454,"Введите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4" s="23" t="n">
        <x:v>0.5815315972827909</x:v>
      </x:c>
      <x:c r="AG454" s="35" t="n">
        <x:v>2</x:v>
      </x:c>
      <x:c r="AH454" s="35" t="n">
        <x:v>0</x:v>
      </x:c>
      <x:c r="AI454" s="29" t="n">
        <x:v>46266</x:v>
      </x:c>
      <x:c r="AJ454" s="35" t="n">
        <x:v>1</x:v>
      </x:c>
      <x:c r="AK454" s="11" t="str">
        <x:v>минимум</x:v>
      </x:c>
      <x:c r="AL454" s="31" t="n">
        <x:v>292.4662273468032</x:v>
      </x:c>
      <x:c r="AM45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54" s="12" t="str">
        <x:v>Проверить свободный остаток и установить цену для B2B</x:v>
      </x:c>
      <x:c r="AO454" s="12" t="str">
        <x:v>Остаток 2; прогноз 90 дней 0.58; избыток 1 шт. Будущие поступления не выставляются на продажу. Остаток на начало сентября: требуется актуализация.</x:v>
      </x:c>
      <x:c r="AP454" s="12" t="str">
        <x:v>["category_missing", "daily_stockout_data_missing", "new_order_lead_time_unknown", "reservations_unknown", "stale_stock"]</x:v>
      </x:c>
      <x:c r="AQ454" s="11" t="str">
        <x:v>IEK:030201140_</x:v>
      </x:c>
      <x:c r="AR454" s="23" t="n">
        <x:v>1</x:v>
      </x:c>
      <x:c r="AS454" s="23" t="n">
        <x:v>0</x:v>
      </x:c>
      <x:c r="AT454" s="23" t="n">
        <x:v>0</x:v>
      </x:c>
    </x:row>
    <x:row r="455" ht="64" customHeight="1">
      <x:c r="A455" s="10" t="str">
        <x:v>IEK</x:v>
      </x:c>
      <x:c r="B455" s="34" t="str">
        <x:v>030201141_</x:v>
      </x:c>
      <x:c r="C455" s="34" t="str">
        <x:v>BR-M42-M-21-K30</x:v>
      </x:c>
      <x:c r="D455" s="13" t="str">
        <x:v>Рамка 4-мест. "BRITE"  металл коричн. RE AL  IEK  (1/50)</x:v>
      </x:c>
      <x:c r="E455" s="10" t="str">
        <x:v>шт</x:v>
      </x:c>
      <x:c r="F455" s="37" t="n">
        <x:f>MAX(0,ROUNDDOWN((AG455-AF455)/AR455+0.000000001,0)*AR455)</x:f>
        <x:v>3</x:v>
      </x:c>
      <x:c r="G455" s="21" t="str">
        <x:f>IF(J455="Рассчитано",V455*(1-R455/100)-W455-P455-Q455,"н/д")</x:f>
        <x:v>н/д</x:v>
      </x:c>
      <x:c r="H455" s="13" t="str">
        <x:v>Высокий</x:v>
      </x:c>
      <x:c r="I455" s="13" t="str">
        <x:v>Высокий</x:v>
      </x:c>
      <x:c r="J455" s="13" t="str">
        <x:f>IF(L455="","Укажите валюту",IF(NOT(ISNUMBER(K455)),"Укажите объём",IF(K455&lt;=0,"Укажите объём",IF(K455&gt;F455,"Объём выше излишка",IF(COUNT(M455:O455)&lt;3,"Нужны цены",IF(COUNT(P455:R455)&lt;3,"Нужны расходы",IF(OR(M455&lt;0,N455&lt;0,O455&lt;0,O455&gt;100,P455&lt;0,Q455&lt;0,R455&lt;0,R455&gt;100),"Проверьте значения","Рассчитано")))))))</x:f>
        <x:v>Нужны цены</x:v>
      </x:c>
      <x:c r="K455" s="36" t="n">
        <x:v>3</x:v>
      </x:c>
      <x:c r="L455" s="19" t="str">
        <x:v>KZT</x:v>
      </x:c>
      <x:c r="M455" s="22"/>
      <x:c r="N455" s="22"/>
      <x:c r="O455" s="28"/>
      <x:c r="P455" s="22"/>
      <x:c r="Q455" s="22"/>
      <x:c r="R455" s="28"/>
      <x:c r="S455" s="22"/>
      <x:c r="T455" s="37" t="n">
        <x:f>K455</x:f>
        <x:v>3</x:v>
      </x:c>
      <x:c r="U455" s="21" t="str">
        <x:f>IF(J455="Рассчитано",N455*(1-O455/100),"н/д")</x:f>
        <x:v>н/д</x:v>
      </x:c>
      <x:c r="V455" s="21" t="str">
        <x:f>IF(J455="Рассчитано",T455*U455,"н/д")</x:f>
        <x:v>н/д</x:v>
      </x:c>
      <x:c r="W455" s="21" t="str">
        <x:f>IF(J455="Рассчитано",T455*M455,"н/д")</x:f>
        <x:v>н/д</x:v>
      </x:c>
      <x:c r="X455" s="21" t="str">
        <x:f>IF(J455="Рассчитано",V455-W455,"н/д")</x:f>
        <x:v>н/д</x:v>
      </x:c>
      <x:c r="Y455" s="27" t="str">
        <x:f>IF(J455="Рассчитано",IF(V455&gt;0,G455/V455,"н/д"),"н/д")</x:f>
        <x:v>н/д</x:v>
      </x:c>
      <x:c r="Z455" s="21" t="str">
        <x:f>"н/д"</x:f>
        <x:v>н/д</x:v>
      </x:c>
      <x:c r="AA455" s="21" t="str">
        <x:f>"н/д"</x:f>
        <x:v>н/д</x:v>
      </x:c>
      <x:c r="AB455" s="21" t="str">
        <x:f>"н/д"</x:f>
        <x:v>н/д</x:v>
      </x:c>
      <x:c r="AC455" s="21" t="str">
        <x:f>IF(AND(J455="Рассчитано",T455&gt;0,R455&lt;100),(W455+P455+Q455)/(T455*(1-R455/100)),"н/д")</x:f>
        <x:v>н/д</x:v>
      </x:c>
      <x:c r="AD455" s="10" t="str">
        <x:f>IF(ISNUMBER(G455),IF(G455&lt;0,"Убыток",IF(G455=0,"Без прибыли","Прибыль &gt; 0")),"Не оценён")</x:f>
        <x:v>Не оценён</x:v>
      </x:c>
      <x:c r="AE455" s="13" t="str">
        <x:f>IF(J455="Рассчитано","Выручка "&amp;TEXT(V455,"0.00")&amp;" - себестоимость "&amp;TEXT(W455,"0.00")&amp;" - комиссия "&amp;TEXT(V455*R455/100,"0.00")&amp;" - доставка "&amp;TEXT(P455,"0.00")&amp;" - прочие "&amp;TEXT(Q455,"0.00")&amp;" = "&amp;TEXT(G455,"0.00")&amp;" "&amp;L455,"Введите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5" s="24" t="n">
        <x:v>0.6845053365855409</x:v>
      </x:c>
      <x:c r="AG455" s="37" t="n">
        <x:v>4</x:v>
      </x:c>
      <x:c r="AH455" s="37" t="n">
        <x:v>0</x:v>
      </x:c>
      <x:c r="AI455" s="30" t="n">
        <x:v>46266</x:v>
      </x:c>
      <x:c r="AJ455" s="37" t="n">
        <x:v>1</x:v>
      </x:c>
      <x:c r="AK455" s="10" t="str">
        <x:v>минимум</x:v>
      </x:c>
      <x:c r="AL455" s="32" t="n">
        <x:v>496.9379879159032</x:v>
      </x:c>
      <x:c r="AM45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55" s="13" t="str">
        <x:v>Проверить свободный остаток и установить цену для B2B</x:v>
      </x:c>
      <x:c r="AO455" s="13" t="str">
        <x:v>Остаток 4; прогноз 90 дней 0.68; избыток 3 шт. Будущие поступления не выставляются на продажу. Остаток на начало сентября: требуется актуализация.</x:v>
      </x:c>
      <x:c r="AP455" s="13" t="str">
        <x:v>["category_missing", "daily_stockout_data_missing", "new_order_lead_time_unknown", "reservations_unknown", "stale_stock"]</x:v>
      </x:c>
      <x:c r="AQ455" s="10" t="str">
        <x:v>IEK:030201141_</x:v>
      </x:c>
      <x:c r="AR455" s="24" t="n">
        <x:v>1</x:v>
      </x:c>
      <x:c r="AS455" s="24" t="n">
        <x:v>0</x:v>
      </x:c>
      <x:c r="AT455" s="24" t="n">
        <x:v>0</x:v>
      </x:c>
    </x:row>
    <x:row r="456" ht="64" customHeight="1">
      <x:c r="A456" s="11" t="str">
        <x:v>IEK</x:v>
      </x:c>
      <x:c r="B456" s="33" t="str">
        <x:v>030201142_</x:v>
      </x:c>
      <x:c r="C456" s="33" t="str">
        <x:v>BR-M42-M-21-K37</x:v>
      </x:c>
      <x:c r="D456" s="12" t="str">
        <x:v>Рамка 4-мест. "BRITE"  металл шамп. RE AL  IEK  (1/50)</x:v>
      </x:c>
      <x:c r="E456" s="11" t="str">
        <x:v>шт</x:v>
      </x:c>
      <x:c r="F456" s="35" t="n">
        <x:f>MAX(0,ROUNDDOWN((AG456-AF456)/AR456+0.000000001,0)*AR456)</x:f>
        <x:v>6</x:v>
      </x:c>
      <x:c r="G456" s="20" t="str">
        <x:f>IF(J456="Рассчитано",V456*(1-R456/100)-W456-P456-Q456,"н/д")</x:f>
        <x:v>н/д</x:v>
      </x:c>
      <x:c r="H456" s="12" t="str">
        <x:v>Высокий</x:v>
      </x:c>
      <x:c r="I456" s="12" t="str">
        <x:v>Высокий</x:v>
      </x:c>
      <x:c r="J456" s="12" t="str">
        <x:f>IF(L456="","Укажите валюту",IF(NOT(ISNUMBER(K456)),"Укажите объём",IF(K456&lt;=0,"Укажите объём",IF(K456&gt;F456,"Объём выше излишка",IF(COUNT(M456:O456)&lt;3,"Нужны цены",IF(COUNT(P456:R456)&lt;3,"Нужны расходы",IF(OR(M456&lt;0,N456&lt;0,O456&lt;0,O456&gt;100,P456&lt;0,Q456&lt;0,R456&lt;0,R456&gt;100),"Проверьте значения","Рассчитано")))))))</x:f>
        <x:v>Нужны цены</x:v>
      </x:c>
      <x:c r="K456" s="36" t="n">
        <x:v>6</x:v>
      </x:c>
      <x:c r="L456" s="19" t="str">
        <x:v>KZT</x:v>
      </x:c>
      <x:c r="M456" s="22"/>
      <x:c r="N456" s="22"/>
      <x:c r="O456" s="28"/>
      <x:c r="P456" s="22"/>
      <x:c r="Q456" s="22"/>
      <x:c r="R456" s="28"/>
      <x:c r="S456" s="22"/>
      <x:c r="T456" s="35" t="n">
        <x:f>K456</x:f>
        <x:v>6</x:v>
      </x:c>
      <x:c r="U456" s="20" t="str">
        <x:f>IF(J456="Рассчитано",N456*(1-O456/100),"н/д")</x:f>
        <x:v>н/д</x:v>
      </x:c>
      <x:c r="V456" s="20" t="str">
        <x:f>IF(J456="Рассчитано",T456*U456,"н/д")</x:f>
        <x:v>н/д</x:v>
      </x:c>
      <x:c r="W456" s="20" t="str">
        <x:f>IF(J456="Рассчитано",T456*M456,"н/д")</x:f>
        <x:v>н/д</x:v>
      </x:c>
      <x:c r="X456" s="20" t="str">
        <x:f>IF(J456="Рассчитано",V456-W456,"н/д")</x:f>
        <x:v>н/д</x:v>
      </x:c>
      <x:c r="Y456" s="26" t="str">
        <x:f>IF(J456="Рассчитано",IF(V456&gt;0,G456/V456,"н/д"),"н/д")</x:f>
        <x:v>н/д</x:v>
      </x:c>
      <x:c r="Z456" s="20" t="str">
        <x:f>"н/д"</x:f>
        <x:v>н/д</x:v>
      </x:c>
      <x:c r="AA456" s="20" t="str">
        <x:f>"н/д"</x:f>
        <x:v>н/д</x:v>
      </x:c>
      <x:c r="AB456" s="20" t="str">
        <x:f>"н/д"</x:f>
        <x:v>н/д</x:v>
      </x:c>
      <x:c r="AC456" s="20" t="str">
        <x:f>IF(AND(J456="Рассчитано",T456&gt;0,R456&lt;100),(W456+P456+Q456)/(T456*(1-R456/100)),"н/д")</x:f>
        <x:v>н/д</x:v>
      </x:c>
      <x:c r="AD456" s="11" t="str">
        <x:f>IF(ISNUMBER(G456),IF(G456&lt;0,"Убыток",IF(G456=0,"Без прибыли","Прибыль &gt; 0")),"Не оценён")</x:f>
        <x:v>Не оценён</x:v>
      </x:c>
      <x:c r="AE456" s="12" t="str">
        <x:f>IF(J456="Рассчитано","Выручка "&amp;TEXT(V456,"0.00")&amp;" - себестоимость "&amp;TEXT(W456,"0.00")&amp;" - комиссия "&amp;TEXT(V456*R456/100,"0.00")&amp;" - доставка "&amp;TEXT(P456,"0.00")&amp;" - прочие "&amp;TEXT(Q456,"0.00")&amp;" = "&amp;TEXT(G456,"0.00")&amp;" "&amp;L456,"Введите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6" s="23" t="n">
        <x:v>0</x:v>
      </x:c>
      <x:c r="AG456" s="35" t="n">
        <x:v>6</x:v>
      </x:c>
      <x:c r="AH456" s="35" t="n">
        <x:v>0</x:v>
      </x:c>
      <x:c r="AI456" s="29" t="n">
        <x:v>46266</x:v>
      </x:c>
      <x:c r="AJ456" s="35" t="n">
        <x:v>1</x:v>
      </x:c>
      <x:c r="AK456" s="11" t="str">
        <x:v>минимум</x:v>
      </x:c>
      <x:c r="AL456" s="31" t="str">
        <x:v>н/д</x:v>
      </x:c>
      <x:c r="AM45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56" s="12" t="str">
        <x:v>Проверить свободный остаток и установить цену для B2B</x:v>
      </x:c>
      <x:c r="AO456" s="12" t="str">
        <x:v>Остаток 6; прогноз 90 дней 0.00; избыток 6 шт. Будущие поступления не выставляются на продажу. Остаток на начало сентября: требуется актуализация.</x:v>
      </x:c>
      <x:c r="AP456" s="12" t="str">
        <x:v>["category_missing", "daily_stockout_data_missing", "new_order_lead_time_unknown", "reservations_unknown", "stale_stock"]</x:v>
      </x:c>
      <x:c r="AQ456" s="11" t="str">
        <x:v>IEK:030201142_</x:v>
      </x:c>
      <x:c r="AR456" s="23" t="n">
        <x:v>1</x:v>
      </x:c>
      <x:c r="AS456" s="23" t="n">
        <x:v>0</x:v>
      </x:c>
      <x:c r="AT456" s="23" t="n">
        <x:v>0</x:v>
      </x:c>
    </x:row>
    <x:row r="457" ht="64" customHeight="1">
      <x:c r="A457" s="10" t="str">
        <x:v>IEK</x:v>
      </x:c>
      <x:c r="B457" s="34" t="str">
        <x:v>030201143_</x:v>
      </x:c>
      <x:c r="C457" s="34" t="str">
        <x:v>BR-M42-M-21-K47</x:v>
      </x:c>
      <x:c r="D457" s="13" t="str">
        <x:v>Рамка 4-мест. "BRITE"  металл алюм. RE AL  IEK  (1/50)</x:v>
      </x:c>
      <x:c r="E457" s="10" t="str">
        <x:v>шт</x:v>
      </x:c>
      <x:c r="F457" s="37" t="n">
        <x:f>MAX(0,ROUNDDOWN((AG457-AF457)/AR457+0.000000001,0)*AR457)</x:f>
        <x:v>5</x:v>
      </x:c>
      <x:c r="G457" s="21" t="str">
        <x:f>IF(J457="Рассчитано",V457*(1-R457/100)-W457-P457-Q457,"н/д")</x:f>
        <x:v>н/д</x:v>
      </x:c>
      <x:c r="H457" s="13" t="str">
        <x:v>Высокий</x:v>
      </x:c>
      <x:c r="I457" s="13" t="str">
        <x:v>Высокий</x:v>
      </x:c>
      <x:c r="J457" s="13" t="str">
        <x:f>IF(L457="","Укажите валюту",IF(NOT(ISNUMBER(K457)),"Укажите объём",IF(K457&lt;=0,"Укажите объём",IF(K457&gt;F457,"Объём выше излишка",IF(COUNT(M457:O457)&lt;3,"Нужны цены",IF(COUNT(P457:R457)&lt;3,"Нужны расходы",IF(OR(M457&lt;0,N457&lt;0,O457&lt;0,O457&gt;100,P457&lt;0,Q457&lt;0,R457&lt;0,R457&gt;100),"Проверьте значения","Рассчитано")))))))</x:f>
        <x:v>Нужны цены</x:v>
      </x:c>
      <x:c r="K457" s="36" t="n">
        <x:v>5</x:v>
      </x:c>
      <x:c r="L457" s="19" t="str">
        <x:v>KZT</x:v>
      </x:c>
      <x:c r="M457" s="22"/>
      <x:c r="N457" s="22"/>
      <x:c r="O457" s="28"/>
      <x:c r="P457" s="22"/>
      <x:c r="Q457" s="22"/>
      <x:c r="R457" s="28"/>
      <x:c r="S457" s="22"/>
      <x:c r="T457" s="37" t="n">
        <x:f>K457</x:f>
        <x:v>5</x:v>
      </x:c>
      <x:c r="U457" s="21" t="str">
        <x:f>IF(J457="Рассчитано",N457*(1-O457/100),"н/д")</x:f>
        <x:v>н/д</x:v>
      </x:c>
      <x:c r="V457" s="21" t="str">
        <x:f>IF(J457="Рассчитано",T457*U457,"н/д")</x:f>
        <x:v>н/д</x:v>
      </x:c>
      <x:c r="W457" s="21" t="str">
        <x:f>IF(J457="Рассчитано",T457*M457,"н/д")</x:f>
        <x:v>н/д</x:v>
      </x:c>
      <x:c r="X457" s="21" t="str">
        <x:f>IF(J457="Рассчитано",V457-W457,"н/д")</x:f>
        <x:v>н/д</x:v>
      </x:c>
      <x:c r="Y457" s="27" t="str">
        <x:f>IF(J457="Рассчитано",IF(V457&gt;0,G457/V457,"н/д"),"н/д")</x:f>
        <x:v>н/д</x:v>
      </x:c>
      <x:c r="Z457" s="21" t="str">
        <x:f>"н/д"</x:f>
        <x:v>н/д</x:v>
      </x:c>
      <x:c r="AA457" s="21" t="str">
        <x:f>"н/д"</x:f>
        <x:v>н/д</x:v>
      </x:c>
      <x:c r="AB457" s="21" t="str">
        <x:f>"н/д"</x:f>
        <x:v>н/д</x:v>
      </x:c>
      <x:c r="AC457" s="21" t="str">
        <x:f>IF(AND(J457="Рассчитано",T457&gt;0,R457&lt;100),(W457+P457+Q457)/(T457*(1-R457/100)),"н/д")</x:f>
        <x:v>н/д</x:v>
      </x:c>
      <x:c r="AD457" s="10" t="str">
        <x:f>IF(ISNUMBER(G457),IF(G457&lt;0,"Убыток",IF(G457=0,"Без прибыли","Прибыль &gt; 0")),"Не оценён")</x:f>
        <x:v>Не оценён</x:v>
      </x:c>
      <x:c r="AE457" s="13" t="str">
        <x:f>IF(J457="Рассчитано","Выручка "&amp;TEXT(V457,"0.00")&amp;" - себестоимость "&amp;TEXT(W457,"0.00")&amp;" - комиссия "&amp;TEXT(V457*R457/100,"0.00")&amp;" - доставка "&amp;TEXT(P457,"0.00")&amp;" - прочие "&amp;TEXT(Q457,"0.00")&amp;" = "&amp;TEXT(G457,"0.00")&amp;" "&amp;L457,"Введите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7" s="24" t="n">
        <x:v>0</x:v>
      </x:c>
      <x:c r="AG457" s="37" t="n">
        <x:v>5</x:v>
      </x:c>
      <x:c r="AH457" s="37" t="n">
        <x:v>0</x:v>
      </x:c>
      <x:c r="AI457" s="30" t="n">
        <x:v>46266</x:v>
      </x:c>
      <x:c r="AJ457" s="37" t="n">
        <x:v>1</x:v>
      </x:c>
      <x:c r="AK457" s="10" t="str">
        <x:v>минимум</x:v>
      </x:c>
      <x:c r="AL457" s="32" t="str">
        <x:v>н/д</x:v>
      </x:c>
      <x:c r="AM45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57" s="13" t="str">
        <x:v>Проверить свободный остаток и установить цену для B2B</x:v>
      </x:c>
      <x:c r="AO457" s="13" t="str">
        <x:v>Остаток 5; прогноз 90 дней 0.00; избыток 5 шт. Будущие поступления не выставляются на продажу. Остаток на начало сентября: требуется актуализация.</x:v>
      </x:c>
      <x:c r="AP457" s="13" t="str">
        <x:v>["category_missing", "daily_stockout_data_missing", "new_order_lead_time_unknown", "reservations_unknown", "stale_stock"]</x:v>
      </x:c>
      <x:c r="AQ457" s="10" t="str">
        <x:v>IEK:030201143_</x:v>
      </x:c>
      <x:c r="AR457" s="24" t="n">
        <x:v>1</x:v>
      </x:c>
      <x:c r="AS457" s="24" t="n">
        <x:v>0</x:v>
      </x:c>
      <x:c r="AT457" s="24" t="n">
        <x:v>0</x:v>
      </x:c>
    </x:row>
    <x:row r="458" ht="64" customHeight="1">
      <x:c r="A458" s="11" t="str">
        <x:v>IEK</x:v>
      </x:c>
      <x:c r="B458" s="33" t="str">
        <x:v>030201144_</x:v>
      </x:c>
      <x:c r="C458" s="33" t="str">
        <x:v>BR-M52-12-2-K23</x:v>
      </x:c>
      <x:c r="D458" s="12" t="str">
        <x:v>Рамка 5-мест. "BRITE"  хром/черн.  IEK  (1/100)</x:v>
      </x:c>
      <x:c r="E458" s="11" t="str">
        <x:v>шт</x:v>
      </x:c>
      <x:c r="F458" s="35" t="n">
        <x:f>MAX(0,ROUNDDOWN((AG458-AF458)/AR458+0.000000001,0)*AR458)</x:f>
        <x:v>2</x:v>
      </x:c>
      <x:c r="G458" s="20" t="str">
        <x:f>IF(J458="Рассчитано",V458*(1-R458/100)-W458-P458-Q458,"н/д")</x:f>
        <x:v>н/д</x:v>
      </x:c>
      <x:c r="H458" s="12" t="str">
        <x:v>Высокий</x:v>
      </x:c>
      <x:c r="I458" s="12" t="str">
        <x:v>Высокий</x:v>
      </x:c>
      <x:c r="J458" s="12" t="str">
        <x:f>IF(L458="","Укажите валюту",IF(NOT(ISNUMBER(K458)),"Укажите объём",IF(K458&lt;=0,"Укажите объём",IF(K458&gt;F458,"Объём выше излишка",IF(COUNT(M458:O458)&lt;3,"Нужны цены",IF(COUNT(P458:R458)&lt;3,"Нужны расходы",IF(OR(M458&lt;0,N458&lt;0,O458&lt;0,O458&gt;100,P458&lt;0,Q458&lt;0,R458&lt;0,R458&gt;100),"Проверьте значения","Рассчитано")))))))</x:f>
        <x:v>Нужны цены</x:v>
      </x:c>
      <x:c r="K458" s="36" t="n">
        <x:v>2</x:v>
      </x:c>
      <x:c r="L458" s="19" t="str">
        <x:v>KZT</x:v>
      </x:c>
      <x:c r="M458" s="22"/>
      <x:c r="N458" s="22"/>
      <x:c r="O458" s="28"/>
      <x:c r="P458" s="22"/>
      <x:c r="Q458" s="22"/>
      <x:c r="R458" s="28"/>
      <x:c r="S458" s="22"/>
      <x:c r="T458" s="35" t="n">
        <x:f>K458</x:f>
        <x:v>2</x:v>
      </x:c>
      <x:c r="U458" s="20" t="str">
        <x:f>IF(J458="Рассчитано",N458*(1-O458/100),"н/д")</x:f>
        <x:v>н/д</x:v>
      </x:c>
      <x:c r="V458" s="20" t="str">
        <x:f>IF(J458="Рассчитано",T458*U458,"н/д")</x:f>
        <x:v>н/д</x:v>
      </x:c>
      <x:c r="W458" s="20" t="str">
        <x:f>IF(J458="Рассчитано",T458*M458,"н/д")</x:f>
        <x:v>н/д</x:v>
      </x:c>
      <x:c r="X458" s="20" t="str">
        <x:f>IF(J458="Рассчитано",V458-W458,"н/д")</x:f>
        <x:v>н/д</x:v>
      </x:c>
      <x:c r="Y458" s="26" t="str">
        <x:f>IF(J458="Рассчитано",IF(V458&gt;0,G458/V458,"н/д"),"н/д")</x:f>
        <x:v>н/д</x:v>
      </x:c>
      <x:c r="Z458" s="20" t="str">
        <x:f>"н/д"</x:f>
        <x:v>н/д</x:v>
      </x:c>
      <x:c r="AA458" s="20" t="str">
        <x:f>"н/д"</x:f>
        <x:v>н/д</x:v>
      </x:c>
      <x:c r="AB458" s="20" t="str">
        <x:f>"н/д"</x:f>
        <x:v>н/д</x:v>
      </x:c>
      <x:c r="AC458" s="20" t="str">
        <x:f>IF(AND(J458="Рассчитано",T458&gt;0,R458&lt;100),(W458+P458+Q458)/(T458*(1-R458/100)),"н/д")</x:f>
        <x:v>н/д</x:v>
      </x:c>
      <x:c r="AD458" s="11" t="str">
        <x:f>IF(ISNUMBER(G458),IF(G458&lt;0,"Убыток",IF(G458=0,"Без прибыли","Прибыль &gt; 0")),"Не оценён")</x:f>
        <x:v>Не оценён</x:v>
      </x:c>
      <x:c r="AE458" s="12" t="str">
        <x:f>IF(J458="Рассчитано","Выручка "&amp;TEXT(V458,"0.00")&amp;" - себестоимость "&amp;TEXT(W458,"0.00")&amp;" - комиссия "&amp;TEXT(V458*R458/100,"0.00")&amp;" - доставка "&amp;TEXT(P458,"0.00")&amp;" - прочие "&amp;TEXT(Q458,"0.00")&amp;" = "&amp;TEXT(G458,"0.00")&amp;" "&amp;L458,"Введите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8" s="23" t="n">
        <x:v>0.10758727254321898</x:v>
      </x:c>
      <x:c r="AG458" s="35" t="n">
        <x:v>3</x:v>
      </x:c>
      <x:c r="AH458" s="35" t="n">
        <x:v>0</x:v>
      </x:c>
      <x:c r="AI458" s="29" t="n">
        <x:v>46266</x:v>
      </x:c>
      <x:c r="AJ458" s="35" t="n">
        <x:v>1</x:v>
      </x:c>
      <x:c r="AK458" s="11" t="str">
        <x:v>минимум</x:v>
      </x:c>
      <x:c r="AL458" s="31" t="n">
        <x:v>2371.261232669539</x:v>
      </x:c>
      <x:c r="AM45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58" s="12" t="str">
        <x:v>Проверить свободный остаток и установить цену для B2B</x:v>
      </x:c>
      <x:c r="AO458" s="12" t="str">
        <x:v>Остаток 3; прогноз 90 дней 0.11; избыток 2 шт. Будущие поступления не выставляются на продажу. Остаток на начало сентября: требуется актуализация.</x:v>
      </x:c>
      <x:c r="AP458" s="12" t="str">
        <x:v>["category_missing", "daily_stockout_data_missing", "new_order_lead_time_unknown", "reservations_unknown", "stale_stock"]</x:v>
      </x:c>
      <x:c r="AQ458" s="11" t="str">
        <x:v>IEK:030201144_</x:v>
      </x:c>
      <x:c r="AR458" s="23" t="n">
        <x:v>1</x:v>
      </x:c>
      <x:c r="AS458" s="23" t="n">
        <x:v>0</x:v>
      </x:c>
      <x:c r="AT458" s="23" t="n">
        <x:v>0</x:v>
      </x:c>
    </x:row>
    <x:row r="459" ht="64" customHeight="1">
      <x:c r="A459" s="10" t="str">
        <x:v>IEK</x:v>
      </x:c>
      <x:c r="B459" s="34" t="str">
        <x:v>030201148_</x:v>
      </x:c>
      <x:c r="C459" s="34" t="str">
        <x:v>BR-M52-51-K01</x:v>
      </x:c>
      <x:c r="D459" s="13" t="str">
        <x:v>Рамка 5-мест. "BRITE"  бел. рифленый  IEK  (1/100)</x:v>
      </x:c>
      <x:c r="E459" s="10" t="str">
        <x:v>шт</x:v>
      </x:c>
      <x:c r="F459" s="37" t="n">
        <x:f>MAX(0,ROUNDDOWN((AG459-AF459)/AR459+0.000000001,0)*AR459)</x:f>
        <x:v>4</x:v>
      </x:c>
      <x:c r="G459" s="21" t="str">
        <x:f>IF(J459="Рассчитано",V459*(1-R459/100)-W459-P459-Q459,"н/д")</x:f>
        <x:v>н/д</x:v>
      </x:c>
      <x:c r="H459" s="13" t="str">
        <x:v>Высокий</x:v>
      </x:c>
      <x:c r="I459" s="13" t="str">
        <x:v>Высокий</x:v>
      </x:c>
      <x:c r="J459" s="13" t="str">
        <x:f>IF(L459="","Укажите валюту",IF(NOT(ISNUMBER(K459)),"Укажите объём",IF(K459&lt;=0,"Укажите объём",IF(K459&gt;F459,"Объём выше излишка",IF(COUNT(M459:O459)&lt;3,"Нужны цены",IF(COUNT(P459:R459)&lt;3,"Нужны расходы",IF(OR(M459&lt;0,N459&lt;0,O459&lt;0,O459&gt;100,P459&lt;0,Q459&lt;0,R459&lt;0,R459&gt;100),"Проверьте значения","Рассчитано")))))))</x:f>
        <x:v>Нужны цены</x:v>
      </x:c>
      <x:c r="K459" s="36" t="n">
        <x:v>4</x:v>
      </x:c>
      <x:c r="L459" s="19" t="str">
        <x:v>KZT</x:v>
      </x:c>
      <x:c r="M459" s="22"/>
      <x:c r="N459" s="22"/>
      <x:c r="O459" s="28"/>
      <x:c r="P459" s="22"/>
      <x:c r="Q459" s="22"/>
      <x:c r="R459" s="28"/>
      <x:c r="S459" s="22"/>
      <x:c r="T459" s="37" t="n">
        <x:f>K459</x:f>
        <x:v>4</x:v>
      </x:c>
      <x:c r="U459" s="21" t="str">
        <x:f>IF(J459="Рассчитано",N459*(1-O459/100),"н/д")</x:f>
        <x:v>н/д</x:v>
      </x:c>
      <x:c r="V459" s="21" t="str">
        <x:f>IF(J459="Рассчитано",T459*U459,"н/д")</x:f>
        <x:v>н/д</x:v>
      </x:c>
      <x:c r="W459" s="21" t="str">
        <x:f>IF(J459="Рассчитано",T459*M459,"н/д")</x:f>
        <x:v>н/д</x:v>
      </x:c>
      <x:c r="X459" s="21" t="str">
        <x:f>IF(J459="Рассчитано",V459-W459,"н/д")</x:f>
        <x:v>н/д</x:v>
      </x:c>
      <x:c r="Y459" s="27" t="str">
        <x:f>IF(J459="Рассчитано",IF(V459&gt;0,G459/V459,"н/д"),"н/д")</x:f>
        <x:v>н/д</x:v>
      </x:c>
      <x:c r="Z459" s="21" t="str">
        <x:f>"н/д"</x:f>
        <x:v>н/д</x:v>
      </x:c>
      <x:c r="AA459" s="21" t="str">
        <x:f>"н/д"</x:f>
        <x:v>н/д</x:v>
      </x:c>
      <x:c r="AB459" s="21" t="str">
        <x:f>"н/д"</x:f>
        <x:v>н/д</x:v>
      </x:c>
      <x:c r="AC459" s="21" t="str">
        <x:f>IF(AND(J459="Рассчитано",T459&gt;0,R459&lt;100),(W459+P459+Q459)/(T459*(1-R459/100)),"н/д")</x:f>
        <x:v>н/д</x:v>
      </x:c>
      <x:c r="AD459" s="10" t="str">
        <x:f>IF(ISNUMBER(G459),IF(G459&lt;0,"Убыток",IF(G459=0,"Без прибыли","Прибыль &gt; 0")),"Не оценён")</x:f>
        <x:v>Не оценён</x:v>
      </x:c>
      <x:c r="AE459" s="13" t="str">
        <x:f>IF(J459="Рассчитано","Выручка "&amp;TEXT(V459,"0.00")&amp;" - себестоимость "&amp;TEXT(W459,"0.00")&amp;" - комиссия "&amp;TEXT(V459*R459/100,"0.00")&amp;" - доставка "&amp;TEXT(P459,"0.00")&amp;" - прочие "&amp;TEXT(Q459,"0.00")&amp;" = "&amp;TEXT(G459,"0.00")&amp;" "&amp;L459,"Введите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9" s="24" t="n">
        <x:v>0.114314323227914</x:v>
      </x:c>
      <x:c r="AG459" s="37" t="n">
        <x:v>5</x:v>
      </x:c>
      <x:c r="AH459" s="37" t="n">
        <x:v>0</x:v>
      </x:c>
      <x:c r="AI459" s="30" t="n">
        <x:v>46266</x:v>
      </x:c>
      <x:c r="AJ459" s="37" t="n">
        <x:v>1</x:v>
      </x:c>
      <x:c r="AK459" s="10" t="str">
        <x:v>минимум</x:v>
      </x:c>
      <x:c r="AL459" s="32" t="n">
        <x:v>3719.532853314558</x:v>
      </x:c>
      <x:c r="AM45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59" s="13" t="str">
        <x:v>Проверить свободный остаток и установить цену для B2B</x:v>
      </x:c>
      <x:c r="AO459" s="13" t="str">
        <x:v>Остаток 5; прогноз 90 дней 0.11; избыток 4 шт. Будущие поступления не выставляются на продажу. Остаток на начало сентября: требуется актуализация.</x:v>
      </x:c>
      <x:c r="AP459" s="13" t="str">
        <x:v>["category_missing", "daily_stockout_data_missing", "new_order_lead_time_unknown", "reservations_unknown", "stale_stock"]</x:v>
      </x:c>
      <x:c r="AQ459" s="10" t="str">
        <x:v>IEK:030201148_</x:v>
      </x:c>
      <x:c r="AR459" s="24" t="n">
        <x:v>1</x:v>
      </x:c>
      <x:c r="AS459" s="24" t="n">
        <x:v>0</x:v>
      </x:c>
      <x:c r="AT459" s="24" t="n">
        <x:v>0</x:v>
      </x:c>
    </x:row>
    <x:row r="460" ht="64" customHeight="1">
      <x:c r="A460" s="11" t="str">
        <x:v>IEK</x:v>
      </x:c>
      <x:c r="B460" s="33" t="str">
        <x:v>030201149_</x:v>
      </x:c>
      <x:c r="C460" s="33" t="str">
        <x:v>BR-M52-51-K10</x:v>
      </x:c>
      <x:c r="D460" s="12" t="str">
        <x:v>Рамка 5-мест. "BRITE"  беж. рифленый  IEK  (1/100)</x:v>
      </x:c>
      <x:c r="E460" s="11" t="str">
        <x:v>шт</x:v>
      </x:c>
      <x:c r="F460" s="35" t="n">
        <x:f>MAX(0,ROUNDDOWN((AG460-AF460)/AR460+0.000000001,0)*AR460)</x:f>
        <x:v>5</x:v>
      </x:c>
      <x:c r="G460" s="20" t="str">
        <x:f>IF(J460="Рассчитано",V460*(1-R460/100)-W460-P460-Q460,"н/д")</x:f>
        <x:v>н/д</x:v>
      </x:c>
      <x:c r="H460" s="12" t="str">
        <x:v>Высокий</x:v>
      </x:c>
      <x:c r="I460" s="12" t="str">
        <x:v>Высокий</x:v>
      </x:c>
      <x:c r="J460" s="12" t="str">
        <x:f>IF(L460="","Укажите валюту",IF(NOT(ISNUMBER(K460)),"Укажите объём",IF(K460&lt;=0,"Укажите объём",IF(K460&gt;F460,"Объём выше излишка",IF(COUNT(M460:O460)&lt;3,"Нужны цены",IF(COUNT(P460:R460)&lt;3,"Нужны расходы",IF(OR(M460&lt;0,N460&lt;0,O460&lt;0,O460&gt;100,P460&lt;0,Q460&lt;0,R460&lt;0,R460&gt;100),"Проверьте значения","Рассчитано")))))))</x:f>
        <x:v>Нужны цены</x:v>
      </x:c>
      <x:c r="K460" s="36" t="n">
        <x:v>5</x:v>
      </x:c>
      <x:c r="L460" s="19" t="str">
        <x:v>KZT</x:v>
      </x:c>
      <x:c r="M460" s="22"/>
      <x:c r="N460" s="22"/>
      <x:c r="O460" s="28"/>
      <x:c r="P460" s="22"/>
      <x:c r="Q460" s="22"/>
      <x:c r="R460" s="28"/>
      <x:c r="S460" s="22"/>
      <x:c r="T460" s="35" t="n">
        <x:f>K460</x:f>
        <x:v>5</x:v>
      </x:c>
      <x:c r="U460" s="20" t="str">
        <x:f>IF(J460="Рассчитано",N460*(1-O460/100),"н/д")</x:f>
        <x:v>н/д</x:v>
      </x:c>
      <x:c r="V460" s="20" t="str">
        <x:f>IF(J460="Рассчитано",T460*U460,"н/д")</x:f>
        <x:v>н/д</x:v>
      </x:c>
      <x:c r="W460" s="20" t="str">
        <x:f>IF(J460="Рассчитано",T460*M460,"н/д")</x:f>
        <x:v>н/д</x:v>
      </x:c>
      <x:c r="X460" s="20" t="str">
        <x:f>IF(J460="Рассчитано",V460-W460,"н/д")</x:f>
        <x:v>н/д</x:v>
      </x:c>
      <x:c r="Y460" s="26" t="str">
        <x:f>IF(J460="Рассчитано",IF(V460&gt;0,G460/V460,"н/д"),"н/д")</x:f>
        <x:v>н/д</x:v>
      </x:c>
      <x:c r="Z460" s="20" t="str">
        <x:f>"н/д"</x:f>
        <x:v>н/д</x:v>
      </x:c>
      <x:c r="AA460" s="20" t="str">
        <x:f>"н/д"</x:f>
        <x:v>н/д</x:v>
      </x:c>
      <x:c r="AB460" s="20" t="str">
        <x:f>"н/д"</x:f>
        <x:v>н/д</x:v>
      </x:c>
      <x:c r="AC460" s="20" t="str">
        <x:f>IF(AND(J460="Рассчитано",T460&gt;0,R460&lt;100),(W460+P460+Q460)/(T460*(1-R460/100)),"н/д")</x:f>
        <x:v>н/д</x:v>
      </x:c>
      <x:c r="AD460" s="11" t="str">
        <x:f>IF(ISNUMBER(G460),IF(G460&lt;0,"Убыток",IF(G460=0,"Без прибыли","Прибыль &gt; 0")),"Не оценён")</x:f>
        <x:v>Не оценён</x:v>
      </x:c>
      <x:c r="AE460" s="12" t="str">
        <x:f>IF(J460="Рассчитано","Выручка "&amp;TEXT(V460,"0.00")&amp;" - себестоимость "&amp;TEXT(W460,"0.00")&amp;" - комиссия "&amp;TEXT(V460*R460/100,"0.00")&amp;" - доставка "&amp;TEXT(P460,"0.00")&amp;" - прочие "&amp;TEXT(Q460,"0.00")&amp;" = "&amp;TEXT(G460,"0.00")&amp;" "&amp;L460,"Введите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0" s="23" t="n">
        <x:v>0.09005811180205522</x:v>
      </x:c>
      <x:c r="AG460" s="35" t="n">
        <x:v>6</x:v>
      </x:c>
      <x:c r="AH460" s="35" t="n">
        <x:v>0</x:v>
      </x:c>
      <x:c r="AI460" s="29" t="n">
        <x:v>46266</x:v>
      </x:c>
      <x:c r="AJ460" s="35" t="n">
        <x:v>1</x:v>
      </x:c>
      <x:c r="AK460" s="11" t="str">
        <x:v>минимум</x:v>
      </x:c>
      <x:c r="AL460" s="31" t="n">
        <x:v>5665.620195793741</x:v>
      </x:c>
      <x:c r="AM4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0" s="12" t="str">
        <x:v>Проверить свободный остаток и установить цену для B2B</x:v>
      </x:c>
      <x:c r="AO460" s="12" t="str">
        <x:v>Остаток 6; прогноз 90 дней 0.09; избыток 5 шт. Будущие поступления не выставляются на продажу. Остаток на начало сентября: требуется актуализация.</x:v>
      </x:c>
      <x:c r="AP460" s="12" t="str">
        <x:v>["category_missing", "daily_stockout_data_missing", "new_order_lead_time_unknown", "reservations_unknown", "stale_stock"]</x:v>
      </x:c>
      <x:c r="AQ460" s="11" t="str">
        <x:v>IEK:030201149_</x:v>
      </x:c>
      <x:c r="AR460" s="23" t="n">
        <x:v>1</x:v>
      </x:c>
      <x:c r="AS460" s="23" t="n">
        <x:v>0</x:v>
      </x:c>
      <x:c r="AT460" s="23" t="n">
        <x:v>0</x:v>
      </x:c>
    </x:row>
    <x:row r="461" ht="64" customHeight="1">
      <x:c r="A461" s="10" t="str">
        <x:v>IEK</x:v>
      </x:c>
      <x:c r="B461" s="34" t="str">
        <x:v>030201150_</x:v>
      </x:c>
      <x:c r="C461" s="34" t="str">
        <x:v>BR-M52-12-4-K23</x:v>
      </x:c>
      <x:c r="D461" s="13" t="str">
        <x:v>Рамка 5-мест. "BRITE"  хром/никель  IEK  (1/100)</x:v>
      </x:c>
      <x:c r="E461" s="10" t="str">
        <x:v>шт</x:v>
      </x:c>
      <x:c r="F461" s="37" t="n">
        <x:f>MAX(0,ROUNDDOWN((AG461-AF461)/AR461+0.000000001,0)*AR461)</x:f>
        <x:v>3</x:v>
      </x:c>
      <x:c r="G461" s="21" t="str">
        <x:f>IF(J461="Рассчитано",V461*(1-R461/100)-W461-P461-Q461,"н/д")</x:f>
        <x:v>н/д</x:v>
      </x:c>
      <x:c r="H461" s="13" t="str">
        <x:v>Высокий</x:v>
      </x:c>
      <x:c r="I461" s="13" t="str">
        <x:v>Высокий</x:v>
      </x:c>
      <x:c r="J461" s="13" t="str">
        <x:f>IF(L461="","Укажите валюту",IF(NOT(ISNUMBER(K461)),"Укажите объём",IF(K461&lt;=0,"Укажите объём",IF(K461&gt;F461,"Объём выше излишка",IF(COUNT(M461:O461)&lt;3,"Нужны цены",IF(COUNT(P461:R461)&lt;3,"Нужны расходы",IF(OR(M461&lt;0,N461&lt;0,O461&lt;0,O461&gt;100,P461&lt;0,Q461&lt;0,R461&lt;0,R461&gt;100),"Проверьте значения","Рассчитано")))))))</x:f>
        <x:v>Нужны цены</x:v>
      </x:c>
      <x:c r="K461" s="36" t="n">
        <x:v>3</x:v>
      </x:c>
      <x:c r="L461" s="19" t="str">
        <x:v>KZT</x:v>
      </x:c>
      <x:c r="M461" s="22"/>
      <x:c r="N461" s="22"/>
      <x:c r="O461" s="28"/>
      <x:c r="P461" s="22"/>
      <x:c r="Q461" s="22"/>
      <x:c r="R461" s="28"/>
      <x:c r="S461" s="22"/>
      <x:c r="T461" s="37" t="n">
        <x:f>K461</x:f>
        <x:v>3</x:v>
      </x:c>
      <x:c r="U461" s="21" t="str">
        <x:f>IF(J461="Рассчитано",N461*(1-O461/100),"н/д")</x:f>
        <x:v>н/д</x:v>
      </x:c>
      <x:c r="V461" s="21" t="str">
        <x:f>IF(J461="Рассчитано",T461*U461,"н/д")</x:f>
        <x:v>н/д</x:v>
      </x:c>
      <x:c r="W461" s="21" t="str">
        <x:f>IF(J461="Рассчитано",T461*M461,"н/д")</x:f>
        <x:v>н/д</x:v>
      </x:c>
      <x:c r="X461" s="21" t="str">
        <x:f>IF(J461="Рассчитано",V461-W461,"н/д")</x:f>
        <x:v>н/д</x:v>
      </x:c>
      <x:c r="Y461" s="27" t="str">
        <x:f>IF(J461="Рассчитано",IF(V461&gt;0,G461/V461,"н/д"),"н/д")</x:f>
        <x:v>н/д</x:v>
      </x:c>
      <x:c r="Z461" s="21" t="str">
        <x:f>"н/д"</x:f>
        <x:v>н/д</x:v>
      </x:c>
      <x:c r="AA461" s="21" t="str">
        <x:f>"н/д"</x:f>
        <x:v>н/д</x:v>
      </x:c>
      <x:c r="AB461" s="21" t="str">
        <x:f>"н/д"</x:f>
        <x:v>н/д</x:v>
      </x:c>
      <x:c r="AC461" s="21" t="str">
        <x:f>IF(AND(J461="Рассчитано",T461&gt;0,R461&lt;100),(W461+P461+Q461)/(T461*(1-R461/100)),"н/д")</x:f>
        <x:v>н/д</x:v>
      </x:c>
      <x:c r="AD461" s="10" t="str">
        <x:f>IF(ISNUMBER(G461),IF(G461&lt;0,"Убыток",IF(G461=0,"Без прибыли","Прибыль &gt; 0")),"Не оценён")</x:f>
        <x:v>Не оценён</x:v>
      </x:c>
      <x:c r="AE461" s="13" t="str">
        <x:f>IF(J461="Рассчитано","Выручка "&amp;TEXT(V461,"0.00")&amp;" - себестоимость "&amp;TEXT(W461,"0.00")&amp;" - комиссия "&amp;TEXT(V461*R461/100,"0.00")&amp;" - доставка "&amp;TEXT(P461,"0.00")&amp;" - прочие "&amp;TEXT(Q461,"0.00")&amp;" = "&amp;TEXT(G461,"0.00")&amp;" "&amp;L461,"Введите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1" s="24" t="n">
        <x:v>0.32276181762965744</x:v>
      </x:c>
      <x:c r="AG461" s="37" t="n">
        <x:v>4</x:v>
      </x:c>
      <x:c r="AH461" s="37" t="n">
        <x:v>0</x:v>
      </x:c>
      <x:c r="AI461" s="30" t="n">
        <x:v>46266</x:v>
      </x:c>
      <x:c r="AJ461" s="37" t="n">
        <x:v>1</x:v>
      </x:c>
      <x:c r="AK461" s="10" t="str">
        <x:v>минимум</x:v>
      </x:c>
      <x:c r="AL461" s="32" t="n">
        <x:v>1053.8938811864616</x:v>
      </x:c>
      <x:c r="AM46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1" s="13" t="str">
        <x:v>Проверить свободный остаток и установить цену для B2B</x:v>
      </x:c>
      <x:c r="AO461" s="13" t="str">
        <x:v>Остаток 4; прогноз 90 дней 0.32; избыток 3 шт. Будущие поступления не выставляются на продажу. Остаток на начало сентября: требуется актуализация.</x:v>
      </x:c>
      <x:c r="AP461" s="13" t="str">
        <x:v>["category_missing", "daily_stockout_data_missing", "new_order_lead_time_unknown", "reservations_unknown", "stale_stock"]</x:v>
      </x:c>
      <x:c r="AQ461" s="10" t="str">
        <x:v>IEK:030201150_</x:v>
      </x:c>
      <x:c r="AR461" s="24" t="n">
        <x:v>1</x:v>
      </x:c>
      <x:c r="AS461" s="24" t="n">
        <x:v>0</x:v>
      </x:c>
      <x:c r="AT461" s="24" t="n">
        <x:v>0</x:v>
      </x:c>
    </x:row>
    <x:row r="462" ht="64" customHeight="1">
      <x:c r="A462" s="11" t="str">
        <x:v>IEK</x:v>
      </x:c>
      <x:c r="B462" s="33" t="str">
        <x:v>030201236_</x:v>
      </x:c>
      <x:c r="C462" s="33" t="str">
        <x:v>BR-V23-0-10-K02</x:v>
      </x:c>
      <x:c r="D462" s="12" t="str">
        <x:v>Выкл 2-кл перекр 10А б/рамки "BRITE" черный (1/100)</x:v>
      </x:c>
      <x:c r="E462" s="11" t="str">
        <x:v>шт</x:v>
      </x:c>
      <x:c r="F462" s="35" t="n">
        <x:f>MAX(0,ROUNDDOWN((AG462-AF462)/AR462+0.000000001,0)*AR462)</x:f>
        <x:v>70</x:v>
      </x:c>
      <x:c r="G462" s="20" t="str">
        <x:f>IF(J462="Рассчитано",V462*(1-R462/100)-W462-P462-Q462,"н/д")</x:f>
        <x:v>н/д</x:v>
      </x:c>
      <x:c r="H462" s="12" t="str">
        <x:v>Высокий</x:v>
      </x:c>
      <x:c r="I462" s="12" t="str">
        <x:v>Высокий</x:v>
      </x:c>
      <x:c r="J462" s="12" t="str">
        <x:f>IF(L462="","Укажите валюту",IF(NOT(ISNUMBER(K462)),"Укажите объём",IF(K462&lt;=0,"Укажите объём",IF(K462&gt;F462,"Объём выше излишка",IF(COUNT(M462:O462)&lt;3,"Нужны цены",IF(COUNT(P462:R462)&lt;3,"Нужны расходы",IF(OR(M462&lt;0,N462&lt;0,O462&lt;0,O462&gt;100,P462&lt;0,Q462&lt;0,R462&lt;0,R462&gt;100),"Проверьте значения","Рассчитано")))))))</x:f>
        <x:v>Нужны цены</x:v>
      </x:c>
      <x:c r="K462" s="36" t="n">
        <x:v>70</x:v>
      </x:c>
      <x:c r="L462" s="19" t="str">
        <x:v>KZT</x:v>
      </x:c>
      <x:c r="M462" s="22"/>
      <x:c r="N462" s="22"/>
      <x:c r="O462" s="28"/>
      <x:c r="P462" s="22"/>
      <x:c r="Q462" s="22"/>
      <x:c r="R462" s="28"/>
      <x:c r="S462" s="22"/>
      <x:c r="T462" s="35" t="n">
        <x:f>K462</x:f>
        <x:v>70</x:v>
      </x:c>
      <x:c r="U462" s="20" t="str">
        <x:f>IF(J462="Рассчитано",N462*(1-O462/100),"н/д")</x:f>
        <x:v>н/д</x:v>
      </x:c>
      <x:c r="V462" s="20" t="str">
        <x:f>IF(J462="Рассчитано",T462*U462,"н/д")</x:f>
        <x:v>н/д</x:v>
      </x:c>
      <x:c r="W462" s="20" t="str">
        <x:f>IF(J462="Рассчитано",T462*M462,"н/д")</x:f>
        <x:v>н/д</x:v>
      </x:c>
      <x:c r="X462" s="20" t="str">
        <x:f>IF(J462="Рассчитано",V462-W462,"н/д")</x:f>
        <x:v>н/д</x:v>
      </x:c>
      <x:c r="Y462" s="26" t="str">
        <x:f>IF(J462="Рассчитано",IF(V462&gt;0,G462/V462,"н/д"),"н/д")</x:f>
        <x:v>н/д</x:v>
      </x:c>
      <x:c r="Z462" s="20" t="str">
        <x:f>"н/д"</x:f>
        <x:v>н/д</x:v>
      </x:c>
      <x:c r="AA462" s="20" t="str">
        <x:f>"н/д"</x:f>
        <x:v>н/д</x:v>
      </x:c>
      <x:c r="AB462" s="20" t="str">
        <x:f>"н/д"</x:f>
        <x:v>н/д</x:v>
      </x:c>
      <x:c r="AC462" s="20" t="str">
        <x:f>IF(AND(J462="Рассчитано",T462&gt;0,R462&lt;100),(W462+P462+Q462)/(T462*(1-R462/100)),"н/д")</x:f>
        <x:v>н/д</x:v>
      </x:c>
      <x:c r="AD462" s="11" t="str">
        <x:f>IF(ISNUMBER(G462),IF(G462&lt;0,"Убыток",IF(G462=0,"Без прибыли","Прибыль &gt; 0")),"Не оценён")</x:f>
        <x:v>Не оценён</x:v>
      </x:c>
      <x:c r="AE462" s="12" t="str">
        <x:f>IF(J462="Рассчитано","Выручка "&amp;TEXT(V462,"0.00")&amp;" - себестоимость "&amp;TEXT(W462,"0.00")&amp;" - комиссия "&amp;TEXT(V462*R462/100,"0.00")&amp;" - доставка "&amp;TEXT(P462,"0.00")&amp;" - прочие "&amp;TEXT(Q462,"0.00")&amp;" = "&amp;TEXT(G462,"0.00")&amp;" "&amp;L462,"Введите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2" s="23" t="n">
        <x:v>40.64710831834612</x:v>
      </x:c>
      <x:c r="AG462" s="35" t="n">
        <x:v>111</x:v>
      </x:c>
      <x:c r="AH462" s="35" t="n">
        <x:v>0</x:v>
      </x:c>
      <x:c r="AI462" s="29" t="n">
        <x:v>46266</x:v>
      </x:c>
      <x:c r="AJ462" s="35" t="n">
        <x:v>1</x:v>
      </x:c>
      <x:c r="AK462" s="11" t="str">
        <x:v>минимум</x:v>
      </x:c>
      <x:c r="AL462" s="31" t="n">
        <x:v>232.22681625851033</x:v>
      </x:c>
      <x:c r="AM46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2" s="12" t="str">
        <x:v>Проверить свободный остаток и установить цену для B2B</x:v>
      </x:c>
      <x:c r="AO462" s="12" t="str">
        <x:v>Остаток 111; прогноз 90 дней 40.65; избыток 70 шт. Будущие поступления не выставляются на продажу. Остаток на начало сентября: требуется актуализация.</x:v>
      </x:c>
      <x:c r="AP462" s="12" t="str">
        <x:v>["category_missing", "daily_stockout_data_missing", "large_orders_detected", "new_order_lead_time_unknown", "reservations_unknown", "stale_stock"]</x:v>
      </x:c>
      <x:c r="AQ462" s="11" t="str">
        <x:v>IEK:030201236_</x:v>
      </x:c>
      <x:c r="AR462" s="23" t="n">
        <x:v>1</x:v>
      </x:c>
      <x:c r="AS462" s="23" t="n">
        <x:v>0</x:v>
      </x:c>
      <x:c r="AT462" s="23" t="n">
        <x:v>0</x:v>
      </x:c>
    </x:row>
    <x:row r="463" ht="64" customHeight="1">
      <x:c r="A463" s="10" t="str">
        <x:v>IEK</x:v>
      </x:c>
      <x:c r="B463" s="34" t="str">
        <x:v>030201244_</x:v>
      </x:c>
      <x:c r="C463" s="34" t="str">
        <x:v>BR-V23-0-10-K01</x:v>
      </x:c>
      <x:c r="D463" s="13" t="str">
        <x:v>Выкл 2-кл перекр 10А б/рамки "BRITE" белый (1/100)</x:v>
      </x:c>
      <x:c r="E463" s="10" t="str">
        <x:v>шт</x:v>
      </x:c>
      <x:c r="F463" s="37" t="n">
        <x:f>MAX(0,ROUNDDOWN((AG463-AF463)/AR463+0.000000001,0)*AR463)</x:f>
        <x:v>9</x:v>
      </x:c>
      <x:c r="G463" s="21" t="str">
        <x:f>IF(J463="Рассчитано",V463*(1-R463/100)-W463-P463-Q463,"н/д")</x:f>
        <x:v>н/д</x:v>
      </x:c>
      <x:c r="H463" s="13" t="str">
        <x:v>Высокий</x:v>
      </x:c>
      <x:c r="I463" s="13" t="str">
        <x:v>Средний</x:v>
      </x:c>
      <x:c r="J463" s="13" t="str">
        <x:f>IF(L463="","Укажите валюту",IF(NOT(ISNUMBER(K463)),"Укажите объём",IF(K463&lt;=0,"Укажите объём",IF(K463&gt;F463,"Объём выше излишка",IF(COUNT(M463:O463)&lt;3,"Нужны цены",IF(COUNT(P463:R463)&lt;3,"Нужны расходы",IF(OR(M463&lt;0,N463&lt;0,O463&lt;0,O463&gt;100,P463&lt;0,Q463&lt;0,R463&lt;0,R463&gt;100),"Проверьте значения","Рассчитано")))))))</x:f>
        <x:v>Нужны цены</x:v>
      </x:c>
      <x:c r="K463" s="36" t="n">
        <x:v>9</x:v>
      </x:c>
      <x:c r="L463" s="19" t="str">
        <x:v>KZT</x:v>
      </x:c>
      <x:c r="M463" s="22"/>
      <x:c r="N463" s="22"/>
      <x:c r="O463" s="28"/>
      <x:c r="P463" s="22"/>
      <x:c r="Q463" s="22"/>
      <x:c r="R463" s="28"/>
      <x:c r="S463" s="22"/>
      <x:c r="T463" s="37" t="n">
        <x:f>K463</x:f>
        <x:v>9</x:v>
      </x:c>
      <x:c r="U463" s="21" t="str">
        <x:f>IF(J463="Рассчитано",N463*(1-O463/100),"н/д")</x:f>
        <x:v>н/д</x:v>
      </x:c>
      <x:c r="V463" s="21" t="str">
        <x:f>IF(J463="Рассчитано",T463*U463,"н/д")</x:f>
        <x:v>н/д</x:v>
      </x:c>
      <x:c r="W463" s="21" t="str">
        <x:f>IF(J463="Рассчитано",T463*M463,"н/д")</x:f>
        <x:v>н/д</x:v>
      </x:c>
      <x:c r="X463" s="21" t="str">
        <x:f>IF(J463="Рассчитано",V463-W463,"н/д")</x:f>
        <x:v>н/д</x:v>
      </x:c>
      <x:c r="Y463" s="27" t="str">
        <x:f>IF(J463="Рассчитано",IF(V463&gt;0,G463/V463,"н/д"),"н/д")</x:f>
        <x:v>н/д</x:v>
      </x:c>
      <x:c r="Z463" s="21" t="str">
        <x:f>"н/д"</x:f>
        <x:v>н/д</x:v>
      </x:c>
      <x:c r="AA463" s="21" t="str">
        <x:f>"н/д"</x:f>
        <x:v>н/д</x:v>
      </x:c>
      <x:c r="AB463" s="21" t="str">
        <x:f>"н/д"</x:f>
        <x:v>н/д</x:v>
      </x:c>
      <x:c r="AC463" s="21" t="str">
        <x:f>IF(AND(J463="Рассчитано",T463&gt;0,R463&lt;100),(W463+P463+Q463)/(T463*(1-R463/100)),"н/д")</x:f>
        <x:v>н/д</x:v>
      </x:c>
      <x:c r="AD463" s="10" t="str">
        <x:f>IF(ISNUMBER(G463),IF(G463&lt;0,"Убыток",IF(G463=0,"Без прибыли","Прибыль &gt; 0")),"Не оценён")</x:f>
        <x:v>Не оценён</x:v>
      </x:c>
      <x:c r="AE463" s="13" t="str">
        <x:f>IF(J463="Рассчитано","Выручка "&amp;TEXT(V463,"0.00")&amp;" - себестоимость "&amp;TEXT(W463,"0.00")&amp;" - комиссия "&amp;TEXT(V463*R463/100,"0.00")&amp;" - доставка "&amp;TEXT(P463,"0.00")&amp;" - прочие "&amp;TEXT(Q463,"0.00")&amp;" = "&amp;TEXT(G463,"0.00")&amp;" "&amp;L463,"Введите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3" s="24" t="n">
        <x:v>23.06256632415305</x:v>
      </x:c>
      <x:c r="AG463" s="37" t="n">
        <x:v>33</x:v>
      </x:c>
      <x:c r="AH463" s="37" t="n">
        <x:v>0</x:v>
      </x:c>
      <x:c r="AI463" s="30" t="n">
        <x:v>46266</x:v>
      </x:c>
      <x:c r="AJ463" s="37" t="n">
        <x:v>1</x:v>
      </x:c>
      <x:c r="AK463" s="10" t="str">
        <x:v>минимум</x:v>
      </x:c>
      <x:c r="AL463" s="32" t="n">
        <x:v>121.68172328138841</x:v>
      </x:c>
      <x:c r="AM463" s="13" t="str">
        <x:v>Остаток на начало сентября; Резервы неизвестны; Нет ежедневных данных доступности. Запас выше прогноза на 90 дней</x:v>
      </x:c>
      <x:c r="AN463" s="13" t="str">
        <x:v>Проверить свободный остаток и установить цену для B2B</x:v>
      </x:c>
      <x:c r="AO463" s="13" t="str">
        <x:v>Остаток 33; прогноз 90 дней 23.06; избыток 9 шт. Будущие поступления не выставляются на продажу. Остаток на начало сентября: требуется актуализация.</x:v>
      </x:c>
      <x:c r="AP463" s="13" t="str">
        <x:v>["category_missing", "daily_stockout_data_missing", "new_order_lead_time_unknown", "reservations_unknown", "stale_stock"]</x:v>
      </x:c>
      <x:c r="AQ463" s="10" t="str">
        <x:v>IEK:030201244_</x:v>
      </x:c>
      <x:c r="AR463" s="24" t="n">
        <x:v>1</x:v>
      </x:c>
      <x:c r="AS463" s="24" t="n">
        <x:v>0</x:v>
      </x:c>
      <x:c r="AT463" s="24" t="n">
        <x:v>0</x:v>
      </x:c>
    </x:row>
    <x:row r="464" ht="64" customHeight="1">
      <x:c r="A464" s="11" t="str">
        <x:v>IEK</x:v>
      </x:c>
      <x:c r="B464" s="33" t="str">
        <x:v>030201245_</x:v>
      </x:c>
      <x:c r="C464" s="33" t="str">
        <x:v>BR-V23-0-10-K53</x:v>
      </x:c>
      <x:c r="D464" s="12" t="str">
        <x:v>Выкл 2-кл перекр 10А б/рамки "BRITE" графит (1/100)</x:v>
      </x:c>
      <x:c r="E464" s="11" t="str">
        <x:v>шт</x:v>
      </x:c>
      <x:c r="F464" s="35" t="n">
        <x:f>MAX(0,ROUNDDOWN((AG464-AF464)/AR464+0.000000001,0)*AR464)</x:f>
        <x:v>49</x:v>
      </x:c>
      <x:c r="G464" s="20" t="str">
        <x:f>IF(J464="Рассчитано",V464*(1-R464/100)-W464-P464-Q464,"н/д")</x:f>
        <x:v>н/д</x:v>
      </x:c>
      <x:c r="H464" s="12" t="str">
        <x:v>Высокий</x:v>
      </x:c>
      <x:c r="I464" s="12" t="str">
        <x:v>Высокий</x:v>
      </x:c>
      <x:c r="J464" s="12" t="str">
        <x:f>IF(L464="","Укажите валюту",IF(NOT(ISNUMBER(K464)),"Укажите объём",IF(K464&lt;=0,"Укажите объём",IF(K464&gt;F464,"Объём выше излишка",IF(COUNT(M464:O464)&lt;3,"Нужны цены",IF(COUNT(P464:R464)&lt;3,"Нужны расходы",IF(OR(M464&lt;0,N464&lt;0,O464&lt;0,O464&gt;100,P464&lt;0,Q464&lt;0,R464&lt;0,R464&gt;100),"Проверьте значения","Рассчитано")))))))</x:f>
        <x:v>Нужны цены</x:v>
      </x:c>
      <x:c r="K464" s="36" t="n">
        <x:v>49</x:v>
      </x:c>
      <x:c r="L464" s="19" t="str">
        <x:v>KZT</x:v>
      </x:c>
      <x:c r="M464" s="22"/>
      <x:c r="N464" s="22"/>
      <x:c r="O464" s="28"/>
      <x:c r="P464" s="22"/>
      <x:c r="Q464" s="22"/>
      <x:c r="R464" s="28"/>
      <x:c r="S464" s="22"/>
      <x:c r="T464" s="35" t="n">
        <x:f>K464</x:f>
        <x:v>49</x:v>
      </x:c>
      <x:c r="U464" s="20" t="str">
        <x:f>IF(J464="Рассчитано",N464*(1-O464/100),"н/д")</x:f>
        <x:v>н/д</x:v>
      </x:c>
      <x:c r="V464" s="20" t="str">
        <x:f>IF(J464="Рассчитано",T464*U464,"н/д")</x:f>
        <x:v>н/д</x:v>
      </x:c>
      <x:c r="W464" s="20" t="str">
        <x:f>IF(J464="Рассчитано",T464*M464,"н/д")</x:f>
        <x:v>н/д</x:v>
      </x:c>
      <x:c r="X464" s="20" t="str">
        <x:f>IF(J464="Рассчитано",V464-W464,"н/д")</x:f>
        <x:v>н/д</x:v>
      </x:c>
      <x:c r="Y464" s="26" t="str">
        <x:f>IF(J464="Рассчитано",IF(V464&gt;0,G464/V464,"н/д"),"н/д")</x:f>
        <x:v>н/д</x:v>
      </x:c>
      <x:c r="Z464" s="20" t="str">
        <x:f>"н/д"</x:f>
        <x:v>н/д</x:v>
      </x:c>
      <x:c r="AA464" s="20" t="str">
        <x:f>"н/д"</x:f>
        <x:v>н/д</x:v>
      </x:c>
      <x:c r="AB464" s="20" t="str">
        <x:f>"н/д"</x:f>
        <x:v>н/д</x:v>
      </x:c>
      <x:c r="AC464" s="20" t="str">
        <x:f>IF(AND(J464="Рассчитано",T464&gt;0,R464&lt;100),(W464+P464+Q464)/(T464*(1-R464/100)),"н/д")</x:f>
        <x:v>н/д</x:v>
      </x:c>
      <x:c r="AD464" s="11" t="str">
        <x:f>IF(ISNUMBER(G464),IF(G464&lt;0,"Убыток",IF(G464=0,"Без прибыли","Прибыль &gt; 0")),"Не оценён")</x:f>
        <x:v>Не оценён</x:v>
      </x:c>
      <x:c r="AE464" s="12" t="str">
        <x:f>IF(J464="Рассчитано","Выручка "&amp;TEXT(V464,"0.00")&amp;" - себестоимость "&amp;TEXT(W464,"0.00")&amp;" - комиссия "&amp;TEXT(V464*R464/100,"0.00")&amp;" - доставка "&amp;TEXT(P464,"0.00")&amp;" - прочие "&amp;TEXT(Q464,"0.00")&amp;" = "&amp;TEXT(G464,"0.00")&amp;" "&amp;L464,"Введите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4" s="23" t="n">
        <x:v>3.638676195381556</x:v>
      </x:c>
      <x:c r="AG464" s="35" t="n">
        <x:v>53</x:v>
      </x:c>
      <x:c r="AH464" s="35" t="n">
        <x:v>0</x:v>
      </x:c>
      <x:c r="AI464" s="29" t="n">
        <x:v>46266</x:v>
      </x:c>
      <x:c r="AJ464" s="35" t="n">
        <x:v>1</x:v>
      </x:c>
      <x:c r="AK464" s="11" t="str">
        <x:v>минимум</x:v>
      </x:c>
      <x:c r="AL464" s="31" t="n">
        <x:v>1238.658263336956</x:v>
      </x:c>
      <x:c r="AM46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4" s="12" t="str">
        <x:v>Проверить свободный остаток и установить цену для B2B</x:v>
      </x:c>
      <x:c r="AO464" s="12" t="str">
        <x:v>Остаток 53; прогноз 90 дней 3.64; избыток 49 шт. Будущие поступления не выставляются на продажу. Остаток на начало сентября: требуется актуализация.</x:v>
      </x:c>
      <x:c r="AP464" s="12" t="str">
        <x:v>["category_missing", "daily_stockout_data_missing", "new_order_lead_time_unknown", "reservations_unknown", "stale_stock"]</x:v>
      </x:c>
      <x:c r="AQ464" s="11" t="str">
        <x:v>IEK:030201245_</x:v>
      </x:c>
      <x:c r="AR464" s="23" t="n">
        <x:v>1</x:v>
      </x:c>
      <x:c r="AS464" s="23" t="n">
        <x:v>0</x:v>
      </x:c>
      <x:c r="AT464" s="23" t="n">
        <x:v>0</x:v>
      </x:c>
    </x:row>
    <x:row r="465" ht="64" customHeight="1">
      <x:c r="A465" s="10" t="str">
        <x:v>IEK</x:v>
      </x:c>
      <x:c r="B465" s="34" t="str">
        <x:v>030201246_</x:v>
      </x:c>
      <x:c r="C465" s="34" t="str">
        <x:v>BR-V23-0-10-K47</x:v>
      </x:c>
      <x:c r="D465" s="13" t="str">
        <x:v>Выкл 2-кл перекр 10А б/рамки "BRITE" алюминий (1/100)</x:v>
      </x:c>
      <x:c r="E465" s="10" t="str">
        <x:v>шт</x:v>
      </x:c>
      <x:c r="F465" s="37" t="n">
        <x:f>MAX(0,ROUNDDOWN((AG465-AF465)/AR465+0.000000001,0)*AR465)</x:f>
        <x:v>15</x:v>
      </x:c>
      <x:c r="G465" s="21" t="str">
        <x:f>IF(J465="Рассчитано",V465*(1-R465/100)-W465-P465-Q465,"н/д")</x:f>
        <x:v>н/д</x:v>
      </x:c>
      <x:c r="H465" s="13" t="str">
        <x:v>Высокий</x:v>
      </x:c>
      <x:c r="I465" s="13" t="str">
        <x:v>Высокий</x:v>
      </x:c>
      <x:c r="J465" s="13" t="str">
        <x:f>IF(L465="","Укажите валюту",IF(NOT(ISNUMBER(K465)),"Укажите объём",IF(K465&lt;=0,"Укажите объём",IF(K465&gt;F465,"Объём выше излишка",IF(COUNT(M465:O465)&lt;3,"Нужны цены",IF(COUNT(P465:R465)&lt;3,"Нужны расходы",IF(OR(M465&lt;0,N465&lt;0,O465&lt;0,O465&gt;100,P465&lt;0,Q465&lt;0,R465&lt;0,R465&gt;100),"Проверьте значения","Рассчитано")))))))</x:f>
        <x:v>Нужны цены</x:v>
      </x:c>
      <x:c r="K465" s="36" t="n">
        <x:v>15</x:v>
      </x:c>
      <x:c r="L465" s="19" t="str">
        <x:v>KZT</x:v>
      </x:c>
      <x:c r="M465" s="22"/>
      <x:c r="N465" s="22"/>
      <x:c r="O465" s="28"/>
      <x:c r="P465" s="22"/>
      <x:c r="Q465" s="22"/>
      <x:c r="R465" s="28"/>
      <x:c r="S465" s="22"/>
      <x:c r="T465" s="37" t="n">
        <x:f>K465</x:f>
        <x:v>15</x:v>
      </x:c>
      <x:c r="U465" s="21" t="str">
        <x:f>IF(J465="Рассчитано",N465*(1-O465/100),"н/д")</x:f>
        <x:v>н/д</x:v>
      </x:c>
      <x:c r="V465" s="21" t="str">
        <x:f>IF(J465="Рассчитано",T465*U465,"н/д")</x:f>
        <x:v>н/д</x:v>
      </x:c>
      <x:c r="W465" s="21" t="str">
        <x:f>IF(J465="Рассчитано",T465*M465,"н/д")</x:f>
        <x:v>н/д</x:v>
      </x:c>
      <x:c r="X465" s="21" t="str">
        <x:f>IF(J465="Рассчитано",V465-W465,"н/д")</x:f>
        <x:v>н/д</x:v>
      </x:c>
      <x:c r="Y465" s="27" t="str">
        <x:f>IF(J465="Рассчитано",IF(V465&gt;0,G465/V465,"н/д"),"н/д")</x:f>
        <x:v>н/д</x:v>
      </x:c>
      <x:c r="Z465" s="21" t="str">
        <x:f>"н/д"</x:f>
        <x:v>н/д</x:v>
      </x:c>
      <x:c r="AA465" s="21" t="str">
        <x:f>"н/д"</x:f>
        <x:v>н/д</x:v>
      </x:c>
      <x:c r="AB465" s="21" t="str">
        <x:f>"н/д"</x:f>
        <x:v>н/д</x:v>
      </x:c>
      <x:c r="AC465" s="21" t="str">
        <x:f>IF(AND(J465="Рассчитано",T465&gt;0,R465&lt;100),(W465+P465+Q465)/(T465*(1-R465/100)),"н/д")</x:f>
        <x:v>н/д</x:v>
      </x:c>
      <x:c r="AD465" s="10" t="str">
        <x:f>IF(ISNUMBER(G465),IF(G465&lt;0,"Убыток",IF(G465=0,"Без прибыли","Прибыль &gt; 0")),"Не оценён")</x:f>
        <x:v>Не оценён</x:v>
      </x:c>
      <x:c r="AE465" s="13" t="str">
        <x:f>IF(J465="Рассчитано","Выручка "&amp;TEXT(V465,"0.00")&amp;" - себестоимость "&amp;TEXT(W465,"0.00")&amp;" - комиссия "&amp;TEXT(V465*R465/100,"0.00")&amp;" - доставка "&amp;TEXT(P465,"0.00")&amp;" - прочие "&amp;TEXT(Q465,"0.00")&amp;" = "&amp;TEXT(G465,"0.00")&amp;" "&amp;L465,"Введите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5" s="24" t="n">
        <x:v>0.09005811180205522</x:v>
      </x:c>
      <x:c r="AG465" s="37" t="n">
        <x:v>16</x:v>
      </x:c>
      <x:c r="AH465" s="37" t="n">
        <x:v>0</x:v>
      </x:c>
      <x:c r="AI465" s="30" t="n">
        <x:v>46266</x:v>
      </x:c>
      <x:c r="AJ465" s="37" t="n">
        <x:v>1</x:v>
      </x:c>
      <x:c r="AK465" s="10" t="str">
        <x:v>минимум</x:v>
      </x:c>
      <x:c r="AL465" s="32" t="n">
        <x:v>15108.320522116643</x:v>
      </x:c>
      <x:c r="AM4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5" s="13" t="str">
        <x:v>Проверить свободный остаток и установить цену для B2B</x:v>
      </x:c>
      <x:c r="AO465" s="13" t="str">
        <x:v>Остаток 16; прогноз 90 дней 0.09; избыток 15 шт. Будущие поступления не выставляются на продажу. Остаток на начало сентября: требуется актуализация.</x:v>
      </x:c>
      <x:c r="AP465" s="13" t="str">
        <x:v>["category_missing", "daily_stockout_data_missing", "new_order_lead_time_unknown", "reservations_unknown", "stale_stock"]</x:v>
      </x:c>
      <x:c r="AQ465" s="10" t="str">
        <x:v>IEK:030201246_</x:v>
      </x:c>
      <x:c r="AR465" s="24" t="n">
        <x:v>1</x:v>
      </x:c>
      <x:c r="AS465" s="24" t="n">
        <x:v>0</x:v>
      </x:c>
      <x:c r="AT465" s="24" t="n">
        <x:v>0</x:v>
      </x:c>
    </x:row>
    <x:row r="466" ht="64" customHeight="1">
      <x:c r="A466" s="11" t="str">
        <x:v>IEK</x:v>
      </x:c>
      <x:c r="B466" s="33" t="str">
        <x:v>030201247_</x:v>
      </x:c>
      <x:c r="C466" s="33" t="str">
        <x:v>BR-V23-0-10-K36</x:v>
      </x:c>
      <x:c r="D466" s="12" t="str">
        <x:v>Выкл 2-кл перекр 10А б/рамки "BRITE" жемчуг (1/100)</x:v>
      </x:c>
      <x:c r="E466" s="11" t="str">
        <x:v>шт</x:v>
      </x:c>
      <x:c r="F466" s="35" t="n">
        <x:f>MAX(0,ROUNDDOWN((AG466-AF466)/AR466+0.000000001,0)*AR466)</x:f>
        <x:v>23</x:v>
      </x:c>
      <x:c r="G466" s="20" t="str">
        <x:f>IF(J466="Рассчитано",V466*(1-R466/100)-W466-P466-Q466,"н/д")</x:f>
        <x:v>н/д</x:v>
      </x:c>
      <x:c r="H466" s="12" t="str">
        <x:v>Высокий</x:v>
      </x:c>
      <x:c r="I466" s="12" t="str">
        <x:v>Высокий</x:v>
      </x:c>
      <x:c r="J466" s="12" t="str">
        <x:f>IF(L466="","Укажите валюту",IF(NOT(ISNUMBER(K466)),"Укажите объём",IF(K466&lt;=0,"Укажите объём",IF(K466&gt;F466,"Объём выше излишка",IF(COUNT(M466:O466)&lt;3,"Нужны цены",IF(COUNT(P466:R466)&lt;3,"Нужны расходы",IF(OR(M466&lt;0,N466&lt;0,O466&lt;0,O466&gt;100,P466&lt;0,Q466&lt;0,R466&lt;0,R466&gt;100),"Проверьте значения","Рассчитано")))))))</x:f>
        <x:v>Нужны цены</x:v>
      </x:c>
      <x:c r="K466" s="36" t="n">
        <x:v>23</x:v>
      </x:c>
      <x:c r="L466" s="19" t="str">
        <x:v>KZT</x:v>
      </x:c>
      <x:c r="M466" s="22"/>
      <x:c r="N466" s="22"/>
      <x:c r="O466" s="28"/>
      <x:c r="P466" s="22"/>
      <x:c r="Q466" s="22"/>
      <x:c r="R466" s="28"/>
      <x:c r="S466" s="22"/>
      <x:c r="T466" s="35" t="n">
        <x:f>K466</x:f>
        <x:v>23</x:v>
      </x:c>
      <x:c r="U466" s="20" t="str">
        <x:f>IF(J466="Рассчитано",N466*(1-O466/100),"н/д")</x:f>
        <x:v>н/д</x:v>
      </x:c>
      <x:c r="V466" s="20" t="str">
        <x:f>IF(J466="Рассчитано",T466*U466,"н/д")</x:f>
        <x:v>н/д</x:v>
      </x:c>
      <x:c r="W466" s="20" t="str">
        <x:f>IF(J466="Рассчитано",T466*M466,"н/д")</x:f>
        <x:v>н/д</x:v>
      </x:c>
      <x:c r="X466" s="20" t="str">
        <x:f>IF(J466="Рассчитано",V466-W466,"н/д")</x:f>
        <x:v>н/д</x:v>
      </x:c>
      <x:c r="Y466" s="26" t="str">
        <x:f>IF(J466="Рассчитано",IF(V466&gt;0,G466/V466,"н/д"),"н/д")</x:f>
        <x:v>н/д</x:v>
      </x:c>
      <x:c r="Z466" s="20" t="str">
        <x:f>"н/д"</x:f>
        <x:v>н/д</x:v>
      </x:c>
      <x:c r="AA466" s="20" t="str">
        <x:f>"н/д"</x:f>
        <x:v>н/д</x:v>
      </x:c>
      <x:c r="AB466" s="20" t="str">
        <x:f>"н/д"</x:f>
        <x:v>н/д</x:v>
      </x:c>
      <x:c r="AC466" s="20" t="str">
        <x:f>IF(AND(J466="Рассчитано",T466&gt;0,R466&lt;100),(W466+P466+Q466)/(T466*(1-R466/100)),"н/д")</x:f>
        <x:v>н/д</x:v>
      </x:c>
      <x:c r="AD466" s="11" t="str">
        <x:f>IF(ISNUMBER(G466),IF(G466&lt;0,"Убыток",IF(G466=0,"Без прибыли","Прибыль &gt; 0")),"Не оценён")</x:f>
        <x:v>Не оценён</x:v>
      </x:c>
      <x:c r="AE466" s="12" t="str">
        <x:f>IF(J466="Рассчитано","Выручка "&amp;TEXT(V466,"0.00")&amp;" - себестоимость "&amp;TEXT(W466,"0.00")&amp;" - комиссия "&amp;TEXT(V466*R466/100,"0.00")&amp;" - доставка "&amp;TEXT(P466,"0.00")&amp;" - прочие "&amp;TEXT(Q466,"0.00")&amp;" = "&amp;TEXT(G466,"0.00")&amp;" "&amp;L466,"Введите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6" s="23" t="n">
        <x:v>1.0267496551468476</x:v>
      </x:c>
      <x:c r="AG466" s="35" t="n">
        <x:v>25</x:v>
      </x:c>
      <x:c r="AH466" s="35" t="n">
        <x:v>0</x:v>
      </x:c>
      <x:c r="AI466" s="29" t="n">
        <x:v>46266</x:v>
      </x:c>
      <x:c r="AJ466" s="35" t="n">
        <x:v>1</x:v>
      </x:c>
      <x:c r="AK466" s="11" t="str">
        <x:v>минимум</x:v>
      </x:c>
      <x:c r="AL466" s="31" t="n">
        <x:v>2070.5917879750027</x:v>
      </x:c>
      <x:c r="AM46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6" s="12" t="str">
        <x:v>Проверить свободный остаток и установить цену для B2B</x:v>
      </x:c>
      <x:c r="AO466" s="12" t="str">
        <x:v>Остаток 25; прогноз 90 дней 1.03; избыток 23 шт. Будущие поступления не выставляются на продажу. Остаток на начало сентября: требуется актуализация.</x:v>
      </x:c>
      <x:c r="AP466" s="12" t="str">
        <x:v>["category_missing", "daily_stockout_data_missing", "new_order_lead_time_unknown", "reservations_unknown", "stale_stock"]</x:v>
      </x:c>
      <x:c r="AQ466" s="11" t="str">
        <x:v>IEK:030201247_</x:v>
      </x:c>
      <x:c r="AR466" s="23" t="n">
        <x:v>1</x:v>
      </x:c>
      <x:c r="AS466" s="23" t="n">
        <x:v>0</x:v>
      </x:c>
      <x:c r="AT466" s="23" t="n">
        <x:v>0</x:v>
      </x:c>
    </x:row>
    <x:row r="467" ht="64" customHeight="1">
      <x:c r="A467" s="10" t="str">
        <x:v>IEK</x:v>
      </x:c>
      <x:c r="B467" s="34" t="str">
        <x:v>030201248_</x:v>
      </x:c>
      <x:c r="C467" s="34" t="str">
        <x:v>BR-V23-0-10-K10</x:v>
      </x:c>
      <x:c r="D467" s="13" t="str">
        <x:v>Выкл 2-кл перекр 10А б/рамки "BRITE" бежевый (1/100)</x:v>
      </x:c>
      <x:c r="E467" s="10" t="str">
        <x:v>шт</x:v>
      </x:c>
      <x:c r="F467" s="37" t="n">
        <x:f>MAX(0,ROUNDDOWN((AG467-AF467)/AR467+0.000000001,0)*AR467)</x:f>
        <x:v>17</x:v>
      </x:c>
      <x:c r="G467" s="21" t="str">
        <x:f>IF(J467="Рассчитано",V467*(1-R467/100)-W467-P467-Q467,"н/д")</x:f>
        <x:v>н/д</x:v>
      </x:c>
      <x:c r="H467" s="13" t="str">
        <x:v>Высокий</x:v>
      </x:c>
      <x:c r="I467" s="13" t="str">
        <x:v>Высокий</x:v>
      </x:c>
      <x:c r="J467" s="13" t="str">
        <x:f>IF(L467="","Укажите валюту",IF(NOT(ISNUMBER(K467)),"Укажите объём",IF(K467&lt;=0,"Укажите объём",IF(K467&gt;F467,"Объём выше излишка",IF(COUNT(M467:O467)&lt;3,"Нужны цены",IF(COUNT(P467:R467)&lt;3,"Нужны расходы",IF(OR(M467&lt;0,N467&lt;0,O467&lt;0,O467&gt;100,P467&lt;0,Q467&lt;0,R467&lt;0,R467&gt;100),"Проверьте значения","Рассчитано")))))))</x:f>
        <x:v>Нужны цены</x:v>
      </x:c>
      <x:c r="K467" s="36" t="n">
        <x:v>17</x:v>
      </x:c>
      <x:c r="L467" s="19" t="str">
        <x:v>KZT</x:v>
      </x:c>
      <x:c r="M467" s="22"/>
      <x:c r="N467" s="22"/>
      <x:c r="O467" s="28"/>
      <x:c r="P467" s="22"/>
      <x:c r="Q467" s="22"/>
      <x:c r="R467" s="28"/>
      <x:c r="S467" s="22"/>
      <x:c r="T467" s="37" t="n">
        <x:f>K467</x:f>
        <x:v>17</x:v>
      </x:c>
      <x:c r="U467" s="21" t="str">
        <x:f>IF(J467="Рассчитано",N467*(1-O467/100),"н/д")</x:f>
        <x:v>н/д</x:v>
      </x:c>
      <x:c r="V467" s="21" t="str">
        <x:f>IF(J467="Рассчитано",T467*U467,"н/д")</x:f>
        <x:v>н/д</x:v>
      </x:c>
      <x:c r="W467" s="21" t="str">
        <x:f>IF(J467="Рассчитано",T467*M467,"н/д")</x:f>
        <x:v>н/д</x:v>
      </x:c>
      <x:c r="X467" s="21" t="str">
        <x:f>IF(J467="Рассчитано",V467-W467,"н/д")</x:f>
        <x:v>н/д</x:v>
      </x:c>
      <x:c r="Y467" s="27" t="str">
        <x:f>IF(J467="Рассчитано",IF(V467&gt;0,G467/V467,"н/д"),"н/д")</x:f>
        <x:v>н/д</x:v>
      </x:c>
      <x:c r="Z467" s="21" t="str">
        <x:f>"н/д"</x:f>
        <x:v>н/д</x:v>
      </x:c>
      <x:c r="AA467" s="21" t="str">
        <x:f>"н/д"</x:f>
        <x:v>н/д</x:v>
      </x:c>
      <x:c r="AB467" s="21" t="str">
        <x:f>"н/д"</x:f>
        <x:v>н/д</x:v>
      </x:c>
      <x:c r="AC467" s="21" t="str">
        <x:f>IF(AND(J467="Рассчитано",T467&gt;0,R467&lt;100),(W467+P467+Q467)/(T467*(1-R467/100)),"н/д")</x:f>
        <x:v>н/д</x:v>
      </x:c>
      <x:c r="AD467" s="10" t="str">
        <x:f>IF(ISNUMBER(G467),IF(G467&lt;0,"Убыток",IF(G467=0,"Без прибыли","Прибыль &gt; 0")),"Не оценён")</x:f>
        <x:v>Не оценён</x:v>
      </x:c>
      <x:c r="AE467" s="13" t="str">
        <x:f>IF(J467="Рассчитано","Выручка "&amp;TEXT(V467,"0.00")&amp;" - себестоимость "&amp;TEXT(W467,"0.00")&amp;" - комиссия "&amp;TEXT(V467*R467/100,"0.00")&amp;" - доставка "&amp;TEXT(P467,"0.00")&amp;" - прочие "&amp;TEXT(Q467,"0.00")&amp;" = "&amp;TEXT(G467,"0.00")&amp;" "&amp;L467,"Введите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7" s="24" t="n">
        <x:v>4.300342978847229</x:v>
      </x:c>
      <x:c r="AG467" s="37" t="n">
        <x:v>22</x:v>
      </x:c>
      <x:c r="AH467" s="37" t="n">
        <x:v>0</x:v>
      </x:c>
      <x:c r="AI467" s="30" t="n">
        <x:v>46266</x:v>
      </x:c>
      <x:c r="AJ467" s="37" t="n">
        <x:v>1</x:v>
      </x:c>
      <x:c r="AK467" s="10" t="str">
        <x:v>минимум</x:v>
      </x:c>
      <x:c r="AL467" s="32" t="n">
        <x:v>435.04945650738597</x:v>
      </x:c>
      <x:c r="AM46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7" s="13" t="str">
        <x:v>Проверить свободный остаток и установить цену для B2B</x:v>
      </x:c>
      <x:c r="AO467" s="13" t="str">
        <x:v>Остаток 22; прогноз 90 дней 4.30; избыток 17 шт. Будущие поступления не выставляются на продажу. Остаток на начало сентября: требуется актуализация.</x:v>
      </x:c>
      <x:c r="AP467" s="13" t="str">
        <x:v>["category_missing", "daily_stockout_data_missing", "new_order_lead_time_unknown", "reservations_unknown", "stale_stock"]</x:v>
      </x:c>
      <x:c r="AQ467" s="10" t="str">
        <x:v>IEK:030201248_</x:v>
      </x:c>
      <x:c r="AR467" s="24" t="n">
        <x:v>1</x:v>
      </x:c>
      <x:c r="AS467" s="24" t="n">
        <x:v>0</x:v>
      </x:c>
      <x:c r="AT467" s="24" t="n">
        <x:v>0</x:v>
      </x:c>
    </x:row>
    <x:row r="468" ht="64" customHeight="1">
      <x:c r="A468" s="11" t="str">
        <x:v>IEK</x:v>
      </x:c>
      <x:c r="B468" s="33" t="str">
        <x:v>030201250_</x:v>
      </x:c>
      <x:c r="C468" s="33" t="str">
        <x:v>BR-V23-0-10-K46</x:v>
      </x:c>
      <x:c r="D468" s="12" t="str">
        <x:v>Выкл 2-кл перекр 10А б/рамки "BRITE" сталь (1/100)</x:v>
      </x:c>
      <x:c r="E468" s="11" t="str">
        <x:v>шт</x:v>
      </x:c>
      <x:c r="F468" s="35" t="n">
        <x:f>MAX(0,ROUNDDOWN((AG468-AF468)/AR468+0.000000001,0)*AR468)</x:f>
        <x:v>15</x:v>
      </x:c>
      <x:c r="G468" s="20" t="str">
        <x:f>IF(J468="Рассчитано",V468*(1-R468/100)-W468-P468-Q468,"н/д")</x:f>
        <x:v>н/д</x:v>
      </x:c>
      <x:c r="H468" s="12" t="str">
        <x:v>Высокий</x:v>
      </x:c>
      <x:c r="I468" s="12" t="str">
        <x:v>Высокий</x:v>
      </x:c>
      <x:c r="J468" s="12" t="str">
        <x:f>IF(L468="","Укажите валюту",IF(NOT(ISNUMBER(K468)),"Укажите объём",IF(K468&lt;=0,"Укажите объём",IF(K468&gt;F468,"Объём выше излишка",IF(COUNT(M468:O468)&lt;3,"Нужны цены",IF(COUNT(P468:R468)&lt;3,"Нужны расходы",IF(OR(M468&lt;0,N468&lt;0,O468&lt;0,O468&gt;100,P468&lt;0,Q468&lt;0,R468&lt;0,R468&gt;100),"Проверьте значения","Рассчитано")))))))</x:f>
        <x:v>Нужны цены</x:v>
      </x:c>
      <x:c r="K468" s="36" t="n">
        <x:v>15</x:v>
      </x:c>
      <x:c r="L468" s="19" t="str">
        <x:v>KZT</x:v>
      </x:c>
      <x:c r="M468" s="22"/>
      <x:c r="N468" s="22"/>
      <x:c r="O468" s="28"/>
      <x:c r="P468" s="22"/>
      <x:c r="Q468" s="22"/>
      <x:c r="R468" s="28"/>
      <x:c r="S468" s="22"/>
      <x:c r="T468" s="35" t="n">
        <x:f>K468</x:f>
        <x:v>15</x:v>
      </x:c>
      <x:c r="U468" s="20" t="str">
        <x:f>IF(J468="Рассчитано",N468*(1-O468/100),"н/д")</x:f>
        <x:v>н/д</x:v>
      </x:c>
      <x:c r="V468" s="20" t="str">
        <x:f>IF(J468="Рассчитано",T468*U468,"н/д")</x:f>
        <x:v>н/д</x:v>
      </x:c>
      <x:c r="W468" s="20" t="str">
        <x:f>IF(J468="Рассчитано",T468*M468,"н/д")</x:f>
        <x:v>н/д</x:v>
      </x:c>
      <x:c r="X468" s="20" t="str">
        <x:f>IF(J468="Рассчитано",V468-W468,"н/д")</x:f>
        <x:v>н/д</x:v>
      </x:c>
      <x:c r="Y468" s="26" t="str">
        <x:f>IF(J468="Рассчитано",IF(V468&gt;0,G468/V468,"н/д"),"н/д")</x:f>
        <x:v>н/д</x:v>
      </x:c>
      <x:c r="Z468" s="20" t="str">
        <x:f>"н/д"</x:f>
        <x:v>н/д</x:v>
      </x:c>
      <x:c r="AA468" s="20" t="str">
        <x:f>"н/д"</x:f>
        <x:v>н/д</x:v>
      </x:c>
      <x:c r="AB468" s="20" t="str">
        <x:f>"н/д"</x:f>
        <x:v>н/д</x:v>
      </x:c>
      <x:c r="AC468" s="20" t="str">
        <x:f>IF(AND(J468="Рассчитано",T468&gt;0,R468&lt;100),(W468+P468+Q468)/(T468*(1-R468/100)),"н/д")</x:f>
        <x:v>н/д</x:v>
      </x:c>
      <x:c r="AD468" s="11" t="str">
        <x:f>IF(ISNUMBER(G468),IF(G468&lt;0,"Убыток",IF(G468=0,"Без прибыли","Прибыль &gt; 0")),"Не оценён")</x:f>
        <x:v>Не оценён</x:v>
      </x:c>
      <x:c r="AE468" s="12" t="str">
        <x:f>IF(J468="Рассчитано","Выручка "&amp;TEXT(V468,"0.00")&amp;" - себестоимость "&amp;TEXT(W468,"0.00")&amp;" - комиссия "&amp;TEXT(V468*R468/100,"0.00")&amp;" - доставка "&amp;TEXT(P468,"0.00")&amp;" - прочие "&amp;TEXT(Q468,"0.00")&amp;" = "&amp;TEXT(G468,"0.00")&amp;" "&amp;L468,"Введите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8" s="23" t="n">
        <x:v>6.660889381317626</x:v>
      </x:c>
      <x:c r="AG468" s="35" t="n">
        <x:v>22</x:v>
      </x:c>
      <x:c r="AH468" s="35" t="n">
        <x:v>0</x:v>
      </x:c>
      <x:c r="AI468" s="29" t="n">
        <x:v>46266</x:v>
      </x:c>
      <x:c r="AJ468" s="35" t="n">
        <x:v>1</x:v>
      </x:c>
      <x:c r="AK468" s="11" t="str">
        <x:v>минимум</x:v>
      </x:c>
      <x:c r="AL468" s="31" t="n">
        <x:v>280.87268360741837</x:v>
      </x:c>
      <x:c r="AM46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8" s="12" t="str">
        <x:v>Проверить свободный остаток и установить цену для B2B</x:v>
      </x:c>
      <x:c r="AO468" s="12" t="str">
        <x:v>Остаток 22; прогноз 90 дней 6.66; избыток 15 шт. Будущие поступления не выставляются на продажу. Остаток на начало сентября: требуется актуализация.</x:v>
      </x:c>
      <x:c r="AP468" s="12" t="str">
        <x:v>["category_missing", "daily_stockout_data_missing", "new_order_lead_time_unknown", "reservations_unknown", "stale_stock"]</x:v>
      </x:c>
      <x:c r="AQ468" s="11" t="str">
        <x:v>IEK:030201250_</x:v>
      </x:c>
      <x:c r="AR468" s="23" t="n">
        <x:v>1</x:v>
      </x:c>
      <x:c r="AS468" s="23" t="n">
        <x:v>0</x:v>
      </x:c>
      <x:c r="AT468" s="23" t="n">
        <x:v>0</x:v>
      </x:c>
    </x:row>
    <x:row r="469" ht="64" customHeight="1">
      <x:c r="A469" s="10" t="str">
        <x:v>IEK</x:v>
      </x:c>
      <x:c r="B469" s="34" t="str">
        <x:v>030201252_</x:v>
      </x:c>
      <x:c r="C469" s="34" t="str">
        <x:v>BR-V23-0-10-K37</x:v>
      </x:c>
      <x:c r="D469" s="13" t="str">
        <x:v>Выкл 2-кл перекр 10А б/рамки "BRITE" шампань (1/100)</x:v>
      </x:c>
      <x:c r="E469" s="10" t="str">
        <x:v>шт</x:v>
      </x:c>
      <x:c r="F469" s="37" t="n">
        <x:f>MAX(0,ROUNDDOWN((AG469-AF469)/AR469+0.000000001,0)*AR469)</x:f>
        <x:v>22</x:v>
      </x:c>
      <x:c r="G469" s="21" t="str">
        <x:f>IF(J469="Рассчитано",V469*(1-R469/100)-W469-P469-Q469,"н/д")</x:f>
        <x:v>н/д</x:v>
      </x:c>
      <x:c r="H469" s="13" t="str">
        <x:v>Высокий</x:v>
      </x:c>
      <x:c r="I469" s="13" t="str">
        <x:v>Высокий</x:v>
      </x:c>
      <x:c r="J469" s="13" t="str">
        <x:f>IF(L469="","Укажите валюту",IF(NOT(ISNUMBER(K469)),"Укажите объём",IF(K469&lt;=0,"Укажите объём",IF(K469&gt;F469,"Объём выше излишка",IF(COUNT(M469:O469)&lt;3,"Нужны цены",IF(COUNT(P469:R469)&lt;3,"Нужны расходы",IF(OR(M469&lt;0,N469&lt;0,O469&lt;0,O469&gt;100,P469&lt;0,Q469&lt;0,R469&lt;0,R469&gt;100),"Проверьте значения","Рассчитано")))))))</x:f>
        <x:v>Нужны цены</x:v>
      </x:c>
      <x:c r="K469" s="36" t="n">
        <x:v>22</x:v>
      </x:c>
      <x:c r="L469" s="19" t="str">
        <x:v>KZT</x:v>
      </x:c>
      <x:c r="M469" s="22"/>
      <x:c r="N469" s="22"/>
      <x:c r="O469" s="28"/>
      <x:c r="P469" s="22"/>
      <x:c r="Q469" s="22"/>
      <x:c r="R469" s="28"/>
      <x:c r="S469" s="22"/>
      <x:c r="T469" s="37" t="n">
        <x:f>K469</x:f>
        <x:v>22</x:v>
      </x:c>
      <x:c r="U469" s="21" t="str">
        <x:f>IF(J469="Рассчитано",N469*(1-O469/100),"н/д")</x:f>
        <x:v>н/д</x:v>
      </x:c>
      <x:c r="V469" s="21" t="str">
        <x:f>IF(J469="Рассчитано",T469*U469,"н/д")</x:f>
        <x:v>н/д</x:v>
      </x:c>
      <x:c r="W469" s="21" t="str">
        <x:f>IF(J469="Рассчитано",T469*M469,"н/д")</x:f>
        <x:v>н/д</x:v>
      </x:c>
      <x:c r="X469" s="21" t="str">
        <x:f>IF(J469="Рассчитано",V469-W469,"н/д")</x:f>
        <x:v>н/д</x:v>
      </x:c>
      <x:c r="Y469" s="27" t="str">
        <x:f>IF(J469="Рассчитано",IF(V469&gt;0,G469/V469,"н/д"),"н/д")</x:f>
        <x:v>н/д</x:v>
      </x:c>
      <x:c r="Z469" s="21" t="str">
        <x:f>"н/д"</x:f>
        <x:v>н/д</x:v>
      </x:c>
      <x:c r="AA469" s="21" t="str">
        <x:f>"н/д"</x:f>
        <x:v>н/д</x:v>
      </x:c>
      <x:c r="AB469" s="21" t="str">
        <x:f>"н/д"</x:f>
        <x:v>н/д</x:v>
      </x:c>
      <x:c r="AC469" s="21" t="str">
        <x:f>IF(AND(J469="Рассчитано",T469&gt;0,R469&lt;100),(W469+P469+Q469)/(T469*(1-R469/100)),"н/д")</x:f>
        <x:v>н/д</x:v>
      </x:c>
      <x:c r="AD469" s="10" t="str">
        <x:f>IF(ISNUMBER(G469),IF(G469&lt;0,"Убыток",IF(G469=0,"Без прибыли","Прибыль &gt; 0")),"Не оценён")</x:f>
        <x:v>Не оценён</x:v>
      </x:c>
      <x:c r="AE469" s="13" t="str">
        <x:f>IF(J469="Рассчитано","Выручка "&amp;TEXT(V469,"0.00")&amp;" - себестоимость "&amp;TEXT(W469,"0.00")&amp;" - комиссия "&amp;TEXT(V469*R469/100,"0.00")&amp;" - доставка "&amp;TEXT(P469,"0.00")&amp;" - прочие "&amp;TEXT(Q469,"0.00")&amp;" = "&amp;TEXT(G469,"0.00")&amp;" "&amp;L469,"Введите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9" s="24" t="n">
        <x:v>2.6709314476160877</x:v>
      </x:c>
      <x:c r="AG469" s="37" t="n">
        <x:v>25</x:v>
      </x:c>
      <x:c r="AH469" s="37" t="n">
        <x:v>0</x:v>
      </x:c>
      <x:c r="AI469" s="30" t="n">
        <x:v>46266</x:v>
      </x:c>
      <x:c r="AJ469" s="37" t="n">
        <x:v>1</x:v>
      </x:c>
      <x:c r="AK469" s="10" t="str">
        <x:v>минимум</x:v>
      </x:c>
      <x:c r="AL469" s="32" t="n">
        <x:v>795.9692885980838</x:v>
      </x:c>
      <x:c r="AM46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69" s="13" t="str">
        <x:v>Проверить свободный остаток и установить цену для B2B</x:v>
      </x:c>
      <x:c r="AO469" s="13" t="str">
        <x:v>Остаток 25; прогноз 90 дней 2.67; избыток 22 шт. Будущие поступления не выставляются на продажу. Остаток на начало сентября: требуется актуализация.</x:v>
      </x:c>
      <x:c r="AP469" s="13" t="str">
        <x:v>["category_missing", "daily_stockout_data_missing", "large_orders_detected", "new_order_lead_time_unknown", "reservations_unknown", "stale_stock"]</x:v>
      </x:c>
      <x:c r="AQ469" s="10" t="str">
        <x:v>IEK:030201252_</x:v>
      </x:c>
      <x:c r="AR469" s="24" t="n">
        <x:v>1</x:v>
      </x:c>
      <x:c r="AS469" s="24" t="n">
        <x:v>0</x:v>
      </x:c>
      <x:c r="AT469" s="24" t="n">
        <x:v>0</x:v>
      </x:c>
    </x:row>
    <x:row r="470" ht="64" customHeight="1">
      <x:c r="A470" s="11" t="str">
        <x:v>IEK</x:v>
      </x:c>
      <x:c r="B470" s="33" t="str">
        <x:v>030201461_</x:v>
      </x:c>
      <x:c r="C470" s="33" t="str">
        <x:v>TS-V20-0-10-55-K53</x:v>
      </x:c>
      <x:c r="D470" s="12" t="str">
        <x:v>Выключатель 2-кл. о/у графит IP55 TORS IEK (1/60)</x:v>
      </x:c>
      <x:c r="E470" s="11" t="str">
        <x:v>шт</x:v>
      </x:c>
      <x:c r="F470" s="35" t="n">
        <x:f>MAX(0,ROUNDDOWN((AG470-AF470)/AR470+0.000000001,0)*AR470)</x:f>
        <x:v>4</x:v>
      </x:c>
      <x:c r="G470" s="20" t="str">
        <x:f>IF(J470="Рассчитано",V470*(1-R470/100)-W470-P470-Q470,"н/д")</x:f>
        <x:v>н/д</x:v>
      </x:c>
      <x:c r="H470" s="12" t="str">
        <x:v>Высокий</x:v>
      </x:c>
      <x:c r="I470" s="12" t="str">
        <x:v>Средний</x:v>
      </x:c>
      <x:c r="J470" s="12" t="str">
        <x:f>IF(L470="","Укажите валюту",IF(NOT(ISNUMBER(K470)),"Укажите объём",IF(K470&lt;=0,"Укажите объём",IF(K470&gt;F470,"Объём выше излишка",IF(COUNT(M470:O470)&lt;3,"Нужны цены",IF(COUNT(P470:R470)&lt;3,"Нужны расходы",IF(OR(M470&lt;0,N470&lt;0,O470&lt;0,O470&gt;100,P470&lt;0,Q470&lt;0,R470&lt;0,R470&gt;100),"Проверьте значения","Рассчитано")))))))</x:f>
        <x:v>Нужны цены</x:v>
      </x:c>
      <x:c r="K470" s="36" t="n">
        <x:v>4</x:v>
      </x:c>
      <x:c r="L470" s="19" t="str">
        <x:v>KZT</x:v>
      </x:c>
      <x:c r="M470" s="22"/>
      <x:c r="N470" s="22"/>
      <x:c r="O470" s="28"/>
      <x:c r="P470" s="22"/>
      <x:c r="Q470" s="22"/>
      <x:c r="R470" s="28"/>
      <x:c r="S470" s="22"/>
      <x:c r="T470" s="35" t="n">
        <x:f>K470</x:f>
        <x:v>4</x:v>
      </x:c>
      <x:c r="U470" s="20" t="str">
        <x:f>IF(J470="Рассчитано",N470*(1-O470/100),"н/д")</x:f>
        <x:v>н/д</x:v>
      </x:c>
      <x:c r="V470" s="20" t="str">
        <x:f>IF(J470="Рассчитано",T470*U470,"н/д")</x:f>
        <x:v>н/д</x:v>
      </x:c>
      <x:c r="W470" s="20" t="str">
        <x:f>IF(J470="Рассчитано",T470*M470,"н/д")</x:f>
        <x:v>н/д</x:v>
      </x:c>
      <x:c r="X470" s="20" t="str">
        <x:f>IF(J470="Рассчитано",V470-W470,"н/д")</x:f>
        <x:v>н/д</x:v>
      </x:c>
      <x:c r="Y470" s="26" t="str">
        <x:f>IF(J470="Рассчитано",IF(V470&gt;0,G470/V470,"н/д"),"н/д")</x:f>
        <x:v>н/д</x:v>
      </x:c>
      <x:c r="Z470" s="20" t="str">
        <x:f>"н/д"</x:f>
        <x:v>н/д</x:v>
      </x:c>
      <x:c r="AA470" s="20" t="str">
        <x:f>"н/д"</x:f>
        <x:v>н/д</x:v>
      </x:c>
      <x:c r="AB470" s="20" t="str">
        <x:f>"н/д"</x:f>
        <x:v>н/д</x:v>
      </x:c>
      <x:c r="AC470" s="20" t="str">
        <x:f>IF(AND(J470="Рассчитано",T470&gt;0,R470&lt;100),(W470+P470+Q470)/(T470*(1-R470/100)),"н/д")</x:f>
        <x:v>н/д</x:v>
      </x:c>
      <x:c r="AD470" s="11" t="str">
        <x:f>IF(ISNUMBER(G470),IF(G470&lt;0,"Убыток",IF(G470=0,"Без прибыли","Прибыль &gt; 0")),"Не оценён")</x:f>
        <x:v>Не оценён</x:v>
      </x:c>
      <x:c r="AE470" s="12" t="str">
        <x:f>IF(J470="Рассчитано","Выручка "&amp;TEXT(V470,"0.00")&amp;" - себестоимость "&amp;TEXT(W470,"0.00")&amp;" - комиссия "&amp;TEXT(V470*R470/100,"0.00")&amp;" - доставка "&amp;TEXT(P470,"0.00")&amp;" - прочие "&amp;TEXT(Q470,"0.00")&amp;" = "&amp;TEXT(G470,"0.00")&amp;" "&amp;L470,"Введите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0" s="23" t="n">
        <x:v>23.59837803821285</x:v>
      </x:c>
      <x:c r="AG470" s="35" t="n">
        <x:v>28</x:v>
      </x:c>
      <x:c r="AH470" s="35" t="n">
        <x:v>0</x:v>
      </x:c>
      <x:c r="AI470" s="29" t="n">
        <x:v>46266</x:v>
      </x:c>
      <x:c r="AJ470" s="35" t="n">
        <x:v>1</x:v>
      </x:c>
      <x:c r="AK470" s="11" t="str">
        <x:v>минимум</x:v>
      </x:c>
      <x:c r="AL470" s="31" t="n">
        <x:v>100.90087246284068</x:v>
      </x:c>
      <x:c r="AM470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470" s="12" t="str">
        <x:v>Проверить свободный остаток и установить цену для B2B</x:v>
      </x:c>
      <x:c r="AO470" s="12" t="str">
        <x:v>Остаток 28; прогноз 90 дней 23.60; избыток 4 шт. Будущие поступления не выставляются на продажу. Остаток на начало сентября: требуется актуализация.</x:v>
      </x:c>
      <x:c r="AP470" s="12" t="str">
        <x:v>["category_missing", "daily_stockout_data_missing", "new_order_lead_time_unknown", "reservations_unknown", "stale_stock", "stockout_proxy_used"]</x:v>
      </x:c>
      <x:c r="AQ470" s="11" t="str">
        <x:v>IEK:030201461_</x:v>
      </x:c>
      <x:c r="AR470" s="23" t="n">
        <x:v>1</x:v>
      </x:c>
      <x:c r="AS470" s="23" t="n">
        <x:v>0</x:v>
      </x:c>
      <x:c r="AT470" s="23" t="n">
        <x:v>0</x:v>
      </x:c>
    </x:row>
    <x:row r="471" ht="64" customHeight="1">
      <x:c r="A471" s="10" t="str">
        <x:v>IEK</x:v>
      </x:c>
      <x:c r="B471" s="34" t="str">
        <x:v>030201463_</x:v>
      </x:c>
      <x:c r="C471" s="34" t="str">
        <x:v>TS-R26-16-55-G-K53</x:v>
      </x:c>
      <x:c r="D471" s="13" t="str">
        <x:v>Розетка 2-я  о/у з/к с крышкой горизонтальная графит IP55 TORS IEK (1/40)</x:v>
      </x:c>
      <x:c r="E471" s="10" t="str">
        <x:v>шт</x:v>
      </x:c>
      <x:c r="F471" s="37" t="n">
        <x:f>MAX(0,ROUNDDOWN((AG471-AF471)/AR471+0.000000001,0)*AR471)</x:f>
        <x:v>15</x:v>
      </x:c>
      <x:c r="G471" s="21" t="str">
        <x:f>IF(J471="Рассчитано",V471*(1-R471/100)-W471-P471-Q471,"н/д")</x:f>
        <x:v>н/д</x:v>
      </x:c>
      <x:c r="H471" s="13" t="str">
        <x:v>Высокий</x:v>
      </x:c>
      <x:c r="I471" s="13" t="str">
        <x:v>Средний</x:v>
      </x:c>
      <x:c r="J471" s="13" t="str">
        <x:f>IF(L471="","Укажите валюту",IF(NOT(ISNUMBER(K471)),"Укажите объём",IF(K471&lt;=0,"Укажите объём",IF(K471&gt;F471,"Объём выше излишка",IF(COUNT(M471:O471)&lt;3,"Нужны цены",IF(COUNT(P471:R471)&lt;3,"Нужны расходы",IF(OR(M471&lt;0,N471&lt;0,O471&lt;0,O471&gt;100,P471&lt;0,Q471&lt;0,R471&lt;0,R471&gt;100),"Проверьте значения","Рассчитано")))))))</x:f>
        <x:v>Нужны цены</x:v>
      </x:c>
      <x:c r="K471" s="36" t="n">
        <x:v>15</x:v>
      </x:c>
      <x:c r="L471" s="19" t="str">
        <x:v>KZT</x:v>
      </x:c>
      <x:c r="M471" s="22"/>
      <x:c r="N471" s="22"/>
      <x:c r="O471" s="28"/>
      <x:c r="P471" s="22"/>
      <x:c r="Q471" s="22"/>
      <x:c r="R471" s="28"/>
      <x:c r="S471" s="22"/>
      <x:c r="T471" s="37" t="n">
        <x:f>K471</x:f>
        <x:v>15</x:v>
      </x:c>
      <x:c r="U471" s="21" t="str">
        <x:f>IF(J471="Рассчитано",N471*(1-O471/100),"н/д")</x:f>
        <x:v>н/д</x:v>
      </x:c>
      <x:c r="V471" s="21" t="str">
        <x:f>IF(J471="Рассчитано",T471*U471,"н/д")</x:f>
        <x:v>н/д</x:v>
      </x:c>
      <x:c r="W471" s="21" t="str">
        <x:f>IF(J471="Рассчитано",T471*M471,"н/д")</x:f>
        <x:v>н/д</x:v>
      </x:c>
      <x:c r="X471" s="21" t="str">
        <x:f>IF(J471="Рассчитано",V471-W471,"н/д")</x:f>
        <x:v>н/д</x:v>
      </x:c>
      <x:c r="Y471" s="27" t="str">
        <x:f>IF(J471="Рассчитано",IF(V471&gt;0,G471/V471,"н/д"),"н/д")</x:f>
        <x:v>н/д</x:v>
      </x:c>
      <x:c r="Z471" s="21" t="str">
        <x:f>"н/д"</x:f>
        <x:v>н/д</x:v>
      </x:c>
      <x:c r="AA471" s="21" t="str">
        <x:f>"н/д"</x:f>
        <x:v>н/д</x:v>
      </x:c>
      <x:c r="AB471" s="21" t="str">
        <x:f>"н/д"</x:f>
        <x:v>н/д</x:v>
      </x:c>
      <x:c r="AC471" s="21" t="str">
        <x:f>IF(AND(J471="Рассчитано",T471&gt;0,R471&lt;100),(W471+P471+Q471)/(T471*(1-R471/100)),"н/д")</x:f>
        <x:v>н/д</x:v>
      </x:c>
      <x:c r="AD471" s="10" t="str">
        <x:f>IF(ISNUMBER(G471),IF(G471&lt;0,"Убыток",IF(G471=0,"Без прибыли","Прибыль &gt; 0")),"Не оценён")</x:f>
        <x:v>Не оценён</x:v>
      </x:c>
      <x:c r="AE471" s="13" t="str">
        <x:f>IF(J471="Рассчитано","Выручка "&amp;TEXT(V471,"0.00")&amp;" - себестоимость "&amp;TEXT(W471,"0.00")&amp;" - комиссия "&amp;TEXT(V471*R471/100,"0.00")&amp;" - доставка "&amp;TEXT(P471,"0.00")&amp;" - прочие "&amp;TEXT(Q471,"0.00")&amp;" = "&amp;TEXT(G471,"0.00")&amp;" "&amp;L471,"Введите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1" s="24" t="n">
        <x:v>70.98932645320075</x:v>
      </x:c>
      <x:c r="AG471" s="37" t="n">
        <x:v>86</x:v>
      </x:c>
      <x:c r="AH471" s="37" t="n">
        <x:v>30</x:v>
      </x:c>
      <x:c r="AI471" s="30" t="n">
        <x:v>46266</x:v>
      </x:c>
      <x:c r="AJ471" s="37" t="n">
        <x:v>1</x:v>
      </x:c>
      <x:c r="AK471" s="10" t="str">
        <x:v>минимум</x:v>
      </x:c>
      <x:c r="AL471" s="32" t="n">
        <x:v>103.0206865739514</x:v>
      </x:c>
      <x:c r="AM471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471" s="13" t="str">
        <x:v>Проверить свободный остаток и установить цену для B2B</x:v>
      </x:c>
      <x:c r="AO471" s="13" t="str">
        <x:v>Остаток 86; прогноз 90 дней 70.99; избыток 15 шт. Будущие поступления не выставляются на продажу. Остаток на начало сентября: требуется актуализация.</x:v>
      </x:c>
      <x:c r="AP471" s="13" t="str">
        <x:v>["category_missing", "daily_stockout_data_missing", "new_order_lead_time_unknown", "reservations_unknown", "stale_stock", "stockout_proxy_used"]</x:v>
      </x:c>
      <x:c r="AQ471" s="10" t="str">
        <x:v>IEK:030201463_</x:v>
      </x:c>
      <x:c r="AR471" s="24" t="n">
        <x:v>1</x:v>
      </x:c>
      <x:c r="AS471" s="24" t="n">
        <x:v>0</x:v>
      </x:c>
      <x:c r="AT471" s="24" t="n">
        <x:v>0</x:v>
      </x:c>
    </x:row>
    <x:row r="472" ht="64" customHeight="1">
      <x:c r="A472" s="11" t="str">
        <x:v>IEK</x:v>
      </x:c>
      <x:c r="B472" s="33" t="str">
        <x:v>030201464_</x:v>
      </x:c>
      <x:c r="C472" s="33" t="str">
        <x:v>TS-G10-6-55-V-K53</x:v>
      </x:c>
      <x:c r="D472" s="12" t="str">
        <x:v>Блок розетка + выключатель горизонтальный о/у графит IP55 TORS IEK (1/40)</x:v>
      </x:c>
      <x:c r="E472" s="11" t="str">
        <x:v>шт</x:v>
      </x:c>
      <x:c r="F472" s="35" t="n">
        <x:f>MAX(0,ROUNDDOWN((AG472-AF472)/AR472+0.000000001,0)*AR472)</x:f>
        <x:v>29</x:v>
      </x:c>
      <x:c r="G472" s="20" t="str">
        <x:f>IF(J472="Рассчитано",V472*(1-R472/100)-W472-P472-Q472,"н/д")</x:f>
        <x:v>н/д</x:v>
      </x:c>
      <x:c r="H472" s="12" t="str">
        <x:v>Высокий</x:v>
      </x:c>
      <x:c r="I472" s="12" t="str">
        <x:v>Высокий</x:v>
      </x:c>
      <x:c r="J472" s="12" t="str">
        <x:f>IF(L472="","Укажите валюту",IF(NOT(ISNUMBER(K472)),"Укажите объём",IF(K472&lt;=0,"Укажите объём",IF(K472&gt;F472,"Объём выше излишка",IF(COUNT(M472:O472)&lt;3,"Нужны цены",IF(COUNT(P472:R472)&lt;3,"Нужны расходы",IF(OR(M472&lt;0,N472&lt;0,O472&lt;0,O472&gt;100,P472&lt;0,Q472&lt;0,R472&lt;0,R472&gt;100),"Проверьте значения","Рассчитано")))))))</x:f>
        <x:v>Нужны цены</x:v>
      </x:c>
      <x:c r="K472" s="36" t="n">
        <x:v>29</x:v>
      </x:c>
      <x:c r="L472" s="19" t="str">
        <x:v>KZT</x:v>
      </x:c>
      <x:c r="M472" s="22"/>
      <x:c r="N472" s="22"/>
      <x:c r="O472" s="28"/>
      <x:c r="P472" s="22"/>
      <x:c r="Q472" s="22"/>
      <x:c r="R472" s="28"/>
      <x:c r="S472" s="22"/>
      <x:c r="T472" s="35" t="n">
        <x:f>K472</x:f>
        <x:v>29</x:v>
      </x:c>
      <x:c r="U472" s="20" t="str">
        <x:f>IF(J472="Рассчитано",N472*(1-O472/100),"н/д")</x:f>
        <x:v>н/д</x:v>
      </x:c>
      <x:c r="V472" s="20" t="str">
        <x:f>IF(J472="Рассчитано",T472*U472,"н/д")</x:f>
        <x:v>н/д</x:v>
      </x:c>
      <x:c r="W472" s="20" t="str">
        <x:f>IF(J472="Рассчитано",T472*M472,"н/д")</x:f>
        <x:v>н/д</x:v>
      </x:c>
      <x:c r="X472" s="20" t="str">
        <x:f>IF(J472="Рассчитано",V472-W472,"н/д")</x:f>
        <x:v>н/д</x:v>
      </x:c>
      <x:c r="Y472" s="26" t="str">
        <x:f>IF(J472="Рассчитано",IF(V472&gt;0,G472/V472,"н/д"),"н/д")</x:f>
        <x:v>н/д</x:v>
      </x:c>
      <x:c r="Z472" s="20" t="str">
        <x:f>"н/д"</x:f>
        <x:v>н/д</x:v>
      </x:c>
      <x:c r="AA472" s="20" t="str">
        <x:f>"н/д"</x:f>
        <x:v>н/д</x:v>
      </x:c>
      <x:c r="AB472" s="20" t="str">
        <x:f>"н/д"</x:f>
        <x:v>н/д</x:v>
      </x:c>
      <x:c r="AC472" s="20" t="str">
        <x:f>IF(AND(J472="Рассчитано",T472&gt;0,R472&lt;100),(W472+P472+Q472)/(T472*(1-R472/100)),"н/д")</x:f>
        <x:v>н/д</x:v>
      </x:c>
      <x:c r="AD472" s="11" t="str">
        <x:f>IF(ISNUMBER(G472),IF(G472&lt;0,"Убыток",IF(G472=0,"Без прибыли","Прибыль &gt; 0")),"Не оценён")</x:f>
        <x:v>Не оценён</x:v>
      </x:c>
      <x:c r="AE472" s="12" t="str">
        <x:f>IF(J472="Рассчитано","Выручка "&amp;TEXT(V472,"0.00")&amp;" - себестоимость "&amp;TEXT(W472,"0.00")&amp;" - комиссия "&amp;TEXT(V472*R472/100,"0.00")&amp;" - доставка "&amp;TEXT(P472,"0.00")&amp;" - прочие "&amp;TEXT(Q472,"0.00")&amp;" = "&amp;TEXT(G472,"0.00")&amp;" "&amp;L472,"Введите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2" s="23" t="n">
        <x:v>4.485827032808557</x:v>
      </x:c>
      <x:c r="AG472" s="35" t="n">
        <x:v>34</x:v>
      </x:c>
      <x:c r="AH472" s="35" t="n">
        <x:v>0</x:v>
      </x:c>
      <x:c r="AI472" s="29" t="n">
        <x:v>46266</x:v>
      </x:c>
      <x:c r="AJ472" s="35" t="n">
        <x:v>1</x:v>
      </x:c>
      <x:c r="AK472" s="11" t="str">
        <x:v>минимум</x:v>
      </x:c>
      <x:c r="AL472" s="31" t="n">
        <x:v>644.5482557926767</x:v>
      </x:c>
      <x:c r="AM472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472" s="12" t="str">
        <x:v>Проверить свободный остаток и установить цену для B2B</x:v>
      </x:c>
      <x:c r="AO472" s="12" t="str">
        <x:v>Остаток 34; прогноз 90 дней 4.49; избыток 29 шт. Будущие поступления не выставляются на продажу. Остаток на начало сентября: требуется актуализация.</x:v>
      </x:c>
      <x:c r="AP472" s="12" t="str">
        <x:v>["category_missing", "daily_stockout_data_missing", "new_order_lead_time_unknown", "reservations_unknown", "stale_stock", "stockout_proxy_used"]</x:v>
      </x:c>
      <x:c r="AQ472" s="11" t="str">
        <x:v>IEK:030201464_</x:v>
      </x:c>
      <x:c r="AR472" s="23" t="n">
        <x:v>1</x:v>
      </x:c>
      <x:c r="AS472" s="23" t="n">
        <x:v>0</x:v>
      </x:c>
      <x:c r="AT472" s="23" t="n">
        <x:v>0</x:v>
      </x:c>
    </x:row>
    <x:row r="473" ht="64" customHeight="1">
      <x:c r="A473" s="10" t="str">
        <x:v>IEK</x:v>
      </x:c>
      <x:c r="B473" s="34" t="str">
        <x:v>030201466_</x:v>
      </x:c>
      <x:c r="C473" s="34" t="str">
        <x:v>TS-V22-0-10-55-K53</x:v>
      </x:c>
      <x:c r="D473" s="13" t="str">
        <x:v>Выключатель 2-кл. проходной о/у графит IP55 TORS IEK (1/80)</x:v>
      </x:c>
      <x:c r="E473" s="10" t="str">
        <x:v>шт</x:v>
      </x:c>
      <x:c r="F473" s="37" t="n">
        <x:f>MAX(0,ROUNDDOWN((AG473-AF473)/AR473+0.000000001,0)*AR473)</x:f>
        <x:v>49</x:v>
      </x:c>
      <x:c r="G473" s="21" t="str">
        <x:f>IF(J473="Рассчитано",V473*(1-R473/100)-W473-P473-Q473,"н/д")</x:f>
        <x:v>н/д</x:v>
      </x:c>
      <x:c r="H473" s="13" t="str">
        <x:v>Высокий</x:v>
      </x:c>
      <x:c r="I473" s="13" t="str">
        <x:v>Высокий</x:v>
      </x:c>
      <x:c r="J473" s="13" t="str">
        <x:f>IF(L473="","Укажите валюту",IF(NOT(ISNUMBER(K473)),"Укажите объём",IF(K473&lt;=0,"Укажите объём",IF(K473&gt;F473,"Объём выше излишка",IF(COUNT(M473:O473)&lt;3,"Нужны цены",IF(COUNT(P473:R473)&lt;3,"Нужны расходы",IF(OR(M473&lt;0,N473&lt;0,O473&lt;0,O473&gt;100,P473&lt;0,Q473&lt;0,R473&lt;0,R473&gt;100),"Проверьте значения","Рассчитано")))))))</x:f>
        <x:v>Нужны цены</x:v>
      </x:c>
      <x:c r="K473" s="36" t="n">
        <x:v>49</x:v>
      </x:c>
      <x:c r="L473" s="19" t="str">
        <x:v>KZT</x:v>
      </x:c>
      <x:c r="M473" s="22"/>
      <x:c r="N473" s="22"/>
      <x:c r="O473" s="28"/>
      <x:c r="P473" s="22"/>
      <x:c r="Q473" s="22"/>
      <x:c r="R473" s="28"/>
      <x:c r="S473" s="22"/>
      <x:c r="T473" s="37" t="n">
        <x:f>K473</x:f>
        <x:v>49</x:v>
      </x:c>
      <x:c r="U473" s="21" t="str">
        <x:f>IF(J473="Рассчитано",N473*(1-O473/100),"н/д")</x:f>
        <x:v>н/д</x:v>
      </x:c>
      <x:c r="V473" s="21" t="str">
        <x:f>IF(J473="Рассчитано",T473*U473,"н/д")</x:f>
        <x:v>н/д</x:v>
      </x:c>
      <x:c r="W473" s="21" t="str">
        <x:f>IF(J473="Рассчитано",T473*M473,"н/д")</x:f>
        <x:v>н/д</x:v>
      </x:c>
      <x:c r="X473" s="21" t="str">
        <x:f>IF(J473="Рассчитано",V473-W473,"н/д")</x:f>
        <x:v>н/д</x:v>
      </x:c>
      <x:c r="Y473" s="27" t="str">
        <x:f>IF(J473="Рассчитано",IF(V473&gt;0,G473/V473,"н/д"),"н/д")</x:f>
        <x:v>н/д</x:v>
      </x:c>
      <x:c r="Z473" s="21" t="str">
        <x:f>"н/д"</x:f>
        <x:v>н/д</x:v>
      </x:c>
      <x:c r="AA473" s="21" t="str">
        <x:f>"н/д"</x:f>
        <x:v>н/д</x:v>
      </x:c>
      <x:c r="AB473" s="21" t="str">
        <x:f>"н/д"</x:f>
        <x:v>н/д</x:v>
      </x:c>
      <x:c r="AC473" s="21" t="str">
        <x:f>IF(AND(J473="Рассчитано",T473&gt;0,R473&lt;100),(W473+P473+Q473)/(T473*(1-R473/100)),"н/д")</x:f>
        <x:v>н/д</x:v>
      </x:c>
      <x:c r="AD473" s="10" t="str">
        <x:f>IF(ISNUMBER(G473),IF(G473&lt;0,"Убыток",IF(G473=0,"Без прибыли","Прибыль &gt; 0")),"Не оценён")</x:f>
        <x:v>Не оценён</x:v>
      </x:c>
      <x:c r="AE473" s="13" t="str">
        <x:f>IF(J473="Рассчитано","Выручка "&amp;TEXT(V473,"0.00")&amp;" - себестоимость "&amp;TEXT(W473,"0.00")&amp;" - комиссия "&amp;TEXT(V473*R473/100,"0.00")&amp;" - доставка "&amp;TEXT(P473,"0.00")&amp;" - прочие "&amp;TEXT(Q473,"0.00")&amp;" = "&amp;TEXT(G473,"0.00")&amp;" "&amp;L473,"Введите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3" s="24" t="n">
        <x:v>8.042472651873778</x:v>
      </x:c>
      <x:c r="AG473" s="37" t="n">
        <x:v>58</x:v>
      </x:c>
      <x:c r="AH473" s="37" t="n">
        <x:v>0</x:v>
      </x:c>
      <x:c r="AI473" s="30" t="n">
        <x:v>46266</x:v>
      </x:c>
      <x:c r="AJ473" s="37" t="n">
        <x:v>1</x:v>
      </x:c>
      <x:c r="AK473" s="10" t="str">
        <x:v>минимум</x:v>
      </x:c>
      <x:c r="AL473" s="32" t="n">
        <x:v>613.2780839134513</x:v>
      </x:c>
      <x:c r="AM4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73" s="13" t="str">
        <x:v>Проверить свободный остаток и установить цену для B2B</x:v>
      </x:c>
      <x:c r="AO473" s="13" t="str">
        <x:v>Остаток 58; прогноз 90 дней 8.04; избыток 49 шт. Будущие поступления не выставляются на продажу. Остаток на начало сентября: требуется актуализация.</x:v>
      </x:c>
      <x:c r="AP473" s="13" t="str">
        <x:v>["category_missing", "daily_stockout_data_missing", "new_order_lead_time_unknown", "reservations_unknown", "stale_stock"]</x:v>
      </x:c>
      <x:c r="AQ473" s="10" t="str">
        <x:v>IEK:030201466_</x:v>
      </x:c>
      <x:c r="AR473" s="24" t="n">
        <x:v>1</x:v>
      </x:c>
      <x:c r="AS473" s="24" t="n">
        <x:v>0</x:v>
      </x:c>
      <x:c r="AT473" s="24" t="n">
        <x:v>0</x:v>
      </x:c>
    </x:row>
    <x:row r="474" ht="64" customHeight="1">
      <x:c r="A474" s="11" t="str">
        <x:v>IEK</x:v>
      </x:c>
      <x:c r="B474" s="33" t="str">
        <x:v>030201468_</x:v>
      </x:c>
      <x:c r="C474" s="33" t="str">
        <x:v>TS-V14-0-10-55-K53</x:v>
      </x:c>
      <x:c r="D474" s="12" t="str">
        <x:v>Выключатель кнопочный о/у графит IP55 TORS IEK (1/60)</x:v>
      </x:c>
      <x:c r="E474" s="11" t="str">
        <x:v>шт</x:v>
      </x:c>
      <x:c r="F474" s="35" t="n">
        <x:f>MAX(0,ROUNDDOWN((AG474-AF474)/AR474+0.000000001,0)*AR474)</x:f>
        <x:v>45</x:v>
      </x:c>
      <x:c r="G474" s="20" t="str">
        <x:f>IF(J474="Рассчитано",V474*(1-R474/100)-W474-P474-Q474,"н/д")</x:f>
        <x:v>н/д</x:v>
      </x:c>
      <x:c r="H474" s="12" t="str">
        <x:v>Высокий</x:v>
      </x:c>
      <x:c r="I474" s="12" t="str">
        <x:v>Высокий</x:v>
      </x:c>
      <x:c r="J474" s="12" t="str">
        <x:f>IF(L474="","Укажите валюту",IF(NOT(ISNUMBER(K474)),"Укажите объём",IF(K474&lt;=0,"Укажите объём",IF(K474&gt;F474,"Объём выше излишка",IF(COUNT(M474:O474)&lt;3,"Нужны цены",IF(COUNT(P474:R474)&lt;3,"Нужны расходы",IF(OR(M474&lt;0,N474&lt;0,O474&lt;0,O474&gt;100,P474&lt;0,Q474&lt;0,R474&lt;0,R474&gt;100),"Проверьте значения","Рассчитано")))))))</x:f>
        <x:v>Нужны цены</x:v>
      </x:c>
      <x:c r="K474" s="36" t="n">
        <x:v>45</x:v>
      </x:c>
      <x:c r="L474" s="19" t="str">
        <x:v>KZT</x:v>
      </x:c>
      <x:c r="M474" s="22"/>
      <x:c r="N474" s="22"/>
      <x:c r="O474" s="28"/>
      <x:c r="P474" s="22"/>
      <x:c r="Q474" s="22"/>
      <x:c r="R474" s="28"/>
      <x:c r="S474" s="22"/>
      <x:c r="T474" s="35" t="n">
        <x:f>K474</x:f>
        <x:v>45</x:v>
      </x:c>
      <x:c r="U474" s="20" t="str">
        <x:f>IF(J474="Рассчитано",N474*(1-O474/100),"н/д")</x:f>
        <x:v>н/д</x:v>
      </x:c>
      <x:c r="V474" s="20" t="str">
        <x:f>IF(J474="Рассчитано",T474*U474,"н/д")</x:f>
        <x:v>н/д</x:v>
      </x:c>
      <x:c r="W474" s="20" t="str">
        <x:f>IF(J474="Рассчитано",T474*M474,"н/д")</x:f>
        <x:v>н/д</x:v>
      </x:c>
      <x:c r="X474" s="20" t="str">
        <x:f>IF(J474="Рассчитано",V474-W474,"н/д")</x:f>
        <x:v>н/д</x:v>
      </x:c>
      <x:c r="Y474" s="26" t="str">
        <x:f>IF(J474="Рассчитано",IF(V474&gt;0,G474/V474,"н/д"),"н/д")</x:f>
        <x:v>н/д</x:v>
      </x:c>
      <x:c r="Z474" s="20" t="str">
        <x:f>"н/д"</x:f>
        <x:v>н/д</x:v>
      </x:c>
      <x:c r="AA474" s="20" t="str">
        <x:f>"н/д"</x:f>
        <x:v>н/д</x:v>
      </x:c>
      <x:c r="AB474" s="20" t="str">
        <x:f>"н/д"</x:f>
        <x:v>н/д</x:v>
      </x:c>
      <x:c r="AC474" s="20" t="str">
        <x:f>IF(AND(J474="Рассчитано",T474&gt;0,R474&lt;100),(W474+P474+Q474)/(T474*(1-R474/100)),"н/д")</x:f>
        <x:v>н/д</x:v>
      </x:c>
      <x:c r="AD474" s="11" t="str">
        <x:f>IF(ISNUMBER(G474),IF(G474&lt;0,"Убыток",IF(G474=0,"Без прибыли","Прибыль &gt; 0")),"Не оценён")</x:f>
        <x:v>Не оценён</x:v>
      </x:c>
      <x:c r="AE474" s="12" t="str">
        <x:f>IF(J474="Рассчитано","Выручка "&amp;TEXT(V474,"0.00")&amp;" - себестоимость "&amp;TEXT(W474,"0.00")&amp;" - комиссия "&amp;TEXT(V474*R474/100,"0.00")&amp;" - доставка "&amp;TEXT(P474,"0.00")&amp;" - прочие "&amp;TEXT(Q474,"0.00")&amp;" = "&amp;TEXT(G474,"0.00")&amp;" "&amp;L474,"Введите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4" s="23" t="n">
        <x:v>6.1751739219624175</x:v>
      </x:c>
      <x:c r="AG474" s="35" t="n">
        <x:v>52</x:v>
      </x:c>
      <x:c r="AH474" s="35" t="n">
        <x:v>0</x:v>
      </x:c>
      <x:c r="AI474" s="29" t="n">
        <x:v>46266</x:v>
      </x:c>
      <x:c r="AJ474" s="35" t="n">
        <x:v>1</x:v>
      </x:c>
      <x:c r="AK474" s="11" t="str">
        <x:v>минимум</x:v>
      </x:c>
      <x:c r="AL474" s="31" t="n">
        <x:v>716.0992089825105</x:v>
      </x:c>
      <x:c r="AM474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474" s="12" t="str">
        <x:v>Проверить свободный остаток и установить цену для B2B</x:v>
      </x:c>
      <x:c r="AO474" s="12" t="str">
        <x:v>Остаток 52; прогноз 90 дней 6.18; избыток 45 шт. Будущие поступления не выставляются на продажу. Остаток на начало сентября: требуется актуализация.</x:v>
      </x:c>
      <x:c r="AP474" s="12" t="str">
        <x:v>["category_missing", "daily_stockout_data_missing", "new_order_lead_time_unknown", "reservations_unknown", "stale_stock", "stockout_proxy_used"]</x:v>
      </x:c>
      <x:c r="AQ474" s="11" t="str">
        <x:v>IEK:030201468_</x:v>
      </x:c>
      <x:c r="AR474" s="23" t="n">
        <x:v>1</x:v>
      </x:c>
      <x:c r="AS474" s="23" t="n">
        <x:v>0</x:v>
      </x:c>
      <x:c r="AT474" s="23" t="n">
        <x:v>0</x:v>
      </x:c>
    </x:row>
    <x:row r="475" ht="64" customHeight="1">
      <x:c r="A475" s="10" t="str">
        <x:v>IEK</x:v>
      </x:c>
      <x:c r="B475" s="34" t="str">
        <x:v>030201470_</x:v>
      </x:c>
      <x:c r="C475" s="34" t="str">
        <x:v>TS-V20-0-10-55-k01</x:v>
      </x:c>
      <x:c r="D475" s="13" t="str">
        <x:v>Выключатель 2-кл. о/у белый IP55 TORS IEK (1/60)</x:v>
      </x:c>
      <x:c r="E475" s="10" t="str">
        <x:v>шт</x:v>
      </x:c>
      <x:c r="F475" s="37" t="n">
        <x:f>MAX(0,ROUNDDOWN((AG475-AF475)/AR475+0.000000001,0)*AR475)</x:f>
        <x:v>25</x:v>
      </x:c>
      <x:c r="G475" s="21" t="str">
        <x:f>IF(J475="Рассчитано",V475*(1-R475/100)-W475-P475-Q475,"н/д")</x:f>
        <x:v>н/д</x:v>
      </x:c>
      <x:c r="H475" s="13" t="str">
        <x:v>Высокий</x:v>
      </x:c>
      <x:c r="I475" s="13" t="str">
        <x:v>Высокий</x:v>
      </x:c>
      <x:c r="J475" s="13" t="str">
        <x:f>IF(L475="","Укажите валюту",IF(NOT(ISNUMBER(K475)),"Укажите объём",IF(K475&lt;=0,"Укажите объём",IF(K475&gt;F475,"Объём выше излишка",IF(COUNT(M475:O475)&lt;3,"Нужны цены",IF(COUNT(P475:R475)&lt;3,"Нужны расходы",IF(OR(M475&lt;0,N475&lt;0,O475&lt;0,O475&gt;100,P475&lt;0,Q475&lt;0,R475&lt;0,R475&gt;100),"Проверьте значения","Рассчитано")))))))</x:f>
        <x:v>Нужны цены</x:v>
      </x:c>
      <x:c r="K475" s="36" t="n">
        <x:v>25</x:v>
      </x:c>
      <x:c r="L475" s="19" t="str">
        <x:v>KZT</x:v>
      </x:c>
      <x:c r="M475" s="22"/>
      <x:c r="N475" s="22"/>
      <x:c r="O475" s="28"/>
      <x:c r="P475" s="22"/>
      <x:c r="Q475" s="22"/>
      <x:c r="R475" s="28"/>
      <x:c r="S475" s="22"/>
      <x:c r="T475" s="37" t="n">
        <x:f>K475</x:f>
        <x:v>25</x:v>
      </x:c>
      <x:c r="U475" s="21" t="str">
        <x:f>IF(J475="Рассчитано",N475*(1-O475/100),"н/д")</x:f>
        <x:v>н/д</x:v>
      </x:c>
      <x:c r="V475" s="21" t="str">
        <x:f>IF(J475="Рассчитано",T475*U475,"н/д")</x:f>
        <x:v>н/д</x:v>
      </x:c>
      <x:c r="W475" s="21" t="str">
        <x:f>IF(J475="Рассчитано",T475*M475,"н/д")</x:f>
        <x:v>н/д</x:v>
      </x:c>
      <x:c r="X475" s="21" t="str">
        <x:f>IF(J475="Рассчитано",V475-W475,"н/д")</x:f>
        <x:v>н/д</x:v>
      </x:c>
      <x:c r="Y475" s="27" t="str">
        <x:f>IF(J475="Рассчитано",IF(V475&gt;0,G475/V475,"н/д"),"н/д")</x:f>
        <x:v>н/д</x:v>
      </x:c>
      <x:c r="Z475" s="21" t="str">
        <x:f>"н/д"</x:f>
        <x:v>н/д</x:v>
      </x:c>
      <x:c r="AA475" s="21" t="str">
        <x:f>"н/д"</x:f>
        <x:v>н/д</x:v>
      </x:c>
      <x:c r="AB475" s="21" t="str">
        <x:f>"н/д"</x:f>
        <x:v>н/д</x:v>
      </x:c>
      <x:c r="AC475" s="21" t="str">
        <x:f>IF(AND(J475="Рассчитано",T475&gt;0,R475&lt;100),(W475+P475+Q475)/(T475*(1-R475/100)),"н/д")</x:f>
        <x:v>н/д</x:v>
      </x:c>
      <x:c r="AD475" s="10" t="str">
        <x:f>IF(ISNUMBER(G475),IF(G475&lt;0,"Убыток",IF(G475=0,"Без прибыли","Прибыль &gt; 0")),"Не оценён")</x:f>
        <x:v>Не оценён</x:v>
      </x:c>
      <x:c r="AE475" s="13" t="str">
        <x:f>IF(J475="Рассчитано","Выручка "&amp;TEXT(V475,"0.00")&amp;" - себестоимость "&amp;TEXT(W475,"0.00")&amp;" - комиссия "&amp;TEXT(V475*R475/100,"0.00")&amp;" - доставка "&amp;TEXT(P475,"0.00")&amp;" - прочие "&amp;TEXT(Q475,"0.00")&amp;" = "&amp;TEXT(G475,"0.00")&amp;" "&amp;L475,"Введите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5" s="24" t="n">
        <x:v>16.803430357812076</x:v>
      </x:c>
      <x:c r="AG475" s="37" t="n">
        <x:v>42</x:v>
      </x:c>
      <x:c r="AH475" s="37" t="n">
        <x:v>0</x:v>
      </x:c>
      <x:c r="AI475" s="30" t="n">
        <x:v>46266</x:v>
      </x:c>
      <x:c r="AJ475" s="37" t="n">
        <x:v>1</x:v>
      </x:c>
      <x:c r="AK475" s="10" t="str">
        <x:v>минимум</x:v>
      </x:c>
      <x:c r="AL475" s="32" t="n">
        <x:v>212.55453934648122</x:v>
      </x:c>
      <x:c r="AM475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475" s="13" t="str">
        <x:v>Проверить свободный остаток и установить цену для B2B</x:v>
      </x:c>
      <x:c r="AO475" s="13" t="str">
        <x:v>Остаток 42; прогноз 90 дней 16.80; избыток 25 шт. Будущие поступления не выставляются на продажу. Остаток на начало сентября: требуется актуализация.</x:v>
      </x:c>
      <x:c r="AP475" s="13" t="str">
        <x:v>["category_missing", "daily_stockout_data_missing", "new_order_lead_time_unknown", "reservations_unknown", "stale_stock", "stockout_proxy_used"]</x:v>
      </x:c>
      <x:c r="AQ475" s="10" t="str">
        <x:v>IEK:030201470_</x:v>
      </x:c>
      <x:c r="AR475" s="24" t="n">
        <x:v>1</x:v>
      </x:c>
      <x:c r="AS475" s="24" t="n">
        <x:v>0</x:v>
      </x:c>
      <x:c r="AT475" s="24" t="n">
        <x:v>0</x:v>
      </x:c>
    </x:row>
    <x:row r="476" ht="64" customHeight="1">
      <x:c r="A476" s="11" t="str">
        <x:v>IEK</x:v>
      </x:c>
      <x:c r="B476" s="33" t="str">
        <x:v>030201472_</x:v>
      </x:c>
      <x:c r="C476" s="33" t="str">
        <x:v>TS-R26-16-55-G-k01</x:v>
      </x:c>
      <x:c r="D476" s="12" t="str">
        <x:v>Розетка 2-я  о/у з/к с крышкой горизонтальная белый IP55 TORS IEK (1/40)</x:v>
      </x:c>
      <x:c r="E476" s="11" t="str">
        <x:v>шт</x:v>
      </x:c>
      <x:c r="F476" s="35" t="n">
        <x:f>MAX(0,ROUNDDOWN((AG476-AF476)/AR476+0.000000001,0)*AR476)</x:f>
        <x:v>53</x:v>
      </x:c>
      <x:c r="G476" s="20" t="str">
        <x:f>IF(J476="Рассчитано",V476*(1-R476/100)-W476-P476-Q476,"н/д")</x:f>
        <x:v>н/д</x:v>
      </x:c>
      <x:c r="H476" s="12" t="str">
        <x:v>Высокий</x:v>
      </x:c>
      <x:c r="I476" s="12" t="str">
        <x:v>Высокий</x:v>
      </x:c>
      <x:c r="J476" s="12" t="str">
        <x:f>IF(L476="","Укажите валюту",IF(NOT(ISNUMBER(K476)),"Укажите объём",IF(K476&lt;=0,"Укажите объём",IF(K476&gt;F476,"Объём выше излишка",IF(COUNT(M476:O476)&lt;3,"Нужны цены",IF(COUNT(P476:R476)&lt;3,"Нужны расходы",IF(OR(M476&lt;0,N476&lt;0,O476&lt;0,O476&gt;100,P476&lt;0,Q476&lt;0,R476&lt;0,R476&gt;100),"Проверьте значения","Рассчитано")))))))</x:f>
        <x:v>Нужны цены</x:v>
      </x:c>
      <x:c r="K476" s="36" t="n">
        <x:v>53</x:v>
      </x:c>
      <x:c r="L476" s="19" t="str">
        <x:v>KZT</x:v>
      </x:c>
      <x:c r="M476" s="22"/>
      <x:c r="N476" s="22"/>
      <x:c r="O476" s="28"/>
      <x:c r="P476" s="22"/>
      <x:c r="Q476" s="22"/>
      <x:c r="R476" s="28"/>
      <x:c r="S476" s="22"/>
      <x:c r="T476" s="35" t="n">
        <x:f>K476</x:f>
        <x:v>53</x:v>
      </x:c>
      <x:c r="U476" s="20" t="str">
        <x:f>IF(J476="Рассчитано",N476*(1-O476/100),"н/д")</x:f>
        <x:v>н/д</x:v>
      </x:c>
      <x:c r="V476" s="20" t="str">
        <x:f>IF(J476="Рассчитано",T476*U476,"н/д")</x:f>
        <x:v>н/д</x:v>
      </x:c>
      <x:c r="W476" s="20" t="str">
        <x:f>IF(J476="Рассчитано",T476*M476,"н/д")</x:f>
        <x:v>н/д</x:v>
      </x:c>
      <x:c r="X476" s="20" t="str">
        <x:f>IF(J476="Рассчитано",V476-W476,"н/д")</x:f>
        <x:v>н/д</x:v>
      </x:c>
      <x:c r="Y476" s="26" t="str">
        <x:f>IF(J476="Рассчитано",IF(V476&gt;0,G476/V476,"н/д"),"н/д")</x:f>
        <x:v>н/д</x:v>
      </x:c>
      <x:c r="Z476" s="20" t="str">
        <x:f>"н/д"</x:f>
        <x:v>н/д</x:v>
      </x:c>
      <x:c r="AA476" s="20" t="str">
        <x:f>"н/д"</x:f>
        <x:v>н/д</x:v>
      </x:c>
      <x:c r="AB476" s="20" t="str">
        <x:f>"н/д"</x:f>
        <x:v>н/д</x:v>
      </x:c>
      <x:c r="AC476" s="20" t="str">
        <x:f>IF(AND(J476="Рассчитано",T476&gt;0,R476&lt;100),(W476+P476+Q476)/(T476*(1-R476/100)),"н/д")</x:f>
        <x:v>н/д</x:v>
      </x:c>
      <x:c r="AD476" s="11" t="str">
        <x:f>IF(ISNUMBER(G476),IF(G476&lt;0,"Убыток",IF(G476=0,"Без прибыли","Прибыль &gt; 0")),"Не оценён")</x:f>
        <x:v>Не оценён</x:v>
      </x:c>
      <x:c r="AE476" s="12" t="str">
        <x:f>IF(J476="Рассчитано","Выручка "&amp;TEXT(V476,"0.00")&amp;" - себестоимость "&amp;TEXT(W476,"0.00")&amp;" - комиссия "&amp;TEXT(V476*R476/100,"0.00")&amp;" - доставка "&amp;TEXT(P476,"0.00")&amp;" - прочие "&amp;TEXT(Q476,"0.00")&amp;" = "&amp;TEXT(G476,"0.00")&amp;" "&amp;L476,"Введите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6" s="23" t="n">
        <x:v>32.158989893714136</x:v>
      </x:c>
      <x:c r="AG476" s="35" t="n">
        <x:v>86</x:v>
      </x:c>
      <x:c r="AH476" s="35" t="n">
        <x:v>0</x:v>
      </x:c>
      <x:c r="AI476" s="29" t="n">
        <x:v>46266</x:v>
      </x:c>
      <x:c r="AJ476" s="35" t="n">
        <x:v>1</x:v>
      </x:c>
      <x:c r="AK476" s="11" t="str">
        <x:v>минимум</x:v>
      </x:c>
      <x:c r="AL476" s="31" t="n">
        <x:v>227.41289993254986</x:v>
      </x:c>
      <x:c r="AM476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476" s="12" t="str">
        <x:v>Проверить свободный остаток и установить цену для B2B</x:v>
      </x:c>
      <x:c r="AO476" s="12" t="str">
        <x:v>Остаток 86; прогноз 90 дней 32.16; избыток 53 шт. Будущие поступления не выставляются на продажу. Остаток на начало сентября: требуется актуализация.</x:v>
      </x:c>
      <x:c r="AP476" s="12" t="str">
        <x:v>["category_missing", "daily_stockout_data_missing", "large_orders_detected", "new_order_lead_time_unknown", "reservations_unknown", "stale_stock", "stockout_proxy_used"]</x:v>
      </x:c>
      <x:c r="AQ476" s="11" t="str">
        <x:v>IEK:030201472_</x:v>
      </x:c>
      <x:c r="AR476" s="23" t="n">
        <x:v>1</x:v>
      </x:c>
      <x:c r="AS476" s="23" t="n">
        <x:v>0</x:v>
      </x:c>
      <x:c r="AT476" s="23" t="n">
        <x:v>0</x:v>
      </x:c>
    </x:row>
    <x:row r="477" ht="64" customHeight="1">
      <x:c r="A477" s="10" t="str">
        <x:v>IEK</x:v>
      </x:c>
      <x:c r="B477" s="34" t="str">
        <x:v>030201473_</x:v>
      </x:c>
      <x:c r="C477" s="34" t="str">
        <x:v>TS-G10-6-55-V-k01</x:v>
      </x:c>
      <x:c r="D477" s="13" t="str">
        <x:v>Блок розетка + выключатель горизонтальный о/у белый IP55 TORS IEK (1/40)</x:v>
      </x:c>
      <x:c r="E477" s="10" t="str">
        <x:v>шт</x:v>
      </x:c>
      <x:c r="F477" s="37" t="n">
        <x:f>MAX(0,ROUNDDOWN((AG477-AF477)/AR477+0.000000001,0)*AR477)</x:f>
        <x:v>34</x:v>
      </x:c>
      <x:c r="G477" s="21" t="str">
        <x:f>IF(J477="Рассчитано",V477*(1-R477/100)-W477-P477-Q477,"н/д")</x:f>
        <x:v>н/д</x:v>
      </x:c>
      <x:c r="H477" s="13" t="str">
        <x:v>Высокий</x:v>
      </x:c>
      <x:c r="I477" s="13" t="str">
        <x:v>Высокий</x:v>
      </x:c>
      <x:c r="J477" s="13" t="str">
        <x:f>IF(L477="","Укажите валюту",IF(NOT(ISNUMBER(K477)),"Укажите объём",IF(K477&lt;=0,"Укажите объём",IF(K477&gt;F477,"Объём выше излишка",IF(COUNT(M477:O477)&lt;3,"Нужны цены",IF(COUNT(P477:R477)&lt;3,"Нужны расходы",IF(OR(M477&lt;0,N477&lt;0,O477&lt;0,O477&gt;100,P477&lt;0,Q477&lt;0,R477&lt;0,R477&gt;100),"Проверьте значения","Рассчитано")))))))</x:f>
        <x:v>Нужны цены</x:v>
      </x:c>
      <x:c r="K477" s="36" t="n">
        <x:v>34</x:v>
      </x:c>
      <x:c r="L477" s="19" t="str">
        <x:v>KZT</x:v>
      </x:c>
      <x:c r="M477" s="22"/>
      <x:c r="N477" s="22"/>
      <x:c r="O477" s="28"/>
      <x:c r="P477" s="22"/>
      <x:c r="Q477" s="22"/>
      <x:c r="R477" s="28"/>
      <x:c r="S477" s="22"/>
      <x:c r="T477" s="37" t="n">
        <x:f>K477</x:f>
        <x:v>34</x:v>
      </x:c>
      <x:c r="U477" s="21" t="str">
        <x:f>IF(J477="Рассчитано",N477*(1-O477/100),"н/д")</x:f>
        <x:v>н/д</x:v>
      </x:c>
      <x:c r="V477" s="21" t="str">
        <x:f>IF(J477="Рассчитано",T477*U477,"н/д")</x:f>
        <x:v>н/д</x:v>
      </x:c>
      <x:c r="W477" s="21" t="str">
        <x:f>IF(J477="Рассчитано",T477*M477,"н/д")</x:f>
        <x:v>н/д</x:v>
      </x:c>
      <x:c r="X477" s="21" t="str">
        <x:f>IF(J477="Рассчитано",V477-W477,"н/д")</x:f>
        <x:v>н/д</x:v>
      </x:c>
      <x:c r="Y477" s="27" t="str">
        <x:f>IF(J477="Рассчитано",IF(V477&gt;0,G477/V477,"н/д"),"н/д")</x:f>
        <x:v>н/д</x:v>
      </x:c>
      <x:c r="Z477" s="21" t="str">
        <x:f>"н/д"</x:f>
        <x:v>н/д</x:v>
      </x:c>
      <x:c r="AA477" s="21" t="str">
        <x:f>"н/д"</x:f>
        <x:v>н/д</x:v>
      </x:c>
      <x:c r="AB477" s="21" t="str">
        <x:f>"н/д"</x:f>
        <x:v>н/д</x:v>
      </x:c>
      <x:c r="AC477" s="21" t="str">
        <x:f>IF(AND(J477="Рассчитано",T477&gt;0,R477&lt;100),(W477+P477+Q477)/(T477*(1-R477/100)),"н/д")</x:f>
        <x:v>н/д</x:v>
      </x:c>
      <x:c r="AD477" s="10" t="str">
        <x:f>IF(ISNUMBER(G477),IF(G477&lt;0,"Убыток",IF(G477=0,"Без прибыли","Прибыль &gt; 0")),"Не оценён")</x:f>
        <x:v>Не оценён</x:v>
      </x:c>
      <x:c r="AE477" s="13" t="str">
        <x:f>IF(J477="Рассчитано","Выручка "&amp;TEXT(V477,"0.00")&amp;" - себестоимость "&amp;TEXT(W477,"0.00")&amp;" - комиссия "&amp;TEXT(V477*R477/100,"0.00")&amp;" - доставка "&amp;TEXT(P477,"0.00")&amp;" - прочие "&amp;TEXT(Q477,"0.00")&amp;" = "&amp;TEXT(G477,"0.00")&amp;" "&amp;L477,"Введите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7" s="24" t="n">
        <x:v>1.979976843834043</x:v>
      </x:c>
      <x:c r="AG477" s="37" t="n">
        <x:v>36</x:v>
      </x:c>
      <x:c r="AH477" s="37" t="n">
        <x:v>0</x:v>
      </x:c>
      <x:c r="AI477" s="30" t="n">
        <x:v>46266</x:v>
      </x:c>
      <x:c r="AJ477" s="37" t="n">
        <x:v>1</x:v>
      </x:c>
      <x:c r="AK477" s="10" t="str">
        <x:v>минимум</x:v>
      </x:c>
      <x:c r="AL477" s="32" t="n">
        <x:v>1546.184922141066</x:v>
      </x:c>
      <x:c r="AM47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77" s="13" t="str">
        <x:v>Проверить свободный остаток и установить цену для B2B</x:v>
      </x:c>
      <x:c r="AO477" s="13" t="str">
        <x:v>Остаток 36; прогноз 90 дней 1.98; избыток 34 шт. Будущие поступления не выставляются на продажу. Остаток на начало сентября: требуется актуализация.</x:v>
      </x:c>
      <x:c r="AP477" s="13" t="str">
        <x:v>["category_missing", "daily_stockout_data_missing", "new_order_lead_time_unknown", "reservations_unknown", "stale_stock"]</x:v>
      </x:c>
      <x:c r="AQ477" s="10" t="str">
        <x:v>IEK:030201473_</x:v>
      </x:c>
      <x:c r="AR477" s="24" t="n">
        <x:v>1</x:v>
      </x:c>
      <x:c r="AS477" s="24" t="n">
        <x:v>0</x:v>
      </x:c>
      <x:c r="AT477" s="24" t="n">
        <x:v>0</x:v>
      </x:c>
    </x:row>
    <x:row r="478" ht="64" customHeight="1">
      <x:c r="A478" s="11" t="str">
        <x:v>IEK</x:v>
      </x:c>
      <x:c r="B478" s="33" t="str">
        <x:v>030201474_</x:v>
      </x:c>
      <x:c r="C478" s="33" t="str">
        <x:v>TS-R26-16-55-V-k01</x:v>
      </x:c>
      <x:c r="D478" s="12" t="str">
        <x:v>Розетка 2-я о/у з/к с крышкой вертикальная белый IP55 TORS IEK (1/40)</x:v>
      </x:c>
      <x:c r="E478" s="11" t="str">
        <x:v>шт</x:v>
      </x:c>
      <x:c r="F478" s="35" t="n">
        <x:f>MAX(0,ROUNDDOWN((AG478-AF478)/AR478+0.000000001,0)*AR478)</x:f>
        <x:v>11</x:v>
      </x:c>
      <x:c r="G478" s="20" t="str">
        <x:f>IF(J478="Рассчитано",V478*(1-R478/100)-W478-P478-Q478,"н/д")</x:f>
        <x:v>н/д</x:v>
      </x:c>
      <x:c r="H478" s="12" t="str">
        <x:v>Высокий</x:v>
      </x:c>
      <x:c r="I478" s="12" t="str">
        <x:v>Средний</x:v>
      </x:c>
      <x:c r="J478" s="12" t="str">
        <x:f>IF(L478="","Укажите валюту",IF(NOT(ISNUMBER(K478)),"Укажите объём",IF(K478&lt;=0,"Укажите объём",IF(K478&gt;F478,"Объём выше излишка",IF(COUNT(M478:O478)&lt;3,"Нужны цены",IF(COUNT(P478:R478)&lt;3,"Нужны расходы",IF(OR(M478&lt;0,N478&lt;0,O478&lt;0,O478&gt;100,P478&lt;0,Q478&lt;0,R478&lt;0,R478&gt;100),"Проверьте значения","Рассчитано")))))))</x:f>
        <x:v>Нужны цены</x:v>
      </x:c>
      <x:c r="K478" s="36" t="n">
        <x:v>11</x:v>
      </x:c>
      <x:c r="L478" s="19" t="str">
        <x:v>KZT</x:v>
      </x:c>
      <x:c r="M478" s="22"/>
      <x:c r="N478" s="22"/>
      <x:c r="O478" s="28"/>
      <x:c r="P478" s="22"/>
      <x:c r="Q478" s="22"/>
      <x:c r="R478" s="28"/>
      <x:c r="S478" s="22"/>
      <x:c r="T478" s="35" t="n">
        <x:f>K478</x:f>
        <x:v>11</x:v>
      </x:c>
      <x:c r="U478" s="20" t="str">
        <x:f>IF(J478="Рассчитано",N478*(1-O478/100),"н/д")</x:f>
        <x:v>н/д</x:v>
      </x:c>
      <x:c r="V478" s="20" t="str">
        <x:f>IF(J478="Рассчитано",T478*U478,"н/д")</x:f>
        <x:v>н/д</x:v>
      </x:c>
      <x:c r="W478" s="20" t="str">
        <x:f>IF(J478="Рассчитано",T478*M478,"н/д")</x:f>
        <x:v>н/д</x:v>
      </x:c>
      <x:c r="X478" s="20" t="str">
        <x:f>IF(J478="Рассчитано",V478-W478,"н/д")</x:f>
        <x:v>н/д</x:v>
      </x:c>
      <x:c r="Y478" s="26" t="str">
        <x:f>IF(J478="Рассчитано",IF(V478&gt;0,G478/V478,"н/д"),"н/д")</x:f>
        <x:v>н/д</x:v>
      </x:c>
      <x:c r="Z478" s="20" t="str">
        <x:f>"н/д"</x:f>
        <x:v>н/д</x:v>
      </x:c>
      <x:c r="AA478" s="20" t="str">
        <x:f>"н/д"</x:f>
        <x:v>н/д</x:v>
      </x:c>
      <x:c r="AB478" s="20" t="str">
        <x:f>"н/д"</x:f>
        <x:v>н/д</x:v>
      </x:c>
      <x:c r="AC478" s="20" t="str">
        <x:f>IF(AND(J478="Рассчитано",T478&gt;0,R478&lt;100),(W478+P478+Q478)/(T478*(1-R478/100)),"н/д")</x:f>
        <x:v>н/д</x:v>
      </x:c>
      <x:c r="AD478" s="11" t="str">
        <x:f>IF(ISNUMBER(G478),IF(G478&lt;0,"Убыток",IF(G478=0,"Без прибыли","Прибыль &gt; 0")),"Не оценён")</x:f>
        <x:v>Не оценён</x:v>
      </x:c>
      <x:c r="AE478" s="12" t="str">
        <x:f>IF(J478="Рассчитано","Выручка "&amp;TEXT(V478,"0.00")&amp;" - себестоимость "&amp;TEXT(W478,"0.00")&amp;" - комиссия "&amp;TEXT(V478*R478/100,"0.00")&amp;" - доставка "&amp;TEXT(P478,"0.00")&amp;" - прочие "&amp;TEXT(Q478,"0.00")&amp;" = "&amp;TEXT(G478,"0.00")&amp;" "&amp;L478,"Введите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8" s="23" t="n">
        <x:v>11.119832756721006</x:v>
      </x:c>
      <x:c r="AG478" s="35" t="n">
        <x:v>23</x:v>
      </x:c>
      <x:c r="AH478" s="35" t="n">
        <x:v>0</x:v>
      </x:c>
      <x:c r="AI478" s="29" t="n">
        <x:v>46266</x:v>
      </x:c>
      <x:c r="AJ478" s="35" t="n">
        <x:v>1</x:v>
      </x:c>
      <x:c r="AK478" s="11" t="str">
        <x:v>минимум</x:v>
      </x:c>
      <x:c r="AL478" s="31" t="n">
        <x:v>175.89302777335294</x:v>
      </x:c>
      <x:c r="AM478" s="12" t="str">
        <x:v>Остаток на начало сентября; Резервы неизвестны; Нет ежедневных данных доступности. Запас выше прогноза на 90 дней</x:v>
      </x:c>
      <x:c r="AN478" s="12" t="str">
        <x:v>Проверить свободный остаток и установить цену для B2B</x:v>
      </x:c>
      <x:c r="AO478" s="12" t="str">
        <x:v>Остаток 23; прогноз 90 дней 11.12; избыток 11 шт. Будущие поступления не выставляются на продажу. Остаток на начало сентября: требуется актуализация.</x:v>
      </x:c>
      <x:c r="AP478" s="12" t="str">
        <x:v>["category_missing", "daily_stockout_data_missing", "new_order_lead_time_unknown", "reservations_unknown", "stale_stock"]</x:v>
      </x:c>
      <x:c r="AQ478" s="11" t="str">
        <x:v>IEK:030201474_</x:v>
      </x:c>
      <x:c r="AR478" s="23" t="n">
        <x:v>1</x:v>
      </x:c>
      <x:c r="AS478" s="23" t="n">
        <x:v>0</x:v>
      </x:c>
      <x:c r="AT478" s="23" t="n">
        <x:v>0</x:v>
      </x:c>
    </x:row>
    <x:row r="479" ht="64" customHeight="1">
      <x:c r="A479" s="10" t="str">
        <x:v>IEK</x:v>
      </x:c>
      <x:c r="B479" s="34" t="str">
        <x:v>030201476_</x:v>
      </x:c>
      <x:c r="C479" s="34" t="str">
        <x:v>TS-V10-0-10-55-k01</x:v>
      </x:c>
      <x:c r="D479" s="13" t="str">
        <x:v>Переключатель 1-кл. о/у белый IP55 TORS IEK (1/60)</x:v>
      </x:c>
      <x:c r="E479" s="10" t="str">
        <x:v>шт</x:v>
      </x:c>
      <x:c r="F479" s="37" t="n">
        <x:f>MAX(0,ROUNDDOWN((AG479-AF479)/AR479+0.000000001,0)*AR479)</x:f>
        <x:v>73</x:v>
      </x:c>
      <x:c r="G479" s="21" t="str">
        <x:f>IF(J479="Рассчитано",V479*(1-R479/100)-W479-P479-Q479,"н/д")</x:f>
        <x:v>н/д</x:v>
      </x:c>
      <x:c r="H479" s="13" t="str">
        <x:v>Высокий</x:v>
      </x:c>
      <x:c r="I479" s="13" t="str">
        <x:v>Высокий</x:v>
      </x:c>
      <x:c r="J479" s="13" t="str">
        <x:f>IF(L479="","Укажите валюту",IF(NOT(ISNUMBER(K479)),"Укажите объём",IF(K479&lt;=0,"Укажите объём",IF(K479&gt;F479,"Объём выше излишка",IF(COUNT(M479:O479)&lt;3,"Нужны цены",IF(COUNT(P479:R479)&lt;3,"Нужны расходы",IF(OR(M479&lt;0,N479&lt;0,O479&lt;0,O479&gt;100,P479&lt;0,Q479&lt;0,R479&lt;0,R479&gt;100),"Проверьте значения","Рассчитано")))))))</x:f>
        <x:v>Нужны цены</x:v>
      </x:c>
      <x:c r="K479" s="36" t="n">
        <x:v>73</x:v>
      </x:c>
      <x:c r="L479" s="19" t="str">
        <x:v>KZT</x:v>
      </x:c>
      <x:c r="M479" s="22"/>
      <x:c r="N479" s="22"/>
      <x:c r="O479" s="28"/>
      <x:c r="P479" s="22"/>
      <x:c r="Q479" s="22"/>
      <x:c r="R479" s="28"/>
      <x:c r="S479" s="22"/>
      <x:c r="T479" s="37" t="n">
        <x:f>K479</x:f>
        <x:v>73</x:v>
      </x:c>
      <x:c r="U479" s="21" t="str">
        <x:f>IF(J479="Рассчитано",N479*(1-O479/100),"н/д")</x:f>
        <x:v>н/д</x:v>
      </x:c>
      <x:c r="V479" s="21" t="str">
        <x:f>IF(J479="Рассчитано",T479*U479,"н/д")</x:f>
        <x:v>н/д</x:v>
      </x:c>
      <x:c r="W479" s="21" t="str">
        <x:f>IF(J479="Рассчитано",T479*M479,"н/д")</x:f>
        <x:v>н/д</x:v>
      </x:c>
      <x:c r="X479" s="21" t="str">
        <x:f>IF(J479="Рассчитано",V479-W479,"н/д")</x:f>
        <x:v>н/д</x:v>
      </x:c>
      <x:c r="Y479" s="27" t="str">
        <x:f>IF(J479="Рассчитано",IF(V479&gt;0,G479/V479,"н/д"),"н/д")</x:f>
        <x:v>н/д</x:v>
      </x:c>
      <x:c r="Z479" s="21" t="str">
        <x:f>"н/д"</x:f>
        <x:v>н/д</x:v>
      </x:c>
      <x:c r="AA479" s="21" t="str">
        <x:f>"н/д"</x:f>
        <x:v>н/д</x:v>
      </x:c>
      <x:c r="AB479" s="21" t="str">
        <x:f>"н/д"</x:f>
        <x:v>н/д</x:v>
      </x:c>
      <x:c r="AC479" s="21" t="str">
        <x:f>IF(AND(J479="Рассчитано",T479&gt;0,R479&lt;100),(W479+P479+Q479)/(T479*(1-R479/100)),"н/д")</x:f>
        <x:v>н/д</x:v>
      </x:c>
      <x:c r="AD479" s="10" t="str">
        <x:f>IF(ISNUMBER(G479),IF(G479&lt;0,"Убыток",IF(G479=0,"Без прибыли","Прибыль &gt; 0")),"Не оценён")</x:f>
        <x:v>Не оценён</x:v>
      </x:c>
      <x:c r="AE479" s="13" t="str">
        <x:f>IF(J479="Рассчитано","Выручка "&amp;TEXT(V479,"0.00")&amp;" - себестоимость "&amp;TEXT(W479,"0.00")&amp;" - комиссия "&amp;TEXT(V479*R479/100,"0.00")&amp;" - доставка "&amp;TEXT(P479,"0.00")&amp;" - прочие "&amp;TEXT(Q479,"0.00")&amp;" = "&amp;TEXT(G479,"0.00")&amp;" "&amp;L479,"Введите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9" s="24" t="n">
        <x:v>17.601034308763793</x:v>
      </x:c>
      <x:c r="AG479" s="37" t="n">
        <x:v>91</x:v>
      </x:c>
      <x:c r="AH479" s="37" t="n">
        <x:v>0</x:v>
      </x:c>
      <x:c r="AI479" s="30" t="n">
        <x:v>46266</x:v>
      </x:c>
      <x:c r="AJ479" s="37" t="n">
        <x:v>1</x:v>
      </x:c>
      <x:c r="AK479" s="10" t="str">
        <x:v>минимум</x:v>
      </x:c>
      <x:c r="AL479" s="32" t="n">
        <x:v>439.66535691761055</x:v>
      </x:c>
      <x:c r="AM47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79" s="13" t="str">
        <x:v>Проверить свободный остаток и установить цену для B2B</x:v>
      </x:c>
      <x:c r="AO479" s="13" t="str">
        <x:v>Остаток 91; прогноз 90 дней 17.60; избыток 73 шт. Будущие поступления не выставляются на продажу. Остаток на начало сентября: требуется актуализация.</x:v>
      </x:c>
      <x:c r="AP479" s="13" t="str">
        <x:v>["category_missing", "daily_stockout_data_missing", "new_order_lead_time_unknown", "reservations_unknown", "stale_stock"]</x:v>
      </x:c>
      <x:c r="AQ479" s="10" t="str">
        <x:v>IEK:030201476_</x:v>
      </x:c>
      <x:c r="AR479" s="24" t="n">
        <x:v>1</x:v>
      </x:c>
      <x:c r="AS479" s="24" t="n">
        <x:v>0</x:v>
      </x:c>
      <x:c r="AT479" s="24" t="n">
        <x:v>0</x:v>
      </x:c>
    </x:row>
    <x:row r="480" ht="64" customHeight="1">
      <x:c r="A480" s="11" t="str">
        <x:v>IEK</x:v>
      </x:c>
      <x:c r="B480" s="33" t="str">
        <x:v>030201477_</x:v>
      </x:c>
      <x:c r="C480" s="33" t="str">
        <x:v>TS-V14-0-10-55-k01</x:v>
      </x:c>
      <x:c r="D480" s="12" t="str">
        <x:v>Выключатель кнопочный о/у белый IP55 TORS IEK (1/60)</x:v>
      </x:c>
      <x:c r="E480" s="11" t="str">
        <x:v>шт</x:v>
      </x:c>
      <x:c r="F480" s="35" t="n">
        <x:f>MAX(0,ROUNDDOWN((AG480-AF480)/AR480+0.000000001,0)*AR480)</x:f>
        <x:v>54</x:v>
      </x:c>
      <x:c r="G480" s="20" t="str">
        <x:f>IF(J480="Рассчитано",V480*(1-R480/100)-W480-P480-Q480,"н/д")</x:f>
        <x:v>н/д</x:v>
      </x:c>
      <x:c r="H480" s="12" t="str">
        <x:v>Высокий</x:v>
      </x:c>
      <x:c r="I480" s="12" t="str">
        <x:v>Высокий</x:v>
      </x:c>
      <x:c r="J480" s="12" t="str">
        <x:f>IF(L480="","Укажите валюту",IF(NOT(ISNUMBER(K480)),"Укажите объём",IF(K480&lt;=0,"Укажите объём",IF(K480&gt;F480,"Объём выше излишка",IF(COUNT(M480:O480)&lt;3,"Нужны цены",IF(COUNT(P480:R480)&lt;3,"Нужны расходы",IF(OR(M480&lt;0,N480&lt;0,O480&lt;0,O480&gt;100,P480&lt;0,Q480&lt;0,R480&lt;0,R480&gt;100),"Проверьте значения","Рассчитано")))))))</x:f>
        <x:v>Нужны цены</x:v>
      </x:c>
      <x:c r="K480" s="36" t="n">
        <x:v>54</x:v>
      </x:c>
      <x:c r="L480" s="19" t="str">
        <x:v>KZT</x:v>
      </x:c>
      <x:c r="M480" s="22"/>
      <x:c r="N480" s="22"/>
      <x:c r="O480" s="28"/>
      <x:c r="P480" s="22"/>
      <x:c r="Q480" s="22"/>
      <x:c r="R480" s="28"/>
      <x:c r="S480" s="22"/>
      <x:c r="T480" s="35" t="n">
        <x:f>K480</x:f>
        <x:v>54</x:v>
      </x:c>
      <x:c r="U480" s="20" t="str">
        <x:f>IF(J480="Рассчитано",N480*(1-O480/100),"н/д")</x:f>
        <x:v>н/д</x:v>
      </x:c>
      <x:c r="V480" s="20" t="str">
        <x:f>IF(J480="Рассчитано",T480*U480,"н/д")</x:f>
        <x:v>н/д</x:v>
      </x:c>
      <x:c r="W480" s="20" t="str">
        <x:f>IF(J480="Рассчитано",T480*M480,"н/д")</x:f>
        <x:v>н/д</x:v>
      </x:c>
      <x:c r="X480" s="20" t="str">
        <x:f>IF(J480="Рассчитано",V480-W480,"н/д")</x:f>
        <x:v>н/д</x:v>
      </x:c>
      <x:c r="Y480" s="26" t="str">
        <x:f>IF(J480="Рассчитано",IF(V480&gt;0,G480/V480,"н/д"),"н/д")</x:f>
        <x:v>н/д</x:v>
      </x:c>
      <x:c r="Z480" s="20" t="str">
        <x:f>"н/д"</x:f>
        <x:v>н/д</x:v>
      </x:c>
      <x:c r="AA480" s="20" t="str">
        <x:f>"н/д"</x:f>
        <x:v>н/д</x:v>
      </x:c>
      <x:c r="AB480" s="20" t="str">
        <x:f>"н/д"</x:f>
        <x:v>н/д</x:v>
      </x:c>
      <x:c r="AC480" s="20" t="str">
        <x:f>IF(AND(J480="Рассчитано",T480&gt;0,R480&lt;100),(W480+P480+Q480)/(T480*(1-R480/100)),"н/д")</x:f>
        <x:v>н/д</x:v>
      </x:c>
      <x:c r="AD480" s="11" t="str">
        <x:f>IF(ISNUMBER(G480),IF(G480&lt;0,"Убыток",IF(G480=0,"Без прибыли","Прибыль &gt; 0")),"Не оценён")</x:f>
        <x:v>Не оценён</x:v>
      </x:c>
      <x:c r="AE480" s="12" t="str">
        <x:f>IF(J480="Рассчитано","Выручка "&amp;TEXT(V480,"0.00")&amp;" - себестоимость "&amp;TEXT(W480,"0.00")&amp;" - комиссия "&amp;TEXT(V480*R480/100,"0.00")&amp;" - доставка "&amp;TEXT(P480,"0.00")&amp;" - прочие "&amp;TEXT(Q480,"0.00")&amp;" = "&amp;TEXT(G480,"0.00")&amp;" "&amp;L480,"Введите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0" s="23" t="n">
        <x:v>1.979976843834043</x:v>
      </x:c>
      <x:c r="AG480" s="35" t="n">
        <x:v>56</x:v>
      </x:c>
      <x:c r="AH480" s="35" t="n">
        <x:v>0</x:v>
      </x:c>
      <x:c r="AI480" s="29" t="n">
        <x:v>46266</x:v>
      </x:c>
      <x:c r="AJ480" s="35" t="n">
        <x:v>1</x:v>
      </x:c>
      <x:c r="AK480" s="11" t="str">
        <x:v>минимум</x:v>
      </x:c>
      <x:c r="AL480" s="31" t="n">
        <x:v>2405.1765455527693</x:v>
      </x:c>
      <x:c r="AM48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80" s="12" t="str">
        <x:v>Проверить свободный остаток и установить цену для B2B</x:v>
      </x:c>
      <x:c r="AO480" s="12" t="str">
        <x:v>Остаток 56; прогноз 90 дней 1.98; избыток 54 шт. Будущие поступления не выставляются на продажу. Остаток на начало сентября: требуется актуализация.</x:v>
      </x:c>
      <x:c r="AP480" s="12" t="str">
        <x:v>["category_missing", "daily_stockout_data_missing", "new_order_lead_time_unknown", "reservations_unknown", "stale_stock"]</x:v>
      </x:c>
      <x:c r="AQ480" s="11" t="str">
        <x:v>IEK:030201477_</x:v>
      </x:c>
      <x:c r="AR480" s="23" t="n">
        <x:v>1</x:v>
      </x:c>
      <x:c r="AS480" s="23" t="n">
        <x:v>0</x:v>
      </x:c>
      <x:c r="AT480" s="23" t="n">
        <x:v>0</x:v>
      </x:c>
    </x:row>
    <x:row r="481" ht="64" customHeight="1">
      <x:c r="A481" s="10" t="str">
        <x:v>IEK</x:v>
      </x:c>
      <x:c r="B481" s="34" t="str">
        <x:v>030201478_</x:v>
      </x:c>
      <x:c r="C481" s="34" t="str">
        <x:v>TS-V16-0-10-55-k41</x:v>
      </x:c>
      <x:c r="D481" s="13" t="str">
        <x:v>Выключатель 1-кл. о/у серо-белый IP55 TORS IEK (1/60)</x:v>
      </x:c>
      <x:c r="E481" s="10" t="str">
        <x:v>шт</x:v>
      </x:c>
      <x:c r="F481" s="37" t="n">
        <x:f>MAX(0,ROUNDDOWN((AG481-AF481)/AR481+0.000000001,0)*AR481)</x:f>
        <x:v>30</x:v>
      </x:c>
      <x:c r="G481" s="21" t="str">
        <x:f>IF(J481="Рассчитано",V481*(1-R481/100)-W481-P481-Q481,"н/д")</x:f>
        <x:v>н/д</x:v>
      </x:c>
      <x:c r="H481" s="13" t="str">
        <x:v>Высокий</x:v>
      </x:c>
      <x:c r="I481" s="13" t="str">
        <x:v>Средний</x:v>
      </x:c>
      <x:c r="J481" s="13" t="str">
        <x:f>IF(L481="","Укажите валюту",IF(NOT(ISNUMBER(K481)),"Укажите объём",IF(K481&lt;=0,"Укажите объём",IF(K481&gt;F481,"Объём выше излишка",IF(COUNT(M481:O481)&lt;3,"Нужны цены",IF(COUNT(P481:R481)&lt;3,"Нужны расходы",IF(OR(M481&lt;0,N481&lt;0,O481&lt;0,O481&gt;100,P481&lt;0,Q481&lt;0,R481&lt;0,R481&gt;100),"Проверьте значения","Рассчитано")))))))</x:f>
        <x:v>Нужны цены</x:v>
      </x:c>
      <x:c r="K481" s="36" t="n">
        <x:v>30</x:v>
      </x:c>
      <x:c r="L481" s="19" t="str">
        <x:v>KZT</x:v>
      </x:c>
      <x:c r="M481" s="22"/>
      <x:c r="N481" s="22"/>
      <x:c r="O481" s="28"/>
      <x:c r="P481" s="22"/>
      <x:c r="Q481" s="22"/>
      <x:c r="R481" s="28"/>
      <x:c r="S481" s="22"/>
      <x:c r="T481" s="37" t="n">
        <x:f>K481</x:f>
        <x:v>30</x:v>
      </x:c>
      <x:c r="U481" s="21" t="str">
        <x:f>IF(J481="Рассчитано",N481*(1-O481/100),"н/д")</x:f>
        <x:v>н/д</x:v>
      </x:c>
      <x:c r="V481" s="21" t="str">
        <x:f>IF(J481="Рассчитано",T481*U481,"н/д")</x:f>
        <x:v>н/д</x:v>
      </x:c>
      <x:c r="W481" s="21" t="str">
        <x:f>IF(J481="Рассчитано",T481*M481,"н/д")</x:f>
        <x:v>н/д</x:v>
      </x:c>
      <x:c r="X481" s="21" t="str">
        <x:f>IF(J481="Рассчитано",V481-W481,"н/д")</x:f>
        <x:v>н/д</x:v>
      </x:c>
      <x:c r="Y481" s="27" t="str">
        <x:f>IF(J481="Рассчитано",IF(V481&gt;0,G481/V481,"н/д"),"н/д")</x:f>
        <x:v>н/д</x:v>
      </x:c>
      <x:c r="Z481" s="21" t="str">
        <x:f>"н/д"</x:f>
        <x:v>н/д</x:v>
      </x:c>
      <x:c r="AA481" s="21" t="str">
        <x:f>"н/д"</x:f>
        <x:v>н/д</x:v>
      </x:c>
      <x:c r="AB481" s="21" t="str">
        <x:f>"н/д"</x:f>
        <x:v>н/д</x:v>
      </x:c>
      <x:c r="AC481" s="21" t="str">
        <x:f>IF(AND(J481="Рассчитано",T481&gt;0,R481&lt;100),(W481+P481+Q481)/(T481*(1-R481/100)),"н/д")</x:f>
        <x:v>н/д</x:v>
      </x:c>
      <x:c r="AD481" s="10" t="str">
        <x:f>IF(ISNUMBER(G481),IF(G481&lt;0,"Убыток",IF(G481=0,"Без прибыли","Прибыль &gt; 0")),"Не оценён")</x:f>
        <x:v>Не оценён</x:v>
      </x:c>
      <x:c r="AE481" s="13" t="str">
        <x:f>IF(J481="Рассчитано","Выручка "&amp;TEXT(V481,"0.00")&amp;" - себестоимость "&amp;TEXT(W481,"0.00")&amp;" - комиссия "&amp;TEXT(V481*R481/100,"0.00")&amp;" - доставка "&amp;TEXT(P481,"0.00")&amp;" - прочие "&amp;TEXT(Q481,"0.00")&amp;" = "&amp;TEXT(G481,"0.00")&amp;" "&amp;L481,"Введите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1" s="24" t="n">
        <x:v>38.77108978194505</x:v>
      </x:c>
      <x:c r="AG481" s="37" t="n">
        <x:v>69</x:v>
      </x:c>
      <x:c r="AH481" s="37" t="n">
        <x:v>0</x:v>
      </x:c>
      <x:c r="AI481" s="30" t="n">
        <x:v>46266</x:v>
      </x:c>
      <x:c r="AJ481" s="37" t="n">
        <x:v>1</x:v>
      </x:c>
      <x:c r="AK481" s="10" t="str">
        <x:v>минимум</x:v>
      </x:c>
      <x:c r="AL481" s="32" t="n">
        <x:v>151.3422291903537</x:v>
      </x:c>
      <x:c r="AM481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481" s="13" t="str">
        <x:v>Проверить свободный остаток и установить цену для B2B</x:v>
      </x:c>
      <x:c r="AO481" s="13" t="str">
        <x:v>Остаток 69; прогноз 90 дней 38.77; избыток 30 шт. Будущие поступления не выставляются на продажу. Остаток на начало сентября: требуется актуализация.</x:v>
      </x:c>
      <x:c r="AP481" s="13" t="str">
        <x:v>["category_missing", "daily_stockout_data_missing", "new_order_lead_time_unknown", "reservations_unknown", "stale_stock", "stockout_proxy_used"]</x:v>
      </x:c>
      <x:c r="AQ481" s="10" t="str">
        <x:v>IEK:030201478_</x:v>
      </x:c>
      <x:c r="AR481" s="24" t="n">
        <x:v>1</x:v>
      </x:c>
      <x:c r="AS481" s="24" t="n">
        <x:v>0</x:v>
      </x:c>
      <x:c r="AT481" s="24" t="n">
        <x:v>0</x:v>
      </x:c>
    </x:row>
    <x:row r="482" ht="64" customHeight="1">
      <x:c r="A482" s="11" t="str">
        <x:v>IEK</x:v>
      </x:c>
      <x:c r="B482" s="33" t="str">
        <x:v>030201481_</x:v>
      </x:c>
      <x:c r="C482" s="33" t="str">
        <x:v>TS-R26-16-55-G-k41</x:v>
      </x:c>
      <x:c r="D482" s="12" t="str">
        <x:v>Розетка 2-я  о/у з/к с крышкой горизонтальная серо-белый IP55 TORS IEK (1/40)</x:v>
      </x:c>
      <x:c r="E482" s="11" t="str">
        <x:v>шт</x:v>
      </x:c>
      <x:c r="F482" s="35" t="n">
        <x:f>MAX(0,ROUNDDOWN((AG482-AF482)/AR482+0.000000001,0)*AR482)</x:f>
        <x:v>40</x:v>
      </x:c>
      <x:c r="G482" s="20" t="str">
        <x:f>IF(J482="Рассчитано",V482*(1-R482/100)-W482-P482-Q482,"н/д")</x:f>
        <x:v>н/д</x:v>
      </x:c>
      <x:c r="H482" s="12" t="str">
        <x:v>Высокий</x:v>
      </x:c>
      <x:c r="I482" s="12" t="str">
        <x:v>Средний</x:v>
      </x:c>
      <x:c r="J482" s="12" t="str">
        <x:f>IF(L482="","Укажите валюту",IF(NOT(ISNUMBER(K482)),"Укажите объём",IF(K482&lt;=0,"Укажите объём",IF(K482&gt;F482,"Объём выше излишка",IF(COUNT(M482:O482)&lt;3,"Нужны цены",IF(COUNT(P482:R482)&lt;3,"Нужны расходы",IF(OR(M482&lt;0,N482&lt;0,O482&lt;0,O482&gt;100,P482&lt;0,Q482&lt;0,R482&lt;0,R482&gt;100),"Проверьте значения","Рассчитано")))))))</x:f>
        <x:v>Нужны цены</x:v>
      </x:c>
      <x:c r="K482" s="36" t="n">
        <x:v>40</x:v>
      </x:c>
      <x:c r="L482" s="19" t="str">
        <x:v>KZT</x:v>
      </x:c>
      <x:c r="M482" s="22"/>
      <x:c r="N482" s="22"/>
      <x:c r="O482" s="28"/>
      <x:c r="P482" s="22"/>
      <x:c r="Q482" s="22"/>
      <x:c r="R482" s="28"/>
      <x:c r="S482" s="22"/>
      <x:c r="T482" s="35" t="n">
        <x:f>K482</x:f>
        <x:v>40</x:v>
      </x:c>
      <x:c r="U482" s="20" t="str">
        <x:f>IF(J482="Рассчитано",N482*(1-O482/100),"н/д")</x:f>
        <x:v>н/д</x:v>
      </x:c>
      <x:c r="V482" s="20" t="str">
        <x:f>IF(J482="Рассчитано",T482*U482,"н/д")</x:f>
        <x:v>н/д</x:v>
      </x:c>
      <x:c r="W482" s="20" t="str">
        <x:f>IF(J482="Рассчитано",T482*M482,"н/д")</x:f>
        <x:v>н/д</x:v>
      </x:c>
      <x:c r="X482" s="20" t="str">
        <x:f>IF(J482="Рассчитано",V482-W482,"н/д")</x:f>
        <x:v>н/д</x:v>
      </x:c>
      <x:c r="Y482" s="26" t="str">
        <x:f>IF(J482="Рассчитано",IF(V482&gt;0,G482/V482,"н/д"),"н/д")</x:f>
        <x:v>н/д</x:v>
      </x:c>
      <x:c r="Z482" s="20" t="str">
        <x:f>"н/д"</x:f>
        <x:v>н/д</x:v>
      </x:c>
      <x:c r="AA482" s="20" t="str">
        <x:f>"н/д"</x:f>
        <x:v>н/д</x:v>
      </x:c>
      <x:c r="AB482" s="20" t="str">
        <x:f>"н/д"</x:f>
        <x:v>н/д</x:v>
      </x:c>
      <x:c r="AC482" s="20" t="str">
        <x:f>IF(AND(J482="Рассчитано",T482&gt;0,R482&lt;100),(W482+P482+Q482)/(T482*(1-R482/100)),"н/д")</x:f>
        <x:v>н/д</x:v>
      </x:c>
      <x:c r="AD482" s="11" t="str">
        <x:f>IF(ISNUMBER(G482),IF(G482&lt;0,"Убыток",IF(G482=0,"Без прибыли","Прибыль &gt; 0")),"Не оценён")</x:f>
        <x:v>Не оценён</x:v>
      </x:c>
      <x:c r="AE482" s="12" t="str">
        <x:f>IF(J482="Рассчитано","Выручка "&amp;TEXT(V482,"0.00")&amp;" - себестоимость "&amp;TEXT(W482,"0.00")&amp;" - комиссия "&amp;TEXT(V482*R482/100,"0.00")&amp;" - доставка "&amp;TEXT(P482,"0.00")&amp;" - прочие "&amp;TEXT(Q482,"0.00")&amp;" = "&amp;TEXT(G482,"0.00")&amp;" "&amp;L482,"Введите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2" s="23" t="n">
        <x:v>36.81899148832543</x:v>
      </x:c>
      <x:c r="AG482" s="35" t="n">
        <x:v>77</x:v>
      </x:c>
      <x:c r="AH482" s="35" t="n">
        <x:v>80</x:v>
      </x:c>
      <x:c r="AI482" s="29" t="n">
        <x:v>46266</x:v>
      </x:c>
      <x:c r="AJ482" s="35" t="n">
        <x:v>1</x:v>
      </x:c>
      <x:c r="AK482" s="11" t="str">
        <x:v>минимум</x:v>
      </x:c>
      <x:c r="AL482" s="31" t="n">
        <x:v>177.84345253389662</x:v>
      </x:c>
      <x:c r="AM482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482" s="12" t="str">
        <x:v>Проверить свободный остаток и установить цену для B2B</x:v>
      </x:c>
      <x:c r="AO482" s="12" t="str">
        <x:v>Остаток 77; прогноз 90 дней 36.82; избыток 40 шт. Будущие поступления не выставляются на продажу. Остаток на начало сентября: требуется актуализация.</x:v>
      </x:c>
      <x:c r="AP482" s="12" t="str">
        <x:v>["category_missing", "daily_stockout_data_missing", "large_orders_detected", "new_order_lead_time_unknown", "reservations_unknown", "stale_stock", "stockout_proxy_used"]</x:v>
      </x:c>
      <x:c r="AQ482" s="11" t="str">
        <x:v>IEK:030201481_</x:v>
      </x:c>
      <x:c r="AR482" s="23" t="n">
        <x:v>1</x:v>
      </x:c>
      <x:c r="AS482" s="23" t="n">
        <x:v>0</x:v>
      </x:c>
      <x:c r="AT482" s="23" t="n">
        <x:v>0</x:v>
      </x:c>
    </x:row>
    <x:row r="483" ht="64" customHeight="1">
      <x:c r="A483" s="10" t="str">
        <x:v>IEK</x:v>
      </x:c>
      <x:c r="B483" s="34" t="str">
        <x:v>030201482_</x:v>
      </x:c>
      <x:c r="C483" s="34" t="str">
        <x:v>TS-G10-6-55-V-k41</x:v>
      </x:c>
      <x:c r="D483" s="13" t="str">
        <x:v>Блок розетка + выключатель горизонтальный о/у серо-белый IP55 TORS IEK (1/40)</x:v>
      </x:c>
      <x:c r="E483" s="10" t="str">
        <x:v>шт</x:v>
      </x:c>
      <x:c r="F483" s="37" t="n">
        <x:f>MAX(0,ROUNDDOWN((AG483-AF483)/AR483+0.000000001,0)*AR483)</x:f>
        <x:v>28</x:v>
      </x:c>
      <x:c r="G483" s="21" t="str">
        <x:f>IF(J483="Рассчитано",V483*(1-R483/100)-W483-P483-Q483,"н/д")</x:f>
        <x:v>н/д</x:v>
      </x:c>
      <x:c r="H483" s="13" t="str">
        <x:v>Высокий</x:v>
      </x:c>
      <x:c r="I483" s="13" t="str">
        <x:v>Высокий</x:v>
      </x:c>
      <x:c r="J483" s="13" t="str">
        <x:f>IF(L483="","Укажите валюту",IF(NOT(ISNUMBER(K483)),"Укажите объём",IF(K483&lt;=0,"Укажите объём",IF(K483&gt;F483,"Объём выше излишка",IF(COUNT(M483:O483)&lt;3,"Нужны цены",IF(COUNT(P483:R483)&lt;3,"Нужны расходы",IF(OR(M483&lt;0,N483&lt;0,O483&lt;0,O483&gt;100,P483&lt;0,Q483&lt;0,R483&lt;0,R483&gt;100),"Проверьте значения","Рассчитано")))))))</x:f>
        <x:v>Нужны цены</x:v>
      </x:c>
      <x:c r="K483" s="36" t="n">
        <x:v>28</x:v>
      </x:c>
      <x:c r="L483" s="19" t="str">
        <x:v>KZT</x:v>
      </x:c>
      <x:c r="M483" s="22"/>
      <x:c r="N483" s="22"/>
      <x:c r="O483" s="28"/>
      <x:c r="P483" s="22"/>
      <x:c r="Q483" s="22"/>
      <x:c r="R483" s="28"/>
      <x:c r="S483" s="22"/>
      <x:c r="T483" s="37" t="n">
        <x:f>K483</x:f>
        <x:v>28</x:v>
      </x:c>
      <x:c r="U483" s="21" t="str">
        <x:f>IF(J483="Рассчитано",N483*(1-O483/100),"н/д")</x:f>
        <x:v>н/д</x:v>
      </x:c>
      <x:c r="V483" s="21" t="str">
        <x:f>IF(J483="Рассчитано",T483*U483,"н/д")</x:f>
        <x:v>н/д</x:v>
      </x:c>
      <x:c r="W483" s="21" t="str">
        <x:f>IF(J483="Рассчитано",T483*M483,"н/д")</x:f>
        <x:v>н/д</x:v>
      </x:c>
      <x:c r="X483" s="21" t="str">
        <x:f>IF(J483="Рассчитано",V483-W483,"н/д")</x:f>
        <x:v>н/д</x:v>
      </x:c>
      <x:c r="Y483" s="27" t="str">
        <x:f>IF(J483="Рассчитано",IF(V483&gt;0,G483/V483,"н/д"),"н/д")</x:f>
        <x:v>н/д</x:v>
      </x:c>
      <x:c r="Z483" s="21" t="str">
        <x:f>"н/д"</x:f>
        <x:v>н/д</x:v>
      </x:c>
      <x:c r="AA483" s="21" t="str">
        <x:f>"н/д"</x:f>
        <x:v>н/д</x:v>
      </x:c>
      <x:c r="AB483" s="21" t="str">
        <x:f>"н/д"</x:f>
        <x:v>н/д</x:v>
      </x:c>
      <x:c r="AC483" s="21" t="str">
        <x:f>IF(AND(J483="Рассчитано",T483&gt;0,R483&lt;100),(W483+P483+Q483)/(T483*(1-R483/100)),"н/д")</x:f>
        <x:v>н/д</x:v>
      </x:c>
      <x:c r="AD483" s="10" t="str">
        <x:f>IF(ISNUMBER(G483),IF(G483&lt;0,"Убыток",IF(G483=0,"Без прибыли","Прибыль &gt; 0")),"Не оценён")</x:f>
        <x:v>Не оценён</x:v>
      </x:c>
      <x:c r="AE483" s="13" t="str">
        <x:f>IF(J483="Рассчитано","Выручка "&amp;TEXT(V483,"0.00")&amp;" - себестоимость "&amp;TEXT(W483,"0.00")&amp;" - комиссия "&amp;TEXT(V483*R483/100,"0.00")&amp;" - доставка "&amp;TEXT(P483,"0.00")&amp;" - прочие "&amp;TEXT(Q483,"0.00")&amp;" = "&amp;TEXT(G483,"0.00")&amp;" "&amp;L483,"Введите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3" s="24" t="n">
        <x:v>4.107032019513233</x:v>
      </x:c>
      <x:c r="AG483" s="37" t="n">
        <x:v>33</x:v>
      </x:c>
      <x:c r="AH483" s="37" t="n">
        <x:v>0</x:v>
      </x:c>
      <x:c r="AI483" s="30" t="n">
        <x:v>46266</x:v>
      </x:c>
      <x:c r="AJ483" s="37" t="n">
        <x:v>1</x:v>
      </x:c>
      <x:c r="AK483" s="10" t="str">
        <x:v>минимум</x:v>
      </x:c>
      <x:c r="AL483" s="32" t="n">
        <x:v>683.2897333843673</x:v>
      </x:c>
      <x:c r="AM4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83" s="13" t="str">
        <x:v>Проверить свободный остаток и установить цену для B2B</x:v>
      </x:c>
      <x:c r="AO483" s="13" t="str">
        <x:v>Остаток 33; прогноз 90 дней 4.11; избыток 28 шт. Будущие поступления не выставляются на продажу. Остаток на начало сентября: требуется актуализация.</x:v>
      </x:c>
      <x:c r="AP483" s="13" t="str">
        <x:v>["category_missing", "daily_stockout_data_missing", "new_order_lead_time_unknown", "reservations_unknown", "stale_stock"]</x:v>
      </x:c>
      <x:c r="AQ483" s="10" t="str">
        <x:v>IEK:030201482_</x:v>
      </x:c>
      <x:c r="AR483" s="24" t="n">
        <x:v>1</x:v>
      </x:c>
      <x:c r="AS483" s="24" t="n">
        <x:v>0</x:v>
      </x:c>
      <x:c r="AT483" s="24" t="n">
        <x:v>0</x:v>
      </x:c>
    </x:row>
    <x:row r="484" ht="64" customHeight="1">
      <x:c r="A484" s="11" t="str">
        <x:v>IEK</x:v>
      </x:c>
      <x:c r="B484" s="33" t="str">
        <x:v>030201483_</x:v>
      </x:c>
      <x:c r="C484" s="33" t="str">
        <x:v>TS-R26-16-55-V-k41</x:v>
      </x:c>
      <x:c r="D484" s="12" t="str">
        <x:v>Розетка 2-я о/у з/к с крышкой вертикальная серо-белый IP55 TORS IEK (1/40)</x:v>
      </x:c>
      <x:c r="E484" s="11" t="str">
        <x:v>шт</x:v>
      </x:c>
      <x:c r="F484" s="35" t="n">
        <x:f>MAX(0,ROUNDDOWN((AG484-AF484)/AR484+0.000000001,0)*AR484)</x:f>
        <x:v>24</x:v>
      </x:c>
      <x:c r="G484" s="20" t="str">
        <x:f>IF(J484="Рассчитано",V484*(1-R484/100)-W484-P484-Q484,"н/д")</x:f>
        <x:v>н/д</x:v>
      </x:c>
      <x:c r="H484" s="12" t="str">
        <x:v>Высокий</x:v>
      </x:c>
      <x:c r="I484" s="12" t="str">
        <x:v>Высокий</x:v>
      </x:c>
      <x:c r="J484" s="12" t="str">
        <x:f>IF(L484="","Укажите валюту",IF(NOT(ISNUMBER(K484)),"Укажите объём",IF(K484&lt;=0,"Укажите объём",IF(K484&gt;F484,"Объём выше излишка",IF(COUNT(M484:O484)&lt;3,"Нужны цены",IF(COUNT(P484:R484)&lt;3,"Нужны расходы",IF(OR(M484&lt;0,N484&lt;0,O484&lt;0,O484&gt;100,P484&lt;0,Q484&lt;0,R484&lt;0,R484&gt;100),"Проверьте значения","Рассчитано")))))))</x:f>
        <x:v>Нужны цены</x:v>
      </x:c>
      <x:c r="K484" s="36" t="n">
        <x:v>24</x:v>
      </x:c>
      <x:c r="L484" s="19" t="str">
        <x:v>KZT</x:v>
      </x:c>
      <x:c r="M484" s="22"/>
      <x:c r="N484" s="22"/>
      <x:c r="O484" s="28"/>
      <x:c r="P484" s="22"/>
      <x:c r="Q484" s="22"/>
      <x:c r="R484" s="28"/>
      <x:c r="S484" s="22"/>
      <x:c r="T484" s="35" t="n">
        <x:f>K484</x:f>
        <x:v>24</x:v>
      </x:c>
      <x:c r="U484" s="20" t="str">
        <x:f>IF(J484="Рассчитано",N484*(1-O484/100),"н/д")</x:f>
        <x:v>н/д</x:v>
      </x:c>
      <x:c r="V484" s="20" t="str">
        <x:f>IF(J484="Рассчитано",T484*U484,"н/д")</x:f>
        <x:v>н/д</x:v>
      </x:c>
      <x:c r="W484" s="20" t="str">
        <x:f>IF(J484="Рассчитано",T484*M484,"н/д")</x:f>
        <x:v>н/д</x:v>
      </x:c>
      <x:c r="X484" s="20" t="str">
        <x:f>IF(J484="Рассчитано",V484-W484,"н/д")</x:f>
        <x:v>н/д</x:v>
      </x:c>
      <x:c r="Y484" s="26" t="str">
        <x:f>IF(J484="Рассчитано",IF(V484&gt;0,G484/V484,"н/д"),"н/д")</x:f>
        <x:v>н/д</x:v>
      </x:c>
      <x:c r="Z484" s="20" t="str">
        <x:f>"н/д"</x:f>
        <x:v>н/д</x:v>
      </x:c>
      <x:c r="AA484" s="20" t="str">
        <x:f>"н/д"</x:f>
        <x:v>н/д</x:v>
      </x:c>
      <x:c r="AB484" s="20" t="str">
        <x:f>"н/д"</x:f>
        <x:v>н/д</x:v>
      </x:c>
      <x:c r="AC484" s="20" t="str">
        <x:f>IF(AND(J484="Рассчитано",T484&gt;0,R484&lt;100),(W484+P484+Q484)/(T484*(1-R484/100)),"н/д")</x:f>
        <x:v>н/д</x:v>
      </x:c>
      <x:c r="AD484" s="11" t="str">
        <x:f>IF(ISNUMBER(G484),IF(G484&lt;0,"Убыток",IF(G484=0,"Без прибыли","Прибыль &gt; 0")),"Не оценён")</x:f>
        <x:v>Не оценён</x:v>
      </x:c>
      <x:c r="AE484" s="12" t="str">
        <x:f>IF(J484="Рассчитано","Выручка "&amp;TEXT(V484,"0.00")&amp;" - себестоимость "&amp;TEXT(W484,"0.00")&amp;" - комиссия "&amp;TEXT(V484*R484/100,"0.00")&amp;" - доставка "&amp;TEXT(P484,"0.00")&amp;" - прочие "&amp;TEXT(Q484,"0.00")&amp;" = "&amp;TEXT(G484,"0.00")&amp;" "&amp;L484,"Введите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4" s="23" t="n">
        <x:v>5.478973225325434</x:v>
      </x:c>
      <x:c r="AG484" s="35" t="n">
        <x:v>30</x:v>
      </x:c>
      <x:c r="AH484" s="35" t="n">
        <x:v>0</x:v>
      </x:c>
      <x:c r="AI484" s="29" t="n">
        <x:v>46266</x:v>
      </x:c>
      <x:c r="AJ484" s="35" t="n">
        <x:v>1</x:v>
      </x:c>
      <x:c r="AK484" s="11" t="str">
        <x:v>минимум</x:v>
      </x:c>
      <x:c r="AL484" s="31" t="n">
        <x:v>465.6301792663612</x:v>
      </x:c>
      <x:c r="AM484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484" s="12" t="str">
        <x:v>Проверить свободный остаток и установить цену для B2B</x:v>
      </x:c>
      <x:c r="AO484" s="12" t="str">
        <x:v>Остаток 30; прогноз 90 дней 5.48; избыток 24 шт. Будущие поступления не выставляются на продажу. Остаток на начало сентября: требуется актуализация.</x:v>
      </x:c>
      <x:c r="AP484" s="12" t="str">
        <x:v>["category_missing", "daily_stockout_data_missing", "new_order_lead_time_unknown", "reservations_unknown", "stale_stock", "stockout_proxy_used"]</x:v>
      </x:c>
      <x:c r="AQ484" s="11" t="str">
        <x:v>IEK:030201483_</x:v>
      </x:c>
      <x:c r="AR484" s="23" t="n">
        <x:v>1</x:v>
      </x:c>
      <x:c r="AS484" s="23" t="n">
        <x:v>0</x:v>
      </x:c>
      <x:c r="AT484" s="23" t="n">
        <x:v>0</x:v>
      </x:c>
    </x:row>
    <x:row r="485" ht="64" customHeight="1">
      <x:c r="A485" s="10" t="str">
        <x:v>IEK</x:v>
      </x:c>
      <x:c r="B485" s="34" t="str">
        <x:v>030201484_</x:v>
      </x:c>
      <x:c r="C485" s="34" t="str">
        <x:v>TS-V22-0-10-55-k41</x:v>
      </x:c>
      <x:c r="D485" s="13" t="str">
        <x:v>Выключатель 2-кл. проходной о/у серо-белый IP55 TORS IEK (1/80)</x:v>
      </x:c>
      <x:c r="E485" s="10" t="str">
        <x:v>шт</x:v>
      </x:c>
      <x:c r="F485" s="37" t="n">
        <x:f>MAX(0,ROUNDDOWN((AG485-AF485)/AR485+0.000000001,0)*AR485)</x:f>
        <x:v>76</x:v>
      </x:c>
      <x:c r="G485" s="21" t="str">
        <x:f>IF(J485="Рассчитано",V485*(1-R485/100)-W485-P485-Q485,"н/д")</x:f>
        <x:v>н/д</x:v>
      </x:c>
      <x:c r="H485" s="13" t="str">
        <x:v>Высокий</x:v>
      </x:c>
      <x:c r="I485" s="13" t="str">
        <x:v>Высокий</x:v>
      </x:c>
      <x:c r="J485" s="13" t="str">
        <x:f>IF(L485="","Укажите валюту",IF(NOT(ISNUMBER(K485)),"Укажите объём",IF(K485&lt;=0,"Укажите объём",IF(K485&gt;F485,"Объём выше излишка",IF(COUNT(M485:O485)&lt;3,"Нужны цены",IF(COUNT(P485:R485)&lt;3,"Нужны расходы",IF(OR(M485&lt;0,N485&lt;0,O485&lt;0,O485&gt;100,P485&lt;0,Q485&lt;0,R485&lt;0,R485&gt;100),"Проверьте значения","Рассчитано")))))))</x:f>
        <x:v>Нужны цены</x:v>
      </x:c>
      <x:c r="K485" s="36" t="n">
        <x:v>76</x:v>
      </x:c>
      <x:c r="L485" s="19" t="str">
        <x:v>KZT</x:v>
      </x:c>
      <x:c r="M485" s="22"/>
      <x:c r="N485" s="22"/>
      <x:c r="O485" s="28"/>
      <x:c r="P485" s="22"/>
      <x:c r="Q485" s="22"/>
      <x:c r="R485" s="28"/>
      <x:c r="S485" s="22"/>
      <x:c r="T485" s="37" t="n">
        <x:f>K485</x:f>
        <x:v>76</x:v>
      </x:c>
      <x:c r="U485" s="21" t="str">
        <x:f>IF(J485="Рассчитано",N485*(1-O485/100),"н/д")</x:f>
        <x:v>н/д</x:v>
      </x:c>
      <x:c r="V485" s="21" t="str">
        <x:f>IF(J485="Рассчитано",T485*U485,"н/д")</x:f>
        <x:v>н/д</x:v>
      </x:c>
      <x:c r="W485" s="21" t="str">
        <x:f>IF(J485="Рассчитано",T485*M485,"н/д")</x:f>
        <x:v>н/д</x:v>
      </x:c>
      <x:c r="X485" s="21" t="str">
        <x:f>IF(J485="Рассчитано",V485-W485,"н/д")</x:f>
        <x:v>н/д</x:v>
      </x:c>
      <x:c r="Y485" s="27" t="str">
        <x:f>IF(J485="Рассчитано",IF(V485&gt;0,G485/V485,"н/д"),"н/д")</x:f>
        <x:v>н/д</x:v>
      </x:c>
      <x:c r="Z485" s="21" t="str">
        <x:f>"н/д"</x:f>
        <x:v>н/д</x:v>
      </x:c>
      <x:c r="AA485" s="21" t="str">
        <x:f>"н/д"</x:f>
        <x:v>н/д</x:v>
      </x:c>
      <x:c r="AB485" s="21" t="str">
        <x:f>"н/д"</x:f>
        <x:v>н/д</x:v>
      </x:c>
      <x:c r="AC485" s="21" t="str">
        <x:f>IF(AND(J485="Рассчитано",T485&gt;0,R485&lt;100),(W485+P485+Q485)/(T485*(1-R485/100)),"н/д")</x:f>
        <x:v>н/д</x:v>
      </x:c>
      <x:c r="AD485" s="10" t="str">
        <x:f>IF(ISNUMBER(G485),IF(G485&lt;0,"Убыток",IF(G485=0,"Без прибыли","Прибыль &gt; 0")),"Не оценён")</x:f>
        <x:v>Не оценён</x:v>
      </x:c>
      <x:c r="AE485" s="13" t="str">
        <x:f>IF(J485="Рассчитано","Выручка "&amp;TEXT(V485,"0.00")&amp;" - себестоимость "&amp;TEXT(W485,"0.00")&amp;" - комиссия "&amp;TEXT(V485*R485/100,"0.00")&amp;" - доставка "&amp;TEXT(P485,"0.00")&amp;" - прочие "&amp;TEXT(Q485,"0.00")&amp;" = "&amp;TEXT(G485,"0.00")&amp;" "&amp;L485,"Введите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5" s="24" t="n">
        <x:v>1.319984562556025</x:v>
      </x:c>
      <x:c r="AG485" s="37" t="n">
        <x:v>78</x:v>
      </x:c>
      <x:c r="AH485" s="37" t="n">
        <x:v>0</x:v>
      </x:c>
      <x:c r="AI485" s="30" t="n">
        <x:v>46266</x:v>
      </x:c>
      <x:c r="AJ485" s="37" t="n">
        <x:v>1</x:v>
      </x:c>
      <x:c r="AK485" s="10" t="str">
        <x:v>минимум</x:v>
      </x:c>
      <x:c r="AL485" s="32" t="n">
        <x:v>5025.100996958464</x:v>
      </x:c>
      <x:c r="AM4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85" s="13" t="str">
        <x:v>Проверить свободный остаток и установить цену для B2B</x:v>
      </x:c>
      <x:c r="AO485" s="13" t="str">
        <x:v>Остаток 78; прогноз 90 дней 1.32; избыток 76 шт. Будущие поступления не выставляются на продажу. Остаток на начало сентября: требуется актуализация.</x:v>
      </x:c>
      <x:c r="AP485" s="13" t="str">
        <x:v>["category_missing", "daily_stockout_data_missing", "new_order_lead_time_unknown", "reservations_unknown", "stale_stock"]</x:v>
      </x:c>
      <x:c r="AQ485" s="10" t="str">
        <x:v>IEK:030201484_</x:v>
      </x:c>
      <x:c r="AR485" s="24" t="n">
        <x:v>1</x:v>
      </x:c>
      <x:c r="AS485" s="24" t="n">
        <x:v>0</x:v>
      </x:c>
      <x:c r="AT485" s="24" t="n">
        <x:v>0</x:v>
      </x:c>
    </x:row>
    <x:row r="486" ht="64" customHeight="1">
      <x:c r="A486" s="11" t="str">
        <x:v>IEK</x:v>
      </x:c>
      <x:c r="B486" s="33" t="str">
        <x:v>030201485_</x:v>
      </x:c>
      <x:c r="C486" s="33" t="str">
        <x:v>TS-V10-0-10-55-k41</x:v>
      </x:c>
      <x:c r="D486" s="12" t="str">
        <x:v>Переключатель 1-кл. о/у серо-белый IP55 TORS IEK (1/60)</x:v>
      </x:c>
      <x:c r="E486" s="11" t="str">
        <x:v>шт</x:v>
      </x:c>
      <x:c r="F486" s="35" t="n">
        <x:f>MAX(0,ROUNDDOWN((AG486-AF486)/AR486+0.000000001,0)*AR486)</x:f>
        <x:v>102</x:v>
      </x:c>
      <x:c r="G486" s="20" t="str">
        <x:f>IF(J486="Рассчитано",V486*(1-R486/100)-W486-P486-Q486,"н/д")</x:f>
        <x:v>н/д</x:v>
      </x:c>
      <x:c r="H486" s="12" t="str">
        <x:v>Высокий</x:v>
      </x:c>
      <x:c r="I486" s="12" t="str">
        <x:v>Высокий</x:v>
      </x:c>
      <x:c r="J486" s="12" t="str">
        <x:f>IF(L486="","Укажите валюту",IF(NOT(ISNUMBER(K486)),"Укажите объём",IF(K486&lt;=0,"Укажите объём",IF(K486&gt;F486,"Объём выше излишка",IF(COUNT(M486:O486)&lt;3,"Нужны цены",IF(COUNT(P486:R486)&lt;3,"Нужны расходы",IF(OR(M486&lt;0,N486&lt;0,O486&lt;0,O486&gt;100,P486&lt;0,Q486&lt;0,R486&lt;0,R486&gt;100),"Проверьте значения","Рассчитано")))))))</x:f>
        <x:v>Нужны цены</x:v>
      </x:c>
      <x:c r="K486" s="36" t="n">
        <x:v>102</x:v>
      </x:c>
      <x:c r="L486" s="19" t="str">
        <x:v>KZT</x:v>
      </x:c>
      <x:c r="M486" s="22"/>
      <x:c r="N486" s="22"/>
      <x:c r="O486" s="28"/>
      <x:c r="P486" s="22"/>
      <x:c r="Q486" s="22"/>
      <x:c r="R486" s="28"/>
      <x:c r="S486" s="22"/>
      <x:c r="T486" s="35" t="n">
        <x:f>K486</x:f>
        <x:v>102</x:v>
      </x:c>
      <x:c r="U486" s="20" t="str">
        <x:f>IF(J486="Рассчитано",N486*(1-O486/100),"н/д")</x:f>
        <x:v>н/д</x:v>
      </x:c>
      <x:c r="V486" s="20" t="str">
        <x:f>IF(J486="Рассчитано",T486*U486,"н/д")</x:f>
        <x:v>н/д</x:v>
      </x:c>
      <x:c r="W486" s="20" t="str">
        <x:f>IF(J486="Рассчитано",T486*M486,"н/д")</x:f>
        <x:v>н/д</x:v>
      </x:c>
      <x:c r="X486" s="20" t="str">
        <x:f>IF(J486="Рассчитано",V486-W486,"н/д")</x:f>
        <x:v>н/д</x:v>
      </x:c>
      <x:c r="Y486" s="26" t="str">
        <x:f>IF(J486="Рассчитано",IF(V486&gt;0,G486/V486,"н/д"),"н/д")</x:f>
        <x:v>н/д</x:v>
      </x:c>
      <x:c r="Z486" s="20" t="str">
        <x:f>"н/д"</x:f>
        <x:v>н/д</x:v>
      </x:c>
      <x:c r="AA486" s="20" t="str">
        <x:f>"н/д"</x:f>
        <x:v>н/д</x:v>
      </x:c>
      <x:c r="AB486" s="20" t="str">
        <x:f>"н/д"</x:f>
        <x:v>н/д</x:v>
      </x:c>
      <x:c r="AC486" s="20" t="str">
        <x:f>IF(AND(J486="Рассчитано",T486&gt;0,R486&lt;100),(W486+P486+Q486)/(T486*(1-R486/100)),"н/д")</x:f>
        <x:v>н/д</x:v>
      </x:c>
      <x:c r="AD486" s="11" t="str">
        <x:f>IF(ISNUMBER(G486),IF(G486&lt;0,"Убыток",IF(G486=0,"Без прибыли","Прибыль &gt; 0")),"Не оценён")</x:f>
        <x:v>Не оценён</x:v>
      </x:c>
      <x:c r="AE486" s="12" t="str">
        <x:f>IF(J486="Рассчитано","Выручка "&amp;TEXT(V486,"0.00")&amp;" - себестоимость "&amp;TEXT(W486,"0.00")&amp;" - комиссия "&amp;TEXT(V486*R486/100,"0.00")&amp;" - доставка "&amp;TEXT(P486,"0.00")&amp;" - прочие "&amp;TEXT(Q486,"0.00")&amp;" = "&amp;TEXT(G486,"0.00")&amp;" "&amp;L486,"Введите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6" s="23" t="n">
        <x:v>7.084356099355228</x:v>
      </x:c>
      <x:c r="AG486" s="35" t="n">
        <x:v>110</x:v>
      </x:c>
      <x:c r="AH486" s="35" t="n">
        <x:v>0</x:v>
      </x:c>
      <x:c r="AI486" s="29" t="n">
        <x:v>46266</x:v>
      </x:c>
      <x:c r="AJ486" s="35" t="n">
        <x:v>1</x:v>
      </x:c>
      <x:c r="AK486" s="11" t="str">
        <x:v>минимум</x:v>
      </x:c>
      <x:c r="AL486" s="31" t="n">
        <x:v>1320.4177271051565</x:v>
      </x:c>
      <x:c r="AM48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86" s="12" t="str">
        <x:v>Проверить свободный остаток и установить цену для B2B</x:v>
      </x:c>
      <x:c r="AO486" s="12" t="str">
        <x:v>Остаток 110; прогноз 90 дней 7.08; избыток 102 шт. Будущие поступления не выставляются на продажу. Остаток на начало сентября: требуется актуализация.</x:v>
      </x:c>
      <x:c r="AP486" s="12" t="str">
        <x:v>["category_missing", "daily_stockout_data_missing", "new_order_lead_time_unknown", "reservations_unknown", "stale_stock"]</x:v>
      </x:c>
      <x:c r="AQ486" s="11" t="str">
        <x:v>IEK:030201485_</x:v>
      </x:c>
      <x:c r="AR486" s="23" t="n">
        <x:v>1</x:v>
      </x:c>
      <x:c r="AS486" s="23" t="n">
        <x:v>0</x:v>
      </x:c>
      <x:c r="AT486" s="23" t="n">
        <x:v>0</x:v>
      </x:c>
    </x:row>
    <x:row r="487" ht="64" customHeight="1">
      <x:c r="A487" s="10" t="str">
        <x:v>IEK</x:v>
      </x:c>
      <x:c r="B487" s="34" t="str">
        <x:v>030201486_</x:v>
      </x:c>
      <x:c r="C487" s="34" t="str">
        <x:v>TS-V14-0-10-55-k41</x:v>
      </x:c>
      <x:c r="D487" s="13" t="str">
        <x:v>Выключатель кнопочный о/у серо-белый IP55 TORS IEK (1/60)</x:v>
      </x:c>
      <x:c r="E487" s="10" t="str">
        <x:v>шт</x:v>
      </x:c>
      <x:c r="F487" s="37" t="n">
        <x:f>MAX(0,ROUNDDOWN((AG487-AF487)/AR487+0.000000001,0)*AR487)</x:f>
        <x:v>50</x:v>
      </x:c>
      <x:c r="G487" s="21" t="str">
        <x:f>IF(J487="Рассчитано",V487*(1-R487/100)-W487-P487-Q487,"н/д")</x:f>
        <x:v>н/д</x:v>
      </x:c>
      <x:c r="H487" s="13" t="str">
        <x:v>Высокий</x:v>
      </x:c>
      <x:c r="I487" s="13" t="str">
        <x:v>Высокий</x:v>
      </x:c>
      <x:c r="J487" s="13" t="str">
        <x:f>IF(L487="","Укажите валюту",IF(NOT(ISNUMBER(K487)),"Укажите объём",IF(K487&lt;=0,"Укажите объём",IF(K487&gt;F487,"Объём выше излишка",IF(COUNT(M487:O487)&lt;3,"Нужны цены",IF(COUNT(P487:R487)&lt;3,"Нужны расходы",IF(OR(M487&lt;0,N487&lt;0,O487&lt;0,O487&gt;100,P487&lt;0,Q487&lt;0,R487&lt;0,R487&gt;100),"Проверьте значения","Рассчитано")))))))</x:f>
        <x:v>Нужны цены</x:v>
      </x:c>
      <x:c r="K487" s="36" t="n">
        <x:v>50</x:v>
      </x:c>
      <x:c r="L487" s="19" t="str">
        <x:v>KZT</x:v>
      </x:c>
      <x:c r="M487" s="22"/>
      <x:c r="N487" s="22"/>
      <x:c r="O487" s="28"/>
      <x:c r="P487" s="22"/>
      <x:c r="Q487" s="22"/>
      <x:c r="R487" s="28"/>
      <x:c r="S487" s="22"/>
      <x:c r="T487" s="37" t="n">
        <x:f>K487</x:f>
        <x:v>50</x:v>
      </x:c>
      <x:c r="U487" s="21" t="str">
        <x:f>IF(J487="Рассчитано",N487*(1-O487/100),"н/д")</x:f>
        <x:v>н/д</x:v>
      </x:c>
      <x:c r="V487" s="21" t="str">
        <x:f>IF(J487="Рассчитано",T487*U487,"н/д")</x:f>
        <x:v>н/д</x:v>
      </x:c>
      <x:c r="W487" s="21" t="str">
        <x:f>IF(J487="Рассчитано",T487*M487,"н/д")</x:f>
        <x:v>н/д</x:v>
      </x:c>
      <x:c r="X487" s="21" t="str">
        <x:f>IF(J487="Рассчитано",V487-W487,"н/д")</x:f>
        <x:v>н/д</x:v>
      </x:c>
      <x:c r="Y487" s="27" t="str">
        <x:f>IF(J487="Рассчитано",IF(V487&gt;0,G487/V487,"н/д"),"н/д")</x:f>
        <x:v>н/д</x:v>
      </x:c>
      <x:c r="Z487" s="21" t="str">
        <x:f>"н/д"</x:f>
        <x:v>н/д</x:v>
      </x:c>
      <x:c r="AA487" s="21" t="str">
        <x:f>"н/д"</x:f>
        <x:v>н/д</x:v>
      </x:c>
      <x:c r="AB487" s="21" t="str">
        <x:f>"н/д"</x:f>
        <x:v>н/д</x:v>
      </x:c>
      <x:c r="AC487" s="21" t="str">
        <x:f>IF(AND(J487="Рассчитано",T487&gt;0,R487&lt;100),(W487+P487+Q487)/(T487*(1-R487/100)),"н/д")</x:f>
        <x:v>н/д</x:v>
      </x:c>
      <x:c r="AD487" s="10" t="str">
        <x:f>IF(ISNUMBER(G487),IF(G487&lt;0,"Убыток",IF(G487=0,"Без прибыли","Прибыль &gt; 0")),"Не оценён")</x:f>
        <x:v>Не оценён</x:v>
      </x:c>
      <x:c r="AE487" s="13" t="str">
        <x:f>IF(J487="Рассчитано","Выручка "&amp;TEXT(V487,"0.00")&amp;" - себестоимость "&amp;TEXT(W487,"0.00")&amp;" - комиссия "&amp;TEXT(V487*R487/100,"0.00")&amp;" - доставка "&amp;TEXT(P487,"0.00")&amp;" - прочие "&amp;TEXT(Q487,"0.00")&amp;" = "&amp;TEXT(G487,"0.00")&amp;" "&amp;L487,"Введите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7" s="24" t="n">
        <x:v>3.3735005723126474</x:v>
      </x:c>
      <x:c r="AG487" s="37" t="n">
        <x:v>54</x:v>
      </x:c>
      <x:c r="AH487" s="37" t="n">
        <x:v>0</x:v>
      </x:c>
      <x:c r="AI487" s="30" t="n">
        <x:v>46266</x:v>
      </x:c>
      <x:c r="AJ487" s="37" t="n">
        <x:v>1</x:v>
      </x:c>
      <x:c r="AK487" s="10" t="str">
        <x:v>минимум</x:v>
      </x:c>
      <x:c r="AL487" s="32" t="n">
        <x:v>1361.231579705625</x:v>
      </x:c>
      <x:c r="AM48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87" s="13" t="str">
        <x:v>Проверить свободный остаток и установить цену для B2B</x:v>
      </x:c>
      <x:c r="AO487" s="13" t="str">
        <x:v>Остаток 54; прогноз 90 дней 3.37; избыток 50 шт. Будущие поступления не выставляются на продажу. Остаток на начало сентября: требуется актуализация.</x:v>
      </x:c>
      <x:c r="AP487" s="13" t="str">
        <x:v>["category_missing", "daily_stockout_data_missing", "new_order_lead_time_unknown", "reservations_unknown", "stale_stock"]</x:v>
      </x:c>
      <x:c r="AQ487" s="10" t="str">
        <x:v>IEK:030201486_</x:v>
      </x:c>
      <x:c r="AR487" s="24" t="n">
        <x:v>1</x:v>
      </x:c>
      <x:c r="AS487" s="24" t="n">
        <x:v>0</x:v>
      </x:c>
      <x:c r="AT487" s="24" t="n">
        <x:v>0</x:v>
      </x:c>
    </x:row>
    <x:row r="488" ht="64" customHeight="1">
      <x:c r="A488" s="11" t="str">
        <x:v>IEK</x:v>
      </x:c>
      <x:c r="B488" s="33" t="str">
        <x:v>080800030_</x:v>
      </x:c>
      <x:c r="C488" s="33" t="str">
        <x:v>MLS10-230-K06</x:v>
      </x:c>
      <x:c r="D488" s="12" t="str">
        <x:v>Сиг. лампа ЛС-47 (зеленый неон) IEK (12/240)</x:v>
      </x:c>
      <x:c r="E488" s="11" t="str">
        <x:v>шт</x:v>
      </x:c>
      <x:c r="F488" s="35" t="n">
        <x:f>MAX(0,ROUNDDOWN((AG488-AF488)/AR488+0.000000001,0)*AR488)</x:f>
        <x:v>9</x:v>
      </x:c>
      <x:c r="G488" s="20" t="str">
        <x:f>IF(J488="Рассчитано",V488*(1-R488/100)-W488-P488-Q488,"н/д")</x:f>
        <x:v>н/д</x:v>
      </x:c>
      <x:c r="H488" s="12" t="str">
        <x:v>Высокий</x:v>
      </x:c>
      <x:c r="I488" s="12" t="str">
        <x:v>Средний</x:v>
      </x:c>
      <x:c r="J488" s="12" t="str">
        <x:f>IF(L488="","Укажите валюту",IF(NOT(ISNUMBER(K488)),"Укажите объём",IF(K488&lt;=0,"Укажите объём",IF(K488&gt;F488,"Объём выше излишка",IF(COUNT(M488:O488)&lt;3,"Нужны цены",IF(COUNT(P488:R488)&lt;3,"Нужны расходы",IF(OR(M488&lt;0,N488&lt;0,O488&lt;0,O488&gt;100,P488&lt;0,Q488&lt;0,R488&lt;0,R488&gt;100),"Проверьте значения","Рассчитано")))))))</x:f>
        <x:v>Нужны цены</x:v>
      </x:c>
      <x:c r="K488" s="36" t="n">
        <x:v>9</x:v>
      </x:c>
      <x:c r="L488" s="19" t="str">
        <x:v>KZT</x:v>
      </x:c>
      <x:c r="M488" s="22"/>
      <x:c r="N488" s="22"/>
      <x:c r="O488" s="28"/>
      <x:c r="P488" s="22"/>
      <x:c r="Q488" s="22"/>
      <x:c r="R488" s="28"/>
      <x:c r="S488" s="22"/>
      <x:c r="T488" s="35" t="n">
        <x:f>K488</x:f>
        <x:v>9</x:v>
      </x:c>
      <x:c r="U488" s="20" t="str">
        <x:f>IF(J488="Рассчитано",N488*(1-O488/100),"н/д")</x:f>
        <x:v>н/д</x:v>
      </x:c>
      <x:c r="V488" s="20" t="str">
        <x:f>IF(J488="Рассчитано",T488*U488,"н/д")</x:f>
        <x:v>н/д</x:v>
      </x:c>
      <x:c r="W488" s="20" t="str">
        <x:f>IF(J488="Рассчитано",T488*M488,"н/д")</x:f>
        <x:v>н/д</x:v>
      </x:c>
      <x:c r="X488" s="20" t="str">
        <x:f>IF(J488="Рассчитано",V488-W488,"н/д")</x:f>
        <x:v>н/д</x:v>
      </x:c>
      <x:c r="Y488" s="26" t="str">
        <x:f>IF(J488="Рассчитано",IF(V488&gt;0,G488/V488,"н/д"),"н/д")</x:f>
        <x:v>н/д</x:v>
      </x:c>
      <x:c r="Z488" s="20" t="str">
        <x:f>"н/д"</x:f>
        <x:v>н/д</x:v>
      </x:c>
      <x:c r="AA488" s="20" t="str">
        <x:f>"н/д"</x:f>
        <x:v>н/д</x:v>
      </x:c>
      <x:c r="AB488" s="20" t="str">
        <x:f>"н/д"</x:f>
        <x:v>н/д</x:v>
      </x:c>
      <x:c r="AC488" s="20" t="str">
        <x:f>IF(AND(J488="Рассчитано",T488&gt;0,R488&lt;100),(W488+P488+Q488)/(T488*(1-R488/100)),"н/д")</x:f>
        <x:v>н/д</x:v>
      </x:c>
      <x:c r="AD488" s="11" t="str">
        <x:f>IF(ISNUMBER(G488),IF(G488&lt;0,"Убыток",IF(G488=0,"Без прибыли","Прибыль &gt; 0")),"Не оценён")</x:f>
        <x:v>Не оценён</x:v>
      </x:c>
      <x:c r="AE488" s="12" t="str">
        <x:f>IF(J488="Рассчитано","Выручка "&amp;TEXT(V488,"0.00")&amp;" - себестоимость "&amp;TEXT(W488,"0.00")&amp;" - комиссия "&amp;TEXT(V488*R488/100,"0.00")&amp;" - доставка "&amp;TEXT(P488,"0.00")&amp;" - прочие "&amp;TEXT(Q488,"0.00")&amp;" = "&amp;TEXT(G488,"0.00")&amp;" "&amp;L488,"Введите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8" s="23" t="n">
        <x:v>38.87235503458563</x:v>
      </x:c>
      <x:c r="AG488" s="35" t="n">
        <x:v>48</x:v>
      </x:c>
      <x:c r="AH488" s="35" t="n">
        <x:v>0</x:v>
      </x:c>
      <x:c r="AI488" s="29" t="n">
        <x:v>46266</x:v>
      </x:c>
      <x:c r="AJ488" s="35" t="n">
        <x:v>12</x:v>
      </x:c>
      <x:c r="AK488" s="11" t="str">
        <x:v>минимум</x:v>
      </x:c>
      <x:c r="AL488" s="31" t="n">
        <x:v>105.00728480521593</x:v>
      </x:c>
      <x:c r="AM48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88" s="12" t="str">
        <x:v>Проверить свободный остаток и установить цену для B2B</x:v>
      </x:c>
      <x:c r="AO488" s="12" t="str">
        <x:v>Остаток 48; прогноз 90 дней 38.87; избыток 9 шт. Будущие поступления не выставляются на продажу. Остаток на начало сентября: требуется актуализация.</x:v>
      </x:c>
      <x:c r="AP488" s="12" t="str">
        <x:v>["category_missing", "daily_stockout_data_missing", "large_orders_detected", "new_order_lead_time_unknown", "reservations_unknown", "stale_stock", "transaction_month_mismatch"]</x:v>
      </x:c>
      <x:c r="AQ488" s="11" t="str">
        <x:v>IEK:080800030_</x:v>
      </x:c>
      <x:c r="AR488" s="23" t="n">
        <x:v>1</x:v>
      </x:c>
      <x:c r="AS488" s="23" t="n">
        <x:v>0</x:v>
      </x:c>
      <x:c r="AT488" s="23" t="n">
        <x:v>0</x:v>
      </x:c>
    </x:row>
    <x:row r="489" ht="64" customHeight="1">
      <x:c r="A489" s="10" t="str">
        <x:v>IEK</x:v>
      </x:c>
      <x:c r="B489" s="34" t="str">
        <x:v>080800031_</x:v>
      </x:c>
      <x:c r="C489" s="34" t="str">
        <x:v>MLS10-230-K04</x:v>
      </x:c>
      <x:c r="D489" s="13" t="str">
        <x:v>Сиг. лампа ЛС-47 (красный неон) IEK (12/240)</x:v>
      </x:c>
      <x:c r="E489" s="10" t="str">
        <x:v>шт</x:v>
      </x:c>
      <x:c r="F489" s="37" t="n">
        <x:f>MAX(0,ROUNDDOWN((AG489-AF489)/AR489+0.000000001,0)*AR489)</x:f>
        <x:v>12</x:v>
      </x:c>
      <x:c r="G489" s="21" t="str">
        <x:f>IF(J489="Рассчитано",V489*(1-R489/100)-W489-P489-Q489,"н/д")</x:f>
        <x:v>н/д</x:v>
      </x:c>
      <x:c r="H489" s="13" t="str">
        <x:v>Высокий</x:v>
      </x:c>
      <x:c r="I489" s="13" t="str">
        <x:v>Средний</x:v>
      </x:c>
      <x:c r="J489" s="13" t="str">
        <x:f>IF(L489="","Укажите валюту",IF(NOT(ISNUMBER(K489)),"Укажите объём",IF(K489&lt;=0,"Укажите объём",IF(K489&gt;F489,"Объём выше излишка",IF(COUNT(M489:O489)&lt;3,"Нужны цены",IF(COUNT(P489:R489)&lt;3,"Нужны расходы",IF(OR(M489&lt;0,N489&lt;0,O489&lt;0,O489&gt;100,P489&lt;0,Q489&lt;0,R489&lt;0,R489&gt;100),"Проверьте значения","Рассчитано")))))))</x:f>
        <x:v>Нужны цены</x:v>
      </x:c>
      <x:c r="K489" s="36" t="n">
        <x:v>12</x:v>
      </x:c>
      <x:c r="L489" s="19" t="str">
        <x:v>KZT</x:v>
      </x:c>
      <x:c r="M489" s="22"/>
      <x:c r="N489" s="22"/>
      <x:c r="O489" s="28"/>
      <x:c r="P489" s="22"/>
      <x:c r="Q489" s="22"/>
      <x:c r="R489" s="28"/>
      <x:c r="S489" s="22"/>
      <x:c r="T489" s="37" t="n">
        <x:f>K489</x:f>
        <x:v>12</x:v>
      </x:c>
      <x:c r="U489" s="21" t="str">
        <x:f>IF(J489="Рассчитано",N489*(1-O489/100),"н/д")</x:f>
        <x:v>н/д</x:v>
      </x:c>
      <x:c r="V489" s="21" t="str">
        <x:f>IF(J489="Рассчитано",T489*U489,"н/д")</x:f>
        <x:v>н/д</x:v>
      </x:c>
      <x:c r="W489" s="21" t="str">
        <x:f>IF(J489="Рассчитано",T489*M489,"н/д")</x:f>
        <x:v>н/д</x:v>
      </x:c>
      <x:c r="X489" s="21" t="str">
        <x:f>IF(J489="Рассчитано",V489-W489,"н/д")</x:f>
        <x:v>н/д</x:v>
      </x:c>
      <x:c r="Y489" s="27" t="str">
        <x:f>IF(J489="Рассчитано",IF(V489&gt;0,G489/V489,"н/д"),"н/д")</x:f>
        <x:v>н/д</x:v>
      </x:c>
      <x:c r="Z489" s="21" t="str">
        <x:f>"н/д"</x:f>
        <x:v>н/д</x:v>
      </x:c>
      <x:c r="AA489" s="21" t="str">
        <x:f>"н/д"</x:f>
        <x:v>н/д</x:v>
      </x:c>
      <x:c r="AB489" s="21" t="str">
        <x:f>"н/д"</x:f>
        <x:v>н/д</x:v>
      </x:c>
      <x:c r="AC489" s="21" t="str">
        <x:f>IF(AND(J489="Рассчитано",T489&gt;0,R489&lt;100),(W489+P489+Q489)/(T489*(1-R489/100)),"н/д")</x:f>
        <x:v>н/д</x:v>
      </x:c>
      <x:c r="AD489" s="10" t="str">
        <x:f>IF(ISNUMBER(G489),IF(G489&lt;0,"Убыток",IF(G489=0,"Без прибыли","Прибыль &gt; 0")),"Не оценён")</x:f>
        <x:v>Не оценён</x:v>
      </x:c>
      <x:c r="AE489" s="13" t="str">
        <x:f>IF(J489="Рассчитано","Выручка "&amp;TEXT(V489,"0.00")&amp;" - себестоимость "&amp;TEXT(W489,"0.00")&amp;" - комиссия "&amp;TEXT(V489*R489/100,"0.00")&amp;" - доставка "&amp;TEXT(P489,"0.00")&amp;" - прочие "&amp;TEXT(Q489,"0.00")&amp;" = "&amp;TEXT(G489,"0.00")&amp;" "&amp;L489,"Введите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9" s="24" t="n">
        <x:v>34.31810137665002</x:v>
      </x:c>
      <x:c r="AG489" s="37" t="n">
        <x:v>47</x:v>
      </x:c>
      <x:c r="AH489" s="37" t="n">
        <x:v>0</x:v>
      </x:c>
      <x:c r="AI489" s="30" t="n">
        <x:v>46266</x:v>
      </x:c>
      <x:c r="AJ489" s="37" t="n">
        <x:v>12</x:v>
      </x:c>
      <x:c r="AK489" s="10" t="str">
        <x:v>минимум</x:v>
      </x:c>
      <x:c r="AL489" s="32" t="n">
        <x:v>116.46452221029665</x:v>
      </x:c>
      <x:c r="AM489" s="13" t="str">
        <x:v>Остаток на начало сентября; Резервы неизвестны; Нет ежедневных данных доступности. Запас выше прогноза на 90 дней</x:v>
      </x:c>
      <x:c r="AN489" s="13" t="str">
        <x:v>Проверить свободный остаток и установить цену для B2B</x:v>
      </x:c>
      <x:c r="AO489" s="13" t="str">
        <x:v>Остаток 47; прогноз 90 дней 34.32; избыток 12 шт. Будущие поступления не выставляются на продажу. Остаток на начало сентября: требуется актуализация.</x:v>
      </x:c>
      <x:c r="AP489" s="13" t="str">
        <x:v>["category_missing", "daily_stockout_data_missing", "new_order_lead_time_unknown", "reservations_unknown", "stale_stock"]</x:v>
      </x:c>
      <x:c r="AQ489" s="10" t="str">
        <x:v>IEK:080800031_</x:v>
      </x:c>
      <x:c r="AR489" s="24" t="n">
        <x:v>1</x:v>
      </x:c>
      <x:c r="AS489" s="24" t="n">
        <x:v>0</x:v>
      </x:c>
      <x:c r="AT489" s="24" t="n">
        <x:v>0</x:v>
      </x:c>
    </x:row>
    <x:row r="490" ht="64" customHeight="1">
      <x:c r="A490" s="11" t="str">
        <x:v>IEK</x:v>
      </x:c>
      <x:c r="B490" s="33" t="str">
        <x:v>080800062_</x:v>
      </x:c>
      <x:c r="C490" s="33" t="str">
        <x:v>MLS10-230-K05</x:v>
      </x:c>
      <x:c r="D490" s="12" t="str">
        <x:v>Сиг. лампа ЛС-47 (желтый неон) IEK (12/240)</x:v>
      </x:c>
      <x:c r="E490" s="11" t="str">
        <x:v>шт</x:v>
      </x:c>
      <x:c r="F490" s="35" t="n">
        <x:f>MAX(0,ROUNDDOWN((AG490-AF490)/AR490+0.000000001,0)*AR490)</x:f>
        <x:v>12</x:v>
      </x:c>
      <x:c r="G490" s="20" t="str">
        <x:f>IF(J490="Рассчитано",V490*(1-R490/100)-W490-P490-Q490,"н/д")</x:f>
        <x:v>н/д</x:v>
      </x:c>
      <x:c r="H490" s="12" t="str">
        <x:v>Высокий</x:v>
      </x:c>
      <x:c r="I490" s="12" t="str">
        <x:v>Средний</x:v>
      </x:c>
      <x:c r="J490" s="12" t="str">
        <x:f>IF(L490="","Укажите валюту",IF(NOT(ISNUMBER(K490)),"Укажите объём",IF(K490&lt;=0,"Укажите объём",IF(K490&gt;F490,"Объём выше излишка",IF(COUNT(M490:O490)&lt;3,"Нужны цены",IF(COUNT(P490:R490)&lt;3,"Нужны расходы",IF(OR(M490&lt;0,N490&lt;0,O490&lt;0,O490&gt;100,P490&lt;0,Q490&lt;0,R490&lt;0,R490&gt;100),"Проверьте значения","Рассчитано")))))))</x:f>
        <x:v>Нужны цены</x:v>
      </x:c>
      <x:c r="K490" s="36" t="n">
        <x:v>12</x:v>
      </x:c>
      <x:c r="L490" s="19" t="str">
        <x:v>KZT</x:v>
      </x:c>
      <x:c r="M490" s="22"/>
      <x:c r="N490" s="22"/>
      <x:c r="O490" s="28"/>
      <x:c r="P490" s="22"/>
      <x:c r="Q490" s="22"/>
      <x:c r="R490" s="28"/>
      <x:c r="S490" s="22"/>
      <x:c r="T490" s="35" t="n">
        <x:f>K490</x:f>
        <x:v>12</x:v>
      </x:c>
      <x:c r="U490" s="20" t="str">
        <x:f>IF(J490="Рассчитано",N490*(1-O490/100),"н/д")</x:f>
        <x:v>н/д</x:v>
      </x:c>
      <x:c r="V490" s="20" t="str">
        <x:f>IF(J490="Рассчитано",T490*U490,"н/д")</x:f>
        <x:v>н/д</x:v>
      </x:c>
      <x:c r="W490" s="20" t="str">
        <x:f>IF(J490="Рассчитано",T490*M490,"н/д")</x:f>
        <x:v>н/д</x:v>
      </x:c>
      <x:c r="X490" s="20" t="str">
        <x:f>IF(J490="Рассчитано",V490-W490,"н/д")</x:f>
        <x:v>н/д</x:v>
      </x:c>
      <x:c r="Y490" s="26" t="str">
        <x:f>IF(J490="Рассчитано",IF(V490&gt;0,G490/V490,"н/д"),"н/д")</x:f>
        <x:v>н/д</x:v>
      </x:c>
      <x:c r="Z490" s="20" t="str">
        <x:f>"н/д"</x:f>
        <x:v>н/д</x:v>
      </x:c>
      <x:c r="AA490" s="20" t="str">
        <x:f>"н/д"</x:f>
        <x:v>н/д</x:v>
      </x:c>
      <x:c r="AB490" s="20" t="str">
        <x:f>"н/д"</x:f>
        <x:v>н/д</x:v>
      </x:c>
      <x:c r="AC490" s="20" t="str">
        <x:f>IF(AND(J490="Рассчитано",T490&gt;0,R490&lt;100),(W490+P490+Q490)/(T490*(1-R490/100)),"н/д")</x:f>
        <x:v>н/д</x:v>
      </x:c>
      <x:c r="AD490" s="11" t="str">
        <x:f>IF(ISNUMBER(G490),IF(G490&lt;0,"Убыток",IF(G490=0,"Без прибыли","Прибыль &gt; 0")),"Не оценён")</x:f>
        <x:v>Не оценён</x:v>
      </x:c>
      <x:c r="AE490" s="12" t="str">
        <x:f>IF(J490="Рассчитано","Выручка "&amp;TEXT(V490,"0.00")&amp;" - себестоимость "&amp;TEXT(W490,"0.00")&amp;" - комиссия "&amp;TEXT(V490*R490/100,"0.00")&amp;" - доставка "&amp;TEXT(P490,"0.00")&amp;" - прочие "&amp;TEXT(Q490,"0.00")&amp;" = "&amp;TEXT(G490,"0.00")&amp;" "&amp;L490,"Введите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0" s="23" t="n">
        <x:v>23.95887716056831</x:v>
      </x:c>
      <x:c r="AG490" s="35" t="n">
        <x:v>36</x:v>
      </x:c>
      <x:c r="AH490" s="35" t="n">
        <x:v>0</x:v>
      </x:c>
      <x:c r="AI490" s="29" t="n">
        <x:v>46266</x:v>
      </x:c>
      <x:c r="AJ490" s="35" t="n">
        <x:v>12</x:v>
      </x:c>
      <x:c r="AK490" s="11" t="str">
        <x:v>минимум</x:v>
      </x:c>
      <x:c r="AL490" s="31" t="n">
        <x:v>127.77770517406115</x:v>
      </x:c>
      <x:c r="AM490" s="12" t="str">
        <x:v>Остаток на начало сентября; Резервы неизвестны; Нет ежедневных данных доступности. Запас выше прогноза на 90 дней</x:v>
      </x:c>
      <x:c r="AN490" s="12" t="str">
        <x:v>Проверить свободный остаток и установить цену для B2B</x:v>
      </x:c>
      <x:c r="AO490" s="12" t="str">
        <x:v>Остаток 36; прогноз 90 дней 23.96; избыток 12 шт. Будущие поступления не выставляются на продажу. Остаток на начало сентября: требуется актуализация.</x:v>
      </x:c>
      <x:c r="AP490" s="12" t="str">
        <x:v>["category_missing", "daily_stockout_data_missing", "new_order_lead_time_unknown", "reservations_unknown", "stale_stock"]</x:v>
      </x:c>
      <x:c r="AQ490" s="11" t="str">
        <x:v>IEK:080800062_</x:v>
      </x:c>
      <x:c r="AR490" s="23" t="n">
        <x:v>1</x:v>
      </x:c>
      <x:c r="AS490" s="23" t="n">
        <x:v>0</x:v>
      </x:c>
      <x:c r="AT490" s="23" t="n">
        <x:v>0</x:v>
      </x:c>
    </x:row>
    <x:row r="491" ht="64" customHeight="1">
      <x:c r="A491" s="10" t="str">
        <x:v>IEK</x:v>
      </x:c>
      <x:c r="B491" s="34" t="str">
        <x:v>080800070_</x:v>
      </x:c>
      <x:c r="C491" s="34" t="str">
        <x:v>BLS10-ADDS-230-K05</x:v>
      </x:c>
      <x:c r="D491" s="13" t="str">
        <x:v>Индикатор AD-22DS (LED) Ø22мм (желтый) IEK (10/600)</x:v>
      </x:c>
      <x:c r="E491" s="10" t="str">
        <x:v>шт</x:v>
      </x:c>
      <x:c r="F491" s="37" t="n">
        <x:f>MAX(0,ROUNDDOWN((AG491-AF491)/AR491+0.000000001,0)*AR491)</x:f>
        <x:v>94</x:v>
      </x:c>
      <x:c r="G491" s="21" t="str">
        <x:f>IF(J491="Рассчитано",V491*(1-R491/100)-W491-P491-Q491,"н/д")</x:f>
        <x:v>н/д</x:v>
      </x:c>
      <x:c r="H491" s="13" t="str">
        <x:v>Высокий</x:v>
      </x:c>
      <x:c r="I491" s="13" t="str">
        <x:v>Средний</x:v>
      </x:c>
      <x:c r="J491" s="13" t="str">
        <x:f>IF(L491="","Укажите валюту",IF(NOT(ISNUMBER(K491)),"Укажите объём",IF(K491&lt;=0,"Укажите объём",IF(K491&gt;F491,"Объём выше излишка",IF(COUNT(M491:O491)&lt;3,"Нужны цены",IF(COUNT(P491:R491)&lt;3,"Нужны расходы",IF(OR(M491&lt;0,N491&lt;0,O491&lt;0,O491&gt;100,P491&lt;0,Q491&lt;0,R491&lt;0,R491&gt;100),"Проверьте значения","Рассчитано")))))))</x:f>
        <x:v>Нужны цены</x:v>
      </x:c>
      <x:c r="K491" s="36" t="n">
        <x:v>94</x:v>
      </x:c>
      <x:c r="L491" s="19" t="str">
        <x:v>KZT</x:v>
      </x:c>
      <x:c r="M491" s="22"/>
      <x:c r="N491" s="22"/>
      <x:c r="O491" s="28"/>
      <x:c r="P491" s="22"/>
      <x:c r="Q491" s="22"/>
      <x:c r="R491" s="28"/>
      <x:c r="S491" s="22"/>
      <x:c r="T491" s="37" t="n">
        <x:f>K491</x:f>
        <x:v>94</x:v>
      </x:c>
      <x:c r="U491" s="21" t="str">
        <x:f>IF(J491="Рассчитано",N491*(1-O491/100),"н/д")</x:f>
        <x:v>н/д</x:v>
      </x:c>
      <x:c r="V491" s="21" t="str">
        <x:f>IF(J491="Рассчитано",T491*U491,"н/д")</x:f>
        <x:v>н/д</x:v>
      </x:c>
      <x:c r="W491" s="21" t="str">
        <x:f>IF(J491="Рассчитано",T491*M491,"н/д")</x:f>
        <x:v>н/д</x:v>
      </x:c>
      <x:c r="X491" s="21" t="str">
        <x:f>IF(J491="Рассчитано",V491-W491,"н/д")</x:f>
        <x:v>н/д</x:v>
      </x:c>
      <x:c r="Y491" s="27" t="str">
        <x:f>IF(J491="Рассчитано",IF(V491&gt;0,G491/V491,"н/д"),"н/д")</x:f>
        <x:v>н/д</x:v>
      </x:c>
      <x:c r="Z491" s="21" t="str">
        <x:f>"н/д"</x:f>
        <x:v>н/д</x:v>
      </x:c>
      <x:c r="AA491" s="21" t="str">
        <x:f>"н/д"</x:f>
        <x:v>н/д</x:v>
      </x:c>
      <x:c r="AB491" s="21" t="str">
        <x:f>"н/д"</x:f>
        <x:v>н/д</x:v>
      </x:c>
      <x:c r="AC491" s="21" t="str">
        <x:f>IF(AND(J491="Рассчитано",T491&gt;0,R491&lt;100),(W491+P491+Q491)/(T491*(1-R491/100)),"н/д")</x:f>
        <x:v>н/д</x:v>
      </x:c>
      <x:c r="AD491" s="10" t="str">
        <x:f>IF(ISNUMBER(G491),IF(G491&lt;0,"Убыток",IF(G491=0,"Без прибыли","Прибыль &gt; 0")),"Не оценён")</x:f>
        <x:v>Не оценён</x:v>
      </x:c>
      <x:c r="AE491" s="13" t="str">
        <x:f>IF(J491="Рассчитано","Выручка "&amp;TEXT(V491,"0.00")&amp;" - себестоимость "&amp;TEXT(W491,"0.00")&amp;" - комиссия "&amp;TEXT(V491*R491/100,"0.00")&amp;" - доставка "&amp;TEXT(P491,"0.00")&amp;" - прочие "&amp;TEXT(Q491,"0.00")&amp;" = "&amp;TEXT(G491,"0.00")&amp;" "&amp;L491,"Введите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1" s="24" t="n">
        <x:v>86.63608682949467</x:v>
      </x:c>
      <x:c r="AG491" s="37" t="n">
        <x:v>181</x:v>
      </x:c>
      <x:c r="AH491" s="37" t="n">
        <x:v>0</x:v>
      </x:c>
      <x:c r="AI491" s="30" t="n">
        <x:v>46266</x:v>
      </x:c>
      <x:c r="AJ491" s="37" t="n">
        <x:v>10</x:v>
      </x:c>
      <x:c r="AK491" s="10" t="str">
        <x:v>минимум</x:v>
      </x:c>
      <x:c r="AL491" s="32" t="n">
        <x:v>177.6637363260184</x:v>
      </x:c>
      <x:c r="AM49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91" s="13" t="str">
        <x:v>Проверить свободный остаток и установить цену для B2B</x:v>
      </x:c>
      <x:c r="AO491" s="13" t="str">
        <x:v>Остаток 181; прогноз 90 дней 86.64; избыток 94 шт. Будущие поступления не выставляются на продажу. Остаток на начало сентября: требуется актуализация.</x:v>
      </x:c>
      <x:c r="AP491" s="13" t="str">
        <x:v>["category_missing", "daily_stockout_data_missing", "large_orders_detected", "new_order_lead_time_unknown", "reservations_unknown", "stale_stock", "transaction_month_mismatch"]</x:v>
      </x:c>
      <x:c r="AQ491" s="10" t="str">
        <x:v>IEK:080800070_</x:v>
      </x:c>
      <x:c r="AR491" s="24" t="n">
        <x:v>1</x:v>
      </x:c>
      <x:c r="AS491" s="24" t="n">
        <x:v>0</x:v>
      </x:c>
      <x:c r="AT491" s="24" t="n">
        <x:v>0</x:v>
      </x:c>
    </x:row>
    <x:row r="492" ht="64" customHeight="1">
      <x:c r="A492" s="11" t="str">
        <x:v>IEK</x:v>
      </x:c>
      <x:c r="B492" s="33" t="str">
        <x:v>080800071_</x:v>
      </x:c>
      <x:c r="C492" s="33" t="str">
        <x:v>BLS10-ADDS-230-K06</x:v>
      </x:c>
      <x:c r="D492" s="12" t="str">
        <x:v>Индикатор AD-22DS (LED) Ø22мм (зеленый) IEK (10/600)</x:v>
      </x:c>
      <x:c r="E492" s="11" t="str">
        <x:v>шт</x:v>
      </x:c>
      <x:c r="F492" s="35" t="n">
        <x:f>MAX(0,ROUNDDOWN((AG492-AF492)/AR492+0.000000001,0)*AR492)</x:f>
        <x:v>138</x:v>
      </x:c>
      <x:c r="G492" s="20" t="str">
        <x:f>IF(J492="Рассчитано",V492*(1-R492/100)-W492-P492-Q492,"н/д")</x:f>
        <x:v>н/д</x:v>
      </x:c>
      <x:c r="H492" s="12" t="str">
        <x:v>Высокий</x:v>
      </x:c>
      <x:c r="I492" s="12" t="str">
        <x:v>Средний</x:v>
      </x:c>
      <x:c r="J492" s="12" t="str">
        <x:f>IF(L492="","Укажите валюту",IF(NOT(ISNUMBER(K492)),"Укажите объём",IF(K492&lt;=0,"Укажите объём",IF(K492&gt;F492,"Объём выше излишка",IF(COUNT(M492:O492)&lt;3,"Нужны цены",IF(COUNT(P492:R492)&lt;3,"Нужны расходы",IF(OR(M492&lt;0,N492&lt;0,O492&lt;0,O492&gt;100,P492&lt;0,Q492&lt;0,R492&lt;0,R492&gt;100),"Проверьте значения","Рассчитано")))))))</x:f>
        <x:v>Нужны цены</x:v>
      </x:c>
      <x:c r="K492" s="36" t="n">
        <x:v>138</x:v>
      </x:c>
      <x:c r="L492" s="19" t="str">
        <x:v>KZT</x:v>
      </x:c>
      <x:c r="M492" s="22"/>
      <x:c r="N492" s="22"/>
      <x:c r="O492" s="28"/>
      <x:c r="P492" s="22"/>
      <x:c r="Q492" s="22"/>
      <x:c r="R492" s="28"/>
      <x:c r="S492" s="22"/>
      <x:c r="T492" s="35" t="n">
        <x:f>K492</x:f>
        <x:v>138</x:v>
      </x:c>
      <x:c r="U492" s="20" t="str">
        <x:f>IF(J492="Рассчитано",N492*(1-O492/100),"н/д")</x:f>
        <x:v>н/д</x:v>
      </x:c>
      <x:c r="V492" s="20" t="str">
        <x:f>IF(J492="Рассчитано",T492*U492,"н/д")</x:f>
        <x:v>н/д</x:v>
      </x:c>
      <x:c r="W492" s="20" t="str">
        <x:f>IF(J492="Рассчитано",T492*M492,"н/д")</x:f>
        <x:v>н/д</x:v>
      </x:c>
      <x:c r="X492" s="20" t="str">
        <x:f>IF(J492="Рассчитано",V492-W492,"н/д")</x:f>
        <x:v>н/д</x:v>
      </x:c>
      <x:c r="Y492" s="26" t="str">
        <x:f>IF(J492="Рассчитано",IF(V492&gt;0,G492/V492,"н/д"),"н/д")</x:f>
        <x:v>н/д</x:v>
      </x:c>
      <x:c r="Z492" s="20" t="str">
        <x:f>"н/д"</x:f>
        <x:v>н/д</x:v>
      </x:c>
      <x:c r="AA492" s="20" t="str">
        <x:f>"н/д"</x:f>
        <x:v>н/д</x:v>
      </x:c>
      <x:c r="AB492" s="20" t="str">
        <x:f>"н/д"</x:f>
        <x:v>н/д</x:v>
      </x:c>
      <x:c r="AC492" s="20" t="str">
        <x:f>IF(AND(J492="Рассчитано",T492&gt;0,R492&lt;100),(W492+P492+Q492)/(T492*(1-R492/100)),"н/д")</x:f>
        <x:v>н/д</x:v>
      </x:c>
      <x:c r="AD492" s="11" t="str">
        <x:f>IF(ISNUMBER(G492),IF(G492&lt;0,"Убыток",IF(G492=0,"Без прибыли","Прибыль &gt; 0")),"Не оценён")</x:f>
        <x:v>Не оценён</x:v>
      </x:c>
      <x:c r="AE492" s="12" t="str">
        <x:f>IF(J492="Рассчитано","Выручка "&amp;TEXT(V492,"0.00")&amp;" - себестоимость "&amp;TEXT(W492,"0.00")&amp;" - комиссия "&amp;TEXT(V492*R492/100,"0.00")&amp;" - доставка "&amp;TEXT(P492,"0.00")&amp;" - прочие "&amp;TEXT(Q492,"0.00")&amp;" = "&amp;TEXT(G492,"0.00")&amp;" "&amp;L492,"Введите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2" s="23" t="n">
        <x:v>373.5633510903125</x:v>
      </x:c>
      <x:c r="AG492" s="35" t="n">
        <x:v>512</x:v>
      </x:c>
      <x:c r="AH492" s="35" t="n">
        <x:v>100</x:v>
      </x:c>
      <x:c r="AI492" s="29" t="n">
        <x:v>46266</x:v>
      </x:c>
      <x:c r="AJ492" s="35" t="n">
        <x:v>10</x:v>
      </x:c>
      <x:c r="AK492" s="11" t="str">
        <x:v>минимум</x:v>
      </x:c>
      <x:c r="AL492" s="31" t="n">
        <x:v>116.55334516093876</x:v>
      </x:c>
      <x:c r="AM492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92" s="12" t="str">
        <x:v>Проверить свободный остаток и установить цену для B2B</x:v>
      </x:c>
      <x:c r="AO492" s="12" t="str">
        <x:v>Остаток 512; прогноз 90 дней 373.56; избыток 138 шт. Будущие поступления не выставляются на продажу. Остаток на начало сентября: требуется актуализация.</x:v>
      </x:c>
      <x:c r="AP492" s="12" t="str">
        <x:v>["category_missing", "daily_stockout_data_missing", "large_orders_detected", "new_order_lead_time_unknown", "reservations_unknown", "stale_stock", "transaction_month_mismatch"]</x:v>
      </x:c>
      <x:c r="AQ492" s="11" t="str">
        <x:v>IEK:080800071_</x:v>
      </x:c>
      <x:c r="AR492" s="23" t="n">
        <x:v>1</x:v>
      </x:c>
      <x:c r="AS492" s="23" t="n">
        <x:v>0</x:v>
      </x:c>
      <x:c r="AT492" s="23" t="n">
        <x:v>0</x:v>
      </x:c>
    </x:row>
    <x:row r="493" ht="64" customHeight="1">
      <x:c r="A493" s="10" t="str">
        <x:v>IEK</x:v>
      </x:c>
      <x:c r="B493" s="34" t="str">
        <x:v>080800072_</x:v>
      </x:c>
      <x:c r="C493" s="34" t="str">
        <x:v>BLS10-ADDS-230-K04</x:v>
      </x:c>
      <x:c r="D493" s="13" t="str">
        <x:v>Индикатор AD-22DS (LED) Ø22мм (красный) IEK (10/600)</x:v>
      </x:c>
      <x:c r="E493" s="10" t="str">
        <x:v>шт</x:v>
      </x:c>
      <x:c r="F493" s="37" t="n">
        <x:f>MAX(0,ROUNDDOWN((AG493-AF493)/AR493+0.000000001,0)*AR493)</x:f>
        <x:v>295</x:v>
      </x:c>
      <x:c r="G493" s="21" t="str">
        <x:f>IF(J493="Рассчитано",V493*(1-R493/100)-W493-P493-Q493,"н/д")</x:f>
        <x:v>н/д</x:v>
      </x:c>
      <x:c r="H493" s="13" t="str">
        <x:v>Высокий</x:v>
      </x:c>
      <x:c r="I493" s="13" t="str">
        <x:v>Средний</x:v>
      </x:c>
      <x:c r="J493" s="13" t="str">
        <x:f>IF(L493="","Укажите валюту",IF(NOT(ISNUMBER(K493)),"Укажите объём",IF(K493&lt;=0,"Укажите объём",IF(K493&gt;F493,"Объём выше излишка",IF(COUNT(M493:O493)&lt;3,"Нужны цены",IF(COUNT(P493:R493)&lt;3,"Нужны расходы",IF(OR(M493&lt;0,N493&lt;0,O493&lt;0,O493&gt;100,P493&lt;0,Q493&lt;0,R493&lt;0,R493&gt;100),"Проверьте значения","Рассчитано")))))))</x:f>
        <x:v>Нужны цены</x:v>
      </x:c>
      <x:c r="K493" s="36" t="n">
        <x:v>295</x:v>
      </x:c>
      <x:c r="L493" s="19" t="str">
        <x:v>KZT</x:v>
      </x:c>
      <x:c r="M493" s="22"/>
      <x:c r="N493" s="22"/>
      <x:c r="O493" s="28"/>
      <x:c r="P493" s="22"/>
      <x:c r="Q493" s="22"/>
      <x:c r="R493" s="28"/>
      <x:c r="S493" s="22"/>
      <x:c r="T493" s="37" t="n">
        <x:f>K493</x:f>
        <x:v>295</x:v>
      </x:c>
      <x:c r="U493" s="21" t="str">
        <x:f>IF(J493="Рассчитано",N493*(1-O493/100),"н/д")</x:f>
        <x:v>н/д</x:v>
      </x:c>
      <x:c r="V493" s="21" t="str">
        <x:f>IF(J493="Рассчитано",T493*U493,"н/д")</x:f>
        <x:v>н/д</x:v>
      </x:c>
      <x:c r="W493" s="21" t="str">
        <x:f>IF(J493="Рассчитано",T493*M493,"н/д")</x:f>
        <x:v>н/д</x:v>
      </x:c>
      <x:c r="X493" s="21" t="str">
        <x:f>IF(J493="Рассчитано",V493-W493,"н/д")</x:f>
        <x:v>н/д</x:v>
      </x:c>
      <x:c r="Y493" s="27" t="str">
        <x:f>IF(J493="Рассчитано",IF(V493&gt;0,G493/V493,"н/д"),"н/д")</x:f>
        <x:v>н/д</x:v>
      </x:c>
      <x:c r="Z493" s="21" t="str">
        <x:f>"н/д"</x:f>
        <x:v>н/д</x:v>
      </x:c>
      <x:c r="AA493" s="21" t="str">
        <x:f>"н/д"</x:f>
        <x:v>н/д</x:v>
      </x:c>
      <x:c r="AB493" s="21" t="str">
        <x:f>"н/д"</x:f>
        <x:v>н/д</x:v>
      </x:c>
      <x:c r="AC493" s="21" t="str">
        <x:f>IF(AND(J493="Рассчитано",T493&gt;0,R493&lt;100),(W493+P493+Q493)/(T493*(1-R493/100)),"н/д")</x:f>
        <x:v>н/д</x:v>
      </x:c>
      <x:c r="AD493" s="10" t="str">
        <x:f>IF(ISNUMBER(G493),IF(G493&lt;0,"Убыток",IF(G493=0,"Без прибыли","Прибыль &gt; 0")),"Не оценён")</x:f>
        <x:v>Не оценён</x:v>
      </x:c>
      <x:c r="AE493" s="13" t="str">
        <x:f>IF(J493="Рассчитано","Выручка "&amp;TEXT(V493,"0.00")&amp;" - себестоимость "&amp;TEXT(W493,"0.00")&amp;" - комиссия "&amp;TEXT(V493*R493/100,"0.00")&amp;" - доставка "&amp;TEXT(P493,"0.00")&amp;" - прочие "&amp;TEXT(Q493,"0.00")&amp;" = "&amp;TEXT(G493,"0.00")&amp;" "&amp;L493,"Введите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3" s="24" t="n">
        <x:v>282.2186962302249</x:v>
      </x:c>
      <x:c r="AG493" s="37" t="n">
        <x:v>578</x:v>
      </x:c>
      <x:c r="AH493" s="37" t="n">
        <x:v>100</x:v>
      </x:c>
      <x:c r="AI493" s="30" t="n">
        <x:v>46266</x:v>
      </x:c>
      <x:c r="AJ493" s="37" t="n">
        <x:v>10</x:v>
      </x:c>
      <x:c r="AK493" s="10" t="str">
        <x:v>минимум</x:v>
      </x:c>
      <x:c r="AL493" s="32" t="n">
        <x:v>174.16508715722205</x:v>
      </x:c>
      <x:c r="AM49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493" s="13" t="str">
        <x:v>Проверить свободный остаток и установить цену для B2B</x:v>
      </x:c>
      <x:c r="AO493" s="13" t="str">
        <x:v>Остаток 578; прогноз 90 дней 282.22; избыток 295 шт. Будущие поступления не выставляются на продажу. Остаток на начало сентября: требуется актуализация.</x:v>
      </x:c>
      <x:c r="AP493" s="13" t="str">
        <x:v>["category_missing", "daily_stockout_data_missing", "large_orders_detected", "new_order_lead_time_unknown", "reservations_unknown", "stale_stock", "transaction_month_mismatch"]</x:v>
      </x:c>
      <x:c r="AQ493" s="10" t="str">
        <x:v>IEK:080800072_</x:v>
      </x:c>
      <x:c r="AR493" s="24" t="n">
        <x:v>1</x:v>
      </x:c>
      <x:c r="AS493" s="24" t="n">
        <x:v>0</x:v>
      </x:c>
      <x:c r="AT493" s="24" t="n">
        <x:v>0</x:v>
      </x:c>
    </x:row>
    <x:row r="494" ht="64" customHeight="1">
      <x:c r="A494" s="11" t="str">
        <x:v>IEK</x:v>
      </x:c>
      <x:c r="B494" s="33" t="str">
        <x:v>080800128_</x:v>
      </x:c>
      <x:c r="C494" s="33" t="str">
        <x:v>LSR1-1-060-20-1-05-S1</x:v>
      </x:c>
      <x:c r="D494" s="12" t="str">
        <x:v>Светодиодная лента "Сделай сам" LED 5м LSR-2835WW60-4,8-IP20-12В-3000K+драйвер+выключатель IEK</x:v>
      </x:c>
      <x:c r="E494" s="11" t="str">
        <x:v>шт</x:v>
      </x:c>
      <x:c r="F494" s="35" t="n">
        <x:f>MAX(0,ROUNDDOWN((AG494-AF494)/AR494+0.000000001,0)*AR494)</x:f>
        <x:v>7</x:v>
      </x:c>
      <x:c r="G494" s="20" t="str">
        <x:f>IF(J494="Рассчитано",V494*(1-R494/100)-W494-P494-Q494,"н/д")</x:f>
        <x:v>н/д</x:v>
      </x:c>
      <x:c r="H494" s="12" t="str">
        <x:v>Высокий</x:v>
      </x:c>
      <x:c r="I494" s="12" t="str">
        <x:v>Высокий</x:v>
      </x:c>
      <x:c r="J494" s="12" t="str">
        <x:f>IF(L494="","Укажите валюту",IF(NOT(ISNUMBER(K494)),"Укажите объём",IF(K494&lt;=0,"Укажите объём",IF(K494&gt;F494,"Объём выше излишка",IF(COUNT(M494:O494)&lt;3,"Нужны цены",IF(COUNT(P494:R494)&lt;3,"Нужны расходы",IF(OR(M494&lt;0,N494&lt;0,O494&lt;0,O494&gt;100,P494&lt;0,Q494&lt;0,R494&lt;0,R494&gt;100),"Проверьте значения","Рассчитано")))))))</x:f>
        <x:v>Нужны цены</x:v>
      </x:c>
      <x:c r="K494" s="36" t="n">
        <x:v>7</x:v>
      </x:c>
      <x:c r="L494" s="19" t="str">
        <x:v>KZT</x:v>
      </x:c>
      <x:c r="M494" s="22"/>
      <x:c r="N494" s="22"/>
      <x:c r="O494" s="28"/>
      <x:c r="P494" s="22"/>
      <x:c r="Q494" s="22"/>
      <x:c r="R494" s="28"/>
      <x:c r="S494" s="22"/>
      <x:c r="T494" s="35" t="n">
        <x:f>K494</x:f>
        <x:v>7</x:v>
      </x:c>
      <x:c r="U494" s="20" t="str">
        <x:f>IF(J494="Рассчитано",N494*(1-O494/100),"н/д")</x:f>
        <x:v>н/д</x:v>
      </x:c>
      <x:c r="V494" s="20" t="str">
        <x:f>IF(J494="Рассчитано",T494*U494,"н/д")</x:f>
        <x:v>н/д</x:v>
      </x:c>
      <x:c r="W494" s="20" t="str">
        <x:f>IF(J494="Рассчитано",T494*M494,"н/д")</x:f>
        <x:v>н/д</x:v>
      </x:c>
      <x:c r="X494" s="20" t="str">
        <x:f>IF(J494="Рассчитано",V494-W494,"н/д")</x:f>
        <x:v>н/д</x:v>
      </x:c>
      <x:c r="Y494" s="26" t="str">
        <x:f>IF(J494="Рассчитано",IF(V494&gt;0,G494/V494,"н/д"),"н/д")</x:f>
        <x:v>н/д</x:v>
      </x:c>
      <x:c r="Z494" s="20" t="str">
        <x:f>"н/д"</x:f>
        <x:v>н/д</x:v>
      </x:c>
      <x:c r="AA494" s="20" t="str">
        <x:f>"н/д"</x:f>
        <x:v>н/д</x:v>
      </x:c>
      <x:c r="AB494" s="20" t="str">
        <x:f>"н/д"</x:f>
        <x:v>н/д</x:v>
      </x:c>
      <x:c r="AC494" s="20" t="str">
        <x:f>IF(AND(J494="Рассчитано",T494&gt;0,R494&lt;100),(W494+P494+Q494)/(T494*(1-R494/100)),"н/д")</x:f>
        <x:v>н/д</x:v>
      </x:c>
      <x:c r="AD494" s="11" t="str">
        <x:f>IF(ISNUMBER(G494),IF(G494&lt;0,"Убыток",IF(G494=0,"Без прибыли","Прибыль &gt; 0")),"Не оценён")</x:f>
        <x:v>Не оценён</x:v>
      </x:c>
      <x:c r="AE494" s="12" t="str">
        <x:f>IF(J494="Рассчитано","Выручка "&amp;TEXT(V494,"0.00")&amp;" - себестоимость "&amp;TEXT(W494,"0.00")&amp;" - комиссия "&amp;TEXT(V494*R494/100,"0.00")&amp;" - доставка "&amp;TEXT(P494,"0.00")&amp;" - прочие "&amp;TEXT(Q494,"0.00")&amp;" = "&amp;TEXT(G494,"0.00")&amp;" "&amp;L494,"Введите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4" s="23" t="n">
        <x:v>0.27546337131887305</x:v>
      </x:c>
      <x:c r="AG494" s="35" t="n">
        <x:v>8</x:v>
      </x:c>
      <x:c r="AH494" s="35" t="n">
        <x:v>0</x:v>
      </x:c>
      <x:c r="AI494" s="29" t="n">
        <x:v>46266</x:v>
      </x:c>
      <x:c r="AJ494" s="35" t="n">
        <x:v>1</x:v>
      </x:c>
      <x:c r="AK494" s="11" t="str">
        <x:v>минимум</x:v>
      </x:c>
      <x:c r="AL494" s="31" t="n">
        <x:v>2469.7055223850816</x:v>
      </x:c>
      <x:c r="AM49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94" s="12" t="str">
        <x:v>Проверить свободный остаток и установить цену для B2B</x:v>
      </x:c>
      <x:c r="AO494" s="12" t="str">
        <x:v>Остаток 8; прогноз 90 дней 0.28; избыток 7 шт. Будущие поступления не выставляются на продажу. Остаток на начало сентября: требуется актуализация.</x:v>
      </x:c>
      <x:c r="AP494" s="12" t="str">
        <x:v>["category_missing", "daily_stockout_data_missing", "new_order_lead_time_unknown", "reservations_unknown", "stale_stock"]</x:v>
      </x:c>
      <x:c r="AQ494" s="11" t="str">
        <x:v>IEK:080800128_</x:v>
      </x:c>
      <x:c r="AR494" s="23" t="n">
        <x:v>1</x:v>
      </x:c>
      <x:c r="AS494" s="23" t="n">
        <x:v>0</x:v>
      </x:c>
      <x:c r="AT494" s="23" t="n">
        <x:v>0</x:v>
      </x:c>
    </x:row>
    <x:row r="495" ht="64" customHeight="1">
      <x:c r="A495" s="10" t="str">
        <x:v>IEK</x:v>
      </x:c>
      <x:c r="B495" s="34" t="str">
        <x:v>080800129_</x:v>
      </x:c>
      <x:c r="C495" s="34" t="str">
        <x:v>LSR1-1-060-20-1-2XD12-S3</x:v>
      </x:c>
      <x:c r="D495" s="13" t="str">
        <x:v>Светодиодная лента "Сделай сам" LED 2х1,2м LSR-2835WW60-4,8-IP20-12В-3000K+драйвер+2 датч движ IEK</x:v>
      </x:c>
      <x:c r="E495" s="10" t="str">
        <x:v>шт</x:v>
      </x:c>
      <x:c r="F495" s="37" t="n">
        <x:f>MAX(0,ROUNDDOWN((AG495-AF495)/AR495+0.000000001,0)*AR495)</x:f>
        <x:v>2</x:v>
      </x:c>
      <x:c r="G495" s="21" t="str">
        <x:f>IF(J495="Рассчитано",V495*(1-R495/100)-W495-P495-Q495,"н/д")</x:f>
        <x:v>н/д</x:v>
      </x:c>
      <x:c r="H495" s="13" t="str">
        <x:v>Высокий</x:v>
      </x:c>
      <x:c r="I495" s="13" t="str">
        <x:v>Высокий</x:v>
      </x:c>
      <x:c r="J495" s="13" t="str">
        <x:f>IF(L495="","Укажите валюту",IF(NOT(ISNUMBER(K495)),"Укажите объём",IF(K495&lt;=0,"Укажите объём",IF(K495&gt;F495,"Объём выше излишка",IF(COUNT(M495:O495)&lt;3,"Нужны цены",IF(COUNT(P495:R495)&lt;3,"Нужны расходы",IF(OR(M495&lt;0,N495&lt;0,O495&lt;0,O495&gt;100,P495&lt;0,Q495&lt;0,R495&lt;0,R495&gt;100),"Проверьте значения","Рассчитано")))))))</x:f>
        <x:v>Нужны цены</x:v>
      </x:c>
      <x:c r="K495" s="36" t="n">
        <x:v>2</x:v>
      </x:c>
      <x:c r="L495" s="19" t="str">
        <x:v>KZT</x:v>
      </x:c>
      <x:c r="M495" s="22"/>
      <x:c r="N495" s="22"/>
      <x:c r="O495" s="28"/>
      <x:c r="P495" s="22"/>
      <x:c r="Q495" s="22"/>
      <x:c r="R495" s="28"/>
      <x:c r="S495" s="22"/>
      <x:c r="T495" s="37" t="n">
        <x:f>K495</x:f>
        <x:v>2</x:v>
      </x:c>
      <x:c r="U495" s="21" t="str">
        <x:f>IF(J495="Рассчитано",N495*(1-O495/100),"н/д")</x:f>
        <x:v>н/д</x:v>
      </x:c>
      <x:c r="V495" s="21" t="str">
        <x:f>IF(J495="Рассчитано",T495*U495,"н/д")</x:f>
        <x:v>н/д</x:v>
      </x:c>
      <x:c r="W495" s="21" t="str">
        <x:f>IF(J495="Рассчитано",T495*M495,"н/д")</x:f>
        <x:v>н/д</x:v>
      </x:c>
      <x:c r="X495" s="21" t="str">
        <x:f>IF(J495="Рассчитано",V495-W495,"н/д")</x:f>
        <x:v>н/д</x:v>
      </x:c>
      <x:c r="Y495" s="27" t="str">
        <x:f>IF(J495="Рассчитано",IF(V495&gt;0,G495/V495,"н/д"),"н/д")</x:f>
        <x:v>н/д</x:v>
      </x:c>
      <x:c r="Z495" s="21" t="str">
        <x:f>"н/д"</x:f>
        <x:v>н/д</x:v>
      </x:c>
      <x:c r="AA495" s="21" t="str">
        <x:f>"н/д"</x:f>
        <x:v>н/д</x:v>
      </x:c>
      <x:c r="AB495" s="21" t="str">
        <x:f>"н/д"</x:f>
        <x:v>н/д</x:v>
      </x:c>
      <x:c r="AC495" s="21" t="str">
        <x:f>IF(AND(J495="Рассчитано",T495&gt;0,R495&lt;100),(W495+P495+Q495)/(T495*(1-R495/100)),"н/д")</x:f>
        <x:v>н/д</x:v>
      </x:c>
      <x:c r="AD495" s="10" t="str">
        <x:f>IF(ISNUMBER(G495),IF(G495&lt;0,"Убыток",IF(G495=0,"Без прибыли","Прибыль &gt; 0")),"Не оценён")</x:f>
        <x:v>Не оценён</x:v>
      </x:c>
      <x:c r="AE495" s="13" t="str">
        <x:f>IF(J495="Рассчитано","Выручка "&amp;TEXT(V495,"0.00")&amp;" - себестоимость "&amp;TEXT(W495,"0.00")&amp;" - комиссия "&amp;TEXT(V495*R495/100,"0.00")&amp;" - доставка "&amp;TEXT(P495,"0.00")&amp;" - прочие "&amp;TEXT(Q495,"0.00")&amp;" = "&amp;TEXT(G495,"0.00")&amp;" "&amp;L495,"Введите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5" s="24" t="n">
        <x:v>0.09005811180205522</x:v>
      </x:c>
      <x:c r="AG495" s="37" t="n">
        <x:v>3</x:v>
      </x:c>
      <x:c r="AH495" s="37" t="n">
        <x:v>0</x:v>
      </x:c>
      <x:c r="AI495" s="30" t="n">
        <x:v>46266</x:v>
      </x:c>
      <x:c r="AJ495" s="37" t="n">
        <x:v>1</x:v>
      </x:c>
      <x:c r="AK495" s="10" t="str">
        <x:v>минимум</x:v>
      </x:c>
      <x:c r="AL495" s="32" t="n">
        <x:v>2832.8100978968705</x:v>
      </x:c>
      <x:c r="AM49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95" s="13" t="str">
        <x:v>Проверить свободный остаток и установить цену для B2B</x:v>
      </x:c>
      <x:c r="AO495" s="13" t="str">
        <x:v>Остаток 3; прогноз 90 дней 0.09; избыток 2 шт. Будущие поступления не выставляются на продажу. Остаток на начало сентября: требуется актуализация.</x:v>
      </x:c>
      <x:c r="AP495" s="13" t="str">
        <x:v>["category_missing", "daily_stockout_data_missing", "negative_net_sales_clipped_for_forecast", "new_order_lead_time_unknown", "reservations_unknown", "stale_stock"]</x:v>
      </x:c>
      <x:c r="AQ495" s="10" t="str">
        <x:v>IEK:080800129_</x:v>
      </x:c>
      <x:c r="AR495" s="24" t="n">
        <x:v>1</x:v>
      </x:c>
      <x:c r="AS495" s="24" t="n">
        <x:v>0</x:v>
      </x:c>
      <x:c r="AT495" s="24" t="n">
        <x:v>0</x:v>
      </x:c>
    </x:row>
    <x:row r="496" ht="64" customHeight="1">
      <x:c r="A496" s="11" t="str">
        <x:v>IEK</x:v>
      </x:c>
      <x:c r="B496" s="33" t="str">
        <x:v>080800130_</x:v>
      </x:c>
      <x:c r="C496" s="33" t="str">
        <x:v>LSR1-1-060-20-1-D12-S3</x:v>
      </x:c>
      <x:c r="D496" s="12" t="str">
        <x:v>Светодиодная лента "Сделай сам" LED 1,2м LSR-2835WW60-4,8-IP20-12В-3000K+драйвер+датч движ IEK</x:v>
      </x:c>
      <x:c r="E496" s="11" t="str">
        <x:v>шт</x:v>
      </x:c>
      <x:c r="F496" s="35" t="n">
        <x:f>MAX(0,ROUNDDOWN((AG496-AF496)/AR496+0.000000001,0)*AR496)</x:f>
        <x:v>4</x:v>
      </x:c>
      <x:c r="G496" s="20" t="str">
        <x:f>IF(J496="Рассчитано",V496*(1-R496/100)-W496-P496-Q496,"н/д")</x:f>
        <x:v>н/д</x:v>
      </x:c>
      <x:c r="H496" s="12" t="str">
        <x:v>Высокий</x:v>
      </x:c>
      <x:c r="I496" s="12" t="str">
        <x:v>Высокий</x:v>
      </x:c>
      <x:c r="J496" s="12" t="str">
        <x:f>IF(L496="","Укажите валюту",IF(NOT(ISNUMBER(K496)),"Укажите объём",IF(K496&lt;=0,"Укажите объём",IF(K496&gt;F496,"Объём выше излишка",IF(COUNT(M496:O496)&lt;3,"Нужны цены",IF(COUNT(P496:R496)&lt;3,"Нужны расходы",IF(OR(M496&lt;0,N496&lt;0,O496&lt;0,O496&gt;100,P496&lt;0,Q496&lt;0,R496&lt;0,R496&gt;100),"Проверьте значения","Рассчитано")))))))</x:f>
        <x:v>Нужны цены</x:v>
      </x:c>
      <x:c r="K496" s="36" t="n">
        <x:v>4</x:v>
      </x:c>
      <x:c r="L496" s="19" t="str">
        <x:v>KZT</x:v>
      </x:c>
      <x:c r="M496" s="22"/>
      <x:c r="N496" s="22"/>
      <x:c r="O496" s="28"/>
      <x:c r="P496" s="22"/>
      <x:c r="Q496" s="22"/>
      <x:c r="R496" s="28"/>
      <x:c r="S496" s="22"/>
      <x:c r="T496" s="35" t="n">
        <x:f>K496</x:f>
        <x:v>4</x:v>
      </x:c>
      <x:c r="U496" s="20" t="str">
        <x:f>IF(J496="Рассчитано",N496*(1-O496/100),"н/д")</x:f>
        <x:v>н/д</x:v>
      </x:c>
      <x:c r="V496" s="20" t="str">
        <x:f>IF(J496="Рассчитано",T496*U496,"н/д")</x:f>
        <x:v>н/д</x:v>
      </x:c>
      <x:c r="W496" s="20" t="str">
        <x:f>IF(J496="Рассчитано",T496*M496,"н/д")</x:f>
        <x:v>н/д</x:v>
      </x:c>
      <x:c r="X496" s="20" t="str">
        <x:f>IF(J496="Рассчитано",V496-W496,"н/д")</x:f>
        <x:v>н/д</x:v>
      </x:c>
      <x:c r="Y496" s="26" t="str">
        <x:f>IF(J496="Рассчитано",IF(V496&gt;0,G496/V496,"н/д"),"н/д")</x:f>
        <x:v>н/д</x:v>
      </x:c>
      <x:c r="Z496" s="20" t="str">
        <x:f>"н/д"</x:f>
        <x:v>н/д</x:v>
      </x:c>
      <x:c r="AA496" s="20" t="str">
        <x:f>"н/д"</x:f>
        <x:v>н/д</x:v>
      </x:c>
      <x:c r="AB496" s="20" t="str">
        <x:f>"н/д"</x:f>
        <x:v>н/д</x:v>
      </x:c>
      <x:c r="AC496" s="20" t="str">
        <x:f>IF(AND(J496="Рассчитано",T496&gt;0,R496&lt;100),(W496+P496+Q496)/(T496*(1-R496/100)),"н/д")</x:f>
        <x:v>н/д</x:v>
      </x:c>
      <x:c r="AD496" s="11" t="str">
        <x:f>IF(ISNUMBER(G496),IF(G496&lt;0,"Убыток",IF(G496=0,"Без прибыли","Прибыль &gt; 0")),"Не оценён")</x:f>
        <x:v>Не оценён</x:v>
      </x:c>
      <x:c r="AE496" s="12" t="str">
        <x:f>IF(J496="Рассчитано","Выручка "&amp;TEXT(V496,"0.00")&amp;" - себестоимость "&amp;TEXT(W496,"0.00")&amp;" - комиссия "&amp;TEXT(V496*R496/100,"0.00")&amp;" - доставка "&amp;TEXT(P496,"0.00")&amp;" - прочие "&amp;TEXT(Q496,"0.00")&amp;" = "&amp;TEXT(G496,"0.00")&amp;" "&amp;L496,"Введите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6" s="23" t="n">
        <x:v>0.10758727254321898</x:v>
      </x:c>
      <x:c r="AG496" s="35" t="n">
        <x:v>5</x:v>
      </x:c>
      <x:c r="AH496" s="35" t="n">
        <x:v>0</x:v>
      </x:c>
      <x:c r="AI496" s="29" t="n">
        <x:v>46266</x:v>
      </x:c>
      <x:c r="AJ496" s="35" t="n">
        <x:v>1</x:v>
      </x:c>
      <x:c r="AK496" s="11" t="str">
        <x:v>минимум</x:v>
      </x:c>
      <x:c r="AL496" s="31" t="n">
        <x:v>3952.1020544492317</x:v>
      </x:c>
      <x:c r="AM49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96" s="12" t="str">
        <x:v>Проверить свободный остаток и установить цену для B2B</x:v>
      </x:c>
      <x:c r="AO496" s="12" t="str">
        <x:v>Остаток 5; прогноз 90 дней 0.11; избыток 4 шт. Будущие поступления не выставляются на продажу. Остаток на начало сентября: требуется актуализация.</x:v>
      </x:c>
      <x:c r="AP496" s="12" t="str">
        <x:v>["category_missing", "daily_stockout_data_missing", "new_order_lead_time_unknown", "reservations_unknown", "stale_stock"]</x:v>
      </x:c>
      <x:c r="AQ496" s="11" t="str">
        <x:v>IEK:080800130_</x:v>
      </x:c>
      <x:c r="AR496" s="23" t="n">
        <x:v>1</x:v>
      </x:c>
      <x:c r="AS496" s="23" t="n">
        <x:v>0</x:v>
      </x:c>
      <x:c r="AT496" s="23" t="n">
        <x:v>0</x:v>
      </x:c>
    </x:row>
    <x:row r="497" ht="64" customHeight="1">
      <x:c r="A497" s="10" t="str">
        <x:v>IEK</x:v>
      </x:c>
      <x:c r="B497" s="34" t="str">
        <x:v>080800132_</x:v>
      </x:c>
      <x:c r="C497" s="34" t="str">
        <x:v>LSR1-2-060-20-1-05-S1</x:v>
      </x:c>
      <x:c r="D497" s="13" t="str">
        <x:v>Светодиодная лента "Сделай сам" LED 5м LSR-2835W60-4,8-IP20-12В-6500K+драйвер+выкл IEK</x:v>
      </x:c>
      <x:c r="E497" s="10" t="str">
        <x:v>шт</x:v>
      </x:c>
      <x:c r="F497" s="37" t="n">
        <x:f>MAX(0,ROUNDDOWN((AG497-AF497)/AR497+0.000000001,0)*AR497)</x:f>
        <x:v>2</x:v>
      </x:c>
      <x:c r="G497" s="21" t="str">
        <x:f>IF(J497="Рассчитано",V497*(1-R497/100)-W497-P497-Q497,"н/д")</x:f>
        <x:v>н/д</x:v>
      </x:c>
      <x:c r="H497" s="13" t="str">
        <x:v>Высокий</x:v>
      </x:c>
      <x:c r="I497" s="13" t="str">
        <x:v>Высокий</x:v>
      </x:c>
      <x:c r="J497" s="13" t="str">
        <x:f>IF(L497="","Укажите валюту",IF(NOT(ISNUMBER(K497)),"Укажите объём",IF(K497&lt;=0,"Укажите объём",IF(K497&gt;F497,"Объём выше излишка",IF(COUNT(M497:O497)&lt;3,"Нужны цены",IF(COUNT(P497:R497)&lt;3,"Нужны расходы",IF(OR(M497&lt;0,N497&lt;0,O497&lt;0,O497&gt;100,P497&lt;0,Q497&lt;0,R497&lt;0,R497&gt;100),"Проверьте значения","Рассчитано")))))))</x:f>
        <x:v>Нужны цены</x:v>
      </x:c>
      <x:c r="K497" s="36" t="n">
        <x:v>2</x:v>
      </x:c>
      <x:c r="L497" s="19" t="str">
        <x:v>KZT</x:v>
      </x:c>
      <x:c r="M497" s="22"/>
      <x:c r="N497" s="22"/>
      <x:c r="O497" s="28"/>
      <x:c r="P497" s="22"/>
      <x:c r="Q497" s="22"/>
      <x:c r="R497" s="28"/>
      <x:c r="S497" s="22"/>
      <x:c r="T497" s="37" t="n">
        <x:f>K497</x:f>
        <x:v>2</x:v>
      </x:c>
      <x:c r="U497" s="21" t="str">
        <x:f>IF(J497="Рассчитано",N497*(1-O497/100),"н/д")</x:f>
        <x:v>н/д</x:v>
      </x:c>
      <x:c r="V497" s="21" t="str">
        <x:f>IF(J497="Рассчитано",T497*U497,"н/д")</x:f>
        <x:v>н/д</x:v>
      </x:c>
      <x:c r="W497" s="21" t="str">
        <x:f>IF(J497="Рассчитано",T497*M497,"н/д")</x:f>
        <x:v>н/д</x:v>
      </x:c>
      <x:c r="X497" s="21" t="str">
        <x:f>IF(J497="Рассчитано",V497-W497,"н/д")</x:f>
        <x:v>н/д</x:v>
      </x:c>
      <x:c r="Y497" s="27" t="str">
        <x:f>IF(J497="Рассчитано",IF(V497&gt;0,G497/V497,"н/д"),"н/д")</x:f>
        <x:v>н/д</x:v>
      </x:c>
      <x:c r="Z497" s="21" t="str">
        <x:f>"н/д"</x:f>
        <x:v>н/д</x:v>
      </x:c>
      <x:c r="AA497" s="21" t="str">
        <x:f>"н/д"</x:f>
        <x:v>н/д</x:v>
      </x:c>
      <x:c r="AB497" s="21" t="str">
        <x:f>"н/д"</x:f>
        <x:v>н/д</x:v>
      </x:c>
      <x:c r="AC497" s="21" t="str">
        <x:f>IF(AND(J497="Рассчитано",T497&gt;0,R497&lt;100),(W497+P497+Q497)/(T497*(1-R497/100)),"н/д")</x:f>
        <x:v>н/д</x:v>
      </x:c>
      <x:c r="AD497" s="10" t="str">
        <x:f>IF(ISNUMBER(G497),IF(G497&lt;0,"Убыток",IF(G497=0,"Без прибыли","Прибыль &gt; 0")),"Не оценён")</x:f>
        <x:v>Не оценён</x:v>
      </x:c>
      <x:c r="AE497" s="13" t="str">
        <x:f>IF(J497="Рассчитано","Выручка "&amp;TEXT(V497,"0.00")&amp;" - себестоимость "&amp;TEXT(W497,"0.00")&amp;" - комиссия "&amp;TEXT(V497*R497/100,"0.00")&amp;" - доставка "&amp;TEXT(P497,"0.00")&amp;" - прочие "&amp;TEXT(Q497,"0.00")&amp;" = "&amp;TEXT(G497,"0.00")&amp;" "&amp;L497,"Введите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7" s="24" t="n">
        <x:v>1.332966893249162</x:v>
      </x:c>
      <x:c r="AG497" s="37" t="n">
        <x:v>4</x:v>
      </x:c>
      <x:c r="AH497" s="37" t="n">
        <x:v>0</x:v>
      </x:c>
      <x:c r="AI497" s="30" t="n">
        <x:v>46266</x:v>
      </x:c>
      <x:c r="AJ497" s="37" t="n">
        <x:v>1</x:v>
      </x:c>
      <x:c r="AK497" s="10" t="str">
        <x:v>минимум</x:v>
      </x:c>
      <x:c r="AL497" s="32" t="n">
        <x:v>255.18766175157543</x:v>
      </x:c>
      <x:c r="AM49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497" s="13" t="str">
        <x:v>Проверить свободный остаток и установить цену для B2B</x:v>
      </x:c>
      <x:c r="AO497" s="13" t="str">
        <x:v>Остаток 4; прогноз 90 дней 1.33; избыток 2 шт. Будущие поступления не выставляются на продажу. Остаток на начало сентября: требуется актуализация.</x:v>
      </x:c>
      <x:c r="AP497" s="13" t="str">
        <x:v>["category_missing", "daily_stockout_data_missing", "new_order_lead_time_unknown", "reservations_unknown", "stale_stock"]</x:v>
      </x:c>
      <x:c r="AQ497" s="10" t="str">
        <x:v>IEK:080800132_</x:v>
      </x:c>
      <x:c r="AR497" s="24" t="n">
        <x:v>1</x:v>
      </x:c>
      <x:c r="AS497" s="24" t="n">
        <x:v>0</x:v>
      </x:c>
      <x:c r="AT497" s="24" t="n">
        <x:v>0</x:v>
      </x:c>
    </x:row>
    <x:row r="498" ht="64" customHeight="1">
      <x:c r="A498" s="11" t="str">
        <x:v>IEK</x:v>
      </x:c>
      <x:c r="B498" s="33" t="str">
        <x:v>080800133_</x:v>
      </x:c>
      <x:c r="C498" s="33" t="str">
        <x:v>LSR1-2-060-65-1-05-S1</x:v>
      </x:c>
      <x:c r="D498" s="12" t="str">
        <x:v>Светодиодная лента "Сделай сам" LED 5м LSR-2835W60-4,8-IP65-12В-6500K+драйвер+выкл IEK</x:v>
      </x:c>
      <x:c r="E498" s="11" t="str">
        <x:v>шт</x:v>
      </x:c>
      <x:c r="F498" s="35" t="n">
        <x:f>MAX(0,ROUNDDOWN((AG498-AF498)/AR498+0.000000001,0)*AR498)</x:f>
        <x:v>1</x:v>
      </x:c>
      <x:c r="G498" s="20" t="str">
        <x:f>IF(J498="Рассчитано",V498*(1-R498/100)-W498-P498-Q498,"н/д")</x:f>
        <x:v>н/д</x:v>
      </x:c>
      <x:c r="H498" s="12" t="str">
        <x:v>Высокий</x:v>
      </x:c>
      <x:c r="I498" s="12" t="str">
        <x:v>Высокий</x:v>
      </x:c>
      <x:c r="J498" s="12" t="str">
        <x:f>IF(L498="","Укажите валюту",IF(NOT(ISNUMBER(K498)),"Укажите объём",IF(K498&lt;=0,"Укажите объём",IF(K498&gt;F498,"Объём выше излишка",IF(COUNT(M498:O498)&lt;3,"Нужны цены",IF(COUNT(P498:R498)&lt;3,"Нужны расходы",IF(OR(M498&lt;0,N498&lt;0,O498&lt;0,O498&gt;100,P498&lt;0,Q498&lt;0,R498&lt;0,R498&gt;100),"Проверьте значения","Рассчитано")))))))</x:f>
        <x:v>Нужны цены</x:v>
      </x:c>
      <x:c r="K498" s="36" t="n">
        <x:v>1</x:v>
      </x:c>
      <x:c r="L498" s="19" t="str">
        <x:v>KZT</x:v>
      </x:c>
      <x:c r="M498" s="22"/>
      <x:c r="N498" s="22"/>
      <x:c r="O498" s="28"/>
      <x:c r="P498" s="22"/>
      <x:c r="Q498" s="22"/>
      <x:c r="R498" s="28"/>
      <x:c r="S498" s="22"/>
      <x:c r="T498" s="35" t="n">
        <x:f>K498</x:f>
        <x:v>1</x:v>
      </x:c>
      <x:c r="U498" s="20" t="str">
        <x:f>IF(J498="Рассчитано",N498*(1-O498/100),"н/д")</x:f>
        <x:v>н/д</x:v>
      </x:c>
      <x:c r="V498" s="20" t="str">
        <x:f>IF(J498="Рассчитано",T498*U498,"н/д")</x:f>
        <x:v>н/д</x:v>
      </x:c>
      <x:c r="W498" s="20" t="str">
        <x:f>IF(J498="Рассчитано",T498*M498,"н/д")</x:f>
        <x:v>н/д</x:v>
      </x:c>
      <x:c r="X498" s="20" t="str">
        <x:f>IF(J498="Рассчитано",V498-W498,"н/д")</x:f>
        <x:v>н/д</x:v>
      </x:c>
      <x:c r="Y498" s="26" t="str">
        <x:f>IF(J498="Рассчитано",IF(V498&gt;0,G498/V498,"н/д"),"н/д")</x:f>
        <x:v>н/д</x:v>
      </x:c>
      <x:c r="Z498" s="20" t="str">
        <x:f>"н/д"</x:f>
        <x:v>н/д</x:v>
      </x:c>
      <x:c r="AA498" s="20" t="str">
        <x:f>"н/д"</x:f>
        <x:v>н/д</x:v>
      </x:c>
      <x:c r="AB498" s="20" t="str">
        <x:f>"н/д"</x:f>
        <x:v>н/д</x:v>
      </x:c>
      <x:c r="AC498" s="20" t="str">
        <x:f>IF(AND(J498="Рассчитано",T498&gt;0,R498&lt;100),(W498+P498+Q498)/(T498*(1-R498/100)),"н/д")</x:f>
        <x:v>н/д</x:v>
      </x:c>
      <x:c r="AD498" s="11" t="str">
        <x:f>IF(ISNUMBER(G498),IF(G498&lt;0,"Убыток",IF(G498=0,"Без прибыли","Прибыль &gt; 0")),"Не оценён")</x:f>
        <x:v>Не оценён</x:v>
      </x:c>
      <x:c r="AE498" s="12" t="str">
        <x:f>IF(J498="Рассчитано","Выручка "&amp;TEXT(V498,"0.00")&amp;" - себестоимость "&amp;TEXT(W498,"0.00")&amp;" - комиссия "&amp;TEXT(V498*R498/100,"0.00")&amp;" - доставка "&amp;TEXT(P498,"0.00")&amp;" - прочие "&amp;TEXT(Q498,"0.00")&amp;" = "&amp;TEXT(G498,"0.00")&amp;" "&amp;L498,"Введите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8" s="23" t="n">
        <x:v>0</x:v>
      </x:c>
      <x:c r="AG498" s="35" t="n">
        <x:v>1</x:v>
      </x:c>
      <x:c r="AH498" s="35" t="n">
        <x:v>0</x:v>
      </x:c>
      <x:c r="AI498" s="29" t="n">
        <x:v>46266</x:v>
      </x:c>
      <x:c r="AJ498" s="35" t="n">
        <x:v>1</x:v>
      </x:c>
      <x:c r="AK498" s="11" t="str">
        <x:v>минимум</x:v>
      </x:c>
      <x:c r="AL498" s="31" t="str">
        <x:v>н/д</x:v>
      </x:c>
      <x:c r="AM49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98" s="12" t="str">
        <x:v>Проверить свободный остаток и установить цену для B2B</x:v>
      </x:c>
      <x:c r="AO498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498" s="12" t="str">
        <x:v>["category_missing", "daily_stockout_data_missing", "new_order_lead_time_unknown", "reservations_unknown", "stale_stock"]</x:v>
      </x:c>
      <x:c r="AQ498" s="11" t="str">
        <x:v>IEK:080800133_</x:v>
      </x:c>
      <x:c r="AR498" s="23" t="n">
        <x:v>1</x:v>
      </x:c>
      <x:c r="AS498" s="23" t="n">
        <x:v>0</x:v>
      </x:c>
      <x:c r="AT498" s="23" t="n">
        <x:v>0</x:v>
      </x:c>
    </x:row>
    <x:row r="499" ht="64" customHeight="1">
      <x:c r="A499" s="10" t="str">
        <x:v>IEK</x:v>
      </x:c>
      <x:c r="B499" s="34" t="str">
        <x:v>080800134_</x:v>
      </x:c>
      <x:c r="C499" s="34" t="str">
        <x:v>LSR2-3-060-20-1-05-S2</x:v>
      </x:c>
      <x:c r="D499" s="13" t="str">
        <x:v>Светодиодная лента "Сделай сам" LED 5м LSR-5050RGB60-14,4-IP20-12В+драйвер+контр IEK</x:v>
      </x:c>
      <x:c r="E499" s="10" t="str">
        <x:v>шт</x:v>
      </x:c>
      <x:c r="F499" s="37" t="n">
        <x:f>MAX(0,ROUNDDOWN((AG499-AF499)/AR499+0.000000001,0)*AR499)</x:f>
        <x:v>1</x:v>
      </x:c>
      <x:c r="G499" s="21" t="str">
        <x:f>IF(J499="Рассчитано",V499*(1-R499/100)-W499-P499-Q499,"н/д")</x:f>
        <x:v>н/д</x:v>
      </x:c>
      <x:c r="H499" s="13" t="str">
        <x:v>Высокий</x:v>
      </x:c>
      <x:c r="I499" s="13" t="str">
        <x:v>Высокий</x:v>
      </x:c>
      <x:c r="J499" s="13" t="str">
        <x:f>IF(L499="","Укажите валюту",IF(NOT(ISNUMBER(K499)),"Укажите объём",IF(K499&lt;=0,"Укажите объём",IF(K499&gt;F499,"Объём выше излишка",IF(COUNT(M499:O499)&lt;3,"Нужны цены",IF(COUNT(P499:R499)&lt;3,"Нужны расходы",IF(OR(M499&lt;0,N499&lt;0,O499&lt;0,O499&gt;100,P499&lt;0,Q499&lt;0,R499&lt;0,R499&gt;100),"Проверьте значения","Рассчитано")))))))</x:f>
        <x:v>Нужны цены</x:v>
      </x:c>
      <x:c r="K499" s="36" t="n">
        <x:v>1</x:v>
      </x:c>
      <x:c r="L499" s="19" t="str">
        <x:v>KZT</x:v>
      </x:c>
      <x:c r="M499" s="22"/>
      <x:c r="N499" s="22"/>
      <x:c r="O499" s="28"/>
      <x:c r="P499" s="22"/>
      <x:c r="Q499" s="22"/>
      <x:c r="R499" s="28"/>
      <x:c r="S499" s="22"/>
      <x:c r="T499" s="37" t="n">
        <x:f>K499</x:f>
        <x:v>1</x:v>
      </x:c>
      <x:c r="U499" s="21" t="str">
        <x:f>IF(J499="Рассчитано",N499*(1-O499/100),"н/д")</x:f>
        <x:v>н/д</x:v>
      </x:c>
      <x:c r="V499" s="21" t="str">
        <x:f>IF(J499="Рассчитано",T499*U499,"н/д")</x:f>
        <x:v>н/д</x:v>
      </x:c>
      <x:c r="W499" s="21" t="str">
        <x:f>IF(J499="Рассчитано",T499*M499,"н/д")</x:f>
        <x:v>н/д</x:v>
      </x:c>
      <x:c r="X499" s="21" t="str">
        <x:f>IF(J499="Рассчитано",V499-W499,"н/д")</x:f>
        <x:v>н/д</x:v>
      </x:c>
      <x:c r="Y499" s="27" t="str">
        <x:f>IF(J499="Рассчитано",IF(V499&gt;0,G499/V499,"н/д"),"н/д")</x:f>
        <x:v>н/д</x:v>
      </x:c>
      <x:c r="Z499" s="21" t="str">
        <x:f>"н/д"</x:f>
        <x:v>н/д</x:v>
      </x:c>
      <x:c r="AA499" s="21" t="str">
        <x:f>"н/д"</x:f>
        <x:v>н/д</x:v>
      </x:c>
      <x:c r="AB499" s="21" t="str">
        <x:f>"н/д"</x:f>
        <x:v>н/д</x:v>
      </x:c>
      <x:c r="AC499" s="21" t="str">
        <x:f>IF(AND(J499="Рассчитано",T499&gt;0,R499&lt;100),(W499+P499+Q499)/(T499*(1-R499/100)),"н/д")</x:f>
        <x:v>н/д</x:v>
      </x:c>
      <x:c r="AD499" s="10" t="str">
        <x:f>IF(ISNUMBER(G499),IF(G499&lt;0,"Убыток",IF(G499=0,"Без прибыли","Прибыль &gt; 0")),"Не оценён")</x:f>
        <x:v>Не оценён</x:v>
      </x:c>
      <x:c r="AE499" s="13" t="str">
        <x:f>IF(J499="Рассчитано","Выручка "&amp;TEXT(V499,"0.00")&amp;" - себестоимость "&amp;TEXT(W499,"0.00")&amp;" - комиссия "&amp;TEXT(V499*R499/100,"0.00")&amp;" - доставка "&amp;TEXT(P499,"0.00")&amp;" - прочие "&amp;TEXT(Q499,"0.00")&amp;" = "&amp;TEXT(G499,"0.00")&amp;" "&amp;L499,"Введите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9" s="24" t="n">
        <x:v>0</x:v>
      </x:c>
      <x:c r="AG499" s="37" t="n">
        <x:v>1</x:v>
      </x:c>
      <x:c r="AH499" s="37" t="n">
        <x:v>0</x:v>
      </x:c>
      <x:c r="AI499" s="30" t="n">
        <x:v>46266</x:v>
      </x:c>
      <x:c r="AJ499" s="37" t="n">
        <x:v>1</x:v>
      </x:c>
      <x:c r="AK499" s="10" t="str">
        <x:v>минимум</x:v>
      </x:c>
      <x:c r="AL499" s="32" t="str">
        <x:v>н/д</x:v>
      </x:c>
      <x:c r="AM49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499" s="13" t="str">
        <x:v>Проверить свободный остаток и установить цену для B2B</x:v>
      </x:c>
      <x:c r="AO499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499" s="13" t="str">
        <x:v>["category_missing", "daily_stockout_data_missing", "new_order_lead_time_unknown", "reservations_unknown", "stale_stock"]</x:v>
      </x:c>
      <x:c r="AQ499" s="10" t="str">
        <x:v>IEK:080800134_</x:v>
      </x:c>
      <x:c r="AR499" s="24" t="n">
        <x:v>1</x:v>
      </x:c>
      <x:c r="AS499" s="24" t="n">
        <x:v>0</x:v>
      </x:c>
      <x:c r="AT499" s="24" t="n">
        <x:v>0</x:v>
      </x:c>
    </x:row>
    <x:row r="500" ht="64" customHeight="1">
      <x:c r="A500" s="11" t="str">
        <x:v>IEK</x:v>
      </x:c>
      <x:c r="B500" s="33" t="str">
        <x:v>080800135_</x:v>
      </x:c>
      <x:c r="C500" s="33" t="str">
        <x:v>LSR2-3-060-65-1-05-S2</x:v>
      </x:c>
      <x:c r="D500" s="12" t="str">
        <x:v>Светодиодная лента "Сделай сам" LED 5м LSR-5050RGB60-14,4-IP65-12В+драйвер+контр IEK</x:v>
      </x:c>
      <x:c r="E500" s="11" t="str">
        <x:v>шт</x:v>
      </x:c>
      <x:c r="F500" s="35" t="n">
        <x:f>MAX(0,ROUNDDOWN((AG500-AF500)/AR500+0.000000001,0)*AR500)</x:f>
        <x:v>1</x:v>
      </x:c>
      <x:c r="G500" s="20" t="str">
        <x:f>IF(J500="Рассчитано",V500*(1-R500/100)-W500-P500-Q500,"н/д")</x:f>
        <x:v>н/д</x:v>
      </x:c>
      <x:c r="H500" s="12" t="str">
        <x:v>Высокий</x:v>
      </x:c>
      <x:c r="I500" s="12" t="str">
        <x:v>Высокий</x:v>
      </x:c>
      <x:c r="J500" s="12" t="str">
        <x:f>IF(L500="","Укажите валюту",IF(NOT(ISNUMBER(K500)),"Укажите объём",IF(K500&lt;=0,"Укажите объём",IF(K500&gt;F500,"Объём выше излишка",IF(COUNT(M500:O500)&lt;3,"Нужны цены",IF(COUNT(P500:R500)&lt;3,"Нужны расходы",IF(OR(M500&lt;0,N500&lt;0,O500&lt;0,O500&gt;100,P500&lt;0,Q500&lt;0,R500&lt;0,R500&gt;100),"Проверьте значения","Рассчитано")))))))</x:f>
        <x:v>Нужны цены</x:v>
      </x:c>
      <x:c r="K500" s="36" t="n">
        <x:v>1</x:v>
      </x:c>
      <x:c r="L500" s="19" t="str">
        <x:v>KZT</x:v>
      </x:c>
      <x:c r="M500" s="22"/>
      <x:c r="N500" s="22"/>
      <x:c r="O500" s="28"/>
      <x:c r="P500" s="22"/>
      <x:c r="Q500" s="22"/>
      <x:c r="R500" s="28"/>
      <x:c r="S500" s="22"/>
      <x:c r="T500" s="35" t="n">
        <x:f>K500</x:f>
        <x:v>1</x:v>
      </x:c>
      <x:c r="U500" s="20" t="str">
        <x:f>IF(J500="Рассчитано",N500*(1-O500/100),"н/д")</x:f>
        <x:v>н/д</x:v>
      </x:c>
      <x:c r="V500" s="20" t="str">
        <x:f>IF(J500="Рассчитано",T500*U500,"н/д")</x:f>
        <x:v>н/д</x:v>
      </x:c>
      <x:c r="W500" s="20" t="str">
        <x:f>IF(J500="Рассчитано",T500*M500,"н/д")</x:f>
        <x:v>н/д</x:v>
      </x:c>
      <x:c r="X500" s="20" t="str">
        <x:f>IF(J500="Рассчитано",V500-W500,"н/д")</x:f>
        <x:v>н/д</x:v>
      </x:c>
      <x:c r="Y500" s="26" t="str">
        <x:f>IF(J500="Рассчитано",IF(V500&gt;0,G500/V500,"н/д"),"н/д")</x:f>
        <x:v>н/д</x:v>
      </x:c>
      <x:c r="Z500" s="20" t="str">
        <x:f>"н/д"</x:f>
        <x:v>н/д</x:v>
      </x:c>
      <x:c r="AA500" s="20" t="str">
        <x:f>"н/д"</x:f>
        <x:v>н/д</x:v>
      </x:c>
      <x:c r="AB500" s="20" t="str">
        <x:f>"н/д"</x:f>
        <x:v>н/д</x:v>
      </x:c>
      <x:c r="AC500" s="20" t="str">
        <x:f>IF(AND(J500="Рассчитано",T500&gt;0,R500&lt;100),(W500+P500+Q500)/(T500*(1-R500/100)),"н/д")</x:f>
        <x:v>н/д</x:v>
      </x:c>
      <x:c r="AD500" s="11" t="str">
        <x:f>IF(ISNUMBER(G500),IF(G500&lt;0,"Убыток",IF(G500=0,"Без прибыли","Прибыль &gt; 0")),"Не оценён")</x:f>
        <x:v>Не оценён</x:v>
      </x:c>
      <x:c r="AE500" s="12" t="str">
        <x:f>IF(J500="Рассчитано","Выручка "&amp;TEXT(V500,"0.00")&amp;" - себестоимость "&amp;TEXT(W500,"0.00")&amp;" - комиссия "&amp;TEXT(V500*R500/100,"0.00")&amp;" - доставка "&amp;TEXT(P500,"0.00")&amp;" - прочие "&amp;TEXT(Q500,"0.00")&amp;" = "&amp;TEXT(G500,"0.00")&amp;" "&amp;L500,"Введите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0" s="23" t="n">
        <x:v>0</x:v>
      </x:c>
      <x:c r="AG500" s="35" t="n">
        <x:v>1</x:v>
      </x:c>
      <x:c r="AH500" s="35" t="n">
        <x:v>0</x:v>
      </x:c>
      <x:c r="AI500" s="29" t="n">
        <x:v>46266</x:v>
      </x:c>
      <x:c r="AJ500" s="35" t="n">
        <x:v>1</x:v>
      </x:c>
      <x:c r="AK500" s="11" t="str">
        <x:v>минимум</x:v>
      </x:c>
      <x:c r="AL500" s="31" t="str">
        <x:v>н/д</x:v>
      </x:c>
      <x:c r="AM50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500" s="12" t="str">
        <x:v>Проверить свободный остаток и установить цену для B2B</x:v>
      </x:c>
      <x:c r="AO500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500" s="12" t="str">
        <x:v>["category_missing", "daily_stockout_data_missing", "new_order_lead_time_unknown", "reservations_unknown", "stale_stock"]</x:v>
      </x:c>
      <x:c r="AQ500" s="11" t="str">
        <x:v>IEK:080800135_</x:v>
      </x:c>
      <x:c r="AR500" s="23" t="n">
        <x:v>1</x:v>
      </x:c>
      <x:c r="AS500" s="23" t="n">
        <x:v>0</x:v>
      </x:c>
      <x:c r="AT500" s="23" t="n">
        <x:v>0</x:v>
      </x:c>
    </x:row>
    <x:row r="501" ht="64" customHeight="1">
      <x:c r="A501" s="10" t="str">
        <x:v>IEK</x:v>
      </x:c>
      <x:c r="B501" s="34" t="str">
        <x:v>081100277_</x:v>
      </x:c>
      <x:c r="C501" s="34" t="str">
        <x:v>LLE-A60-11-230-30-E27</x:v>
      </x:c>
      <x:c r="D501" s="13" t="str">
        <x:v>LED A60 "ECO" 11w 230v 3000K E27 IEK(1)</x:v>
      </x:c>
      <x:c r="E501" s="10" t="str">
        <x:v>шт</x:v>
      </x:c>
      <x:c r="F501" s="37" t="n">
        <x:f>MAX(0,ROUNDDOWN((AG501-AF501)/AR501+0.000000001,0)*AR501)</x:f>
        <x:v>23</x:v>
      </x:c>
      <x:c r="G501" s="21" t="str">
        <x:f>IF(J501="Рассчитано",V501*(1-R501/100)-W501-P501-Q501,"н/д")</x:f>
        <x:v>н/д</x:v>
      </x:c>
      <x:c r="H501" s="13" t="str">
        <x:v>Высокий</x:v>
      </x:c>
      <x:c r="I501" s="13" t="str">
        <x:v>Высокий</x:v>
      </x:c>
      <x:c r="J501" s="13" t="str">
        <x:f>IF(L501="","Укажите валюту",IF(NOT(ISNUMBER(K501)),"Укажите объём",IF(K501&lt;=0,"Укажите объём",IF(K501&gt;F501,"Объём выше излишка",IF(COUNT(M501:O501)&lt;3,"Нужны цены",IF(COUNT(P501:R501)&lt;3,"Нужны расходы",IF(OR(M501&lt;0,N501&lt;0,O501&lt;0,O501&gt;100,P501&lt;0,Q501&lt;0,R501&lt;0,R501&gt;100),"Проверьте значения","Рассчитано")))))))</x:f>
        <x:v>Нужны цены</x:v>
      </x:c>
      <x:c r="K501" s="36" t="n">
        <x:v>23</x:v>
      </x:c>
      <x:c r="L501" s="19" t="str">
        <x:v>KZT</x:v>
      </x:c>
      <x:c r="M501" s="22"/>
      <x:c r="N501" s="22"/>
      <x:c r="O501" s="28"/>
      <x:c r="P501" s="22"/>
      <x:c r="Q501" s="22"/>
      <x:c r="R501" s="28"/>
      <x:c r="S501" s="22"/>
      <x:c r="T501" s="37" t="n">
        <x:f>K501</x:f>
        <x:v>23</x:v>
      </x:c>
      <x:c r="U501" s="21" t="str">
        <x:f>IF(J501="Рассчитано",N501*(1-O501/100),"н/д")</x:f>
        <x:v>н/д</x:v>
      </x:c>
      <x:c r="V501" s="21" t="str">
        <x:f>IF(J501="Рассчитано",T501*U501,"н/д")</x:f>
        <x:v>н/д</x:v>
      </x:c>
      <x:c r="W501" s="21" t="str">
        <x:f>IF(J501="Рассчитано",T501*M501,"н/д")</x:f>
        <x:v>н/д</x:v>
      </x:c>
      <x:c r="X501" s="21" t="str">
        <x:f>IF(J501="Рассчитано",V501-W501,"н/д")</x:f>
        <x:v>н/д</x:v>
      </x:c>
      <x:c r="Y501" s="27" t="str">
        <x:f>IF(J501="Рассчитано",IF(V501&gt;0,G501/V501,"н/д"),"н/д")</x:f>
        <x:v>н/д</x:v>
      </x:c>
      <x:c r="Z501" s="21" t="str">
        <x:f>"н/д"</x:f>
        <x:v>н/д</x:v>
      </x:c>
      <x:c r="AA501" s="21" t="str">
        <x:f>"н/д"</x:f>
        <x:v>н/д</x:v>
      </x:c>
      <x:c r="AB501" s="21" t="str">
        <x:f>"н/д"</x:f>
        <x:v>н/д</x:v>
      </x:c>
      <x:c r="AC501" s="21" t="str">
        <x:f>IF(AND(J501="Рассчитано",T501&gt;0,R501&lt;100),(W501+P501+Q501)/(T501*(1-R501/100)),"н/д")</x:f>
        <x:v>н/д</x:v>
      </x:c>
      <x:c r="AD501" s="10" t="str">
        <x:f>IF(ISNUMBER(G501),IF(G501&lt;0,"Убыток",IF(G501=0,"Без прибыли","Прибыль &gt; 0")),"Не оценён")</x:f>
        <x:v>Не оценён</x:v>
      </x:c>
      <x:c r="AE501" s="13" t="str">
        <x:f>IF(J501="Рассчитано","Выручка "&amp;TEXT(V501,"0.00")&amp;" - себестоимость "&amp;TEXT(W501,"0.00")&amp;" - комиссия "&amp;TEXT(V501*R501/100,"0.00")&amp;" - доставка "&amp;TEXT(P501,"0.00")&amp;" - прочие "&amp;TEXT(Q501,"0.00")&amp;" = "&amp;TEXT(G501,"0.00")&amp;" "&amp;L501,"Введите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1" s="24" t="n">
        <x:v>5.890559419944599</x:v>
      </x:c>
      <x:c r="AG501" s="37" t="n">
        <x:v>29</x:v>
      </x:c>
      <x:c r="AH501" s="37" t="n">
        <x:v>0</x:v>
      </x:c>
      <x:c r="AI501" s="30" t="n">
        <x:v>46266</x:v>
      </x:c>
      <x:c r="AJ501" s="37" t="n">
        <x:v>10</x:v>
      </x:c>
      <x:c r="AK501" s="10" t="str">
        <x:v>минимум</x:v>
      </x:c>
      <x:c r="AL501" s="32" t="n">
        <x:v>418.65906667264085</x:v>
      </x:c>
      <x:c r="AM50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01" s="13" t="str">
        <x:v>Проверить свободный остаток и установить цену для B2B</x:v>
      </x:c>
      <x:c r="AO501" s="13" t="str">
        <x:v>Остаток 29; прогноз 90 дней 5.89; избыток 23 шт. Будущие поступления не выставляются на продажу. Остаток на начало сентября: требуется актуализация.</x:v>
      </x:c>
      <x:c r="AP501" s="13" t="str">
        <x:v>["category_missing", "daily_stockout_data_missing", "new_order_lead_time_unknown", "reservations_unknown", "stale_stock"]</x:v>
      </x:c>
      <x:c r="AQ501" s="10" t="str">
        <x:v>IEK:081100277_</x:v>
      </x:c>
      <x:c r="AR501" s="24" t="n">
        <x:v>1</x:v>
      </x:c>
      <x:c r="AS501" s="24" t="n">
        <x:v>0</x:v>
      </x:c>
      <x:c r="AT501" s="24" t="n">
        <x:v>0</x:v>
      </x:c>
    </x:row>
    <x:row r="502" ht="64" customHeight="1">
      <x:c r="A502" s="11" t="str">
        <x:v>IEK</x:v>
      </x:c>
      <x:c r="B502" s="33" t="str">
        <x:v>081100391_</x:v>
      </x:c>
      <x:c r="C502" s="33" t="str">
        <x:v>LLE-T8-10-230-65-G13</x:v>
      </x:c>
      <x:c r="D502" s="12" t="str">
        <x:v>LED Лампа T8  10w 230v 6500K G13  IEK (20)</x:v>
      </x:c>
      <x:c r="E502" s="11" t="str">
        <x:v>шт</x:v>
      </x:c>
      <x:c r="F502" s="35" t="n">
        <x:f>MAX(0,ROUNDDOWN((AG502-AF502)/AR502+0.000000001,0)*AR502)</x:f>
        <x:v>9</x:v>
      </x:c>
      <x:c r="G502" s="20" t="str">
        <x:f>IF(J502="Рассчитано",V502*(1-R502/100)-W502-P502-Q502,"н/д")</x:f>
        <x:v>н/д</x:v>
      </x:c>
      <x:c r="H502" s="12" t="str">
        <x:v>Высокий</x:v>
      </x:c>
      <x:c r="I502" s="12" t="str">
        <x:v>Высокий</x:v>
      </x:c>
      <x:c r="J502" s="12" t="str">
        <x:f>IF(L502="","Укажите валюту",IF(NOT(ISNUMBER(K502)),"Укажите объём",IF(K502&lt;=0,"Укажите объём",IF(K502&gt;F502,"Объём выше излишка",IF(COUNT(M502:O502)&lt;3,"Нужны цены",IF(COUNT(P502:R502)&lt;3,"Нужны расходы",IF(OR(M502&lt;0,N502&lt;0,O502&lt;0,O502&gt;100,P502&lt;0,Q502&lt;0,R502&lt;0,R502&gt;100),"Проверьте значения","Рассчитано")))))))</x:f>
        <x:v>Нужны цены</x:v>
      </x:c>
      <x:c r="K502" s="36" t="n">
        <x:v>9</x:v>
      </x:c>
      <x:c r="L502" s="19" t="str">
        <x:v>KZT</x:v>
      </x:c>
      <x:c r="M502" s="22"/>
      <x:c r="N502" s="22"/>
      <x:c r="O502" s="28"/>
      <x:c r="P502" s="22"/>
      <x:c r="Q502" s="22"/>
      <x:c r="R502" s="28"/>
      <x:c r="S502" s="22"/>
      <x:c r="T502" s="35" t="n">
        <x:f>K502</x:f>
        <x:v>9</x:v>
      </x:c>
      <x:c r="U502" s="20" t="str">
        <x:f>IF(J502="Рассчитано",N502*(1-O502/100),"н/д")</x:f>
        <x:v>н/д</x:v>
      </x:c>
      <x:c r="V502" s="20" t="str">
        <x:f>IF(J502="Рассчитано",T502*U502,"н/д")</x:f>
        <x:v>н/д</x:v>
      </x:c>
      <x:c r="W502" s="20" t="str">
        <x:f>IF(J502="Рассчитано",T502*M502,"н/д")</x:f>
        <x:v>н/д</x:v>
      </x:c>
      <x:c r="X502" s="20" t="str">
        <x:f>IF(J502="Рассчитано",V502-W502,"н/д")</x:f>
        <x:v>н/д</x:v>
      </x:c>
      <x:c r="Y502" s="26" t="str">
        <x:f>IF(J502="Рассчитано",IF(V502&gt;0,G502/V502,"н/д"),"н/д")</x:f>
        <x:v>н/д</x:v>
      </x:c>
      <x:c r="Z502" s="20" t="str">
        <x:f>"н/д"</x:f>
        <x:v>н/д</x:v>
      </x:c>
      <x:c r="AA502" s="20" t="str">
        <x:f>"н/д"</x:f>
        <x:v>н/д</x:v>
      </x:c>
      <x:c r="AB502" s="20" t="str">
        <x:f>"н/д"</x:f>
        <x:v>н/д</x:v>
      </x:c>
      <x:c r="AC502" s="20" t="str">
        <x:f>IF(AND(J502="Рассчитано",T502&gt;0,R502&lt;100),(W502+P502+Q502)/(T502*(1-R502/100)),"н/д")</x:f>
        <x:v>н/д</x:v>
      </x:c>
      <x:c r="AD502" s="11" t="str">
        <x:f>IF(ISNUMBER(G502),IF(G502&lt;0,"Убыток",IF(G502=0,"Без прибыли","Прибыль &gt; 0")),"Не оценён")</x:f>
        <x:v>Не оценён</x:v>
      </x:c>
      <x:c r="AE502" s="12" t="str">
        <x:f>IF(J502="Рассчитано","Выручка "&amp;TEXT(V502,"0.00")&amp;" - себестоимость "&amp;TEXT(W502,"0.00")&amp;" - комиссия "&amp;TEXT(V502*R502/100,"0.00")&amp;" - доставка "&amp;TEXT(P502,"0.00")&amp;" - прочие "&amp;TEXT(Q502,"0.00")&amp;" = "&amp;TEXT(G502,"0.00")&amp;" "&amp;L502,"Введите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2" s="23" t="n">
        <x:v>0.9865067005171744</x:v>
      </x:c>
      <x:c r="AG502" s="35" t="n">
        <x:v>10</x:v>
      </x:c>
      <x:c r="AH502" s="35" t="n">
        <x:v>0</x:v>
      </x:c>
      <x:c r="AI502" s="29" t="n">
        <x:v>46266</x:v>
      </x:c>
      <x:c r="AJ502" s="35"/>
      <x:c r="AK502" s="11" t="str">
        <x:v>неизвестно</x:v>
      </x:c>
      <x:c r="AL502" s="31" t="n">
        <x:v>862.0233002527755</x:v>
      </x:c>
      <x:c r="AM50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02" s="12" t="str">
        <x:v>Проверить свободный остаток и установить цену для B2B</x:v>
      </x:c>
      <x:c r="AO502" s="12" t="str">
        <x:v>Остаток 10; прогноз 90 дней 0.99; избыток 9 шт. Будущие поступления не выставляются на продажу. Остаток на начало сентября: требуется актуализация.</x:v>
      </x:c>
      <x:c r="AP502" s="12" t="str">
        <x:v>["category_missing", "daily_stockout_data_missing", "moq_missing", "new_order_lead_time_unknown", "reservations_unknown", "stale_stock"]</x:v>
      </x:c>
      <x:c r="AQ502" s="11" t="str">
        <x:v>IEK:081100391_</x:v>
      </x:c>
      <x:c r="AR502" s="23" t="n">
        <x:v>1</x:v>
      </x:c>
      <x:c r="AS502" s="23" t="n">
        <x:v>0</x:v>
      </x:c>
      <x:c r="AT502" s="23" t="n">
        <x:v>0</x:v>
      </x:c>
    </x:row>
    <x:row r="503" ht="64" customHeight="1">
      <x:c r="A503" s="10" t="str">
        <x:v>IEK</x:v>
      </x:c>
      <x:c r="B503" s="34" t="str">
        <x:v>081100393_</x:v>
      </x:c>
      <x:c r="C503" s="34" t="str">
        <x:v>LLE-T8-18-230-65-G13</x:v>
      </x:c>
      <x:c r="D503" s="13" t="str">
        <x:v>LED Лампа T8  18w 230v 6500K G13 IEK (20)</x:v>
      </x:c>
      <x:c r="E503" s="10" t="str">
        <x:v>шт</x:v>
      </x:c>
      <x:c r="F503" s="37" t="n">
        <x:f>MAX(0,ROUNDDOWN((AG503-AF503)/AR503+0.000000001,0)*AR503)</x:f>
        <x:v>1</x:v>
      </x:c>
      <x:c r="G503" s="21" t="str">
        <x:f>IF(J503="Рассчитано",V503*(1-R503/100)-W503-P503-Q503,"н/д")</x:f>
        <x:v>н/д</x:v>
      </x:c>
      <x:c r="H503" s="13" t="str">
        <x:v>Высокий</x:v>
      </x:c>
      <x:c r="I503" s="13" t="str">
        <x:v>Высокий</x:v>
      </x:c>
      <x:c r="J503" s="13" t="str">
        <x:f>IF(L503="","Укажите валюту",IF(NOT(ISNUMBER(K503)),"Укажите объём",IF(K503&lt;=0,"Укажите объём",IF(K503&gt;F503,"Объём выше излишка",IF(COUNT(M503:O503)&lt;3,"Нужны цены",IF(COUNT(P503:R503)&lt;3,"Нужны расходы",IF(OR(M503&lt;0,N503&lt;0,O503&lt;0,O503&gt;100,P503&lt;0,Q503&lt;0,R503&lt;0,R503&gt;100),"Проверьте значения","Рассчитано")))))))</x:f>
        <x:v>Нужны цены</x:v>
      </x:c>
      <x:c r="K503" s="36" t="n">
        <x:v>1</x:v>
      </x:c>
      <x:c r="L503" s="19" t="str">
        <x:v>KZT</x:v>
      </x:c>
      <x:c r="M503" s="22"/>
      <x:c r="N503" s="22"/>
      <x:c r="O503" s="28"/>
      <x:c r="P503" s="22"/>
      <x:c r="Q503" s="22"/>
      <x:c r="R503" s="28"/>
      <x:c r="S503" s="22"/>
      <x:c r="T503" s="37" t="n">
        <x:f>K503</x:f>
        <x:v>1</x:v>
      </x:c>
      <x:c r="U503" s="21" t="str">
        <x:f>IF(J503="Рассчитано",N503*(1-O503/100),"н/д")</x:f>
        <x:v>н/д</x:v>
      </x:c>
      <x:c r="V503" s="21" t="str">
        <x:f>IF(J503="Рассчитано",T503*U503,"н/д")</x:f>
        <x:v>н/д</x:v>
      </x:c>
      <x:c r="W503" s="21" t="str">
        <x:f>IF(J503="Рассчитано",T503*M503,"н/д")</x:f>
        <x:v>н/д</x:v>
      </x:c>
      <x:c r="X503" s="21" t="str">
        <x:f>IF(J503="Рассчитано",V503-W503,"н/д")</x:f>
        <x:v>н/д</x:v>
      </x:c>
      <x:c r="Y503" s="27" t="str">
        <x:f>IF(J503="Рассчитано",IF(V503&gt;0,G503/V503,"н/д"),"н/д")</x:f>
        <x:v>н/д</x:v>
      </x:c>
      <x:c r="Z503" s="21" t="str">
        <x:f>"н/д"</x:f>
        <x:v>н/д</x:v>
      </x:c>
      <x:c r="AA503" s="21" t="str">
        <x:f>"н/д"</x:f>
        <x:v>н/д</x:v>
      </x:c>
      <x:c r="AB503" s="21" t="str">
        <x:f>"н/д"</x:f>
        <x:v>н/д</x:v>
      </x:c>
      <x:c r="AC503" s="21" t="str">
        <x:f>IF(AND(J503="Рассчитано",T503&gt;0,R503&lt;100),(W503+P503+Q503)/(T503*(1-R503/100)),"н/д")</x:f>
        <x:v>н/д</x:v>
      </x:c>
      <x:c r="AD503" s="10" t="str">
        <x:f>IF(ISNUMBER(G503),IF(G503&lt;0,"Убыток",IF(G503=0,"Без прибыли","Прибыль &gt; 0")),"Не оценён")</x:f>
        <x:v>Не оценён</x:v>
      </x:c>
      <x:c r="AE503" s="13" t="str">
        <x:f>IF(J503="Рассчитано","Выручка "&amp;TEXT(V503,"0.00")&amp;" - себестоимость "&amp;TEXT(W503,"0.00")&amp;" - комиссия "&amp;TEXT(V503*R503/100,"0.00")&amp;" - доставка "&amp;TEXT(P503,"0.00")&amp;" - прочие "&amp;TEXT(Q503,"0.00")&amp;" = "&amp;TEXT(G503,"0.00")&amp;" "&amp;L503,"Введите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3" s="24" t="n">
        <x:v>0</x:v>
      </x:c>
      <x:c r="AG503" s="37" t="n">
        <x:v>1</x:v>
      </x:c>
      <x:c r="AH503" s="37" t="n">
        <x:v>0</x:v>
      </x:c>
      <x:c r="AI503" s="30" t="n">
        <x:v>46266</x:v>
      </x:c>
      <x:c r="AJ503" s="37"/>
      <x:c r="AK503" s="10" t="str">
        <x:v>неизвестно</x:v>
      </x:c>
      <x:c r="AL503" s="32" t="str">
        <x:v>н/д</x:v>
      </x:c>
      <x:c r="AM503" s="13" t="str">
        <x:v>Остаток на начало сентября; Резервы неизвестны; Детальные и месячные продажи расходятся; Нет ежедневных данных доступности. Нет положительных чистых продаж за 12 месяцев</x:v>
      </x:c>
      <x:c r="AN503" s="13" t="str">
        <x:v>Проверить свободный остаток и установить цену для B2B</x:v>
      </x:c>
      <x:c r="AO503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503" s="13" t="str">
        <x:v>["category_missing", "daily_stockout_data_missing", "large_orders_detected", "moq_missing", "new_order_lead_time_unknown", "reservations_unknown", "stale_stock", "transaction_month_mismatch"]</x:v>
      </x:c>
      <x:c r="AQ503" s="10" t="str">
        <x:v>IEK:081100393_</x:v>
      </x:c>
      <x:c r="AR503" s="24" t="n">
        <x:v>1</x:v>
      </x:c>
      <x:c r="AS503" s="24" t="n">
        <x:v>0</x:v>
      </x:c>
      <x:c r="AT503" s="24" t="n">
        <x:v>0</x:v>
      </x:c>
    </x:row>
    <x:row r="504" ht="64" customHeight="1">
      <x:c r="A504" s="11" t="str">
        <x:v>IEK</x:v>
      </x:c>
      <x:c r="B504" s="33" t="str">
        <x:v>081100641_</x:v>
      </x:c>
      <x:c r="C504" s="33" t="str">
        <x:v>LLF-A60-11-230-40-E27-CL</x:v>
      </x:c>
      <x:c r="D504" s="12" t="str">
        <x:v>Лампа филаментная LED A60 шар прозр. 11Вт 230В 4000К E27 серия 360° IEK</x:v>
      </x:c>
      <x:c r="E504" s="11" t="str">
        <x:v>шт</x:v>
      </x:c>
      <x:c r="F504" s="35" t="n">
        <x:f>MAX(0,ROUNDDOWN((AG504-AF504)/AR504+0.000000001,0)*AR504)</x:f>
        <x:v>25</x:v>
      </x:c>
      <x:c r="G504" s="20" t="str">
        <x:f>IF(J504="Рассчитано",V504*(1-R504/100)-W504-P504-Q504,"н/д")</x:f>
        <x:v>н/д</x:v>
      </x:c>
      <x:c r="H504" s="12" t="str">
        <x:v>Высокий</x:v>
      </x:c>
      <x:c r="I504" s="12" t="str">
        <x:v>Средний</x:v>
      </x:c>
      <x:c r="J504" s="12" t="str">
        <x:f>IF(L504="","Укажите валюту",IF(NOT(ISNUMBER(K504)),"Укажите объём",IF(K504&lt;=0,"Укажите объём",IF(K504&gt;F504,"Объём выше излишка",IF(COUNT(M504:O504)&lt;3,"Нужны цены",IF(COUNT(P504:R504)&lt;3,"Нужны расходы",IF(OR(M504&lt;0,N504&lt;0,O504&lt;0,O504&gt;100,P504&lt;0,Q504&lt;0,R504&lt;0,R504&gt;100),"Проверьте значения","Рассчитано")))))))</x:f>
        <x:v>Нужны цены</x:v>
      </x:c>
      <x:c r="K504" s="36" t="n">
        <x:v>25</x:v>
      </x:c>
      <x:c r="L504" s="19" t="str">
        <x:v>KZT</x:v>
      </x:c>
      <x:c r="M504" s="22"/>
      <x:c r="N504" s="22"/>
      <x:c r="O504" s="28"/>
      <x:c r="P504" s="22"/>
      <x:c r="Q504" s="22"/>
      <x:c r="R504" s="28"/>
      <x:c r="S504" s="22"/>
      <x:c r="T504" s="35" t="n">
        <x:f>K504</x:f>
        <x:v>25</x:v>
      </x:c>
      <x:c r="U504" s="20" t="str">
        <x:f>IF(J504="Рассчитано",N504*(1-O504/100),"н/д")</x:f>
        <x:v>н/д</x:v>
      </x:c>
      <x:c r="V504" s="20" t="str">
        <x:f>IF(J504="Рассчитано",T504*U504,"н/д")</x:f>
        <x:v>н/д</x:v>
      </x:c>
      <x:c r="W504" s="20" t="str">
        <x:f>IF(J504="Рассчитано",T504*M504,"н/д")</x:f>
        <x:v>н/д</x:v>
      </x:c>
      <x:c r="X504" s="20" t="str">
        <x:f>IF(J504="Рассчитано",V504-W504,"н/д")</x:f>
        <x:v>н/д</x:v>
      </x:c>
      <x:c r="Y504" s="26" t="str">
        <x:f>IF(J504="Рассчитано",IF(V504&gt;0,G504/V504,"н/д"),"н/д")</x:f>
        <x:v>н/д</x:v>
      </x:c>
      <x:c r="Z504" s="20" t="str">
        <x:f>"н/д"</x:f>
        <x:v>н/д</x:v>
      </x:c>
      <x:c r="AA504" s="20" t="str">
        <x:f>"н/д"</x:f>
        <x:v>н/д</x:v>
      </x:c>
      <x:c r="AB504" s="20" t="str">
        <x:f>"н/д"</x:f>
        <x:v>н/д</x:v>
      </x:c>
      <x:c r="AC504" s="20" t="str">
        <x:f>IF(AND(J504="Рассчитано",T504&gt;0,R504&lt;100),(W504+P504+Q504)/(T504*(1-R504/100)),"н/д")</x:f>
        <x:v>н/д</x:v>
      </x:c>
      <x:c r="AD504" s="11" t="str">
        <x:f>IF(ISNUMBER(G504),IF(G504&lt;0,"Убыток",IF(G504=0,"Без прибыли","Прибыль &gt; 0")),"Не оценён")</x:f>
        <x:v>Не оценён</x:v>
      </x:c>
      <x:c r="AE504" s="12" t="str">
        <x:f>IF(J504="Рассчитано","Выручка "&amp;TEXT(V504,"0.00")&amp;" - себестоимость "&amp;TEXT(W504,"0.00")&amp;" - комиссия "&amp;TEXT(V504*R504/100,"0.00")&amp;" - доставка "&amp;TEXT(P504,"0.00")&amp;" - прочие "&amp;TEXT(Q504,"0.00")&amp;" = "&amp;TEXT(G504,"0.00")&amp;" "&amp;L504,"Введите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4" s="23" t="n">
        <x:v>24.454894429618896</x:v>
      </x:c>
      <x:c r="AG504" s="35" t="n">
        <x:v>50</x:v>
      </x:c>
      <x:c r="AH504" s="35" t="n">
        <x:v>0</x:v>
      </x:c>
      <x:c r="AI504" s="29" t="n">
        <x:v>46266</x:v>
      </x:c>
      <x:c r="AJ504" s="35" t="n">
        <x:v>10</x:v>
      </x:c>
      <x:c r="AK504" s="11" t="str">
        <x:v>минимум</x:v>
      </x:c>
      <x:c r="AL504" s="31" t="n">
        <x:v>173.86944035859867</x:v>
      </x:c>
      <x:c r="AM504" s="12" t="str">
        <x:v>Остаток на начало сентября; Резервы неизвестны; Нет ежедневных данных доступности. Запас выше прогноза на 90 дней</x:v>
      </x:c>
      <x:c r="AN504" s="12" t="str">
        <x:v>Проверить свободный остаток и установить цену для B2B</x:v>
      </x:c>
      <x:c r="AO504" s="12" t="str">
        <x:v>Остаток 50; прогноз 90 дней 24.45; избыток 25 шт. Будущие поступления не выставляются на продажу. Остаток на начало сентября: требуется актуализация.</x:v>
      </x:c>
      <x:c r="AP504" s="12" t="str">
        <x:v>["category_missing", "daily_stockout_data_missing", "new_order_lead_time_unknown", "reservations_unknown", "stale_stock"]</x:v>
      </x:c>
      <x:c r="AQ504" s="11" t="str">
        <x:v>IEK:081100641_</x:v>
      </x:c>
      <x:c r="AR504" s="23" t="n">
        <x:v>1</x:v>
      </x:c>
      <x:c r="AS504" s="23" t="n">
        <x:v>0</x:v>
      </x:c>
      <x:c r="AT504" s="23" t="n">
        <x:v>0</x:v>
      </x:c>
    </x:row>
    <x:row r="505" ht="64" customHeight="1">
      <x:c r="A505" s="10" t="str">
        <x:v>IEK</x:v>
      </x:c>
      <x:c r="B505" s="34" t="str">
        <x:v>081100643_</x:v>
      </x:c>
      <x:c r="C505" s="34" t="str">
        <x:v>LLF-ST64-8-230-30-E27-CLG</x:v>
      </x:c>
      <x:c r="D505" s="13" t="str">
        <x:v>Лампа филаментная LED ST64 золото 8Вт 230В 2700К E27 серия 360° IEK</x:v>
      </x:c>
      <x:c r="E505" s="10" t="str">
        <x:v>шт</x:v>
      </x:c>
      <x:c r="F505" s="37" t="n">
        <x:f>MAX(0,ROUNDDOWN((AG505-AF505)/AR505+0.000000001,0)*AR505)</x:f>
        <x:v>18</x:v>
      </x:c>
      <x:c r="G505" s="21" t="str">
        <x:f>IF(J505="Рассчитано",V505*(1-R505/100)-W505-P505-Q505,"н/д")</x:f>
        <x:v>н/д</x:v>
      </x:c>
      <x:c r="H505" s="13" t="str">
        <x:v>Высокий</x:v>
      </x:c>
      <x:c r="I505" s="13" t="str">
        <x:v>Высокий</x:v>
      </x:c>
      <x:c r="J505" s="13" t="str">
        <x:f>IF(L505="","Укажите валюту",IF(NOT(ISNUMBER(K505)),"Укажите объём",IF(K505&lt;=0,"Укажите объём",IF(K505&gt;F505,"Объём выше излишка",IF(COUNT(M505:O505)&lt;3,"Нужны цены",IF(COUNT(P505:R505)&lt;3,"Нужны расходы",IF(OR(M505&lt;0,N505&lt;0,O505&lt;0,O505&gt;100,P505&lt;0,Q505&lt;0,R505&lt;0,R505&gt;100),"Проверьте значения","Рассчитано")))))))</x:f>
        <x:v>Нужны цены</x:v>
      </x:c>
      <x:c r="K505" s="36" t="n">
        <x:v>18</x:v>
      </x:c>
      <x:c r="L505" s="19" t="str">
        <x:v>KZT</x:v>
      </x:c>
      <x:c r="M505" s="22"/>
      <x:c r="N505" s="22"/>
      <x:c r="O505" s="28"/>
      <x:c r="P505" s="22"/>
      <x:c r="Q505" s="22"/>
      <x:c r="R505" s="28"/>
      <x:c r="S505" s="22"/>
      <x:c r="T505" s="37" t="n">
        <x:f>K505</x:f>
        <x:v>18</x:v>
      </x:c>
      <x:c r="U505" s="21" t="str">
        <x:f>IF(J505="Рассчитано",N505*(1-O505/100),"н/д")</x:f>
        <x:v>н/д</x:v>
      </x:c>
      <x:c r="V505" s="21" t="str">
        <x:f>IF(J505="Рассчитано",T505*U505,"н/д")</x:f>
        <x:v>н/д</x:v>
      </x:c>
      <x:c r="W505" s="21" t="str">
        <x:f>IF(J505="Рассчитано",T505*M505,"н/д")</x:f>
        <x:v>н/д</x:v>
      </x:c>
      <x:c r="X505" s="21" t="str">
        <x:f>IF(J505="Рассчитано",V505-W505,"н/д")</x:f>
        <x:v>н/д</x:v>
      </x:c>
      <x:c r="Y505" s="27" t="str">
        <x:f>IF(J505="Рассчитано",IF(V505&gt;0,G505/V505,"н/д"),"н/д")</x:f>
        <x:v>н/д</x:v>
      </x:c>
      <x:c r="Z505" s="21" t="str">
        <x:f>"н/д"</x:f>
        <x:v>н/д</x:v>
      </x:c>
      <x:c r="AA505" s="21" t="str">
        <x:f>"н/д"</x:f>
        <x:v>н/д</x:v>
      </x:c>
      <x:c r="AB505" s="21" t="str">
        <x:f>"н/д"</x:f>
        <x:v>н/д</x:v>
      </x:c>
      <x:c r="AC505" s="21" t="str">
        <x:f>IF(AND(J505="Рассчитано",T505&gt;0,R505&lt;100),(W505+P505+Q505)/(T505*(1-R505/100)),"н/д")</x:f>
        <x:v>н/д</x:v>
      </x:c>
      <x:c r="AD505" s="10" t="str">
        <x:f>IF(ISNUMBER(G505),IF(G505&lt;0,"Убыток",IF(G505=0,"Без прибыли","Прибыль &gt; 0")),"Не оценён")</x:f>
        <x:v>Не оценён</x:v>
      </x:c>
      <x:c r="AE505" s="13" t="str">
        <x:f>IF(J505="Рассчитано","Выручка "&amp;TEXT(V505,"0.00")&amp;" - себестоимость "&amp;TEXT(W505,"0.00")&amp;" - комиссия "&amp;TEXT(V505*R505/100,"0.00")&amp;" - доставка "&amp;TEXT(P505,"0.00")&amp;" - прочие "&amp;TEXT(Q505,"0.00")&amp;" = "&amp;TEXT(G505,"0.00")&amp;" "&amp;L505,"Введите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5" s="24" t="n">
        <x:v>9.139913170169903</x:v>
      </x:c>
      <x:c r="AG505" s="37" t="n">
        <x:v>28</x:v>
      </x:c>
      <x:c r="AH505" s="37" t="n">
        <x:v>0</x:v>
      </x:c>
      <x:c r="AI505" s="30" t="n">
        <x:v>46266</x:v>
      </x:c>
      <x:c r="AJ505" s="37" t="n">
        <x:v>1</x:v>
      </x:c>
      <x:c r="AK505" s="10" t="str">
        <x:v>минимум</x:v>
      </x:c>
      <x:c r="AL505" s="32" t="n">
        <x:v>260.5163625114999</x:v>
      </x:c>
      <x:c r="AM50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05" s="13" t="str">
        <x:v>Проверить свободный остаток и установить цену для B2B</x:v>
      </x:c>
      <x:c r="AO505" s="13" t="str">
        <x:v>Остаток 28; прогноз 90 дней 9.14; избыток 18 шт. Будущие поступления не выставляются на продажу. Остаток на начало сентября: требуется актуализация.</x:v>
      </x:c>
      <x:c r="AP505" s="13" t="str">
        <x:v>["category_missing", "daily_stockout_data_missing", "new_order_lead_time_unknown", "reservations_unknown", "stale_stock"]</x:v>
      </x:c>
      <x:c r="AQ505" s="10" t="str">
        <x:v>IEK:081100643_</x:v>
      </x:c>
      <x:c r="AR505" s="24" t="n">
        <x:v>1</x:v>
      </x:c>
      <x:c r="AS505" s="24" t="n">
        <x:v>0</x:v>
      </x:c>
      <x:c r="AT505" s="24" t="n">
        <x:v>0</x:v>
      </x:c>
    </x:row>
    <x:row r="506" ht="64" customHeight="1">
      <x:c r="A506" s="11" t="str">
        <x:v>IEK</x:v>
      </x:c>
      <x:c r="B506" s="33" t="str">
        <x:v>081100704_</x:v>
      </x:c>
      <x:c r="C506" s="33" t="str">
        <x:v>LLF-A60-7-230-40-E27-CL</x:v>
      </x:c>
      <x:c r="D506" s="12" t="str">
        <x:v>Лампа филаментная LED A60 шар прозр.  7Вт 230В 4000К E27 серия 360° IEK</x:v>
      </x:c>
      <x:c r="E506" s="11" t="str">
        <x:v>шт</x:v>
      </x:c>
      <x:c r="F506" s="35" t="n">
        <x:f>MAX(0,ROUNDDOWN((AG506-AF506)/AR506+0.000000001,0)*AR506)</x:f>
        <x:v>20</x:v>
      </x:c>
      <x:c r="G506" s="20" t="str">
        <x:f>IF(J506="Рассчитано",V506*(1-R506/100)-W506-P506-Q506,"н/д")</x:f>
        <x:v>н/д</x:v>
      </x:c>
      <x:c r="H506" s="12" t="str">
        <x:v>Высокий</x:v>
      </x:c>
      <x:c r="I506" s="12" t="str">
        <x:v>Средний</x:v>
      </x:c>
      <x:c r="J506" s="12" t="str">
        <x:f>IF(L506="","Укажите валюту",IF(NOT(ISNUMBER(K506)),"Укажите объём",IF(K506&lt;=0,"Укажите объём",IF(K506&gt;F506,"Объём выше излишка",IF(COUNT(M506:O506)&lt;3,"Нужны цены",IF(COUNT(P506:R506)&lt;3,"Нужны расходы",IF(OR(M506&lt;0,N506&lt;0,O506&lt;0,O506&gt;100,P506&lt;0,Q506&lt;0,R506&lt;0,R506&gt;100),"Проверьте значения","Рассчитано")))))))</x:f>
        <x:v>Нужны цены</x:v>
      </x:c>
      <x:c r="K506" s="36" t="n">
        <x:v>20</x:v>
      </x:c>
      <x:c r="L506" s="19" t="str">
        <x:v>KZT</x:v>
      </x:c>
      <x:c r="M506" s="22"/>
      <x:c r="N506" s="22"/>
      <x:c r="O506" s="28"/>
      <x:c r="P506" s="22"/>
      <x:c r="Q506" s="22"/>
      <x:c r="R506" s="28"/>
      <x:c r="S506" s="22"/>
      <x:c r="T506" s="35" t="n">
        <x:f>K506</x:f>
        <x:v>20</x:v>
      </x:c>
      <x:c r="U506" s="20" t="str">
        <x:f>IF(J506="Рассчитано",N506*(1-O506/100),"н/д")</x:f>
        <x:v>н/д</x:v>
      </x:c>
      <x:c r="V506" s="20" t="str">
        <x:f>IF(J506="Рассчитано",T506*U506,"н/д")</x:f>
        <x:v>н/д</x:v>
      </x:c>
      <x:c r="W506" s="20" t="str">
        <x:f>IF(J506="Рассчитано",T506*M506,"н/д")</x:f>
        <x:v>н/д</x:v>
      </x:c>
      <x:c r="X506" s="20" t="str">
        <x:f>IF(J506="Рассчитано",V506-W506,"н/д")</x:f>
        <x:v>н/д</x:v>
      </x:c>
      <x:c r="Y506" s="26" t="str">
        <x:f>IF(J506="Рассчитано",IF(V506&gt;0,G506/V506,"н/д"),"н/д")</x:f>
        <x:v>н/д</x:v>
      </x:c>
      <x:c r="Z506" s="20" t="str">
        <x:f>"н/д"</x:f>
        <x:v>н/д</x:v>
      </x:c>
      <x:c r="AA506" s="20" t="str">
        <x:f>"н/д"</x:f>
        <x:v>н/д</x:v>
      </x:c>
      <x:c r="AB506" s="20" t="str">
        <x:f>"н/д"</x:f>
        <x:v>н/д</x:v>
      </x:c>
      <x:c r="AC506" s="20" t="str">
        <x:f>IF(AND(J506="Рассчитано",T506&gt;0,R506&lt;100),(W506+P506+Q506)/(T506*(1-R506/100)),"н/д")</x:f>
        <x:v>н/д</x:v>
      </x:c>
      <x:c r="AD506" s="11" t="str">
        <x:f>IF(ISNUMBER(G506),IF(G506&lt;0,"Убыток",IF(G506=0,"Без прибыли","Прибыль &gt; 0")),"Не оценён")</x:f>
        <x:v>Не оценён</x:v>
      </x:c>
      <x:c r="AE506" s="12" t="str">
        <x:f>IF(J506="Рассчитано","Выручка "&amp;TEXT(V506,"0.00")&amp;" - себестоимость "&amp;TEXT(W506,"0.00")&amp;" - комиссия "&amp;TEXT(V506*R506/100,"0.00")&amp;" - доставка "&amp;TEXT(P506,"0.00")&amp;" - прочие "&amp;TEXT(Q506,"0.00")&amp;" = "&amp;TEXT(G506,"0.00")&amp;" "&amp;L506,"Введите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6" s="23" t="n">
        <x:v>38.31207276358892</x:v>
      </x:c>
      <x:c r="AG506" s="35" t="n">
        <x:v>59</x:v>
      </x:c>
      <x:c r="AH506" s="35" t="n">
        <x:v>0</x:v>
      </x:c>
      <x:c r="AI506" s="29" t="n">
        <x:v>46266</x:v>
      </x:c>
      <x:c r="AJ506" s="35" t="n">
        <x:v>10</x:v>
      </x:c>
      <x:c r="AK506" s="11" t="str">
        <x:v>минимум</x:v>
      </x:c>
      <x:c r="AL506" s="31" t="n">
        <x:v>130.95901714840056</x:v>
      </x:c>
      <x:c r="AM506" s="12" t="str">
        <x:v>Остаток на начало сентября; Резервы неизвестны; Нет ежедневных данных доступности. Запас выше прогноза на 90 дней</x:v>
      </x:c>
      <x:c r="AN506" s="12" t="str">
        <x:v>Проверить свободный остаток и установить цену для B2B</x:v>
      </x:c>
      <x:c r="AO506" s="12" t="str">
        <x:v>Остаток 59; прогноз 90 дней 38.31; избыток 20 шт. Будущие поступления не выставляются на продажу. Остаток на начало сентября: требуется актуализация.</x:v>
      </x:c>
      <x:c r="AP506" s="12" t="str">
        <x:v>["category_missing", "daily_stockout_data_missing", "large_orders_detected", "new_order_lead_time_unknown", "reservations_unknown", "stale_stock"]</x:v>
      </x:c>
      <x:c r="AQ506" s="11" t="str">
        <x:v>IEK:081100704_</x:v>
      </x:c>
      <x:c r="AR506" s="23" t="n">
        <x:v>1</x:v>
      </x:c>
      <x:c r="AS506" s="23" t="n">
        <x:v>0</x:v>
      </x:c>
      <x:c r="AT506" s="23" t="n">
        <x:v>0</x:v>
      </x:c>
    </x:row>
    <x:row r="507" ht="64" customHeight="1">
      <x:c r="A507" s="10" t="str">
        <x:v>IEK</x:v>
      </x:c>
      <x:c r="B507" s="34" t="str">
        <x:v>081100705_</x:v>
      </x:c>
      <x:c r="C507" s="34" t="str">
        <x:v>LLF-A60-7-230-65-E27-CL</x:v>
      </x:c>
      <x:c r="D507" s="13" t="str">
        <x:v>Лампа филаментная LED A60 шар прозр.  7Вт 230В 6500К E27 серия 360° IEK</x:v>
      </x:c>
      <x:c r="E507" s="10" t="str">
        <x:v>шт</x:v>
      </x:c>
      <x:c r="F507" s="37" t="n">
        <x:f>MAX(0,ROUNDDOWN((AG507-AF507)/AR507+0.000000001,0)*AR507)</x:f>
        <x:v>4</x:v>
      </x:c>
      <x:c r="G507" s="21" t="str">
        <x:f>IF(J507="Рассчитано",V507*(1-R507/100)-W507-P507-Q507,"н/д")</x:f>
        <x:v>н/д</x:v>
      </x:c>
      <x:c r="H507" s="13" t="str">
        <x:v>Высокий</x:v>
      </x:c>
      <x:c r="I507" s="13" t="str">
        <x:v>Средний</x:v>
      </x:c>
      <x:c r="J507" s="13" t="str">
        <x:f>IF(L507="","Укажите валюту",IF(NOT(ISNUMBER(K507)),"Укажите объём",IF(K507&lt;=0,"Укажите объём",IF(K507&gt;F507,"Объём выше излишка",IF(COUNT(M507:O507)&lt;3,"Нужны цены",IF(COUNT(P507:R507)&lt;3,"Нужны расходы",IF(OR(M507&lt;0,N507&lt;0,O507&lt;0,O507&gt;100,P507&lt;0,Q507&lt;0,R507&lt;0,R507&gt;100),"Проверьте значения","Рассчитано")))))))</x:f>
        <x:v>Нужны цены</x:v>
      </x:c>
      <x:c r="K507" s="36" t="n">
        <x:v>4</x:v>
      </x:c>
      <x:c r="L507" s="19" t="str">
        <x:v>KZT</x:v>
      </x:c>
      <x:c r="M507" s="22"/>
      <x:c r="N507" s="22"/>
      <x:c r="O507" s="28"/>
      <x:c r="P507" s="22"/>
      <x:c r="Q507" s="22"/>
      <x:c r="R507" s="28"/>
      <x:c r="S507" s="22"/>
      <x:c r="T507" s="37" t="n">
        <x:f>K507</x:f>
        <x:v>4</x:v>
      </x:c>
      <x:c r="U507" s="21" t="str">
        <x:f>IF(J507="Рассчитано",N507*(1-O507/100),"н/д")</x:f>
        <x:v>н/д</x:v>
      </x:c>
      <x:c r="V507" s="21" t="str">
        <x:f>IF(J507="Рассчитано",T507*U507,"н/д")</x:f>
        <x:v>н/д</x:v>
      </x:c>
      <x:c r="W507" s="21" t="str">
        <x:f>IF(J507="Рассчитано",T507*M507,"н/д")</x:f>
        <x:v>н/д</x:v>
      </x:c>
      <x:c r="X507" s="21" t="str">
        <x:f>IF(J507="Рассчитано",V507-W507,"н/д")</x:f>
        <x:v>н/д</x:v>
      </x:c>
      <x:c r="Y507" s="27" t="str">
        <x:f>IF(J507="Рассчитано",IF(V507&gt;0,G507/V507,"н/д"),"н/д")</x:f>
        <x:v>н/д</x:v>
      </x:c>
      <x:c r="Z507" s="21" t="str">
        <x:f>"н/д"</x:f>
        <x:v>н/д</x:v>
      </x:c>
      <x:c r="AA507" s="21" t="str">
        <x:f>"н/д"</x:f>
        <x:v>н/д</x:v>
      </x:c>
      <x:c r="AB507" s="21" t="str">
        <x:f>"н/д"</x:f>
        <x:v>н/д</x:v>
      </x:c>
      <x:c r="AC507" s="21" t="str">
        <x:f>IF(AND(J507="Рассчитано",T507&gt;0,R507&lt;100),(W507+P507+Q507)/(T507*(1-R507/100)),"н/д")</x:f>
        <x:v>н/д</x:v>
      </x:c>
      <x:c r="AD507" s="10" t="str">
        <x:f>IF(ISNUMBER(G507),IF(G507&lt;0,"Убыток",IF(G507=0,"Без прибыли","Прибыль &gt; 0")),"Не оценён")</x:f>
        <x:v>Не оценён</x:v>
      </x:c>
      <x:c r="AE507" s="13" t="str">
        <x:f>IF(J507="Рассчитано","Выручка "&amp;TEXT(V507,"0.00")&amp;" - себестоимость "&amp;TEXT(W507,"0.00")&amp;" - комиссия "&amp;TEXT(V507*R507/100,"0.00")&amp;" - доставка "&amp;TEXT(P507,"0.00")&amp;" - прочие "&amp;TEXT(Q507,"0.00")&amp;" = "&amp;TEXT(G507,"0.00")&amp;" "&amp;L507,"Введите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7" s="24" t="n">
        <x:v>14.545005830593787</x:v>
      </x:c>
      <x:c r="AG507" s="37" t="n">
        <x:v>19</x:v>
      </x:c>
      <x:c r="AH507" s="37" t="n">
        <x:v>0</x:v>
      </x:c>
      <x:c r="AI507" s="30" t="n">
        <x:v>46266</x:v>
      </x:c>
      <x:c r="AJ507" s="37" t="n">
        <x:v>10</x:v>
      </x:c>
      <x:c r="AK507" s="10" t="str">
        <x:v>минимум</x:v>
      </x:c>
      <x:c r="AL507" s="32" t="n">
        <x:v>111.08585077593557</x:v>
      </x:c>
      <x:c r="AM507" s="13" t="str">
        <x:v>Остаток на начало сентября; Резервы неизвестны; Нет ежедневных данных доступности. Запас выше прогноза на 90 дней</x:v>
      </x:c>
      <x:c r="AN507" s="13" t="str">
        <x:v>Проверить свободный остаток и установить цену для B2B</x:v>
      </x:c>
      <x:c r="AO507" s="13" t="str">
        <x:v>Остаток 19; прогноз 90 дней 14.55; избыток 4 шт. Будущие поступления не выставляются на продажу. Остаток на начало сентября: требуется актуализация.</x:v>
      </x:c>
      <x:c r="AP507" s="13" t="str">
        <x:v>["category_missing", "daily_stockout_data_missing", "negative_net_sales_clipped_for_forecast", "new_order_lead_time_unknown", "reservations_unknown", "stale_stock"]</x:v>
      </x:c>
      <x:c r="AQ507" s="10" t="str">
        <x:v>IEK:081100705_</x:v>
      </x:c>
      <x:c r="AR507" s="24" t="n">
        <x:v>1</x:v>
      </x:c>
      <x:c r="AS507" s="24" t="n">
        <x:v>0</x:v>
      </x:c>
      <x:c r="AT507" s="24" t="n">
        <x:v>0</x:v>
      </x:c>
    </x:row>
    <x:row r="508" ht="64" customHeight="1">
      <x:c r="A508" s="11" t="str">
        <x:v>IEK</x:v>
      </x:c>
      <x:c r="B508" s="33" t="str">
        <x:v>081100706_</x:v>
      </x:c>
      <x:c r="C508" s="33" t="str">
        <x:v>LLF-A60-9-230-30-E27-CLG</x:v>
      </x:c>
      <x:c r="D508" s="12" t="str">
        <x:v>Лампа филаментная LED A60 шар золото  9Вт 230В 2700К E27 серия 360° IEK</x:v>
      </x:c>
      <x:c r="E508" s="11" t="str">
        <x:v>шт</x:v>
      </x:c>
      <x:c r="F508" s="35" t="n">
        <x:f>MAX(0,ROUNDDOWN((AG508-AF508)/AR508+0.000000001,0)*AR508)</x:f>
        <x:v>8</x:v>
      </x:c>
      <x:c r="G508" s="20" t="str">
        <x:f>IF(J508="Рассчитано",V508*(1-R508/100)-W508-P508-Q508,"н/д")</x:f>
        <x:v>н/д</x:v>
      </x:c>
      <x:c r="H508" s="12" t="str">
        <x:v>Высокий</x:v>
      </x:c>
      <x:c r="I508" s="12" t="str">
        <x:v>Средний</x:v>
      </x:c>
      <x:c r="J508" s="12" t="str">
        <x:f>IF(L508="","Укажите валюту",IF(NOT(ISNUMBER(K508)),"Укажите объём",IF(K508&lt;=0,"Укажите объём",IF(K508&gt;F508,"Объём выше излишка",IF(COUNT(M508:O508)&lt;3,"Нужны цены",IF(COUNT(P508:R508)&lt;3,"Нужны расходы",IF(OR(M508&lt;0,N508&lt;0,O508&lt;0,O508&gt;100,P508&lt;0,Q508&lt;0,R508&lt;0,R508&gt;100),"Проверьте значения","Рассчитано")))))))</x:f>
        <x:v>Нужны цены</x:v>
      </x:c>
      <x:c r="K508" s="36" t="n">
        <x:v>8</x:v>
      </x:c>
      <x:c r="L508" s="19" t="str">
        <x:v>KZT</x:v>
      </x:c>
      <x:c r="M508" s="22"/>
      <x:c r="N508" s="22"/>
      <x:c r="O508" s="28"/>
      <x:c r="P508" s="22"/>
      <x:c r="Q508" s="22"/>
      <x:c r="R508" s="28"/>
      <x:c r="S508" s="22"/>
      <x:c r="T508" s="35" t="n">
        <x:f>K508</x:f>
        <x:v>8</x:v>
      </x:c>
      <x:c r="U508" s="20" t="str">
        <x:f>IF(J508="Рассчитано",N508*(1-O508/100),"н/д")</x:f>
        <x:v>н/д</x:v>
      </x:c>
      <x:c r="V508" s="20" t="str">
        <x:f>IF(J508="Рассчитано",T508*U508,"н/д")</x:f>
        <x:v>н/д</x:v>
      </x:c>
      <x:c r="W508" s="20" t="str">
        <x:f>IF(J508="Рассчитано",T508*M508,"н/д")</x:f>
        <x:v>н/д</x:v>
      </x:c>
      <x:c r="X508" s="20" t="str">
        <x:f>IF(J508="Рассчитано",V508-W508,"н/д")</x:f>
        <x:v>н/д</x:v>
      </x:c>
      <x:c r="Y508" s="26" t="str">
        <x:f>IF(J508="Рассчитано",IF(V508&gt;0,G508/V508,"н/д"),"н/д")</x:f>
        <x:v>н/д</x:v>
      </x:c>
      <x:c r="Z508" s="20" t="str">
        <x:f>"н/д"</x:f>
        <x:v>н/д</x:v>
      </x:c>
      <x:c r="AA508" s="20" t="str">
        <x:f>"н/д"</x:f>
        <x:v>н/д</x:v>
      </x:c>
      <x:c r="AB508" s="20" t="str">
        <x:f>"н/д"</x:f>
        <x:v>н/д</x:v>
      </x:c>
      <x:c r="AC508" s="20" t="str">
        <x:f>IF(AND(J508="Рассчитано",T508&gt;0,R508&lt;100),(W508+P508+Q508)/(T508*(1-R508/100)),"н/д")</x:f>
        <x:v>н/д</x:v>
      </x:c>
      <x:c r="AD508" s="11" t="str">
        <x:f>IF(ISNUMBER(G508),IF(G508&lt;0,"Убыток",IF(G508=0,"Без прибыли","Прибыль &gt; 0")),"Не оценён")</x:f>
        <x:v>Не оценён</x:v>
      </x:c>
      <x:c r="AE508" s="12" t="str">
        <x:f>IF(J508="Рассчитано","Выручка "&amp;TEXT(V508,"0.00")&amp;" - себестоимость "&amp;TEXT(W508,"0.00")&amp;" - комиссия "&amp;TEXT(V508*R508/100,"0.00")&amp;" - доставка "&amp;TEXT(P508,"0.00")&amp;" - прочие "&amp;TEXT(Q508,"0.00")&amp;" = "&amp;TEXT(G508,"0.00")&amp;" "&amp;L508,"Введите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8" s="23" t="n">
        <x:v>10.224433639671</x:v>
      </x:c>
      <x:c r="AG508" s="35" t="n">
        <x:v>19</x:v>
      </x:c>
      <x:c r="AH508" s="35" t="n">
        <x:v>0</x:v>
      </x:c>
      <x:c r="AI508" s="29" t="n">
        <x:v>46266</x:v>
      </x:c>
      <x:c r="AJ508" s="35" t="n">
        <x:v>10</x:v>
      </x:c>
      <x:c r="AK508" s="11" t="str">
        <x:v>минимум</x:v>
      </x:c>
      <x:c r="AL508" s="31" t="n">
        <x:v>158.027760184519</x:v>
      </x:c>
      <x:c r="AM508" s="12" t="str">
        <x:v>Остаток на начало сентября; Резервы неизвестны; Нет ежедневных данных доступности. Запас выше прогноза на 90 дней</x:v>
      </x:c>
      <x:c r="AN508" s="12" t="str">
        <x:v>Проверить свободный остаток и установить цену для B2B</x:v>
      </x:c>
      <x:c r="AO508" s="12" t="str">
        <x:v>Остаток 19; прогноз 90 дней 10.22; избыток 8 шт. Будущие поступления не выставляются на продажу. Остаток на начало сентября: требуется актуализация.</x:v>
      </x:c>
      <x:c r="AP508" s="12" t="str">
        <x:v>["category_missing", "daily_stockout_data_missing", "large_orders_detected", "new_order_lead_time_unknown", "reservations_unknown", "stale_stock"]</x:v>
      </x:c>
      <x:c r="AQ508" s="11" t="str">
        <x:v>IEK:081100706_</x:v>
      </x:c>
      <x:c r="AR508" s="23" t="n">
        <x:v>1</x:v>
      </x:c>
      <x:c r="AS508" s="23" t="n">
        <x:v>0</x:v>
      </x:c>
      <x:c r="AT508" s="23" t="n">
        <x:v>0</x:v>
      </x:c>
    </x:row>
    <x:row r="509" ht="64" customHeight="1">
      <x:c r="A509" s="10" t="str">
        <x:v>IEK</x:v>
      </x:c>
      <x:c r="B509" s="34" t="str">
        <x:v>081100707_</x:v>
      </x:c>
      <x:c r="C509" s="34" t="str">
        <x:v>LLF-A60-9-230-40-E27-CL</x:v>
      </x:c>
      <x:c r="D509" s="13" t="str">
        <x:v>Лампа филаментная LED A60 шар прозр.  9Вт 230В 4000К E27 серия 360° IEK</x:v>
      </x:c>
      <x:c r="E509" s="10" t="str">
        <x:v>шт</x:v>
      </x:c>
      <x:c r="F509" s="37" t="n">
        <x:f>MAX(0,ROUNDDOWN((AG509-AF509)/AR509+0.000000001,0)*AR509)</x:f>
        <x:v>9</x:v>
      </x:c>
      <x:c r="G509" s="21" t="str">
        <x:f>IF(J509="Рассчитано",V509*(1-R509/100)-W509-P509-Q509,"н/д")</x:f>
        <x:v>н/д</x:v>
      </x:c>
      <x:c r="H509" s="13" t="str">
        <x:v>Высокий</x:v>
      </x:c>
      <x:c r="I509" s="13" t="str">
        <x:v>Средний</x:v>
      </x:c>
      <x:c r="J509" s="13" t="str">
        <x:f>IF(L509="","Укажите валюту",IF(NOT(ISNUMBER(K509)),"Укажите объём",IF(K509&lt;=0,"Укажите объём",IF(K509&gt;F509,"Объём выше излишка",IF(COUNT(M509:O509)&lt;3,"Нужны цены",IF(COUNT(P509:R509)&lt;3,"Нужны расходы",IF(OR(M509&lt;0,N509&lt;0,O509&lt;0,O509&gt;100,P509&lt;0,Q509&lt;0,R509&lt;0,R509&gt;100),"Проверьте значения","Рассчитано")))))))</x:f>
        <x:v>Нужны цены</x:v>
      </x:c>
      <x:c r="K509" s="36" t="n">
        <x:v>9</x:v>
      </x:c>
      <x:c r="L509" s="19" t="str">
        <x:v>KZT</x:v>
      </x:c>
      <x:c r="M509" s="22"/>
      <x:c r="N509" s="22"/>
      <x:c r="O509" s="28"/>
      <x:c r="P509" s="22"/>
      <x:c r="Q509" s="22"/>
      <x:c r="R509" s="28"/>
      <x:c r="S509" s="22"/>
      <x:c r="T509" s="37" t="n">
        <x:f>K509</x:f>
        <x:v>9</x:v>
      </x:c>
      <x:c r="U509" s="21" t="str">
        <x:f>IF(J509="Рассчитано",N509*(1-O509/100),"н/д")</x:f>
        <x:v>н/д</x:v>
      </x:c>
      <x:c r="V509" s="21" t="str">
        <x:f>IF(J509="Рассчитано",T509*U509,"н/д")</x:f>
        <x:v>н/д</x:v>
      </x:c>
      <x:c r="W509" s="21" t="str">
        <x:f>IF(J509="Рассчитано",T509*M509,"н/д")</x:f>
        <x:v>н/д</x:v>
      </x:c>
      <x:c r="X509" s="21" t="str">
        <x:f>IF(J509="Рассчитано",V509-W509,"н/д")</x:f>
        <x:v>н/д</x:v>
      </x:c>
      <x:c r="Y509" s="27" t="str">
        <x:f>IF(J509="Рассчитано",IF(V509&gt;0,G509/V509,"н/д"),"н/д")</x:f>
        <x:v>н/д</x:v>
      </x:c>
      <x:c r="Z509" s="21" t="str">
        <x:f>"н/д"</x:f>
        <x:v>н/д</x:v>
      </x:c>
      <x:c r="AA509" s="21" t="str">
        <x:f>"н/д"</x:f>
        <x:v>н/д</x:v>
      </x:c>
      <x:c r="AB509" s="21" t="str">
        <x:f>"н/д"</x:f>
        <x:v>н/д</x:v>
      </x:c>
      <x:c r="AC509" s="21" t="str">
        <x:f>IF(AND(J509="Рассчитано",T509&gt;0,R509&lt;100),(W509+P509+Q509)/(T509*(1-R509/100)),"н/д")</x:f>
        <x:v>н/д</x:v>
      </x:c>
      <x:c r="AD509" s="10" t="str">
        <x:f>IF(ISNUMBER(G509),IF(G509&lt;0,"Убыток",IF(G509=0,"Без прибыли","Прибыль &gt; 0")),"Не оценён")</x:f>
        <x:v>Не оценён</x:v>
      </x:c>
      <x:c r="AE509" s="13" t="str">
        <x:f>IF(J509="Рассчитано","Выручка "&amp;TEXT(V509,"0.00")&amp;" - себестоимость "&amp;TEXT(W509,"0.00")&amp;" - комиссия "&amp;TEXT(V509*R509/100,"0.00")&amp;" - доставка "&amp;TEXT(P509,"0.00")&amp;" - прочие "&amp;TEXT(Q509,"0.00")&amp;" = "&amp;TEXT(G509,"0.00")&amp;" "&amp;L509,"Введите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9" s="24" t="n">
        <x:v>54.945164003546225</x:v>
      </x:c>
      <x:c r="AG509" s="37" t="n">
        <x:v>64</x:v>
      </x:c>
      <x:c r="AH509" s="37" t="n">
        <x:v>0</x:v>
      </x:c>
      <x:c r="AI509" s="30" t="n">
        <x:v>46266</x:v>
      </x:c>
      <x:c r="AJ509" s="37" t="n">
        <x:v>10</x:v>
      </x:c>
      <x:c r="AK509" s="10" t="str">
        <x:v>минимум</x:v>
      </x:c>
      <x:c r="AL509" s="32" t="n">
        <x:v>99.05343579531414</x:v>
      </x:c>
      <x:c r="AM509" s="13" t="str">
        <x:v>Остаток на начало сентября; Резервы неизвестны; Нет ежедневных данных доступности. Запас выше прогноза на 90 дней</x:v>
      </x:c>
      <x:c r="AN509" s="13" t="str">
        <x:v>Проверить свободный остаток и установить цену для B2B</x:v>
      </x:c>
      <x:c r="AO509" s="13" t="str">
        <x:v>Остаток 64; прогноз 90 дней 54.95; избыток 9 шт. Будущие поступления не выставляются на продажу. Остаток на начало сентября: требуется актуализация.</x:v>
      </x:c>
      <x:c r="AP509" s="13" t="str">
        <x:v>["category_missing", "daily_stockout_data_missing", "large_orders_detected", "negative_net_sales_clipped_for_forecast", "new_order_lead_time_unknown", "reservations_unknown", "stale_stock"]</x:v>
      </x:c>
      <x:c r="AQ509" s="10" t="str">
        <x:v>IEK:081100707_</x:v>
      </x:c>
      <x:c r="AR509" s="24" t="n">
        <x:v>1</x:v>
      </x:c>
      <x:c r="AS509" s="24" t="n">
        <x:v>0</x:v>
      </x:c>
      <x:c r="AT509" s="24" t="n">
        <x:v>0</x:v>
      </x:c>
    </x:row>
    <x:row r="510" ht="64" customHeight="1">
      <x:c r="A510" s="11" t="str">
        <x:v>IEK</x:v>
      </x:c>
      <x:c r="B510" s="33" t="str">
        <x:v>081100708_</x:v>
      </x:c>
      <x:c r="C510" s="33" t="str">
        <x:v>LLF-A60-9-230-65-E27-CL</x:v>
      </x:c>
      <x:c r="D510" s="12" t="str">
        <x:v>Лампа филаментная LED A60 шар прозр.  9Вт 230В 6500К E27 серия 360° IEK</x:v>
      </x:c>
      <x:c r="E510" s="11" t="str">
        <x:v>шт</x:v>
      </x:c>
      <x:c r="F510" s="35" t="n">
        <x:f>MAX(0,ROUNDDOWN((AG510-AF510)/AR510+0.000000001,0)*AR510)</x:f>
        <x:v>7</x:v>
      </x:c>
      <x:c r="G510" s="20" t="str">
        <x:f>IF(J510="Рассчитано",V510*(1-R510/100)-W510-P510-Q510,"н/д")</x:f>
        <x:v>н/д</x:v>
      </x:c>
      <x:c r="H510" s="12" t="str">
        <x:v>Высокий</x:v>
      </x:c>
      <x:c r="I510" s="12" t="str">
        <x:v>Высокий</x:v>
      </x:c>
      <x:c r="J510" s="12" t="str">
        <x:f>IF(L510="","Укажите валюту",IF(NOT(ISNUMBER(K510)),"Укажите объём",IF(K510&lt;=0,"Укажите объём",IF(K510&gt;F510,"Объём выше излишка",IF(COUNT(M510:O510)&lt;3,"Нужны цены",IF(COUNT(P510:R510)&lt;3,"Нужны расходы",IF(OR(M510&lt;0,N510&lt;0,O510&lt;0,O510&gt;100,P510&lt;0,Q510&lt;0,R510&lt;0,R510&gt;100),"Проверьте значения","Рассчитано")))))))</x:f>
        <x:v>Нужны цены</x:v>
      </x:c>
      <x:c r="K510" s="36" t="n">
        <x:v>7</x:v>
      </x:c>
      <x:c r="L510" s="19" t="str">
        <x:v>KZT</x:v>
      </x:c>
      <x:c r="M510" s="22"/>
      <x:c r="N510" s="22"/>
      <x:c r="O510" s="28"/>
      <x:c r="P510" s="22"/>
      <x:c r="Q510" s="22"/>
      <x:c r="R510" s="28"/>
      <x:c r="S510" s="22"/>
      <x:c r="T510" s="35" t="n">
        <x:f>K510</x:f>
        <x:v>7</x:v>
      </x:c>
      <x:c r="U510" s="20" t="str">
        <x:f>IF(J510="Рассчитано",N510*(1-O510/100),"н/д")</x:f>
        <x:v>н/д</x:v>
      </x:c>
      <x:c r="V510" s="20" t="str">
        <x:f>IF(J510="Рассчитано",T510*U510,"н/д")</x:f>
        <x:v>н/д</x:v>
      </x:c>
      <x:c r="W510" s="20" t="str">
        <x:f>IF(J510="Рассчитано",T510*M510,"н/д")</x:f>
        <x:v>н/д</x:v>
      </x:c>
      <x:c r="X510" s="20" t="str">
        <x:f>IF(J510="Рассчитано",V510-W510,"н/д")</x:f>
        <x:v>н/д</x:v>
      </x:c>
      <x:c r="Y510" s="26" t="str">
        <x:f>IF(J510="Рассчитано",IF(V510&gt;0,G510/V510,"н/д"),"н/д")</x:f>
        <x:v>н/д</x:v>
      </x:c>
      <x:c r="Z510" s="20" t="str">
        <x:f>"н/д"</x:f>
        <x:v>н/д</x:v>
      </x:c>
      <x:c r="AA510" s="20" t="str">
        <x:f>"н/д"</x:f>
        <x:v>н/д</x:v>
      </x:c>
      <x:c r="AB510" s="20" t="str">
        <x:f>"н/д"</x:f>
        <x:v>н/д</x:v>
      </x:c>
      <x:c r="AC510" s="20" t="str">
        <x:f>IF(AND(J510="Рассчитано",T510&gt;0,R510&lt;100),(W510+P510+Q510)/(T510*(1-R510/100)),"н/д")</x:f>
        <x:v>н/д</x:v>
      </x:c>
      <x:c r="AD510" s="11" t="str">
        <x:f>IF(ISNUMBER(G510),IF(G510&lt;0,"Убыток",IF(G510=0,"Без прибыли","Прибыль &gt; 0")),"Не оценён")</x:f>
        <x:v>Не оценён</x:v>
      </x:c>
      <x:c r="AE510" s="12" t="str">
        <x:f>IF(J510="Рассчитано","Выручка "&amp;TEXT(V510,"0.00")&amp;" - себестоимость "&amp;TEXT(W510,"0.00")&amp;" - комиссия "&amp;TEXT(V510*R510/100,"0.00")&amp;" - доставка "&amp;TEXT(P510,"0.00")&amp;" - прочие "&amp;TEXT(Q510,"0.00")&amp;" = "&amp;TEXT(G510,"0.00")&amp;" "&amp;L510,"Введите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0" s="23" t="n">
        <x:v>4.363189510778913</x:v>
      </x:c>
      <x:c r="AG510" s="35" t="n">
        <x:v>12</x:v>
      </x:c>
      <x:c r="AH510" s="35" t="n">
        <x:v>0</x:v>
      </x:c>
      <x:c r="AI510" s="29" t="n">
        <x:v>46266</x:v>
      </x:c>
      <x:c r="AJ510" s="35" t="n">
        <x:v>10</x:v>
      </x:c>
      <x:c r="AK510" s="11" t="str">
        <x:v>минимум</x:v>
      </x:c>
      <x:c r="AL510" s="31" t="n">
        <x:v>233.88168483641573</x:v>
      </x:c>
      <x:c r="AM51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10" s="12" t="str">
        <x:v>Проверить свободный остаток и установить цену для B2B</x:v>
      </x:c>
      <x:c r="AO510" s="12" t="str">
        <x:v>Остаток 12; прогноз 90 дней 4.36; избыток 7 шт. Будущие поступления не выставляются на продажу. Остаток на начало сентября: требуется актуализация.</x:v>
      </x:c>
      <x:c r="AP510" s="12" t="str">
        <x:v>["category_missing", "daily_stockout_data_missing", "negative_net_sales_clipped_for_forecast", "new_order_lead_time_unknown", "reservations_unknown", "stale_stock"]</x:v>
      </x:c>
      <x:c r="AQ510" s="11" t="str">
        <x:v>IEK:081100708_</x:v>
      </x:c>
      <x:c r="AR510" s="23" t="n">
        <x:v>1</x:v>
      </x:c>
      <x:c r="AS510" s="23" t="n">
        <x:v>0</x:v>
      </x:c>
      <x:c r="AT510" s="23" t="n">
        <x:v>0</x:v>
      </x:c>
    </x:row>
    <x:row r="511" ht="64" customHeight="1">
      <x:c r="A511" s="10" t="str">
        <x:v>IEK</x:v>
      </x:c>
      <x:c r="B511" s="34" t="str">
        <x:v>081100711_</x:v>
      </x:c>
      <x:c r="C511" s="34" t="str">
        <x:v>LLF-C35-5-230-40-E27-CL</x:v>
      </x:c>
      <x:c r="D511" s="13" t="str">
        <x:v>Лампа филаментная LED C35 свеча прозр. 5Вт 230В 4000К E27 серия 360° IEK</x:v>
      </x:c>
      <x:c r="E511" s="10" t="str">
        <x:v>шт</x:v>
      </x:c>
      <x:c r="F511" s="37" t="n">
        <x:f>MAX(0,ROUNDDOWN((AG511-AF511)/AR511+0.000000001,0)*AR511)</x:f>
        <x:v>10</x:v>
      </x:c>
      <x:c r="G511" s="21" t="str">
        <x:f>IF(J511="Рассчитано",V511*(1-R511/100)-W511-P511-Q511,"н/д")</x:f>
        <x:v>н/д</x:v>
      </x:c>
      <x:c r="H511" s="13" t="str">
        <x:v>Высокий</x:v>
      </x:c>
      <x:c r="I511" s="13" t="str">
        <x:v>Средний</x:v>
      </x:c>
      <x:c r="J511" s="13" t="str">
        <x:f>IF(L511="","Укажите валюту",IF(NOT(ISNUMBER(K511)),"Укажите объём",IF(K511&lt;=0,"Укажите объём",IF(K511&gt;F511,"Объём выше излишка",IF(COUNT(M511:O511)&lt;3,"Нужны цены",IF(COUNT(P511:R511)&lt;3,"Нужны расходы",IF(OR(M511&lt;0,N511&lt;0,O511&lt;0,O511&gt;100,P511&lt;0,Q511&lt;0,R511&lt;0,R511&gt;100),"Проверьте значения","Рассчитано")))))))</x:f>
        <x:v>Нужны цены</x:v>
      </x:c>
      <x:c r="K511" s="36" t="n">
        <x:v>10</x:v>
      </x:c>
      <x:c r="L511" s="19" t="str">
        <x:v>KZT</x:v>
      </x:c>
      <x:c r="M511" s="22"/>
      <x:c r="N511" s="22"/>
      <x:c r="O511" s="28"/>
      <x:c r="P511" s="22"/>
      <x:c r="Q511" s="22"/>
      <x:c r="R511" s="28"/>
      <x:c r="S511" s="22"/>
      <x:c r="T511" s="37" t="n">
        <x:f>K511</x:f>
        <x:v>10</x:v>
      </x:c>
      <x:c r="U511" s="21" t="str">
        <x:f>IF(J511="Рассчитано",N511*(1-O511/100),"н/д")</x:f>
        <x:v>н/д</x:v>
      </x:c>
      <x:c r="V511" s="21" t="str">
        <x:f>IF(J511="Рассчитано",T511*U511,"н/д")</x:f>
        <x:v>н/д</x:v>
      </x:c>
      <x:c r="W511" s="21" t="str">
        <x:f>IF(J511="Рассчитано",T511*M511,"н/д")</x:f>
        <x:v>н/д</x:v>
      </x:c>
      <x:c r="X511" s="21" t="str">
        <x:f>IF(J511="Рассчитано",V511-W511,"н/д")</x:f>
        <x:v>н/д</x:v>
      </x:c>
      <x:c r="Y511" s="27" t="str">
        <x:f>IF(J511="Рассчитано",IF(V511&gt;0,G511/V511,"н/д"),"н/д")</x:f>
        <x:v>н/д</x:v>
      </x:c>
      <x:c r="Z511" s="21" t="str">
        <x:f>"н/д"</x:f>
        <x:v>н/д</x:v>
      </x:c>
      <x:c r="AA511" s="21" t="str">
        <x:f>"н/д"</x:f>
        <x:v>н/д</x:v>
      </x:c>
      <x:c r="AB511" s="21" t="str">
        <x:f>"н/д"</x:f>
        <x:v>н/д</x:v>
      </x:c>
      <x:c r="AC511" s="21" t="str">
        <x:f>IF(AND(J511="Рассчитано",T511&gt;0,R511&lt;100),(W511+P511+Q511)/(T511*(1-R511/100)),"н/д")</x:f>
        <x:v>н/д</x:v>
      </x:c>
      <x:c r="AD511" s="10" t="str">
        <x:f>IF(ISNUMBER(G511),IF(G511&lt;0,"Убыток",IF(G511=0,"Без прибыли","Прибыль &gt; 0")),"Не оценён")</x:f>
        <x:v>Не оценён</x:v>
      </x:c>
      <x:c r="AE511" s="13" t="str">
        <x:f>IF(J511="Рассчитано","Выручка "&amp;TEXT(V511,"0.00")&amp;" - себестоимость "&amp;TEXT(W511,"0.00")&amp;" - комиссия "&amp;TEXT(V511*R511/100,"0.00")&amp;" - доставка "&amp;TEXT(P511,"0.00")&amp;" - прочие "&amp;TEXT(Q511,"0.00")&amp;" = "&amp;TEXT(G511,"0.00")&amp;" "&amp;L511,"Введите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1" s="24" t="n">
        <x:v>28.723537495066065</x:v>
      </x:c>
      <x:c r="AG511" s="37" t="n">
        <x:v>39</x:v>
      </x:c>
      <x:c r="AH511" s="37" t="n">
        <x:v>0</x:v>
      </x:c>
      <x:c r="AI511" s="30" t="n">
        <x:v>46266</x:v>
      </x:c>
      <x:c r="AJ511" s="37" t="n">
        <x:v>10</x:v>
      </x:c>
      <x:c r="AK511" s="10" t="str">
        <x:v>минимум</x:v>
      </x:c>
      <x:c r="AL511" s="32" t="n">
        <x:v>115.46376804057388</x:v>
      </x:c>
      <x:c r="AM511" s="13" t="str">
        <x:v>Остаток на начало сентября; Резервы неизвестны; Нет ежедневных данных доступности. Запас выше прогноза на 90 дней</x:v>
      </x:c>
      <x:c r="AN511" s="13" t="str">
        <x:v>Проверить свободный остаток и установить цену для B2B</x:v>
      </x:c>
      <x:c r="AO511" s="13" t="str">
        <x:v>Остаток 39; прогноз 90 дней 28.72; избыток 10 шт. Будущие поступления не выставляются на продажу. Остаток на начало сентября: требуется актуализация.</x:v>
      </x:c>
      <x:c r="AP511" s="13" t="str">
        <x:v>["category_missing", "daily_stockout_data_missing", "negative_net_sales_clipped_for_forecast", "new_order_lead_time_unknown", "reservations_unknown", "stale_stock"]</x:v>
      </x:c>
      <x:c r="AQ511" s="10" t="str">
        <x:v>IEK:081100711_</x:v>
      </x:c>
      <x:c r="AR511" s="24" t="n">
        <x:v>1</x:v>
      </x:c>
      <x:c r="AS511" s="24" t="n">
        <x:v>0</x:v>
      </x:c>
      <x:c r="AT511" s="24" t="n">
        <x:v>0</x:v>
      </x:c>
    </x:row>
    <x:row r="512" ht="64" customHeight="1">
      <x:c r="A512" s="11" t="str">
        <x:v>IEK</x:v>
      </x:c>
      <x:c r="B512" s="33" t="str">
        <x:v>081100712_</x:v>
      </x:c>
      <x:c r="C512" s="33" t="str">
        <x:v>LLF-C35-7-230-30-E14-CLG</x:v>
      </x:c>
      <x:c r="D512" s="12" t="str">
        <x:v>Лампа филаментная LED C35 свеча золото 7Вт 230В 2700К E14 серия 360° IEK</x:v>
      </x:c>
      <x:c r="E512" s="11" t="str">
        <x:v>шт</x:v>
      </x:c>
      <x:c r="F512" s="35" t="n">
        <x:f>MAX(0,ROUNDDOWN((AG512-AF512)/AR512+0.000000001,0)*AR512)</x:f>
        <x:v>32</x:v>
      </x:c>
      <x:c r="G512" s="20" t="str">
        <x:f>IF(J512="Рассчитано",V512*(1-R512/100)-W512-P512-Q512,"н/д")</x:f>
        <x:v>н/д</x:v>
      </x:c>
      <x:c r="H512" s="12" t="str">
        <x:v>Высокий</x:v>
      </x:c>
      <x:c r="I512" s="12" t="str">
        <x:v>Высокий</x:v>
      </x:c>
      <x:c r="J512" s="12" t="str">
        <x:f>IF(L512="","Укажите валюту",IF(NOT(ISNUMBER(K512)),"Укажите объём",IF(K512&lt;=0,"Укажите объём",IF(K512&gt;F512,"Объём выше излишка",IF(COUNT(M512:O512)&lt;3,"Нужны цены",IF(COUNT(P512:R512)&lt;3,"Нужны расходы",IF(OR(M512&lt;0,N512&lt;0,O512&lt;0,O512&gt;100,P512&lt;0,Q512&lt;0,R512&lt;0,R512&gt;100),"Проверьте значения","Рассчитано")))))))</x:f>
        <x:v>Нужны цены</x:v>
      </x:c>
      <x:c r="K512" s="36" t="n">
        <x:v>32</x:v>
      </x:c>
      <x:c r="L512" s="19" t="str">
        <x:v>KZT</x:v>
      </x:c>
      <x:c r="M512" s="22"/>
      <x:c r="N512" s="22"/>
      <x:c r="O512" s="28"/>
      <x:c r="P512" s="22"/>
      <x:c r="Q512" s="22"/>
      <x:c r="R512" s="28"/>
      <x:c r="S512" s="22"/>
      <x:c r="T512" s="35" t="n">
        <x:f>K512</x:f>
        <x:v>32</x:v>
      </x:c>
      <x:c r="U512" s="20" t="str">
        <x:f>IF(J512="Рассчитано",N512*(1-O512/100),"н/д")</x:f>
        <x:v>н/д</x:v>
      </x:c>
      <x:c r="V512" s="20" t="str">
        <x:f>IF(J512="Рассчитано",T512*U512,"н/д")</x:f>
        <x:v>н/д</x:v>
      </x:c>
      <x:c r="W512" s="20" t="str">
        <x:f>IF(J512="Рассчитано",T512*M512,"н/д")</x:f>
        <x:v>н/д</x:v>
      </x:c>
      <x:c r="X512" s="20" t="str">
        <x:f>IF(J512="Рассчитано",V512-W512,"н/д")</x:f>
        <x:v>н/д</x:v>
      </x:c>
      <x:c r="Y512" s="26" t="str">
        <x:f>IF(J512="Рассчитано",IF(V512&gt;0,G512/V512,"н/д"),"н/д")</x:f>
        <x:v>н/д</x:v>
      </x:c>
      <x:c r="Z512" s="20" t="str">
        <x:f>"н/д"</x:f>
        <x:v>н/д</x:v>
      </x:c>
      <x:c r="AA512" s="20" t="str">
        <x:f>"н/д"</x:f>
        <x:v>н/д</x:v>
      </x:c>
      <x:c r="AB512" s="20" t="str">
        <x:f>"н/д"</x:f>
        <x:v>н/д</x:v>
      </x:c>
      <x:c r="AC512" s="20" t="str">
        <x:f>IF(AND(J512="Рассчитано",T512&gt;0,R512&lt;100),(W512+P512+Q512)/(T512*(1-R512/100)),"н/д")</x:f>
        <x:v>н/д</x:v>
      </x:c>
      <x:c r="AD512" s="11" t="str">
        <x:f>IF(ISNUMBER(G512),IF(G512&lt;0,"Убыток",IF(G512=0,"Без прибыли","Прибыль &gt; 0")),"Не оценён")</x:f>
        <x:v>Не оценён</x:v>
      </x:c>
      <x:c r="AE512" s="12" t="str">
        <x:f>IF(J512="Рассчитано","Выручка "&amp;TEXT(V512,"0.00")&amp;" - себестоимость "&amp;TEXT(W512,"0.00")&amp;" - комиссия "&amp;TEXT(V512*R512/100,"0.00")&amp;" - доставка "&amp;TEXT(P512,"0.00")&amp;" - прочие "&amp;TEXT(Q512,"0.00")&amp;" = "&amp;TEXT(G512,"0.00")&amp;" "&amp;L512,"Введите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2" s="23" t="n">
        <x:v>16.170556086747638</x:v>
      </x:c>
      <x:c r="AG512" s="35" t="n">
        <x:v>49</x:v>
      </x:c>
      <x:c r="AH512" s="35" t="n">
        <x:v>0</x:v>
      </x:c>
      <x:c r="AI512" s="29" t="n">
        <x:v>46266</x:v>
      </x:c>
      <x:c r="AJ512" s="35" t="n">
        <x:v>10</x:v>
      </x:c>
      <x:c r="AK512" s="11" t="str">
        <x:v>минимум</x:v>
      </x:c>
      <x:c r="AL512" s="31" t="n">
        <x:v>257.6856114275051</x:v>
      </x:c>
      <x:c r="AM51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12" s="12" t="str">
        <x:v>Проверить свободный остаток и установить цену для B2B</x:v>
      </x:c>
      <x:c r="AO512" s="12" t="str">
        <x:v>Остаток 49; прогноз 90 дней 16.17; избыток 32 шт. Будущие поступления не выставляются на продажу. Остаток на начало сентября: требуется актуализация.</x:v>
      </x:c>
      <x:c r="AP512" s="12" t="str">
        <x:v>["category_missing", "daily_stockout_data_missing", "negative_net_sales_clipped_for_forecast", "new_order_lead_time_unknown", "reservations_unknown", "stale_stock"]</x:v>
      </x:c>
      <x:c r="AQ512" s="11" t="str">
        <x:v>IEK:081100712_</x:v>
      </x:c>
      <x:c r="AR512" s="23" t="n">
        <x:v>1</x:v>
      </x:c>
      <x:c r="AS512" s="23" t="n">
        <x:v>0</x:v>
      </x:c>
      <x:c r="AT512" s="23" t="n">
        <x:v>0</x:v>
      </x:c>
    </x:row>
    <x:row r="513" ht="64" customHeight="1">
      <x:c r="A513" s="10" t="str">
        <x:v>IEK</x:v>
      </x:c>
      <x:c r="B513" s="34" t="str">
        <x:v>081100715_</x:v>
      </x:c>
      <x:c r="C513" s="34" t="str">
        <x:v>LLF-CT35-5-230-30-E14-CL</x:v>
      </x:c>
      <x:c r="D513" s="13" t="str">
        <x:v>Лампа филаментная LED CT35 свеча вит. 5Вт 230В 3000К E14 серия 360° IEK</x:v>
      </x:c>
      <x:c r="E513" s="10" t="str">
        <x:v>шт</x:v>
      </x:c>
      <x:c r="F513" s="37" t="n">
        <x:f>MAX(0,ROUNDDOWN((AG513-AF513)/AR513+0.000000001,0)*AR513)</x:f>
        <x:v>3</x:v>
      </x:c>
      <x:c r="G513" s="21" t="str">
        <x:f>IF(J513="Рассчитано",V513*(1-R513/100)-W513-P513-Q513,"н/д")</x:f>
        <x:v>н/д</x:v>
      </x:c>
      <x:c r="H513" s="13" t="str">
        <x:v>Высокий</x:v>
      </x:c>
      <x:c r="I513" s="13" t="str">
        <x:v>Высокий</x:v>
      </x:c>
      <x:c r="J513" s="13" t="str">
        <x:f>IF(L513="","Укажите валюту",IF(NOT(ISNUMBER(K513)),"Укажите объём",IF(K513&lt;=0,"Укажите объём",IF(K513&gt;F513,"Объём выше излишка",IF(COUNT(M513:O513)&lt;3,"Нужны цены",IF(COUNT(P513:R513)&lt;3,"Нужны расходы",IF(OR(M513&lt;0,N513&lt;0,O513&lt;0,O513&gt;100,P513&lt;0,Q513&lt;0,R513&lt;0,R513&gt;100),"Проверьте значения","Рассчитано")))))))</x:f>
        <x:v>Нужны цены</x:v>
      </x:c>
      <x:c r="K513" s="36" t="n">
        <x:v>3</x:v>
      </x:c>
      <x:c r="L513" s="19" t="str">
        <x:v>KZT</x:v>
      </x:c>
      <x:c r="M513" s="22"/>
      <x:c r="N513" s="22"/>
      <x:c r="O513" s="28"/>
      <x:c r="P513" s="22"/>
      <x:c r="Q513" s="22"/>
      <x:c r="R513" s="28"/>
      <x:c r="S513" s="22"/>
      <x:c r="T513" s="37" t="n">
        <x:f>K513</x:f>
        <x:v>3</x:v>
      </x:c>
      <x:c r="U513" s="21" t="str">
        <x:f>IF(J513="Рассчитано",N513*(1-O513/100),"н/д")</x:f>
        <x:v>н/д</x:v>
      </x:c>
      <x:c r="V513" s="21" t="str">
        <x:f>IF(J513="Рассчитано",T513*U513,"н/д")</x:f>
        <x:v>н/д</x:v>
      </x:c>
      <x:c r="W513" s="21" t="str">
        <x:f>IF(J513="Рассчитано",T513*M513,"н/д")</x:f>
        <x:v>н/д</x:v>
      </x:c>
      <x:c r="X513" s="21" t="str">
        <x:f>IF(J513="Рассчитано",V513-W513,"н/д")</x:f>
        <x:v>н/д</x:v>
      </x:c>
      <x:c r="Y513" s="27" t="str">
        <x:f>IF(J513="Рассчитано",IF(V513&gt;0,G513/V513,"н/д"),"н/д")</x:f>
        <x:v>н/д</x:v>
      </x:c>
      <x:c r="Z513" s="21" t="str">
        <x:f>"н/д"</x:f>
        <x:v>н/д</x:v>
      </x:c>
      <x:c r="AA513" s="21" t="str">
        <x:f>"н/д"</x:f>
        <x:v>н/д</x:v>
      </x:c>
      <x:c r="AB513" s="21" t="str">
        <x:f>"н/д"</x:f>
        <x:v>н/д</x:v>
      </x:c>
      <x:c r="AC513" s="21" t="str">
        <x:f>IF(AND(J513="Рассчитано",T513&gt;0,R513&lt;100),(W513+P513+Q513)/(T513*(1-R513/100)),"н/д")</x:f>
        <x:v>н/д</x:v>
      </x:c>
      <x:c r="AD513" s="10" t="str">
        <x:f>IF(ISNUMBER(G513),IF(G513&lt;0,"Убыток",IF(G513=0,"Без прибыли","Прибыль &gt; 0")),"Не оценён")</x:f>
        <x:v>Не оценён</x:v>
      </x:c>
      <x:c r="AE513" s="13" t="str">
        <x:f>IF(J513="Рассчитано","Выручка "&amp;TEXT(V513,"0.00")&amp;" - себестоимость "&amp;TEXT(W513,"0.00")&amp;" - комиссия "&amp;TEXT(V513*R513/100,"0.00")&amp;" - доставка "&amp;TEXT(P513,"0.00")&amp;" - прочие "&amp;TEXT(Q513,"0.00")&amp;" = "&amp;TEXT(G513,"0.00")&amp;" "&amp;L513,"Введите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3" s="24" t="n">
        <x:v>0</x:v>
      </x:c>
      <x:c r="AG513" s="37" t="n">
        <x:v>3</x:v>
      </x:c>
      <x:c r="AH513" s="37" t="n">
        <x:v>0</x:v>
      </x:c>
      <x:c r="AI513" s="30" t="n">
        <x:v>46266</x:v>
      </x:c>
      <x:c r="AJ513" s="37"/>
      <x:c r="AK513" s="10" t="str">
        <x:v>минимум</x:v>
      </x:c>
      <x:c r="AL513" s="32" t="str">
        <x:v>н/д</x:v>
      </x:c>
      <x:c r="AM51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513" s="13" t="str">
        <x:v>Проверить свободный остаток и установить цену для B2B</x:v>
      </x:c>
      <x:c r="AO513" s="13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513" s="13" t="str">
        <x:v>["category_missing", "daily_stockout_data_missing", "moq_missing", "new_order_lead_time_unknown", "reservations_unknown", "stale_stock"]</x:v>
      </x:c>
      <x:c r="AQ513" s="10" t="str">
        <x:v>IEK:081100715_</x:v>
      </x:c>
      <x:c r="AR513" s="24" t="n">
        <x:v>1</x:v>
      </x:c>
      <x:c r="AS513" s="24" t="n">
        <x:v>0</x:v>
      </x:c>
      <x:c r="AT513" s="24" t="n">
        <x:v>0</x:v>
      </x:c>
    </x:row>
    <x:row r="514" ht="64" customHeight="1">
      <x:c r="A514" s="11" t="str">
        <x:v>IEK</x:v>
      </x:c>
      <x:c r="B514" s="33" t="str">
        <x:v>081100720_</x:v>
      </x:c>
      <x:c r="C514" s="33" t="str">
        <x:v>LLF-CT35-7-230-30-E27-CL</x:v>
      </x:c>
      <x:c r="D514" s="12" t="str">
        <x:v>Лампа филаментная LED CT35 свеча вит. 7Вт 230В 3000К E27 серия 360° IEK</x:v>
      </x:c>
      <x:c r="E514" s="11" t="str">
        <x:v>шт</x:v>
      </x:c>
      <x:c r="F514" s="35" t="n">
        <x:f>MAX(0,ROUNDDOWN((AG514-AF514)/AR514+0.000000001,0)*AR514)</x:f>
        <x:v>51</x:v>
      </x:c>
      <x:c r="G514" s="20" t="str">
        <x:f>IF(J514="Рассчитано",V514*(1-R514/100)-W514-P514-Q514,"н/д")</x:f>
        <x:v>н/д</x:v>
      </x:c>
      <x:c r="H514" s="12" t="str">
        <x:v>Высокий</x:v>
      </x:c>
      <x:c r="I514" s="12" t="str">
        <x:v>Высокий</x:v>
      </x:c>
      <x:c r="J514" s="12" t="str">
        <x:f>IF(L514="","Укажите валюту",IF(NOT(ISNUMBER(K514)),"Укажите объём",IF(K514&lt;=0,"Укажите объём",IF(K514&gt;F514,"Объём выше излишка",IF(COUNT(M514:O514)&lt;3,"Нужны цены",IF(COUNT(P514:R514)&lt;3,"Нужны расходы",IF(OR(M514&lt;0,N514&lt;0,O514&lt;0,O514&gt;100,P514&lt;0,Q514&lt;0,R514&lt;0,R514&gt;100),"Проверьте значения","Рассчитано")))))))</x:f>
        <x:v>Нужны цены</x:v>
      </x:c>
      <x:c r="K514" s="36" t="n">
        <x:v>51</x:v>
      </x:c>
      <x:c r="L514" s="19" t="str">
        <x:v>KZT</x:v>
      </x:c>
      <x:c r="M514" s="22"/>
      <x:c r="N514" s="22"/>
      <x:c r="O514" s="28"/>
      <x:c r="P514" s="22"/>
      <x:c r="Q514" s="22"/>
      <x:c r="R514" s="28"/>
      <x:c r="S514" s="22"/>
      <x:c r="T514" s="35" t="n">
        <x:f>K514</x:f>
        <x:v>51</x:v>
      </x:c>
      <x:c r="U514" s="20" t="str">
        <x:f>IF(J514="Рассчитано",N514*(1-O514/100),"н/д")</x:f>
        <x:v>н/д</x:v>
      </x:c>
      <x:c r="V514" s="20" t="str">
        <x:f>IF(J514="Рассчитано",T514*U514,"н/д")</x:f>
        <x:v>н/д</x:v>
      </x:c>
      <x:c r="W514" s="20" t="str">
        <x:f>IF(J514="Рассчитано",T514*M514,"н/д")</x:f>
        <x:v>н/д</x:v>
      </x:c>
      <x:c r="X514" s="20" t="str">
        <x:f>IF(J514="Рассчитано",V514-W514,"н/д")</x:f>
        <x:v>н/д</x:v>
      </x:c>
      <x:c r="Y514" s="26" t="str">
        <x:f>IF(J514="Рассчитано",IF(V514&gt;0,G514/V514,"н/д"),"н/д")</x:f>
        <x:v>н/д</x:v>
      </x:c>
      <x:c r="Z514" s="20" t="str">
        <x:f>"н/д"</x:f>
        <x:v>н/д</x:v>
      </x:c>
      <x:c r="AA514" s="20" t="str">
        <x:f>"н/д"</x:f>
        <x:v>н/д</x:v>
      </x:c>
      <x:c r="AB514" s="20" t="str">
        <x:f>"н/д"</x:f>
        <x:v>н/д</x:v>
      </x:c>
      <x:c r="AC514" s="20" t="str">
        <x:f>IF(AND(J514="Рассчитано",T514&gt;0,R514&lt;100),(W514+P514+Q514)/(T514*(1-R514/100)),"н/д")</x:f>
        <x:v>н/д</x:v>
      </x:c>
      <x:c r="AD514" s="11" t="str">
        <x:f>IF(ISNUMBER(G514),IF(G514&lt;0,"Убыток",IF(G514=0,"Без прибыли","Прибыль &gt; 0")),"Не оценён")</x:f>
        <x:v>Не оценён</x:v>
      </x:c>
      <x:c r="AE514" s="12" t="str">
        <x:f>IF(J514="Рассчитано","Выручка "&amp;TEXT(V514,"0.00")&amp;" - себестоимость "&amp;TEXT(W514,"0.00")&amp;" - комиссия "&amp;TEXT(V514*R514/100,"0.00")&amp;" - доставка "&amp;TEXT(P514,"0.00")&amp;" - прочие "&amp;TEXT(Q514,"0.00")&amp;" = "&amp;TEXT(G514,"0.00")&amp;" "&amp;L514,"Введите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4" s="23" t="n">
        <x:v>1.5549856268218676</x:v>
      </x:c>
      <x:c r="AG514" s="35" t="n">
        <x:v>53</x:v>
      </x:c>
      <x:c r="AH514" s="35" t="n">
        <x:v>0</x:v>
      </x:c>
      <x:c r="AI514" s="29" t="n">
        <x:v>46266</x:v>
      </x:c>
      <x:c r="AJ514" s="35" t="n">
        <x:v>10</x:v>
      </x:c>
      <x:c r="AK514" s="11" t="str">
        <x:v>минимум</x:v>
      </x:c>
      <x:c r="AL514" s="31" t="n">
        <x:v>2898.4681654122796</x:v>
      </x:c>
      <x:c r="AM51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14" s="12" t="str">
        <x:v>Проверить свободный остаток и установить цену для B2B</x:v>
      </x:c>
      <x:c r="AO514" s="12" t="str">
        <x:v>Остаток 53; прогноз 90 дней 1.55; избыток 51 шт. Будущие поступления не выставляются на продажу. Остаток на начало сентября: требуется актуализация.</x:v>
      </x:c>
      <x:c r="AP514" s="12" t="str">
        <x:v>["category_missing", "daily_stockout_data_missing", "new_order_lead_time_unknown", "reservations_unknown", "stale_stock"]</x:v>
      </x:c>
      <x:c r="AQ514" s="11" t="str">
        <x:v>IEK:081100720_</x:v>
      </x:c>
      <x:c r="AR514" s="23" t="n">
        <x:v>1</x:v>
      </x:c>
      <x:c r="AS514" s="23" t="n">
        <x:v>0</x:v>
      </x:c>
      <x:c r="AT514" s="23" t="n">
        <x:v>0</x:v>
      </x:c>
    </x:row>
    <x:row r="515" ht="64" customHeight="1">
      <x:c r="A515" s="10" t="str">
        <x:v>IEK</x:v>
      </x:c>
      <x:c r="B515" s="34" t="str">
        <x:v>081100721_</x:v>
      </x:c>
      <x:c r="C515" s="34" t="str">
        <x:v>LLF-CT35-7-230-40-E14-CL</x:v>
      </x:c>
      <x:c r="D515" s="13" t="str">
        <x:v>Лампа филаментная LED CT35 свеча вит. 7Вт 230В 4000К E14 серия 360° IEK</x:v>
      </x:c>
      <x:c r="E515" s="10" t="str">
        <x:v>шт</x:v>
      </x:c>
      <x:c r="F515" s="37" t="n">
        <x:f>MAX(0,ROUNDDOWN((AG515-AF515)/AR515+0.000000001,0)*AR515)</x:f>
        <x:v>68</x:v>
      </x:c>
      <x:c r="G515" s="21" t="str">
        <x:f>IF(J515="Рассчитано",V515*(1-R515/100)-W515-P515-Q515,"н/д")</x:f>
        <x:v>н/д</x:v>
      </x:c>
      <x:c r="H515" s="13" t="str">
        <x:v>Высокий</x:v>
      </x:c>
      <x:c r="I515" s="13" t="str">
        <x:v>Высокий</x:v>
      </x:c>
      <x:c r="J515" s="13" t="str">
        <x:f>IF(L515="","Укажите валюту",IF(NOT(ISNUMBER(K515)),"Укажите объём",IF(K515&lt;=0,"Укажите объём",IF(K515&gt;F515,"Объём выше излишка",IF(COUNT(M515:O515)&lt;3,"Нужны цены",IF(COUNT(P515:R515)&lt;3,"Нужны расходы",IF(OR(M515&lt;0,N515&lt;0,O515&lt;0,O515&gt;100,P515&lt;0,Q515&lt;0,R515&lt;0,R515&gt;100),"Проверьте значения","Рассчитано")))))))</x:f>
        <x:v>Нужны цены</x:v>
      </x:c>
      <x:c r="K515" s="36" t="n">
        <x:v>68</x:v>
      </x:c>
      <x:c r="L515" s="19" t="str">
        <x:v>KZT</x:v>
      </x:c>
      <x:c r="M515" s="22"/>
      <x:c r="N515" s="22"/>
      <x:c r="O515" s="28"/>
      <x:c r="P515" s="22"/>
      <x:c r="Q515" s="22"/>
      <x:c r="R515" s="28"/>
      <x:c r="S515" s="22"/>
      <x:c r="T515" s="37" t="n">
        <x:f>K515</x:f>
        <x:v>68</x:v>
      </x:c>
      <x:c r="U515" s="21" t="str">
        <x:f>IF(J515="Рассчитано",N515*(1-O515/100),"н/д")</x:f>
        <x:v>н/д</x:v>
      </x:c>
      <x:c r="V515" s="21" t="str">
        <x:f>IF(J515="Рассчитано",T515*U515,"н/д")</x:f>
        <x:v>н/д</x:v>
      </x:c>
      <x:c r="W515" s="21" t="str">
        <x:f>IF(J515="Рассчитано",T515*M515,"н/д")</x:f>
        <x:v>н/д</x:v>
      </x:c>
      <x:c r="X515" s="21" t="str">
        <x:f>IF(J515="Рассчитано",V515-W515,"н/д")</x:f>
        <x:v>н/д</x:v>
      </x:c>
      <x:c r="Y515" s="27" t="str">
        <x:f>IF(J515="Рассчитано",IF(V515&gt;0,G515/V515,"н/д"),"н/д")</x:f>
        <x:v>н/д</x:v>
      </x:c>
      <x:c r="Z515" s="21" t="str">
        <x:f>"н/д"</x:f>
        <x:v>н/д</x:v>
      </x:c>
      <x:c r="AA515" s="21" t="str">
        <x:f>"н/д"</x:f>
        <x:v>н/д</x:v>
      </x:c>
      <x:c r="AB515" s="21" t="str">
        <x:f>"н/д"</x:f>
        <x:v>н/д</x:v>
      </x:c>
      <x:c r="AC515" s="21" t="str">
        <x:f>IF(AND(J515="Рассчитано",T515&gt;0,R515&lt;100),(W515+P515+Q515)/(T515*(1-R515/100)),"н/д")</x:f>
        <x:v>н/д</x:v>
      </x:c>
      <x:c r="AD515" s="10" t="str">
        <x:f>IF(ISNUMBER(G515),IF(G515&lt;0,"Убыток",IF(G515=0,"Без прибыли","Прибыль &gt; 0")),"Не оценён")</x:f>
        <x:v>Не оценён</x:v>
      </x:c>
      <x:c r="AE515" s="13" t="str">
        <x:f>IF(J515="Рассчитано","Выручка "&amp;TEXT(V515,"0.00")&amp;" - себестоимость "&amp;TEXT(W515,"0.00")&amp;" - комиссия "&amp;TEXT(V515*R515/100,"0.00")&amp;" - доставка "&amp;TEXT(P515,"0.00")&amp;" - прочие "&amp;TEXT(Q515,"0.00")&amp;" = "&amp;TEXT(G515,"0.00")&amp;" "&amp;L515,"Введите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5" s="24" t="n">
        <x:v>39.67167565787835</x:v>
      </x:c>
      <x:c r="AG515" s="37" t="n">
        <x:v>108</x:v>
      </x:c>
      <x:c r="AH515" s="37" t="n">
        <x:v>0</x:v>
      </x:c>
      <x:c r="AI515" s="30" t="n">
        <x:v>46266</x:v>
      </x:c>
      <x:c r="AJ515" s="37" t="n">
        <x:v>10</x:v>
      </x:c>
      <x:c r="AK515" s="10" t="str">
        <x:v>минимум</x:v>
      </x:c>
      <x:c r="AL515" s="32" t="n">
        <x:v>231.5060020548964</x:v>
      </x:c>
      <x:c r="AM51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15" s="13" t="str">
        <x:v>Проверить свободный остаток и установить цену для B2B</x:v>
      </x:c>
      <x:c r="AO515" s="13" t="str">
        <x:v>Остаток 108; прогноз 90 дней 39.67; избыток 68 шт. Будущие поступления не выставляются на продажу. Остаток на начало сентября: требуется актуализация.</x:v>
      </x:c>
      <x:c r="AP515" s="13" t="str">
        <x:v>["category_missing", "daily_stockout_data_missing", "large_orders_detected", "new_order_lead_time_unknown", "reservations_unknown", "stale_stock"]</x:v>
      </x:c>
      <x:c r="AQ515" s="10" t="str">
        <x:v>IEK:081100721_</x:v>
      </x:c>
      <x:c r="AR515" s="24" t="n">
        <x:v>1</x:v>
      </x:c>
      <x:c r="AS515" s="24" t="n">
        <x:v>0</x:v>
      </x:c>
      <x:c r="AT515" s="24" t="n">
        <x:v>0</x:v>
      </x:c>
    </x:row>
    <x:row r="516" ht="64" customHeight="1">
      <x:c r="A516" s="11" t="str">
        <x:v>IEK</x:v>
      </x:c>
      <x:c r="B516" s="33" t="str">
        <x:v>081100722_</x:v>
      </x:c>
      <x:c r="C516" s="33" t="str">
        <x:v>LLF-CT35-7-230-40-E27-CL</x:v>
      </x:c>
      <x:c r="D516" s="12" t="str">
        <x:v>Лампа филаментная LED CT35 свеча вит. 7Вт 230В 4000К E27 серия 360° IEK</x:v>
      </x:c>
      <x:c r="E516" s="11" t="str">
        <x:v>шт</x:v>
      </x:c>
      <x:c r="F516" s="35" t="n">
        <x:f>MAX(0,ROUNDDOWN((AG516-AF516)/AR516+0.000000001,0)*AR516)</x:f>
        <x:v>40</x:v>
      </x:c>
      <x:c r="G516" s="20" t="str">
        <x:f>IF(J516="Рассчитано",V516*(1-R516/100)-W516-P516-Q516,"н/д")</x:f>
        <x:v>н/д</x:v>
      </x:c>
      <x:c r="H516" s="12" t="str">
        <x:v>Высокий</x:v>
      </x:c>
      <x:c r="I516" s="12" t="str">
        <x:v>Высокий</x:v>
      </x:c>
      <x:c r="J516" s="12" t="str">
        <x:f>IF(L516="","Укажите валюту",IF(NOT(ISNUMBER(K516)),"Укажите объём",IF(K516&lt;=0,"Укажите объём",IF(K516&gt;F516,"Объём выше излишка",IF(COUNT(M516:O516)&lt;3,"Нужны цены",IF(COUNT(P516:R516)&lt;3,"Нужны расходы",IF(OR(M516&lt;0,N516&lt;0,O516&lt;0,O516&gt;100,P516&lt;0,Q516&lt;0,R516&lt;0,R516&gt;100),"Проверьте значения","Рассчитано")))))))</x:f>
        <x:v>Нужны цены</x:v>
      </x:c>
      <x:c r="K516" s="36" t="n">
        <x:v>40</x:v>
      </x:c>
      <x:c r="L516" s="19" t="str">
        <x:v>KZT</x:v>
      </x:c>
      <x:c r="M516" s="22"/>
      <x:c r="N516" s="22"/>
      <x:c r="O516" s="28"/>
      <x:c r="P516" s="22"/>
      <x:c r="Q516" s="22"/>
      <x:c r="R516" s="28"/>
      <x:c r="S516" s="22"/>
      <x:c r="T516" s="35" t="n">
        <x:f>K516</x:f>
        <x:v>40</x:v>
      </x:c>
      <x:c r="U516" s="20" t="str">
        <x:f>IF(J516="Рассчитано",N516*(1-O516/100),"н/д")</x:f>
        <x:v>н/д</x:v>
      </x:c>
      <x:c r="V516" s="20" t="str">
        <x:f>IF(J516="Рассчитано",T516*U516,"н/д")</x:f>
        <x:v>н/д</x:v>
      </x:c>
      <x:c r="W516" s="20" t="str">
        <x:f>IF(J516="Рассчитано",T516*M516,"н/д")</x:f>
        <x:v>н/д</x:v>
      </x:c>
      <x:c r="X516" s="20" t="str">
        <x:f>IF(J516="Рассчитано",V516-W516,"н/д")</x:f>
        <x:v>н/д</x:v>
      </x:c>
      <x:c r="Y516" s="26" t="str">
        <x:f>IF(J516="Рассчитано",IF(V516&gt;0,G516/V516,"н/д"),"н/д")</x:f>
        <x:v>н/д</x:v>
      </x:c>
      <x:c r="Z516" s="20" t="str">
        <x:f>"н/д"</x:f>
        <x:v>н/д</x:v>
      </x:c>
      <x:c r="AA516" s="20" t="str">
        <x:f>"н/д"</x:f>
        <x:v>н/д</x:v>
      </x:c>
      <x:c r="AB516" s="20" t="str">
        <x:f>"н/д"</x:f>
        <x:v>н/д</x:v>
      </x:c>
      <x:c r="AC516" s="20" t="str">
        <x:f>IF(AND(J516="Рассчитано",T516&gt;0,R516&lt;100),(W516+P516+Q516)/(T516*(1-R516/100)),"н/д")</x:f>
        <x:v>н/д</x:v>
      </x:c>
      <x:c r="AD516" s="11" t="str">
        <x:f>IF(ISNUMBER(G516),IF(G516&lt;0,"Убыток",IF(G516=0,"Без прибыли","Прибыль &gt; 0")),"Не оценён")</x:f>
        <x:v>Не оценён</x:v>
      </x:c>
      <x:c r="AE516" s="12" t="str">
        <x:f>IF(J516="Рассчитано","Выручка "&amp;TEXT(V516,"0.00")&amp;" - себестоимость "&amp;TEXT(W516,"0.00")&amp;" - комиссия "&amp;TEXT(V516*R516/100,"0.00")&amp;" - доставка "&amp;TEXT(P516,"0.00")&amp;" - прочие "&amp;TEXT(Q516,"0.00")&amp;" = "&amp;TEXT(G516,"0.00")&amp;" "&amp;L516,"Введите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6" s="23" t="n">
        <x:v>1.8877718138982824</x:v>
      </x:c>
      <x:c r="AG516" s="35" t="n">
        <x:v>42</x:v>
      </x:c>
      <x:c r="AH516" s="35" t="n">
        <x:v>0</x:v>
      </x:c>
      <x:c r="AI516" s="29" t="n">
        <x:v>46266</x:v>
      </x:c>
      <x:c r="AJ516" s="35" t="n">
        <x:v>10</x:v>
      </x:c>
      <x:c r="AK516" s="11" t="str">
        <x:v>минимум</x:v>
      </x:c>
      <x:c r="AL516" s="31" t="n">
        <x:v>1891.9900026316777</x:v>
      </x:c>
      <x:c r="AM51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16" s="12" t="str">
        <x:v>Проверить свободный остаток и установить цену для B2B</x:v>
      </x:c>
      <x:c r="AO516" s="12" t="str">
        <x:v>Остаток 42; прогноз 90 дней 1.89; избыток 40 шт. Будущие поступления не выставляются на продажу. Остаток на начало сентября: требуется актуализация.</x:v>
      </x:c>
      <x:c r="AP516" s="12" t="str">
        <x:v>["category_missing", "daily_stockout_data_missing", "negative_net_sales_clipped_for_forecast", "new_order_lead_time_unknown", "reservations_unknown", "stale_stock"]</x:v>
      </x:c>
      <x:c r="AQ516" s="11" t="str">
        <x:v>IEK:081100722_</x:v>
      </x:c>
      <x:c r="AR516" s="23" t="n">
        <x:v>1</x:v>
      </x:c>
      <x:c r="AS516" s="23" t="n">
        <x:v>0</x:v>
      </x:c>
      <x:c r="AT516" s="23" t="n">
        <x:v>0</x:v>
      </x:c>
    </x:row>
    <x:row r="517" ht="64" customHeight="1">
      <x:c r="A517" s="10" t="str">
        <x:v>IEK</x:v>
      </x:c>
      <x:c r="B517" s="34" t="str">
        <x:v>081100723_</x:v>
      </x:c>
      <x:c r="C517" s="34" t="str">
        <x:v>LLF-G95-6-230-30-E27-CLG</x:v>
      </x:c>
      <x:c r="D517" s="13" t="str">
        <x:v>Лампа филаментная LED G95 шар золото 6Вт 230В 2700К E27 серия 360° IEK</x:v>
      </x:c>
      <x:c r="E517" s="10" t="str">
        <x:v>шт</x:v>
      </x:c>
      <x:c r="F517" s="37" t="n">
        <x:f>MAX(0,ROUNDDOWN((AG517-AF517)/AR517+0.000000001,0)*AR517)</x:f>
        <x:v>15</x:v>
      </x:c>
      <x:c r="G517" s="21" t="str">
        <x:f>IF(J517="Рассчитано",V517*(1-R517/100)-W517-P517-Q517,"н/д")</x:f>
        <x:v>н/д</x:v>
      </x:c>
      <x:c r="H517" s="13" t="str">
        <x:v>Высокий</x:v>
      </x:c>
      <x:c r="I517" s="13" t="str">
        <x:v>Высокий</x:v>
      </x:c>
      <x:c r="J517" s="13" t="str">
        <x:f>IF(L517="","Укажите валюту",IF(NOT(ISNUMBER(K517)),"Укажите объём",IF(K517&lt;=0,"Укажите объём",IF(K517&gt;F517,"Объём выше излишка",IF(COUNT(M517:O517)&lt;3,"Нужны цены",IF(COUNT(P517:R517)&lt;3,"Нужны расходы",IF(OR(M517&lt;0,N517&lt;0,O517&lt;0,O517&gt;100,P517&lt;0,Q517&lt;0,R517&lt;0,R517&gt;100),"Проверьте значения","Рассчитано")))))))</x:f>
        <x:v>Нужны цены</x:v>
      </x:c>
      <x:c r="K517" s="36" t="n">
        <x:v>15</x:v>
      </x:c>
      <x:c r="L517" s="19" t="str">
        <x:v>KZT</x:v>
      </x:c>
      <x:c r="M517" s="22"/>
      <x:c r="N517" s="22"/>
      <x:c r="O517" s="28"/>
      <x:c r="P517" s="22"/>
      <x:c r="Q517" s="22"/>
      <x:c r="R517" s="28"/>
      <x:c r="S517" s="22"/>
      <x:c r="T517" s="37" t="n">
        <x:f>K517</x:f>
        <x:v>15</x:v>
      </x:c>
      <x:c r="U517" s="21" t="str">
        <x:f>IF(J517="Рассчитано",N517*(1-O517/100),"н/д")</x:f>
        <x:v>н/д</x:v>
      </x:c>
      <x:c r="V517" s="21" t="str">
        <x:f>IF(J517="Рассчитано",T517*U517,"н/д")</x:f>
        <x:v>н/д</x:v>
      </x:c>
      <x:c r="W517" s="21" t="str">
        <x:f>IF(J517="Рассчитано",T517*M517,"н/д")</x:f>
        <x:v>н/д</x:v>
      </x:c>
      <x:c r="X517" s="21" t="str">
        <x:f>IF(J517="Рассчитано",V517-W517,"н/д")</x:f>
        <x:v>н/д</x:v>
      </x:c>
      <x:c r="Y517" s="27" t="str">
        <x:f>IF(J517="Рассчитано",IF(V517&gt;0,G517/V517,"н/д"),"н/д")</x:f>
        <x:v>н/д</x:v>
      </x:c>
      <x:c r="Z517" s="21" t="str">
        <x:f>"н/д"</x:f>
        <x:v>н/д</x:v>
      </x:c>
      <x:c r="AA517" s="21" t="str">
        <x:f>"н/д"</x:f>
        <x:v>н/д</x:v>
      </x:c>
      <x:c r="AB517" s="21" t="str">
        <x:f>"н/д"</x:f>
        <x:v>н/д</x:v>
      </x:c>
      <x:c r="AC517" s="21" t="str">
        <x:f>IF(AND(J517="Рассчитано",T517&gt;0,R517&lt;100),(W517+P517+Q517)/(T517*(1-R517/100)),"н/д")</x:f>
        <x:v>н/д</x:v>
      </x:c>
      <x:c r="AD517" s="10" t="str">
        <x:f>IF(ISNUMBER(G517),IF(G517&lt;0,"Убыток",IF(G517=0,"Без прибыли","Прибыль &gt; 0")),"Не оценён")</x:f>
        <x:v>Не оценён</x:v>
      </x:c>
      <x:c r="AE517" s="13" t="str">
        <x:f>IF(J517="Рассчитано","Выручка "&amp;TEXT(V517,"0.00")&amp;" - себестоимость "&amp;TEXT(W517,"0.00")&amp;" - комиссия "&amp;TEXT(V517*R517/100,"0.00")&amp;" - доставка "&amp;TEXT(P517,"0.00")&amp;" - прочие "&amp;TEXT(Q517,"0.00")&amp;" = "&amp;TEXT(G517,"0.00")&amp;" "&amp;L517,"Введите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7" s="24" t="n">
        <x:v>3.799715776767403</x:v>
      </x:c>
      <x:c r="AG517" s="37" t="n">
        <x:v>19</x:v>
      </x:c>
      <x:c r="AH517" s="37" t="n">
        <x:v>0</x:v>
      </x:c>
      <x:c r="AI517" s="30" t="n">
        <x:v>46266</x:v>
      </x:c>
      <x:c r="AJ517" s="37" t="n">
        <x:v>1</x:v>
      </x:c>
      <x:c r="AK517" s="10" t="str">
        <x:v>минимум</x:v>
      </x:c>
      <x:c r="AL517" s="32" t="n">
        <x:v>425.2276860052516</x:v>
      </x:c>
      <x:c r="AM51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17" s="13" t="str">
        <x:v>Проверить свободный остаток и установить цену для B2B</x:v>
      </x:c>
      <x:c r="AO517" s="13" t="str">
        <x:v>Остаток 19; прогноз 90 дней 3.80; избыток 15 шт. Будущие поступления не выставляются на продажу. Остаток на начало сентября: требуется актуализация.</x:v>
      </x:c>
      <x:c r="AP517" s="13" t="str">
        <x:v>["category_missing", "daily_stockout_data_missing", "new_order_lead_time_unknown", "reservations_unknown", "stale_stock"]</x:v>
      </x:c>
      <x:c r="AQ517" s="10" t="str">
        <x:v>IEK:081100723_</x:v>
      </x:c>
      <x:c r="AR517" s="24" t="n">
        <x:v>1</x:v>
      </x:c>
      <x:c r="AS517" s="24" t="n">
        <x:v>0</x:v>
      </x:c>
      <x:c r="AT517" s="24" t="n">
        <x:v>0</x:v>
      </x:c>
    </x:row>
    <x:row r="518" ht="64" customHeight="1">
      <x:c r="A518" s="11" t="str">
        <x:v>IEK</x:v>
      </x:c>
      <x:c r="B518" s="33" t="str">
        <x:v>081100724_</x:v>
      </x:c>
      <x:c r="C518" s="33" t="str">
        <x:v>LLF-ST64-6-230-30-E27-CLG</x:v>
      </x:c>
      <x:c r="D518" s="12" t="str">
        <x:v>Лампа филаментная LED ST64 золото 6Вт 230В 2700К E27 серия 360° IEK</x:v>
      </x:c>
      <x:c r="E518" s="11" t="str">
        <x:v>шт</x:v>
      </x:c>
      <x:c r="F518" s="35" t="n">
        <x:f>MAX(0,ROUNDDOWN((AG518-AF518)/AR518+0.000000001,0)*AR518)</x:f>
        <x:v>1</x:v>
      </x:c>
      <x:c r="G518" s="20" t="str">
        <x:f>IF(J518="Рассчитано",V518*(1-R518/100)-W518-P518-Q518,"н/д")</x:f>
        <x:v>н/д</x:v>
      </x:c>
      <x:c r="H518" s="12" t="str">
        <x:v>Высокий</x:v>
      </x:c>
      <x:c r="I518" s="12" t="str">
        <x:v>Высокий</x:v>
      </x:c>
      <x:c r="J518" s="12" t="str">
        <x:f>IF(L518="","Укажите валюту",IF(NOT(ISNUMBER(K518)),"Укажите объём",IF(K518&lt;=0,"Укажите объём",IF(K518&gt;F518,"Объём выше излишка",IF(COUNT(M518:O518)&lt;3,"Нужны цены",IF(COUNT(P518:R518)&lt;3,"Нужны расходы",IF(OR(M518&lt;0,N518&lt;0,O518&lt;0,O518&gt;100,P518&lt;0,Q518&lt;0,R518&lt;0,R518&gt;100),"Проверьте значения","Рассчитано")))))))</x:f>
        <x:v>Нужны цены</x:v>
      </x:c>
      <x:c r="K518" s="36" t="n">
        <x:v>1</x:v>
      </x:c>
      <x:c r="L518" s="19" t="str">
        <x:v>KZT</x:v>
      </x:c>
      <x:c r="M518" s="22"/>
      <x:c r="N518" s="22"/>
      <x:c r="O518" s="28"/>
      <x:c r="P518" s="22"/>
      <x:c r="Q518" s="22"/>
      <x:c r="R518" s="28"/>
      <x:c r="S518" s="22"/>
      <x:c r="T518" s="35" t="n">
        <x:f>K518</x:f>
        <x:v>1</x:v>
      </x:c>
      <x:c r="U518" s="20" t="str">
        <x:f>IF(J518="Рассчитано",N518*(1-O518/100),"н/д")</x:f>
        <x:v>н/д</x:v>
      </x:c>
      <x:c r="V518" s="20" t="str">
        <x:f>IF(J518="Рассчитано",T518*U518,"н/д")</x:f>
        <x:v>н/д</x:v>
      </x:c>
      <x:c r="W518" s="20" t="str">
        <x:f>IF(J518="Рассчитано",T518*M518,"н/д")</x:f>
        <x:v>н/д</x:v>
      </x:c>
      <x:c r="X518" s="20" t="str">
        <x:f>IF(J518="Рассчитано",V518-W518,"н/д")</x:f>
        <x:v>н/д</x:v>
      </x:c>
      <x:c r="Y518" s="26" t="str">
        <x:f>IF(J518="Рассчитано",IF(V518&gt;0,G518/V518,"н/д"),"н/д")</x:f>
        <x:v>н/д</x:v>
      </x:c>
      <x:c r="Z518" s="20" t="str">
        <x:f>"н/д"</x:f>
        <x:v>н/д</x:v>
      </x:c>
      <x:c r="AA518" s="20" t="str">
        <x:f>"н/д"</x:f>
        <x:v>н/д</x:v>
      </x:c>
      <x:c r="AB518" s="20" t="str">
        <x:f>"н/д"</x:f>
        <x:v>н/д</x:v>
      </x:c>
      <x:c r="AC518" s="20" t="str">
        <x:f>IF(AND(J518="Рассчитано",T518&gt;0,R518&lt;100),(W518+P518+Q518)/(T518*(1-R518/100)),"н/д")</x:f>
        <x:v>н/д</x:v>
      </x:c>
      <x:c r="AD518" s="11" t="str">
        <x:f>IF(ISNUMBER(G518),IF(G518&lt;0,"Убыток",IF(G518=0,"Без прибыли","Прибыль &gt; 0")),"Не оценён")</x:f>
        <x:v>Не оценён</x:v>
      </x:c>
      <x:c r="AE518" s="12" t="str">
        <x:f>IF(J518="Рассчитано","Выручка "&amp;TEXT(V518,"0.00")&amp;" - себестоимость "&amp;TEXT(W518,"0.00")&amp;" - комиссия "&amp;TEXT(V518*R518/100,"0.00")&amp;" - доставка "&amp;TEXT(P518,"0.00")&amp;" - прочие "&amp;TEXT(Q518,"0.00")&amp;" = "&amp;TEXT(G518,"0.00")&amp;" "&amp;L518,"Введите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8" s="23" t="n">
        <x:v>1.3952709314623826</x:v>
      </x:c>
      <x:c r="AG518" s="35" t="n">
        <x:v>3</x:v>
      </x:c>
      <x:c r="AH518" s="35" t="n">
        <x:v>0</x:v>
      </x:c>
      <x:c r="AI518" s="29" t="n">
        <x:v>46266</x:v>
      </x:c>
      <x:c r="AJ518" s="35"/>
      <x:c r="AK518" s="11" t="str">
        <x:v>минимум</x:v>
      </x:c>
      <x:c r="AL518" s="31" t="n">
        <x:v>182.8444374190457</x:v>
      </x:c>
      <x:c r="AM5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18" s="12" t="str">
        <x:v>Проверить свободный остаток и установить цену для B2B</x:v>
      </x:c>
      <x:c r="AO518" s="12" t="str">
        <x:v>Остаток 3; прогноз 90 дней 1.40; избыток 1 шт. Будущие поступления не выставляются на продажу. Остаток на начало сентября: требуется актуализация.</x:v>
      </x:c>
      <x:c r="AP518" s="12" t="str">
        <x:v>["category_missing", "daily_stockout_data_missing", "moq_missing", "new_order_lead_time_unknown", "reservations_unknown", "stale_stock"]</x:v>
      </x:c>
      <x:c r="AQ518" s="11" t="str">
        <x:v>IEK:081100724_</x:v>
      </x:c>
      <x:c r="AR518" s="23" t="n">
        <x:v>1</x:v>
      </x:c>
      <x:c r="AS518" s="23" t="n">
        <x:v>0</x:v>
      </x:c>
      <x:c r="AT518" s="23" t="n">
        <x:v>0</x:v>
      </x:c>
    </x:row>
    <x:row r="519" ht="64" customHeight="1">
      <x:c r="A519" s="10" t="str">
        <x:v>IEK</x:v>
      </x:c>
      <x:c r="B519" s="34" t="str">
        <x:v>081100743_</x:v>
      </x:c>
      <x:c r="C519" s="34" t="str">
        <x:v>LLE-T80-6-230-40-GX53</x:v>
      </x:c>
      <x:c r="D519" s="13" t="str">
        <x:v>Лампа LED T75 таблетка 6Вт 230В 4000К GX53 IEK</x:v>
      </x:c>
      <x:c r="E519" s="10" t="str">
        <x:v>шт</x:v>
      </x:c>
      <x:c r="F519" s="37" t="n">
        <x:f>MAX(0,ROUNDDOWN((AG519-AF519)/AR519+0.000000001,0)*AR519)</x:f>
        <x:v>6</x:v>
      </x:c>
      <x:c r="G519" s="21" t="str">
        <x:f>IF(J519="Рассчитано",V519*(1-R519/100)-W519-P519-Q519,"н/д")</x:f>
        <x:v>н/д</x:v>
      </x:c>
      <x:c r="H519" s="13" t="str">
        <x:v>Высокий</x:v>
      </x:c>
      <x:c r="I519" s="13" t="str">
        <x:v>Средний</x:v>
      </x:c>
      <x:c r="J519" s="13" t="str">
        <x:f>IF(L519="","Укажите валюту",IF(NOT(ISNUMBER(K519)),"Укажите объём",IF(K519&lt;=0,"Укажите объём",IF(K519&gt;F519,"Объём выше излишка",IF(COUNT(M519:O519)&lt;3,"Нужны цены",IF(COUNT(P519:R519)&lt;3,"Нужны расходы",IF(OR(M519&lt;0,N519&lt;0,O519&lt;0,O519&gt;100,P519&lt;0,Q519&lt;0,R519&lt;0,R519&gt;100),"Проверьте значения","Рассчитано")))))))</x:f>
        <x:v>Нужны цены</x:v>
      </x:c>
      <x:c r="K519" s="36" t="n">
        <x:v>6</x:v>
      </x:c>
      <x:c r="L519" s="19" t="str">
        <x:v>KZT</x:v>
      </x:c>
      <x:c r="M519" s="22"/>
      <x:c r="N519" s="22"/>
      <x:c r="O519" s="28"/>
      <x:c r="P519" s="22"/>
      <x:c r="Q519" s="22"/>
      <x:c r="R519" s="28"/>
      <x:c r="S519" s="22"/>
      <x:c r="T519" s="37" t="n">
        <x:f>K519</x:f>
        <x:v>6</x:v>
      </x:c>
      <x:c r="U519" s="21" t="str">
        <x:f>IF(J519="Рассчитано",N519*(1-O519/100),"н/д")</x:f>
        <x:v>н/д</x:v>
      </x:c>
      <x:c r="V519" s="21" t="str">
        <x:f>IF(J519="Рассчитано",T519*U519,"н/д")</x:f>
        <x:v>н/д</x:v>
      </x:c>
      <x:c r="W519" s="21" t="str">
        <x:f>IF(J519="Рассчитано",T519*M519,"н/д")</x:f>
        <x:v>н/д</x:v>
      </x:c>
      <x:c r="X519" s="21" t="str">
        <x:f>IF(J519="Рассчитано",V519-W519,"н/д")</x:f>
        <x:v>н/д</x:v>
      </x:c>
      <x:c r="Y519" s="27" t="str">
        <x:f>IF(J519="Рассчитано",IF(V519&gt;0,G519/V519,"н/д"),"н/д")</x:f>
        <x:v>н/д</x:v>
      </x:c>
      <x:c r="Z519" s="21" t="str">
        <x:f>"н/д"</x:f>
        <x:v>н/д</x:v>
      </x:c>
      <x:c r="AA519" s="21" t="str">
        <x:f>"н/д"</x:f>
        <x:v>н/д</x:v>
      </x:c>
      <x:c r="AB519" s="21" t="str">
        <x:f>"н/д"</x:f>
        <x:v>н/д</x:v>
      </x:c>
      <x:c r="AC519" s="21" t="str">
        <x:f>IF(AND(J519="Рассчитано",T519&gt;0,R519&lt;100),(W519+P519+Q519)/(T519*(1-R519/100)),"н/д")</x:f>
        <x:v>н/д</x:v>
      </x:c>
      <x:c r="AD519" s="10" t="str">
        <x:f>IF(ISNUMBER(G519),IF(G519&lt;0,"Убыток",IF(G519=0,"Без прибыли","Прибыль &gt; 0")),"Не оценён")</x:f>
        <x:v>Не оценён</x:v>
      </x:c>
      <x:c r="AE519" s="13" t="str">
        <x:f>IF(J519="Рассчитано","Выручка "&amp;TEXT(V519,"0.00")&amp;" - себестоимость "&amp;TEXT(W519,"0.00")&amp;" - комиссия "&amp;TEXT(V519*R519/100,"0.00")&amp;" - доставка "&amp;TEXT(P519,"0.00")&amp;" - прочие "&amp;TEXT(Q519,"0.00")&amp;" = "&amp;TEXT(G519,"0.00")&amp;" "&amp;L519,"Введите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9" s="24" t="n">
        <x:v>8.55455912295811</x:v>
      </x:c>
      <x:c r="AG519" s="37" t="n">
        <x:v>15</x:v>
      </x:c>
      <x:c r="AH519" s="37" t="n">
        <x:v>0</x:v>
      </x:c>
      <x:c r="AI519" s="30" t="n">
        <x:v>46266</x:v>
      </x:c>
      <x:c r="AJ519" s="37" t="n">
        <x:v>10</x:v>
      </x:c>
      <x:c r="AK519" s="10" t="str">
        <x:v>минимум</x:v>
      </x:c>
      <x:c r="AL519" s="32" t="n">
        <x:v>149.11202602231216</x:v>
      </x:c>
      <x:c r="AM519" s="13" t="str">
        <x:v>Остаток на начало сентября; Резервы неизвестны; Нет ежедневных данных доступности. Запас выше прогноза на 90 дней</x:v>
      </x:c>
      <x:c r="AN519" s="13" t="str">
        <x:v>Проверить свободный остаток и установить цену для B2B</x:v>
      </x:c>
      <x:c r="AO519" s="13" t="str">
        <x:v>Остаток 15; прогноз 90 дней 8.55; избыток 6 шт. Будущие поступления не выставляются на продажу. Остаток на начало сентября: требуется актуализация.</x:v>
      </x:c>
      <x:c r="AP519" s="13" t="str">
        <x:v>["category_missing", "daily_stockout_data_missing", "new_order_lead_time_unknown", "reservations_unknown", "stale_stock"]</x:v>
      </x:c>
      <x:c r="AQ519" s="10" t="str">
        <x:v>IEK:081100743_</x:v>
      </x:c>
      <x:c r="AR519" s="24" t="n">
        <x:v>1</x:v>
      </x:c>
      <x:c r="AS519" s="24" t="n">
        <x:v>0</x:v>
      </x:c>
      <x:c r="AT519" s="24" t="n">
        <x:v>0</x:v>
      </x:c>
    </x:row>
    <x:row r="520" ht="64" customHeight="1">
      <x:c r="A520" s="11" t="str">
        <x:v>IEK</x:v>
      </x:c>
      <x:c r="B520" s="33" t="str">
        <x:v>081100747_</x:v>
      </x:c>
      <x:c r="C520" s="33" t="str">
        <x:v>LLE-T80-15-230-40-GX53</x:v>
      </x:c>
      <x:c r="D520" s="12" t="str">
        <x:v>Лампа LED T75 таблетка 15Вт 230В 4000К GX53 IEK</x:v>
      </x:c>
      <x:c r="E520" s="11" t="str">
        <x:v>шт</x:v>
      </x:c>
      <x:c r="F520" s="35" t="n">
        <x:f>MAX(0,ROUNDDOWN((AG520-AF520)/AR520+0.000000001,0)*AR520)</x:f>
        <x:v>73</x:v>
      </x:c>
      <x:c r="G520" s="20" t="str">
        <x:f>IF(J520="Рассчитано",V520*(1-R520/100)-W520-P520-Q520,"н/д")</x:f>
        <x:v>н/д</x:v>
      </x:c>
      <x:c r="H520" s="12" t="str">
        <x:v>Высокий</x:v>
      </x:c>
      <x:c r="I520" s="12" t="str">
        <x:v>Средний</x:v>
      </x:c>
      <x:c r="J520" s="12" t="str">
        <x:f>IF(L520="","Укажите валюту",IF(NOT(ISNUMBER(K520)),"Укажите объём",IF(K520&lt;=0,"Укажите объём",IF(K520&gt;F520,"Объём выше излишка",IF(COUNT(M520:O520)&lt;3,"Нужны цены",IF(COUNT(P520:R520)&lt;3,"Нужны расходы",IF(OR(M520&lt;0,N520&lt;0,O520&lt;0,O520&gt;100,P520&lt;0,Q520&lt;0,R520&lt;0,R520&gt;100),"Проверьте значения","Рассчитано")))))))</x:f>
        <x:v>Нужны цены</x:v>
      </x:c>
      <x:c r="K520" s="36" t="n">
        <x:v>73</x:v>
      </x:c>
      <x:c r="L520" s="19" t="str">
        <x:v>KZT</x:v>
      </x:c>
      <x:c r="M520" s="22"/>
      <x:c r="N520" s="22"/>
      <x:c r="O520" s="28"/>
      <x:c r="P520" s="22"/>
      <x:c r="Q520" s="22"/>
      <x:c r="R520" s="28"/>
      <x:c r="S520" s="22"/>
      <x:c r="T520" s="35" t="n">
        <x:f>K520</x:f>
        <x:v>73</x:v>
      </x:c>
      <x:c r="U520" s="20" t="str">
        <x:f>IF(J520="Рассчитано",N520*(1-O520/100),"н/д")</x:f>
        <x:v>н/д</x:v>
      </x:c>
      <x:c r="V520" s="20" t="str">
        <x:f>IF(J520="Рассчитано",T520*U520,"н/д")</x:f>
        <x:v>н/д</x:v>
      </x:c>
      <x:c r="W520" s="20" t="str">
        <x:f>IF(J520="Рассчитано",T520*M520,"н/д")</x:f>
        <x:v>н/д</x:v>
      </x:c>
      <x:c r="X520" s="20" t="str">
        <x:f>IF(J520="Рассчитано",V520-W520,"н/д")</x:f>
        <x:v>н/д</x:v>
      </x:c>
      <x:c r="Y520" s="26" t="str">
        <x:f>IF(J520="Рассчитано",IF(V520&gt;0,G520/V520,"н/д"),"н/д")</x:f>
        <x:v>н/д</x:v>
      </x:c>
      <x:c r="Z520" s="20" t="str">
        <x:f>"н/д"</x:f>
        <x:v>н/д</x:v>
      </x:c>
      <x:c r="AA520" s="20" t="str">
        <x:f>"н/д"</x:f>
        <x:v>н/д</x:v>
      </x:c>
      <x:c r="AB520" s="20" t="str">
        <x:f>"н/д"</x:f>
        <x:v>н/д</x:v>
      </x:c>
      <x:c r="AC520" s="20" t="str">
        <x:f>IF(AND(J520="Рассчитано",T520&gt;0,R520&lt;100),(W520+P520+Q520)/(T520*(1-R520/100)),"н/д")</x:f>
        <x:v>н/д</x:v>
      </x:c>
      <x:c r="AD520" s="11" t="str">
        <x:f>IF(ISNUMBER(G520),IF(G520&lt;0,"Убыток",IF(G520=0,"Без прибыли","Прибыль &gt; 0")),"Не оценён")</x:f>
        <x:v>Не оценён</x:v>
      </x:c>
      <x:c r="AE520" s="12" t="str">
        <x:f>IF(J520="Рассчитано","Выручка "&amp;TEXT(V520,"0.00")&amp;" - себестоимость "&amp;TEXT(W520,"0.00")&amp;" - комиссия "&amp;TEXT(V520*R520/100,"0.00")&amp;" - доставка "&amp;TEXT(P520,"0.00")&amp;" - прочие "&amp;TEXT(Q520,"0.00")&amp;" = "&amp;TEXT(G520,"0.00")&amp;" "&amp;L520,"Введите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0" s="23" t="n">
        <x:v>261.3084094260782</x:v>
      </x:c>
      <x:c r="AG520" s="35" t="n">
        <x:v>335</x:v>
      </x:c>
      <x:c r="AH520" s="35" t="n">
        <x:v>0</x:v>
      </x:c>
      <x:c r="AI520" s="29" t="n">
        <x:v>46266</x:v>
      </x:c>
      <x:c r="AJ520" s="35" t="n">
        <x:v>10</x:v>
      </x:c>
      <x:c r="AK520" s="11" t="str">
        <x:v>минимум</x:v>
      </x:c>
      <x:c r="AL520" s="31" t="n">
        <x:v>109.02107620479129</x:v>
      </x:c>
      <x:c r="AM520" s="12" t="str">
        <x:v>Остаток на начало сентября; Резервы неизвестны; Нет ежедневных данных доступности. Запас выше прогноза на 90 дней</x:v>
      </x:c>
      <x:c r="AN520" s="12" t="str">
        <x:v>Проверить свободный остаток и установить цену для B2B</x:v>
      </x:c>
      <x:c r="AO520" s="12" t="str">
        <x:v>Остаток 335; прогноз 90 дней 261.31; избыток 73 шт. Будущие поступления не выставляются на продажу. Остаток на начало сентября: требуется актуализация.</x:v>
      </x:c>
      <x:c r="AP520" s="12" t="str">
        <x:v>["category_missing", "daily_stockout_data_missing", "large_orders_detected", "new_order_lead_time_unknown", "reservations_unknown", "stale_stock"]</x:v>
      </x:c>
      <x:c r="AQ520" s="11" t="str">
        <x:v>IEK:081100747_</x:v>
      </x:c>
      <x:c r="AR520" s="23" t="n">
        <x:v>1</x:v>
      </x:c>
      <x:c r="AS520" s="23" t="n">
        <x:v>0</x:v>
      </x:c>
      <x:c r="AT520" s="23" t="n">
        <x:v>0</x:v>
      </x:c>
    </x:row>
    <x:row r="521" ht="64" customHeight="1">
      <x:c r="A521" s="10" t="str">
        <x:v>IEK</x:v>
      </x:c>
      <x:c r="B521" s="34" t="str">
        <x:v>081100758_</x:v>
      </x:c>
      <x:c r="C521" s="34" t="str">
        <x:v>LDNN0-005-OV-P-00-S-K01</x:v>
      </x:c>
      <x:c r="D521" s="13" t="str">
        <x:v>Светильник-ночник 005 овал 220В IEK</x:v>
      </x:c>
      <x:c r="E521" s="10" t="str">
        <x:v>шт</x:v>
      </x:c>
      <x:c r="F521" s="37" t="n">
        <x:f>MAX(0,ROUNDDOWN((AG521-AF521)/AR521+0.000000001,0)*AR521)</x:f>
        <x:v>1</x:v>
      </x:c>
      <x:c r="G521" s="21" t="str">
        <x:f>IF(J521="Рассчитано",V521*(1-R521/100)-W521-P521-Q521,"н/д")</x:f>
        <x:v>н/д</x:v>
      </x:c>
      <x:c r="H521" s="13" t="str">
        <x:v>Высокий</x:v>
      </x:c>
      <x:c r="I521" s="13" t="str">
        <x:v>Средний</x:v>
      </x:c>
      <x:c r="J521" s="13" t="str">
        <x:f>IF(L521="","Укажите валюту",IF(NOT(ISNUMBER(K521)),"Укажите объём",IF(K521&lt;=0,"Укажите объём",IF(K521&gt;F521,"Объём выше излишка",IF(COUNT(M521:O521)&lt;3,"Нужны цены",IF(COUNT(P521:R521)&lt;3,"Нужны расходы",IF(OR(M521&lt;0,N521&lt;0,O521&lt;0,O521&gt;100,P521&lt;0,Q521&lt;0,R521&lt;0,R521&gt;100),"Проверьте значения","Рассчитано")))))))</x:f>
        <x:v>Нужны цены</x:v>
      </x:c>
      <x:c r="K521" s="36" t="n">
        <x:v>1</x:v>
      </x:c>
      <x:c r="L521" s="19" t="str">
        <x:v>KZT</x:v>
      </x:c>
      <x:c r="M521" s="22"/>
      <x:c r="N521" s="22"/>
      <x:c r="O521" s="28"/>
      <x:c r="P521" s="22"/>
      <x:c r="Q521" s="22"/>
      <x:c r="R521" s="28"/>
      <x:c r="S521" s="22"/>
      <x:c r="T521" s="37" t="n">
        <x:f>K521</x:f>
        <x:v>1</x:v>
      </x:c>
      <x:c r="U521" s="21" t="str">
        <x:f>IF(J521="Рассчитано",N521*(1-O521/100),"н/д")</x:f>
        <x:v>н/д</x:v>
      </x:c>
      <x:c r="V521" s="21" t="str">
        <x:f>IF(J521="Рассчитано",T521*U521,"н/д")</x:f>
        <x:v>н/д</x:v>
      </x:c>
      <x:c r="W521" s="21" t="str">
        <x:f>IF(J521="Рассчитано",T521*M521,"н/д")</x:f>
        <x:v>н/д</x:v>
      </x:c>
      <x:c r="X521" s="21" t="str">
        <x:f>IF(J521="Рассчитано",V521-W521,"н/д")</x:f>
        <x:v>н/д</x:v>
      </x:c>
      <x:c r="Y521" s="27" t="str">
        <x:f>IF(J521="Рассчитано",IF(V521&gt;0,G521/V521,"н/д"),"н/д")</x:f>
        <x:v>н/д</x:v>
      </x:c>
      <x:c r="Z521" s="21" t="str">
        <x:f>"н/д"</x:f>
        <x:v>н/д</x:v>
      </x:c>
      <x:c r="AA521" s="21" t="str">
        <x:f>"н/д"</x:f>
        <x:v>н/д</x:v>
      </x:c>
      <x:c r="AB521" s="21" t="str">
        <x:f>"н/д"</x:f>
        <x:v>н/д</x:v>
      </x:c>
      <x:c r="AC521" s="21" t="str">
        <x:f>IF(AND(J521="Рассчитано",T521&gt;0,R521&lt;100),(W521+P521+Q521)/(T521*(1-R521/100)),"н/д")</x:f>
        <x:v>н/д</x:v>
      </x:c>
      <x:c r="AD521" s="10" t="str">
        <x:f>IF(ISNUMBER(G521),IF(G521&lt;0,"Убыток",IF(G521=0,"Без прибыли","Прибыль &gt; 0")),"Не оценён")</x:f>
        <x:v>Не оценён</x:v>
      </x:c>
      <x:c r="AE521" s="13" t="str">
        <x:f>IF(J521="Рассчитано","Выручка "&amp;TEXT(V521,"0.00")&amp;" - себестоимость "&amp;TEXT(W521,"0.00")&amp;" - комиссия "&amp;TEXT(V521*R521/100,"0.00")&amp;" - доставка "&amp;TEXT(P521,"0.00")&amp;" - прочие "&amp;TEXT(Q521,"0.00")&amp;" = "&amp;TEXT(G521,"0.00")&amp;" "&amp;L521,"Введите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1" s="24" t="n">
        <x:v>2.8065458280618194</x:v>
      </x:c>
      <x:c r="AG521" s="37" t="n">
        <x:v>4</x:v>
      </x:c>
      <x:c r="AH521" s="37" t="n">
        <x:v>0</x:v>
      </x:c>
      <x:c r="AI521" s="30" t="n">
        <x:v>46266</x:v>
      </x:c>
      <x:c r="AJ521" s="37" t="n">
        <x:v>1</x:v>
      </x:c>
      <x:c r="AK521" s="10" t="str">
        <x:v>минимум</x:v>
      </x:c>
      <x:c r="AL521" s="32" t="n">
        <x:v>121.20119375190306</x:v>
      </x:c>
      <x:c r="AM521" s="13" t="str">
        <x:v>Остаток на начало сентября; Резервы неизвестны; Нет ежедневных данных доступности. Запас выше прогноза на 90 дней</x:v>
      </x:c>
      <x:c r="AN521" s="13" t="str">
        <x:v>Проверить свободный остаток и установить цену для B2B</x:v>
      </x:c>
      <x:c r="AO521" s="13" t="str">
        <x:v>Остаток 4; прогноз 90 дней 2.81; избыток 1 шт. Будущие поступления не выставляются на продажу. Остаток на начало сентября: требуется актуализация.</x:v>
      </x:c>
      <x:c r="AP521" s="13" t="str">
        <x:v>["category_missing", "daily_stockout_data_missing", "new_order_lead_time_unknown", "reservations_unknown", "stale_stock"]</x:v>
      </x:c>
      <x:c r="AQ521" s="10" t="str">
        <x:v>IEK:081100758_</x:v>
      </x:c>
      <x:c r="AR521" s="24" t="n">
        <x:v>1</x:v>
      </x:c>
      <x:c r="AS521" s="24" t="n">
        <x:v>0</x:v>
      </x:c>
      <x:c r="AT521" s="24" t="n">
        <x:v>0</x:v>
      </x:c>
    </x:row>
    <x:row r="522" ht="64" customHeight="1">
      <x:c r="A522" s="11" t="str">
        <x:v>IEK</x:v>
      </x:c>
      <x:c r="B522" s="33" t="str">
        <x:v>081100759_</x:v>
      </x:c>
      <x:c r="C522" s="33" t="str">
        <x:v>LDNN1-002-OV-P-00-S-K01</x:v>
      </x:c>
      <x:c r="D522" s="12" t="str">
        <x:v>Светильник-ночник 002 овал розетка 220В IEK</x:v>
      </x:c>
      <x:c r="E522" s="11" t="str">
        <x:v>шт</x:v>
      </x:c>
      <x:c r="F522" s="35" t="n">
        <x:f>MAX(0,ROUNDDOWN((AG522-AF522)/AR522+0.000000001,0)*AR522)</x:f>
        <x:v>56</x:v>
      </x:c>
      <x:c r="G522" s="20" t="str">
        <x:f>IF(J522="Рассчитано",V522*(1-R522/100)-W522-P522-Q522,"н/д")</x:f>
        <x:v>н/д</x:v>
      </x:c>
      <x:c r="H522" s="12" t="str">
        <x:v>Высокий</x:v>
      </x:c>
      <x:c r="I522" s="12" t="str">
        <x:v>Высокий</x:v>
      </x:c>
      <x:c r="J522" s="12" t="str">
        <x:f>IF(L522="","Укажите валюту",IF(NOT(ISNUMBER(K522)),"Укажите объём",IF(K522&lt;=0,"Укажите объём",IF(K522&gt;F522,"Объём выше излишка",IF(COUNT(M522:O522)&lt;3,"Нужны цены",IF(COUNT(P522:R522)&lt;3,"Нужны расходы",IF(OR(M522&lt;0,N522&lt;0,O522&lt;0,O522&gt;100,P522&lt;0,Q522&lt;0,R522&lt;0,R522&gt;100),"Проверьте значения","Рассчитано")))))))</x:f>
        <x:v>Нужны цены</x:v>
      </x:c>
      <x:c r="K522" s="36" t="n">
        <x:v>56</x:v>
      </x:c>
      <x:c r="L522" s="19" t="str">
        <x:v>KZT</x:v>
      </x:c>
      <x:c r="M522" s="22"/>
      <x:c r="N522" s="22"/>
      <x:c r="O522" s="28"/>
      <x:c r="P522" s="22"/>
      <x:c r="Q522" s="22"/>
      <x:c r="R522" s="28"/>
      <x:c r="S522" s="22"/>
      <x:c r="T522" s="35" t="n">
        <x:f>K522</x:f>
        <x:v>56</x:v>
      </x:c>
      <x:c r="U522" s="20" t="str">
        <x:f>IF(J522="Рассчитано",N522*(1-O522/100),"н/д")</x:f>
        <x:v>н/д</x:v>
      </x:c>
      <x:c r="V522" s="20" t="str">
        <x:f>IF(J522="Рассчитано",T522*U522,"н/д")</x:f>
        <x:v>н/д</x:v>
      </x:c>
      <x:c r="W522" s="20" t="str">
        <x:f>IF(J522="Рассчитано",T522*M522,"н/д")</x:f>
        <x:v>н/д</x:v>
      </x:c>
      <x:c r="X522" s="20" t="str">
        <x:f>IF(J522="Рассчитано",V522-W522,"н/д")</x:f>
        <x:v>н/д</x:v>
      </x:c>
      <x:c r="Y522" s="26" t="str">
        <x:f>IF(J522="Рассчитано",IF(V522&gt;0,G522/V522,"н/д"),"н/д")</x:f>
        <x:v>н/д</x:v>
      </x:c>
      <x:c r="Z522" s="20" t="str">
        <x:f>"н/д"</x:f>
        <x:v>н/д</x:v>
      </x:c>
      <x:c r="AA522" s="20" t="str">
        <x:f>"н/д"</x:f>
        <x:v>н/д</x:v>
      </x:c>
      <x:c r="AB522" s="20" t="str">
        <x:f>"н/д"</x:f>
        <x:v>н/д</x:v>
      </x:c>
      <x:c r="AC522" s="20" t="str">
        <x:f>IF(AND(J522="Рассчитано",T522&gt;0,R522&lt;100),(W522+P522+Q522)/(T522*(1-R522/100)),"н/д")</x:f>
        <x:v>н/д</x:v>
      </x:c>
      <x:c r="AD522" s="11" t="str">
        <x:f>IF(ISNUMBER(G522),IF(G522&lt;0,"Убыток",IF(G522=0,"Без прибыли","Прибыль &gt; 0")),"Не оценён")</x:f>
        <x:v>Не оценён</x:v>
      </x:c>
      <x:c r="AE522" s="12" t="str">
        <x:f>IF(J522="Рассчитано","Выручка "&amp;TEXT(V522,"0.00")&amp;" - себестоимость "&amp;TEXT(W522,"0.00")&amp;" - комиссия "&amp;TEXT(V522*R522/100,"0.00")&amp;" - доставка "&amp;TEXT(P522,"0.00")&amp;" - прочие "&amp;TEXT(Q522,"0.00")&amp;" = "&amp;TEXT(G522,"0.00")&amp;" "&amp;L522,"Введите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2" s="23" t="n">
        <x:v>8.769463134345267</x:v>
      </x:c>
      <x:c r="AG522" s="35" t="n">
        <x:v>65</x:v>
      </x:c>
      <x:c r="AH522" s="35" t="n">
        <x:v>0</x:v>
      </x:c>
      <x:c r="AI522" s="29" t="n">
        <x:v>46266</x:v>
      </x:c>
      <x:c r="AJ522" s="35" t="n">
        <x:v>1</x:v>
      </x:c>
      <x:c r="AK522" s="11" t="str">
        <x:v>минимум</x:v>
      </x:c>
      <x:c r="AL522" s="31" t="n">
        <x:v>630.317542405756</x:v>
      </x:c>
      <x:c r="AM52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22" s="12" t="str">
        <x:v>Проверить свободный остаток и установить цену для B2B</x:v>
      </x:c>
      <x:c r="AO522" s="12" t="str">
        <x:v>Остаток 65; прогноз 90 дней 8.77; избыток 56 шт. Будущие поступления не выставляются на продажу. Остаток на начало сентября: требуется актуализация.</x:v>
      </x:c>
      <x:c r="AP522" s="12" t="str">
        <x:v>["category_missing", "daily_stockout_data_missing", "new_order_lead_time_unknown", "reservations_unknown", "stale_stock"]</x:v>
      </x:c>
      <x:c r="AQ522" s="11" t="str">
        <x:v>IEK:081100759_</x:v>
      </x:c>
      <x:c r="AR522" s="23" t="n">
        <x:v>1</x:v>
      </x:c>
      <x:c r="AS522" s="23" t="n">
        <x:v>0</x:v>
      </x:c>
      <x:c r="AT522" s="23" t="n">
        <x:v>0</x:v>
      </x:c>
    </x:row>
    <x:row r="523" ht="64" customHeight="1">
      <x:c r="A523" s="10" t="str">
        <x:v>IEK</x:v>
      </x:c>
      <x:c r="B523" s="34" t="str">
        <x:v>081100760_</x:v>
      </x:c>
      <x:c r="C523" s="34" t="str">
        <x:v>LDNN5-001-SQ-P-00-S-K01</x:v>
      </x:c>
      <x:c r="D523" s="13" t="str">
        <x:v>Светильник-ночник 001 круг USB датчик осв. 220В IEK</x:v>
      </x:c>
      <x:c r="E523" s="10" t="str">
        <x:v>шт</x:v>
      </x:c>
      <x:c r="F523" s="37" t="n">
        <x:f>MAX(0,ROUNDDOWN((AG523-AF523)/AR523+0.000000001,0)*AR523)</x:f>
        <x:v>1</x:v>
      </x:c>
      <x:c r="G523" s="21" t="str">
        <x:f>IF(J523="Рассчитано",V523*(1-R523/100)-W523-P523-Q523,"н/д")</x:f>
        <x:v>н/д</x:v>
      </x:c>
      <x:c r="H523" s="13" t="str">
        <x:v>Высокий</x:v>
      </x:c>
      <x:c r="I523" s="13" t="str">
        <x:v>Высокий</x:v>
      </x:c>
      <x:c r="J523" s="13" t="str">
        <x:f>IF(L523="","Укажите валюту",IF(NOT(ISNUMBER(K523)),"Укажите объём",IF(K523&lt;=0,"Укажите объём",IF(K523&gt;F523,"Объём выше излишка",IF(COUNT(M523:O523)&lt;3,"Нужны цены",IF(COUNT(P523:R523)&lt;3,"Нужны расходы",IF(OR(M523&lt;0,N523&lt;0,O523&lt;0,O523&gt;100,P523&lt;0,Q523&lt;0,R523&lt;0,R523&gt;100),"Проверьте значения","Рассчитано")))))))</x:f>
        <x:v>Нужны цены</x:v>
      </x:c>
      <x:c r="K523" s="36" t="n">
        <x:v>1</x:v>
      </x:c>
      <x:c r="L523" s="19" t="str">
        <x:v>KZT</x:v>
      </x:c>
      <x:c r="M523" s="22"/>
      <x:c r="N523" s="22"/>
      <x:c r="O523" s="28"/>
      <x:c r="P523" s="22"/>
      <x:c r="Q523" s="22"/>
      <x:c r="R523" s="28"/>
      <x:c r="S523" s="22"/>
      <x:c r="T523" s="37" t="n">
        <x:f>K523</x:f>
        <x:v>1</x:v>
      </x:c>
      <x:c r="U523" s="21" t="str">
        <x:f>IF(J523="Рассчитано",N523*(1-O523/100),"н/д")</x:f>
        <x:v>н/д</x:v>
      </x:c>
      <x:c r="V523" s="21" t="str">
        <x:f>IF(J523="Рассчитано",T523*U523,"н/д")</x:f>
        <x:v>н/д</x:v>
      </x:c>
      <x:c r="W523" s="21" t="str">
        <x:f>IF(J523="Рассчитано",T523*M523,"н/д")</x:f>
        <x:v>н/д</x:v>
      </x:c>
      <x:c r="X523" s="21" t="str">
        <x:f>IF(J523="Рассчитано",V523-W523,"н/д")</x:f>
        <x:v>н/д</x:v>
      </x:c>
      <x:c r="Y523" s="27" t="str">
        <x:f>IF(J523="Рассчитано",IF(V523&gt;0,G523/V523,"н/д"),"н/д")</x:f>
        <x:v>н/д</x:v>
      </x:c>
      <x:c r="Z523" s="21" t="str">
        <x:f>"н/д"</x:f>
        <x:v>н/д</x:v>
      </x:c>
      <x:c r="AA523" s="21" t="str">
        <x:f>"н/д"</x:f>
        <x:v>н/д</x:v>
      </x:c>
      <x:c r="AB523" s="21" t="str">
        <x:f>"н/д"</x:f>
        <x:v>н/д</x:v>
      </x:c>
      <x:c r="AC523" s="21" t="str">
        <x:f>IF(AND(J523="Рассчитано",T523&gt;0,R523&lt;100),(W523+P523+Q523)/(T523*(1-R523/100)),"н/д")</x:f>
        <x:v>н/д</x:v>
      </x:c>
      <x:c r="AD523" s="10" t="str">
        <x:f>IF(ISNUMBER(G523),IF(G523&lt;0,"Убыток",IF(G523=0,"Без прибыли","Прибыль &gt; 0")),"Не оценён")</x:f>
        <x:v>Не оценён</x:v>
      </x:c>
      <x:c r="AE523" s="13" t="str">
        <x:f>IF(J523="Рассчитано","Выручка "&amp;TEXT(V523,"0.00")&amp;" - себестоимость "&amp;TEXT(W523,"0.00")&amp;" - комиссия "&amp;TEXT(V523*R523/100,"0.00")&amp;" - доставка "&amp;TEXT(P523,"0.00")&amp;" - прочие "&amp;TEXT(Q523,"0.00")&amp;" = "&amp;TEXT(G523,"0.00")&amp;" "&amp;L523,"Введите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3" s="24" t="n">
        <x:v>0</x:v>
      </x:c>
      <x:c r="AG523" s="37" t="n">
        <x:v>1</x:v>
      </x:c>
      <x:c r="AH523" s="37" t="n">
        <x:v>0</x:v>
      </x:c>
      <x:c r="AI523" s="30" t="n">
        <x:v>46266</x:v>
      </x:c>
      <x:c r="AJ523" s="37" t="n">
        <x:v>1</x:v>
      </x:c>
      <x:c r="AK523" s="10" t="str">
        <x:v>минимум</x:v>
      </x:c>
      <x:c r="AL523" s="32" t="str">
        <x:v>н/д</x:v>
      </x:c>
      <x:c r="AM52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523" s="13" t="str">
        <x:v>Проверить свободный остаток и установить цену для B2B</x:v>
      </x:c>
      <x:c r="AO523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523" s="13" t="str">
        <x:v>["category_missing", "daily_stockout_data_missing", "new_order_lead_time_unknown", "reservations_unknown", "stale_stock"]</x:v>
      </x:c>
      <x:c r="AQ523" s="10" t="str">
        <x:v>IEK:081100760_</x:v>
      </x:c>
      <x:c r="AR523" s="24" t="n">
        <x:v>1</x:v>
      </x:c>
      <x:c r="AS523" s="24" t="n">
        <x:v>0</x:v>
      </x:c>
      <x:c r="AT523" s="24" t="n">
        <x:v>0</x:v>
      </x:c>
    </x:row>
    <x:row r="524" ht="64" customHeight="1">
      <x:c r="A524" s="11" t="str">
        <x:v>IEK</x:v>
      </x:c>
      <x:c r="B524" s="33" t="str">
        <x:v>081100767_</x:v>
      </x:c>
      <x:c r="C524" s="33" t="str">
        <x:v>LDRO1-2061-09-10-K02</x:v>
      </x:c>
      <x:c r="D524" s="12" t="str">
        <x:v>Светильник LED переносной ДРО 2061 IP54 шнур 10м черный IEK</x:v>
      </x:c>
      <x:c r="E524" s="11" t="str">
        <x:v>шт</x:v>
      </x:c>
      <x:c r="F524" s="35" t="n">
        <x:f>MAX(0,ROUNDDOWN((AG524-AF524)/AR524+0.000000001,0)*AR524)</x:f>
        <x:v>8</x:v>
      </x:c>
      <x:c r="G524" s="20" t="str">
        <x:f>IF(J524="Рассчитано",V524*(1-R524/100)-W524-P524-Q524,"н/д")</x:f>
        <x:v>н/д</x:v>
      </x:c>
      <x:c r="H524" s="12" t="str">
        <x:v>Высокий</x:v>
      </x:c>
      <x:c r="I524" s="12" t="str">
        <x:v>Высокий</x:v>
      </x:c>
      <x:c r="J524" s="12" t="str">
        <x:f>IF(L524="","Укажите валюту",IF(NOT(ISNUMBER(K524)),"Укажите объём",IF(K524&lt;=0,"Укажите объём",IF(K524&gt;F524,"Объём выше излишка",IF(COUNT(M524:O524)&lt;3,"Нужны цены",IF(COUNT(P524:R524)&lt;3,"Нужны расходы",IF(OR(M524&lt;0,N524&lt;0,O524&lt;0,O524&gt;100,P524&lt;0,Q524&lt;0,R524&lt;0,R524&gt;100),"Проверьте значения","Рассчитано")))))))</x:f>
        <x:v>Нужны цены</x:v>
      </x:c>
      <x:c r="K524" s="36" t="n">
        <x:v>8</x:v>
      </x:c>
      <x:c r="L524" s="19" t="str">
        <x:v>KZT</x:v>
      </x:c>
      <x:c r="M524" s="22"/>
      <x:c r="N524" s="22"/>
      <x:c r="O524" s="28"/>
      <x:c r="P524" s="22"/>
      <x:c r="Q524" s="22"/>
      <x:c r="R524" s="28"/>
      <x:c r="S524" s="22"/>
      <x:c r="T524" s="35" t="n">
        <x:f>K524</x:f>
        <x:v>8</x:v>
      </x:c>
      <x:c r="U524" s="20" t="str">
        <x:f>IF(J524="Рассчитано",N524*(1-O524/100),"н/д")</x:f>
        <x:v>н/д</x:v>
      </x:c>
      <x:c r="V524" s="20" t="str">
        <x:f>IF(J524="Рассчитано",T524*U524,"н/д")</x:f>
        <x:v>н/д</x:v>
      </x:c>
      <x:c r="W524" s="20" t="str">
        <x:f>IF(J524="Рассчитано",T524*M524,"н/д")</x:f>
        <x:v>н/д</x:v>
      </x:c>
      <x:c r="X524" s="20" t="str">
        <x:f>IF(J524="Рассчитано",V524-W524,"н/д")</x:f>
        <x:v>н/д</x:v>
      </x:c>
      <x:c r="Y524" s="26" t="str">
        <x:f>IF(J524="Рассчитано",IF(V524&gt;0,G524/V524,"н/д"),"н/д")</x:f>
        <x:v>н/д</x:v>
      </x:c>
      <x:c r="Z524" s="20" t="str">
        <x:f>"н/д"</x:f>
        <x:v>н/д</x:v>
      </x:c>
      <x:c r="AA524" s="20" t="str">
        <x:f>"н/д"</x:f>
        <x:v>н/д</x:v>
      </x:c>
      <x:c r="AB524" s="20" t="str">
        <x:f>"н/д"</x:f>
        <x:v>н/д</x:v>
      </x:c>
      <x:c r="AC524" s="20" t="str">
        <x:f>IF(AND(J524="Рассчитано",T524&gt;0,R524&lt;100),(W524+P524+Q524)/(T524*(1-R524/100)),"н/д")</x:f>
        <x:v>н/д</x:v>
      </x:c>
      <x:c r="AD524" s="11" t="str">
        <x:f>IF(ISNUMBER(G524),IF(G524&lt;0,"Убыток",IF(G524=0,"Без прибыли","Прибыль &gt; 0")),"Не оценён")</x:f>
        <x:v>Не оценён</x:v>
      </x:c>
      <x:c r="AE524" s="12" t="str">
        <x:f>IF(J524="Рассчитано","Выручка "&amp;TEXT(V524,"0.00")&amp;" - себестоимость "&amp;TEXT(W524,"0.00")&amp;" - комиссия "&amp;TEXT(V524*R524/100,"0.00")&amp;" - доставка "&amp;TEXT(P524,"0.00")&amp;" - прочие "&amp;TEXT(Q524,"0.00")&amp;" = "&amp;TEXT(G524,"0.00")&amp;" "&amp;L524,"Введите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4" s="23" t="n">
        <x:v>3.769952145907067</x:v>
      </x:c>
      <x:c r="AG524" s="35" t="n">
        <x:v>12</x:v>
      </x:c>
      <x:c r="AH524" s="35" t="n">
        <x:v>0</x:v>
      </x:c>
      <x:c r="AI524" s="29" t="n">
        <x:v>46266</x:v>
      </x:c>
      <x:c r="AJ524" s="35" t="n">
        <x:v>1</x:v>
      </x:c>
      <x:c r="AK524" s="11" t="str">
        <x:v>минимум</x:v>
      </x:c>
      <x:c r="AL524" s="31" t="n">
        <x:v>270.68516377573786</x:v>
      </x:c>
      <x:c r="AM52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24" s="12" t="str">
        <x:v>Проверить свободный остаток и установить цену для B2B</x:v>
      </x:c>
      <x:c r="AO524" s="12" t="str">
        <x:v>Остаток 12; прогноз 90 дней 3.77; избыток 8 шт. Будущие поступления не выставляются на продажу. Остаток на начало сентября: требуется актуализация.</x:v>
      </x:c>
      <x:c r="AP524" s="12" t="str">
        <x:v>["category_missing", "daily_stockout_data_missing", "new_order_lead_time_unknown", "reservations_unknown", "stale_stock"]</x:v>
      </x:c>
      <x:c r="AQ524" s="11" t="str">
        <x:v>IEK:081100767_</x:v>
      </x:c>
      <x:c r="AR524" s="23" t="n">
        <x:v>1</x:v>
      </x:c>
      <x:c r="AS524" s="23" t="n">
        <x:v>0</x:v>
      </x:c>
      <x:c r="AT524" s="23" t="n">
        <x:v>0</x:v>
      </x:c>
    </x:row>
    <x:row r="525" ht="64" customHeight="1">
      <x:c r="A525" s="10" t="str">
        <x:v>IEK</x:v>
      </x:c>
      <x:c r="B525" s="34" t="str">
        <x:v>081100771_</x:v>
      </x:c>
      <x:c r="C525" s="34" t="str">
        <x:v>LDD10-018B-1100-001</x:v>
      </x:c>
      <x:c r="D525" s="13" t="str">
        <x:v>Датчик движения ДД 018В белый, макс. нагрузка 1100Вт, угол обзора 270град., дальность 12м, IP44, IEK</x:v>
      </x:c>
      <x:c r="E525" s="10" t="str">
        <x:v>шт</x:v>
      </x:c>
      <x:c r="F525" s="37" t="n">
        <x:f>MAX(0,ROUNDDOWN((AG525-AF525)/AR525+0.000000001,0)*AR525)</x:f>
        <x:v>51</x:v>
      </x:c>
      <x:c r="G525" s="21" t="str">
        <x:f>IF(J525="Рассчитано",V525*(1-R525/100)-W525-P525-Q525,"н/д")</x:f>
        <x:v>н/д</x:v>
      </x:c>
      <x:c r="H525" s="13" t="str">
        <x:v>Высокий</x:v>
      </x:c>
      <x:c r="I525" s="13" t="str">
        <x:v>Высокий</x:v>
      </x:c>
      <x:c r="J525" s="13" t="str">
        <x:f>IF(L525="","Укажите валюту",IF(NOT(ISNUMBER(K525)),"Укажите объём",IF(K525&lt;=0,"Укажите объём",IF(K525&gt;F525,"Объём выше излишка",IF(COUNT(M525:O525)&lt;3,"Нужны цены",IF(COUNT(P525:R525)&lt;3,"Нужны расходы",IF(OR(M525&lt;0,N525&lt;0,O525&lt;0,O525&gt;100,P525&lt;0,Q525&lt;0,R525&lt;0,R525&gt;100),"Проверьте значения","Рассчитано")))))))</x:f>
        <x:v>Нужны цены</x:v>
      </x:c>
      <x:c r="K525" s="36" t="n">
        <x:v>51</x:v>
      </x:c>
      <x:c r="L525" s="19" t="str">
        <x:v>KZT</x:v>
      </x:c>
      <x:c r="M525" s="22"/>
      <x:c r="N525" s="22"/>
      <x:c r="O525" s="28"/>
      <x:c r="P525" s="22"/>
      <x:c r="Q525" s="22"/>
      <x:c r="R525" s="28"/>
      <x:c r="S525" s="22"/>
      <x:c r="T525" s="37" t="n">
        <x:f>K525</x:f>
        <x:v>51</x:v>
      </x:c>
      <x:c r="U525" s="21" t="str">
        <x:f>IF(J525="Рассчитано",N525*(1-O525/100),"н/д")</x:f>
        <x:v>н/д</x:v>
      </x:c>
      <x:c r="V525" s="21" t="str">
        <x:f>IF(J525="Рассчитано",T525*U525,"н/д")</x:f>
        <x:v>н/д</x:v>
      </x:c>
      <x:c r="W525" s="21" t="str">
        <x:f>IF(J525="Рассчитано",T525*M525,"н/д")</x:f>
        <x:v>н/д</x:v>
      </x:c>
      <x:c r="X525" s="21" t="str">
        <x:f>IF(J525="Рассчитано",V525-W525,"н/д")</x:f>
        <x:v>н/д</x:v>
      </x:c>
      <x:c r="Y525" s="27" t="str">
        <x:f>IF(J525="Рассчитано",IF(V525&gt;0,G525/V525,"н/д"),"н/д")</x:f>
        <x:v>н/д</x:v>
      </x:c>
      <x:c r="Z525" s="21" t="str">
        <x:f>"н/д"</x:f>
        <x:v>н/д</x:v>
      </x:c>
      <x:c r="AA525" s="21" t="str">
        <x:f>"н/д"</x:f>
        <x:v>н/д</x:v>
      </x:c>
      <x:c r="AB525" s="21" t="str">
        <x:f>"н/д"</x:f>
        <x:v>н/д</x:v>
      </x:c>
      <x:c r="AC525" s="21" t="str">
        <x:f>IF(AND(J525="Рассчитано",T525&gt;0,R525&lt;100),(W525+P525+Q525)/(T525*(1-R525/100)),"н/д")</x:f>
        <x:v>н/д</x:v>
      </x:c>
      <x:c r="AD525" s="10" t="str">
        <x:f>IF(ISNUMBER(G525),IF(G525&lt;0,"Убыток",IF(G525=0,"Без прибыли","Прибыль &gt; 0")),"Не оценён")</x:f>
        <x:v>Не оценён</x:v>
      </x:c>
      <x:c r="AE525" s="13" t="str">
        <x:f>IF(J525="Рассчитано","Выручка "&amp;TEXT(V525,"0.00")&amp;" - себестоимость "&amp;TEXT(W525,"0.00")&amp;" - комиссия "&amp;TEXT(V525*R525/100,"0.00")&amp;" - доставка "&amp;TEXT(P525,"0.00")&amp;" - прочие "&amp;TEXT(Q525,"0.00")&amp;" = "&amp;TEXT(G525,"0.00")&amp;" "&amp;L525,"Введите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5" s="24" t="n">
        <x:v>5.3032053698985715</x:v>
      </x:c>
      <x:c r="AG525" s="37" t="n">
        <x:v>57</x:v>
      </x:c>
      <x:c r="AH525" s="37" t="n">
        <x:v>0</x:v>
      </x:c>
      <x:c r="AI525" s="30" t="n">
        <x:v>46266</x:v>
      </x:c>
      <x:c r="AJ525" s="37" t="n">
        <x:v>1</x:v>
      </x:c>
      <x:c r="AK525" s="10" t="str">
        <x:v>минимум</x:v>
      </x:c>
      <x:c r="AL525" s="32" t="n">
        <x:v>914.0194851232147</x:v>
      </x:c>
      <x:c r="AM52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25" s="13" t="str">
        <x:v>Проверить свободный остаток и установить цену для B2B</x:v>
      </x:c>
      <x:c r="AO525" s="13" t="str">
        <x:v>Остаток 57; прогноз 90 дней 5.30; избыток 51 шт. Будущие поступления не выставляются на продажу. Остаток на начало сентября: требуется актуализация.</x:v>
      </x:c>
      <x:c r="AP525" s="13" t="str">
        <x:v>["category_missing", "daily_stockout_data_missing", "new_order_lead_time_unknown", "reservations_unknown", "stale_stock"]</x:v>
      </x:c>
      <x:c r="AQ525" s="10" t="str">
        <x:v>IEK:081100771_</x:v>
      </x:c>
      <x:c r="AR525" s="24" t="n">
        <x:v>1</x:v>
      </x:c>
      <x:c r="AS525" s="24" t="n">
        <x:v>0</x:v>
      </x:c>
      <x:c r="AT525" s="24" t="n">
        <x:v>0</x:v>
      </x:c>
    </x:row>
    <x:row r="526" ht="64" customHeight="1">
      <x:c r="A526" s="11" t="str">
        <x:v>IEK</x:v>
      </x:c>
      <x:c r="B526" s="33" t="str">
        <x:v>081100776_</x:v>
      </x:c>
      <x:c r="C526" s="33" t="str">
        <x:v>LDD12-030-500-001</x:v>
      </x:c>
      <x:c r="D526" s="12" t="str">
        <x:v>Датчик движения ДД 030 белый 500Вт 160гр 9м IP20 IEK E-PRO</x:v>
      </x:c>
      <x:c r="E526" s="11" t="str">
        <x:v>шт</x:v>
      </x:c>
      <x:c r="F526" s="35" t="n">
        <x:f>MAX(0,ROUNDDOWN((AG526-AF526)/AR526+0.000000001,0)*AR526)</x:f>
        <x:v>74</x:v>
      </x:c>
      <x:c r="G526" s="20" t="str">
        <x:f>IF(J526="Рассчитано",V526*(1-R526/100)-W526-P526-Q526,"н/д")</x:f>
        <x:v>н/д</x:v>
      </x:c>
      <x:c r="H526" s="12" t="str">
        <x:v>Высокий</x:v>
      </x:c>
      <x:c r="I526" s="12" t="str">
        <x:v>Высокий</x:v>
      </x:c>
      <x:c r="J526" s="12" t="str">
        <x:f>IF(L526="","Укажите валюту",IF(NOT(ISNUMBER(K526)),"Укажите объём",IF(K526&lt;=0,"Укажите объём",IF(K526&gt;F526,"Объём выше излишка",IF(COUNT(M526:O526)&lt;3,"Нужны цены",IF(COUNT(P526:R526)&lt;3,"Нужны расходы",IF(OR(M526&lt;0,N526&lt;0,O526&lt;0,O526&gt;100,P526&lt;0,Q526&lt;0,R526&lt;0,R526&gt;100),"Проверьте значения","Рассчитано")))))))</x:f>
        <x:v>Нужны цены</x:v>
      </x:c>
      <x:c r="K526" s="36" t="n">
        <x:v>74</x:v>
      </x:c>
      <x:c r="L526" s="19" t="str">
        <x:v>KZT</x:v>
      </x:c>
      <x:c r="M526" s="22"/>
      <x:c r="N526" s="22"/>
      <x:c r="O526" s="28"/>
      <x:c r="P526" s="22"/>
      <x:c r="Q526" s="22"/>
      <x:c r="R526" s="28"/>
      <x:c r="S526" s="22"/>
      <x:c r="T526" s="35" t="n">
        <x:f>K526</x:f>
        <x:v>74</x:v>
      </x:c>
      <x:c r="U526" s="20" t="str">
        <x:f>IF(J526="Рассчитано",N526*(1-O526/100),"н/д")</x:f>
        <x:v>н/д</x:v>
      </x:c>
      <x:c r="V526" s="20" t="str">
        <x:f>IF(J526="Рассчитано",T526*U526,"н/д")</x:f>
        <x:v>н/д</x:v>
      </x:c>
      <x:c r="W526" s="20" t="str">
        <x:f>IF(J526="Рассчитано",T526*M526,"н/д")</x:f>
        <x:v>н/д</x:v>
      </x:c>
      <x:c r="X526" s="20" t="str">
        <x:f>IF(J526="Рассчитано",V526-W526,"н/д")</x:f>
        <x:v>н/д</x:v>
      </x:c>
      <x:c r="Y526" s="26" t="str">
        <x:f>IF(J526="Рассчитано",IF(V526&gt;0,G526/V526,"н/д"),"н/д")</x:f>
        <x:v>н/д</x:v>
      </x:c>
      <x:c r="Z526" s="20" t="str">
        <x:f>"н/д"</x:f>
        <x:v>н/д</x:v>
      </x:c>
      <x:c r="AA526" s="20" t="str">
        <x:f>"н/д"</x:f>
        <x:v>н/д</x:v>
      </x:c>
      <x:c r="AB526" s="20" t="str">
        <x:f>"н/д"</x:f>
        <x:v>н/д</x:v>
      </x:c>
      <x:c r="AC526" s="20" t="str">
        <x:f>IF(AND(J526="Рассчитано",T526&gt;0,R526&lt;100),(W526+P526+Q526)/(T526*(1-R526/100)),"н/д")</x:f>
        <x:v>н/д</x:v>
      </x:c>
      <x:c r="AD526" s="11" t="str">
        <x:f>IF(ISNUMBER(G526),IF(G526&lt;0,"Убыток",IF(G526=0,"Без прибыли","Прибыль &gt; 0")),"Не оценён")</x:f>
        <x:v>Не оценён</x:v>
      </x:c>
      <x:c r="AE526" s="12" t="str">
        <x:f>IF(J526="Рассчитано","Выручка "&amp;TEXT(V526,"0.00")&amp;" - себестоимость "&amp;TEXT(W526,"0.00")&amp;" - комиссия "&amp;TEXT(V526*R526/100,"0.00")&amp;" - доставка "&amp;TEXT(P526,"0.00")&amp;" - прочие "&amp;TEXT(Q526,"0.00")&amp;" = "&amp;TEXT(G526,"0.00")&amp;" "&amp;L526,"Введите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6" s="23" t="n">
        <x:v>1.3050876098372879</x:v>
      </x:c>
      <x:c r="AG526" s="35" t="n">
        <x:v>76</x:v>
      </x:c>
      <x:c r="AH526" s="35" t="n">
        <x:v>0</x:v>
      </x:c>
      <x:c r="AI526" s="29" t="n">
        <x:v>46266</x:v>
      </x:c>
      <x:c r="AJ526" s="35"/>
      <x:c r="AK526" s="11" t="str">
        <x:v>неизвестно</x:v>
      </x:c>
      <x:c r="AL526" s="31" t="n">
        <x:v>4952.140638079919</x:v>
      </x:c>
      <x:c r="AM52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26" s="12" t="str">
        <x:v>Проверить свободный остаток и установить цену для B2B</x:v>
      </x:c>
      <x:c r="AO526" s="12" t="str">
        <x:v>Остаток 76; прогноз 90 дней 1.31; избыток 74 шт. Будущие поступления не выставляются на продажу. Остаток на начало сентября: требуется актуализация.</x:v>
      </x:c>
      <x:c r="AP526" s="12" t="str">
        <x:v>["category_missing", "daily_stockout_data_missing", "moq_missing", "new_order_lead_time_unknown", "reservations_unknown", "stale_stock"]</x:v>
      </x:c>
      <x:c r="AQ526" s="11" t="str">
        <x:v>IEK:081100776_</x:v>
      </x:c>
      <x:c r="AR526" s="23" t="n">
        <x:v>1</x:v>
      </x:c>
      <x:c r="AS526" s="23" t="n">
        <x:v>0</x:v>
      </x:c>
      <x:c r="AT526" s="23" t="n">
        <x:v>0</x:v>
      </x:c>
    </x:row>
    <x:row r="527" ht="64" customHeight="1">
      <x:c r="A527" s="10" t="str">
        <x:v>IEK</x:v>
      </x:c>
      <x:c r="B527" s="34" t="str">
        <x:v>081100777_</x:v>
      </x:c>
      <x:c r="C527" s="34" t="str">
        <x:v>LDD12-031-500-001</x:v>
      </x:c>
      <x:c r="D527" s="13" t="str">
        <x:v>Датчик движения ДД 031 белый 500Вт 190гр 9м IP20 IEK E-PRO</x:v>
      </x:c>
      <x:c r="E527" s="10" t="str">
        <x:v>шт</x:v>
      </x:c>
      <x:c r="F527" s="37" t="n">
        <x:f>MAX(0,ROUNDDOWN((AG527-AF527)/AR527+0.000000001,0)*AR527)</x:f>
        <x:v>66</x:v>
      </x:c>
      <x:c r="G527" s="21" t="str">
        <x:f>IF(J527="Рассчитано",V527*(1-R527/100)-W527-P527-Q527,"н/д")</x:f>
        <x:v>н/д</x:v>
      </x:c>
      <x:c r="H527" s="13" t="str">
        <x:v>Высокий</x:v>
      </x:c>
      <x:c r="I527" s="13" t="str">
        <x:v>Высокий</x:v>
      </x:c>
      <x:c r="J527" s="13" t="str">
        <x:f>IF(L527="","Укажите валюту",IF(NOT(ISNUMBER(K527)),"Укажите объём",IF(K527&lt;=0,"Укажите объём",IF(K527&gt;F527,"Объём выше излишка",IF(COUNT(M527:O527)&lt;3,"Нужны цены",IF(COUNT(P527:R527)&lt;3,"Нужны расходы",IF(OR(M527&lt;0,N527&lt;0,O527&lt;0,O527&gt;100,P527&lt;0,Q527&lt;0,R527&lt;0,R527&gt;100),"Проверьте значения","Рассчитано")))))))</x:f>
        <x:v>Нужны цены</x:v>
      </x:c>
      <x:c r="K527" s="36" t="n">
        <x:v>66</x:v>
      </x:c>
      <x:c r="L527" s="19" t="str">
        <x:v>KZT</x:v>
      </x:c>
      <x:c r="M527" s="22"/>
      <x:c r="N527" s="22"/>
      <x:c r="O527" s="28"/>
      <x:c r="P527" s="22"/>
      <x:c r="Q527" s="22"/>
      <x:c r="R527" s="28"/>
      <x:c r="S527" s="22"/>
      <x:c r="T527" s="37" t="n">
        <x:f>K527</x:f>
        <x:v>66</x:v>
      </x:c>
      <x:c r="U527" s="21" t="str">
        <x:f>IF(J527="Рассчитано",N527*(1-O527/100),"н/д")</x:f>
        <x:v>н/д</x:v>
      </x:c>
      <x:c r="V527" s="21" t="str">
        <x:f>IF(J527="Рассчитано",T527*U527,"н/д")</x:f>
        <x:v>н/д</x:v>
      </x:c>
      <x:c r="W527" s="21" t="str">
        <x:f>IF(J527="Рассчитано",T527*M527,"н/д")</x:f>
        <x:v>н/д</x:v>
      </x:c>
      <x:c r="X527" s="21" t="str">
        <x:f>IF(J527="Рассчитано",V527-W527,"н/д")</x:f>
        <x:v>н/д</x:v>
      </x:c>
      <x:c r="Y527" s="27" t="str">
        <x:f>IF(J527="Рассчитано",IF(V527&gt;0,G527/V527,"н/д"),"н/д")</x:f>
        <x:v>н/д</x:v>
      </x:c>
      <x:c r="Z527" s="21" t="str">
        <x:f>"н/д"</x:f>
        <x:v>н/д</x:v>
      </x:c>
      <x:c r="AA527" s="21" t="str">
        <x:f>"н/д"</x:f>
        <x:v>н/д</x:v>
      </x:c>
      <x:c r="AB527" s="21" t="str">
        <x:f>"н/д"</x:f>
        <x:v>н/д</x:v>
      </x:c>
      <x:c r="AC527" s="21" t="str">
        <x:f>IF(AND(J527="Рассчитано",T527&gt;0,R527&lt;100),(W527+P527+Q527)/(T527*(1-R527/100)),"н/д")</x:f>
        <x:v>н/д</x:v>
      </x:c>
      <x:c r="AD527" s="10" t="str">
        <x:f>IF(ISNUMBER(G527),IF(G527&lt;0,"Убыток",IF(G527=0,"Без прибыли","Прибыль &gt; 0")),"Не оценён")</x:f>
        <x:v>Не оценён</x:v>
      </x:c>
      <x:c r="AE527" s="13" t="str">
        <x:f>IF(J527="Рассчитано","Выручка "&amp;TEXT(V527,"0.00")&amp;" - себестоимость "&amp;TEXT(W527,"0.00")&amp;" - комиссия "&amp;TEXT(V527*R527/100,"0.00")&amp;" - доставка "&amp;TEXT(P527,"0.00")&amp;" - прочие "&amp;TEXT(Q527,"0.00")&amp;" = "&amp;TEXT(G527,"0.00")&amp;" "&amp;L527,"Введите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7" s="24" t="n">
        <x:v>0.8725941157154331</x:v>
      </x:c>
      <x:c r="AG527" s="37" t="n">
        <x:v>67</x:v>
      </x:c>
      <x:c r="AH527" s="37" t="n">
        <x:v>0</x:v>
      </x:c>
      <x:c r="AI527" s="30" t="n">
        <x:v>46266</x:v>
      </x:c>
      <x:c r="AJ527" s="37"/>
      <x:c r="AK527" s="10" t="str">
        <x:v>неизвестно</x:v>
      </x:c>
      <x:c r="AL527" s="32" t="n">
        <x:v>6529.524667636809</x:v>
      </x:c>
      <x:c r="AM52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27" s="13" t="str">
        <x:v>Проверить свободный остаток и установить цену для B2B</x:v>
      </x:c>
      <x:c r="AO527" s="13" t="str">
        <x:v>Остаток 67; прогноз 90 дней 0.87; избыток 66 шт. Будущие поступления не выставляются на продажу. Остаток на начало сентября: требуется актуализация.</x:v>
      </x:c>
      <x:c r="AP527" s="13" t="str">
        <x:v>["category_missing", "daily_stockout_data_missing", "moq_missing", "new_order_lead_time_unknown", "reservations_unknown", "stale_stock"]</x:v>
      </x:c>
      <x:c r="AQ527" s="10" t="str">
        <x:v>IEK:081100777_</x:v>
      </x:c>
      <x:c r="AR527" s="24" t="n">
        <x:v>1</x:v>
      </x:c>
      <x:c r="AS527" s="24" t="n">
        <x:v>0</x:v>
      </x:c>
      <x:c r="AT527" s="24" t="n">
        <x:v>0</x:v>
      </x:c>
    </x:row>
    <x:row r="528" ht="64" customHeight="1">
      <x:c r="A528" s="11" t="str">
        <x:v>IEK</x:v>
      </x:c>
      <x:c r="B528" s="33" t="str">
        <x:v>081100778_</x:v>
      </x:c>
      <x:c r="C528" s="33" t="str">
        <x:v>LDD12-035-500-001</x:v>
      </x:c>
      <x:c r="D528" s="12" t="str">
        <x:v>Датчик движения ДД 035 белый, макс. нагрузка 500Вт, угол обзора 140град., дальность 12м, IP20, IEK E</x:v>
      </x:c>
      <x:c r="E528" s="11" t="str">
        <x:v>шт</x:v>
      </x:c>
      <x:c r="F528" s="35" t="n">
        <x:f>MAX(0,ROUNDDOWN((AG528-AF528)/AR528+0.000000001,0)*AR528)</x:f>
        <x:v>8</x:v>
      </x:c>
      <x:c r="G528" s="20" t="str">
        <x:f>IF(J528="Рассчитано",V528*(1-R528/100)-W528-P528-Q528,"н/д")</x:f>
        <x:v>н/д</x:v>
      </x:c>
      <x:c r="H528" s="12" t="str">
        <x:v>Высокий</x:v>
      </x:c>
      <x:c r="I528" s="12" t="str">
        <x:v>Средний</x:v>
      </x:c>
      <x:c r="J528" s="12" t="str">
        <x:f>IF(L528="","Укажите валюту",IF(NOT(ISNUMBER(K528)),"Укажите объём",IF(K528&lt;=0,"Укажите объём",IF(K528&gt;F528,"Объём выше излишка",IF(COUNT(M528:O528)&lt;3,"Нужны цены",IF(COUNT(P528:R528)&lt;3,"Нужны расходы",IF(OR(M528&lt;0,N528&lt;0,O528&lt;0,O528&gt;100,P528&lt;0,Q528&lt;0,R528&lt;0,R528&gt;100),"Проверьте значения","Рассчитано")))))))</x:f>
        <x:v>Нужны цены</x:v>
      </x:c>
      <x:c r="K528" s="36" t="n">
        <x:v>8</x:v>
      </x:c>
      <x:c r="L528" s="19" t="str">
        <x:v>KZT</x:v>
      </x:c>
      <x:c r="M528" s="22"/>
      <x:c r="N528" s="22"/>
      <x:c r="O528" s="28"/>
      <x:c r="P528" s="22"/>
      <x:c r="Q528" s="22"/>
      <x:c r="R528" s="28"/>
      <x:c r="S528" s="22"/>
      <x:c r="T528" s="35" t="n">
        <x:f>K528</x:f>
        <x:v>8</x:v>
      </x:c>
      <x:c r="U528" s="20" t="str">
        <x:f>IF(J528="Рассчитано",N528*(1-O528/100),"н/д")</x:f>
        <x:v>н/д</x:v>
      </x:c>
      <x:c r="V528" s="20" t="str">
        <x:f>IF(J528="Рассчитано",T528*U528,"н/д")</x:f>
        <x:v>н/д</x:v>
      </x:c>
      <x:c r="W528" s="20" t="str">
        <x:f>IF(J528="Рассчитано",T528*M528,"н/д")</x:f>
        <x:v>н/д</x:v>
      </x:c>
      <x:c r="X528" s="20" t="str">
        <x:f>IF(J528="Рассчитано",V528-W528,"н/д")</x:f>
        <x:v>н/д</x:v>
      </x:c>
      <x:c r="Y528" s="26" t="str">
        <x:f>IF(J528="Рассчитано",IF(V528&gt;0,G528/V528,"н/д"),"н/д")</x:f>
        <x:v>н/д</x:v>
      </x:c>
      <x:c r="Z528" s="20" t="str">
        <x:f>"н/д"</x:f>
        <x:v>н/д</x:v>
      </x:c>
      <x:c r="AA528" s="20" t="str">
        <x:f>"н/д"</x:f>
        <x:v>н/д</x:v>
      </x:c>
      <x:c r="AB528" s="20" t="str">
        <x:f>"н/д"</x:f>
        <x:v>н/д</x:v>
      </x:c>
      <x:c r="AC528" s="20" t="str">
        <x:f>IF(AND(J528="Рассчитано",T528&gt;0,R528&lt;100),(W528+P528+Q528)/(T528*(1-R528/100)),"н/д")</x:f>
        <x:v>н/д</x:v>
      </x:c>
      <x:c r="AD528" s="11" t="str">
        <x:f>IF(ISNUMBER(G528),IF(G528&lt;0,"Убыток",IF(G528=0,"Без прибыли","Прибыль &gt; 0")),"Не оценён")</x:f>
        <x:v>Не оценён</x:v>
      </x:c>
      <x:c r="AE528" s="12" t="str">
        <x:f>IF(J528="Рассчитано","Выручка "&amp;TEXT(V528,"0.00")&amp;" - себестоимость "&amp;TEXT(W528,"0.00")&amp;" - комиссия "&amp;TEXT(V528*R528/100,"0.00")&amp;" - доставка "&amp;TEXT(P528,"0.00")&amp;" - прочие "&amp;TEXT(Q528,"0.00")&amp;" = "&amp;TEXT(G528,"0.00")&amp;" "&amp;L528,"Введите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8" s="23" t="n">
        <x:v>12.117390751118549</x:v>
      </x:c>
      <x:c r="AG528" s="35" t="n">
        <x:v>21</x:v>
      </x:c>
      <x:c r="AH528" s="35" t="n">
        <x:v>0</x:v>
      </x:c>
      <x:c r="AI528" s="29" t="n">
        <x:v>46266</x:v>
      </x:c>
      <x:c r="AJ528" s="35" t="n">
        <x:v>1</x:v>
      </x:c>
      <x:c r="AK528" s="11" t="str">
        <x:v>минимум</x:v>
      </x:c>
      <x:c r="AL528" s="31" t="n">
        <x:v>147.37683518276103</x:v>
      </x:c>
      <x:c r="AM528" s="12" t="str">
        <x:v>Остаток на начало сентября; Резервы неизвестны; Нет ежедневных данных доступности. Запас выше прогноза на 90 дней</x:v>
      </x:c>
      <x:c r="AN528" s="12" t="str">
        <x:v>Проверить свободный остаток и установить цену для B2B</x:v>
      </x:c>
      <x:c r="AO528" s="12" t="str">
        <x:v>Остаток 21; прогноз 90 дней 12.12; избыток 8 шт. Будущие поступления не выставляются на продажу. Остаток на начало сентября: требуется актуализация.</x:v>
      </x:c>
      <x:c r="AP528" s="12" t="str">
        <x:v>["category_missing", "daily_stockout_data_missing", "new_order_lead_time_unknown", "reservations_unknown", "stale_stock"]</x:v>
      </x:c>
      <x:c r="AQ528" s="11" t="str">
        <x:v>IEK:081100778_</x:v>
      </x:c>
      <x:c r="AR528" s="23" t="n">
        <x:v>1</x:v>
      </x:c>
      <x:c r="AS528" s="23" t="n">
        <x:v>0</x:v>
      </x:c>
      <x:c r="AT528" s="23" t="n">
        <x:v>0</x:v>
      </x:c>
    </x:row>
    <x:row r="529" ht="64" customHeight="1">
      <x:c r="A529" s="10" t="str">
        <x:v>IEK</x:v>
      </x:c>
      <x:c r="B529" s="34" t="str">
        <x:v>081100781_</x:v>
      </x:c>
      <x:c r="C529" s="34" t="str">
        <x:v>LFR20-604-3300-K01</x:v>
      </x:c>
      <x:c r="D529" s="13" t="str">
        <x:v>Фотореле ФР 604 макс. нагрузка 3300ВА IP66 белый IEK</x:v>
      </x:c>
      <x:c r="E529" s="10" t="str">
        <x:v>шт</x:v>
      </x:c>
      <x:c r="F529" s="37" t="n">
        <x:f>MAX(0,ROUNDDOWN((AG529-AF529)/AR529+0.000000001,0)*AR529)</x:f>
        <x:v>8</x:v>
      </x:c>
      <x:c r="G529" s="21" t="str">
        <x:f>IF(J529="Рассчитано",V529*(1-R529/100)-W529-P529-Q529,"н/д")</x:f>
        <x:v>н/д</x:v>
      </x:c>
      <x:c r="H529" s="13" t="str">
        <x:v>Высокий</x:v>
      </x:c>
      <x:c r="I529" s="13" t="str">
        <x:v>Средний</x:v>
      </x:c>
      <x:c r="J529" s="13" t="str">
        <x:f>IF(L529="","Укажите валюту",IF(NOT(ISNUMBER(K529)),"Укажите объём",IF(K529&lt;=0,"Укажите объём",IF(K529&gt;F529,"Объём выше излишка",IF(COUNT(M529:O529)&lt;3,"Нужны цены",IF(COUNT(P529:R529)&lt;3,"Нужны расходы",IF(OR(M529&lt;0,N529&lt;0,O529&lt;0,O529&gt;100,P529&lt;0,Q529&lt;0,R529&lt;0,R529&gt;100),"Проверьте значения","Рассчитано")))))))</x:f>
        <x:v>Нужны цены</x:v>
      </x:c>
      <x:c r="K529" s="36" t="n">
        <x:v>8</x:v>
      </x:c>
      <x:c r="L529" s="19" t="str">
        <x:v>KZT</x:v>
      </x:c>
      <x:c r="M529" s="22"/>
      <x:c r="N529" s="22"/>
      <x:c r="O529" s="28"/>
      <x:c r="P529" s="22"/>
      <x:c r="Q529" s="22"/>
      <x:c r="R529" s="28"/>
      <x:c r="S529" s="22"/>
      <x:c r="T529" s="37" t="n">
        <x:f>K529</x:f>
        <x:v>8</x:v>
      </x:c>
      <x:c r="U529" s="21" t="str">
        <x:f>IF(J529="Рассчитано",N529*(1-O529/100),"н/д")</x:f>
        <x:v>н/д</x:v>
      </x:c>
      <x:c r="V529" s="21" t="str">
        <x:f>IF(J529="Рассчитано",T529*U529,"н/д")</x:f>
        <x:v>н/д</x:v>
      </x:c>
      <x:c r="W529" s="21" t="str">
        <x:f>IF(J529="Рассчитано",T529*M529,"н/д")</x:f>
        <x:v>н/д</x:v>
      </x:c>
      <x:c r="X529" s="21" t="str">
        <x:f>IF(J529="Рассчитано",V529-W529,"н/д")</x:f>
        <x:v>н/д</x:v>
      </x:c>
      <x:c r="Y529" s="27" t="str">
        <x:f>IF(J529="Рассчитано",IF(V529&gt;0,G529/V529,"н/д"),"н/д")</x:f>
        <x:v>н/д</x:v>
      </x:c>
      <x:c r="Z529" s="21" t="str">
        <x:f>"н/д"</x:f>
        <x:v>н/д</x:v>
      </x:c>
      <x:c r="AA529" s="21" t="str">
        <x:f>"н/д"</x:f>
        <x:v>н/д</x:v>
      </x:c>
      <x:c r="AB529" s="21" t="str">
        <x:f>"н/д"</x:f>
        <x:v>н/д</x:v>
      </x:c>
      <x:c r="AC529" s="21" t="str">
        <x:f>IF(AND(J529="Рассчитано",T529&gt;0,R529&lt;100),(W529+P529+Q529)/(T529*(1-R529/100)),"н/д")</x:f>
        <x:v>н/д</x:v>
      </x:c>
      <x:c r="AD529" s="10" t="str">
        <x:f>IF(ISNUMBER(G529),IF(G529&lt;0,"Убыток",IF(G529=0,"Без прибыли","Прибыль &gt; 0")),"Не оценён")</x:f>
        <x:v>Не оценён</x:v>
      </x:c>
      <x:c r="AE529" s="13" t="str">
        <x:f>IF(J529="Рассчитано","Выручка "&amp;TEXT(V529,"0.00")&amp;" - себестоимость "&amp;TEXT(W529,"0.00")&amp;" - комиссия "&amp;TEXT(V529*R529/100,"0.00")&amp;" - доставка "&amp;TEXT(P529,"0.00")&amp;" - прочие "&amp;TEXT(Q529,"0.00")&amp;" = "&amp;TEXT(G529,"0.00")&amp;" "&amp;L529,"Введите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9" s="24" t="n">
        <x:v>28.539584919372054</x:v>
      </x:c>
      <x:c r="AG529" s="37" t="n">
        <x:v>37</x:v>
      </x:c>
      <x:c r="AH529" s="37" t="n">
        <x:v>0</x:v>
      </x:c>
      <x:c r="AI529" s="30" t="n">
        <x:v>46266</x:v>
      </x:c>
      <x:c r="AJ529" s="37" t="n">
        <x:v>1</x:v>
      </x:c>
      <x:c r="AK529" s="10" t="str">
        <x:v>минимум</x:v>
      </x:c>
      <x:c r="AL529" s="32" t="n">
        <x:v>110.24860828158118</x:v>
      </x:c>
      <x:c r="AM52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29" s="13" t="str">
        <x:v>Проверить свободный остаток и установить цену для B2B</x:v>
      </x:c>
      <x:c r="AO529" s="13" t="str">
        <x:v>Остаток 37; прогноз 90 дней 28.54; избыток 8 шт. Будущие поступления не выставляются на продажу. Остаток на начало сентября: требуется актуализация.</x:v>
      </x:c>
      <x:c r="AP529" s="13" t="str">
        <x:v>["category_missing", "daily_stockout_data_missing", "large_orders_detected", "new_order_lead_time_unknown", "reservations_unknown", "stale_stock", "transaction_month_mismatch"]</x:v>
      </x:c>
      <x:c r="AQ529" s="10" t="str">
        <x:v>IEK:081100781_</x:v>
      </x:c>
      <x:c r="AR529" s="24" t="n">
        <x:v>1</x:v>
      </x:c>
      <x:c r="AS529" s="24" t="n">
        <x:v>0</x:v>
      </x:c>
      <x:c r="AT529" s="24" t="n">
        <x:v>0</x:v>
      </x:c>
    </x:row>
    <x:row r="530" ht="64" customHeight="1">
      <x:c r="A530" s="11" t="str">
        <x:v>IEK</x:v>
      </x:c>
      <x:c r="B530" s="33" t="str">
        <x:v>114001002_</x:v>
      </x:c>
      <x:c r="C530" s="33" t="str">
        <x:v>TMD-2B-830</x:v>
      </x:c>
      <x:c r="D530" s="12" t="str">
        <x:v>Мультиметр цифровой Universal M830B IEK (60)</x:v>
      </x:c>
      <x:c r="E530" s="11" t="str">
        <x:v>шт</x:v>
      </x:c>
      <x:c r="F530" s="35" t="n">
        <x:f>MAX(0,ROUNDDOWN((AG530-AF530)/AR530+0.000000001,0)*AR530)</x:f>
        <x:v>7</x:v>
      </x:c>
      <x:c r="G530" s="20" t="str">
        <x:f>IF(J530="Рассчитано",V530*(1-R530/100)-W530-P530-Q530,"н/д")</x:f>
        <x:v>н/д</x:v>
      </x:c>
      <x:c r="H530" s="12" t="str">
        <x:v>Высокий</x:v>
      </x:c>
      <x:c r="I530" s="12" t="str">
        <x:v>Высокий</x:v>
      </x:c>
      <x:c r="J530" s="12" t="str">
        <x:f>IF(L530="","Укажите валюту",IF(NOT(ISNUMBER(K530)),"Укажите объём",IF(K530&lt;=0,"Укажите объём",IF(K530&gt;F530,"Объём выше излишка",IF(COUNT(M530:O530)&lt;3,"Нужны цены",IF(COUNT(P530:R530)&lt;3,"Нужны расходы",IF(OR(M530&lt;0,N530&lt;0,O530&lt;0,O530&gt;100,P530&lt;0,Q530&lt;0,R530&lt;0,R530&gt;100),"Проверьте значения","Рассчитано")))))))</x:f>
        <x:v>Нужны цены</x:v>
      </x:c>
      <x:c r="K530" s="36" t="n">
        <x:v>7</x:v>
      </x:c>
      <x:c r="L530" s="19" t="str">
        <x:v>KZT</x:v>
      </x:c>
      <x:c r="M530" s="22"/>
      <x:c r="N530" s="22"/>
      <x:c r="O530" s="28"/>
      <x:c r="P530" s="22"/>
      <x:c r="Q530" s="22"/>
      <x:c r="R530" s="28"/>
      <x:c r="S530" s="22"/>
      <x:c r="T530" s="35" t="n">
        <x:f>K530</x:f>
        <x:v>7</x:v>
      </x:c>
      <x:c r="U530" s="20" t="str">
        <x:f>IF(J530="Рассчитано",N530*(1-O530/100),"н/д")</x:f>
        <x:v>н/д</x:v>
      </x:c>
      <x:c r="V530" s="20" t="str">
        <x:f>IF(J530="Рассчитано",T530*U530,"н/д")</x:f>
        <x:v>н/д</x:v>
      </x:c>
      <x:c r="W530" s="20" t="str">
        <x:f>IF(J530="Рассчитано",T530*M530,"н/д")</x:f>
        <x:v>н/д</x:v>
      </x:c>
      <x:c r="X530" s="20" t="str">
        <x:f>IF(J530="Рассчитано",V530-W530,"н/д")</x:f>
        <x:v>н/д</x:v>
      </x:c>
      <x:c r="Y530" s="26" t="str">
        <x:f>IF(J530="Рассчитано",IF(V530&gt;0,G530/V530,"н/д"),"н/д")</x:f>
        <x:v>н/д</x:v>
      </x:c>
      <x:c r="Z530" s="20" t="str">
        <x:f>"н/д"</x:f>
        <x:v>н/д</x:v>
      </x:c>
      <x:c r="AA530" s="20" t="str">
        <x:f>"н/д"</x:f>
        <x:v>н/д</x:v>
      </x:c>
      <x:c r="AB530" s="20" t="str">
        <x:f>"н/д"</x:f>
        <x:v>н/д</x:v>
      </x:c>
      <x:c r="AC530" s="20" t="str">
        <x:f>IF(AND(J530="Рассчитано",T530&gt;0,R530&lt;100),(W530+P530+Q530)/(T530*(1-R530/100)),"н/д")</x:f>
        <x:v>н/д</x:v>
      </x:c>
      <x:c r="AD530" s="11" t="str">
        <x:f>IF(ISNUMBER(G530),IF(G530&lt;0,"Убыток",IF(G530=0,"Без прибыли","Прибыль &gt; 0")),"Не оценён")</x:f>
        <x:v>Не оценён</x:v>
      </x:c>
      <x:c r="AE530" s="12" t="str">
        <x:f>IF(J530="Рассчитано","Выручка "&amp;TEXT(V530,"0.00")&amp;" - себестоимость "&amp;TEXT(W530,"0.00")&amp;" - комиссия "&amp;TEXT(V530*R530/100,"0.00")&amp;" - доставка "&amp;TEXT(P530,"0.00")&amp;" - прочие "&amp;TEXT(Q530,"0.00")&amp;" = "&amp;TEXT(G530,"0.00")&amp;" "&amp;L530,"Введите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0" s="23" t="n">
        <x:v>4.659308807696803</x:v>
      </x:c>
      <x:c r="AG530" s="35" t="n">
        <x:v>12</x:v>
      </x:c>
      <x:c r="AH530" s="35" t="n">
        <x:v>0</x:v>
      </x:c>
      <x:c r="AI530" s="29" t="n">
        <x:v>46266</x:v>
      </x:c>
      <x:c r="AJ530" s="35" t="n">
        <x:v>1</x:v>
      </x:c>
      <x:c r="AK530" s="11" t="str">
        <x:v>минимум</x:v>
      </x:c>
      <x:c r="AL530" s="31" t="n">
        <x:v>219.01748867896728</x:v>
      </x:c>
      <x:c r="AM53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30" s="12" t="str">
        <x:v>Проверить свободный остаток и установить цену для B2B</x:v>
      </x:c>
      <x:c r="AO530" s="12" t="str">
        <x:v>Остаток 12; прогноз 90 дней 4.66; избыток 7 шт. Будущие поступления не выставляются на продажу. Остаток на начало сентября: требуется актуализация.</x:v>
      </x:c>
      <x:c r="AP530" s="12" t="str">
        <x:v>["category_missing", "daily_stockout_data_missing", "new_order_lead_time_unknown", "reservations_unknown", "stale_stock"]</x:v>
      </x:c>
      <x:c r="AQ530" s="11" t="str">
        <x:v>IEK:114001002_</x:v>
      </x:c>
      <x:c r="AR530" s="23" t="n">
        <x:v>1</x:v>
      </x:c>
      <x:c r="AS530" s="23" t="n">
        <x:v>0</x:v>
      </x:c>
      <x:c r="AT530" s="23" t="n">
        <x:v>0</x:v>
      </x:c>
    </x:row>
    <x:row r="531" ht="64" customHeight="1">
      <x:c r="A531" s="10" t="str">
        <x:v>IEK</x:v>
      </x:c>
      <x:c r="B531" s="34" t="str">
        <x:v>120100001_</x:v>
      </x:c>
      <x:c r="C531" s="34" t="str">
        <x:v>KKM11-009-230-10</x:v>
      </x:c>
      <x:c r="D531" s="13" t="str">
        <x:v>Контактор КМИ-10910  9А  230В (1вел) IEK (1/50)</x:v>
      </x:c>
      <x:c r="E531" s="10" t="str">
        <x:v>шт</x:v>
      </x:c>
      <x:c r="F531" s="37" t="n">
        <x:f>MAX(0,ROUNDDOWN((AG531-AF531)/AR531+0.000000001,0)*AR531)</x:f>
        <x:v>240</x:v>
      </x:c>
      <x:c r="G531" s="21" t="str">
        <x:f>IF(J531="Рассчитано",V531*(1-R531/100)-W531-P531-Q531,"н/д")</x:f>
        <x:v>н/д</x:v>
      </x:c>
      <x:c r="H531" s="13" t="str">
        <x:v>Высокий</x:v>
      </x:c>
      <x:c r="I531" s="13" t="str">
        <x:v>Высокий</x:v>
      </x:c>
      <x:c r="J531" s="13" t="str">
        <x:f>IF(L531="","Укажите валюту",IF(NOT(ISNUMBER(K531)),"Укажите объём",IF(K531&lt;=0,"Укажите объём",IF(K531&gt;F531,"Объём выше излишка",IF(COUNT(M531:O531)&lt;3,"Нужны цены",IF(COUNT(P531:R531)&lt;3,"Нужны расходы",IF(OR(M531&lt;0,N531&lt;0,O531&lt;0,O531&gt;100,P531&lt;0,Q531&lt;0,R531&lt;0,R531&gt;100),"Проверьте значения","Рассчитано")))))))</x:f>
        <x:v>Нужны цены</x:v>
      </x:c>
      <x:c r="K531" s="36" t="n">
        <x:v>240</x:v>
      </x:c>
      <x:c r="L531" s="19" t="str">
        <x:v>KZT</x:v>
      </x:c>
      <x:c r="M531" s="22"/>
      <x:c r="N531" s="22"/>
      <x:c r="O531" s="28"/>
      <x:c r="P531" s="22"/>
      <x:c r="Q531" s="22"/>
      <x:c r="R531" s="28"/>
      <x:c r="S531" s="22"/>
      <x:c r="T531" s="37" t="n">
        <x:f>K531</x:f>
        <x:v>240</x:v>
      </x:c>
      <x:c r="U531" s="21" t="str">
        <x:f>IF(J531="Рассчитано",N531*(1-O531/100),"н/д")</x:f>
        <x:v>н/д</x:v>
      </x:c>
      <x:c r="V531" s="21" t="str">
        <x:f>IF(J531="Рассчитано",T531*U531,"н/д")</x:f>
        <x:v>н/д</x:v>
      </x:c>
      <x:c r="W531" s="21" t="str">
        <x:f>IF(J531="Рассчитано",T531*M531,"н/д")</x:f>
        <x:v>н/д</x:v>
      </x:c>
      <x:c r="X531" s="21" t="str">
        <x:f>IF(J531="Рассчитано",V531-W531,"н/д")</x:f>
        <x:v>н/д</x:v>
      </x:c>
      <x:c r="Y531" s="27" t="str">
        <x:f>IF(J531="Рассчитано",IF(V531&gt;0,G531/V531,"н/д"),"н/д")</x:f>
        <x:v>н/д</x:v>
      </x:c>
      <x:c r="Z531" s="21" t="str">
        <x:f>"н/д"</x:f>
        <x:v>н/д</x:v>
      </x:c>
      <x:c r="AA531" s="21" t="str">
        <x:f>"н/д"</x:f>
        <x:v>н/д</x:v>
      </x:c>
      <x:c r="AB531" s="21" t="str">
        <x:f>"н/д"</x:f>
        <x:v>н/д</x:v>
      </x:c>
      <x:c r="AC531" s="21" t="str">
        <x:f>IF(AND(J531="Рассчитано",T531&gt;0,R531&lt;100),(W531+P531+Q531)/(T531*(1-R531/100)),"н/д")</x:f>
        <x:v>н/д</x:v>
      </x:c>
      <x:c r="AD531" s="10" t="str">
        <x:f>IF(ISNUMBER(G531),IF(G531&lt;0,"Убыток",IF(G531=0,"Без прибыли","Прибыль &gt; 0")),"Не оценён")</x:f>
        <x:v>Не оценён</x:v>
      </x:c>
      <x:c r="AE531" s="13" t="str">
        <x:f>IF(J531="Рассчитано","Выручка "&amp;TEXT(V531,"0.00")&amp;" - себестоимость "&amp;TEXT(W531,"0.00")&amp;" - комиссия "&amp;TEXT(V531*R531/100,"0.00")&amp;" - доставка "&amp;TEXT(P531,"0.00")&amp;" - прочие "&amp;TEXT(Q531,"0.00")&amp;" = "&amp;TEXT(G531,"0.00")&amp;" "&amp;L531,"Введите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1" s="24" t="n">
        <x:v>134.81389142050824</x:v>
      </x:c>
      <x:c r="AG531" s="37" t="n">
        <x:v>375</x:v>
      </x:c>
      <x:c r="AH531" s="37" t="n">
        <x:v>100</x:v>
      </x:c>
      <x:c r="AI531" s="30" t="n">
        <x:v>46266</x:v>
      </x:c>
      <x:c r="AJ531" s="37" t="n">
        <x:v>5</x:v>
      </x:c>
      <x:c r="AK531" s="10" t="str">
        <x:v>минимум</x:v>
      </x:c>
      <x:c r="AL531" s="32" t="n">
        <x:v>236.54603192432828</x:v>
      </x:c>
      <x:c r="AM531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531" s="13" t="str">
        <x:v>Проверить свободный остаток и установить цену для B2B</x:v>
      </x:c>
      <x:c r="AO531" s="13" t="str">
        <x:v>Остаток 375; прогноз 90 дней 134.81; избыток 240 шт. Будущие поступления не выставляются на продажу. Остаток на начало сентября: требуется актуализация.</x:v>
      </x:c>
      <x:c r="AP531" s="13" t="str">
        <x:v>["category_missing", "daily_stockout_data_missing", "large_orders_detected", "new_order_lead_time_unknown", "reservations_unknown", "stale_stock", "transaction_month_mismatch"]</x:v>
      </x:c>
      <x:c r="AQ531" s="10" t="str">
        <x:v>IEK:120100001_</x:v>
      </x:c>
      <x:c r="AR531" s="24" t="n">
        <x:v>1</x:v>
      </x:c>
      <x:c r="AS531" s="24" t="n">
        <x:v>0</x:v>
      </x:c>
      <x:c r="AT531" s="24" t="n">
        <x:v>0</x:v>
      </x:c>
    </x:row>
    <x:row r="532" ht="64" customHeight="1">
      <x:c r="A532" s="11" t="str">
        <x:v>IEK</x:v>
      </x:c>
      <x:c r="B532" s="33" t="str">
        <x:v>120100002_</x:v>
      </x:c>
      <x:c r="C532" s="33" t="str">
        <x:v>KKM11-012-230-10</x:v>
      </x:c>
      <x:c r="D532" s="12" t="str">
        <x:v>Контактор КМИ-11210 12А 230В (1вел) IEK (1/50)</x:v>
      </x:c>
      <x:c r="E532" s="11" t="str">
        <x:v>шт</x:v>
      </x:c>
      <x:c r="F532" s="35" t="n">
        <x:f>MAX(0,ROUNDDOWN((AG532-AF532)/AR532+0.000000001,0)*AR532)</x:f>
        <x:v>99</x:v>
      </x:c>
      <x:c r="G532" s="20" t="str">
        <x:f>IF(J532="Рассчитано",V532*(1-R532/100)-W532-P532-Q532,"н/д")</x:f>
        <x:v>н/д</x:v>
      </x:c>
      <x:c r="H532" s="12" t="str">
        <x:v>Высокий</x:v>
      </x:c>
      <x:c r="I532" s="12" t="str">
        <x:v>Средний</x:v>
      </x:c>
      <x:c r="J532" s="12" t="str">
        <x:f>IF(L532="","Укажите валюту",IF(NOT(ISNUMBER(K532)),"Укажите объём",IF(K532&lt;=0,"Укажите объём",IF(K532&gt;F532,"Объём выше излишка",IF(COUNT(M532:O532)&lt;3,"Нужны цены",IF(COUNT(P532:R532)&lt;3,"Нужны расходы",IF(OR(M532&lt;0,N532&lt;0,O532&lt;0,O532&gt;100,P532&lt;0,Q532&lt;0,R532&lt;0,R532&gt;100),"Проверьте значения","Рассчитано")))))))</x:f>
        <x:v>Нужны цены</x:v>
      </x:c>
      <x:c r="K532" s="36" t="n">
        <x:v>99</x:v>
      </x:c>
      <x:c r="L532" s="19" t="str">
        <x:v>KZT</x:v>
      </x:c>
      <x:c r="M532" s="22"/>
      <x:c r="N532" s="22"/>
      <x:c r="O532" s="28"/>
      <x:c r="P532" s="22"/>
      <x:c r="Q532" s="22"/>
      <x:c r="R532" s="28"/>
      <x:c r="S532" s="22"/>
      <x:c r="T532" s="35" t="n">
        <x:f>K532</x:f>
        <x:v>99</x:v>
      </x:c>
      <x:c r="U532" s="20" t="str">
        <x:f>IF(J532="Рассчитано",N532*(1-O532/100),"н/д")</x:f>
        <x:v>н/д</x:v>
      </x:c>
      <x:c r="V532" s="20" t="str">
        <x:f>IF(J532="Рассчитано",T532*U532,"н/д")</x:f>
        <x:v>н/д</x:v>
      </x:c>
      <x:c r="W532" s="20" t="str">
        <x:f>IF(J532="Рассчитано",T532*M532,"н/д")</x:f>
        <x:v>н/д</x:v>
      </x:c>
      <x:c r="X532" s="20" t="str">
        <x:f>IF(J532="Рассчитано",V532-W532,"н/д")</x:f>
        <x:v>н/д</x:v>
      </x:c>
      <x:c r="Y532" s="26" t="str">
        <x:f>IF(J532="Рассчитано",IF(V532&gt;0,G532/V532,"н/д"),"н/д")</x:f>
        <x:v>н/д</x:v>
      </x:c>
      <x:c r="Z532" s="20" t="str">
        <x:f>"н/д"</x:f>
        <x:v>н/д</x:v>
      </x:c>
      <x:c r="AA532" s="20" t="str">
        <x:f>"н/д"</x:f>
        <x:v>н/д</x:v>
      </x:c>
      <x:c r="AB532" s="20" t="str">
        <x:f>"н/д"</x:f>
        <x:v>н/д</x:v>
      </x:c>
      <x:c r="AC532" s="20" t="str">
        <x:f>IF(AND(J532="Рассчитано",T532&gt;0,R532&lt;100),(W532+P532+Q532)/(T532*(1-R532/100)),"н/д")</x:f>
        <x:v>н/д</x:v>
      </x:c>
      <x:c r="AD532" s="11" t="str">
        <x:f>IF(ISNUMBER(G532),IF(G532&lt;0,"Убыток",IF(G532=0,"Без прибыли","Прибыль &gt; 0")),"Не оценён")</x:f>
        <x:v>Не оценён</x:v>
      </x:c>
      <x:c r="AE532" s="12" t="str">
        <x:f>IF(J532="Рассчитано","Выручка "&amp;TEXT(V532,"0.00")&amp;" - себестоимость "&amp;TEXT(W532,"0.00")&amp;" - комиссия "&amp;TEXT(V532*R532/100,"0.00")&amp;" - доставка "&amp;TEXT(P532,"0.00")&amp;" - прочие "&amp;TEXT(Q532,"0.00")&amp;" = "&amp;TEXT(G532,"0.00")&amp;" "&amp;L532,"Введите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2" s="23" t="n">
        <x:v>133.8771370614353</x:v>
      </x:c>
      <x:c r="AG532" s="35" t="n">
        <x:v>233</x:v>
      </x:c>
      <x:c r="AH532" s="35" t="n">
        <x:v>0</x:v>
      </x:c>
      <x:c r="AI532" s="29" t="n">
        <x:v>46266</x:v>
      </x:c>
      <x:c r="AJ532" s="35" t="n">
        <x:v>1</x:v>
      </x:c>
      <x:c r="AK532" s="11" t="str">
        <x:v>минимум</x:v>
      </x:c>
      <x:c r="AL532" s="31" t="n">
        <x:v>148.0023287213525</x:v>
      </x:c>
      <x:c r="AM532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32" s="12" t="str">
        <x:v>Проверить свободный остаток и установить цену для B2B</x:v>
      </x:c>
      <x:c r="AO532" s="12" t="str">
        <x:v>Остаток 233; прогноз 90 дней 133.88; избыток 99 шт. Будущие поступления не выставляются на продажу. Остаток на начало сентября: требуется актуализация.</x:v>
      </x:c>
      <x:c r="AP532" s="12" t="str">
        <x:v>["category_missing", "daily_stockout_data_missing", "large_orders_detected", "new_order_lead_time_unknown", "reservations_unknown", "stale_stock", "transaction_month_mismatch"]</x:v>
      </x:c>
      <x:c r="AQ532" s="11" t="str">
        <x:v>IEK:120100002_</x:v>
      </x:c>
      <x:c r="AR532" s="23" t="n">
        <x:v>1</x:v>
      </x:c>
      <x:c r="AS532" s="23" t="n">
        <x:v>0</x:v>
      </x:c>
      <x:c r="AT532" s="23" t="n">
        <x:v>0</x:v>
      </x:c>
    </x:row>
    <x:row r="533" ht="64" customHeight="1">
      <x:c r="A533" s="10" t="str">
        <x:v>IEK</x:v>
      </x:c>
      <x:c r="B533" s="34" t="str">
        <x:v>120100004_</x:v>
      </x:c>
      <x:c r="C533" s="34" t="str">
        <x:v>KKM11-018-230-10</x:v>
      </x:c>
      <x:c r="D533" s="13" t="str">
        <x:v>Контактор КМИ-11810 18А 230В (1вел) IEK (1/50)</x:v>
      </x:c>
      <x:c r="E533" s="10" t="str">
        <x:v>шт</x:v>
      </x:c>
      <x:c r="F533" s="37" t="n">
        <x:f>MAX(0,ROUNDDOWN((AG533-AF533)/AR533+0.000000001,0)*AR533)</x:f>
        <x:v>102</x:v>
      </x:c>
      <x:c r="G533" s="21" t="str">
        <x:f>IF(J533="Рассчитано",V533*(1-R533/100)-W533-P533-Q533,"н/д")</x:f>
        <x:v>н/д</x:v>
      </x:c>
      <x:c r="H533" s="13" t="str">
        <x:v>Высокий</x:v>
      </x:c>
      <x:c r="I533" s="13" t="str">
        <x:v>Средний</x:v>
      </x:c>
      <x:c r="J533" s="13" t="str">
        <x:f>IF(L533="","Укажите валюту",IF(NOT(ISNUMBER(K533)),"Укажите объём",IF(K533&lt;=0,"Укажите объём",IF(K533&gt;F533,"Объём выше излишка",IF(COUNT(M533:O533)&lt;3,"Нужны цены",IF(COUNT(P533:R533)&lt;3,"Нужны расходы",IF(OR(M533&lt;0,N533&lt;0,O533&lt;0,O533&gt;100,P533&lt;0,Q533&lt;0,R533&lt;0,R533&gt;100),"Проверьте значения","Рассчитано")))))))</x:f>
        <x:v>Нужны цены</x:v>
      </x:c>
      <x:c r="K533" s="36" t="n">
        <x:v>102</x:v>
      </x:c>
      <x:c r="L533" s="19" t="str">
        <x:v>KZT</x:v>
      </x:c>
      <x:c r="M533" s="22"/>
      <x:c r="N533" s="22"/>
      <x:c r="O533" s="28"/>
      <x:c r="P533" s="22"/>
      <x:c r="Q533" s="22"/>
      <x:c r="R533" s="28"/>
      <x:c r="S533" s="22"/>
      <x:c r="T533" s="37" t="n">
        <x:f>K533</x:f>
        <x:v>102</x:v>
      </x:c>
      <x:c r="U533" s="21" t="str">
        <x:f>IF(J533="Рассчитано",N533*(1-O533/100),"н/д")</x:f>
        <x:v>н/д</x:v>
      </x:c>
      <x:c r="V533" s="21" t="str">
        <x:f>IF(J533="Рассчитано",T533*U533,"н/д")</x:f>
        <x:v>н/д</x:v>
      </x:c>
      <x:c r="W533" s="21" t="str">
        <x:f>IF(J533="Рассчитано",T533*M533,"н/д")</x:f>
        <x:v>н/д</x:v>
      </x:c>
      <x:c r="X533" s="21" t="str">
        <x:f>IF(J533="Рассчитано",V533-W533,"н/д")</x:f>
        <x:v>н/д</x:v>
      </x:c>
      <x:c r="Y533" s="27" t="str">
        <x:f>IF(J533="Рассчитано",IF(V533&gt;0,G533/V533,"н/д"),"н/д")</x:f>
        <x:v>н/д</x:v>
      </x:c>
      <x:c r="Z533" s="21" t="str">
        <x:f>"н/д"</x:f>
        <x:v>н/д</x:v>
      </x:c>
      <x:c r="AA533" s="21" t="str">
        <x:f>"н/д"</x:f>
        <x:v>н/д</x:v>
      </x:c>
      <x:c r="AB533" s="21" t="str">
        <x:f>"н/д"</x:f>
        <x:v>н/д</x:v>
      </x:c>
      <x:c r="AC533" s="21" t="str">
        <x:f>IF(AND(J533="Рассчитано",T533&gt;0,R533&lt;100),(W533+P533+Q533)/(T533*(1-R533/100)),"н/д")</x:f>
        <x:v>н/д</x:v>
      </x:c>
      <x:c r="AD533" s="10" t="str">
        <x:f>IF(ISNUMBER(G533),IF(G533&lt;0,"Убыток",IF(G533=0,"Без прибыли","Прибыль &gt; 0")),"Не оценён")</x:f>
        <x:v>Не оценён</x:v>
      </x:c>
      <x:c r="AE533" s="13" t="str">
        <x:f>IF(J533="Рассчитано","Выручка "&amp;TEXT(V533,"0.00")&amp;" - себестоимость "&amp;TEXT(W533,"0.00")&amp;" - комиссия "&amp;TEXT(V533*R533/100,"0.00")&amp;" - доставка "&amp;TEXT(P533,"0.00")&amp;" - прочие "&amp;TEXT(Q533,"0.00")&amp;" = "&amp;TEXT(G533,"0.00")&amp;" "&amp;L533,"Введите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3" s="24" t="n">
        <x:v>163.65061424181584</x:v>
      </x:c>
      <x:c r="AG533" s="37" t="n">
        <x:v>266</x:v>
      </x:c>
      <x:c r="AH533" s="37" t="n">
        <x:v>100</x:v>
      </x:c>
      <x:c r="AI533" s="30" t="n">
        <x:v>46266</x:v>
      </x:c>
      <x:c r="AJ533" s="37" t="n">
        <x:v>5</x:v>
      </x:c>
      <x:c r="AK533" s="10" t="str">
        <x:v>минимум</x:v>
      </x:c>
      <x:c r="AL533" s="32" t="n">
        <x:v>138.2238677566444</x:v>
      </x:c>
      <x:c r="AM53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33" s="13" t="str">
        <x:v>Проверить свободный остаток и установить цену для B2B</x:v>
      </x:c>
      <x:c r="AO533" s="13" t="str">
        <x:v>Остаток 266; прогноз 90 дней 163.65; избыток 102 шт. Будущие поступления не выставляются на продажу. Остаток на начало сентября: требуется актуализация.</x:v>
      </x:c>
      <x:c r="AP533" s="13" t="str">
        <x:v>["category_missing", "daily_stockout_data_missing", "large_orders_detected", "new_order_lead_time_unknown", "reservations_unknown", "stale_stock", "transaction_month_mismatch"]</x:v>
      </x:c>
      <x:c r="AQ533" s="10" t="str">
        <x:v>IEK:120100004_</x:v>
      </x:c>
      <x:c r="AR533" s="24" t="n">
        <x:v>1</x:v>
      </x:c>
      <x:c r="AS533" s="24" t="n">
        <x:v>0</x:v>
      </x:c>
      <x:c r="AT533" s="24" t="n">
        <x:v>0</x:v>
      </x:c>
    </x:row>
    <x:row r="534" ht="64" customHeight="1">
      <x:c r="A534" s="11" t="str">
        <x:v>IEK</x:v>
      </x:c>
      <x:c r="B534" s="33" t="str">
        <x:v>120100005_</x:v>
      </x:c>
      <x:c r="C534" s="33" t="str">
        <x:v>KKM16-018-380-00</x:v>
      </x:c>
      <x:c r="D534" s="12" t="str">
        <x:v>Контактор  КМИ-11860 18А 380В  IP54 (1вел в корпусе) IEK (1/20)</x:v>
      </x:c>
      <x:c r="E534" s="11" t="str">
        <x:v>шт</x:v>
      </x:c>
      <x:c r="F534" s="35" t="n">
        <x:f>MAX(0,ROUNDDOWN((AG534-AF534)/AR534+0.000000001,0)*AR534)</x:f>
        <x:v>6</x:v>
      </x:c>
      <x:c r="G534" s="20" t="str">
        <x:f>IF(J534="Рассчитано",V534*(1-R534/100)-W534-P534-Q534,"н/д")</x:f>
        <x:v>н/д</x:v>
      </x:c>
      <x:c r="H534" s="12" t="str">
        <x:v>Высокий</x:v>
      </x:c>
      <x:c r="I534" s="12" t="str">
        <x:v>Средний</x:v>
      </x:c>
      <x:c r="J534" s="12" t="str">
        <x:f>IF(L534="","Укажите валюту",IF(NOT(ISNUMBER(K534)),"Укажите объём",IF(K534&lt;=0,"Укажите объём",IF(K534&gt;F534,"Объём выше излишка",IF(COUNT(M534:O534)&lt;3,"Нужны цены",IF(COUNT(P534:R534)&lt;3,"Нужны расходы",IF(OR(M534&lt;0,N534&lt;0,O534&lt;0,O534&gt;100,P534&lt;0,Q534&lt;0,R534&lt;0,R534&gt;100),"Проверьте значения","Рассчитано")))))))</x:f>
        <x:v>Нужны цены</x:v>
      </x:c>
      <x:c r="K534" s="36" t="n">
        <x:v>6</x:v>
      </x:c>
      <x:c r="L534" s="19" t="str">
        <x:v>KZT</x:v>
      </x:c>
      <x:c r="M534" s="22"/>
      <x:c r="N534" s="22"/>
      <x:c r="O534" s="28"/>
      <x:c r="P534" s="22"/>
      <x:c r="Q534" s="22"/>
      <x:c r="R534" s="28"/>
      <x:c r="S534" s="22"/>
      <x:c r="T534" s="35" t="n">
        <x:f>K534</x:f>
        <x:v>6</x:v>
      </x:c>
      <x:c r="U534" s="20" t="str">
        <x:f>IF(J534="Рассчитано",N534*(1-O534/100),"н/д")</x:f>
        <x:v>н/д</x:v>
      </x:c>
      <x:c r="V534" s="20" t="str">
        <x:f>IF(J534="Рассчитано",T534*U534,"н/д")</x:f>
        <x:v>н/д</x:v>
      </x:c>
      <x:c r="W534" s="20" t="str">
        <x:f>IF(J534="Рассчитано",T534*M534,"н/д")</x:f>
        <x:v>н/д</x:v>
      </x:c>
      <x:c r="X534" s="20" t="str">
        <x:f>IF(J534="Рассчитано",V534-W534,"н/д")</x:f>
        <x:v>н/д</x:v>
      </x:c>
      <x:c r="Y534" s="26" t="str">
        <x:f>IF(J534="Рассчитано",IF(V534&gt;0,G534/V534,"н/д"),"н/д")</x:f>
        <x:v>н/д</x:v>
      </x:c>
      <x:c r="Z534" s="20" t="str">
        <x:f>"н/д"</x:f>
        <x:v>н/д</x:v>
      </x:c>
      <x:c r="AA534" s="20" t="str">
        <x:f>"н/д"</x:f>
        <x:v>н/д</x:v>
      </x:c>
      <x:c r="AB534" s="20" t="str">
        <x:f>"н/д"</x:f>
        <x:v>н/д</x:v>
      </x:c>
      <x:c r="AC534" s="20" t="str">
        <x:f>IF(AND(J534="Рассчитано",T534&gt;0,R534&lt;100),(W534+P534+Q534)/(T534*(1-R534/100)),"н/д")</x:f>
        <x:v>н/д</x:v>
      </x:c>
      <x:c r="AD534" s="11" t="str">
        <x:f>IF(ISNUMBER(G534),IF(G534&lt;0,"Убыток",IF(G534=0,"Без прибыли","Прибыль &gt; 0")),"Не оценён")</x:f>
        <x:v>Не оценён</x:v>
      </x:c>
      <x:c r="AE534" s="12" t="str">
        <x:f>IF(J534="Рассчитано","Выручка "&amp;TEXT(V534,"0.00")&amp;" - себестоимость "&amp;TEXT(W534,"0.00")&amp;" - комиссия "&amp;TEXT(V534*R534/100,"0.00")&amp;" - доставка "&amp;TEXT(P534,"0.00")&amp;" - прочие "&amp;TEXT(Q534,"0.00")&amp;" = "&amp;TEXT(G534,"0.00")&amp;" "&amp;L534,"Введите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4" s="23" t="n">
        <x:v>12.51221691038353</x:v>
      </x:c>
      <x:c r="AG534" s="35" t="n">
        <x:v>19</x:v>
      </x:c>
      <x:c r="AH534" s="35" t="n">
        <x:v>0</x:v>
      </x:c>
      <x:c r="AI534" s="29" t="n">
        <x:v>46266</x:v>
      </x:c>
      <x:c r="AJ534" s="35" t="n">
        <x:v>1</x:v>
      </x:c>
      <x:c r="AK534" s="11" t="str">
        <x:v>минимум</x:v>
      </x:c>
      <x:c r="AL534" s="31" t="n">
        <x:v>129.13333894424363</x:v>
      </x:c>
      <x:c r="AM534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534" s="12" t="str">
        <x:v>Проверить свободный остаток и установить цену для B2B</x:v>
      </x:c>
      <x:c r="AO534" s="12" t="str">
        <x:v>Остаток 19; прогноз 90 дней 12.51; избыток 6 шт. Будущие поступления не выставляются на продажу. Остаток на начало сентября: требуется актуализация.</x:v>
      </x:c>
      <x:c r="AP534" s="12" t="str">
        <x:v>["category_missing", "daily_stockout_data_missing", "new_order_lead_time_unknown", "reservations_unknown", "stale_stock", "stockout_proxy_used"]</x:v>
      </x:c>
      <x:c r="AQ534" s="11" t="str">
        <x:v>IEK:120100005_</x:v>
      </x:c>
      <x:c r="AR534" s="23" t="n">
        <x:v>1</x:v>
      </x:c>
      <x:c r="AS534" s="23" t="n">
        <x:v>0</x:v>
      </x:c>
      <x:c r="AT534" s="23" t="n">
        <x:v>0</x:v>
      </x:c>
    </x:row>
    <x:row r="535" ht="64" customHeight="1">
      <x:c r="A535" s="10" t="str">
        <x:v>IEK</x:v>
      </x:c>
      <x:c r="B535" s="34" t="str">
        <x:v>120100006_</x:v>
      </x:c>
      <x:c r="C535" s="34" t="str">
        <x:v>KKM21-025-230-10</x:v>
      </x:c>
      <x:c r="D535" s="13" t="str">
        <x:v>Контактор КМИ-22510 25А 230В (2вел) IEK (1/50)</x:v>
      </x:c>
      <x:c r="E535" s="10" t="str">
        <x:v>шт</x:v>
      </x:c>
      <x:c r="F535" s="37" t="n">
        <x:f>MAX(0,ROUNDDOWN((AG535-AF535)/AR535+0.000000001,0)*AR535)</x:f>
        <x:v>64</x:v>
      </x:c>
      <x:c r="G535" s="21" t="str">
        <x:f>IF(J535="Рассчитано",V535*(1-R535/100)-W535-P535-Q535,"н/д")</x:f>
        <x:v>н/д</x:v>
      </x:c>
      <x:c r="H535" s="13" t="str">
        <x:v>Высокий</x:v>
      </x:c>
      <x:c r="I535" s="13" t="str">
        <x:v>Средний</x:v>
      </x:c>
      <x:c r="J535" s="13" t="str">
        <x:f>IF(L535="","Укажите валюту",IF(NOT(ISNUMBER(K535)),"Укажите объём",IF(K535&lt;=0,"Укажите объём",IF(K535&gt;F535,"Объём выше излишка",IF(COUNT(M535:O535)&lt;3,"Нужны цены",IF(COUNT(P535:R535)&lt;3,"Нужны расходы",IF(OR(M535&lt;0,N535&lt;0,O535&lt;0,O535&gt;100,P535&lt;0,Q535&lt;0,R535&lt;0,R535&gt;100),"Проверьте значения","Рассчитано")))))))</x:f>
        <x:v>Нужны цены</x:v>
      </x:c>
      <x:c r="K535" s="36" t="n">
        <x:v>64</x:v>
      </x:c>
      <x:c r="L535" s="19" t="str">
        <x:v>KZT</x:v>
      </x:c>
      <x:c r="M535" s="22"/>
      <x:c r="N535" s="22"/>
      <x:c r="O535" s="28"/>
      <x:c r="P535" s="22"/>
      <x:c r="Q535" s="22"/>
      <x:c r="R535" s="28"/>
      <x:c r="S535" s="22"/>
      <x:c r="T535" s="37" t="n">
        <x:f>K535</x:f>
        <x:v>64</x:v>
      </x:c>
      <x:c r="U535" s="21" t="str">
        <x:f>IF(J535="Рассчитано",N535*(1-O535/100),"н/д")</x:f>
        <x:v>н/д</x:v>
      </x:c>
      <x:c r="V535" s="21" t="str">
        <x:f>IF(J535="Рассчитано",T535*U535,"н/д")</x:f>
        <x:v>н/д</x:v>
      </x:c>
      <x:c r="W535" s="21" t="str">
        <x:f>IF(J535="Рассчитано",T535*M535,"н/д")</x:f>
        <x:v>н/д</x:v>
      </x:c>
      <x:c r="X535" s="21" t="str">
        <x:f>IF(J535="Рассчитано",V535-W535,"н/д")</x:f>
        <x:v>н/д</x:v>
      </x:c>
      <x:c r="Y535" s="27" t="str">
        <x:f>IF(J535="Рассчитано",IF(V535&gt;0,G535/V535,"н/д"),"н/д")</x:f>
        <x:v>н/д</x:v>
      </x:c>
      <x:c r="Z535" s="21" t="str">
        <x:f>"н/д"</x:f>
        <x:v>н/д</x:v>
      </x:c>
      <x:c r="AA535" s="21" t="str">
        <x:f>"н/д"</x:f>
        <x:v>н/д</x:v>
      </x:c>
      <x:c r="AB535" s="21" t="str">
        <x:f>"н/д"</x:f>
        <x:v>н/д</x:v>
      </x:c>
      <x:c r="AC535" s="21" t="str">
        <x:f>IF(AND(J535="Рассчитано",T535&gt;0,R535&lt;100),(W535+P535+Q535)/(T535*(1-R535/100)),"н/д")</x:f>
        <x:v>н/д</x:v>
      </x:c>
      <x:c r="AD535" s="10" t="str">
        <x:f>IF(ISNUMBER(G535),IF(G535&lt;0,"Убыток",IF(G535=0,"Без прибыли","Прибыль &gt; 0")),"Не оценён")</x:f>
        <x:v>Не оценён</x:v>
      </x:c>
      <x:c r="AE535" s="13" t="str">
        <x:f>IF(J535="Рассчитано","Выручка "&amp;TEXT(V535,"0.00")&amp;" - себестоимость "&amp;TEXT(W535,"0.00")&amp;" - комиссия "&amp;TEXT(V535*R535/100,"0.00")&amp;" - доставка "&amp;TEXT(P535,"0.00")&amp;" - прочие "&amp;TEXT(Q535,"0.00")&amp;" = "&amp;TEXT(G535,"0.00")&amp;" "&amp;L535,"Введите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5" s="24" t="n">
        <x:v>461.3091355812486</x:v>
      </x:c>
      <x:c r="AG535" s="37" t="n">
        <x:v>526</x:v>
      </x:c>
      <x:c r="AH535" s="37" t="n">
        <x:v>0</x:v>
      </x:c>
      <x:c r="AI535" s="30" t="n">
        <x:v>46266</x:v>
      </x:c>
      <x:c r="AJ535" s="37" t="n">
        <x:v>1</x:v>
      </x:c>
      <x:c r="AK535" s="10" t="str">
        <x:v>минимум</x:v>
      </x:c>
      <x:c r="AL535" s="32" t="n">
        <x:v>96.96449347166593</x:v>
      </x:c>
      <x:c r="AM53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35" s="13" t="str">
        <x:v>Проверить свободный остаток и установить цену для B2B</x:v>
      </x:c>
      <x:c r="AO535" s="13" t="str">
        <x:v>Остаток 526; прогноз 90 дней 461.31; избыток 64 шт. Будущие поступления не выставляются на продажу. Остаток на начало сентября: требуется актуализация.</x:v>
      </x:c>
      <x:c r="AP535" s="13" t="str">
        <x:v>["category_missing", "daily_stockout_data_missing", "large_orders_detected", "new_order_lead_time_unknown", "reservations_unknown", "stale_stock", "transaction_month_mismatch"]</x:v>
      </x:c>
      <x:c r="AQ535" s="10" t="str">
        <x:v>IEK:120100006_</x:v>
      </x:c>
      <x:c r="AR535" s="24" t="n">
        <x:v>1</x:v>
      </x:c>
      <x:c r="AS535" s="24" t="n">
        <x:v>0</x:v>
      </x:c>
      <x:c r="AT535" s="24" t="n">
        <x:v>0</x:v>
      </x:c>
    </x:row>
    <x:row r="536" ht="64" customHeight="1">
      <x:c r="A536" s="11" t="str">
        <x:v>IEK</x:v>
      </x:c>
      <x:c r="B536" s="33" t="str">
        <x:v>120100008_</x:v>
      </x:c>
      <x:c r="C536" s="33" t="str">
        <x:v>KKM26-025-380-00</x:v>
      </x:c>
      <x:c r="D536" s="12" t="str">
        <x:v>Контактор  КМИ-22560 25А 380В  IP54 (2вел в корпусе) IEK (1/16)</x:v>
      </x:c>
      <x:c r="E536" s="11" t="str">
        <x:v>шт</x:v>
      </x:c>
      <x:c r="F536" s="35" t="n">
        <x:f>MAX(0,ROUNDDOWN((AG536-AF536)/AR536+0.000000001,0)*AR536)</x:f>
        <x:v>8</x:v>
      </x:c>
      <x:c r="G536" s="20" t="str">
        <x:f>IF(J536="Рассчитано",V536*(1-R536/100)-W536-P536-Q536,"н/д")</x:f>
        <x:v>н/д</x:v>
      </x:c>
      <x:c r="H536" s="12" t="str">
        <x:v>Высокий</x:v>
      </x:c>
      <x:c r="I536" s="12" t="str">
        <x:v>Средний</x:v>
      </x:c>
      <x:c r="J536" s="12" t="str">
        <x:f>IF(L536="","Укажите валюту",IF(NOT(ISNUMBER(K536)),"Укажите объём",IF(K536&lt;=0,"Укажите объём",IF(K536&gt;F536,"Объём выше излишка",IF(COUNT(M536:O536)&lt;3,"Нужны цены",IF(COUNT(P536:R536)&lt;3,"Нужны расходы",IF(OR(M536&lt;0,N536&lt;0,O536&lt;0,O536&gt;100,P536&lt;0,Q536&lt;0,R536&lt;0,R536&gt;100),"Проверьте значения","Рассчитано")))))))</x:f>
        <x:v>Нужны цены</x:v>
      </x:c>
      <x:c r="K536" s="36" t="n">
        <x:v>8</x:v>
      </x:c>
      <x:c r="L536" s="19" t="str">
        <x:v>KZT</x:v>
      </x:c>
      <x:c r="M536" s="22"/>
      <x:c r="N536" s="22"/>
      <x:c r="O536" s="28"/>
      <x:c r="P536" s="22"/>
      <x:c r="Q536" s="22"/>
      <x:c r="R536" s="28"/>
      <x:c r="S536" s="22"/>
      <x:c r="T536" s="35" t="n">
        <x:f>K536</x:f>
        <x:v>8</x:v>
      </x:c>
      <x:c r="U536" s="20" t="str">
        <x:f>IF(J536="Рассчитано",N536*(1-O536/100),"н/д")</x:f>
        <x:v>н/д</x:v>
      </x:c>
      <x:c r="V536" s="20" t="str">
        <x:f>IF(J536="Рассчитано",T536*U536,"н/д")</x:f>
        <x:v>н/д</x:v>
      </x:c>
      <x:c r="W536" s="20" t="str">
        <x:f>IF(J536="Рассчитано",T536*M536,"н/д")</x:f>
        <x:v>н/д</x:v>
      </x:c>
      <x:c r="X536" s="20" t="str">
        <x:f>IF(J536="Рассчитано",V536-W536,"н/д")</x:f>
        <x:v>н/д</x:v>
      </x:c>
      <x:c r="Y536" s="26" t="str">
        <x:f>IF(J536="Рассчитано",IF(V536&gt;0,G536/V536,"н/д"),"н/д")</x:f>
        <x:v>н/д</x:v>
      </x:c>
      <x:c r="Z536" s="20" t="str">
        <x:f>"н/д"</x:f>
        <x:v>н/д</x:v>
      </x:c>
      <x:c r="AA536" s="20" t="str">
        <x:f>"н/д"</x:f>
        <x:v>н/д</x:v>
      </x:c>
      <x:c r="AB536" s="20" t="str">
        <x:f>"н/д"</x:f>
        <x:v>н/д</x:v>
      </x:c>
      <x:c r="AC536" s="20" t="str">
        <x:f>IF(AND(J536="Рассчитано",T536&gt;0,R536&lt;100),(W536+P536+Q536)/(T536*(1-R536/100)),"н/д")</x:f>
        <x:v>н/д</x:v>
      </x:c>
      <x:c r="AD536" s="11" t="str">
        <x:f>IF(ISNUMBER(G536),IF(G536&lt;0,"Убыток",IF(G536=0,"Без прибыли","Прибыль &gt; 0")),"Не оценён")</x:f>
        <x:v>Не оценён</x:v>
      </x:c>
      <x:c r="AE536" s="12" t="str">
        <x:f>IF(J536="Рассчитано","Выручка "&amp;TEXT(V536,"0.00")&amp;" - себестоимость "&amp;TEXT(W536,"0.00")&amp;" - комиссия "&amp;TEXT(V536*R536/100,"0.00")&amp;" - доставка "&amp;TEXT(P536,"0.00")&amp;" - прочие "&amp;TEXT(Q536,"0.00")&amp;" = "&amp;TEXT(G536,"0.00")&amp;" "&amp;L536,"Введите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6" s="23" t="n">
        <x:v>19.94042565748481</x:v>
      </x:c>
      <x:c r="AG536" s="35" t="n">
        <x:v>28</x:v>
      </x:c>
      <x:c r="AH536" s="35" t="n">
        <x:v>0</x:v>
      </x:c>
      <x:c r="AI536" s="29" t="n">
        <x:v>46266</x:v>
      </x:c>
      <x:c r="AJ536" s="35" t="n">
        <x:v>1</x:v>
      </x:c>
      <x:c r="AK536" s="11" t="str">
        <x:v>минимум</x:v>
      </x:c>
      <x:c r="AL536" s="31" t="n">
        <x:v>119.41053684929005</x:v>
      </x:c>
      <x:c r="AM536" s="12" t="str">
        <x:v>Остаток на начало сентября; Резервы неизвестны; Нет ежедневных данных доступности. Запас выше прогноза на 90 дней</x:v>
      </x:c>
      <x:c r="AN536" s="12" t="str">
        <x:v>Проверить свободный остаток и установить цену для B2B</x:v>
      </x:c>
      <x:c r="AO536" s="12" t="str">
        <x:v>Остаток 28; прогноз 90 дней 19.94; избыток 8 шт. Будущие поступления не выставляются на продажу. Остаток на начало сентября: требуется актуализация.</x:v>
      </x:c>
      <x:c r="AP536" s="12" t="str">
        <x:v>["category_missing", "daily_stockout_data_missing", "new_order_lead_time_unknown", "reservations_unknown", "stale_stock"]</x:v>
      </x:c>
      <x:c r="AQ536" s="11" t="str">
        <x:v>IEK:120100008_</x:v>
      </x:c>
      <x:c r="AR536" s="23" t="n">
        <x:v>1</x:v>
      </x:c>
      <x:c r="AS536" s="23" t="n">
        <x:v>0</x:v>
      </x:c>
      <x:c r="AT536" s="23" t="n">
        <x:v>0</x:v>
      </x:c>
    </x:row>
    <x:row r="537" ht="64" customHeight="1">
      <x:c r="A537" s="10" t="str">
        <x:v>IEK</x:v>
      </x:c>
      <x:c r="B537" s="34" t="str">
        <x:v>120100011_</x:v>
      </x:c>
      <x:c r="C537" s="34" t="str">
        <x:v>KKM31-040-230-11</x:v>
      </x:c>
      <x:c r="D537" s="13" t="str">
        <x:v>Контактор КМИ-34012 40А 230В (3вел) IEK (1/20)</x:v>
      </x:c>
      <x:c r="E537" s="10" t="str">
        <x:v>шт</x:v>
      </x:c>
      <x:c r="F537" s="37" t="n">
        <x:f>MAX(0,ROUNDDOWN((AG537-AF537)/AR537+0.000000001,0)*AR537)</x:f>
        <x:v>21</x:v>
      </x:c>
      <x:c r="G537" s="21" t="str">
        <x:f>IF(J537="Рассчитано",V537*(1-R537/100)-W537-P537-Q537,"н/д")</x:f>
        <x:v>н/д</x:v>
      </x:c>
      <x:c r="H537" s="13" t="str">
        <x:v>Высокий</x:v>
      </x:c>
      <x:c r="I537" s="13" t="str">
        <x:v>Средний</x:v>
      </x:c>
      <x:c r="J537" s="13" t="str">
        <x:f>IF(L537="","Укажите валюту",IF(NOT(ISNUMBER(K537)),"Укажите объём",IF(K537&lt;=0,"Укажите объём",IF(K537&gt;F537,"Объём выше излишка",IF(COUNT(M537:O537)&lt;3,"Нужны цены",IF(COUNT(P537:R537)&lt;3,"Нужны расходы",IF(OR(M537&lt;0,N537&lt;0,O537&lt;0,O537&gt;100,P537&lt;0,Q537&lt;0,R537&lt;0,R537&gt;100),"Проверьте значения","Рассчитано")))))))</x:f>
        <x:v>Нужны цены</x:v>
      </x:c>
      <x:c r="K537" s="36" t="n">
        <x:v>21</x:v>
      </x:c>
      <x:c r="L537" s="19" t="str">
        <x:v>KZT</x:v>
      </x:c>
      <x:c r="M537" s="22"/>
      <x:c r="N537" s="22"/>
      <x:c r="O537" s="28"/>
      <x:c r="P537" s="22"/>
      <x:c r="Q537" s="22"/>
      <x:c r="R537" s="28"/>
      <x:c r="S537" s="22"/>
      <x:c r="T537" s="37" t="n">
        <x:f>K537</x:f>
        <x:v>21</x:v>
      </x:c>
      <x:c r="U537" s="21" t="str">
        <x:f>IF(J537="Рассчитано",N537*(1-O537/100),"н/д")</x:f>
        <x:v>н/д</x:v>
      </x:c>
      <x:c r="V537" s="21" t="str">
        <x:f>IF(J537="Рассчитано",T537*U537,"н/д")</x:f>
        <x:v>н/д</x:v>
      </x:c>
      <x:c r="W537" s="21" t="str">
        <x:f>IF(J537="Рассчитано",T537*M537,"н/д")</x:f>
        <x:v>н/д</x:v>
      </x:c>
      <x:c r="X537" s="21" t="str">
        <x:f>IF(J537="Рассчитано",V537-W537,"н/д")</x:f>
        <x:v>н/д</x:v>
      </x:c>
      <x:c r="Y537" s="27" t="str">
        <x:f>IF(J537="Рассчитано",IF(V537&gt;0,G537/V537,"н/д"),"н/д")</x:f>
        <x:v>н/д</x:v>
      </x:c>
      <x:c r="Z537" s="21" t="str">
        <x:f>"н/д"</x:f>
        <x:v>н/д</x:v>
      </x:c>
      <x:c r="AA537" s="21" t="str">
        <x:f>"н/д"</x:f>
        <x:v>н/д</x:v>
      </x:c>
      <x:c r="AB537" s="21" t="str">
        <x:f>"н/д"</x:f>
        <x:v>н/д</x:v>
      </x:c>
      <x:c r="AC537" s="21" t="str">
        <x:f>IF(AND(J537="Рассчитано",T537&gt;0,R537&lt;100),(W537+P537+Q537)/(T537*(1-R537/100)),"н/д")</x:f>
        <x:v>н/д</x:v>
      </x:c>
      <x:c r="AD537" s="10" t="str">
        <x:f>IF(ISNUMBER(G537),IF(G537&lt;0,"Убыток",IF(G537=0,"Без прибыли","Прибыль &gt; 0")),"Не оценён")</x:f>
        <x:v>Не оценён</x:v>
      </x:c>
      <x:c r="AE537" s="13" t="str">
        <x:f>IF(J537="Рассчитано","Выручка "&amp;TEXT(V537,"0.00")&amp;" - себестоимость "&amp;TEXT(W537,"0.00")&amp;" - комиссия "&amp;TEXT(V537*R537/100,"0.00")&amp;" - доставка "&amp;TEXT(P537,"0.00")&amp;" - прочие "&amp;TEXT(Q537,"0.00")&amp;" = "&amp;TEXT(G537,"0.00")&amp;" "&amp;L537,"Введите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7" s="24" t="n">
        <x:v>92.3706052340378</x:v>
      </x:c>
      <x:c r="AG537" s="37" t="n">
        <x:v>114</x:v>
      </x:c>
      <x:c r="AH537" s="37" t="n">
        <x:v>0</x:v>
      </x:c>
      <x:c r="AI537" s="30" t="n">
        <x:v>46266</x:v>
      </x:c>
      <x:c r="AJ537" s="37" t="n">
        <x:v>1</x:v>
      </x:c>
      <x:c r="AK537" s="10" t="str">
        <x:v>минимум</x:v>
      </x:c>
      <x:c r="AL537" s="32" t="n">
        <x:v>104.95185193203007</x:v>
      </x:c>
      <x:c r="AM53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37" s="13" t="str">
        <x:v>Проверить свободный остаток и установить цену для B2B</x:v>
      </x:c>
      <x:c r="AO537" s="13" t="str">
        <x:v>Остаток 114; прогноз 90 дней 92.37; избыток 21 шт. Будущие поступления не выставляются на продажу. Остаток на начало сентября: требуется актуализация.</x:v>
      </x:c>
      <x:c r="AP537" s="13" t="str">
        <x:v>["category_missing", "daily_stockout_data_missing", "large_orders_detected", "new_order_lead_time_unknown", "reservations_unknown", "stale_stock", "transaction_month_mismatch"]</x:v>
      </x:c>
      <x:c r="AQ537" s="10" t="str">
        <x:v>IEK:120100011_</x:v>
      </x:c>
      <x:c r="AR537" s="24" t="n">
        <x:v>1</x:v>
      </x:c>
      <x:c r="AS537" s="24" t="n">
        <x:v>0</x:v>
      </x:c>
      <x:c r="AT537" s="24" t="n">
        <x:v>0</x:v>
      </x:c>
    </x:row>
    <x:row r="538" ht="64" customHeight="1">
      <x:c r="A538" s="11" t="str">
        <x:v>IEK</x:v>
      </x:c>
      <x:c r="B538" s="33" t="str">
        <x:v>120100013_</x:v>
      </x:c>
      <x:c r="C538" s="33" t="str">
        <x:v>KKM31-050-230-11</x:v>
      </x:c>
      <x:c r="D538" s="12" t="str">
        <x:v>Контактор КМИ-35012 50А 230В (3вел) IEK (1/20)</x:v>
      </x:c>
      <x:c r="E538" s="11" t="str">
        <x:v>шт</x:v>
      </x:c>
      <x:c r="F538" s="35" t="n">
        <x:f>MAX(0,ROUNDDOWN((AG538-AF538)/AR538+0.000000001,0)*AR538)</x:f>
        <x:v>29</x:v>
      </x:c>
      <x:c r="G538" s="20" t="str">
        <x:f>IF(J538="Рассчитано",V538*(1-R538/100)-W538-P538-Q538,"н/д")</x:f>
        <x:v>н/д</x:v>
      </x:c>
      <x:c r="H538" s="12" t="str">
        <x:v>Высокий</x:v>
      </x:c>
      <x:c r="I538" s="12" t="str">
        <x:v>Средний</x:v>
      </x:c>
      <x:c r="J538" s="12" t="str">
        <x:f>IF(L538="","Укажите валюту",IF(NOT(ISNUMBER(K538)),"Укажите объём",IF(K538&lt;=0,"Укажите объём",IF(K538&gt;F538,"Объём выше излишка",IF(COUNT(M538:O538)&lt;3,"Нужны цены",IF(COUNT(P538:R538)&lt;3,"Нужны расходы",IF(OR(M538&lt;0,N538&lt;0,O538&lt;0,O538&gt;100,P538&lt;0,Q538&lt;0,R538&lt;0,R538&gt;100),"Проверьте значения","Рассчитано")))))))</x:f>
        <x:v>Нужны цены</x:v>
      </x:c>
      <x:c r="K538" s="36" t="n">
        <x:v>29</x:v>
      </x:c>
      <x:c r="L538" s="19" t="str">
        <x:v>KZT</x:v>
      </x:c>
      <x:c r="M538" s="22"/>
      <x:c r="N538" s="22"/>
      <x:c r="O538" s="28"/>
      <x:c r="P538" s="22"/>
      <x:c r="Q538" s="22"/>
      <x:c r="R538" s="28"/>
      <x:c r="S538" s="22"/>
      <x:c r="T538" s="35" t="n">
        <x:f>K538</x:f>
        <x:v>29</x:v>
      </x:c>
      <x:c r="U538" s="20" t="str">
        <x:f>IF(J538="Рассчитано",N538*(1-O538/100),"н/д")</x:f>
        <x:v>н/д</x:v>
      </x:c>
      <x:c r="V538" s="20" t="str">
        <x:f>IF(J538="Рассчитано",T538*U538,"н/д")</x:f>
        <x:v>н/д</x:v>
      </x:c>
      <x:c r="W538" s="20" t="str">
        <x:f>IF(J538="Рассчитано",T538*M538,"н/д")</x:f>
        <x:v>н/д</x:v>
      </x:c>
      <x:c r="X538" s="20" t="str">
        <x:f>IF(J538="Рассчитано",V538-W538,"н/д")</x:f>
        <x:v>н/д</x:v>
      </x:c>
      <x:c r="Y538" s="26" t="str">
        <x:f>IF(J538="Рассчитано",IF(V538&gt;0,G538/V538,"н/д"),"н/д")</x:f>
        <x:v>н/д</x:v>
      </x:c>
      <x:c r="Z538" s="20" t="str">
        <x:f>"н/д"</x:f>
        <x:v>н/д</x:v>
      </x:c>
      <x:c r="AA538" s="20" t="str">
        <x:f>"н/д"</x:f>
        <x:v>н/д</x:v>
      </x:c>
      <x:c r="AB538" s="20" t="str">
        <x:f>"н/д"</x:f>
        <x:v>н/д</x:v>
      </x:c>
      <x:c r="AC538" s="20" t="str">
        <x:f>IF(AND(J538="Рассчитано",T538&gt;0,R538&lt;100),(W538+P538+Q538)/(T538*(1-R538/100)),"н/д")</x:f>
        <x:v>н/д</x:v>
      </x:c>
      <x:c r="AD538" s="11" t="str">
        <x:f>IF(ISNUMBER(G538),IF(G538&lt;0,"Убыток",IF(G538=0,"Без прибыли","Прибыль &gt; 0")),"Не оценён")</x:f>
        <x:v>Не оценён</x:v>
      </x:c>
      <x:c r="AE538" s="12" t="str">
        <x:f>IF(J538="Рассчитано","Выручка "&amp;TEXT(V538,"0.00")&amp;" - себестоимость "&amp;TEXT(W538,"0.00")&amp;" - комиссия "&amp;TEXT(V538*R538/100,"0.00")&amp;" - доставка "&amp;TEXT(P538,"0.00")&amp;" - прочие "&amp;TEXT(Q538,"0.00")&amp;" = "&amp;TEXT(G538,"0.00")&amp;" "&amp;L538,"Введите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8" s="23" t="n">
        <x:v>66.97529459979242</x:v>
      </x:c>
      <x:c r="AG538" s="35" t="n">
        <x:v>96</x:v>
      </x:c>
      <x:c r="AH538" s="35" t="n">
        <x:v>20</x:v>
      </x:c>
      <x:c r="AI538" s="29" t="n">
        <x:v>46266</x:v>
      </x:c>
      <x:c r="AJ538" s="35" t="n">
        <x:v>1</x:v>
      </x:c>
      <x:c r="AK538" s="11" t="str">
        <x:v>минимум</x:v>
      </x:c>
      <x:c r="AL538" s="31" t="n">
        <x:v>121.89212397070537</x:v>
      </x:c>
      <x:c r="AM538" s="12" t="str">
        <x:v>Остаток на начало сентября; Резервы неизвестны; Нет ежедневных данных доступности. Запас выше прогноза на 90 дней</x:v>
      </x:c>
      <x:c r="AN538" s="12" t="str">
        <x:v>Проверить свободный остаток и установить цену для B2B</x:v>
      </x:c>
      <x:c r="AO538" s="12" t="str">
        <x:v>Остаток 96; прогноз 90 дней 66.98; избыток 29 шт. Будущие поступления не выставляются на продажу. Остаток на начало сентября: требуется актуализация.</x:v>
      </x:c>
      <x:c r="AP538" s="12" t="str">
        <x:v>["category_missing", "daily_stockout_data_missing", "new_order_lead_time_unknown", "reservations_unknown", "stale_stock"]</x:v>
      </x:c>
      <x:c r="AQ538" s="11" t="str">
        <x:v>IEK:120100013_</x:v>
      </x:c>
      <x:c r="AR538" s="23" t="n">
        <x:v>1</x:v>
      </x:c>
      <x:c r="AS538" s="23" t="n">
        <x:v>0</x:v>
      </x:c>
      <x:c r="AT538" s="23" t="n">
        <x:v>0</x:v>
      </x:c>
    </x:row>
    <x:row r="539" ht="64" customHeight="1">
      <x:c r="A539" s="10" t="str">
        <x:v>IEK</x:v>
      </x:c>
      <x:c r="B539" s="34" t="str">
        <x:v>120100016_</x:v>
      </x:c>
      <x:c r="C539" s="34" t="str">
        <x:v>KKM41-095-230-11</x:v>
      </x:c>
      <x:c r="D539" s="13" t="str">
        <x:v>Контактор КМИ-49512 95А 230В (4вел) IEK (1/16)</x:v>
      </x:c>
      <x:c r="E539" s="10" t="str">
        <x:v>шт</x:v>
      </x:c>
      <x:c r="F539" s="37" t="n">
        <x:f>MAX(0,ROUNDDOWN((AG539-AF539)/AR539+0.000000001,0)*AR539)</x:f>
        <x:v>30</x:v>
      </x:c>
      <x:c r="G539" s="21" t="str">
        <x:f>IF(J539="Рассчитано",V539*(1-R539/100)-W539-P539-Q539,"н/д")</x:f>
        <x:v>н/д</x:v>
      </x:c>
      <x:c r="H539" s="13" t="str">
        <x:v>Высокий</x:v>
      </x:c>
      <x:c r="I539" s="13" t="str">
        <x:v>Средний</x:v>
      </x:c>
      <x:c r="J539" s="13" t="str">
        <x:f>IF(L539="","Укажите валюту",IF(NOT(ISNUMBER(K539)),"Укажите объём",IF(K539&lt;=0,"Укажите объём",IF(K539&gt;F539,"Объём выше излишка",IF(COUNT(M539:O539)&lt;3,"Нужны цены",IF(COUNT(P539:R539)&lt;3,"Нужны расходы",IF(OR(M539&lt;0,N539&lt;0,O539&lt;0,O539&gt;100,P539&lt;0,Q539&lt;0,R539&lt;0,R539&gt;100),"Проверьте значения","Рассчитано")))))))</x:f>
        <x:v>Нужны цены</x:v>
      </x:c>
      <x:c r="K539" s="36" t="n">
        <x:v>30</x:v>
      </x:c>
      <x:c r="L539" s="19" t="str">
        <x:v>KZT</x:v>
      </x:c>
      <x:c r="M539" s="22"/>
      <x:c r="N539" s="22"/>
      <x:c r="O539" s="28"/>
      <x:c r="P539" s="22"/>
      <x:c r="Q539" s="22"/>
      <x:c r="R539" s="28"/>
      <x:c r="S539" s="22"/>
      <x:c r="T539" s="37" t="n">
        <x:f>K539</x:f>
        <x:v>30</x:v>
      </x:c>
      <x:c r="U539" s="21" t="str">
        <x:f>IF(J539="Рассчитано",N539*(1-O539/100),"н/д")</x:f>
        <x:v>н/д</x:v>
      </x:c>
      <x:c r="V539" s="21" t="str">
        <x:f>IF(J539="Рассчитано",T539*U539,"н/д")</x:f>
        <x:v>н/д</x:v>
      </x:c>
      <x:c r="W539" s="21" t="str">
        <x:f>IF(J539="Рассчитано",T539*M539,"н/д")</x:f>
        <x:v>н/д</x:v>
      </x:c>
      <x:c r="X539" s="21" t="str">
        <x:f>IF(J539="Рассчитано",V539-W539,"н/д")</x:f>
        <x:v>н/д</x:v>
      </x:c>
      <x:c r="Y539" s="27" t="str">
        <x:f>IF(J539="Рассчитано",IF(V539&gt;0,G539/V539,"н/д"),"н/д")</x:f>
        <x:v>н/д</x:v>
      </x:c>
      <x:c r="Z539" s="21" t="str">
        <x:f>"н/д"</x:f>
        <x:v>н/д</x:v>
      </x:c>
      <x:c r="AA539" s="21" t="str">
        <x:f>"н/д"</x:f>
        <x:v>н/д</x:v>
      </x:c>
      <x:c r="AB539" s="21" t="str">
        <x:f>"н/д"</x:f>
        <x:v>н/д</x:v>
      </x:c>
      <x:c r="AC539" s="21" t="str">
        <x:f>IF(AND(J539="Рассчитано",T539&gt;0,R539&lt;100),(W539+P539+Q539)/(T539*(1-R539/100)),"н/д")</x:f>
        <x:v>н/д</x:v>
      </x:c>
      <x:c r="AD539" s="10" t="str">
        <x:f>IF(ISNUMBER(G539),IF(G539&lt;0,"Убыток",IF(G539=0,"Без прибыли","Прибыль &gt; 0")),"Не оценён")</x:f>
        <x:v>Не оценён</x:v>
      </x:c>
      <x:c r="AE539" s="13" t="str">
        <x:f>IF(J539="Рассчитано","Выручка "&amp;TEXT(V539,"0.00")&amp;" - себестоимость "&amp;TEXT(W539,"0.00")&amp;" - комиссия "&amp;TEXT(V539*R539/100,"0.00")&amp;" - доставка "&amp;TEXT(P539,"0.00")&amp;" - прочие "&amp;TEXT(Q539,"0.00")&amp;" = "&amp;TEXT(G539,"0.00")&amp;" "&amp;L539,"Введите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9" s="24" t="n">
        <x:v>61.97845922595941</x:v>
      </x:c>
      <x:c r="AG539" s="37" t="n">
        <x:v>92</x:v>
      </x:c>
      <x:c r="AH539" s="37" t="n">
        <x:v>20</x:v>
      </x:c>
      <x:c r="AI539" s="30" t="n">
        <x:v>46266</x:v>
      </x:c>
      <x:c r="AJ539" s="37" t="n">
        <x:v>1</x:v>
      </x:c>
      <x:c r="AK539" s="10" t="str">
        <x:v>минимум</x:v>
      </x:c>
      <x:c r="AL539" s="32" t="n">
        <x:v>126.23102131546689</x:v>
      </x:c>
      <x:c r="AM53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39" s="13" t="str">
        <x:v>Проверить свободный остаток и установить цену для B2B</x:v>
      </x:c>
      <x:c r="AO539" s="13" t="str">
        <x:v>Остаток 92; прогноз 90 дней 61.98; избыток 30 шт. Будущие поступления не выставляются на продажу. Остаток на начало сентября: требуется актуализация.</x:v>
      </x:c>
      <x:c r="AP539" s="13" t="str">
        <x:v>["category_missing", "daily_stockout_data_missing", "large_orders_detected", "new_order_lead_time_unknown", "reservations_unknown", "stale_stock", "transaction_month_mismatch"]</x:v>
      </x:c>
      <x:c r="AQ539" s="10" t="str">
        <x:v>IEK:120100016_</x:v>
      </x:c>
      <x:c r="AR539" s="24" t="n">
        <x:v>1</x:v>
      </x:c>
      <x:c r="AS539" s="24" t="n">
        <x:v>0</x:v>
      </x:c>
      <x:c r="AT539" s="24" t="n">
        <x:v>0</x:v>
      </x:c>
    </x:row>
    <x:row r="540" ht="64" customHeight="1">
      <x:c r="A540" s="11" t="str">
        <x:v>IEK</x:v>
      </x:c>
      <x:c r="B540" s="33" t="str">
        <x:v>120100030_</x:v>
      </x:c>
      <x:c r="C540" s="33" t="str">
        <x:v>KKM21-032-230-10</x:v>
      </x:c>
      <x:c r="D540" s="12" t="str">
        <x:v>Контактор КМИ-23210 32А 230В (2вел) IEK (1/50)</x:v>
      </x:c>
      <x:c r="E540" s="11" t="str">
        <x:v>шт</x:v>
      </x:c>
      <x:c r="F540" s="35" t="n">
        <x:f>MAX(0,ROUNDDOWN((AG540-AF540)/AR540+0.000000001,0)*AR540)</x:f>
        <x:v>61</x:v>
      </x:c>
      <x:c r="G540" s="20" t="str">
        <x:f>IF(J540="Рассчитано",V540*(1-R540/100)-W540-P540-Q540,"н/д")</x:f>
        <x:v>н/д</x:v>
      </x:c>
      <x:c r="H540" s="12" t="str">
        <x:v>Высокий</x:v>
      </x:c>
      <x:c r="I540" s="12" t="str">
        <x:v>Средний</x:v>
      </x:c>
      <x:c r="J540" s="12" t="str">
        <x:f>IF(L540="","Укажите валюту",IF(NOT(ISNUMBER(K540)),"Укажите объём",IF(K540&lt;=0,"Укажите объём",IF(K540&gt;F540,"Объём выше излишка",IF(COUNT(M540:O540)&lt;3,"Нужны цены",IF(COUNT(P540:R540)&lt;3,"Нужны расходы",IF(OR(M540&lt;0,N540&lt;0,O540&lt;0,O540&gt;100,P540&lt;0,Q540&lt;0,R540&lt;0,R540&gt;100),"Проверьте значения","Рассчитано")))))))</x:f>
        <x:v>Нужны цены</x:v>
      </x:c>
      <x:c r="K540" s="36" t="n">
        <x:v>61</x:v>
      </x:c>
      <x:c r="L540" s="19" t="str">
        <x:v>KZT</x:v>
      </x:c>
      <x:c r="M540" s="22"/>
      <x:c r="N540" s="22"/>
      <x:c r="O540" s="28"/>
      <x:c r="P540" s="22"/>
      <x:c r="Q540" s="22"/>
      <x:c r="R540" s="28"/>
      <x:c r="S540" s="22"/>
      <x:c r="T540" s="35" t="n">
        <x:f>K540</x:f>
        <x:v>61</x:v>
      </x:c>
      <x:c r="U540" s="20" t="str">
        <x:f>IF(J540="Рассчитано",N540*(1-O540/100),"н/д")</x:f>
        <x:v>н/д</x:v>
      </x:c>
      <x:c r="V540" s="20" t="str">
        <x:f>IF(J540="Рассчитано",T540*U540,"н/д")</x:f>
        <x:v>н/д</x:v>
      </x:c>
      <x:c r="W540" s="20" t="str">
        <x:f>IF(J540="Рассчитано",T540*M540,"н/д")</x:f>
        <x:v>н/д</x:v>
      </x:c>
      <x:c r="X540" s="20" t="str">
        <x:f>IF(J540="Рассчитано",V540-W540,"н/д")</x:f>
        <x:v>н/д</x:v>
      </x:c>
      <x:c r="Y540" s="26" t="str">
        <x:f>IF(J540="Рассчитано",IF(V540&gt;0,G540/V540,"н/д"),"н/д")</x:f>
        <x:v>н/д</x:v>
      </x:c>
      <x:c r="Z540" s="20" t="str">
        <x:f>"н/д"</x:f>
        <x:v>н/д</x:v>
      </x:c>
      <x:c r="AA540" s="20" t="str">
        <x:f>"н/д"</x:f>
        <x:v>н/д</x:v>
      </x:c>
      <x:c r="AB540" s="20" t="str">
        <x:f>"н/д"</x:f>
        <x:v>н/д</x:v>
      </x:c>
      <x:c r="AC540" s="20" t="str">
        <x:f>IF(AND(J540="Рассчитано",T540&gt;0,R540&lt;100),(W540+P540+Q540)/(T540*(1-R540/100)),"н/д")</x:f>
        <x:v>н/д</x:v>
      </x:c>
      <x:c r="AD540" s="11" t="str">
        <x:f>IF(ISNUMBER(G540),IF(G540&lt;0,"Убыток",IF(G540=0,"Без прибыли","Прибыль &gt; 0")),"Не оценён")</x:f>
        <x:v>Не оценён</x:v>
      </x:c>
      <x:c r="AE540" s="12" t="str">
        <x:f>IF(J540="Рассчитано","Выручка "&amp;TEXT(V540,"0.00")&amp;" - себестоимость "&amp;TEXT(W540,"0.00")&amp;" - комиссия "&amp;TEXT(V540*R540/100,"0.00")&amp;" - доставка "&amp;TEXT(P540,"0.00")&amp;" - прочие "&amp;TEXT(Q540,"0.00")&amp;" = "&amp;TEXT(G540,"0.00")&amp;" "&amp;L540,"Введите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0" s="23" t="n">
        <x:v>314.1879705775272</x:v>
      </x:c>
      <x:c r="AG540" s="35" t="n">
        <x:v>376</x:v>
      </x:c>
      <x:c r="AH540" s="35" t="n">
        <x:v>100</x:v>
      </x:c>
      <x:c r="AI540" s="29" t="n">
        <x:v>46266</x:v>
      </x:c>
      <x:c r="AJ540" s="35" t="n">
        <x:v>1</x:v>
      </x:c>
      <x:c r="AK540" s="11" t="str">
        <x:v>минимум</x:v>
      </x:c>
      <x:c r="AL540" s="31" t="n">
        <x:v>101.76942860413762</x:v>
      </x:c>
      <x:c r="AM54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40" s="12" t="str">
        <x:v>Проверить свободный остаток и установить цену для B2B</x:v>
      </x:c>
      <x:c r="AO540" s="12" t="str">
        <x:v>Остаток 376; прогноз 90 дней 314.19; избыток 61 шт. Будущие поступления не выставляются на продажу. Остаток на начало сентября: требуется актуализация.</x:v>
      </x:c>
      <x:c r="AP540" s="12" t="str">
        <x:v>["category_missing", "daily_stockout_data_missing", "large_orders_detected", "new_order_lead_time_unknown", "reservations_unknown", "stale_stock", "transaction_month_mismatch"]</x:v>
      </x:c>
      <x:c r="AQ540" s="11" t="str">
        <x:v>IEK:120100030_</x:v>
      </x:c>
      <x:c r="AR540" s="23" t="n">
        <x:v>1</x:v>
      </x:c>
      <x:c r="AS540" s="23" t="n">
        <x:v>0</x:v>
      </x:c>
      <x:c r="AT540" s="23" t="n">
        <x:v>0</x:v>
      </x:c>
    </x:row>
    <x:row r="541" ht="64" customHeight="1">
      <x:c r="A541" s="10" t="str">
        <x:v>IEK</x:v>
      </x:c>
      <x:c r="B541" s="34" t="str">
        <x:v>120100031_</x:v>
      </x:c>
      <x:c r="C541" s="34"/>
      <x:c r="D541" s="13" t="str">
        <x:v>Механизм блокировки для КМИ (40-95А) IEK</x:v>
      </x:c>
      <x:c r="E541" s="10" t="str">
        <x:v>шт</x:v>
      </x:c>
      <x:c r="F541" s="37" t="n">
        <x:f>MAX(0,ROUNDDOWN((AG541-AF541)/AR541+0.000000001,0)*AR541)</x:f>
        <x:v>1</x:v>
      </x:c>
      <x:c r="G541" s="21" t="str">
        <x:f>IF(J541="Рассчитано",V541*(1-R541/100)-W541-P541-Q541,"н/д")</x:f>
        <x:v>н/д</x:v>
      </x:c>
      <x:c r="H541" s="13" t="str">
        <x:v>Высокий</x:v>
      </x:c>
      <x:c r="I541" s="13" t="str">
        <x:v>Высокий</x:v>
      </x:c>
      <x:c r="J541" s="13" t="str">
        <x:f>IF(L541="","Укажите валюту",IF(NOT(ISNUMBER(K541)),"Укажите объём",IF(K541&lt;=0,"Укажите объём",IF(K541&gt;F541,"Объём выше излишка",IF(COUNT(M541:O541)&lt;3,"Нужны цены",IF(COUNT(P541:R541)&lt;3,"Нужны расходы",IF(OR(M541&lt;0,N541&lt;0,O541&lt;0,O541&gt;100,P541&lt;0,Q541&lt;0,R541&lt;0,R541&gt;100),"Проверьте значения","Рассчитано")))))))</x:f>
        <x:v>Нужны цены</x:v>
      </x:c>
      <x:c r="K541" s="36" t="n">
        <x:v>1</x:v>
      </x:c>
      <x:c r="L541" s="19" t="str">
        <x:v>KZT</x:v>
      </x:c>
      <x:c r="M541" s="22"/>
      <x:c r="N541" s="22"/>
      <x:c r="O541" s="28"/>
      <x:c r="P541" s="22"/>
      <x:c r="Q541" s="22"/>
      <x:c r="R541" s="28"/>
      <x:c r="S541" s="22"/>
      <x:c r="T541" s="37" t="n">
        <x:f>K541</x:f>
        <x:v>1</x:v>
      </x:c>
      <x:c r="U541" s="21" t="str">
        <x:f>IF(J541="Рассчитано",N541*(1-O541/100),"н/д")</x:f>
        <x:v>н/д</x:v>
      </x:c>
      <x:c r="V541" s="21" t="str">
        <x:f>IF(J541="Рассчитано",T541*U541,"н/д")</x:f>
        <x:v>н/д</x:v>
      </x:c>
      <x:c r="W541" s="21" t="str">
        <x:f>IF(J541="Рассчитано",T541*M541,"н/д")</x:f>
        <x:v>н/д</x:v>
      </x:c>
      <x:c r="X541" s="21" t="str">
        <x:f>IF(J541="Рассчитано",V541-W541,"н/д")</x:f>
        <x:v>н/д</x:v>
      </x:c>
      <x:c r="Y541" s="27" t="str">
        <x:f>IF(J541="Рассчитано",IF(V541&gt;0,G541/V541,"н/д"),"н/д")</x:f>
        <x:v>н/д</x:v>
      </x:c>
      <x:c r="Z541" s="21" t="str">
        <x:f>"н/д"</x:f>
        <x:v>н/д</x:v>
      </x:c>
      <x:c r="AA541" s="21" t="str">
        <x:f>"н/д"</x:f>
        <x:v>н/д</x:v>
      </x:c>
      <x:c r="AB541" s="21" t="str">
        <x:f>"н/д"</x:f>
        <x:v>н/д</x:v>
      </x:c>
      <x:c r="AC541" s="21" t="str">
        <x:f>IF(AND(J541="Рассчитано",T541&gt;0,R541&lt;100),(W541+P541+Q541)/(T541*(1-R541/100)),"н/д")</x:f>
        <x:v>н/д</x:v>
      </x:c>
      <x:c r="AD541" s="10" t="str">
        <x:f>IF(ISNUMBER(G541),IF(G541&lt;0,"Убыток",IF(G541=0,"Без прибыли","Прибыль &gt; 0")),"Не оценён")</x:f>
        <x:v>Не оценён</x:v>
      </x:c>
      <x:c r="AE541" s="13" t="str">
        <x:f>IF(J541="Рассчитано","Выручка "&amp;TEXT(V541,"0.00")&amp;" - себестоимость "&amp;TEXT(W541,"0.00")&amp;" - комиссия "&amp;TEXT(V541*R541/100,"0.00")&amp;" - доставка "&amp;TEXT(P541,"0.00")&amp;" - прочие "&amp;TEXT(Q541,"0.00")&amp;" = "&amp;TEXT(G541,"0.00")&amp;" "&amp;L541,"Введите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1" s="24" t="n">
        <x:v>1.319984562556025</x:v>
      </x:c>
      <x:c r="AG541" s="37" t="n">
        <x:v>3</x:v>
      </x:c>
      <x:c r="AH541" s="37" t="n">
        <x:v>0</x:v>
      </x:c>
      <x:c r="AI541" s="30" t="n">
        <x:v>46266</x:v>
      </x:c>
      <x:c r="AJ541" s="37"/>
      <x:c r="AK541" s="10" t="str">
        <x:v>неизвестно</x:v>
      </x:c>
      <x:c r="AL541" s="32" t="n">
        <x:v>193.27311526763324</x:v>
      </x:c>
      <x:c r="AM541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541" s="13" t="str">
        <x:v>Проверить свободный остаток и установить цену для B2B</x:v>
      </x:c>
      <x:c r="AO541" s="13" t="str">
        <x:v>Остаток 3; прогноз 90 дней 1.32; избыток 1 шт. Будущие поступления не выставляются на продажу. Остаток на начало сентября: требуется актуализация.</x:v>
      </x:c>
      <x:c r="AP541" s="13" t="str">
        <x:v>["category_missing", "daily_stockout_data_missing", "moq_missing", "new_order_lead_time_unknown", "reservations_unknown", "stale_stock", "supplier_sku_missing"]</x:v>
      </x:c>
      <x:c r="AQ541" s="10" t="str">
        <x:v>IEK:120100031_</x:v>
      </x:c>
      <x:c r="AR541" s="24" t="n">
        <x:v>1</x:v>
      </x:c>
      <x:c r="AS541" s="24" t="n">
        <x:v>0</x:v>
      </x:c>
      <x:c r="AT541" s="24" t="n">
        <x:v>0</x:v>
      </x:c>
    </x:row>
    <x:row r="542" ht="64" customHeight="1">
      <x:c r="A542" s="11" t="str">
        <x:v>IEK</x:v>
      </x:c>
      <x:c r="B542" s="33" t="str">
        <x:v>120100032_</x:v>
      </x:c>
      <x:c r="C542" s="33" t="str">
        <x:v>KKM11-009-400-10</x:v>
      </x:c>
      <x:c r="D542" s="12" t="str">
        <x:v>Контактор КМИ-10910  9А  400В (1вел) IEK (1/50)</x:v>
      </x:c>
      <x:c r="E542" s="11" t="str">
        <x:v>шт</x:v>
      </x:c>
      <x:c r="F542" s="35" t="n">
        <x:f>MAX(0,ROUNDDOWN((AG542-AF542)/AR542+0.000000001,0)*AR542)</x:f>
        <x:v>10</x:v>
      </x:c>
      <x:c r="G542" s="20" t="str">
        <x:f>IF(J542="Рассчитано",V542*(1-R542/100)-W542-P542-Q542,"н/д")</x:f>
        <x:v>н/д</x:v>
      </x:c>
      <x:c r="H542" s="12" t="str">
        <x:v>Высокий</x:v>
      </x:c>
      <x:c r="I542" s="12" t="str">
        <x:v>Средний</x:v>
      </x:c>
      <x:c r="J542" s="12" t="str">
        <x:f>IF(L542="","Укажите валюту",IF(NOT(ISNUMBER(K542)),"Укажите объём",IF(K542&lt;=0,"Укажите объём",IF(K542&gt;F542,"Объём выше излишка",IF(COUNT(M542:O542)&lt;3,"Нужны цены",IF(COUNT(P542:R542)&lt;3,"Нужны расходы",IF(OR(M542&lt;0,N542&lt;0,O542&lt;0,O542&gt;100,P542&lt;0,Q542&lt;0,R542&lt;0,R542&gt;100),"Проверьте значения","Рассчитано")))))))</x:f>
        <x:v>Нужны цены</x:v>
      </x:c>
      <x:c r="K542" s="36" t="n">
        <x:v>10</x:v>
      </x:c>
      <x:c r="L542" s="19" t="str">
        <x:v>KZT</x:v>
      </x:c>
      <x:c r="M542" s="22"/>
      <x:c r="N542" s="22"/>
      <x:c r="O542" s="28"/>
      <x:c r="P542" s="22"/>
      <x:c r="Q542" s="22"/>
      <x:c r="R542" s="28"/>
      <x:c r="S542" s="22"/>
      <x:c r="T542" s="35" t="n">
        <x:f>K542</x:f>
        <x:v>10</x:v>
      </x:c>
      <x:c r="U542" s="20" t="str">
        <x:f>IF(J542="Рассчитано",N542*(1-O542/100),"н/д")</x:f>
        <x:v>н/д</x:v>
      </x:c>
      <x:c r="V542" s="20" t="str">
        <x:f>IF(J542="Рассчитано",T542*U542,"н/д")</x:f>
        <x:v>н/д</x:v>
      </x:c>
      <x:c r="W542" s="20" t="str">
        <x:f>IF(J542="Рассчитано",T542*M542,"н/д")</x:f>
        <x:v>н/д</x:v>
      </x:c>
      <x:c r="X542" s="20" t="str">
        <x:f>IF(J542="Рассчитано",V542-W542,"н/д")</x:f>
        <x:v>н/д</x:v>
      </x:c>
      <x:c r="Y542" s="26" t="str">
        <x:f>IF(J542="Рассчитано",IF(V542&gt;0,G542/V542,"н/д"),"н/д")</x:f>
        <x:v>н/д</x:v>
      </x:c>
      <x:c r="Z542" s="20" t="str">
        <x:f>"н/д"</x:f>
        <x:v>н/д</x:v>
      </x:c>
      <x:c r="AA542" s="20" t="str">
        <x:f>"н/д"</x:f>
        <x:v>н/д</x:v>
      </x:c>
      <x:c r="AB542" s="20" t="str">
        <x:f>"н/д"</x:f>
        <x:v>н/д</x:v>
      </x:c>
      <x:c r="AC542" s="20" t="str">
        <x:f>IF(AND(J542="Рассчитано",T542&gt;0,R542&lt;100),(W542+P542+Q542)/(T542*(1-R542/100)),"н/д")</x:f>
        <x:v>н/д</x:v>
      </x:c>
      <x:c r="AD542" s="11" t="str">
        <x:f>IF(ISNUMBER(G542),IF(G542&lt;0,"Убыток",IF(G542=0,"Без прибыли","Прибыль &gt; 0")),"Не оценён")</x:f>
        <x:v>Не оценён</x:v>
      </x:c>
      <x:c r="AE542" s="12" t="str">
        <x:f>IF(J542="Рассчитано","Выручка "&amp;TEXT(V542,"0.00")&amp;" - себестоимость "&amp;TEXT(W542,"0.00")&amp;" - комиссия "&amp;TEXT(V542*R542/100,"0.00")&amp;" - доставка "&amp;TEXT(P542,"0.00")&amp;" - прочие "&amp;TEXT(Q542,"0.00")&amp;" = "&amp;TEXT(G542,"0.00")&amp;" "&amp;L542,"Введите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2" s="23" t="n">
        <x:v>19.495056918894438</x:v>
      </x:c>
      <x:c r="AG542" s="35" t="n">
        <x:v>30</x:v>
      </x:c>
      <x:c r="AH542" s="35" t="n">
        <x:v>0</x:v>
      </x:c>
      <x:c r="AI542" s="29" t="n">
        <x:v>46266</x:v>
      </x:c>
      <x:c r="AJ542" s="35" t="n">
        <x:v>1</x:v>
      </x:c>
      <x:c r="AK542" s="11" t="str">
        <x:v>минимум</x:v>
      </x:c>
      <x:c r="AL542" s="31" t="n">
        <x:v>130.8626743547129</x:v>
      </x:c>
      <x:c r="AM542" s="12" t="str">
        <x:v>Остаток на начало сентября; Резервы неизвестны; Нет ежедневных данных доступности. Запас выше прогноза на 90 дней</x:v>
      </x:c>
      <x:c r="AN542" s="12" t="str">
        <x:v>Проверить свободный остаток и установить цену для B2B</x:v>
      </x:c>
      <x:c r="AO542" s="12" t="str">
        <x:v>Остаток 30; прогноз 90 дней 19.50; избыток 10 шт. Будущие поступления не выставляются на продажу. Остаток на начало сентября: требуется актуализация.</x:v>
      </x:c>
      <x:c r="AP542" s="12" t="str">
        <x:v>["category_missing", "daily_stockout_data_missing", "new_order_lead_time_unknown", "reservations_unknown", "stale_stock"]</x:v>
      </x:c>
      <x:c r="AQ542" s="11" t="str">
        <x:v>IEK:120100032_</x:v>
      </x:c>
      <x:c r="AR542" s="23" t="n">
        <x:v>1</x:v>
      </x:c>
      <x:c r="AS542" s="23" t="n">
        <x:v>0</x:v>
      </x:c>
      <x:c r="AT542" s="23" t="n">
        <x:v>0</x:v>
      </x:c>
    </x:row>
    <x:row r="543" ht="64" customHeight="1">
      <x:c r="A543" s="10" t="str">
        <x:v>IEK</x:v>
      </x:c>
      <x:c r="B543" s="34" t="str">
        <x:v>120100033_</x:v>
      </x:c>
      <x:c r="C543" s="34" t="str">
        <x:v>KKM11-012-400-10</x:v>
      </x:c>
      <x:c r="D543" s="13" t="str">
        <x:v>Контактор КМИ-11210 12А 400В (1вел) IEK (1/50)</x:v>
      </x:c>
      <x:c r="E543" s="10" t="str">
        <x:v>шт</x:v>
      </x:c>
      <x:c r="F543" s="37" t="n">
        <x:f>MAX(0,ROUNDDOWN((AG543-AF543)/AR543+0.000000001,0)*AR543)</x:f>
        <x:v>29</x:v>
      </x:c>
      <x:c r="G543" s="21" t="str">
        <x:f>IF(J543="Рассчитано",V543*(1-R543/100)-W543-P543-Q543,"н/д")</x:f>
        <x:v>н/д</x:v>
      </x:c>
      <x:c r="H543" s="13" t="str">
        <x:v>Высокий</x:v>
      </x:c>
      <x:c r="I543" s="13" t="str">
        <x:v>Высокий</x:v>
      </x:c>
      <x:c r="J543" s="13" t="str">
        <x:f>IF(L543="","Укажите валюту",IF(NOT(ISNUMBER(K543)),"Укажите объём",IF(K543&lt;=0,"Укажите объём",IF(K543&gt;F543,"Объём выше излишка",IF(COUNT(M543:O543)&lt;3,"Нужны цены",IF(COUNT(P543:R543)&lt;3,"Нужны расходы",IF(OR(M543&lt;0,N543&lt;0,O543&lt;0,O543&gt;100,P543&lt;0,Q543&lt;0,R543&lt;0,R543&gt;100),"Проверьте значения","Рассчитано")))))))</x:f>
        <x:v>Нужны цены</x:v>
      </x:c>
      <x:c r="K543" s="36" t="n">
        <x:v>29</x:v>
      </x:c>
      <x:c r="L543" s="19" t="str">
        <x:v>KZT</x:v>
      </x:c>
      <x:c r="M543" s="22"/>
      <x:c r="N543" s="22"/>
      <x:c r="O543" s="28"/>
      <x:c r="P543" s="22"/>
      <x:c r="Q543" s="22"/>
      <x:c r="R543" s="28"/>
      <x:c r="S543" s="22"/>
      <x:c r="T543" s="37" t="n">
        <x:f>K543</x:f>
        <x:v>29</x:v>
      </x:c>
      <x:c r="U543" s="21" t="str">
        <x:f>IF(J543="Рассчитано",N543*(1-O543/100),"н/д")</x:f>
        <x:v>н/д</x:v>
      </x:c>
      <x:c r="V543" s="21" t="str">
        <x:f>IF(J543="Рассчитано",T543*U543,"н/д")</x:f>
        <x:v>н/д</x:v>
      </x:c>
      <x:c r="W543" s="21" t="str">
        <x:f>IF(J543="Рассчитано",T543*M543,"н/д")</x:f>
        <x:v>н/д</x:v>
      </x:c>
      <x:c r="X543" s="21" t="str">
        <x:f>IF(J543="Рассчитано",V543-W543,"н/д")</x:f>
        <x:v>н/д</x:v>
      </x:c>
      <x:c r="Y543" s="27" t="str">
        <x:f>IF(J543="Рассчитано",IF(V543&gt;0,G543/V543,"н/д"),"н/д")</x:f>
        <x:v>н/д</x:v>
      </x:c>
      <x:c r="Z543" s="21" t="str">
        <x:f>"н/д"</x:f>
        <x:v>н/д</x:v>
      </x:c>
      <x:c r="AA543" s="21" t="str">
        <x:f>"н/д"</x:f>
        <x:v>н/д</x:v>
      </x:c>
      <x:c r="AB543" s="21" t="str">
        <x:f>"н/д"</x:f>
        <x:v>н/д</x:v>
      </x:c>
      <x:c r="AC543" s="21" t="str">
        <x:f>IF(AND(J543="Рассчитано",T543&gt;0,R543&lt;100),(W543+P543+Q543)/(T543*(1-R543/100)),"н/д")</x:f>
        <x:v>н/д</x:v>
      </x:c>
      <x:c r="AD543" s="10" t="str">
        <x:f>IF(ISNUMBER(G543),IF(G543&lt;0,"Убыток",IF(G543=0,"Без прибыли","Прибыль &gt; 0")),"Не оценён")</x:f>
        <x:v>Не оценён</x:v>
      </x:c>
      <x:c r="AE543" s="13" t="str">
        <x:f>IF(J543="Рассчитано","Выручка "&amp;TEXT(V543,"0.00")&amp;" - себестоимость "&amp;TEXT(W543,"0.00")&amp;" - комиссия "&amp;TEXT(V543*R543/100,"0.00")&amp;" - доставка "&amp;TEXT(P543,"0.00")&amp;" - прочие "&amp;TEXT(Q543,"0.00")&amp;" = "&amp;TEXT(G543,"0.00")&amp;" "&amp;L543,"Введите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3" s="24" t="n">
        <x:v>18.84227466816563</x:v>
      </x:c>
      <x:c r="AG543" s="37" t="n">
        <x:v>48</x:v>
      </x:c>
      <x:c r="AH543" s="37" t="n">
        <x:v>20</x:v>
      </x:c>
      <x:c r="AI543" s="30" t="n">
        <x:v>46266</x:v>
      </x:c>
      <x:c r="AJ543" s="37" t="n">
        <x:v>1</x:v>
      </x:c>
      <x:c r="AK543" s="10" t="str">
        <x:v>минимум</x:v>
      </x:c>
      <x:c r="AL543" s="32" t="n">
        <x:v>216.6341658877631</x:v>
      </x:c>
      <x:c r="AM54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43" s="13" t="str">
        <x:v>Проверить свободный остаток и установить цену для B2B</x:v>
      </x:c>
      <x:c r="AO543" s="13" t="str">
        <x:v>Остаток 48; прогноз 90 дней 18.84; избыток 29 шт. Будущие поступления не выставляются на продажу. Остаток на начало сентября: требуется актуализация.</x:v>
      </x:c>
      <x:c r="AP543" s="13" t="str">
        <x:v>["category_missing", "daily_stockout_data_missing", "large_orders_detected", "new_order_lead_time_unknown", "reservations_unknown", "stale_stock"]</x:v>
      </x:c>
      <x:c r="AQ543" s="10" t="str">
        <x:v>IEK:120100033_</x:v>
      </x:c>
      <x:c r="AR543" s="24" t="n">
        <x:v>1</x:v>
      </x:c>
      <x:c r="AS543" s="24" t="n">
        <x:v>0</x:v>
      </x:c>
      <x:c r="AT543" s="24" t="n">
        <x:v>0</x:v>
      </x:c>
    </x:row>
    <x:row r="544" ht="64" customHeight="1">
      <x:c r="A544" s="11" t="str">
        <x:v>IEK</x:v>
      </x:c>
      <x:c r="B544" s="33" t="str">
        <x:v>120100035_</x:v>
      </x:c>
      <x:c r="C544" s="33" t="str">
        <x:v>KKM21-025-400-10</x:v>
      </x:c>
      <x:c r="D544" s="12" t="str">
        <x:v>Контактор КМИ-22510 25А 400В (2вел) IEK (1/50)</x:v>
      </x:c>
      <x:c r="E544" s="11" t="str">
        <x:v>шт</x:v>
      </x:c>
      <x:c r="F544" s="35" t="n">
        <x:f>MAX(0,ROUNDDOWN((AG544-AF544)/AR544+0.000000001,0)*AR544)</x:f>
        <x:v>43</x:v>
      </x:c>
      <x:c r="G544" s="20" t="str">
        <x:f>IF(J544="Рассчитано",V544*(1-R544/100)-W544-P544-Q544,"н/д")</x:f>
        <x:v>н/д</x:v>
      </x:c>
      <x:c r="H544" s="12" t="str">
        <x:v>Высокий</x:v>
      </x:c>
      <x:c r="I544" s="12" t="str">
        <x:v>Средний</x:v>
      </x:c>
      <x:c r="J544" s="12" t="str">
        <x:f>IF(L544="","Укажите валюту",IF(NOT(ISNUMBER(K544)),"Укажите объём",IF(K544&lt;=0,"Укажите объём",IF(K544&gt;F544,"Объём выше излишка",IF(COUNT(M544:O544)&lt;3,"Нужны цены",IF(COUNT(P544:R544)&lt;3,"Нужны расходы",IF(OR(M544&lt;0,N544&lt;0,O544&lt;0,O544&gt;100,P544&lt;0,Q544&lt;0,R544&lt;0,R544&gt;100),"Проверьте значения","Рассчитано")))))))</x:f>
        <x:v>Нужны цены</x:v>
      </x:c>
      <x:c r="K544" s="36" t="n">
        <x:v>43</x:v>
      </x:c>
      <x:c r="L544" s="19" t="str">
        <x:v>KZT</x:v>
      </x:c>
      <x:c r="M544" s="22"/>
      <x:c r="N544" s="22"/>
      <x:c r="O544" s="28"/>
      <x:c r="P544" s="22"/>
      <x:c r="Q544" s="22"/>
      <x:c r="R544" s="28"/>
      <x:c r="S544" s="22"/>
      <x:c r="T544" s="35" t="n">
        <x:f>K544</x:f>
        <x:v>43</x:v>
      </x:c>
      <x:c r="U544" s="20" t="str">
        <x:f>IF(J544="Рассчитано",N544*(1-O544/100),"н/д")</x:f>
        <x:v>н/д</x:v>
      </x:c>
      <x:c r="V544" s="20" t="str">
        <x:f>IF(J544="Рассчитано",T544*U544,"н/д")</x:f>
        <x:v>н/д</x:v>
      </x:c>
      <x:c r="W544" s="20" t="str">
        <x:f>IF(J544="Рассчитано",T544*M544,"н/д")</x:f>
        <x:v>н/д</x:v>
      </x:c>
      <x:c r="X544" s="20" t="str">
        <x:f>IF(J544="Рассчитано",V544-W544,"н/д")</x:f>
        <x:v>н/д</x:v>
      </x:c>
      <x:c r="Y544" s="26" t="str">
        <x:f>IF(J544="Рассчитано",IF(V544&gt;0,G544/V544,"н/д"),"н/д")</x:f>
        <x:v>н/д</x:v>
      </x:c>
      <x:c r="Z544" s="20" t="str">
        <x:f>"н/д"</x:f>
        <x:v>н/д</x:v>
      </x:c>
      <x:c r="AA544" s="20" t="str">
        <x:f>"н/д"</x:f>
        <x:v>н/д</x:v>
      </x:c>
      <x:c r="AB544" s="20" t="str">
        <x:f>"н/д"</x:f>
        <x:v>н/д</x:v>
      </x:c>
      <x:c r="AC544" s="20" t="str">
        <x:f>IF(AND(J544="Рассчитано",T544&gt;0,R544&lt;100),(W544+P544+Q544)/(T544*(1-R544/100)),"н/д")</x:f>
        <x:v>н/д</x:v>
      </x:c>
      <x:c r="AD544" s="11" t="str">
        <x:f>IF(ISNUMBER(G544),IF(G544&lt;0,"Убыток",IF(G544=0,"Без прибыли","Прибыль &gt; 0")),"Не оценён")</x:f>
        <x:v>Не оценён</x:v>
      </x:c>
      <x:c r="AE544" s="12" t="str">
        <x:f>IF(J544="Рассчитано","Выручка "&amp;TEXT(V544,"0.00")&amp;" - себестоимость "&amp;TEXT(W544,"0.00")&amp;" - комиссия "&amp;TEXT(V544*R544/100,"0.00")&amp;" - доставка "&amp;TEXT(P544,"0.00")&amp;" - прочие "&amp;TEXT(Q544,"0.00")&amp;" = "&amp;TEXT(G544,"0.00")&amp;" "&amp;L544,"Введите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4" s="23" t="n">
        <x:v>99.16896709748984</x:v>
      </x:c>
      <x:c r="AG544" s="35" t="n">
        <x:v>143</x:v>
      </x:c>
      <x:c r="AH544" s="35" t="n">
        <x:v>0</x:v>
      </x:c>
      <x:c r="AI544" s="29" t="n">
        <x:v>46266</x:v>
      </x:c>
      <x:c r="AJ544" s="35" t="n">
        <x:v>1</x:v>
      </x:c>
      <x:c r="AK544" s="11" t="str">
        <x:v>минимум</x:v>
      </x:c>
      <x:c r="AL544" s="31" t="n">
        <x:v>122.6250766570327</x:v>
      </x:c>
      <x:c r="AM54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44" s="12" t="str">
        <x:v>Проверить свободный остаток и установить цену для B2B</x:v>
      </x:c>
      <x:c r="AO544" s="12" t="str">
        <x:v>Остаток 143; прогноз 90 дней 99.17; избыток 43 шт. Будущие поступления не выставляются на продажу. Остаток на начало сентября: требуется актуализация.</x:v>
      </x:c>
      <x:c r="AP544" s="12" t="str">
        <x:v>["category_missing", "daily_stockout_data_missing", "large_orders_detected", "new_order_lead_time_unknown", "reservations_unknown", "stale_stock", "transaction_month_mismatch"]</x:v>
      </x:c>
      <x:c r="AQ544" s="11" t="str">
        <x:v>IEK:120100035_</x:v>
      </x:c>
      <x:c r="AR544" s="23" t="n">
        <x:v>1</x:v>
      </x:c>
      <x:c r="AS544" s="23" t="n">
        <x:v>0</x:v>
      </x:c>
      <x:c r="AT544" s="23" t="n">
        <x:v>0</x:v>
      </x:c>
    </x:row>
    <x:row r="545" ht="64" customHeight="1">
      <x:c r="A545" s="10" t="str">
        <x:v>IEK</x:v>
      </x:c>
      <x:c r="B545" s="34" t="str">
        <x:v>120100036_</x:v>
      </x:c>
      <x:c r="C545" s="34" t="str">
        <x:v>KKM21-032-400-10</x:v>
      </x:c>
      <x:c r="D545" s="13" t="str">
        <x:v>Контактор КМИ-23210 32А 400В (2вел) IEK (1/50)</x:v>
      </x:c>
      <x:c r="E545" s="10" t="str">
        <x:v>шт</x:v>
      </x:c>
      <x:c r="F545" s="37" t="n">
        <x:f>MAX(0,ROUNDDOWN((AG545-AF545)/AR545+0.000000001,0)*AR545)</x:f>
        <x:v>23</x:v>
      </x:c>
      <x:c r="G545" s="21" t="str">
        <x:f>IF(J545="Рассчитано",V545*(1-R545/100)-W545-P545-Q545,"н/д")</x:f>
        <x:v>н/д</x:v>
      </x:c>
      <x:c r="H545" s="13" t="str">
        <x:v>Высокий</x:v>
      </x:c>
      <x:c r="I545" s="13" t="str">
        <x:v>Средний</x:v>
      </x:c>
      <x:c r="J545" s="13" t="str">
        <x:f>IF(L545="","Укажите валюту",IF(NOT(ISNUMBER(K545)),"Укажите объём",IF(K545&lt;=0,"Укажите объём",IF(K545&gt;F545,"Объём выше излишка",IF(COUNT(M545:O545)&lt;3,"Нужны цены",IF(COUNT(P545:R545)&lt;3,"Нужны расходы",IF(OR(M545&lt;0,N545&lt;0,O545&lt;0,O545&gt;100,P545&lt;0,Q545&lt;0,R545&lt;0,R545&gt;100),"Проверьте значения","Рассчитано")))))))</x:f>
        <x:v>Нужны цены</x:v>
      </x:c>
      <x:c r="K545" s="36" t="n">
        <x:v>23</x:v>
      </x:c>
      <x:c r="L545" s="19" t="str">
        <x:v>KZT</x:v>
      </x:c>
      <x:c r="M545" s="22"/>
      <x:c r="N545" s="22"/>
      <x:c r="O545" s="28"/>
      <x:c r="P545" s="22"/>
      <x:c r="Q545" s="22"/>
      <x:c r="R545" s="28"/>
      <x:c r="S545" s="22"/>
      <x:c r="T545" s="37" t="n">
        <x:f>K545</x:f>
        <x:v>23</x:v>
      </x:c>
      <x:c r="U545" s="21" t="str">
        <x:f>IF(J545="Рассчитано",N545*(1-O545/100),"н/д")</x:f>
        <x:v>н/д</x:v>
      </x:c>
      <x:c r="V545" s="21" t="str">
        <x:f>IF(J545="Рассчитано",T545*U545,"н/д")</x:f>
        <x:v>н/д</x:v>
      </x:c>
      <x:c r="W545" s="21" t="str">
        <x:f>IF(J545="Рассчитано",T545*M545,"н/д")</x:f>
        <x:v>н/д</x:v>
      </x:c>
      <x:c r="X545" s="21" t="str">
        <x:f>IF(J545="Рассчитано",V545-W545,"н/д")</x:f>
        <x:v>н/д</x:v>
      </x:c>
      <x:c r="Y545" s="27" t="str">
        <x:f>IF(J545="Рассчитано",IF(V545&gt;0,G545/V545,"н/д"),"н/д")</x:f>
        <x:v>н/д</x:v>
      </x:c>
      <x:c r="Z545" s="21" t="str">
        <x:f>"н/д"</x:f>
        <x:v>н/д</x:v>
      </x:c>
      <x:c r="AA545" s="21" t="str">
        <x:f>"н/д"</x:f>
        <x:v>н/д</x:v>
      </x:c>
      <x:c r="AB545" s="21" t="str">
        <x:f>"н/д"</x:f>
        <x:v>н/д</x:v>
      </x:c>
      <x:c r="AC545" s="21" t="str">
        <x:f>IF(AND(J545="Рассчитано",T545&gt;0,R545&lt;100),(W545+P545+Q545)/(T545*(1-R545/100)),"н/д")</x:f>
        <x:v>н/д</x:v>
      </x:c>
      <x:c r="AD545" s="10" t="str">
        <x:f>IF(ISNUMBER(G545),IF(G545&lt;0,"Убыток",IF(G545=0,"Без прибыли","Прибыль &gt; 0")),"Не оценён")</x:f>
        <x:v>Не оценён</x:v>
      </x:c>
      <x:c r="AE545" s="13" t="str">
        <x:f>IF(J545="Рассчитано","Выручка "&amp;TEXT(V545,"0.00")&amp;" - себестоимость "&amp;TEXT(W545,"0.00")&amp;" - комиссия "&amp;TEXT(V545*R545/100,"0.00")&amp;" - доставка "&amp;TEXT(P545,"0.00")&amp;" - прочие "&amp;TEXT(Q545,"0.00")&amp;" = "&amp;TEXT(G545,"0.00")&amp;" "&amp;L545,"Введите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5" s="24" t="n">
        <x:v>79.12122717186233</x:v>
      </x:c>
      <x:c r="AG545" s="37" t="n">
        <x:v>103</x:v>
      </x:c>
      <x:c r="AH545" s="37" t="n">
        <x:v>0</x:v>
      </x:c>
      <x:c r="AI545" s="30" t="n">
        <x:v>46266</x:v>
      </x:c>
      <x:c r="AJ545" s="37" t="n">
        <x:v>1</x:v>
      </x:c>
      <x:c r="AK545" s="10" t="str">
        <x:v>минимум</x:v>
      </x:c>
      <x:c r="AL545" s="32" t="n">
        <x:v>110.70398499377997</x:v>
      </x:c>
      <x:c r="AM545" s="13" t="str">
        <x:v>Остаток на начало сентября; Резервы неизвестны; Нет ежедневных данных доступности. Запас выше прогноза на 90 дней</x:v>
      </x:c>
      <x:c r="AN545" s="13" t="str">
        <x:v>Проверить свободный остаток и установить цену для B2B</x:v>
      </x:c>
      <x:c r="AO545" s="13" t="str">
        <x:v>Остаток 103; прогноз 90 дней 79.12; избыток 23 шт. Будущие поступления не выставляются на продажу. Остаток на начало сентября: требуется актуализация.</x:v>
      </x:c>
      <x:c r="AP545" s="13" t="str">
        <x:v>["category_missing", "daily_stockout_data_missing", "new_order_lead_time_unknown", "reservations_unknown", "stale_stock"]</x:v>
      </x:c>
      <x:c r="AQ545" s="10" t="str">
        <x:v>IEK:120100036_</x:v>
      </x:c>
      <x:c r="AR545" s="24" t="n">
        <x:v>1</x:v>
      </x:c>
      <x:c r="AS545" s="24" t="n">
        <x:v>0</x:v>
      </x:c>
      <x:c r="AT545" s="24" t="n">
        <x:v>0</x:v>
      </x:c>
    </x:row>
    <x:row r="546" ht="64" customHeight="1">
      <x:c r="A546" s="11" t="str">
        <x:v>IEK</x:v>
      </x:c>
      <x:c r="B546" s="33" t="str">
        <x:v>120100042_</x:v>
      </x:c>
      <x:c r="C546" s="33" t="str">
        <x:v>KKM41-080-400-11</x:v>
      </x:c>
      <x:c r="D546" s="12" t="str">
        <x:v>Контактор КМИ-48012 80А 400В (4вел) IEK (1/16)</x:v>
      </x:c>
      <x:c r="E546" s="11" t="str">
        <x:v>шт</x:v>
      </x:c>
      <x:c r="F546" s="35" t="n">
        <x:f>MAX(0,ROUNDDOWN((AG546-AF546)/AR546+0.000000001,0)*AR546)</x:f>
        <x:v>9</x:v>
      </x:c>
      <x:c r="G546" s="20" t="str">
        <x:f>IF(J546="Рассчитано",V546*(1-R546/100)-W546-P546-Q546,"н/д")</x:f>
        <x:v>н/д</x:v>
      </x:c>
      <x:c r="H546" s="12" t="str">
        <x:v>Высокий</x:v>
      </x:c>
      <x:c r="I546" s="12" t="str">
        <x:v>Средний</x:v>
      </x:c>
      <x:c r="J546" s="12" t="str">
        <x:f>IF(L546="","Укажите валюту",IF(NOT(ISNUMBER(K546)),"Укажите объём",IF(K546&lt;=0,"Укажите объём",IF(K546&gt;F546,"Объём выше излишка",IF(COUNT(M546:O546)&lt;3,"Нужны цены",IF(COUNT(P546:R546)&lt;3,"Нужны расходы",IF(OR(M546&lt;0,N546&lt;0,O546&lt;0,O546&gt;100,P546&lt;0,Q546&lt;0,R546&lt;0,R546&gt;100),"Проверьте значения","Рассчитано")))))))</x:f>
        <x:v>Нужны цены</x:v>
      </x:c>
      <x:c r="K546" s="36" t="n">
        <x:v>9</x:v>
      </x:c>
      <x:c r="L546" s="19" t="str">
        <x:v>KZT</x:v>
      </x:c>
      <x:c r="M546" s="22"/>
      <x:c r="N546" s="22"/>
      <x:c r="O546" s="28"/>
      <x:c r="P546" s="22"/>
      <x:c r="Q546" s="22"/>
      <x:c r="R546" s="28"/>
      <x:c r="S546" s="22"/>
      <x:c r="T546" s="35" t="n">
        <x:f>K546</x:f>
        <x:v>9</x:v>
      </x:c>
      <x:c r="U546" s="20" t="str">
        <x:f>IF(J546="Рассчитано",N546*(1-O546/100),"н/д")</x:f>
        <x:v>н/д</x:v>
      </x:c>
      <x:c r="V546" s="20" t="str">
        <x:f>IF(J546="Рассчитано",T546*U546,"н/д")</x:f>
        <x:v>н/д</x:v>
      </x:c>
      <x:c r="W546" s="20" t="str">
        <x:f>IF(J546="Рассчитано",T546*M546,"н/д")</x:f>
        <x:v>н/д</x:v>
      </x:c>
      <x:c r="X546" s="20" t="str">
        <x:f>IF(J546="Рассчитано",V546-W546,"н/д")</x:f>
        <x:v>н/д</x:v>
      </x:c>
      <x:c r="Y546" s="26" t="str">
        <x:f>IF(J546="Рассчитано",IF(V546&gt;0,G546/V546,"н/д"),"н/д")</x:f>
        <x:v>н/д</x:v>
      </x:c>
      <x:c r="Z546" s="20" t="str">
        <x:f>"н/д"</x:f>
        <x:v>н/д</x:v>
      </x:c>
      <x:c r="AA546" s="20" t="str">
        <x:f>"н/д"</x:f>
        <x:v>н/д</x:v>
      </x:c>
      <x:c r="AB546" s="20" t="str">
        <x:f>"н/д"</x:f>
        <x:v>н/д</x:v>
      </x:c>
      <x:c r="AC546" s="20" t="str">
        <x:f>IF(AND(J546="Рассчитано",T546&gt;0,R546&lt;100),(W546+P546+Q546)/(T546*(1-R546/100)),"н/д")</x:f>
        <x:v>н/д</x:v>
      </x:c>
      <x:c r="AD546" s="11" t="str">
        <x:f>IF(ISNUMBER(G546),IF(G546&lt;0,"Убыток",IF(G546=0,"Без прибыли","Прибыль &gt; 0")),"Не оценён")</x:f>
        <x:v>Не оценён</x:v>
      </x:c>
      <x:c r="AE546" s="12" t="str">
        <x:f>IF(J546="Рассчитано","Выручка "&amp;TEXT(V546,"0.00")&amp;" - себестоимость "&amp;TEXT(W546,"0.00")&amp;" - комиссия "&amp;TEXT(V546*R546/100,"0.00")&amp;" - доставка "&amp;TEXT(P546,"0.00")&amp;" - прочие "&amp;TEXT(Q546,"0.00")&amp;" = "&amp;TEXT(G546,"0.00")&amp;" "&amp;L546,"Введите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6" s="23" t="n">
        <x:v>20.520679624215187</x:v>
      </x:c>
      <x:c r="AG546" s="35" t="n">
        <x:v>30</x:v>
      </x:c>
      <x:c r="AH546" s="35" t="n">
        <x:v>0</x:v>
      </x:c>
      <x:c r="AI546" s="29" t="n">
        <x:v>46266</x:v>
      </x:c>
      <x:c r="AJ546" s="35" t="n">
        <x:v>1</x:v>
      </x:c>
      <x:c r="AK546" s="11" t="str">
        <x:v>минимум</x:v>
      </x:c>
      <x:c r="AL546" s="31" t="n">
        <x:v>124.32216338943206</x:v>
      </x:c>
      <x:c r="AM546" s="12" t="str">
        <x:v>Остаток на начало сентября; Резервы неизвестны; Нет ежедневных данных доступности. Запас выше прогноза на 90 дней</x:v>
      </x:c>
      <x:c r="AN546" s="12" t="str">
        <x:v>Проверить свободный остаток и установить цену для B2B</x:v>
      </x:c>
      <x:c r="AO546" s="12" t="str">
        <x:v>Остаток 30; прогноз 90 дней 20.52; избыток 9 шт. Будущие поступления не выставляются на продажу. Остаток на начало сентября: требуется актуализация.</x:v>
      </x:c>
      <x:c r="AP546" s="12" t="str">
        <x:v>["category_missing", "daily_stockout_data_missing", "large_orders_detected", "new_order_lead_time_unknown", "reservations_unknown", "stale_stock"]</x:v>
      </x:c>
      <x:c r="AQ546" s="11" t="str">
        <x:v>IEK:120100042_</x:v>
      </x:c>
      <x:c r="AR546" s="23" t="n">
        <x:v>1</x:v>
      </x:c>
      <x:c r="AS546" s="23" t="n">
        <x:v>0</x:v>
      </x:c>
      <x:c r="AT546" s="23" t="n">
        <x:v>0</x:v>
      </x:c>
    </x:row>
    <x:row r="547" ht="64" customHeight="1">
      <x:c r="A547" s="10" t="str">
        <x:v>IEK</x:v>
      </x:c>
      <x:c r="B547" s="34" t="str">
        <x:v>120100043_</x:v>
      </x:c>
      <x:c r="C547" s="34" t="str">
        <x:v>KKT50-150-230-10</x:v>
      </x:c>
      <x:c r="D547" s="13" t="str">
        <x:v>Контактор  КТИ 5150  150А 230В IEK (1/4)</x:v>
      </x:c>
      <x:c r="E547" s="10" t="str">
        <x:v>шт</x:v>
      </x:c>
      <x:c r="F547" s="37" t="n">
        <x:f>MAX(0,ROUNDDOWN((AG547-AF547)/AR547+0.000000001,0)*AR547)</x:f>
        <x:v>14</x:v>
      </x:c>
      <x:c r="G547" s="21" t="str">
        <x:f>IF(J547="Рассчитано",V547*(1-R547/100)-W547-P547-Q547,"н/д")</x:f>
        <x:v>н/д</x:v>
      </x:c>
      <x:c r="H547" s="13" t="str">
        <x:v>Высокий</x:v>
      </x:c>
      <x:c r="I547" s="13" t="str">
        <x:v>Средний</x:v>
      </x:c>
      <x:c r="J547" s="13" t="str">
        <x:f>IF(L547="","Укажите валюту",IF(NOT(ISNUMBER(K547)),"Укажите объём",IF(K547&lt;=0,"Укажите объём",IF(K547&gt;F547,"Объём выше излишка",IF(COUNT(M547:O547)&lt;3,"Нужны цены",IF(COUNT(P547:R547)&lt;3,"Нужны расходы",IF(OR(M547&lt;0,N547&lt;0,O547&lt;0,O547&gt;100,P547&lt;0,Q547&lt;0,R547&lt;0,R547&gt;100),"Проверьте значения","Рассчитано")))))))</x:f>
        <x:v>Нужны цены</x:v>
      </x:c>
      <x:c r="K547" s="36" t="n">
        <x:v>14</x:v>
      </x:c>
      <x:c r="L547" s="19" t="str">
        <x:v>KZT</x:v>
      </x:c>
      <x:c r="M547" s="22"/>
      <x:c r="N547" s="22"/>
      <x:c r="O547" s="28"/>
      <x:c r="P547" s="22"/>
      <x:c r="Q547" s="22"/>
      <x:c r="R547" s="28"/>
      <x:c r="S547" s="22"/>
      <x:c r="T547" s="37" t="n">
        <x:f>K547</x:f>
        <x:v>14</x:v>
      </x:c>
      <x:c r="U547" s="21" t="str">
        <x:f>IF(J547="Рассчитано",N547*(1-O547/100),"н/д")</x:f>
        <x:v>н/д</x:v>
      </x:c>
      <x:c r="V547" s="21" t="str">
        <x:f>IF(J547="Рассчитано",T547*U547,"н/д")</x:f>
        <x:v>н/д</x:v>
      </x:c>
      <x:c r="W547" s="21" t="str">
        <x:f>IF(J547="Рассчитано",T547*M547,"н/д")</x:f>
        <x:v>н/д</x:v>
      </x:c>
      <x:c r="X547" s="21" t="str">
        <x:f>IF(J547="Рассчитано",V547-W547,"н/д")</x:f>
        <x:v>н/д</x:v>
      </x:c>
      <x:c r="Y547" s="27" t="str">
        <x:f>IF(J547="Рассчитано",IF(V547&gt;0,G547/V547,"н/д"),"н/д")</x:f>
        <x:v>н/д</x:v>
      </x:c>
      <x:c r="Z547" s="21" t="str">
        <x:f>"н/д"</x:f>
        <x:v>н/д</x:v>
      </x:c>
      <x:c r="AA547" s="21" t="str">
        <x:f>"н/д"</x:f>
        <x:v>н/д</x:v>
      </x:c>
      <x:c r="AB547" s="21" t="str">
        <x:f>"н/д"</x:f>
        <x:v>н/д</x:v>
      </x:c>
      <x:c r="AC547" s="21" t="str">
        <x:f>IF(AND(J547="Рассчитано",T547&gt;0,R547&lt;100),(W547+P547+Q547)/(T547*(1-R547/100)),"н/д")</x:f>
        <x:v>н/д</x:v>
      </x:c>
      <x:c r="AD547" s="10" t="str">
        <x:f>IF(ISNUMBER(G547),IF(G547&lt;0,"Убыток",IF(G547=0,"Без прибыли","Прибыль &gt; 0")),"Не оценён")</x:f>
        <x:v>Не оценён</x:v>
      </x:c>
      <x:c r="AE547" s="13" t="str">
        <x:f>IF(J547="Рассчитано","Выручка "&amp;TEXT(V547,"0.00")&amp;" - себестоимость "&amp;TEXT(W547,"0.00")&amp;" - комиссия "&amp;TEXT(V547*R547/100,"0.00")&amp;" - доставка "&amp;TEXT(P547,"0.00")&amp;" - прочие "&amp;TEXT(Q547,"0.00")&amp;" = "&amp;TEXT(G547,"0.00")&amp;" "&amp;L547,"Введите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7" s="24" t="n">
        <x:v>13.60275736695781</x:v>
      </x:c>
      <x:c r="AG547" s="37" t="n">
        <x:v>28</x:v>
      </x:c>
      <x:c r="AH547" s="37" t="n">
        <x:v>4</x:v>
      </x:c>
      <x:c r="AI547" s="30" t="n">
        <x:v>46266</x:v>
      </x:c>
      <x:c r="AJ547" s="37" t="n">
        <x:v>1</x:v>
      </x:c>
      <x:c r="AK547" s="10" t="str">
        <x:v>минимум</x:v>
      </x:c>
      <x:c r="AL547" s="32" t="n">
        <x:v>175.04516683856258</x:v>
      </x:c>
      <x:c r="AM547" s="13" t="str">
        <x:v>Остаток на начало сентября; Резервы неизвестны; Нет ежедневных данных доступности. Запас выше прогноза на 90 дней</x:v>
      </x:c>
      <x:c r="AN547" s="13" t="str">
        <x:v>Проверить свободный остаток и установить цену для B2B</x:v>
      </x:c>
      <x:c r="AO547" s="13" t="str">
        <x:v>Остаток 28; прогноз 90 дней 13.60; избыток 14 шт. Будущие поступления не выставляются на продажу. Остаток на начало сентября: требуется актуализация.</x:v>
      </x:c>
      <x:c r="AP547" s="13" t="str">
        <x:v>["category_missing", "daily_stockout_data_missing", "large_orders_detected", "new_order_lead_time_unknown", "reservations_unknown", "stale_stock"]</x:v>
      </x:c>
      <x:c r="AQ547" s="10" t="str">
        <x:v>IEK:120100043_</x:v>
      </x:c>
      <x:c r="AR547" s="24" t="n">
        <x:v>1</x:v>
      </x:c>
      <x:c r="AS547" s="24" t="n">
        <x:v>0</x:v>
      </x:c>
      <x:c r="AT547" s="24" t="n">
        <x:v>0</x:v>
      </x:c>
    </x:row>
    <x:row r="548" ht="64" customHeight="1">
      <x:c r="A548" s="11" t="str">
        <x:v>IEK</x:v>
      </x:c>
      <x:c r="B548" s="33" t="str">
        <x:v>120100058_</x:v>
      </x:c>
      <x:c r="C548" s="33" t="str">
        <x:v>KKM26-025-220-00</x:v>
      </x:c>
      <x:c r="D548" s="12" t="str">
        <x:v>Контактор  КМИ-22560 25А 220В  IP54 (2вел в корпусе) IEK (1/16)</x:v>
      </x:c>
      <x:c r="E548" s="11" t="str">
        <x:v>шт</x:v>
      </x:c>
      <x:c r="F548" s="35" t="n">
        <x:f>MAX(0,ROUNDDOWN((AG548-AF548)/AR548+0.000000001,0)*AR548)</x:f>
        <x:v>13</x:v>
      </x:c>
      <x:c r="G548" s="20" t="str">
        <x:f>IF(J548="Рассчитано",V548*(1-R548/100)-W548-P548-Q548,"н/д")</x:f>
        <x:v>н/д</x:v>
      </x:c>
      <x:c r="H548" s="12" t="str">
        <x:v>Высокий</x:v>
      </x:c>
      <x:c r="I548" s="12" t="str">
        <x:v>Средний</x:v>
      </x:c>
      <x:c r="J548" s="12" t="str">
        <x:f>IF(L548="","Укажите валюту",IF(NOT(ISNUMBER(K548)),"Укажите объём",IF(K548&lt;=0,"Укажите объём",IF(K548&gt;F548,"Объём выше излишка",IF(COUNT(M548:O548)&lt;3,"Нужны цены",IF(COUNT(P548:R548)&lt;3,"Нужны расходы",IF(OR(M548&lt;0,N548&lt;0,O548&lt;0,O548&gt;100,P548&lt;0,Q548&lt;0,R548&lt;0,R548&gt;100),"Проверьте значения","Рассчитано")))))))</x:f>
        <x:v>Нужны цены</x:v>
      </x:c>
      <x:c r="K548" s="36" t="n">
        <x:v>13</x:v>
      </x:c>
      <x:c r="L548" s="19" t="str">
        <x:v>KZT</x:v>
      </x:c>
      <x:c r="M548" s="22"/>
      <x:c r="N548" s="22"/>
      <x:c r="O548" s="28"/>
      <x:c r="P548" s="22"/>
      <x:c r="Q548" s="22"/>
      <x:c r="R548" s="28"/>
      <x:c r="S548" s="22"/>
      <x:c r="T548" s="35" t="n">
        <x:f>K548</x:f>
        <x:v>13</x:v>
      </x:c>
      <x:c r="U548" s="20" t="str">
        <x:f>IF(J548="Рассчитано",N548*(1-O548/100),"н/д")</x:f>
        <x:v>н/д</x:v>
      </x:c>
      <x:c r="V548" s="20" t="str">
        <x:f>IF(J548="Рассчитано",T548*U548,"н/д")</x:f>
        <x:v>н/д</x:v>
      </x:c>
      <x:c r="W548" s="20" t="str">
        <x:f>IF(J548="Рассчитано",T548*M548,"н/д")</x:f>
        <x:v>н/д</x:v>
      </x:c>
      <x:c r="X548" s="20" t="str">
        <x:f>IF(J548="Рассчитано",V548-W548,"н/д")</x:f>
        <x:v>н/д</x:v>
      </x:c>
      <x:c r="Y548" s="26" t="str">
        <x:f>IF(J548="Рассчитано",IF(V548&gt;0,G548/V548,"н/д"),"н/д")</x:f>
        <x:v>н/д</x:v>
      </x:c>
      <x:c r="Z548" s="20" t="str">
        <x:f>"н/д"</x:f>
        <x:v>н/д</x:v>
      </x:c>
      <x:c r="AA548" s="20" t="str">
        <x:f>"н/д"</x:f>
        <x:v>н/д</x:v>
      </x:c>
      <x:c r="AB548" s="20" t="str">
        <x:f>"н/д"</x:f>
        <x:v>н/д</x:v>
      </x:c>
      <x:c r="AC548" s="20" t="str">
        <x:f>IF(AND(J548="Рассчитано",T548&gt;0,R548&lt;100),(W548+P548+Q548)/(T548*(1-R548/100)),"н/д")</x:f>
        <x:v>н/д</x:v>
      </x:c>
      <x:c r="AD548" s="11" t="str">
        <x:f>IF(ISNUMBER(G548),IF(G548&lt;0,"Убыток",IF(G548=0,"Без прибыли","Прибыль &gt; 0")),"Не оценён")</x:f>
        <x:v>Не оценён</x:v>
      </x:c>
      <x:c r="AE548" s="12" t="str">
        <x:f>IF(J548="Рассчитано","Выручка "&amp;TEXT(V548,"0.00")&amp;" - себестоимость "&amp;TEXT(W548,"0.00")&amp;" - комиссия "&amp;TEXT(V548*R548/100,"0.00")&amp;" - доставка "&amp;TEXT(P548,"0.00")&amp;" - прочие "&amp;TEXT(Q548,"0.00")&amp;" = "&amp;TEXT(G548,"0.00")&amp;" "&amp;L548,"Введите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8" s="23" t="n">
        <x:v>25.16716670661069</x:v>
      </x:c>
      <x:c r="AG548" s="35" t="n">
        <x:v>39</x:v>
      </x:c>
      <x:c r="AH548" s="35" t="n">
        <x:v>0</x:v>
      </x:c>
      <x:c r="AI548" s="29" t="n">
        <x:v>46266</x:v>
      </x:c>
      <x:c r="AJ548" s="35" t="n">
        <x:v>1</x:v>
      </x:c>
      <x:c r="AK548" s="11" t="str">
        <x:v>минимум</x:v>
      </x:c>
      <x:c r="AL548" s="31" t="n">
        <x:v>131.77994604231222</x:v>
      </x:c>
      <x:c r="AM548" s="12" t="str">
        <x:v>Остаток на начало сентября; Резервы неизвестны; Нет ежедневных данных доступности. Запас выше прогноза на 90 дней</x:v>
      </x:c>
      <x:c r="AN548" s="12" t="str">
        <x:v>Проверить свободный остаток и установить цену для B2B</x:v>
      </x:c>
      <x:c r="AO548" s="12" t="str">
        <x:v>Остаток 39; прогноз 90 дней 25.17; избыток 13 шт. Будущие поступления не выставляются на продажу. Остаток на начало сентября: требуется актуализация.</x:v>
      </x:c>
      <x:c r="AP548" s="12" t="str">
        <x:v>["category_missing", "daily_stockout_data_missing", "new_order_lead_time_unknown", "reservations_unknown", "stale_stock"]</x:v>
      </x:c>
      <x:c r="AQ548" s="11" t="str">
        <x:v>IEK:120100058_</x:v>
      </x:c>
      <x:c r="AR548" s="23" t="n">
        <x:v>1</x:v>
      </x:c>
      <x:c r="AS548" s="23" t="n">
        <x:v>0</x:v>
      </x:c>
      <x:c r="AT548" s="23" t="n">
        <x:v>0</x:v>
      </x:c>
    </x:row>
    <x:row r="549" ht="64" customHeight="1">
      <x:c r="A549" s="10" t="str">
        <x:v>IEK</x:v>
      </x:c>
      <x:c r="B549" s="34" t="str">
        <x:v>120100060_</x:v>
      </x:c>
      <x:c r="C549" s="34" t="str">
        <x:v>KKM36-050-220-00</x:v>
      </x:c>
      <x:c r="D549" s="13" t="str">
        <x:v>Контактор  КМИ-35062 50А 220В  IP54 (3вел в корпусе) IEK (1/6)</x:v>
      </x:c>
      <x:c r="E549" s="10" t="str">
        <x:v>шт</x:v>
      </x:c>
      <x:c r="F549" s="37" t="n">
        <x:f>MAX(0,ROUNDDOWN((AG549-AF549)/AR549+0.000000001,0)*AR549)</x:f>
        <x:v>2</x:v>
      </x:c>
      <x:c r="G549" s="21" t="str">
        <x:f>IF(J549="Рассчитано",V549*(1-R549/100)-W549-P549-Q549,"н/д")</x:f>
        <x:v>н/д</x:v>
      </x:c>
      <x:c r="H549" s="13" t="str">
        <x:v>Высокий</x:v>
      </x:c>
      <x:c r="I549" s="13" t="str">
        <x:v>Высокий</x:v>
      </x:c>
      <x:c r="J549" s="13" t="str">
        <x:f>IF(L549="","Укажите валюту",IF(NOT(ISNUMBER(K549)),"Укажите объём",IF(K549&lt;=0,"Укажите объём",IF(K549&gt;F549,"Объём выше излишка",IF(COUNT(M549:O549)&lt;3,"Нужны цены",IF(COUNT(P549:R549)&lt;3,"Нужны расходы",IF(OR(M549&lt;0,N549&lt;0,O549&lt;0,O549&gt;100,P549&lt;0,Q549&lt;0,R549&lt;0,R549&gt;100),"Проверьте значения","Рассчитано")))))))</x:f>
        <x:v>Нужны цены</x:v>
      </x:c>
      <x:c r="K549" s="36" t="n">
        <x:v>2</x:v>
      </x:c>
      <x:c r="L549" s="19" t="str">
        <x:v>KZT</x:v>
      </x:c>
      <x:c r="M549" s="22"/>
      <x:c r="N549" s="22"/>
      <x:c r="O549" s="28"/>
      <x:c r="P549" s="22"/>
      <x:c r="Q549" s="22"/>
      <x:c r="R549" s="28"/>
      <x:c r="S549" s="22"/>
      <x:c r="T549" s="37" t="n">
        <x:f>K549</x:f>
        <x:v>2</x:v>
      </x:c>
      <x:c r="U549" s="21" t="str">
        <x:f>IF(J549="Рассчитано",N549*(1-O549/100),"н/д")</x:f>
        <x:v>н/д</x:v>
      </x:c>
      <x:c r="V549" s="21" t="str">
        <x:f>IF(J549="Рассчитано",T549*U549,"н/д")</x:f>
        <x:v>н/д</x:v>
      </x:c>
      <x:c r="W549" s="21" t="str">
        <x:f>IF(J549="Рассчитано",T549*M549,"н/д")</x:f>
        <x:v>н/д</x:v>
      </x:c>
      <x:c r="X549" s="21" t="str">
        <x:f>IF(J549="Рассчитано",V549-W549,"н/д")</x:f>
        <x:v>н/д</x:v>
      </x:c>
      <x:c r="Y549" s="27" t="str">
        <x:f>IF(J549="Рассчитано",IF(V549&gt;0,G549/V549,"н/д"),"н/д")</x:f>
        <x:v>н/д</x:v>
      </x:c>
      <x:c r="Z549" s="21" t="str">
        <x:f>"н/д"</x:f>
        <x:v>н/д</x:v>
      </x:c>
      <x:c r="AA549" s="21" t="str">
        <x:f>"н/д"</x:f>
        <x:v>н/д</x:v>
      </x:c>
      <x:c r="AB549" s="21" t="str">
        <x:f>"н/д"</x:f>
        <x:v>н/д</x:v>
      </x:c>
      <x:c r="AC549" s="21" t="str">
        <x:f>IF(AND(J549="Рассчитано",T549&gt;0,R549&lt;100),(W549+P549+Q549)/(T549*(1-R549/100)),"н/д")</x:f>
        <x:v>н/д</x:v>
      </x:c>
      <x:c r="AD549" s="10" t="str">
        <x:f>IF(ISNUMBER(G549),IF(G549&lt;0,"Убыток",IF(G549=0,"Без прибыли","Прибыль &gt; 0")),"Не оценён")</x:f>
        <x:v>Не оценён</x:v>
      </x:c>
      <x:c r="AE549" s="13" t="str">
        <x:f>IF(J549="Рассчитано","Выручка "&amp;TEXT(V549,"0.00")&amp;" - себестоимость "&amp;TEXT(W549,"0.00")&amp;" - комиссия "&amp;TEXT(V549*R549/100,"0.00")&amp;" - доставка "&amp;TEXT(P549,"0.00")&amp;" - прочие "&amp;TEXT(Q549,"0.00")&amp;" = "&amp;TEXT(G549,"0.00")&amp;" "&amp;L549,"Введите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9" s="24" t="n">
        <x:v>0.27556361545571784</x:v>
      </x:c>
      <x:c r="AG549" s="37" t="n">
        <x:v>3</x:v>
      </x:c>
      <x:c r="AH549" s="37" t="n">
        <x:v>0</x:v>
      </x:c>
      <x:c r="AI549" s="30" t="n">
        <x:v>46266</x:v>
      </x:c>
      <x:c r="AJ549" s="37" t="n">
        <x:v>1</x:v>
      </x:c>
      <x:c r="AK549" s="10" t="str">
        <x:v>минимум</x:v>
      </x:c>
      <x:c r="AL549" s="32" t="n">
        <x:v>925.8026611694801</x:v>
      </x:c>
      <x:c r="AM54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49" s="13" t="str">
        <x:v>Проверить свободный остаток и установить цену для B2B</x:v>
      </x:c>
      <x:c r="AO549" s="13" t="str">
        <x:v>Остаток 3; прогноз 90 дней 0.28; избыток 2 шт. Будущие поступления не выставляются на продажу. Остаток на начало сентября: требуется актуализация.</x:v>
      </x:c>
      <x:c r="AP549" s="13" t="str">
        <x:v>["category_missing", "daily_stockout_data_missing", "negative_net_sales_clipped_for_forecast", "new_order_lead_time_unknown", "reservations_unknown", "stale_stock"]</x:v>
      </x:c>
      <x:c r="AQ549" s="10" t="str">
        <x:v>IEK:120100060_</x:v>
      </x:c>
      <x:c r="AR549" s="24" t="n">
        <x:v>1</x:v>
      </x:c>
      <x:c r="AS549" s="24" t="n">
        <x:v>0</x:v>
      </x:c>
      <x:c r="AT549" s="24" t="n">
        <x:v>0</x:v>
      </x:c>
    </x:row>
    <x:row r="550" ht="64" customHeight="1">
      <x:c r="A550" s="11" t="str">
        <x:v>IEK</x:v>
      </x:c>
      <x:c r="B550" s="33" t="str">
        <x:v>120100069_</x:v>
      </x:c>
      <x:c r="C550" s="33" t="str">
        <x:v>DMS11-D63</x:v>
      </x:c>
      <x:c r="D550" s="12" t="str">
        <x:v>Пускатель ПРК32-6,3 In=6,3A Ir=4-6,3A Ue 660В IEK (1/50)</x:v>
      </x:c>
      <x:c r="E550" s="11" t="str">
        <x:v>шт</x:v>
      </x:c>
      <x:c r="F550" s="35" t="n">
        <x:f>MAX(0,ROUNDDOWN((AG550-AF550)/AR550+0.000000001,0)*AR550)</x:f>
        <x:v>16</x:v>
      </x:c>
      <x:c r="G550" s="20" t="str">
        <x:f>IF(J550="Рассчитано",V550*(1-R550/100)-W550-P550-Q550,"н/д")</x:f>
        <x:v>н/д</x:v>
      </x:c>
      <x:c r="H550" s="12" t="str">
        <x:v>Высокий</x:v>
      </x:c>
      <x:c r="I550" s="12" t="str">
        <x:v>Высокий</x:v>
      </x:c>
      <x:c r="J550" s="12" t="str">
        <x:f>IF(L550="","Укажите валюту",IF(NOT(ISNUMBER(K550)),"Укажите объём",IF(K550&lt;=0,"Укажите объём",IF(K550&gt;F550,"Объём выше излишка",IF(COUNT(M550:O550)&lt;3,"Нужны цены",IF(COUNT(P550:R550)&lt;3,"Нужны расходы",IF(OR(M550&lt;0,N550&lt;0,O550&lt;0,O550&gt;100,P550&lt;0,Q550&lt;0,R550&lt;0,R550&gt;100),"Проверьте значения","Рассчитано")))))))</x:f>
        <x:v>Нужны цены</x:v>
      </x:c>
      <x:c r="K550" s="36" t="n">
        <x:v>16</x:v>
      </x:c>
      <x:c r="L550" s="19" t="str">
        <x:v>KZT</x:v>
      </x:c>
      <x:c r="M550" s="22"/>
      <x:c r="N550" s="22"/>
      <x:c r="O550" s="28"/>
      <x:c r="P550" s="22"/>
      <x:c r="Q550" s="22"/>
      <x:c r="R550" s="28"/>
      <x:c r="S550" s="22"/>
      <x:c r="T550" s="35" t="n">
        <x:f>K550</x:f>
        <x:v>16</x:v>
      </x:c>
      <x:c r="U550" s="20" t="str">
        <x:f>IF(J550="Рассчитано",N550*(1-O550/100),"н/д")</x:f>
        <x:v>н/д</x:v>
      </x:c>
      <x:c r="V550" s="20" t="str">
        <x:f>IF(J550="Рассчитано",T550*U550,"н/д")</x:f>
        <x:v>н/д</x:v>
      </x:c>
      <x:c r="W550" s="20" t="str">
        <x:f>IF(J550="Рассчитано",T550*M550,"н/д")</x:f>
        <x:v>н/д</x:v>
      </x:c>
      <x:c r="X550" s="20" t="str">
        <x:f>IF(J550="Рассчитано",V550-W550,"н/д")</x:f>
        <x:v>н/д</x:v>
      </x:c>
      <x:c r="Y550" s="26" t="str">
        <x:f>IF(J550="Рассчитано",IF(V550&gt;0,G550/V550,"н/д"),"н/д")</x:f>
        <x:v>н/д</x:v>
      </x:c>
      <x:c r="Z550" s="20" t="str">
        <x:f>"н/д"</x:f>
        <x:v>н/д</x:v>
      </x:c>
      <x:c r="AA550" s="20" t="str">
        <x:f>"н/д"</x:f>
        <x:v>н/д</x:v>
      </x:c>
      <x:c r="AB550" s="20" t="str">
        <x:f>"н/д"</x:f>
        <x:v>н/д</x:v>
      </x:c>
      <x:c r="AC550" s="20" t="str">
        <x:f>IF(AND(J550="Рассчитано",T550&gt;0,R550&lt;100),(W550+P550+Q550)/(T550*(1-R550/100)),"н/д")</x:f>
        <x:v>н/д</x:v>
      </x:c>
      <x:c r="AD550" s="11" t="str">
        <x:f>IF(ISNUMBER(G550),IF(G550&lt;0,"Убыток",IF(G550=0,"Без прибыли","Прибыль &gt; 0")),"Не оценён")</x:f>
        <x:v>Не оценён</x:v>
      </x:c>
      <x:c r="AE550" s="12" t="str">
        <x:f>IF(J550="Рассчитано","Выручка "&amp;TEXT(V550,"0.00")&amp;" - себестоимость "&amp;TEXT(W550,"0.00")&amp;" - комиссия "&amp;TEXT(V550*R550/100,"0.00")&amp;" - доставка "&amp;TEXT(P550,"0.00")&amp;" - прочие "&amp;TEXT(Q550,"0.00")&amp;" = "&amp;TEXT(G550,"0.00")&amp;" "&amp;L550,"Введите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0" s="23" t="n">
        <x:v>6.954259867004264</x:v>
      </x:c>
      <x:c r="AG550" s="35" t="n">
        <x:v>23</x:v>
      </x:c>
      <x:c r="AH550" s="35" t="n">
        <x:v>0</x:v>
      </x:c>
      <x:c r="AI550" s="29" t="n">
        <x:v>46266</x:v>
      </x:c>
      <x:c r="AJ550" s="35" t="n">
        <x:v>1</x:v>
      </x:c>
      <x:c r="AK550" s="11" t="str">
        <x:v>минимум</x:v>
      </x:c>
      <x:c r="AL550" s="31" t="n">
        <x:v>281.25222371874423</x:v>
      </x:c>
      <x:c r="AM5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50" s="12" t="str">
        <x:v>Проверить свободный остаток и установить цену для B2B</x:v>
      </x:c>
      <x:c r="AO550" s="12" t="str">
        <x:v>Остаток 23; прогноз 90 дней 6.95; избыток 16 шт. Будущие поступления не выставляются на продажу. Остаток на начало сентября: требуется актуализация.</x:v>
      </x:c>
      <x:c r="AP550" s="12" t="str">
        <x:v>["category_missing", "daily_stockout_data_missing", "new_order_lead_time_unknown", "reservations_unknown", "stale_stock"]</x:v>
      </x:c>
      <x:c r="AQ550" s="11" t="str">
        <x:v>IEK:120100069_</x:v>
      </x:c>
      <x:c r="AR550" s="23" t="n">
        <x:v>1</x:v>
      </x:c>
      <x:c r="AS550" s="23" t="n">
        <x:v>0</x:v>
      </x:c>
      <x:c r="AT550" s="23" t="n">
        <x:v>0</x:v>
      </x:c>
    </x:row>
    <x:row r="551" ht="64" customHeight="1">
      <x:c r="A551" s="10" t="str">
        <x:v>IEK</x:v>
      </x:c>
      <x:c r="B551" s="34" t="str">
        <x:v>120100073_</x:v>
      </x:c>
      <x:c r="C551" s="34" t="str">
        <x:v>DMS11-025</x:v>
      </x:c>
      <x:c r="D551" s="13" t="str">
        <x:v>Пускатель ПРК32-25 In=25A Ir=20-25A Ue 660В IEK (1/50)</x:v>
      </x:c>
      <x:c r="E551" s="10" t="str">
        <x:v>шт</x:v>
      </x:c>
      <x:c r="F551" s="37" t="n">
        <x:f>MAX(0,ROUNDDOWN((AG551-AF551)/AR551+0.000000001,0)*AR551)</x:f>
        <x:v>11</x:v>
      </x:c>
      <x:c r="G551" s="21" t="str">
        <x:f>IF(J551="Рассчитано",V551*(1-R551/100)-W551-P551-Q551,"н/д")</x:f>
        <x:v>н/д</x:v>
      </x:c>
      <x:c r="H551" s="13" t="str">
        <x:v>Высокий</x:v>
      </x:c>
      <x:c r="I551" s="13" t="str">
        <x:v>Высокий</x:v>
      </x:c>
      <x:c r="J551" s="13" t="str">
        <x:f>IF(L551="","Укажите валюту",IF(NOT(ISNUMBER(K551)),"Укажите объём",IF(K551&lt;=0,"Укажите объём",IF(K551&gt;F551,"Объём выше излишка",IF(COUNT(M551:O551)&lt;3,"Нужны цены",IF(COUNT(P551:R551)&lt;3,"Нужны расходы",IF(OR(M551&lt;0,N551&lt;0,O551&lt;0,O551&gt;100,P551&lt;0,Q551&lt;0,R551&lt;0,R551&gt;100),"Проверьте значения","Рассчитано")))))))</x:f>
        <x:v>Нужны цены</x:v>
      </x:c>
      <x:c r="K551" s="36" t="n">
        <x:v>11</x:v>
      </x:c>
      <x:c r="L551" s="19" t="str">
        <x:v>KZT</x:v>
      </x:c>
      <x:c r="M551" s="22"/>
      <x:c r="N551" s="22"/>
      <x:c r="O551" s="28"/>
      <x:c r="P551" s="22"/>
      <x:c r="Q551" s="22"/>
      <x:c r="R551" s="28"/>
      <x:c r="S551" s="22"/>
      <x:c r="T551" s="37" t="n">
        <x:f>K551</x:f>
        <x:v>11</x:v>
      </x:c>
      <x:c r="U551" s="21" t="str">
        <x:f>IF(J551="Рассчитано",N551*(1-O551/100),"н/д")</x:f>
        <x:v>н/д</x:v>
      </x:c>
      <x:c r="V551" s="21" t="str">
        <x:f>IF(J551="Рассчитано",T551*U551,"н/д")</x:f>
        <x:v>н/д</x:v>
      </x:c>
      <x:c r="W551" s="21" t="str">
        <x:f>IF(J551="Рассчитано",T551*M551,"н/д")</x:f>
        <x:v>н/д</x:v>
      </x:c>
      <x:c r="X551" s="21" t="str">
        <x:f>IF(J551="Рассчитано",V551-W551,"н/д")</x:f>
        <x:v>н/д</x:v>
      </x:c>
      <x:c r="Y551" s="27" t="str">
        <x:f>IF(J551="Рассчитано",IF(V551&gt;0,G551/V551,"н/д"),"н/д")</x:f>
        <x:v>н/д</x:v>
      </x:c>
      <x:c r="Z551" s="21" t="str">
        <x:f>"н/д"</x:f>
        <x:v>н/д</x:v>
      </x:c>
      <x:c r="AA551" s="21" t="str">
        <x:f>"н/д"</x:f>
        <x:v>н/д</x:v>
      </x:c>
      <x:c r="AB551" s="21" t="str">
        <x:f>"н/д"</x:f>
        <x:v>н/д</x:v>
      </x:c>
      <x:c r="AC551" s="21" t="str">
        <x:f>IF(AND(J551="Рассчитано",T551&gt;0,R551&lt;100),(W551+P551+Q551)/(T551*(1-R551/100)),"н/д")</x:f>
        <x:v>н/д</x:v>
      </x:c>
      <x:c r="AD551" s="10" t="str">
        <x:f>IF(ISNUMBER(G551),IF(G551&lt;0,"Убыток",IF(G551=0,"Без прибыли","Прибыль &gt; 0")),"Не оценён")</x:f>
        <x:v>Не оценён</x:v>
      </x:c>
      <x:c r="AE551" s="13" t="str">
        <x:f>IF(J551="Рассчитано","Выручка "&amp;TEXT(V551,"0.00")&amp;" - себестоимость "&amp;TEXT(W551,"0.00")&amp;" - комиссия "&amp;TEXT(V551*R551/100,"0.00")&amp;" - доставка "&amp;TEXT(P551,"0.00")&amp;" - прочие "&amp;TEXT(Q551,"0.00")&amp;" = "&amp;TEXT(G551,"0.00")&amp;" "&amp;L551,"Введите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1" s="24" t="n">
        <x:v>4.2169059878841635</x:v>
      </x:c>
      <x:c r="AG551" s="37" t="n">
        <x:v>16</x:v>
      </x:c>
      <x:c r="AH551" s="37" t="n">
        <x:v>0</x:v>
      </x:c>
      <x:c r="AI551" s="30" t="n">
        <x:v>46266</x:v>
      </x:c>
      <x:c r="AJ551" s="37" t="n">
        <x:v>1</x:v>
      </x:c>
      <x:c r="AK551" s="10" t="str">
        <x:v>минимум</x:v>
      </x:c>
      <x:c r="AL551" s="32" t="n">
        <x:v>322.6599840336396</x:v>
      </x:c>
      <x:c r="AM55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51" s="13" t="str">
        <x:v>Проверить свободный остаток и установить цену для B2B</x:v>
      </x:c>
      <x:c r="AO551" s="13" t="str">
        <x:v>Остаток 16; прогноз 90 дней 4.22; избыток 11 шт. Будущие поступления не выставляются на продажу. Остаток на начало сентября: требуется актуализация.</x:v>
      </x:c>
      <x:c r="AP551" s="13" t="str">
        <x:v>["category_missing", "daily_stockout_data_missing", "new_order_lead_time_unknown", "reservations_unknown", "stale_stock"]</x:v>
      </x:c>
      <x:c r="AQ551" s="10" t="str">
        <x:v>IEK:120100073_</x:v>
      </x:c>
      <x:c r="AR551" s="24" t="n">
        <x:v>1</x:v>
      </x:c>
      <x:c r="AS551" s="24" t="n">
        <x:v>0</x:v>
      </x:c>
      <x:c r="AT551" s="24" t="n">
        <x:v>0</x:v>
      </x:c>
    </x:row>
    <x:row r="552" ht="64" customHeight="1">
      <x:c r="A552" s="11" t="str">
        <x:v>IEK</x:v>
      </x:c>
      <x:c r="B552" s="33" t="str">
        <x:v>120100080_</x:v>
      </x:c>
      <x:c r="C552" s="33" t="str">
        <x:v>KKM36-040-220-00</x:v>
      </x:c>
      <x:c r="D552" s="12" t="str">
        <x:v>Контактор  КМИ-34062 40А 220В  IP54 (3вел в корпусе) IEK (1/6)</x:v>
      </x:c>
      <x:c r="E552" s="11" t="str">
        <x:v>шт</x:v>
      </x:c>
      <x:c r="F552" s="35" t="n">
        <x:f>MAX(0,ROUNDDOWN((AG552-AF552)/AR552+0.000000001,0)*AR552)</x:f>
        <x:v>4</x:v>
      </x:c>
      <x:c r="G552" s="20" t="str">
        <x:f>IF(J552="Рассчитано",V552*(1-R552/100)-W552-P552-Q552,"н/д")</x:f>
        <x:v>н/д</x:v>
      </x:c>
      <x:c r="H552" s="12" t="str">
        <x:v>Высокий</x:v>
      </x:c>
      <x:c r="I552" s="12" t="str">
        <x:v>Высокий</x:v>
      </x:c>
      <x:c r="J552" s="12" t="str">
        <x:f>IF(L552="","Укажите валюту",IF(NOT(ISNUMBER(K552)),"Укажите объём",IF(K552&lt;=0,"Укажите объём",IF(K552&gt;F552,"Объём выше излишка",IF(COUNT(M552:O552)&lt;3,"Нужны цены",IF(COUNT(P552:R552)&lt;3,"Нужны расходы",IF(OR(M552&lt;0,N552&lt;0,O552&lt;0,O552&gt;100,P552&lt;0,Q552&lt;0,R552&lt;0,R552&gt;100),"Проверьте значения","Рассчитано")))))))</x:f>
        <x:v>Нужны цены</x:v>
      </x:c>
      <x:c r="K552" s="36" t="n">
        <x:v>4</x:v>
      </x:c>
      <x:c r="L552" s="19" t="str">
        <x:v>KZT</x:v>
      </x:c>
      <x:c r="M552" s="22"/>
      <x:c r="N552" s="22"/>
      <x:c r="O552" s="28"/>
      <x:c r="P552" s="22"/>
      <x:c r="Q552" s="22"/>
      <x:c r="R552" s="28"/>
      <x:c r="S552" s="22"/>
      <x:c r="T552" s="35" t="n">
        <x:f>K552</x:f>
        <x:v>4</x:v>
      </x:c>
      <x:c r="U552" s="20" t="str">
        <x:f>IF(J552="Рассчитано",N552*(1-O552/100),"н/д")</x:f>
        <x:v>н/д</x:v>
      </x:c>
      <x:c r="V552" s="20" t="str">
        <x:f>IF(J552="Рассчитано",T552*U552,"н/д")</x:f>
        <x:v>н/д</x:v>
      </x:c>
      <x:c r="W552" s="20" t="str">
        <x:f>IF(J552="Рассчитано",T552*M552,"н/д")</x:f>
        <x:v>н/д</x:v>
      </x:c>
      <x:c r="X552" s="20" t="str">
        <x:f>IF(J552="Рассчитано",V552-W552,"н/д")</x:f>
        <x:v>н/д</x:v>
      </x:c>
      <x:c r="Y552" s="26" t="str">
        <x:f>IF(J552="Рассчитано",IF(V552&gt;0,G552/V552,"н/д"),"н/д")</x:f>
        <x:v>н/д</x:v>
      </x:c>
      <x:c r="Z552" s="20" t="str">
        <x:f>"н/д"</x:f>
        <x:v>н/д</x:v>
      </x:c>
      <x:c r="AA552" s="20" t="str">
        <x:f>"н/д"</x:f>
        <x:v>н/д</x:v>
      </x:c>
      <x:c r="AB552" s="20" t="str">
        <x:f>"н/д"</x:f>
        <x:v>н/д</x:v>
      </x:c>
      <x:c r="AC552" s="20" t="str">
        <x:f>IF(AND(J552="Рассчитано",T552&gt;0,R552&lt;100),(W552+P552+Q552)/(T552*(1-R552/100)),"н/д")</x:f>
        <x:v>н/д</x:v>
      </x:c>
      <x:c r="AD552" s="11" t="str">
        <x:f>IF(ISNUMBER(G552),IF(G552&lt;0,"Убыток",IF(G552=0,"Без прибыли","Прибыль &gt; 0")),"Не оценён")</x:f>
        <x:v>Не оценён</x:v>
      </x:c>
      <x:c r="AE552" s="12" t="str">
        <x:f>IF(J552="Рассчитано","Выручка "&amp;TEXT(V552,"0.00")&amp;" - себестоимость "&amp;TEXT(W552,"0.00")&amp;" - комиссия "&amp;TEXT(V552*R552/100,"0.00")&amp;" - доставка "&amp;TEXT(P552,"0.00")&amp;" - прочие "&amp;TEXT(Q552,"0.00")&amp;" = "&amp;TEXT(G552,"0.00")&amp;" "&amp;L552,"Введите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2" s="23" t="n">
        <x:v>1.8304699117634835</x:v>
      </x:c>
      <x:c r="AG552" s="35" t="n">
        <x:v>6</x:v>
      </x:c>
      <x:c r="AH552" s="35" t="n">
        <x:v>0</x:v>
      </x:c>
      <x:c r="AI552" s="29" t="n">
        <x:v>46266</x:v>
      </x:c>
      <x:c r="AJ552" s="35" t="n">
        <x:v>1</x:v>
      </x:c>
      <x:c r="AK552" s="11" t="str">
        <x:v>минимум</x:v>
      </x:c>
      <x:c r="AL552" s="31" t="n">
        <x:v>278.7453941426502</x:v>
      </x:c>
      <x:c r="AM55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52" s="12" t="str">
        <x:v>Проверить свободный остаток и установить цену для B2B</x:v>
      </x:c>
      <x:c r="AO552" s="12" t="str">
        <x:v>Остаток 6; прогноз 90 дней 1.83; избыток 4 шт. Будущие поступления не выставляются на продажу. Остаток на начало сентября: требуется актуализация.</x:v>
      </x:c>
      <x:c r="AP552" s="12" t="str">
        <x:v>["category_missing", "daily_stockout_data_missing", "new_order_lead_time_unknown", "reservations_unknown", "stale_stock"]</x:v>
      </x:c>
      <x:c r="AQ552" s="11" t="str">
        <x:v>IEK:120100080_</x:v>
      </x:c>
      <x:c r="AR552" s="23" t="n">
        <x:v>1</x:v>
      </x:c>
      <x:c r="AS552" s="23" t="n">
        <x:v>0</x:v>
      </x:c>
      <x:c r="AT552" s="23" t="n">
        <x:v>0</x:v>
      </x:c>
    </x:row>
    <x:row r="553" ht="64" customHeight="1">
      <x:c r="A553" s="10" t="str">
        <x:v>IEK</x:v>
      </x:c>
      <x:c r="B553" s="34" t="str">
        <x:v>120100081_</x:v>
      </x:c>
      <x:c r="C553" s="34" t="str">
        <x:v>KKM41-095-400-11</x:v>
      </x:c>
      <x:c r="D553" s="13" t="str">
        <x:v>Контактор КМИ-49512 95А 400В (4вел) IEK (1/16)</x:v>
      </x:c>
      <x:c r="E553" s="10" t="str">
        <x:v>шт</x:v>
      </x:c>
      <x:c r="F553" s="37" t="n">
        <x:f>MAX(0,ROUNDDOWN((AG553-AF553)/AR553+0.000000001,0)*AR553)</x:f>
        <x:v>18</x:v>
      </x:c>
      <x:c r="G553" s="21" t="str">
        <x:f>IF(J553="Рассчитано",V553*(1-R553/100)-W553-P553-Q553,"н/д")</x:f>
        <x:v>н/д</x:v>
      </x:c>
      <x:c r="H553" s="13" t="str">
        <x:v>Высокий</x:v>
      </x:c>
      <x:c r="I553" s="13" t="str">
        <x:v>Средний</x:v>
      </x:c>
      <x:c r="J553" s="13" t="str">
        <x:f>IF(L553="","Укажите валюту",IF(NOT(ISNUMBER(K553)),"Укажите объём",IF(K553&lt;=0,"Укажите объём",IF(K553&gt;F553,"Объём выше излишка",IF(COUNT(M553:O553)&lt;3,"Нужны цены",IF(COUNT(P553:R553)&lt;3,"Нужны расходы",IF(OR(M553&lt;0,N553&lt;0,O553&lt;0,O553&gt;100,P553&lt;0,Q553&lt;0,R553&lt;0,R553&gt;100),"Проверьте значения","Рассчитано")))))))</x:f>
        <x:v>Нужны цены</x:v>
      </x:c>
      <x:c r="K553" s="36" t="n">
        <x:v>18</x:v>
      </x:c>
      <x:c r="L553" s="19" t="str">
        <x:v>KZT</x:v>
      </x:c>
      <x:c r="M553" s="22"/>
      <x:c r="N553" s="22"/>
      <x:c r="O553" s="28"/>
      <x:c r="P553" s="22"/>
      <x:c r="Q553" s="22"/>
      <x:c r="R553" s="28"/>
      <x:c r="S553" s="22"/>
      <x:c r="T553" s="37" t="n">
        <x:f>K553</x:f>
        <x:v>18</x:v>
      </x:c>
      <x:c r="U553" s="21" t="str">
        <x:f>IF(J553="Рассчитано",N553*(1-O553/100),"н/д")</x:f>
        <x:v>н/д</x:v>
      </x:c>
      <x:c r="V553" s="21" t="str">
        <x:f>IF(J553="Рассчитано",T553*U553,"н/д")</x:f>
        <x:v>н/д</x:v>
      </x:c>
      <x:c r="W553" s="21" t="str">
        <x:f>IF(J553="Рассчитано",T553*M553,"н/д")</x:f>
        <x:v>н/д</x:v>
      </x:c>
      <x:c r="X553" s="21" t="str">
        <x:f>IF(J553="Рассчитано",V553-W553,"н/д")</x:f>
        <x:v>н/д</x:v>
      </x:c>
      <x:c r="Y553" s="27" t="str">
        <x:f>IF(J553="Рассчитано",IF(V553&gt;0,G553/V553,"н/д"),"н/д")</x:f>
        <x:v>н/д</x:v>
      </x:c>
      <x:c r="Z553" s="21" t="str">
        <x:f>"н/д"</x:f>
        <x:v>н/д</x:v>
      </x:c>
      <x:c r="AA553" s="21" t="str">
        <x:f>"н/д"</x:f>
        <x:v>н/д</x:v>
      </x:c>
      <x:c r="AB553" s="21" t="str">
        <x:f>"н/д"</x:f>
        <x:v>н/д</x:v>
      </x:c>
      <x:c r="AC553" s="21" t="str">
        <x:f>IF(AND(J553="Рассчитано",T553&gt;0,R553&lt;100),(W553+P553+Q553)/(T553*(1-R553/100)),"н/д")</x:f>
        <x:v>н/д</x:v>
      </x:c>
      <x:c r="AD553" s="10" t="str">
        <x:f>IF(ISNUMBER(G553),IF(G553&lt;0,"Убыток",IF(G553=0,"Без прибыли","Прибыль &gt; 0")),"Не оценён")</x:f>
        <x:v>Не оценён</x:v>
      </x:c>
      <x:c r="AE553" s="13" t="str">
        <x:f>IF(J553="Рассчитано","Выручка "&amp;TEXT(V553,"0.00")&amp;" - себестоимость "&amp;TEXT(W553,"0.00")&amp;" - комиссия "&amp;TEXT(V553*R553/100,"0.00")&amp;" - доставка "&amp;TEXT(P553,"0.00")&amp;" - прочие "&amp;TEXT(Q553,"0.00")&amp;" = "&amp;TEXT(G553,"0.00")&amp;" "&amp;L553,"Введите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3" s="24" t="n">
        <x:v>34.756603302795185</x:v>
      </x:c>
      <x:c r="AG553" s="37" t="n">
        <x:v>53</x:v>
      </x:c>
      <x:c r="AH553" s="37" t="n">
        <x:v>16</x:v>
      </x:c>
      <x:c r="AI553" s="30" t="n">
        <x:v>46266</x:v>
      </x:c>
      <x:c r="AJ553" s="37" t="n">
        <x:v>1</x:v>
      </x:c>
      <x:c r="AK553" s="10" t="str">
        <x:v>минимум</x:v>
      </x:c>
      <x:c r="AL553" s="32" t="n">
        <x:v>129.6753971540818</x:v>
      </x:c>
      <x:c r="AM553" s="13" t="str">
        <x:v>Остаток на начало сентября; Резервы неизвестны; Нет ежедневных данных доступности. Запас выше прогноза на 90 дней</x:v>
      </x:c>
      <x:c r="AN553" s="13" t="str">
        <x:v>Проверить свободный остаток и установить цену для B2B</x:v>
      </x:c>
      <x:c r="AO553" s="13" t="str">
        <x:v>Остаток 53; прогноз 90 дней 34.76; избыток 18 шт. Будущие поступления не выставляются на продажу. Остаток на начало сентября: требуется актуализация.</x:v>
      </x:c>
      <x:c r="AP553" s="13" t="str">
        <x:v>["category_missing", "daily_stockout_data_missing", "large_orders_detected", "new_order_lead_time_unknown", "reservations_unknown", "stale_stock"]</x:v>
      </x:c>
      <x:c r="AQ553" s="10" t="str">
        <x:v>IEK:120100081_</x:v>
      </x:c>
      <x:c r="AR553" s="24" t="n">
        <x:v>1</x:v>
      </x:c>
      <x:c r="AS553" s="24" t="n">
        <x:v>0</x:v>
      </x:c>
      <x:c r="AT553" s="24" t="n">
        <x:v>0</x:v>
      </x:c>
    </x:row>
    <x:row r="554" ht="64" customHeight="1">
      <x:c r="A554" s="11" t="str">
        <x:v>IEK</x:v>
      </x:c>
      <x:c r="B554" s="33" t="str">
        <x:v>120100085_</x:v>
      </x:c>
      <x:c r="C554" s="33" t="str">
        <x:v>KKT50-185-230-10</x:v>
      </x:c>
      <x:c r="D554" s="12" t="str">
        <x:v>Контактор  КТИ 5185  185А 230В IEK (1/4)</x:v>
      </x:c>
      <x:c r="E554" s="11" t="str">
        <x:v>шт</x:v>
      </x:c>
      <x:c r="F554" s="35" t="n">
        <x:f>MAX(0,ROUNDDOWN((AG554-AF554)/AR554+0.000000001,0)*AR554)</x:f>
        <x:v>4</x:v>
      </x:c>
      <x:c r="G554" s="20" t="str">
        <x:f>IF(J554="Рассчитано",V554*(1-R554/100)-W554-P554-Q554,"н/д")</x:f>
        <x:v>н/д</x:v>
      </x:c>
      <x:c r="H554" s="12" t="str">
        <x:v>Высокий</x:v>
      </x:c>
      <x:c r="I554" s="12" t="str">
        <x:v>Средний</x:v>
      </x:c>
      <x:c r="J554" s="12" t="str">
        <x:f>IF(L554="","Укажите валюту",IF(NOT(ISNUMBER(K554)),"Укажите объём",IF(K554&lt;=0,"Укажите объём",IF(K554&gt;F554,"Объём выше излишка",IF(COUNT(M554:O554)&lt;3,"Нужны цены",IF(COUNT(P554:R554)&lt;3,"Нужны расходы",IF(OR(M554&lt;0,N554&lt;0,O554&lt;0,O554&gt;100,P554&lt;0,Q554&lt;0,R554&lt;0,R554&gt;100),"Проверьте значения","Рассчитано")))))))</x:f>
        <x:v>Нужны цены</x:v>
      </x:c>
      <x:c r="K554" s="36" t="n">
        <x:v>4</x:v>
      </x:c>
      <x:c r="L554" s="19" t="str">
        <x:v>KZT</x:v>
      </x:c>
      <x:c r="M554" s="22"/>
      <x:c r="N554" s="22"/>
      <x:c r="O554" s="28"/>
      <x:c r="P554" s="22"/>
      <x:c r="Q554" s="22"/>
      <x:c r="R554" s="28"/>
      <x:c r="S554" s="22"/>
      <x:c r="T554" s="35" t="n">
        <x:f>K554</x:f>
        <x:v>4</x:v>
      </x:c>
      <x:c r="U554" s="20" t="str">
        <x:f>IF(J554="Рассчитано",N554*(1-O554/100),"н/д")</x:f>
        <x:v>н/д</x:v>
      </x:c>
      <x:c r="V554" s="20" t="str">
        <x:f>IF(J554="Рассчитано",T554*U554,"н/д")</x:f>
        <x:v>н/д</x:v>
      </x:c>
      <x:c r="W554" s="20" t="str">
        <x:f>IF(J554="Рассчитано",T554*M554,"н/д")</x:f>
        <x:v>н/д</x:v>
      </x:c>
      <x:c r="X554" s="20" t="str">
        <x:f>IF(J554="Рассчитано",V554-W554,"н/д")</x:f>
        <x:v>н/д</x:v>
      </x:c>
      <x:c r="Y554" s="26" t="str">
        <x:f>IF(J554="Рассчитано",IF(V554&gt;0,G554/V554,"н/д"),"н/д")</x:f>
        <x:v>н/д</x:v>
      </x:c>
      <x:c r="Z554" s="20" t="str">
        <x:f>"н/д"</x:f>
        <x:v>н/д</x:v>
      </x:c>
      <x:c r="AA554" s="20" t="str">
        <x:f>"н/д"</x:f>
        <x:v>н/д</x:v>
      </x:c>
      <x:c r="AB554" s="20" t="str">
        <x:f>"н/д"</x:f>
        <x:v>н/д</x:v>
      </x:c>
      <x:c r="AC554" s="20" t="str">
        <x:f>IF(AND(J554="Рассчитано",T554&gt;0,R554&lt;100),(W554+P554+Q554)/(T554*(1-R554/100)),"н/д")</x:f>
        <x:v>н/д</x:v>
      </x:c>
      <x:c r="AD554" s="11" t="str">
        <x:f>IF(ISNUMBER(G554),IF(G554&lt;0,"Убыток",IF(G554=0,"Без прибыли","Прибыль &gt; 0")),"Не оценён")</x:f>
        <x:v>Не оценён</x:v>
      </x:c>
      <x:c r="AE554" s="12" t="str">
        <x:f>IF(J554="Рассчитано","Выручка "&amp;TEXT(V554,"0.00")&amp;" - себестоимость "&amp;TEXT(W554,"0.00")&amp;" - комиссия "&amp;TEXT(V554*R554/100,"0.00")&amp;" - доставка "&amp;TEXT(P554,"0.00")&amp;" - прочие "&amp;TEXT(Q554,"0.00")&amp;" = "&amp;TEXT(G554,"0.00")&amp;" "&amp;L554,"Введите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4" s="23" t="n">
        <x:v>15.51262650102314</x:v>
      </x:c>
      <x:c r="AG554" s="35" t="n">
        <x:v>20</x:v>
      </x:c>
      <x:c r="AH554" s="35" t="n">
        <x:v>4</x:v>
      </x:c>
      <x:c r="AI554" s="29" t="n">
        <x:v>46266</x:v>
      </x:c>
      <x:c r="AJ554" s="35" t="n">
        <x:v>1</x:v>
      </x:c>
      <x:c r="AK554" s="11" t="str">
        <x:v>минимум</x:v>
      </x:c>
      <x:c r="AL554" s="31" t="n">
        <x:v>109.63865618052533</x:v>
      </x:c>
      <x:c r="AM554" s="12" t="str">
        <x:v>Остаток на начало сентября; Резервы неизвестны; Нет ежедневных данных доступности. Запас выше прогноза на 90 дней</x:v>
      </x:c>
      <x:c r="AN554" s="12" t="str">
        <x:v>Проверить свободный остаток и установить цену для B2B</x:v>
      </x:c>
      <x:c r="AO554" s="12" t="str">
        <x:v>Остаток 20; прогноз 90 дней 15.51; избыток 4 шт. Будущие поступления не выставляются на продажу. Остаток на начало сентября: требуется актуализация.</x:v>
      </x:c>
      <x:c r="AP554" s="12" t="str">
        <x:v>["category_missing", "daily_stockout_data_missing", "new_order_lead_time_unknown", "reservations_unknown", "stale_stock"]</x:v>
      </x:c>
      <x:c r="AQ554" s="11" t="str">
        <x:v>IEK:120100085_</x:v>
      </x:c>
      <x:c r="AR554" s="23" t="n">
        <x:v>1</x:v>
      </x:c>
      <x:c r="AS554" s="23" t="n">
        <x:v>0</x:v>
      </x:c>
      <x:c r="AT554" s="23" t="n">
        <x:v>0</x:v>
      </x:c>
    </x:row>
    <x:row r="555" ht="64" customHeight="1">
      <x:c r="A555" s="10" t="str">
        <x:v>IEK</x:v>
      </x:c>
      <x:c r="B555" s="34" t="str">
        <x:v>120100118_</x:v>
      </x:c>
      <x:c r="C555" s="34" t="str">
        <x:v>KKM41-065-230-11</x:v>
      </x:c>
      <x:c r="D555" s="13" t="str">
        <x:v>Контактор КМИ-46512 65А 230В (4вел) IEK (1/20)</x:v>
      </x:c>
      <x:c r="E555" s="10" t="str">
        <x:v>шт</x:v>
      </x:c>
      <x:c r="F555" s="37" t="n">
        <x:f>MAX(0,ROUNDDOWN((AG555-AF555)/AR555+0.000000001,0)*AR555)</x:f>
        <x:v>97</x:v>
      </x:c>
      <x:c r="G555" s="21" t="str">
        <x:f>IF(J555="Рассчитано",V555*(1-R555/100)-W555-P555-Q555,"н/д")</x:f>
        <x:v>н/д</x:v>
      </x:c>
      <x:c r="H555" s="13" t="str">
        <x:v>Высокий</x:v>
      </x:c>
      <x:c r="I555" s="13" t="str">
        <x:v>Высокий</x:v>
      </x:c>
      <x:c r="J555" s="13" t="str">
        <x:f>IF(L555="","Укажите валюту",IF(NOT(ISNUMBER(K555)),"Укажите объём",IF(K555&lt;=0,"Укажите объём",IF(K555&gt;F555,"Объём выше излишка",IF(COUNT(M555:O555)&lt;3,"Нужны цены",IF(COUNT(P555:R555)&lt;3,"Нужны расходы",IF(OR(M555&lt;0,N555&lt;0,O555&lt;0,O555&gt;100,P555&lt;0,Q555&lt;0,R555&lt;0,R555&gt;100),"Проверьте значения","Рассчитано")))))))</x:f>
        <x:v>Нужны цены</x:v>
      </x:c>
      <x:c r="K555" s="36" t="n">
        <x:v>97</x:v>
      </x:c>
      <x:c r="L555" s="19" t="str">
        <x:v>KZT</x:v>
      </x:c>
      <x:c r="M555" s="22"/>
      <x:c r="N555" s="22"/>
      <x:c r="O555" s="28"/>
      <x:c r="P555" s="22"/>
      <x:c r="Q555" s="22"/>
      <x:c r="R555" s="28"/>
      <x:c r="S555" s="22"/>
      <x:c r="T555" s="37" t="n">
        <x:f>K555</x:f>
        <x:v>97</x:v>
      </x:c>
      <x:c r="U555" s="21" t="str">
        <x:f>IF(J555="Рассчитано",N555*(1-O555/100),"н/д")</x:f>
        <x:v>н/д</x:v>
      </x:c>
      <x:c r="V555" s="21" t="str">
        <x:f>IF(J555="Рассчитано",T555*U555,"н/д")</x:f>
        <x:v>н/д</x:v>
      </x:c>
      <x:c r="W555" s="21" t="str">
        <x:f>IF(J555="Рассчитано",T555*M555,"н/д")</x:f>
        <x:v>н/д</x:v>
      </x:c>
      <x:c r="X555" s="21" t="str">
        <x:f>IF(J555="Рассчитано",V555-W555,"н/д")</x:f>
        <x:v>н/д</x:v>
      </x:c>
      <x:c r="Y555" s="27" t="str">
        <x:f>IF(J555="Рассчитано",IF(V555&gt;0,G555/V555,"н/д"),"н/д")</x:f>
        <x:v>н/д</x:v>
      </x:c>
      <x:c r="Z555" s="21" t="str">
        <x:f>"н/д"</x:f>
        <x:v>н/д</x:v>
      </x:c>
      <x:c r="AA555" s="21" t="str">
        <x:f>"н/д"</x:f>
        <x:v>н/д</x:v>
      </x:c>
      <x:c r="AB555" s="21" t="str">
        <x:f>"н/д"</x:f>
        <x:v>н/д</x:v>
      </x:c>
      <x:c r="AC555" s="21" t="str">
        <x:f>IF(AND(J555="Рассчитано",T555&gt;0,R555&lt;100),(W555+P555+Q555)/(T555*(1-R555/100)),"н/д")</x:f>
        <x:v>н/д</x:v>
      </x:c>
      <x:c r="AD555" s="10" t="str">
        <x:f>IF(ISNUMBER(G555),IF(G555&lt;0,"Убыток",IF(G555=0,"Без прибыли","Прибыль &gt; 0")),"Не оценён")</x:f>
        <x:v>Не оценён</x:v>
      </x:c>
      <x:c r="AE555" s="13" t="str">
        <x:f>IF(J555="Рассчитано","Выручка "&amp;TEXT(V555,"0.00")&amp;" - себестоимость "&amp;TEXT(W555,"0.00")&amp;" - комиссия "&amp;TEXT(V555*R555/100,"0.00")&amp;" - доставка "&amp;TEXT(P555,"0.00")&amp;" - прочие "&amp;TEXT(Q555,"0.00")&amp;" = "&amp;TEXT(G555,"0.00")&amp;" "&amp;L555,"Введите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5" s="24" t="n">
        <x:v>86.76668458483628</x:v>
      </x:c>
      <x:c r="AG555" s="37" t="n">
        <x:v>184</x:v>
      </x:c>
      <x:c r="AH555" s="37" t="n">
        <x:v>3</x:v>
      </x:c>
      <x:c r="AI555" s="30" t="n">
        <x:v>46266</x:v>
      </x:c>
      <x:c r="AJ555" s="37" t="n">
        <x:v>1</x:v>
      </x:c>
      <x:c r="AK555" s="10" t="str">
        <x:v>минимум</x:v>
      </x:c>
      <x:c r="AL555" s="32" t="n">
        <x:v>180.33659451404594</x:v>
      </x:c>
      <x:c r="AM555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555" s="13" t="str">
        <x:v>Проверить свободный остаток и установить цену для B2B</x:v>
      </x:c>
      <x:c r="AO555" s="13" t="str">
        <x:v>Остаток 184; прогноз 90 дней 86.77; избыток 97 шт. Будущие поступления не выставляются на продажу. Остаток на начало сентября: требуется актуализация.</x:v>
      </x:c>
      <x:c r="AP555" s="13" t="str">
        <x:v>["category_missing", "daily_stockout_data_missing", "large_orders_detected", "new_order_lead_time_unknown", "reservations_unknown", "stale_stock", "transaction_month_mismatch"]</x:v>
      </x:c>
      <x:c r="AQ555" s="10" t="str">
        <x:v>IEK:120100118_</x:v>
      </x:c>
      <x:c r="AR555" s="24" t="n">
        <x:v>1</x:v>
      </x:c>
      <x:c r="AS555" s="24" t="n">
        <x:v>0</x:v>
      </x:c>
      <x:c r="AT555" s="24" t="n">
        <x:v>0</x:v>
      </x:c>
    </x:row>
    <x:row r="556" ht="64" customHeight="1">
      <x:c r="A556" s="11" t="str">
        <x:v>IEK</x:v>
      </x:c>
      <x:c r="B556" s="33" t="str">
        <x:v>120100216_</x:v>
      </x:c>
      <x:c r="C556" s="33"/>
      <x:c r="D556" s="12" t="str">
        <x:v>Контактор КМИ-11211 12А 230В/АС3 1Н3 IEK !!!</x:v>
      </x:c>
      <x:c r="E556" s="11" t="str">
        <x:v>шт</x:v>
      </x:c>
      <x:c r="F556" s="35" t="n">
        <x:f>MAX(0,ROUNDDOWN((AG556-AF556)/AR556+0.000000001,0)*AR556)</x:f>
        <x:v>40</x:v>
      </x:c>
      <x:c r="G556" s="20" t="str">
        <x:f>IF(J556="Рассчитано",V556*(1-R556/100)-W556-P556-Q556,"н/д")</x:f>
        <x:v>н/д</x:v>
      </x:c>
      <x:c r="H556" s="12" t="str">
        <x:v>Высокий</x:v>
      </x:c>
      <x:c r="I556" s="12" t="str">
        <x:v>Высокий</x:v>
      </x:c>
      <x:c r="J556" s="12" t="str">
        <x:f>IF(L556="","Укажите валюту",IF(NOT(ISNUMBER(K556)),"Укажите объём",IF(K556&lt;=0,"Укажите объём",IF(K556&gt;F556,"Объём выше излишка",IF(COUNT(M556:O556)&lt;3,"Нужны цены",IF(COUNT(P556:R556)&lt;3,"Нужны расходы",IF(OR(M556&lt;0,N556&lt;0,O556&lt;0,O556&gt;100,P556&lt;0,Q556&lt;0,R556&lt;0,R556&gt;100),"Проверьте значения","Рассчитано")))))))</x:f>
        <x:v>Нужны цены</x:v>
      </x:c>
      <x:c r="K556" s="36" t="n">
        <x:v>40</x:v>
      </x:c>
      <x:c r="L556" s="19" t="str">
        <x:v>KZT</x:v>
      </x:c>
      <x:c r="M556" s="22"/>
      <x:c r="N556" s="22"/>
      <x:c r="O556" s="28"/>
      <x:c r="P556" s="22"/>
      <x:c r="Q556" s="22"/>
      <x:c r="R556" s="28"/>
      <x:c r="S556" s="22"/>
      <x:c r="T556" s="35" t="n">
        <x:f>K556</x:f>
        <x:v>40</x:v>
      </x:c>
      <x:c r="U556" s="20" t="str">
        <x:f>IF(J556="Рассчитано",N556*(1-O556/100),"н/д")</x:f>
        <x:v>н/д</x:v>
      </x:c>
      <x:c r="V556" s="20" t="str">
        <x:f>IF(J556="Рассчитано",T556*U556,"н/д")</x:f>
        <x:v>н/д</x:v>
      </x:c>
      <x:c r="W556" s="20" t="str">
        <x:f>IF(J556="Рассчитано",T556*M556,"н/д")</x:f>
        <x:v>н/д</x:v>
      </x:c>
      <x:c r="X556" s="20" t="str">
        <x:f>IF(J556="Рассчитано",V556-W556,"н/д")</x:f>
        <x:v>н/д</x:v>
      </x:c>
      <x:c r="Y556" s="26" t="str">
        <x:f>IF(J556="Рассчитано",IF(V556&gt;0,G556/V556,"н/д"),"н/д")</x:f>
        <x:v>н/д</x:v>
      </x:c>
      <x:c r="Z556" s="20" t="str">
        <x:f>"н/д"</x:f>
        <x:v>н/д</x:v>
      </x:c>
      <x:c r="AA556" s="20" t="str">
        <x:f>"н/д"</x:f>
        <x:v>н/д</x:v>
      </x:c>
      <x:c r="AB556" s="20" t="str">
        <x:f>"н/д"</x:f>
        <x:v>н/д</x:v>
      </x:c>
      <x:c r="AC556" s="20" t="str">
        <x:f>IF(AND(J556="Рассчитано",T556&gt;0,R556&lt;100),(W556+P556+Q556)/(T556*(1-R556/100)),"н/д")</x:f>
        <x:v>н/д</x:v>
      </x:c>
      <x:c r="AD556" s="11" t="str">
        <x:f>IF(ISNUMBER(G556),IF(G556&lt;0,"Убыток",IF(G556=0,"Без прибыли","Прибыль &gt; 0")),"Не оценён")</x:f>
        <x:v>Не оценён</x:v>
      </x:c>
      <x:c r="AE556" s="12" t="str">
        <x:f>IF(J556="Рассчитано","Выручка "&amp;TEXT(V556,"0.00")&amp;" - себестоимость "&amp;TEXT(W556,"0.00")&amp;" - комиссия "&amp;TEXT(V556*R556/100,"0.00")&amp;" - доставка "&amp;TEXT(P556,"0.00")&amp;" - прочие "&amp;TEXT(Q556,"0.00")&amp;" = "&amp;TEXT(G556,"0.00")&amp;" "&amp;L556,"Введите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6" s="23" t="n">
        <x:v>0</x:v>
      </x:c>
      <x:c r="AG556" s="35" t="n">
        <x:v>40</x:v>
      </x:c>
      <x:c r="AH556" s="35" t="n">
        <x:v>0</x:v>
      </x:c>
      <x:c r="AI556" s="29" t="n">
        <x:v>46266</x:v>
      </x:c>
      <x:c r="AJ556" s="35"/>
      <x:c r="AK556" s="11" t="str">
        <x:v>неизвестно</x:v>
      </x:c>
      <x:c r="AL556" s="31" t="str">
        <x:v>н/д</x:v>
      </x:c>
      <x:c r="AM556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556" s="12" t="str">
        <x:v>Проверить свободный остаток и установить цену для B2B</x:v>
      </x:c>
      <x:c r="AO556" s="12" t="str">
        <x:v>Остаток 40; прогноз 90 дней 0.00; избыток 40 шт. Будущие поступления не выставляются на продажу. Остаток на начало сентября: требуется актуализация.</x:v>
      </x:c>
      <x:c r="AP556" s="12" t="str">
        <x:v>["category_missing", "daily_stockout_data_missing", "moq_missing", "new_order_lead_time_unknown", "reservations_unknown", "stale_stock", "supplier_sku_missing"]</x:v>
      </x:c>
      <x:c r="AQ556" s="11" t="str">
        <x:v>IEK:120100216_</x:v>
      </x:c>
      <x:c r="AR556" s="23" t="n">
        <x:v>1</x:v>
      </x:c>
      <x:c r="AS556" s="23" t="n">
        <x:v>0</x:v>
      </x:c>
      <x:c r="AT556" s="23" t="n">
        <x:v>0</x:v>
      </x:c>
    </x:row>
    <x:row r="557" ht="64" customHeight="1">
      <x:c r="A557" s="10" t="str">
        <x:v>IEK</x:v>
      </x:c>
      <x:c r="B557" s="34" t="str">
        <x:v>120100220_</x:v>
      </x:c>
      <x:c r="C557" s="34"/>
      <x:c r="D557" s="13" t="str">
        <x:v>Контактор КМ 40-11 АС IEK (6/90)</x:v>
      </x:c>
      <x:c r="E557" s="10" t="str">
        <x:v>шт</x:v>
      </x:c>
      <x:c r="F557" s="37" t="n">
        <x:f>MAX(0,ROUNDDOWN((AG557-AF557)/AR557+0.000000001,0)*AR557)</x:f>
        <x:v>9</x:v>
      </x:c>
      <x:c r="G557" s="21" t="str">
        <x:f>IF(J557="Рассчитано",V557*(1-R557/100)-W557-P557-Q557,"н/д")</x:f>
        <x:v>н/д</x:v>
      </x:c>
      <x:c r="H557" s="13" t="str">
        <x:v>Высокий</x:v>
      </x:c>
      <x:c r="I557" s="13" t="str">
        <x:v>Высокий</x:v>
      </x:c>
      <x:c r="J557" s="13" t="str">
        <x:f>IF(L557="","Укажите валюту",IF(NOT(ISNUMBER(K557)),"Укажите объём",IF(K557&lt;=0,"Укажите объём",IF(K557&gt;F557,"Объём выше излишка",IF(COUNT(M557:O557)&lt;3,"Нужны цены",IF(COUNT(P557:R557)&lt;3,"Нужны расходы",IF(OR(M557&lt;0,N557&lt;0,O557&lt;0,O557&gt;100,P557&lt;0,Q557&lt;0,R557&lt;0,R557&gt;100),"Проверьте значения","Рассчитано")))))))</x:f>
        <x:v>Нужны цены</x:v>
      </x:c>
      <x:c r="K557" s="36" t="n">
        <x:v>9</x:v>
      </x:c>
      <x:c r="L557" s="19" t="str">
        <x:v>KZT</x:v>
      </x:c>
      <x:c r="M557" s="22"/>
      <x:c r="N557" s="22"/>
      <x:c r="O557" s="28"/>
      <x:c r="P557" s="22"/>
      <x:c r="Q557" s="22"/>
      <x:c r="R557" s="28"/>
      <x:c r="S557" s="22"/>
      <x:c r="T557" s="37" t="n">
        <x:f>K557</x:f>
        <x:v>9</x:v>
      </x:c>
      <x:c r="U557" s="21" t="str">
        <x:f>IF(J557="Рассчитано",N557*(1-O557/100),"н/д")</x:f>
        <x:v>н/д</x:v>
      </x:c>
      <x:c r="V557" s="21" t="str">
        <x:f>IF(J557="Рассчитано",T557*U557,"н/д")</x:f>
        <x:v>н/д</x:v>
      </x:c>
      <x:c r="W557" s="21" t="str">
        <x:f>IF(J557="Рассчитано",T557*M557,"н/д")</x:f>
        <x:v>н/д</x:v>
      </x:c>
      <x:c r="X557" s="21" t="str">
        <x:f>IF(J557="Рассчитано",V557-W557,"н/д")</x:f>
        <x:v>н/д</x:v>
      </x:c>
      <x:c r="Y557" s="27" t="str">
        <x:f>IF(J557="Рассчитано",IF(V557&gt;0,G557/V557,"н/д"),"н/д")</x:f>
        <x:v>н/д</x:v>
      </x:c>
      <x:c r="Z557" s="21" t="str">
        <x:f>"н/д"</x:f>
        <x:v>н/д</x:v>
      </x:c>
      <x:c r="AA557" s="21" t="str">
        <x:f>"н/д"</x:f>
        <x:v>н/д</x:v>
      </x:c>
      <x:c r="AB557" s="21" t="str">
        <x:f>"н/д"</x:f>
        <x:v>н/д</x:v>
      </x:c>
      <x:c r="AC557" s="21" t="str">
        <x:f>IF(AND(J557="Рассчитано",T557&gt;0,R557&lt;100),(W557+P557+Q557)/(T557*(1-R557/100)),"н/д")</x:f>
        <x:v>н/д</x:v>
      </x:c>
      <x:c r="AD557" s="10" t="str">
        <x:f>IF(ISNUMBER(G557),IF(G557&lt;0,"Убыток",IF(G557=0,"Без прибыли","Прибыль &gt; 0")),"Не оценён")</x:f>
        <x:v>Не оценён</x:v>
      </x:c>
      <x:c r="AE557" s="13" t="str">
        <x:f>IF(J557="Рассчитано","Выручка "&amp;TEXT(V557,"0.00")&amp;" - себестоимость "&amp;TEXT(W557,"0.00")&amp;" - комиссия "&amp;TEXT(V557*R557/100,"0.00")&amp;" - доставка "&amp;TEXT(P557,"0.00")&amp;" - прочие "&amp;TEXT(Q557,"0.00")&amp;" = "&amp;TEXT(G557,"0.00")&amp;" "&amp;L557,"Введите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7" s="24" t="n">
        <x:v>0.13018071613502077</x:v>
      </x:c>
      <x:c r="AG557" s="37" t="n">
        <x:v>10</x:v>
      </x:c>
      <x:c r="AH557" s="37" t="n">
        <x:v>0</x:v>
      </x:c>
      <x:c r="AI557" s="30" t="n">
        <x:v>46266</x:v>
      </x:c>
      <x:c r="AJ557" s="37"/>
      <x:c r="AK557" s="10" t="str">
        <x:v>неизвестно</x:v>
      </x:c>
      <x:c r="AL557" s="32" t="n">
        <x:v>6532.394251229057</x:v>
      </x:c>
      <x:c r="AM557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557" s="13" t="str">
        <x:v>Проверить свободный остаток и установить цену для B2B</x:v>
      </x:c>
      <x:c r="AO557" s="13" t="str">
        <x:v>Остаток 10; прогноз 90 дней 0.13; избыток 9 шт. Будущие поступления не выставляются на продажу. Остаток на начало сентября: требуется актуализация.</x:v>
      </x:c>
      <x:c r="AP557" s="13" t="str">
        <x:v>["category_missing", "daily_stockout_data_missing", "moq_missing", "new_order_lead_time_unknown", "reservations_unknown", "stale_stock", "supplier_sku_missing"]</x:v>
      </x:c>
      <x:c r="AQ557" s="10" t="str">
        <x:v>IEK:120100220_</x:v>
      </x:c>
      <x:c r="AR557" s="24" t="n">
        <x:v>1</x:v>
      </x:c>
      <x:c r="AS557" s="24" t="n">
        <x:v>0</x:v>
      </x:c>
      <x:c r="AT557" s="24" t="n">
        <x:v>0</x:v>
      </x:c>
    </x:row>
    <x:row r="558" ht="64" customHeight="1">
      <x:c r="A558" s="11" t="str">
        <x:v>IEK</x:v>
      </x:c>
      <x:c r="B558" s="33" t="str">
        <x:v>120100306_</x:v>
      </x:c>
      <x:c r="C558" s="33" t="str">
        <x:v>MKK11-20-20</x:v>
      </x:c>
      <x:c r="D558" s="12" t="str">
        <x:v>Контактор КМ 20-20М AC IEK</x:v>
      </x:c>
      <x:c r="E558" s="11" t="str">
        <x:v>шт</x:v>
      </x:c>
      <x:c r="F558" s="35" t="n">
        <x:f>MAX(0,ROUNDDOWN((AG558-AF558)/AR558+0.000000001,0)*AR558)</x:f>
        <x:v>166</x:v>
      </x:c>
      <x:c r="G558" s="20" t="str">
        <x:f>IF(J558="Рассчитано",V558*(1-R558/100)-W558-P558-Q558,"н/д")</x:f>
        <x:v>н/д</x:v>
      </x:c>
      <x:c r="H558" s="12" t="str">
        <x:v>Высокий</x:v>
      </x:c>
      <x:c r="I558" s="12" t="str">
        <x:v>Средний</x:v>
      </x:c>
      <x:c r="J558" s="12" t="str">
        <x:f>IF(L558="","Укажите валюту",IF(NOT(ISNUMBER(K558)),"Укажите объём",IF(K558&lt;=0,"Укажите объём",IF(K558&gt;F558,"Объём выше излишка",IF(COUNT(M558:O558)&lt;3,"Нужны цены",IF(COUNT(P558:R558)&lt;3,"Нужны расходы",IF(OR(M558&lt;0,N558&lt;0,O558&lt;0,O558&gt;100,P558&lt;0,Q558&lt;0,R558&lt;0,R558&gt;100),"Проверьте значения","Рассчитано")))))))</x:f>
        <x:v>Нужны цены</x:v>
      </x:c>
      <x:c r="K558" s="36" t="n">
        <x:v>166</x:v>
      </x:c>
      <x:c r="L558" s="19" t="str">
        <x:v>KZT</x:v>
      </x:c>
      <x:c r="M558" s="22"/>
      <x:c r="N558" s="22"/>
      <x:c r="O558" s="28"/>
      <x:c r="P558" s="22"/>
      <x:c r="Q558" s="22"/>
      <x:c r="R558" s="28"/>
      <x:c r="S558" s="22"/>
      <x:c r="T558" s="35" t="n">
        <x:f>K558</x:f>
        <x:v>166</x:v>
      </x:c>
      <x:c r="U558" s="20" t="str">
        <x:f>IF(J558="Рассчитано",N558*(1-O558/100),"н/д")</x:f>
        <x:v>н/д</x:v>
      </x:c>
      <x:c r="V558" s="20" t="str">
        <x:f>IF(J558="Рассчитано",T558*U558,"н/д")</x:f>
        <x:v>н/д</x:v>
      </x:c>
      <x:c r="W558" s="20" t="str">
        <x:f>IF(J558="Рассчитано",T558*M558,"н/д")</x:f>
        <x:v>н/д</x:v>
      </x:c>
      <x:c r="X558" s="20" t="str">
        <x:f>IF(J558="Рассчитано",V558-W558,"н/д")</x:f>
        <x:v>н/д</x:v>
      </x:c>
      <x:c r="Y558" s="26" t="str">
        <x:f>IF(J558="Рассчитано",IF(V558&gt;0,G558/V558,"н/д"),"н/д")</x:f>
        <x:v>н/д</x:v>
      </x:c>
      <x:c r="Z558" s="20" t="str">
        <x:f>"н/д"</x:f>
        <x:v>н/д</x:v>
      </x:c>
      <x:c r="AA558" s="20" t="str">
        <x:f>"н/д"</x:f>
        <x:v>н/д</x:v>
      </x:c>
      <x:c r="AB558" s="20" t="str">
        <x:f>"н/д"</x:f>
        <x:v>н/д</x:v>
      </x:c>
      <x:c r="AC558" s="20" t="str">
        <x:f>IF(AND(J558="Рассчитано",T558&gt;0,R558&lt;100),(W558+P558+Q558)/(T558*(1-R558/100)),"н/д")</x:f>
        <x:v>н/д</x:v>
      </x:c>
      <x:c r="AD558" s="11" t="str">
        <x:f>IF(ISNUMBER(G558),IF(G558&lt;0,"Убыток",IF(G558=0,"Без прибыли","Прибыль &gt; 0")),"Не оценён")</x:f>
        <x:v>Не оценён</x:v>
      </x:c>
      <x:c r="AE558" s="12" t="str">
        <x:f>IF(J558="Рассчитано","Выручка "&amp;TEXT(V558,"0.00")&amp;" - себестоимость "&amp;TEXT(W558,"0.00")&amp;" - комиссия "&amp;TEXT(V558*R558/100,"0.00")&amp;" - доставка "&amp;TEXT(P558,"0.00")&amp;" - прочие "&amp;TEXT(Q558,"0.00")&amp;" = "&amp;TEXT(G558,"0.00")&amp;" "&amp;L558,"Введите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8" s="23" t="n">
        <x:v>267.4303012284447</x:v>
      </x:c>
      <x:c r="AG558" s="35" t="n">
        <x:v>434</x:v>
      </x:c>
      <x:c r="AH558" s="35" t="n">
        <x:v>0</x:v>
      </x:c>
      <x:c r="AI558" s="29" t="n">
        <x:v>46266</x:v>
      </x:c>
      <x:c r="AJ558" s="35" t="n">
        <x:v>1</x:v>
      </x:c>
      <x:c r="AK558" s="11" t="str">
        <x:v>минимум</x:v>
      </x:c>
      <x:c r="AL558" s="31" t="n">
        <x:v>138.00606097477817</x:v>
      </x:c>
      <x:c r="AM55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58" s="12" t="str">
        <x:v>Проверить свободный остаток и установить цену для B2B</x:v>
      </x:c>
      <x:c r="AO558" s="12" t="str">
        <x:v>Остаток 434; прогноз 90 дней 267.43; избыток 166 шт. Будущие поступления не выставляются на продажу. Остаток на начало сентября: требуется актуализация.</x:v>
      </x:c>
      <x:c r="AP558" s="12" t="str">
        <x:v>["category_missing", "daily_stockout_data_missing", "large_orders_detected", "new_order_lead_time_unknown", "reservations_unknown", "stale_stock", "transaction_month_mismatch"]</x:v>
      </x:c>
      <x:c r="AQ558" s="11" t="str">
        <x:v>IEK:120100306_</x:v>
      </x:c>
      <x:c r="AR558" s="23" t="n">
        <x:v>1</x:v>
      </x:c>
      <x:c r="AS558" s="23" t="n">
        <x:v>0</x:v>
      </x:c>
      <x:c r="AT558" s="23" t="n">
        <x:v>0</x:v>
      </x:c>
    </x:row>
    <x:row r="559" ht="64" customHeight="1">
      <x:c r="A559" s="10" t="str">
        <x:v>IEK</x:v>
      </x:c>
      <x:c r="B559" s="34" t="str">
        <x:v>120100319_</x:v>
      </x:c>
      <x:c r="C559" s="34"/>
      <x:c r="D559" s="13" t="str">
        <x:v>Контактор КМ 25-40М AC/DC IEK !!!</x:v>
      </x:c>
      <x:c r="E559" s="10" t="str">
        <x:v>шт</x:v>
      </x:c>
      <x:c r="F559" s="37" t="n">
        <x:f>MAX(0,ROUNDDOWN((AG559-AF559)/AR559+0.000000001,0)*AR559)</x:f>
        <x:v>20</x:v>
      </x:c>
      <x:c r="G559" s="21" t="str">
        <x:f>IF(J559="Рассчитано",V559*(1-R559/100)-W559-P559-Q559,"н/д")</x:f>
        <x:v>н/д</x:v>
      </x:c>
      <x:c r="H559" s="13" t="str">
        <x:v>Высокий</x:v>
      </x:c>
      <x:c r="I559" s="13" t="str">
        <x:v>Высокий</x:v>
      </x:c>
      <x:c r="J559" s="13" t="str">
        <x:f>IF(L559="","Укажите валюту",IF(NOT(ISNUMBER(K559)),"Укажите объём",IF(K559&lt;=0,"Укажите объём",IF(K559&gt;F559,"Объём выше излишка",IF(COUNT(M559:O559)&lt;3,"Нужны цены",IF(COUNT(P559:R559)&lt;3,"Нужны расходы",IF(OR(M559&lt;0,N559&lt;0,O559&lt;0,O559&gt;100,P559&lt;0,Q559&lt;0,R559&lt;0,R559&gt;100),"Проверьте значения","Рассчитано")))))))</x:f>
        <x:v>Нужны цены</x:v>
      </x:c>
      <x:c r="K559" s="36" t="n">
        <x:v>20</x:v>
      </x:c>
      <x:c r="L559" s="19" t="str">
        <x:v>KZT</x:v>
      </x:c>
      <x:c r="M559" s="22"/>
      <x:c r="N559" s="22"/>
      <x:c r="O559" s="28"/>
      <x:c r="P559" s="22"/>
      <x:c r="Q559" s="22"/>
      <x:c r="R559" s="28"/>
      <x:c r="S559" s="22"/>
      <x:c r="T559" s="37" t="n">
        <x:f>K559</x:f>
        <x:v>20</x:v>
      </x:c>
      <x:c r="U559" s="21" t="str">
        <x:f>IF(J559="Рассчитано",N559*(1-O559/100),"н/д")</x:f>
        <x:v>н/д</x:v>
      </x:c>
      <x:c r="V559" s="21" t="str">
        <x:f>IF(J559="Рассчитано",T559*U559,"н/д")</x:f>
        <x:v>н/д</x:v>
      </x:c>
      <x:c r="W559" s="21" t="str">
        <x:f>IF(J559="Рассчитано",T559*M559,"н/д")</x:f>
        <x:v>н/д</x:v>
      </x:c>
      <x:c r="X559" s="21" t="str">
        <x:f>IF(J559="Рассчитано",V559-W559,"н/д")</x:f>
        <x:v>н/д</x:v>
      </x:c>
      <x:c r="Y559" s="27" t="str">
        <x:f>IF(J559="Рассчитано",IF(V559&gt;0,G559/V559,"н/д"),"н/д")</x:f>
        <x:v>н/д</x:v>
      </x:c>
      <x:c r="Z559" s="21" t="str">
        <x:f>"н/д"</x:f>
        <x:v>н/д</x:v>
      </x:c>
      <x:c r="AA559" s="21" t="str">
        <x:f>"н/д"</x:f>
        <x:v>н/д</x:v>
      </x:c>
      <x:c r="AB559" s="21" t="str">
        <x:f>"н/д"</x:f>
        <x:v>н/д</x:v>
      </x:c>
      <x:c r="AC559" s="21" t="str">
        <x:f>IF(AND(J559="Рассчитано",T559&gt;0,R559&lt;100),(W559+P559+Q559)/(T559*(1-R559/100)),"н/д")</x:f>
        <x:v>н/д</x:v>
      </x:c>
      <x:c r="AD559" s="10" t="str">
        <x:f>IF(ISNUMBER(G559),IF(G559&lt;0,"Убыток",IF(G559=0,"Без прибыли","Прибыль &gt; 0")),"Не оценён")</x:f>
        <x:v>Не оценён</x:v>
      </x:c>
      <x:c r="AE559" s="13" t="str">
        <x:f>IF(J559="Рассчитано","Выручка "&amp;TEXT(V559,"0.00")&amp;" - себестоимость "&amp;TEXT(W559,"0.00")&amp;" - комиссия "&amp;TEXT(V559*R559/100,"0.00")&amp;" - доставка "&amp;TEXT(P559,"0.00")&amp;" - прочие "&amp;TEXT(Q559,"0.00")&amp;" = "&amp;TEXT(G559,"0.00")&amp;" "&amp;L559,"Введите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9" s="24" t="n">
        <x:v>0</x:v>
      </x:c>
      <x:c r="AG559" s="37" t="n">
        <x:v>20</x:v>
      </x:c>
      <x:c r="AH559" s="37" t="n">
        <x:v>0</x:v>
      </x:c>
      <x:c r="AI559" s="30" t="n">
        <x:v>46266</x:v>
      </x:c>
      <x:c r="AJ559" s="37"/>
      <x:c r="AK559" s="10" t="str">
        <x:v>неизвестно</x:v>
      </x:c>
      <x:c r="AL559" s="32" t="str">
        <x:v>н/д</x:v>
      </x:c>
      <x:c r="AM55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559" s="13" t="str">
        <x:v>Проверить свободный остаток и установить цену для B2B</x:v>
      </x:c>
      <x:c r="AO559" s="13" t="str">
        <x:v>Остаток 20; прогноз 90 дней 0.00; избыток 20 шт. Будущие поступления не выставляются на продажу. Остаток на начало сентября: требуется актуализация.</x:v>
      </x:c>
      <x:c r="AP559" s="13" t="str">
        <x:v>["category_missing", "daily_stockout_data_missing", "moq_missing", "new_order_lead_time_unknown", "reservations_unknown", "stale_stock", "supplier_sku_missing"]</x:v>
      </x:c>
      <x:c r="AQ559" s="10" t="str">
        <x:v>IEK:120100319_</x:v>
      </x:c>
      <x:c r="AR559" s="24" t="n">
        <x:v>1</x:v>
      </x:c>
      <x:c r="AS559" s="24" t="n">
        <x:v>0</x:v>
      </x:c>
      <x:c r="AT559" s="24" t="n">
        <x:v>0</x:v>
      </x:c>
    </x:row>
    <x:row r="560" ht="64" customHeight="1">
      <x:c r="A560" s="11" t="str">
        <x:v>IEK</x:v>
      </x:c>
      <x:c r="B560" s="33" t="str">
        <x:v>120100325_</x:v>
      </x:c>
      <x:c r="C560" s="33" t="str">
        <x:v>MKK11-40-20</x:v>
      </x:c>
      <x:c r="D560" s="12" t="str">
        <x:v>Контактор КМ 40-20М AC IEK E-PRO</x:v>
      </x:c>
      <x:c r="E560" s="11" t="str">
        <x:v>шт</x:v>
      </x:c>
      <x:c r="F560" s="35" t="n">
        <x:f>MAX(0,ROUNDDOWN((AG560-AF560)/AR560+0.000000001,0)*AR560)</x:f>
        <x:v>31</x:v>
      </x:c>
      <x:c r="G560" s="20" t="str">
        <x:f>IF(J560="Рассчитано",V560*(1-R560/100)-W560-P560-Q560,"н/д")</x:f>
        <x:v>н/д</x:v>
      </x:c>
      <x:c r="H560" s="12" t="str">
        <x:v>Высокий</x:v>
      </x:c>
      <x:c r="I560" s="12" t="str">
        <x:v>Средний</x:v>
      </x:c>
      <x:c r="J560" s="12" t="str">
        <x:f>IF(L560="","Укажите валюту",IF(NOT(ISNUMBER(K560)),"Укажите объём",IF(K560&lt;=0,"Укажите объём",IF(K560&gt;F560,"Объём выше излишка",IF(COUNT(M560:O560)&lt;3,"Нужны цены",IF(COUNT(P560:R560)&lt;3,"Нужны расходы",IF(OR(M560&lt;0,N560&lt;0,O560&lt;0,O560&gt;100,P560&lt;0,Q560&lt;0,R560&lt;0,R560&gt;100),"Проверьте значения","Рассчитано")))))))</x:f>
        <x:v>Нужны цены</x:v>
      </x:c>
      <x:c r="K560" s="36" t="n">
        <x:v>31</x:v>
      </x:c>
      <x:c r="L560" s="19" t="str">
        <x:v>KZT</x:v>
      </x:c>
      <x:c r="M560" s="22"/>
      <x:c r="N560" s="22"/>
      <x:c r="O560" s="28"/>
      <x:c r="P560" s="22"/>
      <x:c r="Q560" s="22"/>
      <x:c r="R560" s="28"/>
      <x:c r="S560" s="22"/>
      <x:c r="T560" s="35" t="n">
        <x:f>K560</x:f>
        <x:v>31</x:v>
      </x:c>
      <x:c r="U560" s="20" t="str">
        <x:f>IF(J560="Рассчитано",N560*(1-O560/100),"н/д")</x:f>
        <x:v>н/д</x:v>
      </x:c>
      <x:c r="V560" s="20" t="str">
        <x:f>IF(J560="Рассчитано",T560*U560,"н/д")</x:f>
        <x:v>н/д</x:v>
      </x:c>
      <x:c r="W560" s="20" t="str">
        <x:f>IF(J560="Рассчитано",T560*M560,"н/д")</x:f>
        <x:v>н/д</x:v>
      </x:c>
      <x:c r="X560" s="20" t="str">
        <x:f>IF(J560="Рассчитано",V560-W560,"н/д")</x:f>
        <x:v>н/д</x:v>
      </x:c>
      <x:c r="Y560" s="26" t="str">
        <x:f>IF(J560="Рассчитано",IF(V560&gt;0,G560/V560,"н/д"),"н/д")</x:f>
        <x:v>н/д</x:v>
      </x:c>
      <x:c r="Z560" s="20" t="str">
        <x:f>"н/д"</x:f>
        <x:v>н/д</x:v>
      </x:c>
      <x:c r="AA560" s="20" t="str">
        <x:f>"н/д"</x:f>
        <x:v>н/д</x:v>
      </x:c>
      <x:c r="AB560" s="20" t="str">
        <x:f>"н/д"</x:f>
        <x:v>н/д</x:v>
      </x:c>
      <x:c r="AC560" s="20" t="str">
        <x:f>IF(AND(J560="Рассчитано",T560&gt;0,R560&lt;100),(W560+P560+Q560)/(T560*(1-R560/100)),"н/д")</x:f>
        <x:v>н/д</x:v>
      </x:c>
      <x:c r="AD560" s="11" t="str">
        <x:f>IF(ISNUMBER(G560),IF(G560&lt;0,"Убыток",IF(G560=0,"Без прибыли","Прибыль &gt; 0")),"Не оценён")</x:f>
        <x:v>Не оценён</x:v>
      </x:c>
      <x:c r="AE560" s="12" t="str">
        <x:f>IF(J560="Рассчитано","Выручка "&amp;TEXT(V560,"0.00")&amp;" - себестоимость "&amp;TEXT(W560,"0.00")&amp;" - комиссия "&amp;TEXT(V560*R560/100,"0.00")&amp;" - доставка "&amp;TEXT(P560,"0.00")&amp;" - прочие "&amp;TEXT(Q560,"0.00")&amp;" = "&amp;TEXT(G560,"0.00")&amp;" "&amp;L560,"Введите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0" s="23" t="n">
        <x:v>43.20146837900907</x:v>
      </x:c>
      <x:c r="AG560" s="35" t="n">
        <x:v>75</x:v>
      </x:c>
      <x:c r="AH560" s="35" t="n">
        <x:v>0</x:v>
      </x:c>
      <x:c r="AI560" s="29" t="n">
        <x:v>46266</x:v>
      </x:c>
      <x:c r="AJ560" s="35" t="n">
        <x:v>1</x:v>
      </x:c>
      <x:c r="AK560" s="11" t="str">
        <x:v>минимум</x:v>
      </x:c>
      <x:c r="AL560" s="31" t="n">
        <x:v>147.63244056441903</x:v>
      </x:c>
      <x:c r="AM56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60" s="12" t="str">
        <x:v>Проверить свободный остаток и установить цену для B2B</x:v>
      </x:c>
      <x:c r="AO560" s="12" t="str">
        <x:v>Остаток 75; прогноз 90 дней 43.20; избыток 31 шт. Будущие поступления не выставляются на продажу. Остаток на начало сентября: требуется актуализация.</x:v>
      </x:c>
      <x:c r="AP560" s="12" t="str">
        <x:v>["category_missing", "daily_stockout_data_missing", "large_orders_detected", "new_order_lead_time_unknown", "reservations_unknown", "stale_stock", "transaction_month_mismatch"]</x:v>
      </x:c>
      <x:c r="AQ560" s="11" t="str">
        <x:v>IEK:120100325_</x:v>
      </x:c>
      <x:c r="AR560" s="23" t="n">
        <x:v>1</x:v>
      </x:c>
      <x:c r="AS560" s="23" t="n">
        <x:v>0</x:v>
      </x:c>
      <x:c r="AT560" s="23" t="n">
        <x:v>0</x:v>
      </x:c>
    </x:row>
    <x:row r="561" ht="64" customHeight="1">
      <x:c r="A561" s="10" t="str">
        <x:v>IEK</x:v>
      </x:c>
      <x:c r="B561" s="34" t="str">
        <x:v>120300008_</x:v>
      </x:c>
      <x:c r="C561" s="34" t="str">
        <x:v>KKT50-115-230-10</x:v>
      </x:c>
      <x:c r="D561" s="13" t="str">
        <x:v>Контактор  КТИ 5115  115А 230В IEK (1/4)</x:v>
      </x:c>
      <x:c r="E561" s="10" t="str">
        <x:v>шт</x:v>
      </x:c>
      <x:c r="F561" s="37" t="n">
        <x:f>MAX(0,ROUNDDOWN((AG561-AF561)/AR561+0.000000001,0)*AR561)</x:f>
        <x:v>1</x:v>
      </x:c>
      <x:c r="G561" s="21" t="str">
        <x:f>IF(J561="Рассчитано",V561*(1-R561/100)-W561-P561-Q561,"н/д")</x:f>
        <x:v>н/д</x:v>
      </x:c>
      <x:c r="H561" s="13" t="str">
        <x:v>Высокий</x:v>
      </x:c>
      <x:c r="I561" s="13" t="str">
        <x:v>Средний</x:v>
      </x:c>
      <x:c r="J561" s="13" t="str">
        <x:f>IF(L561="","Укажите валюту",IF(NOT(ISNUMBER(K561)),"Укажите объём",IF(K561&lt;=0,"Укажите объём",IF(K561&gt;F561,"Объём выше излишка",IF(COUNT(M561:O561)&lt;3,"Нужны цены",IF(COUNT(P561:R561)&lt;3,"Нужны расходы",IF(OR(M561&lt;0,N561&lt;0,O561&lt;0,O561&gt;100,P561&lt;0,Q561&lt;0,R561&lt;0,R561&gt;100),"Проверьте значения","Рассчитано")))))))</x:f>
        <x:v>Нужны цены</x:v>
      </x:c>
      <x:c r="K561" s="36" t="n">
        <x:v>1</x:v>
      </x:c>
      <x:c r="L561" s="19" t="str">
        <x:v>KZT</x:v>
      </x:c>
      <x:c r="M561" s="22"/>
      <x:c r="N561" s="22"/>
      <x:c r="O561" s="28"/>
      <x:c r="P561" s="22"/>
      <x:c r="Q561" s="22"/>
      <x:c r="R561" s="28"/>
      <x:c r="S561" s="22"/>
      <x:c r="T561" s="37" t="n">
        <x:f>K561</x:f>
        <x:v>1</x:v>
      </x:c>
      <x:c r="U561" s="21" t="str">
        <x:f>IF(J561="Рассчитано",N561*(1-O561/100),"н/д")</x:f>
        <x:v>н/д</x:v>
      </x:c>
      <x:c r="V561" s="21" t="str">
        <x:f>IF(J561="Рассчитано",T561*U561,"н/д")</x:f>
        <x:v>н/д</x:v>
      </x:c>
      <x:c r="W561" s="21" t="str">
        <x:f>IF(J561="Рассчитано",T561*M561,"н/д")</x:f>
        <x:v>н/д</x:v>
      </x:c>
      <x:c r="X561" s="21" t="str">
        <x:f>IF(J561="Рассчитано",V561-W561,"н/д")</x:f>
        <x:v>н/д</x:v>
      </x:c>
      <x:c r="Y561" s="27" t="str">
        <x:f>IF(J561="Рассчитано",IF(V561&gt;0,G561/V561,"н/д"),"н/д")</x:f>
        <x:v>н/д</x:v>
      </x:c>
      <x:c r="Z561" s="21" t="str">
        <x:f>"н/д"</x:f>
        <x:v>н/д</x:v>
      </x:c>
      <x:c r="AA561" s="21" t="str">
        <x:f>"н/д"</x:f>
        <x:v>н/д</x:v>
      </x:c>
      <x:c r="AB561" s="21" t="str">
        <x:f>"н/д"</x:f>
        <x:v>н/д</x:v>
      </x:c>
      <x:c r="AC561" s="21" t="str">
        <x:f>IF(AND(J561="Рассчитано",T561&gt;0,R561&lt;100),(W561+P561+Q561)/(T561*(1-R561/100)),"н/д")</x:f>
        <x:v>н/д</x:v>
      </x:c>
      <x:c r="AD561" s="10" t="str">
        <x:f>IF(ISNUMBER(G561),IF(G561&lt;0,"Убыток",IF(G561=0,"Без прибыли","Прибыль &gt; 0")),"Не оценён")</x:f>
        <x:v>Не оценён</x:v>
      </x:c>
      <x:c r="AE561" s="13" t="str">
        <x:f>IF(J561="Рассчитано","Выручка "&amp;TEXT(V561,"0.00")&amp;" - себестоимость "&amp;TEXT(W561,"0.00")&amp;" - комиссия "&amp;TEXT(V561*R561/100,"0.00")&amp;" - доставка "&amp;TEXT(P561,"0.00")&amp;" - прочие "&amp;TEXT(Q561,"0.00")&amp;" = "&amp;TEXT(G561,"0.00")&amp;" "&amp;L561,"Введите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1" s="24" t="n">
        <x:v>19.99475930799641</x:v>
      </x:c>
      <x:c r="AG561" s="37" t="n">
        <x:v>21</x:v>
      </x:c>
      <x:c r="AH561" s="37" t="n">
        <x:v>0</x:v>
      </x:c>
      <x:c r="AI561" s="30" t="n">
        <x:v>46266</x:v>
      </x:c>
      <x:c r="AJ561" s="37" t="n">
        <x:v>1</x:v>
      </x:c>
      <x:c r="AK561" s="10" t="str">
        <x:v>минимум</x:v>
      </x:c>
      <x:c r="AL561" s="32" t="n">
        <x:v>89.31453847801605</x:v>
      </x:c>
      <x:c r="AM561" s="13" t="str">
        <x:v>Остаток на начало сентября; Резервы неизвестны; Нет ежедневных данных доступности. Запас выше прогноза на 90 дней</x:v>
      </x:c>
      <x:c r="AN561" s="13" t="str">
        <x:v>Проверить свободный остаток и установить цену для B2B</x:v>
      </x:c>
      <x:c r="AO561" s="13" t="str">
        <x:v>Остаток 21; прогноз 90 дней 19.99; избыток 1 шт. Будущие поступления не выставляются на продажу. Остаток на начало сентября: требуется актуализация.</x:v>
      </x:c>
      <x:c r="AP561" s="13" t="str">
        <x:v>["category_missing", "daily_stockout_data_missing", "large_orders_detected", "new_order_lead_time_unknown", "reservations_unknown", "stale_stock"]</x:v>
      </x:c>
      <x:c r="AQ561" s="10" t="str">
        <x:v>IEK:120300008_</x:v>
      </x:c>
      <x:c r="AR561" s="24" t="n">
        <x:v>1</x:v>
      </x:c>
      <x:c r="AS561" s="24" t="n">
        <x:v>0</x:v>
      </x:c>
      <x:c r="AT561" s="24" t="n">
        <x:v>0</x:v>
      </x:c>
    </x:row>
    <x:row r="562" ht="64" customHeight="1">
      <x:c r="A562" s="11" t="str">
        <x:v>IEK</x:v>
      </x:c>
      <x:c r="B562" s="33" t="str">
        <x:v>120300023_</x:v>
      </x:c>
      <x:c r="C562" s="33" t="str">
        <x:v>KKT50-115-400-10</x:v>
      </x:c>
      <x:c r="D562" s="12" t="str">
        <x:v>Контактор  КТИ 5115  115А 400В IEK (1/4)</x:v>
      </x:c>
      <x:c r="E562" s="11" t="str">
        <x:v>шт</x:v>
      </x:c>
      <x:c r="F562" s="35" t="n">
        <x:f>MAX(0,ROUNDDOWN((AG562-AF562)/AR562+0.000000001,0)*AR562)</x:f>
        <x:v>3</x:v>
      </x:c>
      <x:c r="G562" s="20" t="str">
        <x:f>IF(J562="Рассчитано",V562*(1-R562/100)-W562-P562-Q562,"н/д")</x:f>
        <x:v>н/д</x:v>
      </x:c>
      <x:c r="H562" s="12" t="str">
        <x:v>Высокий</x:v>
      </x:c>
      <x:c r="I562" s="12" t="str">
        <x:v>Высокий</x:v>
      </x:c>
      <x:c r="J562" s="12" t="str">
        <x:f>IF(L562="","Укажите валюту",IF(NOT(ISNUMBER(K562)),"Укажите объём",IF(K562&lt;=0,"Укажите объём",IF(K562&gt;F562,"Объём выше излишка",IF(COUNT(M562:O562)&lt;3,"Нужны цены",IF(COUNT(P562:R562)&lt;3,"Нужны расходы",IF(OR(M562&lt;0,N562&lt;0,O562&lt;0,O562&gt;100,P562&lt;0,Q562&lt;0,R562&lt;0,R562&gt;100),"Проверьте значения","Рассчитано")))))))</x:f>
        <x:v>Нужны цены</x:v>
      </x:c>
      <x:c r="K562" s="36" t="n">
        <x:v>3</x:v>
      </x:c>
      <x:c r="L562" s="19" t="str">
        <x:v>KZT</x:v>
      </x:c>
      <x:c r="M562" s="22"/>
      <x:c r="N562" s="22"/>
      <x:c r="O562" s="28"/>
      <x:c r="P562" s="22"/>
      <x:c r="Q562" s="22"/>
      <x:c r="R562" s="28"/>
      <x:c r="S562" s="22"/>
      <x:c r="T562" s="35" t="n">
        <x:f>K562</x:f>
        <x:v>3</x:v>
      </x:c>
      <x:c r="U562" s="20" t="str">
        <x:f>IF(J562="Рассчитано",N562*(1-O562/100),"н/д")</x:f>
        <x:v>н/д</x:v>
      </x:c>
      <x:c r="V562" s="20" t="str">
        <x:f>IF(J562="Рассчитано",T562*U562,"н/д")</x:f>
        <x:v>н/д</x:v>
      </x:c>
      <x:c r="W562" s="20" t="str">
        <x:f>IF(J562="Рассчитано",T562*M562,"н/д")</x:f>
        <x:v>н/д</x:v>
      </x:c>
      <x:c r="X562" s="20" t="str">
        <x:f>IF(J562="Рассчитано",V562-W562,"н/д")</x:f>
        <x:v>н/д</x:v>
      </x:c>
      <x:c r="Y562" s="26" t="str">
        <x:f>IF(J562="Рассчитано",IF(V562&gt;0,G562/V562,"н/д"),"н/д")</x:f>
        <x:v>н/д</x:v>
      </x:c>
      <x:c r="Z562" s="20" t="str">
        <x:f>"н/д"</x:f>
        <x:v>н/д</x:v>
      </x:c>
      <x:c r="AA562" s="20" t="str">
        <x:f>"н/д"</x:f>
        <x:v>н/д</x:v>
      </x:c>
      <x:c r="AB562" s="20" t="str">
        <x:f>"н/д"</x:f>
        <x:v>н/д</x:v>
      </x:c>
      <x:c r="AC562" s="20" t="str">
        <x:f>IF(AND(J562="Рассчитано",T562&gt;0,R562&lt;100),(W562+P562+Q562)/(T562*(1-R562/100)),"н/д")</x:f>
        <x:v>н/д</x:v>
      </x:c>
      <x:c r="AD562" s="11" t="str">
        <x:f>IF(ISNUMBER(G562),IF(G562&lt;0,"Убыток",IF(G562=0,"Без прибыли","Прибыль &gt; 0")),"Не оценён")</x:f>
        <x:v>Не оценён</x:v>
      </x:c>
      <x:c r="AE562" s="12" t="str">
        <x:f>IF(J562="Рассчитано","Выручка "&amp;TEXT(V562,"0.00")&amp;" - себестоимость "&amp;TEXT(W562,"0.00")&amp;" - комиссия "&amp;TEXT(V562*R562/100,"0.00")&amp;" - доставка "&amp;TEXT(P562,"0.00")&amp;" - прочие "&amp;TEXT(Q562,"0.00")&amp;" = "&amp;TEXT(G562,"0.00")&amp;" "&amp;L562,"Введите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2" s="23" t="n">
        <x:v>2.2446493121422417</x:v>
      </x:c>
      <x:c r="AG562" s="35" t="n">
        <x:v>6</x:v>
      </x:c>
      <x:c r="AH562" s="35" t="n">
        <x:v>0</x:v>
      </x:c>
      <x:c r="AI562" s="29" t="n">
        <x:v>46266</x:v>
      </x:c>
      <x:c r="AJ562" s="35" t="n">
        <x:v>1</x:v>
      </x:c>
      <x:c r="AK562" s="11" t="str">
        <x:v>минимум</x:v>
      </x:c>
      <x:c r="AL562" s="31" t="n">
        <x:v>227.3117026613916</x:v>
      </x:c>
      <x:c r="AM56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62" s="12" t="str">
        <x:v>Проверить свободный остаток и установить цену для B2B</x:v>
      </x:c>
      <x:c r="AO562" s="12" t="str">
        <x:v>Остаток 6; прогноз 90 дней 2.24; избыток 3 шт. Будущие поступления не выставляются на продажу. Остаток на начало сентября: требуется актуализация.</x:v>
      </x:c>
      <x:c r="AP562" s="12" t="str">
        <x:v>["category_missing", "daily_stockout_data_missing", "new_order_lead_time_unknown", "reservations_unknown", "stale_stock"]</x:v>
      </x:c>
      <x:c r="AQ562" s="11" t="str">
        <x:v>IEK:120300023_</x:v>
      </x:c>
      <x:c r="AR562" s="23" t="n">
        <x:v>1</x:v>
      </x:c>
      <x:c r="AS562" s="23" t="n">
        <x:v>0</x:v>
      </x:c>
      <x:c r="AT562" s="23" t="n">
        <x:v>0</x:v>
      </x:c>
    </x:row>
    <x:row r="563" ht="64" customHeight="1">
      <x:c r="A563" s="10" t="str">
        <x:v>IEK</x:v>
      </x:c>
      <x:c r="B563" s="34" t="str">
        <x:v>130200006_</x:v>
      </x:c>
      <x:c r="C563" s="34" t="str">
        <x:v>YNN10-14-100</x:v>
      </x:c>
      <x:c r="D563" s="13" t="str">
        <x:v>Шина "N" нулевая 6х9мм 14/1 (крепеж по центру) IEK (10)</x:v>
      </x:c>
      <x:c r="E563" s="10" t="str">
        <x:v>шт</x:v>
      </x:c>
      <x:c r="F563" s="37" t="n">
        <x:f>MAX(0,ROUNDDOWN((AG563-AF563)/AR563+0.000000001,0)*AR563)</x:f>
        <x:v>171</x:v>
      </x:c>
      <x:c r="G563" s="21" t="str">
        <x:f>IF(J563="Рассчитано",V563*(1-R563/100)-W563-P563-Q563,"н/д")</x:f>
        <x:v>н/д</x:v>
      </x:c>
      <x:c r="H563" s="13" t="str">
        <x:v>Высокий</x:v>
      </x:c>
      <x:c r="I563" s="13" t="str">
        <x:v>Высокий</x:v>
      </x:c>
      <x:c r="J563" s="13" t="str">
        <x:f>IF(L563="","Укажите валюту",IF(NOT(ISNUMBER(K563)),"Укажите объём",IF(K563&lt;=0,"Укажите объём",IF(K563&gt;F563,"Объём выше излишка",IF(COUNT(M563:O563)&lt;3,"Нужны цены",IF(COUNT(P563:R563)&lt;3,"Нужны расходы",IF(OR(M563&lt;0,N563&lt;0,O563&lt;0,O563&gt;100,P563&lt;0,Q563&lt;0,R563&lt;0,R563&gt;100),"Проверьте значения","Рассчитано")))))))</x:f>
        <x:v>Нужны цены</x:v>
      </x:c>
      <x:c r="K563" s="36" t="n">
        <x:v>171</x:v>
      </x:c>
      <x:c r="L563" s="19" t="str">
        <x:v>KZT</x:v>
      </x:c>
      <x:c r="M563" s="22"/>
      <x:c r="N563" s="22"/>
      <x:c r="O563" s="28"/>
      <x:c r="P563" s="22"/>
      <x:c r="Q563" s="22"/>
      <x:c r="R563" s="28"/>
      <x:c r="S563" s="22"/>
      <x:c r="T563" s="37" t="n">
        <x:f>K563</x:f>
        <x:v>171</x:v>
      </x:c>
      <x:c r="U563" s="21" t="str">
        <x:f>IF(J563="Рассчитано",N563*(1-O563/100),"н/д")</x:f>
        <x:v>н/д</x:v>
      </x:c>
      <x:c r="V563" s="21" t="str">
        <x:f>IF(J563="Рассчитано",T563*U563,"н/д")</x:f>
        <x:v>н/д</x:v>
      </x:c>
      <x:c r="W563" s="21" t="str">
        <x:f>IF(J563="Рассчитано",T563*M563,"н/д")</x:f>
        <x:v>н/д</x:v>
      </x:c>
      <x:c r="X563" s="21" t="str">
        <x:f>IF(J563="Рассчитано",V563-W563,"н/д")</x:f>
        <x:v>н/д</x:v>
      </x:c>
      <x:c r="Y563" s="27" t="str">
        <x:f>IF(J563="Рассчитано",IF(V563&gt;0,G563/V563,"н/д"),"н/д")</x:f>
        <x:v>н/д</x:v>
      </x:c>
      <x:c r="Z563" s="21" t="str">
        <x:f>"н/д"</x:f>
        <x:v>н/д</x:v>
      </x:c>
      <x:c r="AA563" s="21" t="str">
        <x:f>"н/д"</x:f>
        <x:v>н/д</x:v>
      </x:c>
      <x:c r="AB563" s="21" t="str">
        <x:f>"н/д"</x:f>
        <x:v>н/д</x:v>
      </x:c>
      <x:c r="AC563" s="21" t="str">
        <x:f>IF(AND(J563="Рассчитано",T563&gt;0,R563&lt;100),(W563+P563+Q563)/(T563*(1-R563/100)),"н/д")</x:f>
        <x:v>н/д</x:v>
      </x:c>
      <x:c r="AD563" s="10" t="str">
        <x:f>IF(ISNUMBER(G563),IF(G563&lt;0,"Убыток",IF(G563=0,"Без прибыли","Прибыль &gt; 0")),"Не оценён")</x:f>
        <x:v>Не оценён</x:v>
      </x:c>
      <x:c r="AE563" s="13" t="str">
        <x:f>IF(J563="Рассчитано","Выручка "&amp;TEXT(V563,"0.00")&amp;" - себестоимость "&amp;TEXT(W563,"0.00")&amp;" - комиссия "&amp;TEXT(V563*R563/100,"0.00")&amp;" - доставка "&amp;TEXT(P563,"0.00")&amp;" - прочие "&amp;TEXT(Q563,"0.00")&amp;" = "&amp;TEXT(G563,"0.00")&amp;" "&amp;L563,"Введите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3" s="24" t="n">
        <x:v>42.8927936461544</x:v>
      </x:c>
      <x:c r="AG563" s="37" t="n">
        <x:v>214</x:v>
      </x:c>
      <x:c r="AH563" s="37" t="n">
        <x:v>0</x:v>
      </x:c>
      <x:c r="AI563" s="30" t="n">
        <x:v>46266</x:v>
      </x:c>
      <x:c r="AJ563" s="37" t="n">
        <x:v>10</x:v>
      </x:c>
      <x:c r="AK563" s="10" t="str">
        <x:v>минимум</x:v>
      </x:c>
      <x:c r="AL563" s="32" t="n">
        <x:v>424.27601826394925</x:v>
      </x:c>
      <x:c r="AM5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63" s="13" t="str">
        <x:v>Проверить свободный остаток и установить цену для B2B</x:v>
      </x:c>
      <x:c r="AO563" s="13" t="str">
        <x:v>Остаток 214; прогноз 90 дней 42.89; избыток 171 шт. Будущие поступления не выставляются на продажу. Остаток на начало сентября: требуется актуализация.</x:v>
      </x:c>
      <x:c r="AP563" s="13" t="str">
        <x:v>["category_missing", "daily_stockout_data_missing", "new_order_lead_time_unknown", "reservations_unknown", "stale_stock"]</x:v>
      </x:c>
      <x:c r="AQ563" s="10" t="str">
        <x:v>IEK:130200006_</x:v>
      </x:c>
      <x:c r="AR563" s="24" t="n">
        <x:v>1</x:v>
      </x:c>
      <x:c r="AS563" s="24" t="n">
        <x:v>0</x:v>
      </x:c>
      <x:c r="AT563" s="24" t="n">
        <x:v>0</x:v>
      </x:c>
    </x:row>
    <x:row r="564" ht="64" customHeight="1">
      <x:c r="A564" s="11" t="str">
        <x:v>IEK</x:v>
      </x:c>
      <x:c r="B564" s="33" t="str">
        <x:v>130200008_</x:v>
      </x:c>
      <x:c r="C564" s="33" t="str">
        <x:v>YNN20-14-100</x:v>
      </x:c>
      <x:c r="D564" s="12" t="str">
        <x:v>Шина "N" нулевая 8х12мм 14/1 (крепеж по центру) IEK (10)</x:v>
      </x:c>
      <x:c r="E564" s="11" t="str">
        <x:v>шт</x:v>
      </x:c>
      <x:c r="F564" s="35" t="n">
        <x:f>MAX(0,ROUNDDOWN((AG564-AF564)/AR564+0.000000001,0)*AR564)</x:f>
        <x:v>3</x:v>
      </x:c>
      <x:c r="G564" s="20" t="str">
        <x:f>IF(J564="Рассчитано",V564*(1-R564/100)-W564-P564-Q564,"н/д")</x:f>
        <x:v>н/д</x:v>
      </x:c>
      <x:c r="H564" s="12" t="str">
        <x:v>Высокий</x:v>
      </x:c>
      <x:c r="I564" s="12" t="str">
        <x:v>Высокий</x:v>
      </x:c>
      <x:c r="J564" s="12" t="str">
        <x:f>IF(L564="","Укажите валюту",IF(NOT(ISNUMBER(K564)),"Укажите объём",IF(K564&lt;=0,"Укажите объём",IF(K564&gt;F564,"Объём выше излишка",IF(COUNT(M564:O564)&lt;3,"Нужны цены",IF(COUNT(P564:R564)&lt;3,"Нужны расходы",IF(OR(M564&lt;0,N564&lt;0,O564&lt;0,O564&gt;100,P564&lt;0,Q564&lt;0,R564&lt;0,R564&gt;100),"Проверьте значения","Рассчитано")))))))</x:f>
        <x:v>Нужны цены</x:v>
      </x:c>
      <x:c r="K564" s="36" t="n">
        <x:v>3</x:v>
      </x:c>
      <x:c r="L564" s="19" t="str">
        <x:v>KZT</x:v>
      </x:c>
      <x:c r="M564" s="22"/>
      <x:c r="N564" s="22"/>
      <x:c r="O564" s="28"/>
      <x:c r="P564" s="22"/>
      <x:c r="Q564" s="22"/>
      <x:c r="R564" s="28"/>
      <x:c r="S564" s="22"/>
      <x:c r="T564" s="35" t="n">
        <x:f>K564</x:f>
        <x:v>3</x:v>
      </x:c>
      <x:c r="U564" s="20" t="str">
        <x:f>IF(J564="Рассчитано",N564*(1-O564/100),"н/д")</x:f>
        <x:v>н/д</x:v>
      </x:c>
      <x:c r="V564" s="20" t="str">
        <x:f>IF(J564="Рассчитано",T564*U564,"н/д")</x:f>
        <x:v>н/д</x:v>
      </x:c>
      <x:c r="W564" s="20" t="str">
        <x:f>IF(J564="Рассчитано",T564*M564,"н/д")</x:f>
        <x:v>н/д</x:v>
      </x:c>
      <x:c r="X564" s="20" t="str">
        <x:f>IF(J564="Рассчитано",V564-W564,"н/д")</x:f>
        <x:v>н/д</x:v>
      </x:c>
      <x:c r="Y564" s="26" t="str">
        <x:f>IF(J564="Рассчитано",IF(V564&gt;0,G564/V564,"н/д"),"н/д")</x:f>
        <x:v>н/д</x:v>
      </x:c>
      <x:c r="Z564" s="20" t="str">
        <x:f>"н/д"</x:f>
        <x:v>н/д</x:v>
      </x:c>
      <x:c r="AA564" s="20" t="str">
        <x:f>"н/д"</x:f>
        <x:v>н/д</x:v>
      </x:c>
      <x:c r="AB564" s="20" t="str">
        <x:f>"н/д"</x:f>
        <x:v>н/д</x:v>
      </x:c>
      <x:c r="AC564" s="20" t="str">
        <x:f>IF(AND(J564="Рассчитано",T564&gt;0,R564&lt;100),(W564+P564+Q564)/(T564*(1-R564/100)),"н/д")</x:f>
        <x:v>н/д</x:v>
      </x:c>
      <x:c r="AD564" s="11" t="str">
        <x:f>IF(ISNUMBER(G564),IF(G564&lt;0,"Убыток",IF(G564=0,"Без прибыли","Прибыль &gt; 0")),"Не оценён")</x:f>
        <x:v>Не оценён</x:v>
      </x:c>
      <x:c r="AE564" s="12" t="str">
        <x:f>IF(J564="Рассчитано","Выручка "&amp;TEXT(V564,"0.00")&amp;" - себестоимость "&amp;TEXT(W564,"0.00")&amp;" - комиссия "&amp;TEXT(V564*R564/100,"0.00")&amp;" - доставка "&amp;TEXT(P564,"0.00")&amp;" - прочие "&amp;TEXT(Q564,"0.00")&amp;" = "&amp;TEXT(G564,"0.00")&amp;" "&amp;L564,"Введите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4" s="23" t="n">
        <x:v>1.3653071780054222</x:v>
      </x:c>
      <x:c r="AG564" s="35" t="n">
        <x:v>5</x:v>
      </x:c>
      <x:c r="AH564" s="35" t="n">
        <x:v>0</x:v>
      </x:c>
      <x:c r="AI564" s="29" t="n">
        <x:v>46266</x:v>
      </x:c>
      <x:c r="AJ564" s="35" t="n">
        <x:v>10</x:v>
      </x:c>
      <x:c r="AK564" s="11" t="str">
        <x:v>минимум</x:v>
      </x:c>
      <x:c r="AL564" s="31" t="n">
        <x:v>311.4287302523482</x:v>
      </x:c>
      <x:c r="AM56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64" s="12" t="str">
        <x:v>Проверить свободный остаток и установить цену для B2B</x:v>
      </x:c>
      <x:c r="AO564" s="12" t="str">
        <x:v>Остаток 5; прогноз 90 дней 1.37; избыток 3 шт. Будущие поступления не выставляются на продажу. Остаток на начало сентября: требуется актуализация.</x:v>
      </x:c>
      <x:c r="AP564" s="12" t="str">
        <x:v>["category_missing", "daily_stockout_data_missing", "new_order_lead_time_unknown", "reservations_unknown", "stale_stock"]</x:v>
      </x:c>
      <x:c r="AQ564" s="11" t="str">
        <x:v>IEK:130200008_</x:v>
      </x:c>
      <x:c r="AR564" s="23" t="n">
        <x:v>1</x:v>
      </x:c>
      <x:c r="AS564" s="23" t="n">
        <x:v>0</x:v>
      </x:c>
      <x:c r="AT564" s="23" t="n">
        <x:v>0</x:v>
      </x:c>
    </x:row>
    <x:row r="565" ht="64" customHeight="1">
      <x:c r="A565" s="10" t="str">
        <x:v>IEK</x:v>
      </x:c>
      <x:c r="B565" s="34" t="str">
        <x:v>130200016_</x:v>
      </x:c>
      <x:c r="C565" s="34" t="str">
        <x:v>YXD10</x:v>
      </x:c>
      <x:c r="D565" s="13" t="str">
        <x:v>Ограничитель на DIN-рейку (металл) IEK (900)</x:v>
      </x:c>
      <x:c r="E565" s="10" t="str">
        <x:v>шт</x:v>
      </x:c>
      <x:c r="F565" s="37" t="n">
        <x:f>MAX(0,ROUNDDOWN((AG565-AF565)/AR565+0.000000001,0)*AR565)</x:f>
        <x:v>233</x:v>
      </x:c>
      <x:c r="G565" s="21" t="str">
        <x:f>IF(J565="Рассчитано",V565*(1-R565/100)-W565-P565-Q565,"н/д")</x:f>
        <x:v>н/д</x:v>
      </x:c>
      <x:c r="H565" s="13" t="str">
        <x:v>Высокий</x:v>
      </x:c>
      <x:c r="I565" s="13" t="str">
        <x:v>Средний</x:v>
      </x:c>
      <x:c r="J565" s="13" t="str">
        <x:f>IF(L565="","Укажите валюту",IF(NOT(ISNUMBER(K565)),"Укажите объём",IF(K565&lt;=0,"Укажите объём",IF(K565&gt;F565,"Объём выше излишка",IF(COUNT(M565:O565)&lt;3,"Нужны цены",IF(COUNT(P565:R565)&lt;3,"Нужны расходы",IF(OR(M565&lt;0,N565&lt;0,O565&lt;0,O565&gt;100,P565&lt;0,Q565&lt;0,R565&lt;0,R565&gt;100),"Проверьте значения","Рассчитано")))))))</x:f>
        <x:v>Нужны цены</x:v>
      </x:c>
      <x:c r="K565" s="36" t="n">
        <x:v>233</x:v>
      </x:c>
      <x:c r="L565" s="19" t="str">
        <x:v>KZT</x:v>
      </x:c>
      <x:c r="M565" s="22"/>
      <x:c r="N565" s="22"/>
      <x:c r="O565" s="28"/>
      <x:c r="P565" s="22"/>
      <x:c r="Q565" s="22"/>
      <x:c r="R565" s="28"/>
      <x:c r="S565" s="22"/>
      <x:c r="T565" s="37" t="n">
        <x:f>K565</x:f>
        <x:v>233</x:v>
      </x:c>
      <x:c r="U565" s="21" t="str">
        <x:f>IF(J565="Рассчитано",N565*(1-O565/100),"н/д")</x:f>
        <x:v>н/д</x:v>
      </x:c>
      <x:c r="V565" s="21" t="str">
        <x:f>IF(J565="Рассчитано",T565*U565,"н/д")</x:f>
        <x:v>н/д</x:v>
      </x:c>
      <x:c r="W565" s="21" t="str">
        <x:f>IF(J565="Рассчитано",T565*M565,"н/д")</x:f>
        <x:v>н/д</x:v>
      </x:c>
      <x:c r="X565" s="21" t="str">
        <x:f>IF(J565="Рассчитано",V565-W565,"н/д")</x:f>
        <x:v>н/д</x:v>
      </x:c>
      <x:c r="Y565" s="27" t="str">
        <x:f>IF(J565="Рассчитано",IF(V565&gt;0,G565/V565,"н/д"),"н/д")</x:f>
        <x:v>н/д</x:v>
      </x:c>
      <x:c r="Z565" s="21" t="str">
        <x:f>"н/д"</x:f>
        <x:v>н/д</x:v>
      </x:c>
      <x:c r="AA565" s="21" t="str">
        <x:f>"н/д"</x:f>
        <x:v>н/д</x:v>
      </x:c>
      <x:c r="AB565" s="21" t="str">
        <x:f>"н/д"</x:f>
        <x:v>н/д</x:v>
      </x:c>
      <x:c r="AC565" s="21" t="str">
        <x:f>IF(AND(J565="Рассчитано",T565&gt;0,R565&lt;100),(W565+P565+Q565)/(T565*(1-R565/100)),"н/д")</x:f>
        <x:v>н/д</x:v>
      </x:c>
      <x:c r="AD565" s="10" t="str">
        <x:f>IF(ISNUMBER(G565),IF(G565&lt;0,"Убыток",IF(G565=0,"Без прибыли","Прибыль &gt; 0")),"Не оценён")</x:f>
        <x:v>Не оценён</x:v>
      </x:c>
      <x:c r="AE565" s="13" t="str">
        <x:f>IF(J565="Рассчитано","Выручка "&amp;TEXT(V565,"0.00")&amp;" - себестоимость "&amp;TEXT(W565,"0.00")&amp;" - комиссия "&amp;TEXT(V565*R565/100,"0.00")&amp;" - доставка "&amp;TEXT(P565,"0.00")&amp;" - прочие "&amp;TEXT(Q565,"0.00")&amp;" = "&amp;TEXT(G565,"0.00")&amp;" "&amp;L565,"Введите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5" s="24" t="n">
        <x:v>470.4407608116516</x:v>
      </x:c>
      <x:c r="AG565" s="37" t="n">
        <x:v>704</x:v>
      </x:c>
      <x:c r="AH565" s="37" t="n">
        <x:v>0</x:v>
      </x:c>
      <x:c r="AI565" s="30" t="n">
        <x:v>46266</x:v>
      </x:c>
      <x:c r="AJ565" s="37" t="n">
        <x:v>150</x:v>
      </x:c>
      <x:c r="AK565" s="10" t="str">
        <x:v>минимум</x:v>
      </x:c>
      <x:c r="AL565" s="32" t="n">
        <x:v>127.25848823235756</x:v>
      </x:c>
      <x:c r="AM565" s="13" t="str">
        <x:v>Остаток на начало сентября; Резервы неизвестны; Нет ежедневных данных доступности. Запас выше прогноза на 90 дней</x:v>
      </x:c>
      <x:c r="AN565" s="13" t="str">
        <x:v>Проверить свободный остаток и установить цену для B2B</x:v>
      </x:c>
      <x:c r="AO565" s="13" t="str">
        <x:v>Остаток 704; прогноз 90 дней 470.44; избыток 233 шт. Будущие поступления не выставляются на продажу. Остаток на начало сентября: требуется актуализация.</x:v>
      </x:c>
      <x:c r="AP565" s="13" t="str">
        <x:v>["category_missing", "daily_stockout_data_missing", "large_orders_detected", "new_order_lead_time_unknown", "reservations_unknown", "stale_stock"]</x:v>
      </x:c>
      <x:c r="AQ565" s="10" t="str">
        <x:v>IEK:130200016_</x:v>
      </x:c>
      <x:c r="AR565" s="24" t="n">
        <x:v>1</x:v>
      </x:c>
      <x:c r="AS565" s="24" t="n">
        <x:v>0</x:v>
      </x:c>
      <x:c r="AT565" s="24" t="n">
        <x:v>0</x:v>
      </x:c>
    </x:row>
    <x:row r="566" ht="64" customHeight="1">
      <x:c r="A566" s="11" t="str">
        <x:v>IEK</x:v>
      </x:c>
      <x:c r="B566" s="33" t="str">
        <x:v>130200019_</x:v>
      </x:c>
      <x:c r="C566" s="33" t="str">
        <x:v>MIF10-400</x:v>
      </x:c>
      <x:c r="D566" s="12" t="str">
        <x:v>Свет. индикатор фаз (3-х фазн. на DIN-рейку) IEK (24/480)</x:v>
      </x:c>
      <x:c r="E566" s="11" t="str">
        <x:v>шт</x:v>
      </x:c>
      <x:c r="F566" s="35" t="n">
        <x:f>MAX(0,ROUNDDOWN((AG566-AF566)/AR566+0.000000001,0)*AR566)</x:f>
        <x:v>8</x:v>
      </x:c>
      <x:c r="G566" s="20" t="str">
        <x:f>IF(J566="Рассчитано",V566*(1-R566/100)-W566-P566-Q566,"н/д")</x:f>
        <x:v>н/д</x:v>
      </x:c>
      <x:c r="H566" s="12" t="str">
        <x:v>Высокий</x:v>
      </x:c>
      <x:c r="I566" s="12" t="str">
        <x:v>Средний</x:v>
      </x:c>
      <x:c r="J566" s="12" t="str">
        <x:f>IF(L566="","Укажите валюту",IF(NOT(ISNUMBER(K566)),"Укажите объём",IF(K566&lt;=0,"Укажите объём",IF(K566&gt;F566,"Объём выше излишка",IF(COUNT(M566:O566)&lt;3,"Нужны цены",IF(COUNT(P566:R566)&lt;3,"Нужны расходы",IF(OR(M566&lt;0,N566&lt;0,O566&lt;0,O566&gt;100,P566&lt;0,Q566&lt;0,R566&lt;0,R566&gt;100),"Проверьте значения","Рассчитано")))))))</x:f>
        <x:v>Нужны цены</x:v>
      </x:c>
      <x:c r="K566" s="36" t="n">
        <x:v>8</x:v>
      </x:c>
      <x:c r="L566" s="19" t="str">
        <x:v>KZT</x:v>
      </x:c>
      <x:c r="M566" s="22"/>
      <x:c r="N566" s="22"/>
      <x:c r="O566" s="28"/>
      <x:c r="P566" s="22"/>
      <x:c r="Q566" s="22"/>
      <x:c r="R566" s="28"/>
      <x:c r="S566" s="22"/>
      <x:c r="T566" s="35" t="n">
        <x:f>K566</x:f>
        <x:v>8</x:v>
      </x:c>
      <x:c r="U566" s="20" t="str">
        <x:f>IF(J566="Рассчитано",N566*(1-O566/100),"н/д")</x:f>
        <x:v>н/д</x:v>
      </x:c>
      <x:c r="V566" s="20" t="str">
        <x:f>IF(J566="Рассчитано",T566*U566,"н/д")</x:f>
        <x:v>н/д</x:v>
      </x:c>
      <x:c r="W566" s="20" t="str">
        <x:f>IF(J566="Рассчитано",T566*M566,"н/д")</x:f>
        <x:v>н/д</x:v>
      </x:c>
      <x:c r="X566" s="20" t="str">
        <x:f>IF(J566="Рассчитано",V566-W566,"н/д")</x:f>
        <x:v>н/д</x:v>
      </x:c>
      <x:c r="Y566" s="26" t="str">
        <x:f>IF(J566="Рассчитано",IF(V566&gt;0,G566/V566,"н/д"),"н/д")</x:f>
        <x:v>н/д</x:v>
      </x:c>
      <x:c r="Z566" s="20" t="str">
        <x:f>"н/д"</x:f>
        <x:v>н/д</x:v>
      </x:c>
      <x:c r="AA566" s="20" t="str">
        <x:f>"н/д"</x:f>
        <x:v>н/д</x:v>
      </x:c>
      <x:c r="AB566" s="20" t="str">
        <x:f>"н/д"</x:f>
        <x:v>н/д</x:v>
      </x:c>
      <x:c r="AC566" s="20" t="str">
        <x:f>IF(AND(J566="Рассчитано",T566&gt;0,R566&lt;100),(W566+P566+Q566)/(T566*(1-R566/100)),"н/д")</x:f>
        <x:v>н/д</x:v>
      </x:c>
      <x:c r="AD566" s="11" t="str">
        <x:f>IF(ISNUMBER(G566),IF(G566&lt;0,"Убыток",IF(G566=0,"Без прибыли","Прибыль &gt; 0")),"Не оценён")</x:f>
        <x:v>Не оценён</x:v>
      </x:c>
      <x:c r="AE566" s="12" t="str">
        <x:f>IF(J566="Рассчитано","Выручка "&amp;TEXT(V566,"0.00")&amp;" - себестоимость "&amp;TEXT(W566,"0.00")&amp;" - комиссия "&amp;TEXT(V566*R566/100,"0.00")&amp;" - доставка "&amp;TEXT(P566,"0.00")&amp;" - прочие "&amp;TEXT(Q566,"0.00")&amp;" = "&amp;TEXT(G566,"0.00")&amp;" "&amp;L566,"Введите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6" s="23" t="n">
        <x:v>7.9313618010966245</x:v>
      </x:c>
      <x:c r="AG566" s="35" t="n">
        <x:v>16</x:v>
      </x:c>
      <x:c r="AH566" s="35" t="n">
        <x:v>0</x:v>
      </x:c>
      <x:c r="AI566" s="29" t="n">
        <x:v>46266</x:v>
      </x:c>
      <x:c r="AJ566" s="35" t="n">
        <x:v>24</x:v>
      </x:c>
      <x:c r="AK566" s="11" t="str">
        <x:v>минимум</x:v>
      </x:c>
      <x:c r="AL566" s="31" t="n">
        <x:v>171.55021455885918</x:v>
      </x:c>
      <x:c r="AM56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66" s="12" t="str">
        <x:v>Проверить свободный остаток и установить цену для B2B</x:v>
      </x:c>
      <x:c r="AO566" s="12" t="str">
        <x:v>Остаток 16; прогноз 90 дней 7.93; избыток 8 шт. Будущие поступления не выставляются на продажу. Остаток на начало сентября: требуется актуализация.</x:v>
      </x:c>
      <x:c r="AP566" s="12" t="str">
        <x:v>["category_missing", "daily_stockout_data_missing", "large_orders_detected", "new_order_lead_time_unknown", "reservations_unknown", "stale_stock", "transaction_month_mismatch"]</x:v>
      </x:c>
      <x:c r="AQ566" s="11" t="str">
        <x:v>IEK:130200019_</x:v>
      </x:c>
      <x:c r="AR566" s="23" t="n">
        <x:v>1</x:v>
      </x:c>
      <x:c r="AS566" s="23" t="n">
        <x:v>0</x:v>
      </x:c>
      <x:c r="AT566" s="23" t="n">
        <x:v>0</x:v>
      </x:c>
    </x:row>
    <x:row r="567" ht="64" customHeight="1">
      <x:c r="A567" s="10" t="str">
        <x:v>IEK</x:v>
      </x:c>
      <x:c r="B567" s="34" t="str">
        <x:v>130200022_</x:v>
      </x:c>
      <x:c r="C567" s="34" t="str">
        <x:v>YZK10-20-22-40</x:v>
      </x:c>
      <x:c r="D567" s="13" t="str">
        <x:v>Замок 20-22\40 IEK</x:v>
      </x:c>
      <x:c r="E567" s="10" t="str">
        <x:v>шт</x:v>
      </x:c>
      <x:c r="F567" s="37" t="n">
        <x:f>MAX(0,ROUNDDOWN((AG567-AF567)/AR567+0.000000001,0)*AR567)</x:f>
        <x:v>9</x:v>
      </x:c>
      <x:c r="G567" s="21" t="str">
        <x:f>IF(J567="Рассчитано",V567*(1-R567/100)-W567-P567-Q567,"н/д")</x:f>
        <x:v>н/д</x:v>
      </x:c>
      <x:c r="H567" s="13" t="str">
        <x:v>Высокий</x:v>
      </x:c>
      <x:c r="I567" s="13" t="str">
        <x:v>Средний</x:v>
      </x:c>
      <x:c r="J567" s="13" t="str">
        <x:f>IF(L567="","Укажите валюту",IF(NOT(ISNUMBER(K567)),"Укажите объём",IF(K567&lt;=0,"Укажите объём",IF(K567&gt;F567,"Объём выше излишка",IF(COUNT(M567:O567)&lt;3,"Нужны цены",IF(COUNT(P567:R567)&lt;3,"Нужны расходы",IF(OR(M567&lt;0,N567&lt;0,O567&lt;0,O567&gt;100,P567&lt;0,Q567&lt;0,R567&lt;0,R567&gt;100),"Проверьте значения","Рассчитано")))))))</x:f>
        <x:v>Нужны цены</x:v>
      </x:c>
      <x:c r="K567" s="36" t="n">
        <x:v>9</x:v>
      </x:c>
      <x:c r="L567" s="19" t="str">
        <x:v>KZT</x:v>
      </x:c>
      <x:c r="M567" s="22"/>
      <x:c r="N567" s="22"/>
      <x:c r="O567" s="28"/>
      <x:c r="P567" s="22"/>
      <x:c r="Q567" s="22"/>
      <x:c r="R567" s="28"/>
      <x:c r="S567" s="22"/>
      <x:c r="T567" s="37" t="n">
        <x:f>K567</x:f>
        <x:v>9</x:v>
      </x:c>
      <x:c r="U567" s="21" t="str">
        <x:f>IF(J567="Рассчитано",N567*(1-O567/100),"н/д")</x:f>
        <x:v>н/д</x:v>
      </x:c>
      <x:c r="V567" s="21" t="str">
        <x:f>IF(J567="Рассчитано",T567*U567,"н/д")</x:f>
        <x:v>н/д</x:v>
      </x:c>
      <x:c r="W567" s="21" t="str">
        <x:f>IF(J567="Рассчитано",T567*M567,"н/д")</x:f>
        <x:v>н/д</x:v>
      </x:c>
      <x:c r="X567" s="21" t="str">
        <x:f>IF(J567="Рассчитано",V567-W567,"н/д")</x:f>
        <x:v>н/д</x:v>
      </x:c>
      <x:c r="Y567" s="27" t="str">
        <x:f>IF(J567="Рассчитано",IF(V567&gt;0,G567/V567,"н/д"),"н/д")</x:f>
        <x:v>н/д</x:v>
      </x:c>
      <x:c r="Z567" s="21" t="str">
        <x:f>"н/д"</x:f>
        <x:v>н/д</x:v>
      </x:c>
      <x:c r="AA567" s="21" t="str">
        <x:f>"н/д"</x:f>
        <x:v>н/д</x:v>
      </x:c>
      <x:c r="AB567" s="21" t="str">
        <x:f>"н/д"</x:f>
        <x:v>н/д</x:v>
      </x:c>
      <x:c r="AC567" s="21" t="str">
        <x:f>IF(AND(J567="Рассчитано",T567&gt;0,R567&lt;100),(W567+P567+Q567)/(T567*(1-R567/100)),"н/д")</x:f>
        <x:v>н/д</x:v>
      </x:c>
      <x:c r="AD567" s="10" t="str">
        <x:f>IF(ISNUMBER(G567),IF(G567&lt;0,"Убыток",IF(G567=0,"Без прибыли","Прибыль &gt; 0")),"Не оценён")</x:f>
        <x:v>Не оценён</x:v>
      </x:c>
      <x:c r="AE567" s="13" t="str">
        <x:f>IF(J567="Рассчитано","Выручка "&amp;TEXT(V567,"0.00")&amp;" - себестоимость "&amp;TEXT(W567,"0.00")&amp;" - комиссия "&amp;TEXT(V567*R567/100,"0.00")&amp;" - доставка "&amp;TEXT(P567,"0.00")&amp;" - прочие "&amp;TEXT(Q567,"0.00")&amp;" = "&amp;TEXT(G567,"0.00")&amp;" "&amp;L567,"Введите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7" s="24" t="n">
        <x:v>10.145165151398986</x:v>
      </x:c>
      <x:c r="AG567" s="37" t="n">
        <x:v>20</x:v>
      </x:c>
      <x:c r="AH567" s="37" t="n">
        <x:v>0</x:v>
      </x:c>
      <x:c r="AI567" s="30" t="n">
        <x:v>46266</x:v>
      </x:c>
      <x:c r="AJ567" s="37" t="n">
        <x:v>6</x:v>
      </x:c>
      <x:c r="AK567" s="10" t="str">
        <x:v>минимум</x:v>
      </x:c>
      <x:c r="AL567" s="32" t="n">
        <x:v>167.64473500641301</x:v>
      </x:c>
      <x:c r="AM567" s="13" t="str">
        <x:v>Остаток на начало сентября; Резервы неизвестны; Нет ежедневных данных доступности. Запас выше прогноза на 90 дней</x:v>
      </x:c>
      <x:c r="AN567" s="13" t="str">
        <x:v>Проверить свободный остаток и установить цену для B2B</x:v>
      </x:c>
      <x:c r="AO567" s="13" t="str">
        <x:v>Остаток 20; прогноз 90 дней 10.15; избыток 9 шт. Будущие поступления не выставляются на продажу. Остаток на начало сентября: требуется актуализация.</x:v>
      </x:c>
      <x:c r="AP567" s="13" t="str">
        <x:v>["category_missing", "daily_stockout_data_missing", "new_order_lead_time_unknown", "reservations_unknown", "stale_stock"]</x:v>
      </x:c>
      <x:c r="AQ567" s="10" t="str">
        <x:v>IEK:130200022_</x:v>
      </x:c>
      <x:c r="AR567" s="24" t="n">
        <x:v>1</x:v>
      </x:c>
      <x:c r="AS567" s="24" t="n">
        <x:v>0</x:v>
      </x:c>
      <x:c r="AT567" s="24" t="n">
        <x:v>0</x:v>
      </x:c>
    </x:row>
    <x:row r="568" ht="64" customHeight="1">
      <x:c r="A568" s="11" t="str">
        <x:v>IEK</x:v>
      </x:c>
      <x:c r="B568" s="33" t="str">
        <x:v>130200023_</x:v>
      </x:c>
      <x:c r="C568" s="33" t="str">
        <x:v>YZK11-20-22-45</x:v>
      </x:c>
      <x:c r="D568" s="12" t="str">
        <x:v>Замок 20-22\45 IEK</x:v>
      </x:c>
      <x:c r="E568" s="11" t="str">
        <x:v>шт</x:v>
      </x:c>
      <x:c r="F568" s="35" t="n">
        <x:f>MAX(0,ROUNDDOWN((AG568-AF568)/AR568+0.000000001,0)*AR568)</x:f>
        <x:v>35</x:v>
      </x:c>
      <x:c r="G568" s="20" t="str">
        <x:f>IF(J568="Рассчитано",V568*(1-R568/100)-W568-P568-Q568,"н/д")</x:f>
        <x:v>н/д</x:v>
      </x:c>
      <x:c r="H568" s="12" t="str">
        <x:v>Высокий</x:v>
      </x:c>
      <x:c r="I568" s="12" t="str">
        <x:v>Средний</x:v>
      </x:c>
      <x:c r="J568" s="12" t="str">
        <x:f>IF(L568="","Укажите валюту",IF(NOT(ISNUMBER(K568)),"Укажите объём",IF(K568&lt;=0,"Укажите объём",IF(K568&gt;F568,"Объём выше излишка",IF(COUNT(M568:O568)&lt;3,"Нужны цены",IF(COUNT(P568:R568)&lt;3,"Нужны расходы",IF(OR(M568&lt;0,N568&lt;0,O568&lt;0,O568&gt;100,P568&lt;0,Q568&lt;0,R568&lt;0,R568&gt;100),"Проверьте значения","Рассчитано")))))))</x:f>
        <x:v>Нужны цены</x:v>
      </x:c>
      <x:c r="K568" s="36" t="n">
        <x:v>35</x:v>
      </x:c>
      <x:c r="L568" s="19" t="str">
        <x:v>KZT</x:v>
      </x:c>
      <x:c r="M568" s="22"/>
      <x:c r="N568" s="22"/>
      <x:c r="O568" s="28"/>
      <x:c r="P568" s="22"/>
      <x:c r="Q568" s="22"/>
      <x:c r="R568" s="28"/>
      <x:c r="S568" s="22"/>
      <x:c r="T568" s="35" t="n">
        <x:f>K568</x:f>
        <x:v>35</x:v>
      </x:c>
      <x:c r="U568" s="20" t="str">
        <x:f>IF(J568="Рассчитано",N568*(1-O568/100),"н/д")</x:f>
        <x:v>н/д</x:v>
      </x:c>
      <x:c r="V568" s="20" t="str">
        <x:f>IF(J568="Рассчитано",T568*U568,"н/д")</x:f>
        <x:v>н/д</x:v>
      </x:c>
      <x:c r="W568" s="20" t="str">
        <x:f>IF(J568="Рассчитано",T568*M568,"н/д")</x:f>
        <x:v>н/д</x:v>
      </x:c>
      <x:c r="X568" s="20" t="str">
        <x:f>IF(J568="Рассчитано",V568-W568,"н/д")</x:f>
        <x:v>н/д</x:v>
      </x:c>
      <x:c r="Y568" s="26" t="str">
        <x:f>IF(J568="Рассчитано",IF(V568&gt;0,G568/V568,"н/д"),"н/д")</x:f>
        <x:v>н/д</x:v>
      </x:c>
      <x:c r="Z568" s="20" t="str">
        <x:f>"н/д"</x:f>
        <x:v>н/д</x:v>
      </x:c>
      <x:c r="AA568" s="20" t="str">
        <x:f>"н/д"</x:f>
        <x:v>н/д</x:v>
      </x:c>
      <x:c r="AB568" s="20" t="str">
        <x:f>"н/д"</x:f>
        <x:v>н/д</x:v>
      </x:c>
      <x:c r="AC568" s="20" t="str">
        <x:f>IF(AND(J568="Рассчитано",T568&gt;0,R568&lt;100),(W568+P568+Q568)/(T568*(1-R568/100)),"н/д")</x:f>
        <x:v>н/д</x:v>
      </x:c>
      <x:c r="AD568" s="11" t="str">
        <x:f>IF(ISNUMBER(G568),IF(G568&lt;0,"Убыток",IF(G568=0,"Без прибыли","Прибыль &gt; 0")),"Не оценён")</x:f>
        <x:v>Не оценён</x:v>
      </x:c>
      <x:c r="AE568" s="12" t="str">
        <x:f>IF(J568="Рассчитано","Выручка "&amp;TEXT(V568,"0.00")&amp;" - себестоимость "&amp;TEXT(W568,"0.00")&amp;" - комиссия "&amp;TEXT(V568*R568/100,"0.00")&amp;" - доставка "&amp;TEXT(P568,"0.00")&amp;" - прочие "&amp;TEXT(Q568,"0.00")&amp;" = "&amp;TEXT(G568,"0.00")&amp;" "&amp;L568,"Введите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8" s="23" t="n">
        <x:v>52.1255103675023</x:v>
      </x:c>
      <x:c r="AG568" s="35" t="n">
        <x:v>88</x:v>
      </x:c>
      <x:c r="AH568" s="35" t="n">
        <x:v>0</x:v>
      </x:c>
      <x:c r="AI568" s="29" t="n">
        <x:v>46266</x:v>
      </x:c>
      <x:c r="AJ568" s="35" t="n">
        <x:v>6</x:v>
      </x:c>
      <x:c r="AK568" s="11" t="str">
        <x:v>минимум</x:v>
      </x:c>
      <x:c r="AL568" s="31" t="n">
        <x:v>143.5659325004312</x:v>
      </x:c>
      <x:c r="AM568" s="12" t="str">
        <x:v>Остаток на начало сентября; Резервы неизвестны; Нет ежедневных данных доступности. Запас выше прогноза на 90 дней</x:v>
      </x:c>
      <x:c r="AN568" s="12" t="str">
        <x:v>Проверить свободный остаток и установить цену для B2B</x:v>
      </x:c>
      <x:c r="AO568" s="12" t="str">
        <x:v>Остаток 88; прогноз 90 дней 52.13; избыток 35 шт. Будущие поступления не выставляются на продажу. Остаток на начало сентября: требуется актуализация.</x:v>
      </x:c>
      <x:c r="AP568" s="12" t="str">
        <x:v>["category_missing", "daily_stockout_data_missing", "large_orders_detected", "new_order_lead_time_unknown", "reservations_unknown", "stale_stock"]</x:v>
      </x:c>
      <x:c r="AQ568" s="11" t="str">
        <x:v>IEK:130200023_</x:v>
      </x:c>
      <x:c r="AR568" s="23" t="n">
        <x:v>1</x:v>
      </x:c>
      <x:c r="AS568" s="23" t="n">
        <x:v>0</x:v>
      </x:c>
      <x:c r="AT568" s="23" t="n">
        <x:v>0</x:v>
      </x:c>
    </x:row>
    <x:row r="569" ht="64" customHeight="1">
      <x:c r="A569" s="10" t="str">
        <x:v>IEK</x:v>
      </x:c>
      <x:c r="B569" s="34" t="str">
        <x:v>130200063_</x:v>
      </x:c>
      <x:c r="C569" s="34" t="str">
        <x:v>YNN21-14-100</x:v>
      </x:c>
      <x:c r="D569" s="13" t="str">
        <x:v>Шина "N" нулевая 8х12мм 14/2 (крепеж по краям) IEK (10)</x:v>
      </x:c>
      <x:c r="E569" s="10" t="str">
        <x:v>шт</x:v>
      </x:c>
      <x:c r="F569" s="37" t="n">
        <x:f>MAX(0,ROUNDDOWN((AG569-AF569)/AR569+0.000000001,0)*AR569)</x:f>
        <x:v>19</x:v>
      </x:c>
      <x:c r="G569" s="21" t="str">
        <x:f>IF(J569="Рассчитано",V569*(1-R569/100)-W569-P569-Q569,"н/д")</x:f>
        <x:v>н/д</x:v>
      </x:c>
      <x:c r="H569" s="13" t="str">
        <x:v>Высокий</x:v>
      </x:c>
      <x:c r="I569" s="13" t="str">
        <x:v>Средний</x:v>
      </x:c>
      <x:c r="J569" s="13" t="str">
        <x:f>IF(L569="","Укажите валюту",IF(NOT(ISNUMBER(K569)),"Укажите объём",IF(K569&lt;=0,"Укажите объём",IF(K569&gt;F569,"Объём выше излишка",IF(COUNT(M569:O569)&lt;3,"Нужны цены",IF(COUNT(P569:R569)&lt;3,"Нужны расходы",IF(OR(M569&lt;0,N569&lt;0,O569&lt;0,O569&gt;100,P569&lt;0,Q569&lt;0,R569&lt;0,R569&gt;100),"Проверьте значения","Рассчитано")))))))</x:f>
        <x:v>Нужны цены</x:v>
      </x:c>
      <x:c r="K569" s="36" t="n">
        <x:v>19</x:v>
      </x:c>
      <x:c r="L569" s="19" t="str">
        <x:v>KZT</x:v>
      </x:c>
      <x:c r="M569" s="22"/>
      <x:c r="N569" s="22"/>
      <x:c r="O569" s="28"/>
      <x:c r="P569" s="22"/>
      <x:c r="Q569" s="22"/>
      <x:c r="R569" s="28"/>
      <x:c r="S569" s="22"/>
      <x:c r="T569" s="37" t="n">
        <x:f>K569</x:f>
        <x:v>19</x:v>
      </x:c>
      <x:c r="U569" s="21" t="str">
        <x:f>IF(J569="Рассчитано",N569*(1-O569/100),"н/д")</x:f>
        <x:v>н/д</x:v>
      </x:c>
      <x:c r="V569" s="21" t="str">
        <x:f>IF(J569="Рассчитано",T569*U569,"н/д")</x:f>
        <x:v>н/д</x:v>
      </x:c>
      <x:c r="W569" s="21" t="str">
        <x:f>IF(J569="Рассчитано",T569*M569,"н/д")</x:f>
        <x:v>н/д</x:v>
      </x:c>
      <x:c r="X569" s="21" t="str">
        <x:f>IF(J569="Рассчитано",V569-W569,"н/д")</x:f>
        <x:v>н/д</x:v>
      </x:c>
      <x:c r="Y569" s="27" t="str">
        <x:f>IF(J569="Рассчитано",IF(V569&gt;0,G569/V569,"н/д"),"н/д")</x:f>
        <x:v>н/д</x:v>
      </x:c>
      <x:c r="Z569" s="21" t="str">
        <x:f>"н/д"</x:f>
        <x:v>н/д</x:v>
      </x:c>
      <x:c r="AA569" s="21" t="str">
        <x:f>"н/д"</x:f>
        <x:v>н/д</x:v>
      </x:c>
      <x:c r="AB569" s="21" t="str">
        <x:f>"н/д"</x:f>
        <x:v>н/д</x:v>
      </x:c>
      <x:c r="AC569" s="21" t="str">
        <x:f>IF(AND(J569="Рассчитано",T569&gt;0,R569&lt;100),(W569+P569+Q569)/(T569*(1-R569/100)),"н/д")</x:f>
        <x:v>н/д</x:v>
      </x:c>
      <x:c r="AD569" s="10" t="str">
        <x:f>IF(ISNUMBER(G569),IF(G569&lt;0,"Убыток",IF(G569=0,"Без прибыли","Прибыль &gt; 0")),"Не оценён")</x:f>
        <x:v>Не оценён</x:v>
      </x:c>
      <x:c r="AE569" s="13" t="str">
        <x:f>IF(J569="Рассчитано","Выручка "&amp;TEXT(V569,"0.00")&amp;" - себестоимость "&amp;TEXT(W569,"0.00")&amp;" - комиссия "&amp;TEXT(V569*R569/100,"0.00")&amp;" - доставка "&amp;TEXT(P569,"0.00")&amp;" - прочие "&amp;TEXT(Q569,"0.00")&amp;" = "&amp;TEXT(G569,"0.00")&amp;" "&amp;L569,"Введите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9" s="24" t="n">
        <x:v>42.16533368250195</x:v>
      </x:c>
      <x:c r="AG569" s="37" t="n">
        <x:v>62</x:v>
      </x:c>
      <x:c r="AH569" s="37" t="n">
        <x:v>0</x:v>
      </x:c>
      <x:c r="AI569" s="30" t="n">
        <x:v>46266</x:v>
      </x:c>
      <x:c r="AJ569" s="37" t="n">
        <x:v>10</x:v>
      </x:c>
      <x:c r="AK569" s="10" t="str">
        <x:v>минимум</x:v>
      </x:c>
      <x:c r="AL569" s="32" t="n">
        <x:v>125.04179291568124</x:v>
      </x:c>
      <x:c r="AM569" s="13" t="str">
        <x:v>Остаток на начало сентября; Резервы неизвестны; Нет ежедневных данных доступности. Запас выше прогноза на 90 дней</x:v>
      </x:c>
      <x:c r="AN569" s="13" t="str">
        <x:v>Проверить свободный остаток и установить цену для B2B</x:v>
      </x:c>
      <x:c r="AO569" s="13" t="str">
        <x:v>Остаток 62; прогноз 90 дней 42.17; избыток 19 шт. Будущие поступления не выставляются на продажу. Остаток на начало сентября: требуется актуализация.</x:v>
      </x:c>
      <x:c r="AP569" s="13" t="str">
        <x:v>["category_missing", "daily_stockout_data_missing", "new_order_lead_time_unknown", "reservations_unknown", "stale_stock"]</x:v>
      </x:c>
      <x:c r="AQ569" s="10" t="str">
        <x:v>IEK:130200063_</x:v>
      </x:c>
      <x:c r="AR569" s="24" t="n">
        <x:v>1</x:v>
      </x:c>
      <x:c r="AS569" s="24" t="n">
        <x:v>0</x:v>
      </x:c>
      <x:c r="AT569" s="24" t="n">
        <x:v>0</x:v>
      </x:c>
    </x:row>
    <x:row r="570" ht="64" customHeight="1">
      <x:c r="A570" s="11" t="str">
        <x:v>IEK</x:v>
      </x:c>
      <x:c r="B570" s="33" t="str">
        <x:v>130200074_</x:v>
      </x:c>
      <x:c r="C570" s="33" t="str">
        <x:v>YNN10-08-100</x:v>
      </x:c>
      <x:c r="D570" s="12" t="str">
        <x:v>Шина "N" нулевая 6х9мм  8/1 (крепеж по центру) IEK (10/960)</x:v>
      </x:c>
      <x:c r="E570" s="11" t="str">
        <x:v>шт</x:v>
      </x:c>
      <x:c r="F570" s="35" t="n">
        <x:f>MAX(0,ROUNDDOWN((AG570-AF570)/AR570+0.000000001,0)*AR570)</x:f>
        <x:v>94</x:v>
      </x:c>
      <x:c r="G570" s="20" t="str">
        <x:f>IF(J570="Рассчитано",V570*(1-R570/100)-W570-P570-Q570,"н/д")</x:f>
        <x:v>н/д</x:v>
      </x:c>
      <x:c r="H570" s="12" t="str">
        <x:v>Высокий</x:v>
      </x:c>
      <x:c r="I570" s="12" t="str">
        <x:v>Высокий</x:v>
      </x:c>
      <x:c r="J570" s="12" t="str">
        <x:f>IF(L570="","Укажите валюту",IF(NOT(ISNUMBER(K570)),"Укажите объём",IF(K570&lt;=0,"Укажите объём",IF(K570&gt;F570,"Объём выше излишка",IF(COUNT(M570:O570)&lt;3,"Нужны цены",IF(COUNT(P570:R570)&lt;3,"Нужны расходы",IF(OR(M570&lt;0,N570&lt;0,O570&lt;0,O570&gt;100,P570&lt;0,Q570&lt;0,R570&lt;0,R570&gt;100),"Проверьте значения","Рассчитано")))))))</x:f>
        <x:v>Нужны цены</x:v>
      </x:c>
      <x:c r="K570" s="36" t="n">
        <x:v>94</x:v>
      </x:c>
      <x:c r="L570" s="19" t="str">
        <x:v>KZT</x:v>
      </x:c>
      <x:c r="M570" s="22"/>
      <x:c r="N570" s="22"/>
      <x:c r="O570" s="28"/>
      <x:c r="P570" s="22"/>
      <x:c r="Q570" s="22"/>
      <x:c r="R570" s="28"/>
      <x:c r="S570" s="22"/>
      <x:c r="T570" s="35" t="n">
        <x:f>K570</x:f>
        <x:v>94</x:v>
      </x:c>
      <x:c r="U570" s="20" t="str">
        <x:f>IF(J570="Рассчитано",N570*(1-O570/100),"н/д")</x:f>
        <x:v>н/д</x:v>
      </x:c>
      <x:c r="V570" s="20" t="str">
        <x:f>IF(J570="Рассчитано",T570*U570,"н/д")</x:f>
        <x:v>н/д</x:v>
      </x:c>
      <x:c r="W570" s="20" t="str">
        <x:f>IF(J570="Рассчитано",T570*M570,"н/д")</x:f>
        <x:v>н/д</x:v>
      </x:c>
      <x:c r="X570" s="20" t="str">
        <x:f>IF(J570="Рассчитано",V570-W570,"н/д")</x:f>
        <x:v>н/д</x:v>
      </x:c>
      <x:c r="Y570" s="26" t="str">
        <x:f>IF(J570="Рассчитано",IF(V570&gt;0,G570/V570,"н/д"),"н/д")</x:f>
        <x:v>н/д</x:v>
      </x:c>
      <x:c r="Z570" s="20" t="str">
        <x:f>"н/д"</x:f>
        <x:v>н/д</x:v>
      </x:c>
      <x:c r="AA570" s="20" t="str">
        <x:f>"н/д"</x:f>
        <x:v>н/д</x:v>
      </x:c>
      <x:c r="AB570" s="20" t="str">
        <x:f>"н/д"</x:f>
        <x:v>н/д</x:v>
      </x:c>
      <x:c r="AC570" s="20" t="str">
        <x:f>IF(AND(J570="Рассчитано",T570&gt;0,R570&lt;100),(W570+P570+Q570)/(T570*(1-R570/100)),"н/д")</x:f>
        <x:v>н/д</x:v>
      </x:c>
      <x:c r="AD570" s="11" t="str">
        <x:f>IF(ISNUMBER(G570),IF(G570&lt;0,"Убыток",IF(G570=0,"Без прибыли","Прибыль &gt; 0")),"Не оценён")</x:f>
        <x:v>Не оценён</x:v>
      </x:c>
      <x:c r="AE570" s="12" t="str">
        <x:f>IF(J570="Рассчитано","Выручка "&amp;TEXT(V570,"0.00")&amp;" - себестоимость "&amp;TEXT(W570,"0.00")&amp;" - комиссия "&amp;TEXT(V570*R570/100,"0.00")&amp;" - доставка "&amp;TEXT(P570,"0.00")&amp;" - прочие "&amp;TEXT(Q570,"0.00")&amp;" = "&amp;TEXT(G570,"0.00")&amp;" "&amp;L570,"Введите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0" s="23" t="n">
        <x:v>24.22365050400825</x:v>
      </x:c>
      <x:c r="AG570" s="35" t="n">
        <x:v>119</x:v>
      </x:c>
      <x:c r="AH570" s="35" t="n">
        <x:v>0</x:v>
      </x:c>
      <x:c r="AI570" s="29" t="n">
        <x:v>46266</x:v>
      </x:c>
      <x:c r="AJ570" s="35" t="n">
        <x:v>10</x:v>
      </x:c>
      <x:c r="AK570" s="11" t="str">
        <x:v>минимум</x:v>
      </x:c>
      <x:c r="AL570" s="31" t="n">
        <x:v>417.7595760214123</x:v>
      </x:c>
      <x:c r="AM570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570" s="12" t="str">
        <x:v>Проверить свободный остаток и установить цену для B2B</x:v>
      </x:c>
      <x:c r="AO570" s="12" t="str">
        <x:v>Остаток 119; прогноз 90 дней 24.22; избыток 94 шт. Будущие поступления не выставляются на продажу. Остаток на начало сентября: требуется актуализация.</x:v>
      </x:c>
      <x:c r="AP570" s="12" t="str">
        <x:v>["category_missing", "daily_stockout_data_missing", "large_orders_detected", "new_order_lead_time_unknown", "reservations_unknown", "stale_stock", "transaction_month_mismatch"]</x:v>
      </x:c>
      <x:c r="AQ570" s="11" t="str">
        <x:v>IEK:130200074_</x:v>
      </x:c>
      <x:c r="AR570" s="23" t="n">
        <x:v>1</x:v>
      </x:c>
      <x:c r="AS570" s="23" t="n">
        <x:v>0</x:v>
      </x:c>
      <x:c r="AT570" s="23" t="n">
        <x:v>0</x:v>
      </x:c>
    </x:row>
    <x:row r="571" ht="64" customHeight="1">
      <x:c r="A571" s="10" t="str">
        <x:v>IEK</x:v>
      </x:c>
      <x:c r="B571" s="34" t="str">
        <x:v>130200128_</x:v>
      </x:c>
      <x:c r="C571" s="34" t="str">
        <x:v>LDD11-024-1100-001</x:v>
      </x:c>
      <x:c r="D571" s="13" t="str">
        <x:v>Датчик движения ДД 024 белый,до 1100 Вт,дальность 6 м IP33 IEK (60)</x:v>
      </x:c>
      <x:c r="E571" s="10" t="str">
        <x:v>шт</x:v>
      </x:c>
      <x:c r="F571" s="37" t="n">
        <x:f>MAX(0,ROUNDDOWN((AG571-AF571)/AR571+0.000000001,0)*AR571)</x:f>
        <x:v>23</x:v>
      </x:c>
      <x:c r="G571" s="21" t="str">
        <x:f>IF(J571="Рассчитано",V571*(1-R571/100)-W571-P571-Q571,"н/д")</x:f>
        <x:v>н/д</x:v>
      </x:c>
      <x:c r="H571" s="13" t="str">
        <x:v>Высокий</x:v>
      </x:c>
      <x:c r="I571" s="13" t="str">
        <x:v>Средний</x:v>
      </x:c>
      <x:c r="J571" s="13" t="str">
        <x:f>IF(L571="","Укажите валюту",IF(NOT(ISNUMBER(K571)),"Укажите объём",IF(K571&lt;=0,"Укажите объём",IF(K571&gt;F571,"Объём выше излишка",IF(COUNT(M571:O571)&lt;3,"Нужны цены",IF(COUNT(P571:R571)&lt;3,"Нужны расходы",IF(OR(M571&lt;0,N571&lt;0,O571&lt;0,O571&gt;100,P571&lt;0,Q571&lt;0,R571&lt;0,R571&gt;100),"Проверьте значения","Рассчитано")))))))</x:f>
        <x:v>Нужны цены</x:v>
      </x:c>
      <x:c r="K571" s="36" t="n">
        <x:v>23</x:v>
      </x:c>
      <x:c r="L571" s="19" t="str">
        <x:v>KZT</x:v>
      </x:c>
      <x:c r="M571" s="22"/>
      <x:c r="N571" s="22"/>
      <x:c r="O571" s="28"/>
      <x:c r="P571" s="22"/>
      <x:c r="Q571" s="22"/>
      <x:c r="R571" s="28"/>
      <x:c r="S571" s="22"/>
      <x:c r="T571" s="37" t="n">
        <x:f>K571</x:f>
        <x:v>23</x:v>
      </x:c>
      <x:c r="U571" s="21" t="str">
        <x:f>IF(J571="Рассчитано",N571*(1-O571/100),"н/д")</x:f>
        <x:v>н/д</x:v>
      </x:c>
      <x:c r="V571" s="21" t="str">
        <x:f>IF(J571="Рассчитано",T571*U571,"н/д")</x:f>
        <x:v>н/д</x:v>
      </x:c>
      <x:c r="W571" s="21" t="str">
        <x:f>IF(J571="Рассчитано",T571*M571,"н/д")</x:f>
        <x:v>н/д</x:v>
      </x:c>
      <x:c r="X571" s="21" t="str">
        <x:f>IF(J571="Рассчитано",V571-W571,"н/д")</x:f>
        <x:v>н/д</x:v>
      </x:c>
      <x:c r="Y571" s="27" t="str">
        <x:f>IF(J571="Рассчитано",IF(V571&gt;0,G571/V571,"н/д"),"н/д")</x:f>
        <x:v>н/д</x:v>
      </x:c>
      <x:c r="Z571" s="21" t="str">
        <x:f>"н/д"</x:f>
        <x:v>н/д</x:v>
      </x:c>
      <x:c r="AA571" s="21" t="str">
        <x:f>"н/д"</x:f>
        <x:v>н/д</x:v>
      </x:c>
      <x:c r="AB571" s="21" t="str">
        <x:f>"н/д"</x:f>
        <x:v>н/д</x:v>
      </x:c>
      <x:c r="AC571" s="21" t="str">
        <x:f>IF(AND(J571="Рассчитано",T571&gt;0,R571&lt;100),(W571+P571+Q571)/(T571*(1-R571/100)),"н/д")</x:f>
        <x:v>н/д</x:v>
      </x:c>
      <x:c r="AD571" s="10" t="str">
        <x:f>IF(ISNUMBER(G571),IF(G571&lt;0,"Убыток",IF(G571=0,"Без прибыли","Прибыль &gt; 0")),"Не оценён")</x:f>
        <x:v>Не оценён</x:v>
      </x:c>
      <x:c r="AE571" s="13" t="str">
        <x:f>IF(J571="Рассчитано","Выручка "&amp;TEXT(V571,"0.00")&amp;" - себестоимость "&amp;TEXT(W571,"0.00")&amp;" - комиссия "&amp;TEXT(V571*R571/100,"0.00")&amp;" - доставка "&amp;TEXT(P571,"0.00")&amp;" - прочие "&amp;TEXT(Q571,"0.00")&amp;" = "&amp;TEXT(G571,"0.00")&amp;" "&amp;L571,"Введите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1" s="24" t="n">
        <x:v>79.4988999039137</x:v>
      </x:c>
      <x:c r="AG571" s="37" t="n">
        <x:v>103</x:v>
      </x:c>
      <x:c r="AH571" s="37" t="n">
        <x:v>40</x:v>
      </x:c>
      <x:c r="AI571" s="30" t="n">
        <x:v>46266</x:v>
      </x:c>
      <x:c r="AJ571" s="37" t="n">
        <x:v>1</x:v>
      </x:c>
      <x:c r="AK571" s="10" t="str">
        <x:v>минимум</x:v>
      </x:c>
      <x:c r="AL571" s="32" t="n">
        <x:v>110.17806732055281</x:v>
      </x:c>
      <x:c r="AM571" s="13" t="str">
        <x:v>Остаток на начало сентября; Резервы неизвестны; Нет ежедневных данных доступности. Запас выше прогноза на 90 дней</x:v>
      </x:c>
      <x:c r="AN571" s="13" t="str">
        <x:v>Проверить свободный остаток и установить цену для B2B</x:v>
      </x:c>
      <x:c r="AO571" s="13" t="str">
        <x:v>Остаток 103; прогноз 90 дней 79.50; избыток 23 шт. Будущие поступления не выставляются на продажу. Остаток на начало сентября: требуется актуализация.</x:v>
      </x:c>
      <x:c r="AP571" s="13" t="str">
        <x:v>["category_missing", "daily_stockout_data_missing", "large_orders_detected", "new_order_lead_time_unknown", "reservations_unknown", "stale_stock"]</x:v>
      </x:c>
      <x:c r="AQ571" s="10" t="str">
        <x:v>IEK:130200128_</x:v>
      </x:c>
      <x:c r="AR571" s="24" t="n">
        <x:v>1</x:v>
      </x:c>
      <x:c r="AS571" s="24" t="n">
        <x:v>0</x:v>
      </x:c>
      <x:c r="AT571" s="24" t="n">
        <x:v>0</x:v>
      </x:c>
    </x:row>
    <x:row r="572" ht="64" customHeight="1">
      <x:c r="A572" s="11" t="str">
        <x:v>IEK</x:v>
      </x:c>
      <x:c r="B572" s="33" t="str">
        <x:v>130200131_</x:v>
      </x:c>
      <x:c r="C572" s="33" t="str">
        <x:v>IVS10-1-00500</x:v>
      </x:c>
      <x:c r="D572" s="12" t="str">
        <x:v>Стабилизатор СНИ  0,5 кВА (1ф) IEK (1)</x:v>
      </x:c>
      <x:c r="E572" s="11" t="str">
        <x:v>шт</x:v>
      </x:c>
      <x:c r="F572" s="35" t="n">
        <x:f>MAX(0,ROUNDDOWN((AG572-AF572)/AR572+0.000000001,0)*AR572)</x:f>
        <x:v>1</x:v>
      </x:c>
      <x:c r="G572" s="20" t="str">
        <x:f>IF(J572="Рассчитано",V572*(1-R572/100)-W572-P572-Q572,"н/д")</x:f>
        <x:v>н/д</x:v>
      </x:c>
      <x:c r="H572" s="12" t="str">
        <x:v>Высокий</x:v>
      </x:c>
      <x:c r="I572" s="12" t="str">
        <x:v>Высокий</x:v>
      </x:c>
      <x:c r="J572" s="12" t="str">
        <x:f>IF(L572="","Укажите валюту",IF(NOT(ISNUMBER(K572)),"Укажите объём",IF(K572&lt;=0,"Укажите объём",IF(K572&gt;F572,"Объём выше излишка",IF(COUNT(M572:O572)&lt;3,"Нужны цены",IF(COUNT(P572:R572)&lt;3,"Нужны расходы",IF(OR(M572&lt;0,N572&lt;0,O572&lt;0,O572&gt;100,P572&lt;0,Q572&lt;0,R572&lt;0,R572&gt;100),"Проверьте значения","Рассчитано")))))))</x:f>
        <x:v>Нужны цены</x:v>
      </x:c>
      <x:c r="K572" s="36" t="n">
        <x:v>1</x:v>
      </x:c>
      <x:c r="L572" s="19" t="str">
        <x:v>KZT</x:v>
      </x:c>
      <x:c r="M572" s="22"/>
      <x:c r="N572" s="22"/>
      <x:c r="O572" s="28"/>
      <x:c r="P572" s="22"/>
      <x:c r="Q572" s="22"/>
      <x:c r="R572" s="28"/>
      <x:c r="S572" s="22"/>
      <x:c r="T572" s="35" t="n">
        <x:f>K572</x:f>
        <x:v>1</x:v>
      </x:c>
      <x:c r="U572" s="20" t="str">
        <x:f>IF(J572="Рассчитано",N572*(1-O572/100),"н/д")</x:f>
        <x:v>н/д</x:v>
      </x:c>
      <x:c r="V572" s="20" t="str">
        <x:f>IF(J572="Рассчитано",T572*U572,"н/д")</x:f>
        <x:v>н/д</x:v>
      </x:c>
      <x:c r="W572" s="20" t="str">
        <x:f>IF(J572="Рассчитано",T572*M572,"н/д")</x:f>
        <x:v>н/д</x:v>
      </x:c>
      <x:c r="X572" s="20" t="str">
        <x:f>IF(J572="Рассчитано",V572-W572,"н/д")</x:f>
        <x:v>н/д</x:v>
      </x:c>
      <x:c r="Y572" s="26" t="str">
        <x:f>IF(J572="Рассчитано",IF(V572&gt;0,G572/V572,"н/д"),"н/д")</x:f>
        <x:v>н/д</x:v>
      </x:c>
      <x:c r="Z572" s="20" t="str">
        <x:f>"н/д"</x:f>
        <x:v>н/д</x:v>
      </x:c>
      <x:c r="AA572" s="20" t="str">
        <x:f>"н/д"</x:f>
        <x:v>н/д</x:v>
      </x:c>
      <x:c r="AB572" s="20" t="str">
        <x:f>"н/д"</x:f>
        <x:v>н/д</x:v>
      </x:c>
      <x:c r="AC572" s="20" t="str">
        <x:f>IF(AND(J572="Рассчитано",T572&gt;0,R572&lt;100),(W572+P572+Q572)/(T572*(1-R572/100)),"н/д")</x:f>
        <x:v>н/д</x:v>
      </x:c>
      <x:c r="AD572" s="11" t="str">
        <x:f>IF(ISNUMBER(G572),IF(G572&lt;0,"Убыток",IF(G572=0,"Без прибыли","Прибыль &gt; 0")),"Не оценён")</x:f>
        <x:v>Не оценён</x:v>
      </x:c>
      <x:c r="AE572" s="12" t="str">
        <x:f>IF(J572="Рассчитано","Выручка "&amp;TEXT(V572,"0.00")&amp;" - себестоимость "&amp;TEXT(W572,"0.00")&amp;" - комиссия "&amp;TEXT(V572*R572/100,"0.00")&amp;" - доставка "&amp;TEXT(P572,"0.00")&amp;" - прочие "&amp;TEXT(Q572,"0.00")&amp;" = "&amp;TEXT(G572,"0.00")&amp;" "&amp;L572,"Введите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2" s="23" t="n">
        <x:v>0</x:v>
      </x:c>
      <x:c r="AG572" s="35" t="n">
        <x:v>1</x:v>
      </x:c>
      <x:c r="AH572" s="35" t="n">
        <x:v>0</x:v>
      </x:c>
      <x:c r="AI572" s="29" t="n">
        <x:v>46266</x:v>
      </x:c>
      <x:c r="AJ572" s="35"/>
      <x:c r="AK572" s="11" t="str">
        <x:v>неизвестно</x:v>
      </x:c>
      <x:c r="AL572" s="31" t="str">
        <x:v>н/д</x:v>
      </x:c>
      <x:c r="AM57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572" s="12" t="str">
        <x:v>Проверить свободный остаток и установить цену для B2B</x:v>
      </x:c>
      <x:c r="AO572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572" s="12" t="str">
        <x:v>["category_missing", "daily_stockout_data_missing", "moq_missing", "new_order_lead_time_unknown", "reservations_unknown", "stale_stock"]</x:v>
      </x:c>
      <x:c r="AQ572" s="11" t="str">
        <x:v>IEK:130200131_</x:v>
      </x:c>
      <x:c r="AR572" s="23" t="n">
        <x:v>1</x:v>
      </x:c>
      <x:c r="AS572" s="23" t="n">
        <x:v>0</x:v>
      </x:c>
      <x:c r="AT572" s="23" t="n">
        <x:v>0</x:v>
      </x:c>
    </x:row>
    <x:row r="573" ht="64" customHeight="1">
      <x:c r="A573" s="10" t="str">
        <x:v>IEK</x:v>
      </x:c>
      <x:c r="B573" s="34" t="str">
        <x:v>130200159_</x:v>
      </x:c>
      <x:c r="C573" s="34" t="str">
        <x:v>LSSA0-1001-003-K03</x:v>
      </x:c>
      <x:c r="D573" s="13" t="str">
        <x:v>ССА1001 аварийный LED 3Вт Exit IEK (20) !!!</x:v>
      </x:c>
      <x:c r="E573" s="10" t="str">
        <x:v>шт</x:v>
      </x:c>
      <x:c r="F573" s="37" t="n">
        <x:f>MAX(0,ROUNDDOWN((AG573-AF573)/AR573+0.000000001,0)*AR573)</x:f>
        <x:v>2</x:v>
      </x:c>
      <x:c r="G573" s="21" t="str">
        <x:f>IF(J573="Рассчитано",V573*(1-R573/100)-W573-P573-Q573,"н/д")</x:f>
        <x:v>н/д</x:v>
      </x:c>
      <x:c r="H573" s="13" t="str">
        <x:v>Высокий</x:v>
      </x:c>
      <x:c r="I573" s="13" t="str">
        <x:v>Высокий</x:v>
      </x:c>
      <x:c r="J573" s="13" t="str">
        <x:f>IF(L573="","Укажите валюту",IF(NOT(ISNUMBER(K573)),"Укажите объём",IF(K573&lt;=0,"Укажите объём",IF(K573&gt;F573,"Объём выше излишка",IF(COUNT(M573:O573)&lt;3,"Нужны цены",IF(COUNT(P573:R573)&lt;3,"Нужны расходы",IF(OR(M573&lt;0,N573&lt;0,O573&lt;0,O573&gt;100,P573&lt;0,Q573&lt;0,R573&lt;0,R573&gt;100),"Проверьте значения","Рассчитано")))))))</x:f>
        <x:v>Нужны цены</x:v>
      </x:c>
      <x:c r="K573" s="36" t="n">
        <x:v>2</x:v>
      </x:c>
      <x:c r="L573" s="19" t="str">
        <x:v>KZT</x:v>
      </x:c>
      <x:c r="M573" s="22"/>
      <x:c r="N573" s="22"/>
      <x:c r="O573" s="28"/>
      <x:c r="P573" s="22"/>
      <x:c r="Q573" s="22"/>
      <x:c r="R573" s="28"/>
      <x:c r="S573" s="22"/>
      <x:c r="T573" s="37" t="n">
        <x:f>K573</x:f>
        <x:v>2</x:v>
      </x:c>
      <x:c r="U573" s="21" t="str">
        <x:f>IF(J573="Рассчитано",N573*(1-O573/100),"н/д")</x:f>
        <x:v>н/д</x:v>
      </x:c>
      <x:c r="V573" s="21" t="str">
        <x:f>IF(J573="Рассчитано",T573*U573,"н/д")</x:f>
        <x:v>н/д</x:v>
      </x:c>
      <x:c r="W573" s="21" t="str">
        <x:f>IF(J573="Рассчитано",T573*M573,"н/д")</x:f>
        <x:v>н/д</x:v>
      </x:c>
      <x:c r="X573" s="21" t="str">
        <x:f>IF(J573="Рассчитано",V573-W573,"н/д")</x:f>
        <x:v>н/д</x:v>
      </x:c>
      <x:c r="Y573" s="27" t="str">
        <x:f>IF(J573="Рассчитано",IF(V573&gt;0,G573/V573,"н/д"),"н/д")</x:f>
        <x:v>н/д</x:v>
      </x:c>
      <x:c r="Z573" s="21" t="str">
        <x:f>"н/д"</x:f>
        <x:v>н/д</x:v>
      </x:c>
      <x:c r="AA573" s="21" t="str">
        <x:f>"н/д"</x:f>
        <x:v>н/д</x:v>
      </x:c>
      <x:c r="AB573" s="21" t="str">
        <x:f>"н/д"</x:f>
        <x:v>н/д</x:v>
      </x:c>
      <x:c r="AC573" s="21" t="str">
        <x:f>IF(AND(J573="Рассчитано",T573&gt;0,R573&lt;100),(W573+P573+Q573)/(T573*(1-R573/100)),"н/д")</x:f>
        <x:v>н/д</x:v>
      </x:c>
      <x:c r="AD573" s="10" t="str">
        <x:f>IF(ISNUMBER(G573),IF(G573&lt;0,"Убыток",IF(G573=0,"Без прибыли","Прибыль &gt; 0")),"Не оценён")</x:f>
        <x:v>Не оценён</x:v>
      </x:c>
      <x:c r="AE573" s="13" t="str">
        <x:f>IF(J573="Рассчитано","Выручка "&amp;TEXT(V573,"0.00")&amp;" - себестоимость "&amp;TEXT(W573,"0.00")&amp;" - комиссия "&amp;TEXT(V573*R573/100,"0.00")&amp;" - доставка "&amp;TEXT(P573,"0.00")&amp;" - прочие "&amp;TEXT(Q573,"0.00")&amp;" = "&amp;TEXT(G573,"0.00")&amp;" "&amp;L573,"Введите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3" s="24" t="n">
        <x:v>0.32967494131865105</x:v>
      </x:c>
      <x:c r="AG573" s="37" t="n">
        <x:v>3</x:v>
      </x:c>
      <x:c r="AH573" s="37" t="n">
        <x:v>0</x:v>
      </x:c>
      <x:c r="AI573" s="30" t="n">
        <x:v>46266</x:v>
      </x:c>
      <x:c r="AJ573" s="37"/>
      <x:c r="AK573" s="10" t="str">
        <x:v>неизвестно</x:v>
      </x:c>
      <x:c r="AL573" s="32" t="n">
        <x:v>773.8456780790042</x:v>
      </x:c>
      <x:c r="AM5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73" s="13" t="str">
        <x:v>Проверить свободный остаток и установить цену для B2B</x:v>
      </x:c>
      <x:c r="AO573" s="13" t="str">
        <x:v>Остаток 3; прогноз 90 дней 0.33; избыток 2 шт. Будущие поступления не выставляются на продажу. Остаток на начало сентября: требуется актуализация.</x:v>
      </x:c>
      <x:c r="AP573" s="13" t="str">
        <x:v>["category_missing", "daily_stockout_data_missing", "moq_missing", "new_order_lead_time_unknown", "reservations_unknown", "stale_stock"]</x:v>
      </x:c>
      <x:c r="AQ573" s="10" t="str">
        <x:v>IEK:130200159_</x:v>
      </x:c>
      <x:c r="AR573" s="24" t="n">
        <x:v>1</x:v>
      </x:c>
      <x:c r="AS573" s="24" t="n">
        <x:v>0</x:v>
      </x:c>
      <x:c r="AT573" s="24" t="n">
        <x:v>0</x:v>
      </x:c>
    </x:row>
    <x:row r="574" ht="64" customHeight="1">
      <x:c r="A574" s="11" t="str">
        <x:v>IEK</x:v>
      </x:c>
      <x:c r="B574" s="33" t="str">
        <x:v>130200183_</x:v>
      </x:c>
      <x:c r="C574" s="33" t="str">
        <x:v>TCM-1C-266</x:v>
      </x:c>
      <x:c r="D574" s="12" t="str">
        <x:v>Токоизмерительные клещи Expert 266С IEK (20)</x:v>
      </x:c>
      <x:c r="E574" s="11" t="str">
        <x:v>шт</x:v>
      </x:c>
      <x:c r="F574" s="35" t="n">
        <x:f>MAX(0,ROUNDDOWN((AG574-AF574)/AR574+0.000000001,0)*AR574)</x:f>
        <x:v>12</x:v>
      </x:c>
      <x:c r="G574" s="20" t="str">
        <x:f>IF(J574="Рассчитано",V574*(1-R574/100)-W574-P574-Q574,"н/д")</x:f>
        <x:v>н/д</x:v>
      </x:c>
      <x:c r="H574" s="12" t="str">
        <x:v>Высокий</x:v>
      </x:c>
      <x:c r="I574" s="12" t="str">
        <x:v>Средний</x:v>
      </x:c>
      <x:c r="J574" s="12" t="str">
        <x:f>IF(L574="","Укажите валюту",IF(NOT(ISNUMBER(K574)),"Укажите объём",IF(K574&lt;=0,"Укажите объём",IF(K574&gt;F574,"Объём выше излишка",IF(COUNT(M574:O574)&lt;3,"Нужны цены",IF(COUNT(P574:R574)&lt;3,"Нужны расходы",IF(OR(M574&lt;0,N574&lt;0,O574&lt;0,O574&gt;100,P574&lt;0,Q574&lt;0,R574&lt;0,R574&gt;100),"Проверьте значения","Рассчитано")))))))</x:f>
        <x:v>Нужны цены</x:v>
      </x:c>
      <x:c r="K574" s="36" t="n">
        <x:v>12</x:v>
      </x:c>
      <x:c r="L574" s="19" t="str">
        <x:v>KZT</x:v>
      </x:c>
      <x:c r="M574" s="22"/>
      <x:c r="N574" s="22"/>
      <x:c r="O574" s="28"/>
      <x:c r="P574" s="22"/>
      <x:c r="Q574" s="22"/>
      <x:c r="R574" s="28"/>
      <x:c r="S574" s="22"/>
      <x:c r="T574" s="35" t="n">
        <x:f>K574</x:f>
        <x:v>12</x:v>
      </x:c>
      <x:c r="U574" s="20" t="str">
        <x:f>IF(J574="Рассчитано",N574*(1-O574/100),"н/д")</x:f>
        <x:v>н/д</x:v>
      </x:c>
      <x:c r="V574" s="20" t="str">
        <x:f>IF(J574="Рассчитано",T574*U574,"н/д")</x:f>
        <x:v>н/д</x:v>
      </x:c>
      <x:c r="W574" s="20" t="str">
        <x:f>IF(J574="Рассчитано",T574*M574,"н/д")</x:f>
        <x:v>н/д</x:v>
      </x:c>
      <x:c r="X574" s="20" t="str">
        <x:f>IF(J574="Рассчитано",V574-W574,"н/д")</x:f>
        <x:v>н/д</x:v>
      </x:c>
      <x:c r="Y574" s="26" t="str">
        <x:f>IF(J574="Рассчитано",IF(V574&gt;0,G574/V574,"н/д"),"н/д")</x:f>
        <x:v>н/д</x:v>
      </x:c>
      <x:c r="Z574" s="20" t="str">
        <x:f>"н/д"</x:f>
        <x:v>н/д</x:v>
      </x:c>
      <x:c r="AA574" s="20" t="str">
        <x:f>"н/д"</x:f>
        <x:v>н/д</x:v>
      </x:c>
      <x:c r="AB574" s="20" t="str">
        <x:f>"н/д"</x:f>
        <x:v>н/д</x:v>
      </x:c>
      <x:c r="AC574" s="20" t="str">
        <x:f>IF(AND(J574="Рассчитано",T574&gt;0,R574&lt;100),(W574+P574+Q574)/(T574*(1-R574/100)),"н/д")</x:f>
        <x:v>н/д</x:v>
      </x:c>
      <x:c r="AD574" s="11" t="str">
        <x:f>IF(ISNUMBER(G574),IF(G574&lt;0,"Убыток",IF(G574=0,"Без прибыли","Прибыль &gt; 0")),"Не оценён")</x:f>
        <x:v>Не оценён</x:v>
      </x:c>
      <x:c r="AE574" s="12" t="str">
        <x:f>IF(J574="Рассчитано","Выручка "&amp;TEXT(V574,"0.00")&amp;" - себестоимость "&amp;TEXT(W574,"0.00")&amp;" - комиссия "&amp;TEXT(V574*R574/100,"0.00")&amp;" - доставка "&amp;TEXT(P574,"0.00")&amp;" - прочие "&amp;TEXT(Q574,"0.00")&amp;" = "&amp;TEXT(G574,"0.00")&amp;" "&amp;L574,"Введите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4" s="23" t="n">
        <x:v>18.374282980649266</x:v>
      </x:c>
      <x:c r="AG574" s="35" t="n">
        <x:v>31</x:v>
      </x:c>
      <x:c r="AH574" s="35" t="n">
        <x:v>2</x:v>
      </x:c>
      <x:c r="AI574" s="29" t="n">
        <x:v>46266</x:v>
      </x:c>
      <x:c r="AJ574" s="35" t="n">
        <x:v>1</x:v>
      </x:c>
      <x:c r="AK574" s="11" t="str">
        <x:v>минимум</x:v>
      </x:c>
      <x:c r="AL574" s="31" t="n">
        <x:v>143.47305220292475</x:v>
      </x:c>
      <x:c r="AM57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74" s="12" t="str">
        <x:v>Проверить свободный остаток и установить цену для B2B</x:v>
      </x:c>
      <x:c r="AO574" s="12" t="str">
        <x:v>Остаток 31; прогноз 90 дней 18.37; избыток 12 шт. Будущие поступления не выставляются на продажу. Остаток на начало сентября: требуется актуализация.</x:v>
      </x:c>
      <x:c r="AP574" s="12" t="str">
        <x:v>["category_missing", "daily_stockout_data_missing", "large_orders_detected", "new_order_lead_time_unknown", "reservations_unknown", "stale_stock", "transaction_month_mismatch"]</x:v>
      </x:c>
      <x:c r="AQ574" s="11" t="str">
        <x:v>IEK:130200183_</x:v>
      </x:c>
      <x:c r="AR574" s="23" t="n">
        <x:v>1</x:v>
      </x:c>
      <x:c r="AS574" s="23" t="n">
        <x:v>0</x:v>
      </x:c>
      <x:c r="AT574" s="23" t="n">
        <x:v>0</x:v>
      </x:c>
    </x:row>
    <x:row r="575" ht="64" customHeight="1">
      <x:c r="A575" s="10" t="str">
        <x:v>IEK</x:v>
      </x:c>
      <x:c r="B575" s="34" t="str">
        <x:v>130200184_</x:v>
      </x:c>
      <x:c r="C575" s="34" t="str">
        <x:v>TMD-3L-838</x:v>
      </x:c>
      <x:c r="D575" s="13" t="str">
        <x:v>Мультиметр цифровой Master MAS838L IEK (40)</x:v>
      </x:c>
      <x:c r="E575" s="10" t="str">
        <x:v>шт</x:v>
      </x:c>
      <x:c r="F575" s="37" t="n">
        <x:f>MAX(0,ROUNDDOWN((AG575-AF575)/AR575+0.000000001,0)*AR575)</x:f>
        <x:v>12</x:v>
      </x:c>
      <x:c r="G575" s="21" t="str">
        <x:f>IF(J575="Рассчитано",V575*(1-R575/100)-W575-P575-Q575,"н/д")</x:f>
        <x:v>н/д</x:v>
      </x:c>
      <x:c r="H575" s="13" t="str">
        <x:v>Высокий</x:v>
      </x:c>
      <x:c r="I575" s="13" t="str">
        <x:v>Средний</x:v>
      </x:c>
      <x:c r="J575" s="13" t="str">
        <x:f>IF(L575="","Укажите валюту",IF(NOT(ISNUMBER(K575)),"Укажите объём",IF(K575&lt;=0,"Укажите объём",IF(K575&gt;F575,"Объём выше излишка",IF(COUNT(M575:O575)&lt;3,"Нужны цены",IF(COUNT(P575:R575)&lt;3,"Нужны расходы",IF(OR(M575&lt;0,N575&lt;0,O575&lt;0,O575&gt;100,P575&lt;0,Q575&lt;0,R575&lt;0,R575&gt;100),"Проверьте значения","Рассчитано")))))))</x:f>
        <x:v>Нужны цены</x:v>
      </x:c>
      <x:c r="K575" s="36" t="n">
        <x:v>12</x:v>
      </x:c>
      <x:c r="L575" s="19" t="str">
        <x:v>KZT</x:v>
      </x:c>
      <x:c r="M575" s="22"/>
      <x:c r="N575" s="22"/>
      <x:c r="O575" s="28"/>
      <x:c r="P575" s="22"/>
      <x:c r="Q575" s="22"/>
      <x:c r="R575" s="28"/>
      <x:c r="S575" s="22"/>
      <x:c r="T575" s="37" t="n">
        <x:f>K575</x:f>
        <x:v>12</x:v>
      </x:c>
      <x:c r="U575" s="21" t="str">
        <x:f>IF(J575="Рассчитано",N575*(1-O575/100),"н/д")</x:f>
        <x:v>н/д</x:v>
      </x:c>
      <x:c r="V575" s="21" t="str">
        <x:f>IF(J575="Рассчитано",T575*U575,"н/д")</x:f>
        <x:v>н/д</x:v>
      </x:c>
      <x:c r="W575" s="21" t="str">
        <x:f>IF(J575="Рассчитано",T575*M575,"н/д")</x:f>
        <x:v>н/д</x:v>
      </x:c>
      <x:c r="X575" s="21" t="str">
        <x:f>IF(J575="Рассчитано",V575-W575,"н/д")</x:f>
        <x:v>н/д</x:v>
      </x:c>
      <x:c r="Y575" s="27" t="str">
        <x:f>IF(J575="Рассчитано",IF(V575&gt;0,G575/V575,"н/д"),"н/д")</x:f>
        <x:v>н/д</x:v>
      </x:c>
      <x:c r="Z575" s="21" t="str">
        <x:f>"н/д"</x:f>
        <x:v>н/д</x:v>
      </x:c>
      <x:c r="AA575" s="21" t="str">
        <x:f>"н/д"</x:f>
        <x:v>н/д</x:v>
      </x:c>
      <x:c r="AB575" s="21" t="str">
        <x:f>"н/д"</x:f>
        <x:v>н/д</x:v>
      </x:c>
      <x:c r="AC575" s="21" t="str">
        <x:f>IF(AND(J575="Рассчитано",T575&gt;0,R575&lt;100),(W575+P575+Q575)/(T575*(1-R575/100)),"н/д")</x:f>
        <x:v>н/д</x:v>
      </x:c>
      <x:c r="AD575" s="10" t="str">
        <x:f>IF(ISNUMBER(G575),IF(G575&lt;0,"Убыток",IF(G575=0,"Без прибыли","Прибыль &gt; 0")),"Не оценён")</x:f>
        <x:v>Не оценён</x:v>
      </x:c>
      <x:c r="AE575" s="13" t="str">
        <x:f>IF(J575="Рассчитано","Выручка "&amp;TEXT(V575,"0.00")&amp;" - себестоимость "&amp;TEXT(W575,"0.00")&amp;" - комиссия "&amp;TEXT(V575*R575/100,"0.00")&amp;" - доставка "&amp;TEXT(P575,"0.00")&amp;" - прочие "&amp;TEXT(Q575,"0.00")&amp;" = "&amp;TEXT(G575,"0.00")&amp;" "&amp;L575,"Введите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5" s="24" t="n">
        <x:v>11.367084386333143</x:v>
      </x:c>
      <x:c r="AG575" s="37" t="n">
        <x:v>24</x:v>
      </x:c>
      <x:c r="AH575" s="37" t="n">
        <x:v>0</x:v>
      </x:c>
      <x:c r="AI575" s="30" t="n">
        <x:v>46266</x:v>
      </x:c>
      <x:c r="AJ575" s="37" t="n">
        <x:v>1</x:v>
      </x:c>
      <x:c r="AK575" s="10" t="str">
        <x:v>минимум</x:v>
      </x:c>
      <x:c r="AL575" s="32" t="n">
        <x:v>179.54826046131615</x:v>
      </x:c>
      <x:c r="AM575" s="13" t="str">
        <x:v>Остаток на начало сентября; Резервы неизвестны; Нет ежедневных данных доступности. Запас выше прогноза на 90 дней</x:v>
      </x:c>
      <x:c r="AN575" s="13" t="str">
        <x:v>Проверить свободный остаток и установить цену для B2B</x:v>
      </x:c>
      <x:c r="AO575" s="13" t="str">
        <x:v>Остаток 24; прогноз 90 дней 11.37; избыток 12 шт. Будущие поступления не выставляются на продажу. Остаток на начало сентября: требуется актуализация.</x:v>
      </x:c>
      <x:c r="AP575" s="13" t="str">
        <x:v>["category_missing", "daily_stockout_data_missing", "large_orders_detected", "new_order_lead_time_unknown", "reservations_unknown", "stale_stock"]</x:v>
      </x:c>
      <x:c r="AQ575" s="10" t="str">
        <x:v>IEK:130200184_</x:v>
      </x:c>
      <x:c r="AR575" s="24" t="n">
        <x:v>1</x:v>
      </x:c>
      <x:c r="AS575" s="24" t="n">
        <x:v>0</x:v>
      </x:c>
      <x:c r="AT575" s="24" t="n">
        <x:v>0</x:v>
      </x:c>
    </x:row>
    <x:row r="576" ht="64" customHeight="1">
      <x:c r="A576" s="11" t="str">
        <x:v>IEK</x:v>
      </x:c>
      <x:c r="B576" s="33" t="str">
        <x:v>130200185_</x:v>
      </x:c>
      <x:c r="C576" s="33" t="str">
        <x:v>TMD-3L-830</x:v>
      </x:c>
      <x:c r="D576" s="12" t="str">
        <x:v>Мультиметр цифровой Master MAS830L IEK (40)</x:v>
      </x:c>
      <x:c r="E576" s="11" t="str">
        <x:v>шт</x:v>
      </x:c>
      <x:c r="F576" s="35" t="n">
        <x:f>MAX(0,ROUNDDOWN((AG576-AF576)/AR576+0.000000001,0)*AR576)</x:f>
        <x:v>5</x:v>
      </x:c>
      <x:c r="G576" s="20" t="str">
        <x:f>IF(J576="Рассчитано",V576*(1-R576/100)-W576-P576-Q576,"н/д")</x:f>
        <x:v>н/д</x:v>
      </x:c>
      <x:c r="H576" s="12" t="str">
        <x:v>Высокий</x:v>
      </x:c>
      <x:c r="I576" s="12" t="str">
        <x:v>Средний</x:v>
      </x:c>
      <x:c r="J576" s="12" t="str">
        <x:f>IF(L576="","Укажите валюту",IF(NOT(ISNUMBER(K576)),"Укажите объём",IF(K576&lt;=0,"Укажите объём",IF(K576&gt;F576,"Объём выше излишка",IF(COUNT(M576:O576)&lt;3,"Нужны цены",IF(COUNT(P576:R576)&lt;3,"Нужны расходы",IF(OR(M576&lt;0,N576&lt;0,O576&lt;0,O576&gt;100,P576&lt;0,Q576&lt;0,R576&lt;0,R576&gt;100),"Проверьте значения","Рассчитано")))))))</x:f>
        <x:v>Нужны цены</x:v>
      </x:c>
      <x:c r="K576" s="36" t="n">
        <x:v>5</x:v>
      </x:c>
      <x:c r="L576" s="19" t="str">
        <x:v>KZT</x:v>
      </x:c>
      <x:c r="M576" s="22"/>
      <x:c r="N576" s="22"/>
      <x:c r="O576" s="28"/>
      <x:c r="P576" s="22"/>
      <x:c r="Q576" s="22"/>
      <x:c r="R576" s="28"/>
      <x:c r="S576" s="22"/>
      <x:c r="T576" s="35" t="n">
        <x:f>K576</x:f>
        <x:v>5</x:v>
      </x:c>
      <x:c r="U576" s="20" t="str">
        <x:f>IF(J576="Рассчитано",N576*(1-O576/100),"н/д")</x:f>
        <x:v>н/д</x:v>
      </x:c>
      <x:c r="V576" s="20" t="str">
        <x:f>IF(J576="Рассчитано",T576*U576,"н/д")</x:f>
        <x:v>н/д</x:v>
      </x:c>
      <x:c r="W576" s="20" t="str">
        <x:f>IF(J576="Рассчитано",T576*M576,"н/д")</x:f>
        <x:v>н/д</x:v>
      </x:c>
      <x:c r="X576" s="20" t="str">
        <x:f>IF(J576="Рассчитано",V576-W576,"н/д")</x:f>
        <x:v>н/д</x:v>
      </x:c>
      <x:c r="Y576" s="26" t="str">
        <x:f>IF(J576="Рассчитано",IF(V576&gt;0,G576/V576,"н/д"),"н/д")</x:f>
        <x:v>н/д</x:v>
      </x:c>
      <x:c r="Z576" s="20" t="str">
        <x:f>"н/д"</x:f>
        <x:v>н/д</x:v>
      </x:c>
      <x:c r="AA576" s="20" t="str">
        <x:f>"н/д"</x:f>
        <x:v>н/д</x:v>
      </x:c>
      <x:c r="AB576" s="20" t="str">
        <x:f>"н/д"</x:f>
        <x:v>н/д</x:v>
      </x:c>
      <x:c r="AC576" s="20" t="str">
        <x:f>IF(AND(J576="Рассчитано",T576&gt;0,R576&lt;100),(W576+P576+Q576)/(T576*(1-R576/100)),"н/д")</x:f>
        <x:v>н/д</x:v>
      </x:c>
      <x:c r="AD576" s="11" t="str">
        <x:f>IF(ISNUMBER(G576),IF(G576&lt;0,"Убыток",IF(G576=0,"Без прибыли","Прибыль &gt; 0")),"Не оценён")</x:f>
        <x:v>Не оценён</x:v>
      </x:c>
      <x:c r="AE576" s="12" t="str">
        <x:f>IF(J576="Рассчитано","Выручка "&amp;TEXT(V576,"0.00")&amp;" - себестоимость "&amp;TEXT(W576,"0.00")&amp;" - комиссия "&amp;TEXT(V576*R576/100,"0.00")&amp;" - доставка "&amp;TEXT(P576,"0.00")&amp;" - прочие "&amp;TEXT(Q576,"0.00")&amp;" = "&amp;TEXT(G576,"0.00")&amp;" "&amp;L576,"Введите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6" s="23" t="n">
        <x:v>11.618486120059</x:v>
      </x:c>
      <x:c r="AG576" s="35" t="n">
        <x:v>17</x:v>
      </x:c>
      <x:c r="AH576" s="35" t="n">
        <x:v>0</x:v>
      </x:c>
      <x:c r="AI576" s="29" t="n">
        <x:v>46266</x:v>
      </x:c>
      <x:c r="AJ576" s="35" t="n">
        <x:v>1</x:v>
      </x:c>
      <x:c r="AK576" s="11" t="str">
        <x:v>минимум</x:v>
      </x:c>
      <x:c r="AL576" s="31" t="n">
        <x:v>124.42808640932049</x:v>
      </x:c>
      <x:c r="AM576" s="12" t="str">
        <x:v>Остаток на начало сентября; Резервы неизвестны; Нет ежедневных данных доступности. Запас выше прогноза на 90 дней</x:v>
      </x:c>
      <x:c r="AN576" s="12" t="str">
        <x:v>Проверить свободный остаток и установить цену для B2B</x:v>
      </x:c>
      <x:c r="AO576" s="12" t="str">
        <x:v>Остаток 17; прогноз 90 дней 11.62; избыток 5 шт. Будущие поступления не выставляются на продажу. Остаток на начало сентября: требуется актуализация.</x:v>
      </x:c>
      <x:c r="AP576" s="12" t="str">
        <x:v>["category_missing", "daily_stockout_data_missing", "new_order_lead_time_unknown", "reservations_unknown", "stale_stock"]</x:v>
      </x:c>
      <x:c r="AQ576" s="11" t="str">
        <x:v>IEK:130200185_</x:v>
      </x:c>
      <x:c r="AR576" s="23" t="n">
        <x:v>1</x:v>
      </x:c>
      <x:c r="AS576" s="23" t="n">
        <x:v>0</x:v>
      </x:c>
      <x:c r="AT576" s="23" t="n">
        <x:v>0</x:v>
      </x:c>
    </x:row>
    <x:row r="577" ht="64" customHeight="1">
      <x:c r="A577" s="10" t="str">
        <x:v>IEK</x:v>
      </x:c>
      <x:c r="B577" s="34" t="str">
        <x:v>130200301_</x:v>
      </x:c>
      <x:c r="C577" s="34" t="str">
        <x:v>LDD10-045-60-001</x:v>
      </x:c>
      <x:c r="D577" s="13" t="str">
        <x:v>Датчик движения ДД 045 белый E27,до 60 Вт,дальность 6 м IP20 IEK  (50)</x:v>
      </x:c>
      <x:c r="E577" s="10" t="str">
        <x:v>шт</x:v>
      </x:c>
      <x:c r="F577" s="37" t="n">
        <x:f>MAX(0,ROUNDDOWN((AG577-AF577)/AR577+0.000000001,0)*AR577)</x:f>
        <x:v>6</x:v>
      </x:c>
      <x:c r="G577" s="21" t="str">
        <x:f>IF(J577="Рассчитано",V577*(1-R577/100)-W577-P577-Q577,"н/д")</x:f>
        <x:v>н/д</x:v>
      </x:c>
      <x:c r="H577" s="13" t="str">
        <x:v>Высокий</x:v>
      </x:c>
      <x:c r="I577" s="13" t="str">
        <x:v>Высокий</x:v>
      </x:c>
      <x:c r="J577" s="13" t="str">
        <x:f>IF(L577="","Укажите валюту",IF(NOT(ISNUMBER(K577)),"Укажите объём",IF(K577&lt;=0,"Укажите объём",IF(K577&gt;F577,"Объём выше излишка",IF(COUNT(M577:O577)&lt;3,"Нужны цены",IF(COUNT(P577:R577)&lt;3,"Нужны расходы",IF(OR(M577&lt;0,N577&lt;0,O577&lt;0,O577&gt;100,P577&lt;0,Q577&lt;0,R577&lt;0,R577&gt;100),"Проверьте значения","Рассчитано")))))))</x:f>
        <x:v>Нужны цены</x:v>
      </x:c>
      <x:c r="K577" s="36" t="n">
        <x:v>6</x:v>
      </x:c>
      <x:c r="L577" s="19" t="str">
        <x:v>KZT</x:v>
      </x:c>
      <x:c r="M577" s="22"/>
      <x:c r="N577" s="22"/>
      <x:c r="O577" s="28"/>
      <x:c r="P577" s="22"/>
      <x:c r="Q577" s="22"/>
      <x:c r="R577" s="28"/>
      <x:c r="S577" s="22"/>
      <x:c r="T577" s="37" t="n">
        <x:f>K577</x:f>
        <x:v>6</x:v>
      </x:c>
      <x:c r="U577" s="21" t="str">
        <x:f>IF(J577="Рассчитано",N577*(1-O577/100),"н/д")</x:f>
        <x:v>н/д</x:v>
      </x:c>
      <x:c r="V577" s="21" t="str">
        <x:f>IF(J577="Рассчитано",T577*U577,"н/д")</x:f>
        <x:v>н/д</x:v>
      </x:c>
      <x:c r="W577" s="21" t="str">
        <x:f>IF(J577="Рассчитано",T577*M577,"н/д")</x:f>
        <x:v>н/д</x:v>
      </x:c>
      <x:c r="X577" s="21" t="str">
        <x:f>IF(J577="Рассчитано",V577-W577,"н/д")</x:f>
        <x:v>н/д</x:v>
      </x:c>
      <x:c r="Y577" s="27" t="str">
        <x:f>IF(J577="Рассчитано",IF(V577&gt;0,G577/V577,"н/д"),"н/д")</x:f>
        <x:v>н/д</x:v>
      </x:c>
      <x:c r="Z577" s="21" t="str">
        <x:f>"н/д"</x:f>
        <x:v>н/д</x:v>
      </x:c>
      <x:c r="AA577" s="21" t="str">
        <x:f>"н/д"</x:f>
        <x:v>н/д</x:v>
      </x:c>
      <x:c r="AB577" s="21" t="str">
        <x:f>"н/д"</x:f>
        <x:v>н/д</x:v>
      </x:c>
      <x:c r="AC577" s="21" t="str">
        <x:f>IF(AND(J577="Рассчитано",T577&gt;0,R577&lt;100),(W577+P577+Q577)/(T577*(1-R577/100)),"н/д")</x:f>
        <x:v>н/д</x:v>
      </x:c>
      <x:c r="AD577" s="10" t="str">
        <x:f>IF(ISNUMBER(G577),IF(G577&lt;0,"Убыток",IF(G577=0,"Без прибыли","Прибыль &gt; 0")),"Не оценён")</x:f>
        <x:v>Не оценён</x:v>
      </x:c>
      <x:c r="AE577" s="13" t="str">
        <x:f>IF(J577="Рассчитано","Выручка "&amp;TEXT(V577,"0.00")&amp;" - себестоимость "&amp;TEXT(W577,"0.00")&amp;" - комиссия "&amp;TEXT(V577*R577/100,"0.00")&amp;" - доставка "&amp;TEXT(P577,"0.00")&amp;" - прочие "&amp;TEXT(Q577,"0.00")&amp;" = "&amp;TEXT(G577,"0.00")&amp;" "&amp;L577,"Введите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7" s="24" t="n">
        <x:v>2.8923914807763875</x:v>
      </x:c>
      <x:c r="AG577" s="37" t="n">
        <x:v>9</x:v>
      </x:c>
      <x:c r="AH577" s="37" t="n">
        <x:v>0</x:v>
      </x:c>
      <x:c r="AI577" s="30" t="n">
        <x:v>46266</x:v>
      </x:c>
      <x:c r="AJ577" s="37"/>
      <x:c r="AK577" s="10" t="str">
        <x:v>неизвестно</x:v>
      </x:c>
      <x:c r="AL577" s="32" t="n">
        <x:v>264.6089198567692</x:v>
      </x:c>
      <x:c r="AM57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77" s="13" t="str">
        <x:v>Проверить свободный остаток и установить цену для B2B</x:v>
      </x:c>
      <x:c r="AO577" s="13" t="str">
        <x:v>Остаток 9; прогноз 90 дней 2.89; избыток 6 шт. Будущие поступления не выставляются на продажу. Остаток на начало сентября: требуется актуализация.</x:v>
      </x:c>
      <x:c r="AP577" s="13" t="str">
        <x:v>["category_missing", "daily_stockout_data_missing", "moq_missing", "new_order_lead_time_unknown", "reservations_unknown", "stale_stock"]</x:v>
      </x:c>
      <x:c r="AQ577" s="10" t="str">
        <x:v>IEK:130200301_</x:v>
      </x:c>
      <x:c r="AR577" s="24" t="n">
        <x:v>1</x:v>
      </x:c>
      <x:c r="AS577" s="24" t="n">
        <x:v>0</x:v>
      </x:c>
      <x:c r="AT577" s="24" t="n">
        <x:v>0</x:v>
      </x:c>
    </x:row>
    <x:row r="578" ht="64" customHeight="1">
      <x:c r="A578" s="11" t="str">
        <x:v>IEK</x:v>
      </x:c>
      <x:c r="B578" s="33" t="str">
        <x:v>130200381_</x:v>
      </x:c>
      <x:c r="C578" s="33" t="str">
        <x:v>LDBA0-3926-30-K01</x:v>
      </x:c>
      <x:c r="D578" s="12" t="str">
        <x:v>Светильник ДБА 3926 аккумулятор 3ч 3Вт IEK</x:v>
      </x:c>
      <x:c r="E578" s="11" t="str">
        <x:v>шт</x:v>
      </x:c>
      <x:c r="F578" s="35" t="n">
        <x:f>MAX(0,ROUNDDOWN((AG578-AF578)/AR578+0.000000001,0)*AR578)</x:f>
        <x:v>42</x:v>
      </x:c>
      <x:c r="G578" s="20" t="str">
        <x:f>IF(J578="Рассчитано",V578*(1-R578/100)-W578-P578-Q578,"н/д")</x:f>
        <x:v>н/д</x:v>
      </x:c>
      <x:c r="H578" s="12" t="str">
        <x:v>Высокий</x:v>
      </x:c>
      <x:c r="I578" s="12" t="str">
        <x:v>Средний</x:v>
      </x:c>
      <x:c r="J578" s="12" t="str">
        <x:f>IF(L578="","Укажите валюту",IF(NOT(ISNUMBER(K578)),"Укажите объём",IF(K578&lt;=0,"Укажите объём",IF(K578&gt;F578,"Объём выше излишка",IF(COUNT(M578:O578)&lt;3,"Нужны цены",IF(COUNT(P578:R578)&lt;3,"Нужны расходы",IF(OR(M578&lt;0,N578&lt;0,O578&lt;0,O578&gt;100,P578&lt;0,Q578&lt;0,R578&lt;0,R578&gt;100),"Проверьте значения","Рассчитано")))))))</x:f>
        <x:v>Нужны цены</x:v>
      </x:c>
      <x:c r="K578" s="36" t="n">
        <x:v>42</x:v>
      </x:c>
      <x:c r="L578" s="19" t="str">
        <x:v>KZT</x:v>
      </x:c>
      <x:c r="M578" s="22"/>
      <x:c r="N578" s="22"/>
      <x:c r="O578" s="28"/>
      <x:c r="P578" s="22"/>
      <x:c r="Q578" s="22"/>
      <x:c r="R578" s="28"/>
      <x:c r="S578" s="22"/>
      <x:c r="T578" s="35" t="n">
        <x:f>K578</x:f>
        <x:v>42</x:v>
      </x:c>
      <x:c r="U578" s="20" t="str">
        <x:f>IF(J578="Рассчитано",N578*(1-O578/100),"н/д")</x:f>
        <x:v>н/д</x:v>
      </x:c>
      <x:c r="V578" s="20" t="str">
        <x:f>IF(J578="Рассчитано",T578*U578,"н/д")</x:f>
        <x:v>н/д</x:v>
      </x:c>
      <x:c r="W578" s="20" t="str">
        <x:f>IF(J578="Рассчитано",T578*M578,"н/д")</x:f>
        <x:v>н/д</x:v>
      </x:c>
      <x:c r="X578" s="20" t="str">
        <x:f>IF(J578="Рассчитано",V578-W578,"н/д")</x:f>
        <x:v>н/д</x:v>
      </x:c>
      <x:c r="Y578" s="26" t="str">
        <x:f>IF(J578="Рассчитано",IF(V578&gt;0,G578/V578,"н/д"),"н/д")</x:f>
        <x:v>н/д</x:v>
      </x:c>
      <x:c r="Z578" s="20" t="str">
        <x:f>"н/д"</x:f>
        <x:v>н/д</x:v>
      </x:c>
      <x:c r="AA578" s="20" t="str">
        <x:f>"н/д"</x:f>
        <x:v>н/д</x:v>
      </x:c>
      <x:c r="AB578" s="20" t="str">
        <x:f>"н/д"</x:f>
        <x:v>н/д</x:v>
      </x:c>
      <x:c r="AC578" s="20" t="str">
        <x:f>IF(AND(J578="Рассчитано",T578&gt;0,R578&lt;100),(W578+P578+Q578)/(T578*(1-R578/100)),"н/д")</x:f>
        <x:v>н/д</x:v>
      </x:c>
      <x:c r="AD578" s="11" t="str">
        <x:f>IF(ISNUMBER(G578),IF(G578&lt;0,"Убыток",IF(G578=0,"Без прибыли","Прибыль &gt; 0")),"Не оценён")</x:f>
        <x:v>Не оценён</x:v>
      </x:c>
      <x:c r="AE578" s="12" t="str">
        <x:f>IF(J578="Рассчитано","Выручка "&amp;TEXT(V578,"0.00")&amp;" - себестоимость "&amp;TEXT(W578,"0.00")&amp;" - комиссия "&amp;TEXT(V578*R578/100,"0.00")&amp;" - доставка "&amp;TEXT(P578,"0.00")&amp;" - прочие "&amp;TEXT(Q578,"0.00")&amp;" = "&amp;TEXT(G578,"0.00")&amp;" "&amp;L578,"Введите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8" s="23" t="n">
        <x:v>46.430720046766396</x:v>
      </x:c>
      <x:c r="AG578" s="35" t="n">
        <x:v>89</x:v>
      </x:c>
      <x:c r="AH578" s="35" t="n">
        <x:v>0</x:v>
      </x:c>
      <x:c r="AI578" s="29" t="n">
        <x:v>46266</x:v>
      </x:c>
      <x:c r="AJ578" s="35" t="n">
        <x:v>1</x:v>
      </x:c>
      <x:c r="AK578" s="11" t="str">
        <x:v>минимум</x:v>
      </x:c>
      <x:c r="AL578" s="31" t="n">
        <x:v>163.00601566200763</x:v>
      </x:c>
      <x:c r="AM578" s="12" t="str">
        <x:v>Остаток на начало сентября; Резервы неизвестны; Нет ежедневных данных доступности. Запас выше прогноза на 90 дней</x:v>
      </x:c>
      <x:c r="AN578" s="12" t="str">
        <x:v>Проверить свободный остаток и установить цену для B2B</x:v>
      </x:c>
      <x:c r="AO578" s="12" t="str">
        <x:v>Остаток 89; прогноз 90 дней 46.43; избыток 42 шт. Будущие поступления не выставляются на продажу. Остаток на начало сентября: требуется актуализация.</x:v>
      </x:c>
      <x:c r="AP578" s="12" t="str">
        <x:v>["category_missing", "daily_stockout_data_missing", "large_orders_detected", "new_order_lead_time_unknown", "reservations_unknown", "stale_stock"]</x:v>
      </x:c>
      <x:c r="AQ578" s="11" t="str">
        <x:v>IEK:130200381_</x:v>
      </x:c>
      <x:c r="AR578" s="23" t="n">
        <x:v>1</x:v>
      </x:c>
      <x:c r="AS578" s="23" t="n">
        <x:v>0</x:v>
      </x:c>
      <x:c r="AT578" s="23" t="n">
        <x:v>0</x:v>
      </x:c>
    </x:row>
    <x:row r="579" ht="64" customHeight="1">
      <x:c r="A579" s="10" t="str">
        <x:v>IEK</x:v>
      </x:c>
      <x:c r="B579" s="34" t="str">
        <x:v>130200414_</x:v>
      </x:c>
      <x:c r="C579" s="34" t="str">
        <x:v>A2L5-BG12-02-K02</x:v>
      </x:c>
      <x:c r="D579" s="13" t="str">
        <x:v>Сумка монтажника с пластиковым дном BG-02 ARMA2L 5 IEK (1)</x:v>
      </x:c>
      <x:c r="E579" s="10" t="str">
        <x:v>шт</x:v>
      </x:c>
      <x:c r="F579" s="37" t="n">
        <x:f>MAX(0,ROUNDDOWN((AG579-AF579)/AR579+0.000000001,0)*AR579)</x:f>
        <x:v>3</x:v>
      </x:c>
      <x:c r="G579" s="21" t="str">
        <x:f>IF(J579="Рассчитано",V579*(1-R579/100)-W579-P579-Q579,"н/д")</x:f>
        <x:v>н/д</x:v>
      </x:c>
      <x:c r="H579" s="13" t="str">
        <x:v>Высокий</x:v>
      </x:c>
      <x:c r="I579" s="13" t="str">
        <x:v>Высокий</x:v>
      </x:c>
      <x:c r="J579" s="13" t="str">
        <x:f>IF(L579="","Укажите валюту",IF(NOT(ISNUMBER(K579)),"Укажите объём",IF(K579&lt;=0,"Укажите объём",IF(K579&gt;F579,"Объём выше излишка",IF(COUNT(M579:O579)&lt;3,"Нужны цены",IF(COUNT(P579:R579)&lt;3,"Нужны расходы",IF(OR(M579&lt;0,N579&lt;0,O579&lt;0,O579&gt;100,P579&lt;0,Q579&lt;0,R579&lt;0,R579&gt;100),"Проверьте значения","Рассчитано")))))))</x:f>
        <x:v>Нужны цены</x:v>
      </x:c>
      <x:c r="K579" s="36" t="n">
        <x:v>3</x:v>
      </x:c>
      <x:c r="L579" s="19" t="str">
        <x:v>KZT</x:v>
      </x:c>
      <x:c r="M579" s="22"/>
      <x:c r="N579" s="22"/>
      <x:c r="O579" s="28"/>
      <x:c r="P579" s="22"/>
      <x:c r="Q579" s="22"/>
      <x:c r="R579" s="28"/>
      <x:c r="S579" s="22"/>
      <x:c r="T579" s="37" t="n">
        <x:f>K579</x:f>
        <x:v>3</x:v>
      </x:c>
      <x:c r="U579" s="21" t="str">
        <x:f>IF(J579="Рассчитано",N579*(1-O579/100),"н/д")</x:f>
        <x:v>н/д</x:v>
      </x:c>
      <x:c r="V579" s="21" t="str">
        <x:f>IF(J579="Рассчитано",T579*U579,"н/д")</x:f>
        <x:v>н/д</x:v>
      </x:c>
      <x:c r="W579" s="21" t="str">
        <x:f>IF(J579="Рассчитано",T579*M579,"н/д")</x:f>
        <x:v>н/д</x:v>
      </x:c>
      <x:c r="X579" s="21" t="str">
        <x:f>IF(J579="Рассчитано",V579-W579,"н/д")</x:f>
        <x:v>н/д</x:v>
      </x:c>
      <x:c r="Y579" s="27" t="str">
        <x:f>IF(J579="Рассчитано",IF(V579&gt;0,G579/V579,"н/д"),"н/д")</x:f>
        <x:v>н/д</x:v>
      </x:c>
      <x:c r="Z579" s="21" t="str">
        <x:f>"н/д"</x:f>
        <x:v>н/д</x:v>
      </x:c>
      <x:c r="AA579" s="21" t="str">
        <x:f>"н/д"</x:f>
        <x:v>н/д</x:v>
      </x:c>
      <x:c r="AB579" s="21" t="str">
        <x:f>"н/д"</x:f>
        <x:v>н/д</x:v>
      </x:c>
      <x:c r="AC579" s="21" t="str">
        <x:f>IF(AND(J579="Рассчитано",T579&gt;0,R579&lt;100),(W579+P579+Q579)/(T579*(1-R579/100)),"н/д")</x:f>
        <x:v>н/д</x:v>
      </x:c>
      <x:c r="AD579" s="10" t="str">
        <x:f>IF(ISNUMBER(G579),IF(G579&lt;0,"Убыток",IF(G579=0,"Без прибыли","Прибыль &gt; 0")),"Не оценён")</x:f>
        <x:v>Не оценён</x:v>
      </x:c>
      <x:c r="AE579" s="13" t="str">
        <x:f>IF(J579="Рассчитано","Выручка "&amp;TEXT(V579,"0.00")&amp;" - себестоимость "&amp;TEXT(W579,"0.00")&amp;" - комиссия "&amp;TEXT(V579*R579/100,"0.00")&amp;" - доставка "&amp;TEXT(P579,"0.00")&amp;" - прочие "&amp;TEXT(Q579,"0.00")&amp;" = "&amp;TEXT(G579,"0.00")&amp;" "&amp;L579,"Введите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9" s="24" t="n">
        <x:v>0</x:v>
      </x:c>
      <x:c r="AG579" s="37" t="n">
        <x:v>3</x:v>
      </x:c>
      <x:c r="AH579" s="37" t="n">
        <x:v>0</x:v>
      </x:c>
      <x:c r="AI579" s="30" t="n">
        <x:v>46266</x:v>
      </x:c>
      <x:c r="AJ579" s="37" t="n">
        <x:v>1</x:v>
      </x:c>
      <x:c r="AK579" s="10" t="str">
        <x:v>минимум</x:v>
      </x:c>
      <x:c r="AL579" s="32" t="str">
        <x:v>н/д</x:v>
      </x:c>
      <x:c r="AM57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579" s="13" t="str">
        <x:v>Проверить свободный остаток и установить цену для B2B</x:v>
      </x:c>
      <x:c r="AO579" s="13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579" s="13" t="str">
        <x:v>["category_missing", "daily_stockout_data_missing", "new_order_lead_time_unknown", "reservations_unknown", "stale_stock"]</x:v>
      </x:c>
      <x:c r="AQ579" s="10" t="str">
        <x:v>IEK:130200414_</x:v>
      </x:c>
      <x:c r="AR579" s="24" t="n">
        <x:v>1</x:v>
      </x:c>
      <x:c r="AS579" s="24" t="n">
        <x:v>0</x:v>
      </x:c>
      <x:c r="AT579" s="24" t="n">
        <x:v>0</x:v>
      </x:c>
    </x:row>
    <x:row r="580" ht="64" customHeight="1">
      <x:c r="A580" s="11" t="str">
        <x:v>IEK</x:v>
      </x:c>
      <x:c r="B580" s="33" t="str">
        <x:v>130200415_</x:v>
      </x:c>
      <x:c r="C580" s="33" t="str">
        <x:v>A2L5-BG12-03-K02</x:v>
      </x:c>
      <x:c r="D580" s="12" t="str">
        <x:v>Сумка монтажника с пластиковым дном BG-03 ARMA2L 5 IEK (1)</x:v>
      </x:c>
      <x:c r="E580" s="11" t="str">
        <x:v>шт</x:v>
      </x:c>
      <x:c r="F580" s="35" t="n">
        <x:f>MAX(0,ROUNDDOWN((AG580-AF580)/AR580+0.000000001,0)*AR580)</x:f>
        <x:v>1</x:v>
      </x:c>
      <x:c r="G580" s="20" t="str">
        <x:f>IF(J580="Рассчитано",V580*(1-R580/100)-W580-P580-Q580,"н/д")</x:f>
        <x:v>н/д</x:v>
      </x:c>
      <x:c r="H580" s="12" t="str">
        <x:v>Высокий</x:v>
      </x:c>
      <x:c r="I580" s="12" t="str">
        <x:v>Высокий</x:v>
      </x:c>
      <x:c r="J580" s="12" t="str">
        <x:f>IF(L580="","Укажите валюту",IF(NOT(ISNUMBER(K580)),"Укажите объём",IF(K580&lt;=0,"Укажите объём",IF(K580&gt;F580,"Объём выше излишка",IF(COUNT(M580:O580)&lt;3,"Нужны цены",IF(COUNT(P580:R580)&lt;3,"Нужны расходы",IF(OR(M580&lt;0,N580&lt;0,O580&lt;0,O580&gt;100,P580&lt;0,Q580&lt;0,R580&lt;0,R580&gt;100),"Проверьте значения","Рассчитано")))))))</x:f>
        <x:v>Нужны цены</x:v>
      </x:c>
      <x:c r="K580" s="36" t="n">
        <x:v>1</x:v>
      </x:c>
      <x:c r="L580" s="19" t="str">
        <x:v>KZT</x:v>
      </x:c>
      <x:c r="M580" s="22"/>
      <x:c r="N580" s="22"/>
      <x:c r="O580" s="28"/>
      <x:c r="P580" s="22"/>
      <x:c r="Q580" s="22"/>
      <x:c r="R580" s="28"/>
      <x:c r="S580" s="22"/>
      <x:c r="T580" s="35" t="n">
        <x:f>K580</x:f>
        <x:v>1</x:v>
      </x:c>
      <x:c r="U580" s="20" t="str">
        <x:f>IF(J580="Рассчитано",N580*(1-O580/100),"н/д")</x:f>
        <x:v>н/д</x:v>
      </x:c>
      <x:c r="V580" s="20" t="str">
        <x:f>IF(J580="Рассчитано",T580*U580,"н/д")</x:f>
        <x:v>н/д</x:v>
      </x:c>
      <x:c r="W580" s="20" t="str">
        <x:f>IF(J580="Рассчитано",T580*M580,"н/д")</x:f>
        <x:v>н/д</x:v>
      </x:c>
      <x:c r="X580" s="20" t="str">
        <x:f>IF(J580="Рассчитано",V580-W580,"н/д")</x:f>
        <x:v>н/д</x:v>
      </x:c>
      <x:c r="Y580" s="26" t="str">
        <x:f>IF(J580="Рассчитано",IF(V580&gt;0,G580/V580,"н/д"),"н/д")</x:f>
        <x:v>н/д</x:v>
      </x:c>
      <x:c r="Z580" s="20" t="str">
        <x:f>"н/д"</x:f>
        <x:v>н/д</x:v>
      </x:c>
      <x:c r="AA580" s="20" t="str">
        <x:f>"н/д"</x:f>
        <x:v>н/д</x:v>
      </x:c>
      <x:c r="AB580" s="20" t="str">
        <x:f>"н/д"</x:f>
        <x:v>н/д</x:v>
      </x:c>
      <x:c r="AC580" s="20" t="str">
        <x:f>IF(AND(J580="Рассчитано",T580&gt;0,R580&lt;100),(W580+P580+Q580)/(T580*(1-R580/100)),"н/д")</x:f>
        <x:v>н/д</x:v>
      </x:c>
      <x:c r="AD580" s="11" t="str">
        <x:f>IF(ISNUMBER(G580),IF(G580&lt;0,"Убыток",IF(G580=0,"Без прибыли","Прибыль &gt; 0")),"Не оценён")</x:f>
        <x:v>Не оценён</x:v>
      </x:c>
      <x:c r="AE580" s="12" t="str">
        <x:f>IF(J580="Рассчитано","Выручка "&amp;TEXT(V580,"0.00")&amp;" - себестоимость "&amp;TEXT(W580,"0.00")&amp;" - комиссия "&amp;TEXT(V580*R580/100,"0.00")&amp;" - доставка "&amp;TEXT(P580,"0.00")&amp;" - прочие "&amp;TEXT(Q580,"0.00")&amp;" = "&amp;TEXT(G580,"0.00")&amp;" "&amp;L580,"Введите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0" s="23" t="n">
        <x:v>0.20209258972564598</x:v>
      </x:c>
      <x:c r="AG580" s="35" t="n">
        <x:v>2</x:v>
      </x:c>
      <x:c r="AH580" s="35" t="n">
        <x:v>0</x:v>
      </x:c>
      <x:c r="AI580" s="29" t="n">
        <x:v>46266</x:v>
      </x:c>
      <x:c r="AJ580" s="35" t="n">
        <x:v>1</x:v>
      </x:c>
      <x:c r="AK580" s="11" t="str">
        <x:v>минимум</x:v>
      </x:c>
      <x:c r="AL580" s="31" t="n">
        <x:v>841.5862876078284</x:v>
      </x:c>
      <x:c r="AM58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80" s="12" t="str">
        <x:v>Проверить свободный остаток и установить цену для B2B</x:v>
      </x:c>
      <x:c r="AO580" s="12" t="str">
        <x:v>Остаток 2; прогноз 90 дней 0.20; избыток 1 шт. Будущие поступления не выставляются на продажу. Остаток на начало сентября: требуется актуализация.</x:v>
      </x:c>
      <x:c r="AP580" s="12" t="str">
        <x:v>["category_missing", "daily_stockout_data_missing", "new_order_lead_time_unknown", "reservations_unknown", "stale_stock"]</x:v>
      </x:c>
      <x:c r="AQ580" s="11" t="str">
        <x:v>IEK:130200415_</x:v>
      </x:c>
      <x:c r="AR580" s="23" t="n">
        <x:v>1</x:v>
      </x:c>
      <x:c r="AS580" s="23" t="n">
        <x:v>0</x:v>
      </x:c>
      <x:c r="AT580" s="23" t="n">
        <x:v>0</x:v>
      </x:c>
    </x:row>
    <x:row r="581" ht="64" customHeight="1">
      <x:c r="A581" s="10" t="str">
        <x:v>IEK</x:v>
      </x:c>
      <x:c r="B581" s="34" t="str">
        <x:v>130200416_</x:v>
      </x:c>
      <x:c r="C581" s="34" t="str">
        <x:v>A2L5-BG30-05-K02</x:v>
      </x:c>
      <x:c r="D581" s="13" t="str">
        <x:v>Сумка монтажника открытого типа BG-05 ARMA2L 5 IEK (1)</x:v>
      </x:c>
      <x:c r="E581" s="10" t="str">
        <x:v>шт</x:v>
      </x:c>
      <x:c r="F581" s="37" t="n">
        <x:f>MAX(0,ROUNDDOWN((AG581-AF581)/AR581+0.000000001,0)*AR581)</x:f>
        <x:v>1</x:v>
      </x:c>
      <x:c r="G581" s="21" t="str">
        <x:f>IF(J581="Рассчитано",V581*(1-R581/100)-W581-P581-Q581,"н/д")</x:f>
        <x:v>н/д</x:v>
      </x:c>
      <x:c r="H581" s="13" t="str">
        <x:v>Высокий</x:v>
      </x:c>
      <x:c r="I581" s="13" t="str">
        <x:v>Высокий</x:v>
      </x:c>
      <x:c r="J581" s="13" t="str">
        <x:f>IF(L581="","Укажите валюту",IF(NOT(ISNUMBER(K581)),"Укажите объём",IF(K581&lt;=0,"Укажите объём",IF(K581&gt;F581,"Объём выше излишка",IF(COUNT(M581:O581)&lt;3,"Нужны цены",IF(COUNT(P581:R581)&lt;3,"Нужны расходы",IF(OR(M581&lt;0,N581&lt;0,O581&lt;0,O581&gt;100,P581&lt;0,Q581&lt;0,R581&lt;0,R581&gt;100),"Проверьте значения","Рассчитано")))))))</x:f>
        <x:v>Нужны цены</x:v>
      </x:c>
      <x:c r="K581" s="36" t="n">
        <x:v>1</x:v>
      </x:c>
      <x:c r="L581" s="19" t="str">
        <x:v>KZT</x:v>
      </x:c>
      <x:c r="M581" s="22"/>
      <x:c r="N581" s="22"/>
      <x:c r="O581" s="28"/>
      <x:c r="P581" s="22"/>
      <x:c r="Q581" s="22"/>
      <x:c r="R581" s="28"/>
      <x:c r="S581" s="22"/>
      <x:c r="T581" s="37" t="n">
        <x:f>K581</x:f>
        <x:v>1</x:v>
      </x:c>
      <x:c r="U581" s="21" t="str">
        <x:f>IF(J581="Рассчитано",N581*(1-O581/100),"н/д")</x:f>
        <x:v>н/д</x:v>
      </x:c>
      <x:c r="V581" s="21" t="str">
        <x:f>IF(J581="Рассчитано",T581*U581,"н/д")</x:f>
        <x:v>н/д</x:v>
      </x:c>
      <x:c r="W581" s="21" t="str">
        <x:f>IF(J581="Рассчитано",T581*M581,"н/д")</x:f>
        <x:v>н/д</x:v>
      </x:c>
      <x:c r="X581" s="21" t="str">
        <x:f>IF(J581="Рассчитано",V581-W581,"н/д")</x:f>
        <x:v>н/д</x:v>
      </x:c>
      <x:c r="Y581" s="27" t="str">
        <x:f>IF(J581="Рассчитано",IF(V581&gt;0,G581/V581,"н/д"),"н/д")</x:f>
        <x:v>н/д</x:v>
      </x:c>
      <x:c r="Z581" s="21" t="str">
        <x:f>"н/д"</x:f>
        <x:v>н/д</x:v>
      </x:c>
      <x:c r="AA581" s="21" t="str">
        <x:f>"н/д"</x:f>
        <x:v>н/д</x:v>
      </x:c>
      <x:c r="AB581" s="21" t="str">
        <x:f>"н/д"</x:f>
        <x:v>н/д</x:v>
      </x:c>
      <x:c r="AC581" s="21" t="str">
        <x:f>IF(AND(J581="Рассчитано",T581&gt;0,R581&lt;100),(W581+P581+Q581)/(T581*(1-R581/100)),"н/д")</x:f>
        <x:v>н/д</x:v>
      </x:c>
      <x:c r="AD581" s="10" t="str">
        <x:f>IF(ISNUMBER(G581),IF(G581&lt;0,"Убыток",IF(G581=0,"Без прибыли","Прибыль &gt; 0")),"Не оценён")</x:f>
        <x:v>Не оценён</x:v>
      </x:c>
      <x:c r="AE581" s="13" t="str">
        <x:f>IF(J581="Рассчитано","Выручка "&amp;TEXT(V581,"0.00")&amp;" - себестоимость "&amp;TEXT(W581,"0.00")&amp;" - комиссия "&amp;TEXT(V581*R581/100,"0.00")&amp;" - доставка "&amp;TEXT(P581,"0.00")&amp;" - прочие "&amp;TEXT(Q581,"0.00")&amp;" = "&amp;TEXT(G581,"0.00")&amp;" "&amp;L581,"Введите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1" s="24" t="n">
        <x:v>0.3831508879989375</x:v>
      </x:c>
      <x:c r="AG581" s="37" t="n">
        <x:v>2</x:v>
      </x:c>
      <x:c r="AH581" s="37" t="n">
        <x:v>0</x:v>
      </x:c>
      <x:c r="AI581" s="30" t="n">
        <x:v>46266</x:v>
      </x:c>
      <x:c r="AJ581" s="37" t="n">
        <x:v>1</x:v>
      </x:c>
      <x:c r="AK581" s="10" t="str">
        <x:v>минимум</x:v>
      </x:c>
      <x:c r="AL581" s="32" t="n">
        <x:v>443.89392708579584</x:v>
      </x:c>
      <x:c r="AM58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81" s="13" t="str">
        <x:v>Проверить свободный остаток и установить цену для B2B</x:v>
      </x:c>
      <x:c r="AO581" s="13" t="str">
        <x:v>Остаток 2; прогноз 90 дней 0.38; избыток 1 шт. Будущие поступления не выставляются на продажу. Остаток на начало сентября: требуется актуализация.</x:v>
      </x:c>
      <x:c r="AP581" s="13" t="str">
        <x:v>["category_missing", "daily_stockout_data_missing", "new_order_lead_time_unknown", "reservations_unknown", "stale_stock"]</x:v>
      </x:c>
      <x:c r="AQ581" s="10" t="str">
        <x:v>IEK:130200416_</x:v>
      </x:c>
      <x:c r="AR581" s="24" t="n">
        <x:v>1</x:v>
      </x:c>
      <x:c r="AS581" s="24" t="n">
        <x:v>0</x:v>
      </x:c>
      <x:c r="AT581" s="24" t="n">
        <x:v>0</x:v>
      </x:c>
    </x:row>
    <x:row r="582" ht="64" customHeight="1">
      <x:c r="A582" s="11" t="str">
        <x:v>IEK</x:v>
      </x:c>
      <x:c r="B582" s="33" t="str">
        <x:v>130200419_</x:v>
      </x:c>
      <x:c r="C582" s="33" t="str">
        <x:v>A2L5-HC10-K4-180</x:v>
      </x:c>
      <x:c r="D582" s="12" t="str">
        <x:v>Бокорезы усиленные 180мм K4 ARMA2L 5 IEK (1)</x:v>
      </x:c>
      <x:c r="E582" s="11" t="str">
        <x:v>шт</x:v>
      </x:c>
      <x:c r="F582" s="35" t="n">
        <x:f>MAX(0,ROUNDDOWN((AG582-AF582)/AR582+0.000000001,0)*AR582)</x:f>
        <x:v>1</x:v>
      </x:c>
      <x:c r="G582" s="20" t="str">
        <x:f>IF(J582="Рассчитано",V582*(1-R582/100)-W582-P582-Q582,"н/д")</x:f>
        <x:v>н/д</x:v>
      </x:c>
      <x:c r="H582" s="12" t="str">
        <x:v>Высокий</x:v>
      </x:c>
      <x:c r="I582" s="12" t="str">
        <x:v>Средний</x:v>
      </x:c>
      <x:c r="J582" s="12" t="str">
        <x:f>IF(L582="","Укажите валюту",IF(NOT(ISNUMBER(K582)),"Укажите объём",IF(K582&lt;=0,"Укажите объём",IF(K582&gt;F582,"Объём выше излишка",IF(COUNT(M582:O582)&lt;3,"Нужны цены",IF(COUNT(P582:R582)&lt;3,"Нужны расходы",IF(OR(M582&lt;0,N582&lt;0,O582&lt;0,O582&gt;100,P582&lt;0,Q582&lt;0,R582&lt;0,R582&gt;100),"Проверьте значения","Рассчитано")))))))</x:f>
        <x:v>Нужны цены</x:v>
      </x:c>
      <x:c r="K582" s="36" t="n">
        <x:v>1</x:v>
      </x:c>
      <x:c r="L582" s="19" t="str">
        <x:v>KZT</x:v>
      </x:c>
      <x:c r="M582" s="22"/>
      <x:c r="N582" s="22"/>
      <x:c r="O582" s="28"/>
      <x:c r="P582" s="22"/>
      <x:c r="Q582" s="22"/>
      <x:c r="R582" s="28"/>
      <x:c r="S582" s="22"/>
      <x:c r="T582" s="35" t="n">
        <x:f>K582</x:f>
        <x:v>1</x:v>
      </x:c>
      <x:c r="U582" s="20" t="str">
        <x:f>IF(J582="Рассчитано",N582*(1-O582/100),"н/д")</x:f>
        <x:v>н/д</x:v>
      </x:c>
      <x:c r="V582" s="20" t="str">
        <x:f>IF(J582="Рассчитано",T582*U582,"н/д")</x:f>
        <x:v>н/д</x:v>
      </x:c>
      <x:c r="W582" s="20" t="str">
        <x:f>IF(J582="Рассчитано",T582*M582,"н/д")</x:f>
        <x:v>н/д</x:v>
      </x:c>
      <x:c r="X582" s="20" t="str">
        <x:f>IF(J582="Рассчитано",V582-W582,"н/д")</x:f>
        <x:v>н/д</x:v>
      </x:c>
      <x:c r="Y582" s="26" t="str">
        <x:f>IF(J582="Рассчитано",IF(V582&gt;0,G582/V582,"н/д"),"н/д")</x:f>
        <x:v>н/д</x:v>
      </x:c>
      <x:c r="Z582" s="20" t="str">
        <x:f>"н/д"</x:f>
        <x:v>н/д</x:v>
      </x:c>
      <x:c r="AA582" s="20" t="str">
        <x:f>"н/д"</x:f>
        <x:v>н/д</x:v>
      </x:c>
      <x:c r="AB582" s="20" t="str">
        <x:f>"н/д"</x:f>
        <x:v>н/д</x:v>
      </x:c>
      <x:c r="AC582" s="20" t="str">
        <x:f>IF(AND(J582="Рассчитано",T582&gt;0,R582&lt;100),(W582+P582+Q582)/(T582*(1-R582/100)),"н/д")</x:f>
        <x:v>н/д</x:v>
      </x:c>
      <x:c r="AD582" s="11" t="str">
        <x:f>IF(ISNUMBER(G582),IF(G582&lt;0,"Убыток",IF(G582=0,"Без прибыли","Прибыль &gt; 0")),"Не оценён")</x:f>
        <x:v>Не оценён</x:v>
      </x:c>
      <x:c r="AE582" s="12" t="str">
        <x:f>IF(J582="Рассчитано","Выручка "&amp;TEXT(V582,"0.00")&amp;" - себестоимость "&amp;TEXT(W582,"0.00")&amp;" - комиссия "&amp;TEXT(V582*R582/100,"0.00")&amp;" - доставка "&amp;TEXT(P582,"0.00")&amp;" - прочие "&amp;TEXT(Q582,"0.00")&amp;" = "&amp;TEXT(G582,"0.00")&amp;" "&amp;L582,"Введите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2" s="23" t="n">
        <x:v>1.8733447563214376</x:v>
      </x:c>
      <x:c r="AG582" s="35" t="n">
        <x:v>3</x:v>
      </x:c>
      <x:c r="AH582" s="35" t="n">
        <x:v>0</x:v>
      </x:c>
      <x:c r="AI582" s="29" t="n">
        <x:v>46266</x:v>
      </x:c>
      <x:c r="AJ582" s="35" t="n">
        <x:v>1</x:v>
      </x:c>
      <x:c r="AK582" s="11" t="str">
        <x:v>минимум</x:v>
      </x:c>
      <x:c r="AL582" s="31" t="n">
        <x:v>136.1829036804442</x:v>
      </x:c>
      <x:c r="AM582" s="12" t="str">
        <x:v>Остаток на начало сентября; Резервы неизвестны; Нет ежедневных данных доступности. Запас выше прогноза на 90 дней</x:v>
      </x:c>
      <x:c r="AN582" s="12" t="str">
        <x:v>Проверить свободный остаток и установить цену для B2B</x:v>
      </x:c>
      <x:c r="AO582" s="12" t="str">
        <x:v>Остаток 3; прогноз 90 дней 1.87; избыток 1 шт. Будущие поступления не выставляются на продажу. Остаток на начало сентября: требуется актуализация.</x:v>
      </x:c>
      <x:c r="AP582" s="12" t="str">
        <x:v>["category_missing", "daily_stockout_data_missing", "new_order_lead_time_unknown", "reservations_unknown", "stale_stock"]</x:v>
      </x:c>
      <x:c r="AQ582" s="11" t="str">
        <x:v>IEK:130200419_</x:v>
      </x:c>
      <x:c r="AR582" s="23" t="n">
        <x:v>1</x:v>
      </x:c>
      <x:c r="AS582" s="23" t="n">
        <x:v>0</x:v>
      </x:c>
      <x:c r="AT582" s="23" t="n">
        <x:v>0</x:v>
      </x:c>
    </x:row>
    <x:row r="583" ht="64" customHeight="1">
      <x:c r="A583" s="10" t="str">
        <x:v>IEK</x:v>
      </x:c>
      <x:c r="B583" s="34" t="str">
        <x:v>130200423_</x:v>
      </x:c>
      <x:c r="C583" s="34" t="str">
        <x:v>A2L5-PC10-K4-180</x:v>
      </x:c>
      <x:c r="D583" s="13" t="str">
        <x:v>Бокорезы 180мм K4 ARMA2L 5 IEK (1)</x:v>
      </x:c>
      <x:c r="E583" s="10" t="str">
        <x:v>шт</x:v>
      </x:c>
      <x:c r="F583" s="37" t="n">
        <x:f>MAX(0,ROUNDDOWN((AG583-AF583)/AR583+0.000000001,0)*AR583)</x:f>
        <x:v>6</x:v>
      </x:c>
      <x:c r="G583" s="21" t="str">
        <x:f>IF(J583="Рассчитано",V583*(1-R583/100)-W583-P583-Q583,"н/д")</x:f>
        <x:v>н/д</x:v>
      </x:c>
      <x:c r="H583" s="13" t="str">
        <x:v>Высокий</x:v>
      </x:c>
      <x:c r="I583" s="13" t="str">
        <x:v>Высокий</x:v>
      </x:c>
      <x:c r="J583" s="13" t="str">
        <x:f>IF(L583="","Укажите валюту",IF(NOT(ISNUMBER(K583)),"Укажите объём",IF(K583&lt;=0,"Укажите объём",IF(K583&gt;F583,"Объём выше излишка",IF(COUNT(M583:O583)&lt;3,"Нужны цены",IF(COUNT(P583:R583)&lt;3,"Нужны расходы",IF(OR(M583&lt;0,N583&lt;0,O583&lt;0,O583&gt;100,P583&lt;0,Q583&lt;0,R583&lt;0,R583&gt;100),"Проверьте значения","Рассчитано")))))))</x:f>
        <x:v>Нужны цены</x:v>
      </x:c>
      <x:c r="K583" s="36" t="n">
        <x:v>6</x:v>
      </x:c>
      <x:c r="L583" s="19" t="str">
        <x:v>KZT</x:v>
      </x:c>
      <x:c r="M583" s="22"/>
      <x:c r="N583" s="22"/>
      <x:c r="O583" s="28"/>
      <x:c r="P583" s="22"/>
      <x:c r="Q583" s="22"/>
      <x:c r="R583" s="28"/>
      <x:c r="S583" s="22"/>
      <x:c r="T583" s="37" t="n">
        <x:f>K583</x:f>
        <x:v>6</x:v>
      </x:c>
      <x:c r="U583" s="21" t="str">
        <x:f>IF(J583="Рассчитано",N583*(1-O583/100),"н/д")</x:f>
        <x:v>н/д</x:v>
      </x:c>
      <x:c r="V583" s="21" t="str">
        <x:f>IF(J583="Рассчитано",T583*U583,"н/д")</x:f>
        <x:v>н/д</x:v>
      </x:c>
      <x:c r="W583" s="21" t="str">
        <x:f>IF(J583="Рассчитано",T583*M583,"н/д")</x:f>
        <x:v>н/д</x:v>
      </x:c>
      <x:c r="X583" s="21" t="str">
        <x:f>IF(J583="Рассчитано",V583-W583,"н/д")</x:f>
        <x:v>н/д</x:v>
      </x:c>
      <x:c r="Y583" s="27" t="str">
        <x:f>IF(J583="Рассчитано",IF(V583&gt;0,G583/V583,"н/д"),"н/д")</x:f>
        <x:v>н/д</x:v>
      </x:c>
      <x:c r="Z583" s="21" t="str">
        <x:f>"н/д"</x:f>
        <x:v>н/д</x:v>
      </x:c>
      <x:c r="AA583" s="21" t="str">
        <x:f>"н/д"</x:f>
        <x:v>н/д</x:v>
      </x:c>
      <x:c r="AB583" s="21" t="str">
        <x:f>"н/д"</x:f>
        <x:v>н/д</x:v>
      </x:c>
      <x:c r="AC583" s="21" t="str">
        <x:f>IF(AND(J583="Рассчитано",T583&gt;0,R583&lt;100),(W583+P583+Q583)/(T583*(1-R583/100)),"н/д")</x:f>
        <x:v>н/д</x:v>
      </x:c>
      <x:c r="AD583" s="10" t="str">
        <x:f>IF(ISNUMBER(G583),IF(G583&lt;0,"Убыток",IF(G583=0,"Без прибыли","Прибыль &gt; 0")),"Не оценён")</x:f>
        <x:v>Не оценён</x:v>
      </x:c>
      <x:c r="AE583" s="13" t="str">
        <x:f>IF(J583="Рассчитано","Выручка "&amp;TEXT(V583,"0.00")&amp;" - себестоимость "&amp;TEXT(W583,"0.00")&amp;" - комиссия "&amp;TEXT(V583*R583/100,"0.00")&amp;" - доставка "&amp;TEXT(P583,"0.00")&amp;" - прочие "&amp;TEXT(Q583,"0.00")&amp;" = "&amp;TEXT(G583,"0.00")&amp;" "&amp;L583,"Введите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3" s="24" t="n">
        <x:v>5.395025848842957</x:v>
      </x:c>
      <x:c r="AG583" s="37" t="n">
        <x:v>12</x:v>
      </x:c>
      <x:c r="AH583" s="37" t="n">
        <x:v>6</x:v>
      </x:c>
      <x:c r="AI583" s="30" t="n">
        <x:v>46266</x:v>
      </x:c>
      <x:c r="AJ583" s="37" t="n">
        <x:v>1</x:v>
      </x:c>
      <x:c r="AK583" s="10" t="str">
        <x:v>минимум</x:v>
      </x:c>
      <x:c r="AL583" s="32" t="n">
        <x:v>189.15018067251805</x:v>
      </x:c>
      <x:c r="AM5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83" s="13" t="str">
        <x:v>Проверить свободный остаток и установить цену для B2B</x:v>
      </x:c>
      <x:c r="AO583" s="13" t="str">
        <x:v>Остаток 12; прогноз 90 дней 5.40; избыток 6 шт. Будущие поступления не выставляются на продажу. Остаток на начало сентября: требуется актуализация.</x:v>
      </x:c>
      <x:c r="AP583" s="13" t="str">
        <x:v>["category_missing", "daily_stockout_data_missing", "negative_net_sales_clipped_for_forecast", "new_order_lead_time_unknown", "reservations_unknown", "stale_stock"]</x:v>
      </x:c>
      <x:c r="AQ583" s="10" t="str">
        <x:v>IEK:130200423_</x:v>
      </x:c>
      <x:c r="AR583" s="24" t="n">
        <x:v>1</x:v>
      </x:c>
      <x:c r="AS583" s="24" t="n">
        <x:v>0</x:v>
      </x:c>
      <x:c r="AT583" s="24" t="n">
        <x:v>0</x:v>
      </x:c>
    </x:row>
    <x:row r="584" ht="64" customHeight="1">
      <x:c r="A584" s="11" t="str">
        <x:v>IEK</x:v>
      </x:c>
      <x:c r="B584" s="33" t="str">
        <x:v>130200425_</x:v>
      </x:c>
      <x:c r="C584" s="33" t="str">
        <x:v>A2L5-PL10-K4-180</x:v>
      </x:c>
      <x:c r="D584" s="12" t="str">
        <x:v>Пассатижи 180мм K4 ARMA2L 5 IEK (1)</x:v>
      </x:c>
      <x:c r="E584" s="11" t="str">
        <x:v>шт</x:v>
      </x:c>
      <x:c r="F584" s="35" t="n">
        <x:f>MAX(0,ROUNDDOWN((AG584-AF584)/AR584+0.000000001,0)*AR584)</x:f>
        <x:v>6</x:v>
      </x:c>
      <x:c r="G584" s="20" t="str">
        <x:f>IF(J584="Рассчитано",V584*(1-R584/100)-W584-P584-Q584,"н/д")</x:f>
        <x:v>н/д</x:v>
      </x:c>
      <x:c r="H584" s="12" t="str">
        <x:v>Высокий</x:v>
      </x:c>
      <x:c r="I584" s="12" t="str">
        <x:v>Высокий</x:v>
      </x:c>
      <x:c r="J584" s="12" t="str">
        <x:f>IF(L584="","Укажите валюту",IF(NOT(ISNUMBER(K584)),"Укажите объём",IF(K584&lt;=0,"Укажите объём",IF(K584&gt;F584,"Объём выше излишка",IF(COUNT(M584:O584)&lt;3,"Нужны цены",IF(COUNT(P584:R584)&lt;3,"Нужны расходы",IF(OR(M584&lt;0,N584&lt;0,O584&lt;0,O584&gt;100,P584&lt;0,Q584&lt;0,R584&lt;0,R584&gt;100),"Проверьте значения","Рассчитано")))))))</x:f>
        <x:v>Нужны цены</x:v>
      </x:c>
      <x:c r="K584" s="36" t="n">
        <x:v>6</x:v>
      </x:c>
      <x:c r="L584" s="19" t="str">
        <x:v>KZT</x:v>
      </x:c>
      <x:c r="M584" s="22"/>
      <x:c r="N584" s="22"/>
      <x:c r="O584" s="28"/>
      <x:c r="P584" s="22"/>
      <x:c r="Q584" s="22"/>
      <x:c r="R584" s="28"/>
      <x:c r="S584" s="22"/>
      <x:c r="T584" s="35" t="n">
        <x:f>K584</x:f>
        <x:v>6</x:v>
      </x:c>
      <x:c r="U584" s="20" t="str">
        <x:f>IF(J584="Рассчитано",N584*(1-O584/100),"н/д")</x:f>
        <x:v>н/д</x:v>
      </x:c>
      <x:c r="V584" s="20" t="str">
        <x:f>IF(J584="Рассчитано",T584*U584,"н/д")</x:f>
        <x:v>н/д</x:v>
      </x:c>
      <x:c r="W584" s="20" t="str">
        <x:f>IF(J584="Рассчитано",T584*M584,"н/д")</x:f>
        <x:v>н/д</x:v>
      </x:c>
      <x:c r="X584" s="20" t="str">
        <x:f>IF(J584="Рассчитано",V584-W584,"н/д")</x:f>
        <x:v>н/д</x:v>
      </x:c>
      <x:c r="Y584" s="26" t="str">
        <x:f>IF(J584="Рассчитано",IF(V584&gt;0,G584/V584,"н/д"),"н/д")</x:f>
        <x:v>н/д</x:v>
      </x:c>
      <x:c r="Z584" s="20" t="str">
        <x:f>"н/д"</x:f>
        <x:v>н/д</x:v>
      </x:c>
      <x:c r="AA584" s="20" t="str">
        <x:f>"н/д"</x:f>
        <x:v>н/д</x:v>
      </x:c>
      <x:c r="AB584" s="20" t="str">
        <x:f>"н/д"</x:f>
        <x:v>н/д</x:v>
      </x:c>
      <x:c r="AC584" s="20" t="str">
        <x:f>IF(AND(J584="Рассчитано",T584&gt;0,R584&lt;100),(W584+P584+Q584)/(T584*(1-R584/100)),"н/д")</x:f>
        <x:v>н/д</x:v>
      </x:c>
      <x:c r="AD584" s="11" t="str">
        <x:f>IF(ISNUMBER(G584),IF(G584&lt;0,"Убыток",IF(G584=0,"Без прибыли","Прибыль &gt; 0")),"Не оценён")</x:f>
        <x:v>Не оценён</x:v>
      </x:c>
      <x:c r="AE584" s="12" t="str">
        <x:f>IF(J584="Рассчитано","Выручка "&amp;TEXT(V584,"0.00")&amp;" - себестоимость "&amp;TEXT(W584,"0.00")&amp;" - комиссия "&amp;TEXT(V584*R584/100,"0.00")&amp;" - доставка "&amp;TEXT(P584,"0.00")&amp;" - прочие "&amp;TEXT(Q584,"0.00")&amp;" = "&amp;TEXT(G584,"0.00")&amp;" "&amp;L584,"Введите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4" s="23" t="n">
        <x:v>5.367339561989015</x:v>
      </x:c>
      <x:c r="AG584" s="35" t="n">
        <x:v>12</x:v>
      </x:c>
      <x:c r="AH584" s="35" t="n">
        <x:v>0</x:v>
      </x:c>
      <x:c r="AI584" s="29" t="n">
        <x:v>46266</x:v>
      </x:c>
      <x:c r="AJ584" s="35" t="n">
        <x:v>1</x:v>
      </x:c>
      <x:c r="AK584" s="11" t="str">
        <x:v>минимум</x:v>
      </x:c>
      <x:c r="AL584" s="31" t="n">
        <x:v>190.1258719065252</x:v>
      </x:c>
      <x:c r="AM58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84" s="12" t="str">
        <x:v>Проверить свободный остаток и установить цену для B2B</x:v>
      </x:c>
      <x:c r="AO584" s="12" t="str">
        <x:v>Остаток 12; прогноз 90 дней 5.37; избыток 6 шт. Будущие поступления не выставляются на продажу. Остаток на начало сентября: требуется актуализация.</x:v>
      </x:c>
      <x:c r="AP584" s="12" t="str">
        <x:v>["category_missing", "daily_stockout_data_missing", "new_order_lead_time_unknown", "reservations_unknown", "stale_stock"]</x:v>
      </x:c>
      <x:c r="AQ584" s="11" t="str">
        <x:v>IEK:130200425_</x:v>
      </x:c>
      <x:c r="AR584" s="23" t="n">
        <x:v>1</x:v>
      </x:c>
      <x:c r="AS584" s="23" t="n">
        <x:v>0</x:v>
      </x:c>
      <x:c r="AT584" s="23" t="n">
        <x:v>0</x:v>
      </x:c>
    </x:row>
    <x:row r="585" ht="64" customHeight="1">
      <x:c r="A585" s="10" t="str">
        <x:v>IEK</x:v>
      </x:c>
      <x:c r="B585" s="34" t="str">
        <x:v>130200426_</x:v>
      </x:c>
      <x:c r="C585" s="34" t="str">
        <x:v>A2L5-PL10-K4-200</x:v>
      </x:c>
      <x:c r="D585" s="13" t="str">
        <x:v>Пассатижи 200мм K4 ARMA2L 5 IEK (1)</x:v>
      </x:c>
      <x:c r="E585" s="10" t="str">
        <x:v>шт</x:v>
      </x:c>
      <x:c r="F585" s="37" t="n">
        <x:f>MAX(0,ROUNDDOWN((AG585-AF585)/AR585+0.000000001,0)*AR585)</x:f>
        <x:v>5</x:v>
      </x:c>
      <x:c r="G585" s="21" t="str">
        <x:f>IF(J585="Рассчитано",V585*(1-R585/100)-W585-P585-Q585,"н/д")</x:f>
        <x:v>н/д</x:v>
      </x:c>
      <x:c r="H585" s="13" t="str">
        <x:v>Высокий</x:v>
      </x:c>
      <x:c r="I585" s="13" t="str">
        <x:v>Высокий</x:v>
      </x:c>
      <x:c r="J585" s="13" t="str">
        <x:f>IF(L585="","Укажите валюту",IF(NOT(ISNUMBER(K585)),"Укажите объём",IF(K585&lt;=0,"Укажите объём",IF(K585&gt;F585,"Объём выше излишка",IF(COUNT(M585:O585)&lt;3,"Нужны цены",IF(COUNT(P585:R585)&lt;3,"Нужны расходы",IF(OR(M585&lt;0,N585&lt;0,O585&lt;0,O585&gt;100,P585&lt;0,Q585&lt;0,R585&lt;0,R585&gt;100),"Проверьте значения","Рассчитано")))))))</x:f>
        <x:v>Нужны цены</x:v>
      </x:c>
      <x:c r="K585" s="36" t="n">
        <x:v>5</x:v>
      </x:c>
      <x:c r="L585" s="19" t="str">
        <x:v>KZT</x:v>
      </x:c>
      <x:c r="M585" s="22"/>
      <x:c r="N585" s="22"/>
      <x:c r="O585" s="28"/>
      <x:c r="P585" s="22"/>
      <x:c r="Q585" s="22"/>
      <x:c r="R585" s="28"/>
      <x:c r="S585" s="22"/>
      <x:c r="T585" s="37" t="n">
        <x:f>K585</x:f>
        <x:v>5</x:v>
      </x:c>
      <x:c r="U585" s="21" t="str">
        <x:f>IF(J585="Рассчитано",N585*(1-O585/100),"н/д")</x:f>
        <x:v>н/д</x:v>
      </x:c>
      <x:c r="V585" s="21" t="str">
        <x:f>IF(J585="Рассчитано",T585*U585,"н/д")</x:f>
        <x:v>н/д</x:v>
      </x:c>
      <x:c r="W585" s="21" t="str">
        <x:f>IF(J585="Рассчитано",T585*M585,"н/д")</x:f>
        <x:v>н/д</x:v>
      </x:c>
      <x:c r="X585" s="21" t="str">
        <x:f>IF(J585="Рассчитано",V585-W585,"н/д")</x:f>
        <x:v>н/д</x:v>
      </x:c>
      <x:c r="Y585" s="27" t="str">
        <x:f>IF(J585="Рассчитано",IF(V585&gt;0,G585/V585,"н/д"),"н/д")</x:f>
        <x:v>н/д</x:v>
      </x:c>
      <x:c r="Z585" s="21" t="str">
        <x:f>"н/д"</x:f>
        <x:v>н/д</x:v>
      </x:c>
      <x:c r="AA585" s="21" t="str">
        <x:f>"н/д"</x:f>
        <x:v>н/д</x:v>
      </x:c>
      <x:c r="AB585" s="21" t="str">
        <x:f>"н/д"</x:f>
        <x:v>н/д</x:v>
      </x:c>
      <x:c r="AC585" s="21" t="str">
        <x:f>IF(AND(J585="Рассчитано",T585&gt;0,R585&lt;100),(W585+P585+Q585)/(T585*(1-R585/100)),"н/д")</x:f>
        <x:v>н/д</x:v>
      </x:c>
      <x:c r="AD585" s="10" t="str">
        <x:f>IF(ISNUMBER(G585),IF(G585&lt;0,"Убыток",IF(G585=0,"Без прибыли","Прибыль &gt; 0")),"Не оценён")</x:f>
        <x:v>Не оценён</x:v>
      </x:c>
      <x:c r="AE585" s="13" t="str">
        <x:f>IF(J585="Рассчитано","Выручка "&amp;TEXT(V585,"0.00")&amp;" - себестоимость "&amp;TEXT(W585,"0.00")&amp;" - комиссия "&amp;TEXT(V585*R585/100,"0.00")&amp;" - доставка "&amp;TEXT(P585,"0.00")&amp;" - прочие "&amp;TEXT(Q585,"0.00")&amp;" = "&amp;TEXT(G585,"0.00")&amp;" "&amp;L585,"Введите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5" s="24" t="n">
        <x:v>2.6953430021909117</x:v>
      </x:c>
      <x:c r="AG585" s="37" t="n">
        <x:v>8</x:v>
      </x:c>
      <x:c r="AH585" s="37" t="n">
        <x:v>2</x:v>
      </x:c>
      <x:c r="AI585" s="30" t="n">
        <x:v>46266</x:v>
      </x:c>
      <x:c r="AJ585" s="37" t="n">
        <x:v>1</x:v>
      </x:c>
      <x:c r="AK585" s="10" t="str">
        <x:v>минимум</x:v>
      </x:c>
      <x:c r="AL585" s="32" t="n">
        <x:v>252.4032781015396</x:v>
      </x:c>
      <x:c r="AM5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85" s="13" t="str">
        <x:v>Проверить свободный остаток и установить цену для B2B</x:v>
      </x:c>
      <x:c r="AO585" s="13" t="str">
        <x:v>Остаток 8; прогноз 90 дней 2.70; избыток 5 шт. Будущие поступления не выставляются на продажу. Остаток на начало сентября: требуется актуализация.</x:v>
      </x:c>
      <x:c r="AP585" s="13" t="str">
        <x:v>["category_missing", "daily_stockout_data_missing", "large_orders_detected", "new_order_lead_time_unknown", "reservations_unknown", "stale_stock"]</x:v>
      </x:c>
      <x:c r="AQ585" s="10" t="str">
        <x:v>IEK:130200426_</x:v>
      </x:c>
      <x:c r="AR585" s="24" t="n">
        <x:v>1</x:v>
      </x:c>
      <x:c r="AS585" s="24" t="n">
        <x:v>0</x:v>
      </x:c>
      <x:c r="AT585" s="24" t="n">
        <x:v>0</x:v>
      </x:c>
    </x:row>
    <x:row r="586" ht="64" customHeight="1">
      <x:c r="A586" s="11" t="str">
        <x:v>IEK</x:v>
      </x:c>
      <x:c r="B586" s="33" t="str">
        <x:v>130200430_</x:v>
      </x:c>
      <x:c r="C586" s="33" t="str">
        <x:v>A2L5-VD10-10</x:v>
      </x:c>
      <x:c r="D586" s="12" t="str">
        <x:v>Детектор напряжения бесконтактный VD10 ARMA2L 5 IEK (300) NEW</x:v>
      </x:c>
      <x:c r="E586" s="11" t="str">
        <x:v>шт</x:v>
      </x:c>
      <x:c r="F586" s="35" t="n">
        <x:f>MAX(0,ROUNDDOWN((AG586-AF586)/AR586+0.000000001,0)*AR586)</x:f>
        <x:v>2</x:v>
      </x:c>
      <x:c r="G586" s="20" t="str">
        <x:f>IF(J586="Рассчитано",V586*(1-R586/100)-W586-P586-Q586,"н/д")</x:f>
        <x:v>н/д</x:v>
      </x:c>
      <x:c r="H586" s="12" t="str">
        <x:v>Высокий</x:v>
      </x:c>
      <x:c r="I586" s="12" t="str">
        <x:v>Средний</x:v>
      </x:c>
      <x:c r="J586" s="12" t="str">
        <x:f>IF(L586="","Укажите валюту",IF(NOT(ISNUMBER(K586)),"Укажите объём",IF(K586&lt;=0,"Укажите объём",IF(K586&gt;F586,"Объём выше излишка",IF(COUNT(M586:O586)&lt;3,"Нужны цены",IF(COUNT(P586:R586)&lt;3,"Нужны расходы",IF(OR(M586&lt;0,N586&lt;0,O586&lt;0,O586&gt;100,P586&lt;0,Q586&lt;0,R586&lt;0,R586&gt;100),"Проверьте значения","Рассчитано")))))))</x:f>
        <x:v>Нужны цены</x:v>
      </x:c>
      <x:c r="K586" s="36" t="n">
        <x:v>2</x:v>
      </x:c>
      <x:c r="L586" s="19" t="str">
        <x:v>KZT</x:v>
      </x:c>
      <x:c r="M586" s="22"/>
      <x:c r="N586" s="22"/>
      <x:c r="O586" s="28"/>
      <x:c r="P586" s="22"/>
      <x:c r="Q586" s="22"/>
      <x:c r="R586" s="28"/>
      <x:c r="S586" s="22"/>
      <x:c r="T586" s="35" t="n">
        <x:f>K586</x:f>
        <x:v>2</x:v>
      </x:c>
      <x:c r="U586" s="20" t="str">
        <x:f>IF(J586="Рассчитано",N586*(1-O586/100),"н/д")</x:f>
        <x:v>н/д</x:v>
      </x:c>
      <x:c r="V586" s="20" t="str">
        <x:f>IF(J586="Рассчитано",T586*U586,"н/д")</x:f>
        <x:v>н/д</x:v>
      </x:c>
      <x:c r="W586" s="20" t="str">
        <x:f>IF(J586="Рассчитано",T586*M586,"н/д")</x:f>
        <x:v>н/д</x:v>
      </x:c>
      <x:c r="X586" s="20" t="str">
        <x:f>IF(J586="Рассчитано",V586-W586,"н/д")</x:f>
        <x:v>н/д</x:v>
      </x:c>
      <x:c r="Y586" s="26" t="str">
        <x:f>IF(J586="Рассчитано",IF(V586&gt;0,G586/V586,"н/д"),"н/д")</x:f>
        <x:v>н/д</x:v>
      </x:c>
      <x:c r="Z586" s="20" t="str">
        <x:f>"н/д"</x:f>
        <x:v>н/д</x:v>
      </x:c>
      <x:c r="AA586" s="20" t="str">
        <x:f>"н/д"</x:f>
        <x:v>н/д</x:v>
      </x:c>
      <x:c r="AB586" s="20" t="str">
        <x:f>"н/д"</x:f>
        <x:v>н/д</x:v>
      </x:c>
      <x:c r="AC586" s="20" t="str">
        <x:f>IF(AND(J586="Рассчитано",T586&gt;0,R586&lt;100),(W586+P586+Q586)/(T586*(1-R586/100)),"н/д")</x:f>
        <x:v>н/д</x:v>
      </x:c>
      <x:c r="AD586" s="11" t="str">
        <x:f>IF(ISNUMBER(G586),IF(G586&lt;0,"Убыток",IF(G586=0,"Без прибыли","Прибыль &gt; 0")),"Не оценён")</x:f>
        <x:v>Не оценён</x:v>
      </x:c>
      <x:c r="AE586" s="12" t="str">
        <x:f>IF(J586="Рассчитано","Выручка "&amp;TEXT(V586,"0.00")&amp;" - себестоимость "&amp;TEXT(W586,"0.00")&amp;" - комиссия "&amp;TEXT(V586*R586/100,"0.00")&amp;" - доставка "&amp;TEXT(P586,"0.00")&amp;" - прочие "&amp;TEXT(Q586,"0.00")&amp;" = "&amp;TEXT(G586,"0.00")&amp;" "&amp;L586,"Введите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6" s="23" t="n">
        <x:v>13.804376008461693</x:v>
      </x:c>
      <x:c r="AG586" s="35" t="n">
        <x:v>16</x:v>
      </x:c>
      <x:c r="AH586" s="35" t="n">
        <x:v>0</x:v>
      </x:c>
      <x:c r="AI586" s="29" t="n">
        <x:v>46266</x:v>
      </x:c>
      <x:c r="AJ586" s="35" t="n">
        <x:v>1</x:v>
      </x:c>
      <x:c r="AK586" s="11" t="str">
        <x:v>минимум</x:v>
      </x:c>
      <x:c r="AL586" s="31" t="n">
        <x:v>98.56489115393856</x:v>
      </x:c>
      <x:c r="AM586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586" s="12" t="str">
        <x:v>Проверить свободный остаток и установить цену для B2B</x:v>
      </x:c>
      <x:c r="AO586" s="12" t="str">
        <x:v>Остаток 16; прогноз 90 дней 13.80; избыток 2 шт. Будущие поступления не выставляются на продажу. Остаток на начало сентября: требуется актуализация.</x:v>
      </x:c>
      <x:c r="AP586" s="12" t="str">
        <x:v>["category_missing", "daily_stockout_data_missing", "new_order_lead_time_unknown", "reservations_unknown", "stale_stock", "stockout_proxy_used"]</x:v>
      </x:c>
      <x:c r="AQ586" s="11" t="str">
        <x:v>IEK:130200430_</x:v>
      </x:c>
      <x:c r="AR586" s="23" t="n">
        <x:v>1</x:v>
      </x:c>
      <x:c r="AS586" s="23" t="n">
        <x:v>0</x:v>
      </x:c>
      <x:c r="AT586" s="23" t="n">
        <x:v>0</x:v>
      </x:c>
    </x:row>
    <x:row r="587" ht="64" customHeight="1">
      <x:c r="A587" s="10" t="str">
        <x:v>IEK</x:v>
      </x:c>
      <x:c r="B587" s="34" t="str">
        <x:v>130200432_</x:v>
      </x:c>
      <x:c r="C587" s="34" t="str">
        <x:v>A2L5-DM11-02</x:v>
      </x:c>
      <x:c r="D587" s="13" t="str">
        <x:v>Мультиметр цифровой  цифровой DM2A IEK ARMA2L 5 IEK (40) NEW</x:v>
      </x:c>
      <x:c r="E587" s="10" t="str">
        <x:v>шт</x:v>
      </x:c>
      <x:c r="F587" s="37" t="n">
        <x:f>MAX(0,ROUNDDOWN((AG587-AF587)/AR587+0.000000001,0)*AR587)</x:f>
        <x:v>3</x:v>
      </x:c>
      <x:c r="G587" s="21" t="str">
        <x:f>IF(J587="Рассчитано",V587*(1-R587/100)-W587-P587-Q587,"н/д")</x:f>
        <x:v>н/д</x:v>
      </x:c>
      <x:c r="H587" s="13" t="str">
        <x:v>Высокий</x:v>
      </x:c>
      <x:c r="I587" s="13" t="str">
        <x:v>Средний</x:v>
      </x:c>
      <x:c r="J587" s="13" t="str">
        <x:f>IF(L587="","Укажите валюту",IF(NOT(ISNUMBER(K587)),"Укажите объём",IF(K587&lt;=0,"Укажите объём",IF(K587&gt;F587,"Объём выше излишка",IF(COUNT(M587:O587)&lt;3,"Нужны цены",IF(COUNT(P587:R587)&lt;3,"Нужны расходы",IF(OR(M587&lt;0,N587&lt;0,O587&lt;0,O587&gt;100,P587&lt;0,Q587&lt;0,R587&lt;0,R587&gt;100),"Проверьте значения","Рассчитано")))))))</x:f>
        <x:v>Нужны цены</x:v>
      </x:c>
      <x:c r="K587" s="36" t="n">
        <x:v>3</x:v>
      </x:c>
      <x:c r="L587" s="19" t="str">
        <x:v>KZT</x:v>
      </x:c>
      <x:c r="M587" s="22"/>
      <x:c r="N587" s="22"/>
      <x:c r="O587" s="28"/>
      <x:c r="P587" s="22"/>
      <x:c r="Q587" s="22"/>
      <x:c r="R587" s="28"/>
      <x:c r="S587" s="22"/>
      <x:c r="T587" s="37" t="n">
        <x:f>K587</x:f>
        <x:v>3</x:v>
      </x:c>
      <x:c r="U587" s="21" t="str">
        <x:f>IF(J587="Рассчитано",N587*(1-O587/100),"н/д")</x:f>
        <x:v>н/д</x:v>
      </x:c>
      <x:c r="V587" s="21" t="str">
        <x:f>IF(J587="Рассчитано",T587*U587,"н/д")</x:f>
        <x:v>н/д</x:v>
      </x:c>
      <x:c r="W587" s="21" t="str">
        <x:f>IF(J587="Рассчитано",T587*M587,"н/д")</x:f>
        <x:v>н/д</x:v>
      </x:c>
      <x:c r="X587" s="21" t="str">
        <x:f>IF(J587="Рассчитано",V587-W587,"н/д")</x:f>
        <x:v>н/д</x:v>
      </x:c>
      <x:c r="Y587" s="27" t="str">
        <x:f>IF(J587="Рассчитано",IF(V587&gt;0,G587/V587,"н/д"),"н/д")</x:f>
        <x:v>н/д</x:v>
      </x:c>
      <x:c r="Z587" s="21" t="str">
        <x:f>"н/д"</x:f>
        <x:v>н/д</x:v>
      </x:c>
      <x:c r="AA587" s="21" t="str">
        <x:f>"н/д"</x:f>
        <x:v>н/д</x:v>
      </x:c>
      <x:c r="AB587" s="21" t="str">
        <x:f>"н/д"</x:f>
        <x:v>н/д</x:v>
      </x:c>
      <x:c r="AC587" s="21" t="str">
        <x:f>IF(AND(J587="Рассчитано",T587&gt;0,R587&lt;100),(W587+P587+Q587)/(T587*(1-R587/100)),"н/д")</x:f>
        <x:v>н/д</x:v>
      </x:c>
      <x:c r="AD587" s="10" t="str">
        <x:f>IF(ISNUMBER(G587),IF(G587&lt;0,"Убыток",IF(G587=0,"Без прибыли","Прибыль &gt; 0")),"Не оценён")</x:f>
        <x:v>Не оценён</x:v>
      </x:c>
      <x:c r="AE587" s="13" t="str">
        <x:f>IF(J587="Рассчитано","Выручка "&amp;TEXT(V587,"0.00")&amp;" - себестоимость "&amp;TEXT(W587,"0.00")&amp;" - комиссия "&amp;TEXT(V587*R587/100,"0.00")&amp;" - доставка "&amp;TEXT(P587,"0.00")&amp;" - прочие "&amp;TEXT(Q587,"0.00")&amp;" = "&amp;TEXT(G587,"0.00")&amp;" "&amp;L587,"Введите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7" s="24" t="n">
        <x:v>3.462552343199238</x:v>
      </x:c>
      <x:c r="AG587" s="37" t="n">
        <x:v>7</x:v>
      </x:c>
      <x:c r="AH587" s="37" t="n">
        <x:v>2</x:v>
      </x:c>
      <x:c r="AI587" s="30" t="n">
        <x:v>46266</x:v>
      </x:c>
      <x:c r="AJ587" s="37" t="n">
        <x:v>1</x:v>
      </x:c>
      <x:c r="AK587" s="10" t="str">
        <x:v>минимум</x:v>
      </x:c>
      <x:c r="AL587" s="32" t="n">
        <x:v>171.91775724634934</x:v>
      </x:c>
      <x:c r="AM587" s="13" t="str">
        <x:v>Остаток на начало сентября; Резервы неизвестны; Нет ежедневных данных доступности. Запас выше прогноза на 90 дней</x:v>
      </x:c>
      <x:c r="AN587" s="13" t="str">
        <x:v>Проверить свободный остаток и установить цену для B2B</x:v>
      </x:c>
      <x:c r="AO587" s="13" t="str">
        <x:v>Остаток 7; прогноз 90 дней 3.46; избыток 3 шт. Будущие поступления не выставляются на продажу. Остаток на начало сентября: требуется актуализация.</x:v>
      </x:c>
      <x:c r="AP587" s="13" t="str">
        <x:v>["category_missing", "daily_stockout_data_missing", "new_order_lead_time_unknown", "reservations_unknown", "stale_stock"]</x:v>
      </x:c>
      <x:c r="AQ587" s="10" t="str">
        <x:v>IEK:130200432_</x:v>
      </x:c>
      <x:c r="AR587" s="24" t="n">
        <x:v>1</x:v>
      </x:c>
      <x:c r="AS587" s="24" t="n">
        <x:v>0</x:v>
      </x:c>
      <x:c r="AT587" s="24" t="n">
        <x:v>0</x:v>
      </x:c>
    </x:row>
    <x:row r="588" ht="64" customHeight="1">
      <x:c r="A588" s="11" t="str">
        <x:v>IEK</x:v>
      </x:c>
      <x:c r="B588" s="33" t="str">
        <x:v>130200437_</x:v>
      </x:c>
      <x:c r="C588" s="33" t="str">
        <x:v>A2L5-CM13-01</x:v>
      </x:c>
      <x:c r="D588" s="12" t="str">
        <x:v>Токоизмерительные клещи CM1C IEK ARMA2L 5 IEK (30) NEW</x:v>
      </x:c>
      <x:c r="E588" s="11" t="str">
        <x:v>шт</x:v>
      </x:c>
      <x:c r="F588" s="35" t="n">
        <x:f>MAX(0,ROUNDDOWN((AG588-AF588)/AR588+0.000000001,0)*AR588)</x:f>
        <x:v>6</x:v>
      </x:c>
      <x:c r="G588" s="20" t="str">
        <x:f>IF(J588="Рассчитано",V588*(1-R588/100)-W588-P588-Q588,"н/д")</x:f>
        <x:v>н/д</x:v>
      </x:c>
      <x:c r="H588" s="12" t="str">
        <x:v>Высокий</x:v>
      </x:c>
      <x:c r="I588" s="12" t="str">
        <x:v>Высокий</x:v>
      </x:c>
      <x:c r="J588" s="12" t="str">
        <x:f>IF(L588="","Укажите валюту",IF(NOT(ISNUMBER(K588)),"Укажите объём",IF(K588&lt;=0,"Укажите объём",IF(K588&gt;F588,"Объём выше излишка",IF(COUNT(M588:O588)&lt;3,"Нужны цены",IF(COUNT(P588:R588)&lt;3,"Нужны расходы",IF(OR(M588&lt;0,N588&lt;0,O588&lt;0,O588&gt;100,P588&lt;0,Q588&lt;0,R588&lt;0,R588&gt;100),"Проверьте значения","Рассчитано")))))))</x:f>
        <x:v>Нужны цены</x:v>
      </x:c>
      <x:c r="K588" s="36" t="n">
        <x:v>6</x:v>
      </x:c>
      <x:c r="L588" s="19" t="str">
        <x:v>KZT</x:v>
      </x:c>
      <x:c r="M588" s="22"/>
      <x:c r="N588" s="22"/>
      <x:c r="O588" s="28"/>
      <x:c r="P588" s="22"/>
      <x:c r="Q588" s="22"/>
      <x:c r="R588" s="28"/>
      <x:c r="S588" s="22"/>
      <x:c r="T588" s="35" t="n">
        <x:f>K588</x:f>
        <x:v>6</x:v>
      </x:c>
      <x:c r="U588" s="20" t="str">
        <x:f>IF(J588="Рассчитано",N588*(1-O588/100),"н/д")</x:f>
        <x:v>н/д</x:v>
      </x:c>
      <x:c r="V588" s="20" t="str">
        <x:f>IF(J588="Рассчитано",T588*U588,"н/д")</x:f>
        <x:v>н/д</x:v>
      </x:c>
      <x:c r="W588" s="20" t="str">
        <x:f>IF(J588="Рассчитано",T588*M588,"н/д")</x:f>
        <x:v>н/д</x:v>
      </x:c>
      <x:c r="X588" s="20" t="str">
        <x:f>IF(J588="Рассчитано",V588-W588,"н/д")</x:f>
        <x:v>н/д</x:v>
      </x:c>
      <x:c r="Y588" s="26" t="str">
        <x:f>IF(J588="Рассчитано",IF(V588&gt;0,G588/V588,"н/д"),"н/д")</x:f>
        <x:v>н/д</x:v>
      </x:c>
      <x:c r="Z588" s="20" t="str">
        <x:f>"н/д"</x:f>
        <x:v>н/д</x:v>
      </x:c>
      <x:c r="AA588" s="20" t="str">
        <x:f>"н/д"</x:f>
        <x:v>н/д</x:v>
      </x:c>
      <x:c r="AB588" s="20" t="str">
        <x:f>"н/д"</x:f>
        <x:v>н/д</x:v>
      </x:c>
      <x:c r="AC588" s="20" t="str">
        <x:f>IF(AND(J588="Рассчитано",T588&gt;0,R588&lt;100),(W588+P588+Q588)/(T588*(1-R588/100)),"н/д")</x:f>
        <x:v>н/д</x:v>
      </x:c>
      <x:c r="AD588" s="11" t="str">
        <x:f>IF(ISNUMBER(G588),IF(G588&lt;0,"Убыток",IF(G588=0,"Без прибыли","Прибыль &gt; 0")),"Не оценён")</x:f>
        <x:v>Не оценён</x:v>
      </x:c>
      <x:c r="AE588" s="12" t="str">
        <x:f>IF(J588="Рассчитано","Выручка "&amp;TEXT(V588,"0.00")&amp;" - себестоимость "&amp;TEXT(W588,"0.00")&amp;" - комиссия "&amp;TEXT(V588*R588/100,"0.00")&amp;" - доставка "&amp;TEXT(P588,"0.00")&amp;" - прочие "&amp;TEXT(Q588,"0.00")&amp;" = "&amp;TEXT(G588,"0.00")&amp;" "&amp;L588,"Введите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8" s="23" t="n">
        <x:v>2.670479477220189</x:v>
      </x:c>
      <x:c r="AG588" s="35" t="n">
        <x:v>9</x:v>
      </x:c>
      <x:c r="AH588" s="35" t="n">
        <x:v>0</x:v>
      </x:c>
      <x:c r="AI588" s="29" t="n">
        <x:v>46266</x:v>
      </x:c>
      <x:c r="AJ588" s="35" t="n">
        <x:v>1</x:v>
      </x:c>
      <x:c r="AK588" s="11" t="str">
        <x:v>минимум</x:v>
      </x:c>
      <x:c r="AL588" s="31" t="n">
        <x:v>286.5974414182167</x:v>
      </x:c>
      <x:c r="AM58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88" s="12" t="str">
        <x:v>Проверить свободный остаток и установить цену для B2B</x:v>
      </x:c>
      <x:c r="AO588" s="12" t="str">
        <x:v>Остаток 9; прогноз 90 дней 2.67; избыток 6 шт. Будущие поступления не выставляются на продажу. Остаток на начало сентября: требуется актуализация.</x:v>
      </x:c>
      <x:c r="AP588" s="12" t="str">
        <x:v>["category_missing", "daily_stockout_data_missing", "new_order_lead_time_unknown", "reservations_unknown", "stale_stock"]</x:v>
      </x:c>
      <x:c r="AQ588" s="11" t="str">
        <x:v>IEK:130200437_</x:v>
      </x:c>
      <x:c r="AR588" s="23" t="n">
        <x:v>1</x:v>
      </x:c>
      <x:c r="AS588" s="23" t="n">
        <x:v>0</x:v>
      </x:c>
      <x:c r="AT588" s="23" t="n">
        <x:v>0</x:v>
      </x:c>
    </x:row>
    <x:row r="589" ht="64" customHeight="1">
      <x:c r="A589" s="10" t="str">
        <x:v>IEK</x:v>
      </x:c>
      <x:c r="B589" s="34" t="str">
        <x:v>130200438_</x:v>
      </x:c>
      <x:c r="C589" s="34" t="str">
        <x:v>A2L5-CM13-02</x:v>
      </x:c>
      <x:c r="D589" s="13" t="str">
        <x:v>Токоизмерительные клещи CM2C IEK ARMA2L 5 IEK (60) NEW</x:v>
      </x:c>
      <x:c r="E589" s="10" t="str">
        <x:v>шт</x:v>
      </x:c>
      <x:c r="F589" s="37" t="n">
        <x:f>MAX(0,ROUNDDOWN((AG589-AF589)/AR589+0.000000001,0)*AR589)</x:f>
        <x:v>2</x:v>
      </x:c>
      <x:c r="G589" s="21" t="str">
        <x:f>IF(J589="Рассчитано",V589*(1-R589/100)-W589-P589-Q589,"н/д")</x:f>
        <x:v>н/д</x:v>
      </x:c>
      <x:c r="H589" s="13" t="str">
        <x:v>Высокий</x:v>
      </x:c>
      <x:c r="I589" s="13" t="str">
        <x:v>Средний</x:v>
      </x:c>
      <x:c r="J589" s="13" t="str">
        <x:f>IF(L589="","Укажите валюту",IF(NOT(ISNUMBER(K589)),"Укажите объём",IF(K589&lt;=0,"Укажите объём",IF(K589&gt;F589,"Объём выше излишка",IF(COUNT(M589:O589)&lt;3,"Нужны цены",IF(COUNT(P589:R589)&lt;3,"Нужны расходы",IF(OR(M589&lt;0,N589&lt;0,O589&lt;0,O589&gt;100,P589&lt;0,Q589&lt;0,R589&lt;0,R589&gt;100),"Проверьте значения","Рассчитано")))))))</x:f>
        <x:v>Нужны цены</x:v>
      </x:c>
      <x:c r="K589" s="36" t="n">
        <x:v>2</x:v>
      </x:c>
      <x:c r="L589" s="19" t="str">
        <x:v>KZT</x:v>
      </x:c>
      <x:c r="M589" s="22"/>
      <x:c r="N589" s="22"/>
      <x:c r="O589" s="28"/>
      <x:c r="P589" s="22"/>
      <x:c r="Q589" s="22"/>
      <x:c r="R589" s="28"/>
      <x:c r="S589" s="22"/>
      <x:c r="T589" s="37" t="n">
        <x:f>K589</x:f>
        <x:v>2</x:v>
      </x:c>
      <x:c r="U589" s="21" t="str">
        <x:f>IF(J589="Рассчитано",N589*(1-O589/100),"н/д")</x:f>
        <x:v>н/д</x:v>
      </x:c>
      <x:c r="V589" s="21" t="str">
        <x:f>IF(J589="Рассчитано",T589*U589,"н/д")</x:f>
        <x:v>н/д</x:v>
      </x:c>
      <x:c r="W589" s="21" t="str">
        <x:f>IF(J589="Рассчитано",T589*M589,"н/д")</x:f>
        <x:v>н/д</x:v>
      </x:c>
      <x:c r="X589" s="21" t="str">
        <x:f>IF(J589="Рассчитано",V589-W589,"н/д")</x:f>
        <x:v>н/д</x:v>
      </x:c>
      <x:c r="Y589" s="27" t="str">
        <x:f>IF(J589="Рассчитано",IF(V589&gt;0,G589/V589,"н/д"),"н/д")</x:f>
        <x:v>н/д</x:v>
      </x:c>
      <x:c r="Z589" s="21" t="str">
        <x:f>"н/д"</x:f>
        <x:v>н/д</x:v>
      </x:c>
      <x:c r="AA589" s="21" t="str">
        <x:f>"н/д"</x:f>
        <x:v>н/д</x:v>
      </x:c>
      <x:c r="AB589" s="21" t="str">
        <x:f>"н/д"</x:f>
        <x:v>н/д</x:v>
      </x:c>
      <x:c r="AC589" s="21" t="str">
        <x:f>IF(AND(J589="Рассчитано",T589&gt;0,R589&lt;100),(W589+P589+Q589)/(T589*(1-R589/100)),"н/д")</x:f>
        <x:v>н/д</x:v>
      </x:c>
      <x:c r="AD589" s="10" t="str">
        <x:f>IF(ISNUMBER(G589),IF(G589&lt;0,"Убыток",IF(G589=0,"Без прибыли","Прибыль &gt; 0")),"Не оценён")</x:f>
        <x:v>Не оценён</x:v>
      </x:c>
      <x:c r="AE589" s="13" t="str">
        <x:f>IF(J589="Рассчитано","Выручка "&amp;TEXT(V589,"0.00")&amp;" - себестоимость "&amp;TEXT(W589,"0.00")&amp;" - комиссия "&amp;TEXT(V589*R589/100,"0.00")&amp;" - доставка "&amp;TEXT(P589,"0.00")&amp;" - прочие "&amp;TEXT(Q589,"0.00")&amp;" = "&amp;TEXT(G589,"0.00")&amp;" "&amp;L589,"Введите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9" s="24" t="n">
        <x:v>1.9250162280700904</x:v>
      </x:c>
      <x:c r="AG589" s="37" t="n">
        <x:v>4</x:v>
      </x:c>
      <x:c r="AH589" s="37" t="n">
        <x:v>0</x:v>
      </x:c>
      <x:c r="AI589" s="30" t="n">
        <x:v>46266</x:v>
      </x:c>
      <x:c r="AJ589" s="37" t="n">
        <x:v>1</x:v>
      </x:c>
      <x:c r="AK589" s="10" t="str">
        <x:v>минимум</x:v>
      </x:c>
      <x:c r="AL589" s="32" t="n">
        <x:v>176.7032920140822</x:v>
      </x:c>
      <x:c r="AM589" s="13" t="str">
        <x:v>Остаток на начало сентября; Резервы неизвестны; Нет ежедневных данных доступности. Запас выше прогноза на 90 дней</x:v>
      </x:c>
      <x:c r="AN589" s="13" t="str">
        <x:v>Проверить свободный остаток и установить цену для B2B</x:v>
      </x:c>
      <x:c r="AO589" s="13" t="str">
        <x:v>Остаток 4; прогноз 90 дней 1.93; избыток 2 шт. Будущие поступления не выставляются на продажу. Остаток на начало сентября: требуется актуализация.</x:v>
      </x:c>
      <x:c r="AP589" s="13" t="str">
        <x:v>["category_missing", "daily_stockout_data_missing", "new_order_lead_time_unknown", "reservations_unknown", "stale_stock"]</x:v>
      </x:c>
      <x:c r="AQ589" s="10" t="str">
        <x:v>IEK:130200438_</x:v>
      </x:c>
      <x:c r="AR589" s="24" t="n">
        <x:v>1</x:v>
      </x:c>
      <x:c r="AS589" s="24" t="n">
        <x:v>0</x:v>
      </x:c>
      <x:c r="AT589" s="24" t="n">
        <x:v>0</x:v>
      </x:c>
    </x:row>
    <x:row r="590" ht="64" customHeight="1">
      <x:c r="A590" s="11" t="str">
        <x:v>IEK</x:v>
      </x:c>
      <x:c r="B590" s="33" t="str">
        <x:v>130200440_</x:v>
      </x:c>
      <x:c r="C590" s="33" t="str">
        <x:v>A2L5-DM10D-MT1</x:v>
      </x:c>
      <x:c r="D590" s="12" t="str">
        <x:v>Лента с магнитом для мультиметров  MT10  ARMA2L 5 IEK (200) NEW</x:v>
      </x:c>
      <x:c r="E590" s="11" t="str">
        <x:v>шт</x:v>
      </x:c>
      <x:c r="F590" s="35" t="n">
        <x:f>MAX(0,ROUNDDOWN((AG590-AF590)/AR590+0.000000001,0)*AR590)</x:f>
        <x:v>1</x:v>
      </x:c>
      <x:c r="G590" s="20" t="str">
        <x:f>IF(J590="Рассчитано",V590*(1-R590/100)-W590-P590-Q590,"н/д")</x:f>
        <x:v>н/д</x:v>
      </x:c>
      <x:c r="H590" s="12" t="str">
        <x:v>Высокий</x:v>
      </x:c>
      <x:c r="I590" s="12" t="str">
        <x:v>Высокий</x:v>
      </x:c>
      <x:c r="J590" s="12" t="str">
        <x:f>IF(L590="","Укажите валюту",IF(NOT(ISNUMBER(K590)),"Укажите объём",IF(K590&lt;=0,"Укажите объём",IF(K590&gt;F590,"Объём выше излишка",IF(COUNT(M590:O590)&lt;3,"Нужны цены",IF(COUNT(P590:R590)&lt;3,"Нужны расходы",IF(OR(M590&lt;0,N590&lt;0,O590&lt;0,O590&gt;100,P590&lt;0,Q590&lt;0,R590&lt;0,R590&gt;100),"Проверьте значения","Рассчитано")))))))</x:f>
        <x:v>Нужны цены</x:v>
      </x:c>
      <x:c r="K590" s="36" t="n">
        <x:v>1</x:v>
      </x:c>
      <x:c r="L590" s="19" t="str">
        <x:v>KZT</x:v>
      </x:c>
      <x:c r="M590" s="22"/>
      <x:c r="N590" s="22"/>
      <x:c r="O590" s="28"/>
      <x:c r="P590" s="22"/>
      <x:c r="Q590" s="22"/>
      <x:c r="R590" s="28"/>
      <x:c r="S590" s="22"/>
      <x:c r="T590" s="35" t="n">
        <x:f>K590</x:f>
        <x:v>1</x:v>
      </x:c>
      <x:c r="U590" s="20" t="str">
        <x:f>IF(J590="Рассчитано",N590*(1-O590/100),"н/д")</x:f>
        <x:v>н/д</x:v>
      </x:c>
      <x:c r="V590" s="20" t="str">
        <x:f>IF(J590="Рассчитано",T590*U590,"н/д")</x:f>
        <x:v>н/д</x:v>
      </x:c>
      <x:c r="W590" s="20" t="str">
        <x:f>IF(J590="Рассчитано",T590*M590,"н/д")</x:f>
        <x:v>н/д</x:v>
      </x:c>
      <x:c r="X590" s="20" t="str">
        <x:f>IF(J590="Рассчитано",V590-W590,"н/д")</x:f>
        <x:v>н/д</x:v>
      </x:c>
      <x:c r="Y590" s="26" t="str">
        <x:f>IF(J590="Рассчитано",IF(V590&gt;0,G590/V590,"н/д"),"н/д")</x:f>
        <x:v>н/д</x:v>
      </x:c>
      <x:c r="Z590" s="20" t="str">
        <x:f>"н/д"</x:f>
        <x:v>н/д</x:v>
      </x:c>
      <x:c r="AA590" s="20" t="str">
        <x:f>"н/д"</x:f>
        <x:v>н/д</x:v>
      </x:c>
      <x:c r="AB590" s="20" t="str">
        <x:f>"н/д"</x:f>
        <x:v>н/д</x:v>
      </x:c>
      <x:c r="AC590" s="20" t="str">
        <x:f>IF(AND(J590="Рассчитано",T590&gt;0,R590&lt;100),(W590+P590+Q590)/(T590*(1-R590/100)),"н/д")</x:f>
        <x:v>н/д</x:v>
      </x:c>
      <x:c r="AD590" s="11" t="str">
        <x:f>IF(ISNUMBER(G590),IF(G590&lt;0,"Убыток",IF(G590=0,"Без прибыли","Прибыль &gt; 0")),"Не оценён")</x:f>
        <x:v>Не оценён</x:v>
      </x:c>
      <x:c r="AE590" s="12" t="str">
        <x:f>IF(J590="Рассчитано","Выручка "&amp;TEXT(V590,"0.00")&amp;" - себестоимость "&amp;TEXT(W590,"0.00")&amp;" - комиссия "&amp;TEXT(V590*R590/100,"0.00")&amp;" - доставка "&amp;TEXT(P590,"0.00")&amp;" - прочие "&amp;TEXT(Q590,"0.00")&amp;" = "&amp;TEXT(G590,"0.00")&amp;" "&amp;L590,"Введите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0" s="23" t="n">
        <x:v>0</x:v>
      </x:c>
      <x:c r="AG590" s="35" t="n">
        <x:v>1</x:v>
      </x:c>
      <x:c r="AH590" s="35" t="n">
        <x:v>0</x:v>
      </x:c>
      <x:c r="AI590" s="29" t="n">
        <x:v>46266</x:v>
      </x:c>
      <x:c r="AJ590" s="35" t="n">
        <x:v>1</x:v>
      </x:c>
      <x:c r="AK590" s="11" t="str">
        <x:v>минимум</x:v>
      </x:c>
      <x:c r="AL590" s="31" t="str">
        <x:v>н/д</x:v>
      </x:c>
      <x:c r="AM59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590" s="12" t="str">
        <x:v>Проверить свободный остаток и установить цену для B2B</x:v>
      </x:c>
      <x:c r="AO590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590" s="12" t="str">
        <x:v>["category_missing", "daily_stockout_data_missing", "new_order_lead_time_unknown", "reservations_unknown", "stale_stock"]</x:v>
      </x:c>
      <x:c r="AQ590" s="11" t="str">
        <x:v>IEK:130200440_</x:v>
      </x:c>
      <x:c r="AR590" s="23" t="n">
        <x:v>1</x:v>
      </x:c>
      <x:c r="AS590" s="23" t="n">
        <x:v>0</x:v>
      </x:c>
      <x:c r="AT590" s="23" t="n">
        <x:v>0</x:v>
      </x:c>
    </x:row>
    <x:row r="591" ht="64" customHeight="1">
      <x:c r="A591" s="10" t="str">
        <x:v>IEK</x:v>
      </x:c>
      <x:c r="B591" s="34" t="str">
        <x:v>130200490_</x:v>
      </x:c>
      <x:c r="C591" s="34" t="str">
        <x:v>A2L5-NS30-T2-13</x:v>
      </x:c>
      <x:c r="D591" s="13" t="str">
        <x:v>ARMA2L 5 Отвертка диэлектрическая с жалами SLIM 13шт IEK</x:v>
      </x:c>
      <x:c r="E591" s="10" t="str">
        <x:v>шт</x:v>
      </x:c>
      <x:c r="F591" s="37" t="n">
        <x:f>MAX(0,ROUNDDOWN((AG591-AF591)/AR591+0.000000001,0)*AR591)</x:f>
        <x:v>19</x:v>
      </x:c>
      <x:c r="G591" s="21" t="str">
        <x:f>IF(J591="Рассчитано",V591*(1-R591/100)-W591-P591-Q591,"н/д")</x:f>
        <x:v>н/д</x:v>
      </x:c>
      <x:c r="H591" s="13" t="str">
        <x:v>Высокий</x:v>
      </x:c>
      <x:c r="I591" s="13" t="str">
        <x:v>Высокий</x:v>
      </x:c>
      <x:c r="J591" s="13" t="str">
        <x:f>IF(L591="","Укажите валюту",IF(NOT(ISNUMBER(K591)),"Укажите объём",IF(K591&lt;=0,"Укажите объём",IF(K591&gt;F591,"Объём выше излишка",IF(COUNT(M591:O591)&lt;3,"Нужны цены",IF(COUNT(P591:R591)&lt;3,"Нужны расходы",IF(OR(M591&lt;0,N591&lt;0,O591&lt;0,O591&gt;100,P591&lt;0,Q591&lt;0,R591&lt;0,R591&gt;100),"Проверьте значения","Рассчитано")))))))</x:f>
        <x:v>Нужны цены</x:v>
      </x:c>
      <x:c r="K591" s="36" t="n">
        <x:v>19</x:v>
      </x:c>
      <x:c r="L591" s="19" t="str">
        <x:v>KZT</x:v>
      </x:c>
      <x:c r="M591" s="22"/>
      <x:c r="N591" s="22"/>
      <x:c r="O591" s="28"/>
      <x:c r="P591" s="22"/>
      <x:c r="Q591" s="22"/>
      <x:c r="R591" s="28"/>
      <x:c r="S591" s="22"/>
      <x:c r="T591" s="37" t="n">
        <x:f>K591</x:f>
        <x:v>19</x:v>
      </x:c>
      <x:c r="U591" s="21" t="str">
        <x:f>IF(J591="Рассчитано",N591*(1-O591/100),"н/д")</x:f>
        <x:v>н/д</x:v>
      </x:c>
      <x:c r="V591" s="21" t="str">
        <x:f>IF(J591="Рассчитано",T591*U591,"н/д")</x:f>
        <x:v>н/д</x:v>
      </x:c>
      <x:c r="W591" s="21" t="str">
        <x:f>IF(J591="Рассчитано",T591*M591,"н/д")</x:f>
        <x:v>н/д</x:v>
      </x:c>
      <x:c r="X591" s="21" t="str">
        <x:f>IF(J591="Рассчитано",V591-W591,"н/д")</x:f>
        <x:v>н/д</x:v>
      </x:c>
      <x:c r="Y591" s="27" t="str">
        <x:f>IF(J591="Рассчитано",IF(V591&gt;0,G591/V591,"н/д"),"н/д")</x:f>
        <x:v>н/д</x:v>
      </x:c>
      <x:c r="Z591" s="21" t="str">
        <x:f>"н/д"</x:f>
        <x:v>н/д</x:v>
      </x:c>
      <x:c r="AA591" s="21" t="str">
        <x:f>"н/д"</x:f>
        <x:v>н/д</x:v>
      </x:c>
      <x:c r="AB591" s="21" t="str">
        <x:f>"н/д"</x:f>
        <x:v>н/д</x:v>
      </x:c>
      <x:c r="AC591" s="21" t="str">
        <x:f>IF(AND(J591="Рассчитано",T591&gt;0,R591&lt;100),(W591+P591+Q591)/(T591*(1-R591/100)),"н/д")</x:f>
        <x:v>н/д</x:v>
      </x:c>
      <x:c r="AD591" s="10" t="str">
        <x:f>IF(ISNUMBER(G591),IF(G591&lt;0,"Убыток",IF(G591=0,"Без прибыли","Прибыль &gt; 0")),"Не оценён")</x:f>
        <x:v>Не оценён</x:v>
      </x:c>
      <x:c r="AE591" s="13" t="str">
        <x:f>IF(J591="Рассчитано","Выручка "&amp;TEXT(V591,"0.00")&amp;" - себестоимость "&amp;TEXT(W591,"0.00")&amp;" - комиссия "&amp;TEXT(V591*R591/100,"0.00")&amp;" - доставка "&amp;TEXT(P591,"0.00")&amp;" - прочие "&amp;TEXT(Q591,"0.00")&amp;" = "&amp;TEXT(G591,"0.00")&amp;" "&amp;L591,"Введите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1" s="24" t="n">
        <x:v>0</x:v>
      </x:c>
      <x:c r="AG591" s="37" t="n">
        <x:v>19</x:v>
      </x:c>
      <x:c r="AH591" s="37" t="n">
        <x:v>0</x:v>
      </x:c>
      <x:c r="AI591" s="30" t="n">
        <x:v>46266</x:v>
      </x:c>
      <x:c r="AJ591" s="37" t="n">
        <x:v>1</x:v>
      </x:c>
      <x:c r="AK591" s="10" t="str">
        <x:v>минимум</x:v>
      </x:c>
      <x:c r="AL591" s="32" t="str">
        <x:v>н/д</x:v>
      </x:c>
      <x:c r="AM59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591" s="13" t="str">
        <x:v>Проверить свободный остаток и установить цену для B2B</x:v>
      </x:c>
      <x:c r="AO591" s="13" t="str">
        <x:v>Остаток 19; прогноз 90 дней 0.00; избыток 19 шт. Будущие поступления не выставляются на продажу. Остаток на начало сентября: требуется актуализация.</x:v>
      </x:c>
      <x:c r="AP591" s="13" t="str">
        <x:v>["category_missing", "daily_stockout_data_missing", "new_order_lead_time_unknown", "reservations_unknown", "stale_stock"]</x:v>
      </x:c>
      <x:c r="AQ591" s="10" t="str">
        <x:v>IEK:130200490_</x:v>
      </x:c>
      <x:c r="AR591" s="24" t="n">
        <x:v>1</x:v>
      </x:c>
      <x:c r="AS591" s="24" t="n">
        <x:v>0</x:v>
      </x:c>
      <x:c r="AT591" s="24" t="n">
        <x:v>0</x:v>
      </x:c>
    </x:row>
    <x:row r="592" ht="64" customHeight="1">
      <x:c r="A592" s="11" t="str">
        <x:v>IEK</x:v>
      </x:c>
      <x:c r="B592" s="33" t="str">
        <x:v>130200492_</x:v>
      </x:c>
      <x:c r="C592" s="33" t="str">
        <x:v>A2L5-SC30-T2-ZS-10-080</x:v>
      </x:c>
      <x:c r="D592" s="12" t="str">
        <x:v>ARMA2L 5 Отвертка диэлектрическая PZ/SL1х80 Т2 IEK</x:v>
      </x:c>
      <x:c r="E592" s="11" t="str">
        <x:v>шт</x:v>
      </x:c>
      <x:c r="F592" s="35" t="n">
        <x:f>MAX(0,ROUNDDOWN((AG592-AF592)/AR592+0.000000001,0)*AR592)</x:f>
        <x:v>11</x:v>
      </x:c>
      <x:c r="G592" s="20" t="str">
        <x:f>IF(J592="Рассчитано",V592*(1-R592/100)-W592-P592-Q592,"н/д")</x:f>
        <x:v>н/д</x:v>
      </x:c>
      <x:c r="H592" s="12" t="str">
        <x:v>Высокий</x:v>
      </x:c>
      <x:c r="I592" s="12" t="str">
        <x:v>Высокий</x:v>
      </x:c>
      <x:c r="J592" s="12" t="str">
        <x:f>IF(L592="","Укажите валюту",IF(NOT(ISNUMBER(K592)),"Укажите объём",IF(K592&lt;=0,"Укажите объём",IF(K592&gt;F592,"Объём выше излишка",IF(COUNT(M592:O592)&lt;3,"Нужны цены",IF(COUNT(P592:R592)&lt;3,"Нужны расходы",IF(OR(M592&lt;0,N592&lt;0,O592&lt;0,O592&gt;100,P592&lt;0,Q592&lt;0,R592&lt;0,R592&gt;100),"Проверьте значения","Рассчитано")))))))</x:f>
        <x:v>Нужны цены</x:v>
      </x:c>
      <x:c r="K592" s="36" t="n">
        <x:v>11</x:v>
      </x:c>
      <x:c r="L592" s="19" t="str">
        <x:v>KZT</x:v>
      </x:c>
      <x:c r="M592" s="22"/>
      <x:c r="N592" s="22"/>
      <x:c r="O592" s="28"/>
      <x:c r="P592" s="22"/>
      <x:c r="Q592" s="22"/>
      <x:c r="R592" s="28"/>
      <x:c r="S592" s="22"/>
      <x:c r="T592" s="35" t="n">
        <x:f>K592</x:f>
        <x:v>11</x:v>
      </x:c>
      <x:c r="U592" s="20" t="str">
        <x:f>IF(J592="Рассчитано",N592*(1-O592/100),"н/д")</x:f>
        <x:v>н/д</x:v>
      </x:c>
      <x:c r="V592" s="20" t="str">
        <x:f>IF(J592="Рассчитано",T592*U592,"н/д")</x:f>
        <x:v>н/д</x:v>
      </x:c>
      <x:c r="W592" s="20" t="str">
        <x:f>IF(J592="Рассчитано",T592*M592,"н/д")</x:f>
        <x:v>н/д</x:v>
      </x:c>
      <x:c r="X592" s="20" t="str">
        <x:f>IF(J592="Рассчитано",V592-W592,"н/д")</x:f>
        <x:v>н/д</x:v>
      </x:c>
      <x:c r="Y592" s="26" t="str">
        <x:f>IF(J592="Рассчитано",IF(V592&gt;0,G592/V592,"н/д"),"н/д")</x:f>
        <x:v>н/д</x:v>
      </x:c>
      <x:c r="Z592" s="20" t="str">
        <x:f>"н/д"</x:f>
        <x:v>н/д</x:v>
      </x:c>
      <x:c r="AA592" s="20" t="str">
        <x:f>"н/д"</x:f>
        <x:v>н/д</x:v>
      </x:c>
      <x:c r="AB592" s="20" t="str">
        <x:f>"н/д"</x:f>
        <x:v>н/д</x:v>
      </x:c>
      <x:c r="AC592" s="20" t="str">
        <x:f>IF(AND(J592="Рассчитано",T592&gt;0,R592&lt;100),(W592+P592+Q592)/(T592*(1-R592/100)),"н/д")</x:f>
        <x:v>н/д</x:v>
      </x:c>
      <x:c r="AD592" s="11" t="str">
        <x:f>IF(ISNUMBER(G592),IF(G592&lt;0,"Убыток",IF(G592=0,"Без прибыли","Прибыль &gt; 0")),"Не оценён")</x:f>
        <x:v>Не оценён</x:v>
      </x:c>
      <x:c r="AE592" s="12" t="str">
        <x:f>IF(J592="Рассчитано","Выручка "&amp;TEXT(V592,"0.00")&amp;" - себестоимость "&amp;TEXT(W592,"0.00")&amp;" - комиссия "&amp;TEXT(V592*R592/100,"0.00")&amp;" - доставка "&amp;TEXT(P592,"0.00")&amp;" - прочие "&amp;TEXT(Q592,"0.00")&amp;" = "&amp;TEXT(G592,"0.00")&amp;" "&amp;L592,"Введите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2" s="23" t="n">
        <x:v>3.0906417796395873</x:v>
      </x:c>
      <x:c r="AG592" s="35" t="n">
        <x:v>15</x:v>
      </x:c>
      <x:c r="AH592" s="35" t="n">
        <x:v>0</x:v>
      </x:c>
      <x:c r="AI592" s="29" t="n">
        <x:v>46266</x:v>
      </x:c>
      <x:c r="AJ592" s="35" t="n">
        <x:v>1</x:v>
      </x:c>
      <x:c r="AK592" s="11" t="str">
        <x:v>минимум</x:v>
      </x:c>
      <x:c r="AL592" s="31" t="n">
        <x:v>412.7258134395267</x:v>
      </x:c>
      <x:c r="AM592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592" s="12" t="str">
        <x:v>Проверить свободный остаток и установить цену для B2B</x:v>
      </x:c>
      <x:c r="AO592" s="12" t="str">
        <x:v>Остаток 15; прогноз 90 дней 3.09; избыток 11 шт. Будущие поступления не выставляются на продажу. Остаток на начало сентября: требуется актуализация.</x:v>
      </x:c>
      <x:c r="AP592" s="12" t="str">
        <x:v>["category_missing", "daily_stockout_data_missing", "new_order_lead_time_unknown", "reservations_unknown", "stale_stock", "stockout_proxy_used"]</x:v>
      </x:c>
      <x:c r="AQ592" s="11" t="str">
        <x:v>IEK:130200492_</x:v>
      </x:c>
      <x:c r="AR592" s="23" t="n">
        <x:v>1</x:v>
      </x:c>
      <x:c r="AS592" s="23" t="n">
        <x:v>0</x:v>
      </x:c>
      <x:c r="AT592" s="23" t="n">
        <x:v>0</x:v>
      </x:c>
    </x:row>
    <x:row r="593" ht="64" customHeight="1">
      <x:c r="A593" s="10" t="str">
        <x:v>IEK</x:v>
      </x:c>
      <x:c r="B593" s="34" t="str">
        <x:v>130200493_</x:v>
      </x:c>
      <x:c r="C593" s="34" t="str">
        <x:v>A2L5-SC30-T2-ZS-20-100</x:v>
      </x:c>
      <x:c r="D593" s="13" t="str">
        <x:v>ARMA2L 5 Отвертка диэлектрическая PZ/SL2х100 Т2 IEK</x:v>
      </x:c>
      <x:c r="E593" s="10" t="str">
        <x:v>шт</x:v>
      </x:c>
      <x:c r="F593" s="37" t="n">
        <x:f>MAX(0,ROUNDDOWN((AG593-AF593)/AR593+0.000000001,0)*AR593)</x:f>
        <x:v>9</x:v>
      </x:c>
      <x:c r="G593" s="21" t="str">
        <x:f>IF(J593="Рассчитано",V593*(1-R593/100)-W593-P593-Q593,"н/д")</x:f>
        <x:v>н/д</x:v>
      </x:c>
      <x:c r="H593" s="13" t="str">
        <x:v>Высокий</x:v>
      </x:c>
      <x:c r="I593" s="13" t="str">
        <x:v>Высокий</x:v>
      </x:c>
      <x:c r="J593" s="13" t="str">
        <x:f>IF(L593="","Укажите валюту",IF(NOT(ISNUMBER(K593)),"Укажите объём",IF(K593&lt;=0,"Укажите объём",IF(K593&gt;F593,"Объём выше излишка",IF(COUNT(M593:O593)&lt;3,"Нужны цены",IF(COUNT(P593:R593)&lt;3,"Нужны расходы",IF(OR(M593&lt;0,N593&lt;0,O593&lt;0,O593&gt;100,P593&lt;0,Q593&lt;0,R593&lt;0,R593&gt;100),"Проверьте значения","Рассчитано")))))))</x:f>
        <x:v>Нужны цены</x:v>
      </x:c>
      <x:c r="K593" s="36" t="n">
        <x:v>9</x:v>
      </x:c>
      <x:c r="L593" s="19" t="str">
        <x:v>KZT</x:v>
      </x:c>
      <x:c r="M593" s="22"/>
      <x:c r="N593" s="22"/>
      <x:c r="O593" s="28"/>
      <x:c r="P593" s="22"/>
      <x:c r="Q593" s="22"/>
      <x:c r="R593" s="28"/>
      <x:c r="S593" s="22"/>
      <x:c r="T593" s="37" t="n">
        <x:f>K593</x:f>
        <x:v>9</x:v>
      </x:c>
      <x:c r="U593" s="21" t="str">
        <x:f>IF(J593="Рассчитано",N593*(1-O593/100),"н/д")</x:f>
        <x:v>н/д</x:v>
      </x:c>
      <x:c r="V593" s="21" t="str">
        <x:f>IF(J593="Рассчитано",T593*U593,"н/д")</x:f>
        <x:v>н/д</x:v>
      </x:c>
      <x:c r="W593" s="21" t="str">
        <x:f>IF(J593="Рассчитано",T593*M593,"н/д")</x:f>
        <x:v>н/д</x:v>
      </x:c>
      <x:c r="X593" s="21" t="str">
        <x:f>IF(J593="Рассчитано",V593-W593,"н/д")</x:f>
        <x:v>н/д</x:v>
      </x:c>
      <x:c r="Y593" s="27" t="str">
        <x:f>IF(J593="Рассчитано",IF(V593&gt;0,G593/V593,"н/д"),"н/д")</x:f>
        <x:v>н/д</x:v>
      </x:c>
      <x:c r="Z593" s="21" t="str">
        <x:f>"н/д"</x:f>
        <x:v>н/д</x:v>
      </x:c>
      <x:c r="AA593" s="21" t="str">
        <x:f>"н/д"</x:f>
        <x:v>н/д</x:v>
      </x:c>
      <x:c r="AB593" s="21" t="str">
        <x:f>"н/д"</x:f>
        <x:v>н/д</x:v>
      </x:c>
      <x:c r="AC593" s="21" t="str">
        <x:f>IF(AND(J593="Рассчитано",T593&gt;0,R593&lt;100),(W593+P593+Q593)/(T593*(1-R593/100)),"н/д")</x:f>
        <x:v>н/д</x:v>
      </x:c>
      <x:c r="AD593" s="10" t="str">
        <x:f>IF(ISNUMBER(G593),IF(G593&lt;0,"Убыток",IF(G593=0,"Без прибыли","Прибыль &gt; 0")),"Не оценён")</x:f>
        <x:v>Не оценён</x:v>
      </x:c>
      <x:c r="AE593" s="13" t="str">
        <x:f>IF(J593="Рассчитано","Выручка "&amp;TEXT(V593,"0.00")&amp;" - себестоимость "&amp;TEXT(W593,"0.00")&amp;" - комиссия "&amp;TEXT(V593*R593/100,"0.00")&amp;" - доставка "&amp;TEXT(P593,"0.00")&amp;" - прочие "&amp;TEXT(Q593,"0.00")&amp;" = "&amp;TEXT(G593,"0.00")&amp;" "&amp;L593,"Введите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3" s="24" t="n">
        <x:v>4.367679086861256</x:v>
      </x:c>
      <x:c r="AG593" s="37" t="n">
        <x:v>14</x:v>
      </x:c>
      <x:c r="AH593" s="37" t="n">
        <x:v>0</x:v>
      </x:c>
      <x:c r="AI593" s="30" t="n">
        <x:v>46266</x:v>
      </x:c>
      <x:c r="AJ593" s="37" t="n">
        <x:v>1</x:v>
      </x:c>
      <x:c r="AK593" s="10" t="str">
        <x:v>минимум</x:v>
      </x:c>
      <x:c r="AL593" s="32" t="n">
        <x:v>272.5814884072377</x:v>
      </x:c>
      <x:c r="AM593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593" s="13" t="str">
        <x:v>Проверить свободный остаток и установить цену для B2B</x:v>
      </x:c>
      <x:c r="AO593" s="13" t="str">
        <x:v>Остаток 14; прогноз 90 дней 4.37; избыток 9 шт. Будущие поступления не выставляются на продажу. Остаток на начало сентября: требуется актуализация.</x:v>
      </x:c>
      <x:c r="AP593" s="13" t="str">
        <x:v>["category_missing", "daily_stockout_data_missing", "new_order_lead_time_unknown", "reservations_unknown", "stale_stock", "stockout_proxy_used"]</x:v>
      </x:c>
      <x:c r="AQ593" s="10" t="str">
        <x:v>IEK:130200493_</x:v>
      </x:c>
      <x:c r="AR593" s="24" t="n">
        <x:v>1</x:v>
      </x:c>
      <x:c r="AS593" s="24" t="n">
        <x:v>0</x:v>
      </x:c>
      <x:c r="AT593" s="24" t="n">
        <x:v>0</x:v>
      </x:c>
    </x:row>
    <x:row r="594" ht="64" customHeight="1">
      <x:c r="A594" s="11" t="str">
        <x:v>IEK</x:v>
      </x:c>
      <x:c r="B594" s="33" t="str">
        <x:v>130200494_</x:v>
      </x:c>
      <x:c r="C594" s="33" t="str">
        <x:v>A2L5-SC31-T2-HS-20-100</x:v>
      </x:c>
      <x:c r="D594" s="12" t="str">
        <x:v>ARMA2L 5 Отвертка диэлектрическая SLIM PH/SL2х100 Т2 IEK</x:v>
      </x:c>
      <x:c r="E594" s="11" t="str">
        <x:v>шт</x:v>
      </x:c>
      <x:c r="F594" s="35" t="n">
        <x:f>MAX(0,ROUNDDOWN((AG594-AF594)/AR594+0.000000001,0)*AR594)</x:f>
        <x:v>17</x:v>
      </x:c>
      <x:c r="G594" s="20" t="str">
        <x:f>IF(J594="Рассчитано",V594*(1-R594/100)-W594-P594-Q594,"н/д")</x:f>
        <x:v>н/д</x:v>
      </x:c>
      <x:c r="H594" s="12" t="str">
        <x:v>Высокий</x:v>
      </x:c>
      <x:c r="I594" s="12" t="str">
        <x:v>Высокий</x:v>
      </x:c>
      <x:c r="J594" s="12" t="str">
        <x:f>IF(L594="","Укажите валюту",IF(NOT(ISNUMBER(K594)),"Укажите объём",IF(K594&lt;=0,"Укажите объём",IF(K594&gt;F594,"Объём выше излишка",IF(COUNT(M594:O594)&lt;3,"Нужны цены",IF(COUNT(P594:R594)&lt;3,"Нужны расходы",IF(OR(M594&lt;0,N594&lt;0,O594&lt;0,O594&gt;100,P594&lt;0,Q594&lt;0,R594&lt;0,R594&gt;100),"Проверьте значения","Рассчитано")))))))</x:f>
        <x:v>Нужны цены</x:v>
      </x:c>
      <x:c r="K594" s="36" t="n">
        <x:v>17</x:v>
      </x:c>
      <x:c r="L594" s="19" t="str">
        <x:v>KZT</x:v>
      </x:c>
      <x:c r="M594" s="22"/>
      <x:c r="N594" s="22"/>
      <x:c r="O594" s="28"/>
      <x:c r="P594" s="22"/>
      <x:c r="Q594" s="22"/>
      <x:c r="R594" s="28"/>
      <x:c r="S594" s="22"/>
      <x:c r="T594" s="35" t="n">
        <x:f>K594</x:f>
        <x:v>17</x:v>
      </x:c>
      <x:c r="U594" s="20" t="str">
        <x:f>IF(J594="Рассчитано",N594*(1-O594/100),"н/д")</x:f>
        <x:v>н/д</x:v>
      </x:c>
      <x:c r="V594" s="20" t="str">
        <x:f>IF(J594="Рассчитано",T594*U594,"н/д")</x:f>
        <x:v>н/д</x:v>
      </x:c>
      <x:c r="W594" s="20" t="str">
        <x:f>IF(J594="Рассчитано",T594*M594,"н/д")</x:f>
        <x:v>н/д</x:v>
      </x:c>
      <x:c r="X594" s="20" t="str">
        <x:f>IF(J594="Рассчитано",V594-W594,"н/д")</x:f>
        <x:v>н/д</x:v>
      </x:c>
      <x:c r="Y594" s="26" t="str">
        <x:f>IF(J594="Рассчитано",IF(V594&gt;0,G594/V594,"н/д"),"н/д")</x:f>
        <x:v>н/д</x:v>
      </x:c>
      <x:c r="Z594" s="20" t="str">
        <x:f>"н/д"</x:f>
        <x:v>н/д</x:v>
      </x:c>
      <x:c r="AA594" s="20" t="str">
        <x:f>"н/д"</x:f>
        <x:v>н/д</x:v>
      </x:c>
      <x:c r="AB594" s="20" t="str">
        <x:f>"н/д"</x:f>
        <x:v>н/д</x:v>
      </x:c>
      <x:c r="AC594" s="20" t="str">
        <x:f>IF(AND(J594="Рассчитано",T594&gt;0,R594&lt;100),(W594+P594+Q594)/(T594*(1-R594/100)),"н/д")</x:f>
        <x:v>н/д</x:v>
      </x:c>
      <x:c r="AD594" s="11" t="str">
        <x:f>IF(ISNUMBER(G594),IF(G594&lt;0,"Убыток",IF(G594=0,"Без прибыли","Прибыль &gt; 0")),"Не оценён")</x:f>
        <x:v>Не оценён</x:v>
      </x:c>
      <x:c r="AE594" s="12" t="str">
        <x:f>IF(J594="Рассчитано","Выручка "&amp;TEXT(V594,"0.00")&amp;" - себестоимость "&amp;TEXT(W594,"0.00")&amp;" - комиссия "&amp;TEXT(V594*R594/100,"0.00")&amp;" - доставка "&amp;TEXT(P594,"0.00")&amp;" - прочие "&amp;TEXT(Q594,"0.00")&amp;" = "&amp;TEXT(G594,"0.00")&amp;" "&amp;L594,"Введите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4" s="23" t="n">
        <x:v>0.6845053365855409</x:v>
      </x:c>
      <x:c r="AG594" s="35" t="n">
        <x:v>18</x:v>
      </x:c>
      <x:c r="AH594" s="35" t="n">
        <x:v>0</x:v>
      </x:c>
      <x:c r="AI594" s="29" t="n">
        <x:v>46266</x:v>
      </x:c>
      <x:c r="AJ594" s="35" t="n">
        <x:v>1</x:v>
      </x:c>
      <x:c r="AK594" s="11" t="str">
        <x:v>минимум</x:v>
      </x:c>
      <x:c r="AL594" s="31" t="n">
        <x:v>2236.220945621564</x:v>
      </x:c>
      <x:c r="AM59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94" s="12" t="str">
        <x:v>Проверить свободный остаток и установить цену для B2B</x:v>
      </x:c>
      <x:c r="AO594" s="12" t="str">
        <x:v>Остаток 18; прогноз 90 дней 0.68; избыток 17 шт. Будущие поступления не выставляются на продажу. Остаток на начало сентября: требуется актуализация.</x:v>
      </x:c>
      <x:c r="AP594" s="12" t="str">
        <x:v>["category_missing", "daily_stockout_data_missing", "new_order_lead_time_unknown", "reservations_unknown", "stale_stock"]</x:v>
      </x:c>
      <x:c r="AQ594" s="11" t="str">
        <x:v>IEK:130200494_</x:v>
      </x:c>
      <x:c r="AR594" s="23" t="n">
        <x:v>1</x:v>
      </x:c>
      <x:c r="AS594" s="23" t="n">
        <x:v>0</x:v>
      </x:c>
      <x:c r="AT594" s="23" t="n">
        <x:v>0</x:v>
      </x:c>
    </x:row>
    <x:row r="595" ht="64" customHeight="1">
      <x:c r="A595" s="10" t="str">
        <x:v>IEK</x:v>
      </x:c>
      <x:c r="B595" s="34" t="str">
        <x:v>130300003_</x:v>
      </x:c>
      <x:c r="C595" s="34" t="str">
        <x:v>BPU10-6</x:v>
      </x:c>
      <x:c r="D595" s="13" t="str">
        <x:v>Пост тельф.ПКТ-63 (на 6 кноп.) IP54 IEK (5/30)</x:v>
      </x:c>
      <x:c r="E595" s="10" t="str">
        <x:v>шт</x:v>
      </x:c>
      <x:c r="F595" s="37" t="n">
        <x:f>MAX(0,ROUNDDOWN((AG595-AF595)/AR595+0.000000001,0)*AR595)</x:f>
        <x:v>16</x:v>
      </x:c>
      <x:c r="G595" s="21" t="str">
        <x:f>IF(J595="Рассчитано",V595*(1-R595/100)-W595-P595-Q595,"н/д")</x:f>
        <x:v>н/д</x:v>
      </x:c>
      <x:c r="H595" s="13" t="str">
        <x:v>Высокий</x:v>
      </x:c>
      <x:c r="I595" s="13" t="str">
        <x:v>Высокий</x:v>
      </x:c>
      <x:c r="J595" s="13" t="str">
        <x:f>IF(L595="","Укажите валюту",IF(NOT(ISNUMBER(K595)),"Укажите объём",IF(K595&lt;=0,"Укажите объём",IF(K595&gt;F595,"Объём выше излишка",IF(COUNT(M595:O595)&lt;3,"Нужны цены",IF(COUNT(P595:R595)&lt;3,"Нужны расходы",IF(OR(M595&lt;0,N595&lt;0,O595&lt;0,O595&gt;100,P595&lt;0,Q595&lt;0,R595&lt;0,R595&gt;100),"Проверьте значения","Рассчитано")))))))</x:f>
        <x:v>Нужны цены</x:v>
      </x:c>
      <x:c r="K595" s="36" t="n">
        <x:v>16</x:v>
      </x:c>
      <x:c r="L595" s="19" t="str">
        <x:v>KZT</x:v>
      </x:c>
      <x:c r="M595" s="22"/>
      <x:c r="N595" s="22"/>
      <x:c r="O595" s="28"/>
      <x:c r="P595" s="22"/>
      <x:c r="Q595" s="22"/>
      <x:c r="R595" s="28"/>
      <x:c r="S595" s="22"/>
      <x:c r="T595" s="37" t="n">
        <x:f>K595</x:f>
        <x:v>16</x:v>
      </x:c>
      <x:c r="U595" s="21" t="str">
        <x:f>IF(J595="Рассчитано",N595*(1-O595/100),"н/д")</x:f>
        <x:v>н/д</x:v>
      </x:c>
      <x:c r="V595" s="21" t="str">
        <x:f>IF(J595="Рассчитано",T595*U595,"н/д")</x:f>
        <x:v>н/д</x:v>
      </x:c>
      <x:c r="W595" s="21" t="str">
        <x:f>IF(J595="Рассчитано",T595*M595,"н/д")</x:f>
        <x:v>н/д</x:v>
      </x:c>
      <x:c r="X595" s="21" t="str">
        <x:f>IF(J595="Рассчитано",V595-W595,"н/д")</x:f>
        <x:v>н/д</x:v>
      </x:c>
      <x:c r="Y595" s="27" t="str">
        <x:f>IF(J595="Рассчитано",IF(V595&gt;0,G595/V595,"н/д"),"н/д")</x:f>
        <x:v>н/д</x:v>
      </x:c>
      <x:c r="Z595" s="21" t="str">
        <x:f>"н/д"</x:f>
        <x:v>н/д</x:v>
      </x:c>
      <x:c r="AA595" s="21" t="str">
        <x:f>"н/д"</x:f>
        <x:v>н/д</x:v>
      </x:c>
      <x:c r="AB595" s="21" t="str">
        <x:f>"н/д"</x:f>
        <x:v>н/д</x:v>
      </x:c>
      <x:c r="AC595" s="21" t="str">
        <x:f>IF(AND(J595="Рассчитано",T595&gt;0,R595&lt;100),(W595+P595+Q595)/(T595*(1-R595/100)),"н/д")</x:f>
        <x:v>н/д</x:v>
      </x:c>
      <x:c r="AD595" s="10" t="str">
        <x:f>IF(ISNUMBER(G595),IF(G595&lt;0,"Убыток",IF(G595=0,"Без прибыли","Прибыль &gt; 0")),"Не оценён")</x:f>
        <x:v>Не оценён</x:v>
      </x:c>
      <x:c r="AE595" s="13" t="str">
        <x:f>IF(J595="Рассчитано","Выручка "&amp;TEXT(V595,"0.00")&amp;" - себестоимость "&amp;TEXT(W595,"0.00")&amp;" - комиссия "&amp;TEXT(V595*R595/100,"0.00")&amp;" - доставка "&amp;TEXT(P595,"0.00")&amp;" - прочие "&amp;TEXT(Q595,"0.00")&amp;" = "&amp;TEXT(G595,"0.00")&amp;" "&amp;L595,"Введите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5" s="24" t="n">
        <x:v>7.001691919848481</x:v>
      </x:c>
      <x:c r="AG595" s="37" t="n">
        <x:v>24</x:v>
      </x:c>
      <x:c r="AH595" s="37" t="n">
        <x:v>0</x:v>
      </x:c>
      <x:c r="AI595" s="30" t="n">
        <x:v>46266</x:v>
      </x:c>
      <x:c r="AJ595" s="37" t="n">
        <x:v>5</x:v>
      </x:c>
      <x:c r="AK595" s="10" t="str">
        <x:v>минимум</x:v>
      </x:c>
      <x:c r="AL595" s="32" t="n">
        <x:v>291.4924351780482</x:v>
      </x:c>
      <x:c r="AM59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95" s="13" t="str">
        <x:v>Проверить свободный остаток и установить цену для B2B</x:v>
      </x:c>
      <x:c r="AO595" s="13" t="str">
        <x:v>Остаток 24; прогноз 90 дней 7.00; избыток 16 шт. Будущие поступления не выставляются на продажу. Остаток на начало сентября: требуется актуализация.</x:v>
      </x:c>
      <x:c r="AP595" s="13" t="str">
        <x:v>["category_missing", "daily_stockout_data_missing", "new_order_lead_time_unknown", "reservations_unknown", "stale_stock"]</x:v>
      </x:c>
      <x:c r="AQ595" s="10" t="str">
        <x:v>IEK:130300003_</x:v>
      </x:c>
      <x:c r="AR595" s="24" t="n">
        <x:v>1</x:v>
      </x:c>
      <x:c r="AS595" s="24" t="n">
        <x:v>0</x:v>
      </x:c>
      <x:c r="AT595" s="24" t="n">
        <x:v>0</x:v>
      </x:c>
    </x:row>
    <x:row r="596" ht="64" customHeight="1">
      <x:c r="A596" s="11" t="str">
        <x:v>IEK</x:v>
      </x:c>
      <x:c r="B596" s="33" t="str">
        <x:v>130300004_</x:v>
      </x:c>
      <x:c r="C596" s="33" t="str">
        <x:v>BPU10-4</x:v>
      </x:c>
      <x:c r="D596" s="12" t="str">
        <x:v>Пост тельф.ПКТ-62 (на 4 кноп.) IP54 IEK (5/40)</x:v>
      </x:c>
      <x:c r="E596" s="11" t="str">
        <x:v>шт</x:v>
      </x:c>
      <x:c r="F596" s="35" t="n">
        <x:f>MAX(0,ROUNDDOWN((AG596-AF596)/AR596+0.000000001,0)*AR596)</x:f>
        <x:v>11</x:v>
      </x:c>
      <x:c r="G596" s="20" t="str">
        <x:f>IF(J596="Рассчитано",V596*(1-R596/100)-W596-P596-Q596,"н/д")</x:f>
        <x:v>н/д</x:v>
      </x:c>
      <x:c r="H596" s="12" t="str">
        <x:v>Высокий</x:v>
      </x:c>
      <x:c r="I596" s="12" t="str">
        <x:v>Высокий</x:v>
      </x:c>
      <x:c r="J596" s="12" t="str">
        <x:f>IF(L596="","Укажите валюту",IF(NOT(ISNUMBER(K596)),"Укажите объём",IF(K596&lt;=0,"Укажите объём",IF(K596&gt;F596,"Объём выше излишка",IF(COUNT(M596:O596)&lt;3,"Нужны цены",IF(COUNT(P596:R596)&lt;3,"Нужны расходы",IF(OR(M596&lt;0,N596&lt;0,O596&lt;0,O596&gt;100,P596&lt;0,Q596&lt;0,R596&lt;0,R596&gt;100),"Проверьте значения","Рассчитано")))))))</x:f>
        <x:v>Нужны цены</x:v>
      </x:c>
      <x:c r="K596" s="36" t="n">
        <x:v>11</x:v>
      </x:c>
      <x:c r="L596" s="19" t="str">
        <x:v>KZT</x:v>
      </x:c>
      <x:c r="M596" s="22"/>
      <x:c r="N596" s="22"/>
      <x:c r="O596" s="28"/>
      <x:c r="P596" s="22"/>
      <x:c r="Q596" s="22"/>
      <x:c r="R596" s="28"/>
      <x:c r="S596" s="22"/>
      <x:c r="T596" s="35" t="n">
        <x:f>K596</x:f>
        <x:v>11</x:v>
      </x:c>
      <x:c r="U596" s="20" t="str">
        <x:f>IF(J596="Рассчитано",N596*(1-O596/100),"н/д")</x:f>
        <x:v>н/д</x:v>
      </x:c>
      <x:c r="V596" s="20" t="str">
        <x:f>IF(J596="Рассчитано",T596*U596,"н/д")</x:f>
        <x:v>н/д</x:v>
      </x:c>
      <x:c r="W596" s="20" t="str">
        <x:f>IF(J596="Рассчитано",T596*M596,"н/д")</x:f>
        <x:v>н/д</x:v>
      </x:c>
      <x:c r="X596" s="20" t="str">
        <x:f>IF(J596="Рассчитано",V596-W596,"н/д")</x:f>
        <x:v>н/д</x:v>
      </x:c>
      <x:c r="Y596" s="26" t="str">
        <x:f>IF(J596="Рассчитано",IF(V596&gt;0,G596/V596,"н/д"),"н/д")</x:f>
        <x:v>н/д</x:v>
      </x:c>
      <x:c r="Z596" s="20" t="str">
        <x:f>"н/д"</x:f>
        <x:v>н/д</x:v>
      </x:c>
      <x:c r="AA596" s="20" t="str">
        <x:f>"н/д"</x:f>
        <x:v>н/д</x:v>
      </x:c>
      <x:c r="AB596" s="20" t="str">
        <x:f>"н/д"</x:f>
        <x:v>н/д</x:v>
      </x:c>
      <x:c r="AC596" s="20" t="str">
        <x:f>IF(AND(J596="Рассчитано",T596&gt;0,R596&lt;100),(W596+P596+Q596)/(T596*(1-R596/100)),"н/д")</x:f>
        <x:v>н/д</x:v>
      </x:c>
      <x:c r="AD596" s="11" t="str">
        <x:f>IF(ISNUMBER(G596),IF(G596&lt;0,"Убыток",IF(G596=0,"Без прибыли","Прибыль &gt; 0")),"Не оценён")</x:f>
        <x:v>Не оценён</x:v>
      </x:c>
      <x:c r="AE596" s="12" t="str">
        <x:f>IF(J596="Рассчитано","Выручка "&amp;TEXT(V596,"0.00")&amp;" - себестоимость "&amp;TEXT(W596,"0.00")&amp;" - комиссия "&amp;TEXT(V596*R596/100,"0.00")&amp;" - доставка "&amp;TEXT(P596,"0.00")&amp;" - прочие "&amp;TEXT(Q596,"0.00")&amp;" = "&amp;TEXT(G596,"0.00")&amp;" "&amp;L596,"Введите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6" s="23" t="n">
        <x:v>8.838680128395218</x:v>
      </x:c>
      <x:c r="AG596" s="35" t="n">
        <x:v>20</x:v>
      </x:c>
      <x:c r="AH596" s="35" t="n">
        <x:v>0</x:v>
      </x:c>
      <x:c r="AI596" s="29" t="n">
        <x:v>46266</x:v>
      </x:c>
      <x:c r="AJ596" s="35" t="n">
        <x:v>5</x:v>
      </x:c>
      <x:c r="AK596" s="11" t="str">
        <x:v>минимум</x:v>
      </x:c>
      <x:c r="AL596" s="31" t="n">
        <x:v>192.42505653515303</x:v>
      </x:c>
      <x:c r="AM59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596" s="12" t="str">
        <x:v>Проверить свободный остаток и установить цену для B2B</x:v>
      </x:c>
      <x:c r="AO596" s="12" t="str">
        <x:v>Остаток 20; прогноз 90 дней 8.84; избыток 11 шт. Будущие поступления не выставляются на продажу. Остаток на начало сентября: требуется актуализация.</x:v>
      </x:c>
      <x:c r="AP596" s="12" t="str">
        <x:v>["category_missing", "daily_stockout_data_missing", "new_order_lead_time_unknown", "reservations_unknown", "stale_stock"]</x:v>
      </x:c>
      <x:c r="AQ596" s="11" t="str">
        <x:v>IEK:130300004_</x:v>
      </x:c>
      <x:c r="AR596" s="23" t="n">
        <x:v>1</x:v>
      </x:c>
      <x:c r="AS596" s="23" t="n">
        <x:v>0</x:v>
      </x:c>
      <x:c r="AT596" s="23" t="n">
        <x:v>0</x:v>
      </x:c>
    </x:row>
    <x:row r="597" ht="64" customHeight="1">
      <x:c r="A597" s="10" t="str">
        <x:v>IEK</x:v>
      </x:c>
      <x:c r="B597" s="34" t="str">
        <x:v>130300005_</x:v>
      </x:c>
      <x:c r="C597" s="34" t="str">
        <x:v>TPR10</x:v>
      </x:c>
      <x:c r="D597" s="13" t="str">
        <x:v>Отвертка пробник ОП-1 IEK (120)</x:v>
      </x:c>
      <x:c r="E597" s="10" t="str">
        <x:v>шт</x:v>
      </x:c>
      <x:c r="F597" s="37" t="n">
        <x:f>MAX(0,ROUNDDOWN((AG597-AF597)/AR597+0.000000001,0)*AR597)</x:f>
        <x:v>13</x:v>
      </x:c>
      <x:c r="G597" s="21" t="str">
        <x:f>IF(J597="Рассчитано",V597*(1-R597/100)-W597-P597-Q597,"н/д")</x:f>
        <x:v>н/д</x:v>
      </x:c>
      <x:c r="H597" s="13" t="str">
        <x:v>Высокий</x:v>
      </x:c>
      <x:c r="I597" s="13" t="str">
        <x:v>Средний</x:v>
      </x:c>
      <x:c r="J597" s="13" t="str">
        <x:f>IF(L597="","Укажите валюту",IF(NOT(ISNUMBER(K597)),"Укажите объём",IF(K597&lt;=0,"Укажите объём",IF(K597&gt;F597,"Объём выше излишка",IF(COUNT(M597:O597)&lt;3,"Нужны цены",IF(COUNT(P597:R597)&lt;3,"Нужны расходы",IF(OR(M597&lt;0,N597&lt;0,O597&lt;0,O597&gt;100,P597&lt;0,Q597&lt;0,R597&lt;0,R597&gt;100),"Проверьте значения","Рассчитано")))))))</x:f>
        <x:v>Нужны цены</x:v>
      </x:c>
      <x:c r="K597" s="36" t="n">
        <x:v>13</x:v>
      </x:c>
      <x:c r="L597" s="19" t="str">
        <x:v>KZT</x:v>
      </x:c>
      <x:c r="M597" s="22"/>
      <x:c r="N597" s="22"/>
      <x:c r="O597" s="28"/>
      <x:c r="P597" s="22"/>
      <x:c r="Q597" s="22"/>
      <x:c r="R597" s="28"/>
      <x:c r="S597" s="22"/>
      <x:c r="T597" s="37" t="n">
        <x:f>K597</x:f>
        <x:v>13</x:v>
      </x:c>
      <x:c r="U597" s="21" t="str">
        <x:f>IF(J597="Рассчитано",N597*(1-O597/100),"н/д")</x:f>
        <x:v>н/д</x:v>
      </x:c>
      <x:c r="V597" s="21" t="str">
        <x:f>IF(J597="Рассчитано",T597*U597,"н/д")</x:f>
        <x:v>н/д</x:v>
      </x:c>
      <x:c r="W597" s="21" t="str">
        <x:f>IF(J597="Рассчитано",T597*M597,"н/д")</x:f>
        <x:v>н/д</x:v>
      </x:c>
      <x:c r="X597" s="21" t="str">
        <x:f>IF(J597="Рассчитано",V597-W597,"н/д")</x:f>
        <x:v>н/д</x:v>
      </x:c>
      <x:c r="Y597" s="27" t="str">
        <x:f>IF(J597="Рассчитано",IF(V597&gt;0,G597/V597,"н/д"),"н/д")</x:f>
        <x:v>н/д</x:v>
      </x:c>
      <x:c r="Z597" s="21" t="str">
        <x:f>"н/д"</x:f>
        <x:v>н/д</x:v>
      </x:c>
      <x:c r="AA597" s="21" t="str">
        <x:f>"н/д"</x:f>
        <x:v>н/д</x:v>
      </x:c>
      <x:c r="AB597" s="21" t="str">
        <x:f>"н/д"</x:f>
        <x:v>н/д</x:v>
      </x:c>
      <x:c r="AC597" s="21" t="str">
        <x:f>IF(AND(J597="Рассчитано",T597&gt;0,R597&lt;100),(W597+P597+Q597)/(T597*(1-R597/100)),"н/д")</x:f>
        <x:v>н/д</x:v>
      </x:c>
      <x:c r="AD597" s="10" t="str">
        <x:f>IF(ISNUMBER(G597),IF(G597&lt;0,"Убыток",IF(G597=0,"Без прибыли","Прибыль &gt; 0")),"Не оценён")</x:f>
        <x:v>Не оценён</x:v>
      </x:c>
      <x:c r="AE597" s="13" t="str">
        <x:f>IF(J597="Рассчитано","Выручка "&amp;TEXT(V597,"0.00")&amp;" - себестоимость "&amp;TEXT(W597,"0.00")&amp;" - комиссия "&amp;TEXT(V597*R597/100,"0.00")&amp;" - доставка "&amp;TEXT(P597,"0.00")&amp;" - прочие "&amp;TEXT(Q597,"0.00")&amp;" = "&amp;TEXT(G597,"0.00")&amp;" "&amp;L597,"Введите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7" s="24" t="n">
        <x:v>24.985923386879676</x:v>
      </x:c>
      <x:c r="AG597" s="37" t="n">
        <x:v>38</x:v>
      </x:c>
      <x:c r="AH597" s="37" t="n">
        <x:v>0</x:v>
      </x:c>
      <x:c r="AI597" s="30" t="n">
        <x:v>46266</x:v>
      </x:c>
      <x:c r="AJ597" s="37" t="n">
        <x:v>1</x:v>
      </x:c>
      <x:c r="AK597" s="10" t="str">
        <x:v>минимум</x:v>
      </x:c>
      <x:c r="AL597" s="32" t="n">
        <x:v>129.33237024819314</x:v>
      </x:c>
      <x:c r="AM59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597" s="13" t="str">
        <x:v>Проверить свободный остаток и установить цену для B2B</x:v>
      </x:c>
      <x:c r="AO597" s="13" t="str">
        <x:v>Остаток 38; прогноз 90 дней 24.99; избыток 13 шт. Будущие поступления не выставляются на продажу. Остаток на начало сентября: требуется актуализация.</x:v>
      </x:c>
      <x:c r="AP597" s="13" t="str">
        <x:v>["category_missing", "daily_stockout_data_missing", "large_orders_detected", "new_order_lead_time_unknown", "reservations_unknown", "stale_stock", "transaction_month_mismatch"]</x:v>
      </x:c>
      <x:c r="AQ597" s="10" t="str">
        <x:v>IEK:130300005_</x:v>
      </x:c>
      <x:c r="AR597" s="24" t="n">
        <x:v>1</x:v>
      </x:c>
      <x:c r="AS597" s="24" t="n">
        <x:v>0</x:v>
      </x:c>
      <x:c r="AT597" s="24" t="n">
        <x:v>0</x:v>
      </x:c>
    </x:row>
    <x:row r="598" ht="64" customHeight="1">
      <x:c r="A598" s="11" t="str">
        <x:v>IEK</x:v>
      </x:c>
      <x:c r="B598" s="33" t="str">
        <x:v>130300006_</x:v>
      </x:c>
      <x:c r="C598" s="33" t="str">
        <x:v>TPR20</x:v>
      </x:c>
      <x:c r="D598" s="12" t="str">
        <x:v>Отвертка пробник ОП-2Э IEK (120)</x:v>
      </x:c>
      <x:c r="E598" s="11" t="str">
        <x:v>шт</x:v>
      </x:c>
      <x:c r="F598" s="35" t="n">
        <x:f>MAX(0,ROUNDDOWN((AG598-AF598)/AR598+0.000000001,0)*AR598)</x:f>
        <x:v>35</x:v>
      </x:c>
      <x:c r="G598" s="20" t="str">
        <x:f>IF(J598="Рассчитано",V598*(1-R598/100)-W598-P598-Q598,"н/д")</x:f>
        <x:v>н/д</x:v>
      </x:c>
      <x:c r="H598" s="12" t="str">
        <x:v>Высокий</x:v>
      </x:c>
      <x:c r="I598" s="12" t="str">
        <x:v>Высокий</x:v>
      </x:c>
      <x:c r="J598" s="12" t="str">
        <x:f>IF(L598="","Укажите валюту",IF(NOT(ISNUMBER(K598)),"Укажите объём",IF(K598&lt;=0,"Укажите объём",IF(K598&gt;F598,"Объём выше излишка",IF(COUNT(M598:O598)&lt;3,"Нужны цены",IF(COUNT(P598:R598)&lt;3,"Нужны расходы",IF(OR(M598&lt;0,N598&lt;0,O598&lt;0,O598&gt;100,P598&lt;0,Q598&lt;0,R598&lt;0,R598&gt;100),"Проверьте значения","Рассчитано")))))))</x:f>
        <x:v>Нужны цены</x:v>
      </x:c>
      <x:c r="K598" s="36" t="n">
        <x:v>35</x:v>
      </x:c>
      <x:c r="L598" s="19" t="str">
        <x:v>KZT</x:v>
      </x:c>
      <x:c r="M598" s="22"/>
      <x:c r="N598" s="22"/>
      <x:c r="O598" s="28"/>
      <x:c r="P598" s="22"/>
      <x:c r="Q598" s="22"/>
      <x:c r="R598" s="28"/>
      <x:c r="S598" s="22"/>
      <x:c r="T598" s="35" t="n">
        <x:f>K598</x:f>
        <x:v>35</x:v>
      </x:c>
      <x:c r="U598" s="20" t="str">
        <x:f>IF(J598="Рассчитано",N598*(1-O598/100),"н/д")</x:f>
        <x:v>н/д</x:v>
      </x:c>
      <x:c r="V598" s="20" t="str">
        <x:f>IF(J598="Рассчитано",T598*U598,"н/д")</x:f>
        <x:v>н/д</x:v>
      </x:c>
      <x:c r="W598" s="20" t="str">
        <x:f>IF(J598="Рассчитано",T598*M598,"н/д")</x:f>
        <x:v>н/д</x:v>
      </x:c>
      <x:c r="X598" s="20" t="str">
        <x:f>IF(J598="Рассчитано",V598-W598,"н/д")</x:f>
        <x:v>н/д</x:v>
      </x:c>
      <x:c r="Y598" s="26" t="str">
        <x:f>IF(J598="Рассчитано",IF(V598&gt;0,G598/V598,"н/д"),"н/д")</x:f>
        <x:v>н/д</x:v>
      </x:c>
      <x:c r="Z598" s="20" t="str">
        <x:f>"н/д"</x:f>
        <x:v>н/д</x:v>
      </x:c>
      <x:c r="AA598" s="20" t="str">
        <x:f>"н/д"</x:f>
        <x:v>н/д</x:v>
      </x:c>
      <x:c r="AB598" s="20" t="str">
        <x:f>"н/д"</x:f>
        <x:v>н/д</x:v>
      </x:c>
      <x:c r="AC598" s="20" t="str">
        <x:f>IF(AND(J598="Рассчитано",T598&gt;0,R598&lt;100),(W598+P598+Q598)/(T598*(1-R598/100)),"н/д")</x:f>
        <x:v>н/д</x:v>
      </x:c>
      <x:c r="AD598" s="11" t="str">
        <x:f>IF(ISNUMBER(G598),IF(G598&lt;0,"Убыток",IF(G598=0,"Без прибыли","Прибыль &gt; 0")),"Не оценён")</x:f>
        <x:v>Не оценён</x:v>
      </x:c>
      <x:c r="AE598" s="12" t="str">
        <x:f>IF(J598="Рассчитано","Выручка "&amp;TEXT(V598,"0.00")&amp;" - себестоимость "&amp;TEXT(W598,"0.00")&amp;" - комиссия "&amp;TEXT(V598*R598/100,"0.00")&amp;" - доставка "&amp;TEXT(P598,"0.00")&amp;" - прочие "&amp;TEXT(Q598,"0.00")&amp;" = "&amp;TEXT(G598,"0.00")&amp;" "&amp;L598,"Введите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8" s="23" t="n">
        <x:v>28.516564896889616</x:v>
      </x:c>
      <x:c r="AG598" s="35" t="n">
        <x:v>64</x:v>
      </x:c>
      <x:c r="AH598" s="35" t="n">
        <x:v>0</x:v>
      </x:c>
      <x:c r="AI598" s="29" t="n">
        <x:v>46266</x:v>
      </x:c>
      <x:c r="AJ598" s="35" t="n">
        <x:v>1</x:v>
      </x:c>
      <x:c r="AK598" s="11" t="str">
        <x:v>минимум</x:v>
      </x:c>
      <x:c r="AL598" s="31" t="n">
        <x:v>190.85423838976823</x:v>
      </x:c>
      <x:c r="AM598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598" s="12" t="str">
        <x:v>Проверить свободный остаток и установить цену для B2B</x:v>
      </x:c>
      <x:c r="AO598" s="12" t="str">
        <x:v>Остаток 64; прогноз 90 дней 28.52; избыток 35 шт. Будущие поступления не выставляются на продажу. Остаток на начало сентября: требуется актуализация.</x:v>
      </x:c>
      <x:c r="AP598" s="12" t="str">
        <x:v>["category_missing", "daily_stockout_data_missing", "large_orders_detected", "new_order_lead_time_unknown", "reservations_unknown", "stale_stock", "transaction_month_mismatch"]</x:v>
      </x:c>
      <x:c r="AQ598" s="11" t="str">
        <x:v>IEK:130300006_</x:v>
      </x:c>
      <x:c r="AR598" s="23" t="n">
        <x:v>1</x:v>
      </x:c>
      <x:c r="AS598" s="23" t="n">
        <x:v>0</x:v>
      </x:c>
      <x:c r="AT598" s="23" t="n">
        <x:v>0</x:v>
      </x:c>
    </x:row>
    <x:row r="599" ht="64" customHeight="1">
      <x:c r="A599" s="10" t="str">
        <x:v>IEK</x:v>
      </x:c>
      <x:c r="B599" s="34" t="str">
        <x:v>130300040_</x:v>
      </x:c>
      <x:c r="C599" s="34" t="str">
        <x:v>YZN10-035-K03</x:v>
      </x:c>
      <x:c r="D599" s="13" t="str">
        <x:v>ЗНИ 35мм ² (125) серый  IEK (30)</x:v>
      </x:c>
      <x:c r="E599" s="10" t="str">
        <x:v>шт</x:v>
      </x:c>
      <x:c r="F599" s="37" t="n">
        <x:f>MAX(0,ROUNDDOWN((AG599-AF599)/AR599+0.000000001,0)*AR599)</x:f>
        <x:v>2</x:v>
      </x:c>
      <x:c r="G599" s="21" t="str">
        <x:f>IF(J599="Рассчитано",V599*(1-R599/100)-W599-P599-Q599,"н/д")</x:f>
        <x:v>н/д</x:v>
      </x:c>
      <x:c r="H599" s="13" t="str">
        <x:v>Высокий</x:v>
      </x:c>
      <x:c r="I599" s="13" t="str">
        <x:v>Высокий</x:v>
      </x:c>
      <x:c r="J599" s="13" t="str">
        <x:f>IF(L599="","Укажите валюту",IF(NOT(ISNUMBER(K599)),"Укажите объём",IF(K599&lt;=0,"Укажите объём",IF(K599&gt;F599,"Объём выше излишка",IF(COUNT(M599:O599)&lt;3,"Нужны цены",IF(COUNT(P599:R599)&lt;3,"Нужны расходы",IF(OR(M599&lt;0,N599&lt;0,O599&lt;0,O599&gt;100,P599&lt;0,Q599&lt;0,R599&lt;0,R599&gt;100),"Проверьте значения","Рассчитано")))))))</x:f>
        <x:v>Нужны цены</x:v>
      </x:c>
      <x:c r="K599" s="36" t="n">
        <x:v>2</x:v>
      </x:c>
      <x:c r="L599" s="19" t="str">
        <x:v>KZT</x:v>
      </x:c>
      <x:c r="M599" s="22"/>
      <x:c r="N599" s="22"/>
      <x:c r="O599" s="28"/>
      <x:c r="P599" s="22"/>
      <x:c r="Q599" s="22"/>
      <x:c r="R599" s="28"/>
      <x:c r="S599" s="22"/>
      <x:c r="T599" s="37" t="n">
        <x:f>K599</x:f>
        <x:v>2</x:v>
      </x:c>
      <x:c r="U599" s="21" t="str">
        <x:f>IF(J599="Рассчитано",N599*(1-O599/100),"н/д")</x:f>
        <x:v>н/д</x:v>
      </x:c>
      <x:c r="V599" s="21" t="str">
        <x:f>IF(J599="Рассчитано",T599*U599,"н/д")</x:f>
        <x:v>н/д</x:v>
      </x:c>
      <x:c r="W599" s="21" t="str">
        <x:f>IF(J599="Рассчитано",T599*M599,"н/д")</x:f>
        <x:v>н/д</x:v>
      </x:c>
      <x:c r="X599" s="21" t="str">
        <x:f>IF(J599="Рассчитано",V599-W599,"н/д")</x:f>
        <x:v>н/д</x:v>
      </x:c>
      <x:c r="Y599" s="27" t="str">
        <x:f>IF(J599="Рассчитано",IF(V599&gt;0,G599/V599,"н/д"),"н/д")</x:f>
        <x:v>н/д</x:v>
      </x:c>
      <x:c r="Z599" s="21" t="str">
        <x:f>"н/д"</x:f>
        <x:v>н/д</x:v>
      </x:c>
      <x:c r="AA599" s="21" t="str">
        <x:f>"н/д"</x:f>
        <x:v>н/д</x:v>
      </x:c>
      <x:c r="AB599" s="21" t="str">
        <x:f>"н/д"</x:f>
        <x:v>н/д</x:v>
      </x:c>
      <x:c r="AC599" s="21" t="str">
        <x:f>IF(AND(J599="Рассчитано",T599&gt;0,R599&lt;100),(W599+P599+Q599)/(T599*(1-R599/100)),"н/д")</x:f>
        <x:v>н/д</x:v>
      </x:c>
      <x:c r="AD599" s="10" t="str">
        <x:f>IF(ISNUMBER(G599),IF(G599&lt;0,"Убыток",IF(G599=0,"Без прибыли","Прибыль &gt; 0")),"Не оценён")</x:f>
        <x:v>Не оценён</x:v>
      </x:c>
      <x:c r="AE599" s="13" t="str">
        <x:f>IF(J599="Рассчитано","Выручка "&amp;TEXT(V599,"0.00")&amp;" - себестоимость "&amp;TEXT(W599,"0.00")&amp;" - комиссия "&amp;TEXT(V599*R599/100,"0.00")&amp;" - доставка "&amp;TEXT(P599,"0.00")&amp;" - прочие "&amp;TEXT(Q599,"0.00")&amp;" = "&amp;TEXT(G599,"0.00")&amp;" "&amp;L599,"Введите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9" s="24" t="n">
        <x:v>0</x:v>
      </x:c>
      <x:c r="AG599" s="37" t="n">
        <x:v>2</x:v>
      </x:c>
      <x:c r="AH599" s="37" t="n">
        <x:v>0</x:v>
      </x:c>
      <x:c r="AI599" s="30" t="n">
        <x:v>46266</x:v>
      </x:c>
      <x:c r="AJ599" s="37"/>
      <x:c r="AK599" s="10" t="str">
        <x:v>неизвестно</x:v>
      </x:c>
      <x:c r="AL599" s="32" t="str">
        <x:v>н/д</x:v>
      </x:c>
      <x:c r="AM59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599" s="13" t="str">
        <x:v>Проверить свободный остаток и установить цену для B2B</x:v>
      </x:c>
      <x:c r="AO599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599" s="13" t="str">
        <x:v>["category_missing", "daily_stockout_data_missing", "moq_missing", "new_order_lead_time_unknown", "reservations_unknown", "stale_stock"]</x:v>
      </x:c>
      <x:c r="AQ599" s="10" t="str">
        <x:v>IEK:130300040_</x:v>
      </x:c>
      <x:c r="AR599" s="24" t="n">
        <x:v>1</x:v>
      </x:c>
      <x:c r="AS599" s="24" t="n">
        <x:v>0</x:v>
      </x:c>
      <x:c r="AT599" s="24" t="n">
        <x:v>0</x:v>
      </x:c>
    </x:row>
    <x:row r="600" ht="64" customHeight="1">
      <x:c r="A600" s="11" t="str">
        <x:v>IEK</x:v>
      </x:c>
      <x:c r="B600" s="33" t="str">
        <x:v>130300080_</x:v>
      </x:c>
      <x:c r="C600" s="33" t="str">
        <x:v>BBD21-PPBB-K51</x:v>
      </x:c>
      <x:c r="D600" s="12" t="str">
        <x:v>Кнопка PPВВ-30N "ПУСК-СТОП" Ø30мм IEK (10/200)</x:v>
      </x:c>
      <x:c r="E600" s="11" t="str">
        <x:v>шт</x:v>
      </x:c>
      <x:c r="F600" s="35" t="n">
        <x:f>MAX(0,ROUNDDOWN((AG600-AF600)/AR600+0.000000001,0)*AR600)</x:f>
        <x:v>70</x:v>
      </x:c>
      <x:c r="G600" s="20" t="str">
        <x:f>IF(J600="Рассчитано",V600*(1-R600/100)-W600-P600-Q600,"н/д")</x:f>
        <x:v>н/д</x:v>
      </x:c>
      <x:c r="H600" s="12" t="str">
        <x:v>Высокий</x:v>
      </x:c>
      <x:c r="I600" s="12" t="str">
        <x:v>Высокий</x:v>
      </x:c>
      <x:c r="J600" s="12" t="str">
        <x:f>IF(L600="","Укажите валюту",IF(NOT(ISNUMBER(K600)),"Укажите объём",IF(K600&lt;=0,"Укажите объём",IF(K600&gt;F600,"Объём выше излишка",IF(COUNT(M600:O600)&lt;3,"Нужны цены",IF(COUNT(P600:R600)&lt;3,"Нужны расходы",IF(OR(M600&lt;0,N600&lt;0,O600&lt;0,O600&gt;100,P600&lt;0,Q600&lt;0,R600&lt;0,R600&gt;100),"Проверьте значения","Рассчитано")))))))</x:f>
        <x:v>Нужны цены</x:v>
      </x:c>
      <x:c r="K600" s="36" t="n">
        <x:v>70</x:v>
      </x:c>
      <x:c r="L600" s="19" t="str">
        <x:v>KZT</x:v>
      </x:c>
      <x:c r="M600" s="22"/>
      <x:c r="N600" s="22"/>
      <x:c r="O600" s="28"/>
      <x:c r="P600" s="22"/>
      <x:c r="Q600" s="22"/>
      <x:c r="R600" s="28"/>
      <x:c r="S600" s="22"/>
      <x:c r="T600" s="35" t="n">
        <x:f>K600</x:f>
        <x:v>70</x:v>
      </x:c>
      <x:c r="U600" s="20" t="str">
        <x:f>IF(J600="Рассчитано",N600*(1-O600/100),"н/д")</x:f>
        <x:v>н/д</x:v>
      </x:c>
      <x:c r="V600" s="20" t="str">
        <x:f>IF(J600="Рассчитано",T600*U600,"н/д")</x:f>
        <x:v>н/д</x:v>
      </x:c>
      <x:c r="W600" s="20" t="str">
        <x:f>IF(J600="Рассчитано",T600*M600,"н/д")</x:f>
        <x:v>н/д</x:v>
      </x:c>
      <x:c r="X600" s="20" t="str">
        <x:f>IF(J600="Рассчитано",V600-W600,"н/д")</x:f>
        <x:v>н/д</x:v>
      </x:c>
      <x:c r="Y600" s="26" t="str">
        <x:f>IF(J600="Рассчитано",IF(V600&gt;0,G600/V600,"н/д"),"н/д")</x:f>
        <x:v>н/д</x:v>
      </x:c>
      <x:c r="Z600" s="20" t="str">
        <x:f>"н/д"</x:f>
        <x:v>н/д</x:v>
      </x:c>
      <x:c r="AA600" s="20" t="str">
        <x:f>"н/д"</x:f>
        <x:v>н/д</x:v>
      </x:c>
      <x:c r="AB600" s="20" t="str">
        <x:f>"н/д"</x:f>
        <x:v>н/д</x:v>
      </x:c>
      <x:c r="AC600" s="20" t="str">
        <x:f>IF(AND(J600="Рассчитано",T600&gt;0,R600&lt;100),(W600+P600+Q600)/(T600*(1-R600/100)),"н/д")</x:f>
        <x:v>н/д</x:v>
      </x:c>
      <x:c r="AD600" s="11" t="str">
        <x:f>IF(ISNUMBER(G600),IF(G600&lt;0,"Убыток",IF(G600=0,"Без прибыли","Прибыль &gt; 0")),"Не оценён")</x:f>
        <x:v>Не оценён</x:v>
      </x:c>
      <x:c r="AE600" s="12" t="str">
        <x:f>IF(J600="Рассчитано","Выручка "&amp;TEXT(V600,"0.00")&amp;" - себестоимость "&amp;TEXT(W600,"0.00")&amp;" - комиссия "&amp;TEXT(V600*R600/100,"0.00")&amp;" - доставка "&amp;TEXT(P600,"0.00")&amp;" - прочие "&amp;TEXT(Q600,"0.00")&amp;" = "&amp;TEXT(G600,"0.00")&amp;" "&amp;L600,"Введите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0" s="23" t="n">
        <x:v>60.13380206413558</x:v>
      </x:c>
      <x:c r="AG600" s="35" t="n">
        <x:v>131</x:v>
      </x:c>
      <x:c r="AH600" s="35" t="n">
        <x:v>0</x:v>
      </x:c>
      <x:c r="AI600" s="29" t="n">
        <x:v>46266</x:v>
      </x:c>
      <x:c r="AJ600" s="35" t="n">
        <x:v>10</x:v>
      </x:c>
      <x:c r="AK600" s="11" t="str">
        <x:v>минимум</x:v>
      </x:c>
      <x:c r="AL600" s="31" t="n">
        <x:v>185.25574129514416</x:v>
      </x:c>
      <x:c r="AM600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600" s="12" t="str">
        <x:v>Проверить свободный остаток и установить цену для B2B</x:v>
      </x:c>
      <x:c r="AO600" s="12" t="str">
        <x:v>Остаток 131; прогноз 90 дней 60.13; избыток 70 шт. Будущие поступления не выставляются на продажу. Остаток на начало сентября: требуется актуализация.</x:v>
      </x:c>
      <x:c r="AP600" s="12" t="str">
        <x:v>["category_missing", "daily_stockout_data_missing", "large_orders_detected", "new_order_lead_time_unknown", "reservations_unknown", "stale_stock", "transaction_month_mismatch"]</x:v>
      </x:c>
      <x:c r="AQ600" s="11" t="str">
        <x:v>IEK:130300080_</x:v>
      </x:c>
      <x:c r="AR600" s="23" t="n">
        <x:v>1</x:v>
      </x:c>
      <x:c r="AS600" s="23" t="n">
        <x:v>0</x:v>
      </x:c>
      <x:c r="AT600" s="23" t="n">
        <x:v>0</x:v>
      </x:c>
    </x:row>
    <x:row r="601" ht="64" customHeight="1">
      <x:c r="A601" s="10" t="str">
        <x:v>IEK</x:v>
      </x:c>
      <x:c r="B601" s="34" t="str">
        <x:v>130300101_</x:v>
      </x:c>
      <x:c r="C601" s="34" t="str">
        <x:v>BSW10-AKS-2-K02</x:v>
      </x:c>
      <x:c r="D601" s="13" t="str">
        <x:v>Переключатель AKS-22  (черный с ключом на 2 фикс.полож.) IEK (10/200)</x:v>
      </x:c>
      <x:c r="E601" s="10" t="str">
        <x:v>шт</x:v>
      </x:c>
      <x:c r="F601" s="37" t="n">
        <x:f>MAX(0,ROUNDDOWN((AG601-AF601)/AR601+0.000000001,0)*AR601)</x:f>
        <x:v>12</x:v>
      </x:c>
      <x:c r="G601" s="21" t="str">
        <x:f>IF(J601="Рассчитано",V601*(1-R601/100)-W601-P601-Q601,"н/д")</x:f>
        <x:v>н/д</x:v>
      </x:c>
      <x:c r="H601" s="13" t="str">
        <x:v>Высокий</x:v>
      </x:c>
      <x:c r="I601" s="13" t="str">
        <x:v>Высокий</x:v>
      </x:c>
      <x:c r="J601" s="13" t="str">
        <x:f>IF(L601="","Укажите валюту",IF(NOT(ISNUMBER(K601)),"Укажите объём",IF(K601&lt;=0,"Укажите объём",IF(K601&gt;F601,"Объём выше излишка",IF(COUNT(M601:O601)&lt;3,"Нужны цены",IF(COUNT(P601:R601)&lt;3,"Нужны расходы",IF(OR(M601&lt;0,N601&lt;0,O601&lt;0,O601&gt;100,P601&lt;0,Q601&lt;0,R601&lt;0,R601&gt;100),"Проверьте значения","Рассчитано")))))))</x:f>
        <x:v>Нужны цены</x:v>
      </x:c>
      <x:c r="K601" s="36" t="n">
        <x:v>12</x:v>
      </x:c>
      <x:c r="L601" s="19" t="str">
        <x:v>KZT</x:v>
      </x:c>
      <x:c r="M601" s="22"/>
      <x:c r="N601" s="22"/>
      <x:c r="O601" s="28"/>
      <x:c r="P601" s="22"/>
      <x:c r="Q601" s="22"/>
      <x:c r="R601" s="28"/>
      <x:c r="S601" s="22"/>
      <x:c r="T601" s="37" t="n">
        <x:f>K601</x:f>
        <x:v>12</x:v>
      </x:c>
      <x:c r="U601" s="21" t="str">
        <x:f>IF(J601="Рассчитано",N601*(1-O601/100),"н/д")</x:f>
        <x:v>н/д</x:v>
      </x:c>
      <x:c r="V601" s="21" t="str">
        <x:f>IF(J601="Рассчитано",T601*U601,"н/д")</x:f>
        <x:v>н/д</x:v>
      </x:c>
      <x:c r="W601" s="21" t="str">
        <x:f>IF(J601="Рассчитано",T601*M601,"н/д")</x:f>
        <x:v>н/д</x:v>
      </x:c>
      <x:c r="X601" s="21" t="str">
        <x:f>IF(J601="Рассчитано",V601-W601,"н/д")</x:f>
        <x:v>н/д</x:v>
      </x:c>
      <x:c r="Y601" s="27" t="str">
        <x:f>IF(J601="Рассчитано",IF(V601&gt;0,G601/V601,"н/д"),"н/д")</x:f>
        <x:v>н/д</x:v>
      </x:c>
      <x:c r="Z601" s="21" t="str">
        <x:f>"н/д"</x:f>
        <x:v>н/д</x:v>
      </x:c>
      <x:c r="AA601" s="21" t="str">
        <x:f>"н/д"</x:f>
        <x:v>н/д</x:v>
      </x:c>
      <x:c r="AB601" s="21" t="str">
        <x:f>"н/д"</x:f>
        <x:v>н/д</x:v>
      </x:c>
      <x:c r="AC601" s="21" t="str">
        <x:f>IF(AND(J601="Рассчитано",T601&gt;0,R601&lt;100),(W601+P601+Q601)/(T601*(1-R601/100)),"н/д")</x:f>
        <x:v>н/д</x:v>
      </x:c>
      <x:c r="AD601" s="10" t="str">
        <x:f>IF(ISNUMBER(G601),IF(G601&lt;0,"Убыток",IF(G601=0,"Без прибыли","Прибыль &gt; 0")),"Не оценён")</x:f>
        <x:v>Не оценён</x:v>
      </x:c>
      <x:c r="AE601" s="13" t="str">
        <x:f>IF(J601="Рассчитано","Выручка "&amp;TEXT(V601,"0.00")&amp;" - себестоимость "&amp;TEXT(W601,"0.00")&amp;" - комиссия "&amp;TEXT(V601*R601/100,"0.00")&amp;" - доставка "&amp;TEXT(P601,"0.00")&amp;" - прочие "&amp;TEXT(Q601,"0.00")&amp;" = "&amp;TEXT(G601,"0.00")&amp;" "&amp;L601,"Введите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1" s="24" t="n">
        <x:v>9.315826608490992</x:v>
      </x:c>
      <x:c r="AG601" s="37" t="n">
        <x:v>22</x:v>
      </x:c>
      <x:c r="AH601" s="37" t="n">
        <x:v>0</x:v>
      </x:c>
      <x:c r="AI601" s="30" t="n">
        <x:v>46266</x:v>
      </x:c>
      <x:c r="AJ601" s="37" t="n">
        <x:v>10</x:v>
      </x:c>
      <x:c r="AK601" s="10" t="str">
        <x:v>минимум</x:v>
      </x:c>
      <x:c r="AL601" s="32" t="n">
        <x:v>200.82618047416514</x:v>
      </x:c>
      <x:c r="AM60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01" s="13" t="str">
        <x:v>Проверить свободный остаток и установить цену для B2B</x:v>
      </x:c>
      <x:c r="AO601" s="13" t="str">
        <x:v>Остаток 22; прогноз 90 дней 9.32; избыток 12 шт. Будущие поступления не выставляются на продажу. Остаток на начало сентября: требуется актуализация.</x:v>
      </x:c>
      <x:c r="AP601" s="13" t="str">
        <x:v>["category_missing", "daily_stockout_data_missing", "new_order_lead_time_unknown", "reservations_unknown", "stale_stock"]</x:v>
      </x:c>
      <x:c r="AQ601" s="10" t="str">
        <x:v>IEK:130300101_</x:v>
      </x:c>
      <x:c r="AR601" s="24" t="n">
        <x:v>1</x:v>
      </x:c>
      <x:c r="AS601" s="24" t="n">
        <x:v>0</x:v>
      </x:c>
      <x:c r="AT601" s="24" t="n">
        <x:v>0</x:v>
      </x:c>
    </x:row>
    <x:row r="602" ht="64" customHeight="1">
      <x:c r="A602" s="11" t="str">
        <x:v>IEK</x:v>
      </x:c>
      <x:c r="B602" s="33" t="str">
        <x:v>130300103_</x:v>
      </x:c>
      <x:c r="C602" s="33" t="str">
        <x:v>KPK10-11</x:v>
      </x:c>
      <x:c r="D602" s="12" t="str">
        <x:v>Приставка ПКИ 11 1з+1р IEK (1/250)</x:v>
      </x:c>
      <x:c r="E602" s="11" t="str">
        <x:v>шт</x:v>
      </x:c>
      <x:c r="F602" s="35" t="n">
        <x:f>MAX(0,ROUNDDOWN((AG602-AF602)/AR602+0.000000001,0)*AR602)</x:f>
        <x:v>169</x:v>
      </x:c>
      <x:c r="G602" s="20" t="str">
        <x:f>IF(J602="Рассчитано",V602*(1-R602/100)-W602-P602-Q602,"н/д")</x:f>
        <x:v>н/д</x:v>
      </x:c>
      <x:c r="H602" s="12" t="str">
        <x:v>Высокий</x:v>
      </x:c>
      <x:c r="I602" s="12" t="str">
        <x:v>Высокий</x:v>
      </x:c>
      <x:c r="J602" s="12" t="str">
        <x:f>IF(L602="","Укажите валюту",IF(NOT(ISNUMBER(K602)),"Укажите объём",IF(K602&lt;=0,"Укажите объём",IF(K602&gt;F602,"Объём выше излишка",IF(COUNT(M602:O602)&lt;3,"Нужны цены",IF(COUNT(P602:R602)&lt;3,"Нужны расходы",IF(OR(M602&lt;0,N602&lt;0,O602&lt;0,O602&gt;100,P602&lt;0,Q602&lt;0,R602&lt;0,R602&gt;100),"Проверьте значения","Рассчитано")))))))</x:f>
        <x:v>Нужны цены</x:v>
      </x:c>
      <x:c r="K602" s="36" t="n">
        <x:v>169</x:v>
      </x:c>
      <x:c r="L602" s="19" t="str">
        <x:v>KZT</x:v>
      </x:c>
      <x:c r="M602" s="22"/>
      <x:c r="N602" s="22"/>
      <x:c r="O602" s="28"/>
      <x:c r="P602" s="22"/>
      <x:c r="Q602" s="22"/>
      <x:c r="R602" s="28"/>
      <x:c r="S602" s="22"/>
      <x:c r="T602" s="35" t="n">
        <x:f>K602</x:f>
        <x:v>169</x:v>
      </x:c>
      <x:c r="U602" s="20" t="str">
        <x:f>IF(J602="Рассчитано",N602*(1-O602/100),"н/д")</x:f>
        <x:v>н/д</x:v>
      </x:c>
      <x:c r="V602" s="20" t="str">
        <x:f>IF(J602="Рассчитано",T602*U602,"н/д")</x:f>
        <x:v>н/д</x:v>
      </x:c>
      <x:c r="W602" s="20" t="str">
        <x:f>IF(J602="Рассчитано",T602*M602,"н/д")</x:f>
        <x:v>н/д</x:v>
      </x:c>
      <x:c r="X602" s="20" t="str">
        <x:f>IF(J602="Рассчитано",V602-W602,"н/д")</x:f>
        <x:v>н/д</x:v>
      </x:c>
      <x:c r="Y602" s="26" t="str">
        <x:f>IF(J602="Рассчитано",IF(V602&gt;0,G602/V602,"н/д"),"н/д")</x:f>
        <x:v>н/д</x:v>
      </x:c>
      <x:c r="Z602" s="20" t="str">
        <x:f>"н/д"</x:f>
        <x:v>н/д</x:v>
      </x:c>
      <x:c r="AA602" s="20" t="str">
        <x:f>"н/д"</x:f>
        <x:v>н/д</x:v>
      </x:c>
      <x:c r="AB602" s="20" t="str">
        <x:f>"н/д"</x:f>
        <x:v>н/д</x:v>
      </x:c>
      <x:c r="AC602" s="20" t="str">
        <x:f>IF(AND(J602="Рассчитано",T602&gt;0,R602&lt;100),(W602+P602+Q602)/(T602*(1-R602/100)),"н/д")</x:f>
        <x:v>н/д</x:v>
      </x:c>
      <x:c r="AD602" s="11" t="str">
        <x:f>IF(ISNUMBER(G602),IF(G602&lt;0,"Убыток",IF(G602=0,"Без прибыли","Прибыль &gt; 0")),"Не оценён")</x:f>
        <x:v>Не оценён</x:v>
      </x:c>
      <x:c r="AE602" s="12" t="str">
        <x:f>IF(J602="Рассчитано","Выручка "&amp;TEXT(V602,"0.00")&amp;" - себестоимость "&amp;TEXT(W602,"0.00")&amp;" - комиссия "&amp;TEXT(V602*R602/100,"0.00")&amp;" - доставка "&amp;TEXT(P602,"0.00")&amp;" - прочие "&amp;TEXT(Q602,"0.00")&amp;" = "&amp;TEXT(G602,"0.00")&amp;" "&amp;L602,"Введите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2" s="23" t="n">
        <x:v>51.62745762662237</x:v>
      </x:c>
      <x:c r="AG602" s="35" t="n">
        <x:v>221</x:v>
      </x:c>
      <x:c r="AH602" s="35" t="n">
        <x:v>50</x:v>
      </x:c>
      <x:c r="AI602" s="29" t="n">
        <x:v>46266</x:v>
      </x:c>
      <x:c r="AJ602" s="35" t="n">
        <x:v>1</x:v>
      </x:c>
      <x:c r="AK602" s="11" t="str">
        <x:v>минимум</x:v>
      </x:c>
      <x:c r="AL602" s="31" t="n">
        <x:v>364.0244706512008</x:v>
      </x:c>
      <x:c r="AM60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02" s="12" t="str">
        <x:v>Проверить свободный остаток и установить цену для B2B</x:v>
      </x:c>
      <x:c r="AO602" s="12" t="str">
        <x:v>Остаток 221; прогноз 90 дней 51.63; избыток 169 шт. Будущие поступления не выставляются на продажу. Остаток на начало сентября: требуется актуализация.</x:v>
      </x:c>
      <x:c r="AP602" s="12" t="str">
        <x:v>["category_missing", "daily_stockout_data_missing", "large_orders_detected", "new_order_lead_time_unknown", "reservations_unknown", "stale_stock"]</x:v>
      </x:c>
      <x:c r="AQ602" s="11" t="str">
        <x:v>IEK:130300103_</x:v>
      </x:c>
      <x:c r="AR602" s="23" t="n">
        <x:v>1</x:v>
      </x:c>
      <x:c r="AS602" s="23" t="n">
        <x:v>0</x:v>
      </x:c>
      <x:c r="AT602" s="23" t="n">
        <x:v>0</x:v>
      </x:c>
    </x:row>
    <x:row r="603" ht="64" customHeight="1">
      <x:c r="A603" s="10" t="str">
        <x:v>IEK</x:v>
      </x:c>
      <x:c r="B603" s="34" t="str">
        <x:v>130300107_</x:v>
      </x:c>
      <x:c r="C603" s="34" t="str">
        <x:v>UZV3-003-04</x:v>
      </x:c>
      <x:c r="D603" s="13" t="str">
        <x:v>ЗВИ   3 ПВХ (1,0-2,5мм ² 3А) 12 пар IEK (10)</x:v>
      </x:c>
      <x:c r="E603" s="10" t="str">
        <x:v>шт</x:v>
      </x:c>
      <x:c r="F603" s="37" t="n">
        <x:f>MAX(0,ROUNDDOWN((AG603-AF603)/AR603+0.000000001,0)*AR603)</x:f>
        <x:v>33</x:v>
      </x:c>
      <x:c r="G603" s="21" t="str">
        <x:f>IF(J603="Рассчитано",V603*(1-R603/100)-W603-P603-Q603,"н/д")</x:f>
        <x:v>н/д</x:v>
      </x:c>
      <x:c r="H603" s="13" t="str">
        <x:v>Высокий</x:v>
      </x:c>
      <x:c r="I603" s="13" t="str">
        <x:v>Высокий</x:v>
      </x:c>
      <x:c r="J603" s="13" t="str">
        <x:f>IF(L603="","Укажите валюту",IF(NOT(ISNUMBER(K603)),"Укажите объём",IF(K603&lt;=0,"Укажите объём",IF(K603&gt;F603,"Объём выше излишка",IF(COUNT(M603:O603)&lt;3,"Нужны цены",IF(COUNT(P603:R603)&lt;3,"Нужны расходы",IF(OR(M603&lt;0,N603&lt;0,O603&lt;0,O603&gt;100,P603&lt;0,Q603&lt;0,R603&lt;0,R603&gt;100),"Проверьте значения","Рассчитано")))))))</x:f>
        <x:v>Нужны цены</x:v>
      </x:c>
      <x:c r="K603" s="36" t="n">
        <x:v>33</x:v>
      </x:c>
      <x:c r="L603" s="19" t="str">
        <x:v>KZT</x:v>
      </x:c>
      <x:c r="M603" s="22"/>
      <x:c r="N603" s="22"/>
      <x:c r="O603" s="28"/>
      <x:c r="P603" s="22"/>
      <x:c r="Q603" s="22"/>
      <x:c r="R603" s="28"/>
      <x:c r="S603" s="22"/>
      <x:c r="T603" s="37" t="n">
        <x:f>K603</x:f>
        <x:v>33</x:v>
      </x:c>
      <x:c r="U603" s="21" t="str">
        <x:f>IF(J603="Рассчитано",N603*(1-O603/100),"н/д")</x:f>
        <x:v>н/д</x:v>
      </x:c>
      <x:c r="V603" s="21" t="str">
        <x:f>IF(J603="Рассчитано",T603*U603,"н/д")</x:f>
        <x:v>н/д</x:v>
      </x:c>
      <x:c r="W603" s="21" t="str">
        <x:f>IF(J603="Рассчитано",T603*M603,"н/д")</x:f>
        <x:v>н/д</x:v>
      </x:c>
      <x:c r="X603" s="21" t="str">
        <x:f>IF(J603="Рассчитано",V603-W603,"н/д")</x:f>
        <x:v>н/д</x:v>
      </x:c>
      <x:c r="Y603" s="27" t="str">
        <x:f>IF(J603="Рассчитано",IF(V603&gt;0,G603/V603,"н/д"),"н/д")</x:f>
        <x:v>н/д</x:v>
      </x:c>
      <x:c r="Z603" s="21" t="str">
        <x:f>"н/д"</x:f>
        <x:v>н/д</x:v>
      </x:c>
      <x:c r="AA603" s="21" t="str">
        <x:f>"н/д"</x:f>
        <x:v>н/д</x:v>
      </x:c>
      <x:c r="AB603" s="21" t="str">
        <x:f>"н/д"</x:f>
        <x:v>н/д</x:v>
      </x:c>
      <x:c r="AC603" s="21" t="str">
        <x:f>IF(AND(J603="Рассчитано",T603&gt;0,R603&lt;100),(W603+P603+Q603)/(T603*(1-R603/100)),"н/д")</x:f>
        <x:v>н/д</x:v>
      </x:c>
      <x:c r="AD603" s="10" t="str">
        <x:f>IF(ISNUMBER(G603),IF(G603&lt;0,"Убыток",IF(G603=0,"Без прибыли","Прибыль &gt; 0")),"Не оценён")</x:f>
        <x:v>Не оценён</x:v>
      </x:c>
      <x:c r="AE603" s="13" t="str">
        <x:f>IF(J603="Рассчитано","Выручка "&amp;TEXT(V603,"0.00")&amp;" - себестоимость "&amp;TEXT(W603,"0.00")&amp;" - комиссия "&amp;TEXT(V603*R603/100,"0.00")&amp;" - доставка "&amp;TEXT(P603,"0.00")&amp;" - прочие "&amp;TEXT(Q603,"0.00")&amp;" = "&amp;TEXT(G603,"0.00")&amp;" "&amp;L603,"Введите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3" s="24" t="n">
        <x:v>1.6856863711966668</x:v>
      </x:c>
      <x:c r="AG603" s="37" t="n">
        <x:v>35</x:v>
      </x:c>
      <x:c r="AH603" s="37" t="n">
        <x:v>0</x:v>
      </x:c>
      <x:c r="AI603" s="30" t="n">
        <x:v>46266</x:v>
      </x:c>
      <x:c r="AJ603" s="37"/>
      <x:c r="AK603" s="10" t="str">
        <x:v>неизвестно</x:v>
      </x:c>
      <x:c r="AL603" s="32" t="n">
        <x:v>1765.6731506001315</x:v>
      </x:c>
      <x:c r="AM603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603" s="13" t="str">
        <x:v>Проверить свободный остаток и установить цену для B2B</x:v>
      </x:c>
      <x:c r="AO603" s="13" t="str">
        <x:v>Остаток 35; прогноз 90 дней 1.69; избыток 33 шт. Будущие поступления не выставляются на продажу. Остаток на начало сентября: требуется актуализация.</x:v>
      </x:c>
      <x:c r="AP603" s="13" t="str">
        <x:v>["category_missing", "daily_stockout_data_missing", "moq_missing", "new_order_lead_time_unknown", "reservations_unknown", "stale_stock", "stockout_proxy_used"]</x:v>
      </x:c>
      <x:c r="AQ603" s="10" t="str">
        <x:v>IEK:130300107_</x:v>
      </x:c>
      <x:c r="AR603" s="24" t="n">
        <x:v>1</x:v>
      </x:c>
      <x:c r="AS603" s="24" t="n">
        <x:v>0</x:v>
      </x:c>
      <x:c r="AT603" s="24" t="n">
        <x:v>0</x:v>
      </x:c>
    </x:row>
    <x:row r="604" ht="64" customHeight="1">
      <x:c r="A604" s="11" t="str">
        <x:v>IEK</x:v>
      </x:c>
      <x:c r="B604" s="33" t="str">
        <x:v>130300108_</x:v>
      </x:c>
      <x:c r="C604" s="33" t="str">
        <x:v>UZV1-015-06</x:v>
      </x:c>
      <x:c r="D604" s="12" t="str">
        <x:v>ЗВИ  15 ПВХ (4-10мм ² 15А) 12 пар IEK (10)</x:v>
      </x:c>
      <x:c r="E604" s="11" t="str">
        <x:v>шт</x:v>
      </x:c>
      <x:c r="F604" s="35" t="n">
        <x:f>MAX(0,ROUNDDOWN((AG604-AF604)/AR604+0.000000001,0)*AR604)</x:f>
        <x:v>16</x:v>
      </x:c>
      <x:c r="G604" s="20" t="str">
        <x:f>IF(J604="Рассчитано",V604*(1-R604/100)-W604-P604-Q604,"н/д")</x:f>
        <x:v>н/д</x:v>
      </x:c>
      <x:c r="H604" s="12" t="str">
        <x:v>Высокий</x:v>
      </x:c>
      <x:c r="I604" s="12" t="str">
        <x:v>Высокий</x:v>
      </x:c>
      <x:c r="J604" s="12" t="str">
        <x:f>IF(L604="","Укажите валюту",IF(NOT(ISNUMBER(K604)),"Укажите объём",IF(K604&lt;=0,"Укажите объём",IF(K604&gt;F604,"Объём выше излишка",IF(COUNT(M604:O604)&lt;3,"Нужны цены",IF(COUNT(P604:R604)&lt;3,"Нужны расходы",IF(OR(M604&lt;0,N604&lt;0,O604&lt;0,O604&gt;100,P604&lt;0,Q604&lt;0,R604&lt;0,R604&gt;100),"Проверьте значения","Рассчитано")))))))</x:f>
        <x:v>Нужны цены</x:v>
      </x:c>
      <x:c r="K604" s="36" t="n">
        <x:v>16</x:v>
      </x:c>
      <x:c r="L604" s="19" t="str">
        <x:v>KZT</x:v>
      </x:c>
      <x:c r="M604" s="22"/>
      <x:c r="N604" s="22"/>
      <x:c r="O604" s="28"/>
      <x:c r="P604" s="22"/>
      <x:c r="Q604" s="22"/>
      <x:c r="R604" s="28"/>
      <x:c r="S604" s="22"/>
      <x:c r="T604" s="35" t="n">
        <x:f>K604</x:f>
        <x:v>16</x:v>
      </x:c>
      <x:c r="U604" s="20" t="str">
        <x:f>IF(J604="Рассчитано",N604*(1-O604/100),"н/д")</x:f>
        <x:v>н/д</x:v>
      </x:c>
      <x:c r="V604" s="20" t="str">
        <x:f>IF(J604="Рассчитано",T604*U604,"н/д")</x:f>
        <x:v>н/д</x:v>
      </x:c>
      <x:c r="W604" s="20" t="str">
        <x:f>IF(J604="Рассчитано",T604*M604,"н/д")</x:f>
        <x:v>н/д</x:v>
      </x:c>
      <x:c r="X604" s="20" t="str">
        <x:f>IF(J604="Рассчитано",V604-W604,"н/д")</x:f>
        <x:v>н/д</x:v>
      </x:c>
      <x:c r="Y604" s="26" t="str">
        <x:f>IF(J604="Рассчитано",IF(V604&gt;0,G604/V604,"н/д"),"н/д")</x:f>
        <x:v>н/д</x:v>
      </x:c>
      <x:c r="Z604" s="20" t="str">
        <x:f>"н/д"</x:f>
        <x:v>н/д</x:v>
      </x:c>
      <x:c r="AA604" s="20" t="str">
        <x:f>"н/д"</x:f>
        <x:v>н/д</x:v>
      </x:c>
      <x:c r="AB604" s="20" t="str">
        <x:f>"н/д"</x:f>
        <x:v>н/д</x:v>
      </x:c>
      <x:c r="AC604" s="20" t="str">
        <x:f>IF(AND(J604="Рассчитано",T604&gt;0,R604&lt;100),(W604+P604+Q604)/(T604*(1-R604/100)),"н/д")</x:f>
        <x:v>н/д</x:v>
      </x:c>
      <x:c r="AD604" s="11" t="str">
        <x:f>IF(ISNUMBER(G604),IF(G604&lt;0,"Убыток",IF(G604=0,"Без прибыли","Прибыль &gt; 0")),"Не оценён")</x:f>
        <x:v>Не оценён</x:v>
      </x:c>
      <x:c r="AE604" s="12" t="str">
        <x:f>IF(J604="Рассчитано","Выручка "&amp;TEXT(V604,"0.00")&amp;" - себестоимость "&amp;TEXT(W604,"0.00")&amp;" - комиссия "&amp;TEXT(V604*R604/100,"0.00")&amp;" - доставка "&amp;TEXT(P604,"0.00")&amp;" - прочие "&amp;TEXT(Q604,"0.00")&amp;" = "&amp;TEXT(G604,"0.00")&amp;" "&amp;L604,"Введите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4" s="23" t="n">
        <x:v>8.856804865145293</x:v>
      </x:c>
      <x:c r="AG604" s="35" t="n">
        <x:v>25</x:v>
      </x:c>
      <x:c r="AH604" s="35" t="n">
        <x:v>0</x:v>
      </x:c>
      <x:c r="AI604" s="29" t="n">
        <x:v>46266</x:v>
      </x:c>
      <x:c r="AJ604" s="35"/>
      <x:c r="AK604" s="11" t="str">
        <x:v>неизвестно</x:v>
      </x:c>
      <x:c r="AL604" s="31" t="n">
        <x:v>240.0390927228981</x:v>
      </x:c>
      <x:c r="AM60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04" s="12" t="str">
        <x:v>Проверить свободный остаток и установить цену для B2B</x:v>
      </x:c>
      <x:c r="AO604" s="12" t="str">
        <x:v>Остаток 25; прогноз 90 дней 8.86; избыток 16 шт. Будущие поступления не выставляются на продажу. Остаток на начало сентября: требуется актуализация.</x:v>
      </x:c>
      <x:c r="AP604" s="12" t="str">
        <x:v>["category_missing", "daily_stockout_data_missing", "moq_missing", "new_order_lead_time_unknown", "reservations_unknown", "stale_stock"]</x:v>
      </x:c>
      <x:c r="AQ604" s="11" t="str">
        <x:v>IEK:130300108_</x:v>
      </x:c>
      <x:c r="AR604" s="23" t="n">
        <x:v>1</x:v>
      </x:c>
      <x:c r="AS604" s="23" t="n">
        <x:v>0</x:v>
      </x:c>
      <x:c r="AT604" s="23" t="n">
        <x:v>0</x:v>
      </x:c>
    </x:row>
    <x:row r="605" ht="64" customHeight="1">
      <x:c r="A605" s="10" t="str">
        <x:v>IEK</x:v>
      </x:c>
      <x:c r="B605" s="34" t="str">
        <x:v>130300142_</x:v>
      </x:c>
      <x:c r="C605" s="34"/>
      <x:c r="D605" s="13" t="str">
        <x:v>Заглушка для ЗНИ4-6мм2 (JXB35-50A) серый IEK!!!</x:v>
      </x:c>
      <x:c r="E605" s="10" t="str">
        <x:v>шт</x:v>
      </x:c>
      <x:c r="F605" s="37" t="n">
        <x:f>MAX(0,ROUNDDOWN((AG605-AF605)/AR605+0.000000001,0)*AR605)</x:f>
        <x:v>2</x:v>
      </x:c>
      <x:c r="G605" s="21" t="str">
        <x:f>IF(J605="Рассчитано",V605*(1-R605/100)-W605-P605-Q605,"н/д")</x:f>
        <x:v>н/д</x:v>
      </x:c>
      <x:c r="H605" s="13" t="str">
        <x:v>Высокий</x:v>
      </x:c>
      <x:c r="I605" s="13" t="str">
        <x:v>Средний</x:v>
      </x:c>
      <x:c r="J605" s="13" t="str">
        <x:f>IF(L605="","Укажите валюту",IF(NOT(ISNUMBER(K605)),"Укажите объём",IF(K605&lt;=0,"Укажите объём",IF(K605&gt;F605,"Объём выше излишка",IF(COUNT(M605:O605)&lt;3,"Нужны цены",IF(COUNT(P605:R605)&lt;3,"Нужны расходы",IF(OR(M605&lt;0,N605&lt;0,O605&lt;0,O605&gt;100,P605&lt;0,Q605&lt;0,R605&lt;0,R605&gt;100),"Проверьте значения","Рассчитано")))))))</x:f>
        <x:v>Нужны цены</x:v>
      </x:c>
      <x:c r="K605" s="36" t="n">
        <x:v>2</x:v>
      </x:c>
      <x:c r="L605" s="19" t="str">
        <x:v>KZT</x:v>
      </x:c>
      <x:c r="M605" s="22"/>
      <x:c r="N605" s="22"/>
      <x:c r="O605" s="28"/>
      <x:c r="P605" s="22"/>
      <x:c r="Q605" s="22"/>
      <x:c r="R605" s="28"/>
      <x:c r="S605" s="22"/>
      <x:c r="T605" s="37" t="n">
        <x:f>K605</x:f>
        <x:v>2</x:v>
      </x:c>
      <x:c r="U605" s="21" t="str">
        <x:f>IF(J605="Рассчитано",N605*(1-O605/100),"н/д")</x:f>
        <x:v>н/д</x:v>
      </x:c>
      <x:c r="V605" s="21" t="str">
        <x:f>IF(J605="Рассчитано",T605*U605,"н/д")</x:f>
        <x:v>н/д</x:v>
      </x:c>
      <x:c r="W605" s="21" t="str">
        <x:f>IF(J605="Рассчитано",T605*M605,"н/д")</x:f>
        <x:v>н/д</x:v>
      </x:c>
      <x:c r="X605" s="21" t="str">
        <x:f>IF(J605="Рассчитано",V605-W605,"н/д")</x:f>
        <x:v>н/д</x:v>
      </x:c>
      <x:c r="Y605" s="27" t="str">
        <x:f>IF(J605="Рассчитано",IF(V605&gt;0,G605/V605,"н/д"),"н/д")</x:f>
        <x:v>н/д</x:v>
      </x:c>
      <x:c r="Z605" s="21" t="str">
        <x:f>"н/д"</x:f>
        <x:v>н/д</x:v>
      </x:c>
      <x:c r="AA605" s="21" t="str">
        <x:f>"н/д"</x:f>
        <x:v>н/д</x:v>
      </x:c>
      <x:c r="AB605" s="21" t="str">
        <x:f>"н/д"</x:f>
        <x:v>н/д</x:v>
      </x:c>
      <x:c r="AC605" s="21" t="str">
        <x:f>IF(AND(J605="Рассчитано",T605&gt;0,R605&lt;100),(W605+P605+Q605)/(T605*(1-R605/100)),"н/д")</x:f>
        <x:v>н/д</x:v>
      </x:c>
      <x:c r="AD605" s="10" t="str">
        <x:f>IF(ISNUMBER(G605),IF(G605&lt;0,"Убыток",IF(G605=0,"Без прибыли","Прибыль &gt; 0")),"Не оценён")</x:f>
        <x:v>Не оценён</x:v>
      </x:c>
      <x:c r="AE605" s="13" t="str">
        <x:f>IF(J605="Рассчитано","Выручка "&amp;TEXT(V605,"0.00")&amp;" - себестоимость "&amp;TEXT(W605,"0.00")&amp;" - комиссия "&amp;TEXT(V605*R605/100,"0.00")&amp;" - доставка "&amp;TEXT(P605,"0.00")&amp;" - прочие "&amp;TEXT(Q605,"0.00")&amp;" = "&amp;TEXT(G605,"0.00")&amp;" "&amp;L605,"Введите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5" s="24" t="n">
        <x:v>7.999813453462135</x:v>
      </x:c>
      <x:c r="AG605" s="37" t="n">
        <x:v>10</x:v>
      </x:c>
      <x:c r="AH605" s="37" t="n">
        <x:v>0</x:v>
      </x:c>
      <x:c r="AI605" s="30" t="n">
        <x:v>46266</x:v>
      </x:c>
      <x:c r="AJ605" s="37"/>
      <x:c r="AK605" s="10" t="str">
        <x:v>неизвестно</x:v>
      </x:c>
      <x:c r="AL605" s="32" t="n">
        <x:v>106.30144898357128</x:v>
      </x:c>
      <x:c r="AM605" s="13" t="str">
        <x:v>Остаток на начало сентября; Резервы неизвестны; Нет артикула производителя; Нет ежедневных данных доступности. Запас выше прогноза на 90 дней</x:v>
      </x:c>
      <x:c r="AN605" s="13" t="str">
        <x:v>Проверить свободный остаток и установить цену для B2B</x:v>
      </x:c>
      <x:c r="AO605" s="13" t="str">
        <x:v>Остаток 10; прогноз 90 дней 8.00; избыток 2 шт. Будущие поступления не выставляются на продажу. Остаток на начало сентября: требуется актуализация.</x:v>
      </x:c>
      <x:c r="AP605" s="13" t="str">
        <x:v>["category_missing", "daily_stockout_data_missing", "moq_missing", "new_order_lead_time_unknown", "reservations_unknown", "stale_stock", "supplier_sku_missing"]</x:v>
      </x:c>
      <x:c r="AQ605" s="10" t="str">
        <x:v>IEK:130300142_</x:v>
      </x:c>
      <x:c r="AR605" s="24" t="n">
        <x:v>1</x:v>
      </x:c>
      <x:c r="AS605" s="24" t="n">
        <x:v>0</x:v>
      </x:c>
      <x:c r="AT605" s="24" t="n">
        <x:v>0</x:v>
      </x:c>
    </x:row>
    <x:row r="606" ht="64" customHeight="1">
      <x:c r="A606" s="11" t="str">
        <x:v>IEK</x:v>
      </x:c>
      <x:c r="B606" s="33" t="str">
        <x:v>130300147_</x:v>
      </x:c>
      <x:c r="C606" s="33" t="str">
        <x:v>TKL20-010-035</x:v>
      </x:c>
      <x:c r="D606" s="12" t="str">
        <x:v>Клещи обжимн КО-07Е 10-35мм IEK (40)</x:v>
      </x:c>
      <x:c r="E606" s="11" t="str">
        <x:v>шт</x:v>
      </x:c>
      <x:c r="F606" s="35" t="n">
        <x:f>MAX(0,ROUNDDOWN((AG606-AF606)/AR606+0.000000001,0)*AR606)</x:f>
        <x:v>6</x:v>
      </x:c>
      <x:c r="G606" s="20" t="str">
        <x:f>IF(J606="Рассчитано",V606*(1-R606/100)-W606-P606-Q606,"н/д")</x:f>
        <x:v>н/д</x:v>
      </x:c>
      <x:c r="H606" s="12" t="str">
        <x:v>Высокий</x:v>
      </x:c>
      <x:c r="I606" s="12" t="str">
        <x:v>Высокий</x:v>
      </x:c>
      <x:c r="J606" s="12" t="str">
        <x:f>IF(L606="","Укажите валюту",IF(NOT(ISNUMBER(K606)),"Укажите объём",IF(K606&lt;=0,"Укажите объём",IF(K606&gt;F606,"Объём выше излишка",IF(COUNT(M606:O606)&lt;3,"Нужны цены",IF(COUNT(P606:R606)&lt;3,"Нужны расходы",IF(OR(M606&lt;0,N606&lt;0,O606&lt;0,O606&gt;100,P606&lt;0,Q606&lt;0,R606&lt;0,R606&gt;100),"Проверьте значения","Рассчитано")))))))</x:f>
        <x:v>Нужны цены</x:v>
      </x:c>
      <x:c r="K606" s="36" t="n">
        <x:v>6</x:v>
      </x:c>
      <x:c r="L606" s="19" t="str">
        <x:v>KZT</x:v>
      </x:c>
      <x:c r="M606" s="22"/>
      <x:c r="N606" s="22"/>
      <x:c r="O606" s="28"/>
      <x:c r="P606" s="22"/>
      <x:c r="Q606" s="22"/>
      <x:c r="R606" s="28"/>
      <x:c r="S606" s="22"/>
      <x:c r="T606" s="35" t="n">
        <x:f>K606</x:f>
        <x:v>6</x:v>
      </x:c>
      <x:c r="U606" s="20" t="str">
        <x:f>IF(J606="Рассчитано",N606*(1-O606/100),"н/д")</x:f>
        <x:v>н/д</x:v>
      </x:c>
      <x:c r="V606" s="20" t="str">
        <x:f>IF(J606="Рассчитано",T606*U606,"н/д")</x:f>
        <x:v>н/д</x:v>
      </x:c>
      <x:c r="W606" s="20" t="str">
        <x:f>IF(J606="Рассчитано",T606*M606,"н/д")</x:f>
        <x:v>н/д</x:v>
      </x:c>
      <x:c r="X606" s="20" t="str">
        <x:f>IF(J606="Рассчитано",V606-W606,"н/д")</x:f>
        <x:v>н/д</x:v>
      </x:c>
      <x:c r="Y606" s="26" t="str">
        <x:f>IF(J606="Рассчитано",IF(V606&gt;0,G606/V606,"н/д"),"н/д")</x:f>
        <x:v>н/д</x:v>
      </x:c>
      <x:c r="Z606" s="20" t="str">
        <x:f>"н/д"</x:f>
        <x:v>н/д</x:v>
      </x:c>
      <x:c r="AA606" s="20" t="str">
        <x:f>"н/д"</x:f>
        <x:v>н/д</x:v>
      </x:c>
      <x:c r="AB606" s="20" t="str">
        <x:f>"н/д"</x:f>
        <x:v>н/д</x:v>
      </x:c>
      <x:c r="AC606" s="20" t="str">
        <x:f>IF(AND(J606="Рассчитано",T606&gt;0,R606&lt;100),(W606+P606+Q606)/(T606*(1-R606/100)),"н/д")</x:f>
        <x:v>н/д</x:v>
      </x:c>
      <x:c r="AD606" s="11" t="str">
        <x:f>IF(ISNUMBER(G606),IF(G606&lt;0,"Убыток",IF(G606=0,"Без прибыли","Прибыль &gt; 0")),"Не оценён")</x:f>
        <x:v>Не оценён</x:v>
      </x:c>
      <x:c r="AE606" s="12" t="str">
        <x:f>IF(J606="Рассчитано","Выручка "&amp;TEXT(V606,"0.00")&amp;" - себестоимость "&amp;TEXT(W606,"0.00")&amp;" - комиссия "&amp;TEXT(V606*R606/100,"0.00")&amp;" - доставка "&amp;TEXT(P606,"0.00")&amp;" - прочие "&amp;TEXT(Q606,"0.00")&amp;" = "&amp;TEXT(G606,"0.00")&amp;" "&amp;L606,"Введите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6" s="23" t="n">
        <x:v>0.3690847238078525</x:v>
      </x:c>
      <x:c r="AG606" s="35" t="n">
        <x:v>7</x:v>
      </x:c>
      <x:c r="AH606" s="35" t="n">
        <x:v>0</x:v>
      </x:c>
      <x:c r="AI606" s="29" t="n">
        <x:v>46266</x:v>
      </x:c>
      <x:c r="AJ606" s="35" t="n">
        <x:v>1</x:v>
      </x:c>
      <x:c r="AK606" s="11" t="str">
        <x:v>минимум</x:v>
      </x:c>
      <x:c r="AL606" s="31" t="n">
        <x:v>1612.8389900547802</x:v>
      </x:c>
      <x:c r="AM60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06" s="12" t="str">
        <x:v>Проверить свободный остаток и установить цену для B2B</x:v>
      </x:c>
      <x:c r="AO606" s="12" t="str">
        <x:v>Остаток 7; прогноз 90 дней 0.37; избыток 6 шт. Будущие поступления не выставляются на продажу. Остаток на начало сентября: требуется актуализация.</x:v>
      </x:c>
      <x:c r="AP606" s="12" t="str">
        <x:v>["category_missing", "daily_stockout_data_missing", "new_order_lead_time_unknown", "reservations_unknown", "stale_stock"]</x:v>
      </x:c>
      <x:c r="AQ606" s="11" t="str">
        <x:v>IEK:130300147_</x:v>
      </x:c>
      <x:c r="AR606" s="23" t="n">
        <x:v>1</x:v>
      </x:c>
      <x:c r="AS606" s="23" t="n">
        <x:v>0</x:v>
      </x:c>
      <x:c r="AT606" s="23" t="n">
        <x:v>0</x:v>
      </x:c>
    </x:row>
    <x:row r="607" ht="64" customHeight="1">
      <x:c r="A607" s="10" t="str">
        <x:v>IEK</x:v>
      </x:c>
      <x:c r="B607" s="34" t="str">
        <x:v>130300152_</x:v>
      </x:c>
      <x:c r="C607" s="34" t="str">
        <x:v>KPK10-22</x:v>
      </x:c>
      <x:c r="D607" s="13" t="str">
        <x:v>Приставка ПКИ 22 2з+2р IEK (1/250)</x:v>
      </x:c>
      <x:c r="E607" s="10" t="str">
        <x:v>шт</x:v>
      </x:c>
      <x:c r="F607" s="37" t="n">
        <x:f>MAX(0,ROUNDDOWN((AG607-AF607)/AR607+0.000000001,0)*AR607)</x:f>
        <x:v>116</x:v>
      </x:c>
      <x:c r="G607" s="21" t="str">
        <x:f>IF(J607="Рассчитано",V607*(1-R607/100)-W607-P607-Q607,"н/д")</x:f>
        <x:v>н/д</x:v>
      </x:c>
      <x:c r="H607" s="13" t="str">
        <x:v>Высокий</x:v>
      </x:c>
      <x:c r="I607" s="13" t="str">
        <x:v>Средний</x:v>
      </x:c>
      <x:c r="J607" s="13" t="str">
        <x:f>IF(L607="","Укажите валюту",IF(NOT(ISNUMBER(K607)),"Укажите объём",IF(K607&lt;=0,"Укажите объём",IF(K607&gt;F607,"Объём выше излишка",IF(COUNT(M607:O607)&lt;3,"Нужны цены",IF(COUNT(P607:R607)&lt;3,"Нужны расходы",IF(OR(M607&lt;0,N607&lt;0,O607&lt;0,O607&gt;100,P607&lt;0,Q607&lt;0,R607&lt;0,R607&gt;100),"Проверьте значения","Рассчитано")))))))</x:f>
        <x:v>Нужны цены</x:v>
      </x:c>
      <x:c r="K607" s="36" t="n">
        <x:v>116</x:v>
      </x:c>
      <x:c r="L607" s="19" t="str">
        <x:v>KZT</x:v>
      </x:c>
      <x:c r="M607" s="22"/>
      <x:c r="N607" s="22"/>
      <x:c r="O607" s="28"/>
      <x:c r="P607" s="22"/>
      <x:c r="Q607" s="22"/>
      <x:c r="R607" s="28"/>
      <x:c r="S607" s="22"/>
      <x:c r="T607" s="37" t="n">
        <x:f>K607</x:f>
        <x:v>116</x:v>
      </x:c>
      <x:c r="U607" s="21" t="str">
        <x:f>IF(J607="Рассчитано",N607*(1-O607/100),"н/д")</x:f>
        <x:v>н/д</x:v>
      </x:c>
      <x:c r="V607" s="21" t="str">
        <x:f>IF(J607="Рассчитано",T607*U607,"н/д")</x:f>
        <x:v>н/д</x:v>
      </x:c>
      <x:c r="W607" s="21" t="str">
        <x:f>IF(J607="Рассчитано",T607*M607,"н/д")</x:f>
        <x:v>н/д</x:v>
      </x:c>
      <x:c r="X607" s="21" t="str">
        <x:f>IF(J607="Рассчитано",V607-W607,"н/д")</x:f>
        <x:v>н/д</x:v>
      </x:c>
      <x:c r="Y607" s="27" t="str">
        <x:f>IF(J607="Рассчитано",IF(V607&gt;0,G607/V607,"н/д"),"н/д")</x:f>
        <x:v>н/д</x:v>
      </x:c>
      <x:c r="Z607" s="21" t="str">
        <x:f>"н/д"</x:f>
        <x:v>н/д</x:v>
      </x:c>
      <x:c r="AA607" s="21" t="str">
        <x:f>"н/д"</x:f>
        <x:v>н/д</x:v>
      </x:c>
      <x:c r="AB607" s="21" t="str">
        <x:f>"н/д"</x:f>
        <x:v>н/д</x:v>
      </x:c>
      <x:c r="AC607" s="21" t="str">
        <x:f>IF(AND(J607="Рассчитано",T607&gt;0,R607&lt;100),(W607+P607+Q607)/(T607*(1-R607/100)),"н/д")</x:f>
        <x:v>н/д</x:v>
      </x:c>
      <x:c r="AD607" s="10" t="str">
        <x:f>IF(ISNUMBER(G607),IF(G607&lt;0,"Убыток",IF(G607=0,"Без прибыли","Прибыль &gt; 0")),"Не оценён")</x:f>
        <x:v>Не оценён</x:v>
      </x:c>
      <x:c r="AE607" s="13" t="str">
        <x:f>IF(J607="Рассчитано","Выручка "&amp;TEXT(V607,"0.00")&amp;" - себестоимость "&amp;TEXT(W607,"0.00")&amp;" - комиссия "&amp;TEXT(V607*R607/100,"0.00")&amp;" - доставка "&amp;TEXT(P607,"0.00")&amp;" - прочие "&amp;TEXT(Q607,"0.00")&amp;" = "&amp;TEXT(G607,"0.00")&amp;" "&amp;L607,"Введите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7" s="24" t="n">
        <x:v>131.77342177113536</x:v>
      </x:c>
      <x:c r="AG607" s="37" t="n">
        <x:v>248</x:v>
      </x:c>
      <x:c r="AH607" s="37" t="n">
        <x:v>50</x:v>
      </x:c>
      <x:c r="AI607" s="30" t="n">
        <x:v>46266</x:v>
      </x:c>
      <x:c r="AJ607" s="37" t="n">
        <x:v>1</x:v>
      </x:c>
      <x:c r="AK607" s="10" t="str">
        <x:v>минимум</x:v>
      </x:c>
      <x:c r="AL607" s="32" t="n">
        <x:v>160.04529143077664</x:v>
      </x:c>
      <x:c r="AM607" s="13" t="str">
        <x:v>Остаток на начало сентября; Резервы неизвестны; Нет ежедневных данных доступности. Запас выше прогноза на 90 дней</x:v>
      </x:c>
      <x:c r="AN607" s="13" t="str">
        <x:v>Проверить свободный остаток и установить цену для B2B</x:v>
      </x:c>
      <x:c r="AO607" s="13" t="str">
        <x:v>Остаток 248; прогноз 90 дней 131.77; избыток 116 шт. Будущие поступления не выставляются на продажу. Остаток на начало сентября: требуется актуализация.</x:v>
      </x:c>
      <x:c r="AP607" s="13" t="str">
        <x:v>["category_missing", "daily_stockout_data_missing", "large_orders_detected", "new_order_lead_time_unknown", "reservations_unknown", "stale_stock"]</x:v>
      </x:c>
      <x:c r="AQ607" s="10" t="str">
        <x:v>IEK:130300152_</x:v>
      </x:c>
      <x:c r="AR607" s="24" t="n">
        <x:v>1</x:v>
      </x:c>
      <x:c r="AS607" s="24" t="n">
        <x:v>0</x:v>
      </x:c>
      <x:c r="AT607" s="24" t="n">
        <x:v>0</x:v>
      </x:c>
    </x:row>
    <x:row r="608" ht="64" customHeight="1">
      <x:c r="A608" s="11" t="str">
        <x:v>IEK</x:v>
      </x:c>
      <x:c r="B608" s="33" t="str">
        <x:v>130300154_</x:v>
      </x:c>
      <x:c r="C608" s="33" t="str">
        <x:v>BBD11-APBB-K51</x:v>
      </x:c>
      <x:c r="D608" s="12" t="str">
        <x:v>Кнопка APBB-22N "ПУСК-СТОП" Ø22мм IEK(10/200)</x:v>
      </x:c>
      <x:c r="E608" s="11" t="str">
        <x:v>шт</x:v>
      </x:c>
      <x:c r="F608" s="35" t="n">
        <x:f>MAX(0,ROUNDDOWN((AG608-AF608)/AR608+0.000000001,0)*AR608)</x:f>
        <x:v>221</x:v>
      </x:c>
      <x:c r="G608" s="20" t="str">
        <x:f>IF(J608="Рассчитано",V608*(1-R608/100)-W608-P608-Q608,"н/д")</x:f>
        <x:v>н/д</x:v>
      </x:c>
      <x:c r="H608" s="12" t="str">
        <x:v>Высокий</x:v>
      </x:c>
      <x:c r="I608" s="12" t="str">
        <x:v>Высокий</x:v>
      </x:c>
      <x:c r="J608" s="12" t="str">
        <x:f>IF(L608="","Укажите валюту",IF(NOT(ISNUMBER(K608)),"Укажите объём",IF(K608&lt;=0,"Укажите объём",IF(K608&gt;F608,"Объём выше излишка",IF(COUNT(M608:O608)&lt;3,"Нужны цены",IF(COUNT(P608:R608)&lt;3,"Нужны расходы",IF(OR(M608&lt;0,N608&lt;0,O608&lt;0,O608&gt;100,P608&lt;0,Q608&lt;0,R608&lt;0,R608&gt;100),"Проверьте значения","Рассчитано")))))))</x:f>
        <x:v>Нужны цены</x:v>
      </x:c>
      <x:c r="K608" s="36" t="n">
        <x:v>221</x:v>
      </x:c>
      <x:c r="L608" s="19" t="str">
        <x:v>KZT</x:v>
      </x:c>
      <x:c r="M608" s="22"/>
      <x:c r="N608" s="22"/>
      <x:c r="O608" s="28"/>
      <x:c r="P608" s="22"/>
      <x:c r="Q608" s="22"/>
      <x:c r="R608" s="28"/>
      <x:c r="S608" s="22"/>
      <x:c r="T608" s="35" t="n">
        <x:f>K608</x:f>
        <x:v>221</x:v>
      </x:c>
      <x:c r="U608" s="20" t="str">
        <x:f>IF(J608="Рассчитано",N608*(1-O608/100),"н/д")</x:f>
        <x:v>н/д</x:v>
      </x:c>
      <x:c r="V608" s="20" t="str">
        <x:f>IF(J608="Рассчитано",T608*U608,"н/д")</x:f>
        <x:v>н/д</x:v>
      </x:c>
      <x:c r="W608" s="20" t="str">
        <x:f>IF(J608="Рассчитано",T608*M608,"н/д")</x:f>
        <x:v>н/д</x:v>
      </x:c>
      <x:c r="X608" s="20" t="str">
        <x:f>IF(J608="Рассчитано",V608-W608,"н/д")</x:f>
        <x:v>н/д</x:v>
      </x:c>
      <x:c r="Y608" s="26" t="str">
        <x:f>IF(J608="Рассчитано",IF(V608&gt;0,G608/V608,"н/д"),"н/д")</x:f>
        <x:v>н/д</x:v>
      </x:c>
      <x:c r="Z608" s="20" t="str">
        <x:f>"н/д"</x:f>
        <x:v>н/д</x:v>
      </x:c>
      <x:c r="AA608" s="20" t="str">
        <x:f>"н/д"</x:f>
        <x:v>н/д</x:v>
      </x:c>
      <x:c r="AB608" s="20" t="str">
        <x:f>"н/д"</x:f>
        <x:v>н/д</x:v>
      </x:c>
      <x:c r="AC608" s="20" t="str">
        <x:f>IF(AND(J608="Рассчитано",T608&gt;0,R608&lt;100),(W608+P608+Q608)/(T608*(1-R608/100)),"н/д")</x:f>
        <x:v>н/д</x:v>
      </x:c>
      <x:c r="AD608" s="11" t="str">
        <x:f>IF(ISNUMBER(G608),IF(G608&lt;0,"Убыток",IF(G608=0,"Без прибыли","Прибыль &gt; 0")),"Не оценён")</x:f>
        <x:v>Не оценён</x:v>
      </x:c>
      <x:c r="AE608" s="12" t="str">
        <x:f>IF(J608="Рассчитано","Выручка "&amp;TEXT(V608,"0.00")&amp;" - себестоимость "&amp;TEXT(W608,"0.00")&amp;" - комиссия "&amp;TEXT(V608*R608/100,"0.00")&amp;" - доставка "&amp;TEXT(P608,"0.00")&amp;" - прочие "&amp;TEXT(Q608,"0.00")&amp;" = "&amp;TEXT(G608,"0.00")&amp;" "&amp;L608,"Введите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8" s="23" t="n">
        <x:v>99.41571500456</x:v>
      </x:c>
      <x:c r="AG608" s="35" t="n">
        <x:v>321</x:v>
      </x:c>
      <x:c r="AH608" s="35" t="n">
        <x:v>80</x:v>
      </x:c>
      <x:c r="AI608" s="29" t="n">
        <x:v>46266</x:v>
      </x:c>
      <x:c r="AJ608" s="35" t="n">
        <x:v>10</x:v>
      </x:c>
      <x:c r="AK608" s="11" t="str">
        <x:v>минимум</x:v>
      </x:c>
      <x:c r="AL608" s="31" t="n">
        <x:v>274.580085747604</x:v>
      </x:c>
      <x:c r="AM60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08" s="12" t="str">
        <x:v>Проверить свободный остаток и установить цену для B2B</x:v>
      </x:c>
      <x:c r="AO608" s="12" t="str">
        <x:v>Остаток 321; прогноз 90 дней 99.42; избыток 221 шт. Будущие поступления не выставляются на продажу. Остаток на начало сентября: требуется актуализация.</x:v>
      </x:c>
      <x:c r="AP608" s="12" t="str">
        <x:v>["category_missing", "daily_stockout_data_missing", "new_order_lead_time_unknown", "reservations_unknown", "stale_stock"]</x:v>
      </x:c>
      <x:c r="AQ608" s="11" t="str">
        <x:v>IEK:130300154_</x:v>
      </x:c>
      <x:c r="AR608" s="23" t="n">
        <x:v>1</x:v>
      </x:c>
      <x:c r="AS608" s="23" t="n">
        <x:v>0</x:v>
      </x:c>
      <x:c r="AT608" s="23" t="n">
        <x:v>0</x:v>
      </x:c>
    </x:row>
    <x:row r="609" ht="64" customHeight="1">
      <x:c r="A609" s="10" t="str">
        <x:v>IEK</x:v>
      </x:c>
      <x:c r="B609" s="34" t="str">
        <x:v>130300166_</x:v>
      </x:c>
      <x:c r="C609" s="34"/>
      <x:c r="D609" s="13" t="str">
        <x:v>Основание контакт. ДП-33 габарит 00 (160А) IEK  (3/72) !!!</x:v>
      </x:c>
      <x:c r="E609" s="10" t="str">
        <x:v>шт</x:v>
      </x:c>
      <x:c r="F609" s="37" t="n">
        <x:f>MAX(0,ROUNDDOWN((AG609-AF609)/AR609+0.000000001,0)*AR609)</x:f>
        <x:v>36</x:v>
      </x:c>
      <x:c r="G609" s="21" t="str">
        <x:f>IF(J609="Рассчитано",V609*(1-R609/100)-W609-P609-Q609,"н/д")</x:f>
        <x:v>н/д</x:v>
      </x:c>
      <x:c r="H609" s="13" t="str">
        <x:v>Высокий</x:v>
      </x:c>
      <x:c r="I609" s="13" t="str">
        <x:v>Высокий</x:v>
      </x:c>
      <x:c r="J609" s="13" t="str">
        <x:f>IF(L609="","Укажите валюту",IF(NOT(ISNUMBER(K609)),"Укажите объём",IF(K609&lt;=0,"Укажите объём",IF(K609&gt;F609,"Объём выше излишка",IF(COUNT(M609:O609)&lt;3,"Нужны цены",IF(COUNT(P609:R609)&lt;3,"Нужны расходы",IF(OR(M609&lt;0,N609&lt;0,O609&lt;0,O609&gt;100,P609&lt;0,Q609&lt;0,R609&lt;0,R609&gt;100),"Проверьте значения","Рассчитано")))))))</x:f>
        <x:v>Нужны цены</x:v>
      </x:c>
      <x:c r="K609" s="36" t="n">
        <x:v>36</x:v>
      </x:c>
      <x:c r="L609" s="19" t="str">
        <x:v>KZT</x:v>
      </x:c>
      <x:c r="M609" s="22"/>
      <x:c r="N609" s="22"/>
      <x:c r="O609" s="28"/>
      <x:c r="P609" s="22"/>
      <x:c r="Q609" s="22"/>
      <x:c r="R609" s="28"/>
      <x:c r="S609" s="22"/>
      <x:c r="T609" s="37" t="n">
        <x:f>K609</x:f>
        <x:v>36</x:v>
      </x:c>
      <x:c r="U609" s="21" t="str">
        <x:f>IF(J609="Рассчитано",N609*(1-O609/100),"н/д")</x:f>
        <x:v>н/д</x:v>
      </x:c>
      <x:c r="V609" s="21" t="str">
        <x:f>IF(J609="Рассчитано",T609*U609,"н/д")</x:f>
        <x:v>н/д</x:v>
      </x:c>
      <x:c r="W609" s="21" t="str">
        <x:f>IF(J609="Рассчитано",T609*M609,"н/д")</x:f>
        <x:v>н/д</x:v>
      </x:c>
      <x:c r="X609" s="21" t="str">
        <x:f>IF(J609="Рассчитано",V609-W609,"н/д")</x:f>
        <x:v>н/д</x:v>
      </x:c>
      <x:c r="Y609" s="27" t="str">
        <x:f>IF(J609="Рассчитано",IF(V609&gt;0,G609/V609,"н/д"),"н/д")</x:f>
        <x:v>н/д</x:v>
      </x:c>
      <x:c r="Z609" s="21" t="str">
        <x:f>"н/д"</x:f>
        <x:v>н/д</x:v>
      </x:c>
      <x:c r="AA609" s="21" t="str">
        <x:f>"н/д"</x:f>
        <x:v>н/д</x:v>
      </x:c>
      <x:c r="AB609" s="21" t="str">
        <x:f>"н/д"</x:f>
        <x:v>н/д</x:v>
      </x:c>
      <x:c r="AC609" s="21" t="str">
        <x:f>IF(AND(J609="Рассчитано",T609&gt;0,R609&lt;100),(W609+P609+Q609)/(T609*(1-R609/100)),"н/д")</x:f>
        <x:v>н/д</x:v>
      </x:c>
      <x:c r="AD609" s="10" t="str">
        <x:f>IF(ISNUMBER(G609),IF(G609&lt;0,"Убыток",IF(G609=0,"Без прибыли","Прибыль &gt; 0")),"Не оценён")</x:f>
        <x:v>Не оценён</x:v>
      </x:c>
      <x:c r="AE609" s="13" t="str">
        <x:f>IF(J609="Рассчитано","Выручка "&amp;TEXT(V609,"0.00")&amp;" - себестоимость "&amp;TEXT(W609,"0.00")&amp;" - комиссия "&amp;TEXT(V609*R609/100,"0.00")&amp;" - доставка "&amp;TEXT(P609,"0.00")&amp;" - прочие "&amp;TEXT(Q609,"0.00")&amp;" = "&amp;TEXT(G609,"0.00")&amp;" "&amp;L609,"Введите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9" s="24" t="n">
        <x:v>0</x:v>
      </x:c>
      <x:c r="AG609" s="37" t="n">
        <x:v>36</x:v>
      </x:c>
      <x:c r="AH609" s="37" t="n">
        <x:v>0</x:v>
      </x:c>
      <x:c r="AI609" s="30" t="n">
        <x:v>46266</x:v>
      </x:c>
      <x:c r="AJ609" s="37"/>
      <x:c r="AK609" s="10" t="str">
        <x:v>неизвестно</x:v>
      </x:c>
      <x:c r="AL609" s="32" t="str">
        <x:v>н/д</x:v>
      </x:c>
      <x:c r="AM60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609" s="13" t="str">
        <x:v>Проверить свободный остаток и установить цену для B2B</x:v>
      </x:c>
      <x:c r="AO609" s="13" t="str">
        <x:v>Остаток 36; прогноз 90 дней 0.00; избыток 36 шт. Будущие поступления не выставляются на продажу. Остаток на начало сентября: требуется актуализация.</x:v>
      </x:c>
      <x:c r="AP609" s="13" t="str">
        <x:v>["category_missing", "daily_stockout_data_missing", "moq_missing", "new_order_lead_time_unknown", "reservations_unknown", "stale_stock", "supplier_sku_missing"]</x:v>
      </x:c>
      <x:c r="AQ609" s="10" t="str">
        <x:v>IEK:130300166_</x:v>
      </x:c>
      <x:c r="AR609" s="24" t="n">
        <x:v>1</x:v>
      </x:c>
      <x:c r="AS609" s="24" t="n">
        <x:v>0</x:v>
      </x:c>
      <x:c r="AT609" s="24" t="n">
        <x:v>0</x:v>
      </x:c>
    </x:row>
    <x:row r="610" ht="64" customHeight="1">
      <x:c r="A610" s="11" t="str">
        <x:v>IEK</x:v>
      </x:c>
      <x:c r="B610" s="33" t="str">
        <x:v>130300207_</x:v>
      </x:c>
      <x:c r="C610" s="33" t="str">
        <x:v>MOP20-2-C</x:v>
      </x:c>
      <x:c r="D610" s="12" t="str">
        <x:v>ОПС1-C 2Р In=20kA Un=400B Im=40kA IEK</x:v>
      </x:c>
      <x:c r="E610" s="11" t="str">
        <x:v>шт</x:v>
      </x:c>
      <x:c r="F610" s="35" t="n">
        <x:f>MAX(0,ROUNDDOWN((AG610-AF610)/AR610+0.000000001,0)*AR610)</x:f>
        <x:v>5</x:v>
      </x:c>
      <x:c r="G610" s="20" t="str">
        <x:f>IF(J610="Рассчитано",V610*(1-R610/100)-W610-P610-Q610,"н/д")</x:f>
        <x:v>н/д</x:v>
      </x:c>
      <x:c r="H610" s="12" t="str">
        <x:v>Высокий</x:v>
      </x:c>
      <x:c r="I610" s="12" t="str">
        <x:v>Средний</x:v>
      </x:c>
      <x:c r="J610" s="12" t="str">
        <x:f>IF(L610="","Укажите валюту",IF(NOT(ISNUMBER(K610)),"Укажите объём",IF(K610&lt;=0,"Укажите объём",IF(K610&gt;F610,"Объём выше излишка",IF(COUNT(M610:O610)&lt;3,"Нужны цены",IF(COUNT(P610:R610)&lt;3,"Нужны расходы",IF(OR(M610&lt;0,N610&lt;0,O610&lt;0,O610&gt;100,P610&lt;0,Q610&lt;0,R610&lt;0,R610&gt;100),"Проверьте значения","Рассчитано")))))))</x:f>
        <x:v>Нужны цены</x:v>
      </x:c>
      <x:c r="K610" s="36" t="n">
        <x:v>5</x:v>
      </x:c>
      <x:c r="L610" s="19" t="str">
        <x:v>KZT</x:v>
      </x:c>
      <x:c r="M610" s="22"/>
      <x:c r="N610" s="22"/>
      <x:c r="O610" s="28"/>
      <x:c r="P610" s="22"/>
      <x:c r="Q610" s="22"/>
      <x:c r="R610" s="28"/>
      <x:c r="S610" s="22"/>
      <x:c r="T610" s="35" t="n">
        <x:f>K610</x:f>
        <x:v>5</x:v>
      </x:c>
      <x:c r="U610" s="20" t="str">
        <x:f>IF(J610="Рассчитано",N610*(1-O610/100),"н/д")</x:f>
        <x:v>н/д</x:v>
      </x:c>
      <x:c r="V610" s="20" t="str">
        <x:f>IF(J610="Рассчитано",T610*U610,"н/д")</x:f>
        <x:v>н/д</x:v>
      </x:c>
      <x:c r="W610" s="20" t="str">
        <x:f>IF(J610="Рассчитано",T610*M610,"н/д")</x:f>
        <x:v>н/д</x:v>
      </x:c>
      <x:c r="X610" s="20" t="str">
        <x:f>IF(J610="Рассчитано",V610-W610,"н/д")</x:f>
        <x:v>н/д</x:v>
      </x:c>
      <x:c r="Y610" s="26" t="str">
        <x:f>IF(J610="Рассчитано",IF(V610&gt;0,G610/V610,"н/д"),"н/д")</x:f>
        <x:v>н/д</x:v>
      </x:c>
      <x:c r="Z610" s="20" t="str">
        <x:f>"н/д"</x:f>
        <x:v>н/д</x:v>
      </x:c>
      <x:c r="AA610" s="20" t="str">
        <x:f>"н/д"</x:f>
        <x:v>н/д</x:v>
      </x:c>
      <x:c r="AB610" s="20" t="str">
        <x:f>"н/д"</x:f>
        <x:v>н/д</x:v>
      </x:c>
      <x:c r="AC610" s="20" t="str">
        <x:f>IF(AND(J610="Рассчитано",T610&gt;0,R610&lt;100),(W610+P610+Q610)/(T610*(1-R610/100)),"н/д")</x:f>
        <x:v>н/д</x:v>
      </x:c>
      <x:c r="AD610" s="11" t="str">
        <x:f>IF(ISNUMBER(G610),IF(G610&lt;0,"Убыток",IF(G610=0,"Без прибыли","Прибыль &gt; 0")),"Не оценён")</x:f>
        <x:v>Не оценён</x:v>
      </x:c>
      <x:c r="AE610" s="12" t="str">
        <x:f>IF(J610="Рассчитано","Выручка "&amp;TEXT(V610,"0.00")&amp;" - себестоимость "&amp;TEXT(W610,"0.00")&amp;" - комиссия "&amp;TEXT(V610*R610/100,"0.00")&amp;" - доставка "&amp;TEXT(P610,"0.00")&amp;" - прочие "&amp;TEXT(Q610,"0.00")&amp;" = "&amp;TEXT(G610,"0.00")&amp;" "&amp;L610,"Введите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0" s="23" t="n">
        <x:v>6.161612964486888</x:v>
      </x:c>
      <x:c r="AG610" s="35" t="n">
        <x:v>12</x:v>
      </x:c>
      <x:c r="AH610" s="35" t="n">
        <x:v>0</x:v>
      </x:c>
      <x:c r="AI610" s="29" t="n">
        <x:v>46266</x:v>
      </x:c>
      <x:c r="AJ610" s="35" t="n">
        <x:v>1</x:v>
      </x:c>
      <x:c r="AK610" s="11" t="str">
        <x:v>минимум</x:v>
      </x:c>
      <x:c r="AL610" s="31" t="n">
        <x:v>165.6173667387315</x:v>
      </x:c>
      <x:c r="AM610" s="12" t="str">
        <x:v>Остаток на начало сентября; Резервы неизвестны; Нет ежедневных данных доступности. Запас выше прогноза на 90 дней</x:v>
      </x:c>
      <x:c r="AN610" s="12" t="str">
        <x:v>Проверить свободный остаток и установить цену для B2B</x:v>
      </x:c>
      <x:c r="AO610" s="12" t="str">
        <x:v>Остаток 12; прогноз 90 дней 6.16; избыток 5 шт. Будущие поступления не выставляются на продажу. Остаток на начало сентября: требуется актуализация.</x:v>
      </x:c>
      <x:c r="AP610" s="12" t="str">
        <x:v>["category_missing", "daily_stockout_data_missing", "large_orders_detected", "new_order_lead_time_unknown", "reservations_unknown", "stale_stock"]</x:v>
      </x:c>
      <x:c r="AQ610" s="11" t="str">
        <x:v>IEK:130300207_</x:v>
      </x:c>
      <x:c r="AR610" s="23" t="n">
        <x:v>1</x:v>
      </x:c>
      <x:c r="AS610" s="23" t="n">
        <x:v>0</x:v>
      </x:c>
      <x:c r="AT610" s="23" t="n">
        <x:v>0</x:v>
      </x:c>
    </x:row>
    <x:row r="611" ht="64" customHeight="1">
      <x:c r="A611" s="10" t="str">
        <x:v>IEK</x:v>
      </x:c>
      <x:c r="B611" s="34" t="str">
        <x:v>130300210_</x:v>
      </x:c>
      <x:c r="C611" s="34"/>
      <x:c r="D611" s="13" t="str">
        <x:v>Основание контакт. ДП-33 габарит 0 (160А) IEK  (3/54) !!!</x:v>
      </x:c>
      <x:c r="E611" s="10" t="str">
        <x:v>шт</x:v>
      </x:c>
      <x:c r="F611" s="37" t="n">
        <x:f>MAX(0,ROUNDDOWN((AG611-AF611)/AR611+0.000000001,0)*AR611)</x:f>
        <x:v>4</x:v>
      </x:c>
      <x:c r="G611" s="21" t="str">
        <x:f>IF(J611="Рассчитано",V611*(1-R611/100)-W611-P611-Q611,"н/д")</x:f>
        <x:v>н/д</x:v>
      </x:c>
      <x:c r="H611" s="13" t="str">
        <x:v>Высокий</x:v>
      </x:c>
      <x:c r="I611" s="13" t="str">
        <x:v>Высокий</x:v>
      </x:c>
      <x:c r="J611" s="13" t="str">
        <x:f>IF(L611="","Укажите валюту",IF(NOT(ISNUMBER(K611)),"Укажите объём",IF(K611&lt;=0,"Укажите объём",IF(K611&gt;F611,"Объём выше излишка",IF(COUNT(M611:O611)&lt;3,"Нужны цены",IF(COUNT(P611:R611)&lt;3,"Нужны расходы",IF(OR(M611&lt;0,N611&lt;0,O611&lt;0,O611&gt;100,P611&lt;0,Q611&lt;0,R611&lt;0,R611&gt;100),"Проверьте значения","Рассчитано")))))))</x:f>
        <x:v>Нужны цены</x:v>
      </x:c>
      <x:c r="K611" s="36" t="n">
        <x:v>4</x:v>
      </x:c>
      <x:c r="L611" s="19" t="str">
        <x:v>KZT</x:v>
      </x:c>
      <x:c r="M611" s="22"/>
      <x:c r="N611" s="22"/>
      <x:c r="O611" s="28"/>
      <x:c r="P611" s="22"/>
      <x:c r="Q611" s="22"/>
      <x:c r="R611" s="28"/>
      <x:c r="S611" s="22"/>
      <x:c r="T611" s="37" t="n">
        <x:f>K611</x:f>
        <x:v>4</x:v>
      </x:c>
      <x:c r="U611" s="21" t="str">
        <x:f>IF(J611="Рассчитано",N611*(1-O611/100),"н/д")</x:f>
        <x:v>н/д</x:v>
      </x:c>
      <x:c r="V611" s="21" t="str">
        <x:f>IF(J611="Рассчитано",T611*U611,"н/д")</x:f>
        <x:v>н/д</x:v>
      </x:c>
      <x:c r="W611" s="21" t="str">
        <x:f>IF(J611="Рассчитано",T611*M611,"н/д")</x:f>
        <x:v>н/д</x:v>
      </x:c>
      <x:c r="X611" s="21" t="str">
        <x:f>IF(J611="Рассчитано",V611-W611,"н/д")</x:f>
        <x:v>н/д</x:v>
      </x:c>
      <x:c r="Y611" s="27" t="str">
        <x:f>IF(J611="Рассчитано",IF(V611&gt;0,G611/V611,"н/д"),"н/д")</x:f>
        <x:v>н/д</x:v>
      </x:c>
      <x:c r="Z611" s="21" t="str">
        <x:f>"н/д"</x:f>
        <x:v>н/д</x:v>
      </x:c>
      <x:c r="AA611" s="21" t="str">
        <x:f>"н/д"</x:f>
        <x:v>н/д</x:v>
      </x:c>
      <x:c r="AB611" s="21" t="str">
        <x:f>"н/д"</x:f>
        <x:v>н/д</x:v>
      </x:c>
      <x:c r="AC611" s="21" t="str">
        <x:f>IF(AND(J611="Рассчитано",T611&gt;0,R611&lt;100),(W611+P611+Q611)/(T611*(1-R611/100)),"н/д")</x:f>
        <x:v>н/д</x:v>
      </x:c>
      <x:c r="AD611" s="10" t="str">
        <x:f>IF(ISNUMBER(G611),IF(G611&lt;0,"Убыток",IF(G611=0,"Без прибыли","Прибыль &gt; 0")),"Не оценён")</x:f>
        <x:v>Не оценён</x:v>
      </x:c>
      <x:c r="AE611" s="13" t="str">
        <x:f>IF(J611="Рассчитано","Выручка "&amp;TEXT(V611,"0.00")&amp;" - себестоимость "&amp;TEXT(W611,"0.00")&amp;" - комиссия "&amp;TEXT(V611*R611/100,"0.00")&amp;" - доставка "&amp;TEXT(P611,"0.00")&amp;" - прочие "&amp;TEXT(Q611,"0.00")&amp;" = "&amp;TEXT(G611,"0.00")&amp;" "&amp;L611,"Введите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1" s="24" t="n">
        <x:v>0</x:v>
      </x:c>
      <x:c r="AG611" s="37" t="n">
        <x:v>4</x:v>
      </x:c>
      <x:c r="AH611" s="37" t="n">
        <x:v>0</x:v>
      </x:c>
      <x:c r="AI611" s="30" t="n">
        <x:v>46266</x:v>
      </x:c>
      <x:c r="AJ611" s="37"/>
      <x:c r="AK611" s="10" t="str">
        <x:v>неизвестно</x:v>
      </x:c>
      <x:c r="AL611" s="32" t="str">
        <x:v>н/д</x:v>
      </x:c>
      <x:c r="AM611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611" s="13" t="str">
        <x:v>Проверить свободный остаток и установить цену для B2B</x:v>
      </x:c>
      <x:c r="AO611" s="13" t="str">
        <x:v>Остаток 4; прогноз 90 дней 0.00; избыток 4 шт. Будущие поступления не выставляются на продажу. Остаток на начало сентября: требуется актуализация.</x:v>
      </x:c>
      <x:c r="AP611" s="13" t="str">
        <x:v>["category_missing", "daily_stockout_data_missing", "moq_missing", "new_order_lead_time_unknown", "reservations_unknown", "stale_stock", "supplier_sku_missing"]</x:v>
      </x:c>
      <x:c r="AQ611" s="10" t="str">
        <x:v>IEK:130300210_</x:v>
      </x:c>
      <x:c r="AR611" s="24" t="n">
        <x:v>1</x:v>
      </x:c>
      <x:c r="AS611" s="24" t="n">
        <x:v>0</x:v>
      </x:c>
      <x:c r="AT611" s="24" t="n">
        <x:v>0</x:v>
      </x:c>
    </x:row>
    <x:row r="612" ht="64" customHeight="1">
      <x:c r="A612" s="11" t="str">
        <x:v>IEK</x:v>
      </x:c>
      <x:c r="B612" s="33" t="str">
        <x:v>130300223_</x:v>
      </x:c>
      <x:c r="C612" s="33" t="str">
        <x:v>YZN10-002-K03</x:v>
      </x:c>
      <x:c r="D612" s="12" t="str">
        <x:v>ЗНИ  2.5мм ² (24А) серый  IEK (50)</x:v>
      </x:c>
      <x:c r="E612" s="11" t="str">
        <x:v>шт</x:v>
      </x:c>
      <x:c r="F612" s="35" t="n">
        <x:f>MAX(0,ROUNDDOWN((AG612-AF612)/AR612+0.000000001,0)*AR612)</x:f>
        <x:v>7</x:v>
      </x:c>
      <x:c r="G612" s="20" t="str">
        <x:f>IF(J612="Рассчитано",V612*(1-R612/100)-W612-P612-Q612,"н/д")</x:f>
        <x:v>н/д</x:v>
      </x:c>
      <x:c r="H612" s="12" t="str">
        <x:v>Высокий</x:v>
      </x:c>
      <x:c r="I612" s="12" t="str">
        <x:v>Высокий</x:v>
      </x:c>
      <x:c r="J612" s="12" t="str">
        <x:f>IF(L612="","Укажите валюту",IF(NOT(ISNUMBER(K612)),"Укажите объём",IF(K612&lt;=0,"Укажите объём",IF(K612&gt;F612,"Объём выше излишка",IF(COUNT(M612:O612)&lt;3,"Нужны цены",IF(COUNT(P612:R612)&lt;3,"Нужны расходы",IF(OR(M612&lt;0,N612&lt;0,O612&lt;0,O612&gt;100,P612&lt;0,Q612&lt;0,R612&lt;0,R612&gt;100),"Проверьте значения","Рассчитано")))))))</x:f>
        <x:v>Нужны цены</x:v>
      </x:c>
      <x:c r="K612" s="36" t="n">
        <x:v>7</x:v>
      </x:c>
      <x:c r="L612" s="19" t="str">
        <x:v>KZT</x:v>
      </x:c>
      <x:c r="M612" s="22"/>
      <x:c r="N612" s="22"/>
      <x:c r="O612" s="28"/>
      <x:c r="P612" s="22"/>
      <x:c r="Q612" s="22"/>
      <x:c r="R612" s="28"/>
      <x:c r="S612" s="22"/>
      <x:c r="T612" s="35" t="n">
        <x:f>K612</x:f>
        <x:v>7</x:v>
      </x:c>
      <x:c r="U612" s="20" t="str">
        <x:f>IF(J612="Рассчитано",N612*(1-O612/100),"н/д")</x:f>
        <x:v>н/д</x:v>
      </x:c>
      <x:c r="V612" s="20" t="str">
        <x:f>IF(J612="Рассчитано",T612*U612,"н/д")</x:f>
        <x:v>н/д</x:v>
      </x:c>
      <x:c r="W612" s="20" t="str">
        <x:f>IF(J612="Рассчитано",T612*M612,"н/д")</x:f>
        <x:v>н/д</x:v>
      </x:c>
      <x:c r="X612" s="20" t="str">
        <x:f>IF(J612="Рассчитано",V612-W612,"н/д")</x:f>
        <x:v>н/д</x:v>
      </x:c>
      <x:c r="Y612" s="26" t="str">
        <x:f>IF(J612="Рассчитано",IF(V612&gt;0,G612/V612,"н/д"),"н/д")</x:f>
        <x:v>н/д</x:v>
      </x:c>
      <x:c r="Z612" s="20" t="str">
        <x:f>"н/д"</x:f>
        <x:v>н/д</x:v>
      </x:c>
      <x:c r="AA612" s="20" t="str">
        <x:f>"н/д"</x:f>
        <x:v>н/д</x:v>
      </x:c>
      <x:c r="AB612" s="20" t="str">
        <x:f>"н/д"</x:f>
        <x:v>н/д</x:v>
      </x:c>
      <x:c r="AC612" s="20" t="str">
        <x:f>IF(AND(J612="Рассчитано",T612&gt;0,R612&lt;100),(W612+P612+Q612)/(T612*(1-R612/100)),"н/д")</x:f>
        <x:v>н/д</x:v>
      </x:c>
      <x:c r="AD612" s="11" t="str">
        <x:f>IF(ISNUMBER(G612),IF(G612&lt;0,"Убыток",IF(G612=0,"Без прибыли","Прибыль &gt; 0")),"Не оценён")</x:f>
        <x:v>Не оценён</x:v>
      </x:c>
      <x:c r="AE612" s="12" t="str">
        <x:f>IF(J612="Рассчитано","Выручка "&amp;TEXT(V612,"0.00")&amp;" - себестоимость "&amp;TEXT(W612,"0.00")&amp;" - комиссия "&amp;TEXT(V612*R612/100,"0.00")&amp;" - доставка "&amp;TEXT(P612,"0.00")&amp;" - прочие "&amp;TEXT(Q612,"0.00")&amp;" = "&amp;TEXT(G612,"0.00")&amp;" "&amp;L612,"Введите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2" s="23" t="n">
        <x:v>5.8224707189663425</x:v>
      </x:c>
      <x:c r="AG612" s="35" t="n">
        <x:v>13</x:v>
      </x:c>
      <x:c r="AH612" s="35" t="n">
        <x:v>0</x:v>
      </x:c>
      <x:c r="AI612" s="29" t="n">
        <x:v>46266</x:v>
      </x:c>
      <x:c r="AJ612" s="35"/>
      <x:c r="AK612" s="11" t="str">
        <x:v>неизвестно</x:v>
      </x:c>
      <x:c r="AL612" s="31" t="n">
        <x:v>189.86944607734156</x:v>
      </x:c>
      <x:c r="AM61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12" s="12" t="str">
        <x:v>Проверить свободный остаток и установить цену для B2B</x:v>
      </x:c>
      <x:c r="AO612" s="12" t="str">
        <x:v>Остаток 13; прогноз 90 дней 5.82; избыток 7 шт. Будущие поступления не выставляются на продажу. Остаток на начало сентября: требуется актуализация.</x:v>
      </x:c>
      <x:c r="AP612" s="12" t="str">
        <x:v>["category_missing", "daily_stockout_data_missing", "moq_missing", "new_order_lead_time_unknown", "reservations_unknown", "stale_stock"]</x:v>
      </x:c>
      <x:c r="AQ612" s="11" t="str">
        <x:v>IEK:130300223_</x:v>
      </x:c>
      <x:c r="AR612" s="23" t="n">
        <x:v>1</x:v>
      </x:c>
      <x:c r="AS612" s="23" t="n">
        <x:v>0</x:v>
      </x:c>
      <x:c r="AT612" s="23" t="n">
        <x:v>0</x:v>
      </x:c>
    </x:row>
    <x:row r="613" ht="64" customHeight="1">
      <x:c r="A613" s="10" t="str">
        <x:v>IEK</x:v>
      </x:c>
      <x:c r="B613" s="34" t="str">
        <x:v>130300233_</x:v>
      </x:c>
      <x:c r="C613" s="34" t="str">
        <x:v>YZN10-010-K07</x:v>
      </x:c>
      <x:c r="D613" s="13" t="str">
        <x:v>ЗНИ 10мм ² (70А) синий  IEK (40)</x:v>
      </x:c>
      <x:c r="E613" s="10" t="str">
        <x:v>шт</x:v>
      </x:c>
      <x:c r="F613" s="37" t="n">
        <x:f>MAX(0,ROUNDDOWN((AG613-AF613)/AR613+0.000000001,0)*AR613)</x:f>
        <x:v>6</x:v>
      </x:c>
      <x:c r="G613" s="21" t="str">
        <x:f>IF(J613="Рассчитано",V613*(1-R613/100)-W613-P613-Q613,"н/д")</x:f>
        <x:v>н/д</x:v>
      </x:c>
      <x:c r="H613" s="13" t="str">
        <x:v>Высокий</x:v>
      </x:c>
      <x:c r="I613" s="13" t="str">
        <x:v>Высокий</x:v>
      </x:c>
      <x:c r="J613" s="13" t="str">
        <x:f>IF(L613="","Укажите валюту",IF(NOT(ISNUMBER(K613)),"Укажите объём",IF(K613&lt;=0,"Укажите объём",IF(K613&gt;F613,"Объём выше излишка",IF(COUNT(M613:O613)&lt;3,"Нужны цены",IF(COUNT(P613:R613)&lt;3,"Нужны расходы",IF(OR(M613&lt;0,N613&lt;0,O613&lt;0,O613&gt;100,P613&lt;0,Q613&lt;0,R613&lt;0,R613&gt;100),"Проверьте значения","Рассчитано")))))))</x:f>
        <x:v>Нужны цены</x:v>
      </x:c>
      <x:c r="K613" s="36" t="n">
        <x:v>6</x:v>
      </x:c>
      <x:c r="L613" s="19" t="str">
        <x:v>KZT</x:v>
      </x:c>
      <x:c r="M613" s="22"/>
      <x:c r="N613" s="22"/>
      <x:c r="O613" s="28"/>
      <x:c r="P613" s="22"/>
      <x:c r="Q613" s="22"/>
      <x:c r="R613" s="28"/>
      <x:c r="S613" s="22"/>
      <x:c r="T613" s="37" t="n">
        <x:f>K613</x:f>
        <x:v>6</x:v>
      </x:c>
      <x:c r="U613" s="21" t="str">
        <x:f>IF(J613="Рассчитано",N613*(1-O613/100),"н/д")</x:f>
        <x:v>н/д</x:v>
      </x:c>
      <x:c r="V613" s="21" t="str">
        <x:f>IF(J613="Рассчитано",T613*U613,"н/д")</x:f>
        <x:v>н/д</x:v>
      </x:c>
      <x:c r="W613" s="21" t="str">
        <x:f>IF(J613="Рассчитано",T613*M613,"н/д")</x:f>
        <x:v>н/д</x:v>
      </x:c>
      <x:c r="X613" s="21" t="str">
        <x:f>IF(J613="Рассчитано",V613-W613,"н/д")</x:f>
        <x:v>н/д</x:v>
      </x:c>
      <x:c r="Y613" s="27" t="str">
        <x:f>IF(J613="Рассчитано",IF(V613&gt;0,G613/V613,"н/д"),"н/д")</x:f>
        <x:v>н/д</x:v>
      </x:c>
      <x:c r="Z613" s="21" t="str">
        <x:f>"н/д"</x:f>
        <x:v>н/д</x:v>
      </x:c>
      <x:c r="AA613" s="21" t="str">
        <x:f>"н/д"</x:f>
        <x:v>н/д</x:v>
      </x:c>
      <x:c r="AB613" s="21" t="str">
        <x:f>"н/д"</x:f>
        <x:v>н/д</x:v>
      </x:c>
      <x:c r="AC613" s="21" t="str">
        <x:f>IF(AND(J613="Рассчитано",T613&gt;0,R613&lt;100),(W613+P613+Q613)/(T613*(1-R613/100)),"н/д")</x:f>
        <x:v>н/д</x:v>
      </x:c>
      <x:c r="AD613" s="10" t="str">
        <x:f>IF(ISNUMBER(G613),IF(G613&lt;0,"Убыток",IF(G613=0,"Без прибыли","Прибыль &gt; 0")),"Не оценён")</x:f>
        <x:v>Не оценён</x:v>
      </x:c>
      <x:c r="AE613" s="13" t="str">
        <x:f>IF(J613="Рассчитано","Выручка "&amp;TEXT(V613,"0.00")&amp;" - себестоимость "&amp;TEXT(W613,"0.00")&amp;" - комиссия "&amp;TEXT(V613*R613/100,"0.00")&amp;" - доставка "&amp;TEXT(P613,"0.00")&amp;" - прочие "&amp;TEXT(Q613,"0.00")&amp;" = "&amp;TEXT(G613,"0.00")&amp;" "&amp;L613,"Введите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3" s="24" t="n">
        <x:v>0</x:v>
      </x:c>
      <x:c r="AG613" s="37" t="n">
        <x:v>6</x:v>
      </x:c>
      <x:c r="AH613" s="37" t="n">
        <x:v>0</x:v>
      </x:c>
      <x:c r="AI613" s="30" t="n">
        <x:v>46266</x:v>
      </x:c>
      <x:c r="AJ613" s="37"/>
      <x:c r="AK613" s="10" t="str">
        <x:v>неизвестно</x:v>
      </x:c>
      <x:c r="AL613" s="32" t="str">
        <x:v>н/д</x:v>
      </x:c>
      <x:c r="AM61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13" s="13" t="str">
        <x:v>Проверить свободный остаток и установить цену для B2B</x:v>
      </x:c>
      <x:c r="AO613" s="13" t="str">
        <x:v>Остаток 6; прогноз 90 дней 0.00; избыток 6 шт. Будущие поступления не выставляются на продажу. Остаток на начало сентября: требуется актуализация.</x:v>
      </x:c>
      <x:c r="AP613" s="13" t="str">
        <x:v>["category_missing", "daily_stockout_data_missing", "moq_missing", "new_order_lead_time_unknown", "reservations_unknown", "stale_stock"]</x:v>
      </x:c>
      <x:c r="AQ613" s="10" t="str">
        <x:v>IEK:130300233_</x:v>
      </x:c>
      <x:c r="AR613" s="24" t="n">
        <x:v>1</x:v>
      </x:c>
      <x:c r="AS613" s="24" t="n">
        <x:v>0</x:v>
      </x:c>
      <x:c r="AT613" s="24" t="n">
        <x:v>0</x:v>
      </x:c>
    </x:row>
    <x:row r="614" ht="64" customHeight="1">
      <x:c r="A614" s="11" t="str">
        <x:v>IEK</x:v>
      </x:c>
      <x:c r="B614" s="33" t="str">
        <x:v>130300275_</x:v>
      </x:c>
      <x:c r="C614" s="33" t="str">
        <x:v>USC-10-8-100</x:v>
      </x:c>
      <x:c r="D614" s="12" t="str">
        <x:v>Сизы-1 (9-25мм) серый IEK (100)</x:v>
      </x:c>
      <x:c r="E614" s="11" t="str">
        <x:v>упак</x:v>
      </x:c>
      <x:c r="F614" s="35" t="n">
        <x:f>MAX(0,ROUNDDOWN((AG614-AF614)/AR614+0.000000001,0)*AR614)</x:f>
        <x:v>2</x:v>
      </x:c>
      <x:c r="G614" s="20" t="str">
        <x:f>IF(J614="Рассчитано",V614*(1-R614/100)-W614-P614-Q614,"н/д")</x:f>
        <x:v>н/д</x:v>
      </x:c>
      <x:c r="H614" s="12" t="str">
        <x:v>Высокий</x:v>
      </x:c>
      <x:c r="I614" s="12" t="str">
        <x:v>Высокий</x:v>
      </x:c>
      <x:c r="J614" s="12" t="str">
        <x:f>IF(L614="","Укажите валюту",IF(NOT(ISNUMBER(K614)),"Укажите объём",IF(K614&lt;=0,"Укажите объём",IF(K614&gt;F614,"Объём выше излишка",IF(COUNT(M614:O614)&lt;3,"Нужны цены",IF(COUNT(P614:R614)&lt;3,"Нужны расходы",IF(OR(M614&lt;0,N614&lt;0,O614&lt;0,O614&gt;100,P614&lt;0,Q614&lt;0,R614&lt;0,R614&gt;100),"Проверьте значения","Рассчитано")))))))</x:f>
        <x:v>Нужны цены</x:v>
      </x:c>
      <x:c r="K614" s="36" t="n">
        <x:v>2</x:v>
      </x:c>
      <x:c r="L614" s="19" t="str">
        <x:v>KZT</x:v>
      </x:c>
      <x:c r="M614" s="22"/>
      <x:c r="N614" s="22"/>
      <x:c r="O614" s="28"/>
      <x:c r="P614" s="22"/>
      <x:c r="Q614" s="22"/>
      <x:c r="R614" s="28"/>
      <x:c r="S614" s="22"/>
      <x:c r="T614" s="35" t="n">
        <x:f>K614</x:f>
        <x:v>2</x:v>
      </x:c>
      <x:c r="U614" s="20" t="str">
        <x:f>IF(J614="Рассчитано",N614*(1-O614/100),"н/д")</x:f>
        <x:v>н/д</x:v>
      </x:c>
      <x:c r="V614" s="20" t="str">
        <x:f>IF(J614="Рассчитано",T614*U614,"н/д")</x:f>
        <x:v>н/д</x:v>
      </x:c>
      <x:c r="W614" s="20" t="str">
        <x:f>IF(J614="Рассчитано",T614*M614,"н/д")</x:f>
        <x:v>н/д</x:v>
      </x:c>
      <x:c r="X614" s="20" t="str">
        <x:f>IF(J614="Рассчитано",V614-W614,"н/д")</x:f>
        <x:v>н/д</x:v>
      </x:c>
      <x:c r="Y614" s="26" t="str">
        <x:f>IF(J614="Рассчитано",IF(V614&gt;0,G614/V614,"н/д"),"н/д")</x:f>
        <x:v>н/д</x:v>
      </x:c>
      <x:c r="Z614" s="20" t="str">
        <x:f>"н/д"</x:f>
        <x:v>н/д</x:v>
      </x:c>
      <x:c r="AA614" s="20" t="str">
        <x:f>"н/д"</x:f>
        <x:v>н/д</x:v>
      </x:c>
      <x:c r="AB614" s="20" t="str">
        <x:f>"н/д"</x:f>
        <x:v>н/д</x:v>
      </x:c>
      <x:c r="AC614" s="20" t="str">
        <x:f>IF(AND(J614="Рассчитано",T614&gt;0,R614&lt;100),(W614+P614+Q614)/(T614*(1-R614/100)),"н/д")</x:f>
        <x:v>н/д</x:v>
      </x:c>
      <x:c r="AD614" s="11" t="str">
        <x:f>IF(ISNUMBER(G614),IF(G614&lt;0,"Убыток",IF(G614=0,"Без прибыли","Прибыль &gt; 0")),"Не оценён")</x:f>
        <x:v>Не оценён</x:v>
      </x:c>
      <x:c r="AE614" s="12" t="str">
        <x:f>IF(J614="Рассчитано","Выручка "&amp;TEXT(V614,"0.00")&amp;" - себестоимость "&amp;TEXT(W614,"0.00")&amp;" - комиссия "&amp;TEXT(V614*R614/100,"0.00")&amp;" - доставка "&amp;TEXT(P614,"0.00")&amp;" - прочие "&amp;TEXT(Q614,"0.00")&amp;" = "&amp;TEXT(G614,"0.00")&amp;" "&amp;L614,"Введите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4" s="23" t="n">
        <x:v>0</x:v>
      </x:c>
      <x:c r="AG614" s="35" t="n">
        <x:v>2</x:v>
      </x:c>
      <x:c r="AH614" s="35" t="n">
        <x:v>0</x:v>
      </x:c>
      <x:c r="AI614" s="29" t="n">
        <x:v>46266</x:v>
      </x:c>
      <x:c r="AJ614" s="35"/>
      <x:c r="AK614" s="11" t="str">
        <x:v>неизвестно</x:v>
      </x:c>
      <x:c r="AL614" s="31" t="str">
        <x:v>н/д</x:v>
      </x:c>
      <x:c r="AM61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14" s="12" t="str">
        <x:v>Проверить свободный остаток и установить цену для B2B</x:v>
      </x:c>
      <x:c r="AO614" s="12" t="str">
        <x:v>Остаток 2; прогноз 90 дней 0.00; избыток 2 упак. Будущие поступления не выставляются на продажу. Остаток на начало сентября: требуется актуализация.</x:v>
      </x:c>
      <x:c r="AP614" s="12" t="str">
        <x:v>["category_missing", "daily_stockout_data_missing", "moq_missing", "new_order_lead_time_unknown", "reservations_unknown", "stale_stock"]</x:v>
      </x:c>
      <x:c r="AQ614" s="11" t="str">
        <x:v>IEK:130300275_</x:v>
      </x:c>
      <x:c r="AR614" s="23" t="n">
        <x:v>1</x:v>
      </x:c>
      <x:c r="AS614" s="23" t="n">
        <x:v>0</x:v>
      </x:c>
      <x:c r="AT614" s="23" t="n">
        <x:v>0</x:v>
      </x:c>
    </x:row>
    <x:row r="615" ht="64" customHeight="1">
      <x:c r="A615" s="10" t="str">
        <x:v>IEK</x:v>
      </x:c>
      <x:c r="B615" s="34" t="str">
        <x:v>130300287_</x:v>
      </x:c>
      <x:c r="C615" s="34" t="str">
        <x:v>LDD10-008-1100-001</x:v>
      </x:c>
      <x:c r="D615" s="13" t="str">
        <x:v>Датчик движения ДД 008 белый,до 1100 Вт,дальность 12 м IP44 IEK (48)</x:v>
      </x:c>
      <x:c r="E615" s="10" t="str">
        <x:v>шт</x:v>
      </x:c>
      <x:c r="F615" s="37" t="n">
        <x:f>MAX(0,ROUNDDOWN((AG615-AF615)/AR615+0.000000001,0)*AR615)</x:f>
        <x:v>23</x:v>
      </x:c>
      <x:c r="G615" s="21" t="str">
        <x:f>IF(J615="Рассчитано",V615*(1-R615/100)-W615-P615-Q615,"н/д")</x:f>
        <x:v>н/д</x:v>
      </x:c>
      <x:c r="H615" s="13" t="str">
        <x:v>Высокий</x:v>
      </x:c>
      <x:c r="I615" s="13" t="str">
        <x:v>Средний</x:v>
      </x:c>
      <x:c r="J615" s="13" t="str">
        <x:f>IF(L615="","Укажите валюту",IF(NOT(ISNUMBER(K615)),"Укажите объём",IF(K615&lt;=0,"Укажите объём",IF(K615&gt;F615,"Объём выше излишка",IF(COUNT(M615:O615)&lt;3,"Нужны цены",IF(COUNT(P615:R615)&lt;3,"Нужны расходы",IF(OR(M615&lt;0,N615&lt;0,O615&lt;0,O615&gt;100,P615&lt;0,Q615&lt;0,R615&lt;0,R615&gt;100),"Проверьте значения","Рассчитано")))))))</x:f>
        <x:v>Нужны цены</x:v>
      </x:c>
      <x:c r="K615" s="36" t="n">
        <x:v>23</x:v>
      </x:c>
      <x:c r="L615" s="19" t="str">
        <x:v>KZT</x:v>
      </x:c>
      <x:c r="M615" s="22"/>
      <x:c r="N615" s="22"/>
      <x:c r="O615" s="28"/>
      <x:c r="P615" s="22"/>
      <x:c r="Q615" s="22"/>
      <x:c r="R615" s="28"/>
      <x:c r="S615" s="22"/>
      <x:c r="T615" s="37" t="n">
        <x:f>K615</x:f>
        <x:v>23</x:v>
      </x:c>
      <x:c r="U615" s="21" t="str">
        <x:f>IF(J615="Рассчитано",N615*(1-O615/100),"н/д")</x:f>
        <x:v>н/д</x:v>
      </x:c>
      <x:c r="V615" s="21" t="str">
        <x:f>IF(J615="Рассчитано",T615*U615,"н/д")</x:f>
        <x:v>н/д</x:v>
      </x:c>
      <x:c r="W615" s="21" t="str">
        <x:f>IF(J615="Рассчитано",T615*M615,"н/д")</x:f>
        <x:v>н/д</x:v>
      </x:c>
      <x:c r="X615" s="21" t="str">
        <x:f>IF(J615="Рассчитано",V615-W615,"н/д")</x:f>
        <x:v>н/д</x:v>
      </x:c>
      <x:c r="Y615" s="27" t="str">
        <x:f>IF(J615="Рассчитано",IF(V615&gt;0,G615/V615,"н/д"),"н/д")</x:f>
        <x:v>н/д</x:v>
      </x:c>
      <x:c r="Z615" s="21" t="str">
        <x:f>"н/д"</x:f>
        <x:v>н/д</x:v>
      </x:c>
      <x:c r="AA615" s="21" t="str">
        <x:f>"н/д"</x:f>
        <x:v>н/д</x:v>
      </x:c>
      <x:c r="AB615" s="21" t="str">
        <x:f>"н/д"</x:f>
        <x:v>н/д</x:v>
      </x:c>
      <x:c r="AC615" s="21" t="str">
        <x:f>IF(AND(J615="Рассчитано",T615&gt;0,R615&lt;100),(W615+P615+Q615)/(T615*(1-R615/100)),"н/д")</x:f>
        <x:v>н/д</x:v>
      </x:c>
      <x:c r="AD615" s="10" t="str">
        <x:f>IF(ISNUMBER(G615),IF(G615&lt;0,"Убыток",IF(G615=0,"Без прибыли","Прибыль &gt; 0")),"Не оценён")</x:f>
        <x:v>Не оценён</x:v>
      </x:c>
      <x:c r="AE615" s="13" t="str">
        <x:f>IF(J615="Рассчитано","Выручка "&amp;TEXT(V615,"0.00")&amp;" - себестоимость "&amp;TEXT(W615,"0.00")&amp;" - комиссия "&amp;TEXT(V615*R615/100,"0.00")&amp;" - доставка "&amp;TEXT(P615,"0.00")&amp;" - прочие "&amp;TEXT(Q615,"0.00")&amp;" = "&amp;TEXT(G615,"0.00")&amp;" "&amp;L615,"Введите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5" s="24" t="n">
        <x:v>39.28359153784612</x:v>
      </x:c>
      <x:c r="AG615" s="37" t="n">
        <x:v>63</x:v>
      </x:c>
      <x:c r="AH615" s="37" t="n">
        <x:v>0</x:v>
      </x:c>
      <x:c r="AI615" s="30" t="n">
        <x:v>46266</x:v>
      </x:c>
      <x:c r="AJ615" s="37" t="n">
        <x:v>1</x:v>
      </x:c>
      <x:c r="AK615" s="10" t="str">
        <x:v>минимум</x:v>
      </x:c>
      <x:c r="AL615" s="32" t="n">
        <x:v>136.379284301353</x:v>
      </x:c>
      <x:c r="AM615" s="13" t="str">
        <x:v>Остаток на начало сентября; Резервы неизвестны; Нет ежедневных данных доступности. Запас выше прогноза на 90 дней</x:v>
      </x:c>
      <x:c r="AN615" s="13" t="str">
        <x:v>Проверить свободный остаток и установить цену для B2B</x:v>
      </x:c>
      <x:c r="AO615" s="13" t="str">
        <x:v>Остаток 63; прогноз 90 дней 39.28; избыток 23 шт. Будущие поступления не выставляются на продажу. Остаток на начало сентября: требуется актуализация.</x:v>
      </x:c>
      <x:c r="AP615" s="13" t="str">
        <x:v>["category_missing", "daily_stockout_data_missing", "large_orders_detected", "new_order_lead_time_unknown", "reservations_unknown", "stale_stock"]</x:v>
      </x:c>
      <x:c r="AQ615" s="10" t="str">
        <x:v>IEK:130300287_</x:v>
      </x:c>
      <x:c r="AR615" s="24" t="n">
        <x:v>1</x:v>
      </x:c>
      <x:c r="AS615" s="24" t="n">
        <x:v>0</x:v>
      </x:c>
      <x:c r="AT615" s="24" t="n">
        <x:v>0</x:v>
      </x:c>
    </x:row>
    <x:row r="616" ht="64" customHeight="1">
      <x:c r="A616" s="11" t="str">
        <x:v>IEK</x:v>
      </x:c>
      <x:c r="B616" s="33" t="str">
        <x:v>130300288_</x:v>
      </x:c>
      <x:c r="C616" s="33" t="str">
        <x:v>LDD10-010-1100-001</x:v>
      </x:c>
      <x:c r="D616" s="12" t="str">
        <x:v>Датчик движения ДД 010 белый,до 1100 Вт,дальность 10 м IP44 IEK (48)</x:v>
      </x:c>
      <x:c r="E616" s="11" t="str">
        <x:v>шт</x:v>
      </x:c>
      <x:c r="F616" s="35" t="n">
        <x:f>MAX(0,ROUNDDOWN((AG616-AF616)/AR616+0.000000001,0)*AR616)</x:f>
        <x:v>8</x:v>
      </x:c>
      <x:c r="G616" s="20" t="str">
        <x:f>IF(J616="Рассчитано",V616*(1-R616/100)-W616-P616-Q616,"н/д")</x:f>
        <x:v>н/д</x:v>
      </x:c>
      <x:c r="H616" s="12" t="str">
        <x:v>Высокий</x:v>
      </x:c>
      <x:c r="I616" s="12" t="str">
        <x:v>Высокий</x:v>
      </x:c>
      <x:c r="J616" s="12" t="str">
        <x:f>IF(L616="","Укажите валюту",IF(NOT(ISNUMBER(K616)),"Укажите объём",IF(K616&lt;=0,"Укажите объём",IF(K616&gt;F616,"Объём выше излишка",IF(COUNT(M616:O616)&lt;3,"Нужны цены",IF(COUNT(P616:R616)&lt;3,"Нужны расходы",IF(OR(M616&lt;0,N616&lt;0,O616&lt;0,O616&gt;100,P616&lt;0,Q616&lt;0,R616&lt;0,R616&gt;100),"Проверьте значения","Рассчитано")))))))</x:f>
        <x:v>Нужны цены</x:v>
      </x:c>
      <x:c r="K616" s="36" t="n">
        <x:v>8</x:v>
      </x:c>
      <x:c r="L616" s="19" t="str">
        <x:v>KZT</x:v>
      </x:c>
      <x:c r="M616" s="22"/>
      <x:c r="N616" s="22"/>
      <x:c r="O616" s="28"/>
      <x:c r="P616" s="22"/>
      <x:c r="Q616" s="22"/>
      <x:c r="R616" s="28"/>
      <x:c r="S616" s="22"/>
      <x:c r="T616" s="35" t="n">
        <x:f>K616</x:f>
        <x:v>8</x:v>
      </x:c>
      <x:c r="U616" s="20" t="str">
        <x:f>IF(J616="Рассчитано",N616*(1-O616/100),"н/д")</x:f>
        <x:v>н/д</x:v>
      </x:c>
      <x:c r="V616" s="20" t="str">
        <x:f>IF(J616="Рассчитано",T616*U616,"н/д")</x:f>
        <x:v>н/д</x:v>
      </x:c>
      <x:c r="W616" s="20" t="str">
        <x:f>IF(J616="Рассчитано",T616*M616,"н/д")</x:f>
        <x:v>н/д</x:v>
      </x:c>
      <x:c r="X616" s="20" t="str">
        <x:f>IF(J616="Рассчитано",V616-W616,"н/д")</x:f>
        <x:v>н/д</x:v>
      </x:c>
      <x:c r="Y616" s="26" t="str">
        <x:f>IF(J616="Рассчитано",IF(V616&gt;0,G616/V616,"н/д"),"н/д")</x:f>
        <x:v>н/д</x:v>
      </x:c>
      <x:c r="Z616" s="20" t="str">
        <x:f>"н/д"</x:f>
        <x:v>н/д</x:v>
      </x:c>
      <x:c r="AA616" s="20" t="str">
        <x:f>"н/д"</x:f>
        <x:v>н/д</x:v>
      </x:c>
      <x:c r="AB616" s="20" t="str">
        <x:f>"н/д"</x:f>
        <x:v>н/д</x:v>
      </x:c>
      <x:c r="AC616" s="20" t="str">
        <x:f>IF(AND(J616="Рассчитано",T616&gt;0,R616&lt;100),(W616+P616+Q616)/(T616*(1-R616/100)),"н/д")</x:f>
        <x:v>н/д</x:v>
      </x:c>
      <x:c r="AD616" s="11" t="str">
        <x:f>IF(ISNUMBER(G616),IF(G616&lt;0,"Убыток",IF(G616=0,"Без прибыли","Прибыль &gt; 0")),"Не оценён")</x:f>
        <x:v>Не оценён</x:v>
      </x:c>
      <x:c r="AE616" s="12" t="str">
        <x:f>IF(J616="Рассчитано","Выручка "&amp;TEXT(V616,"0.00")&amp;" - себестоимость "&amp;TEXT(W616,"0.00")&amp;" - комиссия "&amp;TEXT(V616*R616/100,"0.00")&amp;" - доставка "&amp;TEXT(P616,"0.00")&amp;" - прочие "&amp;TEXT(Q616,"0.00")&amp;" = "&amp;TEXT(G616,"0.00")&amp;" "&amp;L616,"Введите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6" s="23" t="n">
        <x:v>3.7320483387708796</x:v>
      </x:c>
      <x:c r="AG616" s="35" t="n">
        <x:v>12</x:v>
      </x:c>
      <x:c r="AH616" s="35" t="n">
        <x:v>0</x:v>
      </x:c>
      <x:c r="AI616" s="29" t="n">
        <x:v>46266</x:v>
      </x:c>
      <x:c r="AJ616" s="35" t="n">
        <x:v>1</x:v>
      </x:c>
      <x:c r="AK616" s="11" t="str">
        <x:v>минимум</x:v>
      </x:c>
      <x:c r="AL616" s="31" t="n">
        <x:v>273.43432383773234</x:v>
      </x:c>
      <x:c r="AM61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16" s="12" t="str">
        <x:v>Проверить свободный остаток и установить цену для B2B</x:v>
      </x:c>
      <x:c r="AO616" s="12" t="str">
        <x:v>Остаток 12; прогноз 90 дней 3.73; избыток 8 шт. Будущие поступления не выставляются на продажу. Остаток на начало сентября: требуется актуализация.</x:v>
      </x:c>
      <x:c r="AP616" s="12" t="str">
        <x:v>["category_missing", "daily_stockout_data_missing", "new_order_lead_time_unknown", "reservations_unknown", "stale_stock"]</x:v>
      </x:c>
      <x:c r="AQ616" s="11" t="str">
        <x:v>IEK:130300288_</x:v>
      </x:c>
      <x:c r="AR616" s="23" t="n">
        <x:v>1</x:v>
      </x:c>
      <x:c r="AS616" s="23" t="n">
        <x:v>0</x:v>
      </x:c>
      <x:c r="AT616" s="23" t="n">
        <x:v>0</x:v>
      </x:c>
    </x:row>
    <x:row r="617" ht="64" customHeight="1">
      <x:c r="A617" s="10" t="str">
        <x:v>IEK</x:v>
      </x:c>
      <x:c r="B617" s="34" t="str">
        <x:v>130300292_</x:v>
      </x:c>
      <x:c r="C617" s="34" t="str">
        <x:v>TLK10-250</x:v>
      </x:c>
      <x:c r="D617" s="13" t="str">
        <x:v>Ножницы (секторные) для резки кабеля НК-250 IEK (240мм)</x:v>
      </x:c>
      <x:c r="E617" s="10" t="str">
        <x:v>шт</x:v>
      </x:c>
      <x:c r="F617" s="37" t="n">
        <x:f>MAX(0,ROUNDDOWN((AG617-AF617)/AR617+0.000000001,0)*AR617)</x:f>
        <x:v>1</x:v>
      </x:c>
      <x:c r="G617" s="21" t="str">
        <x:f>IF(J617="Рассчитано",V617*(1-R617/100)-W617-P617-Q617,"н/д")</x:f>
        <x:v>н/д</x:v>
      </x:c>
      <x:c r="H617" s="13" t="str">
        <x:v>Высокий</x:v>
      </x:c>
      <x:c r="I617" s="13" t="str">
        <x:v>Средний</x:v>
      </x:c>
      <x:c r="J617" s="13" t="str">
        <x:f>IF(L617="","Укажите валюту",IF(NOT(ISNUMBER(K617)),"Укажите объём",IF(K617&lt;=0,"Укажите объём",IF(K617&gt;F617,"Объём выше излишка",IF(COUNT(M617:O617)&lt;3,"Нужны цены",IF(COUNT(P617:R617)&lt;3,"Нужны расходы",IF(OR(M617&lt;0,N617&lt;0,O617&lt;0,O617&gt;100,P617&lt;0,Q617&lt;0,R617&lt;0,R617&gt;100),"Проверьте значения","Рассчитано")))))))</x:f>
        <x:v>Нужны цены</x:v>
      </x:c>
      <x:c r="K617" s="36" t="n">
        <x:v>1</x:v>
      </x:c>
      <x:c r="L617" s="19" t="str">
        <x:v>KZT</x:v>
      </x:c>
      <x:c r="M617" s="22"/>
      <x:c r="N617" s="22"/>
      <x:c r="O617" s="28"/>
      <x:c r="P617" s="22"/>
      <x:c r="Q617" s="22"/>
      <x:c r="R617" s="28"/>
      <x:c r="S617" s="22"/>
      <x:c r="T617" s="37" t="n">
        <x:f>K617</x:f>
        <x:v>1</x:v>
      </x:c>
      <x:c r="U617" s="21" t="str">
        <x:f>IF(J617="Рассчитано",N617*(1-O617/100),"н/д")</x:f>
        <x:v>н/д</x:v>
      </x:c>
      <x:c r="V617" s="21" t="str">
        <x:f>IF(J617="Рассчитано",T617*U617,"н/д")</x:f>
        <x:v>н/д</x:v>
      </x:c>
      <x:c r="W617" s="21" t="str">
        <x:f>IF(J617="Рассчитано",T617*M617,"н/д")</x:f>
        <x:v>н/д</x:v>
      </x:c>
      <x:c r="X617" s="21" t="str">
        <x:f>IF(J617="Рассчитано",V617-W617,"н/д")</x:f>
        <x:v>н/д</x:v>
      </x:c>
      <x:c r="Y617" s="27" t="str">
        <x:f>IF(J617="Рассчитано",IF(V617&gt;0,G617/V617,"н/д"),"н/д")</x:f>
        <x:v>н/д</x:v>
      </x:c>
      <x:c r="Z617" s="21" t="str">
        <x:f>"н/д"</x:f>
        <x:v>н/д</x:v>
      </x:c>
      <x:c r="AA617" s="21" t="str">
        <x:f>"н/д"</x:f>
        <x:v>н/д</x:v>
      </x:c>
      <x:c r="AB617" s="21" t="str">
        <x:f>"н/д"</x:f>
        <x:v>н/д</x:v>
      </x:c>
      <x:c r="AC617" s="21" t="str">
        <x:f>IF(AND(J617="Рассчитано",T617&gt;0,R617&lt;100),(W617+P617+Q617)/(T617*(1-R617/100)),"н/д")</x:f>
        <x:v>н/д</x:v>
      </x:c>
      <x:c r="AD617" s="10" t="str">
        <x:f>IF(ISNUMBER(G617),IF(G617&lt;0,"Убыток",IF(G617=0,"Без прибыли","Прибыль &gt; 0")),"Не оценён")</x:f>
        <x:v>Не оценён</x:v>
      </x:c>
      <x:c r="AE617" s="13" t="str">
        <x:f>IF(J617="Рассчитано","Выручка "&amp;TEXT(V617,"0.00")&amp;" - себестоимость "&amp;TEXT(W617,"0.00")&amp;" - комиссия "&amp;TEXT(V617*R617/100,"0.00")&amp;" - доставка "&amp;TEXT(P617,"0.00")&amp;" - прочие "&amp;TEXT(Q617,"0.00")&amp;" = "&amp;TEXT(G617,"0.00")&amp;" "&amp;L617,"Введите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7" s="24" t="n">
        <x:v>4.066757960069834</x:v>
      </x:c>
      <x:c r="AG617" s="37" t="n">
        <x:v>6</x:v>
      </x:c>
      <x:c r="AH617" s="37" t="n">
        <x:v>5</x:v>
      </x:c>
      <x:c r="AI617" s="30" t="n">
        <x:v>46266</x:v>
      </x:c>
      <x:c r="AJ617" s="37" t="n">
        <x:v>1</x:v>
      </x:c>
      <x:c r="AK617" s="10" t="str">
        <x:v>минимум</x:v>
      </x:c>
      <x:c r="AL617" s="32" t="n">
        <x:v>125.46482038778956</x:v>
      </x:c>
      <x:c r="AM617" s="13" t="str">
        <x:v>Остаток на начало сентября; Резервы неизвестны; Нет ежедневных данных доступности. Запас выше прогноза на 90 дней</x:v>
      </x:c>
      <x:c r="AN617" s="13" t="str">
        <x:v>Проверить свободный остаток и установить цену для B2B</x:v>
      </x:c>
      <x:c r="AO617" s="13" t="str">
        <x:v>Остаток 6; прогноз 90 дней 4.07; избыток 1 шт. Будущие поступления не выставляются на продажу. Остаток на начало сентября: требуется актуализация.</x:v>
      </x:c>
      <x:c r="AP617" s="13" t="str">
        <x:v>["category_missing", "daily_stockout_data_missing", "new_order_lead_time_unknown", "reservations_unknown", "stale_stock"]</x:v>
      </x:c>
      <x:c r="AQ617" s="10" t="str">
        <x:v>IEK:130300292_</x:v>
      </x:c>
      <x:c r="AR617" s="24" t="n">
        <x:v>1</x:v>
      </x:c>
      <x:c r="AS617" s="24" t="n">
        <x:v>0</x:v>
      </x:c>
      <x:c r="AT617" s="24" t="n">
        <x:v>0</x:v>
      </x:c>
    </x:row>
    <x:row r="618" ht="64" customHeight="1">
      <x:c r="A618" s="11" t="str">
        <x:v>IEK</x:v>
      </x:c>
      <x:c r="B618" s="33" t="str">
        <x:v>130300449_</x:v>
      </x:c>
      <x:c r="C618" s="33" t="str">
        <x:v>UZA-51-100</x:v>
      </x:c>
      <x:c r="D618" s="12" t="str">
        <x:v>Скрепа СУ-20 IEK (100)</x:v>
      </x:c>
      <x:c r="E618" s="11" t="str">
        <x:v>упак</x:v>
      </x:c>
      <x:c r="F618" s="35" t="n">
        <x:f>MAX(0,ROUNDDOWN((AG618-AF618)/AR618+0.000000001,0)*AR618)</x:f>
        <x:v>1</x:v>
      </x:c>
      <x:c r="G618" s="20" t="str">
        <x:f>IF(J618="Рассчитано",V618*(1-R618/100)-W618-P618-Q618,"н/д")</x:f>
        <x:v>н/д</x:v>
      </x:c>
      <x:c r="H618" s="12" t="str">
        <x:v>Высокий</x:v>
      </x:c>
      <x:c r="I618" s="12" t="str">
        <x:v>Средний</x:v>
      </x:c>
      <x:c r="J618" s="12" t="str">
        <x:f>IF(L618="","Укажите валюту",IF(NOT(ISNUMBER(K618)),"Укажите объём",IF(K618&lt;=0,"Укажите объём",IF(K618&gt;F618,"Объём выше излишка",IF(COUNT(M618:O618)&lt;3,"Нужны цены",IF(COUNT(P618:R618)&lt;3,"Нужны расходы",IF(OR(M618&lt;0,N618&lt;0,O618&lt;0,O618&gt;100,P618&lt;0,Q618&lt;0,R618&lt;0,R618&gt;100),"Проверьте значения","Рассчитано")))))))</x:f>
        <x:v>Нужны цены</x:v>
      </x:c>
      <x:c r="K618" s="36" t="n">
        <x:v>1</x:v>
      </x:c>
      <x:c r="L618" s="19" t="str">
        <x:v>KZT</x:v>
      </x:c>
      <x:c r="M618" s="22"/>
      <x:c r="N618" s="22"/>
      <x:c r="O618" s="28"/>
      <x:c r="P618" s="22"/>
      <x:c r="Q618" s="22"/>
      <x:c r="R618" s="28"/>
      <x:c r="S618" s="22"/>
      <x:c r="T618" s="35" t="n">
        <x:f>K618</x:f>
        <x:v>1</x:v>
      </x:c>
      <x:c r="U618" s="20" t="str">
        <x:f>IF(J618="Рассчитано",N618*(1-O618/100),"н/д")</x:f>
        <x:v>н/д</x:v>
      </x:c>
      <x:c r="V618" s="20" t="str">
        <x:f>IF(J618="Рассчитано",T618*U618,"н/д")</x:f>
        <x:v>н/д</x:v>
      </x:c>
      <x:c r="W618" s="20" t="str">
        <x:f>IF(J618="Рассчитано",T618*M618,"н/д")</x:f>
        <x:v>н/д</x:v>
      </x:c>
      <x:c r="X618" s="20" t="str">
        <x:f>IF(J618="Рассчитано",V618-W618,"н/д")</x:f>
        <x:v>н/д</x:v>
      </x:c>
      <x:c r="Y618" s="26" t="str">
        <x:f>IF(J618="Рассчитано",IF(V618&gt;0,G618/V618,"н/д"),"н/д")</x:f>
        <x:v>н/д</x:v>
      </x:c>
      <x:c r="Z618" s="20" t="str">
        <x:f>"н/д"</x:f>
        <x:v>н/д</x:v>
      </x:c>
      <x:c r="AA618" s="20" t="str">
        <x:f>"н/д"</x:f>
        <x:v>н/д</x:v>
      </x:c>
      <x:c r="AB618" s="20" t="str">
        <x:f>"н/д"</x:f>
        <x:v>н/д</x:v>
      </x:c>
      <x:c r="AC618" s="20" t="str">
        <x:f>IF(AND(J618="Рассчитано",T618&gt;0,R618&lt;100),(W618+P618+Q618)/(T618*(1-R618/100)),"н/д")</x:f>
        <x:v>н/д</x:v>
      </x:c>
      <x:c r="AD618" s="11" t="str">
        <x:f>IF(ISNUMBER(G618),IF(G618&lt;0,"Убыток",IF(G618=0,"Без прибыли","Прибыль &gt; 0")),"Не оценён")</x:f>
        <x:v>Не оценён</x:v>
      </x:c>
      <x:c r="AE618" s="12" t="str">
        <x:f>IF(J618="Рассчитано","Выручка "&amp;TEXT(V618,"0.00")&amp;" - себестоимость "&amp;TEXT(W618,"0.00")&amp;" - комиссия "&amp;TEXT(V618*R618/100,"0.00")&amp;" - доставка "&amp;TEXT(P618,"0.00")&amp;" - прочие "&amp;TEXT(Q618,"0.00")&amp;" = "&amp;TEXT(G618,"0.00")&amp;" "&amp;L618,"Введите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8" s="23" t="n">
        <x:v>2.234508833815287</x:v>
      </x:c>
      <x:c r="AG618" s="35" t="n">
        <x:v>4</x:v>
      </x:c>
      <x:c r="AH618" s="35" t="n">
        <x:v>0</x:v>
      </x:c>
      <x:c r="AI618" s="29" t="n">
        <x:v>46266</x:v>
      </x:c>
      <x:c r="AJ618" s="35" t="n">
        <x:v>1</x:v>
      </x:c>
      <x:c r="AK618" s="11" t="str">
        <x:v>минимум</x:v>
      </x:c>
      <x:c r="AL618" s="31" t="n">
        <x:v>152.22884758066456</x:v>
      </x:c>
      <x:c r="AM618" s="12" t="str">
        <x:v>Остаток на начало сентября; Резервы неизвестны; Нет ежедневных данных доступности. Запас выше прогноза на 90 дней</x:v>
      </x:c>
      <x:c r="AN618" s="12" t="str">
        <x:v>Проверить свободный остаток и установить цену для B2B</x:v>
      </x:c>
      <x:c r="AO618" s="12" t="str">
        <x:v>Остаток 4; прогноз 90 дней 2.23; избыток 1 упак. Будущие поступления не выставляются на продажу. Остаток на начало сентября: требуется актуализация.</x:v>
      </x:c>
      <x:c r="AP618" s="12" t="str">
        <x:v>["category_missing", "daily_stockout_data_missing", "new_order_lead_time_unknown", "reservations_unknown", "stale_stock"]</x:v>
      </x:c>
      <x:c r="AQ618" s="11" t="str">
        <x:v>IEK:130300449_</x:v>
      </x:c>
      <x:c r="AR618" s="23" t="n">
        <x:v>1</x:v>
      </x:c>
      <x:c r="AS618" s="23" t="n">
        <x:v>0</x:v>
      </x:c>
      <x:c r="AT618" s="23" t="n">
        <x:v>0</x:v>
      </x:c>
    </x:row>
    <x:row r="619" ht="64" customHeight="1">
      <x:c r="A619" s="10" t="str">
        <x:v>IEK</x:v>
      </x:c>
      <x:c r="B619" s="34" t="str">
        <x:v>130300471_</x:v>
      </x:c>
      <x:c r="C619" s="34" t="str">
        <x:v>UZA-50-100</x:v>
      </x:c>
      <x:c r="D619" s="13" t="str">
        <x:v>Скрепа СГ-20 IEK (100)</x:v>
      </x:c>
      <x:c r="E619" s="10" t="str">
        <x:v>упак</x:v>
      </x:c>
      <x:c r="F619" s="37" t="n">
        <x:f>MAX(0,ROUNDDOWN((AG619-AF619)/AR619+0.000000001,0)*AR619)</x:f>
        <x:v>4</x:v>
      </x:c>
      <x:c r="G619" s="21" t="str">
        <x:f>IF(J619="Рассчитано",V619*(1-R619/100)-W619-P619-Q619,"н/д")</x:f>
        <x:v>н/д</x:v>
      </x:c>
      <x:c r="H619" s="13" t="str">
        <x:v>Высокий</x:v>
      </x:c>
      <x:c r="I619" s="13" t="str">
        <x:v>Высокий</x:v>
      </x:c>
      <x:c r="J619" s="13" t="str">
        <x:f>IF(L619="","Укажите валюту",IF(NOT(ISNUMBER(K619)),"Укажите объём",IF(K619&lt;=0,"Укажите объём",IF(K619&gt;F619,"Объём выше излишка",IF(COUNT(M619:O619)&lt;3,"Нужны цены",IF(COUNT(P619:R619)&lt;3,"Нужны расходы",IF(OR(M619&lt;0,N619&lt;0,O619&lt;0,O619&gt;100,P619&lt;0,Q619&lt;0,R619&lt;0,R619&gt;100),"Проверьте значения","Рассчитано")))))))</x:f>
        <x:v>Нужны цены</x:v>
      </x:c>
      <x:c r="K619" s="36" t="n">
        <x:v>4</x:v>
      </x:c>
      <x:c r="L619" s="19" t="str">
        <x:v>KZT</x:v>
      </x:c>
      <x:c r="M619" s="22"/>
      <x:c r="N619" s="22"/>
      <x:c r="O619" s="28"/>
      <x:c r="P619" s="22"/>
      <x:c r="Q619" s="22"/>
      <x:c r="R619" s="28"/>
      <x:c r="S619" s="22"/>
      <x:c r="T619" s="37" t="n">
        <x:f>K619</x:f>
        <x:v>4</x:v>
      </x:c>
      <x:c r="U619" s="21" t="str">
        <x:f>IF(J619="Рассчитано",N619*(1-O619/100),"н/д")</x:f>
        <x:v>н/д</x:v>
      </x:c>
      <x:c r="V619" s="21" t="str">
        <x:f>IF(J619="Рассчитано",T619*U619,"н/д")</x:f>
        <x:v>н/д</x:v>
      </x:c>
      <x:c r="W619" s="21" t="str">
        <x:f>IF(J619="Рассчитано",T619*M619,"н/д")</x:f>
        <x:v>н/д</x:v>
      </x:c>
      <x:c r="X619" s="21" t="str">
        <x:f>IF(J619="Рассчитано",V619-W619,"н/д")</x:f>
        <x:v>н/д</x:v>
      </x:c>
      <x:c r="Y619" s="27" t="str">
        <x:f>IF(J619="Рассчитано",IF(V619&gt;0,G619/V619,"н/д"),"н/д")</x:f>
        <x:v>н/д</x:v>
      </x:c>
      <x:c r="Z619" s="21" t="str">
        <x:f>"н/д"</x:f>
        <x:v>н/д</x:v>
      </x:c>
      <x:c r="AA619" s="21" t="str">
        <x:f>"н/д"</x:f>
        <x:v>н/д</x:v>
      </x:c>
      <x:c r="AB619" s="21" t="str">
        <x:f>"н/д"</x:f>
        <x:v>н/д</x:v>
      </x:c>
      <x:c r="AC619" s="21" t="str">
        <x:f>IF(AND(J619="Рассчитано",T619&gt;0,R619&lt;100),(W619+P619+Q619)/(T619*(1-R619/100)),"н/д")</x:f>
        <x:v>н/д</x:v>
      </x:c>
      <x:c r="AD619" s="10" t="str">
        <x:f>IF(ISNUMBER(G619),IF(G619&lt;0,"Убыток",IF(G619=0,"Без прибыли","Прибыль &gt; 0")),"Не оценён")</x:f>
        <x:v>Не оценён</x:v>
      </x:c>
      <x:c r="AE619" s="13" t="str">
        <x:f>IF(J619="Рассчитано","Выручка "&amp;TEXT(V619,"0.00")&amp;" - себестоимость "&amp;TEXT(W619,"0.00")&amp;" - комиссия "&amp;TEXT(V619*R619/100,"0.00")&amp;" - доставка "&amp;TEXT(P619,"0.00")&amp;" - прочие "&amp;TEXT(Q619,"0.00")&amp;" = "&amp;TEXT(G619,"0.00")&amp;" "&amp;L619,"Введите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9" s="24" t="n">
        <x:v>1.652046474241949</x:v>
      </x:c>
      <x:c r="AG619" s="37" t="n">
        <x:v>6</x:v>
      </x:c>
      <x:c r="AH619" s="37" t="n">
        <x:v>4</x:v>
      </x:c>
      <x:c r="AI619" s="30" t="n">
        <x:v>46266</x:v>
      </x:c>
      <x:c r="AJ619" s="37" t="n">
        <x:v>4</x:v>
      </x:c>
      <x:c r="AK619" s="10" t="str">
        <x:v>минимум</x:v>
      </x:c>
      <x:c r="AL619" s="32" t="n">
        <x:v>308.8503047439383</x:v>
      </x:c>
      <x:c r="AM61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19" s="13" t="str">
        <x:v>Проверить свободный остаток и установить цену для B2B</x:v>
      </x:c>
      <x:c r="AO619" s="13" t="str">
        <x:v>Остаток 6; прогноз 90 дней 1.65; избыток 4 упак. Будущие поступления не выставляются на продажу. Остаток на начало сентября: требуется актуализация.</x:v>
      </x:c>
      <x:c r="AP619" s="13" t="str">
        <x:v>["category_missing", "daily_stockout_data_missing", "new_order_lead_time_unknown", "reservations_unknown", "stale_stock"]</x:v>
      </x:c>
      <x:c r="AQ619" s="10" t="str">
        <x:v>IEK:130300471_</x:v>
      </x:c>
      <x:c r="AR619" s="24" t="n">
        <x:v>1</x:v>
      </x:c>
      <x:c r="AS619" s="24" t="n">
        <x:v>0</x:v>
      </x:c>
      <x:c r="AT619" s="24" t="n">
        <x:v>0</x:v>
      </x:c>
    </x:row>
    <x:row r="620" ht="64" customHeight="1">
      <x:c r="A620" s="11" t="str">
        <x:v>IEK</x:v>
      </x:c>
      <x:c r="B620" s="33" t="str">
        <x:v>130300519_</x:v>
      </x:c>
      <x:c r="C620" s="33" t="str">
        <x:v>UZA-23-D25</x:v>
      </x:c>
      <x:c r="D620" s="12" t="str">
        <x:v>Гильза изолир. фазная ГИФ 25 IEK  (10)(200)</x:v>
      </x:c>
      <x:c r="E620" s="11" t="str">
        <x:v>шт</x:v>
      </x:c>
      <x:c r="F620" s="35" t="n">
        <x:f>MAX(0,ROUNDDOWN((AG620-AF620)/AR620+0.000000001,0)*AR620)</x:f>
        <x:v>5</x:v>
      </x:c>
      <x:c r="G620" s="20" t="str">
        <x:f>IF(J620="Рассчитано",V620*(1-R620/100)-W620-P620-Q620,"н/д")</x:f>
        <x:v>н/д</x:v>
      </x:c>
      <x:c r="H620" s="12" t="str">
        <x:v>Высокий</x:v>
      </x:c>
      <x:c r="I620" s="12" t="str">
        <x:v>Высокий</x:v>
      </x:c>
      <x:c r="J620" s="12" t="str">
        <x:f>IF(L620="","Укажите валюту",IF(NOT(ISNUMBER(K620)),"Укажите объём",IF(K620&lt;=0,"Укажите объём",IF(K620&gt;F620,"Объём выше излишка",IF(COUNT(M620:O620)&lt;3,"Нужны цены",IF(COUNT(P620:R620)&lt;3,"Нужны расходы",IF(OR(M620&lt;0,N620&lt;0,O620&lt;0,O620&gt;100,P620&lt;0,Q620&lt;0,R620&lt;0,R620&gt;100),"Проверьте значения","Рассчитано")))))))</x:f>
        <x:v>Нужны цены</x:v>
      </x:c>
      <x:c r="K620" s="36" t="n">
        <x:v>5</x:v>
      </x:c>
      <x:c r="L620" s="19" t="str">
        <x:v>KZT</x:v>
      </x:c>
      <x:c r="M620" s="22"/>
      <x:c r="N620" s="22"/>
      <x:c r="O620" s="28"/>
      <x:c r="P620" s="22"/>
      <x:c r="Q620" s="22"/>
      <x:c r="R620" s="28"/>
      <x:c r="S620" s="22"/>
      <x:c r="T620" s="35" t="n">
        <x:f>K620</x:f>
        <x:v>5</x:v>
      </x:c>
      <x:c r="U620" s="20" t="str">
        <x:f>IF(J620="Рассчитано",N620*(1-O620/100),"н/д")</x:f>
        <x:v>н/д</x:v>
      </x:c>
      <x:c r="V620" s="20" t="str">
        <x:f>IF(J620="Рассчитано",T620*U620,"н/д")</x:f>
        <x:v>н/д</x:v>
      </x:c>
      <x:c r="W620" s="20" t="str">
        <x:f>IF(J620="Рассчитано",T620*M620,"н/д")</x:f>
        <x:v>н/д</x:v>
      </x:c>
      <x:c r="X620" s="20" t="str">
        <x:f>IF(J620="Рассчитано",V620-W620,"н/д")</x:f>
        <x:v>н/д</x:v>
      </x:c>
      <x:c r="Y620" s="26" t="str">
        <x:f>IF(J620="Рассчитано",IF(V620&gt;0,G620/V620,"н/д"),"н/д")</x:f>
        <x:v>н/д</x:v>
      </x:c>
      <x:c r="Z620" s="20" t="str">
        <x:f>"н/д"</x:f>
        <x:v>н/д</x:v>
      </x:c>
      <x:c r="AA620" s="20" t="str">
        <x:f>"н/д"</x:f>
        <x:v>н/д</x:v>
      </x:c>
      <x:c r="AB620" s="20" t="str">
        <x:f>"н/д"</x:f>
        <x:v>н/д</x:v>
      </x:c>
      <x:c r="AC620" s="20" t="str">
        <x:f>IF(AND(J620="Рассчитано",T620&gt;0,R620&lt;100),(W620+P620+Q620)/(T620*(1-R620/100)),"н/д")</x:f>
        <x:v>н/д</x:v>
      </x:c>
      <x:c r="AD620" s="11" t="str">
        <x:f>IF(ISNUMBER(G620),IF(G620&lt;0,"Убыток",IF(G620=0,"Без прибыли","Прибыль &gt; 0")),"Не оценён")</x:f>
        <x:v>Не оценён</x:v>
      </x:c>
      <x:c r="AE620" s="12" t="str">
        <x:f>IF(J620="Рассчитано","Выручка "&amp;TEXT(V620,"0.00")&amp;" - себестоимость "&amp;TEXT(W620,"0.00")&amp;" - комиссия "&amp;TEXT(V620*R620/100,"0.00")&amp;" - доставка "&amp;TEXT(P620,"0.00")&amp;" - прочие "&amp;TEXT(Q620,"0.00")&amp;" = "&amp;TEXT(G620,"0.00")&amp;" "&amp;L620,"Введите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0" s="23" t="n">
        <x:v>0</x:v>
      </x:c>
      <x:c r="AG620" s="35" t="n">
        <x:v>5</x:v>
      </x:c>
      <x:c r="AH620" s="35" t="n">
        <x:v>10</x:v>
      </x:c>
      <x:c r="AI620" s="29" t="n">
        <x:v>46266</x:v>
      </x:c>
      <x:c r="AJ620" s="35" t="n">
        <x:v>10</x:v>
      </x:c>
      <x:c r="AK620" s="11" t="str">
        <x:v>минимум</x:v>
      </x:c>
      <x:c r="AL620" s="31" t="str">
        <x:v>н/д</x:v>
      </x:c>
      <x:c r="AM62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20" s="12" t="str">
        <x:v>Проверить свободный остаток и установить цену для B2B</x:v>
      </x:c>
      <x:c r="AO620" s="12" t="str">
        <x:v>Остаток 5; прогноз 90 дней 0.00; избыток 5 шт. Будущие поступления не выставляются на продажу. Остаток на начало сентября: требуется актуализация.</x:v>
      </x:c>
      <x:c r="AP620" s="12" t="str">
        <x:v>["category_missing", "daily_stockout_data_missing", "new_order_lead_time_unknown", "reservations_unknown", "stale_stock"]</x:v>
      </x:c>
      <x:c r="AQ620" s="11" t="str">
        <x:v>IEK:130300519_</x:v>
      </x:c>
      <x:c r="AR620" s="23" t="n">
        <x:v>1</x:v>
      </x:c>
      <x:c r="AS620" s="23" t="n">
        <x:v>0</x:v>
      </x:c>
      <x:c r="AT620" s="23" t="n">
        <x:v>0</x:v>
      </x:c>
    </x:row>
    <x:row r="621" ht="64" customHeight="1">
      <x:c r="A621" s="10" t="str">
        <x:v>IEK</x:v>
      </x:c>
      <x:c r="B621" s="34" t="str">
        <x:v>130300521_</x:v>
      </x:c>
      <x:c r="C621" s="34" t="str">
        <x:v>UZA-23-D50</x:v>
      </x:c>
      <x:c r="D621" s="13" t="str">
        <x:v>Гильза изолир. фазная ГИФ 50 IEK  (10)(200)</x:v>
      </x:c>
      <x:c r="E621" s="10" t="str">
        <x:v>шт</x:v>
      </x:c>
      <x:c r="F621" s="37" t="n">
        <x:f>MAX(0,ROUNDDOWN((AG621-AF621)/AR621+0.000000001,0)*AR621)</x:f>
        <x:v>12</x:v>
      </x:c>
      <x:c r="G621" s="21" t="str">
        <x:f>IF(J621="Рассчитано",V621*(1-R621/100)-W621-P621-Q621,"н/д")</x:f>
        <x:v>н/д</x:v>
      </x:c>
      <x:c r="H621" s="13" t="str">
        <x:v>Высокий</x:v>
      </x:c>
      <x:c r="I621" s="13" t="str">
        <x:v>Высокий</x:v>
      </x:c>
      <x:c r="J621" s="13" t="str">
        <x:f>IF(L621="","Укажите валюту",IF(NOT(ISNUMBER(K621)),"Укажите объём",IF(K621&lt;=0,"Укажите объём",IF(K621&gt;F621,"Объём выше излишка",IF(COUNT(M621:O621)&lt;3,"Нужны цены",IF(COUNT(P621:R621)&lt;3,"Нужны расходы",IF(OR(M621&lt;0,N621&lt;0,O621&lt;0,O621&gt;100,P621&lt;0,Q621&lt;0,R621&lt;0,R621&gt;100),"Проверьте значения","Рассчитано")))))))</x:f>
        <x:v>Нужны цены</x:v>
      </x:c>
      <x:c r="K621" s="36" t="n">
        <x:v>12</x:v>
      </x:c>
      <x:c r="L621" s="19" t="str">
        <x:v>KZT</x:v>
      </x:c>
      <x:c r="M621" s="22"/>
      <x:c r="N621" s="22"/>
      <x:c r="O621" s="28"/>
      <x:c r="P621" s="22"/>
      <x:c r="Q621" s="22"/>
      <x:c r="R621" s="28"/>
      <x:c r="S621" s="22"/>
      <x:c r="T621" s="37" t="n">
        <x:f>K621</x:f>
        <x:v>12</x:v>
      </x:c>
      <x:c r="U621" s="21" t="str">
        <x:f>IF(J621="Рассчитано",N621*(1-O621/100),"н/д")</x:f>
        <x:v>н/д</x:v>
      </x:c>
      <x:c r="V621" s="21" t="str">
        <x:f>IF(J621="Рассчитано",T621*U621,"н/д")</x:f>
        <x:v>н/д</x:v>
      </x:c>
      <x:c r="W621" s="21" t="str">
        <x:f>IF(J621="Рассчитано",T621*M621,"н/д")</x:f>
        <x:v>н/д</x:v>
      </x:c>
      <x:c r="X621" s="21" t="str">
        <x:f>IF(J621="Рассчитано",V621-W621,"н/д")</x:f>
        <x:v>н/д</x:v>
      </x:c>
      <x:c r="Y621" s="27" t="str">
        <x:f>IF(J621="Рассчитано",IF(V621&gt;0,G621/V621,"н/д"),"н/д")</x:f>
        <x:v>н/д</x:v>
      </x:c>
      <x:c r="Z621" s="21" t="str">
        <x:f>"н/д"</x:f>
        <x:v>н/д</x:v>
      </x:c>
      <x:c r="AA621" s="21" t="str">
        <x:f>"н/д"</x:f>
        <x:v>н/д</x:v>
      </x:c>
      <x:c r="AB621" s="21" t="str">
        <x:f>"н/д"</x:f>
        <x:v>н/д</x:v>
      </x:c>
      <x:c r="AC621" s="21" t="str">
        <x:f>IF(AND(J621="Рассчитано",T621&gt;0,R621&lt;100),(W621+P621+Q621)/(T621*(1-R621/100)),"н/д")</x:f>
        <x:v>н/д</x:v>
      </x:c>
      <x:c r="AD621" s="10" t="str">
        <x:f>IF(ISNUMBER(G621),IF(G621&lt;0,"Убыток",IF(G621=0,"Без прибыли","Прибыль &gt; 0")),"Не оценён")</x:f>
        <x:v>Не оценён</x:v>
      </x:c>
      <x:c r="AE621" s="13" t="str">
        <x:f>IF(J621="Рассчитано","Выручка "&amp;TEXT(V621,"0.00")&amp;" - себестоимость "&amp;TEXT(W621,"0.00")&amp;" - комиссия "&amp;TEXT(V621*R621/100,"0.00")&amp;" - доставка "&amp;TEXT(P621,"0.00")&amp;" - прочие "&amp;TEXT(Q621,"0.00")&amp;" = "&amp;TEXT(G621,"0.00")&amp;" "&amp;L621,"Введите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1" s="24" t="n">
        <x:v>0.7204060194005543</x:v>
      </x:c>
      <x:c r="AG621" s="37" t="n">
        <x:v>13</x:v>
      </x:c>
      <x:c r="AH621" s="37" t="n">
        <x:v>0</x:v>
      </x:c>
      <x:c r="AI621" s="30" t="n">
        <x:v>46266</x:v>
      </x:c>
      <x:c r="AJ621" s="37" t="n">
        <x:v>10</x:v>
      </x:c>
      <x:c r="AK621" s="10" t="str">
        <x:v>минимум</x:v>
      </x:c>
      <x:c r="AL621" s="32" t="n">
        <x:v>1534.5642046849746</x:v>
      </x:c>
      <x:c r="AM62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21" s="13" t="str">
        <x:v>Проверить свободный остаток и установить цену для B2B</x:v>
      </x:c>
      <x:c r="AO621" s="13" t="str">
        <x:v>Остаток 13; прогноз 90 дней 0.72; избыток 12 шт. Будущие поступления не выставляются на продажу. Остаток на начало сентября: требуется актуализация.</x:v>
      </x:c>
      <x:c r="AP621" s="13" t="str">
        <x:v>["category_missing", "daily_stockout_data_missing", "new_order_lead_time_unknown", "reservations_unknown", "stale_stock"]</x:v>
      </x:c>
      <x:c r="AQ621" s="10" t="str">
        <x:v>IEK:130300521_</x:v>
      </x:c>
      <x:c r="AR621" s="24" t="n">
        <x:v>1</x:v>
      </x:c>
      <x:c r="AS621" s="24" t="n">
        <x:v>0</x:v>
      </x:c>
      <x:c r="AT621" s="24" t="n">
        <x:v>0</x:v>
      </x:c>
    </x:row>
    <x:row r="622" ht="64" customHeight="1">
      <x:c r="A622" s="11" t="str">
        <x:v>IEK</x:v>
      </x:c>
      <x:c r="B622" s="33" t="str">
        <x:v>130300527_</x:v>
      </x:c>
      <x:c r="C622" s="33" t="str">
        <x:v>UZA-11-D06-D150</x:v>
      </x:c>
      <x:c r="D622" s="12" t="str">
        <x:v>ЗОИ 35-150/6-35 IEK (144)</x:v>
      </x:c>
      <x:c r="E622" s="11" t="str">
        <x:v>шт</x:v>
      </x:c>
      <x:c r="F622" s="35" t="n">
        <x:f>MAX(0,ROUNDDOWN((AG622-AF622)/AR622+0.000000001,0)*AR622)</x:f>
        <x:v>19</x:v>
      </x:c>
      <x:c r="G622" s="20" t="str">
        <x:f>IF(J622="Рассчитано",V622*(1-R622/100)-W622-P622-Q622,"н/д")</x:f>
        <x:v>н/д</x:v>
      </x:c>
      <x:c r="H622" s="12" t="str">
        <x:v>Высокий</x:v>
      </x:c>
      <x:c r="I622" s="12" t="str">
        <x:v>Средний</x:v>
      </x:c>
      <x:c r="J622" s="12" t="str">
        <x:f>IF(L622="","Укажите валюту",IF(NOT(ISNUMBER(K622)),"Укажите объём",IF(K622&lt;=0,"Укажите объём",IF(K622&gt;F622,"Объём выше излишка",IF(COUNT(M622:O622)&lt;3,"Нужны цены",IF(COUNT(P622:R622)&lt;3,"Нужны расходы",IF(OR(M622&lt;0,N622&lt;0,O622&lt;0,O622&gt;100,P622&lt;0,Q622&lt;0,R622&lt;0,R622&gt;100),"Проверьте значения","Рассчитано")))))))</x:f>
        <x:v>Нужны цены</x:v>
      </x:c>
      <x:c r="K622" s="36" t="n">
        <x:v>19</x:v>
      </x:c>
      <x:c r="L622" s="19" t="str">
        <x:v>KZT</x:v>
      </x:c>
      <x:c r="M622" s="22"/>
      <x:c r="N622" s="22"/>
      <x:c r="O622" s="28"/>
      <x:c r="P622" s="22"/>
      <x:c r="Q622" s="22"/>
      <x:c r="R622" s="28"/>
      <x:c r="S622" s="22"/>
      <x:c r="T622" s="35" t="n">
        <x:f>K622</x:f>
        <x:v>19</x:v>
      </x:c>
      <x:c r="U622" s="20" t="str">
        <x:f>IF(J622="Рассчитано",N622*(1-O622/100),"н/д")</x:f>
        <x:v>н/д</x:v>
      </x:c>
      <x:c r="V622" s="20" t="str">
        <x:f>IF(J622="Рассчитано",T622*U622,"н/д")</x:f>
        <x:v>н/д</x:v>
      </x:c>
      <x:c r="W622" s="20" t="str">
        <x:f>IF(J622="Рассчитано",T622*M622,"н/д")</x:f>
        <x:v>н/д</x:v>
      </x:c>
      <x:c r="X622" s="20" t="str">
        <x:f>IF(J622="Рассчитано",V622-W622,"н/д")</x:f>
        <x:v>н/д</x:v>
      </x:c>
      <x:c r="Y622" s="26" t="str">
        <x:f>IF(J622="Рассчитано",IF(V622&gt;0,G622/V622,"н/д"),"н/д")</x:f>
        <x:v>н/д</x:v>
      </x:c>
      <x:c r="Z622" s="20" t="str">
        <x:f>"н/д"</x:f>
        <x:v>н/д</x:v>
      </x:c>
      <x:c r="AA622" s="20" t="str">
        <x:f>"н/д"</x:f>
        <x:v>н/д</x:v>
      </x:c>
      <x:c r="AB622" s="20" t="str">
        <x:f>"н/д"</x:f>
        <x:v>н/д</x:v>
      </x:c>
      <x:c r="AC622" s="20" t="str">
        <x:f>IF(AND(J622="Рассчитано",T622&gt;0,R622&lt;100),(W622+P622+Q622)/(T622*(1-R622/100)),"н/д")</x:f>
        <x:v>н/д</x:v>
      </x:c>
      <x:c r="AD622" s="11" t="str">
        <x:f>IF(ISNUMBER(G622),IF(G622&lt;0,"Убыток",IF(G622=0,"Без прибыли","Прибыль &gt; 0")),"Не оценён")</x:f>
        <x:v>Не оценён</x:v>
      </x:c>
      <x:c r="AE622" s="12" t="str">
        <x:f>IF(J622="Рассчитано","Выручка "&amp;TEXT(V622,"0.00")&amp;" - себестоимость "&amp;TEXT(W622,"0.00")&amp;" - комиссия "&amp;TEXT(V622*R622/100,"0.00")&amp;" - доставка "&amp;TEXT(P622,"0.00")&amp;" - прочие "&amp;TEXT(Q622,"0.00")&amp;" = "&amp;TEXT(G622,"0.00")&amp;" "&amp;L622,"Введите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2" s="23" t="n">
        <x:v>608.3211113302275</x:v>
      </x:c>
      <x:c r="AG622" s="35" t="n">
        <x:v>628</x:v>
      </x:c>
      <x:c r="AH622" s="35" t="n">
        <x:v>288</x:v>
      </x:c>
      <x:c r="AI622" s="29" t="n">
        <x:v>46266</x:v>
      </x:c>
      <x:c r="AJ622" s="35" t="n">
        <x:v>144</x:v>
      </x:c>
      <x:c r="AK622" s="11" t="str">
        <x:v>минимум</x:v>
      </x:c>
      <x:c r="AL622" s="31" t="n">
        <x:v>87.79015168166735</x:v>
      </x:c>
      <x:c r="AM622" s="12" t="str">
        <x:v>Остаток на начало сентября; Резервы неизвестны; Нет ежедневных данных доступности. Запас выше прогноза на 90 дней</x:v>
      </x:c>
      <x:c r="AN622" s="12" t="str">
        <x:v>Проверить свободный остаток и установить цену для B2B</x:v>
      </x:c>
      <x:c r="AO622" s="12" t="str">
        <x:v>Остаток 628; прогноз 90 дней 608.32; избыток 19 шт. Будущие поступления не выставляются на продажу. Остаток на начало сентября: требуется актуализация.</x:v>
      </x:c>
      <x:c r="AP622" s="12" t="str">
        <x:v>["category_missing", "daily_stockout_data_missing", "new_order_lead_time_unknown", "reservations_unknown", "stale_stock"]</x:v>
      </x:c>
      <x:c r="AQ622" s="11" t="str">
        <x:v>IEK:130300527_</x:v>
      </x:c>
      <x:c r="AR622" s="23" t="n">
        <x:v>1</x:v>
      </x:c>
      <x:c r="AS622" s="23" t="n">
        <x:v>0</x:v>
      </x:c>
      <x:c r="AT622" s="23" t="n">
        <x:v>0</x:v>
      </x:c>
    </x:row>
    <x:row r="623" ht="64" customHeight="1">
      <x:c r="A623" s="10" t="str">
        <x:v>IEK</x:v>
      </x:c>
      <x:c r="B623" s="34" t="str">
        <x:v>130300533_</x:v>
      </x:c>
      <x:c r="C623" s="34" t="str">
        <x:v>UZA-14-D70-D95-27400</x:v>
      </x:c>
      <x:c r="D623" s="13" t="str">
        <x:v>Зажим анкерный ЗАС 4х70-95/27400 (HEL-5507) IEK (8)</x:v>
      </x:c>
      <x:c r="E623" s="10" t="str">
        <x:v>шт</x:v>
      </x:c>
      <x:c r="F623" s="37" t="n">
        <x:f>MAX(0,ROUNDDOWN((AG623-AF623)/AR623+0.000000001,0)*AR623)</x:f>
        <x:v>12</x:v>
      </x:c>
      <x:c r="G623" s="21" t="str">
        <x:f>IF(J623="Рассчитано",V623*(1-R623/100)-W623-P623-Q623,"н/д")</x:f>
        <x:v>н/д</x:v>
      </x:c>
      <x:c r="H623" s="13" t="str">
        <x:v>Высокий</x:v>
      </x:c>
      <x:c r="I623" s="13" t="str">
        <x:v>Средний</x:v>
      </x:c>
      <x:c r="J623" s="13" t="str">
        <x:f>IF(L623="","Укажите валюту",IF(NOT(ISNUMBER(K623)),"Укажите объём",IF(K623&lt;=0,"Укажите объём",IF(K623&gt;F623,"Объём выше излишка",IF(COUNT(M623:O623)&lt;3,"Нужны цены",IF(COUNT(P623:R623)&lt;3,"Нужны расходы",IF(OR(M623&lt;0,N623&lt;0,O623&lt;0,O623&gt;100,P623&lt;0,Q623&lt;0,R623&lt;0,R623&gt;100),"Проверьте значения","Рассчитано")))))))</x:f>
        <x:v>Нужны цены</x:v>
      </x:c>
      <x:c r="K623" s="36" t="n">
        <x:v>12</x:v>
      </x:c>
      <x:c r="L623" s="19" t="str">
        <x:v>KZT</x:v>
      </x:c>
      <x:c r="M623" s="22"/>
      <x:c r="N623" s="22"/>
      <x:c r="O623" s="28"/>
      <x:c r="P623" s="22"/>
      <x:c r="Q623" s="22"/>
      <x:c r="R623" s="28"/>
      <x:c r="S623" s="22"/>
      <x:c r="T623" s="37" t="n">
        <x:f>K623</x:f>
        <x:v>12</x:v>
      </x:c>
      <x:c r="U623" s="21" t="str">
        <x:f>IF(J623="Рассчитано",N623*(1-O623/100),"н/д")</x:f>
        <x:v>н/д</x:v>
      </x:c>
      <x:c r="V623" s="21" t="str">
        <x:f>IF(J623="Рассчитано",T623*U623,"н/д")</x:f>
        <x:v>н/д</x:v>
      </x:c>
      <x:c r="W623" s="21" t="str">
        <x:f>IF(J623="Рассчитано",T623*M623,"н/д")</x:f>
        <x:v>н/д</x:v>
      </x:c>
      <x:c r="X623" s="21" t="str">
        <x:f>IF(J623="Рассчитано",V623-W623,"н/д")</x:f>
        <x:v>н/д</x:v>
      </x:c>
      <x:c r="Y623" s="27" t="str">
        <x:f>IF(J623="Рассчитано",IF(V623&gt;0,G623/V623,"н/д"),"н/д")</x:f>
        <x:v>н/д</x:v>
      </x:c>
      <x:c r="Z623" s="21" t="str">
        <x:f>"н/д"</x:f>
        <x:v>н/д</x:v>
      </x:c>
      <x:c r="AA623" s="21" t="str">
        <x:f>"н/д"</x:f>
        <x:v>н/д</x:v>
      </x:c>
      <x:c r="AB623" s="21" t="str">
        <x:f>"н/д"</x:f>
        <x:v>н/д</x:v>
      </x:c>
      <x:c r="AC623" s="21" t="str">
        <x:f>IF(AND(J623="Рассчитано",T623&gt;0,R623&lt;100),(W623+P623+Q623)/(T623*(1-R623/100)),"н/д")</x:f>
        <x:v>н/д</x:v>
      </x:c>
      <x:c r="AD623" s="10" t="str">
        <x:f>IF(ISNUMBER(G623),IF(G623&lt;0,"Убыток",IF(G623=0,"Без прибыли","Прибыль &gt; 0")),"Не оценён")</x:f>
        <x:v>Не оценён</x:v>
      </x:c>
      <x:c r="AE623" s="13" t="str">
        <x:f>IF(J623="Рассчитано","Выручка "&amp;TEXT(V623,"0.00")&amp;" - себестоимость "&amp;TEXT(W623,"0.00")&amp;" - комиссия "&amp;TEXT(V623*R623/100,"0.00")&amp;" - доставка "&amp;TEXT(P623,"0.00")&amp;" - прочие "&amp;TEXT(Q623,"0.00")&amp;" = "&amp;TEXT(G623,"0.00")&amp;" "&amp;L623,"Введите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3" s="24" t="n">
        <x:v>17.31308762693548</x:v>
      </x:c>
      <x:c r="AG623" s="37" t="n">
        <x:v>30</x:v>
      </x:c>
      <x:c r="AH623" s="37" t="n">
        <x:v>10</x:v>
      </x:c>
      <x:c r="AI623" s="30" t="n">
        <x:v>46266</x:v>
      </x:c>
      <x:c r="AJ623" s="37" t="n">
        <x:v>1</x:v>
      </x:c>
      <x:c r="AK623" s="10" t="str">
        <x:v>минимум</x:v>
      </x:c>
      <x:c r="AL623" s="32" t="n">
        <x:v>147.35530369145658</x:v>
      </x:c>
      <x:c r="AM623" s="13" t="str">
        <x:v>Остаток на начало сентября; Резервы неизвестны; Нет ежедневных данных доступности. Запас выше прогноза на 90 дней</x:v>
      </x:c>
      <x:c r="AN623" s="13" t="str">
        <x:v>Проверить свободный остаток и установить цену для B2B</x:v>
      </x:c>
      <x:c r="AO623" s="13" t="str">
        <x:v>Остаток 30; прогноз 90 дней 17.31; избыток 12 шт. Будущие поступления не выставляются на продажу. Остаток на начало сентября: требуется актуализация.</x:v>
      </x:c>
      <x:c r="AP623" s="13" t="str">
        <x:v>["category_missing", "daily_stockout_data_missing", "new_order_lead_time_unknown", "reservations_unknown", "stale_stock"]</x:v>
      </x:c>
      <x:c r="AQ623" s="10" t="str">
        <x:v>IEK:130300533_</x:v>
      </x:c>
      <x:c r="AR623" s="24" t="n">
        <x:v>1</x:v>
      </x:c>
      <x:c r="AS623" s="24" t="n">
        <x:v>0</x:v>
      </x:c>
      <x:c r="AT623" s="24" t="n">
        <x:v>0</x:v>
      </x:c>
    </x:row>
    <x:row r="624" ht="64" customHeight="1">
      <x:c r="A624" s="11" t="str">
        <x:v>IEK</x:v>
      </x:c>
      <x:c r="B624" s="33" t="str">
        <x:v>130300534_</x:v>
      </x:c>
      <x:c r="C624" s="33" t="str">
        <x:v>UZP-11-S06-S095</x:v>
      </x:c>
      <x:c r="D624" s="12" t="str">
        <x:v>Зажим плашечный ЗП 6-95/6-95 (SL37.27) IEK (21)</x:v>
      </x:c>
      <x:c r="E624" s="11" t="str">
        <x:v>шт</x:v>
      </x:c>
      <x:c r="F624" s="35" t="n">
        <x:f>MAX(0,ROUNDDOWN((AG624-AF624)/AR624+0.000000001,0)*AR624)</x:f>
        <x:v>18</x:v>
      </x:c>
      <x:c r="G624" s="20" t="str">
        <x:f>IF(J624="Рассчитано",V624*(1-R624/100)-W624-P624-Q624,"н/д")</x:f>
        <x:v>н/д</x:v>
      </x:c>
      <x:c r="H624" s="12" t="str">
        <x:v>Высокий</x:v>
      </x:c>
      <x:c r="I624" s="12" t="str">
        <x:v>Высокий</x:v>
      </x:c>
      <x:c r="J624" s="12" t="str">
        <x:f>IF(L624="","Укажите валюту",IF(NOT(ISNUMBER(K624)),"Укажите объём",IF(K624&lt;=0,"Укажите объём",IF(K624&gt;F624,"Объём выше излишка",IF(COUNT(M624:O624)&lt;3,"Нужны цены",IF(COUNT(P624:R624)&lt;3,"Нужны расходы",IF(OR(M624&lt;0,N624&lt;0,O624&lt;0,O624&gt;100,P624&lt;0,Q624&lt;0,R624&lt;0,R624&gt;100),"Проверьте значения","Рассчитано")))))))</x:f>
        <x:v>Нужны цены</x:v>
      </x:c>
      <x:c r="K624" s="36" t="n">
        <x:v>18</x:v>
      </x:c>
      <x:c r="L624" s="19" t="str">
        <x:v>KZT</x:v>
      </x:c>
      <x:c r="M624" s="22"/>
      <x:c r="N624" s="22"/>
      <x:c r="O624" s="28"/>
      <x:c r="P624" s="22"/>
      <x:c r="Q624" s="22"/>
      <x:c r="R624" s="28"/>
      <x:c r="S624" s="22"/>
      <x:c r="T624" s="35" t="n">
        <x:f>K624</x:f>
        <x:v>18</x:v>
      </x:c>
      <x:c r="U624" s="20" t="str">
        <x:f>IF(J624="Рассчитано",N624*(1-O624/100),"н/д")</x:f>
        <x:v>н/д</x:v>
      </x:c>
      <x:c r="V624" s="20" t="str">
        <x:f>IF(J624="Рассчитано",T624*U624,"н/д")</x:f>
        <x:v>н/д</x:v>
      </x:c>
      <x:c r="W624" s="20" t="str">
        <x:f>IF(J624="Рассчитано",T624*M624,"н/д")</x:f>
        <x:v>н/д</x:v>
      </x:c>
      <x:c r="X624" s="20" t="str">
        <x:f>IF(J624="Рассчитано",V624-W624,"н/д")</x:f>
        <x:v>н/д</x:v>
      </x:c>
      <x:c r="Y624" s="26" t="str">
        <x:f>IF(J624="Рассчитано",IF(V624&gt;0,G624/V624,"н/д"),"н/д")</x:f>
        <x:v>н/д</x:v>
      </x:c>
      <x:c r="Z624" s="20" t="str">
        <x:f>"н/д"</x:f>
        <x:v>н/д</x:v>
      </x:c>
      <x:c r="AA624" s="20" t="str">
        <x:f>"н/д"</x:f>
        <x:v>н/д</x:v>
      </x:c>
      <x:c r="AB624" s="20" t="str">
        <x:f>"н/д"</x:f>
        <x:v>н/д</x:v>
      </x:c>
      <x:c r="AC624" s="20" t="str">
        <x:f>IF(AND(J624="Рассчитано",T624&gt;0,R624&lt;100),(W624+P624+Q624)/(T624*(1-R624/100)),"н/д")</x:f>
        <x:v>н/д</x:v>
      </x:c>
      <x:c r="AD624" s="11" t="str">
        <x:f>IF(ISNUMBER(G624),IF(G624&lt;0,"Убыток",IF(G624=0,"Без прибыли","Прибыль &gt; 0")),"Не оценён")</x:f>
        <x:v>Не оценён</x:v>
      </x:c>
      <x:c r="AE624" s="12" t="str">
        <x:f>IF(J624="Рассчитано","Выручка "&amp;TEXT(V624,"0.00")&amp;" - себестоимость "&amp;TEXT(W624,"0.00")&amp;" - комиссия "&amp;TEXT(V624*R624/100,"0.00")&amp;" - доставка "&amp;TEXT(P624,"0.00")&amp;" - прочие "&amp;TEXT(Q624,"0.00")&amp;" = "&amp;TEXT(G624,"0.00")&amp;" "&amp;L624,"Введите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4" s="23" t="n">
        <x:v>6.332892080025295</x:v>
      </x:c>
      <x:c r="AG624" s="35" t="n">
        <x:v>25</x:v>
      </x:c>
      <x:c r="AH624" s="35" t="n">
        <x:v>0</x:v>
      </x:c>
      <x:c r="AI624" s="29" t="n">
        <x:v>46266</x:v>
      </x:c>
      <x:c r="AJ624" s="35" t="n">
        <x:v>21</x:v>
      </x:c>
      <x:c r="AK624" s="11" t="str">
        <x:v>минимум</x:v>
      </x:c>
      <x:c r="AL624" s="31" t="n">
        <x:v>335.70434761691627</x:v>
      </x:c>
      <x:c r="AM62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24" s="12" t="str">
        <x:v>Проверить свободный остаток и установить цену для B2B</x:v>
      </x:c>
      <x:c r="AO624" s="12" t="str">
        <x:v>Остаток 25; прогноз 90 дней 6.33; избыток 18 шт. Будущие поступления не выставляются на продажу. Остаток на начало сентября: требуется актуализация.</x:v>
      </x:c>
      <x:c r="AP624" s="12" t="str">
        <x:v>["category_missing", "daily_stockout_data_missing", "new_order_lead_time_unknown", "reservations_unknown", "stale_stock"]</x:v>
      </x:c>
      <x:c r="AQ624" s="11" t="str">
        <x:v>IEK:130300534_</x:v>
      </x:c>
      <x:c r="AR624" s="23" t="n">
        <x:v>1</x:v>
      </x:c>
      <x:c r="AS624" s="23" t="n">
        <x:v>0</x:v>
      </x:c>
      <x:c r="AT624" s="23" t="n">
        <x:v>0</x:v>
      </x:c>
    </x:row>
    <x:row r="625" ht="64" customHeight="1">
      <x:c r="A625" s="10" t="str">
        <x:v>IEK</x:v>
      </x:c>
      <x:c r="B625" s="34" t="str">
        <x:v>130300535_</x:v>
      </x:c>
      <x:c r="C625" s="34" t="str">
        <x:v>UKK-12-3-1800</x:v>
      </x:c>
      <x:c r="D625" s="13" t="str">
        <x:v>Крюк КМ-1800 IEK (25)</x:v>
      </x:c>
      <x:c r="E625" s="10" t="str">
        <x:v>шт</x:v>
      </x:c>
      <x:c r="F625" s="37" t="n">
        <x:f>MAX(0,ROUNDDOWN((AG625-AF625)/AR625+0.000000001,0)*AR625)</x:f>
        <x:v>26</x:v>
      </x:c>
      <x:c r="G625" s="21" t="str">
        <x:f>IF(J625="Рассчитано",V625*(1-R625/100)-W625-P625-Q625,"н/д")</x:f>
        <x:v>н/д</x:v>
      </x:c>
      <x:c r="H625" s="13" t="str">
        <x:v>Высокий</x:v>
      </x:c>
      <x:c r="I625" s="13" t="str">
        <x:v>Средний</x:v>
      </x:c>
      <x:c r="J625" s="13" t="str">
        <x:f>IF(L625="","Укажите валюту",IF(NOT(ISNUMBER(K625)),"Укажите объём",IF(K625&lt;=0,"Укажите объём",IF(K625&gt;F625,"Объём выше излишка",IF(COUNT(M625:O625)&lt;3,"Нужны цены",IF(COUNT(P625:R625)&lt;3,"Нужны расходы",IF(OR(M625&lt;0,N625&lt;0,O625&lt;0,O625&gt;100,P625&lt;0,Q625&lt;0,R625&lt;0,R625&gt;100),"Проверьте значения","Рассчитано")))))))</x:f>
        <x:v>Нужны цены</x:v>
      </x:c>
      <x:c r="K625" s="36" t="n">
        <x:v>26</x:v>
      </x:c>
      <x:c r="L625" s="19" t="str">
        <x:v>KZT</x:v>
      </x:c>
      <x:c r="M625" s="22"/>
      <x:c r="N625" s="22"/>
      <x:c r="O625" s="28"/>
      <x:c r="P625" s="22"/>
      <x:c r="Q625" s="22"/>
      <x:c r="R625" s="28"/>
      <x:c r="S625" s="22"/>
      <x:c r="T625" s="37" t="n">
        <x:f>K625</x:f>
        <x:v>26</x:v>
      </x:c>
      <x:c r="U625" s="21" t="str">
        <x:f>IF(J625="Рассчитано",N625*(1-O625/100),"н/д")</x:f>
        <x:v>н/д</x:v>
      </x:c>
      <x:c r="V625" s="21" t="str">
        <x:f>IF(J625="Рассчитано",T625*U625,"н/д")</x:f>
        <x:v>н/д</x:v>
      </x:c>
      <x:c r="W625" s="21" t="str">
        <x:f>IF(J625="Рассчитано",T625*M625,"н/д")</x:f>
        <x:v>н/д</x:v>
      </x:c>
      <x:c r="X625" s="21" t="str">
        <x:f>IF(J625="Рассчитано",V625-W625,"н/д")</x:f>
        <x:v>н/д</x:v>
      </x:c>
      <x:c r="Y625" s="27" t="str">
        <x:f>IF(J625="Рассчитано",IF(V625&gt;0,G625/V625,"н/д"),"н/д")</x:f>
        <x:v>н/д</x:v>
      </x:c>
      <x:c r="Z625" s="21" t="str">
        <x:f>"н/д"</x:f>
        <x:v>н/д</x:v>
      </x:c>
      <x:c r="AA625" s="21" t="str">
        <x:f>"н/д"</x:f>
        <x:v>н/д</x:v>
      </x:c>
      <x:c r="AB625" s="21" t="str">
        <x:f>"н/д"</x:f>
        <x:v>н/д</x:v>
      </x:c>
      <x:c r="AC625" s="21" t="str">
        <x:f>IF(AND(J625="Рассчитано",T625&gt;0,R625&lt;100),(W625+P625+Q625)/(T625*(1-R625/100)),"н/д")</x:f>
        <x:v>н/д</x:v>
      </x:c>
      <x:c r="AD625" s="10" t="str">
        <x:f>IF(ISNUMBER(G625),IF(G625&lt;0,"Убыток",IF(G625=0,"Без прибыли","Прибыль &gt; 0")),"Не оценён")</x:f>
        <x:v>Не оценён</x:v>
      </x:c>
      <x:c r="AE625" s="13" t="str">
        <x:f>IF(J625="Рассчитано","Выручка "&amp;TEXT(V625,"0.00")&amp;" - себестоимость "&amp;TEXT(W625,"0.00")&amp;" - комиссия "&amp;TEXT(V625*R625/100,"0.00")&amp;" - доставка "&amp;TEXT(P625,"0.00")&amp;" - прочие "&amp;TEXT(Q625,"0.00")&amp;" = "&amp;TEXT(G625,"0.00")&amp;" "&amp;L625,"Введите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5" s="24" t="n">
        <x:v>110.6245577864606</x:v>
      </x:c>
      <x:c r="AG625" s="37" t="n">
        <x:v>137</x:v>
      </x:c>
      <x:c r="AH625" s="37" t="n">
        <x:v>40</x:v>
      </x:c>
      <x:c r="AI625" s="30" t="n">
        <x:v>46266</x:v>
      </x:c>
      <x:c r="AJ625" s="37" t="n">
        <x:v>5</x:v>
      </x:c>
      <x:c r="AK625" s="10" t="str">
        <x:v>минимум</x:v>
      </x:c>
      <x:c r="AL625" s="32" t="n">
        <x:v>105.31447418570907</x:v>
      </x:c>
      <x:c r="AM62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625" s="13" t="str">
        <x:v>Проверить свободный остаток и установить цену для B2B</x:v>
      </x:c>
      <x:c r="AO625" s="13" t="str">
        <x:v>Остаток 137; прогноз 90 дней 110.62; избыток 26 шт. Будущие поступления не выставляются на продажу. Остаток на начало сентября: требуется актуализация.</x:v>
      </x:c>
      <x:c r="AP625" s="13" t="str">
        <x:v>["category_missing", "daily_stockout_data_missing", "large_orders_detected", "new_order_lead_time_unknown", "reservations_unknown", "stale_stock", "transaction_month_mismatch"]</x:v>
      </x:c>
      <x:c r="AQ625" s="10" t="str">
        <x:v>IEK:130300535_</x:v>
      </x:c>
      <x:c r="AR625" s="24" t="n">
        <x:v>1</x:v>
      </x:c>
      <x:c r="AS625" s="24" t="n">
        <x:v>0</x:v>
      </x:c>
      <x:c r="AT625" s="24" t="n">
        <x:v>0</x:v>
      </x:c>
    </x:row>
    <x:row r="626" ht="64" customHeight="1">
      <x:c r="A626" s="11" t="str">
        <x:v>IEK</x:v>
      </x:c>
      <x:c r="B626" s="33" t="str">
        <x:v>130300536_</x:v>
      </x:c>
      <x:c r="C626" s="33" t="str">
        <x:v>UKK-12-3-2800</x:v>
      </x:c>
      <x:c r="D626" s="12" t="str">
        <x:v>Крюк КМ-2800 IEK (25)</x:v>
      </x:c>
      <x:c r="E626" s="11" t="str">
        <x:v>шт</x:v>
      </x:c>
      <x:c r="F626" s="35" t="n">
        <x:f>MAX(0,ROUNDDOWN((AG626-AF626)/AR626+0.000000001,0)*AR626)</x:f>
        <x:v>2</x:v>
      </x:c>
      <x:c r="G626" s="20" t="str">
        <x:f>IF(J626="Рассчитано",V626*(1-R626/100)-W626-P626-Q626,"н/д")</x:f>
        <x:v>н/д</x:v>
      </x:c>
      <x:c r="H626" s="12" t="str">
        <x:v>Высокий</x:v>
      </x:c>
      <x:c r="I626" s="12" t="str">
        <x:v>Средний</x:v>
      </x:c>
      <x:c r="J626" s="12" t="str">
        <x:f>IF(L626="","Укажите валюту",IF(NOT(ISNUMBER(K626)),"Укажите объём",IF(K626&lt;=0,"Укажите объём",IF(K626&gt;F626,"Объём выше излишка",IF(COUNT(M626:O626)&lt;3,"Нужны цены",IF(COUNT(P626:R626)&lt;3,"Нужны расходы",IF(OR(M626&lt;0,N626&lt;0,O626&lt;0,O626&gt;100,P626&lt;0,Q626&lt;0,R626&lt;0,R626&gt;100),"Проверьте значения","Рассчитано")))))))</x:f>
        <x:v>Нужны цены</x:v>
      </x:c>
      <x:c r="K626" s="36" t="n">
        <x:v>2</x:v>
      </x:c>
      <x:c r="L626" s="19" t="str">
        <x:v>KZT</x:v>
      </x:c>
      <x:c r="M626" s="22"/>
      <x:c r="N626" s="22"/>
      <x:c r="O626" s="28"/>
      <x:c r="P626" s="22"/>
      <x:c r="Q626" s="22"/>
      <x:c r="R626" s="28"/>
      <x:c r="S626" s="22"/>
      <x:c r="T626" s="35" t="n">
        <x:f>K626</x:f>
        <x:v>2</x:v>
      </x:c>
      <x:c r="U626" s="20" t="str">
        <x:f>IF(J626="Рассчитано",N626*(1-O626/100),"н/д")</x:f>
        <x:v>н/д</x:v>
      </x:c>
      <x:c r="V626" s="20" t="str">
        <x:f>IF(J626="Рассчитано",T626*U626,"н/д")</x:f>
        <x:v>н/д</x:v>
      </x:c>
      <x:c r="W626" s="20" t="str">
        <x:f>IF(J626="Рассчитано",T626*M626,"н/д")</x:f>
        <x:v>н/д</x:v>
      </x:c>
      <x:c r="X626" s="20" t="str">
        <x:f>IF(J626="Рассчитано",V626-W626,"н/д")</x:f>
        <x:v>н/д</x:v>
      </x:c>
      <x:c r="Y626" s="26" t="str">
        <x:f>IF(J626="Рассчитано",IF(V626&gt;0,G626/V626,"н/д"),"н/д")</x:f>
        <x:v>н/д</x:v>
      </x:c>
      <x:c r="Z626" s="20" t="str">
        <x:f>"н/д"</x:f>
        <x:v>н/д</x:v>
      </x:c>
      <x:c r="AA626" s="20" t="str">
        <x:f>"н/д"</x:f>
        <x:v>н/д</x:v>
      </x:c>
      <x:c r="AB626" s="20" t="str">
        <x:f>"н/д"</x:f>
        <x:v>н/д</x:v>
      </x:c>
      <x:c r="AC626" s="20" t="str">
        <x:f>IF(AND(J626="Рассчитано",T626&gt;0,R626&lt;100),(W626+P626+Q626)/(T626*(1-R626/100)),"н/д")</x:f>
        <x:v>н/д</x:v>
      </x:c>
      <x:c r="AD626" s="11" t="str">
        <x:f>IF(ISNUMBER(G626),IF(G626&lt;0,"Убыток",IF(G626=0,"Без прибыли","Прибыль &gt; 0")),"Не оценён")</x:f>
        <x:v>Не оценён</x:v>
      </x:c>
      <x:c r="AE626" s="12" t="str">
        <x:f>IF(J626="Рассчитано","Выручка "&amp;TEXT(V626,"0.00")&amp;" - себестоимость "&amp;TEXT(W626,"0.00")&amp;" - комиссия "&amp;TEXT(V626*R626/100,"0.00")&amp;" - доставка "&amp;TEXT(P626,"0.00")&amp;" - прочие "&amp;TEXT(Q626,"0.00")&amp;" = "&amp;TEXT(G626,"0.00")&amp;" "&amp;L626,"Введите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6" s="23" t="n">
        <x:v>37.24338477600131</x:v>
      </x:c>
      <x:c r="AG626" s="35" t="n">
        <x:v>40</x:v>
      </x:c>
      <x:c r="AH626" s="35" t="n">
        <x:v>0</x:v>
      </x:c>
      <x:c r="AI626" s="29" t="n">
        <x:v>46266</x:v>
      </x:c>
      <x:c r="AJ626" s="35" t="n">
        <x:v>5</x:v>
      </x:c>
      <x:c r="AK626" s="11" t="str">
        <x:v>минимум</x:v>
      </x:c>
      <x:c r="AL626" s="31" t="n">
        <x:v>91.33345605571961</x:v>
      </x:c>
      <x:c r="AM626" s="12" t="str">
        <x:v>Остаток на начало сентября; Резервы неизвестны; Нет ежедневных данных доступности. Запас выше прогноза на 90 дней</x:v>
      </x:c>
      <x:c r="AN626" s="12" t="str">
        <x:v>Проверить свободный остаток и установить цену для B2B</x:v>
      </x:c>
      <x:c r="AO626" s="12" t="str">
        <x:v>Остаток 40; прогноз 90 дней 37.24; избыток 2 шт. Будущие поступления не выставляются на продажу. Остаток на начало сентября: требуется актуализация.</x:v>
      </x:c>
      <x:c r="AP626" s="12" t="str">
        <x:v>["category_missing", "daily_stockout_data_missing", "new_order_lead_time_unknown", "reservations_unknown", "stale_stock"]</x:v>
      </x:c>
      <x:c r="AQ626" s="11" t="str">
        <x:v>IEK:130300536_</x:v>
      </x:c>
      <x:c r="AR626" s="23" t="n">
        <x:v>1</x:v>
      </x:c>
      <x:c r="AS626" s="23" t="n">
        <x:v>0</x:v>
      </x:c>
      <x:c r="AT626" s="23" t="n">
        <x:v>0</x:v>
      </x:c>
    </x:row>
    <x:row r="627" ht="64" customHeight="1">
      <x:c r="A627" s="10" t="str">
        <x:v>IEK</x:v>
      </x:c>
      <x:c r="B627" s="34" t="str">
        <x:v>130300538_</x:v>
      </x:c>
      <x:c r="C627" s="34" t="str">
        <x:v>UZA-15-D25-D120-30-60-18</x:v>
      </x:c>
      <x:c r="D627" s="13" t="str">
        <x:v>Зажим промеж. ЗПС 2х25-4х120/1800/30 (SO130.02) IEK (40)</x:v>
      </x:c>
      <x:c r="E627" s="10" t="str">
        <x:v>шт</x:v>
      </x:c>
      <x:c r="F627" s="37" t="n">
        <x:f>MAX(0,ROUNDDOWN((AG627-AF627)/AR627+0.000000001,0)*AR627)</x:f>
        <x:v>135</x:v>
      </x:c>
      <x:c r="G627" s="21" t="str">
        <x:f>IF(J627="Рассчитано",V627*(1-R627/100)-W627-P627-Q627,"н/д")</x:f>
        <x:v>н/д</x:v>
      </x:c>
      <x:c r="H627" s="13" t="str">
        <x:v>Высокий</x:v>
      </x:c>
      <x:c r="I627" s="13" t="str">
        <x:v>Высокий</x:v>
      </x:c>
      <x:c r="J627" s="13" t="str">
        <x:f>IF(L627="","Укажите валюту",IF(NOT(ISNUMBER(K627)),"Укажите объём",IF(K627&lt;=0,"Укажите объём",IF(K627&gt;F627,"Объём выше излишка",IF(COUNT(M627:O627)&lt;3,"Нужны цены",IF(COUNT(P627:R627)&lt;3,"Нужны расходы",IF(OR(M627&lt;0,N627&lt;0,O627&lt;0,O627&gt;100,P627&lt;0,Q627&lt;0,R627&lt;0,R627&gt;100),"Проверьте значения","Рассчитано")))))))</x:f>
        <x:v>Нужны цены</x:v>
      </x:c>
      <x:c r="K627" s="36" t="n">
        <x:v>135</x:v>
      </x:c>
      <x:c r="L627" s="19" t="str">
        <x:v>KZT</x:v>
      </x:c>
      <x:c r="M627" s="22"/>
      <x:c r="N627" s="22"/>
      <x:c r="O627" s="28"/>
      <x:c r="P627" s="22"/>
      <x:c r="Q627" s="22"/>
      <x:c r="R627" s="28"/>
      <x:c r="S627" s="22"/>
      <x:c r="T627" s="37" t="n">
        <x:f>K627</x:f>
        <x:v>135</x:v>
      </x:c>
      <x:c r="U627" s="21" t="str">
        <x:f>IF(J627="Рассчитано",N627*(1-O627/100),"н/д")</x:f>
        <x:v>н/д</x:v>
      </x:c>
      <x:c r="V627" s="21" t="str">
        <x:f>IF(J627="Рассчитано",T627*U627,"н/д")</x:f>
        <x:v>н/д</x:v>
      </x:c>
      <x:c r="W627" s="21" t="str">
        <x:f>IF(J627="Рассчитано",T627*M627,"н/д")</x:f>
        <x:v>н/д</x:v>
      </x:c>
      <x:c r="X627" s="21" t="str">
        <x:f>IF(J627="Рассчитано",V627-W627,"н/д")</x:f>
        <x:v>н/д</x:v>
      </x:c>
      <x:c r="Y627" s="27" t="str">
        <x:f>IF(J627="Рассчитано",IF(V627&gt;0,G627/V627,"н/д"),"н/д")</x:f>
        <x:v>н/д</x:v>
      </x:c>
      <x:c r="Z627" s="21" t="str">
        <x:f>"н/д"</x:f>
        <x:v>н/д</x:v>
      </x:c>
      <x:c r="AA627" s="21" t="str">
        <x:f>"н/д"</x:f>
        <x:v>н/д</x:v>
      </x:c>
      <x:c r="AB627" s="21" t="str">
        <x:f>"н/д"</x:f>
        <x:v>н/д</x:v>
      </x:c>
      <x:c r="AC627" s="21" t="str">
        <x:f>IF(AND(J627="Рассчитано",T627&gt;0,R627&lt;100),(W627+P627+Q627)/(T627*(1-R627/100)),"н/д")</x:f>
        <x:v>н/д</x:v>
      </x:c>
      <x:c r="AD627" s="10" t="str">
        <x:f>IF(ISNUMBER(G627),IF(G627&lt;0,"Убыток",IF(G627=0,"Без прибыли","Прибыль &gt; 0")),"Не оценён")</x:f>
        <x:v>Не оценён</x:v>
      </x:c>
      <x:c r="AE627" s="13" t="str">
        <x:f>IF(J627="Рассчитано","Выручка "&amp;TEXT(V627,"0.00")&amp;" - себестоимость "&amp;TEXT(W627,"0.00")&amp;" - комиссия "&amp;TEXT(V627*R627/100,"0.00")&amp;" - доставка "&amp;TEXT(P627,"0.00")&amp;" - прочие "&amp;TEXT(Q627,"0.00")&amp;" = "&amp;TEXT(G627,"0.00")&amp;" "&amp;L627,"Введите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7" s="24" t="n">
        <x:v>101.94690143904155</x:v>
      </x:c>
      <x:c r="AG627" s="37" t="n">
        <x:v>237</x:v>
      </x:c>
      <x:c r="AH627" s="37" t="n">
        <x:v>0</x:v>
      </x:c>
      <x:c r="AI627" s="30" t="n">
        <x:v>46266</x:v>
      </x:c>
      <x:c r="AJ627" s="37" t="n">
        <x:v>40</x:v>
      </x:c>
      <x:c r="AK627" s="10" t="str">
        <x:v>минимум</x:v>
      </x:c>
      <x:c r="AL627" s="32" t="n">
        <x:v>197.693941334467</x:v>
      </x:c>
      <x:c r="AM62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27" s="13" t="str">
        <x:v>Проверить свободный остаток и установить цену для B2B</x:v>
      </x:c>
      <x:c r="AO627" s="13" t="str">
        <x:v>Остаток 237; прогноз 90 дней 101.95; избыток 135 шт. Будущие поступления не выставляются на продажу. Остаток на начало сентября: требуется актуализация.</x:v>
      </x:c>
      <x:c r="AP627" s="13" t="str">
        <x:v>["category_missing", "daily_stockout_data_missing", "large_orders_detected", "new_order_lead_time_unknown", "reservations_unknown", "stale_stock"]</x:v>
      </x:c>
      <x:c r="AQ627" s="10" t="str">
        <x:v>IEK:130300538_</x:v>
      </x:c>
      <x:c r="AR627" s="24" t="n">
        <x:v>1</x:v>
      </x:c>
      <x:c r="AS627" s="24" t="n">
        <x:v>0</x:v>
      </x:c>
      <x:c r="AT627" s="24" t="n">
        <x:v>0</x:v>
      </x:c>
    </x:row>
    <x:row r="628" ht="64" customHeight="1">
      <x:c r="A628" s="11" t="str">
        <x:v>IEK</x:v>
      </x:c>
      <x:c r="B628" s="33" t="str">
        <x:v>130300606_</x:v>
      </x:c>
      <x:c r="C628" s="33"/>
      <x:c r="D628" s="12" t="str">
        <x:v>Кронштейн анкерный КАБ-200 IEK !!!</x:v>
      </x:c>
      <x:c r="E628" s="11" t="str">
        <x:v>шт</x:v>
      </x:c>
      <x:c r="F628" s="35" t="n">
        <x:f>MAX(0,ROUNDDOWN((AG628-AF628)/AR628+0.000000001,0)*AR628)</x:f>
        <x:v>346</x:v>
      </x:c>
      <x:c r="G628" s="20" t="str">
        <x:f>IF(J628="Рассчитано",V628*(1-R628/100)-W628-P628-Q628,"н/д")</x:f>
        <x:v>н/д</x:v>
      </x:c>
      <x:c r="H628" s="12" t="str">
        <x:v>Высокий</x:v>
      </x:c>
      <x:c r="I628" s="12" t="str">
        <x:v>Высокий</x:v>
      </x:c>
      <x:c r="J628" s="12" t="str">
        <x:f>IF(L628="","Укажите валюту",IF(NOT(ISNUMBER(K628)),"Укажите объём",IF(K628&lt;=0,"Укажите объём",IF(K628&gt;F628,"Объём выше излишка",IF(COUNT(M628:O628)&lt;3,"Нужны цены",IF(COUNT(P628:R628)&lt;3,"Нужны расходы",IF(OR(M628&lt;0,N628&lt;0,O628&lt;0,O628&gt;100,P628&lt;0,Q628&lt;0,R628&lt;0,R628&gt;100),"Проверьте значения","Рассчитано")))))))</x:f>
        <x:v>Нужны цены</x:v>
      </x:c>
      <x:c r="K628" s="36" t="n">
        <x:v>346</x:v>
      </x:c>
      <x:c r="L628" s="19" t="str">
        <x:v>KZT</x:v>
      </x:c>
      <x:c r="M628" s="22"/>
      <x:c r="N628" s="22"/>
      <x:c r="O628" s="28"/>
      <x:c r="P628" s="22"/>
      <x:c r="Q628" s="22"/>
      <x:c r="R628" s="28"/>
      <x:c r="S628" s="22"/>
      <x:c r="T628" s="35" t="n">
        <x:f>K628</x:f>
        <x:v>346</x:v>
      </x:c>
      <x:c r="U628" s="20" t="str">
        <x:f>IF(J628="Рассчитано",N628*(1-O628/100),"н/д")</x:f>
        <x:v>н/д</x:v>
      </x:c>
      <x:c r="V628" s="20" t="str">
        <x:f>IF(J628="Рассчитано",T628*U628,"н/д")</x:f>
        <x:v>н/д</x:v>
      </x:c>
      <x:c r="W628" s="20" t="str">
        <x:f>IF(J628="Рассчитано",T628*M628,"н/д")</x:f>
        <x:v>н/д</x:v>
      </x:c>
      <x:c r="X628" s="20" t="str">
        <x:f>IF(J628="Рассчитано",V628-W628,"н/д")</x:f>
        <x:v>н/д</x:v>
      </x:c>
      <x:c r="Y628" s="26" t="str">
        <x:f>IF(J628="Рассчитано",IF(V628&gt;0,G628/V628,"н/д"),"н/д")</x:f>
        <x:v>н/д</x:v>
      </x:c>
      <x:c r="Z628" s="20" t="str">
        <x:f>"н/д"</x:f>
        <x:v>н/д</x:v>
      </x:c>
      <x:c r="AA628" s="20" t="str">
        <x:f>"н/д"</x:f>
        <x:v>н/д</x:v>
      </x:c>
      <x:c r="AB628" s="20" t="str">
        <x:f>"н/д"</x:f>
        <x:v>н/д</x:v>
      </x:c>
      <x:c r="AC628" s="20" t="str">
        <x:f>IF(AND(J628="Рассчитано",T628&gt;0,R628&lt;100),(W628+P628+Q628)/(T628*(1-R628/100)),"н/д")</x:f>
        <x:v>н/д</x:v>
      </x:c>
      <x:c r="AD628" s="11" t="str">
        <x:f>IF(ISNUMBER(G628),IF(G628&lt;0,"Убыток",IF(G628=0,"Без прибыли","Прибыль &gt; 0")),"Не оценён")</x:f>
        <x:v>Не оценён</x:v>
      </x:c>
      <x:c r="AE628" s="12" t="str">
        <x:f>IF(J628="Рассчитано","Выручка "&amp;TEXT(V628,"0.00")&amp;" - себестоимость "&amp;TEXT(W628,"0.00")&amp;" - комиссия "&amp;TEXT(V628*R628/100,"0.00")&amp;" - доставка "&amp;TEXT(P628,"0.00")&amp;" - прочие "&amp;TEXT(Q628,"0.00")&amp;" = "&amp;TEXT(G628,"0.00")&amp;" "&amp;L628,"Введите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8" s="23" t="n">
        <x:v>43.09124351248353</x:v>
      </x:c>
      <x:c r="AG628" s="35" t="n">
        <x:v>390</x:v>
      </x:c>
      <x:c r="AH628" s="35" t="n">
        <x:v>0</x:v>
      </x:c>
      <x:c r="AI628" s="29" t="n">
        <x:v>46266</x:v>
      </x:c>
      <x:c r="AJ628" s="35"/>
      <x:c r="AK628" s="11" t="str">
        <x:v>неизвестно</x:v>
      </x:c>
      <x:c r="AL628" s="31" t="n">
        <x:v>769.6523934553518</x:v>
      </x:c>
      <x:c r="AM628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628" s="12" t="str">
        <x:v>Проверить свободный остаток и установить цену для B2B</x:v>
      </x:c>
      <x:c r="AO628" s="12" t="str">
        <x:v>Остаток 390; прогноз 90 дней 43.09; избыток 346 шт. Будущие поступления не выставляются на продажу. Остаток на начало сентября: требуется актуализация.</x:v>
      </x:c>
      <x:c r="AP628" s="12" t="str">
        <x:v>["category_missing", "daily_stockout_data_missing", "moq_missing", "new_order_lead_time_unknown", "reservations_unknown", "stale_stock", "supplier_sku_missing"]</x:v>
      </x:c>
      <x:c r="AQ628" s="11" t="str">
        <x:v>IEK:130300606_</x:v>
      </x:c>
      <x:c r="AR628" s="23" t="n">
        <x:v>1</x:v>
      </x:c>
      <x:c r="AS628" s="23" t="n">
        <x:v>0</x:v>
      </x:c>
      <x:c r="AT628" s="23" t="n">
        <x:v>0</x:v>
      </x:c>
    </x:row>
    <x:row r="629" ht="64" customHeight="1">
      <x:c r="A629" s="10" t="str">
        <x:v>IEK</x:v>
      </x:c>
      <x:c r="B629" s="34" t="str">
        <x:v>130300765_</x:v>
      </x:c>
      <x:c r="C629" s="34" t="str">
        <x:v>LDD11-401MB-500-001</x:v>
      </x:c>
      <x:c r="D629" s="13" t="str">
        <x:v>Датчик движения МВ 401 белый, 1200 Вт, 360гр. дальность 8 м IP20 IEK (100)</x:v>
      </x:c>
      <x:c r="E629" s="10" t="str">
        <x:v>шт</x:v>
      </x:c>
      <x:c r="F629" s="37" t="n">
        <x:f>MAX(0,ROUNDDOWN((AG629-AF629)/AR629+0.000000001,0)*AR629)</x:f>
        <x:v>18</x:v>
      </x:c>
      <x:c r="G629" s="21" t="str">
        <x:f>IF(J629="Рассчитано",V629*(1-R629/100)-W629-P629-Q629,"н/д")</x:f>
        <x:v>н/д</x:v>
      </x:c>
      <x:c r="H629" s="13" t="str">
        <x:v>Высокий</x:v>
      </x:c>
      <x:c r="I629" s="13" t="str">
        <x:v>Высокий</x:v>
      </x:c>
      <x:c r="J629" s="13" t="str">
        <x:f>IF(L629="","Укажите валюту",IF(NOT(ISNUMBER(K629)),"Укажите объём",IF(K629&lt;=0,"Укажите объём",IF(K629&gt;F629,"Объём выше излишка",IF(COUNT(M629:O629)&lt;3,"Нужны цены",IF(COUNT(P629:R629)&lt;3,"Нужны расходы",IF(OR(M629&lt;0,N629&lt;0,O629&lt;0,O629&gt;100,P629&lt;0,Q629&lt;0,R629&lt;0,R629&gt;100),"Проверьте значения","Рассчитано")))))))</x:f>
        <x:v>Нужны цены</x:v>
      </x:c>
      <x:c r="K629" s="36" t="n">
        <x:v>18</x:v>
      </x:c>
      <x:c r="L629" s="19" t="str">
        <x:v>KZT</x:v>
      </x:c>
      <x:c r="M629" s="22"/>
      <x:c r="N629" s="22"/>
      <x:c r="O629" s="28"/>
      <x:c r="P629" s="22"/>
      <x:c r="Q629" s="22"/>
      <x:c r="R629" s="28"/>
      <x:c r="S629" s="22"/>
      <x:c r="T629" s="37" t="n">
        <x:f>K629</x:f>
        <x:v>18</x:v>
      </x:c>
      <x:c r="U629" s="21" t="str">
        <x:f>IF(J629="Рассчитано",N629*(1-O629/100),"н/д")</x:f>
        <x:v>н/д</x:v>
      </x:c>
      <x:c r="V629" s="21" t="str">
        <x:f>IF(J629="Рассчитано",T629*U629,"н/д")</x:f>
        <x:v>н/д</x:v>
      </x:c>
      <x:c r="W629" s="21" t="str">
        <x:f>IF(J629="Рассчитано",T629*M629,"н/д")</x:f>
        <x:v>н/д</x:v>
      </x:c>
      <x:c r="X629" s="21" t="str">
        <x:f>IF(J629="Рассчитано",V629-W629,"н/д")</x:f>
        <x:v>н/д</x:v>
      </x:c>
      <x:c r="Y629" s="27" t="str">
        <x:f>IF(J629="Рассчитано",IF(V629&gt;0,G629/V629,"н/д"),"н/д")</x:f>
        <x:v>н/д</x:v>
      </x:c>
      <x:c r="Z629" s="21" t="str">
        <x:f>"н/д"</x:f>
        <x:v>н/д</x:v>
      </x:c>
      <x:c r="AA629" s="21" t="str">
        <x:f>"н/д"</x:f>
        <x:v>н/д</x:v>
      </x:c>
      <x:c r="AB629" s="21" t="str">
        <x:f>"н/д"</x:f>
        <x:v>н/д</x:v>
      </x:c>
      <x:c r="AC629" s="21" t="str">
        <x:f>IF(AND(J629="Рассчитано",T629&gt;0,R629&lt;100),(W629+P629+Q629)/(T629*(1-R629/100)),"н/д")</x:f>
        <x:v>н/д</x:v>
      </x:c>
      <x:c r="AD629" s="10" t="str">
        <x:f>IF(ISNUMBER(G629),IF(G629&lt;0,"Убыток",IF(G629=0,"Без прибыли","Прибыль &gt; 0")),"Не оценён")</x:f>
        <x:v>Не оценён</x:v>
      </x:c>
      <x:c r="AE629" s="13" t="str">
        <x:f>IF(J629="Рассчитано","Выручка "&amp;TEXT(V629,"0.00")&amp;" - себестоимость "&amp;TEXT(W629,"0.00")&amp;" - комиссия "&amp;TEXT(V629*R629/100,"0.00")&amp;" - доставка "&amp;TEXT(P629,"0.00")&amp;" - прочие "&amp;TEXT(Q629,"0.00")&amp;" = "&amp;TEXT(G629,"0.00")&amp;" "&amp;L629,"Введите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9" s="24" t="n">
        <x:v>7.802071745104731</x:v>
      </x:c>
      <x:c r="AG629" s="37" t="n">
        <x:v>26</x:v>
      </x:c>
      <x:c r="AH629" s="37" t="n">
        <x:v>0</x:v>
      </x:c>
      <x:c r="AI629" s="30" t="n">
        <x:v>46266</x:v>
      </x:c>
      <x:c r="AJ629" s="37" t="n">
        <x:v>1</x:v>
      </x:c>
      <x:c r="AK629" s="10" t="str">
        <x:v>минимум</x:v>
      </x:c>
      <x:c r="AL629" s="32" t="n">
        <x:v>283.38865017623255</x:v>
      </x:c>
      <x:c r="AM62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29" s="13" t="str">
        <x:v>Проверить свободный остаток и установить цену для B2B</x:v>
      </x:c>
      <x:c r="AO629" s="13" t="str">
        <x:v>Остаток 26; прогноз 90 дней 7.80; избыток 18 шт. Будущие поступления не выставляются на продажу. Остаток на начало сентября: требуется актуализация.</x:v>
      </x:c>
      <x:c r="AP629" s="13" t="str">
        <x:v>["category_missing", "daily_stockout_data_missing", "new_order_lead_time_unknown", "reservations_unknown", "stale_stock"]</x:v>
      </x:c>
      <x:c r="AQ629" s="10" t="str">
        <x:v>IEK:130300765_</x:v>
      </x:c>
      <x:c r="AR629" s="24" t="n">
        <x:v>1</x:v>
      </x:c>
      <x:c r="AS629" s="24" t="n">
        <x:v>0</x:v>
      </x:c>
      <x:c r="AT629" s="24" t="n">
        <x:v>0</x:v>
      </x:c>
    </x:row>
    <x:row r="630" ht="64" customHeight="1">
      <x:c r="A630" s="11" t="str">
        <x:v>IEK</x:v>
      </x:c>
      <x:c r="B630" s="33" t="str">
        <x:v>130300769_</x:v>
      </x:c>
      <x:c r="C630" s="33" t="str">
        <x:v>EPR13-01-01-K01</x:v>
      </x:c>
      <x:c r="D630" s="12" t="str">
        <x:v>Переходник Е27-Е40  ПР27-40-К02 IEK (50)</x:v>
      </x:c>
      <x:c r="E630" s="11" t="str">
        <x:v>шт</x:v>
      </x:c>
      <x:c r="F630" s="35" t="n">
        <x:f>MAX(0,ROUNDDOWN((AG630-AF630)/AR630+0.000000001,0)*AR630)</x:f>
        <x:v>33</x:v>
      </x:c>
      <x:c r="G630" s="20" t="str">
        <x:f>IF(J630="Рассчитано",V630*(1-R630/100)-W630-P630-Q630,"н/д")</x:f>
        <x:v>н/д</x:v>
      </x:c>
      <x:c r="H630" s="12" t="str">
        <x:v>Высокий</x:v>
      </x:c>
      <x:c r="I630" s="12" t="str">
        <x:v>Высокий</x:v>
      </x:c>
      <x:c r="J630" s="12" t="str">
        <x:f>IF(L630="","Укажите валюту",IF(NOT(ISNUMBER(K630)),"Укажите объём",IF(K630&lt;=0,"Укажите объём",IF(K630&gt;F630,"Объём выше излишка",IF(COUNT(M630:O630)&lt;3,"Нужны цены",IF(COUNT(P630:R630)&lt;3,"Нужны расходы",IF(OR(M630&lt;0,N630&lt;0,O630&lt;0,O630&gt;100,P630&lt;0,Q630&lt;0,R630&lt;0,R630&gt;100),"Проверьте значения","Рассчитано")))))))</x:f>
        <x:v>Нужны цены</x:v>
      </x:c>
      <x:c r="K630" s="36" t="n">
        <x:v>33</x:v>
      </x:c>
      <x:c r="L630" s="19" t="str">
        <x:v>KZT</x:v>
      </x:c>
      <x:c r="M630" s="22"/>
      <x:c r="N630" s="22"/>
      <x:c r="O630" s="28"/>
      <x:c r="P630" s="22"/>
      <x:c r="Q630" s="22"/>
      <x:c r="R630" s="28"/>
      <x:c r="S630" s="22"/>
      <x:c r="T630" s="35" t="n">
        <x:f>K630</x:f>
        <x:v>33</x:v>
      </x:c>
      <x:c r="U630" s="20" t="str">
        <x:f>IF(J630="Рассчитано",N630*(1-O630/100),"н/д")</x:f>
        <x:v>н/д</x:v>
      </x:c>
      <x:c r="V630" s="20" t="str">
        <x:f>IF(J630="Рассчитано",T630*U630,"н/д")</x:f>
        <x:v>н/д</x:v>
      </x:c>
      <x:c r="W630" s="20" t="str">
        <x:f>IF(J630="Рассчитано",T630*M630,"н/д")</x:f>
        <x:v>н/д</x:v>
      </x:c>
      <x:c r="X630" s="20" t="str">
        <x:f>IF(J630="Рассчитано",V630-W630,"н/д")</x:f>
        <x:v>н/д</x:v>
      </x:c>
      <x:c r="Y630" s="26" t="str">
        <x:f>IF(J630="Рассчитано",IF(V630&gt;0,G630/V630,"н/д"),"н/д")</x:f>
        <x:v>н/д</x:v>
      </x:c>
      <x:c r="Z630" s="20" t="str">
        <x:f>"н/д"</x:f>
        <x:v>н/д</x:v>
      </x:c>
      <x:c r="AA630" s="20" t="str">
        <x:f>"н/д"</x:f>
        <x:v>н/д</x:v>
      </x:c>
      <x:c r="AB630" s="20" t="str">
        <x:f>"н/д"</x:f>
        <x:v>н/д</x:v>
      </x:c>
      <x:c r="AC630" s="20" t="str">
        <x:f>IF(AND(J630="Рассчитано",T630&gt;0,R630&lt;100),(W630+P630+Q630)/(T630*(1-R630/100)),"н/д")</x:f>
        <x:v>н/д</x:v>
      </x:c>
      <x:c r="AD630" s="11" t="str">
        <x:f>IF(ISNUMBER(G630),IF(G630&lt;0,"Убыток",IF(G630=0,"Без прибыли","Прибыль &gt; 0")),"Не оценён")</x:f>
        <x:v>Не оценён</x:v>
      </x:c>
      <x:c r="AE630" s="12" t="str">
        <x:f>IF(J630="Рассчитано","Выручка "&amp;TEXT(V630,"0.00")&amp;" - себестоимость "&amp;TEXT(W630,"0.00")&amp;" - комиссия "&amp;TEXT(V630*R630/100,"0.00")&amp;" - доставка "&amp;TEXT(P630,"0.00")&amp;" - прочие "&amp;TEXT(Q630,"0.00")&amp;" = "&amp;TEXT(G630,"0.00")&amp;" "&amp;L630,"Введите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0" s="23" t="n">
        <x:v>0.571571616139571</x:v>
      </x:c>
      <x:c r="AG630" s="35" t="n">
        <x:v>34</x:v>
      </x:c>
      <x:c r="AH630" s="35" t="n">
        <x:v>0</x:v>
      </x:c>
      <x:c r="AI630" s="29" t="n">
        <x:v>46266</x:v>
      </x:c>
      <x:c r="AJ630" s="35"/>
      <x:c r="AK630" s="11" t="str">
        <x:v>неизвестно</x:v>
      </x:c>
      <x:c r="AL630" s="31" t="n">
        <x:v>5058.564680507802</x:v>
      </x:c>
      <x:c r="AM63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30" s="12" t="str">
        <x:v>Проверить свободный остаток и установить цену для B2B</x:v>
      </x:c>
      <x:c r="AO630" s="12" t="str">
        <x:v>Остаток 34; прогноз 90 дней 0.57; избыток 33 шт. Будущие поступления не выставляются на продажу. Остаток на начало сентября: требуется актуализация.</x:v>
      </x:c>
      <x:c r="AP630" s="12" t="str">
        <x:v>["category_missing", "daily_stockout_data_missing", "moq_missing", "new_order_lead_time_unknown", "reservations_unknown", "stale_stock"]</x:v>
      </x:c>
      <x:c r="AQ630" s="11" t="str">
        <x:v>IEK:130300769_</x:v>
      </x:c>
      <x:c r="AR630" s="23" t="n">
        <x:v>1</x:v>
      </x:c>
      <x:c r="AS630" s="23" t="n">
        <x:v>0</x:v>
      </x:c>
      <x:c r="AT630" s="23" t="n">
        <x:v>0</x:v>
      </x:c>
    </x:row>
    <x:row r="631" ht="64" customHeight="1">
      <x:c r="A631" s="10" t="str">
        <x:v>IEK</x:v>
      </x:c>
      <x:c r="B631" s="34" t="str">
        <x:v>130300770_</x:v>
      </x:c>
      <x:c r="C631" s="34" t="str">
        <x:v>EPR31-01-01-K01</x:v>
      </x:c>
      <x:c r="D631" s="13" t="str">
        <x:v>Переходник Е40-Е27  ПР40-27-К02 IEK (50)</x:v>
      </x:c>
      <x:c r="E631" s="10" t="str">
        <x:v>шт</x:v>
      </x:c>
      <x:c r="F631" s="37" t="n">
        <x:f>MAX(0,ROUNDDOWN((AG631-AF631)/AR631+0.000000001,0)*AR631)</x:f>
        <x:v>3</x:v>
      </x:c>
      <x:c r="G631" s="21" t="str">
        <x:f>IF(J631="Рассчитано",V631*(1-R631/100)-W631-P631-Q631,"н/д")</x:f>
        <x:v>н/д</x:v>
      </x:c>
      <x:c r="H631" s="13" t="str">
        <x:v>Высокий</x:v>
      </x:c>
      <x:c r="I631" s="13" t="str">
        <x:v>Высокий</x:v>
      </x:c>
      <x:c r="J631" s="13" t="str">
        <x:f>IF(L631="","Укажите валюту",IF(NOT(ISNUMBER(K631)),"Укажите объём",IF(K631&lt;=0,"Укажите объём",IF(K631&gt;F631,"Объём выше излишка",IF(COUNT(M631:O631)&lt;3,"Нужны цены",IF(COUNT(P631:R631)&lt;3,"Нужны расходы",IF(OR(M631&lt;0,N631&lt;0,O631&lt;0,O631&gt;100,P631&lt;0,Q631&lt;0,R631&lt;0,R631&gt;100),"Проверьте значения","Рассчитано")))))))</x:f>
        <x:v>Нужны цены</x:v>
      </x:c>
      <x:c r="K631" s="36" t="n">
        <x:v>3</x:v>
      </x:c>
      <x:c r="L631" s="19" t="str">
        <x:v>KZT</x:v>
      </x:c>
      <x:c r="M631" s="22"/>
      <x:c r="N631" s="22"/>
      <x:c r="O631" s="28"/>
      <x:c r="P631" s="22"/>
      <x:c r="Q631" s="22"/>
      <x:c r="R631" s="28"/>
      <x:c r="S631" s="22"/>
      <x:c r="T631" s="37" t="n">
        <x:f>K631</x:f>
        <x:v>3</x:v>
      </x:c>
      <x:c r="U631" s="21" t="str">
        <x:f>IF(J631="Рассчитано",N631*(1-O631/100),"н/д")</x:f>
        <x:v>н/д</x:v>
      </x:c>
      <x:c r="V631" s="21" t="str">
        <x:f>IF(J631="Рассчитано",T631*U631,"н/д")</x:f>
        <x:v>н/д</x:v>
      </x:c>
      <x:c r="W631" s="21" t="str">
        <x:f>IF(J631="Рассчитано",T631*M631,"н/д")</x:f>
        <x:v>н/д</x:v>
      </x:c>
      <x:c r="X631" s="21" t="str">
        <x:f>IF(J631="Рассчитано",V631-W631,"н/д")</x:f>
        <x:v>н/д</x:v>
      </x:c>
      <x:c r="Y631" s="27" t="str">
        <x:f>IF(J631="Рассчитано",IF(V631&gt;0,G631/V631,"н/д"),"н/д")</x:f>
        <x:v>н/д</x:v>
      </x:c>
      <x:c r="Z631" s="21" t="str">
        <x:f>"н/д"</x:f>
        <x:v>н/д</x:v>
      </x:c>
      <x:c r="AA631" s="21" t="str">
        <x:f>"н/д"</x:f>
        <x:v>н/д</x:v>
      </x:c>
      <x:c r="AB631" s="21" t="str">
        <x:f>"н/д"</x:f>
        <x:v>н/д</x:v>
      </x:c>
      <x:c r="AC631" s="21" t="str">
        <x:f>IF(AND(J631="Рассчитано",T631&gt;0,R631&lt;100),(W631+P631+Q631)/(T631*(1-R631/100)),"н/д")</x:f>
        <x:v>н/д</x:v>
      </x:c>
      <x:c r="AD631" s="10" t="str">
        <x:f>IF(ISNUMBER(G631),IF(G631&lt;0,"Убыток",IF(G631=0,"Без прибыли","Прибыль &gt; 0")),"Не оценён")</x:f>
        <x:v>Не оценён</x:v>
      </x:c>
      <x:c r="AE631" s="13" t="str">
        <x:f>IF(J631="Рассчитано","Выручка "&amp;TEXT(V631,"0.00")&amp;" - себестоимость "&amp;TEXT(W631,"0.00")&amp;" - комиссия "&amp;TEXT(V631*R631/100,"0.00")&amp;" - доставка "&amp;TEXT(P631,"0.00")&amp;" - прочие "&amp;TEXT(Q631,"0.00")&amp;" = "&amp;TEXT(G631,"0.00")&amp;" "&amp;L631,"Введите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1" s="24" t="n">
        <x:v>0</x:v>
      </x:c>
      <x:c r="AG631" s="37" t="n">
        <x:v>3</x:v>
      </x:c>
      <x:c r="AH631" s="37" t="n">
        <x:v>0</x:v>
      </x:c>
      <x:c r="AI631" s="30" t="n">
        <x:v>46266</x:v>
      </x:c>
      <x:c r="AJ631" s="37"/>
      <x:c r="AK631" s="10" t="str">
        <x:v>неизвестно</x:v>
      </x:c>
      <x:c r="AL631" s="32" t="str">
        <x:v>н/д</x:v>
      </x:c>
      <x:c r="AM63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31" s="13" t="str">
        <x:v>Проверить свободный остаток и установить цену для B2B</x:v>
      </x:c>
      <x:c r="AO631" s="13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631" s="13" t="str">
        <x:v>["category_missing", "daily_stockout_data_missing", "moq_missing", "new_order_lead_time_unknown", "reservations_unknown", "stale_stock"]</x:v>
      </x:c>
      <x:c r="AQ631" s="10" t="str">
        <x:v>IEK:130300770_</x:v>
      </x:c>
      <x:c r="AR631" s="24" t="n">
        <x:v>1</x:v>
      </x:c>
      <x:c r="AS631" s="24" t="n">
        <x:v>0</x:v>
      </x:c>
      <x:c r="AT631" s="24" t="n">
        <x:v>0</x:v>
      </x:c>
    </x:row>
    <x:row r="632" ht="64" customHeight="1">
      <x:c r="A632" s="11" t="str">
        <x:v>IEK</x:v>
      </x:c>
      <x:c r="B632" s="33" t="str">
        <x:v>130300774_</x:v>
      </x:c>
      <x:c r="C632" s="33" t="str">
        <x:v>ERP10-32-01-K01</x:v>
      </x:c>
      <x:c r="D632" s="12" t="str">
        <x:v>Розетка для плиты РПпл10-01-Ст з/к о/у 32А белая IEK</x:v>
      </x:c>
      <x:c r="E632" s="11" t="str">
        <x:v>шт</x:v>
      </x:c>
      <x:c r="F632" s="35" t="n">
        <x:f>MAX(0,ROUNDDOWN((AG632-AF632)/AR632+0.000000001,0)*AR632)</x:f>
        <x:v>10</x:v>
      </x:c>
      <x:c r="G632" s="20" t="str">
        <x:f>IF(J632="Рассчитано",V632*(1-R632/100)-W632-P632-Q632,"н/д")</x:f>
        <x:v>н/д</x:v>
      </x:c>
      <x:c r="H632" s="12" t="str">
        <x:v>Высокий</x:v>
      </x:c>
      <x:c r="I632" s="12" t="str">
        <x:v>Высокий</x:v>
      </x:c>
      <x:c r="J632" s="12" t="str">
        <x:f>IF(L632="","Укажите валюту",IF(NOT(ISNUMBER(K632)),"Укажите объём",IF(K632&lt;=0,"Укажите объём",IF(K632&gt;F632,"Объём выше излишка",IF(COUNT(M632:O632)&lt;3,"Нужны цены",IF(COUNT(P632:R632)&lt;3,"Нужны расходы",IF(OR(M632&lt;0,N632&lt;0,O632&lt;0,O632&gt;100,P632&lt;0,Q632&lt;0,R632&lt;0,R632&gt;100),"Проверьте значения","Рассчитано")))))))</x:f>
        <x:v>Нужны цены</x:v>
      </x:c>
      <x:c r="K632" s="36" t="n">
        <x:v>10</x:v>
      </x:c>
      <x:c r="L632" s="19" t="str">
        <x:v>KZT</x:v>
      </x:c>
      <x:c r="M632" s="22"/>
      <x:c r="N632" s="22"/>
      <x:c r="O632" s="28"/>
      <x:c r="P632" s="22"/>
      <x:c r="Q632" s="22"/>
      <x:c r="R632" s="28"/>
      <x:c r="S632" s="22"/>
      <x:c r="T632" s="35" t="n">
        <x:f>K632</x:f>
        <x:v>10</x:v>
      </x:c>
      <x:c r="U632" s="20" t="str">
        <x:f>IF(J632="Рассчитано",N632*(1-O632/100),"н/д")</x:f>
        <x:v>н/д</x:v>
      </x:c>
      <x:c r="V632" s="20" t="str">
        <x:f>IF(J632="Рассчитано",T632*U632,"н/д")</x:f>
        <x:v>н/д</x:v>
      </x:c>
      <x:c r="W632" s="20" t="str">
        <x:f>IF(J632="Рассчитано",T632*M632,"н/д")</x:f>
        <x:v>н/д</x:v>
      </x:c>
      <x:c r="X632" s="20" t="str">
        <x:f>IF(J632="Рассчитано",V632-W632,"н/д")</x:f>
        <x:v>н/д</x:v>
      </x:c>
      <x:c r="Y632" s="26" t="str">
        <x:f>IF(J632="Рассчитано",IF(V632&gt;0,G632/V632,"н/д"),"н/д")</x:f>
        <x:v>н/д</x:v>
      </x:c>
      <x:c r="Z632" s="20" t="str">
        <x:f>"н/д"</x:f>
        <x:v>н/д</x:v>
      </x:c>
      <x:c r="AA632" s="20" t="str">
        <x:f>"н/д"</x:f>
        <x:v>н/д</x:v>
      </x:c>
      <x:c r="AB632" s="20" t="str">
        <x:f>"н/д"</x:f>
        <x:v>н/д</x:v>
      </x:c>
      <x:c r="AC632" s="20" t="str">
        <x:f>IF(AND(J632="Рассчитано",T632&gt;0,R632&lt;100),(W632+P632+Q632)/(T632*(1-R632/100)),"н/д")</x:f>
        <x:v>н/д</x:v>
      </x:c>
      <x:c r="AD632" s="11" t="str">
        <x:f>IF(ISNUMBER(G632),IF(G632&lt;0,"Убыток",IF(G632=0,"Без прибыли","Прибыль &gt; 0")),"Не оценён")</x:f>
        <x:v>Не оценён</x:v>
      </x:c>
      <x:c r="AE632" s="12" t="str">
        <x:f>IF(J632="Рассчитано","Выручка "&amp;TEXT(V632,"0.00")&amp;" - себестоимость "&amp;TEXT(W632,"0.00")&amp;" - комиссия "&amp;TEXT(V632*R632/100,"0.00")&amp;" - доставка "&amp;TEXT(P632,"0.00")&amp;" - прочие "&amp;TEXT(Q632,"0.00")&amp;" = "&amp;TEXT(G632,"0.00")&amp;" "&amp;L632,"Введите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2" s="23" t="n">
        <x:v>1.9261705297993634</x:v>
      </x:c>
      <x:c r="AG632" s="35" t="n">
        <x:v>12</x:v>
      </x:c>
      <x:c r="AH632" s="35" t="n">
        <x:v>0</x:v>
      </x:c>
      <x:c r="AI632" s="29" t="n">
        <x:v>46266</x:v>
      </x:c>
      <x:c r="AJ632" s="35" t="n">
        <x:v>10</x:v>
      </x:c>
      <x:c r="AK632" s="11" t="str">
        <x:v>минимум</x:v>
      </x:c>
      <x:c r="AL632" s="31" t="n">
        <x:v>529.792195578782</x:v>
      </x:c>
      <x:c r="AM63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32" s="12" t="str">
        <x:v>Проверить свободный остаток и установить цену для B2B</x:v>
      </x:c>
      <x:c r="AO632" s="12" t="str">
        <x:v>Остаток 12; прогноз 90 дней 1.93; избыток 10 шт. Будущие поступления не выставляются на продажу. Остаток на начало сентября: требуется актуализация.</x:v>
      </x:c>
      <x:c r="AP632" s="12" t="str">
        <x:v>["category_missing", "daily_stockout_data_missing", "new_order_lead_time_unknown", "reservations_unknown", "stale_stock"]</x:v>
      </x:c>
      <x:c r="AQ632" s="11" t="str">
        <x:v>IEK:130300774_</x:v>
      </x:c>
      <x:c r="AR632" s="23" t="n">
        <x:v>1</x:v>
      </x:c>
      <x:c r="AS632" s="23" t="n">
        <x:v>0</x:v>
      </x:c>
      <x:c r="AT632" s="23" t="n">
        <x:v>0</x:v>
      </x:c>
    </x:row>
    <x:row r="633" ht="64" customHeight="1">
      <x:c r="A633" s="10" t="str">
        <x:v>IEK</x:v>
      </x:c>
      <x:c r="B633" s="34" t="str">
        <x:v>130300775_</x:v>
      </x:c>
      <x:c r="C633" s="34" t="str">
        <x:v>EVP10-32-01-K01</x:v>
      </x:c>
      <x:c r="D633" s="13" t="str">
        <x:v>Вилка для плиты ВПпл10-01-Ст з/к 32А белая IEK</x:v>
      </x:c>
      <x:c r="E633" s="10" t="str">
        <x:v>шт</x:v>
      </x:c>
      <x:c r="F633" s="37" t="n">
        <x:f>MAX(0,ROUNDDOWN((AG633-AF633)/AR633+0.000000001,0)*AR633)</x:f>
        <x:v>7</x:v>
      </x:c>
      <x:c r="G633" s="21" t="str">
        <x:f>IF(J633="Рассчитано",V633*(1-R633/100)-W633-P633-Q633,"н/д")</x:f>
        <x:v>н/д</x:v>
      </x:c>
      <x:c r="H633" s="13" t="str">
        <x:v>Высокий</x:v>
      </x:c>
      <x:c r="I633" s="13" t="str">
        <x:v>Высокий</x:v>
      </x:c>
      <x:c r="J633" s="13" t="str">
        <x:f>IF(L633="","Укажите валюту",IF(NOT(ISNUMBER(K633)),"Укажите объём",IF(K633&lt;=0,"Укажите объём",IF(K633&gt;F633,"Объём выше излишка",IF(COUNT(M633:O633)&lt;3,"Нужны цены",IF(COUNT(P633:R633)&lt;3,"Нужны расходы",IF(OR(M633&lt;0,N633&lt;0,O633&lt;0,O633&gt;100,P633&lt;0,Q633&lt;0,R633&lt;0,R633&gt;100),"Проверьте значения","Рассчитано")))))))</x:f>
        <x:v>Нужны цены</x:v>
      </x:c>
      <x:c r="K633" s="36" t="n">
        <x:v>7</x:v>
      </x:c>
      <x:c r="L633" s="19" t="str">
        <x:v>KZT</x:v>
      </x:c>
      <x:c r="M633" s="22"/>
      <x:c r="N633" s="22"/>
      <x:c r="O633" s="28"/>
      <x:c r="P633" s="22"/>
      <x:c r="Q633" s="22"/>
      <x:c r="R633" s="28"/>
      <x:c r="S633" s="22"/>
      <x:c r="T633" s="37" t="n">
        <x:f>K633</x:f>
        <x:v>7</x:v>
      </x:c>
      <x:c r="U633" s="21" t="str">
        <x:f>IF(J633="Рассчитано",N633*(1-O633/100),"н/д")</x:f>
        <x:v>н/д</x:v>
      </x:c>
      <x:c r="V633" s="21" t="str">
        <x:f>IF(J633="Рассчитано",T633*U633,"н/д")</x:f>
        <x:v>н/д</x:v>
      </x:c>
      <x:c r="W633" s="21" t="str">
        <x:f>IF(J633="Рассчитано",T633*M633,"н/д")</x:f>
        <x:v>н/д</x:v>
      </x:c>
      <x:c r="X633" s="21" t="str">
        <x:f>IF(J633="Рассчитано",V633-W633,"н/д")</x:f>
        <x:v>н/д</x:v>
      </x:c>
      <x:c r="Y633" s="27" t="str">
        <x:f>IF(J633="Рассчитано",IF(V633&gt;0,G633/V633,"н/д"),"н/д")</x:f>
        <x:v>н/д</x:v>
      </x:c>
      <x:c r="Z633" s="21" t="str">
        <x:f>"н/д"</x:f>
        <x:v>н/д</x:v>
      </x:c>
      <x:c r="AA633" s="21" t="str">
        <x:f>"н/д"</x:f>
        <x:v>н/д</x:v>
      </x:c>
      <x:c r="AB633" s="21" t="str">
        <x:f>"н/д"</x:f>
        <x:v>н/д</x:v>
      </x:c>
      <x:c r="AC633" s="21" t="str">
        <x:f>IF(AND(J633="Рассчитано",T633&gt;0,R633&lt;100),(W633+P633+Q633)/(T633*(1-R633/100)),"н/д")</x:f>
        <x:v>н/д</x:v>
      </x:c>
      <x:c r="AD633" s="10" t="str">
        <x:f>IF(ISNUMBER(G633),IF(G633&lt;0,"Убыток",IF(G633=0,"Без прибыли","Прибыль &gt; 0")),"Не оценён")</x:f>
        <x:v>Не оценён</x:v>
      </x:c>
      <x:c r="AE633" s="13" t="str">
        <x:f>IF(J633="Рассчитано","Выручка "&amp;TEXT(V633,"0.00")&amp;" - себестоимость "&amp;TEXT(W633,"0.00")&amp;" - комиссия "&amp;TEXT(V633*R633/100,"0.00")&amp;" - доставка "&amp;TEXT(P633,"0.00")&amp;" - прочие "&amp;TEXT(Q633,"0.00")&amp;" = "&amp;TEXT(G633,"0.00")&amp;" "&amp;L633,"Введите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3" s="24" t="n">
        <x:v>3.4984406428490096</x:v>
      </x:c>
      <x:c r="AG633" s="37" t="n">
        <x:v>11</x:v>
      </x:c>
      <x:c r="AH633" s="37" t="n">
        <x:v>0</x:v>
      </x:c>
      <x:c r="AI633" s="30" t="n">
        <x:v>46266</x:v>
      </x:c>
      <x:c r="AJ633" s="37" t="n">
        <x:v>10</x:v>
      </x:c>
      <x:c r="AK633" s="10" t="str">
        <x:v>минимум</x:v>
      </x:c>
      <x:c r="AL633" s="32" t="n">
        <x:v>267.3851105015852</x:v>
      </x:c>
      <x:c r="AM63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33" s="13" t="str">
        <x:v>Проверить свободный остаток и установить цену для B2B</x:v>
      </x:c>
      <x:c r="AO633" s="13" t="str">
        <x:v>Остаток 11; прогноз 90 дней 3.50; избыток 7 шт. Будущие поступления не выставляются на продажу. Остаток на начало сентября: требуется актуализация.</x:v>
      </x:c>
      <x:c r="AP633" s="13" t="str">
        <x:v>["category_missing", "daily_stockout_data_missing", "new_order_lead_time_unknown", "reservations_unknown", "stale_stock"]</x:v>
      </x:c>
      <x:c r="AQ633" s="10" t="str">
        <x:v>IEK:130300775_</x:v>
      </x:c>
      <x:c r="AR633" s="24" t="n">
        <x:v>1</x:v>
      </x:c>
      <x:c r="AS633" s="24" t="n">
        <x:v>0</x:v>
      </x:c>
      <x:c r="AT633" s="24" t="n">
        <x:v>0</x:v>
      </x:c>
    </x:row>
    <x:row r="634" ht="64" customHeight="1">
      <x:c r="A634" s="11" t="str">
        <x:v>IEK</x:v>
      </x:c>
      <x:c r="B634" s="33" t="str">
        <x:v>130300861_</x:v>
      </x:c>
      <x:c r="C634" s="33"/>
      <x:c r="D634" s="12" t="str">
        <x:v>Амперметр Э47 1000/5A 96х96 IEK !!!</x:v>
      </x:c>
      <x:c r="E634" s="11" t="str">
        <x:v>шт</x:v>
      </x:c>
      <x:c r="F634" s="35" t="n">
        <x:f>MAX(0,ROUNDDOWN((AG634-AF634)/AR634+0.000000001,0)*AR634)</x:f>
        <x:v>1</x:v>
      </x:c>
      <x:c r="G634" s="20" t="str">
        <x:f>IF(J634="Рассчитано",V634*(1-R634/100)-W634-P634-Q634,"н/д")</x:f>
        <x:v>н/д</x:v>
      </x:c>
      <x:c r="H634" s="12" t="str">
        <x:v>Высокий</x:v>
      </x:c>
      <x:c r="I634" s="12" t="str">
        <x:v>Высокий</x:v>
      </x:c>
      <x:c r="J634" s="12" t="str">
        <x:f>IF(L634="","Укажите валюту",IF(NOT(ISNUMBER(K634)),"Укажите объём",IF(K634&lt;=0,"Укажите объём",IF(K634&gt;F634,"Объём выше излишка",IF(COUNT(M634:O634)&lt;3,"Нужны цены",IF(COUNT(P634:R634)&lt;3,"Нужны расходы",IF(OR(M634&lt;0,N634&lt;0,O634&lt;0,O634&gt;100,P634&lt;0,Q634&lt;0,R634&lt;0,R634&gt;100),"Проверьте значения","Рассчитано")))))))</x:f>
        <x:v>Нужны цены</x:v>
      </x:c>
      <x:c r="K634" s="36" t="n">
        <x:v>1</x:v>
      </x:c>
      <x:c r="L634" s="19" t="str">
        <x:v>KZT</x:v>
      </x:c>
      <x:c r="M634" s="22"/>
      <x:c r="N634" s="22"/>
      <x:c r="O634" s="28"/>
      <x:c r="P634" s="22"/>
      <x:c r="Q634" s="22"/>
      <x:c r="R634" s="28"/>
      <x:c r="S634" s="22"/>
      <x:c r="T634" s="35" t="n">
        <x:f>K634</x:f>
        <x:v>1</x:v>
      </x:c>
      <x:c r="U634" s="20" t="str">
        <x:f>IF(J634="Рассчитано",N634*(1-O634/100),"н/д")</x:f>
        <x:v>н/д</x:v>
      </x:c>
      <x:c r="V634" s="20" t="str">
        <x:f>IF(J634="Рассчитано",T634*U634,"н/д")</x:f>
        <x:v>н/д</x:v>
      </x:c>
      <x:c r="W634" s="20" t="str">
        <x:f>IF(J634="Рассчитано",T634*M634,"н/д")</x:f>
        <x:v>н/д</x:v>
      </x:c>
      <x:c r="X634" s="20" t="str">
        <x:f>IF(J634="Рассчитано",V634-W634,"н/д")</x:f>
        <x:v>н/д</x:v>
      </x:c>
      <x:c r="Y634" s="26" t="str">
        <x:f>IF(J634="Рассчитано",IF(V634&gt;0,G634/V634,"н/д"),"н/д")</x:f>
        <x:v>н/д</x:v>
      </x:c>
      <x:c r="Z634" s="20" t="str">
        <x:f>"н/д"</x:f>
        <x:v>н/д</x:v>
      </x:c>
      <x:c r="AA634" s="20" t="str">
        <x:f>"н/д"</x:f>
        <x:v>н/д</x:v>
      </x:c>
      <x:c r="AB634" s="20" t="str">
        <x:f>"н/д"</x:f>
        <x:v>н/д</x:v>
      </x:c>
      <x:c r="AC634" s="20" t="str">
        <x:f>IF(AND(J634="Рассчитано",T634&gt;0,R634&lt;100),(W634+P634+Q634)/(T634*(1-R634/100)),"н/д")</x:f>
        <x:v>н/д</x:v>
      </x:c>
      <x:c r="AD634" s="11" t="str">
        <x:f>IF(ISNUMBER(G634),IF(G634&lt;0,"Убыток",IF(G634=0,"Без прибыли","Прибыль &gt; 0")),"Не оценён")</x:f>
        <x:v>Не оценён</x:v>
      </x:c>
      <x:c r="AE634" s="12" t="str">
        <x:f>IF(J634="Рассчитано","Выручка "&amp;TEXT(V634,"0.00")&amp;" - себестоимость "&amp;TEXT(W634,"0.00")&amp;" - комиссия "&amp;TEXT(V634*R634/100,"0.00")&amp;" - доставка "&amp;TEXT(P634,"0.00")&amp;" - прочие "&amp;TEXT(Q634,"0.00")&amp;" = "&amp;TEXT(G634,"0.00")&amp;" "&amp;L634,"Введите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4" s="23" t="n">
        <x:v>0.11078145050006173</x:v>
      </x:c>
      <x:c r="AG634" s="35" t="n">
        <x:v>2</x:v>
      </x:c>
      <x:c r="AH634" s="35" t="n">
        <x:v>0</x:v>
      </x:c>
      <x:c r="AI634" s="29" t="n">
        <x:v>46266</x:v>
      </x:c>
      <x:c r="AJ634" s="35"/>
      <x:c r="AK634" s="11" t="str">
        <x:v>неизвестно</x:v>
      </x:c>
      <x:c r="AL634" s="31" t="n">
        <x:v>1535.2602044162963</x:v>
      </x:c>
      <x:c r="AM634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634" s="12" t="str">
        <x:v>Проверить свободный остаток и установить цену для B2B</x:v>
      </x:c>
      <x:c r="AO634" s="12" t="str">
        <x:v>Остаток 2; прогноз 90 дней 0.11; избыток 1 шт. Будущие поступления не выставляются на продажу. Остаток на начало сентября: требуется актуализация.</x:v>
      </x:c>
      <x:c r="AP634" s="12" t="str">
        <x:v>["category_missing", "daily_stockout_data_missing", "moq_missing", "new_order_lead_time_unknown", "reservations_unknown", "stale_stock", "supplier_sku_missing"]</x:v>
      </x:c>
      <x:c r="AQ634" s="11" t="str">
        <x:v>IEK:130300861_</x:v>
      </x:c>
      <x:c r="AR634" s="23" t="n">
        <x:v>1</x:v>
      </x:c>
      <x:c r="AS634" s="23" t="n">
        <x:v>0</x:v>
      </x:c>
      <x:c r="AT634" s="23" t="n">
        <x:v>0</x:v>
      </x:c>
    </x:row>
    <x:row r="635" ht="64" customHeight="1">
      <x:c r="A635" s="10" t="str">
        <x:v>IEK</x:v>
      </x:c>
      <x:c r="B635" s="34" t="str">
        <x:v>130300962_</x:v>
      </x:c>
      <x:c r="C635" s="34" t="str">
        <x:v>IPA10-6-0200-E</x:v>
      </x:c>
      <x:c r="D635" s="13" t="str">
        <x:v>Амперметр Э47  200/5А кл. точн. 1,5 72х72 IEK (1/100)</x:v>
      </x:c>
      <x:c r="E635" s="10" t="str">
        <x:v>шт</x:v>
      </x:c>
      <x:c r="F635" s="37" t="n">
        <x:f>MAX(0,ROUNDDOWN((AG635-AF635)/AR635+0.000000001,0)*AR635)</x:f>
        <x:v>3</x:v>
      </x:c>
      <x:c r="G635" s="21" t="str">
        <x:f>IF(J635="Рассчитано",V635*(1-R635/100)-W635-P635-Q635,"н/д")</x:f>
        <x:v>н/д</x:v>
      </x:c>
      <x:c r="H635" s="13" t="str">
        <x:v>Высокий</x:v>
      </x:c>
      <x:c r="I635" s="13" t="str">
        <x:v>Высокий</x:v>
      </x:c>
      <x:c r="J635" s="13" t="str">
        <x:f>IF(L635="","Укажите валюту",IF(NOT(ISNUMBER(K635)),"Укажите объём",IF(K635&lt;=0,"Укажите объём",IF(K635&gt;F635,"Объём выше излишка",IF(COUNT(M635:O635)&lt;3,"Нужны цены",IF(COUNT(P635:R635)&lt;3,"Нужны расходы",IF(OR(M635&lt;0,N635&lt;0,O635&lt;0,O635&gt;100,P635&lt;0,Q635&lt;0,R635&lt;0,R635&gt;100),"Проверьте значения","Рассчитано")))))))</x:f>
        <x:v>Нужны цены</x:v>
      </x:c>
      <x:c r="K635" s="36" t="n">
        <x:v>3</x:v>
      </x:c>
      <x:c r="L635" s="19" t="str">
        <x:v>KZT</x:v>
      </x:c>
      <x:c r="M635" s="22"/>
      <x:c r="N635" s="22"/>
      <x:c r="O635" s="28"/>
      <x:c r="P635" s="22"/>
      <x:c r="Q635" s="22"/>
      <x:c r="R635" s="28"/>
      <x:c r="S635" s="22"/>
      <x:c r="T635" s="37" t="n">
        <x:f>K635</x:f>
        <x:v>3</x:v>
      </x:c>
      <x:c r="U635" s="21" t="str">
        <x:f>IF(J635="Рассчитано",N635*(1-O635/100),"н/д")</x:f>
        <x:v>н/д</x:v>
      </x:c>
      <x:c r="V635" s="21" t="str">
        <x:f>IF(J635="Рассчитано",T635*U635,"н/д")</x:f>
        <x:v>н/д</x:v>
      </x:c>
      <x:c r="W635" s="21" t="str">
        <x:f>IF(J635="Рассчитано",T635*M635,"н/д")</x:f>
        <x:v>н/д</x:v>
      </x:c>
      <x:c r="X635" s="21" t="str">
        <x:f>IF(J635="Рассчитано",V635-W635,"н/д")</x:f>
        <x:v>н/д</x:v>
      </x:c>
      <x:c r="Y635" s="27" t="str">
        <x:f>IF(J635="Рассчитано",IF(V635&gt;0,G635/V635,"н/д"),"н/д")</x:f>
        <x:v>н/д</x:v>
      </x:c>
      <x:c r="Z635" s="21" t="str">
        <x:f>"н/д"</x:f>
        <x:v>н/д</x:v>
      </x:c>
      <x:c r="AA635" s="21" t="str">
        <x:f>"н/д"</x:f>
        <x:v>н/д</x:v>
      </x:c>
      <x:c r="AB635" s="21" t="str">
        <x:f>"н/д"</x:f>
        <x:v>н/д</x:v>
      </x:c>
      <x:c r="AC635" s="21" t="str">
        <x:f>IF(AND(J635="Рассчитано",T635&gt;0,R635&lt;100),(W635+P635+Q635)/(T635*(1-R635/100)),"н/д")</x:f>
        <x:v>н/д</x:v>
      </x:c>
      <x:c r="AD635" s="10" t="str">
        <x:f>IF(ISNUMBER(G635),IF(G635&lt;0,"Убыток",IF(G635=0,"Без прибыли","Прибыль &gt; 0")),"Не оценён")</x:f>
        <x:v>Не оценён</x:v>
      </x:c>
      <x:c r="AE635" s="13" t="str">
        <x:f>IF(J635="Рассчитано","Выручка "&amp;TEXT(V635,"0.00")&amp;" - себестоимость "&amp;TEXT(W635,"0.00")&amp;" - комиссия "&amp;TEXT(V635*R635/100,"0.00")&amp;" - доставка "&amp;TEXT(P635,"0.00")&amp;" - прочие "&amp;TEXT(Q635,"0.00")&amp;" = "&amp;TEXT(G635,"0.00")&amp;" "&amp;L635,"Введите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5" s="24" t="n">
        <x:v>1.421750504749119</x:v>
      </x:c>
      <x:c r="AG635" s="37" t="n">
        <x:v>5</x:v>
      </x:c>
      <x:c r="AH635" s="37" t="n">
        <x:v>0</x:v>
      </x:c>
      <x:c r="AI635" s="30" t="n">
        <x:v>46266</x:v>
      </x:c>
      <x:c r="AJ635" s="37" t="n">
        <x:v>1</x:v>
      </x:c>
      <x:c r="AK635" s="10" t="str">
        <x:v>минимум</x:v>
      </x:c>
      <x:c r="AL635" s="32" t="n">
        <x:v>299.06504652563865</x:v>
      </x:c>
      <x:c r="AM63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35" s="13" t="str">
        <x:v>Проверить свободный остаток и установить цену для B2B</x:v>
      </x:c>
      <x:c r="AO635" s="13" t="str">
        <x:v>Остаток 5; прогноз 90 дней 1.42; избыток 3 шт. Будущие поступления не выставляются на продажу. Остаток на начало сентября: требуется актуализация.</x:v>
      </x:c>
      <x:c r="AP635" s="13" t="str">
        <x:v>["category_missing", "daily_stockout_data_missing", "new_order_lead_time_unknown", "reservations_unknown", "stale_stock"]</x:v>
      </x:c>
      <x:c r="AQ635" s="10" t="str">
        <x:v>IEK:130300962_</x:v>
      </x:c>
      <x:c r="AR635" s="24" t="n">
        <x:v>1</x:v>
      </x:c>
      <x:c r="AS635" s="24" t="n">
        <x:v>0</x:v>
      </x:c>
      <x:c r="AT635" s="24" t="n">
        <x:v>0</x:v>
      </x:c>
    </x:row>
    <x:row r="636" ht="64" customHeight="1">
      <x:c r="A636" s="11" t="str">
        <x:v>IEK</x:v>
      </x:c>
      <x:c r="B636" s="33" t="str">
        <x:v>130300963_</x:v>
      </x:c>
      <x:c r="C636" s="33" t="str">
        <x:v>IPA10-6-1000-E</x:v>
      </x:c>
      <x:c r="D636" s="12" t="str">
        <x:v>Амперметр Э47 1000/5A кл. точн. 1,5 72х72 IEK (1/100)</x:v>
      </x:c>
      <x:c r="E636" s="11" t="str">
        <x:v>шт</x:v>
      </x:c>
      <x:c r="F636" s="35" t="n">
        <x:f>MAX(0,ROUNDDOWN((AG636-AF636)/AR636+0.000000001,0)*AR636)</x:f>
        <x:v>9</x:v>
      </x:c>
      <x:c r="G636" s="20" t="str">
        <x:f>IF(J636="Рассчитано",V636*(1-R636/100)-W636-P636-Q636,"н/д")</x:f>
        <x:v>н/д</x:v>
      </x:c>
      <x:c r="H636" s="12" t="str">
        <x:v>Высокий</x:v>
      </x:c>
      <x:c r="I636" s="12" t="str">
        <x:v>Высокий</x:v>
      </x:c>
      <x:c r="J636" s="12" t="str">
        <x:f>IF(L636="","Укажите валюту",IF(NOT(ISNUMBER(K636)),"Укажите объём",IF(K636&lt;=0,"Укажите объём",IF(K636&gt;F636,"Объём выше излишка",IF(COUNT(M636:O636)&lt;3,"Нужны цены",IF(COUNT(P636:R636)&lt;3,"Нужны расходы",IF(OR(M636&lt;0,N636&lt;0,O636&lt;0,O636&gt;100,P636&lt;0,Q636&lt;0,R636&lt;0,R636&gt;100),"Проверьте значения","Рассчитано")))))))</x:f>
        <x:v>Нужны цены</x:v>
      </x:c>
      <x:c r="K636" s="36" t="n">
        <x:v>9</x:v>
      </x:c>
      <x:c r="L636" s="19" t="str">
        <x:v>KZT</x:v>
      </x:c>
      <x:c r="M636" s="22"/>
      <x:c r="N636" s="22"/>
      <x:c r="O636" s="28"/>
      <x:c r="P636" s="22"/>
      <x:c r="Q636" s="22"/>
      <x:c r="R636" s="28"/>
      <x:c r="S636" s="22"/>
      <x:c r="T636" s="35" t="n">
        <x:f>K636</x:f>
        <x:v>9</x:v>
      </x:c>
      <x:c r="U636" s="20" t="str">
        <x:f>IF(J636="Рассчитано",N636*(1-O636/100),"н/д")</x:f>
        <x:v>н/д</x:v>
      </x:c>
      <x:c r="V636" s="20" t="str">
        <x:f>IF(J636="Рассчитано",T636*U636,"н/д")</x:f>
        <x:v>н/д</x:v>
      </x:c>
      <x:c r="W636" s="20" t="str">
        <x:f>IF(J636="Рассчитано",T636*M636,"н/д")</x:f>
        <x:v>н/д</x:v>
      </x:c>
      <x:c r="X636" s="20" t="str">
        <x:f>IF(J636="Рассчитано",V636-W636,"н/д")</x:f>
        <x:v>н/д</x:v>
      </x:c>
      <x:c r="Y636" s="26" t="str">
        <x:f>IF(J636="Рассчитано",IF(V636&gt;0,G636/V636,"н/д"),"н/д")</x:f>
        <x:v>н/д</x:v>
      </x:c>
      <x:c r="Z636" s="20" t="str">
        <x:f>"н/д"</x:f>
        <x:v>н/д</x:v>
      </x:c>
      <x:c r="AA636" s="20" t="str">
        <x:f>"н/д"</x:f>
        <x:v>н/д</x:v>
      </x:c>
      <x:c r="AB636" s="20" t="str">
        <x:f>"н/д"</x:f>
        <x:v>н/д</x:v>
      </x:c>
      <x:c r="AC636" s="20" t="str">
        <x:f>IF(AND(J636="Рассчитано",T636&gt;0,R636&lt;100),(W636+P636+Q636)/(T636*(1-R636/100)),"н/д")</x:f>
        <x:v>н/д</x:v>
      </x:c>
      <x:c r="AD636" s="11" t="str">
        <x:f>IF(ISNUMBER(G636),IF(G636&lt;0,"Убыток",IF(G636=0,"Без прибыли","Прибыль &gt; 0")),"Не оценён")</x:f>
        <x:v>Не оценён</x:v>
      </x:c>
      <x:c r="AE636" s="12" t="str">
        <x:f>IF(J636="Рассчитано","Выручка "&amp;TEXT(V636,"0.00")&amp;" - себестоимость "&amp;TEXT(W636,"0.00")&amp;" - комиссия "&amp;TEXT(V636*R636/100,"0.00")&amp;" - доставка "&amp;TEXT(P636,"0.00")&amp;" - прочие "&amp;TEXT(Q636,"0.00")&amp;" = "&amp;TEXT(G636,"0.00")&amp;" "&amp;L636,"Введите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6" s="23" t="n">
        <x:v>1.8927620548084105</x:v>
      </x:c>
      <x:c r="AG636" s="35" t="n">
        <x:v>11</x:v>
      </x:c>
      <x:c r="AH636" s="35" t="n">
        <x:v>0</x:v>
      </x:c>
      <x:c r="AI636" s="29" t="n">
        <x:v>46266</x:v>
      </x:c>
      <x:c r="AJ636" s="35" t="n">
        <x:v>1</x:v>
      </x:c>
      <x:c r="AK636" s="11" t="str">
        <x:v>минимум</x:v>
      </x:c>
      <x:c r="AL636" s="31" t="n">
        <x:v>494.2147564164401</x:v>
      </x:c>
      <x:c r="AM63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36" s="12" t="str">
        <x:v>Проверить свободный остаток и установить цену для B2B</x:v>
      </x:c>
      <x:c r="AO636" s="12" t="str">
        <x:v>Остаток 11; прогноз 90 дней 1.89; избыток 9 шт. Будущие поступления не выставляются на продажу. Остаток на начало сентября: требуется актуализация.</x:v>
      </x:c>
      <x:c r="AP636" s="12" t="str">
        <x:v>["category_missing", "daily_stockout_data_missing", "new_order_lead_time_unknown", "reservations_unknown", "stale_stock"]</x:v>
      </x:c>
      <x:c r="AQ636" s="11" t="str">
        <x:v>IEK:130300963_</x:v>
      </x:c>
      <x:c r="AR636" s="23" t="n">
        <x:v>1</x:v>
      </x:c>
      <x:c r="AS636" s="23" t="n">
        <x:v>0</x:v>
      </x:c>
      <x:c r="AT636" s="23" t="n">
        <x:v>0</x:v>
      </x:c>
    </x:row>
    <x:row r="637" ht="64" customHeight="1">
      <x:c r="A637" s="10" t="str">
        <x:v>IEK</x:v>
      </x:c>
      <x:c r="B637" s="34" t="str">
        <x:v>130301000_</x:v>
      </x:c>
      <x:c r="C637" s="34" t="str">
        <x:v>IPA20-6-0200-E</x:v>
      </x:c>
      <x:c r="D637" s="13" t="str">
        <x:v>Амперметр Э47  200/5А кл. точн. 1,5 96х96 IEK (1/60)</x:v>
      </x:c>
      <x:c r="E637" s="10" t="str">
        <x:v>шт</x:v>
      </x:c>
      <x:c r="F637" s="37" t="n">
        <x:f>MAX(0,ROUNDDOWN((AG637-AF637)/AR637+0.000000001,0)*AR637)</x:f>
        <x:v>25</x:v>
      </x:c>
      <x:c r="G637" s="21" t="str">
        <x:f>IF(J637="Рассчитано",V637*(1-R637/100)-W637-P637-Q637,"н/д")</x:f>
        <x:v>н/д</x:v>
      </x:c>
      <x:c r="H637" s="13" t="str">
        <x:v>Высокий</x:v>
      </x:c>
      <x:c r="I637" s="13" t="str">
        <x:v>Высокий</x:v>
      </x:c>
      <x:c r="J637" s="13" t="str">
        <x:f>IF(L637="","Укажите валюту",IF(NOT(ISNUMBER(K637)),"Укажите объём",IF(K637&lt;=0,"Укажите объём",IF(K637&gt;F637,"Объём выше излишка",IF(COUNT(M637:O637)&lt;3,"Нужны цены",IF(COUNT(P637:R637)&lt;3,"Нужны расходы",IF(OR(M637&lt;0,N637&lt;0,O637&lt;0,O637&gt;100,P637&lt;0,Q637&lt;0,R637&lt;0,R637&gt;100),"Проверьте значения","Рассчитано")))))))</x:f>
        <x:v>Нужны цены</x:v>
      </x:c>
      <x:c r="K637" s="36" t="n">
        <x:v>25</x:v>
      </x:c>
      <x:c r="L637" s="19" t="str">
        <x:v>KZT</x:v>
      </x:c>
      <x:c r="M637" s="22"/>
      <x:c r="N637" s="22"/>
      <x:c r="O637" s="28"/>
      <x:c r="P637" s="22"/>
      <x:c r="Q637" s="22"/>
      <x:c r="R637" s="28"/>
      <x:c r="S637" s="22"/>
      <x:c r="T637" s="37" t="n">
        <x:f>K637</x:f>
        <x:v>25</x:v>
      </x:c>
      <x:c r="U637" s="21" t="str">
        <x:f>IF(J637="Рассчитано",N637*(1-O637/100),"н/д")</x:f>
        <x:v>н/д</x:v>
      </x:c>
      <x:c r="V637" s="21" t="str">
        <x:f>IF(J637="Рассчитано",T637*U637,"н/д")</x:f>
        <x:v>н/д</x:v>
      </x:c>
      <x:c r="W637" s="21" t="str">
        <x:f>IF(J637="Рассчитано",T637*M637,"н/д")</x:f>
        <x:v>н/д</x:v>
      </x:c>
      <x:c r="X637" s="21" t="str">
        <x:f>IF(J637="Рассчитано",V637-W637,"н/д")</x:f>
        <x:v>н/д</x:v>
      </x:c>
      <x:c r="Y637" s="27" t="str">
        <x:f>IF(J637="Рассчитано",IF(V637&gt;0,G637/V637,"н/д"),"н/д")</x:f>
        <x:v>н/д</x:v>
      </x:c>
      <x:c r="Z637" s="21" t="str">
        <x:f>"н/д"</x:f>
        <x:v>н/д</x:v>
      </x:c>
      <x:c r="AA637" s="21" t="str">
        <x:f>"н/д"</x:f>
        <x:v>н/д</x:v>
      </x:c>
      <x:c r="AB637" s="21" t="str">
        <x:f>"н/д"</x:f>
        <x:v>н/д</x:v>
      </x:c>
      <x:c r="AC637" s="21" t="str">
        <x:f>IF(AND(J637="Рассчитано",T637&gt;0,R637&lt;100),(W637+P637+Q637)/(T637*(1-R637/100)),"н/д")</x:f>
        <x:v>н/д</x:v>
      </x:c>
      <x:c r="AD637" s="10" t="str">
        <x:f>IF(ISNUMBER(G637),IF(G637&lt;0,"Убыток",IF(G637=0,"Без прибыли","Прибыль &gt; 0")),"Не оценён")</x:f>
        <x:v>Не оценён</x:v>
      </x:c>
      <x:c r="AE637" s="13" t="str">
        <x:f>IF(J637="Рассчитано","Выручка "&amp;TEXT(V637,"0.00")&amp;" - себестоимость "&amp;TEXT(W637,"0.00")&amp;" - комиссия "&amp;TEXT(V637*R637/100,"0.00")&amp;" - доставка "&amp;TEXT(P637,"0.00")&amp;" - прочие "&amp;TEXT(Q637,"0.00")&amp;" = "&amp;TEXT(G637,"0.00")&amp;" "&amp;L637,"Введите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7" s="24" t="n">
        <x:v>4.426939235910876</x:v>
      </x:c>
      <x:c r="AG637" s="37" t="n">
        <x:v>30</x:v>
      </x:c>
      <x:c r="AH637" s="37" t="n">
        <x:v>0</x:v>
      </x:c>
      <x:c r="AI637" s="30" t="n">
        <x:v>46266</x:v>
      </x:c>
      <x:c r="AJ637" s="37" t="n">
        <x:v>1</x:v>
      </x:c>
      <x:c r="AK637" s="10" t="str">
        <x:v>минимум</x:v>
      </x:c>
      <x:c r="AL637" s="32" t="n">
        <x:v>576.2842336775266</x:v>
      </x:c>
      <x:c r="AM63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37" s="13" t="str">
        <x:v>Проверить свободный остаток и установить цену для B2B</x:v>
      </x:c>
      <x:c r="AO637" s="13" t="str">
        <x:v>Остаток 30; прогноз 90 дней 4.43; избыток 25 шт. Будущие поступления не выставляются на продажу. Остаток на начало сентября: требуется актуализация.</x:v>
      </x:c>
      <x:c r="AP637" s="13" t="str">
        <x:v>["category_missing", "daily_stockout_data_missing", "large_orders_detected", "new_order_lead_time_unknown", "reservations_unknown", "stale_stock"]</x:v>
      </x:c>
      <x:c r="AQ637" s="10" t="str">
        <x:v>IEK:130301000_</x:v>
      </x:c>
      <x:c r="AR637" s="24" t="n">
        <x:v>1</x:v>
      </x:c>
      <x:c r="AS637" s="24" t="n">
        <x:v>0</x:v>
      </x:c>
      <x:c r="AT637" s="24" t="n">
        <x:v>0</x:v>
      </x:c>
    </x:row>
    <x:row r="638" ht="64" customHeight="1">
      <x:c r="A638" s="11" t="str">
        <x:v>IEK</x:v>
      </x:c>
      <x:c r="B638" s="33" t="str">
        <x:v>130301016_</x:v>
      </x:c>
      <x:c r="C638" s="33" t="str">
        <x:v>IPV10-6-0500-E</x:v>
      </x:c>
      <x:c r="D638" s="12" t="str">
        <x:v>Вольтметр Э47 500В кл. точн. 1,5 72х72 IEK (1/100)</x:v>
      </x:c>
      <x:c r="E638" s="11" t="str">
        <x:v>шт</x:v>
      </x:c>
      <x:c r="F638" s="35" t="n">
        <x:f>MAX(0,ROUNDDOWN((AG638-AF638)/AR638+0.000000001,0)*AR638)</x:f>
        <x:v>7</x:v>
      </x:c>
      <x:c r="G638" s="20" t="str">
        <x:f>IF(J638="Рассчитано",V638*(1-R638/100)-W638-P638-Q638,"н/д")</x:f>
        <x:v>н/д</x:v>
      </x:c>
      <x:c r="H638" s="12" t="str">
        <x:v>Высокий</x:v>
      </x:c>
      <x:c r="I638" s="12" t="str">
        <x:v>Средний</x:v>
      </x:c>
      <x:c r="J638" s="12" t="str">
        <x:f>IF(L638="","Укажите валюту",IF(NOT(ISNUMBER(K638)),"Укажите объём",IF(K638&lt;=0,"Укажите объём",IF(K638&gt;F638,"Объём выше излишка",IF(COUNT(M638:O638)&lt;3,"Нужны цены",IF(COUNT(P638:R638)&lt;3,"Нужны расходы",IF(OR(M638&lt;0,N638&lt;0,O638&lt;0,O638&gt;100,P638&lt;0,Q638&lt;0,R638&lt;0,R638&gt;100),"Проверьте значения","Рассчитано")))))))</x:f>
        <x:v>Нужны цены</x:v>
      </x:c>
      <x:c r="K638" s="36" t="n">
        <x:v>7</x:v>
      </x:c>
      <x:c r="L638" s="19" t="str">
        <x:v>KZT</x:v>
      </x:c>
      <x:c r="M638" s="22"/>
      <x:c r="N638" s="22"/>
      <x:c r="O638" s="28"/>
      <x:c r="P638" s="22"/>
      <x:c r="Q638" s="22"/>
      <x:c r="R638" s="28"/>
      <x:c r="S638" s="22"/>
      <x:c r="T638" s="35" t="n">
        <x:f>K638</x:f>
        <x:v>7</x:v>
      </x:c>
      <x:c r="U638" s="20" t="str">
        <x:f>IF(J638="Рассчитано",N638*(1-O638/100),"н/д")</x:f>
        <x:v>н/д</x:v>
      </x:c>
      <x:c r="V638" s="20" t="str">
        <x:f>IF(J638="Рассчитано",T638*U638,"н/д")</x:f>
        <x:v>н/д</x:v>
      </x:c>
      <x:c r="W638" s="20" t="str">
        <x:f>IF(J638="Рассчитано",T638*M638,"н/д")</x:f>
        <x:v>н/д</x:v>
      </x:c>
      <x:c r="X638" s="20" t="str">
        <x:f>IF(J638="Рассчитано",V638-W638,"н/д")</x:f>
        <x:v>н/д</x:v>
      </x:c>
      <x:c r="Y638" s="26" t="str">
        <x:f>IF(J638="Рассчитано",IF(V638&gt;0,G638/V638,"н/д"),"н/д")</x:f>
        <x:v>н/д</x:v>
      </x:c>
      <x:c r="Z638" s="20" t="str">
        <x:f>"н/д"</x:f>
        <x:v>н/д</x:v>
      </x:c>
      <x:c r="AA638" s="20" t="str">
        <x:f>"н/д"</x:f>
        <x:v>н/д</x:v>
      </x:c>
      <x:c r="AB638" s="20" t="str">
        <x:f>"н/д"</x:f>
        <x:v>н/д</x:v>
      </x:c>
      <x:c r="AC638" s="20" t="str">
        <x:f>IF(AND(J638="Рассчитано",T638&gt;0,R638&lt;100),(W638+P638+Q638)/(T638*(1-R638/100)),"н/д")</x:f>
        <x:v>н/д</x:v>
      </x:c>
      <x:c r="AD638" s="11" t="str">
        <x:f>IF(ISNUMBER(G638),IF(G638&lt;0,"Убыток",IF(G638=0,"Без прибыли","Прибыль &gt; 0")),"Не оценён")</x:f>
        <x:v>Не оценён</x:v>
      </x:c>
      <x:c r="AE638" s="12" t="str">
        <x:f>IF(J638="Рассчитано","Выручка "&amp;TEXT(V638,"0.00")&amp;" - себестоимость "&amp;TEXT(W638,"0.00")&amp;" - комиссия "&amp;TEXT(V638*R638/100,"0.00")&amp;" - доставка "&amp;TEXT(P638,"0.00")&amp;" - прочие "&amp;TEXT(Q638,"0.00")&amp;" = "&amp;TEXT(G638,"0.00")&amp;" "&amp;L638,"Введите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8" s="23" t="n">
        <x:v>8.587499104128963</x:v>
      </x:c>
      <x:c r="AG638" s="35" t="n">
        <x:v>16</x:v>
      </x:c>
      <x:c r="AH638" s="35" t="n">
        <x:v>0</x:v>
      </x:c>
      <x:c r="AI638" s="29" t="n">
        <x:v>46266</x:v>
      </x:c>
      <x:c r="AJ638" s="35" t="n">
        <x:v>1</x:v>
      </x:c>
      <x:c r="AK638" s="11" t="str">
        <x:v>минимум</x:v>
      </x:c>
      <x:c r="AL638" s="31" t="n">
        <x:v>158.44273195532116</x:v>
      </x:c>
      <x:c r="AM638" s="12" t="str">
        <x:v>Остаток на начало сентября; Резервы неизвестны; Нет ежедневных данных доступности. Запас выше прогноза на 90 дней</x:v>
      </x:c>
      <x:c r="AN638" s="12" t="str">
        <x:v>Проверить свободный остаток и установить цену для B2B</x:v>
      </x:c>
      <x:c r="AO638" s="12" t="str">
        <x:v>Остаток 16; прогноз 90 дней 8.59; избыток 7 шт. Будущие поступления не выставляются на продажу. Остаток на начало сентября: требуется актуализация.</x:v>
      </x:c>
      <x:c r="AP638" s="12" t="str">
        <x:v>["category_missing", "daily_stockout_data_missing", "new_order_lead_time_unknown", "reservations_unknown", "stale_stock"]</x:v>
      </x:c>
      <x:c r="AQ638" s="11" t="str">
        <x:v>IEK:130301016_</x:v>
      </x:c>
      <x:c r="AR638" s="23" t="n">
        <x:v>1</x:v>
      </x:c>
      <x:c r="AS638" s="23" t="n">
        <x:v>0</x:v>
      </x:c>
      <x:c r="AT638" s="23" t="n">
        <x:v>0</x:v>
      </x:c>
    </x:row>
    <x:row r="639" ht="64" customHeight="1">
      <x:c r="A639" s="10" t="str">
        <x:v>IEK</x:v>
      </x:c>
      <x:c r="B639" s="34" t="str">
        <x:v>130301079_</x:v>
      </x:c>
      <x:c r="C639" s="34" t="str">
        <x:v>UIZ-20-10-K52</x:v>
      </x:c>
      <x:c r="D639" s="13" t="str">
        <x:v>Изолента 0,18х19 мм желто-зеленая 20 метров IEK (10) (200)</x:v>
      </x:c>
      <x:c r="E639" s="10" t="str">
        <x:v>шт</x:v>
      </x:c>
      <x:c r="F639" s="37" t="n">
        <x:f>MAX(0,ROUNDDOWN((AG639-AF639)/AR639+0.000000001,0)*AR639)</x:f>
        <x:v>157</x:v>
      </x:c>
      <x:c r="G639" s="21" t="str">
        <x:f>IF(J639="Рассчитано",V639*(1-R639/100)-W639-P639-Q639,"н/д")</x:f>
        <x:v>н/д</x:v>
      </x:c>
      <x:c r="H639" s="13" t="str">
        <x:v>Высокий</x:v>
      </x:c>
      <x:c r="I639" s="13" t="str">
        <x:v>Высокий</x:v>
      </x:c>
      <x:c r="J639" s="13" t="str">
        <x:f>IF(L639="","Укажите валюту",IF(NOT(ISNUMBER(K639)),"Укажите объём",IF(K639&lt;=0,"Укажите объём",IF(K639&gt;F639,"Объём выше излишка",IF(COUNT(M639:O639)&lt;3,"Нужны цены",IF(COUNT(P639:R639)&lt;3,"Нужны расходы",IF(OR(M639&lt;0,N639&lt;0,O639&lt;0,O639&gt;100,P639&lt;0,Q639&lt;0,R639&lt;0,R639&gt;100),"Проверьте значения","Рассчитано")))))))</x:f>
        <x:v>Нужны цены</x:v>
      </x:c>
      <x:c r="K639" s="36" t="n">
        <x:v>157</x:v>
      </x:c>
      <x:c r="L639" s="19" t="str">
        <x:v>KZT</x:v>
      </x:c>
      <x:c r="M639" s="22"/>
      <x:c r="N639" s="22"/>
      <x:c r="O639" s="28"/>
      <x:c r="P639" s="22"/>
      <x:c r="Q639" s="22"/>
      <x:c r="R639" s="28"/>
      <x:c r="S639" s="22"/>
      <x:c r="T639" s="37" t="n">
        <x:f>K639</x:f>
        <x:v>157</x:v>
      </x:c>
      <x:c r="U639" s="21" t="str">
        <x:f>IF(J639="Рассчитано",N639*(1-O639/100),"н/д")</x:f>
        <x:v>н/д</x:v>
      </x:c>
      <x:c r="V639" s="21" t="str">
        <x:f>IF(J639="Рассчитано",T639*U639,"н/д")</x:f>
        <x:v>н/д</x:v>
      </x:c>
      <x:c r="W639" s="21" t="str">
        <x:f>IF(J639="Рассчитано",T639*M639,"н/д")</x:f>
        <x:v>н/д</x:v>
      </x:c>
      <x:c r="X639" s="21" t="str">
        <x:f>IF(J639="Рассчитано",V639-W639,"н/д")</x:f>
        <x:v>н/д</x:v>
      </x:c>
      <x:c r="Y639" s="27" t="str">
        <x:f>IF(J639="Рассчитано",IF(V639&gt;0,G639/V639,"н/д"),"н/д")</x:f>
        <x:v>н/д</x:v>
      </x:c>
      <x:c r="Z639" s="21" t="str">
        <x:f>"н/д"</x:f>
        <x:v>н/д</x:v>
      </x:c>
      <x:c r="AA639" s="21" t="str">
        <x:f>"н/д"</x:f>
        <x:v>н/д</x:v>
      </x:c>
      <x:c r="AB639" s="21" t="str">
        <x:f>"н/д"</x:f>
        <x:v>н/д</x:v>
      </x:c>
      <x:c r="AC639" s="21" t="str">
        <x:f>IF(AND(J639="Рассчитано",T639&gt;0,R639&lt;100),(W639+P639+Q639)/(T639*(1-R639/100)),"н/д")</x:f>
        <x:v>н/д</x:v>
      </x:c>
      <x:c r="AD639" s="10" t="str">
        <x:f>IF(ISNUMBER(G639),IF(G639&lt;0,"Убыток",IF(G639=0,"Без прибыли","Прибыль &gt; 0")),"Не оценён")</x:f>
        <x:v>Не оценён</x:v>
      </x:c>
      <x:c r="AE639" s="13" t="str">
        <x:f>IF(J639="Рассчитано","Выручка "&amp;TEXT(V639,"0.00")&amp;" - себестоимость "&amp;TEXT(W639,"0.00")&amp;" - комиссия "&amp;TEXT(V639*R639/100,"0.00")&amp;" - доставка "&amp;TEXT(P639,"0.00")&amp;" - прочие "&amp;TEXT(Q639,"0.00")&amp;" = "&amp;TEXT(G639,"0.00")&amp;" "&amp;L639,"Введите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9" s="24" t="n">
        <x:v>135.19881574246364</x:v>
      </x:c>
      <x:c r="AG639" s="37" t="n">
        <x:v>293</x:v>
      </x:c>
      <x:c r="AH639" s="37" t="n">
        <x:v>0</x:v>
      </x:c>
      <x:c r="AI639" s="30" t="n">
        <x:v>46266</x:v>
      </x:c>
      <x:c r="AJ639" s="37" t="n">
        <x:v>10</x:v>
      </x:c>
      <x:c r="AK639" s="10" t="str">
        <x:v>минимум</x:v>
      </x:c>
      <x:c r="AL639" s="32" t="n">
        <x:v>184.29509519750937</x:v>
      </x:c>
      <x:c r="AM63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39" s="13" t="str">
        <x:v>Проверить свободный остаток и установить цену для B2B</x:v>
      </x:c>
      <x:c r="AO639" s="13" t="str">
        <x:v>Остаток 293; прогноз 90 дней 135.20; избыток 157 шт. Будущие поступления не выставляются на продажу. Остаток на начало сентября: требуется актуализация.</x:v>
      </x:c>
      <x:c r="AP639" s="13" t="str">
        <x:v>["category_missing", "daily_stockout_data_missing", "large_orders_detected", "new_order_lead_time_unknown", "reservations_unknown", "stale_stock"]</x:v>
      </x:c>
      <x:c r="AQ639" s="10" t="str">
        <x:v>IEK:130301079_</x:v>
      </x:c>
      <x:c r="AR639" s="24" t="n">
        <x:v>1</x:v>
      </x:c>
      <x:c r="AS639" s="24" t="n">
        <x:v>0</x:v>
      </x:c>
      <x:c r="AT639" s="24" t="n">
        <x:v>0</x:v>
      </x:c>
    </x:row>
    <x:row r="640" ht="64" customHeight="1">
      <x:c r="A640" s="11" t="str">
        <x:v>IEK</x:v>
      </x:c>
      <x:c r="B640" s="33" t="str">
        <x:v>130301097_</x:v>
      </x:c>
      <x:c r="C640" s="33" t="str">
        <x:v>TKL10-004</x:v>
      </x:c>
      <x:c r="D640" s="12" t="str">
        <x:v>Пресс гидравл. ПГР-300 IEK</x:v>
      </x:c>
      <x:c r="E640" s="11" t="str">
        <x:v>шт</x:v>
      </x:c>
      <x:c r="F640" s="35" t="n">
        <x:f>MAX(0,ROUNDDOWN((AG640-AF640)/AR640+0.000000001,0)*AR640)</x:f>
        <x:v>8</x:v>
      </x:c>
      <x:c r="G640" s="20" t="str">
        <x:f>IF(J640="Рассчитано",V640*(1-R640/100)-W640-P640-Q640,"н/д")</x:f>
        <x:v>н/д</x:v>
      </x:c>
      <x:c r="H640" s="12" t="str">
        <x:v>Высокий</x:v>
      </x:c>
      <x:c r="I640" s="12" t="str">
        <x:v>Средний</x:v>
      </x:c>
      <x:c r="J640" s="12" t="str">
        <x:f>IF(L640="","Укажите валюту",IF(NOT(ISNUMBER(K640)),"Укажите объём",IF(K640&lt;=0,"Укажите объём",IF(K640&gt;F640,"Объём выше излишка",IF(COUNT(M640:O640)&lt;3,"Нужны цены",IF(COUNT(P640:R640)&lt;3,"Нужны расходы",IF(OR(M640&lt;0,N640&lt;0,O640&lt;0,O640&gt;100,P640&lt;0,Q640&lt;0,R640&lt;0,R640&gt;100),"Проверьте значения","Рассчитано")))))))</x:f>
        <x:v>Нужны цены</x:v>
      </x:c>
      <x:c r="K640" s="36" t="n">
        <x:v>8</x:v>
      </x:c>
      <x:c r="L640" s="19" t="str">
        <x:v>KZT</x:v>
      </x:c>
      <x:c r="M640" s="22"/>
      <x:c r="N640" s="22"/>
      <x:c r="O640" s="28"/>
      <x:c r="P640" s="22"/>
      <x:c r="Q640" s="22"/>
      <x:c r="R640" s="28"/>
      <x:c r="S640" s="22"/>
      <x:c r="T640" s="35" t="n">
        <x:f>K640</x:f>
        <x:v>8</x:v>
      </x:c>
      <x:c r="U640" s="20" t="str">
        <x:f>IF(J640="Рассчитано",N640*(1-O640/100),"н/д")</x:f>
        <x:v>н/д</x:v>
      </x:c>
      <x:c r="V640" s="20" t="str">
        <x:f>IF(J640="Рассчитано",T640*U640,"н/д")</x:f>
        <x:v>н/д</x:v>
      </x:c>
      <x:c r="W640" s="20" t="str">
        <x:f>IF(J640="Рассчитано",T640*M640,"н/д")</x:f>
        <x:v>н/д</x:v>
      </x:c>
      <x:c r="X640" s="20" t="str">
        <x:f>IF(J640="Рассчитано",V640-W640,"н/д")</x:f>
        <x:v>н/д</x:v>
      </x:c>
      <x:c r="Y640" s="26" t="str">
        <x:f>IF(J640="Рассчитано",IF(V640&gt;0,G640/V640,"н/д"),"н/д")</x:f>
        <x:v>н/д</x:v>
      </x:c>
      <x:c r="Z640" s="20" t="str">
        <x:f>"н/д"</x:f>
        <x:v>н/д</x:v>
      </x:c>
      <x:c r="AA640" s="20" t="str">
        <x:f>"н/д"</x:f>
        <x:v>н/д</x:v>
      </x:c>
      <x:c r="AB640" s="20" t="str">
        <x:f>"н/д"</x:f>
        <x:v>н/д</x:v>
      </x:c>
      <x:c r="AC640" s="20" t="str">
        <x:f>IF(AND(J640="Рассчитано",T640&gt;0,R640&lt;100),(W640+P640+Q640)/(T640*(1-R640/100)),"н/д")</x:f>
        <x:v>н/д</x:v>
      </x:c>
      <x:c r="AD640" s="11" t="str">
        <x:f>IF(ISNUMBER(G640),IF(G640&lt;0,"Убыток",IF(G640=0,"Без прибыли","Прибыль &gt; 0")),"Не оценён")</x:f>
        <x:v>Не оценён</x:v>
      </x:c>
      <x:c r="AE640" s="12" t="str">
        <x:f>IF(J640="Рассчитано","Выручка "&amp;TEXT(V640,"0.00")&amp;" - себестоимость "&amp;TEXT(W640,"0.00")&amp;" - комиссия "&amp;TEXT(V640*R640/100,"0.00")&amp;" - доставка "&amp;TEXT(P640,"0.00")&amp;" - прочие "&amp;TEXT(Q640,"0.00")&amp;" = "&amp;TEXT(G640,"0.00")&amp;" "&amp;L640,"Введите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0" s="23" t="n">
        <x:v>11.600153268149775</x:v>
      </x:c>
      <x:c r="AG640" s="35" t="n">
        <x:v>20</x:v>
      </x:c>
      <x:c r="AH640" s="35" t="n">
        <x:v>5</x:v>
      </x:c>
      <x:c r="AI640" s="29" t="n">
        <x:v>46266</x:v>
      </x:c>
      <x:c r="AJ640" s="35" t="n">
        <x:v>1</x:v>
      </x:c>
      <x:c r="AK640" s="11" t="str">
        <x:v>минимум</x:v>
      </x:c>
      <x:c r="AL640" s="31" t="n">
        <x:v>146.6173320375326</x:v>
      </x:c>
      <x:c r="AM640" s="12" t="str">
        <x:v>Остаток на начало сентября; Резервы неизвестны; Нет ежедневных данных доступности. Запас выше прогноза на 90 дней</x:v>
      </x:c>
      <x:c r="AN640" s="12" t="str">
        <x:v>Проверить свободный остаток и установить цену для B2B</x:v>
      </x:c>
      <x:c r="AO640" s="12" t="str">
        <x:v>Остаток 20; прогноз 90 дней 11.60; избыток 8 шт. Будущие поступления не выставляются на продажу. Остаток на начало сентября: требуется актуализация.</x:v>
      </x:c>
      <x:c r="AP640" s="12" t="str">
        <x:v>["category_missing", "daily_stockout_data_missing", "new_order_lead_time_unknown", "reservations_unknown", "stale_stock"]</x:v>
      </x:c>
      <x:c r="AQ640" s="11" t="str">
        <x:v>IEK:130301097_</x:v>
      </x:c>
      <x:c r="AR640" s="23" t="n">
        <x:v>1</x:v>
      </x:c>
      <x:c r="AS640" s="23" t="n">
        <x:v>0</x:v>
      </x:c>
      <x:c r="AT640" s="23" t="n">
        <x:v>0</x:v>
      </x:c>
    </x:row>
    <x:row r="641" ht="64" customHeight="1">
      <x:c r="A641" s="10" t="str">
        <x:v>IEK</x:v>
      </x:c>
      <x:c r="B641" s="34" t="str">
        <x:v>130301098_</x:v>
      </x:c>
      <x:c r="C641" s="34" t="str">
        <x:v>TKL10-015</x:v>
      </x:c>
      <x:c r="D641" s="13" t="str">
        <x:v>Пресс мех.ручной ПМР-6-50 IEK</x:v>
      </x:c>
      <x:c r="E641" s="10" t="str">
        <x:v>шт</x:v>
      </x:c>
      <x:c r="F641" s="37" t="n">
        <x:f>MAX(0,ROUNDDOWN((AG641-AF641)/AR641+0.000000001,0)*AR641)</x:f>
        <x:v>1</x:v>
      </x:c>
      <x:c r="G641" s="21" t="str">
        <x:f>IF(J641="Рассчитано",V641*(1-R641/100)-W641-P641-Q641,"н/д")</x:f>
        <x:v>н/д</x:v>
      </x:c>
      <x:c r="H641" s="13" t="str">
        <x:v>Высокий</x:v>
      </x:c>
      <x:c r="I641" s="13" t="str">
        <x:v>Высокий</x:v>
      </x:c>
      <x:c r="J641" s="13" t="str">
        <x:f>IF(L641="","Укажите валюту",IF(NOT(ISNUMBER(K641)),"Укажите объём",IF(K641&lt;=0,"Укажите объём",IF(K641&gt;F641,"Объём выше излишка",IF(COUNT(M641:O641)&lt;3,"Нужны цены",IF(COUNT(P641:R641)&lt;3,"Нужны расходы",IF(OR(M641&lt;0,N641&lt;0,O641&lt;0,O641&gt;100,P641&lt;0,Q641&lt;0,R641&lt;0,R641&gt;100),"Проверьте значения","Рассчитано")))))))</x:f>
        <x:v>Нужны цены</x:v>
      </x:c>
      <x:c r="K641" s="36" t="n">
        <x:v>1</x:v>
      </x:c>
      <x:c r="L641" s="19" t="str">
        <x:v>KZT</x:v>
      </x:c>
      <x:c r="M641" s="22"/>
      <x:c r="N641" s="22"/>
      <x:c r="O641" s="28"/>
      <x:c r="P641" s="22"/>
      <x:c r="Q641" s="22"/>
      <x:c r="R641" s="28"/>
      <x:c r="S641" s="22"/>
      <x:c r="T641" s="37" t="n">
        <x:f>K641</x:f>
        <x:v>1</x:v>
      </x:c>
      <x:c r="U641" s="21" t="str">
        <x:f>IF(J641="Рассчитано",N641*(1-O641/100),"н/д")</x:f>
        <x:v>н/д</x:v>
      </x:c>
      <x:c r="V641" s="21" t="str">
        <x:f>IF(J641="Рассчитано",T641*U641,"н/д")</x:f>
        <x:v>н/д</x:v>
      </x:c>
      <x:c r="W641" s="21" t="str">
        <x:f>IF(J641="Рассчитано",T641*M641,"н/д")</x:f>
        <x:v>н/д</x:v>
      </x:c>
      <x:c r="X641" s="21" t="str">
        <x:f>IF(J641="Рассчитано",V641-W641,"н/д")</x:f>
        <x:v>н/д</x:v>
      </x:c>
      <x:c r="Y641" s="27" t="str">
        <x:f>IF(J641="Рассчитано",IF(V641&gt;0,G641/V641,"н/д"),"н/д")</x:f>
        <x:v>н/д</x:v>
      </x:c>
      <x:c r="Z641" s="21" t="str">
        <x:f>"н/д"</x:f>
        <x:v>н/д</x:v>
      </x:c>
      <x:c r="AA641" s="21" t="str">
        <x:f>"н/д"</x:f>
        <x:v>н/д</x:v>
      </x:c>
      <x:c r="AB641" s="21" t="str">
        <x:f>"н/д"</x:f>
        <x:v>н/д</x:v>
      </x:c>
      <x:c r="AC641" s="21" t="str">
        <x:f>IF(AND(J641="Рассчитано",T641&gt;0,R641&lt;100),(W641+P641+Q641)/(T641*(1-R641/100)),"н/д")</x:f>
        <x:v>н/д</x:v>
      </x:c>
      <x:c r="AD641" s="10" t="str">
        <x:f>IF(ISNUMBER(G641),IF(G641&lt;0,"Убыток",IF(G641=0,"Без прибыли","Прибыль &gt; 0")),"Не оценён")</x:f>
        <x:v>Не оценён</x:v>
      </x:c>
      <x:c r="AE641" s="13" t="str">
        <x:f>IF(J641="Рассчитано","Выручка "&amp;TEXT(V641,"0.00")&amp;" - себестоимость "&amp;TEXT(W641,"0.00")&amp;" - комиссия "&amp;TEXT(V641*R641/100,"0.00")&amp;" - доставка "&amp;TEXT(P641,"0.00")&amp;" - прочие "&amp;TEXT(Q641,"0.00")&amp;" = "&amp;TEXT(G641,"0.00")&amp;" "&amp;L641,"Введите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1" s="24" t="n">
        <x:v>0.3952362231696859</x:v>
      </x:c>
      <x:c r="AG641" s="37" t="n">
        <x:v>2</x:v>
      </x:c>
      <x:c r="AH641" s="37" t="n">
        <x:v>0</x:v>
      </x:c>
      <x:c r="AI641" s="30" t="n">
        <x:v>46266</x:v>
      </x:c>
      <x:c r="AJ641" s="37" t="n">
        <x:v>1</x:v>
      </x:c>
      <x:c r="AK641" s="10" t="str">
        <x:v>минимум</x:v>
      </x:c>
      <x:c r="AL641" s="32" t="n">
        <x:v>430.32076102811726</x:v>
      </x:c>
      <x:c r="AM64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41" s="13" t="str">
        <x:v>Проверить свободный остаток и установить цену для B2B</x:v>
      </x:c>
      <x:c r="AO641" s="13" t="str">
        <x:v>Остаток 2; прогноз 90 дней 0.40; избыток 1 шт. Будущие поступления не выставляются на продажу. Остаток на начало сентября: требуется актуализация.</x:v>
      </x:c>
      <x:c r="AP641" s="13" t="str">
        <x:v>["category_missing", "daily_stockout_data_missing", "new_order_lead_time_unknown", "reservations_unknown", "stale_stock"]</x:v>
      </x:c>
      <x:c r="AQ641" s="10" t="str">
        <x:v>IEK:130301098_</x:v>
      </x:c>
      <x:c r="AR641" s="24" t="n">
        <x:v>1</x:v>
      </x:c>
      <x:c r="AS641" s="24" t="n">
        <x:v>0</x:v>
      </x:c>
      <x:c r="AT641" s="24" t="n">
        <x:v>0</x:v>
      </x:c>
    </x:row>
    <x:row r="642" ht="64" customHeight="1">
      <x:c r="A642" s="11" t="str">
        <x:v>IEK</x:v>
      </x:c>
      <x:c r="B642" s="33" t="str">
        <x:v>130301120_</x:v>
      </x:c>
      <x:c r="C642" s="33" t="str">
        <x:v>EVP12-16-01-K01</x:v>
      </x:c>
      <x:c r="D642" s="12" t="str">
        <x:v>ВПу12-01-Ст Вилка разборная угловая с з/к с кольцом 16А белая</x:v>
      </x:c>
      <x:c r="E642" s="11" t="str">
        <x:v>шт</x:v>
      </x:c>
      <x:c r="F642" s="35" t="n">
        <x:f>MAX(0,ROUNDDOWN((AG642-AF642)/AR642+0.000000001,0)*AR642)</x:f>
        <x:v>109</x:v>
      </x:c>
      <x:c r="G642" s="20" t="str">
        <x:f>IF(J642="Рассчитано",V642*(1-R642/100)-W642-P642-Q642,"н/д")</x:f>
        <x:v>н/д</x:v>
      </x:c>
      <x:c r="H642" s="12" t="str">
        <x:v>Высокий</x:v>
      </x:c>
      <x:c r="I642" s="12" t="str">
        <x:v>Высокий</x:v>
      </x:c>
      <x:c r="J642" s="12" t="str">
        <x:f>IF(L642="","Укажите валюту",IF(NOT(ISNUMBER(K642)),"Укажите объём",IF(K642&lt;=0,"Укажите объём",IF(K642&gt;F642,"Объём выше излишка",IF(COUNT(M642:O642)&lt;3,"Нужны цены",IF(COUNT(P642:R642)&lt;3,"Нужны расходы",IF(OR(M642&lt;0,N642&lt;0,O642&lt;0,O642&gt;100,P642&lt;0,Q642&lt;0,R642&lt;0,R642&gt;100),"Проверьте значения","Рассчитано")))))))</x:f>
        <x:v>Нужны цены</x:v>
      </x:c>
      <x:c r="K642" s="36" t="n">
        <x:v>109</x:v>
      </x:c>
      <x:c r="L642" s="19" t="str">
        <x:v>KZT</x:v>
      </x:c>
      <x:c r="M642" s="22"/>
      <x:c r="N642" s="22"/>
      <x:c r="O642" s="28"/>
      <x:c r="P642" s="22"/>
      <x:c r="Q642" s="22"/>
      <x:c r="R642" s="28"/>
      <x:c r="S642" s="22"/>
      <x:c r="T642" s="35" t="n">
        <x:f>K642</x:f>
        <x:v>109</x:v>
      </x:c>
      <x:c r="U642" s="20" t="str">
        <x:f>IF(J642="Рассчитано",N642*(1-O642/100),"н/д")</x:f>
        <x:v>н/д</x:v>
      </x:c>
      <x:c r="V642" s="20" t="str">
        <x:f>IF(J642="Рассчитано",T642*U642,"н/д")</x:f>
        <x:v>н/д</x:v>
      </x:c>
      <x:c r="W642" s="20" t="str">
        <x:f>IF(J642="Рассчитано",T642*M642,"н/д")</x:f>
        <x:v>н/д</x:v>
      </x:c>
      <x:c r="X642" s="20" t="str">
        <x:f>IF(J642="Рассчитано",V642-W642,"н/д")</x:f>
        <x:v>н/д</x:v>
      </x:c>
      <x:c r="Y642" s="26" t="str">
        <x:f>IF(J642="Рассчитано",IF(V642&gt;0,G642/V642,"н/д"),"н/д")</x:f>
        <x:v>н/д</x:v>
      </x:c>
      <x:c r="Z642" s="20" t="str">
        <x:f>"н/д"</x:f>
        <x:v>н/д</x:v>
      </x:c>
      <x:c r="AA642" s="20" t="str">
        <x:f>"н/д"</x:f>
        <x:v>н/д</x:v>
      </x:c>
      <x:c r="AB642" s="20" t="str">
        <x:f>"н/д"</x:f>
        <x:v>н/д</x:v>
      </x:c>
      <x:c r="AC642" s="20" t="str">
        <x:f>IF(AND(J642="Рассчитано",T642&gt;0,R642&lt;100),(W642+P642+Q642)/(T642*(1-R642/100)),"н/д")</x:f>
        <x:v>н/д</x:v>
      </x:c>
      <x:c r="AD642" s="11" t="str">
        <x:f>IF(ISNUMBER(G642),IF(G642&lt;0,"Убыток",IF(G642=0,"Без прибыли","Прибыль &gt; 0")),"Не оценён")</x:f>
        <x:v>Не оценён</x:v>
      </x:c>
      <x:c r="AE642" s="12" t="str">
        <x:f>IF(J642="Рассчитано","Выручка "&amp;TEXT(V642,"0.00")&amp;" - себестоимость "&amp;TEXT(W642,"0.00")&amp;" - комиссия "&amp;TEXT(V642*R642/100,"0.00")&amp;" - доставка "&amp;TEXT(P642,"0.00")&amp;" - прочие "&amp;TEXT(Q642,"0.00")&amp;" = "&amp;TEXT(G642,"0.00")&amp;" "&amp;L642,"Введите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2" s="23" t="n">
        <x:v>66.57091674680301</x:v>
      </x:c>
      <x:c r="AG642" s="35" t="n">
        <x:v>176</x:v>
      </x:c>
      <x:c r="AH642" s="35" t="n">
        <x:v>0</x:v>
      </x:c>
      <x:c r="AI642" s="29" t="n">
        <x:v>46266</x:v>
      </x:c>
      <x:c r="AJ642" s="35" t="n">
        <x:v>50</x:v>
      </x:c>
      <x:c r="AK642" s="11" t="str">
        <x:v>минимум</x:v>
      </x:c>
      <x:c r="AL642" s="31" t="n">
        <x:v>224.8263316377041</x:v>
      </x:c>
      <x:c r="AM642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642" s="12" t="str">
        <x:v>Проверить свободный остаток и установить цену для B2B</x:v>
      </x:c>
      <x:c r="AO642" s="12" t="str">
        <x:v>Остаток 176; прогноз 90 дней 66.57; избыток 109 шт. Будущие поступления не выставляются на продажу. Остаток на начало сентября: требуется актуализация.</x:v>
      </x:c>
      <x:c r="AP642" s="12" t="str">
        <x:v>["category_missing", "daily_stockout_data_missing", "large_orders_detected", "new_order_lead_time_unknown", "reservations_unknown", "stale_stock", "transaction_month_mismatch"]</x:v>
      </x:c>
      <x:c r="AQ642" s="11" t="str">
        <x:v>IEK:130301120_</x:v>
      </x:c>
      <x:c r="AR642" s="23" t="n">
        <x:v>1</x:v>
      </x:c>
      <x:c r="AS642" s="23" t="n">
        <x:v>0</x:v>
      </x:c>
      <x:c r="AT642" s="23" t="n">
        <x:v>0</x:v>
      </x:c>
    </x:row>
    <x:row r="643" ht="64" customHeight="1">
      <x:c r="A643" s="10" t="str">
        <x:v>IEK</x:v>
      </x:c>
      <x:c r="B643" s="34" t="str">
        <x:v>130301128_</x:v>
      </x:c>
      <x:c r="C643" s="34" t="str">
        <x:v>UKA-12-1500-1500-ECLN</x:v>
      </x:c>
      <x:c r="D643" s="13" t="str">
        <x:v>Кронштейн для анкерного зажима КАМ-1500 IEK (10)</x:v>
      </x:c>
      <x:c r="E643" s="10" t="str">
        <x:v>шт</x:v>
      </x:c>
      <x:c r="F643" s="37" t="n">
        <x:f>MAX(0,ROUNDDOWN((AG643-AF643)/AR643+0.000000001,0)*AR643)</x:f>
        <x:v>5</x:v>
      </x:c>
      <x:c r="G643" s="21" t="str">
        <x:f>IF(J643="Рассчитано",V643*(1-R643/100)-W643-P643-Q643,"н/д")</x:f>
        <x:v>н/д</x:v>
      </x:c>
      <x:c r="H643" s="13" t="str">
        <x:v>Высокий</x:v>
      </x:c>
      <x:c r="I643" s="13" t="str">
        <x:v>Средний</x:v>
      </x:c>
      <x:c r="J643" s="13" t="str">
        <x:f>IF(L643="","Укажите валюту",IF(NOT(ISNUMBER(K643)),"Укажите объём",IF(K643&lt;=0,"Укажите объём",IF(K643&gt;F643,"Объём выше излишка",IF(COUNT(M643:O643)&lt;3,"Нужны цены",IF(COUNT(P643:R643)&lt;3,"Нужны расходы",IF(OR(M643&lt;0,N643&lt;0,O643&lt;0,O643&gt;100,P643&lt;0,Q643&lt;0,R643&lt;0,R643&gt;100),"Проверьте значения","Рассчитано")))))))</x:f>
        <x:v>Нужны цены</x:v>
      </x:c>
      <x:c r="K643" s="36" t="n">
        <x:v>5</x:v>
      </x:c>
      <x:c r="L643" s="19" t="str">
        <x:v>KZT</x:v>
      </x:c>
      <x:c r="M643" s="22"/>
      <x:c r="N643" s="22"/>
      <x:c r="O643" s="28"/>
      <x:c r="P643" s="22"/>
      <x:c r="Q643" s="22"/>
      <x:c r="R643" s="28"/>
      <x:c r="S643" s="22"/>
      <x:c r="T643" s="37" t="n">
        <x:f>K643</x:f>
        <x:v>5</x:v>
      </x:c>
      <x:c r="U643" s="21" t="str">
        <x:f>IF(J643="Рассчитано",N643*(1-O643/100),"н/д")</x:f>
        <x:v>н/д</x:v>
      </x:c>
      <x:c r="V643" s="21" t="str">
        <x:f>IF(J643="Рассчитано",T643*U643,"н/д")</x:f>
        <x:v>н/д</x:v>
      </x:c>
      <x:c r="W643" s="21" t="str">
        <x:f>IF(J643="Рассчитано",T643*M643,"н/д")</x:f>
        <x:v>н/д</x:v>
      </x:c>
      <x:c r="X643" s="21" t="str">
        <x:f>IF(J643="Рассчитано",V643-W643,"н/д")</x:f>
        <x:v>н/д</x:v>
      </x:c>
      <x:c r="Y643" s="27" t="str">
        <x:f>IF(J643="Рассчитано",IF(V643&gt;0,G643/V643,"н/д"),"н/д")</x:f>
        <x:v>н/д</x:v>
      </x:c>
      <x:c r="Z643" s="21" t="str">
        <x:f>"н/д"</x:f>
        <x:v>н/д</x:v>
      </x:c>
      <x:c r="AA643" s="21" t="str">
        <x:f>"н/д"</x:f>
        <x:v>н/д</x:v>
      </x:c>
      <x:c r="AB643" s="21" t="str">
        <x:f>"н/д"</x:f>
        <x:v>н/д</x:v>
      </x:c>
      <x:c r="AC643" s="21" t="str">
        <x:f>IF(AND(J643="Рассчитано",T643&gt;0,R643&lt;100),(W643+P643+Q643)/(T643*(1-R643/100)),"н/д")</x:f>
        <x:v>н/д</x:v>
      </x:c>
      <x:c r="AD643" s="10" t="str">
        <x:f>IF(ISNUMBER(G643),IF(G643&lt;0,"Убыток",IF(G643=0,"Без прибыли","Прибыль &gt; 0")),"Не оценён")</x:f>
        <x:v>Не оценён</x:v>
      </x:c>
      <x:c r="AE643" s="13" t="str">
        <x:f>IF(J643="Рассчитано","Выручка "&amp;TEXT(V643,"0.00")&amp;" - себестоимость "&amp;TEXT(W643,"0.00")&amp;" - комиссия "&amp;TEXT(V643*R643/100,"0.00")&amp;" - доставка "&amp;TEXT(P643,"0.00")&amp;" - прочие "&amp;TEXT(Q643,"0.00")&amp;" = "&amp;TEXT(G643,"0.00")&amp;" "&amp;L643,"Введите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3" s="24" t="n">
        <x:v>5.713369670688669</x:v>
      </x:c>
      <x:c r="AG643" s="37" t="n">
        <x:v>11</x:v>
      </x:c>
      <x:c r="AH643" s="37" t="n">
        <x:v>0</x:v>
      </x:c>
      <x:c r="AI643" s="30" t="n">
        <x:v>46266</x:v>
      </x:c>
      <x:c r="AJ643" s="37" t="n">
        <x:v>10</x:v>
      </x:c>
      <x:c r="AK643" s="10" t="str">
        <x:v>минимум</x:v>
      </x:c>
      <x:c r="AL643" s="32" t="n">
        <x:v>163.7266607603683</x:v>
      </x:c>
      <x:c r="AM643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643" s="13" t="str">
        <x:v>Проверить свободный остаток и установить цену для B2B</x:v>
      </x:c>
      <x:c r="AO643" s="13" t="str">
        <x:v>Остаток 11; прогноз 90 дней 5.71; избыток 5 шт. Будущие поступления не выставляются на продажу. Остаток на начало сентября: требуется актуализация.</x:v>
      </x:c>
      <x:c r="AP643" s="13" t="str">
        <x:v>["category_missing", "daily_stockout_data_missing", "new_order_lead_time_unknown", "reservations_unknown", "stale_stock", "stockout_proxy_used"]</x:v>
      </x:c>
      <x:c r="AQ643" s="10" t="str">
        <x:v>IEK:130301128_</x:v>
      </x:c>
      <x:c r="AR643" s="24" t="n">
        <x:v>1</x:v>
      </x:c>
      <x:c r="AS643" s="24" t="n">
        <x:v>0</x:v>
      </x:c>
      <x:c r="AT643" s="24" t="n">
        <x:v>0</x:v>
      </x:c>
    </x:row>
    <x:row r="644" ht="64" customHeight="1">
      <x:c r="A644" s="11" t="str">
        <x:v>IEK</x:v>
      </x:c>
      <x:c r="B644" s="33" t="str">
        <x:v>130301608_</x:v>
      </x:c>
      <x:c r="C644" s="33" t="str">
        <x:v>YCT10-00-K03-002</x:v>
      </x:c>
      <x:c r="D644" s="12" t="str">
        <x:v>Колодка клеммная CTS   2,5мм2 серая IEK</x:v>
      </x:c>
      <x:c r="E644" s="11" t="str">
        <x:v>шт</x:v>
      </x:c>
      <x:c r="F644" s="35" t="n">
        <x:f>MAX(0,ROUNDDOWN((AG644-AF644)/AR644+0.000000001,0)*AR644)</x:f>
        <x:v>171</x:v>
      </x:c>
      <x:c r="G644" s="20" t="str">
        <x:f>IF(J644="Рассчитано",V644*(1-R644/100)-W644-P644-Q644,"н/д")</x:f>
        <x:v>н/д</x:v>
      </x:c>
      <x:c r="H644" s="12" t="str">
        <x:v>Высокий</x:v>
      </x:c>
      <x:c r="I644" s="12" t="str">
        <x:v>Средний</x:v>
      </x:c>
      <x:c r="J644" s="12" t="str">
        <x:f>IF(L644="","Укажите валюту",IF(NOT(ISNUMBER(K644)),"Укажите объём",IF(K644&lt;=0,"Укажите объём",IF(K644&gt;F644,"Объём выше излишка",IF(COUNT(M644:O644)&lt;3,"Нужны цены",IF(COUNT(P644:R644)&lt;3,"Нужны расходы",IF(OR(M644&lt;0,N644&lt;0,O644&lt;0,O644&gt;100,P644&lt;0,Q644&lt;0,R644&lt;0,R644&gt;100),"Проверьте значения","Рассчитано")))))))</x:f>
        <x:v>Нужны цены</x:v>
      </x:c>
      <x:c r="K644" s="36" t="n">
        <x:v>171</x:v>
      </x:c>
      <x:c r="L644" s="19" t="str">
        <x:v>KZT</x:v>
      </x:c>
      <x:c r="M644" s="22"/>
      <x:c r="N644" s="22"/>
      <x:c r="O644" s="28"/>
      <x:c r="P644" s="22"/>
      <x:c r="Q644" s="22"/>
      <x:c r="R644" s="28"/>
      <x:c r="S644" s="22"/>
      <x:c r="T644" s="35" t="n">
        <x:f>K644</x:f>
        <x:v>171</x:v>
      </x:c>
      <x:c r="U644" s="20" t="str">
        <x:f>IF(J644="Рассчитано",N644*(1-O644/100),"н/д")</x:f>
        <x:v>н/д</x:v>
      </x:c>
      <x:c r="V644" s="20" t="str">
        <x:f>IF(J644="Рассчитано",T644*U644,"н/д")</x:f>
        <x:v>н/д</x:v>
      </x:c>
      <x:c r="W644" s="20" t="str">
        <x:f>IF(J644="Рассчитано",T644*M644,"н/д")</x:f>
        <x:v>н/д</x:v>
      </x:c>
      <x:c r="X644" s="20" t="str">
        <x:f>IF(J644="Рассчитано",V644-W644,"н/д")</x:f>
        <x:v>н/д</x:v>
      </x:c>
      <x:c r="Y644" s="26" t="str">
        <x:f>IF(J644="Рассчитано",IF(V644&gt;0,G644/V644,"н/д"),"н/д")</x:f>
        <x:v>н/д</x:v>
      </x:c>
      <x:c r="Z644" s="20" t="str">
        <x:f>"н/д"</x:f>
        <x:v>н/д</x:v>
      </x:c>
      <x:c r="AA644" s="20" t="str">
        <x:f>"н/д"</x:f>
        <x:v>н/д</x:v>
      </x:c>
      <x:c r="AB644" s="20" t="str">
        <x:f>"н/д"</x:f>
        <x:v>н/д</x:v>
      </x:c>
      <x:c r="AC644" s="20" t="str">
        <x:f>IF(AND(J644="Рассчитано",T644&gt;0,R644&lt;100),(W644+P644+Q644)/(T644*(1-R644/100)),"н/д")</x:f>
        <x:v>н/д</x:v>
      </x:c>
      <x:c r="AD644" s="11" t="str">
        <x:f>IF(ISNUMBER(G644),IF(G644&lt;0,"Убыток",IF(G644=0,"Без прибыли","Прибыль &gt; 0")),"Не оценён")</x:f>
        <x:v>Не оценён</x:v>
      </x:c>
      <x:c r="AE644" s="12" t="str">
        <x:f>IF(J644="Рассчитано","Выручка "&amp;TEXT(V644,"0.00")&amp;" - себестоимость "&amp;TEXT(W644,"0.00")&amp;" - комиссия "&amp;TEXT(V644*R644/100,"0.00")&amp;" - доставка "&amp;TEXT(P644,"0.00")&amp;" - прочие "&amp;TEXT(Q644,"0.00")&amp;" = "&amp;TEXT(G644,"0.00")&amp;" "&amp;L644,"Введите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4" s="23" t="n">
        <x:v>282.36284607855544</x:v>
      </x:c>
      <x:c r="AG644" s="35" t="n">
        <x:v>454</x:v>
      </x:c>
      <x:c r="AH644" s="35" t="n">
        <x:v>0</x:v>
      </x:c>
      <x:c r="AI644" s="29" t="n">
        <x:v>46266</x:v>
      </x:c>
      <x:c r="AJ644" s="35" t="n">
        <x:v>100</x:v>
      </x:c>
      <x:c r="AK644" s="11" t="str">
        <x:v>минимум</x:v>
      </x:c>
      <x:c r="AL644" s="31" t="n">
        <x:v>136.73111217506863</x:v>
      </x:c>
      <x:c r="AM644" s="12" t="str">
        <x:v>Остаток на начало сентября; Резервы неизвестны; Нет ежедневных данных доступности. Запас выше прогноза на 90 дней</x:v>
      </x:c>
      <x:c r="AN644" s="12" t="str">
        <x:v>Проверить свободный остаток и установить цену для B2B</x:v>
      </x:c>
      <x:c r="AO644" s="12" t="str">
        <x:v>Остаток 454; прогноз 90 дней 282.36; избыток 171 шт. Будущие поступления не выставляются на продажу. Остаток на начало сентября: требуется актуализация.</x:v>
      </x:c>
      <x:c r="AP644" s="12" t="str">
        <x:v>["category_missing", "daily_stockout_data_missing", "new_order_lead_time_unknown", "reservations_unknown", "stale_stock"]</x:v>
      </x:c>
      <x:c r="AQ644" s="11" t="str">
        <x:v>IEK:130301608_</x:v>
      </x:c>
      <x:c r="AR644" s="23" t="n">
        <x:v>1</x:v>
      </x:c>
      <x:c r="AS644" s="23" t="n">
        <x:v>0</x:v>
      </x:c>
      <x:c r="AT644" s="23" t="n">
        <x:v>0</x:v>
      </x:c>
    </x:row>
    <x:row r="645" ht="64" customHeight="1">
      <x:c r="A645" s="10" t="str">
        <x:v>IEK</x:v>
      </x:c>
      <x:c r="B645" s="34" t="str">
        <x:v>130301609_</x:v>
      </x:c>
      <x:c r="C645" s="34" t="str">
        <x:v>YCT10-00-K07-002</x:v>
      </x:c>
      <x:c r="D645" s="13" t="str">
        <x:v>Колодка клеммная CTS   2,5мм2 синяя IEK</x:v>
      </x:c>
      <x:c r="E645" s="10" t="str">
        <x:v>шт</x:v>
      </x:c>
      <x:c r="F645" s="37" t="n">
        <x:f>MAX(0,ROUNDDOWN((AG645-AF645)/AR645+0.000000001,0)*AR645)</x:f>
        <x:v>28</x:v>
      </x:c>
      <x:c r="G645" s="21" t="str">
        <x:f>IF(J645="Рассчитано",V645*(1-R645/100)-W645-P645-Q645,"н/д")</x:f>
        <x:v>н/д</x:v>
      </x:c>
      <x:c r="H645" s="13" t="str">
        <x:v>Высокий</x:v>
      </x:c>
      <x:c r="I645" s="13" t="str">
        <x:v>Средний</x:v>
      </x:c>
      <x:c r="J645" s="13" t="str">
        <x:f>IF(L645="","Укажите валюту",IF(NOT(ISNUMBER(K645)),"Укажите объём",IF(K645&lt;=0,"Укажите объём",IF(K645&gt;F645,"Объём выше излишка",IF(COUNT(M645:O645)&lt;3,"Нужны цены",IF(COUNT(P645:R645)&lt;3,"Нужны расходы",IF(OR(M645&lt;0,N645&lt;0,O645&lt;0,O645&gt;100,P645&lt;0,Q645&lt;0,R645&lt;0,R645&gt;100),"Проверьте значения","Рассчитано")))))))</x:f>
        <x:v>Нужны цены</x:v>
      </x:c>
      <x:c r="K645" s="36" t="n">
        <x:v>28</x:v>
      </x:c>
      <x:c r="L645" s="19" t="str">
        <x:v>KZT</x:v>
      </x:c>
      <x:c r="M645" s="22"/>
      <x:c r="N645" s="22"/>
      <x:c r="O645" s="28"/>
      <x:c r="P645" s="22"/>
      <x:c r="Q645" s="22"/>
      <x:c r="R645" s="28"/>
      <x:c r="S645" s="22"/>
      <x:c r="T645" s="37" t="n">
        <x:f>K645</x:f>
        <x:v>28</x:v>
      </x:c>
      <x:c r="U645" s="21" t="str">
        <x:f>IF(J645="Рассчитано",N645*(1-O645/100),"н/д")</x:f>
        <x:v>н/д</x:v>
      </x:c>
      <x:c r="V645" s="21" t="str">
        <x:f>IF(J645="Рассчитано",T645*U645,"н/д")</x:f>
        <x:v>н/д</x:v>
      </x:c>
      <x:c r="W645" s="21" t="str">
        <x:f>IF(J645="Рассчитано",T645*M645,"н/д")</x:f>
        <x:v>н/д</x:v>
      </x:c>
      <x:c r="X645" s="21" t="str">
        <x:f>IF(J645="Рассчитано",V645-W645,"н/д")</x:f>
        <x:v>н/д</x:v>
      </x:c>
      <x:c r="Y645" s="27" t="str">
        <x:f>IF(J645="Рассчитано",IF(V645&gt;0,G645/V645,"н/д"),"н/д")</x:f>
        <x:v>н/д</x:v>
      </x:c>
      <x:c r="Z645" s="21" t="str">
        <x:f>"н/д"</x:f>
        <x:v>н/д</x:v>
      </x:c>
      <x:c r="AA645" s="21" t="str">
        <x:f>"н/д"</x:f>
        <x:v>н/д</x:v>
      </x:c>
      <x:c r="AB645" s="21" t="str">
        <x:f>"н/д"</x:f>
        <x:v>н/д</x:v>
      </x:c>
      <x:c r="AC645" s="21" t="str">
        <x:f>IF(AND(J645="Рассчитано",T645&gt;0,R645&lt;100),(W645+P645+Q645)/(T645*(1-R645/100)),"н/д")</x:f>
        <x:v>н/д</x:v>
      </x:c>
      <x:c r="AD645" s="10" t="str">
        <x:f>IF(ISNUMBER(G645),IF(G645&lt;0,"Убыток",IF(G645=0,"Без прибыли","Прибыль &gt; 0")),"Не оценён")</x:f>
        <x:v>Не оценён</x:v>
      </x:c>
      <x:c r="AE645" s="13" t="str">
        <x:f>IF(J645="Рассчитано","Выручка "&amp;TEXT(V645,"0.00")&amp;" - себестоимость "&amp;TEXT(W645,"0.00")&amp;" - комиссия "&amp;TEXT(V645*R645/100,"0.00")&amp;" - доставка "&amp;TEXT(P645,"0.00")&amp;" - прочие "&amp;TEXT(Q645,"0.00")&amp;" = "&amp;TEXT(G645,"0.00")&amp;" "&amp;L645,"Введите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5" s="24" t="n">
        <x:v>112.56896904485026</x:v>
      </x:c>
      <x:c r="AG645" s="37" t="n">
        <x:v>141</x:v>
      </x:c>
      <x:c r="AH645" s="37" t="n">
        <x:v>0</x:v>
      </x:c>
      <x:c r="AI645" s="30" t="n">
        <x:v>46266</x:v>
      </x:c>
      <x:c r="AJ645" s="37" t="n">
        <x:v>100</x:v>
      </x:c>
      <x:c r="AK645" s="10" t="str">
        <x:v>минимум</x:v>
      </x:c>
      <x:c r="AL645" s="32" t="n">
        <x:v>106.51713293395159</x:v>
      </x:c>
      <x:c r="AM645" s="13" t="str">
        <x:v>Остаток на начало сентября; Резервы неизвестны; Нет ежедневных данных доступности. Запас выше прогноза на 90 дней</x:v>
      </x:c>
      <x:c r="AN645" s="13" t="str">
        <x:v>Проверить свободный остаток и установить цену для B2B</x:v>
      </x:c>
      <x:c r="AO645" s="13" t="str">
        <x:v>Остаток 141; прогноз 90 дней 112.57; избыток 28 шт. Будущие поступления не выставляются на продажу. Остаток на начало сентября: требуется актуализация.</x:v>
      </x:c>
      <x:c r="AP645" s="13" t="str">
        <x:v>["category_missing", "daily_stockout_data_missing", "new_order_lead_time_unknown", "reservations_unknown", "stale_stock"]</x:v>
      </x:c>
      <x:c r="AQ645" s="10" t="str">
        <x:v>IEK:130301609_</x:v>
      </x:c>
      <x:c r="AR645" s="24" t="n">
        <x:v>1</x:v>
      </x:c>
      <x:c r="AS645" s="24" t="n">
        <x:v>0</x:v>
      </x:c>
      <x:c r="AT645" s="24" t="n">
        <x:v>0</x:v>
      </x:c>
    </x:row>
    <x:row r="646" ht="64" customHeight="1">
      <x:c r="A646" s="11" t="str">
        <x:v>IEK</x:v>
      </x:c>
      <x:c r="B646" s="33" t="str">
        <x:v>130301610_</x:v>
      </x:c>
      <x:c r="C646" s="33" t="str">
        <x:v>YCT10-00-K03-004</x:v>
      </x:c>
      <x:c r="D646" s="12" t="str">
        <x:v>Колодка клеммная CTS   4мм2 серая IEK</x:v>
      </x:c>
      <x:c r="E646" s="11" t="str">
        <x:v>шт</x:v>
      </x:c>
      <x:c r="F646" s="35" t="n">
        <x:f>MAX(0,ROUNDDOWN((AG646-AF646)/AR646+0.000000001,0)*AR646)</x:f>
        <x:v>68</x:v>
      </x:c>
      <x:c r="G646" s="20" t="str">
        <x:f>IF(J646="Рассчитано",V646*(1-R646/100)-W646-P646-Q646,"н/д")</x:f>
        <x:v>н/д</x:v>
      </x:c>
      <x:c r="H646" s="12" t="str">
        <x:v>Высокий</x:v>
      </x:c>
      <x:c r="I646" s="12" t="str">
        <x:v>Средний</x:v>
      </x:c>
      <x:c r="J646" s="12" t="str">
        <x:f>IF(L646="","Укажите валюту",IF(NOT(ISNUMBER(K646)),"Укажите объём",IF(K646&lt;=0,"Укажите объём",IF(K646&gt;F646,"Объём выше излишка",IF(COUNT(M646:O646)&lt;3,"Нужны цены",IF(COUNT(P646:R646)&lt;3,"Нужны расходы",IF(OR(M646&lt;0,N646&lt;0,O646&lt;0,O646&gt;100,P646&lt;0,Q646&lt;0,R646&lt;0,R646&gt;100),"Проверьте значения","Рассчитано")))))))</x:f>
        <x:v>Нужны цены</x:v>
      </x:c>
      <x:c r="K646" s="36" t="n">
        <x:v>68</x:v>
      </x:c>
      <x:c r="L646" s="19" t="str">
        <x:v>KZT</x:v>
      </x:c>
      <x:c r="M646" s="22"/>
      <x:c r="N646" s="22"/>
      <x:c r="O646" s="28"/>
      <x:c r="P646" s="22"/>
      <x:c r="Q646" s="22"/>
      <x:c r="R646" s="28"/>
      <x:c r="S646" s="22"/>
      <x:c r="T646" s="35" t="n">
        <x:f>K646</x:f>
        <x:v>68</x:v>
      </x:c>
      <x:c r="U646" s="20" t="str">
        <x:f>IF(J646="Рассчитано",N646*(1-O646/100),"н/д")</x:f>
        <x:v>н/д</x:v>
      </x:c>
      <x:c r="V646" s="20" t="str">
        <x:f>IF(J646="Рассчитано",T646*U646,"н/д")</x:f>
        <x:v>н/д</x:v>
      </x:c>
      <x:c r="W646" s="20" t="str">
        <x:f>IF(J646="Рассчитано",T646*M646,"н/д")</x:f>
        <x:v>н/д</x:v>
      </x:c>
      <x:c r="X646" s="20" t="str">
        <x:f>IF(J646="Рассчитано",V646-W646,"н/д")</x:f>
        <x:v>н/д</x:v>
      </x:c>
      <x:c r="Y646" s="26" t="str">
        <x:f>IF(J646="Рассчитано",IF(V646&gt;0,G646/V646,"н/д"),"н/д")</x:f>
        <x:v>н/д</x:v>
      </x:c>
      <x:c r="Z646" s="20" t="str">
        <x:f>"н/д"</x:f>
        <x:v>н/д</x:v>
      </x:c>
      <x:c r="AA646" s="20" t="str">
        <x:f>"н/д"</x:f>
        <x:v>н/д</x:v>
      </x:c>
      <x:c r="AB646" s="20" t="str">
        <x:f>"н/д"</x:f>
        <x:v>н/д</x:v>
      </x:c>
      <x:c r="AC646" s="20" t="str">
        <x:f>IF(AND(J646="Рассчитано",T646&gt;0,R646&lt;100),(W646+P646+Q646)/(T646*(1-R646/100)),"н/д")</x:f>
        <x:v>н/д</x:v>
      </x:c>
      <x:c r="AD646" s="11" t="str">
        <x:f>IF(ISNUMBER(G646),IF(G646&lt;0,"Убыток",IF(G646=0,"Без прибыли","Прибыль &gt; 0")),"Не оценён")</x:f>
        <x:v>Не оценён</x:v>
      </x:c>
      <x:c r="AE646" s="12" t="str">
        <x:f>IF(J646="Рассчитано","Выручка "&amp;TEXT(V646,"0.00")&amp;" - себестоимость "&amp;TEXT(W646,"0.00")&amp;" - комиссия "&amp;TEXT(V646*R646/100,"0.00")&amp;" - доставка "&amp;TEXT(P646,"0.00")&amp;" - прочие "&amp;TEXT(Q646,"0.00")&amp;" = "&amp;TEXT(G646,"0.00")&amp;" "&amp;L646,"Введите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6" s="23" t="n">
        <x:v>156.5335525680677</x:v>
      </x:c>
      <x:c r="AG646" s="35" t="n">
        <x:v>225</x:v>
      </x:c>
      <x:c r="AH646" s="35" t="n">
        <x:v>0</x:v>
      </x:c>
      <x:c r="AI646" s="29" t="n">
        <x:v>46266</x:v>
      </x:c>
      <x:c r="AJ646" s="35" t="n">
        <x:v>100</x:v>
      </x:c>
      <x:c r="AK646" s="11" t="str">
        <x:v>минимум</x:v>
      </x:c>
      <x:c r="AL646" s="31" t="n">
        <x:v>122.23459012059931</x:v>
      </x:c>
      <x:c r="AM646" s="12" t="str">
        <x:v>Остаток на начало сентября; Резервы неизвестны; Нет ежедневных данных доступности. Запас выше прогноза на 90 дней</x:v>
      </x:c>
      <x:c r="AN646" s="12" t="str">
        <x:v>Проверить свободный остаток и установить цену для B2B</x:v>
      </x:c>
      <x:c r="AO646" s="12" t="str">
        <x:v>Остаток 225; прогноз 90 дней 156.53; избыток 68 шт. Будущие поступления не выставляются на продажу. Остаток на начало сентября: требуется актуализация.</x:v>
      </x:c>
      <x:c r="AP646" s="12" t="str">
        <x:v>["category_missing", "daily_stockout_data_missing", "large_orders_detected", "new_order_lead_time_unknown", "reservations_unknown", "stale_stock"]</x:v>
      </x:c>
      <x:c r="AQ646" s="11" t="str">
        <x:v>IEK:130301610_</x:v>
      </x:c>
      <x:c r="AR646" s="23" t="n">
        <x:v>1</x:v>
      </x:c>
      <x:c r="AS646" s="23" t="n">
        <x:v>0</x:v>
      </x:c>
      <x:c r="AT646" s="23" t="n">
        <x:v>0</x:v>
      </x:c>
    </x:row>
    <x:row r="647" ht="64" customHeight="1">
      <x:c r="A647" s="10" t="str">
        <x:v>IEK</x:v>
      </x:c>
      <x:c r="B647" s="34" t="str">
        <x:v>130301611_</x:v>
      </x:c>
      <x:c r="C647" s="34" t="str">
        <x:v>YCT10-00-K07-004</x:v>
      </x:c>
      <x:c r="D647" s="13" t="str">
        <x:v>Колодка клеммная CTS   4мм2 синяя IEK</x:v>
      </x:c>
      <x:c r="E647" s="10" t="str">
        <x:v>шт</x:v>
      </x:c>
      <x:c r="F647" s="37" t="n">
        <x:f>MAX(0,ROUNDDOWN((AG647-AF647)/AR647+0.000000001,0)*AR647)</x:f>
        <x:v>55</x:v>
      </x:c>
      <x:c r="G647" s="21" t="str">
        <x:f>IF(J647="Рассчитано",V647*(1-R647/100)-W647-P647-Q647,"н/д")</x:f>
        <x:v>н/д</x:v>
      </x:c>
      <x:c r="H647" s="13" t="str">
        <x:v>Высокий</x:v>
      </x:c>
      <x:c r="I647" s="13" t="str">
        <x:v>Высокий</x:v>
      </x:c>
      <x:c r="J647" s="13" t="str">
        <x:f>IF(L647="","Укажите валюту",IF(NOT(ISNUMBER(K647)),"Укажите объём",IF(K647&lt;=0,"Укажите объём",IF(K647&gt;F647,"Объём выше излишка",IF(COUNT(M647:O647)&lt;3,"Нужны цены",IF(COUNT(P647:R647)&lt;3,"Нужны расходы",IF(OR(M647&lt;0,N647&lt;0,O647&lt;0,O647&gt;100,P647&lt;0,Q647&lt;0,R647&lt;0,R647&gt;100),"Проверьте значения","Рассчитано")))))))</x:f>
        <x:v>Нужны цены</x:v>
      </x:c>
      <x:c r="K647" s="36" t="n">
        <x:v>55</x:v>
      </x:c>
      <x:c r="L647" s="19" t="str">
        <x:v>KZT</x:v>
      </x:c>
      <x:c r="M647" s="22"/>
      <x:c r="N647" s="22"/>
      <x:c r="O647" s="28"/>
      <x:c r="P647" s="22"/>
      <x:c r="Q647" s="22"/>
      <x:c r="R647" s="28"/>
      <x:c r="S647" s="22"/>
      <x:c r="T647" s="37" t="n">
        <x:f>K647</x:f>
        <x:v>55</x:v>
      </x:c>
      <x:c r="U647" s="21" t="str">
        <x:f>IF(J647="Рассчитано",N647*(1-O647/100),"н/д")</x:f>
        <x:v>н/д</x:v>
      </x:c>
      <x:c r="V647" s="21" t="str">
        <x:f>IF(J647="Рассчитано",T647*U647,"н/д")</x:f>
        <x:v>н/д</x:v>
      </x:c>
      <x:c r="W647" s="21" t="str">
        <x:f>IF(J647="Рассчитано",T647*M647,"н/д")</x:f>
        <x:v>н/д</x:v>
      </x:c>
      <x:c r="X647" s="21" t="str">
        <x:f>IF(J647="Рассчитано",V647-W647,"н/д")</x:f>
        <x:v>н/д</x:v>
      </x:c>
      <x:c r="Y647" s="27" t="str">
        <x:f>IF(J647="Рассчитано",IF(V647&gt;0,G647/V647,"н/д"),"н/д")</x:f>
        <x:v>н/д</x:v>
      </x:c>
      <x:c r="Z647" s="21" t="str">
        <x:f>"н/д"</x:f>
        <x:v>н/д</x:v>
      </x:c>
      <x:c r="AA647" s="21" t="str">
        <x:f>"н/д"</x:f>
        <x:v>н/д</x:v>
      </x:c>
      <x:c r="AB647" s="21" t="str">
        <x:f>"н/д"</x:f>
        <x:v>н/д</x:v>
      </x:c>
      <x:c r="AC647" s="21" t="str">
        <x:f>IF(AND(J647="Рассчитано",T647&gt;0,R647&lt;100),(W647+P647+Q647)/(T647*(1-R647/100)),"н/д")</x:f>
        <x:v>н/д</x:v>
      </x:c>
      <x:c r="AD647" s="10" t="str">
        <x:f>IF(ISNUMBER(G647),IF(G647&lt;0,"Убыток",IF(G647=0,"Без прибыли","Прибыль &gt; 0")),"Не оценён")</x:f>
        <x:v>Не оценён</x:v>
      </x:c>
      <x:c r="AE647" s="13" t="str">
        <x:f>IF(J647="Рассчитано","Выручка "&amp;TEXT(V647,"0.00")&amp;" - себестоимость "&amp;TEXT(W647,"0.00")&amp;" - комиссия "&amp;TEXT(V647*R647/100,"0.00")&amp;" - доставка "&amp;TEXT(P647,"0.00")&amp;" - прочие "&amp;TEXT(Q647,"0.00")&amp;" = "&amp;TEXT(G647,"0.00")&amp;" "&amp;L647,"Введите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7" s="24" t="n">
        <x:v>31.083953902244343</x:v>
      </x:c>
      <x:c r="AG647" s="37" t="n">
        <x:v>87</x:v>
      </x:c>
      <x:c r="AH647" s="37" t="n">
        <x:v>0</x:v>
      </x:c>
      <x:c r="AI647" s="30" t="n">
        <x:v>46266</x:v>
      </x:c>
      <x:c r="AJ647" s="37" t="n">
        <x:v>100</x:v>
      </x:c>
      <x:c r="AK647" s="10" t="str">
        <x:v>минимум</x:v>
      </x:c>
      <x:c r="AL647" s="32" t="n">
        <x:v>238.01374658025827</x:v>
      </x:c>
      <x:c r="AM64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47" s="13" t="str">
        <x:v>Проверить свободный остаток и установить цену для B2B</x:v>
      </x:c>
      <x:c r="AO647" s="13" t="str">
        <x:v>Остаток 87; прогноз 90 дней 31.08; избыток 55 шт. Будущие поступления не выставляются на продажу. Остаток на начало сентября: требуется актуализация.</x:v>
      </x:c>
      <x:c r="AP647" s="13" t="str">
        <x:v>["category_missing", "daily_stockout_data_missing", "large_orders_detected", "new_order_lead_time_unknown", "reservations_unknown", "stale_stock"]</x:v>
      </x:c>
      <x:c r="AQ647" s="10" t="str">
        <x:v>IEK:130301611_</x:v>
      </x:c>
      <x:c r="AR647" s="24" t="n">
        <x:v>1</x:v>
      </x:c>
      <x:c r="AS647" s="24" t="n">
        <x:v>0</x:v>
      </x:c>
      <x:c r="AT647" s="24" t="n">
        <x:v>0</x:v>
      </x:c>
    </x:row>
    <x:row r="648" ht="64" customHeight="1">
      <x:c r="A648" s="11" t="str">
        <x:v>IEK</x:v>
      </x:c>
      <x:c r="B648" s="33" t="str">
        <x:v>130301613_</x:v>
      </x:c>
      <x:c r="C648" s="33" t="str">
        <x:v>YCT10-00-K07-006</x:v>
      </x:c>
      <x:c r="D648" s="12" t="str">
        <x:v>Колодка клеммная CTS   6мм2 синяя IEK</x:v>
      </x:c>
      <x:c r="E648" s="11" t="str">
        <x:v>шт</x:v>
      </x:c>
      <x:c r="F648" s="35" t="n">
        <x:f>MAX(0,ROUNDDOWN((AG648-AF648)/AR648+0.000000001,0)*AR648)</x:f>
        <x:v>2</x:v>
      </x:c>
      <x:c r="G648" s="20" t="str">
        <x:f>IF(J648="Рассчитано",V648*(1-R648/100)-W648-P648-Q648,"н/д")</x:f>
        <x:v>н/д</x:v>
      </x:c>
      <x:c r="H648" s="12" t="str">
        <x:v>Высокий</x:v>
      </x:c>
      <x:c r="I648" s="12" t="str">
        <x:v>Средний</x:v>
      </x:c>
      <x:c r="J648" s="12" t="str">
        <x:f>IF(L648="","Укажите валюту",IF(NOT(ISNUMBER(K648)),"Укажите объём",IF(K648&lt;=0,"Укажите объём",IF(K648&gt;F648,"Объём выше излишка",IF(COUNT(M648:O648)&lt;3,"Нужны цены",IF(COUNT(P648:R648)&lt;3,"Нужны расходы",IF(OR(M648&lt;0,N648&lt;0,O648&lt;0,O648&gt;100,P648&lt;0,Q648&lt;0,R648&lt;0,R648&gt;100),"Проверьте значения","Рассчитано")))))))</x:f>
        <x:v>Нужны цены</x:v>
      </x:c>
      <x:c r="K648" s="36" t="n">
        <x:v>2</x:v>
      </x:c>
      <x:c r="L648" s="19" t="str">
        <x:v>KZT</x:v>
      </x:c>
      <x:c r="M648" s="22"/>
      <x:c r="N648" s="22"/>
      <x:c r="O648" s="28"/>
      <x:c r="P648" s="22"/>
      <x:c r="Q648" s="22"/>
      <x:c r="R648" s="28"/>
      <x:c r="S648" s="22"/>
      <x:c r="T648" s="35" t="n">
        <x:f>K648</x:f>
        <x:v>2</x:v>
      </x:c>
      <x:c r="U648" s="20" t="str">
        <x:f>IF(J648="Рассчитано",N648*(1-O648/100),"н/д")</x:f>
        <x:v>н/д</x:v>
      </x:c>
      <x:c r="V648" s="20" t="str">
        <x:f>IF(J648="Рассчитано",T648*U648,"н/д")</x:f>
        <x:v>н/д</x:v>
      </x:c>
      <x:c r="W648" s="20" t="str">
        <x:f>IF(J648="Рассчитано",T648*M648,"н/д")</x:f>
        <x:v>н/д</x:v>
      </x:c>
      <x:c r="X648" s="20" t="str">
        <x:f>IF(J648="Рассчитано",V648-W648,"н/д")</x:f>
        <x:v>н/д</x:v>
      </x:c>
      <x:c r="Y648" s="26" t="str">
        <x:f>IF(J648="Рассчитано",IF(V648&gt;0,G648/V648,"н/д"),"н/д")</x:f>
        <x:v>н/д</x:v>
      </x:c>
      <x:c r="Z648" s="20" t="str">
        <x:f>"н/д"</x:f>
        <x:v>н/д</x:v>
      </x:c>
      <x:c r="AA648" s="20" t="str">
        <x:f>"н/д"</x:f>
        <x:v>н/д</x:v>
      </x:c>
      <x:c r="AB648" s="20" t="str">
        <x:f>"н/д"</x:f>
        <x:v>н/д</x:v>
      </x:c>
      <x:c r="AC648" s="20" t="str">
        <x:f>IF(AND(J648="Рассчитано",T648&gt;0,R648&lt;100),(W648+P648+Q648)/(T648*(1-R648/100)),"н/д")</x:f>
        <x:v>н/д</x:v>
      </x:c>
      <x:c r="AD648" s="11" t="str">
        <x:f>IF(ISNUMBER(G648),IF(G648&lt;0,"Убыток",IF(G648=0,"Без прибыли","Прибыль &gt; 0")),"Не оценён")</x:f>
        <x:v>Не оценён</x:v>
      </x:c>
      <x:c r="AE648" s="12" t="str">
        <x:f>IF(J648="Рассчитано","Выручка "&amp;TEXT(V648,"0.00")&amp;" - себестоимость "&amp;TEXT(W648,"0.00")&amp;" - комиссия "&amp;TEXT(V648*R648/100,"0.00")&amp;" - доставка "&amp;TEXT(P648,"0.00")&amp;" - прочие "&amp;TEXT(Q648,"0.00")&amp;" = "&amp;TEXT(G648,"0.00")&amp;" "&amp;L648,"Введите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8" s="23" t="n">
        <x:v>50.49939408560979</x:v>
      </x:c>
      <x:c r="AG648" s="35" t="n">
        <x:v>53</x:v>
      </x:c>
      <x:c r="AH648" s="35" t="n">
        <x:v>0</x:v>
      </x:c>
      <x:c r="AI648" s="29" t="n">
        <x:v>46266</x:v>
      </x:c>
      <x:c r="AJ648" s="35" t="n">
        <x:v>100</x:v>
      </x:c>
      <x:c r="AK648" s="11" t="str">
        <x:v>минимум</x:v>
      </x:c>
      <x:c r="AL648" s="31" t="n">
        <x:v>89.2501072265571</x:v>
      </x:c>
      <x:c r="AM648" s="12" t="str">
        <x:v>Остаток на начало сентября; Резервы неизвестны; Нет ежедневных данных доступности. Запас выше прогноза на 90 дней</x:v>
      </x:c>
      <x:c r="AN648" s="12" t="str">
        <x:v>Проверить свободный остаток и установить цену для B2B</x:v>
      </x:c>
      <x:c r="AO648" s="12" t="str">
        <x:v>Остаток 53; прогноз 90 дней 50.50; избыток 2 шт. Будущие поступления не выставляются на продажу. Остаток на начало сентября: требуется актуализация.</x:v>
      </x:c>
      <x:c r="AP648" s="12" t="str">
        <x:v>["category_missing", "daily_stockout_data_missing", "large_orders_detected", "new_order_lead_time_unknown", "reservations_unknown", "stale_stock"]</x:v>
      </x:c>
      <x:c r="AQ648" s="11" t="str">
        <x:v>IEK:130301613_</x:v>
      </x:c>
      <x:c r="AR648" s="23" t="n">
        <x:v>1</x:v>
      </x:c>
      <x:c r="AS648" s="23" t="n">
        <x:v>0</x:v>
      </x:c>
      <x:c r="AT648" s="23" t="n">
        <x:v>0</x:v>
      </x:c>
    </x:row>
    <x:row r="649" ht="64" customHeight="1">
      <x:c r="A649" s="10" t="str">
        <x:v>IEK</x:v>
      </x:c>
      <x:c r="B649" s="34" t="str">
        <x:v>130301614_</x:v>
      </x:c>
      <x:c r="C649" s="34" t="str">
        <x:v>YCT10-00-K03-010</x:v>
      </x:c>
      <x:c r="D649" s="13" t="str">
        <x:v>Колодка клеммная CTS  10мм2 серая IEK</x:v>
      </x:c>
      <x:c r="E649" s="10" t="str">
        <x:v>шт</x:v>
      </x:c>
      <x:c r="F649" s="37" t="n">
        <x:f>MAX(0,ROUNDDOWN((AG649-AF649)/AR649+0.000000001,0)*AR649)</x:f>
        <x:v>70</x:v>
      </x:c>
      <x:c r="G649" s="21" t="str">
        <x:f>IF(J649="Рассчитано",V649*(1-R649/100)-W649-P649-Q649,"н/д")</x:f>
        <x:v>н/д</x:v>
      </x:c>
      <x:c r="H649" s="13" t="str">
        <x:v>Высокий</x:v>
      </x:c>
      <x:c r="I649" s="13" t="str">
        <x:v>Высокий</x:v>
      </x:c>
      <x:c r="J649" s="13" t="str">
        <x:f>IF(L649="","Укажите валюту",IF(NOT(ISNUMBER(K649)),"Укажите объём",IF(K649&lt;=0,"Укажите объём",IF(K649&gt;F649,"Объём выше излишка",IF(COUNT(M649:O649)&lt;3,"Нужны цены",IF(COUNT(P649:R649)&lt;3,"Нужны расходы",IF(OR(M649&lt;0,N649&lt;0,O649&lt;0,O649&gt;100,P649&lt;0,Q649&lt;0,R649&lt;0,R649&gt;100),"Проверьте значения","Рассчитано")))))))</x:f>
        <x:v>Нужны цены</x:v>
      </x:c>
      <x:c r="K649" s="36" t="n">
        <x:v>70</x:v>
      </x:c>
      <x:c r="L649" s="19" t="str">
        <x:v>KZT</x:v>
      </x:c>
      <x:c r="M649" s="22"/>
      <x:c r="N649" s="22"/>
      <x:c r="O649" s="28"/>
      <x:c r="P649" s="22"/>
      <x:c r="Q649" s="22"/>
      <x:c r="R649" s="28"/>
      <x:c r="S649" s="22"/>
      <x:c r="T649" s="37" t="n">
        <x:f>K649</x:f>
        <x:v>70</x:v>
      </x:c>
      <x:c r="U649" s="21" t="str">
        <x:f>IF(J649="Рассчитано",N649*(1-O649/100),"н/д")</x:f>
        <x:v>н/д</x:v>
      </x:c>
      <x:c r="V649" s="21" t="str">
        <x:f>IF(J649="Рассчитано",T649*U649,"н/д")</x:f>
        <x:v>н/д</x:v>
      </x:c>
      <x:c r="W649" s="21" t="str">
        <x:f>IF(J649="Рассчитано",T649*M649,"н/д")</x:f>
        <x:v>н/д</x:v>
      </x:c>
      <x:c r="X649" s="21" t="str">
        <x:f>IF(J649="Рассчитано",V649-W649,"н/д")</x:f>
        <x:v>н/д</x:v>
      </x:c>
      <x:c r="Y649" s="27" t="str">
        <x:f>IF(J649="Рассчитано",IF(V649&gt;0,G649/V649,"н/д"),"н/д")</x:f>
        <x:v>н/д</x:v>
      </x:c>
      <x:c r="Z649" s="21" t="str">
        <x:f>"н/д"</x:f>
        <x:v>н/д</x:v>
      </x:c>
      <x:c r="AA649" s="21" t="str">
        <x:f>"н/д"</x:f>
        <x:v>н/д</x:v>
      </x:c>
      <x:c r="AB649" s="21" t="str">
        <x:f>"н/д"</x:f>
        <x:v>н/д</x:v>
      </x:c>
      <x:c r="AC649" s="21" t="str">
        <x:f>IF(AND(J649="Рассчитано",T649&gt;0,R649&lt;100),(W649+P649+Q649)/(T649*(1-R649/100)),"н/д")</x:f>
        <x:v>н/д</x:v>
      </x:c>
      <x:c r="AD649" s="10" t="str">
        <x:f>IF(ISNUMBER(G649),IF(G649&lt;0,"Убыток",IF(G649=0,"Без прибыли","Прибыль &gt; 0")),"Не оценён")</x:f>
        <x:v>Не оценён</x:v>
      </x:c>
      <x:c r="AE649" s="13" t="str">
        <x:f>IF(J649="Рассчитано","Выручка "&amp;TEXT(V649,"0.00")&amp;" - себестоимость "&amp;TEXT(W649,"0.00")&amp;" - комиссия "&amp;TEXT(V649*R649/100,"0.00")&amp;" - доставка "&amp;TEXT(P649,"0.00")&amp;" - прочие "&amp;TEXT(Q649,"0.00")&amp;" = "&amp;TEXT(G649,"0.00")&amp;" "&amp;L649,"Введите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9" s="24" t="n">
        <x:v>27.167415350599807</x:v>
      </x:c>
      <x:c r="AG649" s="37" t="n">
        <x:v>98</x:v>
      </x:c>
      <x:c r="AH649" s="37" t="n">
        <x:v>0</x:v>
      </x:c>
      <x:c r="AI649" s="30" t="n">
        <x:v>46266</x:v>
      </x:c>
      <x:c r="AJ649" s="37" t="n">
        <x:v>100</x:v>
      </x:c>
      <x:c r="AK649" s="10" t="str">
        <x:v>минимум</x:v>
      </x:c>
      <x:c r="AL649" s="32" t="n">
        <x:v>306.7586355611355</x:v>
      </x:c>
      <x:c r="AM649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649" s="13" t="str">
        <x:v>Проверить свободный остаток и установить цену для B2B</x:v>
      </x:c>
      <x:c r="AO649" s="13" t="str">
        <x:v>Остаток 98; прогноз 90 дней 27.17; избыток 70 шт. Будущие поступления не выставляются на продажу. Остаток на начало сентября: требуется актуализация.</x:v>
      </x:c>
      <x:c r="AP649" s="13" t="str">
        <x:v>["category_missing", "daily_stockout_data_missing", "large_orders_detected", "new_order_lead_time_unknown", "reservations_unknown", "stale_stock", "transaction_month_mismatch"]</x:v>
      </x:c>
      <x:c r="AQ649" s="10" t="str">
        <x:v>IEK:130301614_</x:v>
      </x:c>
      <x:c r="AR649" s="24" t="n">
        <x:v>1</x:v>
      </x:c>
      <x:c r="AS649" s="24" t="n">
        <x:v>0</x:v>
      </x:c>
      <x:c r="AT649" s="24" t="n">
        <x:v>0</x:v>
      </x:c>
    </x:row>
    <x:row r="650" ht="64" customHeight="1">
      <x:c r="A650" s="11" t="str">
        <x:v>IEK</x:v>
      </x:c>
      <x:c r="B650" s="33" t="str">
        <x:v>130301615_</x:v>
      </x:c>
      <x:c r="C650" s="33" t="str">
        <x:v>YCT10-00-K07-010</x:v>
      </x:c>
      <x:c r="D650" s="12" t="str">
        <x:v>Колодка клеммная CTS  10мм2 синяя IEK</x:v>
      </x:c>
      <x:c r="E650" s="11" t="str">
        <x:v>шт</x:v>
      </x:c>
      <x:c r="F650" s="35" t="n">
        <x:f>MAX(0,ROUNDDOWN((AG650-AF650)/AR650+0.000000001,0)*AR650)</x:f>
        <x:v>78</x:v>
      </x:c>
      <x:c r="G650" s="20" t="str">
        <x:f>IF(J650="Рассчитано",V650*(1-R650/100)-W650-P650-Q650,"н/д")</x:f>
        <x:v>н/д</x:v>
      </x:c>
      <x:c r="H650" s="12" t="str">
        <x:v>Высокий</x:v>
      </x:c>
      <x:c r="I650" s="12" t="str">
        <x:v>Высокий</x:v>
      </x:c>
      <x:c r="J650" s="12" t="str">
        <x:f>IF(L650="","Укажите валюту",IF(NOT(ISNUMBER(K650)),"Укажите объём",IF(K650&lt;=0,"Укажите объём",IF(K650&gt;F650,"Объём выше излишка",IF(COUNT(M650:O650)&lt;3,"Нужны цены",IF(COUNT(P650:R650)&lt;3,"Нужны расходы",IF(OR(M650&lt;0,N650&lt;0,O650&lt;0,O650&gt;100,P650&lt;0,Q650&lt;0,R650&lt;0,R650&gt;100),"Проверьте значения","Рассчитано")))))))</x:f>
        <x:v>Нужны цены</x:v>
      </x:c>
      <x:c r="K650" s="36" t="n">
        <x:v>78</x:v>
      </x:c>
      <x:c r="L650" s="19" t="str">
        <x:v>KZT</x:v>
      </x:c>
      <x:c r="M650" s="22"/>
      <x:c r="N650" s="22"/>
      <x:c r="O650" s="28"/>
      <x:c r="P650" s="22"/>
      <x:c r="Q650" s="22"/>
      <x:c r="R650" s="28"/>
      <x:c r="S650" s="22"/>
      <x:c r="T650" s="35" t="n">
        <x:f>K650</x:f>
        <x:v>78</x:v>
      </x:c>
      <x:c r="U650" s="20" t="str">
        <x:f>IF(J650="Рассчитано",N650*(1-O650/100),"н/д")</x:f>
        <x:v>н/д</x:v>
      </x:c>
      <x:c r="V650" s="20" t="str">
        <x:f>IF(J650="Рассчитано",T650*U650,"н/д")</x:f>
        <x:v>н/д</x:v>
      </x:c>
      <x:c r="W650" s="20" t="str">
        <x:f>IF(J650="Рассчитано",T650*M650,"н/д")</x:f>
        <x:v>н/д</x:v>
      </x:c>
      <x:c r="X650" s="20" t="str">
        <x:f>IF(J650="Рассчитано",V650-W650,"н/д")</x:f>
        <x:v>н/д</x:v>
      </x:c>
      <x:c r="Y650" s="26" t="str">
        <x:f>IF(J650="Рассчитано",IF(V650&gt;0,G650/V650,"н/д"),"н/д")</x:f>
        <x:v>н/д</x:v>
      </x:c>
      <x:c r="Z650" s="20" t="str">
        <x:f>"н/д"</x:f>
        <x:v>н/д</x:v>
      </x:c>
      <x:c r="AA650" s="20" t="str">
        <x:f>"н/д"</x:f>
        <x:v>н/д</x:v>
      </x:c>
      <x:c r="AB650" s="20" t="str">
        <x:f>"н/д"</x:f>
        <x:v>н/д</x:v>
      </x:c>
      <x:c r="AC650" s="20" t="str">
        <x:f>IF(AND(J650="Рассчитано",T650&gt;0,R650&lt;100),(W650+P650+Q650)/(T650*(1-R650/100)),"н/д")</x:f>
        <x:v>н/д</x:v>
      </x:c>
      <x:c r="AD650" s="11" t="str">
        <x:f>IF(ISNUMBER(G650),IF(G650&lt;0,"Убыток",IF(G650=0,"Без прибыли","Прибыль &gt; 0")),"Не оценён")</x:f>
        <x:v>Не оценён</x:v>
      </x:c>
      <x:c r="AE650" s="12" t="str">
        <x:f>IF(J650="Рассчитано","Выручка "&amp;TEXT(V650,"0.00")&amp;" - себестоимость "&amp;TEXT(W650,"0.00")&amp;" - комиссия "&amp;TEXT(V650*R650/100,"0.00")&amp;" - доставка "&amp;TEXT(P650,"0.00")&amp;" - прочие "&amp;TEXT(Q650,"0.00")&amp;" = "&amp;TEXT(G650,"0.00")&amp;" "&amp;L650,"Введите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0" s="23" t="n">
        <x:v>8.00961659306617</x:v>
      </x:c>
      <x:c r="AG650" s="35" t="n">
        <x:v>87</x:v>
      </x:c>
      <x:c r="AH650" s="35" t="n">
        <x:v>0</x:v>
      </x:c>
      <x:c r="AI650" s="29" t="n">
        <x:v>46266</x:v>
      </x:c>
      <x:c r="AJ650" s="35" t="n">
        <x:v>100</x:v>
      </x:c>
      <x:c r="AK650" s="11" t="str">
        <x:v>минимум</x:v>
      </x:c>
      <x:c r="AL650" s="31" t="n">
        <x:v>923.6906961571625</x:v>
      </x:c>
      <x:c r="AM6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50" s="12" t="str">
        <x:v>Проверить свободный остаток и установить цену для B2B</x:v>
      </x:c>
      <x:c r="AO650" s="12" t="str">
        <x:v>Остаток 87; прогноз 90 дней 8.01; избыток 78 шт. Будущие поступления не выставляются на продажу. Остаток на начало сентября: требуется актуализация.</x:v>
      </x:c>
      <x:c r="AP650" s="12" t="str">
        <x:v>["category_missing", "daily_stockout_data_missing", "new_order_lead_time_unknown", "reservations_unknown", "stale_stock"]</x:v>
      </x:c>
      <x:c r="AQ650" s="11" t="str">
        <x:v>IEK:130301615_</x:v>
      </x:c>
      <x:c r="AR650" s="23" t="n">
        <x:v>1</x:v>
      </x:c>
      <x:c r="AS650" s="23" t="n">
        <x:v>0</x:v>
      </x:c>
      <x:c r="AT650" s="23" t="n">
        <x:v>0</x:v>
      </x:c>
    </x:row>
    <x:row r="651" ht="64" customHeight="1">
      <x:c r="A651" s="10" t="str">
        <x:v>IEK</x:v>
      </x:c>
      <x:c r="B651" s="34" t="str">
        <x:v>130301616_</x:v>
      </x:c>
      <x:c r="C651" s="34" t="str">
        <x:v>YCT10-00-K03-016</x:v>
      </x:c>
      <x:c r="D651" s="13" t="str">
        <x:v>Колодка клеммная CTS  16мм2 серая IEK</x:v>
      </x:c>
      <x:c r="E651" s="10" t="str">
        <x:v>шт</x:v>
      </x:c>
      <x:c r="F651" s="37" t="n">
        <x:f>MAX(0,ROUNDDOWN((AG651-AF651)/AR651+0.000000001,0)*AR651)</x:f>
        <x:v>69</x:v>
      </x:c>
      <x:c r="G651" s="21" t="str">
        <x:f>IF(J651="Рассчитано",V651*(1-R651/100)-W651-P651-Q651,"н/д")</x:f>
        <x:v>н/д</x:v>
      </x:c>
      <x:c r="H651" s="13" t="str">
        <x:v>Высокий</x:v>
      </x:c>
      <x:c r="I651" s="13" t="str">
        <x:v>Высокий</x:v>
      </x:c>
      <x:c r="J651" s="13" t="str">
        <x:f>IF(L651="","Укажите валюту",IF(NOT(ISNUMBER(K651)),"Укажите объём",IF(K651&lt;=0,"Укажите объём",IF(K651&gt;F651,"Объём выше излишка",IF(COUNT(M651:O651)&lt;3,"Нужны цены",IF(COUNT(P651:R651)&lt;3,"Нужны расходы",IF(OR(M651&lt;0,N651&lt;0,O651&lt;0,O651&gt;100,P651&lt;0,Q651&lt;0,R651&lt;0,R651&gt;100),"Проверьте значения","Рассчитано")))))))</x:f>
        <x:v>Нужны цены</x:v>
      </x:c>
      <x:c r="K651" s="36" t="n">
        <x:v>69</x:v>
      </x:c>
      <x:c r="L651" s="19" t="str">
        <x:v>KZT</x:v>
      </x:c>
      <x:c r="M651" s="22"/>
      <x:c r="N651" s="22"/>
      <x:c r="O651" s="28"/>
      <x:c r="P651" s="22"/>
      <x:c r="Q651" s="22"/>
      <x:c r="R651" s="28"/>
      <x:c r="S651" s="22"/>
      <x:c r="T651" s="37" t="n">
        <x:f>K651</x:f>
        <x:v>69</x:v>
      </x:c>
      <x:c r="U651" s="21" t="str">
        <x:f>IF(J651="Рассчитано",N651*(1-O651/100),"н/д")</x:f>
        <x:v>н/д</x:v>
      </x:c>
      <x:c r="V651" s="21" t="str">
        <x:f>IF(J651="Рассчитано",T651*U651,"н/д")</x:f>
        <x:v>н/д</x:v>
      </x:c>
      <x:c r="W651" s="21" t="str">
        <x:f>IF(J651="Рассчитано",T651*M651,"н/д")</x:f>
        <x:v>н/д</x:v>
      </x:c>
      <x:c r="X651" s="21" t="str">
        <x:f>IF(J651="Рассчитано",V651-W651,"н/д")</x:f>
        <x:v>н/д</x:v>
      </x:c>
      <x:c r="Y651" s="27" t="str">
        <x:f>IF(J651="Рассчитано",IF(V651&gt;0,G651/V651,"н/д"),"н/д")</x:f>
        <x:v>н/д</x:v>
      </x:c>
      <x:c r="Z651" s="21" t="str">
        <x:f>"н/д"</x:f>
        <x:v>н/д</x:v>
      </x:c>
      <x:c r="AA651" s="21" t="str">
        <x:f>"н/д"</x:f>
        <x:v>н/д</x:v>
      </x:c>
      <x:c r="AB651" s="21" t="str">
        <x:f>"н/д"</x:f>
        <x:v>н/д</x:v>
      </x:c>
      <x:c r="AC651" s="21" t="str">
        <x:f>IF(AND(J651="Рассчитано",T651&gt;0,R651&lt;100),(W651+P651+Q651)/(T651*(1-R651/100)),"н/д")</x:f>
        <x:v>н/д</x:v>
      </x:c>
      <x:c r="AD651" s="10" t="str">
        <x:f>IF(ISNUMBER(G651),IF(G651&lt;0,"Убыток",IF(G651=0,"Без прибыли","Прибыль &gt; 0")),"Не оценён")</x:f>
        <x:v>Не оценён</x:v>
      </x:c>
      <x:c r="AE651" s="13" t="str">
        <x:f>IF(J651="Рассчитано","Выручка "&amp;TEXT(V651,"0.00")&amp;" - себестоимость "&amp;TEXT(W651,"0.00")&amp;" - комиссия "&amp;TEXT(V651*R651/100,"0.00")&amp;" - доставка "&amp;TEXT(P651,"0.00")&amp;" - прочие "&amp;TEXT(Q651,"0.00")&amp;" = "&amp;TEXT(G651,"0.00")&amp;" "&amp;L651,"Введите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1" s="24" t="n">
        <x:v>31.29384430666878</x:v>
      </x:c>
      <x:c r="AG651" s="37" t="n">
        <x:v>101</x:v>
      </x:c>
      <x:c r="AH651" s="37" t="n">
        <x:v>0</x:v>
      </x:c>
      <x:c r="AI651" s="30" t="n">
        <x:v>46266</x:v>
      </x:c>
      <x:c r="AJ651" s="37" t="n">
        <x:v>50</x:v>
      </x:c>
      <x:c r="AK651" s="10" t="str">
        <x:v>минимум</x:v>
      </x:c>
      <x:c r="AL651" s="32" t="n">
        <x:v>274.4615429480076</x:v>
      </x:c>
      <x:c r="AM65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51" s="13" t="str">
        <x:v>Проверить свободный остаток и установить цену для B2B</x:v>
      </x:c>
      <x:c r="AO651" s="13" t="str">
        <x:v>Остаток 101; прогноз 90 дней 31.29; избыток 69 шт. Будущие поступления не выставляются на продажу. Остаток на начало сентября: требуется актуализация.</x:v>
      </x:c>
      <x:c r="AP651" s="13" t="str">
        <x:v>["category_missing", "daily_stockout_data_missing", "new_order_lead_time_unknown", "reservations_unknown", "stale_stock"]</x:v>
      </x:c>
      <x:c r="AQ651" s="10" t="str">
        <x:v>IEK:130301616_</x:v>
      </x:c>
      <x:c r="AR651" s="24" t="n">
        <x:v>1</x:v>
      </x:c>
      <x:c r="AS651" s="24" t="n">
        <x:v>0</x:v>
      </x:c>
      <x:c r="AT651" s="24" t="n">
        <x:v>0</x:v>
      </x:c>
    </x:row>
    <x:row r="652" ht="64" customHeight="1">
      <x:c r="A652" s="11" t="str">
        <x:v>IEK</x:v>
      </x:c>
      <x:c r="B652" s="33" t="str">
        <x:v>130301617_</x:v>
      </x:c>
      <x:c r="C652" s="33" t="str">
        <x:v>YCT10-00-K07-016</x:v>
      </x:c>
      <x:c r="D652" s="12" t="str">
        <x:v>Колодка клеммная CTS  16мм2 синяя IEK</x:v>
      </x:c>
      <x:c r="E652" s="11" t="str">
        <x:v>шт</x:v>
      </x:c>
      <x:c r="F652" s="35" t="n">
        <x:f>MAX(0,ROUNDDOWN((AG652-AF652)/AR652+0.000000001,0)*AR652)</x:f>
        <x:v>44</x:v>
      </x:c>
      <x:c r="G652" s="20" t="str">
        <x:f>IF(J652="Рассчитано",V652*(1-R652/100)-W652-P652-Q652,"н/д")</x:f>
        <x:v>н/д</x:v>
      </x:c>
      <x:c r="H652" s="12" t="str">
        <x:v>Высокий</x:v>
      </x:c>
      <x:c r="I652" s="12" t="str">
        <x:v>Высокий</x:v>
      </x:c>
      <x:c r="J652" s="12" t="str">
        <x:f>IF(L652="","Укажите валюту",IF(NOT(ISNUMBER(K652)),"Укажите объём",IF(K652&lt;=0,"Укажите объём",IF(K652&gt;F652,"Объём выше излишка",IF(COUNT(M652:O652)&lt;3,"Нужны цены",IF(COUNT(P652:R652)&lt;3,"Нужны расходы",IF(OR(M652&lt;0,N652&lt;0,O652&lt;0,O652&gt;100,P652&lt;0,Q652&lt;0,R652&lt;0,R652&gt;100),"Проверьте значения","Рассчитано")))))))</x:f>
        <x:v>Нужны цены</x:v>
      </x:c>
      <x:c r="K652" s="36" t="n">
        <x:v>44</x:v>
      </x:c>
      <x:c r="L652" s="19" t="str">
        <x:v>KZT</x:v>
      </x:c>
      <x:c r="M652" s="22"/>
      <x:c r="N652" s="22"/>
      <x:c r="O652" s="28"/>
      <x:c r="P652" s="22"/>
      <x:c r="Q652" s="22"/>
      <x:c r="R652" s="28"/>
      <x:c r="S652" s="22"/>
      <x:c r="T652" s="35" t="n">
        <x:f>K652</x:f>
        <x:v>44</x:v>
      </x:c>
      <x:c r="U652" s="20" t="str">
        <x:f>IF(J652="Рассчитано",N652*(1-O652/100),"н/д")</x:f>
        <x:v>н/д</x:v>
      </x:c>
      <x:c r="V652" s="20" t="str">
        <x:f>IF(J652="Рассчитано",T652*U652,"н/д")</x:f>
        <x:v>н/д</x:v>
      </x:c>
      <x:c r="W652" s="20" t="str">
        <x:f>IF(J652="Рассчитано",T652*M652,"н/д")</x:f>
        <x:v>н/д</x:v>
      </x:c>
      <x:c r="X652" s="20" t="str">
        <x:f>IF(J652="Рассчитано",V652-W652,"н/д")</x:f>
        <x:v>н/д</x:v>
      </x:c>
      <x:c r="Y652" s="26" t="str">
        <x:f>IF(J652="Рассчитано",IF(V652&gt;0,G652/V652,"н/д"),"н/д")</x:f>
        <x:v>н/д</x:v>
      </x:c>
      <x:c r="Z652" s="20" t="str">
        <x:f>"н/д"</x:f>
        <x:v>н/д</x:v>
      </x:c>
      <x:c r="AA652" s="20" t="str">
        <x:f>"н/д"</x:f>
        <x:v>н/д</x:v>
      </x:c>
      <x:c r="AB652" s="20" t="str">
        <x:f>"н/д"</x:f>
        <x:v>н/д</x:v>
      </x:c>
      <x:c r="AC652" s="20" t="str">
        <x:f>IF(AND(J652="Рассчитано",T652&gt;0,R652&lt;100),(W652+P652+Q652)/(T652*(1-R652/100)),"н/д")</x:f>
        <x:v>н/д</x:v>
      </x:c>
      <x:c r="AD652" s="11" t="str">
        <x:f>IF(ISNUMBER(G652),IF(G652&lt;0,"Убыток",IF(G652=0,"Без прибыли","Прибыль &gt; 0")),"Не оценён")</x:f>
        <x:v>Не оценён</x:v>
      </x:c>
      <x:c r="AE652" s="12" t="str">
        <x:f>IF(J652="Рассчитано","Выручка "&amp;TEXT(V652,"0.00")&amp;" - себестоимость "&amp;TEXT(W652,"0.00")&amp;" - комиссия "&amp;TEXT(V652*R652/100,"0.00")&amp;" - доставка "&amp;TEXT(P652,"0.00")&amp;" - прочие "&amp;TEXT(Q652,"0.00")&amp;" = "&amp;TEXT(G652,"0.00")&amp;" "&amp;L652,"Введите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2" s="23" t="n">
        <x:v>11.87176515055487</x:v>
      </x:c>
      <x:c r="AG652" s="35" t="n">
        <x:v>56</x:v>
      </x:c>
      <x:c r="AH652" s="35" t="n">
        <x:v>0</x:v>
      </x:c>
      <x:c r="AI652" s="29" t="n">
        <x:v>46266</x:v>
      </x:c>
      <x:c r="AJ652" s="35" t="n">
        <x:v>50</x:v>
      </x:c>
      <x:c r="AK652" s="11" t="str">
        <x:v>минимум</x:v>
      </x:c>
      <x:c r="AL652" s="31" t="n">
        <x:v>401.1361246734775</x:v>
      </x:c>
      <x:c r="AM652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652" s="12" t="str">
        <x:v>Проверить свободный остаток и установить цену для B2B</x:v>
      </x:c>
      <x:c r="AO652" s="12" t="str">
        <x:v>Остаток 56; прогноз 90 дней 11.87; избыток 44 шт. Будущие поступления не выставляются на продажу. Остаток на начало сентября: требуется актуализация.</x:v>
      </x:c>
      <x:c r="AP652" s="12" t="str">
        <x:v>["category_missing", "daily_stockout_data_missing", "large_orders_detected", "new_order_lead_time_unknown", "reservations_unknown", "stale_stock", "transaction_month_mismatch"]</x:v>
      </x:c>
      <x:c r="AQ652" s="11" t="str">
        <x:v>IEK:130301617_</x:v>
      </x:c>
      <x:c r="AR652" s="23" t="n">
        <x:v>1</x:v>
      </x:c>
      <x:c r="AS652" s="23" t="n">
        <x:v>0</x:v>
      </x:c>
      <x:c r="AT652" s="23" t="n">
        <x:v>0</x:v>
      </x:c>
    </x:row>
    <x:row r="653" ht="64" customHeight="1">
      <x:c r="A653" s="10" t="str">
        <x:v>IEK</x:v>
      </x:c>
      <x:c r="B653" s="34" t="str">
        <x:v>130301618_</x:v>
      </x:c>
      <x:c r="C653" s="34" t="str">
        <x:v>YCT10-00-K03-025</x:v>
      </x:c>
      <x:c r="D653" s="13" t="str">
        <x:v>Колодка клеммная CTS  25мм2 серая IEK</x:v>
      </x:c>
      <x:c r="E653" s="10" t="str">
        <x:v>шт</x:v>
      </x:c>
      <x:c r="F653" s="37" t="n">
        <x:f>MAX(0,ROUNDDOWN((AG653-AF653)/AR653+0.000000001,0)*AR653)</x:f>
        <x:v>11</x:v>
      </x:c>
      <x:c r="G653" s="21" t="str">
        <x:f>IF(J653="Рассчитано",V653*(1-R653/100)-W653-P653-Q653,"н/д")</x:f>
        <x:v>н/д</x:v>
      </x:c>
      <x:c r="H653" s="13" t="str">
        <x:v>Высокий</x:v>
      </x:c>
      <x:c r="I653" s="13" t="str">
        <x:v>Средний</x:v>
      </x:c>
      <x:c r="J653" s="13" t="str">
        <x:f>IF(L653="","Укажите валюту",IF(NOT(ISNUMBER(K653)),"Укажите объём",IF(K653&lt;=0,"Укажите объём",IF(K653&gt;F653,"Объём выше излишка",IF(COUNT(M653:O653)&lt;3,"Нужны цены",IF(COUNT(P653:R653)&lt;3,"Нужны расходы",IF(OR(M653&lt;0,N653&lt;0,O653&lt;0,O653&gt;100,P653&lt;0,Q653&lt;0,R653&lt;0,R653&gt;100),"Проверьте значения","Рассчитано")))))))</x:f>
        <x:v>Нужны цены</x:v>
      </x:c>
      <x:c r="K653" s="36" t="n">
        <x:v>11</x:v>
      </x:c>
      <x:c r="L653" s="19" t="str">
        <x:v>KZT</x:v>
      </x:c>
      <x:c r="M653" s="22"/>
      <x:c r="N653" s="22"/>
      <x:c r="O653" s="28"/>
      <x:c r="P653" s="22"/>
      <x:c r="Q653" s="22"/>
      <x:c r="R653" s="28"/>
      <x:c r="S653" s="22"/>
      <x:c r="T653" s="37" t="n">
        <x:f>K653</x:f>
        <x:v>11</x:v>
      </x:c>
      <x:c r="U653" s="21" t="str">
        <x:f>IF(J653="Рассчитано",N653*(1-O653/100),"н/д")</x:f>
        <x:v>н/д</x:v>
      </x:c>
      <x:c r="V653" s="21" t="str">
        <x:f>IF(J653="Рассчитано",T653*U653,"н/д")</x:f>
        <x:v>н/д</x:v>
      </x:c>
      <x:c r="W653" s="21" t="str">
        <x:f>IF(J653="Рассчитано",T653*M653,"н/д")</x:f>
        <x:v>н/д</x:v>
      </x:c>
      <x:c r="X653" s="21" t="str">
        <x:f>IF(J653="Рассчитано",V653-W653,"н/д")</x:f>
        <x:v>н/д</x:v>
      </x:c>
      <x:c r="Y653" s="27" t="str">
        <x:f>IF(J653="Рассчитано",IF(V653&gt;0,G653/V653,"н/д"),"н/д")</x:f>
        <x:v>н/д</x:v>
      </x:c>
      <x:c r="Z653" s="21" t="str">
        <x:f>"н/д"</x:f>
        <x:v>н/д</x:v>
      </x:c>
      <x:c r="AA653" s="21" t="str">
        <x:f>"н/д"</x:f>
        <x:v>н/д</x:v>
      </x:c>
      <x:c r="AB653" s="21" t="str">
        <x:f>"н/д"</x:f>
        <x:v>н/д</x:v>
      </x:c>
      <x:c r="AC653" s="21" t="str">
        <x:f>IF(AND(J653="Рассчитано",T653&gt;0,R653&lt;100),(W653+P653+Q653)/(T653*(1-R653/100)),"н/д")</x:f>
        <x:v>н/д</x:v>
      </x:c>
      <x:c r="AD653" s="10" t="str">
        <x:f>IF(ISNUMBER(G653),IF(G653&lt;0,"Убыток",IF(G653=0,"Без прибыли","Прибыль &gt; 0")),"Не оценён")</x:f>
        <x:v>Не оценён</x:v>
      </x:c>
      <x:c r="AE653" s="13" t="str">
        <x:f>IF(J653="Рассчитано","Выручка "&amp;TEXT(V653,"0.00")&amp;" - себестоимость "&amp;TEXT(W653,"0.00")&amp;" - комиссия "&amp;TEXT(V653*R653/100,"0.00")&amp;" - доставка "&amp;TEXT(P653,"0.00")&amp;" - прочие "&amp;TEXT(Q653,"0.00")&amp;" = "&amp;TEXT(G653,"0.00")&amp;" "&amp;L653,"Введите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3" s="24" t="n">
        <x:v>22.736800147149857</x:v>
      </x:c>
      <x:c r="AG653" s="37" t="n">
        <x:v>34</x:v>
      </x:c>
      <x:c r="AH653" s="37" t="n">
        <x:v>0</x:v>
      </x:c>
      <x:c r="AI653" s="30" t="n">
        <x:v>46266</x:v>
      </x:c>
      <x:c r="AJ653" s="37" t="n">
        <x:v>50</x:v>
      </x:c>
      <x:c r="AK653" s="10" t="str">
        <x:v>минимум</x:v>
      </x:c>
      <x:c r="AL653" s="32" t="n">
        <x:v>127.16529903381452</x:v>
      </x:c>
      <x:c r="AM653" s="13" t="str">
        <x:v>Остаток на начало сентября; Резервы неизвестны; Нет ежедневных данных доступности. Запас выше прогноза на 90 дней</x:v>
      </x:c>
      <x:c r="AN653" s="13" t="str">
        <x:v>Проверить свободный остаток и установить цену для B2B</x:v>
      </x:c>
      <x:c r="AO653" s="13" t="str">
        <x:v>Остаток 34; прогноз 90 дней 22.74; избыток 11 шт. Будущие поступления не выставляются на продажу. Остаток на начало сентября: требуется актуализация.</x:v>
      </x:c>
      <x:c r="AP653" s="13" t="str">
        <x:v>["category_missing", "daily_stockout_data_missing", "new_order_lead_time_unknown", "reservations_unknown", "stale_stock"]</x:v>
      </x:c>
      <x:c r="AQ653" s="10" t="str">
        <x:v>IEK:130301618_</x:v>
      </x:c>
      <x:c r="AR653" s="24" t="n">
        <x:v>1</x:v>
      </x:c>
      <x:c r="AS653" s="24" t="n">
        <x:v>0</x:v>
      </x:c>
      <x:c r="AT653" s="24" t="n">
        <x:v>0</x:v>
      </x:c>
    </x:row>
    <x:row r="654" ht="64" customHeight="1">
      <x:c r="A654" s="11" t="str">
        <x:v>IEK</x:v>
      </x:c>
      <x:c r="B654" s="33" t="str">
        <x:v>130301619_</x:v>
      </x:c>
      <x:c r="C654" s="33" t="str">
        <x:v>YCT10-00-K07-025</x:v>
      </x:c>
      <x:c r="D654" s="12" t="str">
        <x:v>Колодка клеммная CTS 25мм2 синяя IEK</x:v>
      </x:c>
      <x:c r="E654" s="11" t="str">
        <x:v>шт</x:v>
      </x:c>
      <x:c r="F654" s="35" t="n">
        <x:f>MAX(0,ROUNDDOWN((AG654-AF654)/AR654+0.000000001,0)*AR654)</x:f>
        <x:v>32</x:v>
      </x:c>
      <x:c r="G654" s="20" t="str">
        <x:f>IF(J654="Рассчитано",V654*(1-R654/100)-W654-P654-Q654,"н/д")</x:f>
        <x:v>н/д</x:v>
      </x:c>
      <x:c r="H654" s="12" t="str">
        <x:v>Высокий</x:v>
      </x:c>
      <x:c r="I654" s="12" t="str">
        <x:v>Высокий</x:v>
      </x:c>
      <x:c r="J654" s="12" t="str">
        <x:f>IF(L654="","Укажите валюту",IF(NOT(ISNUMBER(K654)),"Укажите объём",IF(K654&lt;=0,"Укажите объём",IF(K654&gt;F654,"Объём выше излишка",IF(COUNT(M654:O654)&lt;3,"Нужны цены",IF(COUNT(P654:R654)&lt;3,"Нужны расходы",IF(OR(M654&lt;0,N654&lt;0,O654&lt;0,O654&gt;100,P654&lt;0,Q654&lt;0,R654&lt;0,R654&gt;100),"Проверьте значения","Рассчитано")))))))</x:f>
        <x:v>Нужны цены</x:v>
      </x:c>
      <x:c r="K654" s="36" t="n">
        <x:v>32</x:v>
      </x:c>
      <x:c r="L654" s="19" t="str">
        <x:v>KZT</x:v>
      </x:c>
      <x:c r="M654" s="22"/>
      <x:c r="N654" s="22"/>
      <x:c r="O654" s="28"/>
      <x:c r="P654" s="22"/>
      <x:c r="Q654" s="22"/>
      <x:c r="R654" s="28"/>
      <x:c r="S654" s="22"/>
      <x:c r="T654" s="35" t="n">
        <x:f>K654</x:f>
        <x:v>32</x:v>
      </x:c>
      <x:c r="U654" s="20" t="str">
        <x:f>IF(J654="Рассчитано",N654*(1-O654/100),"н/д")</x:f>
        <x:v>н/д</x:v>
      </x:c>
      <x:c r="V654" s="20" t="str">
        <x:f>IF(J654="Рассчитано",T654*U654,"н/д")</x:f>
        <x:v>н/д</x:v>
      </x:c>
      <x:c r="W654" s="20" t="str">
        <x:f>IF(J654="Рассчитано",T654*M654,"н/д")</x:f>
        <x:v>н/д</x:v>
      </x:c>
      <x:c r="X654" s="20" t="str">
        <x:f>IF(J654="Рассчитано",V654-W654,"н/д")</x:f>
        <x:v>н/д</x:v>
      </x:c>
      <x:c r="Y654" s="26" t="str">
        <x:f>IF(J654="Рассчитано",IF(V654&gt;0,G654/V654,"н/д"),"н/д")</x:f>
        <x:v>н/д</x:v>
      </x:c>
      <x:c r="Z654" s="20" t="str">
        <x:f>"н/д"</x:f>
        <x:v>н/д</x:v>
      </x:c>
      <x:c r="AA654" s="20" t="str">
        <x:f>"н/д"</x:f>
        <x:v>н/д</x:v>
      </x:c>
      <x:c r="AB654" s="20" t="str">
        <x:f>"н/д"</x:f>
        <x:v>н/д</x:v>
      </x:c>
      <x:c r="AC654" s="20" t="str">
        <x:f>IF(AND(J654="Рассчитано",T654&gt;0,R654&lt;100),(W654+P654+Q654)/(T654*(1-R654/100)),"н/д")</x:f>
        <x:v>н/д</x:v>
      </x:c>
      <x:c r="AD654" s="11" t="str">
        <x:f>IF(ISNUMBER(G654),IF(G654&lt;0,"Убыток",IF(G654=0,"Без прибыли","Прибыль &gt; 0")),"Не оценён")</x:f>
        <x:v>Не оценён</x:v>
      </x:c>
      <x:c r="AE654" s="12" t="str">
        <x:f>IF(J654="Рассчитано","Выручка "&amp;TEXT(V654,"0.00")&amp;" - себестоимость "&amp;TEXT(W654,"0.00")&amp;" - комиссия "&amp;TEXT(V654*R654/100,"0.00")&amp;" - доставка "&amp;TEXT(P654,"0.00")&amp;" - прочие "&amp;TEXT(Q654,"0.00")&amp;" = "&amp;TEXT(G654,"0.00")&amp;" "&amp;L654,"Введите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4" s="23" t="n">
        <x:v>17.523559404756625</x:v>
      </x:c>
      <x:c r="AG654" s="35" t="n">
        <x:v>50</x:v>
      </x:c>
      <x:c r="AH654" s="35" t="n">
        <x:v>0</x:v>
      </x:c>
      <x:c r="AI654" s="29" t="n">
        <x:v>46266</x:v>
      </x:c>
      <x:c r="AJ654" s="35" t="n">
        <x:v>50</x:v>
      </x:c>
      <x:c r="AK654" s="11" t="str">
        <x:v>минимум</x:v>
      </x:c>
      <x:c r="AL654" s="31" t="n">
        <x:v>242.64241700532028</x:v>
      </x:c>
      <x:c r="AM65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54" s="12" t="str">
        <x:v>Проверить свободный остаток и установить цену для B2B</x:v>
      </x:c>
      <x:c r="AO654" s="12" t="str">
        <x:v>Остаток 50; прогноз 90 дней 17.52; избыток 32 шт. Будущие поступления не выставляются на продажу. Остаток на начало сентября: требуется актуализация.</x:v>
      </x:c>
      <x:c r="AP654" s="12" t="str">
        <x:v>["category_missing", "daily_stockout_data_missing", "large_orders_detected", "new_order_lead_time_unknown", "reservations_unknown", "stale_stock"]</x:v>
      </x:c>
      <x:c r="AQ654" s="11" t="str">
        <x:v>IEK:130301619_</x:v>
      </x:c>
      <x:c r="AR654" s="23" t="n">
        <x:v>1</x:v>
      </x:c>
      <x:c r="AS654" s="23" t="n">
        <x:v>0</x:v>
      </x:c>
      <x:c r="AT654" s="23" t="n">
        <x:v>0</x:v>
      </x:c>
    </x:row>
    <x:row r="655" ht="64" customHeight="1">
      <x:c r="A655" s="10" t="str">
        <x:v>IEK</x:v>
      </x:c>
      <x:c r="B655" s="34" t="str">
        <x:v>130301620_</x:v>
      </x:c>
      <x:c r="C655" s="34" t="str">
        <x:v>YCT10-00-K03-035</x:v>
      </x:c>
      <x:c r="D655" s="13" t="str">
        <x:v>Колодка клеммная CTS  35мм2 серая IEK</x:v>
      </x:c>
      <x:c r="E655" s="10" t="str">
        <x:v>шт</x:v>
      </x:c>
      <x:c r="F655" s="37" t="n">
        <x:f>MAX(0,ROUNDDOWN((AG655-AF655)/AR655+0.000000001,0)*AR655)</x:f>
        <x:v>36</x:v>
      </x:c>
      <x:c r="G655" s="21" t="str">
        <x:f>IF(J655="Рассчитано",V655*(1-R655/100)-W655-P655-Q655,"н/д")</x:f>
        <x:v>н/д</x:v>
      </x:c>
      <x:c r="H655" s="13" t="str">
        <x:v>Высокий</x:v>
      </x:c>
      <x:c r="I655" s="13" t="str">
        <x:v>Высокий</x:v>
      </x:c>
      <x:c r="J655" s="13" t="str">
        <x:f>IF(L655="","Укажите валюту",IF(NOT(ISNUMBER(K655)),"Укажите объём",IF(K655&lt;=0,"Укажите объём",IF(K655&gt;F655,"Объём выше излишка",IF(COUNT(M655:O655)&lt;3,"Нужны цены",IF(COUNT(P655:R655)&lt;3,"Нужны расходы",IF(OR(M655&lt;0,N655&lt;0,O655&lt;0,O655&gt;100,P655&lt;0,Q655&lt;0,R655&lt;0,R655&gt;100),"Проверьте значения","Рассчитано")))))))</x:f>
        <x:v>Нужны цены</x:v>
      </x:c>
      <x:c r="K655" s="36" t="n">
        <x:v>36</x:v>
      </x:c>
      <x:c r="L655" s="19" t="str">
        <x:v>KZT</x:v>
      </x:c>
      <x:c r="M655" s="22"/>
      <x:c r="N655" s="22"/>
      <x:c r="O655" s="28"/>
      <x:c r="P655" s="22"/>
      <x:c r="Q655" s="22"/>
      <x:c r="R655" s="28"/>
      <x:c r="S655" s="22"/>
      <x:c r="T655" s="37" t="n">
        <x:f>K655</x:f>
        <x:v>36</x:v>
      </x:c>
      <x:c r="U655" s="21" t="str">
        <x:f>IF(J655="Рассчитано",N655*(1-O655/100),"н/д")</x:f>
        <x:v>н/д</x:v>
      </x:c>
      <x:c r="V655" s="21" t="str">
        <x:f>IF(J655="Рассчитано",T655*U655,"н/д")</x:f>
        <x:v>н/д</x:v>
      </x:c>
      <x:c r="W655" s="21" t="str">
        <x:f>IF(J655="Рассчитано",T655*M655,"н/д")</x:f>
        <x:v>н/д</x:v>
      </x:c>
      <x:c r="X655" s="21" t="str">
        <x:f>IF(J655="Рассчитано",V655-W655,"н/д")</x:f>
        <x:v>н/д</x:v>
      </x:c>
      <x:c r="Y655" s="27" t="str">
        <x:f>IF(J655="Рассчитано",IF(V655&gt;0,G655/V655,"н/д"),"н/д")</x:f>
        <x:v>н/д</x:v>
      </x:c>
      <x:c r="Z655" s="21" t="str">
        <x:f>"н/д"</x:f>
        <x:v>н/д</x:v>
      </x:c>
      <x:c r="AA655" s="21" t="str">
        <x:f>"н/д"</x:f>
        <x:v>н/д</x:v>
      </x:c>
      <x:c r="AB655" s="21" t="str">
        <x:f>"н/д"</x:f>
        <x:v>н/д</x:v>
      </x:c>
      <x:c r="AC655" s="21" t="str">
        <x:f>IF(AND(J655="Рассчитано",T655&gt;0,R655&lt;100),(W655+P655+Q655)/(T655*(1-R655/100)),"н/д")</x:f>
        <x:v>н/д</x:v>
      </x:c>
      <x:c r="AD655" s="10" t="str">
        <x:f>IF(ISNUMBER(G655),IF(G655&lt;0,"Убыток",IF(G655=0,"Без прибыли","Прибыль &gt; 0")),"Не оценён")</x:f>
        <x:v>Не оценён</x:v>
      </x:c>
      <x:c r="AE655" s="13" t="str">
        <x:f>IF(J655="Рассчитано","Выручка "&amp;TEXT(V655,"0.00")&amp;" - себестоимость "&amp;TEXT(W655,"0.00")&amp;" - комиссия "&amp;TEXT(V655*R655/100,"0.00")&amp;" - доставка "&amp;TEXT(P655,"0.00")&amp;" - прочие "&amp;TEXT(Q655,"0.00")&amp;" = "&amp;TEXT(G655,"0.00")&amp;" "&amp;L655,"Введите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5" s="24" t="n">
        <x:v>21.951061468229668</x:v>
      </x:c>
      <x:c r="AG655" s="37" t="n">
        <x:v>58</x:v>
      </x:c>
      <x:c r="AH655" s="37" t="n">
        <x:v>0</x:v>
      </x:c>
      <x:c r="AI655" s="30" t="n">
        <x:v>46266</x:v>
      </x:c>
      <x:c r="AJ655" s="37" t="n">
        <x:v>50</x:v>
      </x:c>
      <x:c r="AK655" s="10" t="str">
        <x:v>минимум</x:v>
      </x:c>
      <x:c r="AL655" s="32" t="n">
        <x:v>224.6940187838341</x:v>
      </x:c>
      <x:c r="AM65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55" s="13" t="str">
        <x:v>Проверить свободный остаток и установить цену для B2B</x:v>
      </x:c>
      <x:c r="AO655" s="13" t="str">
        <x:v>Остаток 58; прогноз 90 дней 21.95; избыток 36 шт. Будущие поступления не выставляются на продажу. Остаток на начало сентября: требуется актуализация.</x:v>
      </x:c>
      <x:c r="AP655" s="13" t="str">
        <x:v>["category_missing", "daily_stockout_data_missing", "large_orders_detected", "new_order_lead_time_unknown", "reservations_unknown", "stale_stock"]</x:v>
      </x:c>
      <x:c r="AQ655" s="10" t="str">
        <x:v>IEK:130301620_</x:v>
      </x:c>
      <x:c r="AR655" s="24" t="n">
        <x:v>1</x:v>
      </x:c>
      <x:c r="AS655" s="24" t="n">
        <x:v>0</x:v>
      </x:c>
      <x:c r="AT655" s="24" t="n">
        <x:v>0</x:v>
      </x:c>
    </x:row>
    <x:row r="656" ht="64" customHeight="1">
      <x:c r="A656" s="11" t="str">
        <x:v>IEK</x:v>
      </x:c>
      <x:c r="B656" s="33" t="str">
        <x:v>130301621_</x:v>
      </x:c>
      <x:c r="C656" s="33" t="str">
        <x:v>YCT10-01-K03-035</x:v>
      </x:c>
      <x:c r="D656" s="12" t="str">
        <x:v>Колодка клеммная CTS с шестигранником 35мм2 серая IEK</x:v>
      </x:c>
      <x:c r="E656" s="11" t="str">
        <x:v>шт</x:v>
      </x:c>
      <x:c r="F656" s="35" t="n">
        <x:f>MAX(0,ROUNDDOWN((AG656-AF656)/AR656+0.000000001,0)*AR656)</x:f>
        <x:v>9</x:v>
      </x:c>
      <x:c r="G656" s="20" t="str">
        <x:f>IF(J656="Рассчитано",V656*(1-R656/100)-W656-P656-Q656,"н/д")</x:f>
        <x:v>н/д</x:v>
      </x:c>
      <x:c r="H656" s="12" t="str">
        <x:v>Высокий</x:v>
      </x:c>
      <x:c r="I656" s="12" t="str">
        <x:v>Высокий</x:v>
      </x:c>
      <x:c r="J656" s="12" t="str">
        <x:f>IF(L656="","Укажите валюту",IF(NOT(ISNUMBER(K656)),"Укажите объём",IF(K656&lt;=0,"Укажите объём",IF(K656&gt;F656,"Объём выше излишка",IF(COUNT(M656:O656)&lt;3,"Нужны цены",IF(COUNT(P656:R656)&lt;3,"Нужны расходы",IF(OR(M656&lt;0,N656&lt;0,O656&lt;0,O656&gt;100,P656&lt;0,Q656&lt;0,R656&lt;0,R656&gt;100),"Проверьте значения","Рассчитано")))))))</x:f>
        <x:v>Нужны цены</x:v>
      </x:c>
      <x:c r="K656" s="36" t="n">
        <x:v>9</x:v>
      </x:c>
      <x:c r="L656" s="19" t="str">
        <x:v>KZT</x:v>
      </x:c>
      <x:c r="M656" s="22"/>
      <x:c r="N656" s="22"/>
      <x:c r="O656" s="28"/>
      <x:c r="P656" s="22"/>
      <x:c r="Q656" s="22"/>
      <x:c r="R656" s="28"/>
      <x:c r="S656" s="22"/>
      <x:c r="T656" s="35" t="n">
        <x:f>K656</x:f>
        <x:v>9</x:v>
      </x:c>
      <x:c r="U656" s="20" t="str">
        <x:f>IF(J656="Рассчитано",N656*(1-O656/100),"н/д")</x:f>
        <x:v>н/д</x:v>
      </x:c>
      <x:c r="V656" s="20" t="str">
        <x:f>IF(J656="Рассчитано",T656*U656,"н/д")</x:f>
        <x:v>н/д</x:v>
      </x:c>
      <x:c r="W656" s="20" t="str">
        <x:f>IF(J656="Рассчитано",T656*M656,"н/д")</x:f>
        <x:v>н/д</x:v>
      </x:c>
      <x:c r="X656" s="20" t="str">
        <x:f>IF(J656="Рассчитано",V656-W656,"н/д")</x:f>
        <x:v>н/д</x:v>
      </x:c>
      <x:c r="Y656" s="26" t="str">
        <x:f>IF(J656="Рассчитано",IF(V656&gt;0,G656/V656,"н/д"),"н/д")</x:f>
        <x:v>н/д</x:v>
      </x:c>
      <x:c r="Z656" s="20" t="str">
        <x:f>"н/д"</x:f>
        <x:v>н/д</x:v>
      </x:c>
      <x:c r="AA656" s="20" t="str">
        <x:f>"н/д"</x:f>
        <x:v>н/д</x:v>
      </x:c>
      <x:c r="AB656" s="20" t="str">
        <x:f>"н/д"</x:f>
        <x:v>н/д</x:v>
      </x:c>
      <x:c r="AC656" s="20" t="str">
        <x:f>IF(AND(J656="Рассчитано",T656&gt;0,R656&lt;100),(W656+P656+Q656)/(T656*(1-R656/100)),"н/д")</x:f>
        <x:v>н/д</x:v>
      </x:c>
      <x:c r="AD656" s="11" t="str">
        <x:f>IF(ISNUMBER(G656),IF(G656&lt;0,"Убыток",IF(G656=0,"Без прибыли","Прибыль &gt; 0")),"Не оценён")</x:f>
        <x:v>Не оценён</x:v>
      </x:c>
      <x:c r="AE656" s="12" t="str">
        <x:f>IF(J656="Рассчитано","Выручка "&amp;TEXT(V656,"0.00")&amp;" - себестоимость "&amp;TEXT(W656,"0.00")&amp;" - комиссия "&amp;TEXT(V656*R656/100,"0.00")&amp;" - доставка "&amp;TEXT(P656,"0.00")&amp;" - прочие "&amp;TEXT(Q656,"0.00")&amp;" = "&amp;TEXT(G656,"0.00")&amp;" "&amp;L656,"Введите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6" s="23" t="n">
        <x:v>5.021729008299081</x:v>
      </x:c>
      <x:c r="AG656" s="35" t="n">
        <x:v>15</x:v>
      </x:c>
      <x:c r="AH656" s="35" t="n">
        <x:v>0</x:v>
      </x:c>
      <x:c r="AI656" s="29" t="n">
        <x:v>46266</x:v>
      </x:c>
      <x:c r="AJ656" s="35" t="n">
        <x:v>50</x:v>
      </x:c>
      <x:c r="AK656" s="11" t="str">
        <x:v>минимум</x:v>
      </x:c>
      <x:c r="AL656" s="31" t="n">
        <x:v>254.01363563104553</x:v>
      </x:c>
      <x:c r="AM65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56" s="12" t="str">
        <x:v>Проверить свободный остаток и установить цену для B2B</x:v>
      </x:c>
      <x:c r="AO656" s="12" t="str">
        <x:v>Остаток 15; прогноз 90 дней 5.02; избыток 9 шт. Будущие поступления не выставляются на продажу. Остаток на начало сентября: требуется актуализация.</x:v>
      </x:c>
      <x:c r="AP656" s="12" t="str">
        <x:v>["category_missing", "daily_stockout_data_missing", "new_order_lead_time_unknown", "reservations_unknown", "stale_stock"]</x:v>
      </x:c>
      <x:c r="AQ656" s="11" t="str">
        <x:v>IEK:130301621_</x:v>
      </x:c>
      <x:c r="AR656" s="23" t="n">
        <x:v>1</x:v>
      </x:c>
      <x:c r="AS656" s="23" t="n">
        <x:v>0</x:v>
      </x:c>
      <x:c r="AT656" s="23" t="n">
        <x:v>0</x:v>
      </x:c>
    </x:row>
    <x:row r="657" ht="64" customHeight="1">
      <x:c r="A657" s="10" t="str">
        <x:v>IEK</x:v>
      </x:c>
      <x:c r="B657" s="34" t="str">
        <x:v>130301622_</x:v>
      </x:c>
      <x:c r="C657" s="34" t="str">
        <x:v>YCT10-00-K07-035</x:v>
      </x:c>
      <x:c r="D657" s="13" t="str">
        <x:v>Колодка клеммная CTS  35мм2 синяя IEK</x:v>
      </x:c>
      <x:c r="E657" s="10" t="str">
        <x:v>шт</x:v>
      </x:c>
      <x:c r="F657" s="37" t="n">
        <x:f>MAX(0,ROUNDDOWN((AG657-AF657)/AR657+0.000000001,0)*AR657)</x:f>
        <x:v>28</x:v>
      </x:c>
      <x:c r="G657" s="21" t="str">
        <x:f>IF(J657="Рассчитано",V657*(1-R657/100)-W657-P657-Q657,"н/д")</x:f>
        <x:v>н/д</x:v>
      </x:c>
      <x:c r="H657" s="13" t="str">
        <x:v>Высокий</x:v>
      </x:c>
      <x:c r="I657" s="13" t="str">
        <x:v>Высокий</x:v>
      </x:c>
      <x:c r="J657" s="13" t="str">
        <x:f>IF(L657="","Укажите валюту",IF(NOT(ISNUMBER(K657)),"Укажите объём",IF(K657&lt;=0,"Укажите объём",IF(K657&gt;F657,"Объём выше излишка",IF(COUNT(M657:O657)&lt;3,"Нужны цены",IF(COUNT(P657:R657)&lt;3,"Нужны расходы",IF(OR(M657&lt;0,N657&lt;0,O657&lt;0,O657&gt;100,P657&lt;0,Q657&lt;0,R657&lt;0,R657&gt;100),"Проверьте значения","Рассчитано")))))))</x:f>
        <x:v>Нужны цены</x:v>
      </x:c>
      <x:c r="K657" s="36" t="n">
        <x:v>28</x:v>
      </x:c>
      <x:c r="L657" s="19" t="str">
        <x:v>KZT</x:v>
      </x:c>
      <x:c r="M657" s="22"/>
      <x:c r="N657" s="22"/>
      <x:c r="O657" s="28"/>
      <x:c r="P657" s="22"/>
      <x:c r="Q657" s="22"/>
      <x:c r="R657" s="28"/>
      <x:c r="S657" s="22"/>
      <x:c r="T657" s="37" t="n">
        <x:f>K657</x:f>
        <x:v>28</x:v>
      </x:c>
      <x:c r="U657" s="21" t="str">
        <x:f>IF(J657="Рассчитано",N657*(1-O657/100),"н/д")</x:f>
        <x:v>н/д</x:v>
      </x:c>
      <x:c r="V657" s="21" t="str">
        <x:f>IF(J657="Рассчитано",T657*U657,"н/д")</x:f>
        <x:v>н/д</x:v>
      </x:c>
      <x:c r="W657" s="21" t="str">
        <x:f>IF(J657="Рассчитано",T657*M657,"н/д")</x:f>
        <x:v>н/д</x:v>
      </x:c>
      <x:c r="X657" s="21" t="str">
        <x:f>IF(J657="Рассчитано",V657-W657,"н/д")</x:f>
        <x:v>н/д</x:v>
      </x:c>
      <x:c r="Y657" s="27" t="str">
        <x:f>IF(J657="Рассчитано",IF(V657&gt;0,G657/V657,"н/д"),"н/д")</x:f>
        <x:v>н/д</x:v>
      </x:c>
      <x:c r="Z657" s="21" t="str">
        <x:f>"н/д"</x:f>
        <x:v>н/д</x:v>
      </x:c>
      <x:c r="AA657" s="21" t="str">
        <x:f>"н/д"</x:f>
        <x:v>н/д</x:v>
      </x:c>
      <x:c r="AB657" s="21" t="str">
        <x:f>"н/д"</x:f>
        <x:v>н/д</x:v>
      </x:c>
      <x:c r="AC657" s="21" t="str">
        <x:f>IF(AND(J657="Рассчитано",T657&gt;0,R657&lt;100),(W657+P657+Q657)/(T657*(1-R657/100)),"н/д")</x:f>
        <x:v>н/д</x:v>
      </x:c>
      <x:c r="AD657" s="10" t="str">
        <x:f>IF(ISNUMBER(G657),IF(G657&lt;0,"Убыток",IF(G657=0,"Без прибыли","Прибыль &gt; 0")),"Не оценён")</x:f>
        <x:v>Не оценён</x:v>
      </x:c>
      <x:c r="AE657" s="13" t="str">
        <x:f>IF(J657="Рассчитано","Выручка "&amp;TEXT(V657,"0.00")&amp;" - себестоимость "&amp;TEXT(W657,"0.00")&amp;" - комиссия "&amp;TEXT(V657*R657/100,"0.00")&amp;" - доставка "&amp;TEXT(P657,"0.00")&amp;" - прочие "&amp;TEXT(Q657,"0.00")&amp;" = "&amp;TEXT(G657,"0.00")&amp;" "&amp;L657,"Введите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7" s="24" t="n">
        <x:v>0.6523831487359216</x:v>
      </x:c>
      <x:c r="AG657" s="37" t="n">
        <x:v>29</x:v>
      </x:c>
      <x:c r="AH657" s="37" t="n">
        <x:v>0</x:v>
      </x:c>
      <x:c r="AI657" s="30" t="n">
        <x:v>46266</x:v>
      </x:c>
      <x:c r="AJ657" s="37" t="n">
        <x:v>50</x:v>
      </x:c>
      <x:c r="AK657" s="10" t="str">
        <x:v>минимум</x:v>
      </x:c>
      <x:c r="AL657" s="32" t="n">
        <x:v>3780.1959074390697</x:v>
      </x:c>
      <x:c r="AM65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57" s="13" t="str">
        <x:v>Проверить свободный остаток и установить цену для B2B</x:v>
      </x:c>
      <x:c r="AO657" s="13" t="str">
        <x:v>Остаток 29; прогноз 90 дней 0.65; избыток 28 шт. Будущие поступления не выставляются на продажу. Остаток на начало сентября: требуется актуализация.</x:v>
      </x:c>
      <x:c r="AP657" s="13" t="str">
        <x:v>["category_missing", "daily_stockout_data_missing", "large_orders_detected", "new_order_lead_time_unknown", "reservations_unknown", "stale_stock"]</x:v>
      </x:c>
      <x:c r="AQ657" s="10" t="str">
        <x:v>IEK:130301622_</x:v>
      </x:c>
      <x:c r="AR657" s="24" t="n">
        <x:v>1</x:v>
      </x:c>
      <x:c r="AS657" s="24" t="n">
        <x:v>0</x:v>
      </x:c>
      <x:c r="AT657" s="24" t="n">
        <x:v>0</x:v>
      </x:c>
    </x:row>
    <x:row r="658" ht="64" customHeight="1">
      <x:c r="A658" s="11" t="str">
        <x:v>IEK</x:v>
      </x:c>
      <x:c r="B658" s="33" t="str">
        <x:v>130301624_</x:v>
      </x:c>
      <x:c r="C658" s="33" t="str">
        <x:v>YCT10-01-K03-070</x:v>
      </x:c>
      <x:c r="D658" s="12" t="str">
        <x:v>Колодка клеммная CTS с шестигранником 70мм2 серая IEK</x:v>
      </x:c>
      <x:c r="E658" s="11" t="str">
        <x:v>шт</x:v>
      </x:c>
      <x:c r="F658" s="35" t="n">
        <x:f>MAX(0,ROUNDDOWN((AG658-AF658)/AR658+0.000000001,0)*AR658)</x:f>
        <x:v>19</x:v>
      </x:c>
      <x:c r="G658" s="20" t="str">
        <x:f>IF(J658="Рассчитано",V658*(1-R658/100)-W658-P658-Q658,"н/д")</x:f>
        <x:v>н/д</x:v>
      </x:c>
      <x:c r="H658" s="12" t="str">
        <x:v>Высокий</x:v>
      </x:c>
      <x:c r="I658" s="12" t="str">
        <x:v>Высокий</x:v>
      </x:c>
      <x:c r="J658" s="12" t="str">
        <x:f>IF(L658="","Укажите валюту",IF(NOT(ISNUMBER(K658)),"Укажите объём",IF(K658&lt;=0,"Укажите объём",IF(K658&gt;F658,"Объём выше излишка",IF(COUNT(M658:O658)&lt;3,"Нужны цены",IF(COUNT(P658:R658)&lt;3,"Нужны расходы",IF(OR(M658&lt;0,N658&lt;0,O658&lt;0,O658&gt;100,P658&lt;0,Q658&lt;0,R658&lt;0,R658&gt;100),"Проверьте значения","Рассчитано")))))))</x:f>
        <x:v>Нужны цены</x:v>
      </x:c>
      <x:c r="K658" s="36" t="n">
        <x:v>19</x:v>
      </x:c>
      <x:c r="L658" s="19" t="str">
        <x:v>KZT</x:v>
      </x:c>
      <x:c r="M658" s="22"/>
      <x:c r="N658" s="22"/>
      <x:c r="O658" s="28"/>
      <x:c r="P658" s="22"/>
      <x:c r="Q658" s="22"/>
      <x:c r="R658" s="28"/>
      <x:c r="S658" s="22"/>
      <x:c r="T658" s="35" t="n">
        <x:f>K658</x:f>
        <x:v>19</x:v>
      </x:c>
      <x:c r="U658" s="20" t="str">
        <x:f>IF(J658="Рассчитано",N658*(1-O658/100),"н/д")</x:f>
        <x:v>н/д</x:v>
      </x:c>
      <x:c r="V658" s="20" t="str">
        <x:f>IF(J658="Рассчитано",T658*U658,"н/д")</x:f>
        <x:v>н/д</x:v>
      </x:c>
      <x:c r="W658" s="20" t="str">
        <x:f>IF(J658="Рассчитано",T658*M658,"н/д")</x:f>
        <x:v>н/д</x:v>
      </x:c>
      <x:c r="X658" s="20" t="str">
        <x:f>IF(J658="Рассчитано",V658-W658,"н/д")</x:f>
        <x:v>н/д</x:v>
      </x:c>
      <x:c r="Y658" s="26" t="str">
        <x:f>IF(J658="Рассчитано",IF(V658&gt;0,G658/V658,"н/д"),"н/д")</x:f>
        <x:v>н/д</x:v>
      </x:c>
      <x:c r="Z658" s="20" t="str">
        <x:f>"н/д"</x:f>
        <x:v>н/д</x:v>
      </x:c>
      <x:c r="AA658" s="20" t="str">
        <x:f>"н/д"</x:f>
        <x:v>н/д</x:v>
      </x:c>
      <x:c r="AB658" s="20" t="str">
        <x:f>"н/д"</x:f>
        <x:v>н/д</x:v>
      </x:c>
      <x:c r="AC658" s="20" t="str">
        <x:f>IF(AND(J658="Рассчитано",T658&gt;0,R658&lt;100),(W658+P658+Q658)/(T658*(1-R658/100)),"н/д")</x:f>
        <x:v>н/д</x:v>
      </x:c>
      <x:c r="AD658" s="11" t="str">
        <x:f>IF(ISNUMBER(G658),IF(G658&lt;0,"Убыток",IF(G658=0,"Без прибыли","Прибыль &gt; 0")),"Не оценён")</x:f>
        <x:v>Не оценён</x:v>
      </x:c>
      <x:c r="AE658" s="12" t="str">
        <x:f>IF(J658="Рассчитано","Выручка "&amp;TEXT(V658,"0.00")&amp;" - себестоимость "&amp;TEXT(W658,"0.00")&amp;" - комиссия "&amp;TEXT(V658*R658/100,"0.00")&amp;" - доставка "&amp;TEXT(P658,"0.00")&amp;" - прочие "&amp;TEXT(Q658,"0.00")&amp;" = "&amp;TEXT(G658,"0.00")&amp;" "&amp;L658,"Введите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8" s="23" t="n">
        <x:v>0</x:v>
      </x:c>
      <x:c r="AG658" s="35" t="n">
        <x:v>19</x:v>
      </x:c>
      <x:c r="AH658" s="35" t="n">
        <x:v>0</x:v>
      </x:c>
      <x:c r="AI658" s="29" t="n">
        <x:v>46266</x:v>
      </x:c>
      <x:c r="AJ658" s="35" t="n">
        <x:v>20</x:v>
      </x:c>
      <x:c r="AK658" s="11" t="str">
        <x:v>минимум</x:v>
      </x:c>
      <x:c r="AL658" s="31" t="str">
        <x:v>н/д</x:v>
      </x:c>
      <x:c r="AM65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58" s="12" t="str">
        <x:v>Проверить свободный остаток и установить цену для B2B</x:v>
      </x:c>
      <x:c r="AO658" s="12" t="str">
        <x:v>Остаток 19; прогноз 90 дней 0.00; избыток 19 шт. Будущие поступления не выставляются на продажу. Остаток на начало сентября: требуется актуализация.</x:v>
      </x:c>
      <x:c r="AP658" s="12" t="str">
        <x:v>["category_missing", "daily_stockout_data_missing", "new_order_lead_time_unknown", "reservations_unknown", "stale_stock"]</x:v>
      </x:c>
      <x:c r="AQ658" s="11" t="str">
        <x:v>IEK:130301624_</x:v>
      </x:c>
      <x:c r="AR658" s="23" t="n">
        <x:v>1</x:v>
      </x:c>
      <x:c r="AS658" s="23" t="n">
        <x:v>0</x:v>
      </x:c>
      <x:c r="AT658" s="23" t="n">
        <x:v>0</x:v>
      </x:c>
    </x:row>
    <x:row r="659" ht="64" customHeight="1">
      <x:c r="A659" s="10" t="str">
        <x:v>IEK</x:v>
      </x:c>
      <x:c r="B659" s="34" t="str">
        <x:v>130301626_</x:v>
      </x:c>
      <x:c r="C659" s="34" t="str">
        <x:v>YCT11-00-K52-004</x:v>
      </x:c>
      <x:c r="D659" s="13" t="str">
        <x:v>Колодка клеммная CTS-PEN земля 4мм2 желто-зеленая IEK</x:v>
      </x:c>
      <x:c r="E659" s="10" t="str">
        <x:v>шт</x:v>
      </x:c>
      <x:c r="F659" s="37" t="n">
        <x:f>MAX(0,ROUNDDOWN((AG659-AF659)/AR659+0.000000001,0)*AR659)</x:f>
        <x:v>134</x:v>
      </x:c>
      <x:c r="G659" s="21" t="str">
        <x:f>IF(J659="Рассчитано",V659*(1-R659/100)-W659-P659-Q659,"н/д")</x:f>
        <x:v>н/д</x:v>
      </x:c>
      <x:c r="H659" s="13" t="str">
        <x:v>Высокий</x:v>
      </x:c>
      <x:c r="I659" s="13" t="str">
        <x:v>Высокий</x:v>
      </x:c>
      <x:c r="J659" s="13" t="str">
        <x:f>IF(L659="","Укажите валюту",IF(NOT(ISNUMBER(K659)),"Укажите объём",IF(K659&lt;=0,"Укажите объём",IF(K659&gt;F659,"Объём выше излишка",IF(COUNT(M659:O659)&lt;3,"Нужны цены",IF(COUNT(P659:R659)&lt;3,"Нужны расходы",IF(OR(M659&lt;0,N659&lt;0,O659&lt;0,O659&gt;100,P659&lt;0,Q659&lt;0,R659&lt;0,R659&gt;100),"Проверьте значения","Рассчитано")))))))</x:f>
        <x:v>Нужны цены</x:v>
      </x:c>
      <x:c r="K659" s="36" t="n">
        <x:v>134</x:v>
      </x:c>
      <x:c r="L659" s="19" t="str">
        <x:v>KZT</x:v>
      </x:c>
      <x:c r="M659" s="22"/>
      <x:c r="N659" s="22"/>
      <x:c r="O659" s="28"/>
      <x:c r="P659" s="22"/>
      <x:c r="Q659" s="22"/>
      <x:c r="R659" s="28"/>
      <x:c r="S659" s="22"/>
      <x:c r="T659" s="37" t="n">
        <x:f>K659</x:f>
        <x:v>134</x:v>
      </x:c>
      <x:c r="U659" s="21" t="str">
        <x:f>IF(J659="Рассчитано",N659*(1-O659/100),"н/д")</x:f>
        <x:v>н/д</x:v>
      </x:c>
      <x:c r="V659" s="21" t="str">
        <x:f>IF(J659="Рассчитано",T659*U659,"н/д")</x:f>
        <x:v>н/д</x:v>
      </x:c>
      <x:c r="W659" s="21" t="str">
        <x:f>IF(J659="Рассчитано",T659*M659,"н/д")</x:f>
        <x:v>н/д</x:v>
      </x:c>
      <x:c r="X659" s="21" t="str">
        <x:f>IF(J659="Рассчитано",V659-W659,"н/д")</x:f>
        <x:v>н/д</x:v>
      </x:c>
      <x:c r="Y659" s="27" t="str">
        <x:f>IF(J659="Рассчитано",IF(V659&gt;0,G659/V659,"н/д"),"н/д")</x:f>
        <x:v>н/д</x:v>
      </x:c>
      <x:c r="Z659" s="21" t="str">
        <x:f>"н/д"</x:f>
        <x:v>н/д</x:v>
      </x:c>
      <x:c r="AA659" s="21" t="str">
        <x:f>"н/д"</x:f>
        <x:v>н/д</x:v>
      </x:c>
      <x:c r="AB659" s="21" t="str">
        <x:f>"н/д"</x:f>
        <x:v>н/д</x:v>
      </x:c>
      <x:c r="AC659" s="21" t="str">
        <x:f>IF(AND(J659="Рассчитано",T659&gt;0,R659&lt;100),(W659+P659+Q659)/(T659*(1-R659/100)),"н/д")</x:f>
        <x:v>н/д</x:v>
      </x:c>
      <x:c r="AD659" s="10" t="str">
        <x:f>IF(ISNUMBER(G659),IF(G659&lt;0,"Убыток",IF(G659=0,"Без прибыли","Прибыль &gt; 0")),"Не оценён")</x:f>
        <x:v>Не оценён</x:v>
      </x:c>
      <x:c r="AE659" s="13" t="str">
        <x:f>IF(J659="Рассчитано","Выручка "&amp;TEXT(V659,"0.00")&amp;" - себестоимость "&amp;TEXT(W659,"0.00")&amp;" - комиссия "&amp;TEXT(V659*R659/100,"0.00")&amp;" - доставка "&amp;TEXT(P659,"0.00")&amp;" - прочие "&amp;TEXT(Q659,"0.00")&amp;" = "&amp;TEXT(G659,"0.00")&amp;" "&amp;L659,"Введите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9" s="24" t="n">
        <x:v>44.71908090955941</x:v>
      </x:c>
      <x:c r="AG659" s="37" t="n">
        <x:v>179</x:v>
      </x:c>
      <x:c r="AH659" s="37" t="n">
        <x:v>0</x:v>
      </x:c>
      <x:c r="AI659" s="30" t="n">
        <x:v>46266</x:v>
      </x:c>
      <x:c r="AJ659" s="37" t="n">
        <x:v>50</x:v>
      </x:c>
      <x:c r="AK659" s="10" t="str">
        <x:v>минимум</x:v>
      </x:c>
      <x:c r="AL659" s="32" t="n">
        <x:v>340.39189144424375</x:v>
      </x:c>
      <x:c r="AM65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59" s="13" t="str">
        <x:v>Проверить свободный остаток и установить цену для B2B</x:v>
      </x:c>
      <x:c r="AO659" s="13" t="str">
        <x:v>Остаток 179; прогноз 90 дней 44.72; избыток 134 шт. Будущие поступления не выставляются на продажу. Остаток на начало сентября: требуется актуализация.</x:v>
      </x:c>
      <x:c r="AP659" s="13" t="str">
        <x:v>["category_missing", "daily_stockout_data_missing", "large_orders_detected", "new_order_lead_time_unknown", "reservations_unknown", "stale_stock"]</x:v>
      </x:c>
      <x:c r="AQ659" s="10" t="str">
        <x:v>IEK:130301626_</x:v>
      </x:c>
      <x:c r="AR659" s="24" t="n">
        <x:v>1</x:v>
      </x:c>
      <x:c r="AS659" s="24" t="n">
        <x:v>0</x:v>
      </x:c>
      <x:c r="AT659" s="24" t="n">
        <x:v>0</x:v>
      </x:c>
    </x:row>
    <x:row r="660" ht="64" customHeight="1">
      <x:c r="A660" s="11" t="str">
        <x:v>IEK</x:v>
      </x:c>
      <x:c r="B660" s="33" t="str">
        <x:v>130301627_</x:v>
      </x:c>
      <x:c r="C660" s="33" t="str">
        <x:v>YCT11-00-K52-006</x:v>
      </x:c>
      <x:c r="D660" s="12" t="str">
        <x:v>Колодка клеммная CTS-PEN земля 6мм2 желто-зеленая IEK</x:v>
      </x:c>
      <x:c r="E660" s="11" t="str">
        <x:v>шт</x:v>
      </x:c>
      <x:c r="F660" s="35" t="n">
        <x:f>MAX(0,ROUNDDOWN((AG660-AF660)/AR660+0.000000001,0)*AR660)</x:f>
        <x:v>66</x:v>
      </x:c>
      <x:c r="G660" s="20" t="str">
        <x:f>IF(J660="Рассчитано",V660*(1-R660/100)-W660-P660-Q660,"н/д")</x:f>
        <x:v>н/д</x:v>
      </x:c>
      <x:c r="H660" s="12" t="str">
        <x:v>Высокий</x:v>
      </x:c>
      <x:c r="I660" s="12" t="str">
        <x:v>Высокий</x:v>
      </x:c>
      <x:c r="J660" s="12" t="str">
        <x:f>IF(L660="","Укажите валюту",IF(NOT(ISNUMBER(K660)),"Укажите объём",IF(K660&lt;=0,"Укажите объём",IF(K660&gt;F660,"Объём выше излишка",IF(COUNT(M660:O660)&lt;3,"Нужны цены",IF(COUNT(P660:R660)&lt;3,"Нужны расходы",IF(OR(M660&lt;0,N660&lt;0,O660&lt;0,O660&gt;100,P660&lt;0,Q660&lt;0,R660&lt;0,R660&gt;100),"Проверьте значения","Рассчитано")))))))</x:f>
        <x:v>Нужны цены</x:v>
      </x:c>
      <x:c r="K660" s="36" t="n">
        <x:v>66</x:v>
      </x:c>
      <x:c r="L660" s="19" t="str">
        <x:v>KZT</x:v>
      </x:c>
      <x:c r="M660" s="22"/>
      <x:c r="N660" s="22"/>
      <x:c r="O660" s="28"/>
      <x:c r="P660" s="22"/>
      <x:c r="Q660" s="22"/>
      <x:c r="R660" s="28"/>
      <x:c r="S660" s="22"/>
      <x:c r="T660" s="35" t="n">
        <x:f>K660</x:f>
        <x:v>66</x:v>
      </x:c>
      <x:c r="U660" s="20" t="str">
        <x:f>IF(J660="Рассчитано",N660*(1-O660/100),"н/д")</x:f>
        <x:v>н/д</x:v>
      </x:c>
      <x:c r="V660" s="20" t="str">
        <x:f>IF(J660="Рассчитано",T660*U660,"н/д")</x:f>
        <x:v>н/д</x:v>
      </x:c>
      <x:c r="W660" s="20" t="str">
        <x:f>IF(J660="Рассчитано",T660*M660,"н/д")</x:f>
        <x:v>н/д</x:v>
      </x:c>
      <x:c r="X660" s="20" t="str">
        <x:f>IF(J660="Рассчитано",V660-W660,"н/д")</x:f>
        <x:v>н/д</x:v>
      </x:c>
      <x:c r="Y660" s="26" t="str">
        <x:f>IF(J660="Рассчитано",IF(V660&gt;0,G660/V660,"н/д"),"н/д")</x:f>
        <x:v>н/д</x:v>
      </x:c>
      <x:c r="Z660" s="20" t="str">
        <x:f>"н/д"</x:f>
        <x:v>н/д</x:v>
      </x:c>
      <x:c r="AA660" s="20" t="str">
        <x:f>"н/д"</x:f>
        <x:v>н/д</x:v>
      </x:c>
      <x:c r="AB660" s="20" t="str">
        <x:f>"н/д"</x:f>
        <x:v>н/д</x:v>
      </x:c>
      <x:c r="AC660" s="20" t="str">
        <x:f>IF(AND(J660="Рассчитано",T660&gt;0,R660&lt;100),(W660+P660+Q660)/(T660*(1-R660/100)),"н/д")</x:f>
        <x:v>н/д</x:v>
      </x:c>
      <x:c r="AD660" s="11" t="str">
        <x:f>IF(ISNUMBER(G660),IF(G660&lt;0,"Убыток",IF(G660=0,"Без прибыли","Прибыль &gt; 0")),"Не оценён")</x:f>
        <x:v>Не оценён</x:v>
      </x:c>
      <x:c r="AE660" s="12" t="str">
        <x:f>IF(J660="Рассчитано","Выручка "&amp;TEXT(V660,"0.00")&amp;" - себестоимость "&amp;TEXT(W660,"0.00")&amp;" - комиссия "&amp;TEXT(V660*R660/100,"0.00")&amp;" - доставка "&amp;TEXT(P660,"0.00")&amp;" - прочие "&amp;TEXT(Q660,"0.00")&amp;" = "&amp;TEXT(G660,"0.00")&amp;" "&amp;L660,"Введите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0" s="23" t="n">
        <x:v>3.889052673507035</x:v>
      </x:c>
      <x:c r="AG660" s="35" t="n">
        <x:v>70</x:v>
      </x:c>
      <x:c r="AH660" s="35" t="n">
        <x:v>0</x:v>
      </x:c>
      <x:c r="AI660" s="29" t="n">
        <x:v>46266</x:v>
      </x:c>
      <x:c r="AJ660" s="35" t="n">
        <x:v>50</x:v>
      </x:c>
      <x:c r="AK660" s="11" t="str">
        <x:v>минимум</x:v>
      </x:c>
      <x:c r="AL660" s="31" t="n">
        <x:v>1530.6407065299607</x:v>
      </x:c>
      <x:c r="AM6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60" s="12" t="str">
        <x:v>Проверить свободный остаток и установить цену для B2B</x:v>
      </x:c>
      <x:c r="AO660" s="12" t="str">
        <x:v>Остаток 70; прогноз 90 дней 3.89; избыток 66 шт. Будущие поступления не выставляются на продажу. Остаток на начало сентября: требуется актуализация.</x:v>
      </x:c>
      <x:c r="AP660" s="12" t="str">
        <x:v>["category_missing", "daily_stockout_data_missing", "new_order_lead_time_unknown", "reservations_unknown", "stale_stock"]</x:v>
      </x:c>
      <x:c r="AQ660" s="11" t="str">
        <x:v>IEK:130301627_</x:v>
      </x:c>
      <x:c r="AR660" s="23" t="n">
        <x:v>1</x:v>
      </x:c>
      <x:c r="AS660" s="23" t="n">
        <x:v>0</x:v>
      </x:c>
      <x:c r="AT660" s="23" t="n">
        <x:v>0</x:v>
      </x:c>
    </x:row>
    <x:row r="661" ht="64" customHeight="1">
      <x:c r="A661" s="10" t="str">
        <x:v>IEK</x:v>
      </x:c>
      <x:c r="B661" s="34" t="str">
        <x:v>130301628_</x:v>
      </x:c>
      <x:c r="C661" s="34" t="str">
        <x:v>YCT11-00-K52-010</x:v>
      </x:c>
      <x:c r="D661" s="13" t="str">
        <x:v>Колодка клеммная CTS-PEN земля 10мм2 желто-зеленая IEK</x:v>
      </x:c>
      <x:c r="E661" s="10" t="str">
        <x:v>шт</x:v>
      </x:c>
      <x:c r="F661" s="37" t="n">
        <x:f>MAX(0,ROUNDDOWN((AG661-AF661)/AR661+0.000000001,0)*AR661)</x:f>
        <x:v>35</x:v>
      </x:c>
      <x:c r="G661" s="21" t="str">
        <x:f>IF(J661="Рассчитано",V661*(1-R661/100)-W661-P661-Q661,"н/д")</x:f>
        <x:v>н/д</x:v>
      </x:c>
      <x:c r="H661" s="13" t="str">
        <x:v>Высокий</x:v>
      </x:c>
      <x:c r="I661" s="13" t="str">
        <x:v>Высокий</x:v>
      </x:c>
      <x:c r="J661" s="13" t="str">
        <x:f>IF(L661="","Укажите валюту",IF(NOT(ISNUMBER(K661)),"Укажите объём",IF(K661&lt;=0,"Укажите объём",IF(K661&gt;F661,"Объём выше излишка",IF(COUNT(M661:O661)&lt;3,"Нужны цены",IF(COUNT(P661:R661)&lt;3,"Нужны расходы",IF(OR(M661&lt;0,N661&lt;0,O661&lt;0,O661&gt;100,P661&lt;0,Q661&lt;0,R661&lt;0,R661&gt;100),"Проверьте значения","Рассчитано")))))))</x:f>
        <x:v>Нужны цены</x:v>
      </x:c>
      <x:c r="K661" s="36" t="n">
        <x:v>35</x:v>
      </x:c>
      <x:c r="L661" s="19" t="str">
        <x:v>KZT</x:v>
      </x:c>
      <x:c r="M661" s="22"/>
      <x:c r="N661" s="22"/>
      <x:c r="O661" s="28"/>
      <x:c r="P661" s="22"/>
      <x:c r="Q661" s="22"/>
      <x:c r="R661" s="28"/>
      <x:c r="S661" s="22"/>
      <x:c r="T661" s="37" t="n">
        <x:f>K661</x:f>
        <x:v>35</x:v>
      </x:c>
      <x:c r="U661" s="21" t="str">
        <x:f>IF(J661="Рассчитано",N661*(1-O661/100),"н/д")</x:f>
        <x:v>н/д</x:v>
      </x:c>
      <x:c r="V661" s="21" t="str">
        <x:f>IF(J661="Рассчитано",T661*U661,"н/д")</x:f>
        <x:v>н/д</x:v>
      </x:c>
      <x:c r="W661" s="21" t="str">
        <x:f>IF(J661="Рассчитано",T661*M661,"н/д")</x:f>
        <x:v>н/д</x:v>
      </x:c>
      <x:c r="X661" s="21" t="str">
        <x:f>IF(J661="Рассчитано",V661-W661,"н/д")</x:f>
        <x:v>н/д</x:v>
      </x:c>
      <x:c r="Y661" s="27" t="str">
        <x:f>IF(J661="Рассчитано",IF(V661&gt;0,G661/V661,"н/д"),"н/д")</x:f>
        <x:v>н/д</x:v>
      </x:c>
      <x:c r="Z661" s="21" t="str">
        <x:f>"н/д"</x:f>
        <x:v>н/д</x:v>
      </x:c>
      <x:c r="AA661" s="21" t="str">
        <x:f>"н/д"</x:f>
        <x:v>н/д</x:v>
      </x:c>
      <x:c r="AB661" s="21" t="str">
        <x:f>"н/д"</x:f>
        <x:v>н/д</x:v>
      </x:c>
      <x:c r="AC661" s="21" t="str">
        <x:f>IF(AND(J661="Рассчитано",T661&gt;0,R661&lt;100),(W661+P661+Q661)/(T661*(1-R661/100)),"н/д")</x:f>
        <x:v>н/д</x:v>
      </x:c>
      <x:c r="AD661" s="10" t="str">
        <x:f>IF(ISNUMBER(G661),IF(G661&lt;0,"Убыток",IF(G661=0,"Без прибыли","Прибыль &gt; 0")),"Не оценён")</x:f>
        <x:v>Не оценён</x:v>
      </x:c>
      <x:c r="AE661" s="13" t="str">
        <x:f>IF(J661="Рассчитано","Выручка "&amp;TEXT(V661,"0.00")&amp;" - себестоимость "&amp;TEXT(W661,"0.00")&amp;" - комиссия "&amp;TEXT(V661*R661/100,"0.00")&amp;" - доставка "&amp;TEXT(P661,"0.00")&amp;" - прочие "&amp;TEXT(Q661,"0.00")&amp;" = "&amp;TEXT(G661,"0.00")&amp;" "&amp;L661,"Введите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1" s="24" t="n">
        <x:v>9.982883559495358</x:v>
      </x:c>
      <x:c r="AG661" s="37" t="n">
        <x:v>45</x:v>
      </x:c>
      <x:c r="AH661" s="37" t="n">
        <x:v>0</x:v>
      </x:c>
      <x:c r="AI661" s="30" t="n">
        <x:v>46266</x:v>
      </x:c>
      <x:c r="AJ661" s="37" t="n">
        <x:v>50</x:v>
      </x:c>
      <x:c r="AK661" s="10" t="str">
        <x:v>минимум</x:v>
      </x:c>
      <x:c r="AL661" s="32" t="n">
        <x:v>383.3324214240617</x:v>
      </x:c>
      <x:c r="AM661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661" s="13" t="str">
        <x:v>Проверить свободный остаток и установить цену для B2B</x:v>
      </x:c>
      <x:c r="AO661" s="13" t="str">
        <x:v>Остаток 45; прогноз 90 дней 9.98; избыток 35 шт. Будущие поступления не выставляются на продажу. Остаток на начало сентября: требуется актуализация.</x:v>
      </x:c>
      <x:c r="AP661" s="13" t="str">
        <x:v>["category_missing", "daily_stockout_data_missing", "large_orders_detected", "new_order_lead_time_unknown", "reservations_unknown", "stale_stock", "stockout_proxy_used"]</x:v>
      </x:c>
      <x:c r="AQ661" s="10" t="str">
        <x:v>IEK:130301628_</x:v>
      </x:c>
      <x:c r="AR661" s="24" t="n">
        <x:v>1</x:v>
      </x:c>
      <x:c r="AS661" s="24" t="n">
        <x:v>0</x:v>
      </x:c>
      <x:c r="AT661" s="24" t="n">
        <x:v>0</x:v>
      </x:c>
    </x:row>
    <x:row r="662" ht="64" customHeight="1">
      <x:c r="A662" s="11" t="str">
        <x:v>IEK</x:v>
      </x:c>
      <x:c r="B662" s="33" t="str">
        <x:v>130301629_</x:v>
      </x:c>
      <x:c r="C662" s="33" t="str">
        <x:v>YCT11-00-K52-016</x:v>
      </x:c>
      <x:c r="D662" s="12" t="str">
        <x:v>Колодка клеммная CTS-PEN земля 16мм2 желто-зеленая IEK</x:v>
      </x:c>
      <x:c r="E662" s="11" t="str">
        <x:v>шт</x:v>
      </x:c>
      <x:c r="F662" s="35" t="n">
        <x:f>MAX(0,ROUNDDOWN((AG662-AF662)/AR662+0.000000001,0)*AR662)</x:f>
        <x:v>48</x:v>
      </x:c>
      <x:c r="G662" s="20" t="str">
        <x:f>IF(J662="Рассчитано",V662*(1-R662/100)-W662-P662-Q662,"н/д")</x:f>
        <x:v>н/д</x:v>
      </x:c>
      <x:c r="H662" s="12" t="str">
        <x:v>Высокий</x:v>
      </x:c>
      <x:c r="I662" s="12" t="str">
        <x:v>Высокий</x:v>
      </x:c>
      <x:c r="J662" s="12" t="str">
        <x:f>IF(L662="","Укажите валюту",IF(NOT(ISNUMBER(K662)),"Укажите объём",IF(K662&lt;=0,"Укажите объём",IF(K662&gt;F662,"Объём выше излишка",IF(COUNT(M662:O662)&lt;3,"Нужны цены",IF(COUNT(P662:R662)&lt;3,"Нужны расходы",IF(OR(M662&lt;0,N662&lt;0,O662&lt;0,O662&gt;100,P662&lt;0,Q662&lt;0,R662&lt;0,R662&gt;100),"Проверьте значения","Рассчитано")))))))</x:f>
        <x:v>Нужны цены</x:v>
      </x:c>
      <x:c r="K662" s="36" t="n">
        <x:v>48</x:v>
      </x:c>
      <x:c r="L662" s="19" t="str">
        <x:v>KZT</x:v>
      </x:c>
      <x:c r="M662" s="22"/>
      <x:c r="N662" s="22"/>
      <x:c r="O662" s="28"/>
      <x:c r="P662" s="22"/>
      <x:c r="Q662" s="22"/>
      <x:c r="R662" s="28"/>
      <x:c r="S662" s="22"/>
      <x:c r="T662" s="35" t="n">
        <x:f>K662</x:f>
        <x:v>48</x:v>
      </x:c>
      <x:c r="U662" s="20" t="str">
        <x:f>IF(J662="Рассчитано",N662*(1-O662/100),"н/д")</x:f>
        <x:v>н/д</x:v>
      </x:c>
      <x:c r="V662" s="20" t="str">
        <x:f>IF(J662="Рассчитано",T662*U662,"н/д")</x:f>
        <x:v>н/д</x:v>
      </x:c>
      <x:c r="W662" s="20" t="str">
        <x:f>IF(J662="Рассчитано",T662*M662,"н/д")</x:f>
        <x:v>н/д</x:v>
      </x:c>
      <x:c r="X662" s="20" t="str">
        <x:f>IF(J662="Рассчитано",V662-W662,"н/д")</x:f>
        <x:v>н/д</x:v>
      </x:c>
      <x:c r="Y662" s="26" t="str">
        <x:f>IF(J662="Рассчитано",IF(V662&gt;0,G662/V662,"н/д"),"н/д")</x:f>
        <x:v>н/д</x:v>
      </x:c>
      <x:c r="Z662" s="20" t="str">
        <x:f>"н/д"</x:f>
        <x:v>н/д</x:v>
      </x:c>
      <x:c r="AA662" s="20" t="str">
        <x:f>"н/д"</x:f>
        <x:v>н/д</x:v>
      </x:c>
      <x:c r="AB662" s="20" t="str">
        <x:f>"н/д"</x:f>
        <x:v>н/д</x:v>
      </x:c>
      <x:c r="AC662" s="20" t="str">
        <x:f>IF(AND(J662="Рассчитано",T662&gt;0,R662&lt;100),(W662+P662+Q662)/(T662*(1-R662/100)),"н/д")</x:f>
        <x:v>н/д</x:v>
      </x:c>
      <x:c r="AD662" s="11" t="str">
        <x:f>IF(ISNUMBER(G662),IF(G662&lt;0,"Убыток",IF(G662=0,"Без прибыли","Прибыль &gt; 0")),"Не оценён")</x:f>
        <x:v>Не оценён</x:v>
      </x:c>
      <x:c r="AE662" s="12" t="str">
        <x:f>IF(J662="Рассчитано","Выручка "&amp;TEXT(V662,"0.00")&amp;" - себестоимость "&amp;TEXT(W662,"0.00")&amp;" - комиссия "&amp;TEXT(V662*R662/100,"0.00")&amp;" - доставка "&amp;TEXT(P662,"0.00")&amp;" - прочие "&amp;TEXT(Q662,"0.00")&amp;" = "&amp;TEXT(G662,"0.00")&amp;" "&amp;L662,"Введите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2" s="23" t="n">
        <x:v>3.526251555216788</x:v>
      </x:c>
      <x:c r="AG662" s="35" t="n">
        <x:v>52</x:v>
      </x:c>
      <x:c r="AH662" s="35" t="n">
        <x:v>0</x:v>
      </x:c>
      <x:c r="AI662" s="29" t="n">
        <x:v>46266</x:v>
      </x:c>
      <x:c r="AJ662" s="35" t="n">
        <x:v>50</x:v>
      </x:c>
      <x:c r="AK662" s="11" t="str">
        <x:v>минимум</x:v>
      </x:c>
      <x:c r="AL662" s="31" t="n">
        <x:v>1254.033381227351</x:v>
      </x:c>
      <x:c r="AM66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62" s="12" t="str">
        <x:v>Проверить свободный остаток и установить цену для B2B</x:v>
      </x:c>
      <x:c r="AO662" s="12" t="str">
        <x:v>Остаток 52; прогноз 90 дней 3.53; избыток 48 шт. Будущие поступления не выставляются на продажу. Остаток на начало сентября: требуется актуализация.</x:v>
      </x:c>
      <x:c r="AP662" s="12" t="str">
        <x:v>["category_missing", "daily_stockout_data_missing", "large_orders_detected", "new_order_lead_time_unknown", "reservations_unknown", "stale_stock"]</x:v>
      </x:c>
      <x:c r="AQ662" s="11" t="str">
        <x:v>IEK:130301629_</x:v>
      </x:c>
      <x:c r="AR662" s="23" t="n">
        <x:v>1</x:v>
      </x:c>
      <x:c r="AS662" s="23" t="n">
        <x:v>0</x:v>
      </x:c>
      <x:c r="AT662" s="23" t="n">
        <x:v>0</x:v>
      </x:c>
    </x:row>
    <x:row r="663" ht="64" customHeight="1">
      <x:c r="A663" s="10" t="str">
        <x:v>IEK</x:v>
      </x:c>
      <x:c r="B663" s="34" t="str">
        <x:v>130301630_</x:v>
      </x:c>
      <x:c r="C663" s="34" t="str">
        <x:v>YCT11-02-K52-035</x:v>
      </x:c>
      <x:c r="D663" s="13" t="str">
        <x:v>Колодка клеммная CTS-PEN земля монтаж неск. напр. 35мм2 IEK</x:v>
      </x:c>
      <x:c r="E663" s="10" t="str">
        <x:v>шт</x:v>
      </x:c>
      <x:c r="F663" s="37" t="n">
        <x:f>MAX(0,ROUNDDOWN((AG663-AF663)/AR663+0.000000001,0)*AR663)</x:f>
        <x:v>7</x:v>
      </x:c>
      <x:c r="G663" s="21" t="str">
        <x:f>IF(J663="Рассчитано",V663*(1-R663/100)-W663-P663-Q663,"н/д")</x:f>
        <x:v>н/д</x:v>
      </x:c>
      <x:c r="H663" s="13" t="str">
        <x:v>Высокий</x:v>
      </x:c>
      <x:c r="I663" s="13" t="str">
        <x:v>Высокий</x:v>
      </x:c>
      <x:c r="J663" s="13" t="str">
        <x:f>IF(L663="","Укажите валюту",IF(NOT(ISNUMBER(K663)),"Укажите объём",IF(K663&lt;=0,"Укажите объём",IF(K663&gt;F663,"Объём выше излишка",IF(COUNT(M663:O663)&lt;3,"Нужны цены",IF(COUNT(P663:R663)&lt;3,"Нужны расходы",IF(OR(M663&lt;0,N663&lt;0,O663&lt;0,O663&gt;100,P663&lt;0,Q663&lt;0,R663&lt;0,R663&gt;100),"Проверьте значения","Рассчитано")))))))</x:f>
        <x:v>Нужны цены</x:v>
      </x:c>
      <x:c r="K663" s="36" t="n">
        <x:v>7</x:v>
      </x:c>
      <x:c r="L663" s="19" t="str">
        <x:v>KZT</x:v>
      </x:c>
      <x:c r="M663" s="22"/>
      <x:c r="N663" s="22"/>
      <x:c r="O663" s="28"/>
      <x:c r="P663" s="22"/>
      <x:c r="Q663" s="22"/>
      <x:c r="R663" s="28"/>
      <x:c r="S663" s="22"/>
      <x:c r="T663" s="37" t="n">
        <x:f>K663</x:f>
        <x:v>7</x:v>
      </x:c>
      <x:c r="U663" s="21" t="str">
        <x:f>IF(J663="Рассчитано",N663*(1-O663/100),"н/д")</x:f>
        <x:v>н/д</x:v>
      </x:c>
      <x:c r="V663" s="21" t="str">
        <x:f>IF(J663="Рассчитано",T663*U663,"н/д")</x:f>
        <x:v>н/д</x:v>
      </x:c>
      <x:c r="W663" s="21" t="str">
        <x:f>IF(J663="Рассчитано",T663*M663,"н/д")</x:f>
        <x:v>н/д</x:v>
      </x:c>
      <x:c r="X663" s="21" t="str">
        <x:f>IF(J663="Рассчитано",V663-W663,"н/д")</x:f>
        <x:v>н/д</x:v>
      </x:c>
      <x:c r="Y663" s="27" t="str">
        <x:f>IF(J663="Рассчитано",IF(V663&gt;0,G663/V663,"н/д"),"н/д")</x:f>
        <x:v>н/д</x:v>
      </x:c>
      <x:c r="Z663" s="21" t="str">
        <x:f>"н/д"</x:f>
        <x:v>н/д</x:v>
      </x:c>
      <x:c r="AA663" s="21" t="str">
        <x:f>"н/д"</x:f>
        <x:v>н/д</x:v>
      </x:c>
      <x:c r="AB663" s="21" t="str">
        <x:f>"н/д"</x:f>
        <x:v>н/д</x:v>
      </x:c>
      <x:c r="AC663" s="21" t="str">
        <x:f>IF(AND(J663="Рассчитано",T663&gt;0,R663&lt;100),(W663+P663+Q663)/(T663*(1-R663/100)),"н/д")</x:f>
        <x:v>н/д</x:v>
      </x:c>
      <x:c r="AD663" s="10" t="str">
        <x:f>IF(ISNUMBER(G663),IF(G663&lt;0,"Убыток",IF(G663=0,"Без прибыли","Прибыль &gt; 0")),"Не оценён")</x:f>
        <x:v>Не оценён</x:v>
      </x:c>
      <x:c r="AE663" s="13" t="str">
        <x:f>IF(J663="Рассчитано","Выручка "&amp;TEXT(V663,"0.00")&amp;" - себестоимость "&amp;TEXT(W663,"0.00")&amp;" - комиссия "&amp;TEXT(V663*R663/100,"0.00")&amp;" - доставка "&amp;TEXT(P663,"0.00")&amp;" - прочие "&amp;TEXT(Q663,"0.00")&amp;" = "&amp;TEXT(G663,"0.00")&amp;" "&amp;L663,"Введите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3" s="24" t="n">
        <x:v>6.033089416158461</x:v>
      </x:c>
      <x:c r="AG663" s="37" t="n">
        <x:v>14</x:v>
      </x:c>
      <x:c r="AH663" s="37" t="n">
        <x:v>0</x:v>
      </x:c>
      <x:c r="AI663" s="30" t="n">
        <x:v>46266</x:v>
      </x:c>
      <x:c r="AJ663" s="37" t="n">
        <x:v>20</x:v>
      </x:c>
      <x:c r="AK663" s="10" t="str">
        <x:v>минимум</x:v>
      </x:c>
      <x:c r="AL663" s="32" t="n">
        <x:v>197.3364530605417</x:v>
      </x:c>
      <x:c r="AM6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63" s="13" t="str">
        <x:v>Проверить свободный остаток и установить цену для B2B</x:v>
      </x:c>
      <x:c r="AO663" s="13" t="str">
        <x:v>Остаток 14; прогноз 90 дней 6.03; избыток 7 шт. Будущие поступления не выставляются на продажу. Остаток на начало сентября: требуется актуализация.</x:v>
      </x:c>
      <x:c r="AP663" s="13" t="str">
        <x:v>["category_missing", "daily_stockout_data_missing", "new_order_lead_time_unknown", "reservations_unknown", "stale_stock"]</x:v>
      </x:c>
      <x:c r="AQ663" s="10" t="str">
        <x:v>IEK:130301630_</x:v>
      </x:c>
      <x:c r="AR663" s="24" t="n">
        <x:v>1</x:v>
      </x:c>
      <x:c r="AS663" s="24" t="n">
        <x:v>0</x:v>
      </x:c>
      <x:c r="AT663" s="24" t="n">
        <x:v>0</x:v>
      </x:c>
    </x:row>
    <x:row r="664" ht="64" customHeight="1">
      <x:c r="A664" s="11" t="str">
        <x:v>IEK</x:v>
      </x:c>
      <x:c r="B664" s="33" t="str">
        <x:v>130301631_</x:v>
      </x:c>
      <x:c r="C664" s="33" t="str">
        <x:v>YCT13-00-2-K03-004</x:v>
      </x:c>
      <x:c r="D664" s="12" t="str">
        <x:v>Колодка клеммная CTS-ML 2 ур. 4мм2 серая IEK</x:v>
      </x:c>
      <x:c r="E664" s="11" t="str">
        <x:v>шт</x:v>
      </x:c>
      <x:c r="F664" s="35" t="n">
        <x:f>MAX(0,ROUNDDOWN((AG664-AF664)/AR664+0.000000001,0)*AR664)</x:f>
        <x:v>150</x:v>
      </x:c>
      <x:c r="G664" s="20" t="str">
        <x:f>IF(J664="Рассчитано",V664*(1-R664/100)-W664-P664-Q664,"н/д")</x:f>
        <x:v>н/д</x:v>
      </x:c>
      <x:c r="H664" s="12" t="str">
        <x:v>Высокий</x:v>
      </x:c>
      <x:c r="I664" s="12" t="str">
        <x:v>Высокий</x:v>
      </x:c>
      <x:c r="J664" s="12" t="str">
        <x:f>IF(L664="","Укажите валюту",IF(NOT(ISNUMBER(K664)),"Укажите объём",IF(K664&lt;=0,"Укажите объём",IF(K664&gt;F664,"Объём выше излишка",IF(COUNT(M664:O664)&lt;3,"Нужны цены",IF(COUNT(P664:R664)&lt;3,"Нужны расходы",IF(OR(M664&lt;0,N664&lt;0,O664&lt;0,O664&gt;100,P664&lt;0,Q664&lt;0,R664&lt;0,R664&gt;100),"Проверьте значения","Рассчитано")))))))</x:f>
        <x:v>Нужны цены</x:v>
      </x:c>
      <x:c r="K664" s="36" t="n">
        <x:v>150</x:v>
      </x:c>
      <x:c r="L664" s="19" t="str">
        <x:v>KZT</x:v>
      </x:c>
      <x:c r="M664" s="22"/>
      <x:c r="N664" s="22"/>
      <x:c r="O664" s="28"/>
      <x:c r="P664" s="22"/>
      <x:c r="Q664" s="22"/>
      <x:c r="R664" s="28"/>
      <x:c r="S664" s="22"/>
      <x:c r="T664" s="35" t="n">
        <x:f>K664</x:f>
        <x:v>150</x:v>
      </x:c>
      <x:c r="U664" s="20" t="str">
        <x:f>IF(J664="Рассчитано",N664*(1-O664/100),"н/д")</x:f>
        <x:v>н/д</x:v>
      </x:c>
      <x:c r="V664" s="20" t="str">
        <x:f>IF(J664="Рассчитано",T664*U664,"н/д")</x:f>
        <x:v>н/д</x:v>
      </x:c>
      <x:c r="W664" s="20" t="str">
        <x:f>IF(J664="Рассчитано",T664*M664,"н/д")</x:f>
        <x:v>н/д</x:v>
      </x:c>
      <x:c r="X664" s="20" t="str">
        <x:f>IF(J664="Рассчитано",V664-W664,"н/д")</x:f>
        <x:v>н/д</x:v>
      </x:c>
      <x:c r="Y664" s="26" t="str">
        <x:f>IF(J664="Рассчитано",IF(V664&gt;0,G664/V664,"н/д"),"н/д")</x:f>
        <x:v>н/д</x:v>
      </x:c>
      <x:c r="Z664" s="20" t="str">
        <x:f>"н/д"</x:f>
        <x:v>н/д</x:v>
      </x:c>
      <x:c r="AA664" s="20" t="str">
        <x:f>"н/д"</x:f>
        <x:v>н/д</x:v>
      </x:c>
      <x:c r="AB664" s="20" t="str">
        <x:f>"н/д"</x:f>
        <x:v>н/д</x:v>
      </x:c>
      <x:c r="AC664" s="20" t="str">
        <x:f>IF(AND(J664="Рассчитано",T664&gt;0,R664&lt;100),(W664+P664+Q664)/(T664*(1-R664/100)),"н/д")</x:f>
        <x:v>н/д</x:v>
      </x:c>
      <x:c r="AD664" s="11" t="str">
        <x:f>IF(ISNUMBER(G664),IF(G664&lt;0,"Убыток",IF(G664=0,"Без прибыли","Прибыль &gt; 0")),"Не оценён")</x:f>
        <x:v>Не оценён</x:v>
      </x:c>
      <x:c r="AE664" s="12" t="str">
        <x:f>IF(J664="Рассчитано","Выручка "&amp;TEXT(V664,"0.00")&amp;" - себестоимость "&amp;TEXT(W664,"0.00")&amp;" - комиссия "&amp;TEXT(V664*R664/100,"0.00")&amp;" - доставка "&amp;TEXT(P664,"0.00")&amp;" - прочие "&amp;TEXT(Q664,"0.00")&amp;" = "&amp;TEXT(G664,"0.00")&amp;" "&amp;L664,"Введите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4" s="23" t="n">
        <x:v>5.489752527451211</x:v>
      </x:c>
      <x:c r="AG664" s="35" t="n">
        <x:v>156</x:v>
      </x:c>
      <x:c r="AH664" s="35" t="n">
        <x:v>0</x:v>
      </x:c>
      <x:c r="AI664" s="29" t="n">
        <x:v>46266</x:v>
      </x:c>
      <x:c r="AJ664" s="35" t="n">
        <x:v>100</x:v>
      </x:c>
      <x:c r="AK664" s="11" t="str">
        <x:v>минимум</x:v>
      </x:c>
      <x:c r="AL664" s="31" t="n">
        <x:v>2416.5226786095864</x:v>
      </x:c>
      <x:c r="AM66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64" s="12" t="str">
        <x:v>Проверить свободный остаток и установить цену для B2B</x:v>
      </x:c>
      <x:c r="AO664" s="12" t="str">
        <x:v>Остаток 156; прогноз 90 дней 5.49; избыток 150 шт. Будущие поступления не выставляются на продажу. Остаток на начало сентября: требуется актуализация.</x:v>
      </x:c>
      <x:c r="AP664" s="12" t="str">
        <x:v>["category_missing", "daily_stockout_data_missing", "new_order_lead_time_unknown", "reservations_unknown", "stale_stock"]</x:v>
      </x:c>
      <x:c r="AQ664" s="11" t="str">
        <x:v>IEK:130301631_</x:v>
      </x:c>
      <x:c r="AR664" s="23" t="n">
        <x:v>1</x:v>
      </x:c>
      <x:c r="AS664" s="23" t="n">
        <x:v>0</x:v>
      </x:c>
      <x:c r="AT664" s="23" t="n">
        <x:v>0</x:v>
      </x:c>
    </x:row>
    <x:row r="665" ht="64" customHeight="1">
      <x:c r="A665" s="10" t="str">
        <x:v>IEK</x:v>
      </x:c>
      <x:c r="B665" s="34" t="str">
        <x:v>130301633_</x:v>
      </x:c>
      <x:c r="C665" s="34" t="str">
        <x:v>YCT14-00-K03-004</x:v>
      </x:c>
      <x:c r="D665" s="13" t="str">
        <x:v>Колодка клеммная CTS-F с предохранителем 4мм2 серая IEK</x:v>
      </x:c>
      <x:c r="E665" s="10" t="str">
        <x:v>шт</x:v>
      </x:c>
      <x:c r="F665" s="37" t="n">
        <x:f>MAX(0,ROUNDDOWN((AG665-AF665)/AR665+0.000000001,0)*AR665)</x:f>
        <x:v>55</x:v>
      </x:c>
      <x:c r="G665" s="21" t="str">
        <x:f>IF(J665="Рассчитано",V665*(1-R665/100)-W665-P665-Q665,"н/д")</x:f>
        <x:v>н/д</x:v>
      </x:c>
      <x:c r="H665" s="13" t="str">
        <x:v>Высокий</x:v>
      </x:c>
      <x:c r="I665" s="13" t="str">
        <x:v>Высокий</x:v>
      </x:c>
      <x:c r="J665" s="13" t="str">
        <x:f>IF(L665="","Укажите валюту",IF(NOT(ISNUMBER(K665)),"Укажите объём",IF(K665&lt;=0,"Укажите объём",IF(K665&gt;F665,"Объём выше излишка",IF(COUNT(M665:O665)&lt;3,"Нужны цены",IF(COUNT(P665:R665)&lt;3,"Нужны расходы",IF(OR(M665&lt;0,N665&lt;0,O665&lt;0,O665&gt;100,P665&lt;0,Q665&lt;0,R665&lt;0,R665&gt;100),"Проверьте значения","Рассчитано")))))))</x:f>
        <x:v>Нужны цены</x:v>
      </x:c>
      <x:c r="K665" s="36" t="n">
        <x:v>55</x:v>
      </x:c>
      <x:c r="L665" s="19" t="str">
        <x:v>KZT</x:v>
      </x:c>
      <x:c r="M665" s="22"/>
      <x:c r="N665" s="22"/>
      <x:c r="O665" s="28"/>
      <x:c r="P665" s="22"/>
      <x:c r="Q665" s="22"/>
      <x:c r="R665" s="28"/>
      <x:c r="S665" s="22"/>
      <x:c r="T665" s="37" t="n">
        <x:f>K665</x:f>
        <x:v>55</x:v>
      </x:c>
      <x:c r="U665" s="21" t="str">
        <x:f>IF(J665="Рассчитано",N665*(1-O665/100),"н/д")</x:f>
        <x:v>н/д</x:v>
      </x:c>
      <x:c r="V665" s="21" t="str">
        <x:f>IF(J665="Рассчитано",T665*U665,"н/д")</x:f>
        <x:v>н/д</x:v>
      </x:c>
      <x:c r="W665" s="21" t="str">
        <x:f>IF(J665="Рассчитано",T665*M665,"н/д")</x:f>
        <x:v>н/д</x:v>
      </x:c>
      <x:c r="X665" s="21" t="str">
        <x:f>IF(J665="Рассчитано",V665-W665,"н/д")</x:f>
        <x:v>н/д</x:v>
      </x:c>
      <x:c r="Y665" s="27" t="str">
        <x:f>IF(J665="Рассчитано",IF(V665&gt;0,G665/V665,"н/д"),"н/д")</x:f>
        <x:v>н/д</x:v>
      </x:c>
      <x:c r="Z665" s="21" t="str">
        <x:f>"н/д"</x:f>
        <x:v>н/д</x:v>
      </x:c>
      <x:c r="AA665" s="21" t="str">
        <x:f>"н/д"</x:f>
        <x:v>н/д</x:v>
      </x:c>
      <x:c r="AB665" s="21" t="str">
        <x:f>"н/д"</x:f>
        <x:v>н/д</x:v>
      </x:c>
      <x:c r="AC665" s="21" t="str">
        <x:f>IF(AND(J665="Рассчитано",T665&gt;0,R665&lt;100),(W665+P665+Q665)/(T665*(1-R665/100)),"н/д")</x:f>
        <x:v>н/д</x:v>
      </x:c>
      <x:c r="AD665" s="10" t="str">
        <x:f>IF(ISNUMBER(G665),IF(G665&lt;0,"Убыток",IF(G665=0,"Без прибыли","Прибыль &gt; 0")),"Не оценён")</x:f>
        <x:v>Не оценён</x:v>
      </x:c>
      <x:c r="AE665" s="13" t="str">
        <x:f>IF(J665="Рассчитано","Выручка "&amp;TEXT(V665,"0.00")&amp;" - себестоимость "&amp;TEXT(W665,"0.00")&amp;" - комиссия "&amp;TEXT(V665*R665/100,"0.00")&amp;" - доставка "&amp;TEXT(P665,"0.00")&amp;" - прочие "&amp;TEXT(Q665,"0.00")&amp;" = "&amp;TEXT(G665,"0.00")&amp;" "&amp;L665,"Введите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5" s="24" t="n">
        <x:v>2.561158562437744</x:v>
      </x:c>
      <x:c r="AG665" s="37" t="n">
        <x:v>58</x:v>
      </x:c>
      <x:c r="AH665" s="37" t="n">
        <x:v>0</x:v>
      </x:c>
      <x:c r="AI665" s="30" t="n">
        <x:v>46266</x:v>
      </x:c>
      <x:c r="AJ665" s="37" t="n">
        <x:v>100</x:v>
      </x:c>
      <x:c r="AK665" s="10" t="str">
        <x:v>минимум</x:v>
      </x:c>
      <x:c r="AL665" s="32" t="n">
        <x:v>1925.7972896347687</x:v>
      </x:c>
      <x:c r="AM6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65" s="13" t="str">
        <x:v>Проверить свободный остаток и установить цену для B2B</x:v>
      </x:c>
      <x:c r="AO665" s="13" t="str">
        <x:v>Остаток 58; прогноз 90 дней 2.56; избыток 55 шт. Будущие поступления не выставляются на продажу. Остаток на начало сентября: требуется актуализация.</x:v>
      </x:c>
      <x:c r="AP665" s="13" t="str">
        <x:v>["category_missing", "daily_stockout_data_missing", "new_order_lead_time_unknown", "reservations_unknown", "stale_stock"]</x:v>
      </x:c>
      <x:c r="AQ665" s="10" t="str">
        <x:v>IEK:130301633_</x:v>
      </x:c>
      <x:c r="AR665" s="24" t="n">
        <x:v>1</x:v>
      </x:c>
      <x:c r="AS665" s="24" t="n">
        <x:v>0</x:v>
      </x:c>
      <x:c r="AT665" s="24" t="n">
        <x:v>0</x:v>
      </x:c>
    </x:row>
    <x:row r="666" ht="64" customHeight="1">
      <x:c r="A666" s="11" t="str">
        <x:v>IEK</x:v>
      </x:c>
      <x:c r="B666" s="33" t="str">
        <x:v>130301638_</x:v>
      </x:c>
      <x:c r="C666" s="33" t="str">
        <x:v>YCT22-00-3-K03-002</x:v>
      </x:c>
      <x:c r="D666" s="12" t="str">
        <x:v>Колодка клеммная CP-MC 3 вывода 2,5мм2 серая IEK</x:v>
      </x:c>
      <x:c r="E666" s="11" t="str">
        <x:v>шт</x:v>
      </x:c>
      <x:c r="F666" s="35" t="n">
        <x:f>MAX(0,ROUNDDOWN((AG666-AF666)/AR666+0.000000001,0)*AR666)</x:f>
        <x:v>67</x:v>
      </x:c>
      <x:c r="G666" s="20" t="str">
        <x:f>IF(J666="Рассчитано",V666*(1-R666/100)-W666-P666-Q666,"н/д")</x:f>
        <x:v>н/д</x:v>
      </x:c>
      <x:c r="H666" s="12" t="str">
        <x:v>Высокий</x:v>
      </x:c>
      <x:c r="I666" s="12" t="str">
        <x:v>Высокий</x:v>
      </x:c>
      <x:c r="J666" s="12" t="str">
        <x:f>IF(L666="","Укажите валюту",IF(NOT(ISNUMBER(K666)),"Укажите объём",IF(K666&lt;=0,"Укажите объём",IF(K666&gt;F666,"Объём выше излишка",IF(COUNT(M666:O666)&lt;3,"Нужны цены",IF(COUNT(P666:R666)&lt;3,"Нужны расходы",IF(OR(M666&lt;0,N666&lt;0,O666&lt;0,O666&gt;100,P666&lt;0,Q666&lt;0,R666&lt;0,R666&gt;100),"Проверьте значения","Рассчитано")))))))</x:f>
        <x:v>Нужны цены</x:v>
      </x:c>
      <x:c r="K666" s="36" t="n">
        <x:v>67</x:v>
      </x:c>
      <x:c r="L666" s="19" t="str">
        <x:v>KZT</x:v>
      </x:c>
      <x:c r="M666" s="22"/>
      <x:c r="N666" s="22"/>
      <x:c r="O666" s="28"/>
      <x:c r="P666" s="22"/>
      <x:c r="Q666" s="22"/>
      <x:c r="R666" s="28"/>
      <x:c r="S666" s="22"/>
      <x:c r="T666" s="35" t="n">
        <x:f>K666</x:f>
        <x:v>67</x:v>
      </x:c>
      <x:c r="U666" s="20" t="str">
        <x:f>IF(J666="Рассчитано",N666*(1-O666/100),"н/д")</x:f>
        <x:v>н/д</x:v>
      </x:c>
      <x:c r="V666" s="20" t="str">
        <x:f>IF(J666="Рассчитано",T666*U666,"н/д")</x:f>
        <x:v>н/д</x:v>
      </x:c>
      <x:c r="W666" s="20" t="str">
        <x:f>IF(J666="Рассчитано",T666*M666,"н/д")</x:f>
        <x:v>н/д</x:v>
      </x:c>
      <x:c r="X666" s="20" t="str">
        <x:f>IF(J666="Рассчитано",V666-W666,"н/д")</x:f>
        <x:v>н/д</x:v>
      </x:c>
      <x:c r="Y666" s="26" t="str">
        <x:f>IF(J666="Рассчитано",IF(V666&gt;0,G666/V666,"н/д"),"н/д")</x:f>
        <x:v>н/д</x:v>
      </x:c>
      <x:c r="Z666" s="20" t="str">
        <x:f>"н/д"</x:f>
        <x:v>н/д</x:v>
      </x:c>
      <x:c r="AA666" s="20" t="str">
        <x:f>"н/д"</x:f>
        <x:v>н/д</x:v>
      </x:c>
      <x:c r="AB666" s="20" t="str">
        <x:f>"н/д"</x:f>
        <x:v>н/д</x:v>
      </x:c>
      <x:c r="AC666" s="20" t="str">
        <x:f>IF(AND(J666="Рассчитано",T666&gt;0,R666&lt;100),(W666+P666+Q666)/(T666*(1-R666/100)),"н/д")</x:f>
        <x:v>н/д</x:v>
      </x:c>
      <x:c r="AD666" s="11" t="str">
        <x:f>IF(ISNUMBER(G666),IF(G666&lt;0,"Убыток",IF(G666=0,"Без прибыли","Прибыль &gt; 0")),"Не оценён")</x:f>
        <x:v>Не оценён</x:v>
      </x:c>
      <x:c r="AE666" s="12" t="str">
        <x:f>IF(J666="Рассчитано","Выручка "&amp;TEXT(V666,"0.00")&amp;" - себестоимость "&amp;TEXT(W666,"0.00")&amp;" - комиссия "&amp;TEXT(V666*R666/100,"0.00")&amp;" - доставка "&amp;TEXT(P666,"0.00")&amp;" - прочие "&amp;TEXT(Q666,"0.00")&amp;" = "&amp;TEXT(G666,"0.00")&amp;" "&amp;L666,"Введите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6" s="23" t="n">
        <x:v>19.950191755691776</x:v>
      </x:c>
      <x:c r="AG666" s="35" t="n">
        <x:v>87</x:v>
      </x:c>
      <x:c r="AH666" s="35" t="n">
        <x:v>0</x:v>
      </x:c>
      <x:c r="AI666" s="29" t="n">
        <x:v>46266</x:v>
      </x:c>
      <x:c r="AJ666" s="35" t="n">
        <x:v>100</x:v>
      </x:c>
      <x:c r="AK666" s="11" t="str">
        <x:v>минимум</x:v>
      </x:c>
      <x:c r="AL666" s="31" t="n">
        <x:v>370.84397069469156</x:v>
      </x:c>
      <x:c r="AM66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66" s="12" t="str">
        <x:v>Проверить свободный остаток и установить цену для B2B</x:v>
      </x:c>
      <x:c r="AO666" s="12" t="str">
        <x:v>Остаток 87; прогноз 90 дней 19.95; избыток 67 шт. Будущие поступления не выставляются на продажу. Остаток на начало сентября: требуется актуализация.</x:v>
      </x:c>
      <x:c r="AP666" s="12" t="str">
        <x:v>["category_missing", "daily_stockout_data_missing", "new_order_lead_time_unknown", "reservations_unknown", "stale_stock"]</x:v>
      </x:c>
      <x:c r="AQ666" s="11" t="str">
        <x:v>IEK:130301638_</x:v>
      </x:c>
      <x:c r="AR666" s="23" t="n">
        <x:v>1</x:v>
      </x:c>
      <x:c r="AS666" s="23" t="n">
        <x:v>0</x:v>
      </x:c>
      <x:c r="AT666" s="23" t="n">
        <x:v>0</x:v>
      </x:c>
    </x:row>
    <x:row r="667" ht="64" customHeight="1">
      <x:c r="A667" s="10" t="str">
        <x:v>IEK</x:v>
      </x:c>
      <x:c r="B667" s="34" t="str">
        <x:v>130301641_</x:v>
      </x:c>
      <x:c r="C667" s="34" t="str">
        <x:v>YCT21-00-K52-002</x:v>
      </x:c>
      <x:c r="D667" s="13" t="str">
        <x:v>Колодка клеммная CP-PEN земля 2,5мм2 желто-зеленая IEK</x:v>
      </x:c>
      <x:c r="E667" s="10" t="str">
        <x:v>шт</x:v>
      </x:c>
      <x:c r="F667" s="37" t="n">
        <x:f>MAX(0,ROUNDDOWN((AG667-AF667)/AR667+0.000000001,0)*AR667)</x:f>
        <x:v>25</x:v>
      </x:c>
      <x:c r="G667" s="21" t="str">
        <x:f>IF(J667="Рассчитано",V667*(1-R667/100)-W667-P667-Q667,"н/д")</x:f>
        <x:v>н/д</x:v>
      </x:c>
      <x:c r="H667" s="13" t="str">
        <x:v>Высокий</x:v>
      </x:c>
      <x:c r="I667" s="13" t="str">
        <x:v>Средний</x:v>
      </x:c>
      <x:c r="J667" s="13" t="str">
        <x:f>IF(L667="","Укажите валюту",IF(NOT(ISNUMBER(K667)),"Укажите объём",IF(K667&lt;=0,"Укажите объём",IF(K667&gt;F667,"Объём выше излишка",IF(COUNT(M667:O667)&lt;3,"Нужны цены",IF(COUNT(P667:R667)&lt;3,"Нужны расходы",IF(OR(M667&lt;0,N667&lt;0,O667&lt;0,O667&gt;100,P667&lt;0,Q667&lt;0,R667&lt;0,R667&gt;100),"Проверьте значения","Рассчитано")))))))</x:f>
        <x:v>Нужны цены</x:v>
      </x:c>
      <x:c r="K667" s="36" t="n">
        <x:v>25</x:v>
      </x:c>
      <x:c r="L667" s="19" t="str">
        <x:v>KZT</x:v>
      </x:c>
      <x:c r="M667" s="22"/>
      <x:c r="N667" s="22"/>
      <x:c r="O667" s="28"/>
      <x:c r="P667" s="22"/>
      <x:c r="Q667" s="22"/>
      <x:c r="R667" s="28"/>
      <x:c r="S667" s="22"/>
      <x:c r="T667" s="37" t="n">
        <x:f>K667</x:f>
        <x:v>25</x:v>
      </x:c>
      <x:c r="U667" s="21" t="str">
        <x:f>IF(J667="Рассчитано",N667*(1-O667/100),"н/д")</x:f>
        <x:v>н/д</x:v>
      </x:c>
      <x:c r="V667" s="21" t="str">
        <x:f>IF(J667="Рассчитано",T667*U667,"н/д")</x:f>
        <x:v>н/д</x:v>
      </x:c>
      <x:c r="W667" s="21" t="str">
        <x:f>IF(J667="Рассчитано",T667*M667,"н/д")</x:f>
        <x:v>н/д</x:v>
      </x:c>
      <x:c r="X667" s="21" t="str">
        <x:f>IF(J667="Рассчитано",V667-W667,"н/д")</x:f>
        <x:v>н/д</x:v>
      </x:c>
      <x:c r="Y667" s="27" t="str">
        <x:f>IF(J667="Рассчитано",IF(V667&gt;0,G667/V667,"н/д"),"н/д")</x:f>
        <x:v>н/д</x:v>
      </x:c>
      <x:c r="Z667" s="21" t="str">
        <x:f>"н/д"</x:f>
        <x:v>н/д</x:v>
      </x:c>
      <x:c r="AA667" s="21" t="str">
        <x:f>"н/д"</x:f>
        <x:v>н/д</x:v>
      </x:c>
      <x:c r="AB667" s="21" t="str">
        <x:f>"н/д"</x:f>
        <x:v>н/д</x:v>
      </x:c>
      <x:c r="AC667" s="21" t="str">
        <x:f>IF(AND(J667="Рассчитано",T667&gt;0,R667&lt;100),(W667+P667+Q667)/(T667*(1-R667/100)),"н/д")</x:f>
        <x:v>н/д</x:v>
      </x:c>
      <x:c r="AD667" s="10" t="str">
        <x:f>IF(ISNUMBER(G667),IF(G667&lt;0,"Убыток",IF(G667=0,"Без прибыли","Прибыль &gt; 0")),"Не оценён")</x:f>
        <x:v>Не оценён</x:v>
      </x:c>
      <x:c r="AE667" s="13" t="str">
        <x:f>IF(J667="Рассчитано","Выручка "&amp;TEXT(V667,"0.00")&amp;" - себестоимость "&amp;TEXT(W667,"0.00")&amp;" - комиссия "&amp;TEXT(V667*R667/100,"0.00")&amp;" - доставка "&amp;TEXT(P667,"0.00")&amp;" - прочие "&amp;TEXT(Q667,"0.00")&amp;" = "&amp;TEXT(G667,"0.00")&amp;" "&amp;L667,"Введите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7" s="24" t="n">
        <x:v>25.71139440634486</x:v>
      </x:c>
      <x:c r="AG667" s="37" t="n">
        <x:v>51</x:v>
      </x:c>
      <x:c r="AH667" s="37" t="n">
        <x:v>0</x:v>
      </x:c>
      <x:c r="AI667" s="30" t="n">
        <x:v>46266</x:v>
      </x:c>
      <x:c r="AJ667" s="37" t="n">
        <x:v>100</x:v>
      </x:c>
      <x:c r="AK667" s="10" t="str">
        <x:v>минимум</x:v>
      </x:c>
      <x:c r="AL667" s="32" t="n">
        <x:v>168.6799990748976</x:v>
      </x:c>
      <x:c r="AM667" s="13" t="str">
        <x:v>Остаток на начало сентября; Резервы неизвестны; Нет ежедневных данных доступности. Запас выше прогноза на 90 дней</x:v>
      </x:c>
      <x:c r="AN667" s="13" t="str">
        <x:v>Проверить свободный остаток и установить цену для B2B</x:v>
      </x:c>
      <x:c r="AO667" s="13" t="str">
        <x:v>Остаток 51; прогноз 90 дней 25.71; избыток 25 шт. Будущие поступления не выставляются на продажу. Остаток на начало сентября: требуется актуализация.</x:v>
      </x:c>
      <x:c r="AP667" s="13" t="str">
        <x:v>["category_missing", "daily_stockout_data_missing", "new_order_lead_time_unknown", "reservations_unknown", "stale_stock"]</x:v>
      </x:c>
      <x:c r="AQ667" s="10" t="str">
        <x:v>IEK:130301641_</x:v>
      </x:c>
      <x:c r="AR667" s="24" t="n">
        <x:v>1</x:v>
      </x:c>
      <x:c r="AS667" s="24" t="n">
        <x:v>0</x:v>
      </x:c>
      <x:c r="AT667" s="24" t="n">
        <x:v>0</x:v>
      </x:c>
    </x:row>
    <x:row r="668" ht="64" customHeight="1">
      <x:c r="A668" s="11" t="str">
        <x:v>IEK</x:v>
      </x:c>
      <x:c r="B668" s="33" t="str">
        <x:v>130301642_</x:v>
      </x:c>
      <x:c r="C668" s="33" t="str">
        <x:v>YCT22-03-3-K52-002</x:v>
      </x:c>
      <x:c r="D668" s="12" t="str">
        <x:v>Колодка клеммная CP-MC-PEN земля 3 вывода 2,5мм2 IEK</x:v>
      </x:c>
      <x:c r="E668" s="11" t="str">
        <x:v>шт</x:v>
      </x:c>
      <x:c r="F668" s="35" t="n">
        <x:f>MAX(0,ROUNDDOWN((AG668-AF668)/AR668+0.000000001,0)*AR668)</x:f>
        <x:v>88</x:v>
      </x:c>
      <x:c r="G668" s="20" t="str">
        <x:f>IF(J668="Рассчитано",V668*(1-R668/100)-W668-P668-Q668,"н/д")</x:f>
        <x:v>н/д</x:v>
      </x:c>
      <x:c r="H668" s="12" t="str">
        <x:v>Высокий</x:v>
      </x:c>
      <x:c r="I668" s="12" t="str">
        <x:v>Высокий</x:v>
      </x:c>
      <x:c r="J668" s="12" t="str">
        <x:f>IF(L668="","Укажите валюту",IF(NOT(ISNUMBER(K668)),"Укажите объём",IF(K668&lt;=0,"Укажите объём",IF(K668&gt;F668,"Объём выше излишка",IF(COUNT(M668:O668)&lt;3,"Нужны цены",IF(COUNT(P668:R668)&lt;3,"Нужны расходы",IF(OR(M668&lt;0,N668&lt;0,O668&lt;0,O668&gt;100,P668&lt;0,Q668&lt;0,R668&lt;0,R668&gt;100),"Проверьте значения","Рассчитано")))))))</x:f>
        <x:v>Нужны цены</x:v>
      </x:c>
      <x:c r="K668" s="36" t="n">
        <x:v>88</x:v>
      </x:c>
      <x:c r="L668" s="19" t="str">
        <x:v>KZT</x:v>
      </x:c>
      <x:c r="M668" s="22"/>
      <x:c r="N668" s="22"/>
      <x:c r="O668" s="28"/>
      <x:c r="P668" s="22"/>
      <x:c r="Q668" s="22"/>
      <x:c r="R668" s="28"/>
      <x:c r="S668" s="22"/>
      <x:c r="T668" s="35" t="n">
        <x:f>K668</x:f>
        <x:v>88</x:v>
      </x:c>
      <x:c r="U668" s="20" t="str">
        <x:f>IF(J668="Рассчитано",N668*(1-O668/100),"н/д")</x:f>
        <x:v>н/д</x:v>
      </x:c>
      <x:c r="V668" s="20" t="str">
        <x:f>IF(J668="Рассчитано",T668*U668,"н/д")</x:f>
        <x:v>н/д</x:v>
      </x:c>
      <x:c r="W668" s="20" t="str">
        <x:f>IF(J668="Рассчитано",T668*M668,"н/д")</x:f>
        <x:v>н/д</x:v>
      </x:c>
      <x:c r="X668" s="20" t="str">
        <x:f>IF(J668="Рассчитано",V668-W668,"н/д")</x:f>
        <x:v>н/д</x:v>
      </x:c>
      <x:c r="Y668" s="26" t="str">
        <x:f>IF(J668="Рассчитано",IF(V668&gt;0,G668/V668,"н/д"),"н/д")</x:f>
        <x:v>н/д</x:v>
      </x:c>
      <x:c r="Z668" s="20" t="str">
        <x:f>"н/д"</x:f>
        <x:v>н/д</x:v>
      </x:c>
      <x:c r="AA668" s="20" t="str">
        <x:f>"н/д"</x:f>
        <x:v>н/д</x:v>
      </x:c>
      <x:c r="AB668" s="20" t="str">
        <x:f>"н/д"</x:f>
        <x:v>н/д</x:v>
      </x:c>
      <x:c r="AC668" s="20" t="str">
        <x:f>IF(AND(J668="Рассчитано",T668&gt;0,R668&lt;100),(W668+P668+Q668)/(T668*(1-R668/100)),"н/д")</x:f>
        <x:v>н/д</x:v>
      </x:c>
      <x:c r="AD668" s="11" t="str">
        <x:f>IF(ISNUMBER(G668),IF(G668&lt;0,"Убыток",IF(G668=0,"Без прибыли","Прибыль &gt; 0")),"Не оценён")</x:f>
        <x:v>Не оценён</x:v>
      </x:c>
      <x:c r="AE668" s="12" t="str">
        <x:f>IF(J668="Рассчитано","Выручка "&amp;TEXT(V668,"0.00")&amp;" - себестоимость "&amp;TEXT(W668,"0.00")&amp;" - комиссия "&amp;TEXT(V668*R668/100,"0.00")&amp;" - доставка "&amp;TEXT(P668,"0.00")&amp;" - прочие "&amp;TEXT(Q668,"0.00")&amp;" = "&amp;TEXT(G668,"0.00")&amp;" "&amp;L668,"Введите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8" s="23" t="n">
        <x:v>1.0758727254321898</x:v>
      </x:c>
      <x:c r="AG668" s="35" t="n">
        <x:v>90</x:v>
      </x:c>
      <x:c r="AH668" s="35" t="n">
        <x:v>0</x:v>
      </x:c>
      <x:c r="AI668" s="29" t="n">
        <x:v>46266</x:v>
      </x:c>
      <x:c r="AJ668" s="35" t="n">
        <x:v>100</x:v>
      </x:c>
      <x:c r="AK668" s="11" t="str">
        <x:v>минимум</x:v>
      </x:c>
      <x:c r="AL668" s="31" t="n">
        <x:v>7113.783698008612</x:v>
      </x:c>
      <x:c r="AM66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68" s="12" t="str">
        <x:v>Проверить свободный остаток и установить цену для B2B</x:v>
      </x:c>
      <x:c r="AO668" s="12" t="str">
        <x:v>Остаток 90; прогноз 90 дней 1.08; избыток 88 шт. Будущие поступления не выставляются на продажу. Остаток на начало сентября: требуется актуализация.</x:v>
      </x:c>
      <x:c r="AP668" s="12" t="str">
        <x:v>["category_missing", "daily_stockout_data_missing", "new_order_lead_time_unknown", "reservations_unknown", "stale_stock"]</x:v>
      </x:c>
      <x:c r="AQ668" s="11" t="str">
        <x:v>IEK:130301642_</x:v>
      </x:c>
      <x:c r="AR668" s="23" t="n">
        <x:v>1</x:v>
      </x:c>
      <x:c r="AS668" s="23" t="n">
        <x:v>0</x:v>
      </x:c>
      <x:c r="AT668" s="23" t="n">
        <x:v>0</x:v>
      </x:c>
    </x:row>
    <x:row r="669" ht="64" customHeight="1">
      <x:c r="A669" s="10" t="str">
        <x:v>IEK</x:v>
      </x:c>
      <x:c r="B669" s="34" t="str">
        <x:v>130301644_</x:v>
      </x:c>
      <x:c r="C669" s="34" t="str">
        <x:v>YCT10-00-K03-002-ZGL</x:v>
      </x:c>
      <x:c r="D669" s="13" t="str">
        <x:v>Заглушка для CTS 2,5/4мм2 серая IEK</x:v>
      </x:c>
      <x:c r="E669" s="10" t="str">
        <x:v>шт</x:v>
      </x:c>
      <x:c r="F669" s="37" t="n">
        <x:f>MAX(0,ROUNDDOWN((AG669-AF669)/AR669+0.000000001,0)*AR669)</x:f>
        <x:v>99</x:v>
      </x:c>
      <x:c r="G669" s="21" t="str">
        <x:f>IF(J669="Рассчитано",V669*(1-R669/100)-W669-P669-Q669,"н/д")</x:f>
        <x:v>н/д</x:v>
      </x:c>
      <x:c r="H669" s="13" t="str">
        <x:v>Высокий</x:v>
      </x:c>
      <x:c r="I669" s="13" t="str">
        <x:v>Высокий</x:v>
      </x:c>
      <x:c r="J669" s="13" t="str">
        <x:f>IF(L669="","Укажите валюту",IF(NOT(ISNUMBER(K669)),"Укажите объём",IF(K669&lt;=0,"Укажите объём",IF(K669&gt;F669,"Объём выше излишка",IF(COUNT(M669:O669)&lt;3,"Нужны цены",IF(COUNT(P669:R669)&lt;3,"Нужны расходы",IF(OR(M669&lt;0,N669&lt;0,O669&lt;0,O669&gt;100,P669&lt;0,Q669&lt;0,R669&lt;0,R669&gt;100),"Проверьте значения","Рассчитано")))))))</x:f>
        <x:v>Нужны цены</x:v>
      </x:c>
      <x:c r="K669" s="36" t="n">
        <x:v>99</x:v>
      </x:c>
      <x:c r="L669" s="19" t="str">
        <x:v>KZT</x:v>
      </x:c>
      <x:c r="M669" s="22"/>
      <x:c r="N669" s="22"/>
      <x:c r="O669" s="28"/>
      <x:c r="P669" s="22"/>
      <x:c r="Q669" s="22"/>
      <x:c r="R669" s="28"/>
      <x:c r="S669" s="22"/>
      <x:c r="T669" s="37" t="n">
        <x:f>K669</x:f>
        <x:v>99</x:v>
      </x:c>
      <x:c r="U669" s="21" t="str">
        <x:f>IF(J669="Рассчитано",N669*(1-O669/100),"н/д")</x:f>
        <x:v>н/д</x:v>
      </x:c>
      <x:c r="V669" s="21" t="str">
        <x:f>IF(J669="Рассчитано",T669*U669,"н/д")</x:f>
        <x:v>н/д</x:v>
      </x:c>
      <x:c r="W669" s="21" t="str">
        <x:f>IF(J669="Рассчитано",T669*M669,"н/д")</x:f>
        <x:v>н/д</x:v>
      </x:c>
      <x:c r="X669" s="21" t="str">
        <x:f>IF(J669="Рассчитано",V669-W669,"н/д")</x:f>
        <x:v>н/д</x:v>
      </x:c>
      <x:c r="Y669" s="27" t="str">
        <x:f>IF(J669="Рассчитано",IF(V669&gt;0,G669/V669,"н/д"),"н/д")</x:f>
        <x:v>н/д</x:v>
      </x:c>
      <x:c r="Z669" s="21" t="str">
        <x:f>"н/д"</x:f>
        <x:v>н/д</x:v>
      </x:c>
      <x:c r="AA669" s="21" t="str">
        <x:f>"н/д"</x:f>
        <x:v>н/д</x:v>
      </x:c>
      <x:c r="AB669" s="21" t="str">
        <x:f>"н/д"</x:f>
        <x:v>н/д</x:v>
      </x:c>
      <x:c r="AC669" s="21" t="str">
        <x:f>IF(AND(J669="Рассчитано",T669&gt;0,R669&lt;100),(W669+P669+Q669)/(T669*(1-R669/100)),"н/д")</x:f>
        <x:v>н/д</x:v>
      </x:c>
      <x:c r="AD669" s="10" t="str">
        <x:f>IF(ISNUMBER(G669),IF(G669&lt;0,"Убыток",IF(G669=0,"Без прибыли","Прибыль &gt; 0")),"Не оценён")</x:f>
        <x:v>Не оценён</x:v>
      </x:c>
      <x:c r="AE669" s="13" t="str">
        <x:f>IF(J669="Рассчитано","Выручка "&amp;TEXT(V669,"0.00")&amp;" - себестоимость "&amp;TEXT(W669,"0.00")&amp;" - комиссия "&amp;TEXT(V669*R669/100,"0.00")&amp;" - доставка "&amp;TEXT(P669,"0.00")&amp;" - прочие "&amp;TEXT(Q669,"0.00")&amp;" = "&amp;TEXT(G669,"0.00")&amp;" "&amp;L669,"Введите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9" s="24" t="n">
        <x:v>14.388265012351928</x:v>
      </x:c>
      <x:c r="AG669" s="37" t="n">
        <x:v>114</x:v>
      </x:c>
      <x:c r="AH669" s="37" t="n">
        <x:v>0</x:v>
      </x:c>
      <x:c r="AI669" s="30" t="n">
        <x:v>46266</x:v>
      </x:c>
      <x:c r="AJ669" s="37" t="n">
        <x:v>50</x:v>
      </x:c>
      <x:c r="AK669" s="10" t="str">
        <x:v>минимум</x:v>
      </x:c>
      <x:c r="AL669" s="32" t="n">
        <x:v>673.7758913303513</x:v>
      </x:c>
      <x:c r="AM66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69" s="13" t="str">
        <x:v>Проверить свободный остаток и установить цену для B2B</x:v>
      </x:c>
      <x:c r="AO669" s="13" t="str">
        <x:v>Остаток 114; прогноз 90 дней 14.39; избыток 99 шт. Будущие поступления не выставляются на продажу. Остаток на начало сентября: требуется актуализация.</x:v>
      </x:c>
      <x:c r="AP669" s="13" t="str">
        <x:v>["category_missing", "daily_stockout_data_missing", "new_order_lead_time_unknown", "reservations_unknown", "stale_stock"]</x:v>
      </x:c>
      <x:c r="AQ669" s="10" t="str">
        <x:v>IEK:130301644_</x:v>
      </x:c>
      <x:c r="AR669" s="24" t="n">
        <x:v>1</x:v>
      </x:c>
      <x:c r="AS669" s="24" t="n">
        <x:v>0</x:v>
      </x:c>
      <x:c r="AT669" s="24" t="n">
        <x:v>0</x:v>
      </x:c>
    </x:row>
    <x:row r="670" ht="64" customHeight="1">
      <x:c r="A670" s="11" t="str">
        <x:v>IEK</x:v>
      </x:c>
      <x:c r="B670" s="33" t="str">
        <x:v>130301645_</x:v>
      </x:c>
      <x:c r="C670" s="33" t="str">
        <x:v>YCT10-00-K07-002-ZGL</x:v>
      </x:c>
      <x:c r="D670" s="12" t="str">
        <x:v>Заглушка для CTS 2,5/4мм2 синяя IEK</x:v>
      </x:c>
      <x:c r="E670" s="11" t="str">
        <x:v>шт</x:v>
      </x:c>
      <x:c r="F670" s="35" t="n">
        <x:f>MAX(0,ROUNDDOWN((AG670-AF670)/AR670+0.000000001,0)*AR670)</x:f>
        <x:v>19</x:v>
      </x:c>
      <x:c r="G670" s="20" t="str">
        <x:f>IF(J670="Рассчитано",V670*(1-R670/100)-W670-P670-Q670,"н/д")</x:f>
        <x:v>н/д</x:v>
      </x:c>
      <x:c r="H670" s="12" t="str">
        <x:v>Высокий</x:v>
      </x:c>
      <x:c r="I670" s="12" t="str">
        <x:v>Высокий</x:v>
      </x:c>
      <x:c r="J670" s="12" t="str">
        <x:f>IF(L670="","Укажите валюту",IF(NOT(ISNUMBER(K670)),"Укажите объём",IF(K670&lt;=0,"Укажите объём",IF(K670&gt;F670,"Объём выше излишка",IF(COUNT(M670:O670)&lt;3,"Нужны цены",IF(COUNT(P670:R670)&lt;3,"Нужны расходы",IF(OR(M670&lt;0,N670&lt;0,O670&lt;0,O670&gt;100,P670&lt;0,Q670&lt;0,R670&lt;0,R670&gt;100),"Проверьте значения","Рассчитано")))))))</x:f>
        <x:v>Нужны цены</x:v>
      </x:c>
      <x:c r="K670" s="36" t="n">
        <x:v>19</x:v>
      </x:c>
      <x:c r="L670" s="19" t="str">
        <x:v>KZT</x:v>
      </x:c>
      <x:c r="M670" s="22"/>
      <x:c r="N670" s="22"/>
      <x:c r="O670" s="28"/>
      <x:c r="P670" s="22"/>
      <x:c r="Q670" s="22"/>
      <x:c r="R670" s="28"/>
      <x:c r="S670" s="22"/>
      <x:c r="T670" s="35" t="n">
        <x:f>K670</x:f>
        <x:v>19</x:v>
      </x:c>
      <x:c r="U670" s="20" t="str">
        <x:f>IF(J670="Рассчитано",N670*(1-O670/100),"н/д")</x:f>
        <x:v>н/д</x:v>
      </x:c>
      <x:c r="V670" s="20" t="str">
        <x:f>IF(J670="Рассчитано",T670*U670,"н/д")</x:f>
        <x:v>н/д</x:v>
      </x:c>
      <x:c r="W670" s="20" t="str">
        <x:f>IF(J670="Рассчитано",T670*M670,"н/д")</x:f>
        <x:v>н/д</x:v>
      </x:c>
      <x:c r="X670" s="20" t="str">
        <x:f>IF(J670="Рассчитано",V670-W670,"н/д")</x:f>
        <x:v>н/д</x:v>
      </x:c>
      <x:c r="Y670" s="26" t="str">
        <x:f>IF(J670="Рассчитано",IF(V670&gt;0,G670/V670,"н/д"),"н/д")</x:f>
        <x:v>н/д</x:v>
      </x:c>
      <x:c r="Z670" s="20" t="str">
        <x:f>"н/д"</x:f>
        <x:v>н/д</x:v>
      </x:c>
      <x:c r="AA670" s="20" t="str">
        <x:f>"н/д"</x:f>
        <x:v>н/д</x:v>
      </x:c>
      <x:c r="AB670" s="20" t="str">
        <x:f>"н/д"</x:f>
        <x:v>н/д</x:v>
      </x:c>
      <x:c r="AC670" s="20" t="str">
        <x:f>IF(AND(J670="Рассчитано",T670&gt;0,R670&lt;100),(W670+P670+Q670)/(T670*(1-R670/100)),"н/д")</x:f>
        <x:v>н/д</x:v>
      </x:c>
      <x:c r="AD670" s="11" t="str">
        <x:f>IF(ISNUMBER(G670),IF(G670&lt;0,"Убыток",IF(G670=0,"Без прибыли","Прибыль &gt; 0")),"Не оценён")</x:f>
        <x:v>Не оценён</x:v>
      </x:c>
      <x:c r="AE670" s="12" t="str">
        <x:f>IF(J670="Рассчитано","Выручка "&amp;TEXT(V670,"0.00")&amp;" - себестоимость "&amp;TEXT(W670,"0.00")&amp;" - комиссия "&amp;TEXT(V670*R670/100,"0.00")&amp;" - доставка "&amp;TEXT(P670,"0.00")&amp;" - прочие "&amp;TEXT(Q670,"0.00")&amp;" = "&amp;TEXT(G670,"0.00")&amp;" "&amp;L670,"Введите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0" s="23" t="n">
        <x:v>1.2151982599028575</x:v>
      </x:c>
      <x:c r="AG670" s="35" t="n">
        <x:v>21</x:v>
      </x:c>
      <x:c r="AH670" s="35" t="n">
        <x:v>0</x:v>
      </x:c>
      <x:c r="AI670" s="29" t="n">
        <x:v>46266</x:v>
      </x:c>
      <x:c r="AJ670" s="35" t="n">
        <x:v>50</x:v>
      </x:c>
      <x:c r="AK670" s="11" t="str">
        <x:v>минимум</x:v>
      </x:c>
      <x:c r="AL670" s="31" t="n">
        <x:v>1469.5731211098564</x:v>
      </x:c>
      <x:c r="AM67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70" s="12" t="str">
        <x:v>Проверить свободный остаток и установить цену для B2B</x:v>
      </x:c>
      <x:c r="AO670" s="12" t="str">
        <x:v>Остаток 21; прогноз 90 дней 1.22; избыток 19 шт. Будущие поступления не выставляются на продажу. Остаток на начало сентября: требуется актуализация.</x:v>
      </x:c>
      <x:c r="AP670" s="12" t="str">
        <x:v>["category_missing", "daily_stockout_data_missing", "new_order_lead_time_unknown", "reservations_unknown", "stale_stock"]</x:v>
      </x:c>
      <x:c r="AQ670" s="11" t="str">
        <x:v>IEK:130301645_</x:v>
      </x:c>
      <x:c r="AR670" s="23" t="n">
        <x:v>1</x:v>
      </x:c>
      <x:c r="AS670" s="23" t="n">
        <x:v>0</x:v>
      </x:c>
      <x:c r="AT670" s="23" t="n">
        <x:v>0</x:v>
      </x:c>
    </x:row>
    <x:row r="671" ht="64" customHeight="1">
      <x:c r="A671" s="10" t="str">
        <x:v>IEK</x:v>
      </x:c>
      <x:c r="B671" s="34" t="str">
        <x:v>130301646_</x:v>
      </x:c>
      <x:c r="C671" s="34" t="str">
        <x:v>YCT10-00-K03-006-ZGL</x:v>
      </x:c>
      <x:c r="D671" s="13" t="str">
        <x:v>Заглушка для CTS 6/10мм2 серая IEK</x:v>
      </x:c>
      <x:c r="E671" s="10" t="str">
        <x:v>шт</x:v>
      </x:c>
      <x:c r="F671" s="37" t="n">
        <x:f>MAX(0,ROUNDDOWN((AG671-AF671)/AR671+0.000000001,0)*AR671)</x:f>
        <x:v>17</x:v>
      </x:c>
      <x:c r="G671" s="21" t="str">
        <x:f>IF(J671="Рассчитано",V671*(1-R671/100)-W671-P671-Q671,"н/д")</x:f>
        <x:v>н/д</x:v>
      </x:c>
      <x:c r="H671" s="13" t="str">
        <x:v>Высокий</x:v>
      </x:c>
      <x:c r="I671" s="13" t="str">
        <x:v>Средний</x:v>
      </x:c>
      <x:c r="J671" s="13" t="str">
        <x:f>IF(L671="","Укажите валюту",IF(NOT(ISNUMBER(K671)),"Укажите объём",IF(K671&lt;=0,"Укажите объём",IF(K671&gt;F671,"Объём выше излишка",IF(COUNT(M671:O671)&lt;3,"Нужны цены",IF(COUNT(P671:R671)&lt;3,"Нужны расходы",IF(OR(M671&lt;0,N671&lt;0,O671&lt;0,O671&gt;100,P671&lt;0,Q671&lt;0,R671&lt;0,R671&gt;100),"Проверьте значения","Рассчитано")))))))</x:f>
        <x:v>Нужны цены</x:v>
      </x:c>
      <x:c r="K671" s="36" t="n">
        <x:v>17</x:v>
      </x:c>
      <x:c r="L671" s="19" t="str">
        <x:v>KZT</x:v>
      </x:c>
      <x:c r="M671" s="22"/>
      <x:c r="N671" s="22"/>
      <x:c r="O671" s="28"/>
      <x:c r="P671" s="22"/>
      <x:c r="Q671" s="22"/>
      <x:c r="R671" s="28"/>
      <x:c r="S671" s="22"/>
      <x:c r="T671" s="37" t="n">
        <x:f>K671</x:f>
        <x:v>17</x:v>
      </x:c>
      <x:c r="U671" s="21" t="str">
        <x:f>IF(J671="Рассчитано",N671*(1-O671/100),"н/д")</x:f>
        <x:v>н/д</x:v>
      </x:c>
      <x:c r="V671" s="21" t="str">
        <x:f>IF(J671="Рассчитано",T671*U671,"н/д")</x:f>
        <x:v>н/д</x:v>
      </x:c>
      <x:c r="W671" s="21" t="str">
        <x:f>IF(J671="Рассчитано",T671*M671,"н/д")</x:f>
        <x:v>н/д</x:v>
      </x:c>
      <x:c r="X671" s="21" t="str">
        <x:f>IF(J671="Рассчитано",V671-W671,"н/д")</x:f>
        <x:v>н/д</x:v>
      </x:c>
      <x:c r="Y671" s="27" t="str">
        <x:f>IF(J671="Рассчитано",IF(V671&gt;0,G671/V671,"н/д"),"н/д")</x:f>
        <x:v>н/д</x:v>
      </x:c>
      <x:c r="Z671" s="21" t="str">
        <x:f>"н/д"</x:f>
        <x:v>н/д</x:v>
      </x:c>
      <x:c r="AA671" s="21" t="str">
        <x:f>"н/д"</x:f>
        <x:v>н/д</x:v>
      </x:c>
      <x:c r="AB671" s="21" t="str">
        <x:f>"н/д"</x:f>
        <x:v>н/д</x:v>
      </x:c>
      <x:c r="AC671" s="21" t="str">
        <x:f>IF(AND(J671="Рассчитано",T671&gt;0,R671&lt;100),(W671+P671+Q671)/(T671*(1-R671/100)),"н/д")</x:f>
        <x:v>н/д</x:v>
      </x:c>
      <x:c r="AD671" s="10" t="str">
        <x:f>IF(ISNUMBER(G671),IF(G671&lt;0,"Убыток",IF(G671=0,"Без прибыли","Прибыль &gt; 0")),"Не оценён")</x:f>
        <x:v>Не оценён</x:v>
      </x:c>
      <x:c r="AE671" s="13" t="str">
        <x:f>IF(J671="Рассчитано","Выручка "&amp;TEXT(V671,"0.00")&amp;" - себестоимость "&amp;TEXT(W671,"0.00")&amp;" - комиссия "&amp;TEXT(V671*R671/100,"0.00")&amp;" - доставка "&amp;TEXT(P671,"0.00")&amp;" - прочие "&amp;TEXT(Q671,"0.00")&amp;" = "&amp;TEXT(G671,"0.00")&amp;" "&amp;L671,"Введите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1" s="24" t="n">
        <x:v>17.228631086341174</x:v>
      </x:c>
      <x:c r="AG671" s="37" t="n">
        <x:v>35</x:v>
      </x:c>
      <x:c r="AH671" s="37" t="n">
        <x:v>0</x:v>
      </x:c>
      <x:c r="AI671" s="30" t="n">
        <x:v>46266</x:v>
      </x:c>
      <x:c r="AJ671" s="37" t="n">
        <x:v>50</x:v>
      </x:c>
      <x:c r="AK671" s="10" t="str">
        <x:v>минимум</x:v>
      </x:c>
      <x:c r="AL671" s="32" t="n">
        <x:v>172.75726382661807</x:v>
      </x:c>
      <x:c r="AM671" s="13" t="str">
        <x:v>Остаток на начало сентября; Резервы неизвестны; Нет ежедневных данных доступности. Запас выше прогноза на 90 дней</x:v>
      </x:c>
      <x:c r="AN671" s="13" t="str">
        <x:v>Проверить свободный остаток и установить цену для B2B</x:v>
      </x:c>
      <x:c r="AO671" s="13" t="str">
        <x:v>Остаток 35; прогноз 90 дней 17.23; избыток 17 шт. Будущие поступления не выставляются на продажу. Остаток на начало сентября: требуется актуализация.</x:v>
      </x:c>
      <x:c r="AP671" s="13" t="str">
        <x:v>["category_missing", "daily_stockout_data_missing", "new_order_lead_time_unknown", "reservations_unknown", "stale_stock"]</x:v>
      </x:c>
      <x:c r="AQ671" s="10" t="str">
        <x:v>IEK:130301646_</x:v>
      </x:c>
      <x:c r="AR671" s="24" t="n">
        <x:v>1</x:v>
      </x:c>
      <x:c r="AS671" s="24" t="n">
        <x:v>0</x:v>
      </x:c>
      <x:c r="AT671" s="24" t="n">
        <x:v>0</x:v>
      </x:c>
    </x:row>
    <x:row r="672" ht="64" customHeight="1">
      <x:c r="A672" s="11" t="str">
        <x:v>IEK</x:v>
      </x:c>
      <x:c r="B672" s="33" t="str">
        <x:v>130301647_</x:v>
      </x:c>
      <x:c r="C672" s="33" t="str">
        <x:v>YCT10-00-K03-002-PP</x:v>
      </x:c>
      <x:c r="D672" s="12" t="str">
        <x:v>Разделитель для CTS малый 2,5/4мм2 серый IEK</x:v>
      </x:c>
      <x:c r="E672" s="11" t="str">
        <x:v>шт</x:v>
      </x:c>
      <x:c r="F672" s="35" t="n">
        <x:f>MAX(0,ROUNDDOWN((AG672-AF672)/AR672+0.000000001,0)*AR672)</x:f>
        <x:v>3</x:v>
      </x:c>
      <x:c r="G672" s="20" t="str">
        <x:f>IF(J672="Рассчитано",V672*(1-R672/100)-W672-P672-Q672,"н/д")</x:f>
        <x:v>н/д</x:v>
      </x:c>
      <x:c r="H672" s="12" t="str">
        <x:v>Высокий</x:v>
      </x:c>
      <x:c r="I672" s="12" t="str">
        <x:v>Средний</x:v>
      </x:c>
      <x:c r="J672" s="12" t="str">
        <x:f>IF(L672="","Укажите валюту",IF(NOT(ISNUMBER(K672)),"Укажите объём",IF(K672&lt;=0,"Укажите объём",IF(K672&gt;F672,"Объём выше излишка",IF(COUNT(M672:O672)&lt;3,"Нужны цены",IF(COUNT(P672:R672)&lt;3,"Нужны расходы",IF(OR(M672&lt;0,N672&lt;0,O672&lt;0,O672&gt;100,P672&lt;0,Q672&lt;0,R672&lt;0,R672&gt;100),"Проверьте значения","Рассчитано")))))))</x:f>
        <x:v>Нужны цены</x:v>
      </x:c>
      <x:c r="K672" s="36" t="n">
        <x:v>3</x:v>
      </x:c>
      <x:c r="L672" s="19" t="str">
        <x:v>KZT</x:v>
      </x:c>
      <x:c r="M672" s="22"/>
      <x:c r="N672" s="22"/>
      <x:c r="O672" s="28"/>
      <x:c r="P672" s="22"/>
      <x:c r="Q672" s="22"/>
      <x:c r="R672" s="28"/>
      <x:c r="S672" s="22"/>
      <x:c r="T672" s="35" t="n">
        <x:f>K672</x:f>
        <x:v>3</x:v>
      </x:c>
      <x:c r="U672" s="20" t="str">
        <x:f>IF(J672="Рассчитано",N672*(1-O672/100),"н/д")</x:f>
        <x:v>н/д</x:v>
      </x:c>
      <x:c r="V672" s="20" t="str">
        <x:f>IF(J672="Рассчитано",T672*U672,"н/д")</x:f>
        <x:v>н/д</x:v>
      </x:c>
      <x:c r="W672" s="20" t="str">
        <x:f>IF(J672="Рассчитано",T672*M672,"н/д")</x:f>
        <x:v>н/д</x:v>
      </x:c>
      <x:c r="X672" s="20" t="str">
        <x:f>IF(J672="Рассчитано",V672-W672,"н/д")</x:f>
        <x:v>н/д</x:v>
      </x:c>
      <x:c r="Y672" s="26" t="str">
        <x:f>IF(J672="Рассчитано",IF(V672&gt;0,G672/V672,"н/д"),"н/д")</x:f>
        <x:v>н/д</x:v>
      </x:c>
      <x:c r="Z672" s="20" t="str">
        <x:f>"н/д"</x:f>
        <x:v>н/д</x:v>
      </x:c>
      <x:c r="AA672" s="20" t="str">
        <x:f>"н/д"</x:f>
        <x:v>н/д</x:v>
      </x:c>
      <x:c r="AB672" s="20" t="str">
        <x:f>"н/д"</x:f>
        <x:v>н/д</x:v>
      </x:c>
      <x:c r="AC672" s="20" t="str">
        <x:f>IF(AND(J672="Рассчитано",T672&gt;0,R672&lt;100),(W672+P672+Q672)/(T672*(1-R672/100)),"н/д")</x:f>
        <x:v>н/д</x:v>
      </x:c>
      <x:c r="AD672" s="11" t="str">
        <x:f>IF(ISNUMBER(G672),IF(G672&lt;0,"Убыток",IF(G672=0,"Без прибыли","Прибыль &gt; 0")),"Не оценён")</x:f>
        <x:v>Не оценён</x:v>
      </x:c>
      <x:c r="AE672" s="12" t="str">
        <x:f>IF(J672="Рассчитано","Выручка "&amp;TEXT(V672,"0.00")&amp;" - себестоимость "&amp;TEXT(W672,"0.00")&amp;" - комиссия "&amp;TEXT(V672*R672/100,"0.00")&amp;" - доставка "&amp;TEXT(P672,"0.00")&amp;" - прочие "&amp;TEXT(Q672,"0.00")&amp;" = "&amp;TEXT(G672,"0.00")&amp;" "&amp;L672,"Введите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2" s="23" t="n">
        <x:v>3.4868309471652545</x:v>
      </x:c>
      <x:c r="AG672" s="35" t="n">
        <x:v>7</x:v>
      </x:c>
      <x:c r="AH672" s="35" t="n">
        <x:v>0</x:v>
      </x:c>
      <x:c r="AI672" s="29" t="n">
        <x:v>46266</x:v>
      </x:c>
      <x:c r="AJ672" s="35" t="n">
        <x:v>50</x:v>
      </x:c>
      <x:c r="AK672" s="11" t="str">
        <x:v>минимум</x:v>
      </x:c>
      <x:c r="AL672" s="31" t="n">
        <x:v>170.7207037596282</x:v>
      </x:c>
      <x:c r="AM672" s="12" t="str">
        <x:v>Остаток на начало сентября; Резервы неизвестны; Нет ежедневных данных доступности. Запас выше прогноза на 90 дней</x:v>
      </x:c>
      <x:c r="AN672" s="12" t="str">
        <x:v>Проверить свободный остаток и установить цену для B2B</x:v>
      </x:c>
      <x:c r="AO672" s="12" t="str">
        <x:v>Остаток 7; прогноз 90 дней 3.49; избыток 3 шт. Будущие поступления не выставляются на продажу. Остаток на начало сентября: требуется актуализация.</x:v>
      </x:c>
      <x:c r="AP672" s="12" t="str">
        <x:v>["category_missing", "daily_stockout_data_missing", "new_order_lead_time_unknown", "reservations_unknown", "stale_stock"]</x:v>
      </x:c>
      <x:c r="AQ672" s="11" t="str">
        <x:v>IEK:130301647_</x:v>
      </x:c>
      <x:c r="AR672" s="23" t="n">
        <x:v>1</x:v>
      </x:c>
      <x:c r="AS672" s="23" t="n">
        <x:v>0</x:v>
      </x:c>
      <x:c r="AT672" s="23" t="n">
        <x:v>0</x:v>
      </x:c>
    </x:row>
    <x:row r="673" ht="64" customHeight="1">
      <x:c r="A673" s="10" t="str">
        <x:v>IEK</x:v>
      </x:c>
      <x:c r="B673" s="34" t="str">
        <x:v>130301648_</x:v>
      </x:c>
      <x:c r="C673" s="34" t="str">
        <x:v>YCT10-00-K03-002-SP</x:v>
      </x:c>
      <x:c r="D673" s="13" t="str">
        <x:v>Разделитель для CTS большой 2,5/4мм2 серый IEK</x:v>
      </x:c>
      <x:c r="E673" s="10" t="str">
        <x:v>шт</x:v>
      </x:c>
      <x:c r="F673" s="37" t="n">
        <x:f>MAX(0,ROUNDDOWN((AG673-AF673)/AR673+0.000000001,0)*AR673)</x:f>
        <x:v>72</x:v>
      </x:c>
      <x:c r="G673" s="21" t="str">
        <x:f>IF(J673="Рассчитано",V673*(1-R673/100)-W673-P673-Q673,"н/д")</x:f>
        <x:v>н/д</x:v>
      </x:c>
      <x:c r="H673" s="13" t="str">
        <x:v>Высокий</x:v>
      </x:c>
      <x:c r="I673" s="13" t="str">
        <x:v>Высокий</x:v>
      </x:c>
      <x:c r="J673" s="13" t="str">
        <x:f>IF(L673="","Укажите валюту",IF(NOT(ISNUMBER(K673)),"Укажите объём",IF(K673&lt;=0,"Укажите объём",IF(K673&gt;F673,"Объём выше излишка",IF(COUNT(M673:O673)&lt;3,"Нужны цены",IF(COUNT(P673:R673)&lt;3,"Нужны расходы",IF(OR(M673&lt;0,N673&lt;0,O673&lt;0,O673&gt;100,P673&lt;0,Q673&lt;0,R673&lt;0,R673&gt;100),"Проверьте значения","Рассчитано")))))))</x:f>
        <x:v>Нужны цены</x:v>
      </x:c>
      <x:c r="K673" s="36" t="n">
        <x:v>72</x:v>
      </x:c>
      <x:c r="L673" s="19" t="str">
        <x:v>KZT</x:v>
      </x:c>
      <x:c r="M673" s="22"/>
      <x:c r="N673" s="22"/>
      <x:c r="O673" s="28"/>
      <x:c r="P673" s="22"/>
      <x:c r="Q673" s="22"/>
      <x:c r="R673" s="28"/>
      <x:c r="S673" s="22"/>
      <x:c r="T673" s="37" t="n">
        <x:f>K673</x:f>
        <x:v>72</x:v>
      </x:c>
      <x:c r="U673" s="21" t="str">
        <x:f>IF(J673="Рассчитано",N673*(1-O673/100),"н/д")</x:f>
        <x:v>н/д</x:v>
      </x:c>
      <x:c r="V673" s="21" t="str">
        <x:f>IF(J673="Рассчитано",T673*U673,"н/д")</x:f>
        <x:v>н/д</x:v>
      </x:c>
      <x:c r="W673" s="21" t="str">
        <x:f>IF(J673="Рассчитано",T673*M673,"н/д")</x:f>
        <x:v>н/д</x:v>
      </x:c>
      <x:c r="X673" s="21" t="str">
        <x:f>IF(J673="Рассчитано",V673-W673,"н/д")</x:f>
        <x:v>н/д</x:v>
      </x:c>
      <x:c r="Y673" s="27" t="str">
        <x:f>IF(J673="Рассчитано",IF(V673&gt;0,G673/V673,"н/д"),"н/д")</x:f>
        <x:v>н/д</x:v>
      </x:c>
      <x:c r="Z673" s="21" t="str">
        <x:f>"н/д"</x:f>
        <x:v>н/д</x:v>
      </x:c>
      <x:c r="AA673" s="21" t="str">
        <x:f>"н/д"</x:f>
        <x:v>н/д</x:v>
      </x:c>
      <x:c r="AB673" s="21" t="str">
        <x:f>"н/д"</x:f>
        <x:v>н/д</x:v>
      </x:c>
      <x:c r="AC673" s="21" t="str">
        <x:f>IF(AND(J673="Рассчитано",T673&gt;0,R673&lt;100),(W673+P673+Q673)/(T673*(1-R673/100)),"н/д")</x:f>
        <x:v>н/д</x:v>
      </x:c>
      <x:c r="AD673" s="10" t="str">
        <x:f>IF(ISNUMBER(G673),IF(G673&lt;0,"Убыток",IF(G673=0,"Без прибыли","Прибыль &gt; 0")),"Не оценён")</x:f>
        <x:v>Не оценён</x:v>
      </x:c>
      <x:c r="AE673" s="13" t="str">
        <x:f>IF(J673="Рассчитано","Выручка "&amp;TEXT(V673,"0.00")&amp;" - себестоимость "&amp;TEXT(W673,"0.00")&amp;" - комиссия "&amp;TEXT(V673*R673/100,"0.00")&amp;" - доставка "&amp;TEXT(P673,"0.00")&amp;" - прочие "&amp;TEXT(Q673,"0.00")&amp;" = "&amp;TEXT(G673,"0.00")&amp;" "&amp;L673,"Введите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3" s="24" t="n">
        <x:v>0.571571616139571</x:v>
      </x:c>
      <x:c r="AG673" s="37" t="n">
        <x:v>73</x:v>
      </x:c>
      <x:c r="AH673" s="37" t="n">
        <x:v>0</x:v>
      </x:c>
      <x:c r="AI673" s="30" t="n">
        <x:v>46266</x:v>
      </x:c>
      <x:c r="AJ673" s="37" t="n">
        <x:v>100</x:v>
      </x:c>
      <x:c r="AK673" s="10" t="str">
        <x:v>минимум</x:v>
      </x:c>
      <x:c r="AL673" s="32" t="n">
        <x:v>10861.035931678516</x:v>
      </x:c>
      <x:c r="AM6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73" s="13" t="str">
        <x:v>Проверить свободный остаток и установить цену для B2B</x:v>
      </x:c>
      <x:c r="AO673" s="13" t="str">
        <x:v>Остаток 73; прогноз 90 дней 0.57; избыток 72 шт. Будущие поступления не выставляются на продажу. Остаток на начало сентября: требуется актуализация.</x:v>
      </x:c>
      <x:c r="AP673" s="13" t="str">
        <x:v>["category_missing", "daily_stockout_data_missing", "new_order_lead_time_unknown", "reservations_unknown", "stale_stock"]</x:v>
      </x:c>
      <x:c r="AQ673" s="10" t="str">
        <x:v>IEK:130301648_</x:v>
      </x:c>
      <x:c r="AR673" s="24" t="n">
        <x:v>1</x:v>
      </x:c>
      <x:c r="AS673" s="24" t="n">
        <x:v>0</x:v>
      </x:c>
      <x:c r="AT673" s="24" t="n">
        <x:v>0</x:v>
      </x:c>
    </x:row>
    <x:row r="674" ht="64" customHeight="1">
      <x:c r="A674" s="11" t="str">
        <x:v>IEK</x:v>
      </x:c>
      <x:c r="B674" s="33" t="str">
        <x:v>130301649_</x:v>
      </x:c>
      <x:c r="C674" s="33" t="str">
        <x:v>YCT10-00-K03-006-PP</x:v>
      </x:c>
      <x:c r="D674" s="12" t="str">
        <x:v>Разделитель для CTS малый 6/10мм2 серый IEK</x:v>
      </x:c>
      <x:c r="E674" s="11" t="str">
        <x:v>шт</x:v>
      </x:c>
      <x:c r="F674" s="35" t="n">
        <x:f>MAX(0,ROUNDDOWN((AG674-AF674)/AR674+0.000000001,0)*AR674)</x:f>
        <x:v>30</x:v>
      </x:c>
      <x:c r="G674" s="20" t="str">
        <x:f>IF(J674="Рассчитано",V674*(1-R674/100)-W674-P674-Q674,"н/д")</x:f>
        <x:v>н/д</x:v>
      </x:c>
      <x:c r="H674" s="12" t="str">
        <x:v>Высокий</x:v>
      </x:c>
      <x:c r="I674" s="12" t="str">
        <x:v>Высокий</x:v>
      </x:c>
      <x:c r="J674" s="12" t="str">
        <x:f>IF(L674="","Укажите валюту",IF(NOT(ISNUMBER(K674)),"Укажите объём",IF(K674&lt;=0,"Укажите объём",IF(K674&gt;F674,"Объём выше излишка",IF(COUNT(M674:O674)&lt;3,"Нужны цены",IF(COUNT(P674:R674)&lt;3,"Нужны расходы",IF(OR(M674&lt;0,N674&lt;0,O674&lt;0,O674&gt;100,P674&lt;0,Q674&lt;0,R674&lt;0,R674&gt;100),"Проверьте значения","Рассчитано")))))))</x:f>
        <x:v>Нужны цены</x:v>
      </x:c>
      <x:c r="K674" s="36" t="n">
        <x:v>30</x:v>
      </x:c>
      <x:c r="L674" s="19" t="str">
        <x:v>KZT</x:v>
      </x:c>
      <x:c r="M674" s="22"/>
      <x:c r="N674" s="22"/>
      <x:c r="O674" s="28"/>
      <x:c r="P674" s="22"/>
      <x:c r="Q674" s="22"/>
      <x:c r="R674" s="28"/>
      <x:c r="S674" s="22"/>
      <x:c r="T674" s="35" t="n">
        <x:f>K674</x:f>
        <x:v>30</x:v>
      </x:c>
      <x:c r="U674" s="20" t="str">
        <x:f>IF(J674="Рассчитано",N674*(1-O674/100),"н/д")</x:f>
        <x:v>н/д</x:v>
      </x:c>
      <x:c r="V674" s="20" t="str">
        <x:f>IF(J674="Рассчитано",T674*U674,"н/д")</x:f>
        <x:v>н/д</x:v>
      </x:c>
      <x:c r="W674" s="20" t="str">
        <x:f>IF(J674="Рассчитано",T674*M674,"н/д")</x:f>
        <x:v>н/д</x:v>
      </x:c>
      <x:c r="X674" s="20" t="str">
        <x:f>IF(J674="Рассчитано",V674-W674,"н/д")</x:f>
        <x:v>н/д</x:v>
      </x:c>
      <x:c r="Y674" s="26" t="str">
        <x:f>IF(J674="Рассчитано",IF(V674&gt;0,G674/V674,"н/д"),"н/д")</x:f>
        <x:v>н/д</x:v>
      </x:c>
      <x:c r="Z674" s="20" t="str">
        <x:f>"н/д"</x:f>
        <x:v>н/д</x:v>
      </x:c>
      <x:c r="AA674" s="20" t="str">
        <x:f>"н/д"</x:f>
        <x:v>н/д</x:v>
      </x:c>
      <x:c r="AB674" s="20" t="str">
        <x:f>"н/д"</x:f>
        <x:v>н/д</x:v>
      </x:c>
      <x:c r="AC674" s="20" t="str">
        <x:f>IF(AND(J674="Рассчитано",T674&gt;0,R674&lt;100),(W674+P674+Q674)/(T674*(1-R674/100)),"н/д")</x:f>
        <x:v>н/д</x:v>
      </x:c>
      <x:c r="AD674" s="11" t="str">
        <x:f>IF(ISNUMBER(G674),IF(G674&lt;0,"Убыток",IF(G674=0,"Без прибыли","Прибыль &gt; 0")),"Не оценён")</x:f>
        <x:v>Не оценён</x:v>
      </x:c>
      <x:c r="AE674" s="12" t="str">
        <x:f>IF(J674="Рассчитано","Выручка "&amp;TEXT(V674,"0.00")&amp;" - себестоимость "&amp;TEXT(W674,"0.00")&amp;" - комиссия "&amp;TEXT(V674*R674/100,"0.00")&amp;" - доставка "&amp;TEXT(P674,"0.00")&amp;" - прочие "&amp;TEXT(Q674,"0.00")&amp;" = "&amp;TEXT(G674,"0.00")&amp;" "&amp;L674,"Введите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4" s="23" t="n">
        <x:v>1.270824380898274</x:v>
      </x:c>
      <x:c r="AG674" s="35" t="n">
        <x:v>32</x:v>
      </x:c>
      <x:c r="AH674" s="35" t="n">
        <x:v>0</x:v>
      </x:c>
      <x:c r="AI674" s="29" t="n">
        <x:v>46266</x:v>
      </x:c>
      <x:c r="AJ674" s="35" t="n">
        <x:v>50</x:v>
      </x:c>
      <x:c r="AK674" s="11" t="str">
        <x:v>минимум</x:v>
      </x:c>
      <x:c r="AL674" s="31" t="n">
        <x:v>2141.3294223397234</x:v>
      </x:c>
      <x:c r="AM67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74" s="12" t="str">
        <x:v>Проверить свободный остаток и установить цену для B2B</x:v>
      </x:c>
      <x:c r="AO674" s="12" t="str">
        <x:v>Остаток 32; прогноз 90 дней 1.27; избыток 30 шт. Будущие поступления не выставляются на продажу. Остаток на начало сентября: требуется актуализация.</x:v>
      </x:c>
      <x:c r="AP674" s="12" t="str">
        <x:v>["category_missing", "daily_stockout_data_missing", "new_order_lead_time_unknown", "reservations_unknown", "stale_stock"]</x:v>
      </x:c>
      <x:c r="AQ674" s="11" t="str">
        <x:v>IEK:130301649_</x:v>
      </x:c>
      <x:c r="AR674" s="23" t="n">
        <x:v>1</x:v>
      </x:c>
      <x:c r="AS674" s="23" t="n">
        <x:v>0</x:v>
      </x:c>
      <x:c r="AT674" s="23" t="n">
        <x:v>0</x:v>
      </x:c>
    </x:row>
    <x:row r="675" ht="64" customHeight="1">
      <x:c r="A675" s="10" t="str">
        <x:v>IEK</x:v>
      </x:c>
      <x:c r="B675" s="34" t="str">
        <x:v>130301661_</x:v>
      </x:c>
      <x:c r="C675" s="34" t="str">
        <x:v>YZN11FBS-002-10P</x:v>
      </x:c>
      <x:c r="D675" s="13" t="str">
        <x:v>Перемычка для КПИ-2,5мм2 10PIN IEK</x:v>
      </x:c>
      <x:c r="E675" s="10" t="str">
        <x:v>шт</x:v>
      </x:c>
      <x:c r="F675" s="37" t="n">
        <x:f>MAX(0,ROUNDDOWN((AG675-AF675)/AR675+0.000000001,0)*AR675)</x:f>
        <x:v>8</x:v>
      </x:c>
      <x:c r="G675" s="21" t="str">
        <x:f>IF(J675="Рассчитано",V675*(1-R675/100)-W675-P675-Q675,"н/д")</x:f>
        <x:v>н/д</x:v>
      </x:c>
      <x:c r="H675" s="13" t="str">
        <x:v>Высокий</x:v>
      </x:c>
      <x:c r="I675" s="13" t="str">
        <x:v>Высокий</x:v>
      </x:c>
      <x:c r="J675" s="13" t="str">
        <x:f>IF(L675="","Укажите валюту",IF(NOT(ISNUMBER(K675)),"Укажите объём",IF(K675&lt;=0,"Укажите объём",IF(K675&gt;F675,"Объём выше излишка",IF(COUNT(M675:O675)&lt;3,"Нужны цены",IF(COUNT(P675:R675)&lt;3,"Нужны расходы",IF(OR(M675&lt;0,N675&lt;0,O675&lt;0,O675&gt;100,P675&lt;0,Q675&lt;0,R675&lt;0,R675&gt;100),"Проверьте значения","Рассчитано")))))))</x:f>
        <x:v>Нужны цены</x:v>
      </x:c>
      <x:c r="K675" s="36" t="n">
        <x:v>8</x:v>
      </x:c>
      <x:c r="L675" s="19" t="str">
        <x:v>KZT</x:v>
      </x:c>
      <x:c r="M675" s="22"/>
      <x:c r="N675" s="22"/>
      <x:c r="O675" s="28"/>
      <x:c r="P675" s="22"/>
      <x:c r="Q675" s="22"/>
      <x:c r="R675" s="28"/>
      <x:c r="S675" s="22"/>
      <x:c r="T675" s="37" t="n">
        <x:f>K675</x:f>
        <x:v>8</x:v>
      </x:c>
      <x:c r="U675" s="21" t="str">
        <x:f>IF(J675="Рассчитано",N675*(1-O675/100),"н/д")</x:f>
        <x:v>н/д</x:v>
      </x:c>
      <x:c r="V675" s="21" t="str">
        <x:f>IF(J675="Рассчитано",T675*U675,"н/д")</x:f>
        <x:v>н/д</x:v>
      </x:c>
      <x:c r="W675" s="21" t="str">
        <x:f>IF(J675="Рассчитано",T675*M675,"н/д")</x:f>
        <x:v>н/д</x:v>
      </x:c>
      <x:c r="X675" s="21" t="str">
        <x:f>IF(J675="Рассчитано",V675-W675,"н/д")</x:f>
        <x:v>н/д</x:v>
      </x:c>
      <x:c r="Y675" s="27" t="str">
        <x:f>IF(J675="Рассчитано",IF(V675&gt;0,G675/V675,"н/д"),"н/д")</x:f>
        <x:v>н/д</x:v>
      </x:c>
      <x:c r="Z675" s="21" t="str">
        <x:f>"н/д"</x:f>
        <x:v>н/д</x:v>
      </x:c>
      <x:c r="AA675" s="21" t="str">
        <x:f>"н/д"</x:f>
        <x:v>н/д</x:v>
      </x:c>
      <x:c r="AB675" s="21" t="str">
        <x:f>"н/д"</x:f>
        <x:v>н/д</x:v>
      </x:c>
      <x:c r="AC675" s="21" t="str">
        <x:f>IF(AND(J675="Рассчитано",T675&gt;0,R675&lt;100),(W675+P675+Q675)/(T675*(1-R675/100)),"н/д")</x:f>
        <x:v>н/д</x:v>
      </x:c>
      <x:c r="AD675" s="10" t="str">
        <x:f>IF(ISNUMBER(G675),IF(G675&lt;0,"Убыток",IF(G675=0,"Без прибыли","Прибыль &gt; 0")),"Не оценён")</x:f>
        <x:v>Не оценён</x:v>
      </x:c>
      <x:c r="AE675" s="13" t="str">
        <x:f>IF(J675="Рассчитано","Выручка "&amp;TEXT(V675,"0.00")&amp;" - себестоимость "&amp;TEXT(W675,"0.00")&amp;" - комиссия "&amp;TEXT(V675*R675/100,"0.00")&amp;" - доставка "&amp;TEXT(P675,"0.00")&amp;" - прочие "&amp;TEXT(Q675,"0.00")&amp;" = "&amp;TEXT(G675,"0.00")&amp;" "&amp;L675,"Введите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5" s="24" t="n">
        <x:v>1.1078145050006174</x:v>
      </x:c>
      <x:c r="AG675" s="37" t="n">
        <x:v>10</x:v>
      </x:c>
      <x:c r="AH675" s="37" t="n">
        <x:v>0</x:v>
      </x:c>
      <x:c r="AI675" s="30" t="n">
        <x:v>46266</x:v>
      </x:c>
      <x:c r="AJ675" s="37" t="n">
        <x:v>10</x:v>
      </x:c>
      <x:c r="AK675" s="10" t="str">
        <x:v>минимум</x:v>
      </x:c>
      <x:c r="AL675" s="32" t="n">
        <x:v>767.6301022081477</x:v>
      </x:c>
      <x:c r="AM67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75" s="13" t="str">
        <x:v>Проверить свободный остаток и установить цену для B2B</x:v>
      </x:c>
      <x:c r="AO675" s="13" t="str">
        <x:v>Остаток 10; прогноз 90 дней 1.11; избыток 8 шт. Будущие поступления не выставляются на продажу. Остаток на начало сентября: требуется актуализация.</x:v>
      </x:c>
      <x:c r="AP675" s="13" t="str">
        <x:v>["category_missing", "daily_stockout_data_missing", "new_order_lead_time_unknown", "reservations_unknown", "stale_stock"]</x:v>
      </x:c>
      <x:c r="AQ675" s="10" t="str">
        <x:v>IEK:130301661_</x:v>
      </x:c>
      <x:c r="AR675" s="24" t="n">
        <x:v>1</x:v>
      </x:c>
      <x:c r="AS675" s="24" t="n">
        <x:v>0</x:v>
      </x:c>
      <x:c r="AT675" s="24" t="n">
        <x:v>0</x:v>
      </x:c>
    </x:row>
    <x:row r="676" ht="64" customHeight="1">
      <x:c r="A676" s="11" t="str">
        <x:v>IEK</x:v>
      </x:c>
      <x:c r="B676" s="33" t="str">
        <x:v>130301673_</x:v>
      </x:c>
      <x:c r="C676" s="33" t="str">
        <x:v>YZN41-04-001-K02</x:v>
      </x:c>
      <x:c r="D676" s="12" t="str">
        <x:v>Блок зажимов БЗН ТВ-1504 1,5 мм2 15А 4 пары IEK</x:v>
      </x:c>
      <x:c r="E676" s="11" t="str">
        <x:v>шт</x:v>
      </x:c>
      <x:c r="F676" s="35" t="n">
        <x:f>MAX(0,ROUNDDOWN((AG676-AF676)/AR676+0.000000001,0)*AR676)</x:f>
        <x:v>43</x:v>
      </x:c>
      <x:c r="G676" s="20" t="str">
        <x:f>IF(J676="Рассчитано",V676*(1-R676/100)-W676-P676-Q676,"н/д")</x:f>
        <x:v>н/д</x:v>
      </x:c>
      <x:c r="H676" s="12" t="str">
        <x:v>Высокий</x:v>
      </x:c>
      <x:c r="I676" s="12" t="str">
        <x:v>Средний</x:v>
      </x:c>
      <x:c r="J676" s="12" t="str">
        <x:f>IF(L676="","Укажите валюту",IF(NOT(ISNUMBER(K676)),"Укажите объём",IF(K676&lt;=0,"Укажите объём",IF(K676&gt;F676,"Объём выше излишка",IF(COUNT(M676:O676)&lt;3,"Нужны цены",IF(COUNT(P676:R676)&lt;3,"Нужны расходы",IF(OR(M676&lt;0,N676&lt;0,O676&lt;0,O676&gt;100,P676&lt;0,Q676&lt;0,R676&lt;0,R676&gt;100),"Проверьте значения","Рассчитано")))))))</x:f>
        <x:v>Нужны цены</x:v>
      </x:c>
      <x:c r="K676" s="36" t="n">
        <x:v>43</x:v>
      </x:c>
      <x:c r="L676" s="19" t="str">
        <x:v>KZT</x:v>
      </x:c>
      <x:c r="M676" s="22"/>
      <x:c r="N676" s="22"/>
      <x:c r="O676" s="28"/>
      <x:c r="P676" s="22"/>
      <x:c r="Q676" s="22"/>
      <x:c r="R676" s="28"/>
      <x:c r="S676" s="22"/>
      <x:c r="T676" s="35" t="n">
        <x:f>K676</x:f>
        <x:v>43</x:v>
      </x:c>
      <x:c r="U676" s="20" t="str">
        <x:f>IF(J676="Рассчитано",N676*(1-O676/100),"н/д")</x:f>
        <x:v>н/д</x:v>
      </x:c>
      <x:c r="V676" s="20" t="str">
        <x:f>IF(J676="Рассчитано",T676*U676,"н/д")</x:f>
        <x:v>н/д</x:v>
      </x:c>
      <x:c r="W676" s="20" t="str">
        <x:f>IF(J676="Рассчитано",T676*M676,"н/д")</x:f>
        <x:v>н/д</x:v>
      </x:c>
      <x:c r="X676" s="20" t="str">
        <x:f>IF(J676="Рассчитано",V676-W676,"н/д")</x:f>
        <x:v>н/д</x:v>
      </x:c>
      <x:c r="Y676" s="26" t="str">
        <x:f>IF(J676="Рассчитано",IF(V676&gt;0,G676/V676,"н/д"),"н/д")</x:f>
        <x:v>н/д</x:v>
      </x:c>
      <x:c r="Z676" s="20" t="str">
        <x:f>"н/д"</x:f>
        <x:v>н/д</x:v>
      </x:c>
      <x:c r="AA676" s="20" t="str">
        <x:f>"н/д"</x:f>
        <x:v>н/д</x:v>
      </x:c>
      <x:c r="AB676" s="20" t="str">
        <x:f>"н/д"</x:f>
        <x:v>н/д</x:v>
      </x:c>
      <x:c r="AC676" s="20" t="str">
        <x:f>IF(AND(J676="Рассчитано",T676&gt;0,R676&lt;100),(W676+P676+Q676)/(T676*(1-R676/100)),"н/д")</x:f>
        <x:v>н/д</x:v>
      </x:c>
      <x:c r="AD676" s="11" t="str">
        <x:f>IF(ISNUMBER(G676),IF(G676&lt;0,"Убыток",IF(G676=0,"Без прибыли","Прибыль &gt; 0")),"Не оценён")</x:f>
        <x:v>Не оценён</x:v>
      </x:c>
      <x:c r="AE676" s="12" t="str">
        <x:f>IF(J676="Рассчитано","Выручка "&amp;TEXT(V676,"0.00")&amp;" - себестоимость "&amp;TEXT(W676,"0.00")&amp;" - комиссия "&amp;TEXT(V676*R676/100,"0.00")&amp;" - доставка "&amp;TEXT(P676,"0.00")&amp;" - прочие "&amp;TEXT(Q676,"0.00")&amp;" = "&amp;TEXT(G676,"0.00")&amp;" "&amp;L676,"Введите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6" s="23" t="n">
        <x:v>47.08109295076045</x:v>
      </x:c>
      <x:c r="AG676" s="35" t="n">
        <x:v>91</x:v>
      </x:c>
      <x:c r="AH676" s="35" t="n">
        <x:v>0</x:v>
      </x:c>
      <x:c r="AI676" s="29" t="n">
        <x:v>46266</x:v>
      </x:c>
      <x:c r="AJ676" s="35" t="n">
        <x:v>100</x:v>
      </x:c>
      <x:c r="AK676" s="11" t="str">
        <x:v>минимум</x:v>
      </x:c>
      <x:c r="AL676" s="31" t="n">
        <x:v>164.36672444233784</x:v>
      </x:c>
      <x:c r="AM676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676" s="12" t="str">
        <x:v>Проверить свободный остаток и установить цену для B2B</x:v>
      </x:c>
      <x:c r="AO676" s="12" t="str">
        <x:v>Остаток 91; прогноз 90 дней 47.08; избыток 43 шт. Будущие поступления не выставляются на продажу. Остаток на начало сентября: требуется актуализация.</x:v>
      </x:c>
      <x:c r="AP676" s="12" t="str">
        <x:v>["category_missing", "daily_stockout_data_missing", "new_order_lead_time_unknown", "reservations_unknown", "stale_stock", "stockout_proxy_used"]</x:v>
      </x:c>
      <x:c r="AQ676" s="11" t="str">
        <x:v>IEK:130301673_</x:v>
      </x:c>
      <x:c r="AR676" s="23" t="n">
        <x:v>1</x:v>
      </x:c>
      <x:c r="AS676" s="23" t="n">
        <x:v>0</x:v>
      </x:c>
      <x:c r="AT676" s="23" t="n">
        <x:v>0</x:v>
      </x:c>
    </x:row>
    <x:row r="677" ht="64" customHeight="1">
      <x:c r="A677" s="10" t="str">
        <x:v>IEK</x:v>
      </x:c>
      <x:c r="B677" s="34" t="str">
        <x:v>130301674_</x:v>
      </x:c>
      <x:c r="C677" s="34" t="str">
        <x:v>YZN41-04-010-K02</x:v>
      </x:c>
      <x:c r="D677" s="13" t="str">
        <x:v>Блок зажимов БЗН ТВ-1004 10 мм2 100А 4 пары IEK</x:v>
      </x:c>
      <x:c r="E677" s="10" t="str">
        <x:v>шт</x:v>
      </x:c>
      <x:c r="F677" s="37" t="n">
        <x:f>MAX(0,ROUNDDOWN((AG677-AF677)/AR677+0.000000001,0)*AR677)</x:f>
        <x:v>5</x:v>
      </x:c>
      <x:c r="G677" s="21" t="str">
        <x:f>IF(J677="Рассчитано",V677*(1-R677/100)-W677-P677-Q677,"н/д")</x:f>
        <x:v>н/д</x:v>
      </x:c>
      <x:c r="H677" s="13" t="str">
        <x:v>Высокий</x:v>
      </x:c>
      <x:c r="I677" s="13" t="str">
        <x:v>Высокий</x:v>
      </x:c>
      <x:c r="J677" s="13" t="str">
        <x:f>IF(L677="","Укажите валюту",IF(NOT(ISNUMBER(K677)),"Укажите объём",IF(K677&lt;=0,"Укажите объём",IF(K677&gt;F677,"Объём выше излишка",IF(COUNT(M677:O677)&lt;3,"Нужны цены",IF(COUNT(P677:R677)&lt;3,"Нужны расходы",IF(OR(M677&lt;0,N677&lt;0,O677&lt;0,O677&gt;100,P677&lt;0,Q677&lt;0,R677&lt;0,R677&gt;100),"Проверьте значения","Рассчитано")))))))</x:f>
        <x:v>Нужны цены</x:v>
      </x:c>
      <x:c r="K677" s="36" t="n">
        <x:v>5</x:v>
      </x:c>
      <x:c r="L677" s="19" t="str">
        <x:v>KZT</x:v>
      </x:c>
      <x:c r="M677" s="22"/>
      <x:c r="N677" s="22"/>
      <x:c r="O677" s="28"/>
      <x:c r="P677" s="22"/>
      <x:c r="Q677" s="22"/>
      <x:c r="R677" s="28"/>
      <x:c r="S677" s="22"/>
      <x:c r="T677" s="37" t="n">
        <x:f>K677</x:f>
        <x:v>5</x:v>
      </x:c>
      <x:c r="U677" s="21" t="str">
        <x:f>IF(J677="Рассчитано",N677*(1-O677/100),"н/д")</x:f>
        <x:v>н/д</x:v>
      </x:c>
      <x:c r="V677" s="21" t="str">
        <x:f>IF(J677="Рассчитано",T677*U677,"н/д")</x:f>
        <x:v>н/д</x:v>
      </x:c>
      <x:c r="W677" s="21" t="str">
        <x:f>IF(J677="Рассчитано",T677*M677,"н/д")</x:f>
        <x:v>н/д</x:v>
      </x:c>
      <x:c r="X677" s="21" t="str">
        <x:f>IF(J677="Рассчитано",V677-W677,"н/д")</x:f>
        <x:v>н/д</x:v>
      </x:c>
      <x:c r="Y677" s="27" t="str">
        <x:f>IF(J677="Рассчитано",IF(V677&gt;0,G677/V677,"н/д"),"н/д")</x:f>
        <x:v>н/д</x:v>
      </x:c>
      <x:c r="Z677" s="21" t="str">
        <x:f>"н/д"</x:f>
        <x:v>н/д</x:v>
      </x:c>
      <x:c r="AA677" s="21" t="str">
        <x:f>"н/д"</x:f>
        <x:v>н/д</x:v>
      </x:c>
      <x:c r="AB677" s="21" t="str">
        <x:f>"н/д"</x:f>
        <x:v>н/д</x:v>
      </x:c>
      <x:c r="AC677" s="21" t="str">
        <x:f>IF(AND(J677="Рассчитано",T677&gt;0,R677&lt;100),(W677+P677+Q677)/(T677*(1-R677/100)),"н/д")</x:f>
        <x:v>н/д</x:v>
      </x:c>
      <x:c r="AD677" s="10" t="str">
        <x:f>IF(ISNUMBER(G677),IF(G677&lt;0,"Убыток",IF(G677=0,"Без прибыли","Прибыль &gt; 0")),"Не оценён")</x:f>
        <x:v>Не оценён</x:v>
      </x:c>
      <x:c r="AE677" s="13" t="str">
        <x:f>IF(J677="Рассчитано","Выручка "&amp;TEXT(V677,"0.00")&amp;" - себестоимость "&amp;TEXT(W677,"0.00")&amp;" - комиссия "&amp;TEXT(V677*R677/100,"0.00")&amp;" - доставка "&amp;TEXT(P677,"0.00")&amp;" - прочие "&amp;TEXT(Q677,"0.00")&amp;" = "&amp;TEXT(G677,"0.00")&amp;" "&amp;L677,"Введите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7" s="24" t="n">
        <x:v>1.5200890233902944</x:v>
      </x:c>
      <x:c r="AG677" s="37" t="n">
        <x:v>7</x:v>
      </x:c>
      <x:c r="AH677" s="37" t="n">
        <x:v>0</x:v>
      </x:c>
      <x:c r="AI677" s="30" t="n">
        <x:v>46266</x:v>
      </x:c>
      <x:c r="AJ677" s="37" t="n">
        <x:v>10</x:v>
      </x:c>
      <x:c r="AK677" s="10" t="str">
        <x:v>минимум</x:v>
      </x:c>
      <x:c r="AL677" s="32" t="n">
        <x:v>391.6048494733869</x:v>
      </x:c>
      <x:c r="AM677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677" s="13" t="str">
        <x:v>Проверить свободный остаток и установить цену для B2B</x:v>
      </x:c>
      <x:c r="AO677" s="13" t="str">
        <x:v>Остаток 7; прогноз 90 дней 1.52; избыток 5 шт. Будущие поступления не выставляются на продажу. Остаток на начало сентября: требуется актуализация.</x:v>
      </x:c>
      <x:c r="AP677" s="13" t="str">
        <x:v>["category_missing", "daily_stockout_data_missing", "new_order_lead_time_unknown", "reservations_unknown", "stale_stock", "stockout_proxy_used"]</x:v>
      </x:c>
      <x:c r="AQ677" s="10" t="str">
        <x:v>IEK:130301674_</x:v>
      </x:c>
      <x:c r="AR677" s="24" t="n">
        <x:v>1</x:v>
      </x:c>
      <x:c r="AS677" s="24" t="n">
        <x:v>0</x:v>
      </x:c>
      <x:c r="AT677" s="24" t="n">
        <x:v>0</x:v>
      </x:c>
    </x:row>
    <x:row r="678" ht="64" customHeight="1">
      <x:c r="A678" s="11" t="str">
        <x:v>IEK</x:v>
      </x:c>
      <x:c r="B678" s="33" t="str">
        <x:v>130301676_</x:v>
      </x:c>
      <x:c r="C678" s="33" t="str">
        <x:v>YZN41-06-002-K02</x:v>
      </x:c>
      <x:c r="D678" s="12" t="str">
        <x:v>Блок зажимов БЗН ТВ-2506 2,5 мм2 25А 6 пар IEK</x:v>
      </x:c>
      <x:c r="E678" s="11" t="str">
        <x:v>шт</x:v>
      </x:c>
      <x:c r="F678" s="35" t="n">
        <x:f>MAX(0,ROUNDDOWN((AG678-AF678)/AR678+0.000000001,0)*AR678)</x:f>
        <x:v>37</x:v>
      </x:c>
      <x:c r="G678" s="20" t="str">
        <x:f>IF(J678="Рассчитано",V678*(1-R678/100)-W678-P678-Q678,"н/д")</x:f>
        <x:v>н/д</x:v>
      </x:c>
      <x:c r="H678" s="12" t="str">
        <x:v>Высокий</x:v>
      </x:c>
      <x:c r="I678" s="12" t="str">
        <x:v>Высокий</x:v>
      </x:c>
      <x:c r="J678" s="12" t="str">
        <x:f>IF(L678="","Укажите валюту",IF(NOT(ISNUMBER(K678)),"Укажите объём",IF(K678&lt;=0,"Укажите объём",IF(K678&gt;F678,"Объём выше излишка",IF(COUNT(M678:O678)&lt;3,"Нужны цены",IF(COUNT(P678:R678)&lt;3,"Нужны расходы",IF(OR(M678&lt;0,N678&lt;0,O678&lt;0,O678&gt;100,P678&lt;0,Q678&lt;0,R678&lt;0,R678&gt;100),"Проверьте значения","Рассчитано")))))))</x:f>
        <x:v>Нужны цены</x:v>
      </x:c>
      <x:c r="K678" s="36" t="n">
        <x:v>37</x:v>
      </x:c>
      <x:c r="L678" s="19" t="str">
        <x:v>KZT</x:v>
      </x:c>
      <x:c r="M678" s="22"/>
      <x:c r="N678" s="22"/>
      <x:c r="O678" s="28"/>
      <x:c r="P678" s="22"/>
      <x:c r="Q678" s="22"/>
      <x:c r="R678" s="28"/>
      <x:c r="S678" s="22"/>
      <x:c r="T678" s="35" t="n">
        <x:f>K678</x:f>
        <x:v>37</x:v>
      </x:c>
      <x:c r="U678" s="20" t="str">
        <x:f>IF(J678="Рассчитано",N678*(1-O678/100),"н/д")</x:f>
        <x:v>н/д</x:v>
      </x:c>
      <x:c r="V678" s="20" t="str">
        <x:f>IF(J678="Рассчитано",T678*U678,"н/д")</x:f>
        <x:v>н/д</x:v>
      </x:c>
      <x:c r="W678" s="20" t="str">
        <x:f>IF(J678="Рассчитано",T678*M678,"н/д")</x:f>
        <x:v>н/д</x:v>
      </x:c>
      <x:c r="X678" s="20" t="str">
        <x:f>IF(J678="Рассчитано",V678-W678,"н/д")</x:f>
        <x:v>н/д</x:v>
      </x:c>
      <x:c r="Y678" s="26" t="str">
        <x:f>IF(J678="Рассчитано",IF(V678&gt;0,G678/V678,"н/д"),"н/д")</x:f>
        <x:v>н/д</x:v>
      </x:c>
      <x:c r="Z678" s="20" t="str">
        <x:f>"н/д"</x:f>
        <x:v>н/д</x:v>
      </x:c>
      <x:c r="AA678" s="20" t="str">
        <x:f>"н/д"</x:f>
        <x:v>н/д</x:v>
      </x:c>
      <x:c r="AB678" s="20" t="str">
        <x:f>"н/д"</x:f>
        <x:v>н/д</x:v>
      </x:c>
      <x:c r="AC678" s="20" t="str">
        <x:f>IF(AND(J678="Рассчитано",T678&gt;0,R678&lt;100),(W678+P678+Q678)/(T678*(1-R678/100)),"н/д")</x:f>
        <x:v>н/д</x:v>
      </x:c>
      <x:c r="AD678" s="11" t="str">
        <x:f>IF(ISNUMBER(G678),IF(G678&lt;0,"Убыток",IF(G678=0,"Без прибыли","Прибыль &gt; 0")),"Не оценён")</x:f>
        <x:v>Не оценён</x:v>
      </x:c>
      <x:c r="AE678" s="12" t="str">
        <x:f>IF(J678="Рассчитано","Выручка "&amp;TEXT(V678,"0.00")&amp;" - себестоимость "&amp;TEXT(W678,"0.00")&amp;" - комиссия "&amp;TEXT(V678*R678/100,"0.00")&amp;" - доставка "&amp;TEXT(P678,"0.00")&amp;" - прочие "&amp;TEXT(Q678,"0.00")&amp;" = "&amp;TEXT(G678,"0.00")&amp;" "&amp;L678,"Введите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8" s="23" t="n">
        <x:v>1.274459967408753</x:v>
      </x:c>
      <x:c r="AG678" s="35" t="n">
        <x:v>39</x:v>
      </x:c>
      <x:c r="AH678" s="35" t="n">
        <x:v>0</x:v>
      </x:c>
      <x:c r="AI678" s="29" t="n">
        <x:v>46266</x:v>
      </x:c>
      <x:c r="AJ678" s="35" t="n">
        <x:v>50</x:v>
      </x:c>
      <x:c r="AK678" s="11" t="str">
        <x:v>минимум</x:v>
      </x:c>
      <x:c r="AL678" s="31" t="n">
        <x:v>2602.3005472492346</x:v>
      </x:c>
      <x:c r="AM67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78" s="12" t="str">
        <x:v>Проверить свободный остаток и установить цену для B2B</x:v>
      </x:c>
      <x:c r="AO678" s="12" t="str">
        <x:v>Остаток 39; прогноз 90 дней 1.27; избыток 37 шт. Будущие поступления не выставляются на продажу. Остаток на начало сентября: требуется актуализация.</x:v>
      </x:c>
      <x:c r="AP678" s="12" t="str">
        <x:v>["category_missing", "daily_stockout_data_missing", "new_order_lead_time_unknown", "reservations_unknown", "stale_stock"]</x:v>
      </x:c>
      <x:c r="AQ678" s="11" t="str">
        <x:v>IEK:130301676_</x:v>
      </x:c>
      <x:c r="AR678" s="23" t="n">
        <x:v>1</x:v>
      </x:c>
      <x:c r="AS678" s="23" t="n">
        <x:v>0</x:v>
      </x:c>
      <x:c r="AT678" s="23" t="n">
        <x:v>0</x:v>
      </x:c>
    </x:row>
    <x:row r="679" ht="64" customHeight="1">
      <x:c r="A679" s="10" t="str">
        <x:v>IEK</x:v>
      </x:c>
      <x:c r="B679" s="34" t="str">
        <x:v>130301677_</x:v>
      </x:c>
      <x:c r="C679" s="34" t="str">
        <x:v>YZN41-06-004-K02</x:v>
      </x:c>
      <x:c r="D679" s="13" t="str">
        <x:v>Блок зажимов БЗН ТВ-4506 4,5 мм2 45А 6 пар IEK</x:v>
      </x:c>
      <x:c r="E679" s="10" t="str">
        <x:v>шт</x:v>
      </x:c>
      <x:c r="F679" s="37" t="n">
        <x:f>MAX(0,ROUNDDOWN((AG679-AF679)/AR679+0.000000001,0)*AR679)</x:f>
        <x:v>19</x:v>
      </x:c>
      <x:c r="G679" s="21" t="str">
        <x:f>IF(J679="Рассчитано",V679*(1-R679/100)-W679-P679-Q679,"н/д")</x:f>
        <x:v>н/д</x:v>
      </x:c>
      <x:c r="H679" s="13" t="str">
        <x:v>Высокий</x:v>
      </x:c>
      <x:c r="I679" s="13" t="str">
        <x:v>Высокий</x:v>
      </x:c>
      <x:c r="J679" s="13" t="str">
        <x:f>IF(L679="","Укажите валюту",IF(NOT(ISNUMBER(K679)),"Укажите объём",IF(K679&lt;=0,"Укажите объём",IF(K679&gt;F679,"Объём выше излишка",IF(COUNT(M679:O679)&lt;3,"Нужны цены",IF(COUNT(P679:R679)&lt;3,"Нужны расходы",IF(OR(M679&lt;0,N679&lt;0,O679&lt;0,O679&gt;100,P679&lt;0,Q679&lt;0,R679&lt;0,R679&gt;100),"Проверьте значения","Рассчитано")))))))</x:f>
        <x:v>Нужны цены</x:v>
      </x:c>
      <x:c r="K679" s="36" t="n">
        <x:v>19</x:v>
      </x:c>
      <x:c r="L679" s="19" t="str">
        <x:v>KZT</x:v>
      </x:c>
      <x:c r="M679" s="22"/>
      <x:c r="N679" s="22"/>
      <x:c r="O679" s="28"/>
      <x:c r="P679" s="22"/>
      <x:c r="Q679" s="22"/>
      <x:c r="R679" s="28"/>
      <x:c r="S679" s="22"/>
      <x:c r="T679" s="37" t="n">
        <x:f>K679</x:f>
        <x:v>19</x:v>
      </x:c>
      <x:c r="U679" s="21" t="str">
        <x:f>IF(J679="Рассчитано",N679*(1-O679/100),"н/д")</x:f>
        <x:v>н/д</x:v>
      </x:c>
      <x:c r="V679" s="21" t="str">
        <x:f>IF(J679="Рассчитано",T679*U679,"н/д")</x:f>
        <x:v>н/д</x:v>
      </x:c>
      <x:c r="W679" s="21" t="str">
        <x:f>IF(J679="Рассчитано",T679*M679,"н/д")</x:f>
        <x:v>н/д</x:v>
      </x:c>
      <x:c r="X679" s="21" t="str">
        <x:f>IF(J679="Рассчитано",V679-W679,"н/д")</x:f>
        <x:v>н/д</x:v>
      </x:c>
      <x:c r="Y679" s="27" t="str">
        <x:f>IF(J679="Рассчитано",IF(V679&gt;0,G679/V679,"н/д"),"н/д")</x:f>
        <x:v>н/д</x:v>
      </x:c>
      <x:c r="Z679" s="21" t="str">
        <x:f>"н/д"</x:f>
        <x:v>н/д</x:v>
      </x:c>
      <x:c r="AA679" s="21" t="str">
        <x:f>"н/д"</x:f>
        <x:v>н/д</x:v>
      </x:c>
      <x:c r="AB679" s="21" t="str">
        <x:f>"н/д"</x:f>
        <x:v>н/д</x:v>
      </x:c>
      <x:c r="AC679" s="21" t="str">
        <x:f>IF(AND(J679="Рассчитано",T679&gt;0,R679&lt;100),(W679+P679+Q679)/(T679*(1-R679/100)),"н/д")</x:f>
        <x:v>н/д</x:v>
      </x:c>
      <x:c r="AD679" s="10" t="str">
        <x:f>IF(ISNUMBER(G679),IF(G679&lt;0,"Убыток",IF(G679=0,"Без прибыли","Прибыль &gt; 0")),"Не оценён")</x:f>
        <x:v>Не оценён</x:v>
      </x:c>
      <x:c r="AE679" s="13" t="str">
        <x:f>IF(J679="Рассчитано","Выручка "&amp;TEXT(V679,"0.00")&amp;" - себестоимость "&amp;TEXT(W679,"0.00")&amp;" - комиссия "&amp;TEXT(V679*R679/100,"0.00")&amp;" - доставка "&amp;TEXT(P679,"0.00")&amp;" - прочие "&amp;TEXT(Q679,"0.00")&amp;" = "&amp;TEXT(G679,"0.00")&amp;" "&amp;L679,"Введите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9" s="24" t="n">
        <x:v>4.544208307164483</x:v>
      </x:c>
      <x:c r="AG679" s="37" t="n">
        <x:v>24</x:v>
      </x:c>
      <x:c r="AH679" s="37" t="n">
        <x:v>0</x:v>
      </x:c>
      <x:c r="AI679" s="30" t="n">
        <x:v>46266</x:v>
      </x:c>
      <x:c r="AJ679" s="37" t="n">
        <x:v>25</x:v>
      </x:c>
      <x:c r="AK679" s="10" t="str">
        <x:v>минимум</x:v>
      </x:c>
      <x:c r="AL679" s="32" t="n">
        <x:v>449.12998923603834</x:v>
      </x:c>
      <x:c r="AM679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679" s="13" t="str">
        <x:v>Проверить свободный остаток и установить цену для B2B</x:v>
      </x:c>
      <x:c r="AO679" s="13" t="str">
        <x:v>Остаток 24; прогноз 90 дней 4.54; избыток 19 шт. Будущие поступления не выставляются на продажу. Остаток на начало сентября: требуется актуализация.</x:v>
      </x:c>
      <x:c r="AP679" s="13" t="str">
        <x:v>["category_missing", "daily_stockout_data_missing", "new_order_lead_time_unknown", "reservations_unknown", "stale_stock", "stockout_proxy_used"]</x:v>
      </x:c>
      <x:c r="AQ679" s="10" t="str">
        <x:v>IEK:130301677_</x:v>
      </x:c>
      <x:c r="AR679" s="24" t="n">
        <x:v>1</x:v>
      </x:c>
      <x:c r="AS679" s="24" t="n">
        <x:v>0</x:v>
      </x:c>
      <x:c r="AT679" s="24" t="n">
        <x:v>0</x:v>
      </x:c>
    </x:row>
    <x:row r="680" ht="64" customHeight="1">
      <x:c r="A680" s="11" t="str">
        <x:v>IEK</x:v>
      </x:c>
      <x:c r="B680" s="33" t="str">
        <x:v>130301678_</x:v>
      </x:c>
      <x:c r="C680" s="33" t="str">
        <x:v>YZN41-12-002-K02</x:v>
      </x:c>
      <x:c r="D680" s="12" t="str">
        <x:v>Блок зажимов БЗН ТВ-2512 2,5 мм2 25А 12 пар IEK</x:v>
      </x:c>
      <x:c r="E680" s="11" t="str">
        <x:v>шт</x:v>
      </x:c>
      <x:c r="F680" s="35" t="n">
        <x:f>MAX(0,ROUNDDOWN((AG680-AF680)/AR680+0.000000001,0)*AR680)</x:f>
        <x:v>19</x:v>
      </x:c>
      <x:c r="G680" s="20" t="str">
        <x:f>IF(J680="Рассчитано",V680*(1-R680/100)-W680-P680-Q680,"н/д")</x:f>
        <x:v>н/д</x:v>
      </x:c>
      <x:c r="H680" s="12" t="str">
        <x:v>Высокий</x:v>
      </x:c>
      <x:c r="I680" s="12" t="str">
        <x:v>Высокий</x:v>
      </x:c>
      <x:c r="J680" s="12" t="str">
        <x:f>IF(L680="","Укажите валюту",IF(NOT(ISNUMBER(K680)),"Укажите объём",IF(K680&lt;=0,"Укажите объём",IF(K680&gt;F680,"Объём выше излишка",IF(COUNT(M680:O680)&lt;3,"Нужны цены",IF(COUNT(P680:R680)&lt;3,"Нужны расходы",IF(OR(M680&lt;0,N680&lt;0,O680&lt;0,O680&gt;100,P680&lt;0,Q680&lt;0,R680&lt;0,R680&gt;100),"Проверьте значения","Рассчитано")))))))</x:f>
        <x:v>Нужны цены</x:v>
      </x:c>
      <x:c r="K680" s="36" t="n">
        <x:v>19</x:v>
      </x:c>
      <x:c r="L680" s="19" t="str">
        <x:v>KZT</x:v>
      </x:c>
      <x:c r="M680" s="22"/>
      <x:c r="N680" s="22"/>
      <x:c r="O680" s="28"/>
      <x:c r="P680" s="22"/>
      <x:c r="Q680" s="22"/>
      <x:c r="R680" s="28"/>
      <x:c r="S680" s="22"/>
      <x:c r="T680" s="35" t="n">
        <x:f>K680</x:f>
        <x:v>19</x:v>
      </x:c>
      <x:c r="U680" s="20" t="str">
        <x:f>IF(J680="Рассчитано",N680*(1-O680/100),"н/д")</x:f>
        <x:v>н/д</x:v>
      </x:c>
      <x:c r="V680" s="20" t="str">
        <x:f>IF(J680="Рассчитано",T680*U680,"н/д")</x:f>
        <x:v>н/д</x:v>
      </x:c>
      <x:c r="W680" s="20" t="str">
        <x:f>IF(J680="Рассчитано",T680*M680,"н/д")</x:f>
        <x:v>н/д</x:v>
      </x:c>
      <x:c r="X680" s="20" t="str">
        <x:f>IF(J680="Рассчитано",V680-W680,"н/д")</x:f>
        <x:v>н/д</x:v>
      </x:c>
      <x:c r="Y680" s="26" t="str">
        <x:f>IF(J680="Рассчитано",IF(V680&gt;0,G680/V680,"н/д"),"н/д")</x:f>
        <x:v>н/д</x:v>
      </x:c>
      <x:c r="Z680" s="20" t="str">
        <x:f>"н/д"</x:f>
        <x:v>н/д</x:v>
      </x:c>
      <x:c r="AA680" s="20" t="str">
        <x:f>"н/д"</x:f>
        <x:v>н/д</x:v>
      </x:c>
      <x:c r="AB680" s="20" t="str">
        <x:f>"н/д"</x:f>
        <x:v>н/д</x:v>
      </x:c>
      <x:c r="AC680" s="20" t="str">
        <x:f>IF(AND(J680="Рассчитано",T680&gt;0,R680&lt;100),(W680+P680+Q680)/(T680*(1-R680/100)),"н/д")</x:f>
        <x:v>н/д</x:v>
      </x:c>
      <x:c r="AD680" s="11" t="str">
        <x:f>IF(ISNUMBER(G680),IF(G680&lt;0,"Убыток",IF(G680=0,"Без прибыли","Прибыль &gt; 0")),"Не оценён")</x:f>
        <x:v>Не оценён</x:v>
      </x:c>
      <x:c r="AE680" s="12" t="str">
        <x:f>IF(J680="Рассчитано","Выручка "&amp;TEXT(V680,"0.00")&amp;" - себестоимость "&amp;TEXT(W680,"0.00")&amp;" - комиссия "&amp;TEXT(V680*R680/100,"0.00")&amp;" - доставка "&amp;TEXT(P680,"0.00")&amp;" - прочие "&amp;TEXT(Q680,"0.00")&amp;" = "&amp;TEXT(G680,"0.00")&amp;" "&amp;L680,"Введите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0" s="23" t="n">
        <x:v>4.128262050709859</x:v>
      </x:c>
      <x:c r="AG680" s="35" t="n">
        <x:v>24</x:v>
      </x:c>
      <x:c r="AH680" s="35" t="n">
        <x:v>0</x:v>
      </x:c>
      <x:c r="AI680" s="29" t="n">
        <x:v>46266</x:v>
      </x:c>
      <x:c r="AJ680" s="35" t="n">
        <x:v>25</x:v>
      </x:c>
      <x:c r="AK680" s="11" t="str">
        <x:v>минимум</x:v>
      </x:c>
      <x:c r="AL680" s="31" t="n">
        <x:v>494.38243091476113</x:v>
      </x:c>
      <x:c r="AM680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680" s="12" t="str">
        <x:v>Проверить свободный остаток и установить цену для B2B</x:v>
      </x:c>
      <x:c r="AO680" s="12" t="str">
        <x:v>Остаток 24; прогноз 90 дней 4.13; избыток 19 шт. Будущие поступления не выставляются на продажу. Остаток на начало сентября: требуется актуализация.</x:v>
      </x:c>
      <x:c r="AP680" s="12" t="str">
        <x:v>["category_missing", "daily_stockout_data_missing", "new_order_lead_time_unknown", "reservations_unknown", "stale_stock", "stockout_proxy_used"]</x:v>
      </x:c>
      <x:c r="AQ680" s="11" t="str">
        <x:v>IEK:130301678_</x:v>
      </x:c>
      <x:c r="AR680" s="23" t="n">
        <x:v>1</x:v>
      </x:c>
      <x:c r="AS680" s="23" t="n">
        <x:v>0</x:v>
      </x:c>
      <x:c r="AT680" s="23" t="n">
        <x:v>0</x:v>
      </x:c>
    </x:row>
    <x:row r="681" ht="64" customHeight="1">
      <x:c r="A681" s="10" t="str">
        <x:v>IEK</x:v>
      </x:c>
      <x:c r="B681" s="34" t="str">
        <x:v>130301679_</x:v>
      </x:c>
      <x:c r="C681" s="34" t="str">
        <x:v>YZN41-12-004-K02</x:v>
      </x:c>
      <x:c r="D681" s="13" t="str">
        <x:v>Блок зажимов БЗН ТВ-4512 4,5 мм2 45А 12 пар IEK</x:v>
      </x:c>
      <x:c r="E681" s="10" t="str">
        <x:v>шт</x:v>
      </x:c>
      <x:c r="F681" s="37" t="n">
        <x:f>MAX(0,ROUNDDOWN((AG681-AF681)/AR681+0.000000001,0)*AR681)</x:f>
        <x:v>2</x:v>
      </x:c>
      <x:c r="G681" s="21" t="str">
        <x:f>IF(J681="Рассчитано",V681*(1-R681/100)-W681-P681-Q681,"н/д")</x:f>
        <x:v>н/д</x:v>
      </x:c>
      <x:c r="H681" s="13" t="str">
        <x:v>Высокий</x:v>
      </x:c>
      <x:c r="I681" s="13" t="str">
        <x:v>Средний</x:v>
      </x:c>
      <x:c r="J681" s="13" t="str">
        <x:f>IF(L681="","Укажите валюту",IF(NOT(ISNUMBER(K681)),"Укажите объём",IF(K681&lt;=0,"Укажите объём",IF(K681&gt;F681,"Объём выше излишка",IF(COUNT(M681:O681)&lt;3,"Нужны цены",IF(COUNT(P681:R681)&lt;3,"Нужны расходы",IF(OR(M681&lt;0,N681&lt;0,O681&lt;0,O681&gt;100,P681&lt;0,Q681&lt;0,R681&lt;0,R681&gt;100),"Проверьте значения","Рассчитано")))))))</x:f>
        <x:v>Нужны цены</x:v>
      </x:c>
      <x:c r="K681" s="36" t="n">
        <x:v>2</x:v>
      </x:c>
      <x:c r="L681" s="19" t="str">
        <x:v>KZT</x:v>
      </x:c>
      <x:c r="M681" s="22"/>
      <x:c r="N681" s="22"/>
      <x:c r="O681" s="28"/>
      <x:c r="P681" s="22"/>
      <x:c r="Q681" s="22"/>
      <x:c r="R681" s="28"/>
      <x:c r="S681" s="22"/>
      <x:c r="T681" s="37" t="n">
        <x:f>K681</x:f>
        <x:v>2</x:v>
      </x:c>
      <x:c r="U681" s="21" t="str">
        <x:f>IF(J681="Рассчитано",N681*(1-O681/100),"н/д")</x:f>
        <x:v>н/д</x:v>
      </x:c>
      <x:c r="V681" s="21" t="str">
        <x:f>IF(J681="Рассчитано",T681*U681,"н/д")</x:f>
        <x:v>н/д</x:v>
      </x:c>
      <x:c r="W681" s="21" t="str">
        <x:f>IF(J681="Рассчитано",T681*M681,"н/д")</x:f>
        <x:v>н/д</x:v>
      </x:c>
      <x:c r="X681" s="21" t="str">
        <x:f>IF(J681="Рассчитано",V681-W681,"н/д")</x:f>
        <x:v>н/д</x:v>
      </x:c>
      <x:c r="Y681" s="27" t="str">
        <x:f>IF(J681="Рассчитано",IF(V681&gt;0,G681/V681,"н/д"),"н/д")</x:f>
        <x:v>н/д</x:v>
      </x:c>
      <x:c r="Z681" s="21" t="str">
        <x:f>"н/д"</x:f>
        <x:v>н/д</x:v>
      </x:c>
      <x:c r="AA681" s="21" t="str">
        <x:f>"н/д"</x:f>
        <x:v>н/д</x:v>
      </x:c>
      <x:c r="AB681" s="21" t="str">
        <x:f>"н/д"</x:f>
        <x:v>н/д</x:v>
      </x:c>
      <x:c r="AC681" s="21" t="str">
        <x:f>IF(AND(J681="Рассчитано",T681&gt;0,R681&lt;100),(W681+P681+Q681)/(T681*(1-R681/100)),"н/д")</x:f>
        <x:v>н/д</x:v>
      </x:c>
      <x:c r="AD681" s="10" t="str">
        <x:f>IF(ISNUMBER(G681),IF(G681&lt;0,"Убыток",IF(G681=0,"Без прибыли","Прибыль &gt; 0")),"Не оценён")</x:f>
        <x:v>Не оценён</x:v>
      </x:c>
      <x:c r="AE681" s="13" t="str">
        <x:f>IF(J681="Рассчитано","Выручка "&amp;TEXT(V681,"0.00")&amp;" - себестоимость "&amp;TEXT(W681,"0.00")&amp;" - комиссия "&amp;TEXT(V681*R681/100,"0.00")&amp;" - доставка "&amp;TEXT(P681,"0.00")&amp;" - прочие "&amp;TEXT(Q681,"0.00")&amp;" = "&amp;TEXT(G681,"0.00")&amp;" "&amp;L681,"Введите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1" s="24" t="n">
        <x:v>7.828976751211881</x:v>
      </x:c>
      <x:c r="AG681" s="37" t="n">
        <x:v>10</x:v>
      </x:c>
      <x:c r="AH681" s="37" t="n">
        <x:v>0</x:v>
      </x:c>
      <x:c r="AI681" s="30" t="n">
        <x:v>46266</x:v>
      </x:c>
      <x:c r="AJ681" s="37" t="n">
        <x:v>20</x:v>
      </x:c>
      <x:c r="AK681" s="10" t="str">
        <x:v>минимум</x:v>
      </x:c>
      <x:c r="AL681" s="32" t="n">
        <x:v>108.62106105624271</x:v>
      </x:c>
      <x:c r="AM681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681" s="13" t="str">
        <x:v>Проверить свободный остаток и установить цену для B2B</x:v>
      </x:c>
      <x:c r="AO681" s="13" t="str">
        <x:v>Остаток 10; прогноз 90 дней 7.83; избыток 2 шт. Будущие поступления не выставляются на продажу. Остаток на начало сентября: требуется актуализация.</x:v>
      </x:c>
      <x:c r="AP681" s="13" t="str">
        <x:v>["category_missing", "daily_stockout_data_missing", "new_order_lead_time_unknown", "reservations_unknown", "stale_stock", "stockout_proxy_used"]</x:v>
      </x:c>
      <x:c r="AQ681" s="10" t="str">
        <x:v>IEK:130301679_</x:v>
      </x:c>
      <x:c r="AR681" s="24" t="n">
        <x:v>1</x:v>
      </x:c>
      <x:c r="AS681" s="24" t="n">
        <x:v>0</x:v>
      </x:c>
      <x:c r="AT681" s="24" t="n">
        <x:v>0</x:v>
      </x:c>
    </x:row>
    <x:row r="682" ht="64" customHeight="1">
      <x:c r="A682" s="11" t="str">
        <x:v>IEK</x:v>
      </x:c>
      <x:c r="B682" s="33" t="str">
        <x:v>130301686_</x:v>
      </x:c>
      <x:c r="C682" s="33" t="str">
        <x:v>YCT12-03-4-K52-004</x:v>
      </x:c>
      <x:c r="D682" s="12" t="str">
        <x:v>Колодка клеммная CTS-MC-PEN земля 4 вывода 4мм2 ИЭК</x:v>
      </x:c>
      <x:c r="E682" s="11" t="str">
        <x:v>шт</x:v>
      </x:c>
      <x:c r="F682" s="35" t="n">
        <x:f>MAX(0,ROUNDDOWN((AG682-AF682)/AR682+0.000000001,0)*AR682)</x:f>
        <x:v>44</x:v>
      </x:c>
      <x:c r="G682" s="20" t="str">
        <x:f>IF(J682="Рассчитано",V682*(1-R682/100)-W682-P682-Q682,"н/д")</x:f>
        <x:v>н/д</x:v>
      </x:c>
      <x:c r="H682" s="12" t="str">
        <x:v>Высокий</x:v>
      </x:c>
      <x:c r="I682" s="12" t="str">
        <x:v>Высокий</x:v>
      </x:c>
      <x:c r="J682" s="12" t="str">
        <x:f>IF(L682="","Укажите валюту",IF(NOT(ISNUMBER(K682)),"Укажите объём",IF(K682&lt;=0,"Укажите объём",IF(K682&gt;F682,"Объём выше излишка",IF(COUNT(M682:O682)&lt;3,"Нужны цены",IF(COUNT(P682:R682)&lt;3,"Нужны расходы",IF(OR(M682&lt;0,N682&lt;0,O682&lt;0,O682&gt;100,P682&lt;0,Q682&lt;0,R682&lt;0,R682&gt;100),"Проверьте значения","Рассчитано")))))))</x:f>
        <x:v>Нужны цены</x:v>
      </x:c>
      <x:c r="K682" s="36" t="n">
        <x:v>44</x:v>
      </x:c>
      <x:c r="L682" s="19" t="str">
        <x:v>KZT</x:v>
      </x:c>
      <x:c r="M682" s="22"/>
      <x:c r="N682" s="22"/>
      <x:c r="O682" s="28"/>
      <x:c r="P682" s="22"/>
      <x:c r="Q682" s="22"/>
      <x:c r="R682" s="28"/>
      <x:c r="S682" s="22"/>
      <x:c r="T682" s="35" t="n">
        <x:f>K682</x:f>
        <x:v>44</x:v>
      </x:c>
      <x:c r="U682" s="20" t="str">
        <x:f>IF(J682="Рассчитано",N682*(1-O682/100),"н/д")</x:f>
        <x:v>н/д</x:v>
      </x:c>
      <x:c r="V682" s="20" t="str">
        <x:f>IF(J682="Рассчитано",T682*U682,"н/д")</x:f>
        <x:v>н/д</x:v>
      </x:c>
      <x:c r="W682" s="20" t="str">
        <x:f>IF(J682="Рассчитано",T682*M682,"н/д")</x:f>
        <x:v>н/д</x:v>
      </x:c>
      <x:c r="X682" s="20" t="str">
        <x:f>IF(J682="Рассчитано",V682-W682,"н/д")</x:f>
        <x:v>н/д</x:v>
      </x:c>
      <x:c r="Y682" s="26" t="str">
        <x:f>IF(J682="Рассчитано",IF(V682&gt;0,G682/V682,"н/д"),"н/д")</x:f>
        <x:v>н/д</x:v>
      </x:c>
      <x:c r="Z682" s="20" t="str">
        <x:f>"н/д"</x:f>
        <x:v>н/д</x:v>
      </x:c>
      <x:c r="AA682" s="20" t="str">
        <x:f>"н/д"</x:f>
        <x:v>н/д</x:v>
      </x:c>
      <x:c r="AB682" s="20" t="str">
        <x:f>"н/д"</x:f>
        <x:v>н/д</x:v>
      </x:c>
      <x:c r="AC682" s="20" t="str">
        <x:f>IF(AND(J682="Рассчитано",T682&gt;0,R682&lt;100),(W682+P682+Q682)/(T682*(1-R682/100)),"н/д")</x:f>
        <x:v>н/д</x:v>
      </x:c>
      <x:c r="AD682" s="11" t="str">
        <x:f>IF(ISNUMBER(G682),IF(G682&lt;0,"Убыток",IF(G682=0,"Без прибыли","Прибыль &gt; 0")),"Не оценён")</x:f>
        <x:v>Не оценён</x:v>
      </x:c>
      <x:c r="AE682" s="12" t="str">
        <x:f>IF(J682="Рассчитано","Выручка "&amp;TEXT(V682,"0.00")&amp;" - себестоимость "&amp;TEXT(W682,"0.00")&amp;" - комиссия "&amp;TEXT(V682*R682/100,"0.00")&amp;" - доставка "&amp;TEXT(P682,"0.00")&amp;" - прочие "&amp;TEXT(Q682,"0.00")&amp;" = "&amp;TEXT(G682,"0.00")&amp;" "&amp;L682,"Введите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2" s="23" t="n">
        <x:v>0.3946026802068693</x:v>
      </x:c>
      <x:c r="AG682" s="35" t="n">
        <x:v>45</x:v>
      </x:c>
      <x:c r="AH682" s="35" t="n">
        <x:v>0</x:v>
      </x:c>
      <x:c r="AI682" s="29" t="n">
        <x:v>46266</x:v>
      </x:c>
      <x:c r="AJ682" s="35" t="n">
        <x:v>50</x:v>
      </x:c>
      <x:c r="AK682" s="11" t="str">
        <x:v>минимум</x:v>
      </x:c>
      <x:c r="AL682" s="31" t="n">
        <x:v>9697.762127843731</x:v>
      </x:c>
      <x:c r="AM68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82" s="12" t="str">
        <x:v>Проверить свободный остаток и установить цену для B2B</x:v>
      </x:c>
      <x:c r="AO682" s="12" t="str">
        <x:v>Остаток 45; прогноз 90 дней 0.39; избыток 44 шт. Будущие поступления не выставляются на продажу. Остаток на начало сентября: требуется актуализация.</x:v>
      </x:c>
      <x:c r="AP682" s="12" t="str">
        <x:v>["category_missing", "daily_stockout_data_missing", "new_order_lead_time_unknown", "reservations_unknown", "stale_stock"]</x:v>
      </x:c>
      <x:c r="AQ682" s="11" t="str">
        <x:v>IEK:130301686_</x:v>
      </x:c>
      <x:c r="AR682" s="23" t="n">
        <x:v>1</x:v>
      </x:c>
      <x:c r="AS682" s="23" t="n">
        <x:v>0</x:v>
      </x:c>
      <x:c r="AT682" s="23" t="n">
        <x:v>0</x:v>
      </x:c>
    </x:row>
    <x:row r="683" ht="64" customHeight="1">
      <x:c r="A683" s="10" t="str">
        <x:v>IEK</x:v>
      </x:c>
      <x:c r="B683" s="34" t="str">
        <x:v>130301688_</x:v>
      </x:c>
      <x:c r="C683" s="34" t="str">
        <x:v>YCT12-00-4-K03-004</x:v>
      </x:c>
      <x:c r="D683" s="13" t="str">
        <x:v>Колодка клеммная CTS-MC 4 вывода 4мм2 серая ИЭК</x:v>
      </x:c>
      <x:c r="E683" s="10" t="str">
        <x:v>шт</x:v>
      </x:c>
      <x:c r="F683" s="37" t="n">
        <x:f>MAX(0,ROUNDDOWN((AG683-AF683)/AR683+0.000000001,0)*AR683)</x:f>
        <x:v>25</x:v>
      </x:c>
      <x:c r="G683" s="21" t="str">
        <x:f>IF(J683="Рассчитано",V683*(1-R683/100)-W683-P683-Q683,"н/д")</x:f>
        <x:v>н/д</x:v>
      </x:c>
      <x:c r="H683" s="13" t="str">
        <x:v>Высокий</x:v>
      </x:c>
      <x:c r="I683" s="13" t="str">
        <x:v>Высокий</x:v>
      </x:c>
      <x:c r="J683" s="13" t="str">
        <x:f>IF(L683="","Укажите валюту",IF(NOT(ISNUMBER(K683)),"Укажите объём",IF(K683&lt;=0,"Укажите объём",IF(K683&gt;F683,"Объём выше излишка",IF(COUNT(M683:O683)&lt;3,"Нужны цены",IF(COUNT(P683:R683)&lt;3,"Нужны расходы",IF(OR(M683&lt;0,N683&lt;0,O683&lt;0,O683&gt;100,P683&lt;0,Q683&lt;0,R683&lt;0,R683&gt;100),"Проверьте значения","Рассчитано")))))))</x:f>
        <x:v>Нужны цены</x:v>
      </x:c>
      <x:c r="K683" s="36" t="n">
        <x:v>25</x:v>
      </x:c>
      <x:c r="L683" s="19" t="str">
        <x:v>KZT</x:v>
      </x:c>
      <x:c r="M683" s="22"/>
      <x:c r="N683" s="22"/>
      <x:c r="O683" s="28"/>
      <x:c r="P683" s="22"/>
      <x:c r="Q683" s="22"/>
      <x:c r="R683" s="28"/>
      <x:c r="S683" s="22"/>
      <x:c r="T683" s="37" t="n">
        <x:f>K683</x:f>
        <x:v>25</x:v>
      </x:c>
      <x:c r="U683" s="21" t="str">
        <x:f>IF(J683="Рассчитано",N683*(1-O683/100),"н/д")</x:f>
        <x:v>н/д</x:v>
      </x:c>
      <x:c r="V683" s="21" t="str">
        <x:f>IF(J683="Рассчитано",T683*U683,"н/д")</x:f>
        <x:v>н/д</x:v>
      </x:c>
      <x:c r="W683" s="21" t="str">
        <x:f>IF(J683="Рассчитано",T683*M683,"н/д")</x:f>
        <x:v>н/д</x:v>
      </x:c>
      <x:c r="X683" s="21" t="str">
        <x:f>IF(J683="Рассчитано",V683-W683,"н/д")</x:f>
        <x:v>н/д</x:v>
      </x:c>
      <x:c r="Y683" s="27" t="str">
        <x:f>IF(J683="Рассчитано",IF(V683&gt;0,G683/V683,"н/д"),"н/д")</x:f>
        <x:v>н/д</x:v>
      </x:c>
      <x:c r="Z683" s="21" t="str">
        <x:f>"н/д"</x:f>
        <x:v>н/д</x:v>
      </x:c>
      <x:c r="AA683" s="21" t="str">
        <x:f>"н/д"</x:f>
        <x:v>н/д</x:v>
      </x:c>
      <x:c r="AB683" s="21" t="str">
        <x:f>"н/д"</x:f>
        <x:v>н/д</x:v>
      </x:c>
      <x:c r="AC683" s="21" t="str">
        <x:f>IF(AND(J683="Рассчитано",T683&gt;0,R683&lt;100),(W683+P683+Q683)/(T683*(1-R683/100)),"н/д")</x:f>
        <x:v>н/д</x:v>
      </x:c>
      <x:c r="AD683" s="10" t="str">
        <x:f>IF(ISNUMBER(G683),IF(G683&lt;0,"Убыток",IF(G683=0,"Без прибыли","Прибыль &gt; 0")),"Не оценён")</x:f>
        <x:v>Не оценён</x:v>
      </x:c>
      <x:c r="AE683" s="13" t="str">
        <x:f>IF(J683="Рассчитано","Выручка "&amp;TEXT(V683,"0.00")&amp;" - себестоимость "&amp;TEXT(W683,"0.00")&amp;" - комиссия "&amp;TEXT(V683*R683/100,"0.00")&amp;" - доставка "&amp;TEXT(P683,"0.00")&amp;" - прочие "&amp;TEXT(Q683,"0.00")&amp;" = "&amp;TEXT(G683,"0.00")&amp;" "&amp;L683,"Введите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3" s="24" t="n">
        <x:v>7.999813453462135</x:v>
      </x:c>
      <x:c r="AG683" s="37" t="n">
        <x:v>33</x:v>
      </x:c>
      <x:c r="AH683" s="37" t="n">
        <x:v>0</x:v>
      </x:c>
      <x:c r="AI683" s="30" t="n">
        <x:v>46266</x:v>
      </x:c>
      <x:c r="AJ683" s="37" t="n">
        <x:v>50</x:v>
      </x:c>
      <x:c r="AK683" s="10" t="str">
        <x:v>минимум</x:v>
      </x:c>
      <x:c r="AL683" s="32" t="n">
        <x:v>350.79478164578524</x:v>
      </x:c>
      <x:c r="AM6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83" s="13" t="str">
        <x:v>Проверить свободный остаток и установить цену для B2B</x:v>
      </x:c>
      <x:c r="AO683" s="13" t="str">
        <x:v>Остаток 33; прогноз 90 дней 8.00; избыток 25 шт. Будущие поступления не выставляются на продажу. Остаток на начало сентября: требуется актуализация.</x:v>
      </x:c>
      <x:c r="AP683" s="13" t="str">
        <x:v>["category_missing", "daily_stockout_data_missing", "new_order_lead_time_unknown", "reservations_unknown", "stale_stock"]</x:v>
      </x:c>
      <x:c r="AQ683" s="10" t="str">
        <x:v>IEK:130301688_</x:v>
      </x:c>
      <x:c r="AR683" s="24" t="n">
        <x:v>1</x:v>
      </x:c>
      <x:c r="AS683" s="24" t="n">
        <x:v>0</x:v>
      </x:c>
      <x:c r="AT683" s="24" t="n">
        <x:v>0</x:v>
      </x:c>
    </x:row>
    <x:row r="684" ht="64" customHeight="1">
      <x:c r="A684" s="11" t="str">
        <x:v>IEK</x:v>
      </x:c>
      <x:c r="B684" s="33" t="str">
        <x:v>130301689_</x:v>
      </x:c>
      <x:c r="C684" s="33" t="str">
        <x:v>YCT20-00-K03-010</x:v>
      </x:c>
      <x:c r="D684" s="12" t="str">
        <x:v>Колодка клеммная CP 10мм2 серая ИЭК</x:v>
      </x:c>
      <x:c r="E684" s="11" t="str">
        <x:v>шт</x:v>
      </x:c>
      <x:c r="F684" s="35" t="n">
        <x:f>MAX(0,ROUNDDOWN((AG684-AF684)/AR684+0.000000001,0)*AR684)</x:f>
        <x:v>8</x:v>
      </x:c>
      <x:c r="G684" s="20" t="str">
        <x:f>IF(J684="Рассчитано",V684*(1-R684/100)-W684-P684-Q684,"н/д")</x:f>
        <x:v>н/д</x:v>
      </x:c>
      <x:c r="H684" s="12" t="str">
        <x:v>Высокий</x:v>
      </x:c>
      <x:c r="I684" s="12" t="str">
        <x:v>Средний</x:v>
      </x:c>
      <x:c r="J684" s="12" t="str">
        <x:f>IF(L684="","Укажите валюту",IF(NOT(ISNUMBER(K684)),"Укажите объём",IF(K684&lt;=0,"Укажите объём",IF(K684&gt;F684,"Объём выше излишка",IF(COUNT(M684:O684)&lt;3,"Нужны цены",IF(COUNT(P684:R684)&lt;3,"Нужны расходы",IF(OR(M684&lt;0,N684&lt;0,O684&lt;0,O684&gt;100,P684&lt;0,Q684&lt;0,R684&lt;0,R684&gt;100),"Проверьте значения","Рассчитано")))))))</x:f>
        <x:v>Нужны цены</x:v>
      </x:c>
      <x:c r="K684" s="36" t="n">
        <x:v>8</x:v>
      </x:c>
      <x:c r="L684" s="19" t="str">
        <x:v>KZT</x:v>
      </x:c>
      <x:c r="M684" s="22"/>
      <x:c r="N684" s="22"/>
      <x:c r="O684" s="28"/>
      <x:c r="P684" s="22"/>
      <x:c r="Q684" s="22"/>
      <x:c r="R684" s="28"/>
      <x:c r="S684" s="22"/>
      <x:c r="T684" s="35" t="n">
        <x:f>K684</x:f>
        <x:v>8</x:v>
      </x:c>
      <x:c r="U684" s="20" t="str">
        <x:f>IF(J684="Рассчитано",N684*(1-O684/100),"н/д")</x:f>
        <x:v>н/д</x:v>
      </x:c>
      <x:c r="V684" s="20" t="str">
        <x:f>IF(J684="Рассчитано",T684*U684,"н/д")</x:f>
        <x:v>н/д</x:v>
      </x:c>
      <x:c r="W684" s="20" t="str">
        <x:f>IF(J684="Рассчитано",T684*M684,"н/д")</x:f>
        <x:v>н/д</x:v>
      </x:c>
      <x:c r="X684" s="20" t="str">
        <x:f>IF(J684="Рассчитано",V684-W684,"н/д")</x:f>
        <x:v>н/д</x:v>
      </x:c>
      <x:c r="Y684" s="26" t="str">
        <x:f>IF(J684="Рассчитано",IF(V684&gt;0,G684/V684,"н/д"),"н/д")</x:f>
        <x:v>н/д</x:v>
      </x:c>
      <x:c r="Z684" s="20" t="str">
        <x:f>"н/д"</x:f>
        <x:v>н/д</x:v>
      </x:c>
      <x:c r="AA684" s="20" t="str">
        <x:f>"н/д"</x:f>
        <x:v>н/д</x:v>
      </x:c>
      <x:c r="AB684" s="20" t="str">
        <x:f>"н/д"</x:f>
        <x:v>н/д</x:v>
      </x:c>
      <x:c r="AC684" s="20" t="str">
        <x:f>IF(AND(J684="Рассчитано",T684&gt;0,R684&lt;100),(W684+P684+Q684)/(T684*(1-R684/100)),"н/д")</x:f>
        <x:v>н/д</x:v>
      </x:c>
      <x:c r="AD684" s="11" t="str">
        <x:f>IF(ISNUMBER(G684),IF(G684&lt;0,"Убыток",IF(G684=0,"Без прибыли","Прибыль &gt; 0")),"Не оценён")</x:f>
        <x:v>Не оценён</x:v>
      </x:c>
      <x:c r="AE684" s="12" t="str">
        <x:f>IF(J684="Рассчитано","Выручка "&amp;TEXT(V684,"0.00")&amp;" - себестоимость "&amp;TEXT(W684,"0.00")&amp;" - комиссия "&amp;TEXT(V684*R684/100,"0.00")&amp;" - доставка "&amp;TEXT(P684,"0.00")&amp;" - прочие "&amp;TEXT(Q684,"0.00")&amp;" = "&amp;TEXT(G684,"0.00")&amp;" "&amp;L684,"Введите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4" s="23" t="n">
        <x:v>19.799768438340386</x:v>
      </x:c>
      <x:c r="AG684" s="35" t="n">
        <x:v>28</x:v>
      </x:c>
      <x:c r="AH684" s="35" t="n">
        <x:v>0</x:v>
      </x:c>
      <x:c r="AI684" s="29" t="n">
        <x:v>46266</x:v>
      </x:c>
      <x:c r="AJ684" s="35" t="n">
        <x:v>100</x:v>
      </x:c>
      <x:c r="AK684" s="11" t="str">
        <x:v>минимум</x:v>
      </x:c>
      <x:c r="AL684" s="31" t="n">
        <x:v>120.25882727763852</x:v>
      </x:c>
      <x:c r="AM684" s="12" t="str">
        <x:v>Остаток на начало сентября; Резервы неизвестны; Нет ежедневных данных доступности. Запас выше прогноза на 90 дней</x:v>
      </x:c>
      <x:c r="AN684" s="12" t="str">
        <x:v>Проверить свободный остаток и установить цену для B2B</x:v>
      </x:c>
      <x:c r="AO684" s="12" t="str">
        <x:v>Остаток 28; прогноз 90 дней 19.80; избыток 8 шт. Будущие поступления не выставляются на продажу. Остаток на начало сентября: требуется актуализация.</x:v>
      </x:c>
      <x:c r="AP684" s="12" t="str">
        <x:v>["category_missing", "daily_stockout_data_missing", "new_order_lead_time_unknown", "reservations_unknown", "stale_stock"]</x:v>
      </x:c>
      <x:c r="AQ684" s="11" t="str">
        <x:v>IEK:130301689_</x:v>
      </x:c>
      <x:c r="AR684" s="23" t="n">
        <x:v>1</x:v>
      </x:c>
      <x:c r="AS684" s="23" t="n">
        <x:v>0</x:v>
      </x:c>
      <x:c r="AT684" s="23" t="n">
        <x:v>0</x:v>
      </x:c>
    </x:row>
    <x:row r="685" ht="64" customHeight="1">
      <x:c r="A685" s="10" t="str">
        <x:v>IEK</x:v>
      </x:c>
      <x:c r="B685" s="34" t="str">
        <x:v>130301692_</x:v>
      </x:c>
      <x:c r="C685" s="34" t="str">
        <x:v>YCT22-00-4-K03-004</x:v>
      </x:c>
      <x:c r="D685" s="13" t="str">
        <x:v>Колодка клеммная CP-MC 4 вывода 4мм2 серая ИЭК</x:v>
      </x:c>
      <x:c r="E685" s="10" t="str">
        <x:v>шт</x:v>
      </x:c>
      <x:c r="F685" s="37" t="n">
        <x:f>MAX(0,ROUNDDOWN((AG685-AF685)/AR685+0.000000001,0)*AR685)</x:f>
        <x:v>44</x:v>
      </x:c>
      <x:c r="G685" s="21" t="str">
        <x:f>IF(J685="Рассчитано",V685*(1-R685/100)-W685-P685-Q685,"н/д")</x:f>
        <x:v>н/д</x:v>
      </x:c>
      <x:c r="H685" s="13" t="str">
        <x:v>Высокий</x:v>
      </x:c>
      <x:c r="I685" s="13" t="str">
        <x:v>Высокий</x:v>
      </x:c>
      <x:c r="J685" s="13" t="str">
        <x:f>IF(L685="","Укажите валюту",IF(NOT(ISNUMBER(K685)),"Укажите объём",IF(K685&lt;=0,"Укажите объём",IF(K685&gt;F685,"Объём выше излишка",IF(COUNT(M685:O685)&lt;3,"Нужны цены",IF(COUNT(P685:R685)&lt;3,"Нужны расходы",IF(OR(M685&lt;0,N685&lt;0,O685&lt;0,O685&gt;100,P685&lt;0,Q685&lt;0,R685&lt;0,R685&gt;100),"Проверьте значения","Рассчитано")))))))</x:f>
        <x:v>Нужны цены</x:v>
      </x:c>
      <x:c r="K685" s="36" t="n">
        <x:v>44</x:v>
      </x:c>
      <x:c r="L685" s="19" t="str">
        <x:v>KZT</x:v>
      </x:c>
      <x:c r="M685" s="22"/>
      <x:c r="N685" s="22"/>
      <x:c r="O685" s="28"/>
      <x:c r="P685" s="22"/>
      <x:c r="Q685" s="22"/>
      <x:c r="R685" s="28"/>
      <x:c r="S685" s="22"/>
      <x:c r="T685" s="37" t="n">
        <x:f>K685</x:f>
        <x:v>44</x:v>
      </x:c>
      <x:c r="U685" s="21" t="str">
        <x:f>IF(J685="Рассчитано",N685*(1-O685/100),"н/д")</x:f>
        <x:v>н/д</x:v>
      </x:c>
      <x:c r="V685" s="21" t="str">
        <x:f>IF(J685="Рассчитано",T685*U685,"н/д")</x:f>
        <x:v>н/д</x:v>
      </x:c>
      <x:c r="W685" s="21" t="str">
        <x:f>IF(J685="Рассчитано",T685*M685,"н/д")</x:f>
        <x:v>н/д</x:v>
      </x:c>
      <x:c r="X685" s="21" t="str">
        <x:f>IF(J685="Рассчитано",V685-W685,"н/д")</x:f>
        <x:v>н/д</x:v>
      </x:c>
      <x:c r="Y685" s="27" t="str">
        <x:f>IF(J685="Рассчитано",IF(V685&gt;0,G685/V685,"н/д"),"н/д")</x:f>
        <x:v>н/д</x:v>
      </x:c>
      <x:c r="Z685" s="21" t="str">
        <x:f>"н/д"</x:f>
        <x:v>н/д</x:v>
      </x:c>
      <x:c r="AA685" s="21" t="str">
        <x:f>"н/д"</x:f>
        <x:v>н/д</x:v>
      </x:c>
      <x:c r="AB685" s="21" t="str">
        <x:f>"н/д"</x:f>
        <x:v>н/д</x:v>
      </x:c>
      <x:c r="AC685" s="21" t="str">
        <x:f>IF(AND(J685="Рассчитано",T685&gt;0,R685&lt;100),(W685+P685+Q685)/(T685*(1-R685/100)),"н/д")</x:f>
        <x:v>н/д</x:v>
      </x:c>
      <x:c r="AD685" s="10" t="str">
        <x:f>IF(ISNUMBER(G685),IF(G685&lt;0,"Убыток",IF(G685=0,"Без прибыли","Прибыль &gt; 0")),"Не оценён")</x:f>
        <x:v>Не оценён</x:v>
      </x:c>
      <x:c r="AE685" s="13" t="str">
        <x:f>IF(J685="Рассчитано","Выручка "&amp;TEXT(V685,"0.00")&amp;" - себестоимость "&amp;TEXT(W685,"0.00")&amp;" - комиссия "&amp;TEXT(V685*R685/100,"0.00")&amp;" - доставка "&amp;TEXT(P685,"0.00")&amp;" - прочие "&amp;TEXT(Q685,"0.00")&amp;" = "&amp;TEXT(G685,"0.00")&amp;" "&amp;L685,"Введите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5" s="24" t="n">
        <x:v>0.45029055901027654</x:v>
      </x:c>
      <x:c r="AG685" s="37" t="n">
        <x:v>45</x:v>
      </x:c>
      <x:c r="AH685" s="37" t="n">
        <x:v>0</x:v>
      </x:c>
      <x:c r="AI685" s="30" t="n">
        <x:v>46266</x:v>
      </x:c>
      <x:c r="AJ685" s="37" t="n">
        <x:v>50</x:v>
      </x:c>
      <x:c r="AK685" s="10" t="str">
        <x:v>минимум</x:v>
      </x:c>
      <x:c r="AL685" s="32" t="n">
        <x:v>8498.430293690617</x:v>
      </x:c>
      <x:c r="AM6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85" s="13" t="str">
        <x:v>Проверить свободный остаток и установить цену для B2B</x:v>
      </x:c>
      <x:c r="AO685" s="13" t="str">
        <x:v>Остаток 45; прогноз 90 дней 0.45; избыток 44 шт. Будущие поступления не выставляются на продажу. Остаток на начало сентября: требуется актуализация.</x:v>
      </x:c>
      <x:c r="AP685" s="13" t="str">
        <x:v>["category_missing", "daily_stockout_data_missing", "new_order_lead_time_unknown", "reservations_unknown", "stale_stock"]</x:v>
      </x:c>
      <x:c r="AQ685" s="10" t="str">
        <x:v>IEK:130301692_</x:v>
      </x:c>
      <x:c r="AR685" s="24" t="n">
        <x:v>1</x:v>
      </x:c>
      <x:c r="AS685" s="24" t="n">
        <x:v>0</x:v>
      </x:c>
      <x:c r="AT685" s="24" t="n">
        <x:v>0</x:v>
      </x:c>
    </x:row>
    <x:row r="686" ht="64" customHeight="1">
      <x:c r="A686" s="11" t="str">
        <x:v>IEK</x:v>
      </x:c>
      <x:c r="B686" s="33" t="str">
        <x:v>130301693_</x:v>
      </x:c>
      <x:c r="C686" s="33" t="str">
        <x:v>YCT22-00-3-K03-010</x:v>
      </x:c>
      <x:c r="D686" s="12" t="str">
        <x:v>Колодка клеммная CP-MC 3 вывода 10мм2 серая ИЭК</x:v>
      </x:c>
      <x:c r="E686" s="11" t="str">
        <x:v>шт</x:v>
      </x:c>
      <x:c r="F686" s="35" t="n">
        <x:f>MAX(0,ROUNDDOWN((AG686-AF686)/AR686+0.000000001,0)*AR686)</x:f>
        <x:v>32</x:v>
      </x:c>
      <x:c r="G686" s="20" t="str">
        <x:f>IF(J686="Рассчитано",V686*(1-R686/100)-W686-P686-Q686,"н/д")</x:f>
        <x:v>н/д</x:v>
      </x:c>
      <x:c r="H686" s="12" t="str">
        <x:v>Высокий</x:v>
      </x:c>
      <x:c r="I686" s="12" t="str">
        <x:v>Высокий</x:v>
      </x:c>
      <x:c r="J686" s="12" t="str">
        <x:f>IF(L686="","Укажите валюту",IF(NOT(ISNUMBER(K686)),"Укажите объём",IF(K686&lt;=0,"Укажите объём",IF(K686&gt;F686,"Объём выше излишка",IF(COUNT(M686:O686)&lt;3,"Нужны цены",IF(COUNT(P686:R686)&lt;3,"Нужны расходы",IF(OR(M686&lt;0,N686&lt;0,O686&lt;0,O686&gt;100,P686&lt;0,Q686&lt;0,R686&lt;0,R686&gt;100),"Проверьте значения","Рассчитано")))))))</x:f>
        <x:v>Нужны цены</x:v>
      </x:c>
      <x:c r="K686" s="36" t="n">
        <x:v>32</x:v>
      </x:c>
      <x:c r="L686" s="19" t="str">
        <x:v>KZT</x:v>
      </x:c>
      <x:c r="M686" s="22"/>
      <x:c r="N686" s="22"/>
      <x:c r="O686" s="28"/>
      <x:c r="P686" s="22"/>
      <x:c r="Q686" s="22"/>
      <x:c r="R686" s="28"/>
      <x:c r="S686" s="22"/>
      <x:c r="T686" s="35" t="n">
        <x:f>K686</x:f>
        <x:v>32</x:v>
      </x:c>
      <x:c r="U686" s="20" t="str">
        <x:f>IF(J686="Рассчитано",N686*(1-O686/100),"н/д")</x:f>
        <x:v>н/д</x:v>
      </x:c>
      <x:c r="V686" s="20" t="str">
        <x:f>IF(J686="Рассчитано",T686*U686,"н/д")</x:f>
        <x:v>н/д</x:v>
      </x:c>
      <x:c r="W686" s="20" t="str">
        <x:f>IF(J686="Рассчитано",T686*M686,"н/д")</x:f>
        <x:v>н/д</x:v>
      </x:c>
      <x:c r="X686" s="20" t="str">
        <x:f>IF(J686="Рассчитано",V686-W686,"н/д")</x:f>
        <x:v>н/д</x:v>
      </x:c>
      <x:c r="Y686" s="26" t="str">
        <x:f>IF(J686="Рассчитано",IF(V686&gt;0,G686/V686,"н/д"),"н/д")</x:f>
        <x:v>н/д</x:v>
      </x:c>
      <x:c r="Z686" s="20" t="str">
        <x:f>"н/д"</x:f>
        <x:v>н/д</x:v>
      </x:c>
      <x:c r="AA686" s="20" t="str">
        <x:f>"н/д"</x:f>
        <x:v>н/д</x:v>
      </x:c>
      <x:c r="AB686" s="20" t="str">
        <x:f>"н/д"</x:f>
        <x:v>н/д</x:v>
      </x:c>
      <x:c r="AC686" s="20" t="str">
        <x:f>IF(AND(J686="Рассчитано",T686&gt;0,R686&lt;100),(W686+P686+Q686)/(T686*(1-R686/100)),"н/д")</x:f>
        <x:v>н/д</x:v>
      </x:c>
      <x:c r="AD686" s="11" t="str">
        <x:f>IF(ISNUMBER(G686),IF(G686&lt;0,"Убыток",IF(G686=0,"Без прибыли","Прибыль &gt; 0")),"Не оценён")</x:f>
        <x:v>Не оценён</x:v>
      </x:c>
      <x:c r="AE686" s="12" t="str">
        <x:f>IF(J686="Рассчитано","Выручка "&amp;TEXT(V686,"0.00")&amp;" - себестоимость "&amp;TEXT(W686,"0.00")&amp;" - комиссия "&amp;TEXT(V686*R686/100,"0.00")&amp;" - доставка "&amp;TEXT(P686,"0.00")&amp;" - прочие "&amp;TEXT(Q686,"0.00")&amp;" = "&amp;TEXT(G686,"0.00")&amp;" "&amp;L686,"Введите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6" s="23" t="n">
        <x:v>4.450197285741344</x:v>
      </x:c>
      <x:c r="AG686" s="35" t="n">
        <x:v>37</x:v>
      </x:c>
      <x:c r="AH686" s="35" t="n">
        <x:v>0</x:v>
      </x:c>
      <x:c r="AI686" s="29" t="n">
        <x:v>46266</x:v>
      </x:c>
      <x:c r="AJ686" s="35" t="n">
        <x:v>50</x:v>
      </x:c>
      <x:c r="AK686" s="11" t="str">
        <x:v>минимум</x:v>
      </x:c>
      <x:c r="AL686" s="31" t="n">
        <x:v>707.0359618384031</x:v>
      </x:c>
      <x:c r="AM68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86" s="12" t="str">
        <x:v>Проверить свободный остаток и установить цену для B2B</x:v>
      </x:c>
      <x:c r="AO686" s="12" t="str">
        <x:v>Остаток 37; прогноз 90 дней 4.45; избыток 32 шт. Будущие поступления не выставляются на продажу. Остаток на начало сентября: требуется актуализация.</x:v>
      </x:c>
      <x:c r="AP686" s="12" t="str">
        <x:v>["category_missing", "daily_stockout_data_missing", "new_order_lead_time_unknown", "reservations_unknown", "stale_stock"]</x:v>
      </x:c>
      <x:c r="AQ686" s="11" t="str">
        <x:v>IEK:130301693_</x:v>
      </x:c>
      <x:c r="AR686" s="23" t="n">
        <x:v>1</x:v>
      </x:c>
      <x:c r="AS686" s="23" t="n">
        <x:v>0</x:v>
      </x:c>
      <x:c r="AT686" s="23" t="n">
        <x:v>0</x:v>
      </x:c>
    </x:row>
    <x:row r="687" ht="64" customHeight="1">
      <x:c r="A687" s="10" t="str">
        <x:v>IEK</x:v>
      </x:c>
      <x:c r="B687" s="34" t="str">
        <x:v>130301694_</x:v>
      </x:c>
      <x:c r="C687" s="34" t="str">
        <x:v>YCT23-03-2-K03-001</x:v>
      </x:c>
      <x:c r="D687" s="13" t="str">
        <x:v>Колодка клеммная CP-ML-PEN 2 ур. земля-низ 1,5мм2 серая ИЭК</x:v>
      </x:c>
      <x:c r="E687" s="10" t="str">
        <x:v>шт</x:v>
      </x:c>
      <x:c r="F687" s="37" t="n">
        <x:f>MAX(0,ROUNDDOWN((AG687-AF687)/AR687+0.000000001,0)*AR687)</x:f>
        <x:v>47</x:v>
      </x:c>
      <x:c r="G687" s="21" t="str">
        <x:f>IF(J687="Рассчитано",V687*(1-R687/100)-W687-P687-Q687,"н/д")</x:f>
        <x:v>н/д</x:v>
      </x:c>
      <x:c r="H687" s="13" t="str">
        <x:v>Высокий</x:v>
      </x:c>
      <x:c r="I687" s="13" t="str">
        <x:v>Высокий</x:v>
      </x:c>
      <x:c r="J687" s="13" t="str">
        <x:f>IF(L687="","Укажите валюту",IF(NOT(ISNUMBER(K687)),"Укажите объём",IF(K687&lt;=0,"Укажите объём",IF(K687&gt;F687,"Объём выше излишка",IF(COUNT(M687:O687)&lt;3,"Нужны цены",IF(COUNT(P687:R687)&lt;3,"Нужны расходы",IF(OR(M687&lt;0,N687&lt;0,O687&lt;0,O687&gt;100,P687&lt;0,Q687&lt;0,R687&lt;0,R687&gt;100),"Проверьте значения","Рассчитано")))))))</x:f>
        <x:v>Нужны цены</x:v>
      </x:c>
      <x:c r="K687" s="36" t="n">
        <x:v>47</x:v>
      </x:c>
      <x:c r="L687" s="19" t="str">
        <x:v>KZT</x:v>
      </x:c>
      <x:c r="M687" s="22"/>
      <x:c r="N687" s="22"/>
      <x:c r="O687" s="28"/>
      <x:c r="P687" s="22"/>
      <x:c r="Q687" s="22"/>
      <x:c r="R687" s="28"/>
      <x:c r="S687" s="22"/>
      <x:c r="T687" s="37" t="n">
        <x:f>K687</x:f>
        <x:v>47</x:v>
      </x:c>
      <x:c r="U687" s="21" t="str">
        <x:f>IF(J687="Рассчитано",N687*(1-O687/100),"н/д")</x:f>
        <x:v>н/д</x:v>
      </x:c>
      <x:c r="V687" s="21" t="str">
        <x:f>IF(J687="Рассчитано",T687*U687,"н/д")</x:f>
        <x:v>н/д</x:v>
      </x:c>
      <x:c r="W687" s="21" t="str">
        <x:f>IF(J687="Рассчитано",T687*M687,"н/д")</x:f>
        <x:v>н/д</x:v>
      </x:c>
      <x:c r="X687" s="21" t="str">
        <x:f>IF(J687="Рассчитано",V687-W687,"н/д")</x:f>
        <x:v>н/д</x:v>
      </x:c>
      <x:c r="Y687" s="27" t="str">
        <x:f>IF(J687="Рассчитано",IF(V687&gt;0,G687/V687,"н/д"),"н/д")</x:f>
        <x:v>н/д</x:v>
      </x:c>
      <x:c r="Z687" s="21" t="str">
        <x:f>"н/д"</x:f>
        <x:v>н/д</x:v>
      </x:c>
      <x:c r="AA687" s="21" t="str">
        <x:f>"н/д"</x:f>
        <x:v>н/д</x:v>
      </x:c>
      <x:c r="AB687" s="21" t="str">
        <x:f>"н/д"</x:f>
        <x:v>н/д</x:v>
      </x:c>
      <x:c r="AC687" s="21" t="str">
        <x:f>IF(AND(J687="Рассчитано",T687&gt;0,R687&lt;100),(W687+P687+Q687)/(T687*(1-R687/100)),"н/д")</x:f>
        <x:v>н/д</x:v>
      </x:c>
      <x:c r="AD687" s="10" t="str">
        <x:f>IF(ISNUMBER(G687),IF(G687&lt;0,"Убыток",IF(G687=0,"Без прибыли","Прибыль &gt; 0")),"Не оценён")</x:f>
        <x:v>Не оценён</x:v>
      </x:c>
      <x:c r="AE687" s="13" t="str">
        <x:f>IF(J687="Рассчитано","Выручка "&amp;TEXT(V687,"0.00")&amp;" - себестоимость "&amp;TEXT(W687,"0.00")&amp;" - комиссия "&amp;TEXT(V687*R687/100,"0.00")&amp;" - доставка "&amp;TEXT(P687,"0.00")&amp;" - прочие "&amp;TEXT(Q687,"0.00")&amp;" = "&amp;TEXT(G687,"0.00")&amp;" "&amp;L687,"Введите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7" s="24" t="n">
        <x:v>0</x:v>
      </x:c>
      <x:c r="AG687" s="37" t="n">
        <x:v>47</x:v>
      </x:c>
      <x:c r="AH687" s="37" t="n">
        <x:v>0</x:v>
      </x:c>
      <x:c r="AI687" s="30" t="n">
        <x:v>46266</x:v>
      </x:c>
      <x:c r="AJ687" s="37" t="n">
        <x:v>50</x:v>
      </x:c>
      <x:c r="AK687" s="10" t="str">
        <x:v>минимум</x:v>
      </x:c>
      <x:c r="AL687" s="32" t="str">
        <x:v>н/д</x:v>
      </x:c>
      <x:c r="AM68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87" s="13" t="str">
        <x:v>Проверить свободный остаток и установить цену для B2B</x:v>
      </x:c>
      <x:c r="AO687" s="13" t="str">
        <x:v>Остаток 47; прогноз 90 дней 0.00; избыток 47 шт. Будущие поступления не выставляются на продажу. Остаток на начало сентября: требуется актуализация.</x:v>
      </x:c>
      <x:c r="AP687" s="13" t="str">
        <x:v>["category_missing", "daily_stockout_data_missing", "new_order_lead_time_unknown", "reservations_unknown", "stale_stock"]</x:v>
      </x:c>
      <x:c r="AQ687" s="10" t="str">
        <x:v>IEK:130301694_</x:v>
      </x:c>
      <x:c r="AR687" s="24" t="n">
        <x:v>1</x:v>
      </x:c>
      <x:c r="AS687" s="24" t="n">
        <x:v>0</x:v>
      </x:c>
      <x:c r="AT687" s="24" t="n">
        <x:v>0</x:v>
      </x:c>
    </x:row>
    <x:row r="688" ht="64" customHeight="1">
      <x:c r="A688" s="11" t="str">
        <x:v>IEK</x:v>
      </x:c>
      <x:c r="B688" s="33" t="str">
        <x:v>130301695_</x:v>
      </x:c>
      <x:c r="C688" s="33" t="str">
        <x:v>YCT23-00-2-K03-001</x:v>
      </x:c>
      <x:c r="D688" s="12" t="str">
        <x:v>Колодка клеммная CP-ML 2 ур. 1,5мм2 серая ИЭК</x:v>
      </x:c>
      <x:c r="E688" s="11" t="str">
        <x:v>шт</x:v>
      </x:c>
      <x:c r="F688" s="35" t="n">
        <x:f>MAX(0,ROUNDDOWN((AG688-AF688)/AR688+0.000000001,0)*AR688)</x:f>
        <x:v>37</x:v>
      </x:c>
      <x:c r="G688" s="20" t="str">
        <x:f>IF(J688="Рассчитано",V688*(1-R688/100)-W688-P688-Q688,"н/д")</x:f>
        <x:v>н/д</x:v>
      </x:c>
      <x:c r="H688" s="12" t="str">
        <x:v>Высокий</x:v>
      </x:c>
      <x:c r="I688" s="12" t="str">
        <x:v>Высокий</x:v>
      </x:c>
      <x:c r="J688" s="12" t="str">
        <x:f>IF(L688="","Укажите валюту",IF(NOT(ISNUMBER(K688)),"Укажите объём",IF(K688&lt;=0,"Укажите объём",IF(K688&gt;F688,"Объём выше излишка",IF(COUNT(M688:O688)&lt;3,"Нужны цены",IF(COUNT(P688:R688)&lt;3,"Нужны расходы",IF(OR(M688&lt;0,N688&lt;0,O688&lt;0,O688&gt;100,P688&lt;0,Q688&lt;0,R688&lt;0,R688&gt;100),"Проверьте значения","Рассчитано")))))))</x:f>
        <x:v>Нужны цены</x:v>
      </x:c>
      <x:c r="K688" s="36" t="n">
        <x:v>37</x:v>
      </x:c>
      <x:c r="L688" s="19" t="str">
        <x:v>KZT</x:v>
      </x:c>
      <x:c r="M688" s="22"/>
      <x:c r="N688" s="22"/>
      <x:c r="O688" s="28"/>
      <x:c r="P688" s="22"/>
      <x:c r="Q688" s="22"/>
      <x:c r="R688" s="28"/>
      <x:c r="S688" s="22"/>
      <x:c r="T688" s="35" t="n">
        <x:f>K688</x:f>
        <x:v>37</x:v>
      </x:c>
      <x:c r="U688" s="20" t="str">
        <x:f>IF(J688="Рассчитано",N688*(1-O688/100),"н/д")</x:f>
        <x:v>н/д</x:v>
      </x:c>
      <x:c r="V688" s="20" t="str">
        <x:f>IF(J688="Рассчитано",T688*U688,"н/д")</x:f>
        <x:v>н/д</x:v>
      </x:c>
      <x:c r="W688" s="20" t="str">
        <x:f>IF(J688="Рассчитано",T688*M688,"н/д")</x:f>
        <x:v>н/д</x:v>
      </x:c>
      <x:c r="X688" s="20" t="str">
        <x:f>IF(J688="Рассчитано",V688-W688,"н/д")</x:f>
        <x:v>н/д</x:v>
      </x:c>
      <x:c r="Y688" s="26" t="str">
        <x:f>IF(J688="Рассчитано",IF(V688&gt;0,G688/V688,"н/д"),"н/д")</x:f>
        <x:v>н/д</x:v>
      </x:c>
      <x:c r="Z688" s="20" t="str">
        <x:f>"н/д"</x:f>
        <x:v>н/д</x:v>
      </x:c>
      <x:c r="AA688" s="20" t="str">
        <x:f>"н/д"</x:f>
        <x:v>н/д</x:v>
      </x:c>
      <x:c r="AB688" s="20" t="str">
        <x:f>"н/д"</x:f>
        <x:v>н/д</x:v>
      </x:c>
      <x:c r="AC688" s="20" t="str">
        <x:f>IF(AND(J688="Рассчитано",T688&gt;0,R688&lt;100),(W688+P688+Q688)/(T688*(1-R688/100)),"н/д")</x:f>
        <x:v>н/д</x:v>
      </x:c>
      <x:c r="AD688" s="11" t="str">
        <x:f>IF(ISNUMBER(G688),IF(G688&lt;0,"Убыток",IF(G688=0,"Без прибыли","Прибыль &gt; 0")),"Не оценён")</x:f>
        <x:v>Не оценён</x:v>
      </x:c>
      <x:c r="AE688" s="12" t="str">
        <x:f>IF(J688="Рассчитано","Выручка "&amp;TEXT(V688,"0.00")&amp;" - себестоимость "&amp;TEXT(W688,"0.00")&amp;" - комиссия "&amp;TEXT(V688*R688/100,"0.00")&amp;" - доставка "&amp;TEXT(P688,"0.00")&amp;" - прочие "&amp;TEXT(Q688,"0.00")&amp;" = "&amp;TEXT(G688,"0.00")&amp;" "&amp;L688,"Введите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8" s="23" t="n">
        <x:v>13.795379921351714</x:v>
      </x:c>
      <x:c r="AG688" s="35" t="n">
        <x:v>51</x:v>
      </x:c>
      <x:c r="AH688" s="35" t="n">
        <x:v>0</x:v>
      </x:c>
      <x:c r="AI688" s="29" t="n">
        <x:v>46266</x:v>
      </x:c>
      <x:c r="AJ688" s="35" t="n">
        <x:v>50</x:v>
      </x:c>
      <x:c r="AK688" s="11" t="str">
        <x:v>минимум</x:v>
      </x:c>
      <x:c r="AL688" s="31" t="n">
        <x:v>314.380467185541</x:v>
      </x:c>
      <x:c r="AM688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688" s="12" t="str">
        <x:v>Проверить свободный остаток и установить цену для B2B</x:v>
      </x:c>
      <x:c r="AO688" s="12" t="str">
        <x:v>Остаток 51; прогноз 90 дней 13.80; избыток 37 шт. Будущие поступления не выставляются на продажу. Остаток на начало сентября: требуется актуализация.</x:v>
      </x:c>
      <x:c r="AP688" s="12" t="str">
        <x:v>["category_missing", "daily_stockout_data_missing", "new_order_lead_time_unknown", "reservations_unknown", "stale_stock", "stockout_proxy_used"]</x:v>
      </x:c>
      <x:c r="AQ688" s="11" t="str">
        <x:v>IEK:130301695_</x:v>
      </x:c>
      <x:c r="AR688" s="23" t="n">
        <x:v>1</x:v>
      </x:c>
      <x:c r="AS688" s="23" t="n">
        <x:v>0</x:v>
      </x:c>
      <x:c r="AT688" s="23" t="n">
        <x:v>0</x:v>
      </x:c>
    </x:row>
    <x:row r="689" ht="64" customHeight="1">
      <x:c r="A689" s="10" t="str">
        <x:v>IEK</x:v>
      </x:c>
      <x:c r="B689" s="34" t="str">
        <x:v>130301696_</x:v>
      </x:c>
      <x:c r="C689" s="34" t="str">
        <x:v>YCT23-00-2-K03-004</x:v>
      </x:c>
      <x:c r="D689" s="13" t="str">
        <x:v>Колодка клеммная CP-ML 2 ур. 4мм2 серая ИЭК</x:v>
      </x:c>
      <x:c r="E689" s="10" t="str">
        <x:v>шт</x:v>
      </x:c>
      <x:c r="F689" s="37" t="n">
        <x:f>MAX(0,ROUNDDOWN((AG689-AF689)/AR689+0.000000001,0)*AR689)</x:f>
        <x:v>42</x:v>
      </x:c>
      <x:c r="G689" s="21" t="str">
        <x:f>IF(J689="Рассчитано",V689*(1-R689/100)-W689-P689-Q689,"н/д")</x:f>
        <x:v>н/д</x:v>
      </x:c>
      <x:c r="H689" s="13" t="str">
        <x:v>Высокий</x:v>
      </x:c>
      <x:c r="I689" s="13" t="str">
        <x:v>Высокий</x:v>
      </x:c>
      <x:c r="J689" s="13" t="str">
        <x:f>IF(L689="","Укажите валюту",IF(NOT(ISNUMBER(K689)),"Укажите объём",IF(K689&lt;=0,"Укажите объём",IF(K689&gt;F689,"Объём выше излишка",IF(COUNT(M689:O689)&lt;3,"Нужны цены",IF(COUNT(P689:R689)&lt;3,"Нужны расходы",IF(OR(M689&lt;0,N689&lt;0,O689&lt;0,O689&gt;100,P689&lt;0,Q689&lt;0,R689&lt;0,R689&gt;100),"Проверьте значения","Рассчитано")))))))</x:f>
        <x:v>Нужны цены</x:v>
      </x:c>
      <x:c r="K689" s="36" t="n">
        <x:v>42</x:v>
      </x:c>
      <x:c r="L689" s="19" t="str">
        <x:v>KZT</x:v>
      </x:c>
      <x:c r="M689" s="22"/>
      <x:c r="N689" s="22"/>
      <x:c r="O689" s="28"/>
      <x:c r="P689" s="22"/>
      <x:c r="Q689" s="22"/>
      <x:c r="R689" s="28"/>
      <x:c r="S689" s="22"/>
      <x:c r="T689" s="37" t="n">
        <x:f>K689</x:f>
        <x:v>42</x:v>
      </x:c>
      <x:c r="U689" s="21" t="str">
        <x:f>IF(J689="Рассчитано",N689*(1-O689/100),"н/д")</x:f>
        <x:v>н/д</x:v>
      </x:c>
      <x:c r="V689" s="21" t="str">
        <x:f>IF(J689="Рассчитано",T689*U689,"н/д")</x:f>
        <x:v>н/д</x:v>
      </x:c>
      <x:c r="W689" s="21" t="str">
        <x:f>IF(J689="Рассчитано",T689*M689,"н/д")</x:f>
        <x:v>н/д</x:v>
      </x:c>
      <x:c r="X689" s="21" t="str">
        <x:f>IF(J689="Рассчитано",V689-W689,"н/д")</x:f>
        <x:v>н/д</x:v>
      </x:c>
      <x:c r="Y689" s="27" t="str">
        <x:f>IF(J689="Рассчитано",IF(V689&gt;0,G689/V689,"н/д"),"н/д")</x:f>
        <x:v>н/д</x:v>
      </x:c>
      <x:c r="Z689" s="21" t="str">
        <x:f>"н/д"</x:f>
        <x:v>н/д</x:v>
      </x:c>
      <x:c r="AA689" s="21" t="str">
        <x:f>"н/д"</x:f>
        <x:v>н/д</x:v>
      </x:c>
      <x:c r="AB689" s="21" t="str">
        <x:f>"н/д"</x:f>
        <x:v>н/д</x:v>
      </x:c>
      <x:c r="AC689" s="21" t="str">
        <x:f>IF(AND(J689="Рассчитано",T689&gt;0,R689&lt;100),(W689+P689+Q689)/(T689*(1-R689/100)),"н/д")</x:f>
        <x:v>н/д</x:v>
      </x:c>
      <x:c r="AD689" s="10" t="str">
        <x:f>IF(ISNUMBER(G689),IF(G689&lt;0,"Убыток",IF(G689=0,"Без прибыли","Прибыль &gt; 0")),"Не оценён")</x:f>
        <x:v>Не оценён</x:v>
      </x:c>
      <x:c r="AE689" s="13" t="str">
        <x:f>IF(J689="Рассчитано","Выручка "&amp;TEXT(V689,"0.00")&amp;" - себестоимость "&amp;TEXT(W689,"0.00")&amp;" - комиссия "&amp;TEXT(V689*R689/100,"0.00")&amp;" - доставка "&amp;TEXT(P689,"0.00")&amp;" - прочие "&amp;TEXT(Q689,"0.00")&amp;" = "&amp;TEXT(G689,"0.00")&amp;" "&amp;L689,"Введите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9" s="24" t="n">
        <x:v>0.7269144966034901</x:v>
      </x:c>
      <x:c r="AG689" s="37" t="n">
        <x:v>43</x:v>
      </x:c>
      <x:c r="AH689" s="37" t="n">
        <x:v>0</x:v>
      </x:c>
      <x:c r="AI689" s="30" t="n">
        <x:v>46266</x:v>
      </x:c>
      <x:c r="AJ689" s="37" t="n">
        <x:v>50</x:v>
      </x:c>
      <x:c r="AK689" s="10" t="str">
        <x:v>минимум</x:v>
      </x:c>
      <x:c r="AL689" s="32" t="n">
        <x:v>5030.419110365011</x:v>
      </x:c>
      <x:c r="AM68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89" s="13" t="str">
        <x:v>Проверить свободный остаток и установить цену для B2B</x:v>
      </x:c>
      <x:c r="AO689" s="13" t="str">
        <x:v>Остаток 43; прогноз 90 дней 0.73; избыток 42 шт. Будущие поступления не выставляются на продажу. Остаток на начало сентября: требуется актуализация.</x:v>
      </x:c>
      <x:c r="AP689" s="13" t="str">
        <x:v>["category_missing", "daily_stockout_data_missing", "new_order_lead_time_unknown", "reservations_unknown", "stale_stock"]</x:v>
      </x:c>
      <x:c r="AQ689" s="10" t="str">
        <x:v>IEK:130301696_</x:v>
      </x:c>
      <x:c r="AR689" s="24" t="n">
        <x:v>1</x:v>
      </x:c>
      <x:c r="AS689" s="24" t="n">
        <x:v>0</x:v>
      </x:c>
      <x:c r="AT689" s="24" t="n">
        <x:v>0</x:v>
      </x:c>
    </x:row>
    <x:row r="690" ht="64" customHeight="1">
      <x:c r="A690" s="11" t="str">
        <x:v>IEK</x:v>
      </x:c>
      <x:c r="B690" s="33" t="str">
        <x:v>130301697_</x:v>
      </x:c>
      <x:c r="C690" s="33" t="str">
        <x:v>YCT21-00-K52-004</x:v>
      </x:c>
      <x:c r="D690" s="12" t="str">
        <x:v>Колодка клеммная CP-PEN земля 4мм2 желто-зеленая ИЭК</x:v>
      </x:c>
      <x:c r="E690" s="11" t="str">
        <x:v>шт</x:v>
      </x:c>
      <x:c r="F690" s="35" t="n">
        <x:f>MAX(0,ROUNDDOWN((AG690-AF690)/AR690+0.000000001,0)*AR690)</x:f>
        <x:v>46</x:v>
      </x:c>
      <x:c r="G690" s="20" t="str">
        <x:f>IF(J690="Рассчитано",V690*(1-R690/100)-W690-P690-Q690,"н/д")</x:f>
        <x:v>н/д</x:v>
      </x:c>
      <x:c r="H690" s="12" t="str">
        <x:v>Высокий</x:v>
      </x:c>
      <x:c r="I690" s="12" t="str">
        <x:v>Высокий</x:v>
      </x:c>
      <x:c r="J690" s="12" t="str">
        <x:f>IF(L690="","Укажите валюту",IF(NOT(ISNUMBER(K690)),"Укажите объём",IF(K690&lt;=0,"Укажите объём",IF(K690&gt;F690,"Объём выше излишка",IF(COUNT(M690:O690)&lt;3,"Нужны цены",IF(COUNT(P690:R690)&lt;3,"Нужны расходы",IF(OR(M690&lt;0,N690&lt;0,O690&lt;0,O690&gt;100,P690&lt;0,Q690&lt;0,R690&lt;0,R690&gt;100),"Проверьте значения","Рассчитано")))))))</x:f>
        <x:v>Нужны цены</x:v>
      </x:c>
      <x:c r="K690" s="36" t="n">
        <x:v>46</x:v>
      </x:c>
      <x:c r="L690" s="19" t="str">
        <x:v>KZT</x:v>
      </x:c>
      <x:c r="M690" s="22"/>
      <x:c r="N690" s="22"/>
      <x:c r="O690" s="28"/>
      <x:c r="P690" s="22"/>
      <x:c r="Q690" s="22"/>
      <x:c r="R690" s="28"/>
      <x:c r="S690" s="22"/>
      <x:c r="T690" s="35" t="n">
        <x:f>K690</x:f>
        <x:v>46</x:v>
      </x:c>
      <x:c r="U690" s="20" t="str">
        <x:f>IF(J690="Рассчитано",N690*(1-O690/100),"н/д")</x:f>
        <x:v>н/д</x:v>
      </x:c>
      <x:c r="V690" s="20" t="str">
        <x:f>IF(J690="Рассчитано",T690*U690,"н/д")</x:f>
        <x:v>н/д</x:v>
      </x:c>
      <x:c r="W690" s="20" t="str">
        <x:f>IF(J690="Рассчитано",T690*M690,"н/д")</x:f>
        <x:v>н/д</x:v>
      </x:c>
      <x:c r="X690" s="20" t="str">
        <x:f>IF(J690="Рассчитано",V690-W690,"н/д")</x:f>
        <x:v>н/д</x:v>
      </x:c>
      <x:c r="Y690" s="26" t="str">
        <x:f>IF(J690="Рассчитано",IF(V690&gt;0,G690/V690,"н/д"),"н/д")</x:f>
        <x:v>н/д</x:v>
      </x:c>
      <x:c r="Z690" s="20" t="str">
        <x:f>"н/д"</x:f>
        <x:v>н/д</x:v>
      </x:c>
      <x:c r="AA690" s="20" t="str">
        <x:f>"н/д"</x:f>
        <x:v>н/д</x:v>
      </x:c>
      <x:c r="AB690" s="20" t="str">
        <x:f>"н/д"</x:f>
        <x:v>н/д</x:v>
      </x:c>
      <x:c r="AC690" s="20" t="str">
        <x:f>IF(AND(J690="Рассчитано",T690&gt;0,R690&lt;100),(W690+P690+Q690)/(T690*(1-R690/100)),"н/д")</x:f>
        <x:v>н/д</x:v>
      </x:c>
      <x:c r="AD690" s="11" t="str">
        <x:f>IF(ISNUMBER(G690),IF(G690&lt;0,"Убыток",IF(G690=0,"Без прибыли","Прибыль &gt; 0")),"Не оценён")</x:f>
        <x:v>Не оценён</x:v>
      </x:c>
      <x:c r="AE690" s="12" t="str">
        <x:f>IF(J690="Рассчитано","Выручка "&amp;TEXT(V690,"0.00")&amp;" - себестоимость "&amp;TEXT(W690,"0.00")&amp;" - комиссия "&amp;TEXT(V690*R690/100,"0.00")&amp;" - доставка "&amp;TEXT(P690,"0.00")&amp;" - прочие "&amp;TEXT(Q690,"0.00")&amp;" = "&amp;TEXT(G690,"0.00")&amp;" "&amp;L690,"Введите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0" s="23" t="n">
        <x:v>0.5610173186647878</x:v>
      </x:c>
      <x:c r="AG690" s="35" t="n">
        <x:v>47</x:v>
      </x:c>
      <x:c r="AH690" s="35" t="n">
        <x:v>0</x:v>
      </x:c>
      <x:c r="AI690" s="29" t="n">
        <x:v>46266</x:v>
      </x:c>
      <x:c r="AJ690" s="35" t="n">
        <x:v>100</x:v>
      </x:c>
      <x:c r="AK690" s="11" t="str">
        <x:v>минимум</x:v>
      </x:c>
      <x:c r="AL690" s="31" t="n">
        <x:v>7124.274326340734</x:v>
      </x:c>
      <x:c r="AM69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90" s="12" t="str">
        <x:v>Проверить свободный остаток и установить цену для B2B</x:v>
      </x:c>
      <x:c r="AO690" s="12" t="str">
        <x:v>Остаток 47; прогноз 90 дней 0.56; избыток 46 шт. Будущие поступления не выставляются на продажу. Остаток на начало сентября: требуется актуализация.</x:v>
      </x:c>
      <x:c r="AP690" s="12" t="str">
        <x:v>["category_missing", "daily_stockout_data_missing", "new_order_lead_time_unknown", "reservations_unknown", "stale_stock"]</x:v>
      </x:c>
      <x:c r="AQ690" s="11" t="str">
        <x:v>IEK:130301697_</x:v>
      </x:c>
      <x:c r="AR690" s="23" t="n">
        <x:v>1</x:v>
      </x:c>
      <x:c r="AS690" s="23" t="n">
        <x:v>0</x:v>
      </x:c>
      <x:c r="AT690" s="23" t="n">
        <x:v>0</x:v>
      </x:c>
    </x:row>
    <x:row r="691" ht="64" customHeight="1">
      <x:c r="A691" s="10" t="str">
        <x:v>IEK</x:v>
      </x:c>
      <x:c r="B691" s="34" t="str">
        <x:v>130301698_</x:v>
      </x:c>
      <x:c r="C691" s="34" t="str">
        <x:v>YCT22-03-3-K52-001</x:v>
      </x:c>
      <x:c r="D691" s="13" t="str">
        <x:v>Колодка клеммная CP-MC-PEN земля 3 вывода 1,5мм2 ИЭК</x:v>
      </x:c>
      <x:c r="E691" s="10" t="str">
        <x:v>шт</x:v>
      </x:c>
      <x:c r="F691" s="37" t="n">
        <x:f>MAX(0,ROUNDDOWN((AG691-AF691)/AR691+0.000000001,0)*AR691)</x:f>
        <x:v>93</x:v>
      </x:c>
      <x:c r="G691" s="21" t="str">
        <x:f>IF(J691="Рассчитано",V691*(1-R691/100)-W691-P691-Q691,"н/д")</x:f>
        <x:v>н/д</x:v>
      </x:c>
      <x:c r="H691" s="13" t="str">
        <x:v>Высокий</x:v>
      </x:c>
      <x:c r="I691" s="13" t="str">
        <x:v>Высокий</x:v>
      </x:c>
      <x:c r="J691" s="13" t="str">
        <x:f>IF(L691="","Укажите валюту",IF(NOT(ISNUMBER(K691)),"Укажите объём",IF(K691&lt;=0,"Укажите объём",IF(K691&gt;F691,"Объём выше излишка",IF(COUNT(M691:O691)&lt;3,"Нужны цены",IF(COUNT(P691:R691)&lt;3,"Нужны расходы",IF(OR(M691&lt;0,N691&lt;0,O691&lt;0,O691&gt;100,P691&lt;0,Q691&lt;0,R691&lt;0,R691&gt;100),"Проверьте значения","Рассчитано")))))))</x:f>
        <x:v>Нужны цены</x:v>
      </x:c>
      <x:c r="K691" s="36" t="n">
        <x:v>93</x:v>
      </x:c>
      <x:c r="L691" s="19" t="str">
        <x:v>KZT</x:v>
      </x:c>
      <x:c r="M691" s="22"/>
      <x:c r="N691" s="22"/>
      <x:c r="O691" s="28"/>
      <x:c r="P691" s="22"/>
      <x:c r="Q691" s="22"/>
      <x:c r="R691" s="28"/>
      <x:c r="S691" s="22"/>
      <x:c r="T691" s="37" t="n">
        <x:f>K691</x:f>
        <x:v>93</x:v>
      </x:c>
      <x:c r="U691" s="21" t="str">
        <x:f>IF(J691="Рассчитано",N691*(1-O691/100),"н/д")</x:f>
        <x:v>н/д</x:v>
      </x:c>
      <x:c r="V691" s="21" t="str">
        <x:f>IF(J691="Рассчитано",T691*U691,"н/д")</x:f>
        <x:v>н/д</x:v>
      </x:c>
      <x:c r="W691" s="21" t="str">
        <x:f>IF(J691="Рассчитано",T691*M691,"н/д")</x:f>
        <x:v>н/д</x:v>
      </x:c>
      <x:c r="X691" s="21" t="str">
        <x:f>IF(J691="Рассчитано",V691-W691,"н/д")</x:f>
        <x:v>н/д</x:v>
      </x:c>
      <x:c r="Y691" s="27" t="str">
        <x:f>IF(J691="Рассчитано",IF(V691&gt;0,G691/V691,"н/д"),"н/д")</x:f>
        <x:v>н/д</x:v>
      </x:c>
      <x:c r="Z691" s="21" t="str">
        <x:f>"н/д"</x:f>
        <x:v>н/д</x:v>
      </x:c>
      <x:c r="AA691" s="21" t="str">
        <x:f>"н/д"</x:f>
        <x:v>н/д</x:v>
      </x:c>
      <x:c r="AB691" s="21" t="str">
        <x:f>"н/д"</x:f>
        <x:v>н/д</x:v>
      </x:c>
      <x:c r="AC691" s="21" t="str">
        <x:f>IF(AND(J691="Рассчитано",T691&gt;0,R691&lt;100),(W691+P691+Q691)/(T691*(1-R691/100)),"н/д")</x:f>
        <x:v>н/д</x:v>
      </x:c>
      <x:c r="AD691" s="10" t="str">
        <x:f>IF(ISNUMBER(G691),IF(G691&lt;0,"Убыток",IF(G691=0,"Без прибыли","Прибыль &gt; 0")),"Не оценён")</x:f>
        <x:v>Не оценён</x:v>
      </x:c>
      <x:c r="AE691" s="13" t="str">
        <x:f>IF(J691="Рассчитано","Выручка "&amp;TEXT(V691,"0.00")&amp;" - себестоимость "&amp;TEXT(W691,"0.00")&amp;" - комиссия "&amp;TEXT(V691*R691/100,"0.00")&amp;" - доставка "&amp;TEXT(P691,"0.00")&amp;" - прочие "&amp;TEXT(Q691,"0.00")&amp;" = "&amp;TEXT(G691,"0.00")&amp;" "&amp;L691,"Введите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1" s="24" t="n">
        <x:v>0.7269144966034901</x:v>
      </x:c>
      <x:c r="AG691" s="37" t="n">
        <x:v>94</x:v>
      </x:c>
      <x:c r="AH691" s="37" t="n">
        <x:v>0</x:v>
      </x:c>
      <x:c r="AI691" s="30" t="n">
        <x:v>46266</x:v>
      </x:c>
      <x:c r="AJ691" s="37" t="n">
        <x:v>100</x:v>
      </x:c>
      <x:c r="AK691" s="10" t="str">
        <x:v>минимум</x:v>
      </x:c>
      <x:c r="AL691" s="32" t="n">
        <x:v>10996.73014823979</x:v>
      </x:c>
      <x:c r="AM69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91" s="13" t="str">
        <x:v>Проверить свободный остаток и установить цену для B2B</x:v>
      </x:c>
      <x:c r="AO691" s="13" t="str">
        <x:v>Остаток 94; прогноз 90 дней 0.73; избыток 93 шт. Будущие поступления не выставляются на продажу. Остаток на начало сентября: требуется актуализация.</x:v>
      </x:c>
      <x:c r="AP691" s="13" t="str">
        <x:v>["category_missing", "daily_stockout_data_missing", "new_order_lead_time_unknown", "reservations_unknown", "stale_stock"]</x:v>
      </x:c>
      <x:c r="AQ691" s="10" t="str">
        <x:v>IEK:130301698_</x:v>
      </x:c>
      <x:c r="AR691" s="24" t="n">
        <x:v>1</x:v>
      </x:c>
      <x:c r="AS691" s="24" t="n">
        <x:v>0</x:v>
      </x:c>
      <x:c r="AT691" s="24" t="n">
        <x:v>0</x:v>
      </x:c>
    </x:row>
    <x:row r="692" ht="64" customHeight="1">
      <x:c r="A692" s="11" t="str">
        <x:v>IEK</x:v>
      </x:c>
      <x:c r="B692" s="33" t="str">
        <x:v>130301700_</x:v>
      </x:c>
      <x:c r="C692" s="33" t="str">
        <x:v>YCT22-03-4-K52-002</x:v>
      </x:c>
      <x:c r="D692" s="12" t="str">
        <x:v>Колодка клеммная CP-MC-PEN земля 4 вывода 2,5мм2 ИЭК</x:v>
      </x:c>
      <x:c r="E692" s="11" t="str">
        <x:v>шт</x:v>
      </x:c>
      <x:c r="F692" s="35" t="n">
        <x:f>MAX(0,ROUNDDOWN((AG692-AF692)/AR692+0.000000001,0)*AR692)</x:f>
        <x:v>71</x:v>
      </x:c>
      <x:c r="G692" s="20" t="str">
        <x:f>IF(J692="Рассчитано",V692*(1-R692/100)-W692-P692-Q692,"н/д")</x:f>
        <x:v>н/д</x:v>
      </x:c>
      <x:c r="H692" s="12" t="str">
        <x:v>Высокий</x:v>
      </x:c>
      <x:c r="I692" s="12" t="str">
        <x:v>Высокий</x:v>
      </x:c>
      <x:c r="J692" s="12" t="str">
        <x:f>IF(L692="","Укажите валюту",IF(NOT(ISNUMBER(K692)),"Укажите объём",IF(K692&lt;=0,"Укажите объём",IF(K692&gt;F692,"Объём выше излишка",IF(COUNT(M692:O692)&lt;3,"Нужны цены",IF(COUNT(P692:R692)&lt;3,"Нужны расходы",IF(OR(M692&lt;0,N692&lt;0,O692&lt;0,O692&gt;100,P692&lt;0,Q692&lt;0,R692&lt;0,R692&gt;100),"Проверьте значения","Рассчитано")))))))</x:f>
        <x:v>Нужны цены</x:v>
      </x:c>
      <x:c r="K692" s="36" t="n">
        <x:v>71</x:v>
      </x:c>
      <x:c r="L692" s="19" t="str">
        <x:v>KZT</x:v>
      </x:c>
      <x:c r="M692" s="22"/>
      <x:c r="N692" s="22"/>
      <x:c r="O692" s="28"/>
      <x:c r="P692" s="22"/>
      <x:c r="Q692" s="22"/>
      <x:c r="R692" s="28"/>
      <x:c r="S692" s="22"/>
      <x:c r="T692" s="35" t="n">
        <x:f>K692</x:f>
        <x:v>71</x:v>
      </x:c>
      <x:c r="U692" s="20" t="str">
        <x:f>IF(J692="Рассчитано",N692*(1-O692/100),"н/д")</x:f>
        <x:v>н/д</x:v>
      </x:c>
      <x:c r="V692" s="20" t="str">
        <x:f>IF(J692="Рассчитано",T692*U692,"н/д")</x:f>
        <x:v>н/д</x:v>
      </x:c>
      <x:c r="W692" s="20" t="str">
        <x:f>IF(J692="Рассчитано",T692*M692,"н/д")</x:f>
        <x:v>н/д</x:v>
      </x:c>
      <x:c r="X692" s="20" t="str">
        <x:f>IF(J692="Рассчитано",V692-W692,"н/д")</x:f>
        <x:v>н/д</x:v>
      </x:c>
      <x:c r="Y692" s="26" t="str">
        <x:f>IF(J692="Рассчитано",IF(V692&gt;0,G692/V692,"н/д"),"н/д")</x:f>
        <x:v>н/д</x:v>
      </x:c>
      <x:c r="Z692" s="20" t="str">
        <x:f>"н/д"</x:f>
        <x:v>н/д</x:v>
      </x:c>
      <x:c r="AA692" s="20" t="str">
        <x:f>"н/д"</x:f>
        <x:v>н/д</x:v>
      </x:c>
      <x:c r="AB692" s="20" t="str">
        <x:f>"н/д"</x:f>
        <x:v>н/д</x:v>
      </x:c>
      <x:c r="AC692" s="20" t="str">
        <x:f>IF(AND(J692="Рассчитано",T692&gt;0,R692&lt;100),(W692+P692+Q692)/(T692*(1-R692/100)),"н/д")</x:f>
        <x:v>н/д</x:v>
      </x:c>
      <x:c r="AD692" s="11" t="str">
        <x:f>IF(ISNUMBER(G692),IF(G692&lt;0,"Убыток",IF(G692=0,"Без прибыли","Прибыль &gt; 0")),"Не оценён")</x:f>
        <x:v>Не оценён</x:v>
      </x:c>
      <x:c r="AE692" s="12" t="str">
        <x:f>IF(J692="Рассчитано","Выручка "&amp;TEXT(V692,"0.00")&amp;" - себестоимость "&amp;TEXT(W692,"0.00")&amp;" - комиссия "&amp;TEXT(V692*R692/100,"0.00")&amp;" - доставка "&amp;TEXT(P692,"0.00")&amp;" - прочие "&amp;TEXT(Q692,"0.00")&amp;" = "&amp;TEXT(G692,"0.00")&amp;" "&amp;L692,"Введите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2" s="23" t="n">
        <x:v>7.920926091287584</x:v>
      </x:c>
      <x:c r="AG692" s="35" t="n">
        <x:v>79</x:v>
      </x:c>
      <x:c r="AH692" s="35" t="n">
        <x:v>0</x:v>
      </x:c>
      <x:c r="AI692" s="29" t="n">
        <x:v>46266</x:v>
      </x:c>
      <x:c r="AJ692" s="35" t="n">
        <x:v>100</x:v>
      </x:c>
      <x:c r="AK692" s="11" t="str">
        <x:v>минимум</x:v>
      </x:c>
      <x:c r="AL692" s="31" t="n">
        <x:v>848.1451335380578</x:v>
      </x:c>
      <x:c r="AM69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92" s="12" t="str">
        <x:v>Проверить свободный остаток и установить цену для B2B</x:v>
      </x:c>
      <x:c r="AO692" s="12" t="str">
        <x:v>Остаток 79; прогноз 90 дней 7.92; избыток 71 шт. Будущие поступления не выставляются на продажу. Остаток на начало сентября: требуется актуализация.</x:v>
      </x:c>
      <x:c r="AP692" s="12" t="str">
        <x:v>["category_missing", "daily_stockout_data_missing", "new_order_lead_time_unknown", "reservations_unknown", "stale_stock"]</x:v>
      </x:c>
      <x:c r="AQ692" s="11" t="str">
        <x:v>IEK:130301700_</x:v>
      </x:c>
      <x:c r="AR692" s="23" t="n">
        <x:v>1</x:v>
      </x:c>
      <x:c r="AS692" s="23" t="n">
        <x:v>0</x:v>
      </x:c>
      <x:c r="AT692" s="23" t="n">
        <x:v>0</x:v>
      </x:c>
    </x:row>
    <x:row r="693" ht="64" customHeight="1">
      <x:c r="A693" s="10" t="str">
        <x:v>IEK</x:v>
      </x:c>
      <x:c r="B693" s="34" t="str">
        <x:v>130301702_</x:v>
      </x:c>
      <x:c r="C693" s="34" t="str">
        <x:v>YCT22-03-4-K52-004</x:v>
      </x:c>
      <x:c r="D693" s="13" t="str">
        <x:v>Колодка клеммная CP-MC-PEN земля 4 вывода 4мм2 ИЭК</x:v>
      </x:c>
      <x:c r="E693" s="10" t="str">
        <x:v>шт</x:v>
      </x:c>
      <x:c r="F693" s="37" t="n">
        <x:f>MAX(0,ROUNDDOWN((AG693-AF693)/AR693+0.000000001,0)*AR693)</x:f>
        <x:v>45</x:v>
      </x:c>
      <x:c r="G693" s="21" t="str">
        <x:f>IF(J693="Рассчитано",V693*(1-R693/100)-W693-P693-Q693,"н/д")</x:f>
        <x:v>н/д</x:v>
      </x:c>
      <x:c r="H693" s="13" t="str">
        <x:v>Высокий</x:v>
      </x:c>
      <x:c r="I693" s="13" t="str">
        <x:v>Высокий</x:v>
      </x:c>
      <x:c r="J693" s="13" t="str">
        <x:f>IF(L693="","Укажите валюту",IF(NOT(ISNUMBER(K693)),"Укажите объём",IF(K693&lt;=0,"Укажите объём",IF(K693&gt;F693,"Объём выше излишка",IF(COUNT(M693:O693)&lt;3,"Нужны цены",IF(COUNT(P693:R693)&lt;3,"Нужны расходы",IF(OR(M693&lt;0,N693&lt;0,O693&lt;0,O693&gt;100,P693&lt;0,Q693&lt;0,R693&lt;0,R693&gt;100),"Проверьте значения","Рассчитано")))))))</x:f>
        <x:v>Нужны цены</x:v>
      </x:c>
      <x:c r="K693" s="36" t="n">
        <x:v>45</x:v>
      </x:c>
      <x:c r="L693" s="19" t="str">
        <x:v>KZT</x:v>
      </x:c>
      <x:c r="M693" s="22"/>
      <x:c r="N693" s="22"/>
      <x:c r="O693" s="28"/>
      <x:c r="P693" s="22"/>
      <x:c r="Q693" s="22"/>
      <x:c r="R693" s="28"/>
      <x:c r="S693" s="22"/>
      <x:c r="T693" s="37" t="n">
        <x:f>K693</x:f>
        <x:v>45</x:v>
      </x:c>
      <x:c r="U693" s="21" t="str">
        <x:f>IF(J693="Рассчитано",N693*(1-O693/100),"н/д")</x:f>
        <x:v>н/д</x:v>
      </x:c>
      <x:c r="V693" s="21" t="str">
        <x:f>IF(J693="Рассчитано",T693*U693,"н/д")</x:f>
        <x:v>н/д</x:v>
      </x:c>
      <x:c r="W693" s="21" t="str">
        <x:f>IF(J693="Рассчитано",T693*M693,"н/д")</x:f>
        <x:v>н/д</x:v>
      </x:c>
      <x:c r="X693" s="21" t="str">
        <x:f>IF(J693="Рассчитано",V693-W693,"н/д")</x:f>
        <x:v>н/д</x:v>
      </x:c>
      <x:c r="Y693" s="27" t="str">
        <x:f>IF(J693="Рассчитано",IF(V693&gt;0,G693/V693,"н/д"),"н/д")</x:f>
        <x:v>н/д</x:v>
      </x:c>
      <x:c r="Z693" s="21" t="str">
        <x:f>"н/д"</x:f>
        <x:v>н/д</x:v>
      </x:c>
      <x:c r="AA693" s="21" t="str">
        <x:f>"н/д"</x:f>
        <x:v>н/д</x:v>
      </x:c>
      <x:c r="AB693" s="21" t="str">
        <x:f>"н/д"</x:f>
        <x:v>н/д</x:v>
      </x:c>
      <x:c r="AC693" s="21" t="str">
        <x:f>IF(AND(J693="Рассчитано",T693&gt;0,R693&lt;100),(W693+P693+Q693)/(T693*(1-R693/100)),"н/д")</x:f>
        <x:v>н/д</x:v>
      </x:c>
      <x:c r="AD693" s="10" t="str">
        <x:f>IF(ISNUMBER(G693),IF(G693&lt;0,"Убыток",IF(G693=0,"Без прибыли","Прибыль &gt; 0")),"Не оценён")</x:f>
        <x:v>Не оценён</x:v>
      </x:c>
      <x:c r="AE693" s="13" t="str">
        <x:f>IF(J693="Рассчитано","Выручка "&amp;TEXT(V693,"0.00")&amp;" - себестоимость "&amp;TEXT(W693,"0.00")&amp;" - комиссия "&amp;TEXT(V693*R693/100,"0.00")&amp;" - доставка "&amp;TEXT(P693,"0.00")&amp;" - прочие "&amp;TEXT(Q693,"0.00")&amp;" = "&amp;TEXT(G693,"0.00")&amp;" "&amp;L693,"Введите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3" s="24" t="n">
        <x:v>0.43614869796209266</x:v>
      </x:c>
      <x:c r="AG693" s="37" t="n">
        <x:v>46</x:v>
      </x:c>
      <x:c r="AH693" s="37" t="n">
        <x:v>0</x:v>
      </x:c>
      <x:c r="AI693" s="30" t="n">
        <x:v>46266</x:v>
      </x:c>
      <x:c r="AJ693" s="37" t="n">
        <x:v>50</x:v>
      </x:c>
      <x:c r="AK693" s="10" t="str">
        <x:v>минимум</x:v>
      </x:c>
      <x:c r="AL693" s="32" t="n">
        <x:v>8968.964305301963</x:v>
      </x:c>
      <x:c r="AM69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93" s="13" t="str">
        <x:v>Проверить свободный остаток и установить цену для B2B</x:v>
      </x:c>
      <x:c r="AO693" s="13" t="str">
        <x:v>Остаток 46; прогноз 90 дней 0.44; избыток 45 шт. Будущие поступления не выставляются на продажу. Остаток на начало сентября: требуется актуализация.</x:v>
      </x:c>
      <x:c r="AP693" s="13" t="str">
        <x:v>["category_missing", "daily_stockout_data_missing", "new_order_lead_time_unknown", "reservations_unknown", "stale_stock"]</x:v>
      </x:c>
      <x:c r="AQ693" s="10" t="str">
        <x:v>IEK:130301702_</x:v>
      </x:c>
      <x:c r="AR693" s="24" t="n">
        <x:v>1</x:v>
      </x:c>
      <x:c r="AS693" s="24" t="n">
        <x:v>0</x:v>
      </x:c>
      <x:c r="AT693" s="24" t="n">
        <x:v>0</x:v>
      </x:c>
    </x:row>
    <x:row r="694" ht="64" customHeight="1">
      <x:c r="A694" s="11" t="str">
        <x:v>IEK</x:v>
      </x:c>
      <x:c r="B694" s="33" t="str">
        <x:v>130301703_</x:v>
      </x:c>
      <x:c r="C694" s="33" t="str">
        <x:v>YCT23-04-2-K03-002</x:v>
      </x:c>
      <x:c r="D694" s="12" t="str">
        <x:v>Колодка клеммная CP-ML 2 ур. нож. разм. 2,5мм2 серая ИЭК</x:v>
      </x:c>
      <x:c r="E694" s="11" t="str">
        <x:v>шт</x:v>
      </x:c>
      <x:c r="F694" s="35" t="n">
        <x:f>MAX(0,ROUNDDOWN((AG694-AF694)/AR694+0.000000001,0)*AR694)</x:f>
        <x:v>49</x:v>
      </x:c>
      <x:c r="G694" s="20" t="str">
        <x:f>IF(J694="Рассчитано",V694*(1-R694/100)-W694-P694-Q694,"н/д")</x:f>
        <x:v>н/д</x:v>
      </x:c>
      <x:c r="H694" s="12" t="str">
        <x:v>Высокий</x:v>
      </x:c>
      <x:c r="I694" s="12" t="str">
        <x:v>Высокий</x:v>
      </x:c>
      <x:c r="J694" s="12" t="str">
        <x:f>IF(L694="","Укажите валюту",IF(NOT(ISNUMBER(K694)),"Укажите объём",IF(K694&lt;=0,"Укажите объём",IF(K694&gt;F694,"Объём выше излишка",IF(COUNT(M694:O694)&lt;3,"Нужны цены",IF(COUNT(P694:R694)&lt;3,"Нужны расходы",IF(OR(M694&lt;0,N694&lt;0,O694&lt;0,O694&gt;100,P694&lt;0,Q694&lt;0,R694&lt;0,R694&gt;100),"Проверьте значения","Рассчитано")))))))</x:f>
        <x:v>Нужны цены</x:v>
      </x:c>
      <x:c r="K694" s="36" t="n">
        <x:v>49</x:v>
      </x:c>
      <x:c r="L694" s="19" t="str">
        <x:v>KZT</x:v>
      </x:c>
      <x:c r="M694" s="22"/>
      <x:c r="N694" s="22"/>
      <x:c r="O694" s="28"/>
      <x:c r="P694" s="22"/>
      <x:c r="Q694" s="22"/>
      <x:c r="R694" s="28"/>
      <x:c r="S694" s="22"/>
      <x:c r="T694" s="35" t="n">
        <x:f>K694</x:f>
        <x:v>49</x:v>
      </x:c>
      <x:c r="U694" s="20" t="str">
        <x:f>IF(J694="Рассчитано",N694*(1-O694/100),"н/д")</x:f>
        <x:v>н/д</x:v>
      </x:c>
      <x:c r="V694" s="20" t="str">
        <x:f>IF(J694="Рассчитано",T694*U694,"н/д")</x:f>
        <x:v>н/д</x:v>
      </x:c>
      <x:c r="W694" s="20" t="str">
        <x:f>IF(J694="Рассчитано",T694*M694,"н/д")</x:f>
        <x:v>н/д</x:v>
      </x:c>
      <x:c r="X694" s="20" t="str">
        <x:f>IF(J694="Рассчитано",V694-W694,"н/д")</x:f>
        <x:v>н/д</x:v>
      </x:c>
      <x:c r="Y694" s="26" t="str">
        <x:f>IF(J694="Рассчитано",IF(V694&gt;0,G694/V694,"н/д"),"н/д")</x:f>
        <x:v>н/д</x:v>
      </x:c>
      <x:c r="Z694" s="20" t="str">
        <x:f>"н/д"</x:f>
        <x:v>н/д</x:v>
      </x:c>
      <x:c r="AA694" s="20" t="str">
        <x:f>"н/д"</x:f>
        <x:v>н/д</x:v>
      </x:c>
      <x:c r="AB694" s="20" t="str">
        <x:f>"н/д"</x:f>
        <x:v>н/д</x:v>
      </x:c>
      <x:c r="AC694" s="20" t="str">
        <x:f>IF(AND(J694="Рассчитано",T694&gt;0,R694&lt;100),(W694+P694+Q694)/(T694*(1-R694/100)),"н/д")</x:f>
        <x:v>н/д</x:v>
      </x:c>
      <x:c r="AD694" s="11" t="str">
        <x:f>IF(ISNUMBER(G694),IF(G694&lt;0,"Убыток",IF(G694=0,"Без прибыли","Прибыль &gt; 0")),"Не оценён")</x:f>
        <x:v>Не оценён</x:v>
      </x:c>
      <x:c r="AE694" s="12" t="str">
        <x:f>IF(J694="Рассчитано","Выручка "&amp;TEXT(V694,"0.00")&amp;" - себестоимость "&amp;TEXT(W694,"0.00")&amp;" - комиссия "&amp;TEXT(V694*R694/100,"0.00")&amp;" - доставка "&amp;TEXT(P694,"0.00")&amp;" - прочие "&amp;TEXT(Q694,"0.00")&amp;" = "&amp;TEXT(G694,"0.00")&amp;" "&amp;L694,"Введите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4" s="23" t="n">
        <x:v>0</x:v>
      </x:c>
      <x:c r="AG694" s="35" t="n">
        <x:v>49</x:v>
      </x:c>
      <x:c r="AH694" s="35" t="n">
        <x:v>0</x:v>
      </x:c>
      <x:c r="AI694" s="29" t="n">
        <x:v>46266</x:v>
      </x:c>
      <x:c r="AJ694" s="35" t="n">
        <x:v>50</x:v>
      </x:c>
      <x:c r="AK694" s="11" t="str">
        <x:v>минимум</x:v>
      </x:c>
      <x:c r="AL694" s="31" t="str">
        <x:v>н/д</x:v>
      </x:c>
      <x:c r="AM69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694" s="12" t="str">
        <x:v>Проверить свободный остаток и установить цену для B2B</x:v>
      </x:c>
      <x:c r="AO694" s="12" t="str">
        <x:v>Остаток 49; прогноз 90 дней 0.00; избыток 49 шт. Будущие поступления не выставляются на продажу. Остаток на начало сентября: требуется актуализация.</x:v>
      </x:c>
      <x:c r="AP694" s="12" t="str">
        <x:v>["category_missing", "daily_stockout_data_missing", "new_order_lead_time_unknown", "reservations_unknown", "stale_stock"]</x:v>
      </x:c>
      <x:c r="AQ694" s="11" t="str">
        <x:v>IEK:130301703_</x:v>
      </x:c>
      <x:c r="AR694" s="23" t="n">
        <x:v>1</x:v>
      </x:c>
      <x:c r="AS694" s="23" t="n">
        <x:v>0</x:v>
      </x:c>
      <x:c r="AT694" s="23" t="n">
        <x:v>0</x:v>
      </x:c>
    </x:row>
    <x:row r="695" ht="64" customHeight="1">
      <x:c r="A695" s="10" t="str">
        <x:v>IEK</x:v>
      </x:c>
      <x:c r="B695" s="34" t="str">
        <x:v>130301704_</x:v>
      </x:c>
      <x:c r="C695" s="34" t="str">
        <x:v>YCT25-04-K03-002</x:v>
      </x:c>
      <x:c r="D695" s="13" t="str">
        <x:v>Колодка клеммная CP-DT измерит. нож. разм. 2,5мм2 серая ИЭК</x:v>
      </x:c>
      <x:c r="E695" s="10" t="str">
        <x:v>шт</x:v>
      </x:c>
      <x:c r="F695" s="37" t="n">
        <x:f>MAX(0,ROUNDDOWN((AG695-AF695)/AR695+0.000000001,0)*AR695)</x:f>
        <x:v>83</x:v>
      </x:c>
      <x:c r="G695" s="21" t="str">
        <x:f>IF(J695="Рассчитано",V695*(1-R695/100)-W695-P695-Q695,"н/д")</x:f>
        <x:v>н/д</x:v>
      </x:c>
      <x:c r="H695" s="13" t="str">
        <x:v>Высокий</x:v>
      </x:c>
      <x:c r="I695" s="13" t="str">
        <x:v>Высокий</x:v>
      </x:c>
      <x:c r="J695" s="13" t="str">
        <x:f>IF(L695="","Укажите валюту",IF(NOT(ISNUMBER(K695)),"Укажите объём",IF(K695&lt;=0,"Укажите объём",IF(K695&gt;F695,"Объём выше излишка",IF(COUNT(M695:O695)&lt;3,"Нужны цены",IF(COUNT(P695:R695)&lt;3,"Нужны расходы",IF(OR(M695&lt;0,N695&lt;0,O695&lt;0,O695&gt;100,P695&lt;0,Q695&lt;0,R695&lt;0,R695&gt;100),"Проверьте значения","Рассчитано")))))))</x:f>
        <x:v>Нужны цены</x:v>
      </x:c>
      <x:c r="K695" s="36" t="n">
        <x:v>83</x:v>
      </x:c>
      <x:c r="L695" s="19" t="str">
        <x:v>KZT</x:v>
      </x:c>
      <x:c r="M695" s="22"/>
      <x:c r="N695" s="22"/>
      <x:c r="O695" s="28"/>
      <x:c r="P695" s="22"/>
      <x:c r="Q695" s="22"/>
      <x:c r="R695" s="28"/>
      <x:c r="S695" s="22"/>
      <x:c r="T695" s="37" t="n">
        <x:f>K695</x:f>
        <x:v>83</x:v>
      </x:c>
      <x:c r="U695" s="21" t="str">
        <x:f>IF(J695="Рассчитано",N695*(1-O695/100),"н/д")</x:f>
        <x:v>н/д</x:v>
      </x:c>
      <x:c r="V695" s="21" t="str">
        <x:f>IF(J695="Рассчитано",T695*U695,"н/д")</x:f>
        <x:v>н/д</x:v>
      </x:c>
      <x:c r="W695" s="21" t="str">
        <x:f>IF(J695="Рассчитано",T695*M695,"н/д")</x:f>
        <x:v>н/д</x:v>
      </x:c>
      <x:c r="X695" s="21" t="str">
        <x:f>IF(J695="Рассчитано",V695-W695,"н/д")</x:f>
        <x:v>н/д</x:v>
      </x:c>
      <x:c r="Y695" s="27" t="str">
        <x:f>IF(J695="Рассчитано",IF(V695&gt;0,G695/V695,"н/д"),"н/д")</x:f>
        <x:v>н/д</x:v>
      </x:c>
      <x:c r="Z695" s="21" t="str">
        <x:f>"н/д"</x:f>
        <x:v>н/д</x:v>
      </x:c>
      <x:c r="AA695" s="21" t="str">
        <x:f>"н/д"</x:f>
        <x:v>н/д</x:v>
      </x:c>
      <x:c r="AB695" s="21" t="str">
        <x:f>"н/д"</x:f>
        <x:v>н/д</x:v>
      </x:c>
      <x:c r="AC695" s="21" t="str">
        <x:f>IF(AND(J695="Рассчитано",T695&gt;0,R695&lt;100),(W695+P695+Q695)/(T695*(1-R695/100)),"н/д")</x:f>
        <x:v>н/д</x:v>
      </x:c>
      <x:c r="AD695" s="10" t="str">
        <x:f>IF(ISNUMBER(G695),IF(G695&lt;0,"Убыток",IF(G695=0,"Без прибыли","Прибыль &gt; 0")),"Не оценён")</x:f>
        <x:v>Не оценён</x:v>
      </x:c>
      <x:c r="AE695" s="13" t="str">
        <x:f>IF(J695="Рассчитано","Выручка "&amp;TEXT(V695,"0.00")&amp;" - себестоимость "&amp;TEXT(W695,"0.00")&amp;" - комиссия "&amp;TEXT(V695*R695/100,"0.00")&amp;" - доставка "&amp;TEXT(P695,"0.00")&amp;" - прочие "&amp;TEXT(Q695,"0.00")&amp;" = "&amp;TEXT(G695,"0.00")&amp;" "&amp;L695,"Введите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5" s="24" t="n">
        <x:v>6.599922812780128</x:v>
      </x:c>
      <x:c r="AG695" s="37" t="n">
        <x:v>90</x:v>
      </x:c>
      <x:c r="AH695" s="37" t="n">
        <x:v>0</x:v>
      </x:c>
      <x:c r="AI695" s="30" t="n">
        <x:v>46266</x:v>
      </x:c>
      <x:c r="AJ695" s="37" t="n">
        <x:v>100</x:v>
      </x:c>
      <x:c r="AK695" s="10" t="str">
        <x:v>минимум</x:v>
      </x:c>
      <x:c r="AL695" s="32" t="n">
        <x:v>1159.6386916058</x:v>
      </x:c>
      <x:c r="AM69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95" s="13" t="str">
        <x:v>Проверить свободный остаток и установить цену для B2B</x:v>
      </x:c>
      <x:c r="AO695" s="13" t="str">
        <x:v>Остаток 90; прогноз 90 дней 6.60; избыток 83 шт. Будущие поступления не выставляются на продажу. Остаток на начало сентября: требуется актуализация.</x:v>
      </x:c>
      <x:c r="AP695" s="13" t="str">
        <x:v>["category_missing", "daily_stockout_data_missing", "new_order_lead_time_unknown", "reservations_unknown", "stale_stock"]</x:v>
      </x:c>
      <x:c r="AQ695" s="10" t="str">
        <x:v>IEK:130301704_</x:v>
      </x:c>
      <x:c r="AR695" s="24" t="n">
        <x:v>1</x:v>
      </x:c>
      <x:c r="AS695" s="24" t="n">
        <x:v>0</x:v>
      </x:c>
      <x:c r="AT695" s="24" t="n">
        <x:v>0</x:v>
      </x:c>
    </x:row>
    <x:row r="696" ht="64" customHeight="1">
      <x:c r="A696" s="11" t="str">
        <x:v>IEK</x:v>
      </x:c>
      <x:c r="B696" s="33" t="str">
        <x:v>130301706_</x:v>
      </x:c>
      <x:c r="C696" s="33" t="str">
        <x:v>YCT10-00-K07-006-ZGL</x:v>
      </x:c>
      <x:c r="D696" s="12" t="str">
        <x:v>Заглушка для CTS 6/10мм2 синяя ИЭК</x:v>
      </x:c>
      <x:c r="E696" s="11" t="str">
        <x:v>шт</x:v>
      </x:c>
      <x:c r="F696" s="35" t="n">
        <x:f>MAX(0,ROUNDDOWN((AG696-AF696)/AR696+0.000000001,0)*AR696)</x:f>
        <x:v>5</x:v>
      </x:c>
      <x:c r="G696" s="20" t="str">
        <x:f>IF(J696="Рассчитано",V696*(1-R696/100)-W696-P696-Q696,"н/д")</x:f>
        <x:v>н/д</x:v>
      </x:c>
      <x:c r="H696" s="12" t="str">
        <x:v>Высокий</x:v>
      </x:c>
      <x:c r="I696" s="12" t="str">
        <x:v>Средний</x:v>
      </x:c>
      <x:c r="J696" s="12" t="str">
        <x:f>IF(L696="","Укажите валюту",IF(NOT(ISNUMBER(K696)),"Укажите объём",IF(K696&lt;=0,"Укажите объём",IF(K696&gt;F696,"Объём выше излишка",IF(COUNT(M696:O696)&lt;3,"Нужны цены",IF(COUNT(P696:R696)&lt;3,"Нужны расходы",IF(OR(M696&lt;0,N696&lt;0,O696&lt;0,O696&gt;100,P696&lt;0,Q696&lt;0,R696&lt;0,R696&gt;100),"Проверьте значения","Рассчитано")))))))</x:f>
        <x:v>Нужны цены</x:v>
      </x:c>
      <x:c r="K696" s="36" t="n">
        <x:v>5</x:v>
      </x:c>
      <x:c r="L696" s="19" t="str">
        <x:v>KZT</x:v>
      </x:c>
      <x:c r="M696" s="22"/>
      <x:c r="N696" s="22"/>
      <x:c r="O696" s="28"/>
      <x:c r="P696" s="22"/>
      <x:c r="Q696" s="22"/>
      <x:c r="R696" s="28"/>
      <x:c r="S696" s="22"/>
      <x:c r="T696" s="35" t="n">
        <x:f>K696</x:f>
        <x:v>5</x:v>
      </x:c>
      <x:c r="U696" s="20" t="str">
        <x:f>IF(J696="Рассчитано",N696*(1-O696/100),"н/д")</x:f>
        <x:v>н/д</x:v>
      </x:c>
      <x:c r="V696" s="20" t="str">
        <x:f>IF(J696="Рассчитано",T696*U696,"н/д")</x:f>
        <x:v>н/д</x:v>
      </x:c>
      <x:c r="W696" s="20" t="str">
        <x:f>IF(J696="Рассчитано",T696*M696,"н/д")</x:f>
        <x:v>н/д</x:v>
      </x:c>
      <x:c r="X696" s="20" t="str">
        <x:f>IF(J696="Рассчитано",V696-W696,"н/д")</x:f>
        <x:v>н/д</x:v>
      </x:c>
      <x:c r="Y696" s="26" t="str">
        <x:f>IF(J696="Рассчитано",IF(V696&gt;0,G696/V696,"н/д"),"н/д")</x:f>
        <x:v>н/д</x:v>
      </x:c>
      <x:c r="Z696" s="20" t="str">
        <x:f>"н/д"</x:f>
        <x:v>н/д</x:v>
      </x:c>
      <x:c r="AA696" s="20" t="str">
        <x:f>"н/д"</x:f>
        <x:v>н/д</x:v>
      </x:c>
      <x:c r="AB696" s="20" t="str">
        <x:f>"н/д"</x:f>
        <x:v>н/д</x:v>
      </x:c>
      <x:c r="AC696" s="20" t="str">
        <x:f>IF(AND(J696="Рассчитано",T696&gt;0,R696&lt;100),(W696+P696+Q696)/(T696*(1-R696/100)),"н/д")</x:f>
        <x:v>н/д</x:v>
      </x:c>
      <x:c r="AD696" s="11" t="str">
        <x:f>IF(ISNUMBER(G696),IF(G696&lt;0,"Убыток",IF(G696=0,"Без прибыли","Прибыль &gt; 0")),"Не оценён")</x:f>
        <x:v>Не оценён</x:v>
      </x:c>
      <x:c r="AE696" s="12" t="str">
        <x:f>IF(J696="Рассчитано","Выручка "&amp;TEXT(V696,"0.00")&amp;" - себестоимость "&amp;TEXT(W696,"0.00")&amp;" - комиссия "&amp;TEXT(V696*R696/100,"0.00")&amp;" - доставка "&amp;TEXT(P696,"0.00")&amp;" - прочие "&amp;TEXT(Q696,"0.00")&amp;" = "&amp;TEXT(G696,"0.00")&amp;" "&amp;L696,"Введите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6" s="23" t="n">
        <x:v>14.354822558336986</x:v>
      </x:c>
      <x:c r="AG696" s="35" t="n">
        <x:v>20</x:v>
      </x:c>
      <x:c r="AH696" s="35" t="n">
        <x:v>0</x:v>
      </x:c>
      <x:c r="AI696" s="29" t="n">
        <x:v>46266</x:v>
      </x:c>
      <x:c r="AJ696" s="35" t="n">
        <x:v>50</x:v>
      </x:c>
      <x:c r="AK696" s="11" t="str">
        <x:v>минимум</x:v>
      </x:c>
      <x:c r="AL696" s="31" t="n">
        <x:v>118.48168213091563</x:v>
      </x:c>
      <x:c r="AM696" s="12" t="str">
        <x:v>Остаток на начало сентября; Резервы неизвестны; Нет ежедневных данных доступности. Запас выше прогноза на 90 дней</x:v>
      </x:c>
      <x:c r="AN696" s="12" t="str">
        <x:v>Проверить свободный остаток и установить цену для B2B</x:v>
      </x:c>
      <x:c r="AO696" s="12" t="str">
        <x:v>Остаток 20; прогноз 90 дней 14.35; избыток 5 шт. Будущие поступления не выставляются на продажу. Остаток на начало сентября: требуется актуализация.</x:v>
      </x:c>
      <x:c r="AP696" s="12" t="str">
        <x:v>["category_missing", "daily_stockout_data_missing", "new_order_lead_time_unknown", "reservations_unknown", "stale_stock"]</x:v>
      </x:c>
      <x:c r="AQ696" s="11" t="str">
        <x:v>IEK:130301706_</x:v>
      </x:c>
      <x:c r="AR696" s="23" t="n">
        <x:v>1</x:v>
      </x:c>
      <x:c r="AS696" s="23" t="n">
        <x:v>0</x:v>
      </x:c>
      <x:c r="AT696" s="23" t="n">
        <x:v>0</x:v>
      </x:c>
    </x:row>
    <x:row r="697" ht="64" customHeight="1">
      <x:c r="A697" s="10" t="str">
        <x:v>IEK</x:v>
      </x:c>
      <x:c r="B697" s="34" t="str">
        <x:v>130301708_</x:v>
      </x:c>
      <x:c r="C697" s="34" t="str">
        <x:v>YCT13-00-2-K03-004-ZGL</x:v>
      </x:c>
      <x:c r="D697" s="13" t="str">
        <x:v>Заглушка для CTS-ML 2 ур. 4мм2 серая ИЭК</x:v>
      </x:c>
      <x:c r="E697" s="10" t="str">
        <x:v>шт</x:v>
      </x:c>
      <x:c r="F697" s="37" t="n">
        <x:f>MAX(0,ROUNDDOWN((AG697-AF697)/AR697+0.000000001,0)*AR697)</x:f>
        <x:v>42</x:v>
      </x:c>
      <x:c r="G697" s="21" t="str">
        <x:f>IF(J697="Рассчитано",V697*(1-R697/100)-W697-P697-Q697,"н/д")</x:f>
        <x:v>н/д</x:v>
      </x:c>
      <x:c r="H697" s="13" t="str">
        <x:v>Высокий</x:v>
      </x:c>
      <x:c r="I697" s="13" t="str">
        <x:v>Высокий</x:v>
      </x:c>
      <x:c r="J697" s="13" t="str">
        <x:f>IF(L697="","Укажите валюту",IF(NOT(ISNUMBER(K697)),"Укажите объём",IF(K697&lt;=0,"Укажите объём",IF(K697&gt;F697,"Объём выше излишка",IF(COUNT(M697:O697)&lt;3,"Нужны цены",IF(COUNT(P697:R697)&lt;3,"Нужны расходы",IF(OR(M697&lt;0,N697&lt;0,O697&lt;0,O697&gt;100,P697&lt;0,Q697&lt;0,R697&lt;0,R697&gt;100),"Проверьте значения","Рассчитано")))))))</x:f>
        <x:v>Нужны цены</x:v>
      </x:c>
      <x:c r="K697" s="36" t="n">
        <x:v>42</x:v>
      </x:c>
      <x:c r="L697" s="19" t="str">
        <x:v>KZT</x:v>
      </x:c>
      <x:c r="M697" s="22"/>
      <x:c r="N697" s="22"/>
      <x:c r="O697" s="28"/>
      <x:c r="P697" s="22"/>
      <x:c r="Q697" s="22"/>
      <x:c r="R697" s="28"/>
      <x:c r="S697" s="22"/>
      <x:c r="T697" s="37" t="n">
        <x:f>K697</x:f>
        <x:v>42</x:v>
      </x:c>
      <x:c r="U697" s="21" t="str">
        <x:f>IF(J697="Рассчитано",N697*(1-O697/100),"н/д")</x:f>
        <x:v>н/д</x:v>
      </x:c>
      <x:c r="V697" s="21" t="str">
        <x:f>IF(J697="Рассчитано",T697*U697,"н/д")</x:f>
        <x:v>н/д</x:v>
      </x:c>
      <x:c r="W697" s="21" t="str">
        <x:f>IF(J697="Рассчитано",T697*M697,"н/д")</x:f>
        <x:v>н/д</x:v>
      </x:c>
      <x:c r="X697" s="21" t="str">
        <x:f>IF(J697="Рассчитано",V697-W697,"н/д")</x:f>
        <x:v>н/д</x:v>
      </x:c>
      <x:c r="Y697" s="27" t="str">
        <x:f>IF(J697="Рассчитано",IF(V697&gt;0,G697/V697,"н/д"),"н/д")</x:f>
        <x:v>н/д</x:v>
      </x:c>
      <x:c r="Z697" s="21" t="str">
        <x:f>"н/д"</x:f>
        <x:v>н/д</x:v>
      </x:c>
      <x:c r="AA697" s="21" t="str">
        <x:f>"н/д"</x:f>
        <x:v>н/д</x:v>
      </x:c>
      <x:c r="AB697" s="21" t="str">
        <x:f>"н/д"</x:f>
        <x:v>н/д</x:v>
      </x:c>
      <x:c r="AC697" s="21" t="str">
        <x:f>IF(AND(J697="Рассчитано",T697&gt;0,R697&lt;100),(W697+P697+Q697)/(T697*(1-R697/100)),"н/д")</x:f>
        <x:v>н/д</x:v>
      </x:c>
      <x:c r="AD697" s="10" t="str">
        <x:f>IF(ISNUMBER(G697),IF(G697&lt;0,"Убыток",IF(G697=0,"Без прибыли","Прибыль &gt; 0")),"Не оценён")</x:f>
        <x:v>Не оценён</x:v>
      </x:c>
      <x:c r="AE697" s="13" t="str">
        <x:f>IF(J697="Рассчитано","Выручка "&amp;TEXT(V697,"0.00")&amp;" - себестоимость "&amp;TEXT(W697,"0.00")&amp;" - комиссия "&amp;TEXT(V697*R697/100,"0.00")&amp;" - доставка "&amp;TEXT(P697,"0.00")&amp;" - прочие "&amp;TEXT(Q697,"0.00")&amp;" = "&amp;TEXT(G697,"0.00")&amp;" "&amp;L697,"Введите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7" s="24" t="n">
        <x:v>0.7589105155917518</x:v>
      </x:c>
      <x:c r="AG697" s="37" t="n">
        <x:v>43</x:v>
      </x:c>
      <x:c r="AH697" s="37" t="n">
        <x:v>0</x:v>
      </x:c>
      <x:c r="AI697" s="30" t="n">
        <x:v>46266</x:v>
      </x:c>
      <x:c r="AJ697" s="37" t="n">
        <x:v>50</x:v>
      </x:c>
      <x:c r="AK697" s="10" t="str">
        <x:v>минимум</x:v>
      </x:c>
      <x:c r="AL697" s="32" t="n">
        <x:v>4818.334309762856</x:v>
      </x:c>
      <x:c r="AM69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97" s="13" t="str">
        <x:v>Проверить свободный остаток и установить цену для B2B</x:v>
      </x:c>
      <x:c r="AO697" s="13" t="str">
        <x:v>Остаток 43; прогноз 90 дней 0.76; избыток 42 шт. Будущие поступления не выставляются на продажу. Остаток на начало сентября: требуется актуализация.</x:v>
      </x:c>
      <x:c r="AP697" s="13" t="str">
        <x:v>["category_missing", "daily_stockout_data_missing", "new_order_lead_time_unknown", "reservations_unknown", "stale_stock"]</x:v>
      </x:c>
      <x:c r="AQ697" s="10" t="str">
        <x:v>IEK:130301708_</x:v>
      </x:c>
      <x:c r="AR697" s="24" t="n">
        <x:v>1</x:v>
      </x:c>
      <x:c r="AS697" s="24" t="n">
        <x:v>0</x:v>
      </x:c>
      <x:c r="AT697" s="24" t="n">
        <x:v>0</x:v>
      </x:c>
    </x:row>
    <x:row r="698" ht="64" customHeight="1">
      <x:c r="A698" s="11" t="str">
        <x:v>IEK</x:v>
      </x:c>
      <x:c r="B698" s="33" t="str">
        <x:v>130301712_</x:v>
      </x:c>
      <x:c r="C698" s="33" t="str">
        <x:v>YCT20-00-K03-004-ZGL</x:v>
      </x:c>
      <x:c r="D698" s="12" t="str">
        <x:v>Заглушка для CP 4мм2 серая ИЭК</x:v>
      </x:c>
      <x:c r="E698" s="11" t="str">
        <x:v>шт</x:v>
      </x:c>
      <x:c r="F698" s="35" t="n">
        <x:f>MAX(0,ROUNDDOWN((AG698-AF698)/AR698+0.000000001,0)*AR698)</x:f>
        <x:v>18</x:v>
      </x:c>
      <x:c r="G698" s="20" t="str">
        <x:f>IF(J698="Рассчитано",V698*(1-R698/100)-W698-P698-Q698,"н/д")</x:f>
        <x:v>н/д</x:v>
      </x:c>
      <x:c r="H698" s="12" t="str">
        <x:v>Высокий</x:v>
      </x:c>
      <x:c r="I698" s="12" t="str">
        <x:v>Высокий</x:v>
      </x:c>
      <x:c r="J698" s="12" t="str">
        <x:f>IF(L698="","Укажите валюту",IF(NOT(ISNUMBER(K698)),"Укажите объём",IF(K698&lt;=0,"Укажите объём",IF(K698&gt;F698,"Объём выше излишка",IF(COUNT(M698:O698)&lt;3,"Нужны цены",IF(COUNT(P698:R698)&lt;3,"Нужны расходы",IF(OR(M698&lt;0,N698&lt;0,O698&lt;0,O698&gt;100,P698&lt;0,Q698&lt;0,R698&lt;0,R698&gt;100),"Проверьте значения","Рассчитано")))))))</x:f>
        <x:v>Нужны цены</x:v>
      </x:c>
      <x:c r="K698" s="36" t="n">
        <x:v>18</x:v>
      </x:c>
      <x:c r="L698" s="19" t="str">
        <x:v>KZT</x:v>
      </x:c>
      <x:c r="M698" s="22"/>
      <x:c r="N698" s="22"/>
      <x:c r="O698" s="28"/>
      <x:c r="P698" s="22"/>
      <x:c r="Q698" s="22"/>
      <x:c r="R698" s="28"/>
      <x:c r="S698" s="22"/>
      <x:c r="T698" s="35" t="n">
        <x:f>K698</x:f>
        <x:v>18</x:v>
      </x:c>
      <x:c r="U698" s="20" t="str">
        <x:f>IF(J698="Рассчитано",N698*(1-O698/100),"н/д")</x:f>
        <x:v>н/д</x:v>
      </x:c>
      <x:c r="V698" s="20" t="str">
        <x:f>IF(J698="Рассчитано",T698*U698,"н/д")</x:f>
        <x:v>н/д</x:v>
      </x:c>
      <x:c r="W698" s="20" t="str">
        <x:f>IF(J698="Рассчитано",T698*M698,"н/д")</x:f>
        <x:v>н/д</x:v>
      </x:c>
      <x:c r="X698" s="20" t="str">
        <x:f>IF(J698="Рассчитано",V698-W698,"н/д")</x:f>
        <x:v>н/д</x:v>
      </x:c>
      <x:c r="Y698" s="26" t="str">
        <x:f>IF(J698="Рассчитано",IF(V698&gt;0,G698/V698,"н/д"),"н/д")</x:f>
        <x:v>н/д</x:v>
      </x:c>
      <x:c r="Z698" s="20" t="str">
        <x:f>"н/д"</x:f>
        <x:v>н/д</x:v>
      </x:c>
      <x:c r="AA698" s="20" t="str">
        <x:f>"н/д"</x:f>
        <x:v>н/д</x:v>
      </x:c>
      <x:c r="AB698" s="20" t="str">
        <x:f>"н/д"</x:f>
        <x:v>н/д</x:v>
      </x:c>
      <x:c r="AC698" s="20" t="str">
        <x:f>IF(AND(J698="Рассчитано",T698&gt;0,R698&lt;100),(W698+P698+Q698)/(T698*(1-R698/100)),"н/д")</x:f>
        <x:v>н/д</x:v>
      </x:c>
      <x:c r="AD698" s="11" t="str">
        <x:f>IF(ISNUMBER(G698),IF(G698&lt;0,"Убыток",IF(G698=0,"Без прибыли","Прибыль &gt; 0")),"Не оценён")</x:f>
        <x:v>Не оценён</x:v>
      </x:c>
      <x:c r="AE698" s="12" t="str">
        <x:f>IF(J698="Рассчитано","Выручка "&amp;TEXT(V698,"0.00")&amp;" - себестоимость "&amp;TEXT(W698,"0.00")&amp;" - комиссия "&amp;TEXT(V698*R698/100,"0.00")&amp;" - доставка "&amp;TEXT(P698,"0.00")&amp;" - прочие "&amp;TEXT(Q698,"0.00")&amp;" = "&amp;TEXT(G698,"0.00")&amp;" "&amp;L698,"Введите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8" s="23" t="n">
        <x:v>5.257145364988932</x:v>
      </x:c>
      <x:c r="AG698" s="35" t="n">
        <x:v>24</x:v>
      </x:c>
      <x:c r="AH698" s="35" t="n">
        <x:v>0</x:v>
      </x:c>
      <x:c r="AI698" s="29" t="n">
        <x:v>46266</x:v>
      </x:c>
      <x:c r="AJ698" s="35" t="n">
        <x:v>50</x:v>
      </x:c>
      <x:c r="AK698" s="11" t="str">
        <x:v>минимум</x:v>
      </x:c>
      <x:c r="AL698" s="31" t="n">
        <x:v>388.2221407981547</x:v>
      </x:c>
      <x:c r="AM69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98" s="12" t="str">
        <x:v>Проверить свободный остаток и установить цену для B2B</x:v>
      </x:c>
      <x:c r="AO698" s="12" t="str">
        <x:v>Остаток 24; прогноз 90 дней 5.26; избыток 18 шт. Будущие поступления не выставляются на продажу. Остаток на начало сентября: требуется актуализация.</x:v>
      </x:c>
      <x:c r="AP698" s="12" t="str">
        <x:v>["category_missing", "daily_stockout_data_missing", "new_order_lead_time_unknown", "reservations_unknown", "stale_stock"]</x:v>
      </x:c>
      <x:c r="AQ698" s="11" t="str">
        <x:v>IEK:130301712_</x:v>
      </x:c>
      <x:c r="AR698" s="23" t="n">
        <x:v>1</x:v>
      </x:c>
      <x:c r="AS698" s="23" t="n">
        <x:v>0</x:v>
      </x:c>
      <x:c r="AT698" s="23" t="n">
        <x:v>0</x:v>
      </x:c>
    </x:row>
    <x:row r="699" ht="64" customHeight="1">
      <x:c r="A699" s="10" t="str">
        <x:v>IEK</x:v>
      </x:c>
      <x:c r="B699" s="34" t="str">
        <x:v>130301716_</x:v>
      </x:c>
      <x:c r="C699" s="34" t="str">
        <x:v>YCT22-00-4-K03-002-ZGL</x:v>
      </x:c>
      <x:c r="D699" s="13" t="str">
        <x:v>Заглушка для CP-MC 4 вывода 2,5мм2 серая ИЭК</x:v>
      </x:c>
      <x:c r="E699" s="10" t="str">
        <x:v>шт</x:v>
      </x:c>
      <x:c r="F699" s="37" t="n">
        <x:f>MAX(0,ROUNDDOWN((AG699-AF699)/AR699+0.000000001,0)*AR699)</x:f>
        <x:v>36</x:v>
      </x:c>
      <x:c r="G699" s="21" t="str">
        <x:f>IF(J699="Рассчитано",V699*(1-R699/100)-W699-P699-Q699,"н/д")</x:f>
        <x:v>н/д</x:v>
      </x:c>
      <x:c r="H699" s="13" t="str">
        <x:v>Высокий</x:v>
      </x:c>
      <x:c r="I699" s="13" t="str">
        <x:v>Высокий</x:v>
      </x:c>
      <x:c r="J699" s="13" t="str">
        <x:f>IF(L699="","Укажите валюту",IF(NOT(ISNUMBER(K699)),"Укажите объём",IF(K699&lt;=0,"Укажите объём",IF(K699&gt;F699,"Объём выше излишка",IF(COUNT(M699:O699)&lt;3,"Нужны цены",IF(COUNT(P699:R699)&lt;3,"Нужны расходы",IF(OR(M699&lt;0,N699&lt;0,O699&lt;0,O699&gt;100,P699&lt;0,Q699&lt;0,R699&lt;0,R699&gt;100),"Проверьте значения","Рассчитано")))))))</x:f>
        <x:v>Нужны цены</x:v>
      </x:c>
      <x:c r="K699" s="36" t="n">
        <x:v>36</x:v>
      </x:c>
      <x:c r="L699" s="19" t="str">
        <x:v>KZT</x:v>
      </x:c>
      <x:c r="M699" s="22"/>
      <x:c r="N699" s="22"/>
      <x:c r="O699" s="28"/>
      <x:c r="P699" s="22"/>
      <x:c r="Q699" s="22"/>
      <x:c r="R699" s="28"/>
      <x:c r="S699" s="22"/>
      <x:c r="T699" s="37" t="n">
        <x:f>K699</x:f>
        <x:v>36</x:v>
      </x:c>
      <x:c r="U699" s="21" t="str">
        <x:f>IF(J699="Рассчитано",N699*(1-O699/100),"н/д")</x:f>
        <x:v>н/д</x:v>
      </x:c>
      <x:c r="V699" s="21" t="str">
        <x:f>IF(J699="Рассчитано",T699*U699,"н/д")</x:f>
        <x:v>н/д</x:v>
      </x:c>
      <x:c r="W699" s="21" t="str">
        <x:f>IF(J699="Рассчитано",T699*M699,"н/д")</x:f>
        <x:v>н/д</x:v>
      </x:c>
      <x:c r="X699" s="21" t="str">
        <x:f>IF(J699="Рассчитано",V699-W699,"н/д")</x:f>
        <x:v>н/д</x:v>
      </x:c>
      <x:c r="Y699" s="27" t="str">
        <x:f>IF(J699="Рассчитано",IF(V699&gt;0,G699/V699,"н/д"),"н/д")</x:f>
        <x:v>н/д</x:v>
      </x:c>
      <x:c r="Z699" s="21" t="str">
        <x:f>"н/д"</x:f>
        <x:v>н/д</x:v>
      </x:c>
      <x:c r="AA699" s="21" t="str">
        <x:f>"н/д"</x:f>
        <x:v>н/д</x:v>
      </x:c>
      <x:c r="AB699" s="21" t="str">
        <x:f>"н/д"</x:f>
        <x:v>н/д</x:v>
      </x:c>
      <x:c r="AC699" s="21" t="str">
        <x:f>IF(AND(J699="Рассчитано",T699&gt;0,R699&lt;100),(W699+P699+Q699)/(T699*(1-R699/100)),"н/д")</x:f>
        <x:v>н/д</x:v>
      </x:c>
      <x:c r="AD699" s="10" t="str">
        <x:f>IF(ISNUMBER(G699),IF(G699&lt;0,"Убыток",IF(G699=0,"Без прибыли","Прибыль &gt; 0")),"Не оценён")</x:f>
        <x:v>Не оценён</x:v>
      </x:c>
      <x:c r="AE699" s="13" t="str">
        <x:f>IF(J699="Рассчитано","Выручка "&amp;TEXT(V699,"0.00")&amp;" - себестоимость "&amp;TEXT(W699,"0.00")&amp;" - комиссия "&amp;TEXT(V699*R699/100,"0.00")&amp;" - доставка "&amp;TEXT(P699,"0.00")&amp;" - прочие "&amp;TEXT(Q699,"0.00")&amp;" = "&amp;TEXT(G699,"0.00")&amp;" "&amp;L699,"Введите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9" s="24" t="n">
        <x:v>3.199925381384849</x:v>
      </x:c>
      <x:c r="AG699" s="37" t="n">
        <x:v>40</x:v>
      </x:c>
      <x:c r="AH699" s="37" t="n">
        <x:v>0</x:v>
      </x:c>
      <x:c r="AI699" s="30" t="n">
        <x:v>46266</x:v>
      </x:c>
      <x:c r="AJ699" s="37" t="n">
        <x:v>50</x:v>
      </x:c>
      <x:c r="AK699" s="10" t="str">
        <x:v>минимум</x:v>
      </x:c>
      <x:c r="AL699" s="32" t="n">
        <x:v>1063.0144898357116</x:v>
      </x:c>
      <x:c r="AM69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699" s="13" t="str">
        <x:v>Проверить свободный остаток и установить цену для B2B</x:v>
      </x:c>
      <x:c r="AO699" s="13" t="str">
        <x:v>Остаток 40; прогноз 90 дней 3.20; избыток 36 шт. Будущие поступления не выставляются на продажу. Остаток на начало сентября: требуется актуализация.</x:v>
      </x:c>
      <x:c r="AP699" s="13" t="str">
        <x:v>["category_missing", "daily_stockout_data_missing", "new_order_lead_time_unknown", "reservations_unknown", "stale_stock"]</x:v>
      </x:c>
      <x:c r="AQ699" s="10" t="str">
        <x:v>IEK:130301716_</x:v>
      </x:c>
      <x:c r="AR699" s="24" t="n">
        <x:v>1</x:v>
      </x:c>
      <x:c r="AS699" s="24" t="n">
        <x:v>0</x:v>
      </x:c>
      <x:c r="AT699" s="24" t="n">
        <x:v>0</x:v>
      </x:c>
    </x:row>
    <x:row r="700" ht="64" customHeight="1">
      <x:c r="A700" s="11" t="str">
        <x:v>IEK</x:v>
      </x:c>
      <x:c r="B700" s="33" t="str">
        <x:v>130301717_</x:v>
      </x:c>
      <x:c r="C700" s="33" t="str">
        <x:v>YCT22-00-3-K03-004-ZGL</x:v>
      </x:c>
      <x:c r="D700" s="12" t="str">
        <x:v>Заглушка для CP-MC 3 вывода 4мм2 серая ИЭК</x:v>
      </x:c>
      <x:c r="E700" s="11" t="str">
        <x:v>шт</x:v>
      </x:c>
      <x:c r="F700" s="35" t="n">
        <x:f>MAX(0,ROUNDDOWN((AG700-AF700)/AR700+0.000000001,0)*AR700)</x:f>
        <x:v>45</x:v>
      </x:c>
      <x:c r="G700" s="20" t="str">
        <x:f>IF(J700="Рассчитано",V700*(1-R700/100)-W700-P700-Q700,"н/д")</x:f>
        <x:v>н/д</x:v>
      </x:c>
      <x:c r="H700" s="12" t="str">
        <x:v>Высокий</x:v>
      </x:c>
      <x:c r="I700" s="12" t="str">
        <x:v>Высокий</x:v>
      </x:c>
      <x:c r="J700" s="12" t="str">
        <x:f>IF(L700="","Укажите валюту",IF(NOT(ISNUMBER(K700)),"Укажите объём",IF(K700&lt;=0,"Укажите объём",IF(K700&gt;F700,"Объём выше излишка",IF(COUNT(M700:O700)&lt;3,"Нужны цены",IF(COUNT(P700:R700)&lt;3,"Нужны расходы",IF(OR(M700&lt;0,N700&lt;0,O700&lt;0,O700&gt;100,P700&lt;0,Q700&lt;0,R700&lt;0,R700&gt;100),"Проверьте значения","Рассчитано")))))))</x:f>
        <x:v>Нужны цены</x:v>
      </x:c>
      <x:c r="K700" s="36" t="n">
        <x:v>45</x:v>
      </x:c>
      <x:c r="L700" s="19" t="str">
        <x:v>KZT</x:v>
      </x:c>
      <x:c r="M700" s="22"/>
      <x:c r="N700" s="22"/>
      <x:c r="O700" s="28"/>
      <x:c r="P700" s="22"/>
      <x:c r="Q700" s="22"/>
      <x:c r="R700" s="28"/>
      <x:c r="S700" s="22"/>
      <x:c r="T700" s="35" t="n">
        <x:f>K700</x:f>
        <x:v>45</x:v>
      </x:c>
      <x:c r="U700" s="20" t="str">
        <x:f>IF(J700="Рассчитано",N700*(1-O700/100),"н/д")</x:f>
        <x:v>н/д</x:v>
      </x:c>
      <x:c r="V700" s="20" t="str">
        <x:f>IF(J700="Рассчитано",T700*U700,"н/д")</x:f>
        <x:v>н/д</x:v>
      </x:c>
      <x:c r="W700" s="20" t="str">
        <x:f>IF(J700="Рассчитано",T700*M700,"н/д")</x:f>
        <x:v>н/д</x:v>
      </x:c>
      <x:c r="X700" s="20" t="str">
        <x:f>IF(J700="Рассчитано",V700-W700,"н/д")</x:f>
        <x:v>н/д</x:v>
      </x:c>
      <x:c r="Y700" s="26" t="str">
        <x:f>IF(J700="Рассчитано",IF(V700&gt;0,G700/V700,"н/д"),"н/д")</x:f>
        <x:v>н/д</x:v>
      </x:c>
      <x:c r="Z700" s="20" t="str">
        <x:f>"н/д"</x:f>
        <x:v>н/д</x:v>
      </x:c>
      <x:c r="AA700" s="20" t="str">
        <x:f>"н/д"</x:f>
        <x:v>н/д</x:v>
      </x:c>
      <x:c r="AB700" s="20" t="str">
        <x:f>"н/д"</x:f>
        <x:v>н/д</x:v>
      </x:c>
      <x:c r="AC700" s="20" t="str">
        <x:f>IF(AND(J700="Рассчитано",T700&gt;0,R700&lt;100),(W700+P700+Q700)/(T700*(1-R700/100)),"н/д")</x:f>
        <x:v>н/д</x:v>
      </x:c>
      <x:c r="AD700" s="11" t="str">
        <x:f>IF(ISNUMBER(G700),IF(G700&lt;0,"Убыток",IF(G700=0,"Без прибыли","Прибыль &gt; 0")),"Не оценён")</x:f>
        <x:v>Не оценён</x:v>
      </x:c>
      <x:c r="AE700" s="12" t="str">
        <x:f>IF(J700="Рассчитано","Выручка "&amp;TEXT(V700,"0.00")&amp;" - себестоимость "&amp;TEXT(W700,"0.00")&amp;" - комиссия "&amp;TEXT(V700*R700/100,"0.00")&amp;" - доставка "&amp;TEXT(P700,"0.00")&amp;" - прочие "&amp;TEXT(Q700,"0.00")&amp;" = "&amp;TEXT(G700,"0.00")&amp;" "&amp;L700,"Введите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0" s="23" t="n">
        <x:v>1.3690106731710818</x:v>
      </x:c>
      <x:c r="AG700" s="35" t="n">
        <x:v>47</x:v>
      </x:c>
      <x:c r="AH700" s="35" t="n">
        <x:v>0</x:v>
      </x:c>
      <x:c r="AI700" s="29" t="n">
        <x:v>46266</x:v>
      </x:c>
      <x:c r="AJ700" s="35" t="n">
        <x:v>50</x:v>
      </x:c>
      <x:c r="AK700" s="11" t="str">
        <x:v>минимум</x:v>
      </x:c>
      <x:c r="AL700" s="31" t="n">
        <x:v>2919.5106790059313</x:v>
      </x:c>
      <x:c r="AM70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00" s="12" t="str">
        <x:v>Проверить свободный остаток и установить цену для B2B</x:v>
      </x:c>
      <x:c r="AO700" s="12" t="str">
        <x:v>Остаток 47; прогноз 90 дней 1.37; избыток 45 шт. Будущие поступления не выставляются на продажу. Остаток на начало сентября: требуется актуализация.</x:v>
      </x:c>
      <x:c r="AP700" s="12" t="str">
        <x:v>["category_missing", "daily_stockout_data_missing", "new_order_lead_time_unknown", "reservations_unknown", "stale_stock"]</x:v>
      </x:c>
      <x:c r="AQ700" s="11" t="str">
        <x:v>IEK:130301717_</x:v>
      </x:c>
      <x:c r="AR700" s="23" t="n">
        <x:v>1</x:v>
      </x:c>
      <x:c r="AS700" s="23" t="n">
        <x:v>0</x:v>
      </x:c>
      <x:c r="AT700" s="23" t="n">
        <x:v>0</x:v>
      </x:c>
    </x:row>
    <x:row r="701" ht="64" customHeight="1">
      <x:c r="A701" s="10" t="str">
        <x:v>IEK</x:v>
      </x:c>
      <x:c r="B701" s="34" t="str">
        <x:v>130301719_</x:v>
      </x:c>
      <x:c r="C701" s="34" t="str">
        <x:v>YCT23-00-2-K03-001-ZGL</x:v>
      </x:c>
      <x:c r="D701" s="13" t="str">
        <x:v>Заглушка для CP-ML 2 ур. 1,5мм2 серая ИЭК</x:v>
      </x:c>
      <x:c r="E701" s="10" t="str">
        <x:v>шт</x:v>
      </x:c>
      <x:c r="F701" s="37" t="n">
        <x:f>MAX(0,ROUNDDOWN((AG701-AF701)/AR701+0.000000001,0)*AR701)</x:f>
        <x:v>45</x:v>
      </x:c>
      <x:c r="G701" s="21" t="str">
        <x:f>IF(J701="Рассчитано",V701*(1-R701/100)-W701-P701-Q701,"н/д")</x:f>
        <x:v>н/д</x:v>
      </x:c>
      <x:c r="H701" s="13" t="str">
        <x:v>Высокий</x:v>
      </x:c>
      <x:c r="I701" s="13" t="str">
        <x:v>Высокий</x:v>
      </x:c>
      <x:c r="J701" s="13" t="str">
        <x:f>IF(L701="","Укажите валюту",IF(NOT(ISNUMBER(K701)),"Укажите объём",IF(K701&lt;=0,"Укажите объём",IF(K701&gt;F701,"Объём выше излишка",IF(COUNT(M701:O701)&lt;3,"Нужны цены",IF(COUNT(P701:R701)&lt;3,"Нужны расходы",IF(OR(M701&lt;0,N701&lt;0,O701&lt;0,O701&gt;100,P701&lt;0,Q701&lt;0,R701&lt;0,R701&gt;100),"Проверьте значения","Рассчитано")))))))</x:f>
        <x:v>Нужны цены</x:v>
      </x:c>
      <x:c r="K701" s="36" t="n">
        <x:v>45</x:v>
      </x:c>
      <x:c r="L701" s="19" t="str">
        <x:v>KZT</x:v>
      </x:c>
      <x:c r="M701" s="22"/>
      <x:c r="N701" s="22"/>
      <x:c r="O701" s="28"/>
      <x:c r="P701" s="22"/>
      <x:c r="Q701" s="22"/>
      <x:c r="R701" s="28"/>
      <x:c r="S701" s="22"/>
      <x:c r="T701" s="37" t="n">
        <x:f>K701</x:f>
        <x:v>45</x:v>
      </x:c>
      <x:c r="U701" s="21" t="str">
        <x:f>IF(J701="Рассчитано",N701*(1-O701/100),"н/д")</x:f>
        <x:v>н/д</x:v>
      </x:c>
      <x:c r="V701" s="21" t="str">
        <x:f>IF(J701="Рассчитано",T701*U701,"н/д")</x:f>
        <x:v>н/д</x:v>
      </x:c>
      <x:c r="W701" s="21" t="str">
        <x:f>IF(J701="Рассчитано",T701*M701,"н/д")</x:f>
        <x:v>н/д</x:v>
      </x:c>
      <x:c r="X701" s="21" t="str">
        <x:f>IF(J701="Рассчитано",V701-W701,"н/д")</x:f>
        <x:v>н/д</x:v>
      </x:c>
      <x:c r="Y701" s="27" t="str">
        <x:f>IF(J701="Рассчитано",IF(V701&gt;0,G701/V701,"н/д"),"н/д")</x:f>
        <x:v>н/д</x:v>
      </x:c>
      <x:c r="Z701" s="21" t="str">
        <x:f>"н/д"</x:f>
        <x:v>н/д</x:v>
      </x:c>
      <x:c r="AA701" s="21" t="str">
        <x:f>"н/д"</x:f>
        <x:v>н/д</x:v>
      </x:c>
      <x:c r="AB701" s="21" t="str">
        <x:f>"н/д"</x:f>
        <x:v>н/д</x:v>
      </x:c>
      <x:c r="AC701" s="21" t="str">
        <x:f>IF(AND(J701="Рассчитано",T701&gt;0,R701&lt;100),(W701+P701+Q701)/(T701*(1-R701/100)),"н/д")</x:f>
        <x:v>н/д</x:v>
      </x:c>
      <x:c r="AD701" s="10" t="str">
        <x:f>IF(ISNUMBER(G701),IF(G701&lt;0,"Убыток",IF(G701=0,"Без прибыли","Прибыль &gt; 0")),"Не оценён")</x:f>
        <x:v>Не оценён</x:v>
      </x:c>
      <x:c r="AE701" s="13" t="str">
        <x:f>IF(J701="Рассчитано","Выручка "&amp;TEXT(V701,"0.00")&amp;" - себестоимость "&amp;TEXT(W701,"0.00")&amp;" - комиссия "&amp;TEXT(V701*R701/100,"0.00")&amp;" - доставка "&amp;TEXT(P701,"0.00")&amp;" - прочие "&amp;TEXT(Q701,"0.00")&amp;" = "&amp;TEXT(G701,"0.00")&amp;" "&amp;L701,"Введите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1" s="24" t="n">
        <x:v>4.833882832534155</x:v>
      </x:c>
      <x:c r="AG701" s="37" t="n">
        <x:v>50</x:v>
      </x:c>
      <x:c r="AH701" s="37" t="n">
        <x:v>0</x:v>
      </x:c>
      <x:c r="AI701" s="30" t="n">
        <x:v>46266</x:v>
      </x:c>
      <x:c r="AJ701" s="37" t="n">
        <x:v>50</x:v>
      </x:c>
      <x:c r="AK701" s="10" t="str">
        <x:v>минимум</x:v>
      </x:c>
      <x:c r="AL701" s="32" t="n">
        <x:v>879.6156125028318</x:v>
      </x:c>
      <x:c r="AM70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01" s="13" t="str">
        <x:v>Проверить свободный остаток и установить цену для B2B</x:v>
      </x:c>
      <x:c r="AO701" s="13" t="str">
        <x:v>Остаток 50; прогноз 90 дней 4.83; избыток 45 шт. Будущие поступления не выставляются на продажу. Остаток на начало сентября: требуется актуализация.</x:v>
      </x:c>
      <x:c r="AP701" s="13" t="str">
        <x:v>["category_missing", "daily_stockout_data_missing", "new_order_lead_time_unknown", "reservations_unknown", "stale_stock"]</x:v>
      </x:c>
      <x:c r="AQ701" s="10" t="str">
        <x:v>IEK:130301719_</x:v>
      </x:c>
      <x:c r="AR701" s="24" t="n">
        <x:v>1</x:v>
      </x:c>
      <x:c r="AS701" s="24" t="n">
        <x:v>0</x:v>
      </x:c>
      <x:c r="AT701" s="24" t="n">
        <x:v>0</x:v>
      </x:c>
    </x:row>
    <x:row r="702" ht="64" customHeight="1">
      <x:c r="A702" s="11" t="str">
        <x:v>IEK</x:v>
      </x:c>
      <x:c r="B702" s="33" t="str">
        <x:v>130301721_</x:v>
      </x:c>
      <x:c r="C702" s="33" t="str">
        <x:v>YCT23-00-2-K03-004-ZGL</x:v>
      </x:c>
      <x:c r="D702" s="12" t="str">
        <x:v>Заглушка для CP-ML 2 ур. 4мм2 серая ИЭК</x:v>
      </x:c>
      <x:c r="E702" s="11" t="str">
        <x:v>шт</x:v>
      </x:c>
      <x:c r="F702" s="35" t="n">
        <x:f>MAX(0,ROUNDDOWN((AG702-AF702)/AR702+0.000000001,0)*AR702)</x:f>
        <x:v>43</x:v>
      </x:c>
      <x:c r="G702" s="20" t="str">
        <x:f>IF(J702="Рассчитано",V702*(1-R702/100)-W702-P702-Q702,"н/д")</x:f>
        <x:v>н/д</x:v>
      </x:c>
      <x:c r="H702" s="12" t="str">
        <x:v>Высокий</x:v>
      </x:c>
      <x:c r="I702" s="12" t="str">
        <x:v>Высокий</x:v>
      </x:c>
      <x:c r="J702" s="12" t="str">
        <x:f>IF(L702="","Укажите валюту",IF(NOT(ISNUMBER(K702)),"Укажите объём",IF(K702&lt;=0,"Укажите объём",IF(K702&gt;F702,"Объём выше излишка",IF(COUNT(M702:O702)&lt;3,"Нужны цены",IF(COUNT(P702:R702)&lt;3,"Нужны расходы",IF(OR(M702&lt;0,N702&lt;0,O702&lt;0,O702&gt;100,P702&lt;0,Q702&lt;0,R702&lt;0,R702&gt;100),"Проверьте значения","Рассчитано")))))))</x:f>
        <x:v>Нужны цены</x:v>
      </x:c>
      <x:c r="K702" s="36" t="n">
        <x:v>43</x:v>
      </x:c>
      <x:c r="L702" s="19" t="str">
        <x:v>KZT</x:v>
      </x:c>
      <x:c r="M702" s="22"/>
      <x:c r="N702" s="22"/>
      <x:c r="O702" s="28"/>
      <x:c r="P702" s="22"/>
      <x:c r="Q702" s="22"/>
      <x:c r="R702" s="28"/>
      <x:c r="S702" s="22"/>
      <x:c r="T702" s="35" t="n">
        <x:f>K702</x:f>
        <x:v>43</x:v>
      </x:c>
      <x:c r="U702" s="20" t="str">
        <x:f>IF(J702="Рассчитано",N702*(1-O702/100),"н/д")</x:f>
        <x:v>н/д</x:v>
      </x:c>
      <x:c r="V702" s="20" t="str">
        <x:f>IF(J702="Рассчитано",T702*U702,"н/д")</x:f>
        <x:v>н/д</x:v>
      </x:c>
      <x:c r="W702" s="20" t="str">
        <x:f>IF(J702="Рассчитано",T702*M702,"н/д")</x:f>
        <x:v>н/д</x:v>
      </x:c>
      <x:c r="X702" s="20" t="str">
        <x:f>IF(J702="Рассчитано",V702-W702,"н/д")</x:f>
        <x:v>н/д</x:v>
      </x:c>
      <x:c r="Y702" s="26" t="str">
        <x:f>IF(J702="Рассчитано",IF(V702&gt;0,G702/V702,"н/д"),"н/д")</x:f>
        <x:v>н/д</x:v>
      </x:c>
      <x:c r="Z702" s="20" t="str">
        <x:f>"н/д"</x:f>
        <x:v>н/д</x:v>
      </x:c>
      <x:c r="AA702" s="20" t="str">
        <x:f>"н/д"</x:f>
        <x:v>н/д</x:v>
      </x:c>
      <x:c r="AB702" s="20" t="str">
        <x:f>"н/д"</x:f>
        <x:v>н/д</x:v>
      </x:c>
      <x:c r="AC702" s="20" t="str">
        <x:f>IF(AND(J702="Рассчитано",T702&gt;0,R702&lt;100),(W702+P702+Q702)/(T702*(1-R702/100)),"н/д")</x:f>
        <x:v>н/д</x:v>
      </x:c>
      <x:c r="AD702" s="11" t="str">
        <x:f>IF(ISNUMBER(G702),IF(G702&lt;0,"Убыток",IF(G702=0,"Без прибыли","Прибыль &gt; 0")),"Не оценён")</x:f>
        <x:v>Не оценён</x:v>
      </x:c>
      <x:c r="AE702" s="12" t="str">
        <x:f>IF(J702="Рассчитано","Выручка "&amp;TEXT(V702,"0.00")&amp;" - себестоимость "&amp;TEXT(W702,"0.00")&amp;" - комиссия "&amp;TEXT(V702*R702/100,"0.00")&amp;" - доставка "&amp;TEXT(P702,"0.00")&amp;" - прочие "&amp;TEXT(Q702,"0.00")&amp;" = "&amp;TEXT(G702,"0.00")&amp;" "&amp;L702,"Введите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2" s="23" t="n">
        <x:v>0.5815315972827909</x:v>
      </x:c>
      <x:c r="AG702" s="35" t="n">
        <x:v>44</x:v>
      </x:c>
      <x:c r="AH702" s="35" t="n">
        <x:v>0</x:v>
      </x:c>
      <x:c r="AI702" s="29" t="n">
        <x:v>46266</x:v>
      </x:c>
      <x:c r="AJ702" s="35" t="n">
        <x:v>50</x:v>
      </x:c>
      <x:c r="AK702" s="11" t="str">
        <x:v>минимум</x:v>
      </x:c>
      <x:c r="AL702" s="31" t="n">
        <x:v>6434.25700162967</x:v>
      </x:c>
      <x:c r="AM70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02" s="12" t="str">
        <x:v>Проверить свободный остаток и установить цену для B2B</x:v>
      </x:c>
      <x:c r="AO702" s="12" t="str">
        <x:v>Остаток 44; прогноз 90 дней 0.58; избыток 43 шт. Будущие поступления не выставляются на продажу. Остаток на начало сентября: требуется актуализация.</x:v>
      </x:c>
      <x:c r="AP702" s="12" t="str">
        <x:v>["category_missing", "daily_stockout_data_missing", "new_order_lead_time_unknown", "reservations_unknown", "stale_stock"]</x:v>
      </x:c>
      <x:c r="AQ702" s="11" t="str">
        <x:v>IEK:130301721_</x:v>
      </x:c>
      <x:c r="AR702" s="23" t="n">
        <x:v>1</x:v>
      </x:c>
      <x:c r="AS702" s="23" t="n">
        <x:v>0</x:v>
      </x:c>
      <x:c r="AT702" s="23" t="n">
        <x:v>0</x:v>
      </x:c>
    </x:row>
    <x:row r="703" ht="64" customHeight="1">
      <x:c r="A703" s="10" t="str">
        <x:v>IEK</x:v>
      </x:c>
      <x:c r="B703" s="34" t="str">
        <x:v>130301725_</x:v>
      </x:c>
      <x:c r="C703" s="34" t="str">
        <x:v>YCT10-00-K03-070-AUX</x:v>
      </x:c>
      <x:c r="D703" s="13" t="str">
        <x:v>Дополнительная вводная клемма для CTS 70/120мм2 серая ИЭК</x:v>
      </x:c>
      <x:c r="E703" s="10" t="str">
        <x:v>шт</x:v>
      </x:c>
      <x:c r="F703" s="37" t="n">
        <x:f>MAX(0,ROUNDDOWN((AG703-AF703)/AR703+0.000000001,0)*AR703)</x:f>
        <x:v>1</x:v>
      </x:c>
      <x:c r="G703" s="21" t="str">
        <x:f>IF(J703="Рассчитано",V703*(1-R703/100)-W703-P703-Q703,"н/д")</x:f>
        <x:v>н/д</x:v>
      </x:c>
      <x:c r="H703" s="13" t="str">
        <x:v>Высокий</x:v>
      </x:c>
      <x:c r="I703" s="13" t="str">
        <x:v>Высокий</x:v>
      </x:c>
      <x:c r="J703" s="13" t="str">
        <x:f>IF(L703="","Укажите валюту",IF(NOT(ISNUMBER(K703)),"Укажите объём",IF(K703&lt;=0,"Укажите объём",IF(K703&gt;F703,"Объём выше излишка",IF(COUNT(M703:O703)&lt;3,"Нужны цены",IF(COUNT(P703:R703)&lt;3,"Нужны расходы",IF(OR(M703&lt;0,N703&lt;0,O703&lt;0,O703&gt;100,P703&lt;0,Q703&lt;0,R703&lt;0,R703&gt;100),"Проверьте значения","Рассчитано")))))))</x:f>
        <x:v>Нужны цены</x:v>
      </x:c>
      <x:c r="K703" s="36" t="n">
        <x:v>1</x:v>
      </x:c>
      <x:c r="L703" s="19" t="str">
        <x:v>KZT</x:v>
      </x:c>
      <x:c r="M703" s="22"/>
      <x:c r="N703" s="22"/>
      <x:c r="O703" s="28"/>
      <x:c r="P703" s="22"/>
      <x:c r="Q703" s="22"/>
      <x:c r="R703" s="28"/>
      <x:c r="S703" s="22"/>
      <x:c r="T703" s="37" t="n">
        <x:f>K703</x:f>
        <x:v>1</x:v>
      </x:c>
      <x:c r="U703" s="21" t="str">
        <x:f>IF(J703="Рассчитано",N703*(1-O703/100),"н/д")</x:f>
        <x:v>н/д</x:v>
      </x:c>
      <x:c r="V703" s="21" t="str">
        <x:f>IF(J703="Рассчитано",T703*U703,"н/д")</x:f>
        <x:v>н/д</x:v>
      </x:c>
      <x:c r="W703" s="21" t="str">
        <x:f>IF(J703="Рассчитано",T703*M703,"н/д")</x:f>
        <x:v>н/д</x:v>
      </x:c>
      <x:c r="X703" s="21" t="str">
        <x:f>IF(J703="Рассчитано",V703-W703,"н/д")</x:f>
        <x:v>н/д</x:v>
      </x:c>
      <x:c r="Y703" s="27" t="str">
        <x:f>IF(J703="Рассчитано",IF(V703&gt;0,G703/V703,"н/д"),"н/д")</x:f>
        <x:v>н/д</x:v>
      </x:c>
      <x:c r="Z703" s="21" t="str">
        <x:f>"н/д"</x:f>
        <x:v>н/д</x:v>
      </x:c>
      <x:c r="AA703" s="21" t="str">
        <x:f>"н/д"</x:f>
        <x:v>н/д</x:v>
      </x:c>
      <x:c r="AB703" s="21" t="str">
        <x:f>"н/д"</x:f>
        <x:v>н/д</x:v>
      </x:c>
      <x:c r="AC703" s="21" t="str">
        <x:f>IF(AND(J703="Рассчитано",T703&gt;0,R703&lt;100),(W703+P703+Q703)/(T703*(1-R703/100)),"н/д")</x:f>
        <x:v>н/д</x:v>
      </x:c>
      <x:c r="AD703" s="10" t="str">
        <x:f>IF(ISNUMBER(G703),IF(G703&lt;0,"Убыток",IF(G703=0,"Без прибыли","Прибыль &gt; 0")),"Не оценён")</x:f>
        <x:v>Не оценён</x:v>
      </x:c>
      <x:c r="AE703" s="13" t="str">
        <x:f>IF(J703="Рассчитано","Выручка "&amp;TEXT(V703,"0.00")&amp;" - себестоимость "&amp;TEXT(W703,"0.00")&amp;" - комиссия "&amp;TEXT(V703*R703/100,"0.00")&amp;" - доставка "&amp;TEXT(P703,"0.00")&amp;" - прочие "&amp;TEXT(Q703,"0.00")&amp;" = "&amp;TEXT(G703,"0.00")&amp;" "&amp;L703,"Введите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3" s="24" t="n">
        <x:v>0</x:v>
      </x:c>
      <x:c r="AG703" s="37" t="n">
        <x:v>1</x:v>
      </x:c>
      <x:c r="AH703" s="37" t="n">
        <x:v>0</x:v>
      </x:c>
      <x:c r="AI703" s="30" t="n">
        <x:v>46266</x:v>
      </x:c>
      <x:c r="AJ703" s="37" t="n">
        <x:v>10</x:v>
      </x:c>
      <x:c r="AK703" s="10" t="str">
        <x:v>минимум</x:v>
      </x:c>
      <x:c r="AL703" s="32" t="str">
        <x:v>н/д</x:v>
      </x:c>
      <x:c r="AM70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03" s="13" t="str">
        <x:v>Проверить свободный остаток и установить цену для B2B</x:v>
      </x:c>
      <x:c r="AO703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03" s="13" t="str">
        <x:v>["category_missing", "daily_stockout_data_missing", "new_order_lead_time_unknown", "reservations_unknown", "stale_stock"]</x:v>
      </x:c>
      <x:c r="AQ703" s="10" t="str">
        <x:v>IEK:130301725_</x:v>
      </x:c>
      <x:c r="AR703" s="24" t="n">
        <x:v>1</x:v>
      </x:c>
      <x:c r="AS703" s="24" t="n">
        <x:v>0</x:v>
      </x:c>
      <x:c r="AT703" s="24" t="n">
        <x:v>0</x:v>
      </x:c>
    </x:row>
    <x:row r="704" ht="64" customHeight="1">
      <x:c r="A704" s="11" t="str">
        <x:v>IEK</x:v>
      </x:c>
      <x:c r="B704" s="33" t="str">
        <x:v>130301726_</x:v>
      </x:c>
      <x:c r="C704" s="33" t="str">
        <x:v>YCT10-00-K03-004-A-4P</x:v>
      </x:c>
      <x:c r="D704" s="12" t="str">
        <x:v>Перемычка в сборе для CTS 4мм2 4PIN ИЭК</x:v>
      </x:c>
      <x:c r="E704" s="11" t="str">
        <x:v>шт</x:v>
      </x:c>
      <x:c r="F704" s="35" t="n">
        <x:f>MAX(0,ROUNDDOWN((AG704-AF704)/AR704+0.000000001,0)*AR704)</x:f>
        <x:v>92</x:v>
      </x:c>
      <x:c r="G704" s="20" t="str">
        <x:f>IF(J704="Рассчитано",V704*(1-R704/100)-W704-P704-Q704,"н/д")</x:f>
        <x:v>н/д</x:v>
      </x:c>
      <x:c r="H704" s="12" t="str">
        <x:v>Высокий</x:v>
      </x:c>
      <x:c r="I704" s="12" t="str">
        <x:v>Высокий</x:v>
      </x:c>
      <x:c r="J704" s="12" t="str">
        <x:f>IF(L704="","Укажите валюту",IF(NOT(ISNUMBER(K704)),"Укажите объём",IF(K704&lt;=0,"Укажите объём",IF(K704&gt;F704,"Объём выше излишка",IF(COUNT(M704:O704)&lt;3,"Нужны цены",IF(COUNT(P704:R704)&lt;3,"Нужны расходы",IF(OR(M704&lt;0,N704&lt;0,O704&lt;0,O704&gt;100,P704&lt;0,Q704&lt;0,R704&lt;0,R704&gt;100),"Проверьте значения","Рассчитано")))))))</x:f>
        <x:v>Нужны цены</x:v>
      </x:c>
      <x:c r="K704" s="36" t="n">
        <x:v>92</x:v>
      </x:c>
      <x:c r="L704" s="19" t="str">
        <x:v>KZT</x:v>
      </x:c>
      <x:c r="M704" s="22"/>
      <x:c r="N704" s="22"/>
      <x:c r="O704" s="28"/>
      <x:c r="P704" s="22"/>
      <x:c r="Q704" s="22"/>
      <x:c r="R704" s="28"/>
      <x:c r="S704" s="22"/>
      <x:c r="T704" s="35" t="n">
        <x:f>K704</x:f>
        <x:v>92</x:v>
      </x:c>
      <x:c r="U704" s="20" t="str">
        <x:f>IF(J704="Рассчитано",N704*(1-O704/100),"н/д")</x:f>
        <x:v>н/д</x:v>
      </x:c>
      <x:c r="V704" s="20" t="str">
        <x:f>IF(J704="Рассчитано",T704*U704,"н/д")</x:f>
        <x:v>н/д</x:v>
      </x:c>
      <x:c r="W704" s="20" t="str">
        <x:f>IF(J704="Рассчитано",T704*M704,"н/д")</x:f>
        <x:v>н/д</x:v>
      </x:c>
      <x:c r="X704" s="20" t="str">
        <x:f>IF(J704="Рассчитано",V704-W704,"н/д")</x:f>
        <x:v>н/д</x:v>
      </x:c>
      <x:c r="Y704" s="26" t="str">
        <x:f>IF(J704="Рассчитано",IF(V704&gt;0,G704/V704,"н/д"),"н/д")</x:f>
        <x:v>н/д</x:v>
      </x:c>
      <x:c r="Z704" s="20" t="str">
        <x:f>"н/д"</x:f>
        <x:v>н/д</x:v>
      </x:c>
      <x:c r="AA704" s="20" t="str">
        <x:f>"н/д"</x:f>
        <x:v>н/д</x:v>
      </x:c>
      <x:c r="AB704" s="20" t="str">
        <x:f>"н/д"</x:f>
        <x:v>н/д</x:v>
      </x:c>
      <x:c r="AC704" s="20" t="str">
        <x:f>IF(AND(J704="Рассчитано",T704&gt;0,R704&lt;100),(W704+P704+Q704)/(T704*(1-R704/100)),"н/д")</x:f>
        <x:v>н/д</x:v>
      </x:c>
      <x:c r="AD704" s="11" t="str">
        <x:f>IF(ISNUMBER(G704),IF(G704&lt;0,"Убыток",IF(G704=0,"Без прибыли","Прибыль &gt; 0")),"Не оценён")</x:f>
        <x:v>Не оценён</x:v>
      </x:c>
      <x:c r="AE704" s="12" t="str">
        <x:f>IF(J704="Рассчитано","Выручка "&amp;TEXT(V704,"0.00")&amp;" - себестоимость "&amp;TEXT(W704,"0.00")&amp;" - комиссия "&amp;TEXT(V704*R704/100,"0.00")&amp;" - доставка "&amp;TEXT(P704,"0.00")&amp;" - прочие "&amp;TEXT(Q704,"0.00")&amp;" = "&amp;TEXT(G704,"0.00")&amp;" "&amp;L704,"Введите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4" s="23" t="n">
        <x:v>0.11078145050006173</x:v>
      </x:c>
      <x:c r="AG704" s="35" t="n">
        <x:v>93</x:v>
      </x:c>
      <x:c r="AH704" s="35" t="n">
        <x:v>0</x:v>
      </x:c>
      <x:c r="AI704" s="29" t="n">
        <x:v>46266</x:v>
      </x:c>
      <x:c r="AJ704" s="35" t="n">
        <x:v>100</x:v>
      </x:c>
      <x:c r="AK704" s="11" t="str">
        <x:v>минимум</x:v>
      </x:c>
      <x:c r="AL704" s="31" t="n">
        <x:v>71389.59950535778</x:v>
      </x:c>
      <x:c r="AM70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04" s="12" t="str">
        <x:v>Проверить свободный остаток и установить цену для B2B</x:v>
      </x:c>
      <x:c r="AO704" s="12" t="str">
        <x:v>Остаток 93; прогноз 90 дней 0.11; избыток 92 шт. Будущие поступления не выставляются на продажу. Остаток на начало сентября: требуется актуализация.</x:v>
      </x:c>
      <x:c r="AP704" s="12" t="str">
        <x:v>["category_missing", "daily_stockout_data_missing", "new_order_lead_time_unknown", "reservations_unknown", "stale_stock"]</x:v>
      </x:c>
      <x:c r="AQ704" s="11" t="str">
        <x:v>IEK:130301726_</x:v>
      </x:c>
      <x:c r="AR704" s="23" t="n">
        <x:v>1</x:v>
      </x:c>
      <x:c r="AS704" s="23" t="n">
        <x:v>0</x:v>
      </x:c>
      <x:c r="AT704" s="23" t="n">
        <x:v>0</x:v>
      </x:c>
    </x:row>
    <x:row r="705" ht="64" customHeight="1">
      <x:c r="A705" s="10" t="str">
        <x:v>IEK</x:v>
      </x:c>
      <x:c r="B705" s="34" t="str">
        <x:v>130301728_</x:v>
      </x:c>
      <x:c r="C705" s="34" t="str">
        <x:v>YCT10-00-K03-035-A-4P</x:v>
      </x:c>
      <x:c r="D705" s="13" t="str">
        <x:v>Перемычка в сборе для CTS 35мм2 4PIN ИЭК</x:v>
      </x:c>
      <x:c r="E705" s="10" t="str">
        <x:v>шт</x:v>
      </x:c>
      <x:c r="F705" s="37" t="n">
        <x:f>MAX(0,ROUNDDOWN((AG705-AF705)/AR705+0.000000001,0)*AR705)</x:f>
        <x:v>18</x:v>
      </x:c>
      <x:c r="G705" s="21" t="str">
        <x:f>IF(J705="Рассчитано",V705*(1-R705/100)-W705-P705-Q705,"н/д")</x:f>
        <x:v>н/д</x:v>
      </x:c>
      <x:c r="H705" s="13" t="str">
        <x:v>Высокий</x:v>
      </x:c>
      <x:c r="I705" s="13" t="str">
        <x:v>Высокий</x:v>
      </x:c>
      <x:c r="J705" s="13" t="str">
        <x:f>IF(L705="","Укажите валюту",IF(NOT(ISNUMBER(K705)),"Укажите объём",IF(K705&lt;=0,"Укажите объём",IF(K705&gt;F705,"Объём выше излишка",IF(COUNT(M705:O705)&lt;3,"Нужны цены",IF(COUNT(P705:R705)&lt;3,"Нужны расходы",IF(OR(M705&lt;0,N705&lt;0,O705&lt;0,O705&gt;100,P705&lt;0,Q705&lt;0,R705&lt;0,R705&gt;100),"Проверьте значения","Рассчитано")))))))</x:f>
        <x:v>Нужны цены</x:v>
      </x:c>
      <x:c r="K705" s="36" t="n">
        <x:v>18</x:v>
      </x:c>
      <x:c r="L705" s="19" t="str">
        <x:v>KZT</x:v>
      </x:c>
      <x:c r="M705" s="22"/>
      <x:c r="N705" s="22"/>
      <x:c r="O705" s="28"/>
      <x:c r="P705" s="22"/>
      <x:c r="Q705" s="22"/>
      <x:c r="R705" s="28"/>
      <x:c r="S705" s="22"/>
      <x:c r="T705" s="37" t="n">
        <x:f>K705</x:f>
        <x:v>18</x:v>
      </x:c>
      <x:c r="U705" s="21" t="str">
        <x:f>IF(J705="Рассчитано",N705*(1-O705/100),"н/д")</x:f>
        <x:v>н/д</x:v>
      </x:c>
      <x:c r="V705" s="21" t="str">
        <x:f>IF(J705="Рассчитано",T705*U705,"н/д")</x:f>
        <x:v>н/д</x:v>
      </x:c>
      <x:c r="W705" s="21" t="str">
        <x:f>IF(J705="Рассчитано",T705*M705,"н/д")</x:f>
        <x:v>н/д</x:v>
      </x:c>
      <x:c r="X705" s="21" t="str">
        <x:f>IF(J705="Рассчитано",V705-W705,"н/д")</x:f>
        <x:v>н/д</x:v>
      </x:c>
      <x:c r="Y705" s="27" t="str">
        <x:f>IF(J705="Рассчитано",IF(V705&gt;0,G705/V705,"н/д"),"н/д")</x:f>
        <x:v>н/д</x:v>
      </x:c>
      <x:c r="Z705" s="21" t="str">
        <x:f>"н/д"</x:f>
        <x:v>н/д</x:v>
      </x:c>
      <x:c r="AA705" s="21" t="str">
        <x:f>"н/д"</x:f>
        <x:v>н/д</x:v>
      </x:c>
      <x:c r="AB705" s="21" t="str">
        <x:f>"н/д"</x:f>
        <x:v>н/д</x:v>
      </x:c>
      <x:c r="AC705" s="21" t="str">
        <x:f>IF(AND(J705="Рассчитано",T705&gt;0,R705&lt;100),(W705+P705+Q705)/(T705*(1-R705/100)),"н/д")</x:f>
        <x:v>н/д</x:v>
      </x:c>
      <x:c r="AD705" s="10" t="str">
        <x:f>IF(ISNUMBER(G705),IF(G705&lt;0,"Убыток",IF(G705=0,"Без прибыли","Прибыль &gt; 0")),"Не оценён")</x:f>
        <x:v>Не оценён</x:v>
      </x:c>
      <x:c r="AE705" s="13" t="str">
        <x:f>IF(J705="Рассчитано","Выручка "&amp;TEXT(V705,"0.00")&amp;" - себестоимость "&amp;TEXT(W705,"0.00")&amp;" - комиссия "&amp;TEXT(V705*R705/100,"0.00")&amp;" - доставка "&amp;TEXT(P705,"0.00")&amp;" - прочие "&amp;TEXT(Q705,"0.00")&amp;" = "&amp;TEXT(G705,"0.00")&amp;" "&amp;L705,"Введите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5" s="24" t="n">
        <x:v>0</x:v>
      </x:c>
      <x:c r="AG705" s="37" t="n">
        <x:v>18</x:v>
      </x:c>
      <x:c r="AH705" s="37" t="n">
        <x:v>0</x:v>
      </x:c>
      <x:c r="AI705" s="30" t="n">
        <x:v>46266</x:v>
      </x:c>
      <x:c r="AJ705" s="37" t="n">
        <x:v>20</x:v>
      </x:c>
      <x:c r="AK705" s="10" t="str">
        <x:v>минимум</x:v>
      </x:c>
      <x:c r="AL705" s="32" t="str">
        <x:v>н/д</x:v>
      </x:c>
      <x:c r="AM70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05" s="13" t="str">
        <x:v>Проверить свободный остаток и установить цену для B2B</x:v>
      </x:c>
      <x:c r="AO705" s="13" t="str">
        <x:v>Остаток 18; прогноз 90 дней 0.00; избыток 18 шт. Будущие поступления не выставляются на продажу. Остаток на начало сентября: требуется актуализация.</x:v>
      </x:c>
      <x:c r="AP705" s="13" t="str">
        <x:v>["category_missing", "daily_stockout_data_missing", "new_order_lead_time_unknown", "reservations_unknown", "stale_stock"]</x:v>
      </x:c>
      <x:c r="AQ705" s="10" t="str">
        <x:v>IEK:130301728_</x:v>
      </x:c>
      <x:c r="AR705" s="24" t="n">
        <x:v>1</x:v>
      </x:c>
      <x:c r="AS705" s="24" t="n">
        <x:v>0</x:v>
      </x:c>
      <x:c r="AT705" s="24" t="n">
        <x:v>0</x:v>
      </x:c>
    </x:row>
    <x:row r="706" ht="64" customHeight="1">
      <x:c r="A706" s="11" t="str">
        <x:v>IEK</x:v>
      </x:c>
      <x:c r="B706" s="33" t="str">
        <x:v>130301731_</x:v>
      </x:c>
      <x:c r="C706" s="33" t="str">
        <x:v>YCT10-00-K03-016-EC-10P</x:v>
      </x:c>
      <x:c r="D706" s="12" t="str">
        <x:v>Перемычка гребенчатая для CTS изолированная 16мм2 10PIN ИЭК</x:v>
      </x:c>
      <x:c r="E706" s="11" t="str">
        <x:v>шт</x:v>
      </x:c>
      <x:c r="F706" s="35" t="n">
        <x:f>MAX(0,ROUNDDOWN((AG706-AF706)/AR706+0.000000001,0)*AR706)</x:f>
        <x:v>15</x:v>
      </x:c>
      <x:c r="G706" s="20" t="str">
        <x:f>IF(J706="Рассчитано",V706*(1-R706/100)-W706-P706-Q706,"н/д")</x:f>
        <x:v>н/д</x:v>
      </x:c>
      <x:c r="H706" s="12" t="str">
        <x:v>Высокий</x:v>
      </x:c>
      <x:c r="I706" s="12" t="str">
        <x:v>Высокий</x:v>
      </x:c>
      <x:c r="J706" s="12" t="str">
        <x:f>IF(L706="","Укажите валюту",IF(NOT(ISNUMBER(K706)),"Укажите объём",IF(K706&lt;=0,"Укажите объём",IF(K706&gt;F706,"Объём выше излишка",IF(COUNT(M706:O706)&lt;3,"Нужны цены",IF(COUNT(P706:R706)&lt;3,"Нужны расходы",IF(OR(M706&lt;0,N706&lt;0,O706&lt;0,O706&gt;100,P706&lt;0,Q706&lt;0,R706&lt;0,R706&gt;100),"Проверьте значения","Рассчитано")))))))</x:f>
        <x:v>Нужны цены</x:v>
      </x:c>
      <x:c r="K706" s="36" t="n">
        <x:v>15</x:v>
      </x:c>
      <x:c r="L706" s="19" t="str">
        <x:v>KZT</x:v>
      </x:c>
      <x:c r="M706" s="22"/>
      <x:c r="N706" s="22"/>
      <x:c r="O706" s="28"/>
      <x:c r="P706" s="22"/>
      <x:c r="Q706" s="22"/>
      <x:c r="R706" s="28"/>
      <x:c r="S706" s="22"/>
      <x:c r="T706" s="35" t="n">
        <x:f>K706</x:f>
        <x:v>15</x:v>
      </x:c>
      <x:c r="U706" s="20" t="str">
        <x:f>IF(J706="Рассчитано",N706*(1-O706/100),"н/д")</x:f>
        <x:v>н/д</x:v>
      </x:c>
      <x:c r="V706" s="20" t="str">
        <x:f>IF(J706="Рассчитано",T706*U706,"н/д")</x:f>
        <x:v>н/д</x:v>
      </x:c>
      <x:c r="W706" s="20" t="str">
        <x:f>IF(J706="Рассчитано",T706*M706,"н/д")</x:f>
        <x:v>н/д</x:v>
      </x:c>
      <x:c r="X706" s="20" t="str">
        <x:f>IF(J706="Рассчитано",V706-W706,"н/д")</x:f>
        <x:v>н/д</x:v>
      </x:c>
      <x:c r="Y706" s="26" t="str">
        <x:f>IF(J706="Рассчитано",IF(V706&gt;0,G706/V706,"н/д"),"н/д")</x:f>
        <x:v>н/д</x:v>
      </x:c>
      <x:c r="Z706" s="20" t="str">
        <x:f>"н/д"</x:f>
        <x:v>н/д</x:v>
      </x:c>
      <x:c r="AA706" s="20" t="str">
        <x:f>"н/д"</x:f>
        <x:v>н/д</x:v>
      </x:c>
      <x:c r="AB706" s="20" t="str">
        <x:f>"н/д"</x:f>
        <x:v>н/д</x:v>
      </x:c>
      <x:c r="AC706" s="20" t="str">
        <x:f>IF(AND(J706="Рассчитано",T706&gt;0,R706&lt;100),(W706+P706+Q706)/(T706*(1-R706/100)),"н/д")</x:f>
        <x:v>н/д</x:v>
      </x:c>
      <x:c r="AD706" s="11" t="str">
        <x:f>IF(ISNUMBER(G706),IF(G706&lt;0,"Убыток",IF(G706=0,"Без прибыли","Прибыль &gt; 0")),"Не оценён")</x:f>
        <x:v>Не оценён</x:v>
      </x:c>
      <x:c r="AE706" s="12" t="str">
        <x:f>IF(J706="Рассчитано","Выручка "&amp;TEXT(V706,"0.00")&amp;" - себестоимость "&amp;TEXT(W706,"0.00")&amp;" - комиссия "&amp;TEXT(V706*R706/100,"0.00")&amp;" - доставка "&amp;TEXT(P706,"0.00")&amp;" - прочие "&amp;TEXT(Q706,"0.00")&amp;" = "&amp;TEXT(G706,"0.00")&amp;" "&amp;L706,"Введите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6" s="23" t="n">
        <x:v>1.5999626906924245</x:v>
      </x:c>
      <x:c r="AG706" s="35" t="n">
        <x:v>17</x:v>
      </x:c>
      <x:c r="AH706" s="35" t="n">
        <x:v>0</x:v>
      </x:c>
      <x:c r="AI706" s="29" t="n">
        <x:v>46266</x:v>
      </x:c>
      <x:c r="AJ706" s="35" t="n">
        <x:v>20</x:v>
      </x:c>
      <x:c r="AK706" s="11" t="str">
        <x:v>минимум</x:v>
      </x:c>
      <x:c r="AL706" s="31" t="n">
        <x:v>903.5623163603549</x:v>
      </x:c>
      <x:c r="AM70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06" s="12" t="str">
        <x:v>Проверить свободный остаток и установить цену для B2B</x:v>
      </x:c>
      <x:c r="AO706" s="12" t="str">
        <x:v>Остаток 17; прогноз 90 дней 1.60; избыток 15 шт. Будущие поступления не выставляются на продажу. Остаток на начало сентября: требуется актуализация.</x:v>
      </x:c>
      <x:c r="AP706" s="12" t="str">
        <x:v>["category_missing", "daily_stockout_data_missing", "new_order_lead_time_unknown", "reservations_unknown", "stale_stock"]</x:v>
      </x:c>
      <x:c r="AQ706" s="11" t="str">
        <x:v>IEK:130301731_</x:v>
      </x:c>
      <x:c r="AR706" s="23" t="n">
        <x:v>1</x:v>
      </x:c>
      <x:c r="AS706" s="23" t="n">
        <x:v>0</x:v>
      </x:c>
      <x:c r="AT706" s="23" t="n">
        <x:v>0</x:v>
      </x:c>
    </x:row>
    <x:row r="707" ht="64" customHeight="1">
      <x:c r="A707" s="10" t="str">
        <x:v>IEK</x:v>
      </x:c>
      <x:c r="B707" s="34" t="str">
        <x:v>130301733_</x:v>
      </x:c>
      <x:c r="C707" s="34" t="str">
        <x:v>YCT14-00-K03-004-EC-10P</x:v>
      </x:c>
      <x:c r="D707" s="13" t="str">
        <x:v>Перемычка гребенчатая для CTS-F 4мм2 10PIN ИЭК</x:v>
      </x:c>
      <x:c r="E707" s="10" t="str">
        <x:v>шт</x:v>
      </x:c>
      <x:c r="F707" s="37" t="n">
        <x:f>MAX(0,ROUNDDOWN((AG707-AF707)/AR707+0.000000001,0)*AR707)</x:f>
        <x:v>13</x:v>
      </x:c>
      <x:c r="G707" s="21" t="str">
        <x:f>IF(J707="Рассчитано",V707*(1-R707/100)-W707-P707-Q707,"н/д")</x:f>
        <x:v>н/д</x:v>
      </x:c>
      <x:c r="H707" s="13" t="str">
        <x:v>Высокий</x:v>
      </x:c>
      <x:c r="I707" s="13" t="str">
        <x:v>Высокий</x:v>
      </x:c>
      <x:c r="J707" s="13" t="str">
        <x:f>IF(L707="","Укажите валюту",IF(NOT(ISNUMBER(K707)),"Укажите объём",IF(K707&lt;=0,"Укажите объём",IF(K707&gt;F707,"Объём выше излишка",IF(COUNT(M707:O707)&lt;3,"Нужны цены",IF(COUNT(P707:R707)&lt;3,"Нужны расходы",IF(OR(M707&lt;0,N707&lt;0,O707&lt;0,O707&gt;100,P707&lt;0,Q707&lt;0,R707&lt;0,R707&gt;100),"Проверьте значения","Рассчитано")))))))</x:f>
        <x:v>Нужны цены</x:v>
      </x:c>
      <x:c r="K707" s="36" t="n">
        <x:v>13</x:v>
      </x:c>
      <x:c r="L707" s="19" t="str">
        <x:v>KZT</x:v>
      </x:c>
      <x:c r="M707" s="22"/>
      <x:c r="N707" s="22"/>
      <x:c r="O707" s="28"/>
      <x:c r="P707" s="22"/>
      <x:c r="Q707" s="22"/>
      <x:c r="R707" s="28"/>
      <x:c r="S707" s="22"/>
      <x:c r="T707" s="37" t="n">
        <x:f>K707</x:f>
        <x:v>13</x:v>
      </x:c>
      <x:c r="U707" s="21" t="str">
        <x:f>IF(J707="Рассчитано",N707*(1-O707/100),"н/д")</x:f>
        <x:v>н/д</x:v>
      </x:c>
      <x:c r="V707" s="21" t="str">
        <x:f>IF(J707="Рассчитано",T707*U707,"н/д")</x:f>
        <x:v>н/д</x:v>
      </x:c>
      <x:c r="W707" s="21" t="str">
        <x:f>IF(J707="Рассчитано",T707*M707,"н/д")</x:f>
        <x:v>н/д</x:v>
      </x:c>
      <x:c r="X707" s="21" t="str">
        <x:f>IF(J707="Рассчитано",V707-W707,"н/д")</x:f>
        <x:v>н/д</x:v>
      </x:c>
      <x:c r="Y707" s="27" t="str">
        <x:f>IF(J707="Рассчитано",IF(V707&gt;0,G707/V707,"н/д"),"н/д")</x:f>
        <x:v>н/д</x:v>
      </x:c>
      <x:c r="Z707" s="21" t="str">
        <x:f>"н/д"</x:f>
        <x:v>н/д</x:v>
      </x:c>
      <x:c r="AA707" s="21" t="str">
        <x:f>"н/д"</x:f>
        <x:v>н/д</x:v>
      </x:c>
      <x:c r="AB707" s="21" t="str">
        <x:f>"н/д"</x:f>
        <x:v>н/д</x:v>
      </x:c>
      <x:c r="AC707" s="21" t="str">
        <x:f>IF(AND(J707="Рассчитано",T707&gt;0,R707&lt;100),(W707+P707+Q707)/(T707*(1-R707/100)),"н/д")</x:f>
        <x:v>н/д</x:v>
      </x:c>
      <x:c r="AD707" s="10" t="str">
        <x:f>IF(ISNUMBER(G707),IF(G707&lt;0,"Убыток",IF(G707=0,"Без прибыли","Прибыль &gt; 0")),"Не оценён")</x:f>
        <x:v>Не оценён</x:v>
      </x:c>
      <x:c r="AE707" s="13" t="str">
        <x:f>IF(J707="Рассчитано","Выручка "&amp;TEXT(V707,"0.00")&amp;" - себестоимость "&amp;TEXT(W707,"0.00")&amp;" - комиссия "&amp;TEXT(V707*R707/100,"0.00")&amp;" - доставка "&amp;TEXT(P707,"0.00")&amp;" - прочие "&amp;TEXT(Q707,"0.00")&amp;" = "&amp;TEXT(G707,"0.00")&amp;" "&amp;L707,"Введите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7" s="24" t="n">
        <x:v>1.838866698365256</x:v>
      </x:c>
      <x:c r="AG707" s="37" t="n">
        <x:v>15</x:v>
      </x:c>
      <x:c r="AH707" s="37" t="n">
        <x:v>0</x:v>
      </x:c>
      <x:c r="AI707" s="30" t="n">
        <x:v>46266</x:v>
      </x:c>
      <x:c r="AJ707" s="37" t="n">
        <x:v>20</x:v>
      </x:c>
      <x:c r="AK707" s="10" t="str">
        <x:v>минимум</x:v>
      </x:c>
      <x:c r="AL707" s="32" t="n">
        <x:v>693.6814091450609</x:v>
      </x:c>
      <x:c r="AM70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07" s="13" t="str">
        <x:v>Проверить свободный остаток и установить цену для B2B</x:v>
      </x:c>
      <x:c r="AO707" s="13" t="str">
        <x:v>Остаток 15; прогноз 90 дней 1.84; избыток 13 шт. Будущие поступления не выставляются на продажу. Остаток на начало сентября: требуется актуализация.</x:v>
      </x:c>
      <x:c r="AP707" s="13" t="str">
        <x:v>["category_missing", "daily_stockout_data_missing", "new_order_lead_time_unknown", "reservations_unknown", "stale_stock"]</x:v>
      </x:c>
      <x:c r="AQ707" s="10" t="str">
        <x:v>IEK:130301733_</x:v>
      </x:c>
      <x:c r="AR707" s="24" t="n">
        <x:v>1</x:v>
      </x:c>
      <x:c r="AS707" s="24" t="n">
        <x:v>0</x:v>
      </x:c>
      <x:c r="AT707" s="24" t="n">
        <x:v>0</x:v>
      </x:c>
    </x:row>
    <x:row r="708" ht="64" customHeight="1">
      <x:c r="A708" s="11" t="str">
        <x:v>IEK</x:v>
      </x:c>
      <x:c r="B708" s="33" t="str">
        <x:v>130301734_</x:v>
      </x:c>
      <x:c r="C708" s="33" t="str">
        <x:v>YCT20-00-K03-001-EC-3P</x:v>
      </x:c>
      <x:c r="D708" s="12" t="str">
        <x:v>Перемычка гребенчатая для CP 1,5мм2 3PIN ИЭК</x:v>
      </x:c>
      <x:c r="E708" s="11" t="str">
        <x:v>шт</x:v>
      </x:c>
      <x:c r="F708" s="35" t="n">
        <x:f>MAX(0,ROUNDDOWN((AG708-AF708)/AR708+0.000000001,0)*AR708)</x:f>
        <x:v>40</x:v>
      </x:c>
      <x:c r="G708" s="20" t="str">
        <x:f>IF(J708="Рассчитано",V708*(1-R708/100)-W708-P708-Q708,"н/д")</x:f>
        <x:v>н/д</x:v>
      </x:c>
      <x:c r="H708" s="12" t="str">
        <x:v>Высокий</x:v>
      </x:c>
      <x:c r="I708" s="12" t="str">
        <x:v>Высокий</x:v>
      </x:c>
      <x:c r="J708" s="12" t="str">
        <x:f>IF(L708="","Укажите валюту",IF(NOT(ISNUMBER(K708)),"Укажите объём",IF(K708&lt;=0,"Укажите объём",IF(K708&gt;F708,"Объём выше излишка",IF(COUNT(M708:O708)&lt;3,"Нужны цены",IF(COUNT(P708:R708)&lt;3,"Нужны расходы",IF(OR(M708&lt;0,N708&lt;0,O708&lt;0,O708&gt;100,P708&lt;0,Q708&lt;0,R708&lt;0,R708&gt;100),"Проверьте значения","Рассчитано")))))))</x:f>
        <x:v>Нужны цены</x:v>
      </x:c>
      <x:c r="K708" s="36" t="n">
        <x:v>40</x:v>
      </x:c>
      <x:c r="L708" s="19" t="str">
        <x:v>KZT</x:v>
      </x:c>
      <x:c r="M708" s="22"/>
      <x:c r="N708" s="22"/>
      <x:c r="O708" s="28"/>
      <x:c r="P708" s="22"/>
      <x:c r="Q708" s="22"/>
      <x:c r="R708" s="28"/>
      <x:c r="S708" s="22"/>
      <x:c r="T708" s="35" t="n">
        <x:f>K708</x:f>
        <x:v>40</x:v>
      </x:c>
      <x:c r="U708" s="20" t="str">
        <x:f>IF(J708="Рассчитано",N708*(1-O708/100),"н/д")</x:f>
        <x:v>н/д</x:v>
      </x:c>
      <x:c r="V708" s="20" t="str">
        <x:f>IF(J708="Рассчитано",T708*U708,"н/д")</x:f>
        <x:v>н/д</x:v>
      </x:c>
      <x:c r="W708" s="20" t="str">
        <x:f>IF(J708="Рассчитано",T708*M708,"н/д")</x:f>
        <x:v>н/д</x:v>
      </x:c>
      <x:c r="X708" s="20" t="str">
        <x:f>IF(J708="Рассчитано",V708-W708,"н/д")</x:f>
        <x:v>н/д</x:v>
      </x:c>
      <x:c r="Y708" s="26" t="str">
        <x:f>IF(J708="Рассчитано",IF(V708&gt;0,G708/V708,"н/д"),"н/д")</x:f>
        <x:v>н/д</x:v>
      </x:c>
      <x:c r="Z708" s="20" t="str">
        <x:f>"н/д"</x:f>
        <x:v>н/д</x:v>
      </x:c>
      <x:c r="AA708" s="20" t="str">
        <x:f>"н/д"</x:f>
        <x:v>н/д</x:v>
      </x:c>
      <x:c r="AB708" s="20" t="str">
        <x:f>"н/д"</x:f>
        <x:v>н/д</x:v>
      </x:c>
      <x:c r="AC708" s="20" t="str">
        <x:f>IF(AND(J708="Рассчитано",T708&gt;0,R708&lt;100),(W708+P708+Q708)/(T708*(1-R708/100)),"н/д")</x:f>
        <x:v>н/д</x:v>
      </x:c>
      <x:c r="AD708" s="11" t="str">
        <x:f>IF(ISNUMBER(G708),IF(G708&lt;0,"Убыток",IF(G708=0,"Без прибыли","Прибыль &gt; 0")),"Не оценён")</x:f>
        <x:v>Не оценён</x:v>
      </x:c>
      <x:c r="AE708" s="12" t="str">
        <x:f>IF(J708="Рассчитано","Выручка "&amp;TEXT(V708,"0.00")&amp;" - себестоимость "&amp;TEXT(W708,"0.00")&amp;" - комиссия "&amp;TEXT(V708*R708/100,"0.00")&amp;" - доставка "&amp;TEXT(P708,"0.00")&amp;" - прочие "&amp;TEXT(Q708,"0.00")&amp;" = "&amp;TEXT(G708,"0.00")&amp;" "&amp;L708,"Введите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8" s="23" t="n">
        <x:v>1.319984562556025</x:v>
      </x:c>
      <x:c r="AG708" s="35" t="n">
        <x:v>42</x:v>
      </x:c>
      <x:c r="AH708" s="35" t="n">
        <x:v>0</x:v>
      </x:c>
      <x:c r="AI708" s="29" t="n">
        <x:v>46266</x:v>
      </x:c>
      <x:c r="AJ708" s="35" t="n">
        <x:v>50</x:v>
      </x:c>
      <x:c r="AK708" s="11" t="str">
        <x:v>минимум</x:v>
      </x:c>
      <x:c r="AL708" s="31" t="n">
        <x:v>2705.8236137468652</x:v>
      </x:c>
      <x:c r="AM70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08" s="12" t="str">
        <x:v>Проверить свободный остаток и установить цену для B2B</x:v>
      </x:c>
      <x:c r="AO708" s="12" t="str">
        <x:v>Остаток 42; прогноз 90 дней 1.32; избыток 40 шт. Будущие поступления не выставляются на продажу. Остаток на начало сентября: требуется актуализация.</x:v>
      </x:c>
      <x:c r="AP708" s="12" t="str">
        <x:v>["category_missing", "daily_stockout_data_missing", "new_order_lead_time_unknown", "reservations_unknown", "stale_stock"]</x:v>
      </x:c>
      <x:c r="AQ708" s="11" t="str">
        <x:v>IEK:130301734_</x:v>
      </x:c>
      <x:c r="AR708" s="23" t="n">
        <x:v>1</x:v>
      </x:c>
      <x:c r="AS708" s="23" t="n">
        <x:v>0</x:v>
      </x:c>
      <x:c r="AT708" s="23" t="n">
        <x:v>0</x:v>
      </x:c>
    </x:row>
    <x:row r="709" ht="64" customHeight="1">
      <x:c r="A709" s="10" t="str">
        <x:v>IEK</x:v>
      </x:c>
      <x:c r="B709" s="34" t="str">
        <x:v>130301735_</x:v>
      </x:c>
      <x:c r="C709" s="34" t="str">
        <x:v>YCT20-00-K03-001-EC-4P</x:v>
      </x:c>
      <x:c r="D709" s="13" t="str">
        <x:v>Перемычка гребенчатая для CP 1,5мм2 4PIN ИЭК</x:v>
      </x:c>
      <x:c r="E709" s="10" t="str">
        <x:v>шт</x:v>
      </x:c>
      <x:c r="F709" s="37" t="n">
        <x:f>MAX(0,ROUNDDOWN((AG709-AF709)/AR709+0.000000001,0)*AR709)</x:f>
        <x:v>35</x:v>
      </x:c>
      <x:c r="G709" s="21" t="str">
        <x:f>IF(J709="Рассчитано",V709*(1-R709/100)-W709-P709-Q709,"н/д")</x:f>
        <x:v>н/д</x:v>
      </x:c>
      <x:c r="H709" s="13" t="str">
        <x:v>Высокий</x:v>
      </x:c>
      <x:c r="I709" s="13" t="str">
        <x:v>Высокий</x:v>
      </x:c>
      <x:c r="J709" s="13" t="str">
        <x:f>IF(L709="","Укажите валюту",IF(NOT(ISNUMBER(K709)),"Укажите объём",IF(K709&lt;=0,"Укажите объём",IF(K709&gt;F709,"Объём выше излишка",IF(COUNT(M709:O709)&lt;3,"Нужны цены",IF(COUNT(P709:R709)&lt;3,"Нужны расходы",IF(OR(M709&lt;0,N709&lt;0,O709&lt;0,O709&gt;100,P709&lt;0,Q709&lt;0,R709&lt;0,R709&gt;100),"Проверьте значения","Рассчитано")))))))</x:f>
        <x:v>Нужны цены</x:v>
      </x:c>
      <x:c r="K709" s="36" t="n">
        <x:v>35</x:v>
      </x:c>
      <x:c r="L709" s="19" t="str">
        <x:v>KZT</x:v>
      </x:c>
      <x:c r="M709" s="22"/>
      <x:c r="N709" s="22"/>
      <x:c r="O709" s="28"/>
      <x:c r="P709" s="22"/>
      <x:c r="Q709" s="22"/>
      <x:c r="R709" s="28"/>
      <x:c r="S709" s="22"/>
      <x:c r="T709" s="37" t="n">
        <x:f>K709</x:f>
        <x:v>35</x:v>
      </x:c>
      <x:c r="U709" s="21" t="str">
        <x:f>IF(J709="Рассчитано",N709*(1-O709/100),"н/д")</x:f>
        <x:v>н/д</x:v>
      </x:c>
      <x:c r="V709" s="21" t="str">
        <x:f>IF(J709="Рассчитано",T709*U709,"н/д")</x:f>
        <x:v>н/д</x:v>
      </x:c>
      <x:c r="W709" s="21" t="str">
        <x:f>IF(J709="Рассчитано",T709*M709,"н/д")</x:f>
        <x:v>н/д</x:v>
      </x:c>
      <x:c r="X709" s="21" t="str">
        <x:f>IF(J709="Рассчитано",V709-W709,"н/д")</x:f>
        <x:v>н/д</x:v>
      </x:c>
      <x:c r="Y709" s="27" t="str">
        <x:f>IF(J709="Рассчитано",IF(V709&gt;0,G709/V709,"н/д"),"н/д")</x:f>
        <x:v>н/д</x:v>
      </x:c>
      <x:c r="Z709" s="21" t="str">
        <x:f>"н/д"</x:f>
        <x:v>н/д</x:v>
      </x:c>
      <x:c r="AA709" s="21" t="str">
        <x:f>"н/д"</x:f>
        <x:v>н/д</x:v>
      </x:c>
      <x:c r="AB709" s="21" t="str">
        <x:f>"н/д"</x:f>
        <x:v>н/д</x:v>
      </x:c>
      <x:c r="AC709" s="21" t="str">
        <x:f>IF(AND(J709="Рассчитано",T709&gt;0,R709&lt;100),(W709+P709+Q709)/(T709*(1-R709/100)),"н/д")</x:f>
        <x:v>н/д</x:v>
      </x:c>
      <x:c r="AD709" s="10" t="str">
        <x:f>IF(ISNUMBER(G709),IF(G709&lt;0,"Убыток",IF(G709=0,"Без прибыли","Прибыль &gt; 0")),"Не оценён")</x:f>
        <x:v>Не оценён</x:v>
      </x:c>
      <x:c r="AE709" s="13" t="str">
        <x:f>IF(J709="Рассчитано","Выручка "&amp;TEXT(V709,"0.00")&amp;" - себестоимость "&amp;TEXT(W709,"0.00")&amp;" - комиссия "&amp;TEXT(V709*R709/100,"0.00")&amp;" - доставка "&amp;TEXT(P709,"0.00")&amp;" - прочие "&amp;TEXT(Q709,"0.00")&amp;" = "&amp;TEXT(G709,"0.00")&amp;" "&amp;L709,"Введите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9" s="24" t="n">
        <x:v>1.319984562556025</x:v>
      </x:c>
      <x:c r="AG709" s="37" t="n">
        <x:v>37</x:v>
      </x:c>
      <x:c r="AH709" s="37" t="n">
        <x:v>0</x:v>
      </x:c>
      <x:c r="AI709" s="30" t="n">
        <x:v>46266</x:v>
      </x:c>
      <x:c r="AJ709" s="37" t="n">
        <x:v>50</x:v>
      </x:c>
      <x:c r="AK709" s="10" t="str">
        <x:v>минимум</x:v>
      </x:c>
      <x:c r="AL709" s="32" t="n">
        <x:v>2383.7017549674765</x:v>
      </x:c>
      <x:c r="AM70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09" s="13" t="str">
        <x:v>Проверить свободный остаток и установить цену для B2B</x:v>
      </x:c>
      <x:c r="AO709" s="13" t="str">
        <x:v>Остаток 37; прогноз 90 дней 1.32; избыток 35 шт. Будущие поступления не выставляются на продажу. Остаток на начало сентября: требуется актуализация.</x:v>
      </x:c>
      <x:c r="AP709" s="13" t="str">
        <x:v>["category_missing", "daily_stockout_data_missing", "new_order_lead_time_unknown", "reservations_unknown", "stale_stock"]</x:v>
      </x:c>
      <x:c r="AQ709" s="10" t="str">
        <x:v>IEK:130301735_</x:v>
      </x:c>
      <x:c r="AR709" s="24" t="n">
        <x:v>1</x:v>
      </x:c>
      <x:c r="AS709" s="24" t="n">
        <x:v>0</x:v>
      </x:c>
      <x:c r="AT709" s="24" t="n">
        <x:v>0</x:v>
      </x:c>
    </x:row>
    <x:row r="710" ht="64" customHeight="1">
      <x:c r="A710" s="11" t="str">
        <x:v>IEK</x:v>
      </x:c>
      <x:c r="B710" s="33" t="str">
        <x:v>130301737_</x:v>
      </x:c>
      <x:c r="C710" s="33" t="str">
        <x:v>YCT20-00-K03-004-EC-2P</x:v>
      </x:c>
      <x:c r="D710" s="12" t="str">
        <x:v>Перемычка гребенчатая для CP 4мм2 2PIN ИЭК</x:v>
      </x:c>
      <x:c r="E710" s="11" t="str">
        <x:v>шт</x:v>
      </x:c>
      <x:c r="F710" s="35" t="n">
        <x:f>MAX(0,ROUNDDOWN((AG710-AF710)/AR710+0.000000001,0)*AR710)</x:f>
        <x:v>38</x:v>
      </x:c>
      <x:c r="G710" s="20" t="str">
        <x:f>IF(J710="Рассчитано",V710*(1-R710/100)-W710-P710-Q710,"н/д")</x:f>
        <x:v>н/д</x:v>
      </x:c>
      <x:c r="H710" s="12" t="str">
        <x:v>Высокий</x:v>
      </x:c>
      <x:c r="I710" s="12" t="str">
        <x:v>Высокий</x:v>
      </x:c>
      <x:c r="J710" s="12" t="str">
        <x:f>IF(L710="","Укажите валюту",IF(NOT(ISNUMBER(K710)),"Укажите объём",IF(K710&lt;=0,"Укажите объём",IF(K710&gt;F710,"Объём выше излишка",IF(COUNT(M710:O710)&lt;3,"Нужны цены",IF(COUNT(P710:R710)&lt;3,"Нужны расходы",IF(OR(M710&lt;0,N710&lt;0,O710&lt;0,O710&gt;100,P710&lt;0,Q710&lt;0,R710&lt;0,R710&gt;100),"Проверьте значения","Рассчитано")))))))</x:f>
        <x:v>Нужны цены</x:v>
      </x:c>
      <x:c r="K710" s="36" t="n">
        <x:v>38</x:v>
      </x:c>
      <x:c r="L710" s="19" t="str">
        <x:v>KZT</x:v>
      </x:c>
      <x:c r="M710" s="22"/>
      <x:c r="N710" s="22"/>
      <x:c r="O710" s="28"/>
      <x:c r="P710" s="22"/>
      <x:c r="Q710" s="22"/>
      <x:c r="R710" s="28"/>
      <x:c r="S710" s="22"/>
      <x:c r="T710" s="35" t="n">
        <x:f>K710</x:f>
        <x:v>38</x:v>
      </x:c>
      <x:c r="U710" s="20" t="str">
        <x:f>IF(J710="Рассчитано",N710*(1-O710/100),"н/д")</x:f>
        <x:v>н/д</x:v>
      </x:c>
      <x:c r="V710" s="20" t="str">
        <x:f>IF(J710="Рассчитано",T710*U710,"н/д")</x:f>
        <x:v>н/д</x:v>
      </x:c>
      <x:c r="W710" s="20" t="str">
        <x:f>IF(J710="Рассчитано",T710*M710,"н/д")</x:f>
        <x:v>н/д</x:v>
      </x:c>
      <x:c r="X710" s="20" t="str">
        <x:f>IF(J710="Рассчитано",V710-W710,"н/д")</x:f>
        <x:v>н/д</x:v>
      </x:c>
      <x:c r="Y710" s="26" t="str">
        <x:f>IF(J710="Рассчитано",IF(V710&gt;0,G710/V710,"н/д"),"н/д")</x:f>
        <x:v>н/д</x:v>
      </x:c>
      <x:c r="Z710" s="20" t="str">
        <x:f>"н/д"</x:f>
        <x:v>н/д</x:v>
      </x:c>
      <x:c r="AA710" s="20" t="str">
        <x:f>"н/д"</x:f>
        <x:v>н/д</x:v>
      </x:c>
      <x:c r="AB710" s="20" t="str">
        <x:f>"н/д"</x:f>
        <x:v>н/д</x:v>
      </x:c>
      <x:c r="AC710" s="20" t="str">
        <x:f>IF(AND(J710="Рассчитано",T710&gt;0,R710&lt;100),(W710+P710+Q710)/(T710*(1-R710/100)),"н/д")</x:f>
        <x:v>н/д</x:v>
      </x:c>
      <x:c r="AD710" s="11" t="str">
        <x:f>IF(ISNUMBER(G710),IF(G710&lt;0,"Убыток",IF(G710=0,"Без прибыли","Прибыль &gt; 0")),"Не оценён")</x:f>
        <x:v>Не оценён</x:v>
      </x:c>
      <x:c r="AE710" s="12" t="str">
        <x:f>IF(J710="Рассчитано","Выручка "&amp;TEXT(V710,"0.00")&amp;" - себестоимость "&amp;TEXT(W710,"0.00")&amp;" - комиссия "&amp;TEXT(V710*R710/100,"0.00")&amp;" - доставка "&amp;TEXT(P710,"0.00")&amp;" - прочие "&amp;TEXT(Q710,"0.00")&amp;" = "&amp;TEXT(G710,"0.00")&amp;" "&amp;L710,"Введите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0" s="23" t="n">
        <x:v>16.110587945132956</x:v>
      </x:c>
      <x:c r="AG710" s="35" t="n">
        <x:v>55</x:v>
      </x:c>
      <x:c r="AH710" s="35" t="n">
        <x:v>0</x:v>
      </x:c>
      <x:c r="AI710" s="29" t="n">
        <x:v>46266</x:v>
      </x:c>
      <x:c r="AJ710" s="35" t="n">
        <x:v>100</x:v>
      </x:c>
      <x:c r="AK710" s="11" t="str">
        <x:v>минимум</x:v>
      </x:c>
      <x:c r="AL710" s="31" t="n">
        <x:v>290.31558036775954</x:v>
      </x:c>
      <x:c r="AM71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10" s="12" t="str">
        <x:v>Проверить свободный остаток и установить цену для B2B</x:v>
      </x:c>
      <x:c r="AO710" s="12" t="str">
        <x:v>Остаток 55; прогноз 90 дней 16.11; избыток 38 шт. Будущие поступления не выставляются на продажу. Остаток на начало сентября: требуется актуализация.</x:v>
      </x:c>
      <x:c r="AP710" s="12" t="str">
        <x:v>["category_missing", "daily_stockout_data_missing", "new_order_lead_time_unknown", "reservations_unknown", "stale_stock"]</x:v>
      </x:c>
      <x:c r="AQ710" s="11" t="str">
        <x:v>IEK:130301737_</x:v>
      </x:c>
      <x:c r="AR710" s="23" t="n">
        <x:v>1</x:v>
      </x:c>
      <x:c r="AS710" s="23" t="n">
        <x:v>0</x:v>
      </x:c>
      <x:c r="AT710" s="23" t="n">
        <x:v>0</x:v>
      </x:c>
    </x:row>
    <x:row r="711" ht="64" customHeight="1">
      <x:c r="A711" s="10" t="str">
        <x:v>IEK</x:v>
      </x:c>
      <x:c r="B711" s="34" t="str">
        <x:v>130301739_</x:v>
      </x:c>
      <x:c r="C711" s="34" t="str">
        <x:v>YCT15-00-K03-006-SP</x:v>
      </x:c>
      <x:c r="D711" s="13" t="str">
        <x:v>Вилка закорачивающая для CTS-DT 6мм2 2PIN ИЭК</x:v>
      </x:c>
      <x:c r="E711" s="10" t="str">
        <x:v>шт</x:v>
      </x:c>
      <x:c r="F711" s="37" t="n">
        <x:f>MAX(0,ROUNDDOWN((AG711-AF711)/AR711+0.000000001,0)*AR711)</x:f>
        <x:v>19</x:v>
      </x:c>
      <x:c r="G711" s="21" t="str">
        <x:f>IF(J711="Рассчитано",V711*(1-R711/100)-W711-P711-Q711,"н/д")</x:f>
        <x:v>н/д</x:v>
      </x:c>
      <x:c r="H711" s="13" t="str">
        <x:v>Высокий</x:v>
      </x:c>
      <x:c r="I711" s="13" t="str">
        <x:v>Высокий</x:v>
      </x:c>
      <x:c r="J711" s="13" t="str">
        <x:f>IF(L711="","Укажите валюту",IF(NOT(ISNUMBER(K711)),"Укажите объём",IF(K711&lt;=0,"Укажите объём",IF(K711&gt;F711,"Объём выше излишка",IF(COUNT(M711:O711)&lt;3,"Нужны цены",IF(COUNT(P711:R711)&lt;3,"Нужны расходы",IF(OR(M711&lt;0,N711&lt;0,O711&lt;0,O711&gt;100,P711&lt;0,Q711&lt;0,R711&lt;0,R711&gt;100),"Проверьте значения","Рассчитано")))))))</x:f>
        <x:v>Нужны цены</x:v>
      </x:c>
      <x:c r="K711" s="36" t="n">
        <x:v>19</x:v>
      </x:c>
      <x:c r="L711" s="19" t="str">
        <x:v>KZT</x:v>
      </x:c>
      <x:c r="M711" s="22"/>
      <x:c r="N711" s="22"/>
      <x:c r="O711" s="28"/>
      <x:c r="P711" s="22"/>
      <x:c r="Q711" s="22"/>
      <x:c r="R711" s="28"/>
      <x:c r="S711" s="22"/>
      <x:c r="T711" s="37" t="n">
        <x:f>K711</x:f>
        <x:v>19</x:v>
      </x:c>
      <x:c r="U711" s="21" t="str">
        <x:f>IF(J711="Рассчитано",N711*(1-O711/100),"н/д")</x:f>
        <x:v>н/д</x:v>
      </x:c>
      <x:c r="V711" s="21" t="str">
        <x:f>IF(J711="Рассчитано",T711*U711,"н/д")</x:f>
        <x:v>н/д</x:v>
      </x:c>
      <x:c r="W711" s="21" t="str">
        <x:f>IF(J711="Рассчитано",T711*M711,"н/д")</x:f>
        <x:v>н/д</x:v>
      </x:c>
      <x:c r="X711" s="21" t="str">
        <x:f>IF(J711="Рассчитано",V711-W711,"н/д")</x:f>
        <x:v>н/д</x:v>
      </x:c>
      <x:c r="Y711" s="27" t="str">
        <x:f>IF(J711="Рассчитано",IF(V711&gt;0,G711/V711,"н/д"),"н/д")</x:f>
        <x:v>н/д</x:v>
      </x:c>
      <x:c r="Z711" s="21" t="str">
        <x:f>"н/д"</x:f>
        <x:v>н/д</x:v>
      </x:c>
      <x:c r="AA711" s="21" t="str">
        <x:f>"н/д"</x:f>
        <x:v>н/д</x:v>
      </x:c>
      <x:c r="AB711" s="21" t="str">
        <x:f>"н/д"</x:f>
        <x:v>н/д</x:v>
      </x:c>
      <x:c r="AC711" s="21" t="str">
        <x:f>IF(AND(J711="Рассчитано",T711&gt;0,R711&lt;100),(W711+P711+Q711)/(T711*(1-R711/100)),"н/д")</x:f>
        <x:v>н/д</x:v>
      </x:c>
      <x:c r="AD711" s="10" t="str">
        <x:f>IF(ISNUMBER(G711),IF(G711&lt;0,"Убыток",IF(G711=0,"Без прибыли","Прибыль &gt; 0")),"Не оценён")</x:f>
        <x:v>Не оценён</x:v>
      </x:c>
      <x:c r="AE711" s="13" t="str">
        <x:f>IF(J711="Рассчитано","Выручка "&amp;TEXT(V711,"0.00")&amp;" - себестоимость "&amp;TEXT(W711,"0.00")&amp;" - комиссия "&amp;TEXT(V711*R711/100,"0.00")&amp;" - доставка "&amp;TEXT(P711,"0.00")&amp;" - прочие "&amp;TEXT(Q711,"0.00")&amp;" = "&amp;TEXT(G711,"0.00")&amp;" "&amp;L711,"Введите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1" s="24" t="n">
        <x:v>0.5207228645400831</x:v>
      </x:c>
      <x:c r="AG711" s="37" t="n">
        <x:v>20</x:v>
      </x:c>
      <x:c r="AH711" s="37" t="n">
        <x:v>0</x:v>
      </x:c>
      <x:c r="AI711" s="30" t="n">
        <x:v>46266</x:v>
      </x:c>
      <x:c r="AJ711" s="37" t="n">
        <x:v>25</x:v>
      </x:c>
      <x:c r="AK711" s="10" t="str">
        <x:v>минимум</x:v>
      </x:c>
      <x:c r="AL711" s="32" t="n">
        <x:v>3266.1971256145284</x:v>
      </x:c>
      <x:c r="AM71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11" s="13" t="str">
        <x:v>Проверить свободный остаток и установить цену для B2B</x:v>
      </x:c>
      <x:c r="AO711" s="13" t="str">
        <x:v>Остаток 20; прогноз 90 дней 0.52; избыток 19 шт. Будущие поступления не выставляются на продажу. Остаток на начало сентября: требуется актуализация.</x:v>
      </x:c>
      <x:c r="AP711" s="13" t="str">
        <x:v>["category_missing", "daily_stockout_data_missing", "new_order_lead_time_unknown", "reservations_unknown", "stale_stock"]</x:v>
      </x:c>
      <x:c r="AQ711" s="10" t="str">
        <x:v>IEK:130301739_</x:v>
      </x:c>
      <x:c r="AR711" s="24" t="n">
        <x:v>1</x:v>
      </x:c>
      <x:c r="AS711" s="24" t="n">
        <x:v>0</x:v>
      </x:c>
      <x:c r="AT711" s="24" t="n">
        <x:v>0</x:v>
      </x:c>
    </x:row>
    <x:row r="712" ht="64" customHeight="1">
      <x:c r="A712" s="11" t="str">
        <x:v>IEK</x:v>
      </x:c>
      <x:c r="B712" s="33" t="str">
        <x:v>130400069_</x:v>
      </x:c>
      <x:c r="C712" s="33" t="str">
        <x:v>YIS11-4-20-B</x:v>
      </x:c>
      <x:c r="D712" s="12" t="str">
        <x:v>Изолятор ступенчатый ИС4-20 (М6) силовой с болтом IEK</x:v>
      </x:c>
      <x:c r="E712" s="11" t="str">
        <x:v>шт</x:v>
      </x:c>
      <x:c r="F712" s="35" t="n">
        <x:f>MAX(0,ROUNDDOWN((AG712-AF712)/AR712+0.000000001,0)*AR712)</x:f>
        <x:v>6</x:v>
      </x:c>
      <x:c r="G712" s="20" t="str">
        <x:f>IF(J712="Рассчитано",V712*(1-R712/100)-W712-P712-Q712,"н/д")</x:f>
        <x:v>н/д</x:v>
      </x:c>
      <x:c r="H712" s="12" t="str">
        <x:v>Высокий</x:v>
      </x:c>
      <x:c r="I712" s="12" t="str">
        <x:v>Высокий</x:v>
      </x:c>
      <x:c r="J712" s="12" t="str">
        <x:f>IF(L712="","Укажите валюту",IF(NOT(ISNUMBER(K712)),"Укажите объём",IF(K712&lt;=0,"Укажите объём",IF(K712&gt;F712,"Объём выше излишка",IF(COUNT(M712:O712)&lt;3,"Нужны цены",IF(COUNT(P712:R712)&lt;3,"Нужны расходы",IF(OR(M712&lt;0,N712&lt;0,O712&lt;0,O712&gt;100,P712&lt;0,Q712&lt;0,R712&lt;0,R712&gt;100),"Проверьте значения","Рассчитано")))))))</x:f>
        <x:v>Нужны цены</x:v>
      </x:c>
      <x:c r="K712" s="36" t="n">
        <x:v>6</x:v>
      </x:c>
      <x:c r="L712" s="19" t="str">
        <x:v>KZT</x:v>
      </x:c>
      <x:c r="M712" s="22"/>
      <x:c r="N712" s="22"/>
      <x:c r="O712" s="28"/>
      <x:c r="P712" s="22"/>
      <x:c r="Q712" s="22"/>
      <x:c r="R712" s="28"/>
      <x:c r="S712" s="22"/>
      <x:c r="T712" s="35" t="n">
        <x:f>K712</x:f>
        <x:v>6</x:v>
      </x:c>
      <x:c r="U712" s="20" t="str">
        <x:f>IF(J712="Рассчитано",N712*(1-O712/100),"н/д")</x:f>
        <x:v>н/д</x:v>
      </x:c>
      <x:c r="V712" s="20" t="str">
        <x:f>IF(J712="Рассчитано",T712*U712,"н/д")</x:f>
        <x:v>н/д</x:v>
      </x:c>
      <x:c r="W712" s="20" t="str">
        <x:f>IF(J712="Рассчитано",T712*M712,"н/д")</x:f>
        <x:v>н/д</x:v>
      </x:c>
      <x:c r="X712" s="20" t="str">
        <x:f>IF(J712="Рассчитано",V712-W712,"н/д")</x:f>
        <x:v>н/д</x:v>
      </x:c>
      <x:c r="Y712" s="26" t="str">
        <x:f>IF(J712="Рассчитано",IF(V712&gt;0,G712/V712,"н/д"),"н/д")</x:f>
        <x:v>н/д</x:v>
      </x:c>
      <x:c r="Z712" s="20" t="str">
        <x:f>"н/д"</x:f>
        <x:v>н/д</x:v>
      </x:c>
      <x:c r="AA712" s="20" t="str">
        <x:f>"н/д"</x:f>
        <x:v>н/д</x:v>
      </x:c>
      <x:c r="AB712" s="20" t="str">
        <x:f>"н/д"</x:f>
        <x:v>н/д</x:v>
      </x:c>
      <x:c r="AC712" s="20" t="str">
        <x:f>IF(AND(J712="Рассчитано",T712&gt;0,R712&lt;100),(W712+P712+Q712)/(T712*(1-R712/100)),"н/д")</x:f>
        <x:v>н/д</x:v>
      </x:c>
      <x:c r="AD712" s="11" t="str">
        <x:f>IF(ISNUMBER(G712),IF(G712&lt;0,"Убыток",IF(G712=0,"Без прибыли","Прибыль &gt; 0")),"Не оценён")</x:f>
        <x:v>Не оценён</x:v>
      </x:c>
      <x:c r="AE712" s="12" t="str">
        <x:f>IF(J712="Рассчитано","Выручка "&amp;TEXT(V712,"0.00")&amp;" - себестоимость "&amp;TEXT(W712,"0.00")&amp;" - комиссия "&amp;TEXT(V712*R712/100,"0.00")&amp;" - доставка "&amp;TEXT(P712,"0.00")&amp;" - прочие "&amp;TEXT(Q712,"0.00")&amp;" = "&amp;TEXT(G712,"0.00")&amp;" "&amp;L712,"Введите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2" s="23" t="n">
        <x:v>1.4107663282451168</x:v>
      </x:c>
      <x:c r="AG712" s="35" t="n">
        <x:v>8</x:v>
      </x:c>
      <x:c r="AH712" s="35" t="n">
        <x:v>0</x:v>
      </x:c>
      <x:c r="AI712" s="29" t="n">
        <x:v>46266</x:v>
      </x:c>
      <x:c r="AJ712" s="35" t="n">
        <x:v>2</x:v>
      </x:c>
      <x:c r="AK712" s="11" t="str">
        <x:v>минимум</x:v>
      </x:c>
      <x:c r="AL712" s="31" t="n">
        <x:v>482.2296901622891</x:v>
      </x:c>
      <x:c r="AM71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12" s="12" t="str">
        <x:v>Проверить свободный остаток и установить цену для B2B</x:v>
      </x:c>
      <x:c r="AO712" s="12" t="str">
        <x:v>Остаток 8; прогноз 90 дней 1.41; избыток 6 шт. Будущие поступления не выставляются на продажу. Остаток на начало сентября: требуется актуализация.</x:v>
      </x:c>
      <x:c r="AP712" s="12" t="str">
        <x:v>["category_missing", "daily_stockout_data_missing", "new_order_lead_time_unknown", "reservations_unknown", "stale_stock"]</x:v>
      </x:c>
      <x:c r="AQ712" s="11" t="str">
        <x:v>IEK:130400069_</x:v>
      </x:c>
      <x:c r="AR712" s="23" t="n">
        <x:v>1</x:v>
      </x:c>
      <x:c r="AS712" s="23" t="n">
        <x:v>0</x:v>
      </x:c>
      <x:c r="AT712" s="23" t="n">
        <x:v>0</x:v>
      </x:c>
    </x:row>
    <x:row r="713" ht="64" customHeight="1">
      <x:c r="A713" s="10" t="str">
        <x:v>IEK</x:v>
      </x:c>
      <x:c r="B713" s="34" t="str">
        <x:v>130500001_</x:v>
      </x:c>
      <x:c r="C713" s="34" t="str">
        <x:v>YIS11-25-06</x:v>
      </x:c>
      <x:c r="D713" s="13" t="str">
        <x:v>Изолятор SM25 IEK (10)</x:v>
      </x:c>
      <x:c r="E713" s="10" t="str">
        <x:v>шт</x:v>
      </x:c>
      <x:c r="F713" s="37" t="n">
        <x:f>MAX(0,ROUNDDOWN((AG713-AF713)/AR713+0.000000001,0)*AR713)</x:f>
        <x:v>1</x:v>
      </x:c>
      <x:c r="G713" s="21" t="str">
        <x:f>IF(J713="Рассчитано",V713*(1-R713/100)-W713-P713-Q713,"н/д")</x:f>
        <x:v>н/д</x:v>
      </x:c>
      <x:c r="H713" s="13" t="str">
        <x:v>Высокий</x:v>
      </x:c>
      <x:c r="I713" s="13" t="str">
        <x:v>Высокий</x:v>
      </x:c>
      <x:c r="J713" s="13" t="str">
        <x:f>IF(L713="","Укажите валюту",IF(NOT(ISNUMBER(K713)),"Укажите объём",IF(K713&lt;=0,"Укажите объём",IF(K713&gt;F713,"Объём выше излишка",IF(COUNT(M713:O713)&lt;3,"Нужны цены",IF(COUNT(P713:R713)&lt;3,"Нужны расходы",IF(OR(M713&lt;0,N713&lt;0,O713&lt;0,O713&gt;100,P713&lt;0,Q713&lt;0,R713&lt;0,R713&gt;100),"Проверьте значения","Рассчитано")))))))</x:f>
        <x:v>Нужны цены</x:v>
      </x:c>
      <x:c r="K713" s="36" t="n">
        <x:v>1</x:v>
      </x:c>
      <x:c r="L713" s="19" t="str">
        <x:v>KZT</x:v>
      </x:c>
      <x:c r="M713" s="22"/>
      <x:c r="N713" s="22"/>
      <x:c r="O713" s="28"/>
      <x:c r="P713" s="22"/>
      <x:c r="Q713" s="22"/>
      <x:c r="R713" s="28"/>
      <x:c r="S713" s="22"/>
      <x:c r="T713" s="37" t="n">
        <x:f>K713</x:f>
        <x:v>1</x:v>
      </x:c>
      <x:c r="U713" s="21" t="str">
        <x:f>IF(J713="Рассчитано",N713*(1-O713/100),"н/д")</x:f>
        <x:v>н/д</x:v>
      </x:c>
      <x:c r="V713" s="21" t="str">
        <x:f>IF(J713="Рассчитано",T713*U713,"н/д")</x:f>
        <x:v>н/д</x:v>
      </x:c>
      <x:c r="W713" s="21" t="str">
        <x:f>IF(J713="Рассчитано",T713*M713,"н/д")</x:f>
        <x:v>н/д</x:v>
      </x:c>
      <x:c r="X713" s="21" t="str">
        <x:f>IF(J713="Рассчитано",V713-W713,"н/д")</x:f>
        <x:v>н/д</x:v>
      </x:c>
      <x:c r="Y713" s="27" t="str">
        <x:f>IF(J713="Рассчитано",IF(V713&gt;0,G713/V713,"н/д"),"н/д")</x:f>
        <x:v>н/д</x:v>
      </x:c>
      <x:c r="Z713" s="21" t="str">
        <x:f>"н/д"</x:f>
        <x:v>н/д</x:v>
      </x:c>
      <x:c r="AA713" s="21" t="str">
        <x:f>"н/д"</x:f>
        <x:v>н/д</x:v>
      </x:c>
      <x:c r="AB713" s="21" t="str">
        <x:f>"н/д"</x:f>
        <x:v>н/д</x:v>
      </x:c>
      <x:c r="AC713" s="21" t="str">
        <x:f>IF(AND(J713="Рассчитано",T713&gt;0,R713&lt;100),(W713+P713+Q713)/(T713*(1-R713/100)),"н/д")</x:f>
        <x:v>н/д</x:v>
      </x:c>
      <x:c r="AD713" s="10" t="str">
        <x:f>IF(ISNUMBER(G713),IF(G713&lt;0,"Убыток",IF(G713=0,"Без прибыли","Прибыль &gt; 0")),"Не оценён")</x:f>
        <x:v>Не оценён</x:v>
      </x:c>
      <x:c r="AE713" s="13" t="str">
        <x:f>IF(J713="Рассчитано","Выручка "&amp;TEXT(V713,"0.00")&amp;" - себестоимость "&amp;TEXT(W713,"0.00")&amp;" - комиссия "&amp;TEXT(V713*R713/100,"0.00")&amp;" - доставка "&amp;TEXT(P713,"0.00")&amp;" - прочие "&amp;TEXT(Q713,"0.00")&amp;" = "&amp;TEXT(G713,"0.00")&amp;" "&amp;L713,"Введите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3" s="24" t="n">
        <x:v>0</x:v>
      </x:c>
      <x:c r="AG713" s="37" t="n">
        <x:v>1</x:v>
      </x:c>
      <x:c r="AH713" s="37" t="n">
        <x:v>0</x:v>
      </x:c>
      <x:c r="AI713" s="30" t="n">
        <x:v>46266</x:v>
      </x:c>
      <x:c r="AJ713" s="37"/>
      <x:c r="AK713" s="10" t="str">
        <x:v>неизвестно</x:v>
      </x:c>
      <x:c r="AL713" s="32" t="str">
        <x:v>н/д</x:v>
      </x:c>
      <x:c r="AM71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13" s="13" t="str">
        <x:v>Проверить свободный остаток и установить цену для B2B</x:v>
      </x:c>
      <x:c r="AO713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13" s="13" t="str">
        <x:v>["category_missing", "daily_stockout_data_missing", "moq_missing", "new_order_lead_time_unknown", "reservations_unknown", "stale_stock"]</x:v>
      </x:c>
      <x:c r="AQ713" s="10" t="str">
        <x:v>IEK:130500001_</x:v>
      </x:c>
      <x:c r="AR713" s="24" t="n">
        <x:v>1</x:v>
      </x:c>
      <x:c r="AS713" s="24" t="n">
        <x:v>0</x:v>
      </x:c>
      <x:c r="AT713" s="24" t="n">
        <x:v>0</x:v>
      </x:c>
    </x:row>
    <x:row r="714" ht="64" customHeight="1">
      <x:c r="A714" s="11" t="str">
        <x:v>IEK</x:v>
      </x:c>
      <x:c r="B714" s="33" t="str">
        <x:v>130500004_</x:v>
      </x:c>
      <x:c r="C714" s="33" t="str">
        <x:v>YIS11-51-15</x:v>
      </x:c>
      <x:c r="D714" s="12" t="str">
        <x:v>Изолятор SM51 IEK (10)</x:v>
      </x:c>
      <x:c r="E714" s="11" t="str">
        <x:v>шт</x:v>
      </x:c>
      <x:c r="F714" s="35" t="n">
        <x:f>MAX(0,ROUNDDOWN((AG714-AF714)/AR714+0.000000001,0)*AR714)</x:f>
        <x:v>1</x:v>
      </x:c>
      <x:c r="G714" s="20" t="str">
        <x:f>IF(J714="Рассчитано",V714*(1-R714/100)-W714-P714-Q714,"н/д")</x:f>
        <x:v>н/д</x:v>
      </x:c>
      <x:c r="H714" s="12" t="str">
        <x:v>Высокий</x:v>
      </x:c>
      <x:c r="I714" s="12" t="str">
        <x:v>Средний</x:v>
      </x:c>
      <x:c r="J714" s="12" t="str">
        <x:f>IF(L714="","Укажите валюту",IF(NOT(ISNUMBER(K714)),"Укажите объём",IF(K714&lt;=0,"Укажите объём",IF(K714&gt;F714,"Объём выше излишка",IF(COUNT(M714:O714)&lt;3,"Нужны цены",IF(COUNT(P714:R714)&lt;3,"Нужны расходы",IF(OR(M714&lt;0,N714&lt;0,O714&lt;0,O714&gt;100,P714&lt;0,Q714&lt;0,R714&lt;0,R714&gt;100),"Проверьте значения","Рассчитано")))))))</x:f>
        <x:v>Нужны цены</x:v>
      </x:c>
      <x:c r="K714" s="36" t="n">
        <x:v>1</x:v>
      </x:c>
      <x:c r="L714" s="19" t="str">
        <x:v>KZT</x:v>
      </x:c>
      <x:c r="M714" s="22"/>
      <x:c r="N714" s="22"/>
      <x:c r="O714" s="28"/>
      <x:c r="P714" s="22"/>
      <x:c r="Q714" s="22"/>
      <x:c r="R714" s="28"/>
      <x:c r="S714" s="22"/>
      <x:c r="T714" s="35" t="n">
        <x:f>K714</x:f>
        <x:v>1</x:v>
      </x:c>
      <x:c r="U714" s="20" t="str">
        <x:f>IF(J714="Рассчитано",N714*(1-O714/100),"н/д")</x:f>
        <x:v>н/д</x:v>
      </x:c>
      <x:c r="V714" s="20" t="str">
        <x:f>IF(J714="Рассчитано",T714*U714,"н/д")</x:f>
        <x:v>н/д</x:v>
      </x:c>
      <x:c r="W714" s="20" t="str">
        <x:f>IF(J714="Рассчитано",T714*M714,"н/д")</x:f>
        <x:v>н/д</x:v>
      </x:c>
      <x:c r="X714" s="20" t="str">
        <x:f>IF(J714="Рассчитано",V714-W714,"н/д")</x:f>
        <x:v>н/д</x:v>
      </x:c>
      <x:c r="Y714" s="26" t="str">
        <x:f>IF(J714="Рассчитано",IF(V714&gt;0,G714/V714,"н/д"),"н/д")</x:f>
        <x:v>н/д</x:v>
      </x:c>
      <x:c r="Z714" s="20" t="str">
        <x:f>"н/д"</x:f>
        <x:v>н/д</x:v>
      </x:c>
      <x:c r="AA714" s="20" t="str">
        <x:f>"н/д"</x:f>
        <x:v>н/д</x:v>
      </x:c>
      <x:c r="AB714" s="20" t="str">
        <x:f>"н/д"</x:f>
        <x:v>н/д</x:v>
      </x:c>
      <x:c r="AC714" s="20" t="str">
        <x:f>IF(AND(J714="Рассчитано",T714&gt;0,R714&lt;100),(W714+P714+Q714)/(T714*(1-R714/100)),"н/д")</x:f>
        <x:v>н/д</x:v>
      </x:c>
      <x:c r="AD714" s="11" t="str">
        <x:f>IF(ISNUMBER(G714),IF(G714&lt;0,"Убыток",IF(G714=0,"Без прибыли","Прибыль &gt; 0")),"Не оценён")</x:f>
        <x:v>Не оценён</x:v>
      </x:c>
      <x:c r="AE714" s="12" t="str">
        <x:f>IF(J714="Рассчитано","Выручка "&amp;TEXT(V714,"0.00")&amp;" - себестоимость "&amp;TEXT(W714,"0.00")&amp;" - комиссия "&amp;TEXT(V714*R714/100,"0.00")&amp;" - доставка "&amp;TEXT(P714,"0.00")&amp;" - прочие "&amp;TEXT(Q714,"0.00")&amp;" = "&amp;TEXT(G714,"0.00")&amp;" "&amp;L714,"Введите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4" s="23" t="n">
        <x:v>1.8252160368701411</x:v>
      </x:c>
      <x:c r="AG714" s="35" t="n">
        <x:v>3</x:v>
      </x:c>
      <x:c r="AH714" s="35" t="n">
        <x:v>0</x:v>
      </x:c>
      <x:c r="AI714" s="29" t="n">
        <x:v>46266</x:v>
      </x:c>
      <x:c r="AJ714" s="35"/>
      <x:c r="AK714" s="11" t="str">
        <x:v>неизвестно</x:v>
      </x:c>
      <x:c r="AL714" s="31" t="n">
        <x:v>139.77388065681254</x:v>
      </x:c>
      <x:c r="AM714" s="12" t="str">
        <x:v>Остаток на начало сентября; Резервы неизвестны; Нет ежедневных данных доступности. Запас выше прогноза на 90 дней</x:v>
      </x:c>
      <x:c r="AN714" s="12" t="str">
        <x:v>Проверить свободный остаток и установить цену для B2B</x:v>
      </x:c>
      <x:c r="AO714" s="12" t="str">
        <x:v>Остаток 3; прогноз 90 дней 1.83; избыток 1 шт. Будущие поступления не выставляются на продажу. Остаток на начало сентября: требуется актуализация.</x:v>
      </x:c>
      <x:c r="AP714" s="12" t="str">
        <x:v>["category_missing", "daily_stockout_data_missing", "moq_missing", "negative_net_sales_clipped_for_forecast", "new_order_lead_time_unknown", "reservations_unknown", "stale_stock"]</x:v>
      </x:c>
      <x:c r="AQ714" s="11" t="str">
        <x:v>IEK:130500004_</x:v>
      </x:c>
      <x:c r="AR714" s="23" t="n">
        <x:v>1</x:v>
      </x:c>
      <x:c r="AS714" s="23" t="n">
        <x:v>0</x:v>
      </x:c>
      <x:c r="AT714" s="23" t="n">
        <x:v>0</x:v>
      </x:c>
    </x:row>
    <x:row r="715" ht="64" customHeight="1">
      <x:c r="A715" s="10" t="str">
        <x:v>IEK</x:v>
      </x:c>
      <x:c r="B715" s="34" t="str">
        <x:v>130500008_</x:v>
      </x:c>
      <x:c r="C715" s="34" t="str">
        <x:v>YSA20-10-11-54-K41</x:v>
      </x:c>
      <x:c r="D715" s="13" t="str">
        <x:v>Сальник PG 11 (7-9мм) IEK (20)</x:v>
      </x:c>
      <x:c r="E715" s="10" t="str">
        <x:v>шт</x:v>
      </x:c>
      <x:c r="F715" s="37" t="n">
        <x:f>MAX(0,ROUNDDOWN((AG715-AF715)/AR715+0.000000001,0)*AR715)</x:f>
        <x:v>1</x:v>
      </x:c>
      <x:c r="G715" s="21" t="str">
        <x:f>IF(J715="Рассчитано",V715*(1-R715/100)-W715-P715-Q715,"н/д")</x:f>
        <x:v>н/д</x:v>
      </x:c>
      <x:c r="H715" s="13" t="str">
        <x:v>Высокий</x:v>
      </x:c>
      <x:c r="I715" s="13" t="str">
        <x:v>Высокий</x:v>
      </x:c>
      <x:c r="J715" s="13" t="str">
        <x:f>IF(L715="","Укажите валюту",IF(NOT(ISNUMBER(K715)),"Укажите объём",IF(K715&lt;=0,"Укажите объём",IF(K715&gt;F715,"Объём выше излишка",IF(COUNT(M715:O715)&lt;3,"Нужны цены",IF(COUNT(P715:R715)&lt;3,"Нужны расходы",IF(OR(M715&lt;0,N715&lt;0,O715&lt;0,O715&gt;100,P715&lt;0,Q715&lt;0,R715&lt;0,R715&gt;100),"Проверьте значения","Рассчитано")))))))</x:f>
        <x:v>Нужны цены</x:v>
      </x:c>
      <x:c r="K715" s="36" t="n">
        <x:v>1</x:v>
      </x:c>
      <x:c r="L715" s="19" t="str">
        <x:v>KZT</x:v>
      </x:c>
      <x:c r="M715" s="22"/>
      <x:c r="N715" s="22"/>
      <x:c r="O715" s="28"/>
      <x:c r="P715" s="22"/>
      <x:c r="Q715" s="22"/>
      <x:c r="R715" s="28"/>
      <x:c r="S715" s="22"/>
      <x:c r="T715" s="37" t="n">
        <x:f>K715</x:f>
        <x:v>1</x:v>
      </x:c>
      <x:c r="U715" s="21" t="str">
        <x:f>IF(J715="Рассчитано",N715*(1-O715/100),"н/д")</x:f>
        <x:v>н/д</x:v>
      </x:c>
      <x:c r="V715" s="21" t="str">
        <x:f>IF(J715="Рассчитано",T715*U715,"н/д")</x:f>
        <x:v>н/д</x:v>
      </x:c>
      <x:c r="W715" s="21" t="str">
        <x:f>IF(J715="Рассчитано",T715*M715,"н/д")</x:f>
        <x:v>н/д</x:v>
      </x:c>
      <x:c r="X715" s="21" t="str">
        <x:f>IF(J715="Рассчитано",V715-W715,"н/д")</x:f>
        <x:v>н/д</x:v>
      </x:c>
      <x:c r="Y715" s="27" t="str">
        <x:f>IF(J715="Рассчитано",IF(V715&gt;0,G715/V715,"н/д"),"н/д")</x:f>
        <x:v>н/д</x:v>
      </x:c>
      <x:c r="Z715" s="21" t="str">
        <x:f>"н/д"</x:f>
        <x:v>н/д</x:v>
      </x:c>
      <x:c r="AA715" s="21" t="str">
        <x:f>"н/д"</x:f>
        <x:v>н/д</x:v>
      </x:c>
      <x:c r="AB715" s="21" t="str">
        <x:f>"н/д"</x:f>
        <x:v>н/д</x:v>
      </x:c>
      <x:c r="AC715" s="21" t="str">
        <x:f>IF(AND(J715="Рассчитано",T715&gt;0,R715&lt;100),(W715+P715+Q715)/(T715*(1-R715/100)),"н/д")</x:f>
        <x:v>н/д</x:v>
      </x:c>
      <x:c r="AD715" s="10" t="str">
        <x:f>IF(ISNUMBER(G715),IF(G715&lt;0,"Убыток",IF(G715=0,"Без прибыли","Прибыль &gt; 0")),"Не оценён")</x:f>
        <x:v>Не оценён</x:v>
      </x:c>
      <x:c r="AE715" s="13" t="str">
        <x:f>IF(J715="Рассчитано","Выручка "&amp;TEXT(V715,"0.00")&amp;" - себестоимость "&amp;TEXT(W715,"0.00")&amp;" - комиссия "&amp;TEXT(V715*R715/100,"0.00")&amp;" - доставка "&amp;TEXT(P715,"0.00")&amp;" - прочие "&amp;TEXT(Q715,"0.00")&amp;" = "&amp;TEXT(G715,"0.00")&amp;" "&amp;L715,"Введите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5" s="24" t="n">
        <x:v>0</x:v>
      </x:c>
      <x:c r="AG715" s="37" t="n">
        <x:v>1</x:v>
      </x:c>
      <x:c r="AH715" s="37" t="n">
        <x:v>0</x:v>
      </x:c>
      <x:c r="AI715" s="30" t="n">
        <x:v>46266</x:v>
      </x:c>
      <x:c r="AJ715" s="37"/>
      <x:c r="AK715" s="10" t="str">
        <x:v>неизвестно</x:v>
      </x:c>
      <x:c r="AL715" s="32" t="str">
        <x:v>н/д</x:v>
      </x:c>
      <x:c r="AM71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15" s="13" t="str">
        <x:v>Проверить свободный остаток и установить цену для B2B</x:v>
      </x:c>
      <x:c r="AO715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15" s="13" t="str">
        <x:v>["category_missing", "daily_stockout_data_missing", "moq_missing", "new_order_lead_time_unknown", "reservations_unknown", "stale_stock"]</x:v>
      </x:c>
      <x:c r="AQ715" s="10" t="str">
        <x:v>IEK:130500008_</x:v>
      </x:c>
      <x:c r="AR715" s="24" t="n">
        <x:v>1</x:v>
      </x:c>
      <x:c r="AS715" s="24" t="n">
        <x:v>0</x:v>
      </x:c>
      <x:c r="AT715" s="24" t="n">
        <x:v>0</x:v>
      </x:c>
    </x:row>
    <x:row r="716" ht="64" customHeight="1">
      <x:c r="A716" s="11" t="str">
        <x:v>IEK</x:v>
      </x:c>
      <x:c r="B716" s="33" t="str">
        <x:v>130500027_</x:v>
      </x:c>
      <x:c r="C716" s="33" t="str">
        <x:v>YIS11-35-10</x:v>
      </x:c>
      <x:c r="D716" s="12" t="str">
        <x:v>Изолятор SM35 IEK (10)</x:v>
      </x:c>
      <x:c r="E716" s="11" t="str">
        <x:v>шт</x:v>
      </x:c>
      <x:c r="F716" s="35" t="n">
        <x:f>MAX(0,ROUNDDOWN((AG716-AF716)/AR716+0.000000001,0)*AR716)</x:f>
        <x:v>46</x:v>
      </x:c>
      <x:c r="G716" s="20" t="str">
        <x:f>IF(J716="Рассчитано",V716*(1-R716/100)-W716-P716-Q716,"н/д")</x:f>
        <x:v>н/д</x:v>
      </x:c>
      <x:c r="H716" s="12" t="str">
        <x:v>Высокий</x:v>
      </x:c>
      <x:c r="I716" s="12" t="str">
        <x:v>Высокий</x:v>
      </x:c>
      <x:c r="J716" s="12" t="str">
        <x:f>IF(L716="","Укажите валюту",IF(NOT(ISNUMBER(K716)),"Укажите объём",IF(K716&lt;=0,"Укажите объём",IF(K716&gt;F716,"Объём выше излишка",IF(COUNT(M716:O716)&lt;3,"Нужны цены",IF(COUNT(P716:R716)&lt;3,"Нужны расходы",IF(OR(M716&lt;0,N716&lt;0,O716&lt;0,O716&gt;100,P716&lt;0,Q716&lt;0,R716&lt;0,R716&gt;100),"Проверьте значения","Рассчитано")))))))</x:f>
        <x:v>Нужны цены</x:v>
      </x:c>
      <x:c r="K716" s="36" t="n">
        <x:v>46</x:v>
      </x:c>
      <x:c r="L716" s="19" t="str">
        <x:v>KZT</x:v>
      </x:c>
      <x:c r="M716" s="22"/>
      <x:c r="N716" s="22"/>
      <x:c r="O716" s="28"/>
      <x:c r="P716" s="22"/>
      <x:c r="Q716" s="22"/>
      <x:c r="R716" s="28"/>
      <x:c r="S716" s="22"/>
      <x:c r="T716" s="35" t="n">
        <x:f>K716</x:f>
        <x:v>46</x:v>
      </x:c>
      <x:c r="U716" s="20" t="str">
        <x:f>IF(J716="Рассчитано",N716*(1-O716/100),"н/д")</x:f>
        <x:v>н/д</x:v>
      </x:c>
      <x:c r="V716" s="20" t="str">
        <x:f>IF(J716="Рассчитано",T716*U716,"н/д")</x:f>
        <x:v>н/д</x:v>
      </x:c>
      <x:c r="W716" s="20" t="str">
        <x:f>IF(J716="Рассчитано",T716*M716,"н/д")</x:f>
        <x:v>н/д</x:v>
      </x:c>
      <x:c r="X716" s="20" t="str">
        <x:f>IF(J716="Рассчитано",V716-W716,"н/д")</x:f>
        <x:v>н/д</x:v>
      </x:c>
      <x:c r="Y716" s="26" t="str">
        <x:f>IF(J716="Рассчитано",IF(V716&gt;0,G716/V716,"н/д"),"н/д")</x:f>
        <x:v>н/д</x:v>
      </x:c>
      <x:c r="Z716" s="20" t="str">
        <x:f>"н/д"</x:f>
        <x:v>н/д</x:v>
      </x:c>
      <x:c r="AA716" s="20" t="str">
        <x:f>"н/д"</x:f>
        <x:v>н/д</x:v>
      </x:c>
      <x:c r="AB716" s="20" t="str">
        <x:f>"н/д"</x:f>
        <x:v>н/д</x:v>
      </x:c>
      <x:c r="AC716" s="20" t="str">
        <x:f>IF(AND(J716="Рассчитано",T716&gt;0,R716&lt;100),(W716+P716+Q716)/(T716*(1-R716/100)),"н/д")</x:f>
        <x:v>н/д</x:v>
      </x:c>
      <x:c r="AD716" s="11" t="str">
        <x:f>IF(ISNUMBER(G716),IF(G716&lt;0,"Убыток",IF(G716=0,"Без прибыли","Прибыль &gt; 0")),"Не оценён")</x:f>
        <x:v>Не оценён</x:v>
      </x:c>
      <x:c r="AE716" s="12" t="str">
        <x:f>IF(J716="Рассчитано","Выручка "&amp;TEXT(V716,"0.00")&amp;" - себестоимость "&amp;TEXT(W716,"0.00")&amp;" - комиссия "&amp;TEXT(V716*R716/100,"0.00")&amp;" - доставка "&amp;TEXT(P716,"0.00")&amp;" - прочие "&amp;TEXT(Q716,"0.00")&amp;" = "&amp;TEXT(G716,"0.00")&amp;" "&amp;L716,"Введите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6" s="23" t="n">
        <x:v>7.160173874360275</x:v>
      </x:c>
      <x:c r="AG716" s="35" t="n">
        <x:v>54</x:v>
      </x:c>
      <x:c r="AH716" s="35" t="n">
        <x:v>0</x:v>
      </x:c>
      <x:c r="AI716" s="29" t="n">
        <x:v>46266</x:v>
      </x:c>
      <x:c r="AJ716" s="35"/>
      <x:c r="AK716" s="11" t="str">
        <x:v>неизвестно</x:v>
      </x:c>
      <x:c r="AL716" s="31" t="n">
        <x:v>641.3413408340238</x:v>
      </x:c>
      <x:c r="AM71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16" s="12" t="str">
        <x:v>Проверить свободный остаток и установить цену для B2B</x:v>
      </x:c>
      <x:c r="AO716" s="12" t="str">
        <x:v>Остаток 54; прогноз 90 дней 7.16; избыток 46 шт. Будущие поступления не выставляются на продажу. Остаток на начало сентября: требуется актуализация.</x:v>
      </x:c>
      <x:c r="AP716" s="12" t="str">
        <x:v>["category_missing", "daily_stockout_data_missing", "moq_missing", "new_order_lead_time_unknown", "reservations_unknown", "stale_stock"]</x:v>
      </x:c>
      <x:c r="AQ716" s="11" t="str">
        <x:v>IEK:130500027_</x:v>
      </x:c>
      <x:c r="AR716" s="23" t="n">
        <x:v>1</x:v>
      </x:c>
      <x:c r="AS716" s="23" t="n">
        <x:v>0</x:v>
      </x:c>
      <x:c r="AT716" s="23" t="n">
        <x:v>0</x:v>
      </x:c>
    </x:row>
    <x:row r="717" ht="64" customHeight="1">
      <x:c r="A717" s="10" t="str">
        <x:v>IEK</x:v>
      </x:c>
      <x:c r="B717" s="34" t="str">
        <x:v>130500046_</x:v>
      </x:c>
      <x:c r="C717" s="34"/>
      <x:c r="D717" s="13" t="str">
        <x:v>Сальник PGL 11 (5-8мм) IEK (20) !!!</x:v>
      </x:c>
      <x:c r="E717" s="10" t="str">
        <x:v>шт</x:v>
      </x:c>
      <x:c r="F717" s="37" t="n">
        <x:f>MAX(0,ROUNDDOWN((AG717-AF717)/AR717+0.000000001,0)*AR717)</x:f>
        <x:v>1497</x:v>
      </x:c>
      <x:c r="G717" s="21" t="str">
        <x:f>IF(J717="Рассчитано",V717*(1-R717/100)-W717-P717-Q717,"н/д")</x:f>
        <x:v>н/д</x:v>
      </x:c>
      <x:c r="H717" s="13" t="str">
        <x:v>Высокий</x:v>
      </x:c>
      <x:c r="I717" s="13" t="str">
        <x:v>Высокий</x:v>
      </x:c>
      <x:c r="J717" s="13" t="str">
        <x:f>IF(L717="","Укажите валюту",IF(NOT(ISNUMBER(K717)),"Укажите объём",IF(K717&lt;=0,"Укажите объём",IF(K717&gt;F717,"Объём выше излишка",IF(COUNT(M717:O717)&lt;3,"Нужны цены",IF(COUNT(P717:R717)&lt;3,"Нужны расходы",IF(OR(M717&lt;0,N717&lt;0,O717&lt;0,O717&gt;100,P717&lt;0,Q717&lt;0,R717&lt;0,R717&gt;100),"Проверьте значения","Рассчитано")))))))</x:f>
        <x:v>Нужны цены</x:v>
      </x:c>
      <x:c r="K717" s="36" t="n">
        <x:v>1497</x:v>
      </x:c>
      <x:c r="L717" s="19" t="str">
        <x:v>KZT</x:v>
      </x:c>
      <x:c r="M717" s="22"/>
      <x:c r="N717" s="22"/>
      <x:c r="O717" s="28"/>
      <x:c r="P717" s="22"/>
      <x:c r="Q717" s="22"/>
      <x:c r="R717" s="28"/>
      <x:c r="S717" s="22"/>
      <x:c r="T717" s="37" t="n">
        <x:f>K717</x:f>
        <x:v>1497</x:v>
      </x:c>
      <x:c r="U717" s="21" t="str">
        <x:f>IF(J717="Рассчитано",N717*(1-O717/100),"н/д")</x:f>
        <x:v>н/д</x:v>
      </x:c>
      <x:c r="V717" s="21" t="str">
        <x:f>IF(J717="Рассчитано",T717*U717,"н/д")</x:f>
        <x:v>н/д</x:v>
      </x:c>
      <x:c r="W717" s="21" t="str">
        <x:f>IF(J717="Рассчитано",T717*M717,"н/д")</x:f>
        <x:v>н/д</x:v>
      </x:c>
      <x:c r="X717" s="21" t="str">
        <x:f>IF(J717="Рассчитано",V717-W717,"н/д")</x:f>
        <x:v>н/д</x:v>
      </x:c>
      <x:c r="Y717" s="27" t="str">
        <x:f>IF(J717="Рассчитано",IF(V717&gt;0,G717/V717,"н/д"),"н/д")</x:f>
        <x:v>н/д</x:v>
      </x:c>
      <x:c r="Z717" s="21" t="str">
        <x:f>"н/д"</x:f>
        <x:v>н/д</x:v>
      </x:c>
      <x:c r="AA717" s="21" t="str">
        <x:f>"н/д"</x:f>
        <x:v>н/д</x:v>
      </x:c>
      <x:c r="AB717" s="21" t="str">
        <x:f>"н/д"</x:f>
        <x:v>н/д</x:v>
      </x:c>
      <x:c r="AC717" s="21" t="str">
        <x:f>IF(AND(J717="Рассчитано",T717&gt;0,R717&lt;100),(W717+P717+Q717)/(T717*(1-R717/100)),"н/д")</x:f>
        <x:v>н/д</x:v>
      </x:c>
      <x:c r="AD717" s="10" t="str">
        <x:f>IF(ISNUMBER(G717),IF(G717&lt;0,"Убыток",IF(G717=0,"Без прибыли","Прибыль &gt; 0")),"Не оценён")</x:f>
        <x:v>Не оценён</x:v>
      </x:c>
      <x:c r="AE717" s="13" t="str">
        <x:f>IF(J717="Рассчитано","Выручка "&amp;TEXT(V717,"0.00")&amp;" - себестоимость "&amp;TEXT(W717,"0.00")&amp;" - комиссия "&amp;TEXT(V717*R717/100,"0.00")&amp;" - доставка "&amp;TEXT(P717,"0.00")&amp;" - прочие "&amp;TEXT(Q717,"0.00")&amp;" = "&amp;TEXT(G717,"0.00")&amp;" "&amp;L717,"Введите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7" s="24" t="n">
        <x:v>0</x:v>
      </x:c>
      <x:c r="AG717" s="37" t="n">
        <x:v>1497</x:v>
      </x:c>
      <x:c r="AH717" s="37" t="n">
        <x:v>0</x:v>
      </x:c>
      <x:c r="AI717" s="30" t="n">
        <x:v>46266</x:v>
      </x:c>
      <x:c r="AJ717" s="37"/>
      <x:c r="AK717" s="10" t="str">
        <x:v>неизвестно</x:v>
      </x:c>
      <x:c r="AL717" s="32" t="str">
        <x:v>н/д</x:v>
      </x:c>
      <x:c r="AM717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717" s="13" t="str">
        <x:v>Проверить свободный остаток и установить цену для B2B</x:v>
      </x:c>
      <x:c r="AO717" s="13" t="str">
        <x:v>Остаток 1497; прогноз 90 дней 0.00; избыток 1497 шт. Будущие поступления не выставляются на продажу. Остаток на начало сентября: требуется актуализация.</x:v>
      </x:c>
      <x:c r="AP717" s="13" t="str">
        <x:v>["category_missing", "daily_stockout_data_missing", "moq_missing", "new_order_lead_time_unknown", "reservations_unknown", "stale_stock", "supplier_sku_missing"]</x:v>
      </x:c>
      <x:c r="AQ717" s="10" t="str">
        <x:v>IEK:130500046_</x:v>
      </x:c>
      <x:c r="AR717" s="24" t="n">
        <x:v>1</x:v>
      </x:c>
      <x:c r="AS717" s="24" t="n">
        <x:v>0</x:v>
      </x:c>
      <x:c r="AT717" s="24" t="n">
        <x:v>0</x:v>
      </x:c>
    </x:row>
    <x:row r="718" ht="64" customHeight="1">
      <x:c r="A718" s="11" t="str">
        <x:v>IEK</x:v>
      </x:c>
      <x:c r="B718" s="33" t="str">
        <x:v>130500085_</x:v>
      </x:c>
      <x:c r="C718" s="33" t="str">
        <x:v>MOP20-2-D</x:v>
      </x:c>
      <x:c r="D718" s="12" t="str">
        <x:v>ОПС1-D 2Р In=5kA Un=230B Im=10kA IEK</x:v>
      </x:c>
      <x:c r="E718" s="11" t="str">
        <x:v>шт</x:v>
      </x:c>
      <x:c r="F718" s="35" t="n">
        <x:f>MAX(0,ROUNDDOWN((AG718-AF718)/AR718+0.000000001,0)*AR718)</x:f>
        <x:v>2</x:v>
      </x:c>
      <x:c r="G718" s="20" t="str">
        <x:f>IF(J718="Рассчитано",V718*(1-R718/100)-W718-P718-Q718,"н/д")</x:f>
        <x:v>н/д</x:v>
      </x:c>
      <x:c r="H718" s="12" t="str">
        <x:v>Высокий</x:v>
      </x:c>
      <x:c r="I718" s="12" t="str">
        <x:v>Высокий</x:v>
      </x:c>
      <x:c r="J718" s="12" t="str">
        <x:f>IF(L718="","Укажите валюту",IF(NOT(ISNUMBER(K718)),"Укажите объём",IF(K718&lt;=0,"Укажите объём",IF(K718&gt;F718,"Объём выше излишка",IF(COUNT(M718:O718)&lt;3,"Нужны цены",IF(COUNT(P718:R718)&lt;3,"Нужны расходы",IF(OR(M718&lt;0,N718&lt;0,O718&lt;0,O718&gt;100,P718&lt;0,Q718&lt;0,R718&lt;0,R718&gt;100),"Проверьте значения","Рассчитано")))))))</x:f>
        <x:v>Нужны цены</x:v>
      </x:c>
      <x:c r="K718" s="36" t="n">
        <x:v>2</x:v>
      </x:c>
      <x:c r="L718" s="19" t="str">
        <x:v>KZT</x:v>
      </x:c>
      <x:c r="M718" s="22"/>
      <x:c r="N718" s="22"/>
      <x:c r="O718" s="28"/>
      <x:c r="P718" s="22"/>
      <x:c r="Q718" s="22"/>
      <x:c r="R718" s="28"/>
      <x:c r="S718" s="22"/>
      <x:c r="T718" s="35" t="n">
        <x:f>K718</x:f>
        <x:v>2</x:v>
      </x:c>
      <x:c r="U718" s="20" t="str">
        <x:f>IF(J718="Рассчитано",N718*(1-O718/100),"н/д")</x:f>
        <x:v>н/д</x:v>
      </x:c>
      <x:c r="V718" s="20" t="str">
        <x:f>IF(J718="Рассчитано",T718*U718,"н/д")</x:f>
        <x:v>н/д</x:v>
      </x:c>
      <x:c r="W718" s="20" t="str">
        <x:f>IF(J718="Рассчитано",T718*M718,"н/д")</x:f>
        <x:v>н/д</x:v>
      </x:c>
      <x:c r="X718" s="20" t="str">
        <x:f>IF(J718="Рассчитано",V718-W718,"н/д")</x:f>
        <x:v>н/д</x:v>
      </x:c>
      <x:c r="Y718" s="26" t="str">
        <x:f>IF(J718="Рассчитано",IF(V718&gt;0,G718/V718,"н/д"),"н/д")</x:f>
        <x:v>н/д</x:v>
      </x:c>
      <x:c r="Z718" s="20" t="str">
        <x:f>"н/д"</x:f>
        <x:v>н/д</x:v>
      </x:c>
      <x:c r="AA718" s="20" t="str">
        <x:f>"н/д"</x:f>
        <x:v>н/д</x:v>
      </x:c>
      <x:c r="AB718" s="20" t="str">
        <x:f>"н/д"</x:f>
        <x:v>н/д</x:v>
      </x:c>
      <x:c r="AC718" s="20" t="str">
        <x:f>IF(AND(J718="Рассчитано",T718&gt;0,R718&lt;100),(W718+P718+Q718)/(T718*(1-R718/100)),"н/д")</x:f>
        <x:v>н/д</x:v>
      </x:c>
      <x:c r="AD718" s="11" t="str">
        <x:f>IF(ISNUMBER(G718),IF(G718&lt;0,"Убыток",IF(G718=0,"Без прибыли","Прибыль &gt; 0")),"Не оценён")</x:f>
        <x:v>Не оценён</x:v>
      </x:c>
      <x:c r="AE718" s="12" t="str">
        <x:f>IF(J718="Рассчитано","Выручка "&amp;TEXT(V718,"0.00")&amp;" - себестоимость "&amp;TEXT(W718,"0.00")&amp;" - комиссия "&amp;TEXT(V718*R718/100,"0.00")&amp;" - доставка "&amp;TEXT(P718,"0.00")&amp;" - прочие "&amp;TEXT(Q718,"0.00")&amp;" = "&amp;TEXT(G718,"0.00")&amp;" "&amp;L718,"Введите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8" s="23" t="n">
        <x:v>1.8651054359476438</x:v>
      </x:c>
      <x:c r="AG718" s="35" t="n">
        <x:v>4</x:v>
      </x:c>
      <x:c r="AH718" s="35" t="n">
        <x:v>0</x:v>
      </x:c>
      <x:c r="AI718" s="29" t="n">
        <x:v>46266</x:v>
      </x:c>
      <x:c r="AJ718" s="35" t="n">
        <x:v>1</x:v>
      </x:c>
      <x:c r="AK718" s="11" t="str">
        <x:v>минимум</x:v>
      </x:c>
      <x:c r="AL718" s="31" t="n">
        <x:v>182.379343346713</x:v>
      </x:c>
      <x:c r="AM7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18" s="12" t="str">
        <x:v>Проверить свободный остаток и установить цену для B2B</x:v>
      </x:c>
      <x:c r="AO718" s="12" t="str">
        <x:v>Остаток 4; прогноз 90 дней 1.87; избыток 2 шт. Будущие поступления не выставляются на продажу. Остаток на начало сентября: требуется актуализация.</x:v>
      </x:c>
      <x:c r="AP718" s="12" t="str">
        <x:v>["category_missing", "daily_stockout_data_missing", "new_order_lead_time_unknown", "reservations_unknown", "stale_stock"]</x:v>
      </x:c>
      <x:c r="AQ718" s="11" t="str">
        <x:v>IEK:130500085_</x:v>
      </x:c>
      <x:c r="AR718" s="23" t="n">
        <x:v>1</x:v>
      </x:c>
      <x:c r="AS718" s="23" t="n">
        <x:v>0</x:v>
      </x:c>
      <x:c r="AT718" s="23" t="n">
        <x:v>0</x:v>
      </x:c>
    </x:row>
    <x:row r="719" ht="64" customHeight="1">
      <x:c r="A719" s="10" t="str">
        <x:v>IEK</x:v>
      </x:c>
      <x:c r="B719" s="34" t="str">
        <x:v>130500094_</x:v>
      </x:c>
      <x:c r="C719" s="34" t="str">
        <x:v>MOP20-4-B</x:v>
      </x:c>
      <x:c r="D719" s="13" t="str">
        <x:v>ОПС1-B 4Р In=30kA Un=400B Im=60kA IEK</x:v>
      </x:c>
      <x:c r="E719" s="10" t="str">
        <x:v>шт</x:v>
      </x:c>
      <x:c r="F719" s="37" t="n">
        <x:f>MAX(0,ROUNDDOWN((AG719-AF719)/AR719+0.000000001,0)*AR719)</x:f>
        <x:v>18</x:v>
      </x:c>
      <x:c r="G719" s="21" t="str">
        <x:f>IF(J719="Рассчитано",V719*(1-R719/100)-W719-P719-Q719,"н/д")</x:f>
        <x:v>н/д</x:v>
      </x:c>
      <x:c r="H719" s="13" t="str">
        <x:v>Высокий</x:v>
      </x:c>
      <x:c r="I719" s="13" t="str">
        <x:v>Высокий</x:v>
      </x:c>
      <x:c r="J719" s="13" t="str">
        <x:f>IF(L719="","Укажите валюту",IF(NOT(ISNUMBER(K719)),"Укажите объём",IF(K719&lt;=0,"Укажите объём",IF(K719&gt;F719,"Объём выше излишка",IF(COUNT(M719:O719)&lt;3,"Нужны цены",IF(COUNT(P719:R719)&lt;3,"Нужны расходы",IF(OR(M719&lt;0,N719&lt;0,O719&lt;0,O719&gt;100,P719&lt;0,Q719&lt;0,R719&lt;0,R719&gt;100),"Проверьте значения","Рассчитано")))))))</x:f>
        <x:v>Нужны цены</x:v>
      </x:c>
      <x:c r="K719" s="36" t="n">
        <x:v>18</x:v>
      </x:c>
      <x:c r="L719" s="19" t="str">
        <x:v>KZT</x:v>
      </x:c>
      <x:c r="M719" s="22"/>
      <x:c r="N719" s="22"/>
      <x:c r="O719" s="28"/>
      <x:c r="P719" s="22"/>
      <x:c r="Q719" s="22"/>
      <x:c r="R719" s="28"/>
      <x:c r="S719" s="22"/>
      <x:c r="T719" s="37" t="n">
        <x:f>K719</x:f>
        <x:v>18</x:v>
      </x:c>
      <x:c r="U719" s="21" t="str">
        <x:f>IF(J719="Рассчитано",N719*(1-O719/100),"н/д")</x:f>
        <x:v>н/д</x:v>
      </x:c>
      <x:c r="V719" s="21" t="str">
        <x:f>IF(J719="Рассчитано",T719*U719,"н/д")</x:f>
        <x:v>н/д</x:v>
      </x:c>
      <x:c r="W719" s="21" t="str">
        <x:f>IF(J719="Рассчитано",T719*M719,"н/д")</x:f>
        <x:v>н/д</x:v>
      </x:c>
      <x:c r="X719" s="21" t="str">
        <x:f>IF(J719="Рассчитано",V719-W719,"н/д")</x:f>
        <x:v>н/д</x:v>
      </x:c>
      <x:c r="Y719" s="27" t="str">
        <x:f>IF(J719="Рассчитано",IF(V719&gt;0,G719/V719,"н/д"),"н/д")</x:f>
        <x:v>н/д</x:v>
      </x:c>
      <x:c r="Z719" s="21" t="str">
        <x:f>"н/д"</x:f>
        <x:v>н/д</x:v>
      </x:c>
      <x:c r="AA719" s="21" t="str">
        <x:f>"н/д"</x:f>
        <x:v>н/д</x:v>
      </x:c>
      <x:c r="AB719" s="21" t="str">
        <x:f>"н/д"</x:f>
        <x:v>н/д</x:v>
      </x:c>
      <x:c r="AC719" s="21" t="str">
        <x:f>IF(AND(J719="Рассчитано",T719&gt;0,R719&lt;100),(W719+P719+Q719)/(T719*(1-R719/100)),"н/д")</x:f>
        <x:v>н/д</x:v>
      </x:c>
      <x:c r="AD719" s="10" t="str">
        <x:f>IF(ISNUMBER(G719),IF(G719&lt;0,"Убыток",IF(G719=0,"Без прибыли","Прибыль &gt; 0")),"Не оценён")</x:f>
        <x:v>Не оценён</x:v>
      </x:c>
      <x:c r="AE719" s="13" t="str">
        <x:f>IF(J719="Рассчитано","Выручка "&amp;TEXT(V719,"0.00")&amp;" - себестоимость "&amp;TEXT(W719,"0.00")&amp;" - комиссия "&amp;TEXT(V719*R719/100,"0.00")&amp;" - доставка "&amp;TEXT(P719,"0.00")&amp;" - прочие "&amp;TEXT(Q719,"0.00")&amp;" = "&amp;TEXT(G719,"0.00")&amp;" "&amp;L719,"Введите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9" s="24" t="n">
        <x:v>4.8664651842228075</x:v>
      </x:c>
      <x:c r="AG719" s="37" t="n">
        <x:v>23</x:v>
      </x:c>
      <x:c r="AH719" s="37" t="n">
        <x:v>0</x:v>
      </x:c>
      <x:c r="AI719" s="30" t="n">
        <x:v>46266</x:v>
      </x:c>
      <x:c r="AJ719" s="37" t="n">
        <x:v>1</x:v>
      </x:c>
      <x:c r="AK719" s="10" t="str">
        <x:v>минимум</x:v>
      </x:c>
      <x:c r="AL719" s="32" t="n">
        <x:v>401.9141158666961</x:v>
      </x:c>
      <x:c r="AM71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19" s="13" t="str">
        <x:v>Проверить свободный остаток и установить цену для B2B</x:v>
      </x:c>
      <x:c r="AO719" s="13" t="str">
        <x:v>Остаток 23; прогноз 90 дней 4.87; избыток 18 шт. Будущие поступления не выставляются на продажу. Остаток на начало сентября: требуется актуализация.</x:v>
      </x:c>
      <x:c r="AP719" s="13" t="str">
        <x:v>["category_missing", "daily_stockout_data_missing", "large_orders_detected", "new_order_lead_time_unknown", "reservations_unknown", "stale_stock"]</x:v>
      </x:c>
      <x:c r="AQ719" s="10" t="str">
        <x:v>IEK:130500094_</x:v>
      </x:c>
      <x:c r="AR719" s="24" t="n">
        <x:v>1</x:v>
      </x:c>
      <x:c r="AS719" s="24" t="n">
        <x:v>0</x:v>
      </x:c>
      <x:c r="AT719" s="24" t="n">
        <x:v>0</x:v>
      </x:c>
    </x:row>
    <x:row r="720" ht="64" customHeight="1">
      <x:c r="A720" s="11" t="str">
        <x:v>IEK</x:v>
      </x:c>
      <x:c r="B720" s="33" t="str">
        <x:v>130500102_</x:v>
      </x:c>
      <x:c r="C720" s="33" t="str">
        <x:v>MOP20-3-B</x:v>
      </x:c>
      <x:c r="D720" s="12" t="str">
        <x:v>ОПС1-B 3Р In=30kA Un=400B Im=60kA IEK</x:v>
      </x:c>
      <x:c r="E720" s="11" t="str">
        <x:v>шт</x:v>
      </x:c>
      <x:c r="F720" s="35" t="n">
        <x:f>MAX(0,ROUNDDOWN((AG720-AF720)/AR720+0.000000001,0)*AR720)</x:f>
        <x:v>14</x:v>
      </x:c>
      <x:c r="G720" s="20" t="str">
        <x:f>IF(J720="Рассчитано",V720*(1-R720/100)-W720-P720-Q720,"н/д")</x:f>
        <x:v>н/д</x:v>
      </x:c>
      <x:c r="H720" s="12" t="str">
        <x:v>Высокий</x:v>
      </x:c>
      <x:c r="I720" s="12" t="str">
        <x:v>Высокий</x:v>
      </x:c>
      <x:c r="J720" s="12" t="str">
        <x:f>IF(L720="","Укажите валюту",IF(NOT(ISNUMBER(K720)),"Укажите объём",IF(K720&lt;=0,"Укажите объём",IF(K720&gt;F720,"Объём выше излишка",IF(COUNT(M720:O720)&lt;3,"Нужны цены",IF(COUNT(P720:R720)&lt;3,"Нужны расходы",IF(OR(M720&lt;0,N720&lt;0,O720&lt;0,O720&gt;100,P720&lt;0,Q720&lt;0,R720&lt;0,R720&gt;100),"Проверьте значения","Рассчитано")))))))</x:f>
        <x:v>Нужны цены</x:v>
      </x:c>
      <x:c r="K720" s="36" t="n">
        <x:v>14</x:v>
      </x:c>
      <x:c r="L720" s="19" t="str">
        <x:v>KZT</x:v>
      </x:c>
      <x:c r="M720" s="22"/>
      <x:c r="N720" s="22"/>
      <x:c r="O720" s="28"/>
      <x:c r="P720" s="22"/>
      <x:c r="Q720" s="22"/>
      <x:c r="R720" s="28"/>
      <x:c r="S720" s="22"/>
      <x:c r="T720" s="35" t="n">
        <x:f>K720</x:f>
        <x:v>14</x:v>
      </x:c>
      <x:c r="U720" s="20" t="str">
        <x:f>IF(J720="Рассчитано",N720*(1-O720/100),"н/д")</x:f>
        <x:v>н/д</x:v>
      </x:c>
      <x:c r="V720" s="20" t="str">
        <x:f>IF(J720="Рассчитано",T720*U720,"н/д")</x:f>
        <x:v>н/д</x:v>
      </x:c>
      <x:c r="W720" s="20" t="str">
        <x:f>IF(J720="Рассчитано",T720*M720,"н/д")</x:f>
        <x:v>н/д</x:v>
      </x:c>
      <x:c r="X720" s="20" t="str">
        <x:f>IF(J720="Рассчитано",V720-W720,"н/д")</x:f>
        <x:v>н/д</x:v>
      </x:c>
      <x:c r="Y720" s="26" t="str">
        <x:f>IF(J720="Рассчитано",IF(V720&gt;0,G720/V720,"н/д"),"н/д")</x:f>
        <x:v>н/д</x:v>
      </x:c>
      <x:c r="Z720" s="20" t="str">
        <x:f>"н/д"</x:f>
        <x:v>н/д</x:v>
      </x:c>
      <x:c r="AA720" s="20" t="str">
        <x:f>"н/д"</x:f>
        <x:v>н/д</x:v>
      </x:c>
      <x:c r="AB720" s="20" t="str">
        <x:f>"н/д"</x:f>
        <x:v>н/д</x:v>
      </x:c>
      <x:c r="AC720" s="20" t="str">
        <x:f>IF(AND(J720="Рассчитано",T720&gt;0,R720&lt;100),(W720+P720+Q720)/(T720*(1-R720/100)),"н/д")</x:f>
        <x:v>н/д</x:v>
      </x:c>
      <x:c r="AD720" s="11" t="str">
        <x:f>IF(ISNUMBER(G720),IF(G720&lt;0,"Убыток",IF(G720=0,"Без прибыли","Прибыль &gt; 0")),"Не оценён")</x:f>
        <x:v>Не оценён</x:v>
      </x:c>
      <x:c r="AE720" s="12" t="str">
        <x:f>IF(J720="Рассчитано","Выручка "&amp;TEXT(V720,"0.00")&amp;" - себестоимость "&amp;TEXT(W720,"0.00")&amp;" - комиссия "&amp;TEXT(V720*R720/100,"0.00")&amp;" - доставка "&amp;TEXT(P720,"0.00")&amp;" - прочие "&amp;TEXT(Q720,"0.00")&amp;" = "&amp;TEXT(G720,"0.00")&amp;" "&amp;L720,"Введите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0" s="23" t="n">
        <x:v>1.308718322780049</x:v>
      </x:c>
      <x:c r="AG720" s="35" t="n">
        <x:v>16</x:v>
      </x:c>
      <x:c r="AH720" s="35" t="n">
        <x:v>0</x:v>
      </x:c>
      <x:c r="AI720" s="29" t="n">
        <x:v>46266</x:v>
      </x:c>
      <x:c r="AJ720" s="35" t="n">
        <x:v>1</x:v>
      </x:c>
      <x:c r="AK720" s="11" t="str">
        <x:v>минимум</x:v>
      </x:c>
      <x:c r="AL720" s="31" t="n">
        <x:v>1039.6636121298816</x:v>
      </x:c>
      <x:c r="AM72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20" s="12" t="str">
        <x:v>Проверить свободный остаток и установить цену для B2B</x:v>
      </x:c>
      <x:c r="AO720" s="12" t="str">
        <x:v>Остаток 16; прогноз 90 дней 1.31; избыток 14 шт. Будущие поступления не выставляются на продажу. Остаток на начало сентября: требуется актуализация.</x:v>
      </x:c>
      <x:c r="AP720" s="12" t="str">
        <x:v>["category_missing", "daily_stockout_data_missing", "new_order_lead_time_unknown", "reservations_unknown", "stale_stock"]</x:v>
      </x:c>
      <x:c r="AQ720" s="11" t="str">
        <x:v>IEK:130500102_</x:v>
      </x:c>
      <x:c r="AR720" s="23" t="n">
        <x:v>1</x:v>
      </x:c>
      <x:c r="AS720" s="23" t="n">
        <x:v>0</x:v>
      </x:c>
      <x:c r="AT720" s="23" t="n">
        <x:v>0</x:v>
      </x:c>
    </x:row>
    <x:row r="721" ht="64" customHeight="1">
      <x:c r="A721" s="10" t="str">
        <x:v>IEK</x:v>
      </x:c>
      <x:c r="B721" s="34" t="str">
        <x:v>130600021_</x:v>
      </x:c>
      <x:c r="C721" s="34" t="str">
        <x:v>DRT10-0007-0010</x:v>
      </x:c>
      <x:c r="D721" s="13" t="str">
        <x:v>Тепловое реле РТИ-1314 (7-10А) IEK (1/100)</x:v>
      </x:c>
      <x:c r="E721" s="10" t="str">
        <x:v>шт</x:v>
      </x:c>
      <x:c r="F721" s="37" t="n">
        <x:f>MAX(0,ROUNDDOWN((AG721-AF721)/AR721+0.000000001,0)*AR721)</x:f>
        <x:v>54</x:v>
      </x:c>
      <x:c r="G721" s="21" t="str">
        <x:f>IF(J721="Рассчитано",V721*(1-R721/100)-W721-P721-Q721,"н/д")</x:f>
        <x:v>н/д</x:v>
      </x:c>
      <x:c r="H721" s="13" t="str">
        <x:v>Высокий</x:v>
      </x:c>
      <x:c r="I721" s="13" t="str">
        <x:v>Высокий</x:v>
      </x:c>
      <x:c r="J721" s="13" t="str">
        <x:f>IF(L721="","Укажите валюту",IF(NOT(ISNUMBER(K721)),"Укажите объём",IF(K721&lt;=0,"Укажите объём",IF(K721&gt;F721,"Объём выше излишка",IF(COUNT(M721:O721)&lt;3,"Нужны цены",IF(COUNT(P721:R721)&lt;3,"Нужны расходы",IF(OR(M721&lt;0,N721&lt;0,O721&lt;0,O721&gt;100,P721&lt;0,Q721&lt;0,R721&lt;0,R721&gt;100),"Проверьте значения","Рассчитано")))))))</x:f>
        <x:v>Нужны цены</x:v>
      </x:c>
      <x:c r="K721" s="36" t="n">
        <x:v>54</x:v>
      </x:c>
      <x:c r="L721" s="19" t="str">
        <x:v>KZT</x:v>
      </x:c>
      <x:c r="M721" s="22"/>
      <x:c r="N721" s="22"/>
      <x:c r="O721" s="28"/>
      <x:c r="P721" s="22"/>
      <x:c r="Q721" s="22"/>
      <x:c r="R721" s="28"/>
      <x:c r="S721" s="22"/>
      <x:c r="T721" s="37" t="n">
        <x:f>K721</x:f>
        <x:v>54</x:v>
      </x:c>
      <x:c r="U721" s="21" t="str">
        <x:f>IF(J721="Рассчитано",N721*(1-O721/100),"н/д")</x:f>
        <x:v>н/д</x:v>
      </x:c>
      <x:c r="V721" s="21" t="str">
        <x:f>IF(J721="Рассчитано",T721*U721,"н/д")</x:f>
        <x:v>н/д</x:v>
      </x:c>
      <x:c r="W721" s="21" t="str">
        <x:f>IF(J721="Рассчитано",T721*M721,"н/д")</x:f>
        <x:v>н/д</x:v>
      </x:c>
      <x:c r="X721" s="21" t="str">
        <x:f>IF(J721="Рассчитано",V721-W721,"н/д")</x:f>
        <x:v>н/д</x:v>
      </x:c>
      <x:c r="Y721" s="27" t="str">
        <x:f>IF(J721="Рассчитано",IF(V721&gt;0,G721/V721,"н/д"),"н/д")</x:f>
        <x:v>н/д</x:v>
      </x:c>
      <x:c r="Z721" s="21" t="str">
        <x:f>"н/д"</x:f>
        <x:v>н/д</x:v>
      </x:c>
      <x:c r="AA721" s="21" t="str">
        <x:f>"н/д"</x:f>
        <x:v>н/д</x:v>
      </x:c>
      <x:c r="AB721" s="21" t="str">
        <x:f>"н/д"</x:f>
        <x:v>н/д</x:v>
      </x:c>
      <x:c r="AC721" s="21" t="str">
        <x:f>IF(AND(J721="Рассчитано",T721&gt;0,R721&lt;100),(W721+P721+Q721)/(T721*(1-R721/100)),"н/д")</x:f>
        <x:v>н/д</x:v>
      </x:c>
      <x:c r="AD721" s="10" t="str">
        <x:f>IF(ISNUMBER(G721),IF(G721&lt;0,"Убыток",IF(G721=0,"Без прибыли","Прибыль &gt; 0")),"Не оценён")</x:f>
        <x:v>Не оценён</x:v>
      </x:c>
      <x:c r="AE721" s="13" t="str">
        <x:f>IF(J721="Рассчитано","Выручка "&amp;TEXT(V721,"0.00")&amp;" - себестоимость "&amp;TEXT(W721,"0.00")&amp;" - комиссия "&amp;TEXT(V721*R721/100,"0.00")&amp;" - доставка "&amp;TEXT(P721,"0.00")&amp;" - прочие "&amp;TEXT(Q721,"0.00")&amp;" = "&amp;TEXT(G721,"0.00")&amp;" "&amp;L721,"Введите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1" s="24" t="n">
        <x:v>30.34224381441695</x:v>
      </x:c>
      <x:c r="AG721" s="37" t="n">
        <x:v>85</x:v>
      </x:c>
      <x:c r="AH721" s="37" t="n">
        <x:v>0</x:v>
      </x:c>
      <x:c r="AI721" s="30" t="n">
        <x:v>46266</x:v>
      </x:c>
      <x:c r="AJ721" s="37" t="n">
        <x:v>1</x:v>
      </x:c>
      <x:c r="AK721" s="10" t="str">
        <x:v>минимум</x:v>
      </x:c>
      <x:c r="AL721" s="32" t="n">
        <x:v>238.22661299117445</x:v>
      </x:c>
      <x:c r="AM72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21" s="13" t="str">
        <x:v>Проверить свободный остаток и установить цену для B2B</x:v>
      </x:c>
      <x:c r="AO721" s="13" t="str">
        <x:v>Остаток 85; прогноз 90 дней 30.34; избыток 54 шт. Будущие поступления не выставляются на продажу. Остаток на начало сентября: требуется актуализация.</x:v>
      </x:c>
      <x:c r="AP721" s="13" t="str">
        <x:v>["category_missing", "daily_stockout_data_missing", "new_order_lead_time_unknown", "reservations_unknown", "stale_stock"]</x:v>
      </x:c>
      <x:c r="AQ721" s="10" t="str">
        <x:v>IEK:130600021_</x:v>
      </x:c>
      <x:c r="AR721" s="24" t="n">
        <x:v>1</x:v>
      </x:c>
      <x:c r="AS721" s="24" t="n">
        <x:v>0</x:v>
      </x:c>
      <x:c r="AT721" s="24" t="n">
        <x:v>0</x:v>
      </x:c>
    </x:row>
    <x:row r="722" ht="64" customHeight="1">
      <x:c r="A722" s="11" t="str">
        <x:v>IEK</x:v>
      </x:c>
      <x:c r="B722" s="33" t="str">
        <x:v>130600022_</x:v>
      </x:c>
      <x:c r="C722" s="33" t="str">
        <x:v>DRT10-0009-0013</x:v>
      </x:c>
      <x:c r="D722" s="12" t="str">
        <x:v>Тепловое реле РТИ-1316 (9-13А) IEK (1/100)</x:v>
      </x:c>
      <x:c r="E722" s="11" t="str">
        <x:v>шт</x:v>
      </x:c>
      <x:c r="F722" s="35" t="n">
        <x:f>MAX(0,ROUNDDOWN((AG722-AF722)/AR722+0.000000001,0)*AR722)</x:f>
        <x:v>23</x:v>
      </x:c>
      <x:c r="G722" s="20" t="str">
        <x:f>IF(J722="Рассчитано",V722*(1-R722/100)-W722-P722-Q722,"н/д")</x:f>
        <x:v>н/д</x:v>
      </x:c>
      <x:c r="H722" s="12" t="str">
        <x:v>Высокий</x:v>
      </x:c>
      <x:c r="I722" s="12" t="str">
        <x:v>Средний</x:v>
      </x:c>
      <x:c r="J722" s="12" t="str">
        <x:f>IF(L722="","Укажите валюту",IF(NOT(ISNUMBER(K722)),"Укажите объём",IF(K722&lt;=0,"Укажите объём",IF(K722&gt;F722,"Объём выше излишка",IF(COUNT(M722:O722)&lt;3,"Нужны цены",IF(COUNT(P722:R722)&lt;3,"Нужны расходы",IF(OR(M722&lt;0,N722&lt;0,O722&lt;0,O722&gt;100,P722&lt;0,Q722&lt;0,R722&lt;0,R722&gt;100),"Проверьте значения","Рассчитано")))))))</x:f>
        <x:v>Нужны цены</x:v>
      </x:c>
      <x:c r="K722" s="36" t="n">
        <x:v>23</x:v>
      </x:c>
      <x:c r="L722" s="19" t="str">
        <x:v>KZT</x:v>
      </x:c>
      <x:c r="M722" s="22"/>
      <x:c r="N722" s="22"/>
      <x:c r="O722" s="28"/>
      <x:c r="P722" s="22"/>
      <x:c r="Q722" s="22"/>
      <x:c r="R722" s="28"/>
      <x:c r="S722" s="22"/>
      <x:c r="T722" s="35" t="n">
        <x:f>K722</x:f>
        <x:v>23</x:v>
      </x:c>
      <x:c r="U722" s="20" t="str">
        <x:f>IF(J722="Рассчитано",N722*(1-O722/100),"н/д")</x:f>
        <x:v>н/д</x:v>
      </x:c>
      <x:c r="V722" s="20" t="str">
        <x:f>IF(J722="Рассчитано",T722*U722,"н/д")</x:f>
        <x:v>н/д</x:v>
      </x:c>
      <x:c r="W722" s="20" t="str">
        <x:f>IF(J722="Рассчитано",T722*M722,"н/д")</x:f>
        <x:v>н/д</x:v>
      </x:c>
      <x:c r="X722" s="20" t="str">
        <x:f>IF(J722="Рассчитано",V722-W722,"н/д")</x:f>
        <x:v>н/д</x:v>
      </x:c>
      <x:c r="Y722" s="26" t="str">
        <x:f>IF(J722="Рассчитано",IF(V722&gt;0,G722/V722,"н/д"),"н/д")</x:f>
        <x:v>н/д</x:v>
      </x:c>
      <x:c r="Z722" s="20" t="str">
        <x:f>"н/д"</x:f>
        <x:v>н/д</x:v>
      </x:c>
      <x:c r="AA722" s="20" t="str">
        <x:f>"н/д"</x:f>
        <x:v>н/д</x:v>
      </x:c>
      <x:c r="AB722" s="20" t="str">
        <x:f>"н/д"</x:f>
        <x:v>н/д</x:v>
      </x:c>
      <x:c r="AC722" s="20" t="str">
        <x:f>IF(AND(J722="Рассчитано",T722&gt;0,R722&lt;100),(W722+P722+Q722)/(T722*(1-R722/100)),"н/д")</x:f>
        <x:v>н/д</x:v>
      </x:c>
      <x:c r="AD722" s="11" t="str">
        <x:f>IF(ISNUMBER(G722),IF(G722&lt;0,"Убыток",IF(G722=0,"Без прибыли","Прибыль &gt; 0")),"Не оценён")</x:f>
        <x:v>Не оценён</x:v>
      </x:c>
      <x:c r="AE722" s="12" t="str">
        <x:f>IF(J722="Рассчитано","Выручка "&amp;TEXT(V722,"0.00")&amp;" - себестоимость "&amp;TEXT(W722,"0.00")&amp;" - комиссия "&amp;TEXT(V722*R722/100,"0.00")&amp;" - доставка "&amp;TEXT(P722,"0.00")&amp;" - прочие "&amp;TEXT(Q722,"0.00")&amp;" = "&amp;TEXT(G722,"0.00")&amp;" "&amp;L722,"Введите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2" s="23" t="n">
        <x:v>28.00334898018504</x:v>
      </x:c>
      <x:c r="AG722" s="35" t="n">
        <x:v>52</x:v>
      </x:c>
      <x:c r="AH722" s="35" t="n">
        <x:v>0</x:v>
      </x:c>
      <x:c r="AI722" s="29" t="n">
        <x:v>46266</x:v>
      </x:c>
      <x:c r="AJ722" s="35" t="n">
        <x:v>1</x:v>
      </x:c>
      <x:c r="AK722" s="11" t="str">
        <x:v>минимум</x:v>
      </x:c>
      <x:c r="AL722" s="31" t="n">
        <x:v>157.9110114285157</x:v>
      </x:c>
      <x:c r="AM722" s="12" t="str">
        <x:v>Остаток на начало сентября; Резервы неизвестны; Нет ежедневных данных доступности. Запас выше прогноза на 90 дней</x:v>
      </x:c>
      <x:c r="AN722" s="12" t="str">
        <x:v>Проверить свободный остаток и установить цену для B2B</x:v>
      </x:c>
      <x:c r="AO722" s="12" t="str">
        <x:v>Остаток 52; прогноз 90 дней 28.00; избыток 23 шт. Будущие поступления не выставляются на продажу. Остаток на начало сентября: требуется актуализация.</x:v>
      </x:c>
      <x:c r="AP722" s="12" t="str">
        <x:v>["category_missing", "daily_stockout_data_missing", "new_order_lead_time_unknown", "reservations_unknown", "stale_stock"]</x:v>
      </x:c>
      <x:c r="AQ722" s="11" t="str">
        <x:v>IEK:130600022_</x:v>
      </x:c>
      <x:c r="AR722" s="23" t="n">
        <x:v>1</x:v>
      </x:c>
      <x:c r="AS722" s="23" t="n">
        <x:v>0</x:v>
      </x:c>
      <x:c r="AT722" s="23" t="n">
        <x:v>0</x:v>
      </x:c>
    </x:row>
    <x:row r="723" ht="64" customHeight="1">
      <x:c r="A723" s="10" t="str">
        <x:v>IEK</x:v>
      </x:c>
      <x:c r="B723" s="34" t="str">
        <x:v>130600023_</x:v>
      </x:c>
      <x:c r="C723" s="34" t="str">
        <x:v>DRT10-0017-0025</x:v>
      </x:c>
      <x:c r="D723" s="13" t="str">
        <x:v>Тепловое реле РТИ-1322 (17-25А) IEK (1/100)</x:v>
      </x:c>
      <x:c r="E723" s="10" t="str">
        <x:v>шт</x:v>
      </x:c>
      <x:c r="F723" s="37" t="n">
        <x:f>MAX(0,ROUNDDOWN((AG723-AF723)/AR723+0.000000001,0)*AR723)</x:f>
        <x:v>13</x:v>
      </x:c>
      <x:c r="G723" s="21" t="str">
        <x:f>IF(J723="Рассчитано",V723*(1-R723/100)-W723-P723-Q723,"н/д")</x:f>
        <x:v>н/д</x:v>
      </x:c>
      <x:c r="H723" s="13" t="str">
        <x:v>Высокий</x:v>
      </x:c>
      <x:c r="I723" s="13" t="str">
        <x:v>Средний</x:v>
      </x:c>
      <x:c r="J723" s="13" t="str">
        <x:f>IF(L723="","Укажите валюту",IF(NOT(ISNUMBER(K723)),"Укажите объём",IF(K723&lt;=0,"Укажите объём",IF(K723&gt;F723,"Объём выше излишка",IF(COUNT(M723:O723)&lt;3,"Нужны цены",IF(COUNT(P723:R723)&lt;3,"Нужны расходы",IF(OR(M723&lt;0,N723&lt;0,O723&lt;0,O723&gt;100,P723&lt;0,Q723&lt;0,R723&lt;0,R723&gt;100),"Проверьте значения","Рассчитано")))))))</x:f>
        <x:v>Нужны цены</x:v>
      </x:c>
      <x:c r="K723" s="36" t="n">
        <x:v>13</x:v>
      </x:c>
      <x:c r="L723" s="19" t="str">
        <x:v>KZT</x:v>
      </x:c>
      <x:c r="M723" s="22"/>
      <x:c r="N723" s="22"/>
      <x:c r="O723" s="28"/>
      <x:c r="P723" s="22"/>
      <x:c r="Q723" s="22"/>
      <x:c r="R723" s="28"/>
      <x:c r="S723" s="22"/>
      <x:c r="T723" s="37" t="n">
        <x:f>K723</x:f>
        <x:v>13</x:v>
      </x:c>
      <x:c r="U723" s="21" t="str">
        <x:f>IF(J723="Рассчитано",N723*(1-O723/100),"н/д")</x:f>
        <x:v>н/д</x:v>
      </x:c>
      <x:c r="V723" s="21" t="str">
        <x:f>IF(J723="Рассчитано",T723*U723,"н/д")</x:f>
        <x:v>н/д</x:v>
      </x:c>
      <x:c r="W723" s="21" t="str">
        <x:f>IF(J723="Рассчитано",T723*M723,"н/д")</x:f>
        <x:v>н/д</x:v>
      </x:c>
      <x:c r="X723" s="21" t="str">
        <x:f>IF(J723="Рассчитано",V723-W723,"н/д")</x:f>
        <x:v>н/д</x:v>
      </x:c>
      <x:c r="Y723" s="27" t="str">
        <x:f>IF(J723="Рассчитано",IF(V723&gt;0,G723/V723,"н/д"),"н/д")</x:f>
        <x:v>н/д</x:v>
      </x:c>
      <x:c r="Z723" s="21" t="str">
        <x:f>"н/д"</x:f>
        <x:v>н/д</x:v>
      </x:c>
      <x:c r="AA723" s="21" t="str">
        <x:f>"н/д"</x:f>
        <x:v>н/д</x:v>
      </x:c>
      <x:c r="AB723" s="21" t="str">
        <x:f>"н/д"</x:f>
        <x:v>н/д</x:v>
      </x:c>
      <x:c r="AC723" s="21" t="str">
        <x:f>IF(AND(J723="Рассчитано",T723&gt;0,R723&lt;100),(W723+P723+Q723)/(T723*(1-R723/100)),"н/д")</x:f>
        <x:v>н/д</x:v>
      </x:c>
      <x:c r="AD723" s="10" t="str">
        <x:f>IF(ISNUMBER(G723),IF(G723&lt;0,"Убыток",IF(G723=0,"Без прибыли","Прибыль &gt; 0")),"Не оценён")</x:f>
        <x:v>Не оценён</x:v>
      </x:c>
      <x:c r="AE723" s="13" t="str">
        <x:f>IF(J723="Рассчитано","Выручка "&amp;TEXT(V723,"0.00")&amp;" - себестоимость "&amp;TEXT(W723,"0.00")&amp;" - комиссия "&amp;TEXT(V723*R723/100,"0.00")&amp;" - доставка "&amp;TEXT(P723,"0.00")&amp;" - прочие "&amp;TEXT(Q723,"0.00")&amp;" = "&amp;TEXT(G723,"0.00")&amp;" "&amp;L723,"Введите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3" s="24" t="n">
        <x:v>107.88277706037825</x:v>
      </x:c>
      <x:c r="AG723" s="37" t="n">
        <x:v>121</x:v>
      </x:c>
      <x:c r="AH723" s="37" t="n">
        <x:v>40</x:v>
      </x:c>
      <x:c r="AI723" s="30" t="n">
        <x:v>46266</x:v>
      </x:c>
      <x:c r="AJ723" s="37" t="n">
        <x:v>1</x:v>
      </x:c>
      <x:c r="AK723" s="10" t="str">
        <x:v>минимум</x:v>
      </x:c>
      <x:c r="AL723" s="32" t="n">
        <x:v>95.37889732692733</x:v>
      </x:c>
      <x:c r="AM723" s="13" t="str">
        <x:v>Остаток на начало сентября; Резервы неизвестны; Нет ежедневных данных доступности. Запас выше прогноза на 90 дней</x:v>
      </x:c>
      <x:c r="AN723" s="13" t="str">
        <x:v>Проверить свободный остаток и установить цену для B2B</x:v>
      </x:c>
      <x:c r="AO723" s="13" t="str">
        <x:v>Остаток 121; прогноз 90 дней 107.88; избыток 13 шт. Будущие поступления не выставляются на продажу. Остаток на начало сентября: требуется актуализация.</x:v>
      </x:c>
      <x:c r="AP723" s="13" t="str">
        <x:v>["category_missing", "daily_stockout_data_missing", "large_orders_detected", "new_order_lead_time_unknown", "reservations_unknown", "stale_stock"]</x:v>
      </x:c>
      <x:c r="AQ723" s="10" t="str">
        <x:v>IEK:130600023_</x:v>
      </x:c>
      <x:c r="AR723" s="24" t="n">
        <x:v>1</x:v>
      </x:c>
      <x:c r="AS723" s="24" t="n">
        <x:v>0</x:v>
      </x:c>
      <x:c r="AT723" s="24" t="n">
        <x:v>0</x:v>
      </x:c>
    </x:row>
    <x:row r="724" ht="64" customHeight="1">
      <x:c r="A724" s="11" t="str">
        <x:v>IEK</x:v>
      </x:c>
      <x:c r="B724" s="33" t="str">
        <x:v>130600025_</x:v>
      </x:c>
      <x:c r="C724" s="33" t="str">
        <x:v>DRT30-0030-0040</x:v>
      </x:c>
      <x:c r="D724" s="12" t="str">
        <x:v>Тепловое реле РТИ-3355 (30-40А) IEK (50)</x:v>
      </x:c>
      <x:c r="E724" s="11" t="str">
        <x:v>шт</x:v>
      </x:c>
      <x:c r="F724" s="35" t="n">
        <x:f>MAX(0,ROUNDDOWN((AG724-AF724)/AR724+0.000000001,0)*AR724)</x:f>
        <x:v>12</x:v>
      </x:c>
      <x:c r="G724" s="20" t="str">
        <x:f>IF(J724="Рассчитано",V724*(1-R724/100)-W724-P724-Q724,"н/д")</x:f>
        <x:v>н/д</x:v>
      </x:c>
      <x:c r="H724" s="12" t="str">
        <x:v>Высокий</x:v>
      </x:c>
      <x:c r="I724" s="12" t="str">
        <x:v>Средний</x:v>
      </x:c>
      <x:c r="J724" s="12" t="str">
        <x:f>IF(L724="","Укажите валюту",IF(NOT(ISNUMBER(K724)),"Укажите объём",IF(K724&lt;=0,"Укажите объём",IF(K724&gt;F724,"Объём выше излишка",IF(COUNT(M724:O724)&lt;3,"Нужны цены",IF(COUNT(P724:R724)&lt;3,"Нужны расходы",IF(OR(M724&lt;0,N724&lt;0,O724&lt;0,O724&gt;100,P724&lt;0,Q724&lt;0,R724&lt;0,R724&gt;100),"Проверьте значения","Рассчитано")))))))</x:f>
        <x:v>Нужны цены</x:v>
      </x:c>
      <x:c r="K724" s="36" t="n">
        <x:v>12</x:v>
      </x:c>
      <x:c r="L724" s="19" t="str">
        <x:v>KZT</x:v>
      </x:c>
      <x:c r="M724" s="22"/>
      <x:c r="N724" s="22"/>
      <x:c r="O724" s="28"/>
      <x:c r="P724" s="22"/>
      <x:c r="Q724" s="22"/>
      <x:c r="R724" s="28"/>
      <x:c r="S724" s="22"/>
      <x:c r="T724" s="35" t="n">
        <x:f>K724</x:f>
        <x:v>12</x:v>
      </x:c>
      <x:c r="U724" s="20" t="str">
        <x:f>IF(J724="Рассчитано",N724*(1-O724/100),"н/д")</x:f>
        <x:v>н/д</x:v>
      </x:c>
      <x:c r="V724" s="20" t="str">
        <x:f>IF(J724="Рассчитано",T724*U724,"н/д")</x:f>
        <x:v>н/д</x:v>
      </x:c>
      <x:c r="W724" s="20" t="str">
        <x:f>IF(J724="Рассчитано",T724*M724,"н/д")</x:f>
        <x:v>н/д</x:v>
      </x:c>
      <x:c r="X724" s="20" t="str">
        <x:f>IF(J724="Рассчитано",V724-W724,"н/д")</x:f>
        <x:v>н/д</x:v>
      </x:c>
      <x:c r="Y724" s="26" t="str">
        <x:f>IF(J724="Рассчитано",IF(V724&gt;0,G724/V724,"н/д"),"н/д")</x:f>
        <x:v>н/д</x:v>
      </x:c>
      <x:c r="Z724" s="20" t="str">
        <x:f>"н/д"</x:f>
        <x:v>н/д</x:v>
      </x:c>
      <x:c r="AA724" s="20" t="str">
        <x:f>"н/д"</x:f>
        <x:v>н/д</x:v>
      </x:c>
      <x:c r="AB724" s="20" t="str">
        <x:f>"н/д"</x:f>
        <x:v>н/д</x:v>
      </x:c>
      <x:c r="AC724" s="20" t="str">
        <x:f>IF(AND(J724="Рассчитано",T724&gt;0,R724&lt;100),(W724+P724+Q724)/(T724*(1-R724/100)),"н/д")</x:f>
        <x:v>н/д</x:v>
      </x:c>
      <x:c r="AD724" s="11" t="str">
        <x:f>IF(ISNUMBER(G724),IF(G724&lt;0,"Убыток",IF(G724=0,"Без прибыли","Прибыль &gt; 0")),"Не оценён")</x:f>
        <x:v>Не оценён</x:v>
      </x:c>
      <x:c r="AE724" s="12" t="str">
        <x:f>IF(J724="Рассчитано","Выручка "&amp;TEXT(V724,"0.00")&amp;" - себестоимость "&amp;TEXT(W724,"0.00")&amp;" - комиссия "&amp;TEXT(V724*R724/100,"0.00")&amp;" - доставка "&amp;TEXT(P724,"0.00")&amp;" - прочие "&amp;TEXT(Q724,"0.00")&amp;" = "&amp;TEXT(G724,"0.00")&amp;" "&amp;L724,"Введите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4" s="23" t="n">
        <x:v>38.13643273059507</x:v>
      </x:c>
      <x:c r="AG724" s="35" t="n">
        <x:v>51</x:v>
      </x:c>
      <x:c r="AH724" s="35" t="n">
        <x:v>0</x:v>
      </x:c>
      <x:c r="AI724" s="29" t="n">
        <x:v>46266</x:v>
      </x:c>
      <x:c r="AJ724" s="35" t="n">
        <x:v>1</x:v>
      </x:c>
      <x:c r="AK724" s="11" t="str">
        <x:v>минимум</x:v>
      </x:c>
      <x:c r="AL724" s="31" t="n">
        <x:v>113.72322144848164</x:v>
      </x:c>
      <x:c r="AM724" s="12" t="str">
        <x:v>Остаток на начало сентября; Резервы неизвестны; Нет ежедневных данных доступности. Запас выше прогноза на 90 дней</x:v>
      </x:c>
      <x:c r="AN724" s="12" t="str">
        <x:v>Проверить свободный остаток и установить цену для B2B</x:v>
      </x:c>
      <x:c r="AO724" s="12" t="str">
        <x:v>Остаток 51; прогноз 90 дней 38.14; избыток 12 шт. Будущие поступления не выставляются на продажу. Остаток на начало сентября: требуется актуализация.</x:v>
      </x:c>
      <x:c r="AP724" s="12" t="str">
        <x:v>["category_missing", "daily_stockout_data_missing", "new_order_lead_time_unknown", "reservations_unknown", "stale_stock"]</x:v>
      </x:c>
      <x:c r="AQ724" s="11" t="str">
        <x:v>IEK:130600025_</x:v>
      </x:c>
      <x:c r="AR724" s="23" t="n">
        <x:v>1</x:v>
      </x:c>
      <x:c r="AS724" s="23" t="n">
        <x:v>0</x:v>
      </x:c>
      <x:c r="AT724" s="23" t="n">
        <x:v>0</x:v>
      </x:c>
    </x:row>
    <x:row r="725" ht="64" customHeight="1">
      <x:c r="A725" s="10" t="str">
        <x:v>IEK</x:v>
      </x:c>
      <x:c r="B725" s="34" t="str">
        <x:v>130600032_</x:v>
      </x:c>
      <x:c r="C725" s="34" t="str">
        <x:v>DRT10-0004-0006</x:v>
      </x:c>
      <x:c r="D725" s="13" t="str">
        <x:v>Тепловое реле РТИ-1310 (4-6А) IEK (1/100)</x:v>
      </x:c>
      <x:c r="E725" s="10" t="str">
        <x:v>шт</x:v>
      </x:c>
      <x:c r="F725" s="37" t="n">
        <x:f>MAX(0,ROUNDDOWN((AG725-AF725)/AR725+0.000000001,0)*AR725)</x:f>
        <x:v>37</x:v>
      </x:c>
      <x:c r="G725" s="21" t="str">
        <x:f>IF(J725="Рассчитано",V725*(1-R725/100)-W725-P725-Q725,"н/д")</x:f>
        <x:v>н/д</x:v>
      </x:c>
      <x:c r="H725" s="13" t="str">
        <x:v>Высокий</x:v>
      </x:c>
      <x:c r="I725" s="13" t="str">
        <x:v>Высокий</x:v>
      </x:c>
      <x:c r="J725" s="13" t="str">
        <x:f>IF(L725="","Укажите валюту",IF(NOT(ISNUMBER(K725)),"Укажите объём",IF(K725&lt;=0,"Укажите объём",IF(K725&gt;F725,"Объём выше излишка",IF(COUNT(M725:O725)&lt;3,"Нужны цены",IF(COUNT(P725:R725)&lt;3,"Нужны расходы",IF(OR(M725&lt;0,N725&lt;0,O725&lt;0,O725&gt;100,P725&lt;0,Q725&lt;0,R725&lt;0,R725&gt;100),"Проверьте значения","Рассчитано")))))))</x:f>
        <x:v>Нужны цены</x:v>
      </x:c>
      <x:c r="K725" s="36" t="n">
        <x:v>37</x:v>
      </x:c>
      <x:c r="L725" s="19" t="str">
        <x:v>KZT</x:v>
      </x:c>
      <x:c r="M725" s="22"/>
      <x:c r="N725" s="22"/>
      <x:c r="O725" s="28"/>
      <x:c r="P725" s="22"/>
      <x:c r="Q725" s="22"/>
      <x:c r="R725" s="28"/>
      <x:c r="S725" s="22"/>
      <x:c r="T725" s="37" t="n">
        <x:f>K725</x:f>
        <x:v>37</x:v>
      </x:c>
      <x:c r="U725" s="21" t="str">
        <x:f>IF(J725="Рассчитано",N725*(1-O725/100),"н/д")</x:f>
        <x:v>н/д</x:v>
      </x:c>
      <x:c r="V725" s="21" t="str">
        <x:f>IF(J725="Рассчитано",T725*U725,"н/д")</x:f>
        <x:v>н/д</x:v>
      </x:c>
      <x:c r="W725" s="21" t="str">
        <x:f>IF(J725="Рассчитано",T725*M725,"н/д")</x:f>
        <x:v>н/д</x:v>
      </x:c>
      <x:c r="X725" s="21" t="str">
        <x:f>IF(J725="Рассчитано",V725-W725,"н/д")</x:f>
        <x:v>н/д</x:v>
      </x:c>
      <x:c r="Y725" s="27" t="str">
        <x:f>IF(J725="Рассчитано",IF(V725&gt;0,G725/V725,"н/д"),"н/д")</x:f>
        <x:v>н/д</x:v>
      </x:c>
      <x:c r="Z725" s="21" t="str">
        <x:f>"н/д"</x:f>
        <x:v>н/д</x:v>
      </x:c>
      <x:c r="AA725" s="21" t="str">
        <x:f>"н/д"</x:f>
        <x:v>н/д</x:v>
      </x:c>
      <x:c r="AB725" s="21" t="str">
        <x:f>"н/д"</x:f>
        <x:v>н/д</x:v>
      </x:c>
      <x:c r="AC725" s="21" t="str">
        <x:f>IF(AND(J725="Рассчитано",T725&gt;0,R725&lt;100),(W725+P725+Q725)/(T725*(1-R725/100)),"н/д")</x:f>
        <x:v>н/д</x:v>
      </x:c>
      <x:c r="AD725" s="10" t="str">
        <x:f>IF(ISNUMBER(G725),IF(G725&lt;0,"Убыток",IF(G725=0,"Без прибыли","Прибыль &gt; 0")),"Не оценён")</x:f>
        <x:v>Не оценён</x:v>
      </x:c>
      <x:c r="AE725" s="13" t="str">
        <x:f>IF(J725="Рассчитано","Выручка "&amp;TEXT(V725,"0.00")&amp;" - себестоимость "&amp;TEXT(W725,"0.00")&amp;" - комиссия "&amp;TEXT(V725*R725/100,"0.00")&amp;" - доставка "&amp;TEXT(P725,"0.00")&amp;" - прочие "&amp;TEXT(Q725,"0.00")&amp;" = "&amp;TEXT(G725,"0.00")&amp;" "&amp;L725,"Введите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5" s="24" t="n">
        <x:v>22.508322390162093</x:v>
      </x:c>
      <x:c r="AG725" s="37" t="n">
        <x:v>60</x:v>
      </x:c>
      <x:c r="AH725" s="37" t="n">
        <x:v>0</x:v>
      </x:c>
      <x:c r="AI725" s="30" t="n">
        <x:v>46266</x:v>
      </x:c>
      <x:c r="AJ725" s="37" t="n">
        <x:v>1</x:v>
      </x:c>
      <x:c r="AK725" s="10" t="str">
        <x:v>минимум</x:v>
      </x:c>
      <x:c r="AL725" s="32" t="n">
        <x:v>226.6872884510433</x:v>
      </x:c>
      <x:c r="AM72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25" s="13" t="str">
        <x:v>Проверить свободный остаток и установить цену для B2B</x:v>
      </x:c>
      <x:c r="AO725" s="13" t="str">
        <x:v>Остаток 60; прогноз 90 дней 22.51; избыток 37 шт. Будущие поступления не выставляются на продажу. Остаток на начало сентября: требуется актуализация.</x:v>
      </x:c>
      <x:c r="AP725" s="13" t="str">
        <x:v>["category_missing", "daily_stockout_data_missing", "large_orders_detected", "new_order_lead_time_unknown", "reservations_unknown", "stale_stock"]</x:v>
      </x:c>
      <x:c r="AQ725" s="10" t="str">
        <x:v>IEK:130600032_</x:v>
      </x:c>
      <x:c r="AR725" s="24" t="n">
        <x:v>1</x:v>
      </x:c>
      <x:c r="AS725" s="24" t="n">
        <x:v>0</x:v>
      </x:c>
      <x:c r="AT725" s="24" t="n">
        <x:v>0</x:v>
      </x:c>
    </x:row>
    <x:row r="726" ht="64" customHeight="1">
      <x:c r="A726" s="11" t="str">
        <x:v>IEK</x:v>
      </x:c>
      <x:c r="B726" s="33" t="str">
        <x:v>130600051_</x:v>
      </x:c>
      <x:c r="C726" s="33" t="str">
        <x:v>DRT30-0037-0050</x:v>
      </x:c>
      <x:c r="D726" s="12" t="str">
        <x:v>Тепловое реле РТИ-3357 (37-50А) IEK (50)</x:v>
      </x:c>
      <x:c r="E726" s="11" t="str">
        <x:v>шт</x:v>
      </x:c>
      <x:c r="F726" s="35" t="n">
        <x:f>MAX(0,ROUNDDOWN((AG726-AF726)/AR726+0.000000001,0)*AR726)</x:f>
        <x:v>12</x:v>
      </x:c>
      <x:c r="G726" s="20" t="str">
        <x:f>IF(J726="Рассчитано",V726*(1-R726/100)-W726-P726-Q726,"н/д")</x:f>
        <x:v>н/д</x:v>
      </x:c>
      <x:c r="H726" s="12" t="str">
        <x:v>Высокий</x:v>
      </x:c>
      <x:c r="I726" s="12" t="str">
        <x:v>Средний</x:v>
      </x:c>
      <x:c r="J726" s="12" t="str">
        <x:f>IF(L726="","Укажите валюту",IF(NOT(ISNUMBER(K726)),"Укажите объём",IF(K726&lt;=0,"Укажите объём",IF(K726&gt;F726,"Объём выше излишка",IF(COUNT(M726:O726)&lt;3,"Нужны цены",IF(COUNT(P726:R726)&lt;3,"Нужны расходы",IF(OR(M726&lt;0,N726&lt;0,O726&lt;0,O726&gt;100,P726&lt;0,Q726&lt;0,R726&lt;0,R726&gt;100),"Проверьте значения","Рассчитано")))))))</x:f>
        <x:v>Нужны цены</x:v>
      </x:c>
      <x:c r="K726" s="36" t="n">
        <x:v>12</x:v>
      </x:c>
      <x:c r="L726" s="19" t="str">
        <x:v>KZT</x:v>
      </x:c>
      <x:c r="M726" s="22"/>
      <x:c r="N726" s="22"/>
      <x:c r="O726" s="28"/>
      <x:c r="P726" s="22"/>
      <x:c r="Q726" s="22"/>
      <x:c r="R726" s="28"/>
      <x:c r="S726" s="22"/>
      <x:c r="T726" s="35" t="n">
        <x:f>K726</x:f>
        <x:v>12</x:v>
      </x:c>
      <x:c r="U726" s="20" t="str">
        <x:f>IF(J726="Рассчитано",N726*(1-O726/100),"н/д")</x:f>
        <x:v>н/д</x:v>
      </x:c>
      <x:c r="V726" s="20" t="str">
        <x:f>IF(J726="Рассчитано",T726*U726,"н/д")</x:f>
        <x:v>н/д</x:v>
      </x:c>
      <x:c r="W726" s="20" t="str">
        <x:f>IF(J726="Рассчитано",T726*M726,"н/д")</x:f>
        <x:v>н/д</x:v>
      </x:c>
      <x:c r="X726" s="20" t="str">
        <x:f>IF(J726="Рассчитано",V726-W726,"н/д")</x:f>
        <x:v>н/д</x:v>
      </x:c>
      <x:c r="Y726" s="26" t="str">
        <x:f>IF(J726="Рассчитано",IF(V726&gt;0,G726/V726,"н/д"),"н/д")</x:f>
        <x:v>н/д</x:v>
      </x:c>
      <x:c r="Z726" s="20" t="str">
        <x:f>"н/д"</x:f>
        <x:v>н/д</x:v>
      </x:c>
      <x:c r="AA726" s="20" t="str">
        <x:f>"н/д"</x:f>
        <x:v>н/д</x:v>
      </x:c>
      <x:c r="AB726" s="20" t="str">
        <x:f>"н/д"</x:f>
        <x:v>н/д</x:v>
      </x:c>
      <x:c r="AC726" s="20" t="str">
        <x:f>IF(AND(J726="Рассчитано",T726&gt;0,R726&lt;100),(W726+P726+Q726)/(T726*(1-R726/100)),"н/д")</x:f>
        <x:v>н/д</x:v>
      </x:c>
      <x:c r="AD726" s="11" t="str">
        <x:f>IF(ISNUMBER(G726),IF(G726&lt;0,"Убыток",IF(G726=0,"Без прибыли","Прибыль &gt; 0")),"Не оценён")</x:f>
        <x:v>Не оценён</x:v>
      </x:c>
      <x:c r="AE726" s="12" t="str">
        <x:f>IF(J726="Рассчитано","Выручка "&amp;TEXT(V726,"0.00")&amp;" - себестоимость "&amp;TEXT(W726,"0.00")&amp;" - комиссия "&amp;TEXT(V726*R726/100,"0.00")&amp;" - доставка "&amp;TEXT(P726,"0.00")&amp;" - прочие "&amp;TEXT(Q726,"0.00")&amp;" = "&amp;TEXT(G726,"0.00")&amp;" "&amp;L726,"Введите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6" s="23" t="n">
        <x:v>14.950175043558884</x:v>
      </x:c>
      <x:c r="AG726" s="35" t="n">
        <x:v>27</x:v>
      </x:c>
      <x:c r="AH726" s="35" t="n">
        <x:v>0</x:v>
      </x:c>
      <x:c r="AI726" s="29" t="n">
        <x:v>46266</x:v>
      </x:c>
      <x:c r="AJ726" s="35" t="n">
        <x:v>1</x:v>
      </x:c>
      <x:c r="AK726" s="11" t="str">
        <x:v>минимум</x:v>
      </x:c>
      <x:c r="AL726" s="31" t="n">
        <x:v>153.58066042060932</x:v>
      </x:c>
      <x:c r="AM726" s="12" t="str">
        <x:v>Остаток на начало сентября; Резервы неизвестны; Нет ежедневных данных доступности. Запас выше прогноза на 90 дней</x:v>
      </x:c>
      <x:c r="AN726" s="12" t="str">
        <x:v>Проверить свободный остаток и установить цену для B2B</x:v>
      </x:c>
      <x:c r="AO726" s="12" t="str">
        <x:v>Остаток 27; прогноз 90 дней 14.95; избыток 12 шт. Будущие поступления не выставляются на продажу. Остаток на начало сентября: требуется актуализация.</x:v>
      </x:c>
      <x:c r="AP726" s="12" t="str">
        <x:v>["category_missing", "daily_stockout_data_missing", "large_orders_detected", "new_order_lead_time_unknown", "reservations_unknown", "stale_stock"]</x:v>
      </x:c>
      <x:c r="AQ726" s="11" t="str">
        <x:v>IEK:130600051_</x:v>
      </x:c>
      <x:c r="AR726" s="23" t="n">
        <x:v>1</x:v>
      </x:c>
      <x:c r="AS726" s="23" t="n">
        <x:v>0</x:v>
      </x:c>
      <x:c r="AT726" s="23" t="n">
        <x:v>0</x:v>
      </x:c>
    </x:row>
    <x:row r="727" ht="64" customHeight="1">
      <x:c r="A727" s="10" t="str">
        <x:v>IEK</x:v>
      </x:c>
      <x:c r="B727" s="34" t="str">
        <x:v>130600052_</x:v>
      </x:c>
      <x:c r="C727" s="34" t="str">
        <x:v>DRT10-D025-0004</x:v>
      </x:c>
      <x:c r="D727" s="13" t="str">
        <x:v>Тепловое реле РТИ-1308 (2,5-4,0А) IEK (1/100)</x:v>
      </x:c>
      <x:c r="E727" s="10" t="str">
        <x:v>шт</x:v>
      </x:c>
      <x:c r="F727" s="37" t="n">
        <x:f>MAX(0,ROUNDDOWN((AG727-AF727)/AR727+0.000000001,0)*AR727)</x:f>
        <x:v>44</x:v>
      </x:c>
      <x:c r="G727" s="21" t="str">
        <x:f>IF(J727="Рассчитано",V727*(1-R727/100)-W727-P727-Q727,"н/д")</x:f>
        <x:v>н/д</x:v>
      </x:c>
      <x:c r="H727" s="13" t="str">
        <x:v>Высокий</x:v>
      </x:c>
      <x:c r="I727" s="13" t="str">
        <x:v>Высокий</x:v>
      </x:c>
      <x:c r="J727" s="13" t="str">
        <x:f>IF(L727="","Укажите валюту",IF(NOT(ISNUMBER(K727)),"Укажите объём",IF(K727&lt;=0,"Укажите объём",IF(K727&gt;F727,"Объём выше излишка",IF(COUNT(M727:O727)&lt;3,"Нужны цены",IF(COUNT(P727:R727)&lt;3,"Нужны расходы",IF(OR(M727&lt;0,N727&lt;0,O727&lt;0,O727&gt;100,P727&lt;0,Q727&lt;0,R727&lt;0,R727&gt;100),"Проверьте значения","Рассчитано")))))))</x:f>
        <x:v>Нужны цены</x:v>
      </x:c>
      <x:c r="K727" s="36" t="n">
        <x:v>44</x:v>
      </x:c>
      <x:c r="L727" s="19" t="str">
        <x:v>KZT</x:v>
      </x:c>
      <x:c r="M727" s="22"/>
      <x:c r="N727" s="22"/>
      <x:c r="O727" s="28"/>
      <x:c r="P727" s="22"/>
      <x:c r="Q727" s="22"/>
      <x:c r="R727" s="28"/>
      <x:c r="S727" s="22"/>
      <x:c r="T727" s="37" t="n">
        <x:f>K727</x:f>
        <x:v>44</x:v>
      </x:c>
      <x:c r="U727" s="21" t="str">
        <x:f>IF(J727="Рассчитано",N727*(1-O727/100),"н/д")</x:f>
        <x:v>н/д</x:v>
      </x:c>
      <x:c r="V727" s="21" t="str">
        <x:f>IF(J727="Рассчитано",T727*U727,"н/д")</x:f>
        <x:v>н/д</x:v>
      </x:c>
      <x:c r="W727" s="21" t="str">
        <x:f>IF(J727="Рассчитано",T727*M727,"н/д")</x:f>
        <x:v>н/д</x:v>
      </x:c>
      <x:c r="X727" s="21" t="str">
        <x:f>IF(J727="Рассчитано",V727-W727,"н/д")</x:f>
        <x:v>н/д</x:v>
      </x:c>
      <x:c r="Y727" s="27" t="str">
        <x:f>IF(J727="Рассчитано",IF(V727&gt;0,G727/V727,"н/д"),"н/д")</x:f>
        <x:v>н/д</x:v>
      </x:c>
      <x:c r="Z727" s="21" t="str">
        <x:f>"н/д"</x:f>
        <x:v>н/д</x:v>
      </x:c>
      <x:c r="AA727" s="21" t="str">
        <x:f>"н/д"</x:f>
        <x:v>н/д</x:v>
      </x:c>
      <x:c r="AB727" s="21" t="str">
        <x:f>"н/д"</x:f>
        <x:v>н/д</x:v>
      </x:c>
      <x:c r="AC727" s="21" t="str">
        <x:f>IF(AND(J727="Рассчитано",T727&gt;0,R727&lt;100),(W727+P727+Q727)/(T727*(1-R727/100)),"н/д")</x:f>
        <x:v>н/д</x:v>
      </x:c>
      <x:c r="AD727" s="10" t="str">
        <x:f>IF(ISNUMBER(G727),IF(G727&lt;0,"Убыток",IF(G727=0,"Без прибыли","Прибыль &gt; 0")),"Не оценён")</x:f>
        <x:v>Не оценён</x:v>
      </x:c>
      <x:c r="AE727" s="13" t="str">
        <x:f>IF(J727="Рассчитано","Выручка "&amp;TEXT(V727,"0.00")&amp;" - себестоимость "&amp;TEXT(W727,"0.00")&amp;" - комиссия "&amp;TEXT(V727*R727/100,"0.00")&amp;" - доставка "&amp;TEXT(P727,"0.00")&amp;" - прочие "&amp;TEXT(Q727,"0.00")&amp;" = "&amp;TEXT(G727,"0.00")&amp;" "&amp;L727,"Введите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7" s="24" t="n">
        <x:v>26.836297035127927</x:v>
      </x:c>
      <x:c r="AG727" s="37" t="n">
        <x:v>71</x:v>
      </x:c>
      <x:c r="AH727" s="37" t="n">
        <x:v>0</x:v>
      </x:c>
      <x:c r="AI727" s="30" t="n">
        <x:v>46266</x:v>
      </x:c>
      <x:c r="AJ727" s="37" t="n">
        <x:v>1</x:v>
      </x:c>
      <x:c r="AK727" s="10" t="str">
        <x:v>минимум</x:v>
      </x:c>
      <x:c r="AL727" s="32" t="n">
        <x:v>224.9856416545055</x:v>
      </x:c>
      <x:c r="AM72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27" s="13" t="str">
        <x:v>Проверить свободный остаток и установить цену для B2B</x:v>
      </x:c>
      <x:c r="AO727" s="13" t="str">
        <x:v>Остаток 71; прогноз 90 дней 26.84; избыток 44 шт. Будущие поступления не выставляются на продажу. Остаток на начало сентября: требуется актуализация.</x:v>
      </x:c>
      <x:c r="AP727" s="13" t="str">
        <x:v>["category_missing", "daily_stockout_data_missing", "new_order_lead_time_unknown", "reservations_unknown", "stale_stock"]</x:v>
      </x:c>
      <x:c r="AQ727" s="10" t="str">
        <x:v>IEK:130600052_</x:v>
      </x:c>
      <x:c r="AR727" s="24" t="n">
        <x:v>1</x:v>
      </x:c>
      <x:c r="AS727" s="24" t="n">
        <x:v>0</x:v>
      </x:c>
      <x:c r="AT727" s="24" t="n">
        <x:v>0</x:v>
      </x:c>
    </x:row>
    <x:row r="728" ht="64" customHeight="1">
      <x:c r="A728" s="11" t="str">
        <x:v>IEK</x:v>
      </x:c>
      <x:c r="B728" s="33" t="str">
        <x:v>130600063_</x:v>
      </x:c>
      <x:c r="C728" s="33" t="str">
        <x:v>RRP10D-RRM-4</x:v>
      </x:c>
      <x:c r="D728" s="12" t="str">
        <x:v>Разъем РРМ77/4(PTF14A) для РЭК77/4(LY4) модульный IEK (10/400)</x:v>
      </x:c>
      <x:c r="E728" s="11" t="str">
        <x:v>шт</x:v>
      </x:c>
      <x:c r="F728" s="35" t="n">
        <x:f>MAX(0,ROUNDDOWN((AG728-AF728)/AR728+0.000000001,0)*AR728)</x:f>
        <x:v>54</x:v>
      </x:c>
      <x:c r="G728" s="20" t="str">
        <x:f>IF(J728="Рассчитано",V728*(1-R728/100)-W728-P728-Q728,"н/д")</x:f>
        <x:v>н/д</x:v>
      </x:c>
      <x:c r="H728" s="12" t="str">
        <x:v>Высокий</x:v>
      </x:c>
      <x:c r="I728" s="12" t="str">
        <x:v>Средний</x:v>
      </x:c>
      <x:c r="J728" s="12" t="str">
        <x:f>IF(L728="","Укажите валюту",IF(NOT(ISNUMBER(K728)),"Укажите объём",IF(K728&lt;=0,"Укажите объём",IF(K728&gt;F728,"Объём выше излишка",IF(COUNT(M728:O728)&lt;3,"Нужны цены",IF(COUNT(P728:R728)&lt;3,"Нужны расходы",IF(OR(M728&lt;0,N728&lt;0,O728&lt;0,O728&gt;100,P728&lt;0,Q728&lt;0,R728&lt;0,R728&gt;100),"Проверьте значения","Рассчитано")))))))</x:f>
        <x:v>Нужны цены</x:v>
      </x:c>
      <x:c r="K728" s="36" t="n">
        <x:v>54</x:v>
      </x:c>
      <x:c r="L728" s="19" t="str">
        <x:v>KZT</x:v>
      </x:c>
      <x:c r="M728" s="22"/>
      <x:c r="N728" s="22"/>
      <x:c r="O728" s="28"/>
      <x:c r="P728" s="22"/>
      <x:c r="Q728" s="22"/>
      <x:c r="R728" s="28"/>
      <x:c r="S728" s="22"/>
      <x:c r="T728" s="35" t="n">
        <x:f>K728</x:f>
        <x:v>54</x:v>
      </x:c>
      <x:c r="U728" s="20" t="str">
        <x:f>IF(J728="Рассчитано",N728*(1-O728/100),"н/д")</x:f>
        <x:v>н/д</x:v>
      </x:c>
      <x:c r="V728" s="20" t="str">
        <x:f>IF(J728="Рассчитано",T728*U728,"н/д")</x:f>
        <x:v>н/д</x:v>
      </x:c>
      <x:c r="W728" s="20" t="str">
        <x:f>IF(J728="Рассчитано",T728*M728,"н/д")</x:f>
        <x:v>н/д</x:v>
      </x:c>
      <x:c r="X728" s="20" t="str">
        <x:f>IF(J728="Рассчитано",V728-W728,"н/д")</x:f>
        <x:v>н/д</x:v>
      </x:c>
      <x:c r="Y728" s="26" t="str">
        <x:f>IF(J728="Рассчитано",IF(V728&gt;0,G728/V728,"н/д"),"н/д")</x:f>
        <x:v>н/д</x:v>
      </x:c>
      <x:c r="Z728" s="20" t="str">
        <x:f>"н/д"</x:f>
        <x:v>н/д</x:v>
      </x:c>
      <x:c r="AA728" s="20" t="str">
        <x:f>"н/д"</x:f>
        <x:v>н/д</x:v>
      </x:c>
      <x:c r="AB728" s="20" t="str">
        <x:f>"н/д"</x:f>
        <x:v>н/д</x:v>
      </x:c>
      <x:c r="AC728" s="20" t="str">
        <x:f>IF(AND(J728="Рассчитано",T728&gt;0,R728&lt;100),(W728+P728+Q728)/(T728*(1-R728/100)),"н/д")</x:f>
        <x:v>н/д</x:v>
      </x:c>
      <x:c r="AD728" s="11" t="str">
        <x:f>IF(ISNUMBER(G728),IF(G728&lt;0,"Убыток",IF(G728=0,"Без прибыли","Прибыль &gt; 0")),"Не оценён")</x:f>
        <x:v>Не оценён</x:v>
      </x:c>
      <x:c r="AE728" s="12" t="str">
        <x:f>IF(J728="Рассчитано","Выручка "&amp;TEXT(V728,"0.00")&amp;" - себестоимость "&amp;TEXT(W728,"0.00")&amp;" - комиссия "&amp;TEXT(V728*R728/100,"0.00")&amp;" - доставка "&amp;TEXT(P728,"0.00")&amp;" - прочие "&amp;TEXT(Q728,"0.00")&amp;" = "&amp;TEXT(G728,"0.00")&amp;" "&amp;L728,"Введите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8" s="23" t="n">
        <x:v>186.8745381738389</x:v>
      </x:c>
      <x:c r="AG728" s="35" t="n">
        <x:v>241</x:v>
      </x:c>
      <x:c r="AH728" s="35" t="n">
        <x:v>0</x:v>
      </x:c>
      <x:c r="AI728" s="29" t="n">
        <x:v>46266</x:v>
      </x:c>
      <x:c r="AJ728" s="35" t="n">
        <x:v>10</x:v>
      </x:c>
      <x:c r="AK728" s="11" t="str">
        <x:v>минимум</x:v>
      </x:c>
      <x:c r="AL728" s="31" t="n">
        <x:v>109.66952297126909</x:v>
      </x:c>
      <x:c r="AM72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728" s="12" t="str">
        <x:v>Проверить свободный остаток и установить цену для B2B</x:v>
      </x:c>
      <x:c r="AO728" s="12" t="str">
        <x:v>Остаток 241; прогноз 90 дней 186.87; избыток 54 шт. Будущие поступления не выставляются на продажу. Остаток на начало сентября: требуется актуализация.</x:v>
      </x:c>
      <x:c r="AP728" s="12" t="str">
        <x:v>["category_missing", "daily_stockout_data_missing", "large_orders_detected", "new_order_lead_time_unknown", "reservations_unknown", "stale_stock", "transaction_month_mismatch"]</x:v>
      </x:c>
      <x:c r="AQ728" s="11" t="str">
        <x:v>IEK:130600063_</x:v>
      </x:c>
      <x:c r="AR728" s="23" t="n">
        <x:v>1</x:v>
      </x:c>
      <x:c r="AS728" s="23" t="n">
        <x:v>0</x:v>
      </x:c>
      <x:c r="AT728" s="23" t="n">
        <x:v>0</x:v>
      </x:c>
    </x:row>
    <x:row r="729" ht="64" customHeight="1">
      <x:c r="A729" s="10" t="str">
        <x:v>IEK</x:v>
      </x:c>
      <x:c r="B729" s="34" t="str">
        <x:v>130600064_</x:v>
      </x:c>
      <x:c r="C729" s="34" t="str">
        <x:v>DRT30-0063-0080</x:v>
      </x:c>
      <x:c r="D729" s="13" t="str">
        <x:v>Тепловое реле РТИ-3363 (63-80А) IEK (50)</x:v>
      </x:c>
      <x:c r="E729" s="10" t="str">
        <x:v>шт</x:v>
      </x:c>
      <x:c r="F729" s="37" t="n">
        <x:f>MAX(0,ROUNDDOWN((AG729-AF729)/AR729+0.000000001,0)*AR729)</x:f>
        <x:v>5</x:v>
      </x:c>
      <x:c r="G729" s="21" t="str">
        <x:f>IF(J729="Рассчитано",V729*(1-R729/100)-W729-P729-Q729,"н/д")</x:f>
        <x:v>н/д</x:v>
      </x:c>
      <x:c r="H729" s="13" t="str">
        <x:v>Высокий</x:v>
      </x:c>
      <x:c r="I729" s="13" t="str">
        <x:v>Средний</x:v>
      </x:c>
      <x:c r="J729" s="13" t="str">
        <x:f>IF(L729="","Укажите валюту",IF(NOT(ISNUMBER(K729)),"Укажите объём",IF(K729&lt;=0,"Укажите объём",IF(K729&gt;F729,"Объём выше излишка",IF(COUNT(M729:O729)&lt;3,"Нужны цены",IF(COUNT(P729:R729)&lt;3,"Нужны расходы",IF(OR(M729&lt;0,N729&lt;0,O729&lt;0,O729&gt;100,P729&lt;0,Q729&lt;0,R729&lt;0,R729&gt;100),"Проверьте значения","Рассчитано")))))))</x:f>
        <x:v>Нужны цены</x:v>
      </x:c>
      <x:c r="K729" s="36" t="n">
        <x:v>5</x:v>
      </x:c>
      <x:c r="L729" s="19" t="str">
        <x:v>KZT</x:v>
      </x:c>
      <x:c r="M729" s="22"/>
      <x:c r="N729" s="22"/>
      <x:c r="O729" s="28"/>
      <x:c r="P729" s="22"/>
      <x:c r="Q729" s="22"/>
      <x:c r="R729" s="28"/>
      <x:c r="S729" s="22"/>
      <x:c r="T729" s="37" t="n">
        <x:f>K729</x:f>
        <x:v>5</x:v>
      </x:c>
      <x:c r="U729" s="21" t="str">
        <x:f>IF(J729="Рассчитано",N729*(1-O729/100),"н/д")</x:f>
        <x:v>н/д</x:v>
      </x:c>
      <x:c r="V729" s="21" t="str">
        <x:f>IF(J729="Рассчитано",T729*U729,"н/д")</x:f>
        <x:v>н/д</x:v>
      </x:c>
      <x:c r="W729" s="21" t="str">
        <x:f>IF(J729="Рассчитано",T729*M729,"н/д")</x:f>
        <x:v>н/д</x:v>
      </x:c>
      <x:c r="X729" s="21" t="str">
        <x:f>IF(J729="Рассчитано",V729-W729,"н/д")</x:f>
        <x:v>н/д</x:v>
      </x:c>
      <x:c r="Y729" s="27" t="str">
        <x:f>IF(J729="Рассчитано",IF(V729&gt;0,G729/V729,"н/д"),"н/д")</x:f>
        <x:v>н/д</x:v>
      </x:c>
      <x:c r="Z729" s="21" t="str">
        <x:f>"н/д"</x:f>
        <x:v>н/д</x:v>
      </x:c>
      <x:c r="AA729" s="21" t="str">
        <x:f>"н/д"</x:f>
        <x:v>н/д</x:v>
      </x:c>
      <x:c r="AB729" s="21" t="str">
        <x:f>"н/д"</x:f>
        <x:v>н/д</x:v>
      </x:c>
      <x:c r="AC729" s="21" t="str">
        <x:f>IF(AND(J729="Рассчитано",T729&gt;0,R729&lt;100),(W729+P729+Q729)/(T729*(1-R729/100)),"н/д")</x:f>
        <x:v>н/д</x:v>
      </x:c>
      <x:c r="AD729" s="10" t="str">
        <x:f>IF(ISNUMBER(G729),IF(G729&lt;0,"Убыток",IF(G729=0,"Без прибыли","Прибыль &gt; 0")),"Не оценён")</x:f>
        <x:v>Не оценён</x:v>
      </x:c>
      <x:c r="AE729" s="13" t="str">
        <x:f>IF(J729="Рассчитано","Выручка "&amp;TEXT(V729,"0.00")&amp;" - себестоимость "&amp;TEXT(W729,"0.00")&amp;" - комиссия "&amp;TEXT(V729*R729/100,"0.00")&amp;" - доставка "&amp;TEXT(P729,"0.00")&amp;" - прочие "&amp;TEXT(Q729,"0.00")&amp;" = "&amp;TEXT(G729,"0.00")&amp;" "&amp;L729,"Введите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9" s="24" t="n">
        <x:v>19.615395810017077</x:v>
      </x:c>
      <x:c r="AG729" s="37" t="n">
        <x:v>25</x:v>
      </x:c>
      <x:c r="AH729" s="37" t="n">
        <x:v>0</x:v>
      </x:c>
      <x:c r="AI729" s="30" t="n">
        <x:v>46266</x:v>
      </x:c>
      <x:c r="AJ729" s="37" t="n">
        <x:v>1</x:v>
      </x:c>
      <x:c r="AK729" s="10" t="str">
        <x:v>минимум</x:v>
      </x:c>
      <x:c r="AL729" s="32" t="n">
        <x:v>108.38320189121802</x:v>
      </x:c>
      <x:c r="AM729" s="13" t="str">
        <x:v>Остаток на начало сентября; Резервы неизвестны; Нет ежедневных данных доступности. Запас выше прогноза на 90 дней</x:v>
      </x:c>
      <x:c r="AN729" s="13" t="str">
        <x:v>Проверить свободный остаток и установить цену для B2B</x:v>
      </x:c>
      <x:c r="AO729" s="13" t="str">
        <x:v>Остаток 25; прогноз 90 дней 19.62; избыток 5 шт. Будущие поступления не выставляются на продажу. Остаток на начало сентября: требуется актуализация.</x:v>
      </x:c>
      <x:c r="AP729" s="13" t="str">
        <x:v>["category_missing", "daily_stockout_data_missing", "new_order_lead_time_unknown", "reservations_unknown", "stale_stock"]</x:v>
      </x:c>
      <x:c r="AQ729" s="10" t="str">
        <x:v>IEK:130600064_</x:v>
      </x:c>
      <x:c r="AR729" s="24" t="n">
        <x:v>1</x:v>
      </x:c>
      <x:c r="AS729" s="24" t="n">
        <x:v>0</x:v>
      </x:c>
      <x:c r="AT729" s="24" t="n">
        <x:v>0</x:v>
      </x:c>
    </x:row>
    <x:row r="730" ht="64" customHeight="1">
      <x:c r="A730" s="11" t="str">
        <x:v>IEK</x:v>
      </x:c>
      <x:c r="B730" s="33" t="str">
        <x:v>130600066_</x:v>
      </x:c>
      <x:c r="C730" s="33" t="str">
        <x:v>DRT30-0023-0032</x:v>
      </x:c>
      <x:c r="D730" s="12" t="str">
        <x:v>Тепловое реле РТИ-3353 (23-32А) IEK (50)</x:v>
      </x:c>
      <x:c r="E730" s="11" t="str">
        <x:v>шт</x:v>
      </x:c>
      <x:c r="F730" s="35" t="n">
        <x:f>MAX(0,ROUNDDOWN((AG730-AF730)/AR730+0.000000001,0)*AR730)</x:f>
        <x:v>33</x:v>
      </x:c>
      <x:c r="G730" s="20" t="str">
        <x:f>IF(J730="Рассчитано",V730*(1-R730/100)-W730-P730-Q730,"н/д")</x:f>
        <x:v>н/д</x:v>
      </x:c>
      <x:c r="H730" s="12" t="str">
        <x:v>Высокий</x:v>
      </x:c>
      <x:c r="I730" s="12" t="str">
        <x:v>Высокий</x:v>
      </x:c>
      <x:c r="J730" s="12" t="str">
        <x:f>IF(L730="","Укажите валюту",IF(NOT(ISNUMBER(K730)),"Укажите объём",IF(K730&lt;=0,"Укажите объём",IF(K730&gt;F730,"Объём выше излишка",IF(COUNT(M730:O730)&lt;3,"Нужны цены",IF(COUNT(P730:R730)&lt;3,"Нужны расходы",IF(OR(M730&lt;0,N730&lt;0,O730&lt;0,O730&gt;100,P730&lt;0,Q730&lt;0,R730&lt;0,R730&gt;100),"Проверьте значения","Рассчитано")))))))</x:f>
        <x:v>Нужны цены</x:v>
      </x:c>
      <x:c r="K730" s="36" t="n">
        <x:v>33</x:v>
      </x:c>
      <x:c r="L730" s="19" t="str">
        <x:v>KZT</x:v>
      </x:c>
      <x:c r="M730" s="22"/>
      <x:c r="N730" s="22"/>
      <x:c r="O730" s="28"/>
      <x:c r="P730" s="22"/>
      <x:c r="Q730" s="22"/>
      <x:c r="R730" s="28"/>
      <x:c r="S730" s="22"/>
      <x:c r="T730" s="35" t="n">
        <x:f>K730</x:f>
        <x:v>33</x:v>
      </x:c>
      <x:c r="U730" s="20" t="str">
        <x:f>IF(J730="Рассчитано",N730*(1-O730/100),"н/д")</x:f>
        <x:v>н/д</x:v>
      </x:c>
      <x:c r="V730" s="20" t="str">
        <x:f>IF(J730="Рассчитано",T730*U730,"н/д")</x:f>
        <x:v>н/д</x:v>
      </x:c>
      <x:c r="W730" s="20" t="str">
        <x:f>IF(J730="Рассчитано",T730*M730,"н/д")</x:f>
        <x:v>н/д</x:v>
      </x:c>
      <x:c r="X730" s="20" t="str">
        <x:f>IF(J730="Рассчитано",V730-W730,"н/д")</x:f>
        <x:v>н/д</x:v>
      </x:c>
      <x:c r="Y730" s="26" t="str">
        <x:f>IF(J730="Рассчитано",IF(V730&gt;0,G730/V730,"н/д"),"н/д")</x:f>
        <x:v>н/д</x:v>
      </x:c>
      <x:c r="Z730" s="20" t="str">
        <x:f>"н/д"</x:f>
        <x:v>н/д</x:v>
      </x:c>
      <x:c r="AA730" s="20" t="str">
        <x:f>"н/д"</x:f>
        <x:v>н/д</x:v>
      </x:c>
      <x:c r="AB730" s="20" t="str">
        <x:f>"н/д"</x:f>
        <x:v>н/д</x:v>
      </x:c>
      <x:c r="AC730" s="20" t="str">
        <x:f>IF(AND(J730="Рассчитано",T730&gt;0,R730&lt;100),(W730+P730+Q730)/(T730*(1-R730/100)),"н/д")</x:f>
        <x:v>н/д</x:v>
      </x:c>
      <x:c r="AD730" s="11" t="str">
        <x:f>IF(ISNUMBER(G730),IF(G730&lt;0,"Убыток",IF(G730=0,"Без прибыли","Прибыль &gt; 0")),"Не оценён")</x:f>
        <x:v>Не оценён</x:v>
      </x:c>
      <x:c r="AE730" s="12" t="str">
        <x:f>IF(J730="Рассчитано","Выручка "&amp;TEXT(V730,"0.00")&amp;" - себестоимость "&amp;TEXT(W730,"0.00")&amp;" - комиссия "&amp;TEXT(V730*R730/100,"0.00")&amp;" - доставка "&amp;TEXT(P730,"0.00")&amp;" - прочие "&amp;TEXT(Q730,"0.00")&amp;" = "&amp;TEXT(G730,"0.00")&amp;" "&amp;L730,"Введите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0" s="23" t="n">
        <x:v>13.248479554760651</x:v>
      </x:c>
      <x:c r="AG730" s="35" t="n">
        <x:v>47</x:v>
      </x:c>
      <x:c r="AH730" s="35" t="n">
        <x:v>0</x:v>
      </x:c>
      <x:c r="AI730" s="29" t="n">
        <x:v>46266</x:v>
      </x:c>
      <x:c r="AJ730" s="35" t="n">
        <x:v>1</x:v>
      </x:c>
      <x:c r="AK730" s="11" t="str">
        <x:v>минимум</x:v>
      </x:c>
      <x:c r="AL730" s="31" t="n">
        <x:v>301.68301679265977</x:v>
      </x:c>
      <x:c r="AM73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30" s="12" t="str">
        <x:v>Проверить свободный остаток и установить цену для B2B</x:v>
      </x:c>
      <x:c r="AO730" s="12" t="str">
        <x:v>Остаток 47; прогноз 90 дней 13.25; избыток 33 шт. Будущие поступления не выставляются на продажу. Остаток на начало сентября: требуется актуализация.</x:v>
      </x:c>
      <x:c r="AP730" s="12" t="str">
        <x:v>["category_missing", "daily_stockout_data_missing", "new_order_lead_time_unknown", "reservations_unknown", "stale_stock"]</x:v>
      </x:c>
      <x:c r="AQ730" s="11" t="str">
        <x:v>IEK:130600066_</x:v>
      </x:c>
      <x:c r="AR730" s="23" t="n">
        <x:v>1</x:v>
      </x:c>
      <x:c r="AS730" s="23" t="n">
        <x:v>0</x:v>
      </x:c>
      <x:c r="AT730" s="23" t="n">
        <x:v>0</x:v>
      </x:c>
    </x:row>
    <x:row r="731" ht="64" customHeight="1">
      <x:c r="A731" s="10" t="str">
        <x:v>IEK</x:v>
      </x:c>
      <x:c r="B731" s="34" t="str">
        <x:v>130600067_</x:v>
      </x:c>
      <x:c r="C731" s="34" t="str">
        <x:v>DRT30-0055-0070</x:v>
      </x:c>
      <x:c r="D731" s="13" t="str">
        <x:v>Тепловое реле РТИ-3361 (55-70А) IEK (50)</x:v>
      </x:c>
      <x:c r="E731" s="10" t="str">
        <x:v>шт</x:v>
      </x:c>
      <x:c r="F731" s="37" t="n">
        <x:f>MAX(0,ROUNDDOWN((AG731-AF731)/AR731+0.000000001,0)*AR731)</x:f>
        <x:v>9</x:v>
      </x:c>
      <x:c r="G731" s="21" t="str">
        <x:f>IF(J731="Рассчитано",V731*(1-R731/100)-W731-P731-Q731,"н/д")</x:f>
        <x:v>н/д</x:v>
      </x:c>
      <x:c r="H731" s="13" t="str">
        <x:v>Высокий</x:v>
      </x:c>
      <x:c r="I731" s="13" t="str">
        <x:v>Средний</x:v>
      </x:c>
      <x:c r="J731" s="13" t="str">
        <x:f>IF(L731="","Укажите валюту",IF(NOT(ISNUMBER(K731)),"Укажите объём",IF(K731&lt;=0,"Укажите объём",IF(K731&gt;F731,"Объём выше излишка",IF(COUNT(M731:O731)&lt;3,"Нужны цены",IF(COUNT(P731:R731)&lt;3,"Нужны расходы",IF(OR(M731&lt;0,N731&lt;0,O731&lt;0,O731&gt;100,P731&lt;0,Q731&lt;0,R731&lt;0,R731&gt;100),"Проверьте значения","Рассчитано")))))))</x:f>
        <x:v>Нужны цены</x:v>
      </x:c>
      <x:c r="K731" s="36" t="n">
        <x:v>9</x:v>
      </x:c>
      <x:c r="L731" s="19" t="str">
        <x:v>KZT</x:v>
      </x:c>
      <x:c r="M731" s="22"/>
      <x:c r="N731" s="22"/>
      <x:c r="O731" s="28"/>
      <x:c r="P731" s="22"/>
      <x:c r="Q731" s="22"/>
      <x:c r="R731" s="28"/>
      <x:c r="S731" s="22"/>
      <x:c r="T731" s="37" t="n">
        <x:f>K731</x:f>
        <x:v>9</x:v>
      </x:c>
      <x:c r="U731" s="21" t="str">
        <x:f>IF(J731="Рассчитано",N731*(1-O731/100),"н/д")</x:f>
        <x:v>н/д</x:v>
      </x:c>
      <x:c r="V731" s="21" t="str">
        <x:f>IF(J731="Рассчитано",T731*U731,"н/д")</x:f>
        <x:v>н/д</x:v>
      </x:c>
      <x:c r="W731" s="21" t="str">
        <x:f>IF(J731="Рассчитано",T731*M731,"н/д")</x:f>
        <x:v>н/д</x:v>
      </x:c>
      <x:c r="X731" s="21" t="str">
        <x:f>IF(J731="Рассчитано",V731-W731,"н/д")</x:f>
        <x:v>н/д</x:v>
      </x:c>
      <x:c r="Y731" s="27" t="str">
        <x:f>IF(J731="Рассчитано",IF(V731&gt;0,G731/V731,"н/д"),"н/д")</x:f>
        <x:v>н/д</x:v>
      </x:c>
      <x:c r="Z731" s="21" t="str">
        <x:f>"н/д"</x:f>
        <x:v>н/д</x:v>
      </x:c>
      <x:c r="AA731" s="21" t="str">
        <x:f>"н/д"</x:f>
        <x:v>н/д</x:v>
      </x:c>
      <x:c r="AB731" s="21" t="str">
        <x:f>"н/д"</x:f>
        <x:v>н/д</x:v>
      </x:c>
      <x:c r="AC731" s="21" t="str">
        <x:f>IF(AND(J731="Рассчитано",T731&gt;0,R731&lt;100),(W731+P731+Q731)/(T731*(1-R731/100)),"н/д")</x:f>
        <x:v>н/д</x:v>
      </x:c>
      <x:c r="AD731" s="10" t="str">
        <x:f>IF(ISNUMBER(G731),IF(G731&lt;0,"Убыток",IF(G731=0,"Без прибыли","Прибыль &gt; 0")),"Не оценён")</x:f>
        <x:v>Не оценён</x:v>
      </x:c>
      <x:c r="AE731" s="13" t="str">
        <x:f>IF(J731="Рассчитано","Выручка "&amp;TEXT(V731,"0.00")&amp;" - себестоимость "&amp;TEXT(W731,"0.00")&amp;" - комиссия "&amp;TEXT(V731*R731/100,"0.00")&amp;" - доставка "&amp;TEXT(P731,"0.00")&amp;" - прочие "&amp;TEXT(Q731,"0.00")&amp;" = "&amp;TEXT(G731,"0.00")&amp;" "&amp;L731,"Введите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1" s="24" t="n">
        <x:v>14.333497620797065</x:v>
      </x:c>
      <x:c r="AG731" s="37" t="n">
        <x:v>24</x:v>
      </x:c>
      <x:c r="AH731" s="37" t="n">
        <x:v>0</x:v>
      </x:c>
      <x:c r="AI731" s="30" t="n">
        <x:v>46266</x:v>
      </x:c>
      <x:c r="AJ731" s="37" t="n">
        <x:v>1</x:v>
      </x:c>
      <x:c r="AK731" s="10" t="str">
        <x:v>минимум</x:v>
      </x:c>
      <x:c r="AL731" s="32" t="n">
        <x:v>142.38954664643845</x:v>
      </x:c>
      <x:c r="AM731" s="13" t="str">
        <x:v>Остаток на начало сентября; Резервы неизвестны; Нет ежедневных данных доступности. Запас выше прогноза на 90 дней</x:v>
      </x:c>
      <x:c r="AN731" s="13" t="str">
        <x:v>Проверить свободный остаток и установить цену для B2B</x:v>
      </x:c>
      <x:c r="AO731" s="13" t="str">
        <x:v>Остаток 24; прогноз 90 дней 14.33; избыток 9 шт. Будущие поступления не выставляются на продажу. Остаток на начало сентября: требуется актуализация.</x:v>
      </x:c>
      <x:c r="AP731" s="13" t="str">
        <x:v>["category_missing", "daily_stockout_data_missing", "new_order_lead_time_unknown", "reservations_unknown", "stale_stock"]</x:v>
      </x:c>
      <x:c r="AQ731" s="10" t="str">
        <x:v>IEK:130600067_</x:v>
      </x:c>
      <x:c r="AR731" s="24" t="n">
        <x:v>1</x:v>
      </x:c>
      <x:c r="AS731" s="24" t="n">
        <x:v>0</x:v>
      </x:c>
      <x:c r="AT731" s="24" t="n">
        <x:v>0</x:v>
      </x:c>
    </x:row>
    <x:row r="732" ht="64" customHeight="1">
      <x:c r="A732" s="11" t="str">
        <x:v>IEK</x:v>
      </x:c>
      <x:c r="B732" s="33" t="str">
        <x:v>130600078_</x:v>
      </x:c>
      <x:c r="C732" s="33" t="str">
        <x:v>DRT10-D004-C063</x:v>
      </x:c>
      <x:c r="D732" s="12" t="str">
        <x:v>Тепловое реле РТИ-1304 (0,4-0,63А) IEK (1/100)</x:v>
      </x:c>
      <x:c r="E732" s="11" t="str">
        <x:v>шт</x:v>
      </x:c>
      <x:c r="F732" s="35" t="n">
        <x:f>MAX(0,ROUNDDOWN((AG732-AF732)/AR732+0.000000001,0)*AR732)</x:f>
        <x:v>6</x:v>
      </x:c>
      <x:c r="G732" s="20" t="str">
        <x:f>IF(J732="Рассчитано",V732*(1-R732/100)-W732-P732-Q732,"н/д")</x:f>
        <x:v>н/д</x:v>
      </x:c>
      <x:c r="H732" s="12" t="str">
        <x:v>Высокий</x:v>
      </x:c>
      <x:c r="I732" s="12" t="str">
        <x:v>Высокий</x:v>
      </x:c>
      <x:c r="J732" s="12" t="str">
        <x:f>IF(L732="","Укажите валюту",IF(NOT(ISNUMBER(K732)),"Укажите объём",IF(K732&lt;=0,"Укажите объём",IF(K732&gt;F732,"Объём выше излишка",IF(COUNT(M732:O732)&lt;3,"Нужны цены",IF(COUNT(P732:R732)&lt;3,"Нужны расходы",IF(OR(M732&lt;0,N732&lt;0,O732&lt;0,O732&gt;100,P732&lt;0,Q732&lt;0,R732&lt;0,R732&gt;100),"Проверьте значения","Рассчитано")))))))</x:f>
        <x:v>Нужны цены</x:v>
      </x:c>
      <x:c r="K732" s="36" t="n">
        <x:v>6</x:v>
      </x:c>
      <x:c r="L732" s="19" t="str">
        <x:v>KZT</x:v>
      </x:c>
      <x:c r="M732" s="22"/>
      <x:c r="N732" s="22"/>
      <x:c r="O732" s="28"/>
      <x:c r="P732" s="22"/>
      <x:c r="Q732" s="22"/>
      <x:c r="R732" s="28"/>
      <x:c r="S732" s="22"/>
      <x:c r="T732" s="35" t="n">
        <x:f>K732</x:f>
        <x:v>6</x:v>
      </x:c>
      <x:c r="U732" s="20" t="str">
        <x:f>IF(J732="Рассчитано",N732*(1-O732/100),"н/д")</x:f>
        <x:v>н/д</x:v>
      </x:c>
      <x:c r="V732" s="20" t="str">
        <x:f>IF(J732="Рассчитано",T732*U732,"н/д")</x:f>
        <x:v>н/д</x:v>
      </x:c>
      <x:c r="W732" s="20" t="str">
        <x:f>IF(J732="Рассчитано",T732*M732,"н/д")</x:f>
        <x:v>н/д</x:v>
      </x:c>
      <x:c r="X732" s="20" t="str">
        <x:f>IF(J732="Рассчитано",V732-W732,"н/д")</x:f>
        <x:v>н/д</x:v>
      </x:c>
      <x:c r="Y732" s="26" t="str">
        <x:f>IF(J732="Рассчитано",IF(V732&gt;0,G732/V732,"н/д"),"н/д")</x:f>
        <x:v>н/д</x:v>
      </x:c>
      <x:c r="Z732" s="20" t="str">
        <x:f>"н/д"</x:f>
        <x:v>н/д</x:v>
      </x:c>
      <x:c r="AA732" s="20" t="str">
        <x:f>"н/д"</x:f>
        <x:v>н/д</x:v>
      </x:c>
      <x:c r="AB732" s="20" t="str">
        <x:f>"н/д"</x:f>
        <x:v>н/д</x:v>
      </x:c>
      <x:c r="AC732" s="20" t="str">
        <x:f>IF(AND(J732="Рассчитано",T732&gt;0,R732&lt;100),(W732+P732+Q732)/(T732*(1-R732/100)),"н/д")</x:f>
        <x:v>н/д</x:v>
      </x:c>
      <x:c r="AD732" s="11" t="str">
        <x:f>IF(ISNUMBER(G732),IF(G732&lt;0,"Убыток",IF(G732=0,"Без прибыли","Прибыль &gt; 0")),"Не оценён")</x:f>
        <x:v>Не оценён</x:v>
      </x:c>
      <x:c r="AE732" s="12" t="str">
        <x:f>IF(J732="Рассчитано","Выручка "&amp;TEXT(V732,"0.00")&amp;" - себестоимость "&amp;TEXT(W732,"0.00")&amp;" - комиссия "&amp;TEXT(V732*R732/100,"0.00")&amp;" - доставка "&amp;TEXT(P732,"0.00")&amp;" - прочие "&amp;TEXT(Q732,"0.00")&amp;" = "&amp;TEXT(G732,"0.00")&amp;" "&amp;L732,"Введите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2" s="23" t="n">
        <x:v>2.1208641796806837</x:v>
      </x:c>
      <x:c r="AG732" s="35" t="n">
        <x:v>9</x:v>
      </x:c>
      <x:c r="AH732" s="35" t="n">
        <x:v>0</x:v>
      </x:c>
      <x:c r="AI732" s="29" t="n">
        <x:v>46266</x:v>
      </x:c>
      <x:c r="AJ732" s="35" t="n">
        <x:v>1</x:v>
      </x:c>
      <x:c r="AK732" s="11" t="str">
        <x:v>минимум</x:v>
      </x:c>
      <x:c r="AL732" s="31" t="n">
        <x:v>360.86826910641423</x:v>
      </x:c>
      <x:c r="AM73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32" s="12" t="str">
        <x:v>Проверить свободный остаток и установить цену для B2B</x:v>
      </x:c>
      <x:c r="AO732" s="12" t="str">
        <x:v>Остаток 9; прогноз 90 дней 2.12; избыток 6 шт. Будущие поступления не выставляются на продажу. Остаток на начало сентября: требуется актуализация.</x:v>
      </x:c>
      <x:c r="AP732" s="12" t="str">
        <x:v>["category_missing", "daily_stockout_data_missing", "large_orders_detected", "new_order_lead_time_unknown", "reservations_unknown", "stale_stock"]</x:v>
      </x:c>
      <x:c r="AQ732" s="11" t="str">
        <x:v>IEK:130600078_</x:v>
      </x:c>
      <x:c r="AR732" s="23" t="n">
        <x:v>1</x:v>
      </x:c>
      <x:c r="AS732" s="23" t="n">
        <x:v>0</x:v>
      </x:c>
      <x:c r="AT732" s="23" t="n">
        <x:v>0</x:v>
      </x:c>
    </x:row>
    <x:row r="733" ht="64" customHeight="1">
      <x:c r="A733" s="10" t="str">
        <x:v>IEK</x:v>
      </x:c>
      <x:c r="B733" s="34" t="str">
        <x:v>130600079_</x:v>
      </x:c>
      <x:c r="C733" s="34" t="str">
        <x:v>DRT10-C063-0001</x:v>
      </x:c>
      <x:c r="D733" s="13" t="str">
        <x:v>Тепловое реле РТИ-1305 (0,63-1,0А) IEK (1/100)</x:v>
      </x:c>
      <x:c r="E733" s="10" t="str">
        <x:v>шт</x:v>
      </x:c>
      <x:c r="F733" s="37" t="n">
        <x:f>MAX(0,ROUNDDOWN((AG733-AF733)/AR733+0.000000001,0)*AR733)</x:f>
        <x:v>16</x:v>
      </x:c>
      <x:c r="G733" s="21" t="str">
        <x:f>IF(J733="Рассчитано",V733*(1-R733/100)-W733-P733-Q733,"н/д")</x:f>
        <x:v>н/д</x:v>
      </x:c>
      <x:c r="H733" s="13" t="str">
        <x:v>Высокий</x:v>
      </x:c>
      <x:c r="I733" s="13" t="str">
        <x:v>Высокий</x:v>
      </x:c>
      <x:c r="J733" s="13" t="str">
        <x:f>IF(L733="","Укажите валюту",IF(NOT(ISNUMBER(K733)),"Укажите объём",IF(K733&lt;=0,"Укажите объём",IF(K733&gt;F733,"Объём выше излишка",IF(COUNT(M733:O733)&lt;3,"Нужны цены",IF(COUNT(P733:R733)&lt;3,"Нужны расходы",IF(OR(M733&lt;0,N733&lt;0,O733&lt;0,O733&gt;100,P733&lt;0,Q733&lt;0,R733&lt;0,R733&gt;100),"Проверьте значения","Рассчитано")))))))</x:f>
        <x:v>Нужны цены</x:v>
      </x:c>
      <x:c r="K733" s="36" t="n">
        <x:v>16</x:v>
      </x:c>
      <x:c r="L733" s="19" t="str">
        <x:v>KZT</x:v>
      </x:c>
      <x:c r="M733" s="22"/>
      <x:c r="N733" s="22"/>
      <x:c r="O733" s="28"/>
      <x:c r="P733" s="22"/>
      <x:c r="Q733" s="22"/>
      <x:c r="R733" s="28"/>
      <x:c r="S733" s="22"/>
      <x:c r="T733" s="37" t="n">
        <x:f>K733</x:f>
        <x:v>16</x:v>
      </x:c>
      <x:c r="U733" s="21" t="str">
        <x:f>IF(J733="Рассчитано",N733*(1-O733/100),"н/д")</x:f>
        <x:v>н/д</x:v>
      </x:c>
      <x:c r="V733" s="21" t="str">
        <x:f>IF(J733="Рассчитано",T733*U733,"н/д")</x:f>
        <x:v>н/д</x:v>
      </x:c>
      <x:c r="W733" s="21" t="str">
        <x:f>IF(J733="Рассчитано",T733*M733,"н/д")</x:f>
        <x:v>н/д</x:v>
      </x:c>
      <x:c r="X733" s="21" t="str">
        <x:f>IF(J733="Рассчитано",V733-W733,"н/д")</x:f>
        <x:v>н/д</x:v>
      </x:c>
      <x:c r="Y733" s="27" t="str">
        <x:f>IF(J733="Рассчитано",IF(V733&gt;0,G733/V733,"н/д"),"н/д")</x:f>
        <x:v>н/д</x:v>
      </x:c>
      <x:c r="Z733" s="21" t="str">
        <x:f>"н/д"</x:f>
        <x:v>н/д</x:v>
      </x:c>
      <x:c r="AA733" s="21" t="str">
        <x:f>"н/д"</x:f>
        <x:v>н/д</x:v>
      </x:c>
      <x:c r="AB733" s="21" t="str">
        <x:f>"н/д"</x:f>
        <x:v>н/д</x:v>
      </x:c>
      <x:c r="AC733" s="21" t="str">
        <x:f>IF(AND(J733="Рассчитано",T733&gt;0,R733&lt;100),(W733+P733+Q733)/(T733*(1-R733/100)),"н/д")</x:f>
        <x:v>н/д</x:v>
      </x:c>
      <x:c r="AD733" s="10" t="str">
        <x:f>IF(ISNUMBER(G733),IF(G733&lt;0,"Убыток",IF(G733=0,"Без прибыли","Прибыль &gt; 0")),"Не оценён")</x:f>
        <x:v>Не оценён</x:v>
      </x:c>
      <x:c r="AE733" s="13" t="str">
        <x:f>IF(J733="Рассчитано","Выручка "&amp;TEXT(V733,"0.00")&amp;" - себестоимость "&amp;TEXT(W733,"0.00")&amp;" - комиссия "&amp;TEXT(V733*R733/100,"0.00")&amp;" - доставка "&amp;TEXT(P733,"0.00")&amp;" - прочие "&amp;TEXT(Q733,"0.00")&amp;" = "&amp;TEXT(G733,"0.00")&amp;" "&amp;L733,"Введите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3" s="24" t="n">
        <x:v>3.56551473678793</x:v>
      </x:c>
      <x:c r="AG733" s="37" t="n">
        <x:v>20</x:v>
      </x:c>
      <x:c r="AH733" s="37" t="n">
        <x:v>4</x:v>
      </x:c>
      <x:c r="AI733" s="30" t="n">
        <x:v>46266</x:v>
      </x:c>
      <x:c r="AJ733" s="37" t="n">
        <x:v>1</x:v>
      </x:c>
      <x:c r="AK733" s="10" t="str">
        <x:v>минимум</x:v>
      </x:c>
      <x:c r="AL733" s="32" t="n">
        <x:v>477.00925363016984</x:v>
      </x:c>
      <x:c r="AM73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33" s="13" t="str">
        <x:v>Проверить свободный остаток и установить цену для B2B</x:v>
      </x:c>
      <x:c r="AO733" s="13" t="str">
        <x:v>Остаток 20; прогноз 90 дней 3.57; избыток 16 шт. Будущие поступления не выставляются на продажу. Остаток на начало сентября: требуется актуализация.</x:v>
      </x:c>
      <x:c r="AP733" s="13" t="str">
        <x:v>["category_missing", "daily_stockout_data_missing", "new_order_lead_time_unknown", "reservations_unknown", "stale_stock"]</x:v>
      </x:c>
      <x:c r="AQ733" s="10" t="str">
        <x:v>IEK:130600079_</x:v>
      </x:c>
      <x:c r="AR733" s="24" t="n">
        <x:v>1</x:v>
      </x:c>
      <x:c r="AS733" s="24" t="n">
        <x:v>0</x:v>
      </x:c>
      <x:c r="AT733" s="24" t="n">
        <x:v>0</x:v>
      </x:c>
    </x:row>
    <x:row r="734" ht="64" customHeight="1">
      <x:c r="A734" s="11" t="str">
        <x:v>IEK</x:v>
      </x:c>
      <x:c r="B734" s="33" t="str">
        <x:v>130600080_</x:v>
      </x:c>
      <x:c r="C734" s="33" t="str">
        <x:v>DRT10-0001-D016</x:v>
      </x:c>
      <x:c r="D734" s="12" t="str">
        <x:v>Тепловое реле РТИ-1306 (1-1,6А) IEK (1/100)</x:v>
      </x:c>
      <x:c r="E734" s="11" t="str">
        <x:v>шт</x:v>
      </x:c>
      <x:c r="F734" s="35" t="n">
        <x:f>MAX(0,ROUNDDOWN((AG734-AF734)/AR734+0.000000001,0)*AR734)</x:f>
        <x:v>6</x:v>
      </x:c>
      <x:c r="G734" s="20" t="str">
        <x:f>IF(J734="Рассчитано",V734*(1-R734/100)-W734-P734-Q734,"н/д")</x:f>
        <x:v>н/д</x:v>
      </x:c>
      <x:c r="H734" s="12" t="str">
        <x:v>Высокий</x:v>
      </x:c>
      <x:c r="I734" s="12" t="str">
        <x:v>Средний</x:v>
      </x:c>
      <x:c r="J734" s="12" t="str">
        <x:f>IF(L734="","Укажите валюту",IF(NOT(ISNUMBER(K734)),"Укажите объём",IF(K734&lt;=0,"Укажите объём",IF(K734&gt;F734,"Объём выше излишка",IF(COUNT(M734:O734)&lt;3,"Нужны цены",IF(COUNT(P734:R734)&lt;3,"Нужны расходы",IF(OR(M734&lt;0,N734&lt;0,O734&lt;0,O734&gt;100,P734&lt;0,Q734&lt;0,R734&lt;0,R734&gt;100),"Проверьте значения","Рассчитано")))))))</x:f>
        <x:v>Нужны цены</x:v>
      </x:c>
      <x:c r="K734" s="36" t="n">
        <x:v>6</x:v>
      </x:c>
      <x:c r="L734" s="19" t="str">
        <x:v>KZT</x:v>
      </x:c>
      <x:c r="M734" s="22"/>
      <x:c r="N734" s="22"/>
      <x:c r="O734" s="28"/>
      <x:c r="P734" s="22"/>
      <x:c r="Q734" s="22"/>
      <x:c r="R734" s="28"/>
      <x:c r="S734" s="22"/>
      <x:c r="T734" s="35" t="n">
        <x:f>K734</x:f>
        <x:v>6</x:v>
      </x:c>
      <x:c r="U734" s="20" t="str">
        <x:f>IF(J734="Рассчитано",N734*(1-O734/100),"н/д")</x:f>
        <x:v>н/д</x:v>
      </x:c>
      <x:c r="V734" s="20" t="str">
        <x:f>IF(J734="Рассчитано",T734*U734,"н/д")</x:f>
        <x:v>н/д</x:v>
      </x:c>
      <x:c r="W734" s="20" t="str">
        <x:f>IF(J734="Рассчитано",T734*M734,"н/д")</x:f>
        <x:v>н/д</x:v>
      </x:c>
      <x:c r="X734" s="20" t="str">
        <x:f>IF(J734="Рассчитано",V734-W734,"н/д")</x:f>
        <x:v>н/д</x:v>
      </x:c>
      <x:c r="Y734" s="26" t="str">
        <x:f>IF(J734="Рассчитано",IF(V734&gt;0,G734/V734,"н/д"),"н/д")</x:f>
        <x:v>н/д</x:v>
      </x:c>
      <x:c r="Z734" s="20" t="str">
        <x:f>"н/д"</x:f>
        <x:v>н/д</x:v>
      </x:c>
      <x:c r="AA734" s="20" t="str">
        <x:f>"н/д"</x:f>
        <x:v>н/д</x:v>
      </x:c>
      <x:c r="AB734" s="20" t="str">
        <x:f>"н/д"</x:f>
        <x:v>н/д</x:v>
      </x:c>
      <x:c r="AC734" s="20" t="str">
        <x:f>IF(AND(J734="Рассчитано",T734&gt;0,R734&lt;100),(W734+P734+Q734)/(T734*(1-R734/100)),"н/д")</x:f>
        <x:v>н/д</x:v>
      </x:c>
      <x:c r="AD734" s="11" t="str">
        <x:f>IF(ISNUMBER(G734),IF(G734&lt;0,"Убыток",IF(G734=0,"Без прибыли","Прибыль &gt; 0")),"Не оценён")</x:f>
        <x:v>Не оценён</x:v>
      </x:c>
      <x:c r="AE734" s="12" t="str">
        <x:f>IF(J734="Рассчитано","Выручка "&amp;TEXT(V734,"0.00")&amp;" - себестоимость "&amp;TEXT(W734,"0.00")&amp;" - комиссия "&amp;TEXT(V734*R734/100,"0.00")&amp;" - доставка "&amp;TEXT(P734,"0.00")&amp;" - прочие "&amp;TEXT(Q734,"0.00")&amp;" = "&amp;TEXT(G734,"0.00")&amp;" "&amp;L734,"Введите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4" s="23" t="n">
        <x:v>6.157530027751353</x:v>
      </x:c>
      <x:c r="AG734" s="35" t="n">
        <x:v>13</x:v>
      </x:c>
      <x:c r="AH734" s="35" t="n">
        <x:v>0</x:v>
      </x:c>
      <x:c r="AI734" s="29" t="n">
        <x:v>46266</x:v>
      </x:c>
      <x:c r="AJ734" s="35" t="n">
        <x:v>1</x:v>
      </x:c>
      <x:c r="AK734" s="11" t="str">
        <x:v>минимум</x:v>
      </x:c>
      <x:c r="AL734" s="31" t="n">
        <x:v>179.5377830443803</x:v>
      </x:c>
      <x:c r="AM734" s="12" t="str">
        <x:v>Остаток на начало сентября; Резервы неизвестны; Нет ежедневных данных доступности. Запас выше прогноза на 90 дней</x:v>
      </x:c>
      <x:c r="AN734" s="12" t="str">
        <x:v>Проверить свободный остаток и установить цену для B2B</x:v>
      </x:c>
      <x:c r="AO734" s="12" t="str">
        <x:v>Остаток 13; прогноз 90 дней 6.16; избыток 6 шт. Будущие поступления не выставляются на продажу. Остаток на начало сентября: требуется актуализация.</x:v>
      </x:c>
      <x:c r="AP734" s="12" t="str">
        <x:v>["category_missing", "daily_stockout_data_missing", "large_orders_detected", "new_order_lead_time_unknown", "reservations_unknown", "stale_stock"]</x:v>
      </x:c>
      <x:c r="AQ734" s="11" t="str">
        <x:v>IEK:130600080_</x:v>
      </x:c>
      <x:c r="AR734" s="23" t="n">
        <x:v>1</x:v>
      </x:c>
      <x:c r="AS734" s="23" t="n">
        <x:v>0</x:v>
      </x:c>
      <x:c r="AT734" s="23" t="n">
        <x:v>0</x:v>
      </x:c>
    </x:row>
    <x:row r="735" ht="64" customHeight="1">
      <x:c r="A735" s="10" t="str">
        <x:v>IEK</x:v>
      </x:c>
      <x:c r="B735" s="34" t="str">
        <x:v>130600086_</x:v>
      </x:c>
      <x:c r="C735" s="34" t="str">
        <x:v>DRT10-D055-0008</x:v>
      </x:c>
      <x:c r="D735" s="13" t="str">
        <x:v>Тепловое реле РТИ-1312  (5,5-8А) IEK (1/100)</x:v>
      </x:c>
      <x:c r="E735" s="10" t="str">
        <x:v>шт</x:v>
      </x:c>
      <x:c r="F735" s="37" t="n">
        <x:f>MAX(0,ROUNDDOWN((AG735-AF735)/AR735+0.000000001,0)*AR735)</x:f>
        <x:v>18</x:v>
      </x:c>
      <x:c r="G735" s="21" t="str">
        <x:f>IF(J735="Рассчитано",V735*(1-R735/100)-W735-P735-Q735,"н/д")</x:f>
        <x:v>н/д</x:v>
      </x:c>
      <x:c r="H735" s="13" t="str">
        <x:v>Высокий</x:v>
      </x:c>
      <x:c r="I735" s="13" t="str">
        <x:v>Высокий</x:v>
      </x:c>
      <x:c r="J735" s="13" t="str">
        <x:f>IF(L735="","Укажите валюту",IF(NOT(ISNUMBER(K735)),"Укажите объём",IF(K735&lt;=0,"Укажите объём",IF(K735&gt;F735,"Объём выше излишка",IF(COUNT(M735:O735)&lt;3,"Нужны цены",IF(COUNT(P735:R735)&lt;3,"Нужны расходы",IF(OR(M735&lt;0,N735&lt;0,O735&lt;0,O735&gt;100,P735&lt;0,Q735&lt;0,R735&lt;0,R735&gt;100),"Проверьте значения","Рассчитано")))))))</x:f>
        <x:v>Нужны цены</x:v>
      </x:c>
      <x:c r="K735" s="36" t="n">
        <x:v>18</x:v>
      </x:c>
      <x:c r="L735" s="19" t="str">
        <x:v>KZT</x:v>
      </x:c>
      <x:c r="M735" s="22"/>
      <x:c r="N735" s="22"/>
      <x:c r="O735" s="28"/>
      <x:c r="P735" s="22"/>
      <x:c r="Q735" s="22"/>
      <x:c r="R735" s="28"/>
      <x:c r="S735" s="22"/>
      <x:c r="T735" s="37" t="n">
        <x:f>K735</x:f>
        <x:v>18</x:v>
      </x:c>
      <x:c r="U735" s="21" t="str">
        <x:f>IF(J735="Рассчитано",N735*(1-O735/100),"н/д")</x:f>
        <x:v>н/д</x:v>
      </x:c>
      <x:c r="V735" s="21" t="str">
        <x:f>IF(J735="Рассчитано",T735*U735,"н/д")</x:f>
        <x:v>н/д</x:v>
      </x:c>
      <x:c r="W735" s="21" t="str">
        <x:f>IF(J735="Рассчитано",T735*M735,"н/д")</x:f>
        <x:v>н/д</x:v>
      </x:c>
      <x:c r="X735" s="21" t="str">
        <x:f>IF(J735="Рассчитано",V735-W735,"н/д")</x:f>
        <x:v>н/д</x:v>
      </x:c>
      <x:c r="Y735" s="27" t="str">
        <x:f>IF(J735="Рассчитано",IF(V735&gt;0,G735/V735,"н/д"),"н/д")</x:f>
        <x:v>н/д</x:v>
      </x:c>
      <x:c r="Z735" s="21" t="str">
        <x:f>"н/д"</x:f>
        <x:v>н/д</x:v>
      </x:c>
      <x:c r="AA735" s="21" t="str">
        <x:f>"н/д"</x:f>
        <x:v>н/д</x:v>
      </x:c>
      <x:c r="AB735" s="21" t="str">
        <x:f>"н/д"</x:f>
        <x:v>н/д</x:v>
      </x:c>
      <x:c r="AC735" s="21" t="str">
        <x:f>IF(AND(J735="Рассчитано",T735&gt;0,R735&lt;100),(W735+P735+Q735)/(T735*(1-R735/100)),"н/д")</x:f>
        <x:v>н/д</x:v>
      </x:c>
      <x:c r="AD735" s="10" t="str">
        <x:f>IF(ISNUMBER(G735),IF(G735&lt;0,"Убыток",IF(G735=0,"Без прибыли","Прибыль &gt; 0")),"Не оценён")</x:f>
        <x:v>Не оценён</x:v>
      </x:c>
      <x:c r="AE735" s="13" t="str">
        <x:f>IF(J735="Рассчитано","Выручка "&amp;TEXT(V735,"0.00")&amp;" - себестоимость "&amp;TEXT(W735,"0.00")&amp;" - комиссия "&amp;TEXT(V735*R735/100,"0.00")&amp;" - доставка "&amp;TEXT(P735,"0.00")&amp;" - прочие "&amp;TEXT(Q735,"0.00")&amp;" = "&amp;TEXT(G735,"0.00")&amp;" "&amp;L735,"Введите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5" s="24" t="n">
        <x:v>10.007939712876299</x:v>
      </x:c>
      <x:c r="AG735" s="37" t="n">
        <x:v>29</x:v>
      </x:c>
      <x:c r="AH735" s="37" t="n">
        <x:v>0</x:v>
      </x:c>
      <x:c r="AI735" s="30" t="n">
        <x:v>46266</x:v>
      </x:c>
      <x:c r="AJ735" s="37" t="n">
        <x:v>1</x:v>
      </x:c>
      <x:c r="AK735" s="10" t="str">
        <x:v>минимум</x:v>
      </x:c>
      <x:c r="AL735" s="32" t="n">
        <x:v>246.41796210670563</x:v>
      </x:c>
      <x:c r="AM735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735" s="13" t="str">
        <x:v>Проверить свободный остаток и установить цену для B2B</x:v>
      </x:c>
      <x:c r="AO735" s="13" t="str">
        <x:v>Остаток 29; прогноз 90 дней 10.01; избыток 18 шт. Будущие поступления не выставляются на продажу. Остаток на начало сентября: требуется актуализация.</x:v>
      </x:c>
      <x:c r="AP735" s="13" t="str">
        <x:v>["category_missing", "daily_stockout_data_missing", "large_orders_detected", "new_order_lead_time_unknown", "reservations_unknown", "stale_stock", "transaction_month_mismatch"]</x:v>
      </x:c>
      <x:c r="AQ735" s="10" t="str">
        <x:v>IEK:130600086_</x:v>
      </x:c>
      <x:c r="AR735" s="24" t="n">
        <x:v>1</x:v>
      </x:c>
      <x:c r="AS735" s="24" t="n">
        <x:v>0</x:v>
      </x:c>
      <x:c r="AT735" s="24" t="n">
        <x:v>0</x:v>
      </x:c>
    </x:row>
    <x:row r="736" ht="64" customHeight="1">
      <x:c r="A736" s="11" t="str">
        <x:v>IEK</x:v>
      </x:c>
      <x:c r="B736" s="33" t="str">
        <x:v>130600098_</x:v>
      </x:c>
      <x:c r="C736" s="33" t="str">
        <x:v>RRP10D-RRM-3</x:v>
      </x:c>
      <x:c r="D736" s="12" t="str">
        <x:v>Разъем РРМ77/3(PTF11A) для РЭК77/3(LY3) модульный IEK</x:v>
      </x:c>
      <x:c r="E736" s="11" t="str">
        <x:v>шт</x:v>
      </x:c>
      <x:c r="F736" s="35" t="n">
        <x:f>MAX(0,ROUNDDOWN((AG736-AF736)/AR736+0.000000001,0)*AR736)</x:f>
        <x:v>10</x:v>
      </x:c>
      <x:c r="G736" s="20" t="str">
        <x:f>IF(J736="Рассчитано",V736*(1-R736/100)-W736-P736-Q736,"н/д")</x:f>
        <x:v>н/д</x:v>
      </x:c>
      <x:c r="H736" s="12" t="str">
        <x:v>Высокий</x:v>
      </x:c>
      <x:c r="I736" s="12" t="str">
        <x:v>Высокий</x:v>
      </x:c>
      <x:c r="J736" s="12" t="str">
        <x:f>IF(L736="","Укажите валюту",IF(NOT(ISNUMBER(K736)),"Укажите объём",IF(K736&lt;=0,"Укажите объём",IF(K736&gt;F736,"Объём выше излишка",IF(COUNT(M736:O736)&lt;3,"Нужны цены",IF(COUNT(P736:R736)&lt;3,"Нужны расходы",IF(OR(M736&lt;0,N736&lt;0,O736&lt;0,O736&gt;100,P736&lt;0,Q736&lt;0,R736&lt;0,R736&gt;100),"Проверьте значения","Рассчитано")))))))</x:f>
        <x:v>Нужны цены</x:v>
      </x:c>
      <x:c r="K736" s="36" t="n">
        <x:v>10</x:v>
      </x:c>
      <x:c r="L736" s="19" t="str">
        <x:v>KZT</x:v>
      </x:c>
      <x:c r="M736" s="22"/>
      <x:c r="N736" s="22"/>
      <x:c r="O736" s="28"/>
      <x:c r="P736" s="22"/>
      <x:c r="Q736" s="22"/>
      <x:c r="R736" s="28"/>
      <x:c r="S736" s="22"/>
      <x:c r="T736" s="35" t="n">
        <x:f>K736</x:f>
        <x:v>10</x:v>
      </x:c>
      <x:c r="U736" s="20" t="str">
        <x:f>IF(J736="Рассчитано",N736*(1-O736/100),"н/д")</x:f>
        <x:v>н/д</x:v>
      </x:c>
      <x:c r="V736" s="20" t="str">
        <x:f>IF(J736="Рассчитано",T736*U736,"н/д")</x:f>
        <x:v>н/д</x:v>
      </x:c>
      <x:c r="W736" s="20" t="str">
        <x:f>IF(J736="Рассчитано",T736*M736,"н/д")</x:f>
        <x:v>н/д</x:v>
      </x:c>
      <x:c r="X736" s="20" t="str">
        <x:f>IF(J736="Рассчитано",V736-W736,"н/д")</x:f>
        <x:v>н/д</x:v>
      </x:c>
      <x:c r="Y736" s="26" t="str">
        <x:f>IF(J736="Рассчитано",IF(V736&gt;0,G736/V736,"н/д"),"н/д")</x:f>
        <x:v>н/д</x:v>
      </x:c>
      <x:c r="Z736" s="20" t="str">
        <x:f>"н/д"</x:f>
        <x:v>н/д</x:v>
      </x:c>
      <x:c r="AA736" s="20" t="str">
        <x:f>"н/д"</x:f>
        <x:v>н/д</x:v>
      </x:c>
      <x:c r="AB736" s="20" t="str">
        <x:f>"н/д"</x:f>
        <x:v>н/д</x:v>
      </x:c>
      <x:c r="AC736" s="20" t="str">
        <x:f>IF(AND(J736="Рассчитано",T736&gt;0,R736&lt;100),(W736+P736+Q736)/(T736*(1-R736/100)),"н/д")</x:f>
        <x:v>н/д</x:v>
      </x:c>
      <x:c r="AD736" s="11" t="str">
        <x:f>IF(ISNUMBER(G736),IF(G736&lt;0,"Убыток",IF(G736=0,"Без прибыли","Прибыль &gt; 0")),"Не оценён")</x:f>
        <x:v>Не оценён</x:v>
      </x:c>
      <x:c r="AE736" s="12" t="str">
        <x:f>IF(J736="Рассчитано","Выручка "&amp;TEXT(V736,"0.00")&amp;" - себестоимость "&amp;TEXT(W736,"0.00")&amp;" - комиссия "&amp;TEXT(V736*R736/100,"0.00")&amp;" - доставка "&amp;TEXT(P736,"0.00")&amp;" - прочие "&amp;TEXT(Q736,"0.00")&amp;" = "&amp;TEXT(G736,"0.00")&amp;" "&amp;L736,"Введите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6" s="23" t="n">
        <x:v>6.82501065404191</x:v>
      </x:c>
      <x:c r="AG736" s="35" t="n">
        <x:v>17</x:v>
      </x:c>
      <x:c r="AH736" s="35" t="n">
        <x:v>0</x:v>
      </x:c>
      <x:c r="AI736" s="29" t="n">
        <x:v>46266</x:v>
      </x:c>
      <x:c r="AJ736" s="35" t="n">
        <x:v>10</x:v>
      </x:c>
      <x:c r="AK736" s="11" t="str">
        <x:v>минимум</x:v>
      </x:c>
      <x:c r="AL736" s="31" t="n">
        <x:v>211.81886273482107</x:v>
      </x:c>
      <x:c r="AM73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36" s="12" t="str">
        <x:v>Проверить свободный остаток и установить цену для B2B</x:v>
      </x:c>
      <x:c r="AO736" s="12" t="str">
        <x:v>Остаток 17; прогноз 90 дней 6.83; избыток 10 шт. Будущие поступления не выставляются на продажу. Остаток на начало сентября: требуется актуализация.</x:v>
      </x:c>
      <x:c r="AP736" s="12" t="str">
        <x:v>["category_missing", "daily_stockout_data_missing", "large_orders_detected", "new_order_lead_time_unknown", "reservations_unknown", "stale_stock"]</x:v>
      </x:c>
      <x:c r="AQ736" s="11" t="str">
        <x:v>IEK:130600098_</x:v>
      </x:c>
      <x:c r="AR736" s="23" t="n">
        <x:v>1</x:v>
      </x:c>
      <x:c r="AS736" s="23" t="n">
        <x:v>0</x:v>
      </x:c>
      <x:c r="AT736" s="23" t="n">
        <x:v>0</x:v>
      </x:c>
    </x:row>
    <x:row r="737" ht="64" customHeight="1">
      <x:c r="A737" s="10" t="str">
        <x:v>IEK</x:v>
      </x:c>
      <x:c r="B737" s="34" t="str">
        <x:v>130600136_</x:v>
      </x:c>
      <x:c r="C737" s="34" t="str">
        <x:v>ORF-03-220-460VAC</x:v>
      </x:c>
      <x:c r="D737" s="13" t="str">
        <x:v>Реле фаз ORF 03. 3ф 220-460V IEK (1/200)</x:v>
      </x:c>
      <x:c r="E737" s="10" t="str">
        <x:v>шт</x:v>
      </x:c>
      <x:c r="F737" s="37" t="n">
        <x:f>MAX(0,ROUNDDOWN((AG737-AF737)/AR737+0.000000001,0)*AR737)</x:f>
        <x:v>6</x:v>
      </x:c>
      <x:c r="G737" s="21" t="str">
        <x:f>IF(J737="Рассчитано",V737*(1-R737/100)-W737-P737-Q737,"н/д")</x:f>
        <x:v>н/д</x:v>
      </x:c>
      <x:c r="H737" s="13" t="str">
        <x:v>Высокий</x:v>
      </x:c>
      <x:c r="I737" s="13" t="str">
        <x:v>Высокий</x:v>
      </x:c>
      <x:c r="J737" s="13" t="str">
        <x:f>IF(L737="","Укажите валюту",IF(NOT(ISNUMBER(K737)),"Укажите объём",IF(K737&lt;=0,"Укажите объём",IF(K737&gt;F737,"Объём выше излишка",IF(COUNT(M737:O737)&lt;3,"Нужны цены",IF(COUNT(P737:R737)&lt;3,"Нужны расходы",IF(OR(M737&lt;0,N737&lt;0,O737&lt;0,O737&gt;100,P737&lt;0,Q737&lt;0,R737&lt;0,R737&gt;100),"Проверьте значения","Рассчитано")))))))</x:f>
        <x:v>Нужны цены</x:v>
      </x:c>
      <x:c r="K737" s="36" t="n">
        <x:v>6</x:v>
      </x:c>
      <x:c r="L737" s="19" t="str">
        <x:v>KZT</x:v>
      </x:c>
      <x:c r="M737" s="22"/>
      <x:c r="N737" s="22"/>
      <x:c r="O737" s="28"/>
      <x:c r="P737" s="22"/>
      <x:c r="Q737" s="22"/>
      <x:c r="R737" s="28"/>
      <x:c r="S737" s="22"/>
      <x:c r="T737" s="37" t="n">
        <x:f>K737</x:f>
        <x:v>6</x:v>
      </x:c>
      <x:c r="U737" s="21" t="str">
        <x:f>IF(J737="Рассчитано",N737*(1-O737/100),"н/д")</x:f>
        <x:v>н/д</x:v>
      </x:c>
      <x:c r="V737" s="21" t="str">
        <x:f>IF(J737="Рассчитано",T737*U737,"н/д")</x:f>
        <x:v>н/д</x:v>
      </x:c>
      <x:c r="W737" s="21" t="str">
        <x:f>IF(J737="Рассчитано",T737*M737,"н/д")</x:f>
        <x:v>н/д</x:v>
      </x:c>
      <x:c r="X737" s="21" t="str">
        <x:f>IF(J737="Рассчитано",V737-W737,"н/д")</x:f>
        <x:v>н/д</x:v>
      </x:c>
      <x:c r="Y737" s="27" t="str">
        <x:f>IF(J737="Рассчитано",IF(V737&gt;0,G737/V737,"н/д"),"н/д")</x:f>
        <x:v>н/д</x:v>
      </x:c>
      <x:c r="Z737" s="21" t="str">
        <x:f>"н/д"</x:f>
        <x:v>н/д</x:v>
      </x:c>
      <x:c r="AA737" s="21" t="str">
        <x:f>"н/д"</x:f>
        <x:v>н/д</x:v>
      </x:c>
      <x:c r="AB737" s="21" t="str">
        <x:f>"н/д"</x:f>
        <x:v>н/д</x:v>
      </x:c>
      <x:c r="AC737" s="21" t="str">
        <x:f>IF(AND(J737="Рассчитано",T737&gt;0,R737&lt;100),(W737+P737+Q737)/(T737*(1-R737/100)),"н/д")</x:f>
        <x:v>н/д</x:v>
      </x:c>
      <x:c r="AD737" s="10" t="str">
        <x:f>IF(ISNUMBER(G737),IF(G737&lt;0,"Убыток",IF(G737=0,"Без прибыли","Прибыль &gt; 0")),"Не оценён")</x:f>
        <x:v>Не оценён</x:v>
      </x:c>
      <x:c r="AE737" s="13" t="str">
        <x:f>IF(J737="Рассчитано","Выручка "&amp;TEXT(V737,"0.00")&amp;" - себестоимость "&amp;TEXT(W737,"0.00")&amp;" - комиссия "&amp;TEXT(V737*R737/100,"0.00")&amp;" - доставка "&amp;TEXT(P737,"0.00")&amp;" - прочие "&amp;TEXT(Q737,"0.00")&amp;" = "&amp;TEXT(G737,"0.00")&amp;" "&amp;L737,"Введите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7" s="24" t="n">
        <x:v>1.5025513241544435</x:v>
      </x:c>
      <x:c r="AG737" s="37" t="n">
        <x:v>8</x:v>
      </x:c>
      <x:c r="AH737" s="37" t="n">
        <x:v>0</x:v>
      </x:c>
      <x:c r="AI737" s="30" t="n">
        <x:v>46266</x:v>
      </x:c>
      <x:c r="AJ737" s="37" t="n">
        <x:v>1</x:v>
      </x:c>
      <x:c r="AK737" s="10" t="str">
        <x:v>минимум</x:v>
      </x:c>
      <x:c r="AL737" s="32" t="n">
        <x:v>452.77216054092355</x:v>
      </x:c>
      <x:c r="AM73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37" s="13" t="str">
        <x:v>Проверить свободный остаток и установить цену для B2B</x:v>
      </x:c>
      <x:c r="AO737" s="13" t="str">
        <x:v>Остаток 8; прогноз 90 дней 1.50; избыток 6 шт. Будущие поступления не выставляются на продажу. Остаток на начало сентября: требуется актуализация.</x:v>
      </x:c>
      <x:c r="AP737" s="13" t="str">
        <x:v>["category_missing", "daily_stockout_data_missing", "new_order_lead_time_unknown", "reservations_unknown", "stale_stock"]</x:v>
      </x:c>
      <x:c r="AQ737" s="10" t="str">
        <x:v>IEK:130600136_</x:v>
      </x:c>
      <x:c r="AR737" s="24" t="n">
        <x:v>1</x:v>
      </x:c>
      <x:c r="AS737" s="24" t="n">
        <x:v>0</x:v>
      </x:c>
      <x:c r="AT737" s="24" t="n">
        <x:v>0</x:v>
      </x:c>
    </x:row>
    <x:row r="738" ht="64" customHeight="1">
      <x:c r="A738" s="11" t="str">
        <x:v>IEK</x:v>
      </x:c>
      <x:c r="B738" s="33" t="str">
        <x:v>130600138_</x:v>
      </x:c>
      <x:c r="C738" s="33" t="str">
        <x:v>ORF-06-220-460VAC</x:v>
      </x:c>
      <x:c r="D738" s="12" t="str">
        <x:v>Реле фаз ORF 06. 3ф 220-460V IEK (1/200)</x:v>
      </x:c>
      <x:c r="E738" s="11" t="str">
        <x:v>шт</x:v>
      </x:c>
      <x:c r="F738" s="35" t="n">
        <x:f>MAX(0,ROUNDDOWN((AG738-AF738)/AR738+0.000000001,0)*AR738)</x:f>
        <x:v>12</x:v>
      </x:c>
      <x:c r="G738" s="20" t="str">
        <x:f>IF(J738="Рассчитано",V738*(1-R738/100)-W738-P738-Q738,"н/д")</x:f>
        <x:v>н/д</x:v>
      </x:c>
      <x:c r="H738" s="12" t="str">
        <x:v>Высокий</x:v>
      </x:c>
      <x:c r="I738" s="12" t="str">
        <x:v>Средний</x:v>
      </x:c>
      <x:c r="J738" s="12" t="str">
        <x:f>IF(L738="","Укажите валюту",IF(NOT(ISNUMBER(K738)),"Укажите объём",IF(K738&lt;=0,"Укажите объём",IF(K738&gt;F738,"Объём выше излишка",IF(COUNT(M738:O738)&lt;3,"Нужны цены",IF(COUNT(P738:R738)&lt;3,"Нужны расходы",IF(OR(M738&lt;0,N738&lt;0,O738&lt;0,O738&gt;100,P738&lt;0,Q738&lt;0,R738&lt;0,R738&gt;100),"Проверьте значения","Рассчитано")))))))</x:f>
        <x:v>Нужны цены</x:v>
      </x:c>
      <x:c r="K738" s="36" t="n">
        <x:v>12</x:v>
      </x:c>
      <x:c r="L738" s="19" t="str">
        <x:v>KZT</x:v>
      </x:c>
      <x:c r="M738" s="22"/>
      <x:c r="N738" s="22"/>
      <x:c r="O738" s="28"/>
      <x:c r="P738" s="22"/>
      <x:c r="Q738" s="22"/>
      <x:c r="R738" s="28"/>
      <x:c r="S738" s="22"/>
      <x:c r="T738" s="35" t="n">
        <x:f>K738</x:f>
        <x:v>12</x:v>
      </x:c>
      <x:c r="U738" s="20" t="str">
        <x:f>IF(J738="Рассчитано",N738*(1-O738/100),"н/д")</x:f>
        <x:v>н/д</x:v>
      </x:c>
      <x:c r="V738" s="20" t="str">
        <x:f>IF(J738="Рассчитано",T738*U738,"н/д")</x:f>
        <x:v>н/д</x:v>
      </x:c>
      <x:c r="W738" s="20" t="str">
        <x:f>IF(J738="Рассчитано",T738*M738,"н/д")</x:f>
        <x:v>н/д</x:v>
      </x:c>
      <x:c r="X738" s="20" t="str">
        <x:f>IF(J738="Рассчитано",V738-W738,"н/д")</x:f>
        <x:v>н/д</x:v>
      </x:c>
      <x:c r="Y738" s="26" t="str">
        <x:f>IF(J738="Рассчитано",IF(V738&gt;0,G738/V738,"н/д"),"н/д")</x:f>
        <x:v>н/д</x:v>
      </x:c>
      <x:c r="Z738" s="20" t="str">
        <x:f>"н/д"</x:f>
        <x:v>н/д</x:v>
      </x:c>
      <x:c r="AA738" s="20" t="str">
        <x:f>"н/д"</x:f>
        <x:v>н/д</x:v>
      </x:c>
      <x:c r="AB738" s="20" t="str">
        <x:f>"н/д"</x:f>
        <x:v>н/д</x:v>
      </x:c>
      <x:c r="AC738" s="20" t="str">
        <x:f>IF(AND(J738="Рассчитано",T738&gt;0,R738&lt;100),(W738+P738+Q738)/(T738*(1-R738/100)),"н/д")</x:f>
        <x:v>н/д</x:v>
      </x:c>
      <x:c r="AD738" s="11" t="str">
        <x:f>IF(ISNUMBER(G738),IF(G738&lt;0,"Убыток",IF(G738=0,"Без прибыли","Прибыль &gt; 0")),"Не оценён")</x:f>
        <x:v>Не оценён</x:v>
      </x:c>
      <x:c r="AE738" s="12" t="str">
        <x:f>IF(J738="Рассчитано","Выручка "&amp;TEXT(V738,"0.00")&amp;" - себестоимость "&amp;TEXT(W738,"0.00")&amp;" - комиссия "&amp;TEXT(V738*R738/100,"0.00")&amp;" - доставка "&amp;TEXT(P738,"0.00")&amp;" - прочие "&amp;TEXT(Q738,"0.00")&amp;" = "&amp;TEXT(G738,"0.00")&amp;" "&amp;L738,"Введите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8" s="23" t="n">
        <x:v>11.731454854200068</x:v>
      </x:c>
      <x:c r="AG738" s="35" t="n">
        <x:v>24</x:v>
      </x:c>
      <x:c r="AH738" s="35" t="n">
        <x:v>6</x:v>
      </x:c>
      <x:c r="AI738" s="29" t="n">
        <x:v>46266</x:v>
      </x:c>
      <x:c r="AJ738" s="35" t="n">
        <x:v>1</x:v>
      </x:c>
      <x:c r="AK738" s="11" t="str">
        <x:v>минимум</x:v>
      </x:c>
      <x:c r="AL738" s="31" t="n">
        <x:v>173.97162188732338</x:v>
      </x:c>
      <x:c r="AM738" s="12" t="str">
        <x:v>Остаток на начало сентября; Резервы неизвестны; Нет ежедневных данных доступности. Запас выше прогноза на 90 дней</x:v>
      </x:c>
      <x:c r="AN738" s="12" t="str">
        <x:v>Проверить свободный остаток и установить цену для B2B</x:v>
      </x:c>
      <x:c r="AO738" s="12" t="str">
        <x:v>Остаток 24; прогноз 90 дней 11.73; избыток 12 шт. Будущие поступления не выставляются на продажу. Остаток на начало сентября: требуется актуализация.</x:v>
      </x:c>
      <x:c r="AP738" s="12" t="str">
        <x:v>["category_missing", "daily_stockout_data_missing", "new_order_lead_time_unknown", "reservations_unknown", "stale_stock"]</x:v>
      </x:c>
      <x:c r="AQ738" s="11" t="str">
        <x:v>IEK:130600138_</x:v>
      </x:c>
      <x:c r="AR738" s="23" t="n">
        <x:v>1</x:v>
      </x:c>
      <x:c r="AS738" s="23" t="n">
        <x:v>0</x:v>
      </x:c>
      <x:c r="AT738" s="23" t="n">
        <x:v>0</x:v>
      </x:c>
    </x:row>
    <x:row r="739" ht="64" customHeight="1">
      <x:c r="A739" s="10" t="str">
        <x:v>IEK</x:v>
      </x:c>
      <x:c r="B739" s="34" t="str">
        <x:v>130600145_</x:v>
      </x:c>
      <x:c r="C739" s="34" t="str">
        <x:v>YCE-TNC-00-60</x:v>
      </x:c>
      <x:c r="D739" s="13" t="str">
        <x:v>Термостат от 0 до 60 °C NC IEK (200) NEW</x:v>
      </x:c>
      <x:c r="E739" s="10" t="str">
        <x:v>шт</x:v>
      </x:c>
      <x:c r="F739" s="37" t="n">
        <x:f>MAX(0,ROUNDDOWN((AG739-AF739)/AR739+0.000000001,0)*AR739)</x:f>
        <x:v>96</x:v>
      </x:c>
      <x:c r="G739" s="21" t="str">
        <x:f>IF(J739="Рассчитано",V739*(1-R739/100)-W739-P739-Q739,"н/д")</x:f>
        <x:v>н/д</x:v>
      </x:c>
      <x:c r="H739" s="13" t="str">
        <x:v>Высокий</x:v>
      </x:c>
      <x:c r="I739" s="13" t="str">
        <x:v>Высокий</x:v>
      </x:c>
      <x:c r="J739" s="13" t="str">
        <x:f>IF(L739="","Укажите валюту",IF(NOT(ISNUMBER(K739)),"Укажите объём",IF(K739&lt;=0,"Укажите объём",IF(K739&gt;F739,"Объём выше излишка",IF(COUNT(M739:O739)&lt;3,"Нужны цены",IF(COUNT(P739:R739)&lt;3,"Нужны расходы",IF(OR(M739&lt;0,N739&lt;0,O739&lt;0,O739&gt;100,P739&lt;0,Q739&lt;0,R739&lt;0,R739&gt;100),"Проверьте значения","Рассчитано")))))))</x:f>
        <x:v>Нужны цены</x:v>
      </x:c>
      <x:c r="K739" s="36" t="n">
        <x:v>96</x:v>
      </x:c>
      <x:c r="L739" s="19" t="str">
        <x:v>KZT</x:v>
      </x:c>
      <x:c r="M739" s="22"/>
      <x:c r="N739" s="22"/>
      <x:c r="O739" s="28"/>
      <x:c r="P739" s="22"/>
      <x:c r="Q739" s="22"/>
      <x:c r="R739" s="28"/>
      <x:c r="S739" s="22"/>
      <x:c r="T739" s="37" t="n">
        <x:f>K739</x:f>
        <x:v>96</x:v>
      </x:c>
      <x:c r="U739" s="21" t="str">
        <x:f>IF(J739="Рассчитано",N739*(1-O739/100),"н/д")</x:f>
        <x:v>н/д</x:v>
      </x:c>
      <x:c r="V739" s="21" t="str">
        <x:f>IF(J739="Рассчитано",T739*U739,"н/д")</x:f>
        <x:v>н/д</x:v>
      </x:c>
      <x:c r="W739" s="21" t="str">
        <x:f>IF(J739="Рассчитано",T739*M739,"н/д")</x:f>
        <x:v>н/д</x:v>
      </x:c>
      <x:c r="X739" s="21" t="str">
        <x:f>IF(J739="Рассчитано",V739-W739,"н/д")</x:f>
        <x:v>н/д</x:v>
      </x:c>
      <x:c r="Y739" s="27" t="str">
        <x:f>IF(J739="Рассчитано",IF(V739&gt;0,G739/V739,"н/д"),"н/д")</x:f>
        <x:v>н/д</x:v>
      </x:c>
      <x:c r="Z739" s="21" t="str">
        <x:f>"н/д"</x:f>
        <x:v>н/д</x:v>
      </x:c>
      <x:c r="AA739" s="21" t="str">
        <x:f>"н/д"</x:f>
        <x:v>н/д</x:v>
      </x:c>
      <x:c r="AB739" s="21" t="str">
        <x:f>"н/д"</x:f>
        <x:v>н/д</x:v>
      </x:c>
      <x:c r="AC739" s="21" t="str">
        <x:f>IF(AND(J739="Рассчитано",T739&gt;0,R739&lt;100),(W739+P739+Q739)/(T739*(1-R739/100)),"н/д")</x:f>
        <x:v>н/д</x:v>
      </x:c>
      <x:c r="AD739" s="10" t="str">
        <x:f>IF(ISNUMBER(G739),IF(G739&lt;0,"Убыток",IF(G739=0,"Без прибыли","Прибыль &gt; 0")),"Не оценён")</x:f>
        <x:v>Не оценён</x:v>
      </x:c>
      <x:c r="AE739" s="13" t="str">
        <x:f>IF(J739="Рассчитано","Выручка "&amp;TEXT(V739,"0.00")&amp;" - себестоимость "&amp;TEXT(W739,"0.00")&amp;" - комиссия "&amp;TEXT(V739*R739/100,"0.00")&amp;" - доставка "&amp;TEXT(P739,"0.00")&amp;" - прочие "&amp;TEXT(Q739,"0.00")&amp;" = "&amp;TEXT(G739,"0.00")&amp;" "&amp;L739,"Введите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9" s="24" t="n">
        <x:v>20.745165564670383</x:v>
      </x:c>
      <x:c r="AG739" s="37" t="n">
        <x:v>117</x:v>
      </x:c>
      <x:c r="AH739" s="37" t="n">
        <x:v>0</x:v>
      </x:c>
      <x:c r="AI739" s="30" t="n">
        <x:v>46266</x:v>
      </x:c>
      <x:c r="AJ739" s="37" t="n">
        <x:v>10</x:v>
      </x:c>
      <x:c r="AK739" s="10" t="str">
        <x:v>минимум</x:v>
      </x:c>
      <x:c r="AL739" s="32" t="n">
        <x:v>479.60974719090893</x:v>
      </x:c>
      <x:c r="AM739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739" s="13" t="str">
        <x:v>Проверить свободный остаток и установить цену для B2B</x:v>
      </x:c>
      <x:c r="AO739" s="13" t="str">
        <x:v>Остаток 117; прогноз 90 дней 20.75; избыток 96 шт. Будущие поступления не выставляются на продажу. Остаток на начало сентября: требуется актуализация.</x:v>
      </x:c>
      <x:c r="AP739" s="13" t="str">
        <x:v>["category_missing", "daily_stockout_data_missing", "large_orders_detected", "new_order_lead_time_unknown", "reservations_unknown", "stale_stock", "transaction_month_mismatch"]</x:v>
      </x:c>
      <x:c r="AQ739" s="10" t="str">
        <x:v>IEK:130600145_</x:v>
      </x:c>
      <x:c r="AR739" s="24" t="n">
        <x:v>1</x:v>
      </x:c>
      <x:c r="AS739" s="24" t="n">
        <x:v>0</x:v>
      </x:c>
      <x:c r="AT739" s="24" t="n">
        <x:v>0</x:v>
      </x:c>
    </x:row>
    <x:row r="740" ht="64" customHeight="1">
      <x:c r="A740" s="11" t="str">
        <x:v>IEK</x:v>
      </x:c>
      <x:c r="B740" s="33" t="str">
        <x:v>130600204_</x:v>
      </x:c>
      <x:c r="C740" s="33"/>
      <x:c r="D740" s="12" t="str">
        <x:v>Розетка ORS-G-1-2 для реле OGR-1 2C ONI ORS-G-1-2-G NEW</x:v>
      </x:c>
      <x:c r="E740" s="11" t="str">
        <x:v>шт</x:v>
      </x:c>
      <x:c r="F740" s="35" t="n">
        <x:f>MAX(0,ROUNDDOWN((AG740-AF740)/AR740+0.000000001,0)*AR740)</x:f>
        <x:v>8</x:v>
      </x:c>
      <x:c r="G740" s="20" t="str">
        <x:f>IF(J740="Рассчитано",V740*(1-R740/100)-W740-P740-Q740,"н/д")</x:f>
        <x:v>н/д</x:v>
      </x:c>
      <x:c r="H740" s="12" t="str">
        <x:v>Высокий</x:v>
      </x:c>
      <x:c r="I740" s="12" t="str">
        <x:v>Средний</x:v>
      </x:c>
      <x:c r="J740" s="12" t="str">
        <x:f>IF(L740="","Укажите валюту",IF(NOT(ISNUMBER(K740)),"Укажите объём",IF(K740&lt;=0,"Укажите объём",IF(K740&gt;F740,"Объём выше излишка",IF(COUNT(M740:O740)&lt;3,"Нужны цены",IF(COUNT(P740:R740)&lt;3,"Нужны расходы",IF(OR(M740&lt;0,N740&lt;0,O740&lt;0,O740&gt;100,P740&lt;0,Q740&lt;0,R740&lt;0,R740&gt;100),"Проверьте значения","Рассчитано")))))))</x:f>
        <x:v>Нужны цены</x:v>
      </x:c>
      <x:c r="K740" s="36" t="n">
        <x:v>8</x:v>
      </x:c>
      <x:c r="L740" s="19" t="str">
        <x:v>KZT</x:v>
      </x:c>
      <x:c r="M740" s="22"/>
      <x:c r="N740" s="22"/>
      <x:c r="O740" s="28"/>
      <x:c r="P740" s="22"/>
      <x:c r="Q740" s="22"/>
      <x:c r="R740" s="28"/>
      <x:c r="S740" s="22"/>
      <x:c r="T740" s="35" t="n">
        <x:f>K740</x:f>
        <x:v>8</x:v>
      </x:c>
      <x:c r="U740" s="20" t="str">
        <x:f>IF(J740="Рассчитано",N740*(1-O740/100),"н/д")</x:f>
        <x:v>н/д</x:v>
      </x:c>
      <x:c r="V740" s="20" t="str">
        <x:f>IF(J740="Рассчитано",T740*U740,"н/д")</x:f>
        <x:v>н/д</x:v>
      </x:c>
      <x:c r="W740" s="20" t="str">
        <x:f>IF(J740="Рассчитано",T740*M740,"н/д")</x:f>
        <x:v>н/д</x:v>
      </x:c>
      <x:c r="X740" s="20" t="str">
        <x:f>IF(J740="Рассчитано",V740-W740,"н/д")</x:f>
        <x:v>н/д</x:v>
      </x:c>
      <x:c r="Y740" s="26" t="str">
        <x:f>IF(J740="Рассчитано",IF(V740&gt;0,G740/V740,"н/д"),"н/д")</x:f>
        <x:v>н/д</x:v>
      </x:c>
      <x:c r="Z740" s="20" t="str">
        <x:f>"н/д"</x:f>
        <x:v>н/д</x:v>
      </x:c>
      <x:c r="AA740" s="20" t="str">
        <x:f>"н/д"</x:f>
        <x:v>н/д</x:v>
      </x:c>
      <x:c r="AB740" s="20" t="str">
        <x:f>"н/д"</x:f>
        <x:v>н/д</x:v>
      </x:c>
      <x:c r="AC740" s="20" t="str">
        <x:f>IF(AND(J740="Рассчитано",T740&gt;0,R740&lt;100),(W740+P740+Q740)/(T740*(1-R740/100)),"н/д")</x:f>
        <x:v>н/д</x:v>
      </x:c>
      <x:c r="AD740" s="11" t="str">
        <x:f>IF(ISNUMBER(G740),IF(G740&lt;0,"Убыток",IF(G740=0,"Без прибыли","Прибыль &gt; 0")),"Не оценён")</x:f>
        <x:v>Не оценён</x:v>
      </x:c>
      <x:c r="AE740" s="12" t="str">
        <x:f>IF(J740="Рассчитано","Выручка "&amp;TEXT(V740,"0.00")&amp;" - себестоимость "&amp;TEXT(W740,"0.00")&amp;" - комиссия "&amp;TEXT(V740*R740/100,"0.00")&amp;" - доставка "&amp;TEXT(P740,"0.00")&amp;" - прочие "&amp;TEXT(Q740,"0.00")&amp;" = "&amp;TEXT(G740,"0.00")&amp;" "&amp;L740,"Введите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0" s="23" t="n">
        <x:v>9.946775256949907</x:v>
      </x:c>
      <x:c r="AG740" s="35" t="n">
        <x:v>18</x:v>
      </x:c>
      <x:c r="AH740" s="35" t="n">
        <x:v>0</x:v>
      </x:c>
      <x:c r="AI740" s="29" t="n">
        <x:v>46266</x:v>
      </x:c>
      <x:c r="AJ740" s="35"/>
      <x:c r="AK740" s="11" t="str">
        <x:v>неизвестно</x:v>
      </x:c>
      <x:c r="AL740" s="31" t="n">
        <x:v>153.88959049746347</x:v>
      </x:c>
      <x:c r="AM740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Запас выше прогноза на 90 дней</x:v>
      </x:c>
      <x:c r="AN740" s="12" t="str">
        <x:v>Проверить свободный остаток и установить цену для B2B</x:v>
      </x:c>
      <x:c r="AO740" s="12" t="str">
        <x:v>Остаток 18; прогноз 90 дней 9.95; избыток 8 шт. Будущие поступления не выставляются на продажу. Остаток на начало сентября: требуется актуализация.</x:v>
      </x:c>
      <x:c r="AP740" s="12" t="str">
        <x:v>["category_missing", "daily_stockout_data_missing", "moq_missing", "new_order_lead_time_unknown", "reservations_unknown", "stale_stock", "stockout_proxy_used", "supplier_sku_missing"]</x:v>
      </x:c>
      <x:c r="AQ740" s="11" t="str">
        <x:v>IEK:130600204_</x:v>
      </x:c>
      <x:c r="AR740" s="23" t="n">
        <x:v>1</x:v>
      </x:c>
      <x:c r="AS740" s="23" t="n">
        <x:v>0</x:v>
      </x:c>
      <x:c r="AT740" s="23" t="n">
        <x:v>0</x:v>
      </x:c>
    </x:row>
    <x:row r="741" ht="64" customHeight="1">
      <x:c r="A741" s="10" t="str">
        <x:v>IEK</x:v>
      </x:c>
      <x:c r="B741" s="34" t="str">
        <x:v>130600206_</x:v>
      </x:c>
      <x:c r="C741" s="34"/>
      <x:c r="D741" s="13" t="str">
        <x:v>Розетка ORS-M для реле ORM 2C ONI ORS-M-1-2-G NEW</x:v>
      </x:c>
      <x:c r="E741" s="10" t="str">
        <x:v>шт</x:v>
      </x:c>
      <x:c r="F741" s="37" t="n">
        <x:f>MAX(0,ROUNDDOWN((AG741-AF741)/AR741+0.000000001,0)*AR741)</x:f>
        <x:v>3</x:v>
      </x:c>
      <x:c r="G741" s="21" t="str">
        <x:f>IF(J741="Рассчитано",V741*(1-R741/100)-W741-P741-Q741,"н/д")</x:f>
        <x:v>н/д</x:v>
      </x:c>
      <x:c r="H741" s="13" t="str">
        <x:v>Высокий</x:v>
      </x:c>
      <x:c r="I741" s="13" t="str">
        <x:v>Высокий</x:v>
      </x:c>
      <x:c r="J741" s="13" t="str">
        <x:f>IF(L741="","Укажите валюту",IF(NOT(ISNUMBER(K741)),"Укажите объём",IF(K741&lt;=0,"Укажите объём",IF(K741&gt;F741,"Объём выше излишка",IF(COUNT(M741:O741)&lt;3,"Нужны цены",IF(COUNT(P741:R741)&lt;3,"Нужны расходы",IF(OR(M741&lt;0,N741&lt;0,O741&lt;0,O741&gt;100,P741&lt;0,Q741&lt;0,R741&lt;0,R741&gt;100),"Проверьте значения","Рассчитано")))))))</x:f>
        <x:v>Нужны цены</x:v>
      </x:c>
      <x:c r="K741" s="36" t="n">
        <x:v>3</x:v>
      </x:c>
      <x:c r="L741" s="19" t="str">
        <x:v>KZT</x:v>
      </x:c>
      <x:c r="M741" s="22"/>
      <x:c r="N741" s="22"/>
      <x:c r="O741" s="28"/>
      <x:c r="P741" s="22"/>
      <x:c r="Q741" s="22"/>
      <x:c r="R741" s="28"/>
      <x:c r="S741" s="22"/>
      <x:c r="T741" s="37" t="n">
        <x:f>K741</x:f>
        <x:v>3</x:v>
      </x:c>
      <x:c r="U741" s="21" t="str">
        <x:f>IF(J741="Рассчитано",N741*(1-O741/100),"н/д")</x:f>
        <x:v>н/д</x:v>
      </x:c>
      <x:c r="V741" s="21" t="str">
        <x:f>IF(J741="Рассчитано",T741*U741,"н/д")</x:f>
        <x:v>н/д</x:v>
      </x:c>
      <x:c r="W741" s="21" t="str">
        <x:f>IF(J741="Рассчитано",T741*M741,"н/д")</x:f>
        <x:v>н/д</x:v>
      </x:c>
      <x:c r="X741" s="21" t="str">
        <x:f>IF(J741="Рассчитано",V741-W741,"н/д")</x:f>
        <x:v>н/д</x:v>
      </x:c>
      <x:c r="Y741" s="27" t="str">
        <x:f>IF(J741="Рассчитано",IF(V741&gt;0,G741/V741,"н/д"),"н/д")</x:f>
        <x:v>н/д</x:v>
      </x:c>
      <x:c r="Z741" s="21" t="str">
        <x:f>"н/д"</x:f>
        <x:v>н/д</x:v>
      </x:c>
      <x:c r="AA741" s="21" t="str">
        <x:f>"н/д"</x:f>
        <x:v>н/д</x:v>
      </x:c>
      <x:c r="AB741" s="21" t="str">
        <x:f>"н/д"</x:f>
        <x:v>н/д</x:v>
      </x:c>
      <x:c r="AC741" s="21" t="str">
        <x:f>IF(AND(J741="Рассчитано",T741&gt;0,R741&lt;100),(W741+P741+Q741)/(T741*(1-R741/100)),"н/д")</x:f>
        <x:v>н/д</x:v>
      </x:c>
      <x:c r="AD741" s="10" t="str">
        <x:f>IF(ISNUMBER(G741),IF(G741&lt;0,"Убыток",IF(G741=0,"Без прибыли","Прибыль &gt; 0")),"Не оценён")</x:f>
        <x:v>Не оценён</x:v>
      </x:c>
      <x:c r="AE741" s="13" t="str">
        <x:f>IF(J741="Рассчитано","Выручка "&amp;TEXT(V741,"0.00")&amp;" - себестоимость "&amp;TEXT(W741,"0.00")&amp;" - комиссия "&amp;TEXT(V741*R741/100,"0.00")&amp;" - доставка "&amp;TEXT(P741,"0.00")&amp;" - прочие "&amp;TEXT(Q741,"0.00")&amp;" = "&amp;TEXT(G741,"0.00")&amp;" "&amp;L741,"Введите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1" s="24" t="n">
        <x:v>1.8011622360411061</x:v>
      </x:c>
      <x:c r="AG741" s="37" t="n">
        <x:v>5</x:v>
      </x:c>
      <x:c r="AH741" s="37" t="n">
        <x:v>0</x:v>
      </x:c>
      <x:c r="AI741" s="30" t="n">
        <x:v>46266</x:v>
      </x:c>
      <x:c r="AJ741" s="37"/>
      <x:c r="AK741" s="10" t="str">
        <x:v>неизвестно</x:v>
      </x:c>
      <x:c r="AL741" s="32" t="n">
        <x:v>236.0675081580727</x:v>
      </x:c>
      <x:c r="AM741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741" s="13" t="str">
        <x:v>Проверить свободный остаток и установить цену для B2B</x:v>
      </x:c>
      <x:c r="AO741" s="13" t="str">
        <x:v>Остаток 5; прогноз 90 дней 1.80; избыток 3 шт. Будущие поступления не выставляются на продажу. Остаток на начало сентября: требуется актуализация.</x:v>
      </x:c>
      <x:c r="AP741" s="13" t="str">
        <x:v>["category_missing", "daily_stockout_data_missing", "moq_missing", "new_order_lead_time_unknown", "reservations_unknown", "stale_stock", "supplier_sku_missing"]</x:v>
      </x:c>
      <x:c r="AQ741" s="10" t="str">
        <x:v>IEK:130600206_</x:v>
      </x:c>
      <x:c r="AR741" s="24" t="n">
        <x:v>1</x:v>
      </x:c>
      <x:c r="AS741" s="24" t="n">
        <x:v>0</x:v>
      </x:c>
      <x:c r="AT741" s="24" t="n">
        <x:v>0</x:v>
      </x:c>
    </x:row>
    <x:row r="742" ht="64" customHeight="1">
      <x:c r="A742" s="11" t="str">
        <x:v>IEK</x:v>
      </x:c>
      <x:c r="B742" s="33" t="str">
        <x:v>130600209_</x:v>
      </x:c>
      <x:c r="C742" s="33" t="str">
        <x:v>ORM-1-4C-DC24V-L-B</x:v>
      </x:c>
      <x:c r="D742" s="12" t="str">
        <x:v>Реле интерфейсное ORM-1 4C 24В DC с LED и тест. кнопкой ONI ORM-1-4C-DC24V-L-B NEW</x:v>
      </x:c>
      <x:c r="E742" s="11" t="str">
        <x:v>шт</x:v>
      </x:c>
      <x:c r="F742" s="35" t="n">
        <x:f>MAX(0,ROUNDDOWN((AG742-AF742)/AR742+0.000000001,0)*AR742)</x:f>
        <x:v>14</x:v>
      </x:c>
      <x:c r="G742" s="20" t="str">
        <x:f>IF(J742="Рассчитано",V742*(1-R742/100)-W742-P742-Q742,"н/д")</x:f>
        <x:v>н/д</x:v>
      </x:c>
      <x:c r="H742" s="12" t="str">
        <x:v>Высокий</x:v>
      </x:c>
      <x:c r="I742" s="12" t="str">
        <x:v>Высокий</x:v>
      </x:c>
      <x:c r="J742" s="12" t="str">
        <x:f>IF(L742="","Укажите валюту",IF(NOT(ISNUMBER(K742)),"Укажите объём",IF(K742&lt;=0,"Укажите объём",IF(K742&gt;F742,"Объём выше излишка",IF(COUNT(M742:O742)&lt;3,"Нужны цены",IF(COUNT(P742:R742)&lt;3,"Нужны расходы",IF(OR(M742&lt;0,N742&lt;0,O742&lt;0,O742&gt;100,P742&lt;0,Q742&lt;0,R742&lt;0,R742&gt;100),"Проверьте значения","Рассчитано")))))))</x:f>
        <x:v>Нужны цены</x:v>
      </x:c>
      <x:c r="K742" s="36" t="n">
        <x:v>14</x:v>
      </x:c>
      <x:c r="L742" s="19" t="str">
        <x:v>KZT</x:v>
      </x:c>
      <x:c r="M742" s="22"/>
      <x:c r="N742" s="22"/>
      <x:c r="O742" s="28"/>
      <x:c r="P742" s="22"/>
      <x:c r="Q742" s="22"/>
      <x:c r="R742" s="28"/>
      <x:c r="S742" s="22"/>
      <x:c r="T742" s="35" t="n">
        <x:f>K742</x:f>
        <x:v>14</x:v>
      </x:c>
      <x:c r="U742" s="20" t="str">
        <x:f>IF(J742="Рассчитано",N742*(1-O742/100),"н/д")</x:f>
        <x:v>н/д</x:v>
      </x:c>
      <x:c r="V742" s="20" t="str">
        <x:f>IF(J742="Рассчитано",T742*U742,"н/д")</x:f>
        <x:v>н/д</x:v>
      </x:c>
      <x:c r="W742" s="20" t="str">
        <x:f>IF(J742="Рассчитано",T742*M742,"н/д")</x:f>
        <x:v>н/д</x:v>
      </x:c>
      <x:c r="X742" s="20" t="str">
        <x:f>IF(J742="Рассчитано",V742-W742,"н/д")</x:f>
        <x:v>н/д</x:v>
      </x:c>
      <x:c r="Y742" s="26" t="str">
        <x:f>IF(J742="Рассчитано",IF(V742&gt;0,G742/V742,"н/д"),"н/д")</x:f>
        <x:v>н/д</x:v>
      </x:c>
      <x:c r="Z742" s="20" t="str">
        <x:f>"н/д"</x:f>
        <x:v>н/д</x:v>
      </x:c>
      <x:c r="AA742" s="20" t="str">
        <x:f>"н/д"</x:f>
        <x:v>н/д</x:v>
      </x:c>
      <x:c r="AB742" s="20" t="str">
        <x:f>"н/д"</x:f>
        <x:v>н/д</x:v>
      </x:c>
      <x:c r="AC742" s="20" t="str">
        <x:f>IF(AND(J742="Рассчитано",T742&gt;0,R742&lt;100),(W742+P742+Q742)/(T742*(1-R742/100)),"н/д")</x:f>
        <x:v>н/д</x:v>
      </x:c>
      <x:c r="AD742" s="11" t="str">
        <x:f>IF(ISNUMBER(G742),IF(G742&lt;0,"Убыток",IF(G742=0,"Без прибыли","Прибыль &gt; 0")),"Не оценён")</x:f>
        <x:v>Не оценён</x:v>
      </x:c>
      <x:c r="AE742" s="12" t="str">
        <x:f>IF(J742="Рассчитано","Выручка "&amp;TEXT(V742,"0.00")&amp;" - себестоимость "&amp;TEXT(W742,"0.00")&amp;" - комиссия "&amp;TEXT(V742*R742/100,"0.00")&amp;" - доставка "&amp;TEXT(P742,"0.00")&amp;" - прочие "&amp;TEXT(Q742,"0.00")&amp;" = "&amp;TEXT(G742,"0.00")&amp;" "&amp;L742,"Введите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2" s="23" t="n">
        <x:v>0</x:v>
      </x:c>
      <x:c r="AG742" s="35" t="n">
        <x:v>14</x:v>
      </x:c>
      <x:c r="AH742" s="35" t="n">
        <x:v>0</x:v>
      </x:c>
      <x:c r="AI742" s="29" t="n">
        <x:v>46266</x:v>
      </x:c>
      <x:c r="AJ742" s="35" t="n">
        <x:v>20</x:v>
      </x:c>
      <x:c r="AK742" s="11" t="str">
        <x:v>минимум</x:v>
      </x:c>
      <x:c r="AL742" s="31" t="str">
        <x:v>н/д</x:v>
      </x:c>
      <x:c r="AM74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42" s="12" t="str">
        <x:v>Проверить свободный остаток и установить цену для B2B</x:v>
      </x:c>
      <x:c r="AO742" s="12" t="str">
        <x:v>Остаток 14; прогноз 90 дней 0.00; избыток 14 шт. Будущие поступления не выставляются на продажу. Остаток на начало сентября: требуется актуализация.</x:v>
      </x:c>
      <x:c r="AP742" s="12" t="str">
        <x:v>["category_missing", "daily_stockout_data_missing", "new_order_lead_time_unknown", "reservations_unknown", "stale_stock"]</x:v>
      </x:c>
      <x:c r="AQ742" s="11" t="str">
        <x:v>IEK:130600209_</x:v>
      </x:c>
      <x:c r="AR742" s="23" t="n">
        <x:v>1</x:v>
      </x:c>
      <x:c r="AS742" s="23" t="n">
        <x:v>0</x:v>
      </x:c>
      <x:c r="AT742" s="23" t="n">
        <x:v>0</x:v>
      </x:c>
    </x:row>
    <x:row r="743" ht="64" customHeight="1">
      <x:c r="A743" s="10" t="str">
        <x:v>IEK</x:v>
      </x:c>
      <x:c r="B743" s="34" t="str">
        <x:v>130600211_</x:v>
      </x:c>
      <x:c r="C743" s="34" t="str">
        <x:v>ORM-1-2C-AC220V-L-B</x:v>
      </x:c>
      <x:c r="D743" s="13" t="str">
        <x:v>Реле интерфейсное ORM-1 2C 220В AC с LED и тест. кнопкой ONI ORM-1-2C-AC220V-L-B NEW</x:v>
      </x:c>
      <x:c r="E743" s="10" t="str">
        <x:v>шт</x:v>
      </x:c>
      <x:c r="F743" s="37" t="n">
        <x:f>MAX(0,ROUNDDOWN((AG743-AF743)/AR743+0.000000001,0)*AR743)</x:f>
        <x:v>1</x:v>
      </x:c>
      <x:c r="G743" s="21" t="str">
        <x:f>IF(J743="Рассчитано",V743*(1-R743/100)-W743-P743-Q743,"н/д")</x:f>
        <x:v>н/д</x:v>
      </x:c>
      <x:c r="H743" s="13" t="str">
        <x:v>Высокий</x:v>
      </x:c>
      <x:c r="I743" s="13" t="str">
        <x:v>Средний</x:v>
      </x:c>
      <x:c r="J743" s="13" t="str">
        <x:f>IF(L743="","Укажите валюту",IF(NOT(ISNUMBER(K743)),"Укажите объём",IF(K743&lt;=0,"Укажите объём",IF(K743&gt;F743,"Объём выше излишка",IF(COUNT(M743:O743)&lt;3,"Нужны цены",IF(COUNT(P743:R743)&lt;3,"Нужны расходы",IF(OR(M743&lt;0,N743&lt;0,O743&lt;0,O743&gt;100,P743&lt;0,Q743&lt;0,R743&lt;0,R743&gt;100),"Проверьте значения","Рассчитано")))))))</x:f>
        <x:v>Нужны цены</x:v>
      </x:c>
      <x:c r="K743" s="36" t="n">
        <x:v>1</x:v>
      </x:c>
      <x:c r="L743" s="19" t="str">
        <x:v>KZT</x:v>
      </x:c>
      <x:c r="M743" s="22"/>
      <x:c r="N743" s="22"/>
      <x:c r="O743" s="28"/>
      <x:c r="P743" s="22"/>
      <x:c r="Q743" s="22"/>
      <x:c r="R743" s="28"/>
      <x:c r="S743" s="22"/>
      <x:c r="T743" s="37" t="n">
        <x:f>K743</x:f>
        <x:v>1</x:v>
      </x:c>
      <x:c r="U743" s="21" t="str">
        <x:f>IF(J743="Рассчитано",N743*(1-O743/100),"н/д")</x:f>
        <x:v>н/д</x:v>
      </x:c>
      <x:c r="V743" s="21" t="str">
        <x:f>IF(J743="Рассчитано",T743*U743,"н/д")</x:f>
        <x:v>н/д</x:v>
      </x:c>
      <x:c r="W743" s="21" t="str">
        <x:f>IF(J743="Рассчитано",T743*M743,"н/д")</x:f>
        <x:v>н/д</x:v>
      </x:c>
      <x:c r="X743" s="21" t="str">
        <x:f>IF(J743="Рассчитано",V743-W743,"н/д")</x:f>
        <x:v>н/д</x:v>
      </x:c>
      <x:c r="Y743" s="27" t="str">
        <x:f>IF(J743="Рассчитано",IF(V743&gt;0,G743/V743,"н/д"),"н/д")</x:f>
        <x:v>н/д</x:v>
      </x:c>
      <x:c r="Z743" s="21" t="str">
        <x:f>"н/д"</x:f>
        <x:v>н/д</x:v>
      </x:c>
      <x:c r="AA743" s="21" t="str">
        <x:f>"н/д"</x:f>
        <x:v>н/д</x:v>
      </x:c>
      <x:c r="AB743" s="21" t="str">
        <x:f>"н/д"</x:f>
        <x:v>н/д</x:v>
      </x:c>
      <x:c r="AC743" s="21" t="str">
        <x:f>IF(AND(J743="Рассчитано",T743&gt;0,R743&lt;100),(W743+P743+Q743)/(T743*(1-R743/100)),"н/д")</x:f>
        <x:v>н/д</x:v>
      </x:c>
      <x:c r="AD743" s="10" t="str">
        <x:f>IF(ISNUMBER(G743),IF(G743&lt;0,"Убыток",IF(G743=0,"Без прибыли","Прибыль &gt; 0")),"Не оценён")</x:f>
        <x:v>Не оценён</x:v>
      </x:c>
      <x:c r="AE743" s="13" t="str">
        <x:f>IF(J743="Рассчитано","Выручка "&amp;TEXT(V743,"0.00")&amp;" - себестоимость "&amp;TEXT(W743,"0.00")&amp;" - комиссия "&amp;TEXT(V743*R743/100,"0.00")&amp;" - доставка "&amp;TEXT(P743,"0.00")&amp;" - прочие "&amp;TEXT(Q743,"0.00")&amp;" = "&amp;TEXT(G743,"0.00")&amp;" "&amp;L743,"Введите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3" s="24" t="n">
        <x:v>1.8011622360411061</x:v>
      </x:c>
      <x:c r="AG743" s="37" t="n">
        <x:v>3</x:v>
      </x:c>
      <x:c r="AH743" s="37" t="n">
        <x:v>0</x:v>
      </x:c>
      <x:c r="AI743" s="30" t="n">
        <x:v>46266</x:v>
      </x:c>
      <x:c r="AJ743" s="37" t="n">
        <x:v>20</x:v>
      </x:c>
      <x:c r="AK743" s="10" t="str">
        <x:v>минимум</x:v>
      </x:c>
      <x:c r="AL743" s="32" t="n">
        <x:v>141.64050489484362</x:v>
      </x:c>
      <x:c r="AM743" s="13" t="str">
        <x:v>Остаток на начало сентября; Резервы неизвестны; Нет ежедневных данных доступности. Запас выше прогноза на 90 дней</x:v>
      </x:c>
      <x:c r="AN743" s="13" t="str">
        <x:v>Проверить свободный остаток и установить цену для B2B</x:v>
      </x:c>
      <x:c r="AO743" s="13" t="str">
        <x:v>Остаток 3; прогноз 90 дней 1.80; избыток 1 шт. Будущие поступления не выставляются на продажу. Остаток на начало сентября: требуется актуализация.</x:v>
      </x:c>
      <x:c r="AP743" s="13" t="str">
        <x:v>["category_missing", "daily_stockout_data_missing", "new_order_lead_time_unknown", "reservations_unknown", "stale_stock"]</x:v>
      </x:c>
      <x:c r="AQ743" s="10" t="str">
        <x:v>IEK:130600211_</x:v>
      </x:c>
      <x:c r="AR743" s="24" t="n">
        <x:v>1</x:v>
      </x:c>
      <x:c r="AS743" s="24" t="n">
        <x:v>0</x:v>
      </x:c>
      <x:c r="AT743" s="24" t="n">
        <x:v>0</x:v>
      </x:c>
    </x:row>
    <x:row r="744" ht="64" customHeight="1">
      <x:c r="A744" s="11" t="str">
        <x:v>IEK</x:v>
      </x:c>
      <x:c r="B744" s="33" t="str">
        <x:v>130600215_</x:v>
      </x:c>
      <x:c r="C744" s="33"/>
      <x:c r="D744" s="12" t="str">
        <x:v>Реле общ. назнач. OGR-2 2C 220В AC ONI OGR-2-2C-AC220V NEW</x:v>
      </x:c>
      <x:c r="E744" s="11" t="str">
        <x:v>шт</x:v>
      </x:c>
      <x:c r="F744" s="35" t="n">
        <x:f>MAX(0,ROUNDDOWN((AG744-AF744)/AR744+0.000000001,0)*AR744)</x:f>
        <x:v>6</x:v>
      </x:c>
      <x:c r="G744" s="20" t="str">
        <x:f>IF(J744="Рассчитано",V744*(1-R744/100)-W744-P744-Q744,"н/д")</x:f>
        <x:v>н/д</x:v>
      </x:c>
      <x:c r="H744" s="12" t="str">
        <x:v>Высокий</x:v>
      </x:c>
      <x:c r="I744" s="12" t="str">
        <x:v>Высокий</x:v>
      </x:c>
      <x:c r="J744" s="12" t="str">
        <x:f>IF(L744="","Укажите валюту",IF(NOT(ISNUMBER(K744)),"Укажите объём",IF(K744&lt;=0,"Укажите объём",IF(K744&gt;F744,"Объём выше излишка",IF(COUNT(M744:O744)&lt;3,"Нужны цены",IF(COUNT(P744:R744)&lt;3,"Нужны расходы",IF(OR(M744&lt;0,N744&lt;0,O744&lt;0,O744&gt;100,P744&lt;0,Q744&lt;0,R744&lt;0,R744&gt;100),"Проверьте значения","Рассчитано")))))))</x:f>
        <x:v>Нужны цены</x:v>
      </x:c>
      <x:c r="K744" s="36" t="n">
        <x:v>6</x:v>
      </x:c>
      <x:c r="L744" s="19" t="str">
        <x:v>KZT</x:v>
      </x:c>
      <x:c r="M744" s="22"/>
      <x:c r="N744" s="22"/>
      <x:c r="O744" s="28"/>
      <x:c r="P744" s="22"/>
      <x:c r="Q744" s="22"/>
      <x:c r="R744" s="28"/>
      <x:c r="S744" s="22"/>
      <x:c r="T744" s="35" t="n">
        <x:f>K744</x:f>
        <x:v>6</x:v>
      </x:c>
      <x:c r="U744" s="20" t="str">
        <x:f>IF(J744="Рассчитано",N744*(1-O744/100),"н/д")</x:f>
        <x:v>н/д</x:v>
      </x:c>
      <x:c r="V744" s="20" t="str">
        <x:f>IF(J744="Рассчитано",T744*U744,"н/д")</x:f>
        <x:v>н/д</x:v>
      </x:c>
      <x:c r="W744" s="20" t="str">
        <x:f>IF(J744="Рассчитано",T744*M744,"н/д")</x:f>
        <x:v>н/д</x:v>
      </x:c>
      <x:c r="X744" s="20" t="str">
        <x:f>IF(J744="Рассчитано",V744-W744,"н/д")</x:f>
        <x:v>н/д</x:v>
      </x:c>
      <x:c r="Y744" s="26" t="str">
        <x:f>IF(J744="Рассчитано",IF(V744&gt;0,G744/V744,"н/д"),"н/д")</x:f>
        <x:v>н/д</x:v>
      </x:c>
      <x:c r="Z744" s="20" t="str">
        <x:f>"н/д"</x:f>
        <x:v>н/д</x:v>
      </x:c>
      <x:c r="AA744" s="20" t="str">
        <x:f>"н/д"</x:f>
        <x:v>н/д</x:v>
      </x:c>
      <x:c r="AB744" s="20" t="str">
        <x:f>"н/д"</x:f>
        <x:v>н/д</x:v>
      </x:c>
      <x:c r="AC744" s="20" t="str">
        <x:f>IF(AND(J744="Рассчитано",T744&gt;0,R744&lt;100),(W744+P744+Q744)/(T744*(1-R744/100)),"н/д")</x:f>
        <x:v>н/д</x:v>
      </x:c>
      <x:c r="AD744" s="11" t="str">
        <x:f>IF(ISNUMBER(G744),IF(G744&lt;0,"Убыток",IF(G744=0,"Без прибыли","Прибыль &gt; 0")),"Не оценён")</x:f>
        <x:v>Не оценён</x:v>
      </x:c>
      <x:c r="AE744" s="12" t="str">
        <x:f>IF(J744="Рассчитано","Выручка "&amp;TEXT(V744,"0.00")&amp;" - себестоимость "&amp;TEXT(W744,"0.00")&amp;" - комиссия "&amp;TEXT(V744*R744/100,"0.00")&amp;" - доставка "&amp;TEXT(P744,"0.00")&amp;" - прочие "&amp;TEXT(Q744,"0.00")&amp;" = "&amp;TEXT(G744,"0.00")&amp;" "&amp;L744,"Введите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4" s="23" t="n">
        <x:v>1.3690106731710818</x:v>
      </x:c>
      <x:c r="AG744" s="35" t="n">
        <x:v>8</x:v>
      </x:c>
      <x:c r="AH744" s="35" t="n">
        <x:v>0</x:v>
      </x:c>
      <x:c r="AI744" s="29" t="n">
        <x:v>46266</x:v>
      </x:c>
      <x:c r="AJ744" s="35"/>
      <x:c r="AK744" s="11" t="str">
        <x:v>неизвестно</x:v>
      </x:c>
      <x:c r="AL744" s="31" t="n">
        <x:v>496.9379879159032</x:v>
      </x:c>
      <x:c r="AM744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744" s="12" t="str">
        <x:v>Проверить свободный остаток и установить цену для B2B</x:v>
      </x:c>
      <x:c r="AO744" s="12" t="str">
        <x:v>Остаток 8; прогноз 90 дней 1.37; избыток 6 шт. Будущие поступления не выставляются на продажу. Остаток на начало сентября: требуется актуализация.</x:v>
      </x:c>
      <x:c r="AP744" s="12" t="str">
        <x:v>["category_missing", "daily_stockout_data_missing", "moq_missing", "new_order_lead_time_unknown", "reservations_unknown", "stale_stock", "supplier_sku_missing"]</x:v>
      </x:c>
      <x:c r="AQ744" s="11" t="str">
        <x:v>IEK:130600215_</x:v>
      </x:c>
      <x:c r="AR744" s="23" t="n">
        <x:v>1</x:v>
      </x:c>
      <x:c r="AS744" s="23" t="n">
        <x:v>0</x:v>
      </x:c>
      <x:c r="AT744" s="23" t="n">
        <x:v>0</x:v>
      </x:c>
    </x:row>
    <x:row r="745" ht="64" customHeight="1">
      <x:c r="A745" s="10" t="str">
        <x:v>IEK</x:v>
      </x:c>
      <x:c r="B745" s="34" t="str">
        <x:v>130600218_</x:v>
      </x:c>
      <x:c r="C745" s="34"/>
      <x:c r="D745" s="13" t="str">
        <x:v>Реле промежут. OIR 1 конт. 16А 230В AC IEK OIR-116-AC230V NEW</x:v>
      </x:c>
      <x:c r="E745" s="10" t="str">
        <x:v>шт</x:v>
      </x:c>
      <x:c r="F745" s="37" t="n">
        <x:f>MAX(0,ROUNDDOWN((AG745-AF745)/AR745+0.000000001,0)*AR745)</x:f>
        <x:v>1</x:v>
      </x:c>
      <x:c r="G745" s="21" t="str">
        <x:f>IF(J745="Рассчитано",V745*(1-R745/100)-W745-P745-Q745,"н/д")</x:f>
        <x:v>н/д</x:v>
      </x:c>
      <x:c r="H745" s="13" t="str">
        <x:v>Высокий</x:v>
      </x:c>
      <x:c r="I745" s="13" t="str">
        <x:v>Высокий</x:v>
      </x:c>
      <x:c r="J745" s="13" t="str">
        <x:f>IF(L745="","Укажите валюту",IF(NOT(ISNUMBER(K745)),"Укажите объём",IF(K745&lt;=0,"Укажите объём",IF(K745&gt;F745,"Объём выше излишка",IF(COUNT(M745:O745)&lt;3,"Нужны цены",IF(COUNT(P745:R745)&lt;3,"Нужны расходы",IF(OR(M745&lt;0,N745&lt;0,O745&lt;0,O745&gt;100,P745&lt;0,Q745&lt;0,R745&lt;0,R745&gt;100),"Проверьте значения","Рассчитано")))))))</x:f>
        <x:v>Нужны цены</x:v>
      </x:c>
      <x:c r="K745" s="36" t="n">
        <x:v>1</x:v>
      </x:c>
      <x:c r="L745" s="19" t="str">
        <x:v>KZT</x:v>
      </x:c>
      <x:c r="M745" s="22"/>
      <x:c r="N745" s="22"/>
      <x:c r="O745" s="28"/>
      <x:c r="P745" s="22"/>
      <x:c r="Q745" s="22"/>
      <x:c r="R745" s="28"/>
      <x:c r="S745" s="22"/>
      <x:c r="T745" s="37" t="n">
        <x:f>K745</x:f>
        <x:v>1</x:v>
      </x:c>
      <x:c r="U745" s="21" t="str">
        <x:f>IF(J745="Рассчитано",N745*(1-O745/100),"н/д")</x:f>
        <x:v>н/д</x:v>
      </x:c>
      <x:c r="V745" s="21" t="str">
        <x:f>IF(J745="Рассчитано",T745*U745,"н/д")</x:f>
        <x:v>н/д</x:v>
      </x:c>
      <x:c r="W745" s="21" t="str">
        <x:f>IF(J745="Рассчитано",T745*M745,"н/д")</x:f>
        <x:v>н/д</x:v>
      </x:c>
      <x:c r="X745" s="21" t="str">
        <x:f>IF(J745="Рассчитано",V745-W745,"н/д")</x:f>
        <x:v>н/д</x:v>
      </x:c>
      <x:c r="Y745" s="27" t="str">
        <x:f>IF(J745="Рассчитано",IF(V745&gt;0,G745/V745,"н/д"),"н/д")</x:f>
        <x:v>н/д</x:v>
      </x:c>
      <x:c r="Z745" s="21" t="str">
        <x:f>"н/д"</x:f>
        <x:v>н/д</x:v>
      </x:c>
      <x:c r="AA745" s="21" t="str">
        <x:f>"н/д"</x:f>
        <x:v>н/д</x:v>
      </x:c>
      <x:c r="AB745" s="21" t="str">
        <x:f>"н/д"</x:f>
        <x:v>н/д</x:v>
      </x:c>
      <x:c r="AC745" s="21" t="str">
        <x:f>IF(AND(J745="Рассчитано",T745&gt;0,R745&lt;100),(W745+P745+Q745)/(T745*(1-R745/100)),"н/д")</x:f>
        <x:v>н/д</x:v>
      </x:c>
      <x:c r="AD745" s="10" t="str">
        <x:f>IF(ISNUMBER(G745),IF(G745&lt;0,"Убыток",IF(G745=0,"Без прибыли","Прибыль &gt; 0")),"Не оценён")</x:f>
        <x:v>Не оценён</x:v>
      </x:c>
      <x:c r="AE745" s="13" t="str">
        <x:f>IF(J745="Рассчитано","Выручка "&amp;TEXT(V745,"0.00")&amp;" - себестоимость "&amp;TEXT(W745,"0.00")&amp;" - комиссия "&amp;TEXT(V745*R745/100,"0.00")&amp;" - доставка "&amp;TEXT(P745,"0.00")&amp;" - прочие "&amp;TEXT(Q745,"0.00")&amp;" = "&amp;TEXT(G745,"0.00")&amp;" "&amp;L745,"Введите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5" s="24" t="n">
        <x:v>0</x:v>
      </x:c>
      <x:c r="AG745" s="37" t="n">
        <x:v>1</x:v>
      </x:c>
      <x:c r="AH745" s="37" t="n">
        <x:v>0</x:v>
      </x:c>
      <x:c r="AI745" s="30" t="n">
        <x:v>46266</x:v>
      </x:c>
      <x:c r="AJ745" s="37"/>
      <x:c r="AK745" s="10" t="str">
        <x:v>неизвестно</x:v>
      </x:c>
      <x:c r="AL745" s="32" t="str">
        <x:v>н/д</x:v>
      </x:c>
      <x:c r="AM745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745" s="13" t="str">
        <x:v>Проверить свободный остаток и установить цену для B2B</x:v>
      </x:c>
      <x:c r="AO745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45" s="13" t="str">
        <x:v>["category_missing", "daily_stockout_data_missing", "moq_missing", "new_order_lead_time_unknown", "reservations_unknown", "stale_stock", "supplier_sku_missing"]</x:v>
      </x:c>
      <x:c r="AQ745" s="10" t="str">
        <x:v>IEK:130600218_</x:v>
      </x:c>
      <x:c r="AR745" s="24" t="n">
        <x:v>1</x:v>
      </x:c>
      <x:c r="AS745" s="24" t="n">
        <x:v>0</x:v>
      </x:c>
      <x:c r="AT745" s="24" t="n">
        <x:v>0</x:v>
      </x:c>
    </x:row>
    <x:row r="746" ht="64" customHeight="1">
      <x:c r="A746" s="11" t="str">
        <x:v>IEK</x:v>
      </x:c>
      <x:c r="B746" s="33" t="str">
        <x:v>130600220_</x:v>
      </x:c>
      <x:c r="C746" s="33"/>
      <x:c r="D746" s="12" t="str">
        <x:v>Реле твердотельное OSS-2 25А 380В AC 3-32В DC ONI OSS-2-3-25-B NEW</x:v>
      </x:c>
      <x:c r="E746" s="11" t="str">
        <x:v>шт</x:v>
      </x:c>
      <x:c r="F746" s="35" t="n">
        <x:f>MAX(0,ROUNDDOWN((AG746-AF746)/AR746+0.000000001,0)*AR746)</x:f>
        <x:v>1</x:v>
      </x:c>
      <x:c r="G746" s="20" t="str">
        <x:f>IF(J746="Рассчитано",V746*(1-R746/100)-W746-P746-Q746,"н/д")</x:f>
        <x:v>н/д</x:v>
      </x:c>
      <x:c r="H746" s="12" t="str">
        <x:v>Высокий</x:v>
      </x:c>
      <x:c r="I746" s="12" t="str">
        <x:v>Высокий</x:v>
      </x:c>
      <x:c r="J746" s="12" t="str">
        <x:f>IF(L746="","Укажите валюту",IF(NOT(ISNUMBER(K746)),"Укажите объём",IF(K746&lt;=0,"Укажите объём",IF(K746&gt;F746,"Объём выше излишка",IF(COUNT(M746:O746)&lt;3,"Нужны цены",IF(COUNT(P746:R746)&lt;3,"Нужны расходы",IF(OR(M746&lt;0,N746&lt;0,O746&lt;0,O746&gt;100,P746&lt;0,Q746&lt;0,R746&lt;0,R746&gt;100),"Проверьте значения","Рассчитано")))))))</x:f>
        <x:v>Нужны цены</x:v>
      </x:c>
      <x:c r="K746" s="36" t="n">
        <x:v>1</x:v>
      </x:c>
      <x:c r="L746" s="19" t="str">
        <x:v>KZT</x:v>
      </x:c>
      <x:c r="M746" s="22"/>
      <x:c r="N746" s="22"/>
      <x:c r="O746" s="28"/>
      <x:c r="P746" s="22"/>
      <x:c r="Q746" s="22"/>
      <x:c r="R746" s="28"/>
      <x:c r="S746" s="22"/>
      <x:c r="T746" s="35" t="n">
        <x:f>K746</x:f>
        <x:v>1</x:v>
      </x:c>
      <x:c r="U746" s="20" t="str">
        <x:f>IF(J746="Рассчитано",N746*(1-O746/100),"н/д")</x:f>
        <x:v>н/д</x:v>
      </x:c>
      <x:c r="V746" s="20" t="str">
        <x:f>IF(J746="Рассчитано",T746*U746,"н/д")</x:f>
        <x:v>н/д</x:v>
      </x:c>
      <x:c r="W746" s="20" t="str">
        <x:f>IF(J746="Рассчитано",T746*M746,"н/д")</x:f>
        <x:v>н/д</x:v>
      </x:c>
      <x:c r="X746" s="20" t="str">
        <x:f>IF(J746="Рассчитано",V746-W746,"н/д")</x:f>
        <x:v>н/д</x:v>
      </x:c>
      <x:c r="Y746" s="26" t="str">
        <x:f>IF(J746="Рассчитано",IF(V746&gt;0,G746/V746,"н/д"),"н/д")</x:f>
        <x:v>н/д</x:v>
      </x:c>
      <x:c r="Z746" s="20" t="str">
        <x:f>"н/д"</x:f>
        <x:v>н/д</x:v>
      </x:c>
      <x:c r="AA746" s="20" t="str">
        <x:f>"н/д"</x:f>
        <x:v>н/д</x:v>
      </x:c>
      <x:c r="AB746" s="20" t="str">
        <x:f>"н/д"</x:f>
        <x:v>н/д</x:v>
      </x:c>
      <x:c r="AC746" s="20" t="str">
        <x:f>IF(AND(J746="Рассчитано",T746&gt;0,R746&lt;100),(W746+P746+Q746)/(T746*(1-R746/100)),"н/д")</x:f>
        <x:v>н/д</x:v>
      </x:c>
      <x:c r="AD746" s="11" t="str">
        <x:f>IF(ISNUMBER(G746),IF(G746&lt;0,"Убыток",IF(G746=0,"Без прибыли","Прибыль &gt; 0")),"Не оценён")</x:f>
        <x:v>Не оценён</x:v>
      </x:c>
      <x:c r="AE746" s="12" t="str">
        <x:f>IF(J746="Рассчитано","Выручка "&amp;TEXT(V746,"0.00")&amp;" - себестоимость "&amp;TEXT(W746,"0.00")&amp;" - комиссия "&amp;TEXT(V746*R746/100,"0.00")&amp;" - доставка "&amp;TEXT(P746,"0.00")&amp;" - прочие "&amp;TEXT(Q746,"0.00")&amp;" = "&amp;TEXT(G746,"0.00")&amp;" "&amp;L746,"Введите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6" s="23" t="n">
        <x:v>0</x:v>
      </x:c>
      <x:c r="AG746" s="35" t="n">
        <x:v>1</x:v>
      </x:c>
      <x:c r="AH746" s="35" t="n">
        <x:v>0</x:v>
      </x:c>
      <x:c r="AI746" s="29" t="n">
        <x:v>46266</x:v>
      </x:c>
      <x:c r="AJ746" s="35"/>
      <x:c r="AK746" s="11" t="str">
        <x:v>неизвестно</x:v>
      </x:c>
      <x:c r="AL746" s="31" t="str">
        <x:v>н/д</x:v>
      </x:c>
      <x:c r="AM746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746" s="12" t="str">
        <x:v>Проверить свободный остаток и установить цену для B2B</x:v>
      </x:c>
      <x:c r="AO746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46" s="12" t="str">
        <x:v>["category_missing", "daily_stockout_data_missing", "moq_missing", "new_order_lead_time_unknown", "reservations_unknown", "stale_stock", "supplier_sku_missing"]</x:v>
      </x:c>
      <x:c r="AQ746" s="11" t="str">
        <x:v>IEK:130600220_</x:v>
      </x:c>
      <x:c r="AR746" s="23" t="n">
        <x:v>1</x:v>
      </x:c>
      <x:c r="AS746" s="23" t="n">
        <x:v>0</x:v>
      </x:c>
      <x:c r="AT746" s="23" t="n">
        <x:v>0</x:v>
      </x:c>
    </x:row>
    <x:row r="747" ht="64" customHeight="1">
      <x:c r="A747" s="10" t="str">
        <x:v>IEK</x:v>
      </x:c>
      <x:c r="B747" s="34" t="str">
        <x:v>130600245_</x:v>
      </x:c>
      <x:c r="C747" s="34"/>
      <x:c r="D747" s="13" t="str">
        <x:v>УПП SFB 3Ф 380В 18кВт 37A Uупр 110-220В Modbus ONI SFB-33-18-A-10 NEW</x:v>
      </x:c>
      <x:c r="E747" s="10" t="str">
        <x:v>шт</x:v>
      </x:c>
      <x:c r="F747" s="37" t="n">
        <x:f>MAX(0,ROUNDDOWN((AG747-AF747)/AR747+0.000000001,0)*AR747)</x:f>
        <x:v>1</x:v>
      </x:c>
      <x:c r="G747" s="21" t="str">
        <x:f>IF(J747="Рассчитано",V747*(1-R747/100)-W747-P747-Q747,"н/д")</x:f>
        <x:v>н/д</x:v>
      </x:c>
      <x:c r="H747" s="13" t="str">
        <x:v>Высокий</x:v>
      </x:c>
      <x:c r="I747" s="13" t="str">
        <x:v>Высокий</x:v>
      </x:c>
      <x:c r="J747" s="13" t="str">
        <x:f>IF(L747="","Укажите валюту",IF(NOT(ISNUMBER(K747)),"Укажите объём",IF(K747&lt;=0,"Укажите объём",IF(K747&gt;F747,"Объём выше излишка",IF(COUNT(M747:O747)&lt;3,"Нужны цены",IF(COUNT(P747:R747)&lt;3,"Нужны расходы",IF(OR(M747&lt;0,N747&lt;0,O747&lt;0,O747&gt;100,P747&lt;0,Q747&lt;0,R747&lt;0,R747&gt;100),"Проверьте значения","Рассчитано")))))))</x:f>
        <x:v>Нужны цены</x:v>
      </x:c>
      <x:c r="K747" s="36" t="n">
        <x:v>1</x:v>
      </x:c>
      <x:c r="L747" s="19" t="str">
        <x:v>KZT</x:v>
      </x:c>
      <x:c r="M747" s="22"/>
      <x:c r="N747" s="22"/>
      <x:c r="O747" s="28"/>
      <x:c r="P747" s="22"/>
      <x:c r="Q747" s="22"/>
      <x:c r="R747" s="28"/>
      <x:c r="S747" s="22"/>
      <x:c r="T747" s="37" t="n">
        <x:f>K747</x:f>
        <x:v>1</x:v>
      </x:c>
      <x:c r="U747" s="21" t="str">
        <x:f>IF(J747="Рассчитано",N747*(1-O747/100),"н/д")</x:f>
        <x:v>н/д</x:v>
      </x:c>
      <x:c r="V747" s="21" t="str">
        <x:f>IF(J747="Рассчитано",T747*U747,"н/д")</x:f>
        <x:v>н/д</x:v>
      </x:c>
      <x:c r="W747" s="21" t="str">
        <x:f>IF(J747="Рассчитано",T747*M747,"н/д")</x:f>
        <x:v>н/д</x:v>
      </x:c>
      <x:c r="X747" s="21" t="str">
        <x:f>IF(J747="Рассчитано",V747-W747,"н/д")</x:f>
        <x:v>н/д</x:v>
      </x:c>
      <x:c r="Y747" s="27" t="str">
        <x:f>IF(J747="Рассчитано",IF(V747&gt;0,G747/V747,"н/д"),"н/д")</x:f>
        <x:v>н/д</x:v>
      </x:c>
      <x:c r="Z747" s="21" t="str">
        <x:f>"н/д"</x:f>
        <x:v>н/д</x:v>
      </x:c>
      <x:c r="AA747" s="21" t="str">
        <x:f>"н/д"</x:f>
        <x:v>н/д</x:v>
      </x:c>
      <x:c r="AB747" s="21" t="str">
        <x:f>"н/д"</x:f>
        <x:v>н/д</x:v>
      </x:c>
      <x:c r="AC747" s="21" t="str">
        <x:f>IF(AND(J747="Рассчитано",T747&gt;0,R747&lt;100),(W747+P747+Q747)/(T747*(1-R747/100)),"н/д")</x:f>
        <x:v>н/д</x:v>
      </x:c>
      <x:c r="AD747" s="10" t="str">
        <x:f>IF(ISNUMBER(G747),IF(G747&lt;0,"Убыток",IF(G747=0,"Без прибыли","Прибыль &gt; 0")),"Не оценён")</x:f>
        <x:v>Не оценён</x:v>
      </x:c>
      <x:c r="AE747" s="13" t="str">
        <x:f>IF(J747="Рассчитано","Выручка "&amp;TEXT(V747,"0.00")&amp;" - себестоимость "&amp;TEXT(W747,"0.00")&amp;" - комиссия "&amp;TEXT(V747*R747/100,"0.00")&amp;" - доставка "&amp;TEXT(P747,"0.00")&amp;" - прочие "&amp;TEXT(Q747,"0.00")&amp;" = "&amp;TEXT(G747,"0.00")&amp;" "&amp;L747,"Введите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7" s="24" t="n">
        <x:v>0</x:v>
      </x:c>
      <x:c r="AG747" s="37" t="n">
        <x:v>1</x:v>
      </x:c>
      <x:c r="AH747" s="37" t="n">
        <x:v>0</x:v>
      </x:c>
      <x:c r="AI747" s="30" t="n">
        <x:v>46266</x:v>
      </x:c>
      <x:c r="AJ747" s="37"/>
      <x:c r="AK747" s="10" t="str">
        <x:v>неизвестно</x:v>
      </x:c>
      <x:c r="AL747" s="32" t="str">
        <x:v>н/д</x:v>
      </x:c>
      <x:c r="AM747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747" s="13" t="str">
        <x:v>Проверить свободный остаток и установить цену для B2B</x:v>
      </x:c>
      <x:c r="AO747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47" s="13" t="str">
        <x:v>["category_missing", "daily_stockout_data_missing", "moq_missing", "new_order_lead_time_unknown", "reservations_unknown", "stale_stock", "supplier_sku_missing"]</x:v>
      </x:c>
      <x:c r="AQ747" s="10" t="str">
        <x:v>IEK:130600245_</x:v>
      </x:c>
      <x:c r="AR747" s="24" t="n">
        <x:v>1</x:v>
      </x:c>
      <x:c r="AS747" s="24" t="n">
        <x:v>0</x:v>
      </x:c>
      <x:c r="AT747" s="24" t="n">
        <x:v>0</x:v>
      </x:c>
    </x:row>
    <x:row r="748" ht="64" customHeight="1">
      <x:c r="A748" s="11" t="str">
        <x:v>IEK</x:v>
      </x:c>
      <x:c r="B748" s="33" t="str">
        <x:v>130600258_</x:v>
      </x:c>
      <x:c r="C748" s="33" t="str">
        <x:v>A150-33-15NT</x:v>
      </x:c>
      <x:c r="D748" s="12" t="str">
        <x:v>Преобраз. частоты A150 380В 3Ф  1,5кВт 5А встр. торм ONI A150-33-15NT NEW (12) NEW</x:v>
      </x:c>
      <x:c r="E748" s="11" t="str">
        <x:v>шт</x:v>
      </x:c>
      <x:c r="F748" s="35" t="n">
        <x:f>MAX(0,ROUNDDOWN((AG748-AF748)/AR748+0.000000001,0)*AR748)</x:f>
        <x:v>2</x:v>
      </x:c>
      <x:c r="G748" s="20" t="str">
        <x:f>IF(J748="Рассчитано",V748*(1-R748/100)-W748-P748-Q748,"н/д")</x:f>
        <x:v>н/д</x:v>
      </x:c>
      <x:c r="H748" s="12" t="str">
        <x:v>Высокий</x:v>
      </x:c>
      <x:c r="I748" s="12" t="str">
        <x:v>Высокий</x:v>
      </x:c>
      <x:c r="J748" s="12" t="str">
        <x:f>IF(L748="","Укажите валюту",IF(NOT(ISNUMBER(K748)),"Укажите объём",IF(K748&lt;=0,"Укажите объём",IF(K748&gt;F748,"Объём выше излишка",IF(COUNT(M748:O748)&lt;3,"Нужны цены",IF(COUNT(P748:R748)&lt;3,"Нужны расходы",IF(OR(M748&lt;0,N748&lt;0,O748&lt;0,O748&gt;100,P748&lt;0,Q748&lt;0,R748&lt;0,R748&gt;100),"Проверьте значения","Рассчитано")))))))</x:f>
        <x:v>Нужны цены</x:v>
      </x:c>
      <x:c r="K748" s="36" t="n">
        <x:v>2</x:v>
      </x:c>
      <x:c r="L748" s="19" t="str">
        <x:v>KZT</x:v>
      </x:c>
      <x:c r="M748" s="22"/>
      <x:c r="N748" s="22"/>
      <x:c r="O748" s="28"/>
      <x:c r="P748" s="22"/>
      <x:c r="Q748" s="22"/>
      <x:c r="R748" s="28"/>
      <x:c r="S748" s="22"/>
      <x:c r="T748" s="35" t="n">
        <x:f>K748</x:f>
        <x:v>2</x:v>
      </x:c>
      <x:c r="U748" s="20" t="str">
        <x:f>IF(J748="Рассчитано",N748*(1-O748/100),"н/д")</x:f>
        <x:v>н/д</x:v>
      </x:c>
      <x:c r="V748" s="20" t="str">
        <x:f>IF(J748="Рассчитано",T748*U748,"н/д")</x:f>
        <x:v>н/д</x:v>
      </x:c>
      <x:c r="W748" s="20" t="str">
        <x:f>IF(J748="Рассчитано",T748*M748,"н/д")</x:f>
        <x:v>н/д</x:v>
      </x:c>
      <x:c r="X748" s="20" t="str">
        <x:f>IF(J748="Рассчитано",V748-W748,"н/д")</x:f>
        <x:v>н/д</x:v>
      </x:c>
      <x:c r="Y748" s="26" t="str">
        <x:f>IF(J748="Рассчитано",IF(V748&gt;0,G748/V748,"н/д"),"н/д")</x:f>
        <x:v>н/д</x:v>
      </x:c>
      <x:c r="Z748" s="20" t="str">
        <x:f>"н/д"</x:f>
        <x:v>н/д</x:v>
      </x:c>
      <x:c r="AA748" s="20" t="str">
        <x:f>"н/д"</x:f>
        <x:v>н/д</x:v>
      </x:c>
      <x:c r="AB748" s="20" t="str">
        <x:f>"н/д"</x:f>
        <x:v>н/д</x:v>
      </x:c>
      <x:c r="AC748" s="20" t="str">
        <x:f>IF(AND(J748="Рассчитано",T748&gt;0,R748&lt;100),(W748+P748+Q748)/(T748*(1-R748/100)),"н/д")</x:f>
        <x:v>н/д</x:v>
      </x:c>
      <x:c r="AD748" s="11" t="str">
        <x:f>IF(ISNUMBER(G748),IF(G748&lt;0,"Убыток",IF(G748=0,"Без прибыли","Прибыль &gt; 0")),"Не оценён")</x:f>
        <x:v>Не оценён</x:v>
      </x:c>
      <x:c r="AE748" s="12" t="str">
        <x:f>IF(J748="Рассчитано","Выручка "&amp;TEXT(V748,"0.00")&amp;" - себестоимость "&amp;TEXT(W748,"0.00")&amp;" - комиссия "&amp;TEXT(V748*R748/100,"0.00")&amp;" - доставка "&amp;TEXT(P748,"0.00")&amp;" - прочие "&amp;TEXT(Q748,"0.00")&amp;" = "&amp;TEXT(G748,"0.00")&amp;" "&amp;L748,"Введите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8" s="23" t="n">
        <x:v>0</x:v>
      </x:c>
      <x:c r="AG748" s="35" t="n">
        <x:v>2</x:v>
      </x:c>
      <x:c r="AH748" s="35" t="n">
        <x:v>0</x:v>
      </x:c>
      <x:c r="AI748" s="29" t="n">
        <x:v>46266</x:v>
      </x:c>
      <x:c r="AJ748" s="35"/>
      <x:c r="AK748" s="11" t="str">
        <x:v>неизвестно</x:v>
      </x:c>
      <x:c r="AL748" s="31" t="str">
        <x:v>н/д</x:v>
      </x:c>
      <x:c r="AM74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48" s="12" t="str">
        <x:v>Проверить свободный остаток и установить цену для B2B</x:v>
      </x:c>
      <x:c r="AO748" s="12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748" s="12" t="str">
        <x:v>["category_missing", "daily_stockout_data_missing", "moq_missing", "new_order_lead_time_unknown", "reservations_unknown", "stale_stock"]</x:v>
      </x:c>
      <x:c r="AQ748" s="11" t="str">
        <x:v>IEK:130600258_</x:v>
      </x:c>
      <x:c r="AR748" s="23" t="n">
        <x:v>1</x:v>
      </x:c>
      <x:c r="AS748" s="23" t="n">
        <x:v>0</x:v>
      </x:c>
      <x:c r="AT748" s="23" t="n">
        <x:v>0</x:v>
      </x:c>
    </x:row>
    <x:row r="749" ht="64" customHeight="1">
      <x:c r="A749" s="10" t="str">
        <x:v>IEK</x:v>
      </x:c>
      <x:c r="B749" s="34" t="str">
        <x:v>130600259_</x:v>
      </x:c>
      <x:c r="C749" s="34" t="str">
        <x:v>A150-33-11T</x:v>
      </x:c>
      <x:c r="D749" s="13" t="str">
        <x:v>Преобраз. частоты A150 380В 3Ф 11кВт 25А встр. торм ONI A150-33-11T NEW (4) NEW</x:v>
      </x:c>
      <x:c r="E749" s="10" t="str">
        <x:v>шт</x:v>
      </x:c>
      <x:c r="F749" s="37" t="n">
        <x:f>MAX(0,ROUNDDOWN((AG749-AF749)/AR749+0.000000001,0)*AR749)</x:f>
        <x:v>1</x:v>
      </x:c>
      <x:c r="G749" s="21" t="str">
        <x:f>IF(J749="Рассчитано",V749*(1-R749/100)-W749-P749-Q749,"н/д")</x:f>
        <x:v>н/д</x:v>
      </x:c>
      <x:c r="H749" s="13" t="str">
        <x:v>Высокий</x:v>
      </x:c>
      <x:c r="I749" s="13" t="str">
        <x:v>Высокий</x:v>
      </x:c>
      <x:c r="J749" s="13" t="str">
        <x:f>IF(L749="","Укажите валюту",IF(NOT(ISNUMBER(K749)),"Укажите объём",IF(K749&lt;=0,"Укажите объём",IF(K749&gt;F749,"Объём выше излишка",IF(COUNT(M749:O749)&lt;3,"Нужны цены",IF(COUNT(P749:R749)&lt;3,"Нужны расходы",IF(OR(M749&lt;0,N749&lt;0,O749&lt;0,O749&gt;100,P749&lt;0,Q749&lt;0,R749&lt;0,R749&gt;100),"Проверьте значения","Рассчитано")))))))</x:f>
        <x:v>Нужны цены</x:v>
      </x:c>
      <x:c r="K749" s="36" t="n">
        <x:v>1</x:v>
      </x:c>
      <x:c r="L749" s="19" t="str">
        <x:v>KZT</x:v>
      </x:c>
      <x:c r="M749" s="22"/>
      <x:c r="N749" s="22"/>
      <x:c r="O749" s="28"/>
      <x:c r="P749" s="22"/>
      <x:c r="Q749" s="22"/>
      <x:c r="R749" s="28"/>
      <x:c r="S749" s="22"/>
      <x:c r="T749" s="37" t="n">
        <x:f>K749</x:f>
        <x:v>1</x:v>
      </x:c>
      <x:c r="U749" s="21" t="str">
        <x:f>IF(J749="Рассчитано",N749*(1-O749/100),"н/д")</x:f>
        <x:v>н/д</x:v>
      </x:c>
      <x:c r="V749" s="21" t="str">
        <x:f>IF(J749="Рассчитано",T749*U749,"н/д")</x:f>
        <x:v>н/д</x:v>
      </x:c>
      <x:c r="W749" s="21" t="str">
        <x:f>IF(J749="Рассчитано",T749*M749,"н/д")</x:f>
        <x:v>н/д</x:v>
      </x:c>
      <x:c r="X749" s="21" t="str">
        <x:f>IF(J749="Рассчитано",V749-W749,"н/д")</x:f>
        <x:v>н/д</x:v>
      </x:c>
      <x:c r="Y749" s="27" t="str">
        <x:f>IF(J749="Рассчитано",IF(V749&gt;0,G749/V749,"н/д"),"н/д")</x:f>
        <x:v>н/д</x:v>
      </x:c>
      <x:c r="Z749" s="21" t="str">
        <x:f>"н/д"</x:f>
        <x:v>н/д</x:v>
      </x:c>
      <x:c r="AA749" s="21" t="str">
        <x:f>"н/д"</x:f>
        <x:v>н/д</x:v>
      </x:c>
      <x:c r="AB749" s="21" t="str">
        <x:f>"н/д"</x:f>
        <x:v>н/д</x:v>
      </x:c>
      <x:c r="AC749" s="21" t="str">
        <x:f>IF(AND(J749="Рассчитано",T749&gt;0,R749&lt;100),(W749+P749+Q749)/(T749*(1-R749/100)),"н/д")</x:f>
        <x:v>н/д</x:v>
      </x:c>
      <x:c r="AD749" s="10" t="str">
        <x:f>IF(ISNUMBER(G749),IF(G749&lt;0,"Убыток",IF(G749=0,"Без прибыли","Прибыль &gt; 0")),"Не оценён")</x:f>
        <x:v>Не оценён</x:v>
      </x:c>
      <x:c r="AE749" s="13" t="str">
        <x:f>IF(J749="Рассчитано","Выручка "&amp;TEXT(V749,"0.00")&amp;" - себестоимость "&amp;TEXT(W749,"0.00")&amp;" - комиссия "&amp;TEXT(V749*R749/100,"0.00")&amp;" - доставка "&amp;TEXT(P749,"0.00")&amp;" - прочие "&amp;TEXT(Q749,"0.00")&amp;" = "&amp;TEXT(G749,"0.00")&amp;" "&amp;L749,"Введите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9" s="24" t="n">
        <x:v>0</x:v>
      </x:c>
      <x:c r="AG749" s="37" t="n">
        <x:v>1</x:v>
      </x:c>
      <x:c r="AH749" s="37" t="n">
        <x:v>0</x:v>
      </x:c>
      <x:c r="AI749" s="30" t="n">
        <x:v>46266</x:v>
      </x:c>
      <x:c r="AJ749" s="37"/>
      <x:c r="AK749" s="10" t="str">
        <x:v>неизвестно</x:v>
      </x:c>
      <x:c r="AL749" s="32" t="str">
        <x:v>н/д</x:v>
      </x:c>
      <x:c r="AM74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49" s="13" t="str">
        <x:v>Проверить свободный остаток и установить цену для B2B</x:v>
      </x:c>
      <x:c r="AO749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49" s="13" t="str">
        <x:v>["category_missing", "daily_stockout_data_missing", "moq_missing", "new_order_lead_time_unknown", "reservations_unknown", "stale_stock"]</x:v>
      </x:c>
      <x:c r="AQ749" s="10" t="str">
        <x:v>IEK:130600259_</x:v>
      </x:c>
      <x:c r="AR749" s="24" t="n">
        <x:v>1</x:v>
      </x:c>
      <x:c r="AS749" s="24" t="n">
        <x:v>0</x:v>
      </x:c>
      <x:c r="AT749" s="24" t="n">
        <x:v>0</x:v>
      </x:c>
    </x:row>
    <x:row r="750" ht="64" customHeight="1">
      <x:c r="A750" s="11" t="str">
        <x:v>IEK</x:v>
      </x:c>
      <x:c r="B750" s="33" t="str">
        <x:v>130900001_</x:v>
      </x:c>
      <x:c r="C750" s="33" t="str">
        <x:v>KVK30-16-3</x:v>
      </x:c>
      <x:c r="D750" s="12" t="str">
        <x:v>ВКИ-230 3Р 16А 230\400В IP40 IEK (10/100)</x:v>
      </x:c>
      <x:c r="E750" s="11" t="str">
        <x:v>шт</x:v>
      </x:c>
      <x:c r="F750" s="35" t="n">
        <x:f>MAX(0,ROUNDDOWN((AG750-AF750)/AR750+0.000000001,0)*AR750)</x:f>
        <x:v>33</x:v>
      </x:c>
      <x:c r="G750" s="20" t="str">
        <x:f>IF(J750="Рассчитано",V750*(1-R750/100)-W750-P750-Q750,"н/д")</x:f>
        <x:v>н/д</x:v>
      </x:c>
      <x:c r="H750" s="12" t="str">
        <x:v>Высокий</x:v>
      </x:c>
      <x:c r="I750" s="12" t="str">
        <x:v>Высокий</x:v>
      </x:c>
      <x:c r="J750" s="12" t="str">
        <x:f>IF(L750="","Укажите валюту",IF(NOT(ISNUMBER(K750)),"Укажите объём",IF(K750&lt;=0,"Укажите объём",IF(K750&gt;F750,"Объём выше излишка",IF(COUNT(M750:O750)&lt;3,"Нужны цены",IF(COUNT(P750:R750)&lt;3,"Нужны расходы",IF(OR(M750&lt;0,N750&lt;0,O750&lt;0,O750&gt;100,P750&lt;0,Q750&lt;0,R750&lt;0,R750&gt;100),"Проверьте значения","Рассчитано")))))))</x:f>
        <x:v>Нужны цены</x:v>
      </x:c>
      <x:c r="K750" s="36" t="n">
        <x:v>33</x:v>
      </x:c>
      <x:c r="L750" s="19" t="str">
        <x:v>KZT</x:v>
      </x:c>
      <x:c r="M750" s="22"/>
      <x:c r="N750" s="22"/>
      <x:c r="O750" s="28"/>
      <x:c r="P750" s="22"/>
      <x:c r="Q750" s="22"/>
      <x:c r="R750" s="28"/>
      <x:c r="S750" s="22"/>
      <x:c r="T750" s="35" t="n">
        <x:f>K750</x:f>
        <x:v>33</x:v>
      </x:c>
      <x:c r="U750" s="20" t="str">
        <x:f>IF(J750="Рассчитано",N750*(1-O750/100),"н/д")</x:f>
        <x:v>н/д</x:v>
      </x:c>
      <x:c r="V750" s="20" t="str">
        <x:f>IF(J750="Рассчитано",T750*U750,"н/д")</x:f>
        <x:v>н/д</x:v>
      </x:c>
      <x:c r="W750" s="20" t="str">
        <x:f>IF(J750="Рассчитано",T750*M750,"н/д")</x:f>
        <x:v>н/д</x:v>
      </x:c>
      <x:c r="X750" s="20" t="str">
        <x:f>IF(J750="Рассчитано",V750-W750,"н/д")</x:f>
        <x:v>н/д</x:v>
      </x:c>
      <x:c r="Y750" s="26" t="str">
        <x:f>IF(J750="Рассчитано",IF(V750&gt;0,G750/V750,"н/д"),"н/д")</x:f>
        <x:v>н/д</x:v>
      </x:c>
      <x:c r="Z750" s="20" t="str">
        <x:f>"н/д"</x:f>
        <x:v>н/д</x:v>
      </x:c>
      <x:c r="AA750" s="20" t="str">
        <x:f>"н/д"</x:f>
        <x:v>н/д</x:v>
      </x:c>
      <x:c r="AB750" s="20" t="str">
        <x:f>"н/д"</x:f>
        <x:v>н/д</x:v>
      </x:c>
      <x:c r="AC750" s="20" t="str">
        <x:f>IF(AND(J750="Рассчитано",T750&gt;0,R750&lt;100),(W750+P750+Q750)/(T750*(1-R750/100)),"н/д")</x:f>
        <x:v>н/д</x:v>
      </x:c>
      <x:c r="AD750" s="11" t="str">
        <x:f>IF(ISNUMBER(G750),IF(G750&lt;0,"Убыток",IF(G750=0,"Без прибыли","Прибыль &gt; 0")),"Не оценён")</x:f>
        <x:v>Не оценён</x:v>
      </x:c>
      <x:c r="AE750" s="12" t="str">
        <x:f>IF(J750="Рассчитано","Выручка "&amp;TEXT(V750,"0.00")&amp;" - себестоимость "&amp;TEXT(W750,"0.00")&amp;" - комиссия "&amp;TEXT(V750*R750/100,"0.00")&amp;" - доставка "&amp;TEXT(P750,"0.00")&amp;" - прочие "&amp;TEXT(Q750,"0.00")&amp;" = "&amp;TEXT(G750,"0.00")&amp;" "&amp;L750,"Введите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0" s="23" t="n">
        <x:v>23.859669841950552</x:v>
      </x:c>
      <x:c r="AG750" s="35" t="n">
        <x:v>57</x:v>
      </x:c>
      <x:c r="AH750" s="35" t="n">
        <x:v>20</x:v>
      </x:c>
      <x:c r="AI750" s="29" t="n">
        <x:v>46266</x:v>
      </x:c>
      <x:c r="AJ750" s="35" t="n">
        <x:v>10</x:v>
      </x:c>
      <x:c r="AK750" s="11" t="str">
        <x:v>минимум</x:v>
      </x:c>
      <x:c r="AL750" s="31" t="n">
        <x:v>203.15591430250458</x:v>
      </x:c>
      <x:c r="AM750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750" s="12" t="str">
        <x:v>Проверить свободный остаток и установить цену для B2B</x:v>
      </x:c>
      <x:c r="AO750" s="12" t="str">
        <x:v>Остаток 57; прогноз 90 дней 23.86; избыток 33 шт. Будущие поступления не выставляются на продажу. Остаток на начало сентября: требуется актуализация.</x:v>
      </x:c>
      <x:c r="AP750" s="12" t="str">
        <x:v>["category_missing", "daily_stockout_data_missing", "new_order_lead_time_unknown", "reservations_unknown", "stale_stock", "stockout_proxy_used"]</x:v>
      </x:c>
      <x:c r="AQ750" s="11" t="str">
        <x:v>IEK:130900001_</x:v>
      </x:c>
      <x:c r="AR750" s="23" t="n">
        <x:v>1</x:v>
      </x:c>
      <x:c r="AS750" s="23" t="n">
        <x:v>0</x:v>
      </x:c>
      <x:c r="AT750" s="23" t="n">
        <x:v>0</x:v>
      </x:c>
    </x:row>
    <x:row r="751" ht="64" customHeight="1">
      <x:c r="A751" s="10" t="str">
        <x:v>IEK</x:v>
      </x:c>
      <x:c r="B751" s="34" t="str">
        <x:v>130900006_</x:v>
      </x:c>
      <x:c r="C751" s="34" t="str">
        <x:v>BSW10-ANCLR-3-K06</x:v>
      </x:c>
      <x:c r="D751" s="13" t="str">
        <x:v>Переключатель ANCLR 22-3 (зеленый неон на 3 полож.) IEK (10/200)</x:v>
      </x:c>
      <x:c r="E751" s="10" t="str">
        <x:v>шт</x:v>
      </x:c>
      <x:c r="F751" s="37" t="n">
        <x:f>MAX(0,ROUNDDOWN((AG751-AF751)/AR751+0.000000001,0)*AR751)</x:f>
        <x:v>8</x:v>
      </x:c>
      <x:c r="G751" s="21" t="str">
        <x:f>IF(J751="Рассчитано",V751*(1-R751/100)-W751-P751-Q751,"н/д")</x:f>
        <x:v>н/д</x:v>
      </x:c>
      <x:c r="H751" s="13" t="str">
        <x:v>Высокий</x:v>
      </x:c>
      <x:c r="I751" s="13" t="str">
        <x:v>Средний</x:v>
      </x:c>
      <x:c r="J751" s="13" t="str">
        <x:f>IF(L751="","Укажите валюту",IF(NOT(ISNUMBER(K751)),"Укажите объём",IF(K751&lt;=0,"Укажите объём",IF(K751&gt;F751,"Объём выше излишка",IF(COUNT(M751:O751)&lt;3,"Нужны цены",IF(COUNT(P751:R751)&lt;3,"Нужны расходы",IF(OR(M751&lt;0,N751&lt;0,O751&lt;0,O751&gt;100,P751&lt;0,Q751&lt;0,R751&lt;0,R751&gt;100),"Проверьте значения","Рассчитано")))))))</x:f>
        <x:v>Нужны цены</x:v>
      </x:c>
      <x:c r="K751" s="36" t="n">
        <x:v>8</x:v>
      </x:c>
      <x:c r="L751" s="19" t="str">
        <x:v>KZT</x:v>
      </x:c>
      <x:c r="M751" s="22"/>
      <x:c r="N751" s="22"/>
      <x:c r="O751" s="28"/>
      <x:c r="P751" s="22"/>
      <x:c r="Q751" s="22"/>
      <x:c r="R751" s="28"/>
      <x:c r="S751" s="22"/>
      <x:c r="T751" s="37" t="n">
        <x:f>K751</x:f>
        <x:v>8</x:v>
      </x:c>
      <x:c r="U751" s="21" t="str">
        <x:f>IF(J751="Рассчитано",N751*(1-O751/100),"н/д")</x:f>
        <x:v>н/д</x:v>
      </x:c>
      <x:c r="V751" s="21" t="str">
        <x:f>IF(J751="Рассчитано",T751*U751,"н/д")</x:f>
        <x:v>н/д</x:v>
      </x:c>
      <x:c r="W751" s="21" t="str">
        <x:f>IF(J751="Рассчитано",T751*M751,"н/д")</x:f>
        <x:v>н/д</x:v>
      </x:c>
      <x:c r="X751" s="21" t="str">
        <x:f>IF(J751="Рассчитано",V751-W751,"н/д")</x:f>
        <x:v>н/д</x:v>
      </x:c>
      <x:c r="Y751" s="27" t="str">
        <x:f>IF(J751="Рассчитано",IF(V751&gt;0,G751/V751,"н/д"),"н/д")</x:f>
        <x:v>н/д</x:v>
      </x:c>
      <x:c r="Z751" s="21" t="str">
        <x:f>"н/д"</x:f>
        <x:v>н/д</x:v>
      </x:c>
      <x:c r="AA751" s="21" t="str">
        <x:f>"н/д"</x:f>
        <x:v>н/д</x:v>
      </x:c>
      <x:c r="AB751" s="21" t="str">
        <x:f>"н/д"</x:f>
        <x:v>н/д</x:v>
      </x:c>
      <x:c r="AC751" s="21" t="str">
        <x:f>IF(AND(J751="Рассчитано",T751&gt;0,R751&lt;100),(W751+P751+Q751)/(T751*(1-R751/100)),"н/д")</x:f>
        <x:v>н/д</x:v>
      </x:c>
      <x:c r="AD751" s="10" t="str">
        <x:f>IF(ISNUMBER(G751),IF(G751&lt;0,"Убыток",IF(G751=0,"Без прибыли","Прибыль &gt; 0")),"Не оценён")</x:f>
        <x:v>Не оценён</x:v>
      </x:c>
      <x:c r="AE751" s="13" t="str">
        <x:f>IF(J751="Рассчитано","Выручка "&amp;TEXT(V751,"0.00")&amp;" - себестоимость "&amp;TEXT(W751,"0.00")&amp;" - комиссия "&amp;TEXT(V751*R751/100,"0.00")&amp;" - доставка "&amp;TEXT(P751,"0.00")&amp;" - прочие "&amp;TEXT(Q751,"0.00")&amp;" = "&amp;TEXT(G751,"0.00")&amp;" "&amp;L751,"Введите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1" s="24" t="n">
        <x:v>30.92902059021495</x:v>
      </x:c>
      <x:c r="AG751" s="37" t="n">
        <x:v>39</x:v>
      </x:c>
      <x:c r="AH751" s="37" t="n">
        <x:v>10</x:v>
      </x:c>
      <x:c r="AI751" s="30" t="n">
        <x:v>46266</x:v>
      </x:c>
      <x:c r="AJ751" s="37" t="n">
        <x:v>10</x:v>
      </x:c>
      <x:c r="AK751" s="10" t="str">
        <x:v>минимум</x:v>
      </x:c>
      <x:c r="AL751" s="32" t="n">
        <x:v>107.23029075431779</x:v>
      </x:c>
      <x:c r="AM751" s="13" t="str">
        <x:v>Остаток на начало сентября; Резервы неизвестны; Нет ежедневных данных доступности. Запас выше прогноза на 90 дней</x:v>
      </x:c>
      <x:c r="AN751" s="13" t="str">
        <x:v>Проверить свободный остаток и установить цену для B2B</x:v>
      </x:c>
      <x:c r="AO751" s="13" t="str">
        <x:v>Остаток 39; прогноз 90 дней 30.93; избыток 8 шт. Будущие поступления не выставляются на продажу. Остаток на начало сентября: требуется актуализация.</x:v>
      </x:c>
      <x:c r="AP751" s="13" t="str">
        <x:v>["category_missing", "daily_stockout_data_missing", "new_order_lead_time_unknown", "reservations_unknown", "stale_stock"]</x:v>
      </x:c>
      <x:c r="AQ751" s="10" t="str">
        <x:v>IEK:130900006_</x:v>
      </x:c>
      <x:c r="AR751" s="24" t="n">
        <x:v>1</x:v>
      </x:c>
      <x:c r="AS751" s="24" t="n">
        <x:v>0</x:v>
      </x:c>
      <x:c r="AT751" s="24" t="n">
        <x:v>0</x:v>
      </x:c>
    </x:row>
    <x:row r="752" ht="64" customHeight="1">
      <x:c r="A752" s="11" t="str">
        <x:v>IEK</x:v>
      </x:c>
      <x:c r="B752" s="33" t="str">
        <x:v>130900008_</x:v>
      </x:c>
      <x:c r="C752" s="33" t="str">
        <x:v>BSW10-ALCLR-3-K02</x:v>
      </x:c>
      <x:c r="D752" s="12" t="str">
        <x:v>Кнопка ALCLR-22 (черный.на 3 полож) IEK (10/200)</x:v>
      </x:c>
      <x:c r="E752" s="11" t="str">
        <x:v>шт</x:v>
      </x:c>
      <x:c r="F752" s="35" t="n">
        <x:f>MAX(0,ROUNDDOWN((AG752-AF752)/AR752+0.000000001,0)*AR752)</x:f>
        <x:v>25</x:v>
      </x:c>
      <x:c r="G752" s="20" t="str">
        <x:f>IF(J752="Рассчитано",V752*(1-R752/100)-W752-P752-Q752,"н/д")</x:f>
        <x:v>н/д</x:v>
      </x:c>
      <x:c r="H752" s="12" t="str">
        <x:v>Высокий</x:v>
      </x:c>
      <x:c r="I752" s="12" t="str">
        <x:v>Высокий</x:v>
      </x:c>
      <x:c r="J752" s="12" t="str">
        <x:f>IF(L752="","Укажите валюту",IF(NOT(ISNUMBER(K752)),"Укажите объём",IF(K752&lt;=0,"Укажите объём",IF(K752&gt;F752,"Объём выше излишка",IF(COUNT(M752:O752)&lt;3,"Нужны цены",IF(COUNT(P752:R752)&lt;3,"Нужны расходы",IF(OR(M752&lt;0,N752&lt;0,O752&lt;0,O752&gt;100,P752&lt;0,Q752&lt;0,R752&lt;0,R752&gt;100),"Проверьте значения","Рассчитано")))))))</x:f>
        <x:v>Нужны цены</x:v>
      </x:c>
      <x:c r="K752" s="36" t="n">
        <x:v>25</x:v>
      </x:c>
      <x:c r="L752" s="19" t="str">
        <x:v>KZT</x:v>
      </x:c>
      <x:c r="M752" s="22"/>
      <x:c r="N752" s="22"/>
      <x:c r="O752" s="28"/>
      <x:c r="P752" s="22"/>
      <x:c r="Q752" s="22"/>
      <x:c r="R752" s="28"/>
      <x:c r="S752" s="22"/>
      <x:c r="T752" s="35" t="n">
        <x:f>K752</x:f>
        <x:v>25</x:v>
      </x:c>
      <x:c r="U752" s="20" t="str">
        <x:f>IF(J752="Рассчитано",N752*(1-O752/100),"н/д")</x:f>
        <x:v>н/д</x:v>
      </x:c>
      <x:c r="V752" s="20" t="str">
        <x:f>IF(J752="Рассчитано",T752*U752,"н/д")</x:f>
        <x:v>н/д</x:v>
      </x:c>
      <x:c r="W752" s="20" t="str">
        <x:f>IF(J752="Рассчитано",T752*M752,"н/д")</x:f>
        <x:v>н/д</x:v>
      </x:c>
      <x:c r="X752" s="20" t="str">
        <x:f>IF(J752="Рассчитано",V752-W752,"н/д")</x:f>
        <x:v>н/д</x:v>
      </x:c>
      <x:c r="Y752" s="26" t="str">
        <x:f>IF(J752="Рассчитано",IF(V752&gt;0,G752/V752,"н/д"),"н/д")</x:f>
        <x:v>н/д</x:v>
      </x:c>
      <x:c r="Z752" s="20" t="str">
        <x:f>"н/д"</x:f>
        <x:v>н/д</x:v>
      </x:c>
      <x:c r="AA752" s="20" t="str">
        <x:f>"н/д"</x:f>
        <x:v>н/д</x:v>
      </x:c>
      <x:c r="AB752" s="20" t="str">
        <x:f>"н/д"</x:f>
        <x:v>н/д</x:v>
      </x:c>
      <x:c r="AC752" s="20" t="str">
        <x:f>IF(AND(J752="Рассчитано",T752&gt;0,R752&lt;100),(W752+P752+Q752)/(T752*(1-R752/100)),"н/д")</x:f>
        <x:v>н/д</x:v>
      </x:c>
      <x:c r="AD752" s="11" t="str">
        <x:f>IF(ISNUMBER(G752),IF(G752&lt;0,"Убыток",IF(G752=0,"Без прибыли","Прибыль &gt; 0")),"Не оценён")</x:f>
        <x:v>Не оценён</x:v>
      </x:c>
      <x:c r="AE752" s="12" t="str">
        <x:f>IF(J752="Рассчитано","Выручка "&amp;TEXT(V752,"0.00")&amp;" - себестоимость "&amp;TEXT(W752,"0.00")&amp;" - комиссия "&amp;TEXT(V752*R752/100,"0.00")&amp;" - доставка "&amp;TEXT(P752,"0.00")&amp;" - прочие "&amp;TEXT(Q752,"0.00")&amp;" = "&amp;TEXT(G752,"0.00")&amp;" "&amp;L752,"Введите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2" s="23" t="n">
        <x:v>22.410483861564337</x:v>
      </x:c>
      <x:c r="AG752" s="35" t="n">
        <x:v>48</x:v>
      </x:c>
      <x:c r="AH752" s="35" t="n">
        <x:v>10</x:v>
      </x:c>
      <x:c r="AI752" s="29" t="n">
        <x:v>46266</x:v>
      </x:c>
      <x:c r="AJ752" s="35" t="n">
        <x:v>10</x:v>
      </x:c>
      <x:c r="AK752" s="11" t="str">
        <x:v>минимум</x:v>
      </x:c>
      <x:c r="AL752" s="31" t="n">
        <x:v>182.1415584501026</x:v>
      </x:c>
      <x:c r="AM75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52" s="12" t="str">
        <x:v>Проверить свободный остаток и установить цену для B2B</x:v>
      </x:c>
      <x:c r="AO752" s="12" t="str">
        <x:v>Остаток 48; прогноз 90 дней 22.41; избыток 25 шт. Будущие поступления не выставляются на продажу. Остаток на начало сентября: требуется актуализация.</x:v>
      </x:c>
      <x:c r="AP752" s="12" t="str">
        <x:v>["category_missing", "daily_stockout_data_missing", "new_order_lead_time_unknown", "reservations_unknown", "stale_stock"]</x:v>
      </x:c>
      <x:c r="AQ752" s="11" t="str">
        <x:v>IEK:130900008_</x:v>
      </x:c>
      <x:c r="AR752" s="23" t="n">
        <x:v>1</x:v>
      </x:c>
      <x:c r="AS752" s="23" t="n">
        <x:v>0</x:v>
      </x:c>
      <x:c r="AT752" s="23" t="n">
        <x:v>0</x:v>
      </x:c>
    </x:row>
    <x:row r="753" ht="64" customHeight="1">
      <x:c r="A753" s="10" t="str">
        <x:v>IEK</x:v>
      </x:c>
      <x:c r="B753" s="34" t="str">
        <x:v>130900010_</x:v>
      </x:c>
      <x:c r="C753" s="34" t="str">
        <x:v>BSW10-ANC-2-K04</x:v>
      </x:c>
      <x:c r="D753" s="13" t="str">
        <x:v>Переключатель ANC-22-2 (красный неон на 2 полож)  IEK (10/200)</x:v>
      </x:c>
      <x:c r="E753" s="10" t="str">
        <x:v>шт</x:v>
      </x:c>
      <x:c r="F753" s="37" t="n">
        <x:f>MAX(0,ROUNDDOWN((AG753-AF753)/AR753+0.000000001,0)*AR753)</x:f>
        <x:v>17</x:v>
      </x:c>
      <x:c r="G753" s="21" t="str">
        <x:f>IF(J753="Рассчитано",V753*(1-R753/100)-W753-P753-Q753,"н/д")</x:f>
        <x:v>н/д</x:v>
      </x:c>
      <x:c r="H753" s="13" t="str">
        <x:v>Высокий</x:v>
      </x:c>
      <x:c r="I753" s="13" t="str">
        <x:v>Высокий</x:v>
      </x:c>
      <x:c r="J753" s="13" t="str">
        <x:f>IF(L753="","Укажите валюту",IF(NOT(ISNUMBER(K753)),"Укажите объём",IF(K753&lt;=0,"Укажите объём",IF(K753&gt;F753,"Объём выше излишка",IF(COUNT(M753:O753)&lt;3,"Нужны цены",IF(COUNT(P753:R753)&lt;3,"Нужны расходы",IF(OR(M753&lt;0,N753&lt;0,O753&lt;0,O753&gt;100,P753&lt;0,Q753&lt;0,R753&lt;0,R753&gt;100),"Проверьте значения","Рассчитано")))))))</x:f>
        <x:v>Нужны цены</x:v>
      </x:c>
      <x:c r="K753" s="36" t="n">
        <x:v>17</x:v>
      </x:c>
      <x:c r="L753" s="19" t="str">
        <x:v>KZT</x:v>
      </x:c>
      <x:c r="M753" s="22"/>
      <x:c r="N753" s="22"/>
      <x:c r="O753" s="28"/>
      <x:c r="P753" s="22"/>
      <x:c r="Q753" s="22"/>
      <x:c r="R753" s="28"/>
      <x:c r="S753" s="22"/>
      <x:c r="T753" s="37" t="n">
        <x:f>K753</x:f>
        <x:v>17</x:v>
      </x:c>
      <x:c r="U753" s="21" t="str">
        <x:f>IF(J753="Рассчитано",N753*(1-O753/100),"н/д")</x:f>
        <x:v>н/д</x:v>
      </x:c>
      <x:c r="V753" s="21" t="str">
        <x:f>IF(J753="Рассчитано",T753*U753,"н/д")</x:f>
        <x:v>н/д</x:v>
      </x:c>
      <x:c r="W753" s="21" t="str">
        <x:f>IF(J753="Рассчитано",T753*M753,"н/д")</x:f>
        <x:v>н/д</x:v>
      </x:c>
      <x:c r="X753" s="21" t="str">
        <x:f>IF(J753="Рассчитано",V753-W753,"н/д")</x:f>
        <x:v>н/д</x:v>
      </x:c>
      <x:c r="Y753" s="27" t="str">
        <x:f>IF(J753="Рассчитано",IF(V753&gt;0,G753/V753,"н/д"),"н/д")</x:f>
        <x:v>н/д</x:v>
      </x:c>
      <x:c r="Z753" s="21" t="str">
        <x:f>"н/д"</x:f>
        <x:v>н/д</x:v>
      </x:c>
      <x:c r="AA753" s="21" t="str">
        <x:f>"н/д"</x:f>
        <x:v>н/д</x:v>
      </x:c>
      <x:c r="AB753" s="21" t="str">
        <x:f>"н/д"</x:f>
        <x:v>н/д</x:v>
      </x:c>
      <x:c r="AC753" s="21" t="str">
        <x:f>IF(AND(J753="Рассчитано",T753&gt;0,R753&lt;100),(W753+P753+Q753)/(T753*(1-R753/100)),"н/д")</x:f>
        <x:v>н/д</x:v>
      </x:c>
      <x:c r="AD753" s="10" t="str">
        <x:f>IF(ISNUMBER(G753),IF(G753&lt;0,"Убыток",IF(G753=0,"Без прибыли","Прибыль &gt; 0")),"Не оценён")</x:f>
        <x:v>Не оценён</x:v>
      </x:c>
      <x:c r="AE753" s="13" t="str">
        <x:f>IF(J753="Рассчитано","Выручка "&amp;TEXT(V753,"0.00")&amp;" - себестоимость "&amp;TEXT(W753,"0.00")&amp;" - комиссия "&amp;TEXT(V753*R753/100,"0.00")&amp;" - доставка "&amp;TEXT(P753,"0.00")&amp;" - прочие "&amp;TEXT(Q753,"0.00")&amp;" = "&amp;TEXT(G753,"0.00")&amp;" "&amp;L753,"Введите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3" s="24" t="n">
        <x:v>5.314772726752983</x:v>
      </x:c>
      <x:c r="AG753" s="37" t="n">
        <x:v>23</x:v>
      </x:c>
      <x:c r="AH753" s="37" t="n">
        <x:v>0</x:v>
      </x:c>
      <x:c r="AI753" s="30" t="n">
        <x:v>46266</x:v>
      </x:c>
      <x:c r="AJ753" s="37" t="n">
        <x:v>10</x:v>
      </x:c>
      <x:c r="AK753" s="10" t="str">
        <x:v>минимум</x:v>
      </x:c>
      <x:c r="AL753" s="32" t="n">
        <x:v>368.01217144574116</x:v>
      </x:c>
      <x:c r="AM7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53" s="13" t="str">
        <x:v>Проверить свободный остаток и установить цену для B2B</x:v>
      </x:c>
      <x:c r="AO753" s="13" t="str">
        <x:v>Остаток 23; прогноз 90 дней 5.31; избыток 17 шт. Будущие поступления не выставляются на продажу. Остаток на начало сентября: требуется актуализация.</x:v>
      </x:c>
      <x:c r="AP753" s="13" t="str">
        <x:v>["category_missing", "daily_stockout_data_missing", "new_order_lead_time_unknown", "reservations_unknown", "stale_stock"]</x:v>
      </x:c>
      <x:c r="AQ753" s="10" t="str">
        <x:v>IEK:130900010_</x:v>
      </x:c>
      <x:c r="AR753" s="24" t="n">
        <x:v>1</x:v>
      </x:c>
      <x:c r="AS753" s="24" t="n">
        <x:v>0</x:v>
      </x:c>
      <x:c r="AT753" s="24" t="n">
        <x:v>0</x:v>
      </x:c>
    </x:row>
    <x:row r="754" ht="64" customHeight="1">
      <x:c r="A754" s="11" t="str">
        <x:v>IEK</x:v>
      </x:c>
      <x:c r="B754" s="33" t="str">
        <x:v>130900017_</x:v>
      </x:c>
      <x:c r="C754" s="33" t="str">
        <x:v>BBG60-AEAL-K04</x:v>
      </x:c>
      <x:c r="D754" s="12" t="str">
        <x:v>Кнопка AEAL-22 (грибок с фиксац.красн) IEK (10/200)</x:v>
      </x:c>
      <x:c r="E754" s="11" t="str">
        <x:v>шт</x:v>
      </x:c>
      <x:c r="F754" s="35" t="n">
        <x:f>MAX(0,ROUNDDOWN((AG754-AF754)/AR754+0.000000001,0)*AR754)</x:f>
        <x:v>119</x:v>
      </x:c>
      <x:c r="G754" s="20" t="str">
        <x:f>IF(J754="Рассчитано",V754*(1-R754/100)-W754-P754-Q754,"н/д")</x:f>
        <x:v>н/д</x:v>
      </x:c>
      <x:c r="H754" s="12" t="str">
        <x:v>Высокий</x:v>
      </x:c>
      <x:c r="I754" s="12" t="str">
        <x:v>Высокий</x:v>
      </x:c>
      <x:c r="J754" s="12" t="str">
        <x:f>IF(L754="","Укажите валюту",IF(NOT(ISNUMBER(K754)),"Укажите объём",IF(K754&lt;=0,"Укажите объём",IF(K754&gt;F754,"Объём выше излишка",IF(COUNT(M754:O754)&lt;3,"Нужны цены",IF(COUNT(P754:R754)&lt;3,"Нужны расходы",IF(OR(M754&lt;0,N754&lt;0,O754&lt;0,O754&gt;100,P754&lt;0,Q754&lt;0,R754&lt;0,R754&gt;100),"Проверьте значения","Рассчитано")))))))</x:f>
        <x:v>Нужны цены</x:v>
      </x:c>
      <x:c r="K754" s="36" t="n">
        <x:v>119</x:v>
      </x:c>
      <x:c r="L754" s="19" t="str">
        <x:v>KZT</x:v>
      </x:c>
      <x:c r="M754" s="22"/>
      <x:c r="N754" s="22"/>
      <x:c r="O754" s="28"/>
      <x:c r="P754" s="22"/>
      <x:c r="Q754" s="22"/>
      <x:c r="R754" s="28"/>
      <x:c r="S754" s="22"/>
      <x:c r="T754" s="35" t="n">
        <x:f>K754</x:f>
        <x:v>119</x:v>
      </x:c>
      <x:c r="U754" s="20" t="str">
        <x:f>IF(J754="Рассчитано",N754*(1-O754/100),"н/д")</x:f>
        <x:v>н/д</x:v>
      </x:c>
      <x:c r="V754" s="20" t="str">
        <x:f>IF(J754="Рассчитано",T754*U754,"н/д")</x:f>
        <x:v>н/д</x:v>
      </x:c>
      <x:c r="W754" s="20" t="str">
        <x:f>IF(J754="Рассчитано",T754*M754,"н/д")</x:f>
        <x:v>н/д</x:v>
      </x:c>
      <x:c r="X754" s="20" t="str">
        <x:f>IF(J754="Рассчитано",V754-W754,"н/д")</x:f>
        <x:v>н/д</x:v>
      </x:c>
      <x:c r="Y754" s="26" t="str">
        <x:f>IF(J754="Рассчитано",IF(V754&gt;0,G754/V754,"н/д"),"н/д")</x:f>
        <x:v>н/д</x:v>
      </x:c>
      <x:c r="Z754" s="20" t="str">
        <x:f>"н/д"</x:f>
        <x:v>н/д</x:v>
      </x:c>
      <x:c r="AA754" s="20" t="str">
        <x:f>"н/д"</x:f>
        <x:v>н/д</x:v>
      </x:c>
      <x:c r="AB754" s="20" t="str">
        <x:f>"н/д"</x:f>
        <x:v>н/д</x:v>
      </x:c>
      <x:c r="AC754" s="20" t="str">
        <x:f>IF(AND(J754="Рассчитано",T754&gt;0,R754&lt;100),(W754+P754+Q754)/(T754*(1-R754/100)),"н/д")</x:f>
        <x:v>н/д</x:v>
      </x:c>
      <x:c r="AD754" s="11" t="str">
        <x:f>IF(ISNUMBER(G754),IF(G754&lt;0,"Убыток",IF(G754=0,"Без прибыли","Прибыль &gt; 0")),"Не оценён")</x:f>
        <x:v>Не оценён</x:v>
      </x:c>
      <x:c r="AE754" s="12" t="str">
        <x:f>IF(J754="Рассчитано","Выручка "&amp;TEXT(V754,"0.00")&amp;" - себестоимость "&amp;TEXT(W754,"0.00")&amp;" - комиссия "&amp;TEXT(V754*R754/100,"0.00")&amp;" - доставка "&amp;TEXT(P754,"0.00")&amp;" - прочие "&amp;TEXT(Q754,"0.00")&amp;" = "&amp;TEXT(G754,"0.00")&amp;" "&amp;L754,"Введите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4" s="23" t="n">
        <x:v>35.280782252123984</x:v>
      </x:c>
      <x:c r="AG754" s="35" t="n">
        <x:v>155</x:v>
      </x:c>
      <x:c r="AH754" s="35" t="n">
        <x:v>0</x:v>
      </x:c>
      <x:c r="AI754" s="29" t="n">
        <x:v>46266</x:v>
      </x:c>
      <x:c r="AJ754" s="35" t="n">
        <x:v>10</x:v>
      </x:c>
      <x:c r="AK754" s="11" t="str">
        <x:v>минимум</x:v>
      </x:c>
      <x:c r="AL754" s="31" t="n">
        <x:v>373.6048767902957</x:v>
      </x:c>
      <x:c r="AM75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54" s="12" t="str">
        <x:v>Проверить свободный остаток и установить цену для B2B</x:v>
      </x:c>
      <x:c r="AO754" s="12" t="str">
        <x:v>Остаток 155; прогноз 90 дней 35.28; избыток 119 шт. Будущие поступления не выставляются на продажу. Остаток на начало сентября: требуется актуализация.</x:v>
      </x:c>
      <x:c r="AP754" s="12" t="str">
        <x:v>["category_missing", "daily_stockout_data_missing", "large_orders_detected", "new_order_lead_time_unknown", "reservations_unknown", "stale_stock"]</x:v>
      </x:c>
      <x:c r="AQ754" s="11" t="str">
        <x:v>IEK:130900017_</x:v>
      </x:c>
      <x:c r="AR754" s="23" t="n">
        <x:v>1</x:v>
      </x:c>
      <x:c r="AS754" s="23" t="n">
        <x:v>0</x:v>
      </x:c>
      <x:c r="AT754" s="23" t="n">
        <x:v>0</x:v>
      </x:c>
    </x:row>
    <x:row r="755" ht="64" customHeight="1">
      <x:c r="A755" s="10" t="str">
        <x:v>IEK</x:v>
      </x:c>
      <x:c r="B755" s="34" t="str">
        <x:v>130900019_</x:v>
      </x:c>
      <x:c r="C755" s="34" t="str">
        <x:v>BBT40-SB7-K04</x:v>
      </x:c>
      <x:c r="D755" s="13" t="str">
        <x:v>Кнопка SB-7 "СТОП" (красная Ø22мм) IEK (10/500)</x:v>
      </x:c>
      <x:c r="E755" s="10" t="str">
        <x:v>шт</x:v>
      </x:c>
      <x:c r="F755" s="37" t="n">
        <x:f>MAX(0,ROUNDDOWN((AG755-AF755)/AR755+0.000000001,0)*AR755)</x:f>
        <x:v>168</x:v>
      </x:c>
      <x:c r="G755" s="21" t="str">
        <x:f>IF(J755="Рассчитано",V755*(1-R755/100)-W755-P755-Q755,"н/д")</x:f>
        <x:v>н/д</x:v>
      </x:c>
      <x:c r="H755" s="13" t="str">
        <x:v>Высокий</x:v>
      </x:c>
      <x:c r="I755" s="13" t="str">
        <x:v>Средний</x:v>
      </x:c>
      <x:c r="J755" s="13" t="str">
        <x:f>IF(L755="","Укажите валюту",IF(NOT(ISNUMBER(K755)),"Укажите объём",IF(K755&lt;=0,"Укажите объём",IF(K755&gt;F755,"Объём выше излишка",IF(COUNT(M755:O755)&lt;3,"Нужны цены",IF(COUNT(P755:R755)&lt;3,"Нужны расходы",IF(OR(M755&lt;0,N755&lt;0,O755&lt;0,O755&gt;100,P755&lt;0,Q755&lt;0,R755&lt;0,R755&gt;100),"Проверьте значения","Рассчитано")))))))</x:f>
        <x:v>Нужны цены</x:v>
      </x:c>
      <x:c r="K755" s="36" t="n">
        <x:v>168</x:v>
      </x:c>
      <x:c r="L755" s="19" t="str">
        <x:v>KZT</x:v>
      </x:c>
      <x:c r="M755" s="22"/>
      <x:c r="N755" s="22"/>
      <x:c r="O755" s="28"/>
      <x:c r="P755" s="22"/>
      <x:c r="Q755" s="22"/>
      <x:c r="R755" s="28"/>
      <x:c r="S755" s="22"/>
      <x:c r="T755" s="37" t="n">
        <x:f>K755</x:f>
        <x:v>168</x:v>
      </x:c>
      <x:c r="U755" s="21" t="str">
        <x:f>IF(J755="Рассчитано",N755*(1-O755/100),"н/д")</x:f>
        <x:v>н/д</x:v>
      </x:c>
      <x:c r="V755" s="21" t="str">
        <x:f>IF(J755="Рассчитано",T755*U755,"н/д")</x:f>
        <x:v>н/д</x:v>
      </x:c>
      <x:c r="W755" s="21" t="str">
        <x:f>IF(J755="Рассчитано",T755*M755,"н/д")</x:f>
        <x:v>н/д</x:v>
      </x:c>
      <x:c r="X755" s="21" t="str">
        <x:f>IF(J755="Рассчитано",V755-W755,"н/д")</x:f>
        <x:v>н/д</x:v>
      </x:c>
      <x:c r="Y755" s="27" t="str">
        <x:f>IF(J755="Рассчитано",IF(V755&gt;0,G755/V755,"н/д"),"н/д")</x:f>
        <x:v>н/д</x:v>
      </x:c>
      <x:c r="Z755" s="21" t="str">
        <x:f>"н/д"</x:f>
        <x:v>н/д</x:v>
      </x:c>
      <x:c r="AA755" s="21" t="str">
        <x:f>"н/д"</x:f>
        <x:v>н/д</x:v>
      </x:c>
      <x:c r="AB755" s="21" t="str">
        <x:f>"н/д"</x:f>
        <x:v>н/д</x:v>
      </x:c>
      <x:c r="AC755" s="21" t="str">
        <x:f>IF(AND(J755="Рассчитано",T755&gt;0,R755&lt;100),(W755+P755+Q755)/(T755*(1-R755/100)),"н/д")</x:f>
        <x:v>н/д</x:v>
      </x:c>
      <x:c r="AD755" s="10" t="str">
        <x:f>IF(ISNUMBER(G755),IF(G755&lt;0,"Убыток",IF(G755=0,"Без прибыли","Прибыль &gt; 0")),"Не оценён")</x:f>
        <x:v>Не оценён</x:v>
      </x:c>
      <x:c r="AE755" s="13" t="str">
        <x:f>IF(J755="Рассчитано","Выручка "&amp;TEXT(V755,"0.00")&amp;" - себестоимость "&amp;TEXT(W755,"0.00")&amp;" - комиссия "&amp;TEXT(V755*R755/100,"0.00")&amp;" - доставка "&amp;TEXT(P755,"0.00")&amp;" - прочие "&amp;TEXT(Q755,"0.00")&amp;" = "&amp;TEXT(G755,"0.00")&amp;" "&amp;L755,"Введите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5" s="24" t="n">
        <x:v>344.06155872946306</x:v>
      </x:c>
      <x:c r="AG755" s="37" t="n">
        <x:v>513</x:v>
      </x:c>
      <x:c r="AH755" s="37" t="n">
        <x:v>100</x:v>
      </x:c>
      <x:c r="AI755" s="30" t="n">
        <x:v>46266</x:v>
      </x:c>
      <x:c r="AJ755" s="37" t="n">
        <x:v>10</x:v>
      </x:c>
      <x:c r="AK755" s="10" t="str">
        <x:v>минимум</x:v>
      </x:c>
      <x:c r="AL755" s="32" t="n">
        <x:v>126.79445369129071</x:v>
      </x:c>
      <x:c r="AM75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755" s="13" t="str">
        <x:v>Проверить свободный остаток и установить цену для B2B</x:v>
      </x:c>
      <x:c r="AO755" s="13" t="str">
        <x:v>Остаток 513; прогноз 90 дней 344.06; избыток 168 шт. Будущие поступления не выставляются на продажу. Остаток на начало сентября: требуется актуализация.</x:v>
      </x:c>
      <x:c r="AP755" s="13" t="str">
        <x:v>["category_missing", "daily_stockout_data_missing", "large_orders_detected", "new_order_lead_time_unknown", "reservations_unknown", "stale_stock", "transaction_month_mismatch"]</x:v>
      </x:c>
      <x:c r="AQ755" s="10" t="str">
        <x:v>IEK:130900019_</x:v>
      </x:c>
      <x:c r="AR755" s="24" t="n">
        <x:v>1</x:v>
      </x:c>
      <x:c r="AS755" s="24" t="n">
        <x:v>0</x:v>
      </x:c>
      <x:c r="AT755" s="24" t="n">
        <x:v>0</x:v>
      </x:c>
    </x:row>
    <x:row r="756" ht="64" customHeight="1">
      <x:c r="A756" s="11" t="str">
        <x:v>IEK</x:v>
      </x:c>
      <x:c r="B756" s="33" t="str">
        <x:v>130900020_</x:v>
      </x:c>
      <x:c r="C756" s="33" t="str">
        <x:v>BBT40-SB7-K06</x:v>
      </x:c>
      <x:c r="D756" s="12" t="str">
        <x:v>Кнопка SB-7 "ПУСК" (зеленая Ø22мм) IEK (10/500)</x:v>
      </x:c>
      <x:c r="E756" s="11" t="str">
        <x:v>шт</x:v>
      </x:c>
      <x:c r="F756" s="35" t="n">
        <x:f>MAX(0,ROUNDDOWN((AG756-AF756)/AR756+0.000000001,0)*AR756)</x:f>
        <x:v>157</x:v>
      </x:c>
      <x:c r="G756" s="20" t="str">
        <x:f>IF(J756="Рассчитано",V756*(1-R756/100)-W756-P756-Q756,"н/д")</x:f>
        <x:v>н/д</x:v>
      </x:c>
      <x:c r="H756" s="12" t="str">
        <x:v>Высокий</x:v>
      </x:c>
      <x:c r="I756" s="12" t="str">
        <x:v>Средний</x:v>
      </x:c>
      <x:c r="J756" s="12" t="str">
        <x:f>IF(L756="","Укажите валюту",IF(NOT(ISNUMBER(K756)),"Укажите объём",IF(K756&lt;=0,"Укажите объём",IF(K756&gt;F756,"Объём выше излишка",IF(COUNT(M756:O756)&lt;3,"Нужны цены",IF(COUNT(P756:R756)&lt;3,"Нужны расходы",IF(OR(M756&lt;0,N756&lt;0,O756&lt;0,O756&gt;100,P756&lt;0,Q756&lt;0,R756&lt;0,R756&gt;100),"Проверьте значения","Рассчитано")))))))</x:f>
        <x:v>Нужны цены</x:v>
      </x:c>
      <x:c r="K756" s="36" t="n">
        <x:v>157</x:v>
      </x:c>
      <x:c r="L756" s="19" t="str">
        <x:v>KZT</x:v>
      </x:c>
      <x:c r="M756" s="22"/>
      <x:c r="N756" s="22"/>
      <x:c r="O756" s="28"/>
      <x:c r="P756" s="22"/>
      <x:c r="Q756" s="22"/>
      <x:c r="R756" s="28"/>
      <x:c r="S756" s="22"/>
      <x:c r="T756" s="35" t="n">
        <x:f>K756</x:f>
        <x:v>157</x:v>
      </x:c>
      <x:c r="U756" s="20" t="str">
        <x:f>IF(J756="Рассчитано",N756*(1-O756/100),"н/д")</x:f>
        <x:v>н/д</x:v>
      </x:c>
      <x:c r="V756" s="20" t="str">
        <x:f>IF(J756="Рассчитано",T756*U756,"н/д")</x:f>
        <x:v>н/д</x:v>
      </x:c>
      <x:c r="W756" s="20" t="str">
        <x:f>IF(J756="Рассчитано",T756*M756,"н/д")</x:f>
        <x:v>н/д</x:v>
      </x:c>
      <x:c r="X756" s="20" t="str">
        <x:f>IF(J756="Рассчитано",V756-W756,"н/д")</x:f>
        <x:v>н/д</x:v>
      </x:c>
      <x:c r="Y756" s="26" t="str">
        <x:f>IF(J756="Рассчитано",IF(V756&gt;0,G756/V756,"н/д"),"н/д")</x:f>
        <x:v>н/д</x:v>
      </x:c>
      <x:c r="Z756" s="20" t="str">
        <x:f>"н/д"</x:f>
        <x:v>н/д</x:v>
      </x:c>
      <x:c r="AA756" s="20" t="str">
        <x:f>"н/д"</x:f>
        <x:v>н/д</x:v>
      </x:c>
      <x:c r="AB756" s="20" t="str">
        <x:f>"н/д"</x:f>
        <x:v>н/д</x:v>
      </x:c>
      <x:c r="AC756" s="20" t="str">
        <x:f>IF(AND(J756="Рассчитано",T756&gt;0,R756&lt;100),(W756+P756+Q756)/(T756*(1-R756/100)),"н/д")</x:f>
        <x:v>н/д</x:v>
      </x:c>
      <x:c r="AD756" s="11" t="str">
        <x:f>IF(ISNUMBER(G756),IF(G756&lt;0,"Убыток",IF(G756=0,"Без прибыли","Прибыль &gt; 0")),"Не оценён")</x:f>
        <x:v>Не оценён</x:v>
      </x:c>
      <x:c r="AE756" s="12" t="str">
        <x:f>IF(J756="Рассчитано","Выручка "&amp;TEXT(V756,"0.00")&amp;" - себестоимость "&amp;TEXT(W756,"0.00")&amp;" - комиссия "&amp;TEXT(V756*R756/100,"0.00")&amp;" - доставка "&amp;TEXT(P756,"0.00")&amp;" - прочие "&amp;TEXT(Q756,"0.00")&amp;" = "&amp;TEXT(G756,"0.00")&amp;" "&amp;L756,"Введите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6" s="23" t="n">
        <x:v>342.6179369187744</x:v>
      </x:c>
      <x:c r="AG756" s="35" t="n">
        <x:v>500</x:v>
      </x:c>
      <x:c r="AH756" s="35" t="n">
        <x:v>100</x:v>
      </x:c>
      <x:c r="AI756" s="29" t="n">
        <x:v>46266</x:v>
      </x:c>
      <x:c r="AJ756" s="35" t="n">
        <x:v>10</x:v>
      </x:c>
      <x:c r="AK756" s="11" t="str">
        <x:v>минимум</x:v>
      </x:c>
      <x:c r="AL756" s="31" t="n">
        <x:v>124.10204926061627</x:v>
      </x:c>
      <x:c r="AM75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756" s="12" t="str">
        <x:v>Проверить свободный остаток и установить цену для B2B</x:v>
      </x:c>
      <x:c r="AO756" s="12" t="str">
        <x:v>Остаток 500; прогноз 90 дней 342.62; избыток 157 шт. Будущие поступления не выставляются на продажу. Остаток на начало сентября: требуется актуализация.</x:v>
      </x:c>
      <x:c r="AP756" s="12" t="str">
        <x:v>["category_missing", "daily_stockout_data_missing", "large_orders_detected", "new_order_lead_time_unknown", "reservations_unknown", "stale_stock", "transaction_month_mismatch"]</x:v>
      </x:c>
      <x:c r="AQ756" s="11" t="str">
        <x:v>IEK:130900020_</x:v>
      </x:c>
      <x:c r="AR756" s="23" t="n">
        <x:v>1</x:v>
      </x:c>
      <x:c r="AS756" s="23" t="n">
        <x:v>0</x:v>
      </x:c>
      <x:c r="AT756" s="23" t="n">
        <x:v>0</x:v>
      </x:c>
    </x:row>
    <x:row r="757" ht="64" customHeight="1">
      <x:c r="A757" s="10" t="str">
        <x:v>IEK</x:v>
      </x:c>
      <x:c r="B757" s="34" t="str">
        <x:v>130900030_</x:v>
      </x:c>
      <x:c r="C757" s="34" t="str">
        <x:v>BBG20-AELA-K04</x:v>
      </x:c>
      <x:c r="D757" s="13" t="str">
        <x:v>Кнопка AELA-22 (грибок красный неон) IEK (10/200)</x:v>
      </x:c>
      <x:c r="E757" s="10" t="str">
        <x:v>шт</x:v>
      </x:c>
      <x:c r="F757" s="37" t="n">
        <x:f>MAX(0,ROUNDDOWN((AG757-AF757)/AR757+0.000000001,0)*AR757)</x:f>
        <x:v>12</x:v>
      </x:c>
      <x:c r="G757" s="21" t="str">
        <x:f>IF(J757="Рассчитано",V757*(1-R757/100)-W757-P757-Q757,"н/д")</x:f>
        <x:v>н/д</x:v>
      </x:c>
      <x:c r="H757" s="13" t="str">
        <x:v>Высокий</x:v>
      </x:c>
      <x:c r="I757" s="13" t="str">
        <x:v>Высокий</x:v>
      </x:c>
      <x:c r="J757" s="13" t="str">
        <x:f>IF(L757="","Укажите валюту",IF(NOT(ISNUMBER(K757)),"Укажите объём",IF(K757&lt;=0,"Укажите объём",IF(K757&gt;F757,"Объём выше излишка",IF(COUNT(M757:O757)&lt;3,"Нужны цены",IF(COUNT(P757:R757)&lt;3,"Нужны расходы",IF(OR(M757&lt;0,N757&lt;0,O757&lt;0,O757&gt;100,P757&lt;0,Q757&lt;0,R757&lt;0,R757&gt;100),"Проверьте значения","Рассчитано")))))))</x:f>
        <x:v>Нужны цены</x:v>
      </x:c>
      <x:c r="K757" s="36" t="n">
        <x:v>12</x:v>
      </x:c>
      <x:c r="L757" s="19" t="str">
        <x:v>KZT</x:v>
      </x:c>
      <x:c r="M757" s="22"/>
      <x:c r="N757" s="22"/>
      <x:c r="O757" s="28"/>
      <x:c r="P757" s="22"/>
      <x:c r="Q757" s="22"/>
      <x:c r="R757" s="28"/>
      <x:c r="S757" s="22"/>
      <x:c r="T757" s="37" t="n">
        <x:f>K757</x:f>
        <x:v>12</x:v>
      </x:c>
      <x:c r="U757" s="21" t="str">
        <x:f>IF(J757="Рассчитано",N757*(1-O757/100),"н/д")</x:f>
        <x:v>н/д</x:v>
      </x:c>
      <x:c r="V757" s="21" t="str">
        <x:f>IF(J757="Рассчитано",T757*U757,"н/д")</x:f>
        <x:v>н/д</x:v>
      </x:c>
      <x:c r="W757" s="21" t="str">
        <x:f>IF(J757="Рассчитано",T757*M757,"н/д")</x:f>
        <x:v>н/д</x:v>
      </x:c>
      <x:c r="X757" s="21" t="str">
        <x:f>IF(J757="Рассчитано",V757-W757,"н/д")</x:f>
        <x:v>н/д</x:v>
      </x:c>
      <x:c r="Y757" s="27" t="str">
        <x:f>IF(J757="Рассчитано",IF(V757&gt;0,G757/V757,"н/д"),"н/д")</x:f>
        <x:v>н/д</x:v>
      </x:c>
      <x:c r="Z757" s="21" t="str">
        <x:f>"н/д"</x:f>
        <x:v>н/д</x:v>
      </x:c>
      <x:c r="AA757" s="21" t="str">
        <x:f>"н/д"</x:f>
        <x:v>н/д</x:v>
      </x:c>
      <x:c r="AB757" s="21" t="str">
        <x:f>"н/д"</x:f>
        <x:v>н/д</x:v>
      </x:c>
      <x:c r="AC757" s="21" t="str">
        <x:f>IF(AND(J757="Рассчитано",T757&gt;0,R757&lt;100),(W757+P757+Q757)/(T757*(1-R757/100)),"н/д")</x:f>
        <x:v>н/д</x:v>
      </x:c>
      <x:c r="AD757" s="10" t="str">
        <x:f>IF(ISNUMBER(G757),IF(G757&lt;0,"Убыток",IF(G757=0,"Без прибыли","Прибыль &gt; 0")),"Не оценён")</x:f>
        <x:v>Не оценён</x:v>
      </x:c>
      <x:c r="AE757" s="13" t="str">
        <x:f>IF(J757="Рассчитано","Выручка "&amp;TEXT(V757,"0.00")&amp;" - себестоимость "&amp;TEXT(W757,"0.00")&amp;" - комиссия "&amp;TEXT(V757*R757/100,"0.00")&amp;" - доставка "&amp;TEXT(P757,"0.00")&amp;" - прочие "&amp;TEXT(Q757,"0.00")&amp;" = "&amp;TEXT(G757,"0.00")&amp;" "&amp;L757,"Введите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7" s="24" t="n">
        <x:v>5.263033361735965</x:v>
      </x:c>
      <x:c r="AG757" s="37" t="n">
        <x:v>18</x:v>
      </x:c>
      <x:c r="AH757" s="37" t="n">
        <x:v>0</x:v>
      </x:c>
      <x:c r="AI757" s="30" t="n">
        <x:v>46266</x:v>
      </x:c>
      <x:c r="AJ757" s="37" t="n">
        <x:v>10</x:v>
      </x:c>
      <x:c r="AK757" s="10" t="str">
        <x:v>минимум</x:v>
      </x:c>
      <x:c r="AL757" s="32" t="n">
        <x:v>290.84086416610415</x:v>
      </x:c>
      <x:c r="AM757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757" s="13" t="str">
        <x:v>Проверить свободный остаток и установить цену для B2B</x:v>
      </x:c>
      <x:c r="AO757" s="13" t="str">
        <x:v>Остаток 18; прогноз 90 дней 5.26; избыток 12 шт. Будущие поступления не выставляются на продажу. Остаток на начало сентября: требуется актуализация.</x:v>
      </x:c>
      <x:c r="AP757" s="13" t="str">
        <x:v>["category_missing", "daily_stockout_data_missing", "large_orders_detected", "new_order_lead_time_unknown", "reservations_unknown", "stale_stock", "transaction_month_mismatch"]</x:v>
      </x:c>
      <x:c r="AQ757" s="10" t="str">
        <x:v>IEK:130900030_</x:v>
      </x:c>
      <x:c r="AR757" s="24" t="n">
        <x:v>1</x:v>
      </x:c>
      <x:c r="AS757" s="24" t="n">
        <x:v>0</x:v>
      </x:c>
      <x:c r="AT757" s="24" t="n">
        <x:v>0</x:v>
      </x:c>
    </x:row>
    <x:row r="758" ht="64" customHeight="1">
      <x:c r="A758" s="11" t="str">
        <x:v>IEK</x:v>
      </x:c>
      <x:c r="B758" s="33" t="str">
        <x:v>130900065_</x:v>
      </x:c>
      <x:c r="C758" s="33" t="str">
        <x:v>BBG30-AEA-K04</x:v>
      </x:c>
      <x:c r="D758" s="12" t="str">
        <x:v>Кнопка AEA-22  (грибок, красный)  IEK  (10/200)</x:v>
      </x:c>
      <x:c r="E758" s="11" t="str">
        <x:v>шт</x:v>
      </x:c>
      <x:c r="F758" s="35" t="n">
        <x:f>MAX(0,ROUNDDOWN((AG758-AF758)/AR758+0.000000001,0)*AR758)</x:f>
        <x:v>20</x:v>
      </x:c>
      <x:c r="G758" s="20" t="str">
        <x:f>IF(J758="Рассчитано",V758*(1-R758/100)-W758-P758-Q758,"н/д")</x:f>
        <x:v>н/д</x:v>
      </x:c>
      <x:c r="H758" s="12" t="str">
        <x:v>Высокий</x:v>
      </x:c>
      <x:c r="I758" s="12" t="str">
        <x:v>Высокий</x:v>
      </x:c>
      <x:c r="J758" s="12" t="str">
        <x:f>IF(L758="","Укажите валюту",IF(NOT(ISNUMBER(K758)),"Укажите объём",IF(K758&lt;=0,"Укажите объём",IF(K758&gt;F758,"Объём выше излишка",IF(COUNT(M758:O758)&lt;3,"Нужны цены",IF(COUNT(P758:R758)&lt;3,"Нужны расходы",IF(OR(M758&lt;0,N758&lt;0,O758&lt;0,O758&gt;100,P758&lt;0,Q758&lt;0,R758&lt;0,R758&gt;100),"Проверьте значения","Рассчитано")))))))</x:f>
        <x:v>Нужны цены</x:v>
      </x:c>
      <x:c r="K758" s="36" t="n">
        <x:v>20</x:v>
      </x:c>
      <x:c r="L758" s="19" t="str">
        <x:v>KZT</x:v>
      </x:c>
      <x:c r="M758" s="22"/>
      <x:c r="N758" s="22"/>
      <x:c r="O758" s="28"/>
      <x:c r="P758" s="22"/>
      <x:c r="Q758" s="22"/>
      <x:c r="R758" s="28"/>
      <x:c r="S758" s="22"/>
      <x:c r="T758" s="35" t="n">
        <x:f>K758</x:f>
        <x:v>20</x:v>
      </x:c>
      <x:c r="U758" s="20" t="str">
        <x:f>IF(J758="Рассчитано",N758*(1-O758/100),"н/д")</x:f>
        <x:v>н/д</x:v>
      </x:c>
      <x:c r="V758" s="20" t="str">
        <x:f>IF(J758="Рассчитано",T758*U758,"н/д")</x:f>
        <x:v>н/д</x:v>
      </x:c>
      <x:c r="W758" s="20" t="str">
        <x:f>IF(J758="Рассчитано",T758*M758,"н/д")</x:f>
        <x:v>н/д</x:v>
      </x:c>
      <x:c r="X758" s="20" t="str">
        <x:f>IF(J758="Рассчитано",V758-W758,"н/д")</x:f>
        <x:v>н/д</x:v>
      </x:c>
      <x:c r="Y758" s="26" t="str">
        <x:f>IF(J758="Рассчитано",IF(V758&gt;0,G758/V758,"н/д"),"н/д")</x:f>
        <x:v>н/д</x:v>
      </x:c>
      <x:c r="Z758" s="20" t="str">
        <x:f>"н/д"</x:f>
        <x:v>н/д</x:v>
      </x:c>
      <x:c r="AA758" s="20" t="str">
        <x:f>"н/д"</x:f>
        <x:v>н/д</x:v>
      </x:c>
      <x:c r="AB758" s="20" t="str">
        <x:f>"н/д"</x:f>
        <x:v>н/д</x:v>
      </x:c>
      <x:c r="AC758" s="20" t="str">
        <x:f>IF(AND(J758="Рассчитано",T758&gt;0,R758&lt;100),(W758+P758+Q758)/(T758*(1-R758/100)),"н/д")</x:f>
        <x:v>н/д</x:v>
      </x:c>
      <x:c r="AD758" s="11" t="str">
        <x:f>IF(ISNUMBER(G758),IF(G758&lt;0,"Убыток",IF(G758=0,"Без прибыли","Прибыль &gt; 0")),"Не оценён")</x:f>
        <x:v>Не оценён</x:v>
      </x:c>
      <x:c r="AE758" s="12" t="str">
        <x:f>IF(J758="Рассчитано","Выручка "&amp;TEXT(V758,"0.00")&amp;" - себестоимость "&amp;TEXT(W758,"0.00")&amp;" - комиссия "&amp;TEXT(V758*R758/100,"0.00")&amp;" - доставка "&amp;TEXT(P758,"0.00")&amp;" - прочие "&amp;TEXT(Q758,"0.00")&amp;" = "&amp;TEXT(G758,"0.00")&amp;" "&amp;L758,"Введите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8" s="23" t="n">
        <x:v>11.718869016508759</x:v>
      </x:c>
      <x:c r="AG758" s="35" t="n">
        <x:v>32</x:v>
      </x:c>
      <x:c r="AH758" s="35" t="n">
        <x:v>0</x:v>
      </x:c>
      <x:c r="AI758" s="29" t="n">
        <x:v>46266</x:v>
      </x:c>
      <x:c r="AJ758" s="35" t="n">
        <x:v>10</x:v>
      </x:c>
      <x:c r="AK758" s="11" t="str">
        <x:v>минимум</x:v>
      </x:c>
      <x:c r="AL758" s="31" t="n">
        <x:v>232.2112853732399</x:v>
      </x:c>
      <x:c r="AM758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758" s="12" t="str">
        <x:v>Проверить свободный остаток и установить цену для B2B</x:v>
      </x:c>
      <x:c r="AO758" s="12" t="str">
        <x:v>Остаток 32; прогноз 90 дней 11.72; избыток 20 шт. Будущие поступления не выставляются на продажу. Остаток на начало сентября: требуется актуализация.</x:v>
      </x:c>
      <x:c r="AP758" s="12" t="str">
        <x:v>["category_missing", "daily_stockout_data_missing", "large_orders_detected", "new_order_lead_time_unknown", "reservations_unknown", "stale_stock", "transaction_month_mismatch"]</x:v>
      </x:c>
      <x:c r="AQ758" s="11" t="str">
        <x:v>IEK:130900065_</x:v>
      </x:c>
      <x:c r="AR758" s="23" t="n">
        <x:v>1</x:v>
      </x:c>
      <x:c r="AS758" s="23" t="n">
        <x:v>0</x:v>
      </x:c>
      <x:c r="AT758" s="23" t="n">
        <x:v>0</x:v>
      </x:c>
    </x:row>
    <x:row r="759" ht="64" customHeight="1">
      <x:c r="A759" s="10" t="str">
        <x:v>IEK</x:v>
      </x:c>
      <x:c r="B759" s="34" t="str">
        <x:v>150100494_</x:v>
      </x:c>
      <x:c r="C759" s="34"/>
      <x:c r="D759" s="13" t="str">
        <x:v>LED ДВО Опал 36w/2800lm 595x595x10 6500K IP20 IEK (драйвера приобретаются отдельно)</x:v>
      </x:c>
      <x:c r="E759" s="10" t="str">
        <x:v>шт</x:v>
      </x:c>
      <x:c r="F759" s="37" t="n">
        <x:f>MAX(0,ROUNDDOWN((AG759-AF759)/AR759+0.000000001,0)*AR759)</x:f>
        <x:v>15</x:v>
      </x:c>
      <x:c r="G759" s="21" t="str">
        <x:f>IF(J759="Рассчитано",V759*(1-R759/100)-W759-P759-Q759,"н/д")</x:f>
        <x:v>н/д</x:v>
      </x:c>
      <x:c r="H759" s="13" t="str">
        <x:v>Высокий</x:v>
      </x:c>
      <x:c r="I759" s="13" t="str">
        <x:v>Высокий</x:v>
      </x:c>
      <x:c r="J759" s="13" t="str">
        <x:f>IF(L759="","Укажите валюту",IF(NOT(ISNUMBER(K759)),"Укажите объём",IF(K759&lt;=0,"Укажите объём",IF(K759&gt;F759,"Объём выше излишка",IF(COUNT(M759:O759)&lt;3,"Нужны цены",IF(COUNT(P759:R759)&lt;3,"Нужны расходы",IF(OR(M759&lt;0,N759&lt;0,O759&lt;0,O759&gt;100,P759&lt;0,Q759&lt;0,R759&lt;0,R759&gt;100),"Проверьте значения","Рассчитано")))))))</x:f>
        <x:v>Нужны цены</x:v>
      </x:c>
      <x:c r="K759" s="36" t="n">
        <x:v>15</x:v>
      </x:c>
      <x:c r="L759" s="19" t="str">
        <x:v>KZT</x:v>
      </x:c>
      <x:c r="M759" s="22"/>
      <x:c r="N759" s="22"/>
      <x:c r="O759" s="28"/>
      <x:c r="P759" s="22"/>
      <x:c r="Q759" s="22"/>
      <x:c r="R759" s="28"/>
      <x:c r="S759" s="22"/>
      <x:c r="T759" s="37" t="n">
        <x:f>K759</x:f>
        <x:v>15</x:v>
      </x:c>
      <x:c r="U759" s="21" t="str">
        <x:f>IF(J759="Рассчитано",N759*(1-O759/100),"н/д")</x:f>
        <x:v>н/д</x:v>
      </x:c>
      <x:c r="V759" s="21" t="str">
        <x:f>IF(J759="Рассчитано",T759*U759,"н/д")</x:f>
        <x:v>н/д</x:v>
      </x:c>
      <x:c r="W759" s="21" t="str">
        <x:f>IF(J759="Рассчитано",T759*M759,"н/д")</x:f>
        <x:v>н/д</x:v>
      </x:c>
      <x:c r="X759" s="21" t="str">
        <x:f>IF(J759="Рассчитано",V759-W759,"н/д")</x:f>
        <x:v>н/д</x:v>
      </x:c>
      <x:c r="Y759" s="27" t="str">
        <x:f>IF(J759="Рассчитано",IF(V759&gt;0,G759/V759,"н/д"),"н/д")</x:f>
        <x:v>н/д</x:v>
      </x:c>
      <x:c r="Z759" s="21" t="str">
        <x:f>"н/д"</x:f>
        <x:v>н/д</x:v>
      </x:c>
      <x:c r="AA759" s="21" t="str">
        <x:f>"н/д"</x:f>
        <x:v>н/д</x:v>
      </x:c>
      <x:c r="AB759" s="21" t="str">
        <x:f>"н/д"</x:f>
        <x:v>н/д</x:v>
      </x:c>
      <x:c r="AC759" s="21" t="str">
        <x:f>IF(AND(J759="Рассчитано",T759&gt;0,R759&lt;100),(W759+P759+Q759)/(T759*(1-R759/100)),"н/д")</x:f>
        <x:v>н/д</x:v>
      </x:c>
      <x:c r="AD759" s="10" t="str">
        <x:f>IF(ISNUMBER(G759),IF(G759&lt;0,"Убыток",IF(G759=0,"Без прибыли","Прибыль &gt; 0")),"Не оценён")</x:f>
        <x:v>Не оценён</x:v>
      </x:c>
      <x:c r="AE759" s="13" t="str">
        <x:f>IF(J759="Рассчитано","Выручка "&amp;TEXT(V759,"0.00")&amp;" - себестоимость "&amp;TEXT(W759,"0.00")&amp;" - комиссия "&amp;TEXT(V759*R759/100,"0.00")&amp;" - доставка "&amp;TEXT(P759,"0.00")&amp;" - прочие "&amp;TEXT(Q759,"0.00")&amp;" = "&amp;TEXT(G759,"0.00")&amp;" "&amp;L759,"Введите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9" s="24" t="n">
        <x:v>1.5927622903406287</x:v>
      </x:c>
      <x:c r="AG759" s="37" t="n">
        <x:v>17</x:v>
      </x:c>
      <x:c r="AH759" s="37" t="n">
        <x:v>0</x:v>
      </x:c>
      <x:c r="AI759" s="30" t="n">
        <x:v>46266</x:v>
      </x:c>
      <x:c r="AJ759" s="37"/>
      <x:c r="AK759" s="10" t="str">
        <x:v>неизвестно</x:v>
      </x:c>
      <x:c r="AL759" s="32" t="n">
        <x:v>907.6470504478261</x:v>
      </x:c>
      <x:c r="AM759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759" s="13" t="str">
        <x:v>Проверить свободный остаток и установить цену для B2B</x:v>
      </x:c>
      <x:c r="AO759" s="13" t="str">
        <x:v>Остаток 17; прогноз 90 дней 1.59; избыток 15 шт. Будущие поступления не выставляются на продажу. Остаток на начало сентября: требуется актуализация.</x:v>
      </x:c>
      <x:c r="AP759" s="13" t="str">
        <x:v>["category_missing", "daily_stockout_data_missing", "moq_missing", "new_order_lead_time_unknown", "reservations_unknown", "stale_stock", "supplier_sku_missing"]</x:v>
      </x:c>
      <x:c r="AQ759" s="10" t="str">
        <x:v>IEK:150100494_</x:v>
      </x:c>
      <x:c r="AR759" s="24" t="n">
        <x:v>1</x:v>
      </x:c>
      <x:c r="AS759" s="24" t="n">
        <x:v>0</x:v>
      </x:c>
      <x:c r="AT759" s="24" t="n">
        <x:v>0</x:v>
      </x:c>
    </x:row>
    <x:row r="760" ht="64" customHeight="1">
      <x:c r="A760" s="11" t="str">
        <x:v>IEK</x:v>
      </x:c>
      <x:c r="B760" s="33" t="str">
        <x:v>150100955_</x:v>
      </x:c>
      <x:c r="C760" s="33" t="str">
        <x:v>UDRS-D20-100-K02</x:v>
      </x:c>
      <x:c r="D760" s="12" t="str">
        <x:v>ТУТ 20/10  черная IEK (100)</x:v>
      </x:c>
      <x:c r="E760" s="11" t="str">
        <x:v>м</x:v>
      </x:c>
      <x:c r="F760" s="23" t="n">
        <x:f>MAX(0,ROUNDDOWN((AG760-AF760)/AR760+0.000000001,0)*AR760)</x:f>
        <x:v>34.97</x:v>
      </x:c>
      <x:c r="G760" s="20" t="str">
        <x:f>IF(J760="Рассчитано",V760*(1-R760/100)-W760-P760-Q760,"н/д")</x:f>
        <x:v>н/д</x:v>
      </x:c>
      <x:c r="H760" s="12" t="str">
        <x:v>Высокий</x:v>
      </x:c>
      <x:c r="I760" s="12" t="str">
        <x:v>Высокий</x:v>
      </x:c>
      <x:c r="J760" s="12" t="str">
        <x:f>IF(L760="","Укажите валюту",IF(NOT(ISNUMBER(K760)),"Укажите объём",IF(K760&lt;=0,"Укажите объём",IF(K760&gt;F760,"Объём выше излишка",IF(COUNT(M760:O760)&lt;3,"Нужны цены",IF(COUNT(P760:R760)&lt;3,"Нужны расходы",IF(OR(M760&lt;0,N760&lt;0,O760&lt;0,O760&gt;100,P760&lt;0,Q760&lt;0,R760&lt;0,R760&gt;100),"Проверьте значения","Рассчитано")))))))</x:f>
        <x:v>Нужны цены</x:v>
      </x:c>
      <x:c r="K760" s="25" t="n">
        <x:v>34.97</x:v>
      </x:c>
      <x:c r="L760" s="19" t="str">
        <x:v>KZT</x:v>
      </x:c>
      <x:c r="M760" s="22"/>
      <x:c r="N760" s="22"/>
      <x:c r="O760" s="28"/>
      <x:c r="P760" s="22"/>
      <x:c r="Q760" s="22"/>
      <x:c r="R760" s="28"/>
      <x:c r="S760" s="22"/>
      <x:c r="T760" s="23" t="n">
        <x:f>K760</x:f>
        <x:v>34.97</x:v>
      </x:c>
      <x:c r="U760" s="20" t="str">
        <x:f>IF(J760="Рассчитано",N760*(1-O760/100),"н/д")</x:f>
        <x:v>н/д</x:v>
      </x:c>
      <x:c r="V760" s="20" t="str">
        <x:f>IF(J760="Рассчитано",T760*U760,"н/д")</x:f>
        <x:v>н/д</x:v>
      </x:c>
      <x:c r="W760" s="20" t="str">
        <x:f>IF(J760="Рассчитано",T760*M760,"н/д")</x:f>
        <x:v>н/д</x:v>
      </x:c>
      <x:c r="X760" s="20" t="str">
        <x:f>IF(J760="Рассчитано",V760-W760,"н/д")</x:f>
        <x:v>н/д</x:v>
      </x:c>
      <x:c r="Y760" s="26" t="str">
        <x:f>IF(J760="Рассчитано",IF(V760&gt;0,G760/V760,"н/д"),"н/д")</x:f>
        <x:v>н/д</x:v>
      </x:c>
      <x:c r="Z760" s="20" t="str">
        <x:f>"н/д"</x:f>
        <x:v>н/д</x:v>
      </x:c>
      <x:c r="AA760" s="20" t="str">
        <x:f>"н/д"</x:f>
        <x:v>н/д</x:v>
      </x:c>
      <x:c r="AB760" s="20" t="str">
        <x:f>"н/д"</x:f>
        <x:v>н/д</x:v>
      </x:c>
      <x:c r="AC760" s="20" t="str">
        <x:f>IF(AND(J760="Рассчитано",T760&gt;0,R760&lt;100),(W760+P760+Q760)/(T760*(1-R760/100)),"н/д")</x:f>
        <x:v>н/д</x:v>
      </x:c>
      <x:c r="AD760" s="11" t="str">
        <x:f>IF(ISNUMBER(G760),IF(G760&lt;0,"Убыток",IF(G760=0,"Без прибыли","Прибыль &gt; 0")),"Не оценён")</x:f>
        <x:v>Не оценён</x:v>
      </x:c>
      <x:c r="AE760" s="12" t="str">
        <x:f>IF(J760="Рассчитано","Выручка "&amp;TEXT(V760,"0.00")&amp;" - себестоимость "&amp;TEXT(W760,"0.00")&amp;" - комиссия "&amp;TEXT(V760*R760/100,"0.00")&amp;" - доставка "&amp;TEXT(P760,"0.00")&amp;" - прочие "&amp;TEXT(Q760,"0.00")&amp;" = "&amp;TEXT(G760,"0.00")&amp;" "&amp;L760,"Введите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0" s="23" t="n">
        <x:v>5.029031811790414</x:v>
      </x:c>
      <x:c r="AG760" s="23" t="n">
        <x:v>40</x:v>
      </x:c>
      <x:c r="AH760" s="23" t="n">
        <x:v>0</x:v>
      </x:c>
      <x:c r="AI760" s="29" t="n">
        <x:v>46266</x:v>
      </x:c>
      <x:c r="AJ760" s="23"/>
      <x:c r="AK760" s="11" t="str">
        <x:v>неизвестно</x:v>
      </x:c>
      <x:c r="AL760" s="31" t="n">
        <x:v>676.386066763446</x:v>
      </x:c>
      <x:c r="AM7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60" s="12" t="str">
        <x:v>Проверить свободный остаток и установить цену для B2B</x:v>
      </x:c>
      <x:c r="AO760" s="12" t="str">
        <x:v>Остаток 40; прогноз 90 дней 5.03; избыток 34.97 м. Будущие поступления не выставляются на продажу. Остаток на начало сентября: требуется актуализация.</x:v>
      </x:c>
      <x:c r="AP760" s="12" t="str">
        <x:v>["category_missing", "daily_stockout_data_missing", "large_orders_detected", "moq_missing", "new_order_lead_time_unknown", "reservations_unknown", "stale_stock"]</x:v>
      </x:c>
      <x:c r="AQ760" s="11" t="str">
        <x:v>IEK:150100955_</x:v>
      </x:c>
      <x:c r="AR760" s="23" t="n">
        <x:v>0.001</x:v>
      </x:c>
      <x:c r="AS760" s="23" t="n">
        <x:v>0</x:v>
      </x:c>
      <x:c r="AT760" s="23" t="n">
        <x:v>0</x:v>
      </x:c>
    </x:row>
    <x:row r="761" ht="64" customHeight="1">
      <x:c r="A761" s="10" t="str">
        <x:v>IEK</x:v>
      </x:c>
      <x:c r="B761" s="34" t="str">
        <x:v>150101104_</x:v>
      </x:c>
      <x:c r="C761" s="34" t="str">
        <x:v>UDRS-D40-50-K07</x:v>
      </x:c>
      <x:c r="D761" s="13" t="str">
        <x:v>ТУТ 40/20 синяя IEK (50)</x:v>
      </x:c>
      <x:c r="E761" s="10" t="str">
        <x:v>м</x:v>
      </x:c>
      <x:c r="F761" s="24" t="n">
        <x:f>MAX(0,ROUNDDOWN((AG761-AF761)/AR761+0.000000001,0)*AR761)</x:f>
        <x:v>11.703</x:v>
      </x:c>
      <x:c r="G761" s="21" t="str">
        <x:f>IF(J761="Рассчитано",V761*(1-R761/100)-W761-P761-Q761,"н/д")</x:f>
        <x:v>н/д</x:v>
      </x:c>
      <x:c r="H761" s="13" t="str">
        <x:v>Высокий</x:v>
      </x:c>
      <x:c r="I761" s="13" t="str">
        <x:v>Высокий</x:v>
      </x:c>
      <x:c r="J761" s="13" t="str">
        <x:f>IF(L761="","Укажите валюту",IF(NOT(ISNUMBER(K761)),"Укажите объём",IF(K761&lt;=0,"Укажите объём",IF(K761&gt;F761,"Объём выше излишка",IF(COUNT(M761:O761)&lt;3,"Нужны цены",IF(COUNT(P761:R761)&lt;3,"Нужны расходы",IF(OR(M761&lt;0,N761&lt;0,O761&lt;0,O761&gt;100,P761&lt;0,Q761&lt;0,R761&lt;0,R761&gt;100),"Проверьте значения","Рассчитано")))))))</x:f>
        <x:v>Нужны цены</x:v>
      </x:c>
      <x:c r="K761" s="25" t="n">
        <x:v>11.703</x:v>
      </x:c>
      <x:c r="L761" s="19" t="str">
        <x:v>KZT</x:v>
      </x:c>
      <x:c r="M761" s="22"/>
      <x:c r="N761" s="22"/>
      <x:c r="O761" s="28"/>
      <x:c r="P761" s="22"/>
      <x:c r="Q761" s="22"/>
      <x:c r="R761" s="28"/>
      <x:c r="S761" s="22"/>
      <x:c r="T761" s="24" t="n">
        <x:f>K761</x:f>
        <x:v>11.703</x:v>
      </x:c>
      <x:c r="U761" s="21" t="str">
        <x:f>IF(J761="Рассчитано",N761*(1-O761/100),"н/д")</x:f>
        <x:v>н/д</x:v>
      </x:c>
      <x:c r="V761" s="21" t="str">
        <x:f>IF(J761="Рассчитано",T761*U761,"н/д")</x:f>
        <x:v>н/д</x:v>
      </x:c>
      <x:c r="W761" s="21" t="str">
        <x:f>IF(J761="Рассчитано",T761*M761,"н/д")</x:f>
        <x:v>н/д</x:v>
      </x:c>
      <x:c r="X761" s="21" t="str">
        <x:f>IF(J761="Рассчитано",V761-W761,"н/д")</x:f>
        <x:v>н/д</x:v>
      </x:c>
      <x:c r="Y761" s="27" t="str">
        <x:f>IF(J761="Рассчитано",IF(V761&gt;0,G761/V761,"н/д"),"н/д")</x:f>
        <x:v>н/д</x:v>
      </x:c>
      <x:c r="Z761" s="21" t="str">
        <x:f>"н/д"</x:f>
        <x:v>н/д</x:v>
      </x:c>
      <x:c r="AA761" s="21" t="str">
        <x:f>"н/д"</x:f>
        <x:v>н/д</x:v>
      </x:c>
      <x:c r="AB761" s="21" t="str">
        <x:f>"н/д"</x:f>
        <x:v>н/д</x:v>
      </x:c>
      <x:c r="AC761" s="21" t="str">
        <x:f>IF(AND(J761="Рассчитано",T761&gt;0,R761&lt;100),(W761+P761+Q761)/(T761*(1-R761/100)),"н/д")</x:f>
        <x:v>н/д</x:v>
      </x:c>
      <x:c r="AD761" s="10" t="str">
        <x:f>IF(ISNUMBER(G761),IF(G761&lt;0,"Убыток",IF(G761=0,"Без прибыли","Прибыль &gt; 0")),"Не оценён")</x:f>
        <x:v>Не оценён</x:v>
      </x:c>
      <x:c r="AE761" s="13" t="str">
        <x:f>IF(J761="Рассчитано","Выручка "&amp;TEXT(V761,"0.00")&amp;" - себестоимость "&amp;TEXT(W761,"0.00")&amp;" - комиссия "&amp;TEXT(V761*R761/100,"0.00")&amp;" - доставка "&amp;TEXT(P761,"0.00")&amp;" - прочие "&amp;TEXT(Q761,"0.00")&amp;" = "&amp;TEXT(G761,"0.00")&amp;" "&amp;L761,"Введите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1" s="24" t="n">
        <x:v>4.296143962966184</x:v>
      </x:c>
      <x:c r="AG761" s="24" t="n">
        <x:v>16</x:v>
      </x:c>
      <x:c r="AH761" s="24" t="n">
        <x:v>0</x:v>
      </x:c>
      <x:c r="AI761" s="30" t="n">
        <x:v>46266</x:v>
      </x:c>
      <x:c r="AJ761" s="24"/>
      <x:c r="AK761" s="10" t="str">
        <x:v>неизвестно</x:v>
      </x:c>
      <x:c r="AL761" s="32" t="n">
        <x:v>316.7088511118344</x:v>
      </x:c>
      <x:c r="AM76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61" s="13" t="str">
        <x:v>Проверить свободный остаток и установить цену для B2B</x:v>
      </x:c>
      <x:c r="AO761" s="13" t="str">
        <x:v>Остаток 16; прогноз 90 дней 4.30; избыток 11.703 м. Будущие поступления не выставляются на продажу. Остаток на начало сентября: требуется актуализация.</x:v>
      </x:c>
      <x:c r="AP761" s="13" t="str">
        <x:v>["category_missing", "daily_stockout_data_missing", "moq_missing", "new_order_lead_time_unknown", "reservations_unknown", "stale_stock"]</x:v>
      </x:c>
      <x:c r="AQ761" s="10" t="str">
        <x:v>IEK:150101104_</x:v>
      </x:c>
      <x:c r="AR761" s="24" t="n">
        <x:v>0.001</x:v>
      </x:c>
      <x:c r="AS761" s="24" t="n">
        <x:v>0</x:v>
      </x:c>
      <x:c r="AT761" s="24" t="n">
        <x:v>0</x:v>
      </x:c>
    </x:row>
    <x:row r="762" ht="64" customHeight="1">
      <x:c r="A762" s="11" t="str">
        <x:v>IEK</x:v>
      </x:c>
      <x:c r="B762" s="33" t="str">
        <x:v>150101179_</x:v>
      </x:c>
      <x:c r="C762" s="33" t="str">
        <x:v>LT-DBU0-5111-006-40-K01</x:v>
      </x:c>
      <x:c r="D762" s="12" t="str">
        <x:v>Светильник уличный LED 5111 наст. 6Вт 4000К IP65 белый IEK</x:v>
      </x:c>
      <x:c r="E762" s="11" t="str">
        <x:v>шт</x:v>
      </x:c>
      <x:c r="F762" s="35" t="n">
        <x:f>MAX(0,ROUNDDOWN((AG762-AF762)/AR762+0.000000001,0)*AR762)</x:f>
        <x:v>7</x:v>
      </x:c>
      <x:c r="G762" s="20" t="str">
        <x:f>IF(J762="Рассчитано",V762*(1-R762/100)-W762-P762-Q762,"н/д")</x:f>
        <x:v>н/д</x:v>
      </x:c>
      <x:c r="H762" s="12" t="str">
        <x:v>Высокий</x:v>
      </x:c>
      <x:c r="I762" s="12" t="str">
        <x:v>Высокий</x:v>
      </x:c>
      <x:c r="J762" s="12" t="str">
        <x:f>IF(L762="","Укажите валюту",IF(NOT(ISNUMBER(K762)),"Укажите объём",IF(K762&lt;=0,"Укажите объём",IF(K762&gt;F762,"Объём выше излишка",IF(COUNT(M762:O762)&lt;3,"Нужны цены",IF(COUNT(P762:R762)&lt;3,"Нужны расходы",IF(OR(M762&lt;0,N762&lt;0,O762&lt;0,O762&gt;100,P762&lt;0,Q762&lt;0,R762&lt;0,R762&gt;100),"Проверьте значения","Рассчитано")))))))</x:f>
        <x:v>Нужны цены</x:v>
      </x:c>
      <x:c r="K762" s="36" t="n">
        <x:v>7</x:v>
      </x:c>
      <x:c r="L762" s="19" t="str">
        <x:v>KZT</x:v>
      </x:c>
      <x:c r="M762" s="22"/>
      <x:c r="N762" s="22"/>
      <x:c r="O762" s="28"/>
      <x:c r="P762" s="22"/>
      <x:c r="Q762" s="22"/>
      <x:c r="R762" s="28"/>
      <x:c r="S762" s="22"/>
      <x:c r="T762" s="35" t="n">
        <x:f>K762</x:f>
        <x:v>7</x:v>
      </x:c>
      <x:c r="U762" s="20" t="str">
        <x:f>IF(J762="Рассчитано",N762*(1-O762/100),"н/д")</x:f>
        <x:v>н/д</x:v>
      </x:c>
      <x:c r="V762" s="20" t="str">
        <x:f>IF(J762="Рассчитано",T762*U762,"н/д")</x:f>
        <x:v>н/д</x:v>
      </x:c>
      <x:c r="W762" s="20" t="str">
        <x:f>IF(J762="Рассчитано",T762*M762,"н/д")</x:f>
        <x:v>н/д</x:v>
      </x:c>
      <x:c r="X762" s="20" t="str">
        <x:f>IF(J762="Рассчитано",V762-W762,"н/д")</x:f>
        <x:v>н/д</x:v>
      </x:c>
      <x:c r="Y762" s="26" t="str">
        <x:f>IF(J762="Рассчитано",IF(V762&gt;0,G762/V762,"н/д"),"н/д")</x:f>
        <x:v>н/д</x:v>
      </x:c>
      <x:c r="Z762" s="20" t="str">
        <x:f>"н/д"</x:f>
        <x:v>н/д</x:v>
      </x:c>
      <x:c r="AA762" s="20" t="str">
        <x:f>"н/д"</x:f>
        <x:v>н/д</x:v>
      </x:c>
      <x:c r="AB762" s="20" t="str">
        <x:f>"н/д"</x:f>
        <x:v>н/д</x:v>
      </x:c>
      <x:c r="AC762" s="20" t="str">
        <x:f>IF(AND(J762="Рассчитано",T762&gt;0,R762&lt;100),(W762+P762+Q762)/(T762*(1-R762/100)),"н/д")</x:f>
        <x:v>н/д</x:v>
      </x:c>
      <x:c r="AD762" s="11" t="str">
        <x:f>IF(ISNUMBER(G762),IF(G762&lt;0,"Убыток",IF(G762=0,"Без прибыли","Прибыль &gt; 0")),"Не оценён")</x:f>
        <x:v>Не оценён</x:v>
      </x:c>
      <x:c r="AE762" s="12" t="str">
        <x:f>IF(J762="Рассчитано","Выручка "&amp;TEXT(V762,"0.00")&amp;" - себестоимость "&amp;TEXT(W762,"0.00")&amp;" - комиссия "&amp;TEXT(V762*R762/100,"0.00")&amp;" - доставка "&amp;TEXT(P762,"0.00")&amp;" - прочие "&amp;TEXT(Q762,"0.00")&amp;" = "&amp;TEXT(G762,"0.00")&amp;" "&amp;L762,"Введите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2" s="23" t="n">
        <x:v>0.19110440666487824</x:v>
      </x:c>
      <x:c r="AG762" s="35" t="n">
        <x:v>8</x:v>
      </x:c>
      <x:c r="AH762" s="35" t="n">
        <x:v>0</x:v>
      </x:c>
      <x:c r="AI762" s="29" t="n">
        <x:v>46266</x:v>
      </x:c>
      <x:c r="AJ762" s="35" t="n">
        <x:v>1</x:v>
      </x:c>
      <x:c r="AK762" s="11" t="str">
        <x:v>минимум</x:v>
      </x:c>
      <x:c r="AL762" s="31" t="n">
        <x:v>3559.904354032164</x:v>
      </x:c>
      <x:c r="AM76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62" s="12" t="str">
        <x:v>Проверить свободный остаток и установить цену для B2B</x:v>
      </x:c>
      <x:c r="AO762" s="12" t="str">
        <x:v>Остаток 8; прогноз 90 дней 0.19; избыток 7 шт. Будущие поступления не выставляются на продажу. Остаток на начало сентября: требуется актуализация.</x:v>
      </x:c>
      <x:c r="AP762" s="12" t="str">
        <x:v>["category_missing", "daily_stockout_data_missing", "negative_net_sales_clipped_for_forecast", "new_order_lead_time_unknown", "reservations_unknown", "stale_stock"]</x:v>
      </x:c>
      <x:c r="AQ762" s="11" t="str">
        <x:v>IEK:150101179_</x:v>
      </x:c>
      <x:c r="AR762" s="23" t="n">
        <x:v>1</x:v>
      </x:c>
      <x:c r="AS762" s="23" t="n">
        <x:v>0</x:v>
      </x:c>
      <x:c r="AT762" s="23" t="n">
        <x:v>0</x:v>
      </x:c>
    </x:row>
    <x:row r="763" ht="64" customHeight="1">
      <x:c r="A763" s="10" t="str">
        <x:v>IEK</x:v>
      </x:c>
      <x:c r="B763" s="34" t="str">
        <x:v>150101180_</x:v>
      </x:c>
      <x:c r="C763" s="34" t="str">
        <x:v>LT-DBU0-5111-006-40-K02</x:v>
      </x:c>
      <x:c r="D763" s="13" t="str">
        <x:v>Светильник уличный LED 5111 наст. 6Вт 4000К IP65 черный IEK</x:v>
      </x:c>
      <x:c r="E763" s="10" t="str">
        <x:v>шт</x:v>
      </x:c>
      <x:c r="F763" s="37" t="n">
        <x:f>MAX(0,ROUNDDOWN((AG763-AF763)/AR763+0.000000001,0)*AR763)</x:f>
        <x:v>16</x:v>
      </x:c>
      <x:c r="G763" s="21" t="str">
        <x:f>IF(J763="Рассчитано",V763*(1-R763/100)-W763-P763-Q763,"н/д")</x:f>
        <x:v>н/д</x:v>
      </x:c>
      <x:c r="H763" s="13" t="str">
        <x:v>Высокий</x:v>
      </x:c>
      <x:c r="I763" s="13" t="str">
        <x:v>Средний</x:v>
      </x:c>
      <x:c r="J763" s="13" t="str">
        <x:f>IF(L763="","Укажите валюту",IF(NOT(ISNUMBER(K763)),"Укажите объём",IF(K763&lt;=0,"Укажите объём",IF(K763&gt;F763,"Объём выше излишка",IF(COUNT(M763:O763)&lt;3,"Нужны цены",IF(COUNT(P763:R763)&lt;3,"Нужны расходы",IF(OR(M763&lt;0,N763&lt;0,O763&lt;0,O763&gt;100,P763&lt;0,Q763&lt;0,R763&lt;0,R763&gt;100),"Проверьте значения","Рассчитано")))))))</x:f>
        <x:v>Нужны цены</x:v>
      </x:c>
      <x:c r="K763" s="36" t="n">
        <x:v>16</x:v>
      </x:c>
      <x:c r="L763" s="19" t="str">
        <x:v>KZT</x:v>
      </x:c>
      <x:c r="M763" s="22"/>
      <x:c r="N763" s="22"/>
      <x:c r="O763" s="28"/>
      <x:c r="P763" s="22"/>
      <x:c r="Q763" s="22"/>
      <x:c r="R763" s="28"/>
      <x:c r="S763" s="22"/>
      <x:c r="T763" s="37" t="n">
        <x:f>K763</x:f>
        <x:v>16</x:v>
      </x:c>
      <x:c r="U763" s="21" t="str">
        <x:f>IF(J763="Рассчитано",N763*(1-O763/100),"н/д")</x:f>
        <x:v>н/д</x:v>
      </x:c>
      <x:c r="V763" s="21" t="str">
        <x:f>IF(J763="Рассчитано",T763*U763,"н/д")</x:f>
        <x:v>н/д</x:v>
      </x:c>
      <x:c r="W763" s="21" t="str">
        <x:f>IF(J763="Рассчитано",T763*M763,"н/д")</x:f>
        <x:v>н/д</x:v>
      </x:c>
      <x:c r="X763" s="21" t="str">
        <x:f>IF(J763="Рассчитано",V763-W763,"н/д")</x:f>
        <x:v>н/д</x:v>
      </x:c>
      <x:c r="Y763" s="27" t="str">
        <x:f>IF(J763="Рассчитано",IF(V763&gt;0,G763/V763,"н/д"),"н/д")</x:f>
        <x:v>н/д</x:v>
      </x:c>
      <x:c r="Z763" s="21" t="str">
        <x:f>"н/д"</x:f>
        <x:v>н/д</x:v>
      </x:c>
      <x:c r="AA763" s="21" t="str">
        <x:f>"н/д"</x:f>
        <x:v>н/д</x:v>
      </x:c>
      <x:c r="AB763" s="21" t="str">
        <x:f>"н/д"</x:f>
        <x:v>н/д</x:v>
      </x:c>
      <x:c r="AC763" s="21" t="str">
        <x:f>IF(AND(J763="Рассчитано",T763&gt;0,R763&lt;100),(W763+P763+Q763)/(T763*(1-R763/100)),"н/д")</x:f>
        <x:v>н/д</x:v>
      </x:c>
      <x:c r="AD763" s="10" t="str">
        <x:f>IF(ISNUMBER(G763),IF(G763&lt;0,"Убыток",IF(G763=0,"Без прибыли","Прибыль &gt; 0")),"Не оценён")</x:f>
        <x:v>Не оценён</x:v>
      </x:c>
      <x:c r="AE763" s="13" t="str">
        <x:f>IF(J763="Рассчитано","Выручка "&amp;TEXT(V763,"0.00")&amp;" - себестоимость "&amp;TEXT(W763,"0.00")&amp;" - комиссия "&amp;TEXT(V763*R763/100,"0.00")&amp;" - доставка "&amp;TEXT(P763,"0.00")&amp;" - прочие "&amp;TEXT(Q763,"0.00")&amp;" = "&amp;TEXT(G763,"0.00")&amp;" "&amp;L763,"Введите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3" s="24" t="n">
        <x:v>29.27969583093795</x:v>
      </x:c>
      <x:c r="AG763" s="37" t="n">
        <x:v>46</x:v>
      </x:c>
      <x:c r="AH763" s="37" t="n">
        <x:v>0</x:v>
      </x:c>
      <x:c r="AI763" s="30" t="n">
        <x:v>46266</x:v>
      </x:c>
      <x:c r="AJ763" s="37" t="n">
        <x:v>1</x:v>
      </x:c>
      <x:c r="AK763" s="10" t="str">
        <x:v>минимум</x:v>
      </x:c>
      <x:c r="AL763" s="32" t="n">
        <x:v>133.60118651548962</x:v>
      </x:c>
      <x:c r="AM763" s="13" t="str">
        <x:v>Остаток на начало сентября; Резервы неизвестны; Нет ежедневных данных доступности. Запас выше прогноза на 90 дней</x:v>
      </x:c>
      <x:c r="AN763" s="13" t="str">
        <x:v>Проверить свободный остаток и установить цену для B2B</x:v>
      </x:c>
      <x:c r="AO763" s="13" t="str">
        <x:v>Остаток 46; прогноз 90 дней 29.28; избыток 16 шт. Будущие поступления не выставляются на продажу. Остаток на начало сентября: требуется актуализация.</x:v>
      </x:c>
      <x:c r="AP763" s="13" t="str">
        <x:v>["category_missing", "daily_stockout_data_missing", "new_order_lead_time_unknown", "reservations_unknown", "stale_stock"]</x:v>
      </x:c>
      <x:c r="AQ763" s="10" t="str">
        <x:v>IEK:150101180_</x:v>
      </x:c>
      <x:c r="AR763" s="24" t="n">
        <x:v>1</x:v>
      </x:c>
      <x:c r="AS763" s="24" t="n">
        <x:v>0</x:v>
      </x:c>
      <x:c r="AT763" s="24" t="n">
        <x:v>0</x:v>
      </x:c>
    </x:row>
    <x:row r="764" ht="64" customHeight="1">
      <x:c r="A764" s="11" t="str">
        <x:v>IEK</x:v>
      </x:c>
      <x:c r="B764" s="33" t="str">
        <x:v>150101181_</x:v>
      </x:c>
      <x:c r="C764" s="33" t="str">
        <x:v>LT-DBU0-5111-006-40-K03</x:v>
      </x:c>
      <x:c r="D764" s="12" t="str">
        <x:v>Светильник уличный LED 5111 наст. 6Вт 4000К IP65 серый IEK</x:v>
      </x:c>
      <x:c r="E764" s="11" t="str">
        <x:v>шт</x:v>
      </x:c>
      <x:c r="F764" s="35" t="n">
        <x:f>MAX(0,ROUNDDOWN((AG764-AF764)/AR764+0.000000001,0)*AR764)</x:f>
        <x:v>8</x:v>
      </x:c>
      <x:c r="G764" s="20" t="str">
        <x:f>IF(J764="Рассчитано",V764*(1-R764/100)-W764-P764-Q764,"н/д")</x:f>
        <x:v>н/д</x:v>
      </x:c>
      <x:c r="H764" s="12" t="str">
        <x:v>Высокий</x:v>
      </x:c>
      <x:c r="I764" s="12" t="str">
        <x:v>Высокий</x:v>
      </x:c>
      <x:c r="J764" s="12" t="str">
        <x:f>IF(L764="","Укажите валюту",IF(NOT(ISNUMBER(K764)),"Укажите объём",IF(K764&lt;=0,"Укажите объём",IF(K764&gt;F764,"Объём выше излишка",IF(COUNT(M764:O764)&lt;3,"Нужны цены",IF(COUNT(P764:R764)&lt;3,"Нужны расходы",IF(OR(M764&lt;0,N764&lt;0,O764&lt;0,O764&gt;100,P764&lt;0,Q764&lt;0,R764&lt;0,R764&gt;100),"Проверьте значения","Рассчитано")))))))</x:f>
        <x:v>Нужны цены</x:v>
      </x:c>
      <x:c r="K764" s="36" t="n">
        <x:v>8</x:v>
      </x:c>
      <x:c r="L764" s="19" t="str">
        <x:v>KZT</x:v>
      </x:c>
      <x:c r="M764" s="22"/>
      <x:c r="N764" s="22"/>
      <x:c r="O764" s="28"/>
      <x:c r="P764" s="22"/>
      <x:c r="Q764" s="22"/>
      <x:c r="R764" s="28"/>
      <x:c r="S764" s="22"/>
      <x:c r="T764" s="35" t="n">
        <x:f>K764</x:f>
        <x:v>8</x:v>
      </x:c>
      <x:c r="U764" s="20" t="str">
        <x:f>IF(J764="Рассчитано",N764*(1-O764/100),"н/д")</x:f>
        <x:v>н/д</x:v>
      </x:c>
      <x:c r="V764" s="20" t="str">
        <x:f>IF(J764="Рассчитано",T764*U764,"н/д")</x:f>
        <x:v>н/д</x:v>
      </x:c>
      <x:c r="W764" s="20" t="str">
        <x:f>IF(J764="Рассчитано",T764*M764,"н/д")</x:f>
        <x:v>н/д</x:v>
      </x:c>
      <x:c r="X764" s="20" t="str">
        <x:f>IF(J764="Рассчитано",V764-W764,"н/д")</x:f>
        <x:v>н/д</x:v>
      </x:c>
      <x:c r="Y764" s="26" t="str">
        <x:f>IF(J764="Рассчитано",IF(V764&gt;0,G764/V764,"н/д"),"н/д")</x:f>
        <x:v>н/д</x:v>
      </x:c>
      <x:c r="Z764" s="20" t="str">
        <x:f>"н/д"</x:f>
        <x:v>н/д</x:v>
      </x:c>
      <x:c r="AA764" s="20" t="str">
        <x:f>"н/д"</x:f>
        <x:v>н/д</x:v>
      </x:c>
      <x:c r="AB764" s="20" t="str">
        <x:f>"н/д"</x:f>
        <x:v>н/д</x:v>
      </x:c>
      <x:c r="AC764" s="20" t="str">
        <x:f>IF(AND(J764="Рассчитано",T764&gt;0,R764&lt;100),(W764+P764+Q764)/(T764*(1-R764/100)),"н/д")</x:f>
        <x:v>н/д</x:v>
      </x:c>
      <x:c r="AD764" s="11" t="str">
        <x:f>IF(ISNUMBER(G764),IF(G764&lt;0,"Убыток",IF(G764=0,"Без прибыли","Прибыль &gt; 0")),"Не оценён")</x:f>
        <x:v>Не оценён</x:v>
      </x:c>
      <x:c r="AE764" s="12" t="str">
        <x:f>IF(J764="Рассчитано","Выручка "&amp;TEXT(V764,"0.00")&amp;" - себестоимость "&amp;TEXT(W764,"0.00")&amp;" - комиссия "&amp;TEXT(V764*R764/100,"0.00")&amp;" - доставка "&amp;TEXT(P764,"0.00")&amp;" - прочие "&amp;TEXT(Q764,"0.00")&amp;" = "&amp;TEXT(G764,"0.00")&amp;" "&amp;L764,"Введите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4" s="23" t="n">
        <x:v>2.877531241565423</x:v>
      </x:c>
      <x:c r="AG764" s="35" t="n">
        <x:v>11</x:v>
      </x:c>
      <x:c r="AH764" s="35" t="n">
        <x:v>0</x:v>
      </x:c>
      <x:c r="AI764" s="29" t="n">
        <x:v>46266</x:v>
      </x:c>
      <x:c r="AJ764" s="35" t="n">
        <x:v>1</x:v>
      </x:c>
      <x:c r="AK764" s="11" t="str">
        <x:v>минимум</x:v>
      </x:c>
      <x:c r="AL764" s="31" t="n">
        <x:v>325.08107100951247</x:v>
      </x:c>
      <x:c r="AM76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64" s="12" t="str">
        <x:v>Проверить свободный остаток и установить цену для B2B</x:v>
      </x:c>
      <x:c r="AO764" s="12" t="str">
        <x:v>Остаток 11; прогноз 90 дней 2.88; избыток 8 шт. Будущие поступления не выставляются на продажу. Остаток на начало сентября: требуется актуализация.</x:v>
      </x:c>
      <x:c r="AP764" s="12" t="str">
        <x:v>["category_missing", "daily_stockout_data_missing", "new_order_lead_time_unknown", "reservations_unknown", "stale_stock"]</x:v>
      </x:c>
      <x:c r="AQ764" s="11" t="str">
        <x:v>IEK:150101181_</x:v>
      </x:c>
      <x:c r="AR764" s="23" t="n">
        <x:v>1</x:v>
      </x:c>
      <x:c r="AS764" s="23" t="n">
        <x:v>0</x:v>
      </x:c>
      <x:c r="AT764" s="23" t="n">
        <x:v>0</x:v>
      </x:c>
    </x:row>
    <x:row r="765" ht="64" customHeight="1">
      <x:c r="A765" s="10" t="str">
        <x:v>IEK</x:v>
      </x:c>
      <x:c r="B765" s="34" t="str">
        <x:v>150101183_</x:v>
      </x:c>
      <x:c r="C765" s="34" t="str">
        <x:v>LT-UBU0-5101-E27-2-K02</x:v>
      </x:c>
      <x:c r="D765" s="13" t="str">
        <x:v>Светильник уличный 5101 настенный E27 IP54 черный IEK</x:v>
      </x:c>
      <x:c r="E765" s="10" t="str">
        <x:v>шт</x:v>
      </x:c>
      <x:c r="F765" s="37" t="n">
        <x:f>MAX(0,ROUNDDOWN((AG765-AF765)/AR765+0.000000001,0)*AR765)</x:f>
        <x:v>26</x:v>
      </x:c>
      <x:c r="G765" s="21" t="str">
        <x:f>IF(J765="Рассчитано",V765*(1-R765/100)-W765-P765-Q765,"н/д")</x:f>
        <x:v>н/д</x:v>
      </x:c>
      <x:c r="H765" s="13" t="str">
        <x:v>Высокий</x:v>
      </x:c>
      <x:c r="I765" s="13" t="str">
        <x:v>Высокий</x:v>
      </x:c>
      <x:c r="J765" s="13" t="str">
        <x:f>IF(L765="","Укажите валюту",IF(NOT(ISNUMBER(K765)),"Укажите объём",IF(K765&lt;=0,"Укажите объём",IF(K765&gt;F765,"Объём выше излишка",IF(COUNT(M765:O765)&lt;3,"Нужны цены",IF(COUNT(P765:R765)&lt;3,"Нужны расходы",IF(OR(M765&lt;0,N765&lt;0,O765&lt;0,O765&gt;100,P765&lt;0,Q765&lt;0,R765&lt;0,R765&gt;100),"Проверьте значения","Рассчитано")))))))</x:f>
        <x:v>Нужны цены</x:v>
      </x:c>
      <x:c r="K765" s="36" t="n">
        <x:v>26</x:v>
      </x:c>
      <x:c r="L765" s="19" t="str">
        <x:v>KZT</x:v>
      </x:c>
      <x:c r="M765" s="22"/>
      <x:c r="N765" s="22"/>
      <x:c r="O765" s="28"/>
      <x:c r="P765" s="22"/>
      <x:c r="Q765" s="22"/>
      <x:c r="R765" s="28"/>
      <x:c r="S765" s="22"/>
      <x:c r="T765" s="37" t="n">
        <x:f>K765</x:f>
        <x:v>26</x:v>
      </x:c>
      <x:c r="U765" s="21" t="str">
        <x:f>IF(J765="Рассчитано",N765*(1-O765/100),"н/д")</x:f>
        <x:v>н/д</x:v>
      </x:c>
      <x:c r="V765" s="21" t="str">
        <x:f>IF(J765="Рассчитано",T765*U765,"н/д")</x:f>
        <x:v>н/д</x:v>
      </x:c>
      <x:c r="W765" s="21" t="str">
        <x:f>IF(J765="Рассчитано",T765*M765,"н/д")</x:f>
        <x:v>н/д</x:v>
      </x:c>
      <x:c r="X765" s="21" t="str">
        <x:f>IF(J765="Рассчитано",V765-W765,"н/д")</x:f>
        <x:v>н/д</x:v>
      </x:c>
      <x:c r="Y765" s="27" t="str">
        <x:f>IF(J765="Рассчитано",IF(V765&gt;0,G765/V765,"н/д"),"н/д")</x:f>
        <x:v>н/д</x:v>
      </x:c>
      <x:c r="Z765" s="21" t="str">
        <x:f>"н/д"</x:f>
        <x:v>н/д</x:v>
      </x:c>
      <x:c r="AA765" s="21" t="str">
        <x:f>"н/д"</x:f>
        <x:v>н/д</x:v>
      </x:c>
      <x:c r="AB765" s="21" t="str">
        <x:f>"н/д"</x:f>
        <x:v>н/д</x:v>
      </x:c>
      <x:c r="AC765" s="21" t="str">
        <x:f>IF(AND(J765="Рассчитано",T765&gt;0,R765&lt;100),(W765+P765+Q765)/(T765*(1-R765/100)),"н/д")</x:f>
        <x:v>н/д</x:v>
      </x:c>
      <x:c r="AD765" s="10" t="str">
        <x:f>IF(ISNUMBER(G765),IF(G765&lt;0,"Убыток",IF(G765=0,"Без прибыли","Прибыль &gt; 0")),"Не оценён")</x:f>
        <x:v>Не оценён</x:v>
      </x:c>
      <x:c r="AE765" s="13" t="str">
        <x:f>IF(J765="Рассчитано","Выручка "&amp;TEXT(V765,"0.00")&amp;" - себестоимость "&amp;TEXT(W765,"0.00")&amp;" - комиссия "&amp;TEXT(V765*R765/100,"0.00")&amp;" - доставка "&amp;TEXT(P765,"0.00")&amp;" - прочие "&amp;TEXT(Q765,"0.00")&amp;" = "&amp;TEXT(G765,"0.00")&amp;" "&amp;L765,"Введите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5" s="24" t="n">
        <x:v>7.529052194031483</x:v>
      </x:c>
      <x:c r="AG765" s="37" t="n">
        <x:v>34</x:v>
      </x:c>
      <x:c r="AH765" s="37" t="n">
        <x:v>0</x:v>
      </x:c>
      <x:c r="AI765" s="30" t="n">
        <x:v>46266</x:v>
      </x:c>
      <x:c r="AJ765" s="37" t="n">
        <x:v>1</x:v>
      </x:c>
      <x:c r="AK765" s="10" t="str">
        <x:v>минимум</x:v>
      </x:c>
      <x:c r="AL765" s="32" t="n">
        <x:v>384.0233691136367</x:v>
      </x:c>
      <x:c r="AM7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65" s="13" t="str">
        <x:v>Проверить свободный остаток и установить цену для B2B</x:v>
      </x:c>
      <x:c r="AO765" s="13" t="str">
        <x:v>Остаток 34; прогноз 90 дней 7.53; избыток 26 шт. Будущие поступления не выставляются на продажу. Остаток на начало сентября: требуется актуализация.</x:v>
      </x:c>
      <x:c r="AP765" s="13" t="str">
        <x:v>["category_missing", "daily_stockout_data_missing", "new_order_lead_time_unknown", "reservations_unknown", "stale_stock"]</x:v>
      </x:c>
      <x:c r="AQ765" s="10" t="str">
        <x:v>IEK:150101183_</x:v>
      </x:c>
      <x:c r="AR765" s="24" t="n">
        <x:v>1</x:v>
      </x:c>
      <x:c r="AS765" s="24" t="n">
        <x:v>0</x:v>
      </x:c>
      <x:c r="AT765" s="24" t="n">
        <x:v>0</x:v>
      </x:c>
    </x:row>
    <x:row r="766" ht="64" customHeight="1">
      <x:c r="A766" s="11" t="str">
        <x:v>IEK</x:v>
      </x:c>
      <x:c r="B766" s="33" t="str">
        <x:v>150101189_</x:v>
      </x:c>
      <x:c r="C766" s="33" t="str">
        <x:v>LT-UBU0-5107-GU10-1-K02</x:v>
      </x:c>
      <x:c r="D766" s="12" t="str">
        <x:v>Светильник уличный 5107 настенный GU10 IP65 черный IEK</x:v>
      </x:c>
      <x:c r="E766" s="11" t="str">
        <x:v>шт</x:v>
      </x:c>
      <x:c r="F766" s="35" t="n">
        <x:f>MAX(0,ROUNDDOWN((AG766-AF766)/AR766+0.000000001,0)*AR766)</x:f>
        <x:v>11</x:v>
      </x:c>
      <x:c r="G766" s="20" t="str">
        <x:f>IF(J766="Рассчитано",V766*(1-R766/100)-W766-P766-Q766,"н/д")</x:f>
        <x:v>н/д</x:v>
      </x:c>
      <x:c r="H766" s="12" t="str">
        <x:v>Высокий</x:v>
      </x:c>
      <x:c r="I766" s="12" t="str">
        <x:v>Средний</x:v>
      </x:c>
      <x:c r="J766" s="12" t="str">
        <x:f>IF(L766="","Укажите валюту",IF(NOT(ISNUMBER(K766)),"Укажите объём",IF(K766&lt;=0,"Укажите объём",IF(K766&gt;F766,"Объём выше излишка",IF(COUNT(M766:O766)&lt;3,"Нужны цены",IF(COUNT(P766:R766)&lt;3,"Нужны расходы",IF(OR(M766&lt;0,N766&lt;0,O766&lt;0,O766&gt;100,P766&lt;0,Q766&lt;0,R766&lt;0,R766&gt;100),"Проверьте значения","Рассчитано")))))))</x:f>
        <x:v>Нужны цены</x:v>
      </x:c>
      <x:c r="K766" s="36" t="n">
        <x:v>11</x:v>
      </x:c>
      <x:c r="L766" s="19" t="str">
        <x:v>KZT</x:v>
      </x:c>
      <x:c r="M766" s="22"/>
      <x:c r="N766" s="22"/>
      <x:c r="O766" s="28"/>
      <x:c r="P766" s="22"/>
      <x:c r="Q766" s="22"/>
      <x:c r="R766" s="28"/>
      <x:c r="S766" s="22"/>
      <x:c r="T766" s="35" t="n">
        <x:f>K766</x:f>
        <x:v>11</x:v>
      </x:c>
      <x:c r="U766" s="20" t="str">
        <x:f>IF(J766="Рассчитано",N766*(1-O766/100),"н/д")</x:f>
        <x:v>н/д</x:v>
      </x:c>
      <x:c r="V766" s="20" t="str">
        <x:f>IF(J766="Рассчитано",T766*U766,"н/д")</x:f>
        <x:v>н/д</x:v>
      </x:c>
      <x:c r="W766" s="20" t="str">
        <x:f>IF(J766="Рассчитано",T766*M766,"н/д")</x:f>
        <x:v>н/д</x:v>
      </x:c>
      <x:c r="X766" s="20" t="str">
        <x:f>IF(J766="Рассчитано",V766-W766,"н/д")</x:f>
        <x:v>н/д</x:v>
      </x:c>
      <x:c r="Y766" s="26" t="str">
        <x:f>IF(J766="Рассчитано",IF(V766&gt;0,G766/V766,"н/д"),"н/д")</x:f>
        <x:v>н/д</x:v>
      </x:c>
      <x:c r="Z766" s="20" t="str">
        <x:f>"н/д"</x:f>
        <x:v>н/д</x:v>
      </x:c>
      <x:c r="AA766" s="20" t="str">
        <x:f>"н/д"</x:f>
        <x:v>н/д</x:v>
      </x:c>
      <x:c r="AB766" s="20" t="str">
        <x:f>"н/д"</x:f>
        <x:v>н/д</x:v>
      </x:c>
      <x:c r="AC766" s="20" t="str">
        <x:f>IF(AND(J766="Рассчитано",T766&gt;0,R766&lt;100),(W766+P766+Q766)/(T766*(1-R766/100)),"н/д")</x:f>
        <x:v>н/д</x:v>
      </x:c>
      <x:c r="AD766" s="11" t="str">
        <x:f>IF(ISNUMBER(G766),IF(G766&lt;0,"Убыток",IF(G766=0,"Без прибыли","Прибыль &gt; 0")),"Не оценён")</x:f>
        <x:v>Не оценён</x:v>
      </x:c>
      <x:c r="AE766" s="12" t="str">
        <x:f>IF(J766="Рассчитано","Выручка "&amp;TEXT(V766,"0.00")&amp;" - себестоимость "&amp;TEXT(W766,"0.00")&amp;" - комиссия "&amp;TEXT(V766*R766/100,"0.00")&amp;" - доставка "&amp;TEXT(P766,"0.00")&amp;" - прочие "&amp;TEXT(Q766,"0.00")&amp;" = "&amp;TEXT(G766,"0.00")&amp;" "&amp;L766,"Введите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6" s="23" t="n">
        <x:v>12.577707185245467</x:v>
      </x:c>
      <x:c r="AG766" s="35" t="n">
        <x:v>24</x:v>
      </x:c>
      <x:c r="AH766" s="35" t="n">
        <x:v>0</x:v>
      </x:c>
      <x:c r="AI766" s="29" t="n">
        <x:v>46266</x:v>
      </x:c>
      <x:c r="AJ766" s="35" t="n">
        <x:v>1</x:v>
      </x:c>
      <x:c r="AK766" s="11" t="str">
        <x:v>минимум</x:v>
      </x:c>
      <x:c r="AL766" s="31" t="n">
        <x:v>162.2664765544283</x:v>
      </x:c>
      <x:c r="AM766" s="12" t="str">
        <x:v>Остаток на начало сентября; Резервы неизвестны; Нет ежедневных данных доступности. Запас выше прогноза на 90 дней</x:v>
      </x:c>
      <x:c r="AN766" s="12" t="str">
        <x:v>Проверить свободный остаток и установить цену для B2B</x:v>
      </x:c>
      <x:c r="AO766" s="12" t="str">
        <x:v>Остаток 24; прогноз 90 дней 12.58; избыток 11 шт. Будущие поступления не выставляются на продажу. Остаток на начало сентября: требуется актуализация.</x:v>
      </x:c>
      <x:c r="AP766" s="12" t="str">
        <x:v>["category_missing", "daily_stockout_data_missing", "new_order_lead_time_unknown", "reservations_unknown", "stale_stock"]</x:v>
      </x:c>
      <x:c r="AQ766" s="11" t="str">
        <x:v>IEK:150101189_</x:v>
      </x:c>
      <x:c r="AR766" s="23" t="n">
        <x:v>1</x:v>
      </x:c>
      <x:c r="AS766" s="23" t="n">
        <x:v>0</x:v>
      </x:c>
      <x:c r="AT766" s="23" t="n">
        <x:v>0</x:v>
      </x:c>
    </x:row>
    <x:row r="767" ht="64" customHeight="1">
      <x:c r="A767" s="10" t="str">
        <x:v>IEK</x:v>
      </x:c>
      <x:c r="B767" s="34" t="str">
        <x:v>150101190_</x:v>
      </x:c>
      <x:c r="C767" s="34" t="str">
        <x:v>LT-UBU0-5107-GU10-1-K03</x:v>
      </x:c>
      <x:c r="D767" s="13" t="str">
        <x:v>Светильник уличный 5107 настенный GU10 IP65 серый IEK</x:v>
      </x:c>
      <x:c r="E767" s="10" t="str">
        <x:v>шт</x:v>
      </x:c>
      <x:c r="F767" s="37" t="n">
        <x:f>MAX(0,ROUNDDOWN((AG767-AF767)/AR767+0.000000001,0)*AR767)</x:f>
        <x:v>34</x:v>
      </x:c>
      <x:c r="G767" s="21" t="str">
        <x:f>IF(J767="Рассчитано",V767*(1-R767/100)-W767-P767-Q767,"н/д")</x:f>
        <x:v>н/д</x:v>
      </x:c>
      <x:c r="H767" s="13" t="str">
        <x:v>Высокий</x:v>
      </x:c>
      <x:c r="I767" s="13" t="str">
        <x:v>Высокий</x:v>
      </x:c>
      <x:c r="J767" s="13" t="str">
        <x:f>IF(L767="","Укажите валюту",IF(NOT(ISNUMBER(K767)),"Укажите объём",IF(K767&lt;=0,"Укажите объём",IF(K767&gt;F767,"Объём выше излишка",IF(COUNT(M767:O767)&lt;3,"Нужны цены",IF(COUNT(P767:R767)&lt;3,"Нужны расходы",IF(OR(M767&lt;0,N767&lt;0,O767&lt;0,O767&gt;100,P767&lt;0,Q767&lt;0,R767&lt;0,R767&gt;100),"Проверьте значения","Рассчитано")))))))</x:f>
        <x:v>Нужны цены</x:v>
      </x:c>
      <x:c r="K767" s="36" t="n">
        <x:v>34</x:v>
      </x:c>
      <x:c r="L767" s="19" t="str">
        <x:v>KZT</x:v>
      </x:c>
      <x:c r="M767" s="22"/>
      <x:c r="N767" s="22"/>
      <x:c r="O767" s="28"/>
      <x:c r="P767" s="22"/>
      <x:c r="Q767" s="22"/>
      <x:c r="R767" s="28"/>
      <x:c r="S767" s="22"/>
      <x:c r="T767" s="37" t="n">
        <x:f>K767</x:f>
        <x:v>34</x:v>
      </x:c>
      <x:c r="U767" s="21" t="str">
        <x:f>IF(J767="Рассчитано",N767*(1-O767/100),"н/д")</x:f>
        <x:v>н/д</x:v>
      </x:c>
      <x:c r="V767" s="21" t="str">
        <x:f>IF(J767="Рассчитано",T767*U767,"н/д")</x:f>
        <x:v>н/д</x:v>
      </x:c>
      <x:c r="W767" s="21" t="str">
        <x:f>IF(J767="Рассчитано",T767*M767,"н/д")</x:f>
        <x:v>н/д</x:v>
      </x:c>
      <x:c r="X767" s="21" t="str">
        <x:f>IF(J767="Рассчитано",V767-W767,"н/д")</x:f>
        <x:v>н/д</x:v>
      </x:c>
      <x:c r="Y767" s="27" t="str">
        <x:f>IF(J767="Рассчитано",IF(V767&gt;0,G767/V767,"н/д"),"н/д")</x:f>
        <x:v>н/д</x:v>
      </x:c>
      <x:c r="Z767" s="21" t="str">
        <x:f>"н/д"</x:f>
        <x:v>н/д</x:v>
      </x:c>
      <x:c r="AA767" s="21" t="str">
        <x:f>"н/д"</x:f>
        <x:v>н/д</x:v>
      </x:c>
      <x:c r="AB767" s="21" t="str">
        <x:f>"н/д"</x:f>
        <x:v>н/д</x:v>
      </x:c>
      <x:c r="AC767" s="21" t="str">
        <x:f>IF(AND(J767="Рассчитано",T767&gt;0,R767&lt;100),(W767+P767+Q767)/(T767*(1-R767/100)),"н/д")</x:f>
        <x:v>н/д</x:v>
      </x:c>
      <x:c r="AD767" s="10" t="str">
        <x:f>IF(ISNUMBER(G767),IF(G767&lt;0,"Убыток",IF(G767=0,"Без прибыли","Прибыль &gt; 0")),"Не оценён")</x:f>
        <x:v>Не оценён</x:v>
      </x:c>
      <x:c r="AE767" s="13" t="str">
        <x:f>IF(J767="Рассчитано","Выручка "&amp;TEXT(V767,"0.00")&amp;" - себестоимость "&amp;TEXT(W767,"0.00")&amp;" - комиссия "&amp;TEXT(V767*R767/100,"0.00")&amp;" - доставка "&amp;TEXT(P767,"0.00")&amp;" - прочие "&amp;TEXT(Q767,"0.00")&amp;" = "&amp;TEXT(G767,"0.00")&amp;" "&amp;L767,"Введите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7" s="24" t="n">
        <x:v>13.75558980882029</x:v>
      </x:c>
      <x:c r="AG767" s="37" t="n">
        <x:v>48</x:v>
      </x:c>
      <x:c r="AH767" s="37" t="n">
        <x:v>0</x:v>
      </x:c>
      <x:c r="AI767" s="30" t="n">
        <x:v>46266</x:v>
      </x:c>
      <x:c r="AJ767" s="37" t="n">
        <x:v>1</x:v>
      </x:c>
      <x:c r="AK767" s="10" t="str">
        <x:v>минимум</x:v>
      </x:c>
      <x:c r="AL767" s="32" t="n">
        <x:v>296.74339762216755</x:v>
      </x:c>
      <x:c r="AM76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67" s="13" t="str">
        <x:v>Проверить свободный остаток и установить цену для B2B</x:v>
      </x:c>
      <x:c r="AO767" s="13" t="str">
        <x:v>Остаток 48; прогноз 90 дней 13.76; избыток 34 шт. Будущие поступления не выставляются на продажу. Остаток на начало сентября: требуется актуализация.</x:v>
      </x:c>
      <x:c r="AP767" s="13" t="str">
        <x:v>["category_missing", "daily_stockout_data_missing", "new_order_lead_time_unknown", "reservations_unknown", "stale_stock"]</x:v>
      </x:c>
      <x:c r="AQ767" s="10" t="str">
        <x:v>IEK:150101190_</x:v>
      </x:c>
      <x:c r="AR767" s="24" t="n">
        <x:v>1</x:v>
      </x:c>
      <x:c r="AS767" s="24" t="n">
        <x:v>0</x:v>
      </x:c>
      <x:c r="AT767" s="24" t="n">
        <x:v>0</x:v>
      </x:c>
    </x:row>
    <x:row r="768" ht="64" customHeight="1">
      <x:c r="A768" s="11" t="str">
        <x:v>IEK</x:v>
      </x:c>
      <x:c r="B768" s="33" t="str">
        <x:v>150101191_</x:v>
      </x:c>
      <x:c r="C768" s="33" t="str">
        <x:v>LT-UBU0-5108-GU10-2-K01</x:v>
      </x:c>
      <x:c r="D768" s="12" t="str">
        <x:v>Светильник уличный 5108 настенный 2хGU10 IP65 белый IEK</x:v>
      </x:c>
      <x:c r="E768" s="11" t="str">
        <x:v>шт</x:v>
      </x:c>
      <x:c r="F768" s="35" t="n">
        <x:f>MAX(0,ROUNDDOWN((AG768-AF768)/AR768+0.000000001,0)*AR768)</x:f>
        <x:v>34</x:v>
      </x:c>
      <x:c r="G768" s="20" t="str">
        <x:f>IF(J768="Рассчитано",V768*(1-R768/100)-W768-P768-Q768,"н/д")</x:f>
        <x:v>н/д</x:v>
      </x:c>
      <x:c r="H768" s="12" t="str">
        <x:v>Высокий</x:v>
      </x:c>
      <x:c r="I768" s="12" t="str">
        <x:v>Высокий</x:v>
      </x:c>
      <x:c r="J768" s="12" t="str">
        <x:f>IF(L768="","Укажите валюту",IF(NOT(ISNUMBER(K768)),"Укажите объём",IF(K768&lt;=0,"Укажите объём",IF(K768&gt;F768,"Объём выше излишка",IF(COUNT(M768:O768)&lt;3,"Нужны цены",IF(COUNT(P768:R768)&lt;3,"Нужны расходы",IF(OR(M768&lt;0,N768&lt;0,O768&lt;0,O768&gt;100,P768&lt;0,Q768&lt;0,R768&lt;0,R768&gt;100),"Проверьте значения","Рассчитано")))))))</x:f>
        <x:v>Нужны цены</x:v>
      </x:c>
      <x:c r="K768" s="36" t="n">
        <x:v>34</x:v>
      </x:c>
      <x:c r="L768" s="19" t="str">
        <x:v>KZT</x:v>
      </x:c>
      <x:c r="M768" s="22"/>
      <x:c r="N768" s="22"/>
      <x:c r="O768" s="28"/>
      <x:c r="P768" s="22"/>
      <x:c r="Q768" s="22"/>
      <x:c r="R768" s="28"/>
      <x:c r="S768" s="22"/>
      <x:c r="T768" s="35" t="n">
        <x:f>K768</x:f>
        <x:v>34</x:v>
      </x:c>
      <x:c r="U768" s="20" t="str">
        <x:f>IF(J768="Рассчитано",N768*(1-O768/100),"н/д")</x:f>
        <x:v>н/д</x:v>
      </x:c>
      <x:c r="V768" s="20" t="str">
        <x:f>IF(J768="Рассчитано",T768*U768,"н/д")</x:f>
        <x:v>н/д</x:v>
      </x:c>
      <x:c r="W768" s="20" t="str">
        <x:f>IF(J768="Рассчитано",T768*M768,"н/д")</x:f>
        <x:v>н/д</x:v>
      </x:c>
      <x:c r="X768" s="20" t="str">
        <x:f>IF(J768="Рассчитано",V768-W768,"н/д")</x:f>
        <x:v>н/д</x:v>
      </x:c>
      <x:c r="Y768" s="26" t="str">
        <x:f>IF(J768="Рассчитано",IF(V768&gt;0,G768/V768,"н/д"),"н/д")</x:f>
        <x:v>н/д</x:v>
      </x:c>
      <x:c r="Z768" s="20" t="str">
        <x:f>"н/д"</x:f>
        <x:v>н/д</x:v>
      </x:c>
      <x:c r="AA768" s="20" t="str">
        <x:f>"н/д"</x:f>
        <x:v>н/д</x:v>
      </x:c>
      <x:c r="AB768" s="20" t="str">
        <x:f>"н/д"</x:f>
        <x:v>н/д</x:v>
      </x:c>
      <x:c r="AC768" s="20" t="str">
        <x:f>IF(AND(J768="Рассчитано",T768&gt;0,R768&lt;100),(W768+P768+Q768)/(T768*(1-R768/100)),"н/д")</x:f>
        <x:v>н/д</x:v>
      </x:c>
      <x:c r="AD768" s="11" t="str">
        <x:f>IF(ISNUMBER(G768),IF(G768&lt;0,"Убыток",IF(G768=0,"Без прибыли","Прибыль &gt; 0")),"Не оценён")</x:f>
        <x:v>Не оценён</x:v>
      </x:c>
      <x:c r="AE768" s="12" t="str">
        <x:f>IF(J768="Рассчитано","Выручка "&amp;TEXT(V768,"0.00")&amp;" - себестоимость "&amp;TEXT(W768,"0.00")&amp;" - комиссия "&amp;TEXT(V768*R768/100,"0.00")&amp;" - доставка "&amp;TEXT(P768,"0.00")&amp;" - прочие "&amp;TEXT(Q768,"0.00")&amp;" = "&amp;TEXT(G768,"0.00")&amp;" "&amp;L768,"Введите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8" s="23" t="n">
        <x:v>1.5869992806737796</x:v>
      </x:c>
      <x:c r="AG768" s="35" t="n">
        <x:v>36</x:v>
      </x:c>
      <x:c r="AH768" s="35" t="n">
        <x:v>0</x:v>
      </x:c>
      <x:c r="AI768" s="29" t="n">
        <x:v>46266</x:v>
      </x:c>
      <x:c r="AJ768" s="35" t="n">
        <x:v>1</x:v>
      </x:c>
      <x:c r="AK768" s="11" t="str">
        <x:v>минимум</x:v>
      </x:c>
      <x:c r="AL768" s="31" t="n">
        <x:v>1929.0559103624078</x:v>
      </x:c>
      <x:c r="AM76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68" s="12" t="str">
        <x:v>Проверить свободный остаток и установить цену для B2B</x:v>
      </x:c>
      <x:c r="AO768" s="12" t="str">
        <x:v>Остаток 36; прогноз 90 дней 1.59; избыток 34 шт. Будущие поступления не выставляются на продажу. Остаток на начало сентября: требуется актуализация.</x:v>
      </x:c>
      <x:c r="AP768" s="12" t="str">
        <x:v>["category_missing", "daily_stockout_data_missing", "new_order_lead_time_unknown", "reservations_unknown", "stale_stock"]</x:v>
      </x:c>
      <x:c r="AQ768" s="11" t="str">
        <x:v>IEK:150101191_</x:v>
      </x:c>
      <x:c r="AR768" s="23" t="n">
        <x:v>1</x:v>
      </x:c>
      <x:c r="AS768" s="23" t="n">
        <x:v>0</x:v>
      </x:c>
      <x:c r="AT768" s="23" t="n">
        <x:v>0</x:v>
      </x:c>
    </x:row>
    <x:row r="769" ht="64" customHeight="1">
      <x:c r="A769" s="10" t="str">
        <x:v>IEK</x:v>
      </x:c>
      <x:c r="B769" s="34" t="str">
        <x:v>150101193_</x:v>
      </x:c>
      <x:c r="C769" s="34" t="str">
        <x:v>LT-UBU0-5108-GU10-2-K03</x:v>
      </x:c>
      <x:c r="D769" s="13" t="str">
        <x:v>Светильник уличный 5108 настенный 2хGU10 IP65 серый IEK</x:v>
      </x:c>
      <x:c r="E769" s="10" t="str">
        <x:v>шт</x:v>
      </x:c>
      <x:c r="F769" s="37" t="n">
        <x:f>MAX(0,ROUNDDOWN((AG769-AF769)/AR769+0.000000001,0)*AR769)</x:f>
        <x:v>3</x:v>
      </x:c>
      <x:c r="G769" s="21" t="str">
        <x:f>IF(J769="Рассчитано",V769*(1-R769/100)-W769-P769-Q769,"н/д")</x:f>
        <x:v>н/д</x:v>
      </x:c>
      <x:c r="H769" s="13" t="str">
        <x:v>Высокий</x:v>
      </x:c>
      <x:c r="I769" s="13" t="str">
        <x:v>Средний</x:v>
      </x:c>
      <x:c r="J769" s="13" t="str">
        <x:f>IF(L769="","Укажите валюту",IF(NOT(ISNUMBER(K769)),"Укажите объём",IF(K769&lt;=0,"Укажите объём",IF(K769&gt;F769,"Объём выше излишка",IF(COUNT(M769:O769)&lt;3,"Нужны цены",IF(COUNT(P769:R769)&lt;3,"Нужны расходы",IF(OR(M769&lt;0,N769&lt;0,O769&lt;0,O769&gt;100,P769&lt;0,Q769&lt;0,R769&lt;0,R769&gt;100),"Проверьте значения","Рассчитано")))))))</x:f>
        <x:v>Нужны цены</x:v>
      </x:c>
      <x:c r="K769" s="36" t="n">
        <x:v>3</x:v>
      </x:c>
      <x:c r="L769" s="19" t="str">
        <x:v>KZT</x:v>
      </x:c>
      <x:c r="M769" s="22"/>
      <x:c r="N769" s="22"/>
      <x:c r="O769" s="28"/>
      <x:c r="P769" s="22"/>
      <x:c r="Q769" s="22"/>
      <x:c r="R769" s="28"/>
      <x:c r="S769" s="22"/>
      <x:c r="T769" s="37" t="n">
        <x:f>K769</x:f>
        <x:v>3</x:v>
      </x:c>
      <x:c r="U769" s="21" t="str">
        <x:f>IF(J769="Рассчитано",N769*(1-O769/100),"н/д")</x:f>
        <x:v>н/д</x:v>
      </x:c>
      <x:c r="V769" s="21" t="str">
        <x:f>IF(J769="Рассчитано",T769*U769,"н/д")</x:f>
        <x:v>н/д</x:v>
      </x:c>
      <x:c r="W769" s="21" t="str">
        <x:f>IF(J769="Рассчитано",T769*M769,"н/д")</x:f>
        <x:v>н/д</x:v>
      </x:c>
      <x:c r="X769" s="21" t="str">
        <x:f>IF(J769="Рассчитано",V769-W769,"н/д")</x:f>
        <x:v>н/д</x:v>
      </x:c>
      <x:c r="Y769" s="27" t="str">
        <x:f>IF(J769="Рассчитано",IF(V769&gt;0,G769/V769,"н/д"),"н/д")</x:f>
        <x:v>н/д</x:v>
      </x:c>
      <x:c r="Z769" s="21" t="str">
        <x:f>"н/д"</x:f>
        <x:v>н/д</x:v>
      </x:c>
      <x:c r="AA769" s="21" t="str">
        <x:f>"н/д"</x:f>
        <x:v>н/д</x:v>
      </x:c>
      <x:c r="AB769" s="21" t="str">
        <x:f>"н/д"</x:f>
        <x:v>н/д</x:v>
      </x:c>
      <x:c r="AC769" s="21" t="str">
        <x:f>IF(AND(J769="Рассчитано",T769&gt;0,R769&lt;100),(W769+P769+Q769)/(T769*(1-R769/100)),"н/д")</x:f>
        <x:v>н/д</x:v>
      </x:c>
      <x:c r="AD769" s="10" t="str">
        <x:f>IF(ISNUMBER(G769),IF(G769&lt;0,"Убыток",IF(G769=0,"Без прибыли","Прибыль &gt; 0")),"Не оценён")</x:f>
        <x:v>Не оценён</x:v>
      </x:c>
      <x:c r="AE769" s="13" t="str">
        <x:f>IF(J769="Рассчитано","Выручка "&amp;TEXT(V769,"0.00")&amp;" - себестоимость "&amp;TEXT(W769,"0.00")&amp;" - комиссия "&amp;TEXT(V769*R769/100,"0.00")&amp;" - доставка "&amp;TEXT(P769,"0.00")&amp;" - прочие "&amp;TEXT(Q769,"0.00")&amp;" = "&amp;TEXT(G769,"0.00")&amp;" "&amp;L769,"Введите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9" s="24" t="n">
        <x:v>22.470364577973708</x:v>
      </x:c>
      <x:c r="AG769" s="37" t="n">
        <x:v>26</x:v>
      </x:c>
      <x:c r="AH769" s="37" t="n">
        <x:v>0</x:v>
      </x:c>
      <x:c r="AI769" s="30" t="n">
        <x:v>46266</x:v>
      </x:c>
      <x:c r="AJ769" s="37" t="n">
        <x:v>1</x:v>
      </x:c>
      <x:c r="AK769" s="10" t="str">
        <x:v>минимум</x:v>
      </x:c>
      <x:c r="AL769" s="32" t="n">
        <x:v>98.39709421495883</x:v>
      </x:c>
      <x:c r="AM769" s="13" t="str">
        <x:v>Остаток на начало сентября; Резервы неизвестны; Нет ежедневных данных доступности. Запас выше прогноза на 90 дней</x:v>
      </x:c>
      <x:c r="AN769" s="13" t="str">
        <x:v>Проверить свободный остаток и установить цену для B2B</x:v>
      </x:c>
      <x:c r="AO769" s="13" t="str">
        <x:v>Остаток 26; прогноз 90 дней 22.47; избыток 3 шт. Будущие поступления не выставляются на продажу. Остаток на начало сентября: требуется актуализация.</x:v>
      </x:c>
      <x:c r="AP769" s="13" t="str">
        <x:v>["category_missing", "daily_stockout_data_missing", "new_order_lead_time_unknown", "reservations_unknown", "stale_stock"]</x:v>
      </x:c>
      <x:c r="AQ769" s="10" t="str">
        <x:v>IEK:150101193_</x:v>
      </x:c>
      <x:c r="AR769" s="24" t="n">
        <x:v>1</x:v>
      </x:c>
      <x:c r="AS769" s="24" t="n">
        <x:v>0</x:v>
      </x:c>
      <x:c r="AT769" s="24" t="n">
        <x:v>0</x:v>
      </x:c>
    </x:row>
    <x:row r="770" ht="64" customHeight="1">
      <x:c r="A770" s="11" t="str">
        <x:v>IEK</x:v>
      </x:c>
      <x:c r="B770" s="33" t="str">
        <x:v>150101198_</x:v>
      </x:c>
      <x:c r="C770" s="33" t="str">
        <x:v>LT-UBU0-5221-GU10-2-K02</x:v>
      </x:c>
      <x:c r="D770" s="12" t="str">
        <x:v>Светильник уличный 5221 настенный 2хGU10 IP65 черный IEK</x:v>
      </x:c>
      <x:c r="E770" s="11" t="str">
        <x:v>шт</x:v>
      </x:c>
      <x:c r="F770" s="35" t="n">
        <x:f>MAX(0,ROUNDDOWN((AG770-AF770)/AR770+0.000000001,0)*AR770)</x:f>
        <x:v>15</x:v>
      </x:c>
      <x:c r="G770" s="20" t="str">
        <x:f>IF(J770="Рассчитано",V770*(1-R770/100)-W770-P770-Q770,"н/д")</x:f>
        <x:v>н/д</x:v>
      </x:c>
      <x:c r="H770" s="12" t="str">
        <x:v>Высокий</x:v>
      </x:c>
      <x:c r="I770" s="12" t="str">
        <x:v>Высокий</x:v>
      </x:c>
      <x:c r="J770" s="12" t="str">
        <x:f>IF(L770="","Укажите валюту",IF(NOT(ISNUMBER(K770)),"Укажите объём",IF(K770&lt;=0,"Укажите объём",IF(K770&gt;F770,"Объём выше излишка",IF(COUNT(M770:O770)&lt;3,"Нужны цены",IF(COUNT(P770:R770)&lt;3,"Нужны расходы",IF(OR(M770&lt;0,N770&lt;0,O770&lt;0,O770&gt;100,P770&lt;0,Q770&lt;0,R770&lt;0,R770&gt;100),"Проверьте значения","Рассчитано")))))))</x:f>
        <x:v>Нужны цены</x:v>
      </x:c>
      <x:c r="K770" s="36" t="n">
        <x:v>15</x:v>
      </x:c>
      <x:c r="L770" s="19" t="str">
        <x:v>KZT</x:v>
      </x:c>
      <x:c r="M770" s="22"/>
      <x:c r="N770" s="22"/>
      <x:c r="O770" s="28"/>
      <x:c r="P770" s="22"/>
      <x:c r="Q770" s="22"/>
      <x:c r="R770" s="28"/>
      <x:c r="S770" s="22"/>
      <x:c r="T770" s="35" t="n">
        <x:f>K770</x:f>
        <x:v>15</x:v>
      </x:c>
      <x:c r="U770" s="20" t="str">
        <x:f>IF(J770="Рассчитано",N770*(1-O770/100),"н/д")</x:f>
        <x:v>н/д</x:v>
      </x:c>
      <x:c r="V770" s="20" t="str">
        <x:f>IF(J770="Рассчитано",T770*U770,"н/д")</x:f>
        <x:v>н/д</x:v>
      </x:c>
      <x:c r="W770" s="20" t="str">
        <x:f>IF(J770="Рассчитано",T770*M770,"н/д")</x:f>
        <x:v>н/д</x:v>
      </x:c>
      <x:c r="X770" s="20" t="str">
        <x:f>IF(J770="Рассчитано",V770-W770,"н/д")</x:f>
        <x:v>н/д</x:v>
      </x:c>
      <x:c r="Y770" s="26" t="str">
        <x:f>IF(J770="Рассчитано",IF(V770&gt;0,G770/V770,"н/д"),"н/д")</x:f>
        <x:v>н/д</x:v>
      </x:c>
      <x:c r="Z770" s="20" t="str">
        <x:f>"н/д"</x:f>
        <x:v>н/д</x:v>
      </x:c>
      <x:c r="AA770" s="20" t="str">
        <x:f>"н/д"</x:f>
        <x:v>н/д</x:v>
      </x:c>
      <x:c r="AB770" s="20" t="str">
        <x:f>"н/д"</x:f>
        <x:v>н/д</x:v>
      </x:c>
      <x:c r="AC770" s="20" t="str">
        <x:f>IF(AND(J770="Рассчитано",T770&gt;0,R770&lt;100),(W770+P770+Q770)/(T770*(1-R770/100)),"н/д")</x:f>
        <x:v>н/д</x:v>
      </x:c>
      <x:c r="AD770" s="11" t="str">
        <x:f>IF(ISNUMBER(G770),IF(G770&lt;0,"Убыток",IF(G770=0,"Без прибыли","Прибыль &gt; 0")),"Не оценён")</x:f>
        <x:v>Не оценён</x:v>
      </x:c>
      <x:c r="AE770" s="12" t="str">
        <x:f>IF(J770="Рассчитано","Выручка "&amp;TEXT(V770,"0.00")&amp;" - себестоимость "&amp;TEXT(W770,"0.00")&amp;" - комиссия "&amp;TEXT(V770*R770/100,"0.00")&amp;" - доставка "&amp;TEXT(P770,"0.00")&amp;" - прочие "&amp;TEXT(Q770,"0.00")&amp;" = "&amp;TEXT(G770,"0.00")&amp;" "&amp;L770,"Введите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0" s="23" t="n">
        <x:v>4.219689077171391</x:v>
      </x:c>
      <x:c r="AG770" s="35" t="n">
        <x:v>20</x:v>
      </x:c>
      <x:c r="AH770" s="35" t="n">
        <x:v>0</x:v>
      </x:c>
      <x:c r="AI770" s="29" t="n">
        <x:v>46266</x:v>
      </x:c>
      <x:c r="AJ770" s="35" t="n">
        <x:v>1</x:v>
      </x:c>
      <x:c r="AK770" s="11" t="str">
        <x:v>минимум</x:v>
      </x:c>
      <x:c r="AL770" s="31" t="n">
        <x:v>403.0589676864722</x:v>
      </x:c>
      <x:c r="AM77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70" s="12" t="str">
        <x:v>Проверить свободный остаток и установить цену для B2B</x:v>
      </x:c>
      <x:c r="AO770" s="12" t="str">
        <x:v>Остаток 20; прогноз 90 дней 4.22; избыток 15 шт. Будущие поступления не выставляются на продажу. Остаток на начало сентября: требуется актуализация.</x:v>
      </x:c>
      <x:c r="AP770" s="12" t="str">
        <x:v>["category_missing", "daily_stockout_data_missing", "new_order_lead_time_unknown", "reservations_unknown", "stale_stock"]</x:v>
      </x:c>
      <x:c r="AQ770" s="11" t="str">
        <x:v>IEK:150101198_</x:v>
      </x:c>
      <x:c r="AR770" s="23" t="n">
        <x:v>1</x:v>
      </x:c>
      <x:c r="AS770" s="23" t="n">
        <x:v>0</x:v>
      </x:c>
      <x:c r="AT770" s="23" t="n">
        <x:v>0</x:v>
      </x:c>
    </x:row>
    <x:row r="771" ht="64" customHeight="1">
      <x:c r="A771" s="10" t="str">
        <x:v>IEK</x:v>
      </x:c>
      <x:c r="B771" s="34" t="str">
        <x:v>150101199_</x:v>
      </x:c>
      <x:c r="C771" s="34" t="str">
        <x:v>LT-UBU0-5221-GU10-2-K03</x:v>
      </x:c>
      <x:c r="D771" s="13" t="str">
        <x:v>Светильник уличный 5221 настенный 2хGU10 IP65 серый IEK</x:v>
      </x:c>
      <x:c r="E771" s="10" t="str">
        <x:v>шт</x:v>
      </x:c>
      <x:c r="F771" s="37" t="n">
        <x:f>MAX(0,ROUNDDOWN((AG771-AF771)/AR771+0.000000001,0)*AR771)</x:f>
        <x:v>19</x:v>
      </x:c>
      <x:c r="G771" s="21" t="str">
        <x:f>IF(J771="Рассчитано",V771*(1-R771/100)-W771-P771-Q771,"н/д")</x:f>
        <x:v>н/д</x:v>
      </x:c>
      <x:c r="H771" s="13" t="str">
        <x:v>Высокий</x:v>
      </x:c>
      <x:c r="I771" s="13" t="str">
        <x:v>Высокий</x:v>
      </x:c>
      <x:c r="J771" s="13" t="str">
        <x:f>IF(L771="","Укажите валюту",IF(NOT(ISNUMBER(K771)),"Укажите объём",IF(K771&lt;=0,"Укажите объём",IF(K771&gt;F771,"Объём выше излишка",IF(COUNT(M771:O771)&lt;3,"Нужны цены",IF(COUNT(P771:R771)&lt;3,"Нужны расходы",IF(OR(M771&lt;0,N771&lt;0,O771&lt;0,O771&gt;100,P771&lt;0,Q771&lt;0,R771&lt;0,R771&gt;100),"Проверьте значения","Рассчитано")))))))</x:f>
        <x:v>Нужны цены</x:v>
      </x:c>
      <x:c r="K771" s="36" t="n">
        <x:v>19</x:v>
      </x:c>
      <x:c r="L771" s="19" t="str">
        <x:v>KZT</x:v>
      </x:c>
      <x:c r="M771" s="22"/>
      <x:c r="N771" s="22"/>
      <x:c r="O771" s="28"/>
      <x:c r="P771" s="22"/>
      <x:c r="Q771" s="22"/>
      <x:c r="R771" s="28"/>
      <x:c r="S771" s="22"/>
      <x:c r="T771" s="37" t="n">
        <x:f>K771</x:f>
        <x:v>19</x:v>
      </x:c>
      <x:c r="U771" s="21" t="str">
        <x:f>IF(J771="Рассчитано",N771*(1-O771/100),"н/д")</x:f>
        <x:v>н/д</x:v>
      </x:c>
      <x:c r="V771" s="21" t="str">
        <x:f>IF(J771="Рассчитано",T771*U771,"н/д")</x:f>
        <x:v>н/д</x:v>
      </x:c>
      <x:c r="W771" s="21" t="str">
        <x:f>IF(J771="Рассчитано",T771*M771,"н/д")</x:f>
        <x:v>н/д</x:v>
      </x:c>
      <x:c r="X771" s="21" t="str">
        <x:f>IF(J771="Рассчитано",V771-W771,"н/д")</x:f>
        <x:v>н/д</x:v>
      </x:c>
      <x:c r="Y771" s="27" t="str">
        <x:f>IF(J771="Рассчитано",IF(V771&gt;0,G771/V771,"н/д"),"н/д")</x:f>
        <x:v>н/д</x:v>
      </x:c>
      <x:c r="Z771" s="21" t="str">
        <x:f>"н/д"</x:f>
        <x:v>н/д</x:v>
      </x:c>
      <x:c r="AA771" s="21" t="str">
        <x:f>"н/д"</x:f>
        <x:v>н/д</x:v>
      </x:c>
      <x:c r="AB771" s="21" t="str">
        <x:f>"н/д"</x:f>
        <x:v>н/д</x:v>
      </x:c>
      <x:c r="AC771" s="21" t="str">
        <x:f>IF(AND(J771="Рассчитано",T771&gt;0,R771&lt;100),(W771+P771+Q771)/(T771*(1-R771/100)),"н/д")</x:f>
        <x:v>н/д</x:v>
      </x:c>
      <x:c r="AD771" s="10" t="str">
        <x:f>IF(ISNUMBER(G771),IF(G771&lt;0,"Убыток",IF(G771=0,"Без прибыли","Прибыль &gt; 0")),"Не оценён")</x:f>
        <x:v>Не оценён</x:v>
      </x:c>
      <x:c r="AE771" s="13" t="str">
        <x:f>IF(J771="Рассчитано","Выручка "&amp;TEXT(V771,"0.00")&amp;" - себестоимость "&amp;TEXT(W771,"0.00")&amp;" - комиссия "&amp;TEXT(V771*R771/100,"0.00")&amp;" - доставка "&amp;TEXT(P771,"0.00")&amp;" - прочие "&amp;TEXT(Q771,"0.00")&amp;" = "&amp;TEXT(G771,"0.00")&amp;" "&amp;L771,"Введите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1" s="24" t="n">
        <x:v>3.3156568076994763</x:v>
      </x:c>
      <x:c r="AG771" s="37" t="n">
        <x:v>23</x:v>
      </x:c>
      <x:c r="AH771" s="37" t="n">
        <x:v>0</x:v>
      </x:c>
      <x:c r="AI771" s="30" t="n">
        <x:v>46266</x:v>
      </x:c>
      <x:c r="AJ771" s="37" t="n">
        <x:v>1</x:v>
      </x:c>
      <x:c r="AK771" s="10" t="str">
        <x:v>минимум</x:v>
      </x:c>
      <x:c r="AL771" s="32" t="n">
        <x:v>589.8985224800883</x:v>
      </x:c>
      <x:c r="AM77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71" s="13" t="str">
        <x:v>Проверить свободный остаток и установить цену для B2B</x:v>
      </x:c>
      <x:c r="AO771" s="13" t="str">
        <x:v>Остаток 23; прогноз 90 дней 3.32; избыток 19 шт. Будущие поступления не выставляются на продажу. Остаток на начало сентября: требуется актуализация.</x:v>
      </x:c>
      <x:c r="AP771" s="13" t="str">
        <x:v>["category_missing", "daily_stockout_data_missing", "new_order_lead_time_unknown", "reservations_unknown", "stale_stock"]</x:v>
      </x:c>
      <x:c r="AQ771" s="10" t="str">
        <x:v>IEK:150101199_</x:v>
      </x:c>
      <x:c r="AR771" s="24" t="n">
        <x:v>1</x:v>
      </x:c>
      <x:c r="AS771" s="24" t="n">
        <x:v>0</x:v>
      </x:c>
      <x:c r="AT771" s="24" t="n">
        <x:v>0</x:v>
      </x:c>
    </x:row>
    <x:row r="772" ht="64" customHeight="1">
      <x:c r="A772" s="11" t="str">
        <x:v>IEK</x:v>
      </x:c>
      <x:c r="B772" s="33" t="str">
        <x:v>150101200_</x:v>
      </x:c>
      <x:c r="C772" s="33" t="str">
        <x:v>LT-UPU0-5104-GX53-1-K01</x:v>
      </x:c>
      <x:c r="D772" s="12" t="str">
        <x:v>Светильник уличный 5104 потолочный GX53 IP65 белый IEK</x:v>
      </x:c>
      <x:c r="E772" s="11" t="str">
        <x:v>шт</x:v>
      </x:c>
      <x:c r="F772" s="35" t="n">
        <x:f>MAX(0,ROUNDDOWN((AG772-AF772)/AR772+0.000000001,0)*AR772)</x:f>
        <x:v>11</x:v>
      </x:c>
      <x:c r="G772" s="20" t="str">
        <x:f>IF(J772="Рассчитано",V772*(1-R772/100)-W772-P772-Q772,"н/д")</x:f>
        <x:v>н/д</x:v>
      </x:c>
      <x:c r="H772" s="12" t="str">
        <x:v>Высокий</x:v>
      </x:c>
      <x:c r="I772" s="12" t="str">
        <x:v>Средний</x:v>
      </x:c>
      <x:c r="J772" s="12" t="str">
        <x:f>IF(L772="","Укажите валюту",IF(NOT(ISNUMBER(K772)),"Укажите объём",IF(K772&lt;=0,"Укажите объём",IF(K772&gt;F772,"Объём выше излишка",IF(COUNT(M772:O772)&lt;3,"Нужны цены",IF(COUNT(P772:R772)&lt;3,"Нужны расходы",IF(OR(M772&lt;0,N772&lt;0,O772&lt;0,O772&gt;100,P772&lt;0,Q772&lt;0,R772&lt;0,R772&gt;100),"Проверьте значения","Рассчитано")))))))</x:f>
        <x:v>Нужны цены</x:v>
      </x:c>
      <x:c r="K772" s="36" t="n">
        <x:v>11</x:v>
      </x:c>
      <x:c r="L772" s="19" t="str">
        <x:v>KZT</x:v>
      </x:c>
      <x:c r="M772" s="22"/>
      <x:c r="N772" s="22"/>
      <x:c r="O772" s="28"/>
      <x:c r="P772" s="22"/>
      <x:c r="Q772" s="22"/>
      <x:c r="R772" s="28"/>
      <x:c r="S772" s="22"/>
      <x:c r="T772" s="35" t="n">
        <x:f>K772</x:f>
        <x:v>11</x:v>
      </x:c>
      <x:c r="U772" s="20" t="str">
        <x:f>IF(J772="Рассчитано",N772*(1-O772/100),"н/д")</x:f>
        <x:v>н/д</x:v>
      </x:c>
      <x:c r="V772" s="20" t="str">
        <x:f>IF(J772="Рассчитано",T772*U772,"н/д")</x:f>
        <x:v>н/д</x:v>
      </x:c>
      <x:c r="W772" s="20" t="str">
        <x:f>IF(J772="Рассчитано",T772*M772,"н/д")</x:f>
        <x:v>н/д</x:v>
      </x:c>
      <x:c r="X772" s="20" t="str">
        <x:f>IF(J772="Рассчитано",V772-W772,"н/д")</x:f>
        <x:v>н/д</x:v>
      </x:c>
      <x:c r="Y772" s="26" t="str">
        <x:f>IF(J772="Рассчитано",IF(V772&gt;0,G772/V772,"н/д"),"н/д")</x:f>
        <x:v>н/д</x:v>
      </x:c>
      <x:c r="Z772" s="20" t="str">
        <x:f>"н/д"</x:f>
        <x:v>н/д</x:v>
      </x:c>
      <x:c r="AA772" s="20" t="str">
        <x:f>"н/д"</x:f>
        <x:v>н/д</x:v>
      </x:c>
      <x:c r="AB772" s="20" t="str">
        <x:f>"н/д"</x:f>
        <x:v>н/д</x:v>
      </x:c>
      <x:c r="AC772" s="20" t="str">
        <x:f>IF(AND(J772="Рассчитано",T772&gt;0,R772&lt;100),(W772+P772+Q772)/(T772*(1-R772/100)),"н/д")</x:f>
        <x:v>н/д</x:v>
      </x:c>
      <x:c r="AD772" s="11" t="str">
        <x:f>IF(ISNUMBER(G772),IF(G772&lt;0,"Убыток",IF(G772=0,"Без прибыли","Прибыль &gt; 0")),"Не оценён")</x:f>
        <x:v>Не оценён</x:v>
      </x:c>
      <x:c r="AE772" s="12" t="str">
        <x:f>IF(J772="Рассчитано","Выручка "&amp;TEXT(V772,"0.00")&amp;" - себестоимость "&amp;TEXT(W772,"0.00")&amp;" - комиссия "&amp;TEXT(V772*R772/100,"0.00")&amp;" - доставка "&amp;TEXT(P772,"0.00")&amp;" - прочие "&amp;TEXT(Q772,"0.00")&amp;" = "&amp;TEXT(G772,"0.00")&amp;" "&amp;L772,"Введите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2" s="23" t="n">
        <x:v>13.086187530056497</x:v>
      </x:c>
      <x:c r="AG772" s="35" t="n">
        <x:v>25</x:v>
      </x:c>
      <x:c r="AH772" s="35" t="n">
        <x:v>0</x:v>
      </x:c>
      <x:c r="AI772" s="29" t="n">
        <x:v>46266</x:v>
      </x:c>
      <x:c r="AJ772" s="35" t="n">
        <x:v>1</x:v>
      </x:c>
      <x:c r="AK772" s="11" t="str">
        <x:v>минимум</x:v>
      </x:c>
      <x:c r="AL772" s="31" t="n">
        <x:v>162.45979964525608</x:v>
      </x:c>
      <x:c r="AM772" s="12" t="str">
        <x:v>Остаток на начало сентября; Резервы неизвестны; Нет ежедневных данных доступности. Запас выше прогноза на 90 дней</x:v>
      </x:c>
      <x:c r="AN772" s="12" t="str">
        <x:v>Проверить свободный остаток и установить цену для B2B</x:v>
      </x:c>
      <x:c r="AO772" s="12" t="str">
        <x:v>Остаток 25; прогноз 90 дней 13.09; избыток 11 шт. Будущие поступления не выставляются на продажу. Остаток на начало сентября: требуется актуализация.</x:v>
      </x:c>
      <x:c r="AP772" s="12" t="str">
        <x:v>["category_missing", "daily_stockout_data_missing", "new_order_lead_time_unknown", "reservations_unknown", "stale_stock"]</x:v>
      </x:c>
      <x:c r="AQ772" s="11" t="str">
        <x:v>IEK:150101200_</x:v>
      </x:c>
      <x:c r="AR772" s="23" t="n">
        <x:v>1</x:v>
      </x:c>
      <x:c r="AS772" s="23" t="n">
        <x:v>0</x:v>
      </x:c>
      <x:c r="AT772" s="23" t="n">
        <x:v>0</x:v>
      </x:c>
    </x:row>
    <x:row r="773" ht="64" customHeight="1">
      <x:c r="A773" s="10" t="str">
        <x:v>IEK</x:v>
      </x:c>
      <x:c r="B773" s="34" t="str">
        <x:v>150101201_</x:v>
      </x:c>
      <x:c r="C773" s="34" t="str">
        <x:v>LT-UPU0-5104-GX53-1-K02</x:v>
      </x:c>
      <x:c r="D773" s="13" t="str">
        <x:v>Светильник уличный 5104 потолочный GX53 IP65 черный IEK</x:v>
      </x:c>
      <x:c r="E773" s="10" t="str">
        <x:v>шт</x:v>
      </x:c>
      <x:c r="F773" s="37" t="n">
        <x:f>MAX(0,ROUNDDOWN((AG773-AF773)/AR773+0.000000001,0)*AR773)</x:f>
        <x:v>15</x:v>
      </x:c>
      <x:c r="G773" s="21" t="str">
        <x:f>IF(J773="Рассчитано",V773*(1-R773/100)-W773-P773-Q773,"н/д")</x:f>
        <x:v>н/д</x:v>
      </x:c>
      <x:c r="H773" s="13" t="str">
        <x:v>Высокий</x:v>
      </x:c>
      <x:c r="I773" s="13" t="str">
        <x:v>Средний</x:v>
      </x:c>
      <x:c r="J773" s="13" t="str">
        <x:f>IF(L773="","Укажите валюту",IF(NOT(ISNUMBER(K773)),"Укажите объём",IF(K773&lt;=0,"Укажите объём",IF(K773&gt;F773,"Объём выше излишка",IF(COUNT(M773:O773)&lt;3,"Нужны цены",IF(COUNT(P773:R773)&lt;3,"Нужны расходы",IF(OR(M773&lt;0,N773&lt;0,O773&lt;0,O773&gt;100,P773&lt;0,Q773&lt;0,R773&lt;0,R773&gt;100),"Проверьте значения","Рассчитано")))))))</x:f>
        <x:v>Нужны цены</x:v>
      </x:c>
      <x:c r="K773" s="36" t="n">
        <x:v>15</x:v>
      </x:c>
      <x:c r="L773" s="19" t="str">
        <x:v>KZT</x:v>
      </x:c>
      <x:c r="M773" s="22"/>
      <x:c r="N773" s="22"/>
      <x:c r="O773" s="28"/>
      <x:c r="P773" s="22"/>
      <x:c r="Q773" s="22"/>
      <x:c r="R773" s="28"/>
      <x:c r="S773" s="22"/>
      <x:c r="T773" s="37" t="n">
        <x:f>K773</x:f>
        <x:v>15</x:v>
      </x:c>
      <x:c r="U773" s="21" t="str">
        <x:f>IF(J773="Рассчитано",N773*(1-O773/100),"н/д")</x:f>
        <x:v>н/д</x:v>
      </x:c>
      <x:c r="V773" s="21" t="str">
        <x:f>IF(J773="Рассчитано",T773*U773,"н/д")</x:f>
        <x:v>н/д</x:v>
      </x:c>
      <x:c r="W773" s="21" t="str">
        <x:f>IF(J773="Рассчитано",T773*M773,"н/д")</x:f>
        <x:v>н/д</x:v>
      </x:c>
      <x:c r="X773" s="21" t="str">
        <x:f>IF(J773="Рассчитано",V773-W773,"н/д")</x:f>
        <x:v>н/д</x:v>
      </x:c>
      <x:c r="Y773" s="27" t="str">
        <x:f>IF(J773="Рассчитано",IF(V773&gt;0,G773/V773,"н/д"),"н/д")</x:f>
        <x:v>н/д</x:v>
      </x:c>
      <x:c r="Z773" s="21" t="str">
        <x:f>"н/д"</x:f>
        <x:v>н/д</x:v>
      </x:c>
      <x:c r="AA773" s="21" t="str">
        <x:f>"н/д"</x:f>
        <x:v>н/д</x:v>
      </x:c>
      <x:c r="AB773" s="21" t="str">
        <x:f>"н/д"</x:f>
        <x:v>н/д</x:v>
      </x:c>
      <x:c r="AC773" s="21" t="str">
        <x:f>IF(AND(J773="Рассчитано",T773&gt;0,R773&lt;100),(W773+P773+Q773)/(T773*(1-R773/100)),"н/д")</x:f>
        <x:v>н/д</x:v>
      </x:c>
      <x:c r="AD773" s="10" t="str">
        <x:f>IF(ISNUMBER(G773),IF(G773&lt;0,"Убыток",IF(G773=0,"Без прибыли","Прибыль &gt; 0")),"Не оценён")</x:f>
        <x:v>Не оценён</x:v>
      </x:c>
      <x:c r="AE773" s="13" t="str">
        <x:f>IF(J773="Рассчитано","Выручка "&amp;TEXT(V773,"0.00")&amp;" - себестоимость "&amp;TEXT(W773,"0.00")&amp;" - комиссия "&amp;TEXT(V773*R773/100,"0.00")&amp;" - доставка "&amp;TEXT(P773,"0.00")&amp;" - прочие "&amp;TEXT(Q773,"0.00")&amp;" = "&amp;TEXT(G773,"0.00")&amp;" "&amp;L773,"Введите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3" s="24" t="n">
        <x:v>26.257236851323068</x:v>
      </x:c>
      <x:c r="AG773" s="37" t="n">
        <x:v>42</x:v>
      </x:c>
      <x:c r="AH773" s="37" t="n">
        <x:v>0</x:v>
      </x:c>
      <x:c r="AI773" s="30" t="n">
        <x:v>46266</x:v>
      </x:c>
      <x:c r="AJ773" s="37" t="n">
        <x:v>1</x:v>
      </x:c>
      <x:c r="AK773" s="10" t="str">
        <x:v>минимум</x:v>
      </x:c>
      <x:c r="AL773" s="32" t="n">
        <x:v>136.02518114793395</x:v>
      </x:c>
      <x:c r="AM773" s="13" t="str">
        <x:v>Остаток на начало сентября; Резервы неизвестны; Нет ежедневных данных доступности. Запас выше прогноза на 90 дней</x:v>
      </x:c>
      <x:c r="AN773" s="13" t="str">
        <x:v>Проверить свободный остаток и установить цену для B2B</x:v>
      </x:c>
      <x:c r="AO773" s="13" t="str">
        <x:v>Остаток 42; прогноз 90 дней 26.26; избыток 15 шт. Будущие поступления не выставляются на продажу. Остаток на начало сентября: требуется актуализация.</x:v>
      </x:c>
      <x:c r="AP773" s="13" t="str">
        <x:v>["category_missing", "daily_stockout_data_missing", "new_order_lead_time_unknown", "reservations_unknown", "stale_stock"]</x:v>
      </x:c>
      <x:c r="AQ773" s="10" t="str">
        <x:v>IEK:150101201_</x:v>
      </x:c>
      <x:c r="AR773" s="24" t="n">
        <x:v>1</x:v>
      </x:c>
      <x:c r="AS773" s="24" t="n">
        <x:v>0</x:v>
      </x:c>
      <x:c r="AT773" s="24" t="n">
        <x:v>0</x:v>
      </x:c>
    </x:row>
    <x:row r="774" ht="64" customHeight="1">
      <x:c r="A774" s="11" t="str">
        <x:v>IEK</x:v>
      </x:c>
      <x:c r="B774" s="33" t="str">
        <x:v>150101208_</x:v>
      </x:c>
      <x:c r="C774" s="33" t="str">
        <x:v>LT-UPU0-5113-GU10-2-K02</x:v>
      </x:c>
      <x:c r="D774" s="12" t="str">
        <x:v>Светильник уличный 5113 настенный 2хGU10 IP65 черный IEK</x:v>
      </x:c>
      <x:c r="E774" s="11" t="str">
        <x:v>шт</x:v>
      </x:c>
      <x:c r="F774" s="35" t="n">
        <x:f>MAX(0,ROUNDDOWN((AG774-AF774)/AR774+0.000000001,0)*AR774)</x:f>
        <x:v>10</x:v>
      </x:c>
      <x:c r="G774" s="20" t="str">
        <x:f>IF(J774="Рассчитано",V774*(1-R774/100)-W774-P774-Q774,"н/д")</x:f>
        <x:v>н/д</x:v>
      </x:c>
      <x:c r="H774" s="12" t="str">
        <x:v>Высокий</x:v>
      </x:c>
      <x:c r="I774" s="12" t="str">
        <x:v>Средний</x:v>
      </x:c>
      <x:c r="J774" s="12" t="str">
        <x:f>IF(L774="","Укажите валюту",IF(NOT(ISNUMBER(K774)),"Укажите объём",IF(K774&lt;=0,"Укажите объём",IF(K774&gt;F774,"Объём выше излишка",IF(COUNT(M774:O774)&lt;3,"Нужны цены",IF(COUNT(P774:R774)&lt;3,"Нужны расходы",IF(OR(M774&lt;0,N774&lt;0,O774&lt;0,O774&gt;100,P774&lt;0,Q774&lt;0,R774&lt;0,R774&gt;100),"Проверьте значения","Рассчитано")))))))</x:f>
        <x:v>Нужны цены</x:v>
      </x:c>
      <x:c r="K774" s="36" t="n">
        <x:v>10</x:v>
      </x:c>
      <x:c r="L774" s="19" t="str">
        <x:v>KZT</x:v>
      </x:c>
      <x:c r="M774" s="22"/>
      <x:c r="N774" s="22"/>
      <x:c r="O774" s="28"/>
      <x:c r="P774" s="22"/>
      <x:c r="Q774" s="22"/>
      <x:c r="R774" s="28"/>
      <x:c r="S774" s="22"/>
      <x:c r="T774" s="35" t="n">
        <x:f>K774</x:f>
        <x:v>10</x:v>
      </x:c>
      <x:c r="U774" s="20" t="str">
        <x:f>IF(J774="Рассчитано",N774*(1-O774/100),"н/д")</x:f>
        <x:v>н/д</x:v>
      </x:c>
      <x:c r="V774" s="20" t="str">
        <x:f>IF(J774="Рассчитано",T774*U774,"н/д")</x:f>
        <x:v>н/д</x:v>
      </x:c>
      <x:c r="W774" s="20" t="str">
        <x:f>IF(J774="Рассчитано",T774*M774,"н/д")</x:f>
        <x:v>н/д</x:v>
      </x:c>
      <x:c r="X774" s="20" t="str">
        <x:f>IF(J774="Рассчитано",V774-W774,"н/д")</x:f>
        <x:v>н/д</x:v>
      </x:c>
      <x:c r="Y774" s="26" t="str">
        <x:f>IF(J774="Рассчитано",IF(V774&gt;0,G774/V774,"н/д"),"н/д")</x:f>
        <x:v>н/д</x:v>
      </x:c>
      <x:c r="Z774" s="20" t="str">
        <x:f>"н/д"</x:f>
        <x:v>н/д</x:v>
      </x:c>
      <x:c r="AA774" s="20" t="str">
        <x:f>"н/д"</x:f>
        <x:v>н/д</x:v>
      </x:c>
      <x:c r="AB774" s="20" t="str">
        <x:f>"н/д"</x:f>
        <x:v>н/д</x:v>
      </x:c>
      <x:c r="AC774" s="20" t="str">
        <x:f>IF(AND(J774="Рассчитано",T774&gt;0,R774&lt;100),(W774+P774+Q774)/(T774*(1-R774/100)),"н/д")</x:f>
        <x:v>н/д</x:v>
      </x:c>
      <x:c r="AD774" s="11" t="str">
        <x:f>IF(ISNUMBER(G774),IF(G774&lt;0,"Убыток",IF(G774=0,"Без прибыли","Прибыль &gt; 0")),"Не оценён")</x:f>
        <x:v>Не оценён</x:v>
      </x:c>
      <x:c r="AE774" s="12" t="str">
        <x:f>IF(J774="Рассчитано","Выручка "&amp;TEXT(V774,"0.00")&amp;" - себестоимость "&amp;TEXT(W774,"0.00")&amp;" - комиссия "&amp;TEXT(V774*R774/100,"0.00")&amp;" - доставка "&amp;TEXT(P774,"0.00")&amp;" - прочие "&amp;TEXT(Q774,"0.00")&amp;" = "&amp;TEXT(G774,"0.00")&amp;" "&amp;L774,"Введите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4" s="23" t="n">
        <x:v>55.85240987626393</x:v>
      </x:c>
      <x:c r="AG774" s="35" t="n">
        <x:v>66</x:v>
      </x:c>
      <x:c r="AH774" s="35" t="n">
        <x:v>0</x:v>
      </x:c>
      <x:c r="AI774" s="29" t="n">
        <x:v>46266</x:v>
      </x:c>
      <x:c r="AJ774" s="35" t="n">
        <x:v>1</x:v>
      </x:c>
      <x:c r="AK774" s="11" t="str">
        <x:v>минимум</x:v>
      </x:c>
      <x:c r="AL774" s="31" t="n">
        <x:v>100.48958746207556</x:v>
      </x:c>
      <x:c r="AM774" s="12" t="str">
        <x:v>Остаток на начало сентября; Резервы неизвестны; Нет ежедневных данных доступности. Запас выше прогноза на 90 дней</x:v>
      </x:c>
      <x:c r="AN774" s="12" t="str">
        <x:v>Проверить свободный остаток и установить цену для B2B</x:v>
      </x:c>
      <x:c r="AO774" s="12" t="str">
        <x:v>Остаток 66; прогноз 90 дней 55.85; избыток 10 шт. Будущие поступления не выставляются на продажу. Остаток на начало сентября: требуется актуализация.</x:v>
      </x:c>
      <x:c r="AP774" s="12" t="str">
        <x:v>["category_missing", "daily_stockout_data_missing", "new_order_lead_time_unknown", "reservations_unknown", "stale_stock"]</x:v>
      </x:c>
      <x:c r="AQ774" s="11" t="str">
        <x:v>IEK:150101208_</x:v>
      </x:c>
      <x:c r="AR774" s="23" t="n">
        <x:v>1</x:v>
      </x:c>
      <x:c r="AS774" s="23" t="n">
        <x:v>0</x:v>
      </x:c>
      <x:c r="AT774" s="23" t="n">
        <x:v>0</x:v>
      </x:c>
    </x:row>
    <x:row r="775" ht="64" customHeight="1">
      <x:c r="A775" s="10" t="str">
        <x:v>IEK</x:v>
      </x:c>
      <x:c r="B775" s="34" t="str">
        <x:v>150101209_</x:v>
      </x:c>
      <x:c r="C775" s="34" t="str">
        <x:v>LT-UPU0-5113-GU10-2-K03</x:v>
      </x:c>
      <x:c r="D775" s="13" t="str">
        <x:v>Светильник уличный 5113 настенный 2хGU10 IP65 серый IEK</x:v>
      </x:c>
      <x:c r="E775" s="10" t="str">
        <x:v>шт</x:v>
      </x:c>
      <x:c r="F775" s="37" t="n">
        <x:f>MAX(0,ROUNDDOWN((AG775-AF775)/AR775+0.000000001,0)*AR775)</x:f>
        <x:v>29</x:v>
      </x:c>
      <x:c r="G775" s="21" t="str">
        <x:f>IF(J775="Рассчитано",V775*(1-R775/100)-W775-P775-Q775,"н/д")</x:f>
        <x:v>н/д</x:v>
      </x:c>
      <x:c r="H775" s="13" t="str">
        <x:v>Высокий</x:v>
      </x:c>
      <x:c r="I775" s="13" t="str">
        <x:v>Высокий</x:v>
      </x:c>
      <x:c r="J775" s="13" t="str">
        <x:f>IF(L775="","Укажите валюту",IF(NOT(ISNUMBER(K775)),"Укажите объём",IF(K775&lt;=0,"Укажите объём",IF(K775&gt;F775,"Объём выше излишка",IF(COUNT(M775:O775)&lt;3,"Нужны цены",IF(COUNT(P775:R775)&lt;3,"Нужны расходы",IF(OR(M775&lt;0,N775&lt;0,O775&lt;0,O775&gt;100,P775&lt;0,Q775&lt;0,R775&lt;0,R775&gt;100),"Проверьте значения","Рассчитано")))))))</x:f>
        <x:v>Нужны цены</x:v>
      </x:c>
      <x:c r="K775" s="36" t="n">
        <x:v>29</x:v>
      </x:c>
      <x:c r="L775" s="19" t="str">
        <x:v>KZT</x:v>
      </x:c>
      <x:c r="M775" s="22"/>
      <x:c r="N775" s="22"/>
      <x:c r="O775" s="28"/>
      <x:c r="P775" s="22"/>
      <x:c r="Q775" s="22"/>
      <x:c r="R775" s="28"/>
      <x:c r="S775" s="22"/>
      <x:c r="T775" s="37" t="n">
        <x:f>K775</x:f>
        <x:v>29</x:v>
      </x:c>
      <x:c r="U775" s="21" t="str">
        <x:f>IF(J775="Рассчитано",N775*(1-O775/100),"н/д")</x:f>
        <x:v>н/д</x:v>
      </x:c>
      <x:c r="V775" s="21" t="str">
        <x:f>IF(J775="Рассчитано",T775*U775,"н/д")</x:f>
        <x:v>н/д</x:v>
      </x:c>
      <x:c r="W775" s="21" t="str">
        <x:f>IF(J775="Рассчитано",T775*M775,"н/д")</x:f>
        <x:v>н/д</x:v>
      </x:c>
      <x:c r="X775" s="21" t="str">
        <x:f>IF(J775="Рассчитано",V775-W775,"н/д")</x:f>
        <x:v>н/д</x:v>
      </x:c>
      <x:c r="Y775" s="27" t="str">
        <x:f>IF(J775="Рассчитано",IF(V775&gt;0,G775/V775,"н/д"),"н/д")</x:f>
        <x:v>н/д</x:v>
      </x:c>
      <x:c r="Z775" s="21" t="str">
        <x:f>"н/д"</x:f>
        <x:v>н/д</x:v>
      </x:c>
      <x:c r="AA775" s="21" t="str">
        <x:f>"н/д"</x:f>
        <x:v>н/д</x:v>
      </x:c>
      <x:c r="AB775" s="21" t="str">
        <x:f>"н/д"</x:f>
        <x:v>н/д</x:v>
      </x:c>
      <x:c r="AC775" s="21" t="str">
        <x:f>IF(AND(J775="Рассчитано",T775&gt;0,R775&lt;100),(W775+P775+Q775)/(T775*(1-R775/100)),"н/д")</x:f>
        <x:v>н/д</x:v>
      </x:c>
      <x:c r="AD775" s="10" t="str">
        <x:f>IF(ISNUMBER(G775),IF(G775&lt;0,"Убыток",IF(G775=0,"Без прибыли","Прибыль &gt; 0")),"Не оценён")</x:f>
        <x:v>Не оценён</x:v>
      </x:c>
      <x:c r="AE775" s="13" t="str">
        <x:f>IF(J775="Рассчитано","Выручка "&amp;TEXT(V775,"0.00")&amp;" - себестоимость "&amp;TEXT(W775,"0.00")&amp;" - комиссия "&amp;TEXT(V775*R775/100,"0.00")&amp;" - доставка "&amp;TEXT(P775,"0.00")&amp;" - прочие "&amp;TEXT(Q775,"0.00")&amp;" = "&amp;TEXT(G775,"0.00")&amp;" "&amp;L775,"Введите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5" s="24" t="n">
        <x:v>0.777499582020306</x:v>
      </x:c>
      <x:c r="AG775" s="37" t="n">
        <x:v>30</x:v>
      </x:c>
      <x:c r="AH775" s="37" t="n">
        <x:v>0</x:v>
      </x:c>
      <x:c r="AI775" s="30" t="n">
        <x:v>46266</x:v>
      </x:c>
      <x:c r="AJ775" s="37" t="n">
        <x:v>1</x:v>
      </x:c>
      <x:c r="AK775" s="10" t="str">
        <x:v>минимум</x:v>
      </x:c>
      <x:c r="AL775" s="32" t="n">
        <x:v>3281.2561499708286</x:v>
      </x:c>
      <x:c r="AM77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75" s="13" t="str">
        <x:v>Проверить свободный остаток и установить цену для B2B</x:v>
      </x:c>
      <x:c r="AO775" s="13" t="str">
        <x:v>Остаток 30; прогноз 90 дней 0.78; избыток 29 шт. Будущие поступления не выставляются на продажу. Остаток на начало сентября: требуется актуализация.</x:v>
      </x:c>
      <x:c r="AP775" s="13" t="str">
        <x:v>["category_missing", "daily_stockout_data_missing", "new_order_lead_time_unknown", "reservations_unknown", "stale_stock"]</x:v>
      </x:c>
      <x:c r="AQ775" s="10" t="str">
        <x:v>IEK:150101209_</x:v>
      </x:c>
      <x:c r="AR775" s="24" t="n">
        <x:v>1</x:v>
      </x:c>
      <x:c r="AS775" s="24" t="n">
        <x:v>0</x:v>
      </x:c>
      <x:c r="AT775" s="24" t="n">
        <x:v>0</x:v>
      </x:c>
    </x:row>
    <x:row r="776" ht="64" customHeight="1">
      <x:c r="A776" s="11" t="str">
        <x:v>IEK</x:v>
      </x:c>
      <x:c r="B776" s="33" t="str">
        <x:v>151000061_</x:v>
      </x:c>
      <x:c r="C776" s="33" t="str">
        <x:v>LNPP0-1102-1-100-K01</x:v>
      </x:c>
      <x:c r="D776" s="12" t="str">
        <x:v>НПП 1102-100  бел/круг с реш. IEK(8)</x:v>
      </x:c>
      <x:c r="E776" s="11" t="str">
        <x:v>шт</x:v>
      </x:c>
      <x:c r="F776" s="35" t="n">
        <x:f>MAX(0,ROUNDDOWN((AG776-AF776)/AR776+0.000000001,0)*AR776)</x:f>
        <x:v>27</x:v>
      </x:c>
      <x:c r="G776" s="20" t="str">
        <x:f>IF(J776="Рассчитано",V776*(1-R776/100)-W776-P776-Q776,"н/д")</x:f>
        <x:v>н/д</x:v>
      </x:c>
      <x:c r="H776" s="12" t="str">
        <x:v>Высокий</x:v>
      </x:c>
      <x:c r="I776" s="12" t="str">
        <x:v>Средний</x:v>
      </x:c>
      <x:c r="J776" s="12" t="str">
        <x:f>IF(L776="","Укажите валюту",IF(NOT(ISNUMBER(K776)),"Укажите объём",IF(K776&lt;=0,"Укажите объём",IF(K776&gt;F776,"Объём выше излишка",IF(COUNT(M776:O776)&lt;3,"Нужны цены",IF(COUNT(P776:R776)&lt;3,"Нужны расходы",IF(OR(M776&lt;0,N776&lt;0,O776&lt;0,O776&gt;100,P776&lt;0,Q776&lt;0,R776&lt;0,R776&gt;100),"Проверьте значения","Рассчитано")))))))</x:f>
        <x:v>Нужны цены</x:v>
      </x:c>
      <x:c r="K776" s="36" t="n">
        <x:v>27</x:v>
      </x:c>
      <x:c r="L776" s="19" t="str">
        <x:v>KZT</x:v>
      </x:c>
      <x:c r="M776" s="22"/>
      <x:c r="N776" s="22"/>
      <x:c r="O776" s="28"/>
      <x:c r="P776" s="22"/>
      <x:c r="Q776" s="22"/>
      <x:c r="R776" s="28"/>
      <x:c r="S776" s="22"/>
      <x:c r="T776" s="35" t="n">
        <x:f>K776</x:f>
        <x:v>27</x:v>
      </x:c>
      <x:c r="U776" s="20" t="str">
        <x:f>IF(J776="Рассчитано",N776*(1-O776/100),"н/д")</x:f>
        <x:v>н/д</x:v>
      </x:c>
      <x:c r="V776" s="20" t="str">
        <x:f>IF(J776="Рассчитано",T776*U776,"н/д")</x:f>
        <x:v>н/д</x:v>
      </x:c>
      <x:c r="W776" s="20" t="str">
        <x:f>IF(J776="Рассчитано",T776*M776,"н/д")</x:f>
        <x:v>н/д</x:v>
      </x:c>
      <x:c r="X776" s="20" t="str">
        <x:f>IF(J776="Рассчитано",V776-W776,"н/д")</x:f>
        <x:v>н/д</x:v>
      </x:c>
      <x:c r="Y776" s="26" t="str">
        <x:f>IF(J776="Рассчитано",IF(V776&gt;0,G776/V776,"н/д"),"н/д")</x:f>
        <x:v>н/д</x:v>
      </x:c>
      <x:c r="Z776" s="20" t="str">
        <x:f>"н/д"</x:f>
        <x:v>н/д</x:v>
      </x:c>
      <x:c r="AA776" s="20" t="str">
        <x:f>"н/д"</x:f>
        <x:v>н/д</x:v>
      </x:c>
      <x:c r="AB776" s="20" t="str">
        <x:f>"н/д"</x:f>
        <x:v>н/д</x:v>
      </x:c>
      <x:c r="AC776" s="20" t="str">
        <x:f>IF(AND(J776="Рассчитано",T776&gt;0,R776&lt;100),(W776+P776+Q776)/(T776*(1-R776/100)),"н/д")</x:f>
        <x:v>н/д</x:v>
      </x:c>
      <x:c r="AD776" s="11" t="str">
        <x:f>IF(ISNUMBER(G776),IF(G776&lt;0,"Убыток",IF(G776=0,"Без прибыли","Прибыль &gt; 0")),"Не оценён")</x:f>
        <x:v>Не оценён</x:v>
      </x:c>
      <x:c r="AE776" s="12" t="str">
        <x:f>IF(J776="Рассчитано","Выручка "&amp;TEXT(V776,"0.00")&amp;" - себестоимость "&amp;TEXT(W776,"0.00")&amp;" - комиссия "&amp;TEXT(V776*R776/100,"0.00")&amp;" - доставка "&amp;TEXT(P776,"0.00")&amp;" - прочие "&amp;TEXT(Q776,"0.00")&amp;" = "&amp;TEXT(G776,"0.00")&amp;" "&amp;L776,"Введите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6" s="23" t="n">
        <x:v>45.41462334211029</x:v>
      </x:c>
      <x:c r="AG776" s="35" t="n">
        <x:v>73</x:v>
      </x:c>
      <x:c r="AH776" s="35" t="n">
        <x:v>0</x:v>
      </x:c>
      <x:c r="AI776" s="29" t="n">
        <x:v>46266</x:v>
      </x:c>
      <x:c r="AJ776" s="35" t="n">
        <x:v>1</x:v>
      </x:c>
      <x:c r="AK776" s="11" t="str">
        <x:v>минимум</x:v>
      </x:c>
      <x:c r="AL776" s="31" t="n">
        <x:v>136.6929725180224</x:v>
      </x:c>
      <x:c r="AM77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776" s="12" t="str">
        <x:v>Проверить свободный остаток и установить цену для B2B</x:v>
      </x:c>
      <x:c r="AO776" s="12" t="str">
        <x:v>Остаток 73; прогноз 90 дней 45.41; избыток 27 шт. Будущие поступления не выставляются на продажу. Остаток на начало сентября: требуется актуализация.</x:v>
      </x:c>
      <x:c r="AP776" s="12" t="str">
        <x:v>["category_missing", "daily_stockout_data_missing", "large_orders_detected", "new_order_lead_time_unknown", "reservations_unknown", "stale_stock", "transaction_month_mismatch"]</x:v>
      </x:c>
      <x:c r="AQ776" s="11" t="str">
        <x:v>IEK:151000061_</x:v>
      </x:c>
      <x:c r="AR776" s="23" t="n">
        <x:v>1</x:v>
      </x:c>
      <x:c r="AS776" s="23" t="n">
        <x:v>0</x:v>
      </x:c>
      <x:c r="AT776" s="23" t="n">
        <x:v>0</x:v>
      </x:c>
    </x:row>
    <x:row r="777" ht="64" customHeight="1">
      <x:c r="A777" s="10" t="str">
        <x:v>IEK</x:v>
      </x:c>
      <x:c r="B777" s="34" t="str">
        <x:v>151000070_</x:v>
      </x:c>
      <x:c r="C777" s="34" t="str">
        <x:v>LNPP0-1202-1-100-K02</x:v>
      </x:c>
      <x:c r="D777" s="13" t="str">
        <x:v>НПП 1202-100  черн/овал с реш. IP54 IEK(8) !!!</x:v>
      </x:c>
      <x:c r="E777" s="10" t="str">
        <x:v>шт</x:v>
      </x:c>
      <x:c r="F777" s="37" t="n">
        <x:f>MAX(0,ROUNDDOWN((AG777-AF777)/AR777+0.000000001,0)*AR777)</x:f>
        <x:v>1</x:v>
      </x:c>
      <x:c r="G777" s="21" t="str">
        <x:f>IF(J777="Рассчитано",V777*(1-R777/100)-W777-P777-Q777,"н/д")</x:f>
        <x:v>н/д</x:v>
      </x:c>
      <x:c r="H777" s="13" t="str">
        <x:v>Высокий</x:v>
      </x:c>
      <x:c r="I777" s="13" t="str">
        <x:v>Высокий</x:v>
      </x:c>
      <x:c r="J777" s="13" t="str">
        <x:f>IF(L777="","Укажите валюту",IF(NOT(ISNUMBER(K777)),"Укажите объём",IF(K777&lt;=0,"Укажите объём",IF(K777&gt;F777,"Объём выше излишка",IF(COUNT(M777:O777)&lt;3,"Нужны цены",IF(COUNT(P777:R777)&lt;3,"Нужны расходы",IF(OR(M777&lt;0,N777&lt;0,O777&lt;0,O777&gt;100,P777&lt;0,Q777&lt;0,R777&lt;0,R777&gt;100),"Проверьте значения","Рассчитано")))))))</x:f>
        <x:v>Нужны цены</x:v>
      </x:c>
      <x:c r="K777" s="36" t="n">
        <x:v>1</x:v>
      </x:c>
      <x:c r="L777" s="19" t="str">
        <x:v>KZT</x:v>
      </x:c>
      <x:c r="M777" s="22"/>
      <x:c r="N777" s="22"/>
      <x:c r="O777" s="28"/>
      <x:c r="P777" s="22"/>
      <x:c r="Q777" s="22"/>
      <x:c r="R777" s="28"/>
      <x:c r="S777" s="22"/>
      <x:c r="T777" s="37" t="n">
        <x:f>K777</x:f>
        <x:v>1</x:v>
      </x:c>
      <x:c r="U777" s="21" t="str">
        <x:f>IF(J777="Рассчитано",N777*(1-O777/100),"н/д")</x:f>
        <x:v>н/д</x:v>
      </x:c>
      <x:c r="V777" s="21" t="str">
        <x:f>IF(J777="Рассчитано",T777*U777,"н/д")</x:f>
        <x:v>н/д</x:v>
      </x:c>
      <x:c r="W777" s="21" t="str">
        <x:f>IF(J777="Рассчитано",T777*M777,"н/д")</x:f>
        <x:v>н/д</x:v>
      </x:c>
      <x:c r="X777" s="21" t="str">
        <x:f>IF(J777="Рассчитано",V777-W777,"н/д")</x:f>
        <x:v>н/д</x:v>
      </x:c>
      <x:c r="Y777" s="27" t="str">
        <x:f>IF(J777="Рассчитано",IF(V777&gt;0,G777/V777,"н/д"),"н/д")</x:f>
        <x:v>н/д</x:v>
      </x:c>
      <x:c r="Z777" s="21" t="str">
        <x:f>"н/д"</x:f>
        <x:v>н/д</x:v>
      </x:c>
      <x:c r="AA777" s="21" t="str">
        <x:f>"н/д"</x:f>
        <x:v>н/д</x:v>
      </x:c>
      <x:c r="AB777" s="21" t="str">
        <x:f>"н/д"</x:f>
        <x:v>н/д</x:v>
      </x:c>
      <x:c r="AC777" s="21" t="str">
        <x:f>IF(AND(J777="Рассчитано",T777&gt;0,R777&lt;100),(W777+P777+Q777)/(T777*(1-R777/100)),"н/д")</x:f>
        <x:v>н/д</x:v>
      </x:c>
      <x:c r="AD777" s="10" t="str">
        <x:f>IF(ISNUMBER(G777),IF(G777&lt;0,"Убыток",IF(G777=0,"Без прибыли","Прибыль &gt; 0")),"Не оценён")</x:f>
        <x:v>Не оценён</x:v>
      </x:c>
      <x:c r="AE777" s="13" t="str">
        <x:f>IF(J777="Рассчитано","Выручка "&amp;TEXT(V777,"0.00")&amp;" - себестоимость "&amp;TEXT(W777,"0.00")&amp;" - комиссия "&amp;TEXT(V777*R777/100,"0.00")&amp;" - доставка "&amp;TEXT(P777,"0.00")&amp;" - прочие "&amp;TEXT(Q777,"0.00")&amp;" = "&amp;TEXT(G777,"0.00")&amp;" "&amp;L777,"Введите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7" s="24" t="n">
        <x:v>0</x:v>
      </x:c>
      <x:c r="AG777" s="37" t="n">
        <x:v>1</x:v>
      </x:c>
      <x:c r="AH777" s="37" t="n">
        <x:v>0</x:v>
      </x:c>
      <x:c r="AI777" s="30" t="n">
        <x:v>46266</x:v>
      </x:c>
      <x:c r="AJ777" s="37"/>
      <x:c r="AK777" s="10" t="str">
        <x:v>неизвестно</x:v>
      </x:c>
      <x:c r="AL777" s="32" t="str">
        <x:v>н/д</x:v>
      </x:c>
      <x:c r="AM77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77" s="13" t="str">
        <x:v>Проверить свободный остаток и установить цену для B2B</x:v>
      </x:c>
      <x:c r="AO777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77" s="13" t="str">
        <x:v>["category_missing", "daily_stockout_data_missing", "moq_missing", "new_order_lead_time_unknown", "reservations_unknown", "stale_stock"]</x:v>
      </x:c>
      <x:c r="AQ777" s="10" t="str">
        <x:v>IEK:151000070_</x:v>
      </x:c>
      <x:c r="AR777" s="24" t="n">
        <x:v>1</x:v>
      </x:c>
      <x:c r="AS777" s="24" t="n">
        <x:v>0</x:v>
      </x:c>
      <x:c r="AT777" s="24" t="n">
        <x:v>0</x:v>
      </x:c>
    </x:row>
    <x:row r="778" ht="64" customHeight="1">
      <x:c r="A778" s="11" t="str">
        <x:v>IEK</x:v>
      </x:c>
      <x:c r="B778" s="33" t="str">
        <x:v>151000082_</x:v>
      </x:c>
      <x:c r="C778" s="33" t="str">
        <x:v>LNPP0-1401-1-060-K01</x:v>
      </x:c>
      <x:c r="D778" s="12" t="str">
        <x:v>НПП 1401-60  бел/овал IP54 IEK(12)</x:v>
      </x:c>
      <x:c r="E778" s="11" t="str">
        <x:v>шт</x:v>
      </x:c>
      <x:c r="F778" s="35" t="n">
        <x:f>MAX(0,ROUNDDOWN((AG778-AF778)/AR778+0.000000001,0)*AR778)</x:f>
        <x:v>4</x:v>
      </x:c>
      <x:c r="G778" s="20" t="str">
        <x:f>IF(J778="Рассчитано",V778*(1-R778/100)-W778-P778-Q778,"н/д")</x:f>
        <x:v>н/д</x:v>
      </x:c>
      <x:c r="H778" s="12" t="str">
        <x:v>Высокий</x:v>
      </x:c>
      <x:c r="I778" s="12" t="str">
        <x:v>Средний</x:v>
      </x:c>
      <x:c r="J778" s="12" t="str">
        <x:f>IF(L778="","Укажите валюту",IF(NOT(ISNUMBER(K778)),"Укажите объём",IF(K778&lt;=0,"Укажите объём",IF(K778&gt;F778,"Объём выше излишка",IF(COUNT(M778:O778)&lt;3,"Нужны цены",IF(COUNT(P778:R778)&lt;3,"Нужны расходы",IF(OR(M778&lt;0,N778&lt;0,O778&lt;0,O778&gt;100,P778&lt;0,Q778&lt;0,R778&lt;0,R778&gt;100),"Проверьте значения","Рассчитано")))))))</x:f>
        <x:v>Нужны цены</x:v>
      </x:c>
      <x:c r="K778" s="36" t="n">
        <x:v>4</x:v>
      </x:c>
      <x:c r="L778" s="19" t="str">
        <x:v>KZT</x:v>
      </x:c>
      <x:c r="M778" s="22"/>
      <x:c r="N778" s="22"/>
      <x:c r="O778" s="28"/>
      <x:c r="P778" s="22"/>
      <x:c r="Q778" s="22"/>
      <x:c r="R778" s="28"/>
      <x:c r="S778" s="22"/>
      <x:c r="T778" s="35" t="n">
        <x:f>K778</x:f>
        <x:v>4</x:v>
      </x:c>
      <x:c r="U778" s="20" t="str">
        <x:f>IF(J778="Рассчитано",N778*(1-O778/100),"н/д")</x:f>
        <x:v>н/д</x:v>
      </x:c>
      <x:c r="V778" s="20" t="str">
        <x:f>IF(J778="Рассчитано",T778*U778,"н/д")</x:f>
        <x:v>н/д</x:v>
      </x:c>
      <x:c r="W778" s="20" t="str">
        <x:f>IF(J778="Рассчитано",T778*M778,"н/д")</x:f>
        <x:v>н/д</x:v>
      </x:c>
      <x:c r="X778" s="20" t="str">
        <x:f>IF(J778="Рассчитано",V778-W778,"н/д")</x:f>
        <x:v>н/д</x:v>
      </x:c>
      <x:c r="Y778" s="26" t="str">
        <x:f>IF(J778="Рассчитано",IF(V778&gt;0,G778/V778,"н/д"),"н/д")</x:f>
        <x:v>н/д</x:v>
      </x:c>
      <x:c r="Z778" s="20" t="str">
        <x:f>"н/д"</x:f>
        <x:v>н/д</x:v>
      </x:c>
      <x:c r="AA778" s="20" t="str">
        <x:f>"н/д"</x:f>
        <x:v>н/д</x:v>
      </x:c>
      <x:c r="AB778" s="20" t="str">
        <x:f>"н/д"</x:f>
        <x:v>н/д</x:v>
      </x:c>
      <x:c r="AC778" s="20" t="str">
        <x:f>IF(AND(J778="Рассчитано",T778&gt;0,R778&lt;100),(W778+P778+Q778)/(T778*(1-R778/100)),"н/д")</x:f>
        <x:v>н/д</x:v>
      </x:c>
      <x:c r="AD778" s="11" t="str">
        <x:f>IF(ISNUMBER(G778),IF(G778&lt;0,"Убыток",IF(G778=0,"Без прибыли","Прибыль &gt; 0")),"Не оценён")</x:f>
        <x:v>Не оценён</x:v>
      </x:c>
      <x:c r="AE778" s="12" t="str">
        <x:f>IF(J778="Рассчитано","Выручка "&amp;TEXT(V778,"0.00")&amp;" - себестоимость "&amp;TEXT(W778,"0.00")&amp;" - комиссия "&amp;TEXT(V778*R778/100,"0.00")&amp;" - доставка "&amp;TEXT(P778,"0.00")&amp;" - прочие "&amp;TEXT(Q778,"0.00")&amp;" = "&amp;TEXT(G778,"0.00")&amp;" "&amp;L778,"Введите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8" s="23" t="n">
        <x:v>9.218766759341515</x:v>
      </x:c>
      <x:c r="AG778" s="35" t="n">
        <x:v>14</x:v>
      </x:c>
      <x:c r="AH778" s="35" t="n">
        <x:v>0</x:v>
      </x:c>
      <x:c r="AI778" s="29" t="n">
        <x:v>46266</x:v>
      </x:c>
      <x:c r="AJ778" s="35" t="n">
        <x:v>1</x:v>
      </x:c>
      <x:c r="AK778" s="11" t="str">
        <x:v>минимум</x:v>
      </x:c>
      <x:c r="AL778" s="31" t="n">
        <x:v>129.14400564212193</x:v>
      </x:c>
      <x:c r="AM778" s="12" t="str">
        <x:v>Остаток на начало сентября; Резервы неизвестны; Нет ежедневных данных доступности. Запас выше прогноза на 90 дней</x:v>
      </x:c>
      <x:c r="AN778" s="12" t="str">
        <x:v>Проверить свободный остаток и установить цену для B2B</x:v>
      </x:c>
      <x:c r="AO778" s="12" t="str">
        <x:v>Остаток 14; прогноз 90 дней 9.22; избыток 4 шт. Будущие поступления не выставляются на продажу. Остаток на начало сентября: требуется актуализация.</x:v>
      </x:c>
      <x:c r="AP778" s="12" t="str">
        <x:v>["category_missing", "daily_stockout_data_missing", "new_order_lead_time_unknown", "reservations_unknown", "stale_stock"]</x:v>
      </x:c>
      <x:c r="AQ778" s="11" t="str">
        <x:v>IEK:151000082_</x:v>
      </x:c>
      <x:c r="AR778" s="23" t="n">
        <x:v>1</x:v>
      </x:c>
      <x:c r="AS778" s="23" t="n">
        <x:v>0</x:v>
      </x:c>
      <x:c r="AT778" s="23" t="n">
        <x:v>0</x:v>
      </x:c>
    </x:row>
    <x:row r="779" ht="64" customHeight="1">
      <x:c r="A779" s="10" t="str">
        <x:v>IEK</x:v>
      </x:c>
      <x:c r="B779" s="34" t="str">
        <x:v>151000084_</x:v>
      </x:c>
      <x:c r="C779" s="34"/>
      <x:c r="D779" s="13" t="str">
        <x:v>НПП 1402-60  черн/овал с реш. IP54 IEK(12) !!!</x:v>
      </x:c>
      <x:c r="E779" s="10" t="str">
        <x:v>шт</x:v>
      </x:c>
      <x:c r="F779" s="37" t="n">
        <x:f>MAX(0,ROUNDDOWN((AG779-AF779)/AR779+0.000000001,0)*AR779)</x:f>
        <x:v>2</x:v>
      </x:c>
      <x:c r="G779" s="21" t="str">
        <x:f>IF(J779="Рассчитано",V779*(1-R779/100)-W779-P779-Q779,"н/д")</x:f>
        <x:v>н/д</x:v>
      </x:c>
      <x:c r="H779" s="13" t="str">
        <x:v>Высокий</x:v>
      </x:c>
      <x:c r="I779" s="13" t="str">
        <x:v>Высокий</x:v>
      </x:c>
      <x:c r="J779" s="13" t="str">
        <x:f>IF(L779="","Укажите валюту",IF(NOT(ISNUMBER(K779)),"Укажите объём",IF(K779&lt;=0,"Укажите объём",IF(K779&gt;F779,"Объём выше излишка",IF(COUNT(M779:O779)&lt;3,"Нужны цены",IF(COUNT(P779:R779)&lt;3,"Нужны расходы",IF(OR(M779&lt;0,N779&lt;0,O779&lt;0,O779&gt;100,P779&lt;0,Q779&lt;0,R779&lt;0,R779&gt;100),"Проверьте значения","Рассчитано")))))))</x:f>
        <x:v>Нужны цены</x:v>
      </x:c>
      <x:c r="K779" s="36" t="n">
        <x:v>2</x:v>
      </x:c>
      <x:c r="L779" s="19" t="str">
        <x:v>KZT</x:v>
      </x:c>
      <x:c r="M779" s="22"/>
      <x:c r="N779" s="22"/>
      <x:c r="O779" s="28"/>
      <x:c r="P779" s="22"/>
      <x:c r="Q779" s="22"/>
      <x:c r="R779" s="28"/>
      <x:c r="S779" s="22"/>
      <x:c r="T779" s="37" t="n">
        <x:f>K779</x:f>
        <x:v>2</x:v>
      </x:c>
      <x:c r="U779" s="21" t="str">
        <x:f>IF(J779="Рассчитано",N779*(1-O779/100),"н/д")</x:f>
        <x:v>н/д</x:v>
      </x:c>
      <x:c r="V779" s="21" t="str">
        <x:f>IF(J779="Рассчитано",T779*U779,"н/д")</x:f>
        <x:v>н/д</x:v>
      </x:c>
      <x:c r="W779" s="21" t="str">
        <x:f>IF(J779="Рассчитано",T779*M779,"н/д")</x:f>
        <x:v>н/д</x:v>
      </x:c>
      <x:c r="X779" s="21" t="str">
        <x:f>IF(J779="Рассчитано",V779-W779,"н/д")</x:f>
        <x:v>н/д</x:v>
      </x:c>
      <x:c r="Y779" s="27" t="str">
        <x:f>IF(J779="Рассчитано",IF(V779&gt;0,G779/V779,"н/д"),"н/д")</x:f>
        <x:v>н/д</x:v>
      </x:c>
      <x:c r="Z779" s="21" t="str">
        <x:f>"н/д"</x:f>
        <x:v>н/д</x:v>
      </x:c>
      <x:c r="AA779" s="21" t="str">
        <x:f>"н/д"</x:f>
        <x:v>н/д</x:v>
      </x:c>
      <x:c r="AB779" s="21" t="str">
        <x:f>"н/д"</x:f>
        <x:v>н/д</x:v>
      </x:c>
      <x:c r="AC779" s="21" t="str">
        <x:f>IF(AND(J779="Рассчитано",T779&gt;0,R779&lt;100),(W779+P779+Q779)/(T779*(1-R779/100)),"н/д")</x:f>
        <x:v>н/д</x:v>
      </x:c>
      <x:c r="AD779" s="10" t="str">
        <x:f>IF(ISNUMBER(G779),IF(G779&lt;0,"Убыток",IF(G779=0,"Без прибыли","Прибыль &gt; 0")),"Не оценён")</x:f>
        <x:v>Не оценён</x:v>
      </x:c>
      <x:c r="AE779" s="13" t="str">
        <x:f>IF(J779="Рассчитано","Выручка "&amp;TEXT(V779,"0.00")&amp;" - себестоимость "&amp;TEXT(W779,"0.00")&amp;" - комиссия "&amp;TEXT(V779*R779/100,"0.00")&amp;" - доставка "&amp;TEXT(P779,"0.00")&amp;" - прочие "&amp;TEXT(Q779,"0.00")&amp;" = "&amp;TEXT(G779,"0.00")&amp;" "&amp;L779,"Введите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9" s="24" t="n">
        <x:v>0.09005811180205522</x:v>
      </x:c>
      <x:c r="AG779" s="37" t="n">
        <x:v>3</x:v>
      </x:c>
      <x:c r="AH779" s="37" t="n">
        <x:v>0</x:v>
      </x:c>
      <x:c r="AI779" s="30" t="n">
        <x:v>46266</x:v>
      </x:c>
      <x:c r="AJ779" s="37"/>
      <x:c r="AK779" s="10" t="str">
        <x:v>неизвестно</x:v>
      </x:c>
      <x:c r="AL779" s="32" t="n">
        <x:v>2832.8100978968705</x:v>
      </x:c>
      <x:c r="AM779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779" s="13" t="str">
        <x:v>Проверить свободный остаток и установить цену для B2B</x:v>
      </x:c>
      <x:c r="AO779" s="13" t="str">
        <x:v>Остаток 3; прогноз 90 дней 0.09; избыток 2 шт. Будущие поступления не выставляются на продажу. Остаток на начало сентября: требуется актуализация.</x:v>
      </x:c>
      <x:c r="AP779" s="13" t="str">
        <x:v>["category_missing", "daily_stockout_data_missing", "moq_missing", "new_order_lead_time_unknown", "reservations_unknown", "stale_stock", "supplier_sku_missing"]</x:v>
      </x:c>
      <x:c r="AQ779" s="10" t="str">
        <x:v>IEK:151000084_</x:v>
      </x:c>
      <x:c r="AR779" s="24" t="n">
        <x:v>1</x:v>
      </x:c>
      <x:c r="AS779" s="24" t="n">
        <x:v>0</x:v>
      </x:c>
      <x:c r="AT779" s="24" t="n">
        <x:v>0</x:v>
      </x:c>
    </x:row>
    <x:row r="780" ht="64" customHeight="1">
      <x:c r="A780" s="11" t="str">
        <x:v>IEK</x:v>
      </x:c>
      <x:c r="B780" s="33" t="str">
        <x:v>151000137_</x:v>
      </x:c>
      <x:c r="C780" s="33" t="str">
        <x:v>WSP20-05-K09</x:v>
      </x:c>
      <x:c r="D780" s="12" t="str">
        <x:v>Переноска УП-1Р 5м (плоск. вилка) IEK</x:v>
      </x:c>
      <x:c r="E780" s="11" t="str">
        <x:v>шт</x:v>
      </x:c>
      <x:c r="F780" s="35" t="n">
        <x:f>MAX(0,ROUNDDOWN((AG780-AF780)/AR780+0.000000001,0)*AR780)</x:f>
        <x:v>9</x:v>
      </x:c>
      <x:c r="G780" s="20" t="str">
        <x:f>IF(J780="Рассчитано",V780*(1-R780/100)-W780-P780-Q780,"н/д")</x:f>
        <x:v>н/д</x:v>
      </x:c>
      <x:c r="H780" s="12" t="str">
        <x:v>Высокий</x:v>
      </x:c>
      <x:c r="I780" s="12" t="str">
        <x:v>Средний</x:v>
      </x:c>
      <x:c r="J780" s="12" t="str">
        <x:f>IF(L780="","Укажите валюту",IF(NOT(ISNUMBER(K780)),"Укажите объём",IF(K780&lt;=0,"Укажите объём",IF(K780&gt;F780,"Объём выше излишка",IF(COUNT(M780:O780)&lt;3,"Нужны цены",IF(COUNT(P780:R780)&lt;3,"Нужны расходы",IF(OR(M780&lt;0,N780&lt;0,O780&lt;0,O780&gt;100,P780&lt;0,Q780&lt;0,R780&lt;0,R780&gt;100),"Проверьте значения","Рассчитано")))))))</x:f>
        <x:v>Нужны цены</x:v>
      </x:c>
      <x:c r="K780" s="36" t="n">
        <x:v>9</x:v>
      </x:c>
      <x:c r="L780" s="19" t="str">
        <x:v>KZT</x:v>
      </x:c>
      <x:c r="M780" s="22"/>
      <x:c r="N780" s="22"/>
      <x:c r="O780" s="28"/>
      <x:c r="P780" s="22"/>
      <x:c r="Q780" s="22"/>
      <x:c r="R780" s="28"/>
      <x:c r="S780" s="22"/>
      <x:c r="T780" s="35" t="n">
        <x:f>K780</x:f>
        <x:v>9</x:v>
      </x:c>
      <x:c r="U780" s="20" t="str">
        <x:f>IF(J780="Рассчитано",N780*(1-O780/100),"н/д")</x:f>
        <x:v>н/д</x:v>
      </x:c>
      <x:c r="V780" s="20" t="str">
        <x:f>IF(J780="Рассчитано",T780*U780,"н/д")</x:f>
        <x:v>н/д</x:v>
      </x:c>
      <x:c r="W780" s="20" t="str">
        <x:f>IF(J780="Рассчитано",T780*M780,"н/д")</x:f>
        <x:v>н/д</x:v>
      </x:c>
      <x:c r="X780" s="20" t="str">
        <x:f>IF(J780="Рассчитано",V780-W780,"н/д")</x:f>
        <x:v>н/д</x:v>
      </x:c>
      <x:c r="Y780" s="26" t="str">
        <x:f>IF(J780="Рассчитано",IF(V780&gt;0,G780/V780,"н/д"),"н/д")</x:f>
        <x:v>н/д</x:v>
      </x:c>
      <x:c r="Z780" s="20" t="str">
        <x:f>"н/д"</x:f>
        <x:v>н/д</x:v>
      </x:c>
      <x:c r="AA780" s="20" t="str">
        <x:f>"н/д"</x:f>
        <x:v>н/д</x:v>
      </x:c>
      <x:c r="AB780" s="20" t="str">
        <x:f>"н/д"</x:f>
        <x:v>н/д</x:v>
      </x:c>
      <x:c r="AC780" s="20" t="str">
        <x:f>IF(AND(J780="Рассчитано",T780&gt;0,R780&lt;100),(W780+P780+Q780)/(T780*(1-R780/100)),"н/д")</x:f>
        <x:v>н/д</x:v>
      </x:c>
      <x:c r="AD780" s="11" t="str">
        <x:f>IF(ISNUMBER(G780),IF(G780&lt;0,"Убыток",IF(G780=0,"Без прибыли","Прибыль &gt; 0")),"Не оценён")</x:f>
        <x:v>Не оценён</x:v>
      </x:c>
      <x:c r="AE780" s="12" t="str">
        <x:f>IF(J780="Рассчитано","Выручка "&amp;TEXT(V780,"0.00")&amp;" - себестоимость "&amp;TEXT(W780,"0.00")&amp;" - комиссия "&amp;TEXT(V780*R780/100,"0.00")&amp;" - доставка "&amp;TEXT(P780,"0.00")&amp;" - прочие "&amp;TEXT(Q780,"0.00")&amp;" = "&amp;TEXT(G780,"0.00")&amp;" "&amp;L780,"Введите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0" s="23" t="n">
        <x:v>25.92211712435684</x:v>
      </x:c>
      <x:c r="AG780" s="35" t="n">
        <x:v>35</x:v>
      </x:c>
      <x:c r="AH780" s="35" t="n">
        <x:v>0</x:v>
      </x:c>
      <x:c r="AI780" s="29" t="n">
        <x:v>46266</x:v>
      </x:c>
      <x:c r="AJ780" s="35" t="n">
        <x:v>1</x:v>
      </x:c>
      <x:c r="AK780" s="11" t="str">
        <x:v>минимум</x:v>
      </x:c>
      <x:c r="AL780" s="31" t="n">
        <x:v>114.8197561054098</x:v>
      </x:c>
      <x:c r="AM780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780" s="12" t="str">
        <x:v>Проверить свободный остаток и установить цену для B2B</x:v>
      </x:c>
      <x:c r="AO780" s="12" t="str">
        <x:v>Остаток 35; прогноз 90 дней 25.92; избыток 9 шт. Будущие поступления не выставляются на продажу. Остаток на начало сентября: требуется актуализация.</x:v>
      </x:c>
      <x:c r="AP780" s="12" t="str">
        <x:v>["category_missing", "daily_stockout_data_missing", "new_order_lead_time_unknown", "reservations_unknown", "stale_stock", "stockout_proxy_used"]</x:v>
      </x:c>
      <x:c r="AQ780" s="11" t="str">
        <x:v>IEK:151000137_</x:v>
      </x:c>
      <x:c r="AR780" s="23" t="n">
        <x:v>1</x:v>
      </x:c>
      <x:c r="AS780" s="23" t="n">
        <x:v>0</x:v>
      </x:c>
      <x:c r="AT780" s="23" t="n">
        <x:v>0</x:v>
      </x:c>
    </x:row>
    <x:row r="781" ht="64" customHeight="1">
      <x:c r="A781" s="10" t="str">
        <x:v>IEK</x:v>
      </x:c>
      <x:c r="B781" s="34" t="str">
        <x:v>151000558_</x:v>
      </x:c>
      <x:c r="C781" s="34" t="str">
        <x:v>LLVPOD-EPK-58-1H</x:v>
      </x:c>
      <x:c r="D781" s="13" t="str">
        <x:v>Блок ав-го питания БАП58-1,0 IEK (5)</x:v>
      </x:c>
      <x:c r="E781" s="10" t="str">
        <x:v>шт</x:v>
      </x:c>
      <x:c r="F781" s="37" t="n">
        <x:f>MAX(0,ROUNDDOWN((AG781-AF781)/AR781+0.000000001,0)*AR781)</x:f>
        <x:v>10</x:v>
      </x:c>
      <x:c r="G781" s="21" t="str">
        <x:f>IF(J781="Рассчитано",V781*(1-R781/100)-W781-P781-Q781,"н/д")</x:f>
        <x:v>н/д</x:v>
      </x:c>
      <x:c r="H781" s="13" t="str">
        <x:v>Высокий</x:v>
      </x:c>
      <x:c r="I781" s="13" t="str">
        <x:v>Высокий</x:v>
      </x:c>
      <x:c r="J781" s="13" t="str">
        <x:f>IF(L781="","Укажите валюту",IF(NOT(ISNUMBER(K781)),"Укажите объём",IF(K781&lt;=0,"Укажите объём",IF(K781&gt;F781,"Объём выше излишка",IF(COUNT(M781:O781)&lt;3,"Нужны цены",IF(COUNT(P781:R781)&lt;3,"Нужны расходы",IF(OR(M781&lt;0,N781&lt;0,O781&lt;0,O781&gt;100,P781&lt;0,Q781&lt;0,R781&lt;0,R781&gt;100),"Проверьте значения","Рассчитано")))))))</x:f>
        <x:v>Нужны цены</x:v>
      </x:c>
      <x:c r="K781" s="36" t="n">
        <x:v>10</x:v>
      </x:c>
      <x:c r="L781" s="19" t="str">
        <x:v>KZT</x:v>
      </x:c>
      <x:c r="M781" s="22"/>
      <x:c r="N781" s="22"/>
      <x:c r="O781" s="28"/>
      <x:c r="P781" s="22"/>
      <x:c r="Q781" s="22"/>
      <x:c r="R781" s="28"/>
      <x:c r="S781" s="22"/>
      <x:c r="T781" s="37" t="n">
        <x:f>K781</x:f>
        <x:v>10</x:v>
      </x:c>
      <x:c r="U781" s="21" t="str">
        <x:f>IF(J781="Рассчитано",N781*(1-O781/100),"н/д")</x:f>
        <x:v>н/д</x:v>
      </x:c>
      <x:c r="V781" s="21" t="str">
        <x:f>IF(J781="Рассчитано",T781*U781,"н/д")</x:f>
        <x:v>н/д</x:v>
      </x:c>
      <x:c r="W781" s="21" t="str">
        <x:f>IF(J781="Рассчитано",T781*M781,"н/д")</x:f>
        <x:v>н/д</x:v>
      </x:c>
      <x:c r="X781" s="21" t="str">
        <x:f>IF(J781="Рассчитано",V781-W781,"н/д")</x:f>
        <x:v>н/д</x:v>
      </x:c>
      <x:c r="Y781" s="27" t="str">
        <x:f>IF(J781="Рассчитано",IF(V781&gt;0,G781/V781,"н/д"),"н/д")</x:f>
        <x:v>н/д</x:v>
      </x:c>
      <x:c r="Z781" s="21" t="str">
        <x:f>"н/д"</x:f>
        <x:v>н/д</x:v>
      </x:c>
      <x:c r="AA781" s="21" t="str">
        <x:f>"н/д"</x:f>
        <x:v>н/д</x:v>
      </x:c>
      <x:c r="AB781" s="21" t="str">
        <x:f>"н/д"</x:f>
        <x:v>н/д</x:v>
      </x:c>
      <x:c r="AC781" s="21" t="str">
        <x:f>IF(AND(J781="Рассчитано",T781&gt;0,R781&lt;100),(W781+P781+Q781)/(T781*(1-R781/100)),"н/д")</x:f>
        <x:v>н/д</x:v>
      </x:c>
      <x:c r="AD781" s="10" t="str">
        <x:f>IF(ISNUMBER(G781),IF(G781&lt;0,"Убыток",IF(G781=0,"Без прибыли","Прибыль &gt; 0")),"Не оценён")</x:f>
        <x:v>Не оценён</x:v>
      </x:c>
      <x:c r="AE781" s="13" t="str">
        <x:f>IF(J781="Рассчитано","Выручка "&amp;TEXT(V781,"0.00")&amp;" - себестоимость "&amp;TEXT(W781,"0.00")&amp;" - комиссия "&amp;TEXT(V781*R781/100,"0.00")&amp;" - доставка "&amp;TEXT(P781,"0.00")&amp;" - прочие "&amp;TEXT(Q781,"0.00")&amp;" = "&amp;TEXT(G781,"0.00")&amp;" "&amp;L781,"Введите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1" s="24" t="n">
        <x:v>1.802795852026136</x:v>
      </x:c>
      <x:c r="AG781" s="37" t="n">
        <x:v>12</x:v>
      </x:c>
      <x:c r="AH781" s="37" t="n">
        <x:v>0</x:v>
      </x:c>
      <x:c r="AI781" s="30" t="n">
        <x:v>46266</x:v>
      </x:c>
      <x:c r="AJ781" s="37" t="n">
        <x:v>1</x:v>
      </x:c>
      <x:c r="AK781" s="10" t="str">
        <x:v>минимум</x:v>
      </x:c>
      <x:c r="AL781" s="32" t="n">
        <x:v>566.0486254695209</x:v>
      </x:c>
      <x:c r="AM78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81" s="13" t="str">
        <x:v>Проверить свободный остаток и установить цену для B2B</x:v>
      </x:c>
      <x:c r="AO781" s="13" t="str">
        <x:v>Остаток 12; прогноз 90 дней 1.80; избыток 10 шт. Будущие поступления не выставляются на продажу. Остаток на начало сентября: требуется актуализация.</x:v>
      </x:c>
      <x:c r="AP781" s="13" t="str">
        <x:v>["category_missing", "daily_stockout_data_missing", "new_order_lead_time_unknown", "reservations_unknown", "stale_stock"]</x:v>
      </x:c>
      <x:c r="AQ781" s="10" t="str">
        <x:v>IEK:151000558_</x:v>
      </x:c>
      <x:c r="AR781" s="24" t="n">
        <x:v>1</x:v>
      </x:c>
      <x:c r="AS781" s="24" t="n">
        <x:v>0</x:v>
      </x:c>
      <x:c r="AT781" s="24" t="n">
        <x:v>0</x:v>
      </x:c>
    </x:row>
    <x:row r="782" ht="64" customHeight="1">
      <x:c r="A782" s="11" t="str">
        <x:v>IEK</x:v>
      </x:c>
      <x:c r="B782" s="33" t="str">
        <x:v>151000606_</x:v>
      </x:c>
      <x:c r="C782" s="33" t="str">
        <x:v>TSC-1SL-4100</x:v>
      </x:c>
      <x:c r="D782" s="12" t="str">
        <x:v>Отвертка Master 4х100мм IEK (12)</x:v>
      </x:c>
      <x:c r="E782" s="11" t="str">
        <x:v>шт</x:v>
      </x:c>
      <x:c r="F782" s="35" t="n">
        <x:f>MAX(0,ROUNDDOWN((AG782-AF782)/AR782+0.000000001,0)*AR782)</x:f>
        <x:v>1</x:v>
      </x:c>
      <x:c r="G782" s="20" t="str">
        <x:f>IF(J782="Рассчитано",V782*(1-R782/100)-W782-P782-Q782,"н/д")</x:f>
        <x:v>н/д</x:v>
      </x:c>
      <x:c r="H782" s="12" t="str">
        <x:v>Высокий</x:v>
      </x:c>
      <x:c r="I782" s="12" t="str">
        <x:v>Высокий</x:v>
      </x:c>
      <x:c r="J782" s="12" t="str">
        <x:f>IF(L782="","Укажите валюту",IF(NOT(ISNUMBER(K782)),"Укажите объём",IF(K782&lt;=0,"Укажите объём",IF(K782&gt;F782,"Объём выше излишка",IF(COUNT(M782:O782)&lt;3,"Нужны цены",IF(COUNT(P782:R782)&lt;3,"Нужны расходы",IF(OR(M782&lt;0,N782&lt;0,O782&lt;0,O782&gt;100,P782&lt;0,Q782&lt;0,R782&lt;0,R782&gt;100),"Проверьте значения","Рассчитано")))))))</x:f>
        <x:v>Нужны цены</x:v>
      </x:c>
      <x:c r="K782" s="36" t="n">
        <x:v>1</x:v>
      </x:c>
      <x:c r="L782" s="19" t="str">
        <x:v>KZT</x:v>
      </x:c>
      <x:c r="M782" s="22"/>
      <x:c r="N782" s="22"/>
      <x:c r="O782" s="28"/>
      <x:c r="P782" s="22"/>
      <x:c r="Q782" s="22"/>
      <x:c r="R782" s="28"/>
      <x:c r="S782" s="22"/>
      <x:c r="T782" s="35" t="n">
        <x:f>K782</x:f>
        <x:v>1</x:v>
      </x:c>
      <x:c r="U782" s="20" t="str">
        <x:f>IF(J782="Рассчитано",N782*(1-O782/100),"н/д")</x:f>
        <x:v>н/д</x:v>
      </x:c>
      <x:c r="V782" s="20" t="str">
        <x:f>IF(J782="Рассчитано",T782*U782,"н/д")</x:f>
        <x:v>н/д</x:v>
      </x:c>
      <x:c r="W782" s="20" t="str">
        <x:f>IF(J782="Рассчитано",T782*M782,"н/д")</x:f>
        <x:v>н/д</x:v>
      </x:c>
      <x:c r="X782" s="20" t="str">
        <x:f>IF(J782="Рассчитано",V782-W782,"н/д")</x:f>
        <x:v>н/д</x:v>
      </x:c>
      <x:c r="Y782" s="26" t="str">
        <x:f>IF(J782="Рассчитано",IF(V782&gt;0,G782/V782,"н/д"),"н/д")</x:f>
        <x:v>н/д</x:v>
      </x:c>
      <x:c r="Z782" s="20" t="str">
        <x:f>"н/д"</x:f>
        <x:v>н/д</x:v>
      </x:c>
      <x:c r="AA782" s="20" t="str">
        <x:f>"н/д"</x:f>
        <x:v>н/д</x:v>
      </x:c>
      <x:c r="AB782" s="20" t="str">
        <x:f>"н/д"</x:f>
        <x:v>н/д</x:v>
      </x:c>
      <x:c r="AC782" s="20" t="str">
        <x:f>IF(AND(J782="Рассчитано",T782&gt;0,R782&lt;100),(W782+P782+Q782)/(T782*(1-R782/100)),"н/д")</x:f>
        <x:v>н/д</x:v>
      </x:c>
      <x:c r="AD782" s="11" t="str">
        <x:f>IF(ISNUMBER(G782),IF(G782&lt;0,"Убыток",IF(G782=0,"Без прибыли","Прибыль &gt; 0")),"Не оценён")</x:f>
        <x:v>Не оценён</x:v>
      </x:c>
      <x:c r="AE782" s="12" t="str">
        <x:f>IF(J782="Рассчитано","Выручка "&amp;TEXT(V782,"0.00")&amp;" - себестоимость "&amp;TEXT(W782,"0.00")&amp;" - комиссия "&amp;TEXT(V782*R782/100,"0.00")&amp;" - доставка "&amp;TEXT(P782,"0.00")&amp;" - прочие "&amp;TEXT(Q782,"0.00")&amp;" = "&amp;TEXT(G782,"0.00")&amp;" "&amp;L782,"Введите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2" s="23" t="n">
        <x:v>0.10104629486282299</x:v>
      </x:c>
      <x:c r="AG782" s="35" t="n">
        <x:v>2</x:v>
      </x:c>
      <x:c r="AH782" s="35" t="n">
        <x:v>0</x:v>
      </x:c>
      <x:c r="AI782" s="29" t="n">
        <x:v>46266</x:v>
      </x:c>
      <x:c r="AJ782" s="35"/>
      <x:c r="AK782" s="11" t="str">
        <x:v>неизвестно</x:v>
      </x:c>
      <x:c r="AL782" s="31" t="n">
        <x:v>1683.1725752156567</x:v>
      </x:c>
      <x:c r="AM78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82" s="12" t="str">
        <x:v>Проверить свободный остаток и установить цену для B2B</x:v>
      </x:c>
      <x:c r="AO782" s="12" t="str">
        <x:v>Остаток 2; прогноз 90 дней 0.10; избыток 1 шт. Будущие поступления не выставляются на продажу. Остаток на начало сентября: требуется актуализация.</x:v>
      </x:c>
      <x:c r="AP782" s="12" t="str">
        <x:v>["category_missing", "daily_stockout_data_missing", "moq_missing", "new_order_lead_time_unknown", "reservations_unknown", "stale_stock"]</x:v>
      </x:c>
      <x:c r="AQ782" s="11" t="str">
        <x:v>IEK:151000606_</x:v>
      </x:c>
      <x:c r="AR782" s="23" t="n">
        <x:v>1</x:v>
      </x:c>
      <x:c r="AS782" s="23" t="n">
        <x:v>0</x:v>
      </x:c>
      <x:c r="AT782" s="23" t="n">
        <x:v>0</x:v>
      </x:c>
    </x:row>
    <x:row r="783" ht="64" customHeight="1">
      <x:c r="A783" s="10" t="str">
        <x:v>IEK</x:v>
      </x:c>
      <x:c r="B783" s="34" t="str">
        <x:v>151000691_</x:v>
      </x:c>
      <x:c r="C783" s="34" t="str">
        <x:v>LDD10-009-1100-002</x:v>
      </x:c>
      <x:c r="D783" s="13" t="str">
        <x:v>Датчик движения ДД 009 черный,до 1100 Вт,дальность 12 м IP44 IEK (48)</x:v>
      </x:c>
      <x:c r="E783" s="10" t="str">
        <x:v>шт</x:v>
      </x:c>
      <x:c r="F783" s="37" t="n">
        <x:f>MAX(0,ROUNDDOWN((AG783-AF783)/AR783+0.000000001,0)*AR783)</x:f>
        <x:v>17</x:v>
      </x:c>
      <x:c r="G783" s="21" t="str">
        <x:f>IF(J783="Рассчитано",V783*(1-R783/100)-W783-P783-Q783,"н/д")</x:f>
        <x:v>н/д</x:v>
      </x:c>
      <x:c r="H783" s="13" t="str">
        <x:v>Высокий</x:v>
      </x:c>
      <x:c r="I783" s="13" t="str">
        <x:v>Высокий</x:v>
      </x:c>
      <x:c r="J783" s="13" t="str">
        <x:f>IF(L783="","Укажите валюту",IF(NOT(ISNUMBER(K783)),"Укажите объём",IF(K783&lt;=0,"Укажите объём",IF(K783&gt;F783,"Объём выше излишка",IF(COUNT(M783:O783)&lt;3,"Нужны цены",IF(COUNT(P783:R783)&lt;3,"Нужны расходы",IF(OR(M783&lt;0,N783&lt;0,O783&lt;0,O783&gt;100,P783&lt;0,Q783&lt;0,R783&lt;0,R783&gt;100),"Проверьте значения","Рассчитано")))))))</x:f>
        <x:v>Нужны цены</x:v>
      </x:c>
      <x:c r="K783" s="36" t="n">
        <x:v>17</x:v>
      </x:c>
      <x:c r="L783" s="19" t="str">
        <x:v>KZT</x:v>
      </x:c>
      <x:c r="M783" s="22"/>
      <x:c r="N783" s="22"/>
      <x:c r="O783" s="28"/>
      <x:c r="P783" s="22"/>
      <x:c r="Q783" s="22"/>
      <x:c r="R783" s="28"/>
      <x:c r="S783" s="22"/>
      <x:c r="T783" s="37" t="n">
        <x:f>K783</x:f>
        <x:v>17</x:v>
      </x:c>
      <x:c r="U783" s="21" t="str">
        <x:f>IF(J783="Рассчитано",N783*(1-O783/100),"н/д")</x:f>
        <x:v>н/д</x:v>
      </x:c>
      <x:c r="V783" s="21" t="str">
        <x:f>IF(J783="Рассчитано",T783*U783,"н/д")</x:f>
        <x:v>н/д</x:v>
      </x:c>
      <x:c r="W783" s="21" t="str">
        <x:f>IF(J783="Рассчитано",T783*M783,"н/д")</x:f>
        <x:v>н/д</x:v>
      </x:c>
      <x:c r="X783" s="21" t="str">
        <x:f>IF(J783="Рассчитано",V783-W783,"н/д")</x:f>
        <x:v>н/д</x:v>
      </x:c>
      <x:c r="Y783" s="27" t="str">
        <x:f>IF(J783="Рассчитано",IF(V783&gt;0,G783/V783,"н/д"),"н/д")</x:f>
        <x:v>н/д</x:v>
      </x:c>
      <x:c r="Z783" s="21" t="str">
        <x:f>"н/д"</x:f>
        <x:v>н/д</x:v>
      </x:c>
      <x:c r="AA783" s="21" t="str">
        <x:f>"н/д"</x:f>
        <x:v>н/д</x:v>
      </x:c>
      <x:c r="AB783" s="21" t="str">
        <x:f>"н/д"</x:f>
        <x:v>н/д</x:v>
      </x:c>
      <x:c r="AC783" s="21" t="str">
        <x:f>IF(AND(J783="Рассчитано",T783&gt;0,R783&lt;100),(W783+P783+Q783)/(T783*(1-R783/100)),"н/д")</x:f>
        <x:v>н/д</x:v>
      </x:c>
      <x:c r="AD783" s="10" t="str">
        <x:f>IF(ISNUMBER(G783),IF(G783&lt;0,"Убыток",IF(G783=0,"Без прибыли","Прибыль &gt; 0")),"Не оценён")</x:f>
        <x:v>Не оценён</x:v>
      </x:c>
      <x:c r="AE783" s="13" t="str">
        <x:f>IF(J783="Рассчитано","Выручка "&amp;TEXT(V783,"0.00")&amp;" - себестоимость "&amp;TEXT(W783,"0.00")&amp;" - комиссия "&amp;TEXT(V783*R783/100,"0.00")&amp;" - доставка "&amp;TEXT(P783,"0.00")&amp;" - прочие "&amp;TEXT(Q783,"0.00")&amp;" = "&amp;TEXT(G783,"0.00")&amp;" "&amp;L783,"Введите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3" s="24" t="n">
        <x:v>8.080849820350739</x:v>
      </x:c>
      <x:c r="AG783" s="37" t="n">
        <x:v>26</x:v>
      </x:c>
      <x:c r="AH783" s="37" t="n">
        <x:v>10</x:v>
      </x:c>
      <x:c r="AI783" s="30" t="n">
        <x:v>46266</x:v>
      </x:c>
      <x:c r="AJ783" s="37" t="n">
        <x:v>1</x:v>
      </x:c>
      <x:c r="AK783" s="10" t="str">
        <x:v>минимум</x:v>
      </x:c>
      <x:c r="AL783" s="32" t="n">
        <x:v>273.6121360472694</x:v>
      </x:c>
      <x:c r="AM7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83" s="13" t="str">
        <x:v>Проверить свободный остаток и установить цену для B2B</x:v>
      </x:c>
      <x:c r="AO783" s="13" t="str">
        <x:v>Остаток 26; прогноз 90 дней 8.08; избыток 17 шт. Будущие поступления не выставляются на продажу. Остаток на начало сентября: требуется актуализация.</x:v>
      </x:c>
      <x:c r="AP783" s="13" t="str">
        <x:v>["category_missing", "daily_stockout_data_missing", "negative_net_sales_clipped_for_forecast", "new_order_lead_time_unknown", "reservations_unknown", "stale_stock"]</x:v>
      </x:c>
      <x:c r="AQ783" s="10" t="str">
        <x:v>IEK:151000691_</x:v>
      </x:c>
      <x:c r="AR783" s="24" t="n">
        <x:v>1</x:v>
      </x:c>
      <x:c r="AS783" s="24" t="n">
        <x:v>0</x:v>
      </x:c>
      <x:c r="AT783" s="24" t="n">
        <x:v>0</x:v>
      </x:c>
    </x:row>
    <x:row r="784" ht="64" customHeight="1">
      <x:c r="A784" s="11" t="str">
        <x:v>IEK</x:v>
      </x:c>
      <x:c r="B784" s="33" t="str">
        <x:v>151000692_</x:v>
      </x:c>
      <x:c r="C784" s="33" t="str">
        <x:v>LDD10-010-1100-002</x:v>
      </x:c>
      <x:c r="D784" s="12" t="str">
        <x:v>Датчик движения ДД 010 черный,до 1100 Вт,дальность 10 м IP44 IEK (48)</x:v>
      </x:c>
      <x:c r="E784" s="11" t="str">
        <x:v>шт</x:v>
      </x:c>
      <x:c r="F784" s="35" t="n">
        <x:f>MAX(0,ROUNDDOWN((AG784-AF784)/AR784+0.000000001,0)*AR784)</x:f>
        <x:v>2</x:v>
      </x:c>
      <x:c r="G784" s="20" t="str">
        <x:f>IF(J784="Рассчитано",V784*(1-R784/100)-W784-P784-Q784,"н/д")</x:f>
        <x:v>н/д</x:v>
      </x:c>
      <x:c r="H784" s="12" t="str">
        <x:v>Высокий</x:v>
      </x:c>
      <x:c r="I784" s="12" t="str">
        <x:v>Высокий</x:v>
      </x:c>
      <x:c r="J784" s="12" t="str">
        <x:f>IF(L784="","Укажите валюту",IF(NOT(ISNUMBER(K784)),"Укажите объём",IF(K784&lt;=0,"Укажите объём",IF(K784&gt;F784,"Объём выше излишка",IF(COUNT(M784:O784)&lt;3,"Нужны цены",IF(COUNT(P784:R784)&lt;3,"Нужны расходы",IF(OR(M784&lt;0,N784&lt;0,O784&lt;0,O784&gt;100,P784&lt;0,Q784&lt;0,R784&lt;0,R784&gt;100),"Проверьте значения","Рассчитано")))))))</x:f>
        <x:v>Нужны цены</x:v>
      </x:c>
      <x:c r="K784" s="36" t="n">
        <x:v>2</x:v>
      </x:c>
      <x:c r="L784" s="19" t="str">
        <x:v>KZT</x:v>
      </x:c>
      <x:c r="M784" s="22"/>
      <x:c r="N784" s="22"/>
      <x:c r="O784" s="28"/>
      <x:c r="P784" s="22"/>
      <x:c r="Q784" s="22"/>
      <x:c r="R784" s="28"/>
      <x:c r="S784" s="22"/>
      <x:c r="T784" s="35" t="n">
        <x:f>K784</x:f>
        <x:v>2</x:v>
      </x:c>
      <x:c r="U784" s="20" t="str">
        <x:f>IF(J784="Рассчитано",N784*(1-O784/100),"н/д")</x:f>
        <x:v>н/д</x:v>
      </x:c>
      <x:c r="V784" s="20" t="str">
        <x:f>IF(J784="Рассчитано",T784*U784,"н/д")</x:f>
        <x:v>н/д</x:v>
      </x:c>
      <x:c r="W784" s="20" t="str">
        <x:f>IF(J784="Рассчитано",T784*M784,"н/д")</x:f>
        <x:v>н/д</x:v>
      </x:c>
      <x:c r="X784" s="20" t="str">
        <x:f>IF(J784="Рассчитано",V784-W784,"н/д")</x:f>
        <x:v>н/д</x:v>
      </x:c>
      <x:c r="Y784" s="26" t="str">
        <x:f>IF(J784="Рассчитано",IF(V784&gt;0,G784/V784,"н/д"),"н/д")</x:f>
        <x:v>н/д</x:v>
      </x:c>
      <x:c r="Z784" s="20" t="str">
        <x:f>"н/д"</x:f>
        <x:v>н/д</x:v>
      </x:c>
      <x:c r="AA784" s="20" t="str">
        <x:f>"н/д"</x:f>
        <x:v>н/д</x:v>
      </x:c>
      <x:c r="AB784" s="20" t="str">
        <x:f>"н/д"</x:f>
        <x:v>н/д</x:v>
      </x:c>
      <x:c r="AC784" s="20" t="str">
        <x:f>IF(AND(J784="Рассчитано",T784&gt;0,R784&lt;100),(W784+P784+Q784)/(T784*(1-R784/100)),"н/д")</x:f>
        <x:v>н/д</x:v>
      </x:c>
      <x:c r="AD784" s="11" t="str">
        <x:f>IF(ISNUMBER(G784),IF(G784&lt;0,"Убыток",IF(G784=0,"Без прибыли","Прибыль &gt; 0")),"Не оценён")</x:f>
        <x:v>Не оценён</x:v>
      </x:c>
      <x:c r="AE784" s="12" t="str">
        <x:f>IF(J784="Рассчитано","Выручка "&amp;TEXT(V784,"0.00")&amp;" - себестоимость "&amp;TEXT(W784,"0.00")&amp;" - комиссия "&amp;TEXT(V784*R784/100,"0.00")&amp;" - доставка "&amp;TEXT(P784,"0.00")&amp;" - прочие "&amp;TEXT(Q784,"0.00")&amp;" = "&amp;TEXT(G784,"0.00")&amp;" "&amp;L784,"Введите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4" s="23" t="n">
        <x:v>1.037769491363494</x:v>
      </x:c>
      <x:c r="AG784" s="35" t="n">
        <x:v>4</x:v>
      </x:c>
      <x:c r="AH784" s="35" t="n">
        <x:v>0</x:v>
      </x:c>
      <x:c r="AI784" s="29" t="n">
        <x:v>46266</x:v>
      </x:c>
      <x:c r="AJ784" s="35" t="n">
        <x:v>1</x:v>
      </x:c>
      <x:c r="AK784" s="11" t="str">
        <x:v>минимум</x:v>
      </x:c>
      <x:c r="AL784" s="31" t="n">
        <x:v>327.7767437869021</x:v>
      </x:c>
      <x:c r="AM78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84" s="12" t="str">
        <x:v>Проверить свободный остаток и установить цену для B2B</x:v>
      </x:c>
      <x:c r="AO784" s="12" t="str">
        <x:v>Остаток 4; прогноз 90 дней 1.04; избыток 2 шт. Будущие поступления не выставляются на продажу. Остаток на начало сентября: требуется актуализация.</x:v>
      </x:c>
      <x:c r="AP784" s="12" t="str">
        <x:v>["category_missing", "daily_stockout_data_missing", "new_order_lead_time_unknown", "reservations_unknown", "stale_stock"]</x:v>
      </x:c>
      <x:c r="AQ784" s="11" t="str">
        <x:v>IEK:151000692_</x:v>
      </x:c>
      <x:c r="AR784" s="23" t="n">
        <x:v>1</x:v>
      </x:c>
      <x:c r="AS784" s="23" t="n">
        <x:v>0</x:v>
      </x:c>
      <x:c r="AT784" s="23" t="n">
        <x:v>0</x:v>
      </x:c>
    </x:row>
    <x:row r="785" ht="64" customHeight="1">
      <x:c r="A785" s="10" t="str">
        <x:v>IEK</x:v>
      </x:c>
      <x:c r="B785" s="34" t="str">
        <x:v>151000693_</x:v>
      </x:c>
      <x:c r="C785" s="34" t="str">
        <x:v>LDD10-012-1100-002</x:v>
      </x:c>
      <x:c r="D785" s="13" t="str">
        <x:v>Датчик движения ДД 012 черный,до 1100 Вт,дальность 10 м IP44 IEK (48)</x:v>
      </x:c>
      <x:c r="E785" s="10" t="str">
        <x:v>шт</x:v>
      </x:c>
      <x:c r="F785" s="37" t="n">
        <x:f>MAX(0,ROUNDDOWN((AG785-AF785)/AR785+0.000000001,0)*AR785)</x:f>
        <x:v>1</x:v>
      </x:c>
      <x:c r="G785" s="21" t="str">
        <x:f>IF(J785="Рассчитано",V785*(1-R785/100)-W785-P785-Q785,"н/д")</x:f>
        <x:v>н/д</x:v>
      </x:c>
      <x:c r="H785" s="13" t="str">
        <x:v>Высокий</x:v>
      </x:c>
      <x:c r="I785" s="13" t="str">
        <x:v>Высокий</x:v>
      </x:c>
      <x:c r="J785" s="13" t="str">
        <x:f>IF(L785="","Укажите валюту",IF(NOT(ISNUMBER(K785)),"Укажите объём",IF(K785&lt;=0,"Укажите объём",IF(K785&gt;F785,"Объём выше излишка",IF(COUNT(M785:O785)&lt;3,"Нужны цены",IF(COUNT(P785:R785)&lt;3,"Нужны расходы",IF(OR(M785&lt;0,N785&lt;0,O785&lt;0,O785&gt;100,P785&lt;0,Q785&lt;0,R785&lt;0,R785&gt;100),"Проверьте значения","Рассчитано")))))))</x:f>
        <x:v>Нужны цены</x:v>
      </x:c>
      <x:c r="K785" s="36" t="n">
        <x:v>1</x:v>
      </x:c>
      <x:c r="L785" s="19" t="str">
        <x:v>KZT</x:v>
      </x:c>
      <x:c r="M785" s="22"/>
      <x:c r="N785" s="22"/>
      <x:c r="O785" s="28"/>
      <x:c r="P785" s="22"/>
      <x:c r="Q785" s="22"/>
      <x:c r="R785" s="28"/>
      <x:c r="S785" s="22"/>
      <x:c r="T785" s="37" t="n">
        <x:f>K785</x:f>
        <x:v>1</x:v>
      </x:c>
      <x:c r="U785" s="21" t="str">
        <x:f>IF(J785="Рассчитано",N785*(1-O785/100),"н/д")</x:f>
        <x:v>н/д</x:v>
      </x:c>
      <x:c r="V785" s="21" t="str">
        <x:f>IF(J785="Рассчитано",T785*U785,"н/д")</x:f>
        <x:v>н/д</x:v>
      </x:c>
      <x:c r="W785" s="21" t="str">
        <x:f>IF(J785="Рассчитано",T785*M785,"н/д")</x:f>
        <x:v>н/д</x:v>
      </x:c>
      <x:c r="X785" s="21" t="str">
        <x:f>IF(J785="Рассчитано",V785-W785,"н/д")</x:f>
        <x:v>н/д</x:v>
      </x:c>
      <x:c r="Y785" s="27" t="str">
        <x:f>IF(J785="Рассчитано",IF(V785&gt;0,G785/V785,"н/д"),"н/д")</x:f>
        <x:v>н/д</x:v>
      </x:c>
      <x:c r="Z785" s="21" t="str">
        <x:f>"н/д"</x:f>
        <x:v>н/д</x:v>
      </x:c>
      <x:c r="AA785" s="21" t="str">
        <x:f>"н/д"</x:f>
        <x:v>н/д</x:v>
      </x:c>
      <x:c r="AB785" s="21" t="str">
        <x:f>"н/д"</x:f>
        <x:v>н/д</x:v>
      </x:c>
      <x:c r="AC785" s="21" t="str">
        <x:f>IF(AND(J785="Рассчитано",T785&gt;0,R785&lt;100),(W785+P785+Q785)/(T785*(1-R785/100)),"н/д")</x:f>
        <x:v>н/д</x:v>
      </x:c>
      <x:c r="AD785" s="10" t="str">
        <x:f>IF(ISNUMBER(G785),IF(G785&lt;0,"Убыток",IF(G785=0,"Без прибыли","Прибыль &gt; 0")),"Не оценён")</x:f>
        <x:v>Не оценён</x:v>
      </x:c>
      <x:c r="AE785" s="13" t="str">
        <x:f>IF(J785="Рассчитано","Выручка "&amp;TEXT(V785,"0.00")&amp;" - себестоимость "&amp;TEXT(W785,"0.00")&amp;" - комиссия "&amp;TEXT(V785*R785/100,"0.00")&amp;" - доставка "&amp;TEXT(P785,"0.00")&amp;" - прочие "&amp;TEXT(Q785,"0.00")&amp;" = "&amp;TEXT(G785,"0.00")&amp;" "&amp;L785,"Введите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5" s="24" t="n">
        <x:v>0.09005811180205522</x:v>
      </x:c>
      <x:c r="AG785" s="37" t="n">
        <x:v>2</x:v>
      </x:c>
      <x:c r="AH785" s="37" t="n">
        <x:v>0</x:v>
      </x:c>
      <x:c r="AI785" s="30" t="n">
        <x:v>46266</x:v>
      </x:c>
      <x:c r="AJ785" s="37"/>
      <x:c r="AK785" s="10" t="str">
        <x:v>неизвестно</x:v>
      </x:c>
      <x:c r="AL785" s="32" t="n">
        <x:v>1888.5400652645803</x:v>
      </x:c>
      <x:c r="AM7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85" s="13" t="str">
        <x:v>Проверить свободный остаток и установить цену для B2B</x:v>
      </x:c>
      <x:c r="AO785" s="13" t="str">
        <x:v>Остаток 2; прогноз 90 дней 0.09; избыток 1 шт. Будущие поступления не выставляются на продажу. Остаток на начало сентября: требуется актуализация.</x:v>
      </x:c>
      <x:c r="AP785" s="13" t="str">
        <x:v>["category_missing", "daily_stockout_data_missing", "moq_missing", "new_order_lead_time_unknown", "reservations_unknown", "stale_stock"]</x:v>
      </x:c>
      <x:c r="AQ785" s="10" t="str">
        <x:v>IEK:151000693_</x:v>
      </x:c>
      <x:c r="AR785" s="24" t="n">
        <x:v>1</x:v>
      </x:c>
      <x:c r="AS785" s="24" t="n">
        <x:v>0</x:v>
      </x:c>
      <x:c r="AT785" s="24" t="n">
        <x:v>0</x:v>
      </x:c>
    </x:row>
    <x:row r="786" ht="64" customHeight="1">
      <x:c r="A786" s="11" t="str">
        <x:v>IEK</x:v>
      </x:c>
      <x:c r="B786" s="33" t="str">
        <x:v>151000733_</x:v>
      </x:c>
      <x:c r="C786" s="33" t="str">
        <x:v>TSC-1PH-238</x:v>
      </x:c>
      <x:c r="D786" s="12" t="str">
        <x:v>Отвертка крест.Master Ph2 х 38мм IEK (6)</x:v>
      </x:c>
      <x:c r="E786" s="11" t="str">
        <x:v>шт</x:v>
      </x:c>
      <x:c r="F786" s="35" t="n">
        <x:f>MAX(0,ROUNDDOWN((AG786-AF786)/AR786+0.000000001,0)*AR786)</x:f>
        <x:v>1</x:v>
      </x:c>
      <x:c r="G786" s="20" t="str">
        <x:f>IF(J786="Рассчитано",V786*(1-R786/100)-W786-P786-Q786,"н/д")</x:f>
        <x:v>н/д</x:v>
      </x:c>
      <x:c r="H786" s="12" t="str">
        <x:v>Высокий</x:v>
      </x:c>
      <x:c r="I786" s="12" t="str">
        <x:v>Высокий</x:v>
      </x:c>
      <x:c r="J786" s="12" t="str">
        <x:f>IF(L786="","Укажите валюту",IF(NOT(ISNUMBER(K786)),"Укажите объём",IF(K786&lt;=0,"Укажите объём",IF(K786&gt;F786,"Объём выше излишка",IF(COUNT(M786:O786)&lt;3,"Нужны цены",IF(COUNT(P786:R786)&lt;3,"Нужны расходы",IF(OR(M786&lt;0,N786&lt;0,O786&lt;0,O786&gt;100,P786&lt;0,Q786&lt;0,R786&lt;0,R786&gt;100),"Проверьте значения","Рассчитано")))))))</x:f>
        <x:v>Нужны цены</x:v>
      </x:c>
      <x:c r="K786" s="36" t="n">
        <x:v>1</x:v>
      </x:c>
      <x:c r="L786" s="19" t="str">
        <x:v>KZT</x:v>
      </x:c>
      <x:c r="M786" s="22"/>
      <x:c r="N786" s="22"/>
      <x:c r="O786" s="28"/>
      <x:c r="P786" s="22"/>
      <x:c r="Q786" s="22"/>
      <x:c r="R786" s="28"/>
      <x:c r="S786" s="22"/>
      <x:c r="T786" s="35" t="n">
        <x:f>K786</x:f>
        <x:v>1</x:v>
      </x:c>
      <x:c r="U786" s="20" t="str">
        <x:f>IF(J786="Рассчитано",N786*(1-O786/100),"н/д")</x:f>
        <x:v>н/д</x:v>
      </x:c>
      <x:c r="V786" s="20" t="str">
        <x:f>IF(J786="Рассчитано",T786*U786,"н/д")</x:f>
        <x:v>н/д</x:v>
      </x:c>
      <x:c r="W786" s="20" t="str">
        <x:f>IF(J786="Рассчитано",T786*M786,"н/д")</x:f>
        <x:v>н/д</x:v>
      </x:c>
      <x:c r="X786" s="20" t="str">
        <x:f>IF(J786="Рассчитано",V786-W786,"н/д")</x:f>
        <x:v>н/д</x:v>
      </x:c>
      <x:c r="Y786" s="26" t="str">
        <x:f>IF(J786="Рассчитано",IF(V786&gt;0,G786/V786,"н/д"),"н/д")</x:f>
        <x:v>н/д</x:v>
      </x:c>
      <x:c r="Z786" s="20" t="str">
        <x:f>"н/д"</x:f>
        <x:v>н/д</x:v>
      </x:c>
      <x:c r="AA786" s="20" t="str">
        <x:f>"н/д"</x:f>
        <x:v>н/д</x:v>
      </x:c>
      <x:c r="AB786" s="20" t="str">
        <x:f>"н/д"</x:f>
        <x:v>н/д</x:v>
      </x:c>
      <x:c r="AC786" s="20" t="str">
        <x:f>IF(AND(J786="Рассчитано",T786&gt;0,R786&lt;100),(W786+P786+Q786)/(T786*(1-R786/100)),"н/д")</x:f>
        <x:v>н/д</x:v>
      </x:c>
      <x:c r="AD786" s="11" t="str">
        <x:f>IF(ISNUMBER(G786),IF(G786&lt;0,"Убыток",IF(G786=0,"Без прибыли","Прибыль &gt; 0")),"Не оценён")</x:f>
        <x:v>Не оценён</x:v>
      </x:c>
      <x:c r="AE786" s="12" t="str">
        <x:f>IF(J786="Рассчитано","Выручка "&amp;TEXT(V786,"0.00")&amp;" - себестоимость "&amp;TEXT(W786,"0.00")&amp;" - комиссия "&amp;TEXT(V786*R786/100,"0.00")&amp;" - доставка "&amp;TEXT(P786,"0.00")&amp;" - прочие "&amp;TEXT(Q786,"0.00")&amp;" = "&amp;TEXT(G786,"0.00")&amp;" "&amp;L786,"Введите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6" s="23" t="n">
        <x:v>0</x:v>
      </x:c>
      <x:c r="AG786" s="35" t="n">
        <x:v>1</x:v>
      </x:c>
      <x:c r="AH786" s="35" t="n">
        <x:v>0</x:v>
      </x:c>
      <x:c r="AI786" s="29" t="n">
        <x:v>46266</x:v>
      </x:c>
      <x:c r="AJ786" s="35"/>
      <x:c r="AK786" s="11" t="str">
        <x:v>неизвестно</x:v>
      </x:c>
      <x:c r="AL786" s="31" t="str">
        <x:v>н/д</x:v>
      </x:c>
      <x:c r="AM78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86" s="12" t="str">
        <x:v>Проверить свободный остаток и установить цену для B2B</x:v>
      </x:c>
      <x:c r="AO786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786" s="12" t="str">
        <x:v>["category_missing", "daily_stockout_data_missing", "moq_missing", "new_order_lead_time_unknown", "reservations_unknown", "stale_stock"]</x:v>
      </x:c>
      <x:c r="AQ786" s="11" t="str">
        <x:v>IEK:151000733_</x:v>
      </x:c>
      <x:c r="AR786" s="23" t="n">
        <x:v>1</x:v>
      </x:c>
      <x:c r="AS786" s="23" t="n">
        <x:v>0</x:v>
      </x:c>
      <x:c r="AT786" s="23" t="n">
        <x:v>0</x:v>
      </x:c>
    </x:row>
    <x:row r="787" ht="64" customHeight="1">
      <x:c r="A787" s="10" t="str">
        <x:v>IEK</x:v>
      </x:c>
      <x:c r="B787" s="34" t="str">
        <x:v>200400001_</x:v>
      </x:c>
      <x:c r="C787" s="34" t="str">
        <x:v>EVK10-K01-10-DM</x:v>
      </x:c>
      <x:c r="D787" s="13" t="str">
        <x:v>I1  выкл. 1кл. 10А КВАРТА ВС 10-1-0-КБ (200)</x:v>
      </x:c>
      <x:c r="E787" s="10" t="str">
        <x:v>шт</x:v>
      </x:c>
      <x:c r="F787" s="37" t="n">
        <x:f>MAX(0,ROUNDDOWN((AG787-AF787)/AR787+0.000000001,0)*AR787)</x:f>
        <x:v>108</x:v>
      </x:c>
      <x:c r="G787" s="21" t="str">
        <x:f>IF(J787="Рассчитано",V787*(1-R787/100)-W787-P787-Q787,"н/д")</x:f>
        <x:v>н/д</x:v>
      </x:c>
      <x:c r="H787" s="13" t="str">
        <x:v>Высокий</x:v>
      </x:c>
      <x:c r="I787" s="13" t="str">
        <x:v>Высокий</x:v>
      </x:c>
      <x:c r="J787" s="13" t="str">
        <x:f>IF(L787="","Укажите валюту",IF(NOT(ISNUMBER(K787)),"Укажите объём",IF(K787&lt;=0,"Укажите объём",IF(K787&gt;F787,"Объём выше излишка",IF(COUNT(M787:O787)&lt;3,"Нужны цены",IF(COUNT(P787:R787)&lt;3,"Нужны расходы",IF(OR(M787&lt;0,N787&lt;0,O787&lt;0,O787&gt;100,P787&lt;0,Q787&lt;0,R787&lt;0,R787&gt;100),"Проверьте значения","Рассчитано")))))))</x:f>
        <x:v>Нужны цены</x:v>
      </x:c>
      <x:c r="K787" s="36" t="n">
        <x:v>108</x:v>
      </x:c>
      <x:c r="L787" s="19" t="str">
        <x:v>KZT</x:v>
      </x:c>
      <x:c r="M787" s="22"/>
      <x:c r="N787" s="22"/>
      <x:c r="O787" s="28"/>
      <x:c r="P787" s="22"/>
      <x:c r="Q787" s="22"/>
      <x:c r="R787" s="28"/>
      <x:c r="S787" s="22"/>
      <x:c r="T787" s="37" t="n">
        <x:f>K787</x:f>
        <x:v>108</x:v>
      </x:c>
      <x:c r="U787" s="21" t="str">
        <x:f>IF(J787="Рассчитано",N787*(1-O787/100),"н/д")</x:f>
        <x:v>н/д</x:v>
      </x:c>
      <x:c r="V787" s="21" t="str">
        <x:f>IF(J787="Рассчитано",T787*U787,"н/д")</x:f>
        <x:v>н/д</x:v>
      </x:c>
      <x:c r="W787" s="21" t="str">
        <x:f>IF(J787="Рассчитано",T787*M787,"н/д")</x:f>
        <x:v>н/д</x:v>
      </x:c>
      <x:c r="X787" s="21" t="str">
        <x:f>IF(J787="Рассчитано",V787-W787,"н/д")</x:f>
        <x:v>н/д</x:v>
      </x:c>
      <x:c r="Y787" s="27" t="str">
        <x:f>IF(J787="Рассчитано",IF(V787&gt;0,G787/V787,"н/д"),"н/д")</x:f>
        <x:v>н/д</x:v>
      </x:c>
      <x:c r="Z787" s="21" t="str">
        <x:f>"н/д"</x:f>
        <x:v>н/д</x:v>
      </x:c>
      <x:c r="AA787" s="21" t="str">
        <x:f>"н/д"</x:f>
        <x:v>н/д</x:v>
      </x:c>
      <x:c r="AB787" s="21" t="str">
        <x:f>"н/д"</x:f>
        <x:v>н/д</x:v>
      </x:c>
      <x:c r="AC787" s="21" t="str">
        <x:f>IF(AND(J787="Рассчитано",T787&gt;0,R787&lt;100),(W787+P787+Q787)/(T787*(1-R787/100)),"н/д")</x:f>
        <x:v>н/д</x:v>
      </x:c>
      <x:c r="AD787" s="10" t="str">
        <x:f>IF(ISNUMBER(G787),IF(G787&lt;0,"Убыток",IF(G787=0,"Без прибыли","Прибыль &gt; 0")),"Не оценён")</x:f>
        <x:v>Не оценён</x:v>
      </x:c>
      <x:c r="AE787" s="13" t="str">
        <x:f>IF(J787="Рассчитано","Выручка "&amp;TEXT(V787,"0.00")&amp;" - себестоимость "&amp;TEXT(W787,"0.00")&amp;" - комиссия "&amp;TEXT(V787*R787/100,"0.00")&amp;" - доставка "&amp;TEXT(P787,"0.00")&amp;" - прочие "&amp;TEXT(Q787,"0.00")&amp;" = "&amp;TEXT(G787,"0.00")&amp;" "&amp;L787,"Введите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7" s="24" t="n">
        <x:v>60.32332010432725</x:v>
      </x:c>
      <x:c r="AG787" s="37" t="n">
        <x:v>169</x:v>
      </x:c>
      <x:c r="AH787" s="37" t="n">
        <x:v>0</x:v>
      </x:c>
      <x:c r="AI787" s="30" t="n">
        <x:v>46266</x:v>
      </x:c>
      <x:c r="AJ787" s="37" t="n">
        <x:v>10</x:v>
      </x:c>
      <x:c r="AK787" s="10" t="str">
        <x:v>минимум</x:v>
      </x:c>
      <x:c r="AL787" s="32" t="n">
        <x:v>238.24319927843112</x:v>
      </x:c>
      <x:c r="AM787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787" s="13" t="str">
        <x:v>Проверить свободный остаток и установить цену для B2B</x:v>
      </x:c>
      <x:c r="AO787" s="13" t="str">
        <x:v>Остаток 169; прогноз 90 дней 60.32; избыток 108 шт. Будущие поступления не выставляются на продажу. Остаток на начало сентября: требуется актуализация.</x:v>
      </x:c>
      <x:c r="AP787" s="13" t="str">
        <x:v>["category_missing", "daily_stockout_data_missing", "large_orders_detected", "new_order_lead_time_unknown", "reservations_unknown", "stale_stock", "transaction_month_mismatch"]</x:v>
      </x:c>
      <x:c r="AQ787" s="10" t="str">
        <x:v>IEK:200400001_</x:v>
      </x:c>
      <x:c r="AR787" s="24" t="n">
        <x:v>1</x:v>
      </x:c>
      <x:c r="AS787" s="24" t="n">
        <x:v>0</x:v>
      </x:c>
      <x:c r="AT787" s="24" t="n">
        <x:v>0</x:v>
      </x:c>
    </x:row>
    <x:row r="788" ht="64" customHeight="1">
      <x:c r="A788" s="11" t="str">
        <x:v>IEK</x:v>
      </x:c>
      <x:c r="B788" s="33" t="str">
        <x:v>200400002_</x:v>
      </x:c>
      <x:c r="C788" s="33" t="str">
        <x:v>EVK11-K01-10-DM</x:v>
      </x:c>
      <x:c r="D788" s="12" t="str">
        <x:v>I3  выкл. 1кл. с инд. 10А КВАРТА ВС 10-1-1-КБ (200)</x:v>
      </x:c>
      <x:c r="E788" s="11" t="str">
        <x:v>шт</x:v>
      </x:c>
      <x:c r="F788" s="35" t="n">
        <x:f>MAX(0,ROUNDDOWN((AG788-AF788)/AR788+0.000000001,0)*AR788)</x:f>
        <x:v>12</x:v>
      </x:c>
      <x:c r="G788" s="20" t="str">
        <x:f>IF(J788="Рассчитано",V788*(1-R788/100)-W788-P788-Q788,"н/д")</x:f>
        <x:v>н/д</x:v>
      </x:c>
      <x:c r="H788" s="12" t="str">
        <x:v>Высокий</x:v>
      </x:c>
      <x:c r="I788" s="12" t="str">
        <x:v>Высокий</x:v>
      </x:c>
      <x:c r="J788" s="12" t="str">
        <x:f>IF(L788="","Укажите валюту",IF(NOT(ISNUMBER(K788)),"Укажите объём",IF(K788&lt;=0,"Укажите объём",IF(K788&gt;F788,"Объём выше излишка",IF(COUNT(M788:O788)&lt;3,"Нужны цены",IF(COUNT(P788:R788)&lt;3,"Нужны расходы",IF(OR(M788&lt;0,N788&lt;0,O788&lt;0,O788&gt;100,P788&lt;0,Q788&lt;0,R788&lt;0,R788&gt;100),"Проверьте значения","Рассчитано")))))))</x:f>
        <x:v>Нужны цены</x:v>
      </x:c>
      <x:c r="K788" s="36" t="n">
        <x:v>12</x:v>
      </x:c>
      <x:c r="L788" s="19" t="str">
        <x:v>KZT</x:v>
      </x:c>
      <x:c r="M788" s="22"/>
      <x:c r="N788" s="22"/>
      <x:c r="O788" s="28"/>
      <x:c r="P788" s="22"/>
      <x:c r="Q788" s="22"/>
      <x:c r="R788" s="28"/>
      <x:c r="S788" s="22"/>
      <x:c r="T788" s="35" t="n">
        <x:f>K788</x:f>
        <x:v>12</x:v>
      </x:c>
      <x:c r="U788" s="20" t="str">
        <x:f>IF(J788="Рассчитано",N788*(1-O788/100),"н/д")</x:f>
        <x:v>н/д</x:v>
      </x:c>
      <x:c r="V788" s="20" t="str">
        <x:f>IF(J788="Рассчитано",T788*U788,"н/д")</x:f>
        <x:v>н/д</x:v>
      </x:c>
      <x:c r="W788" s="20" t="str">
        <x:f>IF(J788="Рассчитано",T788*M788,"н/д")</x:f>
        <x:v>н/д</x:v>
      </x:c>
      <x:c r="X788" s="20" t="str">
        <x:f>IF(J788="Рассчитано",V788-W788,"н/д")</x:f>
        <x:v>н/д</x:v>
      </x:c>
      <x:c r="Y788" s="26" t="str">
        <x:f>IF(J788="Рассчитано",IF(V788&gt;0,G788/V788,"н/д"),"н/д")</x:f>
        <x:v>н/д</x:v>
      </x:c>
      <x:c r="Z788" s="20" t="str">
        <x:f>"н/д"</x:f>
        <x:v>н/д</x:v>
      </x:c>
      <x:c r="AA788" s="20" t="str">
        <x:f>"н/д"</x:f>
        <x:v>н/д</x:v>
      </x:c>
      <x:c r="AB788" s="20" t="str">
        <x:f>"н/д"</x:f>
        <x:v>н/д</x:v>
      </x:c>
      <x:c r="AC788" s="20" t="str">
        <x:f>IF(AND(J788="Рассчитано",T788&gt;0,R788&lt;100),(W788+P788+Q788)/(T788*(1-R788/100)),"н/д")</x:f>
        <x:v>н/д</x:v>
      </x:c>
      <x:c r="AD788" s="11" t="str">
        <x:f>IF(ISNUMBER(G788),IF(G788&lt;0,"Убыток",IF(G788=0,"Без прибыли","Прибыль &gt; 0")),"Не оценён")</x:f>
        <x:v>Не оценён</x:v>
      </x:c>
      <x:c r="AE788" s="12" t="str">
        <x:f>IF(J788="Рассчитано","Выручка "&amp;TEXT(V788,"0.00")&amp;" - себестоимость "&amp;TEXT(W788,"0.00")&amp;" - комиссия "&amp;TEXT(V788*R788/100,"0.00")&amp;" - доставка "&amp;TEXT(P788,"0.00")&amp;" - прочие "&amp;TEXT(Q788,"0.00")&amp;" = "&amp;TEXT(G788,"0.00")&amp;" "&amp;L788,"Введите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8" s="23" t="n">
        <x:v>1.2783427259699345</x:v>
      </x:c>
      <x:c r="AG788" s="35" t="n">
        <x:v>14</x:v>
      </x:c>
      <x:c r="AH788" s="35" t="n">
        <x:v>0</x:v>
      </x:c>
      <x:c r="AI788" s="29" t="n">
        <x:v>46266</x:v>
      </x:c>
      <x:c r="AJ788" s="35" t="n">
        <x:v>10</x:v>
      </x:c>
      <x:c r="AK788" s="11" t="str">
        <x:v>минимум</x:v>
      </x:c>
      <x:c r="AL788" s="31" t="n">
        <x:v>931.3218139356835</x:v>
      </x:c>
      <x:c r="AM78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88" s="12" t="str">
        <x:v>Проверить свободный остаток и установить цену для B2B</x:v>
      </x:c>
      <x:c r="AO788" s="12" t="str">
        <x:v>Остаток 14; прогноз 90 дней 1.28; избыток 12 шт. Будущие поступления не выставляются на продажу. Остаток на начало сентября: требуется актуализация.</x:v>
      </x:c>
      <x:c r="AP788" s="12" t="str">
        <x:v>["category_missing", "daily_stockout_data_missing", "large_orders_detected", "new_order_lead_time_unknown", "reservations_unknown", "stale_stock"]</x:v>
      </x:c>
      <x:c r="AQ788" s="11" t="str">
        <x:v>IEK:200400002_</x:v>
      </x:c>
      <x:c r="AR788" s="23" t="n">
        <x:v>1</x:v>
      </x:c>
      <x:c r="AS788" s="23" t="n">
        <x:v>0</x:v>
      </x:c>
      <x:c r="AT788" s="23" t="n">
        <x:v>0</x:v>
      </x:c>
    </x:row>
    <x:row r="789" ht="64" customHeight="1">
      <x:c r="A789" s="10" t="str">
        <x:v>IEK</x:v>
      </x:c>
      <x:c r="B789" s="34" t="str">
        <x:v>200400003_</x:v>
      </x:c>
      <x:c r="C789" s="34" t="str">
        <x:v>EVK20-K01-10-DM</x:v>
      </x:c>
      <x:c r="D789" s="13" t="str">
        <x:v>I2  выкл. 2кл. 10А КВАРТА ВС 10-2-0-КБ (200)</x:v>
      </x:c>
      <x:c r="E789" s="10" t="str">
        <x:v>шт</x:v>
      </x:c>
      <x:c r="F789" s="37" t="n">
        <x:f>MAX(0,ROUNDDOWN((AG789-AF789)/AR789+0.000000001,0)*AR789)</x:f>
        <x:v>34</x:v>
      </x:c>
      <x:c r="G789" s="21" t="str">
        <x:f>IF(J789="Рассчитано",V789*(1-R789/100)-W789-P789-Q789,"н/д")</x:f>
        <x:v>н/д</x:v>
      </x:c>
      <x:c r="H789" s="13" t="str">
        <x:v>Высокий</x:v>
      </x:c>
      <x:c r="I789" s="13" t="str">
        <x:v>Высокий</x:v>
      </x:c>
      <x:c r="J789" s="13" t="str">
        <x:f>IF(L789="","Укажите валюту",IF(NOT(ISNUMBER(K789)),"Укажите объём",IF(K789&lt;=0,"Укажите объём",IF(K789&gt;F789,"Объём выше излишка",IF(COUNT(M789:O789)&lt;3,"Нужны цены",IF(COUNT(P789:R789)&lt;3,"Нужны расходы",IF(OR(M789&lt;0,N789&lt;0,O789&lt;0,O789&gt;100,P789&lt;0,Q789&lt;0,R789&lt;0,R789&gt;100),"Проверьте значения","Рассчитано")))))))</x:f>
        <x:v>Нужны цены</x:v>
      </x:c>
      <x:c r="K789" s="36" t="n">
        <x:v>34</x:v>
      </x:c>
      <x:c r="L789" s="19" t="str">
        <x:v>KZT</x:v>
      </x:c>
      <x:c r="M789" s="22"/>
      <x:c r="N789" s="22"/>
      <x:c r="O789" s="28"/>
      <x:c r="P789" s="22"/>
      <x:c r="Q789" s="22"/>
      <x:c r="R789" s="28"/>
      <x:c r="S789" s="22"/>
      <x:c r="T789" s="37" t="n">
        <x:f>K789</x:f>
        <x:v>34</x:v>
      </x:c>
      <x:c r="U789" s="21" t="str">
        <x:f>IF(J789="Рассчитано",N789*(1-O789/100),"н/д")</x:f>
        <x:v>н/д</x:v>
      </x:c>
      <x:c r="V789" s="21" t="str">
        <x:f>IF(J789="Рассчитано",T789*U789,"н/д")</x:f>
        <x:v>н/д</x:v>
      </x:c>
      <x:c r="W789" s="21" t="str">
        <x:f>IF(J789="Рассчитано",T789*M789,"н/д")</x:f>
        <x:v>н/д</x:v>
      </x:c>
      <x:c r="X789" s="21" t="str">
        <x:f>IF(J789="Рассчитано",V789-W789,"н/д")</x:f>
        <x:v>н/д</x:v>
      </x:c>
      <x:c r="Y789" s="27" t="str">
        <x:f>IF(J789="Рассчитано",IF(V789&gt;0,G789/V789,"н/д"),"н/д")</x:f>
        <x:v>н/д</x:v>
      </x:c>
      <x:c r="Z789" s="21" t="str">
        <x:f>"н/д"</x:f>
        <x:v>н/д</x:v>
      </x:c>
      <x:c r="AA789" s="21" t="str">
        <x:f>"н/д"</x:f>
        <x:v>н/д</x:v>
      </x:c>
      <x:c r="AB789" s="21" t="str">
        <x:f>"н/д"</x:f>
        <x:v>н/д</x:v>
      </x:c>
      <x:c r="AC789" s="21" t="str">
        <x:f>IF(AND(J789="Рассчитано",T789&gt;0,R789&lt;100),(W789+P789+Q789)/(T789*(1-R789/100)),"н/д")</x:f>
        <x:v>н/д</x:v>
      </x:c>
      <x:c r="AD789" s="10" t="str">
        <x:f>IF(ISNUMBER(G789),IF(G789&lt;0,"Убыток",IF(G789=0,"Без прибыли","Прибыль &gt; 0")),"Не оценён")</x:f>
        <x:v>Не оценён</x:v>
      </x:c>
      <x:c r="AE789" s="13" t="str">
        <x:f>IF(J789="Рассчитано","Выручка "&amp;TEXT(V789,"0.00")&amp;" - себестоимость "&amp;TEXT(W789,"0.00")&amp;" - комиссия "&amp;TEXT(V789*R789/100,"0.00")&amp;" - доставка "&amp;TEXT(P789,"0.00")&amp;" - прочие "&amp;TEXT(Q789,"0.00")&amp;" = "&amp;TEXT(G789,"0.00")&amp;" "&amp;L789,"Введите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9" s="24" t="n">
        <x:v>16.42557939756405</x:v>
      </x:c>
      <x:c r="AG789" s="37" t="n">
        <x:v>51</x:v>
      </x:c>
      <x:c r="AH789" s="37" t="n">
        <x:v>0</x:v>
      </x:c>
      <x:c r="AI789" s="30" t="n">
        <x:v>46266</x:v>
      </x:c>
      <x:c r="AJ789" s="37" t="n">
        <x:v>10</x:v>
      </x:c>
      <x:c r="AK789" s="10" t="str">
        <x:v>минимум</x:v>
      </x:c>
      <x:c r="AL789" s="32" t="n">
        <x:v>264.03926946526906</x:v>
      </x:c>
      <x:c r="AM78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89" s="13" t="str">
        <x:v>Проверить свободный остаток и установить цену для B2B</x:v>
      </x:c>
      <x:c r="AO789" s="13" t="str">
        <x:v>Остаток 51; прогноз 90 дней 16.43; избыток 34 шт. Будущие поступления не выставляются на продажу. Остаток на начало сентября: требуется актуализация.</x:v>
      </x:c>
      <x:c r="AP789" s="13" t="str">
        <x:v>["category_missing", "daily_stockout_data_missing", "large_orders_detected", "new_order_lead_time_unknown", "reservations_unknown", "stale_stock"]</x:v>
      </x:c>
      <x:c r="AQ789" s="10" t="str">
        <x:v>IEK:200400003_</x:v>
      </x:c>
      <x:c r="AR789" s="24" t="n">
        <x:v>1</x:v>
      </x:c>
      <x:c r="AS789" s="24" t="n">
        <x:v>0</x:v>
      </x:c>
      <x:c r="AT789" s="24" t="n">
        <x:v>0</x:v>
      </x:c>
    </x:row>
    <x:row r="790" ht="64" customHeight="1">
      <x:c r="A790" s="11" t="str">
        <x:v>IEK</x:v>
      </x:c>
      <x:c r="B790" s="33" t="str">
        <x:v>200400004_</x:v>
      </x:c>
      <x:c r="C790" s="33" t="str">
        <x:v>EVK21-K01-10-DM</x:v>
      </x:c>
      <x:c r="D790" s="12" t="str">
        <x:v>I4  выкл. 2кл. с инд.10А КВАРТА ВС 10-2-1-КБ (200)</x:v>
      </x:c>
      <x:c r="E790" s="11" t="str">
        <x:v>шт</x:v>
      </x:c>
      <x:c r="F790" s="35" t="n">
        <x:f>MAX(0,ROUNDDOWN((AG790-AF790)/AR790+0.000000001,0)*AR790)</x:f>
        <x:v>10</x:v>
      </x:c>
      <x:c r="G790" s="20" t="str">
        <x:f>IF(J790="Рассчитано",V790*(1-R790/100)-W790-P790-Q790,"н/д")</x:f>
        <x:v>н/д</x:v>
      </x:c>
      <x:c r="H790" s="12" t="str">
        <x:v>Высокий</x:v>
      </x:c>
      <x:c r="I790" s="12" t="str">
        <x:v>Высокий</x:v>
      </x:c>
      <x:c r="J790" s="12" t="str">
        <x:f>IF(L790="","Укажите валюту",IF(NOT(ISNUMBER(K790)),"Укажите объём",IF(K790&lt;=0,"Укажите объём",IF(K790&gt;F790,"Объём выше излишка",IF(COUNT(M790:O790)&lt;3,"Нужны цены",IF(COUNT(P790:R790)&lt;3,"Нужны расходы",IF(OR(M790&lt;0,N790&lt;0,O790&lt;0,O790&gt;100,P790&lt;0,Q790&lt;0,R790&lt;0,R790&gt;100),"Проверьте значения","Рассчитано")))))))</x:f>
        <x:v>Нужны цены</x:v>
      </x:c>
      <x:c r="K790" s="36" t="n">
        <x:v>10</x:v>
      </x:c>
      <x:c r="L790" s="19" t="str">
        <x:v>KZT</x:v>
      </x:c>
      <x:c r="M790" s="22"/>
      <x:c r="N790" s="22"/>
      <x:c r="O790" s="28"/>
      <x:c r="P790" s="22"/>
      <x:c r="Q790" s="22"/>
      <x:c r="R790" s="28"/>
      <x:c r="S790" s="22"/>
      <x:c r="T790" s="35" t="n">
        <x:f>K790</x:f>
        <x:v>10</x:v>
      </x:c>
      <x:c r="U790" s="20" t="str">
        <x:f>IF(J790="Рассчитано",N790*(1-O790/100),"н/д")</x:f>
        <x:v>н/д</x:v>
      </x:c>
      <x:c r="V790" s="20" t="str">
        <x:f>IF(J790="Рассчитано",T790*U790,"н/д")</x:f>
        <x:v>н/д</x:v>
      </x:c>
      <x:c r="W790" s="20" t="str">
        <x:f>IF(J790="Рассчитано",T790*M790,"н/д")</x:f>
        <x:v>н/д</x:v>
      </x:c>
      <x:c r="X790" s="20" t="str">
        <x:f>IF(J790="Рассчитано",V790-W790,"н/д")</x:f>
        <x:v>н/д</x:v>
      </x:c>
      <x:c r="Y790" s="26" t="str">
        <x:f>IF(J790="Рассчитано",IF(V790&gt;0,G790/V790,"н/д"),"н/д")</x:f>
        <x:v>н/д</x:v>
      </x:c>
      <x:c r="Z790" s="20" t="str">
        <x:f>"н/д"</x:f>
        <x:v>н/д</x:v>
      </x:c>
      <x:c r="AA790" s="20" t="str">
        <x:f>"н/д"</x:f>
        <x:v>н/д</x:v>
      </x:c>
      <x:c r="AB790" s="20" t="str">
        <x:f>"н/д"</x:f>
        <x:v>н/д</x:v>
      </x:c>
      <x:c r="AC790" s="20" t="str">
        <x:f>IF(AND(J790="Рассчитано",T790&gt;0,R790&lt;100),(W790+P790+Q790)/(T790*(1-R790/100)),"н/д")</x:f>
        <x:v>н/д</x:v>
      </x:c>
      <x:c r="AD790" s="11" t="str">
        <x:f>IF(ISNUMBER(G790),IF(G790&lt;0,"Убыток",IF(G790=0,"Без прибыли","Прибыль &gt; 0")),"Не оценён")</x:f>
        <x:v>Не оценён</x:v>
      </x:c>
      <x:c r="AE790" s="12" t="str">
        <x:f>IF(J790="Рассчитано","Выручка "&amp;TEXT(V790,"0.00")&amp;" - себестоимость "&amp;TEXT(W790,"0.00")&amp;" - комиссия "&amp;TEXT(V790*R790/100,"0.00")&amp;" - доставка "&amp;TEXT(P790,"0.00")&amp;" - прочие "&amp;TEXT(Q790,"0.00")&amp;" = "&amp;TEXT(G790,"0.00")&amp;" "&amp;L790,"Введите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0" s="23" t="n">
        <x:v>1.6252172194445218</x:v>
      </x:c>
      <x:c r="AG790" s="35" t="n">
        <x:v>12</x:v>
      </x:c>
      <x:c r="AH790" s="35" t="n">
        <x:v>0</x:v>
      </x:c>
      <x:c r="AI790" s="29" t="n">
        <x:v>46266</x:v>
      </x:c>
      <x:c r="AJ790" s="35" t="n">
        <x:v>10</x:v>
      </x:c>
      <x:c r="AK790" s="11" t="str">
        <x:v>минимум</x:v>
      </x:c>
      <x:c r="AL790" s="31" t="n">
        <x:v>627.8976753583339</x:v>
      </x:c>
      <x:c r="AM79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90" s="12" t="str">
        <x:v>Проверить свободный остаток и установить цену для B2B</x:v>
      </x:c>
      <x:c r="AO790" s="12" t="str">
        <x:v>Остаток 12; прогноз 90 дней 1.63; избыток 10 шт. Будущие поступления не выставляются на продажу. Остаток на начало сентября: требуется актуализация.</x:v>
      </x:c>
      <x:c r="AP790" s="12" t="str">
        <x:v>["category_missing", "daily_stockout_data_missing", "new_order_lead_time_unknown", "reservations_unknown", "stale_stock"]</x:v>
      </x:c>
      <x:c r="AQ790" s="11" t="str">
        <x:v>IEK:200400004_</x:v>
      </x:c>
      <x:c r="AR790" s="23" t="n">
        <x:v>1</x:v>
      </x:c>
      <x:c r="AS790" s="23" t="n">
        <x:v>0</x:v>
      </x:c>
      <x:c r="AT790" s="23" t="n">
        <x:v>0</x:v>
      </x:c>
    </x:row>
    <x:row r="791" ht="64" customHeight="1">
      <x:c r="A791" s="10" t="str">
        <x:v>IEK</x:v>
      </x:c>
      <x:c r="B791" s="34" t="str">
        <x:v>200400007_</x:v>
      </x:c>
      <x:c r="C791" s="34" t="str">
        <x:v>ERK11-K01-16-DM</x:v>
      </x:c>
      <x:c r="D791" s="13" t="str">
        <x:v>I6 А роз. с/у з/к с/ш 16А КВАРТА РСш 10-3-КБ (200)</x:v>
      </x:c>
      <x:c r="E791" s="10" t="str">
        <x:v>шт</x:v>
      </x:c>
      <x:c r="F791" s="37" t="n">
        <x:f>MAX(0,ROUNDDOWN((AG791-AF791)/AR791+0.000000001,0)*AR791)</x:f>
        <x:v>13</x:v>
      </x:c>
      <x:c r="G791" s="21" t="str">
        <x:f>IF(J791="Рассчитано",V791*(1-R791/100)-W791-P791-Q791,"н/д")</x:f>
        <x:v>н/д</x:v>
      </x:c>
      <x:c r="H791" s="13" t="str">
        <x:v>Высокий</x:v>
      </x:c>
      <x:c r="I791" s="13" t="str">
        <x:v>Высокий</x:v>
      </x:c>
      <x:c r="J791" s="13" t="str">
        <x:f>IF(L791="","Укажите валюту",IF(NOT(ISNUMBER(K791)),"Укажите объём",IF(K791&lt;=0,"Укажите объём",IF(K791&gt;F791,"Объём выше излишка",IF(COUNT(M791:O791)&lt;3,"Нужны цены",IF(COUNT(P791:R791)&lt;3,"Нужны расходы",IF(OR(M791&lt;0,N791&lt;0,O791&lt;0,O791&gt;100,P791&lt;0,Q791&lt;0,R791&lt;0,R791&gt;100),"Проверьте значения","Рассчитано")))))))</x:f>
        <x:v>Нужны цены</x:v>
      </x:c>
      <x:c r="K791" s="36" t="n">
        <x:v>13</x:v>
      </x:c>
      <x:c r="L791" s="19" t="str">
        <x:v>KZT</x:v>
      </x:c>
      <x:c r="M791" s="22"/>
      <x:c r="N791" s="22"/>
      <x:c r="O791" s="28"/>
      <x:c r="P791" s="22"/>
      <x:c r="Q791" s="22"/>
      <x:c r="R791" s="28"/>
      <x:c r="S791" s="22"/>
      <x:c r="T791" s="37" t="n">
        <x:f>K791</x:f>
        <x:v>13</x:v>
      </x:c>
      <x:c r="U791" s="21" t="str">
        <x:f>IF(J791="Рассчитано",N791*(1-O791/100),"н/д")</x:f>
        <x:v>н/д</x:v>
      </x:c>
      <x:c r="V791" s="21" t="str">
        <x:f>IF(J791="Рассчитано",T791*U791,"н/д")</x:f>
        <x:v>н/д</x:v>
      </x:c>
      <x:c r="W791" s="21" t="str">
        <x:f>IF(J791="Рассчитано",T791*M791,"н/д")</x:f>
        <x:v>н/д</x:v>
      </x:c>
      <x:c r="X791" s="21" t="str">
        <x:f>IF(J791="Рассчитано",V791-W791,"н/д")</x:f>
        <x:v>н/д</x:v>
      </x:c>
      <x:c r="Y791" s="27" t="str">
        <x:f>IF(J791="Рассчитано",IF(V791&gt;0,G791/V791,"н/д"),"н/д")</x:f>
        <x:v>н/д</x:v>
      </x:c>
      <x:c r="Z791" s="21" t="str">
        <x:f>"н/д"</x:f>
        <x:v>н/д</x:v>
      </x:c>
      <x:c r="AA791" s="21" t="str">
        <x:f>"н/д"</x:f>
        <x:v>н/д</x:v>
      </x:c>
      <x:c r="AB791" s="21" t="str">
        <x:f>"н/д"</x:f>
        <x:v>н/д</x:v>
      </x:c>
      <x:c r="AC791" s="21" t="str">
        <x:f>IF(AND(J791="Рассчитано",T791&gt;0,R791&lt;100),(W791+P791+Q791)/(T791*(1-R791/100)),"н/д")</x:f>
        <x:v>н/д</x:v>
      </x:c>
      <x:c r="AD791" s="10" t="str">
        <x:f>IF(ISNUMBER(G791),IF(G791&lt;0,"Убыток",IF(G791=0,"Без прибыли","Прибыль &gt; 0")),"Не оценён")</x:f>
        <x:v>Не оценён</x:v>
      </x:c>
      <x:c r="AE791" s="13" t="str">
        <x:f>IF(J791="Рассчитано","Выручка "&amp;TEXT(V791,"0.00")&amp;" - себестоимость "&amp;TEXT(W791,"0.00")&amp;" - комиссия "&amp;TEXT(V791*R791/100,"0.00")&amp;" - доставка "&amp;TEXT(P791,"0.00")&amp;" - прочие "&amp;TEXT(Q791,"0.00")&amp;" = "&amp;TEXT(G791,"0.00")&amp;" "&amp;L791,"Введите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1" s="24" t="n">
        <x:v>11.199738834846979</x:v>
      </x:c>
      <x:c r="AG791" s="37" t="n">
        <x:v>25</x:v>
      </x:c>
      <x:c r="AH791" s="37" t="n">
        <x:v>0</x:v>
      </x:c>
      <x:c r="AI791" s="30" t="n">
        <x:v>46266</x:v>
      </x:c>
      <x:c r="AJ791" s="37" t="n">
        <x:v>10</x:v>
      </x:c>
      <x:c r="AK791" s="10" t="str">
        <x:v>минимум</x:v>
      </x:c>
      <x:c r="AL791" s="32" t="n">
        <x:v>189.8240160420915</x:v>
      </x:c>
      <x:c r="AM79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91" s="13" t="str">
        <x:v>Проверить свободный остаток и установить цену для B2B</x:v>
      </x:c>
      <x:c r="AO791" s="13" t="str">
        <x:v>Остаток 25; прогноз 90 дней 11.20; избыток 13 шт. Будущие поступления не выставляются на продажу. Остаток на начало сентября: требуется актуализация.</x:v>
      </x:c>
      <x:c r="AP791" s="13" t="str">
        <x:v>["category_missing", "daily_stockout_data_missing", "new_order_lead_time_unknown", "reservations_unknown", "stale_stock"]</x:v>
      </x:c>
      <x:c r="AQ791" s="10" t="str">
        <x:v>IEK:200400007_</x:v>
      </x:c>
      <x:c r="AR791" s="24" t="n">
        <x:v>1</x:v>
      </x:c>
      <x:c r="AS791" s="24" t="n">
        <x:v>0</x:v>
      </x:c>
      <x:c r="AT791" s="24" t="n">
        <x:v>0</x:v>
      </x:c>
    </x:row>
    <x:row r="792" ht="64" customHeight="1">
      <x:c r="A792" s="11" t="str">
        <x:v>IEK</x:v>
      </x:c>
      <x:c r="B792" s="33" t="str">
        <x:v>200400011_</x:v>
      </x:c>
      <x:c r="C792" s="33" t="str">
        <x:v>ETK10-K01-DM</x:v>
      </x:c>
      <x:c r="D792" s="12" t="str">
        <x:v>I11 розетка тел. КВАРТА РТ10-КБ (10/200)</x:v>
      </x:c>
      <x:c r="E792" s="11" t="str">
        <x:v>шт</x:v>
      </x:c>
      <x:c r="F792" s="35" t="n">
        <x:f>MAX(0,ROUNDDOWN((AG792-AF792)/AR792+0.000000001,0)*AR792)</x:f>
        <x:v>24</x:v>
      </x:c>
      <x:c r="G792" s="20" t="str">
        <x:f>IF(J792="Рассчитано",V792*(1-R792/100)-W792-P792-Q792,"н/д")</x:f>
        <x:v>н/д</x:v>
      </x:c>
      <x:c r="H792" s="12" t="str">
        <x:v>Высокий</x:v>
      </x:c>
      <x:c r="I792" s="12" t="str">
        <x:v>Высокий</x:v>
      </x:c>
      <x:c r="J792" s="12" t="str">
        <x:f>IF(L792="","Укажите валюту",IF(NOT(ISNUMBER(K792)),"Укажите объём",IF(K792&lt;=0,"Укажите объём",IF(K792&gt;F792,"Объём выше излишка",IF(COUNT(M792:O792)&lt;3,"Нужны цены",IF(COUNT(P792:R792)&lt;3,"Нужны расходы",IF(OR(M792&lt;0,N792&lt;0,O792&lt;0,O792&gt;100,P792&lt;0,Q792&lt;0,R792&lt;0,R792&gt;100),"Проверьте значения","Рассчитано")))))))</x:f>
        <x:v>Нужны цены</x:v>
      </x:c>
      <x:c r="K792" s="36" t="n">
        <x:v>24</x:v>
      </x:c>
      <x:c r="L792" s="19" t="str">
        <x:v>KZT</x:v>
      </x:c>
      <x:c r="M792" s="22"/>
      <x:c r="N792" s="22"/>
      <x:c r="O792" s="28"/>
      <x:c r="P792" s="22"/>
      <x:c r="Q792" s="22"/>
      <x:c r="R792" s="28"/>
      <x:c r="S792" s="22"/>
      <x:c r="T792" s="35" t="n">
        <x:f>K792</x:f>
        <x:v>24</x:v>
      </x:c>
      <x:c r="U792" s="20" t="str">
        <x:f>IF(J792="Рассчитано",N792*(1-O792/100),"н/д")</x:f>
        <x:v>н/д</x:v>
      </x:c>
      <x:c r="V792" s="20" t="str">
        <x:f>IF(J792="Рассчитано",T792*U792,"н/д")</x:f>
        <x:v>н/д</x:v>
      </x:c>
      <x:c r="W792" s="20" t="str">
        <x:f>IF(J792="Рассчитано",T792*M792,"н/д")</x:f>
        <x:v>н/д</x:v>
      </x:c>
      <x:c r="X792" s="20" t="str">
        <x:f>IF(J792="Рассчитано",V792-W792,"н/д")</x:f>
        <x:v>н/д</x:v>
      </x:c>
      <x:c r="Y792" s="26" t="str">
        <x:f>IF(J792="Рассчитано",IF(V792&gt;0,G792/V792,"н/д"),"н/д")</x:f>
        <x:v>н/д</x:v>
      </x:c>
      <x:c r="Z792" s="20" t="str">
        <x:f>"н/д"</x:f>
        <x:v>н/д</x:v>
      </x:c>
      <x:c r="AA792" s="20" t="str">
        <x:f>"н/д"</x:f>
        <x:v>н/д</x:v>
      </x:c>
      <x:c r="AB792" s="20" t="str">
        <x:f>"н/д"</x:f>
        <x:v>н/д</x:v>
      </x:c>
      <x:c r="AC792" s="20" t="str">
        <x:f>IF(AND(J792="Рассчитано",T792&gt;0,R792&lt;100),(W792+P792+Q792)/(T792*(1-R792/100)),"н/д")</x:f>
        <x:v>н/д</x:v>
      </x:c>
      <x:c r="AD792" s="11" t="str">
        <x:f>IF(ISNUMBER(G792),IF(G792&lt;0,"Убыток",IF(G792=0,"Без прибыли","Прибыль &gt; 0")),"Не оценён")</x:f>
        <x:v>Не оценён</x:v>
      </x:c>
      <x:c r="AE792" s="12" t="str">
        <x:f>IF(J792="Рассчитано","Выручка "&amp;TEXT(V792,"0.00")&amp;" - себестоимость "&amp;TEXT(W792,"0.00")&amp;" - комиссия "&amp;TEXT(V792*R792/100,"0.00")&amp;" - доставка "&amp;TEXT(P792,"0.00")&amp;" - прочие "&amp;TEXT(Q792,"0.00")&amp;" = "&amp;TEXT(G792,"0.00")&amp;" "&amp;L792,"Введите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2" s="23" t="n">
        <x:v>0</x:v>
      </x:c>
      <x:c r="AG792" s="35" t="n">
        <x:v>24</x:v>
      </x:c>
      <x:c r="AH792" s="35" t="n">
        <x:v>0</x:v>
      </x:c>
      <x:c r="AI792" s="29" t="n">
        <x:v>46266</x:v>
      </x:c>
      <x:c r="AJ792" s="35" t="n">
        <x:v>10</x:v>
      </x:c>
      <x:c r="AK792" s="11" t="str">
        <x:v>минимум</x:v>
      </x:c>
      <x:c r="AL792" s="31" t="str">
        <x:v>н/д</x:v>
      </x:c>
      <x:c r="AM79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792" s="12" t="str">
        <x:v>Проверить свободный остаток и установить цену для B2B</x:v>
      </x:c>
      <x:c r="AO792" s="12" t="str">
        <x:v>Остаток 24; прогноз 90 дней 0.00; избыток 24 шт. Будущие поступления не выставляются на продажу. Остаток на начало сентября: требуется актуализация.</x:v>
      </x:c>
      <x:c r="AP792" s="12" t="str">
        <x:v>["category_missing", "daily_stockout_data_missing", "new_order_lead_time_unknown", "reservations_unknown", "stale_stock"]</x:v>
      </x:c>
      <x:c r="AQ792" s="11" t="str">
        <x:v>IEK:200400011_</x:v>
      </x:c>
      <x:c r="AR792" s="23" t="n">
        <x:v>1</x:v>
      </x:c>
      <x:c r="AS792" s="23" t="n">
        <x:v>0</x:v>
      </x:c>
      <x:c r="AT792" s="23" t="n">
        <x:v>0</x:v>
      </x:c>
    </x:row>
    <x:row r="793" ht="64" customHeight="1">
      <x:c r="A793" s="10" t="str">
        <x:v>IEK</x:v>
      </x:c>
      <x:c r="B793" s="34" t="str">
        <x:v>200400014_</x:v>
      </x:c>
      <x:c r="C793" s="34" t="str">
        <x:v>EIK10-K01-DM</x:v>
      </x:c>
      <x:c r="D793" s="13" t="str">
        <x:v>I14 роз. 2-я комп+тел КВАРТА РК/Т12-КБ (200)</x:v>
      </x:c>
      <x:c r="E793" s="10" t="str">
        <x:v>шт</x:v>
      </x:c>
      <x:c r="F793" s="37" t="n">
        <x:f>MAX(0,ROUNDDOWN((AG793-AF793)/AR793+0.000000001,0)*AR793)</x:f>
        <x:v>8</x:v>
      </x:c>
      <x:c r="G793" s="21" t="str">
        <x:f>IF(J793="Рассчитано",V793*(1-R793/100)-W793-P793-Q793,"н/д")</x:f>
        <x:v>н/д</x:v>
      </x:c>
      <x:c r="H793" s="13" t="str">
        <x:v>Высокий</x:v>
      </x:c>
      <x:c r="I793" s="13" t="str">
        <x:v>Высокий</x:v>
      </x:c>
      <x:c r="J793" s="13" t="str">
        <x:f>IF(L793="","Укажите валюту",IF(NOT(ISNUMBER(K793)),"Укажите объём",IF(K793&lt;=0,"Укажите объём",IF(K793&gt;F793,"Объём выше излишка",IF(COUNT(M793:O793)&lt;3,"Нужны цены",IF(COUNT(P793:R793)&lt;3,"Нужны расходы",IF(OR(M793&lt;0,N793&lt;0,O793&lt;0,O793&gt;100,P793&lt;0,Q793&lt;0,R793&lt;0,R793&gt;100),"Проверьте значения","Рассчитано")))))))</x:f>
        <x:v>Нужны цены</x:v>
      </x:c>
      <x:c r="K793" s="36" t="n">
        <x:v>8</x:v>
      </x:c>
      <x:c r="L793" s="19" t="str">
        <x:v>KZT</x:v>
      </x:c>
      <x:c r="M793" s="22"/>
      <x:c r="N793" s="22"/>
      <x:c r="O793" s="28"/>
      <x:c r="P793" s="22"/>
      <x:c r="Q793" s="22"/>
      <x:c r="R793" s="28"/>
      <x:c r="S793" s="22"/>
      <x:c r="T793" s="37" t="n">
        <x:f>K793</x:f>
        <x:v>8</x:v>
      </x:c>
      <x:c r="U793" s="21" t="str">
        <x:f>IF(J793="Рассчитано",N793*(1-O793/100),"н/д")</x:f>
        <x:v>н/д</x:v>
      </x:c>
      <x:c r="V793" s="21" t="str">
        <x:f>IF(J793="Рассчитано",T793*U793,"н/д")</x:f>
        <x:v>н/д</x:v>
      </x:c>
      <x:c r="W793" s="21" t="str">
        <x:f>IF(J793="Рассчитано",T793*M793,"н/д")</x:f>
        <x:v>н/д</x:v>
      </x:c>
      <x:c r="X793" s="21" t="str">
        <x:f>IF(J793="Рассчитано",V793-W793,"н/д")</x:f>
        <x:v>н/д</x:v>
      </x:c>
      <x:c r="Y793" s="27" t="str">
        <x:f>IF(J793="Рассчитано",IF(V793&gt;0,G793/V793,"н/д"),"н/д")</x:f>
        <x:v>н/д</x:v>
      </x:c>
      <x:c r="Z793" s="21" t="str">
        <x:f>"н/д"</x:f>
        <x:v>н/д</x:v>
      </x:c>
      <x:c r="AA793" s="21" t="str">
        <x:f>"н/д"</x:f>
        <x:v>н/д</x:v>
      </x:c>
      <x:c r="AB793" s="21" t="str">
        <x:f>"н/д"</x:f>
        <x:v>н/д</x:v>
      </x:c>
      <x:c r="AC793" s="21" t="str">
        <x:f>IF(AND(J793="Рассчитано",T793&gt;0,R793&lt;100),(W793+P793+Q793)/(T793*(1-R793/100)),"н/д")</x:f>
        <x:v>н/д</x:v>
      </x:c>
      <x:c r="AD793" s="10" t="str">
        <x:f>IF(ISNUMBER(G793),IF(G793&lt;0,"Убыток",IF(G793=0,"Без прибыли","Прибыль &gt; 0")),"Не оценён")</x:f>
        <x:v>Не оценён</x:v>
      </x:c>
      <x:c r="AE793" s="13" t="str">
        <x:f>IF(J793="Рассчитано","Выручка "&amp;TEXT(V793,"0.00")&amp;" - себестоимость "&amp;TEXT(W793,"0.00")&amp;" - комиссия "&amp;TEXT(V793*R793/100,"0.00")&amp;" - доставка "&amp;TEXT(P793,"0.00")&amp;" - прочие "&amp;TEXT(Q793,"0.00")&amp;" = "&amp;TEXT(G793,"0.00")&amp;" "&amp;L793,"Введите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3" s="24" t="n">
        <x:v>0.7999813453462122</x:v>
      </x:c>
      <x:c r="AG793" s="37" t="n">
        <x:v>9</x:v>
      </x:c>
      <x:c r="AH793" s="37" t="n">
        <x:v>0</x:v>
      </x:c>
      <x:c r="AI793" s="30" t="n">
        <x:v>46266</x:v>
      </x:c>
      <x:c r="AJ793" s="37" t="n">
        <x:v>10</x:v>
      </x:c>
      <x:c r="AK793" s="10" t="str">
        <x:v>минимум</x:v>
      </x:c>
      <x:c r="AL793" s="32" t="n">
        <x:v>956.7130408521405</x:v>
      </x:c>
      <x:c r="AM79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93" s="13" t="str">
        <x:v>Проверить свободный остаток и установить цену для B2B</x:v>
      </x:c>
      <x:c r="AO793" s="13" t="str">
        <x:v>Остаток 9; прогноз 90 дней 0.80; избыток 8 шт. Будущие поступления не выставляются на продажу. Остаток на начало сентября: требуется актуализация.</x:v>
      </x:c>
      <x:c r="AP793" s="13" t="str">
        <x:v>["category_missing", "daily_stockout_data_missing", "new_order_lead_time_unknown", "reservations_unknown", "stale_stock"]</x:v>
      </x:c>
      <x:c r="AQ793" s="10" t="str">
        <x:v>IEK:200400014_</x:v>
      </x:c>
      <x:c r="AR793" s="24" t="n">
        <x:v>1</x:v>
      </x:c>
      <x:c r="AS793" s="24" t="n">
        <x:v>0</x:v>
      </x:c>
      <x:c r="AT793" s="24" t="n">
        <x:v>0</x:v>
      </x:c>
    </x:row>
    <x:row r="794" ht="64" customHeight="1">
      <x:c r="A794" s="11" t="str">
        <x:v>IEK</x:v>
      </x:c>
      <x:c r="B794" s="33" t="str">
        <x:v>200400016_</x:v>
      </x:c>
      <x:c r="C794" s="33" t="str">
        <x:v>EMK20-K01-DM</x:v>
      </x:c>
      <x:c r="D794" s="12" t="str">
        <x:v>I15 Рамка 2-я КВАРТА (760)</x:v>
      </x:c>
      <x:c r="E794" s="11" t="str">
        <x:v>шт</x:v>
      </x:c>
      <x:c r="F794" s="35" t="n">
        <x:f>MAX(0,ROUNDDOWN((AG794-AF794)/AR794+0.000000001,0)*AR794)</x:f>
        <x:v>1</x:v>
      </x:c>
      <x:c r="G794" s="20" t="str">
        <x:f>IF(J794="Рассчитано",V794*(1-R794/100)-W794-P794-Q794,"н/д")</x:f>
        <x:v>н/д</x:v>
      </x:c>
      <x:c r="H794" s="12" t="str">
        <x:v>Высокий</x:v>
      </x:c>
      <x:c r="I794" s="12" t="str">
        <x:v>Средний</x:v>
      </x:c>
      <x:c r="J794" s="12" t="str">
        <x:f>IF(L794="","Укажите валюту",IF(NOT(ISNUMBER(K794)),"Укажите объём",IF(K794&lt;=0,"Укажите объём",IF(K794&gt;F794,"Объём выше излишка",IF(COUNT(M794:O794)&lt;3,"Нужны цены",IF(COUNT(P794:R794)&lt;3,"Нужны расходы",IF(OR(M794&lt;0,N794&lt;0,O794&lt;0,O794&gt;100,P794&lt;0,Q794&lt;0,R794&lt;0,R794&gt;100),"Проверьте значения","Рассчитано")))))))</x:f>
        <x:v>Нужны цены</x:v>
      </x:c>
      <x:c r="K794" s="36" t="n">
        <x:v>1</x:v>
      </x:c>
      <x:c r="L794" s="19" t="str">
        <x:v>KZT</x:v>
      </x:c>
      <x:c r="M794" s="22"/>
      <x:c r="N794" s="22"/>
      <x:c r="O794" s="28"/>
      <x:c r="P794" s="22"/>
      <x:c r="Q794" s="22"/>
      <x:c r="R794" s="28"/>
      <x:c r="S794" s="22"/>
      <x:c r="T794" s="35" t="n">
        <x:f>K794</x:f>
        <x:v>1</x:v>
      </x:c>
      <x:c r="U794" s="20" t="str">
        <x:f>IF(J794="Рассчитано",N794*(1-O794/100),"н/д")</x:f>
        <x:v>н/д</x:v>
      </x:c>
      <x:c r="V794" s="20" t="str">
        <x:f>IF(J794="Рассчитано",T794*U794,"н/д")</x:f>
        <x:v>н/д</x:v>
      </x:c>
      <x:c r="W794" s="20" t="str">
        <x:f>IF(J794="Рассчитано",T794*M794,"н/д")</x:f>
        <x:v>н/д</x:v>
      </x:c>
      <x:c r="X794" s="20" t="str">
        <x:f>IF(J794="Рассчитано",V794-W794,"н/д")</x:f>
        <x:v>н/д</x:v>
      </x:c>
      <x:c r="Y794" s="26" t="str">
        <x:f>IF(J794="Рассчитано",IF(V794&gt;0,G794/V794,"н/д"),"н/д")</x:f>
        <x:v>н/д</x:v>
      </x:c>
      <x:c r="Z794" s="20" t="str">
        <x:f>"н/д"</x:f>
        <x:v>н/д</x:v>
      </x:c>
      <x:c r="AA794" s="20" t="str">
        <x:f>"н/д"</x:f>
        <x:v>н/д</x:v>
      </x:c>
      <x:c r="AB794" s="20" t="str">
        <x:f>"н/д"</x:f>
        <x:v>н/д</x:v>
      </x:c>
      <x:c r="AC794" s="20" t="str">
        <x:f>IF(AND(J794="Рассчитано",T794&gt;0,R794&lt;100),(W794+P794+Q794)/(T794*(1-R794/100)),"н/д")</x:f>
        <x:v>н/д</x:v>
      </x:c>
      <x:c r="AD794" s="11" t="str">
        <x:f>IF(ISNUMBER(G794),IF(G794&lt;0,"Убыток",IF(G794=0,"Без прибыли","Прибыль &gt; 0")),"Не оценён")</x:f>
        <x:v>Не оценён</x:v>
      </x:c>
      <x:c r="AE794" s="12" t="str">
        <x:f>IF(J794="Рассчитано","Выручка "&amp;TEXT(V794,"0.00")&amp;" - себестоимость "&amp;TEXT(W794,"0.00")&amp;" - комиссия "&amp;TEXT(V794*R794/100,"0.00")&amp;" - доставка "&amp;TEXT(P794,"0.00")&amp;" - прочие "&amp;TEXT(Q794,"0.00")&amp;" = "&amp;TEXT(G794,"0.00")&amp;" "&amp;L794,"Введите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4" s="23" t="n">
        <x:v>2.040974563217429</x:v>
      </x:c>
      <x:c r="AG794" s="35" t="n">
        <x:v>4</x:v>
      </x:c>
      <x:c r="AH794" s="35" t="n">
        <x:v>0</x:v>
      </x:c>
      <x:c r="AI794" s="29" t="n">
        <x:v>46266</x:v>
      </x:c>
      <x:c r="AJ794" s="35" t="n">
        <x:v>38</x:v>
      </x:c>
      <x:c r="AK794" s="11" t="str">
        <x:v>минимум</x:v>
      </x:c>
      <x:c r="AL794" s="31" t="n">
        <x:v>166.6638628480931</x:v>
      </x:c>
      <x:c r="AM794" s="12" t="str">
        <x:v>Остаток на начало сентября; Резервы неизвестны; Нет ежедневных данных доступности. Запас выше прогноза на 90 дней</x:v>
      </x:c>
      <x:c r="AN794" s="12" t="str">
        <x:v>Проверить свободный остаток и установить цену для B2B</x:v>
      </x:c>
      <x:c r="AO794" s="12" t="str">
        <x:v>Остаток 4; прогноз 90 дней 2.04; избыток 1 шт. Будущие поступления не выставляются на продажу. Остаток на начало сентября: требуется актуализация.</x:v>
      </x:c>
      <x:c r="AP794" s="12" t="str">
        <x:v>["category_missing", "daily_stockout_data_missing", "new_order_lead_time_unknown", "reservations_unknown", "stale_stock"]</x:v>
      </x:c>
      <x:c r="AQ794" s="11" t="str">
        <x:v>IEK:200400016_</x:v>
      </x:c>
      <x:c r="AR794" s="23" t="n">
        <x:v>1</x:v>
      </x:c>
      <x:c r="AS794" s="23" t="n">
        <x:v>0</x:v>
      </x:c>
      <x:c r="AT794" s="23" t="n">
        <x:v>0</x:v>
      </x:c>
    </x:row>
    <x:row r="795" ht="64" customHeight="1">
      <x:c r="A795" s="10" t="str">
        <x:v>IEK</x:v>
      </x:c>
      <x:c r="B795" s="34" t="str">
        <x:v>200400017_</x:v>
      </x:c>
      <x:c r="C795" s="34" t="str">
        <x:v>EMK30-K01-DM</x:v>
      </x:c>
      <x:c r="D795" s="13" t="str">
        <x:v>I16 Рамка 3-я КВАРТА (500)</x:v>
      </x:c>
      <x:c r="E795" s="10" t="str">
        <x:v>шт</x:v>
      </x:c>
      <x:c r="F795" s="37" t="n">
        <x:f>MAX(0,ROUNDDOWN((AG795-AF795)/AR795+0.000000001,0)*AR795)</x:f>
        <x:v>21</x:v>
      </x:c>
      <x:c r="G795" s="21" t="str">
        <x:f>IF(J795="Рассчитано",V795*(1-R795/100)-W795-P795-Q795,"н/д")</x:f>
        <x:v>н/д</x:v>
      </x:c>
      <x:c r="H795" s="13" t="str">
        <x:v>Высокий</x:v>
      </x:c>
      <x:c r="I795" s="13" t="str">
        <x:v>Высокий</x:v>
      </x:c>
      <x:c r="J795" s="13" t="str">
        <x:f>IF(L795="","Укажите валюту",IF(NOT(ISNUMBER(K795)),"Укажите объём",IF(K795&lt;=0,"Укажите объём",IF(K795&gt;F795,"Объём выше излишка",IF(COUNT(M795:O795)&lt;3,"Нужны цены",IF(COUNT(P795:R795)&lt;3,"Нужны расходы",IF(OR(M795&lt;0,N795&lt;0,O795&lt;0,O795&gt;100,P795&lt;0,Q795&lt;0,R795&lt;0,R795&gt;100),"Проверьте значения","Рассчитано")))))))</x:f>
        <x:v>Нужны цены</x:v>
      </x:c>
      <x:c r="K795" s="36" t="n">
        <x:v>21</x:v>
      </x:c>
      <x:c r="L795" s="19" t="str">
        <x:v>KZT</x:v>
      </x:c>
      <x:c r="M795" s="22"/>
      <x:c r="N795" s="22"/>
      <x:c r="O795" s="28"/>
      <x:c r="P795" s="22"/>
      <x:c r="Q795" s="22"/>
      <x:c r="R795" s="28"/>
      <x:c r="S795" s="22"/>
      <x:c r="T795" s="37" t="n">
        <x:f>K795</x:f>
        <x:v>21</x:v>
      </x:c>
      <x:c r="U795" s="21" t="str">
        <x:f>IF(J795="Рассчитано",N795*(1-O795/100),"н/д")</x:f>
        <x:v>н/д</x:v>
      </x:c>
      <x:c r="V795" s="21" t="str">
        <x:f>IF(J795="Рассчитано",T795*U795,"н/д")</x:f>
        <x:v>н/д</x:v>
      </x:c>
      <x:c r="W795" s="21" t="str">
        <x:f>IF(J795="Рассчитано",T795*M795,"н/д")</x:f>
        <x:v>н/д</x:v>
      </x:c>
      <x:c r="X795" s="21" t="str">
        <x:f>IF(J795="Рассчитано",V795-W795,"н/д")</x:f>
        <x:v>н/д</x:v>
      </x:c>
      <x:c r="Y795" s="27" t="str">
        <x:f>IF(J795="Рассчитано",IF(V795&gt;0,G795/V795,"н/д"),"н/д")</x:f>
        <x:v>н/д</x:v>
      </x:c>
      <x:c r="Z795" s="21" t="str">
        <x:f>"н/д"</x:f>
        <x:v>н/д</x:v>
      </x:c>
      <x:c r="AA795" s="21" t="str">
        <x:f>"н/д"</x:f>
        <x:v>н/д</x:v>
      </x:c>
      <x:c r="AB795" s="21" t="str">
        <x:f>"н/д"</x:f>
        <x:v>н/д</x:v>
      </x:c>
      <x:c r="AC795" s="21" t="str">
        <x:f>IF(AND(J795="Рассчитано",T795&gt;0,R795&lt;100),(W795+P795+Q795)/(T795*(1-R795/100)),"н/д")</x:f>
        <x:v>н/д</x:v>
      </x:c>
      <x:c r="AD795" s="10" t="str">
        <x:f>IF(ISNUMBER(G795),IF(G795&lt;0,"Убыток",IF(G795=0,"Без прибыли","Прибыль &gt; 0")),"Не оценён")</x:f>
        <x:v>Не оценён</x:v>
      </x:c>
      <x:c r="AE795" s="13" t="str">
        <x:f>IF(J795="Рассчитано","Выручка "&amp;TEXT(V795,"0.00")&amp;" - себестоимость "&amp;TEXT(W795,"0.00")&amp;" - комиссия "&amp;TEXT(V795*R795/100,"0.00")&amp;" - доставка "&amp;TEXT(P795,"0.00")&amp;" - прочие "&amp;TEXT(Q795,"0.00")&amp;" = "&amp;TEXT(G795,"0.00")&amp;" "&amp;L795,"Введите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5" s="24" t="n">
        <x:v>1.1894828334798284</x:v>
      </x:c>
      <x:c r="AG795" s="37" t="n">
        <x:v>23</x:v>
      </x:c>
      <x:c r="AH795" s="37" t="n">
        <x:v>0</x:v>
      </x:c>
      <x:c r="AI795" s="30" t="n">
        <x:v>46266</x:v>
      </x:c>
      <x:c r="AJ795" s="37" t="n">
        <x:v>25</x:v>
      </x:c>
      <x:c r="AK795" s="10" t="str">
        <x:v>минимум</x:v>
      </x:c>
      <x:c r="AL795" s="32" t="n">
        <x:v>1644.328944362303</x:v>
      </x:c>
      <x:c r="AM79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95" s="13" t="str">
        <x:v>Проверить свободный остаток и установить цену для B2B</x:v>
      </x:c>
      <x:c r="AO795" s="13" t="str">
        <x:v>Остаток 23; прогноз 90 дней 1.19; избыток 21 шт. Будущие поступления не выставляются на продажу. Остаток на начало сентября: требуется актуализация.</x:v>
      </x:c>
      <x:c r="AP795" s="13" t="str">
        <x:v>["category_missing", "daily_stockout_data_missing", "new_order_lead_time_unknown", "reservations_unknown", "stale_stock"]</x:v>
      </x:c>
      <x:c r="AQ795" s="10" t="str">
        <x:v>IEK:200400017_</x:v>
      </x:c>
      <x:c r="AR795" s="24" t="n">
        <x:v>1</x:v>
      </x:c>
      <x:c r="AS795" s="24" t="n">
        <x:v>0</x:v>
      </x:c>
      <x:c r="AT795" s="24" t="n">
        <x:v>0</x:v>
      </x:c>
    </x:row>
    <x:row r="796" ht="64" customHeight="1">
      <x:c r="A796" s="11" t="str">
        <x:v>IEK</x:v>
      </x:c>
      <x:c r="B796" s="33" t="str">
        <x:v>200400018_</x:v>
      </x:c>
      <x:c r="C796" s="33" t="str">
        <x:v>EMK40-K01-DM</x:v>
      </x:c>
      <x:c r="D796" s="12" t="str">
        <x:v>I17 Рамка 4-я КВАРТА (380)</x:v>
      </x:c>
      <x:c r="E796" s="11" t="str">
        <x:v>шт</x:v>
      </x:c>
      <x:c r="F796" s="35" t="n">
        <x:f>MAX(0,ROUNDDOWN((AG796-AF796)/AR796+0.000000001,0)*AR796)</x:f>
        <x:v>4</x:v>
      </x:c>
      <x:c r="G796" s="20" t="str">
        <x:f>IF(J796="Рассчитано",V796*(1-R796/100)-W796-P796-Q796,"н/д")</x:f>
        <x:v>н/д</x:v>
      </x:c>
      <x:c r="H796" s="12" t="str">
        <x:v>Высокий</x:v>
      </x:c>
      <x:c r="I796" s="12" t="str">
        <x:v>Высокий</x:v>
      </x:c>
      <x:c r="J796" s="12" t="str">
        <x:f>IF(L796="","Укажите валюту",IF(NOT(ISNUMBER(K796)),"Укажите объём",IF(K796&lt;=0,"Укажите объём",IF(K796&gt;F796,"Объём выше излишка",IF(COUNT(M796:O796)&lt;3,"Нужны цены",IF(COUNT(P796:R796)&lt;3,"Нужны расходы",IF(OR(M796&lt;0,N796&lt;0,O796&lt;0,O796&gt;100,P796&lt;0,Q796&lt;0,R796&lt;0,R796&gt;100),"Проверьте значения","Рассчитано")))))))</x:f>
        <x:v>Нужны цены</x:v>
      </x:c>
      <x:c r="K796" s="36" t="n">
        <x:v>4</x:v>
      </x:c>
      <x:c r="L796" s="19" t="str">
        <x:v>KZT</x:v>
      </x:c>
      <x:c r="M796" s="22"/>
      <x:c r="N796" s="22"/>
      <x:c r="O796" s="28"/>
      <x:c r="P796" s="22"/>
      <x:c r="Q796" s="22"/>
      <x:c r="R796" s="28"/>
      <x:c r="S796" s="22"/>
      <x:c r="T796" s="35" t="n">
        <x:f>K796</x:f>
        <x:v>4</x:v>
      </x:c>
      <x:c r="U796" s="20" t="str">
        <x:f>IF(J796="Рассчитано",N796*(1-O796/100),"н/д")</x:f>
        <x:v>н/д</x:v>
      </x:c>
      <x:c r="V796" s="20" t="str">
        <x:f>IF(J796="Рассчитано",T796*U796,"н/д")</x:f>
        <x:v>н/д</x:v>
      </x:c>
      <x:c r="W796" s="20" t="str">
        <x:f>IF(J796="Рассчитано",T796*M796,"н/д")</x:f>
        <x:v>н/д</x:v>
      </x:c>
      <x:c r="X796" s="20" t="str">
        <x:f>IF(J796="Рассчитано",V796-W796,"н/д")</x:f>
        <x:v>н/д</x:v>
      </x:c>
      <x:c r="Y796" s="26" t="str">
        <x:f>IF(J796="Рассчитано",IF(V796&gt;0,G796/V796,"н/д"),"н/д")</x:f>
        <x:v>н/д</x:v>
      </x:c>
      <x:c r="Z796" s="20" t="str">
        <x:f>"н/д"</x:f>
        <x:v>н/д</x:v>
      </x:c>
      <x:c r="AA796" s="20" t="str">
        <x:f>"н/д"</x:f>
        <x:v>н/д</x:v>
      </x:c>
      <x:c r="AB796" s="20" t="str">
        <x:f>"н/д"</x:f>
        <x:v>н/д</x:v>
      </x:c>
      <x:c r="AC796" s="20" t="str">
        <x:f>IF(AND(J796="Рассчитано",T796&gt;0,R796&lt;100),(W796+P796+Q796)/(T796*(1-R796/100)),"н/д")</x:f>
        <x:v>н/д</x:v>
      </x:c>
      <x:c r="AD796" s="11" t="str">
        <x:f>IF(ISNUMBER(G796),IF(G796&lt;0,"Убыток",IF(G796=0,"Без прибыли","Прибыль &gt; 0")),"Не оценён")</x:f>
        <x:v>Не оценён</x:v>
      </x:c>
      <x:c r="AE796" s="12" t="str">
        <x:f>IF(J796="Рассчитано","Выручка "&amp;TEXT(V796,"0.00")&amp;" - себестоимость "&amp;TEXT(W796,"0.00")&amp;" - комиссия "&amp;TEXT(V796*R796/100,"0.00")&amp;" - доставка "&amp;TEXT(P796,"0.00")&amp;" - прочие "&amp;TEXT(Q796,"0.00")&amp;" = "&amp;TEXT(G796,"0.00")&amp;" "&amp;L796,"Введите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6" s="23" t="n">
        <x:v>0.41920828534539634</x:v>
      </x:c>
      <x:c r="AG796" s="35" t="n">
        <x:v>5</x:v>
      </x:c>
      <x:c r="AH796" s="35" t="n">
        <x:v>0</x:v>
      </x:c>
      <x:c r="AI796" s="29" t="n">
        <x:v>46266</x:v>
      </x:c>
      <x:c r="AJ796" s="35" t="n">
        <x:v>19</x:v>
      </x:c>
      <x:c r="AK796" s="11" t="str">
        <x:v>минимум</x:v>
      </x:c>
      <x:c r="AL796" s="31" t="n">
        <x:v>1014.2831039236614</x:v>
      </x:c>
      <x:c r="AM79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796" s="12" t="str">
        <x:v>Проверить свободный остаток и установить цену для B2B</x:v>
      </x:c>
      <x:c r="AO796" s="12" t="str">
        <x:v>Остаток 5; прогноз 90 дней 0.42; избыток 4 шт. Будущие поступления не выставляются на продажу. Остаток на начало сентября: требуется актуализация.</x:v>
      </x:c>
      <x:c r="AP796" s="12" t="str">
        <x:v>["category_missing", "daily_stockout_data_missing", "large_orders_detected", "new_order_lead_time_unknown", "reservations_unknown", "stale_stock"]</x:v>
      </x:c>
      <x:c r="AQ796" s="11" t="str">
        <x:v>IEK:200400018_</x:v>
      </x:c>
      <x:c r="AR796" s="23" t="n">
        <x:v>1</x:v>
      </x:c>
      <x:c r="AS796" s="23" t="n">
        <x:v>0</x:v>
      </x:c>
      <x:c r="AT796" s="23" t="n">
        <x:v>0</x:v>
      </x:c>
    </x:row>
    <x:row r="797" ht="64" customHeight="1">
      <x:c r="A797" s="10" t="str">
        <x:v>IEK</x:v>
      </x:c>
      <x:c r="B797" s="34" t="str">
        <x:v>200400022_</x:v>
      </x:c>
      <x:c r="C797" s="34" t="str">
        <x:v>EVO21-K01-10-DC</x:v>
      </x:c>
      <x:c r="D797" s="13" t="str">
        <x:v>I21 выкл. 2кл. с инд. о/у 10А ОКТАВА ВС 20-2-1-ОБ (36/432)</x:v>
      </x:c>
      <x:c r="E797" s="10" t="str">
        <x:v>шт</x:v>
      </x:c>
      <x:c r="F797" s="37" t="n">
        <x:f>MAX(0,ROUNDDOWN((AG797-AF797)/AR797+0.000000001,0)*AR797)</x:f>
        <x:v>6</x:v>
      </x:c>
      <x:c r="G797" s="21" t="str">
        <x:f>IF(J797="Рассчитано",V797*(1-R797/100)-W797-P797-Q797,"н/д")</x:f>
        <x:v>н/д</x:v>
      </x:c>
      <x:c r="H797" s="13" t="str">
        <x:v>Высокий</x:v>
      </x:c>
      <x:c r="I797" s="13" t="str">
        <x:v>Средний</x:v>
      </x:c>
      <x:c r="J797" s="13" t="str">
        <x:f>IF(L797="","Укажите валюту",IF(NOT(ISNUMBER(K797)),"Укажите объём",IF(K797&lt;=0,"Укажите объём",IF(K797&gt;F797,"Объём выше излишка",IF(COUNT(M797:O797)&lt;3,"Нужны цены",IF(COUNT(P797:R797)&lt;3,"Нужны расходы",IF(OR(M797&lt;0,N797&lt;0,O797&lt;0,O797&gt;100,P797&lt;0,Q797&lt;0,R797&lt;0,R797&gt;100),"Проверьте значения","Рассчитано")))))))</x:f>
        <x:v>Нужны цены</x:v>
      </x:c>
      <x:c r="K797" s="36" t="n">
        <x:v>6</x:v>
      </x:c>
      <x:c r="L797" s="19" t="str">
        <x:v>KZT</x:v>
      </x:c>
      <x:c r="M797" s="22"/>
      <x:c r="N797" s="22"/>
      <x:c r="O797" s="28"/>
      <x:c r="P797" s="22"/>
      <x:c r="Q797" s="22"/>
      <x:c r="R797" s="28"/>
      <x:c r="S797" s="22"/>
      <x:c r="T797" s="37" t="n">
        <x:f>K797</x:f>
        <x:v>6</x:v>
      </x:c>
      <x:c r="U797" s="21" t="str">
        <x:f>IF(J797="Рассчитано",N797*(1-O797/100),"н/д")</x:f>
        <x:v>н/д</x:v>
      </x:c>
      <x:c r="V797" s="21" t="str">
        <x:f>IF(J797="Рассчитано",T797*U797,"н/д")</x:f>
        <x:v>н/д</x:v>
      </x:c>
      <x:c r="W797" s="21" t="str">
        <x:f>IF(J797="Рассчитано",T797*M797,"н/д")</x:f>
        <x:v>н/д</x:v>
      </x:c>
      <x:c r="X797" s="21" t="str">
        <x:f>IF(J797="Рассчитано",V797-W797,"н/д")</x:f>
        <x:v>н/д</x:v>
      </x:c>
      <x:c r="Y797" s="27" t="str">
        <x:f>IF(J797="Рассчитано",IF(V797&gt;0,G797/V797,"н/д"),"н/д")</x:f>
        <x:v>н/д</x:v>
      </x:c>
      <x:c r="Z797" s="21" t="str">
        <x:f>"н/д"</x:f>
        <x:v>н/д</x:v>
      </x:c>
      <x:c r="AA797" s="21" t="str">
        <x:f>"н/д"</x:f>
        <x:v>н/д</x:v>
      </x:c>
      <x:c r="AB797" s="21" t="str">
        <x:f>"н/д"</x:f>
        <x:v>н/д</x:v>
      </x:c>
      <x:c r="AC797" s="21" t="str">
        <x:f>IF(AND(J797="Рассчитано",T797&gt;0,R797&lt;100),(W797+P797+Q797)/(T797*(1-R797/100)),"н/д")</x:f>
        <x:v>н/д</x:v>
      </x:c>
      <x:c r="AD797" s="10" t="str">
        <x:f>IF(ISNUMBER(G797),IF(G797&lt;0,"Убыток",IF(G797=0,"Без прибыли","Прибыль &gt; 0")),"Не оценён")</x:f>
        <x:v>Не оценён</x:v>
      </x:c>
      <x:c r="AE797" s="13" t="str">
        <x:f>IF(J797="Рассчитано","Выручка "&amp;TEXT(V797,"0.00")&amp;" - себестоимость "&amp;TEXT(W797,"0.00")&amp;" - комиссия "&amp;TEXT(V797*R797/100,"0.00")&amp;" - доставка "&amp;TEXT(P797,"0.00")&amp;" - прочие "&amp;TEXT(Q797,"0.00")&amp;" = "&amp;TEXT(G797,"0.00")&amp;" "&amp;L797,"Введите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7" s="24" t="n">
        <x:v>12.758184656054786</x:v>
      </x:c>
      <x:c r="AG797" s="37" t="n">
        <x:v>19</x:v>
      </x:c>
      <x:c r="AH797" s="37" t="n">
        <x:v>0</x:v>
      </x:c>
      <x:c r="AI797" s="30" t="n">
        <x:v>46266</x:v>
      </x:c>
      <x:c r="AJ797" s="37" t="n">
        <x:v>36</x:v>
      </x:c>
      <x:c r="AK797" s="10" t="str">
        <x:v>минимум</x:v>
      </x:c>
      <x:c r="AL797" s="32" t="n">
        <x:v>126.64374993707685</x:v>
      </x:c>
      <x:c r="AM79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797" s="13" t="str">
        <x:v>Проверить свободный остаток и установить цену для B2B</x:v>
      </x:c>
      <x:c r="AO797" s="13" t="str">
        <x:v>Остаток 19; прогноз 90 дней 12.76; избыток 6 шт. Будущие поступления не выставляются на продажу. Остаток на начало сентября: требуется актуализация.</x:v>
      </x:c>
      <x:c r="AP797" s="13" t="str">
        <x:v>["category_missing", "daily_stockout_data_missing", "large_orders_detected", "new_order_lead_time_unknown", "reservations_unknown", "stale_stock", "transaction_month_mismatch"]</x:v>
      </x:c>
      <x:c r="AQ797" s="10" t="str">
        <x:v>IEK:200400022_</x:v>
      </x:c>
      <x:c r="AR797" s="24" t="n">
        <x:v>1</x:v>
      </x:c>
      <x:c r="AS797" s="24" t="n">
        <x:v>0</x:v>
      </x:c>
      <x:c r="AT797" s="24" t="n">
        <x:v>0</x:v>
      </x:c>
    </x:row>
    <x:row r="798" ht="64" customHeight="1">
      <x:c r="A798" s="11" t="str">
        <x:v>IEK</x:v>
      </x:c>
      <x:c r="B798" s="33" t="str">
        <x:v>200400025_</x:v>
      </x:c>
      <x:c r="C798" s="33" t="str">
        <x:v>ERO20-K01-10-DC</x:v>
      </x:c>
      <x:c r="D798" s="12" t="str">
        <x:v>I24 роз. 2-я о/у 10А ОКТАВА РС 22-2-0-ОБ (24/288)</x:v>
      </x:c>
      <x:c r="E798" s="11" t="str">
        <x:v>шт</x:v>
      </x:c>
      <x:c r="F798" s="35" t="n">
        <x:f>MAX(0,ROUNDDOWN((AG798-AF798)/AR798+0.000000001,0)*AR798)</x:f>
        <x:v>27</x:v>
      </x:c>
      <x:c r="G798" s="20" t="str">
        <x:f>IF(J798="Рассчитано",V798*(1-R798/100)-W798-P798-Q798,"н/д")</x:f>
        <x:v>н/д</x:v>
      </x:c>
      <x:c r="H798" s="12" t="str">
        <x:v>Высокий</x:v>
      </x:c>
      <x:c r="I798" s="12" t="str">
        <x:v>Средний</x:v>
      </x:c>
      <x:c r="J798" s="12" t="str">
        <x:f>IF(L798="","Укажите валюту",IF(NOT(ISNUMBER(K798)),"Укажите объём",IF(K798&lt;=0,"Укажите объём",IF(K798&gt;F798,"Объём выше излишка",IF(COUNT(M798:O798)&lt;3,"Нужны цены",IF(COUNT(P798:R798)&lt;3,"Нужны расходы",IF(OR(M798&lt;0,N798&lt;0,O798&lt;0,O798&gt;100,P798&lt;0,Q798&lt;0,R798&lt;0,R798&gt;100),"Проверьте значения","Рассчитано")))))))</x:f>
        <x:v>Нужны цены</x:v>
      </x:c>
      <x:c r="K798" s="36" t="n">
        <x:v>27</x:v>
      </x:c>
      <x:c r="L798" s="19" t="str">
        <x:v>KZT</x:v>
      </x:c>
      <x:c r="M798" s="22"/>
      <x:c r="N798" s="22"/>
      <x:c r="O798" s="28"/>
      <x:c r="P798" s="22"/>
      <x:c r="Q798" s="22"/>
      <x:c r="R798" s="28"/>
      <x:c r="S798" s="22"/>
      <x:c r="T798" s="35" t="n">
        <x:f>K798</x:f>
        <x:v>27</x:v>
      </x:c>
      <x:c r="U798" s="20" t="str">
        <x:f>IF(J798="Рассчитано",N798*(1-O798/100),"н/д")</x:f>
        <x:v>н/д</x:v>
      </x:c>
      <x:c r="V798" s="20" t="str">
        <x:f>IF(J798="Рассчитано",T798*U798,"н/д")</x:f>
        <x:v>н/д</x:v>
      </x:c>
      <x:c r="W798" s="20" t="str">
        <x:f>IF(J798="Рассчитано",T798*M798,"н/д")</x:f>
        <x:v>н/д</x:v>
      </x:c>
      <x:c r="X798" s="20" t="str">
        <x:f>IF(J798="Рассчитано",V798-W798,"н/д")</x:f>
        <x:v>н/д</x:v>
      </x:c>
      <x:c r="Y798" s="26" t="str">
        <x:f>IF(J798="Рассчитано",IF(V798&gt;0,G798/V798,"н/д"),"н/д")</x:f>
        <x:v>н/д</x:v>
      </x:c>
      <x:c r="Z798" s="20" t="str">
        <x:f>"н/д"</x:f>
        <x:v>н/д</x:v>
      </x:c>
      <x:c r="AA798" s="20" t="str">
        <x:f>"н/д"</x:f>
        <x:v>н/д</x:v>
      </x:c>
      <x:c r="AB798" s="20" t="str">
        <x:f>"н/д"</x:f>
        <x:v>н/д</x:v>
      </x:c>
      <x:c r="AC798" s="20" t="str">
        <x:f>IF(AND(J798="Рассчитано",T798&gt;0,R798&lt;100),(W798+P798+Q798)/(T798*(1-R798/100)),"н/д")</x:f>
        <x:v>н/д</x:v>
      </x:c>
      <x:c r="AD798" s="11" t="str">
        <x:f>IF(ISNUMBER(G798),IF(G798&lt;0,"Убыток",IF(G798=0,"Без прибыли","Прибыль &gt; 0")),"Не оценён")</x:f>
        <x:v>Не оценён</x:v>
      </x:c>
      <x:c r="AE798" s="12" t="str">
        <x:f>IF(J798="Рассчитано","Выручка "&amp;TEXT(V798,"0.00")&amp;" - себестоимость "&amp;TEXT(W798,"0.00")&amp;" - комиссия "&amp;TEXT(V798*R798/100,"0.00")&amp;" - доставка "&amp;TEXT(P798,"0.00")&amp;" - прочие "&amp;TEXT(Q798,"0.00")&amp;" = "&amp;TEXT(G798,"0.00")&amp;" "&amp;L798,"Введите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8" s="23" t="n">
        <x:v>54.032455539962996</x:v>
      </x:c>
      <x:c r="AG798" s="35" t="n">
        <x:v>82</x:v>
      </x:c>
      <x:c r="AH798" s="35" t="n">
        <x:v>0</x:v>
      </x:c>
      <x:c r="AI798" s="29" t="n">
        <x:v>46266</x:v>
      </x:c>
      <x:c r="AJ798" s="35" t="n">
        <x:v>24</x:v>
      </x:c>
      <x:c r="AK798" s="11" t="str">
        <x:v>минимум</x:v>
      </x:c>
      <x:c r="AL798" s="31" t="n">
        <x:v>129.05599747901763</x:v>
      </x:c>
      <x:c r="AM798" s="12" t="str">
        <x:v>Остаток на начало сентября; Резервы неизвестны; Нет ежедневных данных доступности. Запас выше прогноза на 90 дней</x:v>
      </x:c>
      <x:c r="AN798" s="12" t="str">
        <x:v>Проверить свободный остаток и установить цену для B2B</x:v>
      </x:c>
      <x:c r="AO798" s="12" t="str">
        <x:v>Остаток 82; прогноз 90 дней 54.03; избыток 27 шт. Будущие поступления не выставляются на продажу. Остаток на начало сентября: требуется актуализация.</x:v>
      </x:c>
      <x:c r="AP798" s="12" t="str">
        <x:v>["category_missing", "daily_stockout_data_missing", "large_orders_detected", "new_order_lead_time_unknown", "reservations_unknown", "stale_stock"]</x:v>
      </x:c>
      <x:c r="AQ798" s="11" t="str">
        <x:v>IEK:200400025_</x:v>
      </x:c>
      <x:c r="AR798" s="23" t="n">
        <x:v>1</x:v>
      </x:c>
      <x:c r="AS798" s="23" t="n">
        <x:v>0</x:v>
      </x:c>
      <x:c r="AT798" s="23" t="n">
        <x:v>0</x:v>
      </x:c>
    </x:row>
    <x:row r="799" ht="64" customHeight="1">
      <x:c r="A799" s="10" t="str">
        <x:v>IEK</x:v>
      </x:c>
      <x:c r="B799" s="34" t="str">
        <x:v>200400032_</x:v>
      </x:c>
      <x:c r="C799" s="34"/>
      <x:c r="D799" s="13" t="str">
        <x:v>ЛВО 1501 белый б/с Е27 2х26 (Downlight) IEK !!!</x:v>
      </x:c>
      <x:c r="E799" s="10" t="str">
        <x:v>шт</x:v>
      </x:c>
      <x:c r="F799" s="37" t="n">
        <x:f>MAX(0,ROUNDDOWN((AG799-AF799)/AR799+0.000000001,0)*AR799)</x:f>
        <x:v>24</x:v>
      </x:c>
      <x:c r="G799" s="21" t="str">
        <x:f>IF(J799="Рассчитано",V799*(1-R799/100)-W799-P799-Q799,"н/д")</x:f>
        <x:v>н/д</x:v>
      </x:c>
      <x:c r="H799" s="13" t="str">
        <x:v>Высокий</x:v>
      </x:c>
      <x:c r="I799" s="13" t="str">
        <x:v>Высокий</x:v>
      </x:c>
      <x:c r="J799" s="13" t="str">
        <x:f>IF(L799="","Укажите валюту",IF(NOT(ISNUMBER(K799)),"Укажите объём",IF(K799&lt;=0,"Укажите объём",IF(K799&gt;F799,"Объём выше излишка",IF(COUNT(M799:O799)&lt;3,"Нужны цены",IF(COUNT(P799:R799)&lt;3,"Нужны расходы",IF(OR(M799&lt;0,N799&lt;0,O799&lt;0,O799&gt;100,P799&lt;0,Q799&lt;0,R799&lt;0,R799&gt;100),"Проверьте значения","Рассчитано")))))))</x:f>
        <x:v>Нужны цены</x:v>
      </x:c>
      <x:c r="K799" s="36" t="n">
        <x:v>24</x:v>
      </x:c>
      <x:c r="L799" s="19" t="str">
        <x:v>KZT</x:v>
      </x:c>
      <x:c r="M799" s="22"/>
      <x:c r="N799" s="22"/>
      <x:c r="O799" s="28"/>
      <x:c r="P799" s="22"/>
      <x:c r="Q799" s="22"/>
      <x:c r="R799" s="28"/>
      <x:c r="S799" s="22"/>
      <x:c r="T799" s="37" t="n">
        <x:f>K799</x:f>
        <x:v>24</x:v>
      </x:c>
      <x:c r="U799" s="21" t="str">
        <x:f>IF(J799="Рассчитано",N799*(1-O799/100),"н/д")</x:f>
        <x:v>н/д</x:v>
      </x:c>
      <x:c r="V799" s="21" t="str">
        <x:f>IF(J799="Рассчитано",T799*U799,"н/д")</x:f>
        <x:v>н/д</x:v>
      </x:c>
      <x:c r="W799" s="21" t="str">
        <x:f>IF(J799="Рассчитано",T799*M799,"н/д")</x:f>
        <x:v>н/д</x:v>
      </x:c>
      <x:c r="X799" s="21" t="str">
        <x:f>IF(J799="Рассчитано",V799-W799,"н/д")</x:f>
        <x:v>н/д</x:v>
      </x:c>
      <x:c r="Y799" s="27" t="str">
        <x:f>IF(J799="Рассчитано",IF(V799&gt;0,G799/V799,"н/д"),"н/д")</x:f>
        <x:v>н/д</x:v>
      </x:c>
      <x:c r="Z799" s="21" t="str">
        <x:f>"н/д"</x:f>
        <x:v>н/д</x:v>
      </x:c>
      <x:c r="AA799" s="21" t="str">
        <x:f>"н/д"</x:f>
        <x:v>н/д</x:v>
      </x:c>
      <x:c r="AB799" s="21" t="str">
        <x:f>"н/д"</x:f>
        <x:v>н/д</x:v>
      </x:c>
      <x:c r="AC799" s="21" t="str">
        <x:f>IF(AND(J799="Рассчитано",T799&gt;0,R799&lt;100),(W799+P799+Q799)/(T799*(1-R799/100)),"н/д")</x:f>
        <x:v>н/д</x:v>
      </x:c>
      <x:c r="AD799" s="10" t="str">
        <x:f>IF(ISNUMBER(G799),IF(G799&lt;0,"Убыток",IF(G799=0,"Без прибыли","Прибыль &gt; 0")),"Не оценён")</x:f>
        <x:v>Не оценён</x:v>
      </x:c>
      <x:c r="AE799" s="13" t="str">
        <x:f>IF(J799="Рассчитано","Выручка "&amp;TEXT(V799,"0.00")&amp;" - себестоимость "&amp;TEXT(W799,"0.00")&amp;" - комиссия "&amp;TEXT(V799*R799/100,"0.00")&amp;" - доставка "&amp;TEXT(P799,"0.00")&amp;" - прочие "&amp;TEXT(Q799,"0.00")&amp;" = "&amp;TEXT(G799,"0.00")&amp;" "&amp;L799,"Введите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9" s="24" t="n">
        <x:v>0</x:v>
      </x:c>
      <x:c r="AG799" s="37" t="n">
        <x:v>24</x:v>
      </x:c>
      <x:c r="AH799" s="37" t="n">
        <x:v>0</x:v>
      </x:c>
      <x:c r="AI799" s="30" t="n">
        <x:v>46266</x:v>
      </x:c>
      <x:c r="AJ799" s="37"/>
      <x:c r="AK799" s="10" t="str">
        <x:v>неизвестно</x:v>
      </x:c>
      <x:c r="AL799" s="32" t="str">
        <x:v>н/д</x:v>
      </x:c>
      <x:c r="AM79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799" s="13" t="str">
        <x:v>Проверить свободный остаток и установить цену для B2B</x:v>
      </x:c>
      <x:c r="AO799" s="13" t="str">
        <x:v>Остаток 24; прогноз 90 дней 0.00; избыток 24 шт. Будущие поступления не выставляются на продажу. Остаток на начало сентября: требуется актуализация.</x:v>
      </x:c>
      <x:c r="AP799" s="13" t="str">
        <x:v>["category_missing", "daily_stockout_data_missing", "moq_missing", "new_order_lead_time_unknown", "reservations_unknown", "stale_stock", "supplier_sku_missing"]</x:v>
      </x:c>
      <x:c r="AQ799" s="10" t="str">
        <x:v>IEK:200400032_</x:v>
      </x:c>
      <x:c r="AR799" s="24" t="n">
        <x:v>1</x:v>
      </x:c>
      <x:c r="AS799" s="24" t="n">
        <x:v>0</x:v>
      </x:c>
      <x:c r="AT799" s="24" t="n">
        <x:v>0</x:v>
      </x:c>
    </x:row>
    <x:row r="800" ht="64" customHeight="1">
      <x:c r="A800" s="11" t="str">
        <x:v>IEK</x:v>
      </x:c>
      <x:c r="B800" s="33" t="str">
        <x:v>200400048_</x:v>
      </x:c>
      <x:c r="C800" s="33" t="str">
        <x:v>LC1-C5E04-111</x:v>
      </x:c>
      <x:c r="D800" s="12" t="str">
        <x:v>U/UTP, кат.5Е 4х2х0,51 solid, серый 305м ITK</x:v>
      </x:c>
      <x:c r="E800" s="11" t="str">
        <x:v>м</x:v>
      </x:c>
      <x:c r="F800" s="23" t="n">
        <x:f>MAX(0,ROUNDDOWN((AG800-AF800)/AR800+0.000000001,0)*AR800)</x:f>
        <x:v>14.748000000000001</x:v>
      </x:c>
      <x:c r="G800" s="20" t="str">
        <x:f>IF(J800="Рассчитано",V800*(1-R800/100)-W800-P800-Q800,"н/д")</x:f>
        <x:v>н/д</x:v>
      </x:c>
      <x:c r="H800" s="12" t="str">
        <x:v>Высокий</x:v>
      </x:c>
      <x:c r="I800" s="12" t="str">
        <x:v>Средний</x:v>
      </x:c>
      <x:c r="J800" s="12" t="str">
        <x:f>IF(L800="","Укажите валюту",IF(NOT(ISNUMBER(K800)),"Укажите объём",IF(K800&lt;=0,"Укажите объём",IF(K800&gt;F800,"Объём выше излишка",IF(COUNT(M800:O800)&lt;3,"Нужны цены",IF(COUNT(P800:R800)&lt;3,"Нужны расходы",IF(OR(M800&lt;0,N800&lt;0,O800&lt;0,O800&gt;100,P800&lt;0,Q800&lt;0,R800&lt;0,R800&gt;100),"Проверьте значения","Рассчитано")))))))</x:f>
        <x:v>Нужны цены</x:v>
      </x:c>
      <x:c r="K800" s="25" t="n">
        <x:v>14.748000000000001</x:v>
      </x:c>
      <x:c r="L800" s="19" t="str">
        <x:v>KZT</x:v>
      </x:c>
      <x:c r="M800" s="22"/>
      <x:c r="N800" s="22"/>
      <x:c r="O800" s="28"/>
      <x:c r="P800" s="22"/>
      <x:c r="Q800" s="22"/>
      <x:c r="R800" s="28"/>
      <x:c r="S800" s="22"/>
      <x:c r="T800" s="23" t="n">
        <x:f>K800</x:f>
        <x:v>14.748000000000001</x:v>
      </x:c>
      <x:c r="U800" s="20" t="str">
        <x:f>IF(J800="Рассчитано",N800*(1-O800/100),"н/д")</x:f>
        <x:v>н/д</x:v>
      </x:c>
      <x:c r="V800" s="20" t="str">
        <x:f>IF(J800="Рассчитано",T800*U800,"н/д")</x:f>
        <x:v>н/д</x:v>
      </x:c>
      <x:c r="W800" s="20" t="str">
        <x:f>IF(J800="Рассчитано",T800*M800,"н/д")</x:f>
        <x:v>н/д</x:v>
      </x:c>
      <x:c r="X800" s="20" t="str">
        <x:f>IF(J800="Рассчитано",V800-W800,"н/д")</x:f>
        <x:v>н/д</x:v>
      </x:c>
      <x:c r="Y800" s="26" t="str">
        <x:f>IF(J800="Рассчитано",IF(V800&gt;0,G800/V800,"н/д"),"н/д")</x:f>
        <x:v>н/д</x:v>
      </x:c>
      <x:c r="Z800" s="20" t="str">
        <x:f>"н/д"</x:f>
        <x:v>н/д</x:v>
      </x:c>
      <x:c r="AA800" s="20" t="str">
        <x:f>"н/д"</x:f>
        <x:v>н/д</x:v>
      </x:c>
      <x:c r="AB800" s="20" t="str">
        <x:f>"н/д"</x:f>
        <x:v>н/д</x:v>
      </x:c>
      <x:c r="AC800" s="20" t="str">
        <x:f>IF(AND(J800="Рассчитано",T800&gt;0,R800&lt;100),(W800+P800+Q800)/(T800*(1-R800/100)),"н/д")</x:f>
        <x:v>н/д</x:v>
      </x:c>
      <x:c r="AD800" s="11" t="str">
        <x:f>IF(ISNUMBER(G800),IF(G800&lt;0,"Убыток",IF(G800=0,"Без прибыли","Прибыль &gt; 0")),"Не оценён")</x:f>
        <x:v>Не оценён</x:v>
      </x:c>
      <x:c r="AE800" s="12" t="str">
        <x:f>IF(J800="Рассчитано","Выручка "&amp;TEXT(V800,"0.00")&amp;" - себестоимость "&amp;TEXT(W800,"0.00")&amp;" - комиссия "&amp;TEXT(V800*R800/100,"0.00")&amp;" - доставка "&amp;TEXT(P800,"0.00")&amp;" - прочие "&amp;TEXT(Q800,"0.00")&amp;" = "&amp;TEXT(G800,"0.00")&amp;" "&amp;L800,"Введите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0" s="23" t="n">
        <x:v>196.25129411995133</x:v>
      </x:c>
      <x:c r="AG800" s="23" t="n">
        <x:v>211</x:v>
      </x:c>
      <x:c r="AH800" s="23" t="n">
        <x:v>0</x:v>
      </x:c>
      <x:c r="AI800" s="29" t="n">
        <x:v>46266</x:v>
      </x:c>
      <x:c r="AJ800" s="23" t="n">
        <x:v>1</x:v>
      </x:c>
      <x:c r="AK800" s="11" t="str">
        <x:v>минимум</x:v>
      </x:c>
      <x:c r="AL800" s="31" t="n">
        <x:v>91.43005274110489</x:v>
      </x:c>
      <x:c r="AM800" s="12" t="str">
        <x:v>Остаток на начало сентября; Резервы неизвестны; Нужно уточнить единицы учёта; Детальные и месячные продажи расходятся; Нет ежедневных данных доступности. Запас выше прогноза на 90 дней</x:v>
      </x:c>
      <x:c r="AN800" s="12" t="str">
        <x:v>Проверить свободный остаток и установить цену для B2B</x:v>
      </x:c>
      <x:c r="AO800" s="12" t="str">
        <x:v>Остаток 211; прогноз 90 дней 196.25; избыток 14.748 м. Будущие поступления не выставляются на продажу. Остаток на начало сентября: требуется актуализация.</x:v>
      </x:c>
      <x:c r="AP800" s="12" t="str">
        <x:v>["category_missing", "daily_stockout_data_missing", "large_orders_detected", "new_order_lead_time_unknown", "purchase_unit_conversion_unknown", "reservations_unknown", "stale_stock", "transaction_month_mismatch"]</x:v>
      </x:c>
      <x:c r="AQ800" s="11" t="str">
        <x:v>IEK:200400048_</x:v>
      </x:c>
      <x:c r="AR800" s="23" t="n">
        <x:v>0.001</x:v>
      </x:c>
      <x:c r="AS800" s="23" t="n">
        <x:v>0</x:v>
      </x:c>
      <x:c r="AT800" s="23" t="n">
        <x:v>0</x:v>
      </x:c>
    </x:row>
    <x:row r="801" ht="64" customHeight="1">
      <x:c r="A801" s="10" t="str">
        <x:v>IEK</x:v>
      </x:c>
      <x:c r="B801" s="34" t="str">
        <x:v>200400101_</x:v>
      </x:c>
      <x:c r="C801" s="34" t="str">
        <x:v>ERK14-K01-16-DM</x:v>
      </x:c>
      <x:c r="D801" s="13" t="str">
        <x:v>I6 роз. с/у з/к 16А КВАРТА РС 10-3-КБ (200)</x:v>
      </x:c>
      <x:c r="E801" s="10" t="str">
        <x:v>шт</x:v>
      </x:c>
      <x:c r="F801" s="37" t="n">
        <x:f>MAX(0,ROUNDDOWN((AG801-AF801)/AR801+0.000000001,0)*AR801)</x:f>
        <x:v>258</x:v>
      </x:c>
      <x:c r="G801" s="21" t="str">
        <x:f>IF(J801="Рассчитано",V801*(1-R801/100)-W801-P801-Q801,"н/д")</x:f>
        <x:v>н/д</x:v>
      </x:c>
      <x:c r="H801" s="13" t="str">
        <x:v>Высокий</x:v>
      </x:c>
      <x:c r="I801" s="13" t="str">
        <x:v>Высокий</x:v>
      </x:c>
      <x:c r="J801" s="13" t="str">
        <x:f>IF(L801="","Укажите валюту",IF(NOT(ISNUMBER(K801)),"Укажите объём",IF(K801&lt;=0,"Укажите объём",IF(K801&gt;F801,"Объём выше излишка",IF(COUNT(M801:O801)&lt;3,"Нужны цены",IF(COUNT(P801:R801)&lt;3,"Нужны расходы",IF(OR(M801&lt;0,N801&lt;0,O801&lt;0,O801&gt;100,P801&lt;0,Q801&lt;0,R801&lt;0,R801&gt;100),"Проверьте значения","Рассчитано")))))))</x:f>
        <x:v>Нужны цены</x:v>
      </x:c>
      <x:c r="K801" s="36" t="n">
        <x:v>258</x:v>
      </x:c>
      <x:c r="L801" s="19" t="str">
        <x:v>KZT</x:v>
      </x:c>
      <x:c r="M801" s="22"/>
      <x:c r="N801" s="22"/>
      <x:c r="O801" s="28"/>
      <x:c r="P801" s="22"/>
      <x:c r="Q801" s="22"/>
      <x:c r="R801" s="28"/>
      <x:c r="S801" s="22"/>
      <x:c r="T801" s="37" t="n">
        <x:f>K801</x:f>
        <x:v>258</x:v>
      </x:c>
      <x:c r="U801" s="21" t="str">
        <x:f>IF(J801="Рассчитано",N801*(1-O801/100),"н/д")</x:f>
        <x:v>н/д</x:v>
      </x:c>
      <x:c r="V801" s="21" t="str">
        <x:f>IF(J801="Рассчитано",T801*U801,"н/д")</x:f>
        <x:v>н/д</x:v>
      </x:c>
      <x:c r="W801" s="21" t="str">
        <x:f>IF(J801="Рассчитано",T801*M801,"н/д")</x:f>
        <x:v>н/д</x:v>
      </x:c>
      <x:c r="X801" s="21" t="str">
        <x:f>IF(J801="Рассчитано",V801-W801,"н/д")</x:f>
        <x:v>н/д</x:v>
      </x:c>
      <x:c r="Y801" s="27" t="str">
        <x:f>IF(J801="Рассчитано",IF(V801&gt;0,G801/V801,"н/д"),"н/д")</x:f>
        <x:v>н/д</x:v>
      </x:c>
      <x:c r="Z801" s="21" t="str">
        <x:f>"н/д"</x:f>
        <x:v>н/д</x:v>
      </x:c>
      <x:c r="AA801" s="21" t="str">
        <x:f>"н/д"</x:f>
        <x:v>н/д</x:v>
      </x:c>
      <x:c r="AB801" s="21" t="str">
        <x:f>"н/д"</x:f>
        <x:v>н/д</x:v>
      </x:c>
      <x:c r="AC801" s="21" t="str">
        <x:f>IF(AND(J801="Рассчитано",T801&gt;0,R801&lt;100),(W801+P801+Q801)/(T801*(1-R801/100)),"н/д")</x:f>
        <x:v>н/д</x:v>
      </x:c>
      <x:c r="AD801" s="10" t="str">
        <x:f>IF(ISNUMBER(G801),IF(G801&lt;0,"Убыток",IF(G801=0,"Без прибыли","Прибыль &gt; 0")),"Не оценён")</x:f>
        <x:v>Не оценён</x:v>
      </x:c>
      <x:c r="AE801" s="13" t="str">
        <x:f>IF(J801="Рассчитано","Выручка "&amp;TEXT(V801,"0.00")&amp;" - себестоимость "&amp;TEXT(W801,"0.00")&amp;" - комиссия "&amp;TEXT(V801*R801/100,"0.00")&amp;" - доставка "&amp;TEXT(P801,"0.00")&amp;" - прочие "&amp;TEXT(Q801,"0.00")&amp;" = "&amp;TEXT(G801,"0.00")&amp;" "&amp;L801,"Введите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1" s="24" t="n">
        <x:v>55.835441995680135</x:v>
      </x:c>
      <x:c r="AG801" s="37" t="n">
        <x:v>314</x:v>
      </x:c>
      <x:c r="AH801" s="37" t="n">
        <x:v>0</x:v>
      </x:c>
      <x:c r="AI801" s="30" t="n">
        <x:v>46266</x:v>
      </x:c>
      <x:c r="AJ801" s="37" t="n">
        <x:v>10</x:v>
      </x:c>
      <x:c r="AK801" s="10" t="str">
        <x:v>минимум</x:v>
      </x:c>
      <x:c r="AL801" s="32" t="n">
        <x:v>478.2321114156563</x:v>
      </x:c>
      <x:c r="AM80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01" s="13" t="str">
        <x:v>Проверить свободный остаток и установить цену для B2B</x:v>
      </x:c>
      <x:c r="AO801" s="13" t="str">
        <x:v>Остаток 314; прогноз 90 дней 55.84; избыток 258 шт. Будущие поступления не выставляются на продажу. Остаток на начало сентября: требуется актуализация.</x:v>
      </x:c>
      <x:c r="AP801" s="13" t="str">
        <x:v>["category_missing", "daily_stockout_data_missing", "large_orders_detected", "new_order_lead_time_unknown", "reservations_unknown", "stale_stock"]</x:v>
      </x:c>
      <x:c r="AQ801" s="10" t="str">
        <x:v>IEK:200400101_</x:v>
      </x:c>
      <x:c r="AR801" s="24" t="n">
        <x:v>1</x:v>
      </x:c>
      <x:c r="AS801" s="24" t="n">
        <x:v>0</x:v>
      </x:c>
      <x:c r="AT801" s="24" t="n">
        <x:v>0</x:v>
      </x:c>
    </x:row>
    <x:row r="802" ht="64" customHeight="1">
      <x:c r="A802" s="11" t="str">
        <x:v>IEK</x:v>
      </x:c>
      <x:c r="B802" s="33" t="str">
        <x:v>200400249_</x:v>
      </x:c>
      <x:c r="C802" s="33" t="str">
        <x:v>ERK15-K01-16-DM</x:v>
      </x:c>
      <x:c r="D802" s="12" t="str">
        <x:v>I9 роз. с/у з/к 16А IP44 КВАРТА РСб 10-3-КБ (160)</x:v>
      </x:c>
      <x:c r="E802" s="11" t="str">
        <x:v>шт</x:v>
      </x:c>
      <x:c r="F802" s="35" t="n">
        <x:f>MAX(0,ROUNDDOWN((AG802-AF802)/AR802+0.000000001,0)*AR802)</x:f>
        <x:v>22</x:v>
      </x:c>
      <x:c r="G802" s="20" t="str">
        <x:f>IF(J802="Рассчитано",V802*(1-R802/100)-W802-P802-Q802,"н/д")</x:f>
        <x:v>н/д</x:v>
      </x:c>
      <x:c r="H802" s="12" t="str">
        <x:v>Высокий</x:v>
      </x:c>
      <x:c r="I802" s="12" t="str">
        <x:v>Высокий</x:v>
      </x:c>
      <x:c r="J802" s="12" t="str">
        <x:f>IF(L802="","Укажите валюту",IF(NOT(ISNUMBER(K802)),"Укажите объём",IF(K802&lt;=0,"Укажите объём",IF(K802&gt;F802,"Объём выше излишка",IF(COUNT(M802:O802)&lt;3,"Нужны цены",IF(COUNT(P802:R802)&lt;3,"Нужны расходы",IF(OR(M802&lt;0,N802&lt;0,O802&lt;0,O802&gt;100,P802&lt;0,Q802&lt;0,R802&lt;0,R802&gt;100),"Проверьте значения","Рассчитано")))))))</x:f>
        <x:v>Нужны цены</x:v>
      </x:c>
      <x:c r="K802" s="36" t="n">
        <x:v>22</x:v>
      </x:c>
      <x:c r="L802" s="19" t="str">
        <x:v>KZT</x:v>
      </x:c>
      <x:c r="M802" s="22"/>
      <x:c r="N802" s="22"/>
      <x:c r="O802" s="28"/>
      <x:c r="P802" s="22"/>
      <x:c r="Q802" s="22"/>
      <x:c r="R802" s="28"/>
      <x:c r="S802" s="22"/>
      <x:c r="T802" s="35" t="n">
        <x:f>K802</x:f>
        <x:v>22</x:v>
      </x:c>
      <x:c r="U802" s="20" t="str">
        <x:f>IF(J802="Рассчитано",N802*(1-O802/100),"н/д")</x:f>
        <x:v>н/д</x:v>
      </x:c>
      <x:c r="V802" s="20" t="str">
        <x:f>IF(J802="Рассчитано",T802*U802,"н/д")</x:f>
        <x:v>н/д</x:v>
      </x:c>
      <x:c r="W802" s="20" t="str">
        <x:f>IF(J802="Рассчитано",T802*M802,"н/д")</x:f>
        <x:v>н/д</x:v>
      </x:c>
      <x:c r="X802" s="20" t="str">
        <x:f>IF(J802="Рассчитано",V802-W802,"н/д")</x:f>
        <x:v>н/д</x:v>
      </x:c>
      <x:c r="Y802" s="26" t="str">
        <x:f>IF(J802="Рассчитано",IF(V802&gt;0,G802/V802,"н/д"),"н/д")</x:f>
        <x:v>н/д</x:v>
      </x:c>
      <x:c r="Z802" s="20" t="str">
        <x:f>"н/д"</x:f>
        <x:v>н/д</x:v>
      </x:c>
      <x:c r="AA802" s="20" t="str">
        <x:f>"н/д"</x:f>
        <x:v>н/д</x:v>
      </x:c>
      <x:c r="AB802" s="20" t="str">
        <x:f>"н/д"</x:f>
        <x:v>н/д</x:v>
      </x:c>
      <x:c r="AC802" s="20" t="str">
        <x:f>IF(AND(J802="Рассчитано",T802&gt;0,R802&lt;100),(W802+P802+Q802)/(T802*(1-R802/100)),"н/д")</x:f>
        <x:v>н/д</x:v>
      </x:c>
      <x:c r="AD802" s="11" t="str">
        <x:f>IF(ISNUMBER(G802),IF(G802&lt;0,"Убыток",IF(G802=0,"Без прибыли","Прибыль &gt; 0")),"Не оценён")</x:f>
        <x:v>Не оценён</x:v>
      </x:c>
      <x:c r="AE802" s="12" t="str">
        <x:f>IF(J802="Рассчитано","Выручка "&amp;TEXT(V802,"0.00")&amp;" - себестоимость "&amp;TEXT(W802,"0.00")&amp;" - комиссия "&amp;TEXT(V802*R802/100,"0.00")&amp;" - доставка "&amp;TEXT(P802,"0.00")&amp;" - прочие "&amp;TEXT(Q802,"0.00")&amp;" = "&amp;TEXT(G802,"0.00")&amp;" "&amp;L802,"Введите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2" s="23" t="n">
        <x:v>0.49285838836704193</x:v>
      </x:c>
      <x:c r="AG802" s="35" t="n">
        <x:v>23</x:v>
      </x:c>
      <x:c r="AH802" s="35" t="n">
        <x:v>0</x:v>
      </x:c>
      <x:c r="AI802" s="29" t="n">
        <x:v>46266</x:v>
      </x:c>
      <x:c r="AJ802" s="35" t="n">
        <x:v>8</x:v>
      </x:c>
      <x:c r="AK802" s="11" t="str">
        <x:v>минимум</x:v>
      </x:c>
      <x:c r="AL802" s="31" t="n">
        <x:v>3968.4848590958145</x:v>
      </x:c>
      <x:c r="AM80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02" s="12" t="str">
        <x:v>Проверить свободный остаток и установить цену для B2B</x:v>
      </x:c>
      <x:c r="AO802" s="12" t="str">
        <x:v>Остаток 23; прогноз 90 дней 0.49; избыток 22 шт. Будущие поступления не выставляются на продажу. Остаток на начало сентября: требуется актуализация.</x:v>
      </x:c>
      <x:c r="AP802" s="12" t="str">
        <x:v>["category_missing", "daily_stockout_data_missing", "new_order_lead_time_unknown", "reservations_unknown", "stale_stock"]</x:v>
      </x:c>
      <x:c r="AQ802" s="11" t="str">
        <x:v>IEK:200400249_</x:v>
      </x:c>
      <x:c r="AR802" s="23" t="n">
        <x:v>1</x:v>
      </x:c>
      <x:c r="AS802" s="23" t="n">
        <x:v>0</x:v>
      </x:c>
      <x:c r="AT802" s="23" t="n">
        <x:v>0</x:v>
      </x:c>
    </x:row>
    <x:row r="803" ht="64" customHeight="1">
      <x:c r="A803" s="10" t="str">
        <x:v>IEK</x:v>
      </x:c>
      <x:c r="B803" s="34" t="str">
        <x:v>200400264_</x:v>
      </x:c>
      <x:c r="C803" s="34" t="str">
        <x:v>TM1-B11H</x:v>
      </x:c>
      <x:c r="D803" s="13" t="str">
        <x:v>Инструмент обжим. RJ-45/12/11 с храп. мех. ITK</x:v>
      </x:c>
      <x:c r="E803" s="10" t="str">
        <x:v>шт</x:v>
      </x:c>
      <x:c r="F803" s="37" t="n">
        <x:f>MAX(0,ROUNDDOWN((AG803-AF803)/AR803+0.000000001,0)*AR803)</x:f>
        <x:v>2</x:v>
      </x:c>
      <x:c r="G803" s="21" t="str">
        <x:f>IF(J803="Рассчитано",V803*(1-R803/100)-W803-P803-Q803,"н/д")</x:f>
        <x:v>н/д</x:v>
      </x:c>
      <x:c r="H803" s="13" t="str">
        <x:v>Высокий</x:v>
      </x:c>
      <x:c r="I803" s="13" t="str">
        <x:v>Средний</x:v>
      </x:c>
      <x:c r="J803" s="13" t="str">
        <x:f>IF(L803="","Укажите валюту",IF(NOT(ISNUMBER(K803)),"Укажите объём",IF(K803&lt;=0,"Укажите объём",IF(K803&gt;F803,"Объём выше излишка",IF(COUNT(M803:O803)&lt;3,"Нужны цены",IF(COUNT(P803:R803)&lt;3,"Нужны расходы",IF(OR(M803&lt;0,N803&lt;0,O803&lt;0,O803&gt;100,P803&lt;0,Q803&lt;0,R803&lt;0,R803&gt;100),"Проверьте значения","Рассчитано")))))))</x:f>
        <x:v>Нужны цены</x:v>
      </x:c>
      <x:c r="K803" s="36" t="n">
        <x:v>2</x:v>
      </x:c>
      <x:c r="L803" s="19" t="str">
        <x:v>KZT</x:v>
      </x:c>
      <x:c r="M803" s="22"/>
      <x:c r="N803" s="22"/>
      <x:c r="O803" s="28"/>
      <x:c r="P803" s="22"/>
      <x:c r="Q803" s="22"/>
      <x:c r="R803" s="28"/>
      <x:c r="S803" s="22"/>
      <x:c r="T803" s="37" t="n">
        <x:f>K803</x:f>
        <x:v>2</x:v>
      </x:c>
      <x:c r="U803" s="21" t="str">
        <x:f>IF(J803="Рассчитано",N803*(1-O803/100),"н/д")</x:f>
        <x:v>н/д</x:v>
      </x:c>
      <x:c r="V803" s="21" t="str">
        <x:f>IF(J803="Рассчитано",T803*U803,"н/д")</x:f>
        <x:v>н/д</x:v>
      </x:c>
      <x:c r="W803" s="21" t="str">
        <x:f>IF(J803="Рассчитано",T803*M803,"н/д")</x:f>
        <x:v>н/д</x:v>
      </x:c>
      <x:c r="X803" s="21" t="str">
        <x:f>IF(J803="Рассчитано",V803-W803,"н/д")</x:f>
        <x:v>н/д</x:v>
      </x:c>
      <x:c r="Y803" s="27" t="str">
        <x:f>IF(J803="Рассчитано",IF(V803&gt;0,G803/V803,"н/д"),"н/д")</x:f>
        <x:v>н/д</x:v>
      </x:c>
      <x:c r="Z803" s="21" t="str">
        <x:f>"н/д"</x:f>
        <x:v>н/д</x:v>
      </x:c>
      <x:c r="AA803" s="21" t="str">
        <x:f>"н/д"</x:f>
        <x:v>н/д</x:v>
      </x:c>
      <x:c r="AB803" s="21" t="str">
        <x:f>"н/д"</x:f>
        <x:v>н/д</x:v>
      </x:c>
      <x:c r="AC803" s="21" t="str">
        <x:f>IF(AND(J803="Рассчитано",T803&gt;0,R803&lt;100),(W803+P803+Q803)/(T803*(1-R803/100)),"н/д")</x:f>
        <x:v>н/д</x:v>
      </x:c>
      <x:c r="AD803" s="10" t="str">
        <x:f>IF(ISNUMBER(G803),IF(G803&lt;0,"Убыток",IF(G803=0,"Без прибыли","Прибыль &gt; 0")),"Не оценён")</x:f>
        <x:v>Не оценён</x:v>
      </x:c>
      <x:c r="AE803" s="13" t="str">
        <x:f>IF(J803="Рассчитано","Выручка "&amp;TEXT(V803,"0.00")&amp;" - себестоимость "&amp;TEXT(W803,"0.00")&amp;" - комиссия "&amp;TEXT(V803*R803/100,"0.00")&amp;" - доставка "&amp;TEXT(P803,"0.00")&amp;" - прочие "&amp;TEXT(Q803,"0.00")&amp;" = "&amp;TEXT(G803,"0.00")&amp;" "&amp;L803,"Введите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3" s="24" t="n">
        <x:v>3.4237807701969065</x:v>
      </x:c>
      <x:c r="AG803" s="37" t="n">
        <x:v>6</x:v>
      </x:c>
      <x:c r="AH803" s="37" t="n">
        <x:v>0</x:v>
      </x:c>
      <x:c r="AI803" s="30" t="n">
        <x:v>46266</x:v>
      </x:c>
      <x:c r="AJ803" s="37" t="n">
        <x:v>1</x:v>
      </x:c>
      <x:c r="AK803" s="10" t="str">
        <x:v>минимум</x:v>
      </x:c>
      <x:c r="AL803" s="32" t="n">
        <x:v>149.02678975892184</x:v>
      </x:c>
      <x:c r="AM803" s="13" t="str">
        <x:v>Остаток на начало сентября; Резервы неизвестны; Нет ежедневных данных доступности. Запас выше прогноза на 90 дней</x:v>
      </x:c>
      <x:c r="AN803" s="13" t="str">
        <x:v>Проверить свободный остаток и установить цену для B2B</x:v>
      </x:c>
      <x:c r="AO803" s="13" t="str">
        <x:v>Остаток 6; прогноз 90 дней 3.42; избыток 2 шт. Будущие поступления не выставляются на продажу. Остаток на начало сентября: требуется актуализация.</x:v>
      </x:c>
      <x:c r="AP803" s="13" t="str">
        <x:v>["category_missing", "daily_stockout_data_missing", "new_order_lead_time_unknown", "reservations_unknown", "stale_stock"]</x:v>
      </x:c>
      <x:c r="AQ803" s="10" t="str">
        <x:v>IEK:200400264_</x:v>
      </x:c>
      <x:c r="AR803" s="24" t="n">
        <x:v>1</x:v>
      </x:c>
      <x:c r="AS803" s="24" t="n">
        <x:v>0</x:v>
      </x:c>
      <x:c r="AT803" s="24" t="n">
        <x:v>0</x:v>
      </x:c>
    </x:row>
    <x:row r="804" ht="64" customHeight="1">
      <x:c r="A804" s="11" t="str">
        <x:v>IEK</x:v>
      </x:c>
      <x:c r="B804" s="33" t="str">
        <x:v>200400329_</x:v>
      </x:c>
      <x:c r="C804" s="33" t="str">
        <x:v>LC1-C604-128-T-P-R</x:v>
      </x:c>
      <x:c r="D804" s="12" t="str">
        <x:v>U/UTP кат.6 4х2х0,57 PVCLS нг(А)-LSLTx белый (305м) ITK</x:v>
      </x:c>
      <x:c r="E804" s="11" t="str">
        <x:v>м</x:v>
      </x:c>
      <x:c r="F804" s="23" t="n">
        <x:f>MAX(0,ROUNDDOWN((AG804-AF804)/AR804+0.000000001,0)*AR804)</x:f>
        <x:v>2379.092</x:v>
      </x:c>
      <x:c r="G804" s="20" t="str">
        <x:f>IF(J804="Рассчитано",V804*(1-R804/100)-W804-P804-Q804,"н/д")</x:f>
        <x:v>н/д</x:v>
      </x:c>
      <x:c r="H804" s="12" t="str">
        <x:v>Высокий</x:v>
      </x:c>
      <x:c r="I804" s="12" t="str">
        <x:v>Высокий</x:v>
      </x:c>
      <x:c r="J804" s="12" t="str">
        <x:f>IF(L804="","Укажите валюту",IF(NOT(ISNUMBER(K804)),"Укажите объём",IF(K804&lt;=0,"Укажите объём",IF(K804&gt;F804,"Объём выше излишка",IF(COUNT(M804:O804)&lt;3,"Нужны цены",IF(COUNT(P804:R804)&lt;3,"Нужны расходы",IF(OR(M804&lt;0,N804&lt;0,O804&lt;0,O804&gt;100,P804&lt;0,Q804&lt;0,R804&lt;0,R804&gt;100),"Проверьте значения","Рассчитано")))))))</x:f>
        <x:v>Нужны цены</x:v>
      </x:c>
      <x:c r="K804" s="25" t="n">
        <x:v>2379.092</x:v>
      </x:c>
      <x:c r="L804" s="19" t="str">
        <x:v>KZT</x:v>
      </x:c>
      <x:c r="M804" s="22"/>
      <x:c r="N804" s="22"/>
      <x:c r="O804" s="28"/>
      <x:c r="P804" s="22"/>
      <x:c r="Q804" s="22"/>
      <x:c r="R804" s="28"/>
      <x:c r="S804" s="22"/>
      <x:c r="T804" s="23" t="n">
        <x:f>K804</x:f>
        <x:v>2379.092</x:v>
      </x:c>
      <x:c r="U804" s="20" t="str">
        <x:f>IF(J804="Рассчитано",N804*(1-O804/100),"н/д")</x:f>
        <x:v>н/д</x:v>
      </x:c>
      <x:c r="V804" s="20" t="str">
        <x:f>IF(J804="Рассчитано",T804*U804,"н/д")</x:f>
        <x:v>н/д</x:v>
      </x:c>
      <x:c r="W804" s="20" t="str">
        <x:f>IF(J804="Рассчитано",T804*M804,"н/д")</x:f>
        <x:v>н/д</x:v>
      </x:c>
      <x:c r="X804" s="20" t="str">
        <x:f>IF(J804="Рассчитано",V804-W804,"н/д")</x:f>
        <x:v>н/д</x:v>
      </x:c>
      <x:c r="Y804" s="26" t="str">
        <x:f>IF(J804="Рассчитано",IF(V804&gt;0,G804/V804,"н/д"),"н/д")</x:f>
        <x:v>н/д</x:v>
      </x:c>
      <x:c r="Z804" s="20" t="str">
        <x:f>"н/д"</x:f>
        <x:v>н/д</x:v>
      </x:c>
      <x:c r="AA804" s="20" t="str">
        <x:f>"н/д"</x:f>
        <x:v>н/д</x:v>
      </x:c>
      <x:c r="AB804" s="20" t="str">
        <x:f>"н/д"</x:f>
        <x:v>н/д</x:v>
      </x:c>
      <x:c r="AC804" s="20" t="str">
        <x:f>IF(AND(J804="Рассчитано",T804&gt;0,R804&lt;100),(W804+P804+Q804)/(T804*(1-R804/100)),"н/д")</x:f>
        <x:v>н/д</x:v>
      </x:c>
      <x:c r="AD804" s="11" t="str">
        <x:f>IF(ISNUMBER(G804),IF(G804&lt;0,"Убыток",IF(G804=0,"Без прибыли","Прибыль &gt; 0")),"Не оценён")</x:f>
        <x:v>Не оценён</x:v>
      </x:c>
      <x:c r="AE804" s="12" t="str">
        <x:f>IF(J804="Рассчитано","Выручка "&amp;TEXT(V804,"0.00")&amp;" - себестоимость "&amp;TEXT(W804,"0.00")&amp;" - комиссия "&amp;TEXT(V804*R804/100,"0.00")&amp;" - доставка "&amp;TEXT(P804,"0.00")&amp;" - прочие "&amp;TEXT(Q804,"0.00")&amp;" = "&amp;TEXT(G804,"0.00")&amp;" "&amp;L804,"Введите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4" s="23" t="n">
        <x:v>60.90757429893484</x:v>
      </x:c>
      <x:c r="AG804" s="23" t="n">
        <x:v>2440</x:v>
      </x:c>
      <x:c r="AH804" s="23" t="n">
        <x:v>0</x:v>
      </x:c>
      <x:c r="AI804" s="29" t="n">
        <x:v>46266</x:v>
      </x:c>
      <x:c r="AJ804" s="23" t="n">
        <x:v>1</x:v>
      </x:c>
      <x:c r="AK804" s="11" t="str">
        <x:v>минимум</x:v>
      </x:c>
      <x:c r="AL804" s="31" t="n">
        <x:v>3406.728838628924</x:v>
      </x:c>
      <x:c r="AM80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04" s="12" t="str">
        <x:v>Проверить свободный остаток и установить цену для B2B</x:v>
      </x:c>
      <x:c r="AO804" s="12" t="str">
        <x:v>Остаток 2440; прогноз 90 дней 60.91; избыток 2379.09 м. Будущие поступления не выставляются на продажу. Остаток на начало сентября: требуется актуализация.</x:v>
      </x:c>
      <x:c r="AP804" s="12" t="str">
        <x:v>["category_missing", "daily_stockout_data_missing", "new_order_lead_time_unknown", "reservations_unknown", "stale_stock"]</x:v>
      </x:c>
      <x:c r="AQ804" s="11" t="str">
        <x:v>IEK:200400329_</x:v>
      </x:c>
      <x:c r="AR804" s="23" t="n">
        <x:v>0.001</x:v>
      </x:c>
      <x:c r="AS804" s="23" t="n">
        <x:v>0</x:v>
      </x:c>
      <x:c r="AT804" s="23" t="n">
        <x:v>0</x:v>
      </x:c>
    </x:row>
    <x:row r="805" ht="64" customHeight="1">
      <x:c r="A805" s="10" t="str">
        <x:v>IEK</x:v>
      </x:c>
      <x:c r="B805" s="34" t="str">
        <x:v>200400330_</x:v>
      </x:c>
      <x:c r="C805" s="34" t="str">
        <x:v>LC1-C604-127-T-P-R</x:v>
      </x:c>
      <x:c r="D805" s="13" t="str">
        <x:v>U/UTP кат.6 4х2х0,57 LSZH нг(А)-HF оранжевый (305м)  ITK</x:v>
      </x:c>
      <x:c r="E805" s="10" t="str">
        <x:v>м</x:v>
      </x:c>
      <x:c r="F805" s="24" t="n">
        <x:f>MAX(0,ROUNDDOWN((AG805-AF805)/AR805+0.000000001,0)*AR805)</x:f>
        <x:v>1623.944</x:v>
      </x:c>
      <x:c r="G805" s="21" t="str">
        <x:f>IF(J805="Рассчитано",V805*(1-R805/100)-W805-P805-Q805,"н/д")</x:f>
        <x:v>н/д</x:v>
      </x:c>
      <x:c r="H805" s="13" t="str">
        <x:v>Высокий</x:v>
      </x:c>
      <x:c r="I805" s="13" t="str">
        <x:v>Высокий</x:v>
      </x:c>
      <x:c r="J805" s="13" t="str">
        <x:f>IF(L805="","Укажите валюту",IF(NOT(ISNUMBER(K805)),"Укажите объём",IF(K805&lt;=0,"Укажите объём",IF(K805&gt;F805,"Объём выше излишка",IF(COUNT(M805:O805)&lt;3,"Нужны цены",IF(COUNT(P805:R805)&lt;3,"Нужны расходы",IF(OR(M805&lt;0,N805&lt;0,O805&lt;0,O805&gt;100,P805&lt;0,Q805&lt;0,R805&lt;0,R805&gt;100),"Проверьте значения","Рассчитано")))))))</x:f>
        <x:v>Нужны цены</x:v>
      </x:c>
      <x:c r="K805" s="25" t="n">
        <x:v>1623.944</x:v>
      </x:c>
      <x:c r="L805" s="19" t="str">
        <x:v>KZT</x:v>
      </x:c>
      <x:c r="M805" s="22"/>
      <x:c r="N805" s="22"/>
      <x:c r="O805" s="28"/>
      <x:c r="P805" s="22"/>
      <x:c r="Q805" s="22"/>
      <x:c r="R805" s="28"/>
      <x:c r="S805" s="22"/>
      <x:c r="T805" s="24" t="n">
        <x:f>K805</x:f>
        <x:v>1623.944</x:v>
      </x:c>
      <x:c r="U805" s="21" t="str">
        <x:f>IF(J805="Рассчитано",N805*(1-O805/100),"н/д")</x:f>
        <x:v>н/д</x:v>
      </x:c>
      <x:c r="V805" s="21" t="str">
        <x:f>IF(J805="Рассчитано",T805*U805,"н/д")</x:f>
        <x:v>н/д</x:v>
      </x:c>
      <x:c r="W805" s="21" t="str">
        <x:f>IF(J805="Рассчитано",T805*M805,"н/д")</x:f>
        <x:v>н/д</x:v>
      </x:c>
      <x:c r="X805" s="21" t="str">
        <x:f>IF(J805="Рассчитано",V805-W805,"н/д")</x:f>
        <x:v>н/д</x:v>
      </x:c>
      <x:c r="Y805" s="27" t="str">
        <x:f>IF(J805="Рассчитано",IF(V805&gt;0,G805/V805,"н/д"),"н/д")</x:f>
        <x:v>н/д</x:v>
      </x:c>
      <x:c r="Z805" s="21" t="str">
        <x:f>"н/д"</x:f>
        <x:v>н/д</x:v>
      </x:c>
      <x:c r="AA805" s="21" t="str">
        <x:f>"н/д"</x:f>
        <x:v>н/д</x:v>
      </x:c>
      <x:c r="AB805" s="21" t="str">
        <x:f>"н/д"</x:f>
        <x:v>н/д</x:v>
      </x:c>
      <x:c r="AC805" s="21" t="str">
        <x:f>IF(AND(J805="Рассчитано",T805&gt;0,R805&lt;100),(W805+P805+Q805)/(T805*(1-R805/100)),"н/д")</x:f>
        <x:v>н/д</x:v>
      </x:c>
      <x:c r="AD805" s="10" t="str">
        <x:f>IF(ISNUMBER(G805),IF(G805&lt;0,"Убыток",IF(G805=0,"Без прибыли","Прибыль &gt; 0")),"Не оценён")</x:f>
        <x:v>Не оценён</x:v>
      </x:c>
      <x:c r="AE805" s="13" t="str">
        <x:f>IF(J805="Рассчитано","Выручка "&amp;TEXT(V805,"0.00")&amp;" - себестоимость "&amp;TEXT(W805,"0.00")&amp;" - комиссия "&amp;TEXT(V805*R805/100,"0.00")&amp;" - доставка "&amp;TEXT(P805,"0.00")&amp;" - прочие "&amp;TEXT(Q805,"0.00")&amp;" = "&amp;TEXT(G805,"0.00")&amp;" "&amp;L805,"Введите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5" s="24" t="n">
        <x:v>136.0557586786385</x:v>
      </x:c>
      <x:c r="AG805" s="24" t="n">
        <x:v>1760</x:v>
      </x:c>
      <x:c r="AH805" s="24" t="n">
        <x:v>0</x:v>
      </x:c>
      <x:c r="AI805" s="30" t="n">
        <x:v>46266</x:v>
      </x:c>
      <x:c r="AJ805" s="24" t="n">
        <x:v>1</x:v>
      </x:c>
      <x:c r="AK805" s="10" t="str">
        <x:v>минимум</x:v>
      </x:c>
      <x:c r="AL805" s="32" t="n">
        <x:v>1100.0559734699864</x:v>
      </x:c>
      <x:c r="AM80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05" s="13" t="str">
        <x:v>Проверить свободный остаток и установить цену для B2B</x:v>
      </x:c>
      <x:c r="AO805" s="13" t="str">
        <x:v>Остаток 1760; прогноз 90 дней 136.06; избыток 1623.94 м. Будущие поступления не выставляются на продажу. Остаток на начало сентября: требуется актуализация.</x:v>
      </x:c>
      <x:c r="AP805" s="13" t="str">
        <x:v>["category_missing", "daily_stockout_data_missing", "new_order_lead_time_unknown", "reservations_unknown", "stale_stock"]</x:v>
      </x:c>
      <x:c r="AQ805" s="10" t="str">
        <x:v>IEK:200400330_</x:v>
      </x:c>
      <x:c r="AR805" s="24" t="n">
        <x:v>0.001</x:v>
      </x:c>
      <x:c r="AS805" s="24" t="n">
        <x:v>0</x:v>
      </x:c>
      <x:c r="AT805" s="24" t="n">
        <x:v>0</x:v>
      </x:c>
    </x:row>
    <x:row r="806" ht="64" customHeight="1">
      <x:c r="A806" s="11" t="str">
        <x:v>IEK</x:v>
      </x:c>
      <x:c r="B806" s="33" t="str">
        <x:v>201000015_</x:v>
      </x:c>
      <x:c r="C806" s="33" t="str">
        <x:v>CNT-A310D33V18-22TE</x:v>
      </x:c>
      <x:c r="D806" s="12" t="str">
        <x:v>Преобраз. частоты CONTROL-A310 380В 3Ф  18-22кВт 37-45A IEK (1) NEW</x:v>
      </x:c>
      <x:c r="E806" s="11" t="str">
        <x:v>шт</x:v>
      </x:c>
      <x:c r="F806" s="35" t="n">
        <x:f>MAX(0,ROUNDDOWN((AG806-AF806)/AR806+0.000000001,0)*AR806)</x:f>
        <x:v>1</x:v>
      </x:c>
      <x:c r="G806" s="20" t="str">
        <x:f>IF(J806="Рассчитано",V806*(1-R806/100)-W806-P806-Q806,"н/д")</x:f>
        <x:v>н/д</x:v>
      </x:c>
      <x:c r="H806" s="12" t="str">
        <x:v>Высокий</x:v>
      </x:c>
      <x:c r="I806" s="12" t="str">
        <x:v>Высокий</x:v>
      </x:c>
      <x:c r="J806" s="12" t="str">
        <x:f>IF(L806="","Укажите валюту",IF(NOT(ISNUMBER(K806)),"Укажите объём",IF(K806&lt;=0,"Укажите объём",IF(K806&gt;F806,"Объём выше излишка",IF(COUNT(M806:O806)&lt;3,"Нужны цены",IF(COUNT(P806:R806)&lt;3,"Нужны расходы",IF(OR(M806&lt;0,N806&lt;0,O806&lt;0,O806&gt;100,P806&lt;0,Q806&lt;0,R806&lt;0,R806&gt;100),"Проверьте значения","Рассчитано")))))))</x:f>
        <x:v>Нужны цены</x:v>
      </x:c>
      <x:c r="K806" s="36" t="n">
        <x:v>1</x:v>
      </x:c>
      <x:c r="L806" s="19" t="str">
        <x:v>KZT</x:v>
      </x:c>
      <x:c r="M806" s="22"/>
      <x:c r="N806" s="22"/>
      <x:c r="O806" s="28"/>
      <x:c r="P806" s="22"/>
      <x:c r="Q806" s="22"/>
      <x:c r="R806" s="28"/>
      <x:c r="S806" s="22"/>
      <x:c r="T806" s="35" t="n">
        <x:f>K806</x:f>
        <x:v>1</x:v>
      </x:c>
      <x:c r="U806" s="20" t="str">
        <x:f>IF(J806="Рассчитано",N806*(1-O806/100),"н/д")</x:f>
        <x:v>н/д</x:v>
      </x:c>
      <x:c r="V806" s="20" t="str">
        <x:f>IF(J806="Рассчитано",T806*U806,"н/д")</x:f>
        <x:v>н/д</x:v>
      </x:c>
      <x:c r="W806" s="20" t="str">
        <x:f>IF(J806="Рассчитано",T806*M806,"н/д")</x:f>
        <x:v>н/д</x:v>
      </x:c>
      <x:c r="X806" s="20" t="str">
        <x:f>IF(J806="Рассчитано",V806-W806,"н/д")</x:f>
        <x:v>н/д</x:v>
      </x:c>
      <x:c r="Y806" s="26" t="str">
        <x:f>IF(J806="Рассчитано",IF(V806&gt;0,G806/V806,"н/д"),"н/д")</x:f>
        <x:v>н/д</x:v>
      </x:c>
      <x:c r="Z806" s="20" t="str">
        <x:f>"н/д"</x:f>
        <x:v>н/д</x:v>
      </x:c>
      <x:c r="AA806" s="20" t="str">
        <x:f>"н/д"</x:f>
        <x:v>н/д</x:v>
      </x:c>
      <x:c r="AB806" s="20" t="str">
        <x:f>"н/д"</x:f>
        <x:v>н/д</x:v>
      </x:c>
      <x:c r="AC806" s="20" t="str">
        <x:f>IF(AND(J806="Рассчитано",T806&gt;0,R806&lt;100),(W806+P806+Q806)/(T806*(1-R806/100)),"н/д")</x:f>
        <x:v>н/д</x:v>
      </x:c>
      <x:c r="AD806" s="11" t="str">
        <x:f>IF(ISNUMBER(G806),IF(G806&lt;0,"Убыток",IF(G806=0,"Без прибыли","Прибыль &gt; 0")),"Не оценён")</x:f>
        <x:v>Не оценён</x:v>
      </x:c>
      <x:c r="AE806" s="12" t="str">
        <x:f>IF(J806="Рассчитано","Выручка "&amp;TEXT(V806,"0.00")&amp;" - себестоимость "&amp;TEXT(W806,"0.00")&amp;" - комиссия "&amp;TEXT(V806*R806/100,"0.00")&amp;" - доставка "&amp;TEXT(P806,"0.00")&amp;" - прочие "&amp;TEXT(Q806,"0.00")&amp;" = "&amp;TEXT(G806,"0.00")&amp;" "&amp;L806,"Введите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6" s="23" t="n">
        <x:v>0</x:v>
      </x:c>
      <x:c r="AG806" s="35" t="n">
        <x:v>1</x:v>
      </x:c>
      <x:c r="AH806" s="35" t="n">
        <x:v>0</x:v>
      </x:c>
      <x:c r="AI806" s="29" t="n">
        <x:v>46266</x:v>
      </x:c>
      <x:c r="AJ806" s="35"/>
      <x:c r="AK806" s="11" t="str">
        <x:v>неизвестно</x:v>
      </x:c>
      <x:c r="AL806" s="31" t="str">
        <x:v>н/д</x:v>
      </x:c>
      <x:c r="AM80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806" s="12" t="str">
        <x:v>Проверить свободный остаток и установить цену для B2B</x:v>
      </x:c>
      <x:c r="AO806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806" s="12" t="str">
        <x:v>["category_missing", "daily_stockout_data_missing", "moq_missing", "new_order_lead_time_unknown", "reservations_unknown", "stale_stock"]</x:v>
      </x:c>
      <x:c r="AQ806" s="11" t="str">
        <x:v>IEK:201000015_</x:v>
      </x:c>
      <x:c r="AR806" s="23" t="n">
        <x:v>1</x:v>
      </x:c>
      <x:c r="AS806" s="23" t="n">
        <x:v>0</x:v>
      </x:c>
      <x:c r="AT806" s="23" t="n">
        <x:v>0</x:v>
      </x:c>
    </x:row>
    <x:row r="807" ht="64" customHeight="1">
      <x:c r="A807" s="10" t="str">
        <x:v>IEK</x:v>
      </x:c>
      <x:c r="B807" s="34" t="str">
        <x:v>240100002_</x:v>
      </x:c>
      <x:c r="C807" s="34" t="str">
        <x:v>UHH31-D025-150-100</x:v>
      </x:c>
      <x:c r="D807" s="13" t="str">
        <x:v>Хомут 2,5х150 IEK (100)</x:v>
      </x:c>
      <x:c r="E807" s="10" t="str">
        <x:v>упак</x:v>
      </x:c>
      <x:c r="F807" s="37" t="n">
        <x:f>MAX(0,ROUNDDOWN((AG807-AF807)/AR807+0.000000001,0)*AR807)</x:f>
        <x:v>160</x:v>
      </x:c>
      <x:c r="G807" s="21" t="str">
        <x:f>IF(J807="Рассчитано",V807*(1-R807/100)-W807-P807-Q807,"н/д")</x:f>
        <x:v>н/д</x:v>
      </x:c>
      <x:c r="H807" s="13" t="str">
        <x:v>Высокий</x:v>
      </x:c>
      <x:c r="I807" s="13" t="str">
        <x:v>Высокий</x:v>
      </x:c>
      <x:c r="J807" s="13" t="str">
        <x:f>IF(L807="","Укажите валюту",IF(NOT(ISNUMBER(K807)),"Укажите объём",IF(K807&lt;=0,"Укажите объём",IF(K807&gt;F807,"Объём выше излишка",IF(COUNT(M807:O807)&lt;3,"Нужны цены",IF(COUNT(P807:R807)&lt;3,"Нужны расходы",IF(OR(M807&lt;0,N807&lt;0,O807&lt;0,O807&gt;100,P807&lt;0,Q807&lt;0,R807&lt;0,R807&gt;100),"Проверьте значения","Рассчитано")))))))</x:f>
        <x:v>Нужны цены</x:v>
      </x:c>
      <x:c r="K807" s="36" t="n">
        <x:v>160</x:v>
      </x:c>
      <x:c r="L807" s="19" t="str">
        <x:v>KZT</x:v>
      </x:c>
      <x:c r="M807" s="22"/>
      <x:c r="N807" s="22"/>
      <x:c r="O807" s="28"/>
      <x:c r="P807" s="22"/>
      <x:c r="Q807" s="22"/>
      <x:c r="R807" s="28"/>
      <x:c r="S807" s="22"/>
      <x:c r="T807" s="37" t="n">
        <x:f>K807</x:f>
        <x:v>160</x:v>
      </x:c>
      <x:c r="U807" s="21" t="str">
        <x:f>IF(J807="Рассчитано",N807*(1-O807/100),"н/д")</x:f>
        <x:v>н/д</x:v>
      </x:c>
      <x:c r="V807" s="21" t="str">
        <x:f>IF(J807="Рассчитано",T807*U807,"н/д")</x:f>
        <x:v>н/д</x:v>
      </x:c>
      <x:c r="W807" s="21" t="str">
        <x:f>IF(J807="Рассчитано",T807*M807,"н/д")</x:f>
        <x:v>н/д</x:v>
      </x:c>
      <x:c r="X807" s="21" t="str">
        <x:f>IF(J807="Рассчитано",V807-W807,"н/д")</x:f>
        <x:v>н/д</x:v>
      </x:c>
      <x:c r="Y807" s="27" t="str">
        <x:f>IF(J807="Рассчитано",IF(V807&gt;0,G807/V807,"н/д"),"н/д")</x:f>
        <x:v>н/д</x:v>
      </x:c>
      <x:c r="Z807" s="21" t="str">
        <x:f>"н/д"</x:f>
        <x:v>н/д</x:v>
      </x:c>
      <x:c r="AA807" s="21" t="str">
        <x:f>"н/д"</x:f>
        <x:v>н/д</x:v>
      </x:c>
      <x:c r="AB807" s="21" t="str">
        <x:f>"н/д"</x:f>
        <x:v>н/д</x:v>
      </x:c>
      <x:c r="AC807" s="21" t="str">
        <x:f>IF(AND(J807="Рассчитано",T807&gt;0,R807&lt;100),(W807+P807+Q807)/(T807*(1-R807/100)),"н/д")</x:f>
        <x:v>н/д</x:v>
      </x:c>
      <x:c r="AD807" s="10" t="str">
        <x:f>IF(ISNUMBER(G807),IF(G807&lt;0,"Убыток",IF(G807=0,"Без прибыли","Прибыль &gt; 0")),"Не оценён")</x:f>
        <x:v>Не оценён</x:v>
      </x:c>
      <x:c r="AE807" s="13" t="str">
        <x:f>IF(J807="Рассчитано","Выручка "&amp;TEXT(V807,"0.00")&amp;" - себестоимость "&amp;TEXT(W807,"0.00")&amp;" - комиссия "&amp;TEXT(V807*R807/100,"0.00")&amp;" - доставка "&amp;TEXT(P807,"0.00")&amp;" - прочие "&amp;TEXT(Q807,"0.00")&amp;" = "&amp;TEXT(G807,"0.00")&amp;" "&amp;L807,"Введите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7" s="24" t="n">
        <x:v>11.763599285349901</x:v>
      </x:c>
      <x:c r="AG807" s="37" t="n">
        <x:v>172</x:v>
      </x:c>
      <x:c r="AH807" s="37" t="n">
        <x:v>0</x:v>
      </x:c>
      <x:c r="AI807" s="30" t="n">
        <x:v>46266</x:v>
      </x:c>
      <x:c r="AJ807" s="37" t="n">
        <x:v>20</x:v>
      </x:c>
      <x:c r="AK807" s="10" t="str">
        <x:v>минимум</x:v>
      </x:c>
      <x:c r="AL807" s="32" t="n">
        <x:v>1243.389709770035</x:v>
      </x:c>
      <x:c r="AM80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07" s="13" t="str">
        <x:v>Проверить свободный остаток и установить цену для B2B</x:v>
      </x:c>
      <x:c r="AO807" s="13" t="str">
        <x:v>Остаток 172; прогноз 90 дней 11.76; избыток 160 упак. Будущие поступления не выставляются на продажу. Остаток на начало сентября: требуется актуализация.</x:v>
      </x:c>
      <x:c r="AP807" s="13" t="str">
        <x:v>["category_missing", "daily_stockout_data_missing", "large_orders_detected", "new_order_lead_time_unknown", "reservations_unknown", "stale_stock"]</x:v>
      </x:c>
      <x:c r="AQ807" s="10" t="str">
        <x:v>IEK:240100002_</x:v>
      </x:c>
      <x:c r="AR807" s="24" t="n">
        <x:v>1</x:v>
      </x:c>
      <x:c r="AS807" s="24" t="n">
        <x:v>0</x:v>
      </x:c>
      <x:c r="AT807" s="24" t="n">
        <x:v>0</x:v>
      </x:c>
    </x:row>
    <x:row r="808" ht="64" customHeight="1">
      <x:c r="A808" s="11" t="str">
        <x:v>IEK</x:v>
      </x:c>
      <x:c r="B808" s="33" t="str">
        <x:v>240100003_</x:v>
      </x:c>
      <x:c r="C808" s="33" t="str">
        <x:v>UHH31-D036-100-100</x:v>
      </x:c>
      <x:c r="D808" s="12" t="str">
        <x:v>Хомут 3,6х100 IEK (100)</x:v>
      </x:c>
      <x:c r="E808" s="11" t="str">
        <x:v>упак</x:v>
      </x:c>
      <x:c r="F808" s="35" t="n">
        <x:f>MAX(0,ROUNDDOWN((AG808-AF808)/AR808+0.000000001,0)*AR808)</x:f>
        <x:v>50</x:v>
      </x:c>
      <x:c r="G808" s="20" t="str">
        <x:f>IF(J808="Рассчитано",V808*(1-R808/100)-W808-P808-Q808,"н/д")</x:f>
        <x:v>н/д</x:v>
      </x:c>
      <x:c r="H808" s="12" t="str">
        <x:v>Высокий</x:v>
      </x:c>
      <x:c r="I808" s="12" t="str">
        <x:v>Высокий</x:v>
      </x:c>
      <x:c r="J808" s="12" t="str">
        <x:f>IF(L808="","Укажите валюту",IF(NOT(ISNUMBER(K808)),"Укажите объём",IF(K808&lt;=0,"Укажите объём",IF(K808&gt;F808,"Объём выше излишка",IF(COUNT(M808:O808)&lt;3,"Нужны цены",IF(COUNT(P808:R808)&lt;3,"Нужны расходы",IF(OR(M808&lt;0,N808&lt;0,O808&lt;0,O808&gt;100,P808&lt;0,Q808&lt;0,R808&lt;0,R808&gt;100),"Проверьте значения","Рассчитано")))))))</x:f>
        <x:v>Нужны цены</x:v>
      </x:c>
      <x:c r="K808" s="36" t="n">
        <x:v>50</x:v>
      </x:c>
      <x:c r="L808" s="19" t="str">
        <x:v>KZT</x:v>
      </x:c>
      <x:c r="M808" s="22"/>
      <x:c r="N808" s="22"/>
      <x:c r="O808" s="28"/>
      <x:c r="P808" s="22"/>
      <x:c r="Q808" s="22"/>
      <x:c r="R808" s="28"/>
      <x:c r="S808" s="22"/>
      <x:c r="T808" s="35" t="n">
        <x:f>K808</x:f>
        <x:v>50</x:v>
      </x:c>
      <x:c r="U808" s="20" t="str">
        <x:f>IF(J808="Рассчитано",N808*(1-O808/100),"н/д")</x:f>
        <x:v>н/д</x:v>
      </x:c>
      <x:c r="V808" s="20" t="str">
        <x:f>IF(J808="Рассчитано",T808*U808,"н/д")</x:f>
        <x:v>н/д</x:v>
      </x:c>
      <x:c r="W808" s="20" t="str">
        <x:f>IF(J808="Рассчитано",T808*M808,"н/д")</x:f>
        <x:v>н/д</x:v>
      </x:c>
      <x:c r="X808" s="20" t="str">
        <x:f>IF(J808="Рассчитано",V808-W808,"н/д")</x:f>
        <x:v>н/д</x:v>
      </x:c>
      <x:c r="Y808" s="26" t="str">
        <x:f>IF(J808="Рассчитано",IF(V808&gt;0,G808/V808,"н/д"),"н/д")</x:f>
        <x:v>н/д</x:v>
      </x:c>
      <x:c r="Z808" s="20" t="str">
        <x:f>"н/д"</x:f>
        <x:v>н/д</x:v>
      </x:c>
      <x:c r="AA808" s="20" t="str">
        <x:f>"н/д"</x:f>
        <x:v>н/д</x:v>
      </x:c>
      <x:c r="AB808" s="20" t="str">
        <x:f>"н/д"</x:f>
        <x:v>н/д</x:v>
      </x:c>
      <x:c r="AC808" s="20" t="str">
        <x:f>IF(AND(J808="Рассчитано",T808&gt;0,R808&lt;100),(W808+P808+Q808)/(T808*(1-R808/100)),"н/д")</x:f>
        <x:v>н/д</x:v>
      </x:c>
      <x:c r="AD808" s="11" t="str">
        <x:f>IF(ISNUMBER(G808),IF(G808&lt;0,"Убыток",IF(G808=0,"Без прибыли","Прибыль &gt; 0")),"Не оценён")</x:f>
        <x:v>Не оценён</x:v>
      </x:c>
      <x:c r="AE808" s="12" t="str">
        <x:f>IF(J808="Рассчитано","Выручка "&amp;TEXT(V808,"0.00")&amp;" - себестоимость "&amp;TEXT(W808,"0.00")&amp;" - комиссия "&amp;TEXT(V808*R808/100,"0.00")&amp;" - доставка "&amp;TEXT(P808,"0.00")&amp;" - прочие "&amp;TEXT(Q808,"0.00")&amp;" = "&amp;TEXT(G808,"0.00")&amp;" "&amp;L808,"Введите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8" s="23" t="n">
        <x:v>5.608754668386941</x:v>
      </x:c>
      <x:c r="AG808" s="35" t="n">
        <x:v>56</x:v>
      </x:c>
      <x:c r="AH808" s="35" t="n">
        <x:v>0</x:v>
      </x:c>
      <x:c r="AI808" s="29" t="n">
        <x:v>46266</x:v>
      </x:c>
      <x:c r="AJ808" s="35" t="n">
        <x:v>20</x:v>
      </x:c>
      <x:c r="AK808" s="11" t="str">
        <x:v>минимум</x:v>
      </x:c>
      <x:c r="AL808" s="31" t="n">
        <x:v>849.0643907762167</x:v>
      </x:c>
      <x:c r="AM80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08" s="12" t="str">
        <x:v>Проверить свободный остаток и установить цену для B2B</x:v>
      </x:c>
      <x:c r="AO808" s="12" t="str">
        <x:v>Остаток 56; прогноз 90 дней 5.61; избыток 50 упак. Будущие поступления не выставляются на продажу. Остаток на начало сентября: требуется актуализация.</x:v>
      </x:c>
      <x:c r="AP808" s="12" t="str">
        <x:v>["category_missing", "daily_stockout_data_missing", "new_order_lead_time_unknown", "reservations_unknown", "stale_stock"]</x:v>
      </x:c>
      <x:c r="AQ808" s="11" t="str">
        <x:v>IEK:240100003_</x:v>
      </x:c>
      <x:c r="AR808" s="23" t="n">
        <x:v>1</x:v>
      </x:c>
      <x:c r="AS808" s="23" t="n">
        <x:v>0</x:v>
      </x:c>
      <x:c r="AT808" s="23" t="n">
        <x:v>0</x:v>
      </x:c>
    </x:row>
    <x:row r="809" ht="64" customHeight="1">
      <x:c r="A809" s="10" t="str">
        <x:v>IEK</x:v>
      </x:c>
      <x:c r="B809" s="34" t="str">
        <x:v>240100004_</x:v>
      </x:c>
      <x:c r="C809" s="34" t="str">
        <x:v>UHH31-D036-150-100</x:v>
      </x:c>
      <x:c r="D809" s="13" t="str">
        <x:v>Хомут 3,6х150 IEK (100)</x:v>
      </x:c>
      <x:c r="E809" s="10" t="str">
        <x:v>упак</x:v>
      </x:c>
      <x:c r="F809" s="37" t="n">
        <x:f>MAX(0,ROUNDDOWN((AG809-AF809)/AR809+0.000000001,0)*AR809)</x:f>
        <x:v>45</x:v>
      </x:c>
      <x:c r="G809" s="21" t="str">
        <x:f>IF(J809="Рассчитано",V809*(1-R809/100)-W809-P809-Q809,"н/д")</x:f>
        <x:v>н/д</x:v>
      </x:c>
      <x:c r="H809" s="13" t="str">
        <x:v>Высокий</x:v>
      </x:c>
      <x:c r="I809" s="13" t="str">
        <x:v>Средний</x:v>
      </x:c>
      <x:c r="J809" s="13" t="str">
        <x:f>IF(L809="","Укажите валюту",IF(NOT(ISNUMBER(K809)),"Укажите объём",IF(K809&lt;=0,"Укажите объём",IF(K809&gt;F809,"Объём выше излишка",IF(COUNT(M809:O809)&lt;3,"Нужны цены",IF(COUNT(P809:R809)&lt;3,"Нужны расходы",IF(OR(M809&lt;0,N809&lt;0,O809&lt;0,O809&gt;100,P809&lt;0,Q809&lt;0,R809&lt;0,R809&gt;100),"Проверьте значения","Рассчитано")))))))</x:f>
        <x:v>Нужны цены</x:v>
      </x:c>
      <x:c r="K809" s="36" t="n">
        <x:v>45</x:v>
      </x:c>
      <x:c r="L809" s="19" t="str">
        <x:v>KZT</x:v>
      </x:c>
      <x:c r="M809" s="22"/>
      <x:c r="N809" s="22"/>
      <x:c r="O809" s="28"/>
      <x:c r="P809" s="22"/>
      <x:c r="Q809" s="22"/>
      <x:c r="R809" s="28"/>
      <x:c r="S809" s="22"/>
      <x:c r="T809" s="37" t="n">
        <x:f>K809</x:f>
        <x:v>45</x:v>
      </x:c>
      <x:c r="U809" s="21" t="str">
        <x:f>IF(J809="Рассчитано",N809*(1-O809/100),"н/д")</x:f>
        <x:v>н/д</x:v>
      </x:c>
      <x:c r="V809" s="21" t="str">
        <x:f>IF(J809="Рассчитано",T809*U809,"н/д")</x:f>
        <x:v>н/д</x:v>
      </x:c>
      <x:c r="W809" s="21" t="str">
        <x:f>IF(J809="Рассчитано",T809*M809,"н/д")</x:f>
        <x:v>н/д</x:v>
      </x:c>
      <x:c r="X809" s="21" t="str">
        <x:f>IF(J809="Рассчитано",V809-W809,"н/д")</x:f>
        <x:v>н/д</x:v>
      </x:c>
      <x:c r="Y809" s="27" t="str">
        <x:f>IF(J809="Рассчитано",IF(V809&gt;0,G809/V809,"н/д"),"н/д")</x:f>
        <x:v>н/д</x:v>
      </x:c>
      <x:c r="Z809" s="21" t="str">
        <x:f>"н/д"</x:f>
        <x:v>н/д</x:v>
      </x:c>
      <x:c r="AA809" s="21" t="str">
        <x:f>"н/д"</x:f>
        <x:v>н/д</x:v>
      </x:c>
      <x:c r="AB809" s="21" t="str">
        <x:f>"н/д"</x:f>
        <x:v>н/д</x:v>
      </x:c>
      <x:c r="AC809" s="21" t="str">
        <x:f>IF(AND(J809="Рассчитано",T809&gt;0,R809&lt;100),(W809+P809+Q809)/(T809*(1-R809/100)),"н/д")</x:f>
        <x:v>н/д</x:v>
      </x:c>
      <x:c r="AD809" s="10" t="str">
        <x:f>IF(ISNUMBER(G809),IF(G809&lt;0,"Убыток",IF(G809=0,"Без прибыли","Прибыль &gt; 0")),"Не оценён")</x:f>
        <x:v>Не оценён</x:v>
      </x:c>
      <x:c r="AE809" s="13" t="str">
        <x:f>IF(J809="Рассчитано","Выручка "&amp;TEXT(V809,"0.00")&amp;" - себестоимость "&amp;TEXT(W809,"0.00")&amp;" - комиссия "&amp;TEXT(V809*R809/100,"0.00")&amp;" - доставка "&amp;TEXT(P809,"0.00")&amp;" - прочие "&amp;TEXT(Q809,"0.00")&amp;" = "&amp;TEXT(G809,"0.00")&amp;" "&amp;L809,"Введите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9" s="24" t="n">
        <x:v>42.40589841405794</x:v>
      </x:c>
      <x:c r="AG809" s="37" t="n">
        <x:v>88</x:v>
      </x:c>
      <x:c r="AH809" s="37" t="n">
        <x:v>0</x:v>
      </x:c>
      <x:c r="AI809" s="30" t="n">
        <x:v>46266</x:v>
      </x:c>
      <x:c r="AJ809" s="37" t="n">
        <x:v>20</x:v>
      </x:c>
      <x:c r="AK809" s="10" t="str">
        <x:v>минимум</x:v>
      </x:c>
      <x:c r="AL809" s="32" t="n">
        <x:v>176.47185374783916</x:v>
      </x:c>
      <x:c r="AM80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09" s="13" t="str">
        <x:v>Проверить свободный остаток и установить цену для B2B</x:v>
      </x:c>
      <x:c r="AO809" s="13" t="str">
        <x:v>Остаток 88; прогноз 90 дней 42.41; избыток 45 упак. Будущие поступления не выставляются на продажу. Остаток на начало сентября: требуется актуализация.</x:v>
      </x:c>
      <x:c r="AP809" s="13" t="str">
        <x:v>["category_missing", "daily_stockout_data_missing", "large_orders_detected", "new_order_lead_time_unknown", "reservations_unknown", "stale_stock", "transaction_month_mismatch"]</x:v>
      </x:c>
      <x:c r="AQ809" s="10" t="str">
        <x:v>IEK:240100004_</x:v>
      </x:c>
      <x:c r="AR809" s="24" t="n">
        <x:v>1</x:v>
      </x:c>
      <x:c r="AS809" s="24" t="n">
        <x:v>0</x:v>
      </x:c>
      <x:c r="AT809" s="24" t="n">
        <x:v>0</x:v>
      </x:c>
    </x:row>
    <x:row r="810" ht="64" customHeight="1">
      <x:c r="A810" s="11" t="str">
        <x:v>IEK</x:v>
      </x:c>
      <x:c r="B810" s="33" t="str">
        <x:v>240100005_</x:v>
      </x:c>
      <x:c r="C810" s="33" t="str">
        <x:v>UHH31-D036-200-100</x:v>
      </x:c>
      <x:c r="D810" s="12" t="str">
        <x:v>Хомут 3,6х200 IEK (100)</x:v>
      </x:c>
      <x:c r="E810" s="11" t="str">
        <x:v>упак</x:v>
      </x:c>
      <x:c r="F810" s="35" t="n">
        <x:f>MAX(0,ROUNDDOWN((AG810-AF810)/AR810+0.000000001,0)*AR810)</x:f>
        <x:v>146</x:v>
      </x:c>
      <x:c r="G810" s="20" t="str">
        <x:f>IF(J810="Рассчитано",V810*(1-R810/100)-W810-P810-Q810,"н/д")</x:f>
        <x:v>н/д</x:v>
      </x:c>
      <x:c r="H810" s="12" t="str">
        <x:v>Высокий</x:v>
      </x:c>
      <x:c r="I810" s="12" t="str">
        <x:v>Средний</x:v>
      </x:c>
      <x:c r="J810" s="12" t="str">
        <x:f>IF(L810="","Укажите валюту",IF(NOT(ISNUMBER(K810)),"Укажите объём",IF(K810&lt;=0,"Укажите объём",IF(K810&gt;F810,"Объём выше излишка",IF(COUNT(M810:O810)&lt;3,"Нужны цены",IF(COUNT(P810:R810)&lt;3,"Нужны расходы",IF(OR(M810&lt;0,N810&lt;0,O810&lt;0,O810&gt;100,P810&lt;0,Q810&lt;0,R810&lt;0,R810&gt;100),"Проверьте значения","Рассчитано")))))))</x:f>
        <x:v>Нужны цены</x:v>
      </x:c>
      <x:c r="K810" s="36" t="n">
        <x:v>146</x:v>
      </x:c>
      <x:c r="L810" s="19" t="str">
        <x:v>KZT</x:v>
      </x:c>
      <x:c r="M810" s="22"/>
      <x:c r="N810" s="22"/>
      <x:c r="O810" s="28"/>
      <x:c r="P810" s="22"/>
      <x:c r="Q810" s="22"/>
      <x:c r="R810" s="28"/>
      <x:c r="S810" s="22"/>
      <x:c r="T810" s="35" t="n">
        <x:f>K810</x:f>
        <x:v>146</x:v>
      </x:c>
      <x:c r="U810" s="20" t="str">
        <x:f>IF(J810="Рассчитано",N810*(1-O810/100),"н/д")</x:f>
        <x:v>н/д</x:v>
      </x:c>
      <x:c r="V810" s="20" t="str">
        <x:f>IF(J810="Рассчитано",T810*U810,"н/д")</x:f>
        <x:v>н/д</x:v>
      </x:c>
      <x:c r="W810" s="20" t="str">
        <x:f>IF(J810="Рассчитано",T810*M810,"н/д")</x:f>
        <x:v>н/д</x:v>
      </x:c>
      <x:c r="X810" s="20" t="str">
        <x:f>IF(J810="Рассчитано",V810-W810,"н/д")</x:f>
        <x:v>н/д</x:v>
      </x:c>
      <x:c r="Y810" s="26" t="str">
        <x:f>IF(J810="Рассчитано",IF(V810&gt;0,G810/V810,"н/д"),"н/д")</x:f>
        <x:v>н/д</x:v>
      </x:c>
      <x:c r="Z810" s="20" t="str">
        <x:f>"н/д"</x:f>
        <x:v>н/д</x:v>
      </x:c>
      <x:c r="AA810" s="20" t="str">
        <x:f>"н/д"</x:f>
        <x:v>н/д</x:v>
      </x:c>
      <x:c r="AB810" s="20" t="str">
        <x:f>"н/д"</x:f>
        <x:v>н/д</x:v>
      </x:c>
      <x:c r="AC810" s="20" t="str">
        <x:f>IF(AND(J810="Рассчитано",T810&gt;0,R810&lt;100),(W810+P810+Q810)/(T810*(1-R810/100)),"н/д")</x:f>
        <x:v>н/д</x:v>
      </x:c>
      <x:c r="AD810" s="11" t="str">
        <x:f>IF(ISNUMBER(G810),IF(G810&lt;0,"Убыток",IF(G810=0,"Без прибыли","Прибыль &gt; 0")),"Не оценён")</x:f>
        <x:v>Не оценён</x:v>
      </x:c>
      <x:c r="AE810" s="12" t="str">
        <x:f>IF(J810="Рассчитано","Выручка "&amp;TEXT(V810,"0.00")&amp;" - себестоимость "&amp;TEXT(W810,"0.00")&amp;" - комиссия "&amp;TEXT(V810*R810/100,"0.00")&amp;" - доставка "&amp;TEXT(P810,"0.00")&amp;" - прочие "&amp;TEXT(Q810,"0.00")&amp;" = "&amp;TEXT(G810,"0.00")&amp;" "&amp;L810,"Введите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0" s="23" t="n">
        <x:v>616.1485431416452</x:v>
      </x:c>
      <x:c r="AG810" s="35" t="n">
        <x:v>763</x:v>
      </x:c>
      <x:c r="AH810" s="35" t="n">
        <x:v>200</x:v>
      </x:c>
      <x:c r="AI810" s="29" t="n">
        <x:v>46266</x:v>
      </x:c>
      <x:c r="AJ810" s="35" t="n">
        <x:v>20</x:v>
      </x:c>
      <x:c r="AK810" s="11" t="str">
        <x:v>минимум</x:v>
      </x:c>
      <x:c r="AL810" s="31" t="n">
        <x:v>105.30722200034836</x:v>
      </x:c>
      <x:c r="AM81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10" s="12" t="str">
        <x:v>Проверить свободный остаток и установить цену для B2B</x:v>
      </x:c>
      <x:c r="AO810" s="12" t="str">
        <x:v>Остаток 763; прогноз 90 дней 616.15; избыток 146 упак. Будущие поступления не выставляются на продажу. Остаток на начало сентября: требуется актуализация.</x:v>
      </x:c>
      <x:c r="AP810" s="12" t="str">
        <x:v>["category_missing", "daily_stockout_data_missing", "large_orders_detected", "new_order_lead_time_unknown", "reservations_unknown", "stale_stock", "transaction_month_mismatch"]</x:v>
      </x:c>
      <x:c r="AQ810" s="11" t="str">
        <x:v>IEK:240100005_</x:v>
      </x:c>
      <x:c r="AR810" s="23" t="n">
        <x:v>1</x:v>
      </x:c>
      <x:c r="AS810" s="23" t="n">
        <x:v>0</x:v>
      </x:c>
      <x:c r="AT810" s="23" t="n">
        <x:v>0</x:v>
      </x:c>
    </x:row>
    <x:row r="811" ht="64" customHeight="1">
      <x:c r="A811" s="10" t="str">
        <x:v>IEK</x:v>
      </x:c>
      <x:c r="B811" s="34" t="str">
        <x:v>240100006_</x:v>
      </x:c>
      <x:c r="C811" s="34" t="str">
        <x:v>UHH31-D036-300-100</x:v>
      </x:c>
      <x:c r="D811" s="13" t="str">
        <x:v>Хомут 3,6х300 IEK (100)</x:v>
      </x:c>
      <x:c r="E811" s="10" t="str">
        <x:v>упак</x:v>
      </x:c>
      <x:c r="F811" s="37" t="n">
        <x:f>MAX(0,ROUNDDOWN((AG811-AF811)/AR811+0.000000001,0)*AR811)</x:f>
        <x:v>336</x:v>
      </x:c>
      <x:c r="G811" s="21" t="str">
        <x:f>IF(J811="Рассчитано",V811*(1-R811/100)-W811-P811-Q811,"н/д")</x:f>
        <x:v>н/д</x:v>
      </x:c>
      <x:c r="H811" s="13" t="str">
        <x:v>Высокий</x:v>
      </x:c>
      <x:c r="I811" s="13" t="str">
        <x:v>Высокий</x:v>
      </x:c>
      <x:c r="J811" s="13" t="str">
        <x:f>IF(L811="","Укажите валюту",IF(NOT(ISNUMBER(K811)),"Укажите объём",IF(K811&lt;=0,"Укажите объём",IF(K811&gt;F811,"Объём выше излишка",IF(COUNT(M811:O811)&lt;3,"Нужны цены",IF(COUNT(P811:R811)&lt;3,"Нужны расходы",IF(OR(M811&lt;0,N811&lt;0,O811&lt;0,O811&gt;100,P811&lt;0,Q811&lt;0,R811&lt;0,R811&gt;100),"Проверьте значения","Рассчитано")))))))</x:f>
        <x:v>Нужны цены</x:v>
      </x:c>
      <x:c r="K811" s="36" t="n">
        <x:v>336</x:v>
      </x:c>
      <x:c r="L811" s="19" t="str">
        <x:v>KZT</x:v>
      </x:c>
      <x:c r="M811" s="22"/>
      <x:c r="N811" s="22"/>
      <x:c r="O811" s="28"/>
      <x:c r="P811" s="22"/>
      <x:c r="Q811" s="22"/>
      <x:c r="R811" s="28"/>
      <x:c r="S811" s="22"/>
      <x:c r="T811" s="37" t="n">
        <x:f>K811</x:f>
        <x:v>336</x:v>
      </x:c>
      <x:c r="U811" s="21" t="str">
        <x:f>IF(J811="Рассчитано",N811*(1-O811/100),"н/д")</x:f>
        <x:v>н/д</x:v>
      </x:c>
      <x:c r="V811" s="21" t="str">
        <x:f>IF(J811="Рассчитано",T811*U811,"н/д")</x:f>
        <x:v>н/д</x:v>
      </x:c>
      <x:c r="W811" s="21" t="str">
        <x:f>IF(J811="Рассчитано",T811*M811,"н/д")</x:f>
        <x:v>н/д</x:v>
      </x:c>
      <x:c r="X811" s="21" t="str">
        <x:f>IF(J811="Рассчитано",V811-W811,"н/д")</x:f>
        <x:v>н/д</x:v>
      </x:c>
      <x:c r="Y811" s="27" t="str">
        <x:f>IF(J811="Рассчитано",IF(V811&gt;0,G811/V811,"н/д"),"н/д")</x:f>
        <x:v>н/д</x:v>
      </x:c>
      <x:c r="Z811" s="21" t="str">
        <x:f>"н/д"</x:f>
        <x:v>н/д</x:v>
      </x:c>
      <x:c r="AA811" s="21" t="str">
        <x:f>"н/д"</x:f>
        <x:v>н/д</x:v>
      </x:c>
      <x:c r="AB811" s="21" t="str">
        <x:f>"н/д"</x:f>
        <x:v>н/д</x:v>
      </x:c>
      <x:c r="AC811" s="21" t="str">
        <x:f>IF(AND(J811="Рассчитано",T811&gt;0,R811&lt;100),(W811+P811+Q811)/(T811*(1-R811/100)),"н/д")</x:f>
        <x:v>н/д</x:v>
      </x:c>
      <x:c r="AD811" s="10" t="str">
        <x:f>IF(ISNUMBER(G811),IF(G811&lt;0,"Убыток",IF(G811=0,"Без прибыли","Прибыль &gt; 0")),"Не оценён")</x:f>
        <x:v>Не оценён</x:v>
      </x:c>
      <x:c r="AE811" s="13" t="str">
        <x:f>IF(J811="Рассчитано","Выручка "&amp;TEXT(V811,"0.00")&amp;" - себестоимость "&amp;TEXT(W811,"0.00")&amp;" - комиссия "&amp;TEXT(V811*R811/100,"0.00")&amp;" - доставка "&amp;TEXT(P811,"0.00")&amp;" - прочие "&amp;TEXT(Q811,"0.00")&amp;" = "&amp;TEXT(G811,"0.00")&amp;" "&amp;L811,"Введите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1" s="24" t="n">
        <x:v>283.45706408443</x:v>
      </x:c>
      <x:c r="AG811" s="37" t="n">
        <x:v>620</x:v>
      </x:c>
      <x:c r="AH811" s="37" t="n">
        <x:v>100</x:v>
      </x:c>
      <x:c r="AI811" s="30" t="n">
        <x:v>46266</x:v>
      </x:c>
      <x:c r="AJ811" s="37" t="n">
        <x:v>20</x:v>
      </x:c>
      <x:c r="AK811" s="10" t="str">
        <x:v>минимум</x:v>
      </x:c>
      <x:c r="AL811" s="32" t="n">
        <x:v>186.0044991144612</x:v>
      </x:c>
      <x:c r="AM811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811" s="13" t="str">
        <x:v>Проверить свободный остаток и установить цену для B2B</x:v>
      </x:c>
      <x:c r="AO811" s="13" t="str">
        <x:v>Остаток 620; прогноз 90 дней 283.46; избыток 336 упак. Будущие поступления не выставляются на продажу. Остаток на начало сентября: требуется актуализация.</x:v>
      </x:c>
      <x:c r="AP811" s="13" t="str">
        <x:v>["category_missing", "daily_stockout_data_missing", "large_orders_detected", "new_order_lead_time_unknown", "reservations_unknown", "stale_stock", "transaction_month_mismatch"]</x:v>
      </x:c>
      <x:c r="AQ811" s="10" t="str">
        <x:v>IEK:240100006_</x:v>
      </x:c>
      <x:c r="AR811" s="24" t="n">
        <x:v>1</x:v>
      </x:c>
      <x:c r="AS811" s="24" t="n">
        <x:v>0</x:v>
      </x:c>
      <x:c r="AT811" s="24" t="n">
        <x:v>0</x:v>
      </x:c>
    </x:row>
    <x:row r="812" ht="64" customHeight="1">
      <x:c r="A812" s="11" t="str">
        <x:v>IEK</x:v>
      </x:c>
      <x:c r="B812" s="33" t="str">
        <x:v>240100007_</x:v>
      </x:c>
      <x:c r="C812" s="33" t="str">
        <x:v>UHH31-D036-350-100</x:v>
      </x:c>
      <x:c r="D812" s="12" t="str">
        <x:v>Хомут 3,6х350 IEK (100)</x:v>
      </x:c>
      <x:c r="E812" s="11" t="str">
        <x:v>упак</x:v>
      </x:c>
      <x:c r="F812" s="35" t="n">
        <x:f>MAX(0,ROUNDDOWN((AG812-AF812)/AR812+0.000000001,0)*AR812)</x:f>
        <x:v>56</x:v>
      </x:c>
      <x:c r="G812" s="20" t="str">
        <x:f>IF(J812="Рассчитано",V812*(1-R812/100)-W812-P812-Q812,"н/д")</x:f>
        <x:v>н/д</x:v>
      </x:c>
      <x:c r="H812" s="12" t="str">
        <x:v>Высокий</x:v>
      </x:c>
      <x:c r="I812" s="12" t="str">
        <x:v>Высокий</x:v>
      </x:c>
      <x:c r="J812" s="12" t="str">
        <x:f>IF(L812="","Укажите валюту",IF(NOT(ISNUMBER(K812)),"Укажите объём",IF(K812&lt;=0,"Укажите объём",IF(K812&gt;F812,"Объём выше излишка",IF(COUNT(M812:O812)&lt;3,"Нужны цены",IF(COUNT(P812:R812)&lt;3,"Нужны расходы",IF(OR(M812&lt;0,N812&lt;0,O812&lt;0,O812&gt;100,P812&lt;0,Q812&lt;0,R812&lt;0,R812&gt;100),"Проверьте значения","Рассчитано")))))))</x:f>
        <x:v>Нужны цены</x:v>
      </x:c>
      <x:c r="K812" s="36" t="n">
        <x:v>56</x:v>
      </x:c>
      <x:c r="L812" s="19" t="str">
        <x:v>KZT</x:v>
      </x:c>
      <x:c r="M812" s="22"/>
      <x:c r="N812" s="22"/>
      <x:c r="O812" s="28"/>
      <x:c r="P812" s="22"/>
      <x:c r="Q812" s="22"/>
      <x:c r="R812" s="28"/>
      <x:c r="S812" s="22"/>
      <x:c r="T812" s="35" t="n">
        <x:f>K812</x:f>
        <x:v>56</x:v>
      </x:c>
      <x:c r="U812" s="20" t="str">
        <x:f>IF(J812="Рассчитано",N812*(1-O812/100),"н/д")</x:f>
        <x:v>н/д</x:v>
      </x:c>
      <x:c r="V812" s="20" t="str">
        <x:f>IF(J812="Рассчитано",T812*U812,"н/д")</x:f>
        <x:v>н/д</x:v>
      </x:c>
      <x:c r="W812" s="20" t="str">
        <x:f>IF(J812="Рассчитано",T812*M812,"н/д")</x:f>
        <x:v>н/д</x:v>
      </x:c>
      <x:c r="X812" s="20" t="str">
        <x:f>IF(J812="Рассчитано",V812-W812,"н/д")</x:f>
        <x:v>н/д</x:v>
      </x:c>
      <x:c r="Y812" s="26" t="str">
        <x:f>IF(J812="Рассчитано",IF(V812&gt;0,G812/V812,"н/д"),"н/д")</x:f>
        <x:v>н/д</x:v>
      </x:c>
      <x:c r="Z812" s="20" t="str">
        <x:f>"н/д"</x:f>
        <x:v>н/д</x:v>
      </x:c>
      <x:c r="AA812" s="20" t="str">
        <x:f>"н/д"</x:f>
        <x:v>н/д</x:v>
      </x:c>
      <x:c r="AB812" s="20" t="str">
        <x:f>"н/д"</x:f>
        <x:v>н/д</x:v>
      </x:c>
      <x:c r="AC812" s="20" t="str">
        <x:f>IF(AND(J812="Рассчитано",T812&gt;0,R812&lt;100),(W812+P812+Q812)/(T812*(1-R812/100)),"н/д")</x:f>
        <x:v>н/д</x:v>
      </x:c>
      <x:c r="AD812" s="11" t="str">
        <x:f>IF(ISNUMBER(G812),IF(G812&lt;0,"Убыток",IF(G812=0,"Без прибыли","Прибыль &gt; 0")),"Не оценён")</x:f>
        <x:v>Не оценён</x:v>
      </x:c>
      <x:c r="AE812" s="12" t="str">
        <x:f>IF(J812="Рассчитано","Выручка "&amp;TEXT(V812,"0.00")&amp;" - себестоимость "&amp;TEXT(W812,"0.00")&amp;" - комиссия "&amp;TEXT(V812*R812/100,"0.00")&amp;" - доставка "&amp;TEXT(P812,"0.00")&amp;" - прочие "&amp;TEXT(Q812,"0.00")&amp;" = "&amp;TEXT(G812,"0.00")&amp;" "&amp;L812,"Введите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2" s="23" t="n">
        <x:v>39.06577695501746</x:v>
      </x:c>
      <x:c r="AG812" s="35" t="n">
        <x:v>96</x:v>
      </x:c>
      <x:c r="AH812" s="35" t="n">
        <x:v>0</x:v>
      </x:c>
      <x:c r="AI812" s="29" t="n">
        <x:v>46266</x:v>
      </x:c>
      <x:c r="AJ812" s="35" t="n">
        <x:v>20</x:v>
      </x:c>
      <x:c r="AK812" s="11" t="str">
        <x:v>минимум</x:v>
      </x:c>
      <x:c r="AL812" s="31" t="n">
        <x:v>208.9747484539378</x:v>
      </x:c>
      <x:c r="AM81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12" s="12" t="str">
        <x:v>Проверить свободный остаток и установить цену для B2B</x:v>
      </x:c>
      <x:c r="AO812" s="12" t="str">
        <x:v>Остаток 96; прогноз 90 дней 39.07; избыток 56 упак. Будущие поступления не выставляются на продажу. Остаток на начало сентября: требуется актуализация.</x:v>
      </x:c>
      <x:c r="AP812" s="12" t="str">
        <x:v>["category_missing", "daily_stockout_data_missing", "new_order_lead_time_unknown", "reservations_unknown", "stale_stock"]</x:v>
      </x:c>
      <x:c r="AQ812" s="11" t="str">
        <x:v>IEK:240100007_</x:v>
      </x:c>
      <x:c r="AR812" s="23" t="n">
        <x:v>1</x:v>
      </x:c>
      <x:c r="AS812" s="23" t="n">
        <x:v>0</x:v>
      </x:c>
      <x:c r="AT812" s="23" t="n">
        <x:v>0</x:v>
      </x:c>
    </x:row>
    <x:row r="813" ht="64" customHeight="1">
      <x:c r="A813" s="10" t="str">
        <x:v>IEK</x:v>
      </x:c>
      <x:c r="B813" s="34" t="str">
        <x:v>240100013_</x:v>
      </x:c>
      <x:c r="C813" s="34" t="str">
        <x:v>UHH31-D076-500-100</x:v>
      </x:c>
      <x:c r="D813" s="13" t="str">
        <x:v>Хомут 7,6х500 IEK (100)</x:v>
      </x:c>
      <x:c r="E813" s="10" t="str">
        <x:v>упак</x:v>
      </x:c>
      <x:c r="F813" s="37" t="n">
        <x:f>MAX(0,ROUNDDOWN((AG813-AF813)/AR813+0.000000001,0)*AR813)</x:f>
        <x:v>72</x:v>
      </x:c>
      <x:c r="G813" s="21" t="str">
        <x:f>IF(J813="Рассчитано",V813*(1-R813/100)-W813-P813-Q813,"н/д")</x:f>
        <x:v>н/д</x:v>
      </x:c>
      <x:c r="H813" s="13" t="str">
        <x:v>Высокий</x:v>
      </x:c>
      <x:c r="I813" s="13" t="str">
        <x:v>Высокий</x:v>
      </x:c>
      <x:c r="J813" s="13" t="str">
        <x:f>IF(L813="","Укажите валюту",IF(NOT(ISNUMBER(K813)),"Укажите объём",IF(K813&lt;=0,"Укажите объём",IF(K813&gt;F813,"Объём выше излишка",IF(COUNT(M813:O813)&lt;3,"Нужны цены",IF(COUNT(P813:R813)&lt;3,"Нужны расходы",IF(OR(M813&lt;0,N813&lt;0,O813&lt;0,O813&gt;100,P813&lt;0,Q813&lt;0,R813&lt;0,R813&gt;100),"Проверьте значения","Рассчитано")))))))</x:f>
        <x:v>Нужны цены</x:v>
      </x:c>
      <x:c r="K813" s="36" t="n">
        <x:v>72</x:v>
      </x:c>
      <x:c r="L813" s="19" t="str">
        <x:v>KZT</x:v>
      </x:c>
      <x:c r="M813" s="22"/>
      <x:c r="N813" s="22"/>
      <x:c r="O813" s="28"/>
      <x:c r="P813" s="22"/>
      <x:c r="Q813" s="22"/>
      <x:c r="R813" s="28"/>
      <x:c r="S813" s="22"/>
      <x:c r="T813" s="37" t="n">
        <x:f>K813</x:f>
        <x:v>72</x:v>
      </x:c>
      <x:c r="U813" s="21" t="str">
        <x:f>IF(J813="Рассчитано",N813*(1-O813/100),"н/д")</x:f>
        <x:v>н/д</x:v>
      </x:c>
      <x:c r="V813" s="21" t="str">
        <x:f>IF(J813="Рассчитано",T813*U813,"н/д")</x:f>
        <x:v>н/д</x:v>
      </x:c>
      <x:c r="W813" s="21" t="str">
        <x:f>IF(J813="Рассчитано",T813*M813,"н/д")</x:f>
        <x:v>н/д</x:v>
      </x:c>
      <x:c r="X813" s="21" t="str">
        <x:f>IF(J813="Рассчитано",V813-W813,"н/д")</x:f>
        <x:v>н/д</x:v>
      </x:c>
      <x:c r="Y813" s="27" t="str">
        <x:f>IF(J813="Рассчитано",IF(V813&gt;0,G813/V813,"н/д"),"н/д")</x:f>
        <x:v>н/д</x:v>
      </x:c>
      <x:c r="Z813" s="21" t="str">
        <x:f>"н/д"</x:f>
        <x:v>н/д</x:v>
      </x:c>
      <x:c r="AA813" s="21" t="str">
        <x:f>"н/д"</x:f>
        <x:v>н/д</x:v>
      </x:c>
      <x:c r="AB813" s="21" t="str">
        <x:f>"н/д"</x:f>
        <x:v>н/д</x:v>
      </x:c>
      <x:c r="AC813" s="21" t="str">
        <x:f>IF(AND(J813="Рассчитано",T813&gt;0,R813&lt;100),(W813+P813+Q813)/(T813*(1-R813/100)),"н/д")</x:f>
        <x:v>н/д</x:v>
      </x:c>
      <x:c r="AD813" s="10" t="str">
        <x:f>IF(ISNUMBER(G813),IF(G813&lt;0,"Убыток",IF(G813=0,"Без прибыли","Прибыль &gt; 0")),"Не оценён")</x:f>
        <x:v>Не оценён</x:v>
      </x:c>
      <x:c r="AE813" s="13" t="str">
        <x:f>IF(J813="Рассчитано","Выручка "&amp;TEXT(V813,"0.00")&amp;" - себестоимость "&amp;TEXT(W813,"0.00")&amp;" - комиссия "&amp;TEXT(V813*R813/100,"0.00")&amp;" - доставка "&amp;TEXT(P813,"0.00")&amp;" - прочие "&amp;TEXT(Q813,"0.00")&amp;" = "&amp;TEXT(G813,"0.00")&amp;" "&amp;L813,"Введите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3" s="24" t="n">
        <x:v>16.605158665064824</x:v>
      </x:c>
      <x:c r="AG813" s="37" t="n">
        <x:v>89</x:v>
      </x:c>
      <x:c r="AH813" s="37" t="n">
        <x:v>0</x:v>
      </x:c>
      <x:c r="AI813" s="30" t="n">
        <x:v>46266</x:v>
      </x:c>
      <x:c r="AJ813" s="37" t="n">
        <x:v>5</x:v>
      </x:c>
      <x:c r="AK813" s="10" t="str">
        <x:v>минимум</x:v>
      </x:c>
      <x:c r="AL813" s="32" t="n">
        <x:v>455.7912894301114</x:v>
      </x:c>
      <x:c r="AM81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13" s="13" t="str">
        <x:v>Проверить свободный остаток и установить цену для B2B</x:v>
      </x:c>
      <x:c r="AO813" s="13" t="str">
        <x:v>Остаток 89; прогноз 90 дней 16.61; избыток 72 упак. Будущие поступления не выставляются на продажу. Остаток на начало сентября: требуется актуализация.</x:v>
      </x:c>
      <x:c r="AP813" s="13" t="str">
        <x:v>["category_missing", "daily_stockout_data_missing", "new_order_lead_time_unknown", "reservations_unknown", "stale_stock"]</x:v>
      </x:c>
      <x:c r="AQ813" s="10" t="str">
        <x:v>IEK:240100013_</x:v>
      </x:c>
      <x:c r="AR813" s="24" t="n">
        <x:v>1</x:v>
      </x:c>
      <x:c r="AS813" s="24" t="n">
        <x:v>0</x:v>
      </x:c>
      <x:c r="AT813" s="24" t="n">
        <x:v>0</x:v>
      </x:c>
    </x:row>
    <x:row r="814" ht="64" customHeight="1">
      <x:c r="A814" s="11" t="str">
        <x:v>IEK</x:v>
      </x:c>
      <x:c r="B814" s="33" t="str">
        <x:v>240100020_</x:v>
      </x:c>
      <x:c r="C814" s="33" t="str">
        <x:v>UHP30-30-100</x:v>
      </x:c>
      <x:c r="D814" s="12" t="str">
        <x:v>Площадка (самоклеющаяся) 30х30 IEK (100)</x:v>
      </x:c>
      <x:c r="E814" s="11" t="str">
        <x:v>упак</x:v>
      </x:c>
      <x:c r="F814" s="35" t="n">
        <x:f>MAX(0,ROUNDDOWN((AG814-AF814)/AR814+0.000000001,0)*AR814)</x:f>
        <x:v>1</x:v>
      </x:c>
      <x:c r="G814" s="20" t="str">
        <x:f>IF(J814="Рассчитано",V814*(1-R814/100)-W814-P814-Q814,"н/д")</x:f>
        <x:v>н/д</x:v>
      </x:c>
      <x:c r="H814" s="12" t="str">
        <x:v>Высокий</x:v>
      </x:c>
      <x:c r="I814" s="12" t="str">
        <x:v>Высокий</x:v>
      </x:c>
      <x:c r="J814" s="12" t="str">
        <x:f>IF(L814="","Укажите валюту",IF(NOT(ISNUMBER(K814)),"Укажите объём",IF(K814&lt;=0,"Укажите объём",IF(K814&gt;F814,"Объём выше излишка",IF(COUNT(M814:O814)&lt;3,"Нужны цены",IF(COUNT(P814:R814)&lt;3,"Нужны расходы",IF(OR(M814&lt;0,N814&lt;0,O814&lt;0,O814&gt;100,P814&lt;0,Q814&lt;0,R814&lt;0,R814&gt;100),"Проверьте значения","Рассчитано")))))))</x:f>
        <x:v>Нужны цены</x:v>
      </x:c>
      <x:c r="K814" s="36" t="n">
        <x:v>1</x:v>
      </x:c>
      <x:c r="L814" s="19" t="str">
        <x:v>KZT</x:v>
      </x:c>
      <x:c r="M814" s="22"/>
      <x:c r="N814" s="22"/>
      <x:c r="O814" s="28"/>
      <x:c r="P814" s="22"/>
      <x:c r="Q814" s="22"/>
      <x:c r="R814" s="28"/>
      <x:c r="S814" s="22"/>
      <x:c r="T814" s="35" t="n">
        <x:f>K814</x:f>
        <x:v>1</x:v>
      </x:c>
      <x:c r="U814" s="20" t="str">
        <x:f>IF(J814="Рассчитано",N814*(1-O814/100),"н/д")</x:f>
        <x:v>н/д</x:v>
      </x:c>
      <x:c r="V814" s="20" t="str">
        <x:f>IF(J814="Рассчитано",T814*U814,"н/д")</x:f>
        <x:v>н/д</x:v>
      </x:c>
      <x:c r="W814" s="20" t="str">
        <x:f>IF(J814="Рассчитано",T814*M814,"н/д")</x:f>
        <x:v>н/д</x:v>
      </x:c>
      <x:c r="X814" s="20" t="str">
        <x:f>IF(J814="Рассчитано",V814-W814,"н/д")</x:f>
        <x:v>н/д</x:v>
      </x:c>
      <x:c r="Y814" s="26" t="str">
        <x:f>IF(J814="Рассчитано",IF(V814&gt;0,G814/V814,"н/д"),"н/д")</x:f>
        <x:v>н/д</x:v>
      </x:c>
      <x:c r="Z814" s="20" t="str">
        <x:f>"н/д"</x:f>
        <x:v>н/д</x:v>
      </x:c>
      <x:c r="AA814" s="20" t="str">
        <x:f>"н/д"</x:f>
        <x:v>н/д</x:v>
      </x:c>
      <x:c r="AB814" s="20" t="str">
        <x:f>"н/д"</x:f>
        <x:v>н/д</x:v>
      </x:c>
      <x:c r="AC814" s="20" t="str">
        <x:f>IF(AND(J814="Рассчитано",T814&gt;0,R814&lt;100),(W814+P814+Q814)/(T814*(1-R814/100)),"н/д")</x:f>
        <x:v>н/д</x:v>
      </x:c>
      <x:c r="AD814" s="11" t="str">
        <x:f>IF(ISNUMBER(G814),IF(G814&lt;0,"Убыток",IF(G814=0,"Без прибыли","Прибыль &gt; 0")),"Не оценён")</x:f>
        <x:v>Не оценён</x:v>
      </x:c>
      <x:c r="AE814" s="12" t="str">
        <x:f>IF(J814="Рассчитано","Выручка "&amp;TEXT(V814,"0.00")&amp;" - себестоимость "&amp;TEXT(W814,"0.00")&amp;" - комиссия "&amp;TEXT(V814*R814/100,"0.00")&amp;" - доставка "&amp;TEXT(P814,"0.00")&amp;" - прочие "&amp;TEXT(Q814,"0.00")&amp;" = "&amp;TEXT(G814,"0.00")&amp;" "&amp;L814,"Введите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4" s="23" t="n">
        <x:v>0</x:v>
      </x:c>
      <x:c r="AG814" s="35" t="n">
        <x:v>1</x:v>
      </x:c>
      <x:c r="AH814" s="35" t="n">
        <x:v>0</x:v>
      </x:c>
      <x:c r="AI814" s="29" t="n">
        <x:v>46266</x:v>
      </x:c>
      <x:c r="AJ814" s="35"/>
      <x:c r="AK814" s="11" t="str">
        <x:v>неизвестно</x:v>
      </x:c>
      <x:c r="AL814" s="31" t="str">
        <x:v>н/д</x:v>
      </x:c>
      <x:c r="AM81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814" s="12" t="str">
        <x:v>Проверить свободный остаток и установить цену для B2B</x:v>
      </x:c>
      <x:c r="AO814" s="12" t="str">
        <x:v>Остаток 1; прогноз 90 дней 0.00; избыток 1 упак. Будущие поступления не выставляются на продажу. Остаток на начало сентября: требуется актуализация.</x:v>
      </x:c>
      <x:c r="AP814" s="12" t="str">
        <x:v>["category_missing", "daily_stockout_data_missing", "moq_missing", "new_order_lead_time_unknown", "reservations_unknown", "stale_stock"]</x:v>
      </x:c>
      <x:c r="AQ814" s="11" t="str">
        <x:v>IEK:240100020_</x:v>
      </x:c>
      <x:c r="AR814" s="23" t="n">
        <x:v>1</x:v>
      </x:c>
      <x:c r="AS814" s="23" t="n">
        <x:v>0</x:v>
      </x:c>
      <x:c r="AT814" s="23" t="n">
        <x:v>0</x:v>
      </x:c>
    </x:row>
    <x:row r="815" ht="64" customHeight="1">
      <x:c r="A815" s="10" t="str">
        <x:v>IEK</x:v>
      </x:c>
      <x:c r="B815" s="34" t="str">
        <x:v>240100028_</x:v>
      </x:c>
      <x:c r="C815" s="34" t="str">
        <x:v>UHH31-D025-100-100</x:v>
      </x:c>
      <x:c r="D815" s="13" t="str">
        <x:v>Хомут 2,5х100 IEK (100)</x:v>
      </x:c>
      <x:c r="E815" s="10" t="str">
        <x:v>упак</x:v>
      </x:c>
      <x:c r="F815" s="37" t="n">
        <x:f>MAX(0,ROUNDDOWN((AG815-AF815)/AR815+0.000000001,0)*AR815)</x:f>
        <x:v>34</x:v>
      </x:c>
      <x:c r="G815" s="21" t="str">
        <x:f>IF(J815="Рассчитано",V815*(1-R815/100)-W815-P815-Q815,"н/д")</x:f>
        <x:v>н/д</x:v>
      </x:c>
      <x:c r="H815" s="13" t="str">
        <x:v>Высокий</x:v>
      </x:c>
      <x:c r="I815" s="13" t="str">
        <x:v>Средний</x:v>
      </x:c>
      <x:c r="J815" s="13" t="str">
        <x:f>IF(L815="","Укажите валюту",IF(NOT(ISNUMBER(K815)),"Укажите объём",IF(K815&lt;=0,"Укажите объём",IF(K815&gt;F815,"Объём выше излишка",IF(COUNT(M815:O815)&lt;3,"Нужны цены",IF(COUNT(P815:R815)&lt;3,"Нужны расходы",IF(OR(M815&lt;0,N815&lt;0,O815&lt;0,O815&gt;100,P815&lt;0,Q815&lt;0,R815&lt;0,R815&gt;100),"Проверьте значения","Рассчитано")))))))</x:f>
        <x:v>Нужны цены</x:v>
      </x:c>
      <x:c r="K815" s="36" t="n">
        <x:v>34</x:v>
      </x:c>
      <x:c r="L815" s="19" t="str">
        <x:v>KZT</x:v>
      </x:c>
      <x:c r="M815" s="22"/>
      <x:c r="N815" s="22"/>
      <x:c r="O815" s="28"/>
      <x:c r="P815" s="22"/>
      <x:c r="Q815" s="22"/>
      <x:c r="R815" s="28"/>
      <x:c r="S815" s="22"/>
      <x:c r="T815" s="37" t="n">
        <x:f>K815</x:f>
        <x:v>34</x:v>
      </x:c>
      <x:c r="U815" s="21" t="str">
        <x:f>IF(J815="Рассчитано",N815*(1-O815/100),"н/д")</x:f>
        <x:v>н/д</x:v>
      </x:c>
      <x:c r="V815" s="21" t="str">
        <x:f>IF(J815="Рассчитано",T815*U815,"н/д")</x:f>
        <x:v>н/д</x:v>
      </x:c>
      <x:c r="W815" s="21" t="str">
        <x:f>IF(J815="Рассчитано",T815*M815,"н/д")</x:f>
        <x:v>н/д</x:v>
      </x:c>
      <x:c r="X815" s="21" t="str">
        <x:f>IF(J815="Рассчитано",V815-W815,"н/д")</x:f>
        <x:v>н/д</x:v>
      </x:c>
      <x:c r="Y815" s="27" t="str">
        <x:f>IF(J815="Рассчитано",IF(V815&gt;0,G815/V815,"н/д"),"н/д")</x:f>
        <x:v>н/д</x:v>
      </x:c>
      <x:c r="Z815" s="21" t="str">
        <x:f>"н/д"</x:f>
        <x:v>н/д</x:v>
      </x:c>
      <x:c r="AA815" s="21" t="str">
        <x:f>"н/д"</x:f>
        <x:v>н/д</x:v>
      </x:c>
      <x:c r="AB815" s="21" t="str">
        <x:f>"н/д"</x:f>
        <x:v>н/д</x:v>
      </x:c>
      <x:c r="AC815" s="21" t="str">
        <x:f>IF(AND(J815="Рассчитано",T815&gt;0,R815&lt;100),(W815+P815+Q815)/(T815*(1-R815/100)),"н/д")</x:f>
        <x:v>н/д</x:v>
      </x:c>
      <x:c r="AD815" s="10" t="str">
        <x:f>IF(ISNUMBER(G815),IF(G815&lt;0,"Убыток",IF(G815=0,"Без прибыли","Прибыль &gt; 0")),"Не оценён")</x:f>
        <x:v>Не оценён</x:v>
      </x:c>
      <x:c r="AE815" s="13" t="str">
        <x:f>IF(J815="Рассчитано","Выручка "&amp;TEXT(V815,"0.00")&amp;" - себестоимость "&amp;TEXT(W815,"0.00")&amp;" - комиссия "&amp;TEXT(V815*R815/100,"0.00")&amp;" - доставка "&amp;TEXT(P815,"0.00")&amp;" - прочие "&amp;TEXT(Q815,"0.00")&amp;" = "&amp;TEXT(G815,"0.00")&amp;" "&amp;L815,"Введите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5" s="24" t="n">
        <x:v>86.4559016614266</x:v>
      </x:c>
      <x:c r="AG815" s="37" t="n">
        <x:v>121</x:v>
      </x:c>
      <x:c r="AH815" s="37" t="n">
        <x:v>0</x:v>
      </x:c>
      <x:c r="AI815" s="30" t="n">
        <x:v>46266</x:v>
      </x:c>
      <x:c r="AJ815" s="37" t="n">
        <x:v>20</x:v>
      </x:c>
      <x:c r="AK815" s="10" t="str">
        <x:v>минимум</x:v>
      </x:c>
      <x:c r="AL815" s="32" t="n">
        <x:v>119.01721130480713</x:v>
      </x:c>
      <x:c r="AM815" s="13" t="str">
        <x:v>Остаток на начало сентября; Резервы неизвестны; Нет ежедневных данных доступности. Запас выше прогноза на 90 дней</x:v>
      </x:c>
      <x:c r="AN815" s="13" t="str">
        <x:v>Проверить свободный остаток и установить цену для B2B</x:v>
      </x:c>
      <x:c r="AO815" s="13" t="str">
        <x:v>Остаток 121; прогноз 90 дней 86.46; избыток 34 упак. Будущие поступления не выставляются на продажу. Остаток на начало сентября: требуется актуализация.</x:v>
      </x:c>
      <x:c r="AP815" s="13" t="str">
        <x:v>["category_missing", "daily_stockout_data_missing", "large_orders_detected", "negative_net_sales_clipped_for_forecast", "new_order_lead_time_unknown", "reservations_unknown", "stale_stock"]</x:v>
      </x:c>
      <x:c r="AQ815" s="10" t="str">
        <x:v>IEK:240100028_</x:v>
      </x:c>
      <x:c r="AR815" s="24" t="n">
        <x:v>1</x:v>
      </x:c>
      <x:c r="AS815" s="24" t="n">
        <x:v>0</x:v>
      </x:c>
      <x:c r="AT815" s="24" t="n">
        <x:v>0</x:v>
      </x:c>
    </x:row>
    <x:row r="816" ht="64" customHeight="1">
      <x:c r="A816" s="11" t="str">
        <x:v>IEK</x:v>
      </x:c>
      <x:c r="B816" s="33" t="str">
        <x:v>240100029_</x:v>
      </x:c>
      <x:c r="C816" s="33" t="str">
        <x:v>UHH31-D025-200-100</x:v>
      </x:c>
      <x:c r="D816" s="12" t="str">
        <x:v>Хомут 2,5х200 IEK (100)</x:v>
      </x:c>
      <x:c r="E816" s="11" t="str">
        <x:v>упак</x:v>
      </x:c>
      <x:c r="F816" s="35" t="n">
        <x:f>MAX(0,ROUNDDOWN((AG816-AF816)/AR816+0.000000001,0)*AR816)</x:f>
        <x:v>197</x:v>
      </x:c>
      <x:c r="G816" s="20" t="str">
        <x:f>IF(J816="Рассчитано",V816*(1-R816/100)-W816-P816-Q816,"н/д")</x:f>
        <x:v>н/д</x:v>
      </x:c>
      <x:c r="H816" s="12" t="str">
        <x:v>Высокий</x:v>
      </x:c>
      <x:c r="I816" s="12" t="str">
        <x:v>Высокий</x:v>
      </x:c>
      <x:c r="J816" s="12" t="str">
        <x:f>IF(L816="","Укажите валюту",IF(NOT(ISNUMBER(K816)),"Укажите объём",IF(K816&lt;=0,"Укажите объём",IF(K816&gt;F816,"Объём выше излишка",IF(COUNT(M816:O816)&lt;3,"Нужны цены",IF(COUNT(P816:R816)&lt;3,"Нужны расходы",IF(OR(M816&lt;0,N816&lt;0,O816&lt;0,O816&gt;100,P816&lt;0,Q816&lt;0,R816&lt;0,R816&gt;100),"Проверьте значения","Рассчитано")))))))</x:f>
        <x:v>Нужны цены</x:v>
      </x:c>
      <x:c r="K816" s="36" t="n">
        <x:v>197</x:v>
      </x:c>
      <x:c r="L816" s="19" t="str">
        <x:v>KZT</x:v>
      </x:c>
      <x:c r="M816" s="22"/>
      <x:c r="N816" s="22"/>
      <x:c r="O816" s="28"/>
      <x:c r="P816" s="22"/>
      <x:c r="Q816" s="22"/>
      <x:c r="R816" s="28"/>
      <x:c r="S816" s="22"/>
      <x:c r="T816" s="35" t="n">
        <x:f>K816</x:f>
        <x:v>197</x:v>
      </x:c>
      <x:c r="U816" s="20" t="str">
        <x:f>IF(J816="Рассчитано",N816*(1-O816/100),"н/д")</x:f>
        <x:v>н/д</x:v>
      </x:c>
      <x:c r="V816" s="20" t="str">
        <x:f>IF(J816="Рассчитано",T816*U816,"н/д")</x:f>
        <x:v>н/д</x:v>
      </x:c>
      <x:c r="W816" s="20" t="str">
        <x:f>IF(J816="Рассчитано",T816*M816,"н/д")</x:f>
        <x:v>н/д</x:v>
      </x:c>
      <x:c r="X816" s="20" t="str">
        <x:f>IF(J816="Рассчитано",V816-W816,"н/д")</x:f>
        <x:v>н/д</x:v>
      </x:c>
      <x:c r="Y816" s="26" t="str">
        <x:f>IF(J816="Рассчитано",IF(V816&gt;0,G816/V816,"н/д"),"н/д")</x:f>
        <x:v>н/д</x:v>
      </x:c>
      <x:c r="Z816" s="20" t="str">
        <x:f>"н/д"</x:f>
        <x:v>н/д</x:v>
      </x:c>
      <x:c r="AA816" s="20" t="str">
        <x:f>"н/д"</x:f>
        <x:v>н/д</x:v>
      </x:c>
      <x:c r="AB816" s="20" t="str">
        <x:f>"н/д"</x:f>
        <x:v>н/д</x:v>
      </x:c>
      <x:c r="AC816" s="20" t="str">
        <x:f>IF(AND(J816="Рассчитано",T816&gt;0,R816&lt;100),(W816+P816+Q816)/(T816*(1-R816/100)),"н/д")</x:f>
        <x:v>н/д</x:v>
      </x:c>
      <x:c r="AD816" s="11" t="str">
        <x:f>IF(ISNUMBER(G816),IF(G816&lt;0,"Убыток",IF(G816=0,"Без прибыли","Прибыль &gt; 0")),"Не оценён")</x:f>
        <x:v>Не оценён</x:v>
      </x:c>
      <x:c r="AE816" s="12" t="str">
        <x:f>IF(J816="Рассчитано","Выручка "&amp;TEXT(V816,"0.00")&amp;" - себестоимость "&amp;TEXT(W816,"0.00")&amp;" - комиссия "&amp;TEXT(V816*R816/100,"0.00")&amp;" - доставка "&amp;TEXT(P816,"0.00")&amp;" - прочие "&amp;TEXT(Q816,"0.00")&amp;" = "&amp;TEXT(G816,"0.00")&amp;" "&amp;L816,"Введите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6" s="23" t="n">
        <x:v>118.45820443106795</x:v>
      </x:c>
      <x:c r="AG816" s="35" t="n">
        <x:v>316</x:v>
      </x:c>
      <x:c r="AH816" s="35" t="n">
        <x:v>0</x:v>
      </x:c>
      <x:c r="AI816" s="29" t="n">
        <x:v>46266</x:v>
      </x:c>
      <x:c r="AJ816" s="35" t="n">
        <x:v>20</x:v>
      </x:c>
      <x:c r="AK816" s="11" t="str">
        <x:v>минимум</x:v>
      </x:c>
      <x:c r="AL816" s="31" t="n">
        <x:v>226.85114803844675</x:v>
      </x:c>
      <x:c r="AM81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16" s="12" t="str">
        <x:v>Проверить свободный остаток и установить цену для B2B</x:v>
      </x:c>
      <x:c r="AO816" s="12" t="str">
        <x:v>Остаток 316; прогноз 90 дней 118.46; избыток 197 упак. Будущие поступления не выставляются на продажу. Остаток на начало сентября: требуется актуализация.</x:v>
      </x:c>
      <x:c r="AP816" s="12" t="str">
        <x:v>["category_missing", "daily_stockout_data_missing", "large_orders_detected", "new_order_lead_time_unknown", "reservations_unknown", "stale_stock"]</x:v>
      </x:c>
      <x:c r="AQ816" s="11" t="str">
        <x:v>IEK:240100029_</x:v>
      </x:c>
      <x:c r="AR816" s="23" t="n">
        <x:v>1</x:v>
      </x:c>
      <x:c r="AS816" s="23" t="n">
        <x:v>0</x:v>
      </x:c>
      <x:c r="AT816" s="23" t="n">
        <x:v>0</x:v>
      </x:c>
    </x:row>
    <x:row r="817" ht="64" customHeight="1">
      <x:c r="A817" s="10" t="str">
        <x:v>IEK</x:v>
      </x:c>
      <x:c r="B817" s="34" t="str">
        <x:v>240100092_</x:v>
      </x:c>
      <x:c r="C817" s="34"/>
      <x:c r="D817" s="13" t="str">
        <x:v>Хомут 2,5х200 черные IEK (100)</x:v>
      </x:c>
      <x:c r="E817" s="10" t="str">
        <x:v>упак</x:v>
      </x:c>
      <x:c r="F817" s="37" t="n">
        <x:f>MAX(0,ROUNDDOWN((AG817-AF817)/AR817+0.000000001,0)*AR817)</x:f>
        <x:v>2</x:v>
      </x:c>
      <x:c r="G817" s="21" t="str">
        <x:f>IF(J817="Рассчитано",V817*(1-R817/100)-W817-P817-Q817,"н/д")</x:f>
        <x:v>н/д</x:v>
      </x:c>
      <x:c r="H817" s="13" t="str">
        <x:v>Высокий</x:v>
      </x:c>
      <x:c r="I817" s="13" t="str">
        <x:v>Высокий</x:v>
      </x:c>
      <x:c r="J817" s="13" t="str">
        <x:f>IF(L817="","Укажите валюту",IF(NOT(ISNUMBER(K817)),"Укажите объём",IF(K817&lt;=0,"Укажите объём",IF(K817&gt;F817,"Объём выше излишка",IF(COUNT(M817:O817)&lt;3,"Нужны цены",IF(COUNT(P817:R817)&lt;3,"Нужны расходы",IF(OR(M817&lt;0,N817&lt;0,O817&lt;0,O817&gt;100,P817&lt;0,Q817&lt;0,R817&lt;0,R817&gt;100),"Проверьте значения","Рассчитано")))))))</x:f>
        <x:v>Нужны цены</x:v>
      </x:c>
      <x:c r="K817" s="36" t="n">
        <x:v>2</x:v>
      </x:c>
      <x:c r="L817" s="19" t="str">
        <x:v>KZT</x:v>
      </x:c>
      <x:c r="M817" s="22"/>
      <x:c r="N817" s="22"/>
      <x:c r="O817" s="28"/>
      <x:c r="P817" s="22"/>
      <x:c r="Q817" s="22"/>
      <x:c r="R817" s="28"/>
      <x:c r="S817" s="22"/>
      <x:c r="T817" s="37" t="n">
        <x:f>K817</x:f>
        <x:v>2</x:v>
      </x:c>
      <x:c r="U817" s="21" t="str">
        <x:f>IF(J817="Рассчитано",N817*(1-O817/100),"н/д")</x:f>
        <x:v>н/д</x:v>
      </x:c>
      <x:c r="V817" s="21" t="str">
        <x:f>IF(J817="Рассчитано",T817*U817,"н/д")</x:f>
        <x:v>н/д</x:v>
      </x:c>
      <x:c r="W817" s="21" t="str">
        <x:f>IF(J817="Рассчитано",T817*M817,"н/д")</x:f>
        <x:v>н/д</x:v>
      </x:c>
      <x:c r="X817" s="21" t="str">
        <x:f>IF(J817="Рассчитано",V817-W817,"н/д")</x:f>
        <x:v>н/д</x:v>
      </x:c>
      <x:c r="Y817" s="27" t="str">
        <x:f>IF(J817="Рассчитано",IF(V817&gt;0,G817/V817,"н/д"),"н/д")</x:f>
        <x:v>н/д</x:v>
      </x:c>
      <x:c r="Z817" s="21" t="str">
        <x:f>"н/д"</x:f>
        <x:v>н/д</x:v>
      </x:c>
      <x:c r="AA817" s="21" t="str">
        <x:f>"н/д"</x:f>
        <x:v>н/д</x:v>
      </x:c>
      <x:c r="AB817" s="21" t="str">
        <x:f>"н/д"</x:f>
        <x:v>н/д</x:v>
      </x:c>
      <x:c r="AC817" s="21" t="str">
        <x:f>IF(AND(J817="Рассчитано",T817&gt;0,R817&lt;100),(W817+P817+Q817)/(T817*(1-R817/100)),"н/д")</x:f>
        <x:v>н/д</x:v>
      </x:c>
      <x:c r="AD817" s="10" t="str">
        <x:f>IF(ISNUMBER(G817),IF(G817&lt;0,"Убыток",IF(G817=0,"Без прибыли","Прибыль &gt; 0")),"Не оценён")</x:f>
        <x:v>Не оценён</x:v>
      </x:c>
      <x:c r="AE817" s="13" t="str">
        <x:f>IF(J817="Рассчитано","Выручка "&amp;TEXT(V817,"0.00")&amp;" - себестоимость "&amp;TEXT(W817,"0.00")&amp;" - комиссия "&amp;TEXT(V817*R817/100,"0.00")&amp;" - доставка "&amp;TEXT(P817,"0.00")&amp;" - прочие "&amp;TEXT(Q817,"0.00")&amp;" = "&amp;TEXT(G817,"0.00")&amp;" "&amp;L817,"Введите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7" s="24" t="n">
        <x:v>2.135847108677556</x:v>
      </x:c>
      <x:c r="AG817" s="37" t="n">
        <x:v>5</x:v>
      </x:c>
      <x:c r="AH817" s="37" t="n">
        <x:v>0</x:v>
      </x:c>
      <x:c r="AI817" s="30" t="n">
        <x:v>46266</x:v>
      </x:c>
      <x:c r="AJ817" s="37"/>
      <x:c r="AK817" s="10" t="str">
        <x:v>неизвестно</x:v>
      </x:c>
      <x:c r="AL817" s="32" t="n">
        <x:v>199.07599149918175</x:v>
      </x:c>
      <x:c r="AM817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817" s="13" t="str">
        <x:v>Проверить свободный остаток и установить цену для B2B</x:v>
      </x:c>
      <x:c r="AO817" s="13" t="str">
        <x:v>Остаток 5; прогноз 90 дней 2.14; избыток 2 упак. Будущие поступления не выставляются на продажу. Остаток на начало сентября: требуется актуализация.</x:v>
      </x:c>
      <x:c r="AP817" s="13" t="str">
        <x:v>["category_missing", "daily_stockout_data_missing", "moq_missing", "new_order_lead_time_unknown", "reservations_unknown", "stale_stock", "supplier_sku_missing"]</x:v>
      </x:c>
      <x:c r="AQ817" s="10" t="str">
        <x:v>IEK:240100092_</x:v>
      </x:c>
      <x:c r="AR817" s="24" t="n">
        <x:v>1</x:v>
      </x:c>
      <x:c r="AS817" s="24" t="n">
        <x:v>0</x:v>
      </x:c>
      <x:c r="AT817" s="24" t="n">
        <x:v>0</x:v>
      </x:c>
    </x:row>
    <x:row r="818" ht="64" customHeight="1">
      <x:c r="A818" s="11" t="str">
        <x:v>IEK</x:v>
      </x:c>
      <x:c r="B818" s="33" t="str">
        <x:v>240100095_</x:v>
      </x:c>
      <x:c r="C818" s="33" t="str">
        <x:v>UHP31-20-100</x:v>
      </x:c>
      <x:c r="D818" s="12" t="str">
        <x:v>Площадка (самоклеющаяся) черная 20х20 IEK (100)</x:v>
      </x:c>
      <x:c r="E818" s="11" t="str">
        <x:v>упак</x:v>
      </x:c>
      <x:c r="F818" s="35" t="n">
        <x:f>MAX(0,ROUNDDOWN((AG818-AF818)/AR818+0.000000001,0)*AR818)</x:f>
        <x:v>10</x:v>
      </x:c>
      <x:c r="G818" s="20" t="str">
        <x:f>IF(J818="Рассчитано",V818*(1-R818/100)-W818-P818-Q818,"н/д")</x:f>
        <x:v>н/д</x:v>
      </x:c>
      <x:c r="H818" s="12" t="str">
        <x:v>Высокий</x:v>
      </x:c>
      <x:c r="I818" s="12" t="str">
        <x:v>Средний</x:v>
      </x:c>
      <x:c r="J818" s="12" t="str">
        <x:f>IF(L818="","Укажите валюту",IF(NOT(ISNUMBER(K818)),"Укажите объём",IF(K818&lt;=0,"Укажите объём",IF(K818&gt;F818,"Объём выше излишка",IF(COUNT(M818:O818)&lt;3,"Нужны цены",IF(COUNT(P818:R818)&lt;3,"Нужны расходы",IF(OR(M818&lt;0,N818&lt;0,O818&lt;0,O818&gt;100,P818&lt;0,Q818&lt;0,R818&lt;0,R818&gt;100),"Проверьте значения","Рассчитано")))))))</x:f>
        <x:v>Нужны цены</x:v>
      </x:c>
      <x:c r="K818" s="36" t="n">
        <x:v>10</x:v>
      </x:c>
      <x:c r="L818" s="19" t="str">
        <x:v>KZT</x:v>
      </x:c>
      <x:c r="M818" s="22"/>
      <x:c r="N818" s="22"/>
      <x:c r="O818" s="28"/>
      <x:c r="P818" s="22"/>
      <x:c r="Q818" s="22"/>
      <x:c r="R818" s="28"/>
      <x:c r="S818" s="22"/>
      <x:c r="T818" s="35" t="n">
        <x:f>K818</x:f>
        <x:v>10</x:v>
      </x:c>
      <x:c r="U818" s="20" t="str">
        <x:f>IF(J818="Рассчитано",N818*(1-O818/100),"н/д")</x:f>
        <x:v>н/д</x:v>
      </x:c>
      <x:c r="V818" s="20" t="str">
        <x:f>IF(J818="Рассчитано",T818*U818,"н/д")</x:f>
        <x:v>н/д</x:v>
      </x:c>
      <x:c r="W818" s="20" t="str">
        <x:f>IF(J818="Рассчитано",T818*M818,"н/д")</x:f>
        <x:v>н/д</x:v>
      </x:c>
      <x:c r="X818" s="20" t="str">
        <x:f>IF(J818="Рассчитано",V818-W818,"н/д")</x:f>
        <x:v>н/д</x:v>
      </x:c>
      <x:c r="Y818" s="26" t="str">
        <x:f>IF(J818="Рассчитано",IF(V818&gt;0,G818/V818,"н/д"),"н/д")</x:f>
        <x:v>н/д</x:v>
      </x:c>
      <x:c r="Z818" s="20" t="str">
        <x:f>"н/д"</x:f>
        <x:v>н/д</x:v>
      </x:c>
      <x:c r="AA818" s="20" t="str">
        <x:f>"н/д"</x:f>
        <x:v>н/д</x:v>
      </x:c>
      <x:c r="AB818" s="20" t="str">
        <x:f>"н/д"</x:f>
        <x:v>н/д</x:v>
      </x:c>
      <x:c r="AC818" s="20" t="str">
        <x:f>IF(AND(J818="Рассчитано",T818&gt;0,R818&lt;100),(W818+P818+Q818)/(T818*(1-R818/100)),"н/д")</x:f>
        <x:v>н/д</x:v>
      </x:c>
      <x:c r="AD818" s="11" t="str">
        <x:f>IF(ISNUMBER(G818),IF(G818&lt;0,"Убыток",IF(G818=0,"Без прибыли","Прибыль &gt; 0")),"Не оценён")</x:f>
        <x:v>Не оценён</x:v>
      </x:c>
      <x:c r="AE818" s="12" t="str">
        <x:f>IF(J818="Рассчитано","Выручка "&amp;TEXT(V818,"0.00")&amp;" - себестоимость "&amp;TEXT(W818,"0.00")&amp;" - комиссия "&amp;TEXT(V818*R818/100,"0.00")&amp;" - доставка "&amp;TEXT(P818,"0.00")&amp;" - прочие "&amp;TEXT(Q818,"0.00")&amp;" = "&amp;TEXT(G818,"0.00")&amp;" "&amp;L818,"Введите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8" s="23" t="n">
        <x:v>18.018826669947238</x:v>
      </x:c>
      <x:c r="AG818" s="35" t="n">
        <x:v>29</x:v>
      </x:c>
      <x:c r="AH818" s="35" t="n">
        <x:v>10</x:v>
      </x:c>
      <x:c r="AI818" s="29" t="n">
        <x:v>46266</x:v>
      </x:c>
      <x:c r="AJ818" s="35" t="n">
        <x:v>10</x:v>
      </x:c>
      <x:c r="AK818" s="11" t="str">
        <x:v>минимум</x:v>
      </x:c>
      <x:c r="AL818" s="31" t="n">
        <x:v>136.86441154611336</x:v>
      </x:c>
      <x:c r="AM818" s="12" t="str">
        <x:v>Остаток на начало сентября; Резервы неизвестны; Нет ежедневных данных доступности. Запас выше прогноза на 90 дней</x:v>
      </x:c>
      <x:c r="AN818" s="12" t="str">
        <x:v>Проверить свободный остаток и установить цену для B2B</x:v>
      </x:c>
      <x:c r="AO818" s="12" t="str">
        <x:v>Остаток 29; прогноз 90 дней 18.02; избыток 10 упак. Будущие поступления не выставляются на продажу. Остаток на начало сентября: требуется актуализация.</x:v>
      </x:c>
      <x:c r="AP818" s="12" t="str">
        <x:v>["category_missing", "daily_stockout_data_missing", "large_orders_detected", "new_order_lead_time_unknown", "reservations_unknown", "stale_stock"]</x:v>
      </x:c>
      <x:c r="AQ818" s="11" t="str">
        <x:v>IEK:240100095_</x:v>
      </x:c>
      <x:c r="AR818" s="23" t="n">
        <x:v>1</x:v>
      </x:c>
      <x:c r="AS818" s="23" t="n">
        <x:v>0</x:v>
      </x:c>
      <x:c r="AT818" s="23" t="n">
        <x:v>0</x:v>
      </x:c>
    </x:row>
    <x:row r="819" ht="64" customHeight="1">
      <x:c r="A819" s="10" t="str">
        <x:v>IEK</x:v>
      </x:c>
      <x:c r="B819" s="34" t="str">
        <x:v>240100096_</x:v>
      </x:c>
      <x:c r="C819" s="34" t="str">
        <x:v>UHP31-25-100</x:v>
      </x:c>
      <x:c r="D819" s="13" t="str">
        <x:v>Площадка (самоклеющаяся) черная 25х25 IEK (100)</x:v>
      </x:c>
      <x:c r="E819" s="10" t="str">
        <x:v>упак</x:v>
      </x:c>
      <x:c r="F819" s="37" t="n">
        <x:f>MAX(0,ROUNDDOWN((AG819-AF819)/AR819+0.000000001,0)*AR819)</x:f>
        <x:v>4</x:v>
      </x:c>
      <x:c r="G819" s="21" t="str">
        <x:f>IF(J819="Рассчитано",V819*(1-R819/100)-W819-P819-Q819,"н/д")</x:f>
        <x:v>н/д</x:v>
      </x:c>
      <x:c r="H819" s="13" t="str">
        <x:v>Высокий</x:v>
      </x:c>
      <x:c r="I819" s="13" t="str">
        <x:v>Средний</x:v>
      </x:c>
      <x:c r="J819" s="13" t="str">
        <x:f>IF(L819="","Укажите валюту",IF(NOT(ISNUMBER(K819)),"Укажите объём",IF(K819&lt;=0,"Укажите объём",IF(K819&gt;F819,"Объём выше излишка",IF(COUNT(M819:O819)&lt;3,"Нужны цены",IF(COUNT(P819:R819)&lt;3,"Нужны расходы",IF(OR(M819&lt;0,N819&lt;0,O819&lt;0,O819&gt;100,P819&lt;0,Q819&lt;0,R819&lt;0,R819&gt;100),"Проверьте значения","Рассчитано")))))))</x:f>
        <x:v>Нужны цены</x:v>
      </x:c>
      <x:c r="K819" s="36" t="n">
        <x:v>4</x:v>
      </x:c>
      <x:c r="L819" s="19" t="str">
        <x:v>KZT</x:v>
      </x:c>
      <x:c r="M819" s="22"/>
      <x:c r="N819" s="22"/>
      <x:c r="O819" s="28"/>
      <x:c r="P819" s="22"/>
      <x:c r="Q819" s="22"/>
      <x:c r="R819" s="28"/>
      <x:c r="S819" s="22"/>
      <x:c r="T819" s="37" t="n">
        <x:f>K819</x:f>
        <x:v>4</x:v>
      </x:c>
      <x:c r="U819" s="21" t="str">
        <x:f>IF(J819="Рассчитано",N819*(1-O819/100),"н/д")</x:f>
        <x:v>н/д</x:v>
      </x:c>
      <x:c r="V819" s="21" t="str">
        <x:f>IF(J819="Рассчитано",T819*U819,"н/д")</x:f>
        <x:v>н/д</x:v>
      </x:c>
      <x:c r="W819" s="21" t="str">
        <x:f>IF(J819="Рассчитано",T819*M819,"н/д")</x:f>
        <x:v>н/д</x:v>
      </x:c>
      <x:c r="X819" s="21" t="str">
        <x:f>IF(J819="Рассчитано",V819-W819,"н/д")</x:f>
        <x:v>н/д</x:v>
      </x:c>
      <x:c r="Y819" s="27" t="str">
        <x:f>IF(J819="Рассчитано",IF(V819&gt;0,G819/V819,"н/д"),"н/д")</x:f>
        <x:v>н/д</x:v>
      </x:c>
      <x:c r="Z819" s="21" t="str">
        <x:f>"н/д"</x:f>
        <x:v>н/д</x:v>
      </x:c>
      <x:c r="AA819" s="21" t="str">
        <x:f>"н/д"</x:f>
        <x:v>н/д</x:v>
      </x:c>
      <x:c r="AB819" s="21" t="str">
        <x:f>"н/д"</x:f>
        <x:v>н/д</x:v>
      </x:c>
      <x:c r="AC819" s="21" t="str">
        <x:f>IF(AND(J819="Рассчитано",T819&gt;0,R819&lt;100),(W819+P819+Q819)/(T819*(1-R819/100)),"н/д")</x:f>
        <x:v>н/д</x:v>
      </x:c>
      <x:c r="AD819" s="10" t="str">
        <x:f>IF(ISNUMBER(G819),IF(G819&lt;0,"Убыток",IF(G819=0,"Без прибыли","Прибыль &gt; 0")),"Не оценён")</x:f>
        <x:v>Не оценён</x:v>
      </x:c>
      <x:c r="AE819" s="13" t="str">
        <x:f>IF(J819="Рассчитано","Выручка "&amp;TEXT(V819,"0.00")&amp;" - себестоимость "&amp;TEXT(W819,"0.00")&amp;" - комиссия "&amp;TEXT(V819*R819/100,"0.00")&amp;" - доставка "&amp;TEXT(P819,"0.00")&amp;" - прочие "&amp;TEXT(Q819,"0.00")&amp;" = "&amp;TEXT(G819,"0.00")&amp;" "&amp;L819,"Введите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9" s="24" t="n">
        <x:v>11.88519852099133</x:v>
      </x:c>
      <x:c r="AG819" s="37" t="n">
        <x:v>16</x:v>
      </x:c>
      <x:c r="AH819" s="37" t="n">
        <x:v>0</x:v>
      </x:c>
      <x:c r="AI819" s="30" t="n">
        <x:v>46266</x:v>
      </x:c>
      <x:c r="AJ819" s="37" t="n">
        <x:v>5</x:v>
      </x:c>
      <x:c r="AK819" s="10" t="str">
        <x:v>минимум</x:v>
      </x:c>
      <x:c r="AL819" s="32" t="n">
        <x:v>114.48078181605166</x:v>
      </x:c>
      <x:c r="AM819" s="13" t="str">
        <x:v>Остаток на начало сентября; Резервы неизвестны; Нет ежедневных данных доступности. Запас выше прогноза на 90 дней</x:v>
      </x:c>
      <x:c r="AN819" s="13" t="str">
        <x:v>Проверить свободный остаток и установить цену для B2B</x:v>
      </x:c>
      <x:c r="AO819" s="13" t="str">
        <x:v>Остаток 16; прогноз 90 дней 11.89; избыток 4 упак. Будущие поступления не выставляются на продажу. Остаток на начало сентября: требуется актуализация.</x:v>
      </x:c>
      <x:c r="AP819" s="13" t="str">
        <x:v>["category_missing", "daily_stockout_data_missing", "new_order_lead_time_unknown", "reservations_unknown", "stale_stock"]</x:v>
      </x:c>
      <x:c r="AQ819" s="10" t="str">
        <x:v>IEK:240100096_</x:v>
      </x:c>
      <x:c r="AR819" s="24" t="n">
        <x:v>1</x:v>
      </x:c>
      <x:c r="AS819" s="24" t="n">
        <x:v>0</x:v>
      </x:c>
      <x:c r="AT819" s="24" t="n">
        <x:v>0</x:v>
      </x:c>
    </x:row>
    <x:row r="820" ht="64" customHeight="1">
      <x:c r="A820" s="11" t="str">
        <x:v>IEK</x:v>
      </x:c>
      <x:c r="B820" s="33" t="str">
        <x:v>240100107_</x:v>
      </x:c>
      <x:c r="C820" s="33" t="str">
        <x:v>UHH31-D076-300-100</x:v>
      </x:c>
      <x:c r="D820" s="12" t="str">
        <x:v>Хомут 7,6х300 IEK (100)</x:v>
      </x:c>
      <x:c r="E820" s="11" t="str">
        <x:v>упак</x:v>
      </x:c>
      <x:c r="F820" s="35" t="n">
        <x:f>MAX(0,ROUNDDOWN((AG820-AF820)/AR820+0.000000001,0)*AR820)</x:f>
        <x:v>1</x:v>
      </x:c>
      <x:c r="G820" s="20" t="str">
        <x:f>IF(J820="Рассчитано",V820*(1-R820/100)-W820-P820-Q820,"н/д")</x:f>
        <x:v>н/д</x:v>
      </x:c>
      <x:c r="H820" s="12" t="str">
        <x:v>Высокий</x:v>
      </x:c>
      <x:c r="I820" s="12" t="str">
        <x:v>Средний</x:v>
      </x:c>
      <x:c r="J820" s="12" t="str">
        <x:f>IF(L820="","Укажите валюту",IF(NOT(ISNUMBER(K820)),"Укажите объём",IF(K820&lt;=0,"Укажите объём",IF(K820&gt;F820,"Объём выше излишка",IF(COUNT(M820:O820)&lt;3,"Нужны цены",IF(COUNT(P820:R820)&lt;3,"Нужны расходы",IF(OR(M820&lt;0,N820&lt;0,O820&lt;0,O820&gt;100,P820&lt;0,Q820&lt;0,R820&lt;0,R820&gt;100),"Проверьте значения","Рассчитано")))))))</x:f>
        <x:v>Нужны цены</x:v>
      </x:c>
      <x:c r="K820" s="36" t="n">
        <x:v>1</x:v>
      </x:c>
      <x:c r="L820" s="19" t="str">
        <x:v>KZT</x:v>
      </x:c>
      <x:c r="M820" s="22"/>
      <x:c r="N820" s="22"/>
      <x:c r="O820" s="28"/>
      <x:c r="P820" s="22"/>
      <x:c r="Q820" s="22"/>
      <x:c r="R820" s="28"/>
      <x:c r="S820" s="22"/>
      <x:c r="T820" s="35" t="n">
        <x:f>K820</x:f>
        <x:v>1</x:v>
      </x:c>
      <x:c r="U820" s="20" t="str">
        <x:f>IF(J820="Рассчитано",N820*(1-O820/100),"н/д")</x:f>
        <x:v>н/д</x:v>
      </x:c>
      <x:c r="V820" s="20" t="str">
        <x:f>IF(J820="Рассчитано",T820*U820,"н/д")</x:f>
        <x:v>н/д</x:v>
      </x:c>
      <x:c r="W820" s="20" t="str">
        <x:f>IF(J820="Рассчитано",T820*M820,"н/д")</x:f>
        <x:v>н/д</x:v>
      </x:c>
      <x:c r="X820" s="20" t="str">
        <x:f>IF(J820="Рассчитано",V820-W820,"н/д")</x:f>
        <x:v>н/д</x:v>
      </x:c>
      <x:c r="Y820" s="26" t="str">
        <x:f>IF(J820="Рассчитано",IF(V820&gt;0,G820/V820,"н/д"),"н/д")</x:f>
        <x:v>н/д</x:v>
      </x:c>
      <x:c r="Z820" s="20" t="str">
        <x:f>"н/д"</x:f>
        <x:v>н/д</x:v>
      </x:c>
      <x:c r="AA820" s="20" t="str">
        <x:f>"н/д"</x:f>
        <x:v>н/д</x:v>
      </x:c>
      <x:c r="AB820" s="20" t="str">
        <x:f>"н/д"</x:f>
        <x:v>н/д</x:v>
      </x:c>
      <x:c r="AC820" s="20" t="str">
        <x:f>IF(AND(J820="Рассчитано",T820&gt;0,R820&lt;100),(W820+P820+Q820)/(T820*(1-R820/100)),"н/д")</x:f>
        <x:v>н/д</x:v>
      </x:c>
      <x:c r="AD820" s="11" t="str">
        <x:f>IF(ISNUMBER(G820),IF(G820&lt;0,"Убыток",IF(G820=0,"Без прибыли","Прибыль &gt; 0")),"Не оценён")</x:f>
        <x:v>Не оценён</x:v>
      </x:c>
      <x:c r="AE820" s="12" t="str">
        <x:f>IF(J820="Рассчитано","Выручка "&amp;TEXT(V820,"0.00")&amp;" - себестоимость "&amp;TEXT(W820,"0.00")&amp;" - комиссия "&amp;TEXT(V820*R820/100,"0.00")&amp;" - доставка "&amp;TEXT(P820,"0.00")&amp;" - прочие "&amp;TEXT(Q820,"0.00")&amp;" = "&amp;TEXT(G820,"0.00")&amp;" "&amp;L820,"Введите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0" s="23" t="n">
        <x:v>48.554267209536604</x:v>
      </x:c>
      <x:c r="AG820" s="35" t="n">
        <x:v>50</x:v>
      </x:c>
      <x:c r="AH820" s="35" t="n">
        <x:v>0</x:v>
      </x:c>
      <x:c r="AI820" s="29" t="n">
        <x:v>46266</x:v>
      </x:c>
      <x:c r="AJ820" s="35" t="n">
        <x:v>5</x:v>
      </x:c>
      <x:c r="AK820" s="11" t="str">
        <x:v>минимум</x:v>
      </x:c>
      <x:c r="AL820" s="31" t="n">
        <x:v>87.57126928014542</x:v>
      </x:c>
      <x:c r="AM820" s="12" t="str">
        <x:v>Остаток на начало сентября; Резервы неизвестны; Нет ежедневных данных доступности. Запас выше прогноза на 90 дней</x:v>
      </x:c>
      <x:c r="AN820" s="12" t="str">
        <x:v>Проверить свободный остаток и установить цену для B2B</x:v>
      </x:c>
      <x:c r="AO820" s="12" t="str">
        <x:v>Остаток 50; прогноз 90 дней 48.55; избыток 1 упак. Будущие поступления не выставляются на продажу. Остаток на начало сентября: требуется актуализация.</x:v>
      </x:c>
      <x:c r="AP820" s="12" t="str">
        <x:v>["category_missing", "daily_stockout_data_missing", "large_orders_detected", "new_order_lead_time_unknown", "reservations_unknown", "stale_stock"]</x:v>
      </x:c>
      <x:c r="AQ820" s="11" t="str">
        <x:v>IEK:240100107_</x:v>
      </x:c>
      <x:c r="AR820" s="23" t="n">
        <x:v>1</x:v>
      </x:c>
      <x:c r="AS820" s="23" t="n">
        <x:v>0</x:v>
      </x:c>
      <x:c r="AT820" s="23" t="n">
        <x:v>0</x:v>
      </x:c>
    </x:row>
    <x:row r="821" ht="64" customHeight="1">
      <x:c r="A821" s="10" t="str">
        <x:v>IEK</x:v>
      </x:c>
      <x:c r="B821" s="34" t="str">
        <x:v>240100111_</x:v>
      </x:c>
      <x:c r="C821" s="34" t="str">
        <x:v>UHH35-11-18-100</x:v>
      </x:c>
      <x:c r="D821" s="13" t="str">
        <x:v>Дюбель-хомут 11-18мм нейлон бел. IEK (100)</x:v>
      </x:c>
      <x:c r="E821" s="10" t="str">
        <x:v>упак</x:v>
      </x:c>
      <x:c r="F821" s="37" t="n">
        <x:f>MAX(0,ROUNDDOWN((AG821-AF821)/AR821+0.000000001,0)*AR821)</x:f>
        <x:v>242</x:v>
      </x:c>
      <x:c r="G821" s="21" t="str">
        <x:f>IF(J821="Рассчитано",V821*(1-R821/100)-W821-P821-Q821,"н/д")</x:f>
        <x:v>н/д</x:v>
      </x:c>
      <x:c r="H821" s="13" t="str">
        <x:v>Высокий</x:v>
      </x:c>
      <x:c r="I821" s="13" t="str">
        <x:v>Средний</x:v>
      </x:c>
      <x:c r="J821" s="13" t="str">
        <x:f>IF(L821="","Укажите валюту",IF(NOT(ISNUMBER(K821)),"Укажите объём",IF(K821&lt;=0,"Укажите объём",IF(K821&gt;F821,"Объём выше излишка",IF(COUNT(M821:O821)&lt;3,"Нужны цены",IF(COUNT(P821:R821)&lt;3,"Нужны расходы",IF(OR(M821&lt;0,N821&lt;0,O821&lt;0,O821&gt;100,P821&lt;0,Q821&lt;0,R821&lt;0,R821&gt;100),"Проверьте значения","Рассчитано")))))))</x:f>
        <x:v>Нужны цены</x:v>
      </x:c>
      <x:c r="K821" s="36" t="n">
        <x:v>242</x:v>
      </x:c>
      <x:c r="L821" s="19" t="str">
        <x:v>KZT</x:v>
      </x:c>
      <x:c r="M821" s="22"/>
      <x:c r="N821" s="22"/>
      <x:c r="O821" s="28"/>
      <x:c r="P821" s="22"/>
      <x:c r="Q821" s="22"/>
      <x:c r="R821" s="28"/>
      <x:c r="S821" s="22"/>
      <x:c r="T821" s="37" t="n">
        <x:f>K821</x:f>
        <x:v>242</x:v>
      </x:c>
      <x:c r="U821" s="21" t="str">
        <x:f>IF(J821="Рассчитано",N821*(1-O821/100),"н/д")</x:f>
        <x:v>н/д</x:v>
      </x:c>
      <x:c r="V821" s="21" t="str">
        <x:f>IF(J821="Рассчитано",T821*U821,"н/д")</x:f>
        <x:v>н/д</x:v>
      </x:c>
      <x:c r="W821" s="21" t="str">
        <x:f>IF(J821="Рассчитано",T821*M821,"н/д")</x:f>
        <x:v>н/д</x:v>
      </x:c>
      <x:c r="X821" s="21" t="str">
        <x:f>IF(J821="Рассчитано",V821-W821,"н/д")</x:f>
        <x:v>н/д</x:v>
      </x:c>
      <x:c r="Y821" s="27" t="str">
        <x:f>IF(J821="Рассчитано",IF(V821&gt;0,G821/V821,"н/д"),"н/д")</x:f>
        <x:v>н/д</x:v>
      </x:c>
      <x:c r="Z821" s="21" t="str">
        <x:f>"н/д"</x:f>
        <x:v>н/д</x:v>
      </x:c>
      <x:c r="AA821" s="21" t="str">
        <x:f>"н/д"</x:f>
        <x:v>н/д</x:v>
      </x:c>
      <x:c r="AB821" s="21" t="str">
        <x:f>"н/д"</x:f>
        <x:v>н/д</x:v>
      </x:c>
      <x:c r="AC821" s="21" t="str">
        <x:f>IF(AND(J821="Рассчитано",T821&gt;0,R821&lt;100),(W821+P821+Q821)/(T821*(1-R821/100)),"н/д")</x:f>
        <x:v>н/д</x:v>
      </x:c>
      <x:c r="AD821" s="10" t="str">
        <x:f>IF(ISNUMBER(G821),IF(G821&lt;0,"Убыток",IF(G821=0,"Без прибыли","Прибыль &gt; 0")),"Не оценён")</x:f>
        <x:v>Не оценён</x:v>
      </x:c>
      <x:c r="AE821" s="13" t="str">
        <x:f>IF(J821="Рассчитано","Выручка "&amp;TEXT(V821,"0.00")&amp;" - себестоимость "&amp;TEXT(W821,"0.00")&amp;" - комиссия "&amp;TEXT(V821*R821/100,"0.00")&amp;" - доставка "&amp;TEXT(P821,"0.00")&amp;" - прочие "&amp;TEXT(Q821,"0.00")&amp;" = "&amp;TEXT(G821,"0.00")&amp;" "&amp;L821,"Введите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1" s="24" t="n">
        <x:v>274.00831924839696</x:v>
      </x:c>
      <x:c r="AG821" s="37" t="n">
        <x:v>517</x:v>
      </x:c>
      <x:c r="AH821" s="37" t="n">
        <x:v>0</x:v>
      </x:c>
      <x:c r="AI821" s="30" t="n">
        <x:v>46266</x:v>
      </x:c>
      <x:c r="AJ821" s="37" t="n">
        <x:v>5</x:v>
      </x:c>
      <x:c r="AK821" s="10" t="str">
        <x:v>минимум</x:v>
      </x:c>
      <x:c r="AL821" s="32" t="n">
        <x:v>160.4522599917882</x:v>
      </x:c>
      <x:c r="AM821" s="13" t="str">
        <x:v>Остаток на начало сентября; Резервы неизвестны; Нет ежедневных данных доступности. Запас выше прогноза на 90 дней</x:v>
      </x:c>
      <x:c r="AN821" s="13" t="str">
        <x:v>Проверить свободный остаток и установить цену для B2B</x:v>
      </x:c>
      <x:c r="AO821" s="13" t="str">
        <x:v>Остаток 517; прогноз 90 дней 274.01; избыток 242 упак. Будущие поступления не выставляются на продажу. Остаток на начало сентября: требуется актуализация.</x:v>
      </x:c>
      <x:c r="AP821" s="13" t="str">
        <x:v>["category_missing", "daily_stockout_data_missing", "large_orders_detected", "new_order_lead_time_unknown", "reservations_unknown", "stale_stock"]</x:v>
      </x:c>
      <x:c r="AQ821" s="10" t="str">
        <x:v>IEK:240100111_</x:v>
      </x:c>
      <x:c r="AR821" s="24" t="n">
        <x:v>1</x:v>
      </x:c>
      <x:c r="AS821" s="24" t="n">
        <x:v>0</x:v>
      </x:c>
      <x:c r="AT821" s="24" t="n">
        <x:v>0</x:v>
      </x:c>
    </x:row>
    <x:row r="822" ht="64" customHeight="1">
      <x:c r="A822" s="11" t="str">
        <x:v>IEK</x:v>
      </x:c>
      <x:c r="B822" s="33" t="str">
        <x:v>240100209_</x:v>
      </x:c>
      <x:c r="C822" s="33" t="str">
        <x:v>UHP31-40-100</x:v>
      </x:c>
      <x:c r="D822" s="12" t="str">
        <x:v>Площадка (самоклеющаяся) черная 40х40 IEK (100)</x:v>
      </x:c>
      <x:c r="E822" s="11" t="str">
        <x:v>упак</x:v>
      </x:c>
      <x:c r="F822" s="35" t="n">
        <x:f>MAX(0,ROUNDDOWN((AG822-AF822)/AR822+0.000000001,0)*AR822)</x:f>
        <x:v>1</x:v>
      </x:c>
      <x:c r="G822" s="20" t="str">
        <x:f>IF(J822="Рассчитано",V822*(1-R822/100)-W822-P822-Q822,"н/д")</x:f>
        <x:v>н/д</x:v>
      </x:c>
      <x:c r="H822" s="12" t="str">
        <x:v>Высокий</x:v>
      </x:c>
      <x:c r="I822" s="12" t="str">
        <x:v>Средний</x:v>
      </x:c>
      <x:c r="J822" s="12" t="str">
        <x:f>IF(L822="","Укажите валюту",IF(NOT(ISNUMBER(K822)),"Укажите объём",IF(K822&lt;=0,"Укажите объём",IF(K822&gt;F822,"Объём выше излишка",IF(COUNT(M822:O822)&lt;3,"Нужны цены",IF(COUNT(P822:R822)&lt;3,"Нужны расходы",IF(OR(M822&lt;0,N822&lt;0,O822&lt;0,O822&gt;100,P822&lt;0,Q822&lt;0,R822&lt;0,R822&gt;100),"Проверьте значения","Рассчитано")))))))</x:f>
        <x:v>Нужны цены</x:v>
      </x:c>
      <x:c r="K822" s="36" t="n">
        <x:v>1</x:v>
      </x:c>
      <x:c r="L822" s="19" t="str">
        <x:v>KZT</x:v>
      </x:c>
      <x:c r="M822" s="22"/>
      <x:c r="N822" s="22"/>
      <x:c r="O822" s="28"/>
      <x:c r="P822" s="22"/>
      <x:c r="Q822" s="22"/>
      <x:c r="R822" s="28"/>
      <x:c r="S822" s="22"/>
      <x:c r="T822" s="35" t="n">
        <x:f>K822</x:f>
        <x:v>1</x:v>
      </x:c>
      <x:c r="U822" s="20" t="str">
        <x:f>IF(J822="Рассчитано",N822*(1-O822/100),"н/д")</x:f>
        <x:v>н/д</x:v>
      </x:c>
      <x:c r="V822" s="20" t="str">
        <x:f>IF(J822="Рассчитано",T822*U822,"н/д")</x:f>
        <x:v>н/д</x:v>
      </x:c>
      <x:c r="W822" s="20" t="str">
        <x:f>IF(J822="Рассчитано",T822*M822,"н/д")</x:f>
        <x:v>н/д</x:v>
      </x:c>
      <x:c r="X822" s="20" t="str">
        <x:f>IF(J822="Рассчитано",V822-W822,"н/д")</x:f>
        <x:v>н/д</x:v>
      </x:c>
      <x:c r="Y822" s="26" t="str">
        <x:f>IF(J822="Рассчитано",IF(V822&gt;0,G822/V822,"н/д"),"н/д")</x:f>
        <x:v>н/д</x:v>
      </x:c>
      <x:c r="Z822" s="20" t="str">
        <x:f>"н/д"</x:f>
        <x:v>н/д</x:v>
      </x:c>
      <x:c r="AA822" s="20" t="str">
        <x:f>"н/д"</x:f>
        <x:v>н/д</x:v>
      </x:c>
      <x:c r="AB822" s="20" t="str">
        <x:f>"н/д"</x:f>
        <x:v>н/д</x:v>
      </x:c>
      <x:c r="AC822" s="20" t="str">
        <x:f>IF(AND(J822="Рассчитано",T822&gt;0,R822&lt;100),(W822+P822+Q822)/(T822*(1-R822/100)),"н/д")</x:f>
        <x:v>н/д</x:v>
      </x:c>
      <x:c r="AD822" s="11" t="str">
        <x:f>IF(ISNUMBER(G822),IF(G822&lt;0,"Убыток",IF(G822=0,"Без прибыли","Прибыль &gt; 0")),"Не оценён")</x:f>
        <x:v>Не оценён</x:v>
      </x:c>
      <x:c r="AE822" s="12" t="str">
        <x:f>IF(J822="Рассчитано","Выручка "&amp;TEXT(V822,"0.00")&amp;" - себестоимость "&amp;TEXT(W822,"0.00")&amp;" - комиссия "&amp;TEXT(V822*R822/100,"0.00")&amp;" - доставка "&amp;TEXT(P822,"0.00")&amp;" - прочие "&amp;TEXT(Q822,"0.00")&amp;" = "&amp;TEXT(G822,"0.00")&amp;" "&amp;L822,"Введите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2" s="23" t="n">
        <x:v>1.9472920581031241</x:v>
      </x:c>
      <x:c r="AG822" s="35" t="n">
        <x:v>3</x:v>
      </x:c>
      <x:c r="AH822" s="35" t="n">
        <x:v>0</x:v>
      </x:c>
      <x:c r="AI822" s="29" t="n">
        <x:v>46266</x:v>
      </x:c>
      <x:c r="AJ822" s="35" t="n">
        <x:v>5</x:v>
      </x:c>
      <x:c r="AK822" s="11" t="str">
        <x:v>минимум</x:v>
      </x:c>
      <x:c r="AL822" s="31" t="n">
        <x:v>131.01143582894287</x:v>
      </x:c>
      <x:c r="AM822" s="12" t="str">
        <x:v>Остаток на начало сентября; Резервы неизвестны; Нет ежедневных данных доступности. Запас выше прогноза на 90 дней</x:v>
      </x:c>
      <x:c r="AN822" s="12" t="str">
        <x:v>Проверить свободный остаток и установить цену для B2B</x:v>
      </x:c>
      <x:c r="AO822" s="12" t="str">
        <x:v>Остаток 3; прогноз 90 дней 1.95; избыток 1 упак. Будущие поступления не выставляются на продажу. Остаток на начало сентября: требуется актуализация.</x:v>
      </x:c>
      <x:c r="AP822" s="12" t="str">
        <x:v>["category_missing", "daily_stockout_data_missing", "large_orders_detected", "new_order_lead_time_unknown", "reservations_unknown", "stale_stock"]</x:v>
      </x:c>
      <x:c r="AQ822" s="11" t="str">
        <x:v>IEK:240100209_</x:v>
      </x:c>
      <x:c r="AR822" s="23" t="n">
        <x:v>1</x:v>
      </x:c>
      <x:c r="AS822" s="23" t="n">
        <x:v>0</x:v>
      </x:c>
      <x:c r="AT822" s="23" t="n">
        <x:v>0</x:v>
      </x:c>
    </x:row>
    <x:row r="823" ht="64" customHeight="1">
      <x:c r="A823" s="10" t="str">
        <x:v>IEK</x:v>
      </x:c>
      <x:c r="B823" s="34" t="str">
        <x:v>240200007_</x:v>
      </x:c>
      <x:c r="C823" s="34" t="str">
        <x:v>USK11-08-100</x:v>
      </x:c>
      <x:c r="D823" s="13" t="str">
        <x:v>Круглая скоба  8мм IEK (100)</x:v>
      </x:c>
      <x:c r="E823" s="10" t="str">
        <x:v>упак</x:v>
      </x:c>
      <x:c r="F823" s="37" t="n">
        <x:f>MAX(0,ROUNDDOWN((AG823-AF823)/AR823+0.000000001,0)*AR823)</x:f>
        <x:v>1</x:v>
      </x:c>
      <x:c r="G823" s="21" t="str">
        <x:f>IF(J823="Рассчитано",V823*(1-R823/100)-W823-P823-Q823,"н/д")</x:f>
        <x:v>н/д</x:v>
      </x:c>
      <x:c r="H823" s="13" t="str">
        <x:v>Высокий</x:v>
      </x:c>
      <x:c r="I823" s="13" t="str">
        <x:v>Высокий</x:v>
      </x:c>
      <x:c r="J823" s="13" t="str">
        <x:f>IF(L823="","Укажите валюту",IF(NOT(ISNUMBER(K823)),"Укажите объём",IF(K823&lt;=0,"Укажите объём",IF(K823&gt;F823,"Объём выше излишка",IF(COUNT(M823:O823)&lt;3,"Нужны цены",IF(COUNT(P823:R823)&lt;3,"Нужны расходы",IF(OR(M823&lt;0,N823&lt;0,O823&lt;0,O823&gt;100,P823&lt;0,Q823&lt;0,R823&lt;0,R823&gt;100),"Проверьте значения","Рассчитано")))))))</x:f>
        <x:v>Нужны цены</x:v>
      </x:c>
      <x:c r="K823" s="36" t="n">
        <x:v>1</x:v>
      </x:c>
      <x:c r="L823" s="19" t="str">
        <x:v>KZT</x:v>
      </x:c>
      <x:c r="M823" s="22"/>
      <x:c r="N823" s="22"/>
      <x:c r="O823" s="28"/>
      <x:c r="P823" s="22"/>
      <x:c r="Q823" s="22"/>
      <x:c r="R823" s="28"/>
      <x:c r="S823" s="22"/>
      <x:c r="T823" s="37" t="n">
        <x:f>K823</x:f>
        <x:v>1</x:v>
      </x:c>
      <x:c r="U823" s="21" t="str">
        <x:f>IF(J823="Рассчитано",N823*(1-O823/100),"н/д")</x:f>
        <x:v>н/д</x:v>
      </x:c>
      <x:c r="V823" s="21" t="str">
        <x:f>IF(J823="Рассчитано",T823*U823,"н/д")</x:f>
        <x:v>н/д</x:v>
      </x:c>
      <x:c r="W823" s="21" t="str">
        <x:f>IF(J823="Рассчитано",T823*M823,"н/д")</x:f>
        <x:v>н/д</x:v>
      </x:c>
      <x:c r="X823" s="21" t="str">
        <x:f>IF(J823="Рассчитано",V823-W823,"н/д")</x:f>
        <x:v>н/д</x:v>
      </x:c>
      <x:c r="Y823" s="27" t="str">
        <x:f>IF(J823="Рассчитано",IF(V823&gt;0,G823/V823,"н/д"),"н/д")</x:f>
        <x:v>н/д</x:v>
      </x:c>
      <x:c r="Z823" s="21" t="str">
        <x:f>"н/д"</x:f>
        <x:v>н/д</x:v>
      </x:c>
      <x:c r="AA823" s="21" t="str">
        <x:f>"н/д"</x:f>
        <x:v>н/д</x:v>
      </x:c>
      <x:c r="AB823" s="21" t="str">
        <x:f>"н/д"</x:f>
        <x:v>н/д</x:v>
      </x:c>
      <x:c r="AC823" s="21" t="str">
        <x:f>IF(AND(J823="Рассчитано",T823&gt;0,R823&lt;100),(W823+P823+Q823)/(T823*(1-R823/100)),"н/д")</x:f>
        <x:v>н/д</x:v>
      </x:c>
      <x:c r="AD823" s="10" t="str">
        <x:f>IF(ISNUMBER(G823),IF(G823&lt;0,"Убыток",IF(G823=0,"Без прибыли","Прибыль &gt; 0")),"Не оценён")</x:f>
        <x:v>Не оценён</x:v>
      </x:c>
      <x:c r="AE823" s="13" t="str">
        <x:f>IF(J823="Рассчитано","Выручка "&amp;TEXT(V823,"0.00")&amp;" - себестоимость "&amp;TEXT(W823,"0.00")&amp;" - комиссия "&amp;TEXT(V823*R823/100,"0.00")&amp;" - доставка "&amp;TEXT(P823,"0.00")&amp;" - прочие "&amp;TEXT(Q823,"0.00")&amp;" = "&amp;TEXT(G823,"0.00")&amp;" "&amp;L823,"Введите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3" s="24" t="n">
        <x:v>0.685389475564311</x:v>
      </x:c>
      <x:c r="AG823" s="37" t="n">
        <x:v>2</x:v>
      </x:c>
      <x:c r="AH823" s="37" t="n">
        <x:v>0</x:v>
      </x:c>
      <x:c r="AI823" s="30" t="n">
        <x:v>46266</x:v>
      </x:c>
      <x:c r="AJ823" s="37"/>
      <x:c r="AK823" s="10" t="str">
        <x:v>неизвестно</x:v>
      </x:c>
      <x:c r="AL823" s="32" t="n">
        <x:v>248.1484738297526</x:v>
      </x:c>
      <x:c r="AM82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23" s="13" t="str">
        <x:v>Проверить свободный остаток и установить цену для B2B</x:v>
      </x:c>
      <x:c r="AO823" s="13" t="str">
        <x:v>Остаток 2; прогноз 90 дней 0.69; избыток 1 упак. Будущие поступления не выставляются на продажу. Остаток на начало сентября: требуется актуализация.</x:v>
      </x:c>
      <x:c r="AP823" s="13" t="str">
        <x:v>["category_missing", "daily_stockout_data_missing", "moq_missing", "new_order_lead_time_unknown", "reservations_unknown", "stale_stock"]</x:v>
      </x:c>
      <x:c r="AQ823" s="10" t="str">
        <x:v>IEK:240200007_</x:v>
      </x:c>
      <x:c r="AR823" s="24" t="n">
        <x:v>1</x:v>
      </x:c>
      <x:c r="AS823" s="24" t="n">
        <x:v>0</x:v>
      </x:c>
      <x:c r="AT823" s="24" t="n">
        <x:v>0</x:v>
      </x:c>
    </x:row>
    <x:row r="824" ht="64" customHeight="1">
      <x:c r="A824" s="11" t="str">
        <x:v>IEK</x:v>
      </x:c>
      <x:c r="B824" s="33" t="str">
        <x:v>240200011_</x:v>
      </x:c>
      <x:c r="C824" s="33" t="str">
        <x:v>USK11-10-100</x:v>
      </x:c>
      <x:c r="D824" s="12" t="str">
        <x:v>Круглая скоба 10мм IEK (100)</x:v>
      </x:c>
      <x:c r="E824" s="11" t="str">
        <x:v>упак</x:v>
      </x:c>
      <x:c r="F824" s="35" t="n">
        <x:f>MAX(0,ROUNDDOWN((AG824-AF824)/AR824+0.000000001,0)*AR824)</x:f>
        <x:v>6</x:v>
      </x:c>
      <x:c r="G824" s="20" t="str">
        <x:f>IF(J824="Рассчитано",V824*(1-R824/100)-W824-P824-Q824,"н/д")</x:f>
        <x:v>н/д</x:v>
      </x:c>
      <x:c r="H824" s="12" t="str">
        <x:v>Высокий</x:v>
      </x:c>
      <x:c r="I824" s="12" t="str">
        <x:v>Высокий</x:v>
      </x:c>
      <x:c r="J824" s="12" t="str">
        <x:f>IF(L824="","Укажите валюту",IF(NOT(ISNUMBER(K824)),"Укажите объём",IF(K824&lt;=0,"Укажите объём",IF(K824&gt;F824,"Объём выше излишка",IF(COUNT(M824:O824)&lt;3,"Нужны цены",IF(COUNT(P824:R824)&lt;3,"Нужны расходы",IF(OR(M824&lt;0,N824&lt;0,O824&lt;0,O824&gt;100,P824&lt;0,Q824&lt;0,R824&lt;0,R824&gt;100),"Проверьте значения","Рассчитано")))))))</x:f>
        <x:v>Нужны цены</x:v>
      </x:c>
      <x:c r="K824" s="36" t="n">
        <x:v>6</x:v>
      </x:c>
      <x:c r="L824" s="19" t="str">
        <x:v>KZT</x:v>
      </x:c>
      <x:c r="M824" s="22"/>
      <x:c r="N824" s="22"/>
      <x:c r="O824" s="28"/>
      <x:c r="P824" s="22"/>
      <x:c r="Q824" s="22"/>
      <x:c r="R824" s="28"/>
      <x:c r="S824" s="22"/>
      <x:c r="T824" s="35" t="n">
        <x:f>K824</x:f>
        <x:v>6</x:v>
      </x:c>
      <x:c r="U824" s="20" t="str">
        <x:f>IF(J824="Рассчитано",N824*(1-O824/100),"н/д")</x:f>
        <x:v>н/д</x:v>
      </x:c>
      <x:c r="V824" s="20" t="str">
        <x:f>IF(J824="Рассчитано",T824*U824,"н/д")</x:f>
        <x:v>н/д</x:v>
      </x:c>
      <x:c r="W824" s="20" t="str">
        <x:f>IF(J824="Рассчитано",T824*M824,"н/д")</x:f>
        <x:v>н/д</x:v>
      </x:c>
      <x:c r="X824" s="20" t="str">
        <x:f>IF(J824="Рассчитано",V824-W824,"н/д")</x:f>
        <x:v>н/д</x:v>
      </x:c>
      <x:c r="Y824" s="26" t="str">
        <x:f>IF(J824="Рассчитано",IF(V824&gt;0,G824/V824,"н/д"),"н/д")</x:f>
        <x:v>н/д</x:v>
      </x:c>
      <x:c r="Z824" s="20" t="str">
        <x:f>"н/д"</x:f>
        <x:v>н/д</x:v>
      </x:c>
      <x:c r="AA824" s="20" t="str">
        <x:f>"н/д"</x:f>
        <x:v>н/д</x:v>
      </x:c>
      <x:c r="AB824" s="20" t="str">
        <x:f>"н/д"</x:f>
        <x:v>н/д</x:v>
      </x:c>
      <x:c r="AC824" s="20" t="str">
        <x:f>IF(AND(J824="Рассчитано",T824&gt;0,R824&lt;100),(W824+P824+Q824)/(T824*(1-R824/100)),"н/д")</x:f>
        <x:v>н/д</x:v>
      </x:c>
      <x:c r="AD824" s="11" t="str">
        <x:f>IF(ISNUMBER(G824),IF(G824&lt;0,"Убыток",IF(G824=0,"Без прибыли","Прибыль &gt; 0")),"Не оценён")</x:f>
        <x:v>Не оценён</x:v>
      </x:c>
      <x:c r="AE824" s="12" t="str">
        <x:f>IF(J824="Рассчитано","Выручка "&amp;TEXT(V824,"0.00")&amp;" - себестоимость "&amp;TEXT(W824,"0.00")&amp;" - комиссия "&amp;TEXT(V824*R824/100,"0.00")&amp;" - доставка "&amp;TEXT(P824,"0.00")&amp;" - прочие "&amp;TEXT(Q824,"0.00")&amp;" = "&amp;TEXT(G824,"0.00")&amp;" "&amp;L824,"Введите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4" s="23" t="n">
        <x:v>0.7752820994319752</x:v>
      </x:c>
      <x:c r="AG824" s="35" t="n">
        <x:v>7</x:v>
      </x:c>
      <x:c r="AH824" s="35" t="n">
        <x:v>0</x:v>
      </x:c>
      <x:c r="AI824" s="29" t="n">
        <x:v>46266</x:v>
      </x:c>
      <x:c r="AJ824" s="35"/>
      <x:c r="AK824" s="11" t="str">
        <x:v>неизвестно</x:v>
      </x:c>
      <x:c r="AL824" s="31" t="n">
        <x:v>767.8163001919467</x:v>
      </x:c>
      <x:c r="AM82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24" s="12" t="str">
        <x:v>Проверить свободный остаток и установить цену для B2B</x:v>
      </x:c>
      <x:c r="AO824" s="12" t="str">
        <x:v>Остаток 7; прогноз 90 дней 0.78; избыток 6 упак. Будущие поступления не выставляются на продажу. Остаток на начало сентября: требуется актуализация.</x:v>
      </x:c>
      <x:c r="AP824" s="12" t="str">
        <x:v>["category_missing", "daily_stockout_data_missing", "moq_missing", "new_order_lead_time_unknown", "reservations_unknown", "stale_stock"]</x:v>
      </x:c>
      <x:c r="AQ824" s="11" t="str">
        <x:v>IEK:240200011_</x:v>
      </x:c>
      <x:c r="AR824" s="23" t="n">
        <x:v>1</x:v>
      </x:c>
      <x:c r="AS824" s="23" t="n">
        <x:v>0</x:v>
      </x:c>
      <x:c r="AT824" s="23" t="n">
        <x:v>0</x:v>
      </x:c>
    </x:row>
    <x:row r="825" ht="64" customHeight="1">
      <x:c r="A825" s="10" t="str">
        <x:v>IEK</x:v>
      </x:c>
      <x:c r="B825" s="34" t="str">
        <x:v>240200012_</x:v>
      </x:c>
      <x:c r="C825" s="34" t="str">
        <x:v>USK21-10-100</x:v>
      </x:c>
      <x:c r="D825" s="13" t="str">
        <x:v>Плоская скоба 10мм IEK (100)</x:v>
      </x:c>
      <x:c r="E825" s="10" t="str">
        <x:v>упак</x:v>
      </x:c>
      <x:c r="F825" s="37" t="n">
        <x:f>MAX(0,ROUNDDOWN((AG825-AF825)/AR825+0.000000001,0)*AR825)</x:f>
        <x:v>1</x:v>
      </x:c>
      <x:c r="G825" s="21" t="str">
        <x:f>IF(J825="Рассчитано",V825*(1-R825/100)-W825-P825-Q825,"н/д")</x:f>
        <x:v>н/д</x:v>
      </x:c>
      <x:c r="H825" s="13" t="str">
        <x:v>Высокий</x:v>
      </x:c>
      <x:c r="I825" s="13" t="str">
        <x:v>Высокий</x:v>
      </x:c>
      <x:c r="J825" s="13" t="str">
        <x:f>IF(L825="","Укажите валюту",IF(NOT(ISNUMBER(K825)),"Укажите объём",IF(K825&lt;=0,"Укажите объём",IF(K825&gt;F825,"Объём выше излишка",IF(COUNT(M825:O825)&lt;3,"Нужны цены",IF(COUNT(P825:R825)&lt;3,"Нужны расходы",IF(OR(M825&lt;0,N825&lt;0,O825&lt;0,O825&gt;100,P825&lt;0,Q825&lt;0,R825&lt;0,R825&gt;100),"Проверьте значения","Рассчитано")))))))</x:f>
        <x:v>Нужны цены</x:v>
      </x:c>
      <x:c r="K825" s="36" t="n">
        <x:v>1</x:v>
      </x:c>
      <x:c r="L825" s="19" t="str">
        <x:v>KZT</x:v>
      </x:c>
      <x:c r="M825" s="22"/>
      <x:c r="N825" s="22"/>
      <x:c r="O825" s="28"/>
      <x:c r="P825" s="22"/>
      <x:c r="Q825" s="22"/>
      <x:c r="R825" s="28"/>
      <x:c r="S825" s="22"/>
      <x:c r="T825" s="37" t="n">
        <x:f>K825</x:f>
        <x:v>1</x:v>
      </x:c>
      <x:c r="U825" s="21" t="str">
        <x:f>IF(J825="Рассчитано",N825*(1-O825/100),"н/д")</x:f>
        <x:v>н/д</x:v>
      </x:c>
      <x:c r="V825" s="21" t="str">
        <x:f>IF(J825="Рассчитано",T825*U825,"н/д")</x:f>
        <x:v>н/д</x:v>
      </x:c>
      <x:c r="W825" s="21" t="str">
        <x:f>IF(J825="Рассчитано",T825*M825,"н/д")</x:f>
        <x:v>н/д</x:v>
      </x:c>
      <x:c r="X825" s="21" t="str">
        <x:f>IF(J825="Рассчитано",V825-W825,"н/д")</x:f>
        <x:v>н/д</x:v>
      </x:c>
      <x:c r="Y825" s="27" t="str">
        <x:f>IF(J825="Рассчитано",IF(V825&gt;0,G825/V825,"н/д"),"н/д")</x:f>
        <x:v>н/д</x:v>
      </x:c>
      <x:c r="Z825" s="21" t="str">
        <x:f>"н/д"</x:f>
        <x:v>н/д</x:v>
      </x:c>
      <x:c r="AA825" s="21" t="str">
        <x:f>"н/д"</x:f>
        <x:v>н/д</x:v>
      </x:c>
      <x:c r="AB825" s="21" t="str">
        <x:f>"н/д"</x:f>
        <x:v>н/д</x:v>
      </x:c>
      <x:c r="AC825" s="21" t="str">
        <x:f>IF(AND(J825="Рассчитано",T825&gt;0,R825&lt;100),(W825+P825+Q825)/(T825*(1-R825/100)),"н/д")</x:f>
        <x:v>н/д</x:v>
      </x:c>
      <x:c r="AD825" s="10" t="str">
        <x:f>IF(ISNUMBER(G825),IF(G825&lt;0,"Убыток",IF(G825=0,"Без прибыли","Прибыль &gt; 0")),"Не оценён")</x:f>
        <x:v>Не оценён</x:v>
      </x:c>
      <x:c r="AE825" s="13" t="str">
        <x:f>IF(J825="Рассчитано","Выручка "&amp;TEXT(V825,"0.00")&amp;" - себестоимость "&amp;TEXT(W825,"0.00")&amp;" - комиссия "&amp;TEXT(V825*R825/100,"0.00")&amp;" - доставка "&amp;TEXT(P825,"0.00")&amp;" - прочие "&amp;TEXT(Q825,"0.00")&amp;" = "&amp;TEXT(G825,"0.00")&amp;" "&amp;L825,"Введите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5" s="24" t="n">
        <x:v>0</x:v>
      </x:c>
      <x:c r="AG825" s="37" t="n">
        <x:v>1</x:v>
      </x:c>
      <x:c r="AH825" s="37" t="n">
        <x:v>0</x:v>
      </x:c>
      <x:c r="AI825" s="30" t="n">
        <x:v>46266</x:v>
      </x:c>
      <x:c r="AJ825" s="37"/>
      <x:c r="AK825" s="10" t="str">
        <x:v>неизвестно</x:v>
      </x:c>
      <x:c r="AL825" s="32" t="str">
        <x:v>н/д</x:v>
      </x:c>
      <x:c r="AM82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825" s="13" t="str">
        <x:v>Проверить свободный остаток и установить цену для B2B</x:v>
      </x:c>
      <x:c r="AO825" s="13" t="str">
        <x:v>Остаток 1; прогноз 90 дней 0.00; избыток 1 упак. Будущие поступления не выставляются на продажу. Остаток на начало сентября: требуется актуализация.</x:v>
      </x:c>
      <x:c r="AP825" s="13" t="str">
        <x:v>["category_missing", "daily_stockout_data_missing", "large_orders_detected", "moq_missing", "new_order_lead_time_unknown", "reservations_unknown", "stale_stock"]</x:v>
      </x:c>
      <x:c r="AQ825" s="10" t="str">
        <x:v>IEK:240200012_</x:v>
      </x:c>
      <x:c r="AR825" s="24" t="n">
        <x:v>1</x:v>
      </x:c>
      <x:c r="AS825" s="24" t="n">
        <x:v>0</x:v>
      </x:c>
      <x:c r="AT825" s="24" t="n">
        <x:v>0</x:v>
      </x:c>
    </x:row>
    <x:row r="826" ht="64" customHeight="1">
      <x:c r="A826" s="11" t="str">
        <x:v>IEK</x:v>
      </x:c>
      <x:c r="B826" s="33" t="str">
        <x:v>240200029_</x:v>
      </x:c>
      <x:c r="C826" s="33" t="str">
        <x:v>USK21-12-100</x:v>
      </x:c>
      <x:c r="D826" s="12" t="str">
        <x:v>Плоская скоба 12мм IEK (100)</x:v>
      </x:c>
      <x:c r="E826" s="11" t="str">
        <x:v>упак</x:v>
      </x:c>
      <x:c r="F826" s="35" t="n">
        <x:f>MAX(0,ROUNDDOWN((AG826-AF826)/AR826+0.000000001,0)*AR826)</x:f>
        <x:v>2</x:v>
      </x:c>
      <x:c r="G826" s="20" t="str">
        <x:f>IF(J826="Рассчитано",V826*(1-R826/100)-W826-P826-Q826,"н/д")</x:f>
        <x:v>н/д</x:v>
      </x:c>
      <x:c r="H826" s="12" t="str">
        <x:v>Высокий</x:v>
      </x:c>
      <x:c r="I826" s="12" t="str">
        <x:v>Высокий</x:v>
      </x:c>
      <x:c r="J826" s="12" t="str">
        <x:f>IF(L826="","Укажите валюту",IF(NOT(ISNUMBER(K826)),"Укажите объём",IF(K826&lt;=0,"Укажите объём",IF(K826&gt;F826,"Объём выше излишка",IF(COUNT(M826:O826)&lt;3,"Нужны цены",IF(COUNT(P826:R826)&lt;3,"Нужны расходы",IF(OR(M826&lt;0,N826&lt;0,O826&lt;0,O826&gt;100,P826&lt;0,Q826&lt;0,R826&lt;0,R826&gt;100),"Проверьте значения","Рассчитано")))))))</x:f>
        <x:v>Нужны цены</x:v>
      </x:c>
      <x:c r="K826" s="36" t="n">
        <x:v>2</x:v>
      </x:c>
      <x:c r="L826" s="19" t="str">
        <x:v>KZT</x:v>
      </x:c>
      <x:c r="M826" s="22"/>
      <x:c r="N826" s="22"/>
      <x:c r="O826" s="28"/>
      <x:c r="P826" s="22"/>
      <x:c r="Q826" s="22"/>
      <x:c r="R826" s="28"/>
      <x:c r="S826" s="22"/>
      <x:c r="T826" s="35" t="n">
        <x:f>K826</x:f>
        <x:v>2</x:v>
      </x:c>
      <x:c r="U826" s="20" t="str">
        <x:f>IF(J826="Рассчитано",N826*(1-O826/100),"н/д")</x:f>
        <x:v>н/д</x:v>
      </x:c>
      <x:c r="V826" s="20" t="str">
        <x:f>IF(J826="Рассчитано",T826*U826,"н/д")</x:f>
        <x:v>н/д</x:v>
      </x:c>
      <x:c r="W826" s="20" t="str">
        <x:f>IF(J826="Рассчитано",T826*M826,"н/д")</x:f>
        <x:v>н/д</x:v>
      </x:c>
      <x:c r="X826" s="20" t="str">
        <x:f>IF(J826="Рассчитано",V826-W826,"н/д")</x:f>
        <x:v>н/д</x:v>
      </x:c>
      <x:c r="Y826" s="26" t="str">
        <x:f>IF(J826="Рассчитано",IF(V826&gt;0,G826/V826,"н/д"),"н/д")</x:f>
        <x:v>н/д</x:v>
      </x:c>
      <x:c r="Z826" s="20" t="str">
        <x:f>"н/д"</x:f>
        <x:v>н/д</x:v>
      </x:c>
      <x:c r="AA826" s="20" t="str">
        <x:f>"н/д"</x:f>
        <x:v>н/д</x:v>
      </x:c>
      <x:c r="AB826" s="20" t="str">
        <x:f>"н/д"</x:f>
        <x:v>н/д</x:v>
      </x:c>
      <x:c r="AC826" s="20" t="str">
        <x:f>IF(AND(J826="Рассчитано",T826&gt;0,R826&lt;100),(W826+P826+Q826)/(T826*(1-R826/100)),"н/д")</x:f>
        <x:v>н/д</x:v>
      </x:c>
      <x:c r="AD826" s="11" t="str">
        <x:f>IF(ISNUMBER(G826),IF(G826&lt;0,"Убыток",IF(G826=0,"Без прибыли","Прибыль &gt; 0")),"Не оценён")</x:f>
        <x:v>Не оценён</x:v>
      </x:c>
      <x:c r="AE826" s="12" t="str">
        <x:f>IF(J826="Рассчитано","Выручка "&amp;TEXT(V826,"0.00")&amp;" - себестоимость "&amp;TEXT(W826,"0.00")&amp;" - комиссия "&amp;TEXT(V826*R826/100,"0.00")&amp;" - доставка "&amp;TEXT(P826,"0.00")&amp;" - прочие "&amp;TEXT(Q826,"0.00")&amp;" = "&amp;TEXT(G826,"0.00")&amp;" "&amp;L826,"Введите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6" s="23" t="n">
        <x:v>0.9075686178894331</x:v>
      </x:c>
      <x:c r="AG826" s="35" t="n">
        <x:v>3</x:v>
      </x:c>
      <x:c r="AH826" s="35" t="n">
        <x:v>0</x:v>
      </x:c>
      <x:c r="AI826" s="29" t="n">
        <x:v>46266</x:v>
      </x:c>
      <x:c r="AJ826" s="35"/>
      <x:c r="AK826" s="11" t="str">
        <x:v>неизвестно</x:v>
      </x:c>
      <x:c r="AL826" s="31" t="n">
        <x:v>281.0999890054242</x:v>
      </x:c>
      <x:c r="AM82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26" s="12" t="str">
        <x:v>Проверить свободный остаток и установить цену для B2B</x:v>
      </x:c>
      <x:c r="AO826" s="12" t="str">
        <x:v>Остаток 3; прогноз 90 дней 0.91; избыток 2 упак. Будущие поступления не выставляются на продажу. Остаток на начало сентября: требуется актуализация.</x:v>
      </x:c>
      <x:c r="AP826" s="12" t="str">
        <x:v>["category_missing", "daily_stockout_data_missing", "moq_missing", "new_order_lead_time_unknown", "reservations_unknown", "stale_stock"]</x:v>
      </x:c>
      <x:c r="AQ826" s="11" t="str">
        <x:v>IEK:240200029_</x:v>
      </x:c>
      <x:c r="AR826" s="23" t="n">
        <x:v>1</x:v>
      </x:c>
      <x:c r="AS826" s="23" t="n">
        <x:v>0</x:v>
      </x:c>
      <x:c r="AT826" s="23" t="n">
        <x:v>0</x:v>
      </x:c>
    </x:row>
    <x:row r="827" ht="64" customHeight="1">
      <x:c r="A827" s="10" t="str">
        <x:v>IEK</x:v>
      </x:c>
      <x:c r="B827" s="34" t="str">
        <x:v>240200031_</x:v>
      </x:c>
      <x:c r="C827" s="34" t="str">
        <x:v>USK21-06-100</x:v>
      </x:c>
      <x:c r="D827" s="13" t="str">
        <x:v>Плоская скоба  6мм IEK (100)</x:v>
      </x:c>
      <x:c r="E827" s="10" t="str">
        <x:v>упак</x:v>
      </x:c>
      <x:c r="F827" s="37" t="n">
        <x:f>MAX(0,ROUNDDOWN((AG827-AF827)/AR827+0.000000001,0)*AR827)</x:f>
        <x:v>2</x:v>
      </x:c>
      <x:c r="G827" s="21" t="str">
        <x:f>IF(J827="Рассчитано",V827*(1-R827/100)-W827-P827-Q827,"н/д")</x:f>
        <x:v>н/д</x:v>
      </x:c>
      <x:c r="H827" s="13" t="str">
        <x:v>Высокий</x:v>
      </x:c>
      <x:c r="I827" s="13" t="str">
        <x:v>Высокий</x:v>
      </x:c>
      <x:c r="J827" s="13" t="str">
        <x:f>IF(L827="","Укажите валюту",IF(NOT(ISNUMBER(K827)),"Укажите объём",IF(K827&lt;=0,"Укажите объём",IF(K827&gt;F827,"Объём выше излишка",IF(COUNT(M827:O827)&lt;3,"Нужны цены",IF(COUNT(P827:R827)&lt;3,"Нужны расходы",IF(OR(M827&lt;0,N827&lt;0,O827&lt;0,O827&gt;100,P827&lt;0,Q827&lt;0,R827&lt;0,R827&gt;100),"Проверьте значения","Рассчитано")))))))</x:f>
        <x:v>Нужны цены</x:v>
      </x:c>
      <x:c r="K827" s="36" t="n">
        <x:v>2</x:v>
      </x:c>
      <x:c r="L827" s="19" t="str">
        <x:v>KZT</x:v>
      </x:c>
      <x:c r="M827" s="22"/>
      <x:c r="N827" s="22"/>
      <x:c r="O827" s="28"/>
      <x:c r="P827" s="22"/>
      <x:c r="Q827" s="22"/>
      <x:c r="R827" s="28"/>
      <x:c r="S827" s="22"/>
      <x:c r="T827" s="37" t="n">
        <x:f>K827</x:f>
        <x:v>2</x:v>
      </x:c>
      <x:c r="U827" s="21" t="str">
        <x:f>IF(J827="Рассчитано",N827*(1-O827/100),"н/д")</x:f>
        <x:v>н/д</x:v>
      </x:c>
      <x:c r="V827" s="21" t="str">
        <x:f>IF(J827="Рассчитано",T827*U827,"н/д")</x:f>
        <x:v>н/д</x:v>
      </x:c>
      <x:c r="W827" s="21" t="str">
        <x:f>IF(J827="Рассчитано",T827*M827,"н/д")</x:f>
        <x:v>н/д</x:v>
      </x:c>
      <x:c r="X827" s="21" t="str">
        <x:f>IF(J827="Рассчитано",V827-W827,"н/д")</x:f>
        <x:v>н/д</x:v>
      </x:c>
      <x:c r="Y827" s="27" t="str">
        <x:f>IF(J827="Рассчитано",IF(V827&gt;0,G827/V827,"н/д"),"н/д")</x:f>
        <x:v>н/д</x:v>
      </x:c>
      <x:c r="Z827" s="21" t="str">
        <x:f>"н/д"</x:f>
        <x:v>н/д</x:v>
      </x:c>
      <x:c r="AA827" s="21" t="str">
        <x:f>"н/д"</x:f>
        <x:v>н/д</x:v>
      </x:c>
      <x:c r="AB827" s="21" t="str">
        <x:f>"н/д"</x:f>
        <x:v>н/д</x:v>
      </x:c>
      <x:c r="AC827" s="21" t="str">
        <x:f>IF(AND(J827="Рассчитано",T827&gt;0,R827&lt;100),(W827+P827+Q827)/(T827*(1-R827/100)),"н/д")</x:f>
        <x:v>н/д</x:v>
      </x:c>
      <x:c r="AD827" s="10" t="str">
        <x:f>IF(ISNUMBER(G827),IF(G827&lt;0,"Убыток",IF(G827=0,"Без прибыли","Прибыль &gt; 0")),"Не оценён")</x:f>
        <x:v>Не оценён</x:v>
      </x:c>
      <x:c r="AE827" s="13" t="str">
        <x:f>IF(J827="Рассчитано","Выручка "&amp;TEXT(V827,"0.00")&amp;" - себестоимость "&amp;TEXT(W827,"0.00")&amp;" - комиссия "&amp;TEXT(V827*R827/100,"0.00")&amp;" - доставка "&amp;TEXT(P827,"0.00")&amp;" - прочие "&amp;TEXT(Q827,"0.00")&amp;" = "&amp;TEXT(G827,"0.00")&amp;" "&amp;L827,"Введите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7" s="24" t="n">
        <x:v>0.18011622360411045</x:v>
      </x:c>
      <x:c r="AG827" s="37" t="n">
        <x:v>3</x:v>
      </x:c>
      <x:c r="AH827" s="37" t="n">
        <x:v>0</x:v>
      </x:c>
      <x:c r="AI827" s="30" t="n">
        <x:v>46266</x:v>
      </x:c>
      <x:c r="AJ827" s="37"/>
      <x:c r="AK827" s="10" t="str">
        <x:v>неизвестно</x:v>
      </x:c>
      <x:c r="AL827" s="32" t="n">
        <x:v>1416.4050489484353</x:v>
      </x:c>
      <x:c r="AM82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27" s="13" t="str">
        <x:v>Проверить свободный остаток и установить цену для B2B</x:v>
      </x:c>
      <x:c r="AO827" s="13" t="str">
        <x:v>Остаток 3; прогноз 90 дней 0.18; избыток 2 упак. Будущие поступления не выставляются на продажу. Остаток на начало сентября: требуется актуализация.</x:v>
      </x:c>
      <x:c r="AP827" s="13" t="str">
        <x:v>["category_missing", "daily_stockout_data_missing", "moq_missing", "new_order_lead_time_unknown", "reservations_unknown", "stale_stock"]</x:v>
      </x:c>
      <x:c r="AQ827" s="10" t="str">
        <x:v>IEK:240200031_</x:v>
      </x:c>
      <x:c r="AR827" s="24" t="n">
        <x:v>1</x:v>
      </x:c>
      <x:c r="AS827" s="24" t="n">
        <x:v>0</x:v>
      </x:c>
      <x:c r="AT827" s="24" t="n">
        <x:v>0</x:v>
      </x:c>
    </x:row>
    <x:row r="828" ht="64" customHeight="1">
      <x:c r="A828" s="11" t="str">
        <x:v>IEK</x:v>
      </x:c>
      <x:c r="B828" s="33" t="str">
        <x:v>240200032_</x:v>
      </x:c>
      <x:c r="C828" s="33" t="str">
        <x:v>USK21-14-100</x:v>
      </x:c>
      <x:c r="D828" s="12" t="str">
        <x:v>Плоская скоба 14мм IEK (100)</x:v>
      </x:c>
      <x:c r="E828" s="11" t="str">
        <x:v>упак</x:v>
      </x:c>
      <x:c r="F828" s="35" t="n">
        <x:f>MAX(0,ROUNDDOWN((AG828-AF828)/AR828+0.000000001,0)*AR828)</x:f>
        <x:v>58</x:v>
      </x:c>
      <x:c r="G828" s="20" t="str">
        <x:f>IF(J828="Рассчитано",V828*(1-R828/100)-W828-P828-Q828,"н/д")</x:f>
        <x:v>н/д</x:v>
      </x:c>
      <x:c r="H828" s="12" t="str">
        <x:v>Высокий</x:v>
      </x:c>
      <x:c r="I828" s="12" t="str">
        <x:v>Высокий</x:v>
      </x:c>
      <x:c r="J828" s="12" t="str">
        <x:f>IF(L828="","Укажите валюту",IF(NOT(ISNUMBER(K828)),"Укажите объём",IF(K828&lt;=0,"Укажите объём",IF(K828&gt;F828,"Объём выше излишка",IF(COUNT(M828:O828)&lt;3,"Нужны цены",IF(COUNT(P828:R828)&lt;3,"Нужны расходы",IF(OR(M828&lt;0,N828&lt;0,O828&lt;0,O828&gt;100,P828&lt;0,Q828&lt;0,R828&lt;0,R828&gt;100),"Проверьте значения","Рассчитано")))))))</x:f>
        <x:v>Нужны цены</x:v>
      </x:c>
      <x:c r="K828" s="36" t="n">
        <x:v>58</x:v>
      </x:c>
      <x:c r="L828" s="19" t="str">
        <x:v>KZT</x:v>
      </x:c>
      <x:c r="M828" s="22"/>
      <x:c r="N828" s="22"/>
      <x:c r="O828" s="28"/>
      <x:c r="P828" s="22"/>
      <x:c r="Q828" s="22"/>
      <x:c r="R828" s="28"/>
      <x:c r="S828" s="22"/>
      <x:c r="T828" s="35" t="n">
        <x:f>K828</x:f>
        <x:v>58</x:v>
      </x:c>
      <x:c r="U828" s="20" t="str">
        <x:f>IF(J828="Рассчитано",N828*(1-O828/100),"н/д")</x:f>
        <x:v>н/д</x:v>
      </x:c>
      <x:c r="V828" s="20" t="str">
        <x:f>IF(J828="Рассчитано",T828*U828,"н/д")</x:f>
        <x:v>н/д</x:v>
      </x:c>
      <x:c r="W828" s="20" t="str">
        <x:f>IF(J828="Рассчитано",T828*M828,"н/д")</x:f>
        <x:v>н/д</x:v>
      </x:c>
      <x:c r="X828" s="20" t="str">
        <x:f>IF(J828="Рассчитано",V828-W828,"н/д")</x:f>
        <x:v>н/д</x:v>
      </x:c>
      <x:c r="Y828" s="26" t="str">
        <x:f>IF(J828="Рассчитано",IF(V828&gt;0,G828/V828,"н/д"),"н/д")</x:f>
        <x:v>н/д</x:v>
      </x:c>
      <x:c r="Z828" s="20" t="str">
        <x:f>"н/д"</x:f>
        <x:v>н/д</x:v>
      </x:c>
      <x:c r="AA828" s="20" t="str">
        <x:f>"н/д"</x:f>
        <x:v>н/д</x:v>
      </x:c>
      <x:c r="AB828" s="20" t="str">
        <x:f>"н/д"</x:f>
        <x:v>н/д</x:v>
      </x:c>
      <x:c r="AC828" s="20" t="str">
        <x:f>IF(AND(J828="Рассчитано",T828&gt;0,R828&lt;100),(W828+P828+Q828)/(T828*(1-R828/100)),"н/д")</x:f>
        <x:v>н/д</x:v>
      </x:c>
      <x:c r="AD828" s="11" t="str">
        <x:f>IF(ISNUMBER(G828),IF(G828&lt;0,"Убыток",IF(G828=0,"Без прибыли","Прибыль &gt; 0")),"Не оценён")</x:f>
        <x:v>Не оценён</x:v>
      </x:c>
      <x:c r="AE828" s="12" t="str">
        <x:f>IF(J828="Рассчитано","Выручка "&amp;TEXT(V828,"0.00")&amp;" - себестоимость "&amp;TEXT(W828,"0.00")&amp;" - комиссия "&amp;TEXT(V828*R828/100,"0.00")&amp;" - доставка "&amp;TEXT(P828,"0.00")&amp;" - прочие "&amp;TEXT(Q828,"0.00")&amp;" = "&amp;TEXT(G828,"0.00")&amp;" "&amp;L828,"Введите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8" s="23" t="n">
        <x:v>0.9312980804758257</x:v>
      </x:c>
      <x:c r="AG828" s="35" t="n">
        <x:v>59</x:v>
      </x:c>
      <x:c r="AH828" s="35" t="n">
        <x:v>0</x:v>
      </x:c>
      <x:c r="AI828" s="29" t="n">
        <x:v>46266</x:v>
      </x:c>
      <x:c r="AJ828" s="35"/>
      <x:c r="AK828" s="11" t="str">
        <x:v>неизвестно</x:v>
      </x:c>
      <x:c r="AL828" s="31" t="n">
        <x:v>5387.438779508856</x:v>
      </x:c>
      <x:c r="AM82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28" s="12" t="str">
        <x:v>Проверить свободный остаток и установить цену для B2B</x:v>
      </x:c>
      <x:c r="AO828" s="12" t="str">
        <x:v>Остаток 59; прогноз 90 дней 0.93; избыток 58 упак. Будущие поступления не выставляются на продажу. Остаток на начало сентября: требуется актуализация.</x:v>
      </x:c>
      <x:c r="AP828" s="12" t="str">
        <x:v>["category_missing", "daily_stockout_data_missing", "moq_missing", "new_order_lead_time_unknown", "reservations_unknown", "stale_stock"]</x:v>
      </x:c>
      <x:c r="AQ828" s="11" t="str">
        <x:v>IEK:240200032_</x:v>
      </x:c>
      <x:c r="AR828" s="23" t="n">
        <x:v>1</x:v>
      </x:c>
      <x:c r="AS828" s="23" t="n">
        <x:v>0</x:v>
      </x:c>
      <x:c r="AT828" s="23" t="n">
        <x:v>0</x:v>
      </x:c>
    </x:row>
    <x:row r="829" ht="64" customHeight="1">
      <x:c r="A829" s="10" t="str">
        <x:v>IEK</x:v>
      </x:c>
      <x:c r="B829" s="34" t="str">
        <x:v>240300014_</x:v>
      </x:c>
      <x:c r="C829" s="34" t="str">
        <x:v>UMK10-1</x:v>
      </x:c>
      <x:c r="D829" s="13" t="str">
        <x:v>Маркер МК1-2,5мм символ "1" 1000шт\ролл IEK</x:v>
      </x:c>
      <x:c r="E829" s="10" t="str">
        <x:v>упак</x:v>
      </x:c>
      <x:c r="F829" s="37" t="n">
        <x:f>MAX(0,ROUNDDOWN((AG829-AF829)/AR829+0.000000001,0)*AR829)</x:f>
        <x:v>1</x:v>
      </x:c>
      <x:c r="G829" s="21" t="str">
        <x:f>IF(J829="Рассчитано",V829*(1-R829/100)-W829-P829-Q829,"н/д")</x:f>
        <x:v>н/д</x:v>
      </x:c>
      <x:c r="H829" s="13" t="str">
        <x:v>Высокий</x:v>
      </x:c>
      <x:c r="I829" s="13" t="str">
        <x:v>Средний</x:v>
      </x:c>
      <x:c r="J829" s="13" t="str">
        <x:f>IF(L829="","Укажите валюту",IF(NOT(ISNUMBER(K829)),"Укажите объём",IF(K829&lt;=0,"Укажите объём",IF(K829&gt;F829,"Объём выше излишка",IF(COUNT(M829:O829)&lt;3,"Нужны цены",IF(COUNT(P829:R829)&lt;3,"Нужны расходы",IF(OR(M829&lt;0,N829&lt;0,O829&lt;0,O829&gt;100,P829&lt;0,Q829&lt;0,R829&lt;0,R829&gt;100),"Проверьте значения","Рассчитано")))))))</x:f>
        <x:v>Нужны цены</x:v>
      </x:c>
      <x:c r="K829" s="36" t="n">
        <x:v>1</x:v>
      </x:c>
      <x:c r="L829" s="19" t="str">
        <x:v>KZT</x:v>
      </x:c>
      <x:c r="M829" s="22"/>
      <x:c r="N829" s="22"/>
      <x:c r="O829" s="28"/>
      <x:c r="P829" s="22"/>
      <x:c r="Q829" s="22"/>
      <x:c r="R829" s="28"/>
      <x:c r="S829" s="22"/>
      <x:c r="T829" s="37" t="n">
        <x:f>K829</x:f>
        <x:v>1</x:v>
      </x:c>
      <x:c r="U829" s="21" t="str">
        <x:f>IF(J829="Рассчитано",N829*(1-O829/100),"н/д")</x:f>
        <x:v>н/д</x:v>
      </x:c>
      <x:c r="V829" s="21" t="str">
        <x:f>IF(J829="Рассчитано",T829*U829,"н/д")</x:f>
        <x:v>н/д</x:v>
      </x:c>
      <x:c r="W829" s="21" t="str">
        <x:f>IF(J829="Рассчитано",T829*M829,"н/д")</x:f>
        <x:v>н/д</x:v>
      </x:c>
      <x:c r="X829" s="21" t="str">
        <x:f>IF(J829="Рассчитано",V829-W829,"н/д")</x:f>
        <x:v>н/д</x:v>
      </x:c>
      <x:c r="Y829" s="27" t="str">
        <x:f>IF(J829="Рассчитано",IF(V829&gt;0,G829/V829,"н/д"),"н/д")</x:f>
        <x:v>н/д</x:v>
      </x:c>
      <x:c r="Z829" s="21" t="str">
        <x:f>"н/д"</x:f>
        <x:v>н/д</x:v>
      </x:c>
      <x:c r="AA829" s="21" t="str">
        <x:f>"н/д"</x:f>
        <x:v>н/д</x:v>
      </x:c>
      <x:c r="AB829" s="21" t="str">
        <x:f>"н/д"</x:f>
        <x:v>н/д</x:v>
      </x:c>
      <x:c r="AC829" s="21" t="str">
        <x:f>IF(AND(J829="Рассчитано",T829&gt;0,R829&lt;100),(W829+P829+Q829)/(T829*(1-R829/100)),"н/д")</x:f>
        <x:v>н/д</x:v>
      </x:c>
      <x:c r="AD829" s="10" t="str">
        <x:f>IF(ISNUMBER(G829),IF(G829&lt;0,"Убыток",IF(G829=0,"Без прибыли","Прибыль &gt; 0")),"Не оценён")</x:f>
        <x:v>Не оценён</x:v>
      </x:c>
      <x:c r="AE829" s="13" t="str">
        <x:f>IF(J829="Рассчитано","Выручка "&amp;TEXT(V829,"0.00")&amp;" - себестоимость "&amp;TEXT(W829,"0.00")&amp;" - комиссия "&amp;TEXT(V829*R829/100,"0.00")&amp;" - доставка "&amp;TEXT(P829,"0.00")&amp;" - прочие "&amp;TEXT(Q829,"0.00")&amp;" = "&amp;TEXT(G829,"0.00")&amp;" "&amp;L829,"Введите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9" s="24" t="n">
        <x:v>2.222350543321806</x:v>
      </x:c>
      <x:c r="AG829" s="37" t="n">
        <x:v>4</x:v>
      </x:c>
      <x:c r="AH829" s="37" t="n">
        <x:v>3</x:v>
      </x:c>
      <x:c r="AI829" s="30" t="n">
        <x:v>46266</x:v>
      </x:c>
      <x:c r="AJ829" s="37" t="n">
        <x:v>1</x:v>
      </x:c>
      <x:c r="AK829" s="10" t="str">
        <x:v>минимум</x:v>
      </x:c>
      <x:c r="AL829" s="32" t="n">
        <x:v>153.06167863692392</x:v>
      </x:c>
      <x:c r="AM829" s="13" t="str">
        <x:v>Остаток на начало сентября; Резервы неизвестны; Нет ежедневных данных доступности. Запас выше прогноза на 90 дней</x:v>
      </x:c>
      <x:c r="AN829" s="13" t="str">
        <x:v>Проверить свободный остаток и установить цену для B2B</x:v>
      </x:c>
      <x:c r="AO829" s="13" t="str">
        <x:v>Остаток 4; прогноз 90 дней 2.22; избыток 1 упак. Будущие поступления не выставляются на продажу. Остаток на начало сентября: требуется актуализация.</x:v>
      </x:c>
      <x:c r="AP829" s="13" t="str">
        <x:v>["category_missing", "daily_stockout_data_missing", "new_order_lead_time_unknown", "reservations_unknown", "stale_stock"]</x:v>
      </x:c>
      <x:c r="AQ829" s="10" t="str">
        <x:v>IEK:240300014_</x:v>
      </x:c>
      <x:c r="AR829" s="24" t="n">
        <x:v>1</x:v>
      </x:c>
      <x:c r="AS829" s="24" t="n">
        <x:v>0</x:v>
      </x:c>
      <x:c r="AT829" s="24" t="n">
        <x:v>0</x:v>
      </x:c>
    </x:row>
    <x:row r="830" ht="64" customHeight="1">
      <x:c r="A830" s="11" t="str">
        <x:v>IEK</x:v>
      </x:c>
      <x:c r="B830" s="33" t="str">
        <x:v>240300027_</x:v>
      </x:c>
      <x:c r="C830" s="33" t="str">
        <x:v>UMK00-1</x:v>
      </x:c>
      <x:c r="D830" s="12" t="str">
        <x:v>Маркер МК0-1,5мм символ "1" 1000шт\ролл IEK</x:v>
      </x:c>
      <x:c r="E830" s="11" t="str">
        <x:v>упак</x:v>
      </x:c>
      <x:c r="F830" s="35" t="n">
        <x:f>MAX(0,ROUNDDOWN((AG830-AF830)/AR830+0.000000001,0)*AR830)</x:f>
        <x:v>1</x:v>
      </x:c>
      <x:c r="G830" s="20" t="str">
        <x:f>IF(J830="Рассчитано",V830*(1-R830/100)-W830-P830-Q830,"н/д")</x:f>
        <x:v>н/д</x:v>
      </x:c>
      <x:c r="H830" s="12" t="str">
        <x:v>Высокий</x:v>
      </x:c>
      <x:c r="I830" s="12" t="str">
        <x:v>Средний</x:v>
      </x:c>
      <x:c r="J830" s="12" t="str">
        <x:f>IF(L830="","Укажите валюту",IF(NOT(ISNUMBER(K830)),"Укажите объём",IF(K830&lt;=0,"Укажите объём",IF(K830&gt;F830,"Объём выше излишка",IF(COUNT(M830:O830)&lt;3,"Нужны цены",IF(COUNT(P830:R830)&lt;3,"Нужны расходы",IF(OR(M830&lt;0,N830&lt;0,O830&lt;0,O830&gt;100,P830&lt;0,Q830&lt;0,R830&lt;0,R830&gt;100),"Проверьте значения","Рассчитано")))))))</x:f>
        <x:v>Нужны цены</x:v>
      </x:c>
      <x:c r="K830" s="36" t="n">
        <x:v>1</x:v>
      </x:c>
      <x:c r="L830" s="19" t="str">
        <x:v>KZT</x:v>
      </x:c>
      <x:c r="M830" s="22"/>
      <x:c r="N830" s="22"/>
      <x:c r="O830" s="28"/>
      <x:c r="P830" s="22"/>
      <x:c r="Q830" s="22"/>
      <x:c r="R830" s="28"/>
      <x:c r="S830" s="22"/>
      <x:c r="T830" s="35" t="n">
        <x:f>K830</x:f>
        <x:v>1</x:v>
      </x:c>
      <x:c r="U830" s="20" t="str">
        <x:f>IF(J830="Рассчитано",N830*(1-O830/100),"н/д")</x:f>
        <x:v>н/д</x:v>
      </x:c>
      <x:c r="V830" s="20" t="str">
        <x:f>IF(J830="Рассчитано",T830*U830,"н/д")</x:f>
        <x:v>н/д</x:v>
      </x:c>
      <x:c r="W830" s="20" t="str">
        <x:f>IF(J830="Рассчитано",T830*M830,"н/д")</x:f>
        <x:v>н/д</x:v>
      </x:c>
      <x:c r="X830" s="20" t="str">
        <x:f>IF(J830="Рассчитано",V830-W830,"н/д")</x:f>
        <x:v>н/д</x:v>
      </x:c>
      <x:c r="Y830" s="26" t="str">
        <x:f>IF(J830="Рассчитано",IF(V830&gt;0,G830/V830,"н/д"),"н/д")</x:f>
        <x:v>н/д</x:v>
      </x:c>
      <x:c r="Z830" s="20" t="str">
        <x:f>"н/д"</x:f>
        <x:v>н/д</x:v>
      </x:c>
      <x:c r="AA830" s="20" t="str">
        <x:f>"н/д"</x:f>
        <x:v>н/д</x:v>
      </x:c>
      <x:c r="AB830" s="20" t="str">
        <x:f>"н/д"</x:f>
        <x:v>н/д</x:v>
      </x:c>
      <x:c r="AC830" s="20" t="str">
        <x:f>IF(AND(J830="Рассчитано",T830&gt;0,R830&lt;100),(W830+P830+Q830)/(T830*(1-R830/100)),"н/д")</x:f>
        <x:v>н/д</x:v>
      </x:c>
      <x:c r="AD830" s="11" t="str">
        <x:f>IF(ISNUMBER(G830),IF(G830&lt;0,"Убыток",IF(G830=0,"Без прибыли","Прибыль &gt; 0")),"Не оценён")</x:f>
        <x:v>Не оценён</x:v>
      </x:c>
      <x:c r="AE830" s="12" t="str">
        <x:f>IF(J830="Рассчитано","Выручка "&amp;TEXT(V830,"0.00")&amp;" - себестоимость "&amp;TEXT(W830,"0.00")&amp;" - комиссия "&amp;TEXT(V830*R830/100,"0.00")&amp;" - доставка "&amp;TEXT(P830,"0.00")&amp;" - прочие "&amp;TEXT(Q830,"0.00")&amp;" = "&amp;TEXT(G830,"0.00")&amp;" "&amp;L830,"Введите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0" s="23" t="n">
        <x:v>8.3989385752211</x:v>
      </x:c>
      <x:c r="AG830" s="35" t="n">
        <x:v>10</x:v>
      </x:c>
      <x:c r="AH830" s="35" t="n">
        <x:v>4</x:v>
      </x:c>
      <x:c r="AI830" s="29" t="n">
        <x:v>46266</x:v>
      </x:c>
      <x:c r="AJ830" s="35" t="n">
        <x:v>1</x:v>
      </x:c>
      <x:c r="AK830" s="11" t="str">
        <x:v>минимум</x:v>
      </x:c>
      <x:c r="AL830" s="31" t="n">
        <x:v>101.2499084360673</x:v>
      </x:c>
      <x:c r="AM830" s="12" t="str">
        <x:v>Остаток на начало сентября; Резервы неизвестны; Нет ежедневных данных доступности. Запас выше прогноза на 90 дней</x:v>
      </x:c>
      <x:c r="AN830" s="12" t="str">
        <x:v>Проверить свободный остаток и установить цену для B2B</x:v>
      </x:c>
      <x:c r="AO830" s="12" t="str">
        <x:v>Остаток 10; прогноз 90 дней 8.40; избыток 1 упак. Будущие поступления не выставляются на продажу. Остаток на начало сентября: требуется актуализация.</x:v>
      </x:c>
      <x:c r="AP830" s="12" t="str">
        <x:v>["category_missing", "daily_stockout_data_missing", "new_order_lead_time_unknown", "reservations_unknown", "stale_stock"]</x:v>
      </x:c>
      <x:c r="AQ830" s="11" t="str">
        <x:v>IEK:240300027_</x:v>
      </x:c>
      <x:c r="AR830" s="23" t="n">
        <x:v>1</x:v>
      </x:c>
      <x:c r="AS830" s="23" t="n">
        <x:v>0</x:v>
      </x:c>
      <x:c r="AT830" s="23" t="n">
        <x:v>0</x:v>
      </x:c>
    </x:row>
    <x:row r="831" ht="64" customHeight="1">
      <x:c r="A831" s="10" t="str">
        <x:v>IEK</x:v>
      </x:c>
      <x:c r="B831" s="34" t="str">
        <x:v>240300035_</x:v>
      </x:c>
      <x:c r="C831" s="34" t="str">
        <x:v>UMK00-0</x:v>
      </x:c>
      <x:c r="D831" s="13" t="str">
        <x:v>Маркер МК0-1,5мм символ "0" 1000шт\ролл IEK</x:v>
      </x:c>
      <x:c r="E831" s="10" t="str">
        <x:v>упак</x:v>
      </x:c>
      <x:c r="F831" s="37" t="n">
        <x:f>MAX(0,ROUNDDOWN((AG831-AF831)/AR831+0.000000001,0)*AR831)</x:f>
        <x:v>2</x:v>
      </x:c>
      <x:c r="G831" s="21" t="str">
        <x:f>IF(J831="Рассчитано",V831*(1-R831/100)-W831-P831-Q831,"н/д")</x:f>
        <x:v>н/д</x:v>
      </x:c>
      <x:c r="H831" s="13" t="str">
        <x:v>Высокий</x:v>
      </x:c>
      <x:c r="I831" s="13" t="str">
        <x:v>Средний</x:v>
      </x:c>
      <x:c r="J831" s="13" t="str">
        <x:f>IF(L831="","Укажите валюту",IF(NOT(ISNUMBER(K831)),"Укажите объём",IF(K831&lt;=0,"Укажите объём",IF(K831&gt;F831,"Объём выше излишка",IF(COUNT(M831:O831)&lt;3,"Нужны цены",IF(COUNT(P831:R831)&lt;3,"Нужны расходы",IF(OR(M831&lt;0,N831&lt;0,O831&lt;0,O831&gt;100,P831&lt;0,Q831&lt;0,R831&lt;0,R831&gt;100),"Проверьте значения","Рассчитано")))))))</x:f>
        <x:v>Нужны цены</x:v>
      </x:c>
      <x:c r="K831" s="36" t="n">
        <x:v>2</x:v>
      </x:c>
      <x:c r="L831" s="19" t="str">
        <x:v>KZT</x:v>
      </x:c>
      <x:c r="M831" s="22"/>
      <x:c r="N831" s="22"/>
      <x:c r="O831" s="28"/>
      <x:c r="P831" s="22"/>
      <x:c r="Q831" s="22"/>
      <x:c r="R831" s="28"/>
      <x:c r="S831" s="22"/>
      <x:c r="T831" s="37" t="n">
        <x:f>K831</x:f>
        <x:v>2</x:v>
      </x:c>
      <x:c r="U831" s="21" t="str">
        <x:f>IF(J831="Рассчитано",N831*(1-O831/100),"н/д")</x:f>
        <x:v>н/д</x:v>
      </x:c>
      <x:c r="V831" s="21" t="str">
        <x:f>IF(J831="Рассчитано",T831*U831,"н/д")</x:f>
        <x:v>н/д</x:v>
      </x:c>
      <x:c r="W831" s="21" t="str">
        <x:f>IF(J831="Рассчитано",T831*M831,"н/д")</x:f>
        <x:v>н/д</x:v>
      </x:c>
      <x:c r="X831" s="21" t="str">
        <x:f>IF(J831="Рассчитано",V831-W831,"н/д")</x:f>
        <x:v>н/д</x:v>
      </x:c>
      <x:c r="Y831" s="27" t="str">
        <x:f>IF(J831="Рассчитано",IF(V831&gt;0,G831/V831,"н/д"),"н/д")</x:f>
        <x:v>н/д</x:v>
      </x:c>
      <x:c r="Z831" s="21" t="str">
        <x:f>"н/д"</x:f>
        <x:v>н/д</x:v>
      </x:c>
      <x:c r="AA831" s="21" t="str">
        <x:f>"н/д"</x:f>
        <x:v>н/д</x:v>
      </x:c>
      <x:c r="AB831" s="21" t="str">
        <x:f>"н/д"</x:f>
        <x:v>н/д</x:v>
      </x:c>
      <x:c r="AC831" s="21" t="str">
        <x:f>IF(AND(J831="Рассчитано",T831&gt;0,R831&lt;100),(W831+P831+Q831)/(T831*(1-R831/100)),"н/д")</x:f>
        <x:v>н/д</x:v>
      </x:c>
      <x:c r="AD831" s="10" t="str">
        <x:f>IF(ISNUMBER(G831),IF(G831&lt;0,"Убыток",IF(G831=0,"Без прибыли","Прибыль &gt; 0")),"Не оценён")</x:f>
        <x:v>Не оценён</x:v>
      </x:c>
      <x:c r="AE831" s="13" t="str">
        <x:f>IF(J831="Рассчитано","Выручка "&amp;TEXT(V831,"0.00")&amp;" - себестоимость "&amp;TEXT(W831,"0.00")&amp;" - комиссия "&amp;TEXT(V831*R831/100,"0.00")&amp;" - доставка "&amp;TEXT(P831,"0.00")&amp;" - прочие "&amp;TEXT(Q831,"0.00")&amp;" = "&amp;TEXT(G831,"0.00")&amp;" "&amp;L831,"Введите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1" s="24" t="n">
        <x:v>6.684232599905652</x:v>
      </x:c>
      <x:c r="AG831" s="37" t="n">
        <x:v>9</x:v>
      </x:c>
      <x:c r="AH831" s="37" t="n">
        <x:v>4</x:v>
      </x:c>
      <x:c r="AI831" s="30" t="n">
        <x:v>46266</x:v>
      </x:c>
      <x:c r="AJ831" s="37" t="n">
        <x:v>1</x:v>
      </x:c>
      <x:c r="AK831" s="10" t="str">
        <x:v>минимум</x:v>
      </x:c>
      <x:c r="AL831" s="32" t="n">
        <x:v>114.5011897913255</x:v>
      </x:c>
      <x:c r="AM831" s="13" t="str">
        <x:v>Остаток на начало сентября; Резервы неизвестны; Нет ежедневных данных доступности. Запас выше прогноза на 90 дней</x:v>
      </x:c>
      <x:c r="AN831" s="13" t="str">
        <x:v>Проверить свободный остаток и установить цену для B2B</x:v>
      </x:c>
      <x:c r="AO831" s="13" t="str">
        <x:v>Остаток 9; прогноз 90 дней 6.68; избыток 2 упак. Будущие поступления не выставляются на продажу. Остаток на начало сентября: требуется актуализация.</x:v>
      </x:c>
      <x:c r="AP831" s="13" t="str">
        <x:v>["category_missing", "daily_stockout_data_missing", "new_order_lead_time_unknown", "reservations_unknown", "stale_stock"]</x:v>
      </x:c>
      <x:c r="AQ831" s="10" t="str">
        <x:v>IEK:240300035_</x:v>
      </x:c>
      <x:c r="AR831" s="24" t="n">
        <x:v>1</x:v>
      </x:c>
      <x:c r="AS831" s="24" t="n">
        <x:v>0</x:v>
      </x:c>
      <x:c r="AT831" s="24" t="n">
        <x:v>0</x:v>
      </x:c>
    </x:row>
    <x:row r="832" ht="64" customHeight="1">
      <x:c r="A832" s="11" t="str">
        <x:v>IEK</x:v>
      </x:c>
      <x:c r="B832" s="33" t="str">
        <x:v>240300053_</x:v>
      </x:c>
      <x:c r="C832" s="33" t="str">
        <x:v>UMK00-7</x:v>
      </x:c>
      <x:c r="D832" s="12" t="str">
        <x:v>Маркер МК0-1,5мм символ "7" 1000шт\ролл IEK</x:v>
      </x:c>
      <x:c r="E832" s="11" t="str">
        <x:v>упак</x:v>
      </x:c>
      <x:c r="F832" s="35" t="n">
        <x:f>MAX(0,ROUNDDOWN((AG832-AF832)/AR832+0.000000001,0)*AR832)</x:f>
        <x:v>5</x:v>
      </x:c>
      <x:c r="G832" s="20" t="str">
        <x:f>IF(J832="Рассчитано",V832*(1-R832/100)-W832-P832-Q832,"н/д")</x:f>
        <x:v>н/д</x:v>
      </x:c>
      <x:c r="H832" s="12" t="str">
        <x:v>Высокий</x:v>
      </x:c>
      <x:c r="I832" s="12" t="str">
        <x:v>Средний</x:v>
      </x:c>
      <x:c r="J832" s="12" t="str">
        <x:f>IF(L832="","Укажите валюту",IF(NOT(ISNUMBER(K832)),"Укажите объём",IF(K832&lt;=0,"Укажите объём",IF(K832&gt;F832,"Объём выше излишка",IF(COUNT(M832:O832)&lt;3,"Нужны цены",IF(COUNT(P832:R832)&lt;3,"Нужны расходы",IF(OR(M832&lt;0,N832&lt;0,O832&lt;0,O832&gt;100,P832&lt;0,Q832&lt;0,R832&lt;0,R832&gt;100),"Проверьте значения","Рассчитано")))))))</x:f>
        <x:v>Нужны цены</x:v>
      </x:c>
      <x:c r="K832" s="36" t="n">
        <x:v>5</x:v>
      </x:c>
      <x:c r="L832" s="19" t="str">
        <x:v>KZT</x:v>
      </x:c>
      <x:c r="M832" s="22"/>
      <x:c r="N832" s="22"/>
      <x:c r="O832" s="28"/>
      <x:c r="P832" s="22"/>
      <x:c r="Q832" s="22"/>
      <x:c r="R832" s="28"/>
      <x:c r="S832" s="22"/>
      <x:c r="T832" s="35" t="n">
        <x:f>K832</x:f>
        <x:v>5</x:v>
      </x:c>
      <x:c r="U832" s="20" t="str">
        <x:f>IF(J832="Рассчитано",N832*(1-O832/100),"н/д")</x:f>
        <x:v>н/д</x:v>
      </x:c>
      <x:c r="V832" s="20" t="str">
        <x:f>IF(J832="Рассчитано",T832*U832,"н/д")</x:f>
        <x:v>н/д</x:v>
      </x:c>
      <x:c r="W832" s="20" t="str">
        <x:f>IF(J832="Рассчитано",T832*M832,"н/д")</x:f>
        <x:v>н/д</x:v>
      </x:c>
      <x:c r="X832" s="20" t="str">
        <x:f>IF(J832="Рассчитано",V832-W832,"н/д")</x:f>
        <x:v>н/д</x:v>
      </x:c>
      <x:c r="Y832" s="26" t="str">
        <x:f>IF(J832="Рассчитано",IF(V832&gt;0,G832/V832,"н/д"),"н/д")</x:f>
        <x:v>н/д</x:v>
      </x:c>
      <x:c r="Z832" s="20" t="str">
        <x:f>"н/д"</x:f>
        <x:v>н/д</x:v>
      </x:c>
      <x:c r="AA832" s="20" t="str">
        <x:f>"н/д"</x:f>
        <x:v>н/д</x:v>
      </x:c>
      <x:c r="AB832" s="20" t="str">
        <x:f>"н/д"</x:f>
        <x:v>н/д</x:v>
      </x:c>
      <x:c r="AC832" s="20" t="str">
        <x:f>IF(AND(J832="Рассчитано",T832&gt;0,R832&lt;100),(W832+P832+Q832)/(T832*(1-R832/100)),"н/д")</x:f>
        <x:v>н/д</x:v>
      </x:c>
      <x:c r="AD832" s="11" t="str">
        <x:f>IF(ISNUMBER(G832),IF(G832&lt;0,"Убыток",IF(G832=0,"Без прибыли","Прибыль &gt; 0")),"Не оценён")</x:f>
        <x:v>Не оценён</x:v>
      </x:c>
      <x:c r="AE832" s="12" t="str">
        <x:f>IF(J832="Рассчитано","Выручка "&amp;TEXT(V832,"0.00")&amp;" - себестоимость "&amp;TEXT(W832,"0.00")&amp;" - комиссия "&amp;TEXT(V832*R832/100,"0.00")&amp;" - доставка "&amp;TEXT(P832,"0.00")&amp;" - прочие "&amp;TEXT(Q832,"0.00")&amp;" = "&amp;TEXT(G832,"0.00")&amp;" "&amp;L832,"Введите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2" s="23" t="n">
        <x:v>5.416131763470276</x:v>
      </x:c>
      <x:c r="AG832" s="35" t="n">
        <x:v>11</x:v>
      </x:c>
      <x:c r="AH832" s="35" t="n">
        <x:v>0</x:v>
      </x:c>
      <x:c r="AI832" s="29" t="n">
        <x:v>46266</x:v>
      </x:c>
      <x:c r="AJ832" s="35" t="n">
        <x:v>1</x:v>
      </x:c>
      <x:c r="AK832" s="11" t="str">
        <x:v>минимум</x:v>
      </x:c>
      <x:c r="AL832" s="31" t="n">
        <x:v>172.71199792082987</x:v>
      </x:c>
      <x:c r="AM832" s="12" t="str">
        <x:v>Остаток на начало сентября; Резервы неизвестны; Нет ежедневных данных доступности. Запас выше прогноза на 90 дней</x:v>
      </x:c>
      <x:c r="AN832" s="12" t="str">
        <x:v>Проверить свободный остаток и установить цену для B2B</x:v>
      </x:c>
      <x:c r="AO832" s="12" t="str">
        <x:v>Остаток 11; прогноз 90 дней 5.42; избыток 5 упак. Будущие поступления не выставляются на продажу. Остаток на начало сентября: требуется актуализация.</x:v>
      </x:c>
      <x:c r="AP832" s="12" t="str">
        <x:v>["category_missing", "daily_stockout_data_missing", "new_order_lead_time_unknown", "reservations_unknown", "stale_stock"]</x:v>
      </x:c>
      <x:c r="AQ832" s="11" t="str">
        <x:v>IEK:240300053_</x:v>
      </x:c>
      <x:c r="AR832" s="23" t="n">
        <x:v>1</x:v>
      </x:c>
      <x:c r="AS832" s="23" t="n">
        <x:v>0</x:v>
      </x:c>
      <x:c r="AT832" s="23" t="n">
        <x:v>0</x:v>
      </x:c>
    </x:row>
    <x:row r="833" ht="64" customHeight="1">
      <x:c r="A833" s="10" t="str">
        <x:v>IEK</x:v>
      </x:c>
      <x:c r="B833" s="34" t="str">
        <x:v>240300054_</x:v>
      </x:c>
      <x:c r="C833" s="34" t="str">
        <x:v>UMK00-8</x:v>
      </x:c>
      <x:c r="D833" s="13" t="str">
        <x:v>Маркер МК0-1,5мм символ "8" 1000шт\ролл IEK</x:v>
      </x:c>
      <x:c r="E833" s="10" t="str">
        <x:v>упак</x:v>
      </x:c>
      <x:c r="F833" s="37" t="n">
        <x:f>MAX(0,ROUNDDOWN((AG833-AF833)/AR833+0.000000001,0)*AR833)</x:f>
        <x:v>2</x:v>
      </x:c>
      <x:c r="G833" s="21" t="str">
        <x:f>IF(J833="Рассчитано",V833*(1-R833/100)-W833-P833-Q833,"н/д")</x:f>
        <x:v>н/д</x:v>
      </x:c>
      <x:c r="H833" s="13" t="str">
        <x:v>Высокий</x:v>
      </x:c>
      <x:c r="I833" s="13" t="str">
        <x:v>Средний</x:v>
      </x:c>
      <x:c r="J833" s="13" t="str">
        <x:f>IF(L833="","Укажите валюту",IF(NOT(ISNUMBER(K833)),"Укажите объём",IF(K833&lt;=0,"Укажите объём",IF(K833&gt;F833,"Объём выше излишка",IF(COUNT(M833:O833)&lt;3,"Нужны цены",IF(COUNT(P833:R833)&lt;3,"Нужны расходы",IF(OR(M833&lt;0,N833&lt;0,O833&lt;0,O833&gt;100,P833&lt;0,Q833&lt;0,R833&lt;0,R833&gt;100),"Проверьте значения","Рассчитано")))))))</x:f>
        <x:v>Нужны цены</x:v>
      </x:c>
      <x:c r="K833" s="36" t="n">
        <x:v>2</x:v>
      </x:c>
      <x:c r="L833" s="19" t="str">
        <x:v>KZT</x:v>
      </x:c>
      <x:c r="M833" s="22"/>
      <x:c r="N833" s="22"/>
      <x:c r="O833" s="28"/>
      <x:c r="P833" s="22"/>
      <x:c r="Q833" s="22"/>
      <x:c r="R833" s="28"/>
      <x:c r="S833" s="22"/>
      <x:c r="T833" s="37" t="n">
        <x:f>K833</x:f>
        <x:v>2</x:v>
      </x:c>
      <x:c r="U833" s="21" t="str">
        <x:f>IF(J833="Рассчитано",N833*(1-O833/100),"н/д")</x:f>
        <x:v>н/д</x:v>
      </x:c>
      <x:c r="V833" s="21" t="str">
        <x:f>IF(J833="Рассчитано",T833*U833,"н/д")</x:f>
        <x:v>н/д</x:v>
      </x:c>
      <x:c r="W833" s="21" t="str">
        <x:f>IF(J833="Рассчитано",T833*M833,"н/д")</x:f>
        <x:v>н/д</x:v>
      </x:c>
      <x:c r="X833" s="21" t="str">
        <x:f>IF(J833="Рассчитано",V833-W833,"н/д")</x:f>
        <x:v>н/д</x:v>
      </x:c>
      <x:c r="Y833" s="27" t="str">
        <x:f>IF(J833="Рассчитано",IF(V833&gt;0,G833/V833,"н/д"),"н/д")</x:f>
        <x:v>н/д</x:v>
      </x:c>
      <x:c r="Z833" s="21" t="str">
        <x:f>"н/д"</x:f>
        <x:v>н/д</x:v>
      </x:c>
      <x:c r="AA833" s="21" t="str">
        <x:f>"н/д"</x:f>
        <x:v>н/д</x:v>
      </x:c>
      <x:c r="AB833" s="21" t="str">
        <x:f>"н/д"</x:f>
        <x:v>н/д</x:v>
      </x:c>
      <x:c r="AC833" s="21" t="str">
        <x:f>IF(AND(J833="Рассчитано",T833&gt;0,R833&lt;100),(W833+P833+Q833)/(T833*(1-R833/100)),"н/д")</x:f>
        <x:v>н/д</x:v>
      </x:c>
      <x:c r="AD833" s="10" t="str">
        <x:f>IF(ISNUMBER(G833),IF(G833&lt;0,"Убыток",IF(G833=0,"Без прибыли","Прибыль &gt; 0")),"Не оценён")</x:f>
        <x:v>Не оценён</x:v>
      </x:c>
      <x:c r="AE833" s="13" t="str">
        <x:f>IF(J833="Рассчитано","Выручка "&amp;TEXT(V833,"0.00")&amp;" - себестоимость "&amp;TEXT(W833,"0.00")&amp;" - комиссия "&amp;TEXT(V833*R833/100,"0.00")&amp;" - доставка "&amp;TEXT(P833,"0.00")&amp;" - прочие "&amp;TEXT(Q833,"0.00")&amp;" = "&amp;TEXT(G833,"0.00")&amp;" "&amp;L833,"Введите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3" s="24" t="n">
        <x:v>7.879073649533899</x:v>
      </x:c>
      <x:c r="AG833" s="37" t="n">
        <x:v>10</x:v>
      </x:c>
      <x:c r="AH833" s="37" t="n">
        <x:v>3</x:v>
      </x:c>
      <x:c r="AI833" s="30" t="n">
        <x:v>46266</x:v>
      </x:c>
      <x:c r="AJ833" s="37" t="n">
        <x:v>1</x:v>
      </x:c>
      <x:c r="AK833" s="10" t="str">
        <x:v>минимум</x:v>
      </x:c>
      <x:c r="AL833" s="32" t="n">
        <x:v>107.93042425128229</x:v>
      </x:c>
      <x:c r="AM833" s="13" t="str">
        <x:v>Остаток на начало сентября; Резервы неизвестны; Нет ежедневных данных доступности. Запас выше прогноза на 90 дней</x:v>
      </x:c>
      <x:c r="AN833" s="13" t="str">
        <x:v>Проверить свободный остаток и установить цену для B2B</x:v>
      </x:c>
      <x:c r="AO833" s="13" t="str">
        <x:v>Остаток 10; прогноз 90 дней 7.88; избыток 2 упак. Будущие поступления не выставляются на продажу. Остаток на начало сентября: требуется актуализация.</x:v>
      </x:c>
      <x:c r="AP833" s="13" t="str">
        <x:v>["category_missing", "daily_stockout_data_missing", "new_order_lead_time_unknown", "reservations_unknown", "stale_stock"]</x:v>
      </x:c>
      <x:c r="AQ833" s="10" t="str">
        <x:v>IEK:240300054_</x:v>
      </x:c>
      <x:c r="AR833" s="24" t="n">
        <x:v>1</x:v>
      </x:c>
      <x:c r="AS833" s="24" t="n">
        <x:v>0</x:v>
      </x:c>
      <x:c r="AT833" s="24" t="n">
        <x:v>0</x:v>
      </x:c>
    </x:row>
    <x:row r="834" ht="64" customHeight="1">
      <x:c r="A834" s="11" t="str">
        <x:v>IEK</x:v>
      </x:c>
      <x:c r="B834" s="33" t="str">
        <x:v>250200008_</x:v>
      </x:c>
      <x:c r="C834" s="33" t="str">
        <x:v>YKM40-04-31</x:v>
      </x:c>
      <x:c r="D834" s="12" t="str">
        <x:v>ЩМП- 4 IP 31 (800х650х250) IEK</x:v>
      </x:c>
      <x:c r="E834" s="11" t="str">
        <x:v>шт</x:v>
      </x:c>
      <x:c r="F834" s="35" t="n">
        <x:f>MAX(0,ROUNDDOWN((AG834-AF834)/AR834+0.000000001,0)*AR834)</x:f>
        <x:v>3</x:v>
      </x:c>
      <x:c r="G834" s="20" t="str">
        <x:f>IF(J834="Рассчитано",V834*(1-R834/100)-W834-P834-Q834,"н/д")</x:f>
        <x:v>н/д</x:v>
      </x:c>
      <x:c r="H834" s="12" t="str">
        <x:v>Высокий</x:v>
      </x:c>
      <x:c r="I834" s="12" t="str">
        <x:v>Средний</x:v>
      </x:c>
      <x:c r="J834" s="12" t="str">
        <x:f>IF(L834="","Укажите валюту",IF(NOT(ISNUMBER(K834)),"Укажите объём",IF(K834&lt;=0,"Укажите объём",IF(K834&gt;F834,"Объём выше излишка",IF(COUNT(M834:O834)&lt;3,"Нужны цены",IF(COUNT(P834:R834)&lt;3,"Нужны расходы",IF(OR(M834&lt;0,N834&lt;0,O834&lt;0,O834&gt;100,P834&lt;0,Q834&lt;0,R834&lt;0,R834&gt;100),"Проверьте значения","Рассчитано")))))))</x:f>
        <x:v>Нужны цены</x:v>
      </x:c>
      <x:c r="K834" s="36" t="n">
        <x:v>3</x:v>
      </x:c>
      <x:c r="L834" s="19" t="str">
        <x:v>KZT</x:v>
      </x:c>
      <x:c r="M834" s="22"/>
      <x:c r="N834" s="22"/>
      <x:c r="O834" s="28"/>
      <x:c r="P834" s="22"/>
      <x:c r="Q834" s="22"/>
      <x:c r="R834" s="28"/>
      <x:c r="S834" s="22"/>
      <x:c r="T834" s="35" t="n">
        <x:f>K834</x:f>
        <x:v>3</x:v>
      </x:c>
      <x:c r="U834" s="20" t="str">
        <x:f>IF(J834="Рассчитано",N834*(1-O834/100),"н/д")</x:f>
        <x:v>н/д</x:v>
      </x:c>
      <x:c r="V834" s="20" t="str">
        <x:f>IF(J834="Рассчитано",T834*U834,"н/д")</x:f>
        <x:v>н/д</x:v>
      </x:c>
      <x:c r="W834" s="20" t="str">
        <x:f>IF(J834="Рассчитано",T834*M834,"н/д")</x:f>
        <x:v>н/д</x:v>
      </x:c>
      <x:c r="X834" s="20" t="str">
        <x:f>IF(J834="Рассчитано",V834-W834,"н/д")</x:f>
        <x:v>н/д</x:v>
      </x:c>
      <x:c r="Y834" s="26" t="str">
        <x:f>IF(J834="Рассчитано",IF(V834&gt;0,G834/V834,"н/д"),"н/д")</x:f>
        <x:v>н/д</x:v>
      </x:c>
      <x:c r="Z834" s="20" t="str">
        <x:f>"н/д"</x:f>
        <x:v>н/д</x:v>
      </x:c>
      <x:c r="AA834" s="20" t="str">
        <x:f>"н/д"</x:f>
        <x:v>н/д</x:v>
      </x:c>
      <x:c r="AB834" s="20" t="str">
        <x:f>"н/д"</x:f>
        <x:v>н/д</x:v>
      </x:c>
      <x:c r="AC834" s="20" t="str">
        <x:f>IF(AND(J834="Рассчитано",T834&gt;0,R834&lt;100),(W834+P834+Q834)/(T834*(1-R834/100)),"н/д")</x:f>
        <x:v>н/д</x:v>
      </x:c>
      <x:c r="AD834" s="11" t="str">
        <x:f>IF(ISNUMBER(G834),IF(G834&lt;0,"Убыток",IF(G834=0,"Без прибыли","Прибыль &gt; 0")),"Не оценён")</x:f>
        <x:v>Не оценён</x:v>
      </x:c>
      <x:c r="AE834" s="12" t="str">
        <x:f>IF(J834="Рассчитано","Выручка "&amp;TEXT(V834,"0.00")&amp;" - себестоимость "&amp;TEXT(W834,"0.00")&amp;" - комиссия "&amp;TEXT(V834*R834/100,"0.00")&amp;" - доставка "&amp;TEXT(P834,"0.00")&amp;" - прочие "&amp;TEXT(Q834,"0.00")&amp;" = "&amp;TEXT(G834,"0.00")&amp;" "&amp;L834,"Введите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4" s="23" t="n">
        <x:v>9.451338357286849</x:v>
      </x:c>
      <x:c r="AG834" s="35" t="n">
        <x:v>13</x:v>
      </x:c>
      <x:c r="AH834" s="35" t="n">
        <x:v>0</x:v>
      </x:c>
      <x:c r="AI834" s="29" t="n">
        <x:v>46266</x:v>
      </x:c>
      <x:c r="AJ834" s="35" t="n">
        <x:v>1</x:v>
      </x:c>
      <x:c r="AK834" s="11" t="str">
        <x:v>минимум</x:v>
      </x:c>
      <x:c r="AL834" s="31" t="n">
        <x:v>116.96854439237649</x:v>
      </x:c>
      <x:c r="AM834" s="12" t="str">
        <x:v>Остаток на начало сентября; Резервы неизвестны; Нет ежедневных данных доступности. Запас выше прогноза на 90 дней</x:v>
      </x:c>
      <x:c r="AN834" s="12" t="str">
        <x:v>Проверить свободный остаток и установить цену для B2B</x:v>
      </x:c>
      <x:c r="AO834" s="12" t="str">
        <x:v>Остаток 13; прогноз 90 дней 9.45; избыток 3 шт. Будущие поступления не выставляются на продажу. Остаток на начало сентября: требуется актуализация.</x:v>
      </x:c>
      <x:c r="AP834" s="12" t="str">
        <x:v>["category_missing", "daily_stockout_data_missing", "new_order_lead_time_unknown", "reservations_unknown", "stale_stock"]</x:v>
      </x:c>
      <x:c r="AQ834" s="11" t="str">
        <x:v>IEK:250200008_</x:v>
      </x:c>
      <x:c r="AR834" s="23" t="n">
        <x:v>1</x:v>
      </x:c>
      <x:c r="AS834" s="23" t="n">
        <x:v>0</x:v>
      </x:c>
      <x:c r="AT834" s="23" t="n">
        <x:v>0</x:v>
      </x:c>
    </x:row>
    <x:row r="835" ht="64" customHeight="1">
      <x:c r="A835" s="10" t="str">
        <x:v>IEK</x:v>
      </x:c>
      <x:c r="B835" s="34" t="str">
        <x:v>250200009_</x:v>
      </x:c>
      <x:c r="C835" s="34" t="str">
        <x:v>YKM40-04-54</x:v>
      </x:c>
      <x:c r="D835" s="13" t="str">
        <x:v>ЩМП- 4 IP 54 (800х650х250) IEK</x:v>
      </x:c>
      <x:c r="E835" s="10" t="str">
        <x:v>шт</x:v>
      </x:c>
      <x:c r="F835" s="37" t="n">
        <x:f>MAX(0,ROUNDDOWN((AG835-AF835)/AR835+0.000000001,0)*AR835)</x:f>
        <x:v>3</x:v>
      </x:c>
      <x:c r="G835" s="21" t="str">
        <x:f>IF(J835="Рассчитано",V835*(1-R835/100)-W835-P835-Q835,"н/д")</x:f>
        <x:v>н/д</x:v>
      </x:c>
      <x:c r="H835" s="13" t="str">
        <x:v>Высокий</x:v>
      </x:c>
      <x:c r="I835" s="13" t="str">
        <x:v>Средний</x:v>
      </x:c>
      <x:c r="J835" s="13" t="str">
        <x:f>IF(L835="","Укажите валюту",IF(NOT(ISNUMBER(K835)),"Укажите объём",IF(K835&lt;=0,"Укажите объём",IF(K835&gt;F835,"Объём выше излишка",IF(COUNT(M835:O835)&lt;3,"Нужны цены",IF(COUNT(P835:R835)&lt;3,"Нужны расходы",IF(OR(M835&lt;0,N835&lt;0,O835&lt;0,O835&gt;100,P835&lt;0,Q835&lt;0,R835&lt;0,R835&gt;100),"Проверьте значения","Рассчитано")))))))</x:f>
        <x:v>Нужны цены</x:v>
      </x:c>
      <x:c r="K835" s="36" t="n">
        <x:v>3</x:v>
      </x:c>
      <x:c r="L835" s="19" t="str">
        <x:v>KZT</x:v>
      </x:c>
      <x:c r="M835" s="22"/>
      <x:c r="N835" s="22"/>
      <x:c r="O835" s="28"/>
      <x:c r="P835" s="22"/>
      <x:c r="Q835" s="22"/>
      <x:c r="R835" s="28"/>
      <x:c r="S835" s="22"/>
      <x:c r="T835" s="37" t="n">
        <x:f>K835</x:f>
        <x:v>3</x:v>
      </x:c>
      <x:c r="U835" s="21" t="str">
        <x:f>IF(J835="Рассчитано",N835*(1-O835/100),"н/д")</x:f>
        <x:v>н/д</x:v>
      </x:c>
      <x:c r="V835" s="21" t="str">
        <x:f>IF(J835="Рассчитано",T835*U835,"н/д")</x:f>
        <x:v>н/д</x:v>
      </x:c>
      <x:c r="W835" s="21" t="str">
        <x:f>IF(J835="Рассчитано",T835*M835,"н/д")</x:f>
        <x:v>н/д</x:v>
      </x:c>
      <x:c r="X835" s="21" t="str">
        <x:f>IF(J835="Рассчитано",V835-W835,"н/д")</x:f>
        <x:v>н/д</x:v>
      </x:c>
      <x:c r="Y835" s="27" t="str">
        <x:f>IF(J835="Рассчитано",IF(V835&gt;0,G835/V835,"н/д"),"н/д")</x:f>
        <x:v>н/д</x:v>
      </x:c>
      <x:c r="Z835" s="21" t="str">
        <x:f>"н/д"</x:f>
        <x:v>н/д</x:v>
      </x:c>
      <x:c r="AA835" s="21" t="str">
        <x:f>"н/д"</x:f>
        <x:v>н/д</x:v>
      </x:c>
      <x:c r="AB835" s="21" t="str">
        <x:f>"н/д"</x:f>
        <x:v>н/д</x:v>
      </x:c>
      <x:c r="AC835" s="21" t="str">
        <x:f>IF(AND(J835="Рассчитано",T835&gt;0,R835&lt;100),(W835+P835+Q835)/(T835*(1-R835/100)),"н/д")</x:f>
        <x:v>н/д</x:v>
      </x:c>
      <x:c r="AD835" s="10" t="str">
        <x:f>IF(ISNUMBER(G835),IF(G835&lt;0,"Убыток",IF(G835=0,"Без прибыли","Прибыль &gt; 0")),"Не оценён")</x:f>
        <x:v>Не оценён</x:v>
      </x:c>
      <x:c r="AE835" s="13" t="str">
        <x:f>IF(J835="Рассчитано","Выручка "&amp;TEXT(V835,"0.00")&amp;" - себестоимость "&amp;TEXT(W835,"0.00")&amp;" - комиссия "&amp;TEXT(V835*R835/100,"0.00")&amp;" - доставка "&amp;TEXT(P835,"0.00")&amp;" - прочие "&amp;TEXT(Q835,"0.00")&amp;" = "&amp;TEXT(G835,"0.00")&amp;" "&amp;L835,"Введите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5" s="24" t="n">
        <x:v>4.4891816181827835</x:v>
      </x:c>
      <x:c r="AG835" s="37" t="n">
        <x:v>8</x:v>
      </x:c>
      <x:c r="AH835" s="37" t="n">
        <x:v>0</x:v>
      </x:c>
      <x:c r="AI835" s="30" t="n">
        <x:v>46266</x:v>
      </x:c>
      <x:c r="AJ835" s="37" t="n">
        <x:v>1</x:v>
      </x:c>
      <x:c r="AK835" s="10" t="str">
        <x:v>минимум</x:v>
      </x:c>
      <x:c r="AL835" s="32" t="n">
        <x:v>151.5450848781705</x:v>
      </x:c>
      <x:c r="AM835" s="13" t="str">
        <x:v>Остаток на начало сентября; Резервы неизвестны; Нет ежедневных данных доступности. Запас выше прогноза на 90 дней</x:v>
      </x:c>
      <x:c r="AN835" s="13" t="str">
        <x:v>Проверить свободный остаток и установить цену для B2B</x:v>
      </x:c>
      <x:c r="AO835" s="13" t="str">
        <x:v>Остаток 8; прогноз 90 дней 4.49; избыток 3 шт. Будущие поступления не выставляются на продажу. Остаток на начало сентября: требуется актуализация.</x:v>
      </x:c>
      <x:c r="AP835" s="13" t="str">
        <x:v>["category_missing", "daily_stockout_data_missing", "large_orders_detected", "new_order_lead_time_unknown", "reservations_unknown", "stale_stock"]</x:v>
      </x:c>
      <x:c r="AQ835" s="10" t="str">
        <x:v>IEK:250200009_</x:v>
      </x:c>
      <x:c r="AR835" s="24" t="n">
        <x:v>1</x:v>
      </x:c>
      <x:c r="AS835" s="24" t="n">
        <x:v>0</x:v>
      </x:c>
      <x:c r="AT835" s="24" t="n">
        <x:v>0</x:v>
      </x:c>
    </x:row>
    <x:row r="836" ht="64" customHeight="1">
      <x:c r="A836" s="11" t="str">
        <x:v>IEK</x:v>
      </x:c>
      <x:c r="B836" s="33" t="str">
        <x:v>250200011_</x:v>
      </x:c>
      <x:c r="C836" s="33" t="str">
        <x:v>MKM14-V-24-30-T</x:v>
      </x:c>
      <x:c r="D836" s="12" t="str">
        <x:v>ЩРВ-24 (405x320x120) IEK</x:v>
      </x:c>
      <x:c r="E836" s="11" t="str">
        <x:v>шт</x:v>
      </x:c>
      <x:c r="F836" s="35" t="n">
        <x:f>MAX(0,ROUNDDOWN((AG836-AF836)/AR836+0.000000001,0)*AR836)</x:f>
        <x:v>4</x:v>
      </x:c>
      <x:c r="G836" s="20" t="str">
        <x:f>IF(J836="Рассчитано",V836*(1-R836/100)-W836-P836-Q836,"н/д")</x:f>
        <x:v>н/д</x:v>
      </x:c>
      <x:c r="H836" s="12" t="str">
        <x:v>Высокий</x:v>
      </x:c>
      <x:c r="I836" s="12" t="str">
        <x:v>Средний</x:v>
      </x:c>
      <x:c r="J836" s="12" t="str">
        <x:f>IF(L836="","Укажите валюту",IF(NOT(ISNUMBER(K836)),"Укажите объём",IF(K836&lt;=0,"Укажите объём",IF(K836&gt;F836,"Объём выше излишка",IF(COUNT(M836:O836)&lt;3,"Нужны цены",IF(COUNT(P836:R836)&lt;3,"Нужны расходы",IF(OR(M836&lt;0,N836&lt;0,O836&lt;0,O836&gt;100,P836&lt;0,Q836&lt;0,R836&lt;0,R836&gt;100),"Проверьте значения","Рассчитано")))))))</x:f>
        <x:v>Нужны цены</x:v>
      </x:c>
      <x:c r="K836" s="36" t="n">
        <x:v>4</x:v>
      </x:c>
      <x:c r="L836" s="19" t="str">
        <x:v>KZT</x:v>
      </x:c>
      <x:c r="M836" s="22"/>
      <x:c r="N836" s="22"/>
      <x:c r="O836" s="28"/>
      <x:c r="P836" s="22"/>
      <x:c r="Q836" s="22"/>
      <x:c r="R836" s="28"/>
      <x:c r="S836" s="22"/>
      <x:c r="T836" s="35" t="n">
        <x:f>K836</x:f>
        <x:v>4</x:v>
      </x:c>
      <x:c r="U836" s="20" t="str">
        <x:f>IF(J836="Рассчитано",N836*(1-O836/100),"н/д")</x:f>
        <x:v>н/д</x:v>
      </x:c>
      <x:c r="V836" s="20" t="str">
        <x:f>IF(J836="Рассчитано",T836*U836,"н/д")</x:f>
        <x:v>н/д</x:v>
      </x:c>
      <x:c r="W836" s="20" t="str">
        <x:f>IF(J836="Рассчитано",T836*M836,"н/д")</x:f>
        <x:v>н/д</x:v>
      </x:c>
      <x:c r="X836" s="20" t="str">
        <x:f>IF(J836="Рассчитано",V836-W836,"н/д")</x:f>
        <x:v>н/д</x:v>
      </x:c>
      <x:c r="Y836" s="26" t="str">
        <x:f>IF(J836="Рассчитано",IF(V836&gt;0,G836/V836,"н/д"),"н/д")</x:f>
        <x:v>н/д</x:v>
      </x:c>
      <x:c r="Z836" s="20" t="str">
        <x:f>"н/д"</x:f>
        <x:v>н/д</x:v>
      </x:c>
      <x:c r="AA836" s="20" t="str">
        <x:f>"н/д"</x:f>
        <x:v>н/д</x:v>
      </x:c>
      <x:c r="AB836" s="20" t="str">
        <x:f>"н/д"</x:f>
        <x:v>н/д</x:v>
      </x:c>
      <x:c r="AC836" s="20" t="str">
        <x:f>IF(AND(J836="Рассчитано",T836&gt;0,R836&lt;100),(W836+P836+Q836)/(T836*(1-R836/100)),"н/д")</x:f>
        <x:v>н/д</x:v>
      </x:c>
      <x:c r="AD836" s="11" t="str">
        <x:f>IF(ISNUMBER(G836),IF(G836&lt;0,"Убыток",IF(G836=0,"Без прибыли","Прибыль &gt; 0")),"Не оценён")</x:f>
        <x:v>Не оценён</x:v>
      </x:c>
      <x:c r="AE836" s="12" t="str">
        <x:f>IF(J836="Рассчитано","Выручка "&amp;TEXT(V836,"0.00")&amp;" - себестоимость "&amp;TEXT(W836,"0.00")&amp;" - комиссия "&amp;TEXT(V836*R836/100,"0.00")&amp;" - доставка "&amp;TEXT(P836,"0.00")&amp;" - прочие "&amp;TEXT(Q836,"0.00")&amp;" = "&amp;TEXT(G836,"0.00")&amp;" "&amp;L836,"Введите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6" s="23" t="n">
        <x:v>6.004029798745323</x:v>
      </x:c>
      <x:c r="AG836" s="35" t="n">
        <x:v>11</x:v>
      </x:c>
      <x:c r="AH836" s="35" t="n">
        <x:v>0</x:v>
      </x:c>
      <x:c r="AI836" s="29" t="n">
        <x:v>46266</x:v>
      </x:c>
      <x:c r="AJ836" s="35" t="n">
        <x:v>1</x:v>
      </x:c>
      <x:c r="AK836" s="11" t="str">
        <x:v>минимум</x:v>
      </x:c>
      <x:c r="AL836" s="31" t="n">
        <x:v>155.80051552490625</x:v>
      </x:c>
      <x:c r="AM836" s="12" t="str">
        <x:v>Остаток на начало сентября; Резервы неизвестны; Нет ежедневных данных доступности. Запас выше прогноза на 90 дней</x:v>
      </x:c>
      <x:c r="AN836" s="12" t="str">
        <x:v>Проверить свободный остаток и установить цену для B2B</x:v>
      </x:c>
      <x:c r="AO836" s="12" t="str">
        <x:v>Остаток 11; прогноз 90 дней 6.00; избыток 4 шт. Будущие поступления не выставляются на продажу. Остаток на начало сентября: требуется актуализация.</x:v>
      </x:c>
      <x:c r="AP836" s="12" t="str">
        <x:v>["category_missing", "daily_stockout_data_missing", "large_orders_detected", "new_order_lead_time_unknown", "reservations_unknown", "stale_stock"]</x:v>
      </x:c>
      <x:c r="AQ836" s="11" t="str">
        <x:v>IEK:250200011_</x:v>
      </x:c>
      <x:c r="AR836" s="23" t="n">
        <x:v>1</x:v>
      </x:c>
      <x:c r="AS836" s="23" t="n">
        <x:v>0</x:v>
      </x:c>
      <x:c r="AT836" s="23" t="n">
        <x:v>0</x:v>
      </x:c>
    </x:row>
    <x:row r="837" ht="64" customHeight="1">
      <x:c r="A837" s="10" t="str">
        <x:v>IEK</x:v>
      </x:c>
      <x:c r="B837" s="34" t="str">
        <x:v>250200014_</x:v>
      </x:c>
      <x:c r="C837" s="34" t="str">
        <x:v>MKM14-N-12-31-Z</x:v>
      </x:c>
      <x:c r="D837" s="13" t="str">
        <x:v>ЩРН-12 (265x310x120) IEK</x:v>
      </x:c>
      <x:c r="E837" s="10" t="str">
        <x:v>шт</x:v>
      </x:c>
      <x:c r="F837" s="37" t="n">
        <x:f>MAX(0,ROUNDDOWN((AG837-AF837)/AR837+0.000000001,0)*AR837)</x:f>
        <x:v>6</x:v>
      </x:c>
      <x:c r="G837" s="21" t="str">
        <x:f>IF(J837="Рассчитано",V837*(1-R837/100)-W837-P837-Q837,"н/д")</x:f>
        <x:v>н/д</x:v>
      </x:c>
      <x:c r="H837" s="13" t="str">
        <x:v>Высокий</x:v>
      </x:c>
      <x:c r="I837" s="13" t="str">
        <x:v>Средний</x:v>
      </x:c>
      <x:c r="J837" s="13" t="str">
        <x:f>IF(L837="","Укажите валюту",IF(NOT(ISNUMBER(K837)),"Укажите объём",IF(K837&lt;=0,"Укажите объём",IF(K837&gt;F837,"Объём выше излишка",IF(COUNT(M837:O837)&lt;3,"Нужны цены",IF(COUNT(P837:R837)&lt;3,"Нужны расходы",IF(OR(M837&lt;0,N837&lt;0,O837&lt;0,O837&gt;100,P837&lt;0,Q837&lt;0,R837&lt;0,R837&gt;100),"Проверьте значения","Рассчитано")))))))</x:f>
        <x:v>Нужны цены</x:v>
      </x:c>
      <x:c r="K837" s="36" t="n">
        <x:v>6</x:v>
      </x:c>
      <x:c r="L837" s="19" t="str">
        <x:v>KZT</x:v>
      </x:c>
      <x:c r="M837" s="22"/>
      <x:c r="N837" s="22"/>
      <x:c r="O837" s="28"/>
      <x:c r="P837" s="22"/>
      <x:c r="Q837" s="22"/>
      <x:c r="R837" s="28"/>
      <x:c r="S837" s="22"/>
      <x:c r="T837" s="37" t="n">
        <x:f>K837</x:f>
        <x:v>6</x:v>
      </x:c>
      <x:c r="U837" s="21" t="str">
        <x:f>IF(J837="Рассчитано",N837*(1-O837/100),"н/д")</x:f>
        <x:v>н/д</x:v>
      </x:c>
      <x:c r="V837" s="21" t="str">
        <x:f>IF(J837="Рассчитано",T837*U837,"н/д")</x:f>
        <x:v>н/д</x:v>
      </x:c>
      <x:c r="W837" s="21" t="str">
        <x:f>IF(J837="Рассчитано",T837*M837,"н/д")</x:f>
        <x:v>н/д</x:v>
      </x:c>
      <x:c r="X837" s="21" t="str">
        <x:f>IF(J837="Рассчитано",V837-W837,"н/д")</x:f>
        <x:v>н/д</x:v>
      </x:c>
      <x:c r="Y837" s="27" t="str">
        <x:f>IF(J837="Рассчитано",IF(V837&gt;0,G837/V837,"н/д"),"н/д")</x:f>
        <x:v>н/д</x:v>
      </x:c>
      <x:c r="Z837" s="21" t="str">
        <x:f>"н/д"</x:f>
        <x:v>н/д</x:v>
      </x:c>
      <x:c r="AA837" s="21" t="str">
        <x:f>"н/д"</x:f>
        <x:v>н/д</x:v>
      </x:c>
      <x:c r="AB837" s="21" t="str">
        <x:f>"н/д"</x:f>
        <x:v>н/д</x:v>
      </x:c>
      <x:c r="AC837" s="21" t="str">
        <x:f>IF(AND(J837="Рассчитано",T837&gt;0,R837&lt;100),(W837+P837+Q837)/(T837*(1-R837/100)),"н/д")</x:f>
        <x:v>н/д</x:v>
      </x:c>
      <x:c r="AD837" s="10" t="str">
        <x:f>IF(ISNUMBER(G837),IF(G837&lt;0,"Убыток",IF(G837=0,"Без прибыли","Прибыль &gt; 0")),"Не оценён")</x:f>
        <x:v>Не оценён</x:v>
      </x:c>
      <x:c r="AE837" s="13" t="str">
        <x:f>IF(J837="Рассчитано","Выручка "&amp;TEXT(V837,"0.00")&amp;" - себестоимость "&amp;TEXT(W837,"0.00")&amp;" - комиссия "&amp;TEXT(V837*R837/100,"0.00")&amp;" - доставка "&amp;TEXT(P837,"0.00")&amp;" - прочие "&amp;TEXT(Q837,"0.00")&amp;" = "&amp;TEXT(G837,"0.00")&amp;" "&amp;L837,"Введите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7" s="24" t="n">
        <x:v>23.38003750854912</x:v>
      </x:c>
      <x:c r="AG837" s="37" t="n">
        <x:v>30</x:v>
      </x:c>
      <x:c r="AH837" s="37" t="n">
        <x:v>0</x:v>
      </x:c>
      <x:c r="AI837" s="30" t="n">
        <x:v>46266</x:v>
      </x:c>
      <x:c r="AJ837" s="37" t="n">
        <x:v>1</x:v>
      </x:c>
      <x:c r="AK837" s="10" t="str">
        <x:v>минимум</x:v>
      </x:c>
      <x:c r="AL837" s="32" t="n">
        <x:v>109.11767289385268</x:v>
      </x:c>
      <x:c r="AM837" s="13" t="str">
        <x:v>Остаток на начало сентября; Резервы неизвестны; Нет ежедневных данных доступности. Запас выше прогноза на 90 дней</x:v>
      </x:c>
      <x:c r="AN837" s="13" t="str">
        <x:v>Проверить свободный остаток и установить цену для B2B</x:v>
      </x:c>
      <x:c r="AO837" s="13" t="str">
        <x:v>Остаток 30; прогноз 90 дней 23.38; избыток 6 шт. Будущие поступления не выставляются на продажу. Остаток на начало сентября: требуется актуализация.</x:v>
      </x:c>
      <x:c r="AP837" s="13" t="str">
        <x:v>["category_missing", "daily_stockout_data_missing", "new_order_lead_time_unknown", "reservations_unknown", "stale_stock"]</x:v>
      </x:c>
      <x:c r="AQ837" s="10" t="str">
        <x:v>IEK:250200014_</x:v>
      </x:c>
      <x:c r="AR837" s="24" t="n">
        <x:v>1</x:v>
      </x:c>
      <x:c r="AS837" s="24" t="n">
        <x:v>0</x:v>
      </x:c>
      <x:c r="AT837" s="24" t="n">
        <x:v>0</x:v>
      </x:c>
    </x:row>
    <x:row r="838" ht="64" customHeight="1">
      <x:c r="A838" s="11" t="str">
        <x:v>IEK</x:v>
      </x:c>
      <x:c r="B838" s="33" t="str">
        <x:v>250200015_</x:v>
      </x:c>
      <x:c r="C838" s="33" t="str">
        <x:v>MKM14-N-18-31-Z</x:v>
      </x:c>
      <x:c r="D838" s="12" t="str">
        <x:v>ЩРН-18 (265x440x120) IEK</x:v>
      </x:c>
      <x:c r="E838" s="11" t="str">
        <x:v>шт</x:v>
      </x:c>
      <x:c r="F838" s="35" t="n">
        <x:f>MAX(0,ROUNDDOWN((AG838-AF838)/AR838+0.000000001,0)*AR838)</x:f>
        <x:v>19</x:v>
      </x:c>
      <x:c r="G838" s="20" t="str">
        <x:f>IF(J838="Рассчитано",V838*(1-R838/100)-W838-P838-Q838,"н/д")</x:f>
        <x:v>н/д</x:v>
      </x:c>
      <x:c r="H838" s="12" t="str">
        <x:v>Высокий</x:v>
      </x:c>
      <x:c r="I838" s="12" t="str">
        <x:v>Высокий</x:v>
      </x:c>
      <x:c r="J838" s="12" t="str">
        <x:f>IF(L838="","Укажите валюту",IF(NOT(ISNUMBER(K838)),"Укажите объём",IF(K838&lt;=0,"Укажите объём",IF(K838&gt;F838,"Объём выше излишка",IF(COUNT(M838:O838)&lt;3,"Нужны цены",IF(COUNT(P838:R838)&lt;3,"Нужны расходы",IF(OR(M838&lt;0,N838&lt;0,O838&lt;0,O838&gt;100,P838&lt;0,Q838&lt;0,R838&lt;0,R838&gt;100),"Проверьте значения","Рассчитано")))))))</x:f>
        <x:v>Нужны цены</x:v>
      </x:c>
      <x:c r="K838" s="36" t="n">
        <x:v>19</x:v>
      </x:c>
      <x:c r="L838" s="19" t="str">
        <x:v>KZT</x:v>
      </x:c>
      <x:c r="M838" s="22"/>
      <x:c r="N838" s="22"/>
      <x:c r="O838" s="28"/>
      <x:c r="P838" s="22"/>
      <x:c r="Q838" s="22"/>
      <x:c r="R838" s="28"/>
      <x:c r="S838" s="22"/>
      <x:c r="T838" s="35" t="n">
        <x:f>K838</x:f>
        <x:v>19</x:v>
      </x:c>
      <x:c r="U838" s="20" t="str">
        <x:f>IF(J838="Рассчитано",N838*(1-O838/100),"н/д")</x:f>
        <x:v>н/д</x:v>
      </x:c>
      <x:c r="V838" s="20" t="str">
        <x:f>IF(J838="Рассчитано",T838*U838,"н/д")</x:f>
        <x:v>н/д</x:v>
      </x:c>
      <x:c r="W838" s="20" t="str">
        <x:f>IF(J838="Рассчитано",T838*M838,"н/д")</x:f>
        <x:v>н/д</x:v>
      </x:c>
      <x:c r="X838" s="20" t="str">
        <x:f>IF(J838="Рассчитано",V838-W838,"н/д")</x:f>
        <x:v>н/д</x:v>
      </x:c>
      <x:c r="Y838" s="26" t="str">
        <x:f>IF(J838="Рассчитано",IF(V838&gt;0,G838/V838,"н/д"),"н/д")</x:f>
        <x:v>н/д</x:v>
      </x:c>
      <x:c r="Z838" s="20" t="str">
        <x:f>"н/д"</x:f>
        <x:v>н/д</x:v>
      </x:c>
      <x:c r="AA838" s="20" t="str">
        <x:f>"н/д"</x:f>
        <x:v>н/д</x:v>
      </x:c>
      <x:c r="AB838" s="20" t="str">
        <x:f>"н/д"</x:f>
        <x:v>н/д</x:v>
      </x:c>
      <x:c r="AC838" s="20" t="str">
        <x:f>IF(AND(J838="Рассчитано",T838&gt;0,R838&lt;100),(W838+P838+Q838)/(T838*(1-R838/100)),"н/д")</x:f>
        <x:v>н/д</x:v>
      </x:c>
      <x:c r="AD838" s="11" t="str">
        <x:f>IF(ISNUMBER(G838),IF(G838&lt;0,"Убыток",IF(G838=0,"Без прибыли","Прибыль &gt; 0")),"Не оценён")</x:f>
        <x:v>Не оценён</x:v>
      </x:c>
      <x:c r="AE838" s="12" t="str">
        <x:f>IF(J838="Рассчитано","Выручка "&amp;TEXT(V838,"0.00")&amp;" - себестоимость "&amp;TEXT(W838,"0.00")&amp;" - комиссия "&amp;TEXT(V838*R838/100,"0.00")&amp;" - доставка "&amp;TEXT(P838,"0.00")&amp;" - прочие "&amp;TEXT(Q838,"0.00")&amp;" = "&amp;TEXT(G838,"0.00")&amp;" "&amp;L838,"Введите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8" s="23" t="n">
        <x:v>5.9582045939927255</x:v>
      </x:c>
      <x:c r="AG838" s="35" t="n">
        <x:v>25</x:v>
      </x:c>
      <x:c r="AH838" s="35" t="n">
        <x:v>0</x:v>
      </x:c>
      <x:c r="AI838" s="29" t="n">
        <x:v>46266</x:v>
      </x:c>
      <x:c r="AJ838" s="35" t="n">
        <x:v>1</x:v>
      </x:c>
      <x:c r="AK838" s="11" t="str">
        <x:v>минимум</x:v>
      </x:c>
      <x:c r="AL838" s="31" t="n">
        <x:v>356.81544175181875</x:v>
      </x:c>
      <x:c r="AM83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38" s="12" t="str">
        <x:v>Проверить свободный остаток и установить цену для B2B</x:v>
      </x:c>
      <x:c r="AO838" s="12" t="str">
        <x:v>Остаток 25; прогноз 90 дней 5.96; избыток 19 шт. Будущие поступления не выставляются на продажу. Остаток на начало сентября: требуется актуализация.</x:v>
      </x:c>
      <x:c r="AP838" s="12" t="str">
        <x:v>["category_missing", "daily_stockout_data_missing", "large_orders_detected", "new_order_lead_time_unknown", "reservations_unknown", "stale_stock"]</x:v>
      </x:c>
      <x:c r="AQ838" s="11" t="str">
        <x:v>IEK:250200015_</x:v>
      </x:c>
      <x:c r="AR838" s="23" t="n">
        <x:v>1</x:v>
      </x:c>
      <x:c r="AS838" s="23" t="n">
        <x:v>0</x:v>
      </x:c>
      <x:c r="AT838" s="23" t="n">
        <x:v>0</x:v>
      </x:c>
    </x:row>
    <x:row r="839" ht="64" customHeight="1">
      <x:c r="A839" s="10" t="str">
        <x:v>IEK</x:v>
      </x:c>
      <x:c r="B839" s="34" t="str">
        <x:v>250200020_</x:v>
      </x:c>
      <x:c r="C839" s="34" t="str">
        <x:v>MKM14-N-09-31-Z</x:v>
      </x:c>
      <x:c r="D839" s="13" t="str">
        <x:v>ЩРН- 9 (325x280x135) IEK</x:v>
      </x:c>
      <x:c r="E839" s="10" t="str">
        <x:v>шт</x:v>
      </x:c>
      <x:c r="F839" s="37" t="n">
        <x:f>MAX(0,ROUNDDOWN((AG839-AF839)/AR839+0.000000001,0)*AR839)</x:f>
        <x:v>5</x:v>
      </x:c>
      <x:c r="G839" s="21" t="str">
        <x:f>IF(J839="Рассчитано",V839*(1-R839/100)-W839-P839-Q839,"н/д")</x:f>
        <x:v>н/д</x:v>
      </x:c>
      <x:c r="H839" s="13" t="str">
        <x:v>Высокий</x:v>
      </x:c>
      <x:c r="I839" s="13" t="str">
        <x:v>Высокий</x:v>
      </x:c>
      <x:c r="J839" s="13" t="str">
        <x:f>IF(L839="","Укажите валюту",IF(NOT(ISNUMBER(K839)),"Укажите объём",IF(K839&lt;=0,"Укажите объём",IF(K839&gt;F839,"Объём выше излишка",IF(COUNT(M839:O839)&lt;3,"Нужны цены",IF(COUNT(P839:R839)&lt;3,"Нужны расходы",IF(OR(M839&lt;0,N839&lt;0,O839&lt;0,O839&gt;100,P839&lt;0,Q839&lt;0,R839&lt;0,R839&gt;100),"Проверьте значения","Рассчитано")))))))</x:f>
        <x:v>Нужны цены</x:v>
      </x:c>
      <x:c r="K839" s="36" t="n">
        <x:v>5</x:v>
      </x:c>
      <x:c r="L839" s="19" t="str">
        <x:v>KZT</x:v>
      </x:c>
      <x:c r="M839" s="22"/>
      <x:c r="N839" s="22"/>
      <x:c r="O839" s="28"/>
      <x:c r="P839" s="22"/>
      <x:c r="Q839" s="22"/>
      <x:c r="R839" s="28"/>
      <x:c r="S839" s="22"/>
      <x:c r="T839" s="37" t="n">
        <x:f>K839</x:f>
        <x:v>5</x:v>
      </x:c>
      <x:c r="U839" s="21" t="str">
        <x:f>IF(J839="Рассчитано",N839*(1-O839/100),"н/д")</x:f>
        <x:v>н/д</x:v>
      </x:c>
      <x:c r="V839" s="21" t="str">
        <x:f>IF(J839="Рассчитано",T839*U839,"н/д")</x:f>
        <x:v>н/д</x:v>
      </x:c>
      <x:c r="W839" s="21" t="str">
        <x:f>IF(J839="Рассчитано",T839*M839,"н/д")</x:f>
        <x:v>н/д</x:v>
      </x:c>
      <x:c r="X839" s="21" t="str">
        <x:f>IF(J839="Рассчитано",V839-W839,"н/д")</x:f>
        <x:v>н/д</x:v>
      </x:c>
      <x:c r="Y839" s="27" t="str">
        <x:f>IF(J839="Рассчитано",IF(V839&gt;0,G839/V839,"н/д"),"н/д")</x:f>
        <x:v>н/д</x:v>
      </x:c>
      <x:c r="Z839" s="21" t="str">
        <x:f>"н/д"</x:f>
        <x:v>н/д</x:v>
      </x:c>
      <x:c r="AA839" s="21" t="str">
        <x:f>"н/д"</x:f>
        <x:v>н/д</x:v>
      </x:c>
      <x:c r="AB839" s="21" t="str">
        <x:f>"н/д"</x:f>
        <x:v>н/д</x:v>
      </x:c>
      <x:c r="AC839" s="21" t="str">
        <x:f>IF(AND(J839="Рассчитано",T839&gt;0,R839&lt;100),(W839+P839+Q839)/(T839*(1-R839/100)),"н/д")</x:f>
        <x:v>н/д</x:v>
      </x:c>
      <x:c r="AD839" s="10" t="str">
        <x:f>IF(ISNUMBER(G839),IF(G839&lt;0,"Убыток",IF(G839=0,"Без прибыли","Прибыль &gt; 0")),"Не оценён")</x:f>
        <x:v>Не оценён</x:v>
      </x:c>
      <x:c r="AE839" s="13" t="str">
        <x:f>IF(J839="Рассчитано","Выручка "&amp;TEXT(V839,"0.00")&amp;" - себестоимость "&amp;TEXT(W839,"0.00")&amp;" - комиссия "&amp;TEXT(V839*R839/100,"0.00")&amp;" - доставка "&amp;TEXT(P839,"0.00")&amp;" - прочие "&amp;TEXT(Q839,"0.00")&amp;" = "&amp;TEXT(G839,"0.00")&amp;" "&amp;L839,"Введите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9" s="24" t="n">
        <x:v>1.9687351686723136</x:v>
      </x:c>
      <x:c r="AG839" s="37" t="n">
        <x:v>7</x:v>
      </x:c>
      <x:c r="AH839" s="37" t="n">
        <x:v>0</x:v>
      </x:c>
      <x:c r="AI839" s="30" t="n">
        <x:v>46266</x:v>
      </x:c>
      <x:c r="AJ839" s="37" t="n">
        <x:v>1</x:v>
      </x:c>
      <x:c r="AK839" s="10" t="str">
        <x:v>минимум</x:v>
      </x:c>
      <x:c r="AL839" s="32" t="n">
        <x:v>302.36379309074204</x:v>
      </x:c>
      <x:c r="AM83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39" s="13" t="str">
        <x:v>Проверить свободный остаток и установить цену для B2B</x:v>
      </x:c>
      <x:c r="AO839" s="13" t="str">
        <x:v>Остаток 7; прогноз 90 дней 1.97; избыток 5 шт. Будущие поступления не выставляются на продажу. Остаток на начало сентября: требуется актуализация.</x:v>
      </x:c>
      <x:c r="AP839" s="13" t="str">
        <x:v>["category_missing", "daily_stockout_data_missing", "large_orders_detected", "new_order_lead_time_unknown", "reservations_unknown", "stale_stock"]</x:v>
      </x:c>
      <x:c r="AQ839" s="10" t="str">
        <x:v>IEK:250200020_</x:v>
      </x:c>
      <x:c r="AR839" s="24" t="n">
        <x:v>1</x:v>
      </x:c>
      <x:c r="AS839" s="24" t="n">
        <x:v>0</x:v>
      </x:c>
      <x:c r="AT839" s="24" t="n">
        <x:v>0</x:v>
      </x:c>
    </x:row>
    <x:row r="840" ht="64" customHeight="1">
      <x:c r="A840" s="11" t="str">
        <x:v>IEK</x:v>
      </x:c>
      <x:c r="B840" s="33" t="str">
        <x:v>250200025_</x:v>
      </x:c>
      <x:c r="C840" s="33" t="str">
        <x:v>MKM25-N-12-31-ZO</x:v>
      </x:c>
      <x:c r="D840" s="12" t="str">
        <x:v>ЩУРн-1-12зо (395x310x165) IEK</x:v>
      </x:c>
      <x:c r="E840" s="11" t="str">
        <x:v>шт</x:v>
      </x:c>
      <x:c r="F840" s="35" t="n">
        <x:f>MAX(0,ROUNDDOWN((AG840-AF840)/AR840+0.000000001,0)*AR840)</x:f>
        <x:v>6</x:v>
      </x:c>
      <x:c r="G840" s="20" t="str">
        <x:f>IF(J840="Рассчитано",V840*(1-R840/100)-W840-P840-Q840,"н/д")</x:f>
        <x:v>н/д</x:v>
      </x:c>
      <x:c r="H840" s="12" t="str">
        <x:v>Высокий</x:v>
      </x:c>
      <x:c r="I840" s="12" t="str">
        <x:v>Высокий</x:v>
      </x:c>
      <x:c r="J840" s="12" t="str">
        <x:f>IF(L840="","Укажите валюту",IF(NOT(ISNUMBER(K840)),"Укажите объём",IF(K840&lt;=0,"Укажите объём",IF(K840&gt;F840,"Объём выше излишка",IF(COUNT(M840:O840)&lt;3,"Нужны цены",IF(COUNT(P840:R840)&lt;3,"Нужны расходы",IF(OR(M840&lt;0,N840&lt;0,O840&lt;0,O840&gt;100,P840&lt;0,Q840&lt;0,R840&lt;0,R840&gt;100),"Проверьте значения","Рассчитано")))))))</x:f>
        <x:v>Нужны цены</x:v>
      </x:c>
      <x:c r="K840" s="36" t="n">
        <x:v>6</x:v>
      </x:c>
      <x:c r="L840" s="19" t="str">
        <x:v>KZT</x:v>
      </x:c>
      <x:c r="M840" s="22"/>
      <x:c r="N840" s="22"/>
      <x:c r="O840" s="28"/>
      <x:c r="P840" s="22"/>
      <x:c r="Q840" s="22"/>
      <x:c r="R840" s="28"/>
      <x:c r="S840" s="22"/>
      <x:c r="T840" s="35" t="n">
        <x:f>K840</x:f>
        <x:v>6</x:v>
      </x:c>
      <x:c r="U840" s="20" t="str">
        <x:f>IF(J840="Рассчитано",N840*(1-O840/100),"н/д")</x:f>
        <x:v>н/д</x:v>
      </x:c>
      <x:c r="V840" s="20" t="str">
        <x:f>IF(J840="Рассчитано",T840*U840,"н/д")</x:f>
        <x:v>н/д</x:v>
      </x:c>
      <x:c r="W840" s="20" t="str">
        <x:f>IF(J840="Рассчитано",T840*M840,"н/д")</x:f>
        <x:v>н/д</x:v>
      </x:c>
      <x:c r="X840" s="20" t="str">
        <x:f>IF(J840="Рассчитано",V840-W840,"н/д")</x:f>
        <x:v>н/д</x:v>
      </x:c>
      <x:c r="Y840" s="26" t="str">
        <x:f>IF(J840="Рассчитано",IF(V840&gt;0,G840/V840,"н/д"),"н/д")</x:f>
        <x:v>н/д</x:v>
      </x:c>
      <x:c r="Z840" s="20" t="str">
        <x:f>"н/д"</x:f>
        <x:v>н/д</x:v>
      </x:c>
      <x:c r="AA840" s="20" t="str">
        <x:f>"н/д"</x:f>
        <x:v>н/д</x:v>
      </x:c>
      <x:c r="AB840" s="20" t="str">
        <x:f>"н/д"</x:f>
        <x:v>н/д</x:v>
      </x:c>
      <x:c r="AC840" s="20" t="str">
        <x:f>IF(AND(J840="Рассчитано",T840&gt;0,R840&lt;100),(W840+P840+Q840)/(T840*(1-R840/100)),"н/д")</x:f>
        <x:v>н/д</x:v>
      </x:c>
      <x:c r="AD840" s="11" t="str">
        <x:f>IF(ISNUMBER(G840),IF(G840&lt;0,"Убыток",IF(G840=0,"Без прибыли","Прибыль &gt; 0")),"Не оценён")</x:f>
        <x:v>Не оценён</x:v>
      </x:c>
      <x:c r="AE840" s="12" t="str">
        <x:f>IF(J840="Рассчитано","Выручка "&amp;TEXT(V840,"0.00")&amp;" - себестоимость "&amp;TEXT(W840,"0.00")&amp;" - комиссия "&amp;TEXT(V840*R840/100,"0.00")&amp;" - доставка "&amp;TEXT(P840,"0.00")&amp;" - прочие "&amp;TEXT(Q840,"0.00")&amp;" = "&amp;TEXT(G840,"0.00")&amp;" "&amp;L840,"Введите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0" s="23" t="n">
        <x:v>4.2226667782684055</x:v>
      </x:c>
      <x:c r="AG840" s="35" t="n">
        <x:v>11</x:v>
      </x:c>
      <x:c r="AH840" s="35" t="n">
        <x:v>0</x:v>
      </x:c>
      <x:c r="AI840" s="29" t="n">
        <x:v>46266</x:v>
      </x:c>
      <x:c r="AJ840" s="35" t="n">
        <x:v>1</x:v>
      </x:c>
      <x:c r="AK840" s="11" t="str">
        <x:v>минимум</x:v>
      </x:c>
      <x:c r="AL840" s="31" t="n">
        <x:v>221.5261082606697</x:v>
      </x:c>
      <x:c r="AM84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40" s="12" t="str">
        <x:v>Проверить свободный остаток и установить цену для B2B</x:v>
      </x:c>
      <x:c r="AO840" s="12" t="str">
        <x:v>Остаток 11; прогноз 90 дней 4.22; избыток 6 шт. Будущие поступления не выставляются на продажу. Остаток на начало сентября: требуется актуализация.</x:v>
      </x:c>
      <x:c r="AP840" s="12" t="str">
        <x:v>["category_missing", "daily_stockout_data_missing", "large_orders_detected", "new_order_lead_time_unknown", "reservations_unknown", "stale_stock"]</x:v>
      </x:c>
      <x:c r="AQ840" s="11" t="str">
        <x:v>IEK:250200025_</x:v>
      </x:c>
      <x:c r="AR840" s="23" t="n">
        <x:v>1</x:v>
      </x:c>
      <x:c r="AS840" s="23" t="n">
        <x:v>0</x:v>
      </x:c>
      <x:c r="AT840" s="23" t="n">
        <x:v>0</x:v>
      </x:c>
    </x:row>
    <x:row r="841" ht="64" customHeight="1">
      <x:c r="A841" s="10" t="str">
        <x:v>IEK</x:v>
      </x:c>
      <x:c r="B841" s="34" t="str">
        <x:v>250200026_</x:v>
      </x:c>
      <x:c r="C841" s="34" t="str">
        <x:v>MKM35-N-12-31-ZO</x:v>
      </x:c>
      <x:c r="D841" s="13" t="str">
        <x:v>ЩУРн-3-12зо (550x320x175) IEK</x:v>
      </x:c>
      <x:c r="E841" s="10" t="str">
        <x:v>шт</x:v>
      </x:c>
      <x:c r="F841" s="37" t="n">
        <x:f>MAX(0,ROUNDDOWN((AG841-AF841)/AR841+0.000000001,0)*AR841)</x:f>
        <x:v>5</x:v>
      </x:c>
      <x:c r="G841" s="21" t="str">
        <x:f>IF(J841="Рассчитано",V841*(1-R841/100)-W841-P841-Q841,"н/д")</x:f>
        <x:v>н/д</x:v>
      </x:c>
      <x:c r="H841" s="13" t="str">
        <x:v>Высокий</x:v>
      </x:c>
      <x:c r="I841" s="13" t="str">
        <x:v>Высокий</x:v>
      </x:c>
      <x:c r="J841" s="13" t="str">
        <x:f>IF(L841="","Укажите валюту",IF(NOT(ISNUMBER(K841)),"Укажите объём",IF(K841&lt;=0,"Укажите объём",IF(K841&gt;F841,"Объём выше излишка",IF(COUNT(M841:O841)&lt;3,"Нужны цены",IF(COUNT(P841:R841)&lt;3,"Нужны расходы",IF(OR(M841&lt;0,N841&lt;0,O841&lt;0,O841&gt;100,P841&lt;0,Q841&lt;0,R841&lt;0,R841&gt;100),"Проверьте значения","Рассчитано")))))))</x:f>
        <x:v>Нужны цены</x:v>
      </x:c>
      <x:c r="K841" s="36" t="n">
        <x:v>5</x:v>
      </x:c>
      <x:c r="L841" s="19" t="str">
        <x:v>KZT</x:v>
      </x:c>
      <x:c r="M841" s="22"/>
      <x:c r="N841" s="22"/>
      <x:c r="O841" s="28"/>
      <x:c r="P841" s="22"/>
      <x:c r="Q841" s="22"/>
      <x:c r="R841" s="28"/>
      <x:c r="S841" s="22"/>
      <x:c r="T841" s="37" t="n">
        <x:f>K841</x:f>
        <x:v>5</x:v>
      </x:c>
      <x:c r="U841" s="21" t="str">
        <x:f>IF(J841="Рассчитано",N841*(1-O841/100),"н/д")</x:f>
        <x:v>н/д</x:v>
      </x:c>
      <x:c r="V841" s="21" t="str">
        <x:f>IF(J841="Рассчитано",T841*U841,"н/д")</x:f>
        <x:v>н/д</x:v>
      </x:c>
      <x:c r="W841" s="21" t="str">
        <x:f>IF(J841="Рассчитано",T841*M841,"н/д")</x:f>
        <x:v>н/д</x:v>
      </x:c>
      <x:c r="X841" s="21" t="str">
        <x:f>IF(J841="Рассчитано",V841-W841,"н/д")</x:f>
        <x:v>н/д</x:v>
      </x:c>
      <x:c r="Y841" s="27" t="str">
        <x:f>IF(J841="Рассчитано",IF(V841&gt;0,G841/V841,"н/д"),"н/д")</x:f>
        <x:v>н/д</x:v>
      </x:c>
      <x:c r="Z841" s="21" t="str">
        <x:f>"н/д"</x:f>
        <x:v>н/д</x:v>
      </x:c>
      <x:c r="AA841" s="21" t="str">
        <x:f>"н/д"</x:f>
        <x:v>н/д</x:v>
      </x:c>
      <x:c r="AB841" s="21" t="str">
        <x:f>"н/д"</x:f>
        <x:v>н/д</x:v>
      </x:c>
      <x:c r="AC841" s="21" t="str">
        <x:f>IF(AND(J841="Рассчитано",T841&gt;0,R841&lt;100),(W841+P841+Q841)/(T841*(1-R841/100)),"н/д")</x:f>
        <x:v>н/д</x:v>
      </x:c>
      <x:c r="AD841" s="10" t="str">
        <x:f>IF(ISNUMBER(G841),IF(G841&lt;0,"Убыток",IF(G841=0,"Без прибыли","Прибыль &gt; 0")),"Не оценён")</x:f>
        <x:v>Не оценён</x:v>
      </x:c>
      <x:c r="AE841" s="13" t="str">
        <x:f>IF(J841="Рассчитано","Выручка "&amp;TEXT(V841,"0.00")&amp;" - себестоимость "&amp;TEXT(W841,"0.00")&amp;" - комиссия "&amp;TEXT(V841*R841/100,"0.00")&amp;" - доставка "&amp;TEXT(P841,"0.00")&amp;" - прочие "&amp;TEXT(Q841,"0.00")&amp;" = "&amp;TEXT(G841,"0.00")&amp;" "&amp;L841,"Введите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1" s="24" t="n">
        <x:v>4.348072152984013</x:v>
      </x:c>
      <x:c r="AG841" s="37" t="n">
        <x:v>10</x:v>
      </x:c>
      <x:c r="AH841" s="37" t="n">
        <x:v>0</x:v>
      </x:c>
      <x:c r="AI841" s="30" t="n">
        <x:v>46266</x:v>
      </x:c>
      <x:c r="AJ841" s="37" t="n">
        <x:v>1</x:v>
      </x:c>
      <x:c r="AK841" s="10" t="str">
        <x:v>минимум</x:v>
      </x:c>
      <x:c r="AL841" s="32" t="n">
        <x:v>195.57903635929327</x:v>
      </x:c>
      <x:c r="AM84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41" s="13" t="str">
        <x:v>Проверить свободный остаток и установить цену для B2B</x:v>
      </x:c>
      <x:c r="AO841" s="13" t="str">
        <x:v>Остаток 10; прогноз 90 дней 4.35; избыток 5 шт. Будущие поступления не выставляются на продажу. Остаток на начало сентября: требуется актуализация.</x:v>
      </x:c>
      <x:c r="AP841" s="13" t="str">
        <x:v>["category_missing", "daily_stockout_data_missing", "large_orders_detected", "new_order_lead_time_unknown", "reservations_unknown", "stale_stock"]</x:v>
      </x:c>
      <x:c r="AQ841" s="10" t="str">
        <x:v>IEK:250200026_</x:v>
      </x:c>
      <x:c r="AR841" s="24" t="n">
        <x:v>1</x:v>
      </x:c>
      <x:c r="AS841" s="24" t="n">
        <x:v>0</x:v>
      </x:c>
      <x:c r="AT841" s="24" t="n">
        <x:v>0</x:v>
      </x:c>
    </x:row>
    <x:row r="842" ht="64" customHeight="1">
      <x:c r="A842" s="11" t="str">
        <x:v>IEK</x:v>
      </x:c>
      <x:c r="B842" s="33" t="str">
        <x:v>250200027_</x:v>
      </x:c>
      <x:c r="C842" s="33" t="str">
        <x:v>MKM35-N-30-1-31-ZO</x:v>
      </x:c>
      <x:c r="D842" s="12" t="str">
        <x:v>ЩУРн-3-30зо (540x490x165) IEK</x:v>
      </x:c>
      <x:c r="E842" s="11" t="str">
        <x:v>шт</x:v>
      </x:c>
      <x:c r="F842" s="35" t="n">
        <x:f>MAX(0,ROUNDDOWN((AG842-AF842)/AR842+0.000000001,0)*AR842)</x:f>
        <x:v>7</x:v>
      </x:c>
      <x:c r="G842" s="20" t="str">
        <x:f>IF(J842="Рассчитано",V842*(1-R842/100)-W842-P842-Q842,"н/д")</x:f>
        <x:v>н/д</x:v>
      </x:c>
      <x:c r="H842" s="12" t="str">
        <x:v>Высокий</x:v>
      </x:c>
      <x:c r="I842" s="12" t="str">
        <x:v>Высокий</x:v>
      </x:c>
      <x:c r="J842" s="12" t="str">
        <x:f>IF(L842="","Укажите валюту",IF(NOT(ISNUMBER(K842)),"Укажите объём",IF(K842&lt;=0,"Укажите объём",IF(K842&gt;F842,"Объём выше излишка",IF(COUNT(M842:O842)&lt;3,"Нужны цены",IF(COUNT(P842:R842)&lt;3,"Нужны расходы",IF(OR(M842&lt;0,N842&lt;0,O842&lt;0,O842&gt;100,P842&lt;0,Q842&lt;0,R842&lt;0,R842&gt;100),"Проверьте значения","Рассчитано")))))))</x:f>
        <x:v>Нужны цены</x:v>
      </x:c>
      <x:c r="K842" s="36" t="n">
        <x:v>7</x:v>
      </x:c>
      <x:c r="L842" s="19" t="str">
        <x:v>KZT</x:v>
      </x:c>
      <x:c r="M842" s="22"/>
      <x:c r="N842" s="22"/>
      <x:c r="O842" s="28"/>
      <x:c r="P842" s="22"/>
      <x:c r="Q842" s="22"/>
      <x:c r="R842" s="28"/>
      <x:c r="S842" s="22"/>
      <x:c r="T842" s="35" t="n">
        <x:f>K842</x:f>
        <x:v>7</x:v>
      </x:c>
      <x:c r="U842" s="20" t="str">
        <x:f>IF(J842="Рассчитано",N842*(1-O842/100),"н/д")</x:f>
        <x:v>н/д</x:v>
      </x:c>
      <x:c r="V842" s="20" t="str">
        <x:f>IF(J842="Рассчитано",T842*U842,"н/д")</x:f>
        <x:v>н/д</x:v>
      </x:c>
      <x:c r="W842" s="20" t="str">
        <x:f>IF(J842="Рассчитано",T842*M842,"н/д")</x:f>
        <x:v>н/д</x:v>
      </x:c>
      <x:c r="X842" s="20" t="str">
        <x:f>IF(J842="Рассчитано",V842-W842,"н/д")</x:f>
        <x:v>н/д</x:v>
      </x:c>
      <x:c r="Y842" s="26" t="str">
        <x:f>IF(J842="Рассчитано",IF(V842&gt;0,G842/V842,"н/д"),"н/д")</x:f>
        <x:v>н/д</x:v>
      </x:c>
      <x:c r="Z842" s="20" t="str">
        <x:f>"н/д"</x:f>
        <x:v>н/д</x:v>
      </x:c>
      <x:c r="AA842" s="20" t="str">
        <x:f>"н/д"</x:f>
        <x:v>н/д</x:v>
      </x:c>
      <x:c r="AB842" s="20" t="str">
        <x:f>"н/д"</x:f>
        <x:v>н/д</x:v>
      </x:c>
      <x:c r="AC842" s="20" t="str">
        <x:f>IF(AND(J842="Рассчитано",T842&gt;0,R842&lt;100),(W842+P842+Q842)/(T842*(1-R842/100)),"н/д")</x:f>
        <x:v>н/д</x:v>
      </x:c>
      <x:c r="AD842" s="11" t="str">
        <x:f>IF(ISNUMBER(G842),IF(G842&lt;0,"Убыток",IF(G842=0,"Без прибыли","Прибыль &gt; 0")),"Не оценён")</x:f>
        <x:v>Не оценён</x:v>
      </x:c>
      <x:c r="AE842" s="12" t="str">
        <x:f>IF(J842="Рассчитано","Выручка "&amp;TEXT(V842,"0.00")&amp;" - себестоимость "&amp;TEXT(W842,"0.00")&amp;" - комиссия "&amp;TEXT(V842*R842/100,"0.00")&amp;" - доставка "&amp;TEXT(P842,"0.00")&amp;" - прочие "&amp;TEXT(Q842,"0.00")&amp;" = "&amp;TEXT(G842,"0.00")&amp;" "&amp;L842,"Введите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2" s="23" t="n">
        <x:v>3.9577837390015462</x:v>
      </x:c>
      <x:c r="AG842" s="35" t="n">
        <x:v>11</x:v>
      </x:c>
      <x:c r="AH842" s="35" t="n">
        <x:v>4</x:v>
      </x:c>
      <x:c r="AI842" s="29" t="n">
        <x:v>46266</x:v>
      </x:c>
      <x:c r="AJ842" s="35" t="n">
        <x:v>1</x:v>
      </x:c>
      <x:c r="AK842" s="11" t="str">
        <x:v>минимум</x:v>
      </x:c>
      <x:c r="AL842" s="31" t="n">
        <x:v>236.3522111259691</x:v>
      </x:c>
      <x:c r="AM84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42" s="12" t="str">
        <x:v>Проверить свободный остаток и установить цену для B2B</x:v>
      </x:c>
      <x:c r="AO842" s="12" t="str">
        <x:v>Остаток 11; прогноз 90 дней 3.96; избыток 7 шт. Будущие поступления не выставляются на продажу. Остаток на начало сентября: требуется актуализация.</x:v>
      </x:c>
      <x:c r="AP842" s="12" t="str">
        <x:v>["category_missing", "daily_stockout_data_missing", "new_order_lead_time_unknown", "reservations_unknown", "stale_stock"]</x:v>
      </x:c>
      <x:c r="AQ842" s="11" t="str">
        <x:v>IEK:250200027_</x:v>
      </x:c>
      <x:c r="AR842" s="23" t="n">
        <x:v>1</x:v>
      </x:c>
      <x:c r="AS842" s="23" t="n">
        <x:v>0</x:v>
      </x:c>
      <x:c r="AT842" s="23" t="n">
        <x:v>0</x:v>
      </x:c>
    </x:row>
    <x:row r="843" ht="64" customHeight="1">
      <x:c r="A843" s="10" t="str">
        <x:v>IEK</x:v>
      </x:c>
      <x:c r="B843" s="34" t="str">
        <x:v>250200028_</x:v>
      </x:c>
      <x:c r="C843" s="34" t="str">
        <x:v>MKM35-N-48-31-ZO</x:v>
      </x:c>
      <x:c r="D843" s="13" t="str">
        <x:v>ЩУРн-3-48зо (600x540x165) IEK</x:v>
      </x:c>
      <x:c r="E843" s="10" t="str">
        <x:v>шт</x:v>
      </x:c>
      <x:c r="F843" s="37" t="n">
        <x:f>MAX(0,ROUNDDOWN((AG843-AF843)/AR843+0.000000001,0)*AR843)</x:f>
        <x:v>6</x:v>
      </x:c>
      <x:c r="G843" s="21" t="str">
        <x:f>IF(J843="Рассчитано",V843*(1-R843/100)-W843-P843-Q843,"н/д")</x:f>
        <x:v>н/д</x:v>
      </x:c>
      <x:c r="H843" s="13" t="str">
        <x:v>Высокий</x:v>
      </x:c>
      <x:c r="I843" s="13" t="str">
        <x:v>Средний</x:v>
      </x:c>
      <x:c r="J843" s="13" t="str">
        <x:f>IF(L843="","Укажите валюту",IF(NOT(ISNUMBER(K843)),"Укажите объём",IF(K843&lt;=0,"Укажите объём",IF(K843&gt;F843,"Объём выше излишка",IF(COUNT(M843:O843)&lt;3,"Нужны цены",IF(COUNT(P843:R843)&lt;3,"Нужны расходы",IF(OR(M843&lt;0,N843&lt;0,O843&lt;0,O843&gt;100,P843&lt;0,Q843&lt;0,R843&lt;0,R843&gt;100),"Проверьте значения","Рассчитано")))))))</x:f>
        <x:v>Нужны цены</x:v>
      </x:c>
      <x:c r="K843" s="36" t="n">
        <x:v>6</x:v>
      </x:c>
      <x:c r="L843" s="19" t="str">
        <x:v>KZT</x:v>
      </x:c>
      <x:c r="M843" s="22"/>
      <x:c r="N843" s="22"/>
      <x:c r="O843" s="28"/>
      <x:c r="P843" s="22"/>
      <x:c r="Q843" s="22"/>
      <x:c r="R843" s="28"/>
      <x:c r="S843" s="22"/>
      <x:c r="T843" s="37" t="n">
        <x:f>K843</x:f>
        <x:v>6</x:v>
      </x:c>
      <x:c r="U843" s="21" t="str">
        <x:f>IF(J843="Рассчитано",N843*(1-O843/100),"н/д")</x:f>
        <x:v>н/д</x:v>
      </x:c>
      <x:c r="V843" s="21" t="str">
        <x:f>IF(J843="Рассчитано",T843*U843,"н/д")</x:f>
        <x:v>н/д</x:v>
      </x:c>
      <x:c r="W843" s="21" t="str">
        <x:f>IF(J843="Рассчитано",T843*M843,"н/д")</x:f>
        <x:v>н/д</x:v>
      </x:c>
      <x:c r="X843" s="21" t="str">
        <x:f>IF(J843="Рассчитано",V843-W843,"н/д")</x:f>
        <x:v>н/д</x:v>
      </x:c>
      <x:c r="Y843" s="27" t="str">
        <x:f>IF(J843="Рассчитано",IF(V843&gt;0,G843/V843,"н/д"),"н/д")</x:f>
        <x:v>н/д</x:v>
      </x:c>
      <x:c r="Z843" s="21" t="str">
        <x:f>"н/д"</x:f>
        <x:v>н/д</x:v>
      </x:c>
      <x:c r="AA843" s="21" t="str">
        <x:f>"н/д"</x:f>
        <x:v>н/д</x:v>
      </x:c>
      <x:c r="AB843" s="21" t="str">
        <x:f>"н/д"</x:f>
        <x:v>н/д</x:v>
      </x:c>
      <x:c r="AC843" s="21" t="str">
        <x:f>IF(AND(J843="Рассчитано",T843&gt;0,R843&lt;100),(W843+P843+Q843)/(T843*(1-R843/100)),"н/д")</x:f>
        <x:v>н/д</x:v>
      </x:c>
      <x:c r="AD843" s="10" t="str">
        <x:f>IF(ISNUMBER(G843),IF(G843&lt;0,"Убыток",IF(G843=0,"Без прибыли","Прибыль &gt; 0")),"Не оценён")</x:f>
        <x:v>Не оценён</x:v>
      </x:c>
      <x:c r="AE843" s="13" t="str">
        <x:f>IF(J843="Рассчитано","Выручка "&amp;TEXT(V843,"0.00")&amp;" - себестоимость "&amp;TEXT(W843,"0.00")&amp;" - комиссия "&amp;TEXT(V843*R843/100,"0.00")&amp;" - доставка "&amp;TEXT(P843,"0.00")&amp;" - прочие "&amp;TEXT(Q843,"0.00")&amp;" = "&amp;TEXT(G843,"0.00")&amp;" "&amp;L843,"Введите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3" s="24" t="n">
        <x:v>8.67532423790086</x:v>
      </x:c>
      <x:c r="AG843" s="37" t="n">
        <x:v>15</x:v>
      </x:c>
      <x:c r="AH843" s="37" t="n">
        <x:v>0</x:v>
      </x:c>
      <x:c r="AI843" s="30" t="n">
        <x:v>46266</x:v>
      </x:c>
      <x:c r="AJ843" s="37" t="n">
        <x:v>1</x:v>
      </x:c>
      <x:c r="AK843" s="10" t="str">
        <x:v>минимум</x:v>
      </x:c>
      <x:c r="AL843" s="32" t="n">
        <x:v>147.03630752832657</x:v>
      </x:c>
      <x:c r="AM843" s="13" t="str">
        <x:v>Остаток на начало сентября; Резервы неизвестны; Нет ежедневных данных доступности. Запас выше прогноза на 90 дней</x:v>
      </x:c>
      <x:c r="AN843" s="13" t="str">
        <x:v>Проверить свободный остаток и установить цену для B2B</x:v>
      </x:c>
      <x:c r="AO843" s="13" t="str">
        <x:v>Остаток 15; прогноз 90 дней 8.68; избыток 6 шт. Будущие поступления не выставляются на продажу. Остаток на начало сентября: требуется актуализация.</x:v>
      </x:c>
      <x:c r="AP843" s="13" t="str">
        <x:v>["category_missing", "daily_stockout_data_missing", "new_order_lead_time_unknown", "reservations_unknown", "stale_stock"]</x:v>
      </x:c>
      <x:c r="AQ843" s="10" t="str">
        <x:v>IEK:250200028_</x:v>
      </x:c>
      <x:c r="AR843" s="24" t="n">
        <x:v>1</x:v>
      </x:c>
      <x:c r="AS843" s="24" t="n">
        <x:v>0</x:v>
      </x:c>
      <x:c r="AT843" s="24" t="n">
        <x:v>0</x:v>
      </x:c>
    </x:row>
    <x:row r="844" ht="64" customHeight="1">
      <x:c r="A844" s="11" t="str">
        <x:v>IEK</x:v>
      </x:c>
      <x:c r="B844" s="33" t="str">
        <x:v>250200037_</x:v>
      </x:c>
      <x:c r="C844" s="33" t="str">
        <x:v>YKM40-07-31</x:v>
      </x:c>
      <x:c r="D844" s="12" t="str">
        <x:v>ЩМП- 7 IP 31 (1320х750х300) IEK</x:v>
      </x:c>
      <x:c r="E844" s="11" t="str">
        <x:v>шт</x:v>
      </x:c>
      <x:c r="F844" s="35" t="n">
        <x:f>MAX(0,ROUNDDOWN((AG844-AF844)/AR844+0.000000001,0)*AR844)</x:f>
        <x:v>2</x:v>
      </x:c>
      <x:c r="G844" s="20" t="str">
        <x:f>IF(J844="Рассчитано",V844*(1-R844/100)-W844-P844-Q844,"н/д")</x:f>
        <x:v>н/д</x:v>
      </x:c>
      <x:c r="H844" s="12" t="str">
        <x:v>Высокий</x:v>
      </x:c>
      <x:c r="I844" s="12" t="str">
        <x:v>Высокий</x:v>
      </x:c>
      <x:c r="J844" s="12" t="str">
        <x:f>IF(L844="","Укажите валюту",IF(NOT(ISNUMBER(K844)),"Укажите объём",IF(K844&lt;=0,"Укажите объём",IF(K844&gt;F844,"Объём выше излишка",IF(COUNT(M844:O844)&lt;3,"Нужны цены",IF(COUNT(P844:R844)&lt;3,"Нужны расходы",IF(OR(M844&lt;0,N844&lt;0,O844&lt;0,O844&gt;100,P844&lt;0,Q844&lt;0,R844&lt;0,R844&gt;100),"Проверьте значения","Рассчитано")))))))</x:f>
        <x:v>Нужны цены</x:v>
      </x:c>
      <x:c r="K844" s="36" t="n">
        <x:v>2</x:v>
      </x:c>
      <x:c r="L844" s="19" t="str">
        <x:v>KZT</x:v>
      </x:c>
      <x:c r="M844" s="22"/>
      <x:c r="N844" s="22"/>
      <x:c r="O844" s="28"/>
      <x:c r="P844" s="22"/>
      <x:c r="Q844" s="22"/>
      <x:c r="R844" s="28"/>
      <x:c r="S844" s="22"/>
      <x:c r="T844" s="35" t="n">
        <x:f>K844</x:f>
        <x:v>2</x:v>
      </x:c>
      <x:c r="U844" s="20" t="str">
        <x:f>IF(J844="Рассчитано",N844*(1-O844/100),"н/д")</x:f>
        <x:v>н/д</x:v>
      </x:c>
      <x:c r="V844" s="20" t="str">
        <x:f>IF(J844="Рассчитано",T844*U844,"н/д")</x:f>
        <x:v>н/д</x:v>
      </x:c>
      <x:c r="W844" s="20" t="str">
        <x:f>IF(J844="Рассчитано",T844*M844,"н/д")</x:f>
        <x:v>н/д</x:v>
      </x:c>
      <x:c r="X844" s="20" t="str">
        <x:f>IF(J844="Рассчитано",V844-W844,"н/д")</x:f>
        <x:v>н/д</x:v>
      </x:c>
      <x:c r="Y844" s="26" t="str">
        <x:f>IF(J844="Рассчитано",IF(V844&gt;0,G844/V844,"н/д"),"н/д")</x:f>
        <x:v>н/д</x:v>
      </x:c>
      <x:c r="Z844" s="20" t="str">
        <x:f>"н/д"</x:f>
        <x:v>н/д</x:v>
      </x:c>
      <x:c r="AA844" s="20" t="str">
        <x:f>"н/д"</x:f>
        <x:v>н/д</x:v>
      </x:c>
      <x:c r="AB844" s="20" t="str">
        <x:f>"н/д"</x:f>
        <x:v>н/д</x:v>
      </x:c>
      <x:c r="AC844" s="20" t="str">
        <x:f>IF(AND(J844="Рассчитано",T844&gt;0,R844&lt;100),(W844+P844+Q844)/(T844*(1-R844/100)),"н/д")</x:f>
        <x:v>н/д</x:v>
      </x:c>
      <x:c r="AD844" s="11" t="str">
        <x:f>IF(ISNUMBER(G844),IF(G844&lt;0,"Убыток",IF(G844=0,"Без прибыли","Прибыль &gt; 0")),"Не оценён")</x:f>
        <x:v>Не оценён</x:v>
      </x:c>
      <x:c r="AE844" s="12" t="str">
        <x:f>IF(J844="Рассчитано","Выручка "&amp;TEXT(V844,"0.00")&amp;" - себестоимость "&amp;TEXT(W844,"0.00")&amp;" - комиссия "&amp;TEXT(V844*R844/100,"0.00")&amp;" - доставка "&amp;TEXT(P844,"0.00")&amp;" - прочие "&amp;TEXT(Q844,"0.00")&amp;" = "&amp;TEXT(G844,"0.00")&amp;" "&amp;L844,"Введите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4" s="23" t="n">
        <x:v>0.30488861264665446</x:v>
      </x:c>
      <x:c r="AG844" s="35" t="n">
        <x:v>3</x:v>
      </x:c>
      <x:c r="AH844" s="35" t="n">
        <x:v>0</x:v>
      </x:c>
      <x:c r="AI844" s="29" t="n">
        <x:v>46266</x:v>
      </x:c>
      <x:c r="AJ844" s="35" t="n">
        <x:v>1</x:v>
      </x:c>
      <x:c r="AK844" s="11" t="str">
        <x:v>минимум</x:v>
      </x:c>
      <x:c r="AL844" s="31" t="n">
        <x:v>836.7565003355899</x:v>
      </x:c>
      <x:c r="AM84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44" s="12" t="str">
        <x:v>Проверить свободный остаток и установить цену для B2B</x:v>
      </x:c>
      <x:c r="AO844" s="12" t="str">
        <x:v>Остаток 3; прогноз 90 дней 0.30; избыток 2 шт. Будущие поступления не выставляются на продажу. Остаток на начало сентября: требуется актуализация.</x:v>
      </x:c>
      <x:c r="AP844" s="12" t="str">
        <x:v>["category_missing", "daily_stockout_data_missing", "new_order_lead_time_unknown", "reservations_unknown", "stale_stock"]</x:v>
      </x:c>
      <x:c r="AQ844" s="11" t="str">
        <x:v>IEK:250200037_</x:v>
      </x:c>
      <x:c r="AR844" s="23" t="n">
        <x:v>1</x:v>
      </x:c>
      <x:c r="AS844" s="23" t="n">
        <x:v>0</x:v>
      </x:c>
      <x:c r="AT844" s="23" t="n">
        <x:v>0</x:v>
      </x:c>
    </x:row>
    <x:row r="845" ht="64" customHeight="1">
      <x:c r="A845" s="10" t="str">
        <x:v>IEK</x:v>
      </x:c>
      <x:c r="B845" s="34" t="str">
        <x:v>250200041_</x:v>
      </x:c>
      <x:c r="C845" s="34" t="str">
        <x:v>YKM40-05-31</x:v>
      </x:c>
      <x:c r="D845" s="13" t="str">
        <x:v>ЩМП- 5 IP 31 (1000х650х300) IEK</x:v>
      </x:c>
      <x:c r="E845" s="10" t="str">
        <x:v>шт</x:v>
      </x:c>
      <x:c r="F845" s="37" t="n">
        <x:f>MAX(0,ROUNDDOWN((AG845-AF845)/AR845+0.000000001,0)*AR845)</x:f>
        <x:v>5</x:v>
      </x:c>
      <x:c r="G845" s="21" t="str">
        <x:f>IF(J845="Рассчитано",V845*(1-R845/100)-W845-P845-Q845,"н/д")</x:f>
        <x:v>н/д</x:v>
      </x:c>
      <x:c r="H845" s="13" t="str">
        <x:v>Высокий</x:v>
      </x:c>
      <x:c r="I845" s="13" t="str">
        <x:v>Высокий</x:v>
      </x:c>
      <x:c r="J845" s="13" t="str">
        <x:f>IF(L845="","Укажите валюту",IF(NOT(ISNUMBER(K845)),"Укажите объём",IF(K845&lt;=0,"Укажите объём",IF(K845&gt;F845,"Объём выше излишка",IF(COUNT(M845:O845)&lt;3,"Нужны цены",IF(COUNT(P845:R845)&lt;3,"Нужны расходы",IF(OR(M845&lt;0,N845&lt;0,O845&lt;0,O845&gt;100,P845&lt;0,Q845&lt;0,R845&lt;0,R845&gt;100),"Проверьте значения","Рассчитано")))))))</x:f>
        <x:v>Нужны цены</x:v>
      </x:c>
      <x:c r="K845" s="36" t="n">
        <x:v>5</x:v>
      </x:c>
      <x:c r="L845" s="19" t="str">
        <x:v>KZT</x:v>
      </x:c>
      <x:c r="M845" s="22"/>
      <x:c r="N845" s="22"/>
      <x:c r="O845" s="28"/>
      <x:c r="P845" s="22"/>
      <x:c r="Q845" s="22"/>
      <x:c r="R845" s="28"/>
      <x:c r="S845" s="22"/>
      <x:c r="T845" s="37" t="n">
        <x:f>K845</x:f>
        <x:v>5</x:v>
      </x:c>
      <x:c r="U845" s="21" t="str">
        <x:f>IF(J845="Рассчитано",N845*(1-O845/100),"н/д")</x:f>
        <x:v>н/д</x:v>
      </x:c>
      <x:c r="V845" s="21" t="str">
        <x:f>IF(J845="Рассчитано",T845*U845,"н/д")</x:f>
        <x:v>н/д</x:v>
      </x:c>
      <x:c r="W845" s="21" t="str">
        <x:f>IF(J845="Рассчитано",T845*M845,"н/д")</x:f>
        <x:v>н/д</x:v>
      </x:c>
      <x:c r="X845" s="21" t="str">
        <x:f>IF(J845="Рассчитано",V845-W845,"н/д")</x:f>
        <x:v>н/д</x:v>
      </x:c>
      <x:c r="Y845" s="27" t="str">
        <x:f>IF(J845="Рассчитано",IF(V845&gt;0,G845/V845,"н/д"),"н/д")</x:f>
        <x:v>н/д</x:v>
      </x:c>
      <x:c r="Z845" s="21" t="str">
        <x:f>"н/д"</x:f>
        <x:v>н/д</x:v>
      </x:c>
      <x:c r="AA845" s="21" t="str">
        <x:f>"н/д"</x:f>
        <x:v>н/д</x:v>
      </x:c>
      <x:c r="AB845" s="21" t="str">
        <x:f>"н/д"</x:f>
        <x:v>н/д</x:v>
      </x:c>
      <x:c r="AC845" s="21" t="str">
        <x:f>IF(AND(J845="Рассчитано",T845&gt;0,R845&lt;100),(W845+P845+Q845)/(T845*(1-R845/100)),"н/д")</x:f>
        <x:v>н/д</x:v>
      </x:c>
      <x:c r="AD845" s="10" t="str">
        <x:f>IF(ISNUMBER(G845),IF(G845&lt;0,"Убыток",IF(G845=0,"Без прибыли","Прибыль &gt; 0")),"Не оценён")</x:f>
        <x:v>Не оценён</x:v>
      </x:c>
      <x:c r="AE845" s="13" t="str">
        <x:f>IF(J845="Рассчитано","Выручка "&amp;TEXT(V845,"0.00")&amp;" - себестоимость "&amp;TEXT(W845,"0.00")&amp;" - комиссия "&amp;TEXT(V845*R845/100,"0.00")&amp;" - доставка "&amp;TEXT(P845,"0.00")&amp;" - прочие "&amp;TEXT(Q845,"0.00")&amp;" = "&amp;TEXT(G845,"0.00")&amp;" "&amp;L845,"Введите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5" s="24" t="n">
        <x:v>2.9916763118109464</x:v>
      </x:c>
      <x:c r="AG845" s="37" t="n">
        <x:v>8</x:v>
      </x:c>
      <x:c r="AH845" s="37" t="n">
        <x:v>0</x:v>
      </x:c>
      <x:c r="AI845" s="30" t="n">
        <x:v>46266</x:v>
      </x:c>
      <x:c r="AJ845" s="37" t="n">
        <x:v>1</x:v>
      </x:c>
      <x:c r="AK845" s="10" t="str">
        <x:v>минимум</x:v>
      </x:c>
      <x:c r="AL845" s="32" t="n">
        <x:v>227.40207778334837</x:v>
      </x:c>
      <x:c r="AM84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45" s="13" t="str">
        <x:v>Проверить свободный остаток и установить цену для B2B</x:v>
      </x:c>
      <x:c r="AO845" s="13" t="str">
        <x:v>Остаток 8; прогноз 90 дней 2.99; избыток 5 шт. Будущие поступления не выставляются на продажу. Остаток на начало сентября: требуется актуализация.</x:v>
      </x:c>
      <x:c r="AP845" s="13" t="str">
        <x:v>["category_missing", "daily_stockout_data_missing", "new_order_lead_time_unknown", "reservations_unknown", "stale_stock"]</x:v>
      </x:c>
      <x:c r="AQ845" s="10" t="str">
        <x:v>IEK:250200041_</x:v>
      </x:c>
      <x:c r="AR845" s="24" t="n">
        <x:v>1</x:v>
      </x:c>
      <x:c r="AS845" s="24" t="n">
        <x:v>0</x:v>
      </x:c>
      <x:c r="AT845" s="24" t="n">
        <x:v>0</x:v>
      </x:c>
    </x:row>
    <x:row r="846" ht="64" customHeight="1">
      <x:c r="A846" s="11" t="str">
        <x:v>IEK</x:v>
      </x:c>
      <x:c r="B846" s="33" t="str">
        <x:v>250200042_</x:v>
      </x:c>
      <x:c r="C846" s="33" t="str">
        <x:v>YKM40-05-54</x:v>
      </x:c>
      <x:c r="D846" s="12" t="str">
        <x:v>ЩМП- 5 IP 54 (1000х650х300) IEK</x:v>
      </x:c>
      <x:c r="E846" s="11" t="str">
        <x:v>шт</x:v>
      </x:c>
      <x:c r="F846" s="35" t="n">
        <x:f>MAX(0,ROUNDDOWN((AG846-AF846)/AR846+0.000000001,0)*AR846)</x:f>
        <x:v>6</x:v>
      </x:c>
      <x:c r="G846" s="20" t="str">
        <x:f>IF(J846="Рассчитано",V846*(1-R846/100)-W846-P846-Q846,"н/д")</x:f>
        <x:v>н/д</x:v>
      </x:c>
      <x:c r="H846" s="12" t="str">
        <x:v>Высокий</x:v>
      </x:c>
      <x:c r="I846" s="12" t="str">
        <x:v>Средний</x:v>
      </x:c>
      <x:c r="J846" s="12" t="str">
        <x:f>IF(L846="","Укажите валюту",IF(NOT(ISNUMBER(K846)),"Укажите объём",IF(K846&lt;=0,"Укажите объём",IF(K846&gt;F846,"Объём выше излишка",IF(COUNT(M846:O846)&lt;3,"Нужны цены",IF(COUNT(P846:R846)&lt;3,"Нужны расходы",IF(OR(M846&lt;0,N846&lt;0,O846&lt;0,O846&gt;100,P846&lt;0,Q846&lt;0,R846&lt;0,R846&gt;100),"Проверьте значения","Рассчитано")))))))</x:f>
        <x:v>Нужны цены</x:v>
      </x:c>
      <x:c r="K846" s="36" t="n">
        <x:v>6</x:v>
      </x:c>
      <x:c r="L846" s="19" t="str">
        <x:v>KZT</x:v>
      </x:c>
      <x:c r="M846" s="22"/>
      <x:c r="N846" s="22"/>
      <x:c r="O846" s="28"/>
      <x:c r="P846" s="22"/>
      <x:c r="Q846" s="22"/>
      <x:c r="R846" s="28"/>
      <x:c r="S846" s="22"/>
      <x:c r="T846" s="35" t="n">
        <x:f>K846</x:f>
        <x:v>6</x:v>
      </x:c>
      <x:c r="U846" s="20" t="str">
        <x:f>IF(J846="Рассчитано",N846*(1-O846/100),"н/д")</x:f>
        <x:v>н/д</x:v>
      </x:c>
      <x:c r="V846" s="20" t="str">
        <x:f>IF(J846="Рассчитано",T846*U846,"н/д")</x:f>
        <x:v>н/д</x:v>
      </x:c>
      <x:c r="W846" s="20" t="str">
        <x:f>IF(J846="Рассчитано",T846*M846,"н/д")</x:f>
        <x:v>н/д</x:v>
      </x:c>
      <x:c r="X846" s="20" t="str">
        <x:f>IF(J846="Рассчитано",V846-W846,"н/д")</x:f>
        <x:v>н/д</x:v>
      </x:c>
      <x:c r="Y846" s="26" t="str">
        <x:f>IF(J846="Рассчитано",IF(V846&gt;0,G846/V846,"н/д"),"н/д")</x:f>
        <x:v>н/д</x:v>
      </x:c>
      <x:c r="Z846" s="20" t="str">
        <x:f>"н/д"</x:f>
        <x:v>н/д</x:v>
      </x:c>
      <x:c r="AA846" s="20" t="str">
        <x:f>"н/д"</x:f>
        <x:v>н/д</x:v>
      </x:c>
      <x:c r="AB846" s="20" t="str">
        <x:f>"н/д"</x:f>
        <x:v>н/д</x:v>
      </x:c>
      <x:c r="AC846" s="20" t="str">
        <x:f>IF(AND(J846="Рассчитано",T846&gt;0,R846&lt;100),(W846+P846+Q846)/(T846*(1-R846/100)),"н/д")</x:f>
        <x:v>н/д</x:v>
      </x:c>
      <x:c r="AD846" s="11" t="str">
        <x:f>IF(ISNUMBER(G846),IF(G846&lt;0,"Убыток",IF(G846=0,"Без прибыли","Прибыль &gt; 0")),"Не оценён")</x:f>
        <x:v>Не оценён</x:v>
      </x:c>
      <x:c r="AE846" s="12" t="str">
        <x:f>IF(J846="Рассчитано","Выручка "&amp;TEXT(V846,"0.00")&amp;" - себестоимость "&amp;TEXT(W846,"0.00")&amp;" - комиссия "&amp;TEXT(V846*R846/100,"0.00")&amp;" - доставка "&amp;TEXT(P846,"0.00")&amp;" - прочие "&amp;TEXT(Q846,"0.00")&amp;" = "&amp;TEXT(G846,"0.00")&amp;" "&amp;L846,"Введите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6" s="23" t="n">
        <x:v>8.668462220455483</x:v>
      </x:c>
      <x:c r="AG846" s="35" t="n">
        <x:v>15</x:v>
      </x:c>
      <x:c r="AH846" s="35" t="n">
        <x:v>0</x:v>
      </x:c>
      <x:c r="AI846" s="29" t="n">
        <x:v>46266</x:v>
      </x:c>
      <x:c r="AJ846" s="35" t="n">
        <x:v>1</x:v>
      </x:c>
      <x:c r="AK846" s="11" t="str">
        <x:v>минимум</x:v>
      </x:c>
      <x:c r="AL846" s="31" t="n">
        <x:v>147.15270253377338</x:v>
      </x:c>
      <x:c r="AM846" s="12" t="str">
        <x:v>Остаток на начало сентября; Резервы неизвестны; Нет ежедневных данных доступности. Запас выше прогноза на 90 дней</x:v>
      </x:c>
      <x:c r="AN846" s="12" t="str">
        <x:v>Проверить свободный остаток и установить цену для B2B</x:v>
      </x:c>
      <x:c r="AO846" s="12" t="str">
        <x:v>Остаток 15; прогноз 90 дней 8.67; избыток 6 шт. Будущие поступления не выставляются на продажу. Остаток на начало сентября: требуется актуализация.</x:v>
      </x:c>
      <x:c r="AP846" s="12" t="str">
        <x:v>["category_missing", "daily_stockout_data_missing", "large_orders_detected", "new_order_lead_time_unknown", "reservations_unknown", "stale_stock"]</x:v>
      </x:c>
      <x:c r="AQ846" s="11" t="str">
        <x:v>IEK:250200042_</x:v>
      </x:c>
      <x:c r="AR846" s="23" t="n">
        <x:v>1</x:v>
      </x:c>
      <x:c r="AS846" s="23" t="n">
        <x:v>0</x:v>
      </x:c>
      <x:c r="AT846" s="23" t="n">
        <x:v>0</x:v>
      </x:c>
    </x:row>
    <x:row r="847" ht="64" customHeight="1">
      <x:c r="A847" s="10" t="str">
        <x:v>IEK</x:v>
      </x:c>
      <x:c r="B847" s="34" t="str">
        <x:v>250200050_</x:v>
      </x:c>
      <x:c r="C847" s="34" t="str">
        <x:v>YKM40-06-31</x:v>
      </x:c>
      <x:c r="D847" s="13" t="str">
        <x:v>ЩМП- 6 IP 31 (1200х750х300) IEK</x:v>
      </x:c>
      <x:c r="E847" s="10" t="str">
        <x:v>шт</x:v>
      </x:c>
      <x:c r="F847" s="37" t="n">
        <x:f>MAX(0,ROUNDDOWN((AG847-AF847)/AR847+0.000000001,0)*AR847)</x:f>
        <x:v>5</x:v>
      </x:c>
      <x:c r="G847" s="21" t="str">
        <x:f>IF(J847="Рассчитано",V847*(1-R847/100)-W847-P847-Q847,"н/д")</x:f>
        <x:v>н/д</x:v>
      </x:c>
      <x:c r="H847" s="13" t="str">
        <x:v>Высокий</x:v>
      </x:c>
      <x:c r="I847" s="13" t="str">
        <x:v>Высокий</x:v>
      </x:c>
      <x:c r="J847" s="13" t="str">
        <x:f>IF(L847="","Укажите валюту",IF(NOT(ISNUMBER(K847)),"Укажите объём",IF(K847&lt;=0,"Укажите объём",IF(K847&gt;F847,"Объём выше излишка",IF(COUNT(M847:O847)&lt;3,"Нужны цены",IF(COUNT(P847:R847)&lt;3,"Нужны расходы",IF(OR(M847&lt;0,N847&lt;0,O847&lt;0,O847&gt;100,P847&lt;0,Q847&lt;0,R847&lt;0,R847&gt;100),"Проверьте значения","Рассчитано")))))))</x:f>
        <x:v>Нужны цены</x:v>
      </x:c>
      <x:c r="K847" s="36" t="n">
        <x:v>5</x:v>
      </x:c>
      <x:c r="L847" s="19" t="str">
        <x:v>KZT</x:v>
      </x:c>
      <x:c r="M847" s="22"/>
      <x:c r="N847" s="22"/>
      <x:c r="O847" s="28"/>
      <x:c r="P847" s="22"/>
      <x:c r="Q847" s="22"/>
      <x:c r="R847" s="28"/>
      <x:c r="S847" s="22"/>
      <x:c r="T847" s="37" t="n">
        <x:f>K847</x:f>
        <x:v>5</x:v>
      </x:c>
      <x:c r="U847" s="21" t="str">
        <x:f>IF(J847="Рассчитано",N847*(1-O847/100),"н/д")</x:f>
        <x:v>н/д</x:v>
      </x:c>
      <x:c r="V847" s="21" t="str">
        <x:f>IF(J847="Рассчитано",T847*U847,"н/д")</x:f>
        <x:v>н/д</x:v>
      </x:c>
      <x:c r="W847" s="21" t="str">
        <x:f>IF(J847="Рассчитано",T847*M847,"н/д")</x:f>
        <x:v>н/д</x:v>
      </x:c>
      <x:c r="X847" s="21" t="str">
        <x:f>IF(J847="Рассчитано",V847-W847,"н/д")</x:f>
        <x:v>н/д</x:v>
      </x:c>
      <x:c r="Y847" s="27" t="str">
        <x:f>IF(J847="Рассчитано",IF(V847&gt;0,G847/V847,"н/д"),"н/д")</x:f>
        <x:v>н/д</x:v>
      </x:c>
      <x:c r="Z847" s="21" t="str">
        <x:f>"н/д"</x:f>
        <x:v>н/д</x:v>
      </x:c>
      <x:c r="AA847" s="21" t="str">
        <x:f>"н/д"</x:f>
        <x:v>н/д</x:v>
      </x:c>
      <x:c r="AB847" s="21" t="str">
        <x:f>"н/д"</x:f>
        <x:v>н/д</x:v>
      </x:c>
      <x:c r="AC847" s="21" t="str">
        <x:f>IF(AND(J847="Рассчитано",T847&gt;0,R847&lt;100),(W847+P847+Q847)/(T847*(1-R847/100)),"н/д")</x:f>
        <x:v>н/д</x:v>
      </x:c>
      <x:c r="AD847" s="10" t="str">
        <x:f>IF(ISNUMBER(G847),IF(G847&lt;0,"Убыток",IF(G847=0,"Без прибыли","Прибыль &gt; 0")),"Не оценён")</x:f>
        <x:v>Не оценён</x:v>
      </x:c>
      <x:c r="AE847" s="13" t="str">
        <x:f>IF(J847="Рассчитано","Выручка "&amp;TEXT(V847,"0.00")&amp;" - себестоимость "&amp;TEXT(W847,"0.00")&amp;" - комиссия "&amp;TEXT(V847*R847/100,"0.00")&amp;" - доставка "&amp;TEXT(P847,"0.00")&amp;" - прочие "&amp;TEXT(Q847,"0.00")&amp;" = "&amp;TEXT(G847,"0.00")&amp;" "&amp;L847,"Введите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7" s="24" t="n">
        <x:v>0.18011622360411045</x:v>
      </x:c>
      <x:c r="AG847" s="37" t="n">
        <x:v>6</x:v>
      </x:c>
      <x:c r="AH847" s="37" t="n">
        <x:v>0</x:v>
      </x:c>
      <x:c r="AI847" s="30" t="n">
        <x:v>46266</x:v>
      </x:c>
      <x:c r="AJ847" s="37" t="n">
        <x:v>1</x:v>
      </x:c>
      <x:c r="AK847" s="10" t="str">
        <x:v>минимум</x:v>
      </x:c>
      <x:c r="AL847" s="32" t="n">
        <x:v>2832.8100978968705</x:v>
      </x:c>
      <x:c r="AM84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47" s="13" t="str">
        <x:v>Проверить свободный остаток и установить цену для B2B</x:v>
      </x:c>
      <x:c r="AO847" s="13" t="str">
        <x:v>Остаток 6; прогноз 90 дней 0.18; избыток 5 шт. Будущие поступления не выставляются на продажу. Остаток на начало сентября: требуется актуализация.</x:v>
      </x:c>
      <x:c r="AP847" s="13" t="str">
        <x:v>["category_missing", "daily_stockout_data_missing", "new_order_lead_time_unknown", "reservations_unknown", "stale_stock"]</x:v>
      </x:c>
      <x:c r="AQ847" s="10" t="str">
        <x:v>IEK:250200050_</x:v>
      </x:c>
      <x:c r="AR847" s="24" t="n">
        <x:v>1</x:v>
      </x:c>
      <x:c r="AS847" s="24" t="n">
        <x:v>0</x:v>
      </x:c>
      <x:c r="AT847" s="24" t="n">
        <x:v>0</x:v>
      </x:c>
    </x:row>
    <x:row r="848" ht="64" customHeight="1">
      <x:c r="A848" s="11" t="str">
        <x:v>IEK</x:v>
      </x:c>
      <x:c r="B848" s="33" t="str">
        <x:v>250200051_</x:v>
      </x:c>
      <x:c r="C848" s="33" t="str">
        <x:v>YKM40-06-54</x:v>
      </x:c>
      <x:c r="D848" s="12" t="str">
        <x:v>ЩМП- 6 IP 54 (1200х750х300) IEK</x:v>
      </x:c>
      <x:c r="E848" s="11" t="str">
        <x:v>шт</x:v>
      </x:c>
      <x:c r="F848" s="35" t="n">
        <x:f>MAX(0,ROUNDDOWN((AG848-AF848)/AR848+0.000000001,0)*AR848)</x:f>
        <x:v>2</x:v>
      </x:c>
      <x:c r="G848" s="20" t="str">
        <x:f>IF(J848="Рассчитано",V848*(1-R848/100)-W848-P848-Q848,"н/д")</x:f>
        <x:v>н/д</x:v>
      </x:c>
      <x:c r="H848" s="12" t="str">
        <x:v>Высокий</x:v>
      </x:c>
      <x:c r="I848" s="12" t="str">
        <x:v>Высокий</x:v>
      </x:c>
      <x:c r="J848" s="12" t="str">
        <x:f>IF(L848="","Укажите валюту",IF(NOT(ISNUMBER(K848)),"Укажите объём",IF(K848&lt;=0,"Укажите объём",IF(K848&gt;F848,"Объём выше излишка",IF(COUNT(M848:O848)&lt;3,"Нужны цены",IF(COUNT(P848:R848)&lt;3,"Нужны расходы",IF(OR(M848&lt;0,N848&lt;0,O848&lt;0,O848&gt;100,P848&lt;0,Q848&lt;0,R848&lt;0,R848&gt;100),"Проверьте значения","Рассчитано")))))))</x:f>
        <x:v>Нужны цены</x:v>
      </x:c>
      <x:c r="K848" s="36" t="n">
        <x:v>2</x:v>
      </x:c>
      <x:c r="L848" s="19" t="str">
        <x:v>KZT</x:v>
      </x:c>
      <x:c r="M848" s="22"/>
      <x:c r="N848" s="22"/>
      <x:c r="O848" s="28"/>
      <x:c r="P848" s="22"/>
      <x:c r="Q848" s="22"/>
      <x:c r="R848" s="28"/>
      <x:c r="S848" s="22"/>
      <x:c r="T848" s="35" t="n">
        <x:f>K848</x:f>
        <x:v>2</x:v>
      </x:c>
      <x:c r="U848" s="20" t="str">
        <x:f>IF(J848="Рассчитано",N848*(1-O848/100),"н/д")</x:f>
        <x:v>н/д</x:v>
      </x:c>
      <x:c r="V848" s="20" t="str">
        <x:f>IF(J848="Рассчитано",T848*U848,"н/д")</x:f>
        <x:v>н/д</x:v>
      </x:c>
      <x:c r="W848" s="20" t="str">
        <x:f>IF(J848="Рассчитано",T848*M848,"н/д")</x:f>
        <x:v>н/д</x:v>
      </x:c>
      <x:c r="X848" s="20" t="str">
        <x:f>IF(J848="Рассчитано",V848-W848,"н/д")</x:f>
        <x:v>н/д</x:v>
      </x:c>
      <x:c r="Y848" s="26" t="str">
        <x:f>IF(J848="Рассчитано",IF(V848&gt;0,G848/V848,"н/д"),"н/д")</x:f>
        <x:v>н/д</x:v>
      </x:c>
      <x:c r="Z848" s="20" t="str">
        <x:f>"н/д"</x:f>
        <x:v>н/д</x:v>
      </x:c>
      <x:c r="AA848" s="20" t="str">
        <x:f>"н/д"</x:f>
        <x:v>н/д</x:v>
      </x:c>
      <x:c r="AB848" s="20" t="str">
        <x:f>"н/д"</x:f>
        <x:v>н/д</x:v>
      </x:c>
      <x:c r="AC848" s="20" t="str">
        <x:f>IF(AND(J848="Рассчитано",T848&gt;0,R848&lt;100),(W848+P848+Q848)/(T848*(1-R848/100)),"н/д")</x:f>
        <x:v>н/д</x:v>
      </x:c>
      <x:c r="AD848" s="11" t="str">
        <x:f>IF(ISNUMBER(G848),IF(G848&lt;0,"Убыток",IF(G848=0,"Без прибыли","Прибыль &gt; 0")),"Не оценён")</x:f>
        <x:v>Не оценён</x:v>
      </x:c>
      <x:c r="AE848" s="12" t="str">
        <x:f>IF(J848="Рассчитано","Выручка "&amp;TEXT(V848,"0.00")&amp;" - себестоимость "&amp;TEXT(W848,"0.00")&amp;" - комиссия "&amp;TEXT(V848*R848/100,"0.00")&amp;" - доставка "&amp;TEXT(P848,"0.00")&amp;" - прочие "&amp;TEXT(Q848,"0.00")&amp;" = "&amp;TEXT(G848,"0.00")&amp;" "&amp;L848,"Введите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8" s="23" t="n">
        <x:v>0.5270040040949318</x:v>
      </x:c>
      <x:c r="AG848" s="35" t="n">
        <x:v>3</x:v>
      </x:c>
      <x:c r="AH848" s="35" t="n">
        <x:v>0</x:v>
      </x:c>
      <x:c r="AI848" s="29" t="n">
        <x:v>46266</x:v>
      </x:c>
      <x:c r="AJ848" s="35" t="n">
        <x:v>1</x:v>
      </x:c>
      <x:c r="AK848" s="11" t="str">
        <x:v>минимум</x:v>
      </x:c>
      <x:c r="AL848" s="31" t="n">
        <x:v>484.0903039219252</x:v>
      </x:c>
      <x:c r="AM848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848" s="12" t="str">
        <x:v>Проверить свободный остаток и установить цену для B2B</x:v>
      </x:c>
      <x:c r="AO848" s="12" t="str">
        <x:v>Остаток 3; прогноз 90 дней 0.53; избыток 2 шт. Будущие поступления не выставляются на продажу. Остаток на начало сентября: требуется актуализация.</x:v>
      </x:c>
      <x:c r="AP848" s="12" t="str">
        <x:v>["category_missing", "daily_stockout_data_missing", "new_order_lead_time_unknown", "reservations_unknown", "stale_stock", "stockout_proxy_used"]</x:v>
      </x:c>
      <x:c r="AQ848" s="11" t="str">
        <x:v>IEK:250200051_</x:v>
      </x:c>
      <x:c r="AR848" s="23" t="n">
        <x:v>1</x:v>
      </x:c>
      <x:c r="AS848" s="23" t="n">
        <x:v>0</x:v>
      </x:c>
      <x:c r="AT848" s="23" t="n">
        <x:v>0</x:v>
      </x:c>
    </x:row>
    <x:row r="849" ht="64" customHeight="1">
      <x:c r="A849" s="10" t="str">
        <x:v>IEK</x:v>
      </x:c>
      <x:c r="B849" s="34" t="str">
        <x:v>250200054_</x:v>
      </x:c>
      <x:c r="C849" s="34" t="str">
        <x:v>YKM40-07-54</x:v>
      </x:c>
      <x:c r="D849" s="13" t="str">
        <x:v>ЩМП- 7 IP 54 (1415х665х295) IEK</x:v>
      </x:c>
      <x:c r="E849" s="10" t="str">
        <x:v>шт</x:v>
      </x:c>
      <x:c r="F849" s="37" t="n">
        <x:f>MAX(0,ROUNDDOWN((AG849-AF849)/AR849+0.000000001,0)*AR849)</x:f>
        <x:v>1</x:v>
      </x:c>
      <x:c r="G849" s="21" t="str">
        <x:f>IF(J849="Рассчитано",V849*(1-R849/100)-W849-P849-Q849,"н/д")</x:f>
        <x:v>н/д</x:v>
      </x:c>
      <x:c r="H849" s="13" t="str">
        <x:v>Высокий</x:v>
      </x:c>
      <x:c r="I849" s="13" t="str">
        <x:v>Высокий</x:v>
      </x:c>
      <x:c r="J849" s="13" t="str">
        <x:f>IF(L849="","Укажите валюту",IF(NOT(ISNUMBER(K849)),"Укажите объём",IF(K849&lt;=0,"Укажите объём",IF(K849&gt;F849,"Объём выше излишка",IF(COUNT(M849:O849)&lt;3,"Нужны цены",IF(COUNT(P849:R849)&lt;3,"Нужны расходы",IF(OR(M849&lt;0,N849&lt;0,O849&lt;0,O849&gt;100,P849&lt;0,Q849&lt;0,R849&lt;0,R849&gt;100),"Проверьте значения","Рассчитано")))))))</x:f>
        <x:v>Нужны цены</x:v>
      </x:c>
      <x:c r="K849" s="36" t="n">
        <x:v>1</x:v>
      </x:c>
      <x:c r="L849" s="19" t="str">
        <x:v>KZT</x:v>
      </x:c>
      <x:c r="M849" s="22"/>
      <x:c r="N849" s="22"/>
      <x:c r="O849" s="28"/>
      <x:c r="P849" s="22"/>
      <x:c r="Q849" s="22"/>
      <x:c r="R849" s="28"/>
      <x:c r="S849" s="22"/>
      <x:c r="T849" s="37" t="n">
        <x:f>K849</x:f>
        <x:v>1</x:v>
      </x:c>
      <x:c r="U849" s="21" t="str">
        <x:f>IF(J849="Рассчитано",N849*(1-O849/100),"н/д")</x:f>
        <x:v>н/д</x:v>
      </x:c>
      <x:c r="V849" s="21" t="str">
        <x:f>IF(J849="Рассчитано",T849*U849,"н/д")</x:f>
        <x:v>н/д</x:v>
      </x:c>
      <x:c r="W849" s="21" t="str">
        <x:f>IF(J849="Рассчитано",T849*M849,"н/д")</x:f>
        <x:v>н/д</x:v>
      </x:c>
      <x:c r="X849" s="21" t="str">
        <x:f>IF(J849="Рассчитано",V849-W849,"н/д")</x:f>
        <x:v>н/д</x:v>
      </x:c>
      <x:c r="Y849" s="27" t="str">
        <x:f>IF(J849="Рассчитано",IF(V849&gt;0,G849/V849,"н/д"),"н/д")</x:f>
        <x:v>н/д</x:v>
      </x:c>
      <x:c r="Z849" s="21" t="str">
        <x:f>"н/д"</x:f>
        <x:v>н/д</x:v>
      </x:c>
      <x:c r="AA849" s="21" t="str">
        <x:f>"н/д"</x:f>
        <x:v>н/д</x:v>
      </x:c>
      <x:c r="AB849" s="21" t="str">
        <x:f>"н/д"</x:f>
        <x:v>н/д</x:v>
      </x:c>
      <x:c r="AC849" s="21" t="str">
        <x:f>IF(AND(J849="Рассчитано",T849&gt;0,R849&lt;100),(W849+P849+Q849)/(T849*(1-R849/100)),"н/д")</x:f>
        <x:v>н/д</x:v>
      </x:c>
      <x:c r="AD849" s="10" t="str">
        <x:f>IF(ISNUMBER(G849),IF(G849&lt;0,"Убыток",IF(G849=0,"Без прибыли","Прибыль &gt; 0")),"Не оценён")</x:f>
        <x:v>Не оценён</x:v>
      </x:c>
      <x:c r="AE849" s="13" t="str">
        <x:f>IF(J849="Рассчитано","Выручка "&amp;TEXT(V849,"0.00")&amp;" - себестоимость "&amp;TEXT(W849,"0.00")&amp;" - комиссия "&amp;TEXT(V849*R849/100,"0.00")&amp;" - доставка "&amp;TEXT(P849,"0.00")&amp;" - прочие "&amp;TEXT(Q849,"0.00")&amp;" = "&amp;TEXT(G849,"0.00")&amp;" "&amp;L849,"Введите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9" s="24" t="n">
        <x:v>0.38095578590622664</x:v>
      </x:c>
      <x:c r="AG849" s="37" t="n">
        <x:v>2</x:v>
      </x:c>
      <x:c r="AH849" s="37" t="n">
        <x:v>0</x:v>
      </x:c>
      <x:c r="AI849" s="30" t="n">
        <x:v>46266</x:v>
      </x:c>
      <x:c r="AJ849" s="37" t="n">
        <x:v>1</x:v>
      </x:c>
      <x:c r="AK849" s="10" t="str">
        <x:v>минимум</x:v>
      </x:c>
      <x:c r="AL849" s="32" t="n">
        <x:v>446.45168450630473</x:v>
      </x:c>
      <x:c r="AM84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49" s="13" t="str">
        <x:v>Проверить свободный остаток и установить цену для B2B</x:v>
      </x:c>
      <x:c r="AO849" s="13" t="str">
        <x:v>Остаток 2; прогноз 90 дней 0.38; избыток 1 шт. Будущие поступления не выставляются на продажу. Остаток на начало сентября: требуется актуализация.</x:v>
      </x:c>
      <x:c r="AP849" s="13" t="str">
        <x:v>["category_missing", "daily_stockout_data_missing", "new_order_lead_time_unknown", "reservations_unknown", "stale_stock"]</x:v>
      </x:c>
      <x:c r="AQ849" s="10" t="str">
        <x:v>IEK:250200054_</x:v>
      </x:c>
      <x:c r="AR849" s="24" t="n">
        <x:v>1</x:v>
      </x:c>
      <x:c r="AS849" s="24" t="n">
        <x:v>0</x:v>
      </x:c>
      <x:c r="AT849" s="24" t="n">
        <x:v>0</x:v>
      </x:c>
    </x:row>
    <x:row r="850" ht="64" customHeight="1">
      <x:c r="A850" s="11" t="str">
        <x:v>IEK</x:v>
      </x:c>
      <x:c r="B850" s="33" t="str">
        <x:v>250200077_</x:v>
      </x:c>
      <x:c r="C850" s="33" t="str">
        <x:v>MKM14-N-72-31-Z</x:v>
      </x:c>
      <x:c r="D850" s="12" t="str">
        <x:v>ЩРН-72з (540x600x120) IEK</x:v>
      </x:c>
      <x:c r="E850" s="11" t="str">
        <x:v>шт</x:v>
      </x:c>
      <x:c r="F850" s="35" t="n">
        <x:f>MAX(0,ROUNDDOWN((AG850-AF850)/AR850+0.000000001,0)*AR850)</x:f>
        <x:v>4</x:v>
      </x:c>
      <x:c r="G850" s="20" t="str">
        <x:f>IF(J850="Рассчитано",V850*(1-R850/100)-W850-P850-Q850,"н/д")</x:f>
        <x:v>н/д</x:v>
      </x:c>
      <x:c r="H850" s="12" t="str">
        <x:v>Высокий</x:v>
      </x:c>
      <x:c r="I850" s="12" t="str">
        <x:v>Высокий</x:v>
      </x:c>
      <x:c r="J850" s="12" t="str">
        <x:f>IF(L850="","Укажите валюту",IF(NOT(ISNUMBER(K850)),"Укажите объём",IF(K850&lt;=0,"Укажите объём",IF(K850&gt;F850,"Объём выше излишка",IF(COUNT(M850:O850)&lt;3,"Нужны цены",IF(COUNT(P850:R850)&lt;3,"Нужны расходы",IF(OR(M850&lt;0,N850&lt;0,O850&lt;0,O850&gt;100,P850&lt;0,Q850&lt;0,R850&lt;0,R850&gt;100),"Проверьте значения","Рассчитано")))))))</x:f>
        <x:v>Нужны цены</x:v>
      </x:c>
      <x:c r="K850" s="36" t="n">
        <x:v>4</x:v>
      </x:c>
      <x:c r="L850" s="19" t="str">
        <x:v>KZT</x:v>
      </x:c>
      <x:c r="M850" s="22"/>
      <x:c r="N850" s="22"/>
      <x:c r="O850" s="28"/>
      <x:c r="P850" s="22"/>
      <x:c r="Q850" s="22"/>
      <x:c r="R850" s="28"/>
      <x:c r="S850" s="22"/>
      <x:c r="T850" s="35" t="n">
        <x:f>K850</x:f>
        <x:v>4</x:v>
      </x:c>
      <x:c r="U850" s="20" t="str">
        <x:f>IF(J850="Рассчитано",N850*(1-O850/100),"н/д")</x:f>
        <x:v>н/д</x:v>
      </x:c>
      <x:c r="V850" s="20" t="str">
        <x:f>IF(J850="Рассчитано",T850*U850,"н/д")</x:f>
        <x:v>н/д</x:v>
      </x:c>
      <x:c r="W850" s="20" t="str">
        <x:f>IF(J850="Рассчитано",T850*M850,"н/д")</x:f>
        <x:v>н/д</x:v>
      </x:c>
      <x:c r="X850" s="20" t="str">
        <x:f>IF(J850="Рассчитано",V850-W850,"н/д")</x:f>
        <x:v>н/д</x:v>
      </x:c>
      <x:c r="Y850" s="26" t="str">
        <x:f>IF(J850="Рассчитано",IF(V850&gt;0,G850/V850,"н/д"),"н/д")</x:f>
        <x:v>н/д</x:v>
      </x:c>
      <x:c r="Z850" s="20" t="str">
        <x:f>"н/д"</x:f>
        <x:v>н/д</x:v>
      </x:c>
      <x:c r="AA850" s="20" t="str">
        <x:f>"н/д"</x:f>
        <x:v>н/д</x:v>
      </x:c>
      <x:c r="AB850" s="20" t="str">
        <x:f>"н/д"</x:f>
        <x:v>н/д</x:v>
      </x:c>
      <x:c r="AC850" s="20" t="str">
        <x:f>IF(AND(J850="Рассчитано",T850&gt;0,R850&lt;100),(W850+P850+Q850)/(T850*(1-R850/100)),"н/д")</x:f>
        <x:v>н/д</x:v>
      </x:c>
      <x:c r="AD850" s="11" t="str">
        <x:f>IF(ISNUMBER(G850),IF(G850&lt;0,"Убыток",IF(G850=0,"Без прибыли","Прибыль &gt; 0")),"Не оценён")</x:f>
        <x:v>Не оценён</x:v>
      </x:c>
      <x:c r="AE850" s="12" t="str">
        <x:f>IF(J850="Рассчитано","Выручка "&amp;TEXT(V850,"0.00")&amp;" - себестоимость "&amp;TEXT(W850,"0.00")&amp;" - комиссия "&amp;TEXT(V850*R850/100,"0.00")&amp;" - доставка "&amp;TEXT(P850,"0.00")&amp;" - прочие "&amp;TEXT(Q850,"0.00")&amp;" = "&amp;TEXT(G850,"0.00")&amp;" "&amp;L850,"Введите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0" s="23" t="n">
        <x:v>2.092099743313304</x:v>
      </x:c>
      <x:c r="AG850" s="35" t="n">
        <x:v>7</x:v>
      </x:c>
      <x:c r="AH850" s="35" t="n">
        <x:v>0</x:v>
      </x:c>
      <x:c r="AI850" s="29" t="n">
        <x:v>46266</x:v>
      </x:c>
      <x:c r="AJ850" s="35" t="n">
        <x:v>1</x:v>
      </x:c>
      <x:c r="AK850" s="11" t="str">
        <x:v>минимум</x:v>
      </x:c>
      <x:c r="AL850" s="31" t="n">
        <x:v>284.53434645910073</x:v>
      </x:c>
      <x:c r="AM8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50" s="12" t="str">
        <x:v>Проверить свободный остаток и установить цену для B2B</x:v>
      </x:c>
      <x:c r="AO850" s="12" t="str">
        <x:v>Остаток 7; прогноз 90 дней 2.09; избыток 4 шт. Будущие поступления не выставляются на продажу. Остаток на начало сентября: требуется актуализация.</x:v>
      </x:c>
      <x:c r="AP850" s="12" t="str">
        <x:v>["category_missing", "daily_stockout_data_missing", "new_order_lead_time_unknown", "reservations_unknown", "stale_stock"]</x:v>
      </x:c>
      <x:c r="AQ850" s="11" t="str">
        <x:v>IEK:250200077_</x:v>
      </x:c>
      <x:c r="AR850" s="23" t="n">
        <x:v>1</x:v>
      </x:c>
      <x:c r="AS850" s="23" t="n">
        <x:v>0</x:v>
      </x:c>
      <x:c r="AT850" s="23" t="n">
        <x:v>0</x:v>
      </x:c>
    </x:row>
    <x:row r="851" ht="64" customHeight="1">
      <x:c r="A851" s="10" t="str">
        <x:v>IEK</x:v>
      </x:c>
      <x:c r="B851" s="34" t="str">
        <x:v>250200078_</x:v>
      </x:c>
      <x:c r="C851" s="34" t="str">
        <x:v>MKM42-03-31</x:v>
      </x:c>
      <x:c r="D851" s="13" t="str">
        <x:v>ЩЭ 3 (1010x970x155) IP31 IEK</x:v>
      </x:c>
      <x:c r="E851" s="10" t="str">
        <x:v>шт</x:v>
      </x:c>
      <x:c r="F851" s="37" t="n">
        <x:f>MAX(0,ROUNDDOWN((AG851-AF851)/AR851+0.000000001,0)*AR851)</x:f>
        <x:v>14</x:v>
      </x:c>
      <x:c r="G851" s="21" t="str">
        <x:f>IF(J851="Рассчитано",V851*(1-R851/100)-W851-P851-Q851,"н/д")</x:f>
        <x:v>н/д</x:v>
      </x:c>
      <x:c r="H851" s="13" t="str">
        <x:v>Высокий</x:v>
      </x:c>
      <x:c r="I851" s="13" t="str">
        <x:v>Высокий</x:v>
      </x:c>
      <x:c r="J851" s="13" t="str">
        <x:f>IF(L851="","Укажите валюту",IF(NOT(ISNUMBER(K851)),"Укажите объём",IF(K851&lt;=0,"Укажите объём",IF(K851&gt;F851,"Объём выше излишка",IF(COUNT(M851:O851)&lt;3,"Нужны цены",IF(COUNT(P851:R851)&lt;3,"Нужны расходы",IF(OR(M851&lt;0,N851&lt;0,O851&lt;0,O851&gt;100,P851&lt;0,Q851&lt;0,R851&lt;0,R851&gt;100),"Проверьте значения","Рассчитано")))))))</x:f>
        <x:v>Нужны цены</x:v>
      </x:c>
      <x:c r="K851" s="36" t="n">
        <x:v>14</x:v>
      </x:c>
      <x:c r="L851" s="19" t="str">
        <x:v>KZT</x:v>
      </x:c>
      <x:c r="M851" s="22"/>
      <x:c r="N851" s="22"/>
      <x:c r="O851" s="28"/>
      <x:c r="P851" s="22"/>
      <x:c r="Q851" s="22"/>
      <x:c r="R851" s="28"/>
      <x:c r="S851" s="22"/>
      <x:c r="T851" s="37" t="n">
        <x:f>K851</x:f>
        <x:v>14</x:v>
      </x:c>
      <x:c r="U851" s="21" t="str">
        <x:f>IF(J851="Рассчитано",N851*(1-O851/100),"н/д")</x:f>
        <x:v>н/д</x:v>
      </x:c>
      <x:c r="V851" s="21" t="str">
        <x:f>IF(J851="Рассчитано",T851*U851,"н/д")</x:f>
        <x:v>н/д</x:v>
      </x:c>
      <x:c r="W851" s="21" t="str">
        <x:f>IF(J851="Рассчитано",T851*M851,"н/д")</x:f>
        <x:v>н/д</x:v>
      </x:c>
      <x:c r="X851" s="21" t="str">
        <x:f>IF(J851="Рассчитано",V851-W851,"н/д")</x:f>
        <x:v>н/д</x:v>
      </x:c>
      <x:c r="Y851" s="27" t="str">
        <x:f>IF(J851="Рассчитано",IF(V851&gt;0,G851/V851,"н/д"),"н/д")</x:f>
        <x:v>н/д</x:v>
      </x:c>
      <x:c r="Z851" s="21" t="str">
        <x:f>"н/д"</x:f>
        <x:v>н/д</x:v>
      </x:c>
      <x:c r="AA851" s="21" t="str">
        <x:f>"н/д"</x:f>
        <x:v>н/д</x:v>
      </x:c>
      <x:c r="AB851" s="21" t="str">
        <x:f>"н/д"</x:f>
        <x:v>н/д</x:v>
      </x:c>
      <x:c r="AC851" s="21" t="str">
        <x:f>IF(AND(J851="Рассчитано",T851&gt;0,R851&lt;100),(W851+P851+Q851)/(T851*(1-R851/100)),"н/д")</x:f>
        <x:v>н/д</x:v>
      </x:c>
      <x:c r="AD851" s="10" t="str">
        <x:f>IF(ISNUMBER(G851),IF(G851&lt;0,"Убыток",IF(G851=0,"Без прибыли","Прибыль &gt; 0")),"Не оценён")</x:f>
        <x:v>Не оценён</x:v>
      </x:c>
      <x:c r="AE851" s="13" t="str">
        <x:f>IF(J851="Рассчитано","Выручка "&amp;TEXT(V851,"0.00")&amp;" - себестоимость "&amp;TEXT(W851,"0.00")&amp;" - комиссия "&amp;TEXT(V851*R851/100,"0.00")&amp;" - доставка "&amp;TEXT(P851,"0.00")&amp;" - прочие "&amp;TEXT(Q851,"0.00")&amp;" = "&amp;TEXT(G851,"0.00")&amp;" "&amp;L851,"Введите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1" s="24" t="n">
        <x:v>0</x:v>
      </x:c>
      <x:c r="AG851" s="37" t="n">
        <x:v>14</x:v>
      </x:c>
      <x:c r="AH851" s="37" t="n">
        <x:v>0</x:v>
      </x:c>
      <x:c r="AI851" s="30" t="n">
        <x:v>46266</x:v>
      </x:c>
      <x:c r="AJ851" s="37" t="n">
        <x:v>1</x:v>
      </x:c>
      <x:c r="AK851" s="10" t="str">
        <x:v>минимум</x:v>
      </x:c>
      <x:c r="AL851" s="32" t="str">
        <x:v>н/д</x:v>
      </x:c>
      <x:c r="AM85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851" s="13" t="str">
        <x:v>Проверить свободный остаток и установить цену для B2B</x:v>
      </x:c>
      <x:c r="AO851" s="13" t="str">
        <x:v>Остаток 14; прогноз 90 дней 0.00; избыток 14 шт. Будущие поступления не выставляются на продажу. Остаток на начало сентября: требуется актуализация.</x:v>
      </x:c>
      <x:c r="AP851" s="13" t="str">
        <x:v>["category_missing", "daily_stockout_data_missing", "new_order_lead_time_unknown", "reservations_unknown", "stale_stock"]</x:v>
      </x:c>
      <x:c r="AQ851" s="10" t="str">
        <x:v>IEK:250200078_</x:v>
      </x:c>
      <x:c r="AR851" s="24" t="n">
        <x:v>1</x:v>
      </x:c>
      <x:c r="AS851" s="24" t="n">
        <x:v>0</x:v>
      </x:c>
      <x:c r="AT851" s="24" t="n">
        <x:v>0</x:v>
      </x:c>
    </x:row>
    <x:row r="852" ht="64" customHeight="1">
      <x:c r="A852" s="11" t="str">
        <x:v>IEK</x:v>
      </x:c>
      <x:c r="B852" s="33" t="str">
        <x:v>250600001_</x:v>
      </x:c>
      <x:c r="C852" s="33" t="str">
        <x:v>MKP12-V-12-40-10</x:v>
      </x:c>
      <x:c r="D852" s="12" t="str">
        <x:v>ЩРВ-П 12 IEK (10) MKP12-V-04-12-41</x:v>
      </x:c>
      <x:c r="E852" s="11" t="str">
        <x:v>шт</x:v>
      </x:c>
      <x:c r="F852" s="35" t="n">
        <x:f>MAX(0,ROUNDDOWN((AG852-AF852)/AR852+0.000000001,0)*AR852)</x:f>
        <x:v>35</x:v>
      </x:c>
      <x:c r="G852" s="20" t="str">
        <x:f>IF(J852="Рассчитано",V852*(1-R852/100)-W852-P852-Q852,"н/д")</x:f>
        <x:v>н/д</x:v>
      </x:c>
      <x:c r="H852" s="12" t="str">
        <x:v>Высокий</x:v>
      </x:c>
      <x:c r="I852" s="12" t="str">
        <x:v>Средний</x:v>
      </x:c>
      <x:c r="J852" s="12" t="str">
        <x:f>IF(L852="","Укажите валюту",IF(NOT(ISNUMBER(K852)),"Укажите объём",IF(K852&lt;=0,"Укажите объём",IF(K852&gt;F852,"Объём выше излишка",IF(COUNT(M852:O852)&lt;3,"Нужны цены",IF(COUNT(P852:R852)&lt;3,"Нужны расходы",IF(OR(M852&lt;0,N852&lt;0,O852&lt;0,O852&gt;100,P852&lt;0,Q852&lt;0,R852&lt;0,R852&gt;100),"Проверьте значения","Рассчитано")))))))</x:f>
        <x:v>Нужны цены</x:v>
      </x:c>
      <x:c r="K852" s="36" t="n">
        <x:v>35</x:v>
      </x:c>
      <x:c r="L852" s="19" t="str">
        <x:v>KZT</x:v>
      </x:c>
      <x:c r="M852" s="22"/>
      <x:c r="N852" s="22"/>
      <x:c r="O852" s="28"/>
      <x:c r="P852" s="22"/>
      <x:c r="Q852" s="22"/>
      <x:c r="R852" s="28"/>
      <x:c r="S852" s="22"/>
      <x:c r="T852" s="35" t="n">
        <x:f>K852</x:f>
        <x:v>35</x:v>
      </x:c>
      <x:c r="U852" s="20" t="str">
        <x:f>IF(J852="Рассчитано",N852*(1-O852/100),"н/д")</x:f>
        <x:v>н/д</x:v>
      </x:c>
      <x:c r="V852" s="20" t="str">
        <x:f>IF(J852="Рассчитано",T852*U852,"н/д")</x:f>
        <x:v>н/д</x:v>
      </x:c>
      <x:c r="W852" s="20" t="str">
        <x:f>IF(J852="Рассчитано",T852*M852,"н/д")</x:f>
        <x:v>н/д</x:v>
      </x:c>
      <x:c r="X852" s="20" t="str">
        <x:f>IF(J852="Рассчитано",V852-W852,"н/д")</x:f>
        <x:v>н/д</x:v>
      </x:c>
      <x:c r="Y852" s="26" t="str">
        <x:f>IF(J852="Рассчитано",IF(V852&gt;0,G852/V852,"н/д"),"н/д")</x:f>
        <x:v>н/д</x:v>
      </x:c>
      <x:c r="Z852" s="20" t="str">
        <x:f>"н/д"</x:f>
        <x:v>н/д</x:v>
      </x:c>
      <x:c r="AA852" s="20" t="str">
        <x:f>"н/д"</x:f>
        <x:v>н/д</x:v>
      </x:c>
      <x:c r="AB852" s="20" t="str">
        <x:f>"н/д"</x:f>
        <x:v>н/д</x:v>
      </x:c>
      <x:c r="AC852" s="20" t="str">
        <x:f>IF(AND(J852="Рассчитано",T852&gt;0,R852&lt;100),(W852+P852+Q852)/(T852*(1-R852/100)),"н/д")</x:f>
        <x:v>н/д</x:v>
      </x:c>
      <x:c r="AD852" s="11" t="str">
        <x:f>IF(ISNUMBER(G852),IF(G852&lt;0,"Убыток",IF(G852=0,"Без прибыли","Прибыль &gt; 0")),"Не оценён")</x:f>
        <x:v>Не оценён</x:v>
      </x:c>
      <x:c r="AE852" s="12" t="str">
        <x:f>IF(J852="Рассчитано","Выручка "&amp;TEXT(V852,"0.00")&amp;" - себестоимость "&amp;TEXT(W852,"0.00")&amp;" - комиссия "&amp;TEXT(V852*R852/100,"0.00")&amp;" - доставка "&amp;TEXT(P852,"0.00")&amp;" - прочие "&amp;TEXT(Q852,"0.00")&amp;" = "&amp;TEXT(G852,"0.00")&amp;" "&amp;L852,"Введите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2" s="23" t="n">
        <x:v>60.849510575843425</x:v>
      </x:c>
      <x:c r="AG852" s="35" t="n">
        <x:v>96</x:v>
      </x:c>
      <x:c r="AH852" s="35" t="n">
        <x:v>0</x:v>
      </x:c>
      <x:c r="AI852" s="29" t="n">
        <x:v>46266</x:v>
      </x:c>
      <x:c r="AJ852" s="35" t="n">
        <x:v>10</x:v>
      </x:c>
      <x:c r="AK852" s="11" t="str">
        <x:v>минимум</x:v>
      </x:c>
      <x:c r="AL852" s="31" t="n">
        <x:v>134.1631318818415</x:v>
      </x:c>
      <x:c r="AM852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52" s="12" t="str">
        <x:v>Проверить свободный остаток и установить цену для B2B</x:v>
      </x:c>
      <x:c r="AO852" s="12" t="str">
        <x:v>Остаток 96; прогноз 90 дней 60.85; избыток 35 шт. Будущие поступления не выставляются на продажу. Остаток на начало сентября: требуется актуализация.</x:v>
      </x:c>
      <x:c r="AP852" s="12" t="str">
        <x:v>["category_missing", "daily_stockout_data_missing", "large_orders_detected", "new_order_lead_time_unknown", "reservations_unknown", "stale_stock", "transaction_month_mismatch"]</x:v>
      </x:c>
      <x:c r="AQ852" s="11" t="str">
        <x:v>IEK:250600001_</x:v>
      </x:c>
      <x:c r="AR852" s="23" t="n">
        <x:v>1</x:v>
      </x:c>
      <x:c r="AS852" s="23" t="n">
        <x:v>0</x:v>
      </x:c>
      <x:c r="AT852" s="23" t="n">
        <x:v>0</x:v>
      </x:c>
    </x:row>
    <x:row r="853" ht="64" customHeight="1">
      <x:c r="A853" s="10" t="str">
        <x:v>IEK</x:v>
      </x:c>
      <x:c r="B853" s="34" t="str">
        <x:v>250600002_</x:v>
      </x:c>
      <x:c r="C853" s="34" t="str">
        <x:v>MKP12-V-18-40-10</x:v>
      </x:c>
      <x:c r="D853" s="13" t="str">
        <x:v>ЩРВ-П 18 IEK (10) MKP12-V-04-18-41</x:v>
      </x:c>
      <x:c r="E853" s="10" t="str">
        <x:v>шт</x:v>
      </x:c>
      <x:c r="F853" s="37" t="n">
        <x:f>MAX(0,ROUNDDOWN((AG853-AF853)/AR853+0.000000001,0)*AR853)</x:f>
        <x:v>39</x:v>
      </x:c>
      <x:c r="G853" s="21" t="str">
        <x:f>IF(J853="Рассчитано",V853*(1-R853/100)-W853-P853-Q853,"н/д")</x:f>
        <x:v>н/д</x:v>
      </x:c>
      <x:c r="H853" s="13" t="str">
        <x:v>Высокий</x:v>
      </x:c>
      <x:c r="I853" s="13" t="str">
        <x:v>Высокий</x:v>
      </x:c>
      <x:c r="J853" s="13" t="str">
        <x:f>IF(L853="","Укажите валюту",IF(NOT(ISNUMBER(K853)),"Укажите объём",IF(K853&lt;=0,"Укажите объём",IF(K853&gt;F853,"Объём выше излишка",IF(COUNT(M853:O853)&lt;3,"Нужны цены",IF(COUNT(P853:R853)&lt;3,"Нужны расходы",IF(OR(M853&lt;0,N853&lt;0,O853&lt;0,O853&gt;100,P853&lt;0,Q853&lt;0,R853&lt;0,R853&gt;100),"Проверьте значения","Рассчитано")))))))</x:f>
        <x:v>Нужны цены</x:v>
      </x:c>
      <x:c r="K853" s="36" t="n">
        <x:v>39</x:v>
      </x:c>
      <x:c r="L853" s="19" t="str">
        <x:v>KZT</x:v>
      </x:c>
      <x:c r="M853" s="22"/>
      <x:c r="N853" s="22"/>
      <x:c r="O853" s="28"/>
      <x:c r="P853" s="22"/>
      <x:c r="Q853" s="22"/>
      <x:c r="R853" s="28"/>
      <x:c r="S853" s="22"/>
      <x:c r="T853" s="37" t="n">
        <x:f>K853</x:f>
        <x:v>39</x:v>
      </x:c>
      <x:c r="U853" s="21" t="str">
        <x:f>IF(J853="Рассчитано",N853*(1-O853/100),"н/д")</x:f>
        <x:v>н/д</x:v>
      </x:c>
      <x:c r="V853" s="21" t="str">
        <x:f>IF(J853="Рассчитано",T853*U853,"н/д")</x:f>
        <x:v>н/д</x:v>
      </x:c>
      <x:c r="W853" s="21" t="str">
        <x:f>IF(J853="Рассчитано",T853*M853,"н/д")</x:f>
        <x:v>н/д</x:v>
      </x:c>
      <x:c r="X853" s="21" t="str">
        <x:f>IF(J853="Рассчитано",V853-W853,"н/д")</x:f>
        <x:v>н/д</x:v>
      </x:c>
      <x:c r="Y853" s="27" t="str">
        <x:f>IF(J853="Рассчитано",IF(V853&gt;0,G853/V853,"н/д"),"н/д")</x:f>
        <x:v>н/д</x:v>
      </x:c>
      <x:c r="Z853" s="21" t="str">
        <x:f>"н/д"</x:f>
        <x:v>н/д</x:v>
      </x:c>
      <x:c r="AA853" s="21" t="str">
        <x:f>"н/д"</x:f>
        <x:v>н/д</x:v>
      </x:c>
      <x:c r="AB853" s="21" t="str">
        <x:f>"н/д"</x:f>
        <x:v>н/д</x:v>
      </x:c>
      <x:c r="AC853" s="21" t="str">
        <x:f>IF(AND(J853="Рассчитано",T853&gt;0,R853&lt;100),(W853+P853+Q853)/(T853*(1-R853/100)),"н/д")</x:f>
        <x:v>н/д</x:v>
      </x:c>
      <x:c r="AD853" s="10" t="str">
        <x:f>IF(ISNUMBER(G853),IF(G853&lt;0,"Убыток",IF(G853=0,"Без прибыли","Прибыль &gt; 0")),"Не оценён")</x:f>
        <x:v>Не оценён</x:v>
      </x:c>
      <x:c r="AE853" s="13" t="str">
        <x:f>IF(J853="Рассчитано","Выручка "&amp;TEXT(V853,"0.00")&amp;" - себестоимость "&amp;TEXT(W853,"0.00")&amp;" - комиссия "&amp;TEXT(V853*R853/100,"0.00")&amp;" - доставка "&amp;TEXT(P853,"0.00")&amp;" - прочие "&amp;TEXT(Q853,"0.00")&amp;" = "&amp;TEXT(G853,"0.00")&amp;" "&amp;L853,"Введите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3" s="24" t="n">
        <x:v>32.026036148928064</x:v>
      </x:c>
      <x:c r="AG853" s="37" t="n">
        <x:v>72</x:v>
      </x:c>
      <x:c r="AH853" s="37" t="n">
        <x:v>0</x:v>
      </x:c>
      <x:c r="AI853" s="30" t="n">
        <x:v>46266</x:v>
      </x:c>
      <x:c r="AJ853" s="37" t="n">
        <x:v>10</x:v>
      </x:c>
      <x:c r="AK853" s="10" t="str">
        <x:v>минимум</x:v>
      </x:c>
      <x:c r="AL853" s="32" t="n">
        <x:v>191.18259455453207</x:v>
      </x:c>
      <x:c r="AM8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53" s="13" t="str">
        <x:v>Проверить свободный остаток и установить цену для B2B</x:v>
      </x:c>
      <x:c r="AO853" s="13" t="str">
        <x:v>Остаток 72; прогноз 90 дней 32.03; избыток 39 шт. Будущие поступления не выставляются на продажу. Остаток на начало сентября: требуется актуализация.</x:v>
      </x:c>
      <x:c r="AP853" s="13" t="str">
        <x:v>["category_missing", "daily_stockout_data_missing", "large_orders_detected", "new_order_lead_time_unknown", "reservations_unknown", "stale_stock"]</x:v>
      </x:c>
      <x:c r="AQ853" s="10" t="str">
        <x:v>IEK:250600002_</x:v>
      </x:c>
      <x:c r="AR853" s="24" t="n">
        <x:v>1</x:v>
      </x:c>
      <x:c r="AS853" s="24" t="n">
        <x:v>0</x:v>
      </x:c>
      <x:c r="AT853" s="24" t="n">
        <x:v>0</x:v>
      </x:c>
    </x:row>
    <x:row r="854" ht="64" customHeight="1">
      <x:c r="A854" s="11" t="str">
        <x:v>IEK</x:v>
      </x:c>
      <x:c r="B854" s="33" t="str">
        <x:v>250600003_</x:v>
      </x:c>
      <x:c r="C854" s="33" t="str">
        <x:v>MKP12-V-24-40-10</x:v>
      </x:c>
      <x:c r="D854" s="12" t="str">
        <x:v>ЩРВ-П 24 IEK (10) MKP12-V-04-24-41</x:v>
      </x:c>
      <x:c r="E854" s="11" t="str">
        <x:v>шт</x:v>
      </x:c>
      <x:c r="F854" s="35" t="n">
        <x:f>MAX(0,ROUNDDOWN((AG854-AF854)/AR854+0.000000001,0)*AR854)</x:f>
        <x:v>9</x:v>
      </x:c>
      <x:c r="G854" s="20" t="str">
        <x:f>IF(J854="Рассчитано",V854*(1-R854/100)-W854-P854-Q854,"н/д")</x:f>
        <x:v>н/д</x:v>
      </x:c>
      <x:c r="H854" s="12" t="str">
        <x:v>Высокий</x:v>
      </x:c>
      <x:c r="I854" s="12" t="str">
        <x:v>Средний</x:v>
      </x:c>
      <x:c r="J854" s="12" t="str">
        <x:f>IF(L854="","Укажите валюту",IF(NOT(ISNUMBER(K854)),"Укажите объём",IF(K854&lt;=0,"Укажите объём",IF(K854&gt;F854,"Объём выше излишка",IF(COUNT(M854:O854)&lt;3,"Нужны цены",IF(COUNT(P854:R854)&lt;3,"Нужны расходы",IF(OR(M854&lt;0,N854&lt;0,O854&lt;0,O854&gt;100,P854&lt;0,Q854&lt;0,R854&lt;0,R854&gt;100),"Проверьте значения","Рассчитано")))))))</x:f>
        <x:v>Нужны цены</x:v>
      </x:c>
      <x:c r="K854" s="36" t="n">
        <x:v>9</x:v>
      </x:c>
      <x:c r="L854" s="19" t="str">
        <x:v>KZT</x:v>
      </x:c>
      <x:c r="M854" s="22"/>
      <x:c r="N854" s="22"/>
      <x:c r="O854" s="28"/>
      <x:c r="P854" s="22"/>
      <x:c r="Q854" s="22"/>
      <x:c r="R854" s="28"/>
      <x:c r="S854" s="22"/>
      <x:c r="T854" s="35" t="n">
        <x:f>K854</x:f>
        <x:v>9</x:v>
      </x:c>
      <x:c r="U854" s="20" t="str">
        <x:f>IF(J854="Рассчитано",N854*(1-O854/100),"н/д")</x:f>
        <x:v>н/д</x:v>
      </x:c>
      <x:c r="V854" s="20" t="str">
        <x:f>IF(J854="Рассчитано",T854*U854,"н/д")</x:f>
        <x:v>н/д</x:v>
      </x:c>
      <x:c r="W854" s="20" t="str">
        <x:f>IF(J854="Рассчитано",T854*M854,"н/д")</x:f>
        <x:v>н/д</x:v>
      </x:c>
      <x:c r="X854" s="20" t="str">
        <x:f>IF(J854="Рассчитано",V854-W854,"н/д")</x:f>
        <x:v>н/д</x:v>
      </x:c>
      <x:c r="Y854" s="26" t="str">
        <x:f>IF(J854="Рассчитано",IF(V854&gt;0,G854/V854,"н/д"),"н/д")</x:f>
        <x:v>н/д</x:v>
      </x:c>
      <x:c r="Z854" s="20" t="str">
        <x:f>"н/д"</x:f>
        <x:v>н/д</x:v>
      </x:c>
      <x:c r="AA854" s="20" t="str">
        <x:f>"н/д"</x:f>
        <x:v>н/д</x:v>
      </x:c>
      <x:c r="AB854" s="20" t="str">
        <x:f>"н/д"</x:f>
        <x:v>н/д</x:v>
      </x:c>
      <x:c r="AC854" s="20" t="str">
        <x:f>IF(AND(J854="Рассчитано",T854&gt;0,R854&lt;100),(W854+P854+Q854)/(T854*(1-R854/100)),"н/д")</x:f>
        <x:v>н/д</x:v>
      </x:c>
      <x:c r="AD854" s="11" t="str">
        <x:f>IF(ISNUMBER(G854),IF(G854&lt;0,"Убыток",IF(G854=0,"Без прибыли","Прибыль &gt; 0")),"Не оценён")</x:f>
        <x:v>Не оценён</x:v>
      </x:c>
      <x:c r="AE854" s="12" t="str">
        <x:f>IF(J854="Рассчитано","Выручка "&amp;TEXT(V854,"0.00")&amp;" - себестоимость "&amp;TEXT(W854,"0.00")&amp;" - комиссия "&amp;TEXT(V854*R854/100,"0.00")&amp;" - доставка "&amp;TEXT(P854,"0.00")&amp;" - прочие "&amp;TEXT(Q854,"0.00")&amp;" = "&amp;TEXT(G854,"0.00")&amp;" "&amp;L854,"Введите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4" s="23" t="n">
        <x:v>40.53798966865327</x:v>
      </x:c>
      <x:c r="AG854" s="35" t="n">
        <x:v>50</x:v>
      </x:c>
      <x:c r="AH854" s="35" t="n">
        <x:v>10</x:v>
      </x:c>
      <x:c r="AI854" s="29" t="n">
        <x:v>46266</x:v>
      </x:c>
      <x:c r="AJ854" s="35" t="n">
        <x:v>10</x:v>
      </x:c>
      <x:c r="AK854" s="11" t="str">
        <x:v>минимум</x:v>
      </x:c>
      <x:c r="AL854" s="31" t="n">
        <x:v>104.88825033655655</x:v>
      </x:c>
      <x:c r="AM85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54" s="12" t="str">
        <x:v>Проверить свободный остаток и установить цену для B2B</x:v>
      </x:c>
      <x:c r="AO854" s="12" t="str">
        <x:v>Остаток 50; прогноз 90 дней 40.54; избыток 9 шт. Будущие поступления не выставляются на продажу. Остаток на начало сентября: требуется актуализация.</x:v>
      </x:c>
      <x:c r="AP854" s="12" t="str">
        <x:v>["category_missing", "daily_stockout_data_missing", "large_orders_detected", "new_order_lead_time_unknown", "reservations_unknown", "stale_stock", "transaction_month_mismatch"]</x:v>
      </x:c>
      <x:c r="AQ854" s="11" t="str">
        <x:v>IEK:250600003_</x:v>
      </x:c>
      <x:c r="AR854" s="23" t="n">
        <x:v>1</x:v>
      </x:c>
      <x:c r="AS854" s="23" t="n">
        <x:v>0</x:v>
      </x:c>
      <x:c r="AT854" s="23" t="n">
        <x:v>0</x:v>
      </x:c>
    </x:row>
    <x:row r="855" ht="64" customHeight="1">
      <x:c r="A855" s="10" t="str">
        <x:v>IEK</x:v>
      </x:c>
      <x:c r="B855" s="34" t="str">
        <x:v>250600005_</x:v>
      </x:c>
      <x:c r="C855" s="34" t="str">
        <x:v>MKP12-V-06-40-20</x:v>
      </x:c>
      <x:c r="D855" s="13" t="str">
        <x:v>ЩРВ-П  6 IEK (20) MKP12-V-04-06-41</x:v>
      </x:c>
      <x:c r="E855" s="10" t="str">
        <x:v>шт</x:v>
      </x:c>
      <x:c r="F855" s="37" t="n">
        <x:f>MAX(0,ROUNDDOWN((AG855-AF855)/AR855+0.000000001,0)*AR855)</x:f>
        <x:v>36</x:v>
      </x:c>
      <x:c r="G855" s="21" t="str">
        <x:f>IF(J855="Рассчитано",V855*(1-R855/100)-W855-P855-Q855,"н/д")</x:f>
        <x:v>н/д</x:v>
      </x:c>
      <x:c r="H855" s="13" t="str">
        <x:v>Высокий</x:v>
      </x:c>
      <x:c r="I855" s="13" t="str">
        <x:v>Высокий</x:v>
      </x:c>
      <x:c r="J855" s="13" t="str">
        <x:f>IF(L855="","Укажите валюту",IF(NOT(ISNUMBER(K855)),"Укажите объём",IF(K855&lt;=0,"Укажите объём",IF(K855&gt;F855,"Объём выше излишка",IF(COUNT(M855:O855)&lt;3,"Нужны цены",IF(COUNT(P855:R855)&lt;3,"Нужны расходы",IF(OR(M855&lt;0,N855&lt;0,O855&lt;0,O855&gt;100,P855&lt;0,Q855&lt;0,R855&lt;0,R855&gt;100),"Проверьте значения","Рассчитано")))))))</x:f>
        <x:v>Нужны цены</x:v>
      </x:c>
      <x:c r="K855" s="36" t="n">
        <x:v>36</x:v>
      </x:c>
      <x:c r="L855" s="19" t="str">
        <x:v>KZT</x:v>
      </x:c>
      <x:c r="M855" s="22"/>
      <x:c r="N855" s="22"/>
      <x:c r="O855" s="28"/>
      <x:c r="P855" s="22"/>
      <x:c r="Q855" s="22"/>
      <x:c r="R855" s="28"/>
      <x:c r="S855" s="22"/>
      <x:c r="T855" s="37" t="n">
        <x:f>K855</x:f>
        <x:v>36</x:v>
      </x:c>
      <x:c r="U855" s="21" t="str">
        <x:f>IF(J855="Рассчитано",N855*(1-O855/100),"н/д")</x:f>
        <x:v>н/д</x:v>
      </x:c>
      <x:c r="V855" s="21" t="str">
        <x:f>IF(J855="Рассчитано",T855*U855,"н/д")</x:f>
        <x:v>н/д</x:v>
      </x:c>
      <x:c r="W855" s="21" t="str">
        <x:f>IF(J855="Рассчитано",T855*M855,"н/д")</x:f>
        <x:v>н/д</x:v>
      </x:c>
      <x:c r="X855" s="21" t="str">
        <x:f>IF(J855="Рассчитано",V855-W855,"н/д")</x:f>
        <x:v>н/д</x:v>
      </x:c>
      <x:c r="Y855" s="27" t="str">
        <x:f>IF(J855="Рассчитано",IF(V855&gt;0,G855/V855,"н/д"),"н/д")</x:f>
        <x:v>н/д</x:v>
      </x:c>
      <x:c r="Z855" s="21" t="str">
        <x:f>"н/д"</x:f>
        <x:v>н/д</x:v>
      </x:c>
      <x:c r="AA855" s="21" t="str">
        <x:f>"н/д"</x:f>
        <x:v>н/д</x:v>
      </x:c>
      <x:c r="AB855" s="21" t="str">
        <x:f>"н/д"</x:f>
        <x:v>н/д</x:v>
      </x:c>
      <x:c r="AC855" s="21" t="str">
        <x:f>IF(AND(J855="Рассчитано",T855&gt;0,R855&lt;100),(W855+P855+Q855)/(T855*(1-R855/100)),"н/д")</x:f>
        <x:v>н/д</x:v>
      </x:c>
      <x:c r="AD855" s="10" t="str">
        <x:f>IF(ISNUMBER(G855),IF(G855&lt;0,"Убыток",IF(G855=0,"Без прибыли","Прибыль &gt; 0")),"Не оценён")</x:f>
        <x:v>Не оценён</x:v>
      </x:c>
      <x:c r="AE855" s="13" t="str">
        <x:f>IF(J855="Рассчитано","Выручка "&amp;TEXT(V855,"0.00")&amp;" - себестоимость "&amp;TEXT(W855,"0.00")&amp;" - комиссия "&amp;TEXT(V855*R855/100,"0.00")&amp;" - доставка "&amp;TEXT(P855,"0.00")&amp;" - прочие "&amp;TEXT(Q855,"0.00")&amp;" = "&amp;TEXT(G855,"0.00")&amp;" "&amp;L855,"Введите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5" s="24" t="n">
        <x:v>5.781650268441326</x:v>
      </x:c>
      <x:c r="AG855" s="37" t="n">
        <x:v>42</x:v>
      </x:c>
      <x:c r="AH855" s="37" t="n">
        <x:v>0</x:v>
      </x:c>
      <x:c r="AI855" s="30" t="n">
        <x:v>46266</x:v>
      </x:c>
      <x:c r="AJ855" s="37" t="n">
        <x:v>20</x:v>
      </x:c>
      <x:c r="AK855" s="10" t="str">
        <x:v>минимум</x:v>
      </x:c>
      <x:c r="AL855" s="32" t="n">
        <x:v>617.7553524191818</x:v>
      </x:c>
      <x:c r="AM85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55" s="13" t="str">
        <x:v>Проверить свободный остаток и установить цену для B2B</x:v>
      </x:c>
      <x:c r="AO855" s="13" t="str">
        <x:v>Остаток 42; прогноз 90 дней 5.78; избыток 36 шт. Будущие поступления не выставляются на продажу. Остаток на начало сентября: требуется актуализация.</x:v>
      </x:c>
      <x:c r="AP855" s="13" t="str">
        <x:v>["category_missing", "daily_stockout_data_missing", "new_order_lead_time_unknown", "reservations_unknown", "stale_stock"]</x:v>
      </x:c>
      <x:c r="AQ855" s="10" t="str">
        <x:v>IEK:250600005_</x:v>
      </x:c>
      <x:c r="AR855" s="24" t="n">
        <x:v>1</x:v>
      </x:c>
      <x:c r="AS855" s="24" t="n">
        <x:v>0</x:v>
      </x:c>
      <x:c r="AT855" s="24" t="n">
        <x:v>0</x:v>
      </x:c>
    </x:row>
    <x:row r="856" ht="64" customHeight="1">
      <x:c r="A856" s="11" t="str">
        <x:v>IEK</x:v>
      </x:c>
      <x:c r="B856" s="33" t="str">
        <x:v>250600006_</x:v>
      </x:c>
      <x:c r="C856" s="33" t="str">
        <x:v>MKP12-V-08-40-20</x:v>
      </x:c>
      <x:c r="D856" s="12" t="str">
        <x:v>ЩРВ-П  8 IEK (20) MKP12-V-04-08-41</x:v>
      </x:c>
      <x:c r="E856" s="11" t="str">
        <x:v>шт</x:v>
      </x:c>
      <x:c r="F856" s="35" t="n">
        <x:f>MAX(0,ROUNDDOWN((AG856-AF856)/AR856+0.000000001,0)*AR856)</x:f>
        <x:v>10</x:v>
      </x:c>
      <x:c r="G856" s="20" t="str">
        <x:f>IF(J856="Рассчитано",V856*(1-R856/100)-W856-P856-Q856,"н/д")</x:f>
        <x:v>н/д</x:v>
      </x:c>
      <x:c r="H856" s="12" t="str">
        <x:v>Высокий</x:v>
      </x:c>
      <x:c r="I856" s="12" t="str">
        <x:v>Средний</x:v>
      </x:c>
      <x:c r="J856" s="12" t="str">
        <x:f>IF(L856="","Укажите валюту",IF(NOT(ISNUMBER(K856)),"Укажите объём",IF(K856&lt;=0,"Укажите объём",IF(K856&gt;F856,"Объём выше излишка",IF(COUNT(M856:O856)&lt;3,"Нужны цены",IF(COUNT(P856:R856)&lt;3,"Нужны расходы",IF(OR(M856&lt;0,N856&lt;0,O856&lt;0,O856&gt;100,P856&lt;0,Q856&lt;0,R856&lt;0,R856&gt;100),"Проверьте значения","Рассчитано")))))))</x:f>
        <x:v>Нужны цены</x:v>
      </x:c>
      <x:c r="K856" s="36" t="n">
        <x:v>10</x:v>
      </x:c>
      <x:c r="L856" s="19" t="str">
        <x:v>KZT</x:v>
      </x:c>
      <x:c r="M856" s="22"/>
      <x:c r="N856" s="22"/>
      <x:c r="O856" s="28"/>
      <x:c r="P856" s="22"/>
      <x:c r="Q856" s="22"/>
      <x:c r="R856" s="28"/>
      <x:c r="S856" s="22"/>
      <x:c r="T856" s="35" t="n">
        <x:f>K856</x:f>
        <x:v>10</x:v>
      </x:c>
      <x:c r="U856" s="20" t="str">
        <x:f>IF(J856="Рассчитано",N856*(1-O856/100),"н/д")</x:f>
        <x:v>н/д</x:v>
      </x:c>
      <x:c r="V856" s="20" t="str">
        <x:f>IF(J856="Рассчитано",T856*U856,"н/д")</x:f>
        <x:v>н/д</x:v>
      </x:c>
      <x:c r="W856" s="20" t="str">
        <x:f>IF(J856="Рассчитано",T856*M856,"н/д")</x:f>
        <x:v>н/д</x:v>
      </x:c>
      <x:c r="X856" s="20" t="str">
        <x:f>IF(J856="Рассчитано",V856-W856,"н/д")</x:f>
        <x:v>н/д</x:v>
      </x:c>
      <x:c r="Y856" s="26" t="str">
        <x:f>IF(J856="Рассчитано",IF(V856&gt;0,G856/V856,"н/д"),"н/д")</x:f>
        <x:v>н/д</x:v>
      </x:c>
      <x:c r="Z856" s="20" t="str">
        <x:f>"н/д"</x:f>
        <x:v>н/д</x:v>
      </x:c>
      <x:c r="AA856" s="20" t="str">
        <x:f>"н/д"</x:f>
        <x:v>н/д</x:v>
      </x:c>
      <x:c r="AB856" s="20" t="str">
        <x:f>"н/д"</x:f>
        <x:v>н/д</x:v>
      </x:c>
      <x:c r="AC856" s="20" t="str">
        <x:f>IF(AND(J856="Рассчитано",T856&gt;0,R856&lt;100),(W856+P856+Q856)/(T856*(1-R856/100)),"н/д")</x:f>
        <x:v>н/д</x:v>
      </x:c>
      <x:c r="AD856" s="11" t="str">
        <x:f>IF(ISNUMBER(G856),IF(G856&lt;0,"Убыток",IF(G856=0,"Без прибыли","Прибыль &gt; 0")),"Не оценён")</x:f>
        <x:v>Не оценён</x:v>
      </x:c>
      <x:c r="AE856" s="12" t="str">
        <x:f>IF(J856="Рассчитано","Выручка "&amp;TEXT(V856,"0.00")&amp;" - себестоимость "&amp;TEXT(W856,"0.00")&amp;" - комиссия "&amp;TEXT(V856*R856/100,"0.00")&amp;" - доставка "&amp;TEXT(P856,"0.00")&amp;" - прочие "&amp;TEXT(Q856,"0.00")&amp;" = "&amp;TEXT(G856,"0.00")&amp;" "&amp;L856,"Введите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6" s="23" t="n">
        <x:v>29.892939338025933</x:v>
      </x:c>
      <x:c r="AG856" s="35" t="n">
        <x:v>40</x:v>
      </x:c>
      <x:c r="AH856" s="35" t="n">
        <x:v>0</x:v>
      </x:c>
      <x:c r="AI856" s="29" t="n">
        <x:v>46266</x:v>
      </x:c>
      <x:c r="AJ856" s="35" t="n">
        <x:v>20</x:v>
      </x:c>
      <x:c r="AK856" s="11" t="str">
        <x:v>минимум</x:v>
      </x:c>
      <x:c r="AL856" s="31" t="n">
        <x:v>113.7916552246882</x:v>
      </x:c>
      <x:c r="AM85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56" s="12" t="str">
        <x:v>Проверить свободный остаток и установить цену для B2B</x:v>
      </x:c>
      <x:c r="AO856" s="12" t="str">
        <x:v>Остаток 40; прогноз 90 дней 29.89; избыток 10 шт. Будущие поступления не выставляются на продажу. Остаток на начало сентября: требуется актуализация.</x:v>
      </x:c>
      <x:c r="AP856" s="12" t="str">
        <x:v>["category_missing", "daily_stockout_data_missing", "large_orders_detected", "new_order_lead_time_unknown", "reservations_unknown", "stale_stock", "transaction_month_mismatch"]</x:v>
      </x:c>
      <x:c r="AQ856" s="11" t="str">
        <x:v>IEK:250600006_</x:v>
      </x:c>
      <x:c r="AR856" s="23" t="n">
        <x:v>1</x:v>
      </x:c>
      <x:c r="AS856" s="23" t="n">
        <x:v>0</x:v>
      </x:c>
      <x:c r="AT856" s="23" t="n">
        <x:v>0</x:v>
      </x:c>
    </x:row>
    <x:row r="857" ht="64" customHeight="1">
      <x:c r="A857" s="10" t="str">
        <x:v>IEK</x:v>
      </x:c>
      <x:c r="B857" s="34" t="str">
        <x:v>250600007_</x:v>
      </x:c>
      <x:c r="C857" s="34" t="str">
        <x:v>MKP12-N-12-40-10</x:v>
      </x:c>
      <x:c r="D857" s="13" t="str">
        <x:v>ЩРН-П 12 IEK (10) MKP12-N-04-12-41</x:v>
      </x:c>
      <x:c r="E857" s="10" t="str">
        <x:v>шт</x:v>
      </x:c>
      <x:c r="F857" s="37" t="n">
        <x:f>MAX(0,ROUNDDOWN((AG857-AF857)/AR857+0.000000001,0)*AR857)</x:f>
        <x:v>133</x:v>
      </x:c>
      <x:c r="G857" s="21" t="str">
        <x:f>IF(J857="Рассчитано",V857*(1-R857/100)-W857-P857-Q857,"н/д")</x:f>
        <x:v>н/д</x:v>
      </x:c>
      <x:c r="H857" s="13" t="str">
        <x:v>Высокий</x:v>
      </x:c>
      <x:c r="I857" s="13" t="str">
        <x:v>Средний</x:v>
      </x:c>
      <x:c r="J857" s="13" t="str">
        <x:f>IF(L857="","Укажите валюту",IF(NOT(ISNUMBER(K857)),"Укажите объём",IF(K857&lt;=0,"Укажите объём",IF(K857&gt;F857,"Объём выше излишка",IF(COUNT(M857:O857)&lt;3,"Нужны цены",IF(COUNT(P857:R857)&lt;3,"Нужны расходы",IF(OR(M857&lt;0,N857&lt;0,O857&lt;0,O857&gt;100,P857&lt;0,Q857&lt;0,R857&lt;0,R857&gt;100),"Проверьте значения","Рассчитано")))))))</x:f>
        <x:v>Нужны цены</x:v>
      </x:c>
      <x:c r="K857" s="36" t="n">
        <x:v>133</x:v>
      </x:c>
      <x:c r="L857" s="19" t="str">
        <x:v>KZT</x:v>
      </x:c>
      <x:c r="M857" s="22"/>
      <x:c r="N857" s="22"/>
      <x:c r="O857" s="28"/>
      <x:c r="P857" s="22"/>
      <x:c r="Q857" s="22"/>
      <x:c r="R857" s="28"/>
      <x:c r="S857" s="22"/>
      <x:c r="T857" s="37" t="n">
        <x:f>K857</x:f>
        <x:v>133</x:v>
      </x:c>
      <x:c r="U857" s="21" t="str">
        <x:f>IF(J857="Рассчитано",N857*(1-O857/100),"н/д")</x:f>
        <x:v>н/д</x:v>
      </x:c>
      <x:c r="V857" s="21" t="str">
        <x:f>IF(J857="Рассчитано",T857*U857,"н/д")</x:f>
        <x:v>н/д</x:v>
      </x:c>
      <x:c r="W857" s="21" t="str">
        <x:f>IF(J857="Рассчитано",T857*M857,"н/д")</x:f>
        <x:v>н/д</x:v>
      </x:c>
      <x:c r="X857" s="21" t="str">
        <x:f>IF(J857="Рассчитано",V857-W857,"н/д")</x:f>
        <x:v>н/д</x:v>
      </x:c>
      <x:c r="Y857" s="27" t="str">
        <x:f>IF(J857="Рассчитано",IF(V857&gt;0,G857/V857,"н/д"),"н/д")</x:f>
        <x:v>н/д</x:v>
      </x:c>
      <x:c r="Z857" s="21" t="str">
        <x:f>"н/д"</x:f>
        <x:v>н/д</x:v>
      </x:c>
      <x:c r="AA857" s="21" t="str">
        <x:f>"н/д"</x:f>
        <x:v>н/д</x:v>
      </x:c>
      <x:c r="AB857" s="21" t="str">
        <x:f>"н/д"</x:f>
        <x:v>н/д</x:v>
      </x:c>
      <x:c r="AC857" s="21" t="str">
        <x:f>IF(AND(J857="Рассчитано",T857&gt;0,R857&lt;100),(W857+P857+Q857)/(T857*(1-R857/100)),"н/д")</x:f>
        <x:v>н/д</x:v>
      </x:c>
      <x:c r="AD857" s="10" t="str">
        <x:f>IF(ISNUMBER(G857),IF(G857&lt;0,"Убыток",IF(G857=0,"Без прибыли","Прибыль &gt; 0")),"Не оценён")</x:f>
        <x:v>Не оценён</x:v>
      </x:c>
      <x:c r="AE857" s="13" t="str">
        <x:f>IF(J857="Рассчитано","Выручка "&amp;TEXT(V857,"0.00")&amp;" - себестоимость "&amp;TEXT(W857,"0.00")&amp;" - комиссия "&amp;TEXT(V857*R857/100,"0.00")&amp;" - доставка "&amp;TEXT(P857,"0.00")&amp;" - прочие "&amp;TEXT(Q857,"0.00")&amp;" = "&amp;TEXT(G857,"0.00")&amp;" "&amp;L857,"Введите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7" s="24" t="n">
        <x:v>200.59888373379786</x:v>
      </x:c>
      <x:c r="AG857" s="37" t="n">
        <x:v>334</x:v>
      </x:c>
      <x:c r="AH857" s="37" t="n">
        <x:v>0</x:v>
      </x:c>
      <x:c r="AI857" s="30" t="n">
        <x:v>46266</x:v>
      </x:c>
      <x:c r="AJ857" s="37" t="n">
        <x:v>10</x:v>
      </x:c>
      <x:c r="AK857" s="10" t="str">
        <x:v>минимум</x:v>
      </x:c>
      <x:c r="AL857" s="32" t="n">
        <x:v>141.59144015235424</x:v>
      </x:c>
      <x:c r="AM85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57" s="13" t="str">
        <x:v>Проверить свободный остаток и установить цену для B2B</x:v>
      </x:c>
      <x:c r="AO857" s="13" t="str">
        <x:v>Остаток 334; прогноз 90 дней 200.60; избыток 133 шт. Будущие поступления не выставляются на продажу. Остаток на начало сентября: требуется актуализация.</x:v>
      </x:c>
      <x:c r="AP857" s="13" t="str">
        <x:v>["category_missing", "daily_stockout_data_missing", "large_orders_detected", "new_order_lead_time_unknown", "reservations_unknown", "stale_stock", "transaction_month_mismatch"]</x:v>
      </x:c>
      <x:c r="AQ857" s="10" t="str">
        <x:v>IEK:250600007_</x:v>
      </x:c>
      <x:c r="AR857" s="24" t="n">
        <x:v>1</x:v>
      </x:c>
      <x:c r="AS857" s="24" t="n">
        <x:v>0</x:v>
      </x:c>
      <x:c r="AT857" s="24" t="n">
        <x:v>0</x:v>
      </x:c>
    </x:row>
    <x:row r="858" ht="64" customHeight="1">
      <x:c r="A858" s="11" t="str">
        <x:v>IEK</x:v>
      </x:c>
      <x:c r="B858" s="33" t="str">
        <x:v>250600008_</x:v>
      </x:c>
      <x:c r="C858" s="33" t="str">
        <x:v>MKP12-N-18-40-10</x:v>
      </x:c>
      <x:c r="D858" s="12" t="str">
        <x:v>ЩРН-П 18 IEK (10) MKP12-N-04-18-41</x:v>
      </x:c>
      <x:c r="E858" s="11" t="str">
        <x:v>шт</x:v>
      </x:c>
      <x:c r="F858" s="35" t="n">
        <x:f>MAX(0,ROUNDDOWN((AG858-AF858)/AR858+0.000000001,0)*AR858)</x:f>
        <x:v>3</x:v>
      </x:c>
      <x:c r="G858" s="20" t="str">
        <x:f>IF(J858="Рассчитано",V858*(1-R858/100)-W858-P858-Q858,"н/д")</x:f>
        <x:v>н/д</x:v>
      </x:c>
      <x:c r="H858" s="12" t="str">
        <x:v>Высокий</x:v>
      </x:c>
      <x:c r="I858" s="12" t="str">
        <x:v>Средний</x:v>
      </x:c>
      <x:c r="J858" s="12" t="str">
        <x:f>IF(L858="","Укажите валюту",IF(NOT(ISNUMBER(K858)),"Укажите объём",IF(K858&lt;=0,"Укажите объём",IF(K858&gt;F858,"Объём выше излишка",IF(COUNT(M858:O858)&lt;3,"Нужны цены",IF(COUNT(P858:R858)&lt;3,"Нужны расходы",IF(OR(M858&lt;0,N858&lt;0,O858&lt;0,O858&gt;100,P858&lt;0,Q858&lt;0,R858&lt;0,R858&gt;100),"Проверьте значения","Рассчитано")))))))</x:f>
        <x:v>Нужны цены</x:v>
      </x:c>
      <x:c r="K858" s="36" t="n">
        <x:v>3</x:v>
      </x:c>
      <x:c r="L858" s="19" t="str">
        <x:v>KZT</x:v>
      </x:c>
      <x:c r="M858" s="22"/>
      <x:c r="N858" s="22"/>
      <x:c r="O858" s="28"/>
      <x:c r="P858" s="22"/>
      <x:c r="Q858" s="22"/>
      <x:c r="R858" s="28"/>
      <x:c r="S858" s="22"/>
      <x:c r="T858" s="35" t="n">
        <x:f>K858</x:f>
        <x:v>3</x:v>
      </x:c>
      <x:c r="U858" s="20" t="str">
        <x:f>IF(J858="Рассчитано",N858*(1-O858/100),"н/д")</x:f>
        <x:v>н/д</x:v>
      </x:c>
      <x:c r="V858" s="20" t="str">
        <x:f>IF(J858="Рассчитано",T858*U858,"н/д")</x:f>
        <x:v>н/д</x:v>
      </x:c>
      <x:c r="W858" s="20" t="str">
        <x:f>IF(J858="Рассчитано",T858*M858,"н/д")</x:f>
        <x:v>н/д</x:v>
      </x:c>
      <x:c r="X858" s="20" t="str">
        <x:f>IF(J858="Рассчитано",V858-W858,"н/д")</x:f>
        <x:v>н/д</x:v>
      </x:c>
      <x:c r="Y858" s="26" t="str">
        <x:f>IF(J858="Рассчитано",IF(V858&gt;0,G858/V858,"н/д"),"н/д")</x:f>
        <x:v>н/д</x:v>
      </x:c>
      <x:c r="Z858" s="20" t="str">
        <x:f>"н/д"</x:f>
        <x:v>н/д</x:v>
      </x:c>
      <x:c r="AA858" s="20" t="str">
        <x:f>"н/д"</x:f>
        <x:v>н/д</x:v>
      </x:c>
      <x:c r="AB858" s="20" t="str">
        <x:f>"н/д"</x:f>
        <x:v>н/д</x:v>
      </x:c>
      <x:c r="AC858" s="20" t="str">
        <x:f>IF(AND(J858="Рассчитано",T858&gt;0,R858&lt;100),(W858+P858+Q858)/(T858*(1-R858/100)),"н/д")</x:f>
        <x:v>н/д</x:v>
      </x:c>
      <x:c r="AD858" s="11" t="str">
        <x:f>IF(ISNUMBER(G858),IF(G858&lt;0,"Убыток",IF(G858=0,"Без прибыли","Прибыль &gt; 0")),"Не оценён")</x:f>
        <x:v>Не оценён</x:v>
      </x:c>
      <x:c r="AE858" s="12" t="str">
        <x:f>IF(J858="Рассчитано","Выручка "&amp;TEXT(V858,"0.00")&amp;" - себестоимость "&amp;TEXT(W858,"0.00")&amp;" - комиссия "&amp;TEXT(V858*R858/100,"0.00")&amp;" - доставка "&amp;TEXT(P858,"0.00")&amp;" - прочие "&amp;TEXT(Q858,"0.00")&amp;" = "&amp;TEXT(G858,"0.00")&amp;" "&amp;L858,"Введите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8" s="23" t="n">
        <x:v>36.004992869182296</x:v>
      </x:c>
      <x:c r="AG858" s="35" t="n">
        <x:v>40</x:v>
      </x:c>
      <x:c r="AH858" s="35" t="n">
        <x:v>10</x:v>
      </x:c>
      <x:c r="AI858" s="29" t="n">
        <x:v>46266</x:v>
      </x:c>
      <x:c r="AJ858" s="35" t="n">
        <x:v>10</x:v>
      </x:c>
      <x:c r="AK858" s="11" t="str">
        <x:v>минимум</x:v>
      </x:c>
      <x:c r="AL858" s="31" t="n">
        <x:v>94.47487072596162</x:v>
      </x:c>
      <x:c r="AM85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58" s="12" t="str">
        <x:v>Проверить свободный остаток и установить цену для B2B</x:v>
      </x:c>
      <x:c r="AO858" s="12" t="str">
        <x:v>Остаток 40; прогноз 90 дней 36.00; избыток 3 шт. Будущие поступления не выставляются на продажу. Остаток на начало сентября: требуется актуализация.</x:v>
      </x:c>
      <x:c r="AP858" s="12" t="str">
        <x:v>["category_missing", "daily_stockout_data_missing", "large_orders_detected", "new_order_lead_time_unknown", "reservations_unknown", "stale_stock", "transaction_month_mismatch"]</x:v>
      </x:c>
      <x:c r="AQ858" s="11" t="str">
        <x:v>IEK:250600008_</x:v>
      </x:c>
      <x:c r="AR858" s="23" t="n">
        <x:v>1</x:v>
      </x:c>
      <x:c r="AS858" s="23" t="n">
        <x:v>0</x:v>
      </x:c>
      <x:c r="AT858" s="23" t="n">
        <x:v>0</x:v>
      </x:c>
    </x:row>
    <x:row r="859" ht="64" customHeight="1">
      <x:c r="A859" s="10" t="str">
        <x:v>IEK</x:v>
      </x:c>
      <x:c r="B859" s="34" t="str">
        <x:v>250600010_</x:v>
      </x:c>
      <x:c r="C859" s="34" t="str">
        <x:v>MKP12-N-06-40-20</x:v>
      </x:c>
      <x:c r="D859" s="13" t="str">
        <x:v>ЩРН-П  6 IEK (20) MKP12-N-04-06-41</x:v>
      </x:c>
      <x:c r="E859" s="10" t="str">
        <x:v>шт</x:v>
      </x:c>
      <x:c r="F859" s="37" t="n">
        <x:f>MAX(0,ROUNDDOWN((AG859-AF859)/AR859+0.000000001,0)*AR859)</x:f>
        <x:v>44</x:v>
      </x:c>
      <x:c r="G859" s="21" t="str">
        <x:f>IF(J859="Рассчитано",V859*(1-R859/100)-W859-P859-Q859,"н/д")</x:f>
        <x:v>н/д</x:v>
      </x:c>
      <x:c r="H859" s="13" t="str">
        <x:v>Высокий</x:v>
      </x:c>
      <x:c r="I859" s="13" t="str">
        <x:v>Средний</x:v>
      </x:c>
      <x:c r="J859" s="13" t="str">
        <x:f>IF(L859="","Укажите валюту",IF(NOT(ISNUMBER(K859)),"Укажите объём",IF(K859&lt;=0,"Укажите объём",IF(K859&gt;F859,"Объём выше излишка",IF(COUNT(M859:O859)&lt;3,"Нужны цены",IF(COUNT(P859:R859)&lt;3,"Нужны расходы",IF(OR(M859&lt;0,N859&lt;0,O859&lt;0,O859&gt;100,P859&lt;0,Q859&lt;0,R859&lt;0,R859&gt;100),"Проверьте значения","Рассчитано")))))))</x:f>
        <x:v>Нужны цены</x:v>
      </x:c>
      <x:c r="K859" s="36" t="n">
        <x:v>44</x:v>
      </x:c>
      <x:c r="L859" s="19" t="str">
        <x:v>KZT</x:v>
      </x:c>
      <x:c r="M859" s="22"/>
      <x:c r="N859" s="22"/>
      <x:c r="O859" s="28"/>
      <x:c r="P859" s="22"/>
      <x:c r="Q859" s="22"/>
      <x:c r="R859" s="28"/>
      <x:c r="S859" s="22"/>
      <x:c r="T859" s="37" t="n">
        <x:f>K859</x:f>
        <x:v>44</x:v>
      </x:c>
      <x:c r="U859" s="21" t="str">
        <x:f>IF(J859="Рассчитано",N859*(1-O859/100),"н/д")</x:f>
        <x:v>н/д</x:v>
      </x:c>
      <x:c r="V859" s="21" t="str">
        <x:f>IF(J859="Рассчитано",T859*U859,"н/д")</x:f>
        <x:v>н/д</x:v>
      </x:c>
      <x:c r="W859" s="21" t="str">
        <x:f>IF(J859="Рассчитано",T859*M859,"н/д")</x:f>
        <x:v>н/д</x:v>
      </x:c>
      <x:c r="X859" s="21" t="str">
        <x:f>IF(J859="Рассчитано",V859-W859,"н/д")</x:f>
        <x:v>н/д</x:v>
      </x:c>
      <x:c r="Y859" s="27" t="str">
        <x:f>IF(J859="Рассчитано",IF(V859&gt;0,G859/V859,"н/д"),"н/д")</x:f>
        <x:v>н/д</x:v>
      </x:c>
      <x:c r="Z859" s="21" t="str">
        <x:f>"н/д"</x:f>
        <x:v>н/д</x:v>
      </x:c>
      <x:c r="AA859" s="21" t="str">
        <x:f>"н/д"</x:f>
        <x:v>н/д</x:v>
      </x:c>
      <x:c r="AB859" s="21" t="str">
        <x:f>"н/д"</x:f>
        <x:v>н/д</x:v>
      </x:c>
      <x:c r="AC859" s="21" t="str">
        <x:f>IF(AND(J859="Рассчитано",T859&gt;0,R859&lt;100),(W859+P859+Q859)/(T859*(1-R859/100)),"н/д")</x:f>
        <x:v>н/д</x:v>
      </x:c>
      <x:c r="AD859" s="10" t="str">
        <x:f>IF(ISNUMBER(G859),IF(G859&lt;0,"Убыток",IF(G859=0,"Без прибыли","Прибыль &gt; 0")),"Не оценён")</x:f>
        <x:v>Не оценён</x:v>
      </x:c>
      <x:c r="AE859" s="13" t="str">
        <x:f>IF(J859="Рассчитано","Выручка "&amp;TEXT(V859,"0.00")&amp;" - себестоимость "&amp;TEXT(W859,"0.00")&amp;" - комиссия "&amp;TEXT(V859*R859/100,"0.00")&amp;" - доставка "&amp;TEXT(P859,"0.00")&amp;" - прочие "&amp;TEXT(Q859,"0.00")&amp;" = "&amp;TEXT(G859,"0.00")&amp;" "&amp;L859,"Введите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9" s="24" t="n">
        <x:v>63.325793640024926</x:v>
      </x:c>
      <x:c r="AG859" s="37" t="n">
        <x:v>108</x:v>
      </x:c>
      <x:c r="AH859" s="37" t="n">
        <x:v>0</x:v>
      </x:c>
      <x:c r="AI859" s="30" t="n">
        <x:v>46266</x:v>
      </x:c>
      <x:c r="AJ859" s="37" t="n">
        <x:v>20</x:v>
      </x:c>
      <x:c r="AK859" s="10" t="str">
        <x:v>минимум</x:v>
      </x:c>
      <x:c r="AL859" s="32" t="n">
        <x:v>145.03143977289298</x:v>
      </x:c>
      <x:c r="AM859" s="13" t="str">
        <x:v>Остаток на начало сентября; Резервы неизвестны; Нет ежедневных данных доступности. Запас выше прогноза на 90 дней</x:v>
      </x:c>
      <x:c r="AN859" s="13" t="str">
        <x:v>Проверить свободный остаток и установить цену для B2B</x:v>
      </x:c>
      <x:c r="AO859" s="13" t="str">
        <x:v>Остаток 108; прогноз 90 дней 63.33; избыток 44 шт. Будущие поступления не выставляются на продажу. Остаток на начало сентября: требуется актуализация.</x:v>
      </x:c>
      <x:c r="AP859" s="13" t="str">
        <x:v>["category_missing", "daily_stockout_data_missing", "large_orders_detected", "new_order_lead_time_unknown", "reservations_unknown", "stale_stock"]</x:v>
      </x:c>
      <x:c r="AQ859" s="10" t="str">
        <x:v>IEK:250600010_</x:v>
      </x:c>
      <x:c r="AR859" s="24" t="n">
        <x:v>1</x:v>
      </x:c>
      <x:c r="AS859" s="24" t="n">
        <x:v>0</x:v>
      </x:c>
      <x:c r="AT859" s="24" t="n">
        <x:v>0</x:v>
      </x:c>
    </x:row>
    <x:row r="860" ht="64" customHeight="1">
      <x:c r="A860" s="11" t="str">
        <x:v>IEK</x:v>
      </x:c>
      <x:c r="B860" s="33" t="str">
        <x:v>250600011_</x:v>
      </x:c>
      <x:c r="C860" s="33" t="str">
        <x:v>MKP12-N-08-40-20</x:v>
      </x:c>
      <x:c r="D860" s="12" t="str">
        <x:v>ЩРН-П  8 IEK (20) MKP12-N-04-08-41</x:v>
      </x:c>
      <x:c r="E860" s="11" t="str">
        <x:v>шт</x:v>
      </x:c>
      <x:c r="F860" s="35" t="n">
        <x:f>MAX(0,ROUNDDOWN((AG860-AF860)/AR860+0.000000001,0)*AR860)</x:f>
        <x:v>60</x:v>
      </x:c>
      <x:c r="G860" s="20" t="str">
        <x:f>IF(J860="Рассчитано",V860*(1-R860/100)-W860-P860-Q860,"н/д")</x:f>
        <x:v>н/д</x:v>
      </x:c>
      <x:c r="H860" s="12" t="str">
        <x:v>Высокий</x:v>
      </x:c>
      <x:c r="I860" s="12" t="str">
        <x:v>Высокий</x:v>
      </x:c>
      <x:c r="J860" s="12" t="str">
        <x:f>IF(L860="","Укажите валюту",IF(NOT(ISNUMBER(K860)),"Укажите объём",IF(K860&lt;=0,"Укажите объём",IF(K860&gt;F860,"Объём выше излишка",IF(COUNT(M860:O860)&lt;3,"Нужны цены",IF(COUNT(P860:R860)&lt;3,"Нужны расходы",IF(OR(M860&lt;0,N860&lt;0,O860&lt;0,O860&gt;100,P860&lt;0,Q860&lt;0,R860&lt;0,R860&gt;100),"Проверьте значения","Рассчитано")))))))</x:f>
        <x:v>Нужны цены</x:v>
      </x:c>
      <x:c r="K860" s="36" t="n">
        <x:v>60</x:v>
      </x:c>
      <x:c r="L860" s="19" t="str">
        <x:v>KZT</x:v>
      </x:c>
      <x:c r="M860" s="22"/>
      <x:c r="N860" s="22"/>
      <x:c r="O860" s="28"/>
      <x:c r="P860" s="22"/>
      <x:c r="Q860" s="22"/>
      <x:c r="R860" s="28"/>
      <x:c r="S860" s="22"/>
      <x:c r="T860" s="35" t="n">
        <x:f>K860</x:f>
        <x:v>60</x:v>
      </x:c>
      <x:c r="U860" s="20" t="str">
        <x:f>IF(J860="Рассчитано",N860*(1-O860/100),"н/д")</x:f>
        <x:v>н/д</x:v>
      </x:c>
      <x:c r="V860" s="20" t="str">
        <x:f>IF(J860="Рассчитано",T860*U860,"н/д")</x:f>
        <x:v>н/д</x:v>
      </x:c>
      <x:c r="W860" s="20" t="str">
        <x:f>IF(J860="Рассчитано",T860*M860,"н/д")</x:f>
        <x:v>н/д</x:v>
      </x:c>
      <x:c r="X860" s="20" t="str">
        <x:f>IF(J860="Рассчитано",V860-W860,"н/д")</x:f>
        <x:v>н/д</x:v>
      </x:c>
      <x:c r="Y860" s="26" t="str">
        <x:f>IF(J860="Рассчитано",IF(V860&gt;0,G860/V860,"н/д"),"н/д")</x:f>
        <x:v>н/д</x:v>
      </x:c>
      <x:c r="Z860" s="20" t="str">
        <x:f>"н/д"</x:f>
        <x:v>н/д</x:v>
      </x:c>
      <x:c r="AA860" s="20" t="str">
        <x:f>"н/д"</x:f>
        <x:v>н/д</x:v>
      </x:c>
      <x:c r="AB860" s="20" t="str">
        <x:f>"н/д"</x:f>
        <x:v>н/д</x:v>
      </x:c>
      <x:c r="AC860" s="20" t="str">
        <x:f>IF(AND(J860="Рассчитано",T860&gt;0,R860&lt;100),(W860+P860+Q860)/(T860*(1-R860/100)),"н/д")</x:f>
        <x:v>н/д</x:v>
      </x:c>
      <x:c r="AD860" s="11" t="str">
        <x:f>IF(ISNUMBER(G860),IF(G860&lt;0,"Убыток",IF(G860=0,"Без прибыли","Прибыль &gt; 0")),"Не оценён")</x:f>
        <x:v>Не оценён</x:v>
      </x:c>
      <x:c r="AE860" s="12" t="str">
        <x:f>IF(J860="Рассчитано","Выручка "&amp;TEXT(V860,"0.00")&amp;" - себестоимость "&amp;TEXT(W860,"0.00")&amp;" - комиссия "&amp;TEXT(V860*R860/100,"0.00")&amp;" - доставка "&amp;TEXT(P860,"0.00")&amp;" - прочие "&amp;TEXT(Q860,"0.00")&amp;" = "&amp;TEXT(G860,"0.00")&amp;" "&amp;L860,"Введите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0" s="23" t="n">
        <x:v>49.65173188449722</x:v>
      </x:c>
      <x:c r="AG860" s="35" t="n">
        <x:v>110</x:v>
      </x:c>
      <x:c r="AH860" s="35" t="n">
        <x:v>0</x:v>
      </x:c>
      <x:c r="AI860" s="29" t="n">
        <x:v>46266</x:v>
      </x:c>
      <x:c r="AJ860" s="35" t="n">
        <x:v>20</x:v>
      </x:c>
      <x:c r="AK860" s="11" t="str">
        <x:v>минимум</x:v>
      </x:c>
      <x:c r="AL860" s="31" t="n">
        <x:v>188.39845104446223</x:v>
      </x:c>
      <x:c r="AM860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860" s="12" t="str">
        <x:v>Проверить свободный остаток и установить цену для B2B</x:v>
      </x:c>
      <x:c r="AO860" s="12" t="str">
        <x:v>Остаток 110; прогноз 90 дней 49.65; избыток 60 шт. Будущие поступления не выставляются на продажу. Остаток на начало сентября: требуется актуализация.</x:v>
      </x:c>
      <x:c r="AP860" s="12" t="str">
        <x:v>["category_missing", "daily_stockout_data_missing", "large_orders_detected", "new_order_lead_time_unknown", "reservations_unknown", "stale_stock", "transaction_month_mismatch"]</x:v>
      </x:c>
      <x:c r="AQ860" s="11" t="str">
        <x:v>IEK:250600011_</x:v>
      </x:c>
      <x:c r="AR860" s="23" t="n">
        <x:v>1</x:v>
      </x:c>
      <x:c r="AS860" s="23" t="n">
        <x:v>0</x:v>
      </x:c>
      <x:c r="AT860" s="23" t="n">
        <x:v>0</x:v>
      </x:c>
    </x:row>
    <x:row r="861" ht="64" customHeight="1">
      <x:c r="A861" s="10" t="str">
        <x:v>IEK</x:v>
      </x:c>
      <x:c r="B861" s="34" t="str">
        <x:v>250600012_</x:v>
      </x:c>
      <x:c r="C861" s="34" t="str">
        <x:v>MKP12-N-36-40-05</x:v>
      </x:c>
      <x:c r="D861" s="13" t="str">
        <x:v>ЩРН-П 36 IEK (5) MKP12-N-04-36-41</x:v>
      </x:c>
      <x:c r="E861" s="10" t="str">
        <x:v>шт</x:v>
      </x:c>
      <x:c r="F861" s="37" t="n">
        <x:f>MAX(0,ROUNDDOWN((AG861-AF861)/AR861+0.000000001,0)*AR861)</x:f>
        <x:v>8</x:v>
      </x:c>
      <x:c r="G861" s="21" t="str">
        <x:f>IF(J861="Рассчитано",V861*(1-R861/100)-W861-P861-Q861,"н/д")</x:f>
        <x:v>н/д</x:v>
      </x:c>
      <x:c r="H861" s="13" t="str">
        <x:v>Высокий</x:v>
      </x:c>
      <x:c r="I861" s="13" t="str">
        <x:v>Средний</x:v>
      </x:c>
      <x:c r="J861" s="13" t="str">
        <x:f>IF(L861="","Укажите валюту",IF(NOT(ISNUMBER(K861)),"Укажите объём",IF(K861&lt;=0,"Укажите объём",IF(K861&gt;F861,"Объём выше излишка",IF(COUNT(M861:O861)&lt;3,"Нужны цены",IF(COUNT(P861:R861)&lt;3,"Нужны расходы",IF(OR(M861&lt;0,N861&lt;0,O861&lt;0,O861&gt;100,P861&lt;0,Q861&lt;0,R861&lt;0,R861&gt;100),"Проверьте значения","Рассчитано")))))))</x:f>
        <x:v>Нужны цены</x:v>
      </x:c>
      <x:c r="K861" s="36" t="n">
        <x:v>8</x:v>
      </x:c>
      <x:c r="L861" s="19" t="str">
        <x:v>KZT</x:v>
      </x:c>
      <x:c r="M861" s="22"/>
      <x:c r="N861" s="22"/>
      <x:c r="O861" s="28"/>
      <x:c r="P861" s="22"/>
      <x:c r="Q861" s="22"/>
      <x:c r="R861" s="28"/>
      <x:c r="S861" s="22"/>
      <x:c r="T861" s="37" t="n">
        <x:f>K861</x:f>
        <x:v>8</x:v>
      </x:c>
      <x:c r="U861" s="21" t="str">
        <x:f>IF(J861="Рассчитано",N861*(1-O861/100),"н/д")</x:f>
        <x:v>н/д</x:v>
      </x:c>
      <x:c r="V861" s="21" t="str">
        <x:f>IF(J861="Рассчитано",T861*U861,"н/д")</x:f>
        <x:v>н/д</x:v>
      </x:c>
      <x:c r="W861" s="21" t="str">
        <x:f>IF(J861="Рассчитано",T861*M861,"н/д")</x:f>
        <x:v>н/д</x:v>
      </x:c>
      <x:c r="X861" s="21" t="str">
        <x:f>IF(J861="Рассчитано",V861-W861,"н/д")</x:f>
        <x:v>н/д</x:v>
      </x:c>
      <x:c r="Y861" s="27" t="str">
        <x:f>IF(J861="Рассчитано",IF(V861&gt;0,G861/V861,"н/д"),"н/д")</x:f>
        <x:v>н/д</x:v>
      </x:c>
      <x:c r="Z861" s="21" t="str">
        <x:f>"н/д"</x:f>
        <x:v>н/д</x:v>
      </x:c>
      <x:c r="AA861" s="21" t="str">
        <x:f>"н/д"</x:f>
        <x:v>н/д</x:v>
      </x:c>
      <x:c r="AB861" s="21" t="str">
        <x:f>"н/д"</x:f>
        <x:v>н/д</x:v>
      </x:c>
      <x:c r="AC861" s="21" t="str">
        <x:f>IF(AND(J861="Рассчитано",T861&gt;0,R861&lt;100),(W861+P861+Q861)/(T861*(1-R861/100)),"н/д")</x:f>
        <x:v>н/д</x:v>
      </x:c>
      <x:c r="AD861" s="10" t="str">
        <x:f>IF(ISNUMBER(G861),IF(G861&lt;0,"Убыток",IF(G861=0,"Без прибыли","Прибыль &gt; 0")),"Не оценён")</x:f>
        <x:v>Не оценён</x:v>
      </x:c>
      <x:c r="AE861" s="13" t="str">
        <x:f>IF(J861="Рассчитано","Выручка "&amp;TEXT(V861,"0.00")&amp;" - себестоимость "&amp;TEXT(W861,"0.00")&amp;" - комиссия "&amp;TEXT(V861*R861/100,"0.00")&amp;" - доставка "&amp;TEXT(P861,"0.00")&amp;" - прочие "&amp;TEXT(Q861,"0.00")&amp;" = "&amp;TEXT(G861,"0.00")&amp;" "&amp;L861,"Введите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1" s="24" t="n">
        <x:v>12.808141092231665</x:v>
      </x:c>
      <x:c r="AG861" s="37" t="n">
        <x:v>21</x:v>
      </x:c>
      <x:c r="AH861" s="37" t="n">
        <x:v>0</x:v>
      </x:c>
      <x:c r="AI861" s="30" t="n">
        <x:v>46266</x:v>
      </x:c>
      <x:c r="AJ861" s="37" t="n">
        <x:v>5</x:v>
      </x:c>
      <x:c r="AK861" s="10" t="str">
        <x:v>минимум</x:v>
      </x:c>
      <x:c r="AL861" s="32" t="n">
        <x:v>139.42871855587524</x:v>
      </x:c>
      <x:c r="AM861" s="13" t="str">
        <x:v>Остаток на начало сентября; Резервы неизвестны; Нет ежедневных данных доступности. Запас выше прогноза на 90 дней</x:v>
      </x:c>
      <x:c r="AN861" s="13" t="str">
        <x:v>Проверить свободный остаток и установить цену для B2B</x:v>
      </x:c>
      <x:c r="AO861" s="13" t="str">
        <x:v>Остаток 21; прогноз 90 дней 12.81; избыток 8 шт. Будущие поступления не выставляются на продажу. Остаток на начало сентября: требуется актуализация.</x:v>
      </x:c>
      <x:c r="AP861" s="13" t="str">
        <x:v>["category_missing", "daily_stockout_data_missing", "new_order_lead_time_unknown", "reservations_unknown", "stale_stock"]</x:v>
      </x:c>
      <x:c r="AQ861" s="10" t="str">
        <x:v>IEK:250600012_</x:v>
      </x:c>
      <x:c r="AR861" s="24" t="n">
        <x:v>1</x:v>
      </x:c>
      <x:c r="AS861" s="24" t="n">
        <x:v>0</x:v>
      </x:c>
      <x:c r="AT861" s="24" t="n">
        <x:v>0</x:v>
      </x:c>
    </x:row>
    <x:row r="862" ht="64" customHeight="1">
      <x:c r="A862" s="11" t="str">
        <x:v>IEK</x:v>
      </x:c>
      <x:c r="B862" s="33" t="str">
        <x:v>250600013_</x:v>
      </x:c>
      <x:c r="C862" s="33" t="str">
        <x:v>BKP10-2-K01</x:v>
      </x:c>
      <x:c r="D862" s="12" t="str">
        <x:v>Пост кноп (корпус) КП-102 (2 мест.бел.) IEK (10/100)</x:v>
      </x:c>
      <x:c r="E862" s="11" t="str">
        <x:v>шт</x:v>
      </x:c>
      <x:c r="F862" s="35" t="n">
        <x:f>MAX(0,ROUNDDOWN((AG862-AF862)/AR862+0.000000001,0)*AR862)</x:f>
        <x:v>162</x:v>
      </x:c>
      <x:c r="G862" s="20" t="str">
        <x:f>IF(J862="Рассчитано",V862*(1-R862/100)-W862-P862-Q862,"н/д")</x:f>
        <x:v>н/д</x:v>
      </x:c>
      <x:c r="H862" s="12" t="str">
        <x:v>Высокий</x:v>
      </x:c>
      <x:c r="I862" s="12" t="str">
        <x:v>Средний</x:v>
      </x:c>
      <x:c r="J862" s="12" t="str">
        <x:f>IF(L862="","Укажите валюту",IF(NOT(ISNUMBER(K862)),"Укажите объём",IF(K862&lt;=0,"Укажите объём",IF(K862&gt;F862,"Объём выше излишка",IF(COUNT(M862:O862)&lt;3,"Нужны цены",IF(COUNT(P862:R862)&lt;3,"Нужны расходы",IF(OR(M862&lt;0,N862&lt;0,O862&lt;0,O862&gt;100,P862&lt;0,Q862&lt;0,R862&lt;0,R862&gt;100),"Проверьте значения","Рассчитано")))))))</x:f>
        <x:v>Нужны цены</x:v>
      </x:c>
      <x:c r="K862" s="36" t="n">
        <x:v>162</x:v>
      </x:c>
      <x:c r="L862" s="19" t="str">
        <x:v>KZT</x:v>
      </x:c>
      <x:c r="M862" s="22"/>
      <x:c r="N862" s="22"/>
      <x:c r="O862" s="28"/>
      <x:c r="P862" s="22"/>
      <x:c r="Q862" s="22"/>
      <x:c r="R862" s="28"/>
      <x:c r="S862" s="22"/>
      <x:c r="T862" s="35" t="n">
        <x:f>K862</x:f>
        <x:v>162</x:v>
      </x:c>
      <x:c r="U862" s="20" t="str">
        <x:f>IF(J862="Рассчитано",N862*(1-O862/100),"н/д")</x:f>
        <x:v>н/д</x:v>
      </x:c>
      <x:c r="V862" s="20" t="str">
        <x:f>IF(J862="Рассчитано",T862*U862,"н/д")</x:f>
        <x:v>н/д</x:v>
      </x:c>
      <x:c r="W862" s="20" t="str">
        <x:f>IF(J862="Рассчитано",T862*M862,"н/д")</x:f>
        <x:v>н/д</x:v>
      </x:c>
      <x:c r="X862" s="20" t="str">
        <x:f>IF(J862="Рассчитано",V862-W862,"н/д")</x:f>
        <x:v>н/д</x:v>
      </x:c>
      <x:c r="Y862" s="26" t="str">
        <x:f>IF(J862="Рассчитано",IF(V862&gt;0,G862/V862,"н/д"),"н/д")</x:f>
        <x:v>н/д</x:v>
      </x:c>
      <x:c r="Z862" s="20" t="str">
        <x:f>"н/д"</x:f>
        <x:v>н/д</x:v>
      </x:c>
      <x:c r="AA862" s="20" t="str">
        <x:f>"н/д"</x:f>
        <x:v>н/д</x:v>
      </x:c>
      <x:c r="AB862" s="20" t="str">
        <x:f>"н/д"</x:f>
        <x:v>н/д</x:v>
      </x:c>
      <x:c r="AC862" s="20" t="str">
        <x:f>IF(AND(J862="Рассчитано",T862&gt;0,R862&lt;100),(W862+P862+Q862)/(T862*(1-R862/100)),"н/д")</x:f>
        <x:v>н/д</x:v>
      </x:c>
      <x:c r="AD862" s="11" t="str">
        <x:f>IF(ISNUMBER(G862),IF(G862&lt;0,"Убыток",IF(G862=0,"Без прибыли","Прибыль &gt; 0")),"Не оценён")</x:f>
        <x:v>Не оценён</x:v>
      </x:c>
      <x:c r="AE862" s="12" t="str">
        <x:f>IF(J862="Рассчитано","Выручка "&amp;TEXT(V862,"0.00")&amp;" - себестоимость "&amp;TEXT(W862,"0.00")&amp;" - комиссия "&amp;TEXT(V862*R862/100,"0.00")&amp;" - доставка "&amp;TEXT(P862,"0.00")&amp;" - прочие "&amp;TEXT(Q862,"0.00")&amp;" = "&amp;TEXT(G862,"0.00")&amp;" "&amp;L862,"Введите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2" s="23" t="n">
        <x:v>183.42731014125044</x:v>
      </x:c>
      <x:c r="AG862" s="35" t="n">
        <x:v>346</x:v>
      </x:c>
      <x:c r="AH862" s="35" t="n">
        <x:v>0</x:v>
      </x:c>
      <x:c r="AI862" s="29" t="n">
        <x:v>46266</x:v>
      </x:c>
      <x:c r="AJ862" s="35" t="n">
        <x:v>10</x:v>
      </x:c>
      <x:c r="AK862" s="11" t="str">
        <x:v>минимум</x:v>
      </x:c>
      <x:c r="AL862" s="31" t="n">
        <x:v>160.40989170155035</x:v>
      </x:c>
      <x:c r="AM862" s="12" t="str">
        <x:v>Остаток на начало сентября; Резервы неизвестны; Нет ежедневных данных доступности. Запас выше прогноза на 90 дней</x:v>
      </x:c>
      <x:c r="AN862" s="12" t="str">
        <x:v>Проверить свободный остаток и установить цену для B2B</x:v>
      </x:c>
      <x:c r="AO862" s="12" t="str">
        <x:v>Остаток 346; прогноз 90 дней 183.43; избыток 162 шт. Будущие поступления не выставляются на продажу. Остаток на начало сентября: требуется актуализация.</x:v>
      </x:c>
      <x:c r="AP862" s="12" t="str">
        <x:v>["category_missing", "daily_stockout_data_missing", "new_order_lead_time_unknown", "reservations_unknown", "stale_stock"]</x:v>
      </x:c>
      <x:c r="AQ862" s="11" t="str">
        <x:v>IEK:250600013_</x:v>
      </x:c>
      <x:c r="AR862" s="23" t="n">
        <x:v>1</x:v>
      </x:c>
      <x:c r="AS862" s="23" t="n">
        <x:v>0</x:v>
      </x:c>
      <x:c r="AT862" s="23" t="n">
        <x:v>0</x:v>
      </x:c>
    </x:row>
    <x:row r="863" ht="64" customHeight="1">
      <x:c r="A863" s="10" t="str">
        <x:v>IEK</x:v>
      </x:c>
      <x:c r="B863" s="34" t="str">
        <x:v>250600014_</x:v>
      </x:c>
      <x:c r="C863" s="34" t="str">
        <x:v>BKP10-3-K01</x:v>
      </x:c>
      <x:c r="D863" s="13" t="str">
        <x:v>Пост кноп (корпус) КП-103 (3 мест.бел.) IEK (10/100)</x:v>
      </x:c>
      <x:c r="E863" s="10" t="str">
        <x:v>шт</x:v>
      </x:c>
      <x:c r="F863" s="37" t="n">
        <x:f>MAX(0,ROUNDDOWN((AG863-AF863)/AR863+0.000000001,0)*AR863)</x:f>
        <x:v>46</x:v>
      </x:c>
      <x:c r="G863" s="21" t="str">
        <x:f>IF(J863="Рассчитано",V863*(1-R863/100)-W863-P863-Q863,"н/д")</x:f>
        <x:v>н/д</x:v>
      </x:c>
      <x:c r="H863" s="13" t="str">
        <x:v>Высокий</x:v>
      </x:c>
      <x:c r="I863" s="13" t="str">
        <x:v>Высокий</x:v>
      </x:c>
      <x:c r="J863" s="13" t="str">
        <x:f>IF(L863="","Укажите валюту",IF(NOT(ISNUMBER(K863)),"Укажите объём",IF(K863&lt;=0,"Укажите объём",IF(K863&gt;F863,"Объём выше излишка",IF(COUNT(M863:O863)&lt;3,"Нужны цены",IF(COUNT(P863:R863)&lt;3,"Нужны расходы",IF(OR(M863&lt;0,N863&lt;0,O863&lt;0,O863&gt;100,P863&lt;0,Q863&lt;0,R863&lt;0,R863&gt;100),"Проверьте значения","Рассчитано")))))))</x:f>
        <x:v>Нужны цены</x:v>
      </x:c>
      <x:c r="K863" s="36" t="n">
        <x:v>46</x:v>
      </x:c>
      <x:c r="L863" s="19" t="str">
        <x:v>KZT</x:v>
      </x:c>
      <x:c r="M863" s="22"/>
      <x:c r="N863" s="22"/>
      <x:c r="O863" s="28"/>
      <x:c r="P863" s="22"/>
      <x:c r="Q863" s="22"/>
      <x:c r="R863" s="28"/>
      <x:c r="S863" s="22"/>
      <x:c r="T863" s="37" t="n">
        <x:f>K863</x:f>
        <x:v>46</x:v>
      </x:c>
      <x:c r="U863" s="21" t="str">
        <x:f>IF(J863="Рассчитано",N863*(1-O863/100),"н/д")</x:f>
        <x:v>н/д</x:v>
      </x:c>
      <x:c r="V863" s="21" t="str">
        <x:f>IF(J863="Рассчитано",T863*U863,"н/д")</x:f>
        <x:v>н/д</x:v>
      </x:c>
      <x:c r="W863" s="21" t="str">
        <x:f>IF(J863="Рассчитано",T863*M863,"н/д")</x:f>
        <x:v>н/д</x:v>
      </x:c>
      <x:c r="X863" s="21" t="str">
        <x:f>IF(J863="Рассчитано",V863-W863,"н/д")</x:f>
        <x:v>н/д</x:v>
      </x:c>
      <x:c r="Y863" s="27" t="str">
        <x:f>IF(J863="Рассчитано",IF(V863&gt;0,G863/V863,"н/д"),"н/д")</x:f>
        <x:v>н/д</x:v>
      </x:c>
      <x:c r="Z863" s="21" t="str">
        <x:f>"н/д"</x:f>
        <x:v>н/д</x:v>
      </x:c>
      <x:c r="AA863" s="21" t="str">
        <x:f>"н/д"</x:f>
        <x:v>н/д</x:v>
      </x:c>
      <x:c r="AB863" s="21" t="str">
        <x:f>"н/д"</x:f>
        <x:v>н/д</x:v>
      </x:c>
      <x:c r="AC863" s="21" t="str">
        <x:f>IF(AND(J863="Рассчитано",T863&gt;0,R863&lt;100),(W863+P863+Q863)/(T863*(1-R863/100)),"н/д")</x:f>
        <x:v>н/д</x:v>
      </x:c>
      <x:c r="AD863" s="10" t="str">
        <x:f>IF(ISNUMBER(G863),IF(G863&lt;0,"Убыток",IF(G863=0,"Без прибыли","Прибыль &gt; 0")),"Не оценён")</x:f>
        <x:v>Не оценён</x:v>
      </x:c>
      <x:c r="AE863" s="13" t="str">
        <x:f>IF(J863="Рассчитано","Выручка "&amp;TEXT(V863,"0.00")&amp;" - себестоимость "&amp;TEXT(W863,"0.00")&amp;" - комиссия "&amp;TEXT(V863*R863/100,"0.00")&amp;" - доставка "&amp;TEXT(P863,"0.00")&amp;" - прочие "&amp;TEXT(Q863,"0.00")&amp;" = "&amp;TEXT(G863,"0.00")&amp;" "&amp;L863,"Введите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3" s="24" t="n">
        <x:v>18.999165496953616</x:v>
      </x:c>
      <x:c r="AG863" s="37" t="n">
        <x:v>65</x:v>
      </x:c>
      <x:c r="AH863" s="37" t="n">
        <x:v>0</x:v>
      </x:c>
      <x:c r="AI863" s="30" t="n">
        <x:v>46266</x:v>
      </x:c>
      <x:c r="AJ863" s="37" t="n">
        <x:v>10</x:v>
      </x:c>
      <x:c r="AK863" s="10" t="str">
        <x:v>минимум</x:v>
      </x:c>
      <x:c r="AL863" s="32" t="n">
        <x:v>290.93627569825065</x:v>
      </x:c>
      <x:c r="AM8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63" s="13" t="str">
        <x:v>Проверить свободный остаток и установить цену для B2B</x:v>
      </x:c>
      <x:c r="AO863" s="13" t="str">
        <x:v>Остаток 65; прогноз 90 дней 19.00; избыток 46 шт. Будущие поступления не выставляются на продажу. Остаток на начало сентября: требуется актуализация.</x:v>
      </x:c>
      <x:c r="AP863" s="13" t="str">
        <x:v>["category_missing", "daily_stockout_data_missing", "large_orders_detected", "new_order_lead_time_unknown", "reservations_unknown", "stale_stock"]</x:v>
      </x:c>
      <x:c r="AQ863" s="10" t="str">
        <x:v>IEK:250600014_</x:v>
      </x:c>
      <x:c r="AR863" s="24" t="n">
        <x:v>1</x:v>
      </x:c>
      <x:c r="AS863" s="24" t="n">
        <x:v>0</x:v>
      </x:c>
      <x:c r="AT863" s="24" t="n">
        <x:v>0</x:v>
      </x:c>
    </x:row>
    <x:row r="864" ht="64" customHeight="1">
      <x:c r="A864" s="11" t="str">
        <x:v>IEK</x:v>
      </x:c>
      <x:c r="B864" s="33" t="str">
        <x:v>250600015_</x:v>
      </x:c>
      <x:c r="C864" s="33" t="str">
        <x:v>BKP10-4-K01</x:v>
      </x:c>
      <x:c r="D864" s="12" t="str">
        <x:v>Пост кноп (корпус) КП-104 (4 мест.бел.) IEK (10/50)</x:v>
      </x:c>
      <x:c r="E864" s="11" t="str">
        <x:v>шт</x:v>
      </x:c>
      <x:c r="F864" s="35" t="n">
        <x:f>MAX(0,ROUNDDOWN((AG864-AF864)/AR864+0.000000001,0)*AR864)</x:f>
        <x:v>1</x:v>
      </x:c>
      <x:c r="G864" s="20" t="str">
        <x:f>IF(J864="Рассчитано",V864*(1-R864/100)-W864-P864-Q864,"н/д")</x:f>
        <x:v>н/д</x:v>
      </x:c>
      <x:c r="H864" s="12" t="str">
        <x:v>Высокий</x:v>
      </x:c>
      <x:c r="I864" s="12" t="str">
        <x:v>Средний</x:v>
      </x:c>
      <x:c r="J864" s="12" t="str">
        <x:f>IF(L864="","Укажите валюту",IF(NOT(ISNUMBER(K864)),"Укажите объём",IF(K864&lt;=0,"Укажите объём",IF(K864&gt;F864,"Объём выше излишка",IF(COUNT(M864:O864)&lt;3,"Нужны цены",IF(COUNT(P864:R864)&lt;3,"Нужны расходы",IF(OR(M864&lt;0,N864&lt;0,O864&lt;0,O864&gt;100,P864&lt;0,Q864&lt;0,R864&lt;0,R864&gt;100),"Проверьте значения","Рассчитано")))))))</x:f>
        <x:v>Нужны цены</x:v>
      </x:c>
      <x:c r="K864" s="36" t="n">
        <x:v>1</x:v>
      </x:c>
      <x:c r="L864" s="19" t="str">
        <x:v>KZT</x:v>
      </x:c>
      <x:c r="M864" s="22"/>
      <x:c r="N864" s="22"/>
      <x:c r="O864" s="28"/>
      <x:c r="P864" s="22"/>
      <x:c r="Q864" s="22"/>
      <x:c r="R864" s="28"/>
      <x:c r="S864" s="22"/>
      <x:c r="T864" s="35" t="n">
        <x:f>K864</x:f>
        <x:v>1</x:v>
      </x:c>
      <x:c r="U864" s="20" t="str">
        <x:f>IF(J864="Рассчитано",N864*(1-O864/100),"н/д")</x:f>
        <x:v>н/д</x:v>
      </x:c>
      <x:c r="V864" s="20" t="str">
        <x:f>IF(J864="Рассчитано",T864*U864,"н/д")</x:f>
        <x:v>н/д</x:v>
      </x:c>
      <x:c r="W864" s="20" t="str">
        <x:f>IF(J864="Рассчитано",T864*M864,"н/д")</x:f>
        <x:v>н/д</x:v>
      </x:c>
      <x:c r="X864" s="20" t="str">
        <x:f>IF(J864="Рассчитано",V864-W864,"н/д")</x:f>
        <x:v>н/д</x:v>
      </x:c>
      <x:c r="Y864" s="26" t="str">
        <x:f>IF(J864="Рассчитано",IF(V864&gt;0,G864/V864,"н/д"),"н/д")</x:f>
        <x:v>н/д</x:v>
      </x:c>
      <x:c r="Z864" s="20" t="str">
        <x:f>"н/д"</x:f>
        <x:v>н/д</x:v>
      </x:c>
      <x:c r="AA864" s="20" t="str">
        <x:f>"н/д"</x:f>
        <x:v>н/д</x:v>
      </x:c>
      <x:c r="AB864" s="20" t="str">
        <x:f>"н/д"</x:f>
        <x:v>н/д</x:v>
      </x:c>
      <x:c r="AC864" s="20" t="str">
        <x:f>IF(AND(J864="Рассчитано",T864&gt;0,R864&lt;100),(W864+P864+Q864)/(T864*(1-R864/100)),"н/д")</x:f>
        <x:v>н/д</x:v>
      </x:c>
      <x:c r="AD864" s="11" t="str">
        <x:f>IF(ISNUMBER(G864),IF(G864&lt;0,"Убыток",IF(G864=0,"Без прибыли","Прибыль &gt; 0")),"Не оценён")</x:f>
        <x:v>Не оценён</x:v>
      </x:c>
      <x:c r="AE864" s="12" t="str">
        <x:f>IF(J864="Рассчитано","Выручка "&amp;TEXT(V864,"0.00")&amp;" - себестоимость "&amp;TEXT(W864,"0.00")&amp;" - комиссия "&amp;TEXT(V864*R864/100,"0.00")&amp;" - доставка "&amp;TEXT(P864,"0.00")&amp;" - прочие "&amp;TEXT(Q864,"0.00")&amp;" = "&amp;TEXT(G864,"0.00")&amp;" "&amp;L864,"Введите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4" s="23" t="n">
        <x:v>14.062676808560703</x:v>
      </x:c>
      <x:c r="AG864" s="35" t="n">
        <x:v>16</x:v>
      </x:c>
      <x:c r="AH864" s="35" t="n">
        <x:v>0</x:v>
      </x:c>
      <x:c r="AI864" s="29" t="n">
        <x:v>46266</x:v>
      </x:c>
      <x:c r="AJ864" s="35" t="n">
        <x:v>10</x:v>
      </x:c>
      <x:c r="AK864" s="11" t="str">
        <x:v>минимум</x:v>
      </x:c>
      <x:c r="AL864" s="31" t="n">
        <x:v>96.75446838782354</x:v>
      </x:c>
      <x:c r="AM864" s="12" t="str">
        <x:v>Остаток на начало сентября; Резервы неизвестны; Нет ежедневных данных доступности. Запас выше прогноза на 90 дней</x:v>
      </x:c>
      <x:c r="AN864" s="12" t="str">
        <x:v>Проверить свободный остаток и установить цену для B2B</x:v>
      </x:c>
      <x:c r="AO864" s="12" t="str">
        <x:v>Остаток 16; прогноз 90 дней 14.06; избыток 1 шт. Будущие поступления не выставляются на продажу. Остаток на начало сентября: требуется актуализация.</x:v>
      </x:c>
      <x:c r="AP864" s="12" t="str">
        <x:v>["category_missing", "daily_stockout_data_missing", "new_order_lead_time_unknown", "reservations_unknown", "stale_stock"]</x:v>
      </x:c>
      <x:c r="AQ864" s="11" t="str">
        <x:v>IEK:250600015_</x:v>
      </x:c>
      <x:c r="AR864" s="23" t="n">
        <x:v>1</x:v>
      </x:c>
      <x:c r="AS864" s="23" t="n">
        <x:v>0</x:v>
      </x:c>
      <x:c r="AT864" s="23" t="n">
        <x:v>0</x:v>
      </x:c>
    </x:row>
    <x:row r="865" ht="64" customHeight="1">
      <x:c r="A865" s="10" t="str">
        <x:v>IEK</x:v>
      </x:c>
      <x:c r="B865" s="34" t="str">
        <x:v>250600020_</x:v>
      </x:c>
      <x:c r="C865" s="34" t="str">
        <x:v>MKP12-V-04-40-20</x:v>
      </x:c>
      <x:c r="D865" s="13" t="str">
        <x:v>ЩРВ-П  4 IEK (20) MKP12-V-04-04-41</x:v>
      </x:c>
      <x:c r="E865" s="10" t="str">
        <x:v>шт</x:v>
      </x:c>
      <x:c r="F865" s="37" t="n">
        <x:f>MAX(0,ROUNDDOWN((AG865-AF865)/AR865+0.000000001,0)*AR865)</x:f>
        <x:v>13</x:v>
      </x:c>
      <x:c r="G865" s="21" t="str">
        <x:f>IF(J865="Рассчитано",V865*(1-R865/100)-W865-P865-Q865,"н/д")</x:f>
        <x:v>н/д</x:v>
      </x:c>
      <x:c r="H865" s="13" t="str">
        <x:v>Высокий</x:v>
      </x:c>
      <x:c r="I865" s="13" t="str">
        <x:v>Высокий</x:v>
      </x:c>
      <x:c r="J865" s="13" t="str">
        <x:f>IF(L865="","Укажите валюту",IF(NOT(ISNUMBER(K865)),"Укажите объём",IF(K865&lt;=0,"Укажите объём",IF(K865&gt;F865,"Объём выше излишка",IF(COUNT(M865:O865)&lt;3,"Нужны цены",IF(COUNT(P865:R865)&lt;3,"Нужны расходы",IF(OR(M865&lt;0,N865&lt;0,O865&lt;0,O865&gt;100,P865&lt;0,Q865&lt;0,R865&lt;0,R865&gt;100),"Проверьте значения","Рассчитано")))))))</x:f>
        <x:v>Нужны цены</x:v>
      </x:c>
      <x:c r="K865" s="36" t="n">
        <x:v>13</x:v>
      </x:c>
      <x:c r="L865" s="19" t="str">
        <x:v>KZT</x:v>
      </x:c>
      <x:c r="M865" s="22"/>
      <x:c r="N865" s="22"/>
      <x:c r="O865" s="28"/>
      <x:c r="P865" s="22"/>
      <x:c r="Q865" s="22"/>
      <x:c r="R865" s="28"/>
      <x:c r="S865" s="22"/>
      <x:c r="T865" s="37" t="n">
        <x:f>K865</x:f>
        <x:v>13</x:v>
      </x:c>
      <x:c r="U865" s="21" t="str">
        <x:f>IF(J865="Рассчитано",N865*(1-O865/100),"н/д")</x:f>
        <x:v>н/д</x:v>
      </x:c>
      <x:c r="V865" s="21" t="str">
        <x:f>IF(J865="Рассчитано",T865*U865,"н/д")</x:f>
        <x:v>н/д</x:v>
      </x:c>
      <x:c r="W865" s="21" t="str">
        <x:f>IF(J865="Рассчитано",T865*M865,"н/д")</x:f>
        <x:v>н/д</x:v>
      </x:c>
      <x:c r="X865" s="21" t="str">
        <x:f>IF(J865="Рассчитано",V865-W865,"н/д")</x:f>
        <x:v>н/д</x:v>
      </x:c>
      <x:c r="Y865" s="27" t="str">
        <x:f>IF(J865="Рассчитано",IF(V865&gt;0,G865/V865,"н/д"),"н/д")</x:f>
        <x:v>н/д</x:v>
      </x:c>
      <x:c r="Z865" s="21" t="str">
        <x:f>"н/д"</x:f>
        <x:v>н/д</x:v>
      </x:c>
      <x:c r="AA865" s="21" t="str">
        <x:f>"н/д"</x:f>
        <x:v>н/д</x:v>
      </x:c>
      <x:c r="AB865" s="21" t="str">
        <x:f>"н/д"</x:f>
        <x:v>н/д</x:v>
      </x:c>
      <x:c r="AC865" s="21" t="str">
        <x:f>IF(AND(J865="Рассчитано",T865&gt;0,R865&lt;100),(W865+P865+Q865)/(T865*(1-R865/100)),"н/д")</x:f>
        <x:v>н/д</x:v>
      </x:c>
      <x:c r="AD865" s="10" t="str">
        <x:f>IF(ISNUMBER(G865),IF(G865&lt;0,"Убыток",IF(G865=0,"Без прибыли","Прибыль &gt; 0")),"Не оценён")</x:f>
        <x:v>Не оценён</x:v>
      </x:c>
      <x:c r="AE865" s="13" t="str">
        <x:f>IF(J865="Рассчитано","Выручка "&amp;TEXT(V865,"0.00")&amp;" - себестоимость "&amp;TEXT(W865,"0.00")&amp;" - комиссия "&amp;TEXT(V865*R865/100,"0.00")&amp;" - доставка "&amp;TEXT(P865,"0.00")&amp;" - прочие "&amp;TEXT(Q865,"0.00")&amp;" = "&amp;TEXT(G865,"0.00")&amp;" "&amp;L865,"Введите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5" s="24" t="n">
        <x:v>1.5703395726358196</x:v>
      </x:c>
      <x:c r="AG865" s="37" t="n">
        <x:v>15</x:v>
      </x:c>
      <x:c r="AH865" s="37" t="n">
        <x:v>0</x:v>
      </x:c>
      <x:c r="AI865" s="30" t="n">
        <x:v>46266</x:v>
      </x:c>
      <x:c r="AJ865" s="37" t="n">
        <x:v>20</x:v>
      </x:c>
      <x:c r="AK865" s="10" t="str">
        <x:v>минимум</x:v>
      </x:c>
      <x:c r="AL865" s="32" t="n">
        <x:v>812.3005143472618</x:v>
      </x:c>
      <x:c r="AM8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65" s="13" t="str">
        <x:v>Проверить свободный остаток и установить цену для B2B</x:v>
      </x:c>
      <x:c r="AO865" s="13" t="str">
        <x:v>Остаток 15; прогноз 90 дней 1.57; избыток 13 шт. Будущие поступления не выставляются на продажу. Остаток на начало сентября: требуется актуализация.</x:v>
      </x:c>
      <x:c r="AP865" s="13" t="str">
        <x:v>["category_missing", "daily_stockout_data_missing", "new_order_lead_time_unknown", "reservations_unknown", "stale_stock"]</x:v>
      </x:c>
      <x:c r="AQ865" s="10" t="str">
        <x:v>IEK:250600020_</x:v>
      </x:c>
      <x:c r="AR865" s="24" t="n">
        <x:v>1</x:v>
      </x:c>
      <x:c r="AS865" s="24" t="n">
        <x:v>0</x:v>
      </x:c>
      <x:c r="AT865" s="24" t="n">
        <x:v>0</x:v>
      </x:c>
    </x:row>
    <x:row r="866" ht="64" customHeight="1">
      <x:c r="A866" s="11" t="str">
        <x:v>IEK</x:v>
      </x:c>
      <x:c r="B866" s="33" t="str">
        <x:v>250600021_</x:v>
      </x:c>
      <x:c r="C866" s="33" t="str">
        <x:v>MKP12-N-04-40-20</x:v>
      </x:c>
      <x:c r="D866" s="12" t="str">
        <x:v>ЩРН-П  4 IEK (20) MKP12-N-04-04-41</x:v>
      </x:c>
      <x:c r="E866" s="11" t="str">
        <x:v>шт</x:v>
      </x:c>
      <x:c r="F866" s="35" t="n">
        <x:f>MAX(0,ROUNDDOWN((AG866-AF866)/AR866+0.000000001,0)*AR866)</x:f>
        <x:v>37</x:v>
      </x:c>
      <x:c r="G866" s="20" t="str">
        <x:f>IF(J866="Рассчитано",V866*(1-R866/100)-W866-P866-Q866,"н/д")</x:f>
        <x:v>н/д</x:v>
      </x:c>
      <x:c r="H866" s="12" t="str">
        <x:v>Высокий</x:v>
      </x:c>
      <x:c r="I866" s="12" t="str">
        <x:v>Средний</x:v>
      </x:c>
      <x:c r="J866" s="12" t="str">
        <x:f>IF(L866="","Укажите валюту",IF(NOT(ISNUMBER(K866)),"Укажите объём",IF(K866&lt;=0,"Укажите объём",IF(K866&gt;F866,"Объём выше излишка",IF(COUNT(M866:O866)&lt;3,"Нужны цены",IF(COUNT(P866:R866)&lt;3,"Нужны расходы",IF(OR(M866&lt;0,N866&lt;0,O866&lt;0,O866&gt;100,P866&lt;0,Q866&lt;0,R866&lt;0,R866&gt;100),"Проверьте значения","Рассчитано")))))))</x:f>
        <x:v>Нужны цены</x:v>
      </x:c>
      <x:c r="K866" s="36" t="n">
        <x:v>37</x:v>
      </x:c>
      <x:c r="L866" s="19" t="str">
        <x:v>KZT</x:v>
      </x:c>
      <x:c r="M866" s="22"/>
      <x:c r="N866" s="22"/>
      <x:c r="O866" s="28"/>
      <x:c r="P866" s="22"/>
      <x:c r="Q866" s="22"/>
      <x:c r="R866" s="28"/>
      <x:c r="S866" s="22"/>
      <x:c r="T866" s="35" t="n">
        <x:f>K866</x:f>
        <x:v>37</x:v>
      </x:c>
      <x:c r="U866" s="20" t="str">
        <x:f>IF(J866="Рассчитано",N866*(1-O866/100),"н/д")</x:f>
        <x:v>н/д</x:v>
      </x:c>
      <x:c r="V866" s="20" t="str">
        <x:f>IF(J866="Рассчитано",T866*U866,"н/д")</x:f>
        <x:v>н/д</x:v>
      </x:c>
      <x:c r="W866" s="20" t="str">
        <x:f>IF(J866="Рассчитано",T866*M866,"н/д")</x:f>
        <x:v>н/д</x:v>
      </x:c>
      <x:c r="X866" s="20" t="str">
        <x:f>IF(J866="Рассчитано",V866-W866,"н/д")</x:f>
        <x:v>н/д</x:v>
      </x:c>
      <x:c r="Y866" s="26" t="str">
        <x:f>IF(J866="Рассчитано",IF(V866&gt;0,G866/V866,"н/д"),"н/д")</x:f>
        <x:v>н/д</x:v>
      </x:c>
      <x:c r="Z866" s="20" t="str">
        <x:f>"н/д"</x:f>
        <x:v>н/д</x:v>
      </x:c>
      <x:c r="AA866" s="20" t="str">
        <x:f>"н/д"</x:f>
        <x:v>н/д</x:v>
      </x:c>
      <x:c r="AB866" s="20" t="str">
        <x:f>"н/д"</x:f>
        <x:v>н/д</x:v>
      </x:c>
      <x:c r="AC866" s="20" t="str">
        <x:f>IF(AND(J866="Рассчитано",T866&gt;0,R866&lt;100),(W866+P866+Q866)/(T866*(1-R866/100)),"н/д")</x:f>
        <x:v>н/д</x:v>
      </x:c>
      <x:c r="AD866" s="11" t="str">
        <x:f>IF(ISNUMBER(G866),IF(G866&lt;0,"Убыток",IF(G866=0,"Без прибыли","Прибыль &gt; 0")),"Не оценён")</x:f>
        <x:v>Не оценён</x:v>
      </x:c>
      <x:c r="AE866" s="12" t="str">
        <x:f>IF(J866="Рассчитано","Выручка "&amp;TEXT(V866,"0.00")&amp;" - себестоимость "&amp;TEXT(W866,"0.00")&amp;" - комиссия "&amp;TEXT(V866*R866/100,"0.00")&amp;" - доставка "&amp;TEXT(P866,"0.00")&amp;" - прочие "&amp;TEXT(Q866,"0.00")&amp;" = "&amp;TEXT(G866,"0.00")&amp;" "&amp;L866,"Введите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6" s="23" t="n">
        <x:v>43.99637493397139</x:v>
      </x:c>
      <x:c r="AG866" s="35" t="n">
        <x:v>81</x:v>
      </x:c>
      <x:c r="AH866" s="35" t="n">
        <x:v>0</x:v>
      </x:c>
      <x:c r="AI866" s="29" t="n">
        <x:v>46266</x:v>
      </x:c>
      <x:c r="AJ866" s="35" t="n">
        <x:v>20</x:v>
      </x:c>
      <x:c r="AK866" s="11" t="str">
        <x:v>минимум</x:v>
      </x:c>
      <x:c r="AL866" s="31" t="n">
        <x:v>156.56229132782028</x:v>
      </x:c>
      <x:c r="AM86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66" s="12" t="str">
        <x:v>Проверить свободный остаток и установить цену для B2B</x:v>
      </x:c>
      <x:c r="AO866" s="12" t="str">
        <x:v>Остаток 81; прогноз 90 дней 44.00; избыток 37 шт. Будущие поступления не выставляются на продажу. Остаток на начало сентября: требуется актуализация.</x:v>
      </x:c>
      <x:c r="AP866" s="12" t="str">
        <x:v>["category_missing", "daily_stockout_data_missing", "large_orders_detected", "new_order_lead_time_unknown", "reservations_unknown", "stale_stock", "transaction_month_mismatch"]</x:v>
      </x:c>
      <x:c r="AQ866" s="11" t="str">
        <x:v>IEK:250600021_</x:v>
      </x:c>
      <x:c r="AR866" s="23" t="n">
        <x:v>1</x:v>
      </x:c>
      <x:c r="AS866" s="23" t="n">
        <x:v>0</x:v>
      </x:c>
      <x:c r="AT866" s="23" t="n">
        <x:v>0</x:v>
      </x:c>
    </x:row>
    <x:row r="867" ht="64" customHeight="1">
      <x:c r="A867" s="10" t="str">
        <x:v>IEK</x:v>
      </x:c>
      <x:c r="B867" s="34" t="str">
        <x:v>250600030_</x:v>
      </x:c>
      <x:c r="C867" s="34" t="str">
        <x:v>BKP10-1-K01</x:v>
      </x:c>
      <x:c r="D867" s="13" t="str">
        <x:v>Пост кноп (корпус) КП-101 (1 мест.бел.) IEK (10/100)</x:v>
      </x:c>
      <x:c r="E867" s="10" t="str">
        <x:v>шт</x:v>
      </x:c>
      <x:c r="F867" s="37" t="n">
        <x:f>MAX(0,ROUNDDOWN((AG867-AF867)/AR867+0.000000001,0)*AR867)</x:f>
        <x:v>235</x:v>
      </x:c>
      <x:c r="G867" s="21" t="str">
        <x:f>IF(J867="Рассчитано",V867*(1-R867/100)-W867-P867-Q867,"н/д")</x:f>
        <x:v>н/д</x:v>
      </x:c>
      <x:c r="H867" s="13" t="str">
        <x:v>Высокий</x:v>
      </x:c>
      <x:c r="I867" s="13" t="str">
        <x:v>Высокий</x:v>
      </x:c>
      <x:c r="J867" s="13" t="str">
        <x:f>IF(L867="","Укажите валюту",IF(NOT(ISNUMBER(K867)),"Укажите объём",IF(K867&lt;=0,"Укажите объём",IF(K867&gt;F867,"Объём выше излишка",IF(COUNT(M867:O867)&lt;3,"Нужны цены",IF(COUNT(P867:R867)&lt;3,"Нужны расходы",IF(OR(M867&lt;0,N867&lt;0,O867&lt;0,O867&gt;100,P867&lt;0,Q867&lt;0,R867&lt;0,R867&gt;100),"Проверьте значения","Рассчитано")))))))</x:f>
        <x:v>Нужны цены</x:v>
      </x:c>
      <x:c r="K867" s="36" t="n">
        <x:v>235</x:v>
      </x:c>
      <x:c r="L867" s="19" t="str">
        <x:v>KZT</x:v>
      </x:c>
      <x:c r="M867" s="22"/>
      <x:c r="N867" s="22"/>
      <x:c r="O867" s="28"/>
      <x:c r="P867" s="22"/>
      <x:c r="Q867" s="22"/>
      <x:c r="R867" s="28"/>
      <x:c r="S867" s="22"/>
      <x:c r="T867" s="37" t="n">
        <x:f>K867</x:f>
        <x:v>235</x:v>
      </x:c>
      <x:c r="U867" s="21" t="str">
        <x:f>IF(J867="Рассчитано",N867*(1-O867/100),"н/д")</x:f>
        <x:v>н/д</x:v>
      </x:c>
      <x:c r="V867" s="21" t="str">
        <x:f>IF(J867="Рассчитано",T867*U867,"н/д")</x:f>
        <x:v>н/д</x:v>
      </x:c>
      <x:c r="W867" s="21" t="str">
        <x:f>IF(J867="Рассчитано",T867*M867,"н/д")</x:f>
        <x:v>н/д</x:v>
      </x:c>
      <x:c r="X867" s="21" t="str">
        <x:f>IF(J867="Рассчитано",V867-W867,"н/д")</x:f>
        <x:v>н/д</x:v>
      </x:c>
      <x:c r="Y867" s="27" t="str">
        <x:f>IF(J867="Рассчитано",IF(V867&gt;0,G867/V867,"н/д"),"н/д")</x:f>
        <x:v>н/д</x:v>
      </x:c>
      <x:c r="Z867" s="21" t="str">
        <x:f>"н/д"</x:f>
        <x:v>н/д</x:v>
      </x:c>
      <x:c r="AA867" s="21" t="str">
        <x:f>"н/д"</x:f>
        <x:v>н/д</x:v>
      </x:c>
      <x:c r="AB867" s="21" t="str">
        <x:f>"н/д"</x:f>
        <x:v>н/д</x:v>
      </x:c>
      <x:c r="AC867" s="21" t="str">
        <x:f>IF(AND(J867="Рассчитано",T867&gt;0,R867&lt;100),(W867+P867+Q867)/(T867*(1-R867/100)),"н/д")</x:f>
        <x:v>н/д</x:v>
      </x:c>
      <x:c r="AD867" s="10" t="str">
        <x:f>IF(ISNUMBER(G867),IF(G867&lt;0,"Убыток",IF(G867=0,"Без прибыли","Прибыль &gt; 0")),"Не оценён")</x:f>
        <x:v>Не оценён</x:v>
      </x:c>
      <x:c r="AE867" s="13" t="str">
        <x:f>IF(J867="Рассчитано","Выручка "&amp;TEXT(V867,"0.00")&amp;" - себестоимость "&amp;TEXT(W867,"0.00")&amp;" - комиссия "&amp;TEXT(V867*R867/100,"0.00")&amp;" - доставка "&amp;TEXT(P867,"0.00")&amp;" - прочие "&amp;TEXT(Q867,"0.00")&amp;" = "&amp;TEXT(G867,"0.00")&amp;" "&amp;L867,"Введите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7" s="24" t="n">
        <x:v>123.22953773353838</x:v>
      </x:c>
      <x:c r="AG867" s="37" t="n">
        <x:v>359</x:v>
      </x:c>
      <x:c r="AH867" s="37" t="n">
        <x:v>0</x:v>
      </x:c>
      <x:c r="AI867" s="30" t="n">
        <x:v>46266</x:v>
      </x:c>
      <x:c r="AJ867" s="37" t="n">
        <x:v>10</x:v>
      </x:c>
      <x:c r="AK867" s="10" t="str">
        <x:v>минимум</x:v>
      </x:c>
      <x:c r="AL867" s="32" t="n">
        <x:v>247.74144905980194</x:v>
      </x:c>
      <x:c r="AM867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867" s="13" t="str">
        <x:v>Проверить свободный остаток и установить цену для B2B</x:v>
      </x:c>
      <x:c r="AO867" s="13" t="str">
        <x:v>Остаток 359; прогноз 90 дней 123.23; избыток 235 шт. Будущие поступления не выставляются на продажу. Остаток на начало сентября: требуется актуализация.</x:v>
      </x:c>
      <x:c r="AP867" s="13" t="str">
        <x:v>["category_missing", "daily_stockout_data_missing", "large_orders_detected", "new_order_lead_time_unknown", "reservations_unknown", "stale_stock", "transaction_month_mismatch"]</x:v>
      </x:c>
      <x:c r="AQ867" s="10" t="str">
        <x:v>IEK:250600030_</x:v>
      </x:c>
      <x:c r="AR867" s="24" t="n">
        <x:v>1</x:v>
      </x:c>
      <x:c r="AS867" s="24" t="n">
        <x:v>0</x:v>
      </x:c>
      <x:c r="AT867" s="24" t="n">
        <x:v>0</x:v>
      </x:c>
    </x:row>
    <x:row r="868" ht="64" customHeight="1">
      <x:c r="A868" s="11" t="str">
        <x:v>IEK</x:v>
      </x:c>
      <x:c r="B868" s="33" t="str">
        <x:v>250600034_</x:v>
      </x:c>
      <x:c r="C868" s="33"/>
      <x:c r="D868" s="12" t="str">
        <x:v>Бокс КМПн-12 IP55 !!!</x:v>
      </x:c>
      <x:c r="E868" s="11" t="str">
        <x:v>шт</x:v>
      </x:c>
      <x:c r="F868" s="35" t="n">
        <x:f>MAX(0,ROUNDDOWN((AG868-AF868)/AR868+0.000000001,0)*AR868)</x:f>
        <x:v>6</x:v>
      </x:c>
      <x:c r="G868" s="20" t="str">
        <x:f>IF(J868="Рассчитано",V868*(1-R868/100)-W868-P868-Q868,"н/д")</x:f>
        <x:v>н/д</x:v>
      </x:c>
      <x:c r="H868" s="12" t="str">
        <x:v>Высокий</x:v>
      </x:c>
      <x:c r="I868" s="12" t="str">
        <x:v>Высокий</x:v>
      </x:c>
      <x:c r="J868" s="12" t="str">
        <x:f>IF(L868="","Укажите валюту",IF(NOT(ISNUMBER(K868)),"Укажите объём",IF(K868&lt;=0,"Укажите объём",IF(K868&gt;F868,"Объём выше излишка",IF(COUNT(M868:O868)&lt;3,"Нужны цены",IF(COUNT(P868:R868)&lt;3,"Нужны расходы",IF(OR(M868&lt;0,N868&lt;0,O868&lt;0,O868&gt;100,P868&lt;0,Q868&lt;0,R868&lt;0,R868&gt;100),"Проверьте значения","Рассчитано")))))))</x:f>
        <x:v>Нужны цены</x:v>
      </x:c>
      <x:c r="K868" s="36" t="n">
        <x:v>6</x:v>
      </x:c>
      <x:c r="L868" s="19" t="str">
        <x:v>KZT</x:v>
      </x:c>
      <x:c r="M868" s="22"/>
      <x:c r="N868" s="22"/>
      <x:c r="O868" s="28"/>
      <x:c r="P868" s="22"/>
      <x:c r="Q868" s="22"/>
      <x:c r="R868" s="28"/>
      <x:c r="S868" s="22"/>
      <x:c r="T868" s="35" t="n">
        <x:f>K868</x:f>
        <x:v>6</x:v>
      </x:c>
      <x:c r="U868" s="20" t="str">
        <x:f>IF(J868="Рассчитано",N868*(1-O868/100),"н/д")</x:f>
        <x:v>н/д</x:v>
      </x:c>
      <x:c r="V868" s="20" t="str">
        <x:f>IF(J868="Рассчитано",T868*U868,"н/д")</x:f>
        <x:v>н/д</x:v>
      </x:c>
      <x:c r="W868" s="20" t="str">
        <x:f>IF(J868="Рассчитано",T868*M868,"н/д")</x:f>
        <x:v>н/д</x:v>
      </x:c>
      <x:c r="X868" s="20" t="str">
        <x:f>IF(J868="Рассчитано",V868-W868,"н/д")</x:f>
        <x:v>н/д</x:v>
      </x:c>
      <x:c r="Y868" s="26" t="str">
        <x:f>IF(J868="Рассчитано",IF(V868&gt;0,G868/V868,"н/д"),"н/д")</x:f>
        <x:v>н/д</x:v>
      </x:c>
      <x:c r="Z868" s="20" t="str">
        <x:f>"н/д"</x:f>
        <x:v>н/д</x:v>
      </x:c>
      <x:c r="AA868" s="20" t="str">
        <x:f>"н/д"</x:f>
        <x:v>н/д</x:v>
      </x:c>
      <x:c r="AB868" s="20" t="str">
        <x:f>"н/д"</x:f>
        <x:v>н/д</x:v>
      </x:c>
      <x:c r="AC868" s="20" t="str">
        <x:f>IF(AND(J868="Рассчитано",T868&gt;0,R868&lt;100),(W868+P868+Q868)/(T868*(1-R868/100)),"н/д")</x:f>
        <x:v>н/д</x:v>
      </x:c>
      <x:c r="AD868" s="11" t="str">
        <x:f>IF(ISNUMBER(G868),IF(G868&lt;0,"Убыток",IF(G868=0,"Без прибыли","Прибыль &gt; 0")),"Не оценён")</x:f>
        <x:v>Не оценён</x:v>
      </x:c>
      <x:c r="AE868" s="12" t="str">
        <x:f>IF(J868="Рассчитано","Выручка "&amp;TEXT(V868,"0.00")&amp;" - себестоимость "&amp;TEXT(W868,"0.00")&amp;" - комиссия "&amp;TEXT(V868*R868/100,"0.00")&amp;" - доставка "&amp;TEXT(P868,"0.00")&amp;" - прочие "&amp;TEXT(Q868,"0.00")&amp;" = "&amp;TEXT(G868,"0.00")&amp;" "&amp;L868,"Введите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8" s="23" t="n">
        <x:v>0.6845053365855409</x:v>
      </x:c>
      <x:c r="AG868" s="35" t="n">
        <x:v>7</x:v>
      </x:c>
      <x:c r="AH868" s="35" t="n">
        <x:v>0</x:v>
      </x:c>
      <x:c r="AI868" s="29" t="n">
        <x:v>46266</x:v>
      </x:c>
      <x:c r="AJ868" s="35"/>
      <x:c r="AK868" s="11" t="str">
        <x:v>неизвестно</x:v>
      </x:c>
      <x:c r="AL868" s="31" t="n">
        <x:v>869.6414788528306</x:v>
      </x:c>
      <x:c r="AM868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868" s="12" t="str">
        <x:v>Проверить свободный остаток и установить цену для B2B</x:v>
      </x:c>
      <x:c r="AO868" s="12" t="str">
        <x:v>Остаток 7; прогноз 90 дней 0.68; избыток 6 шт. Будущие поступления не выставляются на продажу. Остаток на начало сентября: требуется актуализация.</x:v>
      </x:c>
      <x:c r="AP868" s="12" t="str">
        <x:v>["category_missing", "daily_stockout_data_missing", "moq_missing", "new_order_lead_time_unknown", "reservations_unknown", "stale_stock", "supplier_sku_missing"]</x:v>
      </x:c>
      <x:c r="AQ868" s="11" t="str">
        <x:v>IEK:250600034_</x:v>
      </x:c>
      <x:c r="AR868" s="23" t="n">
        <x:v>1</x:v>
      </x:c>
      <x:c r="AS868" s="23" t="n">
        <x:v>0</x:v>
      </x:c>
      <x:c r="AT868" s="23" t="n">
        <x:v>0</x:v>
      </x:c>
    </x:row>
    <x:row r="869" ht="64" customHeight="1">
      <x:c r="A869" s="10" t="str">
        <x:v>IEK</x:v>
      </x:c>
      <x:c r="B869" s="34" t="str">
        <x:v>250600041_</x:v>
      </x:c>
      <x:c r="C869" s="34" t="str">
        <x:v>MSP308-3-55</x:v>
      </x:c>
      <x:c r="D869" s="13" t="str">
        <x:v>ЩУРн-П 3/8 IP55 (365х225х120) IEK</x:v>
      </x:c>
      <x:c r="E869" s="10" t="str">
        <x:v>шт</x:v>
      </x:c>
      <x:c r="F869" s="37" t="n">
        <x:f>MAX(0,ROUNDDOWN((AG869-AF869)/AR869+0.000000001,0)*AR869)</x:f>
        <x:v>11</x:v>
      </x:c>
      <x:c r="G869" s="21" t="str">
        <x:f>IF(J869="Рассчитано",V869*(1-R869/100)-W869-P869-Q869,"н/д")</x:f>
        <x:v>н/д</x:v>
      </x:c>
      <x:c r="H869" s="13" t="str">
        <x:v>Высокий</x:v>
      </x:c>
      <x:c r="I869" s="13" t="str">
        <x:v>Средний</x:v>
      </x:c>
      <x:c r="J869" s="13" t="str">
        <x:f>IF(L869="","Укажите валюту",IF(NOT(ISNUMBER(K869)),"Укажите объём",IF(K869&lt;=0,"Укажите объём",IF(K869&gt;F869,"Объём выше излишка",IF(COUNT(M869:O869)&lt;3,"Нужны цены",IF(COUNT(P869:R869)&lt;3,"Нужны расходы",IF(OR(M869&lt;0,N869&lt;0,O869&lt;0,O869&gt;100,P869&lt;0,Q869&lt;0,R869&lt;0,R869&gt;100),"Проверьте значения","Рассчитано")))))))</x:f>
        <x:v>Нужны цены</x:v>
      </x:c>
      <x:c r="K869" s="36" t="n">
        <x:v>11</x:v>
      </x:c>
      <x:c r="L869" s="19" t="str">
        <x:v>KZT</x:v>
      </x:c>
      <x:c r="M869" s="22"/>
      <x:c r="N869" s="22"/>
      <x:c r="O869" s="28"/>
      <x:c r="P869" s="22"/>
      <x:c r="Q869" s="22"/>
      <x:c r="R869" s="28"/>
      <x:c r="S869" s="22"/>
      <x:c r="T869" s="37" t="n">
        <x:f>K869</x:f>
        <x:v>11</x:v>
      </x:c>
      <x:c r="U869" s="21" t="str">
        <x:f>IF(J869="Рассчитано",N869*(1-O869/100),"н/д")</x:f>
        <x:v>н/д</x:v>
      </x:c>
      <x:c r="V869" s="21" t="str">
        <x:f>IF(J869="Рассчитано",T869*U869,"н/д")</x:f>
        <x:v>н/д</x:v>
      </x:c>
      <x:c r="W869" s="21" t="str">
        <x:f>IF(J869="Рассчитано",T869*M869,"н/д")</x:f>
        <x:v>н/д</x:v>
      </x:c>
      <x:c r="X869" s="21" t="str">
        <x:f>IF(J869="Рассчитано",V869-W869,"н/д")</x:f>
        <x:v>н/д</x:v>
      </x:c>
      <x:c r="Y869" s="27" t="str">
        <x:f>IF(J869="Рассчитано",IF(V869&gt;0,G869/V869,"н/д"),"н/д")</x:f>
        <x:v>н/д</x:v>
      </x:c>
      <x:c r="Z869" s="21" t="str">
        <x:f>"н/д"</x:f>
        <x:v>н/д</x:v>
      </x:c>
      <x:c r="AA869" s="21" t="str">
        <x:f>"н/д"</x:f>
        <x:v>н/д</x:v>
      </x:c>
      <x:c r="AB869" s="21" t="str">
        <x:f>"н/д"</x:f>
        <x:v>н/д</x:v>
      </x:c>
      <x:c r="AC869" s="21" t="str">
        <x:f>IF(AND(J869="Рассчитано",T869&gt;0,R869&lt;100),(W869+P869+Q869)/(T869*(1-R869/100)),"н/д")</x:f>
        <x:v>н/д</x:v>
      </x:c>
      <x:c r="AD869" s="10" t="str">
        <x:f>IF(ISNUMBER(G869),IF(G869&lt;0,"Убыток",IF(G869=0,"Без прибыли","Прибыль &gt; 0")),"Не оценён")</x:f>
        <x:v>Не оценён</x:v>
      </x:c>
      <x:c r="AE869" s="13" t="str">
        <x:f>IF(J869="Рассчитано","Выручка "&amp;TEXT(V869,"0.00")&amp;" - себестоимость "&amp;TEXT(W869,"0.00")&amp;" - комиссия "&amp;TEXT(V869*R869/100,"0.00")&amp;" - доставка "&amp;TEXT(P869,"0.00")&amp;" - прочие "&amp;TEXT(Q869,"0.00")&amp;" = "&amp;TEXT(G869,"0.00")&amp;" "&amp;L869,"Введите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9" s="24" t="n">
        <x:v>11.46978433647388</x:v>
      </x:c>
      <x:c r="AG869" s="37" t="n">
        <x:v>23</x:v>
      </x:c>
      <x:c r="AH869" s="37" t="n">
        <x:v>0</x:v>
      </x:c>
      <x:c r="AI869" s="30" t="n">
        <x:v>46266</x:v>
      </x:c>
      <x:c r="AJ869" s="37" t="n">
        <x:v>1</x:v>
      </x:c>
      <x:c r="AK869" s="10" t="str">
        <x:v>минимум</x:v>
      </x:c>
      <x:c r="AL869" s="32" t="n">
        <x:v>170.52640176443512</x:v>
      </x:c>
      <x:c r="AM869" s="13" t="str">
        <x:v>Остаток на начало сентября; Резервы неизвестны; Нет ежедневных данных доступности. Запас выше прогноза на 90 дней</x:v>
      </x:c>
      <x:c r="AN869" s="13" t="str">
        <x:v>Проверить свободный остаток и установить цену для B2B</x:v>
      </x:c>
      <x:c r="AO869" s="13" t="str">
        <x:v>Остаток 23; прогноз 90 дней 11.47; избыток 11 шт. Будущие поступления не выставляются на продажу. Остаток на начало сентября: требуется актуализация.</x:v>
      </x:c>
      <x:c r="AP869" s="13" t="str">
        <x:v>["category_missing", "daily_stockout_data_missing", "new_order_lead_time_unknown", "reservations_unknown", "stale_stock"]</x:v>
      </x:c>
      <x:c r="AQ869" s="10" t="str">
        <x:v>IEK:250600041_</x:v>
      </x:c>
      <x:c r="AR869" s="24" t="n">
        <x:v>1</x:v>
      </x:c>
      <x:c r="AS869" s="24" t="n">
        <x:v>0</x:v>
      </x:c>
      <x:c r="AT869" s="24" t="n">
        <x:v>0</x:v>
      </x:c>
    </x:row>
    <x:row r="870" ht="64" customHeight="1">
      <x:c r="A870" s="11" t="str">
        <x:v>IEK</x:v>
      </x:c>
      <x:c r="B870" s="33" t="str">
        <x:v>250600115_</x:v>
      </x:c>
      <x:c r="C870" s="33" t="str">
        <x:v>MKP82-N-06-41-20</x:v>
      </x:c>
      <x:c r="D870" s="12" t="str">
        <x:v>ЩРН-П  6 PRIME IEK (20) !!!</x:v>
      </x:c>
      <x:c r="E870" s="11" t="str">
        <x:v>шт</x:v>
      </x:c>
      <x:c r="F870" s="35" t="n">
        <x:f>MAX(0,ROUNDDOWN((AG870-AF870)/AR870+0.000000001,0)*AR870)</x:f>
        <x:v>1</x:v>
      </x:c>
      <x:c r="G870" s="20" t="str">
        <x:f>IF(J870="Рассчитано",V870*(1-R870/100)-W870-P870-Q870,"н/д")</x:f>
        <x:v>н/д</x:v>
      </x:c>
      <x:c r="H870" s="12" t="str">
        <x:v>Высокий</x:v>
      </x:c>
      <x:c r="I870" s="12" t="str">
        <x:v>Высокий</x:v>
      </x:c>
      <x:c r="J870" s="12" t="str">
        <x:f>IF(L870="","Укажите валюту",IF(NOT(ISNUMBER(K870)),"Укажите объём",IF(K870&lt;=0,"Укажите объём",IF(K870&gt;F870,"Объём выше излишка",IF(COUNT(M870:O870)&lt;3,"Нужны цены",IF(COUNT(P870:R870)&lt;3,"Нужны расходы",IF(OR(M870&lt;0,N870&lt;0,O870&lt;0,O870&gt;100,P870&lt;0,Q870&lt;0,R870&lt;0,R870&gt;100),"Проверьте значения","Рассчитано")))))))</x:f>
        <x:v>Нужны цены</x:v>
      </x:c>
      <x:c r="K870" s="36" t="n">
        <x:v>1</x:v>
      </x:c>
      <x:c r="L870" s="19" t="str">
        <x:v>KZT</x:v>
      </x:c>
      <x:c r="M870" s="22"/>
      <x:c r="N870" s="22"/>
      <x:c r="O870" s="28"/>
      <x:c r="P870" s="22"/>
      <x:c r="Q870" s="22"/>
      <x:c r="R870" s="28"/>
      <x:c r="S870" s="22"/>
      <x:c r="T870" s="35" t="n">
        <x:f>K870</x:f>
        <x:v>1</x:v>
      </x:c>
      <x:c r="U870" s="20" t="str">
        <x:f>IF(J870="Рассчитано",N870*(1-O870/100),"н/д")</x:f>
        <x:v>н/д</x:v>
      </x:c>
      <x:c r="V870" s="20" t="str">
        <x:f>IF(J870="Рассчитано",T870*U870,"н/д")</x:f>
        <x:v>н/д</x:v>
      </x:c>
      <x:c r="W870" s="20" t="str">
        <x:f>IF(J870="Рассчитано",T870*M870,"н/д")</x:f>
        <x:v>н/д</x:v>
      </x:c>
      <x:c r="X870" s="20" t="str">
        <x:f>IF(J870="Рассчитано",V870-W870,"н/д")</x:f>
        <x:v>н/д</x:v>
      </x:c>
      <x:c r="Y870" s="26" t="str">
        <x:f>IF(J870="Рассчитано",IF(V870&gt;0,G870/V870,"н/д"),"н/д")</x:f>
        <x:v>н/д</x:v>
      </x:c>
      <x:c r="Z870" s="20" t="str">
        <x:f>"н/д"</x:f>
        <x:v>н/д</x:v>
      </x:c>
      <x:c r="AA870" s="20" t="str">
        <x:f>"н/д"</x:f>
        <x:v>н/д</x:v>
      </x:c>
      <x:c r="AB870" s="20" t="str">
        <x:f>"н/д"</x:f>
        <x:v>н/д</x:v>
      </x:c>
      <x:c r="AC870" s="20" t="str">
        <x:f>IF(AND(J870="Рассчитано",T870&gt;0,R870&lt;100),(W870+P870+Q870)/(T870*(1-R870/100)),"н/д")</x:f>
        <x:v>н/д</x:v>
      </x:c>
      <x:c r="AD870" s="11" t="str">
        <x:f>IF(ISNUMBER(G870),IF(G870&lt;0,"Убыток",IF(G870=0,"Без прибыли","Прибыль &gt; 0")),"Не оценён")</x:f>
        <x:v>Не оценён</x:v>
      </x:c>
      <x:c r="AE870" s="12" t="str">
        <x:f>IF(J870="Рассчитано","Выручка "&amp;TEXT(V870,"0.00")&amp;" - себестоимость "&amp;TEXT(W870,"0.00")&amp;" - комиссия "&amp;TEXT(V870*R870/100,"0.00")&amp;" - доставка "&amp;TEXT(P870,"0.00")&amp;" - прочие "&amp;TEXT(Q870,"0.00")&amp;" = "&amp;TEXT(G870,"0.00")&amp;" "&amp;L870,"Введите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0" s="23" t="n">
        <x:v>0</x:v>
      </x:c>
      <x:c r="AG870" s="35" t="n">
        <x:v>1</x:v>
      </x:c>
      <x:c r="AH870" s="35" t="n">
        <x:v>0</x:v>
      </x:c>
      <x:c r="AI870" s="29" t="n">
        <x:v>46266</x:v>
      </x:c>
      <x:c r="AJ870" s="35"/>
      <x:c r="AK870" s="11" t="str">
        <x:v>неизвестно</x:v>
      </x:c>
      <x:c r="AL870" s="31" t="str">
        <x:v>н/д</x:v>
      </x:c>
      <x:c r="AM87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870" s="12" t="str">
        <x:v>Проверить свободный остаток и установить цену для B2B</x:v>
      </x:c>
      <x:c r="AO870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870" s="12" t="str">
        <x:v>["category_missing", "daily_stockout_data_missing", "moq_missing", "new_order_lead_time_unknown", "reservations_unknown", "stale_stock"]</x:v>
      </x:c>
      <x:c r="AQ870" s="11" t="str">
        <x:v>IEK:250600115_</x:v>
      </x:c>
      <x:c r="AR870" s="23" t="n">
        <x:v>1</x:v>
      </x:c>
      <x:c r="AS870" s="23" t="n">
        <x:v>0</x:v>
      </x:c>
      <x:c r="AT870" s="23" t="n">
        <x:v>0</x:v>
      </x:c>
    </x:row>
    <x:row r="871" ht="64" customHeight="1">
      <x:c r="A871" s="10" t="str">
        <x:v>IEK</x:v>
      </x:c>
      <x:c r="B871" s="34" t="str">
        <x:v>250600129_</x:v>
      </x:c>
      <x:c r="C871" s="34" t="str">
        <x:v>MKP93-N-403022-65</x:v>
      </x:c>
      <x:c r="D871" s="13" t="str">
        <x:v>ЩМПп-1 (400х300х220) IP65 IEK</x:v>
      </x:c>
      <x:c r="E871" s="10" t="str">
        <x:v>шт</x:v>
      </x:c>
      <x:c r="F871" s="37" t="n">
        <x:f>MAX(0,ROUNDDOWN((AG871-AF871)/AR871+0.000000001,0)*AR871)</x:f>
        <x:v>21</x:v>
      </x:c>
      <x:c r="G871" s="21" t="str">
        <x:f>IF(J871="Рассчитано",V871*(1-R871/100)-W871-P871-Q871,"н/д")</x:f>
        <x:v>н/д</x:v>
      </x:c>
      <x:c r="H871" s="13" t="str">
        <x:v>Высокий</x:v>
      </x:c>
      <x:c r="I871" s="13" t="str">
        <x:v>Средний</x:v>
      </x:c>
      <x:c r="J871" s="13" t="str">
        <x:f>IF(L871="","Укажите валюту",IF(NOT(ISNUMBER(K871)),"Укажите объём",IF(K871&lt;=0,"Укажите объём",IF(K871&gt;F871,"Объём выше излишка",IF(COUNT(M871:O871)&lt;3,"Нужны цены",IF(COUNT(P871:R871)&lt;3,"Нужны расходы",IF(OR(M871&lt;0,N871&lt;0,O871&lt;0,O871&gt;100,P871&lt;0,Q871&lt;0,R871&lt;0,R871&gt;100),"Проверьте значения","Рассчитано")))))))</x:f>
        <x:v>Нужны цены</x:v>
      </x:c>
      <x:c r="K871" s="36" t="n">
        <x:v>21</x:v>
      </x:c>
      <x:c r="L871" s="19" t="str">
        <x:v>KZT</x:v>
      </x:c>
      <x:c r="M871" s="22"/>
      <x:c r="N871" s="22"/>
      <x:c r="O871" s="28"/>
      <x:c r="P871" s="22"/>
      <x:c r="Q871" s="22"/>
      <x:c r="R871" s="28"/>
      <x:c r="S871" s="22"/>
      <x:c r="T871" s="37" t="n">
        <x:f>K871</x:f>
        <x:v>21</x:v>
      </x:c>
      <x:c r="U871" s="21" t="str">
        <x:f>IF(J871="Рассчитано",N871*(1-O871/100),"н/д")</x:f>
        <x:v>н/д</x:v>
      </x:c>
      <x:c r="V871" s="21" t="str">
        <x:f>IF(J871="Рассчитано",T871*U871,"н/д")</x:f>
        <x:v>н/д</x:v>
      </x:c>
      <x:c r="W871" s="21" t="str">
        <x:f>IF(J871="Рассчитано",T871*M871,"н/д")</x:f>
        <x:v>н/д</x:v>
      </x:c>
      <x:c r="X871" s="21" t="str">
        <x:f>IF(J871="Рассчитано",V871-W871,"н/д")</x:f>
        <x:v>н/д</x:v>
      </x:c>
      <x:c r="Y871" s="27" t="str">
        <x:f>IF(J871="Рассчитано",IF(V871&gt;0,G871/V871,"н/д"),"н/д")</x:f>
        <x:v>н/д</x:v>
      </x:c>
      <x:c r="Z871" s="21" t="str">
        <x:f>"н/д"</x:f>
        <x:v>н/д</x:v>
      </x:c>
      <x:c r="AA871" s="21" t="str">
        <x:f>"н/д"</x:f>
        <x:v>н/д</x:v>
      </x:c>
      <x:c r="AB871" s="21" t="str">
        <x:f>"н/д"</x:f>
        <x:v>н/д</x:v>
      </x:c>
      <x:c r="AC871" s="21" t="str">
        <x:f>IF(AND(J871="Рассчитано",T871&gt;0,R871&lt;100),(W871+P871+Q871)/(T871*(1-R871/100)),"н/д")</x:f>
        <x:v>н/д</x:v>
      </x:c>
      <x:c r="AD871" s="10" t="str">
        <x:f>IF(ISNUMBER(G871),IF(G871&lt;0,"Убыток",IF(G871=0,"Без прибыли","Прибыль &gt; 0")),"Не оценён")</x:f>
        <x:v>Не оценён</x:v>
      </x:c>
      <x:c r="AE871" s="13" t="str">
        <x:f>IF(J871="Рассчитано","Выручка "&amp;TEXT(V871,"0.00")&amp;" - себестоимость "&amp;TEXT(W871,"0.00")&amp;" - комиссия "&amp;TEXT(V871*R871/100,"0.00")&amp;" - доставка "&amp;TEXT(P871,"0.00")&amp;" - прочие "&amp;TEXT(Q871,"0.00")&amp;" = "&amp;TEXT(G871,"0.00")&amp;" "&amp;L871,"Введите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1" s="24" t="n">
        <x:v>23.178076888397737</x:v>
      </x:c>
      <x:c r="AG871" s="37" t="n">
        <x:v>45</x:v>
      </x:c>
      <x:c r="AH871" s="37" t="n">
        <x:v>0</x:v>
      </x:c>
      <x:c r="AI871" s="30" t="n">
        <x:v>46266</x:v>
      </x:c>
      <x:c r="AJ871" s="37" t="n">
        <x:v>1</x:v>
      </x:c>
      <x:c r="AK871" s="10" t="str">
        <x:v>минимум</x:v>
      </x:c>
      <x:c r="AL871" s="32" t="n">
        <x:v>165.10269363940952</x:v>
      </x:c>
      <x:c r="AM87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71" s="13" t="str">
        <x:v>Проверить свободный остаток и установить цену для B2B</x:v>
      </x:c>
      <x:c r="AO871" s="13" t="str">
        <x:v>Остаток 45; прогноз 90 дней 23.18; избыток 21 шт. Будущие поступления не выставляются на продажу. Остаток на начало сентября: требуется актуализация.</x:v>
      </x:c>
      <x:c r="AP871" s="13" t="str">
        <x:v>["category_missing", "daily_stockout_data_missing", "large_orders_detected", "new_order_lead_time_unknown", "reservations_unknown", "stale_stock", "transaction_month_mismatch"]</x:v>
      </x:c>
      <x:c r="AQ871" s="10" t="str">
        <x:v>IEK:250600129_</x:v>
      </x:c>
      <x:c r="AR871" s="24" t="n">
        <x:v>1</x:v>
      </x:c>
      <x:c r="AS871" s="24" t="n">
        <x:v>0</x:v>
      </x:c>
      <x:c r="AT871" s="24" t="n">
        <x:v>0</x:v>
      </x:c>
    </x:row>
    <x:row r="872" ht="64" customHeight="1">
      <x:c r="A872" s="11" t="str">
        <x:v>IEK</x:v>
      </x:c>
      <x:c r="B872" s="33" t="str">
        <x:v>250600130_</x:v>
      </x:c>
      <x:c r="C872" s="33" t="str">
        <x:v>MKP93-N-504024-65</x:v>
      </x:c>
      <x:c r="D872" s="12" t="str">
        <x:v>ЩМПп-2 (500х400х240)  IP65 IEK</x:v>
      </x:c>
      <x:c r="E872" s="11" t="str">
        <x:v>шт</x:v>
      </x:c>
      <x:c r="F872" s="35" t="n">
        <x:f>MAX(0,ROUNDDOWN((AG872-AF872)/AR872+0.000000001,0)*AR872)</x:f>
        <x:v>7</x:v>
      </x:c>
      <x:c r="G872" s="20" t="str">
        <x:f>IF(J872="Рассчитано",V872*(1-R872/100)-W872-P872-Q872,"н/д")</x:f>
        <x:v>н/д</x:v>
      </x:c>
      <x:c r="H872" s="12" t="str">
        <x:v>Высокий</x:v>
      </x:c>
      <x:c r="I872" s="12" t="str">
        <x:v>Высокий</x:v>
      </x:c>
      <x:c r="J872" s="12" t="str">
        <x:f>IF(L872="","Укажите валюту",IF(NOT(ISNUMBER(K872)),"Укажите объём",IF(K872&lt;=0,"Укажите объём",IF(K872&gt;F872,"Объём выше излишка",IF(COUNT(M872:O872)&lt;3,"Нужны цены",IF(COUNT(P872:R872)&lt;3,"Нужны расходы",IF(OR(M872&lt;0,N872&lt;0,O872&lt;0,O872&gt;100,P872&lt;0,Q872&lt;0,R872&lt;0,R872&gt;100),"Проверьте значения","Рассчитано")))))))</x:f>
        <x:v>Нужны цены</x:v>
      </x:c>
      <x:c r="K872" s="36" t="n">
        <x:v>7</x:v>
      </x:c>
      <x:c r="L872" s="19" t="str">
        <x:v>KZT</x:v>
      </x:c>
      <x:c r="M872" s="22"/>
      <x:c r="N872" s="22"/>
      <x:c r="O872" s="28"/>
      <x:c r="P872" s="22"/>
      <x:c r="Q872" s="22"/>
      <x:c r="R872" s="28"/>
      <x:c r="S872" s="22"/>
      <x:c r="T872" s="35" t="n">
        <x:f>K872</x:f>
        <x:v>7</x:v>
      </x:c>
      <x:c r="U872" s="20" t="str">
        <x:f>IF(J872="Рассчитано",N872*(1-O872/100),"н/д")</x:f>
        <x:v>н/д</x:v>
      </x:c>
      <x:c r="V872" s="20" t="str">
        <x:f>IF(J872="Рассчитано",T872*U872,"н/д")</x:f>
        <x:v>н/д</x:v>
      </x:c>
      <x:c r="W872" s="20" t="str">
        <x:f>IF(J872="Рассчитано",T872*M872,"н/д")</x:f>
        <x:v>н/д</x:v>
      </x:c>
      <x:c r="X872" s="20" t="str">
        <x:f>IF(J872="Рассчитано",V872-W872,"н/д")</x:f>
        <x:v>н/д</x:v>
      </x:c>
      <x:c r="Y872" s="26" t="str">
        <x:f>IF(J872="Рассчитано",IF(V872&gt;0,G872/V872,"н/д"),"н/д")</x:f>
        <x:v>н/д</x:v>
      </x:c>
      <x:c r="Z872" s="20" t="str">
        <x:f>"н/д"</x:f>
        <x:v>н/д</x:v>
      </x:c>
      <x:c r="AA872" s="20" t="str">
        <x:f>"н/д"</x:f>
        <x:v>н/д</x:v>
      </x:c>
      <x:c r="AB872" s="20" t="str">
        <x:f>"н/д"</x:f>
        <x:v>н/д</x:v>
      </x:c>
      <x:c r="AC872" s="20" t="str">
        <x:f>IF(AND(J872="Рассчитано",T872&gt;0,R872&lt;100),(W872+P872+Q872)/(T872*(1-R872/100)),"н/д")</x:f>
        <x:v>н/д</x:v>
      </x:c>
      <x:c r="AD872" s="11" t="str">
        <x:f>IF(ISNUMBER(G872),IF(G872&lt;0,"Убыток",IF(G872=0,"Без прибыли","Прибыль &gt; 0")),"Не оценён")</x:f>
        <x:v>Не оценён</x:v>
      </x:c>
      <x:c r="AE872" s="12" t="str">
        <x:f>IF(J872="Рассчитано","Выручка "&amp;TEXT(V872,"0.00")&amp;" - себестоимость "&amp;TEXT(W872,"0.00")&amp;" - комиссия "&amp;TEXT(V872*R872/100,"0.00")&amp;" - доставка "&amp;TEXT(P872,"0.00")&amp;" - прочие "&amp;TEXT(Q872,"0.00")&amp;" = "&amp;TEXT(G872,"0.00")&amp;" "&amp;L872,"Введите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2" s="23" t="n">
        <x:v>5.122353652386878</x:v>
      </x:c>
      <x:c r="AG872" s="35" t="n">
        <x:v>13</x:v>
      </x:c>
      <x:c r="AH872" s="35" t="n">
        <x:v>0</x:v>
      </x:c>
      <x:c r="AI872" s="29" t="n">
        <x:v>46266</x:v>
      </x:c>
      <x:c r="AJ872" s="35" t="n">
        <x:v>1</x:v>
      </x:c>
      <x:c r="AK872" s="11" t="str">
        <x:v>минимум</x:v>
      </x:c>
      <x:c r="AL872" s="31" t="n">
        <x:v>215.8205710174936</x:v>
      </x:c>
      <x:c r="AM87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72" s="12" t="str">
        <x:v>Проверить свободный остаток и установить цену для B2B</x:v>
      </x:c>
      <x:c r="AO872" s="12" t="str">
        <x:v>Остаток 13; прогноз 90 дней 5.12; избыток 7 шт. Будущие поступления не выставляются на продажу. Остаток на начало сентября: требуется актуализация.</x:v>
      </x:c>
      <x:c r="AP872" s="12" t="str">
        <x:v>["category_missing", "daily_stockout_data_missing", "new_order_lead_time_unknown", "reservations_unknown", "stale_stock"]</x:v>
      </x:c>
      <x:c r="AQ872" s="11" t="str">
        <x:v>IEK:250600130_</x:v>
      </x:c>
      <x:c r="AR872" s="23" t="n">
        <x:v>1</x:v>
      </x:c>
      <x:c r="AS872" s="23" t="n">
        <x:v>0</x:v>
      </x:c>
      <x:c r="AT872" s="23" t="n">
        <x:v>0</x:v>
      </x:c>
    </x:row>
    <x:row r="873" ht="64" customHeight="1">
      <x:c r="A873" s="10" t="str">
        <x:v>IEK</x:v>
      </x:c>
      <x:c r="B873" s="34" t="str">
        <x:v>250600173_</x:v>
      </x:c>
      <x:c r="C873" s="34" t="str">
        <x:v>MKP12-N-04-41-G</x:v>
      </x:c>
      <x:c r="D873" s="13" t="str">
        <x:v>ЩРН-П  4 модуля навесн. пластик IP41 GENERICA (20)</x:v>
      </x:c>
      <x:c r="E873" s="10" t="str">
        <x:v>шт</x:v>
      </x:c>
      <x:c r="F873" s="37" t="n">
        <x:f>MAX(0,ROUNDDOWN((AG873-AF873)/AR873+0.000000001,0)*AR873)</x:f>
        <x:v>53</x:v>
      </x:c>
      <x:c r="G873" s="21" t="str">
        <x:f>IF(J873="Рассчитано",V873*(1-R873/100)-W873-P873-Q873,"н/д")</x:f>
        <x:v>н/д</x:v>
      </x:c>
      <x:c r="H873" s="13" t="str">
        <x:v>Высокий</x:v>
      </x:c>
      <x:c r="I873" s="13" t="str">
        <x:v>Высокий</x:v>
      </x:c>
      <x:c r="J873" s="13" t="str">
        <x:f>IF(L873="","Укажите валюту",IF(NOT(ISNUMBER(K873)),"Укажите объём",IF(K873&lt;=0,"Укажите объём",IF(K873&gt;F873,"Объём выше излишка",IF(COUNT(M873:O873)&lt;3,"Нужны цены",IF(COUNT(P873:R873)&lt;3,"Нужны расходы",IF(OR(M873&lt;0,N873&lt;0,O873&lt;0,O873&gt;100,P873&lt;0,Q873&lt;0,R873&lt;0,R873&gt;100),"Проверьте значения","Рассчитано")))))))</x:f>
        <x:v>Нужны цены</x:v>
      </x:c>
      <x:c r="K873" s="36" t="n">
        <x:v>53</x:v>
      </x:c>
      <x:c r="L873" s="19" t="str">
        <x:v>KZT</x:v>
      </x:c>
      <x:c r="M873" s="22"/>
      <x:c r="N873" s="22"/>
      <x:c r="O873" s="28"/>
      <x:c r="P873" s="22"/>
      <x:c r="Q873" s="22"/>
      <x:c r="R873" s="28"/>
      <x:c r="S873" s="22"/>
      <x:c r="T873" s="37" t="n">
        <x:f>K873</x:f>
        <x:v>53</x:v>
      </x:c>
      <x:c r="U873" s="21" t="str">
        <x:f>IF(J873="Рассчитано",N873*(1-O873/100),"н/д")</x:f>
        <x:v>н/д</x:v>
      </x:c>
      <x:c r="V873" s="21" t="str">
        <x:f>IF(J873="Рассчитано",T873*U873,"н/д")</x:f>
        <x:v>н/д</x:v>
      </x:c>
      <x:c r="W873" s="21" t="str">
        <x:f>IF(J873="Рассчитано",T873*M873,"н/д")</x:f>
        <x:v>н/д</x:v>
      </x:c>
      <x:c r="X873" s="21" t="str">
        <x:f>IF(J873="Рассчитано",V873-W873,"н/д")</x:f>
        <x:v>н/д</x:v>
      </x:c>
      <x:c r="Y873" s="27" t="str">
        <x:f>IF(J873="Рассчитано",IF(V873&gt;0,G873/V873,"н/д"),"н/д")</x:f>
        <x:v>н/д</x:v>
      </x:c>
      <x:c r="Z873" s="21" t="str">
        <x:f>"н/д"</x:f>
        <x:v>н/д</x:v>
      </x:c>
      <x:c r="AA873" s="21" t="str">
        <x:f>"н/д"</x:f>
        <x:v>н/д</x:v>
      </x:c>
      <x:c r="AB873" s="21" t="str">
        <x:f>"н/д"</x:f>
        <x:v>н/д</x:v>
      </x:c>
      <x:c r="AC873" s="21" t="str">
        <x:f>IF(AND(J873="Рассчитано",T873&gt;0,R873&lt;100),(W873+P873+Q873)/(T873*(1-R873/100)),"н/д")</x:f>
        <x:v>н/д</x:v>
      </x:c>
      <x:c r="AD873" s="10" t="str">
        <x:f>IF(ISNUMBER(G873),IF(G873&lt;0,"Убыток",IF(G873=0,"Без прибыли","Прибыль &gt; 0")),"Не оценён")</x:f>
        <x:v>Не оценён</x:v>
      </x:c>
      <x:c r="AE873" s="13" t="str">
        <x:f>IF(J873="Рассчитано","Выручка "&amp;TEXT(V873,"0.00")&amp;" - себестоимость "&amp;TEXT(W873,"0.00")&amp;" - комиссия "&amp;TEXT(V873*R873/100,"0.00")&amp;" - доставка "&amp;TEXT(P873,"0.00")&amp;" - прочие "&amp;TEXT(Q873,"0.00")&amp;" = "&amp;TEXT(G873,"0.00")&amp;" "&amp;L873,"Введите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3" s="24" t="n">
        <x:v>15.451353552303663</x:v>
      </x:c>
      <x:c r="AG873" s="37" t="n">
        <x:v>69</x:v>
      </x:c>
      <x:c r="AH873" s="37" t="n">
        <x:v>0</x:v>
      </x:c>
      <x:c r="AI873" s="30" t="n">
        <x:v>46266</x:v>
      </x:c>
      <x:c r="AJ873" s="37"/>
      <x:c r="AK873" s="10" t="str">
        <x:v>неизвестно</x:v>
      </x:c>
      <x:c r="AL873" s="32" t="n">
        <x:v>379.75334237718556</x:v>
      </x:c>
      <x:c r="AM8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73" s="13" t="str">
        <x:v>Проверить свободный остаток и установить цену для B2B</x:v>
      </x:c>
      <x:c r="AO873" s="13" t="str">
        <x:v>Остаток 69; прогноз 90 дней 15.45; избыток 53 шт. Будущие поступления не выставляются на продажу. Остаток на начало сентября: требуется актуализация.</x:v>
      </x:c>
      <x:c r="AP873" s="13" t="str">
        <x:v>["category_missing", "daily_stockout_data_missing", "moq_missing", "new_order_lead_time_unknown", "reservations_unknown", "stale_stock"]</x:v>
      </x:c>
      <x:c r="AQ873" s="10" t="str">
        <x:v>IEK:250600173_</x:v>
      </x:c>
      <x:c r="AR873" s="24" t="n">
        <x:v>1</x:v>
      </x:c>
      <x:c r="AS873" s="24" t="n">
        <x:v>0</x:v>
      </x:c>
      <x:c r="AT873" s="24" t="n">
        <x:v>0</x:v>
      </x:c>
    </x:row>
    <x:row r="874" ht="64" customHeight="1">
      <x:c r="A874" s="11" t="str">
        <x:v>IEK</x:v>
      </x:c>
      <x:c r="B874" s="33" t="str">
        <x:v>250600175_</x:v>
      </x:c>
      <x:c r="C874" s="33" t="str">
        <x:v>MKP12-N-08-41-G</x:v>
      </x:c>
      <x:c r="D874" s="12" t="str">
        <x:v>ЩРН-П  8 модулей навесн. пластик IP41 GENERICA (20)</x:v>
      </x:c>
      <x:c r="E874" s="11" t="str">
        <x:v>шт</x:v>
      </x:c>
      <x:c r="F874" s="35" t="n">
        <x:f>MAX(0,ROUNDDOWN((AG874-AF874)/AR874+0.000000001,0)*AR874)</x:f>
        <x:v>22</x:v>
      </x:c>
      <x:c r="G874" s="20" t="str">
        <x:f>IF(J874="Рассчитано",V874*(1-R874/100)-W874-P874-Q874,"н/д")</x:f>
        <x:v>н/д</x:v>
      </x:c>
      <x:c r="H874" s="12" t="str">
        <x:v>Высокий</x:v>
      </x:c>
      <x:c r="I874" s="12" t="str">
        <x:v>Высокий</x:v>
      </x:c>
      <x:c r="J874" s="12" t="str">
        <x:f>IF(L874="","Укажите валюту",IF(NOT(ISNUMBER(K874)),"Укажите объём",IF(K874&lt;=0,"Укажите объём",IF(K874&gt;F874,"Объём выше излишка",IF(COUNT(M874:O874)&lt;3,"Нужны цены",IF(COUNT(P874:R874)&lt;3,"Нужны расходы",IF(OR(M874&lt;0,N874&lt;0,O874&lt;0,O874&gt;100,P874&lt;0,Q874&lt;0,R874&lt;0,R874&gt;100),"Проверьте значения","Рассчитано")))))))</x:f>
        <x:v>Нужны цены</x:v>
      </x:c>
      <x:c r="K874" s="36" t="n">
        <x:v>22</x:v>
      </x:c>
      <x:c r="L874" s="19" t="str">
        <x:v>KZT</x:v>
      </x:c>
      <x:c r="M874" s="22"/>
      <x:c r="N874" s="22"/>
      <x:c r="O874" s="28"/>
      <x:c r="P874" s="22"/>
      <x:c r="Q874" s="22"/>
      <x:c r="R874" s="28"/>
      <x:c r="S874" s="22"/>
      <x:c r="T874" s="35" t="n">
        <x:f>K874</x:f>
        <x:v>22</x:v>
      </x:c>
      <x:c r="U874" s="20" t="str">
        <x:f>IF(J874="Рассчитано",N874*(1-O874/100),"н/д")</x:f>
        <x:v>н/д</x:v>
      </x:c>
      <x:c r="V874" s="20" t="str">
        <x:f>IF(J874="Рассчитано",T874*U874,"н/д")</x:f>
        <x:v>н/д</x:v>
      </x:c>
      <x:c r="W874" s="20" t="str">
        <x:f>IF(J874="Рассчитано",T874*M874,"н/д")</x:f>
        <x:v>н/д</x:v>
      </x:c>
      <x:c r="X874" s="20" t="str">
        <x:f>IF(J874="Рассчитано",V874-W874,"н/д")</x:f>
        <x:v>н/д</x:v>
      </x:c>
      <x:c r="Y874" s="26" t="str">
        <x:f>IF(J874="Рассчитано",IF(V874&gt;0,G874/V874,"н/д"),"н/д")</x:f>
        <x:v>н/д</x:v>
      </x:c>
      <x:c r="Z874" s="20" t="str">
        <x:f>"н/д"</x:f>
        <x:v>н/д</x:v>
      </x:c>
      <x:c r="AA874" s="20" t="str">
        <x:f>"н/д"</x:f>
        <x:v>н/д</x:v>
      </x:c>
      <x:c r="AB874" s="20" t="str">
        <x:f>"н/д"</x:f>
        <x:v>н/д</x:v>
      </x:c>
      <x:c r="AC874" s="20" t="str">
        <x:f>IF(AND(J874="Рассчитано",T874&gt;0,R874&lt;100),(W874+P874+Q874)/(T874*(1-R874/100)),"н/д")</x:f>
        <x:v>н/д</x:v>
      </x:c>
      <x:c r="AD874" s="11" t="str">
        <x:f>IF(ISNUMBER(G874),IF(G874&lt;0,"Убыток",IF(G874=0,"Без прибыли","Прибыль &gt; 0")),"Не оценён")</x:f>
        <x:v>Не оценён</x:v>
      </x:c>
      <x:c r="AE874" s="12" t="str">
        <x:f>IF(J874="Рассчитано","Выручка "&amp;TEXT(V874,"0.00")&amp;" - себестоимость "&amp;TEXT(W874,"0.00")&amp;" - комиссия "&amp;TEXT(V874*R874/100,"0.00")&amp;" - доставка "&amp;TEXT(P874,"0.00")&amp;" - прочие "&amp;TEXT(Q874,"0.00")&amp;" = "&amp;TEXT(G874,"0.00")&amp;" "&amp;L874,"Введите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4" s="23" t="n">
        <x:v>7.892833258779472</x:v>
      </x:c>
      <x:c r="AG874" s="35" t="n">
        <x:v>30</x:v>
      </x:c>
      <x:c r="AH874" s="35" t="n">
        <x:v>0</x:v>
      </x:c>
      <x:c r="AI874" s="29" t="n">
        <x:v>46266</x:v>
      </x:c>
      <x:c r="AJ874" s="35"/>
      <x:c r="AK874" s="11" t="str">
        <x:v>неизвестно</x:v>
      </x:c>
      <x:c r="AL874" s="31" t="n">
        <x:v>323.2268060732323</x:v>
      </x:c>
      <x:c r="AM87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74" s="12" t="str">
        <x:v>Проверить свободный остаток и установить цену для B2B</x:v>
      </x:c>
      <x:c r="AO874" s="12" t="str">
        <x:v>Остаток 30; прогноз 90 дней 7.89; избыток 22 шт. Будущие поступления не выставляются на продажу. Остаток на начало сентября: требуется актуализация.</x:v>
      </x:c>
      <x:c r="AP874" s="12" t="str">
        <x:v>["category_missing", "daily_stockout_data_missing", "large_orders_detected", "moq_missing", "new_order_lead_time_unknown", "reservations_unknown", "stale_stock"]</x:v>
      </x:c>
      <x:c r="AQ874" s="11" t="str">
        <x:v>IEK:250600175_</x:v>
      </x:c>
      <x:c r="AR874" s="23" t="n">
        <x:v>1</x:v>
      </x:c>
      <x:c r="AS874" s="23" t="n">
        <x:v>0</x:v>
      </x:c>
      <x:c r="AT874" s="23" t="n">
        <x:v>0</x:v>
      </x:c>
    </x:row>
    <x:row r="875" ht="64" customHeight="1">
      <x:c r="A875" s="10" t="str">
        <x:v>IEK</x:v>
      </x:c>
      <x:c r="B875" s="34" t="str">
        <x:v>250600180_</x:v>
      </x:c>
      <x:c r="C875" s="34" t="str">
        <x:v>MKP12-V-04-41-G</x:v>
      </x:c>
      <x:c r="D875" s="13" t="str">
        <x:v>ЩРВ-П  4 модуля встр. пластик IP41 GENERICA (20)</x:v>
      </x:c>
      <x:c r="E875" s="10" t="str">
        <x:v>шт</x:v>
      </x:c>
      <x:c r="F875" s="37" t="n">
        <x:f>MAX(0,ROUNDDOWN((AG875-AF875)/AR875+0.000000001,0)*AR875)</x:f>
        <x:v>3</x:v>
      </x:c>
      <x:c r="G875" s="21" t="str">
        <x:f>IF(J875="Рассчитано",V875*(1-R875/100)-W875-P875-Q875,"н/д")</x:f>
        <x:v>н/д</x:v>
      </x:c>
      <x:c r="H875" s="13" t="str">
        <x:v>Высокий</x:v>
      </x:c>
      <x:c r="I875" s="13" t="str">
        <x:v>Высокий</x:v>
      </x:c>
      <x:c r="J875" s="13" t="str">
        <x:f>IF(L875="","Укажите валюту",IF(NOT(ISNUMBER(K875)),"Укажите объём",IF(K875&lt;=0,"Укажите объём",IF(K875&gt;F875,"Объём выше излишка",IF(COUNT(M875:O875)&lt;3,"Нужны цены",IF(COUNT(P875:R875)&lt;3,"Нужны расходы",IF(OR(M875&lt;0,N875&lt;0,O875&lt;0,O875&gt;100,P875&lt;0,Q875&lt;0,R875&lt;0,R875&gt;100),"Проверьте значения","Рассчитано")))))))</x:f>
        <x:v>Нужны цены</x:v>
      </x:c>
      <x:c r="K875" s="36" t="n">
        <x:v>3</x:v>
      </x:c>
      <x:c r="L875" s="19" t="str">
        <x:v>KZT</x:v>
      </x:c>
      <x:c r="M875" s="22"/>
      <x:c r="N875" s="22"/>
      <x:c r="O875" s="28"/>
      <x:c r="P875" s="22"/>
      <x:c r="Q875" s="22"/>
      <x:c r="R875" s="28"/>
      <x:c r="S875" s="22"/>
      <x:c r="T875" s="37" t="n">
        <x:f>K875</x:f>
        <x:v>3</x:v>
      </x:c>
      <x:c r="U875" s="21" t="str">
        <x:f>IF(J875="Рассчитано",N875*(1-O875/100),"н/д")</x:f>
        <x:v>н/д</x:v>
      </x:c>
      <x:c r="V875" s="21" t="str">
        <x:f>IF(J875="Рассчитано",T875*U875,"н/д")</x:f>
        <x:v>н/д</x:v>
      </x:c>
      <x:c r="W875" s="21" t="str">
        <x:f>IF(J875="Рассчитано",T875*M875,"н/д")</x:f>
        <x:v>н/д</x:v>
      </x:c>
      <x:c r="X875" s="21" t="str">
        <x:f>IF(J875="Рассчитано",V875-W875,"н/д")</x:f>
        <x:v>н/д</x:v>
      </x:c>
      <x:c r="Y875" s="27" t="str">
        <x:f>IF(J875="Рассчитано",IF(V875&gt;0,G875/V875,"н/д"),"н/д")</x:f>
        <x:v>н/д</x:v>
      </x:c>
      <x:c r="Z875" s="21" t="str">
        <x:f>"н/д"</x:f>
        <x:v>н/д</x:v>
      </x:c>
      <x:c r="AA875" s="21" t="str">
        <x:f>"н/д"</x:f>
        <x:v>н/д</x:v>
      </x:c>
      <x:c r="AB875" s="21" t="str">
        <x:f>"н/д"</x:f>
        <x:v>н/д</x:v>
      </x:c>
      <x:c r="AC875" s="21" t="str">
        <x:f>IF(AND(J875="Рассчитано",T875&gt;0,R875&lt;100),(W875+P875+Q875)/(T875*(1-R875/100)),"н/д")</x:f>
        <x:v>н/д</x:v>
      </x:c>
      <x:c r="AD875" s="10" t="str">
        <x:f>IF(ISNUMBER(G875),IF(G875&lt;0,"Убыток",IF(G875=0,"Без прибыли","Прибыль &gt; 0")),"Не оценён")</x:f>
        <x:v>Не оценён</x:v>
      </x:c>
      <x:c r="AE875" s="13" t="str">
        <x:f>IF(J875="Рассчитано","Выручка "&amp;TEXT(V875,"0.00")&amp;" - себестоимость "&amp;TEXT(W875,"0.00")&amp;" - комиссия "&amp;TEXT(V875*R875/100,"0.00")&amp;" - доставка "&amp;TEXT(P875,"0.00")&amp;" - прочие "&amp;TEXT(Q875,"0.00")&amp;" = "&amp;TEXT(G875,"0.00")&amp;" "&amp;L875,"Введите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5" s="24" t="n">
        <x:v>0.4932533502585872</x:v>
      </x:c>
      <x:c r="AG875" s="37" t="n">
        <x:v>4</x:v>
      </x:c>
      <x:c r="AH875" s="37" t="n">
        <x:v>0</x:v>
      </x:c>
      <x:c r="AI875" s="30" t="n">
        <x:v>46266</x:v>
      </x:c>
      <x:c r="AJ875" s="37"/>
      <x:c r="AK875" s="10" t="str">
        <x:v>неизвестно</x:v>
      </x:c>
      <x:c r="AL875" s="32" t="n">
        <x:v>689.6186402022204</x:v>
      </x:c>
      <x:c r="AM87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75" s="13" t="str">
        <x:v>Проверить свободный остаток и установить цену для B2B</x:v>
      </x:c>
      <x:c r="AO875" s="13" t="str">
        <x:v>Остаток 4; прогноз 90 дней 0.49; избыток 3 шт. Будущие поступления не выставляются на продажу. Остаток на начало сентября: требуется актуализация.</x:v>
      </x:c>
      <x:c r="AP875" s="13" t="str">
        <x:v>["category_missing", "daily_stockout_data_missing", "moq_missing", "new_order_lead_time_unknown", "reservations_unknown", "stale_stock"]</x:v>
      </x:c>
      <x:c r="AQ875" s="10" t="str">
        <x:v>IEK:250600180_</x:v>
      </x:c>
      <x:c r="AR875" s="24" t="n">
        <x:v>1</x:v>
      </x:c>
      <x:c r="AS875" s="24" t="n">
        <x:v>0</x:v>
      </x:c>
      <x:c r="AT875" s="24" t="n">
        <x:v>0</x:v>
      </x:c>
    </x:row>
    <x:row r="876" ht="64" customHeight="1">
      <x:c r="A876" s="11" t="str">
        <x:v>IEK</x:v>
      </x:c>
      <x:c r="B876" s="33" t="str">
        <x:v>250600182_</x:v>
      </x:c>
      <x:c r="C876" s="33" t="str">
        <x:v>MKP12-V-08-41-G</x:v>
      </x:c>
      <x:c r="D876" s="12" t="str">
        <x:v>ЩРВ-П  8 модулей встр. пластик IP41 GENERICA (20)</x:v>
      </x:c>
      <x:c r="E876" s="11" t="str">
        <x:v>шт</x:v>
      </x:c>
      <x:c r="F876" s="35" t="n">
        <x:f>MAX(0,ROUNDDOWN((AG876-AF876)/AR876+0.000000001,0)*AR876)</x:f>
        <x:v>26</x:v>
      </x:c>
      <x:c r="G876" s="20" t="str">
        <x:f>IF(J876="Рассчитано",V876*(1-R876/100)-W876-P876-Q876,"н/д")</x:f>
        <x:v>н/д</x:v>
      </x:c>
      <x:c r="H876" s="12" t="str">
        <x:v>Высокий</x:v>
      </x:c>
      <x:c r="I876" s="12" t="str">
        <x:v>Высокий</x:v>
      </x:c>
      <x:c r="J876" s="12" t="str">
        <x:f>IF(L876="","Укажите валюту",IF(NOT(ISNUMBER(K876)),"Укажите объём",IF(K876&lt;=0,"Укажите объём",IF(K876&gt;F876,"Объём выше излишка",IF(COUNT(M876:O876)&lt;3,"Нужны цены",IF(COUNT(P876:R876)&lt;3,"Нужны расходы",IF(OR(M876&lt;0,N876&lt;0,O876&lt;0,O876&gt;100,P876&lt;0,Q876&lt;0,R876&lt;0,R876&gt;100),"Проверьте значения","Рассчитано")))))))</x:f>
        <x:v>Нужны цены</x:v>
      </x:c>
      <x:c r="K876" s="36" t="n">
        <x:v>26</x:v>
      </x:c>
      <x:c r="L876" s="19" t="str">
        <x:v>KZT</x:v>
      </x:c>
      <x:c r="M876" s="22"/>
      <x:c r="N876" s="22"/>
      <x:c r="O876" s="28"/>
      <x:c r="P876" s="22"/>
      <x:c r="Q876" s="22"/>
      <x:c r="R876" s="28"/>
      <x:c r="S876" s="22"/>
      <x:c r="T876" s="35" t="n">
        <x:f>K876</x:f>
        <x:v>26</x:v>
      </x:c>
      <x:c r="U876" s="20" t="str">
        <x:f>IF(J876="Рассчитано",N876*(1-O876/100),"н/д")</x:f>
        <x:v>н/д</x:v>
      </x:c>
      <x:c r="V876" s="20" t="str">
        <x:f>IF(J876="Рассчитано",T876*U876,"н/д")</x:f>
        <x:v>н/д</x:v>
      </x:c>
      <x:c r="W876" s="20" t="str">
        <x:f>IF(J876="Рассчитано",T876*M876,"н/д")</x:f>
        <x:v>н/д</x:v>
      </x:c>
      <x:c r="X876" s="20" t="str">
        <x:f>IF(J876="Рассчитано",V876-W876,"н/д")</x:f>
        <x:v>н/д</x:v>
      </x:c>
      <x:c r="Y876" s="26" t="str">
        <x:f>IF(J876="Рассчитано",IF(V876&gt;0,G876/V876,"н/д"),"н/д")</x:f>
        <x:v>н/д</x:v>
      </x:c>
      <x:c r="Z876" s="20" t="str">
        <x:f>"н/д"</x:f>
        <x:v>н/д</x:v>
      </x:c>
      <x:c r="AA876" s="20" t="str">
        <x:f>"н/д"</x:f>
        <x:v>н/д</x:v>
      </x:c>
      <x:c r="AB876" s="20" t="str">
        <x:f>"н/д"</x:f>
        <x:v>н/д</x:v>
      </x:c>
      <x:c r="AC876" s="20" t="str">
        <x:f>IF(AND(J876="Рассчитано",T876&gt;0,R876&lt;100),(W876+P876+Q876)/(T876*(1-R876/100)),"н/д")</x:f>
        <x:v>н/д</x:v>
      </x:c>
      <x:c r="AD876" s="11" t="str">
        <x:f>IF(ISNUMBER(G876),IF(G876&lt;0,"Убыток",IF(G876=0,"Без прибыли","Прибыль &gt; 0")),"Не оценён")</x:f>
        <x:v>Не оценён</x:v>
      </x:c>
      <x:c r="AE876" s="12" t="str">
        <x:f>IF(J876="Рассчитано","Выручка "&amp;TEXT(V876,"0.00")&amp;" - себестоимость "&amp;TEXT(W876,"0.00")&amp;" - комиссия "&amp;TEXT(V876*R876/100,"0.00")&amp;" - доставка "&amp;TEXT(P876,"0.00")&amp;" - прочие "&amp;TEXT(Q876,"0.00")&amp;" = "&amp;TEXT(G876,"0.00")&amp;" "&amp;L876,"Введите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6" s="23" t="n">
        <x:v>0.18870878185377274</x:v>
      </x:c>
      <x:c r="AG876" s="35" t="n">
        <x:v>27</x:v>
      </x:c>
      <x:c r="AH876" s="35" t="n">
        <x:v>0</x:v>
      </x:c>
      <x:c r="AI876" s="29" t="n">
        <x:v>46266</x:v>
      </x:c>
      <x:c r="AJ876" s="35"/>
      <x:c r="AK876" s="11" t="str">
        <x:v>неизвестно</x:v>
      </x:c>
      <x:c r="AL876" s="31" t="n">
        <x:v>12167.20140969732</x:v>
      </x:c>
      <x:c r="AM87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76" s="12" t="str">
        <x:v>Проверить свободный остаток и установить цену для B2B</x:v>
      </x:c>
      <x:c r="AO876" s="12" t="str">
        <x:v>Остаток 27; прогноз 90 дней 0.19; избыток 26 шт. Будущие поступления не выставляются на продажу. Остаток на начало сентября: требуется актуализация.</x:v>
      </x:c>
      <x:c r="AP876" s="12" t="str">
        <x:v>["category_missing", "daily_stockout_data_missing", "moq_missing", "new_order_lead_time_unknown", "reservations_unknown", "stale_stock"]</x:v>
      </x:c>
      <x:c r="AQ876" s="11" t="str">
        <x:v>IEK:250600182_</x:v>
      </x:c>
      <x:c r="AR876" s="23" t="n">
        <x:v>1</x:v>
      </x:c>
      <x:c r="AS876" s="23" t="n">
        <x:v>0</x:v>
      </x:c>
      <x:c r="AT876" s="23" t="n">
        <x:v>0</x:v>
      </x:c>
    </x:row>
    <x:row r="877" ht="64" customHeight="1">
      <x:c r="A877" s="10" t="str">
        <x:v>IEK</x:v>
      </x:c>
      <x:c r="B877" s="34" t="str">
        <x:v>250600183_</x:v>
      </x:c>
      <x:c r="C877" s="34" t="str">
        <x:v>MKP12-V-12-41-G</x:v>
      </x:c>
      <x:c r="D877" s="13" t="str">
        <x:v>ЩРВ-П 12 модулей встр. пластик IP41 GENERICA (10)</x:v>
      </x:c>
      <x:c r="E877" s="10" t="str">
        <x:v>шт</x:v>
      </x:c>
      <x:c r="F877" s="37" t="n">
        <x:f>MAX(0,ROUNDDOWN((AG877-AF877)/AR877+0.000000001,0)*AR877)</x:f>
        <x:v>91</x:v>
      </x:c>
      <x:c r="G877" s="21" t="str">
        <x:f>IF(J877="Рассчитано",V877*(1-R877/100)-W877-P877-Q877,"н/д")</x:f>
        <x:v>н/д</x:v>
      </x:c>
      <x:c r="H877" s="13" t="str">
        <x:v>Высокий</x:v>
      </x:c>
      <x:c r="I877" s="13" t="str">
        <x:v>Высокий</x:v>
      </x:c>
      <x:c r="J877" s="13" t="str">
        <x:f>IF(L877="","Укажите валюту",IF(NOT(ISNUMBER(K877)),"Укажите объём",IF(K877&lt;=0,"Укажите объём",IF(K877&gt;F877,"Объём выше излишка",IF(COUNT(M877:O877)&lt;3,"Нужны цены",IF(COUNT(P877:R877)&lt;3,"Нужны расходы",IF(OR(M877&lt;0,N877&lt;0,O877&lt;0,O877&gt;100,P877&lt;0,Q877&lt;0,R877&lt;0,R877&gt;100),"Проверьте значения","Рассчитано")))))))</x:f>
        <x:v>Нужны цены</x:v>
      </x:c>
      <x:c r="K877" s="36" t="n">
        <x:v>91</x:v>
      </x:c>
      <x:c r="L877" s="19" t="str">
        <x:v>KZT</x:v>
      </x:c>
      <x:c r="M877" s="22"/>
      <x:c r="N877" s="22"/>
      <x:c r="O877" s="28"/>
      <x:c r="P877" s="22"/>
      <x:c r="Q877" s="22"/>
      <x:c r="R877" s="28"/>
      <x:c r="S877" s="22"/>
      <x:c r="T877" s="37" t="n">
        <x:f>K877</x:f>
        <x:v>91</x:v>
      </x:c>
      <x:c r="U877" s="21" t="str">
        <x:f>IF(J877="Рассчитано",N877*(1-O877/100),"н/д")</x:f>
        <x:v>н/д</x:v>
      </x:c>
      <x:c r="V877" s="21" t="str">
        <x:f>IF(J877="Рассчитано",T877*U877,"н/д")</x:f>
        <x:v>н/д</x:v>
      </x:c>
      <x:c r="W877" s="21" t="str">
        <x:f>IF(J877="Рассчитано",T877*M877,"н/д")</x:f>
        <x:v>н/д</x:v>
      </x:c>
      <x:c r="X877" s="21" t="str">
        <x:f>IF(J877="Рассчитано",V877-W877,"н/д")</x:f>
        <x:v>н/д</x:v>
      </x:c>
      <x:c r="Y877" s="27" t="str">
        <x:f>IF(J877="Рассчитано",IF(V877&gt;0,G877/V877,"н/д"),"н/д")</x:f>
        <x:v>н/д</x:v>
      </x:c>
      <x:c r="Z877" s="21" t="str">
        <x:f>"н/д"</x:f>
        <x:v>н/д</x:v>
      </x:c>
      <x:c r="AA877" s="21" t="str">
        <x:f>"н/д"</x:f>
        <x:v>н/д</x:v>
      </x:c>
      <x:c r="AB877" s="21" t="str">
        <x:f>"н/д"</x:f>
        <x:v>н/д</x:v>
      </x:c>
      <x:c r="AC877" s="21" t="str">
        <x:f>IF(AND(J877="Рассчитано",T877&gt;0,R877&lt;100),(W877+P877+Q877)/(T877*(1-R877/100)),"н/д")</x:f>
        <x:v>н/д</x:v>
      </x:c>
      <x:c r="AD877" s="10" t="str">
        <x:f>IF(ISNUMBER(G877),IF(G877&lt;0,"Убыток",IF(G877=0,"Без прибыли","Прибыль &gt; 0")),"Не оценён")</x:f>
        <x:v>Не оценён</x:v>
      </x:c>
      <x:c r="AE877" s="13" t="str">
        <x:f>IF(J877="Рассчитано","Выручка "&amp;TEXT(V877,"0.00")&amp;" - себестоимость "&amp;TEXT(W877,"0.00")&amp;" - комиссия "&amp;TEXT(V877*R877/100,"0.00")&amp;" - доставка "&amp;TEXT(P877,"0.00")&amp;" - прочие "&amp;TEXT(Q877,"0.00")&amp;" = "&amp;TEXT(G877,"0.00")&amp;" "&amp;L877,"Введите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7" s="24" t="n">
        <x:v>1.7732478415374455</x:v>
      </x:c>
      <x:c r="AG877" s="37" t="n">
        <x:v>93</x:v>
      </x:c>
      <x:c r="AH877" s="37" t="n">
        <x:v>0</x:v>
      </x:c>
      <x:c r="AI877" s="30" t="n">
        <x:v>46266</x:v>
      </x:c>
      <x:c r="AJ877" s="37"/>
      <x:c r="AK877" s="10" t="str">
        <x:v>неизвестно</x:v>
      </x:c>
      <x:c r="AL877" s="32" t="n">
        <x:v>4459.976320605607</x:v>
      </x:c>
      <x:c r="AM877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877" s="13" t="str">
        <x:v>Проверить свободный остаток и установить цену для B2B</x:v>
      </x:c>
      <x:c r="AO877" s="13" t="str">
        <x:v>Остаток 93; прогноз 90 дней 1.77; избыток 91 шт. Будущие поступления не выставляются на продажу. Остаток на начало сентября: требуется актуализация.</x:v>
      </x:c>
      <x:c r="AP877" s="13" t="str">
        <x:v>["category_missing", "daily_stockout_data_missing", "large_orders_detected", "moq_missing", "new_order_lead_time_unknown", "reservations_unknown", "stale_stock", "transaction_month_mismatch"]</x:v>
      </x:c>
      <x:c r="AQ877" s="10" t="str">
        <x:v>IEK:250600183_</x:v>
      </x:c>
      <x:c r="AR877" s="24" t="n">
        <x:v>1</x:v>
      </x:c>
      <x:c r="AS877" s="24" t="n">
        <x:v>0</x:v>
      </x:c>
      <x:c r="AT877" s="24" t="n">
        <x:v>0</x:v>
      </x:c>
    </x:row>
    <x:row r="878" ht="64" customHeight="1">
      <x:c r="A878" s="11" t="str">
        <x:v>IEK</x:v>
      </x:c>
      <x:c r="B878" s="33" t="str">
        <x:v>250600275_</x:v>
      </x:c>
      <x:c r="C878" s="33" t="str">
        <x:v>TI5-50-N-036-54-7035</x:v>
      </x:c>
      <x:c r="D878" s="12" t="str">
        <x:v>ЩРН  36 (1х36мод) 585х310х140 IP54 TITAN 5 IEK</x:v>
      </x:c>
      <x:c r="E878" s="11" t="str">
        <x:v>шт</x:v>
      </x:c>
      <x:c r="F878" s="35" t="n">
        <x:f>MAX(0,ROUNDDOWN((AG878-AF878)/AR878+0.000000001,0)*AR878)</x:f>
        <x:v>14</x:v>
      </x:c>
      <x:c r="G878" s="20" t="str">
        <x:f>IF(J878="Рассчитано",V878*(1-R878/100)-W878-P878-Q878,"н/д")</x:f>
        <x:v>н/д</x:v>
      </x:c>
      <x:c r="H878" s="12" t="str">
        <x:v>Высокий</x:v>
      </x:c>
      <x:c r="I878" s="12" t="str">
        <x:v>Высокий</x:v>
      </x:c>
      <x:c r="J878" s="12" t="str">
        <x:f>IF(L878="","Укажите валюту",IF(NOT(ISNUMBER(K878)),"Укажите объём",IF(K878&lt;=0,"Укажите объём",IF(K878&gt;F878,"Объём выше излишка",IF(COUNT(M878:O878)&lt;3,"Нужны цены",IF(COUNT(P878:R878)&lt;3,"Нужны расходы",IF(OR(M878&lt;0,N878&lt;0,O878&lt;0,O878&gt;100,P878&lt;0,Q878&lt;0,R878&lt;0,R878&gt;100),"Проверьте значения","Рассчитано")))))))</x:f>
        <x:v>Нужны цены</x:v>
      </x:c>
      <x:c r="K878" s="36" t="n">
        <x:v>14</x:v>
      </x:c>
      <x:c r="L878" s="19" t="str">
        <x:v>KZT</x:v>
      </x:c>
      <x:c r="M878" s="22"/>
      <x:c r="N878" s="22"/>
      <x:c r="O878" s="28"/>
      <x:c r="P878" s="22"/>
      <x:c r="Q878" s="22"/>
      <x:c r="R878" s="28"/>
      <x:c r="S878" s="22"/>
      <x:c r="T878" s="35" t="n">
        <x:f>K878</x:f>
        <x:v>14</x:v>
      </x:c>
      <x:c r="U878" s="20" t="str">
        <x:f>IF(J878="Рассчитано",N878*(1-O878/100),"н/д")</x:f>
        <x:v>н/д</x:v>
      </x:c>
      <x:c r="V878" s="20" t="str">
        <x:f>IF(J878="Рассчитано",T878*U878,"н/д")</x:f>
        <x:v>н/д</x:v>
      </x:c>
      <x:c r="W878" s="20" t="str">
        <x:f>IF(J878="Рассчитано",T878*M878,"н/д")</x:f>
        <x:v>н/д</x:v>
      </x:c>
      <x:c r="X878" s="20" t="str">
        <x:f>IF(J878="Рассчитано",V878-W878,"н/д")</x:f>
        <x:v>н/д</x:v>
      </x:c>
      <x:c r="Y878" s="26" t="str">
        <x:f>IF(J878="Рассчитано",IF(V878&gt;0,G878/V878,"н/д"),"н/д")</x:f>
        <x:v>н/д</x:v>
      </x:c>
      <x:c r="Z878" s="20" t="str">
        <x:f>"н/д"</x:f>
        <x:v>н/д</x:v>
      </x:c>
      <x:c r="AA878" s="20" t="str">
        <x:f>"н/д"</x:f>
        <x:v>н/д</x:v>
      </x:c>
      <x:c r="AB878" s="20" t="str">
        <x:f>"н/д"</x:f>
        <x:v>н/д</x:v>
      </x:c>
      <x:c r="AC878" s="20" t="str">
        <x:f>IF(AND(J878="Рассчитано",T878&gt;0,R878&lt;100),(W878+P878+Q878)/(T878*(1-R878/100)),"н/д")</x:f>
        <x:v>н/д</x:v>
      </x:c>
      <x:c r="AD878" s="11" t="str">
        <x:f>IF(ISNUMBER(G878),IF(G878&lt;0,"Убыток",IF(G878=0,"Без прибыли","Прибыль &gt; 0")),"Не оценён")</x:f>
        <x:v>Не оценён</x:v>
      </x:c>
      <x:c r="AE878" s="12" t="str">
        <x:f>IF(J878="Рассчитано","Выручка "&amp;TEXT(V878,"0.00")&amp;" - себестоимость "&amp;TEXT(W878,"0.00")&amp;" - комиссия "&amp;TEXT(V878*R878/100,"0.00")&amp;" - доставка "&amp;TEXT(P878,"0.00")&amp;" - прочие "&amp;TEXT(Q878,"0.00")&amp;" = "&amp;TEXT(G878,"0.00")&amp;" "&amp;L878,"Введите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8" s="23" t="n">
        <x:v>3.6712441978561046</x:v>
      </x:c>
      <x:c r="AG878" s="35" t="n">
        <x:v>18</x:v>
      </x:c>
      <x:c r="AH878" s="35" t="n">
        <x:v>0</x:v>
      </x:c>
      <x:c r="AI878" s="29" t="n">
        <x:v>46266</x:v>
      </x:c>
      <x:c r="AJ878" s="35" t="n">
        <x:v>1</x:v>
      </x:c>
      <x:c r="AK878" s="11" t="str">
        <x:v>минимум</x:v>
      </x:c>
      <x:c r="AL878" s="31" t="n">
        <x:v>416.94452577036645</x:v>
      </x:c>
      <x:c r="AM87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78" s="12" t="str">
        <x:v>Проверить свободный остаток и установить цену для B2B</x:v>
      </x:c>
      <x:c r="AO878" s="12" t="str">
        <x:v>Остаток 18; прогноз 90 дней 3.67; избыток 14 шт. Будущие поступления не выставляются на продажу. Остаток на начало сентября: требуется актуализация.</x:v>
      </x:c>
      <x:c r="AP878" s="12" t="str">
        <x:v>["category_missing", "daily_stockout_data_missing", "new_order_lead_time_unknown", "reservations_unknown", "stale_stock"]</x:v>
      </x:c>
      <x:c r="AQ878" s="11" t="str">
        <x:v>IEK:250600275_</x:v>
      </x:c>
      <x:c r="AR878" s="23" t="n">
        <x:v>1</x:v>
      </x:c>
      <x:c r="AS878" s="23" t="n">
        <x:v>0</x:v>
      </x:c>
      <x:c r="AT878" s="23" t="n">
        <x:v>0</x:v>
      </x:c>
    </x:row>
    <x:row r="879" ht="64" customHeight="1">
      <x:c r="A879" s="10" t="str">
        <x:v>IEK</x:v>
      </x:c>
      <x:c r="B879" s="34" t="str">
        <x:v>250600277_</x:v>
      </x:c>
      <x:c r="C879" s="34" t="str">
        <x:v>TI5-50-N-2X036-54-7035</x:v>
      </x:c>
      <x:c r="D879" s="13" t="str">
        <x:v>ЩРН  72 (2х36мод) 585х570х140 IP54 TITAN 5 IEK</x:v>
      </x:c>
      <x:c r="E879" s="10" t="str">
        <x:v>шт</x:v>
      </x:c>
      <x:c r="F879" s="37" t="n">
        <x:f>MAX(0,ROUNDDOWN((AG879-AF879)/AR879+0.000000001,0)*AR879)</x:f>
        <x:v>1</x:v>
      </x:c>
      <x:c r="G879" s="21" t="str">
        <x:f>IF(J879="Рассчитано",V879*(1-R879/100)-W879-P879-Q879,"н/д")</x:f>
        <x:v>н/д</x:v>
      </x:c>
      <x:c r="H879" s="13" t="str">
        <x:v>Высокий</x:v>
      </x:c>
      <x:c r="I879" s="13" t="str">
        <x:v>Средний</x:v>
      </x:c>
      <x:c r="J879" s="13" t="str">
        <x:f>IF(L879="","Укажите валюту",IF(NOT(ISNUMBER(K879)),"Укажите объём",IF(K879&lt;=0,"Укажите объём",IF(K879&gt;F879,"Объём выше излишка",IF(COUNT(M879:O879)&lt;3,"Нужны цены",IF(COUNT(P879:R879)&lt;3,"Нужны расходы",IF(OR(M879&lt;0,N879&lt;0,O879&lt;0,O879&gt;100,P879&lt;0,Q879&lt;0,R879&lt;0,R879&gt;100),"Проверьте значения","Рассчитано")))))))</x:f>
        <x:v>Нужны цены</x:v>
      </x:c>
      <x:c r="K879" s="36" t="n">
        <x:v>1</x:v>
      </x:c>
      <x:c r="L879" s="19" t="str">
        <x:v>KZT</x:v>
      </x:c>
      <x:c r="M879" s="22"/>
      <x:c r="N879" s="22"/>
      <x:c r="O879" s="28"/>
      <x:c r="P879" s="22"/>
      <x:c r="Q879" s="22"/>
      <x:c r="R879" s="28"/>
      <x:c r="S879" s="22"/>
      <x:c r="T879" s="37" t="n">
        <x:f>K879</x:f>
        <x:v>1</x:v>
      </x:c>
      <x:c r="U879" s="21" t="str">
        <x:f>IF(J879="Рассчитано",N879*(1-O879/100),"н/д")</x:f>
        <x:v>н/д</x:v>
      </x:c>
      <x:c r="V879" s="21" t="str">
        <x:f>IF(J879="Рассчитано",T879*U879,"н/д")</x:f>
        <x:v>н/д</x:v>
      </x:c>
      <x:c r="W879" s="21" t="str">
        <x:f>IF(J879="Рассчитано",T879*M879,"н/д")</x:f>
        <x:v>н/д</x:v>
      </x:c>
      <x:c r="X879" s="21" t="str">
        <x:f>IF(J879="Рассчитано",V879-W879,"н/д")</x:f>
        <x:v>н/д</x:v>
      </x:c>
      <x:c r="Y879" s="27" t="str">
        <x:f>IF(J879="Рассчитано",IF(V879&gt;0,G879/V879,"н/д"),"н/д")</x:f>
        <x:v>н/д</x:v>
      </x:c>
      <x:c r="Z879" s="21" t="str">
        <x:f>"н/д"</x:f>
        <x:v>н/д</x:v>
      </x:c>
      <x:c r="AA879" s="21" t="str">
        <x:f>"н/д"</x:f>
        <x:v>н/д</x:v>
      </x:c>
      <x:c r="AB879" s="21" t="str">
        <x:f>"н/д"</x:f>
        <x:v>н/д</x:v>
      </x:c>
      <x:c r="AC879" s="21" t="str">
        <x:f>IF(AND(J879="Рассчитано",T879&gt;0,R879&lt;100),(W879+P879+Q879)/(T879*(1-R879/100)),"н/д")</x:f>
        <x:v>н/д</x:v>
      </x:c>
      <x:c r="AD879" s="10" t="str">
        <x:f>IF(ISNUMBER(G879),IF(G879&lt;0,"Убыток",IF(G879=0,"Без прибыли","Прибыль &gt; 0")),"Не оценён")</x:f>
        <x:v>Не оценён</x:v>
      </x:c>
      <x:c r="AE879" s="13" t="str">
        <x:f>IF(J879="Рассчитано","Выручка "&amp;TEXT(V879,"0.00")&amp;" - себестоимость "&amp;TEXT(W879,"0.00")&amp;" - комиссия "&amp;TEXT(V879*R879/100,"0.00")&amp;" - доставка "&amp;TEXT(P879,"0.00")&amp;" - прочие "&amp;TEXT(Q879,"0.00")&amp;" = "&amp;TEXT(G879,"0.00")&amp;" "&amp;L879,"Введите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9" s="24" t="n">
        <x:v>2.367558475454375</x:v>
      </x:c>
      <x:c r="AG879" s="37" t="n">
        <x:v>4</x:v>
      </x:c>
      <x:c r="AH879" s="37" t="n">
        <x:v>0</x:v>
      </x:c>
      <x:c r="AI879" s="30" t="n">
        <x:v>46266</x:v>
      </x:c>
      <x:c r="AJ879" s="37" t="n">
        <x:v>1</x:v>
      </x:c>
      <x:c r="AK879" s="10" t="str">
        <x:v>минимум</x:v>
      </x:c>
      <x:c r="AL879" s="32" t="n">
        <x:v>143.67404573406995</x:v>
      </x:c>
      <x:c r="AM879" s="13" t="str">
        <x:v>Остаток на начало сентября; Резервы неизвестны; Нет ежедневных данных доступности. Запас выше прогноза на 90 дней</x:v>
      </x:c>
      <x:c r="AN879" s="13" t="str">
        <x:v>Проверить свободный остаток и установить цену для B2B</x:v>
      </x:c>
      <x:c r="AO879" s="13" t="str">
        <x:v>Остаток 4; прогноз 90 дней 2.37; избыток 1 шт. Будущие поступления не выставляются на продажу. Остаток на начало сентября: требуется актуализация.</x:v>
      </x:c>
      <x:c r="AP879" s="13" t="str">
        <x:v>["category_missing", "daily_stockout_data_missing", "new_order_lead_time_unknown", "reservations_unknown", "stale_stock"]</x:v>
      </x:c>
      <x:c r="AQ879" s="10" t="str">
        <x:v>IEK:250600277_</x:v>
      </x:c>
      <x:c r="AR879" s="24" t="n">
        <x:v>1</x:v>
      </x:c>
      <x:c r="AS879" s="24" t="n">
        <x:v>0</x:v>
      </x:c>
      <x:c r="AT879" s="24" t="n">
        <x:v>0</x:v>
      </x:c>
    </x:row>
    <x:row r="880" ht="64" customHeight="1">
      <x:c r="A880" s="11" t="str">
        <x:v>IEK</x:v>
      </x:c>
      <x:c r="B880" s="33" t="str">
        <x:v>250600278_</x:v>
      </x:c>
      <x:c r="C880" s="33" t="str">
        <x:v>TI5-50-N-2X060-54-7035</x:v>
      </x:c>
      <x:c r="D880" s="12" t="str">
        <x:v>ЩРН 120 (2х60мод) 835х570х140 IP54 TITAN 5 IEK</x:v>
      </x:c>
      <x:c r="E880" s="11" t="str">
        <x:v>шт</x:v>
      </x:c>
      <x:c r="F880" s="35" t="n">
        <x:f>MAX(0,ROUNDDOWN((AG880-AF880)/AR880+0.000000001,0)*AR880)</x:f>
        <x:v>4</x:v>
      </x:c>
      <x:c r="G880" s="20" t="str">
        <x:f>IF(J880="Рассчитано",V880*(1-R880/100)-W880-P880-Q880,"н/д")</x:f>
        <x:v>н/д</x:v>
      </x:c>
      <x:c r="H880" s="12" t="str">
        <x:v>Высокий</x:v>
      </x:c>
      <x:c r="I880" s="12" t="str">
        <x:v>Высокий</x:v>
      </x:c>
      <x:c r="J880" s="12" t="str">
        <x:f>IF(L880="","Укажите валюту",IF(NOT(ISNUMBER(K880)),"Укажите объём",IF(K880&lt;=0,"Укажите объём",IF(K880&gt;F880,"Объём выше излишка",IF(COUNT(M880:O880)&lt;3,"Нужны цены",IF(COUNT(P880:R880)&lt;3,"Нужны расходы",IF(OR(M880&lt;0,N880&lt;0,O880&lt;0,O880&gt;100,P880&lt;0,Q880&lt;0,R880&lt;0,R880&gt;100),"Проверьте значения","Рассчитано")))))))</x:f>
        <x:v>Нужны цены</x:v>
      </x:c>
      <x:c r="K880" s="36" t="n">
        <x:v>4</x:v>
      </x:c>
      <x:c r="L880" s="19" t="str">
        <x:v>KZT</x:v>
      </x:c>
      <x:c r="M880" s="22"/>
      <x:c r="N880" s="22"/>
      <x:c r="O880" s="28"/>
      <x:c r="P880" s="22"/>
      <x:c r="Q880" s="22"/>
      <x:c r="R880" s="28"/>
      <x:c r="S880" s="22"/>
      <x:c r="T880" s="35" t="n">
        <x:f>K880</x:f>
        <x:v>4</x:v>
      </x:c>
      <x:c r="U880" s="20" t="str">
        <x:f>IF(J880="Рассчитано",N880*(1-O880/100),"н/д")</x:f>
        <x:v>н/д</x:v>
      </x:c>
      <x:c r="V880" s="20" t="str">
        <x:f>IF(J880="Рассчитано",T880*U880,"н/д")</x:f>
        <x:v>н/д</x:v>
      </x:c>
      <x:c r="W880" s="20" t="str">
        <x:f>IF(J880="Рассчитано",T880*M880,"н/д")</x:f>
        <x:v>н/д</x:v>
      </x:c>
      <x:c r="X880" s="20" t="str">
        <x:f>IF(J880="Рассчитано",V880-W880,"н/д")</x:f>
        <x:v>н/д</x:v>
      </x:c>
      <x:c r="Y880" s="26" t="str">
        <x:f>IF(J880="Рассчитано",IF(V880&gt;0,G880/V880,"н/д"),"н/д")</x:f>
        <x:v>н/д</x:v>
      </x:c>
      <x:c r="Z880" s="20" t="str">
        <x:f>"н/д"</x:f>
        <x:v>н/д</x:v>
      </x:c>
      <x:c r="AA880" s="20" t="str">
        <x:f>"н/д"</x:f>
        <x:v>н/д</x:v>
      </x:c>
      <x:c r="AB880" s="20" t="str">
        <x:f>"н/д"</x:f>
        <x:v>н/д</x:v>
      </x:c>
      <x:c r="AC880" s="20" t="str">
        <x:f>IF(AND(J880="Рассчитано",T880&gt;0,R880&lt;100),(W880+P880+Q880)/(T880*(1-R880/100)),"н/д")</x:f>
        <x:v>н/д</x:v>
      </x:c>
      <x:c r="AD880" s="11" t="str">
        <x:f>IF(ISNUMBER(G880),IF(G880&lt;0,"Убыток",IF(G880=0,"Без прибыли","Прибыль &gt; 0")),"Не оценён")</x:f>
        <x:v>Не оценён</x:v>
      </x:c>
      <x:c r="AE880" s="12" t="str">
        <x:f>IF(J880="Рассчитано","Выручка "&amp;TEXT(V880,"0.00")&amp;" - себестоимость "&amp;TEXT(W880,"0.00")&amp;" - комиссия "&amp;TEXT(V880*R880/100,"0.00")&amp;" - доставка "&amp;TEXT(P880,"0.00")&amp;" - прочие "&amp;TEXT(Q880,"0.00")&amp;" = "&amp;TEXT(G880,"0.00")&amp;" "&amp;L880,"Введите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0" s="23" t="n">
        <x:v>2.6549945211474086</x:v>
      </x:c>
      <x:c r="AG880" s="35" t="n">
        <x:v>7</x:v>
      </x:c>
      <x:c r="AH880" s="35" t="n">
        <x:v>0</x:v>
      </x:c>
      <x:c r="AI880" s="29" t="n">
        <x:v>46266</x:v>
      </x:c>
      <x:c r="AJ880" s="35" t="n">
        <x:v>1</x:v>
      </x:c>
      <x:c r="AK880" s="11" t="str">
        <x:v>минимум</x:v>
      </x:c>
      <x:c r="AL880" s="31" t="n">
        <x:v>224.20921340871362</x:v>
      </x:c>
      <x:c r="AM88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80" s="12" t="str">
        <x:v>Проверить свободный остаток и установить цену для B2B</x:v>
      </x:c>
      <x:c r="AO880" s="12" t="str">
        <x:v>Остаток 7; прогноз 90 дней 2.65; избыток 4 шт. Будущие поступления не выставляются на продажу. Остаток на начало сентября: требуется актуализация.</x:v>
      </x:c>
      <x:c r="AP880" s="12" t="str">
        <x:v>["category_missing", "daily_stockout_data_missing", "new_order_lead_time_unknown", "reservations_unknown", "stale_stock"]</x:v>
      </x:c>
      <x:c r="AQ880" s="11" t="str">
        <x:v>IEK:250600278_</x:v>
      </x:c>
      <x:c r="AR880" s="23" t="n">
        <x:v>1</x:v>
      </x:c>
      <x:c r="AS880" s="23" t="n">
        <x:v>0</x:v>
      </x:c>
      <x:c r="AT880" s="23" t="n">
        <x:v>0</x:v>
      </x:c>
    </x:row>
    <x:row r="881" ht="64" customHeight="1">
      <x:c r="A881" s="10" t="str">
        <x:v>IEK</x:v>
      </x:c>
      <x:c r="B881" s="34" t="str">
        <x:v>250600279_</x:v>
      </x:c>
      <x:c r="C881" s="34" t="str">
        <x:v>TI5-50-N-2X072-54-7035</x:v>
      </x:c>
      <x:c r="D881" s="13" t="str">
        <x:v>ЩРН 144 (2х72мод) 960х570х140 IP54 TITAN 5 IEK</x:v>
      </x:c>
      <x:c r="E881" s="10" t="str">
        <x:v>шт</x:v>
      </x:c>
      <x:c r="F881" s="37" t="n">
        <x:f>MAX(0,ROUNDDOWN((AG881-AF881)/AR881+0.000000001,0)*AR881)</x:f>
        <x:v>2</x:v>
      </x:c>
      <x:c r="G881" s="21" t="str">
        <x:f>IF(J881="Рассчитано",V881*(1-R881/100)-W881-P881-Q881,"н/д")</x:f>
        <x:v>н/д</x:v>
      </x:c>
      <x:c r="H881" s="13" t="str">
        <x:v>Высокий</x:v>
      </x:c>
      <x:c r="I881" s="13" t="str">
        <x:v>Высокий</x:v>
      </x:c>
      <x:c r="J881" s="13" t="str">
        <x:f>IF(L881="","Укажите валюту",IF(NOT(ISNUMBER(K881)),"Укажите объём",IF(K881&lt;=0,"Укажите объём",IF(K881&gt;F881,"Объём выше излишка",IF(COUNT(M881:O881)&lt;3,"Нужны цены",IF(COUNT(P881:R881)&lt;3,"Нужны расходы",IF(OR(M881&lt;0,N881&lt;0,O881&lt;0,O881&gt;100,P881&lt;0,Q881&lt;0,R881&lt;0,R881&gt;100),"Проверьте значения","Рассчитано")))))))</x:f>
        <x:v>Нужны цены</x:v>
      </x:c>
      <x:c r="K881" s="36" t="n">
        <x:v>2</x:v>
      </x:c>
      <x:c r="L881" s="19" t="str">
        <x:v>KZT</x:v>
      </x:c>
      <x:c r="M881" s="22"/>
      <x:c r="N881" s="22"/>
      <x:c r="O881" s="28"/>
      <x:c r="P881" s="22"/>
      <x:c r="Q881" s="22"/>
      <x:c r="R881" s="28"/>
      <x:c r="S881" s="22"/>
      <x:c r="T881" s="37" t="n">
        <x:f>K881</x:f>
        <x:v>2</x:v>
      </x:c>
      <x:c r="U881" s="21" t="str">
        <x:f>IF(J881="Рассчитано",N881*(1-O881/100),"н/д")</x:f>
        <x:v>н/д</x:v>
      </x:c>
      <x:c r="V881" s="21" t="str">
        <x:f>IF(J881="Рассчитано",T881*U881,"н/д")</x:f>
        <x:v>н/д</x:v>
      </x:c>
      <x:c r="W881" s="21" t="str">
        <x:f>IF(J881="Рассчитано",T881*M881,"н/д")</x:f>
        <x:v>н/д</x:v>
      </x:c>
      <x:c r="X881" s="21" t="str">
        <x:f>IF(J881="Рассчитано",V881-W881,"н/д")</x:f>
        <x:v>н/д</x:v>
      </x:c>
      <x:c r="Y881" s="27" t="str">
        <x:f>IF(J881="Рассчитано",IF(V881&gt;0,G881/V881,"н/д"),"н/д")</x:f>
        <x:v>н/д</x:v>
      </x:c>
      <x:c r="Z881" s="21" t="str">
        <x:f>"н/д"</x:f>
        <x:v>н/д</x:v>
      </x:c>
      <x:c r="AA881" s="21" t="str">
        <x:f>"н/д"</x:f>
        <x:v>н/д</x:v>
      </x:c>
      <x:c r="AB881" s="21" t="str">
        <x:f>"н/д"</x:f>
        <x:v>н/д</x:v>
      </x:c>
      <x:c r="AC881" s="21" t="str">
        <x:f>IF(AND(J881="Рассчитано",T881&gt;0,R881&lt;100),(W881+P881+Q881)/(T881*(1-R881/100)),"н/д")</x:f>
        <x:v>н/д</x:v>
      </x:c>
      <x:c r="AD881" s="10" t="str">
        <x:f>IF(ISNUMBER(G881),IF(G881&lt;0,"Убыток",IF(G881=0,"Без прибыли","Прибыль &gt; 0")),"Не оценён")</x:f>
        <x:v>Не оценён</x:v>
      </x:c>
      <x:c r="AE881" s="13" t="str">
        <x:f>IF(J881="Рассчитано","Выручка "&amp;TEXT(V881,"0.00")&amp;" - себестоимость "&amp;TEXT(W881,"0.00")&amp;" - комиссия "&amp;TEXT(V881*R881/100,"0.00")&amp;" - доставка "&amp;TEXT(P881,"0.00")&amp;" - прочие "&amp;TEXT(Q881,"0.00")&amp;" = "&amp;TEXT(G881,"0.00")&amp;" "&amp;L881,"Введите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1" s="24" t="n">
        <x:v>0.6325067997642536</x:v>
      </x:c>
      <x:c r="AG881" s="37" t="n">
        <x:v>3</x:v>
      </x:c>
      <x:c r="AH881" s="37" t="n">
        <x:v>0</x:v>
      </x:c>
      <x:c r="AI881" s="30" t="n">
        <x:v>46266</x:v>
      </x:c>
      <x:c r="AJ881" s="37" t="n">
        <x:v>1</x:v>
      </x:c>
      <x:c r="AK881" s="10" t="str">
        <x:v>минимум</x:v>
      </x:c>
      <x:c r="AL881" s="32" t="n">
        <x:v>403.34353497144104</x:v>
      </x:c>
      <x:c r="AM88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81" s="13" t="str">
        <x:v>Проверить свободный остаток и установить цену для B2B</x:v>
      </x:c>
      <x:c r="AO881" s="13" t="str">
        <x:v>Остаток 3; прогноз 90 дней 0.63; избыток 2 шт. Будущие поступления не выставляются на продажу. Остаток на начало сентября: требуется актуализация.</x:v>
      </x:c>
      <x:c r="AP881" s="13" t="str">
        <x:v>["category_missing", "daily_stockout_data_missing", "new_order_lead_time_unknown", "reservations_unknown", "stale_stock"]</x:v>
      </x:c>
      <x:c r="AQ881" s="10" t="str">
        <x:v>IEK:250600279_</x:v>
      </x:c>
      <x:c r="AR881" s="24" t="n">
        <x:v>1</x:v>
      </x:c>
      <x:c r="AS881" s="24" t="n">
        <x:v>0</x:v>
      </x:c>
      <x:c r="AT881" s="24" t="n">
        <x:v>0</x:v>
      </x:c>
    </x:row>
    <x:row r="882" ht="64" customHeight="1">
      <x:c r="A882" s="11" t="str">
        <x:v>IEK</x:v>
      </x:c>
      <x:c r="B882" s="33" t="str">
        <x:v>250600287_</x:v>
      </x:c>
      <x:c r="C882" s="33"/>
      <x:c r="D882" s="12" t="str">
        <x:v>ЩРВ-П 36 IP41 KREPTA 3 черный IEK E-PRO</x:v>
      </x:c>
      <x:c r="E882" s="11" t="str">
        <x:v>шт</x:v>
      </x:c>
      <x:c r="F882" s="35" t="n">
        <x:f>MAX(0,ROUNDDOWN((AG882-AF882)/AR882+0.000000001,0)*AR882)</x:f>
        <x:v>5</x:v>
      </x:c>
      <x:c r="G882" s="20" t="str">
        <x:f>IF(J882="Рассчитано",V882*(1-R882/100)-W882-P882-Q882,"н/д")</x:f>
        <x:v>н/д</x:v>
      </x:c>
      <x:c r="H882" s="12" t="str">
        <x:v>Высокий</x:v>
      </x:c>
      <x:c r="I882" s="12" t="str">
        <x:v>Высокий</x:v>
      </x:c>
      <x:c r="J882" s="12" t="str">
        <x:f>IF(L882="","Укажите валюту",IF(NOT(ISNUMBER(K882)),"Укажите объём",IF(K882&lt;=0,"Укажите объём",IF(K882&gt;F882,"Объём выше излишка",IF(COUNT(M882:O882)&lt;3,"Нужны цены",IF(COUNT(P882:R882)&lt;3,"Нужны расходы",IF(OR(M882&lt;0,N882&lt;0,O882&lt;0,O882&gt;100,P882&lt;0,Q882&lt;0,R882&lt;0,R882&gt;100),"Проверьте значения","Рассчитано")))))))</x:f>
        <x:v>Нужны цены</x:v>
      </x:c>
      <x:c r="K882" s="36" t="n">
        <x:v>5</x:v>
      </x:c>
      <x:c r="L882" s="19" t="str">
        <x:v>KZT</x:v>
      </x:c>
      <x:c r="M882" s="22"/>
      <x:c r="N882" s="22"/>
      <x:c r="O882" s="28"/>
      <x:c r="P882" s="22"/>
      <x:c r="Q882" s="22"/>
      <x:c r="R882" s="28"/>
      <x:c r="S882" s="22"/>
      <x:c r="T882" s="35" t="n">
        <x:f>K882</x:f>
        <x:v>5</x:v>
      </x:c>
      <x:c r="U882" s="20" t="str">
        <x:f>IF(J882="Рассчитано",N882*(1-O882/100),"н/д")</x:f>
        <x:v>н/д</x:v>
      </x:c>
      <x:c r="V882" s="20" t="str">
        <x:f>IF(J882="Рассчитано",T882*U882,"н/д")</x:f>
        <x:v>н/д</x:v>
      </x:c>
      <x:c r="W882" s="20" t="str">
        <x:f>IF(J882="Рассчитано",T882*M882,"н/д")</x:f>
        <x:v>н/д</x:v>
      </x:c>
      <x:c r="X882" s="20" t="str">
        <x:f>IF(J882="Рассчитано",V882-W882,"н/д")</x:f>
        <x:v>н/д</x:v>
      </x:c>
      <x:c r="Y882" s="26" t="str">
        <x:f>IF(J882="Рассчитано",IF(V882&gt;0,G882/V882,"н/д"),"н/д")</x:f>
        <x:v>н/д</x:v>
      </x:c>
      <x:c r="Z882" s="20" t="str">
        <x:f>"н/д"</x:f>
        <x:v>н/д</x:v>
      </x:c>
      <x:c r="AA882" s="20" t="str">
        <x:f>"н/д"</x:f>
        <x:v>н/д</x:v>
      </x:c>
      <x:c r="AB882" s="20" t="str">
        <x:f>"н/д"</x:f>
        <x:v>н/д</x:v>
      </x:c>
      <x:c r="AC882" s="20" t="str">
        <x:f>IF(AND(J882="Рассчитано",T882&gt;0,R882&lt;100),(W882+P882+Q882)/(T882*(1-R882/100)),"н/д")</x:f>
        <x:v>н/д</x:v>
      </x:c>
      <x:c r="AD882" s="11" t="str">
        <x:f>IF(ISNUMBER(G882),IF(G882&lt;0,"Убыток",IF(G882=0,"Без прибыли","Прибыль &gt; 0")),"Не оценён")</x:f>
        <x:v>Не оценён</x:v>
      </x:c>
      <x:c r="AE882" s="12" t="str">
        <x:f>IF(J882="Рассчитано","Выручка "&amp;TEXT(V882,"0.00")&amp;" - себестоимость "&amp;TEXT(W882,"0.00")&amp;" - комиссия "&amp;TEXT(V882*R882/100,"0.00")&amp;" - доставка "&amp;TEXT(P882,"0.00")&amp;" - прочие "&amp;TEXT(Q882,"0.00")&amp;" = "&amp;TEXT(G882,"0.00")&amp;" "&amp;L882,"Введите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2" s="23" t="n">
        <x:v>0.7523695379113549</x:v>
      </x:c>
      <x:c r="AG882" s="35" t="n">
        <x:v>6</x:v>
      </x:c>
      <x:c r="AH882" s="35" t="n">
        <x:v>0</x:v>
      </x:c>
      <x:c r="AI882" s="29" t="n">
        <x:v>46266</x:v>
      </x:c>
      <x:c r="AJ882" s="35"/>
      <x:c r="AK882" s="11" t="str">
        <x:v>неизвестно</x:v>
      </x:c>
      <x:c r="AL882" s="31" t="n">
        <x:v>678.1708074428865</x:v>
      </x:c>
      <x:c r="AM882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882" s="12" t="str">
        <x:v>Проверить свободный остаток и установить цену для B2B</x:v>
      </x:c>
      <x:c r="AO882" s="12" t="str">
        <x:v>Остаток 6; прогноз 90 дней 0.75; избыток 5 шт. Будущие поступления не выставляются на продажу. Остаток на начало сентября: требуется актуализация.</x:v>
      </x:c>
      <x:c r="AP882" s="12" t="str">
        <x:v>["category_missing", "daily_stockout_data_missing", "moq_missing", "negative_net_sales_clipped_for_forecast", "new_order_lead_time_unknown", "reservations_unknown", "stale_stock", "supplier_sku_missing"]</x:v>
      </x:c>
      <x:c r="AQ882" s="11" t="str">
        <x:v>IEK:250600287_</x:v>
      </x:c>
      <x:c r="AR882" s="23" t="n">
        <x:v>1</x:v>
      </x:c>
      <x:c r="AS882" s="23" t="n">
        <x:v>0</x:v>
      </x:c>
      <x:c r="AT882" s="23" t="n">
        <x:v>0</x:v>
      </x:c>
    </x:row>
    <x:row r="883" ht="64" customHeight="1">
      <x:c r="A883" s="10" t="str">
        <x:v>IEK</x:v>
      </x:c>
      <x:c r="B883" s="34" t="str">
        <x:v>250600289_</x:v>
      </x:c>
      <x:c r="C883" s="34" t="str">
        <x:v>TI5-50-N-024-54-7035</x:v>
      </x:c>
      <x:c r="D883" s="13" t="str">
        <x:v>ЩРН  24 (1х24мод) 460х310х140 IP54 TITAN 5 IEK</x:v>
      </x:c>
      <x:c r="E883" s="10" t="str">
        <x:v>шт</x:v>
      </x:c>
      <x:c r="F883" s="37" t="n">
        <x:f>MAX(0,ROUNDDOWN((AG883-AF883)/AR883+0.000000001,0)*AR883)</x:f>
        <x:v>11</x:v>
      </x:c>
      <x:c r="G883" s="21" t="str">
        <x:f>IF(J883="Рассчитано",V883*(1-R883/100)-W883-P883-Q883,"н/д")</x:f>
        <x:v>н/д</x:v>
      </x:c>
      <x:c r="H883" s="13" t="str">
        <x:v>Высокий</x:v>
      </x:c>
      <x:c r="I883" s="13" t="str">
        <x:v>Высокий</x:v>
      </x:c>
      <x:c r="J883" s="13" t="str">
        <x:f>IF(L883="","Укажите валюту",IF(NOT(ISNUMBER(K883)),"Укажите объём",IF(K883&lt;=0,"Укажите объём",IF(K883&gt;F883,"Объём выше излишка",IF(COUNT(M883:O883)&lt;3,"Нужны цены",IF(COUNT(P883:R883)&lt;3,"Нужны расходы",IF(OR(M883&lt;0,N883&lt;0,O883&lt;0,O883&gt;100,P883&lt;0,Q883&lt;0,R883&lt;0,R883&gt;100),"Проверьте значения","Рассчитано")))))))</x:f>
        <x:v>Нужны цены</x:v>
      </x:c>
      <x:c r="K883" s="36" t="n">
        <x:v>11</x:v>
      </x:c>
      <x:c r="L883" s="19" t="str">
        <x:v>KZT</x:v>
      </x:c>
      <x:c r="M883" s="22"/>
      <x:c r="N883" s="22"/>
      <x:c r="O883" s="28"/>
      <x:c r="P883" s="22"/>
      <x:c r="Q883" s="22"/>
      <x:c r="R883" s="28"/>
      <x:c r="S883" s="22"/>
      <x:c r="T883" s="37" t="n">
        <x:f>K883</x:f>
        <x:v>11</x:v>
      </x:c>
      <x:c r="U883" s="21" t="str">
        <x:f>IF(J883="Рассчитано",N883*(1-O883/100),"н/д")</x:f>
        <x:v>н/д</x:v>
      </x:c>
      <x:c r="V883" s="21" t="str">
        <x:f>IF(J883="Рассчитано",T883*U883,"н/д")</x:f>
        <x:v>н/д</x:v>
      </x:c>
      <x:c r="W883" s="21" t="str">
        <x:f>IF(J883="Рассчитано",T883*M883,"н/д")</x:f>
        <x:v>н/д</x:v>
      </x:c>
      <x:c r="X883" s="21" t="str">
        <x:f>IF(J883="Рассчитано",V883-W883,"н/д")</x:f>
        <x:v>н/д</x:v>
      </x:c>
      <x:c r="Y883" s="27" t="str">
        <x:f>IF(J883="Рассчитано",IF(V883&gt;0,G883/V883,"н/д"),"н/д")</x:f>
        <x:v>н/д</x:v>
      </x:c>
      <x:c r="Z883" s="21" t="str">
        <x:f>"н/д"</x:f>
        <x:v>н/д</x:v>
      </x:c>
      <x:c r="AA883" s="21" t="str">
        <x:f>"н/д"</x:f>
        <x:v>н/д</x:v>
      </x:c>
      <x:c r="AB883" s="21" t="str">
        <x:f>"н/д"</x:f>
        <x:v>н/д</x:v>
      </x:c>
      <x:c r="AC883" s="21" t="str">
        <x:f>IF(AND(J883="Рассчитано",T883&gt;0,R883&lt;100),(W883+P883+Q883)/(T883*(1-R883/100)),"н/д")</x:f>
        <x:v>н/д</x:v>
      </x:c>
      <x:c r="AD883" s="10" t="str">
        <x:f>IF(ISNUMBER(G883),IF(G883&lt;0,"Убыток",IF(G883=0,"Без прибыли","Прибыль &gt; 0")),"Не оценён")</x:f>
        <x:v>Не оценён</x:v>
      </x:c>
      <x:c r="AE883" s="13" t="str">
        <x:f>IF(J883="Рассчитано","Выручка "&amp;TEXT(V883,"0.00")&amp;" - себестоимость "&amp;TEXT(W883,"0.00")&amp;" - комиссия "&amp;TEXT(V883*R883/100,"0.00")&amp;" - доставка "&amp;TEXT(P883,"0.00")&amp;" - прочие "&amp;TEXT(Q883,"0.00")&amp;" = "&amp;TEXT(G883,"0.00")&amp;" "&amp;L883,"Введите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3" s="24" t="n">
        <x:v>9.112780246723677</x:v>
      </x:c>
      <x:c r="AG883" s="37" t="n">
        <x:v>21</x:v>
      </x:c>
      <x:c r="AH883" s="37" t="n">
        <x:v>0</x:v>
      </x:c>
      <x:c r="AI883" s="30" t="n">
        <x:v>46266</x:v>
      </x:c>
      <x:c r="AJ883" s="37" t="n">
        <x:v>1</x:v>
      </x:c>
      <x:c r="AK883" s="10" t="str">
        <x:v>минимум</x:v>
      </x:c>
      <x:c r="AL883" s="32" t="n">
        <x:v>195.96902934368126</x:v>
      </x:c>
      <x:c r="AM8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83" s="13" t="str">
        <x:v>Проверить свободный остаток и установить цену для B2B</x:v>
      </x:c>
      <x:c r="AO883" s="13" t="str">
        <x:v>Остаток 21; прогноз 90 дней 9.11; избыток 11 шт. Будущие поступления не выставляются на продажу. Остаток на начало сентября: требуется актуализация.</x:v>
      </x:c>
      <x:c r="AP883" s="13" t="str">
        <x:v>["category_missing", "daily_stockout_data_missing", "new_order_lead_time_unknown", "reservations_unknown", "stale_stock"]</x:v>
      </x:c>
      <x:c r="AQ883" s="10" t="str">
        <x:v>IEK:250600289_</x:v>
      </x:c>
      <x:c r="AR883" s="24" t="n">
        <x:v>1</x:v>
      </x:c>
      <x:c r="AS883" s="24" t="n">
        <x:v>0</x:v>
      </x:c>
      <x:c r="AT883" s="24" t="n">
        <x:v>0</x:v>
      </x:c>
    </x:row>
    <x:row r="884" ht="64" customHeight="1">
      <x:c r="A884" s="11" t="str">
        <x:v>IEK</x:v>
      </x:c>
      <x:c r="B884" s="33" t="str">
        <x:v>250600290_</x:v>
      </x:c>
      <x:c r="C884" s="33" t="str">
        <x:v>TI5-10-N-040-030-020-66</x:v>
      </x:c>
      <x:c r="D884" s="12" t="str">
        <x:v>ЩМП 40х30х20 IP66  TITAN 5 IEK</x:v>
      </x:c>
      <x:c r="E884" s="11" t="str">
        <x:v>шт</x:v>
      </x:c>
      <x:c r="F884" s="35" t="n">
        <x:f>MAX(0,ROUNDDOWN((AG884-AF884)/AR884+0.000000001,0)*AR884)</x:f>
        <x:v>6</x:v>
      </x:c>
      <x:c r="G884" s="20" t="str">
        <x:f>IF(J884="Рассчитано",V884*(1-R884/100)-W884-P884-Q884,"н/д")</x:f>
        <x:v>н/д</x:v>
      </x:c>
      <x:c r="H884" s="12" t="str">
        <x:v>Высокий</x:v>
      </x:c>
      <x:c r="I884" s="12" t="str">
        <x:v>Средний</x:v>
      </x:c>
      <x:c r="J884" s="12" t="str">
        <x:f>IF(L884="","Укажите валюту",IF(NOT(ISNUMBER(K884)),"Укажите объём",IF(K884&lt;=0,"Укажите объём",IF(K884&gt;F884,"Объём выше излишка",IF(COUNT(M884:O884)&lt;3,"Нужны цены",IF(COUNT(P884:R884)&lt;3,"Нужны расходы",IF(OR(M884&lt;0,N884&lt;0,O884&lt;0,O884&gt;100,P884&lt;0,Q884&lt;0,R884&lt;0,R884&gt;100),"Проверьте значения","Рассчитано")))))))</x:f>
        <x:v>Нужны цены</x:v>
      </x:c>
      <x:c r="K884" s="36" t="n">
        <x:v>6</x:v>
      </x:c>
      <x:c r="L884" s="19" t="str">
        <x:v>KZT</x:v>
      </x:c>
      <x:c r="M884" s="22"/>
      <x:c r="N884" s="22"/>
      <x:c r="O884" s="28"/>
      <x:c r="P884" s="22"/>
      <x:c r="Q884" s="22"/>
      <x:c r="R884" s="28"/>
      <x:c r="S884" s="22"/>
      <x:c r="T884" s="35" t="n">
        <x:f>K884</x:f>
        <x:v>6</x:v>
      </x:c>
      <x:c r="U884" s="20" t="str">
        <x:f>IF(J884="Рассчитано",N884*(1-O884/100),"н/д")</x:f>
        <x:v>н/д</x:v>
      </x:c>
      <x:c r="V884" s="20" t="str">
        <x:f>IF(J884="Рассчитано",T884*U884,"н/д")</x:f>
        <x:v>н/д</x:v>
      </x:c>
      <x:c r="W884" s="20" t="str">
        <x:f>IF(J884="Рассчитано",T884*M884,"н/д")</x:f>
        <x:v>н/д</x:v>
      </x:c>
      <x:c r="X884" s="20" t="str">
        <x:f>IF(J884="Рассчитано",V884-W884,"н/д")</x:f>
        <x:v>н/д</x:v>
      </x:c>
      <x:c r="Y884" s="26" t="str">
        <x:f>IF(J884="Рассчитано",IF(V884&gt;0,G884/V884,"н/д"),"н/д")</x:f>
        <x:v>н/д</x:v>
      </x:c>
      <x:c r="Z884" s="20" t="str">
        <x:f>"н/д"</x:f>
        <x:v>н/д</x:v>
      </x:c>
      <x:c r="AA884" s="20" t="str">
        <x:f>"н/д"</x:f>
        <x:v>н/д</x:v>
      </x:c>
      <x:c r="AB884" s="20" t="str">
        <x:f>"н/д"</x:f>
        <x:v>н/д</x:v>
      </x:c>
      <x:c r="AC884" s="20" t="str">
        <x:f>IF(AND(J884="Рассчитано",T884&gt;0,R884&lt;100),(W884+P884+Q884)/(T884*(1-R884/100)),"н/д")</x:f>
        <x:v>н/д</x:v>
      </x:c>
      <x:c r="AD884" s="11" t="str">
        <x:f>IF(ISNUMBER(G884),IF(G884&lt;0,"Убыток",IF(G884=0,"Без прибыли","Прибыль &gt; 0")),"Не оценён")</x:f>
        <x:v>Не оценён</x:v>
      </x:c>
      <x:c r="AE884" s="12" t="str">
        <x:f>IF(J884="Рассчитано","Выручка "&amp;TEXT(V884,"0.00")&amp;" - себестоимость "&amp;TEXT(W884,"0.00")&amp;" - комиссия "&amp;TEXT(V884*R884/100,"0.00")&amp;" - доставка "&amp;TEXT(P884,"0.00")&amp;" - прочие "&amp;TEXT(Q884,"0.00")&amp;" = "&amp;TEXT(G884,"0.00")&amp;" "&amp;L884,"Введите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4" s="23" t="n">
        <x:v>11.984588520571178</x:v>
      </x:c>
      <x:c r="AG884" s="35" t="n">
        <x:v>18</x:v>
      </x:c>
      <x:c r="AH884" s="35" t="n">
        <x:v>0</x:v>
      </x:c>
      <x:c r="AI884" s="29" t="n">
        <x:v>46266</x:v>
      </x:c>
      <x:c r="AJ884" s="35" t="n">
        <x:v>1</x:v>
      </x:c>
      <x:c r="AK884" s="11" t="str">
        <x:v>минимум</x:v>
      </x:c>
      <x:c r="AL884" s="31" t="n">
        <x:v>127.7227973605366</x:v>
      </x:c>
      <x:c r="AM884" s="12" t="str">
        <x:v>Остаток на начало сентября; Резервы неизвестны; Нет ежедневных данных доступности. Запас выше прогноза на 90 дней</x:v>
      </x:c>
      <x:c r="AN884" s="12" t="str">
        <x:v>Проверить свободный остаток и установить цену для B2B</x:v>
      </x:c>
      <x:c r="AO884" s="12" t="str">
        <x:v>Остаток 18; прогноз 90 дней 11.98; избыток 6 шт. Будущие поступления не выставляются на продажу. Остаток на начало сентября: требуется актуализация.</x:v>
      </x:c>
      <x:c r="AP884" s="12" t="str">
        <x:v>["category_missing", "daily_stockout_data_missing", "new_order_lead_time_unknown", "reservations_unknown", "stale_stock"]</x:v>
      </x:c>
      <x:c r="AQ884" s="11" t="str">
        <x:v>IEK:250600290_</x:v>
      </x:c>
      <x:c r="AR884" s="23" t="n">
        <x:v>1</x:v>
      </x:c>
      <x:c r="AS884" s="23" t="n">
        <x:v>0</x:v>
      </x:c>
      <x:c r="AT884" s="23" t="n">
        <x:v>0</x:v>
      </x:c>
    </x:row>
    <x:row r="885" ht="64" customHeight="1">
      <x:c r="A885" s="10" t="str">
        <x:v>IEK</x:v>
      </x:c>
      <x:c r="B885" s="34" t="str">
        <x:v>250600293_</x:v>
      </x:c>
      <x:c r="C885" s="34" t="str">
        <x:v>TI5-10-N-080-060-025-66</x:v>
      </x:c>
      <x:c r="D885" s="13" t="str">
        <x:v>ЩМП 80х60х25 IP66  TITAN 5 IEK</x:v>
      </x:c>
      <x:c r="E885" s="10" t="str">
        <x:v>шт</x:v>
      </x:c>
      <x:c r="F885" s="37" t="n">
        <x:f>MAX(0,ROUNDDOWN((AG885-AF885)/AR885+0.000000001,0)*AR885)</x:f>
        <x:v>15</x:v>
      </x:c>
      <x:c r="G885" s="21" t="str">
        <x:f>IF(J885="Рассчитано",V885*(1-R885/100)-W885-P885-Q885,"н/д")</x:f>
        <x:v>н/д</x:v>
      </x:c>
      <x:c r="H885" s="13" t="str">
        <x:v>Высокий</x:v>
      </x:c>
      <x:c r="I885" s="13" t="str">
        <x:v>Высокий</x:v>
      </x:c>
      <x:c r="J885" s="13" t="str">
        <x:f>IF(L885="","Укажите валюту",IF(NOT(ISNUMBER(K885)),"Укажите объём",IF(K885&lt;=0,"Укажите объём",IF(K885&gt;F885,"Объём выше излишка",IF(COUNT(M885:O885)&lt;3,"Нужны цены",IF(COUNT(P885:R885)&lt;3,"Нужны расходы",IF(OR(M885&lt;0,N885&lt;0,O885&lt;0,O885&gt;100,P885&lt;0,Q885&lt;0,R885&lt;0,R885&gt;100),"Проверьте значения","Рассчитано")))))))</x:f>
        <x:v>Нужны цены</x:v>
      </x:c>
      <x:c r="K885" s="36" t="n">
        <x:v>15</x:v>
      </x:c>
      <x:c r="L885" s="19" t="str">
        <x:v>KZT</x:v>
      </x:c>
      <x:c r="M885" s="22"/>
      <x:c r="N885" s="22"/>
      <x:c r="O885" s="28"/>
      <x:c r="P885" s="22"/>
      <x:c r="Q885" s="22"/>
      <x:c r="R885" s="28"/>
      <x:c r="S885" s="22"/>
      <x:c r="T885" s="37" t="n">
        <x:f>K885</x:f>
        <x:v>15</x:v>
      </x:c>
      <x:c r="U885" s="21" t="str">
        <x:f>IF(J885="Рассчитано",N885*(1-O885/100),"н/д")</x:f>
        <x:v>н/д</x:v>
      </x:c>
      <x:c r="V885" s="21" t="str">
        <x:f>IF(J885="Рассчитано",T885*U885,"н/д")</x:f>
        <x:v>н/д</x:v>
      </x:c>
      <x:c r="W885" s="21" t="str">
        <x:f>IF(J885="Рассчитано",T885*M885,"н/д")</x:f>
        <x:v>н/д</x:v>
      </x:c>
      <x:c r="X885" s="21" t="str">
        <x:f>IF(J885="Рассчитано",V885-W885,"н/д")</x:f>
        <x:v>н/д</x:v>
      </x:c>
      <x:c r="Y885" s="27" t="str">
        <x:f>IF(J885="Рассчитано",IF(V885&gt;0,G885/V885,"н/д"),"н/д")</x:f>
        <x:v>н/д</x:v>
      </x:c>
      <x:c r="Z885" s="21" t="str">
        <x:f>"н/д"</x:f>
        <x:v>н/д</x:v>
      </x:c>
      <x:c r="AA885" s="21" t="str">
        <x:f>"н/д"</x:f>
        <x:v>н/д</x:v>
      </x:c>
      <x:c r="AB885" s="21" t="str">
        <x:f>"н/д"</x:f>
        <x:v>н/д</x:v>
      </x:c>
      <x:c r="AC885" s="21" t="str">
        <x:f>IF(AND(J885="Рассчитано",T885&gt;0,R885&lt;100),(W885+P885+Q885)/(T885*(1-R885/100)),"н/д")</x:f>
        <x:v>н/д</x:v>
      </x:c>
      <x:c r="AD885" s="10" t="str">
        <x:f>IF(ISNUMBER(G885),IF(G885&lt;0,"Убыток",IF(G885=0,"Без прибыли","Прибыль &gt; 0")),"Не оценён")</x:f>
        <x:v>Не оценён</x:v>
      </x:c>
      <x:c r="AE885" s="13" t="str">
        <x:f>IF(J885="Рассчитано","Выручка "&amp;TEXT(V885,"0.00")&amp;" - себестоимость "&amp;TEXT(W885,"0.00")&amp;" - комиссия "&amp;TEXT(V885*R885/100,"0.00")&amp;" - доставка "&amp;TEXT(P885,"0.00")&amp;" - прочие "&amp;TEXT(Q885,"0.00")&amp;" = "&amp;TEXT(G885,"0.00")&amp;" "&amp;L885,"Введите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5" s="24" t="n">
        <x:v>3.5247716819787374</x:v>
      </x:c>
      <x:c r="AG885" s="37" t="n">
        <x:v>19</x:v>
      </x:c>
      <x:c r="AH885" s="37" t="n">
        <x:v>0</x:v>
      </x:c>
      <x:c r="AI885" s="30" t="n">
        <x:v>46266</x:v>
      </x:c>
      <x:c r="AJ885" s="37" t="n">
        <x:v>1</x:v>
      </x:c>
      <x:c r="AK885" s="10" t="str">
        <x:v>минимум</x:v>
      </x:c>
      <x:c r="AL885" s="32" t="n">
        <x:v>458.39688156068166</x:v>
      </x:c>
      <x:c r="AM8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85" s="13" t="str">
        <x:v>Проверить свободный остаток и установить цену для B2B</x:v>
      </x:c>
      <x:c r="AO885" s="13" t="str">
        <x:v>Остаток 19; прогноз 90 дней 3.52; избыток 15 шт. Будущие поступления не выставляются на продажу. Остаток на начало сентября: требуется актуализация.</x:v>
      </x:c>
      <x:c r="AP885" s="13" t="str">
        <x:v>["category_missing", "daily_stockout_data_missing", "large_orders_detected", "new_order_lead_time_unknown", "reservations_unknown", "stale_stock"]</x:v>
      </x:c>
      <x:c r="AQ885" s="10" t="str">
        <x:v>IEK:250600293_</x:v>
      </x:c>
      <x:c r="AR885" s="24" t="n">
        <x:v>1</x:v>
      </x:c>
      <x:c r="AS885" s="24" t="n">
        <x:v>0</x:v>
      </x:c>
      <x:c r="AT885" s="24" t="n">
        <x:v>0</x:v>
      </x:c>
    </x:row>
    <x:row r="886" ht="64" customHeight="1">
      <x:c r="A886" s="11" t="str">
        <x:v>IEK</x:v>
      </x:c>
      <x:c r="B886" s="33" t="str">
        <x:v>250600309_</x:v>
      </x:c>
      <x:c r="C886" s="33" t="str">
        <x:v>TR5-11-N-030-20-13-65</x:v>
      </x:c>
      <x:c r="D886" s="12" t="str">
        <x:v>TETRA Корпус пластик. ЩМПп 300х200х130мм прозр. IP66 IEK</x:v>
      </x:c>
      <x:c r="E886" s="11" t="str">
        <x:v>шт</x:v>
      </x:c>
      <x:c r="F886" s="35" t="n">
        <x:f>MAX(0,ROUNDDOWN((AG886-AF886)/AR886+0.000000001,0)*AR886)</x:f>
        <x:v>6</x:v>
      </x:c>
      <x:c r="G886" s="20" t="str">
        <x:f>IF(J886="Рассчитано",V886*(1-R886/100)-W886-P886-Q886,"н/д")</x:f>
        <x:v>н/д</x:v>
      </x:c>
      <x:c r="H886" s="12" t="str">
        <x:v>Высокий</x:v>
      </x:c>
      <x:c r="I886" s="12" t="str">
        <x:v>Высокий</x:v>
      </x:c>
      <x:c r="J886" s="12" t="str">
        <x:f>IF(L886="","Укажите валюту",IF(NOT(ISNUMBER(K886)),"Укажите объём",IF(K886&lt;=0,"Укажите объём",IF(K886&gt;F886,"Объём выше излишка",IF(COUNT(M886:O886)&lt;3,"Нужны цены",IF(COUNT(P886:R886)&lt;3,"Нужны расходы",IF(OR(M886&lt;0,N886&lt;0,O886&lt;0,O886&gt;100,P886&lt;0,Q886&lt;0,R886&lt;0,R886&gt;100),"Проверьте значения","Рассчитано")))))))</x:f>
        <x:v>Нужны цены</x:v>
      </x:c>
      <x:c r="K886" s="36" t="n">
        <x:v>6</x:v>
      </x:c>
      <x:c r="L886" s="19" t="str">
        <x:v>KZT</x:v>
      </x:c>
      <x:c r="M886" s="22"/>
      <x:c r="N886" s="22"/>
      <x:c r="O886" s="28"/>
      <x:c r="P886" s="22"/>
      <x:c r="Q886" s="22"/>
      <x:c r="R886" s="28"/>
      <x:c r="S886" s="22"/>
      <x:c r="T886" s="35" t="n">
        <x:f>K886</x:f>
        <x:v>6</x:v>
      </x:c>
      <x:c r="U886" s="20" t="str">
        <x:f>IF(J886="Рассчитано",N886*(1-O886/100),"н/д")</x:f>
        <x:v>н/д</x:v>
      </x:c>
      <x:c r="V886" s="20" t="str">
        <x:f>IF(J886="Рассчитано",T886*U886,"н/д")</x:f>
        <x:v>н/д</x:v>
      </x:c>
      <x:c r="W886" s="20" t="str">
        <x:f>IF(J886="Рассчитано",T886*M886,"н/д")</x:f>
        <x:v>н/д</x:v>
      </x:c>
      <x:c r="X886" s="20" t="str">
        <x:f>IF(J886="Рассчитано",V886-W886,"н/д")</x:f>
        <x:v>н/д</x:v>
      </x:c>
      <x:c r="Y886" s="26" t="str">
        <x:f>IF(J886="Рассчитано",IF(V886&gt;0,G886/V886,"н/д"),"н/д")</x:f>
        <x:v>н/д</x:v>
      </x:c>
      <x:c r="Z886" s="20" t="str">
        <x:f>"н/д"</x:f>
        <x:v>н/д</x:v>
      </x:c>
      <x:c r="AA886" s="20" t="str">
        <x:f>"н/д"</x:f>
        <x:v>н/д</x:v>
      </x:c>
      <x:c r="AB886" s="20" t="str">
        <x:f>"н/д"</x:f>
        <x:v>н/д</x:v>
      </x:c>
      <x:c r="AC886" s="20" t="str">
        <x:f>IF(AND(J886="Рассчитано",T886&gt;0,R886&lt;100),(W886+P886+Q886)/(T886*(1-R886/100)),"н/д")</x:f>
        <x:v>н/д</x:v>
      </x:c>
      <x:c r="AD886" s="11" t="str">
        <x:f>IF(ISNUMBER(G886),IF(G886&lt;0,"Убыток",IF(G886=0,"Без прибыли","Прибыль &gt; 0")),"Не оценён")</x:f>
        <x:v>Не оценён</x:v>
      </x:c>
      <x:c r="AE886" s="12" t="str">
        <x:f>IF(J886="Рассчитано","Выручка "&amp;TEXT(V886,"0.00")&amp;" - себестоимость "&amp;TEXT(W886,"0.00")&amp;" - комиссия "&amp;TEXT(V886*R886/100,"0.00")&amp;" - доставка "&amp;TEXT(P886,"0.00")&amp;" - прочие "&amp;TEXT(Q886,"0.00")&amp;" = "&amp;TEXT(G886,"0.00")&amp;" "&amp;L886,"Введите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6" s="23" t="n">
        <x:v>0.7988196598134536</x:v>
      </x:c>
      <x:c r="AG886" s="35" t="n">
        <x:v>7</x:v>
      </x:c>
      <x:c r="AH886" s="35" t="n">
        <x:v>0</x:v>
      </x:c>
      <x:c r="AI886" s="29" t="n">
        <x:v>46266</x:v>
      </x:c>
      <x:c r="AJ886" s="35" t="n">
        <x:v>1</x:v>
      </x:c>
      <x:c r="AK886" s="11" t="str">
        <x:v>минимум</x:v>
      </x:c>
      <x:c r="AL886" s="31" t="n">
        <x:v>745.1922669628792</x:v>
      </x:c>
      <x:c r="AM88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86" s="12" t="str">
        <x:v>Проверить свободный остаток и установить цену для B2B</x:v>
      </x:c>
      <x:c r="AO886" s="12" t="str">
        <x:v>Остаток 7; прогноз 90 дней 0.80; избыток 6 шт. Будущие поступления не выставляются на продажу. Остаток на начало сентября: требуется актуализация.</x:v>
      </x:c>
      <x:c r="AP886" s="12" t="str">
        <x:v>["category_missing", "daily_stockout_data_missing", "new_order_lead_time_unknown", "reservations_unknown", "stale_stock"]</x:v>
      </x:c>
      <x:c r="AQ886" s="11" t="str">
        <x:v>IEK:250600309_</x:v>
      </x:c>
      <x:c r="AR886" s="23" t="n">
        <x:v>1</x:v>
      </x:c>
      <x:c r="AS886" s="23" t="n">
        <x:v>0</x:v>
      </x:c>
      <x:c r="AT886" s="23" t="n">
        <x:v>0</x:v>
      </x:c>
    </x:row>
    <x:row r="887" ht="64" customHeight="1">
      <x:c r="A887" s="10" t="str">
        <x:v>IEK</x:v>
      </x:c>
      <x:c r="B887" s="34" t="str">
        <x:v>250600310_</x:v>
      </x:c>
      <x:c r="C887" s="34" t="str">
        <x:v>TR5-11-N-035-25-15-65</x:v>
      </x:c>
      <x:c r="D887" s="13" t="str">
        <x:v>TETRA Корпус пластик. ЩМПп 350х250х150мм прозр. IP66 IEK</x:v>
      </x:c>
      <x:c r="E887" s="10" t="str">
        <x:v>шт</x:v>
      </x:c>
      <x:c r="F887" s="37" t="n">
        <x:f>MAX(0,ROUNDDOWN((AG887-AF887)/AR887+0.000000001,0)*AR887)</x:f>
        <x:v>3</x:v>
      </x:c>
      <x:c r="G887" s="21" t="str">
        <x:f>IF(J887="Рассчитано",V887*(1-R887/100)-W887-P887-Q887,"н/д")</x:f>
        <x:v>н/д</x:v>
      </x:c>
      <x:c r="H887" s="13" t="str">
        <x:v>Высокий</x:v>
      </x:c>
      <x:c r="I887" s="13" t="str">
        <x:v>Высокий</x:v>
      </x:c>
      <x:c r="J887" s="13" t="str">
        <x:f>IF(L887="","Укажите валюту",IF(NOT(ISNUMBER(K887)),"Укажите объём",IF(K887&lt;=0,"Укажите объём",IF(K887&gt;F887,"Объём выше излишка",IF(COUNT(M887:O887)&lt;3,"Нужны цены",IF(COUNT(P887:R887)&lt;3,"Нужны расходы",IF(OR(M887&lt;0,N887&lt;0,O887&lt;0,O887&gt;100,P887&lt;0,Q887&lt;0,R887&lt;0,R887&gt;100),"Проверьте значения","Рассчитано")))))))</x:f>
        <x:v>Нужны цены</x:v>
      </x:c>
      <x:c r="K887" s="36" t="n">
        <x:v>3</x:v>
      </x:c>
      <x:c r="L887" s="19" t="str">
        <x:v>KZT</x:v>
      </x:c>
      <x:c r="M887" s="22"/>
      <x:c r="N887" s="22"/>
      <x:c r="O887" s="28"/>
      <x:c r="P887" s="22"/>
      <x:c r="Q887" s="22"/>
      <x:c r="R887" s="28"/>
      <x:c r="S887" s="22"/>
      <x:c r="T887" s="37" t="n">
        <x:f>K887</x:f>
        <x:v>3</x:v>
      </x:c>
      <x:c r="U887" s="21" t="str">
        <x:f>IF(J887="Рассчитано",N887*(1-O887/100),"н/д")</x:f>
        <x:v>н/д</x:v>
      </x:c>
      <x:c r="V887" s="21" t="str">
        <x:f>IF(J887="Рассчитано",T887*U887,"н/д")</x:f>
        <x:v>н/д</x:v>
      </x:c>
      <x:c r="W887" s="21" t="str">
        <x:f>IF(J887="Рассчитано",T887*M887,"н/д")</x:f>
        <x:v>н/д</x:v>
      </x:c>
      <x:c r="X887" s="21" t="str">
        <x:f>IF(J887="Рассчитано",V887-W887,"н/д")</x:f>
        <x:v>н/д</x:v>
      </x:c>
      <x:c r="Y887" s="27" t="str">
        <x:f>IF(J887="Рассчитано",IF(V887&gt;0,G887/V887,"н/д"),"н/д")</x:f>
        <x:v>н/д</x:v>
      </x:c>
      <x:c r="Z887" s="21" t="str">
        <x:f>"н/д"</x:f>
        <x:v>н/д</x:v>
      </x:c>
      <x:c r="AA887" s="21" t="str">
        <x:f>"н/д"</x:f>
        <x:v>н/д</x:v>
      </x:c>
      <x:c r="AB887" s="21" t="str">
        <x:f>"н/д"</x:f>
        <x:v>н/д</x:v>
      </x:c>
      <x:c r="AC887" s="21" t="str">
        <x:f>IF(AND(J887="Рассчитано",T887&gt;0,R887&lt;100),(W887+P887+Q887)/(T887*(1-R887/100)),"н/д")</x:f>
        <x:v>н/д</x:v>
      </x:c>
      <x:c r="AD887" s="10" t="str">
        <x:f>IF(ISNUMBER(G887),IF(G887&lt;0,"Убыток",IF(G887=0,"Без прибыли","Прибыль &gt; 0")),"Не оценён")</x:f>
        <x:v>Не оценён</x:v>
      </x:c>
      <x:c r="AE887" s="13" t="str">
        <x:f>IF(J887="Рассчитано","Выручка "&amp;TEXT(V887,"0.00")&amp;" - себестоимость "&amp;TEXT(W887,"0.00")&amp;" - комиссия "&amp;TEXT(V887*R887/100,"0.00")&amp;" - доставка "&amp;TEXT(P887,"0.00")&amp;" - прочие "&amp;TEXT(Q887,"0.00")&amp;" = "&amp;TEXT(G887,"0.00")&amp;" "&amp;L887,"Введите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7" s="24" t="n">
        <x:v>1.0975934815253598</x:v>
      </x:c>
      <x:c r="AG887" s="37" t="n">
        <x:v>5</x:v>
      </x:c>
      <x:c r="AH887" s="37" t="n">
        <x:v>0</x:v>
      </x:c>
      <x:c r="AI887" s="30" t="n">
        <x:v>46266</x:v>
      </x:c>
      <x:c r="AJ887" s="37" t="n">
        <x:v>1</x:v>
      </x:c>
      <x:c r="AK887" s="10" t="str">
        <x:v>минимум</x:v>
      </x:c>
      <x:c r="AL887" s="32" t="n">
        <x:v>387.3892183285722</x:v>
      </x:c>
      <x:c r="AM887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887" s="13" t="str">
        <x:v>Проверить свободный остаток и установить цену для B2B</x:v>
      </x:c>
      <x:c r="AO887" s="13" t="str">
        <x:v>Остаток 5; прогноз 90 дней 1.10; избыток 3 шт. Будущие поступления не выставляются на продажу. Остаток на начало сентября: требуется актуализация.</x:v>
      </x:c>
      <x:c r="AP887" s="13" t="str">
        <x:v>["category_missing", "daily_stockout_data_missing", "new_order_lead_time_unknown", "reservations_unknown", "stale_stock", "stockout_proxy_used"]</x:v>
      </x:c>
      <x:c r="AQ887" s="10" t="str">
        <x:v>IEK:250600310_</x:v>
      </x:c>
      <x:c r="AR887" s="24" t="n">
        <x:v>1</x:v>
      </x:c>
      <x:c r="AS887" s="24" t="n">
        <x:v>0</x:v>
      </x:c>
      <x:c r="AT887" s="24" t="n">
        <x:v>0</x:v>
      </x:c>
    </x:row>
    <x:row r="888" ht="64" customHeight="1">
      <x:c r="A888" s="11" t="str">
        <x:v>IEK</x:v>
      </x:c>
      <x:c r="B888" s="33" t="str">
        <x:v>250600311_</x:v>
      </x:c>
      <x:c r="C888" s="33" t="str">
        <x:v>TR5-11-N-040-30-17-65</x:v>
      </x:c>
      <x:c r="D888" s="12" t="str">
        <x:v>TETRA Корпус пластик. ЩМПп 400х300х170мм прозр. IP66 IEK</x:v>
      </x:c>
      <x:c r="E888" s="11" t="str">
        <x:v>шт</x:v>
      </x:c>
      <x:c r="F888" s="35" t="n">
        <x:f>MAX(0,ROUNDDOWN((AG888-AF888)/AR888+0.000000001,0)*AR888)</x:f>
        <x:v>5</x:v>
      </x:c>
      <x:c r="G888" s="20" t="str">
        <x:f>IF(J888="Рассчитано",V888*(1-R888/100)-W888-P888-Q888,"н/д")</x:f>
        <x:v>н/д</x:v>
      </x:c>
      <x:c r="H888" s="12" t="str">
        <x:v>Высокий</x:v>
      </x:c>
      <x:c r="I888" s="12" t="str">
        <x:v>Высокий</x:v>
      </x:c>
      <x:c r="J888" s="12" t="str">
        <x:f>IF(L888="","Укажите валюту",IF(NOT(ISNUMBER(K888)),"Укажите объём",IF(K888&lt;=0,"Укажите объём",IF(K888&gt;F888,"Объём выше излишка",IF(COUNT(M888:O888)&lt;3,"Нужны цены",IF(COUNT(P888:R888)&lt;3,"Нужны расходы",IF(OR(M888&lt;0,N888&lt;0,O888&lt;0,O888&gt;100,P888&lt;0,Q888&lt;0,R888&lt;0,R888&gt;100),"Проверьте значения","Рассчитано")))))))</x:f>
        <x:v>Нужны цены</x:v>
      </x:c>
      <x:c r="K888" s="36" t="n">
        <x:v>5</x:v>
      </x:c>
      <x:c r="L888" s="19" t="str">
        <x:v>KZT</x:v>
      </x:c>
      <x:c r="M888" s="22"/>
      <x:c r="N888" s="22"/>
      <x:c r="O888" s="28"/>
      <x:c r="P888" s="22"/>
      <x:c r="Q888" s="22"/>
      <x:c r="R888" s="28"/>
      <x:c r="S888" s="22"/>
      <x:c r="T888" s="35" t="n">
        <x:f>K888</x:f>
        <x:v>5</x:v>
      </x:c>
      <x:c r="U888" s="20" t="str">
        <x:f>IF(J888="Рассчитано",N888*(1-O888/100),"н/д")</x:f>
        <x:v>н/д</x:v>
      </x:c>
      <x:c r="V888" s="20" t="str">
        <x:f>IF(J888="Рассчитано",T888*U888,"н/д")</x:f>
        <x:v>н/д</x:v>
      </x:c>
      <x:c r="W888" s="20" t="str">
        <x:f>IF(J888="Рассчитано",T888*M888,"н/д")</x:f>
        <x:v>н/д</x:v>
      </x:c>
      <x:c r="X888" s="20" t="str">
        <x:f>IF(J888="Рассчитано",V888-W888,"н/д")</x:f>
        <x:v>н/д</x:v>
      </x:c>
      <x:c r="Y888" s="26" t="str">
        <x:f>IF(J888="Рассчитано",IF(V888&gt;0,G888/V888,"н/д"),"н/д")</x:f>
        <x:v>н/д</x:v>
      </x:c>
      <x:c r="Z888" s="20" t="str">
        <x:f>"н/д"</x:f>
        <x:v>н/д</x:v>
      </x:c>
      <x:c r="AA888" s="20" t="str">
        <x:f>"н/д"</x:f>
        <x:v>н/д</x:v>
      </x:c>
      <x:c r="AB888" s="20" t="str">
        <x:f>"н/д"</x:f>
        <x:v>н/д</x:v>
      </x:c>
      <x:c r="AC888" s="20" t="str">
        <x:f>IF(AND(J888="Рассчитано",T888&gt;0,R888&lt;100),(W888+P888+Q888)/(T888*(1-R888/100)),"н/д")</x:f>
        <x:v>н/д</x:v>
      </x:c>
      <x:c r="AD888" s="11" t="str">
        <x:f>IF(ISNUMBER(G888),IF(G888&lt;0,"Убыток",IF(G888=0,"Без прибыли","Прибыль &gt; 0")),"Не оценён")</x:f>
        <x:v>Не оценён</x:v>
      </x:c>
      <x:c r="AE888" s="12" t="str">
        <x:f>IF(J888="Рассчитано","Выручка "&amp;TEXT(V888,"0.00")&amp;" - себестоимость "&amp;TEXT(W888,"0.00")&amp;" - комиссия "&amp;TEXT(V888*R888/100,"0.00")&amp;" - доставка "&amp;TEXT(P888,"0.00")&amp;" - прочие "&amp;TEXT(Q888,"0.00")&amp;" = "&amp;TEXT(G888,"0.00")&amp;" "&amp;L888,"Введите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8" s="23" t="n">
        <x:v>0.9951055001445751</x:v>
      </x:c>
      <x:c r="AG888" s="35" t="n">
        <x:v>6</x:v>
      </x:c>
      <x:c r="AH888" s="35" t="n">
        <x:v>0</x:v>
      </x:c>
      <x:c r="AI888" s="29" t="n">
        <x:v>46266</x:v>
      </x:c>
      <x:c r="AJ888" s="35" t="n">
        <x:v>1</x:v>
      </x:c>
      <x:c r="AK888" s="11" t="str">
        <x:v>минимум</x:v>
      </x:c>
      <x:c r="AL888" s="31" t="n">
        <x:v>512.7446858113489</x:v>
      </x:c>
      <x:c r="AM888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888" s="12" t="str">
        <x:v>Проверить свободный остаток и установить цену для B2B</x:v>
      </x:c>
      <x:c r="AO888" s="12" t="str">
        <x:v>Остаток 6; прогноз 90 дней 1.00; избыток 5 шт. Будущие поступления не выставляются на продажу. Остаток на начало сентября: требуется актуализация.</x:v>
      </x:c>
      <x:c r="AP888" s="12" t="str">
        <x:v>["category_missing", "daily_stockout_data_missing", "new_order_lead_time_unknown", "reservations_unknown", "stale_stock", "stockout_proxy_used"]</x:v>
      </x:c>
      <x:c r="AQ888" s="11" t="str">
        <x:v>IEK:250600311_</x:v>
      </x:c>
      <x:c r="AR888" s="23" t="n">
        <x:v>1</x:v>
      </x:c>
      <x:c r="AS888" s="23" t="n">
        <x:v>0</x:v>
      </x:c>
      <x:c r="AT888" s="23" t="n">
        <x:v>0</x:v>
      </x:c>
    </x:row>
    <x:row r="889" ht="64" customHeight="1">
      <x:c r="A889" s="10" t="str">
        <x:v>IEK</x:v>
      </x:c>
      <x:c r="B889" s="34" t="str">
        <x:v>250600313_</x:v>
      </x:c>
      <x:c r="C889" s="34" t="str">
        <x:v>TR5-11-N-050-40-18-65</x:v>
      </x:c>
      <x:c r="D889" s="13" t="str">
        <x:v>TETRA Корпус пластик. ЩМПп 500х400х180мм прозр. IP66 IEK</x:v>
      </x:c>
      <x:c r="E889" s="10" t="str">
        <x:v>шт</x:v>
      </x:c>
      <x:c r="F889" s="37" t="n">
        <x:f>MAX(0,ROUNDDOWN((AG889-AF889)/AR889+0.000000001,0)*AR889)</x:f>
        <x:v>7</x:v>
      </x:c>
      <x:c r="G889" s="21" t="str">
        <x:f>IF(J889="Рассчитано",V889*(1-R889/100)-W889-P889-Q889,"н/д")</x:f>
        <x:v>н/д</x:v>
      </x:c>
      <x:c r="H889" s="13" t="str">
        <x:v>Высокий</x:v>
      </x:c>
      <x:c r="I889" s="13" t="str">
        <x:v>Высокий</x:v>
      </x:c>
      <x:c r="J889" s="13" t="str">
        <x:f>IF(L889="","Укажите валюту",IF(NOT(ISNUMBER(K889)),"Укажите объём",IF(K889&lt;=0,"Укажите объём",IF(K889&gt;F889,"Объём выше излишка",IF(COUNT(M889:O889)&lt;3,"Нужны цены",IF(COUNT(P889:R889)&lt;3,"Нужны расходы",IF(OR(M889&lt;0,N889&lt;0,O889&lt;0,O889&gt;100,P889&lt;0,Q889&lt;0,R889&lt;0,R889&gt;100),"Проверьте значения","Рассчитано")))))))</x:f>
        <x:v>Нужны цены</x:v>
      </x:c>
      <x:c r="K889" s="36" t="n">
        <x:v>7</x:v>
      </x:c>
      <x:c r="L889" s="19" t="str">
        <x:v>KZT</x:v>
      </x:c>
      <x:c r="M889" s="22"/>
      <x:c r="N889" s="22"/>
      <x:c r="O889" s="28"/>
      <x:c r="P889" s="22"/>
      <x:c r="Q889" s="22"/>
      <x:c r="R889" s="28"/>
      <x:c r="S889" s="22"/>
      <x:c r="T889" s="37" t="n">
        <x:f>K889</x:f>
        <x:v>7</x:v>
      </x:c>
      <x:c r="U889" s="21" t="str">
        <x:f>IF(J889="Рассчитано",N889*(1-O889/100),"н/д")</x:f>
        <x:v>н/д</x:v>
      </x:c>
      <x:c r="V889" s="21" t="str">
        <x:f>IF(J889="Рассчитано",T889*U889,"н/д")</x:f>
        <x:v>н/д</x:v>
      </x:c>
      <x:c r="W889" s="21" t="str">
        <x:f>IF(J889="Рассчитано",T889*M889,"н/д")</x:f>
        <x:v>н/д</x:v>
      </x:c>
      <x:c r="X889" s="21" t="str">
        <x:f>IF(J889="Рассчитано",V889-W889,"н/д")</x:f>
        <x:v>н/д</x:v>
      </x:c>
      <x:c r="Y889" s="27" t="str">
        <x:f>IF(J889="Рассчитано",IF(V889&gt;0,G889/V889,"н/д"),"н/д")</x:f>
        <x:v>н/д</x:v>
      </x:c>
      <x:c r="Z889" s="21" t="str">
        <x:f>"н/д"</x:f>
        <x:v>н/д</x:v>
      </x:c>
      <x:c r="AA889" s="21" t="str">
        <x:f>"н/д"</x:f>
        <x:v>н/д</x:v>
      </x:c>
      <x:c r="AB889" s="21" t="str">
        <x:f>"н/д"</x:f>
        <x:v>н/д</x:v>
      </x:c>
      <x:c r="AC889" s="21" t="str">
        <x:f>IF(AND(J889="Рассчитано",T889&gt;0,R889&lt;100),(W889+P889+Q889)/(T889*(1-R889/100)),"н/д")</x:f>
        <x:v>н/д</x:v>
      </x:c>
      <x:c r="AD889" s="10" t="str">
        <x:f>IF(ISNUMBER(G889),IF(G889&lt;0,"Убыток",IF(G889=0,"Без прибыли","Прибыль &gt; 0")),"Не оценён")</x:f>
        <x:v>Не оценён</x:v>
      </x:c>
      <x:c r="AE889" s="13" t="str">
        <x:f>IF(J889="Рассчитано","Выручка "&amp;TEXT(V889,"0.00")&amp;" - себестоимость "&amp;TEXT(W889,"0.00")&amp;" - комиссия "&amp;TEXT(V889*R889/100,"0.00")&amp;" - доставка "&amp;TEXT(P889,"0.00")&amp;" - прочие "&amp;TEXT(Q889,"0.00")&amp;" = "&amp;TEXT(G889,"0.00")&amp;" "&amp;L889,"Введите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9" s="24" t="n">
        <x:v>0.6845053365855409</x:v>
      </x:c>
      <x:c r="AG889" s="37" t="n">
        <x:v>8</x:v>
      </x:c>
      <x:c r="AH889" s="37" t="n">
        <x:v>0</x:v>
      </x:c>
      <x:c r="AI889" s="30" t="n">
        <x:v>46266</x:v>
      </x:c>
      <x:c r="AJ889" s="37" t="n">
        <x:v>1</x:v>
      </x:c>
      <x:c r="AK889" s="10" t="str">
        <x:v>минимум</x:v>
      </x:c>
      <x:c r="AL889" s="32" t="n">
        <x:v>993.8759758318064</x:v>
      </x:c>
      <x:c r="AM88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89" s="13" t="str">
        <x:v>Проверить свободный остаток и установить цену для B2B</x:v>
      </x:c>
      <x:c r="AO889" s="13" t="str">
        <x:v>Остаток 8; прогноз 90 дней 0.68; избыток 7 шт. Будущие поступления не выставляются на продажу. Остаток на начало сентября: требуется актуализация.</x:v>
      </x:c>
      <x:c r="AP889" s="13" t="str">
        <x:v>["category_missing", "daily_stockout_data_missing", "new_order_lead_time_unknown", "reservations_unknown", "stale_stock"]</x:v>
      </x:c>
      <x:c r="AQ889" s="10" t="str">
        <x:v>IEK:250600313_</x:v>
      </x:c>
      <x:c r="AR889" s="24" t="n">
        <x:v>1</x:v>
      </x:c>
      <x:c r="AS889" s="24" t="n">
        <x:v>0</x:v>
      </x:c>
      <x:c r="AT889" s="24" t="n">
        <x:v>0</x:v>
      </x:c>
    </x:row>
    <x:row r="890" ht="64" customHeight="1">
      <x:c r="A890" s="11" t="str">
        <x:v>IEK</x:v>
      </x:c>
      <x:c r="B890" s="33" t="str">
        <x:v>250600314_</x:v>
      </x:c>
      <x:c r="C890" s="33" t="str">
        <x:v>TR5-12-N-030-20-13-65</x:v>
      </x:c>
      <x:c r="D890" s="12" t="str">
        <x:v>TETRA Корпус пластик. ЩМПп 300х200х130мм IP66 IEK</x:v>
      </x:c>
      <x:c r="E890" s="11" t="str">
        <x:v>шт</x:v>
      </x:c>
      <x:c r="F890" s="35" t="n">
        <x:f>MAX(0,ROUNDDOWN((AG890-AF890)/AR890+0.000000001,0)*AR890)</x:f>
        <x:v>1</x:v>
      </x:c>
      <x:c r="G890" s="20" t="str">
        <x:f>IF(J890="Рассчитано",V890*(1-R890/100)-W890-P890-Q890,"н/д")</x:f>
        <x:v>н/д</x:v>
      </x:c>
      <x:c r="H890" s="12" t="str">
        <x:v>Высокий</x:v>
      </x:c>
      <x:c r="I890" s="12" t="str">
        <x:v>Средний</x:v>
      </x:c>
      <x:c r="J890" s="12" t="str">
        <x:f>IF(L890="","Укажите валюту",IF(NOT(ISNUMBER(K890)),"Укажите объём",IF(K890&lt;=0,"Укажите объём",IF(K890&gt;F890,"Объём выше излишка",IF(COUNT(M890:O890)&lt;3,"Нужны цены",IF(COUNT(P890:R890)&lt;3,"Нужны расходы",IF(OR(M890&lt;0,N890&lt;0,O890&lt;0,O890&gt;100,P890&lt;0,Q890&lt;0,R890&lt;0,R890&gt;100),"Проверьте значения","Рассчитано")))))))</x:f>
        <x:v>Нужны цены</x:v>
      </x:c>
      <x:c r="K890" s="36" t="n">
        <x:v>1</x:v>
      </x:c>
      <x:c r="L890" s="19" t="str">
        <x:v>KZT</x:v>
      </x:c>
      <x:c r="M890" s="22"/>
      <x:c r="N890" s="22"/>
      <x:c r="O890" s="28"/>
      <x:c r="P890" s="22"/>
      <x:c r="Q890" s="22"/>
      <x:c r="R890" s="28"/>
      <x:c r="S890" s="22"/>
      <x:c r="T890" s="35" t="n">
        <x:f>K890</x:f>
        <x:v>1</x:v>
      </x:c>
      <x:c r="U890" s="20" t="str">
        <x:f>IF(J890="Рассчитано",N890*(1-O890/100),"н/д")</x:f>
        <x:v>н/д</x:v>
      </x:c>
      <x:c r="V890" s="20" t="str">
        <x:f>IF(J890="Рассчитано",T890*U890,"н/д")</x:f>
        <x:v>н/д</x:v>
      </x:c>
      <x:c r="W890" s="20" t="str">
        <x:f>IF(J890="Рассчитано",T890*M890,"н/д")</x:f>
        <x:v>н/д</x:v>
      </x:c>
      <x:c r="X890" s="20" t="str">
        <x:f>IF(J890="Рассчитано",V890-W890,"н/д")</x:f>
        <x:v>н/д</x:v>
      </x:c>
      <x:c r="Y890" s="26" t="str">
        <x:f>IF(J890="Рассчитано",IF(V890&gt;0,G890/V890,"н/д"),"н/д")</x:f>
        <x:v>н/д</x:v>
      </x:c>
      <x:c r="Z890" s="20" t="str">
        <x:f>"н/д"</x:f>
        <x:v>н/д</x:v>
      </x:c>
      <x:c r="AA890" s="20" t="str">
        <x:f>"н/д"</x:f>
        <x:v>н/д</x:v>
      </x:c>
      <x:c r="AB890" s="20" t="str">
        <x:f>"н/д"</x:f>
        <x:v>н/д</x:v>
      </x:c>
      <x:c r="AC890" s="20" t="str">
        <x:f>IF(AND(J890="Рассчитано",T890&gt;0,R890&lt;100),(W890+P890+Q890)/(T890*(1-R890/100)),"н/д")</x:f>
        <x:v>н/д</x:v>
      </x:c>
      <x:c r="AD890" s="11" t="str">
        <x:f>IF(ISNUMBER(G890),IF(G890&lt;0,"Убыток",IF(G890=0,"Без прибыли","Прибыль &gt; 0")),"Не оценён")</x:f>
        <x:v>Не оценён</x:v>
      </x:c>
      <x:c r="AE890" s="12" t="str">
        <x:f>IF(J890="Рассчитано","Выручка "&amp;TEXT(V890,"0.00")&amp;" - себестоимость "&amp;TEXT(W890,"0.00")&amp;" - комиссия "&amp;TEXT(V890*R890/100,"0.00")&amp;" - доставка "&amp;TEXT(P890,"0.00")&amp;" - прочие "&amp;TEXT(Q890,"0.00")&amp;" = "&amp;TEXT(G890,"0.00")&amp;" "&amp;L890,"Введите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0" s="23" t="n">
        <x:v>3.2449154420821054</x:v>
      </x:c>
      <x:c r="AG890" s="35" t="n">
        <x:v>5</x:v>
      </x:c>
      <x:c r="AH890" s="35" t="n">
        <x:v>0</x:v>
      </x:c>
      <x:c r="AI890" s="29" t="n">
        <x:v>46266</x:v>
      </x:c>
      <x:c r="AJ890" s="35" t="n">
        <x:v>1</x:v>
      </x:c>
      <x:c r="AK890" s="11" t="str">
        <x:v>минимум</x:v>
      </x:c>
      <x:c r="AL890" s="31" t="n">
        <x:v>131.03450257484022</x:v>
      </x:c>
      <x:c r="AM890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890" s="12" t="str">
        <x:v>Проверить свободный остаток и установить цену для B2B</x:v>
      </x:c>
      <x:c r="AO890" s="12" t="str">
        <x:v>Остаток 5; прогноз 90 дней 3.24; избыток 1 шт. Будущие поступления не выставляются на продажу. Остаток на начало сентября: требуется актуализация.</x:v>
      </x:c>
      <x:c r="AP890" s="12" t="str">
        <x:v>["category_missing", "daily_stockout_data_missing", "new_order_lead_time_unknown", "reservations_unknown", "stale_stock", "stockout_proxy_used"]</x:v>
      </x:c>
      <x:c r="AQ890" s="11" t="str">
        <x:v>IEK:250600314_</x:v>
      </x:c>
      <x:c r="AR890" s="23" t="n">
        <x:v>1</x:v>
      </x:c>
      <x:c r="AS890" s="23" t="n">
        <x:v>0</x:v>
      </x:c>
      <x:c r="AT890" s="23" t="n">
        <x:v>0</x:v>
      </x:c>
    </x:row>
    <x:row r="891" ht="64" customHeight="1">
      <x:c r="A891" s="10" t="str">
        <x:v>IEK</x:v>
      </x:c>
      <x:c r="B891" s="34" t="str">
        <x:v>250600315_</x:v>
      </x:c>
      <x:c r="C891" s="34" t="str">
        <x:v>TR5-12-N-035-25-15-65</x:v>
      </x:c>
      <x:c r="D891" s="13" t="str">
        <x:v>TETRA Корпус пластик. ЩМПп 350х250х150мм IP66 IEK</x:v>
      </x:c>
      <x:c r="E891" s="10" t="str">
        <x:v>шт</x:v>
      </x:c>
      <x:c r="F891" s="37" t="n">
        <x:f>MAX(0,ROUNDDOWN((AG891-AF891)/AR891+0.000000001,0)*AR891)</x:f>
        <x:v>6</x:v>
      </x:c>
      <x:c r="G891" s="21" t="str">
        <x:f>IF(J891="Рассчитано",V891*(1-R891/100)-W891-P891-Q891,"н/д")</x:f>
        <x:v>н/д</x:v>
      </x:c>
      <x:c r="H891" s="13" t="str">
        <x:v>Высокий</x:v>
      </x:c>
      <x:c r="I891" s="13" t="str">
        <x:v>Высокий</x:v>
      </x:c>
      <x:c r="J891" s="13" t="str">
        <x:f>IF(L891="","Укажите валюту",IF(NOT(ISNUMBER(K891)),"Укажите объём",IF(K891&lt;=0,"Укажите объём",IF(K891&gt;F891,"Объём выше излишка",IF(COUNT(M891:O891)&lt;3,"Нужны цены",IF(COUNT(P891:R891)&lt;3,"Нужны расходы",IF(OR(M891&lt;0,N891&lt;0,O891&lt;0,O891&gt;100,P891&lt;0,Q891&lt;0,R891&lt;0,R891&gt;100),"Проверьте значения","Рассчитано")))))))</x:f>
        <x:v>Нужны цены</x:v>
      </x:c>
      <x:c r="K891" s="36" t="n">
        <x:v>6</x:v>
      </x:c>
      <x:c r="L891" s="19" t="str">
        <x:v>KZT</x:v>
      </x:c>
      <x:c r="M891" s="22"/>
      <x:c r="N891" s="22"/>
      <x:c r="O891" s="28"/>
      <x:c r="P891" s="22"/>
      <x:c r="Q891" s="22"/>
      <x:c r="R891" s="28"/>
      <x:c r="S891" s="22"/>
      <x:c r="T891" s="37" t="n">
        <x:f>K891</x:f>
        <x:v>6</x:v>
      </x:c>
      <x:c r="U891" s="21" t="str">
        <x:f>IF(J891="Рассчитано",N891*(1-O891/100),"н/д")</x:f>
        <x:v>н/д</x:v>
      </x:c>
      <x:c r="V891" s="21" t="str">
        <x:f>IF(J891="Рассчитано",T891*U891,"н/д")</x:f>
        <x:v>н/д</x:v>
      </x:c>
      <x:c r="W891" s="21" t="str">
        <x:f>IF(J891="Рассчитано",T891*M891,"н/д")</x:f>
        <x:v>н/д</x:v>
      </x:c>
      <x:c r="X891" s="21" t="str">
        <x:f>IF(J891="Рассчитано",V891-W891,"н/д")</x:f>
        <x:v>н/д</x:v>
      </x:c>
      <x:c r="Y891" s="27" t="str">
        <x:f>IF(J891="Рассчитано",IF(V891&gt;0,G891/V891,"н/д"),"н/д")</x:f>
        <x:v>н/д</x:v>
      </x:c>
      <x:c r="Z891" s="21" t="str">
        <x:f>"н/д"</x:f>
        <x:v>н/д</x:v>
      </x:c>
      <x:c r="AA891" s="21" t="str">
        <x:f>"н/д"</x:f>
        <x:v>н/д</x:v>
      </x:c>
      <x:c r="AB891" s="21" t="str">
        <x:f>"н/д"</x:f>
        <x:v>н/д</x:v>
      </x:c>
      <x:c r="AC891" s="21" t="str">
        <x:f>IF(AND(J891="Рассчитано",T891&gt;0,R891&lt;100),(W891+P891+Q891)/(T891*(1-R891/100)),"н/д")</x:f>
        <x:v>н/д</x:v>
      </x:c>
      <x:c r="AD891" s="10" t="str">
        <x:f>IF(ISNUMBER(G891),IF(G891&lt;0,"Убыток",IF(G891=0,"Без прибыли","Прибыль &gt; 0")),"Не оценён")</x:f>
        <x:v>Не оценён</x:v>
      </x:c>
      <x:c r="AE891" s="13" t="str">
        <x:f>IF(J891="Рассчитано","Выручка "&amp;TEXT(V891,"0.00")&amp;" - себестоимость "&amp;TEXT(W891,"0.00")&amp;" - комиссия "&amp;TEXT(V891*R891/100,"0.00")&amp;" - доставка "&amp;TEXT(P891,"0.00")&amp;" - прочие "&amp;TEXT(Q891,"0.00")&amp;" = "&amp;TEXT(G891,"0.00")&amp;" "&amp;L891,"Введите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1" s="24" t="n">
        <x:v>4.7287278687706875</x:v>
      </x:c>
      <x:c r="AG891" s="37" t="n">
        <x:v>11</x:v>
      </x:c>
      <x:c r="AH891" s="37" t="n">
        <x:v>0</x:v>
      </x:c>
      <x:c r="AI891" s="30" t="n">
        <x:v>46266</x:v>
      </x:c>
      <x:c r="AJ891" s="37" t="n">
        <x:v>1</x:v>
      </x:c>
      <x:c r="AK891" s="10" t="str">
        <x:v>минимум</x:v>
      </x:c>
      <x:c r="AL891" s="32" t="n">
        <x:v>197.8187292293056</x:v>
      </x:c>
      <x:c r="AM891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891" s="13" t="str">
        <x:v>Проверить свободный остаток и установить цену для B2B</x:v>
      </x:c>
      <x:c r="AO891" s="13" t="str">
        <x:v>Остаток 11; прогноз 90 дней 4.73; избыток 6 шт. Будущие поступления не выставляются на продажу. Остаток на начало сентября: требуется актуализация.</x:v>
      </x:c>
      <x:c r="AP891" s="13" t="str">
        <x:v>["category_missing", "daily_stockout_data_missing", "new_order_lead_time_unknown", "reservations_unknown", "stale_stock", "stockout_proxy_used"]</x:v>
      </x:c>
      <x:c r="AQ891" s="10" t="str">
        <x:v>IEK:250600315_</x:v>
      </x:c>
      <x:c r="AR891" s="24" t="n">
        <x:v>1</x:v>
      </x:c>
      <x:c r="AS891" s="24" t="n">
        <x:v>0</x:v>
      </x:c>
      <x:c r="AT891" s="24" t="n">
        <x:v>0</x:v>
      </x:c>
    </x:row>
    <x:row r="892" ht="64" customHeight="1">
      <x:c r="A892" s="11" t="str">
        <x:v>IEK</x:v>
      </x:c>
      <x:c r="B892" s="33" t="str">
        <x:v>250600316_</x:v>
      </x:c>
      <x:c r="C892" s="33" t="str">
        <x:v>TR5-12-N-040-30-17-65</x:v>
      </x:c>
      <x:c r="D892" s="12" t="str">
        <x:v>TETRA Корпус пластик. ЩМПп 400х300х170мм IP66 IEK</x:v>
      </x:c>
      <x:c r="E892" s="11" t="str">
        <x:v>шт</x:v>
      </x:c>
      <x:c r="F892" s="35" t="n">
        <x:f>MAX(0,ROUNDDOWN((AG892-AF892)/AR892+0.000000001,0)*AR892)</x:f>
        <x:v>7</x:v>
      </x:c>
      <x:c r="G892" s="20" t="str">
        <x:f>IF(J892="Рассчитано",V892*(1-R892/100)-W892-P892-Q892,"н/д")</x:f>
        <x:v>н/д</x:v>
      </x:c>
      <x:c r="H892" s="12" t="str">
        <x:v>Высокий</x:v>
      </x:c>
      <x:c r="I892" s="12" t="str">
        <x:v>Высокий</x:v>
      </x:c>
      <x:c r="J892" s="12" t="str">
        <x:f>IF(L892="","Укажите валюту",IF(NOT(ISNUMBER(K892)),"Укажите объём",IF(K892&lt;=0,"Укажите объём",IF(K892&gt;F892,"Объём выше излишка",IF(COUNT(M892:O892)&lt;3,"Нужны цены",IF(COUNT(P892:R892)&lt;3,"Нужны расходы",IF(OR(M892&lt;0,N892&lt;0,O892&lt;0,O892&gt;100,P892&lt;0,Q892&lt;0,R892&lt;0,R892&gt;100),"Проверьте значения","Рассчитано")))))))</x:f>
        <x:v>Нужны цены</x:v>
      </x:c>
      <x:c r="K892" s="36" t="n">
        <x:v>7</x:v>
      </x:c>
      <x:c r="L892" s="19" t="str">
        <x:v>KZT</x:v>
      </x:c>
      <x:c r="M892" s="22"/>
      <x:c r="N892" s="22"/>
      <x:c r="O892" s="28"/>
      <x:c r="P892" s="22"/>
      <x:c r="Q892" s="22"/>
      <x:c r="R892" s="28"/>
      <x:c r="S892" s="22"/>
      <x:c r="T892" s="35" t="n">
        <x:f>K892</x:f>
        <x:v>7</x:v>
      </x:c>
      <x:c r="U892" s="20" t="str">
        <x:f>IF(J892="Рассчитано",N892*(1-O892/100),"н/д")</x:f>
        <x:v>н/д</x:v>
      </x:c>
      <x:c r="V892" s="20" t="str">
        <x:f>IF(J892="Рассчитано",T892*U892,"н/д")</x:f>
        <x:v>н/д</x:v>
      </x:c>
      <x:c r="W892" s="20" t="str">
        <x:f>IF(J892="Рассчитано",T892*M892,"н/д")</x:f>
        <x:v>н/д</x:v>
      </x:c>
      <x:c r="X892" s="20" t="str">
        <x:f>IF(J892="Рассчитано",V892-W892,"н/д")</x:f>
        <x:v>н/д</x:v>
      </x:c>
      <x:c r="Y892" s="26" t="str">
        <x:f>IF(J892="Рассчитано",IF(V892&gt;0,G892/V892,"н/д"),"н/д")</x:f>
        <x:v>н/д</x:v>
      </x:c>
      <x:c r="Z892" s="20" t="str">
        <x:f>"н/д"</x:f>
        <x:v>н/д</x:v>
      </x:c>
      <x:c r="AA892" s="20" t="str">
        <x:f>"н/д"</x:f>
        <x:v>н/д</x:v>
      </x:c>
      <x:c r="AB892" s="20" t="str">
        <x:f>"н/д"</x:f>
        <x:v>н/д</x:v>
      </x:c>
      <x:c r="AC892" s="20" t="str">
        <x:f>IF(AND(J892="Рассчитано",T892&gt;0,R892&lt;100),(W892+P892+Q892)/(T892*(1-R892/100)),"н/д")</x:f>
        <x:v>н/д</x:v>
      </x:c>
      <x:c r="AD892" s="11" t="str">
        <x:f>IF(ISNUMBER(G892),IF(G892&lt;0,"Убыток",IF(G892=0,"Без прибыли","Прибыль &gt; 0")),"Не оценён")</x:f>
        <x:v>Не оценён</x:v>
      </x:c>
      <x:c r="AE892" s="12" t="str">
        <x:f>IF(J892="Рассчитано","Выручка "&amp;TEXT(V892,"0.00")&amp;" - себестоимость "&amp;TEXT(W892,"0.00")&amp;" - комиссия "&amp;TEXT(V892*R892/100,"0.00")&amp;" - доставка "&amp;TEXT(P892,"0.00")&amp;" - прочие "&amp;TEXT(Q892,"0.00")&amp;" = "&amp;TEXT(G892,"0.00")&amp;" "&amp;L892,"Введите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2" s="23" t="n">
        <x:v>0.6845053365855409</x:v>
      </x:c>
      <x:c r="AG892" s="35" t="n">
        <x:v>8</x:v>
      </x:c>
      <x:c r="AH892" s="35" t="n">
        <x:v>0</x:v>
      </x:c>
      <x:c r="AI892" s="29" t="n">
        <x:v>46266</x:v>
      </x:c>
      <x:c r="AJ892" s="35" t="n">
        <x:v>1</x:v>
      </x:c>
      <x:c r="AK892" s="11" t="str">
        <x:v>минимум</x:v>
      </x:c>
      <x:c r="AL892" s="31" t="n">
        <x:v>993.8759758318064</x:v>
      </x:c>
      <x:c r="AM89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92" s="12" t="str">
        <x:v>Проверить свободный остаток и установить цену для B2B</x:v>
      </x:c>
      <x:c r="AO892" s="12" t="str">
        <x:v>Остаток 8; прогноз 90 дней 0.68; избыток 7 шт. Будущие поступления не выставляются на продажу. Остаток на начало сентября: требуется актуализация.</x:v>
      </x:c>
      <x:c r="AP892" s="12" t="str">
        <x:v>["category_missing", "daily_stockout_data_missing", "new_order_lead_time_unknown", "reservations_unknown", "stale_stock"]</x:v>
      </x:c>
      <x:c r="AQ892" s="11" t="str">
        <x:v>IEK:250600316_</x:v>
      </x:c>
      <x:c r="AR892" s="23" t="n">
        <x:v>1</x:v>
      </x:c>
      <x:c r="AS892" s="23" t="n">
        <x:v>0</x:v>
      </x:c>
      <x:c r="AT892" s="23" t="n">
        <x:v>0</x:v>
      </x:c>
    </x:row>
    <x:row r="893" ht="64" customHeight="1">
      <x:c r="A893" s="10" t="str">
        <x:v>IEK</x:v>
      </x:c>
      <x:c r="B893" s="34" t="str">
        <x:v>250600317_</x:v>
      </x:c>
      <x:c r="C893" s="34" t="str">
        <x:v>TR5-12-N-040-30-22-65</x:v>
      </x:c>
      <x:c r="D893" s="13" t="str">
        <x:v>TETRA Корпус пластик. ЩМПп 400х300х220мм IP66 IEK</x:v>
      </x:c>
      <x:c r="E893" s="10" t="str">
        <x:v>шт</x:v>
      </x:c>
      <x:c r="F893" s="37" t="n">
        <x:f>MAX(0,ROUNDDOWN((AG893-AF893)/AR893+0.000000001,0)*AR893)</x:f>
        <x:v>9</x:v>
      </x:c>
      <x:c r="G893" s="21" t="str">
        <x:f>IF(J893="Рассчитано",V893*(1-R893/100)-W893-P893-Q893,"н/д")</x:f>
        <x:v>н/д</x:v>
      </x:c>
      <x:c r="H893" s="13" t="str">
        <x:v>Высокий</x:v>
      </x:c>
      <x:c r="I893" s="13" t="str">
        <x:v>Высокий</x:v>
      </x:c>
      <x:c r="J893" s="13" t="str">
        <x:f>IF(L893="","Укажите валюту",IF(NOT(ISNUMBER(K893)),"Укажите объём",IF(K893&lt;=0,"Укажите объём",IF(K893&gt;F893,"Объём выше излишка",IF(COUNT(M893:O893)&lt;3,"Нужны цены",IF(COUNT(P893:R893)&lt;3,"Нужны расходы",IF(OR(M893&lt;0,N893&lt;0,O893&lt;0,O893&gt;100,P893&lt;0,Q893&lt;0,R893&lt;0,R893&gt;100),"Проверьте значения","Рассчитано")))))))</x:f>
        <x:v>Нужны цены</x:v>
      </x:c>
      <x:c r="K893" s="36" t="n">
        <x:v>9</x:v>
      </x:c>
      <x:c r="L893" s="19" t="str">
        <x:v>KZT</x:v>
      </x:c>
      <x:c r="M893" s="22"/>
      <x:c r="N893" s="22"/>
      <x:c r="O893" s="28"/>
      <x:c r="P893" s="22"/>
      <x:c r="Q893" s="22"/>
      <x:c r="R893" s="28"/>
      <x:c r="S893" s="22"/>
      <x:c r="T893" s="37" t="n">
        <x:f>K893</x:f>
        <x:v>9</x:v>
      </x:c>
      <x:c r="U893" s="21" t="str">
        <x:f>IF(J893="Рассчитано",N893*(1-O893/100),"н/д")</x:f>
        <x:v>н/д</x:v>
      </x:c>
      <x:c r="V893" s="21" t="str">
        <x:f>IF(J893="Рассчитано",T893*U893,"н/д")</x:f>
        <x:v>н/д</x:v>
      </x:c>
      <x:c r="W893" s="21" t="str">
        <x:f>IF(J893="Рассчитано",T893*M893,"н/д")</x:f>
        <x:v>н/д</x:v>
      </x:c>
      <x:c r="X893" s="21" t="str">
        <x:f>IF(J893="Рассчитано",V893-W893,"н/д")</x:f>
        <x:v>н/д</x:v>
      </x:c>
      <x:c r="Y893" s="27" t="str">
        <x:f>IF(J893="Рассчитано",IF(V893&gt;0,G893/V893,"н/д"),"н/д")</x:f>
        <x:v>н/д</x:v>
      </x:c>
      <x:c r="Z893" s="21" t="str">
        <x:f>"н/д"</x:f>
        <x:v>н/д</x:v>
      </x:c>
      <x:c r="AA893" s="21" t="str">
        <x:f>"н/д"</x:f>
        <x:v>н/д</x:v>
      </x:c>
      <x:c r="AB893" s="21" t="str">
        <x:f>"н/д"</x:f>
        <x:v>н/д</x:v>
      </x:c>
      <x:c r="AC893" s="21" t="str">
        <x:f>IF(AND(J893="Рассчитано",T893&gt;0,R893&lt;100),(W893+P893+Q893)/(T893*(1-R893/100)),"н/д")</x:f>
        <x:v>н/д</x:v>
      </x:c>
      <x:c r="AD893" s="10" t="str">
        <x:f>IF(ISNUMBER(G893),IF(G893&lt;0,"Убыток",IF(G893=0,"Без прибыли","Прибыль &gt; 0")),"Не оценён")</x:f>
        <x:v>Не оценён</x:v>
      </x:c>
      <x:c r="AE893" s="13" t="str">
        <x:f>IF(J893="Рассчитано","Выручка "&amp;TEXT(V893,"0.00")&amp;" - себестоимость "&amp;TEXT(W893,"0.00")&amp;" - комиссия "&amp;TEXT(V893*R893/100,"0.00")&amp;" - доставка "&amp;TEXT(P893,"0.00")&amp;" - прочие "&amp;TEXT(Q893,"0.00")&amp;" = "&amp;TEXT(G893,"0.00")&amp;" "&amp;L893,"Введите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3" s="24" t="n">
        <x:v>0</x:v>
      </x:c>
      <x:c r="AG893" s="37" t="n">
        <x:v>9</x:v>
      </x:c>
      <x:c r="AH893" s="37" t="n">
        <x:v>0</x:v>
      </x:c>
      <x:c r="AI893" s="30" t="n">
        <x:v>46266</x:v>
      </x:c>
      <x:c r="AJ893" s="37" t="n">
        <x:v>1</x:v>
      </x:c>
      <x:c r="AK893" s="10" t="str">
        <x:v>минимум</x:v>
      </x:c>
      <x:c r="AL893" s="32" t="str">
        <x:v>н/д</x:v>
      </x:c>
      <x:c r="AM89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893" s="13" t="str">
        <x:v>Проверить свободный остаток и установить цену для B2B</x:v>
      </x:c>
      <x:c r="AO893" s="13" t="str">
        <x:v>Остаток 9; прогноз 90 дней 0.00; избыток 9 шт. Будущие поступления не выставляются на продажу. Остаток на начало сентября: требуется актуализация.</x:v>
      </x:c>
      <x:c r="AP893" s="13" t="str">
        <x:v>["category_missing", "daily_stockout_data_missing", "new_order_lead_time_unknown", "reservations_unknown", "stale_stock"]</x:v>
      </x:c>
      <x:c r="AQ893" s="10" t="str">
        <x:v>IEK:250600317_</x:v>
      </x:c>
      <x:c r="AR893" s="24" t="n">
        <x:v>1</x:v>
      </x:c>
      <x:c r="AS893" s="24" t="n">
        <x:v>0</x:v>
      </x:c>
      <x:c r="AT893" s="24" t="n">
        <x:v>0</x:v>
      </x:c>
    </x:row>
    <x:row r="894" ht="64" customHeight="1">
      <x:c r="A894" s="11" t="str">
        <x:v>IEK</x:v>
      </x:c>
      <x:c r="B894" s="33" t="str">
        <x:v>250600318_</x:v>
      </x:c>
      <x:c r="C894" s="33" t="str">
        <x:v>TR5-12-N-050-40-18-65</x:v>
      </x:c>
      <x:c r="D894" s="12" t="str">
        <x:v>TETRA Корпус пластик. ЩМПп 500х400х180мм IP66 IEK</x:v>
      </x:c>
      <x:c r="E894" s="11" t="str">
        <x:v>шт</x:v>
      </x:c>
      <x:c r="F894" s="35" t="n">
        <x:f>MAX(0,ROUNDDOWN((AG894-AF894)/AR894+0.000000001,0)*AR894)</x:f>
        <x:v>4</x:v>
      </x:c>
      <x:c r="G894" s="20" t="str">
        <x:f>IF(J894="Рассчитано",V894*(1-R894/100)-W894-P894-Q894,"н/д")</x:f>
        <x:v>н/д</x:v>
      </x:c>
      <x:c r="H894" s="12" t="str">
        <x:v>Высокий</x:v>
      </x:c>
      <x:c r="I894" s="12" t="str">
        <x:v>Высокий</x:v>
      </x:c>
      <x:c r="J894" s="12" t="str">
        <x:f>IF(L894="","Укажите валюту",IF(NOT(ISNUMBER(K894)),"Укажите объём",IF(K894&lt;=0,"Укажите объём",IF(K894&gt;F894,"Объём выше излишка",IF(COUNT(M894:O894)&lt;3,"Нужны цены",IF(COUNT(P894:R894)&lt;3,"Нужны расходы",IF(OR(M894&lt;0,N894&lt;0,O894&lt;0,O894&gt;100,P894&lt;0,Q894&lt;0,R894&lt;0,R894&gt;100),"Проверьте значения","Рассчитано")))))))</x:f>
        <x:v>Нужны цены</x:v>
      </x:c>
      <x:c r="K894" s="36" t="n">
        <x:v>4</x:v>
      </x:c>
      <x:c r="L894" s="19" t="str">
        <x:v>KZT</x:v>
      </x:c>
      <x:c r="M894" s="22"/>
      <x:c r="N894" s="22"/>
      <x:c r="O894" s="28"/>
      <x:c r="P894" s="22"/>
      <x:c r="Q894" s="22"/>
      <x:c r="R894" s="28"/>
      <x:c r="S894" s="22"/>
      <x:c r="T894" s="35" t="n">
        <x:f>K894</x:f>
        <x:v>4</x:v>
      </x:c>
      <x:c r="U894" s="20" t="str">
        <x:f>IF(J894="Рассчитано",N894*(1-O894/100),"н/д")</x:f>
        <x:v>н/д</x:v>
      </x:c>
      <x:c r="V894" s="20" t="str">
        <x:f>IF(J894="Рассчитано",T894*U894,"н/д")</x:f>
        <x:v>н/д</x:v>
      </x:c>
      <x:c r="W894" s="20" t="str">
        <x:f>IF(J894="Рассчитано",T894*M894,"н/д")</x:f>
        <x:v>н/д</x:v>
      </x:c>
      <x:c r="X894" s="20" t="str">
        <x:f>IF(J894="Рассчитано",V894-W894,"н/д")</x:f>
        <x:v>н/д</x:v>
      </x:c>
      <x:c r="Y894" s="26" t="str">
        <x:f>IF(J894="Рассчитано",IF(V894&gt;0,G894/V894,"н/д"),"н/д")</x:f>
        <x:v>н/д</x:v>
      </x:c>
      <x:c r="Z894" s="20" t="str">
        <x:f>"н/д"</x:f>
        <x:v>н/д</x:v>
      </x:c>
      <x:c r="AA894" s="20" t="str">
        <x:f>"н/д"</x:f>
        <x:v>н/д</x:v>
      </x:c>
      <x:c r="AB894" s="20" t="str">
        <x:f>"н/д"</x:f>
        <x:v>н/д</x:v>
      </x:c>
      <x:c r="AC894" s="20" t="str">
        <x:f>IF(AND(J894="Рассчитано",T894&gt;0,R894&lt;100),(W894+P894+Q894)/(T894*(1-R894/100)),"н/д")</x:f>
        <x:v>н/д</x:v>
      </x:c>
      <x:c r="AD894" s="11" t="str">
        <x:f>IF(ISNUMBER(G894),IF(G894&lt;0,"Убыток",IF(G894=0,"Без прибыли","Прибыль &gt; 0")),"Не оценён")</x:f>
        <x:v>Не оценён</x:v>
      </x:c>
      <x:c r="AE894" s="12" t="str">
        <x:f>IF(J894="Рассчитано","Выручка "&amp;TEXT(V894,"0.00")&amp;" - себестоимость "&amp;TEXT(W894,"0.00")&amp;" - комиссия "&amp;TEXT(V894*R894/100,"0.00")&amp;" - доставка "&amp;TEXT(P894,"0.00")&amp;" - прочие "&amp;TEXT(Q894,"0.00")&amp;" = "&amp;TEXT(G894,"0.00")&amp;" "&amp;L894,"Введите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4" s="23" t="n">
        <x:v>1.4599736266242251</x:v>
      </x:c>
      <x:c r="AG894" s="35" t="n">
        <x:v>6</x:v>
      </x:c>
      <x:c r="AH894" s="35" t="n">
        <x:v>0</x:v>
      </x:c>
      <x:c r="AI894" s="29" t="n">
        <x:v>46266</x:v>
      </x:c>
      <x:c r="AJ894" s="35" t="n">
        <x:v>1</x:v>
      </x:c>
      <x:c r="AK894" s="11" t="str">
        <x:v>минимум</x:v>
      </x:c>
      <x:c r="AL894" s="31" t="n">
        <x:v>349.48237948691474</x:v>
      </x:c>
      <x:c r="AM89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94" s="12" t="str">
        <x:v>Проверить свободный остаток и установить цену для B2B</x:v>
      </x:c>
      <x:c r="AO894" s="12" t="str">
        <x:v>Остаток 6; прогноз 90 дней 1.46; избыток 4 шт. Будущие поступления не выставляются на продажу. Остаток на начало сентября: требуется актуализация.</x:v>
      </x:c>
      <x:c r="AP894" s="12" t="str">
        <x:v>["category_missing", "daily_stockout_data_missing", "new_order_lead_time_unknown", "reservations_unknown", "stale_stock"]</x:v>
      </x:c>
      <x:c r="AQ894" s="11" t="str">
        <x:v>IEK:250600318_</x:v>
      </x:c>
      <x:c r="AR894" s="23" t="n">
        <x:v>1</x:v>
      </x:c>
      <x:c r="AS894" s="23" t="n">
        <x:v>0</x:v>
      </x:c>
      <x:c r="AT894" s="23" t="n">
        <x:v>0</x:v>
      </x:c>
    </x:row>
    <x:row r="895" ht="64" customHeight="1">
      <x:c r="A895" s="10" t="str">
        <x:v>IEK</x:v>
      </x:c>
      <x:c r="B895" s="34" t="str">
        <x:v>251400019_</x:v>
      </x:c>
      <x:c r="C895" s="34" t="str">
        <x:v>TF5-KP12-V-24-41-K01-K03</x:v>
      </x:c>
      <x:c r="D895" s="13" t="str">
        <x:v>ЩРВ-П 24 черн. прозр. дверь IP41 TEKFOR IEK</x:v>
      </x:c>
      <x:c r="E895" s="10" t="str">
        <x:v>шт</x:v>
      </x:c>
      <x:c r="F895" s="37" t="n">
        <x:f>MAX(0,ROUNDDOWN((AG895-AF895)/AR895+0.000000001,0)*AR895)</x:f>
        <x:v>6</x:v>
      </x:c>
      <x:c r="G895" s="21" t="str">
        <x:f>IF(J895="Рассчитано",V895*(1-R895/100)-W895-P895-Q895,"н/д")</x:f>
        <x:v>н/д</x:v>
      </x:c>
      <x:c r="H895" s="13" t="str">
        <x:v>Высокий</x:v>
      </x:c>
      <x:c r="I895" s="13" t="str">
        <x:v>Средний</x:v>
      </x:c>
      <x:c r="J895" s="13" t="str">
        <x:f>IF(L895="","Укажите валюту",IF(NOT(ISNUMBER(K895)),"Укажите объём",IF(K895&lt;=0,"Укажите объём",IF(K895&gt;F895,"Объём выше излишка",IF(COUNT(M895:O895)&lt;3,"Нужны цены",IF(COUNT(P895:R895)&lt;3,"Нужны расходы",IF(OR(M895&lt;0,N895&lt;0,O895&lt;0,O895&gt;100,P895&lt;0,Q895&lt;0,R895&lt;0,R895&gt;100),"Проверьте значения","Рассчитано")))))))</x:f>
        <x:v>Нужны цены</x:v>
      </x:c>
      <x:c r="K895" s="36" t="n">
        <x:v>6</x:v>
      </x:c>
      <x:c r="L895" s="19" t="str">
        <x:v>KZT</x:v>
      </x:c>
      <x:c r="M895" s="22"/>
      <x:c r="N895" s="22"/>
      <x:c r="O895" s="28"/>
      <x:c r="P895" s="22"/>
      <x:c r="Q895" s="22"/>
      <x:c r="R895" s="28"/>
      <x:c r="S895" s="22"/>
      <x:c r="T895" s="37" t="n">
        <x:f>K895</x:f>
        <x:v>6</x:v>
      </x:c>
      <x:c r="U895" s="21" t="str">
        <x:f>IF(J895="Рассчитано",N895*(1-O895/100),"н/д")</x:f>
        <x:v>н/д</x:v>
      </x:c>
      <x:c r="V895" s="21" t="str">
        <x:f>IF(J895="Рассчитано",T895*U895,"н/д")</x:f>
        <x:v>н/д</x:v>
      </x:c>
      <x:c r="W895" s="21" t="str">
        <x:f>IF(J895="Рассчитано",T895*M895,"н/д")</x:f>
        <x:v>н/д</x:v>
      </x:c>
      <x:c r="X895" s="21" t="str">
        <x:f>IF(J895="Рассчитано",V895-W895,"н/д")</x:f>
        <x:v>н/д</x:v>
      </x:c>
      <x:c r="Y895" s="27" t="str">
        <x:f>IF(J895="Рассчитано",IF(V895&gt;0,G895/V895,"н/д"),"н/д")</x:f>
        <x:v>н/д</x:v>
      </x:c>
      <x:c r="Z895" s="21" t="str">
        <x:f>"н/д"</x:f>
        <x:v>н/д</x:v>
      </x:c>
      <x:c r="AA895" s="21" t="str">
        <x:f>"н/д"</x:f>
        <x:v>н/д</x:v>
      </x:c>
      <x:c r="AB895" s="21" t="str">
        <x:f>"н/д"</x:f>
        <x:v>н/д</x:v>
      </x:c>
      <x:c r="AC895" s="21" t="str">
        <x:f>IF(AND(J895="Рассчитано",T895&gt;0,R895&lt;100),(W895+P895+Q895)/(T895*(1-R895/100)),"н/д")</x:f>
        <x:v>н/д</x:v>
      </x:c>
      <x:c r="AD895" s="10" t="str">
        <x:f>IF(ISNUMBER(G895),IF(G895&lt;0,"Убыток",IF(G895=0,"Без прибыли","Прибыль &gt; 0")),"Не оценён")</x:f>
        <x:v>Не оценён</x:v>
      </x:c>
      <x:c r="AE895" s="13" t="str">
        <x:f>IF(J895="Рассчитано","Выручка "&amp;TEXT(V895,"0.00")&amp;" - себестоимость "&amp;TEXT(W895,"0.00")&amp;" - комиссия "&amp;TEXT(V895*R895/100,"0.00")&amp;" - доставка "&amp;TEXT(P895,"0.00")&amp;" - прочие "&amp;TEXT(Q895,"0.00")&amp;" = "&amp;TEXT(G895,"0.00")&amp;" "&amp;L895,"Введите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5" s="24" t="n">
        <x:v>35.839514955093385</x:v>
      </x:c>
      <x:c r="AG895" s="37" t="n">
        <x:v>42</x:v>
      </x:c>
      <x:c r="AH895" s="37" t="n">
        <x:v>0</x:v>
      </x:c>
      <x:c r="AI895" s="30" t="n">
        <x:v>46266</x:v>
      </x:c>
      <x:c r="AJ895" s="37" t="n">
        <x:v>1</x:v>
      </x:c>
      <x:c r="AK895" s="10" t="str">
        <x:v>минимум</x:v>
      </x:c>
      <x:c r="AL895" s="32" t="n">
        <x:v>99.65663328928053</x:v>
      </x:c>
      <x:c r="AM89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895" s="13" t="str">
        <x:v>Проверить свободный остаток и установить цену для B2B</x:v>
      </x:c>
      <x:c r="AO895" s="13" t="str">
        <x:v>Остаток 42; прогноз 90 дней 35.84; избыток 6 шт. Будущие поступления не выставляются на продажу. Остаток на начало сентября: требуется актуализация.</x:v>
      </x:c>
      <x:c r="AP895" s="13" t="str">
        <x:v>["category_missing", "daily_stockout_data_missing", "large_orders_detected", "new_order_lead_time_unknown", "reservations_unknown", "stale_stock", "transaction_month_mismatch"]</x:v>
      </x:c>
      <x:c r="AQ895" s="10" t="str">
        <x:v>IEK:251400019_</x:v>
      </x:c>
      <x:c r="AR895" s="24" t="n">
        <x:v>1</x:v>
      </x:c>
      <x:c r="AS895" s="24" t="n">
        <x:v>0</x:v>
      </x:c>
      <x:c r="AT895" s="24" t="n">
        <x:v>0</x:v>
      </x:c>
    </x:row>
    <x:row r="896" ht="64" customHeight="1">
      <x:c r="A896" s="11" t="str">
        <x:v>IEK</x:v>
      </x:c>
      <x:c r="B896" s="33" t="str">
        <x:v>251400020_</x:v>
      </x:c>
      <x:c r="C896" s="33" t="str">
        <x:v>TF5-KP12-V-36-41-K01-K03</x:v>
      </x:c>
      <x:c r="D896" s="12" t="str">
        <x:v>ЩРВ-П 36 черн. прозр. дверь IP41 TEKFOR IEK</x:v>
      </x:c>
      <x:c r="E896" s="11" t="str">
        <x:v>шт</x:v>
      </x:c>
      <x:c r="F896" s="35" t="n">
        <x:f>MAX(0,ROUNDDOWN((AG896-AF896)/AR896+0.000000001,0)*AR896)</x:f>
        <x:v>34</x:v>
      </x:c>
      <x:c r="G896" s="20" t="str">
        <x:f>IF(J896="Рассчитано",V896*(1-R896/100)-W896-P896-Q896,"н/д")</x:f>
        <x:v>н/д</x:v>
      </x:c>
      <x:c r="H896" s="12" t="str">
        <x:v>Высокий</x:v>
      </x:c>
      <x:c r="I896" s="12" t="str">
        <x:v>Средний</x:v>
      </x:c>
      <x:c r="J896" s="12" t="str">
        <x:f>IF(L896="","Укажите валюту",IF(NOT(ISNUMBER(K896)),"Укажите объём",IF(K896&lt;=0,"Укажите объём",IF(K896&gt;F896,"Объём выше излишка",IF(COUNT(M896:O896)&lt;3,"Нужны цены",IF(COUNT(P896:R896)&lt;3,"Нужны расходы",IF(OR(M896&lt;0,N896&lt;0,O896&lt;0,O896&gt;100,P896&lt;0,Q896&lt;0,R896&lt;0,R896&gt;100),"Проверьте значения","Рассчитано")))))))</x:f>
        <x:v>Нужны цены</x:v>
      </x:c>
      <x:c r="K896" s="36" t="n">
        <x:v>34</x:v>
      </x:c>
      <x:c r="L896" s="19" t="str">
        <x:v>KZT</x:v>
      </x:c>
      <x:c r="M896" s="22"/>
      <x:c r="N896" s="22"/>
      <x:c r="O896" s="28"/>
      <x:c r="P896" s="22"/>
      <x:c r="Q896" s="22"/>
      <x:c r="R896" s="28"/>
      <x:c r="S896" s="22"/>
      <x:c r="T896" s="35" t="n">
        <x:f>K896</x:f>
        <x:v>34</x:v>
      </x:c>
      <x:c r="U896" s="20" t="str">
        <x:f>IF(J896="Рассчитано",N896*(1-O896/100),"н/д")</x:f>
        <x:v>н/д</x:v>
      </x:c>
      <x:c r="V896" s="20" t="str">
        <x:f>IF(J896="Рассчитано",T896*U896,"н/д")</x:f>
        <x:v>н/д</x:v>
      </x:c>
      <x:c r="W896" s="20" t="str">
        <x:f>IF(J896="Рассчитано",T896*M896,"н/д")</x:f>
        <x:v>н/д</x:v>
      </x:c>
      <x:c r="X896" s="20" t="str">
        <x:f>IF(J896="Рассчитано",V896-W896,"н/д")</x:f>
        <x:v>н/д</x:v>
      </x:c>
      <x:c r="Y896" s="26" t="str">
        <x:f>IF(J896="Рассчитано",IF(V896&gt;0,G896/V896,"н/д"),"н/д")</x:f>
        <x:v>н/д</x:v>
      </x:c>
      <x:c r="Z896" s="20" t="str">
        <x:f>"н/д"</x:f>
        <x:v>н/д</x:v>
      </x:c>
      <x:c r="AA896" s="20" t="str">
        <x:f>"н/д"</x:f>
        <x:v>н/д</x:v>
      </x:c>
      <x:c r="AB896" s="20" t="str">
        <x:f>"н/д"</x:f>
        <x:v>н/д</x:v>
      </x:c>
      <x:c r="AC896" s="20" t="str">
        <x:f>IF(AND(J896="Рассчитано",T896&gt;0,R896&lt;100),(W896+P896+Q896)/(T896*(1-R896/100)),"н/д")</x:f>
        <x:v>н/д</x:v>
      </x:c>
      <x:c r="AD896" s="11" t="str">
        <x:f>IF(ISNUMBER(G896),IF(G896&lt;0,"Убыток",IF(G896=0,"Без прибыли","Прибыль &gt; 0")),"Не оценён")</x:f>
        <x:v>Не оценён</x:v>
      </x:c>
      <x:c r="AE896" s="12" t="str">
        <x:f>IF(J896="Рассчитано","Выручка "&amp;TEXT(V896,"0.00")&amp;" - себестоимость "&amp;TEXT(W896,"0.00")&amp;" - комиссия "&amp;TEXT(V896*R896/100,"0.00")&amp;" - доставка "&amp;TEXT(P896,"0.00")&amp;" - прочие "&amp;TEXT(Q896,"0.00")&amp;" = "&amp;TEXT(G896,"0.00")&amp;" "&amp;L896,"Введите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6" s="23" t="n">
        <x:v>55.51893248077271</x:v>
      </x:c>
      <x:c r="AG896" s="35" t="n">
        <x:v>90</x:v>
      </x:c>
      <x:c r="AH896" s="35" t="n">
        <x:v>0</x:v>
      </x:c>
      <x:c r="AI896" s="29" t="n">
        <x:v>46266</x:v>
      </x:c>
      <x:c r="AJ896" s="35" t="n">
        <x:v>1</x:v>
      </x:c>
      <x:c r="AK896" s="11" t="str">
        <x:v>минимум</x:v>
      </x:c>
      <x:c r="AL896" s="31" t="n">
        <x:v>137.854341092783</x:v>
      </x:c>
      <x:c r="AM896" s="12" t="str">
        <x:v>Остаток на начало сентября; Резервы неизвестны; Детальные и месячные продажи расходятся; Stockout оценён по месячным снимкам; Нет ежедневных данных доступности. Запас выше прогноза на 90 дней</x:v>
      </x:c>
      <x:c r="AN896" s="12" t="str">
        <x:v>Проверить свободный остаток и установить цену для B2B</x:v>
      </x:c>
      <x:c r="AO896" s="12" t="str">
        <x:v>Остаток 90; прогноз 90 дней 55.52; избыток 34 шт. Будущие поступления не выставляются на продажу. Остаток на начало сентября: требуется актуализация.</x:v>
      </x:c>
      <x:c r="AP896" s="12" t="str">
        <x:v>["category_missing", "daily_stockout_data_missing", "large_orders_detected", "new_order_lead_time_unknown", "reservations_unknown", "stale_stock", "stockout_proxy_used", "transaction_month_mismatch"]</x:v>
      </x:c>
      <x:c r="AQ896" s="11" t="str">
        <x:v>IEK:251400020_</x:v>
      </x:c>
      <x:c r="AR896" s="23" t="n">
        <x:v>1</x:v>
      </x:c>
      <x:c r="AS896" s="23" t="n">
        <x:v>0</x:v>
      </x:c>
      <x:c r="AT896" s="23" t="n">
        <x:v>0</x:v>
      </x:c>
    </x:row>
    <x:row r="897" ht="64" customHeight="1">
      <x:c r="A897" s="10" t="str">
        <x:v>IEK</x:v>
      </x:c>
      <x:c r="B897" s="34" t="str">
        <x:v>251400021_</x:v>
      </x:c>
      <x:c r="C897" s="34" t="str">
        <x:v>TF5-KP72-N-06-65-K03-K02</x:v>
      </x:c>
      <x:c r="D897" s="13" t="str">
        <x:v>КМПн 6 черн. прозр. дверь IP65 TEKFOR IEK</x:v>
      </x:c>
      <x:c r="E897" s="10" t="str">
        <x:v>шт</x:v>
      </x:c>
      <x:c r="F897" s="37" t="n">
        <x:f>MAX(0,ROUNDDOWN((AG897-AF897)/AR897+0.000000001,0)*AR897)</x:f>
        <x:v>12</x:v>
      </x:c>
      <x:c r="G897" s="21" t="str">
        <x:f>IF(J897="Рассчитано",V897*(1-R897/100)-W897-P897-Q897,"н/д")</x:f>
        <x:v>н/д</x:v>
      </x:c>
      <x:c r="H897" s="13" t="str">
        <x:v>Высокий</x:v>
      </x:c>
      <x:c r="I897" s="13" t="str">
        <x:v>Высокий</x:v>
      </x:c>
      <x:c r="J897" s="13" t="str">
        <x:f>IF(L897="","Укажите валюту",IF(NOT(ISNUMBER(K897)),"Укажите объём",IF(K897&lt;=0,"Укажите объём",IF(K897&gt;F897,"Объём выше излишка",IF(COUNT(M897:O897)&lt;3,"Нужны цены",IF(COUNT(P897:R897)&lt;3,"Нужны расходы",IF(OR(M897&lt;0,N897&lt;0,O897&lt;0,O897&gt;100,P897&lt;0,Q897&lt;0,R897&lt;0,R897&gt;100),"Проверьте значения","Рассчитано")))))))</x:f>
        <x:v>Нужны цены</x:v>
      </x:c>
      <x:c r="K897" s="36" t="n">
        <x:v>12</x:v>
      </x:c>
      <x:c r="L897" s="19" t="str">
        <x:v>KZT</x:v>
      </x:c>
      <x:c r="M897" s="22"/>
      <x:c r="N897" s="22"/>
      <x:c r="O897" s="28"/>
      <x:c r="P897" s="22"/>
      <x:c r="Q897" s="22"/>
      <x:c r="R897" s="28"/>
      <x:c r="S897" s="22"/>
      <x:c r="T897" s="37" t="n">
        <x:f>K897</x:f>
        <x:v>12</x:v>
      </x:c>
      <x:c r="U897" s="21" t="str">
        <x:f>IF(J897="Рассчитано",N897*(1-O897/100),"н/д")</x:f>
        <x:v>н/д</x:v>
      </x:c>
      <x:c r="V897" s="21" t="str">
        <x:f>IF(J897="Рассчитано",T897*U897,"н/д")</x:f>
        <x:v>н/д</x:v>
      </x:c>
      <x:c r="W897" s="21" t="str">
        <x:f>IF(J897="Рассчитано",T897*M897,"н/д")</x:f>
        <x:v>н/д</x:v>
      </x:c>
      <x:c r="X897" s="21" t="str">
        <x:f>IF(J897="Рассчитано",V897-W897,"н/д")</x:f>
        <x:v>н/д</x:v>
      </x:c>
      <x:c r="Y897" s="27" t="str">
        <x:f>IF(J897="Рассчитано",IF(V897&gt;0,G897/V897,"н/д"),"н/д")</x:f>
        <x:v>н/д</x:v>
      </x:c>
      <x:c r="Z897" s="21" t="str">
        <x:f>"н/д"</x:f>
        <x:v>н/д</x:v>
      </x:c>
      <x:c r="AA897" s="21" t="str">
        <x:f>"н/д"</x:f>
        <x:v>н/д</x:v>
      </x:c>
      <x:c r="AB897" s="21" t="str">
        <x:f>"н/д"</x:f>
        <x:v>н/д</x:v>
      </x:c>
      <x:c r="AC897" s="21" t="str">
        <x:f>IF(AND(J897="Рассчитано",T897&gt;0,R897&lt;100),(W897+P897+Q897)/(T897*(1-R897/100)),"н/д")</x:f>
        <x:v>н/д</x:v>
      </x:c>
      <x:c r="AD897" s="10" t="str">
        <x:f>IF(ISNUMBER(G897),IF(G897&lt;0,"Убыток",IF(G897=0,"Без прибыли","Прибыль &gt; 0")),"Не оценён")</x:f>
        <x:v>Не оценён</x:v>
      </x:c>
      <x:c r="AE897" s="13" t="str">
        <x:f>IF(J897="Рассчитано","Выручка "&amp;TEXT(V897,"0.00")&amp;" - себестоимость "&amp;TEXT(W897,"0.00")&amp;" - комиссия "&amp;TEXT(V897*R897/100,"0.00")&amp;" - доставка "&amp;TEXT(P897,"0.00")&amp;" - прочие "&amp;TEXT(Q897,"0.00")&amp;" = "&amp;TEXT(G897,"0.00")&amp;" "&amp;L897,"Введите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7" s="24" t="n">
        <x:v>4.616563763265173</x:v>
      </x:c>
      <x:c r="AG897" s="37" t="n">
        <x:v>17</x:v>
      </x:c>
      <x:c r="AH897" s="37" t="n">
        <x:v>0</x:v>
      </x:c>
      <x:c r="AI897" s="30" t="n">
        <x:v>46266</x:v>
      </x:c>
      <x:c r="AJ897" s="37"/>
      <x:c r="AK897" s="10" t="str">
        <x:v>неизвестно</x:v>
      </x:c>
      <x:c r="AL897" s="32" t="n">
        <x:v>313.14762863141146</x:v>
      </x:c>
      <x:c r="AM89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97" s="13" t="str">
        <x:v>Проверить свободный остаток и установить цену для B2B</x:v>
      </x:c>
      <x:c r="AO897" s="13" t="str">
        <x:v>Остаток 17; прогноз 90 дней 4.62; избыток 12 шт. Будущие поступления не выставляются на продажу. Остаток на начало сентября: требуется актуализация.</x:v>
      </x:c>
      <x:c r="AP897" s="13" t="str">
        <x:v>["category_missing", "daily_stockout_data_missing", "moq_missing", "new_order_lead_time_unknown", "reservations_unknown", "stale_stock"]</x:v>
      </x:c>
      <x:c r="AQ897" s="10" t="str">
        <x:v>IEK:251400021_</x:v>
      </x:c>
      <x:c r="AR897" s="24" t="n">
        <x:v>1</x:v>
      </x:c>
      <x:c r="AS897" s="24" t="n">
        <x:v>0</x:v>
      </x:c>
      <x:c r="AT897" s="24" t="n">
        <x:v>0</x:v>
      </x:c>
    </x:row>
    <x:row r="898" ht="64" customHeight="1">
      <x:c r="A898" s="11" t="str">
        <x:v>IEK</x:v>
      </x:c>
      <x:c r="B898" s="33" t="str">
        <x:v>251400022_</x:v>
      </x:c>
      <x:c r="C898" s="33" t="str">
        <x:v>TF5-KP72-N-08-65-K03-K02</x:v>
      </x:c>
      <x:c r="D898" s="12" t="str">
        <x:v>КМПн 8  черн. прозр. дверь IP65 TEKFOR IEK</x:v>
      </x:c>
      <x:c r="E898" s="11" t="str">
        <x:v>шт</x:v>
      </x:c>
      <x:c r="F898" s="35" t="n">
        <x:f>MAX(0,ROUNDDOWN((AG898-AF898)/AR898+0.000000001,0)*AR898)</x:f>
        <x:v>6</x:v>
      </x:c>
      <x:c r="G898" s="20" t="str">
        <x:f>IF(J898="Рассчитано",V898*(1-R898/100)-W898-P898-Q898,"н/д")</x:f>
        <x:v>н/д</x:v>
      </x:c>
      <x:c r="H898" s="12" t="str">
        <x:v>Высокий</x:v>
      </x:c>
      <x:c r="I898" s="12" t="str">
        <x:v>Высокий</x:v>
      </x:c>
      <x:c r="J898" s="12" t="str">
        <x:f>IF(L898="","Укажите валюту",IF(NOT(ISNUMBER(K898)),"Укажите объём",IF(K898&lt;=0,"Укажите объём",IF(K898&gt;F898,"Объём выше излишка",IF(COUNT(M898:O898)&lt;3,"Нужны цены",IF(COUNT(P898:R898)&lt;3,"Нужны расходы",IF(OR(M898&lt;0,N898&lt;0,O898&lt;0,O898&gt;100,P898&lt;0,Q898&lt;0,R898&lt;0,R898&gt;100),"Проверьте значения","Рассчитано")))))))</x:f>
        <x:v>Нужны цены</x:v>
      </x:c>
      <x:c r="K898" s="36" t="n">
        <x:v>6</x:v>
      </x:c>
      <x:c r="L898" s="19" t="str">
        <x:v>KZT</x:v>
      </x:c>
      <x:c r="M898" s="22"/>
      <x:c r="N898" s="22"/>
      <x:c r="O898" s="28"/>
      <x:c r="P898" s="22"/>
      <x:c r="Q898" s="22"/>
      <x:c r="R898" s="28"/>
      <x:c r="S898" s="22"/>
      <x:c r="T898" s="35" t="n">
        <x:f>K898</x:f>
        <x:v>6</x:v>
      </x:c>
      <x:c r="U898" s="20" t="str">
        <x:f>IF(J898="Рассчитано",N898*(1-O898/100),"н/д")</x:f>
        <x:v>н/д</x:v>
      </x:c>
      <x:c r="V898" s="20" t="str">
        <x:f>IF(J898="Рассчитано",T898*U898,"н/д")</x:f>
        <x:v>н/д</x:v>
      </x:c>
      <x:c r="W898" s="20" t="str">
        <x:f>IF(J898="Рассчитано",T898*M898,"н/д")</x:f>
        <x:v>н/д</x:v>
      </x:c>
      <x:c r="X898" s="20" t="str">
        <x:f>IF(J898="Рассчитано",V898-W898,"н/д")</x:f>
        <x:v>н/д</x:v>
      </x:c>
      <x:c r="Y898" s="26" t="str">
        <x:f>IF(J898="Рассчитано",IF(V898&gt;0,G898/V898,"н/д"),"н/д")</x:f>
        <x:v>н/д</x:v>
      </x:c>
      <x:c r="Z898" s="20" t="str">
        <x:f>"н/д"</x:f>
        <x:v>н/д</x:v>
      </x:c>
      <x:c r="AA898" s="20" t="str">
        <x:f>"н/д"</x:f>
        <x:v>н/д</x:v>
      </x:c>
      <x:c r="AB898" s="20" t="str">
        <x:f>"н/д"</x:f>
        <x:v>н/д</x:v>
      </x:c>
      <x:c r="AC898" s="20" t="str">
        <x:f>IF(AND(J898="Рассчитано",T898&gt;0,R898&lt;100),(W898+P898+Q898)/(T898*(1-R898/100)),"н/д")</x:f>
        <x:v>н/д</x:v>
      </x:c>
      <x:c r="AD898" s="11" t="str">
        <x:f>IF(ISNUMBER(G898),IF(G898&lt;0,"Убыток",IF(G898=0,"Без прибыли","Прибыль &gt; 0")),"Не оценён")</x:f>
        <x:v>Не оценён</x:v>
      </x:c>
      <x:c r="AE898" s="12" t="str">
        <x:f>IF(J898="Рассчитано","Выручка "&amp;TEXT(V898,"0.00")&amp;" - себестоимость "&amp;TEXT(W898,"0.00")&amp;" - комиссия "&amp;TEXT(V898*R898/100,"0.00")&amp;" - доставка "&amp;TEXT(P898,"0.00")&amp;" - прочие "&amp;TEXT(Q898,"0.00")&amp;" = "&amp;TEXT(G898,"0.00")&amp;" "&amp;L898,"Введите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8" s="23" t="n">
        <x:v>2.6286837928019575</x:v>
      </x:c>
      <x:c r="AG898" s="35" t="n">
        <x:v>9</x:v>
      </x:c>
      <x:c r="AH898" s="35" t="n">
        <x:v>0</x:v>
      </x:c>
      <x:c r="AI898" s="29" t="n">
        <x:v>46266</x:v>
      </x:c>
      <x:c r="AJ898" s="35"/>
      <x:c r="AK898" s="11" t="str">
        <x:v>неизвестно</x:v>
      </x:c>
      <x:c r="AL898" s="31" t="n">
        <x:v>291.1542984465848</x:v>
      </x:c>
      <x:c r="AM89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898" s="12" t="str">
        <x:v>Проверить свободный остаток и установить цену для B2B</x:v>
      </x:c>
      <x:c r="AO898" s="12" t="str">
        <x:v>Остаток 9; прогноз 90 дней 2.63; избыток 6 шт. Будущие поступления не выставляются на продажу. Остаток на начало сентября: требуется актуализация.</x:v>
      </x:c>
      <x:c r="AP898" s="12" t="str">
        <x:v>["category_missing", "daily_stockout_data_missing", "moq_missing", "new_order_lead_time_unknown", "reservations_unknown", "stale_stock"]</x:v>
      </x:c>
      <x:c r="AQ898" s="11" t="str">
        <x:v>IEK:251400022_</x:v>
      </x:c>
      <x:c r="AR898" s="23" t="n">
        <x:v>1</x:v>
      </x:c>
      <x:c r="AS898" s="23" t="n">
        <x:v>0</x:v>
      </x:c>
      <x:c r="AT898" s="23" t="n">
        <x:v>0</x:v>
      </x:c>
    </x:row>
    <x:row r="899" ht="64" customHeight="1">
      <x:c r="A899" s="10" t="str">
        <x:v>IEK</x:v>
      </x:c>
      <x:c r="B899" s="34" t="str">
        <x:v>251400024_</x:v>
      </x:c>
      <x:c r="C899" s="34" t="str">
        <x:v>TF5-KP72-N-18-65-K03-K02</x:v>
      </x:c>
      <x:c r="D899" s="13" t="str">
        <x:v>КМПн-18  черн. прозр. дверь IP65 TEKFOR IEK</x:v>
      </x:c>
      <x:c r="E899" s="10" t="str">
        <x:v>шт</x:v>
      </x:c>
      <x:c r="F899" s="37" t="n">
        <x:f>MAX(0,ROUNDDOWN((AG899-AF899)/AR899+0.000000001,0)*AR899)</x:f>
        <x:v>9</x:v>
      </x:c>
      <x:c r="G899" s="21" t="str">
        <x:f>IF(J899="Рассчитано",V899*(1-R899/100)-W899-P899-Q899,"н/д")</x:f>
        <x:v>н/д</x:v>
      </x:c>
      <x:c r="H899" s="13" t="str">
        <x:v>Высокий</x:v>
      </x:c>
      <x:c r="I899" s="13" t="str">
        <x:v>Высокий</x:v>
      </x:c>
      <x:c r="J899" s="13" t="str">
        <x:f>IF(L899="","Укажите валюту",IF(NOT(ISNUMBER(K899)),"Укажите объём",IF(K899&lt;=0,"Укажите объём",IF(K899&gt;F899,"Объём выше излишка",IF(COUNT(M899:O899)&lt;3,"Нужны цены",IF(COUNT(P899:R899)&lt;3,"Нужны расходы",IF(OR(M899&lt;0,N899&lt;0,O899&lt;0,O899&gt;100,P899&lt;0,Q899&lt;0,R899&lt;0,R899&gt;100),"Проверьте значения","Рассчитано")))))))</x:f>
        <x:v>Нужны цены</x:v>
      </x:c>
      <x:c r="K899" s="36" t="n">
        <x:v>9</x:v>
      </x:c>
      <x:c r="L899" s="19" t="str">
        <x:v>KZT</x:v>
      </x:c>
      <x:c r="M899" s="22"/>
      <x:c r="N899" s="22"/>
      <x:c r="O899" s="28"/>
      <x:c r="P899" s="22"/>
      <x:c r="Q899" s="22"/>
      <x:c r="R899" s="28"/>
      <x:c r="S899" s="22"/>
      <x:c r="T899" s="37" t="n">
        <x:f>K899</x:f>
        <x:v>9</x:v>
      </x:c>
      <x:c r="U899" s="21" t="str">
        <x:f>IF(J899="Рассчитано",N899*(1-O899/100),"н/д")</x:f>
        <x:v>н/д</x:v>
      </x:c>
      <x:c r="V899" s="21" t="str">
        <x:f>IF(J899="Рассчитано",T899*U899,"н/д")</x:f>
        <x:v>н/д</x:v>
      </x:c>
      <x:c r="W899" s="21" t="str">
        <x:f>IF(J899="Рассчитано",T899*M899,"н/д")</x:f>
        <x:v>н/д</x:v>
      </x:c>
      <x:c r="X899" s="21" t="str">
        <x:f>IF(J899="Рассчитано",V899-W899,"н/д")</x:f>
        <x:v>н/д</x:v>
      </x:c>
      <x:c r="Y899" s="27" t="str">
        <x:f>IF(J899="Рассчитано",IF(V899&gt;0,G899/V899,"н/д"),"н/д")</x:f>
        <x:v>н/д</x:v>
      </x:c>
      <x:c r="Z899" s="21" t="str">
        <x:f>"н/д"</x:f>
        <x:v>н/д</x:v>
      </x:c>
      <x:c r="AA899" s="21" t="str">
        <x:f>"н/д"</x:f>
        <x:v>н/д</x:v>
      </x:c>
      <x:c r="AB899" s="21" t="str">
        <x:f>"н/д"</x:f>
        <x:v>н/д</x:v>
      </x:c>
      <x:c r="AC899" s="21" t="str">
        <x:f>IF(AND(J899="Рассчитано",T899&gt;0,R899&lt;100),(W899+P899+Q899)/(T899*(1-R899/100)),"н/д")</x:f>
        <x:v>н/д</x:v>
      </x:c>
      <x:c r="AD899" s="10" t="str">
        <x:f>IF(ISNUMBER(G899),IF(G899&lt;0,"Убыток",IF(G899=0,"Без прибыли","Прибыль &gt; 0")),"Не оценён")</x:f>
        <x:v>Не оценён</x:v>
      </x:c>
      <x:c r="AE899" s="13" t="str">
        <x:f>IF(J899="Рассчитано","Выручка "&amp;TEXT(V899,"0.00")&amp;" - себестоимость "&amp;TEXT(W899,"0.00")&amp;" - комиссия "&amp;TEXT(V899*R899/100,"0.00")&amp;" - доставка "&amp;TEXT(P899,"0.00")&amp;" - прочие "&amp;TEXT(Q899,"0.00")&amp;" = "&amp;TEXT(G899,"0.00")&amp;" "&amp;L899,"Введите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9" s="24" t="n">
        <x:v>1.6483330360731163</x:v>
      </x:c>
      <x:c r="AG899" s="37" t="n">
        <x:v>11</x:v>
      </x:c>
      <x:c r="AH899" s="37" t="n">
        <x:v>0</x:v>
      </x:c>
      <x:c r="AI899" s="30" t="n">
        <x:v>46266</x:v>
      </x:c>
      <x:c r="AJ899" s="37"/>
      <x:c r="AK899" s="10" t="str">
        <x:v>неизвестно</x:v>
      </x:c>
      <x:c r="AL899" s="32" t="n">
        <x:v>567.5011768859115</x:v>
      </x:c>
      <x:c r="AM899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899" s="13" t="str">
        <x:v>Проверить свободный остаток и установить цену для B2B</x:v>
      </x:c>
      <x:c r="AO899" s="13" t="str">
        <x:v>Остаток 11; прогноз 90 дней 1.65; избыток 9 шт. Будущие поступления не выставляются на продажу. Остаток на начало сентября: требуется актуализация.</x:v>
      </x:c>
      <x:c r="AP899" s="13" t="str">
        <x:v>["category_missing", "daily_stockout_data_missing", "large_orders_detected", "moq_missing", "new_order_lead_time_unknown", "reservations_unknown", "stale_stock", "transaction_month_mismatch"]</x:v>
      </x:c>
      <x:c r="AQ899" s="10" t="str">
        <x:v>IEK:251400024_</x:v>
      </x:c>
      <x:c r="AR899" s="24" t="n">
        <x:v>1</x:v>
      </x:c>
      <x:c r="AS899" s="24" t="n">
        <x:v>0</x:v>
      </x:c>
      <x:c r="AT899" s="24" t="n">
        <x:v>0</x:v>
      </x:c>
    </x:row>
    <x:row r="900" ht="64" customHeight="1">
      <x:c r="A900" s="11" t="str">
        <x:v>IEK</x:v>
      </x:c>
      <x:c r="B900" s="33" t="str">
        <x:v>251400025_</x:v>
      </x:c>
      <x:c r="C900" s="33" t="str">
        <x:v>TF5-KP72-N-24-65-K03-K02</x:v>
      </x:c>
      <x:c r="D900" s="12" t="str">
        <x:v>КМПн-24  черн. прозр. дверь IP65 TEKFOR IEK</x:v>
      </x:c>
      <x:c r="E900" s="11" t="str">
        <x:v>шт</x:v>
      </x:c>
      <x:c r="F900" s="35" t="n">
        <x:f>MAX(0,ROUNDDOWN((AG900-AF900)/AR900+0.000000001,0)*AR900)</x:f>
        <x:v>2</x:v>
      </x:c>
      <x:c r="G900" s="20" t="str">
        <x:f>IF(J900="Рассчитано",V900*(1-R900/100)-W900-P900-Q900,"н/д")</x:f>
        <x:v>н/д</x:v>
      </x:c>
      <x:c r="H900" s="12" t="str">
        <x:v>Высокий</x:v>
      </x:c>
      <x:c r="I900" s="12" t="str">
        <x:v>Средний</x:v>
      </x:c>
      <x:c r="J900" s="12" t="str">
        <x:f>IF(L900="","Укажите валюту",IF(NOT(ISNUMBER(K900)),"Укажите объём",IF(K900&lt;=0,"Укажите объём",IF(K900&gt;F900,"Объём выше излишка",IF(COUNT(M900:O900)&lt;3,"Нужны цены",IF(COUNT(P900:R900)&lt;3,"Нужны расходы",IF(OR(M900&lt;0,N900&lt;0,O900&lt;0,O900&gt;100,P900&lt;0,Q900&lt;0,R900&lt;0,R900&gt;100),"Проверьте значения","Рассчитано")))))))</x:f>
        <x:v>Нужны цены</x:v>
      </x:c>
      <x:c r="K900" s="36" t="n">
        <x:v>2</x:v>
      </x:c>
      <x:c r="L900" s="19" t="str">
        <x:v>KZT</x:v>
      </x:c>
      <x:c r="M900" s="22"/>
      <x:c r="N900" s="22"/>
      <x:c r="O900" s="28"/>
      <x:c r="P900" s="22"/>
      <x:c r="Q900" s="22"/>
      <x:c r="R900" s="28"/>
      <x:c r="S900" s="22"/>
      <x:c r="T900" s="35" t="n">
        <x:f>K900</x:f>
        <x:v>2</x:v>
      </x:c>
      <x:c r="U900" s="20" t="str">
        <x:f>IF(J900="Рассчитано",N900*(1-O900/100),"н/д")</x:f>
        <x:v>н/д</x:v>
      </x:c>
      <x:c r="V900" s="20" t="str">
        <x:f>IF(J900="Рассчитано",T900*U900,"н/д")</x:f>
        <x:v>н/д</x:v>
      </x:c>
      <x:c r="W900" s="20" t="str">
        <x:f>IF(J900="Рассчитано",T900*M900,"н/д")</x:f>
        <x:v>н/д</x:v>
      </x:c>
      <x:c r="X900" s="20" t="str">
        <x:f>IF(J900="Рассчитано",V900-W900,"н/д")</x:f>
        <x:v>н/д</x:v>
      </x:c>
      <x:c r="Y900" s="26" t="str">
        <x:f>IF(J900="Рассчитано",IF(V900&gt;0,G900/V900,"н/д"),"н/д")</x:f>
        <x:v>н/д</x:v>
      </x:c>
      <x:c r="Z900" s="20" t="str">
        <x:f>"н/д"</x:f>
        <x:v>н/д</x:v>
      </x:c>
      <x:c r="AA900" s="20" t="str">
        <x:f>"н/д"</x:f>
        <x:v>н/д</x:v>
      </x:c>
      <x:c r="AB900" s="20" t="str">
        <x:f>"н/д"</x:f>
        <x:v>н/д</x:v>
      </x:c>
      <x:c r="AC900" s="20" t="str">
        <x:f>IF(AND(J900="Рассчитано",T900&gt;0,R900&lt;100),(W900+P900+Q900)/(T900*(1-R900/100)),"н/д")</x:f>
        <x:v>н/д</x:v>
      </x:c>
      <x:c r="AD900" s="11" t="str">
        <x:f>IF(ISNUMBER(G900),IF(G900&lt;0,"Убыток",IF(G900=0,"Без прибыли","Прибыль &gt; 0")),"Не оценён")</x:f>
        <x:v>Не оценён</x:v>
      </x:c>
      <x:c r="AE900" s="12" t="str">
        <x:f>IF(J900="Рассчитано","Выручка "&amp;TEXT(V900,"0.00")&amp;" - себестоимость "&amp;TEXT(W900,"0.00")&amp;" - комиссия "&amp;TEXT(V900*R900/100,"0.00")&amp;" - доставка "&amp;TEXT(P900,"0.00")&amp;" - прочие "&amp;TEXT(Q900,"0.00")&amp;" = "&amp;TEXT(G900,"0.00")&amp;" "&amp;L900,"Введите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0" s="23" t="n">
        <x:v>2.7289335098875505</x:v>
      </x:c>
      <x:c r="AG900" s="35" t="n">
        <x:v>5</x:v>
      </x:c>
      <x:c r="AH900" s="35" t="n">
        <x:v>0</x:v>
      </x:c>
      <x:c r="AI900" s="29" t="n">
        <x:v>46266</x:v>
      </x:c>
      <x:c r="AJ900" s="35"/>
      <x:c r="AK900" s="11" t="str">
        <x:v>неизвестно</x:v>
      </x:c>
      <x:c r="AL900" s="31" t="n">
        <x:v>155.81027508001355</x:v>
      </x:c>
      <x:c r="AM900" s="12" t="str">
        <x:v>Остаток на начало сентября; Резервы неизвестны; Нет ежедневных данных доступности. Запас выше прогноза на 90 дней</x:v>
      </x:c>
      <x:c r="AN900" s="12" t="str">
        <x:v>Проверить свободный остаток и установить цену для B2B</x:v>
      </x:c>
      <x:c r="AO900" s="12" t="str">
        <x:v>Остаток 5; прогноз 90 дней 2.73; избыток 2 шт. Будущие поступления не выставляются на продажу. Остаток на начало сентября: требуется актуализация.</x:v>
      </x:c>
      <x:c r="AP900" s="12" t="str">
        <x:v>["category_missing", "daily_stockout_data_missing", "moq_missing", "new_order_lead_time_unknown", "reservations_unknown", "stale_stock"]</x:v>
      </x:c>
      <x:c r="AQ900" s="11" t="str">
        <x:v>IEK:251400025_</x:v>
      </x:c>
      <x:c r="AR900" s="23" t="n">
        <x:v>1</x:v>
      </x:c>
      <x:c r="AS900" s="23" t="n">
        <x:v>0</x:v>
      </x:c>
      <x:c r="AT900" s="23" t="n">
        <x:v>0</x:v>
      </x:c>
    </x:row>
    <x:row r="901" ht="64" customHeight="1">
      <x:c r="A901" s="10" t="str">
        <x:v>IEK</x:v>
      </x:c>
      <x:c r="B901" s="34" t="str">
        <x:v>251400026_</x:v>
      </x:c>
      <x:c r="C901" s="34" t="str">
        <x:v>TF5-KP72-N-36-65-K03-K02</x:v>
      </x:c>
      <x:c r="D901" s="13" t="str">
        <x:v>КМПн-36  черн. прозр. дверь IP65 TEKFOR IEK</x:v>
      </x:c>
      <x:c r="E901" s="10" t="str">
        <x:v>шт</x:v>
      </x:c>
      <x:c r="F901" s="37" t="n">
        <x:f>MAX(0,ROUNDDOWN((AG901-AF901)/AR901+0.000000001,0)*AR901)</x:f>
        <x:v>2</x:v>
      </x:c>
      <x:c r="G901" s="21" t="str">
        <x:f>IF(J901="Рассчитано",V901*(1-R901/100)-W901-P901-Q901,"н/д")</x:f>
        <x:v>н/д</x:v>
      </x:c>
      <x:c r="H901" s="13" t="str">
        <x:v>Высокий</x:v>
      </x:c>
      <x:c r="I901" s="13" t="str">
        <x:v>Средний</x:v>
      </x:c>
      <x:c r="J901" s="13" t="str">
        <x:f>IF(L901="","Укажите валюту",IF(NOT(ISNUMBER(K901)),"Укажите объём",IF(K901&lt;=0,"Укажите объём",IF(K901&gt;F901,"Объём выше излишка",IF(COUNT(M901:O901)&lt;3,"Нужны цены",IF(COUNT(P901:R901)&lt;3,"Нужны расходы",IF(OR(M901&lt;0,N901&lt;0,O901&lt;0,O901&gt;100,P901&lt;0,Q901&lt;0,R901&lt;0,R901&gt;100),"Проверьте значения","Рассчитано")))))))</x:f>
        <x:v>Нужны цены</x:v>
      </x:c>
      <x:c r="K901" s="36" t="n">
        <x:v>2</x:v>
      </x:c>
      <x:c r="L901" s="19" t="str">
        <x:v>KZT</x:v>
      </x:c>
      <x:c r="M901" s="22"/>
      <x:c r="N901" s="22"/>
      <x:c r="O901" s="28"/>
      <x:c r="P901" s="22"/>
      <x:c r="Q901" s="22"/>
      <x:c r="R901" s="28"/>
      <x:c r="S901" s="22"/>
      <x:c r="T901" s="37" t="n">
        <x:f>K901</x:f>
        <x:v>2</x:v>
      </x:c>
      <x:c r="U901" s="21" t="str">
        <x:f>IF(J901="Рассчитано",N901*(1-O901/100),"н/д")</x:f>
        <x:v>н/д</x:v>
      </x:c>
      <x:c r="V901" s="21" t="str">
        <x:f>IF(J901="Рассчитано",T901*U901,"н/д")</x:f>
        <x:v>н/д</x:v>
      </x:c>
      <x:c r="W901" s="21" t="str">
        <x:f>IF(J901="Рассчитано",T901*M901,"н/д")</x:f>
        <x:v>н/д</x:v>
      </x:c>
      <x:c r="X901" s="21" t="str">
        <x:f>IF(J901="Рассчитано",V901-W901,"н/д")</x:f>
        <x:v>н/д</x:v>
      </x:c>
      <x:c r="Y901" s="27" t="str">
        <x:f>IF(J901="Рассчитано",IF(V901&gt;0,G901/V901,"н/д"),"н/д")</x:f>
        <x:v>н/д</x:v>
      </x:c>
      <x:c r="Z901" s="21" t="str">
        <x:f>"н/д"</x:f>
        <x:v>н/д</x:v>
      </x:c>
      <x:c r="AA901" s="21" t="str">
        <x:f>"н/д"</x:f>
        <x:v>н/д</x:v>
      </x:c>
      <x:c r="AB901" s="21" t="str">
        <x:f>"н/д"</x:f>
        <x:v>н/д</x:v>
      </x:c>
      <x:c r="AC901" s="21" t="str">
        <x:f>IF(AND(J901="Рассчитано",T901&gt;0,R901&lt;100),(W901+P901+Q901)/(T901*(1-R901/100)),"н/д")</x:f>
        <x:v>н/д</x:v>
      </x:c>
      <x:c r="AD901" s="10" t="str">
        <x:f>IF(ISNUMBER(G901),IF(G901&lt;0,"Убыток",IF(G901=0,"Без прибыли","Прибыль &gt; 0")),"Не оценён")</x:f>
        <x:v>Не оценён</x:v>
      </x:c>
      <x:c r="AE901" s="13" t="str">
        <x:f>IF(J901="Рассчитано","Выручка "&amp;TEXT(V901,"0.00")&amp;" - себестоимость "&amp;TEXT(W901,"0.00")&amp;" - комиссия "&amp;TEXT(V901*R901/100,"0.00")&amp;" - доставка "&amp;TEXT(P901,"0.00")&amp;" - прочие "&amp;TEXT(Q901,"0.00")&amp;" = "&amp;TEXT(G901,"0.00")&amp;" "&amp;L901,"Введите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1" s="24" t="n">
        <x:v>2.534139446053549</x:v>
      </x:c>
      <x:c r="AG901" s="37" t="n">
        <x:v>5</x:v>
      </x:c>
      <x:c r="AH901" s="37" t="n">
        <x:v>0</x:v>
      </x:c>
      <x:c r="AI901" s="30" t="n">
        <x:v>46266</x:v>
      </x:c>
      <x:c r="AJ901" s="37"/>
      <x:c r="AK901" s="10" t="str">
        <x:v>неизвестно</x:v>
      </x:c>
      <x:c r="AL901" s="32" t="n">
        <x:v>167.7870890304828</x:v>
      </x:c>
      <x:c r="AM901" s="13" t="str">
        <x:v>Остаток на начало сентября; Резервы неизвестны; Нет ежедневных данных доступности. Запас выше прогноза на 90 дней</x:v>
      </x:c>
      <x:c r="AN901" s="13" t="str">
        <x:v>Проверить свободный остаток и установить цену для B2B</x:v>
      </x:c>
      <x:c r="AO901" s="13" t="str">
        <x:v>Остаток 5; прогноз 90 дней 2.53; избыток 2 шт. Будущие поступления не выставляются на продажу. Остаток на начало сентября: требуется актуализация.</x:v>
      </x:c>
      <x:c r="AP901" s="13" t="str">
        <x:v>["category_missing", "daily_stockout_data_missing", "moq_missing", "new_order_lead_time_unknown", "reservations_unknown", "stale_stock"]</x:v>
      </x:c>
      <x:c r="AQ901" s="10" t="str">
        <x:v>IEK:251400026_</x:v>
      </x:c>
      <x:c r="AR901" s="24" t="n">
        <x:v>1</x:v>
      </x:c>
      <x:c r="AS901" s="24" t="n">
        <x:v>0</x:v>
      </x:c>
      <x:c r="AT901" s="24" t="n">
        <x:v>0</x:v>
      </x:c>
    </x:row>
    <x:row r="902" ht="64" customHeight="1">
      <x:c r="A902" s="11" t="str">
        <x:v>IEK</x:v>
      </x:c>
      <x:c r="B902" s="33" t="str">
        <x:v>251400027_</x:v>
      </x:c>
      <x:c r="C902" s="33" t="str">
        <x:v>TF5-KP72-N-54-65-K03-K02</x:v>
      </x:c>
      <x:c r="D902" s="12" t="str">
        <x:v>КМПн-54 черн. прозр. дверь IP65 TEKFOR IEK</x:v>
      </x:c>
      <x:c r="E902" s="11" t="str">
        <x:v>шт</x:v>
      </x:c>
      <x:c r="F902" s="35" t="n">
        <x:f>MAX(0,ROUNDDOWN((AG902-AF902)/AR902+0.000000001,0)*AR902)</x:f>
        <x:v>6</x:v>
      </x:c>
      <x:c r="G902" s="20" t="str">
        <x:f>IF(J902="Рассчитано",V902*(1-R902/100)-W902-P902-Q902,"н/д")</x:f>
        <x:v>н/д</x:v>
      </x:c>
      <x:c r="H902" s="12" t="str">
        <x:v>Высокий</x:v>
      </x:c>
      <x:c r="I902" s="12" t="str">
        <x:v>Высокий</x:v>
      </x:c>
      <x:c r="J902" s="12" t="str">
        <x:f>IF(L902="","Укажите валюту",IF(NOT(ISNUMBER(K902)),"Укажите объём",IF(K902&lt;=0,"Укажите объём",IF(K902&gt;F902,"Объём выше излишка",IF(COUNT(M902:O902)&lt;3,"Нужны цены",IF(COUNT(P902:R902)&lt;3,"Нужны расходы",IF(OR(M902&lt;0,N902&lt;0,O902&lt;0,O902&gt;100,P902&lt;0,Q902&lt;0,R902&lt;0,R902&gt;100),"Проверьте значения","Рассчитано")))))))</x:f>
        <x:v>Нужны цены</x:v>
      </x:c>
      <x:c r="K902" s="36" t="n">
        <x:v>6</x:v>
      </x:c>
      <x:c r="L902" s="19" t="str">
        <x:v>KZT</x:v>
      </x:c>
      <x:c r="M902" s="22"/>
      <x:c r="N902" s="22"/>
      <x:c r="O902" s="28"/>
      <x:c r="P902" s="22"/>
      <x:c r="Q902" s="22"/>
      <x:c r="R902" s="28"/>
      <x:c r="S902" s="22"/>
      <x:c r="T902" s="35" t="n">
        <x:f>K902</x:f>
        <x:v>6</x:v>
      </x:c>
      <x:c r="U902" s="20" t="str">
        <x:f>IF(J902="Рассчитано",N902*(1-O902/100),"н/д")</x:f>
        <x:v>н/д</x:v>
      </x:c>
      <x:c r="V902" s="20" t="str">
        <x:f>IF(J902="Рассчитано",T902*U902,"н/д")</x:f>
        <x:v>н/д</x:v>
      </x:c>
      <x:c r="W902" s="20" t="str">
        <x:f>IF(J902="Рассчитано",T902*M902,"н/д")</x:f>
        <x:v>н/д</x:v>
      </x:c>
      <x:c r="X902" s="20" t="str">
        <x:f>IF(J902="Рассчитано",V902-W902,"н/д")</x:f>
        <x:v>н/д</x:v>
      </x:c>
      <x:c r="Y902" s="26" t="str">
        <x:f>IF(J902="Рассчитано",IF(V902&gt;0,G902/V902,"н/д"),"н/д")</x:f>
        <x:v>н/д</x:v>
      </x:c>
      <x:c r="Z902" s="20" t="str">
        <x:f>"н/д"</x:f>
        <x:v>н/д</x:v>
      </x:c>
      <x:c r="AA902" s="20" t="str">
        <x:f>"н/д"</x:f>
        <x:v>н/д</x:v>
      </x:c>
      <x:c r="AB902" s="20" t="str">
        <x:f>"н/д"</x:f>
        <x:v>н/д</x:v>
      </x:c>
      <x:c r="AC902" s="20" t="str">
        <x:f>IF(AND(J902="Рассчитано",T902&gt;0,R902&lt;100),(W902+P902+Q902)/(T902*(1-R902/100)),"н/д")</x:f>
        <x:v>н/д</x:v>
      </x:c>
      <x:c r="AD902" s="11" t="str">
        <x:f>IF(ISNUMBER(G902),IF(G902&lt;0,"Убыток",IF(G902=0,"Без прибыли","Прибыль &gt; 0")),"Не оценён")</x:f>
        <x:v>Не оценён</x:v>
      </x:c>
      <x:c r="AE902" s="12" t="str">
        <x:f>IF(J902="Рассчитано","Выручка "&amp;TEXT(V902,"0.00")&amp;" - себестоимость "&amp;TEXT(W902,"0.00")&amp;" - комиссия "&amp;TEXT(V902*R902/100,"0.00")&amp;" - доставка "&amp;TEXT(P902,"0.00")&amp;" - прочие "&amp;TEXT(Q902,"0.00")&amp;" = "&amp;TEXT(G902,"0.00")&amp;" "&amp;L902,"Введите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2" s="23" t="n">
        <x:v>5.554506055939974</x:v>
      </x:c>
      <x:c r="AG902" s="35" t="n">
        <x:v>12</x:v>
      </x:c>
      <x:c r="AH902" s="35" t="n">
        <x:v>0</x:v>
      </x:c>
      <x:c r="AI902" s="29" t="n">
        <x:v>46266</x:v>
      </x:c>
      <x:c r="AJ902" s="35"/>
      <x:c r="AK902" s="11" t="str">
        <x:v>неизвестно</x:v>
      </x:c>
      <x:c r="AL902" s="31" t="n">
        <x:v>183.71932693281727</x:v>
      </x:c>
      <x:c r="AM90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02" s="12" t="str">
        <x:v>Проверить свободный остаток и установить цену для B2B</x:v>
      </x:c>
      <x:c r="AO902" s="12" t="str">
        <x:v>Остаток 12; прогноз 90 дней 5.55; избыток 6 шт. Будущие поступления не выставляются на продажу. Остаток на начало сентября: требуется актуализация.</x:v>
      </x:c>
      <x:c r="AP902" s="12" t="str">
        <x:v>["category_missing", "daily_stockout_data_missing", "moq_missing", "new_order_lead_time_unknown", "reservations_unknown", "stale_stock"]</x:v>
      </x:c>
      <x:c r="AQ902" s="11" t="str">
        <x:v>IEK:251400027_</x:v>
      </x:c>
      <x:c r="AR902" s="23" t="n">
        <x:v>1</x:v>
      </x:c>
      <x:c r="AS902" s="23" t="n">
        <x:v>0</x:v>
      </x:c>
      <x:c r="AT902" s="23" t="n">
        <x:v>0</x:v>
      </x:c>
    </x:row>
    <x:row r="903" ht="64" customHeight="1">
      <x:c r="A903" s="10" t="str">
        <x:v>IEK</x:v>
      </x:c>
      <x:c r="B903" s="34" t="str">
        <x:v>251400036_</x:v>
      </x:c>
      <x:c r="C903" s="34" t="str">
        <x:v>TF5-KP13-V-24-41-K01-K01</x:v>
      </x:c>
      <x:c r="D903" s="13" t="str">
        <x:v>ЩРВ-П 24 бел. дверь IP41 TEKFOR IEK</x:v>
      </x:c>
      <x:c r="E903" s="10" t="str">
        <x:v>шт</x:v>
      </x:c>
      <x:c r="F903" s="37" t="n">
        <x:f>MAX(0,ROUNDDOWN((AG903-AF903)/AR903+0.000000001,0)*AR903)</x:f>
        <x:v>1</x:v>
      </x:c>
      <x:c r="G903" s="21" t="str">
        <x:f>IF(J903="Рассчитано",V903*(1-R903/100)-W903-P903-Q903,"н/д")</x:f>
        <x:v>н/д</x:v>
      </x:c>
      <x:c r="H903" s="13" t="str">
        <x:v>Высокий</x:v>
      </x:c>
      <x:c r="I903" s="13" t="str">
        <x:v>Средний</x:v>
      </x:c>
      <x:c r="J903" s="13" t="str">
        <x:f>IF(L903="","Укажите валюту",IF(NOT(ISNUMBER(K903)),"Укажите объём",IF(K903&lt;=0,"Укажите объём",IF(K903&gt;F903,"Объём выше излишка",IF(COUNT(M903:O903)&lt;3,"Нужны цены",IF(COUNT(P903:R903)&lt;3,"Нужны расходы",IF(OR(M903&lt;0,N903&lt;0,O903&lt;0,O903&gt;100,P903&lt;0,Q903&lt;0,R903&lt;0,R903&gt;100),"Проверьте значения","Рассчитано")))))))</x:f>
        <x:v>Нужны цены</x:v>
      </x:c>
      <x:c r="K903" s="36" t="n">
        <x:v>1</x:v>
      </x:c>
      <x:c r="L903" s="19" t="str">
        <x:v>KZT</x:v>
      </x:c>
      <x:c r="M903" s="22"/>
      <x:c r="N903" s="22"/>
      <x:c r="O903" s="28"/>
      <x:c r="P903" s="22"/>
      <x:c r="Q903" s="22"/>
      <x:c r="R903" s="28"/>
      <x:c r="S903" s="22"/>
      <x:c r="T903" s="37" t="n">
        <x:f>K903</x:f>
        <x:v>1</x:v>
      </x:c>
      <x:c r="U903" s="21" t="str">
        <x:f>IF(J903="Рассчитано",N903*(1-O903/100),"н/д")</x:f>
        <x:v>н/д</x:v>
      </x:c>
      <x:c r="V903" s="21" t="str">
        <x:f>IF(J903="Рассчитано",T903*U903,"н/д")</x:f>
        <x:v>н/д</x:v>
      </x:c>
      <x:c r="W903" s="21" t="str">
        <x:f>IF(J903="Рассчитано",T903*M903,"н/д")</x:f>
        <x:v>н/д</x:v>
      </x:c>
      <x:c r="X903" s="21" t="str">
        <x:f>IF(J903="Рассчитано",V903-W903,"н/д")</x:f>
        <x:v>н/д</x:v>
      </x:c>
      <x:c r="Y903" s="27" t="str">
        <x:f>IF(J903="Рассчитано",IF(V903&gt;0,G903/V903,"н/д"),"н/д")</x:f>
        <x:v>н/д</x:v>
      </x:c>
      <x:c r="Z903" s="21" t="str">
        <x:f>"н/д"</x:f>
        <x:v>н/д</x:v>
      </x:c>
      <x:c r="AA903" s="21" t="str">
        <x:f>"н/д"</x:f>
        <x:v>н/д</x:v>
      </x:c>
      <x:c r="AB903" s="21" t="str">
        <x:f>"н/д"</x:f>
        <x:v>н/д</x:v>
      </x:c>
      <x:c r="AC903" s="21" t="str">
        <x:f>IF(AND(J903="Рассчитано",T903&gt;0,R903&lt;100),(W903+P903+Q903)/(T903*(1-R903/100)),"н/д")</x:f>
        <x:v>н/д</x:v>
      </x:c>
      <x:c r="AD903" s="10" t="str">
        <x:f>IF(ISNUMBER(G903),IF(G903&lt;0,"Убыток",IF(G903=0,"Без прибыли","Прибыль &gt; 0")),"Не оценён")</x:f>
        <x:v>Не оценён</x:v>
      </x:c>
      <x:c r="AE903" s="13" t="str">
        <x:f>IF(J903="Рассчитано","Выручка "&amp;TEXT(V903,"0.00")&amp;" - себестоимость "&amp;TEXT(W903,"0.00")&amp;" - комиссия "&amp;TEXT(V903*R903/100,"0.00")&amp;" - доставка "&amp;TEXT(P903,"0.00")&amp;" - прочие "&amp;TEXT(Q903,"0.00")&amp;" = "&amp;TEXT(G903,"0.00")&amp;" "&amp;L903,"Введите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3" s="24" t="n">
        <x:v>7.493259713586444</x:v>
      </x:c>
      <x:c r="AG903" s="37" t="n">
        <x:v>9</x:v>
      </x:c>
      <x:c r="AH903" s="37" t="n">
        <x:v>14</x:v>
      </x:c>
      <x:c r="AI903" s="30" t="n">
        <x:v>46266</x:v>
      </x:c>
      <x:c r="AJ903" s="37" t="n">
        <x:v>1</x:v>
      </x:c>
      <x:c r="AK903" s="10" t="str">
        <x:v>минимум</x:v>
      </x:c>
      <x:c r="AL903" s="32" t="n">
        <x:v>102.13880404324696</x:v>
      </x:c>
      <x:c r="AM90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903" s="13" t="str">
        <x:v>Проверить свободный остаток и установить цену для B2B</x:v>
      </x:c>
      <x:c r="AO903" s="13" t="str">
        <x:v>Остаток 9; прогноз 90 дней 7.49; избыток 1 шт. Будущие поступления не выставляются на продажу. Остаток на начало сентября: требуется актуализация.</x:v>
      </x:c>
      <x:c r="AP903" s="13" t="str">
        <x:v>["category_missing", "daily_stockout_data_missing", "large_orders_detected", "new_order_lead_time_unknown", "reservations_unknown", "stale_stock", "transaction_month_mismatch"]</x:v>
      </x:c>
      <x:c r="AQ903" s="10" t="str">
        <x:v>IEK:251400036_</x:v>
      </x:c>
      <x:c r="AR903" s="24" t="n">
        <x:v>1</x:v>
      </x:c>
      <x:c r="AS903" s="24" t="n">
        <x:v>0</x:v>
      </x:c>
      <x:c r="AT903" s="24" t="n">
        <x:v>0</x:v>
      </x:c>
    </x:row>
    <x:row r="904" ht="64" customHeight="1">
      <x:c r="A904" s="11" t="str">
        <x:v>IEK</x:v>
      </x:c>
      <x:c r="B904" s="33" t="str">
        <x:v>251400037_</x:v>
      </x:c>
      <x:c r="C904" s="33" t="str">
        <x:v>TF5-KP13-V-36-41-K01-K01</x:v>
      </x:c>
      <x:c r="D904" s="12" t="str">
        <x:v>ЩРВ-П 36 бел. дверь IP41 TEKFOR IEK</x:v>
      </x:c>
      <x:c r="E904" s="11" t="str">
        <x:v>шт</x:v>
      </x:c>
      <x:c r="F904" s="35" t="n">
        <x:f>MAX(0,ROUNDDOWN((AG904-AF904)/AR904+0.000000001,0)*AR904)</x:f>
        <x:v>6</x:v>
      </x:c>
      <x:c r="G904" s="20" t="str">
        <x:f>IF(J904="Рассчитано",V904*(1-R904/100)-W904-P904-Q904,"н/д")</x:f>
        <x:v>н/д</x:v>
      </x:c>
      <x:c r="H904" s="12" t="str">
        <x:v>Высокий</x:v>
      </x:c>
      <x:c r="I904" s="12" t="str">
        <x:v>Средний</x:v>
      </x:c>
      <x:c r="J904" s="12" t="str">
        <x:f>IF(L904="","Укажите валюту",IF(NOT(ISNUMBER(K904)),"Укажите объём",IF(K904&lt;=0,"Укажите объём",IF(K904&gt;F904,"Объём выше излишка",IF(COUNT(M904:O904)&lt;3,"Нужны цены",IF(COUNT(P904:R904)&lt;3,"Нужны расходы",IF(OR(M904&lt;0,N904&lt;0,O904&lt;0,O904&gt;100,P904&lt;0,Q904&lt;0,R904&lt;0,R904&gt;100),"Проверьте значения","Рассчитано")))))))</x:f>
        <x:v>Нужны цены</x:v>
      </x:c>
      <x:c r="K904" s="36" t="n">
        <x:v>6</x:v>
      </x:c>
      <x:c r="L904" s="19" t="str">
        <x:v>KZT</x:v>
      </x:c>
      <x:c r="M904" s="22"/>
      <x:c r="N904" s="22"/>
      <x:c r="O904" s="28"/>
      <x:c r="P904" s="22"/>
      <x:c r="Q904" s="22"/>
      <x:c r="R904" s="28"/>
      <x:c r="S904" s="22"/>
      <x:c r="T904" s="35" t="n">
        <x:f>K904</x:f>
        <x:v>6</x:v>
      </x:c>
      <x:c r="U904" s="20" t="str">
        <x:f>IF(J904="Рассчитано",N904*(1-O904/100),"н/д")</x:f>
        <x:v>н/д</x:v>
      </x:c>
      <x:c r="V904" s="20" t="str">
        <x:f>IF(J904="Рассчитано",T904*U904,"н/д")</x:f>
        <x:v>н/д</x:v>
      </x:c>
      <x:c r="W904" s="20" t="str">
        <x:f>IF(J904="Рассчитано",T904*M904,"н/д")</x:f>
        <x:v>н/д</x:v>
      </x:c>
      <x:c r="X904" s="20" t="str">
        <x:f>IF(J904="Рассчитано",V904-W904,"н/д")</x:f>
        <x:v>н/д</x:v>
      </x:c>
      <x:c r="Y904" s="26" t="str">
        <x:f>IF(J904="Рассчитано",IF(V904&gt;0,G904/V904,"н/д"),"н/д")</x:f>
        <x:v>н/д</x:v>
      </x:c>
      <x:c r="Z904" s="20" t="str">
        <x:f>"н/д"</x:f>
        <x:v>н/д</x:v>
      </x:c>
      <x:c r="AA904" s="20" t="str">
        <x:f>"н/д"</x:f>
        <x:v>н/д</x:v>
      </x:c>
      <x:c r="AB904" s="20" t="str">
        <x:f>"н/д"</x:f>
        <x:v>н/д</x:v>
      </x:c>
      <x:c r="AC904" s="20" t="str">
        <x:f>IF(AND(J904="Рассчитано",T904&gt;0,R904&lt;100),(W904+P904+Q904)/(T904*(1-R904/100)),"н/д")</x:f>
        <x:v>н/д</x:v>
      </x:c>
      <x:c r="AD904" s="11" t="str">
        <x:f>IF(ISNUMBER(G904),IF(G904&lt;0,"Убыток",IF(G904=0,"Без прибыли","Прибыль &gt; 0")),"Не оценён")</x:f>
        <x:v>Не оценён</x:v>
      </x:c>
      <x:c r="AE904" s="12" t="str">
        <x:f>IF(J904="Рассчитано","Выручка "&amp;TEXT(V904,"0.00")&amp;" - себестоимость "&amp;TEXT(W904,"0.00")&amp;" - комиссия "&amp;TEXT(V904*R904/100,"0.00")&amp;" - доставка "&amp;TEXT(P904,"0.00")&amp;" - прочие "&amp;TEXT(Q904,"0.00")&amp;" = "&amp;TEXT(G904,"0.00")&amp;" "&amp;L904,"Введите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4" s="23" t="n">
        <x:v>13.256331118759014</x:v>
      </x:c>
      <x:c r="AG904" s="35" t="n">
        <x:v>20</x:v>
      </x:c>
      <x:c r="AH904" s="35" t="n">
        <x:v>0</x:v>
      </x:c>
      <x:c r="AI904" s="29" t="n">
        <x:v>46266</x:v>
      </x:c>
      <x:c r="AJ904" s="35" t="n">
        <x:v>1</x:v>
      </x:c>
      <x:c r="AK904" s="11" t="str">
        <x:v>минимум</x:v>
      </x:c>
      <x:c r="AL904" s="31" t="n">
        <x:v>128.2997164272555</x:v>
      </x:c>
      <x:c r="AM904" s="12" t="str">
        <x:v>Остаток на начало сентября; Резервы неизвестны; Нет ежедневных данных доступности. Запас выше прогноза на 90 дней</x:v>
      </x:c>
      <x:c r="AN904" s="12" t="str">
        <x:v>Проверить свободный остаток и установить цену для B2B</x:v>
      </x:c>
      <x:c r="AO904" s="12" t="str">
        <x:v>Остаток 20; прогноз 90 дней 13.26; избыток 6 шт. Будущие поступления не выставляются на продажу. Остаток на начало сентября: требуется актуализация.</x:v>
      </x:c>
      <x:c r="AP904" s="12" t="str">
        <x:v>["category_missing", "daily_stockout_data_missing", "new_order_lead_time_unknown", "reservations_unknown", "stale_stock"]</x:v>
      </x:c>
      <x:c r="AQ904" s="11" t="str">
        <x:v>IEK:251400037_</x:v>
      </x:c>
      <x:c r="AR904" s="23" t="n">
        <x:v>1</x:v>
      </x:c>
      <x:c r="AS904" s="23" t="n">
        <x:v>0</x:v>
      </x:c>
      <x:c r="AT904" s="23" t="n">
        <x:v>0</x:v>
      </x:c>
    </x:row>
    <x:row r="905" ht="64" customHeight="1">
      <x:c r="A905" s="10" t="str">
        <x:v>IEK</x:v>
      </x:c>
      <x:c r="B905" s="34" t="str">
        <x:v>251400039_</x:v>
      </x:c>
      <x:c r="C905" s="34" t="str">
        <x:v>TF5-KP12-V-08-41-K01-K03</x:v>
      </x:c>
      <x:c r="D905" s="13" t="str">
        <x:v>ЩРВ-П  8 черн. прозр. дверь IP41 TEKFOR IEK</x:v>
      </x:c>
      <x:c r="E905" s="10" t="str">
        <x:v>шт</x:v>
      </x:c>
      <x:c r="F905" s="37" t="n">
        <x:f>MAX(0,ROUNDDOWN((AG905-AF905)/AR905+0.000000001,0)*AR905)</x:f>
        <x:v>1</x:v>
      </x:c>
      <x:c r="G905" s="21" t="str">
        <x:f>IF(J905="Рассчитано",V905*(1-R905/100)-W905-P905-Q905,"н/д")</x:f>
        <x:v>н/д</x:v>
      </x:c>
      <x:c r="H905" s="13" t="str">
        <x:v>Высокий</x:v>
      </x:c>
      <x:c r="I905" s="13" t="str">
        <x:v>Средний</x:v>
      </x:c>
      <x:c r="J905" s="13" t="str">
        <x:f>IF(L905="","Укажите валюту",IF(NOT(ISNUMBER(K905)),"Укажите объём",IF(K905&lt;=0,"Укажите объём",IF(K905&gt;F905,"Объём выше излишка",IF(COUNT(M905:O905)&lt;3,"Нужны цены",IF(COUNT(P905:R905)&lt;3,"Нужны расходы",IF(OR(M905&lt;0,N905&lt;0,O905&lt;0,O905&gt;100,P905&lt;0,Q905&lt;0,R905&lt;0,R905&gt;100),"Проверьте значения","Рассчитано")))))))</x:f>
        <x:v>Нужны цены</x:v>
      </x:c>
      <x:c r="K905" s="36" t="n">
        <x:v>1</x:v>
      </x:c>
      <x:c r="L905" s="19" t="str">
        <x:v>KZT</x:v>
      </x:c>
      <x:c r="M905" s="22"/>
      <x:c r="N905" s="22"/>
      <x:c r="O905" s="28"/>
      <x:c r="P905" s="22"/>
      <x:c r="Q905" s="22"/>
      <x:c r="R905" s="28"/>
      <x:c r="S905" s="22"/>
      <x:c r="T905" s="37" t="n">
        <x:f>K905</x:f>
        <x:v>1</x:v>
      </x:c>
      <x:c r="U905" s="21" t="str">
        <x:f>IF(J905="Рассчитано",N905*(1-O905/100),"н/д")</x:f>
        <x:v>н/д</x:v>
      </x:c>
      <x:c r="V905" s="21" t="str">
        <x:f>IF(J905="Рассчитано",T905*U905,"н/д")</x:f>
        <x:v>н/д</x:v>
      </x:c>
      <x:c r="W905" s="21" t="str">
        <x:f>IF(J905="Рассчитано",T905*M905,"н/д")</x:f>
        <x:v>н/д</x:v>
      </x:c>
      <x:c r="X905" s="21" t="str">
        <x:f>IF(J905="Рассчитано",V905-W905,"н/д")</x:f>
        <x:v>н/д</x:v>
      </x:c>
      <x:c r="Y905" s="27" t="str">
        <x:f>IF(J905="Рассчитано",IF(V905&gt;0,G905/V905,"н/д"),"н/д")</x:f>
        <x:v>н/д</x:v>
      </x:c>
      <x:c r="Z905" s="21" t="str">
        <x:f>"н/д"</x:f>
        <x:v>н/д</x:v>
      </x:c>
      <x:c r="AA905" s="21" t="str">
        <x:f>"н/д"</x:f>
        <x:v>н/д</x:v>
      </x:c>
      <x:c r="AB905" s="21" t="str">
        <x:f>"н/д"</x:f>
        <x:v>н/д</x:v>
      </x:c>
      <x:c r="AC905" s="21" t="str">
        <x:f>IF(AND(J905="Рассчитано",T905&gt;0,R905&lt;100),(W905+P905+Q905)/(T905*(1-R905/100)),"н/д")</x:f>
        <x:v>н/д</x:v>
      </x:c>
      <x:c r="AD905" s="10" t="str">
        <x:f>IF(ISNUMBER(G905),IF(G905&lt;0,"Убыток",IF(G905=0,"Без прибыли","Прибыль &gt; 0")),"Не оценён")</x:f>
        <x:v>Не оценён</x:v>
      </x:c>
      <x:c r="AE905" s="13" t="str">
        <x:f>IF(J905="Рассчитано","Выручка "&amp;TEXT(V905,"0.00")&amp;" - себестоимость "&amp;TEXT(W905,"0.00")&amp;" - комиссия "&amp;TEXT(V905*R905/100,"0.00")&amp;" - доставка "&amp;TEXT(P905,"0.00")&amp;" - прочие "&amp;TEXT(Q905,"0.00")&amp;" = "&amp;TEXT(G905,"0.00")&amp;" "&amp;L905,"Введите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5" s="24" t="n">
        <x:v>3.646584056112948</x:v>
      </x:c>
      <x:c r="AG905" s="37" t="n">
        <x:v>5</x:v>
      </x:c>
      <x:c r="AH905" s="37" t="n">
        <x:v>0</x:v>
      </x:c>
      <x:c r="AI905" s="30" t="n">
        <x:v>46266</x:v>
      </x:c>
      <x:c r="AJ905" s="37" t="n">
        <x:v>1</x:v>
      </x:c>
      <x:c r="AK905" s="10" t="str">
        <x:v>минимум</x:v>
      </x:c>
      <x:c r="AL905" s="32" t="n">
        <x:v>116.6011462529894</x:v>
      </x:c>
      <x:c r="AM905" s="13" t="str">
        <x:v>Остаток на начало сентября; Резервы неизвестны; Нет ежедневных данных доступности. Запас выше прогноза на 90 дней</x:v>
      </x:c>
      <x:c r="AN905" s="13" t="str">
        <x:v>Проверить свободный остаток и установить цену для B2B</x:v>
      </x:c>
      <x:c r="AO905" s="13" t="str">
        <x:v>Остаток 5; прогноз 90 дней 3.65; избыток 1 шт. Будущие поступления не выставляются на продажу. Остаток на начало сентября: требуется актуализация.</x:v>
      </x:c>
      <x:c r="AP905" s="13" t="str">
        <x:v>["category_missing", "daily_stockout_data_missing", "new_order_lead_time_unknown", "reservations_unknown", "stale_stock"]</x:v>
      </x:c>
      <x:c r="AQ905" s="10" t="str">
        <x:v>IEK:251400039_</x:v>
      </x:c>
      <x:c r="AR905" s="24" t="n">
        <x:v>1</x:v>
      </x:c>
      <x:c r="AS905" s="24" t="n">
        <x:v>0</x:v>
      </x:c>
      <x:c r="AT905" s="24" t="n">
        <x:v>0</x:v>
      </x:c>
    </x:row>
    <x:row r="906" ht="64" customHeight="1">
      <x:c r="A906" s="11" t="str">
        <x:v>IEK</x:v>
      </x:c>
      <x:c r="B906" s="33" t="str">
        <x:v>251400040_</x:v>
      </x:c>
      <x:c r="C906" s="33" t="str">
        <x:v>TF5-KP12-N-08-41-K01-K03</x:v>
      </x:c>
      <x:c r="D906" s="12" t="str">
        <x:v>ЩРН-П  8  черн. прозр. дверь IP41 TEKFOR IEK</x:v>
      </x:c>
      <x:c r="E906" s="11" t="str">
        <x:v>шт</x:v>
      </x:c>
      <x:c r="F906" s="35" t="n">
        <x:f>MAX(0,ROUNDDOWN((AG906-AF906)/AR906+0.000000001,0)*AR906)</x:f>
        <x:v>68</x:v>
      </x:c>
      <x:c r="G906" s="20" t="str">
        <x:f>IF(J906="Рассчитано",V906*(1-R906/100)-W906-P906-Q906,"н/д")</x:f>
        <x:v>н/д</x:v>
      </x:c>
      <x:c r="H906" s="12" t="str">
        <x:v>Высокий</x:v>
      </x:c>
      <x:c r="I906" s="12" t="str">
        <x:v>Высокий</x:v>
      </x:c>
      <x:c r="J906" s="12" t="str">
        <x:f>IF(L906="","Укажите валюту",IF(NOT(ISNUMBER(K906)),"Укажите объём",IF(K906&lt;=0,"Укажите объём",IF(K906&gt;F906,"Объём выше излишка",IF(COUNT(M906:O906)&lt;3,"Нужны цены",IF(COUNT(P906:R906)&lt;3,"Нужны расходы",IF(OR(M906&lt;0,N906&lt;0,O906&lt;0,O906&gt;100,P906&lt;0,Q906&lt;0,R906&lt;0,R906&gt;100),"Проверьте значения","Рассчитано")))))))</x:f>
        <x:v>Нужны цены</x:v>
      </x:c>
      <x:c r="K906" s="36" t="n">
        <x:v>68</x:v>
      </x:c>
      <x:c r="L906" s="19" t="str">
        <x:v>KZT</x:v>
      </x:c>
      <x:c r="M906" s="22"/>
      <x:c r="N906" s="22"/>
      <x:c r="O906" s="28"/>
      <x:c r="P906" s="22"/>
      <x:c r="Q906" s="22"/>
      <x:c r="R906" s="28"/>
      <x:c r="S906" s="22"/>
      <x:c r="T906" s="35" t="n">
        <x:f>K906</x:f>
        <x:v>68</x:v>
      </x:c>
      <x:c r="U906" s="20" t="str">
        <x:f>IF(J906="Рассчитано",N906*(1-O906/100),"н/д")</x:f>
        <x:v>н/д</x:v>
      </x:c>
      <x:c r="V906" s="20" t="str">
        <x:f>IF(J906="Рассчитано",T906*U906,"н/д")</x:f>
        <x:v>н/д</x:v>
      </x:c>
      <x:c r="W906" s="20" t="str">
        <x:f>IF(J906="Рассчитано",T906*M906,"н/д")</x:f>
        <x:v>н/д</x:v>
      </x:c>
      <x:c r="X906" s="20" t="str">
        <x:f>IF(J906="Рассчитано",V906-W906,"н/д")</x:f>
        <x:v>н/д</x:v>
      </x:c>
      <x:c r="Y906" s="26" t="str">
        <x:f>IF(J906="Рассчитано",IF(V906&gt;0,G906/V906,"н/д"),"н/д")</x:f>
        <x:v>н/д</x:v>
      </x:c>
      <x:c r="Z906" s="20" t="str">
        <x:f>"н/д"</x:f>
        <x:v>н/д</x:v>
      </x:c>
      <x:c r="AA906" s="20" t="str">
        <x:f>"н/д"</x:f>
        <x:v>н/д</x:v>
      </x:c>
      <x:c r="AB906" s="20" t="str">
        <x:f>"н/д"</x:f>
        <x:v>н/д</x:v>
      </x:c>
      <x:c r="AC906" s="20" t="str">
        <x:f>IF(AND(J906="Рассчитано",T906&gt;0,R906&lt;100),(W906+P906+Q906)/(T906*(1-R906/100)),"н/д")</x:f>
        <x:v>н/д</x:v>
      </x:c>
      <x:c r="AD906" s="11" t="str">
        <x:f>IF(ISNUMBER(G906),IF(G906&lt;0,"Убыток",IF(G906=0,"Без прибыли","Прибыль &gt; 0")),"Не оценён")</x:f>
        <x:v>Не оценён</x:v>
      </x:c>
      <x:c r="AE906" s="12" t="str">
        <x:f>IF(J906="Рассчитано","Выручка "&amp;TEXT(V906,"0.00")&amp;" - себестоимость "&amp;TEXT(W906,"0.00")&amp;" - комиссия "&amp;TEXT(V906*R906/100,"0.00")&amp;" - доставка "&amp;TEXT(P906,"0.00")&amp;" - прочие "&amp;TEXT(Q906,"0.00")&amp;" = "&amp;TEXT(G906,"0.00")&amp;" "&amp;L906,"Введите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6" s="23" t="n">
        <x:v>8.140772590040367</x:v>
      </x:c>
      <x:c r="AG906" s="35" t="n">
        <x:v>77</x:v>
      </x:c>
      <x:c r="AH906" s="35" t="n">
        <x:v>0</x:v>
      </x:c>
      <x:c r="AI906" s="29" t="n">
        <x:v>46266</x:v>
      </x:c>
      <x:c r="AJ906" s="35" t="n">
        <x:v>1</x:v>
      </x:c>
      <x:c r="AK906" s="11" t="str">
        <x:v>минимум</x:v>
      </x:c>
      <x:c r="AL906" s="31" t="n">
        <x:v>804.3482965131519</x:v>
      </x:c>
      <x:c r="AM90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06" s="12" t="str">
        <x:v>Проверить свободный остаток и установить цену для B2B</x:v>
      </x:c>
      <x:c r="AO906" s="12" t="str">
        <x:v>Остаток 77; прогноз 90 дней 8.14; избыток 68 шт. Будущие поступления не выставляются на продажу. Остаток на начало сентября: требуется актуализация.</x:v>
      </x:c>
      <x:c r="AP906" s="12" t="str">
        <x:v>["category_missing", "daily_stockout_data_missing", "large_orders_detected", "new_order_lead_time_unknown", "reservations_unknown", "stale_stock"]</x:v>
      </x:c>
      <x:c r="AQ906" s="11" t="str">
        <x:v>IEK:251400040_</x:v>
      </x:c>
      <x:c r="AR906" s="23" t="n">
        <x:v>1</x:v>
      </x:c>
      <x:c r="AS906" s="23" t="n">
        <x:v>0</x:v>
      </x:c>
      <x:c r="AT906" s="23" t="n">
        <x:v>0</x:v>
      </x:c>
    </x:row>
    <x:row r="907" ht="64" customHeight="1">
      <x:c r="A907" s="10" t="str">
        <x:v>IEK</x:v>
      </x:c>
      <x:c r="B907" s="34" t="str">
        <x:v>251400041_</x:v>
      </x:c>
      <x:c r="C907" s="34" t="str">
        <x:v>TF5-KP12-N-12-41-K01-K03</x:v>
      </x:c>
      <x:c r="D907" s="13" t="str">
        <x:v>ЩРН-П 12 черн. прозр. дверь IP41 TEKFOR IEK</x:v>
      </x:c>
      <x:c r="E907" s="10" t="str">
        <x:v>шт</x:v>
      </x:c>
      <x:c r="F907" s="37" t="n">
        <x:f>MAX(0,ROUNDDOWN((AG907-AF907)/AR907+0.000000001,0)*AR907)</x:f>
        <x:v>8</x:v>
      </x:c>
      <x:c r="G907" s="21" t="str">
        <x:f>IF(J907="Рассчитано",V907*(1-R907/100)-W907-P907-Q907,"н/д")</x:f>
        <x:v>н/д</x:v>
      </x:c>
      <x:c r="H907" s="13" t="str">
        <x:v>Высокий</x:v>
      </x:c>
      <x:c r="I907" s="13" t="str">
        <x:v>Средний</x:v>
      </x:c>
      <x:c r="J907" s="13" t="str">
        <x:f>IF(L907="","Укажите валюту",IF(NOT(ISNUMBER(K907)),"Укажите объём",IF(K907&lt;=0,"Укажите объём",IF(K907&gt;F907,"Объём выше излишка",IF(COUNT(M907:O907)&lt;3,"Нужны цены",IF(COUNT(P907:R907)&lt;3,"Нужны расходы",IF(OR(M907&lt;0,N907&lt;0,O907&lt;0,O907&gt;100,P907&lt;0,Q907&lt;0,R907&lt;0,R907&gt;100),"Проверьте значения","Рассчитано")))))))</x:f>
        <x:v>Нужны цены</x:v>
      </x:c>
      <x:c r="K907" s="36" t="n">
        <x:v>8</x:v>
      </x:c>
      <x:c r="L907" s="19" t="str">
        <x:v>KZT</x:v>
      </x:c>
      <x:c r="M907" s="22"/>
      <x:c r="N907" s="22"/>
      <x:c r="O907" s="28"/>
      <x:c r="P907" s="22"/>
      <x:c r="Q907" s="22"/>
      <x:c r="R907" s="28"/>
      <x:c r="S907" s="22"/>
      <x:c r="T907" s="37" t="n">
        <x:f>K907</x:f>
        <x:v>8</x:v>
      </x:c>
      <x:c r="U907" s="21" t="str">
        <x:f>IF(J907="Рассчитано",N907*(1-O907/100),"н/д")</x:f>
        <x:v>н/д</x:v>
      </x:c>
      <x:c r="V907" s="21" t="str">
        <x:f>IF(J907="Рассчитано",T907*U907,"н/д")</x:f>
        <x:v>н/д</x:v>
      </x:c>
      <x:c r="W907" s="21" t="str">
        <x:f>IF(J907="Рассчитано",T907*M907,"н/д")</x:f>
        <x:v>н/д</x:v>
      </x:c>
      <x:c r="X907" s="21" t="str">
        <x:f>IF(J907="Рассчитано",V907-W907,"н/д")</x:f>
        <x:v>н/д</x:v>
      </x:c>
      <x:c r="Y907" s="27" t="str">
        <x:f>IF(J907="Рассчитано",IF(V907&gt;0,G907/V907,"н/д"),"н/д")</x:f>
        <x:v>н/д</x:v>
      </x:c>
      <x:c r="Z907" s="21" t="str">
        <x:f>"н/д"</x:f>
        <x:v>н/д</x:v>
      </x:c>
      <x:c r="AA907" s="21" t="str">
        <x:f>"н/д"</x:f>
        <x:v>н/д</x:v>
      </x:c>
      <x:c r="AB907" s="21" t="str">
        <x:f>"н/д"</x:f>
        <x:v>н/д</x:v>
      </x:c>
      <x:c r="AC907" s="21" t="str">
        <x:f>IF(AND(J907="Рассчитано",T907&gt;0,R907&lt;100),(W907+P907+Q907)/(T907*(1-R907/100)),"н/д")</x:f>
        <x:v>н/д</x:v>
      </x:c>
      <x:c r="AD907" s="10" t="str">
        <x:f>IF(ISNUMBER(G907),IF(G907&lt;0,"Убыток",IF(G907=0,"Без прибыли","Прибыль &gt; 0")),"Не оценён")</x:f>
        <x:v>Не оценён</x:v>
      </x:c>
      <x:c r="AE907" s="13" t="str">
        <x:f>IF(J907="Рассчитано","Выручка "&amp;TEXT(V907,"0.00")&amp;" - себестоимость "&amp;TEXT(W907,"0.00")&amp;" - комиссия "&amp;TEXT(V907*R907/100,"0.00")&amp;" - доставка "&amp;TEXT(P907,"0.00")&amp;" - прочие "&amp;TEXT(Q907,"0.00")&amp;" = "&amp;TEXT(G907,"0.00")&amp;" "&amp;L907,"Введите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7" s="24" t="n">
        <x:v>13.086897014990628</x:v>
      </x:c>
      <x:c r="AG907" s="37" t="n">
        <x:v>22</x:v>
      </x:c>
      <x:c r="AH907" s="37" t="n">
        <x:v>0</x:v>
      </x:c>
      <x:c r="AI907" s="30" t="n">
        <x:v>46266</x:v>
      </x:c>
      <x:c r="AJ907" s="37" t="n">
        <x:v>1</x:v>
      </x:c>
      <x:c r="AK907" s="10" t="str">
        <x:v>минимум</x:v>
      </x:c>
      <x:c r="AL907" s="32" t="n">
        <x:v>142.95687309221017</x:v>
      </x:c>
      <x:c r="AM907" s="13" t="str">
        <x:v>Остаток на начало сентября; Резервы неизвестны; Нет ежедневных данных доступности. Запас выше прогноза на 90 дней</x:v>
      </x:c>
      <x:c r="AN907" s="13" t="str">
        <x:v>Проверить свободный остаток и установить цену для B2B</x:v>
      </x:c>
      <x:c r="AO907" s="13" t="str">
        <x:v>Остаток 22; прогноз 90 дней 13.09; избыток 8 шт. Будущие поступления не выставляются на продажу. Остаток на начало сентября: требуется актуализация.</x:v>
      </x:c>
      <x:c r="AP907" s="13" t="str">
        <x:v>["category_missing", "daily_stockout_data_missing", "new_order_lead_time_unknown", "reservations_unknown", "stale_stock"]</x:v>
      </x:c>
      <x:c r="AQ907" s="10" t="str">
        <x:v>IEK:251400041_</x:v>
      </x:c>
      <x:c r="AR907" s="24" t="n">
        <x:v>1</x:v>
      </x:c>
      <x:c r="AS907" s="24" t="n">
        <x:v>0</x:v>
      </x:c>
      <x:c r="AT907" s="24" t="n">
        <x:v>0</x:v>
      </x:c>
    </x:row>
    <x:row r="908" ht="64" customHeight="1">
      <x:c r="A908" s="11" t="str">
        <x:v>IEK</x:v>
      </x:c>
      <x:c r="B908" s="33" t="str">
        <x:v>251400045_</x:v>
      </x:c>
      <x:c r="C908" s="33" t="str">
        <x:v>TFM-KP73-N-02-41-K01-K01</x:v>
      </x:c>
      <x:c r="D908" s="12" t="str">
        <x:v>КМПн 2 белый IP41 TEKFOR Mini  IEK</x:v>
      </x:c>
      <x:c r="E908" s="11" t="str">
        <x:v>шт</x:v>
      </x:c>
      <x:c r="F908" s="35" t="n">
        <x:f>MAX(0,ROUNDDOWN((AG908-AF908)/AR908+0.000000001,0)*AR908)</x:f>
        <x:v>32</x:v>
      </x:c>
      <x:c r="G908" s="20" t="str">
        <x:f>IF(J908="Рассчитано",V908*(1-R908/100)-W908-P908-Q908,"н/д")</x:f>
        <x:v>н/д</x:v>
      </x:c>
      <x:c r="H908" s="12" t="str">
        <x:v>Высокий</x:v>
      </x:c>
      <x:c r="I908" s="12" t="str">
        <x:v>Высокий</x:v>
      </x:c>
      <x:c r="J908" s="12" t="str">
        <x:f>IF(L908="","Укажите валюту",IF(NOT(ISNUMBER(K908)),"Укажите объём",IF(K908&lt;=0,"Укажите объём",IF(K908&gt;F908,"Объём выше излишка",IF(COUNT(M908:O908)&lt;3,"Нужны цены",IF(COUNT(P908:R908)&lt;3,"Нужны расходы",IF(OR(M908&lt;0,N908&lt;0,O908&lt;0,O908&gt;100,P908&lt;0,Q908&lt;0,R908&lt;0,R908&gt;100),"Проверьте значения","Рассчитано")))))))</x:f>
        <x:v>Нужны цены</x:v>
      </x:c>
      <x:c r="K908" s="36" t="n">
        <x:v>32</x:v>
      </x:c>
      <x:c r="L908" s="19" t="str">
        <x:v>KZT</x:v>
      </x:c>
      <x:c r="M908" s="22"/>
      <x:c r="N908" s="22"/>
      <x:c r="O908" s="28"/>
      <x:c r="P908" s="22"/>
      <x:c r="Q908" s="22"/>
      <x:c r="R908" s="28"/>
      <x:c r="S908" s="22"/>
      <x:c r="T908" s="35" t="n">
        <x:f>K908</x:f>
        <x:v>32</x:v>
      </x:c>
      <x:c r="U908" s="20" t="str">
        <x:f>IF(J908="Рассчитано",N908*(1-O908/100),"н/д")</x:f>
        <x:v>н/д</x:v>
      </x:c>
      <x:c r="V908" s="20" t="str">
        <x:f>IF(J908="Рассчитано",T908*U908,"н/д")</x:f>
        <x:v>н/д</x:v>
      </x:c>
      <x:c r="W908" s="20" t="str">
        <x:f>IF(J908="Рассчитано",T908*M908,"н/д")</x:f>
        <x:v>н/д</x:v>
      </x:c>
      <x:c r="X908" s="20" t="str">
        <x:f>IF(J908="Рассчитано",V908-W908,"н/д")</x:f>
        <x:v>н/д</x:v>
      </x:c>
      <x:c r="Y908" s="26" t="str">
        <x:f>IF(J908="Рассчитано",IF(V908&gt;0,G908/V908,"н/д"),"н/д")</x:f>
        <x:v>н/д</x:v>
      </x:c>
      <x:c r="Z908" s="20" t="str">
        <x:f>"н/д"</x:f>
        <x:v>н/д</x:v>
      </x:c>
      <x:c r="AA908" s="20" t="str">
        <x:f>"н/д"</x:f>
        <x:v>н/д</x:v>
      </x:c>
      <x:c r="AB908" s="20" t="str">
        <x:f>"н/д"</x:f>
        <x:v>н/д</x:v>
      </x:c>
      <x:c r="AC908" s="20" t="str">
        <x:f>IF(AND(J908="Рассчитано",T908&gt;0,R908&lt;100),(W908+P908+Q908)/(T908*(1-R908/100)),"н/д")</x:f>
        <x:v>н/д</x:v>
      </x:c>
      <x:c r="AD908" s="11" t="str">
        <x:f>IF(ISNUMBER(G908),IF(G908&lt;0,"Убыток",IF(G908=0,"Без прибыли","Прибыль &gt; 0")),"Не оценён")</x:f>
        <x:v>Не оценён</x:v>
      </x:c>
      <x:c r="AE908" s="12" t="str">
        <x:f>IF(J908="Рассчитано","Выручка "&amp;TEXT(V908,"0.00")&amp;" - себестоимость "&amp;TEXT(W908,"0.00")&amp;" - комиссия "&amp;TEXT(V908*R908/100,"0.00")&amp;" - доставка "&amp;TEXT(P908,"0.00")&amp;" - прочие "&amp;TEXT(Q908,"0.00")&amp;" = "&amp;TEXT(G908,"0.00")&amp;" "&amp;L908,"Введите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8" s="23" t="n">
        <x:v>25.075080344953648</x:v>
      </x:c>
      <x:c r="AG908" s="35" t="n">
        <x:v>58</x:v>
      </x:c>
      <x:c r="AH908" s="35" t="n">
        <x:v>0</x:v>
      </x:c>
      <x:c r="AI908" s="29" t="n">
        <x:v>46266</x:v>
      </x:c>
      <x:c r="AJ908" s="35" t="n">
        <x:v>12</x:v>
      </x:c>
      <x:c r="AK908" s="11" t="str">
        <x:v>минимум</x:v>
      </x:c>
      <x:c r="AL908" s="31" t="n">
        <x:v>196.70015609182727</x:v>
      </x:c>
      <x:c r="AM90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08" s="12" t="str">
        <x:v>Проверить свободный остаток и установить цену для B2B</x:v>
      </x:c>
      <x:c r="AO908" s="12" t="str">
        <x:v>Остаток 58; прогноз 90 дней 25.08; избыток 32 шт. Будущие поступления не выставляются на продажу. Остаток на начало сентября: требуется актуализация.</x:v>
      </x:c>
      <x:c r="AP908" s="12" t="str">
        <x:v>["category_missing", "daily_stockout_data_missing", "new_order_lead_time_unknown", "reservations_unknown", "stale_stock"]</x:v>
      </x:c>
      <x:c r="AQ908" s="11" t="str">
        <x:v>IEK:251400045_</x:v>
      </x:c>
      <x:c r="AR908" s="23" t="n">
        <x:v>1</x:v>
      </x:c>
      <x:c r="AS908" s="23" t="n">
        <x:v>0</x:v>
      </x:c>
      <x:c r="AT908" s="23" t="n">
        <x:v>0</x:v>
      </x:c>
    </x:row>
    <x:row r="909" ht="64" customHeight="1">
      <x:c r="A909" s="10" t="str">
        <x:v>IEK</x:v>
      </x:c>
      <x:c r="B909" s="34" t="str">
        <x:v>251400046_</x:v>
      </x:c>
      <x:c r="C909" s="34" t="str">
        <x:v>TFM-KP73-N-04-41-K01-K01</x:v>
      </x:c>
      <x:c r="D909" s="13" t="str">
        <x:v>КМПн 4 белый IP41 TEKFOR Mini  IEK</x:v>
      </x:c>
      <x:c r="E909" s="10" t="str">
        <x:v>шт</x:v>
      </x:c>
      <x:c r="F909" s="37" t="n">
        <x:f>MAX(0,ROUNDDOWN((AG909-AF909)/AR909+0.000000001,0)*AR909)</x:f>
        <x:v>4</x:v>
      </x:c>
      <x:c r="G909" s="21" t="str">
        <x:f>IF(J909="Рассчитано",V909*(1-R909/100)-W909-P909-Q909,"н/д")</x:f>
        <x:v>н/д</x:v>
      </x:c>
      <x:c r="H909" s="13" t="str">
        <x:v>Высокий</x:v>
      </x:c>
      <x:c r="I909" s="13" t="str">
        <x:v>Средний</x:v>
      </x:c>
      <x:c r="J909" s="13" t="str">
        <x:f>IF(L909="","Укажите валюту",IF(NOT(ISNUMBER(K909)),"Укажите объём",IF(K909&lt;=0,"Укажите объём",IF(K909&gt;F909,"Объём выше излишка",IF(COUNT(M909:O909)&lt;3,"Нужны цены",IF(COUNT(P909:R909)&lt;3,"Нужны расходы",IF(OR(M909&lt;0,N909&lt;0,O909&lt;0,O909&gt;100,P909&lt;0,Q909&lt;0,R909&lt;0,R909&gt;100),"Проверьте значения","Рассчитано")))))))</x:f>
        <x:v>Нужны цены</x:v>
      </x:c>
      <x:c r="K909" s="36" t="n">
        <x:v>4</x:v>
      </x:c>
      <x:c r="L909" s="19" t="str">
        <x:v>KZT</x:v>
      </x:c>
      <x:c r="M909" s="22"/>
      <x:c r="N909" s="22"/>
      <x:c r="O909" s="28"/>
      <x:c r="P909" s="22"/>
      <x:c r="Q909" s="22"/>
      <x:c r="R909" s="28"/>
      <x:c r="S909" s="22"/>
      <x:c r="T909" s="37" t="n">
        <x:f>K909</x:f>
        <x:v>4</x:v>
      </x:c>
      <x:c r="U909" s="21" t="str">
        <x:f>IF(J909="Рассчитано",N909*(1-O909/100),"н/д")</x:f>
        <x:v>н/д</x:v>
      </x:c>
      <x:c r="V909" s="21" t="str">
        <x:f>IF(J909="Рассчитано",T909*U909,"н/д")</x:f>
        <x:v>н/д</x:v>
      </x:c>
      <x:c r="W909" s="21" t="str">
        <x:f>IF(J909="Рассчитано",T909*M909,"н/д")</x:f>
        <x:v>н/д</x:v>
      </x:c>
      <x:c r="X909" s="21" t="str">
        <x:f>IF(J909="Рассчитано",V909-W909,"н/д")</x:f>
        <x:v>н/д</x:v>
      </x:c>
      <x:c r="Y909" s="27" t="str">
        <x:f>IF(J909="Рассчитано",IF(V909&gt;0,G909/V909,"н/д"),"н/д")</x:f>
        <x:v>н/д</x:v>
      </x:c>
      <x:c r="Z909" s="21" t="str">
        <x:f>"н/д"</x:f>
        <x:v>н/д</x:v>
      </x:c>
      <x:c r="AA909" s="21" t="str">
        <x:f>"н/д"</x:f>
        <x:v>н/д</x:v>
      </x:c>
      <x:c r="AB909" s="21" t="str">
        <x:f>"н/д"</x:f>
        <x:v>н/д</x:v>
      </x:c>
      <x:c r="AC909" s="21" t="str">
        <x:f>IF(AND(J909="Рассчитано",T909&gt;0,R909&lt;100),(W909+P909+Q909)/(T909*(1-R909/100)),"н/д")</x:f>
        <x:v>н/д</x:v>
      </x:c>
      <x:c r="AD909" s="10" t="str">
        <x:f>IF(ISNUMBER(G909),IF(G909&lt;0,"Убыток",IF(G909=0,"Без прибыли","Прибыль &gt; 0")),"Не оценён")</x:f>
        <x:v>Не оценён</x:v>
      </x:c>
      <x:c r="AE909" s="13" t="str">
        <x:f>IF(J909="Рассчитано","Выручка "&amp;TEXT(V909,"0.00")&amp;" - себестоимость "&amp;TEXT(W909,"0.00")&amp;" - комиссия "&amp;TEXT(V909*R909/100,"0.00")&amp;" - доставка "&amp;TEXT(P909,"0.00")&amp;" - прочие "&amp;TEXT(Q909,"0.00")&amp;" = "&amp;TEXT(G909,"0.00")&amp;" "&amp;L909,"Введите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9" s="24" t="n">
        <x:v>22.41564062462306</x:v>
      </x:c>
      <x:c r="AG909" s="37" t="n">
        <x:v>27</x:v>
      </x:c>
      <x:c r="AH909" s="37" t="n">
        <x:v>0</x:v>
      </x:c>
      <x:c r="AI909" s="30" t="n">
        <x:v>46266</x:v>
      </x:c>
      <x:c r="AJ909" s="37" t="n">
        <x:v>12</x:v>
      </x:c>
      <x:c r="AK909" s="10" t="str">
        <x:v>минимум</x:v>
      </x:c>
      <x:c r="AL909" s="32" t="n">
        <x:v>102.43105673595265</x:v>
      </x:c>
      <x:c r="AM909" s="13" t="str">
        <x:v>Остаток на начало сентября; Резервы неизвестны; Нет ежедневных данных доступности. Запас выше прогноза на 90 дней</x:v>
      </x:c>
      <x:c r="AN909" s="13" t="str">
        <x:v>Проверить свободный остаток и установить цену для B2B</x:v>
      </x:c>
      <x:c r="AO909" s="13" t="str">
        <x:v>Остаток 27; прогноз 90 дней 22.42; избыток 4 шт. Будущие поступления не выставляются на продажу. Остаток на начало сентября: требуется актуализация.</x:v>
      </x:c>
      <x:c r="AP909" s="13" t="str">
        <x:v>["category_missing", "daily_stockout_data_missing", "new_order_lead_time_unknown", "reservations_unknown", "stale_stock"]</x:v>
      </x:c>
      <x:c r="AQ909" s="10" t="str">
        <x:v>IEK:251400046_</x:v>
      </x:c>
      <x:c r="AR909" s="24" t="n">
        <x:v>1</x:v>
      </x:c>
      <x:c r="AS909" s="24" t="n">
        <x:v>0</x:v>
      </x:c>
      <x:c r="AT909" s="24" t="n">
        <x:v>0</x:v>
      </x:c>
    </x:row>
    <x:row r="910" ht="64" customHeight="1">
      <x:c r="A910" s="11" t="str">
        <x:v>IEK</x:v>
      </x:c>
      <x:c r="B910" s="33" t="str">
        <x:v>251400047_</x:v>
      </x:c>
      <x:c r="C910" s="33" t="str">
        <x:v>TFM-KP73-N-06-41-K01-K01</x:v>
      </x:c>
      <x:c r="D910" s="12" t="str">
        <x:v>КМПн 6 белый IP41 TEKFOR Mini  IEK</x:v>
      </x:c>
      <x:c r="E910" s="11" t="str">
        <x:v>шт</x:v>
      </x:c>
      <x:c r="F910" s="35" t="n">
        <x:f>MAX(0,ROUNDDOWN((AG910-AF910)/AR910+0.000000001,0)*AR910)</x:f>
        <x:v>63</x:v>
      </x:c>
      <x:c r="G910" s="20" t="str">
        <x:f>IF(J910="Рассчитано",V910*(1-R910/100)-W910-P910-Q910,"н/д")</x:f>
        <x:v>н/д</x:v>
      </x:c>
      <x:c r="H910" s="12" t="str">
        <x:v>Высокий</x:v>
      </x:c>
      <x:c r="I910" s="12" t="str">
        <x:v>Высокий</x:v>
      </x:c>
      <x:c r="J910" s="12" t="str">
        <x:f>IF(L910="","Укажите валюту",IF(NOT(ISNUMBER(K910)),"Укажите объём",IF(K910&lt;=0,"Укажите объём",IF(K910&gt;F910,"Объём выше излишка",IF(COUNT(M910:O910)&lt;3,"Нужны цены",IF(COUNT(P910:R910)&lt;3,"Нужны расходы",IF(OR(M910&lt;0,N910&lt;0,O910&lt;0,O910&gt;100,P910&lt;0,Q910&lt;0,R910&lt;0,R910&gt;100),"Проверьте значения","Рассчитано")))))))</x:f>
        <x:v>Нужны цены</x:v>
      </x:c>
      <x:c r="K910" s="36" t="n">
        <x:v>63</x:v>
      </x:c>
      <x:c r="L910" s="19" t="str">
        <x:v>KZT</x:v>
      </x:c>
      <x:c r="M910" s="22"/>
      <x:c r="N910" s="22"/>
      <x:c r="O910" s="28"/>
      <x:c r="P910" s="22"/>
      <x:c r="Q910" s="22"/>
      <x:c r="R910" s="28"/>
      <x:c r="S910" s="22"/>
      <x:c r="T910" s="35" t="n">
        <x:f>K910</x:f>
        <x:v>63</x:v>
      </x:c>
      <x:c r="U910" s="20" t="str">
        <x:f>IF(J910="Рассчитано",N910*(1-O910/100),"н/д")</x:f>
        <x:v>н/д</x:v>
      </x:c>
      <x:c r="V910" s="20" t="str">
        <x:f>IF(J910="Рассчитано",T910*U910,"н/д")</x:f>
        <x:v>н/д</x:v>
      </x:c>
      <x:c r="W910" s="20" t="str">
        <x:f>IF(J910="Рассчитано",T910*M910,"н/д")</x:f>
        <x:v>н/д</x:v>
      </x:c>
      <x:c r="X910" s="20" t="str">
        <x:f>IF(J910="Рассчитано",V910-W910,"н/д")</x:f>
        <x:v>н/д</x:v>
      </x:c>
      <x:c r="Y910" s="26" t="str">
        <x:f>IF(J910="Рассчитано",IF(V910&gt;0,G910/V910,"н/д"),"н/д")</x:f>
        <x:v>н/д</x:v>
      </x:c>
      <x:c r="Z910" s="20" t="str">
        <x:f>"н/д"</x:f>
        <x:v>н/д</x:v>
      </x:c>
      <x:c r="AA910" s="20" t="str">
        <x:f>"н/д"</x:f>
        <x:v>н/д</x:v>
      </x:c>
      <x:c r="AB910" s="20" t="str">
        <x:f>"н/д"</x:f>
        <x:v>н/д</x:v>
      </x:c>
      <x:c r="AC910" s="20" t="str">
        <x:f>IF(AND(J910="Рассчитано",T910&gt;0,R910&lt;100),(W910+P910+Q910)/(T910*(1-R910/100)),"н/д")</x:f>
        <x:v>н/д</x:v>
      </x:c>
      <x:c r="AD910" s="11" t="str">
        <x:f>IF(ISNUMBER(G910),IF(G910&lt;0,"Убыток",IF(G910=0,"Без прибыли","Прибыль &gt; 0")),"Не оценён")</x:f>
        <x:v>Не оценён</x:v>
      </x:c>
      <x:c r="AE910" s="12" t="str">
        <x:f>IF(J910="Рассчитано","Выручка "&amp;TEXT(V910,"0.00")&amp;" - себестоимость "&amp;TEXT(W910,"0.00")&amp;" - комиссия "&amp;TEXT(V910*R910/100,"0.00")&amp;" - доставка "&amp;TEXT(P910,"0.00")&amp;" - прочие "&amp;TEXT(Q910,"0.00")&amp;" = "&amp;TEXT(G910,"0.00")&amp;" "&amp;L910,"Введите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0" s="23" t="n">
        <x:v>7.867292424196707</x:v>
      </x:c>
      <x:c r="AG910" s="35" t="n">
        <x:v>71</x:v>
      </x:c>
      <x:c r="AH910" s="35" t="n">
        <x:v>0</x:v>
      </x:c>
      <x:c r="AI910" s="29" t="n">
        <x:v>46266</x:v>
      </x:c>
      <x:c r="AJ910" s="35" t="n">
        <x:v>8</x:v>
      </x:c>
      <x:c r="AK910" s="11" t="str">
        <x:v>минимум</x:v>
      </x:c>
      <x:c r="AL910" s="31" t="n">
        <x:v>767.4535510475388</x:v>
      </x:c>
      <x:c r="AM91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10" s="12" t="str">
        <x:v>Проверить свободный остаток и установить цену для B2B</x:v>
      </x:c>
      <x:c r="AO910" s="12" t="str">
        <x:v>Остаток 71; прогноз 90 дней 7.87; избыток 63 шт. Будущие поступления не выставляются на продажу. Остаток на начало сентября: требуется актуализация.</x:v>
      </x:c>
      <x:c r="AP910" s="12" t="str">
        <x:v>["category_missing", "daily_stockout_data_missing", "large_orders_detected", "new_order_lead_time_unknown", "reservations_unknown", "stale_stock"]</x:v>
      </x:c>
      <x:c r="AQ910" s="11" t="str">
        <x:v>IEK:251400047_</x:v>
      </x:c>
      <x:c r="AR910" s="23" t="n">
        <x:v>1</x:v>
      </x:c>
      <x:c r="AS910" s="23" t="n">
        <x:v>0</x:v>
      </x:c>
      <x:c r="AT910" s="23" t="n">
        <x:v>0</x:v>
      </x:c>
    </x:row>
    <x:row r="911" ht="64" customHeight="1">
      <x:c r="A911" s="10" t="str">
        <x:v>IEK</x:v>
      </x:c>
      <x:c r="B911" s="34" t="str">
        <x:v>251400048_</x:v>
      </x:c>
      <x:c r="C911" s="34" t="str">
        <x:v>UIC-KP12-N-04-41-K01</x:v>
      </x:c>
      <x:c r="D911" s="13" t="str">
        <x:v>ЩРН-П  4  черн. пр. дв. IP41 UNION Compact IEK</x:v>
      </x:c>
      <x:c r="E911" s="10" t="str">
        <x:v>шт</x:v>
      </x:c>
      <x:c r="F911" s="37" t="n">
        <x:f>MAX(0,ROUNDDOWN((AG911-AF911)/AR911+0.000000001,0)*AR911)</x:f>
        <x:v>4</x:v>
      </x:c>
      <x:c r="G911" s="21" t="str">
        <x:f>IF(J911="Рассчитано",V911*(1-R911/100)-W911-P911-Q911,"н/д")</x:f>
        <x:v>н/д</x:v>
      </x:c>
      <x:c r="H911" s="13" t="str">
        <x:v>Высокий</x:v>
      </x:c>
      <x:c r="I911" s="13" t="str">
        <x:v>Высокий</x:v>
      </x:c>
      <x:c r="J911" s="13" t="str">
        <x:f>IF(L911="","Укажите валюту",IF(NOT(ISNUMBER(K911)),"Укажите объём",IF(K911&lt;=0,"Укажите объём",IF(K911&gt;F911,"Объём выше излишка",IF(COUNT(M911:O911)&lt;3,"Нужны цены",IF(COUNT(P911:R911)&lt;3,"Нужны расходы",IF(OR(M911&lt;0,N911&lt;0,O911&lt;0,O911&gt;100,P911&lt;0,Q911&lt;0,R911&lt;0,R911&gt;100),"Проверьте значения","Рассчитано")))))))</x:f>
        <x:v>Нужны цены</x:v>
      </x:c>
      <x:c r="K911" s="36" t="n">
        <x:v>4</x:v>
      </x:c>
      <x:c r="L911" s="19" t="str">
        <x:v>KZT</x:v>
      </x:c>
      <x:c r="M911" s="22"/>
      <x:c r="N911" s="22"/>
      <x:c r="O911" s="28"/>
      <x:c r="P911" s="22"/>
      <x:c r="Q911" s="22"/>
      <x:c r="R911" s="28"/>
      <x:c r="S911" s="22"/>
      <x:c r="T911" s="37" t="n">
        <x:f>K911</x:f>
        <x:v>4</x:v>
      </x:c>
      <x:c r="U911" s="21" t="str">
        <x:f>IF(J911="Рассчитано",N911*(1-O911/100),"н/д")</x:f>
        <x:v>н/д</x:v>
      </x:c>
      <x:c r="V911" s="21" t="str">
        <x:f>IF(J911="Рассчитано",T911*U911,"н/д")</x:f>
        <x:v>н/д</x:v>
      </x:c>
      <x:c r="W911" s="21" t="str">
        <x:f>IF(J911="Рассчитано",T911*M911,"н/д")</x:f>
        <x:v>н/д</x:v>
      </x:c>
      <x:c r="X911" s="21" t="str">
        <x:f>IF(J911="Рассчитано",V911-W911,"н/д")</x:f>
        <x:v>н/д</x:v>
      </x:c>
      <x:c r="Y911" s="27" t="str">
        <x:f>IF(J911="Рассчитано",IF(V911&gt;0,G911/V911,"н/д"),"н/д")</x:f>
        <x:v>н/д</x:v>
      </x:c>
      <x:c r="Z911" s="21" t="str">
        <x:f>"н/д"</x:f>
        <x:v>н/д</x:v>
      </x:c>
      <x:c r="AA911" s="21" t="str">
        <x:f>"н/д"</x:f>
        <x:v>н/д</x:v>
      </x:c>
      <x:c r="AB911" s="21" t="str">
        <x:f>"н/д"</x:f>
        <x:v>н/д</x:v>
      </x:c>
      <x:c r="AC911" s="21" t="str">
        <x:f>IF(AND(J911="Рассчитано",T911&gt;0,R911&lt;100),(W911+P911+Q911)/(T911*(1-R911/100)),"н/д")</x:f>
        <x:v>н/д</x:v>
      </x:c>
      <x:c r="AD911" s="10" t="str">
        <x:f>IF(ISNUMBER(G911),IF(G911&lt;0,"Убыток",IF(G911=0,"Без прибыли","Прибыль &gt; 0")),"Не оценён")</x:f>
        <x:v>Не оценён</x:v>
      </x:c>
      <x:c r="AE911" s="13" t="str">
        <x:f>IF(J911="Рассчитано","Выручка "&amp;TEXT(V911,"0.00")&amp;" - себестоимость "&amp;TEXT(W911,"0.00")&amp;" - комиссия "&amp;TEXT(V911*R911/100,"0.00")&amp;" - доставка "&amp;TEXT(P911,"0.00")&amp;" - прочие "&amp;TEXT(Q911,"0.00")&amp;" = "&amp;TEXT(G911,"0.00")&amp;" "&amp;L911,"Введите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1" s="24" t="n">
        <x:v>1.050698824957577</x:v>
      </x:c>
      <x:c r="AG911" s="37" t="n">
        <x:v>6</x:v>
      </x:c>
      <x:c r="AH911" s="37" t="n">
        <x:v>0</x:v>
      </x:c>
      <x:c r="AI911" s="30" t="n">
        <x:v>46266</x:v>
      </x:c>
      <x:c r="AJ911" s="37" t="n">
        <x:v>8</x:v>
      </x:c>
      <x:c r="AK911" s="10" t="str">
        <x:v>минимум</x:v>
      </x:c>
      <x:c r="AL911" s="32" t="n">
        <x:v>485.6149496896752</x:v>
      </x:c>
      <x:c r="AM91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11" s="13" t="str">
        <x:v>Проверить свободный остаток и установить цену для B2B</x:v>
      </x:c>
      <x:c r="AO911" s="13" t="str">
        <x:v>Остаток 6; прогноз 90 дней 1.05; избыток 4 шт. Будущие поступления не выставляются на продажу. Остаток на начало сентября: требуется актуализация.</x:v>
      </x:c>
      <x:c r="AP911" s="13" t="str">
        <x:v>["category_missing", "daily_stockout_data_missing", "new_order_lead_time_unknown", "reservations_unknown", "stale_stock"]</x:v>
      </x:c>
      <x:c r="AQ911" s="10" t="str">
        <x:v>IEK:251400048_</x:v>
      </x:c>
      <x:c r="AR911" s="24" t="n">
        <x:v>1</x:v>
      </x:c>
      <x:c r="AS911" s="24" t="n">
        <x:v>0</x:v>
      </x:c>
      <x:c r="AT911" s="24" t="n">
        <x:v>0</x:v>
      </x:c>
    </x:row>
    <x:row r="912" ht="64" customHeight="1">
      <x:c r="A912" s="11" t="str">
        <x:v>IEK</x:v>
      </x:c>
      <x:c r="B912" s="33" t="str">
        <x:v>251400049_</x:v>
      </x:c>
      <x:c r="C912" s="33" t="str">
        <x:v>UIC-KP12-N-06-41-K01</x:v>
      </x:c>
      <x:c r="D912" s="12" t="str">
        <x:v>ЩРН-П  6  черн. пр. дв. IP41 UNION Compact IEK</x:v>
      </x:c>
      <x:c r="E912" s="11" t="str">
        <x:v>шт</x:v>
      </x:c>
      <x:c r="F912" s="35" t="n">
        <x:f>MAX(0,ROUNDDOWN((AG912-AF912)/AR912+0.000000001,0)*AR912)</x:f>
        <x:v>6</x:v>
      </x:c>
      <x:c r="G912" s="20" t="str">
        <x:f>IF(J912="Рассчитано",V912*(1-R912/100)-W912-P912-Q912,"н/д")</x:f>
        <x:v>н/д</x:v>
      </x:c>
      <x:c r="H912" s="12" t="str">
        <x:v>Высокий</x:v>
      </x:c>
      <x:c r="I912" s="12" t="str">
        <x:v>Высокий</x:v>
      </x:c>
      <x:c r="J912" s="12" t="str">
        <x:f>IF(L912="","Укажите валюту",IF(NOT(ISNUMBER(K912)),"Укажите объём",IF(K912&lt;=0,"Укажите объём",IF(K912&gt;F912,"Объём выше излишка",IF(COUNT(M912:O912)&lt;3,"Нужны цены",IF(COUNT(P912:R912)&lt;3,"Нужны расходы",IF(OR(M912&lt;0,N912&lt;0,O912&lt;0,O912&gt;100,P912&lt;0,Q912&lt;0,R912&lt;0,R912&gt;100),"Проверьте значения","Рассчитано")))))))</x:f>
        <x:v>Нужны цены</x:v>
      </x:c>
      <x:c r="K912" s="36" t="n">
        <x:v>6</x:v>
      </x:c>
      <x:c r="L912" s="19" t="str">
        <x:v>KZT</x:v>
      </x:c>
      <x:c r="M912" s="22"/>
      <x:c r="N912" s="22"/>
      <x:c r="O912" s="28"/>
      <x:c r="P912" s="22"/>
      <x:c r="Q912" s="22"/>
      <x:c r="R912" s="28"/>
      <x:c r="S912" s="22"/>
      <x:c r="T912" s="35" t="n">
        <x:f>K912</x:f>
        <x:v>6</x:v>
      </x:c>
      <x:c r="U912" s="20" t="str">
        <x:f>IF(J912="Рассчитано",N912*(1-O912/100),"н/д")</x:f>
        <x:v>н/д</x:v>
      </x:c>
      <x:c r="V912" s="20" t="str">
        <x:f>IF(J912="Рассчитано",T912*U912,"н/д")</x:f>
        <x:v>н/д</x:v>
      </x:c>
      <x:c r="W912" s="20" t="str">
        <x:f>IF(J912="Рассчитано",T912*M912,"н/д")</x:f>
        <x:v>н/д</x:v>
      </x:c>
      <x:c r="X912" s="20" t="str">
        <x:f>IF(J912="Рассчитано",V912-W912,"н/д")</x:f>
        <x:v>н/д</x:v>
      </x:c>
      <x:c r="Y912" s="26" t="str">
        <x:f>IF(J912="Рассчитано",IF(V912&gt;0,G912/V912,"н/д"),"н/д")</x:f>
        <x:v>н/д</x:v>
      </x:c>
      <x:c r="Z912" s="20" t="str">
        <x:f>"н/д"</x:f>
        <x:v>н/д</x:v>
      </x:c>
      <x:c r="AA912" s="20" t="str">
        <x:f>"н/д"</x:f>
        <x:v>н/д</x:v>
      </x:c>
      <x:c r="AB912" s="20" t="str">
        <x:f>"н/д"</x:f>
        <x:v>н/д</x:v>
      </x:c>
      <x:c r="AC912" s="20" t="str">
        <x:f>IF(AND(J912="Рассчитано",T912&gt;0,R912&lt;100),(W912+P912+Q912)/(T912*(1-R912/100)),"н/д")</x:f>
        <x:v>н/д</x:v>
      </x:c>
      <x:c r="AD912" s="11" t="str">
        <x:f>IF(ISNUMBER(G912),IF(G912&lt;0,"Убыток",IF(G912=0,"Без прибыли","Прибыль &gt; 0")),"Не оценён")</x:f>
        <x:v>Не оценён</x:v>
      </x:c>
      <x:c r="AE912" s="12" t="str">
        <x:f>IF(J912="Рассчитано","Выручка "&amp;TEXT(V912,"0.00")&amp;" - себестоимость "&amp;TEXT(W912,"0.00")&amp;" - комиссия "&amp;TEXT(V912*R912/100,"0.00")&amp;" - доставка "&amp;TEXT(P912,"0.00")&amp;" - прочие "&amp;TEXT(Q912,"0.00")&amp;" = "&amp;TEXT(G912,"0.00")&amp;" "&amp;L912,"Введите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2" s="23" t="n">
        <x:v>1.7490952075297015</x:v>
      </x:c>
      <x:c r="AG912" s="35" t="n">
        <x:v>8</x:v>
      </x:c>
      <x:c r="AH912" s="35" t="n">
        <x:v>0</x:v>
      </x:c>
      <x:c r="AI912" s="29" t="n">
        <x:v>46266</x:v>
      </x:c>
      <x:c r="AJ912" s="35" t="n">
        <x:v>8</x:v>
      </x:c>
      <x:c r="AK912" s="11" t="str">
        <x:v>минимум</x:v>
      </x:c>
      <x:c r="AL912" s="31" t="n">
        <x:v>388.9516170602627</x:v>
      </x:c>
      <x:c r="AM91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12" s="12" t="str">
        <x:v>Проверить свободный остаток и установить цену для B2B</x:v>
      </x:c>
      <x:c r="AO912" s="12" t="str">
        <x:v>Остаток 8; прогноз 90 дней 1.75; избыток 6 шт. Будущие поступления не выставляются на продажу. Остаток на начало сентября: требуется актуализация.</x:v>
      </x:c>
      <x:c r="AP912" s="12" t="str">
        <x:v>["category_missing", "daily_stockout_data_missing", "new_order_lead_time_unknown", "reservations_unknown", "stale_stock"]</x:v>
      </x:c>
      <x:c r="AQ912" s="11" t="str">
        <x:v>IEK:251400049_</x:v>
      </x:c>
      <x:c r="AR912" s="23" t="n">
        <x:v>1</x:v>
      </x:c>
      <x:c r="AS912" s="23" t="n">
        <x:v>0</x:v>
      </x:c>
      <x:c r="AT912" s="23" t="n">
        <x:v>0</x:v>
      </x:c>
    </x:row>
    <x:row r="913" ht="64" customHeight="1">
      <x:c r="A913" s="10" t="str">
        <x:v>IEK</x:v>
      </x:c>
      <x:c r="B913" s="34" t="str">
        <x:v>251400051_</x:v>
      </x:c>
      <x:c r="C913" s="34" t="str">
        <x:v>UIC-KP12-N-12-41-K01</x:v>
      </x:c>
      <x:c r="D913" s="13" t="str">
        <x:v>ЩРН-П 12  черн. пр. дв. IP41 UNION Compact IEK</x:v>
      </x:c>
      <x:c r="E913" s="10" t="str">
        <x:v>шт</x:v>
      </x:c>
      <x:c r="F913" s="37" t="n">
        <x:f>MAX(0,ROUNDDOWN((AG913-AF913)/AR913+0.000000001,0)*AR913)</x:f>
        <x:v>52</x:v>
      </x:c>
      <x:c r="G913" s="21" t="str">
        <x:f>IF(J913="Рассчитано",V913*(1-R913/100)-W913-P913-Q913,"н/д")</x:f>
        <x:v>н/д</x:v>
      </x:c>
      <x:c r="H913" s="13" t="str">
        <x:v>Высокий</x:v>
      </x:c>
      <x:c r="I913" s="13" t="str">
        <x:v>Высокий</x:v>
      </x:c>
      <x:c r="J913" s="13" t="str">
        <x:f>IF(L913="","Укажите валюту",IF(NOT(ISNUMBER(K913)),"Укажите объём",IF(K913&lt;=0,"Укажите объём",IF(K913&gt;F913,"Объём выше излишка",IF(COUNT(M913:O913)&lt;3,"Нужны цены",IF(COUNT(P913:R913)&lt;3,"Нужны расходы",IF(OR(M913&lt;0,N913&lt;0,O913&lt;0,O913&gt;100,P913&lt;0,Q913&lt;0,R913&lt;0,R913&gt;100),"Проверьте значения","Рассчитано")))))))</x:f>
        <x:v>Нужны цены</x:v>
      </x:c>
      <x:c r="K913" s="36" t="n">
        <x:v>52</x:v>
      </x:c>
      <x:c r="L913" s="19" t="str">
        <x:v>KZT</x:v>
      </x:c>
      <x:c r="M913" s="22"/>
      <x:c r="N913" s="22"/>
      <x:c r="O913" s="28"/>
      <x:c r="P913" s="22"/>
      <x:c r="Q913" s="22"/>
      <x:c r="R913" s="28"/>
      <x:c r="S913" s="22"/>
      <x:c r="T913" s="37" t="n">
        <x:f>K913</x:f>
        <x:v>52</x:v>
      </x:c>
      <x:c r="U913" s="21" t="str">
        <x:f>IF(J913="Рассчитано",N913*(1-O913/100),"н/д")</x:f>
        <x:v>н/д</x:v>
      </x:c>
      <x:c r="V913" s="21" t="str">
        <x:f>IF(J913="Рассчитано",T913*U913,"н/д")</x:f>
        <x:v>н/д</x:v>
      </x:c>
      <x:c r="W913" s="21" t="str">
        <x:f>IF(J913="Рассчитано",T913*M913,"н/д")</x:f>
        <x:v>н/д</x:v>
      </x:c>
      <x:c r="X913" s="21" t="str">
        <x:f>IF(J913="Рассчитано",V913-W913,"н/д")</x:f>
        <x:v>н/д</x:v>
      </x:c>
      <x:c r="Y913" s="27" t="str">
        <x:f>IF(J913="Рассчитано",IF(V913&gt;0,G913/V913,"н/д"),"н/д")</x:f>
        <x:v>н/д</x:v>
      </x:c>
      <x:c r="Z913" s="21" t="str">
        <x:f>"н/д"</x:f>
        <x:v>н/д</x:v>
      </x:c>
      <x:c r="AA913" s="21" t="str">
        <x:f>"н/д"</x:f>
        <x:v>н/д</x:v>
      </x:c>
      <x:c r="AB913" s="21" t="str">
        <x:f>"н/д"</x:f>
        <x:v>н/д</x:v>
      </x:c>
      <x:c r="AC913" s="21" t="str">
        <x:f>IF(AND(J913="Рассчитано",T913&gt;0,R913&lt;100),(W913+P913+Q913)/(T913*(1-R913/100)),"н/д")</x:f>
        <x:v>н/д</x:v>
      </x:c>
      <x:c r="AD913" s="10" t="str">
        <x:f>IF(ISNUMBER(G913),IF(G913&lt;0,"Убыток",IF(G913=0,"Без прибыли","Прибыль &gt; 0")),"Не оценён")</x:f>
        <x:v>Не оценён</x:v>
      </x:c>
      <x:c r="AE913" s="13" t="str">
        <x:f>IF(J913="Рассчитано","Выручка "&amp;TEXT(V913,"0.00")&amp;" - себестоимость "&amp;TEXT(W913,"0.00")&amp;" - комиссия "&amp;TEXT(V913*R913/100,"0.00")&amp;" - доставка "&amp;TEXT(P913,"0.00")&amp;" - прочие "&amp;TEXT(Q913,"0.00")&amp;" = "&amp;TEXT(G913,"0.00")&amp;" "&amp;L913,"Введите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3" s="24" t="n">
        <x:v>28.67790731540864</x:v>
      </x:c>
      <x:c r="AG913" s="37" t="n">
        <x:v>81</x:v>
      </x:c>
      <x:c r="AH913" s="37" t="n">
        <x:v>0</x:v>
      </x:c>
      <x:c r="AI913" s="30" t="n">
        <x:v>46266</x:v>
      </x:c>
      <x:c r="AJ913" s="37" t="n">
        <x:v>8</x:v>
      </x:c>
      <x:c r="AK913" s="10" t="str">
        <x:v>минимум</x:v>
      </x:c>
      <x:c r="AL913" s="32" t="n">
        <x:v>240.19093143799364</x:v>
      </x:c>
      <x:c r="AM913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913" s="13" t="str">
        <x:v>Проверить свободный остаток и установить цену для B2B</x:v>
      </x:c>
      <x:c r="AO913" s="13" t="str">
        <x:v>Остаток 81; прогноз 90 дней 28.68; избыток 52 шт. Будущие поступления не выставляются на продажу. Остаток на начало сентября: требуется актуализация.</x:v>
      </x:c>
      <x:c r="AP913" s="13" t="str">
        <x:v>["category_missing", "daily_stockout_data_missing", "large_orders_detected", "new_order_lead_time_unknown", "reservations_unknown", "stale_stock", "transaction_month_mismatch"]</x:v>
      </x:c>
      <x:c r="AQ913" s="10" t="str">
        <x:v>IEK:251400051_</x:v>
      </x:c>
      <x:c r="AR913" s="24" t="n">
        <x:v>1</x:v>
      </x:c>
      <x:c r="AS913" s="24" t="n">
        <x:v>0</x:v>
      </x:c>
      <x:c r="AT913" s="24" t="n">
        <x:v>0</x:v>
      </x:c>
    </x:row>
    <x:row r="914" ht="64" customHeight="1">
      <x:c r="A914" s="11" t="str">
        <x:v>IEK</x:v>
      </x:c>
      <x:c r="B914" s="33" t="str">
        <x:v>251400053_</x:v>
      </x:c>
      <x:c r="C914" s="33" t="str">
        <x:v>UIC-KP12-V-06-41-K01</x:v>
      </x:c>
      <x:c r="D914" s="12" t="str">
        <x:v>ЩРВ-П  6  черн. пр. дв. IP41 UNION Compact IEK</x:v>
      </x:c>
      <x:c r="E914" s="11" t="str">
        <x:v>шт</x:v>
      </x:c>
      <x:c r="F914" s="35" t="n">
        <x:f>MAX(0,ROUNDDOWN((AG914-AF914)/AR914+0.000000001,0)*AR914)</x:f>
        <x:v>1</x:v>
      </x:c>
      <x:c r="G914" s="20" t="str">
        <x:f>IF(J914="Рассчитано",V914*(1-R914/100)-W914-P914-Q914,"н/д")</x:f>
        <x:v>н/д</x:v>
      </x:c>
      <x:c r="H914" s="12" t="str">
        <x:v>Высокий</x:v>
      </x:c>
      <x:c r="I914" s="12" t="str">
        <x:v>Средний</x:v>
      </x:c>
      <x:c r="J914" s="12" t="str">
        <x:f>IF(L914="","Укажите валюту",IF(NOT(ISNUMBER(K914)),"Укажите объём",IF(K914&lt;=0,"Укажите объём",IF(K914&gt;F914,"Объём выше излишка",IF(COUNT(M914:O914)&lt;3,"Нужны цены",IF(COUNT(P914:R914)&lt;3,"Нужны расходы",IF(OR(M914&lt;0,N914&lt;0,O914&lt;0,O914&gt;100,P914&lt;0,Q914&lt;0,R914&lt;0,R914&gt;100),"Проверьте значения","Рассчитано")))))))</x:f>
        <x:v>Нужны цены</x:v>
      </x:c>
      <x:c r="K914" s="36" t="n">
        <x:v>1</x:v>
      </x:c>
      <x:c r="L914" s="19" t="str">
        <x:v>KZT</x:v>
      </x:c>
      <x:c r="M914" s="22"/>
      <x:c r="N914" s="22"/>
      <x:c r="O914" s="28"/>
      <x:c r="P914" s="22"/>
      <x:c r="Q914" s="22"/>
      <x:c r="R914" s="28"/>
      <x:c r="S914" s="22"/>
      <x:c r="T914" s="35" t="n">
        <x:f>K914</x:f>
        <x:v>1</x:v>
      </x:c>
      <x:c r="U914" s="20" t="str">
        <x:f>IF(J914="Рассчитано",N914*(1-O914/100),"н/д")</x:f>
        <x:v>н/д</x:v>
      </x:c>
      <x:c r="V914" s="20" t="str">
        <x:f>IF(J914="Рассчитано",T914*U914,"н/д")</x:f>
        <x:v>н/д</x:v>
      </x:c>
      <x:c r="W914" s="20" t="str">
        <x:f>IF(J914="Рассчитано",T914*M914,"н/д")</x:f>
        <x:v>н/д</x:v>
      </x:c>
      <x:c r="X914" s="20" t="str">
        <x:f>IF(J914="Рассчитано",V914-W914,"н/д")</x:f>
        <x:v>н/д</x:v>
      </x:c>
      <x:c r="Y914" s="26" t="str">
        <x:f>IF(J914="Рассчитано",IF(V914&gt;0,G914/V914,"н/д"),"н/д")</x:f>
        <x:v>н/д</x:v>
      </x:c>
      <x:c r="Z914" s="20" t="str">
        <x:f>"н/д"</x:f>
        <x:v>н/д</x:v>
      </x:c>
      <x:c r="AA914" s="20" t="str">
        <x:f>"н/д"</x:f>
        <x:v>н/д</x:v>
      </x:c>
      <x:c r="AB914" s="20" t="str">
        <x:f>"н/д"</x:f>
        <x:v>н/д</x:v>
      </x:c>
      <x:c r="AC914" s="20" t="str">
        <x:f>IF(AND(J914="Рассчитано",T914&gt;0,R914&lt;100),(W914+P914+Q914)/(T914*(1-R914/100)),"н/д")</x:f>
        <x:v>н/д</x:v>
      </x:c>
      <x:c r="AD914" s="11" t="str">
        <x:f>IF(ISNUMBER(G914),IF(G914&lt;0,"Убыток",IF(G914=0,"Без прибыли","Прибыль &gt; 0")),"Не оценён")</x:f>
        <x:v>Не оценён</x:v>
      </x:c>
      <x:c r="AE914" s="12" t="str">
        <x:f>IF(J914="Рассчитано","Выручка "&amp;TEXT(V914,"0.00")&amp;" - себестоимость "&amp;TEXT(W914,"0.00")&amp;" - комиссия "&amp;TEXT(V914*R914/100,"0.00")&amp;" - доставка "&amp;TEXT(P914,"0.00")&amp;" - прочие "&amp;TEXT(Q914,"0.00")&amp;" = "&amp;TEXT(G914,"0.00")&amp;" "&amp;L914,"Введите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4" s="23" t="n">
        <x:v>1.5586242966759405</x:v>
      </x:c>
      <x:c r="AG914" s="35" t="n">
        <x:v>3</x:v>
      </x:c>
      <x:c r="AH914" s="35" t="n">
        <x:v>0</x:v>
      </x:c>
      <x:c r="AI914" s="29" t="n">
        <x:v>46266</x:v>
      </x:c>
      <x:c r="AJ914" s="35" t="n">
        <x:v>8</x:v>
      </x:c>
      <x:c r="AK914" s="11" t="str">
        <x:v>минимум</x:v>
      </x:c>
      <x:c r="AL914" s="31" t="n">
        <x:v>163.68122135300547</x:v>
      </x:c>
      <x:c r="AM914" s="12" t="str">
        <x:v>Остаток на начало сентября; Резервы неизвестны; Нет ежедневных данных доступности. Запас выше прогноза на 90 дней</x:v>
      </x:c>
      <x:c r="AN914" s="12" t="str">
        <x:v>Проверить свободный остаток и установить цену для B2B</x:v>
      </x:c>
      <x:c r="AO914" s="12" t="str">
        <x:v>Остаток 3; прогноз 90 дней 1.56; избыток 1 шт. Будущие поступления не выставляются на продажу. Остаток на начало сентября: требуется актуализация.</x:v>
      </x:c>
      <x:c r="AP914" s="12" t="str">
        <x:v>["category_missing", "daily_stockout_data_missing", "new_order_lead_time_unknown", "reservations_unknown", "stale_stock"]</x:v>
      </x:c>
      <x:c r="AQ914" s="11" t="str">
        <x:v>IEK:251400053_</x:v>
      </x:c>
      <x:c r="AR914" s="23" t="n">
        <x:v>1</x:v>
      </x:c>
      <x:c r="AS914" s="23" t="n">
        <x:v>0</x:v>
      </x:c>
      <x:c r="AT914" s="23" t="n">
        <x:v>0</x:v>
      </x:c>
    </x:row>
    <x:row r="915" ht="64" customHeight="1">
      <x:c r="A915" s="10" t="str">
        <x:v>IEK</x:v>
      </x:c>
      <x:c r="B915" s="34" t="str">
        <x:v>251400054_</x:v>
      </x:c>
      <x:c r="C915" s="34" t="str">
        <x:v>UIC-KP12-V-08-41-K01</x:v>
      </x:c>
      <x:c r="D915" s="13" t="str">
        <x:v>ЩРВ-П  8  черн. пр. дв. IP41 UNION Compact IEK</x:v>
      </x:c>
      <x:c r="E915" s="10" t="str">
        <x:v>шт</x:v>
      </x:c>
      <x:c r="F915" s="37" t="n">
        <x:f>MAX(0,ROUNDDOWN((AG915-AF915)/AR915+0.000000001,0)*AR915)</x:f>
        <x:v>7</x:v>
      </x:c>
      <x:c r="G915" s="21" t="str">
        <x:f>IF(J915="Рассчитано",V915*(1-R915/100)-W915-P915-Q915,"н/д")</x:f>
        <x:v>н/д</x:v>
      </x:c>
      <x:c r="H915" s="13" t="str">
        <x:v>Высокий</x:v>
      </x:c>
      <x:c r="I915" s="13" t="str">
        <x:v>Высокий</x:v>
      </x:c>
      <x:c r="J915" s="13" t="str">
        <x:f>IF(L915="","Укажите валюту",IF(NOT(ISNUMBER(K915)),"Укажите объём",IF(K915&lt;=0,"Укажите объём",IF(K915&gt;F915,"Объём выше излишка",IF(COUNT(M915:O915)&lt;3,"Нужны цены",IF(COUNT(P915:R915)&lt;3,"Нужны расходы",IF(OR(M915&lt;0,N915&lt;0,O915&lt;0,O915&gt;100,P915&lt;0,Q915&lt;0,R915&lt;0,R915&gt;100),"Проверьте значения","Рассчитано")))))))</x:f>
        <x:v>Нужны цены</x:v>
      </x:c>
      <x:c r="K915" s="36" t="n">
        <x:v>7</x:v>
      </x:c>
      <x:c r="L915" s="19" t="str">
        <x:v>KZT</x:v>
      </x:c>
      <x:c r="M915" s="22"/>
      <x:c r="N915" s="22"/>
      <x:c r="O915" s="28"/>
      <x:c r="P915" s="22"/>
      <x:c r="Q915" s="22"/>
      <x:c r="R915" s="28"/>
      <x:c r="S915" s="22"/>
      <x:c r="T915" s="37" t="n">
        <x:f>K915</x:f>
        <x:v>7</x:v>
      </x:c>
      <x:c r="U915" s="21" t="str">
        <x:f>IF(J915="Рассчитано",N915*(1-O915/100),"н/д")</x:f>
        <x:v>н/д</x:v>
      </x:c>
      <x:c r="V915" s="21" t="str">
        <x:f>IF(J915="Рассчитано",T915*U915,"н/д")</x:f>
        <x:v>н/д</x:v>
      </x:c>
      <x:c r="W915" s="21" t="str">
        <x:f>IF(J915="Рассчитано",T915*M915,"н/д")</x:f>
        <x:v>н/д</x:v>
      </x:c>
      <x:c r="X915" s="21" t="str">
        <x:f>IF(J915="Рассчитано",V915-W915,"н/д")</x:f>
        <x:v>н/д</x:v>
      </x:c>
      <x:c r="Y915" s="27" t="str">
        <x:f>IF(J915="Рассчитано",IF(V915&gt;0,G915/V915,"н/д"),"н/д")</x:f>
        <x:v>н/д</x:v>
      </x:c>
      <x:c r="Z915" s="21" t="str">
        <x:f>"н/д"</x:f>
        <x:v>н/д</x:v>
      </x:c>
      <x:c r="AA915" s="21" t="str">
        <x:f>"н/д"</x:f>
        <x:v>н/д</x:v>
      </x:c>
      <x:c r="AB915" s="21" t="str">
        <x:f>"н/д"</x:f>
        <x:v>н/д</x:v>
      </x:c>
      <x:c r="AC915" s="21" t="str">
        <x:f>IF(AND(J915="Рассчитано",T915&gt;0,R915&lt;100),(W915+P915+Q915)/(T915*(1-R915/100)),"н/д")</x:f>
        <x:v>н/д</x:v>
      </x:c>
      <x:c r="AD915" s="10" t="str">
        <x:f>IF(ISNUMBER(G915),IF(G915&lt;0,"Убыток",IF(G915=0,"Без прибыли","Прибыль &gt; 0")),"Не оценён")</x:f>
        <x:v>Не оценён</x:v>
      </x:c>
      <x:c r="AE915" s="13" t="str">
        <x:f>IF(J915="Рассчитано","Выручка "&amp;TEXT(V915,"0.00")&amp;" - себестоимость "&amp;TEXT(W915,"0.00")&amp;" - комиссия "&amp;TEXT(V915*R915/100,"0.00")&amp;" - доставка "&amp;TEXT(P915,"0.00")&amp;" - прочие "&amp;TEXT(Q915,"0.00")&amp;" = "&amp;TEXT(G915,"0.00")&amp;" "&amp;L915,"Введите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5" s="24" t="n">
        <x:v>0.9301620614812353</x:v>
      </x:c>
      <x:c r="AG915" s="37" t="n">
        <x:v>8</x:v>
      </x:c>
      <x:c r="AH915" s="37" t="n">
        <x:v>0</x:v>
      </x:c>
      <x:c r="AI915" s="30" t="n">
        <x:v>46266</x:v>
      </x:c>
      <x:c r="AJ915" s="37" t="n">
        <x:v>8</x:v>
      </x:c>
      <x:c r="AK915" s="10" t="str">
        <x:v>минимум</x:v>
      </x:c>
      <x:c r="AL915" s="32" t="n">
        <x:v>731.3923428328928</x:v>
      </x:c>
      <x:c r="AM91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15" s="13" t="str">
        <x:v>Проверить свободный остаток и установить цену для B2B</x:v>
      </x:c>
      <x:c r="AO915" s="13" t="str">
        <x:v>Остаток 8; прогноз 90 дней 0.93; избыток 7 шт. Будущие поступления не выставляются на продажу. Остаток на начало сентября: требуется актуализация.</x:v>
      </x:c>
      <x:c r="AP915" s="13" t="str">
        <x:v>["category_missing", "daily_stockout_data_missing", "new_order_lead_time_unknown", "reservations_unknown", "stale_stock"]</x:v>
      </x:c>
      <x:c r="AQ915" s="10" t="str">
        <x:v>IEK:251400054_</x:v>
      </x:c>
      <x:c r="AR915" s="24" t="n">
        <x:v>1</x:v>
      </x:c>
      <x:c r="AS915" s="24" t="n">
        <x:v>0</x:v>
      </x:c>
      <x:c r="AT915" s="24" t="n">
        <x:v>0</x:v>
      </x:c>
    </x:row>
    <x:row r="916" ht="64" customHeight="1">
      <x:c r="A916" s="11" t="str">
        <x:v>IEK</x:v>
      </x:c>
      <x:c r="B916" s="33" t="str">
        <x:v>251400055_</x:v>
      </x:c>
      <x:c r="C916" s="33" t="str">
        <x:v>UIC-KP12-V-12-41-K01</x:v>
      </x:c>
      <x:c r="D916" s="12" t="str">
        <x:v>ЩРВ-П 12  черн. пр. дв. IP41 UNION Compact IEK</x:v>
      </x:c>
      <x:c r="E916" s="11" t="str">
        <x:v>шт</x:v>
      </x:c>
      <x:c r="F916" s="35" t="n">
        <x:f>MAX(0,ROUNDDOWN((AG916-AF916)/AR916+0.000000001,0)*AR916)</x:f>
        <x:v>11</x:v>
      </x:c>
      <x:c r="G916" s="20" t="str">
        <x:f>IF(J916="Рассчитано",V916*(1-R916/100)-W916-P916-Q916,"н/д")</x:f>
        <x:v>н/д</x:v>
      </x:c>
      <x:c r="H916" s="12" t="str">
        <x:v>Высокий</x:v>
      </x:c>
      <x:c r="I916" s="12" t="str">
        <x:v>Высокий</x:v>
      </x:c>
      <x:c r="J916" s="12" t="str">
        <x:f>IF(L916="","Укажите валюту",IF(NOT(ISNUMBER(K916)),"Укажите объём",IF(K916&lt;=0,"Укажите объём",IF(K916&gt;F916,"Объём выше излишка",IF(COUNT(M916:O916)&lt;3,"Нужны цены",IF(COUNT(P916:R916)&lt;3,"Нужны расходы",IF(OR(M916&lt;0,N916&lt;0,O916&lt;0,O916&gt;100,P916&lt;0,Q916&lt;0,R916&lt;0,R916&gt;100),"Проверьте значения","Рассчитано")))))))</x:f>
        <x:v>Нужны цены</x:v>
      </x:c>
      <x:c r="K916" s="36" t="n">
        <x:v>11</x:v>
      </x:c>
      <x:c r="L916" s="19" t="str">
        <x:v>KZT</x:v>
      </x:c>
      <x:c r="M916" s="22"/>
      <x:c r="N916" s="22"/>
      <x:c r="O916" s="28"/>
      <x:c r="P916" s="22"/>
      <x:c r="Q916" s="22"/>
      <x:c r="R916" s="28"/>
      <x:c r="S916" s="22"/>
      <x:c r="T916" s="35" t="n">
        <x:f>K916</x:f>
        <x:v>11</x:v>
      </x:c>
      <x:c r="U916" s="20" t="str">
        <x:f>IF(J916="Рассчитано",N916*(1-O916/100),"н/д")</x:f>
        <x:v>н/д</x:v>
      </x:c>
      <x:c r="V916" s="20" t="str">
        <x:f>IF(J916="Рассчитано",T916*U916,"н/д")</x:f>
        <x:v>н/д</x:v>
      </x:c>
      <x:c r="W916" s="20" t="str">
        <x:f>IF(J916="Рассчитано",T916*M916,"н/д")</x:f>
        <x:v>н/д</x:v>
      </x:c>
      <x:c r="X916" s="20" t="str">
        <x:f>IF(J916="Рассчитано",V916-W916,"н/д")</x:f>
        <x:v>н/д</x:v>
      </x:c>
      <x:c r="Y916" s="26" t="str">
        <x:f>IF(J916="Рассчитано",IF(V916&gt;0,G916/V916,"н/д"),"н/д")</x:f>
        <x:v>н/д</x:v>
      </x:c>
      <x:c r="Z916" s="20" t="str">
        <x:f>"н/д"</x:f>
        <x:v>н/д</x:v>
      </x:c>
      <x:c r="AA916" s="20" t="str">
        <x:f>"н/д"</x:f>
        <x:v>н/д</x:v>
      </x:c>
      <x:c r="AB916" s="20" t="str">
        <x:f>"н/д"</x:f>
        <x:v>н/д</x:v>
      </x:c>
      <x:c r="AC916" s="20" t="str">
        <x:f>IF(AND(J916="Рассчитано",T916&gt;0,R916&lt;100),(W916+P916+Q916)/(T916*(1-R916/100)),"н/д")</x:f>
        <x:v>н/д</x:v>
      </x:c>
      <x:c r="AD916" s="11" t="str">
        <x:f>IF(ISNUMBER(G916),IF(G916&lt;0,"Убыток",IF(G916=0,"Без прибыли","Прибыль &gt; 0")),"Не оценён")</x:f>
        <x:v>Не оценён</x:v>
      </x:c>
      <x:c r="AE916" s="12" t="str">
        <x:f>IF(J916="Рассчитано","Выручка "&amp;TEXT(V916,"0.00")&amp;" - себестоимость "&amp;TEXT(W916,"0.00")&amp;" - комиссия "&amp;TEXT(V916*R916/100,"0.00")&amp;" - доставка "&amp;TEXT(P916,"0.00")&amp;" - прочие "&amp;TEXT(Q916,"0.00")&amp;" = "&amp;TEXT(G916,"0.00")&amp;" "&amp;L916,"Введите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6" s="23" t="n">
        <x:v>0.9946447501908093</x:v>
      </x:c>
      <x:c r="AG916" s="35" t="n">
        <x:v>12</x:v>
      </x:c>
      <x:c r="AH916" s="35" t="n">
        <x:v>0</x:v>
      </x:c>
      <x:c r="AI916" s="29" t="n">
        <x:v>46266</x:v>
      </x:c>
      <x:c r="AJ916" s="35" t="n">
        <x:v>8</x:v>
      </x:c>
      <x:c r="AK916" s="11" t="str">
        <x:v>минимум</x:v>
      </x:c>
      <x:c r="AL916" s="31" t="n">
        <x:v>1025.9644097511039</x:v>
      </x:c>
      <x:c r="AM91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16" s="12" t="str">
        <x:v>Проверить свободный остаток и установить цену для B2B</x:v>
      </x:c>
      <x:c r="AO916" s="12" t="str">
        <x:v>Остаток 12; прогноз 90 дней 0.99; избыток 11 шт. Будущие поступления не выставляются на продажу. Остаток на начало сентября: требуется актуализация.</x:v>
      </x:c>
      <x:c r="AP916" s="12" t="str">
        <x:v>["category_missing", "daily_stockout_data_missing", "new_order_lead_time_unknown", "reservations_unknown", "stale_stock"]</x:v>
      </x:c>
      <x:c r="AQ916" s="11" t="str">
        <x:v>IEK:251400055_</x:v>
      </x:c>
      <x:c r="AR916" s="23" t="n">
        <x:v>1</x:v>
      </x:c>
      <x:c r="AS916" s="23" t="n">
        <x:v>0</x:v>
      </x:c>
      <x:c r="AT916" s="23" t="n">
        <x:v>0</x:v>
      </x:c>
    </x:row>
    <x:row r="917" ht="64" customHeight="1">
      <x:c r="A917" s="10" t="str">
        <x:v>IEK</x:v>
      </x:c>
      <x:c r="B917" s="34" t="str">
        <x:v>251400056_</x:v>
      </x:c>
      <x:c r="C917" s="34" t="str">
        <x:v>UIC-KP12-V-18-41-K01</x:v>
      </x:c>
      <x:c r="D917" s="13" t="str">
        <x:v>ЩРВ-П 18 черн. пр. дв.   IP41 UNION Compact IEK</x:v>
      </x:c>
      <x:c r="E917" s="10" t="str">
        <x:v>шт</x:v>
      </x:c>
      <x:c r="F917" s="37" t="n">
        <x:f>MAX(0,ROUNDDOWN((AG917-AF917)/AR917+0.000000001,0)*AR917)</x:f>
        <x:v>33</x:v>
      </x:c>
      <x:c r="G917" s="21" t="str">
        <x:f>IF(J917="Рассчитано",V917*(1-R917/100)-W917-P917-Q917,"н/д")</x:f>
        <x:v>н/д</x:v>
      </x:c>
      <x:c r="H917" s="13" t="str">
        <x:v>Высокий</x:v>
      </x:c>
      <x:c r="I917" s="13" t="str">
        <x:v>Высокий</x:v>
      </x:c>
      <x:c r="J917" s="13" t="str">
        <x:f>IF(L917="","Укажите валюту",IF(NOT(ISNUMBER(K917)),"Укажите объём",IF(K917&lt;=0,"Укажите объём",IF(K917&gt;F917,"Объём выше излишка",IF(COUNT(M917:O917)&lt;3,"Нужны цены",IF(COUNT(P917:R917)&lt;3,"Нужны расходы",IF(OR(M917&lt;0,N917&lt;0,O917&lt;0,O917&gt;100,P917&lt;0,Q917&lt;0,R917&lt;0,R917&gt;100),"Проверьте значения","Рассчитано")))))))</x:f>
        <x:v>Нужны цены</x:v>
      </x:c>
      <x:c r="K917" s="36" t="n">
        <x:v>33</x:v>
      </x:c>
      <x:c r="L917" s="19" t="str">
        <x:v>KZT</x:v>
      </x:c>
      <x:c r="M917" s="22"/>
      <x:c r="N917" s="22"/>
      <x:c r="O917" s="28"/>
      <x:c r="P917" s="22"/>
      <x:c r="Q917" s="22"/>
      <x:c r="R917" s="28"/>
      <x:c r="S917" s="22"/>
      <x:c r="T917" s="37" t="n">
        <x:f>K917</x:f>
        <x:v>33</x:v>
      </x:c>
      <x:c r="U917" s="21" t="str">
        <x:f>IF(J917="Рассчитано",N917*(1-O917/100),"н/д")</x:f>
        <x:v>н/д</x:v>
      </x:c>
      <x:c r="V917" s="21" t="str">
        <x:f>IF(J917="Рассчитано",T917*U917,"н/д")</x:f>
        <x:v>н/д</x:v>
      </x:c>
      <x:c r="W917" s="21" t="str">
        <x:f>IF(J917="Рассчитано",T917*M917,"н/д")</x:f>
        <x:v>н/д</x:v>
      </x:c>
      <x:c r="X917" s="21" t="str">
        <x:f>IF(J917="Рассчитано",V917-W917,"н/д")</x:f>
        <x:v>н/д</x:v>
      </x:c>
      <x:c r="Y917" s="27" t="str">
        <x:f>IF(J917="Рассчитано",IF(V917&gt;0,G917/V917,"н/д"),"н/д")</x:f>
        <x:v>н/д</x:v>
      </x:c>
      <x:c r="Z917" s="21" t="str">
        <x:f>"н/д"</x:f>
        <x:v>н/д</x:v>
      </x:c>
      <x:c r="AA917" s="21" t="str">
        <x:f>"н/д"</x:f>
        <x:v>н/д</x:v>
      </x:c>
      <x:c r="AB917" s="21" t="str">
        <x:f>"н/д"</x:f>
        <x:v>н/д</x:v>
      </x:c>
      <x:c r="AC917" s="21" t="str">
        <x:f>IF(AND(J917="Рассчитано",T917&gt;0,R917&lt;100),(W917+P917+Q917)/(T917*(1-R917/100)),"н/д")</x:f>
        <x:v>н/д</x:v>
      </x:c>
      <x:c r="AD917" s="10" t="str">
        <x:f>IF(ISNUMBER(G917),IF(G917&lt;0,"Убыток",IF(G917=0,"Без прибыли","Прибыль &gt; 0")),"Не оценён")</x:f>
        <x:v>Не оценён</x:v>
      </x:c>
      <x:c r="AE917" s="13" t="str">
        <x:f>IF(J917="Рассчитано","Выручка "&amp;TEXT(V917,"0.00")&amp;" - себестоимость "&amp;TEXT(W917,"0.00")&amp;" - комиссия "&amp;TEXT(V917*R917/100,"0.00")&amp;" - доставка "&amp;TEXT(P917,"0.00")&amp;" - прочие "&amp;TEXT(Q917,"0.00")&amp;" = "&amp;TEXT(G917,"0.00")&amp;" "&amp;L917,"Введите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7" s="24" t="n">
        <x:v>14.762752168923612</x:v>
      </x:c>
      <x:c r="AG917" s="37" t="n">
        <x:v>48</x:v>
      </x:c>
      <x:c r="AH917" s="37" t="n">
        <x:v>0</x:v>
      </x:c>
      <x:c r="AI917" s="30" t="n">
        <x:v>46266</x:v>
      </x:c>
      <x:c r="AJ917" s="37" t="n">
        <x:v>4</x:v>
      </x:c>
      <x:c r="AK917" s="10" t="str">
        <x:v>минимум</x:v>
      </x:c>
      <x:c r="AL917" s="32" t="n">
        <x:v>276.49861011409325</x:v>
      </x:c>
      <x:c r="AM917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917" s="13" t="str">
        <x:v>Проверить свободный остаток и установить цену для B2B</x:v>
      </x:c>
      <x:c r="AO917" s="13" t="str">
        <x:v>Остаток 48; прогноз 90 дней 14.76; избыток 33 шт. Будущие поступления не выставляются на продажу. Остаток на начало сентября: требуется актуализация.</x:v>
      </x:c>
      <x:c r="AP917" s="13" t="str">
        <x:v>["category_missing", "daily_stockout_data_missing", "large_orders_detected", "new_order_lead_time_unknown", "reservations_unknown", "stale_stock", "transaction_month_mismatch"]</x:v>
      </x:c>
      <x:c r="AQ917" s="10" t="str">
        <x:v>IEK:251400056_</x:v>
      </x:c>
      <x:c r="AR917" s="24" t="n">
        <x:v>1</x:v>
      </x:c>
      <x:c r="AS917" s="24" t="n">
        <x:v>0</x:v>
      </x:c>
      <x:c r="AT917" s="24" t="n">
        <x:v>0</x:v>
      </x:c>
    </x:row>
    <x:row r="918" ht="64" customHeight="1">
      <x:c r="A918" s="11" t="str">
        <x:v>IEK</x:v>
      </x:c>
      <x:c r="B918" s="33" t="str">
        <x:v>251400057_</x:v>
      </x:c>
      <x:c r="C918" s="33" t="str">
        <x:v>UIC-KP13-N-04-41-K01</x:v>
      </x:c>
      <x:c r="D918" s="12" t="str">
        <x:v>ЩРН-П  4  бел. дв. IP41 UNION Compact IEK</x:v>
      </x:c>
      <x:c r="E918" s="11" t="str">
        <x:v>шт</x:v>
      </x:c>
      <x:c r="F918" s="35" t="n">
        <x:f>MAX(0,ROUNDDOWN((AG918-AF918)/AR918+0.000000001,0)*AR918)</x:f>
        <x:v>8</x:v>
      </x:c>
      <x:c r="G918" s="20" t="str">
        <x:f>IF(J918="Рассчитано",V918*(1-R918/100)-W918-P918-Q918,"н/д")</x:f>
        <x:v>н/д</x:v>
      </x:c>
      <x:c r="H918" s="12" t="str">
        <x:v>Высокий</x:v>
      </x:c>
      <x:c r="I918" s="12" t="str">
        <x:v>Высокий</x:v>
      </x:c>
      <x:c r="J918" s="12" t="str">
        <x:f>IF(L918="","Укажите валюту",IF(NOT(ISNUMBER(K918)),"Укажите объём",IF(K918&lt;=0,"Укажите объём",IF(K918&gt;F918,"Объём выше излишка",IF(COUNT(M918:O918)&lt;3,"Нужны цены",IF(COUNT(P918:R918)&lt;3,"Нужны расходы",IF(OR(M918&lt;0,N918&lt;0,O918&lt;0,O918&gt;100,P918&lt;0,Q918&lt;0,R918&lt;0,R918&gt;100),"Проверьте значения","Рассчитано")))))))</x:f>
        <x:v>Нужны цены</x:v>
      </x:c>
      <x:c r="K918" s="36" t="n">
        <x:v>8</x:v>
      </x:c>
      <x:c r="L918" s="19" t="str">
        <x:v>KZT</x:v>
      </x:c>
      <x:c r="M918" s="22"/>
      <x:c r="N918" s="22"/>
      <x:c r="O918" s="28"/>
      <x:c r="P918" s="22"/>
      <x:c r="Q918" s="22"/>
      <x:c r="R918" s="28"/>
      <x:c r="S918" s="22"/>
      <x:c r="T918" s="35" t="n">
        <x:f>K918</x:f>
        <x:v>8</x:v>
      </x:c>
      <x:c r="U918" s="20" t="str">
        <x:f>IF(J918="Рассчитано",N918*(1-O918/100),"н/д")</x:f>
        <x:v>н/д</x:v>
      </x:c>
      <x:c r="V918" s="20" t="str">
        <x:f>IF(J918="Рассчитано",T918*U918,"н/д")</x:f>
        <x:v>н/д</x:v>
      </x:c>
      <x:c r="W918" s="20" t="str">
        <x:f>IF(J918="Рассчитано",T918*M918,"н/д")</x:f>
        <x:v>н/д</x:v>
      </x:c>
      <x:c r="X918" s="20" t="str">
        <x:f>IF(J918="Рассчитано",V918-W918,"н/д")</x:f>
        <x:v>н/д</x:v>
      </x:c>
      <x:c r="Y918" s="26" t="str">
        <x:f>IF(J918="Рассчитано",IF(V918&gt;0,G918/V918,"н/д"),"н/д")</x:f>
        <x:v>н/д</x:v>
      </x:c>
      <x:c r="Z918" s="20" t="str">
        <x:f>"н/д"</x:f>
        <x:v>н/д</x:v>
      </x:c>
      <x:c r="AA918" s="20" t="str">
        <x:f>"н/д"</x:f>
        <x:v>н/д</x:v>
      </x:c>
      <x:c r="AB918" s="20" t="str">
        <x:f>"н/д"</x:f>
        <x:v>н/д</x:v>
      </x:c>
      <x:c r="AC918" s="20" t="str">
        <x:f>IF(AND(J918="Рассчитано",T918&gt;0,R918&lt;100),(W918+P918+Q918)/(T918*(1-R918/100)),"н/д")</x:f>
        <x:v>н/д</x:v>
      </x:c>
      <x:c r="AD918" s="11" t="str">
        <x:f>IF(ISNUMBER(G918),IF(G918&lt;0,"Убыток",IF(G918=0,"Без прибыли","Прибыль &gt; 0")),"Не оценён")</x:f>
        <x:v>Не оценён</x:v>
      </x:c>
      <x:c r="AE918" s="12" t="str">
        <x:f>IF(J918="Рассчитано","Выручка "&amp;TEXT(V918,"0.00")&amp;" - себестоимость "&amp;TEXT(W918,"0.00")&amp;" - комиссия "&amp;TEXT(V918*R918/100,"0.00")&amp;" - доставка "&amp;TEXT(P918,"0.00")&amp;" - прочие "&amp;TEXT(Q918,"0.00")&amp;" = "&amp;TEXT(G918,"0.00")&amp;" "&amp;L918,"Введите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8" s="23" t="n">
        <x:v>0.9996783102607516</x:v>
      </x:c>
      <x:c r="AG918" s="35" t="n">
        <x:v>9</x:v>
      </x:c>
      <x:c r="AH918" s="35" t="n">
        <x:v>0</x:v>
      </x:c>
      <x:c r="AI918" s="29" t="n">
        <x:v>46266</x:v>
      </x:c>
      <x:c r="AJ918" s="35" t="n">
        <x:v>8</x:v>
      </x:c>
      <x:c r="AK918" s="11" t="str">
        <x:v>минимум</x:v>
      </x:c>
      <x:c r="AL918" s="31" t="n">
        <x:v>765.5988708322876</x:v>
      </x:c>
      <x:c r="AM9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18" s="12" t="str">
        <x:v>Проверить свободный остаток и установить цену для B2B</x:v>
      </x:c>
      <x:c r="AO918" s="12" t="str">
        <x:v>Остаток 9; прогноз 90 дней 1.00; избыток 8 шт. Будущие поступления не выставляются на продажу. Остаток на начало сентября: требуется актуализация.</x:v>
      </x:c>
      <x:c r="AP918" s="12" t="str">
        <x:v>["category_missing", "daily_stockout_data_missing", "new_order_lead_time_unknown", "reservations_unknown", "stale_stock"]</x:v>
      </x:c>
      <x:c r="AQ918" s="11" t="str">
        <x:v>IEK:251400057_</x:v>
      </x:c>
      <x:c r="AR918" s="23" t="n">
        <x:v>1</x:v>
      </x:c>
      <x:c r="AS918" s="23" t="n">
        <x:v>0</x:v>
      </x:c>
      <x:c r="AT918" s="23" t="n">
        <x:v>0</x:v>
      </x:c>
    </x:row>
    <x:row r="919" ht="64" customHeight="1">
      <x:c r="A919" s="10" t="str">
        <x:v>IEK</x:v>
      </x:c>
      <x:c r="B919" s="34" t="str">
        <x:v>251400058_</x:v>
      </x:c>
      <x:c r="C919" s="34" t="str">
        <x:v>UIC-KP13-N-06-41-K01</x:v>
      </x:c>
      <x:c r="D919" s="13" t="str">
        <x:v>ЩРН-П  6  бел. дв. IP41 UNION Compact IEK</x:v>
      </x:c>
      <x:c r="E919" s="10" t="str">
        <x:v>шт</x:v>
      </x:c>
      <x:c r="F919" s="37" t="n">
        <x:f>MAX(0,ROUNDDOWN((AG919-AF919)/AR919+0.000000001,0)*AR919)</x:f>
        <x:v>8</x:v>
      </x:c>
      <x:c r="G919" s="21" t="str">
        <x:f>IF(J919="Рассчитано",V919*(1-R919/100)-W919-P919-Q919,"н/д")</x:f>
        <x:v>н/д</x:v>
      </x:c>
      <x:c r="H919" s="13" t="str">
        <x:v>Высокий</x:v>
      </x:c>
      <x:c r="I919" s="13" t="str">
        <x:v>Высокий</x:v>
      </x:c>
      <x:c r="J919" s="13" t="str">
        <x:f>IF(L919="","Укажите валюту",IF(NOT(ISNUMBER(K919)),"Укажите объём",IF(K919&lt;=0,"Укажите объём",IF(K919&gt;F919,"Объём выше излишка",IF(COUNT(M919:O919)&lt;3,"Нужны цены",IF(COUNT(P919:R919)&lt;3,"Нужны расходы",IF(OR(M919&lt;0,N919&lt;0,O919&lt;0,O919&gt;100,P919&lt;0,Q919&lt;0,R919&lt;0,R919&gt;100),"Проверьте значения","Рассчитано")))))))</x:f>
        <x:v>Нужны цены</x:v>
      </x:c>
      <x:c r="K919" s="36" t="n">
        <x:v>8</x:v>
      </x:c>
      <x:c r="L919" s="19" t="str">
        <x:v>KZT</x:v>
      </x:c>
      <x:c r="M919" s="22"/>
      <x:c r="N919" s="22"/>
      <x:c r="O919" s="28"/>
      <x:c r="P919" s="22"/>
      <x:c r="Q919" s="22"/>
      <x:c r="R919" s="28"/>
      <x:c r="S919" s="22"/>
      <x:c r="T919" s="37" t="n">
        <x:f>K919</x:f>
        <x:v>8</x:v>
      </x:c>
      <x:c r="U919" s="21" t="str">
        <x:f>IF(J919="Рассчитано",N919*(1-O919/100),"н/д")</x:f>
        <x:v>н/д</x:v>
      </x:c>
      <x:c r="V919" s="21" t="str">
        <x:f>IF(J919="Рассчитано",T919*U919,"н/д")</x:f>
        <x:v>н/д</x:v>
      </x:c>
      <x:c r="W919" s="21" t="str">
        <x:f>IF(J919="Рассчитано",T919*M919,"н/д")</x:f>
        <x:v>н/д</x:v>
      </x:c>
      <x:c r="X919" s="21" t="str">
        <x:f>IF(J919="Рассчитано",V919-W919,"н/д")</x:f>
        <x:v>н/д</x:v>
      </x:c>
      <x:c r="Y919" s="27" t="str">
        <x:f>IF(J919="Рассчитано",IF(V919&gt;0,G919/V919,"н/д"),"н/д")</x:f>
        <x:v>н/д</x:v>
      </x:c>
      <x:c r="Z919" s="21" t="str">
        <x:f>"н/д"</x:f>
        <x:v>н/д</x:v>
      </x:c>
      <x:c r="AA919" s="21" t="str">
        <x:f>"н/д"</x:f>
        <x:v>н/д</x:v>
      </x:c>
      <x:c r="AB919" s="21" t="str">
        <x:f>"н/д"</x:f>
        <x:v>н/д</x:v>
      </x:c>
      <x:c r="AC919" s="21" t="str">
        <x:f>IF(AND(J919="Рассчитано",T919&gt;0,R919&lt;100),(W919+P919+Q919)/(T919*(1-R919/100)),"н/д")</x:f>
        <x:v>н/д</x:v>
      </x:c>
      <x:c r="AD919" s="10" t="str">
        <x:f>IF(ISNUMBER(G919),IF(G919&lt;0,"Убыток",IF(G919=0,"Без прибыли","Прибыль &gt; 0")),"Не оценён")</x:f>
        <x:v>Не оценён</x:v>
      </x:c>
      <x:c r="AE919" s="13" t="str">
        <x:f>IF(J919="Рассчитано","Выручка "&amp;TEXT(V919,"0.00")&amp;" - себестоимость "&amp;TEXT(W919,"0.00")&amp;" - комиссия "&amp;TEXT(V919*R919/100,"0.00")&amp;" - доставка "&amp;TEXT(P919,"0.00")&amp;" - прочие "&amp;TEXT(Q919,"0.00")&amp;" = "&amp;TEXT(G919,"0.00")&amp;" "&amp;L919,"Введите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9" s="24" t="n">
        <x:v>4.098161412471958</x:v>
      </x:c>
      <x:c r="AG919" s="37" t="n">
        <x:v>13</x:v>
      </x:c>
      <x:c r="AH919" s="37" t="n">
        <x:v>0</x:v>
      </x:c>
      <x:c r="AI919" s="30" t="n">
        <x:v>46266</x:v>
      </x:c>
      <x:c r="AJ919" s="37" t="n">
        <x:v>8</x:v>
      </x:c>
      <x:c r="AK919" s="10" t="str">
        <x:v>минимум</x:v>
      </x:c>
      <x:c r="AL919" s="32" t="n">
        <x:v>269.75738116299556</x:v>
      </x:c>
      <x:c r="AM91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19" s="13" t="str">
        <x:v>Проверить свободный остаток и установить цену для B2B</x:v>
      </x:c>
      <x:c r="AO919" s="13" t="str">
        <x:v>Остаток 13; прогноз 90 дней 4.10; избыток 8 шт. Будущие поступления не выставляются на продажу. Остаток на начало сентября: требуется актуализация.</x:v>
      </x:c>
      <x:c r="AP919" s="13" t="str">
        <x:v>["category_missing", "daily_stockout_data_missing", "new_order_lead_time_unknown", "reservations_unknown", "stale_stock"]</x:v>
      </x:c>
      <x:c r="AQ919" s="10" t="str">
        <x:v>IEK:251400058_</x:v>
      </x:c>
      <x:c r="AR919" s="24" t="n">
        <x:v>1</x:v>
      </x:c>
      <x:c r="AS919" s="24" t="n">
        <x:v>0</x:v>
      </x:c>
      <x:c r="AT919" s="24" t="n">
        <x:v>0</x:v>
      </x:c>
    </x:row>
    <x:row r="920" ht="64" customHeight="1">
      <x:c r="A920" s="11" t="str">
        <x:v>IEK</x:v>
      </x:c>
      <x:c r="B920" s="33" t="str">
        <x:v>251400059_</x:v>
      </x:c>
      <x:c r="C920" s="33" t="str">
        <x:v>UIC-KP13-N-08-41-K01</x:v>
      </x:c>
      <x:c r="D920" s="12" t="str">
        <x:v>ЩРН-П  8  бел. дв. IP41 UNION Compact IEK</x:v>
      </x:c>
      <x:c r="E920" s="11" t="str">
        <x:v>шт</x:v>
      </x:c>
      <x:c r="F920" s="35" t="n">
        <x:f>MAX(0,ROUNDDOWN((AG920-AF920)/AR920+0.000000001,0)*AR920)</x:f>
        <x:v>7</x:v>
      </x:c>
      <x:c r="G920" s="20" t="str">
        <x:f>IF(J920="Рассчитано",V920*(1-R920/100)-W920-P920-Q920,"н/д")</x:f>
        <x:v>н/д</x:v>
      </x:c>
      <x:c r="H920" s="12" t="str">
        <x:v>Высокий</x:v>
      </x:c>
      <x:c r="I920" s="12" t="str">
        <x:v>Высокий</x:v>
      </x:c>
      <x:c r="J920" s="12" t="str">
        <x:f>IF(L920="","Укажите валюту",IF(NOT(ISNUMBER(K920)),"Укажите объём",IF(K920&lt;=0,"Укажите объём",IF(K920&gt;F920,"Объём выше излишка",IF(COUNT(M920:O920)&lt;3,"Нужны цены",IF(COUNT(P920:R920)&lt;3,"Нужны расходы",IF(OR(M920&lt;0,N920&lt;0,O920&lt;0,O920&gt;100,P920&lt;0,Q920&lt;0,R920&lt;0,R920&gt;100),"Проверьте значения","Рассчитано")))))))</x:f>
        <x:v>Нужны цены</x:v>
      </x:c>
      <x:c r="K920" s="36" t="n">
        <x:v>7</x:v>
      </x:c>
      <x:c r="L920" s="19" t="str">
        <x:v>KZT</x:v>
      </x:c>
      <x:c r="M920" s="22"/>
      <x:c r="N920" s="22"/>
      <x:c r="O920" s="28"/>
      <x:c r="P920" s="22"/>
      <x:c r="Q920" s="22"/>
      <x:c r="R920" s="28"/>
      <x:c r="S920" s="22"/>
      <x:c r="T920" s="35" t="n">
        <x:f>K920</x:f>
        <x:v>7</x:v>
      </x:c>
      <x:c r="U920" s="20" t="str">
        <x:f>IF(J920="Рассчитано",N920*(1-O920/100),"н/д")</x:f>
        <x:v>н/д</x:v>
      </x:c>
      <x:c r="V920" s="20" t="str">
        <x:f>IF(J920="Рассчитано",T920*U920,"н/д")</x:f>
        <x:v>н/д</x:v>
      </x:c>
      <x:c r="W920" s="20" t="str">
        <x:f>IF(J920="Рассчитано",T920*M920,"н/д")</x:f>
        <x:v>н/д</x:v>
      </x:c>
      <x:c r="X920" s="20" t="str">
        <x:f>IF(J920="Рассчитано",V920-W920,"н/д")</x:f>
        <x:v>н/д</x:v>
      </x:c>
      <x:c r="Y920" s="26" t="str">
        <x:f>IF(J920="Рассчитано",IF(V920&gt;0,G920/V920,"н/д"),"н/д")</x:f>
        <x:v>н/д</x:v>
      </x:c>
      <x:c r="Z920" s="20" t="str">
        <x:f>"н/д"</x:f>
        <x:v>н/д</x:v>
      </x:c>
      <x:c r="AA920" s="20" t="str">
        <x:f>"н/д"</x:f>
        <x:v>н/д</x:v>
      </x:c>
      <x:c r="AB920" s="20" t="str">
        <x:f>"н/д"</x:f>
        <x:v>н/д</x:v>
      </x:c>
      <x:c r="AC920" s="20" t="str">
        <x:f>IF(AND(J920="Рассчитано",T920&gt;0,R920&lt;100),(W920+P920+Q920)/(T920*(1-R920/100)),"н/д")</x:f>
        <x:v>н/д</x:v>
      </x:c>
      <x:c r="AD920" s="11" t="str">
        <x:f>IF(ISNUMBER(G920),IF(G920&lt;0,"Убыток",IF(G920=0,"Без прибыли","Прибыль &gt; 0")),"Не оценён")</x:f>
        <x:v>Не оценён</x:v>
      </x:c>
      <x:c r="AE920" s="12" t="str">
        <x:f>IF(J920="Рассчитано","Выручка "&amp;TEXT(V920,"0.00")&amp;" - себестоимость "&amp;TEXT(W920,"0.00")&amp;" - комиссия "&amp;TEXT(V920*R920/100,"0.00")&amp;" - доставка "&amp;TEXT(P920,"0.00")&amp;" - прочие "&amp;TEXT(Q920,"0.00")&amp;" = "&amp;TEXT(G920,"0.00")&amp;" "&amp;L920,"Введите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0" s="23" t="n">
        <x:v>1.1059178242669132</x:v>
      </x:c>
      <x:c r="AG920" s="35" t="n">
        <x:v>9</x:v>
      </x:c>
      <x:c r="AH920" s="35" t="n">
        <x:v>0</x:v>
      </x:c>
      <x:c r="AI920" s="29" t="n">
        <x:v>46266</x:v>
      </x:c>
      <x:c r="AJ920" s="35" t="n">
        <x:v>8</x:v>
      </x:c>
      <x:c r="AK920" s="11" t="str">
        <x:v>минимум</x:v>
      </x:c>
      <x:c r="AL920" s="31" t="n">
        <x:v>692.0519488312755</x:v>
      </x:c>
      <x:c r="AM92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20" s="12" t="str">
        <x:v>Проверить свободный остаток и установить цену для B2B</x:v>
      </x:c>
      <x:c r="AO920" s="12" t="str">
        <x:v>Остаток 9; прогноз 90 дней 1.11; избыток 7 шт. Будущие поступления не выставляются на продажу. Остаток на начало сентября: требуется актуализация.</x:v>
      </x:c>
      <x:c r="AP920" s="12" t="str">
        <x:v>["category_missing", "daily_stockout_data_missing", "large_orders_detected", "new_order_lead_time_unknown", "reservations_unknown", "stale_stock"]</x:v>
      </x:c>
      <x:c r="AQ920" s="11" t="str">
        <x:v>IEK:251400059_</x:v>
      </x:c>
      <x:c r="AR920" s="23" t="n">
        <x:v>1</x:v>
      </x:c>
      <x:c r="AS920" s="23" t="n">
        <x:v>0</x:v>
      </x:c>
      <x:c r="AT920" s="23" t="n">
        <x:v>0</x:v>
      </x:c>
    </x:row>
    <x:row r="921" ht="64" customHeight="1">
      <x:c r="A921" s="10" t="str">
        <x:v>IEK</x:v>
      </x:c>
      <x:c r="B921" s="34" t="str">
        <x:v>251400060_</x:v>
      </x:c>
      <x:c r="C921" s="34" t="str">
        <x:v>UIC-KP13-N-12-41-K01</x:v>
      </x:c>
      <x:c r="D921" s="13" t="str">
        <x:v>ЩРН-П 12  бел. дв. IP41 UNION Compact IEK</x:v>
      </x:c>
      <x:c r="E921" s="10" t="str">
        <x:v>шт</x:v>
      </x:c>
      <x:c r="F921" s="37" t="n">
        <x:f>MAX(0,ROUNDDOWN((AG921-AF921)/AR921+0.000000001,0)*AR921)</x:f>
        <x:v>2</x:v>
      </x:c>
      <x:c r="G921" s="21" t="str">
        <x:f>IF(J921="Рассчитано",V921*(1-R921/100)-W921-P921-Q921,"н/д")</x:f>
        <x:v>н/д</x:v>
      </x:c>
      <x:c r="H921" s="13" t="str">
        <x:v>Высокий</x:v>
      </x:c>
      <x:c r="I921" s="13" t="str">
        <x:v>Средний</x:v>
      </x:c>
      <x:c r="J921" s="13" t="str">
        <x:f>IF(L921="","Укажите валюту",IF(NOT(ISNUMBER(K921)),"Укажите объём",IF(K921&lt;=0,"Укажите объём",IF(K921&gt;F921,"Объём выше излишка",IF(COUNT(M921:O921)&lt;3,"Нужны цены",IF(COUNT(P921:R921)&lt;3,"Нужны расходы",IF(OR(M921&lt;0,N921&lt;0,O921&lt;0,O921&gt;100,P921&lt;0,Q921&lt;0,R921&lt;0,R921&gt;100),"Проверьте значения","Рассчитано")))))))</x:f>
        <x:v>Нужны цены</x:v>
      </x:c>
      <x:c r="K921" s="36" t="n">
        <x:v>2</x:v>
      </x:c>
      <x:c r="L921" s="19" t="str">
        <x:v>KZT</x:v>
      </x:c>
      <x:c r="M921" s="22"/>
      <x:c r="N921" s="22"/>
      <x:c r="O921" s="28"/>
      <x:c r="P921" s="22"/>
      <x:c r="Q921" s="22"/>
      <x:c r="R921" s="28"/>
      <x:c r="S921" s="22"/>
      <x:c r="T921" s="37" t="n">
        <x:f>K921</x:f>
        <x:v>2</x:v>
      </x:c>
      <x:c r="U921" s="21" t="str">
        <x:f>IF(J921="Рассчитано",N921*(1-O921/100),"н/д")</x:f>
        <x:v>н/д</x:v>
      </x:c>
      <x:c r="V921" s="21" t="str">
        <x:f>IF(J921="Рассчитано",T921*U921,"н/д")</x:f>
        <x:v>н/д</x:v>
      </x:c>
      <x:c r="W921" s="21" t="str">
        <x:f>IF(J921="Рассчитано",T921*M921,"н/д")</x:f>
        <x:v>н/д</x:v>
      </x:c>
      <x:c r="X921" s="21" t="str">
        <x:f>IF(J921="Рассчитано",V921-W921,"н/д")</x:f>
        <x:v>н/д</x:v>
      </x:c>
      <x:c r="Y921" s="27" t="str">
        <x:f>IF(J921="Рассчитано",IF(V921&gt;0,G921/V921,"н/д"),"н/д")</x:f>
        <x:v>н/д</x:v>
      </x:c>
      <x:c r="Z921" s="21" t="str">
        <x:f>"н/д"</x:f>
        <x:v>н/д</x:v>
      </x:c>
      <x:c r="AA921" s="21" t="str">
        <x:f>"н/д"</x:f>
        <x:v>н/д</x:v>
      </x:c>
      <x:c r="AB921" s="21" t="str">
        <x:f>"н/д"</x:f>
        <x:v>н/д</x:v>
      </x:c>
      <x:c r="AC921" s="21" t="str">
        <x:f>IF(AND(J921="Рассчитано",T921&gt;0,R921&lt;100),(W921+P921+Q921)/(T921*(1-R921/100)),"н/д")</x:f>
        <x:v>н/д</x:v>
      </x:c>
      <x:c r="AD921" s="10" t="str">
        <x:f>IF(ISNUMBER(G921),IF(G921&lt;0,"Убыток",IF(G921=0,"Без прибыли","Прибыль &gt; 0")),"Не оценён")</x:f>
        <x:v>Не оценён</x:v>
      </x:c>
      <x:c r="AE921" s="13" t="str">
        <x:f>IF(J921="Рассчитано","Выручка "&amp;TEXT(V921,"0.00")&amp;" - себестоимость "&amp;TEXT(W921,"0.00")&amp;" - комиссия "&amp;TEXT(V921*R921/100,"0.00")&amp;" - доставка "&amp;TEXT(P921,"0.00")&amp;" - прочие "&amp;TEXT(Q921,"0.00")&amp;" = "&amp;TEXT(G921,"0.00")&amp;" "&amp;L921,"Введите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1" s="24" t="n">
        <x:v>2.9415903584853433</x:v>
      </x:c>
      <x:c r="AG921" s="37" t="n">
        <x:v>5</x:v>
      </x:c>
      <x:c r="AH921" s="37" t="n">
        <x:v>0</x:v>
      </x:c>
      <x:c r="AI921" s="30" t="n">
        <x:v>46266</x:v>
      </x:c>
      <x:c r="AJ921" s="37" t="n">
        <x:v>8</x:v>
      </x:c>
      <x:c r="AK921" s="10" t="str">
        <x:v>минимум</x:v>
      </x:c>
      <x:c r="AL921" s="32" t="n">
        <x:v>144.54625866722748</x:v>
      </x:c>
      <x:c r="AM921" s="13" t="str">
        <x:v>Остаток на начало сентября; Резервы неизвестны; Нет ежедневных данных доступности. Запас выше прогноза на 90 дней</x:v>
      </x:c>
      <x:c r="AN921" s="13" t="str">
        <x:v>Проверить свободный остаток и установить цену для B2B</x:v>
      </x:c>
      <x:c r="AO921" s="13" t="str">
        <x:v>Остаток 5; прогноз 90 дней 2.94; избыток 2 шт. Будущие поступления не выставляются на продажу. Остаток на начало сентября: требуется актуализация.</x:v>
      </x:c>
      <x:c r="AP921" s="13" t="str">
        <x:v>["category_missing", "daily_stockout_data_missing", "new_order_lead_time_unknown", "reservations_unknown", "stale_stock"]</x:v>
      </x:c>
      <x:c r="AQ921" s="10" t="str">
        <x:v>IEK:251400060_</x:v>
      </x:c>
      <x:c r="AR921" s="24" t="n">
        <x:v>1</x:v>
      </x:c>
      <x:c r="AS921" s="24" t="n">
        <x:v>0</x:v>
      </x:c>
      <x:c r="AT921" s="24" t="n">
        <x:v>0</x:v>
      </x:c>
    </x:row>
    <x:row r="922" ht="64" customHeight="1">
      <x:c r="A922" s="11" t="str">
        <x:v>IEK</x:v>
      </x:c>
      <x:c r="B922" s="33" t="str">
        <x:v>251400062_</x:v>
      </x:c>
      <x:c r="C922" s="33" t="str">
        <x:v>UIC-KP13-V-08-41-K01</x:v>
      </x:c>
      <x:c r="D922" s="12" t="str">
        <x:v>ЩРВ-П  8  бел. дв. IP41 UNION Compact IEK</x:v>
      </x:c>
      <x:c r="E922" s="11" t="str">
        <x:v>шт</x:v>
      </x:c>
      <x:c r="F922" s="35" t="n">
        <x:f>MAX(0,ROUNDDOWN((AG922-AF922)/AR922+0.000000001,0)*AR922)</x:f>
        <x:v>6</x:v>
      </x:c>
      <x:c r="G922" s="20" t="str">
        <x:f>IF(J922="Рассчитано",V922*(1-R922/100)-W922-P922-Q922,"н/д")</x:f>
        <x:v>н/д</x:v>
      </x:c>
      <x:c r="H922" s="12" t="str">
        <x:v>Высокий</x:v>
      </x:c>
      <x:c r="I922" s="12" t="str">
        <x:v>Высокий</x:v>
      </x:c>
      <x:c r="J922" s="12" t="str">
        <x:f>IF(L922="","Укажите валюту",IF(NOT(ISNUMBER(K922)),"Укажите объём",IF(K922&lt;=0,"Укажите объём",IF(K922&gt;F922,"Объём выше излишка",IF(COUNT(M922:O922)&lt;3,"Нужны цены",IF(COUNT(P922:R922)&lt;3,"Нужны расходы",IF(OR(M922&lt;0,N922&lt;0,O922&lt;0,O922&gt;100,P922&lt;0,Q922&lt;0,R922&lt;0,R922&gt;100),"Проверьте значения","Рассчитано")))))))</x:f>
        <x:v>Нужны цены</x:v>
      </x:c>
      <x:c r="K922" s="36" t="n">
        <x:v>6</x:v>
      </x:c>
      <x:c r="L922" s="19" t="str">
        <x:v>KZT</x:v>
      </x:c>
      <x:c r="M922" s="22"/>
      <x:c r="N922" s="22"/>
      <x:c r="O922" s="28"/>
      <x:c r="P922" s="22"/>
      <x:c r="Q922" s="22"/>
      <x:c r="R922" s="28"/>
      <x:c r="S922" s="22"/>
      <x:c r="T922" s="35" t="n">
        <x:f>K922</x:f>
        <x:v>6</x:v>
      </x:c>
      <x:c r="U922" s="20" t="str">
        <x:f>IF(J922="Рассчитано",N922*(1-O922/100),"н/д")</x:f>
        <x:v>н/д</x:v>
      </x:c>
      <x:c r="V922" s="20" t="str">
        <x:f>IF(J922="Рассчитано",T922*U922,"н/д")</x:f>
        <x:v>н/д</x:v>
      </x:c>
      <x:c r="W922" s="20" t="str">
        <x:f>IF(J922="Рассчитано",T922*M922,"н/д")</x:f>
        <x:v>н/д</x:v>
      </x:c>
      <x:c r="X922" s="20" t="str">
        <x:f>IF(J922="Рассчитано",V922-W922,"н/д")</x:f>
        <x:v>н/д</x:v>
      </x:c>
      <x:c r="Y922" s="26" t="str">
        <x:f>IF(J922="Рассчитано",IF(V922&gt;0,G922/V922,"н/д"),"н/д")</x:f>
        <x:v>н/д</x:v>
      </x:c>
      <x:c r="Z922" s="20" t="str">
        <x:f>"н/д"</x:f>
        <x:v>н/д</x:v>
      </x:c>
      <x:c r="AA922" s="20" t="str">
        <x:f>"н/д"</x:f>
        <x:v>н/д</x:v>
      </x:c>
      <x:c r="AB922" s="20" t="str">
        <x:f>"н/д"</x:f>
        <x:v>н/д</x:v>
      </x:c>
      <x:c r="AC922" s="20" t="str">
        <x:f>IF(AND(J922="Рассчитано",T922&gt;0,R922&lt;100),(W922+P922+Q922)/(T922*(1-R922/100)),"н/д")</x:f>
        <x:v>н/д</x:v>
      </x:c>
      <x:c r="AD922" s="11" t="str">
        <x:f>IF(ISNUMBER(G922),IF(G922&lt;0,"Убыток",IF(G922=0,"Без прибыли","Прибыль &gt; 0")),"Не оценён")</x:f>
        <x:v>Не оценён</x:v>
      </x:c>
      <x:c r="AE922" s="12" t="str">
        <x:f>IF(J922="Рассчитано","Выручка "&amp;TEXT(V922,"0.00")&amp;" - себестоимость "&amp;TEXT(W922,"0.00")&amp;" - комиссия "&amp;TEXT(V922*R922/100,"0.00")&amp;" - доставка "&amp;TEXT(P922,"0.00")&amp;" - прочие "&amp;TEXT(Q922,"0.00")&amp;" = "&amp;TEXT(G922,"0.00")&amp;" "&amp;L922,"Введите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2" s="23" t="n">
        <x:v>0.5640590863558003</x:v>
      </x:c>
      <x:c r="AG922" s="35" t="n">
        <x:v>7</x:v>
      </x:c>
      <x:c r="AH922" s="35" t="n">
        <x:v>0</x:v>
      </x:c>
      <x:c r="AI922" s="29" t="n">
        <x:v>46266</x:v>
      </x:c>
      <x:c r="AJ922" s="35" t="n">
        <x:v>8</x:v>
      </x:c>
      <x:c r="AK922" s="11" t="str">
        <x:v>минимум</x:v>
      </x:c>
      <x:c r="AL922" s="31" t="n">
        <x:v>1055.3402074182945</x:v>
      </x:c>
      <x:c r="AM92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22" s="12" t="str">
        <x:v>Проверить свободный остаток и установить цену для B2B</x:v>
      </x:c>
      <x:c r="AO922" s="12" t="str">
        <x:v>Остаток 7; прогноз 90 дней 0.56; избыток 6 шт. Будущие поступления не выставляются на продажу. Остаток на начало сентября: требуется актуализация.</x:v>
      </x:c>
      <x:c r="AP922" s="12" t="str">
        <x:v>["category_missing", "daily_stockout_data_missing", "new_order_lead_time_unknown", "reservations_unknown", "stale_stock"]</x:v>
      </x:c>
      <x:c r="AQ922" s="11" t="str">
        <x:v>IEK:251400062_</x:v>
      </x:c>
      <x:c r="AR922" s="23" t="n">
        <x:v>1</x:v>
      </x:c>
      <x:c r="AS922" s="23" t="n">
        <x:v>0</x:v>
      </x:c>
      <x:c r="AT922" s="23" t="n">
        <x:v>0</x:v>
      </x:c>
    </x:row>
    <x:row r="923" ht="64" customHeight="1">
      <x:c r="A923" s="10" t="str">
        <x:v>IEK</x:v>
      </x:c>
      <x:c r="B923" s="34" t="str">
        <x:v>251400063_</x:v>
      </x:c>
      <x:c r="C923" s="34" t="str">
        <x:v>UIC-KP13-V-12-41-K01</x:v>
      </x:c>
      <x:c r="D923" s="13" t="str">
        <x:v>ЩРВ-П 12  бел. дв. IP41 UNION Compact IEK</x:v>
      </x:c>
      <x:c r="E923" s="10" t="str">
        <x:v>шт</x:v>
      </x:c>
      <x:c r="F923" s="37" t="n">
        <x:f>MAX(0,ROUNDDOWN((AG923-AF923)/AR923+0.000000001,0)*AR923)</x:f>
        <x:v>9</x:v>
      </x:c>
      <x:c r="G923" s="21" t="str">
        <x:f>IF(J923="Рассчитано",V923*(1-R923/100)-W923-P923-Q923,"н/д")</x:f>
        <x:v>н/д</x:v>
      </x:c>
      <x:c r="H923" s="13" t="str">
        <x:v>Высокий</x:v>
      </x:c>
      <x:c r="I923" s="13" t="str">
        <x:v>Высокий</x:v>
      </x:c>
      <x:c r="J923" s="13" t="str">
        <x:f>IF(L923="","Укажите валюту",IF(NOT(ISNUMBER(K923)),"Укажите объём",IF(K923&lt;=0,"Укажите объём",IF(K923&gt;F923,"Объём выше излишка",IF(COUNT(M923:O923)&lt;3,"Нужны цены",IF(COUNT(P923:R923)&lt;3,"Нужны расходы",IF(OR(M923&lt;0,N923&lt;0,O923&lt;0,O923&gt;100,P923&lt;0,Q923&lt;0,R923&lt;0,R923&gt;100),"Проверьте значения","Рассчитано")))))))</x:f>
        <x:v>Нужны цены</x:v>
      </x:c>
      <x:c r="K923" s="36" t="n">
        <x:v>9</x:v>
      </x:c>
      <x:c r="L923" s="19" t="str">
        <x:v>KZT</x:v>
      </x:c>
      <x:c r="M923" s="22"/>
      <x:c r="N923" s="22"/>
      <x:c r="O923" s="28"/>
      <x:c r="P923" s="22"/>
      <x:c r="Q923" s="22"/>
      <x:c r="R923" s="28"/>
      <x:c r="S923" s="22"/>
      <x:c r="T923" s="37" t="n">
        <x:f>K923</x:f>
        <x:v>9</x:v>
      </x:c>
      <x:c r="U923" s="21" t="str">
        <x:f>IF(J923="Рассчитано",N923*(1-O923/100),"н/д")</x:f>
        <x:v>н/д</x:v>
      </x:c>
      <x:c r="V923" s="21" t="str">
        <x:f>IF(J923="Рассчитано",T923*U923,"н/д")</x:f>
        <x:v>н/д</x:v>
      </x:c>
      <x:c r="W923" s="21" t="str">
        <x:f>IF(J923="Рассчитано",T923*M923,"н/д")</x:f>
        <x:v>н/д</x:v>
      </x:c>
      <x:c r="X923" s="21" t="str">
        <x:f>IF(J923="Рассчитано",V923-W923,"н/д")</x:f>
        <x:v>н/д</x:v>
      </x:c>
      <x:c r="Y923" s="27" t="str">
        <x:f>IF(J923="Рассчитано",IF(V923&gt;0,G923/V923,"н/д"),"н/д")</x:f>
        <x:v>н/д</x:v>
      </x:c>
      <x:c r="Z923" s="21" t="str">
        <x:f>"н/д"</x:f>
        <x:v>н/д</x:v>
      </x:c>
      <x:c r="AA923" s="21" t="str">
        <x:f>"н/д"</x:f>
        <x:v>н/д</x:v>
      </x:c>
      <x:c r="AB923" s="21" t="str">
        <x:f>"н/д"</x:f>
        <x:v>н/д</x:v>
      </x:c>
      <x:c r="AC923" s="21" t="str">
        <x:f>IF(AND(J923="Рассчитано",T923&gt;0,R923&lt;100),(W923+P923+Q923)/(T923*(1-R923/100)),"н/д")</x:f>
        <x:v>н/д</x:v>
      </x:c>
      <x:c r="AD923" s="10" t="str">
        <x:f>IF(ISNUMBER(G923),IF(G923&lt;0,"Убыток",IF(G923=0,"Без прибыли","Прибыль &gt; 0")),"Не оценён")</x:f>
        <x:v>Не оценён</x:v>
      </x:c>
      <x:c r="AE923" s="13" t="str">
        <x:f>IF(J923="Рассчитано","Выручка "&amp;TEXT(V923,"0.00")&amp;" - себестоимость "&amp;TEXT(W923,"0.00")&amp;" - комиссия "&amp;TEXT(V923*R923/100,"0.00")&amp;" - доставка "&amp;TEXT(P923,"0.00")&amp;" - прочие "&amp;TEXT(Q923,"0.00")&amp;" = "&amp;TEXT(G923,"0.00")&amp;" "&amp;L923,"Введите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3" s="24" t="n">
        <x:v>2.8506513514583385</x:v>
      </x:c>
      <x:c r="AG923" s="37" t="n">
        <x:v>12</x:v>
      </x:c>
      <x:c r="AH923" s="37" t="n">
        <x:v>0</x:v>
      </x:c>
      <x:c r="AI923" s="30" t="n">
        <x:v>46266</x:v>
      </x:c>
      <x:c r="AJ923" s="37" t="n">
        <x:v>8</x:v>
      </x:c>
      <x:c r="AK923" s="10" t="str">
        <x:v>минимум</x:v>
      </x:c>
      <x:c r="AL923" s="32" t="n">
        <x:v>357.9778753089165</x:v>
      </x:c>
      <x:c r="AM92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23" s="13" t="str">
        <x:v>Проверить свободный остаток и установить цену для B2B</x:v>
      </x:c>
      <x:c r="AO923" s="13" t="str">
        <x:v>Остаток 12; прогноз 90 дней 2.85; избыток 9 шт. Будущие поступления не выставляются на продажу. Остаток на начало сентября: требуется актуализация.</x:v>
      </x:c>
      <x:c r="AP923" s="13" t="str">
        <x:v>["category_missing", "daily_stockout_data_missing", "new_order_lead_time_unknown", "reservations_unknown", "stale_stock"]</x:v>
      </x:c>
      <x:c r="AQ923" s="10" t="str">
        <x:v>IEK:251400063_</x:v>
      </x:c>
      <x:c r="AR923" s="24" t="n">
        <x:v>1</x:v>
      </x:c>
      <x:c r="AS923" s="24" t="n">
        <x:v>0</x:v>
      </x:c>
      <x:c r="AT923" s="24" t="n">
        <x:v>0</x:v>
      </x:c>
    </x:row>
    <x:row r="924" ht="64" customHeight="1">
      <x:c r="A924" s="11" t="str">
        <x:v>IEK</x:v>
      </x:c>
      <x:c r="B924" s="33" t="str">
        <x:v>251400064_</x:v>
      </x:c>
      <x:c r="C924" s="33" t="str">
        <x:v>UIC-KP13-V-18-41-K01</x:v>
      </x:c>
      <x:c r="D924" s="12" t="str">
        <x:v>ЩРВ-П 18  бел. дв. IP41 UNION Compact IEK</x:v>
      </x:c>
      <x:c r="E924" s="11" t="str">
        <x:v>шт</x:v>
      </x:c>
      <x:c r="F924" s="35" t="n">
        <x:f>MAX(0,ROUNDDOWN((AG924-AF924)/AR924+0.000000001,0)*AR924)</x:f>
        <x:v>13</x:v>
      </x:c>
      <x:c r="G924" s="20" t="str">
        <x:f>IF(J924="Рассчитано",V924*(1-R924/100)-W924-P924-Q924,"н/д")</x:f>
        <x:v>н/д</x:v>
      </x:c>
      <x:c r="H924" s="12" t="str">
        <x:v>Высокий</x:v>
      </x:c>
      <x:c r="I924" s="12" t="str">
        <x:v>Высокий</x:v>
      </x:c>
      <x:c r="J924" s="12" t="str">
        <x:f>IF(L924="","Укажите валюту",IF(NOT(ISNUMBER(K924)),"Укажите объём",IF(K924&lt;=0,"Укажите объём",IF(K924&gt;F924,"Объём выше излишка",IF(COUNT(M924:O924)&lt;3,"Нужны цены",IF(COUNT(P924:R924)&lt;3,"Нужны расходы",IF(OR(M924&lt;0,N924&lt;0,O924&lt;0,O924&gt;100,P924&lt;0,Q924&lt;0,R924&lt;0,R924&gt;100),"Проверьте значения","Рассчитано")))))))</x:f>
        <x:v>Нужны цены</x:v>
      </x:c>
      <x:c r="K924" s="36" t="n">
        <x:v>13</x:v>
      </x:c>
      <x:c r="L924" s="19" t="str">
        <x:v>KZT</x:v>
      </x:c>
      <x:c r="M924" s="22"/>
      <x:c r="N924" s="22"/>
      <x:c r="O924" s="28"/>
      <x:c r="P924" s="22"/>
      <x:c r="Q924" s="22"/>
      <x:c r="R924" s="28"/>
      <x:c r="S924" s="22"/>
      <x:c r="T924" s="35" t="n">
        <x:f>K924</x:f>
        <x:v>13</x:v>
      </x:c>
      <x:c r="U924" s="20" t="str">
        <x:f>IF(J924="Рассчитано",N924*(1-O924/100),"н/д")</x:f>
        <x:v>н/д</x:v>
      </x:c>
      <x:c r="V924" s="20" t="str">
        <x:f>IF(J924="Рассчитано",T924*U924,"н/д")</x:f>
        <x:v>н/д</x:v>
      </x:c>
      <x:c r="W924" s="20" t="str">
        <x:f>IF(J924="Рассчитано",T924*M924,"н/д")</x:f>
        <x:v>н/д</x:v>
      </x:c>
      <x:c r="X924" s="20" t="str">
        <x:f>IF(J924="Рассчитано",V924-W924,"н/д")</x:f>
        <x:v>н/д</x:v>
      </x:c>
      <x:c r="Y924" s="26" t="str">
        <x:f>IF(J924="Рассчитано",IF(V924&gt;0,G924/V924,"н/д"),"н/д")</x:f>
        <x:v>н/д</x:v>
      </x:c>
      <x:c r="Z924" s="20" t="str">
        <x:f>"н/д"</x:f>
        <x:v>н/д</x:v>
      </x:c>
      <x:c r="AA924" s="20" t="str">
        <x:f>"н/д"</x:f>
        <x:v>н/д</x:v>
      </x:c>
      <x:c r="AB924" s="20" t="str">
        <x:f>"н/д"</x:f>
        <x:v>н/д</x:v>
      </x:c>
      <x:c r="AC924" s="20" t="str">
        <x:f>IF(AND(J924="Рассчитано",T924&gt;0,R924&lt;100),(W924+P924+Q924)/(T924*(1-R924/100)),"н/д")</x:f>
        <x:v>н/д</x:v>
      </x:c>
      <x:c r="AD924" s="11" t="str">
        <x:f>IF(ISNUMBER(G924),IF(G924&lt;0,"Убыток",IF(G924=0,"Без прибыли","Прибыль &gt; 0")),"Не оценён")</x:f>
        <x:v>Не оценён</x:v>
      </x:c>
      <x:c r="AE924" s="12" t="str">
        <x:f>IF(J924="Рассчитано","Выручка "&amp;TEXT(V924,"0.00")&amp;" - себестоимость "&amp;TEXT(W924,"0.00")&amp;" - комиссия "&amp;TEXT(V924*R924/100,"0.00")&amp;" - доставка "&amp;TEXT(P924,"0.00")&amp;" - прочие "&amp;TEXT(Q924,"0.00")&amp;" = "&amp;TEXT(G924,"0.00")&amp;" "&amp;L924,"Введите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4" s="23" t="n">
        <x:v>1.5554255736787774</x:v>
      </x:c>
      <x:c r="AG924" s="35" t="n">
        <x:v>15</x:v>
      </x:c>
      <x:c r="AH924" s="35" t="n">
        <x:v>0</x:v>
      </x:c>
      <x:c r="AI924" s="29" t="n">
        <x:v>46266</x:v>
      </x:c>
      <x:c r="AJ924" s="35" t="n">
        <x:v>4</x:v>
      </x:c>
      <x:c r="AK924" s="11" t="str">
        <x:v>минимум</x:v>
      </x:c>
      <x:c r="AL924" s="31" t="n">
        <x:v>820.0891538223902</x:v>
      </x:c>
      <x:c r="AM92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24" s="12" t="str">
        <x:v>Проверить свободный остаток и установить цену для B2B</x:v>
      </x:c>
      <x:c r="AO924" s="12" t="str">
        <x:v>Остаток 15; прогноз 90 дней 1.56; избыток 13 шт. Будущие поступления не выставляются на продажу. Остаток на начало сентября: требуется актуализация.</x:v>
      </x:c>
      <x:c r="AP924" s="12" t="str">
        <x:v>["category_missing", "daily_stockout_data_missing", "large_orders_detected", "new_order_lead_time_unknown", "reservations_unknown", "stale_stock"]</x:v>
      </x:c>
      <x:c r="AQ924" s="11" t="str">
        <x:v>IEK:251400064_</x:v>
      </x:c>
      <x:c r="AR924" s="23" t="n">
        <x:v>1</x:v>
      </x:c>
      <x:c r="AS924" s="23" t="n">
        <x:v>0</x:v>
      </x:c>
      <x:c r="AT924" s="23" t="n">
        <x:v>0</x:v>
      </x:c>
    </x:row>
    <x:row r="925" ht="64" customHeight="1">
      <x:c r="A925" s="10" t="str">
        <x:v>IEK</x:v>
      </x:c>
      <x:c r="B925" s="34" t="str">
        <x:v>251400065_</x:v>
      </x:c>
      <x:c r="C925" s="34" t="str">
        <x:v>TI5-50-N-012-54-7035</x:v>
      </x:c>
      <x:c r="D925" s="13" t="str">
        <x:v>ЩРН  12 (1х12мод) 335х310х140 IP54 TITAN 5 IEK</x:v>
      </x:c>
      <x:c r="E925" s="10" t="str">
        <x:v>шт</x:v>
      </x:c>
      <x:c r="F925" s="37" t="n">
        <x:f>MAX(0,ROUNDDOWN((AG925-AF925)/AR925+0.000000001,0)*AR925)</x:f>
        <x:v>3</x:v>
      </x:c>
      <x:c r="G925" s="21" t="str">
        <x:f>IF(J925="Рассчитано",V925*(1-R925/100)-W925-P925-Q925,"н/д")</x:f>
        <x:v>н/д</x:v>
      </x:c>
      <x:c r="H925" s="13" t="str">
        <x:v>Высокий</x:v>
      </x:c>
      <x:c r="I925" s="13" t="str">
        <x:v>Средний</x:v>
      </x:c>
      <x:c r="J925" s="13" t="str">
        <x:f>IF(L925="","Укажите валюту",IF(NOT(ISNUMBER(K925)),"Укажите объём",IF(K925&lt;=0,"Укажите объём",IF(K925&gt;F925,"Объём выше излишка",IF(COUNT(M925:O925)&lt;3,"Нужны цены",IF(COUNT(P925:R925)&lt;3,"Нужны расходы",IF(OR(M925&lt;0,N925&lt;0,O925&lt;0,O925&gt;100,P925&lt;0,Q925&lt;0,R925&lt;0,R925&gt;100),"Проверьте значения","Рассчитано")))))))</x:f>
        <x:v>Нужны цены</x:v>
      </x:c>
      <x:c r="K925" s="36" t="n">
        <x:v>3</x:v>
      </x:c>
      <x:c r="L925" s="19" t="str">
        <x:v>KZT</x:v>
      </x:c>
      <x:c r="M925" s="22"/>
      <x:c r="N925" s="22"/>
      <x:c r="O925" s="28"/>
      <x:c r="P925" s="22"/>
      <x:c r="Q925" s="22"/>
      <x:c r="R925" s="28"/>
      <x:c r="S925" s="22"/>
      <x:c r="T925" s="37" t="n">
        <x:f>K925</x:f>
        <x:v>3</x:v>
      </x:c>
      <x:c r="U925" s="21" t="str">
        <x:f>IF(J925="Рассчитано",N925*(1-O925/100),"н/д")</x:f>
        <x:v>н/д</x:v>
      </x:c>
      <x:c r="V925" s="21" t="str">
        <x:f>IF(J925="Рассчитано",T925*U925,"н/д")</x:f>
        <x:v>н/д</x:v>
      </x:c>
      <x:c r="W925" s="21" t="str">
        <x:f>IF(J925="Рассчитано",T925*M925,"н/д")</x:f>
        <x:v>н/д</x:v>
      </x:c>
      <x:c r="X925" s="21" t="str">
        <x:f>IF(J925="Рассчитано",V925-W925,"н/д")</x:f>
        <x:v>н/д</x:v>
      </x:c>
      <x:c r="Y925" s="27" t="str">
        <x:f>IF(J925="Рассчитано",IF(V925&gt;0,G925/V925,"н/д"),"н/д")</x:f>
        <x:v>н/д</x:v>
      </x:c>
      <x:c r="Z925" s="21" t="str">
        <x:f>"н/д"</x:f>
        <x:v>н/д</x:v>
      </x:c>
      <x:c r="AA925" s="21" t="str">
        <x:f>"н/д"</x:f>
        <x:v>н/д</x:v>
      </x:c>
      <x:c r="AB925" s="21" t="str">
        <x:f>"н/д"</x:f>
        <x:v>н/д</x:v>
      </x:c>
      <x:c r="AC925" s="21" t="str">
        <x:f>IF(AND(J925="Рассчитано",T925&gt;0,R925&lt;100),(W925+P925+Q925)/(T925*(1-R925/100)),"н/д")</x:f>
        <x:v>н/д</x:v>
      </x:c>
      <x:c r="AD925" s="10" t="str">
        <x:f>IF(ISNUMBER(G925),IF(G925&lt;0,"Убыток",IF(G925=0,"Без прибыли","Прибыль &gt; 0")),"Не оценён")</x:f>
        <x:v>Не оценён</x:v>
      </x:c>
      <x:c r="AE925" s="13" t="str">
        <x:f>IF(J925="Рассчитано","Выручка "&amp;TEXT(V925,"0.00")&amp;" - себестоимость "&amp;TEXT(W925,"0.00")&amp;" - комиссия "&amp;TEXT(V925*R925/100,"0.00")&amp;" - доставка "&amp;TEXT(P925,"0.00")&amp;" - прочие "&amp;TEXT(Q925,"0.00")&amp;" = "&amp;TEXT(G925,"0.00")&amp;" "&amp;L925,"Введите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5" s="24" t="n">
        <x:v>13.449486011617426</x:v>
      </x:c>
      <x:c r="AG925" s="37" t="n">
        <x:v>17</x:v>
      </x:c>
      <x:c r="AH925" s="37" t="n">
        <x:v>0</x:v>
      </x:c>
      <x:c r="AI925" s="30" t="n">
        <x:v>46266</x:v>
      </x:c>
      <x:c r="AJ925" s="37" t="n">
        <x:v>1</x:v>
      </x:c>
      <x:c r="AK925" s="10" t="str">
        <x:v>минимум</x:v>
      </x:c>
      <x:c r="AL925" s="32" t="n">
        <x:v>107.48856823550399</x:v>
      </x:c>
      <x:c r="AM925" s="13" t="str">
        <x:v>Остаток на начало сентября; Резервы неизвестны; Нет ежедневных данных доступности. Запас выше прогноза на 90 дней</x:v>
      </x:c>
      <x:c r="AN925" s="13" t="str">
        <x:v>Проверить свободный остаток и установить цену для B2B</x:v>
      </x:c>
      <x:c r="AO925" s="13" t="str">
        <x:v>Остаток 17; прогноз 90 дней 13.45; избыток 3 шт. Будущие поступления не выставляются на продажу. Остаток на начало сентября: требуется актуализация.</x:v>
      </x:c>
      <x:c r="AP925" s="13" t="str">
        <x:v>["category_missing", "daily_stockout_data_missing", "large_orders_detected", "new_order_lead_time_unknown", "reservations_unknown", "stale_stock"]</x:v>
      </x:c>
      <x:c r="AQ925" s="10" t="str">
        <x:v>IEK:251400065_</x:v>
      </x:c>
      <x:c r="AR925" s="24" t="n">
        <x:v>1</x:v>
      </x:c>
      <x:c r="AS925" s="24" t="n">
        <x:v>0</x:v>
      </x:c>
      <x:c r="AT925" s="24" t="n">
        <x:v>0</x:v>
      </x:c>
    </x:row>
    <x:row r="926" ht="64" customHeight="1">
      <x:c r="A926" s="11" t="str">
        <x:v>IEK</x:v>
      </x:c>
      <x:c r="B926" s="33" t="str">
        <x:v>251400066_</x:v>
      </x:c>
      <x:c r="C926" s="33" t="str">
        <x:v>TI5-50-N-048-54-7035</x:v>
      </x:c>
      <x:c r="D926" s="12" t="str">
        <x:v>ЩРН  48 (1х48мод) 710х310х140 IP54 TITAN 5 IEK</x:v>
      </x:c>
      <x:c r="E926" s="11" t="str">
        <x:v>шт</x:v>
      </x:c>
      <x:c r="F926" s="35" t="n">
        <x:f>MAX(0,ROUNDDOWN((AG926-AF926)/AR926+0.000000001,0)*AR926)</x:f>
        <x:v>3</x:v>
      </x:c>
      <x:c r="G926" s="20" t="str">
        <x:f>IF(J926="Рассчитано",V926*(1-R926/100)-W926-P926-Q926,"н/д")</x:f>
        <x:v>н/д</x:v>
      </x:c>
      <x:c r="H926" s="12" t="str">
        <x:v>Высокий</x:v>
      </x:c>
      <x:c r="I926" s="12" t="str">
        <x:v>Высокий</x:v>
      </x:c>
      <x:c r="J926" s="12" t="str">
        <x:f>IF(L926="","Укажите валюту",IF(NOT(ISNUMBER(K926)),"Укажите объём",IF(K926&lt;=0,"Укажите объём",IF(K926&gt;F926,"Объём выше излишка",IF(COUNT(M926:O926)&lt;3,"Нужны цены",IF(COUNT(P926:R926)&lt;3,"Нужны расходы",IF(OR(M926&lt;0,N926&lt;0,O926&lt;0,O926&gt;100,P926&lt;0,Q926&lt;0,R926&lt;0,R926&gt;100),"Проверьте значения","Рассчитано")))))))</x:f>
        <x:v>Нужны цены</x:v>
      </x:c>
      <x:c r="K926" s="36" t="n">
        <x:v>3</x:v>
      </x:c>
      <x:c r="L926" s="19" t="str">
        <x:v>KZT</x:v>
      </x:c>
      <x:c r="M926" s="22"/>
      <x:c r="N926" s="22"/>
      <x:c r="O926" s="28"/>
      <x:c r="P926" s="22"/>
      <x:c r="Q926" s="22"/>
      <x:c r="R926" s="28"/>
      <x:c r="S926" s="22"/>
      <x:c r="T926" s="35" t="n">
        <x:f>K926</x:f>
        <x:v>3</x:v>
      </x:c>
      <x:c r="U926" s="20" t="str">
        <x:f>IF(J926="Рассчитано",N926*(1-O926/100),"н/д")</x:f>
        <x:v>н/д</x:v>
      </x:c>
      <x:c r="V926" s="20" t="str">
        <x:f>IF(J926="Рассчитано",T926*U926,"н/д")</x:f>
        <x:v>н/д</x:v>
      </x:c>
      <x:c r="W926" s="20" t="str">
        <x:f>IF(J926="Рассчитано",T926*M926,"н/д")</x:f>
        <x:v>н/д</x:v>
      </x:c>
      <x:c r="X926" s="20" t="str">
        <x:f>IF(J926="Рассчитано",V926-W926,"н/д")</x:f>
        <x:v>н/д</x:v>
      </x:c>
      <x:c r="Y926" s="26" t="str">
        <x:f>IF(J926="Рассчитано",IF(V926&gt;0,G926/V926,"н/д"),"н/д")</x:f>
        <x:v>н/д</x:v>
      </x:c>
      <x:c r="Z926" s="20" t="str">
        <x:f>"н/д"</x:f>
        <x:v>н/д</x:v>
      </x:c>
      <x:c r="AA926" s="20" t="str">
        <x:f>"н/д"</x:f>
        <x:v>н/д</x:v>
      </x:c>
      <x:c r="AB926" s="20" t="str">
        <x:f>"н/д"</x:f>
        <x:v>н/д</x:v>
      </x:c>
      <x:c r="AC926" s="20" t="str">
        <x:f>IF(AND(J926="Рассчитано",T926&gt;0,R926&lt;100),(W926+P926+Q926)/(T926*(1-R926/100)),"н/д")</x:f>
        <x:v>н/д</x:v>
      </x:c>
      <x:c r="AD926" s="11" t="str">
        <x:f>IF(ISNUMBER(G926),IF(G926&lt;0,"Убыток",IF(G926=0,"Без прибыли","Прибыль &gt; 0")),"Не оценён")</x:f>
        <x:v>Не оценён</x:v>
      </x:c>
      <x:c r="AE926" s="12" t="str">
        <x:f>IF(J926="Рассчитано","Выручка "&amp;TEXT(V926,"0.00")&amp;" - себестоимость "&amp;TEXT(W926,"0.00")&amp;" - комиссия "&amp;TEXT(V926*R926/100,"0.00")&amp;" - доставка "&amp;TEXT(P926,"0.00")&amp;" - прочие "&amp;TEXT(Q926,"0.00")&amp;" = "&amp;TEXT(G926,"0.00")&amp;" "&amp;L926,"Введите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6" s="23" t="n">
        <x:v>0.7444941493426747</x:v>
      </x:c>
      <x:c r="AG926" s="35" t="n">
        <x:v>4</x:v>
      </x:c>
      <x:c r="AH926" s="35" t="n">
        <x:v>0</x:v>
      </x:c>
      <x:c r="AI926" s="29" t="n">
        <x:v>46266</x:v>
      </x:c>
      <x:c r="AJ926" s="35" t="n">
        <x:v>1</x:v>
      </x:c>
      <x:c r="AK926" s="11" t="str">
        <x:v>минимум</x:v>
      </x:c>
      <x:c r="AL926" s="31" t="n">
        <x:v>456.89641077884323</x:v>
      </x:c>
      <x:c r="AM92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26" s="12" t="str">
        <x:v>Проверить свободный остаток и установить цену для B2B</x:v>
      </x:c>
      <x:c r="AO926" s="12" t="str">
        <x:v>Остаток 4; прогноз 90 дней 0.74; избыток 3 шт. Будущие поступления не выставляются на продажу. Остаток на начало сентября: требуется актуализация.</x:v>
      </x:c>
      <x:c r="AP926" s="12" t="str">
        <x:v>["category_missing", "daily_stockout_data_missing", "new_order_lead_time_unknown", "reservations_unknown", "stale_stock"]</x:v>
      </x:c>
      <x:c r="AQ926" s="11" t="str">
        <x:v>IEK:251400066_</x:v>
      </x:c>
      <x:c r="AR926" s="23" t="n">
        <x:v>1</x:v>
      </x:c>
      <x:c r="AS926" s="23" t="n">
        <x:v>0</x:v>
      </x:c>
      <x:c r="AT926" s="23" t="n">
        <x:v>0</x:v>
      </x:c>
    </x:row>
    <x:row r="927" ht="64" customHeight="1">
      <x:c r="A927" s="10" t="str">
        <x:v>IEK</x:v>
      </x:c>
      <x:c r="B927" s="34" t="str">
        <x:v>251400067_</x:v>
      </x:c>
      <x:c r="C927" s="34" t="str">
        <x:v>TI5-50-N-060-54-7035</x:v>
      </x:c>
      <x:c r="D927" s="13" t="str">
        <x:v>ЩРН  60 (1х60мод) 835х310х140 IP54 TITAN 5 IEK</x:v>
      </x:c>
      <x:c r="E927" s="10" t="str">
        <x:v>шт</x:v>
      </x:c>
      <x:c r="F927" s="37" t="n">
        <x:f>MAX(0,ROUNDDOWN((AG927-AF927)/AR927+0.000000001,0)*AR927)</x:f>
        <x:v>1</x:v>
      </x:c>
      <x:c r="G927" s="21" t="str">
        <x:f>IF(J927="Рассчитано",V927*(1-R927/100)-W927-P927-Q927,"н/д")</x:f>
        <x:v>н/д</x:v>
      </x:c>
      <x:c r="H927" s="13" t="str">
        <x:v>Высокий</x:v>
      </x:c>
      <x:c r="I927" s="13" t="str">
        <x:v>Высокий</x:v>
      </x:c>
      <x:c r="J927" s="13" t="str">
        <x:f>IF(L927="","Укажите валюту",IF(NOT(ISNUMBER(K927)),"Укажите объём",IF(K927&lt;=0,"Укажите объём",IF(K927&gt;F927,"Объём выше излишка",IF(COUNT(M927:O927)&lt;3,"Нужны цены",IF(COUNT(P927:R927)&lt;3,"Нужны расходы",IF(OR(M927&lt;0,N927&lt;0,O927&lt;0,O927&gt;100,P927&lt;0,Q927&lt;0,R927&lt;0,R927&gt;100),"Проверьте значения","Рассчитано")))))))</x:f>
        <x:v>Нужны цены</x:v>
      </x:c>
      <x:c r="K927" s="36" t="n">
        <x:v>1</x:v>
      </x:c>
      <x:c r="L927" s="19" t="str">
        <x:v>KZT</x:v>
      </x:c>
      <x:c r="M927" s="22"/>
      <x:c r="N927" s="22"/>
      <x:c r="O927" s="28"/>
      <x:c r="P927" s="22"/>
      <x:c r="Q927" s="22"/>
      <x:c r="R927" s="28"/>
      <x:c r="S927" s="22"/>
      <x:c r="T927" s="37" t="n">
        <x:f>K927</x:f>
        <x:v>1</x:v>
      </x:c>
      <x:c r="U927" s="21" t="str">
        <x:f>IF(J927="Рассчитано",N927*(1-O927/100),"н/д")</x:f>
        <x:v>н/д</x:v>
      </x:c>
      <x:c r="V927" s="21" t="str">
        <x:f>IF(J927="Рассчитано",T927*U927,"н/д")</x:f>
        <x:v>н/д</x:v>
      </x:c>
      <x:c r="W927" s="21" t="str">
        <x:f>IF(J927="Рассчитано",T927*M927,"н/д")</x:f>
        <x:v>н/д</x:v>
      </x:c>
      <x:c r="X927" s="21" t="str">
        <x:f>IF(J927="Рассчитано",V927-W927,"н/д")</x:f>
        <x:v>н/д</x:v>
      </x:c>
      <x:c r="Y927" s="27" t="str">
        <x:f>IF(J927="Рассчитано",IF(V927&gt;0,G927/V927,"н/д"),"н/д")</x:f>
        <x:v>н/д</x:v>
      </x:c>
      <x:c r="Z927" s="21" t="str">
        <x:f>"н/д"</x:f>
        <x:v>н/д</x:v>
      </x:c>
      <x:c r="AA927" s="21" t="str">
        <x:f>"н/д"</x:f>
        <x:v>н/д</x:v>
      </x:c>
      <x:c r="AB927" s="21" t="str">
        <x:f>"н/д"</x:f>
        <x:v>н/д</x:v>
      </x:c>
      <x:c r="AC927" s="21" t="str">
        <x:f>IF(AND(J927="Рассчитано",T927&gt;0,R927&lt;100),(W927+P927+Q927)/(T927*(1-R927/100)),"н/д")</x:f>
        <x:v>н/д</x:v>
      </x:c>
      <x:c r="AD927" s="10" t="str">
        <x:f>IF(ISNUMBER(G927),IF(G927&lt;0,"Убыток",IF(G927=0,"Без прибыли","Прибыль &gt; 0")),"Не оценён")</x:f>
        <x:v>Не оценён</x:v>
      </x:c>
      <x:c r="AE927" s="13" t="str">
        <x:f>IF(J927="Рассчитано","Выручка "&amp;TEXT(V927,"0.00")&amp;" - себестоимость "&amp;TEXT(W927,"0.00")&amp;" - комиссия "&amp;TEXT(V927*R927/100,"0.00")&amp;" - доставка "&amp;TEXT(P927,"0.00")&amp;" - прочие "&amp;TEXT(Q927,"0.00")&amp;" = "&amp;TEXT(G927,"0.00")&amp;" "&amp;L927,"Введите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7" s="24" t="n">
        <x:v>1.0252541922669307</x:v>
      </x:c>
      <x:c r="AG927" s="37" t="n">
        <x:v>3</x:v>
      </x:c>
      <x:c r="AH927" s="37" t="n">
        <x:v>0</x:v>
      </x:c>
      <x:c r="AI927" s="30" t="n">
        <x:v>46266</x:v>
      </x:c>
      <x:c r="AJ927" s="37" t="n">
        <x:v>1</x:v>
      </x:c>
      <x:c r="AK927" s="10" t="str">
        <x:v>минимум</x:v>
      </x:c>
      <x:c r="AL927" s="32" t="n">
        <x:v>248.83344095018938</x:v>
      </x:c>
      <x:c r="AM92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27" s="13" t="str">
        <x:v>Проверить свободный остаток и установить цену для B2B</x:v>
      </x:c>
      <x:c r="AO927" s="13" t="str">
        <x:v>Остаток 3; прогноз 90 дней 1.03; избыток 1 шт. Будущие поступления не выставляются на продажу. Остаток на начало сентября: требуется актуализация.</x:v>
      </x:c>
      <x:c r="AP927" s="13" t="str">
        <x:v>["category_missing", "daily_stockout_data_missing", "new_order_lead_time_unknown", "reservations_unknown", "stale_stock"]</x:v>
      </x:c>
      <x:c r="AQ927" s="10" t="str">
        <x:v>IEK:251400067_</x:v>
      </x:c>
      <x:c r="AR927" s="24" t="n">
        <x:v>1</x:v>
      </x:c>
      <x:c r="AS927" s="24" t="n">
        <x:v>0</x:v>
      </x:c>
      <x:c r="AT927" s="24" t="n">
        <x:v>0</x:v>
      </x:c>
    </x:row>
    <x:row r="928" ht="64" customHeight="1">
      <x:c r="A928" s="11" t="str">
        <x:v>IEK</x:v>
      </x:c>
      <x:c r="B928" s="33" t="str">
        <x:v>251400068_</x:v>
      </x:c>
      <x:c r="C928" s="33" t="str">
        <x:v>TI5-50-N-072-54-7035</x:v>
      </x:c>
      <x:c r="D928" s="12" t="str">
        <x:v>ЩРН  72 (1х72мод) 960х310х140 IP54 TITAN 5 IEK</x:v>
      </x:c>
      <x:c r="E928" s="11" t="str">
        <x:v>шт</x:v>
      </x:c>
      <x:c r="F928" s="35" t="n">
        <x:f>MAX(0,ROUNDDOWN((AG928-AF928)/AR928+0.000000001,0)*AR928)</x:f>
        <x:v>1</x:v>
      </x:c>
      <x:c r="G928" s="20" t="str">
        <x:f>IF(J928="Рассчитано",V928*(1-R928/100)-W928-P928-Q928,"н/д")</x:f>
        <x:v>н/д</x:v>
      </x:c>
      <x:c r="H928" s="12" t="str">
        <x:v>Высокий</x:v>
      </x:c>
      <x:c r="I928" s="12" t="str">
        <x:v>Высокий</x:v>
      </x:c>
      <x:c r="J928" s="12" t="str">
        <x:f>IF(L928="","Укажите валюту",IF(NOT(ISNUMBER(K928)),"Укажите объём",IF(K928&lt;=0,"Укажите объём",IF(K928&gt;F928,"Объём выше излишка",IF(COUNT(M928:O928)&lt;3,"Нужны цены",IF(COUNT(P928:R928)&lt;3,"Нужны расходы",IF(OR(M928&lt;0,N928&lt;0,O928&lt;0,O928&gt;100,P928&lt;0,Q928&lt;0,R928&lt;0,R928&gt;100),"Проверьте значения","Рассчитано")))))))</x:f>
        <x:v>Нужны цены</x:v>
      </x:c>
      <x:c r="K928" s="36" t="n">
        <x:v>1</x:v>
      </x:c>
      <x:c r="L928" s="19" t="str">
        <x:v>KZT</x:v>
      </x:c>
      <x:c r="M928" s="22"/>
      <x:c r="N928" s="22"/>
      <x:c r="O928" s="28"/>
      <x:c r="P928" s="22"/>
      <x:c r="Q928" s="22"/>
      <x:c r="R928" s="28"/>
      <x:c r="S928" s="22"/>
      <x:c r="T928" s="35" t="n">
        <x:f>K928</x:f>
        <x:v>1</x:v>
      </x:c>
      <x:c r="U928" s="20" t="str">
        <x:f>IF(J928="Рассчитано",N928*(1-O928/100),"н/д")</x:f>
        <x:v>н/д</x:v>
      </x:c>
      <x:c r="V928" s="20" t="str">
        <x:f>IF(J928="Рассчитано",T928*U928,"н/д")</x:f>
        <x:v>н/д</x:v>
      </x:c>
      <x:c r="W928" s="20" t="str">
        <x:f>IF(J928="Рассчитано",T928*M928,"н/д")</x:f>
        <x:v>н/д</x:v>
      </x:c>
      <x:c r="X928" s="20" t="str">
        <x:f>IF(J928="Рассчитано",V928-W928,"н/д")</x:f>
        <x:v>н/д</x:v>
      </x:c>
      <x:c r="Y928" s="26" t="str">
        <x:f>IF(J928="Рассчитано",IF(V928&gt;0,G928/V928,"н/д"),"н/д")</x:f>
        <x:v>н/д</x:v>
      </x:c>
      <x:c r="Z928" s="20" t="str">
        <x:f>"н/д"</x:f>
        <x:v>н/д</x:v>
      </x:c>
      <x:c r="AA928" s="20" t="str">
        <x:f>"н/д"</x:f>
        <x:v>н/д</x:v>
      </x:c>
      <x:c r="AB928" s="20" t="str">
        <x:f>"н/д"</x:f>
        <x:v>н/д</x:v>
      </x:c>
      <x:c r="AC928" s="20" t="str">
        <x:f>IF(AND(J928="Рассчитано",T928&gt;0,R928&lt;100),(W928+P928+Q928)/(T928*(1-R928/100)),"н/д")</x:f>
        <x:v>н/д</x:v>
      </x:c>
      <x:c r="AD928" s="11" t="str">
        <x:f>IF(ISNUMBER(G928),IF(G928&lt;0,"Убыток",IF(G928=0,"Без прибыли","Прибыль &gt; 0")),"Не оценён")</x:f>
        <x:v>Не оценён</x:v>
      </x:c>
      <x:c r="AE928" s="12" t="str">
        <x:f>IF(J928="Рассчитано","Выручка "&amp;TEXT(V928,"0.00")&amp;" - себестоимость "&amp;TEXT(W928,"0.00")&amp;" - комиссия "&amp;TEXT(V928*R928/100,"0.00")&amp;" - доставка "&amp;TEXT(P928,"0.00")&amp;" - прочие "&amp;TEXT(Q928,"0.00")&amp;" = "&amp;TEXT(G928,"0.00")&amp;" "&amp;L928,"Введите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8" s="23" t="n">
        <x:v>1.2501619119264498</x:v>
      </x:c>
      <x:c r="AG928" s="35" t="n">
        <x:v>3</x:v>
      </x:c>
      <x:c r="AH928" s="35" t="n">
        <x:v>0</x:v>
      </x:c>
      <x:c r="AI928" s="29" t="n">
        <x:v>46266</x:v>
      </x:c>
      <x:c r="AJ928" s="35" t="n">
        <x:v>1</x:v>
      </x:c>
      <x:c r="AK928" s="11" t="str">
        <x:v>минимум</x:v>
      </x:c>
      <x:c r="AL928" s="31" t="n">
        <x:v>204.0675900270078</x:v>
      </x:c>
      <x:c r="AM92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28" s="12" t="str">
        <x:v>Проверить свободный остаток и установить цену для B2B</x:v>
      </x:c>
      <x:c r="AO928" s="12" t="str">
        <x:v>Остаток 3; прогноз 90 дней 1.25; избыток 1 шт. Будущие поступления не выставляются на продажу. Остаток на начало сентября: требуется актуализация.</x:v>
      </x:c>
      <x:c r="AP928" s="12" t="str">
        <x:v>["category_missing", "daily_stockout_data_missing", "new_order_lead_time_unknown", "reservations_unknown", "stale_stock"]</x:v>
      </x:c>
      <x:c r="AQ928" s="11" t="str">
        <x:v>IEK:251400068_</x:v>
      </x:c>
      <x:c r="AR928" s="23" t="n">
        <x:v>1</x:v>
      </x:c>
      <x:c r="AS928" s="23" t="n">
        <x:v>0</x:v>
      </x:c>
      <x:c r="AT928" s="23" t="n">
        <x:v>0</x:v>
      </x:c>
    </x:row>
    <x:row r="929" ht="64" customHeight="1">
      <x:c r="A929" s="10" t="str">
        <x:v>IEK</x:v>
      </x:c>
      <x:c r="B929" s="34" t="str">
        <x:v>251400069_</x:v>
      </x:c>
      <x:c r="C929" s="34" t="str">
        <x:v>TI5-50-N-084-54-7035</x:v>
      </x:c>
      <x:c r="D929" s="13" t="str">
        <x:v>ЩРН  84 (1х84мод) 1085х310х140 IP54 TITAN 5 IEK</x:v>
      </x:c>
      <x:c r="E929" s="10" t="str">
        <x:v>шт</x:v>
      </x:c>
      <x:c r="F929" s="37" t="n">
        <x:f>MAX(0,ROUNDDOWN((AG929-AF929)/AR929+0.000000001,0)*AR929)</x:f>
        <x:v>1</x:v>
      </x:c>
      <x:c r="G929" s="21" t="str">
        <x:f>IF(J929="Рассчитано",V929*(1-R929/100)-W929-P929-Q929,"н/д")</x:f>
        <x:v>н/д</x:v>
      </x:c>
      <x:c r="H929" s="13" t="str">
        <x:v>Высокий</x:v>
      </x:c>
      <x:c r="I929" s="13" t="str">
        <x:v>Высокий</x:v>
      </x:c>
      <x:c r="J929" s="13" t="str">
        <x:f>IF(L929="","Укажите валюту",IF(NOT(ISNUMBER(K929)),"Укажите объём",IF(K929&lt;=0,"Укажите объём",IF(K929&gt;F929,"Объём выше излишка",IF(COUNT(M929:O929)&lt;3,"Нужны цены",IF(COUNT(P929:R929)&lt;3,"Нужны расходы",IF(OR(M929&lt;0,N929&lt;0,O929&lt;0,O929&gt;100,P929&lt;0,Q929&lt;0,R929&lt;0,R929&gt;100),"Проверьте значения","Рассчитано")))))))</x:f>
        <x:v>Нужны цены</x:v>
      </x:c>
      <x:c r="K929" s="36" t="n">
        <x:v>1</x:v>
      </x:c>
      <x:c r="L929" s="19" t="str">
        <x:v>KZT</x:v>
      </x:c>
      <x:c r="M929" s="22"/>
      <x:c r="N929" s="22"/>
      <x:c r="O929" s="28"/>
      <x:c r="P929" s="22"/>
      <x:c r="Q929" s="22"/>
      <x:c r="R929" s="28"/>
      <x:c r="S929" s="22"/>
      <x:c r="T929" s="37" t="n">
        <x:f>K929</x:f>
        <x:v>1</x:v>
      </x:c>
      <x:c r="U929" s="21" t="str">
        <x:f>IF(J929="Рассчитано",N929*(1-O929/100),"н/д")</x:f>
        <x:v>н/д</x:v>
      </x:c>
      <x:c r="V929" s="21" t="str">
        <x:f>IF(J929="Рассчитано",T929*U929,"н/д")</x:f>
        <x:v>н/д</x:v>
      </x:c>
      <x:c r="W929" s="21" t="str">
        <x:f>IF(J929="Рассчитано",T929*M929,"н/д")</x:f>
        <x:v>н/д</x:v>
      </x:c>
      <x:c r="X929" s="21" t="str">
        <x:f>IF(J929="Рассчитано",V929-W929,"н/д")</x:f>
        <x:v>н/д</x:v>
      </x:c>
      <x:c r="Y929" s="27" t="str">
        <x:f>IF(J929="Рассчитано",IF(V929&gt;0,G929/V929,"н/д"),"н/д")</x:f>
        <x:v>н/д</x:v>
      </x:c>
      <x:c r="Z929" s="21" t="str">
        <x:f>"н/д"</x:f>
        <x:v>н/д</x:v>
      </x:c>
      <x:c r="AA929" s="21" t="str">
        <x:f>"н/д"</x:f>
        <x:v>н/д</x:v>
      </x:c>
      <x:c r="AB929" s="21" t="str">
        <x:f>"н/д"</x:f>
        <x:v>н/д</x:v>
      </x:c>
      <x:c r="AC929" s="21" t="str">
        <x:f>IF(AND(J929="Рассчитано",T929&gt;0,R929&lt;100),(W929+P929+Q929)/(T929*(1-R929/100)),"н/д")</x:f>
        <x:v>н/д</x:v>
      </x:c>
      <x:c r="AD929" s="10" t="str">
        <x:f>IF(ISNUMBER(G929),IF(G929&lt;0,"Убыток",IF(G929=0,"Без прибыли","Прибыль &gt; 0")),"Не оценён")</x:f>
        <x:v>Не оценён</x:v>
      </x:c>
      <x:c r="AE929" s="13" t="str">
        <x:f>IF(J929="Рассчитано","Выручка "&amp;TEXT(V929,"0.00")&amp;" - себестоимость "&amp;TEXT(W929,"0.00")&amp;" - комиссия "&amp;TEXT(V929*R929/100,"0.00")&amp;" - доставка "&amp;TEXT(P929,"0.00")&amp;" - прочие "&amp;TEXT(Q929,"0.00")&amp;" = "&amp;TEXT(G929,"0.00")&amp;" "&amp;L929,"Введите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9" s="24" t="n">
        <x:v>0.18011622360411045</x:v>
      </x:c>
      <x:c r="AG929" s="37" t="n">
        <x:v>2</x:v>
      </x:c>
      <x:c r="AH929" s="37" t="n">
        <x:v>0</x:v>
      </x:c>
      <x:c r="AI929" s="30" t="n">
        <x:v>46266</x:v>
      </x:c>
      <x:c r="AJ929" s="37" t="n">
        <x:v>1</x:v>
      </x:c>
      <x:c r="AK929" s="10" t="str">
        <x:v>минимум</x:v>
      </x:c>
      <x:c r="AL929" s="32" t="n">
        <x:v>944.2700326322902</x:v>
      </x:c>
      <x:c r="AM92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29" s="13" t="str">
        <x:v>Проверить свободный остаток и установить цену для B2B</x:v>
      </x:c>
      <x:c r="AO929" s="13" t="str">
        <x:v>Остаток 2; прогноз 90 дней 0.18; избыток 1 шт. Будущие поступления не выставляются на продажу. Остаток на начало сентября: требуется актуализация.</x:v>
      </x:c>
      <x:c r="AP929" s="13" t="str">
        <x:v>["category_missing", "daily_stockout_data_missing", "new_order_lead_time_unknown", "reservations_unknown", "stale_stock"]</x:v>
      </x:c>
      <x:c r="AQ929" s="10" t="str">
        <x:v>IEK:251400069_</x:v>
      </x:c>
      <x:c r="AR929" s="24" t="n">
        <x:v>1</x:v>
      </x:c>
      <x:c r="AS929" s="24" t="n">
        <x:v>0</x:v>
      </x:c>
      <x:c r="AT929" s="24" t="n">
        <x:v>0</x:v>
      </x:c>
    </x:row>
    <x:row r="930" ht="64" customHeight="1">
      <x:c r="A930" s="11" t="str">
        <x:v>IEK</x:v>
      </x:c>
      <x:c r="B930" s="33" t="str">
        <x:v>251400072_</x:v>
      </x:c>
      <x:c r="C930" s="33" t="str">
        <x:v>TI5-50-N-3X060-54-7035</x:v>
      </x:c>
      <x:c r="D930" s="12" t="str">
        <x:v>ЩРН 180 (3х60мод) 835х830х140 IP54 TITAN 5 IEK</x:v>
      </x:c>
      <x:c r="E930" s="11" t="str">
        <x:v>шт</x:v>
      </x:c>
      <x:c r="F930" s="35" t="n">
        <x:f>MAX(0,ROUNDDOWN((AG930-AF930)/AR930+0.000000001,0)*AR930)</x:f>
        <x:v>3</x:v>
      </x:c>
      <x:c r="G930" s="20" t="str">
        <x:f>IF(J930="Рассчитано",V930*(1-R930/100)-W930-P930-Q930,"н/д")</x:f>
        <x:v>н/д</x:v>
      </x:c>
      <x:c r="H930" s="12" t="str">
        <x:v>Высокий</x:v>
      </x:c>
      <x:c r="I930" s="12" t="str">
        <x:v>Высокий</x:v>
      </x:c>
      <x:c r="J930" s="12" t="str">
        <x:f>IF(L930="","Укажите валюту",IF(NOT(ISNUMBER(K930)),"Укажите объём",IF(K930&lt;=0,"Укажите объём",IF(K930&gt;F930,"Объём выше излишка",IF(COUNT(M930:O930)&lt;3,"Нужны цены",IF(COUNT(P930:R930)&lt;3,"Нужны расходы",IF(OR(M930&lt;0,N930&lt;0,O930&lt;0,O930&gt;100,P930&lt;0,Q930&lt;0,R930&lt;0,R930&gt;100),"Проверьте значения","Рассчитано")))))))</x:f>
        <x:v>Нужны цены</x:v>
      </x:c>
      <x:c r="K930" s="36" t="n">
        <x:v>3</x:v>
      </x:c>
      <x:c r="L930" s="19" t="str">
        <x:v>KZT</x:v>
      </x:c>
      <x:c r="M930" s="22"/>
      <x:c r="N930" s="22"/>
      <x:c r="O930" s="28"/>
      <x:c r="P930" s="22"/>
      <x:c r="Q930" s="22"/>
      <x:c r="R930" s="28"/>
      <x:c r="S930" s="22"/>
      <x:c r="T930" s="35" t="n">
        <x:f>K930</x:f>
        <x:v>3</x:v>
      </x:c>
      <x:c r="U930" s="20" t="str">
        <x:f>IF(J930="Рассчитано",N930*(1-O930/100),"н/д")</x:f>
        <x:v>н/д</x:v>
      </x:c>
      <x:c r="V930" s="20" t="str">
        <x:f>IF(J930="Рассчитано",T930*U930,"н/д")</x:f>
        <x:v>н/д</x:v>
      </x:c>
      <x:c r="W930" s="20" t="str">
        <x:f>IF(J930="Рассчитано",T930*M930,"н/д")</x:f>
        <x:v>н/д</x:v>
      </x:c>
      <x:c r="X930" s="20" t="str">
        <x:f>IF(J930="Рассчитано",V930-W930,"н/д")</x:f>
        <x:v>н/д</x:v>
      </x:c>
      <x:c r="Y930" s="26" t="str">
        <x:f>IF(J930="Рассчитано",IF(V930&gt;0,G930/V930,"н/д"),"н/д")</x:f>
        <x:v>н/д</x:v>
      </x:c>
      <x:c r="Z930" s="20" t="str">
        <x:f>"н/д"</x:f>
        <x:v>н/д</x:v>
      </x:c>
      <x:c r="AA930" s="20" t="str">
        <x:f>"н/д"</x:f>
        <x:v>н/д</x:v>
      </x:c>
      <x:c r="AB930" s="20" t="str">
        <x:f>"н/д"</x:f>
        <x:v>н/д</x:v>
      </x:c>
      <x:c r="AC930" s="20" t="str">
        <x:f>IF(AND(J930="Рассчитано",T930&gt;0,R930&lt;100),(W930+P930+Q930)/(T930*(1-R930/100)),"н/д")</x:f>
        <x:v>н/д</x:v>
      </x:c>
      <x:c r="AD930" s="11" t="str">
        <x:f>IF(ISNUMBER(G930),IF(G930&lt;0,"Убыток",IF(G930=0,"Без прибыли","Прибыль &gt; 0")),"Не оценён")</x:f>
        <x:v>Не оценён</x:v>
      </x:c>
      <x:c r="AE930" s="12" t="str">
        <x:f>IF(J930="Рассчитано","Выручка "&amp;TEXT(V930,"0.00")&amp;" - себестоимость "&amp;TEXT(W930,"0.00")&amp;" - комиссия "&amp;TEXT(V930*R930/100,"0.00")&amp;" - доставка "&amp;TEXT(P930,"0.00")&amp;" - прочие "&amp;TEXT(Q930,"0.00")&amp;" = "&amp;TEXT(G930,"0.00")&amp;" "&amp;L930,"Введите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0" s="23" t="n">
        <x:v>0.1996969649145403</x:v>
      </x:c>
      <x:c r="AG930" s="35" t="n">
        <x:v>4</x:v>
      </x:c>
      <x:c r="AH930" s="35" t="n">
        <x:v>0</x:v>
      </x:c>
      <x:c r="AI930" s="29" t="n">
        <x:v>46266</x:v>
      </x:c>
      <x:c r="AJ930" s="35" t="n">
        <x:v>1</x:v>
      </x:c>
      <x:c r="AK930" s="11" t="str">
        <x:v>минимум</x:v>
      </x:c>
      <x:c r="AL930" s="31" t="n">
        <x:v>1703.364419314462</x:v>
      </x:c>
      <x:c r="AM93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0" s="12" t="str">
        <x:v>Проверить свободный остаток и установить цену для B2B</x:v>
      </x:c>
      <x:c r="AO930" s="12" t="str">
        <x:v>Остаток 4; прогноз 90 дней 0.20; избыток 3 шт. Будущие поступления не выставляются на продажу. Остаток на начало сентября: требуется актуализация.</x:v>
      </x:c>
      <x:c r="AP930" s="12" t="str">
        <x:v>["category_missing", "daily_stockout_data_missing", "new_order_lead_time_unknown", "reservations_unknown", "stale_stock"]</x:v>
      </x:c>
      <x:c r="AQ930" s="11" t="str">
        <x:v>IEK:251400072_</x:v>
      </x:c>
      <x:c r="AR930" s="23" t="n">
        <x:v>1</x:v>
      </x:c>
      <x:c r="AS930" s="23" t="n">
        <x:v>0</x:v>
      </x:c>
      <x:c r="AT930" s="23" t="n">
        <x:v>0</x:v>
      </x:c>
    </x:row>
    <x:row r="931" ht="64" customHeight="1">
      <x:c r="A931" s="10" t="str">
        <x:v>IEK</x:v>
      </x:c>
      <x:c r="B931" s="34" t="str">
        <x:v>251400075_</x:v>
      </x:c>
      <x:c r="C931" s="34" t="str">
        <x:v>TI5-50-V-024-31-7035</x:v>
      </x:c>
      <x:c r="D931" s="13" t="str">
        <x:v>ЩРВ  24 (1х24мод) 505х365х130 IP31 TITAN 5 IEK</x:v>
      </x:c>
      <x:c r="E931" s="10" t="str">
        <x:v>шт</x:v>
      </x:c>
      <x:c r="F931" s="37" t="n">
        <x:f>MAX(0,ROUNDDOWN((AG931-AF931)/AR931+0.000000001,0)*AR931)</x:f>
        <x:v>1</x:v>
      </x:c>
      <x:c r="G931" s="21" t="str">
        <x:f>IF(J931="Рассчитано",V931*(1-R931/100)-W931-P931-Q931,"н/д")</x:f>
        <x:v>н/д</x:v>
      </x:c>
      <x:c r="H931" s="13" t="str">
        <x:v>Высокий</x:v>
      </x:c>
      <x:c r="I931" s="13" t="str">
        <x:v>Высокий</x:v>
      </x:c>
      <x:c r="J931" s="13" t="str">
        <x:f>IF(L931="","Укажите валюту",IF(NOT(ISNUMBER(K931)),"Укажите объём",IF(K931&lt;=0,"Укажите объём",IF(K931&gt;F931,"Объём выше излишка",IF(COUNT(M931:O931)&lt;3,"Нужны цены",IF(COUNT(P931:R931)&lt;3,"Нужны расходы",IF(OR(M931&lt;0,N931&lt;0,O931&lt;0,O931&gt;100,P931&lt;0,Q931&lt;0,R931&lt;0,R931&gt;100),"Проверьте значения","Рассчитано")))))))</x:f>
        <x:v>Нужны цены</x:v>
      </x:c>
      <x:c r="K931" s="36" t="n">
        <x:v>1</x:v>
      </x:c>
      <x:c r="L931" s="19" t="str">
        <x:v>KZT</x:v>
      </x:c>
      <x:c r="M931" s="22"/>
      <x:c r="N931" s="22"/>
      <x:c r="O931" s="28"/>
      <x:c r="P931" s="22"/>
      <x:c r="Q931" s="22"/>
      <x:c r="R931" s="28"/>
      <x:c r="S931" s="22"/>
      <x:c r="T931" s="37" t="n">
        <x:f>K931</x:f>
        <x:v>1</x:v>
      </x:c>
      <x:c r="U931" s="21" t="str">
        <x:f>IF(J931="Рассчитано",N931*(1-O931/100),"н/д")</x:f>
        <x:v>н/д</x:v>
      </x:c>
      <x:c r="V931" s="21" t="str">
        <x:f>IF(J931="Рассчитано",T931*U931,"н/д")</x:f>
        <x:v>н/д</x:v>
      </x:c>
      <x:c r="W931" s="21" t="str">
        <x:f>IF(J931="Рассчитано",T931*M931,"н/д")</x:f>
        <x:v>н/д</x:v>
      </x:c>
      <x:c r="X931" s="21" t="str">
        <x:f>IF(J931="Рассчитано",V931-W931,"н/д")</x:f>
        <x:v>н/д</x:v>
      </x:c>
      <x:c r="Y931" s="27" t="str">
        <x:f>IF(J931="Рассчитано",IF(V931&gt;0,G931/V931,"н/д"),"н/д")</x:f>
        <x:v>н/д</x:v>
      </x:c>
      <x:c r="Z931" s="21" t="str">
        <x:f>"н/д"</x:f>
        <x:v>н/д</x:v>
      </x:c>
      <x:c r="AA931" s="21" t="str">
        <x:f>"н/д"</x:f>
        <x:v>н/д</x:v>
      </x:c>
      <x:c r="AB931" s="21" t="str">
        <x:f>"н/д"</x:f>
        <x:v>н/д</x:v>
      </x:c>
      <x:c r="AC931" s="21" t="str">
        <x:f>IF(AND(J931="Рассчитано",T931&gt;0,R931&lt;100),(W931+P931+Q931)/(T931*(1-R931/100)),"н/д")</x:f>
        <x:v>н/д</x:v>
      </x:c>
      <x:c r="AD931" s="10" t="str">
        <x:f>IF(ISNUMBER(G931),IF(G931&lt;0,"Убыток",IF(G931=0,"Без прибыли","Прибыль &gt; 0")),"Не оценён")</x:f>
        <x:v>Не оценён</x:v>
      </x:c>
      <x:c r="AE931" s="13" t="str">
        <x:f>IF(J931="Рассчитано","Выручка "&amp;TEXT(V931,"0.00")&amp;" - себестоимость "&amp;TEXT(W931,"0.00")&amp;" - комиссия "&amp;TEXT(V931*R931/100,"0.00")&amp;" - доставка "&amp;TEXT(P931,"0.00")&amp;" - прочие "&amp;TEXT(Q931,"0.00")&amp;" = "&amp;TEXT(G931,"0.00")&amp;" "&amp;L931,"Введите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1" s="24" t="n">
        <x:v>1.3690106731710818</x:v>
      </x:c>
      <x:c r="AG931" s="37" t="n">
        <x:v>3</x:v>
      </x:c>
      <x:c r="AH931" s="37" t="n">
        <x:v>0</x:v>
      </x:c>
      <x:c r="AI931" s="30" t="n">
        <x:v>46266</x:v>
      </x:c>
      <x:c r="AJ931" s="37" t="n">
        <x:v>1</x:v>
      </x:c>
      <x:c r="AK931" s="10" t="str">
        <x:v>минимум</x:v>
      </x:c>
      <x:c r="AL931" s="32" t="n">
        <x:v>186.3517454684637</x:v>
      </x:c>
      <x:c r="AM93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1" s="13" t="str">
        <x:v>Проверить свободный остаток и установить цену для B2B</x:v>
      </x:c>
      <x:c r="AO931" s="13" t="str">
        <x:v>Остаток 3; прогноз 90 дней 1.37; избыток 1 шт. Будущие поступления не выставляются на продажу. Остаток на начало сентября: требуется актуализация.</x:v>
      </x:c>
      <x:c r="AP931" s="13" t="str">
        <x:v>["category_missing", "daily_stockout_data_missing", "new_order_lead_time_unknown", "reservations_unknown", "stale_stock"]</x:v>
      </x:c>
      <x:c r="AQ931" s="10" t="str">
        <x:v>IEK:251400075_</x:v>
      </x:c>
      <x:c r="AR931" s="24" t="n">
        <x:v>1</x:v>
      </x:c>
      <x:c r="AS931" s="24" t="n">
        <x:v>0</x:v>
      </x:c>
      <x:c r="AT931" s="24" t="n">
        <x:v>0</x:v>
      </x:c>
    </x:row>
    <x:row r="932" ht="64" customHeight="1">
      <x:c r="A932" s="11" t="str">
        <x:v>IEK</x:v>
      </x:c>
      <x:c r="B932" s="33" t="str">
        <x:v>251400076_</x:v>
      </x:c>
      <x:c r="C932" s="33" t="str">
        <x:v>TI5-50-V-036-31-7035</x:v>
      </x:c>
      <x:c r="D932" s="12" t="str">
        <x:v>ЩРВ  36 (1х36мод) 630х365х130 IP31 TITAN 5 IEK</x:v>
      </x:c>
      <x:c r="E932" s="11" t="str">
        <x:v>шт</x:v>
      </x:c>
      <x:c r="F932" s="35" t="n">
        <x:f>MAX(0,ROUNDDOWN((AG932-AF932)/AR932+0.000000001,0)*AR932)</x:f>
        <x:v>1</x:v>
      </x:c>
      <x:c r="G932" s="20" t="str">
        <x:f>IF(J932="Рассчитано",V932*(1-R932/100)-W932-P932-Q932,"н/д")</x:f>
        <x:v>н/д</x:v>
      </x:c>
      <x:c r="H932" s="12" t="str">
        <x:v>Высокий</x:v>
      </x:c>
      <x:c r="I932" s="12" t="str">
        <x:v>Высокий</x:v>
      </x:c>
      <x:c r="J932" s="12" t="str">
        <x:f>IF(L932="","Укажите валюту",IF(NOT(ISNUMBER(K932)),"Укажите объём",IF(K932&lt;=0,"Укажите объём",IF(K932&gt;F932,"Объём выше излишка",IF(COUNT(M932:O932)&lt;3,"Нужны цены",IF(COUNT(P932:R932)&lt;3,"Нужны расходы",IF(OR(M932&lt;0,N932&lt;0,O932&lt;0,O932&gt;100,P932&lt;0,Q932&lt;0,R932&lt;0,R932&gt;100),"Проверьте значения","Рассчитано")))))))</x:f>
        <x:v>Нужны цены</x:v>
      </x:c>
      <x:c r="K932" s="36" t="n">
        <x:v>1</x:v>
      </x:c>
      <x:c r="L932" s="19" t="str">
        <x:v>KZT</x:v>
      </x:c>
      <x:c r="M932" s="22"/>
      <x:c r="N932" s="22"/>
      <x:c r="O932" s="28"/>
      <x:c r="P932" s="22"/>
      <x:c r="Q932" s="22"/>
      <x:c r="R932" s="28"/>
      <x:c r="S932" s="22"/>
      <x:c r="T932" s="35" t="n">
        <x:f>K932</x:f>
        <x:v>1</x:v>
      </x:c>
      <x:c r="U932" s="20" t="str">
        <x:f>IF(J932="Рассчитано",N932*(1-O932/100),"н/д")</x:f>
        <x:v>н/д</x:v>
      </x:c>
      <x:c r="V932" s="20" t="str">
        <x:f>IF(J932="Рассчитано",T932*U932,"н/д")</x:f>
        <x:v>н/д</x:v>
      </x:c>
      <x:c r="W932" s="20" t="str">
        <x:f>IF(J932="Рассчитано",T932*M932,"н/д")</x:f>
        <x:v>н/д</x:v>
      </x:c>
      <x:c r="X932" s="20" t="str">
        <x:f>IF(J932="Рассчитано",V932-W932,"н/д")</x:f>
        <x:v>н/д</x:v>
      </x:c>
      <x:c r="Y932" s="26" t="str">
        <x:f>IF(J932="Рассчитано",IF(V932&gt;0,G932/V932,"н/д"),"н/д")</x:f>
        <x:v>н/д</x:v>
      </x:c>
      <x:c r="Z932" s="20" t="str">
        <x:f>"н/д"</x:f>
        <x:v>н/д</x:v>
      </x:c>
      <x:c r="AA932" s="20" t="str">
        <x:f>"н/д"</x:f>
        <x:v>н/д</x:v>
      </x:c>
      <x:c r="AB932" s="20" t="str">
        <x:f>"н/д"</x:f>
        <x:v>н/д</x:v>
      </x:c>
      <x:c r="AC932" s="20" t="str">
        <x:f>IF(AND(J932="Рассчитано",T932&gt;0,R932&lt;100),(W932+P932+Q932)/(T932*(1-R932/100)),"н/д")</x:f>
        <x:v>н/д</x:v>
      </x:c>
      <x:c r="AD932" s="11" t="str">
        <x:f>IF(ISNUMBER(G932),IF(G932&lt;0,"Убыток",IF(G932=0,"Без прибыли","Прибыль &gt; 0")),"Не оценён")</x:f>
        <x:v>Не оценён</x:v>
      </x:c>
      <x:c r="AE932" s="12" t="str">
        <x:f>IF(J932="Рассчитано","Выручка "&amp;TEXT(V932,"0.00")&amp;" - себестоимость "&amp;TEXT(W932,"0.00")&amp;" - комиссия "&amp;TEXT(V932*R932/100,"0.00")&amp;" - доставка "&amp;TEXT(P932,"0.00")&amp;" - прочие "&amp;TEXT(Q932,"0.00")&amp;" = "&amp;TEXT(G932,"0.00")&amp;" "&amp;L932,"Введите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2" s="23" t="n">
        <x:v>0.09005811180205522</x:v>
      </x:c>
      <x:c r="AG932" s="35" t="n">
        <x:v>2</x:v>
      </x:c>
      <x:c r="AH932" s="35" t="n">
        <x:v>0</x:v>
      </x:c>
      <x:c r="AI932" s="29" t="n">
        <x:v>46266</x:v>
      </x:c>
      <x:c r="AJ932" s="35" t="n">
        <x:v>1</x:v>
      </x:c>
      <x:c r="AK932" s="11" t="str">
        <x:v>минимум</x:v>
      </x:c>
      <x:c r="AL932" s="31" t="n">
        <x:v>1888.5400652645803</x:v>
      </x:c>
      <x:c r="AM93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2" s="12" t="str">
        <x:v>Проверить свободный остаток и установить цену для B2B</x:v>
      </x:c>
      <x:c r="AO932" s="12" t="str">
        <x:v>Остаток 2; прогноз 90 дней 0.09; избыток 1 шт. Будущие поступления не выставляются на продажу. Остаток на начало сентября: требуется актуализация.</x:v>
      </x:c>
      <x:c r="AP932" s="12" t="str">
        <x:v>["category_missing", "daily_stockout_data_missing", "new_order_lead_time_unknown", "reservations_unknown", "stale_stock"]</x:v>
      </x:c>
      <x:c r="AQ932" s="11" t="str">
        <x:v>IEK:251400076_</x:v>
      </x:c>
      <x:c r="AR932" s="23" t="n">
        <x:v>1</x:v>
      </x:c>
      <x:c r="AS932" s="23" t="n">
        <x:v>0</x:v>
      </x:c>
      <x:c r="AT932" s="23" t="n">
        <x:v>0</x:v>
      </x:c>
    </x:row>
    <x:row r="933" ht="64" customHeight="1">
      <x:c r="A933" s="10" t="str">
        <x:v>IEK</x:v>
      </x:c>
      <x:c r="B933" s="34" t="str">
        <x:v>251400077_</x:v>
      </x:c>
      <x:c r="C933" s="34" t="str">
        <x:v>TI5-50-V-048-31-7035</x:v>
      </x:c>
      <x:c r="D933" s="13" t="str">
        <x:v>ЩРВ  48 (1х48мод) 755х365х130 IP31 TITAN 5 IEK</x:v>
      </x:c>
      <x:c r="E933" s="10" t="str">
        <x:v>шт</x:v>
      </x:c>
      <x:c r="F933" s="37" t="n">
        <x:f>MAX(0,ROUNDDOWN((AG933-AF933)/AR933+0.000000001,0)*AR933)</x:f>
        <x:v>1</x:v>
      </x:c>
      <x:c r="G933" s="21" t="str">
        <x:f>IF(J933="Рассчитано",V933*(1-R933/100)-W933-P933-Q933,"н/д")</x:f>
        <x:v>н/д</x:v>
      </x:c>
      <x:c r="H933" s="13" t="str">
        <x:v>Высокий</x:v>
      </x:c>
      <x:c r="I933" s="13" t="str">
        <x:v>Высокий</x:v>
      </x:c>
      <x:c r="J933" s="13" t="str">
        <x:f>IF(L933="","Укажите валюту",IF(NOT(ISNUMBER(K933)),"Укажите объём",IF(K933&lt;=0,"Укажите объём",IF(K933&gt;F933,"Объём выше излишка",IF(COUNT(M933:O933)&lt;3,"Нужны цены",IF(COUNT(P933:R933)&lt;3,"Нужны расходы",IF(OR(M933&lt;0,N933&lt;0,O933&lt;0,O933&gt;100,P933&lt;0,Q933&lt;0,R933&lt;0,R933&gt;100),"Проверьте значения","Рассчитано")))))))</x:f>
        <x:v>Нужны цены</x:v>
      </x:c>
      <x:c r="K933" s="36" t="n">
        <x:v>1</x:v>
      </x:c>
      <x:c r="L933" s="19" t="str">
        <x:v>KZT</x:v>
      </x:c>
      <x:c r="M933" s="22"/>
      <x:c r="N933" s="22"/>
      <x:c r="O933" s="28"/>
      <x:c r="P933" s="22"/>
      <x:c r="Q933" s="22"/>
      <x:c r="R933" s="28"/>
      <x:c r="S933" s="22"/>
      <x:c r="T933" s="37" t="n">
        <x:f>K933</x:f>
        <x:v>1</x:v>
      </x:c>
      <x:c r="U933" s="21" t="str">
        <x:f>IF(J933="Рассчитано",N933*(1-O933/100),"н/д")</x:f>
        <x:v>н/д</x:v>
      </x:c>
      <x:c r="V933" s="21" t="str">
        <x:f>IF(J933="Рассчитано",T933*U933,"н/д")</x:f>
        <x:v>н/д</x:v>
      </x:c>
      <x:c r="W933" s="21" t="str">
        <x:f>IF(J933="Рассчитано",T933*M933,"н/д")</x:f>
        <x:v>н/д</x:v>
      </x:c>
      <x:c r="X933" s="21" t="str">
        <x:f>IF(J933="Рассчитано",V933-W933,"н/д")</x:f>
        <x:v>н/д</x:v>
      </x:c>
      <x:c r="Y933" s="27" t="str">
        <x:f>IF(J933="Рассчитано",IF(V933&gt;0,G933/V933,"н/д"),"н/д")</x:f>
        <x:v>н/д</x:v>
      </x:c>
      <x:c r="Z933" s="21" t="str">
        <x:f>"н/д"</x:f>
        <x:v>н/д</x:v>
      </x:c>
      <x:c r="AA933" s="21" t="str">
        <x:f>"н/д"</x:f>
        <x:v>н/д</x:v>
      </x:c>
      <x:c r="AB933" s="21" t="str">
        <x:f>"н/д"</x:f>
        <x:v>н/д</x:v>
      </x:c>
      <x:c r="AC933" s="21" t="str">
        <x:f>IF(AND(J933="Рассчитано",T933&gt;0,R933&lt;100),(W933+P933+Q933)/(T933*(1-R933/100)),"н/д")</x:f>
        <x:v>н/д</x:v>
      </x:c>
      <x:c r="AD933" s="10" t="str">
        <x:f>IF(ISNUMBER(G933),IF(G933&lt;0,"Убыток",IF(G933=0,"Без прибыли","Прибыль &gt; 0")),"Не оценён")</x:f>
        <x:v>Не оценён</x:v>
      </x:c>
      <x:c r="AE933" s="13" t="str">
        <x:f>IF(J933="Рассчитано","Выручка "&amp;TEXT(V933,"0.00")&amp;" - себестоимость "&amp;TEXT(W933,"0.00")&amp;" - комиссия "&amp;TEXT(V933*R933/100,"0.00")&amp;" - доставка "&amp;TEXT(P933,"0.00")&amp;" - прочие "&amp;TEXT(Q933,"0.00")&amp;" = "&amp;TEXT(G933,"0.00")&amp;" "&amp;L933,"Введите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3" s="24" t="n">
        <x:v>0.7855516314483639</x:v>
      </x:c>
      <x:c r="AG933" s="37" t="n">
        <x:v>2</x:v>
      </x:c>
      <x:c r="AH933" s="37" t="n">
        <x:v>0</x:v>
      </x:c>
      <x:c r="AI933" s="30" t="n">
        <x:v>46266</x:v>
      </x:c>
      <x:c r="AJ933" s="37" t="n">
        <x:v>1</x:v>
      </x:c>
      <x:c r="AK933" s="10" t="str">
        <x:v>минимум</x:v>
      </x:c>
      <x:c r="AL933" s="32" t="n">
        <x:v>216.50817786053838</x:v>
      </x:c>
      <x:c r="AM93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3" s="13" t="str">
        <x:v>Проверить свободный остаток и установить цену для B2B</x:v>
      </x:c>
      <x:c r="AO933" s="13" t="str">
        <x:v>Остаток 2; прогноз 90 дней 0.79; избыток 1 шт. Будущие поступления не выставляются на продажу. Остаток на начало сентября: требуется актуализация.</x:v>
      </x:c>
      <x:c r="AP933" s="13" t="str">
        <x:v>["category_missing", "daily_stockout_data_missing", "new_order_lead_time_unknown", "reservations_unknown", "stale_stock"]</x:v>
      </x:c>
      <x:c r="AQ933" s="10" t="str">
        <x:v>IEK:251400077_</x:v>
      </x:c>
      <x:c r="AR933" s="24" t="n">
        <x:v>1</x:v>
      </x:c>
      <x:c r="AS933" s="24" t="n">
        <x:v>0</x:v>
      </x:c>
      <x:c r="AT933" s="24" t="n">
        <x:v>0</x:v>
      </x:c>
    </x:row>
    <x:row r="934" ht="64" customHeight="1">
      <x:c r="A934" s="11" t="str">
        <x:v>IEK</x:v>
      </x:c>
      <x:c r="B934" s="33" t="str">
        <x:v>251400078_</x:v>
      </x:c>
      <x:c r="C934" s="33" t="str">
        <x:v>TI5-50-V-060-31-7035</x:v>
      </x:c>
      <x:c r="D934" s="12" t="str">
        <x:v>ЩРВ  60 (1х60мод) 880х365х130 IP31 TITAN 5 IEK</x:v>
      </x:c>
      <x:c r="E934" s="11" t="str">
        <x:v>шт</x:v>
      </x:c>
      <x:c r="F934" s="35" t="n">
        <x:f>MAX(0,ROUNDDOWN((AG934-AF934)/AR934+0.000000001,0)*AR934)</x:f>
        <x:v>1</x:v>
      </x:c>
      <x:c r="G934" s="20" t="str">
        <x:f>IF(J934="Рассчитано",V934*(1-R934/100)-W934-P934-Q934,"н/д")</x:f>
        <x:v>н/д</x:v>
      </x:c>
      <x:c r="H934" s="12" t="str">
        <x:v>Высокий</x:v>
      </x:c>
      <x:c r="I934" s="12" t="str">
        <x:v>Высокий</x:v>
      </x:c>
      <x:c r="J934" s="12" t="str">
        <x:f>IF(L934="","Укажите валюту",IF(NOT(ISNUMBER(K934)),"Укажите объём",IF(K934&lt;=0,"Укажите объём",IF(K934&gt;F934,"Объём выше излишка",IF(COUNT(M934:O934)&lt;3,"Нужны цены",IF(COUNT(P934:R934)&lt;3,"Нужны расходы",IF(OR(M934&lt;0,N934&lt;0,O934&lt;0,O934&gt;100,P934&lt;0,Q934&lt;0,R934&lt;0,R934&gt;100),"Проверьте значения","Рассчитано")))))))</x:f>
        <x:v>Нужны цены</x:v>
      </x:c>
      <x:c r="K934" s="36" t="n">
        <x:v>1</x:v>
      </x:c>
      <x:c r="L934" s="19" t="str">
        <x:v>KZT</x:v>
      </x:c>
      <x:c r="M934" s="22"/>
      <x:c r="N934" s="22"/>
      <x:c r="O934" s="28"/>
      <x:c r="P934" s="22"/>
      <x:c r="Q934" s="22"/>
      <x:c r="R934" s="28"/>
      <x:c r="S934" s="22"/>
      <x:c r="T934" s="35" t="n">
        <x:f>K934</x:f>
        <x:v>1</x:v>
      </x:c>
      <x:c r="U934" s="20" t="str">
        <x:f>IF(J934="Рассчитано",N934*(1-O934/100),"н/д")</x:f>
        <x:v>н/д</x:v>
      </x:c>
      <x:c r="V934" s="20" t="str">
        <x:f>IF(J934="Рассчитано",T934*U934,"н/д")</x:f>
        <x:v>н/д</x:v>
      </x:c>
      <x:c r="W934" s="20" t="str">
        <x:f>IF(J934="Рассчитано",T934*M934,"н/д")</x:f>
        <x:v>н/д</x:v>
      </x:c>
      <x:c r="X934" s="20" t="str">
        <x:f>IF(J934="Рассчитано",V934-W934,"н/д")</x:f>
        <x:v>н/д</x:v>
      </x:c>
      <x:c r="Y934" s="26" t="str">
        <x:f>IF(J934="Рассчитано",IF(V934&gt;0,G934/V934,"н/д"),"н/д")</x:f>
        <x:v>н/д</x:v>
      </x:c>
      <x:c r="Z934" s="20" t="str">
        <x:f>"н/д"</x:f>
        <x:v>н/д</x:v>
      </x:c>
      <x:c r="AA934" s="20" t="str">
        <x:f>"н/д"</x:f>
        <x:v>н/д</x:v>
      </x:c>
      <x:c r="AB934" s="20" t="str">
        <x:f>"н/д"</x:f>
        <x:v>н/д</x:v>
      </x:c>
      <x:c r="AC934" s="20" t="str">
        <x:f>IF(AND(J934="Рассчитано",T934&gt;0,R934&lt;100),(W934+P934+Q934)/(T934*(1-R934/100)),"н/д")</x:f>
        <x:v>н/д</x:v>
      </x:c>
      <x:c r="AD934" s="11" t="str">
        <x:f>IF(ISNUMBER(G934),IF(G934&lt;0,"Убыток",IF(G934=0,"Без прибыли","Прибыль &gt; 0")),"Не оценён")</x:f>
        <x:v>Не оценён</x:v>
      </x:c>
      <x:c r="AE934" s="12" t="str">
        <x:f>IF(J934="Рассчитано","Выручка "&amp;TEXT(V934,"0.00")&amp;" - себестоимость "&amp;TEXT(W934,"0.00")&amp;" - комиссия "&amp;TEXT(V934*R934/100,"0.00")&amp;" - доставка "&amp;TEXT(P934,"0.00")&amp;" - прочие "&amp;TEXT(Q934,"0.00")&amp;" = "&amp;TEXT(G934,"0.00")&amp;" "&amp;L934,"Введите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4" s="23" t="n">
        <x:v>1.2876800962112984</x:v>
      </x:c>
      <x:c r="AG934" s="35" t="n">
        <x:v>3</x:v>
      </x:c>
      <x:c r="AH934" s="35" t="n">
        <x:v>0</x:v>
      </x:c>
      <x:c r="AI934" s="29" t="n">
        <x:v>46266</x:v>
      </x:c>
      <x:c r="AJ934" s="35" t="n">
        <x:v>1</x:v>
      </x:c>
      <x:c r="AK934" s="11" t="str">
        <x:v>минимум</x:v>
      </x:c>
      <x:c r="AL934" s="31" t="n">
        <x:v>198.1218233169959</x:v>
      </x:c>
      <x:c r="AM934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934" s="12" t="str">
        <x:v>Проверить свободный остаток и установить цену для B2B</x:v>
      </x:c>
      <x:c r="AO934" s="12" t="str">
        <x:v>Остаток 3; прогноз 90 дней 1.29; избыток 1 шт. Будущие поступления не выставляются на продажу. Остаток на начало сентября: требуется актуализация.</x:v>
      </x:c>
      <x:c r="AP934" s="12" t="str">
        <x:v>["category_missing", "daily_stockout_data_missing", "new_order_lead_time_unknown", "reservations_unknown", "stale_stock", "stockout_proxy_used"]</x:v>
      </x:c>
      <x:c r="AQ934" s="11" t="str">
        <x:v>IEK:251400078_</x:v>
      </x:c>
      <x:c r="AR934" s="23" t="n">
        <x:v>1</x:v>
      </x:c>
      <x:c r="AS934" s="23" t="n">
        <x:v>0</x:v>
      </x:c>
      <x:c r="AT934" s="23" t="n">
        <x:v>0</x:v>
      </x:c>
    </x:row>
    <x:row r="935" ht="64" customHeight="1">
      <x:c r="A935" s="10" t="str">
        <x:v>IEK</x:v>
      </x:c>
      <x:c r="B935" s="34" t="str">
        <x:v>251400079_</x:v>
      </x:c>
      <x:c r="C935" s="34" t="str">
        <x:v>TI5-50-V-072-31-7035</x:v>
      </x:c>
      <x:c r="D935" s="13" t="str">
        <x:v>ЩРВ  72 (1х72мод) 1005х365х130 IP31 TITAN 5 IEK</x:v>
      </x:c>
      <x:c r="E935" s="10" t="str">
        <x:v>шт</x:v>
      </x:c>
      <x:c r="F935" s="37" t="n">
        <x:f>MAX(0,ROUNDDOWN((AG935-AF935)/AR935+0.000000001,0)*AR935)</x:f>
        <x:v>1</x:v>
      </x:c>
      <x:c r="G935" s="21" t="str">
        <x:f>IF(J935="Рассчитано",V935*(1-R935/100)-W935-P935-Q935,"н/д")</x:f>
        <x:v>н/д</x:v>
      </x:c>
      <x:c r="H935" s="13" t="str">
        <x:v>Высокий</x:v>
      </x:c>
      <x:c r="I935" s="13" t="str">
        <x:v>Высокий</x:v>
      </x:c>
      <x:c r="J935" s="13" t="str">
        <x:f>IF(L935="","Укажите валюту",IF(NOT(ISNUMBER(K935)),"Укажите объём",IF(K935&lt;=0,"Укажите объём",IF(K935&gt;F935,"Объём выше излишка",IF(COUNT(M935:O935)&lt;3,"Нужны цены",IF(COUNT(P935:R935)&lt;3,"Нужны расходы",IF(OR(M935&lt;0,N935&lt;0,O935&lt;0,O935&gt;100,P935&lt;0,Q935&lt;0,R935&lt;0,R935&gt;100),"Проверьте значения","Рассчитано")))))))</x:f>
        <x:v>Нужны цены</x:v>
      </x:c>
      <x:c r="K935" s="36" t="n">
        <x:v>1</x:v>
      </x:c>
      <x:c r="L935" s="19" t="str">
        <x:v>KZT</x:v>
      </x:c>
      <x:c r="M935" s="22"/>
      <x:c r="N935" s="22"/>
      <x:c r="O935" s="28"/>
      <x:c r="P935" s="22"/>
      <x:c r="Q935" s="22"/>
      <x:c r="R935" s="28"/>
      <x:c r="S935" s="22"/>
      <x:c r="T935" s="37" t="n">
        <x:f>K935</x:f>
        <x:v>1</x:v>
      </x:c>
      <x:c r="U935" s="21" t="str">
        <x:f>IF(J935="Рассчитано",N935*(1-O935/100),"н/д")</x:f>
        <x:v>н/д</x:v>
      </x:c>
      <x:c r="V935" s="21" t="str">
        <x:f>IF(J935="Рассчитано",T935*U935,"н/д")</x:f>
        <x:v>н/д</x:v>
      </x:c>
      <x:c r="W935" s="21" t="str">
        <x:f>IF(J935="Рассчитано",T935*M935,"н/д")</x:f>
        <x:v>н/д</x:v>
      </x:c>
      <x:c r="X935" s="21" t="str">
        <x:f>IF(J935="Рассчитано",V935-W935,"н/д")</x:f>
        <x:v>н/д</x:v>
      </x:c>
      <x:c r="Y935" s="27" t="str">
        <x:f>IF(J935="Рассчитано",IF(V935&gt;0,G935/V935,"н/д"),"н/д")</x:f>
        <x:v>н/д</x:v>
      </x:c>
      <x:c r="Z935" s="21" t="str">
        <x:f>"н/д"</x:f>
        <x:v>н/д</x:v>
      </x:c>
      <x:c r="AA935" s="21" t="str">
        <x:f>"н/д"</x:f>
        <x:v>н/д</x:v>
      </x:c>
      <x:c r="AB935" s="21" t="str">
        <x:f>"н/д"</x:f>
        <x:v>н/д</x:v>
      </x:c>
      <x:c r="AC935" s="21" t="str">
        <x:f>IF(AND(J935="Рассчитано",T935&gt;0,R935&lt;100),(W935+P935+Q935)/(T935*(1-R935/100)),"н/д")</x:f>
        <x:v>н/д</x:v>
      </x:c>
      <x:c r="AD935" s="10" t="str">
        <x:f>IF(ISNUMBER(G935),IF(G935&lt;0,"Убыток",IF(G935=0,"Без прибыли","Прибыль &gt; 0")),"Не оценён")</x:f>
        <x:v>Не оценён</x:v>
      </x:c>
      <x:c r="AE935" s="13" t="str">
        <x:f>IF(J935="Рассчитано","Выручка "&amp;TEXT(V935,"0.00")&amp;" - себестоимость "&amp;TEXT(W935,"0.00")&amp;" - комиссия "&amp;TEXT(V935*R935/100,"0.00")&amp;" - доставка "&amp;TEXT(P935,"0.00")&amp;" - прочие "&amp;TEXT(Q935,"0.00")&amp;" = "&amp;TEXT(G935,"0.00")&amp;" "&amp;L935,"Введите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5" s="24" t="n">
        <x:v>0.9345257341112493</x:v>
      </x:c>
      <x:c r="AG935" s="37" t="n">
        <x:v>2</x:v>
      </x:c>
      <x:c r="AH935" s="37" t="n">
        <x:v>0</x:v>
      </x:c>
      <x:c r="AI935" s="30" t="n">
        <x:v>46266</x:v>
      </x:c>
      <x:c r="AJ935" s="37" t="n">
        <x:v>1</x:v>
      </x:c>
      <x:c r="AK935" s="10" t="str">
        <x:v>минимум</x:v>
      </x:c>
      <x:c r="AL935" s="32" t="n">
        <x:v>181.99429521542896</x:v>
      </x:c>
      <x:c r="AM93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5" s="13" t="str">
        <x:v>Проверить свободный остаток и установить цену для B2B</x:v>
      </x:c>
      <x:c r="AO935" s="13" t="str">
        <x:v>Остаток 2; прогноз 90 дней 0.93; избыток 1 шт. Будущие поступления не выставляются на продажу. Остаток на начало сентября: требуется актуализация.</x:v>
      </x:c>
      <x:c r="AP935" s="13" t="str">
        <x:v>["category_missing", "daily_stockout_data_missing", "new_order_lead_time_unknown", "reservations_unknown", "stale_stock"]</x:v>
      </x:c>
      <x:c r="AQ935" s="10" t="str">
        <x:v>IEK:251400079_</x:v>
      </x:c>
      <x:c r="AR935" s="24" t="n">
        <x:v>1</x:v>
      </x:c>
      <x:c r="AS935" s="24" t="n">
        <x:v>0</x:v>
      </x:c>
      <x:c r="AT935" s="24" t="n">
        <x:v>0</x:v>
      </x:c>
    </x:row>
    <x:row r="936" ht="64" customHeight="1">
      <x:c r="A936" s="11" t="str">
        <x:v>IEK</x:v>
      </x:c>
      <x:c r="B936" s="33" t="str">
        <x:v>251400080_</x:v>
      </x:c>
      <x:c r="C936" s="33" t="str">
        <x:v>TI5-50-V-084-31-7035</x:v>
      </x:c>
      <x:c r="D936" s="12" t="str">
        <x:v>ЩРВ  84 (1х84мод) 1130х365х130 IP31 TITAN 5 IEK</x:v>
      </x:c>
      <x:c r="E936" s="11" t="str">
        <x:v>шт</x:v>
      </x:c>
      <x:c r="F936" s="35" t="n">
        <x:f>MAX(0,ROUNDDOWN((AG936-AF936)/AR936+0.000000001,0)*AR936)</x:f>
        <x:v>1</x:v>
      </x:c>
      <x:c r="G936" s="20" t="str">
        <x:f>IF(J936="Рассчитано",V936*(1-R936/100)-W936-P936-Q936,"н/д")</x:f>
        <x:v>н/д</x:v>
      </x:c>
      <x:c r="H936" s="12" t="str">
        <x:v>Высокий</x:v>
      </x:c>
      <x:c r="I936" s="12" t="str">
        <x:v>Высокий</x:v>
      </x:c>
      <x:c r="J936" s="12" t="str">
        <x:f>IF(L936="","Укажите валюту",IF(NOT(ISNUMBER(K936)),"Укажите объём",IF(K936&lt;=0,"Укажите объём",IF(K936&gt;F936,"Объём выше излишка",IF(COUNT(M936:O936)&lt;3,"Нужны цены",IF(COUNT(P936:R936)&lt;3,"Нужны расходы",IF(OR(M936&lt;0,N936&lt;0,O936&lt;0,O936&gt;100,P936&lt;0,Q936&lt;0,R936&lt;0,R936&gt;100),"Проверьте значения","Рассчитано")))))))</x:f>
        <x:v>Нужны цены</x:v>
      </x:c>
      <x:c r="K936" s="36" t="n">
        <x:v>1</x:v>
      </x:c>
      <x:c r="L936" s="19" t="str">
        <x:v>KZT</x:v>
      </x:c>
      <x:c r="M936" s="22"/>
      <x:c r="N936" s="22"/>
      <x:c r="O936" s="28"/>
      <x:c r="P936" s="22"/>
      <x:c r="Q936" s="22"/>
      <x:c r="R936" s="28"/>
      <x:c r="S936" s="22"/>
      <x:c r="T936" s="35" t="n">
        <x:f>K936</x:f>
        <x:v>1</x:v>
      </x:c>
      <x:c r="U936" s="20" t="str">
        <x:f>IF(J936="Рассчитано",N936*(1-O936/100),"н/д")</x:f>
        <x:v>н/д</x:v>
      </x:c>
      <x:c r="V936" s="20" t="str">
        <x:f>IF(J936="Рассчитано",T936*U936,"н/д")</x:f>
        <x:v>н/д</x:v>
      </x:c>
      <x:c r="W936" s="20" t="str">
        <x:f>IF(J936="Рассчитано",T936*M936,"н/д")</x:f>
        <x:v>н/д</x:v>
      </x:c>
      <x:c r="X936" s="20" t="str">
        <x:f>IF(J936="Рассчитано",V936-W936,"н/д")</x:f>
        <x:v>н/д</x:v>
      </x:c>
      <x:c r="Y936" s="26" t="str">
        <x:f>IF(J936="Рассчитано",IF(V936&gt;0,G936/V936,"н/д"),"н/д")</x:f>
        <x:v>н/д</x:v>
      </x:c>
      <x:c r="Z936" s="20" t="str">
        <x:f>"н/д"</x:f>
        <x:v>н/д</x:v>
      </x:c>
      <x:c r="AA936" s="20" t="str">
        <x:f>"н/д"</x:f>
        <x:v>н/д</x:v>
      </x:c>
      <x:c r="AB936" s="20" t="str">
        <x:f>"н/д"</x:f>
        <x:v>н/д</x:v>
      </x:c>
      <x:c r="AC936" s="20" t="str">
        <x:f>IF(AND(J936="Рассчитано",T936&gt;0,R936&lt;100),(W936+P936+Q936)/(T936*(1-R936/100)),"н/д")</x:f>
        <x:v>н/д</x:v>
      </x:c>
      <x:c r="AD936" s="11" t="str">
        <x:f>IF(ISNUMBER(G936),IF(G936&lt;0,"Убыток",IF(G936=0,"Без прибыли","Прибыль &gt; 0")),"Не оценён")</x:f>
        <x:v>Не оценён</x:v>
      </x:c>
      <x:c r="AE936" s="12" t="str">
        <x:f>IF(J936="Рассчитано","Выручка "&amp;TEXT(V936,"0.00")&amp;" - себестоимость "&amp;TEXT(W936,"0.00")&amp;" - комиссия "&amp;TEXT(V936*R936/100,"0.00")&amp;" - доставка "&amp;TEXT(P936,"0.00")&amp;" - прочие "&amp;TEXT(Q936,"0.00")&amp;" = "&amp;TEXT(G936,"0.00")&amp;" "&amp;L936,"Введите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6" s="23" t="n">
        <x:v>1.1004699371521653</x:v>
      </x:c>
      <x:c r="AG936" s="35" t="n">
        <x:v>3</x:v>
      </x:c>
      <x:c r="AH936" s="35" t="n">
        <x:v>0</x:v>
      </x:c>
      <x:c r="AI936" s="29" t="n">
        <x:v>46266</x:v>
      </x:c>
      <x:c r="AJ936" s="35" t="n">
        <x:v>1</x:v>
      </x:c>
      <x:c r="AK936" s="11" t="str">
        <x:v>минимум</x:v>
      </x:c>
      <x:c r="AL936" s="31" t="n">
        <x:v>231.82598624237704</x:v>
      </x:c>
      <x:c r="AM93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6" s="12" t="str">
        <x:v>Проверить свободный остаток и установить цену для B2B</x:v>
      </x:c>
      <x:c r="AO936" s="12" t="str">
        <x:v>Остаток 3; прогноз 90 дней 1.10; избыток 1 шт. Будущие поступления не выставляются на продажу. Остаток на начало сентября: требуется актуализация.</x:v>
      </x:c>
      <x:c r="AP936" s="12" t="str">
        <x:v>["category_missing", "daily_stockout_data_missing", "new_order_lead_time_unknown", "reservations_unknown", "stale_stock"]</x:v>
      </x:c>
      <x:c r="AQ936" s="11" t="str">
        <x:v>IEK:251400080_</x:v>
      </x:c>
      <x:c r="AR936" s="23" t="n">
        <x:v>1</x:v>
      </x:c>
      <x:c r="AS936" s="23" t="n">
        <x:v>0</x:v>
      </x:c>
      <x:c r="AT936" s="23" t="n">
        <x:v>0</x:v>
      </x:c>
    </x:row>
    <x:row r="937" ht="64" customHeight="1">
      <x:c r="A937" s="10" t="str">
        <x:v>IEK</x:v>
      </x:c>
      <x:c r="B937" s="34" t="str">
        <x:v>251400081_</x:v>
      </x:c>
      <x:c r="C937" s="34" t="str">
        <x:v>TI5-50-V-2X024-31-7035</x:v>
      </x:c>
      <x:c r="D937" s="13" t="str">
        <x:v>ЩРВ  48 (2х24мод) 505х625х130 IP31 TITAN 5 IEK</x:v>
      </x:c>
      <x:c r="E937" s="10" t="str">
        <x:v>шт</x:v>
      </x:c>
      <x:c r="F937" s="37" t="n">
        <x:f>MAX(0,ROUNDDOWN((AG937-AF937)/AR937+0.000000001,0)*AR937)</x:f>
        <x:v>1</x:v>
      </x:c>
      <x:c r="G937" s="21" t="str">
        <x:f>IF(J937="Рассчитано",V937*(1-R937/100)-W937-P937-Q937,"н/д")</x:f>
        <x:v>н/д</x:v>
      </x:c>
      <x:c r="H937" s="13" t="str">
        <x:v>Высокий</x:v>
      </x:c>
      <x:c r="I937" s="13" t="str">
        <x:v>Высокий</x:v>
      </x:c>
      <x:c r="J937" s="13" t="str">
        <x:f>IF(L937="","Укажите валюту",IF(NOT(ISNUMBER(K937)),"Укажите объём",IF(K937&lt;=0,"Укажите объём",IF(K937&gt;F937,"Объём выше излишка",IF(COUNT(M937:O937)&lt;3,"Нужны цены",IF(COUNT(P937:R937)&lt;3,"Нужны расходы",IF(OR(M937&lt;0,N937&lt;0,O937&lt;0,O937&gt;100,P937&lt;0,Q937&lt;0,R937&lt;0,R937&gt;100),"Проверьте значения","Рассчитано")))))))</x:f>
        <x:v>Нужны цены</x:v>
      </x:c>
      <x:c r="K937" s="36" t="n">
        <x:v>1</x:v>
      </x:c>
      <x:c r="L937" s="19" t="str">
        <x:v>KZT</x:v>
      </x:c>
      <x:c r="M937" s="22"/>
      <x:c r="N937" s="22"/>
      <x:c r="O937" s="28"/>
      <x:c r="P937" s="22"/>
      <x:c r="Q937" s="22"/>
      <x:c r="R937" s="28"/>
      <x:c r="S937" s="22"/>
      <x:c r="T937" s="37" t="n">
        <x:f>K937</x:f>
        <x:v>1</x:v>
      </x:c>
      <x:c r="U937" s="21" t="str">
        <x:f>IF(J937="Рассчитано",N937*(1-O937/100),"н/д")</x:f>
        <x:v>н/д</x:v>
      </x:c>
      <x:c r="V937" s="21" t="str">
        <x:f>IF(J937="Рассчитано",T937*U937,"н/д")</x:f>
        <x:v>н/д</x:v>
      </x:c>
      <x:c r="W937" s="21" t="str">
        <x:f>IF(J937="Рассчитано",T937*M937,"н/д")</x:f>
        <x:v>н/д</x:v>
      </x:c>
      <x:c r="X937" s="21" t="str">
        <x:f>IF(J937="Рассчитано",V937-W937,"н/д")</x:f>
        <x:v>н/д</x:v>
      </x:c>
      <x:c r="Y937" s="27" t="str">
        <x:f>IF(J937="Рассчитано",IF(V937&gt;0,G937/V937,"н/д"),"н/д")</x:f>
        <x:v>н/д</x:v>
      </x:c>
      <x:c r="Z937" s="21" t="str">
        <x:f>"н/д"</x:f>
        <x:v>н/д</x:v>
      </x:c>
      <x:c r="AA937" s="21" t="str">
        <x:f>"н/д"</x:f>
        <x:v>н/д</x:v>
      </x:c>
      <x:c r="AB937" s="21" t="str">
        <x:f>"н/д"</x:f>
        <x:v>н/д</x:v>
      </x:c>
      <x:c r="AC937" s="21" t="str">
        <x:f>IF(AND(J937="Рассчитано",T937&gt;0,R937&lt;100),(W937+P937+Q937)/(T937*(1-R937/100)),"н/д")</x:f>
        <x:v>н/д</x:v>
      </x:c>
      <x:c r="AD937" s="10" t="str">
        <x:f>IF(ISNUMBER(G937),IF(G937&lt;0,"Убыток",IF(G937=0,"Без прибыли","Прибыль &gt; 0")),"Не оценён")</x:f>
        <x:v>Не оценён</x:v>
      </x:c>
      <x:c r="AE937" s="13" t="str">
        <x:f>IF(J937="Рассчитано","Выручка "&amp;TEXT(V937,"0.00")&amp;" - себестоимость "&amp;TEXT(W937,"0.00")&amp;" - комиссия "&amp;TEXT(V937*R937/100,"0.00")&amp;" - доставка "&amp;TEXT(P937,"0.00")&amp;" - прочие "&amp;TEXT(Q937,"0.00")&amp;" = "&amp;TEXT(G937,"0.00")&amp;" "&amp;L937,"Введите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7" s="24" t="n">
        <x:v>0.21517454508643796</x:v>
      </x:c>
      <x:c r="AG937" s="37" t="n">
        <x:v>2</x:v>
      </x:c>
      <x:c r="AH937" s="37" t="n">
        <x:v>0</x:v>
      </x:c>
      <x:c r="AI937" s="30" t="n">
        <x:v>46266</x:v>
      </x:c>
      <x:c r="AJ937" s="37" t="n">
        <x:v>1</x:v>
      </x:c>
      <x:c r="AK937" s="10" t="str">
        <x:v>минимум</x:v>
      </x:c>
      <x:c r="AL937" s="32" t="n">
        <x:v>790.4204108898463</x:v>
      </x:c>
      <x:c r="AM93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7" s="13" t="str">
        <x:v>Проверить свободный остаток и установить цену для B2B</x:v>
      </x:c>
      <x:c r="AO937" s="13" t="str">
        <x:v>Остаток 2; прогноз 90 дней 0.22; избыток 1 шт. Будущие поступления не выставляются на продажу. Остаток на начало сентября: требуется актуализация.</x:v>
      </x:c>
      <x:c r="AP937" s="13" t="str">
        <x:v>["category_missing", "daily_stockout_data_missing", "new_order_lead_time_unknown", "reservations_unknown", "stale_stock"]</x:v>
      </x:c>
      <x:c r="AQ937" s="10" t="str">
        <x:v>IEK:251400081_</x:v>
      </x:c>
      <x:c r="AR937" s="24" t="n">
        <x:v>1</x:v>
      </x:c>
      <x:c r="AS937" s="24" t="n">
        <x:v>0</x:v>
      </x:c>
      <x:c r="AT937" s="24" t="n">
        <x:v>0</x:v>
      </x:c>
    </x:row>
    <x:row r="938" ht="64" customHeight="1">
      <x:c r="A938" s="11" t="str">
        <x:v>IEK</x:v>
      </x:c>
      <x:c r="B938" s="33" t="str">
        <x:v>251400084_</x:v>
      </x:c>
      <x:c r="C938" s="33" t="str">
        <x:v>TI5-50-V-2X060-31-7035</x:v>
      </x:c>
      <x:c r="D938" s="12" t="str">
        <x:v>ЩРВ 120 (2х60мод) 880х625х130 IP31 TITAN 5 IEK</x:v>
      </x:c>
      <x:c r="E938" s="11" t="str">
        <x:v>шт</x:v>
      </x:c>
      <x:c r="F938" s="35" t="n">
        <x:f>MAX(0,ROUNDDOWN((AG938-AF938)/AR938+0.000000001,0)*AR938)</x:f>
        <x:v>1</x:v>
      </x:c>
      <x:c r="G938" s="20" t="str">
        <x:f>IF(J938="Рассчитано",V938*(1-R938/100)-W938-P938-Q938,"н/д")</x:f>
        <x:v>н/д</x:v>
      </x:c>
      <x:c r="H938" s="12" t="str">
        <x:v>Высокий</x:v>
      </x:c>
      <x:c r="I938" s="12" t="str">
        <x:v>Высокий</x:v>
      </x:c>
      <x:c r="J938" s="12" t="str">
        <x:f>IF(L938="","Укажите валюту",IF(NOT(ISNUMBER(K938)),"Укажите объём",IF(K938&lt;=0,"Укажите объём",IF(K938&gt;F938,"Объём выше излишка",IF(COUNT(M938:O938)&lt;3,"Нужны цены",IF(COUNT(P938:R938)&lt;3,"Нужны расходы",IF(OR(M938&lt;0,N938&lt;0,O938&lt;0,O938&gt;100,P938&lt;0,Q938&lt;0,R938&lt;0,R938&gt;100),"Проверьте значения","Рассчитано")))))))</x:f>
        <x:v>Нужны цены</x:v>
      </x:c>
      <x:c r="K938" s="36" t="n">
        <x:v>1</x:v>
      </x:c>
      <x:c r="L938" s="19" t="str">
        <x:v>KZT</x:v>
      </x:c>
      <x:c r="M938" s="22"/>
      <x:c r="N938" s="22"/>
      <x:c r="O938" s="28"/>
      <x:c r="P938" s="22"/>
      <x:c r="Q938" s="22"/>
      <x:c r="R938" s="28"/>
      <x:c r="S938" s="22"/>
      <x:c r="T938" s="35" t="n">
        <x:f>K938</x:f>
        <x:v>1</x:v>
      </x:c>
      <x:c r="U938" s="20" t="str">
        <x:f>IF(J938="Рассчитано",N938*(1-O938/100),"н/д")</x:f>
        <x:v>н/д</x:v>
      </x:c>
      <x:c r="V938" s="20" t="str">
        <x:f>IF(J938="Рассчитано",T938*U938,"н/д")</x:f>
        <x:v>н/д</x:v>
      </x:c>
      <x:c r="W938" s="20" t="str">
        <x:f>IF(J938="Рассчитано",T938*M938,"н/д")</x:f>
        <x:v>н/д</x:v>
      </x:c>
      <x:c r="X938" s="20" t="str">
        <x:f>IF(J938="Рассчитано",V938-W938,"н/д")</x:f>
        <x:v>н/д</x:v>
      </x:c>
      <x:c r="Y938" s="26" t="str">
        <x:f>IF(J938="Рассчитано",IF(V938&gt;0,G938/V938,"н/д"),"н/д")</x:f>
        <x:v>н/д</x:v>
      </x:c>
      <x:c r="Z938" s="20" t="str">
        <x:f>"н/д"</x:f>
        <x:v>н/д</x:v>
      </x:c>
      <x:c r="AA938" s="20" t="str">
        <x:f>"н/д"</x:f>
        <x:v>н/д</x:v>
      </x:c>
      <x:c r="AB938" s="20" t="str">
        <x:f>"н/д"</x:f>
        <x:v>н/д</x:v>
      </x:c>
      <x:c r="AC938" s="20" t="str">
        <x:f>IF(AND(J938="Рассчитано",T938&gt;0,R938&lt;100),(W938+P938+Q938)/(T938*(1-R938/100)),"н/д")</x:f>
        <x:v>н/д</x:v>
      </x:c>
      <x:c r="AD938" s="11" t="str">
        <x:f>IF(ISNUMBER(G938),IF(G938&lt;0,"Убыток",IF(G938=0,"Без прибыли","Прибыль &gt; 0")),"Не оценён")</x:f>
        <x:v>Не оценён</x:v>
      </x:c>
      <x:c r="AE938" s="12" t="str">
        <x:f>IF(J938="Рассчитано","Выручка "&amp;TEXT(V938,"0.00")&amp;" - себестоимость "&amp;TEXT(W938,"0.00")&amp;" - комиссия "&amp;TEXT(V938*R938/100,"0.00")&amp;" - доставка "&amp;TEXT(P938,"0.00")&amp;" - прочие "&amp;TEXT(Q938,"0.00")&amp;" = "&amp;TEXT(G938,"0.00")&amp;" "&amp;L938,"Введите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8" s="23" t="n">
        <x:v>0.9412172786512308</x:v>
      </x:c>
      <x:c r="AG938" s="35" t="n">
        <x:v>2</x:v>
      </x:c>
      <x:c r="AH938" s="35" t="n">
        <x:v>1</x:v>
      </x:c>
      <x:c r="AI938" s="29" t="n">
        <x:v>46266</x:v>
      </x:c>
      <x:c r="AJ938" s="35" t="n">
        <x:v>1</x:v>
      </x:c>
      <x:c r="AK938" s="11" t="str">
        <x:v>минимум</x:v>
      </x:c>
      <x:c r="AL938" s="31" t="n">
        <x:v>180.70041445050958</x:v>
      </x:c>
      <x:c r="AM93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8" s="12" t="str">
        <x:v>Проверить свободный остаток и установить цену для B2B</x:v>
      </x:c>
      <x:c r="AO938" s="12" t="str">
        <x:v>Остаток 2; прогноз 90 дней 0.94; избыток 1 шт. Будущие поступления не выставляются на продажу. Остаток на начало сентября: требуется актуализация.</x:v>
      </x:c>
      <x:c r="AP938" s="12" t="str">
        <x:v>["category_missing", "daily_stockout_data_missing", "new_order_lead_time_unknown", "reservations_unknown", "stale_stock"]</x:v>
      </x:c>
      <x:c r="AQ938" s="11" t="str">
        <x:v>IEK:251400084_</x:v>
      </x:c>
      <x:c r="AR938" s="23" t="n">
        <x:v>1</x:v>
      </x:c>
      <x:c r="AS938" s="23" t="n">
        <x:v>0</x:v>
      </x:c>
      <x:c r="AT938" s="23" t="n">
        <x:v>0</x:v>
      </x:c>
    </x:row>
    <x:row r="939" ht="64" customHeight="1">
      <x:c r="A939" s="10" t="str">
        <x:v>IEK</x:v>
      </x:c>
      <x:c r="B939" s="34" t="str">
        <x:v>251400086_</x:v>
      </x:c>
      <x:c r="C939" s="34" t="str">
        <x:v>TI5-50-V-2X084-31-7035</x:v>
      </x:c>
      <x:c r="D939" s="13" t="str">
        <x:v>ЩРВ 168 (2х84мод) 1130х625х130 IP31 TITAN 5 IEK</x:v>
      </x:c>
      <x:c r="E939" s="10" t="str">
        <x:v>шт</x:v>
      </x:c>
      <x:c r="F939" s="37" t="n">
        <x:f>MAX(0,ROUNDDOWN((AG939-AF939)/AR939+0.000000001,0)*AR939)</x:f>
        <x:v>3</x:v>
      </x:c>
      <x:c r="G939" s="21" t="str">
        <x:f>IF(J939="Рассчитано",V939*(1-R939/100)-W939-P939-Q939,"н/д")</x:f>
        <x:v>н/д</x:v>
      </x:c>
      <x:c r="H939" s="13" t="str">
        <x:v>Высокий</x:v>
      </x:c>
      <x:c r="I939" s="13" t="str">
        <x:v>Высокий</x:v>
      </x:c>
      <x:c r="J939" s="13" t="str">
        <x:f>IF(L939="","Укажите валюту",IF(NOT(ISNUMBER(K939)),"Укажите объём",IF(K939&lt;=0,"Укажите объём",IF(K939&gt;F939,"Объём выше излишка",IF(COUNT(M939:O939)&lt;3,"Нужны цены",IF(COUNT(P939:R939)&lt;3,"Нужны расходы",IF(OR(M939&lt;0,N939&lt;0,O939&lt;0,O939&gt;100,P939&lt;0,Q939&lt;0,R939&lt;0,R939&gt;100),"Проверьте значения","Рассчитано")))))))</x:f>
        <x:v>Нужны цены</x:v>
      </x:c>
      <x:c r="K939" s="36" t="n">
        <x:v>3</x:v>
      </x:c>
      <x:c r="L939" s="19" t="str">
        <x:v>KZT</x:v>
      </x:c>
      <x:c r="M939" s="22"/>
      <x:c r="N939" s="22"/>
      <x:c r="O939" s="28"/>
      <x:c r="P939" s="22"/>
      <x:c r="Q939" s="22"/>
      <x:c r="R939" s="28"/>
      <x:c r="S939" s="22"/>
      <x:c r="T939" s="37" t="n">
        <x:f>K939</x:f>
        <x:v>3</x:v>
      </x:c>
      <x:c r="U939" s="21" t="str">
        <x:f>IF(J939="Рассчитано",N939*(1-O939/100),"н/д")</x:f>
        <x:v>н/д</x:v>
      </x:c>
      <x:c r="V939" s="21" t="str">
        <x:f>IF(J939="Рассчитано",T939*U939,"н/д")</x:f>
        <x:v>н/д</x:v>
      </x:c>
      <x:c r="W939" s="21" t="str">
        <x:f>IF(J939="Рассчитано",T939*M939,"н/д")</x:f>
        <x:v>н/д</x:v>
      </x:c>
      <x:c r="X939" s="21" t="str">
        <x:f>IF(J939="Рассчитано",V939-W939,"н/д")</x:f>
        <x:v>н/д</x:v>
      </x:c>
      <x:c r="Y939" s="27" t="str">
        <x:f>IF(J939="Рассчитано",IF(V939&gt;0,G939/V939,"н/д"),"н/д")</x:f>
        <x:v>н/д</x:v>
      </x:c>
      <x:c r="Z939" s="21" t="str">
        <x:f>"н/д"</x:f>
        <x:v>н/д</x:v>
      </x:c>
      <x:c r="AA939" s="21" t="str">
        <x:f>"н/д"</x:f>
        <x:v>н/д</x:v>
      </x:c>
      <x:c r="AB939" s="21" t="str">
        <x:f>"н/д"</x:f>
        <x:v>н/д</x:v>
      </x:c>
      <x:c r="AC939" s="21" t="str">
        <x:f>IF(AND(J939="Рассчитано",T939&gt;0,R939&lt;100),(W939+P939+Q939)/(T939*(1-R939/100)),"н/д")</x:f>
        <x:v>н/д</x:v>
      </x:c>
      <x:c r="AD939" s="10" t="str">
        <x:f>IF(ISNUMBER(G939),IF(G939&lt;0,"Убыток",IF(G939=0,"Без прибыли","Прибыль &gt; 0")),"Не оценён")</x:f>
        <x:v>Не оценён</x:v>
      </x:c>
      <x:c r="AE939" s="13" t="str">
        <x:f>IF(J939="Рассчитано","Выручка "&amp;TEXT(V939,"0.00")&amp;" - себестоимость "&amp;TEXT(W939,"0.00")&amp;" - комиссия "&amp;TEXT(V939*R939/100,"0.00")&amp;" - доставка "&amp;TEXT(P939,"0.00")&amp;" - прочие "&amp;TEXT(Q939,"0.00")&amp;" = "&amp;TEXT(G939,"0.00")&amp;" "&amp;L939,"Введите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9" s="24" t="n">
        <x:v>0.09005811180205522</x:v>
      </x:c>
      <x:c r="AG939" s="37" t="n">
        <x:v>4</x:v>
      </x:c>
      <x:c r="AH939" s="37" t="n">
        <x:v>0</x:v>
      </x:c>
      <x:c r="AI939" s="30" t="n">
        <x:v>46266</x:v>
      </x:c>
      <x:c r="AJ939" s="37" t="n">
        <x:v>1</x:v>
      </x:c>
      <x:c r="AK939" s="10" t="str">
        <x:v>минимум</x:v>
      </x:c>
      <x:c r="AL939" s="32" t="n">
        <x:v>3777.0801305291607</x:v>
      </x:c>
      <x:c r="AM93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39" s="13" t="str">
        <x:v>Проверить свободный остаток и установить цену для B2B</x:v>
      </x:c>
      <x:c r="AO939" s="13" t="str">
        <x:v>Остаток 4; прогноз 90 дней 0.09; избыток 3 шт. Будущие поступления не выставляются на продажу. Остаток на начало сентября: требуется актуализация.</x:v>
      </x:c>
      <x:c r="AP939" s="13" t="str">
        <x:v>["category_missing", "daily_stockout_data_missing", "new_order_lead_time_unknown", "reservations_unknown", "stale_stock"]</x:v>
      </x:c>
      <x:c r="AQ939" s="10" t="str">
        <x:v>IEK:251400086_</x:v>
      </x:c>
      <x:c r="AR939" s="24" t="n">
        <x:v>1</x:v>
      </x:c>
      <x:c r="AS939" s="24" t="n">
        <x:v>0</x:v>
      </x:c>
      <x:c r="AT939" s="24" t="n">
        <x:v>0</x:v>
      </x:c>
    </x:row>
    <x:row r="940" ht="64" customHeight="1">
      <x:c r="A940" s="11" t="str">
        <x:v>IEK</x:v>
      </x:c>
      <x:c r="B940" s="33" t="str">
        <x:v>251400087_</x:v>
      </x:c>
      <x:c r="C940" s="33" t="str">
        <x:v>TI5-50-V-3X036-31-7035</x:v>
      </x:c>
      <x:c r="D940" s="12" t="str">
        <x:v>ЩРВ 108 (3х36мод) 630х885х130 IP31 TITAN 5 IEK</x:v>
      </x:c>
      <x:c r="E940" s="11" t="str">
        <x:v>шт</x:v>
      </x:c>
      <x:c r="F940" s="35" t="n">
        <x:f>MAX(0,ROUNDDOWN((AG940-AF940)/AR940+0.000000001,0)*AR940)</x:f>
        <x:v>2</x:v>
      </x:c>
      <x:c r="G940" s="20" t="str">
        <x:f>IF(J940="Рассчитано",V940*(1-R940/100)-W940-P940-Q940,"н/д")</x:f>
        <x:v>н/д</x:v>
      </x:c>
      <x:c r="H940" s="12" t="str">
        <x:v>Высокий</x:v>
      </x:c>
      <x:c r="I940" s="12" t="str">
        <x:v>Высокий</x:v>
      </x:c>
      <x:c r="J940" s="12" t="str">
        <x:f>IF(L940="","Укажите валюту",IF(NOT(ISNUMBER(K940)),"Укажите объём",IF(K940&lt;=0,"Укажите объём",IF(K940&gt;F940,"Объём выше излишка",IF(COUNT(M940:O940)&lt;3,"Нужны цены",IF(COUNT(P940:R940)&lt;3,"Нужны расходы",IF(OR(M940&lt;0,N940&lt;0,O940&lt;0,O940&gt;100,P940&lt;0,Q940&lt;0,R940&lt;0,R940&gt;100),"Проверьте значения","Рассчитано")))))))</x:f>
        <x:v>Нужны цены</x:v>
      </x:c>
      <x:c r="K940" s="36" t="n">
        <x:v>2</x:v>
      </x:c>
      <x:c r="L940" s="19" t="str">
        <x:v>KZT</x:v>
      </x:c>
      <x:c r="M940" s="22"/>
      <x:c r="N940" s="22"/>
      <x:c r="O940" s="28"/>
      <x:c r="P940" s="22"/>
      <x:c r="Q940" s="22"/>
      <x:c r="R940" s="28"/>
      <x:c r="S940" s="22"/>
      <x:c r="T940" s="35" t="n">
        <x:f>K940</x:f>
        <x:v>2</x:v>
      </x:c>
      <x:c r="U940" s="20" t="str">
        <x:f>IF(J940="Рассчитано",N940*(1-O940/100),"н/д")</x:f>
        <x:v>н/д</x:v>
      </x:c>
      <x:c r="V940" s="20" t="str">
        <x:f>IF(J940="Рассчитано",T940*U940,"н/д")</x:f>
        <x:v>н/д</x:v>
      </x:c>
      <x:c r="W940" s="20" t="str">
        <x:f>IF(J940="Рассчитано",T940*M940,"н/д")</x:f>
        <x:v>н/д</x:v>
      </x:c>
      <x:c r="X940" s="20" t="str">
        <x:f>IF(J940="Рассчитано",V940-W940,"н/д")</x:f>
        <x:v>н/д</x:v>
      </x:c>
      <x:c r="Y940" s="26" t="str">
        <x:f>IF(J940="Рассчитано",IF(V940&gt;0,G940/V940,"н/д"),"н/д")</x:f>
        <x:v>н/д</x:v>
      </x:c>
      <x:c r="Z940" s="20" t="str">
        <x:f>"н/д"</x:f>
        <x:v>н/д</x:v>
      </x:c>
      <x:c r="AA940" s="20" t="str">
        <x:f>"н/д"</x:f>
        <x:v>н/д</x:v>
      </x:c>
      <x:c r="AB940" s="20" t="str">
        <x:f>"н/д"</x:f>
        <x:v>н/д</x:v>
      </x:c>
      <x:c r="AC940" s="20" t="str">
        <x:f>IF(AND(J940="Рассчитано",T940&gt;0,R940&lt;100),(W940+P940+Q940)/(T940*(1-R940/100)),"н/д")</x:f>
        <x:v>н/д</x:v>
      </x:c>
      <x:c r="AD940" s="11" t="str">
        <x:f>IF(ISNUMBER(G940),IF(G940&lt;0,"Убыток",IF(G940=0,"Без прибыли","Прибыль &gt; 0")),"Не оценён")</x:f>
        <x:v>Не оценён</x:v>
      </x:c>
      <x:c r="AE940" s="12" t="str">
        <x:f>IF(J940="Рассчитано","Выручка "&amp;TEXT(V940,"0.00")&amp;" - себестоимость "&amp;TEXT(W940,"0.00")&amp;" - комиссия "&amp;TEXT(V940*R940/100,"0.00")&amp;" - доставка "&amp;TEXT(P940,"0.00")&amp;" - прочие "&amp;TEXT(Q940,"0.00")&amp;" = "&amp;TEXT(G940,"0.00")&amp;" "&amp;L940,"Введите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0" s="23" t="n">
        <x:v>0</x:v>
      </x:c>
      <x:c r="AG940" s="35" t="n">
        <x:v>2</x:v>
      </x:c>
      <x:c r="AH940" s="35" t="n">
        <x:v>0</x:v>
      </x:c>
      <x:c r="AI940" s="29" t="n">
        <x:v>46266</x:v>
      </x:c>
      <x:c r="AJ940" s="35" t="n">
        <x:v>1</x:v>
      </x:c>
      <x:c r="AK940" s="11" t="str">
        <x:v>минимум</x:v>
      </x:c>
      <x:c r="AL940" s="31" t="str">
        <x:v>н/д</x:v>
      </x:c>
      <x:c r="AM94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40" s="12" t="str">
        <x:v>Проверить свободный остаток и установить цену для B2B</x:v>
      </x:c>
      <x:c r="AO940" s="12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940" s="12" t="str">
        <x:v>["category_missing", "daily_stockout_data_missing", "new_order_lead_time_unknown", "reservations_unknown", "stale_stock"]</x:v>
      </x:c>
      <x:c r="AQ940" s="11" t="str">
        <x:v>IEK:251400087_</x:v>
      </x:c>
      <x:c r="AR940" s="23" t="n">
        <x:v>1</x:v>
      </x:c>
      <x:c r="AS940" s="23" t="n">
        <x:v>0</x:v>
      </x:c>
      <x:c r="AT940" s="23" t="n">
        <x:v>0</x:v>
      </x:c>
    </x:row>
    <x:row r="941" ht="64" customHeight="1">
      <x:c r="A941" s="10" t="str">
        <x:v>IEK</x:v>
      </x:c>
      <x:c r="B941" s="34" t="str">
        <x:v>251400089_</x:v>
      </x:c>
      <x:c r="C941" s="34" t="str">
        <x:v>TI5-50-V-3X060-31-7035</x:v>
      </x:c>
      <x:c r="D941" s="13" t="str">
        <x:v>ЩРВ 180 (3х60мод) 880х885х130 IP31 TITAN 5 IEK</x:v>
      </x:c>
      <x:c r="E941" s="10" t="str">
        <x:v>шт</x:v>
      </x:c>
      <x:c r="F941" s="37" t="n">
        <x:f>MAX(0,ROUNDDOWN((AG941-AF941)/AR941+0.000000001,0)*AR941)</x:f>
        <x:v>1</x:v>
      </x:c>
      <x:c r="G941" s="21" t="str">
        <x:f>IF(J941="Рассчитано",V941*(1-R941/100)-W941-P941-Q941,"н/д")</x:f>
        <x:v>н/д</x:v>
      </x:c>
      <x:c r="H941" s="13" t="str">
        <x:v>Высокий</x:v>
      </x:c>
      <x:c r="I941" s="13" t="str">
        <x:v>Высокий</x:v>
      </x:c>
      <x:c r="J941" s="13" t="str">
        <x:f>IF(L941="","Укажите валюту",IF(NOT(ISNUMBER(K941)),"Укажите объём",IF(K941&lt;=0,"Укажите объём",IF(K941&gt;F941,"Объём выше излишка",IF(COUNT(M941:O941)&lt;3,"Нужны цены",IF(COUNT(P941:R941)&lt;3,"Нужны расходы",IF(OR(M941&lt;0,N941&lt;0,O941&lt;0,O941&gt;100,P941&lt;0,Q941&lt;0,R941&lt;0,R941&gt;100),"Проверьте значения","Рассчитано")))))))</x:f>
        <x:v>Нужны цены</x:v>
      </x:c>
      <x:c r="K941" s="36" t="n">
        <x:v>1</x:v>
      </x:c>
      <x:c r="L941" s="19" t="str">
        <x:v>KZT</x:v>
      </x:c>
      <x:c r="M941" s="22"/>
      <x:c r="N941" s="22"/>
      <x:c r="O941" s="28"/>
      <x:c r="P941" s="22"/>
      <x:c r="Q941" s="22"/>
      <x:c r="R941" s="28"/>
      <x:c r="S941" s="22"/>
      <x:c r="T941" s="37" t="n">
        <x:f>K941</x:f>
        <x:v>1</x:v>
      </x:c>
      <x:c r="U941" s="21" t="str">
        <x:f>IF(J941="Рассчитано",N941*(1-O941/100),"н/д")</x:f>
        <x:v>н/д</x:v>
      </x:c>
      <x:c r="V941" s="21" t="str">
        <x:f>IF(J941="Рассчитано",T941*U941,"н/д")</x:f>
        <x:v>н/д</x:v>
      </x:c>
      <x:c r="W941" s="21" t="str">
        <x:f>IF(J941="Рассчитано",T941*M941,"н/д")</x:f>
        <x:v>н/д</x:v>
      </x:c>
      <x:c r="X941" s="21" t="str">
        <x:f>IF(J941="Рассчитано",V941-W941,"н/д")</x:f>
        <x:v>н/д</x:v>
      </x:c>
      <x:c r="Y941" s="27" t="str">
        <x:f>IF(J941="Рассчитано",IF(V941&gt;0,G941/V941,"н/д"),"н/д")</x:f>
        <x:v>н/д</x:v>
      </x:c>
      <x:c r="Z941" s="21" t="str">
        <x:f>"н/д"</x:f>
        <x:v>н/д</x:v>
      </x:c>
      <x:c r="AA941" s="21" t="str">
        <x:f>"н/д"</x:f>
        <x:v>н/д</x:v>
      </x:c>
      <x:c r="AB941" s="21" t="str">
        <x:f>"н/д"</x:f>
        <x:v>н/д</x:v>
      </x:c>
      <x:c r="AC941" s="21" t="str">
        <x:f>IF(AND(J941="Рассчитано",T941&gt;0,R941&lt;100),(W941+P941+Q941)/(T941*(1-R941/100)),"н/д")</x:f>
        <x:v>н/д</x:v>
      </x:c>
      <x:c r="AD941" s="10" t="str">
        <x:f>IF(ISNUMBER(G941),IF(G941&lt;0,"Убыток",IF(G941=0,"Без прибыли","Прибыль &gt; 0")),"Не оценён")</x:f>
        <x:v>Не оценён</x:v>
      </x:c>
      <x:c r="AE941" s="13" t="str">
        <x:f>IF(J941="Рассчитано","Выручка "&amp;TEXT(V941,"0.00")&amp;" - себестоимость "&amp;TEXT(W941,"0.00")&amp;" - комиссия "&amp;TEXT(V941*R941/100,"0.00")&amp;" - доставка "&amp;TEXT(P941,"0.00")&amp;" - прочие "&amp;TEXT(Q941,"0.00")&amp;" = "&amp;TEXT(G941,"0.00")&amp;" "&amp;L941,"Введите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1" s="24" t="n">
        <x:v>0</x:v>
      </x:c>
      <x:c r="AG941" s="37" t="n">
        <x:v>1</x:v>
      </x:c>
      <x:c r="AH941" s="37" t="n">
        <x:v>0</x:v>
      </x:c>
      <x:c r="AI941" s="30" t="n">
        <x:v>46266</x:v>
      </x:c>
      <x:c r="AJ941" s="37" t="n">
        <x:v>1</x:v>
      </x:c>
      <x:c r="AK941" s="10" t="str">
        <x:v>минимум</x:v>
      </x:c>
      <x:c r="AL941" s="32" t="str">
        <x:v>н/д</x:v>
      </x:c>
      <x:c r="AM94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41" s="13" t="str">
        <x:v>Проверить свободный остаток и установить цену для B2B</x:v>
      </x:c>
      <x:c r="AO941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41" s="13" t="str">
        <x:v>["category_missing", "daily_stockout_data_missing", "new_order_lead_time_unknown", "reservations_unknown", "stale_stock"]</x:v>
      </x:c>
      <x:c r="AQ941" s="10" t="str">
        <x:v>IEK:251400089_</x:v>
      </x:c>
      <x:c r="AR941" s="24" t="n">
        <x:v>1</x:v>
      </x:c>
      <x:c r="AS941" s="24" t="n">
        <x:v>0</x:v>
      </x:c>
      <x:c r="AT941" s="24" t="n">
        <x:v>0</x:v>
      </x:c>
    </x:row>
    <x:row r="942" ht="64" customHeight="1">
      <x:c r="A942" s="11" t="str">
        <x:v>IEK</x:v>
      </x:c>
      <x:c r="B942" s="33" t="str">
        <x:v>251400092_</x:v>
      </x:c>
      <x:c r="C942" s="33" t="str">
        <x:v>TI5-10-N-030-030-015-66</x:v>
      </x:c>
      <x:c r="D942" s="12" t="str">
        <x:v>ЩМП 30х30х15 IP66  TITAN 5 IEK</x:v>
      </x:c>
      <x:c r="E942" s="11" t="str">
        <x:v>шт</x:v>
      </x:c>
      <x:c r="F942" s="35" t="n">
        <x:f>MAX(0,ROUNDDOWN((AG942-AF942)/AR942+0.000000001,0)*AR942)</x:f>
        <x:v>8</x:v>
      </x:c>
      <x:c r="G942" s="20" t="str">
        <x:f>IF(J942="Рассчитано",V942*(1-R942/100)-W942-P942-Q942,"н/д")</x:f>
        <x:v>н/д</x:v>
      </x:c>
      <x:c r="H942" s="12" t="str">
        <x:v>Высокий</x:v>
      </x:c>
      <x:c r="I942" s="12" t="str">
        <x:v>Средний</x:v>
      </x:c>
      <x:c r="J942" s="12" t="str">
        <x:f>IF(L942="","Укажите валюту",IF(NOT(ISNUMBER(K942)),"Укажите объём",IF(K942&lt;=0,"Укажите объём",IF(K942&gt;F942,"Объём выше излишка",IF(COUNT(M942:O942)&lt;3,"Нужны цены",IF(COUNT(P942:R942)&lt;3,"Нужны расходы",IF(OR(M942&lt;0,N942&lt;0,O942&lt;0,O942&gt;100,P942&lt;0,Q942&lt;0,R942&lt;0,R942&gt;100),"Проверьте значения","Рассчитано")))))))</x:f>
        <x:v>Нужны цены</x:v>
      </x:c>
      <x:c r="K942" s="36" t="n">
        <x:v>8</x:v>
      </x:c>
      <x:c r="L942" s="19" t="str">
        <x:v>KZT</x:v>
      </x:c>
      <x:c r="M942" s="22"/>
      <x:c r="N942" s="22"/>
      <x:c r="O942" s="28"/>
      <x:c r="P942" s="22"/>
      <x:c r="Q942" s="22"/>
      <x:c r="R942" s="28"/>
      <x:c r="S942" s="22"/>
      <x:c r="T942" s="35" t="n">
        <x:f>K942</x:f>
        <x:v>8</x:v>
      </x:c>
      <x:c r="U942" s="20" t="str">
        <x:f>IF(J942="Рассчитано",N942*(1-O942/100),"н/д")</x:f>
        <x:v>н/д</x:v>
      </x:c>
      <x:c r="V942" s="20" t="str">
        <x:f>IF(J942="Рассчитано",T942*U942,"н/д")</x:f>
        <x:v>н/д</x:v>
      </x:c>
      <x:c r="W942" s="20" t="str">
        <x:f>IF(J942="Рассчитано",T942*M942,"н/д")</x:f>
        <x:v>н/д</x:v>
      </x:c>
      <x:c r="X942" s="20" t="str">
        <x:f>IF(J942="Рассчитано",V942-W942,"н/д")</x:f>
        <x:v>н/д</x:v>
      </x:c>
      <x:c r="Y942" s="26" t="str">
        <x:f>IF(J942="Рассчитано",IF(V942&gt;0,G942/V942,"н/д"),"н/д")</x:f>
        <x:v>н/д</x:v>
      </x:c>
      <x:c r="Z942" s="20" t="str">
        <x:f>"н/д"</x:f>
        <x:v>н/д</x:v>
      </x:c>
      <x:c r="AA942" s="20" t="str">
        <x:f>"н/д"</x:f>
        <x:v>н/д</x:v>
      </x:c>
      <x:c r="AB942" s="20" t="str">
        <x:f>"н/д"</x:f>
        <x:v>н/д</x:v>
      </x:c>
      <x:c r="AC942" s="20" t="str">
        <x:f>IF(AND(J942="Рассчитано",T942&gt;0,R942&lt;100),(W942+P942+Q942)/(T942*(1-R942/100)),"н/д")</x:f>
        <x:v>н/д</x:v>
      </x:c>
      <x:c r="AD942" s="11" t="str">
        <x:f>IF(ISNUMBER(G942),IF(G942&lt;0,"Убыток",IF(G942=0,"Без прибыли","Прибыль &gt; 0")),"Не оценён")</x:f>
        <x:v>Не оценён</x:v>
      </x:c>
      <x:c r="AE942" s="12" t="str">
        <x:f>IF(J942="Рассчитано","Выручка "&amp;TEXT(V942,"0.00")&amp;" - себестоимость "&amp;TEXT(W942,"0.00")&amp;" - комиссия "&amp;TEXT(V942*R942/100,"0.00")&amp;" - доставка "&amp;TEXT(P942,"0.00")&amp;" - прочие "&amp;TEXT(Q942,"0.00")&amp;" = "&amp;TEXT(G942,"0.00")&amp;" "&amp;L942,"Введите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2" s="23" t="n">
        <x:v>8.347630457008961</x:v>
      </x:c>
      <x:c r="AG942" s="35" t="n">
        <x:v>17</x:v>
      </x:c>
      <x:c r="AH942" s="35" t="n">
        <x:v>0</x:v>
      </x:c>
      <x:c r="AI942" s="29" t="n">
        <x:v>46266</x:v>
      </x:c>
      <x:c r="AJ942" s="35" t="n">
        <x:v>1</x:v>
      </x:c>
      <x:c r="AK942" s="11" t="str">
        <x:v>минимум</x:v>
      </x:c>
      <x:c r="AL942" s="31" t="n">
        <x:v>173.18279748217248</x:v>
      </x:c>
      <x:c r="AM942" s="12" t="str">
        <x:v>Остаток на начало сентября; Резервы неизвестны; Нет ежедневных данных доступности. Запас выше прогноза на 90 дней</x:v>
      </x:c>
      <x:c r="AN942" s="12" t="str">
        <x:v>Проверить свободный остаток и установить цену для B2B</x:v>
      </x:c>
      <x:c r="AO942" s="12" t="str">
        <x:v>Остаток 17; прогноз 90 дней 8.35; избыток 8 шт. Будущие поступления не выставляются на продажу. Остаток на начало сентября: требуется актуализация.</x:v>
      </x:c>
      <x:c r="AP942" s="12" t="str">
        <x:v>["category_missing", "daily_stockout_data_missing", "large_orders_detected", "new_order_lead_time_unknown", "reservations_unknown", "stale_stock"]</x:v>
      </x:c>
      <x:c r="AQ942" s="11" t="str">
        <x:v>IEK:251400092_</x:v>
      </x:c>
      <x:c r="AR942" s="23" t="n">
        <x:v>1</x:v>
      </x:c>
      <x:c r="AS942" s="23" t="n">
        <x:v>0</x:v>
      </x:c>
      <x:c r="AT942" s="23" t="n">
        <x:v>0</x:v>
      </x:c>
    </x:row>
    <x:row r="943" ht="64" customHeight="1">
      <x:c r="A943" s="10" t="str">
        <x:v>IEK</x:v>
      </x:c>
      <x:c r="B943" s="34" t="str">
        <x:v>251400093_</x:v>
      </x:c>
      <x:c r="C943" s="34" t="str">
        <x:v>TI5-10-N-030-030-020-66</x:v>
      </x:c>
      <x:c r="D943" s="13" t="str">
        <x:v>ЩМП 30х30х20 IP66  TITAN 5 IEK</x:v>
      </x:c>
      <x:c r="E943" s="10" t="str">
        <x:v>шт</x:v>
      </x:c>
      <x:c r="F943" s="37" t="n">
        <x:f>MAX(0,ROUNDDOWN((AG943-AF943)/AR943+0.000000001,0)*AR943)</x:f>
        <x:v>7</x:v>
      </x:c>
      <x:c r="G943" s="21" t="str">
        <x:f>IF(J943="Рассчитано",V943*(1-R943/100)-W943-P943-Q943,"н/д")</x:f>
        <x:v>н/д</x:v>
      </x:c>
      <x:c r="H943" s="13" t="str">
        <x:v>Высокий</x:v>
      </x:c>
      <x:c r="I943" s="13" t="str">
        <x:v>Высокий</x:v>
      </x:c>
      <x:c r="J943" s="13" t="str">
        <x:f>IF(L943="","Укажите валюту",IF(NOT(ISNUMBER(K943)),"Укажите объём",IF(K943&lt;=0,"Укажите объём",IF(K943&gt;F943,"Объём выше излишка",IF(COUNT(M943:O943)&lt;3,"Нужны цены",IF(COUNT(P943:R943)&lt;3,"Нужны расходы",IF(OR(M943&lt;0,N943&lt;0,O943&lt;0,O943&gt;100,P943&lt;0,Q943&lt;0,R943&lt;0,R943&gt;100),"Проверьте значения","Рассчитано")))))))</x:f>
        <x:v>Нужны цены</x:v>
      </x:c>
      <x:c r="K943" s="36" t="n">
        <x:v>7</x:v>
      </x:c>
      <x:c r="L943" s="19" t="str">
        <x:v>KZT</x:v>
      </x:c>
      <x:c r="M943" s="22"/>
      <x:c r="N943" s="22"/>
      <x:c r="O943" s="28"/>
      <x:c r="P943" s="22"/>
      <x:c r="Q943" s="22"/>
      <x:c r="R943" s="28"/>
      <x:c r="S943" s="22"/>
      <x:c r="T943" s="37" t="n">
        <x:f>K943</x:f>
        <x:v>7</x:v>
      </x:c>
      <x:c r="U943" s="21" t="str">
        <x:f>IF(J943="Рассчитано",N943*(1-O943/100),"н/д")</x:f>
        <x:v>н/д</x:v>
      </x:c>
      <x:c r="V943" s="21" t="str">
        <x:f>IF(J943="Рассчитано",T943*U943,"н/д")</x:f>
        <x:v>н/д</x:v>
      </x:c>
      <x:c r="W943" s="21" t="str">
        <x:f>IF(J943="Рассчитано",T943*M943,"н/д")</x:f>
        <x:v>н/д</x:v>
      </x:c>
      <x:c r="X943" s="21" t="str">
        <x:f>IF(J943="Рассчитано",V943-W943,"н/д")</x:f>
        <x:v>н/д</x:v>
      </x:c>
      <x:c r="Y943" s="27" t="str">
        <x:f>IF(J943="Рассчитано",IF(V943&gt;0,G943/V943,"н/д"),"н/д")</x:f>
        <x:v>н/д</x:v>
      </x:c>
      <x:c r="Z943" s="21" t="str">
        <x:f>"н/д"</x:f>
        <x:v>н/д</x:v>
      </x:c>
      <x:c r="AA943" s="21" t="str">
        <x:f>"н/д"</x:f>
        <x:v>н/д</x:v>
      </x:c>
      <x:c r="AB943" s="21" t="str">
        <x:f>"н/д"</x:f>
        <x:v>н/д</x:v>
      </x:c>
      <x:c r="AC943" s="21" t="str">
        <x:f>IF(AND(J943="Рассчитано",T943&gt;0,R943&lt;100),(W943+P943+Q943)/(T943*(1-R943/100)),"н/д")</x:f>
        <x:v>н/д</x:v>
      </x:c>
      <x:c r="AD943" s="10" t="str">
        <x:f>IF(ISNUMBER(G943),IF(G943&lt;0,"Убыток",IF(G943=0,"Без прибыли","Прибыль &gt; 0")),"Не оценён")</x:f>
        <x:v>Не оценён</x:v>
      </x:c>
      <x:c r="AE943" s="13" t="str">
        <x:f>IF(J943="Рассчитано","Выручка "&amp;TEXT(V943,"0.00")&amp;" - себестоимость "&amp;TEXT(W943,"0.00")&amp;" - комиссия "&amp;TEXT(V943*R943/100,"0.00")&amp;" - доставка "&amp;TEXT(P943,"0.00")&amp;" - прочие "&amp;TEXT(Q943,"0.00")&amp;" = "&amp;TEXT(G943,"0.00")&amp;" "&amp;L943,"Введите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3" s="24" t="n">
        <x:v>4.158999842442022</x:v>
      </x:c>
      <x:c r="AG943" s="37" t="n">
        <x:v>12</x:v>
      </x:c>
      <x:c r="AH943" s="37" t="n">
        <x:v>0</x:v>
      </x:c>
      <x:c r="AI943" s="30" t="n">
        <x:v>46266</x:v>
      </x:c>
      <x:c r="AJ943" s="37" t="n">
        <x:v>1</x:v>
      </x:c>
      <x:c r="AK943" s="10" t="str">
        <x:v>минимум</x:v>
      </x:c>
      <x:c r="AL943" s="32" t="n">
        <x:v>245.364306972987</x:v>
      </x:c>
      <x:c r="AM94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43" s="13" t="str">
        <x:v>Проверить свободный остаток и установить цену для B2B</x:v>
      </x:c>
      <x:c r="AO943" s="13" t="str">
        <x:v>Остаток 12; прогноз 90 дней 4.16; избыток 7 шт. Будущие поступления не выставляются на продажу. Остаток на начало сентября: требуется актуализация.</x:v>
      </x:c>
      <x:c r="AP943" s="13" t="str">
        <x:v>["category_missing", "daily_stockout_data_missing", "new_order_lead_time_unknown", "reservations_unknown", "stale_stock"]</x:v>
      </x:c>
      <x:c r="AQ943" s="10" t="str">
        <x:v>IEK:251400093_</x:v>
      </x:c>
      <x:c r="AR943" s="24" t="n">
        <x:v>1</x:v>
      </x:c>
      <x:c r="AS943" s="24" t="n">
        <x:v>0</x:v>
      </x:c>
      <x:c r="AT943" s="24" t="n">
        <x:v>0</x:v>
      </x:c>
    </x:row>
    <x:row r="944" ht="64" customHeight="1">
      <x:c r="A944" s="11" t="str">
        <x:v>IEK</x:v>
      </x:c>
      <x:c r="B944" s="33" t="str">
        <x:v>251400094_</x:v>
      </x:c>
      <x:c r="C944" s="33" t="str">
        <x:v>TI5-10-N-030-040-015-66</x:v>
      </x:c>
      <x:c r="D944" s="12" t="str">
        <x:v>ЩМП 30х40х15 IP66  TITAN 5 IEK</x:v>
      </x:c>
      <x:c r="E944" s="11" t="str">
        <x:v>шт</x:v>
      </x:c>
      <x:c r="F944" s="35" t="n">
        <x:f>MAX(0,ROUNDDOWN((AG944-AF944)/AR944+0.000000001,0)*AR944)</x:f>
        <x:v>1</x:v>
      </x:c>
      <x:c r="G944" s="20" t="str">
        <x:f>IF(J944="Рассчитано",V944*(1-R944/100)-W944-P944-Q944,"н/д")</x:f>
        <x:v>н/д</x:v>
      </x:c>
      <x:c r="H944" s="12" t="str">
        <x:v>Высокий</x:v>
      </x:c>
      <x:c r="I944" s="12" t="str">
        <x:v>Высокий</x:v>
      </x:c>
      <x:c r="J944" s="12" t="str">
        <x:f>IF(L944="","Укажите валюту",IF(NOT(ISNUMBER(K944)),"Укажите объём",IF(K944&lt;=0,"Укажите объём",IF(K944&gt;F944,"Объём выше излишка",IF(COUNT(M944:O944)&lt;3,"Нужны цены",IF(COUNT(P944:R944)&lt;3,"Нужны расходы",IF(OR(M944&lt;0,N944&lt;0,O944&lt;0,O944&gt;100,P944&lt;0,Q944&lt;0,R944&lt;0,R944&gt;100),"Проверьте значения","Рассчитано")))))))</x:f>
        <x:v>Нужны цены</x:v>
      </x:c>
      <x:c r="K944" s="36" t="n">
        <x:v>1</x:v>
      </x:c>
      <x:c r="L944" s="19" t="str">
        <x:v>KZT</x:v>
      </x:c>
      <x:c r="M944" s="22"/>
      <x:c r="N944" s="22"/>
      <x:c r="O944" s="28"/>
      <x:c r="P944" s="22"/>
      <x:c r="Q944" s="22"/>
      <x:c r="R944" s="28"/>
      <x:c r="S944" s="22"/>
      <x:c r="T944" s="35" t="n">
        <x:f>K944</x:f>
        <x:v>1</x:v>
      </x:c>
      <x:c r="U944" s="20" t="str">
        <x:f>IF(J944="Рассчитано",N944*(1-O944/100),"н/д")</x:f>
        <x:v>н/д</x:v>
      </x:c>
      <x:c r="V944" s="20" t="str">
        <x:f>IF(J944="Рассчитано",T944*U944,"н/д")</x:f>
        <x:v>н/д</x:v>
      </x:c>
      <x:c r="W944" s="20" t="str">
        <x:f>IF(J944="Рассчитано",T944*M944,"н/д")</x:f>
        <x:v>н/д</x:v>
      </x:c>
      <x:c r="X944" s="20" t="str">
        <x:f>IF(J944="Рассчитано",V944-W944,"н/д")</x:f>
        <x:v>н/д</x:v>
      </x:c>
      <x:c r="Y944" s="26" t="str">
        <x:f>IF(J944="Рассчитано",IF(V944&gt;0,G944/V944,"н/д"),"н/д")</x:f>
        <x:v>н/д</x:v>
      </x:c>
      <x:c r="Z944" s="20" t="str">
        <x:f>"н/д"</x:f>
        <x:v>н/д</x:v>
      </x:c>
      <x:c r="AA944" s="20" t="str">
        <x:f>"н/д"</x:f>
        <x:v>н/д</x:v>
      </x:c>
      <x:c r="AB944" s="20" t="str">
        <x:f>"н/д"</x:f>
        <x:v>н/д</x:v>
      </x:c>
      <x:c r="AC944" s="20" t="str">
        <x:f>IF(AND(J944="Рассчитано",T944&gt;0,R944&lt;100),(W944+P944+Q944)/(T944*(1-R944/100)),"н/д")</x:f>
        <x:v>н/д</x:v>
      </x:c>
      <x:c r="AD944" s="11" t="str">
        <x:f>IF(ISNUMBER(G944),IF(G944&lt;0,"Убыток",IF(G944=0,"Без прибыли","Прибыль &gt; 0")),"Не оценён")</x:f>
        <x:v>Не оценён</x:v>
      </x:c>
      <x:c r="AE944" s="12" t="str">
        <x:f>IF(J944="Рассчитано","Выручка "&amp;TEXT(V944,"0.00")&amp;" - себестоимость "&amp;TEXT(W944,"0.00")&amp;" - комиссия "&amp;TEXT(V944*R944/100,"0.00")&amp;" - доставка "&amp;TEXT(P944,"0.00")&amp;" - прочие "&amp;TEXT(Q944,"0.00")&amp;" = "&amp;TEXT(G944,"0.00")&amp;" "&amp;L944,"Введите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4" s="23" t="n">
        <x:v>0</x:v>
      </x:c>
      <x:c r="AG944" s="35" t="n">
        <x:v>1</x:v>
      </x:c>
      <x:c r="AH944" s="35" t="n">
        <x:v>0</x:v>
      </x:c>
      <x:c r="AI944" s="29" t="n">
        <x:v>46266</x:v>
      </x:c>
      <x:c r="AJ944" s="35" t="n">
        <x:v>1</x:v>
      </x:c>
      <x:c r="AK944" s="11" t="str">
        <x:v>минимум</x:v>
      </x:c>
      <x:c r="AL944" s="31" t="str">
        <x:v>н/д</x:v>
      </x:c>
      <x:c r="AM94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44" s="12" t="str">
        <x:v>Проверить свободный остаток и установить цену для B2B</x:v>
      </x:c>
      <x:c r="AO944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44" s="12" t="str">
        <x:v>["category_missing", "daily_stockout_data_missing", "new_order_lead_time_unknown", "reservations_unknown", "stale_stock"]</x:v>
      </x:c>
      <x:c r="AQ944" s="11" t="str">
        <x:v>IEK:251400094_</x:v>
      </x:c>
      <x:c r="AR944" s="23" t="n">
        <x:v>1</x:v>
      </x:c>
      <x:c r="AS944" s="23" t="n">
        <x:v>0</x:v>
      </x:c>
      <x:c r="AT944" s="23" t="n">
        <x:v>0</x:v>
      </x:c>
    </x:row>
    <x:row r="945" ht="64" customHeight="1">
      <x:c r="A945" s="10" t="str">
        <x:v>IEK</x:v>
      </x:c>
      <x:c r="B945" s="34" t="str">
        <x:v>251400095_</x:v>
      </x:c>
      <x:c r="C945" s="34" t="str">
        <x:v>TI5-10-N-030-040-020-66</x:v>
      </x:c>
      <x:c r="D945" s="13" t="str">
        <x:v>ЩМП 30х40х20 IP66  TITAN 5 IEK</x:v>
      </x:c>
      <x:c r="E945" s="10" t="str">
        <x:v>шт</x:v>
      </x:c>
      <x:c r="F945" s="37" t="n">
        <x:f>MAX(0,ROUNDDOWN((AG945-AF945)/AR945+0.000000001,0)*AR945)</x:f>
        <x:v>2</x:v>
      </x:c>
      <x:c r="G945" s="21" t="str">
        <x:f>IF(J945="Рассчитано",V945*(1-R945/100)-W945-P945-Q945,"н/д")</x:f>
        <x:v>н/д</x:v>
      </x:c>
      <x:c r="H945" s="13" t="str">
        <x:v>Высокий</x:v>
      </x:c>
      <x:c r="I945" s="13" t="str">
        <x:v>Высокий</x:v>
      </x:c>
      <x:c r="J945" s="13" t="str">
        <x:f>IF(L945="","Укажите валюту",IF(NOT(ISNUMBER(K945)),"Укажите объём",IF(K945&lt;=0,"Укажите объём",IF(K945&gt;F945,"Объём выше излишка",IF(COUNT(M945:O945)&lt;3,"Нужны цены",IF(COUNT(P945:R945)&lt;3,"Нужны расходы",IF(OR(M945&lt;0,N945&lt;0,O945&lt;0,O945&gt;100,P945&lt;0,Q945&lt;0,R945&lt;0,R945&gt;100),"Проверьте значения","Рассчитано")))))))</x:f>
        <x:v>Нужны цены</x:v>
      </x:c>
      <x:c r="K945" s="36" t="n">
        <x:v>2</x:v>
      </x:c>
      <x:c r="L945" s="19" t="str">
        <x:v>KZT</x:v>
      </x:c>
      <x:c r="M945" s="22"/>
      <x:c r="N945" s="22"/>
      <x:c r="O945" s="28"/>
      <x:c r="P945" s="22"/>
      <x:c r="Q945" s="22"/>
      <x:c r="R945" s="28"/>
      <x:c r="S945" s="22"/>
      <x:c r="T945" s="37" t="n">
        <x:f>K945</x:f>
        <x:v>2</x:v>
      </x:c>
      <x:c r="U945" s="21" t="str">
        <x:f>IF(J945="Рассчитано",N945*(1-O945/100),"н/д")</x:f>
        <x:v>н/д</x:v>
      </x:c>
      <x:c r="V945" s="21" t="str">
        <x:f>IF(J945="Рассчитано",T945*U945,"н/д")</x:f>
        <x:v>н/д</x:v>
      </x:c>
      <x:c r="W945" s="21" t="str">
        <x:f>IF(J945="Рассчитано",T945*M945,"н/д")</x:f>
        <x:v>н/д</x:v>
      </x:c>
      <x:c r="X945" s="21" t="str">
        <x:f>IF(J945="Рассчитано",V945-W945,"н/д")</x:f>
        <x:v>н/д</x:v>
      </x:c>
      <x:c r="Y945" s="27" t="str">
        <x:f>IF(J945="Рассчитано",IF(V945&gt;0,G945/V945,"н/д"),"н/д")</x:f>
        <x:v>н/д</x:v>
      </x:c>
      <x:c r="Z945" s="21" t="str">
        <x:f>"н/д"</x:f>
        <x:v>н/д</x:v>
      </x:c>
      <x:c r="AA945" s="21" t="str">
        <x:f>"н/д"</x:f>
        <x:v>н/д</x:v>
      </x:c>
      <x:c r="AB945" s="21" t="str">
        <x:f>"н/д"</x:f>
        <x:v>н/д</x:v>
      </x:c>
      <x:c r="AC945" s="21" t="str">
        <x:f>IF(AND(J945="Рассчитано",T945&gt;0,R945&lt;100),(W945+P945+Q945)/(T945*(1-R945/100)),"н/д")</x:f>
        <x:v>н/д</x:v>
      </x:c>
      <x:c r="AD945" s="10" t="str">
        <x:f>IF(ISNUMBER(G945),IF(G945&lt;0,"Убыток",IF(G945=0,"Без прибыли","Прибыль &gt; 0")),"Не оценён")</x:f>
        <x:v>Не оценён</x:v>
      </x:c>
      <x:c r="AE945" s="13" t="str">
        <x:f>IF(J945="Рассчитано","Выручка "&amp;TEXT(V945,"0.00")&amp;" - себестоимость "&amp;TEXT(W945,"0.00")&amp;" - комиссия "&amp;TEXT(V945*R945/100,"0.00")&amp;" - доставка "&amp;TEXT(P945,"0.00")&amp;" - прочие "&amp;TEXT(Q945,"0.00")&amp;" = "&amp;TEXT(G945,"0.00")&amp;" "&amp;L945,"Введите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5" s="24" t="n">
        <x:v>0.6306919864664439</x:v>
      </x:c>
      <x:c r="AG945" s="37" t="n">
        <x:v>3</x:v>
      </x:c>
      <x:c r="AH945" s="37" t="n">
        <x:v>0</x:v>
      </x:c>
      <x:c r="AI945" s="30" t="n">
        <x:v>46266</x:v>
      </x:c>
      <x:c r="AJ945" s="37" t="n">
        <x:v>1</x:v>
      </x:c>
      <x:c r="AK945" s="10" t="str">
        <x:v>минимум</x:v>
      </x:c>
      <x:c r="AL945" s="32" t="n">
        <x:v>404.5041541430169</x:v>
      </x:c>
      <x:c r="AM94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45" s="13" t="str">
        <x:v>Проверить свободный остаток и установить цену для B2B</x:v>
      </x:c>
      <x:c r="AO945" s="13" t="str">
        <x:v>Остаток 3; прогноз 90 дней 0.63; избыток 2 шт. Будущие поступления не выставляются на продажу. Остаток на начало сентября: требуется актуализация.</x:v>
      </x:c>
      <x:c r="AP945" s="13" t="str">
        <x:v>["category_missing", "daily_stockout_data_missing", "new_order_lead_time_unknown", "reservations_unknown", "stale_stock"]</x:v>
      </x:c>
      <x:c r="AQ945" s="10" t="str">
        <x:v>IEK:251400095_</x:v>
      </x:c>
      <x:c r="AR945" s="24" t="n">
        <x:v>1</x:v>
      </x:c>
      <x:c r="AS945" s="24" t="n">
        <x:v>0</x:v>
      </x:c>
      <x:c r="AT945" s="24" t="n">
        <x:v>0</x:v>
      </x:c>
    </x:row>
    <x:row r="946" ht="64" customHeight="1">
      <x:c r="A946" s="11" t="str">
        <x:v>IEK</x:v>
      </x:c>
      <x:c r="B946" s="33" t="str">
        <x:v>251400096_</x:v>
      </x:c>
      <x:c r="C946" s="33" t="str">
        <x:v>TI5-10-N-040-030-015-66</x:v>
      </x:c>
      <x:c r="D946" s="12" t="str">
        <x:v>ЩМП 40х30х15 IP66  TITAN 5 IEK</x:v>
      </x:c>
      <x:c r="E946" s="11" t="str">
        <x:v>шт</x:v>
      </x:c>
      <x:c r="F946" s="35" t="n">
        <x:f>MAX(0,ROUNDDOWN((AG946-AF946)/AR946+0.000000001,0)*AR946)</x:f>
        <x:v>11</x:v>
      </x:c>
      <x:c r="G946" s="20" t="str">
        <x:f>IF(J946="Рассчитано",V946*(1-R946/100)-W946-P946-Q946,"н/д")</x:f>
        <x:v>н/д</x:v>
      </x:c>
      <x:c r="H946" s="12" t="str">
        <x:v>Высокий</x:v>
      </x:c>
      <x:c r="I946" s="12" t="str">
        <x:v>Высокий</x:v>
      </x:c>
      <x:c r="J946" s="12" t="str">
        <x:f>IF(L946="","Укажите валюту",IF(NOT(ISNUMBER(K946)),"Укажите объём",IF(K946&lt;=0,"Укажите объём",IF(K946&gt;F946,"Объём выше излишка",IF(COUNT(M946:O946)&lt;3,"Нужны цены",IF(COUNT(P946:R946)&lt;3,"Нужны расходы",IF(OR(M946&lt;0,N946&lt;0,O946&lt;0,O946&gt;100,P946&lt;0,Q946&lt;0,R946&lt;0,R946&gt;100),"Проверьте значения","Рассчитано")))))))</x:f>
        <x:v>Нужны цены</x:v>
      </x:c>
      <x:c r="K946" s="36" t="n">
        <x:v>11</x:v>
      </x:c>
      <x:c r="L946" s="19" t="str">
        <x:v>KZT</x:v>
      </x:c>
      <x:c r="M946" s="22"/>
      <x:c r="N946" s="22"/>
      <x:c r="O946" s="28"/>
      <x:c r="P946" s="22"/>
      <x:c r="Q946" s="22"/>
      <x:c r="R946" s="28"/>
      <x:c r="S946" s="22"/>
      <x:c r="T946" s="35" t="n">
        <x:f>K946</x:f>
        <x:v>11</x:v>
      </x:c>
      <x:c r="U946" s="20" t="str">
        <x:f>IF(J946="Рассчитано",N946*(1-O946/100),"н/д")</x:f>
        <x:v>н/д</x:v>
      </x:c>
      <x:c r="V946" s="20" t="str">
        <x:f>IF(J946="Рассчитано",T946*U946,"н/д")</x:f>
        <x:v>н/д</x:v>
      </x:c>
      <x:c r="W946" s="20" t="str">
        <x:f>IF(J946="Рассчитано",T946*M946,"н/д")</x:f>
        <x:v>н/д</x:v>
      </x:c>
      <x:c r="X946" s="20" t="str">
        <x:f>IF(J946="Рассчитано",V946-W946,"н/д")</x:f>
        <x:v>н/д</x:v>
      </x:c>
      <x:c r="Y946" s="26" t="str">
        <x:f>IF(J946="Рассчитано",IF(V946&gt;0,G946/V946,"н/д"),"н/д")</x:f>
        <x:v>н/д</x:v>
      </x:c>
      <x:c r="Z946" s="20" t="str">
        <x:f>"н/д"</x:f>
        <x:v>н/д</x:v>
      </x:c>
      <x:c r="AA946" s="20" t="str">
        <x:f>"н/д"</x:f>
        <x:v>н/д</x:v>
      </x:c>
      <x:c r="AB946" s="20" t="str">
        <x:f>"н/д"</x:f>
        <x:v>н/д</x:v>
      </x:c>
      <x:c r="AC946" s="20" t="str">
        <x:f>IF(AND(J946="Рассчитано",T946&gt;0,R946&lt;100),(W946+P946+Q946)/(T946*(1-R946/100)),"н/д")</x:f>
        <x:v>н/д</x:v>
      </x:c>
      <x:c r="AD946" s="11" t="str">
        <x:f>IF(ISNUMBER(G946),IF(G946&lt;0,"Убыток",IF(G946=0,"Без прибыли","Прибыль &gt; 0")),"Не оценён")</x:f>
        <x:v>Не оценён</x:v>
      </x:c>
      <x:c r="AE946" s="12" t="str">
        <x:f>IF(J946="Рассчитано","Выручка "&amp;TEXT(V946,"0.00")&amp;" - себестоимость "&amp;TEXT(W946,"0.00")&amp;" - комиссия "&amp;TEXT(V946*R946/100,"0.00")&amp;" - доставка "&amp;TEXT(P946,"0.00")&amp;" - прочие "&amp;TEXT(Q946,"0.00")&amp;" = "&amp;TEXT(G946,"0.00")&amp;" "&amp;L946,"Введите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6" s="23" t="n">
        <x:v>4.731517826576922</x:v>
      </x:c>
      <x:c r="AG946" s="35" t="n">
        <x:v>16</x:v>
      </x:c>
      <x:c r="AH946" s="35" t="n">
        <x:v>0</x:v>
      </x:c>
      <x:c r="AI946" s="29" t="n">
        <x:v>46266</x:v>
      </x:c>
      <x:c r="AJ946" s="35" t="n">
        <x:v>1</x:v>
      </x:c>
      <x:c r="AK946" s="11" t="str">
        <x:v>минимум</x:v>
      </x:c>
      <x:c r="AL946" s="31" t="n">
        <x:v>287.5666685813656</x:v>
      </x:c>
      <x:c r="AM94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46" s="12" t="str">
        <x:v>Проверить свободный остаток и установить цену для B2B</x:v>
      </x:c>
      <x:c r="AO946" s="12" t="str">
        <x:v>Остаток 16; прогноз 90 дней 4.73; избыток 11 шт. Будущие поступления не выставляются на продажу. Остаток на начало сентября: требуется актуализация.</x:v>
      </x:c>
      <x:c r="AP946" s="12" t="str">
        <x:v>["category_missing", "daily_stockout_data_missing", "new_order_lead_time_unknown", "reservations_unknown", "stale_stock"]</x:v>
      </x:c>
      <x:c r="AQ946" s="11" t="str">
        <x:v>IEK:251400096_</x:v>
      </x:c>
      <x:c r="AR946" s="23" t="n">
        <x:v>1</x:v>
      </x:c>
      <x:c r="AS946" s="23" t="n">
        <x:v>0</x:v>
      </x:c>
      <x:c r="AT946" s="23" t="n">
        <x:v>0</x:v>
      </x:c>
    </x:row>
    <x:row r="947" ht="64" customHeight="1">
      <x:c r="A947" s="10" t="str">
        <x:v>IEK</x:v>
      </x:c>
      <x:c r="B947" s="34" t="str">
        <x:v>251400097_</x:v>
      </x:c>
      <x:c r="C947" s="34" t="str">
        <x:v>TI5-10-N-040-040-015-66</x:v>
      </x:c>
      <x:c r="D947" s="13" t="str">
        <x:v>ЩМП 40х40х15 IP66  TITAN 5 IEK</x:v>
      </x:c>
      <x:c r="E947" s="10" t="str">
        <x:v>шт</x:v>
      </x:c>
      <x:c r="F947" s="37" t="n">
        <x:f>MAX(0,ROUNDDOWN((AG947-AF947)/AR947+0.000000001,0)*AR947)</x:f>
        <x:v>2</x:v>
      </x:c>
      <x:c r="G947" s="21" t="str">
        <x:f>IF(J947="Рассчитано",V947*(1-R947/100)-W947-P947-Q947,"н/д")</x:f>
        <x:v>н/д</x:v>
      </x:c>
      <x:c r="H947" s="13" t="str">
        <x:v>Высокий</x:v>
      </x:c>
      <x:c r="I947" s="13" t="str">
        <x:v>Высокий</x:v>
      </x:c>
      <x:c r="J947" s="13" t="str">
        <x:f>IF(L947="","Укажите валюту",IF(NOT(ISNUMBER(K947)),"Укажите объём",IF(K947&lt;=0,"Укажите объём",IF(K947&gt;F947,"Объём выше излишка",IF(COUNT(M947:O947)&lt;3,"Нужны цены",IF(COUNT(P947:R947)&lt;3,"Нужны расходы",IF(OR(M947&lt;0,N947&lt;0,O947&lt;0,O947&gt;100,P947&lt;0,Q947&lt;0,R947&lt;0,R947&gt;100),"Проверьте значения","Рассчитано")))))))</x:f>
        <x:v>Нужны цены</x:v>
      </x:c>
      <x:c r="K947" s="36" t="n">
        <x:v>2</x:v>
      </x:c>
      <x:c r="L947" s="19" t="str">
        <x:v>KZT</x:v>
      </x:c>
      <x:c r="M947" s="22"/>
      <x:c r="N947" s="22"/>
      <x:c r="O947" s="28"/>
      <x:c r="P947" s="22"/>
      <x:c r="Q947" s="22"/>
      <x:c r="R947" s="28"/>
      <x:c r="S947" s="22"/>
      <x:c r="T947" s="37" t="n">
        <x:f>K947</x:f>
        <x:v>2</x:v>
      </x:c>
      <x:c r="U947" s="21" t="str">
        <x:f>IF(J947="Рассчитано",N947*(1-O947/100),"н/д")</x:f>
        <x:v>н/д</x:v>
      </x:c>
      <x:c r="V947" s="21" t="str">
        <x:f>IF(J947="Рассчитано",T947*U947,"н/д")</x:f>
        <x:v>н/д</x:v>
      </x:c>
      <x:c r="W947" s="21" t="str">
        <x:f>IF(J947="Рассчитано",T947*M947,"н/д")</x:f>
        <x:v>н/д</x:v>
      </x:c>
      <x:c r="X947" s="21" t="str">
        <x:f>IF(J947="Рассчитано",V947-W947,"н/д")</x:f>
        <x:v>н/д</x:v>
      </x:c>
      <x:c r="Y947" s="27" t="str">
        <x:f>IF(J947="Рассчитано",IF(V947&gt;0,G947/V947,"н/д"),"н/д")</x:f>
        <x:v>н/д</x:v>
      </x:c>
      <x:c r="Z947" s="21" t="str">
        <x:f>"н/д"</x:f>
        <x:v>н/д</x:v>
      </x:c>
      <x:c r="AA947" s="21" t="str">
        <x:f>"н/д"</x:f>
        <x:v>н/д</x:v>
      </x:c>
      <x:c r="AB947" s="21" t="str">
        <x:f>"н/д"</x:f>
        <x:v>н/д</x:v>
      </x:c>
      <x:c r="AC947" s="21" t="str">
        <x:f>IF(AND(J947="Рассчитано",T947&gt;0,R947&lt;100),(W947+P947+Q947)/(T947*(1-R947/100)),"н/д")</x:f>
        <x:v>н/д</x:v>
      </x:c>
      <x:c r="AD947" s="10" t="str">
        <x:f>IF(ISNUMBER(G947),IF(G947&lt;0,"Убыток",IF(G947=0,"Без прибыли","Прибыль &gt; 0")),"Не оценён")</x:f>
        <x:v>Не оценён</x:v>
      </x:c>
      <x:c r="AE947" s="13" t="str">
        <x:f>IF(J947="Рассчитано","Выручка "&amp;TEXT(V947,"0.00")&amp;" - себестоимость "&amp;TEXT(W947,"0.00")&amp;" - комиссия "&amp;TEXT(V947*R947/100,"0.00")&amp;" - доставка "&amp;TEXT(P947,"0.00")&amp;" - прочие "&amp;TEXT(Q947,"0.00")&amp;" = "&amp;TEXT(G947,"0.00")&amp;" "&amp;L947,"Введите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7" s="24" t="n">
        <x:v>0.40353928269837114</x:v>
      </x:c>
      <x:c r="AG947" s="37" t="n">
        <x:v>3</x:v>
      </x:c>
      <x:c r="AH947" s="37" t="n">
        <x:v>0</x:v>
      </x:c>
      <x:c r="AI947" s="30" t="n">
        <x:v>46266</x:v>
      </x:c>
      <x:c r="AJ947" s="37" t="n">
        <x:v>1</x:v>
      </x:c>
      <x:c r="AK947" s="10" t="str">
        <x:v>минимум</x:v>
      </x:c>
      <x:c r="AL947" s="32" t="n">
        <x:v>632.1999851030042</x:v>
      </x:c>
      <x:c r="AM94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47" s="13" t="str">
        <x:v>Проверить свободный остаток и установить цену для B2B</x:v>
      </x:c>
      <x:c r="AO947" s="13" t="str">
        <x:v>Остаток 3; прогноз 90 дней 0.40; избыток 2 шт. Будущие поступления не выставляются на продажу. Остаток на начало сентября: требуется актуализация.</x:v>
      </x:c>
      <x:c r="AP947" s="13" t="str">
        <x:v>["category_missing", "daily_stockout_data_missing", "new_order_lead_time_unknown", "reservations_unknown", "stale_stock"]</x:v>
      </x:c>
      <x:c r="AQ947" s="10" t="str">
        <x:v>IEK:251400097_</x:v>
      </x:c>
      <x:c r="AR947" s="24" t="n">
        <x:v>1</x:v>
      </x:c>
      <x:c r="AS947" s="24" t="n">
        <x:v>0</x:v>
      </x:c>
      <x:c r="AT947" s="24" t="n">
        <x:v>0</x:v>
      </x:c>
    </x:row>
    <x:row r="948" ht="64" customHeight="1">
      <x:c r="A948" s="11" t="str">
        <x:v>IEK</x:v>
      </x:c>
      <x:c r="B948" s="33" t="str">
        <x:v>251400098_</x:v>
      </x:c>
      <x:c r="C948" s="33" t="str">
        <x:v>TI5-10-N-040-040-020-66</x:v>
      </x:c>
      <x:c r="D948" s="12" t="str">
        <x:v>ЩМП 40х40х20 IP66  TITAN 5 IEK</x:v>
      </x:c>
      <x:c r="E948" s="11" t="str">
        <x:v>шт</x:v>
      </x:c>
      <x:c r="F948" s="35" t="n">
        <x:f>MAX(0,ROUNDDOWN((AG948-AF948)/AR948+0.000000001,0)*AR948)</x:f>
        <x:v>6</x:v>
      </x:c>
      <x:c r="G948" s="20" t="str">
        <x:f>IF(J948="Рассчитано",V948*(1-R948/100)-W948-P948-Q948,"н/д")</x:f>
        <x:v>н/д</x:v>
      </x:c>
      <x:c r="H948" s="12" t="str">
        <x:v>Высокий</x:v>
      </x:c>
      <x:c r="I948" s="12" t="str">
        <x:v>Высокий</x:v>
      </x:c>
      <x:c r="J948" s="12" t="str">
        <x:f>IF(L948="","Укажите валюту",IF(NOT(ISNUMBER(K948)),"Укажите объём",IF(K948&lt;=0,"Укажите объём",IF(K948&gt;F948,"Объём выше излишка",IF(COUNT(M948:O948)&lt;3,"Нужны цены",IF(COUNT(P948:R948)&lt;3,"Нужны расходы",IF(OR(M948&lt;0,N948&lt;0,O948&lt;0,O948&gt;100,P948&lt;0,Q948&lt;0,R948&lt;0,R948&gt;100),"Проверьте значения","Рассчитано")))))))</x:f>
        <x:v>Нужны цены</x:v>
      </x:c>
      <x:c r="K948" s="36" t="n">
        <x:v>6</x:v>
      </x:c>
      <x:c r="L948" s="19" t="str">
        <x:v>KZT</x:v>
      </x:c>
      <x:c r="M948" s="22"/>
      <x:c r="N948" s="22"/>
      <x:c r="O948" s="28"/>
      <x:c r="P948" s="22"/>
      <x:c r="Q948" s="22"/>
      <x:c r="R948" s="28"/>
      <x:c r="S948" s="22"/>
      <x:c r="T948" s="35" t="n">
        <x:f>K948</x:f>
        <x:v>6</x:v>
      </x:c>
      <x:c r="U948" s="20" t="str">
        <x:f>IF(J948="Рассчитано",N948*(1-O948/100),"н/д")</x:f>
        <x:v>н/д</x:v>
      </x:c>
      <x:c r="V948" s="20" t="str">
        <x:f>IF(J948="Рассчитано",T948*U948,"н/д")</x:f>
        <x:v>н/д</x:v>
      </x:c>
      <x:c r="W948" s="20" t="str">
        <x:f>IF(J948="Рассчитано",T948*M948,"н/д")</x:f>
        <x:v>н/д</x:v>
      </x:c>
      <x:c r="X948" s="20" t="str">
        <x:f>IF(J948="Рассчитано",V948-W948,"н/д")</x:f>
        <x:v>н/д</x:v>
      </x:c>
      <x:c r="Y948" s="26" t="str">
        <x:f>IF(J948="Рассчитано",IF(V948&gt;0,G948/V948,"н/д"),"н/д")</x:f>
        <x:v>н/д</x:v>
      </x:c>
      <x:c r="Z948" s="20" t="str">
        <x:f>"н/д"</x:f>
        <x:v>н/д</x:v>
      </x:c>
      <x:c r="AA948" s="20" t="str">
        <x:f>"н/д"</x:f>
        <x:v>н/д</x:v>
      </x:c>
      <x:c r="AB948" s="20" t="str">
        <x:f>"н/д"</x:f>
        <x:v>н/д</x:v>
      </x:c>
      <x:c r="AC948" s="20" t="str">
        <x:f>IF(AND(J948="Рассчитано",T948&gt;0,R948&lt;100),(W948+P948+Q948)/(T948*(1-R948/100)),"н/д")</x:f>
        <x:v>н/д</x:v>
      </x:c>
      <x:c r="AD948" s="11" t="str">
        <x:f>IF(ISNUMBER(G948),IF(G948&lt;0,"Убыток",IF(G948=0,"Без прибыли","Прибыль &gt; 0")),"Не оценён")</x:f>
        <x:v>Не оценён</x:v>
      </x:c>
      <x:c r="AE948" s="12" t="str">
        <x:f>IF(J948="Рассчитано","Выручка "&amp;TEXT(V948,"0.00")&amp;" - себестоимость "&amp;TEXT(W948,"0.00")&amp;" - комиссия "&amp;TEXT(V948*R948/100,"0.00")&amp;" - доставка "&amp;TEXT(P948,"0.00")&amp;" - прочие "&amp;TEXT(Q948,"0.00")&amp;" = "&amp;TEXT(G948,"0.00")&amp;" "&amp;L948,"Введите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8" s="23" t="n">
        <x:v>1.8295630554447584</x:v>
      </x:c>
      <x:c r="AG948" s="35" t="n">
        <x:v>8</x:v>
      </x:c>
      <x:c r="AH948" s="35" t="n">
        <x:v>0</x:v>
      </x:c>
      <x:c r="AI948" s="29" t="n">
        <x:v>46266</x:v>
      </x:c>
      <x:c r="AJ948" s="35" t="n">
        <x:v>1</x:v>
      </x:c>
      <x:c r="AK948" s="11" t="str">
        <x:v>минимум</x:v>
      </x:c>
      <x:c r="AL948" s="31" t="n">
        <x:v>371.84474584597075</x:v>
      </x:c>
      <x:c r="AM94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48" s="12" t="str">
        <x:v>Проверить свободный остаток и установить цену для B2B</x:v>
      </x:c>
      <x:c r="AO948" s="12" t="str">
        <x:v>Остаток 8; прогноз 90 дней 1.83; избыток 6 шт. Будущие поступления не выставляются на продажу. Остаток на начало сентября: требуется актуализация.</x:v>
      </x:c>
      <x:c r="AP948" s="12" t="str">
        <x:v>["category_missing", "daily_stockout_data_missing", "large_orders_detected", "new_order_lead_time_unknown", "reservations_unknown", "stale_stock"]</x:v>
      </x:c>
      <x:c r="AQ948" s="11" t="str">
        <x:v>IEK:251400098_</x:v>
      </x:c>
      <x:c r="AR948" s="23" t="n">
        <x:v>1</x:v>
      </x:c>
      <x:c r="AS948" s="23" t="n">
        <x:v>0</x:v>
      </x:c>
      <x:c r="AT948" s="23" t="n">
        <x:v>0</x:v>
      </x:c>
    </x:row>
    <x:row r="949" ht="64" customHeight="1">
      <x:c r="A949" s="10" t="str">
        <x:v>IEK</x:v>
      </x:c>
      <x:c r="B949" s="34" t="str">
        <x:v>251400099_</x:v>
      </x:c>
      <x:c r="C949" s="34" t="str">
        <x:v>TI5-10-N-040-040-025-66</x:v>
      </x:c>
      <x:c r="D949" s="13" t="str">
        <x:v>ЩМП 40х40х25 IP66  TITAN 5 IEK</x:v>
      </x:c>
      <x:c r="E949" s="10" t="str">
        <x:v>шт</x:v>
      </x:c>
      <x:c r="F949" s="37" t="n">
        <x:f>MAX(0,ROUNDDOWN((AG949-AF949)/AR949+0.000000001,0)*AR949)</x:f>
        <x:v>2</x:v>
      </x:c>
      <x:c r="G949" s="21" t="str">
        <x:f>IF(J949="Рассчитано",V949*(1-R949/100)-W949-P949-Q949,"н/д")</x:f>
        <x:v>н/д</x:v>
      </x:c>
      <x:c r="H949" s="13" t="str">
        <x:v>Высокий</x:v>
      </x:c>
      <x:c r="I949" s="13" t="str">
        <x:v>Высокий</x:v>
      </x:c>
      <x:c r="J949" s="13" t="str">
        <x:f>IF(L949="","Укажите валюту",IF(NOT(ISNUMBER(K949)),"Укажите объём",IF(K949&lt;=0,"Укажите объём",IF(K949&gt;F949,"Объём выше излишка",IF(COUNT(M949:O949)&lt;3,"Нужны цены",IF(COUNT(P949:R949)&lt;3,"Нужны расходы",IF(OR(M949&lt;0,N949&lt;0,O949&lt;0,O949&gt;100,P949&lt;0,Q949&lt;0,R949&lt;0,R949&gt;100),"Проверьте значения","Рассчитано")))))))</x:f>
        <x:v>Нужны цены</x:v>
      </x:c>
      <x:c r="K949" s="36" t="n">
        <x:v>2</x:v>
      </x:c>
      <x:c r="L949" s="19" t="str">
        <x:v>KZT</x:v>
      </x:c>
      <x:c r="M949" s="22"/>
      <x:c r="N949" s="22"/>
      <x:c r="O949" s="28"/>
      <x:c r="P949" s="22"/>
      <x:c r="Q949" s="22"/>
      <x:c r="R949" s="28"/>
      <x:c r="S949" s="22"/>
      <x:c r="T949" s="37" t="n">
        <x:f>K949</x:f>
        <x:v>2</x:v>
      </x:c>
      <x:c r="U949" s="21" t="str">
        <x:f>IF(J949="Рассчитано",N949*(1-O949/100),"н/д")</x:f>
        <x:v>н/д</x:v>
      </x:c>
      <x:c r="V949" s="21" t="str">
        <x:f>IF(J949="Рассчитано",T949*U949,"н/д")</x:f>
        <x:v>н/д</x:v>
      </x:c>
      <x:c r="W949" s="21" t="str">
        <x:f>IF(J949="Рассчитано",T949*M949,"н/д")</x:f>
        <x:v>н/д</x:v>
      </x:c>
      <x:c r="X949" s="21" t="str">
        <x:f>IF(J949="Рассчитано",V949-W949,"н/д")</x:f>
        <x:v>н/д</x:v>
      </x:c>
      <x:c r="Y949" s="27" t="str">
        <x:f>IF(J949="Рассчитано",IF(V949&gt;0,G949/V949,"н/д"),"н/д")</x:f>
        <x:v>н/д</x:v>
      </x:c>
      <x:c r="Z949" s="21" t="str">
        <x:f>"н/д"</x:f>
        <x:v>н/д</x:v>
      </x:c>
      <x:c r="AA949" s="21" t="str">
        <x:f>"н/д"</x:f>
        <x:v>н/д</x:v>
      </x:c>
      <x:c r="AB949" s="21" t="str">
        <x:f>"н/д"</x:f>
        <x:v>н/д</x:v>
      </x:c>
      <x:c r="AC949" s="21" t="str">
        <x:f>IF(AND(J949="Рассчитано",T949&gt;0,R949&lt;100),(W949+P949+Q949)/(T949*(1-R949/100)),"н/д")</x:f>
        <x:v>н/д</x:v>
      </x:c>
      <x:c r="AD949" s="10" t="str">
        <x:f>IF(ISNUMBER(G949),IF(G949&lt;0,"Убыток",IF(G949=0,"Без прибыли","Прибыль &gt; 0")),"Не оценён")</x:f>
        <x:v>Не оценён</x:v>
      </x:c>
      <x:c r="AE949" s="13" t="str">
        <x:f>IF(J949="Рассчитано","Выручка "&amp;TEXT(V949,"0.00")&amp;" - себестоимость "&amp;TEXT(W949,"0.00")&amp;" - комиссия "&amp;TEXT(V949*R949/100,"0.00")&amp;" - доставка "&amp;TEXT(P949,"0.00")&amp;" - прочие "&amp;TEXT(Q949,"0.00")&amp;" = "&amp;TEXT(G949,"0.00")&amp;" "&amp;L949,"Введите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9" s="24" t="n">
        <x:v>0.39529076869054797</x:v>
      </x:c>
      <x:c r="AG949" s="37" t="n">
        <x:v>3</x:v>
      </x:c>
      <x:c r="AH949" s="37" t="n">
        <x:v>0</x:v>
      </x:c>
      <x:c r="AI949" s="30" t="n">
        <x:v>46266</x:v>
      </x:c>
      <x:c r="AJ949" s="37" t="n">
        <x:v>1</x:v>
      </x:c>
      <x:c r="AK949" s="10" t="str">
        <x:v>минимум</x:v>
      </x:c>
      <x:c r="AL949" s="32" t="n">
        <x:v>645.3920726646287</x:v>
      </x:c>
      <x:c r="AM94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49" s="13" t="str">
        <x:v>Проверить свободный остаток и установить цену для B2B</x:v>
      </x:c>
      <x:c r="AO949" s="13" t="str">
        <x:v>Остаток 3; прогноз 90 дней 0.40; избыток 2 шт. Будущие поступления не выставляются на продажу. Остаток на начало сентября: требуется актуализация.</x:v>
      </x:c>
      <x:c r="AP949" s="13" t="str">
        <x:v>["category_missing", "daily_stockout_data_missing", "new_order_lead_time_unknown", "reservations_unknown", "stale_stock"]</x:v>
      </x:c>
      <x:c r="AQ949" s="10" t="str">
        <x:v>IEK:251400099_</x:v>
      </x:c>
      <x:c r="AR949" s="24" t="n">
        <x:v>1</x:v>
      </x:c>
      <x:c r="AS949" s="24" t="n">
        <x:v>0</x:v>
      </x:c>
      <x:c r="AT949" s="24" t="n">
        <x:v>0</x:v>
      </x:c>
    </x:row>
    <x:row r="950" ht="64" customHeight="1">
      <x:c r="A950" s="11" t="str">
        <x:v>IEK</x:v>
      </x:c>
      <x:c r="B950" s="33" t="str">
        <x:v>251400103_</x:v>
      </x:c>
      <x:c r="C950" s="33" t="str">
        <x:v>TI5-10-N-050-030-015-66</x:v>
      </x:c>
      <x:c r="D950" s="12" t="str">
        <x:v>ЩМП 50х30х15 IP66  TITAN 5 IEK</x:v>
      </x:c>
      <x:c r="E950" s="11" t="str">
        <x:v>шт</x:v>
      </x:c>
      <x:c r="F950" s="35" t="n">
        <x:f>MAX(0,ROUNDDOWN((AG950-AF950)/AR950+0.000000001,0)*AR950)</x:f>
        <x:v>1</x:v>
      </x:c>
      <x:c r="G950" s="20" t="str">
        <x:f>IF(J950="Рассчитано",V950*(1-R950/100)-W950-P950-Q950,"н/д")</x:f>
        <x:v>н/д</x:v>
      </x:c>
      <x:c r="H950" s="12" t="str">
        <x:v>Высокий</x:v>
      </x:c>
      <x:c r="I950" s="12" t="str">
        <x:v>Высокий</x:v>
      </x:c>
      <x:c r="J950" s="12" t="str">
        <x:f>IF(L950="","Укажите валюту",IF(NOT(ISNUMBER(K950)),"Укажите объём",IF(K950&lt;=0,"Укажите объём",IF(K950&gt;F950,"Объём выше излишка",IF(COUNT(M950:O950)&lt;3,"Нужны цены",IF(COUNT(P950:R950)&lt;3,"Нужны расходы",IF(OR(M950&lt;0,N950&lt;0,O950&lt;0,O950&gt;100,P950&lt;0,Q950&lt;0,R950&lt;0,R950&gt;100),"Проверьте значения","Рассчитано")))))))</x:f>
        <x:v>Нужны цены</x:v>
      </x:c>
      <x:c r="K950" s="36" t="n">
        <x:v>1</x:v>
      </x:c>
      <x:c r="L950" s="19" t="str">
        <x:v>KZT</x:v>
      </x:c>
      <x:c r="M950" s="22"/>
      <x:c r="N950" s="22"/>
      <x:c r="O950" s="28"/>
      <x:c r="P950" s="22"/>
      <x:c r="Q950" s="22"/>
      <x:c r="R950" s="28"/>
      <x:c r="S950" s="22"/>
      <x:c r="T950" s="35" t="n">
        <x:f>K950</x:f>
        <x:v>1</x:v>
      </x:c>
      <x:c r="U950" s="20" t="str">
        <x:f>IF(J950="Рассчитано",N950*(1-O950/100),"н/д")</x:f>
        <x:v>н/д</x:v>
      </x:c>
      <x:c r="V950" s="20" t="str">
        <x:f>IF(J950="Рассчитано",T950*U950,"н/д")</x:f>
        <x:v>н/д</x:v>
      </x:c>
      <x:c r="W950" s="20" t="str">
        <x:f>IF(J950="Рассчитано",T950*M950,"н/д")</x:f>
        <x:v>н/д</x:v>
      </x:c>
      <x:c r="X950" s="20" t="str">
        <x:f>IF(J950="Рассчитано",V950-W950,"н/д")</x:f>
        <x:v>н/д</x:v>
      </x:c>
      <x:c r="Y950" s="26" t="str">
        <x:f>IF(J950="Рассчитано",IF(V950&gt;0,G950/V950,"н/д"),"н/д")</x:f>
        <x:v>н/д</x:v>
      </x:c>
      <x:c r="Z950" s="20" t="str">
        <x:f>"н/д"</x:f>
        <x:v>н/д</x:v>
      </x:c>
      <x:c r="AA950" s="20" t="str">
        <x:f>"н/д"</x:f>
        <x:v>н/д</x:v>
      </x:c>
      <x:c r="AB950" s="20" t="str">
        <x:f>"н/д"</x:f>
        <x:v>н/д</x:v>
      </x:c>
      <x:c r="AC950" s="20" t="str">
        <x:f>IF(AND(J950="Рассчитано",T950&gt;0,R950&lt;100),(W950+P950+Q950)/(T950*(1-R950/100)),"н/д")</x:f>
        <x:v>н/д</x:v>
      </x:c>
      <x:c r="AD950" s="11" t="str">
        <x:f>IF(ISNUMBER(G950),IF(G950&lt;0,"Убыток",IF(G950=0,"Без прибыли","Прибыль &gt; 0")),"Не оценён")</x:f>
        <x:v>Не оценён</x:v>
      </x:c>
      <x:c r="AE950" s="12" t="str">
        <x:f>IF(J950="Рассчитано","Выручка "&amp;TEXT(V950,"0.00")&amp;" - себестоимость "&amp;TEXT(W950,"0.00")&amp;" - комиссия "&amp;TEXT(V950*R950/100,"0.00")&amp;" - доставка "&amp;TEXT(P950,"0.00")&amp;" - прочие "&amp;TEXT(Q950,"0.00")&amp;" = "&amp;TEXT(G950,"0.00")&amp;" "&amp;L950,"Введите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0" s="23" t="n">
        <x:v>0.20209258972564598</x:v>
      </x:c>
      <x:c r="AG950" s="35" t="n">
        <x:v>2</x:v>
      </x:c>
      <x:c r="AH950" s="35" t="n">
        <x:v>0</x:v>
      </x:c>
      <x:c r="AI950" s="29" t="n">
        <x:v>46266</x:v>
      </x:c>
      <x:c r="AJ950" s="35" t="n">
        <x:v>1</x:v>
      </x:c>
      <x:c r="AK950" s="11" t="str">
        <x:v>минимум</x:v>
      </x:c>
      <x:c r="AL950" s="31" t="n">
        <x:v>841.5862876078284</x:v>
      </x:c>
      <x:c r="AM9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50" s="12" t="str">
        <x:v>Проверить свободный остаток и установить цену для B2B</x:v>
      </x:c>
      <x:c r="AO950" s="12" t="str">
        <x:v>Остаток 2; прогноз 90 дней 0.20; избыток 1 шт. Будущие поступления не выставляются на продажу. Остаток на начало сентября: требуется актуализация.</x:v>
      </x:c>
      <x:c r="AP950" s="12" t="str">
        <x:v>["category_missing", "daily_stockout_data_missing", "new_order_lead_time_unknown", "reservations_unknown", "stale_stock"]</x:v>
      </x:c>
      <x:c r="AQ950" s="11" t="str">
        <x:v>IEK:251400103_</x:v>
      </x:c>
      <x:c r="AR950" s="23" t="n">
        <x:v>1</x:v>
      </x:c>
      <x:c r="AS950" s="23" t="n">
        <x:v>0</x:v>
      </x:c>
      <x:c r="AT950" s="23" t="n">
        <x:v>0</x:v>
      </x:c>
    </x:row>
    <x:row r="951" ht="64" customHeight="1">
      <x:c r="A951" s="10" t="str">
        <x:v>IEK</x:v>
      </x:c>
      <x:c r="B951" s="34" t="str">
        <x:v>251400104_</x:v>
      </x:c>
      <x:c r="C951" s="34" t="str">
        <x:v>TI5-10-N-050-030-020-66</x:v>
      </x:c>
      <x:c r="D951" s="13" t="str">
        <x:v>ЩМП 50х30х20 IP66  TITAN 5 IEK</x:v>
      </x:c>
      <x:c r="E951" s="10" t="str">
        <x:v>шт</x:v>
      </x:c>
      <x:c r="F951" s="37" t="n">
        <x:f>MAX(0,ROUNDDOWN((AG951-AF951)/AR951+0.000000001,0)*AR951)</x:f>
        <x:v>1</x:v>
      </x:c>
      <x:c r="G951" s="21" t="str">
        <x:f>IF(J951="Рассчитано",V951*(1-R951/100)-W951-P951-Q951,"н/д")</x:f>
        <x:v>н/д</x:v>
      </x:c>
      <x:c r="H951" s="13" t="str">
        <x:v>Высокий</x:v>
      </x:c>
      <x:c r="I951" s="13" t="str">
        <x:v>Высокий</x:v>
      </x:c>
      <x:c r="J951" s="13" t="str">
        <x:f>IF(L951="","Укажите валюту",IF(NOT(ISNUMBER(K951)),"Укажите объём",IF(K951&lt;=0,"Укажите объём",IF(K951&gt;F951,"Объём выше излишка",IF(COUNT(M951:O951)&lt;3,"Нужны цены",IF(COUNT(P951:R951)&lt;3,"Нужны расходы",IF(OR(M951&lt;0,N951&lt;0,O951&lt;0,O951&gt;100,P951&lt;0,Q951&lt;0,R951&lt;0,R951&gt;100),"Проверьте значения","Рассчитано")))))))</x:f>
        <x:v>Нужны цены</x:v>
      </x:c>
      <x:c r="K951" s="36" t="n">
        <x:v>1</x:v>
      </x:c>
      <x:c r="L951" s="19" t="str">
        <x:v>KZT</x:v>
      </x:c>
      <x:c r="M951" s="22"/>
      <x:c r="N951" s="22"/>
      <x:c r="O951" s="28"/>
      <x:c r="P951" s="22"/>
      <x:c r="Q951" s="22"/>
      <x:c r="R951" s="28"/>
      <x:c r="S951" s="22"/>
      <x:c r="T951" s="37" t="n">
        <x:f>K951</x:f>
        <x:v>1</x:v>
      </x:c>
      <x:c r="U951" s="21" t="str">
        <x:f>IF(J951="Рассчитано",N951*(1-O951/100),"н/д")</x:f>
        <x:v>н/д</x:v>
      </x:c>
      <x:c r="V951" s="21" t="str">
        <x:f>IF(J951="Рассчитано",T951*U951,"н/д")</x:f>
        <x:v>н/д</x:v>
      </x:c>
      <x:c r="W951" s="21" t="str">
        <x:f>IF(J951="Рассчитано",T951*M951,"н/д")</x:f>
        <x:v>н/д</x:v>
      </x:c>
      <x:c r="X951" s="21" t="str">
        <x:f>IF(J951="Рассчитано",V951-W951,"н/д")</x:f>
        <x:v>н/д</x:v>
      </x:c>
      <x:c r="Y951" s="27" t="str">
        <x:f>IF(J951="Рассчитано",IF(V951&gt;0,G951/V951,"н/д"),"н/д")</x:f>
        <x:v>н/д</x:v>
      </x:c>
      <x:c r="Z951" s="21" t="str">
        <x:f>"н/д"</x:f>
        <x:v>н/д</x:v>
      </x:c>
      <x:c r="AA951" s="21" t="str">
        <x:f>"н/д"</x:f>
        <x:v>н/д</x:v>
      </x:c>
      <x:c r="AB951" s="21" t="str">
        <x:f>"н/д"</x:f>
        <x:v>н/д</x:v>
      </x:c>
      <x:c r="AC951" s="21" t="str">
        <x:f>IF(AND(J951="Рассчитано",T951&gt;0,R951&lt;100),(W951+P951+Q951)/(T951*(1-R951/100)),"н/д")</x:f>
        <x:v>н/д</x:v>
      </x:c>
      <x:c r="AD951" s="10" t="str">
        <x:f>IF(ISNUMBER(G951),IF(G951&lt;0,"Убыток",IF(G951=0,"Без прибыли","Прибыль &gt; 0")),"Не оценён")</x:f>
        <x:v>Не оценён</x:v>
      </x:c>
      <x:c r="AE951" s="13" t="str">
        <x:f>IF(J951="Рассчитано","Выручка "&amp;TEXT(V951,"0.00")&amp;" - себестоимость "&amp;TEXT(W951,"0.00")&amp;" - комиссия "&amp;TEXT(V951*R951/100,"0.00")&amp;" - доставка "&amp;TEXT(P951,"0.00")&amp;" - прочие "&amp;TEXT(Q951,"0.00")&amp;" = "&amp;TEXT(G951,"0.00")&amp;" "&amp;L951,"Введите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1" s="24" t="n">
        <x:v>0.2183687230432808</x:v>
      </x:c>
      <x:c r="AG951" s="37" t="n">
        <x:v>2</x:v>
      </x:c>
      <x:c r="AH951" s="37" t="n">
        <x:v>0</x:v>
      </x:c>
      <x:c r="AI951" s="30" t="n">
        <x:v>46266</x:v>
      </x:c>
      <x:c r="AJ951" s="37" t="n">
        <x:v>1</x:v>
      </x:c>
      <x:c r="AK951" s="10" t="str">
        <x:v>минимум</x:v>
      </x:c>
      <x:c r="AL951" s="32" t="n">
        <x:v>778.8585744788585</x:v>
      </x:c>
      <x:c r="AM95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51" s="13" t="str">
        <x:v>Проверить свободный остаток и установить цену для B2B</x:v>
      </x:c>
      <x:c r="AO951" s="13" t="str">
        <x:v>Остаток 2; прогноз 90 дней 0.22; избыток 1 шт. Будущие поступления не выставляются на продажу. Остаток на начало сентября: требуется актуализация.</x:v>
      </x:c>
      <x:c r="AP951" s="13" t="str">
        <x:v>["category_missing", "daily_stockout_data_missing", "new_order_lead_time_unknown", "reservations_unknown", "stale_stock"]</x:v>
      </x:c>
      <x:c r="AQ951" s="10" t="str">
        <x:v>IEK:251400104_</x:v>
      </x:c>
      <x:c r="AR951" s="24" t="n">
        <x:v>1</x:v>
      </x:c>
      <x:c r="AS951" s="24" t="n">
        <x:v>0</x:v>
      </x:c>
      <x:c r="AT951" s="24" t="n">
        <x:v>0</x:v>
      </x:c>
    </x:row>
    <x:row r="952" ht="64" customHeight="1">
      <x:c r="A952" s="11" t="str">
        <x:v>IEK</x:v>
      </x:c>
      <x:c r="B952" s="33" t="str">
        <x:v>251400106_</x:v>
      </x:c>
      <x:c r="C952" s="33" t="str">
        <x:v>TI5-10-N-050-040-020-66</x:v>
      </x:c>
      <x:c r="D952" s="12" t="str">
        <x:v>ЩМП 50х40х20 IP66  TITAN 5 IEK</x:v>
      </x:c>
      <x:c r="E952" s="11" t="str">
        <x:v>шт</x:v>
      </x:c>
      <x:c r="F952" s="35" t="n">
        <x:f>MAX(0,ROUNDDOWN((AG952-AF952)/AR952+0.000000001,0)*AR952)</x:f>
        <x:v>1</x:v>
      </x:c>
      <x:c r="G952" s="20" t="str">
        <x:f>IF(J952="Рассчитано",V952*(1-R952/100)-W952-P952-Q952,"н/д")</x:f>
        <x:v>н/д</x:v>
      </x:c>
      <x:c r="H952" s="12" t="str">
        <x:v>Высокий</x:v>
      </x:c>
      <x:c r="I952" s="12" t="str">
        <x:v>Средний</x:v>
      </x:c>
      <x:c r="J952" s="12" t="str">
        <x:f>IF(L952="","Укажите валюту",IF(NOT(ISNUMBER(K952)),"Укажите объём",IF(K952&lt;=0,"Укажите объём",IF(K952&gt;F952,"Объём выше излишка",IF(COUNT(M952:O952)&lt;3,"Нужны цены",IF(COUNT(P952:R952)&lt;3,"Нужны расходы",IF(OR(M952&lt;0,N952&lt;0,O952&lt;0,O952&gt;100,P952&lt;0,Q952&lt;0,R952&lt;0,R952&gt;100),"Проверьте значения","Рассчитано")))))))</x:f>
        <x:v>Нужны цены</x:v>
      </x:c>
      <x:c r="K952" s="36" t="n">
        <x:v>1</x:v>
      </x:c>
      <x:c r="L952" s="19" t="str">
        <x:v>KZT</x:v>
      </x:c>
      <x:c r="M952" s="22"/>
      <x:c r="N952" s="22"/>
      <x:c r="O952" s="28"/>
      <x:c r="P952" s="22"/>
      <x:c r="Q952" s="22"/>
      <x:c r="R952" s="28"/>
      <x:c r="S952" s="22"/>
      <x:c r="T952" s="35" t="n">
        <x:f>K952</x:f>
        <x:v>1</x:v>
      </x:c>
      <x:c r="U952" s="20" t="str">
        <x:f>IF(J952="Рассчитано",N952*(1-O952/100),"н/д")</x:f>
        <x:v>н/д</x:v>
      </x:c>
      <x:c r="V952" s="20" t="str">
        <x:f>IF(J952="Рассчитано",T952*U952,"н/д")</x:f>
        <x:v>н/д</x:v>
      </x:c>
      <x:c r="W952" s="20" t="str">
        <x:f>IF(J952="Рассчитано",T952*M952,"н/д")</x:f>
        <x:v>н/д</x:v>
      </x:c>
      <x:c r="X952" s="20" t="str">
        <x:f>IF(J952="Рассчитано",V952-W952,"н/д")</x:f>
        <x:v>н/д</x:v>
      </x:c>
      <x:c r="Y952" s="26" t="str">
        <x:f>IF(J952="Рассчитано",IF(V952&gt;0,G952/V952,"н/д"),"н/д")</x:f>
        <x:v>н/д</x:v>
      </x:c>
      <x:c r="Z952" s="20" t="str">
        <x:f>"н/д"</x:f>
        <x:v>н/д</x:v>
      </x:c>
      <x:c r="AA952" s="20" t="str">
        <x:f>"н/д"</x:f>
        <x:v>н/д</x:v>
      </x:c>
      <x:c r="AB952" s="20" t="str">
        <x:f>"н/д"</x:f>
        <x:v>н/д</x:v>
      </x:c>
      <x:c r="AC952" s="20" t="str">
        <x:f>IF(AND(J952="Рассчитано",T952&gt;0,R952&lt;100),(W952+P952+Q952)/(T952*(1-R952/100)),"н/д")</x:f>
        <x:v>н/д</x:v>
      </x:c>
      <x:c r="AD952" s="11" t="str">
        <x:f>IF(ISNUMBER(G952),IF(G952&lt;0,"Убыток",IF(G952=0,"Без прибыли","Прибыль &gt; 0")),"Не оценён")</x:f>
        <x:v>Не оценён</x:v>
      </x:c>
      <x:c r="AE952" s="12" t="str">
        <x:f>IF(J952="Рассчитано","Выручка "&amp;TEXT(V952,"0.00")&amp;" - себестоимость "&amp;TEXT(W952,"0.00")&amp;" - комиссия "&amp;TEXT(V952*R952/100,"0.00")&amp;" - доставка "&amp;TEXT(P952,"0.00")&amp;" - прочие "&amp;TEXT(Q952,"0.00")&amp;" = "&amp;TEXT(G952,"0.00")&amp;" "&amp;L952,"Введите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2" s="23" t="n">
        <x:v>11.457305427964503</x:v>
      </x:c>
      <x:c r="AG952" s="35" t="n">
        <x:v>13</x:v>
      </x:c>
      <x:c r="AH952" s="35" t="n">
        <x:v>0</x:v>
      </x:c>
      <x:c r="AI952" s="29" t="n">
        <x:v>46266</x:v>
      </x:c>
      <x:c r="AJ952" s="35" t="n">
        <x:v>1</x:v>
      </x:c>
      <x:c r="AK952" s="11" t="str">
        <x:v>минимум</x:v>
      </x:c>
      <x:c r="AL952" s="31" t="n">
        <x:v>96.48946666930942</x:v>
      </x:c>
      <x:c r="AM952" s="12" t="str">
        <x:v>Остаток на начало сентября; Резервы неизвестны; Нет ежедневных данных доступности. Запас выше прогноза на 90 дней</x:v>
      </x:c>
      <x:c r="AN952" s="12" t="str">
        <x:v>Проверить свободный остаток и установить цену для B2B</x:v>
      </x:c>
      <x:c r="AO952" s="12" t="str">
        <x:v>Остаток 13; прогноз 90 дней 11.46; избыток 1 шт. Будущие поступления не выставляются на продажу. Остаток на начало сентября: требуется актуализация.</x:v>
      </x:c>
      <x:c r="AP952" s="12" t="str">
        <x:v>["category_missing", "daily_stockout_data_missing", "large_orders_detected", "new_order_lead_time_unknown", "reservations_unknown", "stale_stock"]</x:v>
      </x:c>
      <x:c r="AQ952" s="11" t="str">
        <x:v>IEK:251400106_</x:v>
      </x:c>
      <x:c r="AR952" s="23" t="n">
        <x:v>1</x:v>
      </x:c>
      <x:c r="AS952" s="23" t="n">
        <x:v>0</x:v>
      </x:c>
      <x:c r="AT952" s="23" t="n">
        <x:v>0</x:v>
      </x:c>
    </x:row>
    <x:row r="953" ht="64" customHeight="1">
      <x:c r="A953" s="10" t="str">
        <x:v>IEK</x:v>
      </x:c>
      <x:c r="B953" s="34" t="str">
        <x:v>251400107_</x:v>
      </x:c>
      <x:c r="C953" s="34" t="str">
        <x:v>TI5-10-N-050-050-020-66</x:v>
      </x:c>
      <x:c r="D953" s="13" t="str">
        <x:v>ЩМП 50х50х20 IP66  TITAN 5 IEK</x:v>
      </x:c>
      <x:c r="E953" s="10" t="str">
        <x:v>шт</x:v>
      </x:c>
      <x:c r="F953" s="37" t="n">
        <x:f>MAX(0,ROUNDDOWN((AG953-AF953)/AR953+0.000000001,0)*AR953)</x:f>
        <x:v>1</x:v>
      </x:c>
      <x:c r="G953" s="21" t="str">
        <x:f>IF(J953="Рассчитано",V953*(1-R953/100)-W953-P953-Q953,"н/д")</x:f>
        <x:v>н/д</x:v>
      </x:c>
      <x:c r="H953" s="13" t="str">
        <x:v>Высокий</x:v>
      </x:c>
      <x:c r="I953" s="13" t="str">
        <x:v>Высокий</x:v>
      </x:c>
      <x:c r="J953" s="13" t="str">
        <x:f>IF(L953="","Укажите валюту",IF(NOT(ISNUMBER(K953)),"Укажите объём",IF(K953&lt;=0,"Укажите объём",IF(K953&gt;F953,"Объём выше излишка",IF(COUNT(M953:O953)&lt;3,"Нужны цены",IF(COUNT(P953:R953)&lt;3,"Нужны расходы",IF(OR(M953&lt;0,N953&lt;0,O953&lt;0,O953&gt;100,P953&lt;0,Q953&lt;0,R953&lt;0,R953&gt;100),"Проверьте значения","Рассчитано")))))))</x:f>
        <x:v>Нужны цены</x:v>
      </x:c>
      <x:c r="K953" s="36" t="n">
        <x:v>1</x:v>
      </x:c>
      <x:c r="L953" s="19" t="str">
        <x:v>KZT</x:v>
      </x:c>
      <x:c r="M953" s="22"/>
      <x:c r="N953" s="22"/>
      <x:c r="O953" s="28"/>
      <x:c r="P953" s="22"/>
      <x:c r="Q953" s="22"/>
      <x:c r="R953" s="28"/>
      <x:c r="S953" s="22"/>
      <x:c r="T953" s="37" t="n">
        <x:f>K953</x:f>
        <x:v>1</x:v>
      </x:c>
      <x:c r="U953" s="21" t="str">
        <x:f>IF(J953="Рассчитано",N953*(1-O953/100),"н/д")</x:f>
        <x:v>н/д</x:v>
      </x:c>
      <x:c r="V953" s="21" t="str">
        <x:f>IF(J953="Рассчитано",T953*U953,"н/д")</x:f>
        <x:v>н/д</x:v>
      </x:c>
      <x:c r="W953" s="21" t="str">
        <x:f>IF(J953="Рассчитано",T953*M953,"н/д")</x:f>
        <x:v>н/д</x:v>
      </x:c>
      <x:c r="X953" s="21" t="str">
        <x:f>IF(J953="Рассчитано",V953-W953,"н/д")</x:f>
        <x:v>н/д</x:v>
      </x:c>
      <x:c r="Y953" s="27" t="str">
        <x:f>IF(J953="Рассчитано",IF(V953&gt;0,G953/V953,"н/д"),"н/д")</x:f>
        <x:v>н/д</x:v>
      </x:c>
      <x:c r="Z953" s="21" t="str">
        <x:f>"н/д"</x:f>
        <x:v>н/д</x:v>
      </x:c>
      <x:c r="AA953" s="21" t="str">
        <x:f>"н/д"</x:f>
        <x:v>н/д</x:v>
      </x:c>
      <x:c r="AB953" s="21" t="str">
        <x:f>"н/д"</x:f>
        <x:v>н/д</x:v>
      </x:c>
      <x:c r="AC953" s="21" t="str">
        <x:f>IF(AND(J953="Рассчитано",T953&gt;0,R953&lt;100),(W953+P953+Q953)/(T953*(1-R953/100)),"н/д")</x:f>
        <x:v>н/д</x:v>
      </x:c>
      <x:c r="AD953" s="10" t="str">
        <x:f>IF(ISNUMBER(G953),IF(G953&lt;0,"Убыток",IF(G953=0,"Без прибыли","Прибыль &gt; 0")),"Не оценён")</x:f>
        <x:v>Не оценён</x:v>
      </x:c>
      <x:c r="AE953" s="13" t="str">
        <x:f>IF(J953="Рассчитано","Выручка "&amp;TEXT(V953,"0.00")&amp;" - себестоимость "&amp;TEXT(W953,"0.00")&amp;" - комиссия "&amp;TEXT(V953*R953/100,"0.00")&amp;" - доставка "&amp;TEXT(P953,"0.00")&amp;" - прочие "&amp;TEXT(Q953,"0.00")&amp;" = "&amp;TEXT(G953,"0.00")&amp;" "&amp;L953,"Введите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3" s="24" t="n">
        <x:v>0.8821507209308136</x:v>
      </x:c>
      <x:c r="AG953" s="37" t="n">
        <x:v>2</x:v>
      </x:c>
      <x:c r="AH953" s="37" t="n">
        <x:v>0</x:v>
      </x:c>
      <x:c r="AI953" s="30" t="n">
        <x:v>46266</x:v>
      </x:c>
      <x:c r="AJ953" s="37" t="n">
        <x:v>1</x:v>
      </x:c>
      <x:c r="AK953" s="10" t="str">
        <x:v>минимум</x:v>
      </x:c>
      <x:c r="AL953" s="32" t="n">
        <x:v>192.79965237776787</x:v>
      </x:c>
      <x:c r="AM9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53" s="13" t="str">
        <x:v>Проверить свободный остаток и установить цену для B2B</x:v>
      </x:c>
      <x:c r="AO953" s="13" t="str">
        <x:v>Остаток 2; прогноз 90 дней 0.88; избыток 1 шт. Будущие поступления не выставляются на продажу. Остаток на начало сентября: требуется актуализация.</x:v>
      </x:c>
      <x:c r="AP953" s="13" t="str">
        <x:v>["category_missing", "daily_stockout_data_missing", "new_order_lead_time_unknown", "reservations_unknown", "stale_stock"]</x:v>
      </x:c>
      <x:c r="AQ953" s="10" t="str">
        <x:v>IEK:251400107_</x:v>
      </x:c>
      <x:c r="AR953" s="24" t="n">
        <x:v>1</x:v>
      </x:c>
      <x:c r="AS953" s="24" t="n">
        <x:v>0</x:v>
      </x:c>
      <x:c r="AT953" s="24" t="n">
        <x:v>0</x:v>
      </x:c>
    </x:row>
    <x:row r="954" ht="64" customHeight="1">
      <x:c r="A954" s="11" t="str">
        <x:v>IEK</x:v>
      </x:c>
      <x:c r="B954" s="33" t="str">
        <x:v>251400110_</x:v>
      </x:c>
      <x:c r="C954" s="33" t="str">
        <x:v>TI5-10-N-050-060-030-66</x:v>
      </x:c>
      <x:c r="D954" s="12" t="str">
        <x:v>ЩМП 50х60х30 IP66  TITAN 5 IEK</x:v>
      </x:c>
      <x:c r="E954" s="11" t="str">
        <x:v>шт</x:v>
      </x:c>
      <x:c r="F954" s="35" t="n">
        <x:f>MAX(0,ROUNDDOWN((AG954-AF954)/AR954+0.000000001,0)*AR954)</x:f>
        <x:v>1</x:v>
      </x:c>
      <x:c r="G954" s="20" t="str">
        <x:f>IF(J954="Рассчитано",V954*(1-R954/100)-W954-P954-Q954,"н/д")</x:f>
        <x:v>н/д</x:v>
      </x:c>
      <x:c r="H954" s="12" t="str">
        <x:v>Высокий</x:v>
      </x:c>
      <x:c r="I954" s="12" t="str">
        <x:v>Высокий</x:v>
      </x:c>
      <x:c r="J954" s="12" t="str">
        <x:f>IF(L954="","Укажите валюту",IF(NOT(ISNUMBER(K954)),"Укажите объём",IF(K954&lt;=0,"Укажите объём",IF(K954&gt;F954,"Объём выше излишка",IF(COUNT(M954:O954)&lt;3,"Нужны цены",IF(COUNT(P954:R954)&lt;3,"Нужны расходы",IF(OR(M954&lt;0,N954&lt;0,O954&lt;0,O954&gt;100,P954&lt;0,Q954&lt;0,R954&lt;0,R954&gt;100),"Проверьте значения","Рассчитано")))))))</x:f>
        <x:v>Нужны цены</x:v>
      </x:c>
      <x:c r="K954" s="36" t="n">
        <x:v>1</x:v>
      </x:c>
      <x:c r="L954" s="19" t="str">
        <x:v>KZT</x:v>
      </x:c>
      <x:c r="M954" s="22"/>
      <x:c r="N954" s="22"/>
      <x:c r="O954" s="28"/>
      <x:c r="P954" s="22"/>
      <x:c r="Q954" s="22"/>
      <x:c r="R954" s="28"/>
      <x:c r="S954" s="22"/>
      <x:c r="T954" s="35" t="n">
        <x:f>K954</x:f>
        <x:v>1</x:v>
      </x:c>
      <x:c r="U954" s="20" t="str">
        <x:f>IF(J954="Рассчитано",N954*(1-O954/100),"н/д")</x:f>
        <x:v>н/д</x:v>
      </x:c>
      <x:c r="V954" s="20" t="str">
        <x:f>IF(J954="Рассчитано",T954*U954,"н/д")</x:f>
        <x:v>н/д</x:v>
      </x:c>
      <x:c r="W954" s="20" t="str">
        <x:f>IF(J954="Рассчитано",T954*M954,"н/д")</x:f>
        <x:v>н/д</x:v>
      </x:c>
      <x:c r="X954" s="20" t="str">
        <x:f>IF(J954="Рассчитано",V954-W954,"н/д")</x:f>
        <x:v>н/д</x:v>
      </x:c>
      <x:c r="Y954" s="26" t="str">
        <x:f>IF(J954="Рассчитано",IF(V954&gt;0,G954/V954,"н/д"),"н/д")</x:f>
        <x:v>н/д</x:v>
      </x:c>
      <x:c r="Z954" s="20" t="str">
        <x:f>"н/д"</x:f>
        <x:v>н/д</x:v>
      </x:c>
      <x:c r="AA954" s="20" t="str">
        <x:f>"н/д"</x:f>
        <x:v>н/д</x:v>
      </x:c>
      <x:c r="AB954" s="20" t="str">
        <x:f>"н/д"</x:f>
        <x:v>н/д</x:v>
      </x:c>
      <x:c r="AC954" s="20" t="str">
        <x:f>IF(AND(J954="Рассчитано",T954&gt;0,R954&lt;100),(W954+P954+Q954)/(T954*(1-R954/100)),"н/д")</x:f>
        <x:v>н/д</x:v>
      </x:c>
      <x:c r="AD954" s="11" t="str">
        <x:f>IF(ISNUMBER(G954),IF(G954&lt;0,"Убыток",IF(G954=0,"Без прибыли","Прибыль &gt; 0")),"Не оценён")</x:f>
        <x:v>Не оценён</x:v>
      </x:c>
      <x:c r="AE954" s="12" t="str">
        <x:f>IF(J954="Рассчитано","Выручка "&amp;TEXT(V954,"0.00")&amp;" - себестоимость "&amp;TEXT(W954,"0.00")&amp;" - комиссия "&amp;TEXT(V954*R954/100,"0.00")&amp;" - доставка "&amp;TEXT(P954,"0.00")&amp;" - прочие "&amp;TEXT(Q954,"0.00")&amp;" = "&amp;TEXT(G954,"0.00")&amp;" "&amp;L954,"Введите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4" s="23" t="n">
        <x:v>0</x:v>
      </x:c>
      <x:c r="AG954" s="35" t="n">
        <x:v>1</x:v>
      </x:c>
      <x:c r="AH954" s="35" t="n">
        <x:v>0</x:v>
      </x:c>
      <x:c r="AI954" s="29" t="n">
        <x:v>46266</x:v>
      </x:c>
      <x:c r="AJ954" s="35" t="n">
        <x:v>1</x:v>
      </x:c>
      <x:c r="AK954" s="11" t="str">
        <x:v>минимум</x:v>
      </x:c>
      <x:c r="AL954" s="31" t="str">
        <x:v>н/д</x:v>
      </x:c>
      <x:c r="AM95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54" s="12" t="str">
        <x:v>Проверить свободный остаток и установить цену для B2B</x:v>
      </x:c>
      <x:c r="AO954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54" s="12" t="str">
        <x:v>["category_missing", "daily_stockout_data_missing", "new_order_lead_time_unknown", "reservations_unknown", "stale_stock"]</x:v>
      </x:c>
      <x:c r="AQ954" s="11" t="str">
        <x:v>IEK:251400110_</x:v>
      </x:c>
      <x:c r="AR954" s="23" t="n">
        <x:v>1</x:v>
      </x:c>
      <x:c r="AS954" s="23" t="n">
        <x:v>0</x:v>
      </x:c>
      <x:c r="AT954" s="23" t="n">
        <x:v>0</x:v>
      </x:c>
    </x:row>
    <x:row r="955" ht="64" customHeight="1">
      <x:c r="A955" s="10" t="str">
        <x:v>IEK</x:v>
      </x:c>
      <x:c r="B955" s="34" t="str">
        <x:v>251400114_</x:v>
      </x:c>
      <x:c r="C955" s="34" t="str">
        <x:v>TI5-10-N-060-050-015-66</x:v>
      </x:c>
      <x:c r="D955" s="13" t="str">
        <x:v>ЩМП 60х50х15 IP66  TITAN 5 IEK</x:v>
      </x:c>
      <x:c r="E955" s="10" t="str">
        <x:v>шт</x:v>
      </x:c>
      <x:c r="F955" s="37" t="n">
        <x:f>MAX(0,ROUNDDOWN((AG955-AF955)/AR955+0.000000001,0)*AR955)</x:f>
        <x:v>2</x:v>
      </x:c>
      <x:c r="G955" s="21" t="str">
        <x:f>IF(J955="Рассчитано",V955*(1-R955/100)-W955-P955-Q955,"н/д")</x:f>
        <x:v>н/д</x:v>
      </x:c>
      <x:c r="H955" s="13" t="str">
        <x:v>Высокий</x:v>
      </x:c>
      <x:c r="I955" s="13" t="str">
        <x:v>Высокий</x:v>
      </x:c>
      <x:c r="J955" s="13" t="str">
        <x:f>IF(L955="","Укажите валюту",IF(NOT(ISNUMBER(K955)),"Укажите объём",IF(K955&lt;=0,"Укажите объём",IF(K955&gt;F955,"Объём выше излишка",IF(COUNT(M955:O955)&lt;3,"Нужны цены",IF(COUNT(P955:R955)&lt;3,"Нужны расходы",IF(OR(M955&lt;0,N955&lt;0,O955&lt;0,O955&gt;100,P955&lt;0,Q955&lt;0,R955&lt;0,R955&gt;100),"Проверьте значения","Рассчитано")))))))</x:f>
        <x:v>Нужны цены</x:v>
      </x:c>
      <x:c r="K955" s="36" t="n">
        <x:v>2</x:v>
      </x:c>
      <x:c r="L955" s="19" t="str">
        <x:v>KZT</x:v>
      </x:c>
      <x:c r="M955" s="22"/>
      <x:c r="N955" s="22"/>
      <x:c r="O955" s="28"/>
      <x:c r="P955" s="22"/>
      <x:c r="Q955" s="22"/>
      <x:c r="R955" s="28"/>
      <x:c r="S955" s="22"/>
      <x:c r="T955" s="37" t="n">
        <x:f>K955</x:f>
        <x:v>2</x:v>
      </x:c>
      <x:c r="U955" s="21" t="str">
        <x:f>IF(J955="Рассчитано",N955*(1-O955/100),"н/д")</x:f>
        <x:v>н/д</x:v>
      </x:c>
      <x:c r="V955" s="21" t="str">
        <x:f>IF(J955="Рассчитано",T955*U955,"н/д")</x:f>
        <x:v>н/д</x:v>
      </x:c>
      <x:c r="W955" s="21" t="str">
        <x:f>IF(J955="Рассчитано",T955*M955,"н/д")</x:f>
        <x:v>н/д</x:v>
      </x:c>
      <x:c r="X955" s="21" t="str">
        <x:f>IF(J955="Рассчитано",V955-W955,"н/д")</x:f>
        <x:v>н/д</x:v>
      </x:c>
      <x:c r="Y955" s="27" t="str">
        <x:f>IF(J955="Рассчитано",IF(V955&gt;0,G955/V955,"н/д"),"н/д")</x:f>
        <x:v>н/д</x:v>
      </x:c>
      <x:c r="Z955" s="21" t="str">
        <x:f>"н/д"</x:f>
        <x:v>н/д</x:v>
      </x:c>
      <x:c r="AA955" s="21" t="str">
        <x:f>"н/д"</x:f>
        <x:v>н/д</x:v>
      </x:c>
      <x:c r="AB955" s="21" t="str">
        <x:f>"н/д"</x:f>
        <x:v>н/д</x:v>
      </x:c>
      <x:c r="AC955" s="21" t="str">
        <x:f>IF(AND(J955="Рассчитано",T955&gt;0,R955&lt;100),(W955+P955+Q955)/(T955*(1-R955/100)),"н/д")</x:f>
        <x:v>н/д</x:v>
      </x:c>
      <x:c r="AD955" s="10" t="str">
        <x:f>IF(ISNUMBER(G955),IF(G955&lt;0,"Убыток",IF(G955=0,"Без прибыли","Прибыль &gt; 0")),"Не оценён")</x:f>
        <x:v>Не оценён</x:v>
      </x:c>
      <x:c r="AE955" s="13" t="str">
        <x:f>IF(J955="Рассчитано","Выручка "&amp;TEXT(V955,"0.00")&amp;" - себестоимость "&amp;TEXT(W955,"0.00")&amp;" - комиссия "&amp;TEXT(V955*R955/100,"0.00")&amp;" - доставка "&amp;TEXT(P955,"0.00")&amp;" - прочие "&amp;TEXT(Q955,"0.00")&amp;" = "&amp;TEXT(G955,"0.00")&amp;" "&amp;L955,"Введите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5" s="24" t="n">
        <x:v>0.8818066766889753</x:v>
      </x:c>
      <x:c r="AG955" s="37" t="n">
        <x:v>3</x:v>
      </x:c>
      <x:c r="AH955" s="37" t="n">
        <x:v>0</x:v>
      </x:c>
      <x:c r="AI955" s="30" t="n">
        <x:v>46266</x:v>
      </x:c>
      <x:c r="AJ955" s="37" t="n">
        <x:v>1</x:v>
      </x:c>
      <x:c r="AK955" s="10" t="str">
        <x:v>минимум</x:v>
      </x:c>
      <x:c r="AL955" s="32" t="n">
        <x:v>289.3123121592905</x:v>
      </x:c>
      <x:c r="AM95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55" s="13" t="str">
        <x:v>Проверить свободный остаток и установить цену для B2B</x:v>
      </x:c>
      <x:c r="AO955" s="13" t="str">
        <x:v>Остаток 3; прогноз 90 дней 0.88; избыток 2 шт. Будущие поступления не выставляются на продажу. Остаток на начало сентября: требуется актуализация.</x:v>
      </x:c>
      <x:c r="AP955" s="13" t="str">
        <x:v>["category_missing", "daily_stockout_data_missing", "new_order_lead_time_unknown", "reservations_unknown", "stale_stock"]</x:v>
      </x:c>
      <x:c r="AQ955" s="10" t="str">
        <x:v>IEK:251400114_</x:v>
      </x:c>
      <x:c r="AR955" s="24" t="n">
        <x:v>1</x:v>
      </x:c>
      <x:c r="AS955" s="24" t="n">
        <x:v>0</x:v>
      </x:c>
      <x:c r="AT955" s="24" t="n">
        <x:v>0</x:v>
      </x:c>
    </x:row>
    <x:row r="956" ht="64" customHeight="1">
      <x:c r="A956" s="11" t="str">
        <x:v>IEK</x:v>
      </x:c>
      <x:c r="B956" s="33" t="str">
        <x:v>251400115_</x:v>
      </x:c>
      <x:c r="C956" s="33" t="str">
        <x:v>TI5-10-N-060-050-025-66</x:v>
      </x:c>
      <x:c r="D956" s="12" t="str">
        <x:v>ЩМП 60х50х25 IP66  TITAN 5 IEK</x:v>
      </x:c>
      <x:c r="E956" s="11" t="str">
        <x:v>шт</x:v>
      </x:c>
      <x:c r="F956" s="35" t="n">
        <x:f>MAX(0,ROUNDDOWN((AG956-AF956)/AR956+0.000000001,0)*AR956)</x:f>
        <x:v>3</x:v>
      </x:c>
      <x:c r="G956" s="20" t="str">
        <x:f>IF(J956="Рассчитано",V956*(1-R956/100)-W956-P956-Q956,"н/д")</x:f>
        <x:v>н/д</x:v>
      </x:c>
      <x:c r="H956" s="12" t="str">
        <x:v>Высокий</x:v>
      </x:c>
      <x:c r="I956" s="12" t="str">
        <x:v>Высокий</x:v>
      </x:c>
      <x:c r="J956" s="12" t="str">
        <x:f>IF(L956="","Укажите валюту",IF(NOT(ISNUMBER(K956)),"Укажите объём",IF(K956&lt;=0,"Укажите объём",IF(K956&gt;F956,"Объём выше излишка",IF(COUNT(M956:O956)&lt;3,"Нужны цены",IF(COUNT(P956:R956)&lt;3,"Нужны расходы",IF(OR(M956&lt;0,N956&lt;0,O956&lt;0,O956&gt;100,P956&lt;0,Q956&lt;0,R956&lt;0,R956&gt;100),"Проверьте значения","Рассчитано")))))))</x:f>
        <x:v>Нужны цены</x:v>
      </x:c>
      <x:c r="K956" s="36" t="n">
        <x:v>3</x:v>
      </x:c>
      <x:c r="L956" s="19" t="str">
        <x:v>KZT</x:v>
      </x:c>
      <x:c r="M956" s="22"/>
      <x:c r="N956" s="22"/>
      <x:c r="O956" s="28"/>
      <x:c r="P956" s="22"/>
      <x:c r="Q956" s="22"/>
      <x:c r="R956" s="28"/>
      <x:c r="S956" s="22"/>
      <x:c r="T956" s="35" t="n">
        <x:f>K956</x:f>
        <x:v>3</x:v>
      </x:c>
      <x:c r="U956" s="20" t="str">
        <x:f>IF(J956="Рассчитано",N956*(1-O956/100),"н/д")</x:f>
        <x:v>н/д</x:v>
      </x:c>
      <x:c r="V956" s="20" t="str">
        <x:f>IF(J956="Рассчитано",T956*U956,"н/д")</x:f>
        <x:v>н/д</x:v>
      </x:c>
      <x:c r="W956" s="20" t="str">
        <x:f>IF(J956="Рассчитано",T956*M956,"н/д")</x:f>
        <x:v>н/д</x:v>
      </x:c>
      <x:c r="X956" s="20" t="str">
        <x:f>IF(J956="Рассчитано",V956-W956,"н/д")</x:f>
        <x:v>н/д</x:v>
      </x:c>
      <x:c r="Y956" s="26" t="str">
        <x:f>IF(J956="Рассчитано",IF(V956&gt;0,G956/V956,"н/д"),"н/д")</x:f>
        <x:v>н/д</x:v>
      </x:c>
      <x:c r="Z956" s="20" t="str">
        <x:f>"н/д"</x:f>
        <x:v>н/д</x:v>
      </x:c>
      <x:c r="AA956" s="20" t="str">
        <x:f>"н/д"</x:f>
        <x:v>н/д</x:v>
      </x:c>
      <x:c r="AB956" s="20" t="str">
        <x:f>"н/д"</x:f>
        <x:v>н/д</x:v>
      </x:c>
      <x:c r="AC956" s="20" t="str">
        <x:f>IF(AND(J956="Рассчитано",T956&gt;0,R956&lt;100),(W956+P956+Q956)/(T956*(1-R956/100)),"н/д")</x:f>
        <x:v>н/д</x:v>
      </x:c>
      <x:c r="AD956" s="11" t="str">
        <x:f>IF(ISNUMBER(G956),IF(G956&lt;0,"Убыток",IF(G956=0,"Без прибыли","Прибыль &gt; 0")),"Не оценён")</x:f>
        <x:v>Не оценён</x:v>
      </x:c>
      <x:c r="AE956" s="12" t="str">
        <x:f>IF(J956="Рассчитано","Выручка "&amp;TEXT(V956,"0.00")&amp;" - себестоимость "&amp;TEXT(W956,"0.00")&amp;" - комиссия "&amp;TEXT(V956*R956/100,"0.00")&amp;" - доставка "&amp;TEXT(P956,"0.00")&amp;" - прочие "&amp;TEXT(Q956,"0.00")&amp;" = "&amp;TEXT(G956,"0.00")&amp;" "&amp;L956,"Введите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6" s="23" t="n">
        <x:v>1.3816324556191018</x:v>
      </x:c>
      <x:c r="AG956" s="35" t="n">
        <x:v>5</x:v>
      </x:c>
      <x:c r="AH956" s="35" t="n">
        <x:v>0</x:v>
      </x:c>
      <x:c r="AI956" s="29" t="n">
        <x:v>46266</x:v>
      </x:c>
      <x:c r="AJ956" s="35" t="n">
        <x:v>1</x:v>
      </x:c>
      <x:c r="AK956" s="11" t="str">
        <x:v>минимум</x:v>
      </x:c>
      <x:c r="AL956" s="31" t="n">
        <x:v>307.7489089962919</x:v>
      </x:c>
      <x:c r="AM95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56" s="12" t="str">
        <x:v>Проверить свободный остаток и установить цену для B2B</x:v>
      </x:c>
      <x:c r="AO956" s="12" t="str">
        <x:v>Остаток 5; прогноз 90 дней 1.38; избыток 3 шт. Будущие поступления не выставляются на продажу. Остаток на начало сентября: требуется актуализация.</x:v>
      </x:c>
      <x:c r="AP956" s="12" t="str">
        <x:v>["category_missing", "daily_stockout_data_missing", "new_order_lead_time_unknown", "reservations_unknown", "stale_stock"]</x:v>
      </x:c>
      <x:c r="AQ956" s="11" t="str">
        <x:v>IEK:251400115_</x:v>
      </x:c>
      <x:c r="AR956" s="23" t="n">
        <x:v>1</x:v>
      </x:c>
      <x:c r="AS956" s="23" t="n">
        <x:v>0</x:v>
      </x:c>
      <x:c r="AT956" s="23" t="n">
        <x:v>0</x:v>
      </x:c>
    </x:row>
    <x:row r="957" ht="64" customHeight="1">
      <x:c r="A957" s="10" t="str">
        <x:v>IEK</x:v>
      </x:c>
      <x:c r="B957" s="34" t="str">
        <x:v>251400118_</x:v>
      </x:c>
      <x:c r="C957" s="34" t="str">
        <x:v>TI5-10-N-070-050-020-66</x:v>
      </x:c>
      <x:c r="D957" s="13" t="str">
        <x:v>ЩМП 70х50х20 IP66  TITAN 5 IEK</x:v>
      </x:c>
      <x:c r="E957" s="10" t="str">
        <x:v>шт</x:v>
      </x:c>
      <x:c r="F957" s="37" t="n">
        <x:f>MAX(0,ROUNDDOWN((AG957-AF957)/AR957+0.000000001,0)*AR957)</x:f>
        <x:v>9</x:v>
      </x:c>
      <x:c r="G957" s="21" t="str">
        <x:f>IF(J957="Рассчитано",V957*(1-R957/100)-W957-P957-Q957,"н/д")</x:f>
        <x:v>н/д</x:v>
      </x:c>
      <x:c r="H957" s="13" t="str">
        <x:v>Высокий</x:v>
      </x:c>
      <x:c r="I957" s="13" t="str">
        <x:v>Высокий</x:v>
      </x:c>
      <x:c r="J957" s="13" t="str">
        <x:f>IF(L957="","Укажите валюту",IF(NOT(ISNUMBER(K957)),"Укажите объём",IF(K957&lt;=0,"Укажите объём",IF(K957&gt;F957,"Объём выше излишка",IF(COUNT(M957:O957)&lt;3,"Нужны цены",IF(COUNT(P957:R957)&lt;3,"Нужны расходы",IF(OR(M957&lt;0,N957&lt;0,O957&lt;0,O957&gt;100,P957&lt;0,Q957&lt;0,R957&lt;0,R957&gt;100),"Проверьте значения","Рассчитано")))))))</x:f>
        <x:v>Нужны цены</x:v>
      </x:c>
      <x:c r="K957" s="36" t="n">
        <x:v>9</x:v>
      </x:c>
      <x:c r="L957" s="19" t="str">
        <x:v>KZT</x:v>
      </x:c>
      <x:c r="M957" s="22"/>
      <x:c r="N957" s="22"/>
      <x:c r="O957" s="28"/>
      <x:c r="P957" s="22"/>
      <x:c r="Q957" s="22"/>
      <x:c r="R957" s="28"/>
      <x:c r="S957" s="22"/>
      <x:c r="T957" s="37" t="n">
        <x:f>K957</x:f>
        <x:v>9</x:v>
      </x:c>
      <x:c r="U957" s="21" t="str">
        <x:f>IF(J957="Рассчитано",N957*(1-O957/100),"н/д")</x:f>
        <x:v>н/д</x:v>
      </x:c>
      <x:c r="V957" s="21" t="str">
        <x:f>IF(J957="Рассчитано",T957*U957,"н/д")</x:f>
        <x:v>н/д</x:v>
      </x:c>
      <x:c r="W957" s="21" t="str">
        <x:f>IF(J957="Рассчитано",T957*M957,"н/д")</x:f>
        <x:v>н/д</x:v>
      </x:c>
      <x:c r="X957" s="21" t="str">
        <x:f>IF(J957="Рассчитано",V957-W957,"н/д")</x:f>
        <x:v>н/д</x:v>
      </x:c>
      <x:c r="Y957" s="27" t="str">
        <x:f>IF(J957="Рассчитано",IF(V957&gt;0,G957/V957,"н/д"),"н/д")</x:f>
        <x:v>н/д</x:v>
      </x:c>
      <x:c r="Z957" s="21" t="str">
        <x:f>"н/д"</x:f>
        <x:v>н/д</x:v>
      </x:c>
      <x:c r="AA957" s="21" t="str">
        <x:f>"н/д"</x:f>
        <x:v>н/д</x:v>
      </x:c>
      <x:c r="AB957" s="21" t="str">
        <x:f>"н/д"</x:f>
        <x:v>н/д</x:v>
      </x:c>
      <x:c r="AC957" s="21" t="str">
        <x:f>IF(AND(J957="Рассчитано",T957&gt;0,R957&lt;100),(W957+P957+Q957)/(T957*(1-R957/100)),"н/д")</x:f>
        <x:v>н/д</x:v>
      </x:c>
      <x:c r="AD957" s="10" t="str">
        <x:f>IF(ISNUMBER(G957),IF(G957&lt;0,"Убыток",IF(G957=0,"Без прибыли","Прибыль &gt; 0")),"Не оценён")</x:f>
        <x:v>Не оценён</x:v>
      </x:c>
      <x:c r="AE957" s="13" t="str">
        <x:f>IF(J957="Рассчитано","Выручка "&amp;TEXT(V957,"0.00")&amp;" - себестоимость "&amp;TEXT(W957,"0.00")&amp;" - комиссия "&amp;TEXT(V957*R957/100,"0.00")&amp;" - доставка "&amp;TEXT(P957,"0.00")&amp;" - прочие "&amp;TEXT(Q957,"0.00")&amp;" = "&amp;TEXT(G957,"0.00")&amp;" "&amp;L957,"Введите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7" s="24" t="n">
        <x:v>2.932142077774366</x:v>
      </x:c>
      <x:c r="AG957" s="37" t="n">
        <x:v>12</x:v>
      </x:c>
      <x:c r="AH957" s="37" t="n">
        <x:v>0</x:v>
      </x:c>
      <x:c r="AI957" s="30" t="n">
        <x:v>46266</x:v>
      </x:c>
      <x:c r="AJ957" s="37" t="n">
        <x:v>1</x:v>
      </x:c>
      <x:c r="AK957" s="10" t="str">
        <x:v>минимум</x:v>
      </x:c>
      <x:c r="AL957" s="32" t="n">
        <x:v>348.0288768326454</x:v>
      </x:c>
      <x:c r="AM95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57" s="13" t="str">
        <x:v>Проверить свободный остаток и установить цену для B2B</x:v>
      </x:c>
      <x:c r="AO957" s="13" t="str">
        <x:v>Остаток 12; прогноз 90 дней 2.93; избыток 9 шт. Будущие поступления не выставляются на продажу. Остаток на начало сентября: требуется актуализация.</x:v>
      </x:c>
      <x:c r="AP957" s="13" t="str">
        <x:v>["category_missing", "daily_stockout_data_missing", "new_order_lead_time_unknown", "reservations_unknown", "stale_stock"]</x:v>
      </x:c>
      <x:c r="AQ957" s="10" t="str">
        <x:v>IEK:251400118_</x:v>
      </x:c>
      <x:c r="AR957" s="24" t="n">
        <x:v>1</x:v>
      </x:c>
      <x:c r="AS957" s="24" t="n">
        <x:v>0</x:v>
      </x:c>
      <x:c r="AT957" s="24" t="n">
        <x:v>0</x:v>
      </x:c>
    </x:row>
    <x:row r="958" ht="64" customHeight="1">
      <x:c r="A958" s="11" t="str">
        <x:v>IEK</x:v>
      </x:c>
      <x:c r="B958" s="33" t="str">
        <x:v>251400119_</x:v>
      </x:c>
      <x:c r="C958" s="33" t="str">
        <x:v>TI5-10-N-070-050-025-66</x:v>
      </x:c>
      <x:c r="D958" s="12" t="str">
        <x:v>ЩМП 70х50х25 IP66  TITAN 5 IEK</x:v>
      </x:c>
      <x:c r="E958" s="11" t="str">
        <x:v>шт</x:v>
      </x:c>
      <x:c r="F958" s="35" t="n">
        <x:f>MAX(0,ROUNDDOWN((AG958-AF958)/AR958+0.000000001,0)*AR958)</x:f>
        <x:v>1</x:v>
      </x:c>
      <x:c r="G958" s="20" t="str">
        <x:f>IF(J958="Рассчитано",V958*(1-R958/100)-W958-P958-Q958,"н/д")</x:f>
        <x:v>н/д</x:v>
      </x:c>
      <x:c r="H958" s="12" t="str">
        <x:v>Высокий</x:v>
      </x:c>
      <x:c r="I958" s="12" t="str">
        <x:v>Средний</x:v>
      </x:c>
      <x:c r="J958" s="12" t="str">
        <x:f>IF(L958="","Укажите валюту",IF(NOT(ISNUMBER(K958)),"Укажите объём",IF(K958&lt;=0,"Укажите объём",IF(K958&gt;F958,"Объём выше излишка",IF(COUNT(M958:O958)&lt;3,"Нужны цены",IF(COUNT(P958:R958)&lt;3,"Нужны расходы",IF(OR(M958&lt;0,N958&lt;0,O958&lt;0,O958&gt;100,P958&lt;0,Q958&lt;0,R958&lt;0,R958&gt;100),"Проверьте значения","Рассчитано")))))))</x:f>
        <x:v>Нужны цены</x:v>
      </x:c>
      <x:c r="K958" s="36" t="n">
        <x:v>1</x:v>
      </x:c>
      <x:c r="L958" s="19" t="str">
        <x:v>KZT</x:v>
      </x:c>
      <x:c r="M958" s="22"/>
      <x:c r="N958" s="22"/>
      <x:c r="O958" s="28"/>
      <x:c r="P958" s="22"/>
      <x:c r="Q958" s="22"/>
      <x:c r="R958" s="28"/>
      <x:c r="S958" s="22"/>
      <x:c r="T958" s="35" t="n">
        <x:f>K958</x:f>
        <x:v>1</x:v>
      </x:c>
      <x:c r="U958" s="20" t="str">
        <x:f>IF(J958="Рассчитано",N958*(1-O958/100),"н/д")</x:f>
        <x:v>н/д</x:v>
      </x:c>
      <x:c r="V958" s="20" t="str">
        <x:f>IF(J958="Рассчитано",T958*U958,"н/д")</x:f>
        <x:v>н/д</x:v>
      </x:c>
      <x:c r="W958" s="20" t="str">
        <x:f>IF(J958="Рассчитано",T958*M958,"н/д")</x:f>
        <x:v>н/д</x:v>
      </x:c>
      <x:c r="X958" s="20" t="str">
        <x:f>IF(J958="Рассчитано",V958-W958,"н/д")</x:f>
        <x:v>н/д</x:v>
      </x:c>
      <x:c r="Y958" s="26" t="str">
        <x:f>IF(J958="Рассчитано",IF(V958&gt;0,G958/V958,"н/д"),"н/д")</x:f>
        <x:v>н/д</x:v>
      </x:c>
      <x:c r="Z958" s="20" t="str">
        <x:f>"н/д"</x:f>
        <x:v>н/д</x:v>
      </x:c>
      <x:c r="AA958" s="20" t="str">
        <x:f>"н/д"</x:f>
        <x:v>н/д</x:v>
      </x:c>
      <x:c r="AB958" s="20" t="str">
        <x:f>"н/д"</x:f>
        <x:v>н/д</x:v>
      </x:c>
      <x:c r="AC958" s="20" t="str">
        <x:f>IF(AND(J958="Рассчитано",T958&gt;0,R958&lt;100),(W958+P958+Q958)/(T958*(1-R958/100)),"н/д")</x:f>
        <x:v>н/д</x:v>
      </x:c>
      <x:c r="AD958" s="11" t="str">
        <x:f>IF(ISNUMBER(G958),IF(G958&lt;0,"Убыток",IF(G958=0,"Без прибыли","Прибыль &gt; 0")),"Не оценён")</x:f>
        <x:v>Не оценён</x:v>
      </x:c>
      <x:c r="AE958" s="12" t="str">
        <x:f>IF(J958="Рассчитано","Выручка "&amp;TEXT(V958,"0.00")&amp;" - себестоимость "&amp;TEXT(W958,"0.00")&amp;" - комиссия "&amp;TEXT(V958*R958/100,"0.00")&amp;" - доставка "&amp;TEXT(P958,"0.00")&amp;" - прочие "&amp;TEXT(Q958,"0.00")&amp;" = "&amp;TEXT(G958,"0.00")&amp;" "&amp;L958,"Введите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8" s="23" t="n">
        <x:v>2.8750704605399404</x:v>
      </x:c>
      <x:c r="AG958" s="35" t="n">
        <x:v>4</x:v>
      </x:c>
      <x:c r="AH958" s="35" t="n">
        <x:v>0</x:v>
      </x:c>
      <x:c r="AI958" s="29" t="n">
        <x:v>46266</x:v>
      </x:c>
      <x:c r="AJ958" s="35" t="n">
        <x:v>1</x:v>
      </x:c>
      <x:c r="AK958" s="11" t="str">
        <x:v>минимум</x:v>
      </x:c>
      <x:c r="AL958" s="31" t="n">
        <x:v>118.31247593724521</x:v>
      </x:c>
      <x:c r="AM958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958" s="12" t="str">
        <x:v>Проверить свободный остаток и установить цену для B2B</x:v>
      </x:c>
      <x:c r="AO958" s="12" t="str">
        <x:v>Остаток 4; прогноз 90 дней 2.88; избыток 1 шт. Будущие поступления не выставляются на продажу. Остаток на начало сентября: требуется актуализация.</x:v>
      </x:c>
      <x:c r="AP958" s="12" t="str">
        <x:v>["category_missing", "daily_stockout_data_missing", "new_order_lead_time_unknown", "reservations_unknown", "stale_stock", "stockout_proxy_used"]</x:v>
      </x:c>
      <x:c r="AQ958" s="11" t="str">
        <x:v>IEK:251400119_</x:v>
      </x:c>
      <x:c r="AR958" s="23" t="n">
        <x:v>1</x:v>
      </x:c>
      <x:c r="AS958" s="23" t="n">
        <x:v>0</x:v>
      </x:c>
      <x:c r="AT958" s="23" t="n">
        <x:v>0</x:v>
      </x:c>
    </x:row>
    <x:row r="959" ht="64" customHeight="1">
      <x:c r="A959" s="10" t="str">
        <x:v>IEK</x:v>
      </x:c>
      <x:c r="B959" s="34" t="str">
        <x:v>251400121_</x:v>
      </x:c>
      <x:c r="C959" s="34" t="str">
        <x:v>TI5-10-N-080-060-030-66</x:v>
      </x:c>
      <x:c r="D959" s="13" t="str">
        <x:v>ЩМП 80х60х30 IP66  TITAN 5 IEK</x:v>
      </x:c>
      <x:c r="E959" s="10" t="str">
        <x:v>шт</x:v>
      </x:c>
      <x:c r="F959" s="37" t="n">
        <x:f>MAX(0,ROUNDDOWN((AG959-AF959)/AR959+0.000000001,0)*AR959)</x:f>
        <x:v>3</x:v>
      </x:c>
      <x:c r="G959" s="21" t="str">
        <x:f>IF(J959="Рассчитано",V959*(1-R959/100)-W959-P959-Q959,"н/д")</x:f>
        <x:v>н/д</x:v>
      </x:c>
      <x:c r="H959" s="13" t="str">
        <x:v>Высокий</x:v>
      </x:c>
      <x:c r="I959" s="13" t="str">
        <x:v>Средний</x:v>
      </x:c>
      <x:c r="J959" s="13" t="str">
        <x:f>IF(L959="","Укажите валюту",IF(NOT(ISNUMBER(K959)),"Укажите объём",IF(K959&lt;=0,"Укажите объём",IF(K959&gt;F959,"Объём выше излишка",IF(COUNT(M959:O959)&lt;3,"Нужны цены",IF(COUNT(P959:R959)&lt;3,"Нужны расходы",IF(OR(M959&lt;0,N959&lt;0,O959&lt;0,O959&gt;100,P959&lt;0,Q959&lt;0,R959&lt;0,R959&gt;100),"Проверьте значения","Рассчитано")))))))</x:f>
        <x:v>Нужны цены</x:v>
      </x:c>
      <x:c r="K959" s="36" t="n">
        <x:v>3</x:v>
      </x:c>
      <x:c r="L959" s="19" t="str">
        <x:v>KZT</x:v>
      </x:c>
      <x:c r="M959" s="22"/>
      <x:c r="N959" s="22"/>
      <x:c r="O959" s="28"/>
      <x:c r="P959" s="22"/>
      <x:c r="Q959" s="22"/>
      <x:c r="R959" s="28"/>
      <x:c r="S959" s="22"/>
      <x:c r="T959" s="37" t="n">
        <x:f>K959</x:f>
        <x:v>3</x:v>
      </x:c>
      <x:c r="U959" s="21" t="str">
        <x:f>IF(J959="Рассчитано",N959*(1-O959/100),"н/д")</x:f>
        <x:v>н/д</x:v>
      </x:c>
      <x:c r="V959" s="21" t="str">
        <x:f>IF(J959="Рассчитано",T959*U959,"н/д")</x:f>
        <x:v>н/д</x:v>
      </x:c>
      <x:c r="W959" s="21" t="str">
        <x:f>IF(J959="Рассчитано",T959*M959,"н/д")</x:f>
        <x:v>н/д</x:v>
      </x:c>
      <x:c r="X959" s="21" t="str">
        <x:f>IF(J959="Рассчитано",V959-W959,"н/д")</x:f>
        <x:v>н/д</x:v>
      </x:c>
      <x:c r="Y959" s="27" t="str">
        <x:f>IF(J959="Рассчитано",IF(V959&gt;0,G959/V959,"н/д"),"н/д")</x:f>
        <x:v>н/д</x:v>
      </x:c>
      <x:c r="Z959" s="21" t="str">
        <x:f>"н/д"</x:f>
        <x:v>н/д</x:v>
      </x:c>
      <x:c r="AA959" s="21" t="str">
        <x:f>"н/д"</x:f>
        <x:v>н/д</x:v>
      </x:c>
      <x:c r="AB959" s="21" t="str">
        <x:f>"н/д"</x:f>
        <x:v>н/д</x:v>
      </x:c>
      <x:c r="AC959" s="21" t="str">
        <x:f>IF(AND(J959="Рассчитано",T959&gt;0,R959&lt;100),(W959+P959+Q959)/(T959*(1-R959/100)),"н/д")</x:f>
        <x:v>н/д</x:v>
      </x:c>
      <x:c r="AD959" s="10" t="str">
        <x:f>IF(ISNUMBER(G959),IF(G959&lt;0,"Убыток",IF(G959=0,"Без прибыли","Прибыль &gt; 0")),"Не оценён")</x:f>
        <x:v>Не оценён</x:v>
      </x:c>
      <x:c r="AE959" s="13" t="str">
        <x:f>IF(J959="Рассчитано","Выручка "&amp;TEXT(V959,"0.00")&amp;" - себестоимость "&amp;TEXT(W959,"0.00")&amp;" - комиссия "&amp;TEXT(V959*R959/100,"0.00")&amp;" - доставка "&amp;TEXT(P959,"0.00")&amp;" - прочие "&amp;TEXT(Q959,"0.00")&amp;" = "&amp;TEXT(G959,"0.00")&amp;" "&amp;L959,"Введите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9" s="24" t="n">
        <x:v>3.3646410121310857</x:v>
      </x:c>
      <x:c r="AG959" s="37" t="n">
        <x:v>7</x:v>
      </x:c>
      <x:c r="AH959" s="37" t="n">
        <x:v>0</x:v>
      </x:c>
      <x:c r="AI959" s="30" t="n">
        <x:v>46266</x:v>
      </x:c>
      <x:c r="AJ959" s="37" t="n">
        <x:v>1</x:v>
      </x:c>
      <x:c r="AK959" s="10" t="str">
        <x:v>минимум</x:v>
      </x:c>
      <x:c r="AL959" s="32" t="n">
        <x:v>176.9205781670808</x:v>
      </x:c>
      <x:c r="AM959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959" s="13" t="str">
        <x:v>Проверить свободный остаток и установить цену для B2B</x:v>
      </x:c>
      <x:c r="AO959" s="13" t="str">
        <x:v>Остаток 7; прогноз 90 дней 3.36; избыток 3 шт. Будущие поступления не выставляются на продажу. Остаток на начало сентября: требуется актуализация.</x:v>
      </x:c>
      <x:c r="AP959" s="13" t="str">
        <x:v>["category_missing", "daily_stockout_data_missing", "new_order_lead_time_unknown", "reservations_unknown", "stale_stock", "stockout_proxy_used"]</x:v>
      </x:c>
      <x:c r="AQ959" s="10" t="str">
        <x:v>IEK:251400121_</x:v>
      </x:c>
      <x:c r="AR959" s="24" t="n">
        <x:v>1</x:v>
      </x:c>
      <x:c r="AS959" s="24" t="n">
        <x:v>0</x:v>
      </x:c>
      <x:c r="AT959" s="24" t="n">
        <x:v>0</x:v>
      </x:c>
    </x:row>
    <x:row r="960" ht="64" customHeight="1">
      <x:c r="A960" s="11" t="str">
        <x:v>IEK</x:v>
      </x:c>
      <x:c r="B960" s="33" t="str">
        <x:v>251400124_</x:v>
      </x:c>
      <x:c r="C960" s="33" t="str">
        <x:v>TI5-10-N-080-080-030-66</x:v>
      </x:c>
      <x:c r="D960" s="12" t="str">
        <x:v>ЩМП 80х80х30 IP66  TITAN 5 IEK</x:v>
      </x:c>
      <x:c r="E960" s="11" t="str">
        <x:v>шт</x:v>
      </x:c>
      <x:c r="F960" s="35" t="n">
        <x:f>MAX(0,ROUNDDOWN((AG960-AF960)/AR960+0.000000001,0)*AR960)</x:f>
        <x:v>1</x:v>
      </x:c>
      <x:c r="G960" s="20" t="str">
        <x:f>IF(J960="Рассчитано",V960*(1-R960/100)-W960-P960-Q960,"н/д")</x:f>
        <x:v>н/д</x:v>
      </x:c>
      <x:c r="H960" s="12" t="str">
        <x:v>Высокий</x:v>
      </x:c>
      <x:c r="I960" s="12" t="str">
        <x:v>Высокий</x:v>
      </x:c>
      <x:c r="J960" s="12" t="str">
        <x:f>IF(L960="","Укажите валюту",IF(NOT(ISNUMBER(K960)),"Укажите объём",IF(K960&lt;=0,"Укажите объём",IF(K960&gt;F960,"Объём выше излишка",IF(COUNT(M960:O960)&lt;3,"Нужны цены",IF(COUNT(P960:R960)&lt;3,"Нужны расходы",IF(OR(M960&lt;0,N960&lt;0,O960&lt;0,O960&gt;100,P960&lt;0,Q960&lt;0,R960&lt;0,R960&gt;100),"Проверьте значения","Рассчитано")))))))</x:f>
        <x:v>Нужны цены</x:v>
      </x:c>
      <x:c r="K960" s="36" t="n">
        <x:v>1</x:v>
      </x:c>
      <x:c r="L960" s="19" t="str">
        <x:v>KZT</x:v>
      </x:c>
      <x:c r="M960" s="22"/>
      <x:c r="N960" s="22"/>
      <x:c r="O960" s="28"/>
      <x:c r="P960" s="22"/>
      <x:c r="Q960" s="22"/>
      <x:c r="R960" s="28"/>
      <x:c r="S960" s="22"/>
      <x:c r="T960" s="35" t="n">
        <x:f>K960</x:f>
        <x:v>1</x:v>
      </x:c>
      <x:c r="U960" s="20" t="str">
        <x:f>IF(J960="Рассчитано",N960*(1-O960/100),"н/д")</x:f>
        <x:v>н/д</x:v>
      </x:c>
      <x:c r="V960" s="20" t="str">
        <x:f>IF(J960="Рассчитано",T960*U960,"н/д")</x:f>
        <x:v>н/д</x:v>
      </x:c>
      <x:c r="W960" s="20" t="str">
        <x:f>IF(J960="Рассчитано",T960*M960,"н/д")</x:f>
        <x:v>н/д</x:v>
      </x:c>
      <x:c r="X960" s="20" t="str">
        <x:f>IF(J960="Рассчитано",V960-W960,"н/д")</x:f>
        <x:v>н/д</x:v>
      </x:c>
      <x:c r="Y960" s="26" t="str">
        <x:f>IF(J960="Рассчитано",IF(V960&gt;0,G960/V960,"н/д"),"н/д")</x:f>
        <x:v>н/д</x:v>
      </x:c>
      <x:c r="Z960" s="20" t="str">
        <x:f>"н/д"</x:f>
        <x:v>н/д</x:v>
      </x:c>
      <x:c r="AA960" s="20" t="str">
        <x:f>"н/д"</x:f>
        <x:v>н/д</x:v>
      </x:c>
      <x:c r="AB960" s="20" t="str">
        <x:f>"н/д"</x:f>
        <x:v>н/д</x:v>
      </x:c>
      <x:c r="AC960" s="20" t="str">
        <x:f>IF(AND(J960="Рассчитано",T960&gt;0,R960&lt;100),(W960+P960+Q960)/(T960*(1-R960/100)),"н/д")</x:f>
        <x:v>н/д</x:v>
      </x:c>
      <x:c r="AD960" s="11" t="str">
        <x:f>IF(ISNUMBER(G960),IF(G960&lt;0,"Убыток",IF(G960=0,"Без прибыли","Прибыль &gt; 0")),"Не оценён")</x:f>
        <x:v>Не оценён</x:v>
      </x:c>
      <x:c r="AE960" s="12" t="str">
        <x:f>IF(J960="Рассчитано","Выручка "&amp;TEXT(V960,"0.00")&amp;" - себестоимость "&amp;TEXT(W960,"0.00")&amp;" - комиссия "&amp;TEXT(V960*R960/100,"0.00")&amp;" - доставка "&amp;TEXT(P960,"0.00")&amp;" - прочие "&amp;TEXT(Q960,"0.00")&amp;" = "&amp;TEXT(G960,"0.00")&amp;" "&amp;L960,"Введите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0" s="23" t="n">
        <x:v>0.4156700631467153</x:v>
      </x:c>
      <x:c r="AG960" s="35" t="n">
        <x:v>2</x:v>
      </x:c>
      <x:c r="AH960" s="35" t="n">
        <x:v>0</x:v>
      </x:c>
      <x:c r="AI960" s="29" t="n">
        <x:v>46266</x:v>
      </x:c>
      <x:c r="AJ960" s="35" t="n">
        <x:v>1</x:v>
      </x:c>
      <x:c r="AK960" s="11" t="str">
        <x:v>минимум</x:v>
      </x:c>
      <x:c r="AL960" s="31" t="n">
        <x:v>409.1667103777621</x:v>
      </x:c>
      <x:c r="AM9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60" s="12" t="str">
        <x:v>Проверить свободный остаток и установить цену для B2B</x:v>
      </x:c>
      <x:c r="AO960" s="12" t="str">
        <x:v>Остаток 2; прогноз 90 дней 0.42; избыток 1 шт. Будущие поступления не выставляются на продажу. Остаток на начало сентября: требуется актуализация.</x:v>
      </x:c>
      <x:c r="AP960" s="12" t="str">
        <x:v>["category_missing", "daily_stockout_data_missing", "new_order_lead_time_unknown", "reservations_unknown", "stale_stock"]</x:v>
      </x:c>
      <x:c r="AQ960" s="11" t="str">
        <x:v>IEK:251400124_</x:v>
      </x:c>
      <x:c r="AR960" s="23" t="n">
        <x:v>1</x:v>
      </x:c>
      <x:c r="AS960" s="23" t="n">
        <x:v>0</x:v>
      </x:c>
      <x:c r="AT960" s="23" t="n">
        <x:v>0</x:v>
      </x:c>
    </x:row>
    <x:row r="961" ht="64" customHeight="1">
      <x:c r="A961" s="10" t="str">
        <x:v>IEK</x:v>
      </x:c>
      <x:c r="B961" s="34" t="str">
        <x:v>251400126_</x:v>
      </x:c>
      <x:c r="C961" s="34" t="str">
        <x:v>TI5-10-N-100-060-020-66</x:v>
      </x:c>
      <x:c r="D961" s="13" t="str">
        <x:v>ЩМП 100х60х20 IP66  TITAN 5 IEK</x:v>
      </x:c>
      <x:c r="E961" s="10" t="str">
        <x:v>шт</x:v>
      </x:c>
      <x:c r="F961" s="37" t="n">
        <x:f>MAX(0,ROUNDDOWN((AG961-AF961)/AR961+0.000000001,0)*AR961)</x:f>
        <x:v>1</x:v>
      </x:c>
      <x:c r="G961" s="21" t="str">
        <x:f>IF(J961="Рассчитано",V961*(1-R961/100)-W961-P961-Q961,"н/д")</x:f>
        <x:v>н/д</x:v>
      </x:c>
      <x:c r="H961" s="13" t="str">
        <x:v>Высокий</x:v>
      </x:c>
      <x:c r="I961" s="13" t="str">
        <x:v>Высокий</x:v>
      </x:c>
      <x:c r="J961" s="13" t="str">
        <x:f>IF(L961="","Укажите валюту",IF(NOT(ISNUMBER(K961)),"Укажите объём",IF(K961&lt;=0,"Укажите объём",IF(K961&gt;F961,"Объём выше излишка",IF(COUNT(M961:O961)&lt;3,"Нужны цены",IF(COUNT(P961:R961)&lt;3,"Нужны расходы",IF(OR(M961&lt;0,N961&lt;0,O961&lt;0,O961&gt;100,P961&lt;0,Q961&lt;0,R961&lt;0,R961&gt;100),"Проверьте значения","Рассчитано")))))))</x:f>
        <x:v>Нужны цены</x:v>
      </x:c>
      <x:c r="K961" s="36" t="n">
        <x:v>1</x:v>
      </x:c>
      <x:c r="L961" s="19" t="str">
        <x:v>KZT</x:v>
      </x:c>
      <x:c r="M961" s="22"/>
      <x:c r="N961" s="22"/>
      <x:c r="O961" s="28"/>
      <x:c r="P961" s="22"/>
      <x:c r="Q961" s="22"/>
      <x:c r="R961" s="28"/>
      <x:c r="S961" s="22"/>
      <x:c r="T961" s="37" t="n">
        <x:f>K961</x:f>
        <x:v>1</x:v>
      </x:c>
      <x:c r="U961" s="21" t="str">
        <x:f>IF(J961="Рассчитано",N961*(1-O961/100),"н/д")</x:f>
        <x:v>н/д</x:v>
      </x:c>
      <x:c r="V961" s="21" t="str">
        <x:f>IF(J961="Рассчитано",T961*U961,"н/д")</x:f>
        <x:v>н/д</x:v>
      </x:c>
      <x:c r="W961" s="21" t="str">
        <x:f>IF(J961="Рассчитано",T961*M961,"н/д")</x:f>
        <x:v>н/д</x:v>
      </x:c>
      <x:c r="X961" s="21" t="str">
        <x:f>IF(J961="Рассчитано",V961-W961,"н/д")</x:f>
        <x:v>н/д</x:v>
      </x:c>
      <x:c r="Y961" s="27" t="str">
        <x:f>IF(J961="Рассчитано",IF(V961&gt;0,G961/V961,"н/д"),"н/д")</x:f>
        <x:v>н/д</x:v>
      </x:c>
      <x:c r="Z961" s="21" t="str">
        <x:f>"н/д"</x:f>
        <x:v>н/д</x:v>
      </x:c>
      <x:c r="AA961" s="21" t="str">
        <x:f>"н/д"</x:f>
        <x:v>н/д</x:v>
      </x:c>
      <x:c r="AB961" s="21" t="str">
        <x:f>"н/д"</x:f>
        <x:v>н/д</x:v>
      </x:c>
      <x:c r="AC961" s="21" t="str">
        <x:f>IF(AND(J961="Рассчитано",T961&gt;0,R961&lt;100),(W961+P961+Q961)/(T961*(1-R961/100)),"н/д")</x:f>
        <x:v>н/д</x:v>
      </x:c>
      <x:c r="AD961" s="10" t="str">
        <x:f>IF(ISNUMBER(G961),IF(G961&lt;0,"Убыток",IF(G961=0,"Без прибыли","Прибыль &gt; 0")),"Не оценён")</x:f>
        <x:v>Не оценён</x:v>
      </x:c>
      <x:c r="AE961" s="13" t="str">
        <x:f>IF(J961="Рассчитано","Выручка "&amp;TEXT(V961,"0.00")&amp;" - себестоимость "&amp;TEXT(W961,"0.00")&amp;" - комиссия "&amp;TEXT(V961*R961/100,"0.00")&amp;" - доставка "&amp;TEXT(P961,"0.00")&amp;" - прочие "&amp;TEXT(Q961,"0.00")&amp;" = "&amp;TEXT(G961,"0.00")&amp;" "&amp;L961,"Введите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1" s="24" t="n">
        <x:v>0</x:v>
      </x:c>
      <x:c r="AG961" s="37" t="n">
        <x:v>1</x:v>
      </x:c>
      <x:c r="AH961" s="37" t="n">
        <x:v>0</x:v>
      </x:c>
      <x:c r="AI961" s="30" t="n">
        <x:v>46266</x:v>
      </x:c>
      <x:c r="AJ961" s="37" t="n">
        <x:v>1</x:v>
      </x:c>
      <x:c r="AK961" s="10" t="str">
        <x:v>минимум</x:v>
      </x:c>
      <x:c r="AL961" s="32" t="str">
        <x:v>н/д</x:v>
      </x:c>
      <x:c r="AM96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61" s="13" t="str">
        <x:v>Проверить свободный остаток и установить цену для B2B</x:v>
      </x:c>
      <x:c r="AO961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61" s="13" t="str">
        <x:v>["category_missing", "daily_stockout_data_missing", "new_order_lead_time_unknown", "reservations_unknown", "stale_stock"]</x:v>
      </x:c>
      <x:c r="AQ961" s="10" t="str">
        <x:v>IEK:251400126_</x:v>
      </x:c>
      <x:c r="AR961" s="24" t="n">
        <x:v>1</x:v>
      </x:c>
      <x:c r="AS961" s="24" t="n">
        <x:v>0</x:v>
      </x:c>
      <x:c r="AT961" s="24" t="n">
        <x:v>0</x:v>
      </x:c>
    </x:row>
    <x:row r="962" ht="64" customHeight="1">
      <x:c r="A962" s="11" t="str">
        <x:v>IEK</x:v>
      </x:c>
      <x:c r="B962" s="33" t="str">
        <x:v>251400131_</x:v>
      </x:c>
      <x:c r="C962" s="33" t="str">
        <x:v>TI5-10-N-120-060-030-66</x:v>
      </x:c>
      <x:c r="D962" s="12" t="str">
        <x:v>ЩМП 120х60х30 IP66  TITAN 5 IEK</x:v>
      </x:c>
      <x:c r="E962" s="11" t="str">
        <x:v>шт</x:v>
      </x:c>
      <x:c r="F962" s="35" t="n">
        <x:f>MAX(0,ROUNDDOWN((AG962-AF962)/AR962+0.000000001,0)*AR962)</x:f>
        <x:v>1</x:v>
      </x:c>
      <x:c r="G962" s="20" t="str">
        <x:f>IF(J962="Рассчитано",V962*(1-R962/100)-W962-P962-Q962,"н/д")</x:f>
        <x:v>н/д</x:v>
      </x:c>
      <x:c r="H962" s="12" t="str">
        <x:v>Высокий</x:v>
      </x:c>
      <x:c r="I962" s="12" t="str">
        <x:v>Средний</x:v>
      </x:c>
      <x:c r="J962" s="12" t="str">
        <x:f>IF(L962="","Укажите валюту",IF(NOT(ISNUMBER(K962)),"Укажите объём",IF(K962&lt;=0,"Укажите объём",IF(K962&gt;F962,"Объём выше излишка",IF(COUNT(M962:O962)&lt;3,"Нужны цены",IF(COUNT(P962:R962)&lt;3,"Нужны расходы",IF(OR(M962&lt;0,N962&lt;0,O962&lt;0,O962&gt;100,P962&lt;0,Q962&lt;0,R962&lt;0,R962&gt;100),"Проверьте значения","Рассчитано")))))))</x:f>
        <x:v>Нужны цены</x:v>
      </x:c>
      <x:c r="K962" s="36" t="n">
        <x:v>1</x:v>
      </x:c>
      <x:c r="L962" s="19" t="str">
        <x:v>KZT</x:v>
      </x:c>
      <x:c r="M962" s="22"/>
      <x:c r="N962" s="22"/>
      <x:c r="O962" s="28"/>
      <x:c r="P962" s="22"/>
      <x:c r="Q962" s="22"/>
      <x:c r="R962" s="28"/>
      <x:c r="S962" s="22"/>
      <x:c r="T962" s="35" t="n">
        <x:f>K962</x:f>
        <x:v>1</x:v>
      </x:c>
      <x:c r="U962" s="20" t="str">
        <x:f>IF(J962="Рассчитано",N962*(1-O962/100),"н/д")</x:f>
        <x:v>н/д</x:v>
      </x:c>
      <x:c r="V962" s="20" t="str">
        <x:f>IF(J962="Рассчитано",T962*U962,"н/д")</x:f>
        <x:v>н/д</x:v>
      </x:c>
      <x:c r="W962" s="20" t="str">
        <x:f>IF(J962="Рассчитано",T962*M962,"н/д")</x:f>
        <x:v>н/д</x:v>
      </x:c>
      <x:c r="X962" s="20" t="str">
        <x:f>IF(J962="Рассчитано",V962-W962,"н/д")</x:f>
        <x:v>н/д</x:v>
      </x:c>
      <x:c r="Y962" s="26" t="str">
        <x:f>IF(J962="Рассчитано",IF(V962&gt;0,G962/V962,"н/д"),"н/д")</x:f>
        <x:v>н/д</x:v>
      </x:c>
      <x:c r="Z962" s="20" t="str">
        <x:f>"н/д"</x:f>
        <x:v>н/д</x:v>
      </x:c>
      <x:c r="AA962" s="20" t="str">
        <x:f>"н/д"</x:f>
        <x:v>н/д</x:v>
      </x:c>
      <x:c r="AB962" s="20" t="str">
        <x:f>"н/д"</x:f>
        <x:v>н/д</x:v>
      </x:c>
      <x:c r="AC962" s="20" t="str">
        <x:f>IF(AND(J962="Рассчитано",T962&gt;0,R962&lt;100),(W962+P962+Q962)/(T962*(1-R962/100)),"н/д")</x:f>
        <x:v>н/д</x:v>
      </x:c>
      <x:c r="AD962" s="11" t="str">
        <x:f>IF(ISNUMBER(G962),IF(G962&lt;0,"Убыток",IF(G962=0,"Без прибыли","Прибыль &gt; 0")),"Не оценён")</x:f>
        <x:v>Не оценён</x:v>
      </x:c>
      <x:c r="AE962" s="12" t="str">
        <x:f>IF(J962="Рассчитано","Выручка "&amp;TEXT(V962,"0.00")&amp;" - себестоимость "&amp;TEXT(W962,"0.00")&amp;" - комиссия "&amp;TEXT(V962*R962/100,"0.00")&amp;" - доставка "&amp;TEXT(P962,"0.00")&amp;" - прочие "&amp;TEXT(Q962,"0.00")&amp;" = "&amp;TEXT(G962,"0.00")&amp;" "&amp;L962,"Введите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2" s="23" t="n">
        <x:v>1.9376152887007265</x:v>
      </x:c>
      <x:c r="AG962" s="35" t="n">
        <x:v>3</x:v>
      </x:c>
      <x:c r="AH962" s="35" t="n">
        <x:v>0</x:v>
      </x:c>
      <x:c r="AI962" s="29" t="n">
        <x:v>46266</x:v>
      </x:c>
      <x:c r="AJ962" s="35" t="n">
        <x:v>1</x:v>
      </x:c>
      <x:c r="AK962" s="11" t="str">
        <x:v>минимум</x:v>
      </x:c>
      <x:c r="AL962" s="31" t="n">
        <x:v>131.665728484965</x:v>
      </x:c>
      <x:c r="AM962" s="12" t="str">
        <x:v>Остаток на начало сентября; Резервы неизвестны; Нет ежедневных данных доступности. Запас выше прогноза на 90 дней</x:v>
      </x:c>
      <x:c r="AN962" s="12" t="str">
        <x:v>Проверить свободный остаток и установить цену для B2B</x:v>
      </x:c>
      <x:c r="AO962" s="12" t="str">
        <x:v>Остаток 3; прогноз 90 дней 1.94; избыток 1 шт. Будущие поступления не выставляются на продажу. Остаток на начало сентября: требуется актуализация.</x:v>
      </x:c>
      <x:c r="AP962" s="12" t="str">
        <x:v>["category_missing", "daily_stockout_data_missing", "new_order_lead_time_unknown", "reservations_unknown", "stale_stock"]</x:v>
      </x:c>
      <x:c r="AQ962" s="11" t="str">
        <x:v>IEK:251400131_</x:v>
      </x:c>
      <x:c r="AR962" s="23" t="n">
        <x:v>1</x:v>
      </x:c>
      <x:c r="AS962" s="23" t="n">
        <x:v>0</x:v>
      </x:c>
      <x:c r="AT962" s="23" t="n">
        <x:v>0</x:v>
      </x:c>
    </x:row>
    <x:row r="963" ht="64" customHeight="1">
      <x:c r="A963" s="10" t="str">
        <x:v>IEK</x:v>
      </x:c>
      <x:c r="B963" s="34" t="str">
        <x:v>251400133_</x:v>
      </x:c>
      <x:c r="C963" s="34" t="str">
        <x:v>TI5-10-N-120-080-030-66</x:v>
      </x:c>
      <x:c r="D963" s="13" t="str">
        <x:v>ЩМП 120х80х30 IP66  TITAN 5 IEK</x:v>
      </x:c>
      <x:c r="E963" s="10" t="str">
        <x:v>шт</x:v>
      </x:c>
      <x:c r="F963" s="37" t="n">
        <x:f>MAX(0,ROUNDDOWN((AG963-AF963)/AR963+0.000000001,0)*AR963)</x:f>
        <x:v>3</x:v>
      </x:c>
      <x:c r="G963" s="21" t="str">
        <x:f>IF(J963="Рассчитано",V963*(1-R963/100)-W963-P963-Q963,"н/д")</x:f>
        <x:v>н/д</x:v>
      </x:c>
      <x:c r="H963" s="13" t="str">
        <x:v>Высокий</x:v>
      </x:c>
      <x:c r="I963" s="13" t="str">
        <x:v>Высокий</x:v>
      </x:c>
      <x:c r="J963" s="13" t="str">
        <x:f>IF(L963="","Укажите валюту",IF(NOT(ISNUMBER(K963)),"Укажите объём",IF(K963&lt;=0,"Укажите объём",IF(K963&gt;F963,"Объём выше излишка",IF(COUNT(M963:O963)&lt;3,"Нужны цены",IF(COUNT(P963:R963)&lt;3,"Нужны расходы",IF(OR(M963&lt;0,N963&lt;0,O963&lt;0,O963&gt;100,P963&lt;0,Q963&lt;0,R963&lt;0,R963&gt;100),"Проверьте значения","Рассчитано")))))))</x:f>
        <x:v>Нужны цены</x:v>
      </x:c>
      <x:c r="K963" s="36" t="n">
        <x:v>3</x:v>
      </x:c>
      <x:c r="L963" s="19" t="str">
        <x:v>KZT</x:v>
      </x:c>
      <x:c r="M963" s="22"/>
      <x:c r="N963" s="22"/>
      <x:c r="O963" s="28"/>
      <x:c r="P963" s="22"/>
      <x:c r="Q963" s="22"/>
      <x:c r="R963" s="28"/>
      <x:c r="S963" s="22"/>
      <x:c r="T963" s="37" t="n">
        <x:f>K963</x:f>
        <x:v>3</x:v>
      </x:c>
      <x:c r="U963" s="21" t="str">
        <x:f>IF(J963="Рассчитано",N963*(1-O963/100),"н/д")</x:f>
        <x:v>н/д</x:v>
      </x:c>
      <x:c r="V963" s="21" t="str">
        <x:f>IF(J963="Рассчитано",T963*U963,"н/д")</x:f>
        <x:v>н/д</x:v>
      </x:c>
      <x:c r="W963" s="21" t="str">
        <x:f>IF(J963="Рассчитано",T963*M963,"н/д")</x:f>
        <x:v>н/д</x:v>
      </x:c>
      <x:c r="X963" s="21" t="str">
        <x:f>IF(J963="Рассчитано",V963-W963,"н/д")</x:f>
        <x:v>н/д</x:v>
      </x:c>
      <x:c r="Y963" s="27" t="str">
        <x:f>IF(J963="Рассчитано",IF(V963&gt;0,G963/V963,"н/д"),"н/д")</x:f>
        <x:v>н/д</x:v>
      </x:c>
      <x:c r="Z963" s="21" t="str">
        <x:f>"н/д"</x:f>
        <x:v>н/д</x:v>
      </x:c>
      <x:c r="AA963" s="21" t="str">
        <x:f>"н/д"</x:f>
        <x:v>н/д</x:v>
      </x:c>
      <x:c r="AB963" s="21" t="str">
        <x:f>"н/д"</x:f>
        <x:v>н/д</x:v>
      </x:c>
      <x:c r="AC963" s="21" t="str">
        <x:f>IF(AND(J963="Рассчитано",T963&gt;0,R963&lt;100),(W963+P963+Q963)/(T963*(1-R963/100)),"н/д")</x:f>
        <x:v>н/д</x:v>
      </x:c>
      <x:c r="AD963" s="10" t="str">
        <x:f>IF(ISNUMBER(G963),IF(G963&lt;0,"Убыток",IF(G963=0,"Без прибыли","Прибыль &gt; 0")),"Не оценён")</x:f>
        <x:v>Не оценён</x:v>
      </x:c>
      <x:c r="AE963" s="13" t="str">
        <x:f>IF(J963="Рассчитано","Выручка "&amp;TEXT(V963,"0.00")&amp;" - себестоимость "&amp;TEXT(W963,"0.00")&amp;" - комиссия "&amp;TEXT(V963*R963/100,"0.00")&amp;" - доставка "&amp;TEXT(P963,"0.00")&amp;" - прочие "&amp;TEXT(Q963,"0.00")&amp;" = "&amp;TEXT(G963,"0.00")&amp;" "&amp;L963,"Введите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3" s="24" t="n">
        <x:v>1.5246138414676607</x:v>
      </x:c>
      <x:c r="AG963" s="37" t="n">
        <x:v>5</x:v>
      </x:c>
      <x:c r="AH963" s="37" t="n">
        <x:v>0</x:v>
      </x:c>
      <x:c r="AI963" s="30" t="n">
        <x:v>46266</x:v>
      </x:c>
      <x:c r="AJ963" s="37" t="n">
        <x:v>1</x:v>
      </x:c>
      <x:c r="AK963" s="10" t="str">
        <x:v>минимум</x:v>
      </x:c>
      <x:c r="AL963" s="32" t="n">
        <x:v>278.88759060545624</x:v>
      </x:c>
      <x:c r="AM9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63" s="13" t="str">
        <x:v>Проверить свободный остаток и установить цену для B2B</x:v>
      </x:c>
      <x:c r="AO963" s="13" t="str">
        <x:v>Остаток 5; прогноз 90 дней 1.52; избыток 3 шт. Будущие поступления не выставляются на продажу. Остаток на начало сентября: требуется актуализация.</x:v>
      </x:c>
      <x:c r="AP963" s="13" t="str">
        <x:v>["category_missing", "daily_stockout_data_missing", "large_orders_detected", "new_order_lead_time_unknown", "reservations_unknown", "stale_stock"]</x:v>
      </x:c>
      <x:c r="AQ963" s="10" t="str">
        <x:v>IEK:251400133_</x:v>
      </x:c>
      <x:c r="AR963" s="24" t="n">
        <x:v>1</x:v>
      </x:c>
      <x:c r="AS963" s="24" t="n">
        <x:v>0</x:v>
      </x:c>
      <x:c r="AT963" s="24" t="n">
        <x:v>0</x:v>
      </x:c>
    </x:row>
    <x:row r="964" ht="64" customHeight="1">
      <x:c r="A964" s="11" t="str">
        <x:v>IEK</x:v>
      </x:c>
      <x:c r="B964" s="33" t="str">
        <x:v>251400134_</x:v>
      </x:c>
      <x:c r="C964" s="33" t="str">
        <x:v>TI5-10-N-120-080-040-66</x:v>
      </x:c>
      <x:c r="D964" s="12" t="str">
        <x:v>ЩМП 120х80х40 IP66  TITAN 5 IEK</x:v>
      </x:c>
      <x:c r="E964" s="11" t="str">
        <x:v>шт</x:v>
      </x:c>
      <x:c r="F964" s="35" t="n">
        <x:f>MAX(0,ROUNDDOWN((AG964-AF964)/AR964+0.000000001,0)*AR964)</x:f>
        <x:v>1</x:v>
      </x:c>
      <x:c r="G964" s="20" t="str">
        <x:f>IF(J964="Рассчитано",V964*(1-R964/100)-W964-P964-Q964,"н/д")</x:f>
        <x:v>н/д</x:v>
      </x:c>
      <x:c r="H964" s="12" t="str">
        <x:v>Высокий</x:v>
      </x:c>
      <x:c r="I964" s="12" t="str">
        <x:v>Средний</x:v>
      </x:c>
      <x:c r="J964" s="12" t="str">
        <x:f>IF(L964="","Укажите валюту",IF(NOT(ISNUMBER(K964)),"Укажите объём",IF(K964&lt;=0,"Укажите объём",IF(K964&gt;F964,"Объём выше излишка",IF(COUNT(M964:O964)&lt;3,"Нужны цены",IF(COUNT(P964:R964)&lt;3,"Нужны расходы",IF(OR(M964&lt;0,N964&lt;0,O964&lt;0,O964&gt;100,P964&lt;0,Q964&lt;0,R964&lt;0,R964&gt;100),"Проверьте значения","Рассчитано")))))))</x:f>
        <x:v>Нужны цены</x:v>
      </x:c>
      <x:c r="K964" s="36" t="n">
        <x:v>1</x:v>
      </x:c>
      <x:c r="L964" s="19" t="str">
        <x:v>KZT</x:v>
      </x:c>
      <x:c r="M964" s="22"/>
      <x:c r="N964" s="22"/>
      <x:c r="O964" s="28"/>
      <x:c r="P964" s="22"/>
      <x:c r="Q964" s="22"/>
      <x:c r="R964" s="28"/>
      <x:c r="S964" s="22"/>
      <x:c r="T964" s="35" t="n">
        <x:f>K964</x:f>
        <x:v>1</x:v>
      </x:c>
      <x:c r="U964" s="20" t="str">
        <x:f>IF(J964="Рассчитано",N964*(1-O964/100),"н/д")</x:f>
        <x:v>н/д</x:v>
      </x:c>
      <x:c r="V964" s="20" t="str">
        <x:f>IF(J964="Рассчитано",T964*U964,"н/д")</x:f>
        <x:v>н/д</x:v>
      </x:c>
      <x:c r="W964" s="20" t="str">
        <x:f>IF(J964="Рассчитано",T964*M964,"н/д")</x:f>
        <x:v>н/д</x:v>
      </x:c>
      <x:c r="X964" s="20" t="str">
        <x:f>IF(J964="Рассчитано",V964-W964,"н/д")</x:f>
        <x:v>н/д</x:v>
      </x:c>
      <x:c r="Y964" s="26" t="str">
        <x:f>IF(J964="Рассчитано",IF(V964&gt;0,G964/V964,"н/д"),"н/д")</x:f>
        <x:v>н/д</x:v>
      </x:c>
      <x:c r="Z964" s="20" t="str">
        <x:f>"н/д"</x:f>
        <x:v>н/д</x:v>
      </x:c>
      <x:c r="AA964" s="20" t="str">
        <x:f>"н/д"</x:f>
        <x:v>н/д</x:v>
      </x:c>
      <x:c r="AB964" s="20" t="str">
        <x:f>"н/д"</x:f>
        <x:v>н/д</x:v>
      </x:c>
      <x:c r="AC964" s="20" t="str">
        <x:f>IF(AND(J964="Рассчитано",T964&gt;0,R964&lt;100),(W964+P964+Q964)/(T964*(1-R964/100)),"н/д")</x:f>
        <x:v>н/д</x:v>
      </x:c>
      <x:c r="AD964" s="11" t="str">
        <x:f>IF(ISNUMBER(G964),IF(G964&lt;0,"Убыток",IF(G964=0,"Без прибыли","Прибыль &gt; 0")),"Не оценён")</x:f>
        <x:v>Не оценён</x:v>
      </x:c>
      <x:c r="AE964" s="12" t="str">
        <x:f>IF(J964="Рассчитано","Выручка "&amp;TEXT(V964,"0.00")&amp;" - себестоимость "&amp;TEXT(W964,"0.00")&amp;" - комиссия "&amp;TEXT(V964*R964/100,"0.00")&amp;" - доставка "&amp;TEXT(P964,"0.00")&amp;" - прочие "&amp;TEXT(Q964,"0.00")&amp;" = "&amp;TEXT(G964,"0.00")&amp;" "&amp;L964,"Введите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4" s="23" t="n">
        <x:v>2.1084899215071022</x:v>
      </x:c>
      <x:c r="AG964" s="35" t="n">
        <x:v>4</x:v>
      </x:c>
      <x:c r="AH964" s="35" t="n">
        <x:v>0</x:v>
      </x:c>
      <x:c r="AI964" s="29" t="n">
        <x:v>46266</x:v>
      </x:c>
      <x:c r="AJ964" s="35" t="n">
        <x:v>1</x:v>
      </x:c>
      <x:c r="AK964" s="11" t="str">
        <x:v>минимум</x:v>
      </x:c>
      <x:c r="AL964" s="31" t="n">
        <x:v>161.3271665236989</x:v>
      </x:c>
      <x:c r="AM964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964" s="12" t="str">
        <x:v>Проверить свободный остаток и установить цену для B2B</x:v>
      </x:c>
      <x:c r="AO964" s="12" t="str">
        <x:v>Остаток 4; прогноз 90 дней 2.11; избыток 1 шт. Будущие поступления не выставляются на продажу. Остаток на начало сентября: требуется актуализация.</x:v>
      </x:c>
      <x:c r="AP964" s="12" t="str">
        <x:v>["category_missing", "daily_stockout_data_missing", "new_order_lead_time_unknown", "reservations_unknown", "stale_stock", "stockout_proxy_used"]</x:v>
      </x:c>
      <x:c r="AQ964" s="11" t="str">
        <x:v>IEK:251400134_</x:v>
      </x:c>
      <x:c r="AR964" s="23" t="n">
        <x:v>1</x:v>
      </x:c>
      <x:c r="AS964" s="23" t="n">
        <x:v>0</x:v>
      </x:c>
      <x:c r="AT964" s="23" t="n">
        <x:v>0</x:v>
      </x:c>
    </x:row>
    <x:row r="965" ht="64" customHeight="1">
      <x:c r="A965" s="10" t="str">
        <x:v>IEK</x:v>
      </x:c>
      <x:c r="B965" s="34" t="str">
        <x:v>251400146_</x:v>
      </x:c>
      <x:c r="C965" s="34" t="str">
        <x:v>MKM11-N-48-54-Z</x:v>
      </x:c>
      <x:c r="D965" s="13" t="str">
        <x:v>ЩРН 48 (670х330х120) IP54 TITAN 3 IEK</x:v>
      </x:c>
      <x:c r="E965" s="10" t="str">
        <x:v>шт</x:v>
      </x:c>
      <x:c r="F965" s="37" t="n">
        <x:f>MAX(0,ROUNDDOWN((AG965-AF965)/AR965+0.000000001,0)*AR965)</x:f>
        <x:v>7</x:v>
      </x:c>
      <x:c r="G965" s="21" t="str">
        <x:f>IF(J965="Рассчитано",V965*(1-R965/100)-W965-P965-Q965,"н/д")</x:f>
        <x:v>н/д</x:v>
      </x:c>
      <x:c r="H965" s="13" t="str">
        <x:v>Высокий</x:v>
      </x:c>
      <x:c r="I965" s="13" t="str">
        <x:v>Средний</x:v>
      </x:c>
      <x:c r="J965" s="13" t="str">
        <x:f>IF(L965="","Укажите валюту",IF(NOT(ISNUMBER(K965)),"Укажите объём",IF(K965&lt;=0,"Укажите объём",IF(K965&gt;F965,"Объём выше излишка",IF(COUNT(M965:O965)&lt;3,"Нужны цены",IF(COUNT(P965:R965)&lt;3,"Нужны расходы",IF(OR(M965&lt;0,N965&lt;0,O965&lt;0,O965&gt;100,P965&lt;0,Q965&lt;0,R965&lt;0,R965&gt;100),"Проверьте значения","Рассчитано")))))))</x:f>
        <x:v>Нужны цены</x:v>
      </x:c>
      <x:c r="K965" s="36" t="n">
        <x:v>7</x:v>
      </x:c>
      <x:c r="L965" s="19" t="str">
        <x:v>KZT</x:v>
      </x:c>
      <x:c r="M965" s="22"/>
      <x:c r="N965" s="22"/>
      <x:c r="O965" s="28"/>
      <x:c r="P965" s="22"/>
      <x:c r="Q965" s="22"/>
      <x:c r="R965" s="28"/>
      <x:c r="S965" s="22"/>
      <x:c r="T965" s="37" t="n">
        <x:f>K965</x:f>
        <x:v>7</x:v>
      </x:c>
      <x:c r="U965" s="21" t="str">
        <x:f>IF(J965="Рассчитано",N965*(1-O965/100),"н/д")</x:f>
        <x:v>н/д</x:v>
      </x:c>
      <x:c r="V965" s="21" t="str">
        <x:f>IF(J965="Рассчитано",T965*U965,"н/д")</x:f>
        <x:v>н/д</x:v>
      </x:c>
      <x:c r="W965" s="21" t="str">
        <x:f>IF(J965="Рассчитано",T965*M965,"н/д")</x:f>
        <x:v>н/д</x:v>
      </x:c>
      <x:c r="X965" s="21" t="str">
        <x:f>IF(J965="Рассчитано",V965-W965,"н/д")</x:f>
        <x:v>н/д</x:v>
      </x:c>
      <x:c r="Y965" s="27" t="str">
        <x:f>IF(J965="Рассчитано",IF(V965&gt;0,G965/V965,"н/д"),"н/д")</x:f>
        <x:v>н/д</x:v>
      </x:c>
      <x:c r="Z965" s="21" t="str">
        <x:f>"н/д"</x:f>
        <x:v>н/д</x:v>
      </x:c>
      <x:c r="AA965" s="21" t="str">
        <x:f>"н/д"</x:f>
        <x:v>н/д</x:v>
      </x:c>
      <x:c r="AB965" s="21" t="str">
        <x:f>"н/д"</x:f>
        <x:v>н/д</x:v>
      </x:c>
      <x:c r="AC965" s="21" t="str">
        <x:f>IF(AND(J965="Рассчитано",T965&gt;0,R965&lt;100),(W965+P965+Q965)/(T965*(1-R965/100)),"н/д")</x:f>
        <x:v>н/д</x:v>
      </x:c>
      <x:c r="AD965" s="10" t="str">
        <x:f>IF(ISNUMBER(G965),IF(G965&lt;0,"Убыток",IF(G965=0,"Без прибыли","Прибыль &gt; 0")),"Не оценён")</x:f>
        <x:v>Не оценён</x:v>
      </x:c>
      <x:c r="AE965" s="13" t="str">
        <x:f>IF(J965="Рассчитано","Выручка "&amp;TEXT(V965,"0.00")&amp;" - себестоимость "&amp;TEXT(W965,"0.00")&amp;" - комиссия "&amp;TEXT(V965*R965/100,"0.00")&amp;" - доставка "&amp;TEXT(P965,"0.00")&amp;" - прочие "&amp;TEXT(Q965,"0.00")&amp;" = "&amp;TEXT(G965,"0.00")&amp;" "&amp;L965,"Введите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5" s="24" t="n">
        <x:v>12.666407602207288</x:v>
      </x:c>
      <x:c r="AG965" s="37" t="n">
        <x:v>20</x:v>
      </x:c>
      <x:c r="AH965" s="37" t="n">
        <x:v>0</x:v>
      </x:c>
      <x:c r="AI965" s="30" t="n">
        <x:v>46266</x:v>
      </x:c>
      <x:c r="AJ965" s="37" t="n">
        <x:v>1</x:v>
      </x:c>
      <x:c r="AK965" s="10" t="str">
        <x:v>минимум</x:v>
      </x:c>
      <x:c r="AL965" s="32" t="n">
        <x:v>134.27512968287846</x:v>
      </x:c>
      <x:c r="AM965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965" s="13" t="str">
        <x:v>Проверить свободный остаток и установить цену для B2B</x:v>
      </x:c>
      <x:c r="AO965" s="13" t="str">
        <x:v>Остаток 20; прогноз 90 дней 12.67; избыток 7 шт. Будущие поступления не выставляются на продажу. Остаток на начало сентября: требуется актуализация.</x:v>
      </x:c>
      <x:c r="AP965" s="13" t="str">
        <x:v>["category_missing", "daily_stockout_data_missing", "large_orders_detected", "new_order_lead_time_unknown", "reservations_unknown", "stale_stock", "stockout_proxy_used"]</x:v>
      </x:c>
      <x:c r="AQ965" s="10" t="str">
        <x:v>IEK:251400146_</x:v>
      </x:c>
      <x:c r="AR965" s="24" t="n">
        <x:v>1</x:v>
      </x:c>
      <x:c r="AS965" s="24" t="n">
        <x:v>0</x:v>
      </x:c>
      <x:c r="AT965" s="24" t="n">
        <x:v>0</x:v>
      </x:c>
    </x:row>
    <x:row r="966" ht="64" customHeight="1">
      <x:c r="A966" s="11" t="str">
        <x:v>IEK</x:v>
      </x:c>
      <x:c r="B966" s="33" t="str">
        <x:v>251400147_</x:v>
      </x:c>
      <x:c r="C966" s="33" t="str">
        <x:v>MKM11-N-54-54-Z</x:v>
      </x:c>
      <x:c r="D966" s="12" t="str">
        <x:v>ЩРН 54 (540х440х120) IP54 TITAN 3 IEK</x:v>
      </x:c>
      <x:c r="E966" s="11" t="str">
        <x:v>шт</x:v>
      </x:c>
      <x:c r="F966" s="35" t="n">
        <x:f>MAX(0,ROUNDDOWN((AG966-AF966)/AR966+0.000000001,0)*AR966)</x:f>
        <x:v>1</x:v>
      </x:c>
      <x:c r="G966" s="20" t="str">
        <x:f>IF(J966="Рассчитано",V966*(1-R966/100)-W966-P966-Q966,"н/д")</x:f>
        <x:v>н/д</x:v>
      </x:c>
      <x:c r="H966" s="12" t="str">
        <x:v>Высокий</x:v>
      </x:c>
      <x:c r="I966" s="12" t="str">
        <x:v>Средний</x:v>
      </x:c>
      <x:c r="J966" s="12" t="str">
        <x:f>IF(L966="","Укажите валюту",IF(NOT(ISNUMBER(K966)),"Укажите объём",IF(K966&lt;=0,"Укажите объём",IF(K966&gt;F966,"Объём выше излишка",IF(COUNT(M966:O966)&lt;3,"Нужны цены",IF(COUNT(P966:R966)&lt;3,"Нужны расходы",IF(OR(M966&lt;0,N966&lt;0,O966&lt;0,O966&gt;100,P966&lt;0,Q966&lt;0,R966&lt;0,R966&gt;100),"Проверьте значения","Рассчитано")))))))</x:f>
        <x:v>Нужны цены</x:v>
      </x:c>
      <x:c r="K966" s="36" t="n">
        <x:v>1</x:v>
      </x:c>
      <x:c r="L966" s="19" t="str">
        <x:v>KZT</x:v>
      </x:c>
      <x:c r="M966" s="22"/>
      <x:c r="N966" s="22"/>
      <x:c r="O966" s="28"/>
      <x:c r="P966" s="22"/>
      <x:c r="Q966" s="22"/>
      <x:c r="R966" s="28"/>
      <x:c r="S966" s="22"/>
      <x:c r="T966" s="35" t="n">
        <x:f>K966</x:f>
        <x:v>1</x:v>
      </x:c>
      <x:c r="U966" s="20" t="str">
        <x:f>IF(J966="Рассчитано",N966*(1-O966/100),"н/д")</x:f>
        <x:v>н/д</x:v>
      </x:c>
      <x:c r="V966" s="20" t="str">
        <x:f>IF(J966="Рассчитано",T966*U966,"н/д")</x:f>
        <x:v>н/д</x:v>
      </x:c>
      <x:c r="W966" s="20" t="str">
        <x:f>IF(J966="Рассчитано",T966*M966,"н/д")</x:f>
        <x:v>н/д</x:v>
      </x:c>
      <x:c r="X966" s="20" t="str">
        <x:f>IF(J966="Рассчитано",V966-W966,"н/д")</x:f>
        <x:v>н/д</x:v>
      </x:c>
      <x:c r="Y966" s="26" t="str">
        <x:f>IF(J966="Рассчитано",IF(V966&gt;0,G966/V966,"н/д"),"н/д")</x:f>
        <x:v>н/д</x:v>
      </x:c>
      <x:c r="Z966" s="20" t="str">
        <x:f>"н/д"</x:f>
        <x:v>н/д</x:v>
      </x:c>
      <x:c r="AA966" s="20" t="str">
        <x:f>"н/д"</x:f>
        <x:v>н/д</x:v>
      </x:c>
      <x:c r="AB966" s="20" t="str">
        <x:f>"н/д"</x:f>
        <x:v>н/д</x:v>
      </x:c>
      <x:c r="AC966" s="20" t="str">
        <x:f>IF(AND(J966="Рассчитано",T966&gt;0,R966&lt;100),(W966+P966+Q966)/(T966*(1-R966/100)),"н/д")</x:f>
        <x:v>н/д</x:v>
      </x:c>
      <x:c r="AD966" s="11" t="str">
        <x:f>IF(ISNUMBER(G966),IF(G966&lt;0,"Убыток",IF(G966=0,"Без прибыли","Прибыль &gt; 0")),"Не оценён")</x:f>
        <x:v>Не оценён</x:v>
      </x:c>
      <x:c r="AE966" s="12" t="str">
        <x:f>IF(J966="Рассчитано","Выручка "&amp;TEXT(V966,"0.00")&amp;" - себестоимость "&amp;TEXT(W966,"0.00")&amp;" - комиссия "&amp;TEXT(V966*R966/100,"0.00")&amp;" - доставка "&amp;TEXT(P966,"0.00")&amp;" - прочие "&amp;TEXT(Q966,"0.00")&amp;" = "&amp;TEXT(G966,"0.00")&amp;" "&amp;L966,"Введите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6" s="23" t="n">
        <x:v>3.347808518435127</x:v>
      </x:c>
      <x:c r="AG966" s="35" t="n">
        <x:v>5</x:v>
      </x:c>
      <x:c r="AH966" s="35" t="n">
        <x:v>0</x:v>
      </x:c>
      <x:c r="AI966" s="29" t="n">
        <x:v>46266</x:v>
      </x:c>
      <x:c r="AJ966" s="35" t="n">
        <x:v>1</x:v>
      </x:c>
      <x:c r="AK966" s="11" t="str">
        <x:v>минимум</x:v>
      </x:c>
      <x:c r="AL966" s="31" t="n">
        <x:v>127.0072283134628</x:v>
      </x:c>
      <x:c r="AM966" s="12" t="str">
        <x:v>Остаток на начало сентября; Резервы неизвестны; Нет ежедневных данных доступности. Запас выше прогноза на 90 дней</x:v>
      </x:c>
      <x:c r="AN966" s="12" t="str">
        <x:v>Проверить свободный остаток и установить цену для B2B</x:v>
      </x:c>
      <x:c r="AO966" s="12" t="str">
        <x:v>Остаток 5; прогноз 90 дней 3.35; избыток 1 шт. Будущие поступления не выставляются на продажу. Остаток на начало сентября: требуется актуализация.</x:v>
      </x:c>
      <x:c r="AP966" s="12" t="str">
        <x:v>["category_missing", "daily_stockout_data_missing", "new_order_lead_time_unknown", "reservations_unknown", "stale_stock"]</x:v>
      </x:c>
      <x:c r="AQ966" s="11" t="str">
        <x:v>IEK:251400147_</x:v>
      </x:c>
      <x:c r="AR966" s="23" t="n">
        <x:v>1</x:v>
      </x:c>
      <x:c r="AS966" s="23" t="n">
        <x:v>0</x:v>
      </x:c>
      <x:c r="AT966" s="23" t="n">
        <x:v>0</x:v>
      </x:c>
    </x:row>
    <x:row r="967" ht="64" customHeight="1">
      <x:c r="A967" s="10" t="str">
        <x:v>IEK</x:v>
      </x:c>
      <x:c r="B967" s="34" t="str">
        <x:v>270200058_</x:v>
      </x:c>
      <x:c r="C967" s="34" t="str">
        <x:v>DPP30-200</x:v>
      </x:c>
      <x:c r="D967" s="13" t="str">
        <x:v>Предохранитель ППНИ-35  (200А) габарит 1 IEK (3/48) !!!</x:v>
      </x:c>
      <x:c r="E967" s="10" t="str">
        <x:v>шт</x:v>
      </x:c>
      <x:c r="F967" s="37" t="n">
        <x:f>MAX(0,ROUNDDOWN((AG967-AF967)/AR967+0.000000001,0)*AR967)</x:f>
        <x:v>3</x:v>
      </x:c>
      <x:c r="G967" s="21" t="str">
        <x:f>IF(J967="Рассчитано",V967*(1-R967/100)-W967-P967-Q967,"н/д")</x:f>
        <x:v>н/д</x:v>
      </x:c>
      <x:c r="H967" s="13" t="str">
        <x:v>Высокий</x:v>
      </x:c>
      <x:c r="I967" s="13" t="str">
        <x:v>Высокий</x:v>
      </x:c>
      <x:c r="J967" s="13" t="str">
        <x:f>IF(L967="","Укажите валюту",IF(NOT(ISNUMBER(K967)),"Укажите объём",IF(K967&lt;=0,"Укажите объём",IF(K967&gt;F967,"Объём выше излишка",IF(COUNT(M967:O967)&lt;3,"Нужны цены",IF(COUNT(P967:R967)&lt;3,"Нужны расходы",IF(OR(M967&lt;0,N967&lt;0,O967&lt;0,O967&gt;100,P967&lt;0,Q967&lt;0,R967&lt;0,R967&gt;100),"Проверьте значения","Рассчитано")))))))</x:f>
        <x:v>Нужны цены</x:v>
      </x:c>
      <x:c r="K967" s="36" t="n">
        <x:v>3</x:v>
      </x:c>
      <x:c r="L967" s="19" t="str">
        <x:v>KZT</x:v>
      </x:c>
      <x:c r="M967" s="22"/>
      <x:c r="N967" s="22"/>
      <x:c r="O967" s="28"/>
      <x:c r="P967" s="22"/>
      <x:c r="Q967" s="22"/>
      <x:c r="R967" s="28"/>
      <x:c r="S967" s="22"/>
      <x:c r="T967" s="37" t="n">
        <x:f>K967</x:f>
        <x:v>3</x:v>
      </x:c>
      <x:c r="U967" s="21" t="str">
        <x:f>IF(J967="Рассчитано",N967*(1-O967/100),"н/д")</x:f>
        <x:v>н/д</x:v>
      </x:c>
      <x:c r="V967" s="21" t="str">
        <x:f>IF(J967="Рассчитано",T967*U967,"н/д")</x:f>
        <x:v>н/д</x:v>
      </x:c>
      <x:c r="W967" s="21" t="str">
        <x:f>IF(J967="Рассчитано",T967*M967,"н/д")</x:f>
        <x:v>н/д</x:v>
      </x:c>
      <x:c r="X967" s="21" t="str">
        <x:f>IF(J967="Рассчитано",V967-W967,"н/д")</x:f>
        <x:v>н/д</x:v>
      </x:c>
      <x:c r="Y967" s="27" t="str">
        <x:f>IF(J967="Рассчитано",IF(V967&gt;0,G967/V967,"н/д"),"н/д")</x:f>
        <x:v>н/д</x:v>
      </x:c>
      <x:c r="Z967" s="21" t="str">
        <x:f>"н/д"</x:f>
        <x:v>н/д</x:v>
      </x:c>
      <x:c r="AA967" s="21" t="str">
        <x:f>"н/д"</x:f>
        <x:v>н/д</x:v>
      </x:c>
      <x:c r="AB967" s="21" t="str">
        <x:f>"н/д"</x:f>
        <x:v>н/д</x:v>
      </x:c>
      <x:c r="AC967" s="21" t="str">
        <x:f>IF(AND(J967="Рассчитано",T967&gt;0,R967&lt;100),(W967+P967+Q967)/(T967*(1-R967/100)),"н/д")</x:f>
        <x:v>н/д</x:v>
      </x:c>
      <x:c r="AD967" s="10" t="str">
        <x:f>IF(ISNUMBER(G967),IF(G967&lt;0,"Убыток",IF(G967=0,"Без прибыли","Прибыль &gt; 0")),"Не оценён")</x:f>
        <x:v>Не оценён</x:v>
      </x:c>
      <x:c r="AE967" s="13" t="str">
        <x:f>IF(J967="Рассчитано","Выручка "&amp;TEXT(V967,"0.00")&amp;" - себестоимость "&amp;TEXT(W967,"0.00")&amp;" - комиссия "&amp;TEXT(V967*R967/100,"0.00")&amp;" - доставка "&amp;TEXT(P967,"0.00")&amp;" - прочие "&amp;TEXT(Q967,"0.00")&amp;" = "&amp;TEXT(G967,"0.00")&amp;" "&amp;L967,"Введите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7" s="24" t="n">
        <x:v>0</x:v>
      </x:c>
      <x:c r="AG967" s="37" t="n">
        <x:v>3</x:v>
      </x:c>
      <x:c r="AH967" s="37" t="n">
        <x:v>0</x:v>
      </x:c>
      <x:c r="AI967" s="30" t="n">
        <x:v>46266</x:v>
      </x:c>
      <x:c r="AJ967" s="37"/>
      <x:c r="AK967" s="10" t="str">
        <x:v>неизвестно</x:v>
      </x:c>
      <x:c r="AL967" s="32" t="str">
        <x:v>н/д</x:v>
      </x:c>
      <x:c r="AM96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67" s="13" t="str">
        <x:v>Проверить свободный остаток и установить цену для B2B</x:v>
      </x:c>
      <x:c r="AO967" s="13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967" s="13" t="str">
        <x:v>["category_missing", "daily_stockout_data_missing", "moq_missing", "new_order_lead_time_unknown", "reservations_unknown", "stale_stock"]</x:v>
      </x:c>
      <x:c r="AQ967" s="10" t="str">
        <x:v>IEK:270200058_</x:v>
      </x:c>
      <x:c r="AR967" s="24" t="n">
        <x:v>1</x:v>
      </x:c>
      <x:c r="AS967" s="24" t="n">
        <x:v>0</x:v>
      </x:c>
      <x:c r="AT967" s="24" t="n">
        <x:v>0</x:v>
      </x:c>
    </x:row>
    <x:row r="968" ht="64" customHeight="1">
      <x:c r="A968" s="11" t="str">
        <x:v>IEK</x:v>
      </x:c>
      <x:c r="B968" s="33" t="str">
        <x:v>270200059_</x:v>
      </x:c>
      <x:c r="C968" s="33"/>
      <x:c r="D968" s="12" t="str">
        <x:v>Предохранитель ППНИ-37  (400А) габарит 2 IEK (1/24) !!!</x:v>
      </x:c>
      <x:c r="E968" s="11" t="str">
        <x:v>шт</x:v>
      </x:c>
      <x:c r="F968" s="35" t="n">
        <x:f>MAX(0,ROUNDDOWN((AG968-AF968)/AR968+0.000000001,0)*AR968)</x:f>
        <x:v>12</x:v>
      </x:c>
      <x:c r="G968" s="20" t="str">
        <x:f>IF(J968="Рассчитано",V968*(1-R968/100)-W968-P968-Q968,"н/д")</x:f>
        <x:v>н/д</x:v>
      </x:c>
      <x:c r="H968" s="12" t="str">
        <x:v>Высокий</x:v>
      </x:c>
      <x:c r="I968" s="12" t="str">
        <x:v>Высокий</x:v>
      </x:c>
      <x:c r="J968" s="12" t="str">
        <x:f>IF(L968="","Укажите валюту",IF(NOT(ISNUMBER(K968)),"Укажите объём",IF(K968&lt;=0,"Укажите объём",IF(K968&gt;F968,"Объём выше излишка",IF(COUNT(M968:O968)&lt;3,"Нужны цены",IF(COUNT(P968:R968)&lt;3,"Нужны расходы",IF(OR(M968&lt;0,N968&lt;0,O968&lt;0,O968&gt;100,P968&lt;0,Q968&lt;0,R968&lt;0,R968&gt;100),"Проверьте значения","Рассчитано")))))))</x:f>
        <x:v>Нужны цены</x:v>
      </x:c>
      <x:c r="K968" s="36" t="n">
        <x:v>12</x:v>
      </x:c>
      <x:c r="L968" s="19" t="str">
        <x:v>KZT</x:v>
      </x:c>
      <x:c r="M968" s="22"/>
      <x:c r="N968" s="22"/>
      <x:c r="O968" s="28"/>
      <x:c r="P968" s="22"/>
      <x:c r="Q968" s="22"/>
      <x:c r="R968" s="28"/>
      <x:c r="S968" s="22"/>
      <x:c r="T968" s="35" t="n">
        <x:f>K968</x:f>
        <x:v>12</x:v>
      </x:c>
      <x:c r="U968" s="20" t="str">
        <x:f>IF(J968="Рассчитано",N968*(1-O968/100),"н/д")</x:f>
        <x:v>н/д</x:v>
      </x:c>
      <x:c r="V968" s="20" t="str">
        <x:f>IF(J968="Рассчитано",T968*U968,"н/д")</x:f>
        <x:v>н/д</x:v>
      </x:c>
      <x:c r="W968" s="20" t="str">
        <x:f>IF(J968="Рассчитано",T968*M968,"н/д")</x:f>
        <x:v>н/д</x:v>
      </x:c>
      <x:c r="X968" s="20" t="str">
        <x:f>IF(J968="Рассчитано",V968-W968,"н/д")</x:f>
        <x:v>н/д</x:v>
      </x:c>
      <x:c r="Y968" s="26" t="str">
        <x:f>IF(J968="Рассчитано",IF(V968&gt;0,G968/V968,"н/д"),"н/д")</x:f>
        <x:v>н/д</x:v>
      </x:c>
      <x:c r="Z968" s="20" t="str">
        <x:f>"н/д"</x:f>
        <x:v>н/д</x:v>
      </x:c>
      <x:c r="AA968" s="20" t="str">
        <x:f>"н/д"</x:f>
        <x:v>н/д</x:v>
      </x:c>
      <x:c r="AB968" s="20" t="str">
        <x:f>"н/д"</x:f>
        <x:v>н/д</x:v>
      </x:c>
      <x:c r="AC968" s="20" t="str">
        <x:f>IF(AND(J968="Рассчитано",T968&gt;0,R968&lt;100),(W968+P968+Q968)/(T968*(1-R968/100)),"н/д")</x:f>
        <x:v>н/д</x:v>
      </x:c>
      <x:c r="AD968" s="11" t="str">
        <x:f>IF(ISNUMBER(G968),IF(G968&lt;0,"Убыток",IF(G968=0,"Без прибыли","Прибыль &gt; 0")),"Не оценён")</x:f>
        <x:v>Не оценён</x:v>
      </x:c>
      <x:c r="AE968" s="12" t="str">
        <x:f>IF(J968="Рассчитано","Выручка "&amp;TEXT(V968,"0.00")&amp;" - себестоимость "&amp;TEXT(W968,"0.00")&amp;" - комиссия "&amp;TEXT(V968*R968/100,"0.00")&amp;" - доставка "&amp;TEXT(P968,"0.00")&amp;" - прочие "&amp;TEXT(Q968,"0.00")&amp;" = "&amp;TEXT(G968,"0.00")&amp;" "&amp;L968,"Введите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8" s="23" t="n">
        <x:v>0</x:v>
      </x:c>
      <x:c r="AG968" s="35" t="n">
        <x:v>12</x:v>
      </x:c>
      <x:c r="AH968" s="35" t="n">
        <x:v>0</x:v>
      </x:c>
      <x:c r="AI968" s="29" t="n">
        <x:v>46266</x:v>
      </x:c>
      <x:c r="AJ968" s="35"/>
      <x:c r="AK968" s="11" t="str">
        <x:v>неизвестно</x:v>
      </x:c>
      <x:c r="AL968" s="31" t="str">
        <x:v>н/д</x:v>
      </x:c>
      <x:c r="AM968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968" s="12" t="str">
        <x:v>Проверить свободный остаток и установить цену для B2B</x:v>
      </x:c>
      <x:c r="AO968" s="12" t="str">
        <x:v>Остаток 12; прогноз 90 дней 0.00; избыток 12 шт. Будущие поступления не выставляются на продажу. Остаток на начало сентября: требуется актуализация.</x:v>
      </x:c>
      <x:c r="AP968" s="12" t="str">
        <x:v>["category_missing", "daily_stockout_data_missing", "moq_missing", "new_order_lead_time_unknown", "reservations_unknown", "stale_stock", "supplier_sku_missing"]</x:v>
      </x:c>
      <x:c r="AQ968" s="11" t="str">
        <x:v>IEK:270200059_</x:v>
      </x:c>
      <x:c r="AR968" s="23" t="n">
        <x:v>1</x:v>
      </x:c>
      <x:c r="AS968" s="23" t="n">
        <x:v>0</x:v>
      </x:c>
      <x:c r="AT968" s="23" t="n">
        <x:v>0</x:v>
      </x:c>
    </x:row>
    <x:row r="969" ht="64" customHeight="1">
      <x:c r="A969" s="10" t="str">
        <x:v>IEK</x:v>
      </x:c>
      <x:c r="B969" s="34" t="str">
        <x:v>270200063_</x:v>
      </x:c>
      <x:c r="C969" s="34"/>
      <x:c r="D969" s="13" t="str">
        <x:v>Предохранитель ППНИ-35  (250А) габарит 1 IEK (3/48)</x:v>
      </x:c>
      <x:c r="E969" s="10" t="str">
        <x:v>шт</x:v>
      </x:c>
      <x:c r="F969" s="37" t="n">
        <x:f>MAX(0,ROUNDDOWN((AG969-AF969)/AR969+0.000000001,0)*AR969)</x:f>
        <x:v>4</x:v>
      </x:c>
      <x:c r="G969" s="21" t="str">
        <x:f>IF(J969="Рассчитано",V969*(1-R969/100)-W969-P969-Q969,"н/д")</x:f>
        <x:v>н/д</x:v>
      </x:c>
      <x:c r="H969" s="13" t="str">
        <x:v>Высокий</x:v>
      </x:c>
      <x:c r="I969" s="13" t="str">
        <x:v>Средний</x:v>
      </x:c>
      <x:c r="J969" s="13" t="str">
        <x:f>IF(L969="","Укажите валюту",IF(NOT(ISNUMBER(K969)),"Укажите объём",IF(K969&lt;=0,"Укажите объём",IF(K969&gt;F969,"Объём выше излишка",IF(COUNT(M969:O969)&lt;3,"Нужны цены",IF(COUNT(P969:R969)&lt;3,"Нужны расходы",IF(OR(M969&lt;0,N969&lt;0,O969&lt;0,O969&gt;100,P969&lt;0,Q969&lt;0,R969&lt;0,R969&gt;100),"Проверьте значения","Рассчитано")))))))</x:f>
        <x:v>Нужны цены</x:v>
      </x:c>
      <x:c r="K969" s="36" t="n">
        <x:v>4</x:v>
      </x:c>
      <x:c r="L969" s="19" t="str">
        <x:v>KZT</x:v>
      </x:c>
      <x:c r="M969" s="22"/>
      <x:c r="N969" s="22"/>
      <x:c r="O969" s="28"/>
      <x:c r="P969" s="22"/>
      <x:c r="Q969" s="22"/>
      <x:c r="R969" s="28"/>
      <x:c r="S969" s="22"/>
      <x:c r="T969" s="37" t="n">
        <x:f>K969</x:f>
        <x:v>4</x:v>
      </x:c>
      <x:c r="U969" s="21" t="str">
        <x:f>IF(J969="Рассчитано",N969*(1-O969/100),"н/д")</x:f>
        <x:v>н/д</x:v>
      </x:c>
      <x:c r="V969" s="21" t="str">
        <x:f>IF(J969="Рассчитано",T969*U969,"н/д")</x:f>
        <x:v>н/д</x:v>
      </x:c>
      <x:c r="W969" s="21" t="str">
        <x:f>IF(J969="Рассчитано",T969*M969,"н/д")</x:f>
        <x:v>н/д</x:v>
      </x:c>
      <x:c r="X969" s="21" t="str">
        <x:f>IF(J969="Рассчитано",V969-W969,"н/д")</x:f>
        <x:v>н/д</x:v>
      </x:c>
      <x:c r="Y969" s="27" t="str">
        <x:f>IF(J969="Рассчитано",IF(V969&gt;0,G969/V969,"н/д"),"н/д")</x:f>
        <x:v>н/д</x:v>
      </x:c>
      <x:c r="Z969" s="21" t="str">
        <x:f>"н/д"</x:f>
        <x:v>н/д</x:v>
      </x:c>
      <x:c r="AA969" s="21" t="str">
        <x:f>"н/д"</x:f>
        <x:v>н/д</x:v>
      </x:c>
      <x:c r="AB969" s="21" t="str">
        <x:f>"н/д"</x:f>
        <x:v>н/д</x:v>
      </x:c>
      <x:c r="AC969" s="21" t="str">
        <x:f>IF(AND(J969="Рассчитано",T969&gt;0,R969&lt;100),(W969+P969+Q969)/(T969*(1-R969/100)),"н/д")</x:f>
        <x:v>н/д</x:v>
      </x:c>
      <x:c r="AD969" s="10" t="str">
        <x:f>IF(ISNUMBER(G969),IF(G969&lt;0,"Убыток",IF(G969=0,"Без прибыли","Прибыль &gt; 0")),"Не оценён")</x:f>
        <x:v>Не оценён</x:v>
      </x:c>
      <x:c r="AE969" s="13" t="str">
        <x:f>IF(J969="Рассчитано","Выручка "&amp;TEXT(V969,"0.00")&amp;" - себестоимость "&amp;TEXT(W969,"0.00")&amp;" - комиссия "&amp;TEXT(V969*R969/100,"0.00")&amp;" - доставка "&amp;TEXT(P969,"0.00")&amp;" - прочие "&amp;TEXT(Q969,"0.00")&amp;" = "&amp;TEXT(G969,"0.00")&amp;" "&amp;L969,"Введите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9" s="24" t="n">
        <x:v>6.7887481722390595</x:v>
      </x:c>
      <x:c r="AG969" s="37" t="n">
        <x:v>11</x:v>
      </x:c>
      <x:c r="AH969" s="37" t="n">
        <x:v>0</x:v>
      </x:c>
      <x:c r="AI969" s="30" t="n">
        <x:v>46266</x:v>
      </x:c>
      <x:c r="AJ969" s="37"/>
      <x:c r="AK969" s="10" t="str">
        <x:v>неизвестно</x:v>
      </x:c>
      <x:c r="AL969" s="32" t="n">
        <x:v>137.7913739231982</x:v>
      </x:c>
      <x:c r="AM969" s="13" t="str">
        <x:v>Остаток на начало сентября; Резервы неизвестны; Нет артикула производителя; Нет ежедневных данных доступности. Запас выше прогноза на 90 дней</x:v>
      </x:c>
      <x:c r="AN969" s="13" t="str">
        <x:v>Проверить свободный остаток и установить цену для B2B</x:v>
      </x:c>
      <x:c r="AO969" s="13" t="str">
        <x:v>Остаток 11; прогноз 90 дней 6.79; избыток 4 шт. Будущие поступления не выставляются на продажу. Остаток на начало сентября: требуется актуализация.</x:v>
      </x:c>
      <x:c r="AP969" s="13" t="str">
        <x:v>["category_missing", "daily_stockout_data_missing", "moq_missing", "new_order_lead_time_unknown", "reservations_unknown", "stale_stock", "supplier_sku_missing"]</x:v>
      </x:c>
      <x:c r="AQ969" s="10" t="str">
        <x:v>IEK:270200063_</x:v>
      </x:c>
      <x:c r="AR969" s="24" t="n">
        <x:v>1</x:v>
      </x:c>
      <x:c r="AS969" s="24" t="n">
        <x:v>0</x:v>
      </x:c>
      <x:c r="AT969" s="24" t="n">
        <x:v>0</x:v>
      </x:c>
    </x:row>
    <x:row r="970" ht="64" customHeight="1">
      <x:c r="A970" s="11" t="str">
        <x:v>IEK</x:v>
      </x:c>
      <x:c r="B970" s="33" t="str">
        <x:v>270200129_</x:v>
      </x:c>
      <x:c r="C970" s="33"/>
      <x:c r="D970" s="12" t="str">
        <x:v>Предохранитель ППНИ-33   (25А) габарит 00 IEK (3/90) !!!</x:v>
      </x:c>
      <x:c r="E970" s="11" t="str">
        <x:v>шт</x:v>
      </x:c>
      <x:c r="F970" s="35" t="n">
        <x:f>MAX(0,ROUNDDOWN((AG970-AF970)/AR970+0.000000001,0)*AR970)</x:f>
        <x:v>46</x:v>
      </x:c>
      <x:c r="G970" s="20" t="str">
        <x:f>IF(J970="Рассчитано",V970*(1-R970/100)-W970-P970-Q970,"н/д")</x:f>
        <x:v>н/д</x:v>
      </x:c>
      <x:c r="H970" s="12" t="str">
        <x:v>Высокий</x:v>
      </x:c>
      <x:c r="I970" s="12" t="str">
        <x:v>Высокий</x:v>
      </x:c>
      <x:c r="J970" s="12" t="str">
        <x:f>IF(L970="","Укажите валюту",IF(NOT(ISNUMBER(K970)),"Укажите объём",IF(K970&lt;=0,"Укажите объём",IF(K970&gt;F970,"Объём выше излишка",IF(COUNT(M970:O970)&lt;3,"Нужны цены",IF(COUNT(P970:R970)&lt;3,"Нужны расходы",IF(OR(M970&lt;0,N970&lt;0,O970&lt;0,O970&gt;100,P970&lt;0,Q970&lt;0,R970&lt;0,R970&gt;100),"Проверьте значения","Рассчитано")))))))</x:f>
        <x:v>Нужны цены</x:v>
      </x:c>
      <x:c r="K970" s="36" t="n">
        <x:v>46</x:v>
      </x:c>
      <x:c r="L970" s="19" t="str">
        <x:v>KZT</x:v>
      </x:c>
      <x:c r="M970" s="22"/>
      <x:c r="N970" s="22"/>
      <x:c r="O970" s="28"/>
      <x:c r="P970" s="22"/>
      <x:c r="Q970" s="22"/>
      <x:c r="R970" s="28"/>
      <x:c r="S970" s="22"/>
      <x:c r="T970" s="35" t="n">
        <x:f>K970</x:f>
        <x:v>46</x:v>
      </x:c>
      <x:c r="U970" s="20" t="str">
        <x:f>IF(J970="Рассчитано",N970*(1-O970/100),"н/д")</x:f>
        <x:v>н/д</x:v>
      </x:c>
      <x:c r="V970" s="20" t="str">
        <x:f>IF(J970="Рассчитано",T970*U970,"н/д")</x:f>
        <x:v>н/д</x:v>
      </x:c>
      <x:c r="W970" s="20" t="str">
        <x:f>IF(J970="Рассчитано",T970*M970,"н/д")</x:f>
        <x:v>н/д</x:v>
      </x:c>
      <x:c r="X970" s="20" t="str">
        <x:f>IF(J970="Рассчитано",V970-W970,"н/д")</x:f>
        <x:v>н/д</x:v>
      </x:c>
      <x:c r="Y970" s="26" t="str">
        <x:f>IF(J970="Рассчитано",IF(V970&gt;0,G970/V970,"н/д"),"н/д")</x:f>
        <x:v>н/д</x:v>
      </x:c>
      <x:c r="Z970" s="20" t="str">
        <x:f>"н/д"</x:f>
        <x:v>н/д</x:v>
      </x:c>
      <x:c r="AA970" s="20" t="str">
        <x:f>"н/д"</x:f>
        <x:v>н/д</x:v>
      </x:c>
      <x:c r="AB970" s="20" t="str">
        <x:f>"н/д"</x:f>
        <x:v>н/д</x:v>
      </x:c>
      <x:c r="AC970" s="20" t="str">
        <x:f>IF(AND(J970="Рассчитано",T970&gt;0,R970&lt;100),(W970+P970+Q970)/(T970*(1-R970/100)),"н/д")</x:f>
        <x:v>н/д</x:v>
      </x:c>
      <x:c r="AD970" s="11" t="str">
        <x:f>IF(ISNUMBER(G970),IF(G970&lt;0,"Убыток",IF(G970=0,"Без прибыли","Прибыль &gt; 0")),"Не оценён")</x:f>
        <x:v>Не оценён</x:v>
      </x:c>
      <x:c r="AE970" s="12" t="str">
        <x:f>IF(J970="Рассчитано","Выручка "&amp;TEXT(V970,"0.00")&amp;" - себестоимость "&amp;TEXT(W970,"0.00")&amp;" - комиссия "&amp;TEXT(V970*R970/100,"0.00")&amp;" - доставка "&amp;TEXT(P970,"0.00")&amp;" - прочие "&amp;TEXT(Q970,"0.00")&amp;" = "&amp;TEXT(G970,"0.00")&amp;" "&amp;L970,"Введите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0" s="23" t="n">
        <x:v>0.228628646455828</x:v>
      </x:c>
      <x:c r="AG970" s="35" t="n">
        <x:v>47</x:v>
      </x:c>
      <x:c r="AH970" s="35" t="n">
        <x:v>0</x:v>
      </x:c>
      <x:c r="AI970" s="29" t="n">
        <x:v>46266</x:v>
      </x:c>
      <x:c r="AJ970" s="35"/>
      <x:c r="AK970" s="11" t="str">
        <x:v>неизвестно</x:v>
      </x:c>
      <x:c r="AL970" s="31" t="n">
        <x:v>17481.80441057842</x:v>
      </x:c>
      <x:c r="AM97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970" s="12" t="str">
        <x:v>Проверить свободный остаток и установить цену для B2B</x:v>
      </x:c>
      <x:c r="AO970" s="12" t="str">
        <x:v>Остаток 47; прогноз 90 дней 0.23; избыток 46 шт. Будущие поступления не выставляются на продажу. Остаток на начало сентября: требуется актуализация.</x:v>
      </x:c>
      <x:c r="AP970" s="12" t="str">
        <x:v>["category_missing", "daily_stockout_data_missing", "moq_missing", "new_order_lead_time_unknown", "reservations_unknown", "stale_stock", "supplier_sku_missing"]</x:v>
      </x:c>
      <x:c r="AQ970" s="11" t="str">
        <x:v>IEK:270200129_</x:v>
      </x:c>
      <x:c r="AR970" s="23" t="n">
        <x:v>1</x:v>
      </x:c>
      <x:c r="AS970" s="23" t="n">
        <x:v>0</x:v>
      </x:c>
      <x:c r="AT970" s="23" t="n">
        <x:v>0</x:v>
      </x:c>
    </x:row>
    <x:row r="971" ht="64" customHeight="1">
      <x:c r="A971" s="10" t="str">
        <x:v>IEK</x:v>
      </x:c>
      <x:c r="B971" s="34" t="str">
        <x:v>270200142_</x:v>
      </x:c>
      <x:c r="C971" s="34"/>
      <x:c r="D971" s="13" t="str">
        <x:v>Предохранитель ППНИ-33   (80А) габарит 00 IEK (3/90) !!!</x:v>
      </x:c>
      <x:c r="E971" s="10" t="str">
        <x:v>шт</x:v>
      </x:c>
      <x:c r="F971" s="37" t="n">
        <x:f>MAX(0,ROUNDDOWN((AG971-AF971)/AR971+0.000000001,0)*AR971)</x:f>
        <x:v>4</x:v>
      </x:c>
      <x:c r="G971" s="21" t="str">
        <x:f>IF(J971="Рассчитано",V971*(1-R971/100)-W971-P971-Q971,"н/д")</x:f>
        <x:v>н/д</x:v>
      </x:c>
      <x:c r="H971" s="13" t="str">
        <x:v>Высокий</x:v>
      </x:c>
      <x:c r="I971" s="13" t="str">
        <x:v>Высокий</x:v>
      </x:c>
      <x:c r="J971" s="13" t="str">
        <x:f>IF(L971="","Укажите валюту",IF(NOT(ISNUMBER(K971)),"Укажите объём",IF(K971&lt;=0,"Укажите объём",IF(K971&gt;F971,"Объём выше излишка",IF(COUNT(M971:O971)&lt;3,"Нужны цены",IF(COUNT(P971:R971)&lt;3,"Нужны расходы",IF(OR(M971&lt;0,N971&lt;0,O971&lt;0,O971&gt;100,P971&lt;0,Q971&lt;0,R971&lt;0,R971&gt;100),"Проверьте значения","Рассчитано")))))))</x:f>
        <x:v>Нужны цены</x:v>
      </x:c>
      <x:c r="K971" s="36" t="n">
        <x:v>4</x:v>
      </x:c>
      <x:c r="L971" s="19" t="str">
        <x:v>KZT</x:v>
      </x:c>
      <x:c r="M971" s="22"/>
      <x:c r="N971" s="22"/>
      <x:c r="O971" s="28"/>
      <x:c r="P971" s="22"/>
      <x:c r="Q971" s="22"/>
      <x:c r="R971" s="28"/>
      <x:c r="S971" s="22"/>
      <x:c r="T971" s="37" t="n">
        <x:f>K971</x:f>
        <x:v>4</x:v>
      </x:c>
      <x:c r="U971" s="21" t="str">
        <x:f>IF(J971="Рассчитано",N971*(1-O971/100),"н/д")</x:f>
        <x:v>н/д</x:v>
      </x:c>
      <x:c r="V971" s="21" t="str">
        <x:f>IF(J971="Рассчитано",T971*U971,"н/д")</x:f>
        <x:v>н/д</x:v>
      </x:c>
      <x:c r="W971" s="21" t="str">
        <x:f>IF(J971="Рассчитано",T971*M971,"н/д")</x:f>
        <x:v>н/д</x:v>
      </x:c>
      <x:c r="X971" s="21" t="str">
        <x:f>IF(J971="Рассчитано",V971-W971,"н/д")</x:f>
        <x:v>н/д</x:v>
      </x:c>
      <x:c r="Y971" s="27" t="str">
        <x:f>IF(J971="Рассчитано",IF(V971&gt;0,G971/V971,"н/д"),"н/д")</x:f>
        <x:v>н/д</x:v>
      </x:c>
      <x:c r="Z971" s="21" t="str">
        <x:f>"н/д"</x:f>
        <x:v>н/д</x:v>
      </x:c>
      <x:c r="AA971" s="21" t="str">
        <x:f>"н/д"</x:f>
        <x:v>н/д</x:v>
      </x:c>
      <x:c r="AB971" s="21" t="str">
        <x:f>"н/д"</x:f>
        <x:v>н/д</x:v>
      </x:c>
      <x:c r="AC971" s="21" t="str">
        <x:f>IF(AND(J971="Рассчитано",T971&gt;0,R971&lt;100),(W971+P971+Q971)/(T971*(1-R971/100)),"н/д")</x:f>
        <x:v>н/д</x:v>
      </x:c>
      <x:c r="AD971" s="10" t="str">
        <x:f>IF(ISNUMBER(G971),IF(G971&lt;0,"Убыток",IF(G971=0,"Без прибыли","Прибыль &gt; 0")),"Не оценён")</x:f>
        <x:v>Не оценён</x:v>
      </x:c>
      <x:c r="AE971" s="13" t="str">
        <x:f>IF(J971="Рассчитано","Выручка "&amp;TEXT(V971,"0.00")&amp;" - себестоимость "&amp;TEXT(W971,"0.00")&amp;" - комиссия "&amp;TEXT(V971*R971/100,"0.00")&amp;" - доставка "&amp;TEXT(P971,"0.00")&amp;" - прочие "&amp;TEXT(Q971,"0.00")&amp;" = "&amp;TEXT(G971,"0.00")&amp;" "&amp;L971,"Введите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1" s="24" t="n">
        <x:v>2.5820945410372595</x:v>
      </x:c>
      <x:c r="AG971" s="37" t="n">
        <x:v>7</x:v>
      </x:c>
      <x:c r="AH971" s="37" t="n">
        <x:v>0</x:v>
      </x:c>
      <x:c r="AI971" s="30" t="n">
        <x:v>46266</x:v>
      </x:c>
      <x:c r="AJ971" s="37"/>
      <x:c r="AK971" s="10" t="str">
        <x:v>неизвестно</x:v>
      </x:c>
      <x:c r="AL971" s="32" t="n">
        <x:v>230.5392865095385</x:v>
      </x:c>
      <x:c r="AM971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971" s="13" t="str">
        <x:v>Проверить свободный остаток и установить цену для B2B</x:v>
      </x:c>
      <x:c r="AO971" s="13" t="str">
        <x:v>Остаток 7; прогноз 90 дней 2.58; избыток 4 шт. Будущие поступления не выставляются на продажу. Остаток на начало сентября: требуется актуализация.</x:v>
      </x:c>
      <x:c r="AP971" s="13" t="str">
        <x:v>["category_missing", "daily_stockout_data_missing", "moq_missing", "new_order_lead_time_unknown", "reservations_unknown", "stale_stock", "supplier_sku_missing"]</x:v>
      </x:c>
      <x:c r="AQ971" s="10" t="str">
        <x:v>IEK:270200142_</x:v>
      </x:c>
      <x:c r="AR971" s="24" t="n">
        <x:v>1</x:v>
      </x:c>
      <x:c r="AS971" s="24" t="n">
        <x:v>0</x:v>
      </x:c>
      <x:c r="AT971" s="24" t="n">
        <x:v>0</x:v>
      </x:c>
    </x:row>
    <x:row r="972" ht="64" customHeight="1">
      <x:c r="A972" s="11" t="str">
        <x:v>IEK</x:v>
      </x:c>
      <x:c r="B972" s="33" t="str">
        <x:v>270200143_</x:v>
      </x:c>
      <x:c r="C972" s="33"/>
      <x:c r="D972" s="12" t="str">
        <x:v>Предохранитель ППНИ-33  (100А) габарит 00 IEK (3/90) !!!</x:v>
      </x:c>
      <x:c r="E972" s="11" t="str">
        <x:v>шт</x:v>
      </x:c>
      <x:c r="F972" s="35" t="n">
        <x:f>MAX(0,ROUNDDOWN((AG972-AF972)/AR972+0.000000001,0)*AR972)</x:f>
        <x:v>1</x:v>
      </x:c>
      <x:c r="G972" s="20" t="str">
        <x:f>IF(J972="Рассчитано",V972*(1-R972/100)-W972-P972-Q972,"н/д")</x:f>
        <x:v>н/д</x:v>
      </x:c>
      <x:c r="H972" s="12" t="str">
        <x:v>Высокий</x:v>
      </x:c>
      <x:c r="I972" s="12" t="str">
        <x:v>Высокий</x:v>
      </x:c>
      <x:c r="J972" s="12" t="str">
        <x:f>IF(L972="","Укажите валюту",IF(NOT(ISNUMBER(K972)),"Укажите объём",IF(K972&lt;=0,"Укажите объём",IF(K972&gt;F972,"Объём выше излишка",IF(COUNT(M972:O972)&lt;3,"Нужны цены",IF(COUNT(P972:R972)&lt;3,"Нужны расходы",IF(OR(M972&lt;0,N972&lt;0,O972&lt;0,O972&gt;100,P972&lt;0,Q972&lt;0,R972&lt;0,R972&gt;100),"Проверьте значения","Рассчитано")))))))</x:f>
        <x:v>Нужны цены</x:v>
      </x:c>
      <x:c r="K972" s="36" t="n">
        <x:v>1</x:v>
      </x:c>
      <x:c r="L972" s="19" t="str">
        <x:v>KZT</x:v>
      </x:c>
      <x:c r="M972" s="22"/>
      <x:c r="N972" s="22"/>
      <x:c r="O972" s="28"/>
      <x:c r="P972" s="22"/>
      <x:c r="Q972" s="22"/>
      <x:c r="R972" s="28"/>
      <x:c r="S972" s="22"/>
      <x:c r="T972" s="35" t="n">
        <x:f>K972</x:f>
        <x:v>1</x:v>
      </x:c>
      <x:c r="U972" s="20" t="str">
        <x:f>IF(J972="Рассчитано",N972*(1-O972/100),"н/д")</x:f>
        <x:v>н/д</x:v>
      </x:c>
      <x:c r="V972" s="20" t="str">
        <x:f>IF(J972="Рассчитано",T972*U972,"н/д")</x:f>
        <x:v>н/д</x:v>
      </x:c>
      <x:c r="W972" s="20" t="str">
        <x:f>IF(J972="Рассчитано",T972*M972,"н/д")</x:f>
        <x:v>н/д</x:v>
      </x:c>
      <x:c r="X972" s="20" t="str">
        <x:f>IF(J972="Рассчитано",V972-W972,"н/д")</x:f>
        <x:v>н/д</x:v>
      </x:c>
      <x:c r="Y972" s="26" t="str">
        <x:f>IF(J972="Рассчитано",IF(V972&gt;0,G972/V972,"н/д"),"н/д")</x:f>
        <x:v>н/д</x:v>
      </x:c>
      <x:c r="Z972" s="20" t="str">
        <x:f>"н/д"</x:f>
        <x:v>н/д</x:v>
      </x:c>
      <x:c r="AA972" s="20" t="str">
        <x:f>"н/д"</x:f>
        <x:v>н/д</x:v>
      </x:c>
      <x:c r="AB972" s="20" t="str">
        <x:f>"н/д"</x:f>
        <x:v>н/д</x:v>
      </x:c>
      <x:c r="AC972" s="20" t="str">
        <x:f>IF(AND(J972="Рассчитано",T972&gt;0,R972&lt;100),(W972+P972+Q972)/(T972*(1-R972/100)),"н/д")</x:f>
        <x:v>н/д</x:v>
      </x:c>
      <x:c r="AD972" s="11" t="str">
        <x:f>IF(ISNUMBER(G972),IF(G972&lt;0,"Убыток",IF(G972=0,"Без прибыли","Прибыль &gt; 0")),"Не оценён")</x:f>
        <x:v>Не оценён</x:v>
      </x:c>
      <x:c r="AE972" s="12" t="str">
        <x:f>IF(J972="Рассчитано","Выручка "&amp;TEXT(V972,"0.00")&amp;" - себестоимость "&amp;TEXT(W972,"0.00")&amp;" - комиссия "&amp;TEXT(V972*R972/100,"0.00")&amp;" - доставка "&amp;TEXT(P972,"0.00")&amp;" - прочие "&amp;TEXT(Q972,"0.00")&amp;" = "&amp;TEXT(G972,"0.00")&amp;" "&amp;L972,"Введите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2" s="23" t="n">
        <x:v>0</x:v>
      </x:c>
      <x:c r="AG972" s="35" t="n">
        <x:v>1</x:v>
      </x:c>
      <x:c r="AH972" s="35" t="n">
        <x:v>0</x:v>
      </x:c>
      <x:c r="AI972" s="29" t="n">
        <x:v>46266</x:v>
      </x:c>
      <x:c r="AJ972" s="35"/>
      <x:c r="AK972" s="11" t="str">
        <x:v>неизвестно</x:v>
      </x:c>
      <x:c r="AL972" s="31" t="str">
        <x:v>н/д</x:v>
      </x:c>
      <x:c r="AM972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972" s="12" t="str">
        <x:v>Проверить свободный остаток и установить цену для B2B</x:v>
      </x:c>
      <x:c r="AO972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72" s="12" t="str">
        <x:v>["category_missing", "daily_stockout_data_missing", "moq_missing", "new_order_lead_time_unknown", "reservations_unknown", "stale_stock", "supplier_sku_missing"]</x:v>
      </x:c>
      <x:c r="AQ972" s="11" t="str">
        <x:v>IEK:270200143_</x:v>
      </x:c>
      <x:c r="AR972" s="23" t="n">
        <x:v>1</x:v>
      </x:c>
      <x:c r="AS972" s="23" t="n">
        <x:v>0</x:v>
      </x:c>
      <x:c r="AT972" s="23" t="n">
        <x:v>0</x:v>
      </x:c>
    </x:row>
    <x:row r="973" ht="64" customHeight="1">
      <x:c r="A973" s="10" t="str">
        <x:v>IEK</x:v>
      </x:c>
      <x:c r="B973" s="34" t="str">
        <x:v>270300001_</x:v>
      </x:c>
      <x:c r="C973" s="34" t="str">
        <x:v>MTT12-012-0250</x:v>
      </x:c>
      <x:c r="D973" s="13" t="str">
        <x:v>Ящик  ЯТП(укп) 220/12 IEK (1)</x:v>
      </x:c>
      <x:c r="E973" s="10" t="str">
        <x:v>шт</x:v>
      </x:c>
      <x:c r="F973" s="37" t="n">
        <x:f>MAX(0,ROUNDDOWN((AG973-AF973)/AR973+0.000000001,0)*AR973)</x:f>
        <x:v>14</x:v>
      </x:c>
      <x:c r="G973" s="21" t="str">
        <x:f>IF(J973="Рассчитано",V973*(1-R973/100)-W973-P973-Q973,"н/д")</x:f>
        <x:v>н/д</x:v>
      </x:c>
      <x:c r="H973" s="13" t="str">
        <x:v>Высокий</x:v>
      </x:c>
      <x:c r="I973" s="13" t="str">
        <x:v>Высокий</x:v>
      </x:c>
      <x:c r="J973" s="13" t="str">
        <x:f>IF(L973="","Укажите валюту",IF(NOT(ISNUMBER(K973)),"Укажите объём",IF(K973&lt;=0,"Укажите объём",IF(K973&gt;F973,"Объём выше излишка",IF(COUNT(M973:O973)&lt;3,"Нужны цены",IF(COUNT(P973:R973)&lt;3,"Нужны расходы",IF(OR(M973&lt;0,N973&lt;0,O973&lt;0,O973&gt;100,P973&lt;0,Q973&lt;0,R973&lt;0,R973&gt;100),"Проверьте значения","Рассчитано")))))))</x:f>
        <x:v>Нужны цены</x:v>
      </x:c>
      <x:c r="K973" s="36" t="n">
        <x:v>14</x:v>
      </x:c>
      <x:c r="L973" s="19" t="str">
        <x:v>KZT</x:v>
      </x:c>
      <x:c r="M973" s="22"/>
      <x:c r="N973" s="22"/>
      <x:c r="O973" s="28"/>
      <x:c r="P973" s="22"/>
      <x:c r="Q973" s="22"/>
      <x:c r="R973" s="28"/>
      <x:c r="S973" s="22"/>
      <x:c r="T973" s="37" t="n">
        <x:f>K973</x:f>
        <x:v>14</x:v>
      </x:c>
      <x:c r="U973" s="21" t="str">
        <x:f>IF(J973="Рассчитано",N973*(1-O973/100),"н/д")</x:f>
        <x:v>н/д</x:v>
      </x:c>
      <x:c r="V973" s="21" t="str">
        <x:f>IF(J973="Рассчитано",T973*U973,"н/д")</x:f>
        <x:v>н/д</x:v>
      </x:c>
      <x:c r="W973" s="21" t="str">
        <x:f>IF(J973="Рассчитано",T973*M973,"н/д")</x:f>
        <x:v>н/д</x:v>
      </x:c>
      <x:c r="X973" s="21" t="str">
        <x:f>IF(J973="Рассчитано",V973-W973,"н/д")</x:f>
        <x:v>н/д</x:v>
      </x:c>
      <x:c r="Y973" s="27" t="str">
        <x:f>IF(J973="Рассчитано",IF(V973&gt;0,G973/V973,"н/д"),"н/д")</x:f>
        <x:v>н/д</x:v>
      </x:c>
      <x:c r="Z973" s="21" t="str">
        <x:f>"н/д"</x:f>
        <x:v>н/д</x:v>
      </x:c>
      <x:c r="AA973" s="21" t="str">
        <x:f>"н/д"</x:f>
        <x:v>н/д</x:v>
      </x:c>
      <x:c r="AB973" s="21" t="str">
        <x:f>"н/д"</x:f>
        <x:v>н/д</x:v>
      </x:c>
      <x:c r="AC973" s="21" t="str">
        <x:f>IF(AND(J973="Рассчитано",T973&gt;0,R973&lt;100),(W973+P973+Q973)/(T973*(1-R973/100)),"н/д")</x:f>
        <x:v>н/д</x:v>
      </x:c>
      <x:c r="AD973" s="10" t="str">
        <x:f>IF(ISNUMBER(G973),IF(G973&lt;0,"Убыток",IF(G973=0,"Без прибыли","Прибыль &gt; 0")),"Не оценён")</x:f>
        <x:v>Не оценён</x:v>
      </x:c>
      <x:c r="AE973" s="13" t="str">
        <x:f>IF(J973="Рассчитано","Выручка "&amp;TEXT(V973,"0.00")&amp;" - себестоимость "&amp;TEXT(W973,"0.00")&amp;" - комиссия "&amp;TEXT(V973*R973/100,"0.00")&amp;" - доставка "&amp;TEXT(P973,"0.00")&amp;" - прочие "&amp;TEXT(Q973,"0.00")&amp;" = "&amp;TEXT(G973,"0.00")&amp;" "&amp;L973,"Введите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3" s="24" t="n">
        <x:v>9.712104221658521</x:v>
      </x:c>
      <x:c r="AG973" s="37" t="n">
        <x:v>24</x:v>
      </x:c>
      <x:c r="AH973" s="37" t="n">
        <x:v>4</x:v>
      </x:c>
      <x:c r="AI973" s="30" t="n">
        <x:v>46266</x:v>
      </x:c>
      <x:c r="AJ973" s="37" t="n">
        <x:v>1</x:v>
      </x:c>
      <x:c r="AK973" s="10" t="str">
        <x:v>минимум</x:v>
      </x:c>
      <x:c r="AL973" s="32" t="n">
        <x:v>210.1439792554622</x:v>
      </x:c>
      <x:c r="AM9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73" s="13" t="str">
        <x:v>Проверить свободный остаток и установить цену для B2B</x:v>
      </x:c>
      <x:c r="AO973" s="13" t="str">
        <x:v>Остаток 24; прогноз 90 дней 9.71; избыток 14 шт. Будущие поступления не выставляются на продажу. Остаток на начало сентября: требуется актуализация.</x:v>
      </x:c>
      <x:c r="AP973" s="13" t="str">
        <x:v>["category_missing", "daily_stockout_data_missing", "large_orders_detected", "new_order_lead_time_unknown", "reservations_unknown", "stale_stock"]</x:v>
      </x:c>
      <x:c r="AQ973" s="10" t="str">
        <x:v>IEK:270300001_</x:v>
      </x:c>
      <x:c r="AR973" s="24" t="n">
        <x:v>1</x:v>
      </x:c>
      <x:c r="AS973" s="24" t="n">
        <x:v>0</x:v>
      </x:c>
      <x:c r="AT973" s="24" t="n">
        <x:v>0</x:v>
      </x:c>
    </x:row>
    <x:row r="974" ht="64" customHeight="1">
      <x:c r="A974" s="11" t="str">
        <x:v>IEK</x:v>
      </x:c>
      <x:c r="B974" s="33" t="str">
        <x:v>270300003_</x:v>
      </x:c>
      <x:c r="C974" s="33" t="str">
        <x:v>MTT12-036-0250</x:v>
      </x:c>
      <x:c r="D974" s="12" t="str">
        <x:v>Ящик  ЯТП(укп) 220/36 IEK  (1)</x:v>
      </x:c>
      <x:c r="E974" s="11" t="str">
        <x:v>шт</x:v>
      </x:c>
      <x:c r="F974" s="35" t="n">
        <x:f>MAX(0,ROUNDDOWN((AG974-AF974)/AR974+0.000000001,0)*AR974)</x:f>
        <x:v>71</x:v>
      </x:c>
      <x:c r="G974" s="20" t="str">
        <x:f>IF(J974="Рассчитано",V974*(1-R974/100)-W974-P974-Q974,"н/д")</x:f>
        <x:v>н/д</x:v>
      </x:c>
      <x:c r="H974" s="12" t="str">
        <x:v>Высокий</x:v>
      </x:c>
      <x:c r="I974" s="12" t="str">
        <x:v>Средний</x:v>
      </x:c>
      <x:c r="J974" s="12" t="str">
        <x:f>IF(L974="","Укажите валюту",IF(NOT(ISNUMBER(K974)),"Укажите объём",IF(K974&lt;=0,"Укажите объём",IF(K974&gt;F974,"Объём выше излишка",IF(COUNT(M974:O974)&lt;3,"Нужны цены",IF(COUNT(P974:R974)&lt;3,"Нужны расходы",IF(OR(M974&lt;0,N974&lt;0,O974&lt;0,O974&gt;100,P974&lt;0,Q974&lt;0,R974&lt;0,R974&gt;100),"Проверьте значения","Рассчитано")))))))</x:f>
        <x:v>Нужны цены</x:v>
      </x:c>
      <x:c r="K974" s="36" t="n">
        <x:v>71</x:v>
      </x:c>
      <x:c r="L974" s="19" t="str">
        <x:v>KZT</x:v>
      </x:c>
      <x:c r="M974" s="22"/>
      <x:c r="N974" s="22"/>
      <x:c r="O974" s="28"/>
      <x:c r="P974" s="22"/>
      <x:c r="Q974" s="22"/>
      <x:c r="R974" s="28"/>
      <x:c r="S974" s="22"/>
      <x:c r="T974" s="35" t="n">
        <x:f>K974</x:f>
        <x:v>71</x:v>
      </x:c>
      <x:c r="U974" s="20" t="str">
        <x:f>IF(J974="Рассчитано",N974*(1-O974/100),"н/д")</x:f>
        <x:v>н/д</x:v>
      </x:c>
      <x:c r="V974" s="20" t="str">
        <x:f>IF(J974="Рассчитано",T974*U974,"н/д")</x:f>
        <x:v>н/д</x:v>
      </x:c>
      <x:c r="W974" s="20" t="str">
        <x:f>IF(J974="Рассчитано",T974*M974,"н/д")</x:f>
        <x:v>н/д</x:v>
      </x:c>
      <x:c r="X974" s="20" t="str">
        <x:f>IF(J974="Рассчитано",V974-W974,"н/д")</x:f>
        <x:v>н/д</x:v>
      </x:c>
      <x:c r="Y974" s="26" t="str">
        <x:f>IF(J974="Рассчитано",IF(V974&gt;0,G974/V974,"н/д"),"н/д")</x:f>
        <x:v>н/д</x:v>
      </x:c>
      <x:c r="Z974" s="20" t="str">
        <x:f>"н/д"</x:f>
        <x:v>н/д</x:v>
      </x:c>
      <x:c r="AA974" s="20" t="str">
        <x:f>"н/д"</x:f>
        <x:v>н/д</x:v>
      </x:c>
      <x:c r="AB974" s="20" t="str">
        <x:f>"н/д"</x:f>
        <x:v>н/д</x:v>
      </x:c>
      <x:c r="AC974" s="20" t="str">
        <x:f>IF(AND(J974="Рассчитано",T974&gt;0,R974&lt;100),(W974+P974+Q974)/(T974*(1-R974/100)),"н/д")</x:f>
        <x:v>н/д</x:v>
      </x:c>
      <x:c r="AD974" s="11" t="str">
        <x:f>IF(ISNUMBER(G974),IF(G974&lt;0,"Убыток",IF(G974=0,"Без прибыли","Прибыль &gt; 0")),"Не оценён")</x:f>
        <x:v>Не оценён</x:v>
      </x:c>
      <x:c r="AE974" s="12" t="str">
        <x:f>IF(J974="Рассчитано","Выручка "&amp;TEXT(V974,"0.00")&amp;" - себестоимость "&amp;TEXT(W974,"0.00")&amp;" - комиссия "&amp;TEXT(V974*R974/100,"0.00")&amp;" - доставка "&amp;TEXT(P974,"0.00")&amp;" - прочие "&amp;TEXT(Q974,"0.00")&amp;" = "&amp;TEXT(G974,"0.00")&amp;" "&amp;L974,"Введите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4" s="23" t="n">
        <x:v>94.7381143465318</x:v>
      </x:c>
      <x:c r="AG974" s="35" t="n">
        <x:v>166</x:v>
      </x:c>
      <x:c r="AH974" s="35" t="n">
        <x:v>0</x:v>
      </x:c>
      <x:c r="AI974" s="29" t="n">
        <x:v>46266</x:v>
      </x:c>
      <x:c r="AJ974" s="35" t="n">
        <x:v>1</x:v>
      </x:c>
      <x:c r="AK974" s="11" t="str">
        <x:v>минимум</x:v>
      </x:c>
      <x:c r="AL974" s="31" t="n">
        <x:v>149.00553321766827</x:v>
      </x:c>
      <x:c r="AM974" s="12" t="str">
        <x:v>Остаток на начало сентября; Резервы неизвестны; Нет ежедневных данных доступности. Запас выше прогноза на 90 дней</x:v>
      </x:c>
      <x:c r="AN974" s="12" t="str">
        <x:v>Проверить свободный остаток и установить цену для B2B</x:v>
      </x:c>
      <x:c r="AO974" s="12" t="str">
        <x:v>Остаток 166; прогноз 90 дней 94.74; избыток 71 шт. Будущие поступления не выставляются на продажу. Остаток на начало сентября: требуется актуализация.</x:v>
      </x:c>
      <x:c r="AP974" s="12" t="str">
        <x:v>["category_missing", "daily_stockout_data_missing", "large_orders_detected", "new_order_lead_time_unknown", "reservations_unknown", "stale_stock"]</x:v>
      </x:c>
      <x:c r="AQ974" s="11" t="str">
        <x:v>IEK:270300003_</x:v>
      </x:c>
      <x:c r="AR974" s="23" t="n">
        <x:v>1</x:v>
      </x:c>
      <x:c r="AS974" s="23" t="n">
        <x:v>0</x:v>
      </x:c>
      <x:c r="AT974" s="23" t="n">
        <x:v>0</x:v>
      </x:c>
    </x:row>
    <x:row r="975" ht="64" customHeight="1">
      <x:c r="A975" s="10" t="str">
        <x:v>IEK</x:v>
      </x:c>
      <x:c r="B975" s="34" t="str">
        <x:v>270300025_</x:v>
      </x:c>
      <x:c r="C975" s="34" t="str">
        <x:v>ITT30-2-05-0400</x:v>
      </x:c>
      <x:c r="D975" s="13" t="str">
        <x:v>Трансформатор тока ТТИ-40  400/5А  5ВА  класс 0,5  IEK</x:v>
      </x:c>
      <x:c r="E975" s="10" t="str">
        <x:v>шт</x:v>
      </x:c>
      <x:c r="F975" s="37" t="n">
        <x:f>MAX(0,ROUNDDOWN((AG975-AF975)/AR975+0.000000001,0)*AR975)</x:f>
        <x:v>54</x:v>
      </x:c>
      <x:c r="G975" s="21" t="str">
        <x:f>IF(J975="Рассчитано",V975*(1-R975/100)-W975-P975-Q975,"н/д")</x:f>
        <x:v>н/д</x:v>
      </x:c>
      <x:c r="H975" s="13" t="str">
        <x:v>Высокий</x:v>
      </x:c>
      <x:c r="I975" s="13" t="str">
        <x:v>Высокий</x:v>
      </x:c>
      <x:c r="J975" s="13" t="str">
        <x:f>IF(L975="","Укажите валюту",IF(NOT(ISNUMBER(K975)),"Укажите объём",IF(K975&lt;=0,"Укажите объём",IF(K975&gt;F975,"Объём выше излишка",IF(COUNT(M975:O975)&lt;3,"Нужны цены",IF(COUNT(P975:R975)&lt;3,"Нужны расходы",IF(OR(M975&lt;0,N975&lt;0,O975&lt;0,O975&gt;100,P975&lt;0,Q975&lt;0,R975&lt;0,R975&gt;100),"Проверьте значения","Рассчитано")))))))</x:f>
        <x:v>Нужны цены</x:v>
      </x:c>
      <x:c r="K975" s="36" t="n">
        <x:v>54</x:v>
      </x:c>
      <x:c r="L975" s="19" t="str">
        <x:v>KZT</x:v>
      </x:c>
      <x:c r="M975" s="22"/>
      <x:c r="N975" s="22"/>
      <x:c r="O975" s="28"/>
      <x:c r="P975" s="22"/>
      <x:c r="Q975" s="22"/>
      <x:c r="R975" s="28"/>
      <x:c r="S975" s="22"/>
      <x:c r="T975" s="37" t="n">
        <x:f>K975</x:f>
        <x:v>54</x:v>
      </x:c>
      <x:c r="U975" s="21" t="str">
        <x:f>IF(J975="Рассчитано",N975*(1-O975/100),"н/д")</x:f>
        <x:v>н/д</x:v>
      </x:c>
      <x:c r="V975" s="21" t="str">
        <x:f>IF(J975="Рассчитано",T975*U975,"н/д")</x:f>
        <x:v>н/д</x:v>
      </x:c>
      <x:c r="W975" s="21" t="str">
        <x:f>IF(J975="Рассчитано",T975*M975,"н/д")</x:f>
        <x:v>н/д</x:v>
      </x:c>
      <x:c r="X975" s="21" t="str">
        <x:f>IF(J975="Рассчитано",V975-W975,"н/д")</x:f>
        <x:v>н/д</x:v>
      </x:c>
      <x:c r="Y975" s="27" t="str">
        <x:f>IF(J975="Рассчитано",IF(V975&gt;0,G975/V975,"н/д"),"н/д")</x:f>
        <x:v>н/д</x:v>
      </x:c>
      <x:c r="Z975" s="21" t="str">
        <x:f>"н/д"</x:f>
        <x:v>н/д</x:v>
      </x:c>
      <x:c r="AA975" s="21" t="str">
        <x:f>"н/д"</x:f>
        <x:v>н/д</x:v>
      </x:c>
      <x:c r="AB975" s="21" t="str">
        <x:f>"н/д"</x:f>
        <x:v>н/д</x:v>
      </x:c>
      <x:c r="AC975" s="21" t="str">
        <x:f>IF(AND(J975="Рассчитано",T975&gt;0,R975&lt;100),(W975+P975+Q975)/(T975*(1-R975/100)),"н/д")</x:f>
        <x:v>н/д</x:v>
      </x:c>
      <x:c r="AD975" s="10" t="str">
        <x:f>IF(ISNUMBER(G975),IF(G975&lt;0,"Убыток",IF(G975=0,"Без прибыли","Прибыль &gt; 0")),"Не оценён")</x:f>
        <x:v>Не оценён</x:v>
      </x:c>
      <x:c r="AE975" s="13" t="str">
        <x:f>IF(J975="Рассчитано","Выручка "&amp;TEXT(V975,"0.00")&amp;" - себестоимость "&amp;TEXT(W975,"0.00")&amp;" - комиссия "&amp;TEXT(V975*R975/100,"0.00")&amp;" - доставка "&amp;TEXT(P975,"0.00")&amp;" - прочие "&amp;TEXT(Q975,"0.00")&amp;" = "&amp;TEXT(G975,"0.00")&amp;" "&amp;L975,"Введите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5" s="24" t="n">
        <x:v>18.542809181823426</x:v>
      </x:c>
      <x:c r="AG975" s="37" t="n">
        <x:v>73</x:v>
      </x:c>
      <x:c r="AH975" s="37" t="n">
        <x:v>0</x:v>
      </x:c>
      <x:c r="AI975" s="30" t="n">
        <x:v>46266</x:v>
      </x:c>
      <x:c r="AJ975" s="37" t="n">
        <x:v>1</x:v>
      </x:c>
      <x:c r="AK975" s="10" t="str">
        <x:v>минимум</x:v>
      </x:c>
      <x:c r="AL975" s="32" t="n">
        <x:v>334.78529598981555</x:v>
      </x:c>
      <x:c r="AM97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75" s="13" t="str">
        <x:v>Проверить свободный остаток и установить цену для B2B</x:v>
      </x:c>
      <x:c r="AO975" s="13" t="str">
        <x:v>Остаток 73; прогноз 90 дней 18.54; избыток 54 шт. Будущие поступления не выставляются на продажу. Остаток на начало сентября: требуется актуализация.</x:v>
      </x:c>
      <x:c r="AP975" s="13" t="str">
        <x:v>["category_missing", "daily_stockout_data_missing", "new_order_lead_time_unknown", "reservations_unknown", "stale_stock"]</x:v>
      </x:c>
      <x:c r="AQ975" s="10" t="str">
        <x:v>IEK:270300025_</x:v>
      </x:c>
      <x:c r="AR975" s="24" t="n">
        <x:v>1</x:v>
      </x:c>
      <x:c r="AS975" s="24" t="n">
        <x:v>0</x:v>
      </x:c>
      <x:c r="AT975" s="24" t="n">
        <x:v>0</x:v>
      </x:c>
    </x:row>
    <x:row r="976" ht="64" customHeight="1">
      <x:c r="A976" s="11" t="str">
        <x:v>IEK</x:v>
      </x:c>
      <x:c r="B976" s="33" t="str">
        <x:v>270300098_</x:v>
      </x:c>
      <x:c r="C976" s="33" t="str">
        <x:v>ITT10-2-05-0075</x:v>
      </x:c>
      <x:c r="D976" s="12" t="str">
        <x:v>Трансформатор тока ТТИ-А   75/5А  5ВА  класс 0,5  IEK</x:v>
      </x:c>
      <x:c r="E976" s="11" t="str">
        <x:v>шт</x:v>
      </x:c>
      <x:c r="F976" s="35" t="n">
        <x:f>MAX(0,ROUNDDOWN((AG976-AF976)/AR976+0.000000001,0)*AR976)</x:f>
        <x:v>3</x:v>
      </x:c>
      <x:c r="G976" s="20" t="str">
        <x:f>IF(J976="Рассчитано",V976*(1-R976/100)-W976-P976-Q976,"н/д")</x:f>
        <x:v>н/д</x:v>
      </x:c>
      <x:c r="H976" s="12" t="str">
        <x:v>Высокий</x:v>
      </x:c>
      <x:c r="I976" s="12" t="str">
        <x:v>Высокий</x:v>
      </x:c>
      <x:c r="J976" s="12" t="str">
        <x:f>IF(L976="","Укажите валюту",IF(NOT(ISNUMBER(K976)),"Укажите объём",IF(K976&lt;=0,"Укажите объём",IF(K976&gt;F976,"Объём выше излишка",IF(COUNT(M976:O976)&lt;3,"Нужны цены",IF(COUNT(P976:R976)&lt;3,"Нужны расходы",IF(OR(M976&lt;0,N976&lt;0,O976&lt;0,O976&gt;100,P976&lt;0,Q976&lt;0,R976&lt;0,R976&gt;100),"Проверьте значения","Рассчитано")))))))</x:f>
        <x:v>Нужны цены</x:v>
      </x:c>
      <x:c r="K976" s="36" t="n">
        <x:v>3</x:v>
      </x:c>
      <x:c r="L976" s="19" t="str">
        <x:v>KZT</x:v>
      </x:c>
      <x:c r="M976" s="22"/>
      <x:c r="N976" s="22"/>
      <x:c r="O976" s="28"/>
      <x:c r="P976" s="22"/>
      <x:c r="Q976" s="22"/>
      <x:c r="R976" s="28"/>
      <x:c r="S976" s="22"/>
      <x:c r="T976" s="35" t="n">
        <x:f>K976</x:f>
        <x:v>3</x:v>
      </x:c>
      <x:c r="U976" s="20" t="str">
        <x:f>IF(J976="Рассчитано",N976*(1-O976/100),"н/д")</x:f>
        <x:v>н/д</x:v>
      </x:c>
      <x:c r="V976" s="20" t="str">
        <x:f>IF(J976="Рассчитано",T976*U976,"н/д")</x:f>
        <x:v>н/д</x:v>
      </x:c>
      <x:c r="W976" s="20" t="str">
        <x:f>IF(J976="Рассчитано",T976*M976,"н/д")</x:f>
        <x:v>н/д</x:v>
      </x:c>
      <x:c r="X976" s="20" t="str">
        <x:f>IF(J976="Рассчитано",V976-W976,"н/д")</x:f>
        <x:v>н/д</x:v>
      </x:c>
      <x:c r="Y976" s="26" t="str">
        <x:f>IF(J976="Рассчитано",IF(V976&gt;0,G976/V976,"н/д"),"н/д")</x:f>
        <x:v>н/д</x:v>
      </x:c>
      <x:c r="Z976" s="20" t="str">
        <x:f>"н/д"</x:f>
        <x:v>н/д</x:v>
      </x:c>
      <x:c r="AA976" s="20" t="str">
        <x:f>"н/д"</x:f>
        <x:v>н/д</x:v>
      </x:c>
      <x:c r="AB976" s="20" t="str">
        <x:f>"н/д"</x:f>
        <x:v>н/д</x:v>
      </x:c>
      <x:c r="AC976" s="20" t="str">
        <x:f>IF(AND(J976="Рассчитано",T976&gt;0,R976&lt;100),(W976+P976+Q976)/(T976*(1-R976/100)),"н/д")</x:f>
        <x:v>н/д</x:v>
      </x:c>
      <x:c r="AD976" s="11" t="str">
        <x:f>IF(ISNUMBER(G976),IF(G976&lt;0,"Убыток",IF(G976=0,"Без прибыли","Прибыль &gt; 0")),"Не оценён")</x:f>
        <x:v>Не оценён</x:v>
      </x:c>
      <x:c r="AE976" s="12" t="str">
        <x:f>IF(J976="Рассчитано","Выручка "&amp;TEXT(V976,"0.00")&amp;" - себестоимость "&amp;TEXT(W976,"0.00")&amp;" - комиссия "&amp;TEXT(V976*R976/100,"0.00")&amp;" - доставка "&amp;TEXT(P976,"0.00")&amp;" - прочие "&amp;TEXT(Q976,"0.00")&amp;" = "&amp;TEXT(G976,"0.00")&amp;" "&amp;L976,"Введите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6" s="23" t="n">
        <x:v>0.09865067005171732</x:v>
      </x:c>
      <x:c r="AG976" s="35" t="n">
        <x:v>4</x:v>
      </x:c>
      <x:c r="AH976" s="35" t="n">
        <x:v>0</x:v>
      </x:c>
      <x:c r="AI976" s="29" t="n">
        <x:v>46266</x:v>
      </x:c>
      <x:c r="AJ976" s="35" t="n">
        <x:v>1</x:v>
      </x:c>
      <x:c r="AK976" s="11" t="str">
        <x:v>минимум</x:v>
      </x:c>
      <x:c r="AL976" s="31" t="n">
        <x:v>3448.093201011104</x:v>
      </x:c>
      <x:c r="AM97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76" s="12" t="str">
        <x:v>Проверить свободный остаток и установить цену для B2B</x:v>
      </x:c>
      <x:c r="AO976" s="12" t="str">
        <x:v>Остаток 4; прогноз 90 дней 0.10; избыток 3 шт. Будущие поступления не выставляются на продажу. Остаток на начало сентября: требуется актуализация.</x:v>
      </x:c>
      <x:c r="AP976" s="12" t="str">
        <x:v>["category_missing", "daily_stockout_data_missing", "new_order_lead_time_unknown", "reservations_unknown", "stale_stock"]</x:v>
      </x:c>
      <x:c r="AQ976" s="11" t="str">
        <x:v>IEK:270300098_</x:v>
      </x:c>
      <x:c r="AR976" s="23" t="n">
        <x:v>1</x:v>
      </x:c>
      <x:c r="AS976" s="23" t="n">
        <x:v>0</x:v>
      </x:c>
      <x:c r="AT976" s="23" t="n">
        <x:v>0</x:v>
      </x:c>
    </x:row>
    <x:row r="977" ht="64" customHeight="1">
      <x:c r="A977" s="10" t="str">
        <x:v>IEK</x:v>
      </x:c>
      <x:c r="B977" s="34" t="str">
        <x:v>270300132_</x:v>
      </x:c>
      <x:c r="C977" s="34" t="str">
        <x:v>ITT10-2-05-0250</x:v>
      </x:c>
      <x:c r="D977" s="13" t="str">
        <x:v>Трансформатор тока ТТИ-А  250/5А  5ВА  класс 0,5  IEK</x:v>
      </x:c>
      <x:c r="E977" s="10" t="str">
        <x:v>шт</x:v>
      </x:c>
      <x:c r="F977" s="37" t="n">
        <x:f>MAX(0,ROUNDDOWN((AG977-AF977)/AR977+0.000000001,0)*AR977)</x:f>
        <x:v>3</x:v>
      </x:c>
      <x:c r="G977" s="21" t="str">
        <x:f>IF(J977="Рассчитано",V977*(1-R977/100)-W977-P977-Q977,"н/д")</x:f>
        <x:v>н/д</x:v>
      </x:c>
      <x:c r="H977" s="13" t="str">
        <x:v>Высокий</x:v>
      </x:c>
      <x:c r="I977" s="13" t="str">
        <x:v>Средний</x:v>
      </x:c>
      <x:c r="J977" s="13" t="str">
        <x:f>IF(L977="","Укажите валюту",IF(NOT(ISNUMBER(K977)),"Укажите объём",IF(K977&lt;=0,"Укажите объём",IF(K977&gt;F977,"Объём выше излишка",IF(COUNT(M977:O977)&lt;3,"Нужны цены",IF(COUNT(P977:R977)&lt;3,"Нужны расходы",IF(OR(M977&lt;0,N977&lt;0,O977&lt;0,O977&gt;100,P977&lt;0,Q977&lt;0,R977&lt;0,R977&gt;100),"Проверьте значения","Рассчитано")))))))</x:f>
        <x:v>Нужны цены</x:v>
      </x:c>
      <x:c r="K977" s="36" t="n">
        <x:v>3</x:v>
      </x:c>
      <x:c r="L977" s="19" t="str">
        <x:v>KZT</x:v>
      </x:c>
      <x:c r="M977" s="22"/>
      <x:c r="N977" s="22"/>
      <x:c r="O977" s="28"/>
      <x:c r="P977" s="22"/>
      <x:c r="Q977" s="22"/>
      <x:c r="R977" s="28"/>
      <x:c r="S977" s="22"/>
      <x:c r="T977" s="37" t="n">
        <x:f>K977</x:f>
        <x:v>3</x:v>
      </x:c>
      <x:c r="U977" s="21" t="str">
        <x:f>IF(J977="Рассчитано",N977*(1-O977/100),"н/д")</x:f>
        <x:v>н/д</x:v>
      </x:c>
      <x:c r="V977" s="21" t="str">
        <x:f>IF(J977="Рассчитано",T977*U977,"н/д")</x:f>
        <x:v>н/д</x:v>
      </x:c>
      <x:c r="W977" s="21" t="str">
        <x:f>IF(J977="Рассчитано",T977*M977,"н/д")</x:f>
        <x:v>н/д</x:v>
      </x:c>
      <x:c r="X977" s="21" t="str">
        <x:f>IF(J977="Рассчитано",V977-W977,"н/д")</x:f>
        <x:v>н/д</x:v>
      </x:c>
      <x:c r="Y977" s="27" t="str">
        <x:f>IF(J977="Рассчитано",IF(V977&gt;0,G977/V977,"н/д"),"н/д")</x:f>
        <x:v>н/д</x:v>
      </x:c>
      <x:c r="Z977" s="21" t="str">
        <x:f>"н/д"</x:f>
        <x:v>н/д</x:v>
      </x:c>
      <x:c r="AA977" s="21" t="str">
        <x:f>"н/д"</x:f>
        <x:v>н/д</x:v>
      </x:c>
      <x:c r="AB977" s="21" t="str">
        <x:f>"н/д"</x:f>
        <x:v>н/д</x:v>
      </x:c>
      <x:c r="AC977" s="21" t="str">
        <x:f>IF(AND(J977="Рассчитано",T977&gt;0,R977&lt;100),(W977+P977+Q977)/(T977*(1-R977/100)),"н/д")</x:f>
        <x:v>н/д</x:v>
      </x:c>
      <x:c r="AD977" s="10" t="str">
        <x:f>IF(ISNUMBER(G977),IF(G977&lt;0,"Убыток",IF(G977=0,"Без прибыли","Прибыль &gt; 0")),"Не оценён")</x:f>
        <x:v>Не оценён</x:v>
      </x:c>
      <x:c r="AE977" s="13" t="str">
        <x:f>IF(J977="Рассчитано","Выручка "&amp;TEXT(V977,"0.00")&amp;" - себестоимость "&amp;TEXT(W977,"0.00")&amp;" - комиссия "&amp;TEXT(V977*R977/100,"0.00")&amp;" - доставка "&amp;TEXT(P977,"0.00")&amp;" - прочие "&amp;TEXT(Q977,"0.00")&amp;" = "&amp;TEXT(G977,"0.00")&amp;" "&amp;L977,"Введите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7" s="24" t="n">
        <x:v>12.93065400135831</x:v>
      </x:c>
      <x:c r="AG977" s="37" t="n">
        <x:v>16</x:v>
      </x:c>
      <x:c r="AH977" s="37" t="n">
        <x:v>0</x:v>
      </x:c>
      <x:c r="AI977" s="30" t="n">
        <x:v>46266</x:v>
      </x:c>
      <x:c r="AJ977" s="37" t="n">
        <x:v>1</x:v>
      </x:c>
      <x:c r="AK977" s="10" t="str">
        <x:v>минимум</x:v>
      </x:c>
      <x:c r="AL977" s="32" t="n">
        <x:v>105.22490344101213</x:v>
      </x:c>
      <x:c r="AM977" s="13" t="str">
        <x:v>Остаток на начало сентября; Резервы неизвестны; Нет ежедневных данных доступности. Запас выше прогноза на 90 дней</x:v>
      </x:c>
      <x:c r="AN977" s="13" t="str">
        <x:v>Проверить свободный остаток и установить цену для B2B</x:v>
      </x:c>
      <x:c r="AO977" s="13" t="str">
        <x:v>Остаток 16; прогноз 90 дней 12.93; избыток 3 шт. Будущие поступления не выставляются на продажу. Остаток на начало сентября: требуется актуализация.</x:v>
      </x:c>
      <x:c r="AP977" s="13" t="str">
        <x:v>["category_missing", "daily_stockout_data_missing", "negative_net_sales_clipped_for_forecast", "new_order_lead_time_unknown", "reservations_unknown", "stale_stock"]</x:v>
      </x:c>
      <x:c r="AQ977" s="10" t="str">
        <x:v>IEK:270300132_</x:v>
      </x:c>
      <x:c r="AR977" s="24" t="n">
        <x:v>1</x:v>
      </x:c>
      <x:c r="AS977" s="24" t="n">
        <x:v>0</x:v>
      </x:c>
      <x:c r="AT977" s="24" t="n">
        <x:v>0</x:v>
      </x:c>
    </x:row>
    <x:row r="978" ht="64" customHeight="1">
      <x:c r="A978" s="11" t="str">
        <x:v>IEK</x:v>
      </x:c>
      <x:c r="B978" s="33" t="str">
        <x:v>270300133_</x:v>
      </x:c>
      <x:c r="C978" s="33"/>
      <x:c r="D978" s="12" t="str">
        <x:v>Перекл.кулачковый ПКП10-33 /О 10А"1-0-2"3Р/400В  IEK !!!</x:v>
      </x:c>
      <x:c r="E978" s="11" t="str">
        <x:v>шт</x:v>
      </x:c>
      <x:c r="F978" s="35" t="n">
        <x:f>MAX(0,ROUNDDOWN((AG978-AF978)/AR978+0.000000001,0)*AR978)</x:f>
        <x:v>4</x:v>
      </x:c>
      <x:c r="G978" s="20" t="str">
        <x:f>IF(J978="Рассчитано",V978*(1-R978/100)-W978-P978-Q978,"н/д")</x:f>
        <x:v>н/д</x:v>
      </x:c>
      <x:c r="H978" s="12" t="str">
        <x:v>Высокий</x:v>
      </x:c>
      <x:c r="I978" s="12" t="str">
        <x:v>Высокий</x:v>
      </x:c>
      <x:c r="J978" s="12" t="str">
        <x:f>IF(L978="","Укажите валюту",IF(NOT(ISNUMBER(K978)),"Укажите объём",IF(K978&lt;=0,"Укажите объём",IF(K978&gt;F978,"Объём выше излишка",IF(COUNT(M978:O978)&lt;3,"Нужны цены",IF(COUNT(P978:R978)&lt;3,"Нужны расходы",IF(OR(M978&lt;0,N978&lt;0,O978&lt;0,O978&gt;100,P978&lt;0,Q978&lt;0,R978&lt;0,R978&gt;100),"Проверьте значения","Рассчитано")))))))</x:f>
        <x:v>Нужны цены</x:v>
      </x:c>
      <x:c r="K978" s="36" t="n">
        <x:v>4</x:v>
      </x:c>
      <x:c r="L978" s="19" t="str">
        <x:v>KZT</x:v>
      </x:c>
      <x:c r="M978" s="22"/>
      <x:c r="N978" s="22"/>
      <x:c r="O978" s="28"/>
      <x:c r="P978" s="22"/>
      <x:c r="Q978" s="22"/>
      <x:c r="R978" s="28"/>
      <x:c r="S978" s="22"/>
      <x:c r="T978" s="35" t="n">
        <x:f>K978</x:f>
        <x:v>4</x:v>
      </x:c>
      <x:c r="U978" s="20" t="str">
        <x:f>IF(J978="Рассчитано",N978*(1-O978/100),"н/д")</x:f>
        <x:v>н/д</x:v>
      </x:c>
      <x:c r="V978" s="20" t="str">
        <x:f>IF(J978="Рассчитано",T978*U978,"н/д")</x:f>
        <x:v>н/д</x:v>
      </x:c>
      <x:c r="W978" s="20" t="str">
        <x:f>IF(J978="Рассчитано",T978*M978,"н/д")</x:f>
        <x:v>н/д</x:v>
      </x:c>
      <x:c r="X978" s="20" t="str">
        <x:f>IF(J978="Рассчитано",V978-W978,"н/д")</x:f>
        <x:v>н/д</x:v>
      </x:c>
      <x:c r="Y978" s="26" t="str">
        <x:f>IF(J978="Рассчитано",IF(V978&gt;0,G978/V978,"н/д"),"н/д")</x:f>
        <x:v>н/д</x:v>
      </x:c>
      <x:c r="Z978" s="20" t="str">
        <x:f>"н/д"</x:f>
        <x:v>н/д</x:v>
      </x:c>
      <x:c r="AA978" s="20" t="str">
        <x:f>"н/д"</x:f>
        <x:v>н/д</x:v>
      </x:c>
      <x:c r="AB978" s="20" t="str">
        <x:f>"н/д"</x:f>
        <x:v>н/д</x:v>
      </x:c>
      <x:c r="AC978" s="20" t="str">
        <x:f>IF(AND(J978="Рассчитано",T978&gt;0,R978&lt;100),(W978+P978+Q978)/(T978*(1-R978/100)),"н/д")</x:f>
        <x:v>н/д</x:v>
      </x:c>
      <x:c r="AD978" s="11" t="str">
        <x:f>IF(ISNUMBER(G978),IF(G978&lt;0,"Убыток",IF(G978=0,"Без прибыли","Прибыль &gt; 0")),"Не оценён")</x:f>
        <x:v>Не оценён</x:v>
      </x:c>
      <x:c r="AE978" s="12" t="str">
        <x:f>IF(J978="Рассчитано","Выручка "&amp;TEXT(V978,"0.00")&amp;" - себестоимость "&amp;TEXT(W978,"0.00")&amp;" - комиссия "&amp;TEXT(V978*R978/100,"0.00")&amp;" - доставка "&amp;TEXT(P978,"0.00")&amp;" - прочие "&amp;TEXT(Q978,"0.00")&amp;" = "&amp;TEXT(G978,"0.00")&amp;" "&amp;L978,"Введите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8" s="23" t="n">
        <x:v>1.313601833216701</x:v>
      </x:c>
      <x:c r="AG978" s="35" t="n">
        <x:v>6</x:v>
      </x:c>
      <x:c r="AH978" s="35" t="n">
        <x:v>0</x:v>
      </x:c>
      <x:c r="AI978" s="29" t="n">
        <x:v>46266</x:v>
      </x:c>
      <x:c r="AJ978" s="35"/>
      <x:c r="AK978" s="11" t="str">
        <x:v>неизвестно</x:v>
      </x:c>
      <x:c r="AL978" s="31" t="n">
        <x:v>388.4244404343826</x:v>
      </x:c>
      <x:c r="AM978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978" s="12" t="str">
        <x:v>Проверить свободный остаток и установить цену для B2B</x:v>
      </x:c>
      <x:c r="AO978" s="12" t="str">
        <x:v>Остаток 6; прогноз 90 дней 1.31; избыток 4 шт. Будущие поступления не выставляются на продажу. Остаток на начало сентября: требуется актуализация.</x:v>
      </x:c>
      <x:c r="AP978" s="12" t="str">
        <x:v>["category_missing", "daily_stockout_data_missing", "moq_missing", "new_order_lead_time_unknown", "reservations_unknown", "stale_stock", "supplier_sku_missing"]</x:v>
      </x:c>
      <x:c r="AQ978" s="11" t="str">
        <x:v>IEK:270300133_</x:v>
      </x:c>
      <x:c r="AR978" s="23" t="n">
        <x:v>1</x:v>
      </x:c>
      <x:c r="AS978" s="23" t="n">
        <x:v>0</x:v>
      </x:c>
      <x:c r="AT978" s="23" t="n">
        <x:v>0</x:v>
      </x:c>
    </x:row>
    <x:row r="979" ht="64" customHeight="1">
      <x:c r="A979" s="10" t="str">
        <x:v>IEK</x:v>
      </x:c>
      <x:c r="B979" s="34" t="str">
        <x:v>270300222_</x:v>
      </x:c>
      <x:c r="C979" s="34" t="str">
        <x:v>YCE-CS-150-20</x:v>
      </x:c>
      <x:c r="D979" s="13" t="str">
        <x:v>Обогреватель на DIN-рейку в корпусе 150Вт IP20 IEK (40) NEW</x:v>
      </x:c>
      <x:c r="E979" s="10" t="str">
        <x:v>шт</x:v>
      </x:c>
      <x:c r="F979" s="37" t="n">
        <x:f>MAX(0,ROUNDDOWN((AG979-AF979)/AR979+0.000000001,0)*AR979)</x:f>
        <x:v>1</x:v>
      </x:c>
      <x:c r="G979" s="21" t="str">
        <x:f>IF(J979="Рассчитано",V979*(1-R979/100)-W979-P979-Q979,"н/д")</x:f>
        <x:v>н/д</x:v>
      </x:c>
      <x:c r="H979" s="13" t="str">
        <x:v>Высокий</x:v>
      </x:c>
      <x:c r="I979" s="13" t="str">
        <x:v>Высокий</x:v>
      </x:c>
      <x:c r="J979" s="13" t="str">
        <x:f>IF(L979="","Укажите валюту",IF(NOT(ISNUMBER(K979)),"Укажите объём",IF(K979&lt;=0,"Укажите объём",IF(K979&gt;F979,"Объём выше излишка",IF(COUNT(M979:O979)&lt;3,"Нужны цены",IF(COUNT(P979:R979)&lt;3,"Нужны расходы",IF(OR(M979&lt;0,N979&lt;0,O979&lt;0,O979&gt;100,P979&lt;0,Q979&lt;0,R979&lt;0,R979&gt;100),"Проверьте значения","Рассчитано")))))))</x:f>
        <x:v>Нужны цены</x:v>
      </x:c>
      <x:c r="K979" s="36" t="n">
        <x:v>1</x:v>
      </x:c>
      <x:c r="L979" s="19" t="str">
        <x:v>KZT</x:v>
      </x:c>
      <x:c r="M979" s="22"/>
      <x:c r="N979" s="22"/>
      <x:c r="O979" s="28"/>
      <x:c r="P979" s="22"/>
      <x:c r="Q979" s="22"/>
      <x:c r="R979" s="28"/>
      <x:c r="S979" s="22"/>
      <x:c r="T979" s="37" t="n">
        <x:f>K979</x:f>
        <x:v>1</x:v>
      </x:c>
      <x:c r="U979" s="21" t="str">
        <x:f>IF(J979="Рассчитано",N979*(1-O979/100),"н/д")</x:f>
        <x:v>н/д</x:v>
      </x:c>
      <x:c r="V979" s="21" t="str">
        <x:f>IF(J979="Рассчитано",T979*U979,"н/д")</x:f>
        <x:v>н/д</x:v>
      </x:c>
      <x:c r="W979" s="21" t="str">
        <x:f>IF(J979="Рассчитано",T979*M979,"н/д")</x:f>
        <x:v>н/д</x:v>
      </x:c>
      <x:c r="X979" s="21" t="str">
        <x:f>IF(J979="Рассчитано",V979-W979,"н/д")</x:f>
        <x:v>н/д</x:v>
      </x:c>
      <x:c r="Y979" s="27" t="str">
        <x:f>IF(J979="Рассчитано",IF(V979&gt;0,G979/V979,"н/д"),"н/д")</x:f>
        <x:v>н/д</x:v>
      </x:c>
      <x:c r="Z979" s="21" t="str">
        <x:f>"н/д"</x:f>
        <x:v>н/д</x:v>
      </x:c>
      <x:c r="AA979" s="21" t="str">
        <x:f>"н/д"</x:f>
        <x:v>н/д</x:v>
      </x:c>
      <x:c r="AB979" s="21" t="str">
        <x:f>"н/д"</x:f>
        <x:v>н/д</x:v>
      </x:c>
      <x:c r="AC979" s="21" t="str">
        <x:f>IF(AND(J979="Рассчитано",T979&gt;0,R979&lt;100),(W979+P979+Q979)/(T979*(1-R979/100)),"н/д")</x:f>
        <x:v>н/д</x:v>
      </x:c>
      <x:c r="AD979" s="10" t="str">
        <x:f>IF(ISNUMBER(G979),IF(G979&lt;0,"Убыток",IF(G979=0,"Без прибыли","Прибыль &gt; 0")),"Не оценён")</x:f>
        <x:v>Не оценён</x:v>
      </x:c>
      <x:c r="AE979" s="13" t="str">
        <x:f>IF(J979="Рассчитано","Выручка "&amp;TEXT(V979,"0.00")&amp;" - себестоимость "&amp;TEXT(W979,"0.00")&amp;" - комиссия "&amp;TEXT(V979*R979/100,"0.00")&amp;" - доставка "&amp;TEXT(P979,"0.00")&amp;" - прочие "&amp;TEXT(Q979,"0.00")&amp;" = "&amp;TEXT(G979,"0.00")&amp;" "&amp;L979,"Введите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9" s="24" t="n">
        <x:v>0</x:v>
      </x:c>
      <x:c r="AG979" s="37" t="n">
        <x:v>1</x:v>
      </x:c>
      <x:c r="AH979" s="37" t="n">
        <x:v>0</x:v>
      </x:c>
      <x:c r="AI979" s="30" t="n">
        <x:v>46266</x:v>
      </x:c>
      <x:c r="AJ979" s="37" t="n">
        <x:v>1</x:v>
      </x:c>
      <x:c r="AK979" s="10" t="str">
        <x:v>минимум</x:v>
      </x:c>
      <x:c r="AL979" s="32" t="str">
        <x:v>н/д</x:v>
      </x:c>
      <x:c r="AM97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79" s="13" t="str">
        <x:v>Проверить свободный остаток и установить цену для B2B</x:v>
      </x:c>
      <x:c r="AO979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79" s="13" t="str">
        <x:v>["category_missing", "daily_stockout_data_missing", "new_order_lead_time_unknown", "reservations_unknown", "stale_stock"]</x:v>
      </x:c>
      <x:c r="AQ979" s="10" t="str">
        <x:v>IEK:270300222_</x:v>
      </x:c>
      <x:c r="AR979" s="24" t="n">
        <x:v>1</x:v>
      </x:c>
      <x:c r="AS979" s="24" t="n">
        <x:v>0</x:v>
      </x:c>
      <x:c r="AT979" s="24" t="n">
        <x:v>0</x:v>
      </x:c>
    </x:row>
    <x:row r="980" ht="64" customHeight="1">
      <x:c r="A980" s="11" t="str">
        <x:v>IEK</x:v>
      </x:c>
      <x:c r="B980" s="33" t="str">
        <x:v>270300244_</x:v>
      </x:c>
      <x:c r="C980" s="33" t="str">
        <x:v>YCE-HG-150-20</x:v>
      </x:c>
      <x:c r="D980" s="12" t="str">
        <x:v>Обогреватель на DIN-рейку 150Вт IP20 IEK (25) NEW</x:v>
      </x:c>
      <x:c r="E980" s="11" t="str">
        <x:v>шт</x:v>
      </x:c>
      <x:c r="F980" s="35" t="n">
        <x:f>MAX(0,ROUNDDOWN((AG980-AF980)/AR980+0.000000001,0)*AR980)</x:f>
        <x:v>1</x:v>
      </x:c>
      <x:c r="G980" s="20" t="str">
        <x:f>IF(J980="Рассчитано",V980*(1-R980/100)-W980-P980-Q980,"н/д")</x:f>
        <x:v>н/д</x:v>
      </x:c>
      <x:c r="H980" s="12" t="str">
        <x:v>Высокий</x:v>
      </x:c>
      <x:c r="I980" s="12" t="str">
        <x:v>Высокий</x:v>
      </x:c>
      <x:c r="J980" s="12" t="str">
        <x:f>IF(L980="","Укажите валюту",IF(NOT(ISNUMBER(K980)),"Укажите объём",IF(K980&lt;=0,"Укажите объём",IF(K980&gt;F980,"Объём выше излишка",IF(COUNT(M980:O980)&lt;3,"Нужны цены",IF(COUNT(P980:R980)&lt;3,"Нужны расходы",IF(OR(M980&lt;0,N980&lt;0,O980&lt;0,O980&gt;100,P980&lt;0,Q980&lt;0,R980&lt;0,R980&gt;100),"Проверьте значения","Рассчитано")))))))</x:f>
        <x:v>Нужны цены</x:v>
      </x:c>
      <x:c r="K980" s="36" t="n">
        <x:v>1</x:v>
      </x:c>
      <x:c r="L980" s="19" t="str">
        <x:v>KZT</x:v>
      </x:c>
      <x:c r="M980" s="22"/>
      <x:c r="N980" s="22"/>
      <x:c r="O980" s="28"/>
      <x:c r="P980" s="22"/>
      <x:c r="Q980" s="22"/>
      <x:c r="R980" s="28"/>
      <x:c r="S980" s="22"/>
      <x:c r="T980" s="35" t="n">
        <x:f>K980</x:f>
        <x:v>1</x:v>
      </x:c>
      <x:c r="U980" s="20" t="str">
        <x:f>IF(J980="Рассчитано",N980*(1-O980/100),"н/д")</x:f>
        <x:v>н/д</x:v>
      </x:c>
      <x:c r="V980" s="20" t="str">
        <x:f>IF(J980="Рассчитано",T980*U980,"н/д")</x:f>
        <x:v>н/д</x:v>
      </x:c>
      <x:c r="W980" s="20" t="str">
        <x:f>IF(J980="Рассчитано",T980*M980,"н/д")</x:f>
        <x:v>н/д</x:v>
      </x:c>
      <x:c r="X980" s="20" t="str">
        <x:f>IF(J980="Рассчитано",V980-W980,"н/д")</x:f>
        <x:v>н/д</x:v>
      </x:c>
      <x:c r="Y980" s="26" t="str">
        <x:f>IF(J980="Рассчитано",IF(V980&gt;0,G980/V980,"н/д"),"н/д")</x:f>
        <x:v>н/д</x:v>
      </x:c>
      <x:c r="Z980" s="20" t="str">
        <x:f>"н/д"</x:f>
        <x:v>н/д</x:v>
      </x:c>
      <x:c r="AA980" s="20" t="str">
        <x:f>"н/д"</x:f>
        <x:v>н/д</x:v>
      </x:c>
      <x:c r="AB980" s="20" t="str">
        <x:f>"н/д"</x:f>
        <x:v>н/д</x:v>
      </x:c>
      <x:c r="AC980" s="20" t="str">
        <x:f>IF(AND(J980="Рассчитано",T980&gt;0,R980&lt;100),(W980+P980+Q980)/(T980*(1-R980/100)),"н/д")</x:f>
        <x:v>н/д</x:v>
      </x:c>
      <x:c r="AD980" s="11" t="str">
        <x:f>IF(ISNUMBER(G980),IF(G980&lt;0,"Убыток",IF(G980=0,"Без прибыли","Прибыль &gt; 0")),"Не оценён")</x:f>
        <x:v>Не оценён</x:v>
      </x:c>
      <x:c r="AE980" s="12" t="str">
        <x:f>IF(J980="Рассчитано","Выручка "&amp;TEXT(V980,"0.00")&amp;" - себестоимость "&amp;TEXT(W980,"0.00")&amp;" - комиссия "&amp;TEXT(V980*R980/100,"0.00")&amp;" - доставка "&amp;TEXT(P980,"0.00")&amp;" - прочие "&amp;TEXT(Q980,"0.00")&amp;" = "&amp;TEXT(G980,"0.00")&amp;" "&amp;L980,"Введите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0" s="23" t="n">
        <x:v>1.100138250434004</x:v>
      </x:c>
      <x:c r="AG980" s="35" t="n">
        <x:v>3</x:v>
      </x:c>
      <x:c r="AH980" s="35" t="n">
        <x:v>0</x:v>
      </x:c>
      <x:c r="AI980" s="29" t="n">
        <x:v>46266</x:v>
      </x:c>
      <x:c r="AJ980" s="35" t="n">
        <x:v>1</x:v>
      </x:c>
      <x:c r="AK980" s="11" t="str">
        <x:v>минимум</x:v>
      </x:c>
      <x:c r="AL980" s="31" t="n">
        <x:v>231.89588073112012</x:v>
      </x:c>
      <x:c r="AM98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80" s="12" t="str">
        <x:v>Проверить свободный остаток и установить цену для B2B</x:v>
      </x:c>
      <x:c r="AO980" s="12" t="str">
        <x:v>Остаток 3; прогноз 90 дней 1.10; избыток 1 шт. Будущие поступления не выставляются на продажу. Остаток на начало сентября: требуется актуализация.</x:v>
      </x:c>
      <x:c r="AP980" s="12" t="str">
        <x:v>["category_missing", "daily_stockout_data_missing", "new_order_lead_time_unknown", "reservations_unknown", "stale_stock"]</x:v>
      </x:c>
      <x:c r="AQ980" s="11" t="str">
        <x:v>IEK:270300244_</x:v>
      </x:c>
      <x:c r="AR980" s="23" t="n">
        <x:v>1</x:v>
      </x:c>
      <x:c r="AS980" s="23" t="n">
        <x:v>0</x:v>
      </x:c>
      <x:c r="AT980" s="23" t="n">
        <x:v>0</x:v>
      </x:c>
    </x:row>
    <x:row r="981" ht="64" customHeight="1">
      <x:c r="A981" s="10" t="str">
        <x:v>IEK</x:v>
      </x:c>
      <x:c r="B981" s="34" t="str">
        <x:v>270300253_</x:v>
      </x:c>
      <x:c r="C981" s="34" t="str">
        <x:v>MTT12-012-0251-54</x:v>
      </x:c>
      <x:c r="D981" s="13" t="str">
        <x:v>Ящик  ЯТП(укп) 230/12 IP54 IEK (1)</x:v>
      </x:c>
      <x:c r="E981" s="10" t="str">
        <x:v>шт</x:v>
      </x:c>
      <x:c r="F981" s="37" t="n">
        <x:f>MAX(0,ROUNDDOWN((AG981-AF981)/AR981+0.000000001,0)*AR981)</x:f>
        <x:v>1</x:v>
      </x:c>
      <x:c r="G981" s="21" t="str">
        <x:f>IF(J981="Рассчитано",V981*(1-R981/100)-W981-P981-Q981,"н/д")</x:f>
        <x:v>н/д</x:v>
      </x:c>
      <x:c r="H981" s="13" t="str">
        <x:v>Высокий</x:v>
      </x:c>
      <x:c r="I981" s="13" t="str">
        <x:v>Высокий</x:v>
      </x:c>
      <x:c r="J981" s="13" t="str">
        <x:f>IF(L981="","Укажите валюту",IF(NOT(ISNUMBER(K981)),"Укажите объём",IF(K981&lt;=0,"Укажите объём",IF(K981&gt;F981,"Объём выше излишка",IF(COUNT(M981:O981)&lt;3,"Нужны цены",IF(COUNT(P981:R981)&lt;3,"Нужны расходы",IF(OR(M981&lt;0,N981&lt;0,O981&lt;0,O981&gt;100,P981&lt;0,Q981&lt;0,R981&lt;0,R981&gt;100),"Проверьте значения","Рассчитано")))))))</x:f>
        <x:v>Нужны цены</x:v>
      </x:c>
      <x:c r="K981" s="36" t="n">
        <x:v>1</x:v>
      </x:c>
      <x:c r="L981" s="19" t="str">
        <x:v>KZT</x:v>
      </x:c>
      <x:c r="M981" s="22"/>
      <x:c r="N981" s="22"/>
      <x:c r="O981" s="28"/>
      <x:c r="P981" s="22"/>
      <x:c r="Q981" s="22"/>
      <x:c r="R981" s="28"/>
      <x:c r="S981" s="22"/>
      <x:c r="T981" s="37" t="n">
        <x:f>K981</x:f>
        <x:v>1</x:v>
      </x:c>
      <x:c r="U981" s="21" t="str">
        <x:f>IF(J981="Рассчитано",N981*(1-O981/100),"н/д")</x:f>
        <x:v>н/д</x:v>
      </x:c>
      <x:c r="V981" s="21" t="str">
        <x:f>IF(J981="Рассчитано",T981*U981,"н/д")</x:f>
        <x:v>н/д</x:v>
      </x:c>
      <x:c r="W981" s="21" t="str">
        <x:f>IF(J981="Рассчитано",T981*M981,"н/д")</x:f>
        <x:v>н/д</x:v>
      </x:c>
      <x:c r="X981" s="21" t="str">
        <x:f>IF(J981="Рассчитано",V981-W981,"н/д")</x:f>
        <x:v>н/д</x:v>
      </x:c>
      <x:c r="Y981" s="27" t="str">
        <x:f>IF(J981="Рассчитано",IF(V981&gt;0,G981/V981,"н/д"),"н/д")</x:f>
        <x:v>н/д</x:v>
      </x:c>
      <x:c r="Z981" s="21" t="str">
        <x:f>"н/д"</x:f>
        <x:v>н/д</x:v>
      </x:c>
      <x:c r="AA981" s="21" t="str">
        <x:f>"н/д"</x:f>
        <x:v>н/д</x:v>
      </x:c>
      <x:c r="AB981" s="21" t="str">
        <x:f>"н/д"</x:f>
        <x:v>н/д</x:v>
      </x:c>
      <x:c r="AC981" s="21" t="str">
        <x:f>IF(AND(J981="Рассчитано",T981&gt;0,R981&lt;100),(W981+P981+Q981)/(T981*(1-R981/100)),"н/д")</x:f>
        <x:v>н/д</x:v>
      </x:c>
      <x:c r="AD981" s="10" t="str">
        <x:f>IF(ISNUMBER(G981),IF(G981&lt;0,"Убыток",IF(G981=0,"Без прибыли","Прибыль &gt; 0")),"Не оценён")</x:f>
        <x:v>Не оценён</x:v>
      </x:c>
      <x:c r="AE981" s="13" t="str">
        <x:f>IF(J981="Рассчитано","Выручка "&amp;TEXT(V981,"0.00")&amp;" - себестоимость "&amp;TEXT(W981,"0.00")&amp;" - комиссия "&amp;TEXT(V981*R981/100,"0.00")&amp;" - доставка "&amp;TEXT(P981,"0.00")&amp;" - прочие "&amp;TEXT(Q981,"0.00")&amp;" = "&amp;TEXT(G981,"0.00")&amp;" "&amp;L981,"Введите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1" s="24" t="n">
        <x:v>0.4760682337592616</x:v>
      </x:c>
      <x:c r="AG981" s="37" t="n">
        <x:v>2</x:v>
      </x:c>
      <x:c r="AH981" s="37" t="n">
        <x:v>0</x:v>
      </x:c>
      <x:c r="AI981" s="30" t="n">
        <x:v>46266</x:v>
      </x:c>
      <x:c r="AJ981" s="37" t="n">
        <x:v>1</x:v>
      </x:c>
      <x:c r="AK981" s="10" t="str">
        <x:v>минимум</x:v>
      </x:c>
      <x:c r="AL981" s="32" t="n">
        <x:v>357.25625084714886</x:v>
      </x:c>
      <x:c r="AM98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81" s="13" t="str">
        <x:v>Проверить свободный остаток и установить цену для B2B</x:v>
      </x:c>
      <x:c r="AO981" s="13" t="str">
        <x:v>Остаток 2; прогноз 90 дней 0.48; избыток 1 шт. Будущие поступления не выставляются на продажу. Остаток на начало сентября: требуется актуализация.</x:v>
      </x:c>
      <x:c r="AP981" s="13" t="str">
        <x:v>["category_missing", "daily_stockout_data_missing", "negative_net_sales_clipped_for_forecast", "new_order_lead_time_unknown", "reservations_unknown", "stale_stock"]</x:v>
      </x:c>
      <x:c r="AQ981" s="10" t="str">
        <x:v>IEK:270300253_</x:v>
      </x:c>
      <x:c r="AR981" s="24" t="n">
        <x:v>1</x:v>
      </x:c>
      <x:c r="AS981" s="24" t="n">
        <x:v>0</x:v>
      </x:c>
      <x:c r="AT981" s="24" t="n">
        <x:v>0</x:v>
      </x:c>
    </x:row>
    <x:row r="982" ht="64" customHeight="1">
      <x:c r="A982" s="11" t="str">
        <x:v>IEK</x:v>
      </x:c>
      <x:c r="B982" s="33" t="str">
        <x:v>270300254_</x:v>
      </x:c>
      <x:c r="C982" s="33" t="str">
        <x:v>MTT12-036-0251-54</x:v>
      </x:c>
      <x:c r="D982" s="12" t="str">
        <x:v>Ящик  ЯТП(укп) 230/36 IP54 IEK (1)</x:v>
      </x:c>
      <x:c r="E982" s="11" t="str">
        <x:v>шт</x:v>
      </x:c>
      <x:c r="F982" s="35" t="n">
        <x:f>MAX(0,ROUNDDOWN((AG982-AF982)/AR982+0.000000001,0)*AR982)</x:f>
        <x:v>6</x:v>
      </x:c>
      <x:c r="G982" s="20" t="str">
        <x:f>IF(J982="Рассчитано",V982*(1-R982/100)-W982-P982-Q982,"н/д")</x:f>
        <x:v>н/д</x:v>
      </x:c>
      <x:c r="H982" s="12" t="str">
        <x:v>Высокий</x:v>
      </x:c>
      <x:c r="I982" s="12" t="str">
        <x:v>Высокий</x:v>
      </x:c>
      <x:c r="J982" s="12" t="str">
        <x:f>IF(L982="","Укажите валюту",IF(NOT(ISNUMBER(K982)),"Укажите объём",IF(K982&lt;=0,"Укажите объём",IF(K982&gt;F982,"Объём выше излишка",IF(COUNT(M982:O982)&lt;3,"Нужны цены",IF(COUNT(P982:R982)&lt;3,"Нужны расходы",IF(OR(M982&lt;0,N982&lt;0,O982&lt;0,O982&gt;100,P982&lt;0,Q982&lt;0,R982&lt;0,R982&gt;100),"Проверьте значения","Рассчитано")))))))</x:f>
        <x:v>Нужны цены</x:v>
      </x:c>
      <x:c r="K982" s="36" t="n">
        <x:v>6</x:v>
      </x:c>
      <x:c r="L982" s="19" t="str">
        <x:v>KZT</x:v>
      </x:c>
      <x:c r="M982" s="22"/>
      <x:c r="N982" s="22"/>
      <x:c r="O982" s="28"/>
      <x:c r="P982" s="22"/>
      <x:c r="Q982" s="22"/>
      <x:c r="R982" s="28"/>
      <x:c r="S982" s="22"/>
      <x:c r="T982" s="35" t="n">
        <x:f>K982</x:f>
        <x:v>6</x:v>
      </x:c>
      <x:c r="U982" s="20" t="str">
        <x:f>IF(J982="Рассчитано",N982*(1-O982/100),"н/д")</x:f>
        <x:v>н/д</x:v>
      </x:c>
      <x:c r="V982" s="20" t="str">
        <x:f>IF(J982="Рассчитано",T982*U982,"н/д")</x:f>
        <x:v>н/д</x:v>
      </x:c>
      <x:c r="W982" s="20" t="str">
        <x:f>IF(J982="Рассчитано",T982*M982,"н/д")</x:f>
        <x:v>н/д</x:v>
      </x:c>
      <x:c r="X982" s="20" t="str">
        <x:f>IF(J982="Рассчитано",V982-W982,"н/д")</x:f>
        <x:v>н/д</x:v>
      </x:c>
      <x:c r="Y982" s="26" t="str">
        <x:f>IF(J982="Рассчитано",IF(V982&gt;0,G982/V982,"н/д"),"н/д")</x:f>
        <x:v>н/д</x:v>
      </x:c>
      <x:c r="Z982" s="20" t="str">
        <x:f>"н/д"</x:f>
        <x:v>н/д</x:v>
      </x:c>
      <x:c r="AA982" s="20" t="str">
        <x:f>"н/д"</x:f>
        <x:v>н/д</x:v>
      </x:c>
      <x:c r="AB982" s="20" t="str">
        <x:f>"н/д"</x:f>
        <x:v>н/д</x:v>
      </x:c>
      <x:c r="AC982" s="20" t="str">
        <x:f>IF(AND(J982="Рассчитано",T982&gt;0,R982&lt;100),(W982+P982+Q982)/(T982*(1-R982/100)),"н/д")</x:f>
        <x:v>н/д</x:v>
      </x:c>
      <x:c r="AD982" s="11" t="str">
        <x:f>IF(ISNUMBER(G982),IF(G982&lt;0,"Убыток",IF(G982=0,"Без прибыли","Прибыль &gt; 0")),"Не оценён")</x:f>
        <x:v>Не оценён</x:v>
      </x:c>
      <x:c r="AE982" s="12" t="str">
        <x:f>IF(J982="Рассчитано","Выручка "&amp;TEXT(V982,"0.00")&amp;" - себестоимость "&amp;TEXT(W982,"0.00")&amp;" - комиссия "&amp;TEXT(V982*R982/100,"0.00")&amp;" - доставка "&amp;TEXT(P982,"0.00")&amp;" - прочие "&amp;TEXT(Q982,"0.00")&amp;" = "&amp;TEXT(G982,"0.00")&amp;" "&amp;L982,"Введите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2" s="23" t="n">
        <x:v>2.0136655955495564</x:v>
      </x:c>
      <x:c r="AG982" s="35" t="n">
        <x:v>9</x:v>
      </x:c>
      <x:c r="AH982" s="35" t="n">
        <x:v>0</x:v>
      </x:c>
      <x:c r="AI982" s="29" t="n">
        <x:v>46266</x:v>
      </x:c>
      <x:c r="AJ982" s="35" t="n">
        <x:v>1</x:v>
      </x:c>
      <x:c r="AK982" s="11" t="str">
        <x:v>минимум</x:v>
      </x:c>
      <x:c r="AL982" s="31" t="n">
        <x:v>380.0792878532976</x:v>
      </x:c>
      <x:c r="AM98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82" s="12" t="str">
        <x:v>Проверить свободный остаток и установить цену для B2B</x:v>
      </x:c>
      <x:c r="AO982" s="12" t="str">
        <x:v>Остаток 9; прогноз 90 дней 2.01; избыток 6 шт. Будущие поступления не выставляются на продажу. Остаток на начало сентября: требуется актуализация.</x:v>
      </x:c>
      <x:c r="AP982" s="12" t="str">
        <x:v>["category_missing", "daily_stockout_data_missing", "new_order_lead_time_unknown", "reservations_unknown", "stale_stock"]</x:v>
      </x:c>
      <x:c r="AQ982" s="11" t="str">
        <x:v>IEK:270300254_</x:v>
      </x:c>
      <x:c r="AR982" s="23" t="n">
        <x:v>1</x:v>
      </x:c>
      <x:c r="AS982" s="23" t="n">
        <x:v>0</x:v>
      </x:c>
      <x:c r="AT982" s="23" t="n">
        <x:v>0</x:v>
      </x:c>
    </x:row>
    <x:row r="983" ht="64" customHeight="1">
      <x:c r="A983" s="10" t="str">
        <x:v>IEK</x:v>
      </x:c>
      <x:c r="B983" s="34" t="str">
        <x:v>270300260_</x:v>
      </x:c>
      <x:c r="C983" s="34" t="str">
        <x:v>YCE-HVL-100-20</x:v>
      </x:c>
      <x:c r="D983" s="13" t="str">
        <x:v>Обогреватель на DIN-рейку (встр. вентилятор) 100 Вт IP20 IEK (20) NEW(20) NEW</x:v>
      </x:c>
      <x:c r="E983" s="10" t="str">
        <x:v>шт</x:v>
      </x:c>
      <x:c r="F983" s="37" t="n">
        <x:f>MAX(0,ROUNDDOWN((AG983-AF983)/AR983+0.000000001,0)*AR983)</x:f>
        <x:v>1</x:v>
      </x:c>
      <x:c r="G983" s="21" t="str">
        <x:f>IF(J983="Рассчитано",V983*(1-R983/100)-W983-P983-Q983,"н/д")</x:f>
        <x:v>н/д</x:v>
      </x:c>
      <x:c r="H983" s="13" t="str">
        <x:v>Высокий</x:v>
      </x:c>
      <x:c r="I983" s="13" t="str">
        <x:v>Высокий</x:v>
      </x:c>
      <x:c r="J983" s="13" t="str">
        <x:f>IF(L983="","Укажите валюту",IF(NOT(ISNUMBER(K983)),"Укажите объём",IF(K983&lt;=0,"Укажите объём",IF(K983&gt;F983,"Объём выше излишка",IF(COUNT(M983:O983)&lt;3,"Нужны цены",IF(COUNT(P983:R983)&lt;3,"Нужны расходы",IF(OR(M983&lt;0,N983&lt;0,O983&lt;0,O983&gt;100,P983&lt;0,Q983&lt;0,R983&lt;0,R983&gt;100),"Проверьте значения","Рассчитано")))))))</x:f>
        <x:v>Нужны цены</x:v>
      </x:c>
      <x:c r="K983" s="36" t="n">
        <x:v>1</x:v>
      </x:c>
      <x:c r="L983" s="19" t="str">
        <x:v>KZT</x:v>
      </x:c>
      <x:c r="M983" s="22"/>
      <x:c r="N983" s="22"/>
      <x:c r="O983" s="28"/>
      <x:c r="P983" s="22"/>
      <x:c r="Q983" s="22"/>
      <x:c r="R983" s="28"/>
      <x:c r="S983" s="22"/>
      <x:c r="T983" s="37" t="n">
        <x:f>K983</x:f>
        <x:v>1</x:v>
      </x:c>
      <x:c r="U983" s="21" t="str">
        <x:f>IF(J983="Рассчитано",N983*(1-O983/100),"н/д")</x:f>
        <x:v>н/д</x:v>
      </x:c>
      <x:c r="V983" s="21" t="str">
        <x:f>IF(J983="Рассчитано",T983*U983,"н/д")</x:f>
        <x:v>н/д</x:v>
      </x:c>
      <x:c r="W983" s="21" t="str">
        <x:f>IF(J983="Рассчитано",T983*M983,"н/д")</x:f>
        <x:v>н/д</x:v>
      </x:c>
      <x:c r="X983" s="21" t="str">
        <x:f>IF(J983="Рассчитано",V983-W983,"н/д")</x:f>
        <x:v>н/д</x:v>
      </x:c>
      <x:c r="Y983" s="27" t="str">
        <x:f>IF(J983="Рассчитано",IF(V983&gt;0,G983/V983,"н/д"),"н/д")</x:f>
        <x:v>н/д</x:v>
      </x:c>
      <x:c r="Z983" s="21" t="str">
        <x:f>"н/д"</x:f>
        <x:v>н/д</x:v>
      </x:c>
      <x:c r="AA983" s="21" t="str">
        <x:f>"н/д"</x:f>
        <x:v>н/д</x:v>
      </x:c>
      <x:c r="AB983" s="21" t="str">
        <x:f>"н/д"</x:f>
        <x:v>н/д</x:v>
      </x:c>
      <x:c r="AC983" s="21" t="str">
        <x:f>IF(AND(J983="Рассчитано",T983&gt;0,R983&lt;100),(W983+P983+Q983)/(T983*(1-R983/100)),"н/д")</x:f>
        <x:v>н/д</x:v>
      </x:c>
      <x:c r="AD983" s="10" t="str">
        <x:f>IF(ISNUMBER(G983),IF(G983&lt;0,"Убыток",IF(G983=0,"Без прибыли","Прибыль &gt; 0")),"Не оценён")</x:f>
        <x:v>Не оценён</x:v>
      </x:c>
      <x:c r="AE983" s="13" t="str">
        <x:f>IF(J983="Рассчитано","Выручка "&amp;TEXT(V983,"0.00")&amp;" - себестоимость "&amp;TEXT(W983,"0.00")&amp;" - комиссия "&amp;TEXT(V983*R983/100,"0.00")&amp;" - доставка "&amp;TEXT(P983,"0.00")&amp;" - прочие "&amp;TEXT(Q983,"0.00")&amp;" = "&amp;TEXT(G983,"0.00")&amp;" "&amp;L983,"Введите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3" s="24" t="n">
        <x:v>0.4139203350885301</x:v>
      </x:c>
      <x:c r="AG983" s="37" t="n">
        <x:v>2</x:v>
      </x:c>
      <x:c r="AH983" s="37" t="n">
        <x:v>0</x:v>
      </x:c>
      <x:c r="AI983" s="30" t="n">
        <x:v>46266</x:v>
      </x:c>
      <x:c r="AJ983" s="37" t="n">
        <x:v>1</x:v>
      </x:c>
      <x:c r="AK983" s="10" t="str">
        <x:v>минимум</x:v>
      </x:c>
      <x:c r="AL983" s="32" t="n">
        <x:v>410.89634386742904</x:v>
      </x:c>
      <x:c r="AM9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83" s="13" t="str">
        <x:v>Проверить свободный остаток и установить цену для B2B</x:v>
      </x:c>
      <x:c r="AO983" s="13" t="str">
        <x:v>Остаток 2; прогноз 90 дней 0.41; избыток 1 шт. Будущие поступления не выставляются на продажу. Остаток на начало сентября: требуется актуализация.</x:v>
      </x:c>
      <x:c r="AP983" s="13" t="str">
        <x:v>["category_missing", "daily_stockout_data_missing", "new_order_lead_time_unknown", "reservations_unknown", "stale_stock"]</x:v>
      </x:c>
      <x:c r="AQ983" s="10" t="str">
        <x:v>IEK:270300260_</x:v>
      </x:c>
      <x:c r="AR983" s="24" t="n">
        <x:v>1</x:v>
      </x:c>
      <x:c r="AS983" s="24" t="n">
        <x:v>0</x:v>
      </x:c>
      <x:c r="AT983" s="24" t="n">
        <x:v>0</x:v>
      </x:c>
    </x:row>
    <x:row r="984" ht="64" customHeight="1">
      <x:c r="A984" s="11" t="str">
        <x:v>IEK</x:v>
      </x:c>
      <x:c r="B984" s="33" t="str">
        <x:v>270300262_</x:v>
      </x:c>
      <x:c r="C984" s="33" t="str">
        <x:v>YCE-HG-030-20</x:v>
      </x:c>
      <x:c r="D984" s="12" t="str">
        <x:v>Обогреватель на DIN-рейку 30Вт IP20 IEK (50) NEW</x:v>
      </x:c>
      <x:c r="E984" s="11" t="str">
        <x:v>шт</x:v>
      </x:c>
      <x:c r="F984" s="35" t="n">
        <x:f>MAX(0,ROUNDDOWN((AG984-AF984)/AR984+0.000000001,0)*AR984)</x:f>
        <x:v>6</x:v>
      </x:c>
      <x:c r="G984" s="20" t="str">
        <x:f>IF(J984="Рассчитано",V984*(1-R984/100)-W984-P984-Q984,"н/д")</x:f>
        <x:v>н/д</x:v>
      </x:c>
      <x:c r="H984" s="12" t="str">
        <x:v>Высокий</x:v>
      </x:c>
      <x:c r="I984" s="12" t="str">
        <x:v>Высокий</x:v>
      </x:c>
      <x:c r="J984" s="12" t="str">
        <x:f>IF(L984="","Укажите валюту",IF(NOT(ISNUMBER(K984)),"Укажите объём",IF(K984&lt;=0,"Укажите объём",IF(K984&gt;F984,"Объём выше излишка",IF(COUNT(M984:O984)&lt;3,"Нужны цены",IF(COUNT(P984:R984)&lt;3,"Нужны расходы",IF(OR(M984&lt;0,N984&lt;0,O984&lt;0,O984&gt;100,P984&lt;0,Q984&lt;0,R984&lt;0,R984&gt;100),"Проверьте значения","Рассчитано")))))))</x:f>
        <x:v>Нужны цены</x:v>
      </x:c>
      <x:c r="K984" s="36" t="n">
        <x:v>6</x:v>
      </x:c>
      <x:c r="L984" s="19" t="str">
        <x:v>KZT</x:v>
      </x:c>
      <x:c r="M984" s="22"/>
      <x:c r="N984" s="22"/>
      <x:c r="O984" s="28"/>
      <x:c r="P984" s="22"/>
      <x:c r="Q984" s="22"/>
      <x:c r="R984" s="28"/>
      <x:c r="S984" s="22"/>
      <x:c r="T984" s="35" t="n">
        <x:f>K984</x:f>
        <x:v>6</x:v>
      </x:c>
      <x:c r="U984" s="20" t="str">
        <x:f>IF(J984="Рассчитано",N984*(1-O984/100),"н/д")</x:f>
        <x:v>н/д</x:v>
      </x:c>
      <x:c r="V984" s="20" t="str">
        <x:f>IF(J984="Рассчитано",T984*U984,"н/д")</x:f>
        <x:v>н/д</x:v>
      </x:c>
      <x:c r="W984" s="20" t="str">
        <x:f>IF(J984="Рассчитано",T984*M984,"н/д")</x:f>
        <x:v>н/д</x:v>
      </x:c>
      <x:c r="X984" s="20" t="str">
        <x:f>IF(J984="Рассчитано",V984-W984,"н/д")</x:f>
        <x:v>н/д</x:v>
      </x:c>
      <x:c r="Y984" s="26" t="str">
        <x:f>IF(J984="Рассчитано",IF(V984&gt;0,G984/V984,"н/д"),"н/д")</x:f>
        <x:v>н/д</x:v>
      </x:c>
      <x:c r="Z984" s="20" t="str">
        <x:f>"н/д"</x:f>
        <x:v>н/д</x:v>
      </x:c>
      <x:c r="AA984" s="20" t="str">
        <x:f>"н/д"</x:f>
        <x:v>н/д</x:v>
      </x:c>
      <x:c r="AB984" s="20" t="str">
        <x:f>"н/д"</x:f>
        <x:v>н/д</x:v>
      </x:c>
      <x:c r="AC984" s="20" t="str">
        <x:f>IF(AND(J984="Рассчитано",T984&gt;0,R984&lt;100),(W984+P984+Q984)/(T984*(1-R984/100)),"н/д")</x:f>
        <x:v>н/д</x:v>
      </x:c>
      <x:c r="AD984" s="11" t="str">
        <x:f>IF(ISNUMBER(G984),IF(G984&lt;0,"Убыток",IF(G984=0,"Без прибыли","Прибыль &gt; 0")),"Не оценён")</x:f>
        <x:v>Не оценён</x:v>
      </x:c>
      <x:c r="AE984" s="12" t="str">
        <x:f>IF(J984="Рассчитано","Выручка "&amp;TEXT(V984,"0.00")&amp;" - себестоимость "&amp;TEXT(W984,"0.00")&amp;" - комиссия "&amp;TEXT(V984*R984/100,"0.00")&amp;" - доставка "&amp;TEXT(P984,"0.00")&amp;" - прочие "&amp;TEXT(Q984,"0.00")&amp;" = "&amp;TEXT(G984,"0.00")&amp;" "&amp;L984,"Введите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4" s="23" t="n">
        <x:v>0.899262513721768</x:v>
      </x:c>
      <x:c r="AG984" s="35" t="n">
        <x:v>7</x:v>
      </x:c>
      <x:c r="AH984" s="35" t="n">
        <x:v>0</x:v>
      </x:c>
      <x:c r="AI984" s="29" t="n">
        <x:v>46266</x:v>
      </x:c>
      <x:c r="AJ984" s="35" t="n">
        <x:v>1</x:v>
      </x:c>
      <x:c r="AK984" s="11" t="str">
        <x:v>минимум</x:v>
      </x:c>
      <x:c r="AL984" s="31" t="n">
        <x:v>661.9582425684018</x:v>
      </x:c>
      <x:c r="AM98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84" s="12" t="str">
        <x:v>Проверить свободный остаток и установить цену для B2B</x:v>
      </x:c>
      <x:c r="AO984" s="12" t="str">
        <x:v>Остаток 7; прогноз 90 дней 0.90; избыток 6 шт. Будущие поступления не выставляются на продажу. Остаток на начало сентября: требуется актуализация.</x:v>
      </x:c>
      <x:c r="AP984" s="12" t="str">
        <x:v>["category_missing", "daily_stockout_data_missing", "new_order_lead_time_unknown", "reservations_unknown", "stale_stock"]</x:v>
      </x:c>
      <x:c r="AQ984" s="11" t="str">
        <x:v>IEK:270300262_</x:v>
      </x:c>
      <x:c r="AR984" s="23" t="n">
        <x:v>1</x:v>
      </x:c>
      <x:c r="AS984" s="23" t="n">
        <x:v>0</x:v>
      </x:c>
      <x:c r="AT984" s="23" t="n">
        <x:v>0</x:v>
      </x:c>
    </x:row>
    <x:row r="985" ht="64" customHeight="1">
      <x:c r="A985" s="10" t="str">
        <x:v>IEK</x:v>
      </x:c>
      <x:c r="B985" s="34" t="str">
        <x:v>270300264_</x:v>
      </x:c>
      <x:c r="C985" s="34" t="str">
        <x:v>YCE-HG-075-20</x:v>
      </x:c>
      <x:c r="D985" s="13" t="str">
        <x:v>Обогреватель на DIN-рейку 75Вт IP20 IEK (50) NEW</x:v>
      </x:c>
      <x:c r="E985" s="10" t="str">
        <x:v>шт</x:v>
      </x:c>
      <x:c r="F985" s="37" t="n">
        <x:f>MAX(0,ROUNDDOWN((AG985-AF985)/AR985+0.000000001,0)*AR985)</x:f>
        <x:v>1</x:v>
      </x:c>
      <x:c r="G985" s="21" t="str">
        <x:f>IF(J985="Рассчитано",V985*(1-R985/100)-W985-P985-Q985,"н/д")</x:f>
        <x:v>н/д</x:v>
      </x:c>
      <x:c r="H985" s="13" t="str">
        <x:v>Высокий</x:v>
      </x:c>
      <x:c r="I985" s="13" t="str">
        <x:v>Высокий</x:v>
      </x:c>
      <x:c r="J985" s="13" t="str">
        <x:f>IF(L985="","Укажите валюту",IF(NOT(ISNUMBER(K985)),"Укажите объём",IF(K985&lt;=0,"Укажите объём",IF(K985&gt;F985,"Объём выше излишка",IF(COUNT(M985:O985)&lt;3,"Нужны цены",IF(COUNT(P985:R985)&lt;3,"Нужны расходы",IF(OR(M985&lt;0,N985&lt;0,O985&lt;0,O985&gt;100,P985&lt;0,Q985&lt;0,R985&lt;0,R985&gt;100),"Проверьте значения","Рассчитано")))))))</x:f>
        <x:v>Нужны цены</x:v>
      </x:c>
      <x:c r="K985" s="36" t="n">
        <x:v>1</x:v>
      </x:c>
      <x:c r="L985" s="19" t="str">
        <x:v>KZT</x:v>
      </x:c>
      <x:c r="M985" s="22"/>
      <x:c r="N985" s="22"/>
      <x:c r="O985" s="28"/>
      <x:c r="P985" s="22"/>
      <x:c r="Q985" s="22"/>
      <x:c r="R985" s="28"/>
      <x:c r="S985" s="22"/>
      <x:c r="T985" s="37" t="n">
        <x:f>K985</x:f>
        <x:v>1</x:v>
      </x:c>
      <x:c r="U985" s="21" t="str">
        <x:f>IF(J985="Рассчитано",N985*(1-O985/100),"н/д")</x:f>
        <x:v>н/д</x:v>
      </x:c>
      <x:c r="V985" s="21" t="str">
        <x:f>IF(J985="Рассчитано",T985*U985,"н/д")</x:f>
        <x:v>н/д</x:v>
      </x:c>
      <x:c r="W985" s="21" t="str">
        <x:f>IF(J985="Рассчитано",T985*M985,"н/д")</x:f>
        <x:v>н/д</x:v>
      </x:c>
      <x:c r="X985" s="21" t="str">
        <x:f>IF(J985="Рассчитано",V985-W985,"н/д")</x:f>
        <x:v>н/д</x:v>
      </x:c>
      <x:c r="Y985" s="27" t="str">
        <x:f>IF(J985="Рассчитано",IF(V985&gt;0,G985/V985,"н/д"),"н/д")</x:f>
        <x:v>н/д</x:v>
      </x:c>
      <x:c r="Z985" s="21" t="str">
        <x:f>"н/д"</x:f>
        <x:v>н/д</x:v>
      </x:c>
      <x:c r="AA985" s="21" t="str">
        <x:f>"н/д"</x:f>
        <x:v>н/д</x:v>
      </x:c>
      <x:c r="AB985" s="21" t="str">
        <x:f>"н/д"</x:f>
        <x:v>н/д</x:v>
      </x:c>
      <x:c r="AC985" s="21" t="str">
        <x:f>IF(AND(J985="Рассчитано",T985&gt;0,R985&lt;100),(W985+P985+Q985)/(T985*(1-R985/100)),"н/д")</x:f>
        <x:v>н/д</x:v>
      </x:c>
      <x:c r="AD985" s="10" t="str">
        <x:f>IF(ISNUMBER(G985),IF(G985&lt;0,"Убыток",IF(G985=0,"Без прибыли","Прибыль &gt; 0")),"Не оценён")</x:f>
        <x:v>Не оценён</x:v>
      </x:c>
      <x:c r="AE985" s="13" t="str">
        <x:f>IF(J985="Рассчитано","Выручка "&amp;TEXT(V985,"0.00")&amp;" - себестоимость "&amp;TEXT(W985,"0.00")&amp;" - комиссия "&amp;TEXT(V985*R985/100,"0.00")&amp;" - доставка "&amp;TEXT(P985,"0.00")&amp;" - прочие "&amp;TEXT(Q985,"0.00")&amp;" = "&amp;TEXT(G985,"0.00")&amp;" "&amp;L985,"Введите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5" s="24" t="n">
        <x:v>0.21517454508643796</x:v>
      </x:c>
      <x:c r="AG985" s="37" t="n">
        <x:v>2</x:v>
      </x:c>
      <x:c r="AH985" s="37" t="n">
        <x:v>0</x:v>
      </x:c>
      <x:c r="AI985" s="30" t="n">
        <x:v>46266</x:v>
      </x:c>
      <x:c r="AJ985" s="37" t="n">
        <x:v>1</x:v>
      </x:c>
      <x:c r="AK985" s="10" t="str">
        <x:v>минимум</x:v>
      </x:c>
      <x:c r="AL985" s="32" t="n">
        <x:v>790.4204108898463</x:v>
      </x:c>
      <x:c r="AM9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85" s="13" t="str">
        <x:v>Проверить свободный остаток и установить цену для B2B</x:v>
      </x:c>
      <x:c r="AO985" s="13" t="str">
        <x:v>Остаток 2; прогноз 90 дней 0.22; избыток 1 шт. Будущие поступления не выставляются на продажу. Остаток на начало сентября: требуется актуализация.</x:v>
      </x:c>
      <x:c r="AP985" s="13" t="str">
        <x:v>["category_missing", "daily_stockout_data_missing", "new_order_lead_time_unknown", "reservations_unknown", "stale_stock"]</x:v>
      </x:c>
      <x:c r="AQ985" s="10" t="str">
        <x:v>IEK:270300264_</x:v>
      </x:c>
      <x:c r="AR985" s="24" t="n">
        <x:v>1</x:v>
      </x:c>
      <x:c r="AS985" s="24" t="n">
        <x:v>0</x:v>
      </x:c>
      <x:c r="AT985" s="24" t="n">
        <x:v>0</x:v>
      </x:c>
    </x:row>
    <x:row r="986" ht="64" customHeight="1">
      <x:c r="A986" s="11" t="str">
        <x:v>IEK</x:v>
      </x:c>
      <x:c r="B986" s="33" t="str">
        <x:v>270300266_</x:v>
      </x:c>
      <x:c r="C986" s="33" t="str">
        <x:v>YCE-CS-050-20</x:v>
      </x:c>
      <x:c r="D986" s="12" t="str">
        <x:v>Обогреватель на DIN-рейку в корпусе 50Вт IP20 IEK (50) NEW</x:v>
      </x:c>
      <x:c r="E986" s="11" t="str">
        <x:v>шт</x:v>
      </x:c>
      <x:c r="F986" s="35" t="n">
        <x:f>MAX(0,ROUNDDOWN((AG986-AF986)/AR986+0.000000001,0)*AR986)</x:f>
        <x:v>2</x:v>
      </x:c>
      <x:c r="G986" s="20" t="str">
        <x:f>IF(J986="Рассчитано",V986*(1-R986/100)-W986-P986-Q986,"н/д")</x:f>
        <x:v>н/д</x:v>
      </x:c>
      <x:c r="H986" s="12" t="str">
        <x:v>Высокий</x:v>
      </x:c>
      <x:c r="I986" s="12" t="str">
        <x:v>Высокий</x:v>
      </x:c>
      <x:c r="J986" s="12" t="str">
        <x:f>IF(L986="","Укажите валюту",IF(NOT(ISNUMBER(K986)),"Укажите объём",IF(K986&lt;=0,"Укажите объём",IF(K986&gt;F986,"Объём выше излишка",IF(COUNT(M986:O986)&lt;3,"Нужны цены",IF(COUNT(P986:R986)&lt;3,"Нужны расходы",IF(OR(M986&lt;0,N986&lt;0,O986&lt;0,O986&gt;100,P986&lt;0,Q986&lt;0,R986&lt;0,R986&gt;100),"Проверьте значения","Рассчитано")))))))</x:f>
        <x:v>Нужны цены</x:v>
      </x:c>
      <x:c r="K986" s="36" t="n">
        <x:v>2</x:v>
      </x:c>
      <x:c r="L986" s="19" t="str">
        <x:v>KZT</x:v>
      </x:c>
      <x:c r="M986" s="22"/>
      <x:c r="N986" s="22"/>
      <x:c r="O986" s="28"/>
      <x:c r="P986" s="22"/>
      <x:c r="Q986" s="22"/>
      <x:c r="R986" s="28"/>
      <x:c r="S986" s="22"/>
      <x:c r="T986" s="35" t="n">
        <x:f>K986</x:f>
        <x:v>2</x:v>
      </x:c>
      <x:c r="U986" s="20" t="str">
        <x:f>IF(J986="Рассчитано",N986*(1-O986/100),"н/д")</x:f>
        <x:v>н/д</x:v>
      </x:c>
      <x:c r="V986" s="20" t="str">
        <x:f>IF(J986="Рассчитано",T986*U986,"н/д")</x:f>
        <x:v>н/д</x:v>
      </x:c>
      <x:c r="W986" s="20" t="str">
        <x:f>IF(J986="Рассчитано",T986*M986,"н/д")</x:f>
        <x:v>н/д</x:v>
      </x:c>
      <x:c r="X986" s="20" t="str">
        <x:f>IF(J986="Рассчитано",V986-W986,"н/д")</x:f>
        <x:v>н/д</x:v>
      </x:c>
      <x:c r="Y986" s="26" t="str">
        <x:f>IF(J986="Рассчитано",IF(V986&gt;0,G986/V986,"н/д"),"н/д")</x:f>
        <x:v>н/д</x:v>
      </x:c>
      <x:c r="Z986" s="20" t="str">
        <x:f>"н/д"</x:f>
        <x:v>н/д</x:v>
      </x:c>
      <x:c r="AA986" s="20" t="str">
        <x:f>"н/д"</x:f>
        <x:v>н/д</x:v>
      </x:c>
      <x:c r="AB986" s="20" t="str">
        <x:f>"н/д"</x:f>
        <x:v>н/д</x:v>
      </x:c>
      <x:c r="AC986" s="20" t="str">
        <x:f>IF(AND(J986="Рассчитано",T986&gt;0,R986&lt;100),(W986+P986+Q986)/(T986*(1-R986/100)),"н/д")</x:f>
        <x:v>н/д</x:v>
      </x:c>
      <x:c r="AD986" s="11" t="str">
        <x:f>IF(ISNUMBER(G986),IF(G986&lt;0,"Убыток",IF(G986=0,"Без прибыли","Прибыль &gt; 0")),"Не оценён")</x:f>
        <x:v>Не оценён</x:v>
      </x:c>
      <x:c r="AE986" s="12" t="str">
        <x:f>IF(J986="Рассчитано","Выручка "&amp;TEXT(V986,"0.00")&amp;" - себестоимость "&amp;TEXT(W986,"0.00")&amp;" - комиссия "&amp;TEXT(V986*R986/100,"0.00")&amp;" - доставка "&amp;TEXT(P986,"0.00")&amp;" - прочие "&amp;TEXT(Q986,"0.00")&amp;" = "&amp;TEXT(G986,"0.00")&amp;" "&amp;L986,"Введите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6" s="23" t="n">
        <x:v>0.4303490901728759</x:v>
      </x:c>
      <x:c r="AG986" s="35" t="n">
        <x:v>3</x:v>
      </x:c>
      <x:c r="AH986" s="35" t="n">
        <x:v>0</x:v>
      </x:c>
      <x:c r="AI986" s="29" t="n">
        <x:v>46266</x:v>
      </x:c>
      <x:c r="AJ986" s="35" t="n">
        <x:v>1</x:v>
      </x:c>
      <x:c r="AK986" s="11" t="str">
        <x:v>минимум</x:v>
      </x:c>
      <x:c r="AL986" s="31" t="n">
        <x:v>592.8153081673847</x:v>
      </x:c>
      <x:c r="AM98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86" s="12" t="str">
        <x:v>Проверить свободный остаток и установить цену для B2B</x:v>
      </x:c>
      <x:c r="AO986" s="12" t="str">
        <x:v>Остаток 3; прогноз 90 дней 0.43; избыток 2 шт. Будущие поступления не выставляются на продажу. Остаток на начало сентября: требуется актуализация.</x:v>
      </x:c>
      <x:c r="AP986" s="12" t="str">
        <x:v>["category_missing", "daily_stockout_data_missing", "new_order_lead_time_unknown", "reservations_unknown", "stale_stock"]</x:v>
      </x:c>
      <x:c r="AQ986" s="11" t="str">
        <x:v>IEK:270300266_</x:v>
      </x:c>
      <x:c r="AR986" s="23" t="n">
        <x:v>1</x:v>
      </x:c>
      <x:c r="AS986" s="23" t="n">
        <x:v>0</x:v>
      </x:c>
      <x:c r="AT986" s="23" t="n">
        <x:v>0</x:v>
      </x:c>
    </x:row>
    <x:row r="987" ht="64" customHeight="1">
      <x:c r="A987" s="10" t="str">
        <x:v>IEK</x:v>
      </x:c>
      <x:c r="B987" s="34" t="str">
        <x:v>270300268_</x:v>
      </x:c>
      <x:c r="C987" s="34" t="str">
        <x:v>YCE-CSL-250-20</x:v>
      </x:c>
      <x:c r="D987" s="13" t="str">
        <x:v>Обогреватель на DIN-рейку в корп.(встр.вент.) 250Вт IP20 IEK (38) NEW</x:v>
      </x:c>
      <x:c r="E987" s="10" t="str">
        <x:v>шт</x:v>
      </x:c>
      <x:c r="F987" s="37" t="n">
        <x:f>MAX(0,ROUNDDOWN((AG987-AF987)/AR987+0.000000001,0)*AR987)</x:f>
        <x:v>1</x:v>
      </x:c>
      <x:c r="G987" s="21" t="str">
        <x:f>IF(J987="Рассчитано",V987*(1-R987/100)-W987-P987-Q987,"н/д")</x:f>
        <x:v>н/д</x:v>
      </x:c>
      <x:c r="H987" s="13" t="str">
        <x:v>Высокий</x:v>
      </x:c>
      <x:c r="I987" s="13" t="str">
        <x:v>Высокий</x:v>
      </x:c>
      <x:c r="J987" s="13" t="str">
        <x:f>IF(L987="","Укажите валюту",IF(NOT(ISNUMBER(K987)),"Укажите объём",IF(K987&lt;=0,"Укажите объём",IF(K987&gt;F987,"Объём выше излишка",IF(COUNT(M987:O987)&lt;3,"Нужны цены",IF(COUNT(P987:R987)&lt;3,"Нужны расходы",IF(OR(M987&lt;0,N987&lt;0,O987&lt;0,O987&gt;100,P987&lt;0,Q987&lt;0,R987&lt;0,R987&gt;100),"Проверьте значения","Рассчитано")))))))</x:f>
        <x:v>Нужны цены</x:v>
      </x:c>
      <x:c r="K987" s="36" t="n">
        <x:v>1</x:v>
      </x:c>
      <x:c r="L987" s="19" t="str">
        <x:v>KZT</x:v>
      </x:c>
      <x:c r="M987" s="22"/>
      <x:c r="N987" s="22"/>
      <x:c r="O987" s="28"/>
      <x:c r="P987" s="22"/>
      <x:c r="Q987" s="22"/>
      <x:c r="R987" s="28"/>
      <x:c r="S987" s="22"/>
      <x:c r="T987" s="37" t="n">
        <x:f>K987</x:f>
        <x:v>1</x:v>
      </x:c>
      <x:c r="U987" s="21" t="str">
        <x:f>IF(J987="Рассчитано",N987*(1-O987/100),"н/д")</x:f>
        <x:v>н/д</x:v>
      </x:c>
      <x:c r="V987" s="21" t="str">
        <x:f>IF(J987="Рассчитано",T987*U987,"н/д")</x:f>
        <x:v>н/д</x:v>
      </x:c>
      <x:c r="W987" s="21" t="str">
        <x:f>IF(J987="Рассчитано",T987*M987,"н/д")</x:f>
        <x:v>н/д</x:v>
      </x:c>
      <x:c r="X987" s="21" t="str">
        <x:f>IF(J987="Рассчитано",V987-W987,"н/д")</x:f>
        <x:v>н/д</x:v>
      </x:c>
      <x:c r="Y987" s="27" t="str">
        <x:f>IF(J987="Рассчитано",IF(V987&gt;0,G987/V987,"н/д"),"н/д")</x:f>
        <x:v>н/д</x:v>
      </x:c>
      <x:c r="Z987" s="21" t="str">
        <x:f>"н/д"</x:f>
        <x:v>н/д</x:v>
      </x:c>
      <x:c r="AA987" s="21" t="str">
        <x:f>"н/д"</x:f>
        <x:v>н/д</x:v>
      </x:c>
      <x:c r="AB987" s="21" t="str">
        <x:f>"н/д"</x:f>
        <x:v>н/д</x:v>
      </x:c>
      <x:c r="AC987" s="21" t="str">
        <x:f>IF(AND(J987="Рассчитано",T987&gt;0,R987&lt;100),(W987+P987+Q987)/(T987*(1-R987/100)),"н/д")</x:f>
        <x:v>н/д</x:v>
      </x:c>
      <x:c r="AD987" s="10" t="str">
        <x:f>IF(ISNUMBER(G987),IF(G987&lt;0,"Убыток",IF(G987=0,"Без прибыли","Прибыль &gt; 0")),"Не оценён")</x:f>
        <x:v>Не оценён</x:v>
      </x:c>
      <x:c r="AE987" s="13" t="str">
        <x:f>IF(J987="Рассчитано","Выручка "&amp;TEXT(V987,"0.00")&amp;" - себестоимость "&amp;TEXT(W987,"0.00")&amp;" - комиссия "&amp;TEXT(V987*R987/100,"0.00")&amp;" - доставка "&amp;TEXT(P987,"0.00")&amp;" - прочие "&amp;TEXT(Q987,"0.00")&amp;" = "&amp;TEXT(G987,"0.00")&amp;" "&amp;L987,"Введите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7" s="24" t="n">
        <x:v>0</x:v>
      </x:c>
      <x:c r="AG987" s="37" t="n">
        <x:v>1</x:v>
      </x:c>
      <x:c r="AH987" s="37" t="n">
        <x:v>0</x:v>
      </x:c>
      <x:c r="AI987" s="30" t="n">
        <x:v>46266</x:v>
      </x:c>
      <x:c r="AJ987" s="37" t="n">
        <x:v>1</x:v>
      </x:c>
      <x:c r="AK987" s="10" t="str">
        <x:v>минимум</x:v>
      </x:c>
      <x:c r="AL987" s="32" t="str">
        <x:v>н/д</x:v>
      </x:c>
      <x:c r="AM98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87" s="13" t="str">
        <x:v>Проверить свободный остаток и установить цену для B2B</x:v>
      </x:c>
      <x:c r="AO987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87" s="13" t="str">
        <x:v>["category_missing", "daily_stockout_data_missing", "new_order_lead_time_unknown", "reservations_unknown", "stale_stock"]</x:v>
      </x:c>
      <x:c r="AQ987" s="10" t="str">
        <x:v>IEK:270300268_</x:v>
      </x:c>
      <x:c r="AR987" s="24" t="n">
        <x:v>1</x:v>
      </x:c>
      <x:c r="AS987" s="24" t="n">
        <x:v>0</x:v>
      </x:c>
      <x:c r="AT987" s="24" t="n">
        <x:v>0</x:v>
      </x:c>
    </x:row>
    <x:row r="988" ht="64" customHeight="1">
      <x:c r="A988" s="11" t="str">
        <x:v>IEK</x:v>
      </x:c>
      <x:c r="B988" s="33" t="str">
        <x:v>270300269_</x:v>
      </x:c>
      <x:c r="C988" s="33" t="str">
        <x:v>YCE-CSL-400-20</x:v>
      </x:c>
      <x:c r="D988" s="12" t="str">
        <x:v>Обогреватель на DIN-рейку в корп.(встр.вент.) 400Вт IP20 IEK (20) NEW</x:v>
      </x:c>
      <x:c r="E988" s="11" t="str">
        <x:v>шт</x:v>
      </x:c>
      <x:c r="F988" s="35" t="n">
        <x:f>MAX(0,ROUNDDOWN((AG988-AF988)/AR988+0.000000001,0)*AR988)</x:f>
        <x:v>1</x:v>
      </x:c>
      <x:c r="G988" s="20" t="str">
        <x:f>IF(J988="Рассчитано",V988*(1-R988/100)-W988-P988-Q988,"н/д")</x:f>
        <x:v>н/д</x:v>
      </x:c>
      <x:c r="H988" s="12" t="str">
        <x:v>Высокий</x:v>
      </x:c>
      <x:c r="I988" s="12" t="str">
        <x:v>Высокий</x:v>
      </x:c>
      <x:c r="J988" s="12" t="str">
        <x:f>IF(L988="","Укажите валюту",IF(NOT(ISNUMBER(K988)),"Укажите объём",IF(K988&lt;=0,"Укажите объём",IF(K988&gt;F988,"Объём выше излишка",IF(COUNT(M988:O988)&lt;3,"Нужны цены",IF(COUNT(P988:R988)&lt;3,"Нужны расходы",IF(OR(M988&lt;0,N988&lt;0,O988&lt;0,O988&gt;100,P988&lt;0,Q988&lt;0,R988&lt;0,R988&gt;100),"Проверьте значения","Рассчитано")))))))</x:f>
        <x:v>Нужны цены</x:v>
      </x:c>
      <x:c r="K988" s="36" t="n">
        <x:v>1</x:v>
      </x:c>
      <x:c r="L988" s="19" t="str">
        <x:v>KZT</x:v>
      </x:c>
      <x:c r="M988" s="22"/>
      <x:c r="N988" s="22"/>
      <x:c r="O988" s="28"/>
      <x:c r="P988" s="22"/>
      <x:c r="Q988" s="22"/>
      <x:c r="R988" s="28"/>
      <x:c r="S988" s="22"/>
      <x:c r="T988" s="35" t="n">
        <x:f>K988</x:f>
        <x:v>1</x:v>
      </x:c>
      <x:c r="U988" s="20" t="str">
        <x:f>IF(J988="Рассчитано",N988*(1-O988/100),"н/д")</x:f>
        <x:v>н/д</x:v>
      </x:c>
      <x:c r="V988" s="20" t="str">
        <x:f>IF(J988="Рассчитано",T988*U988,"н/д")</x:f>
        <x:v>н/д</x:v>
      </x:c>
      <x:c r="W988" s="20" t="str">
        <x:f>IF(J988="Рассчитано",T988*M988,"н/д")</x:f>
        <x:v>н/д</x:v>
      </x:c>
      <x:c r="X988" s="20" t="str">
        <x:f>IF(J988="Рассчитано",V988-W988,"н/д")</x:f>
        <x:v>н/д</x:v>
      </x:c>
      <x:c r="Y988" s="26" t="str">
        <x:f>IF(J988="Рассчитано",IF(V988&gt;0,G988/V988,"н/д"),"н/д")</x:f>
        <x:v>н/д</x:v>
      </x:c>
      <x:c r="Z988" s="20" t="str">
        <x:f>"н/д"</x:f>
        <x:v>н/д</x:v>
      </x:c>
      <x:c r="AA988" s="20" t="str">
        <x:f>"н/д"</x:f>
        <x:v>н/д</x:v>
      </x:c>
      <x:c r="AB988" s="20" t="str">
        <x:f>"н/д"</x:f>
        <x:v>н/д</x:v>
      </x:c>
      <x:c r="AC988" s="20" t="str">
        <x:f>IF(AND(J988="Рассчитано",T988&gt;0,R988&lt;100),(W988+P988+Q988)/(T988*(1-R988/100)),"н/д")</x:f>
        <x:v>н/д</x:v>
      </x:c>
      <x:c r="AD988" s="11" t="str">
        <x:f>IF(ISNUMBER(G988),IF(G988&lt;0,"Убыток",IF(G988=0,"Без прибыли","Прибыль &gt; 0")),"Не оценён")</x:f>
        <x:v>Не оценён</x:v>
      </x:c>
      <x:c r="AE988" s="12" t="str">
        <x:f>IF(J988="Рассчитано","Выручка "&amp;TEXT(V988,"0.00")&amp;" - себестоимость "&amp;TEXT(W988,"0.00")&amp;" - комиссия "&amp;TEXT(V988*R988/100,"0.00")&amp;" - доставка "&amp;TEXT(P988,"0.00")&amp;" - прочие "&amp;TEXT(Q988,"0.00")&amp;" = "&amp;TEXT(G988,"0.00")&amp;" "&amp;L988,"Введите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8" s="23" t="n">
        <x:v>0</x:v>
      </x:c>
      <x:c r="AG988" s="35" t="n">
        <x:v>1</x:v>
      </x:c>
      <x:c r="AH988" s="35" t="n">
        <x:v>0</x:v>
      </x:c>
      <x:c r="AI988" s="29" t="n">
        <x:v>46266</x:v>
      </x:c>
      <x:c r="AJ988" s="35" t="n">
        <x:v>1</x:v>
      </x:c>
      <x:c r="AK988" s="11" t="str">
        <x:v>минимум</x:v>
      </x:c>
      <x:c r="AL988" s="31" t="str">
        <x:v>н/д</x:v>
      </x:c>
      <x:c r="AM98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88" s="12" t="str">
        <x:v>Проверить свободный остаток и установить цену для B2B</x:v>
      </x:c>
      <x:c r="AO988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988" s="12" t="str">
        <x:v>["category_missing", "daily_stockout_data_missing", "new_order_lead_time_unknown", "reservations_unknown", "stale_stock"]</x:v>
      </x:c>
      <x:c r="AQ988" s="11" t="str">
        <x:v>IEK:270300269_</x:v>
      </x:c>
      <x:c r="AR988" s="23" t="n">
        <x:v>1</x:v>
      </x:c>
      <x:c r="AS988" s="23" t="n">
        <x:v>0</x:v>
      </x:c>
      <x:c r="AT988" s="23" t="n">
        <x:v>0</x:v>
      </x:c>
    </x:row>
    <x:row r="989" ht="64" customHeight="1">
      <x:c r="A989" s="10" t="str">
        <x:v>IEK</x:v>
      </x:c>
      <x:c r="B989" s="34" t="str">
        <x:v>270300277_</x:v>
      </x:c>
      <x:c r="C989" s="34" t="str">
        <x:v>YOB30-0800-20</x:v>
      </x:c>
      <x:c r="D989" s="13" t="str">
        <x:v>Обогреватель на DIN-рейку ОДР (вент.+терм.) 800Вт IP20 IEK (12) NEW</x:v>
      </x:c>
      <x:c r="E989" s="10" t="str">
        <x:v>шт</x:v>
      </x:c>
      <x:c r="F989" s="37" t="n">
        <x:f>MAX(0,ROUNDDOWN((AG989-AF989)/AR989+0.000000001,0)*AR989)</x:f>
        <x:v>2</x:v>
      </x:c>
      <x:c r="G989" s="21" t="str">
        <x:f>IF(J989="Рассчитано",V989*(1-R989/100)-W989-P989-Q989,"н/д")</x:f>
        <x:v>н/д</x:v>
      </x:c>
      <x:c r="H989" s="13" t="str">
        <x:v>Высокий</x:v>
      </x:c>
      <x:c r="I989" s="13" t="str">
        <x:v>Высокий</x:v>
      </x:c>
      <x:c r="J989" s="13" t="str">
        <x:f>IF(L989="","Укажите валюту",IF(NOT(ISNUMBER(K989)),"Укажите объём",IF(K989&lt;=0,"Укажите объём",IF(K989&gt;F989,"Объём выше излишка",IF(COUNT(M989:O989)&lt;3,"Нужны цены",IF(COUNT(P989:R989)&lt;3,"Нужны расходы",IF(OR(M989&lt;0,N989&lt;0,O989&lt;0,O989&gt;100,P989&lt;0,Q989&lt;0,R989&lt;0,R989&gt;100),"Проверьте значения","Рассчитано")))))))</x:f>
        <x:v>Нужны цены</x:v>
      </x:c>
      <x:c r="K989" s="36" t="n">
        <x:v>2</x:v>
      </x:c>
      <x:c r="L989" s="19" t="str">
        <x:v>KZT</x:v>
      </x:c>
      <x:c r="M989" s="22"/>
      <x:c r="N989" s="22"/>
      <x:c r="O989" s="28"/>
      <x:c r="P989" s="22"/>
      <x:c r="Q989" s="22"/>
      <x:c r="R989" s="28"/>
      <x:c r="S989" s="22"/>
      <x:c r="T989" s="37" t="n">
        <x:f>K989</x:f>
        <x:v>2</x:v>
      </x:c>
      <x:c r="U989" s="21" t="str">
        <x:f>IF(J989="Рассчитано",N989*(1-O989/100),"н/д")</x:f>
        <x:v>н/д</x:v>
      </x:c>
      <x:c r="V989" s="21" t="str">
        <x:f>IF(J989="Рассчитано",T989*U989,"н/д")</x:f>
        <x:v>н/д</x:v>
      </x:c>
      <x:c r="W989" s="21" t="str">
        <x:f>IF(J989="Рассчитано",T989*M989,"н/д")</x:f>
        <x:v>н/д</x:v>
      </x:c>
      <x:c r="X989" s="21" t="str">
        <x:f>IF(J989="Рассчитано",V989-W989,"н/д")</x:f>
        <x:v>н/д</x:v>
      </x:c>
      <x:c r="Y989" s="27" t="str">
        <x:f>IF(J989="Рассчитано",IF(V989&gt;0,G989/V989,"н/д"),"н/д")</x:f>
        <x:v>н/д</x:v>
      </x:c>
      <x:c r="Z989" s="21" t="str">
        <x:f>"н/д"</x:f>
        <x:v>н/д</x:v>
      </x:c>
      <x:c r="AA989" s="21" t="str">
        <x:f>"н/д"</x:f>
        <x:v>н/д</x:v>
      </x:c>
      <x:c r="AB989" s="21" t="str">
        <x:f>"н/д"</x:f>
        <x:v>н/д</x:v>
      </x:c>
      <x:c r="AC989" s="21" t="str">
        <x:f>IF(AND(J989="Рассчитано",T989&gt;0,R989&lt;100),(W989+P989+Q989)/(T989*(1-R989/100)),"н/д")</x:f>
        <x:v>н/д</x:v>
      </x:c>
      <x:c r="AD989" s="10" t="str">
        <x:f>IF(ISNUMBER(G989),IF(G989&lt;0,"Убыток",IF(G989=0,"Без прибыли","Прибыль &gt; 0")),"Не оценён")</x:f>
        <x:v>Не оценён</x:v>
      </x:c>
      <x:c r="AE989" s="13" t="str">
        <x:f>IF(J989="Рассчитано","Выручка "&amp;TEXT(V989,"0.00")&amp;" - себестоимость "&amp;TEXT(W989,"0.00")&amp;" - комиссия "&amp;TEXT(V989*R989/100,"0.00")&amp;" - доставка "&amp;TEXT(P989,"0.00")&amp;" - прочие "&amp;TEXT(Q989,"0.00")&amp;" = "&amp;TEXT(G989,"0.00")&amp;" "&amp;L989,"Введите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9" s="24" t="n">
        <x:v>0</x:v>
      </x:c>
      <x:c r="AG989" s="37" t="n">
        <x:v>2</x:v>
      </x:c>
      <x:c r="AH989" s="37" t="n">
        <x:v>0</x:v>
      </x:c>
      <x:c r="AI989" s="30" t="n">
        <x:v>46266</x:v>
      </x:c>
      <x:c r="AJ989" s="37" t="n">
        <x:v>1</x:v>
      </x:c>
      <x:c r="AK989" s="10" t="str">
        <x:v>минимум</x:v>
      </x:c>
      <x:c r="AL989" s="32" t="str">
        <x:v>н/д</x:v>
      </x:c>
      <x:c r="AM98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89" s="13" t="str">
        <x:v>Проверить свободный остаток и установить цену для B2B</x:v>
      </x:c>
      <x:c r="AO989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989" s="13" t="str">
        <x:v>["category_missing", "daily_stockout_data_missing", "new_order_lead_time_unknown", "reservations_unknown", "stale_stock"]</x:v>
      </x:c>
      <x:c r="AQ989" s="10" t="str">
        <x:v>IEK:270300277_</x:v>
      </x:c>
      <x:c r="AR989" s="24" t="n">
        <x:v>1</x:v>
      </x:c>
      <x:c r="AS989" s="24" t="n">
        <x:v>0</x:v>
      </x:c>
      <x:c r="AT989" s="24" t="n">
        <x:v>0</x:v>
      </x:c>
    </x:row>
    <x:row r="990" ht="64" customHeight="1">
      <x:c r="A990" s="11" t="str">
        <x:v>IEK</x:v>
      </x:c>
      <x:c r="B990" s="33" t="str">
        <x:v>270300281_</x:v>
      </x:c>
      <x:c r="C990" s="33" t="str">
        <x:v>YCE-EF-021-55</x:v>
      </x:c>
      <x:c r="D990" s="12" t="str">
        <x:v>Фильтр c защитным кожухом 97x97мм для вент-ра 21 м3/час IEK (20) NEW(20) NEW</x:v>
      </x:c>
      <x:c r="E990" s="11" t="str">
        <x:v>шт</x:v>
      </x:c>
      <x:c r="F990" s="35" t="n">
        <x:f>MAX(0,ROUNDDOWN((AG990-AF990)/AR990+0.000000001,0)*AR990)</x:f>
        <x:v>5</x:v>
      </x:c>
      <x:c r="G990" s="20" t="str">
        <x:f>IF(J990="Рассчитано",V990*(1-R990/100)-W990-P990-Q990,"н/д")</x:f>
        <x:v>н/д</x:v>
      </x:c>
      <x:c r="H990" s="12" t="str">
        <x:v>Высокий</x:v>
      </x:c>
      <x:c r="I990" s="12" t="str">
        <x:v>Высокий</x:v>
      </x:c>
      <x:c r="J990" s="12" t="str">
        <x:f>IF(L990="","Укажите валюту",IF(NOT(ISNUMBER(K990)),"Укажите объём",IF(K990&lt;=0,"Укажите объём",IF(K990&gt;F990,"Объём выше излишка",IF(COUNT(M990:O990)&lt;3,"Нужны цены",IF(COUNT(P990:R990)&lt;3,"Нужны расходы",IF(OR(M990&lt;0,N990&lt;0,O990&lt;0,O990&gt;100,P990&lt;0,Q990&lt;0,R990&lt;0,R990&gt;100),"Проверьте значения","Рассчитано")))))))</x:f>
        <x:v>Нужны цены</x:v>
      </x:c>
      <x:c r="K990" s="36" t="n">
        <x:v>5</x:v>
      </x:c>
      <x:c r="L990" s="19" t="str">
        <x:v>KZT</x:v>
      </x:c>
      <x:c r="M990" s="22"/>
      <x:c r="N990" s="22"/>
      <x:c r="O990" s="28"/>
      <x:c r="P990" s="22"/>
      <x:c r="Q990" s="22"/>
      <x:c r="R990" s="28"/>
      <x:c r="S990" s="22"/>
      <x:c r="T990" s="35" t="n">
        <x:f>K990</x:f>
        <x:v>5</x:v>
      </x:c>
      <x:c r="U990" s="20" t="str">
        <x:f>IF(J990="Рассчитано",N990*(1-O990/100),"н/д")</x:f>
        <x:v>н/д</x:v>
      </x:c>
      <x:c r="V990" s="20" t="str">
        <x:f>IF(J990="Рассчитано",T990*U990,"н/д")</x:f>
        <x:v>н/д</x:v>
      </x:c>
      <x:c r="W990" s="20" t="str">
        <x:f>IF(J990="Рассчитано",T990*M990,"н/д")</x:f>
        <x:v>н/д</x:v>
      </x:c>
      <x:c r="X990" s="20" t="str">
        <x:f>IF(J990="Рассчитано",V990-W990,"н/д")</x:f>
        <x:v>н/д</x:v>
      </x:c>
      <x:c r="Y990" s="26" t="str">
        <x:f>IF(J990="Рассчитано",IF(V990&gt;0,G990/V990,"н/д"),"н/д")</x:f>
        <x:v>н/д</x:v>
      </x:c>
      <x:c r="Z990" s="20" t="str">
        <x:f>"н/д"</x:f>
        <x:v>н/д</x:v>
      </x:c>
      <x:c r="AA990" s="20" t="str">
        <x:f>"н/д"</x:f>
        <x:v>н/д</x:v>
      </x:c>
      <x:c r="AB990" s="20" t="str">
        <x:f>"н/д"</x:f>
        <x:v>н/д</x:v>
      </x:c>
      <x:c r="AC990" s="20" t="str">
        <x:f>IF(AND(J990="Рассчитано",T990&gt;0,R990&lt;100),(W990+P990+Q990)/(T990*(1-R990/100)),"н/д")</x:f>
        <x:v>н/д</x:v>
      </x:c>
      <x:c r="AD990" s="11" t="str">
        <x:f>IF(ISNUMBER(G990),IF(G990&lt;0,"Убыток",IF(G990=0,"Без прибыли","Прибыль &gt; 0")),"Не оценён")</x:f>
        <x:v>Не оценён</x:v>
      </x:c>
      <x:c r="AE990" s="12" t="str">
        <x:f>IF(J990="Рассчитано","Выручка "&amp;TEXT(V990,"0.00")&amp;" - себестоимость "&amp;TEXT(W990,"0.00")&amp;" - комиссия "&amp;TEXT(V990*R990/100,"0.00")&amp;" - доставка "&amp;TEXT(P990,"0.00")&amp;" - прочие "&amp;TEXT(Q990,"0.00")&amp;" = "&amp;TEXT(G990,"0.00")&amp;" "&amp;L990,"Введите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0" s="23" t="n">
        <x:v>3.334789127175918</x:v>
      </x:c>
      <x:c r="AG990" s="35" t="n">
        <x:v>9</x:v>
      </x:c>
      <x:c r="AH990" s="35" t="n">
        <x:v>0</x:v>
      </x:c>
      <x:c r="AI990" s="29" t="n">
        <x:v>46266</x:v>
      </x:c>
      <x:c r="AJ990" s="35" t="n">
        <x:v>1</x:v>
      </x:c>
      <x:c r="AK990" s="11" t="str">
        <x:v>минимум</x:v>
      </x:c>
      <x:c r="AL990" s="31" t="n">
        <x:v>229.50554183295708</x:v>
      </x:c>
      <x:c r="AM99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90" s="12" t="str">
        <x:v>Проверить свободный остаток и установить цену для B2B</x:v>
      </x:c>
      <x:c r="AO990" s="12" t="str">
        <x:v>Остаток 9; прогноз 90 дней 3.33; избыток 5 шт. Будущие поступления не выставляются на продажу. Остаток на начало сентября: требуется актуализация.</x:v>
      </x:c>
      <x:c r="AP990" s="12" t="str">
        <x:v>["category_missing", "daily_stockout_data_missing", "new_order_lead_time_unknown", "reservations_unknown", "stale_stock"]</x:v>
      </x:c>
      <x:c r="AQ990" s="11" t="str">
        <x:v>IEK:270300281_</x:v>
      </x:c>
      <x:c r="AR990" s="23" t="n">
        <x:v>1</x:v>
      </x:c>
      <x:c r="AS990" s="23" t="n">
        <x:v>0</x:v>
      </x:c>
      <x:c r="AT990" s="23" t="n">
        <x:v>0</x:v>
      </x:c>
    </x:row>
    <x:row r="991" ht="64" customHeight="1">
      <x:c r="A991" s="10" t="str">
        <x:v>IEK</x:v>
      </x:c>
      <x:c r="B991" s="34" t="str">
        <x:v>270300283_</x:v>
      </x:c>
      <x:c r="C991" s="34" t="str">
        <x:v>YCE-EF-102-55</x:v>
      </x:c>
      <x:c r="D991" s="13" t="str">
        <x:v>Фильтр c защитным кожухом 176x176мм для вен-ра 102м3/час IEK (8) NEW</x:v>
      </x:c>
      <x:c r="E991" s="10" t="str">
        <x:v>шт</x:v>
      </x:c>
      <x:c r="F991" s="37" t="n">
        <x:f>MAX(0,ROUNDDOWN((AG991-AF991)/AR991+0.000000001,0)*AR991)</x:f>
        <x:v>1</x:v>
      </x:c>
      <x:c r="G991" s="21" t="str">
        <x:f>IF(J991="Рассчитано",V991*(1-R991/100)-W991-P991-Q991,"н/д")</x:f>
        <x:v>н/д</x:v>
      </x:c>
      <x:c r="H991" s="13" t="str">
        <x:v>Высокий</x:v>
      </x:c>
      <x:c r="I991" s="13" t="str">
        <x:v>Высокий</x:v>
      </x:c>
      <x:c r="J991" s="13" t="str">
        <x:f>IF(L991="","Укажите валюту",IF(NOT(ISNUMBER(K991)),"Укажите объём",IF(K991&lt;=0,"Укажите объём",IF(K991&gt;F991,"Объём выше излишка",IF(COUNT(M991:O991)&lt;3,"Нужны цены",IF(COUNT(P991:R991)&lt;3,"Нужны расходы",IF(OR(M991&lt;0,N991&lt;0,O991&lt;0,O991&gt;100,P991&lt;0,Q991&lt;0,R991&lt;0,R991&gt;100),"Проверьте значения","Рассчитано")))))))</x:f>
        <x:v>Нужны цены</x:v>
      </x:c>
      <x:c r="K991" s="36" t="n">
        <x:v>1</x:v>
      </x:c>
      <x:c r="L991" s="19" t="str">
        <x:v>KZT</x:v>
      </x:c>
      <x:c r="M991" s="22"/>
      <x:c r="N991" s="22"/>
      <x:c r="O991" s="28"/>
      <x:c r="P991" s="22"/>
      <x:c r="Q991" s="22"/>
      <x:c r="R991" s="28"/>
      <x:c r="S991" s="22"/>
      <x:c r="T991" s="37" t="n">
        <x:f>K991</x:f>
        <x:v>1</x:v>
      </x:c>
      <x:c r="U991" s="21" t="str">
        <x:f>IF(J991="Рассчитано",N991*(1-O991/100),"н/д")</x:f>
        <x:v>н/д</x:v>
      </x:c>
      <x:c r="V991" s="21" t="str">
        <x:f>IF(J991="Рассчитано",T991*U991,"н/д")</x:f>
        <x:v>н/д</x:v>
      </x:c>
      <x:c r="W991" s="21" t="str">
        <x:f>IF(J991="Рассчитано",T991*M991,"н/д")</x:f>
        <x:v>н/д</x:v>
      </x:c>
      <x:c r="X991" s="21" t="str">
        <x:f>IF(J991="Рассчитано",V991-W991,"н/д")</x:f>
        <x:v>н/д</x:v>
      </x:c>
      <x:c r="Y991" s="27" t="str">
        <x:f>IF(J991="Рассчитано",IF(V991&gt;0,G991/V991,"н/д"),"н/д")</x:f>
        <x:v>н/д</x:v>
      </x:c>
      <x:c r="Z991" s="21" t="str">
        <x:f>"н/д"</x:f>
        <x:v>н/д</x:v>
      </x:c>
      <x:c r="AA991" s="21" t="str">
        <x:f>"н/д"</x:f>
        <x:v>н/д</x:v>
      </x:c>
      <x:c r="AB991" s="21" t="str">
        <x:f>"н/д"</x:f>
        <x:v>н/д</x:v>
      </x:c>
      <x:c r="AC991" s="21" t="str">
        <x:f>IF(AND(J991="Рассчитано",T991&gt;0,R991&lt;100),(W991+P991+Q991)/(T991*(1-R991/100)),"н/д")</x:f>
        <x:v>н/д</x:v>
      </x:c>
      <x:c r="AD991" s="10" t="str">
        <x:f>IF(ISNUMBER(G991),IF(G991&lt;0,"Убыток",IF(G991=0,"Без прибыли","Прибыль &gt; 0")),"Не оценён")</x:f>
        <x:v>Не оценён</x:v>
      </x:c>
      <x:c r="AE991" s="13" t="str">
        <x:f>IF(J991="Рассчитано","Выручка "&amp;TEXT(V991,"0.00")&amp;" - себестоимость "&amp;TEXT(W991,"0.00")&amp;" - комиссия "&amp;TEXT(V991*R991/100,"0.00")&amp;" - доставка "&amp;TEXT(P991,"0.00")&amp;" - прочие "&amp;TEXT(Q991,"0.00")&amp;" = "&amp;TEXT(G991,"0.00")&amp;" "&amp;L991,"Введите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1" s="24" t="n">
        <x:v>0.10104629486282299</x:v>
      </x:c>
      <x:c r="AG991" s="37" t="n">
        <x:v>2</x:v>
      </x:c>
      <x:c r="AH991" s="37" t="n">
        <x:v>0</x:v>
      </x:c>
      <x:c r="AI991" s="30" t="n">
        <x:v>46266</x:v>
      </x:c>
      <x:c r="AJ991" s="37" t="n">
        <x:v>1</x:v>
      </x:c>
      <x:c r="AK991" s="10" t="str">
        <x:v>минимум</x:v>
      </x:c>
      <x:c r="AL991" s="32" t="n">
        <x:v>1683.1725752156567</x:v>
      </x:c>
      <x:c r="AM99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91" s="13" t="str">
        <x:v>Проверить свободный остаток и установить цену для B2B</x:v>
      </x:c>
      <x:c r="AO991" s="13" t="str">
        <x:v>Остаток 2; прогноз 90 дней 0.10; избыток 1 шт. Будущие поступления не выставляются на продажу. Остаток на начало сентября: требуется актуализация.</x:v>
      </x:c>
      <x:c r="AP991" s="13" t="str">
        <x:v>["category_missing", "daily_stockout_data_missing", "new_order_lead_time_unknown", "reservations_unknown", "stale_stock"]</x:v>
      </x:c>
      <x:c r="AQ991" s="10" t="str">
        <x:v>IEK:270300283_</x:v>
      </x:c>
      <x:c r="AR991" s="24" t="n">
        <x:v>1</x:v>
      </x:c>
      <x:c r="AS991" s="24" t="n">
        <x:v>0</x:v>
      </x:c>
      <x:c r="AT991" s="24" t="n">
        <x:v>0</x:v>
      </x:c>
    </x:row>
    <x:row r="992" ht="64" customHeight="1">
      <x:c r="A992" s="11" t="str">
        <x:v>IEK</x:v>
      </x:c>
      <x:c r="B992" s="33" t="str">
        <x:v>270300284_</x:v>
      </x:c>
      <x:c r="C992" s="33" t="str">
        <x:v>YCE-FF-055-55</x:v>
      </x:c>
      <x:c r="D992" s="12" t="str">
        <x:v>Вентилятор с фильтром 55 куб.м./час IP55 IEK (12) NEW</x:v>
      </x:c>
      <x:c r="E992" s="11" t="str">
        <x:v>шт</x:v>
      </x:c>
      <x:c r="F992" s="35" t="n">
        <x:f>MAX(0,ROUNDDOWN((AG992-AF992)/AR992+0.000000001,0)*AR992)</x:f>
        <x:v>1</x:v>
      </x:c>
      <x:c r="G992" s="20" t="str">
        <x:f>IF(J992="Рассчитано",V992*(1-R992/100)-W992-P992-Q992,"н/д")</x:f>
        <x:v>н/д</x:v>
      </x:c>
      <x:c r="H992" s="12" t="str">
        <x:v>Высокий</x:v>
      </x:c>
      <x:c r="I992" s="12" t="str">
        <x:v>Средний</x:v>
      </x:c>
      <x:c r="J992" s="12" t="str">
        <x:f>IF(L992="","Укажите валюту",IF(NOT(ISNUMBER(K992)),"Укажите объём",IF(K992&lt;=0,"Укажите объём",IF(K992&gt;F992,"Объём выше излишка",IF(COUNT(M992:O992)&lt;3,"Нужны цены",IF(COUNT(P992:R992)&lt;3,"Нужны расходы",IF(OR(M992&lt;0,N992&lt;0,O992&lt;0,O992&gt;100,P992&lt;0,Q992&lt;0,R992&lt;0,R992&gt;100),"Проверьте значения","Рассчитано")))))))</x:f>
        <x:v>Нужны цены</x:v>
      </x:c>
      <x:c r="K992" s="36" t="n">
        <x:v>1</x:v>
      </x:c>
      <x:c r="L992" s="19" t="str">
        <x:v>KZT</x:v>
      </x:c>
      <x:c r="M992" s="22"/>
      <x:c r="N992" s="22"/>
      <x:c r="O992" s="28"/>
      <x:c r="P992" s="22"/>
      <x:c r="Q992" s="22"/>
      <x:c r="R992" s="28"/>
      <x:c r="S992" s="22"/>
      <x:c r="T992" s="35" t="n">
        <x:f>K992</x:f>
        <x:v>1</x:v>
      </x:c>
      <x:c r="U992" s="20" t="str">
        <x:f>IF(J992="Рассчитано",N992*(1-O992/100),"н/д")</x:f>
        <x:v>н/д</x:v>
      </x:c>
      <x:c r="V992" s="20" t="str">
        <x:f>IF(J992="Рассчитано",T992*U992,"н/д")</x:f>
        <x:v>н/д</x:v>
      </x:c>
      <x:c r="W992" s="20" t="str">
        <x:f>IF(J992="Рассчитано",T992*M992,"н/д")</x:f>
        <x:v>н/д</x:v>
      </x:c>
      <x:c r="X992" s="20" t="str">
        <x:f>IF(J992="Рассчитано",V992-W992,"н/д")</x:f>
        <x:v>н/д</x:v>
      </x:c>
      <x:c r="Y992" s="26" t="str">
        <x:f>IF(J992="Рассчитано",IF(V992&gt;0,G992/V992,"н/д"),"н/д")</x:f>
        <x:v>н/д</x:v>
      </x:c>
      <x:c r="Z992" s="20" t="str">
        <x:f>"н/д"</x:f>
        <x:v>н/д</x:v>
      </x:c>
      <x:c r="AA992" s="20" t="str">
        <x:f>"н/д"</x:f>
        <x:v>н/д</x:v>
      </x:c>
      <x:c r="AB992" s="20" t="str">
        <x:f>"н/д"</x:f>
        <x:v>н/д</x:v>
      </x:c>
      <x:c r="AC992" s="20" t="str">
        <x:f>IF(AND(J992="Рассчитано",T992&gt;0,R992&lt;100),(W992+P992+Q992)/(T992*(1-R992/100)),"н/д")</x:f>
        <x:v>н/д</x:v>
      </x:c>
      <x:c r="AD992" s="11" t="str">
        <x:f>IF(ISNUMBER(G992),IF(G992&lt;0,"Убыток",IF(G992=0,"Без прибыли","Прибыль &gt; 0")),"Не оценён")</x:f>
        <x:v>Не оценён</x:v>
      </x:c>
      <x:c r="AE992" s="12" t="str">
        <x:f>IF(J992="Рассчитано","Выручка "&amp;TEXT(V992,"0.00")&amp;" - себестоимость "&amp;TEXT(W992,"0.00")&amp;" - комиссия "&amp;TEXT(V992*R992/100,"0.00")&amp;" - доставка "&amp;TEXT(P992,"0.00")&amp;" - прочие "&amp;TEXT(Q992,"0.00")&amp;" = "&amp;TEXT(G992,"0.00")&amp;" "&amp;L992,"Введите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2" s="23" t="n">
        <x:v>6.113346623354907</x:v>
      </x:c>
      <x:c r="AG992" s="35" t="n">
        <x:v>8</x:v>
      </x:c>
      <x:c r="AH992" s="35" t="n">
        <x:v>0</x:v>
      </x:c>
      <x:c r="AI992" s="29" t="n">
        <x:v>46266</x:v>
      </x:c>
      <x:c r="AJ992" s="35" t="n">
        <x:v>1</x:v>
      </x:c>
      <x:c r="AK992" s="11" t="str">
        <x:v>минимум</x:v>
      </x:c>
      <x:c r="AL992" s="31" t="n">
        <x:v>111.28330377374996</x:v>
      </x:c>
      <x:c r="AM992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992" s="12" t="str">
        <x:v>Проверить свободный остаток и установить цену для B2B</x:v>
      </x:c>
      <x:c r="AO992" s="12" t="str">
        <x:v>Остаток 8; прогноз 90 дней 6.11; избыток 1 шт. Будущие поступления не выставляются на продажу. Остаток на начало сентября: требуется актуализация.</x:v>
      </x:c>
      <x:c r="AP992" s="12" t="str">
        <x:v>["category_missing", "daily_stockout_data_missing", "new_order_lead_time_unknown", "reservations_unknown", "stale_stock", "stockout_proxy_used"]</x:v>
      </x:c>
      <x:c r="AQ992" s="11" t="str">
        <x:v>IEK:270300284_</x:v>
      </x:c>
      <x:c r="AR992" s="23" t="n">
        <x:v>1</x:v>
      </x:c>
      <x:c r="AS992" s="23" t="n">
        <x:v>0</x:v>
      </x:c>
      <x:c r="AT992" s="23" t="n">
        <x:v>0</x:v>
      </x:c>
    </x:row>
    <x:row r="993" ht="64" customHeight="1">
      <x:c r="A993" s="10" t="str">
        <x:v>IEK</x:v>
      </x:c>
      <x:c r="B993" s="34" t="str">
        <x:v>270300285_</x:v>
      </x:c>
      <x:c r="C993" s="34" t="str">
        <x:v>YCE-FF-102-55</x:v>
      </x:c>
      <x:c r="D993" s="13" t="str">
        <x:v>Вентилятор с фильтром 102 куб.м./час IP55 IEK (8) NEW</x:v>
      </x:c>
      <x:c r="E993" s="10" t="str">
        <x:v>шт</x:v>
      </x:c>
      <x:c r="F993" s="37" t="n">
        <x:f>MAX(0,ROUNDDOWN((AG993-AF993)/AR993+0.000000001,0)*AR993)</x:f>
        <x:v>4</x:v>
      </x:c>
      <x:c r="G993" s="21" t="str">
        <x:f>IF(J993="Рассчитано",V993*(1-R993/100)-W993-P993-Q993,"н/д")</x:f>
        <x:v>н/д</x:v>
      </x:c>
      <x:c r="H993" s="13" t="str">
        <x:v>Высокий</x:v>
      </x:c>
      <x:c r="I993" s="13" t="str">
        <x:v>Высокий</x:v>
      </x:c>
      <x:c r="J993" s="13" t="str">
        <x:f>IF(L993="","Укажите валюту",IF(NOT(ISNUMBER(K993)),"Укажите объём",IF(K993&lt;=0,"Укажите объём",IF(K993&gt;F993,"Объём выше излишка",IF(COUNT(M993:O993)&lt;3,"Нужны цены",IF(COUNT(P993:R993)&lt;3,"Нужны расходы",IF(OR(M993&lt;0,N993&lt;0,O993&lt;0,O993&gt;100,P993&lt;0,Q993&lt;0,R993&lt;0,R993&gt;100),"Проверьте значения","Рассчитано")))))))</x:f>
        <x:v>Нужны цены</x:v>
      </x:c>
      <x:c r="K993" s="36" t="n">
        <x:v>4</x:v>
      </x:c>
      <x:c r="L993" s="19" t="str">
        <x:v>KZT</x:v>
      </x:c>
      <x:c r="M993" s="22"/>
      <x:c r="N993" s="22"/>
      <x:c r="O993" s="28"/>
      <x:c r="P993" s="22"/>
      <x:c r="Q993" s="22"/>
      <x:c r="R993" s="28"/>
      <x:c r="S993" s="22"/>
      <x:c r="T993" s="37" t="n">
        <x:f>K993</x:f>
        <x:v>4</x:v>
      </x:c>
      <x:c r="U993" s="21" t="str">
        <x:f>IF(J993="Рассчитано",N993*(1-O993/100),"н/д")</x:f>
        <x:v>н/д</x:v>
      </x:c>
      <x:c r="V993" s="21" t="str">
        <x:f>IF(J993="Рассчитано",T993*U993,"н/д")</x:f>
        <x:v>н/д</x:v>
      </x:c>
      <x:c r="W993" s="21" t="str">
        <x:f>IF(J993="Рассчитано",T993*M993,"н/д")</x:f>
        <x:v>н/д</x:v>
      </x:c>
      <x:c r="X993" s="21" t="str">
        <x:f>IF(J993="Рассчитано",V993-W993,"н/д")</x:f>
        <x:v>н/д</x:v>
      </x:c>
      <x:c r="Y993" s="27" t="str">
        <x:f>IF(J993="Рассчитано",IF(V993&gt;0,G993/V993,"н/д"),"н/д")</x:f>
        <x:v>н/д</x:v>
      </x:c>
      <x:c r="Z993" s="21" t="str">
        <x:f>"н/д"</x:f>
        <x:v>н/д</x:v>
      </x:c>
      <x:c r="AA993" s="21" t="str">
        <x:f>"н/д"</x:f>
        <x:v>н/д</x:v>
      </x:c>
      <x:c r="AB993" s="21" t="str">
        <x:f>"н/д"</x:f>
        <x:v>н/д</x:v>
      </x:c>
      <x:c r="AC993" s="21" t="str">
        <x:f>IF(AND(J993="Рассчитано",T993&gt;0,R993&lt;100),(W993+P993+Q993)/(T993*(1-R993/100)),"н/д")</x:f>
        <x:v>н/д</x:v>
      </x:c>
      <x:c r="AD993" s="10" t="str">
        <x:f>IF(ISNUMBER(G993),IF(G993&lt;0,"Убыток",IF(G993=0,"Без прибыли","Прибыль &gt; 0")),"Не оценён")</x:f>
        <x:v>Не оценён</x:v>
      </x:c>
      <x:c r="AE993" s="13" t="str">
        <x:f>IF(J993="Рассчитано","Выручка "&amp;TEXT(V993,"0.00")&amp;" - себестоимость "&amp;TEXT(W993,"0.00")&amp;" - комиссия "&amp;TEXT(V993*R993/100,"0.00")&amp;" - доставка "&amp;TEXT(P993,"0.00")&amp;" - прочие "&amp;TEXT(Q993,"0.00")&amp;" = "&amp;TEXT(G993,"0.00")&amp;" "&amp;L993,"Введите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3" s="24" t="n">
        <x:v>1.4893209413259068</x:v>
      </x:c>
      <x:c r="AG993" s="37" t="n">
        <x:v>6</x:v>
      </x:c>
      <x:c r="AH993" s="37" t="n">
        <x:v>0</x:v>
      </x:c>
      <x:c r="AI993" s="30" t="n">
        <x:v>46266</x:v>
      </x:c>
      <x:c r="AJ993" s="37" t="n">
        <x:v>1</x:v>
      </x:c>
      <x:c r="AK993" s="10" t="str">
        <x:v>минимум</x:v>
      </x:c>
      <x:c r="AL993" s="32" t="n">
        <x:v>342.59577157796804</x:v>
      </x:c>
      <x:c r="AM99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93" s="13" t="str">
        <x:v>Проверить свободный остаток и установить цену для B2B</x:v>
      </x:c>
      <x:c r="AO993" s="13" t="str">
        <x:v>Остаток 6; прогноз 90 дней 1.49; избыток 4 шт. Будущие поступления не выставляются на продажу. Остаток на начало сентября: требуется актуализация.</x:v>
      </x:c>
      <x:c r="AP993" s="13" t="str">
        <x:v>["category_missing", "daily_stockout_data_missing", "new_order_lead_time_unknown", "reservations_unknown", "stale_stock"]</x:v>
      </x:c>
      <x:c r="AQ993" s="10" t="str">
        <x:v>IEK:270300285_</x:v>
      </x:c>
      <x:c r="AR993" s="24" t="n">
        <x:v>1</x:v>
      </x:c>
      <x:c r="AS993" s="24" t="n">
        <x:v>0</x:v>
      </x:c>
      <x:c r="AT993" s="24" t="n">
        <x:v>0</x:v>
      </x:c>
    </x:row>
    <x:row r="994" ht="64" customHeight="1">
      <x:c r="A994" s="11" t="str">
        <x:v>IEK</x:v>
      </x:c>
      <x:c r="B994" s="33" t="str">
        <x:v>270300290_</x:v>
      </x:c>
      <x:c r="C994" s="33" t="str">
        <x:v>YVR10-380-55</x:v>
      </x:c>
      <x:c r="D994" s="12" t="str">
        <x:v>Вентилятор с фильтром ВФИ 380 м3/час IP55 IEK (8) NEW</x:v>
      </x:c>
      <x:c r="E994" s="11" t="str">
        <x:v>шт</x:v>
      </x:c>
      <x:c r="F994" s="35" t="n">
        <x:f>MAX(0,ROUNDDOWN((AG994-AF994)/AR994+0.000000001,0)*AR994)</x:f>
        <x:v>5</x:v>
      </x:c>
      <x:c r="G994" s="20" t="str">
        <x:f>IF(J994="Рассчитано",V994*(1-R994/100)-W994-P994-Q994,"н/д")</x:f>
        <x:v>н/д</x:v>
      </x:c>
      <x:c r="H994" s="12" t="str">
        <x:v>Высокий</x:v>
      </x:c>
      <x:c r="I994" s="12" t="str">
        <x:v>Высокий</x:v>
      </x:c>
      <x:c r="J994" s="12" t="str">
        <x:f>IF(L994="","Укажите валюту",IF(NOT(ISNUMBER(K994)),"Укажите объём",IF(K994&lt;=0,"Укажите объём",IF(K994&gt;F994,"Объём выше излишка",IF(COUNT(M994:O994)&lt;3,"Нужны цены",IF(COUNT(P994:R994)&lt;3,"Нужны расходы",IF(OR(M994&lt;0,N994&lt;0,O994&lt;0,O994&gt;100,P994&lt;0,Q994&lt;0,R994&lt;0,R994&gt;100),"Проверьте значения","Рассчитано")))))))</x:f>
        <x:v>Нужны цены</x:v>
      </x:c>
      <x:c r="K994" s="36" t="n">
        <x:v>5</x:v>
      </x:c>
      <x:c r="L994" s="19" t="str">
        <x:v>KZT</x:v>
      </x:c>
      <x:c r="M994" s="22"/>
      <x:c r="N994" s="22"/>
      <x:c r="O994" s="28"/>
      <x:c r="P994" s="22"/>
      <x:c r="Q994" s="22"/>
      <x:c r="R994" s="28"/>
      <x:c r="S994" s="22"/>
      <x:c r="T994" s="35" t="n">
        <x:f>K994</x:f>
        <x:v>5</x:v>
      </x:c>
      <x:c r="U994" s="20" t="str">
        <x:f>IF(J994="Рассчитано",N994*(1-O994/100),"н/д")</x:f>
        <x:v>н/д</x:v>
      </x:c>
      <x:c r="V994" s="20" t="str">
        <x:f>IF(J994="Рассчитано",T994*U994,"н/д")</x:f>
        <x:v>н/д</x:v>
      </x:c>
      <x:c r="W994" s="20" t="str">
        <x:f>IF(J994="Рассчитано",T994*M994,"н/д")</x:f>
        <x:v>н/д</x:v>
      </x:c>
      <x:c r="X994" s="20" t="str">
        <x:f>IF(J994="Рассчитано",V994-W994,"н/д")</x:f>
        <x:v>н/д</x:v>
      </x:c>
      <x:c r="Y994" s="26" t="str">
        <x:f>IF(J994="Рассчитано",IF(V994&gt;0,G994/V994,"н/д"),"н/д")</x:f>
        <x:v>н/д</x:v>
      </x:c>
      <x:c r="Z994" s="20" t="str">
        <x:f>"н/д"</x:f>
        <x:v>н/д</x:v>
      </x:c>
      <x:c r="AA994" s="20" t="str">
        <x:f>"н/д"</x:f>
        <x:v>н/д</x:v>
      </x:c>
      <x:c r="AB994" s="20" t="str">
        <x:f>"н/д"</x:f>
        <x:v>н/д</x:v>
      </x:c>
      <x:c r="AC994" s="20" t="str">
        <x:f>IF(AND(J994="Рассчитано",T994&gt;0,R994&lt;100),(W994+P994+Q994)/(T994*(1-R994/100)),"н/д")</x:f>
        <x:v>н/д</x:v>
      </x:c>
      <x:c r="AD994" s="11" t="str">
        <x:f>IF(ISNUMBER(G994),IF(G994&lt;0,"Убыток",IF(G994=0,"Без прибыли","Прибыль &gt; 0")),"Не оценён")</x:f>
        <x:v>Не оценён</x:v>
      </x:c>
      <x:c r="AE994" s="12" t="str">
        <x:f>IF(J994="Рассчитано","Выручка "&amp;TEXT(V994,"0.00")&amp;" - себестоимость "&amp;TEXT(W994,"0.00")&amp;" - комиссия "&amp;TEXT(V994*R994/100,"0.00")&amp;" - доставка "&amp;TEXT(P994,"0.00")&amp;" - прочие "&amp;TEXT(Q994,"0.00")&amp;" = "&amp;TEXT(G994,"0.00")&amp;" "&amp;L994,"Введите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4" s="23" t="n">
        <x:v>0.7800904925609509</x:v>
      </x:c>
      <x:c r="AG994" s="35" t="n">
        <x:v>6</x:v>
      </x:c>
      <x:c r="AH994" s="35" t="n">
        <x:v>0</x:v>
      </x:c>
      <x:c r="AI994" s="29" t="n">
        <x:v>46266</x:v>
      </x:c>
      <x:c r="AJ994" s="35" t="n">
        <x:v>1</x:v>
      </x:c>
      <x:c r="AK994" s="11" t="str">
        <x:v>минимум</x:v>
      </x:c>
      <x:c r="AL994" s="31" t="n">
        <x:v>654.0716261593302</x:v>
      </x:c>
      <x:c r="AM99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94" s="12" t="str">
        <x:v>Проверить свободный остаток и установить цену для B2B</x:v>
      </x:c>
      <x:c r="AO994" s="12" t="str">
        <x:v>Остаток 6; прогноз 90 дней 0.78; избыток 5 шт. Будущие поступления не выставляются на продажу. Остаток на начало сентября: требуется актуализация.</x:v>
      </x:c>
      <x:c r="AP994" s="12" t="str">
        <x:v>["category_missing", "daily_stockout_data_missing", "new_order_lead_time_unknown", "reservations_unknown", "stale_stock"]</x:v>
      </x:c>
      <x:c r="AQ994" s="11" t="str">
        <x:v>IEK:270300290_</x:v>
      </x:c>
      <x:c r="AR994" s="23" t="n">
        <x:v>1</x:v>
      </x:c>
      <x:c r="AS994" s="23" t="n">
        <x:v>0</x:v>
      </x:c>
      <x:c r="AT994" s="23" t="n">
        <x:v>0</x:v>
      </x:c>
    </x:row>
    <x:row r="995" ht="64" customHeight="1">
      <x:c r="A995" s="10" t="str">
        <x:v>IEK</x:v>
      </x:c>
      <x:c r="B995" s="34" t="str">
        <x:v>270300291_</x:v>
      </x:c>
      <x:c r="C995" s="34" t="str">
        <x:v>YVR10-480-55</x:v>
      </x:c>
      <x:c r="D995" s="13" t="str">
        <x:v>Вентилятор с фильтром ВФИ 480 м3/час IP55 IEK (5) NEW</x:v>
      </x:c>
      <x:c r="E995" s="10" t="str">
        <x:v>шт</x:v>
      </x:c>
      <x:c r="F995" s="37" t="n">
        <x:f>MAX(0,ROUNDDOWN((AG995-AF995)/AR995+0.000000001,0)*AR995)</x:f>
        <x:v>8</x:v>
      </x:c>
      <x:c r="G995" s="21" t="str">
        <x:f>IF(J995="Рассчитано",V995*(1-R995/100)-W995-P995-Q995,"н/д")</x:f>
        <x:v>н/д</x:v>
      </x:c>
      <x:c r="H995" s="13" t="str">
        <x:v>Высокий</x:v>
      </x:c>
      <x:c r="I995" s="13" t="str">
        <x:v>Высокий</x:v>
      </x:c>
      <x:c r="J995" s="13" t="str">
        <x:f>IF(L995="","Укажите валюту",IF(NOT(ISNUMBER(K995)),"Укажите объём",IF(K995&lt;=0,"Укажите объём",IF(K995&gt;F995,"Объём выше излишка",IF(COUNT(M995:O995)&lt;3,"Нужны цены",IF(COUNT(P995:R995)&lt;3,"Нужны расходы",IF(OR(M995&lt;0,N995&lt;0,O995&lt;0,O995&gt;100,P995&lt;0,Q995&lt;0,R995&lt;0,R995&gt;100),"Проверьте значения","Рассчитано")))))))</x:f>
        <x:v>Нужны цены</x:v>
      </x:c>
      <x:c r="K995" s="36" t="n">
        <x:v>8</x:v>
      </x:c>
      <x:c r="L995" s="19" t="str">
        <x:v>KZT</x:v>
      </x:c>
      <x:c r="M995" s="22"/>
      <x:c r="N995" s="22"/>
      <x:c r="O995" s="28"/>
      <x:c r="P995" s="22"/>
      <x:c r="Q995" s="22"/>
      <x:c r="R995" s="28"/>
      <x:c r="S995" s="22"/>
      <x:c r="T995" s="37" t="n">
        <x:f>K995</x:f>
        <x:v>8</x:v>
      </x:c>
      <x:c r="U995" s="21" t="str">
        <x:f>IF(J995="Рассчитано",N995*(1-O995/100),"н/д")</x:f>
        <x:v>н/д</x:v>
      </x:c>
      <x:c r="V995" s="21" t="str">
        <x:f>IF(J995="Рассчитано",T995*U995,"н/д")</x:f>
        <x:v>н/д</x:v>
      </x:c>
      <x:c r="W995" s="21" t="str">
        <x:f>IF(J995="Рассчитано",T995*M995,"н/д")</x:f>
        <x:v>н/д</x:v>
      </x:c>
      <x:c r="X995" s="21" t="str">
        <x:f>IF(J995="Рассчитано",V995-W995,"н/д")</x:f>
        <x:v>н/д</x:v>
      </x:c>
      <x:c r="Y995" s="27" t="str">
        <x:f>IF(J995="Рассчитано",IF(V995&gt;0,G995/V995,"н/д"),"н/д")</x:f>
        <x:v>н/д</x:v>
      </x:c>
      <x:c r="Z995" s="21" t="str">
        <x:f>"н/д"</x:f>
        <x:v>н/д</x:v>
      </x:c>
      <x:c r="AA995" s="21" t="str">
        <x:f>"н/д"</x:f>
        <x:v>н/д</x:v>
      </x:c>
      <x:c r="AB995" s="21" t="str">
        <x:f>"н/д"</x:f>
        <x:v>н/д</x:v>
      </x:c>
      <x:c r="AC995" s="21" t="str">
        <x:f>IF(AND(J995="Рассчитано",T995&gt;0,R995&lt;100),(W995+P995+Q995)/(T995*(1-R995/100)),"н/д")</x:f>
        <x:v>н/д</x:v>
      </x:c>
      <x:c r="AD995" s="10" t="str">
        <x:f>IF(ISNUMBER(G995),IF(G995&lt;0,"Убыток",IF(G995=0,"Без прибыли","Прибыль &gt; 0")),"Не оценён")</x:f>
        <x:v>Не оценён</x:v>
      </x:c>
      <x:c r="AE995" s="13" t="str">
        <x:f>IF(J995="Рассчитано","Выручка "&amp;TEXT(V995,"0.00")&amp;" - себестоимость "&amp;TEXT(W995,"0.00")&amp;" - комиссия "&amp;TEXT(V995*R995/100,"0.00")&amp;" - доставка "&amp;TEXT(P995,"0.00")&amp;" - прочие "&amp;TEXT(Q995,"0.00")&amp;" = "&amp;TEXT(G995,"0.00")&amp;" "&amp;L995,"Введите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5" s="24" t="n">
        <x:v>1.5274711313627558</x:v>
      </x:c>
      <x:c r="AG995" s="37" t="n">
        <x:v>10</x:v>
      </x:c>
      <x:c r="AH995" s="37" t="n">
        <x:v>0</x:v>
      </x:c>
      <x:c r="AI995" s="30" t="n">
        <x:v>46266</x:v>
      </x:c>
      <x:c r="AJ995" s="37" t="n">
        <x:v>1</x:v>
      </x:c>
      <x:c r="AK995" s="10" t="str">
        <x:v>минимум</x:v>
      </x:c>
      <x:c r="AL995" s="32" t="n">
        <x:v>556.7318060817291</x:v>
      </x:c>
      <x:c r="AM99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95" s="13" t="str">
        <x:v>Проверить свободный остаток и установить цену для B2B</x:v>
      </x:c>
      <x:c r="AO995" s="13" t="str">
        <x:v>Остаток 10; прогноз 90 дней 1.53; избыток 8 шт. Будущие поступления не выставляются на продажу. Остаток на начало сентября: требуется актуализация.</x:v>
      </x:c>
      <x:c r="AP995" s="13" t="str">
        <x:v>["category_missing", "daily_stockout_data_missing", "large_orders_detected", "new_order_lead_time_unknown", "reservations_unknown", "stale_stock"]</x:v>
      </x:c>
      <x:c r="AQ995" s="10" t="str">
        <x:v>IEK:270300291_</x:v>
      </x:c>
      <x:c r="AR995" s="24" t="n">
        <x:v>1</x:v>
      </x:c>
      <x:c r="AS995" s="24" t="n">
        <x:v>0</x:v>
      </x:c>
      <x:c r="AT995" s="24" t="n">
        <x:v>0</x:v>
      </x:c>
    </x:row>
    <x:row r="996" ht="64" customHeight="1">
      <x:c r="A996" s="11" t="str">
        <x:v>IEK</x:v>
      </x:c>
      <x:c r="B996" s="33" t="str">
        <x:v>270300292_</x:v>
      </x:c>
      <x:c r="C996" s="33" t="str">
        <x:v>YVR10-550-55</x:v>
      </x:c>
      <x:c r="D996" s="12" t="str">
        <x:v>Вентилятор с фильтром ВФИ 550 м3/час IP55 IEK (5) NEW</x:v>
      </x:c>
      <x:c r="E996" s="11" t="str">
        <x:v>шт</x:v>
      </x:c>
      <x:c r="F996" s="35" t="n">
        <x:f>MAX(0,ROUNDDOWN((AG996-AF996)/AR996+0.000000001,0)*AR996)</x:f>
        <x:v>1</x:v>
      </x:c>
      <x:c r="G996" s="20" t="str">
        <x:f>IF(J996="Рассчитано",V996*(1-R996/100)-W996-P996-Q996,"н/д")</x:f>
        <x:v>н/д</x:v>
      </x:c>
      <x:c r="H996" s="12" t="str">
        <x:v>Высокий</x:v>
      </x:c>
      <x:c r="I996" s="12" t="str">
        <x:v>Высокий</x:v>
      </x:c>
      <x:c r="J996" s="12" t="str">
        <x:f>IF(L996="","Укажите валюту",IF(NOT(ISNUMBER(K996)),"Укажите объём",IF(K996&lt;=0,"Укажите объём",IF(K996&gt;F996,"Объём выше излишка",IF(COUNT(M996:O996)&lt;3,"Нужны цены",IF(COUNT(P996:R996)&lt;3,"Нужны расходы",IF(OR(M996&lt;0,N996&lt;0,O996&lt;0,O996&gt;100,P996&lt;0,Q996&lt;0,R996&lt;0,R996&gt;100),"Проверьте значения","Рассчитано")))))))</x:f>
        <x:v>Нужны цены</x:v>
      </x:c>
      <x:c r="K996" s="36" t="n">
        <x:v>1</x:v>
      </x:c>
      <x:c r="L996" s="19" t="str">
        <x:v>KZT</x:v>
      </x:c>
      <x:c r="M996" s="22"/>
      <x:c r="N996" s="22"/>
      <x:c r="O996" s="28"/>
      <x:c r="P996" s="22"/>
      <x:c r="Q996" s="22"/>
      <x:c r="R996" s="28"/>
      <x:c r="S996" s="22"/>
      <x:c r="T996" s="35" t="n">
        <x:f>K996</x:f>
        <x:v>1</x:v>
      </x:c>
      <x:c r="U996" s="20" t="str">
        <x:f>IF(J996="Рассчитано",N996*(1-O996/100),"н/д")</x:f>
        <x:v>н/д</x:v>
      </x:c>
      <x:c r="V996" s="20" t="str">
        <x:f>IF(J996="Рассчитано",T996*U996,"н/д")</x:f>
        <x:v>н/д</x:v>
      </x:c>
      <x:c r="W996" s="20" t="str">
        <x:f>IF(J996="Рассчитано",T996*M996,"н/д")</x:f>
        <x:v>н/д</x:v>
      </x:c>
      <x:c r="X996" s="20" t="str">
        <x:f>IF(J996="Рассчитано",V996-W996,"н/д")</x:f>
        <x:v>н/д</x:v>
      </x:c>
      <x:c r="Y996" s="26" t="str">
        <x:f>IF(J996="Рассчитано",IF(V996&gt;0,G996/V996,"н/д"),"н/д")</x:f>
        <x:v>н/д</x:v>
      </x:c>
      <x:c r="Z996" s="20" t="str">
        <x:f>"н/д"</x:f>
        <x:v>н/д</x:v>
      </x:c>
      <x:c r="AA996" s="20" t="str">
        <x:f>"н/д"</x:f>
        <x:v>н/д</x:v>
      </x:c>
      <x:c r="AB996" s="20" t="str">
        <x:f>"н/д"</x:f>
        <x:v>н/д</x:v>
      </x:c>
      <x:c r="AC996" s="20" t="str">
        <x:f>IF(AND(J996="Рассчитано",T996&gt;0,R996&lt;100),(W996+P996+Q996)/(T996*(1-R996/100)),"н/д")</x:f>
        <x:v>н/д</x:v>
      </x:c>
      <x:c r="AD996" s="11" t="str">
        <x:f>IF(ISNUMBER(G996),IF(G996&lt;0,"Убыток",IF(G996=0,"Без прибыли","Прибыль &gt; 0")),"Не оценён")</x:f>
        <x:v>Не оценён</x:v>
      </x:c>
      <x:c r="AE996" s="12" t="str">
        <x:f>IF(J996="Рассчитано","Выручка "&amp;TEXT(V996,"0.00")&amp;" - себестоимость "&amp;TEXT(W996,"0.00")&amp;" - комиссия "&amp;TEXT(V996*R996/100,"0.00")&amp;" - доставка "&amp;TEXT(P996,"0.00")&amp;" - прочие "&amp;TEXT(Q996,"0.00")&amp;" = "&amp;TEXT(G996,"0.00")&amp;" "&amp;L996,"Введите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6" s="23" t="n">
        <x:v>0.09005811180205522</x:v>
      </x:c>
      <x:c r="AG996" s="35" t="n">
        <x:v>2</x:v>
      </x:c>
      <x:c r="AH996" s="35" t="n">
        <x:v>0</x:v>
      </x:c>
      <x:c r="AI996" s="29" t="n">
        <x:v>46266</x:v>
      </x:c>
      <x:c r="AJ996" s="35" t="n">
        <x:v>1</x:v>
      </x:c>
      <x:c r="AK996" s="11" t="str">
        <x:v>минимум</x:v>
      </x:c>
      <x:c r="AL996" s="31" t="n">
        <x:v>1888.5400652645803</x:v>
      </x:c>
      <x:c r="AM99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996" s="12" t="str">
        <x:v>Проверить свободный остаток и установить цену для B2B</x:v>
      </x:c>
      <x:c r="AO996" s="12" t="str">
        <x:v>Остаток 2; прогноз 90 дней 0.09; избыток 1 шт. Будущие поступления не выставляются на продажу. Остаток на начало сентября: требуется актуализация.</x:v>
      </x:c>
      <x:c r="AP996" s="12" t="str">
        <x:v>["category_missing", "daily_stockout_data_missing", "new_order_lead_time_unknown", "reservations_unknown", "stale_stock"]</x:v>
      </x:c>
      <x:c r="AQ996" s="11" t="str">
        <x:v>IEK:270300292_</x:v>
      </x:c>
      <x:c r="AR996" s="23" t="n">
        <x:v>1</x:v>
      </x:c>
      <x:c r="AS996" s="23" t="n">
        <x:v>0</x:v>
      </x:c>
      <x:c r="AT996" s="23" t="n">
        <x:v>0</x:v>
      </x:c>
    </x:row>
    <x:row r="997" ht="64" customHeight="1">
      <x:c r="A997" s="10" t="str">
        <x:v>IEK</x:v>
      </x:c>
      <x:c r="B997" s="34" t="str">
        <x:v>270300293_</x:v>
      </x:c>
      <x:c r="C997" s="34" t="str">
        <x:v>YVR10-700-55</x:v>
      </x:c>
      <x:c r="D997" s="13" t="str">
        <x:v>Вентилятор с фильтром ВФИ 700 м3/час IP55 IEK (4) NEW</x:v>
      </x:c>
      <x:c r="E997" s="10" t="str">
        <x:v>шт</x:v>
      </x:c>
      <x:c r="F997" s="37" t="n">
        <x:f>MAX(0,ROUNDDOWN((AG997-AF997)/AR997+0.000000001,0)*AR997)</x:f>
        <x:v>2</x:v>
      </x:c>
      <x:c r="G997" s="21" t="str">
        <x:f>IF(J997="Рассчитано",V997*(1-R997/100)-W997-P997-Q997,"н/д")</x:f>
        <x:v>н/д</x:v>
      </x:c>
      <x:c r="H997" s="13" t="str">
        <x:v>Высокий</x:v>
      </x:c>
      <x:c r="I997" s="13" t="str">
        <x:v>Высокий</x:v>
      </x:c>
      <x:c r="J997" s="13" t="str">
        <x:f>IF(L997="","Укажите валюту",IF(NOT(ISNUMBER(K997)),"Укажите объём",IF(K997&lt;=0,"Укажите объём",IF(K997&gt;F997,"Объём выше излишка",IF(COUNT(M997:O997)&lt;3,"Нужны цены",IF(COUNT(P997:R997)&lt;3,"Нужны расходы",IF(OR(M997&lt;0,N997&lt;0,O997&lt;0,O997&gt;100,P997&lt;0,Q997&lt;0,R997&lt;0,R997&gt;100),"Проверьте значения","Рассчитано")))))))</x:f>
        <x:v>Нужны цены</x:v>
      </x:c>
      <x:c r="K997" s="36" t="n">
        <x:v>2</x:v>
      </x:c>
      <x:c r="L997" s="19" t="str">
        <x:v>KZT</x:v>
      </x:c>
      <x:c r="M997" s="22"/>
      <x:c r="N997" s="22"/>
      <x:c r="O997" s="28"/>
      <x:c r="P997" s="22"/>
      <x:c r="Q997" s="22"/>
      <x:c r="R997" s="28"/>
      <x:c r="S997" s="22"/>
      <x:c r="T997" s="37" t="n">
        <x:f>K997</x:f>
        <x:v>2</x:v>
      </x:c>
      <x:c r="U997" s="21" t="str">
        <x:f>IF(J997="Рассчитано",N997*(1-O997/100),"н/д")</x:f>
        <x:v>н/д</x:v>
      </x:c>
      <x:c r="V997" s="21" t="str">
        <x:f>IF(J997="Рассчитано",T997*U997,"н/д")</x:f>
        <x:v>н/д</x:v>
      </x:c>
      <x:c r="W997" s="21" t="str">
        <x:f>IF(J997="Рассчитано",T997*M997,"н/д")</x:f>
        <x:v>н/д</x:v>
      </x:c>
      <x:c r="X997" s="21" t="str">
        <x:f>IF(J997="Рассчитано",V997-W997,"н/д")</x:f>
        <x:v>н/д</x:v>
      </x:c>
      <x:c r="Y997" s="27" t="str">
        <x:f>IF(J997="Рассчитано",IF(V997&gt;0,G997/V997,"н/д"),"н/д")</x:f>
        <x:v>н/д</x:v>
      </x:c>
      <x:c r="Z997" s="21" t="str">
        <x:f>"н/д"</x:f>
        <x:v>н/д</x:v>
      </x:c>
      <x:c r="AA997" s="21" t="str">
        <x:f>"н/д"</x:f>
        <x:v>н/д</x:v>
      </x:c>
      <x:c r="AB997" s="21" t="str">
        <x:f>"н/д"</x:f>
        <x:v>н/д</x:v>
      </x:c>
      <x:c r="AC997" s="21" t="str">
        <x:f>IF(AND(J997="Рассчитано",T997&gt;0,R997&lt;100),(W997+P997+Q997)/(T997*(1-R997/100)),"н/д")</x:f>
        <x:v>н/д</x:v>
      </x:c>
      <x:c r="AD997" s="10" t="str">
        <x:f>IF(ISNUMBER(G997),IF(G997&lt;0,"Убыток",IF(G997=0,"Без прибыли","Прибыль &gt; 0")),"Не оценён")</x:f>
        <x:v>Не оценён</x:v>
      </x:c>
      <x:c r="AE997" s="13" t="str">
        <x:f>IF(J997="Рассчитано","Выручка "&amp;TEXT(V997,"0.00")&amp;" - себестоимость "&amp;TEXT(W997,"0.00")&amp;" - комиссия "&amp;TEXT(V997*R997/100,"0.00")&amp;" - доставка "&amp;TEXT(P997,"0.00")&amp;" - прочие "&amp;TEXT(Q997,"0.00")&amp;" = "&amp;TEXT(G997,"0.00")&amp;" "&amp;L997,"Введите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7" s="24" t="n">
        <x:v>0</x:v>
      </x:c>
      <x:c r="AG997" s="37" t="n">
        <x:v>2</x:v>
      </x:c>
      <x:c r="AH997" s="37" t="n">
        <x:v>0</x:v>
      </x:c>
      <x:c r="AI997" s="30" t="n">
        <x:v>46266</x:v>
      </x:c>
      <x:c r="AJ997" s="37" t="n">
        <x:v>1</x:v>
      </x:c>
      <x:c r="AK997" s="10" t="str">
        <x:v>минимум</x:v>
      </x:c>
      <x:c r="AL997" s="32" t="str">
        <x:v>н/д</x:v>
      </x:c>
      <x:c r="AM99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997" s="13" t="str">
        <x:v>Проверить свободный остаток и установить цену для B2B</x:v>
      </x:c>
      <x:c r="AO997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997" s="13" t="str">
        <x:v>["category_missing", "daily_stockout_data_missing", "new_order_lead_time_unknown", "reservations_unknown", "stale_stock"]</x:v>
      </x:c>
      <x:c r="AQ997" s="10" t="str">
        <x:v>IEK:270300293_</x:v>
      </x:c>
      <x:c r="AR997" s="24" t="n">
        <x:v>1</x:v>
      </x:c>
      <x:c r="AS997" s="24" t="n">
        <x:v>0</x:v>
      </x:c>
      <x:c r="AT997" s="24" t="n">
        <x:v>0</x:v>
      </x:c>
    </x:row>
    <x:row r="998" ht="64" customHeight="1">
      <x:c r="A998" s="11" t="str">
        <x:v>IEK</x:v>
      </x:c>
      <x:c r="B998" s="33" t="str">
        <x:v>270300295_</x:v>
      </x:c>
      <x:c r="C998" s="33" t="str">
        <x:v>YVR10D-EF-065-55</x:v>
      </x:c>
      <x:c r="D998" s="12" t="str">
        <x:v>Фильтр c решеткой для вентилятора ВФИ 65-105 м3/час IEK (56) NEW</x:v>
      </x:c>
      <x:c r="E998" s="11" t="str">
        <x:v>шт</x:v>
      </x:c>
      <x:c r="F998" s="35" t="n">
        <x:f>MAX(0,ROUNDDOWN((AG998-AF998)/AR998+0.000000001,0)*AR998)</x:f>
        <x:v>13</x:v>
      </x:c>
      <x:c r="G998" s="20" t="str">
        <x:f>IF(J998="Рассчитано",V998*(1-R998/100)-W998-P998-Q998,"н/д")</x:f>
        <x:v>н/д</x:v>
      </x:c>
      <x:c r="H998" s="12" t="str">
        <x:v>Высокий</x:v>
      </x:c>
      <x:c r="I998" s="12" t="str">
        <x:v>Средний</x:v>
      </x:c>
      <x:c r="J998" s="12" t="str">
        <x:f>IF(L998="","Укажите валюту",IF(NOT(ISNUMBER(K998)),"Укажите объём",IF(K998&lt;=0,"Укажите объём",IF(K998&gt;F998,"Объём выше излишка",IF(COUNT(M998:O998)&lt;3,"Нужны цены",IF(COUNT(P998:R998)&lt;3,"Нужны расходы",IF(OR(M998&lt;0,N998&lt;0,O998&lt;0,O998&gt;100,P998&lt;0,Q998&lt;0,R998&lt;0,R998&gt;100),"Проверьте значения","Рассчитано")))))))</x:f>
        <x:v>Нужны цены</x:v>
      </x:c>
      <x:c r="K998" s="36" t="n">
        <x:v>13</x:v>
      </x:c>
      <x:c r="L998" s="19" t="str">
        <x:v>KZT</x:v>
      </x:c>
      <x:c r="M998" s="22"/>
      <x:c r="N998" s="22"/>
      <x:c r="O998" s="28"/>
      <x:c r="P998" s="22"/>
      <x:c r="Q998" s="22"/>
      <x:c r="R998" s="28"/>
      <x:c r="S998" s="22"/>
      <x:c r="T998" s="35" t="n">
        <x:f>K998</x:f>
        <x:v>13</x:v>
      </x:c>
      <x:c r="U998" s="20" t="str">
        <x:f>IF(J998="Рассчитано",N998*(1-O998/100),"н/д")</x:f>
        <x:v>н/д</x:v>
      </x:c>
      <x:c r="V998" s="20" t="str">
        <x:f>IF(J998="Рассчитано",T998*U998,"н/д")</x:f>
        <x:v>н/д</x:v>
      </x:c>
      <x:c r="W998" s="20" t="str">
        <x:f>IF(J998="Рассчитано",T998*M998,"н/д")</x:f>
        <x:v>н/д</x:v>
      </x:c>
      <x:c r="X998" s="20" t="str">
        <x:f>IF(J998="Рассчитано",V998-W998,"н/д")</x:f>
        <x:v>н/д</x:v>
      </x:c>
      <x:c r="Y998" s="26" t="str">
        <x:f>IF(J998="Рассчитано",IF(V998&gt;0,G998/V998,"н/д"),"н/д")</x:f>
        <x:v>н/д</x:v>
      </x:c>
      <x:c r="Z998" s="20" t="str">
        <x:f>"н/д"</x:f>
        <x:v>н/д</x:v>
      </x:c>
      <x:c r="AA998" s="20" t="str">
        <x:f>"н/д"</x:f>
        <x:v>н/д</x:v>
      </x:c>
      <x:c r="AB998" s="20" t="str">
        <x:f>"н/д"</x:f>
        <x:v>н/д</x:v>
      </x:c>
      <x:c r="AC998" s="20" t="str">
        <x:f>IF(AND(J998="Рассчитано",T998&gt;0,R998&lt;100),(W998+P998+Q998)/(T998*(1-R998/100)),"н/д")</x:f>
        <x:v>н/д</x:v>
      </x:c>
      <x:c r="AD998" s="11" t="str">
        <x:f>IF(ISNUMBER(G998),IF(G998&lt;0,"Убыток",IF(G998=0,"Без прибыли","Прибыль &gt; 0")),"Не оценён")</x:f>
        <x:v>Не оценён</x:v>
      </x:c>
      <x:c r="AE998" s="12" t="str">
        <x:f>IF(J998="Рассчитано","Выручка "&amp;TEXT(V998,"0.00")&amp;" - себестоимость "&amp;TEXT(W998,"0.00")&amp;" - комиссия "&amp;TEXT(V998*R998/100,"0.00")&amp;" - доставка "&amp;TEXT(P998,"0.00")&amp;" - прочие "&amp;TEXT(Q998,"0.00")&amp;" = "&amp;TEXT(G998,"0.00")&amp;" "&amp;L998,"Введите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8" s="23" t="n">
        <x:v>13.83162867993181</x:v>
      </x:c>
      <x:c r="AG998" s="35" t="n">
        <x:v>27</x:v>
      </x:c>
      <x:c r="AH998" s="35" t="n">
        <x:v>0</x:v>
      </x:c>
      <x:c r="AI998" s="29" t="n">
        <x:v>46266</x:v>
      </x:c>
      <x:c r="AJ998" s="35" t="n">
        <x:v>1</x:v>
      </x:c>
      <x:c r="AK998" s="11" t="str">
        <x:v>минимум</x:v>
      </x:c>
      <x:c r="AL998" s="31" t="n">
        <x:v>166.00053469659863</x:v>
      </x:c>
      <x:c r="AM998" s="12" t="str">
        <x:v>Остаток на начало сентября; Резервы неизвестны; Нет ежедневных данных доступности. Запас выше прогноза на 90 дней</x:v>
      </x:c>
      <x:c r="AN998" s="12" t="str">
        <x:v>Проверить свободный остаток и установить цену для B2B</x:v>
      </x:c>
      <x:c r="AO998" s="12" t="str">
        <x:v>Остаток 27; прогноз 90 дней 13.83; избыток 13 шт. Будущие поступления не выставляются на продажу. Остаток на начало сентября: требуется актуализация.</x:v>
      </x:c>
      <x:c r="AP998" s="12" t="str">
        <x:v>["category_missing", "daily_stockout_data_missing", "large_orders_detected", "negative_net_sales_clipped_for_forecast", "new_order_lead_time_unknown", "reservations_unknown", "stale_stock"]</x:v>
      </x:c>
      <x:c r="AQ998" s="11" t="str">
        <x:v>IEK:270300295_</x:v>
      </x:c>
      <x:c r="AR998" s="23" t="n">
        <x:v>1</x:v>
      </x:c>
      <x:c r="AS998" s="23" t="n">
        <x:v>0</x:v>
      </x:c>
      <x:c r="AT998" s="23" t="n">
        <x:v>0</x:v>
      </x:c>
    </x:row>
    <x:row r="999" ht="64" customHeight="1">
      <x:c r="A999" s="10" t="str">
        <x:v>IEK</x:v>
      </x:c>
      <x:c r="B999" s="34" t="str">
        <x:v>270300296_</x:v>
      </x:c>
      <x:c r="C999" s="34" t="str">
        <x:v>YVR10D-EF-200-55</x:v>
      </x:c>
      <x:c r="D999" s="13" t="str">
        <x:v>Фильтр c решеткой для вентилятора ВФИ 200 м3/час IEK (28) NEW</x:v>
      </x:c>
      <x:c r="E999" s="10" t="str">
        <x:v>шт</x:v>
      </x:c>
      <x:c r="F999" s="37" t="n">
        <x:f>MAX(0,ROUNDDOWN((AG999-AF999)/AR999+0.000000001,0)*AR999)</x:f>
        <x:v>2</x:v>
      </x:c>
      <x:c r="G999" s="21" t="str">
        <x:f>IF(J999="Рассчитано",V999*(1-R999/100)-W999-P999-Q999,"н/д")</x:f>
        <x:v>н/д</x:v>
      </x:c>
      <x:c r="H999" s="13" t="str">
        <x:v>Высокий</x:v>
      </x:c>
      <x:c r="I999" s="13" t="str">
        <x:v>Средний</x:v>
      </x:c>
      <x:c r="J999" s="13" t="str">
        <x:f>IF(L999="","Укажите валюту",IF(NOT(ISNUMBER(K999)),"Укажите объём",IF(K999&lt;=0,"Укажите объём",IF(K999&gt;F999,"Объём выше излишка",IF(COUNT(M999:O999)&lt;3,"Нужны цены",IF(COUNT(P999:R999)&lt;3,"Нужны расходы",IF(OR(M999&lt;0,N999&lt;0,O999&lt;0,O999&gt;100,P999&lt;0,Q999&lt;0,R999&lt;0,R999&gt;100),"Проверьте значения","Рассчитано")))))))</x:f>
        <x:v>Нужны цены</x:v>
      </x:c>
      <x:c r="K999" s="36" t="n">
        <x:v>2</x:v>
      </x:c>
      <x:c r="L999" s="19" t="str">
        <x:v>KZT</x:v>
      </x:c>
      <x:c r="M999" s="22"/>
      <x:c r="N999" s="22"/>
      <x:c r="O999" s="28"/>
      <x:c r="P999" s="22"/>
      <x:c r="Q999" s="22"/>
      <x:c r="R999" s="28"/>
      <x:c r="S999" s="22"/>
      <x:c r="T999" s="37" t="n">
        <x:f>K999</x:f>
        <x:v>2</x:v>
      </x:c>
      <x:c r="U999" s="21" t="str">
        <x:f>IF(J999="Рассчитано",N999*(1-O999/100),"н/д")</x:f>
        <x:v>н/д</x:v>
      </x:c>
      <x:c r="V999" s="21" t="str">
        <x:f>IF(J999="Рассчитано",T999*U999,"н/д")</x:f>
        <x:v>н/д</x:v>
      </x:c>
      <x:c r="W999" s="21" t="str">
        <x:f>IF(J999="Рассчитано",T999*M999,"н/д")</x:f>
        <x:v>н/д</x:v>
      </x:c>
      <x:c r="X999" s="21" t="str">
        <x:f>IF(J999="Рассчитано",V999-W999,"н/д")</x:f>
        <x:v>н/д</x:v>
      </x:c>
      <x:c r="Y999" s="27" t="str">
        <x:f>IF(J999="Рассчитано",IF(V999&gt;0,G999/V999,"н/д"),"н/д")</x:f>
        <x:v>н/д</x:v>
      </x:c>
      <x:c r="Z999" s="21" t="str">
        <x:f>"н/д"</x:f>
        <x:v>н/д</x:v>
      </x:c>
      <x:c r="AA999" s="21" t="str">
        <x:f>"н/д"</x:f>
        <x:v>н/д</x:v>
      </x:c>
      <x:c r="AB999" s="21" t="str">
        <x:f>"н/д"</x:f>
        <x:v>н/д</x:v>
      </x:c>
      <x:c r="AC999" s="21" t="str">
        <x:f>IF(AND(J999="Рассчитано",T999&gt;0,R999&lt;100),(W999+P999+Q999)/(T999*(1-R999/100)),"н/д")</x:f>
        <x:v>н/д</x:v>
      </x:c>
      <x:c r="AD999" s="10" t="str">
        <x:f>IF(ISNUMBER(G999),IF(G999&lt;0,"Убыток",IF(G999=0,"Без прибыли","Прибыль &gt; 0")),"Не оценён")</x:f>
        <x:v>Не оценён</x:v>
      </x:c>
      <x:c r="AE999" s="13" t="str">
        <x:f>IF(J999="Рассчитано","Выручка "&amp;TEXT(V999,"0.00")&amp;" - себестоимость "&amp;TEXT(W999,"0.00")&amp;" - комиссия "&amp;TEXT(V999*R999/100,"0.00")&amp;" - доставка "&amp;TEXT(P999,"0.00")&amp;" - прочие "&amp;TEXT(Q999,"0.00")&amp;" = "&amp;TEXT(G999,"0.00")&amp;" "&amp;L999,"Введите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9" s="24" t="n">
        <x:v>7.441051859700123</x:v>
      </x:c>
      <x:c r="AG999" s="37" t="n">
        <x:v>10</x:v>
      </x:c>
      <x:c r="AH999" s="37" t="n">
        <x:v>0</x:v>
      </x:c>
      <x:c r="AI999" s="30" t="n">
        <x:v>46266</x:v>
      </x:c>
      <x:c r="AJ999" s="37" t="n">
        <x:v>1</x:v>
      </x:c>
      <x:c r="AK999" s="10" t="str">
        <x:v>минимум</x:v>
      </x:c>
      <x:c r="AL999" s="32" t="n">
        <x:v>114.28381064065906</x:v>
      </x:c>
      <x:c r="AM999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999" s="13" t="str">
        <x:v>Проверить свободный остаток и установить цену для B2B</x:v>
      </x:c>
      <x:c r="AO999" s="13" t="str">
        <x:v>Остаток 10; прогноз 90 дней 7.44; избыток 2 шт. Будущие поступления не выставляются на продажу. Остаток на начало сентября: требуется актуализация.</x:v>
      </x:c>
      <x:c r="AP999" s="13" t="str">
        <x:v>["category_missing", "daily_stockout_data_missing", "new_order_lead_time_unknown", "reservations_unknown", "stale_stock", "stockout_proxy_used"]</x:v>
      </x:c>
      <x:c r="AQ999" s="10" t="str">
        <x:v>IEK:270300296_</x:v>
      </x:c>
      <x:c r="AR999" s="24" t="n">
        <x:v>1</x:v>
      </x:c>
      <x:c r="AS999" s="24" t="n">
        <x:v>0</x:v>
      </x:c>
      <x:c r="AT999" s="24" t="n">
        <x:v>0</x:v>
      </x:c>
    </x:row>
    <x:row r="1000" ht="64" customHeight="1">
      <x:c r="A1000" s="11" t="str">
        <x:v>IEK</x:v>
      </x:c>
      <x:c r="B1000" s="33" t="str">
        <x:v>270300297_</x:v>
      </x:c>
      <x:c r="C1000" s="33" t="str">
        <x:v>YVR10D-EF-380-55</x:v>
      </x:c>
      <x:c r="D1000" s="12" t="str">
        <x:v>Фильтр c решеткой для вентилятора ВФИ 380 м3/час IEK (28) NEW</x:v>
      </x:c>
      <x:c r="E1000" s="11" t="str">
        <x:v>шт</x:v>
      </x:c>
      <x:c r="F1000" s="35" t="n">
        <x:f>MAX(0,ROUNDDOWN((AG1000-AF1000)/AR1000+0.000000001,0)*AR1000)</x:f>
        <x:v>6</x:v>
      </x:c>
      <x:c r="G1000" s="20" t="str">
        <x:f>IF(J1000="Рассчитано",V1000*(1-R1000/100)-W1000-P1000-Q1000,"н/д")</x:f>
        <x:v>н/д</x:v>
      </x:c>
      <x:c r="H1000" s="12" t="str">
        <x:v>Высокий</x:v>
      </x:c>
      <x:c r="I1000" s="12" t="str">
        <x:v>Высокий</x:v>
      </x:c>
      <x:c r="J1000" s="12" t="str">
        <x:f>IF(L1000="","Укажите валюту",IF(NOT(ISNUMBER(K1000)),"Укажите объём",IF(K1000&lt;=0,"Укажите объём",IF(K1000&gt;F1000,"Объём выше излишка",IF(COUNT(M1000:O1000)&lt;3,"Нужны цены",IF(COUNT(P1000:R1000)&lt;3,"Нужны расходы",IF(OR(M1000&lt;0,N1000&lt;0,O1000&lt;0,O1000&gt;100,P1000&lt;0,Q1000&lt;0,R1000&lt;0,R1000&gt;100),"Проверьте значения","Рассчитано")))))))</x:f>
        <x:v>Нужны цены</x:v>
      </x:c>
      <x:c r="K1000" s="36" t="n">
        <x:v>6</x:v>
      </x:c>
      <x:c r="L1000" s="19" t="str">
        <x:v>KZT</x:v>
      </x:c>
      <x:c r="M1000" s="22"/>
      <x:c r="N1000" s="22"/>
      <x:c r="O1000" s="28"/>
      <x:c r="P1000" s="22"/>
      <x:c r="Q1000" s="22"/>
      <x:c r="R1000" s="28"/>
      <x:c r="S1000" s="22"/>
      <x:c r="T1000" s="35" t="n">
        <x:f>K1000</x:f>
        <x:v>6</x:v>
      </x:c>
      <x:c r="U1000" s="20" t="str">
        <x:f>IF(J1000="Рассчитано",N1000*(1-O1000/100),"н/д")</x:f>
        <x:v>н/д</x:v>
      </x:c>
      <x:c r="V1000" s="20" t="str">
        <x:f>IF(J1000="Рассчитано",T1000*U1000,"н/д")</x:f>
        <x:v>н/д</x:v>
      </x:c>
      <x:c r="W1000" s="20" t="str">
        <x:f>IF(J1000="Рассчитано",T1000*M1000,"н/д")</x:f>
        <x:v>н/д</x:v>
      </x:c>
      <x:c r="X1000" s="20" t="str">
        <x:f>IF(J1000="Рассчитано",V1000-W1000,"н/д")</x:f>
        <x:v>н/д</x:v>
      </x:c>
      <x:c r="Y1000" s="26" t="str">
        <x:f>IF(J1000="Рассчитано",IF(V1000&gt;0,G1000/V1000,"н/д"),"н/д")</x:f>
        <x:v>н/д</x:v>
      </x:c>
      <x:c r="Z1000" s="20" t="str">
        <x:f>"н/д"</x:f>
        <x:v>н/д</x:v>
      </x:c>
      <x:c r="AA1000" s="20" t="str">
        <x:f>"н/д"</x:f>
        <x:v>н/д</x:v>
      </x:c>
      <x:c r="AB1000" s="20" t="str">
        <x:f>"н/д"</x:f>
        <x:v>н/д</x:v>
      </x:c>
      <x:c r="AC1000" s="20" t="str">
        <x:f>IF(AND(J1000="Рассчитано",T1000&gt;0,R1000&lt;100),(W1000+P1000+Q1000)/(T1000*(1-R1000/100)),"н/д")</x:f>
        <x:v>н/д</x:v>
      </x:c>
      <x:c r="AD1000" s="11" t="str">
        <x:f>IF(ISNUMBER(G1000),IF(G1000&lt;0,"Убыток",IF(G1000=0,"Без прибыли","Прибыль &gt; 0")),"Не оценён")</x:f>
        <x:v>Не оценён</x:v>
      </x:c>
      <x:c r="AE1000" s="12" t="str">
        <x:f>IF(J1000="Рассчитано","Выручка "&amp;TEXT(V1000,"0.00")&amp;" - себестоимость "&amp;TEXT(W1000,"0.00")&amp;" - комиссия "&amp;TEXT(V1000*R1000/100,"0.00")&amp;" - доставка "&amp;TEXT(P1000,"0.00")&amp;" - прочие "&amp;TEXT(Q1000,"0.00")&amp;" = "&amp;TEXT(G1000,"0.00")&amp;" "&amp;L1000,"Введите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0" s="23" t="n">
        <x:v>6.018277859048797</x:v>
      </x:c>
      <x:c r="AG1000" s="35" t="n">
        <x:v>13</x:v>
      </x:c>
      <x:c r="AH1000" s="35" t="n">
        <x:v>0</x:v>
      </x:c>
      <x:c r="AI1000" s="29" t="n">
        <x:v>46266</x:v>
      </x:c>
      <x:c r="AJ1000" s="35" t="n">
        <x:v>1</x:v>
      </x:c>
      <x:c r="AK1000" s="11" t="str">
        <x:v>минимум</x:v>
      </x:c>
      <x:c r="AL1000" s="31" t="n">
        <x:v>183.69196572562507</x:v>
      </x:c>
      <x:c r="AM1000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1000" s="12" t="str">
        <x:v>Проверить свободный остаток и установить цену для B2B</x:v>
      </x:c>
      <x:c r="AO1000" s="12" t="str">
        <x:v>Остаток 13; прогноз 90 дней 6.02; избыток 6 шт. Будущие поступления не выставляются на продажу. Остаток на начало сентября: требуется актуализация.</x:v>
      </x:c>
      <x:c r="AP1000" s="12" t="str">
        <x:v>["category_missing", "daily_stockout_data_missing", "new_order_lead_time_unknown", "reservations_unknown", "stale_stock", "stockout_proxy_used"]</x:v>
      </x:c>
      <x:c r="AQ1000" s="11" t="str">
        <x:v>IEK:270300297_</x:v>
      </x:c>
      <x:c r="AR1000" s="23" t="n">
        <x:v>1</x:v>
      </x:c>
      <x:c r="AS1000" s="23" t="n">
        <x:v>0</x:v>
      </x:c>
      <x:c r="AT1000" s="23" t="n">
        <x:v>0</x:v>
      </x:c>
    </x:row>
    <x:row r="1001" ht="64" customHeight="1">
      <x:c r="A1001" s="10" t="str">
        <x:v>IEK</x:v>
      </x:c>
      <x:c r="B1001" s="34" t="str">
        <x:v>270300298_</x:v>
      </x:c>
      <x:c r="C1001" s="34" t="str">
        <x:v>YVR10D-EF-480-55</x:v>
      </x:c>
      <x:c r="D1001" s="13" t="str">
        <x:v>Фильтр c решеткой для вентилятора ВФИ 480-700 м3/час IEK (19) NEW</x:v>
      </x:c>
      <x:c r="E1001" s="10" t="str">
        <x:v>шт</x:v>
      </x:c>
      <x:c r="F1001" s="37" t="n">
        <x:f>MAX(0,ROUNDDOWN((AG1001-AF1001)/AR1001+0.000000001,0)*AR1001)</x:f>
        <x:v>7</x:v>
      </x:c>
      <x:c r="G1001" s="21" t="str">
        <x:f>IF(J1001="Рассчитано",V1001*(1-R1001/100)-W1001-P1001-Q1001,"н/д")</x:f>
        <x:v>н/д</x:v>
      </x:c>
      <x:c r="H1001" s="13" t="str">
        <x:v>Высокий</x:v>
      </x:c>
      <x:c r="I1001" s="13" t="str">
        <x:v>Высокий</x:v>
      </x:c>
      <x:c r="J1001" s="13" t="str">
        <x:f>IF(L1001="","Укажите валюту",IF(NOT(ISNUMBER(K1001)),"Укажите объём",IF(K1001&lt;=0,"Укажите объём",IF(K1001&gt;F1001,"Объём выше излишка",IF(COUNT(M1001:O1001)&lt;3,"Нужны цены",IF(COUNT(P1001:R1001)&lt;3,"Нужны расходы",IF(OR(M1001&lt;0,N1001&lt;0,O1001&lt;0,O1001&gt;100,P1001&lt;0,Q1001&lt;0,R1001&lt;0,R1001&gt;100),"Проверьте значения","Рассчитано")))))))</x:f>
        <x:v>Нужны цены</x:v>
      </x:c>
      <x:c r="K1001" s="36" t="n">
        <x:v>7</x:v>
      </x:c>
      <x:c r="L1001" s="19" t="str">
        <x:v>KZT</x:v>
      </x:c>
      <x:c r="M1001" s="22"/>
      <x:c r="N1001" s="22"/>
      <x:c r="O1001" s="28"/>
      <x:c r="P1001" s="22"/>
      <x:c r="Q1001" s="22"/>
      <x:c r="R1001" s="28"/>
      <x:c r="S1001" s="22"/>
      <x:c r="T1001" s="37" t="n">
        <x:f>K1001</x:f>
        <x:v>7</x:v>
      </x:c>
      <x:c r="U1001" s="21" t="str">
        <x:f>IF(J1001="Рассчитано",N1001*(1-O1001/100),"н/д")</x:f>
        <x:v>н/д</x:v>
      </x:c>
      <x:c r="V1001" s="21" t="str">
        <x:f>IF(J1001="Рассчитано",T1001*U1001,"н/д")</x:f>
        <x:v>н/д</x:v>
      </x:c>
      <x:c r="W1001" s="21" t="str">
        <x:f>IF(J1001="Рассчитано",T1001*M1001,"н/д")</x:f>
        <x:v>н/д</x:v>
      </x:c>
      <x:c r="X1001" s="21" t="str">
        <x:f>IF(J1001="Рассчитано",V1001-W1001,"н/д")</x:f>
        <x:v>н/д</x:v>
      </x:c>
      <x:c r="Y1001" s="27" t="str">
        <x:f>IF(J1001="Рассчитано",IF(V1001&gt;0,G1001/V1001,"н/д"),"н/д")</x:f>
        <x:v>н/д</x:v>
      </x:c>
      <x:c r="Z1001" s="21" t="str">
        <x:f>"н/д"</x:f>
        <x:v>н/д</x:v>
      </x:c>
      <x:c r="AA1001" s="21" t="str">
        <x:f>"н/д"</x:f>
        <x:v>н/д</x:v>
      </x:c>
      <x:c r="AB1001" s="21" t="str">
        <x:f>"н/д"</x:f>
        <x:v>н/д</x:v>
      </x:c>
      <x:c r="AC1001" s="21" t="str">
        <x:f>IF(AND(J1001="Рассчитано",T1001&gt;0,R1001&lt;100),(W1001+P1001+Q1001)/(T1001*(1-R1001/100)),"н/д")</x:f>
        <x:v>н/д</x:v>
      </x:c>
      <x:c r="AD1001" s="10" t="str">
        <x:f>IF(ISNUMBER(G1001),IF(G1001&lt;0,"Убыток",IF(G1001=0,"Без прибыли","Прибыль &gt; 0")),"Не оценён")</x:f>
        <x:v>Не оценён</x:v>
      </x:c>
      <x:c r="AE1001" s="13" t="str">
        <x:f>IF(J1001="Рассчитано","Выручка "&amp;TEXT(V1001,"0.00")&amp;" - себестоимость "&amp;TEXT(W1001,"0.00")&amp;" - комиссия "&amp;TEXT(V1001*R1001/100,"0.00")&amp;" - доставка "&amp;TEXT(P1001,"0.00")&amp;" - прочие "&amp;TEXT(Q1001,"0.00")&amp;" = "&amp;TEXT(G1001,"0.00")&amp;" "&amp;L1001,"Введите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1" s="24" t="n">
        <x:v>1.3593042125315222</x:v>
      </x:c>
      <x:c r="AG1001" s="37" t="n">
        <x:v>9</x:v>
      </x:c>
      <x:c r="AH1001" s="37" t="n">
        <x:v>0</x:v>
      </x:c>
      <x:c r="AI1001" s="30" t="n">
        <x:v>46266</x:v>
      </x:c>
      <x:c r="AJ1001" s="37" t="n">
        <x:v>1</x:v>
      </x:c>
      <x:c r="AK1001" s="10" t="str">
        <x:v>минимум</x:v>
      </x:c>
      <x:c r="AL1001" s="32" t="n">
        <x:v>563.0473138207925</x:v>
      </x:c>
      <x:c r="AM100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01" s="13" t="str">
        <x:v>Проверить свободный остаток и установить цену для B2B</x:v>
      </x:c>
      <x:c r="AO1001" s="13" t="str">
        <x:v>Остаток 9; прогноз 90 дней 1.36; избыток 7 шт. Будущие поступления не выставляются на продажу. Остаток на начало сентября: требуется актуализация.</x:v>
      </x:c>
      <x:c r="AP1001" s="13" t="str">
        <x:v>["category_missing", "daily_stockout_data_missing", "large_orders_detected", "new_order_lead_time_unknown", "reservations_unknown", "stale_stock"]</x:v>
      </x:c>
      <x:c r="AQ1001" s="10" t="str">
        <x:v>IEK:270300298_</x:v>
      </x:c>
      <x:c r="AR1001" s="24" t="n">
        <x:v>1</x:v>
      </x:c>
      <x:c r="AS1001" s="24" t="n">
        <x:v>0</x:v>
      </x:c>
      <x:c r="AT1001" s="24" t="n">
        <x:v>0</x:v>
      </x:c>
    </x:row>
    <x:row r="1002" ht="64" customHeight="1">
      <x:c r="A1002" s="11" t="str">
        <x:v>IEK</x:v>
      </x:c>
      <x:c r="B1002" s="33" t="str">
        <x:v>270300300_</x:v>
      </x:c>
      <x:c r="C1002" s="33" t="str">
        <x:v>YCE-DTNO-NO-60</x:v>
      </x:c>
      <x:c r="D1002" s="12" t="str">
        <x:v>Термостат двухканальный от 0 до +60°C NO+NO IEK (100) NEW</x:v>
      </x:c>
      <x:c r="E1002" s="11" t="str">
        <x:v>шт</x:v>
      </x:c>
      <x:c r="F1002" s="35" t="n">
        <x:f>MAX(0,ROUNDDOWN((AG1002-AF1002)/AR1002+0.000000001,0)*AR1002)</x:f>
        <x:v>2</x:v>
      </x:c>
      <x:c r="G1002" s="20" t="str">
        <x:f>IF(J1002="Рассчитано",V1002*(1-R1002/100)-W1002-P1002-Q1002,"н/д")</x:f>
        <x:v>н/д</x:v>
      </x:c>
      <x:c r="H1002" s="12" t="str">
        <x:v>Высокий</x:v>
      </x:c>
      <x:c r="I1002" s="12" t="str">
        <x:v>Высокий</x:v>
      </x:c>
      <x:c r="J1002" s="12" t="str">
        <x:f>IF(L1002="","Укажите валюту",IF(NOT(ISNUMBER(K1002)),"Укажите объём",IF(K1002&lt;=0,"Укажите объём",IF(K1002&gt;F1002,"Объём выше излишка",IF(COUNT(M1002:O1002)&lt;3,"Нужны цены",IF(COUNT(P1002:R1002)&lt;3,"Нужны расходы",IF(OR(M1002&lt;0,N1002&lt;0,O1002&lt;0,O1002&gt;100,P1002&lt;0,Q1002&lt;0,R1002&lt;0,R1002&gt;100),"Проверьте значения","Рассчитано")))))))</x:f>
        <x:v>Нужны цены</x:v>
      </x:c>
      <x:c r="K1002" s="36" t="n">
        <x:v>2</x:v>
      </x:c>
      <x:c r="L1002" s="19" t="str">
        <x:v>KZT</x:v>
      </x:c>
      <x:c r="M1002" s="22"/>
      <x:c r="N1002" s="22"/>
      <x:c r="O1002" s="28"/>
      <x:c r="P1002" s="22"/>
      <x:c r="Q1002" s="22"/>
      <x:c r="R1002" s="28"/>
      <x:c r="S1002" s="22"/>
      <x:c r="T1002" s="35" t="n">
        <x:f>K1002</x:f>
        <x:v>2</x:v>
      </x:c>
      <x:c r="U1002" s="20" t="str">
        <x:f>IF(J1002="Рассчитано",N1002*(1-O1002/100),"н/д")</x:f>
        <x:v>н/д</x:v>
      </x:c>
      <x:c r="V1002" s="20" t="str">
        <x:f>IF(J1002="Рассчитано",T1002*U1002,"н/д")</x:f>
        <x:v>н/д</x:v>
      </x:c>
      <x:c r="W1002" s="20" t="str">
        <x:f>IF(J1002="Рассчитано",T1002*M1002,"н/д")</x:f>
        <x:v>н/д</x:v>
      </x:c>
      <x:c r="X1002" s="20" t="str">
        <x:f>IF(J1002="Рассчитано",V1002-W1002,"н/д")</x:f>
        <x:v>н/д</x:v>
      </x:c>
      <x:c r="Y1002" s="26" t="str">
        <x:f>IF(J1002="Рассчитано",IF(V1002&gt;0,G1002/V1002,"н/д"),"н/д")</x:f>
        <x:v>н/д</x:v>
      </x:c>
      <x:c r="Z1002" s="20" t="str">
        <x:f>"н/д"</x:f>
        <x:v>н/д</x:v>
      </x:c>
      <x:c r="AA1002" s="20" t="str">
        <x:f>"н/д"</x:f>
        <x:v>н/д</x:v>
      </x:c>
      <x:c r="AB1002" s="20" t="str">
        <x:f>"н/д"</x:f>
        <x:v>н/д</x:v>
      </x:c>
      <x:c r="AC1002" s="20" t="str">
        <x:f>IF(AND(J1002="Рассчитано",T1002&gt;0,R1002&lt;100),(W1002+P1002+Q1002)/(T1002*(1-R1002/100)),"н/д")</x:f>
        <x:v>н/д</x:v>
      </x:c>
      <x:c r="AD1002" s="11" t="str">
        <x:f>IF(ISNUMBER(G1002),IF(G1002&lt;0,"Убыток",IF(G1002=0,"Без прибыли","Прибыль &gt; 0")),"Не оценён")</x:f>
        <x:v>Не оценён</x:v>
      </x:c>
      <x:c r="AE1002" s="12" t="str">
        <x:f>IF(J1002="Рассчитано","Выручка "&amp;TEXT(V1002,"0.00")&amp;" - себестоимость "&amp;TEXT(W1002,"0.00")&amp;" - комиссия "&amp;TEXT(V1002*R1002/100,"0.00")&amp;" - доставка "&amp;TEXT(P1002,"0.00")&amp;" - прочие "&amp;TEXT(Q1002,"0.00")&amp;" = "&amp;TEXT(G1002,"0.00")&amp;" "&amp;L1002,"Введите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2" s="23" t="n">
        <x:v>1.4400032185027583</x:v>
      </x:c>
      <x:c r="AG1002" s="35" t="n">
        <x:v>4</x:v>
      </x:c>
      <x:c r="AH1002" s="35" t="n">
        <x:v>0</x:v>
      </x:c>
      <x:c r="AI1002" s="29" t="n">
        <x:v>46266</x:v>
      </x:c>
      <x:c r="AJ1002" s="35" t="n">
        <x:v>1</x:v>
      </x:c>
      <x:c r="AK1002" s="11" t="str">
        <x:v>минимум</x:v>
      </x:c>
      <x:c r="AL1002" s="31" t="n">
        <x:v>236.2194058386854</x:v>
      </x:c>
      <x:c r="AM100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02" s="12" t="str">
        <x:v>Проверить свободный остаток и установить цену для B2B</x:v>
      </x:c>
      <x:c r="AO1002" s="12" t="str">
        <x:v>Остаток 4; прогноз 90 дней 1.44; избыток 2 шт. Будущие поступления не выставляются на продажу. Остаток на начало сентября: требуется актуализация.</x:v>
      </x:c>
      <x:c r="AP1002" s="12" t="str">
        <x:v>["category_missing", "daily_stockout_data_missing", "new_order_lead_time_unknown", "reservations_unknown", "stale_stock"]</x:v>
      </x:c>
      <x:c r="AQ1002" s="11" t="str">
        <x:v>IEK:270300300_</x:v>
      </x:c>
      <x:c r="AR1002" s="23" t="n">
        <x:v>1</x:v>
      </x:c>
      <x:c r="AS1002" s="23" t="n">
        <x:v>0</x:v>
      </x:c>
      <x:c r="AT1002" s="23" t="n">
        <x:v>0</x:v>
      </x:c>
    </x:row>
    <x:row r="1003" ht="64" customHeight="1">
      <x:c r="A1003" s="10" t="str">
        <x:v>IEK</x:v>
      </x:c>
      <x:c r="B1003" s="34" t="str">
        <x:v>270300301_</x:v>
      </x:c>
      <x:c r="C1003" s="34" t="str">
        <x:v>YCE-EH-40-90</x:v>
      </x:c>
      <x:c r="D1003" s="13" t="str">
        <x:v>Гигростат электронный УККг от 40 до 0,9 RH IEK (100) NEW</x:v>
      </x:c>
      <x:c r="E1003" s="10" t="str">
        <x:v>шт</x:v>
      </x:c>
      <x:c r="F1003" s="37" t="n">
        <x:f>MAX(0,ROUNDDOWN((AG1003-AF1003)/AR1003+0.000000001,0)*AR1003)</x:f>
        <x:v>2</x:v>
      </x:c>
      <x:c r="G1003" s="21" t="str">
        <x:f>IF(J1003="Рассчитано",V1003*(1-R1003/100)-W1003-P1003-Q1003,"н/д")</x:f>
        <x:v>н/д</x:v>
      </x:c>
      <x:c r="H1003" s="13" t="str">
        <x:v>Высокий</x:v>
      </x:c>
      <x:c r="I1003" s="13" t="str">
        <x:v>Высокий</x:v>
      </x:c>
      <x:c r="J1003" s="13" t="str">
        <x:f>IF(L1003="","Укажите валюту",IF(NOT(ISNUMBER(K1003)),"Укажите объём",IF(K1003&lt;=0,"Укажите объём",IF(K1003&gt;F1003,"Объём выше излишка",IF(COUNT(M1003:O1003)&lt;3,"Нужны цены",IF(COUNT(P1003:R1003)&lt;3,"Нужны расходы",IF(OR(M1003&lt;0,N1003&lt;0,O1003&lt;0,O1003&gt;100,P1003&lt;0,Q1003&lt;0,R1003&lt;0,R1003&gt;100),"Проверьте значения","Рассчитано")))))))</x:f>
        <x:v>Нужны цены</x:v>
      </x:c>
      <x:c r="K1003" s="36" t="n">
        <x:v>2</x:v>
      </x:c>
      <x:c r="L1003" s="19" t="str">
        <x:v>KZT</x:v>
      </x:c>
      <x:c r="M1003" s="22"/>
      <x:c r="N1003" s="22"/>
      <x:c r="O1003" s="28"/>
      <x:c r="P1003" s="22"/>
      <x:c r="Q1003" s="22"/>
      <x:c r="R1003" s="28"/>
      <x:c r="S1003" s="22"/>
      <x:c r="T1003" s="37" t="n">
        <x:f>K1003</x:f>
        <x:v>2</x:v>
      </x:c>
      <x:c r="U1003" s="21" t="str">
        <x:f>IF(J1003="Рассчитано",N1003*(1-O1003/100),"н/д")</x:f>
        <x:v>н/д</x:v>
      </x:c>
      <x:c r="V1003" s="21" t="str">
        <x:f>IF(J1003="Рассчитано",T1003*U1003,"н/д")</x:f>
        <x:v>н/д</x:v>
      </x:c>
      <x:c r="W1003" s="21" t="str">
        <x:f>IF(J1003="Рассчитано",T1003*M1003,"н/д")</x:f>
        <x:v>н/д</x:v>
      </x:c>
      <x:c r="X1003" s="21" t="str">
        <x:f>IF(J1003="Рассчитано",V1003-W1003,"н/д")</x:f>
        <x:v>н/д</x:v>
      </x:c>
      <x:c r="Y1003" s="27" t="str">
        <x:f>IF(J1003="Рассчитано",IF(V1003&gt;0,G1003/V1003,"н/д"),"н/д")</x:f>
        <x:v>н/д</x:v>
      </x:c>
      <x:c r="Z1003" s="21" t="str">
        <x:f>"н/д"</x:f>
        <x:v>н/д</x:v>
      </x:c>
      <x:c r="AA1003" s="21" t="str">
        <x:f>"н/д"</x:f>
        <x:v>н/д</x:v>
      </x:c>
      <x:c r="AB1003" s="21" t="str">
        <x:f>"н/д"</x:f>
        <x:v>н/д</x:v>
      </x:c>
      <x:c r="AC1003" s="21" t="str">
        <x:f>IF(AND(J1003="Рассчитано",T1003&gt;0,R1003&lt;100),(W1003+P1003+Q1003)/(T1003*(1-R1003/100)),"н/д")</x:f>
        <x:v>н/д</x:v>
      </x:c>
      <x:c r="AD1003" s="10" t="str">
        <x:f>IF(ISNUMBER(G1003),IF(G1003&lt;0,"Убыток",IF(G1003=0,"Без прибыли","Прибыль &gt; 0")),"Не оценён")</x:f>
        <x:v>Не оценён</x:v>
      </x:c>
      <x:c r="AE1003" s="13" t="str">
        <x:f>IF(J1003="Рассчитано","Выручка "&amp;TEXT(V1003,"0.00")&amp;" - себестоимость "&amp;TEXT(W1003,"0.00")&amp;" - комиссия "&amp;TEXT(V1003*R1003/100,"0.00")&amp;" - доставка "&amp;TEXT(P1003,"0.00")&amp;" - прочие "&amp;TEXT(Q1003,"0.00")&amp;" = "&amp;TEXT(G1003,"0.00")&amp;" "&amp;L1003,"Введите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3" s="24" t="n">
        <x:v>0</x:v>
      </x:c>
      <x:c r="AG1003" s="37" t="n">
        <x:v>2</x:v>
      </x:c>
      <x:c r="AH1003" s="37" t="n">
        <x:v>0</x:v>
      </x:c>
      <x:c r="AI1003" s="30" t="n">
        <x:v>46266</x:v>
      </x:c>
      <x:c r="AJ1003" s="37" t="n">
        <x:v>1</x:v>
      </x:c>
      <x:c r="AK1003" s="10" t="str">
        <x:v>минимум</x:v>
      </x:c>
      <x:c r="AL1003" s="32" t="str">
        <x:v>н/д</x:v>
      </x:c>
      <x:c r="AM1003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03" s="13" t="str">
        <x:v>Проверить свободный остаток и установить цену для B2B</x:v>
      </x:c>
      <x:c r="AO1003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1003" s="13" t="str">
        <x:v>["category_missing", "daily_stockout_data_missing", "new_order_lead_time_unknown", "reservations_unknown", "stale_stock"]</x:v>
      </x:c>
      <x:c r="AQ1003" s="10" t="str">
        <x:v>IEK:270300301_</x:v>
      </x:c>
      <x:c r="AR1003" s="24" t="n">
        <x:v>1</x:v>
      </x:c>
      <x:c r="AS1003" s="24" t="n">
        <x:v>0</x:v>
      </x:c>
      <x:c r="AT1003" s="24" t="n">
        <x:v>0</x:v>
      </x:c>
    </x:row>
    <x:row r="1004" ht="64" customHeight="1">
      <x:c r="A1004" s="11" t="str">
        <x:v>IEK</x:v>
      </x:c>
      <x:c r="B1004" s="33" t="str">
        <x:v>270300302_</x:v>
      </x:c>
      <x:c r="C1004" s="33" t="str">
        <x:v>YCE-MH-35-95</x:v>
      </x:c>
      <x:c r="D1004" s="12" t="str">
        <x:v>Гигростат механический УККг от 35 до 0,95 RH IEK (100) NEW</x:v>
      </x:c>
      <x:c r="E1004" s="11" t="str">
        <x:v>шт</x:v>
      </x:c>
      <x:c r="F1004" s="35" t="n">
        <x:f>MAX(0,ROUNDDOWN((AG1004-AF1004)/AR1004+0.000000001,0)*AR1004)</x:f>
        <x:v>3</x:v>
      </x:c>
      <x:c r="G1004" s="20" t="str">
        <x:f>IF(J1004="Рассчитано",V1004*(1-R1004/100)-W1004-P1004-Q1004,"н/д")</x:f>
        <x:v>н/д</x:v>
      </x:c>
      <x:c r="H1004" s="12" t="str">
        <x:v>Высокий</x:v>
      </x:c>
      <x:c r="I1004" s="12" t="str">
        <x:v>Высокий</x:v>
      </x:c>
      <x:c r="J1004" s="12" t="str">
        <x:f>IF(L1004="","Укажите валюту",IF(NOT(ISNUMBER(K1004)),"Укажите объём",IF(K1004&lt;=0,"Укажите объём",IF(K1004&gt;F1004,"Объём выше излишка",IF(COUNT(M1004:O1004)&lt;3,"Нужны цены",IF(COUNT(P1004:R1004)&lt;3,"Нужны расходы",IF(OR(M1004&lt;0,N1004&lt;0,O1004&lt;0,O1004&gt;100,P1004&lt;0,Q1004&lt;0,R1004&lt;0,R1004&gt;100),"Проверьте значения","Рассчитано")))))))</x:f>
        <x:v>Нужны цены</x:v>
      </x:c>
      <x:c r="K1004" s="36" t="n">
        <x:v>3</x:v>
      </x:c>
      <x:c r="L1004" s="19" t="str">
        <x:v>KZT</x:v>
      </x:c>
      <x:c r="M1004" s="22"/>
      <x:c r="N1004" s="22"/>
      <x:c r="O1004" s="28"/>
      <x:c r="P1004" s="22"/>
      <x:c r="Q1004" s="22"/>
      <x:c r="R1004" s="28"/>
      <x:c r="S1004" s="22"/>
      <x:c r="T1004" s="35" t="n">
        <x:f>K1004</x:f>
        <x:v>3</x:v>
      </x:c>
      <x:c r="U1004" s="20" t="str">
        <x:f>IF(J1004="Рассчитано",N1004*(1-O1004/100),"н/д")</x:f>
        <x:v>н/д</x:v>
      </x:c>
      <x:c r="V1004" s="20" t="str">
        <x:f>IF(J1004="Рассчитано",T1004*U1004,"н/д")</x:f>
        <x:v>н/д</x:v>
      </x:c>
      <x:c r="W1004" s="20" t="str">
        <x:f>IF(J1004="Рассчитано",T1004*M1004,"н/д")</x:f>
        <x:v>н/д</x:v>
      </x:c>
      <x:c r="X1004" s="20" t="str">
        <x:f>IF(J1004="Рассчитано",V1004-W1004,"н/д")</x:f>
        <x:v>н/д</x:v>
      </x:c>
      <x:c r="Y1004" s="26" t="str">
        <x:f>IF(J1004="Рассчитано",IF(V1004&gt;0,G1004/V1004,"н/д"),"н/д")</x:f>
        <x:v>н/д</x:v>
      </x:c>
      <x:c r="Z1004" s="20" t="str">
        <x:f>"н/д"</x:f>
        <x:v>н/д</x:v>
      </x:c>
      <x:c r="AA1004" s="20" t="str">
        <x:f>"н/д"</x:f>
        <x:v>н/д</x:v>
      </x:c>
      <x:c r="AB1004" s="20" t="str">
        <x:f>"н/д"</x:f>
        <x:v>н/д</x:v>
      </x:c>
      <x:c r="AC1004" s="20" t="str">
        <x:f>IF(AND(J1004="Рассчитано",T1004&gt;0,R1004&lt;100),(W1004+P1004+Q1004)/(T1004*(1-R1004/100)),"н/д")</x:f>
        <x:v>н/д</x:v>
      </x:c>
      <x:c r="AD1004" s="11" t="str">
        <x:f>IF(ISNUMBER(G1004),IF(G1004&lt;0,"Убыток",IF(G1004=0,"Без прибыли","Прибыль &gt; 0")),"Не оценён")</x:f>
        <x:v>Не оценён</x:v>
      </x:c>
      <x:c r="AE1004" s="12" t="str">
        <x:f>IF(J1004="Рассчитано","Выручка "&amp;TEXT(V1004,"0.00")&amp;" - себестоимость "&amp;TEXT(W1004,"0.00")&amp;" - комиссия "&amp;TEXT(V1004*R1004/100,"0.00")&amp;" - доставка "&amp;TEXT(P1004,"0.00")&amp;" - прочие "&amp;TEXT(Q1004,"0.00")&amp;" = "&amp;TEXT(G1004,"0.00")&amp;" "&amp;L1004,"Введите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4" s="23" t="n">
        <x:v>0</x:v>
      </x:c>
      <x:c r="AG1004" s="35" t="n">
        <x:v>3</x:v>
      </x:c>
      <x:c r="AH1004" s="35" t="n">
        <x:v>0</x:v>
      </x:c>
      <x:c r="AI1004" s="29" t="n">
        <x:v>46266</x:v>
      </x:c>
      <x:c r="AJ1004" s="35" t="n">
        <x:v>1</x:v>
      </x:c>
      <x:c r="AK1004" s="11" t="str">
        <x:v>минимум</x:v>
      </x:c>
      <x:c r="AL1004" s="31" t="str">
        <x:v>н/д</x:v>
      </x:c>
      <x:c r="AM100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04" s="12" t="str">
        <x:v>Проверить свободный остаток и установить цену для B2B</x:v>
      </x:c>
      <x:c r="AO1004" s="12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1004" s="12" t="str">
        <x:v>["category_missing", "daily_stockout_data_missing", "new_order_lead_time_unknown", "reservations_unknown", "stale_stock"]</x:v>
      </x:c>
      <x:c r="AQ1004" s="11" t="str">
        <x:v>IEK:270300302_</x:v>
      </x:c>
      <x:c r="AR1004" s="23" t="n">
        <x:v>1</x:v>
      </x:c>
      <x:c r="AS1004" s="23" t="n">
        <x:v>0</x:v>
      </x:c>
      <x:c r="AT1004" s="23" t="n">
        <x:v>0</x:v>
      </x:c>
    </x:row>
    <x:row r="1005" ht="64" customHeight="1">
      <x:c r="A1005" s="10" t="str">
        <x:v>IEK</x:v>
      </x:c>
      <x:c r="B1005" s="34" t="str">
        <x:v>270300303_</x:v>
      </x:c>
      <x:c r="C1005" s="34" t="str">
        <x:v>YCE-HT-00-60-50-90</x:v>
      </x:c>
      <x:c r="D1005" s="13" t="str">
        <x:v>Гигротерм от 0 до +60°C от 50 до 0,9 RH IEK (60) NEW</x:v>
      </x:c>
      <x:c r="E1005" s="10" t="str">
        <x:v>шт</x:v>
      </x:c>
      <x:c r="F1005" s="37" t="n">
        <x:f>MAX(0,ROUNDDOWN((AG1005-AF1005)/AR1005+0.000000001,0)*AR1005)</x:f>
        <x:v>2</x:v>
      </x:c>
      <x:c r="G1005" s="21" t="str">
        <x:f>IF(J1005="Рассчитано",V1005*(1-R1005/100)-W1005-P1005-Q1005,"н/д")</x:f>
        <x:v>н/д</x:v>
      </x:c>
      <x:c r="H1005" s="13" t="str">
        <x:v>Высокий</x:v>
      </x:c>
      <x:c r="I1005" s="13" t="str">
        <x:v>Высокий</x:v>
      </x:c>
      <x:c r="J1005" s="13" t="str">
        <x:f>IF(L1005="","Укажите валюту",IF(NOT(ISNUMBER(K1005)),"Укажите объём",IF(K1005&lt;=0,"Укажите объём",IF(K1005&gt;F1005,"Объём выше излишка",IF(COUNT(M1005:O1005)&lt;3,"Нужны цены",IF(COUNT(P1005:R1005)&lt;3,"Нужны расходы",IF(OR(M1005&lt;0,N1005&lt;0,O1005&lt;0,O1005&gt;100,P1005&lt;0,Q1005&lt;0,R1005&lt;0,R1005&gt;100),"Проверьте значения","Рассчитано")))))))</x:f>
        <x:v>Нужны цены</x:v>
      </x:c>
      <x:c r="K1005" s="36" t="n">
        <x:v>2</x:v>
      </x:c>
      <x:c r="L1005" s="19" t="str">
        <x:v>KZT</x:v>
      </x:c>
      <x:c r="M1005" s="22"/>
      <x:c r="N1005" s="22"/>
      <x:c r="O1005" s="28"/>
      <x:c r="P1005" s="22"/>
      <x:c r="Q1005" s="22"/>
      <x:c r="R1005" s="28"/>
      <x:c r="S1005" s="22"/>
      <x:c r="T1005" s="37" t="n">
        <x:f>K1005</x:f>
        <x:v>2</x:v>
      </x:c>
      <x:c r="U1005" s="21" t="str">
        <x:f>IF(J1005="Рассчитано",N1005*(1-O1005/100),"н/д")</x:f>
        <x:v>н/д</x:v>
      </x:c>
      <x:c r="V1005" s="21" t="str">
        <x:f>IF(J1005="Рассчитано",T1005*U1005,"н/д")</x:f>
        <x:v>н/д</x:v>
      </x:c>
      <x:c r="W1005" s="21" t="str">
        <x:f>IF(J1005="Рассчитано",T1005*M1005,"н/д")</x:f>
        <x:v>н/д</x:v>
      </x:c>
      <x:c r="X1005" s="21" t="str">
        <x:f>IF(J1005="Рассчитано",V1005-W1005,"н/д")</x:f>
        <x:v>н/д</x:v>
      </x:c>
      <x:c r="Y1005" s="27" t="str">
        <x:f>IF(J1005="Рассчитано",IF(V1005&gt;0,G1005/V1005,"н/д"),"н/д")</x:f>
        <x:v>н/д</x:v>
      </x:c>
      <x:c r="Z1005" s="21" t="str">
        <x:f>"н/д"</x:f>
        <x:v>н/д</x:v>
      </x:c>
      <x:c r="AA1005" s="21" t="str">
        <x:f>"н/д"</x:f>
        <x:v>н/д</x:v>
      </x:c>
      <x:c r="AB1005" s="21" t="str">
        <x:f>"н/д"</x:f>
        <x:v>н/д</x:v>
      </x:c>
      <x:c r="AC1005" s="21" t="str">
        <x:f>IF(AND(J1005="Рассчитано",T1005&gt;0,R1005&lt;100),(W1005+P1005+Q1005)/(T1005*(1-R1005/100)),"н/д")</x:f>
        <x:v>н/д</x:v>
      </x:c>
      <x:c r="AD1005" s="10" t="str">
        <x:f>IF(ISNUMBER(G1005),IF(G1005&lt;0,"Убыток",IF(G1005=0,"Без прибыли","Прибыль &gt; 0")),"Не оценён")</x:f>
        <x:v>Не оценён</x:v>
      </x:c>
      <x:c r="AE1005" s="13" t="str">
        <x:f>IF(J1005="Рассчитано","Выручка "&amp;TEXT(V1005,"0.00")&amp;" - себестоимость "&amp;TEXT(W1005,"0.00")&amp;" - комиссия "&amp;TEXT(V1005*R1005/100,"0.00")&amp;" - доставка "&amp;TEXT(P1005,"0.00")&amp;" - прочие "&amp;TEXT(Q1005,"0.00")&amp;" = "&amp;TEXT(G1005,"0.00")&amp;" "&amp;L1005,"Введите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5" s="24" t="n">
        <x:v>0.6845053365855409</x:v>
      </x:c>
      <x:c r="AG1005" s="37" t="n">
        <x:v>3</x:v>
      </x:c>
      <x:c r="AH1005" s="37" t="n">
        <x:v>0</x:v>
      </x:c>
      <x:c r="AI1005" s="30" t="n">
        <x:v>46266</x:v>
      </x:c>
      <x:c r="AJ1005" s="37" t="n">
        <x:v>1</x:v>
      </x:c>
      <x:c r="AK1005" s="10" t="str">
        <x:v>минимум</x:v>
      </x:c>
      <x:c r="AL1005" s="32" t="n">
        <x:v>372.7034909369274</x:v>
      </x:c>
      <x:c r="AM100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05" s="13" t="str">
        <x:v>Проверить свободный остаток и установить цену для B2B</x:v>
      </x:c>
      <x:c r="AO1005" s="13" t="str">
        <x:v>Остаток 3; прогноз 90 дней 0.68; избыток 2 шт. Будущие поступления не выставляются на продажу. Остаток на начало сентября: требуется актуализация.</x:v>
      </x:c>
      <x:c r="AP1005" s="13" t="str">
        <x:v>["category_missing", "daily_stockout_data_missing", "new_order_lead_time_unknown", "reservations_unknown", "stale_stock"]</x:v>
      </x:c>
      <x:c r="AQ1005" s="10" t="str">
        <x:v>IEK:270300303_</x:v>
      </x:c>
      <x:c r="AR1005" s="24" t="n">
        <x:v>1</x:v>
      </x:c>
      <x:c r="AS1005" s="24" t="n">
        <x:v>0</x:v>
      </x:c>
      <x:c r="AT1005" s="24" t="n">
        <x:v>0</x:v>
      </x:c>
    </x:row>
    <x:row r="1006" ht="64" customHeight="1">
      <x:c r="A1006" s="11" t="str">
        <x:v>IEK</x:v>
      </x:c>
      <x:c r="B1006" s="33" t="str">
        <x:v>270300305_</x:v>
      </x:c>
      <x:c r="C1006" s="33" t="str">
        <x:v>YUK10-37-55</x:v>
      </x:c>
      <x:c r="D1006" s="12" t="str">
        <x:v>Устройство компенсации давления УКД D=37мм IP55 IEK (200) NEW</x:v>
      </x:c>
      <x:c r="E1006" s="11" t="str">
        <x:v>шт</x:v>
      </x:c>
      <x:c r="F1006" s="35" t="n">
        <x:f>MAX(0,ROUNDDOWN((AG1006-AF1006)/AR1006+0.000000001,0)*AR1006)</x:f>
        <x:v>4</x:v>
      </x:c>
      <x:c r="G1006" s="20" t="str">
        <x:f>IF(J1006="Рассчитано",V1006*(1-R1006/100)-W1006-P1006-Q1006,"н/д")</x:f>
        <x:v>н/д</x:v>
      </x:c>
      <x:c r="H1006" s="12" t="str">
        <x:v>Высокий</x:v>
      </x:c>
      <x:c r="I1006" s="12" t="str">
        <x:v>Высокий</x:v>
      </x:c>
      <x:c r="J1006" s="12" t="str">
        <x:f>IF(L1006="","Укажите валюту",IF(NOT(ISNUMBER(K1006)),"Укажите объём",IF(K1006&lt;=0,"Укажите объём",IF(K1006&gt;F1006,"Объём выше излишка",IF(COUNT(M1006:O1006)&lt;3,"Нужны цены",IF(COUNT(P1006:R1006)&lt;3,"Нужны расходы",IF(OR(M1006&lt;0,N1006&lt;0,O1006&lt;0,O1006&gt;100,P1006&lt;0,Q1006&lt;0,R1006&lt;0,R1006&gt;100),"Проверьте значения","Рассчитано")))))))</x:f>
        <x:v>Нужны цены</x:v>
      </x:c>
      <x:c r="K1006" s="36" t="n">
        <x:v>4</x:v>
      </x:c>
      <x:c r="L1006" s="19" t="str">
        <x:v>KZT</x:v>
      </x:c>
      <x:c r="M1006" s="22"/>
      <x:c r="N1006" s="22"/>
      <x:c r="O1006" s="28"/>
      <x:c r="P1006" s="22"/>
      <x:c r="Q1006" s="22"/>
      <x:c r="R1006" s="28"/>
      <x:c r="S1006" s="22"/>
      <x:c r="T1006" s="35" t="n">
        <x:f>K1006</x:f>
        <x:v>4</x:v>
      </x:c>
      <x:c r="U1006" s="20" t="str">
        <x:f>IF(J1006="Рассчитано",N1006*(1-O1006/100),"н/д")</x:f>
        <x:v>н/д</x:v>
      </x:c>
      <x:c r="V1006" s="20" t="str">
        <x:f>IF(J1006="Рассчитано",T1006*U1006,"н/д")</x:f>
        <x:v>н/д</x:v>
      </x:c>
      <x:c r="W1006" s="20" t="str">
        <x:f>IF(J1006="Рассчитано",T1006*M1006,"н/д")</x:f>
        <x:v>н/д</x:v>
      </x:c>
      <x:c r="X1006" s="20" t="str">
        <x:f>IF(J1006="Рассчитано",V1006-W1006,"н/д")</x:f>
        <x:v>н/д</x:v>
      </x:c>
      <x:c r="Y1006" s="26" t="str">
        <x:f>IF(J1006="Рассчитано",IF(V1006&gt;0,G1006/V1006,"н/д"),"н/д")</x:f>
        <x:v>н/д</x:v>
      </x:c>
      <x:c r="Z1006" s="20" t="str">
        <x:f>"н/д"</x:f>
        <x:v>н/д</x:v>
      </x:c>
      <x:c r="AA1006" s="20" t="str">
        <x:f>"н/д"</x:f>
        <x:v>н/д</x:v>
      </x:c>
      <x:c r="AB1006" s="20" t="str">
        <x:f>"н/д"</x:f>
        <x:v>н/д</x:v>
      </x:c>
      <x:c r="AC1006" s="20" t="str">
        <x:f>IF(AND(J1006="Рассчитано",T1006&gt;0,R1006&lt;100),(W1006+P1006+Q1006)/(T1006*(1-R1006/100)),"н/д")</x:f>
        <x:v>н/д</x:v>
      </x:c>
      <x:c r="AD1006" s="11" t="str">
        <x:f>IF(ISNUMBER(G1006),IF(G1006&lt;0,"Убыток",IF(G1006=0,"Без прибыли","Прибыль &gt; 0")),"Не оценён")</x:f>
        <x:v>Не оценён</x:v>
      </x:c>
      <x:c r="AE1006" s="12" t="str">
        <x:f>IF(J1006="Рассчитано","Выручка "&amp;TEXT(V1006,"0.00")&amp;" - себестоимость "&amp;TEXT(W1006,"0.00")&amp;" - комиссия "&amp;TEXT(V1006*R1006/100,"0.00")&amp;" - доставка "&amp;TEXT(P1006,"0.00")&amp;" - прочие "&amp;TEXT(Q1006,"0.00")&amp;" = "&amp;TEXT(G1006,"0.00")&amp;" "&amp;L1006,"Введите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6" s="23" t="n">
        <x:v>1.5999626906924245</x:v>
      </x:c>
      <x:c r="AG1006" s="35" t="n">
        <x:v>6</x:v>
      </x:c>
      <x:c r="AH1006" s="35" t="n">
        <x:v>0</x:v>
      </x:c>
      <x:c r="AI1006" s="29" t="n">
        <x:v>46266</x:v>
      </x:c>
      <x:c r="AJ1006" s="35" t="n">
        <x:v>1</x:v>
      </x:c>
      <x:c r="AK1006" s="11" t="str">
        <x:v>минимум</x:v>
      </x:c>
      <x:c r="AL1006" s="31" t="n">
        <x:v>318.9043469507135</x:v>
      </x:c>
      <x:c r="AM100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06" s="12" t="str">
        <x:v>Проверить свободный остаток и установить цену для B2B</x:v>
      </x:c>
      <x:c r="AO1006" s="12" t="str">
        <x:v>Остаток 6; прогноз 90 дней 1.60; избыток 4 шт. Будущие поступления не выставляются на продажу. Остаток на начало сентября: требуется актуализация.</x:v>
      </x:c>
      <x:c r="AP1006" s="12" t="str">
        <x:v>["category_missing", "daily_stockout_data_missing", "negative_net_sales_clipped_for_forecast", "new_order_lead_time_unknown", "reservations_unknown", "stale_stock"]</x:v>
      </x:c>
      <x:c r="AQ1006" s="11" t="str">
        <x:v>IEK:270300305_</x:v>
      </x:c>
      <x:c r="AR1006" s="23" t="n">
        <x:v>1</x:v>
      </x:c>
      <x:c r="AS1006" s="23" t="n">
        <x:v>0</x:v>
      </x:c>
      <x:c r="AT1006" s="23" t="n">
        <x:v>0</x:v>
      </x:c>
    </x:row>
    <x:row r="1007" ht="64" customHeight="1">
      <x:c r="A1007" s="10" t="str">
        <x:v>IEK</x:v>
      </x:c>
      <x:c r="B1007" s="34" t="str">
        <x:v>270400021_</x:v>
      </x:c>
      <x:c r="C1007" s="34"/>
      <x:c r="D1007" s="13" t="str">
        <x:v>Рубильник  ВР-32-35  В31250-250А IEK (12) !!!</x:v>
      </x:c>
      <x:c r="E1007" s="10" t="str">
        <x:v>шт</x:v>
      </x:c>
      <x:c r="F1007" s="37" t="n">
        <x:f>MAX(0,ROUNDDOWN((AG1007-AF1007)/AR1007+0.000000001,0)*AR1007)</x:f>
        <x:v>40</x:v>
      </x:c>
      <x:c r="G1007" s="21" t="str">
        <x:f>IF(J1007="Рассчитано",V1007*(1-R1007/100)-W1007-P1007-Q1007,"н/д")</x:f>
        <x:v>н/д</x:v>
      </x:c>
      <x:c r="H1007" s="13" t="str">
        <x:v>Высокий</x:v>
      </x:c>
      <x:c r="I1007" s="13" t="str">
        <x:v>Высокий</x:v>
      </x:c>
      <x:c r="J1007" s="13" t="str">
        <x:f>IF(L1007="","Укажите валюту",IF(NOT(ISNUMBER(K1007)),"Укажите объём",IF(K1007&lt;=0,"Укажите объём",IF(K1007&gt;F1007,"Объём выше излишка",IF(COUNT(M1007:O1007)&lt;3,"Нужны цены",IF(COUNT(P1007:R1007)&lt;3,"Нужны расходы",IF(OR(M1007&lt;0,N1007&lt;0,O1007&lt;0,O1007&gt;100,P1007&lt;0,Q1007&lt;0,R1007&lt;0,R1007&gt;100),"Проверьте значения","Рассчитано")))))))</x:f>
        <x:v>Нужны цены</x:v>
      </x:c>
      <x:c r="K1007" s="36" t="n">
        <x:v>40</x:v>
      </x:c>
      <x:c r="L1007" s="19" t="str">
        <x:v>KZT</x:v>
      </x:c>
      <x:c r="M1007" s="22"/>
      <x:c r="N1007" s="22"/>
      <x:c r="O1007" s="28"/>
      <x:c r="P1007" s="22"/>
      <x:c r="Q1007" s="22"/>
      <x:c r="R1007" s="28"/>
      <x:c r="S1007" s="22"/>
      <x:c r="T1007" s="37" t="n">
        <x:f>K1007</x:f>
        <x:v>40</x:v>
      </x:c>
      <x:c r="U1007" s="21" t="str">
        <x:f>IF(J1007="Рассчитано",N1007*(1-O1007/100),"н/д")</x:f>
        <x:v>н/д</x:v>
      </x:c>
      <x:c r="V1007" s="21" t="str">
        <x:f>IF(J1007="Рассчитано",T1007*U1007,"н/д")</x:f>
        <x:v>н/д</x:v>
      </x:c>
      <x:c r="W1007" s="21" t="str">
        <x:f>IF(J1007="Рассчитано",T1007*M1007,"н/д")</x:f>
        <x:v>н/д</x:v>
      </x:c>
      <x:c r="X1007" s="21" t="str">
        <x:f>IF(J1007="Рассчитано",V1007-W1007,"н/д")</x:f>
        <x:v>н/д</x:v>
      </x:c>
      <x:c r="Y1007" s="27" t="str">
        <x:f>IF(J1007="Рассчитано",IF(V1007&gt;0,G1007/V1007,"н/д"),"н/д")</x:f>
        <x:v>н/д</x:v>
      </x:c>
      <x:c r="Z1007" s="21" t="str">
        <x:f>"н/д"</x:f>
        <x:v>н/д</x:v>
      </x:c>
      <x:c r="AA1007" s="21" t="str">
        <x:f>"н/д"</x:f>
        <x:v>н/д</x:v>
      </x:c>
      <x:c r="AB1007" s="21" t="str">
        <x:f>"н/д"</x:f>
        <x:v>н/д</x:v>
      </x:c>
      <x:c r="AC1007" s="21" t="str">
        <x:f>IF(AND(J1007="Рассчитано",T1007&gt;0,R1007&lt;100),(W1007+P1007+Q1007)/(T1007*(1-R1007/100)),"н/д")</x:f>
        <x:v>н/д</x:v>
      </x:c>
      <x:c r="AD1007" s="10" t="str">
        <x:f>IF(ISNUMBER(G1007),IF(G1007&lt;0,"Убыток",IF(G1007=0,"Без прибыли","Прибыль &gt; 0")),"Не оценён")</x:f>
        <x:v>Не оценён</x:v>
      </x:c>
      <x:c r="AE1007" s="13" t="str">
        <x:f>IF(J1007="Рассчитано","Выручка "&amp;TEXT(V1007,"0.00")&amp;" - себестоимость "&amp;TEXT(W1007,"0.00")&amp;" - комиссия "&amp;TEXT(V1007*R1007/100,"0.00")&amp;" - доставка "&amp;TEXT(P1007,"0.00")&amp;" - прочие "&amp;TEXT(Q1007,"0.00")&amp;" = "&amp;TEXT(G1007,"0.00")&amp;" "&amp;L1007,"Введите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7" s="24" t="n">
        <x:v>0</x:v>
      </x:c>
      <x:c r="AG1007" s="37" t="n">
        <x:v>40</x:v>
      </x:c>
      <x:c r="AH1007" s="37" t="n">
        <x:v>0</x:v>
      </x:c>
      <x:c r="AI1007" s="30" t="n">
        <x:v>46266</x:v>
      </x:c>
      <x:c r="AJ1007" s="37"/>
      <x:c r="AK1007" s="10" t="str">
        <x:v>неизвестно</x:v>
      </x:c>
      <x:c r="AL1007" s="32" t="str">
        <x:v>н/д</x:v>
      </x:c>
      <x:c r="AM1007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007" s="13" t="str">
        <x:v>Проверить свободный остаток и установить цену для B2B</x:v>
      </x:c>
      <x:c r="AO1007" s="13" t="str">
        <x:v>Остаток 40; прогноз 90 дней 0.00; избыток 40 шт. Будущие поступления не выставляются на продажу. Остаток на начало сентября: требуется актуализация.</x:v>
      </x:c>
      <x:c r="AP1007" s="13" t="str">
        <x:v>["category_missing", "daily_stockout_data_missing", "moq_missing", "new_order_lead_time_unknown", "reservations_unknown", "stale_stock", "supplier_sku_missing"]</x:v>
      </x:c>
      <x:c r="AQ1007" s="10" t="str">
        <x:v>IEK:270400021_</x:v>
      </x:c>
      <x:c r="AR1007" s="24" t="n">
        <x:v>1</x:v>
      </x:c>
      <x:c r="AS1007" s="24" t="n">
        <x:v>0</x:v>
      </x:c>
      <x:c r="AT1007" s="24" t="n">
        <x:v>0</x:v>
      </x:c>
    </x:row>
    <x:row r="1008" ht="64" customHeight="1">
      <x:c r="A1008" s="11" t="str">
        <x:v>IEK</x:v>
      </x:c>
      <x:c r="B1008" s="33" t="str">
        <x:v>270400046_</x:v>
      </x:c>
      <x:c r="C1008" s="33" t="str">
        <x:v>MPR10-1-063</x:v>
      </x:c>
      <x:c r="D1008" s="12" t="str">
        <x:v>Выключатель-разъединитель трехпозиционный ВРТ-63 1P 63А IEK</x:v>
      </x:c>
      <x:c r="E1008" s="11" t="str">
        <x:v>шт</x:v>
      </x:c>
      <x:c r="F1008" s="35" t="n">
        <x:f>MAX(0,ROUNDDOWN((AG1008-AF1008)/AR1008+0.000000001,0)*AR1008)</x:f>
        <x:v>12</x:v>
      </x:c>
      <x:c r="G1008" s="20" t="str">
        <x:f>IF(J1008="Рассчитано",V1008*(1-R1008/100)-W1008-P1008-Q1008,"н/д")</x:f>
        <x:v>н/д</x:v>
      </x:c>
      <x:c r="H1008" s="12" t="str">
        <x:v>Высокий</x:v>
      </x:c>
      <x:c r="I1008" s="12" t="str">
        <x:v>Средний</x:v>
      </x:c>
      <x:c r="J1008" s="12" t="str">
        <x:f>IF(L1008="","Укажите валюту",IF(NOT(ISNUMBER(K1008)),"Укажите объём",IF(K1008&lt;=0,"Укажите объём",IF(K1008&gt;F1008,"Объём выше излишка",IF(COUNT(M1008:O1008)&lt;3,"Нужны цены",IF(COUNT(P1008:R1008)&lt;3,"Нужны расходы",IF(OR(M1008&lt;0,N1008&lt;0,O1008&lt;0,O1008&gt;100,P1008&lt;0,Q1008&lt;0,R1008&lt;0,R1008&gt;100),"Проверьте значения","Рассчитано")))))))</x:f>
        <x:v>Нужны цены</x:v>
      </x:c>
      <x:c r="K1008" s="36" t="n">
        <x:v>12</x:v>
      </x:c>
      <x:c r="L1008" s="19" t="str">
        <x:v>KZT</x:v>
      </x:c>
      <x:c r="M1008" s="22"/>
      <x:c r="N1008" s="22"/>
      <x:c r="O1008" s="28"/>
      <x:c r="P1008" s="22"/>
      <x:c r="Q1008" s="22"/>
      <x:c r="R1008" s="28"/>
      <x:c r="S1008" s="22"/>
      <x:c r="T1008" s="35" t="n">
        <x:f>K1008</x:f>
        <x:v>12</x:v>
      </x:c>
      <x:c r="U1008" s="20" t="str">
        <x:f>IF(J1008="Рассчитано",N1008*(1-O1008/100),"н/д")</x:f>
        <x:v>н/д</x:v>
      </x:c>
      <x:c r="V1008" s="20" t="str">
        <x:f>IF(J1008="Рассчитано",T1008*U1008,"н/д")</x:f>
        <x:v>н/д</x:v>
      </x:c>
      <x:c r="W1008" s="20" t="str">
        <x:f>IF(J1008="Рассчитано",T1008*M1008,"н/д")</x:f>
        <x:v>н/д</x:v>
      </x:c>
      <x:c r="X1008" s="20" t="str">
        <x:f>IF(J1008="Рассчитано",V1008-W1008,"н/д")</x:f>
        <x:v>н/д</x:v>
      </x:c>
      <x:c r="Y1008" s="26" t="str">
        <x:f>IF(J1008="Рассчитано",IF(V1008&gt;0,G1008/V1008,"н/д"),"н/д")</x:f>
        <x:v>н/д</x:v>
      </x:c>
      <x:c r="Z1008" s="20" t="str">
        <x:f>"н/д"</x:f>
        <x:v>н/д</x:v>
      </x:c>
      <x:c r="AA1008" s="20" t="str">
        <x:f>"н/д"</x:f>
        <x:v>н/д</x:v>
      </x:c>
      <x:c r="AB1008" s="20" t="str">
        <x:f>"н/д"</x:f>
        <x:v>н/д</x:v>
      </x:c>
      <x:c r="AC1008" s="20" t="str">
        <x:f>IF(AND(J1008="Рассчитано",T1008&gt;0,R1008&lt;100),(W1008+P1008+Q1008)/(T1008*(1-R1008/100)),"н/д")</x:f>
        <x:v>н/д</x:v>
      </x:c>
      <x:c r="AD1008" s="11" t="str">
        <x:f>IF(ISNUMBER(G1008),IF(G1008&lt;0,"Убыток",IF(G1008=0,"Без прибыли","Прибыль &gt; 0")),"Не оценён")</x:f>
        <x:v>Не оценён</x:v>
      </x:c>
      <x:c r="AE1008" s="12" t="str">
        <x:f>IF(J1008="Рассчитано","Выручка "&amp;TEXT(V1008,"0.00")&amp;" - себестоимость "&amp;TEXT(W1008,"0.00")&amp;" - комиссия "&amp;TEXT(V1008*R1008/100,"0.00")&amp;" - доставка "&amp;TEXT(P1008,"0.00")&amp;" - прочие "&amp;TEXT(Q1008,"0.00")&amp;" = "&amp;TEXT(G1008,"0.00")&amp;" "&amp;L1008,"Введите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8" s="23" t="n">
        <x:v>11.728986029679314</x:v>
      </x:c>
      <x:c r="AG1008" s="35" t="n">
        <x:v>24</x:v>
      </x:c>
      <x:c r="AH1008" s="35" t="n">
        <x:v>0</x:v>
      </x:c>
      <x:c r="AI1008" s="29" t="n">
        <x:v>46266</x:v>
      </x:c>
      <x:c r="AJ1008" s="35" t="n">
        <x:v>12</x:v>
      </x:c>
      <x:c r="AK1008" s="11" t="str">
        <x:v>минимум</x:v>
      </x:c>
      <x:c r="AL1008" s="31" t="n">
        <x:v>174.0082410294168</x:v>
      </x:c>
      <x:c r="AM1008" s="12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1008" s="12" t="str">
        <x:v>Проверить свободный остаток и установить цену для B2B</x:v>
      </x:c>
      <x:c r="AO1008" s="12" t="str">
        <x:v>Остаток 24; прогноз 90 дней 11.73; избыток 12 шт. Будущие поступления не выставляются на продажу. Остаток на начало сентября: требуется актуализация.</x:v>
      </x:c>
      <x:c r="AP1008" s="12" t="str">
        <x:v>["category_missing", "daily_stockout_data_missing", "new_order_lead_time_unknown", "reservations_unknown", "stale_stock", "stockout_proxy_used"]</x:v>
      </x:c>
      <x:c r="AQ1008" s="11" t="str">
        <x:v>IEK:270400046_</x:v>
      </x:c>
      <x:c r="AR1008" s="23" t="n">
        <x:v>1</x:v>
      </x:c>
      <x:c r="AS1008" s="23" t="n">
        <x:v>0</x:v>
      </x:c>
      <x:c r="AT1008" s="23" t="n">
        <x:v>0</x:v>
      </x:c>
    </x:row>
    <x:row r="1009" ht="64" customHeight="1">
      <x:c r="A1009" s="10" t="str">
        <x:v>IEK</x:v>
      </x:c>
      <x:c r="B1009" s="34" t="str">
        <x:v>270400047_</x:v>
      </x:c>
      <x:c r="C1009" s="34" t="str">
        <x:v>MPR10-3-063</x:v>
      </x:c>
      <x:c r="D1009" s="13" t="str">
        <x:v>Выключатель-разъединитель трехпозиционный ВРТ-63 3P 63А IEK</x:v>
      </x:c>
      <x:c r="E1009" s="10" t="str">
        <x:v>шт</x:v>
      </x:c>
      <x:c r="F1009" s="37" t="n">
        <x:f>MAX(0,ROUNDDOWN((AG1009-AF1009)/AR1009+0.000000001,0)*AR1009)</x:f>
        <x:v>5</x:v>
      </x:c>
      <x:c r="G1009" s="21" t="str">
        <x:f>IF(J1009="Рассчитано",V1009*(1-R1009/100)-W1009-P1009-Q1009,"н/д")</x:f>
        <x:v>н/д</x:v>
      </x:c>
      <x:c r="H1009" s="13" t="str">
        <x:v>Высокий</x:v>
      </x:c>
      <x:c r="I1009" s="13" t="str">
        <x:v>Средний</x:v>
      </x:c>
      <x:c r="J1009" s="13" t="str">
        <x:f>IF(L1009="","Укажите валюту",IF(NOT(ISNUMBER(K1009)),"Укажите объём",IF(K1009&lt;=0,"Укажите объём",IF(K1009&gt;F1009,"Объём выше излишка",IF(COUNT(M1009:O1009)&lt;3,"Нужны цены",IF(COUNT(P1009:R1009)&lt;3,"Нужны расходы",IF(OR(M1009&lt;0,N1009&lt;0,O1009&lt;0,O1009&gt;100,P1009&lt;0,Q1009&lt;0,R1009&lt;0,R1009&gt;100),"Проверьте значения","Рассчитано")))))))</x:f>
        <x:v>Нужны цены</x:v>
      </x:c>
      <x:c r="K1009" s="36" t="n">
        <x:v>5</x:v>
      </x:c>
      <x:c r="L1009" s="19" t="str">
        <x:v>KZT</x:v>
      </x:c>
      <x:c r="M1009" s="22"/>
      <x:c r="N1009" s="22"/>
      <x:c r="O1009" s="28"/>
      <x:c r="P1009" s="22"/>
      <x:c r="Q1009" s="22"/>
      <x:c r="R1009" s="28"/>
      <x:c r="S1009" s="22"/>
      <x:c r="T1009" s="37" t="n">
        <x:f>K1009</x:f>
        <x:v>5</x:v>
      </x:c>
      <x:c r="U1009" s="21" t="str">
        <x:f>IF(J1009="Рассчитано",N1009*(1-O1009/100),"н/д")</x:f>
        <x:v>н/д</x:v>
      </x:c>
      <x:c r="V1009" s="21" t="str">
        <x:f>IF(J1009="Рассчитано",T1009*U1009,"н/д")</x:f>
        <x:v>н/д</x:v>
      </x:c>
      <x:c r="W1009" s="21" t="str">
        <x:f>IF(J1009="Рассчитано",T1009*M1009,"н/д")</x:f>
        <x:v>н/д</x:v>
      </x:c>
      <x:c r="X1009" s="21" t="str">
        <x:f>IF(J1009="Рассчитано",V1009-W1009,"н/д")</x:f>
        <x:v>н/д</x:v>
      </x:c>
      <x:c r="Y1009" s="27" t="str">
        <x:f>IF(J1009="Рассчитано",IF(V1009&gt;0,G1009/V1009,"н/д"),"н/д")</x:f>
        <x:v>н/д</x:v>
      </x:c>
      <x:c r="Z1009" s="21" t="str">
        <x:f>"н/д"</x:f>
        <x:v>н/д</x:v>
      </x:c>
      <x:c r="AA1009" s="21" t="str">
        <x:f>"н/д"</x:f>
        <x:v>н/д</x:v>
      </x:c>
      <x:c r="AB1009" s="21" t="str">
        <x:f>"н/д"</x:f>
        <x:v>н/д</x:v>
      </x:c>
      <x:c r="AC1009" s="21" t="str">
        <x:f>IF(AND(J1009="Рассчитано",T1009&gt;0,R1009&lt;100),(W1009+P1009+Q1009)/(T1009*(1-R1009/100)),"н/д")</x:f>
        <x:v>н/д</x:v>
      </x:c>
      <x:c r="AD1009" s="10" t="str">
        <x:f>IF(ISNUMBER(G1009),IF(G1009&lt;0,"Убыток",IF(G1009=0,"Без прибыли","Прибыль &gt; 0")),"Не оценён")</x:f>
        <x:v>Не оценён</x:v>
      </x:c>
      <x:c r="AE1009" s="13" t="str">
        <x:f>IF(J1009="Рассчитано","Выручка "&amp;TEXT(V1009,"0.00")&amp;" - себестоимость "&amp;TEXT(W1009,"0.00")&amp;" - комиссия "&amp;TEXT(V1009*R1009/100,"0.00")&amp;" - доставка "&amp;TEXT(P1009,"0.00")&amp;" - прочие "&amp;TEXT(Q1009,"0.00")&amp;" = "&amp;TEXT(G1009,"0.00")&amp;" "&amp;L1009,"Введите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9" s="24" t="n">
        <x:v>10.278637892299837</x:v>
      </x:c>
      <x:c r="AG1009" s="37" t="n">
        <x:v>16</x:v>
      </x:c>
      <x:c r="AH1009" s="37" t="n">
        <x:v>0</x:v>
      </x:c>
      <x:c r="AI1009" s="30" t="n">
        <x:v>46266</x:v>
      </x:c>
      <x:c r="AJ1009" s="37" t="n">
        <x:v>4</x:v>
      </x:c>
      <x:c r="AK1009" s="10" t="str">
        <x:v>минимум</x:v>
      </x:c>
      <x:c r="AL1009" s="32" t="n">
        <x:v>132.3742341133907</x:v>
      </x:c>
      <x:c r="AM1009" s="13" t="str">
        <x:v>Остаток на начало сентября; Резервы неизвестны; Stockout оценён по месячным снимкам; Нет ежедневных данных доступности. Запас выше прогноза на 90 дней</x:v>
      </x:c>
      <x:c r="AN1009" s="13" t="str">
        <x:v>Проверить свободный остаток и установить цену для B2B</x:v>
      </x:c>
      <x:c r="AO1009" s="13" t="str">
        <x:v>Остаток 16; прогноз 90 дней 10.28; избыток 5 шт. Будущие поступления не выставляются на продажу. Остаток на начало сентября: требуется актуализация.</x:v>
      </x:c>
      <x:c r="AP1009" s="13" t="str">
        <x:v>["category_missing", "daily_stockout_data_missing", "new_order_lead_time_unknown", "reservations_unknown", "stale_stock", "stockout_proxy_used"]</x:v>
      </x:c>
      <x:c r="AQ1009" s="10" t="str">
        <x:v>IEK:270400047_</x:v>
      </x:c>
      <x:c r="AR1009" s="24" t="n">
        <x:v>1</x:v>
      </x:c>
      <x:c r="AS1009" s="24" t="n">
        <x:v>0</x:v>
      </x:c>
      <x:c r="AT1009" s="24" t="n">
        <x:v>0</x:v>
      </x:c>
    </x:row>
    <x:row r="1010" ht="64" customHeight="1">
      <x:c r="A1010" s="11" t="str">
        <x:v>IEK</x:v>
      </x:c>
      <x:c r="B1010" s="33" t="str">
        <x:v>280100001_</x:v>
      </x:c>
      <x:c r="C1010" s="33" t="str">
        <x:v>CKK10-100-040-1-K01</x:v>
      </x:c>
      <x:c r="D1010" s="12" t="str">
        <x:v>Кабель-канал 100х40 белый ЭЛЕКОР IEK (8)</x:v>
      </x:c>
      <x:c r="E1010" s="11" t="str">
        <x:v>м</x:v>
      </x:c>
      <x:c r="F1010" s="23" t="n">
        <x:f>MAX(0,ROUNDDOWN((AG1010-AF1010)/AR1010+0.000000001,0)*AR1010)</x:f>
        <x:v>45.214</x:v>
      </x:c>
      <x:c r="G1010" s="20" t="str">
        <x:f>IF(J1010="Рассчитано",V1010*(1-R1010/100)-W1010-P1010-Q1010,"н/д")</x:f>
        <x:v>н/д</x:v>
      </x:c>
      <x:c r="H1010" s="12" t="str">
        <x:v>Высокий</x:v>
      </x:c>
      <x:c r="I1010" s="12" t="str">
        <x:v>Средний</x:v>
      </x:c>
      <x:c r="J1010" s="12" t="str">
        <x:f>IF(L1010="","Укажите валюту",IF(NOT(ISNUMBER(K1010)),"Укажите объём",IF(K1010&lt;=0,"Укажите объём",IF(K1010&gt;F1010,"Объём выше излишка",IF(COUNT(M1010:O1010)&lt;3,"Нужны цены",IF(COUNT(P1010:R1010)&lt;3,"Нужны расходы",IF(OR(M1010&lt;0,N1010&lt;0,O1010&lt;0,O1010&gt;100,P1010&lt;0,Q1010&lt;0,R1010&lt;0,R1010&gt;100),"Проверьте значения","Рассчитано")))))))</x:f>
        <x:v>Нужны цены</x:v>
      </x:c>
      <x:c r="K1010" s="25" t="n">
        <x:v>45.214</x:v>
      </x:c>
      <x:c r="L1010" s="19" t="str">
        <x:v>KZT</x:v>
      </x:c>
      <x:c r="M1010" s="22"/>
      <x:c r="N1010" s="22"/>
      <x:c r="O1010" s="28"/>
      <x:c r="P1010" s="22"/>
      <x:c r="Q1010" s="22"/>
      <x:c r="R1010" s="28"/>
      <x:c r="S1010" s="22"/>
      <x:c r="T1010" s="23" t="n">
        <x:f>K1010</x:f>
        <x:v>45.214</x:v>
      </x:c>
      <x:c r="U1010" s="20" t="str">
        <x:f>IF(J1010="Рассчитано",N1010*(1-O1010/100),"н/д")</x:f>
        <x:v>н/д</x:v>
      </x:c>
      <x:c r="V1010" s="20" t="str">
        <x:f>IF(J1010="Рассчитано",T1010*U1010,"н/д")</x:f>
        <x:v>н/д</x:v>
      </x:c>
      <x:c r="W1010" s="20" t="str">
        <x:f>IF(J1010="Рассчитано",T1010*M1010,"н/д")</x:f>
        <x:v>н/д</x:v>
      </x:c>
      <x:c r="X1010" s="20" t="str">
        <x:f>IF(J1010="Рассчитано",V1010-W1010,"н/д")</x:f>
        <x:v>н/д</x:v>
      </x:c>
      <x:c r="Y1010" s="26" t="str">
        <x:f>IF(J1010="Рассчитано",IF(V1010&gt;0,G1010/V1010,"н/д"),"н/д")</x:f>
        <x:v>н/д</x:v>
      </x:c>
      <x:c r="Z1010" s="20" t="str">
        <x:f>"н/д"</x:f>
        <x:v>н/д</x:v>
      </x:c>
      <x:c r="AA1010" s="20" t="str">
        <x:f>"н/д"</x:f>
        <x:v>н/д</x:v>
      </x:c>
      <x:c r="AB1010" s="20" t="str">
        <x:f>"н/д"</x:f>
        <x:v>н/д</x:v>
      </x:c>
      <x:c r="AC1010" s="20" t="str">
        <x:f>IF(AND(J1010="Рассчитано",T1010&gt;0,R1010&lt;100),(W1010+P1010+Q1010)/(T1010*(1-R1010/100)),"н/д")</x:f>
        <x:v>н/д</x:v>
      </x:c>
      <x:c r="AD1010" s="11" t="str">
        <x:f>IF(ISNUMBER(G1010),IF(G1010&lt;0,"Убыток",IF(G1010=0,"Без прибыли","Прибыль &gt; 0")),"Не оценён")</x:f>
        <x:v>Не оценён</x:v>
      </x:c>
      <x:c r="AE1010" s="12" t="str">
        <x:f>IF(J1010="Рассчитано","Выручка "&amp;TEXT(V1010,"0.00")&amp;" - себестоимость "&amp;TEXT(W1010,"0.00")&amp;" - комиссия "&amp;TEXT(V1010*R1010/100,"0.00")&amp;" - доставка "&amp;TEXT(P1010,"0.00")&amp;" - прочие "&amp;TEXT(Q1010,"0.00")&amp;" = "&amp;TEXT(G1010,"0.00")&amp;" "&amp;L1010,"Введите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0" s="23" t="n">
        <x:v>60.78568714612449</x:v>
      </x:c>
      <x:c r="AG1010" s="23" t="n">
        <x:v>106</x:v>
      </x:c>
      <x:c r="AH1010" s="23" t="n">
        <x:v>32</x:v>
      </x:c>
      <x:c r="AI1010" s="29" t="n">
        <x:v>46266</x:v>
      </x:c>
      <x:c r="AJ1010" s="23" t="n">
        <x:v>8</x:v>
      </x:c>
      <x:c r="AK1010" s="11" t="str">
        <x:v>минимум</x:v>
      </x:c>
      <x:c r="AL1010" s="31" t="n">
        <x:v>148.29399974313543</x:v>
      </x:c>
      <x:c r="AM1010" s="12" t="str">
        <x:v>Остаток на начало сентября; Резервы неизвестны; Нет ежедневных данных доступности. Запас выше прогноза на 90 дней</x:v>
      </x:c>
      <x:c r="AN1010" s="12" t="str">
        <x:v>Проверить свободный остаток и установить цену для B2B</x:v>
      </x:c>
      <x:c r="AO1010" s="12" t="str">
        <x:v>Остаток 106; прогноз 90 дней 60.79; избыток 45.214 м. Будущие поступления не выставляются на продажу. Остаток на начало сентября: требуется актуализация.</x:v>
      </x:c>
      <x:c r="AP1010" s="12" t="str">
        <x:v>["category_missing", "daily_stockout_data_missing", "large_orders_detected", "new_order_lead_time_unknown", "reservations_unknown", "stale_stock"]</x:v>
      </x:c>
      <x:c r="AQ1010" s="11" t="str">
        <x:v>IEK:280100001_</x:v>
      </x:c>
      <x:c r="AR1010" s="23" t="n">
        <x:v>0.001</x:v>
      </x:c>
      <x:c r="AS1010" s="23" t="n">
        <x:v>0</x:v>
      </x:c>
      <x:c r="AT1010" s="23" t="n">
        <x:v>0</x:v>
      </x:c>
    </x:row>
    <x:row r="1011" ht="64" customHeight="1">
      <x:c r="A1011" s="10" t="str">
        <x:v>IEK</x:v>
      </x:c>
      <x:c r="B1011" s="34" t="str">
        <x:v>280100004_</x:v>
      </x:c>
      <x:c r="C1011" s="34" t="str">
        <x:v>CKK10-016-016-1-K01</x:v>
      </x:c>
      <x:c r="D1011" s="13" t="str">
        <x:v>Кабель-канал 16х16 белый ЭЛЕКОР IEK (84)</x:v>
      </x:c>
      <x:c r="E1011" s="10" t="str">
        <x:v>м</x:v>
      </x:c>
      <x:c r="F1011" s="24" t="n">
        <x:f>MAX(0,ROUNDDOWN((AG1011-AF1011)/AR1011+0.000000001,0)*AR1011)</x:f>
        <x:v>396.597</x:v>
      </x:c>
      <x:c r="G1011" s="21" t="str">
        <x:f>IF(J1011="Рассчитано",V1011*(1-R1011/100)-W1011-P1011-Q1011,"н/д")</x:f>
        <x:v>н/д</x:v>
      </x:c>
      <x:c r="H1011" s="13" t="str">
        <x:v>Высокий</x:v>
      </x:c>
      <x:c r="I1011" s="13" t="str">
        <x:v>Средний</x:v>
      </x:c>
      <x:c r="J1011" s="13" t="str">
        <x:f>IF(L1011="","Укажите валюту",IF(NOT(ISNUMBER(K1011)),"Укажите объём",IF(K1011&lt;=0,"Укажите объём",IF(K1011&gt;F1011,"Объём выше излишка",IF(COUNT(M1011:O1011)&lt;3,"Нужны цены",IF(COUNT(P1011:R1011)&lt;3,"Нужны расходы",IF(OR(M1011&lt;0,N1011&lt;0,O1011&lt;0,O1011&gt;100,P1011&lt;0,Q1011&lt;0,R1011&lt;0,R1011&gt;100),"Проверьте значения","Рассчитано")))))))</x:f>
        <x:v>Нужны цены</x:v>
      </x:c>
      <x:c r="K1011" s="25" t="n">
        <x:v>396.597</x:v>
      </x:c>
      <x:c r="L1011" s="19" t="str">
        <x:v>KZT</x:v>
      </x:c>
      <x:c r="M1011" s="22"/>
      <x:c r="N1011" s="22"/>
      <x:c r="O1011" s="28"/>
      <x:c r="P1011" s="22"/>
      <x:c r="Q1011" s="22"/>
      <x:c r="R1011" s="28"/>
      <x:c r="S1011" s="22"/>
      <x:c r="T1011" s="24" t="n">
        <x:f>K1011</x:f>
        <x:v>396.597</x:v>
      </x:c>
      <x:c r="U1011" s="21" t="str">
        <x:f>IF(J1011="Рассчитано",N1011*(1-O1011/100),"н/д")</x:f>
        <x:v>н/д</x:v>
      </x:c>
      <x:c r="V1011" s="21" t="str">
        <x:f>IF(J1011="Рассчитано",T1011*U1011,"н/д")</x:f>
        <x:v>н/д</x:v>
      </x:c>
      <x:c r="W1011" s="21" t="str">
        <x:f>IF(J1011="Рассчитано",T1011*M1011,"н/д")</x:f>
        <x:v>н/д</x:v>
      </x:c>
      <x:c r="X1011" s="21" t="str">
        <x:f>IF(J1011="Рассчитано",V1011-W1011,"н/д")</x:f>
        <x:v>н/д</x:v>
      </x:c>
      <x:c r="Y1011" s="27" t="str">
        <x:f>IF(J1011="Рассчитано",IF(V1011&gt;0,G1011/V1011,"н/д"),"н/д")</x:f>
        <x:v>н/д</x:v>
      </x:c>
      <x:c r="Z1011" s="21" t="str">
        <x:f>"н/д"</x:f>
        <x:v>н/д</x:v>
      </x:c>
      <x:c r="AA1011" s="21" t="str">
        <x:f>"н/д"</x:f>
        <x:v>н/д</x:v>
      </x:c>
      <x:c r="AB1011" s="21" t="str">
        <x:f>"н/д"</x:f>
        <x:v>н/д</x:v>
      </x:c>
      <x:c r="AC1011" s="21" t="str">
        <x:f>IF(AND(J1011="Рассчитано",T1011&gt;0,R1011&lt;100),(W1011+P1011+Q1011)/(T1011*(1-R1011/100)),"н/д")</x:f>
        <x:v>н/д</x:v>
      </x:c>
      <x:c r="AD1011" s="10" t="str">
        <x:f>IF(ISNUMBER(G1011),IF(G1011&lt;0,"Убыток",IF(G1011=0,"Без прибыли","Прибыль &gt; 0")),"Не оценён")</x:f>
        <x:v>Не оценён</x:v>
      </x:c>
      <x:c r="AE1011" s="13" t="str">
        <x:f>IF(J1011="Рассчитано","Выручка "&amp;TEXT(V1011,"0.00")&amp;" - себестоимость "&amp;TEXT(W1011,"0.00")&amp;" - комиссия "&amp;TEXT(V1011*R1011/100,"0.00")&amp;" - доставка "&amp;TEXT(P1011,"0.00")&amp;" - прочие "&amp;TEXT(Q1011,"0.00")&amp;" = "&amp;TEXT(G1011,"0.00")&amp;" "&amp;L1011,"Введите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1" s="24" t="n">
        <x:v>574.4028372007568</x:v>
      </x:c>
      <x:c r="AG1011" s="24" t="n">
        <x:v>971</x:v>
      </x:c>
      <x:c r="AH1011" s="24" t="n">
        <x:v>0</x:v>
      </x:c>
      <x:c r="AI1011" s="30" t="n">
        <x:v>46266</x:v>
      </x:c>
      <x:c r="AJ1011" s="24" t="n">
        <x:v>84</x:v>
      </x:c>
      <x:c r="AK1011" s="10" t="str">
        <x:v>минимум</x:v>
      </x:c>
      <x:c r="AL1011" s="32" t="n">
        <x:v>143.75458252190992</x:v>
      </x:c>
      <x:c r="AM101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11" s="13" t="str">
        <x:v>Проверить свободный остаток и установить цену для B2B</x:v>
      </x:c>
      <x:c r="AO1011" s="13" t="str">
        <x:v>Остаток 971; прогноз 90 дней 574.40; избыток 396.597 м. Будущие поступления не выставляются на продажу. Остаток на начало сентября: требуется актуализация.</x:v>
      </x:c>
      <x:c r="AP1011" s="13" t="str">
        <x:v>["category_missing", "daily_stockout_data_missing", "large_orders_detected", "new_order_lead_time_unknown", "reservations_unknown", "stale_stock", "transaction_month_mismatch"]</x:v>
      </x:c>
      <x:c r="AQ1011" s="10" t="str">
        <x:v>IEK:280100004_</x:v>
      </x:c>
      <x:c r="AR1011" s="24" t="n">
        <x:v>0.001</x:v>
      </x:c>
      <x:c r="AS1011" s="24" t="n">
        <x:v>0</x:v>
      </x:c>
      <x:c r="AT1011" s="24" t="n">
        <x:v>0</x:v>
      </x:c>
    </x:row>
    <x:row r="1012" ht="64" customHeight="1">
      <x:c r="A1012" s="11" t="str">
        <x:v>IEK</x:v>
      </x:c>
      <x:c r="B1012" s="33" t="str">
        <x:v>280100005_</x:v>
      </x:c>
      <x:c r="C1012" s="33" t="str">
        <x:v>CKK10-020-010-1-K01</x:v>
      </x:c>
      <x:c r="D1012" s="12" t="str">
        <x:v>Кабель-канал 20х10 белый ЭЛЕКОР IEK (96)</x:v>
      </x:c>
      <x:c r="E1012" s="11" t="str">
        <x:v>м</x:v>
      </x:c>
      <x:c r="F1012" s="23" t="n">
        <x:f>MAX(0,ROUNDDOWN((AG1012-AF1012)/AR1012+0.000000001,0)*AR1012)</x:f>
        <x:v>63.876000000000005</x:v>
      </x:c>
      <x:c r="G1012" s="20" t="str">
        <x:f>IF(J1012="Рассчитано",V1012*(1-R1012/100)-W1012-P1012-Q1012,"н/д")</x:f>
        <x:v>н/д</x:v>
      </x:c>
      <x:c r="H1012" s="12" t="str">
        <x:v>Высокий</x:v>
      </x:c>
      <x:c r="I1012" s="12" t="str">
        <x:v>Средний</x:v>
      </x:c>
      <x:c r="J1012" s="12" t="str">
        <x:f>IF(L1012="","Укажите валюту",IF(NOT(ISNUMBER(K1012)),"Укажите объём",IF(K1012&lt;=0,"Укажите объём",IF(K1012&gt;F1012,"Объём выше излишка",IF(COUNT(M1012:O1012)&lt;3,"Нужны цены",IF(COUNT(P1012:R1012)&lt;3,"Нужны расходы",IF(OR(M1012&lt;0,N1012&lt;0,O1012&lt;0,O1012&gt;100,P1012&lt;0,Q1012&lt;0,R1012&lt;0,R1012&gt;100),"Проверьте значения","Рассчитано")))))))</x:f>
        <x:v>Нужны цены</x:v>
      </x:c>
      <x:c r="K1012" s="25" t="n">
        <x:v>63.876000000000005</x:v>
      </x:c>
      <x:c r="L1012" s="19" t="str">
        <x:v>KZT</x:v>
      </x:c>
      <x:c r="M1012" s="22"/>
      <x:c r="N1012" s="22"/>
      <x:c r="O1012" s="28"/>
      <x:c r="P1012" s="22"/>
      <x:c r="Q1012" s="22"/>
      <x:c r="R1012" s="28"/>
      <x:c r="S1012" s="22"/>
      <x:c r="T1012" s="23" t="n">
        <x:f>K1012</x:f>
        <x:v>63.876000000000005</x:v>
      </x:c>
      <x:c r="U1012" s="20" t="str">
        <x:f>IF(J1012="Рассчитано",N1012*(1-O1012/100),"н/д")</x:f>
        <x:v>н/д</x:v>
      </x:c>
      <x:c r="V1012" s="20" t="str">
        <x:f>IF(J1012="Рассчитано",T1012*U1012,"н/д")</x:f>
        <x:v>н/д</x:v>
      </x:c>
      <x:c r="W1012" s="20" t="str">
        <x:f>IF(J1012="Рассчитано",T1012*M1012,"н/д")</x:f>
        <x:v>н/д</x:v>
      </x:c>
      <x:c r="X1012" s="20" t="str">
        <x:f>IF(J1012="Рассчитано",V1012-W1012,"н/д")</x:f>
        <x:v>н/д</x:v>
      </x:c>
      <x:c r="Y1012" s="26" t="str">
        <x:f>IF(J1012="Рассчитано",IF(V1012&gt;0,G1012/V1012,"н/д"),"н/д")</x:f>
        <x:v>н/д</x:v>
      </x:c>
      <x:c r="Z1012" s="20" t="str">
        <x:f>"н/д"</x:f>
        <x:v>н/д</x:v>
      </x:c>
      <x:c r="AA1012" s="20" t="str">
        <x:f>"н/д"</x:f>
        <x:v>н/д</x:v>
      </x:c>
      <x:c r="AB1012" s="20" t="str">
        <x:f>"н/д"</x:f>
        <x:v>н/д</x:v>
      </x:c>
      <x:c r="AC1012" s="20" t="str">
        <x:f>IF(AND(J1012="Рассчитано",T1012&gt;0,R1012&lt;100),(W1012+P1012+Q1012)/(T1012*(1-R1012/100)),"н/д")</x:f>
        <x:v>н/д</x:v>
      </x:c>
      <x:c r="AD1012" s="11" t="str">
        <x:f>IF(ISNUMBER(G1012),IF(G1012&lt;0,"Убыток",IF(G1012=0,"Без прибыли","Прибыль &gt; 0")),"Не оценён")</x:f>
        <x:v>Не оценён</x:v>
      </x:c>
      <x:c r="AE1012" s="12" t="str">
        <x:f>IF(J1012="Рассчитано","Выручка "&amp;TEXT(V1012,"0.00")&amp;" - себестоимость "&amp;TEXT(W1012,"0.00")&amp;" - комиссия "&amp;TEXT(V1012*R1012/100,"0.00")&amp;" - доставка "&amp;TEXT(P1012,"0.00")&amp;" - прочие "&amp;TEXT(Q1012,"0.00")&amp;" = "&amp;TEXT(G1012,"0.00")&amp;" "&amp;L1012,"Введите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2" s="23" t="n">
        <x:v>218.12314932974445</x:v>
      </x:c>
      <x:c r="AG1012" s="23" t="n">
        <x:v>282</x:v>
      </x:c>
      <x:c r="AH1012" s="23" t="n">
        <x:v>0</x:v>
      </x:c>
      <x:c r="AI1012" s="29" t="n">
        <x:v>46266</x:v>
      </x:c>
      <x:c r="AJ1012" s="23" t="n">
        <x:v>96</x:v>
      </x:c>
      <x:c r="AK1012" s="11" t="str">
        <x:v>минимум</x:v>
      </x:c>
      <x:c r="AL1012" s="31" t="n">
        <x:v>109.94269867121447</x:v>
      </x:c>
      <x:c r="AM1012" s="12" t="str">
        <x:v>Остаток на начало сентября; Резервы неизвестны; Нет ежедневных данных доступности. Запас выше прогноза на 90 дней</x:v>
      </x:c>
      <x:c r="AN1012" s="12" t="str">
        <x:v>Проверить свободный остаток и установить цену для B2B</x:v>
      </x:c>
      <x:c r="AO1012" s="12" t="str">
        <x:v>Остаток 282; прогноз 90 дней 218.12; избыток 63.876 м. Будущие поступления не выставляются на продажу. Остаток на начало сентября: требуется актуализация.</x:v>
      </x:c>
      <x:c r="AP1012" s="12" t="str">
        <x:v>["category_missing", "daily_stockout_data_missing", "new_order_lead_time_unknown", "reservations_unknown", "stale_stock"]</x:v>
      </x:c>
      <x:c r="AQ1012" s="11" t="str">
        <x:v>IEK:280100005_</x:v>
      </x:c>
      <x:c r="AR1012" s="23" t="n">
        <x:v>0.001</x:v>
      </x:c>
      <x:c r="AS1012" s="23" t="n">
        <x:v>0</x:v>
      </x:c>
      <x:c r="AT1012" s="23" t="n">
        <x:v>0</x:v>
      </x:c>
    </x:row>
    <x:row r="1013" ht="64" customHeight="1">
      <x:c r="A1013" s="10" t="str">
        <x:v>IEK</x:v>
      </x:c>
      <x:c r="B1013" s="34" t="str">
        <x:v>280100006_</x:v>
      </x:c>
      <x:c r="C1013" s="34" t="str">
        <x:v>CKK10-015-010-1-K01</x:v>
      </x:c>
      <x:c r="D1013" s="13" t="str">
        <x:v>Кабель-канал 15х10 белый ЭЛЕКОР IEK (144)</x:v>
      </x:c>
      <x:c r="E1013" s="10" t="str">
        <x:v>м</x:v>
      </x:c>
      <x:c r="F1013" s="24" t="n">
        <x:f>MAX(0,ROUNDDOWN((AG1013-AF1013)/AR1013+0.000000001,0)*AR1013)</x:f>
        <x:v>409.385</x:v>
      </x:c>
      <x:c r="G1013" s="21" t="str">
        <x:f>IF(J1013="Рассчитано",V1013*(1-R1013/100)-W1013-P1013-Q1013,"н/д")</x:f>
        <x:v>н/д</x:v>
      </x:c>
      <x:c r="H1013" s="13" t="str">
        <x:v>Высокий</x:v>
      </x:c>
      <x:c r="I1013" s="13" t="str">
        <x:v>Высокий</x:v>
      </x:c>
      <x:c r="J1013" s="13" t="str">
        <x:f>IF(L1013="","Укажите валюту",IF(NOT(ISNUMBER(K1013)),"Укажите объём",IF(K1013&lt;=0,"Укажите объём",IF(K1013&gt;F1013,"Объём выше излишка",IF(COUNT(M1013:O1013)&lt;3,"Нужны цены",IF(COUNT(P1013:R1013)&lt;3,"Нужны расходы",IF(OR(M1013&lt;0,N1013&lt;0,O1013&lt;0,O1013&gt;100,P1013&lt;0,Q1013&lt;0,R1013&lt;0,R1013&gt;100),"Проверьте значения","Рассчитано")))))))</x:f>
        <x:v>Нужны цены</x:v>
      </x:c>
      <x:c r="K1013" s="25" t="n">
        <x:v>409.385</x:v>
      </x:c>
      <x:c r="L1013" s="19" t="str">
        <x:v>KZT</x:v>
      </x:c>
      <x:c r="M1013" s="22"/>
      <x:c r="N1013" s="22"/>
      <x:c r="O1013" s="28"/>
      <x:c r="P1013" s="22"/>
      <x:c r="Q1013" s="22"/>
      <x:c r="R1013" s="28"/>
      <x:c r="S1013" s="22"/>
      <x:c r="T1013" s="24" t="n">
        <x:f>K1013</x:f>
        <x:v>409.385</x:v>
      </x:c>
      <x:c r="U1013" s="21" t="str">
        <x:f>IF(J1013="Рассчитано",N1013*(1-O1013/100),"н/д")</x:f>
        <x:v>н/д</x:v>
      </x:c>
      <x:c r="V1013" s="21" t="str">
        <x:f>IF(J1013="Рассчитано",T1013*U1013,"н/д")</x:f>
        <x:v>н/д</x:v>
      </x:c>
      <x:c r="W1013" s="21" t="str">
        <x:f>IF(J1013="Рассчитано",T1013*M1013,"н/д")</x:f>
        <x:v>н/д</x:v>
      </x:c>
      <x:c r="X1013" s="21" t="str">
        <x:f>IF(J1013="Рассчитано",V1013-W1013,"н/д")</x:f>
        <x:v>н/д</x:v>
      </x:c>
      <x:c r="Y1013" s="27" t="str">
        <x:f>IF(J1013="Рассчитано",IF(V1013&gt;0,G1013/V1013,"н/д"),"н/д")</x:f>
        <x:v>н/д</x:v>
      </x:c>
      <x:c r="Z1013" s="21" t="str">
        <x:f>"н/д"</x:f>
        <x:v>н/д</x:v>
      </x:c>
      <x:c r="AA1013" s="21" t="str">
        <x:f>"н/д"</x:f>
        <x:v>н/д</x:v>
      </x:c>
      <x:c r="AB1013" s="21" t="str">
        <x:f>"н/д"</x:f>
        <x:v>н/д</x:v>
      </x:c>
      <x:c r="AC1013" s="21" t="str">
        <x:f>IF(AND(J1013="Рассчитано",T1013&gt;0,R1013&lt;100),(W1013+P1013+Q1013)/(T1013*(1-R1013/100)),"н/д")</x:f>
        <x:v>н/д</x:v>
      </x:c>
      <x:c r="AD1013" s="10" t="str">
        <x:f>IF(ISNUMBER(G1013),IF(G1013&lt;0,"Убыток",IF(G1013=0,"Без прибыли","Прибыль &gt; 0")),"Не оценён")</x:f>
        <x:v>Не оценён</x:v>
      </x:c>
      <x:c r="AE1013" s="13" t="str">
        <x:f>IF(J1013="Рассчитано","Выручка "&amp;TEXT(V1013,"0.00")&amp;" - себестоимость "&amp;TEXT(W1013,"0.00")&amp;" - комиссия "&amp;TEXT(V1013*R1013/100,"0.00")&amp;" - доставка "&amp;TEXT(P1013,"0.00")&amp;" - прочие "&amp;TEXT(Q1013,"0.00")&amp;" = "&amp;TEXT(G1013,"0.00")&amp;" "&amp;L1013,"Введите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3" s="24" t="n">
        <x:v>252.61497203489495</x:v>
      </x:c>
      <x:c r="AG1013" s="24" t="n">
        <x:v>662</x:v>
      </x:c>
      <x:c r="AH1013" s="24" t="n">
        <x:v>0</x:v>
      </x:c>
      <x:c r="AI1013" s="30" t="n">
        <x:v>46266</x:v>
      </x:c>
      <x:c r="AJ1013" s="24" t="n">
        <x:v>144</x:v>
      </x:c>
      <x:c r="AK1013" s="10" t="str">
        <x:v>минимум</x:v>
      </x:c>
      <x:c r="AL1013" s="32" t="n">
        <x:v>222.85272393454585</x:v>
      </x:c>
      <x:c r="AM101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13" s="13" t="str">
        <x:v>Проверить свободный остаток и установить цену для B2B</x:v>
      </x:c>
      <x:c r="AO1013" s="13" t="str">
        <x:v>Остаток 662; прогноз 90 дней 252.61; избыток 409.385 м. Будущие поступления не выставляются на продажу. Остаток на начало сентября: требуется актуализация.</x:v>
      </x:c>
      <x:c r="AP1013" s="13" t="str">
        <x:v>["category_missing", "daily_stockout_data_missing", "new_order_lead_time_unknown", "reservations_unknown", "stale_stock"]</x:v>
      </x:c>
      <x:c r="AQ1013" s="10" t="str">
        <x:v>IEK:280100006_</x:v>
      </x:c>
      <x:c r="AR1013" s="24" t="n">
        <x:v>0.001</x:v>
      </x:c>
      <x:c r="AS1013" s="24" t="n">
        <x:v>0</x:v>
      </x:c>
      <x:c r="AT1013" s="24" t="n">
        <x:v>0</x:v>
      </x:c>
    </x:row>
    <x:row r="1014" ht="64" customHeight="1">
      <x:c r="A1014" s="11" t="str">
        <x:v>IEK</x:v>
      </x:c>
      <x:c r="B1014" s="33" t="str">
        <x:v>280100009_</x:v>
      </x:c>
      <x:c r="C1014" s="33" t="str">
        <x:v>CKK10-040-016-1-K01</x:v>
      </x:c>
      <x:c r="D1014" s="12" t="str">
        <x:v>Кабель-канал 40х16 белый ЭЛЕКОР IEK (30)</x:v>
      </x:c>
      <x:c r="E1014" s="11" t="str">
        <x:v>м</x:v>
      </x:c>
      <x:c r="F1014" s="23" t="n">
        <x:f>MAX(0,ROUNDDOWN((AG1014-AF1014)/AR1014+0.000000001,0)*AR1014)</x:f>
        <x:v>124.25</x:v>
      </x:c>
      <x:c r="G1014" s="20" t="str">
        <x:f>IF(J1014="Рассчитано",V1014*(1-R1014/100)-W1014-P1014-Q1014,"н/д")</x:f>
        <x:v>н/д</x:v>
      </x:c>
      <x:c r="H1014" s="12" t="str">
        <x:v>Высокий</x:v>
      </x:c>
      <x:c r="I1014" s="12" t="str">
        <x:v>Высокий</x:v>
      </x:c>
      <x:c r="J1014" s="12" t="str">
        <x:f>IF(L1014="","Укажите валюту",IF(NOT(ISNUMBER(K1014)),"Укажите объём",IF(K1014&lt;=0,"Укажите объём",IF(K1014&gt;F1014,"Объём выше излишка",IF(COUNT(M1014:O1014)&lt;3,"Нужны цены",IF(COUNT(P1014:R1014)&lt;3,"Нужны расходы",IF(OR(M1014&lt;0,N1014&lt;0,O1014&lt;0,O1014&gt;100,P1014&lt;0,Q1014&lt;0,R1014&lt;0,R1014&gt;100),"Проверьте значения","Рассчитано")))))))</x:f>
        <x:v>Нужны цены</x:v>
      </x:c>
      <x:c r="K1014" s="25" t="n">
        <x:v>124.25</x:v>
      </x:c>
      <x:c r="L1014" s="19" t="str">
        <x:v>KZT</x:v>
      </x:c>
      <x:c r="M1014" s="22"/>
      <x:c r="N1014" s="22"/>
      <x:c r="O1014" s="28"/>
      <x:c r="P1014" s="22"/>
      <x:c r="Q1014" s="22"/>
      <x:c r="R1014" s="28"/>
      <x:c r="S1014" s="22"/>
      <x:c r="T1014" s="23" t="n">
        <x:f>K1014</x:f>
        <x:v>124.25</x:v>
      </x:c>
      <x:c r="U1014" s="20" t="str">
        <x:f>IF(J1014="Рассчитано",N1014*(1-O1014/100),"н/д")</x:f>
        <x:v>н/д</x:v>
      </x:c>
      <x:c r="V1014" s="20" t="str">
        <x:f>IF(J1014="Рассчитано",T1014*U1014,"н/д")</x:f>
        <x:v>н/д</x:v>
      </x:c>
      <x:c r="W1014" s="20" t="str">
        <x:f>IF(J1014="Рассчитано",T1014*M1014,"н/д")</x:f>
        <x:v>н/д</x:v>
      </x:c>
      <x:c r="X1014" s="20" t="str">
        <x:f>IF(J1014="Рассчитано",V1014-W1014,"н/д")</x:f>
        <x:v>н/д</x:v>
      </x:c>
      <x:c r="Y1014" s="26" t="str">
        <x:f>IF(J1014="Рассчитано",IF(V1014&gt;0,G1014/V1014,"н/д"),"н/д")</x:f>
        <x:v>н/д</x:v>
      </x:c>
      <x:c r="Z1014" s="20" t="str">
        <x:f>"н/д"</x:f>
        <x:v>н/д</x:v>
      </x:c>
      <x:c r="AA1014" s="20" t="str">
        <x:f>"н/д"</x:f>
        <x:v>н/д</x:v>
      </x:c>
      <x:c r="AB1014" s="20" t="str">
        <x:f>"н/д"</x:f>
        <x:v>н/д</x:v>
      </x:c>
      <x:c r="AC1014" s="20" t="str">
        <x:f>IF(AND(J1014="Рассчитано",T1014&gt;0,R1014&lt;100),(W1014+P1014+Q1014)/(T1014*(1-R1014/100)),"н/д")</x:f>
        <x:v>н/д</x:v>
      </x:c>
      <x:c r="AD1014" s="11" t="str">
        <x:f>IF(ISNUMBER(G1014),IF(G1014&lt;0,"Убыток",IF(G1014=0,"Без прибыли","Прибыль &gt; 0")),"Не оценён")</x:f>
        <x:v>Не оценён</x:v>
      </x:c>
      <x:c r="AE1014" s="12" t="str">
        <x:f>IF(J1014="Рассчитано","Выручка "&amp;TEXT(V1014,"0.00")&amp;" - себестоимость "&amp;TEXT(W1014,"0.00")&amp;" - комиссия "&amp;TEXT(V1014*R1014/100,"0.00")&amp;" - доставка "&amp;TEXT(P1014,"0.00")&amp;" - прочие "&amp;TEXT(Q1014,"0.00")&amp;" = "&amp;TEXT(G1014,"0.00")&amp;" "&amp;L1014,"Введите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4" s="23" t="n">
        <x:v>93.74950952298143</x:v>
      </x:c>
      <x:c r="AG1014" s="23" t="n">
        <x:v>218</x:v>
      </x:c>
      <x:c r="AH1014" s="23" t="n">
        <x:v>0</x:v>
      </x:c>
      <x:c r="AI1014" s="29" t="n">
        <x:v>46266</x:v>
      </x:c>
      <x:c r="AJ1014" s="23" t="n">
        <x:v>30</x:v>
      </x:c>
      <x:c r="AK1014" s="11" t="str">
        <x:v>минимум</x:v>
      </x:c>
      <x:c r="AL1014" s="31" t="n">
        <x:v>197.7454655434081</x:v>
      </x:c>
      <x:c r="AM101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14" s="12" t="str">
        <x:v>Проверить свободный остаток и установить цену для B2B</x:v>
      </x:c>
      <x:c r="AO1014" s="12" t="str">
        <x:v>Остаток 218; прогноз 90 дней 93.75; избыток 124.25 м. Будущие поступления не выставляются на продажу. Остаток на начало сентября: требуется актуализация.</x:v>
      </x:c>
      <x:c r="AP1014" s="12" t="str">
        <x:v>["category_missing", "daily_stockout_data_missing", "new_order_lead_time_unknown", "reservations_unknown", "stale_stock"]</x:v>
      </x:c>
      <x:c r="AQ1014" s="11" t="str">
        <x:v>IEK:280100009_</x:v>
      </x:c>
      <x:c r="AR1014" s="23" t="n">
        <x:v>0.001</x:v>
      </x:c>
      <x:c r="AS1014" s="23" t="n">
        <x:v>0</x:v>
      </x:c>
      <x:c r="AT1014" s="23" t="n">
        <x:v>0</x:v>
      </x:c>
    </x:row>
    <x:row r="1015" ht="64" customHeight="1">
      <x:c r="A1015" s="10" t="str">
        <x:v>IEK</x:v>
      </x:c>
      <x:c r="B1015" s="34" t="str">
        <x:v>280100010_</x:v>
      </x:c>
      <x:c r="C1015" s="34" t="str">
        <x:v>CKK10-040-025-1-K01</x:v>
      </x:c>
      <x:c r="D1015" s="13" t="str">
        <x:v>Кабель-канал 40х25 белый ЭЛЕКОР IEK (24)</x:v>
      </x:c>
      <x:c r="E1015" s="10" t="str">
        <x:v>м</x:v>
      </x:c>
      <x:c r="F1015" s="24" t="n">
        <x:f>MAX(0,ROUNDDOWN((AG1015-AF1015)/AR1015+0.000000001,0)*AR1015)</x:f>
        <x:v>613.1610000000001</x:v>
      </x:c>
      <x:c r="G1015" s="21" t="str">
        <x:f>IF(J1015="Рассчитано",V1015*(1-R1015/100)-W1015-P1015-Q1015,"н/д")</x:f>
        <x:v>н/д</x:v>
      </x:c>
      <x:c r="H1015" s="13" t="str">
        <x:v>Высокий</x:v>
      </x:c>
      <x:c r="I1015" s="13" t="str">
        <x:v>Средний</x:v>
      </x:c>
      <x:c r="J1015" s="13" t="str">
        <x:f>IF(L1015="","Укажите валюту",IF(NOT(ISNUMBER(K1015)),"Укажите объём",IF(K1015&lt;=0,"Укажите объём",IF(K1015&gt;F1015,"Объём выше излишка",IF(COUNT(M1015:O1015)&lt;3,"Нужны цены",IF(COUNT(P1015:R1015)&lt;3,"Нужны расходы",IF(OR(M1015&lt;0,N1015&lt;0,O1015&lt;0,O1015&gt;100,P1015&lt;0,Q1015&lt;0,R1015&lt;0,R1015&gt;100),"Проверьте значения","Рассчитано")))))))</x:f>
        <x:v>Нужны цены</x:v>
      </x:c>
      <x:c r="K1015" s="25" t="n">
        <x:v>613.1610000000001</x:v>
      </x:c>
      <x:c r="L1015" s="19" t="str">
        <x:v>KZT</x:v>
      </x:c>
      <x:c r="M1015" s="22"/>
      <x:c r="N1015" s="22"/>
      <x:c r="O1015" s="28"/>
      <x:c r="P1015" s="22"/>
      <x:c r="Q1015" s="22"/>
      <x:c r="R1015" s="28"/>
      <x:c r="S1015" s="22"/>
      <x:c r="T1015" s="24" t="n">
        <x:f>K1015</x:f>
        <x:v>613.1610000000001</x:v>
      </x:c>
      <x:c r="U1015" s="21" t="str">
        <x:f>IF(J1015="Рассчитано",N1015*(1-O1015/100),"н/д")</x:f>
        <x:v>н/д</x:v>
      </x:c>
      <x:c r="V1015" s="21" t="str">
        <x:f>IF(J1015="Рассчитано",T1015*U1015,"н/д")</x:f>
        <x:v>н/д</x:v>
      </x:c>
      <x:c r="W1015" s="21" t="str">
        <x:f>IF(J1015="Рассчитано",T1015*M1015,"н/д")</x:f>
        <x:v>н/д</x:v>
      </x:c>
      <x:c r="X1015" s="21" t="str">
        <x:f>IF(J1015="Рассчитано",V1015-W1015,"н/д")</x:f>
        <x:v>н/д</x:v>
      </x:c>
      <x:c r="Y1015" s="27" t="str">
        <x:f>IF(J1015="Рассчитано",IF(V1015&gt;0,G1015/V1015,"н/д"),"н/д")</x:f>
        <x:v>н/д</x:v>
      </x:c>
      <x:c r="Z1015" s="21" t="str">
        <x:f>"н/д"</x:f>
        <x:v>н/д</x:v>
      </x:c>
      <x:c r="AA1015" s="21" t="str">
        <x:f>"н/д"</x:f>
        <x:v>н/д</x:v>
      </x:c>
      <x:c r="AB1015" s="21" t="str">
        <x:f>"н/д"</x:f>
        <x:v>н/д</x:v>
      </x:c>
      <x:c r="AC1015" s="21" t="str">
        <x:f>IF(AND(J1015="Рассчитано",T1015&gt;0,R1015&lt;100),(W1015+P1015+Q1015)/(T1015*(1-R1015/100)),"н/д")</x:f>
        <x:v>н/д</x:v>
      </x:c>
      <x:c r="AD1015" s="10" t="str">
        <x:f>IF(ISNUMBER(G1015),IF(G1015&lt;0,"Убыток",IF(G1015=0,"Без прибыли","Прибыль &gt; 0")),"Не оценён")</x:f>
        <x:v>Не оценён</x:v>
      </x:c>
      <x:c r="AE1015" s="13" t="str">
        <x:f>IF(J1015="Рассчитано","Выручка "&amp;TEXT(V1015,"0.00")&amp;" - себестоимость "&amp;TEXT(W1015,"0.00")&amp;" - комиссия "&amp;TEXT(V1015*R1015/100,"0.00")&amp;" - доставка "&amp;TEXT(P1015,"0.00")&amp;" - прочие "&amp;TEXT(Q1015,"0.00")&amp;" = "&amp;TEXT(G1015,"0.00")&amp;" "&amp;L1015,"Введите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5" s="24" t="n">
        <x:v>1730.8383041362736</x:v>
      </x:c>
      <x:c r="AG1015" s="24" t="n">
        <x:v>2344</x:v>
      </x:c>
      <x:c r="AH1015" s="24" t="n">
        <x:v>0</x:v>
      </x:c>
      <x:c r="AI1015" s="30" t="n">
        <x:v>46266</x:v>
      </x:c>
      <x:c r="AJ1015" s="24" t="n">
        <x:v>24</x:v>
      </x:c>
      <x:c r="AK1015" s="10" t="str">
        <x:v>минимум</x:v>
      </x:c>
      <x:c r="AL1015" s="32" t="n">
        <x:v>115.16490504423724</x:v>
      </x:c>
      <x:c r="AM1015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15" s="13" t="str">
        <x:v>Проверить свободный остаток и установить цену для B2B</x:v>
      </x:c>
      <x:c r="AO1015" s="13" t="str">
        <x:v>Остаток 2344; прогноз 90 дней 1730.84; избыток 613.161 м. Будущие поступления не выставляются на продажу. Остаток на начало сентября: требуется актуализация.</x:v>
      </x:c>
      <x:c r="AP1015" s="13" t="str">
        <x:v>["category_missing", "daily_stockout_data_missing", "large_orders_detected", "new_order_lead_time_unknown", "reservations_unknown", "stale_stock", "transaction_month_mismatch"]</x:v>
      </x:c>
      <x:c r="AQ1015" s="10" t="str">
        <x:v>IEK:280100010_</x:v>
      </x:c>
      <x:c r="AR1015" s="24" t="n">
        <x:v>0.001</x:v>
      </x:c>
      <x:c r="AS1015" s="24" t="n">
        <x:v>0</x:v>
      </x:c>
      <x:c r="AT1015" s="24" t="n">
        <x:v>0</x:v>
      </x:c>
    </x:row>
    <x:row r="1016" ht="64" customHeight="1">
      <x:c r="A1016" s="11" t="str">
        <x:v>IEK</x:v>
      </x:c>
      <x:c r="B1016" s="33" t="str">
        <x:v>280100013_</x:v>
      </x:c>
      <x:c r="C1016" s="33" t="str">
        <x:v>CKK10-060-060-1-K01</x:v>
      </x:c>
      <x:c r="D1016" s="12" t="str">
        <x:v>Кабель-канал 60х60 белый ЭЛЕКОР IEK (12)</x:v>
      </x:c>
      <x:c r="E1016" s="11" t="str">
        <x:v>м</x:v>
      </x:c>
      <x:c r="F1016" s="23" t="n">
        <x:f>MAX(0,ROUNDDOWN((AG1016-AF1016)/AR1016+0.000000001,0)*AR1016)</x:f>
        <x:v>2.344</x:v>
      </x:c>
      <x:c r="G1016" s="20" t="str">
        <x:f>IF(J1016="Рассчитано",V1016*(1-R1016/100)-W1016-P1016-Q1016,"н/д")</x:f>
        <x:v>н/д</x:v>
      </x:c>
      <x:c r="H1016" s="12" t="str">
        <x:v>Высокий</x:v>
      </x:c>
      <x:c r="I1016" s="12" t="str">
        <x:v>Средний</x:v>
      </x:c>
      <x:c r="J1016" s="12" t="str">
        <x:f>IF(L1016="","Укажите валюту",IF(NOT(ISNUMBER(K1016)),"Укажите объём",IF(K1016&lt;=0,"Укажите объём",IF(K1016&gt;F1016,"Объём выше излишка",IF(COUNT(M1016:O1016)&lt;3,"Нужны цены",IF(COUNT(P1016:R1016)&lt;3,"Нужны расходы",IF(OR(M1016&lt;0,N1016&lt;0,O1016&lt;0,O1016&gt;100,P1016&lt;0,Q1016&lt;0,R1016&lt;0,R1016&gt;100),"Проверьте значения","Рассчитано")))))))</x:f>
        <x:v>Нужны цены</x:v>
      </x:c>
      <x:c r="K1016" s="25" t="n">
        <x:v>2.344</x:v>
      </x:c>
      <x:c r="L1016" s="19" t="str">
        <x:v>KZT</x:v>
      </x:c>
      <x:c r="M1016" s="22"/>
      <x:c r="N1016" s="22"/>
      <x:c r="O1016" s="28"/>
      <x:c r="P1016" s="22"/>
      <x:c r="Q1016" s="22"/>
      <x:c r="R1016" s="28"/>
      <x:c r="S1016" s="22"/>
      <x:c r="T1016" s="23" t="n">
        <x:f>K1016</x:f>
        <x:v>2.344</x:v>
      </x:c>
      <x:c r="U1016" s="20" t="str">
        <x:f>IF(J1016="Рассчитано",N1016*(1-O1016/100),"н/д")</x:f>
        <x:v>н/д</x:v>
      </x:c>
      <x:c r="V1016" s="20" t="str">
        <x:f>IF(J1016="Рассчитано",T1016*U1016,"н/д")</x:f>
        <x:v>н/д</x:v>
      </x:c>
      <x:c r="W1016" s="20" t="str">
        <x:f>IF(J1016="Рассчитано",T1016*M1016,"н/д")</x:f>
        <x:v>н/д</x:v>
      </x:c>
      <x:c r="X1016" s="20" t="str">
        <x:f>IF(J1016="Рассчитано",V1016-W1016,"н/д")</x:f>
        <x:v>н/д</x:v>
      </x:c>
      <x:c r="Y1016" s="26" t="str">
        <x:f>IF(J1016="Рассчитано",IF(V1016&gt;0,G1016/V1016,"н/д"),"н/д")</x:f>
        <x:v>н/д</x:v>
      </x:c>
      <x:c r="Z1016" s="20" t="str">
        <x:f>"н/д"</x:f>
        <x:v>н/д</x:v>
      </x:c>
      <x:c r="AA1016" s="20" t="str">
        <x:f>"н/д"</x:f>
        <x:v>н/д</x:v>
      </x:c>
      <x:c r="AB1016" s="20" t="str">
        <x:f>"н/д"</x:f>
        <x:v>н/д</x:v>
      </x:c>
      <x:c r="AC1016" s="20" t="str">
        <x:f>IF(AND(J1016="Рассчитано",T1016&gt;0,R1016&lt;100),(W1016+P1016+Q1016)/(T1016*(1-R1016/100)),"н/д")</x:f>
        <x:v>н/д</x:v>
      </x:c>
      <x:c r="AD1016" s="11" t="str">
        <x:f>IF(ISNUMBER(G1016),IF(G1016&lt;0,"Убыток",IF(G1016=0,"Без прибыли","Прибыль &gt; 0")),"Не оценён")</x:f>
        <x:v>Не оценён</x:v>
      </x:c>
      <x:c r="AE1016" s="12" t="str">
        <x:f>IF(J1016="Рассчитано","Выручка "&amp;TEXT(V1016,"0.00")&amp;" - себестоимость "&amp;TEXT(W1016,"0.00")&amp;" - комиссия "&amp;TEXT(V1016*R1016/100,"0.00")&amp;" - доставка "&amp;TEXT(P1016,"0.00")&amp;" - прочие "&amp;TEXT(Q1016,"0.00")&amp;" = "&amp;TEXT(G1016,"0.00")&amp;" "&amp;L1016,"Введите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6" s="23" t="n">
        <x:v>17.65597769469088</x:v>
      </x:c>
      <x:c r="AG1016" s="23" t="n">
        <x:v>20</x:v>
      </x:c>
      <x:c r="AH1016" s="23" t="n">
        <x:v>12</x:v>
      </x:c>
      <x:c r="AI1016" s="29" t="n">
        <x:v>46266</x:v>
      </x:c>
      <x:c r="AJ1016" s="23" t="n">
        <x:v>12</x:v>
      </x:c>
      <x:c r="AK1016" s="11" t="str">
        <x:v>минимум</x:v>
      </x:c>
      <x:c r="AL1016" s="31" t="n">
        <x:v>96.329048031931</x:v>
      </x:c>
      <x:c r="AM1016" s="12" t="str">
        <x:v>Остаток на начало сентября; Резервы неизвестны; Нет ежедневных данных доступности. Запас выше прогноза на 90 дней</x:v>
      </x:c>
      <x:c r="AN1016" s="12" t="str">
        <x:v>Проверить свободный остаток и установить цену для B2B</x:v>
      </x:c>
      <x:c r="AO1016" s="12" t="str">
        <x:v>Остаток 20; прогноз 90 дней 17.66; избыток 2.344 м. Будущие поступления не выставляются на продажу. Остаток на начало сентября: требуется актуализация.</x:v>
      </x:c>
      <x:c r="AP1016" s="12" t="str">
        <x:v>["category_missing", "daily_stockout_data_missing", "new_order_lead_time_unknown", "reservations_unknown", "stale_stock"]</x:v>
      </x:c>
      <x:c r="AQ1016" s="11" t="str">
        <x:v>IEK:280100013_</x:v>
      </x:c>
      <x:c r="AR1016" s="23" t="n">
        <x:v>0.001</x:v>
      </x:c>
      <x:c r="AS1016" s="23" t="n">
        <x:v>0</x:v>
      </x:c>
      <x:c r="AT1016" s="23" t="n">
        <x:v>0</x:v>
      </x:c>
    </x:row>
    <x:row r="1017" ht="64" customHeight="1">
      <x:c r="A1017" s="10" t="str">
        <x:v>IEK</x:v>
      </x:c>
      <x:c r="B1017" s="34" t="str">
        <x:v>280100014_</x:v>
      </x:c>
      <x:c r="C1017" s="34" t="str">
        <x:v>CKK10-080-040-1-K01-010</x:v>
      </x:c>
      <x:c r="D1017" s="13" t="str">
        <x:v>Кабель-канал 80х40 белый ЭЛЕКОР IEK (10)</x:v>
      </x:c>
      <x:c r="E1017" s="10" t="str">
        <x:v>м</x:v>
      </x:c>
      <x:c r="F1017" s="24" t="n">
        <x:f>MAX(0,ROUNDDOWN((AG1017-AF1017)/AR1017+0.000000001,0)*AR1017)</x:f>
        <x:v>16.952</x:v>
      </x:c>
      <x:c r="G1017" s="21" t="str">
        <x:f>IF(J1017="Рассчитано",V1017*(1-R1017/100)-W1017-P1017-Q1017,"н/д")</x:f>
        <x:v>н/д</x:v>
      </x:c>
      <x:c r="H1017" s="13" t="str">
        <x:v>Высокий</x:v>
      </x:c>
      <x:c r="I1017" s="13" t="str">
        <x:v>Средний</x:v>
      </x:c>
      <x:c r="J1017" s="13" t="str">
        <x:f>IF(L1017="","Укажите валюту",IF(NOT(ISNUMBER(K1017)),"Укажите объём",IF(K1017&lt;=0,"Укажите объём",IF(K1017&gt;F1017,"Объём выше излишка",IF(COUNT(M1017:O1017)&lt;3,"Нужны цены",IF(COUNT(P1017:R1017)&lt;3,"Нужны расходы",IF(OR(M1017&lt;0,N1017&lt;0,O1017&lt;0,O1017&gt;100,P1017&lt;0,Q1017&lt;0,R1017&lt;0,R1017&gt;100),"Проверьте значения","Рассчитано")))))))</x:f>
        <x:v>Нужны цены</x:v>
      </x:c>
      <x:c r="K1017" s="25" t="n">
        <x:v>16.952</x:v>
      </x:c>
      <x:c r="L1017" s="19" t="str">
        <x:v>KZT</x:v>
      </x:c>
      <x:c r="M1017" s="22"/>
      <x:c r="N1017" s="22"/>
      <x:c r="O1017" s="28"/>
      <x:c r="P1017" s="22"/>
      <x:c r="Q1017" s="22"/>
      <x:c r="R1017" s="28"/>
      <x:c r="S1017" s="22"/>
      <x:c r="T1017" s="24" t="n">
        <x:f>K1017</x:f>
        <x:v>16.952</x:v>
      </x:c>
      <x:c r="U1017" s="21" t="str">
        <x:f>IF(J1017="Рассчитано",N1017*(1-O1017/100),"н/д")</x:f>
        <x:v>н/д</x:v>
      </x:c>
      <x:c r="V1017" s="21" t="str">
        <x:f>IF(J1017="Рассчитано",T1017*U1017,"н/д")</x:f>
        <x:v>н/д</x:v>
      </x:c>
      <x:c r="W1017" s="21" t="str">
        <x:f>IF(J1017="Рассчитано",T1017*M1017,"н/д")</x:f>
        <x:v>н/д</x:v>
      </x:c>
      <x:c r="X1017" s="21" t="str">
        <x:f>IF(J1017="Рассчитано",V1017-W1017,"н/д")</x:f>
        <x:v>н/д</x:v>
      </x:c>
      <x:c r="Y1017" s="27" t="str">
        <x:f>IF(J1017="Рассчитано",IF(V1017&gt;0,G1017/V1017,"н/д"),"н/д")</x:f>
        <x:v>н/д</x:v>
      </x:c>
      <x:c r="Z1017" s="21" t="str">
        <x:f>"н/д"</x:f>
        <x:v>н/д</x:v>
      </x:c>
      <x:c r="AA1017" s="21" t="str">
        <x:f>"н/д"</x:f>
        <x:v>н/д</x:v>
      </x:c>
      <x:c r="AB1017" s="21" t="str">
        <x:f>"н/д"</x:f>
        <x:v>н/д</x:v>
      </x:c>
      <x:c r="AC1017" s="21" t="str">
        <x:f>IF(AND(J1017="Рассчитано",T1017&gt;0,R1017&lt;100),(W1017+P1017+Q1017)/(T1017*(1-R1017/100)),"н/д")</x:f>
        <x:v>н/д</x:v>
      </x:c>
      <x:c r="AD1017" s="10" t="str">
        <x:f>IF(ISNUMBER(G1017),IF(G1017&lt;0,"Убыток",IF(G1017=0,"Без прибыли","Прибыль &gt; 0")),"Не оценён")</x:f>
        <x:v>Не оценён</x:v>
      </x:c>
      <x:c r="AE1017" s="13" t="str">
        <x:f>IF(J1017="Рассчитано","Выручка "&amp;TEXT(V1017,"0.00")&amp;" - себестоимость "&amp;TEXT(W1017,"0.00")&amp;" - комиссия "&amp;TEXT(V1017*R1017/100,"0.00")&amp;" - доставка "&amp;TEXT(P1017,"0.00")&amp;" - прочие "&amp;TEXT(Q1017,"0.00")&amp;" = "&amp;TEXT(G1017,"0.00")&amp;" "&amp;L1017,"Введите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7" s="24" t="n">
        <x:v>23.04772762706372</x:v>
      </x:c>
      <x:c r="AG1017" s="24" t="n">
        <x:v>40</x:v>
      </x:c>
      <x:c r="AH1017" s="24" t="n">
        <x:v>0</x:v>
      </x:c>
      <x:c r="AI1017" s="30" t="n">
        <x:v>46266</x:v>
      </x:c>
      <x:c r="AJ1017" s="24" t="n">
        <x:v>10</x:v>
      </x:c>
      <x:c r="AK1017" s="10" t="str">
        <x:v>минимум</x:v>
      </x:c>
      <x:c r="AL1017" s="32" t="n">
        <x:v>147.5879575568607</x:v>
      </x:c>
      <x:c r="AM1017" s="13" t="str">
        <x:v>Остаток на начало сентября; Резервы неизвестны; Нет ежедневных данных доступности. Запас выше прогноза на 90 дней</x:v>
      </x:c>
      <x:c r="AN1017" s="13" t="str">
        <x:v>Проверить свободный остаток и установить цену для B2B</x:v>
      </x:c>
      <x:c r="AO1017" s="13" t="str">
        <x:v>Остаток 40; прогноз 90 дней 23.05; избыток 16.952 м. Будущие поступления не выставляются на продажу. Остаток на начало сентября: требуется актуализация.</x:v>
      </x:c>
      <x:c r="AP1017" s="13" t="str">
        <x:v>["category_missing", "daily_stockout_data_missing", "new_order_lead_time_unknown", "reservations_unknown", "stale_stock"]</x:v>
      </x:c>
      <x:c r="AQ1017" s="10" t="str">
        <x:v>IEK:280100014_</x:v>
      </x:c>
      <x:c r="AR1017" s="24" t="n">
        <x:v>0.001</x:v>
      </x:c>
      <x:c r="AS1017" s="24" t="n">
        <x:v>0</x:v>
      </x:c>
      <x:c r="AT1017" s="24" t="n">
        <x:v>0</x:v>
      </x:c>
    </x:row>
    <x:row r="1018" ht="64" customHeight="1">
      <x:c r="A1018" s="11" t="str">
        <x:v>IEK</x:v>
      </x:c>
      <x:c r="B1018" s="33" t="str">
        <x:v>280100015_</x:v>
      </x:c>
      <x:c r="C1018" s="33" t="str">
        <x:v>CKK10-080-060-1-K01-008</x:v>
      </x:c>
      <x:c r="D1018" s="12" t="str">
        <x:v>Кабель-канал 80х60 белый ЭЛЕКОР IEK (8)</x:v>
      </x:c>
      <x:c r="E1018" s="11" t="str">
        <x:v>м</x:v>
      </x:c>
      <x:c r="F1018" s="23" t="n">
        <x:f>MAX(0,ROUNDDOWN((AG1018-AF1018)/AR1018+0.000000001,0)*AR1018)</x:f>
        <x:v>10.394</x:v>
      </x:c>
      <x:c r="G1018" s="20" t="str">
        <x:f>IF(J1018="Рассчитано",V1018*(1-R1018/100)-W1018-P1018-Q1018,"н/д")</x:f>
        <x:v>н/д</x:v>
      </x:c>
      <x:c r="H1018" s="12" t="str">
        <x:v>Высокий</x:v>
      </x:c>
      <x:c r="I1018" s="12" t="str">
        <x:v>Высокий</x:v>
      </x:c>
      <x:c r="J1018" s="12" t="str">
        <x:f>IF(L1018="","Укажите валюту",IF(NOT(ISNUMBER(K1018)),"Укажите объём",IF(K1018&lt;=0,"Укажите объём",IF(K1018&gt;F1018,"Объём выше излишка",IF(COUNT(M1018:O1018)&lt;3,"Нужны цены",IF(COUNT(P1018:R1018)&lt;3,"Нужны расходы",IF(OR(M1018&lt;0,N1018&lt;0,O1018&lt;0,O1018&gt;100,P1018&lt;0,Q1018&lt;0,R1018&lt;0,R1018&gt;100),"Проверьте значения","Рассчитано")))))))</x:f>
        <x:v>Нужны цены</x:v>
      </x:c>
      <x:c r="K1018" s="25" t="n">
        <x:v>10.394</x:v>
      </x:c>
      <x:c r="L1018" s="19" t="str">
        <x:v>KZT</x:v>
      </x:c>
      <x:c r="M1018" s="22"/>
      <x:c r="N1018" s="22"/>
      <x:c r="O1018" s="28"/>
      <x:c r="P1018" s="22"/>
      <x:c r="Q1018" s="22"/>
      <x:c r="R1018" s="28"/>
      <x:c r="S1018" s="22"/>
      <x:c r="T1018" s="23" t="n">
        <x:f>K1018</x:f>
        <x:v>10.394</x:v>
      </x:c>
      <x:c r="U1018" s="20" t="str">
        <x:f>IF(J1018="Рассчитано",N1018*(1-O1018/100),"н/д")</x:f>
        <x:v>н/д</x:v>
      </x:c>
      <x:c r="V1018" s="20" t="str">
        <x:f>IF(J1018="Рассчитано",T1018*U1018,"н/д")</x:f>
        <x:v>н/д</x:v>
      </x:c>
      <x:c r="W1018" s="20" t="str">
        <x:f>IF(J1018="Рассчитано",T1018*M1018,"н/д")</x:f>
        <x:v>н/д</x:v>
      </x:c>
      <x:c r="X1018" s="20" t="str">
        <x:f>IF(J1018="Рассчитано",V1018-W1018,"н/д")</x:f>
        <x:v>н/д</x:v>
      </x:c>
      <x:c r="Y1018" s="26" t="str">
        <x:f>IF(J1018="Рассчитано",IF(V1018&gt;0,G1018/V1018,"н/д"),"н/д")</x:f>
        <x:v>н/д</x:v>
      </x:c>
      <x:c r="Z1018" s="20" t="str">
        <x:f>"н/д"</x:f>
        <x:v>н/д</x:v>
      </x:c>
      <x:c r="AA1018" s="20" t="str">
        <x:f>"н/д"</x:f>
        <x:v>н/д</x:v>
      </x:c>
      <x:c r="AB1018" s="20" t="str">
        <x:f>"н/д"</x:f>
        <x:v>н/д</x:v>
      </x:c>
      <x:c r="AC1018" s="20" t="str">
        <x:f>IF(AND(J1018="Рассчитано",T1018&gt;0,R1018&lt;100),(W1018+P1018+Q1018)/(T1018*(1-R1018/100)),"н/д")</x:f>
        <x:v>н/д</x:v>
      </x:c>
      <x:c r="AD1018" s="11" t="str">
        <x:f>IF(ISNUMBER(G1018),IF(G1018&lt;0,"Убыток",IF(G1018=0,"Без прибыли","Прибыль &gt; 0")),"Не оценён")</x:f>
        <x:v>Не оценён</x:v>
      </x:c>
      <x:c r="AE1018" s="12" t="str">
        <x:f>IF(J1018="Рассчитано","Выручка "&amp;TEXT(V1018,"0.00")&amp;" - себестоимость "&amp;TEXT(W1018,"0.00")&amp;" - комиссия "&amp;TEXT(V1018*R1018/100,"0.00")&amp;" - доставка "&amp;TEXT(P1018,"0.00")&amp;" - прочие "&amp;TEXT(Q1018,"0.00")&amp;" = "&amp;TEXT(G1018,"0.00")&amp;" "&amp;L1018,"Введите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8" s="23" t="n">
        <x:v>1.6052812262281348</x:v>
      </x:c>
      <x:c r="AG1018" s="23" t="n">
        <x:v>12</x:v>
      </x:c>
      <x:c r="AH1018" s="23" t="n">
        <x:v>0</x:v>
      </x:c>
      <x:c r="AI1018" s="29" t="n">
        <x:v>46266</x:v>
      </x:c>
      <x:c r="AJ1018" s="23" t="n">
        <x:v>8</x:v>
      </x:c>
      <x:c r="AK1018" s="11" t="str">
        <x:v>минимум</x:v>
      </x:c>
      <x:c r="AL1018" s="31" t="n">
        <x:v>635.6955388055633</x:v>
      </x:c>
      <x:c r="AM101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18" s="12" t="str">
        <x:v>Проверить свободный остаток и установить цену для B2B</x:v>
      </x:c>
      <x:c r="AO1018" s="12" t="str">
        <x:v>Остаток 12; прогноз 90 дней 1.61; избыток 10.394 м. Будущие поступления не выставляются на продажу. Остаток на начало сентября: требуется актуализация.</x:v>
      </x:c>
      <x:c r="AP1018" s="12" t="str">
        <x:v>["category_missing", "daily_stockout_data_missing", "new_order_lead_time_unknown", "reservations_unknown", "stale_stock"]</x:v>
      </x:c>
      <x:c r="AQ1018" s="11" t="str">
        <x:v>IEK:280100015_</x:v>
      </x:c>
      <x:c r="AR1018" s="23" t="n">
        <x:v>0.001</x:v>
      </x:c>
      <x:c r="AS1018" s="23" t="n">
        <x:v>0</x:v>
      </x:c>
      <x:c r="AT1018" s="23" t="n">
        <x:v>0</x:v>
      </x:c>
    </x:row>
    <x:row r="1019" ht="64" customHeight="1">
      <x:c r="A1019" s="10" t="str">
        <x:v>IEK</x:v>
      </x:c>
      <x:c r="B1019" s="34" t="str">
        <x:v>280100016_</x:v>
      </x:c>
      <x:c r="C1019" s="34" t="str">
        <x:v>CKK10-025-025-1-K01</x:v>
      </x:c>
      <x:c r="D1019" s="13" t="str">
        <x:v>Кабель-канал 25х25 белый ЭЛЕКОР IEK (32)</x:v>
      </x:c>
      <x:c r="E1019" s="10" t="str">
        <x:v>м</x:v>
      </x:c>
      <x:c r="F1019" s="24" t="n">
        <x:f>MAX(0,ROUNDDOWN((AG1019-AF1019)/AR1019+0.000000001,0)*AR1019)</x:f>
        <x:v>276.435</x:v>
      </x:c>
      <x:c r="G1019" s="21" t="str">
        <x:f>IF(J1019="Рассчитано",V1019*(1-R1019/100)-W1019-P1019-Q1019,"н/д")</x:f>
        <x:v>н/д</x:v>
      </x:c>
      <x:c r="H1019" s="13" t="str">
        <x:v>Высокий</x:v>
      </x:c>
      <x:c r="I1019" s="13" t="str">
        <x:v>Средний</x:v>
      </x:c>
      <x:c r="J1019" s="13" t="str">
        <x:f>IF(L1019="","Укажите валюту",IF(NOT(ISNUMBER(K1019)),"Укажите объём",IF(K1019&lt;=0,"Укажите объём",IF(K1019&gt;F1019,"Объём выше излишка",IF(COUNT(M1019:O1019)&lt;3,"Нужны цены",IF(COUNT(P1019:R1019)&lt;3,"Нужны расходы",IF(OR(M1019&lt;0,N1019&lt;0,O1019&lt;0,O1019&gt;100,P1019&lt;0,Q1019&lt;0,R1019&lt;0,R1019&gt;100),"Проверьте значения","Рассчитано")))))))</x:f>
        <x:v>Нужны цены</x:v>
      </x:c>
      <x:c r="K1019" s="25" t="n">
        <x:v>276.435</x:v>
      </x:c>
      <x:c r="L1019" s="19" t="str">
        <x:v>KZT</x:v>
      </x:c>
      <x:c r="M1019" s="22"/>
      <x:c r="N1019" s="22"/>
      <x:c r="O1019" s="28"/>
      <x:c r="P1019" s="22"/>
      <x:c r="Q1019" s="22"/>
      <x:c r="R1019" s="28"/>
      <x:c r="S1019" s="22"/>
      <x:c r="T1019" s="24" t="n">
        <x:f>K1019</x:f>
        <x:v>276.435</x:v>
      </x:c>
      <x:c r="U1019" s="21" t="str">
        <x:f>IF(J1019="Рассчитано",N1019*(1-O1019/100),"н/д")</x:f>
        <x:v>н/д</x:v>
      </x:c>
      <x:c r="V1019" s="21" t="str">
        <x:f>IF(J1019="Рассчитано",T1019*U1019,"н/д")</x:f>
        <x:v>н/д</x:v>
      </x:c>
      <x:c r="W1019" s="21" t="str">
        <x:f>IF(J1019="Рассчитано",T1019*M1019,"н/д")</x:f>
        <x:v>н/д</x:v>
      </x:c>
      <x:c r="X1019" s="21" t="str">
        <x:f>IF(J1019="Рассчитано",V1019-W1019,"н/д")</x:f>
        <x:v>н/д</x:v>
      </x:c>
      <x:c r="Y1019" s="27" t="str">
        <x:f>IF(J1019="Рассчитано",IF(V1019&gt;0,G1019/V1019,"н/д"),"н/д")</x:f>
        <x:v>н/д</x:v>
      </x:c>
      <x:c r="Z1019" s="21" t="str">
        <x:f>"н/д"</x:f>
        <x:v>н/д</x:v>
      </x:c>
      <x:c r="AA1019" s="21" t="str">
        <x:f>"н/д"</x:f>
        <x:v>н/д</x:v>
      </x:c>
      <x:c r="AB1019" s="21" t="str">
        <x:f>"н/д"</x:f>
        <x:v>н/д</x:v>
      </x:c>
      <x:c r="AC1019" s="21" t="str">
        <x:f>IF(AND(J1019="Рассчитано",T1019&gt;0,R1019&lt;100),(W1019+P1019+Q1019)/(T1019*(1-R1019/100)),"н/д")</x:f>
        <x:v>н/д</x:v>
      </x:c>
      <x:c r="AD1019" s="10" t="str">
        <x:f>IF(ISNUMBER(G1019),IF(G1019&lt;0,"Убыток",IF(G1019=0,"Без прибыли","Прибыль &gt; 0")),"Не оценён")</x:f>
        <x:v>Не оценён</x:v>
      </x:c>
      <x:c r="AE1019" s="13" t="str">
        <x:f>IF(J1019="Рассчитано","Выручка "&amp;TEXT(V1019,"0.00")&amp;" - себестоимость "&amp;TEXT(W1019,"0.00")&amp;" - комиссия "&amp;TEXT(V1019*R1019/100,"0.00")&amp;" - доставка "&amp;TEXT(P1019,"0.00")&amp;" - прочие "&amp;TEXT(Q1019,"0.00")&amp;" = "&amp;TEXT(G1019,"0.00")&amp;" "&amp;L1019,"Введите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9" s="24" t="n">
        <x:v>759.5646597443515</x:v>
      </x:c>
      <x:c r="AG1019" s="24" t="n">
        <x:v>1036</x:v>
      </x:c>
      <x:c r="AH1019" s="24" t="n">
        <x:v>0</x:v>
      </x:c>
      <x:c r="AI1019" s="30" t="n">
        <x:v>46266</x:v>
      </x:c>
      <x:c r="AJ1019" s="24" t="n">
        <x:v>32</x:v>
      </x:c>
      <x:c r="AK1019" s="10" t="str">
        <x:v>минимум</x:v>
      </x:c>
      <x:c r="AL1019" s="32" t="n">
        <x:v>115.98826430643325</x:v>
      </x:c>
      <x:c r="AM1019" s="13" t="str">
        <x:v>Остаток на начало сентября; Резервы неизвестны; Нет ежедневных данных доступности. Запас выше прогноза на 90 дней</x:v>
      </x:c>
      <x:c r="AN1019" s="13" t="str">
        <x:v>Проверить свободный остаток и установить цену для B2B</x:v>
      </x:c>
      <x:c r="AO1019" s="13" t="str">
        <x:v>Остаток 1036; прогноз 90 дней 759.56; избыток 276.435 м. Будущие поступления не выставляются на продажу. Остаток на начало сентября: требуется актуализация.</x:v>
      </x:c>
      <x:c r="AP1019" s="13" t="str">
        <x:v>["category_missing", "daily_stockout_data_missing", "large_orders_detected", "new_order_lead_time_unknown", "reservations_unknown", "stale_stock"]</x:v>
      </x:c>
      <x:c r="AQ1019" s="10" t="str">
        <x:v>IEK:280100016_</x:v>
      </x:c>
      <x:c r="AR1019" s="24" t="n">
        <x:v>0.001</x:v>
      </x:c>
      <x:c r="AS1019" s="24" t="n">
        <x:v>0</x:v>
      </x:c>
      <x:c r="AT1019" s="24" t="n">
        <x:v>0</x:v>
      </x:c>
    </x:row>
    <x:row r="1020" ht="64" customHeight="1">
      <x:c r="A1020" s="11" t="str">
        <x:v>IEK</x:v>
      </x:c>
      <x:c r="B1020" s="33" t="str">
        <x:v>280100020_</x:v>
      </x:c>
      <x:c r="C1020" s="33" t="str">
        <x:v>CKM50-040-040-1-K03</x:v>
      </x:c>
      <x:c r="D1020" s="12" t="str">
        <x:v>Кабель.канал перф.  40х40 ИМПАКТ IEK (36)</x:v>
      </x:c>
      <x:c r="E1020" s="11" t="str">
        <x:v>м</x:v>
      </x:c>
      <x:c r="F1020" s="23" t="n">
        <x:f>MAX(0,ROUNDDOWN((AG1020-AF1020)/AR1020+0.000000001,0)*AR1020)</x:f>
        <x:v>53.464</x:v>
      </x:c>
      <x:c r="G1020" s="20" t="str">
        <x:f>IF(J1020="Рассчитано",V1020*(1-R1020/100)-W1020-P1020-Q1020,"н/д")</x:f>
        <x:v>н/д</x:v>
      </x:c>
      <x:c r="H1020" s="12" t="str">
        <x:v>Высокий</x:v>
      </x:c>
      <x:c r="I1020" s="12" t="str">
        <x:v>Средний</x:v>
      </x:c>
      <x:c r="J1020" s="12" t="str">
        <x:f>IF(L1020="","Укажите валюту",IF(NOT(ISNUMBER(K1020)),"Укажите объём",IF(K1020&lt;=0,"Укажите объём",IF(K1020&gt;F1020,"Объём выше излишка",IF(COUNT(M1020:O1020)&lt;3,"Нужны цены",IF(COUNT(P1020:R1020)&lt;3,"Нужны расходы",IF(OR(M1020&lt;0,N1020&lt;0,O1020&lt;0,O1020&gt;100,P1020&lt;0,Q1020&lt;0,R1020&lt;0,R1020&gt;100),"Проверьте значения","Рассчитано")))))))</x:f>
        <x:v>Нужны цены</x:v>
      </x:c>
      <x:c r="K1020" s="25" t="n">
        <x:v>53.464</x:v>
      </x:c>
      <x:c r="L1020" s="19" t="str">
        <x:v>KZT</x:v>
      </x:c>
      <x:c r="M1020" s="22"/>
      <x:c r="N1020" s="22"/>
      <x:c r="O1020" s="28"/>
      <x:c r="P1020" s="22"/>
      <x:c r="Q1020" s="22"/>
      <x:c r="R1020" s="28"/>
      <x:c r="S1020" s="22"/>
      <x:c r="T1020" s="23" t="n">
        <x:f>K1020</x:f>
        <x:v>53.464</x:v>
      </x:c>
      <x:c r="U1020" s="20" t="str">
        <x:f>IF(J1020="Рассчитано",N1020*(1-O1020/100),"н/д")</x:f>
        <x:v>н/д</x:v>
      </x:c>
      <x:c r="V1020" s="20" t="str">
        <x:f>IF(J1020="Рассчитано",T1020*U1020,"н/д")</x:f>
        <x:v>н/д</x:v>
      </x:c>
      <x:c r="W1020" s="20" t="str">
        <x:f>IF(J1020="Рассчитано",T1020*M1020,"н/д")</x:f>
        <x:v>н/д</x:v>
      </x:c>
      <x:c r="X1020" s="20" t="str">
        <x:f>IF(J1020="Рассчитано",V1020-W1020,"н/д")</x:f>
        <x:v>н/д</x:v>
      </x:c>
      <x:c r="Y1020" s="26" t="str">
        <x:f>IF(J1020="Рассчитано",IF(V1020&gt;0,G1020/V1020,"н/д"),"н/д")</x:f>
        <x:v>н/д</x:v>
      </x:c>
      <x:c r="Z1020" s="20" t="str">
        <x:f>"н/д"</x:f>
        <x:v>н/д</x:v>
      </x:c>
      <x:c r="AA1020" s="20" t="str">
        <x:f>"н/д"</x:f>
        <x:v>н/д</x:v>
      </x:c>
      <x:c r="AB1020" s="20" t="str">
        <x:f>"н/д"</x:f>
        <x:v>н/д</x:v>
      </x:c>
      <x:c r="AC1020" s="20" t="str">
        <x:f>IF(AND(J1020="Рассчитано",T1020&gt;0,R1020&lt;100),(W1020+P1020+Q1020)/(T1020*(1-R1020/100)),"н/д")</x:f>
        <x:v>н/д</x:v>
      </x:c>
      <x:c r="AD1020" s="11" t="str">
        <x:f>IF(ISNUMBER(G1020),IF(G1020&lt;0,"Убыток",IF(G1020=0,"Без прибыли","Прибыль &gt; 0")),"Не оценён")</x:f>
        <x:v>Не оценён</x:v>
      </x:c>
      <x:c r="AE1020" s="12" t="str">
        <x:f>IF(J1020="Рассчитано","Выручка "&amp;TEXT(V1020,"0.00")&amp;" - себестоимость "&amp;TEXT(W1020,"0.00")&amp;" - комиссия "&amp;TEXT(V1020*R1020/100,"0.00")&amp;" - доставка "&amp;TEXT(P1020,"0.00")&amp;" - прочие "&amp;TEXT(Q1020,"0.00")&amp;" = "&amp;TEXT(G1020,"0.00")&amp;" "&amp;L1020,"Введите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0" s="23" t="n">
        <x:v>626.5352469991964</x:v>
      </x:c>
      <x:c r="AG1020" s="23" t="n">
        <x:v>680</x:v>
      </x:c>
      <x:c r="AH1020" s="23" t="n">
        <x:v>180</x:v>
      </x:c>
      <x:c r="AI1020" s="29" t="n">
        <x:v>46266</x:v>
      </x:c>
      <x:c r="AJ1020" s="23" t="n">
        <x:v>36</x:v>
      </x:c>
      <x:c r="AK1020" s="11" t="str">
        <x:v>минимум</x:v>
      </x:c>
      <x:c r="AL1020" s="31" t="n">
        <x:v>92.29590844673106</x:v>
      </x:c>
      <x:c r="AM102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20" s="12" t="str">
        <x:v>Проверить свободный остаток и установить цену для B2B</x:v>
      </x:c>
      <x:c r="AO1020" s="12" t="str">
        <x:v>Остаток 680; прогноз 90 дней 626.54; избыток 53.464 м. Будущие поступления не выставляются на продажу. Остаток на начало сентября: требуется актуализация.</x:v>
      </x:c>
      <x:c r="AP1020" s="12" t="str">
        <x:v>["category_missing", "daily_stockout_data_missing", "large_orders_detected", "new_order_lead_time_unknown", "reservations_unknown", "stale_stock", "transaction_month_mismatch"]</x:v>
      </x:c>
      <x:c r="AQ1020" s="11" t="str">
        <x:v>IEK:280100020_</x:v>
      </x:c>
      <x:c r="AR1020" s="23" t="n">
        <x:v>0.001</x:v>
      </x:c>
      <x:c r="AS1020" s="23" t="n">
        <x:v>0</x:v>
      </x:c>
      <x:c r="AT1020" s="23" t="n">
        <x:v>0</x:v>
      </x:c>
    </x:row>
    <x:row r="1021" ht="64" customHeight="1">
      <x:c r="A1021" s="10" t="str">
        <x:v>IEK</x:v>
      </x:c>
      <x:c r="B1021" s="34" t="str">
        <x:v>280100103_</x:v>
      </x:c>
      <x:c r="C1021" s="34" t="str">
        <x:v>CKK30-070-016-3-K03</x:v>
      </x:c>
      <x:c r="D1021" s="13" t="str">
        <x:v>Кабель-канал напольный 70х16  ЭЛЕКОР (42м)</x:v>
      </x:c>
      <x:c r="E1021" s="10" t="str">
        <x:v>м</x:v>
      </x:c>
      <x:c r="F1021" s="24" t="n">
        <x:f>MAX(0,ROUNDDOWN((AG1021-AF1021)/AR1021+0.000000001,0)*AR1021)</x:f>
        <x:v>705.66</x:v>
      </x:c>
      <x:c r="G1021" s="21" t="str">
        <x:f>IF(J1021="Рассчитано",V1021*(1-R1021/100)-W1021-P1021-Q1021,"н/д")</x:f>
        <x:v>н/д</x:v>
      </x:c>
      <x:c r="H1021" s="13" t="str">
        <x:v>Высокий</x:v>
      </x:c>
      <x:c r="I1021" s="13" t="str">
        <x:v>Средний</x:v>
      </x:c>
      <x:c r="J1021" s="13" t="str">
        <x:f>IF(L1021="","Укажите валюту",IF(NOT(ISNUMBER(K1021)),"Укажите объём",IF(K1021&lt;=0,"Укажите объём",IF(K1021&gt;F1021,"Объём выше излишка",IF(COUNT(M1021:O1021)&lt;3,"Нужны цены",IF(COUNT(P1021:R1021)&lt;3,"Нужны расходы",IF(OR(M1021&lt;0,N1021&lt;0,O1021&lt;0,O1021&gt;100,P1021&lt;0,Q1021&lt;0,R1021&lt;0,R1021&gt;100),"Проверьте значения","Рассчитано")))))))</x:f>
        <x:v>Нужны цены</x:v>
      </x:c>
      <x:c r="K1021" s="25" t="n">
        <x:v>705.66</x:v>
      </x:c>
      <x:c r="L1021" s="19" t="str">
        <x:v>KZT</x:v>
      </x:c>
      <x:c r="M1021" s="22"/>
      <x:c r="N1021" s="22"/>
      <x:c r="O1021" s="28"/>
      <x:c r="P1021" s="22"/>
      <x:c r="Q1021" s="22"/>
      <x:c r="R1021" s="28"/>
      <x:c r="S1021" s="22"/>
      <x:c r="T1021" s="24" t="n">
        <x:f>K1021</x:f>
        <x:v>705.66</x:v>
      </x:c>
      <x:c r="U1021" s="21" t="str">
        <x:f>IF(J1021="Рассчитано",N1021*(1-O1021/100),"н/д")</x:f>
        <x:v>н/д</x:v>
      </x:c>
      <x:c r="V1021" s="21" t="str">
        <x:f>IF(J1021="Рассчитано",T1021*U1021,"н/д")</x:f>
        <x:v>н/д</x:v>
      </x:c>
      <x:c r="W1021" s="21" t="str">
        <x:f>IF(J1021="Рассчитано",T1021*M1021,"н/д")</x:f>
        <x:v>н/д</x:v>
      </x:c>
      <x:c r="X1021" s="21" t="str">
        <x:f>IF(J1021="Рассчитано",V1021-W1021,"н/д")</x:f>
        <x:v>н/д</x:v>
      </x:c>
      <x:c r="Y1021" s="27" t="str">
        <x:f>IF(J1021="Рассчитано",IF(V1021&gt;0,G1021/V1021,"н/д"),"н/д")</x:f>
        <x:v>н/д</x:v>
      </x:c>
      <x:c r="Z1021" s="21" t="str">
        <x:f>"н/д"</x:f>
        <x:v>н/д</x:v>
      </x:c>
      <x:c r="AA1021" s="21" t="str">
        <x:f>"н/д"</x:f>
        <x:v>н/д</x:v>
      </x:c>
      <x:c r="AB1021" s="21" t="str">
        <x:f>"н/д"</x:f>
        <x:v>н/д</x:v>
      </x:c>
      <x:c r="AC1021" s="21" t="str">
        <x:f>IF(AND(J1021="Рассчитано",T1021&gt;0,R1021&lt;100),(W1021+P1021+Q1021)/(T1021*(1-R1021/100)),"н/д")</x:f>
        <x:v>н/д</x:v>
      </x:c>
      <x:c r="AD1021" s="10" t="str">
        <x:f>IF(ISNUMBER(G1021),IF(G1021&lt;0,"Убыток",IF(G1021=0,"Без прибыли","Прибыль &gt; 0")),"Не оценён")</x:f>
        <x:v>Не оценён</x:v>
      </x:c>
      <x:c r="AE1021" s="13" t="str">
        <x:f>IF(J1021="Рассчитано","Выручка "&amp;TEXT(V1021,"0.00")&amp;" - себестоимость "&amp;TEXT(W1021,"0.00")&amp;" - комиссия "&amp;TEXT(V1021*R1021/100,"0.00")&amp;" - доставка "&amp;TEXT(P1021,"0.00")&amp;" - прочие "&amp;TEXT(Q1021,"0.00")&amp;" = "&amp;TEXT(G1021,"0.00")&amp;" "&amp;L1021,"Введите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1" s="24" t="n">
        <x:v>2421.3397325389383</x:v>
      </x:c>
      <x:c r="AG1021" s="24" t="n">
        <x:v>3127</x:v>
      </x:c>
      <x:c r="AH1021" s="24" t="n">
        <x:v>546</x:v>
      </x:c>
      <x:c r="AI1021" s="30" t="n">
        <x:v>46266</x:v>
      </x:c>
      <x:c r="AJ1021" s="24" t="n">
        <x:v>42</x:v>
      </x:c>
      <x:c r="AK1021" s="10" t="str">
        <x:v>минимум</x:v>
      </x:c>
      <x:c r="AL1021" s="32" t="n">
        <x:v>109.82246741772235</x:v>
      </x:c>
      <x:c r="AM102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21" s="13" t="str">
        <x:v>Проверить свободный остаток и установить цену для B2B</x:v>
      </x:c>
      <x:c r="AO1021" s="13" t="str">
        <x:v>Остаток 3127; прогноз 90 дней 2421.34; избыток 705.66 м. Будущие поступления не выставляются на продажу. Остаток на начало сентября: требуется актуализация.</x:v>
      </x:c>
      <x:c r="AP1021" s="13" t="str">
        <x:v>["category_missing", "daily_stockout_data_missing", "large_orders_detected", "new_order_lead_time_unknown", "reservations_unknown", "stale_stock", "transaction_month_mismatch"]</x:v>
      </x:c>
      <x:c r="AQ1021" s="10" t="str">
        <x:v>IEK:280100103_</x:v>
      </x:c>
      <x:c r="AR1021" s="24" t="n">
        <x:v>0.001</x:v>
      </x:c>
      <x:c r="AS1021" s="24" t="n">
        <x:v>0</x:v>
      </x:c>
      <x:c r="AT1021" s="24" t="n">
        <x:v>0</x:v>
      </x:c>
    </x:row>
    <x:row r="1022" ht="64" customHeight="1">
      <x:c r="A1022" s="11" t="str">
        <x:v>IEK</x:v>
      </x:c>
      <x:c r="B1022" s="33" t="str">
        <x:v>280100116_</x:v>
      </x:c>
      <x:c r="C1022" s="33" t="str">
        <x:v>CKK-40D-W-080-040-K01</x:v>
      </x:c>
      <x:c r="D1022" s="12" t="str">
        <x:v>Внешний изменяемый угол  80х40  ПРАЙМЕР (108)</x:v>
      </x:c>
      <x:c r="E1022" s="11" t="str">
        <x:v>шт</x:v>
      </x:c>
      <x:c r="F1022" s="35" t="n">
        <x:f>MAX(0,ROUNDDOWN((AG1022-AF1022)/AR1022+0.000000001,0)*AR1022)</x:f>
        <x:v>7</x:v>
      </x:c>
      <x:c r="G1022" s="20" t="str">
        <x:f>IF(J1022="Рассчитано",V1022*(1-R1022/100)-W1022-P1022-Q1022,"н/д")</x:f>
        <x:v>н/д</x:v>
      </x:c>
      <x:c r="H1022" s="12" t="str">
        <x:v>Высокий</x:v>
      </x:c>
      <x:c r="I1022" s="12" t="str">
        <x:v>Средний</x:v>
      </x:c>
      <x:c r="J1022" s="12" t="str">
        <x:f>IF(L1022="","Укажите валюту",IF(NOT(ISNUMBER(K1022)),"Укажите объём",IF(K1022&lt;=0,"Укажите объём",IF(K1022&gt;F1022,"Объём выше излишка",IF(COUNT(M1022:O1022)&lt;3,"Нужны цены",IF(COUNT(P1022:R1022)&lt;3,"Нужны расходы",IF(OR(M1022&lt;0,N1022&lt;0,O1022&lt;0,O1022&gt;100,P1022&lt;0,Q1022&lt;0,R1022&lt;0,R1022&gt;100),"Проверьте значения","Рассчитано")))))))</x:f>
        <x:v>Нужны цены</x:v>
      </x:c>
      <x:c r="K1022" s="36" t="n">
        <x:v>7</x:v>
      </x:c>
      <x:c r="L1022" s="19" t="str">
        <x:v>KZT</x:v>
      </x:c>
      <x:c r="M1022" s="22"/>
      <x:c r="N1022" s="22"/>
      <x:c r="O1022" s="28"/>
      <x:c r="P1022" s="22"/>
      <x:c r="Q1022" s="22"/>
      <x:c r="R1022" s="28"/>
      <x:c r="S1022" s="22"/>
      <x:c r="T1022" s="35" t="n">
        <x:f>K1022</x:f>
        <x:v>7</x:v>
      </x:c>
      <x:c r="U1022" s="20" t="str">
        <x:f>IF(J1022="Рассчитано",N1022*(1-O1022/100),"н/д")</x:f>
        <x:v>н/д</x:v>
      </x:c>
      <x:c r="V1022" s="20" t="str">
        <x:f>IF(J1022="Рассчитано",T1022*U1022,"н/д")</x:f>
        <x:v>н/д</x:v>
      </x:c>
      <x:c r="W1022" s="20" t="str">
        <x:f>IF(J1022="Рассчитано",T1022*M1022,"н/д")</x:f>
        <x:v>н/д</x:v>
      </x:c>
      <x:c r="X1022" s="20" t="str">
        <x:f>IF(J1022="Рассчитано",V1022-W1022,"н/д")</x:f>
        <x:v>н/д</x:v>
      </x:c>
      <x:c r="Y1022" s="26" t="str">
        <x:f>IF(J1022="Рассчитано",IF(V1022&gt;0,G1022/V1022,"н/д"),"н/д")</x:f>
        <x:v>н/д</x:v>
      </x:c>
      <x:c r="Z1022" s="20" t="str">
        <x:f>"н/д"</x:f>
        <x:v>н/д</x:v>
      </x:c>
      <x:c r="AA1022" s="20" t="str">
        <x:f>"н/д"</x:f>
        <x:v>н/д</x:v>
      </x:c>
      <x:c r="AB1022" s="20" t="str">
        <x:f>"н/д"</x:f>
        <x:v>н/д</x:v>
      </x:c>
      <x:c r="AC1022" s="20" t="str">
        <x:f>IF(AND(J1022="Рассчитано",T1022&gt;0,R1022&lt;100),(W1022+P1022+Q1022)/(T1022*(1-R1022/100)),"н/д")</x:f>
        <x:v>н/д</x:v>
      </x:c>
      <x:c r="AD1022" s="11" t="str">
        <x:f>IF(ISNUMBER(G1022),IF(G1022&lt;0,"Убыток",IF(G1022=0,"Без прибыли","Прибыль &gt; 0")),"Не оценён")</x:f>
        <x:v>Не оценён</x:v>
      </x:c>
      <x:c r="AE1022" s="12" t="str">
        <x:f>IF(J1022="Рассчитано","Выручка "&amp;TEXT(V1022,"0.00")&amp;" - себестоимость "&amp;TEXT(W1022,"0.00")&amp;" - комиссия "&amp;TEXT(V1022*R1022/100,"0.00")&amp;" - доставка "&amp;TEXT(P1022,"0.00")&amp;" - прочие "&amp;TEXT(Q1022,"0.00")&amp;" = "&amp;TEXT(G1022,"0.00")&amp;" "&amp;L1022,"Введите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2" s="23" t="n">
        <x:v>34.980276390186695</x:v>
      </x:c>
      <x:c r="AG1022" s="35" t="n">
        <x:v>42</x:v>
      </x:c>
      <x:c r="AH1022" s="35" t="n">
        <x:v>0</x:v>
      </x:c>
      <x:c r="AI1022" s="29" t="n">
        <x:v>46266</x:v>
      </x:c>
      <x:c r="AJ1022" s="35" t="n">
        <x:v>12</x:v>
      </x:c>
      <x:c r="AK1022" s="11" t="str">
        <x:v>минимум</x:v>
      </x:c>
      <x:c r="AL1022" s="31" t="n">
        <x:v>102.1045505560215</x:v>
      </x:c>
      <x:c r="AM1022" s="12" t="str">
        <x:v>Остаток на начало сентября; Резервы неизвестны; Нет ежедневных данных доступности. Запас выше прогноза на 90 дней</x:v>
      </x:c>
      <x:c r="AN1022" s="12" t="str">
        <x:v>Проверить свободный остаток и установить цену для B2B</x:v>
      </x:c>
      <x:c r="AO1022" s="12" t="str">
        <x:v>Остаток 42; прогноз 90 дней 34.98; избыток 7 шт. Будущие поступления не выставляются на продажу. Остаток на начало сентября: требуется актуализация.</x:v>
      </x:c>
      <x:c r="AP1022" s="12" t="str">
        <x:v>["category_missing", "daily_stockout_data_missing", "new_order_lead_time_unknown", "reservations_unknown", "stale_stock"]</x:v>
      </x:c>
      <x:c r="AQ1022" s="11" t="str">
        <x:v>IEK:280100116_</x:v>
      </x:c>
      <x:c r="AR1022" s="23" t="n">
        <x:v>1</x:v>
      </x:c>
      <x:c r="AS1022" s="23" t="n">
        <x:v>0</x:v>
      </x:c>
      <x:c r="AT1022" s="23" t="n">
        <x:v>0</x:v>
      </x:c>
    </x:row>
    <x:row r="1023" ht="64" customHeight="1">
      <x:c r="A1023" s="10" t="str">
        <x:v>IEK</x:v>
      </x:c>
      <x:c r="B1023" s="34" t="str">
        <x:v>280100117_</x:v>
      </x:c>
      <x:c r="C1023" s="34" t="str">
        <x:v>CKK-40D-X-080-040-K01</x:v>
      </x:c>
      <x:c r="D1023" s="13" t="str">
        <x:v>Внутренний изменяемый угол  80х40  ПРАЙМЕР (108)</x:v>
      </x:c>
      <x:c r="E1023" s="10" t="str">
        <x:v>шт</x:v>
      </x:c>
      <x:c r="F1023" s="37" t="n">
        <x:f>MAX(0,ROUNDDOWN((AG1023-AF1023)/AR1023+0.000000001,0)*AR1023)</x:f>
        <x:v>25</x:v>
      </x:c>
      <x:c r="G1023" s="21" t="str">
        <x:f>IF(J1023="Рассчитано",V1023*(1-R1023/100)-W1023-P1023-Q1023,"н/д")</x:f>
        <x:v>н/д</x:v>
      </x:c>
      <x:c r="H1023" s="13" t="str">
        <x:v>Высокий</x:v>
      </x:c>
      <x:c r="I1023" s="13" t="str">
        <x:v>Средний</x:v>
      </x:c>
      <x:c r="J1023" s="13" t="str">
        <x:f>IF(L1023="","Укажите валюту",IF(NOT(ISNUMBER(K1023)),"Укажите объём",IF(K1023&lt;=0,"Укажите объём",IF(K1023&gt;F1023,"Объём выше излишка",IF(COUNT(M1023:O1023)&lt;3,"Нужны цены",IF(COUNT(P1023:R1023)&lt;3,"Нужны расходы",IF(OR(M1023&lt;0,N1023&lt;0,O1023&lt;0,O1023&gt;100,P1023&lt;0,Q1023&lt;0,R1023&lt;0,R1023&gt;100),"Проверьте значения","Рассчитано")))))))</x:f>
        <x:v>Нужны цены</x:v>
      </x:c>
      <x:c r="K1023" s="36" t="n">
        <x:v>25</x:v>
      </x:c>
      <x:c r="L1023" s="19" t="str">
        <x:v>KZT</x:v>
      </x:c>
      <x:c r="M1023" s="22"/>
      <x:c r="N1023" s="22"/>
      <x:c r="O1023" s="28"/>
      <x:c r="P1023" s="22"/>
      <x:c r="Q1023" s="22"/>
      <x:c r="R1023" s="28"/>
      <x:c r="S1023" s="22"/>
      <x:c r="T1023" s="37" t="n">
        <x:f>K1023</x:f>
        <x:v>25</x:v>
      </x:c>
      <x:c r="U1023" s="21" t="str">
        <x:f>IF(J1023="Рассчитано",N1023*(1-O1023/100),"н/д")</x:f>
        <x:v>н/д</x:v>
      </x:c>
      <x:c r="V1023" s="21" t="str">
        <x:f>IF(J1023="Рассчитано",T1023*U1023,"н/д")</x:f>
        <x:v>н/д</x:v>
      </x:c>
      <x:c r="W1023" s="21" t="str">
        <x:f>IF(J1023="Рассчитано",T1023*M1023,"н/д")</x:f>
        <x:v>н/д</x:v>
      </x:c>
      <x:c r="X1023" s="21" t="str">
        <x:f>IF(J1023="Рассчитано",V1023-W1023,"н/д")</x:f>
        <x:v>н/д</x:v>
      </x:c>
      <x:c r="Y1023" s="27" t="str">
        <x:f>IF(J1023="Рассчитано",IF(V1023&gt;0,G1023/V1023,"н/д"),"н/д")</x:f>
        <x:v>н/д</x:v>
      </x:c>
      <x:c r="Z1023" s="21" t="str">
        <x:f>"н/д"</x:f>
        <x:v>н/д</x:v>
      </x:c>
      <x:c r="AA1023" s="21" t="str">
        <x:f>"н/д"</x:f>
        <x:v>н/д</x:v>
      </x:c>
      <x:c r="AB1023" s="21" t="str">
        <x:f>"н/д"</x:f>
        <x:v>н/д</x:v>
      </x:c>
      <x:c r="AC1023" s="21" t="str">
        <x:f>IF(AND(J1023="Рассчитано",T1023&gt;0,R1023&lt;100),(W1023+P1023+Q1023)/(T1023*(1-R1023/100)),"н/д")</x:f>
        <x:v>н/д</x:v>
      </x:c>
      <x:c r="AD1023" s="10" t="str">
        <x:f>IF(ISNUMBER(G1023),IF(G1023&lt;0,"Убыток",IF(G1023=0,"Без прибыли","Прибыль &gt; 0")),"Не оценён")</x:f>
        <x:v>Не оценён</x:v>
      </x:c>
      <x:c r="AE1023" s="13" t="str">
        <x:f>IF(J1023="Рассчитано","Выручка "&amp;TEXT(V1023,"0.00")&amp;" - себестоимость "&amp;TEXT(W1023,"0.00")&amp;" - комиссия "&amp;TEXT(V1023*R1023/100,"0.00")&amp;" - доставка "&amp;TEXT(P1023,"0.00")&amp;" - прочие "&amp;TEXT(Q1023,"0.00")&amp;" = "&amp;TEXT(G1023,"0.00")&amp;" "&amp;L1023,"Введите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3" s="24" t="n">
        <x:v>45.86293886080854</x:v>
      </x:c>
      <x:c r="AG1023" s="37" t="n">
        <x:v>71</x:v>
      </x:c>
      <x:c r="AH1023" s="37" t="n">
        <x:v>0</x:v>
      </x:c>
      <x:c r="AI1023" s="30" t="n">
        <x:v>46266</x:v>
      </x:c>
      <x:c r="AJ1023" s="37" t="n">
        <x:v>12</x:v>
      </x:c>
      <x:c r="AK1023" s="10" t="str">
        <x:v>минимум</x:v>
      </x:c>
      <x:c r="AL1023" s="32" t="n">
        <x:v>131.64837792893073</x:v>
      </x:c>
      <x:c r="AM1023" s="13" t="str">
        <x:v>Остаток на начало сентября; Резервы неизвестны; Нет ежедневных данных доступности. Запас выше прогноза на 90 дней</x:v>
      </x:c>
      <x:c r="AN1023" s="13" t="str">
        <x:v>Проверить свободный остаток и установить цену для B2B</x:v>
      </x:c>
      <x:c r="AO1023" s="13" t="str">
        <x:v>Остаток 71; прогноз 90 дней 45.86; избыток 25 шт. Будущие поступления не выставляются на продажу. Остаток на начало сентября: требуется актуализация.</x:v>
      </x:c>
      <x:c r="AP1023" s="13" t="str">
        <x:v>["category_missing", "daily_stockout_data_missing", "new_order_lead_time_unknown", "reservations_unknown", "stale_stock"]</x:v>
      </x:c>
      <x:c r="AQ1023" s="10" t="str">
        <x:v>IEK:280100117_</x:v>
      </x:c>
      <x:c r="AR1023" s="24" t="n">
        <x:v>1</x:v>
      </x:c>
      <x:c r="AS1023" s="24" t="n">
        <x:v>0</x:v>
      </x:c>
      <x:c r="AT1023" s="24" t="n">
        <x:v>0</x:v>
      </x:c>
    </x:row>
    <x:row r="1024" ht="64" customHeight="1">
      <x:c r="A1024" s="11" t="str">
        <x:v>IEK</x:v>
      </x:c>
      <x:c r="B1024" s="33" t="str">
        <x:v>280100118_</x:v>
      </x:c>
      <x:c r="C1024" s="33" t="str">
        <x:v>CKK-40D-Z-080-040-K01</x:v>
      </x:c>
      <x:c r="D1024" s="12" t="str">
        <x:v>Заглушка  80х40  ПРАЙМЕР (216)</x:v>
      </x:c>
      <x:c r="E1024" s="11" t="str">
        <x:v>шт</x:v>
      </x:c>
      <x:c r="F1024" s="35" t="n">
        <x:f>MAX(0,ROUNDDOWN((AG1024-AF1024)/AR1024+0.000000001,0)*AR1024)</x:f>
        <x:v>58</x:v>
      </x:c>
      <x:c r="G1024" s="20" t="str">
        <x:f>IF(J1024="Рассчитано",V1024*(1-R1024/100)-W1024-P1024-Q1024,"н/д")</x:f>
        <x:v>н/д</x:v>
      </x:c>
      <x:c r="H1024" s="12" t="str">
        <x:v>Высокий</x:v>
      </x:c>
      <x:c r="I1024" s="12" t="str">
        <x:v>Средний</x:v>
      </x:c>
      <x:c r="J1024" s="12" t="str">
        <x:f>IF(L1024="","Укажите валюту",IF(NOT(ISNUMBER(K1024)),"Укажите объём",IF(K1024&lt;=0,"Укажите объём",IF(K1024&gt;F1024,"Объём выше излишка",IF(COUNT(M1024:O1024)&lt;3,"Нужны цены",IF(COUNT(P1024:R1024)&lt;3,"Нужны расходы",IF(OR(M1024&lt;0,N1024&lt;0,O1024&lt;0,O1024&gt;100,P1024&lt;0,Q1024&lt;0,R1024&lt;0,R1024&gt;100),"Проверьте значения","Рассчитано")))))))</x:f>
        <x:v>Нужны цены</x:v>
      </x:c>
      <x:c r="K1024" s="36" t="n">
        <x:v>58</x:v>
      </x:c>
      <x:c r="L1024" s="19" t="str">
        <x:v>KZT</x:v>
      </x:c>
      <x:c r="M1024" s="22"/>
      <x:c r="N1024" s="22"/>
      <x:c r="O1024" s="28"/>
      <x:c r="P1024" s="22"/>
      <x:c r="Q1024" s="22"/>
      <x:c r="R1024" s="28"/>
      <x:c r="S1024" s="22"/>
      <x:c r="T1024" s="35" t="n">
        <x:f>K1024</x:f>
        <x:v>58</x:v>
      </x:c>
      <x:c r="U1024" s="20" t="str">
        <x:f>IF(J1024="Рассчитано",N1024*(1-O1024/100),"н/д")</x:f>
        <x:v>н/д</x:v>
      </x:c>
      <x:c r="V1024" s="20" t="str">
        <x:f>IF(J1024="Рассчитано",T1024*U1024,"н/д")</x:f>
        <x:v>н/д</x:v>
      </x:c>
      <x:c r="W1024" s="20" t="str">
        <x:f>IF(J1024="Рассчитано",T1024*M1024,"н/д")</x:f>
        <x:v>н/д</x:v>
      </x:c>
      <x:c r="X1024" s="20" t="str">
        <x:f>IF(J1024="Рассчитано",V1024-W1024,"н/д")</x:f>
        <x:v>н/д</x:v>
      </x:c>
      <x:c r="Y1024" s="26" t="str">
        <x:f>IF(J1024="Рассчитано",IF(V1024&gt;0,G1024/V1024,"н/д"),"н/д")</x:f>
        <x:v>н/д</x:v>
      </x:c>
      <x:c r="Z1024" s="20" t="str">
        <x:f>"н/д"</x:f>
        <x:v>н/д</x:v>
      </x:c>
      <x:c r="AA1024" s="20" t="str">
        <x:f>"н/д"</x:f>
        <x:v>н/д</x:v>
      </x:c>
      <x:c r="AB1024" s="20" t="str">
        <x:f>"н/д"</x:f>
        <x:v>н/д</x:v>
      </x:c>
      <x:c r="AC1024" s="20" t="str">
        <x:f>IF(AND(J1024="Рассчитано",T1024&gt;0,R1024&lt;100),(W1024+P1024+Q1024)/(T1024*(1-R1024/100)),"н/д")</x:f>
        <x:v>н/д</x:v>
      </x:c>
      <x:c r="AD1024" s="11" t="str">
        <x:f>IF(ISNUMBER(G1024),IF(G1024&lt;0,"Убыток",IF(G1024=0,"Без прибыли","Прибыль &gt; 0")),"Не оценён")</x:f>
        <x:v>Не оценён</x:v>
      </x:c>
      <x:c r="AE1024" s="12" t="str">
        <x:f>IF(J1024="Рассчитано","Выручка "&amp;TEXT(V1024,"0.00")&amp;" - себестоимость "&amp;TEXT(W1024,"0.00")&amp;" - комиссия "&amp;TEXT(V1024*R1024/100,"0.00")&amp;" - доставка "&amp;TEXT(P1024,"0.00")&amp;" - прочие "&amp;TEXT(Q1024,"0.00")&amp;" = "&amp;TEXT(G1024,"0.00")&amp;" "&amp;L1024,"Введите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4" s="23" t="n">
        <x:v>171.55008722342302</x:v>
      </x:c>
      <x:c r="AG1024" s="35" t="n">
        <x:v>230</x:v>
      </x:c>
      <x:c r="AH1024" s="35" t="n">
        <x:v>0</x:v>
      </x:c>
      <x:c r="AI1024" s="29" t="n">
        <x:v>46266</x:v>
      </x:c>
      <x:c r="AJ1024" s="35" t="n">
        <x:v>12</x:v>
      </x:c>
      <x:c r="AK1024" s="11" t="str">
        <x:v>минимум</x:v>
      </x:c>
      <x:c r="AL1024" s="31" t="n">
        <x:v>114.01341051873933</x:v>
      </x:c>
      <x:c r="AM102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24" s="12" t="str">
        <x:v>Проверить свободный остаток и установить цену для B2B</x:v>
      </x:c>
      <x:c r="AO1024" s="12" t="str">
        <x:v>Остаток 230; прогноз 90 дней 171.55; избыток 58 шт. Будущие поступления не выставляются на продажу. Остаток на начало сентября: требуется актуализация.</x:v>
      </x:c>
      <x:c r="AP1024" s="12" t="str">
        <x:v>["category_missing", "daily_stockout_data_missing", "large_orders_detected", "new_order_lead_time_unknown", "reservations_unknown", "stale_stock", "transaction_month_mismatch"]</x:v>
      </x:c>
      <x:c r="AQ1024" s="11" t="str">
        <x:v>IEK:280100118_</x:v>
      </x:c>
      <x:c r="AR1024" s="23" t="n">
        <x:v>1</x:v>
      </x:c>
      <x:c r="AS1024" s="23" t="n">
        <x:v>0</x:v>
      </x:c>
      <x:c r="AT1024" s="23" t="n">
        <x:v>0</x:v>
      </x:c>
    </x:row>
    <x:row r="1025" ht="64" customHeight="1">
      <x:c r="A1025" s="10" t="str">
        <x:v>IEK</x:v>
      </x:c>
      <x:c r="B1025" s="34" t="str">
        <x:v>280100119_</x:v>
      </x:c>
      <x:c r="C1025" s="34" t="str">
        <x:v>CKK-40D-VD2-K01</x:v>
      </x:c>
      <x:c r="D1025" s="13" t="str">
        <x:v>Выключатель 2-кл  на 2 модуля ВК1-22-00-П ПРАЙМЕР (100)</x:v>
      </x:c>
      <x:c r="E1025" s="10" t="str">
        <x:v>шт</x:v>
      </x:c>
      <x:c r="F1025" s="37" t="n">
        <x:f>MAX(0,ROUNDDOWN((AG1025-AF1025)/AR1025+0.000000001,0)*AR1025)</x:f>
        <x:v>10</x:v>
      </x:c>
      <x:c r="G1025" s="21" t="str">
        <x:f>IF(J1025="Рассчитано",V1025*(1-R1025/100)-W1025-P1025-Q1025,"н/д")</x:f>
        <x:v>н/д</x:v>
      </x:c>
      <x:c r="H1025" s="13" t="str">
        <x:v>Высокий</x:v>
      </x:c>
      <x:c r="I1025" s="13" t="str">
        <x:v>Средний</x:v>
      </x:c>
      <x:c r="J1025" s="13" t="str">
        <x:f>IF(L1025="","Укажите валюту",IF(NOT(ISNUMBER(K1025)),"Укажите объём",IF(K1025&lt;=0,"Укажите объём",IF(K1025&gt;F1025,"Объём выше излишка",IF(COUNT(M1025:O1025)&lt;3,"Нужны цены",IF(COUNT(P1025:R1025)&lt;3,"Нужны расходы",IF(OR(M1025&lt;0,N1025&lt;0,O1025&lt;0,O1025&gt;100,P1025&lt;0,Q1025&lt;0,R1025&lt;0,R1025&gt;100),"Проверьте значения","Рассчитано")))))))</x:f>
        <x:v>Нужны цены</x:v>
      </x:c>
      <x:c r="K1025" s="36" t="n">
        <x:v>10</x:v>
      </x:c>
      <x:c r="L1025" s="19" t="str">
        <x:v>KZT</x:v>
      </x:c>
      <x:c r="M1025" s="22"/>
      <x:c r="N1025" s="22"/>
      <x:c r="O1025" s="28"/>
      <x:c r="P1025" s="22"/>
      <x:c r="Q1025" s="22"/>
      <x:c r="R1025" s="28"/>
      <x:c r="S1025" s="22"/>
      <x:c r="T1025" s="37" t="n">
        <x:f>K1025</x:f>
        <x:v>10</x:v>
      </x:c>
      <x:c r="U1025" s="21" t="str">
        <x:f>IF(J1025="Рассчитано",N1025*(1-O1025/100),"н/д")</x:f>
        <x:v>н/д</x:v>
      </x:c>
      <x:c r="V1025" s="21" t="str">
        <x:f>IF(J1025="Рассчитано",T1025*U1025,"н/д")</x:f>
        <x:v>н/д</x:v>
      </x:c>
      <x:c r="W1025" s="21" t="str">
        <x:f>IF(J1025="Рассчитано",T1025*M1025,"н/д")</x:f>
        <x:v>н/д</x:v>
      </x:c>
      <x:c r="X1025" s="21" t="str">
        <x:f>IF(J1025="Рассчитано",V1025-W1025,"н/д")</x:f>
        <x:v>н/д</x:v>
      </x:c>
      <x:c r="Y1025" s="27" t="str">
        <x:f>IF(J1025="Рассчитано",IF(V1025&gt;0,G1025/V1025,"н/д"),"н/д")</x:f>
        <x:v>н/д</x:v>
      </x:c>
      <x:c r="Z1025" s="21" t="str">
        <x:f>"н/д"</x:f>
        <x:v>н/д</x:v>
      </x:c>
      <x:c r="AA1025" s="21" t="str">
        <x:f>"н/д"</x:f>
        <x:v>н/д</x:v>
      </x:c>
      <x:c r="AB1025" s="21" t="str">
        <x:f>"н/д"</x:f>
        <x:v>н/д</x:v>
      </x:c>
      <x:c r="AC1025" s="21" t="str">
        <x:f>IF(AND(J1025="Рассчитано",T1025&gt;0,R1025&lt;100),(W1025+P1025+Q1025)/(T1025*(1-R1025/100)),"н/д")</x:f>
        <x:v>н/д</x:v>
      </x:c>
      <x:c r="AD1025" s="10" t="str">
        <x:f>IF(ISNUMBER(G1025),IF(G1025&lt;0,"Убыток",IF(G1025=0,"Без прибыли","Прибыль &gt; 0")),"Не оценён")</x:f>
        <x:v>Не оценён</x:v>
      </x:c>
      <x:c r="AE1025" s="13" t="str">
        <x:f>IF(J1025="Рассчитано","Выручка "&amp;TEXT(V1025,"0.00")&amp;" - себестоимость "&amp;TEXT(W1025,"0.00")&amp;" - комиссия "&amp;TEXT(V1025*R1025/100,"0.00")&amp;" - доставка "&amp;TEXT(P1025,"0.00")&amp;" - прочие "&amp;TEXT(Q1025,"0.00")&amp;" = "&amp;TEXT(G1025,"0.00")&amp;" "&amp;L1025,"Введите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5" s="24" t="n">
        <x:v>9.708293936942255</x:v>
      </x:c>
      <x:c r="AG1025" s="37" t="n">
        <x:v>20</x:v>
      </x:c>
      <x:c r="AH1025" s="37" t="n">
        <x:v>0</x:v>
      </x:c>
      <x:c r="AI1025" s="30" t="n">
        <x:v>46266</x:v>
      </x:c>
      <x:c r="AJ1025" s="37" t="n">
        <x:v>10</x:v>
      </x:c>
      <x:c r="AK1025" s="10" t="str">
        <x:v>минимум</x:v>
      </x:c>
      <x:c r="AL1025" s="32" t="n">
        <x:v>175.18871332590342</x:v>
      </x:c>
      <x:c r="AM1025" s="13" t="str">
        <x:v>Остаток на начало сентября; Резервы неизвестны; Нет ежедневных данных доступности. Запас выше прогноза на 90 дней</x:v>
      </x:c>
      <x:c r="AN1025" s="13" t="str">
        <x:v>Проверить свободный остаток и установить цену для B2B</x:v>
      </x:c>
      <x:c r="AO1025" s="13" t="str">
        <x:v>Остаток 20; прогноз 90 дней 9.71; избыток 10 шт. Будущие поступления не выставляются на продажу. Остаток на начало сентября: требуется актуализация.</x:v>
      </x:c>
      <x:c r="AP1025" s="13" t="str">
        <x:v>["category_missing", "daily_stockout_data_missing", "new_order_lead_time_unknown", "reservations_unknown", "stale_stock"]</x:v>
      </x:c>
      <x:c r="AQ1025" s="10" t="str">
        <x:v>IEK:280100119_</x:v>
      </x:c>
      <x:c r="AR1025" s="24" t="n">
        <x:v>1</x:v>
      </x:c>
      <x:c r="AS1025" s="24" t="n">
        <x:v>0</x:v>
      </x:c>
      <x:c r="AT1025" s="24" t="n">
        <x:v>0</x:v>
      </x:c>
    </x:row>
    <x:row r="1026" ht="64" customHeight="1">
      <x:c r="A1026" s="11" t="str">
        <x:v>IEK</x:v>
      </x:c>
      <x:c r="B1026" s="33" t="str">
        <x:v>280100120_</x:v>
      </x:c>
      <x:c r="C1026" s="33" t="str">
        <x:v>CKK-40D-VO2-K01</x:v>
      </x:c>
      <x:c r="D1026" s="12" t="str">
        <x:v>Выключатель 1-кл  на 2 модуля ВК0-21-00-П ПРАЙМЕР (100)</x:v>
      </x:c>
      <x:c r="E1026" s="11" t="str">
        <x:v>шт</x:v>
      </x:c>
      <x:c r="F1026" s="35" t="n">
        <x:f>MAX(0,ROUNDDOWN((AG1026-AF1026)/AR1026+0.000000001,0)*AR1026)</x:f>
        <x:v>17</x:v>
      </x:c>
      <x:c r="G1026" s="20" t="str">
        <x:f>IF(J1026="Рассчитано",V1026*(1-R1026/100)-W1026-P1026-Q1026,"н/д")</x:f>
        <x:v>н/д</x:v>
      </x:c>
      <x:c r="H1026" s="12" t="str">
        <x:v>Высокий</x:v>
      </x:c>
      <x:c r="I1026" s="12" t="str">
        <x:v>Средний</x:v>
      </x:c>
      <x:c r="J1026" s="12" t="str">
        <x:f>IF(L1026="","Укажите валюту",IF(NOT(ISNUMBER(K1026)),"Укажите объём",IF(K1026&lt;=0,"Укажите объём",IF(K1026&gt;F1026,"Объём выше излишка",IF(COUNT(M1026:O1026)&lt;3,"Нужны цены",IF(COUNT(P1026:R1026)&lt;3,"Нужны расходы",IF(OR(M1026&lt;0,N1026&lt;0,O1026&lt;0,O1026&gt;100,P1026&lt;0,Q1026&lt;0,R1026&lt;0,R1026&gt;100),"Проверьте значения","Рассчитано")))))))</x:f>
        <x:v>Нужны цены</x:v>
      </x:c>
      <x:c r="K1026" s="36" t="n">
        <x:v>17</x:v>
      </x:c>
      <x:c r="L1026" s="19" t="str">
        <x:v>KZT</x:v>
      </x:c>
      <x:c r="M1026" s="22"/>
      <x:c r="N1026" s="22"/>
      <x:c r="O1026" s="28"/>
      <x:c r="P1026" s="22"/>
      <x:c r="Q1026" s="22"/>
      <x:c r="R1026" s="28"/>
      <x:c r="S1026" s="22"/>
      <x:c r="T1026" s="35" t="n">
        <x:f>K1026</x:f>
        <x:v>17</x:v>
      </x:c>
      <x:c r="U1026" s="20" t="str">
        <x:f>IF(J1026="Рассчитано",N1026*(1-O1026/100),"н/д")</x:f>
        <x:v>н/д</x:v>
      </x:c>
      <x:c r="V1026" s="20" t="str">
        <x:f>IF(J1026="Рассчитано",T1026*U1026,"н/д")</x:f>
        <x:v>н/д</x:v>
      </x:c>
      <x:c r="W1026" s="20" t="str">
        <x:f>IF(J1026="Рассчитано",T1026*M1026,"н/д")</x:f>
        <x:v>н/д</x:v>
      </x:c>
      <x:c r="X1026" s="20" t="str">
        <x:f>IF(J1026="Рассчитано",V1026-W1026,"н/д")</x:f>
        <x:v>н/д</x:v>
      </x:c>
      <x:c r="Y1026" s="26" t="str">
        <x:f>IF(J1026="Рассчитано",IF(V1026&gt;0,G1026/V1026,"н/д"),"н/д")</x:f>
        <x:v>н/д</x:v>
      </x:c>
      <x:c r="Z1026" s="20" t="str">
        <x:f>"н/д"</x:f>
        <x:v>н/д</x:v>
      </x:c>
      <x:c r="AA1026" s="20" t="str">
        <x:f>"н/д"</x:f>
        <x:v>н/д</x:v>
      </x:c>
      <x:c r="AB1026" s="20" t="str">
        <x:f>"н/д"</x:f>
        <x:v>н/д</x:v>
      </x:c>
      <x:c r="AC1026" s="20" t="str">
        <x:f>IF(AND(J1026="Рассчитано",T1026&gt;0,R1026&lt;100),(W1026+P1026+Q1026)/(T1026*(1-R1026/100)),"н/д")</x:f>
        <x:v>н/д</x:v>
      </x:c>
      <x:c r="AD1026" s="11" t="str">
        <x:f>IF(ISNUMBER(G1026),IF(G1026&lt;0,"Убыток",IF(G1026=0,"Без прибыли","Прибыль &gt; 0")),"Не оценён")</x:f>
        <x:v>Не оценён</x:v>
      </x:c>
      <x:c r="AE1026" s="12" t="str">
        <x:f>IF(J1026="Рассчитано","Выручка "&amp;TEXT(V1026,"0.00")&amp;" - себестоимость "&amp;TEXT(W1026,"0.00")&amp;" - комиссия "&amp;TEXT(V1026*R1026/100,"0.00")&amp;" - доставка "&amp;TEXT(P1026,"0.00")&amp;" - прочие "&amp;TEXT(Q1026,"0.00")&amp;" = "&amp;TEXT(G1026,"0.00")&amp;" "&amp;L1026,"Введите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6" s="23" t="n">
        <x:v>29.969104937317308</x:v>
      </x:c>
      <x:c r="AG1026" s="35" t="n">
        <x:v>47</x:v>
      </x:c>
      <x:c r="AH1026" s="35" t="n">
        <x:v>0</x:v>
      </x:c>
      <x:c r="AI1026" s="29" t="n">
        <x:v>46266</x:v>
      </x:c>
      <x:c r="AJ1026" s="35" t="n">
        <x:v>10</x:v>
      </x:c>
      <x:c r="AK1026" s="11" t="str">
        <x:v>минимум</x:v>
      </x:c>
      <x:c r="AL1026" s="31" t="n">
        <x:v>133.36538706630617</x:v>
      </x:c>
      <x:c r="AM1026" s="12" t="str">
        <x:v>Остаток на начало сентября; Резервы неизвестны; Нет ежедневных данных доступности. Запас выше прогноза на 90 дней</x:v>
      </x:c>
      <x:c r="AN1026" s="12" t="str">
        <x:v>Проверить свободный остаток и установить цену для B2B</x:v>
      </x:c>
      <x:c r="AO1026" s="12" t="str">
        <x:v>Остаток 47; прогноз 90 дней 29.97; избыток 17 шт. Будущие поступления не выставляются на продажу. Остаток на начало сентября: требуется актуализация.</x:v>
      </x:c>
      <x:c r="AP1026" s="12" t="str">
        <x:v>["category_missing", "daily_stockout_data_missing", "new_order_lead_time_unknown", "reservations_unknown", "stale_stock"]</x:v>
      </x:c>
      <x:c r="AQ1026" s="11" t="str">
        <x:v>IEK:280100120_</x:v>
      </x:c>
      <x:c r="AR1026" s="23" t="n">
        <x:v>1</x:v>
      </x:c>
      <x:c r="AS1026" s="23" t="n">
        <x:v>0</x:v>
      </x:c>
      <x:c r="AT1026" s="23" t="n">
        <x:v>0</x:v>
      </x:c>
    </x:row>
    <x:row r="1027" ht="64" customHeight="1">
      <x:c r="A1027" s="10" t="str">
        <x:v>IEK</x:v>
      </x:c>
      <x:c r="B1027" s="34" t="str">
        <x:v>280100122_</x:v>
      </x:c>
      <x:c r="C1027" s="34" t="str">
        <x:v>CKK40-100-040-1-K01</x:v>
      </x:c>
      <x:c r="D1027" s="13" t="str">
        <x:v>Кабель-канал 100х40 парапетный  ПРАЙМЕР (16)</x:v>
      </x:c>
      <x:c r="E1027" s="10" t="str">
        <x:v>м</x:v>
      </x:c>
      <x:c r="F1027" s="24" t="n">
        <x:f>MAX(0,ROUNDDOWN((AG1027-AF1027)/AR1027+0.000000001,0)*AR1027)</x:f>
        <x:v>212.96200000000002</x:v>
      </x:c>
      <x:c r="G1027" s="21" t="str">
        <x:f>IF(J1027="Рассчитано",V1027*(1-R1027/100)-W1027-P1027-Q1027,"н/д")</x:f>
        <x:v>н/д</x:v>
      </x:c>
      <x:c r="H1027" s="13" t="str">
        <x:v>Высокий</x:v>
      </x:c>
      <x:c r="I1027" s="13" t="str">
        <x:v>Средний</x:v>
      </x:c>
      <x:c r="J1027" s="13" t="str">
        <x:f>IF(L1027="","Укажите валюту",IF(NOT(ISNUMBER(K1027)),"Укажите объём",IF(K1027&lt;=0,"Укажите объём",IF(K1027&gt;F1027,"Объём выше излишка",IF(COUNT(M1027:O1027)&lt;3,"Нужны цены",IF(COUNT(P1027:R1027)&lt;3,"Нужны расходы",IF(OR(M1027&lt;0,N1027&lt;0,O1027&lt;0,O1027&gt;100,P1027&lt;0,Q1027&lt;0,R1027&lt;0,R1027&gt;100),"Проверьте значения","Рассчитано")))))))</x:f>
        <x:v>Нужны цены</x:v>
      </x:c>
      <x:c r="K1027" s="25" t="n">
        <x:v>212.96200000000002</x:v>
      </x:c>
      <x:c r="L1027" s="19" t="str">
        <x:v>KZT</x:v>
      </x:c>
      <x:c r="M1027" s="22"/>
      <x:c r="N1027" s="22"/>
      <x:c r="O1027" s="28"/>
      <x:c r="P1027" s="22"/>
      <x:c r="Q1027" s="22"/>
      <x:c r="R1027" s="28"/>
      <x:c r="S1027" s="22"/>
      <x:c r="T1027" s="24" t="n">
        <x:f>K1027</x:f>
        <x:v>212.96200000000002</x:v>
      </x:c>
      <x:c r="U1027" s="21" t="str">
        <x:f>IF(J1027="Рассчитано",N1027*(1-O1027/100),"н/д")</x:f>
        <x:v>н/д</x:v>
      </x:c>
      <x:c r="V1027" s="21" t="str">
        <x:f>IF(J1027="Рассчитано",T1027*U1027,"н/д")</x:f>
        <x:v>н/д</x:v>
      </x:c>
      <x:c r="W1027" s="21" t="str">
        <x:f>IF(J1027="Рассчитано",T1027*M1027,"н/д")</x:f>
        <x:v>н/д</x:v>
      </x:c>
      <x:c r="X1027" s="21" t="str">
        <x:f>IF(J1027="Рассчитано",V1027-W1027,"н/д")</x:f>
        <x:v>н/д</x:v>
      </x:c>
      <x:c r="Y1027" s="27" t="str">
        <x:f>IF(J1027="Рассчитано",IF(V1027&gt;0,G1027/V1027,"н/д"),"н/д")</x:f>
        <x:v>н/д</x:v>
      </x:c>
      <x:c r="Z1027" s="21" t="str">
        <x:f>"н/д"</x:f>
        <x:v>н/д</x:v>
      </x:c>
      <x:c r="AA1027" s="21" t="str">
        <x:f>"н/д"</x:f>
        <x:v>н/д</x:v>
      </x:c>
      <x:c r="AB1027" s="21" t="str">
        <x:f>"н/д"</x:f>
        <x:v>н/д</x:v>
      </x:c>
      <x:c r="AC1027" s="21" t="str">
        <x:f>IF(AND(J1027="Рассчитано",T1027&gt;0,R1027&lt;100),(W1027+P1027+Q1027)/(T1027*(1-R1027/100)),"н/д")</x:f>
        <x:v>н/д</x:v>
      </x:c>
      <x:c r="AD1027" s="10" t="str">
        <x:f>IF(ISNUMBER(G1027),IF(G1027&lt;0,"Убыток",IF(G1027=0,"Без прибыли","Прибыль &gt; 0")),"Не оценён")</x:f>
        <x:v>Не оценён</x:v>
      </x:c>
      <x:c r="AE1027" s="13" t="str">
        <x:f>IF(J1027="Рассчитано","Выручка "&amp;TEXT(V1027,"0.00")&amp;" - себестоимость "&amp;TEXT(W1027,"0.00")&amp;" - комиссия "&amp;TEXT(V1027*R1027/100,"0.00")&amp;" - доставка "&amp;TEXT(P1027,"0.00")&amp;" - прочие "&amp;TEXT(Q1027,"0.00")&amp;" = "&amp;TEXT(G1027,"0.00")&amp;" "&amp;L1027,"Введите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7" s="24" t="n">
        <x:v>585.037878057004</x:v>
      </x:c>
      <x:c r="AG1027" s="24" t="n">
        <x:v>798</x:v>
      </x:c>
      <x:c r="AH1027" s="24" t="n">
        <x:v>0</x:v>
      </x:c>
      <x:c r="AI1027" s="30" t="n">
        <x:v>46266</x:v>
      </x:c>
      <x:c r="AJ1027" s="24" t="n">
        <x:v>16</x:v>
      </x:c>
      <x:c r="AK1027" s="10" t="str">
        <x:v>минимум</x:v>
      </x:c>
      <x:c r="AL1027" s="32" t="n">
        <x:v>115.99464774680919</x:v>
      </x:c>
      <x:c r="AM102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27" s="13" t="str">
        <x:v>Проверить свободный остаток и установить цену для B2B</x:v>
      </x:c>
      <x:c r="AO1027" s="13" t="str">
        <x:v>Остаток 798; прогноз 90 дней 585.04; избыток 212.962 м. Будущие поступления не выставляются на продажу. Остаток на начало сентября: требуется актуализация.</x:v>
      </x:c>
      <x:c r="AP1027" s="13" t="str">
        <x:v>["category_missing", "daily_stockout_data_missing", "large_orders_detected", "new_order_lead_time_unknown", "reservations_unknown", "stale_stock", "transaction_month_mismatch"]</x:v>
      </x:c>
      <x:c r="AQ1027" s="10" t="str">
        <x:v>IEK:280100122_</x:v>
      </x:c>
      <x:c r="AR1027" s="24" t="n">
        <x:v>0.001</x:v>
      </x:c>
      <x:c r="AS1027" s="24" t="n">
        <x:v>0</x:v>
      </x:c>
      <x:c r="AT1027" s="24" t="n">
        <x:v>0</x:v>
      </x:c>
    </x:row>
    <x:row r="1028" ht="64" customHeight="1">
      <x:c r="A1028" s="11" t="str">
        <x:v>IEK</x:v>
      </x:c>
      <x:c r="B1028" s="33" t="str">
        <x:v>280100124_</x:v>
      </x:c>
      <x:c r="C1028" s="33" t="str">
        <x:v>CKK-40D-P-100-040-K01</x:v>
      </x:c>
      <x:c r="D1028" s="12" t="str">
        <x:v>Плоский изменяемый угол 100х40  ПРАЙМЕР (96)</x:v>
      </x:c>
      <x:c r="E1028" s="11" t="str">
        <x:v>шт</x:v>
      </x:c>
      <x:c r="F1028" s="35" t="n">
        <x:f>MAX(0,ROUNDDOWN((AG1028-AF1028)/AR1028+0.000000001,0)*AR1028)</x:f>
        <x:v>34</x:v>
      </x:c>
      <x:c r="G1028" s="20" t="str">
        <x:f>IF(J1028="Рассчитано",V1028*(1-R1028/100)-W1028-P1028-Q1028,"н/д")</x:f>
        <x:v>н/д</x:v>
      </x:c>
      <x:c r="H1028" s="12" t="str">
        <x:v>Высокий</x:v>
      </x:c>
      <x:c r="I1028" s="12" t="str">
        <x:v>Высокий</x:v>
      </x:c>
      <x:c r="J1028" s="12" t="str">
        <x:f>IF(L1028="","Укажите валюту",IF(NOT(ISNUMBER(K1028)),"Укажите объём",IF(K1028&lt;=0,"Укажите объём",IF(K1028&gt;F1028,"Объём выше излишка",IF(COUNT(M1028:O1028)&lt;3,"Нужны цены",IF(COUNT(P1028:R1028)&lt;3,"Нужны расходы",IF(OR(M1028&lt;0,N1028&lt;0,O1028&lt;0,O1028&gt;100,P1028&lt;0,Q1028&lt;0,R1028&lt;0,R1028&gt;100),"Проверьте значения","Рассчитано")))))))</x:f>
        <x:v>Нужны цены</x:v>
      </x:c>
      <x:c r="K1028" s="36" t="n">
        <x:v>34</x:v>
      </x:c>
      <x:c r="L1028" s="19" t="str">
        <x:v>KZT</x:v>
      </x:c>
      <x:c r="M1028" s="22"/>
      <x:c r="N1028" s="22"/>
      <x:c r="O1028" s="28"/>
      <x:c r="P1028" s="22"/>
      <x:c r="Q1028" s="22"/>
      <x:c r="R1028" s="28"/>
      <x:c r="S1028" s="22"/>
      <x:c r="T1028" s="35" t="n">
        <x:f>K1028</x:f>
        <x:v>34</x:v>
      </x:c>
      <x:c r="U1028" s="20" t="str">
        <x:f>IF(J1028="Рассчитано",N1028*(1-O1028/100),"н/д")</x:f>
        <x:v>н/д</x:v>
      </x:c>
      <x:c r="V1028" s="20" t="str">
        <x:f>IF(J1028="Рассчитано",T1028*U1028,"н/д")</x:f>
        <x:v>н/д</x:v>
      </x:c>
      <x:c r="W1028" s="20" t="str">
        <x:f>IF(J1028="Рассчитано",T1028*M1028,"н/д")</x:f>
        <x:v>н/д</x:v>
      </x:c>
      <x:c r="X1028" s="20" t="str">
        <x:f>IF(J1028="Рассчитано",V1028-W1028,"н/д")</x:f>
        <x:v>н/д</x:v>
      </x:c>
      <x:c r="Y1028" s="26" t="str">
        <x:f>IF(J1028="Рассчитано",IF(V1028&gt;0,G1028/V1028,"н/д"),"н/д")</x:f>
        <x:v>н/д</x:v>
      </x:c>
      <x:c r="Z1028" s="20" t="str">
        <x:f>"н/д"</x:f>
        <x:v>н/д</x:v>
      </x:c>
      <x:c r="AA1028" s="20" t="str">
        <x:f>"н/д"</x:f>
        <x:v>н/д</x:v>
      </x:c>
      <x:c r="AB1028" s="20" t="str">
        <x:f>"н/д"</x:f>
        <x:v>н/д</x:v>
      </x:c>
      <x:c r="AC1028" s="20" t="str">
        <x:f>IF(AND(J1028="Рассчитано",T1028&gt;0,R1028&lt;100),(W1028+P1028+Q1028)/(T1028*(1-R1028/100)),"н/д")</x:f>
        <x:v>н/д</x:v>
      </x:c>
      <x:c r="AD1028" s="11" t="str">
        <x:f>IF(ISNUMBER(G1028),IF(G1028&lt;0,"Убыток",IF(G1028=0,"Без прибыли","Прибыль &gt; 0")),"Не оценён")</x:f>
        <x:v>Не оценён</x:v>
      </x:c>
      <x:c r="AE1028" s="12" t="str">
        <x:f>IF(J1028="Рассчитано","Выручка "&amp;TEXT(V1028,"0.00")&amp;" - себестоимость "&amp;TEXT(W1028,"0.00")&amp;" - комиссия "&amp;TEXT(V1028*R1028/100,"0.00")&amp;" - доставка "&amp;TEXT(P1028,"0.00")&amp;" - прочие "&amp;TEXT(Q1028,"0.00")&amp;" = "&amp;TEXT(G1028,"0.00")&amp;" "&amp;L1028,"Введите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8" s="23" t="n">
        <x:v>23.921602380978083</x:v>
      </x:c>
      <x:c r="AG1028" s="35" t="n">
        <x:v>58</x:v>
      </x:c>
      <x:c r="AH1028" s="35" t="n">
        <x:v>0</x:v>
      </x:c>
      <x:c r="AI1028" s="29" t="n">
        <x:v>46266</x:v>
      </x:c>
      <x:c r="AJ1028" s="35" t="n">
        <x:v>12</x:v>
      </x:c>
      <x:c r="AK1028" s="11" t="str">
        <x:v>минимум</x:v>
      </x:c>
      <x:c r="AL1028" s="31" t="n">
        <x:v>206.18485916267545</x:v>
      </x:c>
      <x:c r="AM102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28" s="12" t="str">
        <x:v>Проверить свободный остаток и установить цену для B2B</x:v>
      </x:c>
      <x:c r="AO1028" s="12" t="str">
        <x:v>Остаток 58; прогноз 90 дней 23.92; избыток 34 шт. Будущие поступления не выставляются на продажу. Остаток на начало сентября: требуется актуализация.</x:v>
      </x:c>
      <x:c r="AP1028" s="12" t="str">
        <x:v>["category_missing", "daily_stockout_data_missing", "new_order_lead_time_unknown", "reservations_unknown", "stale_stock"]</x:v>
      </x:c>
      <x:c r="AQ1028" s="11" t="str">
        <x:v>IEK:280100124_</x:v>
      </x:c>
      <x:c r="AR1028" s="23" t="n">
        <x:v>1</x:v>
      </x:c>
      <x:c r="AS1028" s="23" t="n">
        <x:v>0</x:v>
      </x:c>
      <x:c r="AT1028" s="23" t="n">
        <x:v>0</x:v>
      </x:c>
    </x:row>
    <x:row r="1029" ht="64" customHeight="1">
      <x:c r="A1029" s="10" t="str">
        <x:v>IEK</x:v>
      </x:c>
      <x:c r="B1029" s="34" t="str">
        <x:v>280100125_</x:v>
      </x:c>
      <x:c r="C1029" s="34" t="str">
        <x:v>CKK-40D-P-080-040-K01</x:v>
      </x:c>
      <x:c r="D1029" s="13" t="str">
        <x:v>Плоский изменяемый угол  80х40  ПРАЙМЕР (96)</x:v>
      </x:c>
      <x:c r="E1029" s="10" t="str">
        <x:v>шт</x:v>
      </x:c>
      <x:c r="F1029" s="37" t="n">
        <x:f>MAX(0,ROUNDDOWN((AG1029-AF1029)/AR1029+0.000000001,0)*AR1029)</x:f>
        <x:v>43</x:v>
      </x:c>
      <x:c r="G1029" s="21" t="str">
        <x:f>IF(J1029="Рассчитано",V1029*(1-R1029/100)-W1029-P1029-Q1029,"н/д")</x:f>
        <x:v>н/д</x:v>
      </x:c>
      <x:c r="H1029" s="13" t="str">
        <x:v>Высокий</x:v>
      </x:c>
      <x:c r="I1029" s="13" t="str">
        <x:v>Высокий</x:v>
      </x:c>
      <x:c r="J1029" s="13" t="str">
        <x:f>IF(L1029="","Укажите валюту",IF(NOT(ISNUMBER(K1029)),"Укажите объём",IF(K1029&lt;=0,"Укажите объём",IF(K1029&gt;F1029,"Объём выше излишка",IF(COUNT(M1029:O1029)&lt;3,"Нужны цены",IF(COUNT(P1029:R1029)&lt;3,"Нужны расходы",IF(OR(M1029&lt;0,N1029&lt;0,O1029&lt;0,O1029&gt;100,P1029&lt;0,Q1029&lt;0,R1029&lt;0,R1029&gt;100),"Проверьте значения","Рассчитано")))))))</x:f>
        <x:v>Нужны цены</x:v>
      </x:c>
      <x:c r="K1029" s="36" t="n">
        <x:v>43</x:v>
      </x:c>
      <x:c r="L1029" s="19" t="str">
        <x:v>KZT</x:v>
      </x:c>
      <x:c r="M1029" s="22"/>
      <x:c r="N1029" s="22"/>
      <x:c r="O1029" s="28"/>
      <x:c r="P1029" s="22"/>
      <x:c r="Q1029" s="22"/>
      <x:c r="R1029" s="28"/>
      <x:c r="S1029" s="22"/>
      <x:c r="T1029" s="37" t="n">
        <x:f>K1029</x:f>
        <x:v>43</x:v>
      </x:c>
      <x:c r="U1029" s="21" t="str">
        <x:f>IF(J1029="Рассчитано",N1029*(1-O1029/100),"н/д")</x:f>
        <x:v>н/д</x:v>
      </x:c>
      <x:c r="V1029" s="21" t="str">
        <x:f>IF(J1029="Рассчитано",T1029*U1029,"н/д")</x:f>
        <x:v>н/д</x:v>
      </x:c>
      <x:c r="W1029" s="21" t="str">
        <x:f>IF(J1029="Рассчитано",T1029*M1029,"н/д")</x:f>
        <x:v>н/д</x:v>
      </x:c>
      <x:c r="X1029" s="21" t="str">
        <x:f>IF(J1029="Рассчитано",V1029-W1029,"н/д")</x:f>
        <x:v>н/д</x:v>
      </x:c>
      <x:c r="Y1029" s="27" t="str">
        <x:f>IF(J1029="Рассчитано",IF(V1029&gt;0,G1029/V1029,"н/д"),"н/д")</x:f>
        <x:v>н/д</x:v>
      </x:c>
      <x:c r="Z1029" s="21" t="str">
        <x:f>"н/д"</x:f>
        <x:v>н/д</x:v>
      </x:c>
      <x:c r="AA1029" s="21" t="str">
        <x:f>"н/д"</x:f>
        <x:v>н/д</x:v>
      </x:c>
      <x:c r="AB1029" s="21" t="str">
        <x:f>"н/д"</x:f>
        <x:v>н/д</x:v>
      </x:c>
      <x:c r="AC1029" s="21" t="str">
        <x:f>IF(AND(J1029="Рассчитано",T1029&gt;0,R1029&lt;100),(W1029+P1029+Q1029)/(T1029*(1-R1029/100)),"н/д")</x:f>
        <x:v>н/д</x:v>
      </x:c>
      <x:c r="AD1029" s="10" t="str">
        <x:f>IF(ISNUMBER(G1029),IF(G1029&lt;0,"Убыток",IF(G1029=0,"Без прибыли","Прибыль &gt; 0")),"Не оценён")</x:f>
        <x:v>Не оценён</x:v>
      </x:c>
      <x:c r="AE1029" s="13" t="str">
        <x:f>IF(J1029="Рассчитано","Выручка "&amp;TEXT(V1029,"0.00")&amp;" - себестоимость "&amp;TEXT(W1029,"0.00")&amp;" - комиссия "&amp;TEXT(V1029*R1029/100,"0.00")&amp;" - доставка "&amp;TEXT(P1029,"0.00")&amp;" - прочие "&amp;TEXT(Q1029,"0.00")&amp;" = "&amp;TEXT(G1029,"0.00")&amp;" "&amp;L1029,"Введите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9" s="24" t="n">
        <x:v>24.72928442429483</x:v>
      </x:c>
      <x:c r="AG1029" s="37" t="n">
        <x:v>68</x:v>
      </x:c>
      <x:c r="AH1029" s="37" t="n">
        <x:v>0</x:v>
      </x:c>
      <x:c r="AI1029" s="30" t="n">
        <x:v>46266</x:v>
      </x:c>
      <x:c r="AJ1029" s="37" t="n">
        <x:v>12</x:v>
      </x:c>
      <x:c r="AK1029" s="10" t="str">
        <x:v>минимум</x:v>
      </x:c>
      <x:c r="AL1029" s="32" t="n">
        <x:v>233.83871042737115</x:v>
      </x:c>
      <x:c r="AM102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29" s="13" t="str">
        <x:v>Проверить свободный остаток и установить цену для B2B</x:v>
      </x:c>
      <x:c r="AO1029" s="13" t="str">
        <x:v>Остаток 68; прогноз 90 дней 24.73; избыток 43 шт. Будущие поступления не выставляются на продажу. Остаток на начало сентября: требуется актуализация.</x:v>
      </x:c>
      <x:c r="AP1029" s="13" t="str">
        <x:v>["category_missing", "daily_stockout_data_missing", "new_order_lead_time_unknown", "reservations_unknown", "stale_stock"]</x:v>
      </x:c>
      <x:c r="AQ1029" s="10" t="str">
        <x:v>IEK:280100125_</x:v>
      </x:c>
      <x:c r="AR1029" s="24" t="n">
        <x:v>1</x:v>
      </x:c>
      <x:c r="AS1029" s="24" t="n">
        <x:v>0</x:v>
      </x:c>
      <x:c r="AT1029" s="24" t="n">
        <x:v>0</x:v>
      </x:c>
    </x:row>
    <x:row r="1030" ht="64" customHeight="1">
      <x:c r="A1030" s="11" t="str">
        <x:v>IEK</x:v>
      </x:c>
      <x:c r="B1030" s="33" t="str">
        <x:v>280100126_</x:v>
      </x:c>
      <x:c r="C1030" s="33" t="str">
        <x:v>CKK-40D-RSU4-060-K01</x:v>
      </x:c>
      <x:c r="D1030" s="12" t="str">
        <x:v>Рамка и суппорт  на 4 модуля 60 мм ПРАЙМЕР (160)</x:v>
      </x:c>
      <x:c r="E1030" s="11" t="str">
        <x:v>шт</x:v>
      </x:c>
      <x:c r="F1030" s="35" t="n">
        <x:f>MAX(0,ROUNDDOWN((AG1030-AF1030)/AR1030+0.000000001,0)*AR1030)</x:f>
        <x:v>13</x:v>
      </x:c>
      <x:c r="G1030" s="20" t="str">
        <x:f>IF(J1030="Рассчитано",V1030*(1-R1030/100)-W1030-P1030-Q1030,"н/д")</x:f>
        <x:v>н/д</x:v>
      </x:c>
      <x:c r="H1030" s="12" t="str">
        <x:v>Высокий</x:v>
      </x:c>
      <x:c r="I1030" s="12" t="str">
        <x:v>Средний</x:v>
      </x:c>
      <x:c r="J1030" s="12" t="str">
        <x:f>IF(L1030="","Укажите валюту",IF(NOT(ISNUMBER(K1030)),"Укажите объём",IF(K1030&lt;=0,"Укажите объём",IF(K1030&gt;F1030,"Объём выше излишка",IF(COUNT(M1030:O1030)&lt;3,"Нужны цены",IF(COUNT(P1030:R1030)&lt;3,"Нужны расходы",IF(OR(M1030&lt;0,N1030&lt;0,O1030&lt;0,O1030&gt;100,P1030&lt;0,Q1030&lt;0,R1030&lt;0,R1030&gt;100),"Проверьте значения","Рассчитано")))))))</x:f>
        <x:v>Нужны цены</x:v>
      </x:c>
      <x:c r="K1030" s="36" t="n">
        <x:v>13</x:v>
      </x:c>
      <x:c r="L1030" s="19" t="str">
        <x:v>KZT</x:v>
      </x:c>
      <x:c r="M1030" s="22"/>
      <x:c r="N1030" s="22"/>
      <x:c r="O1030" s="28"/>
      <x:c r="P1030" s="22"/>
      <x:c r="Q1030" s="22"/>
      <x:c r="R1030" s="28"/>
      <x:c r="S1030" s="22"/>
      <x:c r="T1030" s="35" t="n">
        <x:f>K1030</x:f>
        <x:v>13</x:v>
      </x:c>
      <x:c r="U1030" s="20" t="str">
        <x:f>IF(J1030="Рассчитано",N1030*(1-O1030/100),"н/д")</x:f>
        <x:v>н/д</x:v>
      </x:c>
      <x:c r="V1030" s="20" t="str">
        <x:f>IF(J1030="Рассчитано",T1030*U1030,"н/д")</x:f>
        <x:v>н/д</x:v>
      </x:c>
      <x:c r="W1030" s="20" t="str">
        <x:f>IF(J1030="Рассчитано",T1030*M1030,"н/д")</x:f>
        <x:v>н/д</x:v>
      </x:c>
      <x:c r="X1030" s="20" t="str">
        <x:f>IF(J1030="Рассчитано",V1030-W1030,"н/д")</x:f>
        <x:v>н/д</x:v>
      </x:c>
      <x:c r="Y1030" s="26" t="str">
        <x:f>IF(J1030="Рассчитано",IF(V1030&gt;0,G1030/V1030,"н/д"),"н/д")</x:f>
        <x:v>н/д</x:v>
      </x:c>
      <x:c r="Z1030" s="20" t="str">
        <x:f>"н/д"</x:f>
        <x:v>н/д</x:v>
      </x:c>
      <x:c r="AA1030" s="20" t="str">
        <x:f>"н/д"</x:f>
        <x:v>н/д</x:v>
      </x:c>
      <x:c r="AB1030" s="20" t="str">
        <x:f>"н/д"</x:f>
        <x:v>н/д</x:v>
      </x:c>
      <x:c r="AC1030" s="20" t="str">
        <x:f>IF(AND(J1030="Рассчитано",T1030&gt;0,R1030&lt;100),(W1030+P1030+Q1030)/(T1030*(1-R1030/100)),"н/д")</x:f>
        <x:v>н/д</x:v>
      </x:c>
      <x:c r="AD1030" s="11" t="str">
        <x:f>IF(ISNUMBER(G1030),IF(G1030&lt;0,"Убыток",IF(G1030=0,"Без прибыли","Прибыль &gt; 0")),"Не оценён")</x:f>
        <x:v>Не оценён</x:v>
      </x:c>
      <x:c r="AE1030" s="12" t="str">
        <x:f>IF(J1030="Рассчитано","Выручка "&amp;TEXT(V1030,"0.00")&amp;" - себестоимость "&amp;TEXT(W1030,"0.00")&amp;" - комиссия "&amp;TEXT(V1030*R1030/100,"0.00")&amp;" - доставка "&amp;TEXT(P1030,"0.00")&amp;" - прочие "&amp;TEXT(Q1030,"0.00")&amp;" = "&amp;TEXT(G1030,"0.00")&amp;" "&amp;L1030,"Введите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0" s="23" t="n">
        <x:v>140.06178479569144</x:v>
      </x:c>
      <x:c r="AG1030" s="35" t="n">
        <x:v>154</x:v>
      </x:c>
      <x:c r="AH1030" s="35" t="n">
        <x:v>0</x:v>
      </x:c>
      <x:c r="AI1030" s="29" t="n">
        <x:v>46266</x:v>
      </x:c>
      <x:c r="AJ1030" s="35" t="n">
        <x:v>10</x:v>
      </x:c>
      <x:c r="AK1030" s="11" t="str">
        <x:v>минимум</x:v>
      </x:c>
      <x:c r="AL1030" s="31" t="n">
        <x:v>93.50182956259698</x:v>
      </x:c>
      <x:c r="AM1030" s="12" t="str">
        <x:v>Остаток на начало сентября; Резервы неизвестны; Нет ежедневных данных доступности. Запас выше прогноза на 90 дней</x:v>
      </x:c>
      <x:c r="AN1030" s="12" t="str">
        <x:v>Проверить свободный остаток и установить цену для B2B</x:v>
      </x:c>
      <x:c r="AO1030" s="12" t="str">
        <x:v>Остаток 154; прогноз 90 дней 140.06; избыток 13 шт. Будущие поступления не выставляются на продажу. Остаток на начало сентября: требуется актуализация.</x:v>
      </x:c>
      <x:c r="AP1030" s="12" t="str">
        <x:v>["category_missing", "daily_stockout_data_missing", "new_order_lead_time_unknown", "reservations_unknown", "stale_stock"]</x:v>
      </x:c>
      <x:c r="AQ1030" s="11" t="str">
        <x:v>IEK:280100126_</x:v>
      </x:c>
      <x:c r="AR1030" s="23" t="n">
        <x:v>1</x:v>
      </x:c>
      <x:c r="AS1030" s="23" t="n">
        <x:v>0</x:v>
      </x:c>
      <x:c r="AT1030" s="23" t="n">
        <x:v>0</x:v>
      </x:c>
    </x:row>
    <x:row r="1031" ht="64" customHeight="1">
      <x:c r="A1031" s="10" t="str">
        <x:v>IEK</x:v>
      </x:c>
      <x:c r="B1031" s="34" t="str">
        <x:v>280100127_</x:v>
      </x:c>
      <x:c r="C1031" s="34" t="str">
        <x:v>CKK-40D-RSU4-075-K01</x:v>
      </x:c>
      <x:c r="D1031" s="13" t="str">
        <x:v>Рамка и суппорт  на 4 модуля 75 мм ПРАЙМЕР (160)</x:v>
      </x:c>
      <x:c r="E1031" s="10" t="str">
        <x:v>шт</x:v>
      </x:c>
      <x:c r="F1031" s="37" t="n">
        <x:f>MAX(0,ROUNDDOWN((AG1031-AF1031)/AR1031+0.000000001,0)*AR1031)</x:f>
        <x:v>61</x:v>
      </x:c>
      <x:c r="G1031" s="21" t="str">
        <x:f>IF(J1031="Рассчитано",V1031*(1-R1031/100)-W1031-P1031-Q1031,"н/д")</x:f>
        <x:v>н/д</x:v>
      </x:c>
      <x:c r="H1031" s="13" t="str">
        <x:v>Высокий</x:v>
      </x:c>
      <x:c r="I1031" s="13" t="str">
        <x:v>Средний</x:v>
      </x:c>
      <x:c r="J1031" s="13" t="str">
        <x:f>IF(L1031="","Укажите валюту",IF(NOT(ISNUMBER(K1031)),"Укажите объём",IF(K1031&lt;=0,"Укажите объём",IF(K1031&gt;F1031,"Объём выше излишка",IF(COUNT(M1031:O1031)&lt;3,"Нужны цены",IF(COUNT(P1031:R1031)&lt;3,"Нужны расходы",IF(OR(M1031&lt;0,N1031&lt;0,O1031&lt;0,O1031&gt;100,P1031&lt;0,Q1031&lt;0,R1031&lt;0,R1031&gt;100),"Проверьте значения","Рассчитано")))))))</x:f>
        <x:v>Нужны цены</x:v>
      </x:c>
      <x:c r="K1031" s="36" t="n">
        <x:v>61</x:v>
      </x:c>
      <x:c r="L1031" s="19" t="str">
        <x:v>KZT</x:v>
      </x:c>
      <x:c r="M1031" s="22"/>
      <x:c r="N1031" s="22"/>
      <x:c r="O1031" s="28"/>
      <x:c r="P1031" s="22"/>
      <x:c r="Q1031" s="22"/>
      <x:c r="R1031" s="28"/>
      <x:c r="S1031" s="22"/>
      <x:c r="T1031" s="37" t="n">
        <x:f>K1031</x:f>
        <x:v>61</x:v>
      </x:c>
      <x:c r="U1031" s="21" t="str">
        <x:f>IF(J1031="Рассчитано",N1031*(1-O1031/100),"н/д")</x:f>
        <x:v>н/д</x:v>
      </x:c>
      <x:c r="V1031" s="21" t="str">
        <x:f>IF(J1031="Рассчитано",T1031*U1031,"н/д")</x:f>
        <x:v>н/д</x:v>
      </x:c>
      <x:c r="W1031" s="21" t="str">
        <x:f>IF(J1031="Рассчитано",T1031*M1031,"н/д")</x:f>
        <x:v>н/д</x:v>
      </x:c>
      <x:c r="X1031" s="21" t="str">
        <x:f>IF(J1031="Рассчитано",V1031-W1031,"н/д")</x:f>
        <x:v>н/д</x:v>
      </x:c>
      <x:c r="Y1031" s="27" t="str">
        <x:f>IF(J1031="Рассчитано",IF(V1031&gt;0,G1031/V1031,"н/д"),"н/д")</x:f>
        <x:v>н/д</x:v>
      </x:c>
      <x:c r="Z1031" s="21" t="str">
        <x:f>"н/д"</x:f>
        <x:v>н/д</x:v>
      </x:c>
      <x:c r="AA1031" s="21" t="str">
        <x:f>"н/д"</x:f>
        <x:v>н/д</x:v>
      </x:c>
      <x:c r="AB1031" s="21" t="str">
        <x:f>"н/д"</x:f>
        <x:v>н/д</x:v>
      </x:c>
      <x:c r="AC1031" s="21" t="str">
        <x:f>IF(AND(J1031="Рассчитано",T1031&gt;0,R1031&lt;100),(W1031+P1031+Q1031)/(T1031*(1-R1031/100)),"н/д")</x:f>
        <x:v>н/д</x:v>
      </x:c>
      <x:c r="AD1031" s="10" t="str">
        <x:f>IF(ISNUMBER(G1031),IF(G1031&lt;0,"Убыток",IF(G1031=0,"Без прибыли","Прибыль &gt; 0")),"Не оценён")</x:f>
        <x:v>Не оценён</x:v>
      </x:c>
      <x:c r="AE1031" s="13" t="str">
        <x:f>IF(J1031="Рассчитано","Выручка "&amp;TEXT(V1031,"0.00")&amp;" - себестоимость "&amp;TEXT(W1031,"0.00")&amp;" - комиссия "&amp;TEXT(V1031*R1031/100,"0.00")&amp;" - доставка "&amp;TEXT(P1031,"0.00")&amp;" - прочие "&amp;TEXT(Q1031,"0.00")&amp;" = "&amp;TEXT(G1031,"0.00")&amp;" "&amp;L1031,"Введите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1" s="24" t="n">
        <x:v>99.27167867131766</x:v>
      </x:c>
      <x:c r="AG1031" s="37" t="n">
        <x:v>161</x:v>
      </x:c>
      <x:c r="AH1031" s="37" t="n">
        <x:v>0</x:v>
      </x:c>
      <x:c r="AI1031" s="30" t="n">
        <x:v>46266</x:v>
      </x:c>
      <x:c r="AJ1031" s="37" t="n">
        <x:v>10</x:v>
      </x:c>
      <x:c r="AK1031" s="10" t="str">
        <x:v>минимум</x:v>
      </x:c>
      <x:c r="AL1031" s="32" t="n">
        <x:v>137.91755661473033</x:v>
      </x:c>
      <x:c r="AM103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31" s="13" t="str">
        <x:v>Проверить свободный остаток и установить цену для B2B</x:v>
      </x:c>
      <x:c r="AO1031" s="13" t="str">
        <x:v>Остаток 161; прогноз 90 дней 99.27; избыток 61 шт. Будущие поступления не выставляются на продажу. Остаток на начало сентября: требуется актуализация.</x:v>
      </x:c>
      <x:c r="AP1031" s="13" t="str">
        <x:v>["category_missing", "daily_stockout_data_missing", "large_orders_detected", "new_order_lead_time_unknown", "reservations_unknown", "stale_stock", "transaction_month_mismatch"]</x:v>
      </x:c>
      <x:c r="AQ1031" s="10" t="str">
        <x:v>IEK:280100127_</x:v>
      </x:c>
      <x:c r="AR1031" s="24" t="n">
        <x:v>1</x:v>
      </x:c>
      <x:c r="AS1031" s="24" t="n">
        <x:v>0</x:v>
      </x:c>
      <x:c r="AT1031" s="24" t="n">
        <x:v>0</x:v>
      </x:c>
    </x:row>
    <x:row r="1032" ht="64" customHeight="1">
      <x:c r="A1032" s="11" t="str">
        <x:v>IEK</x:v>
      </x:c>
      <x:c r="B1032" s="33" t="str">
        <x:v>280100128_</x:v>
      </x:c>
      <x:c r="C1032" s="33" t="str">
        <x:v>CKK-40D-RU2-K01</x:v>
      </x:c>
      <x:c r="D1032" s="12" t="str">
        <x:v>Рамка и суппорт  универсал. на 2 модуля  ПРАЙМЕР (180)</x:v>
      </x:c>
      <x:c r="E1032" s="11" t="str">
        <x:v>шт</x:v>
      </x:c>
      <x:c r="F1032" s="35" t="n">
        <x:f>MAX(0,ROUNDDOWN((AG1032-AF1032)/AR1032+0.000000001,0)*AR1032)</x:f>
        <x:v>493</x:v>
      </x:c>
      <x:c r="G1032" s="20" t="str">
        <x:f>IF(J1032="Рассчитано",V1032*(1-R1032/100)-W1032-P1032-Q1032,"н/д")</x:f>
        <x:v>н/д</x:v>
      </x:c>
      <x:c r="H1032" s="12" t="str">
        <x:v>Высокий</x:v>
      </x:c>
      <x:c r="I1032" s="12" t="str">
        <x:v>Высокий</x:v>
      </x:c>
      <x:c r="J1032" s="12" t="str">
        <x:f>IF(L1032="","Укажите валюту",IF(NOT(ISNUMBER(K1032)),"Укажите объём",IF(K1032&lt;=0,"Укажите объём",IF(K1032&gt;F1032,"Объём выше излишка",IF(COUNT(M1032:O1032)&lt;3,"Нужны цены",IF(COUNT(P1032:R1032)&lt;3,"Нужны расходы",IF(OR(M1032&lt;0,N1032&lt;0,O1032&lt;0,O1032&gt;100,P1032&lt;0,Q1032&lt;0,R1032&lt;0,R1032&gt;100),"Проверьте значения","Рассчитано")))))))</x:f>
        <x:v>Нужны цены</x:v>
      </x:c>
      <x:c r="K1032" s="36" t="n">
        <x:v>493</x:v>
      </x:c>
      <x:c r="L1032" s="19" t="str">
        <x:v>KZT</x:v>
      </x:c>
      <x:c r="M1032" s="22"/>
      <x:c r="N1032" s="22"/>
      <x:c r="O1032" s="28"/>
      <x:c r="P1032" s="22"/>
      <x:c r="Q1032" s="22"/>
      <x:c r="R1032" s="28"/>
      <x:c r="S1032" s="22"/>
      <x:c r="T1032" s="35" t="n">
        <x:f>K1032</x:f>
        <x:v>493</x:v>
      </x:c>
      <x:c r="U1032" s="20" t="str">
        <x:f>IF(J1032="Рассчитано",N1032*(1-O1032/100),"н/д")</x:f>
        <x:v>н/д</x:v>
      </x:c>
      <x:c r="V1032" s="20" t="str">
        <x:f>IF(J1032="Рассчитано",T1032*U1032,"н/д")</x:f>
        <x:v>н/д</x:v>
      </x:c>
      <x:c r="W1032" s="20" t="str">
        <x:f>IF(J1032="Рассчитано",T1032*M1032,"н/д")</x:f>
        <x:v>н/д</x:v>
      </x:c>
      <x:c r="X1032" s="20" t="str">
        <x:f>IF(J1032="Рассчитано",V1032-W1032,"н/д")</x:f>
        <x:v>н/д</x:v>
      </x:c>
      <x:c r="Y1032" s="26" t="str">
        <x:f>IF(J1032="Рассчитано",IF(V1032&gt;0,G1032/V1032,"н/д"),"н/д")</x:f>
        <x:v>н/д</x:v>
      </x:c>
      <x:c r="Z1032" s="20" t="str">
        <x:f>"н/д"</x:f>
        <x:v>н/д</x:v>
      </x:c>
      <x:c r="AA1032" s="20" t="str">
        <x:f>"н/д"</x:f>
        <x:v>н/д</x:v>
      </x:c>
      <x:c r="AB1032" s="20" t="str">
        <x:f>"н/д"</x:f>
        <x:v>н/д</x:v>
      </x:c>
      <x:c r="AC1032" s="20" t="str">
        <x:f>IF(AND(J1032="Рассчитано",T1032&gt;0,R1032&lt;100),(W1032+P1032+Q1032)/(T1032*(1-R1032/100)),"н/д")</x:f>
        <x:v>н/д</x:v>
      </x:c>
      <x:c r="AD1032" s="11" t="str">
        <x:f>IF(ISNUMBER(G1032),IF(G1032&lt;0,"Убыток",IF(G1032=0,"Без прибыли","Прибыль &gt; 0")),"Не оценён")</x:f>
        <x:v>Не оценён</x:v>
      </x:c>
      <x:c r="AE1032" s="12" t="str">
        <x:f>IF(J1032="Рассчитано","Выручка "&amp;TEXT(V1032,"0.00")&amp;" - себестоимость "&amp;TEXT(W1032,"0.00")&amp;" - комиссия "&amp;TEXT(V1032*R1032/100,"0.00")&amp;" - доставка "&amp;TEXT(P1032,"0.00")&amp;" - прочие "&amp;TEXT(Q1032,"0.00")&amp;" = "&amp;TEXT(G1032,"0.00")&amp;" "&amp;L1032,"Введите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2" s="23" t="n">
        <x:v>362.00059073944345</x:v>
      </x:c>
      <x:c r="AG1032" s="35" t="n">
        <x:v>856</x:v>
      </x:c>
      <x:c r="AH1032" s="35" t="n">
        <x:v>0</x:v>
      </x:c>
      <x:c r="AI1032" s="29" t="n">
        <x:v>46266</x:v>
      </x:c>
      <x:c r="AJ1032" s="35" t="n">
        <x:v>10</x:v>
      </x:c>
      <x:c r="AK1032" s="11" t="str">
        <x:v>минимум</x:v>
      </x:c>
      <x:c r="AL1032" s="31" t="n">
        <x:v>201.08678456280464</x:v>
      </x:c>
      <x:c r="AM1032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032" s="12" t="str">
        <x:v>Проверить свободный остаток и установить цену для B2B</x:v>
      </x:c>
      <x:c r="AO1032" s="12" t="str">
        <x:v>Остаток 856; прогноз 90 дней 362.00; избыток 493 шт. Будущие поступления не выставляются на продажу. Остаток на начало сентября: требуется актуализация.</x:v>
      </x:c>
      <x:c r="AP1032" s="12" t="str">
        <x:v>["category_missing", "daily_stockout_data_missing", "large_orders_detected", "new_order_lead_time_unknown", "reservations_unknown", "stale_stock", "transaction_month_mismatch"]</x:v>
      </x:c>
      <x:c r="AQ1032" s="11" t="str">
        <x:v>IEK:280100128_</x:v>
      </x:c>
      <x:c r="AR1032" s="23" t="n">
        <x:v>1</x:v>
      </x:c>
      <x:c r="AS1032" s="23" t="n">
        <x:v>0</x:v>
      </x:c>
      <x:c r="AT1032" s="23" t="n">
        <x:v>0</x:v>
      </x:c>
    </x:row>
    <x:row r="1033" ht="64" customHeight="1">
      <x:c r="A1033" s="10" t="str">
        <x:v>IEK</x:v>
      </x:c>
      <x:c r="B1033" s="34" t="str">
        <x:v>280100129_</x:v>
      </x:c>
      <x:c r="C1033" s="34" t="str">
        <x:v>CKK-40D-RI1-K01</x:v>
      </x:c>
      <x:c r="D1033" s="13" t="str">
        <x:v>Розетка информационная RJ-45 UTP кат.5е,1 модуль РКИ-10-00-П ПРАЙМЕР (100)</x:v>
      </x:c>
      <x:c r="E1033" s="10" t="str">
        <x:v>шт</x:v>
      </x:c>
      <x:c r="F1033" s="37" t="n">
        <x:f>MAX(0,ROUNDDOWN((AG1033-AF1033)/AR1033+0.000000001,0)*AR1033)</x:f>
        <x:v>55</x:v>
      </x:c>
      <x:c r="G1033" s="21" t="str">
        <x:f>IF(J1033="Рассчитано",V1033*(1-R1033/100)-W1033-P1033-Q1033,"н/д")</x:f>
        <x:v>н/д</x:v>
      </x:c>
      <x:c r="H1033" s="13" t="str">
        <x:v>Высокий</x:v>
      </x:c>
      <x:c r="I1033" s="13" t="str">
        <x:v>Средний</x:v>
      </x:c>
      <x:c r="J1033" s="13" t="str">
        <x:f>IF(L1033="","Укажите валюту",IF(NOT(ISNUMBER(K1033)),"Укажите объём",IF(K1033&lt;=0,"Укажите объём",IF(K1033&gt;F1033,"Объём выше излишка",IF(COUNT(M1033:O1033)&lt;3,"Нужны цены",IF(COUNT(P1033:R1033)&lt;3,"Нужны расходы",IF(OR(M1033&lt;0,N1033&lt;0,O1033&lt;0,O1033&gt;100,P1033&lt;0,Q1033&lt;0,R1033&lt;0,R1033&gt;100),"Проверьте значения","Рассчитано")))))))</x:f>
        <x:v>Нужны цены</x:v>
      </x:c>
      <x:c r="K1033" s="36" t="n">
        <x:v>55</x:v>
      </x:c>
      <x:c r="L1033" s="19" t="str">
        <x:v>KZT</x:v>
      </x:c>
      <x:c r="M1033" s="22"/>
      <x:c r="N1033" s="22"/>
      <x:c r="O1033" s="28"/>
      <x:c r="P1033" s="22"/>
      <x:c r="Q1033" s="22"/>
      <x:c r="R1033" s="28"/>
      <x:c r="S1033" s="22"/>
      <x:c r="T1033" s="37" t="n">
        <x:f>K1033</x:f>
        <x:v>55</x:v>
      </x:c>
      <x:c r="U1033" s="21" t="str">
        <x:f>IF(J1033="Рассчитано",N1033*(1-O1033/100),"н/д")</x:f>
        <x:v>н/д</x:v>
      </x:c>
      <x:c r="V1033" s="21" t="str">
        <x:f>IF(J1033="Рассчитано",T1033*U1033,"н/д")</x:f>
        <x:v>н/д</x:v>
      </x:c>
      <x:c r="W1033" s="21" t="str">
        <x:f>IF(J1033="Рассчитано",T1033*M1033,"н/д")</x:f>
        <x:v>н/д</x:v>
      </x:c>
      <x:c r="X1033" s="21" t="str">
        <x:f>IF(J1033="Рассчитано",V1033-W1033,"н/д")</x:f>
        <x:v>н/д</x:v>
      </x:c>
      <x:c r="Y1033" s="27" t="str">
        <x:f>IF(J1033="Рассчитано",IF(V1033&gt;0,G1033/V1033,"н/д"),"н/д")</x:f>
        <x:v>н/д</x:v>
      </x:c>
      <x:c r="Z1033" s="21" t="str">
        <x:f>"н/д"</x:f>
        <x:v>н/д</x:v>
      </x:c>
      <x:c r="AA1033" s="21" t="str">
        <x:f>"н/д"</x:f>
        <x:v>н/д</x:v>
      </x:c>
      <x:c r="AB1033" s="21" t="str">
        <x:f>"н/д"</x:f>
        <x:v>н/д</x:v>
      </x:c>
      <x:c r="AC1033" s="21" t="str">
        <x:f>IF(AND(J1033="Рассчитано",T1033&gt;0,R1033&lt;100),(W1033+P1033+Q1033)/(T1033*(1-R1033/100)),"н/д")</x:f>
        <x:v>н/д</x:v>
      </x:c>
      <x:c r="AD1033" s="10" t="str">
        <x:f>IF(ISNUMBER(G1033),IF(G1033&lt;0,"Убыток",IF(G1033=0,"Без прибыли","Прибыль &gt; 0")),"Не оценён")</x:f>
        <x:v>Не оценён</x:v>
      </x:c>
      <x:c r="AE1033" s="13" t="str">
        <x:f>IF(J1033="Рассчитано","Выручка "&amp;TEXT(V1033,"0.00")&amp;" - себестоимость "&amp;TEXT(W1033,"0.00")&amp;" - комиссия "&amp;TEXT(V1033*R1033/100,"0.00")&amp;" - доставка "&amp;TEXT(P1033,"0.00")&amp;" - прочие "&amp;TEXT(Q1033,"0.00")&amp;" = "&amp;TEXT(G1033,"0.00")&amp;" "&amp;L1033,"Введите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3" s="24" t="n">
        <x:v>305.29574977212707</x:v>
      </x:c>
      <x:c r="AG1033" s="37" t="n">
        <x:v>361</x:v>
      </x:c>
      <x:c r="AH1033" s="37" t="n">
        <x:v>0</x:v>
      </x:c>
      <x:c r="AI1033" s="30" t="n">
        <x:v>46266</x:v>
      </x:c>
      <x:c r="AJ1033" s="37" t="n">
        <x:v>10</x:v>
      </x:c>
      <x:c r="AK1033" s="10" t="str">
        <x:v>минимум</x:v>
      </x:c>
      <x:c r="AL1033" s="32" t="n">
        <x:v>100.55542083481483</x:v>
      </x:c>
      <x:c r="AM1033" s="13" t="str">
        <x:v>Остаток на начало сентября; Резервы неизвестны; Нет ежедневных данных доступности. Запас выше прогноза на 90 дней</x:v>
      </x:c>
      <x:c r="AN1033" s="13" t="str">
        <x:v>Проверить свободный остаток и установить цену для B2B</x:v>
      </x:c>
      <x:c r="AO1033" s="13" t="str">
        <x:v>Остаток 361; прогноз 90 дней 305.30; избыток 55 шт. Будущие поступления не выставляются на продажу. Остаток на начало сентября: требуется актуализация.</x:v>
      </x:c>
      <x:c r="AP1033" s="13" t="str">
        <x:v>["category_missing", "daily_stockout_data_missing", "large_orders_detected", "new_order_lead_time_unknown", "reservations_unknown", "stale_stock"]</x:v>
      </x:c>
      <x:c r="AQ1033" s="10" t="str">
        <x:v>IEK:280100129_</x:v>
      </x:c>
      <x:c r="AR1033" s="24" t="n">
        <x:v>1</x:v>
      </x:c>
      <x:c r="AS1033" s="24" t="n">
        <x:v>0</x:v>
      </x:c>
      <x:c r="AT1033" s="24" t="n">
        <x:v>0</x:v>
      </x:c>
    </x:row>
    <x:row r="1034" ht="64" customHeight="1">
      <x:c r="A1034" s="11" t="str">
        <x:v>IEK</x:v>
      </x:c>
      <x:c r="B1034" s="33" t="str">
        <x:v>280100131_</x:v>
      </x:c>
      <x:c r="C1034" s="33" t="str">
        <x:v>CKK-40D-RSZB2-K01-K</x:v>
      </x:c>
      <x:c r="D1034" s="12" t="str">
        <x:v>Розетка с з/к 2к, 2 модуля (белая) РКС-20-30-П ПРАЙМЕР (100)</x:v>
      </x:c>
      <x:c r="E1034" s="11" t="str">
        <x:v>шт</x:v>
      </x:c>
      <x:c r="F1034" s="35" t="n">
        <x:f>MAX(0,ROUNDDOWN((AG1034-AF1034)/AR1034+0.000000001,0)*AR1034)</x:f>
        <x:v>338</x:v>
      </x:c>
      <x:c r="G1034" s="20" t="str">
        <x:f>IF(J1034="Рассчитано",V1034*(1-R1034/100)-W1034-P1034-Q1034,"н/д")</x:f>
        <x:v>н/д</x:v>
      </x:c>
      <x:c r="H1034" s="12" t="str">
        <x:v>Высокий</x:v>
      </x:c>
      <x:c r="I1034" s="12" t="str">
        <x:v>Средний</x:v>
      </x:c>
      <x:c r="J1034" s="12" t="str">
        <x:f>IF(L1034="","Укажите валюту",IF(NOT(ISNUMBER(K1034)),"Укажите объём",IF(K1034&lt;=0,"Укажите объём",IF(K1034&gt;F1034,"Объём выше излишка",IF(COUNT(M1034:O1034)&lt;3,"Нужны цены",IF(COUNT(P1034:R1034)&lt;3,"Нужны расходы",IF(OR(M1034&lt;0,N1034&lt;0,O1034&lt;0,O1034&gt;100,P1034&lt;0,Q1034&lt;0,R1034&lt;0,R1034&gt;100),"Проверьте значения","Рассчитано")))))))</x:f>
        <x:v>Нужны цены</x:v>
      </x:c>
      <x:c r="K1034" s="36" t="n">
        <x:v>338</x:v>
      </x:c>
      <x:c r="L1034" s="19" t="str">
        <x:v>KZT</x:v>
      </x:c>
      <x:c r="M1034" s="22"/>
      <x:c r="N1034" s="22"/>
      <x:c r="O1034" s="28"/>
      <x:c r="P1034" s="22"/>
      <x:c r="Q1034" s="22"/>
      <x:c r="R1034" s="28"/>
      <x:c r="S1034" s="22"/>
      <x:c r="T1034" s="35" t="n">
        <x:f>K1034</x:f>
        <x:v>338</x:v>
      </x:c>
      <x:c r="U1034" s="20" t="str">
        <x:f>IF(J1034="Рассчитано",N1034*(1-O1034/100),"н/д")</x:f>
        <x:v>н/д</x:v>
      </x:c>
      <x:c r="V1034" s="20" t="str">
        <x:f>IF(J1034="Рассчитано",T1034*U1034,"н/д")</x:f>
        <x:v>н/д</x:v>
      </x:c>
      <x:c r="W1034" s="20" t="str">
        <x:f>IF(J1034="Рассчитано",T1034*M1034,"н/д")</x:f>
        <x:v>н/д</x:v>
      </x:c>
      <x:c r="X1034" s="20" t="str">
        <x:f>IF(J1034="Рассчитано",V1034-W1034,"н/д")</x:f>
        <x:v>н/д</x:v>
      </x:c>
      <x:c r="Y1034" s="26" t="str">
        <x:f>IF(J1034="Рассчитано",IF(V1034&gt;0,G1034/V1034,"н/д"),"н/д")</x:f>
        <x:v>н/д</x:v>
      </x:c>
      <x:c r="Z1034" s="20" t="str">
        <x:f>"н/д"</x:f>
        <x:v>н/д</x:v>
      </x:c>
      <x:c r="AA1034" s="20" t="str">
        <x:f>"н/д"</x:f>
        <x:v>н/д</x:v>
      </x:c>
      <x:c r="AB1034" s="20" t="str">
        <x:f>"н/д"</x:f>
        <x:v>н/д</x:v>
      </x:c>
      <x:c r="AC1034" s="20" t="str">
        <x:f>IF(AND(J1034="Рассчитано",T1034&gt;0,R1034&lt;100),(W1034+P1034+Q1034)/(T1034*(1-R1034/100)),"н/д")</x:f>
        <x:v>н/д</x:v>
      </x:c>
      <x:c r="AD1034" s="11" t="str">
        <x:f>IF(ISNUMBER(G1034),IF(G1034&lt;0,"Убыток",IF(G1034=0,"Без прибыли","Прибыль &gt; 0")),"Не оценён")</x:f>
        <x:v>Не оценён</x:v>
      </x:c>
      <x:c r="AE1034" s="12" t="str">
        <x:f>IF(J1034="Рассчитано","Выручка "&amp;TEXT(V1034,"0.00")&amp;" - себестоимость "&amp;TEXT(W1034,"0.00")&amp;" - комиссия "&amp;TEXT(V1034*R1034/100,"0.00")&amp;" - доставка "&amp;TEXT(P1034,"0.00")&amp;" - прочие "&amp;TEXT(Q1034,"0.00")&amp;" = "&amp;TEXT(G1034,"0.00")&amp;" "&amp;L1034,"Введите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4" s="23" t="n">
        <x:v>1100.699213625491</x:v>
      </x:c>
      <x:c r="AG1034" s="35" t="n">
        <x:v>1439</x:v>
      </x:c>
      <x:c r="AH1034" s="35" t="n">
        <x:v>0</x:v>
      </x:c>
      <x:c r="AI1034" s="29" t="n">
        <x:v>46266</x:v>
      </x:c>
      <x:c r="AJ1034" s="35" t="n">
        <x:v>10</x:v>
      </x:c>
      <x:c r="AK1034" s="11" t="str">
        <x:v>минимум</x:v>
      </x:c>
      <x:c r="AL1034" s="31" t="n">
        <x:v>111.17603519107462</x:v>
      </x:c>
      <x:c r="AM1034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34" s="12" t="str">
        <x:v>Проверить свободный остаток и установить цену для B2B</x:v>
      </x:c>
      <x:c r="AO1034" s="12" t="str">
        <x:v>Остаток 1439; прогноз 90 дней 1100.70; избыток 338 шт. Будущие поступления не выставляются на продажу. Остаток на начало сентября: требуется актуализация.</x:v>
      </x:c>
      <x:c r="AP1034" s="12" t="str">
        <x:v>["category_missing", "daily_stockout_data_missing", "large_orders_detected", "new_order_lead_time_unknown", "reservations_unknown", "stale_stock", "transaction_month_mismatch"]</x:v>
      </x:c>
      <x:c r="AQ1034" s="11" t="str">
        <x:v>IEK:280100131_</x:v>
      </x:c>
      <x:c r="AR1034" s="23" t="n">
        <x:v>1</x:v>
      </x:c>
      <x:c r="AS1034" s="23" t="n">
        <x:v>0</x:v>
      </x:c>
      <x:c r="AT1034" s="23" t="n">
        <x:v>0</x:v>
      </x:c>
    </x:row>
    <x:row r="1035" ht="64" customHeight="1">
      <x:c r="A1035" s="10" t="str">
        <x:v>IEK</x:v>
      </x:c>
      <x:c r="B1035" s="34" t="str">
        <x:v>280100132_</x:v>
      </x:c>
      <x:c r="C1035" s="34" t="str">
        <x:v>CKK-40D-RSZK2-K04-K</x:v>
      </x:c>
      <x:c r="D1035" s="13" t="str">
        <x:v>Розетка с з/к 2к, 2 модуля (красная) РКС-20-32-П ПРАЙМЕР (10)</x:v>
      </x:c>
      <x:c r="E1035" s="10" t="str">
        <x:v>шт</x:v>
      </x:c>
      <x:c r="F1035" s="37" t="n">
        <x:f>MAX(0,ROUNDDOWN((AG1035-AF1035)/AR1035+0.000000001,0)*AR1035)</x:f>
        <x:v>171</x:v>
      </x:c>
      <x:c r="G1035" s="21" t="str">
        <x:f>IF(J1035="Рассчитано",V1035*(1-R1035/100)-W1035-P1035-Q1035,"н/д")</x:f>
        <x:v>н/д</x:v>
      </x:c>
      <x:c r="H1035" s="13" t="str">
        <x:v>Высокий</x:v>
      </x:c>
      <x:c r="I1035" s="13" t="str">
        <x:v>Высокий</x:v>
      </x:c>
      <x:c r="J1035" s="13" t="str">
        <x:f>IF(L1035="","Укажите валюту",IF(NOT(ISNUMBER(K1035)),"Укажите объём",IF(K1035&lt;=0,"Укажите объём",IF(K1035&gt;F1035,"Объём выше излишка",IF(COUNT(M1035:O1035)&lt;3,"Нужны цены",IF(COUNT(P1035:R1035)&lt;3,"Нужны расходы",IF(OR(M1035&lt;0,N1035&lt;0,O1035&lt;0,O1035&gt;100,P1035&lt;0,Q1035&lt;0,R1035&lt;0,R1035&gt;100),"Проверьте значения","Рассчитано")))))))</x:f>
        <x:v>Нужны цены</x:v>
      </x:c>
      <x:c r="K1035" s="36" t="n">
        <x:v>171</x:v>
      </x:c>
      <x:c r="L1035" s="19" t="str">
        <x:v>KZT</x:v>
      </x:c>
      <x:c r="M1035" s="22"/>
      <x:c r="N1035" s="22"/>
      <x:c r="O1035" s="28"/>
      <x:c r="P1035" s="22"/>
      <x:c r="Q1035" s="22"/>
      <x:c r="R1035" s="28"/>
      <x:c r="S1035" s="22"/>
      <x:c r="T1035" s="37" t="n">
        <x:f>K1035</x:f>
        <x:v>171</x:v>
      </x:c>
      <x:c r="U1035" s="21" t="str">
        <x:f>IF(J1035="Рассчитано",N1035*(1-O1035/100),"н/д")</x:f>
        <x:v>н/д</x:v>
      </x:c>
      <x:c r="V1035" s="21" t="str">
        <x:f>IF(J1035="Рассчитано",T1035*U1035,"н/д")</x:f>
        <x:v>н/д</x:v>
      </x:c>
      <x:c r="W1035" s="21" t="str">
        <x:f>IF(J1035="Рассчитано",T1035*M1035,"н/д")</x:f>
        <x:v>н/д</x:v>
      </x:c>
      <x:c r="X1035" s="21" t="str">
        <x:f>IF(J1035="Рассчитано",V1035-W1035,"н/д")</x:f>
        <x:v>н/д</x:v>
      </x:c>
      <x:c r="Y1035" s="27" t="str">
        <x:f>IF(J1035="Рассчитано",IF(V1035&gt;0,G1035/V1035,"н/д"),"н/д")</x:f>
        <x:v>н/д</x:v>
      </x:c>
      <x:c r="Z1035" s="21" t="str">
        <x:f>"н/д"</x:f>
        <x:v>н/д</x:v>
      </x:c>
      <x:c r="AA1035" s="21" t="str">
        <x:f>"н/д"</x:f>
        <x:v>н/д</x:v>
      </x:c>
      <x:c r="AB1035" s="21" t="str">
        <x:f>"н/д"</x:f>
        <x:v>н/д</x:v>
      </x:c>
      <x:c r="AC1035" s="21" t="str">
        <x:f>IF(AND(J1035="Рассчитано",T1035&gt;0,R1035&lt;100),(W1035+P1035+Q1035)/(T1035*(1-R1035/100)),"н/д")</x:f>
        <x:v>н/д</x:v>
      </x:c>
      <x:c r="AD1035" s="10" t="str">
        <x:f>IF(ISNUMBER(G1035),IF(G1035&lt;0,"Убыток",IF(G1035=0,"Без прибыли","Прибыль &gt; 0")),"Не оценён")</x:f>
        <x:v>Не оценён</x:v>
      </x:c>
      <x:c r="AE1035" s="13" t="str">
        <x:f>IF(J1035="Рассчитано","Выручка "&amp;TEXT(V1035,"0.00")&amp;" - себестоимость "&amp;TEXT(W1035,"0.00")&amp;" - комиссия "&amp;TEXT(V1035*R1035/100,"0.00")&amp;" - доставка "&amp;TEXT(P1035,"0.00")&amp;" - прочие "&amp;TEXT(Q1035,"0.00")&amp;" = "&amp;TEXT(G1035,"0.00")&amp;" "&amp;L1035,"Введите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5" s="24" t="n">
        <x:v>142.80130506349303</x:v>
      </x:c>
      <x:c r="AG1035" s="37" t="n">
        <x:v>314</x:v>
      </x:c>
      <x:c r="AH1035" s="37" t="n">
        <x:v>0</x:v>
      </x:c>
      <x:c r="AI1035" s="30" t="n">
        <x:v>46266</x:v>
      </x:c>
      <x:c r="AJ1035" s="37" t="n">
        <x:v>10</x:v>
      </x:c>
      <x:c r="AK1035" s="10" t="str">
        <x:v>минимум</x:v>
      </x:c>
      <x:c r="AL1035" s="32" t="n">
        <x:v>186.98919667119324</x:v>
      </x:c>
      <x:c r="AM103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35" s="13" t="str">
        <x:v>Проверить свободный остаток и установить цену для B2B</x:v>
      </x:c>
      <x:c r="AO1035" s="13" t="str">
        <x:v>Остаток 314; прогноз 90 дней 142.80; избыток 171 шт. Будущие поступления не выставляются на продажу. Остаток на начало сентября: требуется актуализация.</x:v>
      </x:c>
      <x:c r="AP1035" s="13" t="str">
        <x:v>["category_missing", "daily_stockout_data_missing", "new_order_lead_time_unknown", "reservations_unknown", "stale_stock"]</x:v>
      </x:c>
      <x:c r="AQ1035" s="10" t="str">
        <x:v>IEK:280100132_</x:v>
      </x:c>
      <x:c r="AR1035" s="24" t="n">
        <x:v>1</x:v>
      </x:c>
      <x:c r="AS1035" s="24" t="n">
        <x:v>0</x:v>
      </x:c>
      <x:c r="AT1035" s="24" t="n">
        <x:v>0</x:v>
      </x:c>
    </x:row>
    <x:row r="1036" ht="64" customHeight="1">
      <x:c r="A1036" s="11" t="str">
        <x:v>IEK</x:v>
      </x:c>
      <x:c r="B1036" s="33" t="str">
        <x:v>280100134_</x:v>
      </x:c>
      <x:c r="C1036" s="33" t="str">
        <x:v>CKK-40D-SB40-K01</x:v>
      </x:c>
      <x:c r="D1036" s="12" t="str">
        <x:v>Соединитель на стык боковой высотой 40 мм.  ПРАЙМЕР (1440)</x:v>
      </x:c>
      <x:c r="E1036" s="11" t="str">
        <x:v>шт</x:v>
      </x:c>
      <x:c r="F1036" s="35" t="n">
        <x:f>MAX(0,ROUNDDOWN((AG1036-AF1036)/AR1036+0.000000001,0)*AR1036)</x:f>
        <x:v>130</x:v>
      </x:c>
      <x:c r="G1036" s="20" t="str">
        <x:f>IF(J1036="Рассчитано",V1036*(1-R1036/100)-W1036-P1036-Q1036,"н/д")</x:f>
        <x:v>н/д</x:v>
      </x:c>
      <x:c r="H1036" s="12" t="str">
        <x:v>Высокий</x:v>
      </x:c>
      <x:c r="I1036" s="12" t="str">
        <x:v>Средний</x:v>
      </x:c>
      <x:c r="J1036" s="12" t="str">
        <x:f>IF(L1036="","Укажите валюту",IF(NOT(ISNUMBER(K1036)),"Укажите объём",IF(K1036&lt;=0,"Укажите объём",IF(K1036&gt;F1036,"Объём выше излишка",IF(COUNT(M1036:O1036)&lt;3,"Нужны цены",IF(COUNT(P1036:R1036)&lt;3,"Нужны расходы",IF(OR(M1036&lt;0,N1036&lt;0,O1036&lt;0,O1036&gt;100,P1036&lt;0,Q1036&lt;0,R1036&lt;0,R1036&gt;100),"Проверьте значения","Рассчитано")))))))</x:f>
        <x:v>Нужны цены</x:v>
      </x:c>
      <x:c r="K1036" s="36" t="n">
        <x:v>130</x:v>
      </x:c>
      <x:c r="L1036" s="19" t="str">
        <x:v>KZT</x:v>
      </x:c>
      <x:c r="M1036" s="22"/>
      <x:c r="N1036" s="22"/>
      <x:c r="O1036" s="28"/>
      <x:c r="P1036" s="22"/>
      <x:c r="Q1036" s="22"/>
      <x:c r="R1036" s="28"/>
      <x:c r="S1036" s="22"/>
      <x:c r="T1036" s="35" t="n">
        <x:f>K1036</x:f>
        <x:v>130</x:v>
      </x:c>
      <x:c r="U1036" s="20" t="str">
        <x:f>IF(J1036="Рассчитано",N1036*(1-O1036/100),"н/д")</x:f>
        <x:v>н/д</x:v>
      </x:c>
      <x:c r="V1036" s="20" t="str">
        <x:f>IF(J1036="Рассчитано",T1036*U1036,"н/д")</x:f>
        <x:v>н/д</x:v>
      </x:c>
      <x:c r="W1036" s="20" t="str">
        <x:f>IF(J1036="Рассчитано",T1036*M1036,"н/д")</x:f>
        <x:v>н/д</x:v>
      </x:c>
      <x:c r="X1036" s="20" t="str">
        <x:f>IF(J1036="Рассчитано",V1036-W1036,"н/д")</x:f>
        <x:v>н/д</x:v>
      </x:c>
      <x:c r="Y1036" s="26" t="str">
        <x:f>IF(J1036="Рассчитано",IF(V1036&gt;0,G1036/V1036,"н/д"),"н/д")</x:f>
        <x:v>н/д</x:v>
      </x:c>
      <x:c r="Z1036" s="20" t="str">
        <x:f>"н/д"</x:f>
        <x:v>н/д</x:v>
      </x:c>
      <x:c r="AA1036" s="20" t="str">
        <x:f>"н/д"</x:f>
        <x:v>н/д</x:v>
      </x:c>
      <x:c r="AB1036" s="20" t="str">
        <x:f>"н/д"</x:f>
        <x:v>н/д</x:v>
      </x:c>
      <x:c r="AC1036" s="20" t="str">
        <x:f>IF(AND(J1036="Рассчитано",T1036&gt;0,R1036&lt;100),(W1036+P1036+Q1036)/(T1036*(1-R1036/100)),"н/д")</x:f>
        <x:v>н/д</x:v>
      </x:c>
      <x:c r="AD1036" s="11" t="str">
        <x:f>IF(ISNUMBER(G1036),IF(G1036&lt;0,"Убыток",IF(G1036=0,"Без прибыли","Прибыль &gt; 0")),"Не оценён")</x:f>
        <x:v>Не оценён</x:v>
      </x:c>
      <x:c r="AE1036" s="12" t="str">
        <x:f>IF(J1036="Рассчитано","Выручка "&amp;TEXT(V1036,"0.00")&amp;" - себестоимость "&amp;TEXT(W1036,"0.00")&amp;" - комиссия "&amp;TEXT(V1036*R1036/100,"0.00")&amp;" - доставка "&amp;TEXT(P1036,"0.00")&amp;" - прочие "&amp;TEXT(Q1036,"0.00")&amp;" = "&amp;TEXT(G1036,"0.00")&amp;" "&amp;L1036,"Введите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6" s="23" t="n">
        <x:v>143.38198662177098</x:v>
      </x:c>
      <x:c r="AG1036" s="35" t="n">
        <x:v>274</x:v>
      </x:c>
      <x:c r="AH1036" s="35" t="n">
        <x:v>0</x:v>
      </x:c>
      <x:c r="AI1036" s="29" t="n">
        <x:v>46266</x:v>
      </x:c>
      <x:c r="AJ1036" s="35" t="n">
        <x:v>40</x:v>
      </x:c>
      <x:c r="AK1036" s="11" t="str">
        <x:v>минимум</x:v>
      </x:c>
      <x:c r="AL1036" s="31" t="n">
        <x:v>162.50810035210813</x:v>
      </x:c>
      <x:c r="AM1036" s="12" t="str">
        <x:v>Остаток на начало сентября; Резервы неизвестны; Нет ежедневных данных доступности. Запас выше прогноза на 90 дней</x:v>
      </x:c>
      <x:c r="AN1036" s="12" t="str">
        <x:v>Проверить свободный остаток и установить цену для B2B</x:v>
      </x:c>
      <x:c r="AO1036" s="12" t="str">
        <x:v>Остаток 274; прогноз 90 дней 143.38; избыток 130 шт. Будущие поступления не выставляются на продажу. Остаток на начало сентября: требуется актуализация.</x:v>
      </x:c>
      <x:c r="AP1036" s="12" t="str">
        <x:v>["category_missing", "daily_stockout_data_missing", "large_orders_detected", "new_order_lead_time_unknown", "reservations_unknown", "stale_stock"]</x:v>
      </x:c>
      <x:c r="AQ1036" s="11" t="str">
        <x:v>IEK:280100134_</x:v>
      </x:c>
      <x:c r="AR1036" s="23" t="n">
        <x:v>1</x:v>
      </x:c>
      <x:c r="AS1036" s="23" t="n">
        <x:v>0</x:v>
      </x:c>
      <x:c r="AT1036" s="23" t="n">
        <x:v>0</x:v>
      </x:c>
    </x:row>
    <x:row r="1037" ht="64" customHeight="1">
      <x:c r="A1037" s="10" t="str">
        <x:v>IEK</x:v>
      </x:c>
      <x:c r="B1037" s="34" t="str">
        <x:v>280100135_</x:v>
      </x:c>
      <x:c r="C1037" s="34" t="str">
        <x:v>CKK-40D-T-100-040-K01</x:v>
      </x:c>
      <x:c r="D1037" s="13" t="str">
        <x:v>Т-угол 100х40  ПРАЙМЕР (108)</x:v>
      </x:c>
      <x:c r="E1037" s="10" t="str">
        <x:v>шт</x:v>
      </x:c>
      <x:c r="F1037" s="37" t="n">
        <x:f>MAX(0,ROUNDDOWN((AG1037-AF1037)/AR1037+0.000000001,0)*AR1037)</x:f>
        <x:v>23</x:v>
      </x:c>
      <x:c r="G1037" s="21" t="str">
        <x:f>IF(J1037="Рассчитано",V1037*(1-R1037/100)-W1037-P1037-Q1037,"н/д")</x:f>
        <x:v>н/д</x:v>
      </x:c>
      <x:c r="H1037" s="13" t="str">
        <x:v>Высокий</x:v>
      </x:c>
      <x:c r="I1037" s="13" t="str">
        <x:v>Высокий</x:v>
      </x:c>
      <x:c r="J1037" s="13" t="str">
        <x:f>IF(L1037="","Укажите валюту",IF(NOT(ISNUMBER(K1037)),"Укажите объём",IF(K1037&lt;=0,"Укажите объём",IF(K1037&gt;F1037,"Объём выше излишка",IF(COUNT(M1037:O1037)&lt;3,"Нужны цены",IF(COUNT(P1037:R1037)&lt;3,"Нужны расходы",IF(OR(M1037&lt;0,N1037&lt;0,O1037&lt;0,O1037&gt;100,P1037&lt;0,Q1037&lt;0,R1037&lt;0,R1037&gt;100),"Проверьте значения","Рассчитано")))))))</x:f>
        <x:v>Нужны цены</x:v>
      </x:c>
      <x:c r="K1037" s="36" t="n">
        <x:v>23</x:v>
      </x:c>
      <x:c r="L1037" s="19" t="str">
        <x:v>KZT</x:v>
      </x:c>
      <x:c r="M1037" s="22"/>
      <x:c r="N1037" s="22"/>
      <x:c r="O1037" s="28"/>
      <x:c r="P1037" s="22"/>
      <x:c r="Q1037" s="22"/>
      <x:c r="R1037" s="28"/>
      <x:c r="S1037" s="22"/>
      <x:c r="T1037" s="37" t="n">
        <x:f>K1037</x:f>
        <x:v>23</x:v>
      </x:c>
      <x:c r="U1037" s="21" t="str">
        <x:f>IF(J1037="Рассчитано",N1037*(1-O1037/100),"н/д")</x:f>
        <x:v>н/д</x:v>
      </x:c>
      <x:c r="V1037" s="21" t="str">
        <x:f>IF(J1037="Рассчитано",T1037*U1037,"н/д")</x:f>
        <x:v>н/д</x:v>
      </x:c>
      <x:c r="W1037" s="21" t="str">
        <x:f>IF(J1037="Рассчитано",T1037*M1037,"н/д")</x:f>
        <x:v>н/д</x:v>
      </x:c>
      <x:c r="X1037" s="21" t="str">
        <x:f>IF(J1037="Рассчитано",V1037-W1037,"н/д")</x:f>
        <x:v>н/д</x:v>
      </x:c>
      <x:c r="Y1037" s="27" t="str">
        <x:f>IF(J1037="Рассчитано",IF(V1037&gt;0,G1037/V1037,"н/д"),"н/д")</x:f>
        <x:v>н/д</x:v>
      </x:c>
      <x:c r="Z1037" s="21" t="str">
        <x:f>"н/д"</x:f>
        <x:v>н/д</x:v>
      </x:c>
      <x:c r="AA1037" s="21" t="str">
        <x:f>"н/д"</x:f>
        <x:v>н/д</x:v>
      </x:c>
      <x:c r="AB1037" s="21" t="str">
        <x:f>"н/д"</x:f>
        <x:v>н/д</x:v>
      </x:c>
      <x:c r="AC1037" s="21" t="str">
        <x:f>IF(AND(J1037="Рассчитано",T1037&gt;0,R1037&lt;100),(W1037+P1037+Q1037)/(T1037*(1-R1037/100)),"н/д")</x:f>
        <x:v>н/д</x:v>
      </x:c>
      <x:c r="AD1037" s="10" t="str">
        <x:f>IF(ISNUMBER(G1037),IF(G1037&lt;0,"Убыток",IF(G1037=0,"Без прибыли","Прибыль &gt; 0")),"Не оценён")</x:f>
        <x:v>Не оценён</x:v>
      </x:c>
      <x:c r="AE1037" s="13" t="str">
        <x:f>IF(J1037="Рассчитано","Выручка "&amp;TEXT(V1037,"0.00")&amp;" - себестоимость "&amp;TEXT(W1037,"0.00")&amp;" - комиссия "&amp;TEXT(V1037*R1037/100,"0.00")&amp;" - доставка "&amp;TEXT(P1037,"0.00")&amp;" - прочие "&amp;TEXT(Q1037,"0.00")&amp;" = "&amp;TEXT(G1037,"0.00")&amp;" "&amp;L1037,"Введите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7" s="24" t="n">
        <x:v>12.561062913829142</x:v>
      </x:c>
      <x:c r="AG1037" s="37" t="n">
        <x:v>36</x:v>
      </x:c>
      <x:c r="AH1037" s="37" t="n">
        <x:v>0</x:v>
      </x:c>
      <x:c r="AI1037" s="30" t="n">
        <x:v>46266</x:v>
      </x:c>
      <x:c r="AJ1037" s="37" t="n">
        <x:v>12</x:v>
      </x:c>
      <x:c r="AK1037" s="10" t="str">
        <x:v>минимум</x:v>
      </x:c>
      <x:c r="AL1037" s="32" t="n">
        <x:v>243.7222361774961</x:v>
      </x:c>
      <x:c r="AM103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37" s="13" t="str">
        <x:v>Проверить свободный остаток и установить цену для B2B</x:v>
      </x:c>
      <x:c r="AO1037" s="13" t="str">
        <x:v>Остаток 36; прогноз 90 дней 12.56; избыток 23 шт. Будущие поступления не выставляются на продажу. Остаток на начало сентября: требуется актуализация.</x:v>
      </x:c>
      <x:c r="AP1037" s="13" t="str">
        <x:v>["category_missing", "daily_stockout_data_missing", "new_order_lead_time_unknown", "reservations_unknown", "stale_stock"]</x:v>
      </x:c>
      <x:c r="AQ1037" s="10" t="str">
        <x:v>IEK:280100135_</x:v>
      </x:c>
      <x:c r="AR1037" s="24" t="n">
        <x:v>1</x:v>
      </x:c>
      <x:c r="AS1037" s="24" t="n">
        <x:v>0</x:v>
      </x:c>
      <x:c r="AT1037" s="24" t="n">
        <x:v>0</x:v>
      </x:c>
    </x:row>
    <x:row r="1038" ht="64" customHeight="1">
      <x:c r="A1038" s="11" t="str">
        <x:v>IEK</x:v>
      </x:c>
      <x:c r="B1038" s="33" t="str">
        <x:v>280100137_</x:v>
      </x:c>
      <x:c r="C1038" s="33" t="str">
        <x:v>CKK-40D-SL75-K01</x:v>
      </x:c>
      <x:c r="D1038" s="12" t="str">
        <x:v>Соеденитель на стык лицевой  для крышки 75 мм ПРАЙМЕР (720)</x:v>
      </x:c>
      <x:c r="E1038" s="11" t="str">
        <x:v>шт</x:v>
      </x:c>
      <x:c r="F1038" s="35" t="n">
        <x:f>MAX(0,ROUNDDOWN((AG1038-AF1038)/AR1038+0.000000001,0)*AR1038)</x:f>
        <x:v>85</x:v>
      </x:c>
      <x:c r="G1038" s="20" t="str">
        <x:f>IF(J1038="Рассчитано",V1038*(1-R1038/100)-W1038-P1038-Q1038,"н/д")</x:f>
        <x:v>н/д</x:v>
      </x:c>
      <x:c r="H1038" s="12" t="str">
        <x:v>Высокий</x:v>
      </x:c>
      <x:c r="I1038" s="12" t="str">
        <x:v>Высокий</x:v>
      </x:c>
      <x:c r="J1038" s="12" t="str">
        <x:f>IF(L1038="","Укажите валюту",IF(NOT(ISNUMBER(K1038)),"Укажите объём",IF(K1038&lt;=0,"Укажите объём",IF(K1038&gt;F1038,"Объём выше излишка",IF(COUNT(M1038:O1038)&lt;3,"Нужны цены",IF(COUNT(P1038:R1038)&lt;3,"Нужны расходы",IF(OR(M1038&lt;0,N1038&lt;0,O1038&lt;0,O1038&gt;100,P1038&lt;0,Q1038&lt;0,R1038&lt;0,R1038&gt;100),"Проверьте значения","Рассчитано")))))))</x:f>
        <x:v>Нужны цены</x:v>
      </x:c>
      <x:c r="K1038" s="36" t="n">
        <x:v>85</x:v>
      </x:c>
      <x:c r="L1038" s="19" t="str">
        <x:v>KZT</x:v>
      </x:c>
      <x:c r="M1038" s="22"/>
      <x:c r="N1038" s="22"/>
      <x:c r="O1038" s="28"/>
      <x:c r="P1038" s="22"/>
      <x:c r="Q1038" s="22"/>
      <x:c r="R1038" s="28"/>
      <x:c r="S1038" s="22"/>
      <x:c r="T1038" s="35" t="n">
        <x:f>K1038</x:f>
        <x:v>85</x:v>
      </x:c>
      <x:c r="U1038" s="20" t="str">
        <x:f>IF(J1038="Рассчитано",N1038*(1-O1038/100),"н/д")</x:f>
        <x:v>н/д</x:v>
      </x:c>
      <x:c r="V1038" s="20" t="str">
        <x:f>IF(J1038="Рассчитано",T1038*U1038,"н/д")</x:f>
        <x:v>н/д</x:v>
      </x:c>
      <x:c r="W1038" s="20" t="str">
        <x:f>IF(J1038="Рассчитано",T1038*M1038,"н/д")</x:f>
        <x:v>н/д</x:v>
      </x:c>
      <x:c r="X1038" s="20" t="str">
        <x:f>IF(J1038="Рассчитано",V1038-W1038,"н/д")</x:f>
        <x:v>н/д</x:v>
      </x:c>
      <x:c r="Y1038" s="26" t="str">
        <x:f>IF(J1038="Рассчитано",IF(V1038&gt;0,G1038/V1038,"н/д"),"н/д")</x:f>
        <x:v>н/д</x:v>
      </x:c>
      <x:c r="Z1038" s="20" t="str">
        <x:f>"н/д"</x:f>
        <x:v>н/д</x:v>
      </x:c>
      <x:c r="AA1038" s="20" t="str">
        <x:f>"н/д"</x:f>
        <x:v>н/д</x:v>
      </x:c>
      <x:c r="AB1038" s="20" t="str">
        <x:f>"н/д"</x:f>
        <x:v>н/д</x:v>
      </x:c>
      <x:c r="AC1038" s="20" t="str">
        <x:f>IF(AND(J1038="Рассчитано",T1038&gt;0,R1038&lt;100),(W1038+P1038+Q1038)/(T1038*(1-R1038/100)),"н/д")</x:f>
        <x:v>н/д</x:v>
      </x:c>
      <x:c r="AD1038" s="11" t="str">
        <x:f>IF(ISNUMBER(G1038),IF(G1038&lt;0,"Убыток",IF(G1038=0,"Без прибыли","Прибыль &gt; 0")),"Не оценён")</x:f>
        <x:v>Не оценён</x:v>
      </x:c>
      <x:c r="AE1038" s="12" t="str">
        <x:f>IF(J1038="Рассчитано","Выручка "&amp;TEXT(V1038,"0.00")&amp;" - себестоимость "&amp;TEXT(W1038,"0.00")&amp;" - комиссия "&amp;TEXT(V1038*R1038/100,"0.00")&amp;" - доставка "&amp;TEXT(P1038,"0.00")&amp;" - прочие "&amp;TEXT(Q1038,"0.00")&amp;" = "&amp;TEXT(G1038,"0.00")&amp;" "&amp;L1038,"Введите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8" s="23" t="n">
        <x:v>25.13839237170979</x:v>
      </x:c>
      <x:c r="AG1038" s="35" t="n">
        <x:v>111</x:v>
      </x:c>
      <x:c r="AH1038" s="35" t="n">
        <x:v>0</x:v>
      </x:c>
      <x:c r="AI1038" s="29" t="n">
        <x:v>46266</x:v>
      </x:c>
      <x:c r="AJ1038" s="35" t="n">
        <x:v>20</x:v>
      </x:c>
      <x:c r="AK1038" s="11" t="str">
        <x:v>минимум</x:v>
      </x:c>
      <x:c r="AL1038" s="31" t="n">
        <x:v>375.4953147086357</x:v>
      </x:c>
      <x:c r="AM103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38" s="12" t="str">
        <x:v>Проверить свободный остаток и установить цену для B2B</x:v>
      </x:c>
      <x:c r="AO1038" s="12" t="str">
        <x:v>Остаток 111; прогноз 90 дней 25.14; избыток 85 шт. Будущие поступления не выставляются на продажу. Остаток на начало сентября: требуется актуализация.</x:v>
      </x:c>
      <x:c r="AP1038" s="12" t="str">
        <x:v>["category_missing", "daily_stockout_data_missing", "large_orders_detected", "negative_net_sales_clipped_for_forecast", "new_order_lead_time_unknown", "reservations_unknown", "stale_stock"]</x:v>
      </x:c>
      <x:c r="AQ1038" s="11" t="str">
        <x:v>IEK:280100137_</x:v>
      </x:c>
      <x:c r="AR1038" s="23" t="n">
        <x:v>1</x:v>
      </x:c>
      <x:c r="AS1038" s="23" t="n">
        <x:v>0</x:v>
      </x:c>
      <x:c r="AT1038" s="23" t="n">
        <x:v>0</x:v>
      </x:c>
    </x:row>
    <x:row r="1039" ht="64" customHeight="1">
      <x:c r="A1039" s="10" t="str">
        <x:v>IEK</x:v>
      </x:c>
      <x:c r="B1039" s="34" t="str">
        <x:v>280100140_</x:v>
      </x:c>
      <x:c r="C1039" s="34" t="str">
        <x:v>CKK-40D-RSU6-075-K01</x:v>
      </x:c>
      <x:c r="D1039" s="13" t="str">
        <x:v>Рамка и суппорт  на 6 модулей 75 мм ПРАЙМЕР (120)</x:v>
      </x:c>
      <x:c r="E1039" s="10" t="str">
        <x:v>шт</x:v>
      </x:c>
      <x:c r="F1039" s="37" t="n">
        <x:f>MAX(0,ROUNDDOWN((AG1039-AF1039)/AR1039+0.000000001,0)*AR1039)</x:f>
        <x:v>49</x:v>
      </x:c>
      <x:c r="G1039" s="21" t="str">
        <x:f>IF(J1039="Рассчитано",V1039*(1-R1039/100)-W1039-P1039-Q1039,"н/д")</x:f>
        <x:v>н/д</x:v>
      </x:c>
      <x:c r="H1039" s="13" t="str">
        <x:v>Высокий</x:v>
      </x:c>
      <x:c r="I1039" s="13" t="str">
        <x:v>Средний</x:v>
      </x:c>
      <x:c r="J1039" s="13" t="str">
        <x:f>IF(L1039="","Укажите валюту",IF(NOT(ISNUMBER(K1039)),"Укажите объём",IF(K1039&lt;=0,"Укажите объём",IF(K1039&gt;F1039,"Объём выше излишка",IF(COUNT(M1039:O1039)&lt;3,"Нужны цены",IF(COUNT(P1039:R1039)&lt;3,"Нужны расходы",IF(OR(M1039&lt;0,N1039&lt;0,O1039&lt;0,O1039&gt;100,P1039&lt;0,Q1039&lt;0,R1039&lt;0,R1039&gt;100),"Проверьте значения","Рассчитано")))))))</x:f>
        <x:v>Нужны цены</x:v>
      </x:c>
      <x:c r="K1039" s="36" t="n">
        <x:v>49</x:v>
      </x:c>
      <x:c r="L1039" s="19" t="str">
        <x:v>KZT</x:v>
      </x:c>
      <x:c r="M1039" s="22"/>
      <x:c r="N1039" s="22"/>
      <x:c r="O1039" s="28"/>
      <x:c r="P1039" s="22"/>
      <x:c r="Q1039" s="22"/>
      <x:c r="R1039" s="28"/>
      <x:c r="S1039" s="22"/>
      <x:c r="T1039" s="37" t="n">
        <x:f>K1039</x:f>
        <x:v>49</x:v>
      </x:c>
      <x:c r="U1039" s="21" t="str">
        <x:f>IF(J1039="Рассчитано",N1039*(1-O1039/100),"н/д")</x:f>
        <x:v>н/д</x:v>
      </x:c>
      <x:c r="V1039" s="21" t="str">
        <x:f>IF(J1039="Рассчитано",T1039*U1039,"н/д")</x:f>
        <x:v>н/д</x:v>
      </x:c>
      <x:c r="W1039" s="21" t="str">
        <x:f>IF(J1039="Рассчитано",T1039*M1039,"н/д")</x:f>
        <x:v>н/д</x:v>
      </x:c>
      <x:c r="X1039" s="21" t="str">
        <x:f>IF(J1039="Рассчитано",V1039-W1039,"н/д")</x:f>
        <x:v>н/д</x:v>
      </x:c>
      <x:c r="Y1039" s="27" t="str">
        <x:f>IF(J1039="Рассчитано",IF(V1039&gt;0,G1039/V1039,"н/д"),"н/д")</x:f>
        <x:v>н/д</x:v>
      </x:c>
      <x:c r="Z1039" s="21" t="str">
        <x:f>"н/д"</x:f>
        <x:v>н/д</x:v>
      </x:c>
      <x:c r="AA1039" s="21" t="str">
        <x:f>"н/д"</x:f>
        <x:v>н/д</x:v>
      </x:c>
      <x:c r="AB1039" s="21" t="str">
        <x:f>"н/д"</x:f>
        <x:v>н/д</x:v>
      </x:c>
      <x:c r="AC1039" s="21" t="str">
        <x:f>IF(AND(J1039="Рассчитано",T1039&gt;0,R1039&lt;100),(W1039+P1039+Q1039)/(T1039*(1-R1039/100)),"н/д")</x:f>
        <x:v>н/д</x:v>
      </x:c>
      <x:c r="AD1039" s="10" t="str">
        <x:f>IF(ISNUMBER(G1039),IF(G1039&lt;0,"Убыток",IF(G1039=0,"Без прибыли","Прибыль &gt; 0")),"Не оценён")</x:f>
        <x:v>Не оценён</x:v>
      </x:c>
      <x:c r="AE1039" s="13" t="str">
        <x:f>IF(J1039="Рассчитано","Выручка "&amp;TEXT(V1039,"0.00")&amp;" - себестоимость "&amp;TEXT(W1039,"0.00")&amp;" - комиссия "&amp;TEXT(V1039*R1039/100,"0.00")&amp;" - доставка "&amp;TEXT(P1039,"0.00")&amp;" - прочие "&amp;TEXT(Q1039,"0.00")&amp;" = "&amp;TEXT(G1039,"0.00")&amp;" "&amp;L1039,"Введите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9" s="24" t="n">
        <x:v>87.91449347706951</x:v>
      </x:c>
      <x:c r="AG1039" s="37" t="n">
        <x:v>137</x:v>
      </x:c>
      <x:c r="AH1039" s="37" t="n">
        <x:v>0</x:v>
      </x:c>
      <x:c r="AI1039" s="30" t="n">
        <x:v>46266</x:v>
      </x:c>
      <x:c r="AJ1039" s="37" t="n">
        <x:v>10</x:v>
      </x:c>
      <x:c r="AK1039" s="10" t="str">
        <x:v>минимум</x:v>
      </x:c>
      <x:c r="AL1039" s="32" t="n">
        <x:v>132.51929999854286</x:v>
      </x:c>
      <x:c r="AM103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39" s="13" t="str">
        <x:v>Проверить свободный остаток и установить цену для B2B</x:v>
      </x:c>
      <x:c r="AO1039" s="13" t="str">
        <x:v>Остаток 137; прогноз 90 дней 87.91; избыток 49 шт. Будущие поступления не выставляются на продажу. Остаток на начало сентября: требуется актуализация.</x:v>
      </x:c>
      <x:c r="AP1039" s="13" t="str">
        <x:v>["category_missing", "daily_stockout_data_missing", "large_orders_detected", "new_order_lead_time_unknown", "reservations_unknown", "stale_stock", "transaction_month_mismatch"]</x:v>
      </x:c>
      <x:c r="AQ1039" s="10" t="str">
        <x:v>IEK:280100140_</x:v>
      </x:c>
      <x:c r="AR1039" s="24" t="n">
        <x:v>1</x:v>
      </x:c>
      <x:c r="AS1039" s="24" t="n">
        <x:v>0</x:v>
      </x:c>
      <x:c r="AT1039" s="24" t="n">
        <x:v>0</x:v>
      </x:c>
    </x:row>
    <x:row r="1040" ht="64" customHeight="1">
      <x:c r="A1040" s="11" t="str">
        <x:v>IEK</x:v>
      </x:c>
      <x:c r="B1040" s="33" t="str">
        <x:v>280100141_</x:v>
      </x:c>
      <x:c r="C1040" s="33" t="str">
        <x:v>CKK-40D-P40-K01</x:v>
      </x:c>
      <x:c r="D1040" s="12" t="str">
        <x:v>Разделительная перегородка высотой 40мм ПРАЙМЕР (160)</x:v>
      </x:c>
      <x:c r="E1040" s="11" t="str">
        <x:v>м</x:v>
      </x:c>
      <x:c r="F1040" s="23" t="n">
        <x:f>MAX(0,ROUNDDOWN((AG1040-AF1040)/AR1040+0.000000001,0)*AR1040)</x:f>
        <x:v>209.83</x:v>
      </x:c>
      <x:c r="G1040" s="20" t="str">
        <x:f>IF(J1040="Рассчитано",V1040*(1-R1040/100)-W1040-P1040-Q1040,"н/д")</x:f>
        <x:v>н/д</x:v>
      </x:c>
      <x:c r="H1040" s="12" t="str">
        <x:v>Высокий</x:v>
      </x:c>
      <x:c r="I1040" s="12" t="str">
        <x:v>Высокий</x:v>
      </x:c>
      <x:c r="J1040" s="12" t="str">
        <x:f>IF(L1040="","Укажите валюту",IF(NOT(ISNUMBER(K1040)),"Укажите объём",IF(K1040&lt;=0,"Укажите объём",IF(K1040&gt;F1040,"Объём выше излишка",IF(COUNT(M1040:O1040)&lt;3,"Нужны цены",IF(COUNT(P1040:R1040)&lt;3,"Нужны расходы",IF(OR(M1040&lt;0,N1040&lt;0,O1040&lt;0,O1040&gt;100,P1040&lt;0,Q1040&lt;0,R1040&lt;0,R1040&gt;100),"Проверьте значения","Рассчитано")))))))</x:f>
        <x:v>Нужны цены</x:v>
      </x:c>
      <x:c r="K1040" s="25" t="n">
        <x:v>209.83</x:v>
      </x:c>
      <x:c r="L1040" s="19" t="str">
        <x:v>KZT</x:v>
      </x:c>
      <x:c r="M1040" s="22"/>
      <x:c r="N1040" s="22"/>
      <x:c r="O1040" s="28"/>
      <x:c r="P1040" s="22"/>
      <x:c r="Q1040" s="22"/>
      <x:c r="R1040" s="28"/>
      <x:c r="S1040" s="22"/>
      <x:c r="T1040" s="23" t="n">
        <x:f>K1040</x:f>
        <x:v>209.83</x:v>
      </x:c>
      <x:c r="U1040" s="20" t="str">
        <x:f>IF(J1040="Рассчитано",N1040*(1-O1040/100),"н/д")</x:f>
        <x:v>н/д</x:v>
      </x:c>
      <x:c r="V1040" s="20" t="str">
        <x:f>IF(J1040="Рассчитано",T1040*U1040,"н/д")</x:f>
        <x:v>н/д</x:v>
      </x:c>
      <x:c r="W1040" s="20" t="str">
        <x:f>IF(J1040="Рассчитано",T1040*M1040,"н/д")</x:f>
        <x:v>н/д</x:v>
      </x:c>
      <x:c r="X1040" s="20" t="str">
        <x:f>IF(J1040="Рассчитано",V1040-W1040,"н/д")</x:f>
        <x:v>н/д</x:v>
      </x:c>
      <x:c r="Y1040" s="26" t="str">
        <x:f>IF(J1040="Рассчитано",IF(V1040&gt;0,G1040/V1040,"н/д"),"н/д")</x:f>
        <x:v>н/д</x:v>
      </x:c>
      <x:c r="Z1040" s="20" t="str">
        <x:f>"н/д"</x:f>
        <x:v>н/д</x:v>
      </x:c>
      <x:c r="AA1040" s="20" t="str">
        <x:f>"н/д"</x:f>
        <x:v>н/д</x:v>
      </x:c>
      <x:c r="AB1040" s="20" t="str">
        <x:f>"н/д"</x:f>
        <x:v>н/д</x:v>
      </x:c>
      <x:c r="AC1040" s="20" t="str">
        <x:f>IF(AND(J1040="Рассчитано",T1040&gt;0,R1040&lt;100),(W1040+P1040+Q1040)/(T1040*(1-R1040/100)),"н/д")</x:f>
        <x:v>н/д</x:v>
      </x:c>
      <x:c r="AD1040" s="11" t="str">
        <x:f>IF(ISNUMBER(G1040),IF(G1040&lt;0,"Убыток",IF(G1040=0,"Без прибыли","Прибыль &gt; 0")),"Не оценён")</x:f>
        <x:v>Не оценён</x:v>
      </x:c>
      <x:c r="AE1040" s="12" t="str">
        <x:f>IF(J1040="Рассчитано","Выручка "&amp;TEXT(V1040,"0.00")&amp;" - себестоимость "&amp;TEXT(W1040,"0.00")&amp;" - комиссия "&amp;TEXT(V1040*R1040/100,"0.00")&amp;" - доставка "&amp;TEXT(P1040,"0.00")&amp;" - прочие "&amp;TEXT(Q1040,"0.00")&amp;" = "&amp;TEXT(G1040,"0.00")&amp;" "&amp;L1040,"Введите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0" s="23" t="n">
        <x:v>36.169966073323316</x:v>
      </x:c>
      <x:c r="AG1040" s="23" t="n">
        <x:v>246</x:v>
      </x:c>
      <x:c r="AH1040" s="23" t="n">
        <x:v>0</x:v>
      </x:c>
      <x:c r="AI1040" s="29" t="n">
        <x:v>46266</x:v>
      </x:c>
      <x:c r="AJ1040" s="23" t="n">
        <x:v>160</x:v>
      </x:c>
      <x:c r="AK1040" s="11" t="str">
        <x:v>минимум</x:v>
      </x:c>
      <x:c r="AL1040" s="31" t="n">
        <x:v>578.3703887209552</x:v>
      </x:c>
      <x:c r="AM104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40" s="12" t="str">
        <x:v>Проверить свободный остаток и установить цену для B2B</x:v>
      </x:c>
      <x:c r="AO1040" s="12" t="str">
        <x:v>Остаток 246; прогноз 90 дней 36.17; избыток 209.83 м. Будущие поступления не выставляются на продажу. Остаток на начало сентября: требуется актуализация.</x:v>
      </x:c>
      <x:c r="AP1040" s="12" t="str">
        <x:v>["category_missing", "daily_stockout_data_missing", "new_order_lead_time_unknown", "reservations_unknown", "stale_stock"]</x:v>
      </x:c>
      <x:c r="AQ1040" s="11" t="str">
        <x:v>IEK:280100141_</x:v>
      </x:c>
      <x:c r="AR1040" s="23" t="n">
        <x:v>0.001</x:v>
      </x:c>
      <x:c r="AS1040" s="23" t="n">
        <x:v>0</x:v>
      </x:c>
      <x:c r="AT1040" s="23" t="n">
        <x:v>0</x:v>
      </x:c>
    </x:row>
    <x:row r="1041" ht="64" customHeight="1">
      <x:c r="A1041" s="10" t="str">
        <x:v>IEK</x:v>
      </x:c>
      <x:c r="B1041" s="34" t="str">
        <x:v>280100338_</x:v>
      </x:c>
      <x:c r="C1041" s="34" t="str">
        <x:v>EL-KK10-040-025-1-K02</x:v>
      </x:c>
      <x:c r="D1041" s="13" t="str">
        <x:v>Кабель-канал 40х25 черный ЭЛЕКОР IEK (24)</x:v>
      </x:c>
      <x:c r="E1041" s="10" t="str">
        <x:v>м</x:v>
      </x:c>
      <x:c r="F1041" s="24" t="n">
        <x:f>MAX(0,ROUNDDOWN((AG1041-AF1041)/AR1041+0.000000001,0)*AR1041)</x:f>
        <x:v>4.2940000000000005</x:v>
      </x:c>
      <x:c r="G1041" s="21" t="str">
        <x:f>IF(J1041="Рассчитано",V1041*(1-R1041/100)-W1041-P1041-Q1041,"н/д")</x:f>
        <x:v>н/д</x:v>
      </x:c>
      <x:c r="H1041" s="13" t="str">
        <x:v>Высокий</x:v>
      </x:c>
      <x:c r="I1041" s="13" t="str">
        <x:v>Средний</x:v>
      </x:c>
      <x:c r="J1041" s="13" t="str">
        <x:f>IF(L1041="","Укажите валюту",IF(NOT(ISNUMBER(K1041)),"Укажите объём",IF(K1041&lt;=0,"Укажите объём",IF(K1041&gt;F1041,"Объём выше излишка",IF(COUNT(M1041:O1041)&lt;3,"Нужны цены",IF(COUNT(P1041:R1041)&lt;3,"Нужны расходы",IF(OR(M1041&lt;0,N1041&lt;0,O1041&lt;0,O1041&gt;100,P1041&lt;0,Q1041&lt;0,R1041&lt;0,R1041&gt;100),"Проверьте значения","Рассчитано")))))))</x:f>
        <x:v>Нужны цены</x:v>
      </x:c>
      <x:c r="K1041" s="25" t="n">
        <x:v>4.2940000000000005</x:v>
      </x:c>
      <x:c r="L1041" s="19" t="str">
        <x:v>KZT</x:v>
      </x:c>
      <x:c r="M1041" s="22"/>
      <x:c r="N1041" s="22"/>
      <x:c r="O1041" s="28"/>
      <x:c r="P1041" s="22"/>
      <x:c r="Q1041" s="22"/>
      <x:c r="R1041" s="28"/>
      <x:c r="S1041" s="22"/>
      <x:c r="T1041" s="24" t="n">
        <x:f>K1041</x:f>
        <x:v>4.2940000000000005</x:v>
      </x:c>
      <x:c r="U1041" s="21" t="str">
        <x:f>IF(J1041="Рассчитано",N1041*(1-O1041/100),"н/д")</x:f>
        <x:v>н/д</x:v>
      </x:c>
      <x:c r="V1041" s="21" t="str">
        <x:f>IF(J1041="Рассчитано",T1041*U1041,"н/д")</x:f>
        <x:v>н/д</x:v>
      </x:c>
      <x:c r="W1041" s="21" t="str">
        <x:f>IF(J1041="Рассчитано",T1041*M1041,"н/д")</x:f>
        <x:v>н/д</x:v>
      </x:c>
      <x:c r="X1041" s="21" t="str">
        <x:f>IF(J1041="Рассчитано",V1041-W1041,"н/д")</x:f>
        <x:v>н/д</x:v>
      </x:c>
      <x:c r="Y1041" s="27" t="str">
        <x:f>IF(J1041="Рассчитано",IF(V1041&gt;0,G1041/V1041,"н/д"),"н/д")</x:f>
        <x:v>н/д</x:v>
      </x:c>
      <x:c r="Z1041" s="21" t="str">
        <x:f>"н/д"</x:f>
        <x:v>н/д</x:v>
      </x:c>
      <x:c r="AA1041" s="21" t="str">
        <x:f>"н/д"</x:f>
        <x:v>н/д</x:v>
      </x:c>
      <x:c r="AB1041" s="21" t="str">
        <x:f>"н/д"</x:f>
        <x:v>н/д</x:v>
      </x:c>
      <x:c r="AC1041" s="21" t="str">
        <x:f>IF(AND(J1041="Рассчитано",T1041&gt;0,R1041&lt;100),(W1041+P1041+Q1041)/(T1041*(1-R1041/100)),"н/д")</x:f>
        <x:v>н/д</x:v>
      </x:c>
      <x:c r="AD1041" s="10" t="str">
        <x:f>IF(ISNUMBER(G1041),IF(G1041&lt;0,"Убыток",IF(G1041=0,"Без прибыли","Прибыль &gt; 0")),"Не оценён")</x:f>
        <x:v>Не оценён</x:v>
      </x:c>
      <x:c r="AE1041" s="13" t="str">
        <x:f>IF(J1041="Рассчитано","Выручка "&amp;TEXT(V1041,"0.00")&amp;" - себестоимость "&amp;TEXT(W1041,"0.00")&amp;" - комиссия "&amp;TEXT(V1041*R1041/100,"0.00")&amp;" - доставка "&amp;TEXT(P1041,"0.00")&amp;" - прочие "&amp;TEXT(Q1041,"0.00")&amp;" = "&amp;TEXT(G1041,"0.00")&amp;" "&amp;L1041,"Введите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1" s="24" t="n">
        <x:v>57.70510604848128</x:v>
      </x:c>
      <x:c r="AG1041" s="24" t="n">
        <x:v>62</x:v>
      </x:c>
      <x:c r="AH1041" s="24" t="n">
        <x:v>0</x:v>
      </x:c>
      <x:c r="AI1041" s="30" t="n">
        <x:v>46266</x:v>
      </x:c>
      <x:c r="AJ1041" s="24" t="n">
        <x:v>24</x:v>
      </x:c>
      <x:c r="AK1041" s="10" t="str">
        <x:v>минимум</x:v>
      </x:c>
      <x:c r="AL1041" s="32" t="n">
        <x:v>91.36849896988923</x:v>
      </x:c>
      <x:c r="AM1041" s="13" t="str">
        <x:v>Остаток на начало сентября; Резервы неизвестны; Нет ежедневных данных доступности. Запас выше прогноза на 90 дней</x:v>
      </x:c>
      <x:c r="AN1041" s="13" t="str">
        <x:v>Проверить свободный остаток и установить цену для B2B</x:v>
      </x:c>
      <x:c r="AO1041" s="13" t="str">
        <x:v>Остаток 62; прогноз 90 дней 57.71; избыток 4.294 м. Будущие поступления не выставляются на продажу. Остаток на начало сентября: требуется актуализация.</x:v>
      </x:c>
      <x:c r="AP1041" s="13" t="str">
        <x:v>["category_missing", "daily_stockout_data_missing", "new_order_lead_time_unknown", "reservations_unknown", "stale_stock"]</x:v>
      </x:c>
      <x:c r="AQ1041" s="10" t="str">
        <x:v>IEK:280100338_</x:v>
      </x:c>
      <x:c r="AR1041" s="24" t="n">
        <x:v>0.001</x:v>
      </x:c>
      <x:c r="AS1041" s="24" t="n">
        <x:v>0</x:v>
      </x:c>
      <x:c r="AT1041" s="24" t="n">
        <x:v>0</x:v>
      </x:c>
    </x:row>
    <x:row r="1042" ht="64" customHeight="1">
      <x:c r="A1042" s="11" t="str">
        <x:v>IEK</x:v>
      </x:c>
      <x:c r="B1042" s="33" t="str">
        <x:v>280100339_</x:v>
      </x:c>
      <x:c r="C1042" s="33" t="str">
        <x:v>CKK10-012-012-1-K24</x:v>
      </x:c>
      <x:c r="D1042" s="12" t="str">
        <x:v>Кабель-канал 12х12 дуб ЭЛЕКОР IEK (120)</x:v>
      </x:c>
      <x:c r="E1042" s="11" t="str">
        <x:v>м</x:v>
      </x:c>
      <x:c r="F1042" s="23" t="n">
        <x:f>MAX(0,ROUNDDOWN((AG1042-AF1042)/AR1042+0.000000001,0)*AR1042)</x:f>
        <x:v>20.814</x:v>
      </x:c>
      <x:c r="G1042" s="20" t="str">
        <x:f>IF(J1042="Рассчитано",V1042*(1-R1042/100)-W1042-P1042-Q1042,"н/д")</x:f>
        <x:v>н/д</x:v>
      </x:c>
      <x:c r="H1042" s="12" t="str">
        <x:v>Высокий</x:v>
      </x:c>
      <x:c r="I1042" s="12" t="str">
        <x:v>Средний</x:v>
      </x:c>
      <x:c r="J1042" s="12" t="str">
        <x:f>IF(L1042="","Укажите валюту",IF(NOT(ISNUMBER(K1042)),"Укажите объём",IF(K1042&lt;=0,"Укажите объём",IF(K1042&gt;F1042,"Объём выше излишка",IF(COUNT(M1042:O1042)&lt;3,"Нужны цены",IF(COUNT(P1042:R1042)&lt;3,"Нужны расходы",IF(OR(M1042&lt;0,N1042&lt;0,O1042&lt;0,O1042&gt;100,P1042&lt;0,Q1042&lt;0,R1042&lt;0,R1042&gt;100),"Проверьте значения","Рассчитано")))))))</x:f>
        <x:v>Нужны цены</x:v>
      </x:c>
      <x:c r="K1042" s="25" t="n">
        <x:v>20.814</x:v>
      </x:c>
      <x:c r="L1042" s="19" t="str">
        <x:v>KZT</x:v>
      </x:c>
      <x:c r="M1042" s="22"/>
      <x:c r="N1042" s="22"/>
      <x:c r="O1042" s="28"/>
      <x:c r="P1042" s="22"/>
      <x:c r="Q1042" s="22"/>
      <x:c r="R1042" s="28"/>
      <x:c r="S1042" s="22"/>
      <x:c r="T1042" s="23" t="n">
        <x:f>K1042</x:f>
        <x:v>20.814</x:v>
      </x:c>
      <x:c r="U1042" s="20" t="str">
        <x:f>IF(J1042="Рассчитано",N1042*(1-O1042/100),"н/д")</x:f>
        <x:v>н/д</x:v>
      </x:c>
      <x:c r="V1042" s="20" t="str">
        <x:f>IF(J1042="Рассчитано",T1042*U1042,"н/д")</x:f>
        <x:v>н/д</x:v>
      </x:c>
      <x:c r="W1042" s="20" t="str">
        <x:f>IF(J1042="Рассчитано",T1042*M1042,"н/д")</x:f>
        <x:v>н/д</x:v>
      </x:c>
      <x:c r="X1042" s="20" t="str">
        <x:f>IF(J1042="Рассчитано",V1042-W1042,"н/д")</x:f>
        <x:v>н/д</x:v>
      </x:c>
      <x:c r="Y1042" s="26" t="str">
        <x:f>IF(J1042="Рассчитано",IF(V1042&gt;0,G1042/V1042,"н/д"),"н/д")</x:f>
        <x:v>н/д</x:v>
      </x:c>
      <x:c r="Z1042" s="20" t="str">
        <x:f>"н/д"</x:f>
        <x:v>н/д</x:v>
      </x:c>
      <x:c r="AA1042" s="20" t="str">
        <x:f>"н/д"</x:f>
        <x:v>н/д</x:v>
      </x:c>
      <x:c r="AB1042" s="20" t="str">
        <x:f>"н/д"</x:f>
        <x:v>н/д</x:v>
      </x:c>
      <x:c r="AC1042" s="20" t="str">
        <x:f>IF(AND(J1042="Рассчитано",T1042&gt;0,R1042&lt;100),(W1042+P1042+Q1042)/(T1042*(1-R1042/100)),"н/д")</x:f>
        <x:v>н/д</x:v>
      </x:c>
      <x:c r="AD1042" s="11" t="str">
        <x:f>IF(ISNUMBER(G1042),IF(G1042&lt;0,"Убыток",IF(G1042=0,"Без прибыли","Прибыль &gt; 0")),"Не оценён")</x:f>
        <x:v>Не оценён</x:v>
      </x:c>
      <x:c r="AE1042" s="12" t="str">
        <x:f>IF(J1042="Рассчитано","Выручка "&amp;TEXT(V1042,"0.00")&amp;" - себестоимость "&amp;TEXT(W1042,"0.00")&amp;" - комиссия "&amp;TEXT(V1042*R1042/100,"0.00")&amp;" - доставка "&amp;TEXT(P1042,"0.00")&amp;" - прочие "&amp;TEXT(Q1042,"0.00")&amp;" = "&amp;TEXT(G1042,"0.00")&amp;" "&amp;L1042,"Введите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2" s="23" t="n">
        <x:v>35.18503169673888</x:v>
      </x:c>
      <x:c r="AG1042" s="23" t="n">
        <x:v>56</x:v>
      </x:c>
      <x:c r="AH1042" s="23" t="n">
        <x:v>0</x:v>
      </x:c>
      <x:c r="AI1042" s="29" t="n">
        <x:v>46266</x:v>
      </x:c>
      <x:c r="AJ1042" s="23" t="n">
        <x:v>120</x:v>
      </x:c>
      <x:c r="AK1042" s="11" t="str">
        <x:v>минимум</x:v>
      </x:c>
      <x:c r="AL1042" s="31" t="n">
        <x:v>135.34715291925156</x:v>
      </x:c>
      <x:c r="AM1042" s="12" t="str">
        <x:v>Остаток на начало сентября; Резервы неизвестны; Нет ежедневных данных доступности. Запас выше прогноза на 90 дней</x:v>
      </x:c>
      <x:c r="AN1042" s="12" t="str">
        <x:v>Проверить свободный остаток и установить цену для B2B</x:v>
      </x:c>
      <x:c r="AO1042" s="12" t="str">
        <x:v>Остаток 56; прогноз 90 дней 35.19; избыток 20.814 м. Будущие поступления не выставляются на продажу. Остаток на начало сентября: требуется актуализация.</x:v>
      </x:c>
      <x:c r="AP1042" s="12" t="str">
        <x:v>["category_missing", "daily_stockout_data_missing", "new_order_lead_time_unknown", "reservations_unknown", "stale_stock"]</x:v>
      </x:c>
      <x:c r="AQ1042" s="11" t="str">
        <x:v>IEK:280100339_</x:v>
      </x:c>
      <x:c r="AR1042" s="23" t="n">
        <x:v>0.001</x:v>
      </x:c>
      <x:c r="AS1042" s="23" t="n">
        <x:v>0</x:v>
      </x:c>
      <x:c r="AT1042" s="23" t="n">
        <x:v>0</x:v>
      </x:c>
    </x:row>
    <x:row r="1043" ht="64" customHeight="1">
      <x:c r="A1043" s="10" t="str">
        <x:v>IEK</x:v>
      </x:c>
      <x:c r="B1043" s="34" t="str">
        <x:v>280100342_</x:v>
      </x:c>
      <x:c r="C1043" s="34" t="str">
        <x:v>CKK10-020-010-1-K24</x:v>
      </x:c>
      <x:c r="D1043" s="13" t="str">
        <x:v>Кабель-канал 20х10 дуб ЭЛЕКОР IEK (96)</x:v>
      </x:c>
      <x:c r="E1043" s="10" t="str">
        <x:v>м</x:v>
      </x:c>
      <x:c r="F1043" s="24" t="n">
        <x:f>MAX(0,ROUNDDOWN((AG1043-AF1043)/AR1043+0.000000001,0)*AR1043)</x:f>
        <x:v>68.087</x:v>
      </x:c>
      <x:c r="G1043" s="21" t="str">
        <x:f>IF(J1043="Рассчитано",V1043*(1-R1043/100)-W1043-P1043-Q1043,"н/д")</x:f>
        <x:v>н/д</x:v>
      </x:c>
      <x:c r="H1043" s="13" t="str">
        <x:v>Высокий</x:v>
      </x:c>
      <x:c r="I1043" s="13" t="str">
        <x:v>Высокий</x:v>
      </x:c>
      <x:c r="J1043" s="13" t="str">
        <x:f>IF(L1043="","Укажите валюту",IF(NOT(ISNUMBER(K1043)),"Укажите объём",IF(K1043&lt;=0,"Укажите объём",IF(K1043&gt;F1043,"Объём выше излишка",IF(COUNT(M1043:O1043)&lt;3,"Нужны цены",IF(COUNT(P1043:R1043)&lt;3,"Нужны расходы",IF(OR(M1043&lt;0,N1043&lt;0,O1043&lt;0,O1043&gt;100,P1043&lt;0,Q1043&lt;0,R1043&lt;0,R1043&gt;100),"Проверьте значения","Рассчитано")))))))</x:f>
        <x:v>Нужны цены</x:v>
      </x:c>
      <x:c r="K1043" s="25" t="n">
        <x:v>68.087</x:v>
      </x:c>
      <x:c r="L1043" s="19" t="str">
        <x:v>KZT</x:v>
      </x:c>
      <x:c r="M1043" s="22"/>
      <x:c r="N1043" s="22"/>
      <x:c r="O1043" s="28"/>
      <x:c r="P1043" s="22"/>
      <x:c r="Q1043" s="22"/>
      <x:c r="R1043" s="28"/>
      <x:c r="S1043" s="22"/>
      <x:c r="T1043" s="24" t="n">
        <x:f>K1043</x:f>
        <x:v>68.087</x:v>
      </x:c>
      <x:c r="U1043" s="21" t="str">
        <x:f>IF(J1043="Рассчитано",N1043*(1-O1043/100),"н/д")</x:f>
        <x:v>н/д</x:v>
      </x:c>
      <x:c r="V1043" s="21" t="str">
        <x:f>IF(J1043="Рассчитано",T1043*U1043,"н/д")</x:f>
        <x:v>н/д</x:v>
      </x:c>
      <x:c r="W1043" s="21" t="str">
        <x:f>IF(J1043="Рассчитано",T1043*M1043,"н/д")</x:f>
        <x:v>н/д</x:v>
      </x:c>
      <x:c r="X1043" s="21" t="str">
        <x:f>IF(J1043="Рассчитано",V1043-W1043,"н/д")</x:f>
        <x:v>н/д</x:v>
      </x:c>
      <x:c r="Y1043" s="27" t="str">
        <x:f>IF(J1043="Рассчитано",IF(V1043&gt;0,G1043/V1043,"н/д"),"н/д")</x:f>
        <x:v>н/д</x:v>
      </x:c>
      <x:c r="Z1043" s="21" t="str">
        <x:f>"н/д"</x:f>
        <x:v>н/д</x:v>
      </x:c>
      <x:c r="AA1043" s="21" t="str">
        <x:f>"н/д"</x:f>
        <x:v>н/д</x:v>
      </x:c>
      <x:c r="AB1043" s="21" t="str">
        <x:f>"н/д"</x:f>
        <x:v>н/д</x:v>
      </x:c>
      <x:c r="AC1043" s="21" t="str">
        <x:f>IF(AND(J1043="Рассчитано",T1043&gt;0,R1043&lt;100),(W1043+P1043+Q1043)/(T1043*(1-R1043/100)),"н/д")</x:f>
        <x:v>н/д</x:v>
      </x:c>
      <x:c r="AD1043" s="10" t="str">
        <x:f>IF(ISNUMBER(G1043),IF(G1043&lt;0,"Убыток",IF(G1043=0,"Без прибыли","Прибыль &gt; 0")),"Не оценён")</x:f>
        <x:v>Не оценён</x:v>
      </x:c>
      <x:c r="AE1043" s="13" t="str">
        <x:f>IF(J1043="Рассчитано","Выручка "&amp;TEXT(V1043,"0.00")&amp;" - себестоимость "&amp;TEXT(W1043,"0.00")&amp;" - комиссия "&amp;TEXT(V1043*R1043/100,"0.00")&amp;" - доставка "&amp;TEXT(P1043,"0.00")&amp;" - прочие "&amp;TEXT(Q1043,"0.00")&amp;" = "&amp;TEXT(G1043,"0.00")&amp;" "&amp;L1043,"Введите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3" s="24" t="n">
        <x:v>29.9120093576331</x:v>
      </x:c>
      <x:c r="AG1043" s="24" t="n">
        <x:v>98</x:v>
      </x:c>
      <x:c r="AH1043" s="24" t="n">
        <x:v>0</x:v>
      </x:c>
      <x:c r="AI1043" s="30" t="n">
        <x:v>46266</x:v>
      </x:c>
      <x:c r="AJ1043" s="24" t="n">
        <x:v>96</x:v>
      </x:c>
      <x:c r="AK1043" s="10" t="str">
        <x:v>минимум</x:v>
      </x:c>
      <x:c r="AL1043" s="32" t="n">
        <x:v>278.61181657948305</x:v>
      </x:c>
      <x:c r="AM104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43" s="13" t="str">
        <x:v>Проверить свободный остаток и установить цену для B2B</x:v>
      </x:c>
      <x:c r="AO1043" s="13" t="str">
        <x:v>Остаток 98; прогноз 90 дней 29.91; избыток 68.087 м. Будущие поступления не выставляются на продажу. Остаток на начало сентября: требуется актуализация.</x:v>
      </x:c>
      <x:c r="AP1043" s="13" t="str">
        <x:v>["category_missing", "daily_stockout_data_missing", "new_order_lead_time_unknown", "reservations_unknown", "stale_stock"]</x:v>
      </x:c>
      <x:c r="AQ1043" s="10" t="str">
        <x:v>IEK:280100342_</x:v>
      </x:c>
      <x:c r="AR1043" s="24" t="n">
        <x:v>0.001</x:v>
      </x:c>
      <x:c r="AS1043" s="24" t="n">
        <x:v>0</x:v>
      </x:c>
      <x:c r="AT1043" s="24" t="n">
        <x:v>0</x:v>
      </x:c>
    </x:row>
    <x:row r="1044" ht="64" customHeight="1">
      <x:c r="A1044" s="11" t="str">
        <x:v>IEK</x:v>
      </x:c>
      <x:c r="B1044" s="33" t="str">
        <x:v>280100343_</x:v>
      </x:c>
      <x:c r="C1044" s="33" t="str">
        <x:v>CKK10-040-016-1-K24</x:v>
      </x:c>
      <x:c r="D1044" s="12" t="str">
        <x:v>Кабель-канал 40х16 дуб ЭЛЕКОР IEK (30)</x:v>
      </x:c>
      <x:c r="E1044" s="11" t="str">
        <x:v>м</x:v>
      </x:c>
      <x:c r="F1044" s="23" t="n">
        <x:f>MAX(0,ROUNDDOWN((AG1044-AF1044)/AR1044+0.000000001,0)*AR1044)</x:f>
        <x:v>32.514</x:v>
      </x:c>
      <x:c r="G1044" s="20" t="str">
        <x:f>IF(J1044="Рассчитано",V1044*(1-R1044/100)-W1044-P1044-Q1044,"н/д")</x:f>
        <x:v>н/д</x:v>
      </x:c>
      <x:c r="H1044" s="12" t="str">
        <x:v>Высокий</x:v>
      </x:c>
      <x:c r="I1044" s="12" t="str">
        <x:v>Высокий</x:v>
      </x:c>
      <x:c r="J1044" s="12" t="str">
        <x:f>IF(L1044="","Укажите валюту",IF(NOT(ISNUMBER(K1044)),"Укажите объём",IF(K1044&lt;=0,"Укажите объём",IF(K1044&gt;F1044,"Объём выше излишка",IF(COUNT(M1044:O1044)&lt;3,"Нужны цены",IF(COUNT(P1044:R1044)&lt;3,"Нужны расходы",IF(OR(M1044&lt;0,N1044&lt;0,O1044&lt;0,O1044&gt;100,P1044&lt;0,Q1044&lt;0,R1044&lt;0,R1044&gt;100),"Проверьте значения","Рассчитано")))))))</x:f>
        <x:v>Нужны цены</x:v>
      </x:c>
      <x:c r="K1044" s="25" t="n">
        <x:v>32.514</x:v>
      </x:c>
      <x:c r="L1044" s="19" t="str">
        <x:v>KZT</x:v>
      </x:c>
      <x:c r="M1044" s="22"/>
      <x:c r="N1044" s="22"/>
      <x:c r="O1044" s="28"/>
      <x:c r="P1044" s="22"/>
      <x:c r="Q1044" s="22"/>
      <x:c r="R1044" s="28"/>
      <x:c r="S1044" s="22"/>
      <x:c r="T1044" s="23" t="n">
        <x:f>K1044</x:f>
        <x:v>32.514</x:v>
      </x:c>
      <x:c r="U1044" s="20" t="str">
        <x:f>IF(J1044="Рассчитано",N1044*(1-O1044/100),"н/д")</x:f>
        <x:v>н/д</x:v>
      </x:c>
      <x:c r="V1044" s="20" t="str">
        <x:f>IF(J1044="Рассчитано",T1044*U1044,"н/д")</x:f>
        <x:v>н/д</x:v>
      </x:c>
      <x:c r="W1044" s="20" t="str">
        <x:f>IF(J1044="Рассчитано",T1044*M1044,"н/д")</x:f>
        <x:v>н/д</x:v>
      </x:c>
      <x:c r="X1044" s="20" t="str">
        <x:f>IF(J1044="Рассчитано",V1044-W1044,"н/д")</x:f>
        <x:v>н/д</x:v>
      </x:c>
      <x:c r="Y1044" s="26" t="str">
        <x:f>IF(J1044="Рассчитано",IF(V1044&gt;0,G1044/V1044,"н/д"),"н/д")</x:f>
        <x:v>н/д</x:v>
      </x:c>
      <x:c r="Z1044" s="20" t="str">
        <x:f>"н/д"</x:f>
        <x:v>н/д</x:v>
      </x:c>
      <x:c r="AA1044" s="20" t="str">
        <x:f>"н/д"</x:f>
        <x:v>н/д</x:v>
      </x:c>
      <x:c r="AB1044" s="20" t="str">
        <x:f>"н/д"</x:f>
        <x:v>н/д</x:v>
      </x:c>
      <x:c r="AC1044" s="20" t="str">
        <x:f>IF(AND(J1044="Рассчитано",T1044&gt;0,R1044&lt;100),(W1044+P1044+Q1044)/(T1044*(1-R1044/100)),"н/д")</x:f>
        <x:v>н/д</x:v>
      </x:c>
      <x:c r="AD1044" s="11" t="str">
        <x:f>IF(ISNUMBER(G1044),IF(G1044&lt;0,"Убыток",IF(G1044=0,"Без прибыли","Прибыль &gt; 0")),"Не оценён")</x:f>
        <x:v>Не оценён</x:v>
      </x:c>
      <x:c r="AE1044" s="12" t="str">
        <x:f>IF(J1044="Рассчитано","Выручка "&amp;TEXT(V1044,"0.00")&amp;" - себестоимость "&amp;TEXT(W1044,"0.00")&amp;" - комиссия "&amp;TEXT(V1044*R1044/100,"0.00")&amp;" - доставка "&amp;TEXT(P1044,"0.00")&amp;" - прочие "&amp;TEXT(Q1044,"0.00")&amp;" = "&amp;TEXT(G1044,"0.00")&amp;" "&amp;L1044,"Введите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4" s="23" t="n">
        <x:v>5.485852561064238</x:v>
      </x:c>
      <x:c r="AG1044" s="23" t="n">
        <x:v>38</x:v>
      </x:c>
      <x:c r="AH1044" s="23" t="n">
        <x:v>0</x:v>
      </x:c>
      <x:c r="AI1044" s="29" t="n">
        <x:v>46266</x:v>
      </x:c>
      <x:c r="AJ1044" s="23" t="n">
        <x:v>30</x:v>
      </x:c>
      <x:c r="AK1044" s="11" t="str">
        <x:v>минимум</x:v>
      </x:c>
      <x:c r="AL1044" s="31" t="n">
        <x:v>589.0586118555855</x:v>
      </x:c>
      <x:c r="AM104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44" s="12" t="str">
        <x:v>Проверить свободный остаток и установить цену для B2B</x:v>
      </x:c>
      <x:c r="AO1044" s="12" t="str">
        <x:v>Остаток 38; прогноз 90 дней 5.49; избыток 32.514 м. Будущие поступления не выставляются на продажу. Остаток на начало сентября: требуется актуализация.</x:v>
      </x:c>
      <x:c r="AP1044" s="12" t="str">
        <x:v>["category_missing", "daily_stockout_data_missing", "new_order_lead_time_unknown", "reservations_unknown", "stale_stock"]</x:v>
      </x:c>
      <x:c r="AQ1044" s="11" t="str">
        <x:v>IEK:280100343_</x:v>
      </x:c>
      <x:c r="AR1044" s="23" t="n">
        <x:v>0.001</x:v>
      </x:c>
      <x:c r="AS1044" s="23" t="n">
        <x:v>0</x:v>
      </x:c>
      <x:c r="AT1044" s="23" t="n">
        <x:v>0</x:v>
      </x:c>
    </x:row>
    <x:row r="1045" ht="64" customHeight="1">
      <x:c r="A1045" s="10" t="str">
        <x:v>IEK</x:v>
      </x:c>
      <x:c r="B1045" s="34" t="str">
        <x:v>280100351_</x:v>
      </x:c>
      <x:c r="C1045" s="34" t="str">
        <x:v>EL-KK10D-V-040-016-K11</x:v>
      </x:c>
      <x:c r="D1045" s="13" t="str">
        <x:v>Угол внутренний КМВ 40х16 дуб ЭЛЕКОР IEK (4шт/компл)</x:v>
      </x:c>
      <x:c r="E1045" s="10" t="str">
        <x:v>шт</x:v>
      </x:c>
      <x:c r="F1045" s="37" t="n">
        <x:f>MAX(0,ROUNDDOWN((AG1045-AF1045)/AR1045+0.000000001,0)*AR1045)</x:f>
        <x:v>16</x:v>
      </x:c>
      <x:c r="G1045" s="21" t="str">
        <x:f>IF(J1045="Рассчитано",V1045*(1-R1045/100)-W1045-P1045-Q1045,"н/д")</x:f>
        <x:v>н/д</x:v>
      </x:c>
      <x:c r="H1045" s="13" t="str">
        <x:v>Высокий</x:v>
      </x:c>
      <x:c r="I1045" s="13" t="str">
        <x:v>Высокий</x:v>
      </x:c>
      <x:c r="J1045" s="13" t="str">
        <x:f>IF(L1045="","Укажите валюту",IF(NOT(ISNUMBER(K1045)),"Укажите объём",IF(K1045&lt;=0,"Укажите объём",IF(K1045&gt;F1045,"Объём выше излишка",IF(COUNT(M1045:O1045)&lt;3,"Нужны цены",IF(COUNT(P1045:R1045)&lt;3,"Нужны расходы",IF(OR(M1045&lt;0,N1045&lt;0,O1045&lt;0,O1045&gt;100,P1045&lt;0,Q1045&lt;0,R1045&lt;0,R1045&gt;100),"Проверьте значения","Рассчитано")))))))</x:f>
        <x:v>Нужны цены</x:v>
      </x:c>
      <x:c r="K1045" s="36" t="n">
        <x:v>16</x:v>
      </x:c>
      <x:c r="L1045" s="19" t="str">
        <x:v>KZT</x:v>
      </x:c>
      <x:c r="M1045" s="22"/>
      <x:c r="N1045" s="22"/>
      <x:c r="O1045" s="28"/>
      <x:c r="P1045" s="22"/>
      <x:c r="Q1045" s="22"/>
      <x:c r="R1045" s="28"/>
      <x:c r="S1045" s="22"/>
      <x:c r="T1045" s="37" t="n">
        <x:f>K1045</x:f>
        <x:v>16</x:v>
      </x:c>
      <x:c r="U1045" s="21" t="str">
        <x:f>IF(J1045="Рассчитано",N1045*(1-O1045/100),"н/д")</x:f>
        <x:v>н/д</x:v>
      </x:c>
      <x:c r="V1045" s="21" t="str">
        <x:f>IF(J1045="Рассчитано",T1045*U1045,"н/д")</x:f>
        <x:v>н/д</x:v>
      </x:c>
      <x:c r="W1045" s="21" t="str">
        <x:f>IF(J1045="Рассчитано",T1045*M1045,"н/д")</x:f>
        <x:v>н/д</x:v>
      </x:c>
      <x:c r="X1045" s="21" t="str">
        <x:f>IF(J1045="Рассчитано",V1045-W1045,"н/д")</x:f>
        <x:v>н/д</x:v>
      </x:c>
      <x:c r="Y1045" s="27" t="str">
        <x:f>IF(J1045="Рассчитано",IF(V1045&gt;0,G1045/V1045,"н/д"),"н/д")</x:f>
        <x:v>н/д</x:v>
      </x:c>
      <x:c r="Z1045" s="21" t="str">
        <x:f>"н/д"</x:f>
        <x:v>н/д</x:v>
      </x:c>
      <x:c r="AA1045" s="21" t="str">
        <x:f>"н/д"</x:f>
        <x:v>н/д</x:v>
      </x:c>
      <x:c r="AB1045" s="21" t="str">
        <x:f>"н/д"</x:f>
        <x:v>н/д</x:v>
      </x:c>
      <x:c r="AC1045" s="21" t="str">
        <x:f>IF(AND(J1045="Рассчитано",T1045&gt;0,R1045&lt;100),(W1045+P1045+Q1045)/(T1045*(1-R1045/100)),"н/д")</x:f>
        <x:v>н/д</x:v>
      </x:c>
      <x:c r="AD1045" s="10" t="str">
        <x:f>IF(ISNUMBER(G1045),IF(G1045&lt;0,"Убыток",IF(G1045=0,"Без прибыли","Прибыль &gt; 0")),"Не оценён")</x:f>
        <x:v>Не оценён</x:v>
      </x:c>
      <x:c r="AE1045" s="13" t="str">
        <x:f>IF(J1045="Рассчитано","Выручка "&amp;TEXT(V1045,"0.00")&amp;" - себестоимость "&amp;TEXT(W1045,"0.00")&amp;" - комиссия "&amp;TEXT(V1045*R1045/100,"0.00")&amp;" - доставка "&amp;TEXT(P1045,"0.00")&amp;" - прочие "&amp;TEXT(Q1045,"0.00")&amp;" = "&amp;TEXT(G1045,"0.00")&amp;" "&amp;L1045,"Введите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5" s="24" t="n">
        <x:v>0.14538289932069773</x:v>
      </x:c>
      <x:c r="AG1045" s="37" t="n">
        <x:v>17</x:v>
      </x:c>
      <x:c r="AH1045" s="37" t="n">
        <x:v>0</x:v>
      </x:c>
      <x:c r="AI1045" s="30" t="n">
        <x:v>46266</x:v>
      </x:c>
      <x:c r="AJ1045" s="37"/>
      <x:c r="AK1045" s="10" t="str">
        <x:v>неизвестно</x:v>
      </x:c>
      <x:c r="AL1045" s="32" t="n">
        <x:v>9943.85172979131</x:v>
      </x:c>
      <x:c r="AM104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45" s="13" t="str">
        <x:v>Проверить свободный остаток и установить цену для B2B</x:v>
      </x:c>
      <x:c r="AO1045" s="13" t="str">
        <x:v>Остаток 17; прогноз 90 дней 0.15; избыток 16 шт. Будущие поступления не выставляются на продажу. Остаток на начало сентября: требуется актуализация.</x:v>
      </x:c>
      <x:c r="AP1045" s="13" t="str">
        <x:v>["category_missing", "daily_stockout_data_missing", "moq_missing", "new_order_lead_time_unknown", "reservations_unknown", "stale_stock"]</x:v>
      </x:c>
      <x:c r="AQ1045" s="10" t="str">
        <x:v>IEK:280100351_</x:v>
      </x:c>
      <x:c r="AR1045" s="24" t="n">
        <x:v>1</x:v>
      </x:c>
      <x:c r="AS1045" s="24" t="n">
        <x:v>0</x:v>
      </x:c>
      <x:c r="AT1045" s="24" t="n">
        <x:v>0</x:v>
      </x:c>
    </x:row>
    <x:row r="1046" ht="64" customHeight="1">
      <x:c r="A1046" s="11" t="str">
        <x:v>IEK</x:v>
      </x:c>
      <x:c r="B1046" s="33" t="str">
        <x:v>280100364_</x:v>
      </x:c>
      <x:c r="C1046" s="33" t="str">
        <x:v>EL-KK10D-S-040-025-K11</x:v>
      </x:c>
      <x:c r="D1046" s="12" t="str">
        <x:v>Соединитель на стык КМС 40х25 дуб ЭЛЕКОР IEK (4шт/компл)</x:v>
      </x:c>
      <x:c r="E1046" s="11" t="str">
        <x:v>шт</x:v>
      </x:c>
      <x:c r="F1046" s="35" t="n">
        <x:f>MAX(0,ROUNDDOWN((AG1046-AF1046)/AR1046+0.000000001,0)*AR1046)</x:f>
        <x:v>53</x:v>
      </x:c>
      <x:c r="G1046" s="20" t="str">
        <x:f>IF(J1046="Рассчитано",V1046*(1-R1046/100)-W1046-P1046-Q1046,"н/д")</x:f>
        <x:v>н/д</x:v>
      </x:c>
      <x:c r="H1046" s="12" t="str">
        <x:v>Высокий</x:v>
      </x:c>
      <x:c r="I1046" s="12" t="str">
        <x:v>Высокий</x:v>
      </x:c>
      <x:c r="J1046" s="12" t="str">
        <x:f>IF(L1046="","Укажите валюту",IF(NOT(ISNUMBER(K1046)),"Укажите объём",IF(K1046&lt;=0,"Укажите объём",IF(K1046&gt;F1046,"Объём выше излишка",IF(COUNT(M1046:O1046)&lt;3,"Нужны цены",IF(COUNT(P1046:R1046)&lt;3,"Нужны расходы",IF(OR(M1046&lt;0,N1046&lt;0,O1046&lt;0,O1046&gt;100,P1046&lt;0,Q1046&lt;0,R1046&lt;0,R1046&gt;100),"Проверьте значения","Рассчитано")))))))</x:f>
        <x:v>Нужны цены</x:v>
      </x:c>
      <x:c r="K1046" s="36" t="n">
        <x:v>53</x:v>
      </x:c>
      <x:c r="L1046" s="19" t="str">
        <x:v>KZT</x:v>
      </x:c>
      <x:c r="M1046" s="22"/>
      <x:c r="N1046" s="22"/>
      <x:c r="O1046" s="28"/>
      <x:c r="P1046" s="22"/>
      <x:c r="Q1046" s="22"/>
      <x:c r="R1046" s="28"/>
      <x:c r="S1046" s="22"/>
      <x:c r="T1046" s="35" t="n">
        <x:f>K1046</x:f>
        <x:v>53</x:v>
      </x:c>
      <x:c r="U1046" s="20" t="str">
        <x:f>IF(J1046="Рассчитано",N1046*(1-O1046/100),"н/д")</x:f>
        <x:v>н/д</x:v>
      </x:c>
      <x:c r="V1046" s="20" t="str">
        <x:f>IF(J1046="Рассчитано",T1046*U1046,"н/д")</x:f>
        <x:v>н/д</x:v>
      </x:c>
      <x:c r="W1046" s="20" t="str">
        <x:f>IF(J1046="Рассчитано",T1046*M1046,"н/д")</x:f>
        <x:v>н/д</x:v>
      </x:c>
      <x:c r="X1046" s="20" t="str">
        <x:f>IF(J1046="Рассчитано",V1046-W1046,"н/д")</x:f>
        <x:v>н/д</x:v>
      </x:c>
      <x:c r="Y1046" s="26" t="str">
        <x:f>IF(J1046="Рассчитано",IF(V1046&gt;0,G1046/V1046,"н/д"),"н/д")</x:f>
        <x:v>н/д</x:v>
      </x:c>
      <x:c r="Z1046" s="20" t="str">
        <x:f>"н/д"</x:f>
        <x:v>н/д</x:v>
      </x:c>
      <x:c r="AA1046" s="20" t="str">
        <x:f>"н/д"</x:f>
        <x:v>н/д</x:v>
      </x:c>
      <x:c r="AB1046" s="20" t="str">
        <x:f>"н/д"</x:f>
        <x:v>н/д</x:v>
      </x:c>
      <x:c r="AC1046" s="20" t="str">
        <x:f>IF(AND(J1046="Рассчитано",T1046&gt;0,R1046&lt;100),(W1046+P1046+Q1046)/(T1046*(1-R1046/100)),"н/д")</x:f>
        <x:v>н/д</x:v>
      </x:c>
      <x:c r="AD1046" s="11" t="str">
        <x:f>IF(ISNUMBER(G1046),IF(G1046&lt;0,"Убыток",IF(G1046=0,"Без прибыли","Прибыль &gt; 0")),"Не оценён")</x:f>
        <x:v>Не оценён</x:v>
      </x:c>
      <x:c r="AE1046" s="12" t="str">
        <x:f>IF(J1046="Рассчитано","Выручка "&amp;TEXT(V1046,"0.00")&amp;" - себестоимость "&amp;TEXT(W1046,"0.00")&amp;" - комиссия "&amp;TEXT(V1046*R1046/100,"0.00")&amp;" - доставка "&amp;TEXT(P1046,"0.00")&amp;" - прочие "&amp;TEXT(Q1046,"0.00")&amp;" = "&amp;TEXT(G1046,"0.00")&amp;" "&amp;L1046,"Введите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6" s="23" t="n">
        <x:v>0</x:v>
      </x:c>
      <x:c r="AG1046" s="35" t="n">
        <x:v>53</x:v>
      </x:c>
      <x:c r="AH1046" s="35" t="n">
        <x:v>0</x:v>
      </x:c>
      <x:c r="AI1046" s="29" t="n">
        <x:v>46266</x:v>
      </x:c>
      <x:c r="AJ1046" s="35"/>
      <x:c r="AK1046" s="11" t="str">
        <x:v>неизвестно</x:v>
      </x:c>
      <x:c r="AL1046" s="31" t="str">
        <x:v>н/д</x:v>
      </x:c>
      <x:c r="AM104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46" s="12" t="str">
        <x:v>Проверить свободный остаток и установить цену для B2B</x:v>
      </x:c>
      <x:c r="AO1046" s="12" t="str">
        <x:v>Остаток 53; прогноз 90 дней 0.00; избыток 53 шт. Будущие поступления не выставляются на продажу. Остаток на начало сентября: требуется актуализация.</x:v>
      </x:c>
      <x:c r="AP1046" s="12" t="str">
        <x:v>["category_missing", "daily_stockout_data_missing", "moq_missing", "new_order_lead_time_unknown", "reservations_unknown", "stale_stock"]</x:v>
      </x:c>
      <x:c r="AQ1046" s="11" t="str">
        <x:v>IEK:280100364_</x:v>
      </x:c>
      <x:c r="AR1046" s="23" t="n">
        <x:v>1</x:v>
      </x:c>
      <x:c r="AS1046" s="23" t="n">
        <x:v>0</x:v>
      </x:c>
      <x:c r="AT1046" s="23" t="n">
        <x:v>0</x:v>
      </x:c>
    </x:row>
    <x:row r="1047" ht="64" customHeight="1">
      <x:c r="A1047" s="10" t="str">
        <x:v>IEK</x:v>
      </x:c>
      <x:c r="B1047" s="34" t="str">
        <x:v>280100372_</x:v>
      </x:c>
      <x:c r="C1047" s="34" t="str">
        <x:v>EL-KK10D-T-040-025-K11</x:v>
      </x:c>
      <x:c r="D1047" s="13" t="str">
        <x:v>Угол Т-образный КМТ 40х25 дуб ЭЛЕКОР IEK (4шт/компл)</x:v>
      </x:c>
      <x:c r="E1047" s="10" t="str">
        <x:v>шт</x:v>
      </x:c>
      <x:c r="F1047" s="37" t="n">
        <x:f>MAX(0,ROUNDDOWN((AG1047-AF1047)/AR1047+0.000000001,0)*AR1047)</x:f>
        <x:v>49</x:v>
      </x:c>
      <x:c r="G1047" s="21" t="str">
        <x:f>IF(J1047="Рассчитано",V1047*(1-R1047/100)-W1047-P1047-Q1047,"н/д")</x:f>
        <x:v>н/д</x:v>
      </x:c>
      <x:c r="H1047" s="13" t="str">
        <x:v>Высокий</x:v>
      </x:c>
      <x:c r="I1047" s="13" t="str">
        <x:v>Высокий</x:v>
      </x:c>
      <x:c r="J1047" s="13" t="str">
        <x:f>IF(L1047="","Укажите валюту",IF(NOT(ISNUMBER(K1047)),"Укажите объём",IF(K1047&lt;=0,"Укажите объём",IF(K1047&gt;F1047,"Объём выше излишка",IF(COUNT(M1047:O1047)&lt;3,"Нужны цены",IF(COUNT(P1047:R1047)&lt;3,"Нужны расходы",IF(OR(M1047&lt;0,N1047&lt;0,O1047&lt;0,O1047&gt;100,P1047&lt;0,Q1047&lt;0,R1047&lt;0,R1047&gt;100),"Проверьте значения","Рассчитано")))))))</x:f>
        <x:v>Нужны цены</x:v>
      </x:c>
      <x:c r="K1047" s="36" t="n">
        <x:v>49</x:v>
      </x:c>
      <x:c r="L1047" s="19" t="str">
        <x:v>KZT</x:v>
      </x:c>
      <x:c r="M1047" s="22"/>
      <x:c r="N1047" s="22"/>
      <x:c r="O1047" s="28"/>
      <x:c r="P1047" s="22"/>
      <x:c r="Q1047" s="22"/>
      <x:c r="R1047" s="28"/>
      <x:c r="S1047" s="22"/>
      <x:c r="T1047" s="37" t="n">
        <x:f>K1047</x:f>
        <x:v>49</x:v>
      </x:c>
      <x:c r="U1047" s="21" t="str">
        <x:f>IF(J1047="Рассчитано",N1047*(1-O1047/100),"н/д")</x:f>
        <x:v>н/д</x:v>
      </x:c>
      <x:c r="V1047" s="21" t="str">
        <x:f>IF(J1047="Рассчитано",T1047*U1047,"н/д")</x:f>
        <x:v>н/д</x:v>
      </x:c>
      <x:c r="W1047" s="21" t="str">
        <x:f>IF(J1047="Рассчитано",T1047*M1047,"н/д")</x:f>
        <x:v>н/д</x:v>
      </x:c>
      <x:c r="X1047" s="21" t="str">
        <x:f>IF(J1047="Рассчитано",V1047-W1047,"н/д")</x:f>
        <x:v>н/д</x:v>
      </x:c>
      <x:c r="Y1047" s="27" t="str">
        <x:f>IF(J1047="Рассчитано",IF(V1047&gt;0,G1047/V1047,"н/д"),"н/д")</x:f>
        <x:v>н/д</x:v>
      </x:c>
      <x:c r="Z1047" s="21" t="str">
        <x:f>"н/д"</x:f>
        <x:v>н/д</x:v>
      </x:c>
      <x:c r="AA1047" s="21" t="str">
        <x:f>"н/д"</x:f>
        <x:v>н/д</x:v>
      </x:c>
      <x:c r="AB1047" s="21" t="str">
        <x:f>"н/д"</x:f>
        <x:v>н/д</x:v>
      </x:c>
      <x:c r="AC1047" s="21" t="str">
        <x:f>IF(AND(J1047="Рассчитано",T1047&gt;0,R1047&lt;100),(W1047+P1047+Q1047)/(T1047*(1-R1047/100)),"н/д")</x:f>
        <x:v>н/д</x:v>
      </x:c>
      <x:c r="AD1047" s="10" t="str">
        <x:f>IF(ISNUMBER(G1047),IF(G1047&lt;0,"Убыток",IF(G1047=0,"Без прибыли","Прибыль &gt; 0")),"Не оценён")</x:f>
        <x:v>Не оценён</x:v>
      </x:c>
      <x:c r="AE1047" s="13" t="str">
        <x:f>IF(J1047="Рассчитано","Выручка "&amp;TEXT(V1047,"0.00")&amp;" - себестоимость "&amp;TEXT(W1047,"0.00")&amp;" - комиссия "&amp;TEXT(V1047*R1047/100,"0.00")&amp;" - доставка "&amp;TEXT(P1047,"0.00")&amp;" - прочие "&amp;TEXT(Q1047,"0.00")&amp;" = "&amp;TEXT(G1047,"0.00")&amp;" "&amp;L1047,"Введите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7" s="24" t="n">
        <x:v>0</x:v>
      </x:c>
      <x:c r="AG1047" s="37" t="n">
        <x:v>49</x:v>
      </x:c>
      <x:c r="AH1047" s="37" t="n">
        <x:v>0</x:v>
      </x:c>
      <x:c r="AI1047" s="30" t="n">
        <x:v>46266</x:v>
      </x:c>
      <x:c r="AJ1047" s="37"/>
      <x:c r="AK1047" s="10" t="str">
        <x:v>неизвестно</x:v>
      </x:c>
      <x:c r="AL1047" s="32" t="str">
        <x:v>н/д</x:v>
      </x:c>
      <x:c r="AM104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47" s="13" t="str">
        <x:v>Проверить свободный остаток и установить цену для B2B</x:v>
      </x:c>
      <x:c r="AO1047" s="13" t="str">
        <x:v>Остаток 49; прогноз 90 дней 0.00; избыток 49 шт. Будущие поступления не выставляются на продажу. Остаток на начало сентября: требуется актуализация.</x:v>
      </x:c>
      <x:c r="AP1047" s="13" t="str">
        <x:v>["category_missing", "daily_stockout_data_missing", "moq_missing", "new_order_lead_time_unknown", "reservations_unknown", "stale_stock"]</x:v>
      </x:c>
      <x:c r="AQ1047" s="10" t="str">
        <x:v>IEK:280100372_</x:v>
      </x:c>
      <x:c r="AR1047" s="24" t="n">
        <x:v>1</x:v>
      </x:c>
      <x:c r="AS1047" s="24" t="n">
        <x:v>0</x:v>
      </x:c>
      <x:c r="AT1047" s="24" t="n">
        <x:v>0</x:v>
      </x:c>
    </x:row>
    <x:row r="1048" ht="64" customHeight="1">
      <x:c r="A1048" s="11" t="str">
        <x:v>IEK</x:v>
      </x:c>
      <x:c r="B1048" s="33" t="str">
        <x:v>280100373_</x:v>
      </x:c>
      <x:c r="C1048" s="33" t="str">
        <x:v>CKK10-012-012-1-K34</x:v>
      </x:c>
      <x:c r="D1048" s="12" t="str">
        <x:v>Кабель-канал 12х12 сосна ЭЛЕКОР IEK (120)</x:v>
      </x:c>
      <x:c r="E1048" s="11" t="str">
        <x:v>м</x:v>
      </x:c>
      <x:c r="F1048" s="23" t="n">
        <x:f>MAX(0,ROUNDDOWN((AG1048-AF1048)/AR1048+0.000000001,0)*AR1048)</x:f>
        <x:v>115.796</x:v>
      </x:c>
      <x:c r="G1048" s="20" t="str">
        <x:f>IF(J1048="Рассчитано",V1048*(1-R1048/100)-W1048-P1048-Q1048,"н/д")</x:f>
        <x:v>н/д</x:v>
      </x:c>
      <x:c r="H1048" s="12" t="str">
        <x:v>Высокий</x:v>
      </x:c>
      <x:c r="I1048" s="12" t="str">
        <x:v>Высокий</x:v>
      </x:c>
      <x:c r="J1048" s="12" t="str">
        <x:f>IF(L1048="","Укажите валюту",IF(NOT(ISNUMBER(K1048)),"Укажите объём",IF(K1048&lt;=0,"Укажите объём",IF(K1048&gt;F1048,"Объём выше излишка",IF(COUNT(M1048:O1048)&lt;3,"Нужны цены",IF(COUNT(P1048:R1048)&lt;3,"Нужны расходы",IF(OR(M1048&lt;0,N1048&lt;0,O1048&lt;0,O1048&gt;100,P1048&lt;0,Q1048&lt;0,R1048&lt;0,R1048&gt;100),"Проверьте значения","Рассчитано")))))))</x:f>
        <x:v>Нужны цены</x:v>
      </x:c>
      <x:c r="K1048" s="25" t="n">
        <x:v>115.796</x:v>
      </x:c>
      <x:c r="L1048" s="19" t="str">
        <x:v>KZT</x:v>
      </x:c>
      <x:c r="M1048" s="22"/>
      <x:c r="N1048" s="22"/>
      <x:c r="O1048" s="28"/>
      <x:c r="P1048" s="22"/>
      <x:c r="Q1048" s="22"/>
      <x:c r="R1048" s="28"/>
      <x:c r="S1048" s="22"/>
      <x:c r="T1048" s="23" t="n">
        <x:f>K1048</x:f>
        <x:v>115.796</x:v>
      </x:c>
      <x:c r="U1048" s="20" t="str">
        <x:f>IF(J1048="Рассчитано",N1048*(1-O1048/100),"н/д")</x:f>
        <x:v>н/д</x:v>
      </x:c>
      <x:c r="V1048" s="20" t="str">
        <x:f>IF(J1048="Рассчитано",T1048*U1048,"н/д")</x:f>
        <x:v>н/д</x:v>
      </x:c>
      <x:c r="W1048" s="20" t="str">
        <x:f>IF(J1048="Рассчитано",T1048*M1048,"н/д")</x:f>
        <x:v>н/д</x:v>
      </x:c>
      <x:c r="X1048" s="20" t="str">
        <x:f>IF(J1048="Рассчитано",V1048-W1048,"н/д")</x:f>
        <x:v>н/д</x:v>
      </x:c>
      <x:c r="Y1048" s="26" t="str">
        <x:f>IF(J1048="Рассчитано",IF(V1048&gt;0,G1048/V1048,"н/д"),"н/д")</x:f>
        <x:v>н/д</x:v>
      </x:c>
      <x:c r="Z1048" s="20" t="str">
        <x:f>"н/д"</x:f>
        <x:v>н/д</x:v>
      </x:c>
      <x:c r="AA1048" s="20" t="str">
        <x:f>"н/д"</x:f>
        <x:v>н/д</x:v>
      </x:c>
      <x:c r="AB1048" s="20" t="str">
        <x:f>"н/д"</x:f>
        <x:v>н/д</x:v>
      </x:c>
      <x:c r="AC1048" s="20" t="str">
        <x:f>IF(AND(J1048="Рассчитано",T1048&gt;0,R1048&lt;100),(W1048+P1048+Q1048)/(T1048*(1-R1048/100)),"н/д")</x:f>
        <x:v>н/д</x:v>
      </x:c>
      <x:c r="AD1048" s="11" t="str">
        <x:f>IF(ISNUMBER(G1048),IF(G1048&lt;0,"Убыток",IF(G1048=0,"Без прибыли","Прибыль &gt; 0")),"Не оценён")</x:f>
        <x:v>Не оценён</x:v>
      </x:c>
      <x:c r="AE1048" s="12" t="str">
        <x:f>IF(J1048="Рассчитано","Выручка "&amp;TEXT(V1048,"0.00")&amp;" - себестоимость "&amp;TEXT(W1048,"0.00")&amp;" - комиссия "&amp;TEXT(V1048*R1048/100,"0.00")&amp;" - доставка "&amp;TEXT(P1048,"0.00")&amp;" - прочие "&amp;TEXT(Q1048,"0.00")&amp;" = "&amp;TEXT(G1048,"0.00")&amp;" "&amp;L1048,"Введите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8" s="23" t="n">
        <x:v>4.203306763088659</x:v>
      </x:c>
      <x:c r="AG1048" s="23" t="n">
        <x:v>120</x:v>
      </x:c>
      <x:c r="AH1048" s="23" t="n">
        <x:v>0</x:v>
      </x:c>
      <x:c r="AI1048" s="29" t="n">
        <x:v>46266</x:v>
      </x:c>
      <x:c r="AJ1048" s="23" t="n">
        <x:v>120</x:v>
      </x:c>
      <x:c r="AK1048" s="11" t="str">
        <x:v>минимум</x:v>
      </x:c>
      <x:c r="AL1048" s="31" t="n">
        <x:v>2427.77929748742</x:v>
      </x:c>
      <x:c r="AM104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48" s="12" t="str">
        <x:v>Проверить свободный остаток и установить цену для B2B</x:v>
      </x:c>
      <x:c r="AO1048" s="12" t="str">
        <x:v>Остаток 120; прогноз 90 дней 4.20; избыток 115.796 м. Будущие поступления не выставляются на продажу. Остаток на начало сентября: требуется актуализация.</x:v>
      </x:c>
      <x:c r="AP1048" s="12" t="str">
        <x:v>["category_missing", "daily_stockout_data_missing", "new_order_lead_time_unknown", "reservations_unknown", "stale_stock"]</x:v>
      </x:c>
      <x:c r="AQ1048" s="11" t="str">
        <x:v>IEK:280100373_</x:v>
      </x:c>
      <x:c r="AR1048" s="23" t="n">
        <x:v>0.001</x:v>
      </x:c>
      <x:c r="AS1048" s="23" t="n">
        <x:v>0</x:v>
      </x:c>
      <x:c r="AT1048" s="23" t="n">
        <x:v>0</x:v>
      </x:c>
    </x:row>
    <x:row r="1049" ht="64" customHeight="1">
      <x:c r="A1049" s="10" t="str">
        <x:v>IEK</x:v>
      </x:c>
      <x:c r="B1049" s="34" t="str">
        <x:v>280100374_</x:v>
      </x:c>
      <x:c r="C1049" s="34" t="str">
        <x:v>CKK10-015-010-1-K34</x:v>
      </x:c>
      <x:c r="D1049" s="13" t="str">
        <x:v>Кабель-канал 15х10 сосна ЭЛЕКОР IEK (144)</x:v>
      </x:c>
      <x:c r="E1049" s="10" t="str">
        <x:v>м</x:v>
      </x:c>
      <x:c r="F1049" s="24" t="n">
        <x:f>MAX(0,ROUNDDOWN((AG1049-AF1049)/AR1049+0.000000001,0)*AR1049)</x:f>
        <x:v>86.785</x:v>
      </x:c>
      <x:c r="G1049" s="21" t="str">
        <x:f>IF(J1049="Рассчитано",V1049*(1-R1049/100)-W1049-P1049-Q1049,"н/д")</x:f>
        <x:v>н/д</x:v>
      </x:c>
      <x:c r="H1049" s="13" t="str">
        <x:v>Высокий</x:v>
      </x:c>
      <x:c r="I1049" s="13" t="str">
        <x:v>Высокий</x:v>
      </x:c>
      <x:c r="J1049" s="13" t="str">
        <x:f>IF(L1049="","Укажите валюту",IF(NOT(ISNUMBER(K1049)),"Укажите объём",IF(K1049&lt;=0,"Укажите объём",IF(K1049&gt;F1049,"Объём выше излишка",IF(COUNT(M1049:O1049)&lt;3,"Нужны цены",IF(COUNT(P1049:R1049)&lt;3,"Нужны расходы",IF(OR(M1049&lt;0,N1049&lt;0,O1049&lt;0,O1049&gt;100,P1049&lt;0,Q1049&lt;0,R1049&lt;0,R1049&gt;100),"Проверьте значения","Рассчитано")))))))</x:f>
        <x:v>Нужны цены</x:v>
      </x:c>
      <x:c r="K1049" s="25" t="n">
        <x:v>86.785</x:v>
      </x:c>
      <x:c r="L1049" s="19" t="str">
        <x:v>KZT</x:v>
      </x:c>
      <x:c r="M1049" s="22"/>
      <x:c r="N1049" s="22"/>
      <x:c r="O1049" s="28"/>
      <x:c r="P1049" s="22"/>
      <x:c r="Q1049" s="22"/>
      <x:c r="R1049" s="28"/>
      <x:c r="S1049" s="22"/>
      <x:c r="T1049" s="24" t="n">
        <x:f>K1049</x:f>
        <x:v>86.785</x:v>
      </x:c>
      <x:c r="U1049" s="21" t="str">
        <x:f>IF(J1049="Рассчитано",N1049*(1-O1049/100),"н/д")</x:f>
        <x:v>н/д</x:v>
      </x:c>
      <x:c r="V1049" s="21" t="str">
        <x:f>IF(J1049="Рассчитано",T1049*U1049,"н/д")</x:f>
        <x:v>н/д</x:v>
      </x:c>
      <x:c r="W1049" s="21" t="str">
        <x:f>IF(J1049="Рассчитано",T1049*M1049,"н/д")</x:f>
        <x:v>н/д</x:v>
      </x:c>
      <x:c r="X1049" s="21" t="str">
        <x:f>IF(J1049="Рассчитано",V1049-W1049,"н/д")</x:f>
        <x:v>н/д</x:v>
      </x:c>
      <x:c r="Y1049" s="27" t="str">
        <x:f>IF(J1049="Рассчитано",IF(V1049&gt;0,G1049/V1049,"н/д"),"н/д")</x:f>
        <x:v>н/д</x:v>
      </x:c>
      <x:c r="Z1049" s="21" t="str">
        <x:f>"н/д"</x:f>
        <x:v>н/д</x:v>
      </x:c>
      <x:c r="AA1049" s="21" t="str">
        <x:f>"н/д"</x:f>
        <x:v>н/д</x:v>
      </x:c>
      <x:c r="AB1049" s="21" t="str">
        <x:f>"н/д"</x:f>
        <x:v>н/д</x:v>
      </x:c>
      <x:c r="AC1049" s="21" t="str">
        <x:f>IF(AND(J1049="Рассчитано",T1049&gt;0,R1049&lt;100),(W1049+P1049+Q1049)/(T1049*(1-R1049/100)),"н/д")</x:f>
        <x:v>н/д</x:v>
      </x:c>
      <x:c r="AD1049" s="10" t="str">
        <x:f>IF(ISNUMBER(G1049),IF(G1049&lt;0,"Убыток",IF(G1049=0,"Без прибыли","Прибыль &gt; 0")),"Не оценён")</x:f>
        <x:v>Не оценён</x:v>
      </x:c>
      <x:c r="AE1049" s="13" t="str">
        <x:f>IF(J1049="Рассчитано","Выручка "&amp;TEXT(V1049,"0.00")&amp;" - себестоимость "&amp;TEXT(W1049,"0.00")&amp;" - комиссия "&amp;TEXT(V1049*R1049/100,"0.00")&amp;" - доставка "&amp;TEXT(P1049,"0.00")&amp;" - прочие "&amp;TEXT(Q1049,"0.00")&amp;" = "&amp;TEXT(G1049,"0.00")&amp;" "&amp;L1049,"Введите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9" s="24" t="n">
        <x:v>7.214250126686374</x:v>
      </x:c>
      <x:c r="AG1049" s="24" t="n">
        <x:v>94</x:v>
      </x:c>
      <x:c r="AH1049" s="24" t="n">
        <x:v>0</x:v>
      </x:c>
      <x:c r="AI1049" s="30" t="n">
        <x:v>46266</x:v>
      </x:c>
      <x:c r="AJ1049" s="24" t="n">
        <x:v>144</x:v>
      </x:c>
      <x:c r="AK1049" s="10" t="str">
        <x:v>минимум</x:v>
      </x:c>
      <x:c r="AL1049" s="32" t="n">
        <x:v>1108.040672227671</x:v>
      </x:c>
      <x:c r="AM1049" s="13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1049" s="13" t="str">
        <x:v>Проверить свободный остаток и установить цену для B2B</x:v>
      </x:c>
      <x:c r="AO1049" s="13" t="str">
        <x:v>Остаток 94; прогноз 90 дней 7.21; избыток 86.785 м. Будущие поступления не выставляются на продажу. Остаток на начало сентября: требуется актуализация.</x:v>
      </x:c>
      <x:c r="AP1049" s="13" t="str">
        <x:v>["category_missing", "daily_stockout_data_missing", "new_order_lead_time_unknown", "reservations_unknown", "stale_stock", "stockout_proxy_used"]</x:v>
      </x:c>
      <x:c r="AQ1049" s="10" t="str">
        <x:v>IEK:280100374_</x:v>
      </x:c>
      <x:c r="AR1049" s="24" t="n">
        <x:v>0.001</x:v>
      </x:c>
      <x:c r="AS1049" s="24" t="n">
        <x:v>0</x:v>
      </x:c>
      <x:c r="AT1049" s="24" t="n">
        <x:v>0</x:v>
      </x:c>
    </x:row>
    <x:row r="1050" ht="64" customHeight="1">
      <x:c r="A1050" s="11" t="str">
        <x:v>IEK</x:v>
      </x:c>
      <x:c r="B1050" s="33" t="str">
        <x:v>280100375_</x:v>
      </x:c>
      <x:c r="C1050" s="33" t="str">
        <x:v>CKK10-016-016-1-K34</x:v>
      </x:c>
      <x:c r="D1050" s="12" t="str">
        <x:v>Кабель-канал 16х16 сосна ЭЛЕКОР IEK (84)</x:v>
      </x:c>
      <x:c r="E1050" s="11" t="str">
        <x:v>м</x:v>
      </x:c>
      <x:c r="F1050" s="23" t="n">
        <x:f>MAX(0,ROUNDDOWN((AG1050-AF1050)/AR1050+0.000000001,0)*AR1050)</x:f>
        <x:v>34.006</x:v>
      </x:c>
      <x:c r="G1050" s="20" t="str">
        <x:f>IF(J1050="Рассчитано",V1050*(1-R1050/100)-W1050-P1050-Q1050,"н/д")</x:f>
        <x:v>н/д</x:v>
      </x:c>
      <x:c r="H1050" s="12" t="str">
        <x:v>Высокий</x:v>
      </x:c>
      <x:c r="I1050" s="12" t="str">
        <x:v>Средний</x:v>
      </x:c>
      <x:c r="J1050" s="12" t="str">
        <x:f>IF(L1050="","Укажите валюту",IF(NOT(ISNUMBER(K1050)),"Укажите объём",IF(K1050&lt;=0,"Укажите объём",IF(K1050&gt;F1050,"Объём выше излишка",IF(COUNT(M1050:O1050)&lt;3,"Нужны цены",IF(COUNT(P1050:R1050)&lt;3,"Нужны расходы",IF(OR(M1050&lt;0,N1050&lt;0,O1050&lt;0,O1050&gt;100,P1050&lt;0,Q1050&lt;0,R1050&lt;0,R1050&gt;100),"Проверьте значения","Рассчитано")))))))</x:f>
        <x:v>Нужны цены</x:v>
      </x:c>
      <x:c r="K1050" s="25" t="n">
        <x:v>34.006</x:v>
      </x:c>
      <x:c r="L1050" s="19" t="str">
        <x:v>KZT</x:v>
      </x:c>
      <x:c r="M1050" s="22"/>
      <x:c r="N1050" s="22"/>
      <x:c r="O1050" s="28"/>
      <x:c r="P1050" s="22"/>
      <x:c r="Q1050" s="22"/>
      <x:c r="R1050" s="28"/>
      <x:c r="S1050" s="22"/>
      <x:c r="T1050" s="23" t="n">
        <x:f>K1050</x:f>
        <x:v>34.006</x:v>
      </x:c>
      <x:c r="U1050" s="20" t="str">
        <x:f>IF(J1050="Рассчитано",N1050*(1-O1050/100),"н/д")</x:f>
        <x:v>н/д</x:v>
      </x:c>
      <x:c r="V1050" s="20" t="str">
        <x:f>IF(J1050="Рассчитано",T1050*U1050,"н/д")</x:f>
        <x:v>н/д</x:v>
      </x:c>
      <x:c r="W1050" s="20" t="str">
        <x:f>IF(J1050="Рассчитано",T1050*M1050,"н/д")</x:f>
        <x:v>н/д</x:v>
      </x:c>
      <x:c r="X1050" s="20" t="str">
        <x:f>IF(J1050="Рассчитано",V1050-W1050,"н/д")</x:f>
        <x:v>н/д</x:v>
      </x:c>
      <x:c r="Y1050" s="26" t="str">
        <x:f>IF(J1050="Рассчитано",IF(V1050&gt;0,G1050/V1050,"н/д"),"н/д")</x:f>
        <x:v>н/д</x:v>
      </x:c>
      <x:c r="Z1050" s="20" t="str">
        <x:f>"н/д"</x:f>
        <x:v>н/д</x:v>
      </x:c>
      <x:c r="AA1050" s="20" t="str">
        <x:f>"н/д"</x:f>
        <x:v>н/д</x:v>
      </x:c>
      <x:c r="AB1050" s="20" t="str">
        <x:f>"н/д"</x:f>
        <x:v>н/д</x:v>
      </x:c>
      <x:c r="AC1050" s="20" t="str">
        <x:f>IF(AND(J1050="Рассчитано",T1050&gt;0,R1050&lt;100),(W1050+P1050+Q1050)/(T1050*(1-R1050/100)),"н/д")</x:f>
        <x:v>н/д</x:v>
      </x:c>
      <x:c r="AD1050" s="11" t="str">
        <x:f>IF(ISNUMBER(G1050),IF(G1050&lt;0,"Убыток",IF(G1050=0,"Без прибыли","Прибыль &gt; 0")),"Не оценён")</x:f>
        <x:v>Не оценён</x:v>
      </x:c>
      <x:c r="AE1050" s="12" t="str">
        <x:f>IF(J1050="Рассчитано","Выручка "&amp;TEXT(V1050,"0.00")&amp;" - себестоимость "&amp;TEXT(W1050,"0.00")&amp;" - комиссия "&amp;TEXT(V1050*R1050/100,"0.00")&amp;" - доставка "&amp;TEXT(P1050,"0.00")&amp;" - прочие "&amp;TEXT(Q1050,"0.00")&amp;" = "&amp;TEXT(G1050,"0.00")&amp;" "&amp;L1050,"Введите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0" s="23" t="n">
        <x:v>63.99362421252143</x:v>
      </x:c>
      <x:c r="AG1050" s="23" t="n">
        <x:v>98</x:v>
      </x:c>
      <x:c r="AH1050" s="23" t="n">
        <x:v>0</x:v>
      </x:c>
      <x:c r="AI1050" s="29" t="n">
        <x:v>46266</x:v>
      </x:c>
      <x:c r="AJ1050" s="23" t="n">
        <x:v>84</x:v>
      </x:c>
      <x:c r="AK1050" s="11" t="str">
        <x:v>минимум</x:v>
      </x:c>
      <x:c r="AL1050" s="31" t="n">
        <x:v>130.22921216332668</x:v>
      </x:c>
      <x:c r="AM1050" s="12" t="str">
        <x:v>Остаток на начало сентября; Резервы неизвестны; Нет ежедневных данных доступности. Запас выше прогноза на 90 дней</x:v>
      </x:c>
      <x:c r="AN1050" s="12" t="str">
        <x:v>Проверить свободный остаток и установить цену для B2B</x:v>
      </x:c>
      <x:c r="AO1050" s="12" t="str">
        <x:v>Остаток 98; прогноз 90 дней 63.99; избыток 34.006 м. Будущие поступления не выставляются на продажу. Остаток на начало сентября: требуется актуализация.</x:v>
      </x:c>
      <x:c r="AP1050" s="12" t="str">
        <x:v>["category_missing", "daily_stockout_data_missing", "new_order_lead_time_unknown", "reservations_unknown", "stale_stock"]</x:v>
      </x:c>
      <x:c r="AQ1050" s="11" t="str">
        <x:v>IEK:280100375_</x:v>
      </x:c>
      <x:c r="AR1050" s="23" t="n">
        <x:v>0.001</x:v>
      </x:c>
      <x:c r="AS1050" s="23" t="n">
        <x:v>0</x:v>
      </x:c>
      <x:c r="AT1050" s="23" t="n">
        <x:v>0</x:v>
      </x:c>
    </x:row>
    <x:row r="1051" ht="64" customHeight="1">
      <x:c r="A1051" s="10" t="str">
        <x:v>IEK</x:v>
      </x:c>
      <x:c r="B1051" s="34" t="str">
        <x:v>280100377_</x:v>
      </x:c>
      <x:c r="C1051" s="34" t="str">
        <x:v>CKK10-025-016-1-K34</x:v>
      </x:c>
      <x:c r="D1051" s="13" t="str">
        <x:v>Кабель-канал 25х16 сосна ЭЛЕКОР IEK (50)</x:v>
      </x:c>
      <x:c r="E1051" s="10" t="str">
        <x:v>м</x:v>
      </x:c>
      <x:c r="F1051" s="24" t="n">
        <x:f>MAX(0,ROUNDDOWN((AG1051-AF1051)/AR1051+0.000000001,0)*AR1051)</x:f>
        <x:v>272.702</x:v>
      </x:c>
      <x:c r="G1051" s="21" t="str">
        <x:f>IF(J1051="Рассчитано",V1051*(1-R1051/100)-W1051-P1051-Q1051,"н/д")</x:f>
        <x:v>н/д</x:v>
      </x:c>
      <x:c r="H1051" s="13" t="str">
        <x:v>Высокий</x:v>
      </x:c>
      <x:c r="I1051" s="13" t="str">
        <x:v>Высокий</x:v>
      </x:c>
      <x:c r="J1051" s="13" t="str">
        <x:f>IF(L1051="","Укажите валюту",IF(NOT(ISNUMBER(K1051)),"Укажите объём",IF(K1051&lt;=0,"Укажите объём",IF(K1051&gt;F1051,"Объём выше излишка",IF(COUNT(M1051:O1051)&lt;3,"Нужны цены",IF(COUNT(P1051:R1051)&lt;3,"Нужны расходы",IF(OR(M1051&lt;0,N1051&lt;0,O1051&lt;0,O1051&gt;100,P1051&lt;0,Q1051&lt;0,R1051&lt;0,R1051&gt;100),"Проверьте значения","Рассчитано")))))))</x:f>
        <x:v>Нужны цены</x:v>
      </x:c>
      <x:c r="K1051" s="25" t="n">
        <x:v>272.702</x:v>
      </x:c>
      <x:c r="L1051" s="19" t="str">
        <x:v>KZT</x:v>
      </x:c>
      <x:c r="M1051" s="22"/>
      <x:c r="N1051" s="22"/>
      <x:c r="O1051" s="28"/>
      <x:c r="P1051" s="22"/>
      <x:c r="Q1051" s="22"/>
      <x:c r="R1051" s="28"/>
      <x:c r="S1051" s="22"/>
      <x:c r="T1051" s="24" t="n">
        <x:f>K1051</x:f>
        <x:v>272.702</x:v>
      </x:c>
      <x:c r="U1051" s="21" t="str">
        <x:f>IF(J1051="Рассчитано",N1051*(1-O1051/100),"н/д")</x:f>
        <x:v>н/д</x:v>
      </x:c>
      <x:c r="V1051" s="21" t="str">
        <x:f>IF(J1051="Рассчитано",T1051*U1051,"н/д")</x:f>
        <x:v>н/д</x:v>
      </x:c>
      <x:c r="W1051" s="21" t="str">
        <x:f>IF(J1051="Рассчитано",T1051*M1051,"н/д")</x:f>
        <x:v>н/д</x:v>
      </x:c>
      <x:c r="X1051" s="21" t="str">
        <x:f>IF(J1051="Рассчитано",V1051-W1051,"н/д")</x:f>
        <x:v>н/д</x:v>
      </x:c>
      <x:c r="Y1051" s="27" t="str">
        <x:f>IF(J1051="Рассчитано",IF(V1051&gt;0,G1051/V1051,"н/д"),"н/д")</x:f>
        <x:v>н/д</x:v>
      </x:c>
      <x:c r="Z1051" s="21" t="str">
        <x:f>"н/д"</x:f>
        <x:v>н/д</x:v>
      </x:c>
      <x:c r="AA1051" s="21" t="str">
        <x:f>"н/д"</x:f>
        <x:v>н/д</x:v>
      </x:c>
      <x:c r="AB1051" s="21" t="str">
        <x:f>"н/д"</x:f>
        <x:v>н/д</x:v>
      </x:c>
      <x:c r="AC1051" s="21" t="str">
        <x:f>IF(AND(J1051="Рассчитано",T1051&gt;0,R1051&lt;100),(W1051+P1051+Q1051)/(T1051*(1-R1051/100)),"н/д")</x:f>
        <x:v>н/д</x:v>
      </x:c>
      <x:c r="AD1051" s="10" t="str">
        <x:f>IF(ISNUMBER(G1051),IF(G1051&lt;0,"Убыток",IF(G1051=0,"Без прибыли","Прибыль &gt; 0")),"Не оценён")</x:f>
        <x:v>Не оценён</x:v>
      </x:c>
      <x:c r="AE1051" s="13" t="str">
        <x:f>IF(J1051="Рассчитано","Выручка "&amp;TEXT(V1051,"0.00")&amp;" - себестоимость "&amp;TEXT(W1051,"0.00")&amp;" - комиссия "&amp;TEXT(V1051*R1051/100,"0.00")&amp;" - доставка "&amp;TEXT(P1051,"0.00")&amp;" - прочие "&amp;TEXT(Q1051,"0.00")&amp;" = "&amp;TEXT(G1051,"0.00")&amp;" "&amp;L1051,"Введите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1" s="24" t="n">
        <x:v>27.297332588968896</x:v>
      </x:c>
      <x:c r="AG1051" s="24" t="n">
        <x:v>300</x:v>
      </x:c>
      <x:c r="AH1051" s="24" t="n">
        <x:v>0</x:v>
      </x:c>
      <x:c r="AI1051" s="30" t="n">
        <x:v>46266</x:v>
      </x:c>
      <x:c r="AJ1051" s="24" t="n">
        <x:v>50</x:v>
      </x:c>
      <x:c r="AK1051" s="10" t="str">
        <x:v>минимум</x:v>
      </x:c>
      <x:c r="AL1051" s="32" t="n">
        <x:v>934.5877575359974</x:v>
      </x:c>
      <x:c r="AM105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51" s="13" t="str">
        <x:v>Проверить свободный остаток и установить цену для B2B</x:v>
      </x:c>
      <x:c r="AO1051" s="13" t="str">
        <x:v>Остаток 300; прогноз 90 дней 27.30; избыток 272.702 м. Будущие поступления не выставляются на продажу. Остаток на начало сентября: требуется актуализация.</x:v>
      </x:c>
      <x:c r="AP1051" s="13" t="str">
        <x:v>["category_missing", "daily_stockout_data_missing", "new_order_lead_time_unknown", "reservations_unknown", "stale_stock"]</x:v>
      </x:c>
      <x:c r="AQ1051" s="10" t="str">
        <x:v>IEK:280100377_</x:v>
      </x:c>
      <x:c r="AR1051" s="24" t="n">
        <x:v>0.001</x:v>
      </x:c>
      <x:c r="AS1051" s="24" t="n">
        <x:v>0</x:v>
      </x:c>
      <x:c r="AT1051" s="24" t="n">
        <x:v>0</x:v>
      </x:c>
    </x:row>
    <x:row r="1052" ht="64" customHeight="1">
      <x:c r="A1052" s="11" t="str">
        <x:v>IEK</x:v>
      </x:c>
      <x:c r="B1052" s="33" t="str">
        <x:v>280100378_</x:v>
      </x:c>
      <x:c r="C1052" s="33" t="str">
        <x:v>CKK10-040-016-1-K34</x:v>
      </x:c>
      <x:c r="D1052" s="12" t="str">
        <x:v>Кабель-канал 40х16 сосна ЭЛЕКОР IEK (30)</x:v>
      </x:c>
      <x:c r="E1052" s="11" t="str">
        <x:v>м</x:v>
      </x:c>
      <x:c r="F1052" s="23" t="n">
        <x:f>MAX(0,ROUNDDOWN((AG1052-AF1052)/AR1052+0.000000001,0)*AR1052)</x:f>
        <x:v>33.457</x:v>
      </x:c>
      <x:c r="G1052" s="20" t="str">
        <x:f>IF(J1052="Рассчитано",V1052*(1-R1052/100)-W1052-P1052-Q1052,"н/д")</x:f>
        <x:v>н/д</x:v>
      </x:c>
      <x:c r="H1052" s="12" t="str">
        <x:v>Высокий</x:v>
      </x:c>
      <x:c r="I1052" s="12" t="str">
        <x:v>Высокий</x:v>
      </x:c>
      <x:c r="J1052" s="12" t="str">
        <x:f>IF(L1052="","Укажите валюту",IF(NOT(ISNUMBER(K1052)),"Укажите объём",IF(K1052&lt;=0,"Укажите объём",IF(K1052&gt;F1052,"Объём выше излишка",IF(COUNT(M1052:O1052)&lt;3,"Нужны цены",IF(COUNT(P1052:R1052)&lt;3,"Нужны расходы",IF(OR(M1052&lt;0,N1052&lt;0,O1052&lt;0,O1052&gt;100,P1052&lt;0,Q1052&lt;0,R1052&lt;0,R1052&gt;100),"Проверьте значения","Рассчитано")))))))</x:f>
        <x:v>Нужны цены</x:v>
      </x:c>
      <x:c r="K1052" s="25" t="n">
        <x:v>33.457</x:v>
      </x:c>
      <x:c r="L1052" s="19" t="str">
        <x:v>KZT</x:v>
      </x:c>
      <x:c r="M1052" s="22"/>
      <x:c r="N1052" s="22"/>
      <x:c r="O1052" s="28"/>
      <x:c r="P1052" s="22"/>
      <x:c r="Q1052" s="22"/>
      <x:c r="R1052" s="28"/>
      <x:c r="S1052" s="22"/>
      <x:c r="T1052" s="23" t="n">
        <x:f>K1052</x:f>
        <x:v>33.457</x:v>
      </x:c>
      <x:c r="U1052" s="20" t="str">
        <x:f>IF(J1052="Рассчитано",N1052*(1-O1052/100),"н/д")</x:f>
        <x:v>н/д</x:v>
      </x:c>
      <x:c r="V1052" s="20" t="str">
        <x:f>IF(J1052="Рассчитано",T1052*U1052,"н/д")</x:f>
        <x:v>н/д</x:v>
      </x:c>
      <x:c r="W1052" s="20" t="str">
        <x:f>IF(J1052="Рассчитано",T1052*M1052,"н/д")</x:f>
        <x:v>н/д</x:v>
      </x:c>
      <x:c r="X1052" s="20" t="str">
        <x:f>IF(J1052="Рассчитано",V1052-W1052,"н/д")</x:f>
        <x:v>н/д</x:v>
      </x:c>
      <x:c r="Y1052" s="26" t="str">
        <x:f>IF(J1052="Рассчитано",IF(V1052&gt;0,G1052/V1052,"н/д"),"н/д")</x:f>
        <x:v>н/д</x:v>
      </x:c>
      <x:c r="Z1052" s="20" t="str">
        <x:f>"н/д"</x:f>
        <x:v>н/д</x:v>
      </x:c>
      <x:c r="AA1052" s="20" t="str">
        <x:f>"н/д"</x:f>
        <x:v>н/д</x:v>
      </x:c>
      <x:c r="AB1052" s="20" t="str">
        <x:f>"н/д"</x:f>
        <x:v>н/д</x:v>
      </x:c>
      <x:c r="AC1052" s="20" t="str">
        <x:f>IF(AND(J1052="Рассчитано",T1052&gt;0,R1052&lt;100),(W1052+P1052+Q1052)/(T1052*(1-R1052/100)),"н/д")</x:f>
        <x:v>н/д</x:v>
      </x:c>
      <x:c r="AD1052" s="11" t="str">
        <x:f>IF(ISNUMBER(G1052),IF(G1052&lt;0,"Убыток",IF(G1052=0,"Без прибыли","Прибыль &gt; 0")),"Не оценён")</x:f>
        <x:v>Не оценён</x:v>
      </x:c>
      <x:c r="AE1052" s="12" t="str">
        <x:f>IF(J1052="Рассчитано","Выручка "&amp;TEXT(V1052,"0.00")&amp;" - себестоимость "&amp;TEXT(W1052,"0.00")&amp;" - комиссия "&amp;TEXT(V1052*R1052/100,"0.00")&amp;" - доставка "&amp;TEXT(P1052,"0.00")&amp;" - прочие "&amp;TEXT(Q1052,"0.00")&amp;" = "&amp;TEXT(G1052,"0.00")&amp;" "&amp;L1052,"Введите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2" s="23" t="n">
        <x:v>4.542257490736116</x:v>
      </x:c>
      <x:c r="AG1052" s="23" t="n">
        <x:v>38</x:v>
      </x:c>
      <x:c r="AH1052" s="23" t="n">
        <x:v>0</x:v>
      </x:c>
      <x:c r="AI1052" s="29" t="n">
        <x:v>46266</x:v>
      </x:c>
      <x:c r="AJ1052" s="23" t="n">
        <x:v>30</x:v>
      </x:c>
      <x:c r="AK1052" s="11" t="str">
        <x:v>минимум</x:v>
      </x:c>
      <x:c r="AL1052" s="31" t="n">
        <x:v>711.4278970435935</x:v>
      </x:c>
      <x:c r="AM105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52" s="12" t="str">
        <x:v>Проверить свободный остаток и установить цену для B2B</x:v>
      </x:c>
      <x:c r="AO1052" s="12" t="str">
        <x:v>Остаток 38; прогноз 90 дней 4.54; избыток 33.457 м. Будущие поступления не выставляются на продажу. Остаток на начало сентября: требуется актуализация.</x:v>
      </x:c>
      <x:c r="AP1052" s="12" t="str">
        <x:v>["category_missing", "daily_stockout_data_missing", "new_order_lead_time_unknown", "reservations_unknown", "stale_stock"]</x:v>
      </x:c>
      <x:c r="AQ1052" s="11" t="str">
        <x:v>IEK:280100378_</x:v>
      </x:c>
      <x:c r="AR1052" s="23" t="n">
        <x:v>0.001</x:v>
      </x:c>
      <x:c r="AS1052" s="23" t="n">
        <x:v>0</x:v>
      </x:c>
      <x:c r="AT1052" s="23" t="n">
        <x:v>0</x:v>
      </x:c>
    </x:row>
    <x:row r="1053" ht="64" customHeight="1">
      <x:c r="A1053" s="10" t="str">
        <x:v>IEK</x:v>
      </x:c>
      <x:c r="B1053" s="34" t="str">
        <x:v>280100379_</x:v>
      </x:c>
      <x:c r="C1053" s="34" t="str">
        <x:v>CKK10-040-025-1-K34</x:v>
      </x:c>
      <x:c r="D1053" s="13" t="str">
        <x:v>Кабель-канал 40х25 сосна ЭЛЕКОР IEK (18)</x:v>
      </x:c>
      <x:c r="E1053" s="10" t="str">
        <x:v>м</x:v>
      </x:c>
      <x:c r="F1053" s="24" t="n">
        <x:f>MAX(0,ROUNDDOWN((AG1053-AF1053)/AR1053+0.000000001,0)*AR1053)</x:f>
        <x:v>30.158</x:v>
      </x:c>
      <x:c r="G1053" s="21" t="str">
        <x:f>IF(J1053="Рассчитано",V1053*(1-R1053/100)-W1053-P1053-Q1053,"н/д")</x:f>
        <x:v>н/д</x:v>
      </x:c>
      <x:c r="H1053" s="13" t="str">
        <x:v>Высокий</x:v>
      </x:c>
      <x:c r="I1053" s="13" t="str">
        <x:v>Высокий</x:v>
      </x:c>
      <x:c r="J1053" s="13" t="str">
        <x:f>IF(L1053="","Укажите валюту",IF(NOT(ISNUMBER(K1053)),"Укажите объём",IF(K1053&lt;=0,"Укажите объём",IF(K1053&gt;F1053,"Объём выше излишка",IF(COUNT(M1053:O1053)&lt;3,"Нужны цены",IF(COUNT(P1053:R1053)&lt;3,"Нужны расходы",IF(OR(M1053&lt;0,N1053&lt;0,O1053&lt;0,O1053&gt;100,P1053&lt;0,Q1053&lt;0,R1053&lt;0,R1053&gt;100),"Проверьте значения","Рассчитано")))))))</x:f>
        <x:v>Нужны цены</x:v>
      </x:c>
      <x:c r="K1053" s="25" t="n">
        <x:v>30.158</x:v>
      </x:c>
      <x:c r="L1053" s="19" t="str">
        <x:v>KZT</x:v>
      </x:c>
      <x:c r="M1053" s="22"/>
      <x:c r="N1053" s="22"/>
      <x:c r="O1053" s="28"/>
      <x:c r="P1053" s="22"/>
      <x:c r="Q1053" s="22"/>
      <x:c r="R1053" s="28"/>
      <x:c r="S1053" s="22"/>
      <x:c r="T1053" s="24" t="n">
        <x:f>K1053</x:f>
        <x:v>30.158</x:v>
      </x:c>
      <x:c r="U1053" s="21" t="str">
        <x:f>IF(J1053="Рассчитано",N1053*(1-O1053/100),"н/д")</x:f>
        <x:v>н/д</x:v>
      </x:c>
      <x:c r="V1053" s="21" t="str">
        <x:f>IF(J1053="Рассчитано",T1053*U1053,"н/д")</x:f>
        <x:v>н/д</x:v>
      </x:c>
      <x:c r="W1053" s="21" t="str">
        <x:f>IF(J1053="Рассчитано",T1053*M1053,"н/д")</x:f>
        <x:v>н/д</x:v>
      </x:c>
      <x:c r="X1053" s="21" t="str">
        <x:f>IF(J1053="Рассчитано",V1053-W1053,"н/д")</x:f>
        <x:v>н/д</x:v>
      </x:c>
      <x:c r="Y1053" s="27" t="str">
        <x:f>IF(J1053="Рассчитано",IF(V1053&gt;0,G1053/V1053,"н/д"),"н/д")</x:f>
        <x:v>н/д</x:v>
      </x:c>
      <x:c r="Z1053" s="21" t="str">
        <x:f>"н/д"</x:f>
        <x:v>н/д</x:v>
      </x:c>
      <x:c r="AA1053" s="21" t="str">
        <x:f>"н/д"</x:f>
        <x:v>н/д</x:v>
      </x:c>
      <x:c r="AB1053" s="21" t="str">
        <x:f>"н/д"</x:f>
        <x:v>н/д</x:v>
      </x:c>
      <x:c r="AC1053" s="21" t="str">
        <x:f>IF(AND(J1053="Рассчитано",T1053&gt;0,R1053&lt;100),(W1053+P1053+Q1053)/(T1053*(1-R1053/100)),"н/д")</x:f>
        <x:v>н/д</x:v>
      </x:c>
      <x:c r="AD1053" s="10" t="str">
        <x:f>IF(ISNUMBER(G1053),IF(G1053&lt;0,"Убыток",IF(G1053=0,"Без прибыли","Прибыль &gt; 0")),"Не оценён")</x:f>
        <x:v>Не оценён</x:v>
      </x:c>
      <x:c r="AE1053" s="13" t="str">
        <x:f>IF(J1053="Рассчитано","Выручка "&amp;TEXT(V1053,"0.00")&amp;" - себестоимость "&amp;TEXT(W1053,"0.00")&amp;" - комиссия "&amp;TEXT(V1053*R1053/100,"0.00")&amp;" - доставка "&amp;TEXT(P1053,"0.00")&amp;" - прочие "&amp;TEXT(Q1053,"0.00")&amp;" = "&amp;TEXT(G1053,"0.00")&amp;" "&amp;L1053,"Введите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3" s="24" t="n">
        <x:v>7.841651404081108</x:v>
      </x:c>
      <x:c r="AG1053" s="24" t="n">
        <x:v>38</x:v>
      </x:c>
      <x:c r="AH1053" s="24" t="n">
        <x:v>0</x:v>
      </x:c>
      <x:c r="AI1053" s="30" t="n">
        <x:v>46266</x:v>
      </x:c>
      <x:c r="AJ1053" s="24" t="n">
        <x:v>18</x:v>
      </x:c>
      <x:c r="AK1053" s="10" t="str">
        <x:v>минимум</x:v>
      </x:c>
      <x:c r="AL1053" s="32" t="n">
        <x:v>412.09287788323627</x:v>
      </x:c>
      <x:c r="AM10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53" s="13" t="str">
        <x:v>Проверить свободный остаток и установить цену для B2B</x:v>
      </x:c>
      <x:c r="AO1053" s="13" t="str">
        <x:v>Остаток 38; прогноз 90 дней 7.84; избыток 30.158 м. Будущие поступления не выставляются на продажу. Остаток на начало сентября: требуется актуализация.</x:v>
      </x:c>
      <x:c r="AP1053" s="13" t="str">
        <x:v>["category_missing", "daily_stockout_data_missing", "new_order_lead_time_unknown", "reservations_unknown", "stale_stock"]</x:v>
      </x:c>
      <x:c r="AQ1053" s="10" t="str">
        <x:v>IEK:280100379_</x:v>
      </x:c>
      <x:c r="AR1053" s="24" t="n">
        <x:v>0.001</x:v>
      </x:c>
      <x:c r="AS1053" s="24" t="n">
        <x:v>0</x:v>
      </x:c>
      <x:c r="AT1053" s="24" t="n">
        <x:v>0</x:v>
      </x:c>
    </x:row>
    <x:row r="1054" ht="64" customHeight="1">
      <x:c r="A1054" s="11" t="str">
        <x:v>IEK</x:v>
      </x:c>
      <x:c r="B1054" s="33" t="str">
        <x:v>280100380_</x:v>
      </x:c>
      <x:c r="C1054" s="33" t="str">
        <x:v>EL-KK10D-N-016-016-K34</x:v>
      </x:c>
      <x:c r="D1054" s="12" t="str">
        <x:v>Угол внешний КМН 16х16 сосна ЭЛЕКОР IEK (4шт/компл)</x:v>
      </x:c>
      <x:c r="E1054" s="11" t="str">
        <x:v>шт</x:v>
      </x:c>
      <x:c r="F1054" s="35" t="n">
        <x:f>MAX(0,ROUNDDOWN((AG1054-AF1054)/AR1054+0.000000001,0)*AR1054)</x:f>
        <x:v>28</x:v>
      </x:c>
      <x:c r="G1054" s="20" t="str">
        <x:f>IF(J1054="Рассчитано",V1054*(1-R1054/100)-W1054-P1054-Q1054,"н/д")</x:f>
        <x:v>н/д</x:v>
      </x:c>
      <x:c r="H1054" s="12" t="str">
        <x:v>Высокий</x:v>
      </x:c>
      <x:c r="I1054" s="12" t="str">
        <x:v>Высокий</x:v>
      </x:c>
      <x:c r="J1054" s="12" t="str">
        <x:f>IF(L1054="","Укажите валюту",IF(NOT(ISNUMBER(K1054)),"Укажите объём",IF(K1054&lt;=0,"Укажите объём",IF(K1054&gt;F1054,"Объём выше излишка",IF(COUNT(M1054:O1054)&lt;3,"Нужны цены",IF(COUNT(P1054:R1054)&lt;3,"Нужны расходы",IF(OR(M1054&lt;0,N1054&lt;0,O1054&lt;0,O1054&gt;100,P1054&lt;0,Q1054&lt;0,R1054&lt;0,R1054&gt;100),"Проверьте значения","Рассчитано")))))))</x:f>
        <x:v>Нужны цены</x:v>
      </x:c>
      <x:c r="K1054" s="36" t="n">
        <x:v>28</x:v>
      </x:c>
      <x:c r="L1054" s="19" t="str">
        <x:v>KZT</x:v>
      </x:c>
      <x:c r="M1054" s="22"/>
      <x:c r="N1054" s="22"/>
      <x:c r="O1054" s="28"/>
      <x:c r="P1054" s="22"/>
      <x:c r="Q1054" s="22"/>
      <x:c r="R1054" s="28"/>
      <x:c r="S1054" s="22"/>
      <x:c r="T1054" s="35" t="n">
        <x:f>K1054</x:f>
        <x:v>28</x:v>
      </x:c>
      <x:c r="U1054" s="20" t="str">
        <x:f>IF(J1054="Рассчитано",N1054*(1-O1054/100),"н/д")</x:f>
        <x:v>н/д</x:v>
      </x:c>
      <x:c r="V1054" s="20" t="str">
        <x:f>IF(J1054="Рассчитано",T1054*U1054,"н/д")</x:f>
        <x:v>н/д</x:v>
      </x:c>
      <x:c r="W1054" s="20" t="str">
        <x:f>IF(J1054="Рассчитано",T1054*M1054,"н/д")</x:f>
        <x:v>н/д</x:v>
      </x:c>
      <x:c r="X1054" s="20" t="str">
        <x:f>IF(J1054="Рассчитано",V1054-W1054,"н/д")</x:f>
        <x:v>н/д</x:v>
      </x:c>
      <x:c r="Y1054" s="26" t="str">
        <x:f>IF(J1054="Рассчитано",IF(V1054&gt;0,G1054/V1054,"н/д"),"н/д")</x:f>
        <x:v>н/д</x:v>
      </x:c>
      <x:c r="Z1054" s="20" t="str">
        <x:f>"н/д"</x:f>
        <x:v>н/д</x:v>
      </x:c>
      <x:c r="AA1054" s="20" t="str">
        <x:f>"н/д"</x:f>
        <x:v>н/д</x:v>
      </x:c>
      <x:c r="AB1054" s="20" t="str">
        <x:f>"н/д"</x:f>
        <x:v>н/д</x:v>
      </x:c>
      <x:c r="AC1054" s="20" t="str">
        <x:f>IF(AND(J1054="Рассчитано",T1054&gt;0,R1054&lt;100),(W1054+P1054+Q1054)/(T1054*(1-R1054/100)),"н/д")</x:f>
        <x:v>н/д</x:v>
      </x:c>
      <x:c r="AD1054" s="11" t="str">
        <x:f>IF(ISNUMBER(G1054),IF(G1054&lt;0,"Убыток",IF(G1054=0,"Без прибыли","Прибыль &gt; 0")),"Не оценён")</x:f>
        <x:v>Не оценён</x:v>
      </x:c>
      <x:c r="AE1054" s="12" t="str">
        <x:f>IF(J1054="Рассчитано","Выручка "&amp;TEXT(V1054,"0.00")&amp;" - себестоимость "&amp;TEXT(W1054,"0.00")&amp;" - комиссия "&amp;TEXT(V1054*R1054/100,"0.00")&amp;" - доставка "&amp;TEXT(P1054,"0.00")&amp;" - прочие "&amp;TEXT(Q1054,"0.00")&amp;" = "&amp;TEXT(G1054,"0.00")&amp;" "&amp;L1054,"Введите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4" s="23" t="n">
        <x:v>0</x:v>
      </x:c>
      <x:c r="AG1054" s="35" t="n">
        <x:v>28</x:v>
      </x:c>
      <x:c r="AH1054" s="35" t="n">
        <x:v>0</x:v>
      </x:c>
      <x:c r="AI1054" s="29" t="n">
        <x:v>46266</x:v>
      </x:c>
      <x:c r="AJ1054" s="35"/>
      <x:c r="AK1054" s="11" t="str">
        <x:v>неизвестно</x:v>
      </x:c>
      <x:c r="AL1054" s="31" t="str">
        <x:v>н/д</x:v>
      </x:c>
      <x:c r="AM105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54" s="12" t="str">
        <x:v>Проверить свободный остаток и установить цену для B2B</x:v>
      </x:c>
      <x:c r="AO1054" s="12" t="str">
        <x:v>Остаток 28; прогноз 90 дней 0.00; избыток 28 шт. Будущие поступления не выставляются на продажу. Остаток на начало сентября: требуется актуализация.</x:v>
      </x:c>
      <x:c r="AP1054" s="12" t="str">
        <x:v>["category_missing", "daily_stockout_data_missing", "moq_missing", "new_order_lead_time_unknown", "reservations_unknown", "stale_stock"]</x:v>
      </x:c>
      <x:c r="AQ1054" s="11" t="str">
        <x:v>IEK:280100380_</x:v>
      </x:c>
      <x:c r="AR1054" s="23" t="n">
        <x:v>1</x:v>
      </x:c>
      <x:c r="AS1054" s="23" t="n">
        <x:v>0</x:v>
      </x:c>
      <x:c r="AT1054" s="23" t="n">
        <x:v>0</x:v>
      </x:c>
    </x:row>
    <x:row r="1055" ht="64" customHeight="1">
      <x:c r="A1055" s="10" t="str">
        <x:v>IEK</x:v>
      </x:c>
      <x:c r="B1055" s="34" t="str">
        <x:v>280100385_</x:v>
      </x:c>
      <x:c r="C1055" s="34" t="str">
        <x:v>EL-KK10D-V-025-016-K34</x:v>
      </x:c>
      <x:c r="D1055" s="13" t="str">
        <x:v>Угол внутренний КМВ 25х16 сосна ЭЛЕКОР IEK (4шт/компл)</x:v>
      </x:c>
      <x:c r="E1055" s="10" t="str">
        <x:v>шт</x:v>
      </x:c>
      <x:c r="F1055" s="37" t="n">
        <x:f>MAX(0,ROUNDDOWN((AG1055-AF1055)/AR1055+0.000000001,0)*AR1055)</x:f>
        <x:v>7</x:v>
      </x:c>
      <x:c r="G1055" s="21" t="str">
        <x:f>IF(J1055="Рассчитано",V1055*(1-R1055/100)-W1055-P1055-Q1055,"н/д")</x:f>
        <x:v>н/д</x:v>
      </x:c>
      <x:c r="H1055" s="13" t="str">
        <x:v>Высокий</x:v>
      </x:c>
      <x:c r="I1055" s="13" t="str">
        <x:v>Высокий</x:v>
      </x:c>
      <x:c r="J1055" s="13" t="str">
        <x:f>IF(L1055="","Укажите валюту",IF(NOT(ISNUMBER(K1055)),"Укажите объём",IF(K1055&lt;=0,"Укажите объём",IF(K1055&gt;F1055,"Объём выше излишка",IF(COUNT(M1055:O1055)&lt;3,"Нужны цены",IF(COUNT(P1055:R1055)&lt;3,"Нужны расходы",IF(OR(M1055&lt;0,N1055&lt;0,O1055&lt;0,O1055&gt;100,P1055&lt;0,Q1055&lt;0,R1055&lt;0,R1055&gt;100),"Проверьте значения","Рассчитано")))))))</x:f>
        <x:v>Нужны цены</x:v>
      </x:c>
      <x:c r="K1055" s="36" t="n">
        <x:v>7</x:v>
      </x:c>
      <x:c r="L1055" s="19" t="str">
        <x:v>KZT</x:v>
      </x:c>
      <x:c r="M1055" s="22"/>
      <x:c r="N1055" s="22"/>
      <x:c r="O1055" s="28"/>
      <x:c r="P1055" s="22"/>
      <x:c r="Q1055" s="22"/>
      <x:c r="R1055" s="28"/>
      <x:c r="S1055" s="22"/>
      <x:c r="T1055" s="37" t="n">
        <x:f>K1055</x:f>
        <x:v>7</x:v>
      </x:c>
      <x:c r="U1055" s="21" t="str">
        <x:f>IF(J1055="Рассчитано",N1055*(1-O1055/100),"н/д")</x:f>
        <x:v>н/д</x:v>
      </x:c>
      <x:c r="V1055" s="21" t="str">
        <x:f>IF(J1055="Рассчитано",T1055*U1055,"н/д")</x:f>
        <x:v>н/д</x:v>
      </x:c>
      <x:c r="W1055" s="21" t="str">
        <x:f>IF(J1055="Рассчитано",T1055*M1055,"н/д")</x:f>
        <x:v>н/д</x:v>
      </x:c>
      <x:c r="X1055" s="21" t="str">
        <x:f>IF(J1055="Рассчитано",V1055-W1055,"н/д")</x:f>
        <x:v>н/д</x:v>
      </x:c>
      <x:c r="Y1055" s="27" t="str">
        <x:f>IF(J1055="Рассчитано",IF(V1055&gt;0,G1055/V1055,"н/д"),"н/д")</x:f>
        <x:v>н/д</x:v>
      </x:c>
      <x:c r="Z1055" s="21" t="str">
        <x:f>"н/д"</x:f>
        <x:v>н/д</x:v>
      </x:c>
      <x:c r="AA1055" s="21" t="str">
        <x:f>"н/д"</x:f>
        <x:v>н/д</x:v>
      </x:c>
      <x:c r="AB1055" s="21" t="str">
        <x:f>"н/д"</x:f>
        <x:v>н/д</x:v>
      </x:c>
      <x:c r="AC1055" s="21" t="str">
        <x:f>IF(AND(J1055="Рассчитано",T1055&gt;0,R1055&lt;100),(W1055+P1055+Q1055)/(T1055*(1-R1055/100)),"н/д")</x:f>
        <x:v>н/д</x:v>
      </x:c>
      <x:c r="AD1055" s="10" t="str">
        <x:f>IF(ISNUMBER(G1055),IF(G1055&lt;0,"Убыток",IF(G1055=0,"Без прибыли","Прибыль &gt; 0")),"Не оценён")</x:f>
        <x:v>Не оценён</x:v>
      </x:c>
      <x:c r="AE1055" s="13" t="str">
        <x:f>IF(J1055="Рассчитано","Выручка "&amp;TEXT(V1055,"0.00")&amp;" - себестоимость "&amp;TEXT(W1055,"0.00")&amp;" - комиссия "&amp;TEXT(V1055*R1055/100,"0.00")&amp;" - доставка "&amp;TEXT(P1055,"0.00")&amp;" - прочие "&amp;TEXT(Q1055,"0.00")&amp;" = "&amp;TEXT(G1055,"0.00")&amp;" "&amp;L1055,"Введите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5" s="24" t="n">
        <x:v>6.2648702814950274</x:v>
      </x:c>
      <x:c r="AG1055" s="37" t="n">
        <x:v>14</x:v>
      </x:c>
      <x:c r="AH1055" s="37" t="n">
        <x:v>0</x:v>
      </x:c>
      <x:c r="AI1055" s="30" t="n">
        <x:v>46266</x:v>
      </x:c>
      <x:c r="AJ1055" s="37"/>
      <x:c r="AK1055" s="10" t="str">
        <x:v>неизвестно</x:v>
      </x:c>
      <x:c r="AL1055" s="32" t="n">
        <x:v>190.03561333079992</x:v>
      </x:c>
      <x:c r="AM105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55" s="13" t="str">
        <x:v>Проверить свободный остаток и установить цену для B2B</x:v>
      </x:c>
      <x:c r="AO1055" s="13" t="str">
        <x:v>Остаток 14; прогноз 90 дней 6.26; избыток 7 шт. Будущие поступления не выставляются на продажу. Остаток на начало сентября: требуется актуализация.</x:v>
      </x:c>
      <x:c r="AP1055" s="13" t="str">
        <x:v>["category_missing", "daily_stockout_data_missing", "moq_missing", "new_order_lead_time_unknown", "reservations_unknown", "stale_stock"]</x:v>
      </x:c>
      <x:c r="AQ1055" s="10" t="str">
        <x:v>IEK:280100385_</x:v>
      </x:c>
      <x:c r="AR1055" s="24" t="n">
        <x:v>1</x:v>
      </x:c>
      <x:c r="AS1055" s="24" t="n">
        <x:v>0</x:v>
      </x:c>
      <x:c r="AT1055" s="24" t="n">
        <x:v>0</x:v>
      </x:c>
    </x:row>
    <x:row r="1056" ht="64" customHeight="1">
      <x:c r="A1056" s="11" t="str">
        <x:v>IEK</x:v>
      </x:c>
      <x:c r="B1056" s="33" t="str">
        <x:v>280100396_</x:v>
      </x:c>
      <x:c r="C1056" s="33" t="str">
        <x:v>EL-KK10D-P-040-025-K34</x:v>
      </x:c>
      <x:c r="D1056" s="12" t="str">
        <x:v>Поворот 90град КМП 40х25 сосна ЭЛЕКОР IEK (4шт/компл)</x:v>
      </x:c>
      <x:c r="E1056" s="11" t="str">
        <x:v>шт</x:v>
      </x:c>
      <x:c r="F1056" s="35" t="n">
        <x:f>MAX(0,ROUNDDOWN((AG1056-AF1056)/AR1056+0.000000001,0)*AR1056)</x:f>
        <x:v>4</x:v>
      </x:c>
      <x:c r="G1056" s="20" t="str">
        <x:f>IF(J1056="Рассчитано",V1056*(1-R1056/100)-W1056-P1056-Q1056,"н/д")</x:f>
        <x:v>н/д</x:v>
      </x:c>
      <x:c r="H1056" s="12" t="str">
        <x:v>Высокий</x:v>
      </x:c>
      <x:c r="I1056" s="12" t="str">
        <x:v>Высокий</x:v>
      </x:c>
      <x:c r="J1056" s="12" t="str">
        <x:f>IF(L1056="","Укажите валюту",IF(NOT(ISNUMBER(K1056)),"Укажите объём",IF(K1056&lt;=0,"Укажите объём",IF(K1056&gt;F1056,"Объём выше излишка",IF(COUNT(M1056:O1056)&lt;3,"Нужны цены",IF(COUNT(P1056:R1056)&lt;3,"Нужны расходы",IF(OR(M1056&lt;0,N1056&lt;0,O1056&lt;0,O1056&gt;100,P1056&lt;0,Q1056&lt;0,R1056&lt;0,R1056&gt;100),"Проверьте значения","Рассчитано")))))))</x:f>
        <x:v>Нужны цены</x:v>
      </x:c>
      <x:c r="K1056" s="36" t="n">
        <x:v>4</x:v>
      </x:c>
      <x:c r="L1056" s="19" t="str">
        <x:v>KZT</x:v>
      </x:c>
      <x:c r="M1056" s="22"/>
      <x:c r="N1056" s="22"/>
      <x:c r="O1056" s="28"/>
      <x:c r="P1056" s="22"/>
      <x:c r="Q1056" s="22"/>
      <x:c r="R1056" s="28"/>
      <x:c r="S1056" s="22"/>
      <x:c r="T1056" s="35" t="n">
        <x:f>K1056</x:f>
        <x:v>4</x:v>
      </x:c>
      <x:c r="U1056" s="20" t="str">
        <x:f>IF(J1056="Рассчитано",N1056*(1-O1056/100),"н/д")</x:f>
        <x:v>н/д</x:v>
      </x:c>
      <x:c r="V1056" s="20" t="str">
        <x:f>IF(J1056="Рассчитано",T1056*U1056,"н/д")</x:f>
        <x:v>н/д</x:v>
      </x:c>
      <x:c r="W1056" s="20" t="str">
        <x:f>IF(J1056="Рассчитано",T1056*M1056,"н/д")</x:f>
        <x:v>н/д</x:v>
      </x:c>
      <x:c r="X1056" s="20" t="str">
        <x:f>IF(J1056="Рассчитано",V1056-W1056,"н/д")</x:f>
        <x:v>н/д</x:v>
      </x:c>
      <x:c r="Y1056" s="26" t="str">
        <x:f>IF(J1056="Рассчитано",IF(V1056&gt;0,G1056/V1056,"н/д"),"н/д")</x:f>
        <x:v>н/д</x:v>
      </x:c>
      <x:c r="Z1056" s="20" t="str">
        <x:f>"н/д"</x:f>
        <x:v>н/д</x:v>
      </x:c>
      <x:c r="AA1056" s="20" t="str">
        <x:f>"н/д"</x:f>
        <x:v>н/д</x:v>
      </x:c>
      <x:c r="AB1056" s="20" t="str">
        <x:f>"н/д"</x:f>
        <x:v>н/д</x:v>
      </x:c>
      <x:c r="AC1056" s="20" t="str">
        <x:f>IF(AND(J1056="Рассчитано",T1056&gt;0,R1056&lt;100),(W1056+P1056+Q1056)/(T1056*(1-R1056/100)),"н/д")</x:f>
        <x:v>н/д</x:v>
      </x:c>
      <x:c r="AD1056" s="11" t="str">
        <x:f>IF(ISNUMBER(G1056),IF(G1056&lt;0,"Убыток",IF(G1056=0,"Без прибыли","Прибыль &gt; 0")),"Не оценён")</x:f>
        <x:v>Не оценён</x:v>
      </x:c>
      <x:c r="AE1056" s="12" t="str">
        <x:f>IF(J1056="Рассчитано","Выручка "&amp;TEXT(V1056,"0.00")&amp;" - себестоимость "&amp;TEXT(W1056,"0.00")&amp;" - комиссия "&amp;TEXT(V1056*R1056/100,"0.00")&amp;" - доставка "&amp;TEXT(P1056,"0.00")&amp;" - прочие "&amp;TEXT(Q1056,"0.00")&amp;" = "&amp;TEXT(G1056,"0.00")&amp;" "&amp;L1056,"Введите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6" s="23" t="n">
        <x:v>0</x:v>
      </x:c>
      <x:c r="AG1056" s="35" t="n">
        <x:v>4</x:v>
      </x:c>
      <x:c r="AH1056" s="35" t="n">
        <x:v>0</x:v>
      </x:c>
      <x:c r="AI1056" s="29" t="n">
        <x:v>46266</x:v>
      </x:c>
      <x:c r="AJ1056" s="35"/>
      <x:c r="AK1056" s="11" t="str">
        <x:v>неизвестно</x:v>
      </x:c>
      <x:c r="AL1056" s="31" t="str">
        <x:v>н/д</x:v>
      </x:c>
      <x:c r="AM105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56" s="12" t="str">
        <x:v>Проверить свободный остаток и установить цену для B2B</x:v>
      </x:c>
      <x:c r="AO1056" s="12" t="str">
        <x:v>Остаток 4; прогноз 90 дней 0.00; избыток 4 шт. Будущие поступления не выставляются на продажу. Остаток на начало сентября: требуется актуализация.</x:v>
      </x:c>
      <x:c r="AP1056" s="12" t="str">
        <x:v>["category_missing", "daily_stockout_data_missing", "moq_missing", "new_order_lead_time_unknown", "reservations_unknown", "stale_stock"]</x:v>
      </x:c>
      <x:c r="AQ1056" s="11" t="str">
        <x:v>IEK:280100396_</x:v>
      </x:c>
      <x:c r="AR1056" s="23" t="n">
        <x:v>1</x:v>
      </x:c>
      <x:c r="AS1056" s="23" t="n">
        <x:v>0</x:v>
      </x:c>
      <x:c r="AT1056" s="23" t="n">
        <x:v>0</x:v>
      </x:c>
    </x:row>
    <x:row r="1057" ht="64" customHeight="1">
      <x:c r="A1057" s="10" t="str">
        <x:v>IEK</x:v>
      </x:c>
      <x:c r="B1057" s="34" t="str">
        <x:v>280100398_</x:v>
      </x:c>
      <x:c r="C1057" s="34" t="str">
        <x:v>EL-KK10D-S-025-016-K34</x:v>
      </x:c>
      <x:c r="D1057" s="13" t="str">
        <x:v>Соединитель на стык КМС 25х16 сосна ЭЛЕКОР IEK (4шт/компл)</x:v>
      </x:c>
      <x:c r="E1057" s="10" t="str">
        <x:v>шт</x:v>
      </x:c>
      <x:c r="F1057" s="37" t="n">
        <x:f>MAX(0,ROUNDDOWN((AG1057-AF1057)/AR1057+0.000000001,0)*AR1057)</x:f>
        <x:v>69</x:v>
      </x:c>
      <x:c r="G1057" s="21" t="str">
        <x:f>IF(J1057="Рассчитано",V1057*(1-R1057/100)-W1057-P1057-Q1057,"н/д")</x:f>
        <x:v>н/д</x:v>
      </x:c>
      <x:c r="H1057" s="13" t="str">
        <x:v>Высокий</x:v>
      </x:c>
      <x:c r="I1057" s="13" t="str">
        <x:v>Высокий</x:v>
      </x:c>
      <x:c r="J1057" s="13" t="str">
        <x:f>IF(L1057="","Укажите валюту",IF(NOT(ISNUMBER(K1057)),"Укажите объём",IF(K1057&lt;=0,"Укажите объём",IF(K1057&gt;F1057,"Объём выше излишка",IF(COUNT(M1057:O1057)&lt;3,"Нужны цены",IF(COUNT(P1057:R1057)&lt;3,"Нужны расходы",IF(OR(M1057&lt;0,N1057&lt;0,O1057&lt;0,O1057&gt;100,P1057&lt;0,Q1057&lt;0,R1057&lt;0,R1057&gt;100),"Проверьте значения","Рассчитано")))))))</x:f>
        <x:v>Нужны цены</x:v>
      </x:c>
      <x:c r="K1057" s="36" t="n">
        <x:v>69</x:v>
      </x:c>
      <x:c r="L1057" s="19" t="str">
        <x:v>KZT</x:v>
      </x:c>
      <x:c r="M1057" s="22"/>
      <x:c r="N1057" s="22"/>
      <x:c r="O1057" s="28"/>
      <x:c r="P1057" s="22"/>
      <x:c r="Q1057" s="22"/>
      <x:c r="R1057" s="28"/>
      <x:c r="S1057" s="22"/>
      <x:c r="T1057" s="37" t="n">
        <x:f>K1057</x:f>
        <x:v>69</x:v>
      </x:c>
      <x:c r="U1057" s="21" t="str">
        <x:f>IF(J1057="Рассчитано",N1057*(1-O1057/100),"н/д")</x:f>
        <x:v>н/д</x:v>
      </x:c>
      <x:c r="V1057" s="21" t="str">
        <x:f>IF(J1057="Рассчитано",T1057*U1057,"н/д")</x:f>
        <x:v>н/д</x:v>
      </x:c>
      <x:c r="W1057" s="21" t="str">
        <x:f>IF(J1057="Рассчитано",T1057*M1057,"н/д")</x:f>
        <x:v>н/д</x:v>
      </x:c>
      <x:c r="X1057" s="21" t="str">
        <x:f>IF(J1057="Рассчитано",V1057-W1057,"н/д")</x:f>
        <x:v>н/д</x:v>
      </x:c>
      <x:c r="Y1057" s="27" t="str">
        <x:f>IF(J1057="Рассчитано",IF(V1057&gt;0,G1057/V1057,"н/д"),"н/д")</x:f>
        <x:v>н/д</x:v>
      </x:c>
      <x:c r="Z1057" s="21" t="str">
        <x:f>"н/д"</x:f>
        <x:v>н/д</x:v>
      </x:c>
      <x:c r="AA1057" s="21" t="str">
        <x:f>"н/д"</x:f>
        <x:v>н/д</x:v>
      </x:c>
      <x:c r="AB1057" s="21" t="str">
        <x:f>"н/д"</x:f>
        <x:v>н/д</x:v>
      </x:c>
      <x:c r="AC1057" s="21" t="str">
        <x:f>IF(AND(J1057="Рассчитано",T1057&gt;0,R1057&lt;100),(W1057+P1057+Q1057)/(T1057*(1-R1057/100)),"н/д")</x:f>
        <x:v>н/д</x:v>
      </x:c>
      <x:c r="AD1057" s="10" t="str">
        <x:f>IF(ISNUMBER(G1057),IF(G1057&lt;0,"Убыток",IF(G1057=0,"Без прибыли","Прибыль &gt; 0")),"Не оценён")</x:f>
        <x:v>Не оценён</x:v>
      </x:c>
      <x:c r="AE1057" s="13" t="str">
        <x:f>IF(J1057="Рассчитано","Выручка "&amp;TEXT(V1057,"0.00")&amp;" - себестоимость "&amp;TEXT(W1057,"0.00")&amp;" - комиссия "&amp;TEXT(V1057*R1057/100,"0.00")&amp;" - доставка "&amp;TEXT(P1057,"0.00")&amp;" - прочие "&amp;TEXT(Q1057,"0.00")&amp;" = "&amp;TEXT(G1057,"0.00")&amp;" "&amp;L1057,"Введите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7" s="24" t="n">
        <x:v>6.646887030003701</x:v>
      </x:c>
      <x:c r="AG1057" s="37" t="n">
        <x:v>76</x:v>
      </x:c>
      <x:c r="AH1057" s="37" t="n">
        <x:v>0</x:v>
      </x:c>
      <x:c r="AI1057" s="30" t="n">
        <x:v>46266</x:v>
      </x:c>
      <x:c r="AJ1057" s="37"/>
      <x:c r="AK1057" s="10" t="str">
        <x:v>неизвестно</x:v>
      </x:c>
      <x:c r="AL1057" s="32" t="n">
        <x:v>972.3314627969879</x:v>
      </x:c>
      <x:c r="AM105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57" s="13" t="str">
        <x:v>Проверить свободный остаток и установить цену для B2B</x:v>
      </x:c>
      <x:c r="AO1057" s="13" t="str">
        <x:v>Остаток 76; прогноз 90 дней 6.65; избыток 69 шт. Будущие поступления не выставляются на продажу. Остаток на начало сентября: требуется актуализация.</x:v>
      </x:c>
      <x:c r="AP1057" s="13" t="str">
        <x:v>["category_missing", "daily_stockout_data_missing", "moq_missing", "negative_net_sales_clipped_for_forecast", "new_order_lead_time_unknown", "reservations_unknown", "stale_stock"]</x:v>
      </x:c>
      <x:c r="AQ1057" s="10" t="str">
        <x:v>IEK:280100398_</x:v>
      </x:c>
      <x:c r="AR1057" s="24" t="n">
        <x:v>1</x:v>
      </x:c>
      <x:c r="AS1057" s="24" t="n">
        <x:v>0</x:v>
      </x:c>
      <x:c r="AT1057" s="24" t="n">
        <x:v>0</x:v>
      </x:c>
    </x:row>
    <x:row r="1058" ht="64" customHeight="1">
      <x:c r="A1058" s="11" t="str">
        <x:v>IEK</x:v>
      </x:c>
      <x:c r="B1058" s="33" t="str">
        <x:v>280100401_</x:v>
      </x:c>
      <x:c r="C1058" s="33" t="str">
        <x:v>CKK10-012-012-1-K28</x:v>
      </x:c>
      <x:c r="D1058" s="12" t="str">
        <x:v>Кабель-канал 12х12 ольха ЭЛЕКОР IEK (120)</x:v>
      </x:c>
      <x:c r="E1058" s="11" t="str">
        <x:v>м</x:v>
      </x:c>
      <x:c r="F1058" s="23" t="n">
        <x:f>MAX(0,ROUNDDOWN((AG1058-AF1058)/AR1058+0.000000001,0)*AR1058)</x:f>
        <x:v>29.355</x:v>
      </x:c>
      <x:c r="G1058" s="20" t="str">
        <x:f>IF(J1058="Рассчитано",V1058*(1-R1058/100)-W1058-P1058-Q1058,"н/д")</x:f>
        <x:v>н/д</x:v>
      </x:c>
      <x:c r="H1058" s="12" t="str">
        <x:v>Высокий</x:v>
      </x:c>
      <x:c r="I1058" s="12" t="str">
        <x:v>Высокий</x:v>
      </x:c>
      <x:c r="J1058" s="12" t="str">
        <x:f>IF(L1058="","Укажите валюту",IF(NOT(ISNUMBER(K1058)),"Укажите объём",IF(K1058&lt;=0,"Укажите объём",IF(K1058&gt;F1058,"Объём выше излишка",IF(COUNT(M1058:O1058)&lt;3,"Нужны цены",IF(COUNT(P1058:R1058)&lt;3,"Нужны расходы",IF(OR(M1058&lt;0,N1058&lt;0,O1058&lt;0,O1058&gt;100,P1058&lt;0,Q1058&lt;0,R1058&lt;0,R1058&gt;100),"Проверьте значения","Рассчитано")))))))</x:f>
        <x:v>Нужны цены</x:v>
      </x:c>
      <x:c r="K1058" s="25" t="n">
        <x:v>29.355</x:v>
      </x:c>
      <x:c r="L1058" s="19" t="str">
        <x:v>KZT</x:v>
      </x:c>
      <x:c r="M1058" s="22"/>
      <x:c r="N1058" s="22"/>
      <x:c r="O1058" s="28"/>
      <x:c r="P1058" s="22"/>
      <x:c r="Q1058" s="22"/>
      <x:c r="R1058" s="28"/>
      <x:c r="S1058" s="22"/>
      <x:c r="T1058" s="23" t="n">
        <x:f>K1058</x:f>
        <x:v>29.355</x:v>
      </x:c>
      <x:c r="U1058" s="20" t="str">
        <x:f>IF(J1058="Рассчитано",N1058*(1-O1058/100),"н/д")</x:f>
        <x:v>н/д</x:v>
      </x:c>
      <x:c r="V1058" s="20" t="str">
        <x:f>IF(J1058="Рассчитано",T1058*U1058,"н/д")</x:f>
        <x:v>н/д</x:v>
      </x:c>
      <x:c r="W1058" s="20" t="str">
        <x:f>IF(J1058="Рассчитано",T1058*M1058,"н/д")</x:f>
        <x:v>н/д</x:v>
      </x:c>
      <x:c r="X1058" s="20" t="str">
        <x:f>IF(J1058="Рассчитано",V1058-W1058,"н/д")</x:f>
        <x:v>н/д</x:v>
      </x:c>
      <x:c r="Y1058" s="26" t="str">
        <x:f>IF(J1058="Рассчитано",IF(V1058&gt;0,G1058/V1058,"н/д"),"н/д")</x:f>
        <x:v>н/д</x:v>
      </x:c>
      <x:c r="Z1058" s="20" t="str">
        <x:f>"н/д"</x:f>
        <x:v>н/д</x:v>
      </x:c>
      <x:c r="AA1058" s="20" t="str">
        <x:f>"н/д"</x:f>
        <x:v>н/д</x:v>
      </x:c>
      <x:c r="AB1058" s="20" t="str">
        <x:f>"н/д"</x:f>
        <x:v>н/д</x:v>
      </x:c>
      <x:c r="AC1058" s="20" t="str">
        <x:f>IF(AND(J1058="Рассчитано",T1058&gt;0,R1058&lt;100),(W1058+P1058+Q1058)/(T1058*(1-R1058/100)),"н/д")</x:f>
        <x:v>н/д</x:v>
      </x:c>
      <x:c r="AD1058" s="11" t="str">
        <x:f>IF(ISNUMBER(G1058),IF(G1058&lt;0,"Убыток",IF(G1058=0,"Без прибыли","Прибыль &gt; 0")),"Не оценён")</x:f>
        <x:v>Не оценён</x:v>
      </x:c>
      <x:c r="AE1058" s="12" t="str">
        <x:f>IF(J1058="Рассчитано","Выручка "&amp;TEXT(V1058,"0.00")&amp;" - себестоимость "&amp;TEXT(W1058,"0.00")&amp;" - комиссия "&amp;TEXT(V1058*R1058/100,"0.00")&amp;" - доставка "&amp;TEXT(P1058,"0.00")&amp;" - прочие "&amp;TEXT(Q1058,"0.00")&amp;" = "&amp;TEXT(G1058,"0.00")&amp;" "&amp;L1058,"Введите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8" s="23" t="n">
        <x:v>18.644640359891167</x:v>
      </x:c>
      <x:c r="AG1058" s="23" t="n">
        <x:v>48</x:v>
      </x:c>
      <x:c r="AH1058" s="23" t="n">
        <x:v>0</x:v>
      </x:c>
      <x:c r="AI1058" s="29" t="n">
        <x:v>46266</x:v>
      </x:c>
      <x:c r="AJ1058" s="23" t="n">
        <x:v>120</x:v>
      </x:c>
      <x:c r="AK1058" s="11" t="str">
        <x:v>минимум</x:v>
      </x:c>
      <x:c r="AL1058" s="31" t="n">
        <x:v>218.93050106491958</x:v>
      </x:c>
      <x:c r="AM105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58" s="12" t="str">
        <x:v>Проверить свободный остаток и установить цену для B2B</x:v>
      </x:c>
      <x:c r="AO1058" s="12" t="str">
        <x:v>Остаток 48; прогноз 90 дней 18.64; избыток 29.355 м. Будущие поступления не выставляются на продажу. Остаток на начало сентября: требуется актуализация.</x:v>
      </x:c>
      <x:c r="AP1058" s="12" t="str">
        <x:v>["category_missing", "daily_stockout_data_missing", "new_order_lead_time_unknown", "reservations_unknown", "stale_stock"]</x:v>
      </x:c>
      <x:c r="AQ1058" s="11" t="str">
        <x:v>IEK:280100401_</x:v>
      </x:c>
      <x:c r="AR1058" s="23" t="n">
        <x:v>0.001</x:v>
      </x:c>
      <x:c r="AS1058" s="23" t="n">
        <x:v>0</x:v>
      </x:c>
      <x:c r="AT1058" s="23" t="n">
        <x:v>0</x:v>
      </x:c>
    </x:row>
    <x:row r="1059" ht="64" customHeight="1">
      <x:c r="A1059" s="10" t="str">
        <x:v>IEK</x:v>
      </x:c>
      <x:c r="B1059" s="34" t="str">
        <x:v>280100402_</x:v>
      </x:c>
      <x:c r="C1059" s="34" t="str">
        <x:v>CKK10-015-010-1-K28</x:v>
      </x:c>
      <x:c r="D1059" s="13" t="str">
        <x:v>Кабель-канал 15х10 ольха ЭЛЕКОР IEK (144)</x:v>
      </x:c>
      <x:c r="E1059" s="10" t="str">
        <x:v>м</x:v>
      </x:c>
      <x:c r="F1059" s="24" t="n">
        <x:f>MAX(0,ROUNDDOWN((AG1059-AF1059)/AR1059+0.000000001,0)*AR1059)</x:f>
        <x:v>4.792</x:v>
      </x:c>
      <x:c r="G1059" s="21" t="str">
        <x:f>IF(J1059="Рассчитано",V1059*(1-R1059/100)-W1059-P1059-Q1059,"н/д")</x:f>
        <x:v>н/д</x:v>
      </x:c>
      <x:c r="H1059" s="13" t="str">
        <x:v>Высокий</x:v>
      </x:c>
      <x:c r="I1059" s="13" t="str">
        <x:v>Высокий</x:v>
      </x:c>
      <x:c r="J1059" s="13" t="str">
        <x:f>IF(L1059="","Укажите валюту",IF(NOT(ISNUMBER(K1059)),"Укажите объём",IF(K1059&lt;=0,"Укажите объём",IF(K1059&gt;F1059,"Объём выше излишка",IF(COUNT(M1059:O1059)&lt;3,"Нужны цены",IF(COUNT(P1059:R1059)&lt;3,"Нужны расходы",IF(OR(M1059&lt;0,N1059&lt;0,O1059&lt;0,O1059&gt;100,P1059&lt;0,Q1059&lt;0,R1059&lt;0,R1059&gt;100),"Проверьте значения","Рассчитано")))))))</x:f>
        <x:v>Нужны цены</x:v>
      </x:c>
      <x:c r="K1059" s="25" t="n">
        <x:v>4.792</x:v>
      </x:c>
      <x:c r="L1059" s="19" t="str">
        <x:v>KZT</x:v>
      </x:c>
      <x:c r="M1059" s="22"/>
      <x:c r="N1059" s="22"/>
      <x:c r="O1059" s="28"/>
      <x:c r="P1059" s="22"/>
      <x:c r="Q1059" s="22"/>
      <x:c r="R1059" s="28"/>
      <x:c r="S1059" s="22"/>
      <x:c r="T1059" s="24" t="n">
        <x:f>K1059</x:f>
        <x:v>4.792</x:v>
      </x:c>
      <x:c r="U1059" s="21" t="str">
        <x:f>IF(J1059="Рассчитано",N1059*(1-O1059/100),"н/д")</x:f>
        <x:v>н/д</x:v>
      </x:c>
      <x:c r="V1059" s="21" t="str">
        <x:f>IF(J1059="Рассчитано",T1059*U1059,"н/д")</x:f>
        <x:v>н/д</x:v>
      </x:c>
      <x:c r="W1059" s="21" t="str">
        <x:f>IF(J1059="Рассчитано",T1059*M1059,"н/д")</x:f>
        <x:v>н/д</x:v>
      </x:c>
      <x:c r="X1059" s="21" t="str">
        <x:f>IF(J1059="Рассчитано",V1059-W1059,"н/д")</x:f>
        <x:v>н/д</x:v>
      </x:c>
      <x:c r="Y1059" s="27" t="str">
        <x:f>IF(J1059="Рассчитано",IF(V1059&gt;0,G1059/V1059,"н/д"),"н/д")</x:f>
        <x:v>н/д</x:v>
      </x:c>
      <x:c r="Z1059" s="21" t="str">
        <x:f>"н/д"</x:f>
        <x:v>н/д</x:v>
      </x:c>
      <x:c r="AA1059" s="21" t="str">
        <x:f>"н/д"</x:f>
        <x:v>н/д</x:v>
      </x:c>
      <x:c r="AB1059" s="21" t="str">
        <x:f>"н/д"</x:f>
        <x:v>н/д</x:v>
      </x:c>
      <x:c r="AC1059" s="21" t="str">
        <x:f>IF(AND(J1059="Рассчитано",T1059&gt;0,R1059&lt;100),(W1059+P1059+Q1059)/(T1059*(1-R1059/100)),"н/д")</x:f>
        <x:v>н/д</x:v>
      </x:c>
      <x:c r="AD1059" s="10" t="str">
        <x:f>IF(ISNUMBER(G1059),IF(G1059&lt;0,"Убыток",IF(G1059=0,"Без прибыли","Прибыль &gt; 0")),"Не оценён")</x:f>
        <x:v>Не оценён</x:v>
      </x:c>
      <x:c r="AE1059" s="13" t="str">
        <x:f>IF(J1059="Рассчитано","Выручка "&amp;TEXT(V1059,"0.00")&amp;" - себестоимость "&amp;TEXT(W1059,"0.00")&amp;" - комиссия "&amp;TEXT(V1059*R1059/100,"0.00")&amp;" - доставка "&amp;TEXT(P1059,"0.00")&amp;" - прочие "&amp;TEXT(Q1059,"0.00")&amp;" = "&amp;TEXT(G1059,"0.00")&amp;" "&amp;L1059,"Введите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9" s="24" t="n">
        <x:v>1.2077642887316615</x:v>
      </x:c>
      <x:c r="AG1059" s="24" t="n">
        <x:v>6</x:v>
      </x:c>
      <x:c r="AH1059" s="24" t="n">
        <x:v>0</x:v>
      </x:c>
      <x:c r="AI1059" s="30" t="n">
        <x:v>46266</x:v>
      </x:c>
      <x:c r="AJ1059" s="24" t="n">
        <x:v>144</x:v>
      </x:c>
      <x:c r="AK1059" s="10" t="str">
        <x:v>минимум</x:v>
      </x:c>
      <x:c r="AL1059" s="32" t="n">
        <x:v>422.46244716889174</x:v>
      </x:c>
      <x:c r="AM105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59" s="13" t="str">
        <x:v>Проверить свободный остаток и установить цену для B2B</x:v>
      </x:c>
      <x:c r="AO1059" s="13" t="str">
        <x:v>Остаток 6; прогноз 90 дней 1.21; избыток 4.792 м. Будущие поступления не выставляются на продажу. Остаток на начало сентября: требуется актуализация.</x:v>
      </x:c>
      <x:c r="AP1059" s="13" t="str">
        <x:v>["category_missing", "daily_stockout_data_missing", "new_order_lead_time_unknown", "reservations_unknown", "stale_stock"]</x:v>
      </x:c>
      <x:c r="AQ1059" s="10" t="str">
        <x:v>IEK:280100402_</x:v>
      </x:c>
      <x:c r="AR1059" s="24" t="n">
        <x:v>0.001</x:v>
      </x:c>
      <x:c r="AS1059" s="24" t="n">
        <x:v>0</x:v>
      </x:c>
      <x:c r="AT1059" s="24" t="n">
        <x:v>0</x:v>
      </x:c>
    </x:row>
    <x:row r="1060" ht="64" customHeight="1">
      <x:c r="A1060" s="11" t="str">
        <x:v>IEK</x:v>
      </x:c>
      <x:c r="B1060" s="33" t="str">
        <x:v>280100403_</x:v>
      </x:c>
      <x:c r="C1060" s="33" t="str">
        <x:v>CKK10-016-016-1-K28</x:v>
      </x:c>
      <x:c r="D1060" s="12" t="str">
        <x:v>Кабель-канал 16х16 ольха ЭЛЕКОР IEK (84)</x:v>
      </x:c>
      <x:c r="E1060" s="11" t="str">
        <x:v>м</x:v>
      </x:c>
      <x:c r="F1060" s="23" t="n">
        <x:f>MAX(0,ROUNDDOWN((AG1060-AF1060)/AR1060+0.000000001,0)*AR1060)</x:f>
        <x:v>83.96600000000001</x:v>
      </x:c>
      <x:c r="G1060" s="20" t="str">
        <x:f>IF(J1060="Рассчитано",V1060*(1-R1060/100)-W1060-P1060-Q1060,"н/д")</x:f>
        <x:v>н/д</x:v>
      </x:c>
      <x:c r="H1060" s="12" t="str">
        <x:v>Высокий</x:v>
      </x:c>
      <x:c r="I1060" s="12" t="str">
        <x:v>Высокий</x:v>
      </x:c>
      <x:c r="J1060" s="12" t="str">
        <x:f>IF(L1060="","Укажите валюту",IF(NOT(ISNUMBER(K1060)),"Укажите объём",IF(K1060&lt;=0,"Укажите объём",IF(K1060&gt;F1060,"Объём выше излишка",IF(COUNT(M1060:O1060)&lt;3,"Нужны цены",IF(COUNT(P1060:R1060)&lt;3,"Нужны расходы",IF(OR(M1060&lt;0,N1060&lt;0,O1060&lt;0,O1060&gt;100,P1060&lt;0,Q1060&lt;0,R1060&lt;0,R1060&gt;100),"Проверьте значения","Рассчитано")))))))</x:f>
        <x:v>Нужны цены</x:v>
      </x:c>
      <x:c r="K1060" s="25" t="n">
        <x:v>83.96600000000001</x:v>
      </x:c>
      <x:c r="L1060" s="19" t="str">
        <x:v>KZT</x:v>
      </x:c>
      <x:c r="M1060" s="22"/>
      <x:c r="N1060" s="22"/>
      <x:c r="O1060" s="28"/>
      <x:c r="P1060" s="22"/>
      <x:c r="Q1060" s="22"/>
      <x:c r="R1060" s="28"/>
      <x:c r="S1060" s="22"/>
      <x:c r="T1060" s="23" t="n">
        <x:f>K1060</x:f>
        <x:v>83.96600000000001</x:v>
      </x:c>
      <x:c r="U1060" s="20" t="str">
        <x:f>IF(J1060="Рассчитано",N1060*(1-O1060/100),"н/д")</x:f>
        <x:v>н/д</x:v>
      </x:c>
      <x:c r="V1060" s="20" t="str">
        <x:f>IF(J1060="Рассчитано",T1060*U1060,"н/д")</x:f>
        <x:v>н/д</x:v>
      </x:c>
      <x:c r="W1060" s="20" t="str">
        <x:f>IF(J1060="Рассчитано",T1060*M1060,"н/д")</x:f>
        <x:v>н/д</x:v>
      </x:c>
      <x:c r="X1060" s="20" t="str">
        <x:f>IF(J1060="Рассчитано",V1060-W1060,"н/д")</x:f>
        <x:v>н/д</x:v>
      </x:c>
      <x:c r="Y1060" s="26" t="str">
        <x:f>IF(J1060="Рассчитано",IF(V1060&gt;0,G1060/V1060,"н/д"),"н/д")</x:f>
        <x:v>н/д</x:v>
      </x:c>
      <x:c r="Z1060" s="20" t="str">
        <x:f>"н/д"</x:f>
        <x:v>н/д</x:v>
      </x:c>
      <x:c r="AA1060" s="20" t="str">
        <x:f>"н/д"</x:f>
        <x:v>н/д</x:v>
      </x:c>
      <x:c r="AB1060" s="20" t="str">
        <x:f>"н/д"</x:f>
        <x:v>н/д</x:v>
      </x:c>
      <x:c r="AC1060" s="20" t="str">
        <x:f>IF(AND(J1060="Рассчитано",T1060&gt;0,R1060&lt;100),(W1060+P1060+Q1060)/(T1060*(1-R1060/100)),"н/д")</x:f>
        <x:v>н/д</x:v>
      </x:c>
      <x:c r="AD1060" s="11" t="str">
        <x:f>IF(ISNUMBER(G1060),IF(G1060&lt;0,"Убыток",IF(G1060=0,"Без прибыли","Прибыль &gt; 0")),"Не оценён")</x:f>
        <x:v>Не оценён</x:v>
      </x:c>
      <x:c r="AE1060" s="12" t="str">
        <x:f>IF(J1060="Рассчитано","Выручка "&amp;TEXT(V1060,"0.00")&amp;" - себестоимость "&amp;TEXT(W1060,"0.00")&amp;" - комиссия "&amp;TEXT(V1060*R1060/100,"0.00")&amp;" - доставка "&amp;TEXT(P1060,"0.00")&amp;" - прочие "&amp;TEXT(Q1060,"0.00")&amp;" = "&amp;TEXT(G1060,"0.00")&amp;" "&amp;L1060,"Введите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0" s="23" t="n">
        <x:v>56.03378360553402</x:v>
      </x:c>
      <x:c r="AG1060" s="23" t="n">
        <x:v>140</x:v>
      </x:c>
      <x:c r="AH1060" s="23" t="n">
        <x:v>0</x:v>
      </x:c>
      <x:c r="AI1060" s="29" t="n">
        <x:v>46266</x:v>
      </x:c>
      <x:c r="AJ1060" s="23" t="n">
        <x:v>84</x:v>
      </x:c>
      <x:c r="AK1060" s="11" t="str">
        <x:v>минимум</x:v>
      </x:c>
      <x:c r="AL1060" s="31" t="n">
        <x:v>212.46976194986513</x:v>
      </x:c>
      <x:c r="AM10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0" s="12" t="str">
        <x:v>Проверить свободный остаток и установить цену для B2B</x:v>
      </x:c>
      <x:c r="AO1060" s="12" t="str">
        <x:v>Остаток 140; прогноз 90 дней 56.03; избыток 83.966 м. Будущие поступления не выставляются на продажу. Остаток на начало сентября: требуется актуализация.</x:v>
      </x:c>
      <x:c r="AP1060" s="12" t="str">
        <x:v>["category_missing", "daily_stockout_data_missing", "new_order_lead_time_unknown", "reservations_unknown", "stale_stock"]</x:v>
      </x:c>
      <x:c r="AQ1060" s="11" t="str">
        <x:v>IEK:280100403_</x:v>
      </x:c>
      <x:c r="AR1060" s="23" t="n">
        <x:v>0.001</x:v>
      </x:c>
      <x:c r="AS1060" s="23" t="n">
        <x:v>0</x:v>
      </x:c>
      <x:c r="AT1060" s="23" t="n">
        <x:v>0</x:v>
      </x:c>
    </x:row>
    <x:row r="1061" ht="64" customHeight="1">
      <x:c r="A1061" s="10" t="str">
        <x:v>IEK</x:v>
      </x:c>
      <x:c r="B1061" s="34" t="str">
        <x:v>280100405_</x:v>
      </x:c>
      <x:c r="C1061" s="34" t="str">
        <x:v>CKK10-025-016-1-K28</x:v>
      </x:c>
      <x:c r="D1061" s="13" t="str">
        <x:v>Кабель-канал 25х16 ольха ЭЛЕКОР IEK (50)</x:v>
      </x:c>
      <x:c r="E1061" s="10" t="str">
        <x:v>м</x:v>
      </x:c>
      <x:c r="F1061" s="24" t="n">
        <x:f>MAX(0,ROUNDDOWN((AG1061-AF1061)/AR1061+0.000000001,0)*AR1061)</x:f>
        <x:v>101.505</x:v>
      </x:c>
      <x:c r="G1061" s="21" t="str">
        <x:f>IF(J1061="Рассчитано",V1061*(1-R1061/100)-W1061-P1061-Q1061,"н/д")</x:f>
        <x:v>н/д</x:v>
      </x:c>
      <x:c r="H1061" s="13" t="str">
        <x:v>Высокий</x:v>
      </x:c>
      <x:c r="I1061" s="13" t="str">
        <x:v>Высокий</x:v>
      </x:c>
      <x:c r="J1061" s="13" t="str">
        <x:f>IF(L1061="","Укажите валюту",IF(NOT(ISNUMBER(K1061)),"Укажите объём",IF(K1061&lt;=0,"Укажите объём",IF(K1061&gt;F1061,"Объём выше излишка",IF(COUNT(M1061:O1061)&lt;3,"Нужны цены",IF(COUNT(P1061:R1061)&lt;3,"Нужны расходы",IF(OR(M1061&lt;0,N1061&lt;0,O1061&lt;0,O1061&gt;100,P1061&lt;0,Q1061&lt;0,R1061&lt;0,R1061&gt;100),"Проверьте значения","Рассчитано")))))))</x:f>
        <x:v>Нужны цены</x:v>
      </x:c>
      <x:c r="K1061" s="25" t="n">
        <x:v>101.505</x:v>
      </x:c>
      <x:c r="L1061" s="19" t="str">
        <x:v>KZT</x:v>
      </x:c>
      <x:c r="M1061" s="22"/>
      <x:c r="N1061" s="22"/>
      <x:c r="O1061" s="28"/>
      <x:c r="P1061" s="22"/>
      <x:c r="Q1061" s="22"/>
      <x:c r="R1061" s="28"/>
      <x:c r="S1061" s="22"/>
      <x:c r="T1061" s="24" t="n">
        <x:f>K1061</x:f>
        <x:v>101.505</x:v>
      </x:c>
      <x:c r="U1061" s="21" t="str">
        <x:f>IF(J1061="Рассчитано",N1061*(1-O1061/100),"н/д")</x:f>
        <x:v>н/д</x:v>
      </x:c>
      <x:c r="V1061" s="21" t="str">
        <x:f>IF(J1061="Рассчитано",T1061*U1061,"н/д")</x:f>
        <x:v>н/д</x:v>
      </x:c>
      <x:c r="W1061" s="21" t="str">
        <x:f>IF(J1061="Рассчитано",T1061*M1061,"н/д")</x:f>
        <x:v>н/д</x:v>
      </x:c>
      <x:c r="X1061" s="21" t="str">
        <x:f>IF(J1061="Рассчитано",V1061-W1061,"н/д")</x:f>
        <x:v>н/д</x:v>
      </x:c>
      <x:c r="Y1061" s="27" t="str">
        <x:f>IF(J1061="Рассчитано",IF(V1061&gt;0,G1061/V1061,"н/д"),"н/д")</x:f>
        <x:v>н/д</x:v>
      </x:c>
      <x:c r="Z1061" s="21" t="str">
        <x:f>"н/д"</x:f>
        <x:v>н/д</x:v>
      </x:c>
      <x:c r="AA1061" s="21" t="str">
        <x:f>"н/д"</x:f>
        <x:v>н/д</x:v>
      </x:c>
      <x:c r="AB1061" s="21" t="str">
        <x:f>"н/д"</x:f>
        <x:v>н/д</x:v>
      </x:c>
      <x:c r="AC1061" s="21" t="str">
        <x:f>IF(AND(J1061="Рассчитано",T1061&gt;0,R1061&lt;100),(W1061+P1061+Q1061)/(T1061*(1-R1061/100)),"н/д")</x:f>
        <x:v>н/д</x:v>
      </x:c>
      <x:c r="AD1061" s="10" t="str">
        <x:f>IF(ISNUMBER(G1061),IF(G1061&lt;0,"Убыток",IF(G1061=0,"Без прибыли","Прибыль &gt; 0")),"Не оценён")</x:f>
        <x:v>Не оценён</x:v>
      </x:c>
      <x:c r="AE1061" s="13" t="str">
        <x:f>IF(J1061="Рассчитано","Выручка "&amp;TEXT(V1061,"0.00")&amp;" - себестоимость "&amp;TEXT(W1061,"0.00")&amp;" - комиссия "&amp;TEXT(V1061*R1061/100,"0.00")&amp;" - доставка "&amp;TEXT(P1061,"0.00")&amp;" - прочие "&amp;TEXT(Q1061,"0.00")&amp;" = "&amp;TEXT(G1061,"0.00")&amp;" "&amp;L1061,"Введите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1" s="24" t="n">
        <x:v>48.49438119686062</x:v>
      </x:c>
      <x:c r="AG1061" s="24" t="n">
        <x:v>150</x:v>
      </x:c>
      <x:c r="AH1061" s="24" t="n">
        <x:v>0</x:v>
      </x:c>
      <x:c r="AI1061" s="30" t="n">
        <x:v>46266</x:v>
      </x:c>
      <x:c r="AJ1061" s="24" t="n">
        <x:v>50</x:v>
      </x:c>
      <x:c r="AK1061" s="10" t="str">
        <x:v>минимум</x:v>
      </x:c>
      <x:c r="AL1061" s="32" t="n">
        <x:v>263.03823475419773</x:v>
      </x:c>
      <x:c r="AM1061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061" s="13" t="str">
        <x:v>Проверить свободный остаток и установить цену для B2B</x:v>
      </x:c>
      <x:c r="AO1061" s="13" t="str">
        <x:v>Остаток 150; прогноз 90 дней 48.49; избыток 101.505 м. Будущие поступления не выставляются на продажу. Остаток на начало сентября: требуется актуализация.</x:v>
      </x:c>
      <x:c r="AP1061" s="13" t="str">
        <x:v>["category_missing", "daily_stockout_data_missing", "large_orders_detected", "new_order_lead_time_unknown", "reservations_unknown", "stale_stock", "transaction_month_mismatch"]</x:v>
      </x:c>
      <x:c r="AQ1061" s="10" t="str">
        <x:v>IEK:280100405_</x:v>
      </x:c>
      <x:c r="AR1061" s="24" t="n">
        <x:v>0.001</x:v>
      </x:c>
      <x:c r="AS1061" s="24" t="n">
        <x:v>0</x:v>
      </x:c>
      <x:c r="AT1061" s="24" t="n">
        <x:v>0</x:v>
      </x:c>
    </x:row>
    <x:row r="1062" ht="64" customHeight="1">
      <x:c r="A1062" s="11" t="str">
        <x:v>IEK</x:v>
      </x:c>
      <x:c r="B1062" s="33" t="str">
        <x:v>280100406_</x:v>
      </x:c>
      <x:c r="C1062" s="33" t="str">
        <x:v>CKK10-040-016-1-K28</x:v>
      </x:c>
      <x:c r="D1062" s="12" t="str">
        <x:v>Кабель-канал 40х16 ольха ЭЛЕКОР IEK (30)</x:v>
      </x:c>
      <x:c r="E1062" s="11" t="str">
        <x:v>м</x:v>
      </x:c>
      <x:c r="F1062" s="23" t="n">
        <x:f>MAX(0,ROUNDDOWN((AG1062-AF1062)/AR1062+0.000000001,0)*AR1062)</x:f>
        <x:v>173.486</x:v>
      </x:c>
      <x:c r="G1062" s="20" t="str">
        <x:f>IF(J1062="Рассчитано",V1062*(1-R1062/100)-W1062-P1062-Q1062,"н/д")</x:f>
        <x:v>н/д</x:v>
      </x:c>
      <x:c r="H1062" s="12" t="str">
        <x:v>Высокий</x:v>
      </x:c>
      <x:c r="I1062" s="12" t="str">
        <x:v>Высокий</x:v>
      </x:c>
      <x:c r="J1062" s="12" t="str">
        <x:f>IF(L1062="","Укажите валюту",IF(NOT(ISNUMBER(K1062)),"Укажите объём",IF(K1062&lt;=0,"Укажите объём",IF(K1062&gt;F1062,"Объём выше излишка",IF(COUNT(M1062:O1062)&lt;3,"Нужны цены",IF(COUNT(P1062:R1062)&lt;3,"Нужны расходы",IF(OR(M1062&lt;0,N1062&lt;0,O1062&lt;0,O1062&gt;100,P1062&lt;0,Q1062&lt;0,R1062&lt;0,R1062&gt;100),"Проверьте значения","Рассчитано")))))))</x:f>
        <x:v>Нужны цены</x:v>
      </x:c>
      <x:c r="K1062" s="25" t="n">
        <x:v>173.486</x:v>
      </x:c>
      <x:c r="L1062" s="19" t="str">
        <x:v>KZT</x:v>
      </x:c>
      <x:c r="M1062" s="22"/>
      <x:c r="N1062" s="22"/>
      <x:c r="O1062" s="28"/>
      <x:c r="P1062" s="22"/>
      <x:c r="Q1062" s="22"/>
      <x:c r="R1062" s="28"/>
      <x:c r="S1062" s="22"/>
      <x:c r="T1062" s="23" t="n">
        <x:f>K1062</x:f>
        <x:v>173.486</x:v>
      </x:c>
      <x:c r="U1062" s="20" t="str">
        <x:f>IF(J1062="Рассчитано",N1062*(1-O1062/100),"н/д")</x:f>
        <x:v>н/д</x:v>
      </x:c>
      <x:c r="V1062" s="20" t="str">
        <x:f>IF(J1062="Рассчитано",T1062*U1062,"н/д")</x:f>
        <x:v>н/д</x:v>
      </x:c>
      <x:c r="W1062" s="20" t="str">
        <x:f>IF(J1062="Рассчитано",T1062*M1062,"н/д")</x:f>
        <x:v>н/д</x:v>
      </x:c>
      <x:c r="X1062" s="20" t="str">
        <x:f>IF(J1062="Рассчитано",V1062-W1062,"н/д")</x:f>
        <x:v>н/д</x:v>
      </x:c>
      <x:c r="Y1062" s="26" t="str">
        <x:f>IF(J1062="Рассчитано",IF(V1062&gt;0,G1062/V1062,"н/д"),"н/д")</x:f>
        <x:v>н/д</x:v>
      </x:c>
      <x:c r="Z1062" s="20" t="str">
        <x:f>"н/д"</x:f>
        <x:v>н/д</x:v>
      </x:c>
      <x:c r="AA1062" s="20" t="str">
        <x:f>"н/д"</x:f>
        <x:v>н/д</x:v>
      </x:c>
      <x:c r="AB1062" s="20" t="str">
        <x:f>"н/д"</x:f>
        <x:v>н/д</x:v>
      </x:c>
      <x:c r="AC1062" s="20" t="str">
        <x:f>IF(AND(J1062="Рассчитано",T1062&gt;0,R1062&lt;100),(W1062+P1062+Q1062)/(T1062*(1-R1062/100)),"н/д")</x:f>
        <x:v>н/д</x:v>
      </x:c>
      <x:c r="AD1062" s="11" t="str">
        <x:f>IF(ISNUMBER(G1062),IF(G1062&lt;0,"Убыток",IF(G1062=0,"Без прибыли","Прибыль &gt; 0")),"Не оценён")</x:f>
        <x:v>Не оценён</x:v>
      </x:c>
      <x:c r="AE1062" s="12" t="str">
        <x:f>IF(J1062="Рассчитано","Выручка "&amp;TEXT(V1062,"0.00")&amp;" - себестоимость "&amp;TEXT(W1062,"0.00")&amp;" - комиссия "&amp;TEXT(V1062*R1062/100,"0.00")&amp;" - доставка "&amp;TEXT(P1062,"0.00")&amp;" - прочие "&amp;TEXT(Q1062,"0.00")&amp;" = "&amp;TEXT(G1062,"0.00")&amp;" "&amp;L1062,"Введите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2" s="23" t="n">
        <x:v>82.51306620763631</x:v>
      </x:c>
      <x:c r="AG1062" s="23" t="n">
        <x:v>256</x:v>
      </x:c>
      <x:c r="AH1062" s="23" t="n">
        <x:v>0</x:v>
      </x:c>
      <x:c r="AI1062" s="29" t="n">
        <x:v>46266</x:v>
      </x:c>
      <x:c r="AJ1062" s="23" t="n">
        <x:v>30</x:v>
      </x:c>
      <x:c r="AK1062" s="11" t="str">
        <x:v>минимум</x:v>
      </x:c>
      <x:c r="AL1062" s="31" t="n">
        <x:v>263.83735449572174</x:v>
      </x:c>
      <x:c r="AM106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2" s="12" t="str">
        <x:v>Проверить свободный остаток и установить цену для B2B</x:v>
      </x:c>
      <x:c r="AO1062" s="12" t="str">
        <x:v>Остаток 256; прогноз 90 дней 82.51; избыток 173.486 м. Будущие поступления не выставляются на продажу. Остаток на начало сентября: требуется актуализация.</x:v>
      </x:c>
      <x:c r="AP1062" s="12" t="str">
        <x:v>["category_missing", "daily_stockout_data_missing", "new_order_lead_time_unknown", "reservations_unknown", "stale_stock"]</x:v>
      </x:c>
      <x:c r="AQ1062" s="11" t="str">
        <x:v>IEK:280100406_</x:v>
      </x:c>
      <x:c r="AR1062" s="23" t="n">
        <x:v>0.001</x:v>
      </x:c>
      <x:c r="AS1062" s="23" t="n">
        <x:v>0</x:v>
      </x:c>
      <x:c r="AT1062" s="23" t="n">
        <x:v>0</x:v>
      </x:c>
    </x:row>
    <x:row r="1063" ht="64" customHeight="1">
      <x:c r="A1063" s="10" t="str">
        <x:v>IEK</x:v>
      </x:c>
      <x:c r="B1063" s="34" t="str">
        <x:v>280100408_</x:v>
      </x:c>
      <x:c r="C1063" s="34" t="str">
        <x:v>EL-KK10-012-012-1-K02</x:v>
      </x:c>
      <x:c r="D1063" s="13" t="str">
        <x:v>Кабель-канал 12х12 черный ЭЛЕКОР IEK (120м)</x:v>
      </x:c>
      <x:c r="E1063" s="10" t="str">
        <x:v>м</x:v>
      </x:c>
      <x:c r="F1063" s="24" t="n">
        <x:f>MAX(0,ROUNDDOWN((AG1063-AF1063)/AR1063+0.000000001,0)*AR1063)</x:f>
        <x:v>1.403</x:v>
      </x:c>
      <x:c r="G1063" s="21" t="str">
        <x:f>IF(J1063="Рассчитано",V1063*(1-R1063/100)-W1063-P1063-Q1063,"н/д")</x:f>
        <x:v>н/д</x:v>
      </x:c>
      <x:c r="H1063" s="13" t="str">
        <x:v>Высокий</x:v>
      </x:c>
      <x:c r="I1063" s="13" t="str">
        <x:v>Высокий</x:v>
      </x:c>
      <x:c r="J1063" s="13" t="str">
        <x:f>IF(L1063="","Укажите валюту",IF(NOT(ISNUMBER(K1063)),"Укажите объём",IF(K1063&lt;=0,"Укажите объём",IF(K1063&gt;F1063,"Объём выше излишка",IF(COUNT(M1063:O1063)&lt;3,"Нужны цены",IF(COUNT(P1063:R1063)&lt;3,"Нужны расходы",IF(OR(M1063&lt;0,N1063&lt;0,O1063&lt;0,O1063&gt;100,P1063&lt;0,Q1063&lt;0,R1063&lt;0,R1063&gt;100),"Проверьте значения","Рассчитано")))))))</x:f>
        <x:v>Нужны цены</x:v>
      </x:c>
      <x:c r="K1063" s="25" t="n">
        <x:v>1.403</x:v>
      </x:c>
      <x:c r="L1063" s="19" t="str">
        <x:v>KZT</x:v>
      </x:c>
      <x:c r="M1063" s="22"/>
      <x:c r="N1063" s="22"/>
      <x:c r="O1063" s="28"/>
      <x:c r="P1063" s="22"/>
      <x:c r="Q1063" s="22"/>
      <x:c r="R1063" s="28"/>
      <x:c r="S1063" s="22"/>
      <x:c r="T1063" s="24" t="n">
        <x:f>K1063</x:f>
        <x:v>1.403</x:v>
      </x:c>
      <x:c r="U1063" s="21" t="str">
        <x:f>IF(J1063="Рассчитано",N1063*(1-O1063/100),"н/д")</x:f>
        <x:v>н/д</x:v>
      </x:c>
      <x:c r="V1063" s="21" t="str">
        <x:f>IF(J1063="Рассчитано",T1063*U1063,"н/д")</x:f>
        <x:v>н/д</x:v>
      </x:c>
      <x:c r="W1063" s="21" t="str">
        <x:f>IF(J1063="Рассчитано",T1063*M1063,"н/д")</x:f>
        <x:v>н/д</x:v>
      </x:c>
      <x:c r="X1063" s="21" t="str">
        <x:f>IF(J1063="Рассчитано",V1063-W1063,"н/д")</x:f>
        <x:v>н/д</x:v>
      </x:c>
      <x:c r="Y1063" s="27" t="str">
        <x:f>IF(J1063="Рассчитано",IF(V1063&gt;0,G1063/V1063,"н/д"),"н/д")</x:f>
        <x:v>н/д</x:v>
      </x:c>
      <x:c r="Z1063" s="21" t="str">
        <x:f>"н/д"</x:f>
        <x:v>н/д</x:v>
      </x:c>
      <x:c r="AA1063" s="21" t="str">
        <x:f>"н/д"</x:f>
        <x:v>н/д</x:v>
      </x:c>
      <x:c r="AB1063" s="21" t="str">
        <x:f>"н/д"</x:f>
        <x:v>н/д</x:v>
      </x:c>
      <x:c r="AC1063" s="21" t="str">
        <x:f>IF(AND(J1063="Рассчитано",T1063&gt;0,R1063&lt;100),(W1063+P1063+Q1063)/(T1063*(1-R1063/100)),"н/д")</x:f>
        <x:v>н/д</x:v>
      </x:c>
      <x:c r="AD1063" s="10" t="str">
        <x:f>IF(ISNUMBER(G1063),IF(G1063&lt;0,"Убыток",IF(G1063=0,"Без прибыли","Прибыль &gt; 0")),"Не оценён")</x:f>
        <x:v>Не оценён</x:v>
      </x:c>
      <x:c r="AE1063" s="13" t="str">
        <x:f>IF(J1063="Рассчитано","Выручка "&amp;TEXT(V1063,"0.00")&amp;" - себестоимость "&amp;TEXT(W1063,"0.00")&amp;" - комиссия "&amp;TEXT(V1063*R1063/100,"0.00")&amp;" - доставка "&amp;TEXT(P1063,"0.00")&amp;" - прочие "&amp;TEXT(Q1063,"0.00")&amp;" = "&amp;TEXT(G1063,"0.00")&amp;" "&amp;L1063,"Введите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3" s="24" t="n">
        <x:v>0.5966952699325151</x:v>
      </x:c>
      <x:c r="AG1063" s="24" t="n">
        <x:v>2</x:v>
      </x:c>
      <x:c r="AH1063" s="24" t="n">
        <x:v>0</x:v>
      </x:c>
      <x:c r="AI1063" s="30" t="n">
        <x:v>46266</x:v>
      </x:c>
      <x:c r="AJ1063" s="24" t="n">
        <x:v>120</x:v>
      </x:c>
      <x:c r="AK1063" s="10" t="str">
        <x:v>минимум</x:v>
      </x:c>
      <x:c r="AL1063" s="32" t="n">
        <x:v>285.033853812003</x:v>
      </x:c>
      <x:c r="AM10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3" s="13" t="str">
        <x:v>Проверить свободный остаток и установить цену для B2B</x:v>
      </x:c>
      <x:c r="AO1063" s="13" t="str">
        <x:v>Остаток 2; прогноз 90 дней 0.60; избыток 1.403 м. Будущие поступления не выставляются на продажу. Остаток на начало сентября: требуется актуализация.</x:v>
      </x:c>
      <x:c r="AP1063" s="13" t="str">
        <x:v>["category_missing", "daily_stockout_data_missing", "new_order_lead_time_unknown", "reservations_unknown", "stale_stock"]</x:v>
      </x:c>
      <x:c r="AQ1063" s="10" t="str">
        <x:v>IEK:280100408_</x:v>
      </x:c>
      <x:c r="AR1063" s="24" t="n">
        <x:v>0.001</x:v>
      </x:c>
      <x:c r="AS1063" s="24" t="n">
        <x:v>0</x:v>
      </x:c>
      <x:c r="AT1063" s="24" t="n">
        <x:v>0</x:v>
      </x:c>
    </x:row>
    <x:row r="1064" ht="64" customHeight="1">
      <x:c r="A1064" s="11" t="str">
        <x:v>IEK</x:v>
      </x:c>
      <x:c r="B1064" s="33" t="str">
        <x:v>280100409_</x:v>
      </x:c>
      <x:c r="C1064" s="33" t="str">
        <x:v>EL-KK10-015-010-1-K02</x:v>
      </x:c>
      <x:c r="D1064" s="12" t="str">
        <x:v>Кабель-канал 15х10 черный ЭЛЕКОР IEK (144м)</x:v>
      </x:c>
      <x:c r="E1064" s="11" t="str">
        <x:v>м</x:v>
      </x:c>
      <x:c r="F1064" s="23" t="n">
        <x:f>MAX(0,ROUNDDOWN((AG1064-AF1064)/AR1064+0.000000001,0)*AR1064)</x:f>
        <x:v>124.07600000000001</x:v>
      </x:c>
      <x:c r="G1064" s="20" t="str">
        <x:f>IF(J1064="Рассчитано",V1064*(1-R1064/100)-W1064-P1064-Q1064,"н/д")</x:f>
        <x:v>н/д</x:v>
      </x:c>
      <x:c r="H1064" s="12" t="str">
        <x:v>Высокий</x:v>
      </x:c>
      <x:c r="I1064" s="12" t="str">
        <x:v>Высокий</x:v>
      </x:c>
      <x:c r="J1064" s="12" t="str">
        <x:f>IF(L1064="","Укажите валюту",IF(NOT(ISNUMBER(K1064)),"Укажите объём",IF(K1064&lt;=0,"Укажите объём",IF(K1064&gt;F1064,"Объём выше излишка",IF(COUNT(M1064:O1064)&lt;3,"Нужны цены",IF(COUNT(P1064:R1064)&lt;3,"Нужны расходы",IF(OR(M1064&lt;0,N1064&lt;0,O1064&lt;0,O1064&gt;100,P1064&lt;0,Q1064&lt;0,R1064&lt;0,R1064&gt;100),"Проверьте значения","Рассчитано")))))))</x:f>
        <x:v>Нужны цены</x:v>
      </x:c>
      <x:c r="K1064" s="25" t="n">
        <x:v>124.07600000000001</x:v>
      </x:c>
      <x:c r="L1064" s="19" t="str">
        <x:v>KZT</x:v>
      </x:c>
      <x:c r="M1064" s="22"/>
      <x:c r="N1064" s="22"/>
      <x:c r="O1064" s="28"/>
      <x:c r="P1064" s="22"/>
      <x:c r="Q1064" s="22"/>
      <x:c r="R1064" s="28"/>
      <x:c r="S1064" s="22"/>
      <x:c r="T1064" s="23" t="n">
        <x:f>K1064</x:f>
        <x:v>124.07600000000001</x:v>
      </x:c>
      <x:c r="U1064" s="20" t="str">
        <x:f>IF(J1064="Рассчитано",N1064*(1-O1064/100),"н/д")</x:f>
        <x:v>н/д</x:v>
      </x:c>
      <x:c r="V1064" s="20" t="str">
        <x:f>IF(J1064="Рассчитано",T1064*U1064,"н/д")</x:f>
        <x:v>н/д</x:v>
      </x:c>
      <x:c r="W1064" s="20" t="str">
        <x:f>IF(J1064="Рассчитано",T1064*M1064,"н/д")</x:f>
        <x:v>н/д</x:v>
      </x:c>
      <x:c r="X1064" s="20" t="str">
        <x:f>IF(J1064="Рассчитано",V1064-W1064,"н/д")</x:f>
        <x:v>н/д</x:v>
      </x:c>
      <x:c r="Y1064" s="26" t="str">
        <x:f>IF(J1064="Рассчитано",IF(V1064&gt;0,G1064/V1064,"н/д"),"н/д")</x:f>
        <x:v>н/д</x:v>
      </x:c>
      <x:c r="Z1064" s="20" t="str">
        <x:f>"н/д"</x:f>
        <x:v>н/д</x:v>
      </x:c>
      <x:c r="AA1064" s="20" t="str">
        <x:f>"н/д"</x:f>
        <x:v>н/д</x:v>
      </x:c>
      <x:c r="AB1064" s="20" t="str">
        <x:f>"н/д"</x:f>
        <x:v>н/д</x:v>
      </x:c>
      <x:c r="AC1064" s="20" t="str">
        <x:f>IF(AND(J1064="Рассчитано",T1064&gt;0,R1064&lt;100),(W1064+P1064+Q1064)/(T1064*(1-R1064/100)),"н/д")</x:f>
        <x:v>н/д</x:v>
      </x:c>
      <x:c r="AD1064" s="11" t="str">
        <x:f>IF(ISNUMBER(G1064),IF(G1064&lt;0,"Убыток",IF(G1064=0,"Без прибыли","Прибыль &gt; 0")),"Не оценён")</x:f>
        <x:v>Не оценён</x:v>
      </x:c>
      <x:c r="AE1064" s="12" t="str">
        <x:f>IF(J1064="Рассчитано","Выручка "&amp;TEXT(V1064,"0.00")&amp;" - себестоимость "&amp;TEXT(W1064,"0.00")&amp;" - комиссия "&amp;TEXT(V1064*R1064/100,"0.00")&amp;" - доставка "&amp;TEXT(P1064,"0.00")&amp;" - прочие "&amp;TEXT(Q1064,"0.00")&amp;" = "&amp;TEXT(G1064,"0.00")&amp;" "&amp;L1064,"Введите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4" s="23" t="n">
        <x:v>17.923978754406985</x:v>
      </x:c>
      <x:c r="AG1064" s="23" t="n">
        <x:v>142</x:v>
      </x:c>
      <x:c r="AH1064" s="23" t="n">
        <x:v>0</x:v>
      </x:c>
      <x:c r="AI1064" s="29" t="n">
        <x:v>46266</x:v>
      </x:c>
      <x:c r="AJ1064" s="23" t="n">
        <x:v>144</x:v>
      </x:c>
      <x:c r="AK1064" s="11" t="str">
        <x:v>минимум</x:v>
      </x:c>
      <x:c r="AL1064" s="31" t="n">
        <x:v>673.709960361859</x:v>
      </x:c>
      <x:c r="AM106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4" s="12" t="str">
        <x:v>Проверить свободный остаток и установить цену для B2B</x:v>
      </x:c>
      <x:c r="AO1064" s="12" t="str">
        <x:v>Остаток 142; прогноз 90 дней 17.92; избыток 124.076 м. Будущие поступления не выставляются на продажу. Остаток на начало сентября: требуется актуализация.</x:v>
      </x:c>
      <x:c r="AP1064" s="12" t="str">
        <x:v>["category_missing", "daily_stockout_data_missing", "new_order_lead_time_unknown", "reservations_unknown", "stale_stock"]</x:v>
      </x:c>
      <x:c r="AQ1064" s="11" t="str">
        <x:v>IEK:280100409_</x:v>
      </x:c>
      <x:c r="AR1064" s="23" t="n">
        <x:v>0.001</x:v>
      </x:c>
      <x:c r="AS1064" s="23" t="n">
        <x:v>0</x:v>
      </x:c>
      <x:c r="AT1064" s="23" t="n">
        <x:v>0</x:v>
      </x:c>
    </x:row>
    <x:row r="1065" ht="64" customHeight="1">
      <x:c r="A1065" s="10" t="str">
        <x:v>IEK</x:v>
      </x:c>
      <x:c r="B1065" s="34" t="str">
        <x:v>280100410_</x:v>
      </x:c>
      <x:c r="C1065" s="34" t="str">
        <x:v>EL-KK10-020-010-1-K02</x:v>
      </x:c>
      <x:c r="D1065" s="13" t="str">
        <x:v>Кабель-канал 20х10 черный ЭЛЕКОР IEK (96м)</x:v>
      </x:c>
      <x:c r="E1065" s="10" t="str">
        <x:v>м</x:v>
      </x:c>
      <x:c r="F1065" s="24" t="n">
        <x:f>MAX(0,ROUNDDOWN((AG1065-AF1065)/AR1065+0.000000001,0)*AR1065)</x:f>
        <x:v>116.408</x:v>
      </x:c>
      <x:c r="G1065" s="21" t="str">
        <x:f>IF(J1065="Рассчитано",V1065*(1-R1065/100)-W1065-P1065-Q1065,"н/д")</x:f>
        <x:v>н/д</x:v>
      </x:c>
      <x:c r="H1065" s="13" t="str">
        <x:v>Высокий</x:v>
      </x:c>
      <x:c r="I1065" s="13" t="str">
        <x:v>Высокий</x:v>
      </x:c>
      <x:c r="J1065" s="13" t="str">
        <x:f>IF(L1065="","Укажите валюту",IF(NOT(ISNUMBER(K1065)),"Укажите объём",IF(K1065&lt;=0,"Укажите объём",IF(K1065&gt;F1065,"Объём выше излишка",IF(COUNT(M1065:O1065)&lt;3,"Нужны цены",IF(COUNT(P1065:R1065)&lt;3,"Нужны расходы",IF(OR(M1065&lt;0,N1065&lt;0,O1065&lt;0,O1065&gt;100,P1065&lt;0,Q1065&lt;0,R1065&lt;0,R1065&gt;100),"Проверьте значения","Рассчитано")))))))</x:f>
        <x:v>Нужны цены</x:v>
      </x:c>
      <x:c r="K1065" s="25" t="n">
        <x:v>116.408</x:v>
      </x:c>
      <x:c r="L1065" s="19" t="str">
        <x:v>KZT</x:v>
      </x:c>
      <x:c r="M1065" s="22"/>
      <x:c r="N1065" s="22"/>
      <x:c r="O1065" s="28"/>
      <x:c r="P1065" s="22"/>
      <x:c r="Q1065" s="22"/>
      <x:c r="R1065" s="28"/>
      <x:c r="S1065" s="22"/>
      <x:c r="T1065" s="24" t="n">
        <x:f>K1065</x:f>
        <x:v>116.408</x:v>
      </x:c>
      <x:c r="U1065" s="21" t="str">
        <x:f>IF(J1065="Рассчитано",N1065*(1-O1065/100),"н/д")</x:f>
        <x:v>н/д</x:v>
      </x:c>
      <x:c r="V1065" s="21" t="str">
        <x:f>IF(J1065="Рассчитано",T1065*U1065,"н/д")</x:f>
        <x:v>н/д</x:v>
      </x:c>
      <x:c r="W1065" s="21" t="str">
        <x:f>IF(J1065="Рассчитано",T1065*M1065,"н/д")</x:f>
        <x:v>н/д</x:v>
      </x:c>
      <x:c r="X1065" s="21" t="str">
        <x:f>IF(J1065="Рассчитано",V1065-W1065,"н/д")</x:f>
        <x:v>н/д</x:v>
      </x:c>
      <x:c r="Y1065" s="27" t="str">
        <x:f>IF(J1065="Рассчитано",IF(V1065&gt;0,G1065/V1065,"н/д"),"н/д")</x:f>
        <x:v>н/д</x:v>
      </x:c>
      <x:c r="Z1065" s="21" t="str">
        <x:f>"н/д"</x:f>
        <x:v>н/д</x:v>
      </x:c>
      <x:c r="AA1065" s="21" t="str">
        <x:f>"н/д"</x:f>
        <x:v>н/д</x:v>
      </x:c>
      <x:c r="AB1065" s="21" t="str">
        <x:f>"н/д"</x:f>
        <x:v>н/д</x:v>
      </x:c>
      <x:c r="AC1065" s="21" t="str">
        <x:f>IF(AND(J1065="Рассчитано",T1065&gt;0,R1065&lt;100),(W1065+P1065+Q1065)/(T1065*(1-R1065/100)),"н/д")</x:f>
        <x:v>н/д</x:v>
      </x:c>
      <x:c r="AD1065" s="10" t="str">
        <x:f>IF(ISNUMBER(G1065),IF(G1065&lt;0,"Убыток",IF(G1065=0,"Без прибыли","Прибыль &gt; 0")),"Не оценён")</x:f>
        <x:v>Не оценён</x:v>
      </x:c>
      <x:c r="AE1065" s="13" t="str">
        <x:f>IF(J1065="Рассчитано","Выручка "&amp;TEXT(V1065,"0.00")&amp;" - себестоимость "&amp;TEXT(W1065,"0.00")&amp;" - комиссия "&amp;TEXT(V1065*R1065/100,"0.00")&amp;" - доставка "&amp;TEXT(P1065,"0.00")&amp;" - прочие "&amp;TEXT(Q1065,"0.00")&amp;" = "&amp;TEXT(G1065,"0.00")&amp;" "&amp;L1065,"Введите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5" s="24" t="n">
        <x:v>21.59129261066324</x:v>
      </x:c>
      <x:c r="AG1065" s="24" t="n">
        <x:v>138</x:v>
      </x:c>
      <x:c r="AH1065" s="24" t="n">
        <x:v>0</x:v>
      </x:c>
      <x:c r="AI1065" s="30" t="n">
        <x:v>46266</x:v>
      </x:c>
      <x:c r="AJ1065" s="24" t="n">
        <x:v>96</x:v>
      </x:c>
      <x:c r="AK1065" s="10" t="str">
        <x:v>минимум</x:v>
      </x:c>
      <x:c r="AL1065" s="32" t="n">
        <x:v>543.524953465829</x:v>
      </x:c>
      <x:c r="AM10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5" s="13" t="str">
        <x:v>Проверить свободный остаток и установить цену для B2B</x:v>
      </x:c>
      <x:c r="AO1065" s="13" t="str">
        <x:v>Остаток 138; прогноз 90 дней 21.59; избыток 116.408 м. Будущие поступления не выставляются на продажу. Остаток на начало сентября: требуется актуализация.</x:v>
      </x:c>
      <x:c r="AP1065" s="13" t="str">
        <x:v>["category_missing", "daily_stockout_data_missing", "new_order_lead_time_unknown", "reservations_unknown", "stale_stock"]</x:v>
      </x:c>
      <x:c r="AQ1065" s="10" t="str">
        <x:v>IEK:280100410_</x:v>
      </x:c>
      <x:c r="AR1065" s="24" t="n">
        <x:v>0.001</x:v>
      </x:c>
      <x:c r="AS1065" s="24" t="n">
        <x:v>0</x:v>
      </x:c>
      <x:c r="AT1065" s="24" t="n">
        <x:v>0</x:v>
      </x:c>
    </x:row>
    <x:row r="1066" ht="64" customHeight="1">
      <x:c r="A1066" s="11" t="str">
        <x:v>IEK</x:v>
      </x:c>
      <x:c r="B1066" s="33" t="str">
        <x:v>280100412_</x:v>
      </x:c>
      <x:c r="C1066" s="33" t="str">
        <x:v>EL-KK10-040-016-1-K02</x:v>
      </x:c>
      <x:c r="D1066" s="12" t="str">
        <x:v>Кабель-канал 40х16 черный ЭЛЕКОР IEK (30)</x:v>
      </x:c>
      <x:c r="E1066" s="11" t="str">
        <x:v>м</x:v>
      </x:c>
      <x:c r="F1066" s="23" t="n">
        <x:f>MAX(0,ROUNDDOWN((AG1066-AF1066)/AR1066+0.000000001,0)*AR1066)</x:f>
        <x:v>5.198</x:v>
      </x:c>
      <x:c r="G1066" s="20" t="str">
        <x:f>IF(J1066="Рассчитано",V1066*(1-R1066/100)-W1066-P1066-Q1066,"н/д")</x:f>
        <x:v>н/д</x:v>
      </x:c>
      <x:c r="H1066" s="12" t="str">
        <x:v>Высокий</x:v>
      </x:c>
      <x:c r="I1066" s="12" t="str">
        <x:v>Высокий</x:v>
      </x:c>
      <x:c r="J1066" s="12" t="str">
        <x:f>IF(L1066="","Укажите валюту",IF(NOT(ISNUMBER(K1066)),"Укажите объём",IF(K1066&lt;=0,"Укажите объём",IF(K1066&gt;F1066,"Объём выше излишка",IF(COUNT(M1066:O1066)&lt;3,"Нужны цены",IF(COUNT(P1066:R1066)&lt;3,"Нужны расходы",IF(OR(M1066&lt;0,N1066&lt;0,O1066&lt;0,O1066&gt;100,P1066&lt;0,Q1066&lt;0,R1066&lt;0,R1066&gt;100),"Проверьте значения","Рассчитано")))))))</x:f>
        <x:v>Нужны цены</x:v>
      </x:c>
      <x:c r="K1066" s="25" t="n">
        <x:v>5.198</x:v>
      </x:c>
      <x:c r="L1066" s="19" t="str">
        <x:v>KZT</x:v>
      </x:c>
      <x:c r="M1066" s="22"/>
      <x:c r="N1066" s="22"/>
      <x:c r="O1066" s="28"/>
      <x:c r="P1066" s="22"/>
      <x:c r="Q1066" s="22"/>
      <x:c r="R1066" s="28"/>
      <x:c r="S1066" s="22"/>
      <x:c r="T1066" s="23" t="n">
        <x:f>K1066</x:f>
        <x:v>5.198</x:v>
      </x:c>
      <x:c r="U1066" s="20" t="str">
        <x:f>IF(J1066="Рассчитано",N1066*(1-O1066/100),"н/д")</x:f>
        <x:v>н/д</x:v>
      </x:c>
      <x:c r="V1066" s="20" t="str">
        <x:f>IF(J1066="Рассчитано",T1066*U1066,"н/д")</x:f>
        <x:v>н/д</x:v>
      </x:c>
      <x:c r="W1066" s="20" t="str">
        <x:f>IF(J1066="Рассчитано",T1066*M1066,"н/д")</x:f>
        <x:v>н/д</x:v>
      </x:c>
      <x:c r="X1066" s="20" t="str">
        <x:f>IF(J1066="Рассчитано",V1066-W1066,"н/д")</x:f>
        <x:v>н/д</x:v>
      </x:c>
      <x:c r="Y1066" s="26" t="str">
        <x:f>IF(J1066="Рассчитано",IF(V1066&gt;0,G1066/V1066,"н/д"),"н/д")</x:f>
        <x:v>н/д</x:v>
      </x:c>
      <x:c r="Z1066" s="20" t="str">
        <x:f>"н/д"</x:f>
        <x:v>н/д</x:v>
      </x:c>
      <x:c r="AA1066" s="20" t="str">
        <x:f>"н/д"</x:f>
        <x:v>н/д</x:v>
      </x:c>
      <x:c r="AB1066" s="20" t="str">
        <x:f>"н/д"</x:f>
        <x:v>н/д</x:v>
      </x:c>
      <x:c r="AC1066" s="20" t="str">
        <x:f>IF(AND(J1066="Рассчитано",T1066&gt;0,R1066&lt;100),(W1066+P1066+Q1066)/(T1066*(1-R1066/100)),"н/д")</x:f>
        <x:v>н/д</x:v>
      </x:c>
      <x:c r="AD1066" s="11" t="str">
        <x:f>IF(ISNUMBER(G1066),IF(G1066&lt;0,"Убыток",IF(G1066=0,"Без прибыли","Прибыль &gt; 0")),"Не оценён")</x:f>
        <x:v>Не оценён</x:v>
      </x:c>
      <x:c r="AE1066" s="12" t="str">
        <x:f>IF(J1066="Рассчитано","Выручка "&amp;TEXT(V1066,"0.00")&amp;" - себестоимость "&amp;TEXT(W1066,"0.00")&amp;" - комиссия "&amp;TEXT(V1066*R1066/100,"0.00")&amp;" - доставка "&amp;TEXT(P1066,"0.00")&amp;" - прочие "&amp;TEXT(Q1066,"0.00")&amp;" = "&amp;TEXT(G1066,"0.00")&amp;" "&amp;L1066,"Введите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6" s="23" t="n">
        <x:v>2.8018849802658568</x:v>
      </x:c>
      <x:c r="AG1066" s="23" t="n">
        <x:v>8</x:v>
      </x:c>
      <x:c r="AH1066" s="23" t="n">
        <x:v>0</x:v>
      </x:c>
      <x:c r="AI1066" s="29" t="n">
        <x:v>46266</x:v>
      </x:c>
      <x:c r="AJ1066" s="23" t="n">
        <x:v>30</x:v>
      </x:c>
      <x:c r="AK1066" s="11" t="str">
        <x:v>минимум</x:v>
      </x:c>
      <x:c r="AL1066" s="31" t="n">
        <x:v>242.80561627354214</x:v>
      </x:c>
      <x:c r="AM106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6" s="12" t="str">
        <x:v>Проверить свободный остаток и установить цену для B2B</x:v>
      </x:c>
      <x:c r="AO1066" s="12" t="str">
        <x:v>Остаток 8; прогноз 90 дней 2.80; избыток 5.198 м. Будущие поступления не выставляются на продажу. Остаток на начало сентября: требуется актуализация.</x:v>
      </x:c>
      <x:c r="AP1066" s="12" t="str">
        <x:v>["category_missing", "daily_stockout_data_missing", "new_order_lead_time_unknown", "reservations_unknown", "stale_stock"]</x:v>
      </x:c>
      <x:c r="AQ1066" s="11" t="str">
        <x:v>IEK:280100412_</x:v>
      </x:c>
      <x:c r="AR1066" s="23" t="n">
        <x:v>0.001</x:v>
      </x:c>
      <x:c r="AS1066" s="23" t="n">
        <x:v>0</x:v>
      </x:c>
      <x:c r="AT1066" s="23" t="n">
        <x:v>0</x:v>
      </x:c>
    </x:row>
    <x:row r="1067" ht="64" customHeight="1">
      <x:c r="A1067" s="10" t="str">
        <x:v>IEK</x:v>
      </x:c>
      <x:c r="B1067" s="34" t="str">
        <x:v>280100414_</x:v>
      </x:c>
      <x:c r="C1067" s="34" t="str">
        <x:v>EL-KK10-060-040-1-K02</x:v>
      </x:c>
      <x:c r="D1067" s="13" t="str">
        <x:v>Кабель-канал 60х40 черный ЭЛЕКОР IEK (18)</x:v>
      </x:c>
      <x:c r="E1067" s="10" t="str">
        <x:v>м</x:v>
      </x:c>
      <x:c r="F1067" s="24" t="n">
        <x:f>MAX(0,ROUNDDOWN((AG1067-AF1067)/AR1067+0.000000001,0)*AR1067)</x:f>
        <x:v>24.804000000000002</x:v>
      </x:c>
      <x:c r="G1067" s="21" t="str">
        <x:f>IF(J1067="Рассчитано",V1067*(1-R1067/100)-W1067-P1067-Q1067,"н/д")</x:f>
        <x:v>н/д</x:v>
      </x:c>
      <x:c r="H1067" s="13" t="str">
        <x:v>Высокий</x:v>
      </x:c>
      <x:c r="I1067" s="13" t="str">
        <x:v>Высокий</x:v>
      </x:c>
      <x:c r="J1067" s="13" t="str">
        <x:f>IF(L1067="","Укажите валюту",IF(NOT(ISNUMBER(K1067)),"Укажите объём",IF(K1067&lt;=0,"Укажите объём",IF(K1067&gt;F1067,"Объём выше излишка",IF(COUNT(M1067:O1067)&lt;3,"Нужны цены",IF(COUNT(P1067:R1067)&lt;3,"Нужны расходы",IF(OR(M1067&lt;0,N1067&lt;0,O1067&lt;0,O1067&gt;100,P1067&lt;0,Q1067&lt;0,R1067&lt;0,R1067&gt;100),"Проверьте значения","Рассчитано")))))))</x:f>
        <x:v>Нужны цены</x:v>
      </x:c>
      <x:c r="K1067" s="25" t="n">
        <x:v>24.804000000000002</x:v>
      </x:c>
      <x:c r="L1067" s="19" t="str">
        <x:v>KZT</x:v>
      </x:c>
      <x:c r="M1067" s="22"/>
      <x:c r="N1067" s="22"/>
      <x:c r="O1067" s="28"/>
      <x:c r="P1067" s="22"/>
      <x:c r="Q1067" s="22"/>
      <x:c r="R1067" s="28"/>
      <x:c r="S1067" s="22"/>
      <x:c r="T1067" s="24" t="n">
        <x:f>K1067</x:f>
        <x:v>24.804000000000002</x:v>
      </x:c>
      <x:c r="U1067" s="21" t="str">
        <x:f>IF(J1067="Рассчитано",N1067*(1-O1067/100),"н/д")</x:f>
        <x:v>н/д</x:v>
      </x:c>
      <x:c r="V1067" s="21" t="str">
        <x:f>IF(J1067="Рассчитано",T1067*U1067,"н/д")</x:f>
        <x:v>н/д</x:v>
      </x:c>
      <x:c r="W1067" s="21" t="str">
        <x:f>IF(J1067="Рассчитано",T1067*M1067,"н/д")</x:f>
        <x:v>н/д</x:v>
      </x:c>
      <x:c r="X1067" s="21" t="str">
        <x:f>IF(J1067="Рассчитано",V1067-W1067,"н/д")</x:f>
        <x:v>н/д</x:v>
      </x:c>
      <x:c r="Y1067" s="27" t="str">
        <x:f>IF(J1067="Рассчитано",IF(V1067&gt;0,G1067/V1067,"н/д"),"н/д")</x:f>
        <x:v>н/д</x:v>
      </x:c>
      <x:c r="Z1067" s="21" t="str">
        <x:f>"н/д"</x:f>
        <x:v>н/д</x:v>
      </x:c>
      <x:c r="AA1067" s="21" t="str">
        <x:f>"н/д"</x:f>
        <x:v>н/д</x:v>
      </x:c>
      <x:c r="AB1067" s="21" t="str">
        <x:f>"н/д"</x:f>
        <x:v>н/д</x:v>
      </x:c>
      <x:c r="AC1067" s="21" t="str">
        <x:f>IF(AND(J1067="Рассчитано",T1067&gt;0,R1067&lt;100),(W1067+P1067+Q1067)/(T1067*(1-R1067/100)),"н/д")</x:f>
        <x:v>н/д</x:v>
      </x:c>
      <x:c r="AD1067" s="10" t="str">
        <x:f>IF(ISNUMBER(G1067),IF(G1067&lt;0,"Убыток",IF(G1067=0,"Без прибыли","Прибыль &gt; 0")),"Не оценён")</x:f>
        <x:v>Не оценён</x:v>
      </x:c>
      <x:c r="AE1067" s="13" t="str">
        <x:f>IF(J1067="Рассчитано","Выручка "&amp;TEXT(V1067,"0.00")&amp;" - себестоимость "&amp;TEXT(W1067,"0.00")&amp;" - комиссия "&amp;TEXT(V1067*R1067/100,"0.00")&amp;" - доставка "&amp;TEXT(P1067,"0.00")&amp;" - прочие "&amp;TEXT(Q1067,"0.00")&amp;" = "&amp;TEXT(G1067,"0.00")&amp;" "&amp;L1067,"Введите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7" s="24" t="n">
        <x:v>9.195080551088386</x:v>
      </x:c>
      <x:c r="AG1067" s="24" t="n">
        <x:v>34</x:v>
      </x:c>
      <x:c r="AH1067" s="24" t="n">
        <x:v>0</x:v>
      </x:c>
      <x:c r="AI1067" s="30" t="n">
        <x:v>46266</x:v>
      </x:c>
      <x:c r="AJ1067" s="24" t="n">
        <x:v>18</x:v>
      </x:c>
      <x:c r="AK1067" s="10" t="str">
        <x:v>минимум</x:v>
      </x:c>
      <x:c r="AL1067" s="32" t="n">
        <x:v>314.44335628382856</x:v>
      </x:c>
      <x:c r="AM106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7" s="13" t="str">
        <x:v>Проверить свободный остаток и установить цену для B2B</x:v>
      </x:c>
      <x:c r="AO1067" s="13" t="str">
        <x:v>Остаток 34; прогноз 90 дней 9.20; избыток 24.804 м. Будущие поступления не выставляются на продажу. Остаток на начало сентября: требуется актуализация.</x:v>
      </x:c>
      <x:c r="AP1067" s="13" t="str">
        <x:v>["category_missing", "daily_stockout_data_missing", "new_order_lead_time_unknown", "reservations_unknown", "stale_stock"]</x:v>
      </x:c>
      <x:c r="AQ1067" s="10" t="str">
        <x:v>IEK:280100414_</x:v>
      </x:c>
      <x:c r="AR1067" s="24" t="n">
        <x:v>0.001</x:v>
      </x:c>
      <x:c r="AS1067" s="24" t="n">
        <x:v>0</x:v>
      </x:c>
      <x:c r="AT1067" s="24" t="n">
        <x:v>0</x:v>
      </x:c>
    </x:row>
    <x:row r="1068" ht="64" customHeight="1">
      <x:c r="A1068" s="11" t="str">
        <x:v>IEK</x:v>
      </x:c>
      <x:c r="B1068" s="33" t="str">
        <x:v>280100415_</x:v>
      </x:c>
      <x:c r="C1068" s="33" t="str">
        <x:v>EL-KK10-060-060-1-K02</x:v>
      </x:c>
      <x:c r="D1068" s="12" t="str">
        <x:v>Кабель-канал 60х60 черный ЭЛЕКОР IEK (12)</x:v>
      </x:c>
      <x:c r="E1068" s="11" t="str">
        <x:v>м</x:v>
      </x:c>
      <x:c r="F1068" s="23" t="n">
        <x:f>MAX(0,ROUNDDOWN((AG1068-AF1068)/AR1068+0.000000001,0)*AR1068)</x:f>
        <x:v>10.4</x:v>
      </x:c>
      <x:c r="G1068" s="20" t="str">
        <x:f>IF(J1068="Рассчитано",V1068*(1-R1068/100)-W1068-P1068-Q1068,"н/д")</x:f>
        <x:v>н/д</x:v>
      </x:c>
      <x:c r="H1068" s="12" t="str">
        <x:v>Высокий</x:v>
      </x:c>
      <x:c r="I1068" s="12" t="str">
        <x:v>Высокий</x:v>
      </x:c>
      <x:c r="J1068" s="12" t="str">
        <x:f>IF(L1068="","Укажите валюту",IF(NOT(ISNUMBER(K1068)),"Укажите объём",IF(K1068&lt;=0,"Укажите объём",IF(K1068&gt;F1068,"Объём выше излишка",IF(COUNT(M1068:O1068)&lt;3,"Нужны цены",IF(COUNT(P1068:R1068)&lt;3,"Нужны расходы",IF(OR(M1068&lt;0,N1068&lt;0,O1068&lt;0,O1068&gt;100,P1068&lt;0,Q1068&lt;0,R1068&lt;0,R1068&gt;100),"Проверьте значения","Рассчитано")))))))</x:f>
        <x:v>Нужны цены</x:v>
      </x:c>
      <x:c r="K1068" s="25" t="n">
        <x:v>10.4</x:v>
      </x:c>
      <x:c r="L1068" s="19" t="str">
        <x:v>KZT</x:v>
      </x:c>
      <x:c r="M1068" s="22"/>
      <x:c r="N1068" s="22"/>
      <x:c r="O1068" s="28"/>
      <x:c r="P1068" s="22"/>
      <x:c r="Q1068" s="22"/>
      <x:c r="R1068" s="28"/>
      <x:c r="S1068" s="22"/>
      <x:c r="T1068" s="23" t="n">
        <x:f>K1068</x:f>
        <x:v>10.4</x:v>
      </x:c>
      <x:c r="U1068" s="20" t="str">
        <x:f>IF(J1068="Рассчитано",N1068*(1-O1068/100),"н/д")</x:f>
        <x:v>н/д</x:v>
      </x:c>
      <x:c r="V1068" s="20" t="str">
        <x:f>IF(J1068="Рассчитано",T1068*U1068,"н/д")</x:f>
        <x:v>н/д</x:v>
      </x:c>
      <x:c r="W1068" s="20" t="str">
        <x:f>IF(J1068="Рассчитано",T1068*M1068,"н/д")</x:f>
        <x:v>н/д</x:v>
      </x:c>
      <x:c r="X1068" s="20" t="str">
        <x:f>IF(J1068="Рассчитано",V1068-W1068,"н/д")</x:f>
        <x:v>н/д</x:v>
      </x:c>
      <x:c r="Y1068" s="26" t="str">
        <x:f>IF(J1068="Рассчитано",IF(V1068&gt;0,G1068/V1068,"н/д"),"н/д")</x:f>
        <x:v>н/д</x:v>
      </x:c>
      <x:c r="Z1068" s="20" t="str">
        <x:f>"н/д"</x:f>
        <x:v>н/д</x:v>
      </x:c>
      <x:c r="AA1068" s="20" t="str">
        <x:f>"н/д"</x:f>
        <x:v>н/д</x:v>
      </x:c>
      <x:c r="AB1068" s="20" t="str">
        <x:f>"н/д"</x:f>
        <x:v>н/д</x:v>
      </x:c>
      <x:c r="AC1068" s="20" t="str">
        <x:f>IF(AND(J1068="Рассчитано",T1068&gt;0,R1068&lt;100),(W1068+P1068+Q1068)/(T1068*(1-R1068/100)),"н/д")</x:f>
        <x:v>н/д</x:v>
      </x:c>
      <x:c r="AD1068" s="11" t="str">
        <x:f>IF(ISNUMBER(G1068),IF(G1068&lt;0,"Убыток",IF(G1068=0,"Без прибыли","Прибыль &gt; 0")),"Не оценён")</x:f>
        <x:v>Не оценён</x:v>
      </x:c>
      <x:c r="AE1068" s="12" t="str">
        <x:f>IF(J1068="Рассчитано","Выручка "&amp;TEXT(V1068,"0.00")&amp;" - себестоимость "&amp;TEXT(W1068,"0.00")&amp;" - комиссия "&amp;TEXT(V1068*R1068/100,"0.00")&amp;" - доставка "&amp;TEXT(P1068,"0.00")&amp;" - прочие "&amp;TEXT(Q1068,"0.00")&amp;" = "&amp;TEXT(G1068,"0.00")&amp;" "&amp;L1068,"Введите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8" s="23" t="n">
        <x:v>1.5999626906924245</x:v>
      </x:c>
      <x:c r="AG1068" s="23" t="n">
        <x:v>12</x:v>
      </x:c>
      <x:c r="AH1068" s="23" t="n">
        <x:v>0</x:v>
      </x:c>
      <x:c r="AI1068" s="29" t="n">
        <x:v>46266</x:v>
      </x:c>
      <x:c r="AJ1068" s="23" t="n">
        <x:v>12</x:v>
      </x:c>
      <x:c r="AK1068" s="11" t="str">
        <x:v>минимум</x:v>
      </x:c>
      <x:c r="AL1068" s="31" t="n">
        <x:v>637.808693901427</x:v>
      </x:c>
      <x:c r="AM106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8" s="12" t="str">
        <x:v>Проверить свободный остаток и установить цену для B2B</x:v>
      </x:c>
      <x:c r="AO1068" s="12" t="str">
        <x:v>Остаток 12; прогноз 90 дней 1.60; избыток 10.4 м. Будущие поступления не выставляются на продажу. Остаток на начало сентября: требуется актуализация.</x:v>
      </x:c>
      <x:c r="AP1068" s="12" t="str">
        <x:v>["category_missing", "daily_stockout_data_missing", "new_order_lead_time_unknown", "reservations_unknown", "stale_stock"]</x:v>
      </x:c>
      <x:c r="AQ1068" s="11" t="str">
        <x:v>IEK:280100415_</x:v>
      </x:c>
      <x:c r="AR1068" s="23" t="n">
        <x:v>0.001</x:v>
      </x:c>
      <x:c r="AS1068" s="23" t="n">
        <x:v>0</x:v>
      </x:c>
      <x:c r="AT1068" s="23" t="n">
        <x:v>0</x:v>
      </x:c>
    </x:row>
    <x:row r="1069" ht="64" customHeight="1">
      <x:c r="A1069" s="10" t="str">
        <x:v>IEK</x:v>
      </x:c>
      <x:c r="B1069" s="34" t="str">
        <x:v>280100416_</x:v>
      </x:c>
      <x:c r="C1069" s="34" t="str">
        <x:v>EL-KK10-080-040-1-K02</x:v>
      </x:c>
      <x:c r="D1069" s="13" t="str">
        <x:v>Кабель-канал 80х40 черный ЭЛЕКОР IEK (10)</x:v>
      </x:c>
      <x:c r="E1069" s="10" t="str">
        <x:v>м</x:v>
      </x:c>
      <x:c r="F1069" s="24" t="n">
        <x:f>MAX(0,ROUNDDOWN((AG1069-AF1069)/AR1069+0.000000001,0)*AR1069)</x:f>
        <x:v>16.490000000000002</x:v>
      </x:c>
      <x:c r="G1069" s="21" t="str">
        <x:f>IF(J1069="Рассчитано",V1069*(1-R1069/100)-W1069-P1069-Q1069,"н/д")</x:f>
        <x:v>н/д</x:v>
      </x:c>
      <x:c r="H1069" s="13" t="str">
        <x:v>Высокий</x:v>
      </x:c>
      <x:c r="I1069" s="13" t="str">
        <x:v>Высокий</x:v>
      </x:c>
      <x:c r="J1069" s="13" t="str">
        <x:f>IF(L1069="","Укажите валюту",IF(NOT(ISNUMBER(K1069)),"Укажите объём",IF(K1069&lt;=0,"Укажите объём",IF(K1069&gt;F1069,"Объём выше излишка",IF(COUNT(M1069:O1069)&lt;3,"Нужны цены",IF(COUNT(P1069:R1069)&lt;3,"Нужны расходы",IF(OR(M1069&lt;0,N1069&lt;0,O1069&lt;0,O1069&gt;100,P1069&lt;0,Q1069&lt;0,R1069&lt;0,R1069&gt;100),"Проверьте значения","Рассчитано")))))))</x:f>
        <x:v>Нужны цены</x:v>
      </x:c>
      <x:c r="K1069" s="25" t="n">
        <x:v>16.490000000000002</x:v>
      </x:c>
      <x:c r="L1069" s="19" t="str">
        <x:v>KZT</x:v>
      </x:c>
      <x:c r="M1069" s="22"/>
      <x:c r="N1069" s="22"/>
      <x:c r="O1069" s="28"/>
      <x:c r="P1069" s="22"/>
      <x:c r="Q1069" s="22"/>
      <x:c r="R1069" s="28"/>
      <x:c r="S1069" s="22"/>
      <x:c r="T1069" s="24" t="n">
        <x:f>K1069</x:f>
        <x:v>16.490000000000002</x:v>
      </x:c>
      <x:c r="U1069" s="21" t="str">
        <x:f>IF(J1069="Рассчитано",N1069*(1-O1069/100),"н/д")</x:f>
        <x:v>н/д</x:v>
      </x:c>
      <x:c r="V1069" s="21" t="str">
        <x:f>IF(J1069="Рассчитано",T1069*U1069,"н/д")</x:f>
        <x:v>н/д</x:v>
      </x:c>
      <x:c r="W1069" s="21" t="str">
        <x:f>IF(J1069="Рассчитано",T1069*M1069,"н/д")</x:f>
        <x:v>н/д</x:v>
      </x:c>
      <x:c r="X1069" s="21" t="str">
        <x:f>IF(J1069="Рассчитано",V1069-W1069,"н/д")</x:f>
        <x:v>н/д</x:v>
      </x:c>
      <x:c r="Y1069" s="27" t="str">
        <x:f>IF(J1069="Рассчитано",IF(V1069&gt;0,G1069/V1069,"н/д"),"н/д")</x:f>
        <x:v>н/д</x:v>
      </x:c>
      <x:c r="Z1069" s="21" t="str">
        <x:f>"н/д"</x:f>
        <x:v>н/д</x:v>
      </x:c>
      <x:c r="AA1069" s="21" t="str">
        <x:f>"н/д"</x:f>
        <x:v>н/д</x:v>
      </x:c>
      <x:c r="AB1069" s="21" t="str">
        <x:f>"н/д"</x:f>
        <x:v>н/д</x:v>
      </x:c>
      <x:c r="AC1069" s="21" t="str">
        <x:f>IF(AND(J1069="Рассчитано",T1069&gt;0,R1069&lt;100),(W1069+P1069+Q1069)/(T1069*(1-R1069/100)),"н/д")</x:f>
        <x:v>н/д</x:v>
      </x:c>
      <x:c r="AD1069" s="10" t="str">
        <x:f>IF(ISNUMBER(G1069),IF(G1069&lt;0,"Убыток",IF(G1069=0,"Без прибыли","Прибыль &gt; 0")),"Не оценён")</x:f>
        <x:v>Не оценён</x:v>
      </x:c>
      <x:c r="AE1069" s="13" t="str">
        <x:f>IF(J1069="Рассчитано","Выручка "&amp;TEXT(V1069,"0.00")&amp;" - себестоимость "&amp;TEXT(W1069,"0.00")&amp;" - комиссия "&amp;TEXT(V1069*R1069/100,"0.00")&amp;" - доставка "&amp;TEXT(P1069,"0.00")&amp;" - прочие "&amp;TEXT(Q1069,"0.00")&amp;" = "&amp;TEXT(G1069,"0.00")&amp;" "&amp;L1069,"Введите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9" s="24" t="n">
        <x:v>3.509632847025259</x:v>
      </x:c>
      <x:c r="AG1069" s="24" t="n">
        <x:v>20</x:v>
      </x:c>
      <x:c r="AH1069" s="24" t="n">
        <x:v>0</x:v>
      </x:c>
      <x:c r="AI1069" s="30" t="n">
        <x:v>46266</x:v>
      </x:c>
      <x:c r="AJ1069" s="24" t="n">
        <x:v>10</x:v>
      </x:c>
      <x:c r="AK1069" s="10" t="str">
        <x:v>минимум</x:v>
      </x:c>
      <x:c r="AL1069" s="32" t="n">
        <x:v>484.60440095440555</x:v>
      </x:c>
      <x:c r="AM106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69" s="13" t="str">
        <x:v>Проверить свободный остаток и установить цену для B2B</x:v>
      </x:c>
      <x:c r="AO1069" s="13" t="str">
        <x:v>Остаток 20; прогноз 90 дней 3.51; избыток 16.49 м. Будущие поступления не выставляются на продажу. Остаток на начало сентября: требуется актуализация.</x:v>
      </x:c>
      <x:c r="AP1069" s="13" t="str">
        <x:v>["category_missing", "daily_stockout_data_missing", "new_order_lead_time_unknown", "reservations_unknown", "stale_stock"]</x:v>
      </x:c>
      <x:c r="AQ1069" s="10" t="str">
        <x:v>IEK:280100416_</x:v>
      </x:c>
      <x:c r="AR1069" s="24" t="n">
        <x:v>0.001</x:v>
      </x:c>
      <x:c r="AS1069" s="24" t="n">
        <x:v>0</x:v>
      </x:c>
      <x:c r="AT1069" s="24" t="n">
        <x:v>0</x:v>
      </x:c>
    </x:row>
    <x:row r="1070" ht="64" customHeight="1">
      <x:c r="A1070" s="11" t="str">
        <x:v>IEK</x:v>
      </x:c>
      <x:c r="B1070" s="33" t="str">
        <x:v>280100417_</x:v>
      </x:c>
      <x:c r="C1070" s="33" t="str">
        <x:v>EL-KK10-080-060-1-K02</x:v>
      </x:c>
      <x:c r="D1070" s="12" t="str">
        <x:v>Кабель-канал 80х60 черный ЭЛЕКОР IEK (8)</x:v>
      </x:c>
      <x:c r="E1070" s="11" t="str">
        <x:v>м</x:v>
      </x:c>
      <x:c r="F1070" s="23" t="n">
        <x:f>MAX(0,ROUNDDOWN((AG1070-AF1070)/AR1070+0.000000001,0)*AR1070)</x:f>
        <x:v>10</x:v>
      </x:c>
      <x:c r="G1070" s="20" t="str">
        <x:f>IF(J1070="Рассчитано",V1070*(1-R1070/100)-W1070-P1070-Q1070,"н/д")</x:f>
        <x:v>н/д</x:v>
      </x:c>
      <x:c r="H1070" s="12" t="str">
        <x:v>Высокий</x:v>
      </x:c>
      <x:c r="I1070" s="12" t="str">
        <x:v>Высокий</x:v>
      </x:c>
      <x:c r="J1070" s="12" t="str">
        <x:f>IF(L1070="","Укажите валюту",IF(NOT(ISNUMBER(K1070)),"Укажите объём",IF(K1070&lt;=0,"Укажите объём",IF(K1070&gt;F1070,"Объём выше излишка",IF(COUNT(M1070:O1070)&lt;3,"Нужны цены",IF(COUNT(P1070:R1070)&lt;3,"Нужны расходы",IF(OR(M1070&lt;0,N1070&lt;0,O1070&lt;0,O1070&gt;100,P1070&lt;0,Q1070&lt;0,R1070&lt;0,R1070&gt;100),"Проверьте значения","Рассчитано")))))))</x:f>
        <x:v>Нужны цены</x:v>
      </x:c>
      <x:c r="K1070" s="25" t="n">
        <x:v>10</x:v>
      </x:c>
      <x:c r="L1070" s="19" t="str">
        <x:v>KZT</x:v>
      </x:c>
      <x:c r="M1070" s="22"/>
      <x:c r="N1070" s="22"/>
      <x:c r="O1070" s="28"/>
      <x:c r="P1070" s="22"/>
      <x:c r="Q1070" s="22"/>
      <x:c r="R1070" s="28"/>
      <x:c r="S1070" s="22"/>
      <x:c r="T1070" s="23" t="n">
        <x:f>K1070</x:f>
        <x:v>10</x:v>
      </x:c>
      <x:c r="U1070" s="20" t="str">
        <x:f>IF(J1070="Рассчитано",N1070*(1-O1070/100),"н/д")</x:f>
        <x:v>н/д</x:v>
      </x:c>
      <x:c r="V1070" s="20" t="str">
        <x:f>IF(J1070="Рассчитано",T1070*U1070,"н/д")</x:f>
        <x:v>н/д</x:v>
      </x:c>
      <x:c r="W1070" s="20" t="str">
        <x:f>IF(J1070="Рассчитано",T1070*M1070,"н/д")</x:f>
        <x:v>н/д</x:v>
      </x:c>
      <x:c r="X1070" s="20" t="str">
        <x:f>IF(J1070="Рассчитано",V1070-W1070,"н/д")</x:f>
        <x:v>н/д</x:v>
      </x:c>
      <x:c r="Y1070" s="26" t="str">
        <x:f>IF(J1070="Рассчитано",IF(V1070&gt;0,G1070/V1070,"н/д"),"н/д")</x:f>
        <x:v>н/д</x:v>
      </x:c>
      <x:c r="Z1070" s="20" t="str">
        <x:f>"н/д"</x:f>
        <x:v>н/д</x:v>
      </x:c>
      <x:c r="AA1070" s="20" t="str">
        <x:f>"н/д"</x:f>
        <x:v>н/д</x:v>
      </x:c>
      <x:c r="AB1070" s="20" t="str">
        <x:f>"н/д"</x:f>
        <x:v>н/д</x:v>
      </x:c>
      <x:c r="AC1070" s="20" t="str">
        <x:f>IF(AND(J1070="Рассчитано",T1070&gt;0,R1070&lt;100),(W1070+P1070+Q1070)/(T1070*(1-R1070/100)),"н/д")</x:f>
        <x:v>н/д</x:v>
      </x:c>
      <x:c r="AD1070" s="11" t="str">
        <x:f>IF(ISNUMBER(G1070),IF(G1070&lt;0,"Убыток",IF(G1070=0,"Без прибыли","Прибыль &gt; 0")),"Не оценён")</x:f>
        <x:v>Не оценён</x:v>
      </x:c>
      <x:c r="AE1070" s="12" t="str">
        <x:f>IF(J1070="Рассчитано","Выручка "&amp;TEXT(V1070,"0.00")&amp;" - себестоимость "&amp;TEXT(W1070,"0.00")&amp;" - комиссия "&amp;TEXT(V1070*R1070/100,"0.00")&amp;" - доставка "&amp;TEXT(P1070,"0.00")&amp;" - прочие "&amp;TEXT(Q1070,"0.00")&amp;" = "&amp;TEXT(G1070,"0.00")&amp;" "&amp;L1070,"Введите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0" s="23" t="n">
        <x:v>0</x:v>
      </x:c>
      <x:c r="AG1070" s="23" t="n">
        <x:v>10</x:v>
      </x:c>
      <x:c r="AH1070" s="23" t="n">
        <x:v>0</x:v>
      </x:c>
      <x:c r="AI1070" s="29" t="n">
        <x:v>46266</x:v>
      </x:c>
      <x:c r="AJ1070" s="23" t="n">
        <x:v>8</x:v>
      </x:c>
      <x:c r="AK1070" s="11" t="str">
        <x:v>минимум</x:v>
      </x:c>
      <x:c r="AL1070" s="31" t="str">
        <x:v>н/д</x:v>
      </x:c>
      <x:c r="AM107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70" s="12" t="str">
        <x:v>Проверить свободный остаток и установить цену для B2B</x:v>
      </x:c>
      <x:c r="AO1070" s="12" t="str">
        <x:v>Остаток 10; прогноз 90 дней 0.00; избыток 10 м. Будущие поступления не выставляются на продажу. Остаток на начало сентября: требуется актуализация.</x:v>
      </x:c>
      <x:c r="AP1070" s="12" t="str">
        <x:v>["category_missing", "daily_stockout_data_missing", "new_order_lead_time_unknown", "reservations_unknown", "stale_stock"]</x:v>
      </x:c>
      <x:c r="AQ1070" s="11" t="str">
        <x:v>IEK:280100417_</x:v>
      </x:c>
      <x:c r="AR1070" s="23" t="n">
        <x:v>0.001</x:v>
      </x:c>
      <x:c r="AS1070" s="23" t="n">
        <x:v>0</x:v>
      </x:c>
      <x:c r="AT1070" s="23" t="n">
        <x:v>0</x:v>
      </x:c>
    </x:row>
    <x:row r="1071" ht="64" customHeight="1">
      <x:c r="A1071" s="10" t="str">
        <x:v>IEK</x:v>
      </x:c>
      <x:c r="B1071" s="34" t="str">
        <x:v>280100418_</x:v>
      </x:c>
      <x:c r="C1071" s="34" t="str">
        <x:v>EL-KK10-100-040-1-K02</x:v>
      </x:c>
      <x:c r="D1071" s="13" t="str">
        <x:v>Кабель-канал 100х40 черный ЭЛЕКОР IEK (8)</x:v>
      </x:c>
      <x:c r="E1071" s="10" t="str">
        <x:v>м</x:v>
      </x:c>
      <x:c r="F1071" s="24" t="n">
        <x:f>MAX(0,ROUNDDOWN((AG1071-AF1071)/AR1071+0.000000001,0)*AR1071)</x:f>
        <x:v>8</x:v>
      </x:c>
      <x:c r="G1071" s="21" t="str">
        <x:f>IF(J1071="Рассчитано",V1071*(1-R1071/100)-W1071-P1071-Q1071,"н/д")</x:f>
        <x:v>н/д</x:v>
      </x:c>
      <x:c r="H1071" s="13" t="str">
        <x:v>Высокий</x:v>
      </x:c>
      <x:c r="I1071" s="13" t="str">
        <x:v>Высокий</x:v>
      </x:c>
      <x:c r="J1071" s="13" t="str">
        <x:f>IF(L1071="","Укажите валюту",IF(NOT(ISNUMBER(K1071)),"Укажите объём",IF(K1071&lt;=0,"Укажите объём",IF(K1071&gt;F1071,"Объём выше излишка",IF(COUNT(M1071:O1071)&lt;3,"Нужны цены",IF(COUNT(P1071:R1071)&lt;3,"Нужны расходы",IF(OR(M1071&lt;0,N1071&lt;0,O1071&lt;0,O1071&gt;100,P1071&lt;0,Q1071&lt;0,R1071&lt;0,R1071&gt;100),"Проверьте значения","Рассчитано")))))))</x:f>
        <x:v>Нужны цены</x:v>
      </x:c>
      <x:c r="K1071" s="25" t="n">
        <x:v>8</x:v>
      </x:c>
      <x:c r="L1071" s="19" t="str">
        <x:v>KZT</x:v>
      </x:c>
      <x:c r="M1071" s="22"/>
      <x:c r="N1071" s="22"/>
      <x:c r="O1071" s="28"/>
      <x:c r="P1071" s="22"/>
      <x:c r="Q1071" s="22"/>
      <x:c r="R1071" s="28"/>
      <x:c r="S1071" s="22"/>
      <x:c r="T1071" s="24" t="n">
        <x:f>K1071</x:f>
        <x:v>8</x:v>
      </x:c>
      <x:c r="U1071" s="21" t="str">
        <x:f>IF(J1071="Рассчитано",N1071*(1-O1071/100),"н/д")</x:f>
        <x:v>н/д</x:v>
      </x:c>
      <x:c r="V1071" s="21" t="str">
        <x:f>IF(J1071="Рассчитано",T1071*U1071,"н/д")</x:f>
        <x:v>н/д</x:v>
      </x:c>
      <x:c r="W1071" s="21" t="str">
        <x:f>IF(J1071="Рассчитано",T1071*M1071,"н/д")</x:f>
        <x:v>н/д</x:v>
      </x:c>
      <x:c r="X1071" s="21" t="str">
        <x:f>IF(J1071="Рассчитано",V1071-W1071,"н/д")</x:f>
        <x:v>н/д</x:v>
      </x:c>
      <x:c r="Y1071" s="27" t="str">
        <x:f>IF(J1071="Рассчитано",IF(V1071&gt;0,G1071/V1071,"н/д"),"н/д")</x:f>
        <x:v>н/д</x:v>
      </x:c>
      <x:c r="Z1071" s="21" t="str">
        <x:f>"н/д"</x:f>
        <x:v>н/д</x:v>
      </x:c>
      <x:c r="AA1071" s="21" t="str">
        <x:f>"н/д"</x:f>
        <x:v>н/д</x:v>
      </x:c>
      <x:c r="AB1071" s="21" t="str">
        <x:f>"н/д"</x:f>
        <x:v>н/д</x:v>
      </x:c>
      <x:c r="AC1071" s="21" t="str">
        <x:f>IF(AND(J1071="Рассчитано",T1071&gt;0,R1071&lt;100),(W1071+P1071+Q1071)/(T1071*(1-R1071/100)),"н/д")</x:f>
        <x:v>н/д</x:v>
      </x:c>
      <x:c r="AD1071" s="10" t="str">
        <x:f>IF(ISNUMBER(G1071),IF(G1071&lt;0,"Убыток",IF(G1071=0,"Без прибыли","Прибыль &gt; 0")),"Не оценён")</x:f>
        <x:v>Не оценён</x:v>
      </x:c>
      <x:c r="AE1071" s="13" t="str">
        <x:f>IF(J1071="Рассчитано","Выручка "&amp;TEXT(V1071,"0.00")&amp;" - себестоимость "&amp;TEXT(W1071,"0.00")&amp;" - комиссия "&amp;TEXT(V1071*R1071/100,"0.00")&amp;" - доставка "&amp;TEXT(P1071,"0.00")&amp;" - прочие "&amp;TEXT(Q1071,"0.00")&amp;" = "&amp;TEXT(G1071,"0.00")&amp;" "&amp;L1071,"Введите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1" s="24" t="n">
        <x:v>0</x:v>
      </x:c>
      <x:c r="AG1071" s="24" t="n">
        <x:v>8</x:v>
      </x:c>
      <x:c r="AH1071" s="24" t="n">
        <x:v>0</x:v>
      </x:c>
      <x:c r="AI1071" s="30" t="n">
        <x:v>46266</x:v>
      </x:c>
      <x:c r="AJ1071" s="24" t="n">
        <x:v>8</x:v>
      </x:c>
      <x:c r="AK1071" s="10" t="str">
        <x:v>минимум</x:v>
      </x:c>
      <x:c r="AL1071" s="32" t="str">
        <x:v>н/д</x:v>
      </x:c>
      <x:c r="AM107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71" s="13" t="str">
        <x:v>Проверить свободный остаток и установить цену для B2B</x:v>
      </x:c>
      <x:c r="AO1071" s="13" t="str">
        <x:v>Остаток 8; прогноз 90 дней 0.00; избыток 8 м. Будущие поступления не выставляются на продажу. Остаток на начало сентября: требуется актуализация.</x:v>
      </x:c>
      <x:c r="AP1071" s="13" t="str">
        <x:v>["category_missing", "daily_stockout_data_missing", "new_order_lead_time_unknown", "reservations_unknown", "stale_stock"]</x:v>
      </x:c>
      <x:c r="AQ1071" s="10" t="str">
        <x:v>IEK:280100418_</x:v>
      </x:c>
      <x:c r="AR1071" s="24" t="n">
        <x:v>0.001</x:v>
      </x:c>
      <x:c r="AS1071" s="24" t="n">
        <x:v>0</x:v>
      </x:c>
      <x:c r="AT1071" s="24" t="n">
        <x:v>0</x:v>
      </x:c>
    </x:row>
    <x:row r="1072" ht="64" customHeight="1">
      <x:c r="A1072" s="11" t="str">
        <x:v>IEK</x:v>
      </x:c>
      <x:c r="B1072" s="33" t="str">
        <x:v>280100419_</x:v>
      </x:c>
      <x:c r="C1072" s="33" t="str">
        <x:v>EL-KK10-100-060-1-K02</x:v>
      </x:c>
      <x:c r="D1072" s="12" t="str">
        <x:v>Кабель-канал 100х60 черный ЭЛЕКОР IEK (8)</x:v>
      </x:c>
      <x:c r="E1072" s="11" t="str">
        <x:v>м</x:v>
      </x:c>
      <x:c r="F1072" s="23" t="n">
        <x:f>MAX(0,ROUNDDOWN((AG1072-AF1072)/AR1072+0.000000001,0)*AR1072)</x:f>
        <x:v>19.400000000000002</x:v>
      </x:c>
      <x:c r="G1072" s="20" t="str">
        <x:f>IF(J1072="Рассчитано",V1072*(1-R1072/100)-W1072-P1072-Q1072,"н/д")</x:f>
        <x:v>н/д</x:v>
      </x:c>
      <x:c r="H1072" s="12" t="str">
        <x:v>Высокий</x:v>
      </x:c>
      <x:c r="I1072" s="12" t="str">
        <x:v>Высокий</x:v>
      </x:c>
      <x:c r="J1072" s="12" t="str">
        <x:f>IF(L1072="","Укажите валюту",IF(NOT(ISNUMBER(K1072)),"Укажите объём",IF(K1072&lt;=0,"Укажите объём",IF(K1072&gt;F1072,"Объём выше излишка",IF(COUNT(M1072:O1072)&lt;3,"Нужны цены",IF(COUNT(P1072:R1072)&lt;3,"Нужны расходы",IF(OR(M1072&lt;0,N1072&lt;0,O1072&lt;0,O1072&gt;100,P1072&lt;0,Q1072&lt;0,R1072&lt;0,R1072&gt;100),"Проверьте значения","Рассчитано")))))))</x:f>
        <x:v>Нужны цены</x:v>
      </x:c>
      <x:c r="K1072" s="25" t="n">
        <x:v>19.400000000000002</x:v>
      </x:c>
      <x:c r="L1072" s="19" t="str">
        <x:v>KZT</x:v>
      </x:c>
      <x:c r="M1072" s="22"/>
      <x:c r="N1072" s="22"/>
      <x:c r="O1072" s="28"/>
      <x:c r="P1072" s="22"/>
      <x:c r="Q1072" s="22"/>
      <x:c r="R1072" s="28"/>
      <x:c r="S1072" s="22"/>
      <x:c r="T1072" s="23" t="n">
        <x:f>K1072</x:f>
        <x:v>19.400000000000002</x:v>
      </x:c>
      <x:c r="U1072" s="20" t="str">
        <x:f>IF(J1072="Рассчитано",N1072*(1-O1072/100),"н/д")</x:f>
        <x:v>н/д</x:v>
      </x:c>
      <x:c r="V1072" s="20" t="str">
        <x:f>IF(J1072="Рассчитано",T1072*U1072,"н/д")</x:f>
        <x:v>н/д</x:v>
      </x:c>
      <x:c r="W1072" s="20" t="str">
        <x:f>IF(J1072="Рассчитано",T1072*M1072,"н/д")</x:f>
        <x:v>н/д</x:v>
      </x:c>
      <x:c r="X1072" s="20" t="str">
        <x:f>IF(J1072="Рассчитано",V1072-W1072,"н/д")</x:f>
        <x:v>н/д</x:v>
      </x:c>
      <x:c r="Y1072" s="26" t="str">
        <x:f>IF(J1072="Рассчитано",IF(V1072&gt;0,G1072/V1072,"н/д"),"н/д")</x:f>
        <x:v>н/д</x:v>
      </x:c>
      <x:c r="Z1072" s="20" t="str">
        <x:f>"н/д"</x:f>
        <x:v>н/д</x:v>
      </x:c>
      <x:c r="AA1072" s="20" t="str">
        <x:f>"н/д"</x:f>
        <x:v>н/д</x:v>
      </x:c>
      <x:c r="AB1072" s="20" t="str">
        <x:f>"н/д"</x:f>
        <x:v>н/д</x:v>
      </x:c>
      <x:c r="AC1072" s="20" t="str">
        <x:f>IF(AND(J1072="Рассчитано",T1072&gt;0,R1072&lt;100),(W1072+P1072+Q1072)/(T1072*(1-R1072/100)),"н/д")</x:f>
        <x:v>н/д</x:v>
      </x:c>
      <x:c r="AD1072" s="11" t="str">
        <x:f>IF(ISNUMBER(G1072),IF(G1072&lt;0,"Убыток",IF(G1072=0,"Без прибыли","Прибыль &gt; 0")),"Не оценён")</x:f>
        <x:v>Не оценён</x:v>
      </x:c>
      <x:c r="AE1072" s="12" t="str">
        <x:f>IF(J1072="Рассчитано","Выручка "&amp;TEXT(V1072,"0.00")&amp;" - себестоимость "&amp;TEXT(W1072,"0.00")&amp;" - комиссия "&amp;TEXT(V1072*R1072/100,"0.00")&amp;" - доставка "&amp;TEXT(P1072,"0.00")&amp;" - прочие "&amp;TEXT(Q1072,"0.00")&amp;" = "&amp;TEXT(G1072,"0.00")&amp;" "&amp;L1072,"Введите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2" s="23" t="n">
        <x:v>4.599365018159798</x:v>
      </x:c>
      <x:c r="AG1072" s="23" t="n">
        <x:v>24</x:v>
      </x:c>
      <x:c r="AH1072" s="23" t="n">
        <x:v>0</x:v>
      </x:c>
      <x:c r="AI1072" s="29" t="n">
        <x:v>46266</x:v>
      </x:c>
      <x:c r="AJ1072" s="23" t="n">
        <x:v>8</x:v>
      </x:c>
      <x:c r="AK1072" s="11" t="str">
        <x:v>минимум</x:v>
      </x:c>
      <x:c r="AL1072" s="31" t="n">
        <x:v>443.74391248026626</x:v>
      </x:c>
      <x:c r="AM107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72" s="12" t="str">
        <x:v>Проверить свободный остаток и установить цену для B2B</x:v>
      </x:c>
      <x:c r="AO1072" s="12" t="str">
        <x:v>Остаток 24; прогноз 90 дней 4.60; избыток 19.4 м. Будущие поступления не выставляются на продажу. Остаток на начало сентября: требуется актуализация.</x:v>
      </x:c>
      <x:c r="AP1072" s="12" t="str">
        <x:v>["category_missing", "daily_stockout_data_missing", "new_order_lead_time_unknown", "reservations_unknown", "stale_stock"]</x:v>
      </x:c>
      <x:c r="AQ1072" s="11" t="str">
        <x:v>IEK:280100419_</x:v>
      </x:c>
      <x:c r="AR1072" s="23" t="n">
        <x:v>0.001</x:v>
      </x:c>
      <x:c r="AS1072" s="23" t="n">
        <x:v>0</x:v>
      </x:c>
      <x:c r="AT1072" s="23" t="n">
        <x:v>0</x:v>
      </x:c>
    </x:row>
    <x:row r="1073" ht="64" customHeight="1">
      <x:c r="A1073" s="10" t="str">
        <x:v>IEK</x:v>
      </x:c>
      <x:c r="B1073" s="34" t="str">
        <x:v>280100423_</x:v>
      </x:c>
      <x:c r="C1073" s="34" t="str">
        <x:v>EL-KK10D-N-025-016-K02</x:v>
      </x:c>
      <x:c r="D1073" s="13" t="str">
        <x:v>Угол внешний КМН 25х16 черный ЭЛЕКОР IEK (4шт/компл)</x:v>
      </x:c>
      <x:c r="E1073" s="10" t="str">
        <x:v>шт</x:v>
      </x:c>
      <x:c r="F1073" s="37" t="n">
        <x:f>MAX(0,ROUNDDOWN((AG1073-AF1073)/AR1073+0.000000001,0)*AR1073)</x:f>
        <x:v>62</x:v>
      </x:c>
      <x:c r="G1073" s="21" t="str">
        <x:f>IF(J1073="Рассчитано",V1073*(1-R1073/100)-W1073-P1073-Q1073,"н/д")</x:f>
        <x:v>н/д</x:v>
      </x:c>
      <x:c r="H1073" s="13" t="str">
        <x:v>Высокий</x:v>
      </x:c>
      <x:c r="I1073" s="13" t="str">
        <x:v>Высокий</x:v>
      </x:c>
      <x:c r="J1073" s="13" t="str">
        <x:f>IF(L1073="","Укажите валюту",IF(NOT(ISNUMBER(K1073)),"Укажите объём",IF(K1073&lt;=0,"Укажите объём",IF(K1073&gt;F1073,"Объём выше излишка",IF(COUNT(M1073:O1073)&lt;3,"Нужны цены",IF(COUNT(P1073:R1073)&lt;3,"Нужны расходы",IF(OR(M1073&lt;0,N1073&lt;0,O1073&lt;0,O1073&gt;100,P1073&lt;0,Q1073&lt;0,R1073&lt;0,R1073&gt;100),"Проверьте значения","Рассчитано")))))))</x:f>
        <x:v>Нужны цены</x:v>
      </x:c>
      <x:c r="K1073" s="36" t="n">
        <x:v>62</x:v>
      </x:c>
      <x:c r="L1073" s="19" t="str">
        <x:v>KZT</x:v>
      </x:c>
      <x:c r="M1073" s="22"/>
      <x:c r="N1073" s="22"/>
      <x:c r="O1073" s="28"/>
      <x:c r="P1073" s="22"/>
      <x:c r="Q1073" s="22"/>
      <x:c r="R1073" s="28"/>
      <x:c r="S1073" s="22"/>
      <x:c r="T1073" s="37" t="n">
        <x:f>K1073</x:f>
        <x:v>62</x:v>
      </x:c>
      <x:c r="U1073" s="21" t="str">
        <x:f>IF(J1073="Рассчитано",N1073*(1-O1073/100),"н/д")</x:f>
        <x:v>н/д</x:v>
      </x:c>
      <x:c r="V1073" s="21" t="str">
        <x:f>IF(J1073="Рассчитано",T1073*U1073,"н/д")</x:f>
        <x:v>н/д</x:v>
      </x:c>
      <x:c r="W1073" s="21" t="str">
        <x:f>IF(J1073="Рассчитано",T1073*M1073,"н/д")</x:f>
        <x:v>н/д</x:v>
      </x:c>
      <x:c r="X1073" s="21" t="str">
        <x:f>IF(J1073="Рассчитано",V1073-W1073,"н/д")</x:f>
        <x:v>н/д</x:v>
      </x:c>
      <x:c r="Y1073" s="27" t="str">
        <x:f>IF(J1073="Рассчитано",IF(V1073&gt;0,G1073/V1073,"н/д"),"н/д")</x:f>
        <x:v>н/д</x:v>
      </x:c>
      <x:c r="Z1073" s="21" t="str">
        <x:f>"н/д"</x:f>
        <x:v>н/д</x:v>
      </x:c>
      <x:c r="AA1073" s="21" t="str">
        <x:f>"н/д"</x:f>
        <x:v>н/д</x:v>
      </x:c>
      <x:c r="AB1073" s="21" t="str">
        <x:f>"н/д"</x:f>
        <x:v>н/д</x:v>
      </x:c>
      <x:c r="AC1073" s="21" t="str">
        <x:f>IF(AND(J1073="Рассчитано",T1073&gt;0,R1073&lt;100),(W1073+P1073+Q1073)/(T1073*(1-R1073/100)),"н/д")</x:f>
        <x:v>н/д</x:v>
      </x:c>
      <x:c r="AD1073" s="10" t="str">
        <x:f>IF(ISNUMBER(G1073),IF(G1073&lt;0,"Убыток",IF(G1073=0,"Без прибыли","Прибыль &gt; 0")),"Не оценён")</x:f>
        <x:v>Не оценён</x:v>
      </x:c>
      <x:c r="AE1073" s="13" t="str">
        <x:f>IF(J1073="Рассчитано","Выручка "&amp;TEXT(V1073,"0.00")&amp;" - себестоимость "&amp;TEXT(W1073,"0.00")&amp;" - комиссия "&amp;TEXT(V1073*R1073/100,"0.00")&amp;" - доставка "&amp;TEXT(P1073,"0.00")&amp;" - прочие "&amp;TEXT(Q1073,"0.00")&amp;" = "&amp;TEXT(G1073,"0.00")&amp;" "&amp;L1073,"Введите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3" s="24" t="n">
        <x:v>0.8614424723629469</x:v>
      </x:c>
      <x:c r="AG1073" s="37" t="n">
        <x:v>63</x:v>
      </x:c>
      <x:c r="AH1073" s="37" t="n">
        <x:v>0</x:v>
      </x:c>
      <x:c r="AI1073" s="30" t="n">
        <x:v>46266</x:v>
      </x:c>
      <x:c r="AJ1073" s="37"/>
      <x:c r="AK1073" s="10" t="str">
        <x:v>неизвестно</x:v>
      </x:c>
      <x:c r="AL1073" s="32" t="n">
        <x:v>6219.182673942852</x:v>
      </x:c>
      <x:c r="AM10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73" s="13" t="str">
        <x:v>Проверить свободный остаток и установить цену для B2B</x:v>
      </x:c>
      <x:c r="AO1073" s="13" t="str">
        <x:v>Остаток 63; прогноз 90 дней 0.86; избыток 62 шт. Будущие поступления не выставляются на продажу. Остаток на начало сентября: требуется актуализация.</x:v>
      </x:c>
      <x:c r="AP1073" s="13" t="str">
        <x:v>["category_missing", "daily_stockout_data_missing", "moq_missing", "new_order_lead_time_unknown", "reservations_unknown", "stale_stock"]</x:v>
      </x:c>
      <x:c r="AQ1073" s="10" t="str">
        <x:v>IEK:280100423_</x:v>
      </x:c>
      <x:c r="AR1073" s="24" t="n">
        <x:v>1</x:v>
      </x:c>
      <x:c r="AS1073" s="24" t="n">
        <x:v>0</x:v>
      </x:c>
      <x:c r="AT1073" s="24" t="n">
        <x:v>0</x:v>
      </x:c>
    </x:row>
    <x:row r="1074" ht="64" customHeight="1">
      <x:c r="A1074" s="11" t="str">
        <x:v>IEK</x:v>
      </x:c>
      <x:c r="B1074" s="33" t="str">
        <x:v>280100424_</x:v>
      </x:c>
      <x:c r="C1074" s="33" t="str">
        <x:v>EL-KK10D-N-040-025-K02</x:v>
      </x:c>
      <x:c r="D1074" s="12" t="str">
        <x:v>Угол внешний КМН 40х25 черный ЭЛЕКОР IEK (4шт/компл)</x:v>
      </x:c>
      <x:c r="E1074" s="11" t="str">
        <x:v>шт</x:v>
      </x:c>
      <x:c r="F1074" s="35" t="n">
        <x:f>MAX(0,ROUNDDOWN((AG1074-AF1074)/AR1074+0.000000001,0)*AR1074)</x:f>
        <x:v>1</x:v>
      </x:c>
      <x:c r="G1074" s="20" t="str">
        <x:f>IF(J1074="Рассчитано",V1074*(1-R1074/100)-W1074-P1074-Q1074,"н/д")</x:f>
        <x:v>н/д</x:v>
      </x:c>
      <x:c r="H1074" s="12" t="str">
        <x:v>Высокий</x:v>
      </x:c>
      <x:c r="I1074" s="12" t="str">
        <x:v>Высокий</x:v>
      </x:c>
      <x:c r="J1074" s="12" t="str">
        <x:f>IF(L1074="","Укажите валюту",IF(NOT(ISNUMBER(K1074)),"Укажите объём",IF(K1074&lt;=0,"Укажите объём",IF(K1074&gt;F1074,"Объём выше излишка",IF(COUNT(M1074:O1074)&lt;3,"Нужны цены",IF(COUNT(P1074:R1074)&lt;3,"Нужны расходы",IF(OR(M1074&lt;0,N1074&lt;0,O1074&lt;0,O1074&gt;100,P1074&lt;0,Q1074&lt;0,R1074&lt;0,R1074&gt;100),"Проверьте значения","Рассчитано")))))))</x:f>
        <x:v>Нужны цены</x:v>
      </x:c>
      <x:c r="K1074" s="36" t="n">
        <x:v>1</x:v>
      </x:c>
      <x:c r="L1074" s="19" t="str">
        <x:v>KZT</x:v>
      </x:c>
      <x:c r="M1074" s="22"/>
      <x:c r="N1074" s="22"/>
      <x:c r="O1074" s="28"/>
      <x:c r="P1074" s="22"/>
      <x:c r="Q1074" s="22"/>
      <x:c r="R1074" s="28"/>
      <x:c r="S1074" s="22"/>
      <x:c r="T1074" s="35" t="n">
        <x:f>K1074</x:f>
        <x:v>1</x:v>
      </x:c>
      <x:c r="U1074" s="20" t="str">
        <x:f>IF(J1074="Рассчитано",N1074*(1-O1074/100),"н/д")</x:f>
        <x:v>н/д</x:v>
      </x:c>
      <x:c r="V1074" s="20" t="str">
        <x:f>IF(J1074="Рассчитано",T1074*U1074,"н/д")</x:f>
        <x:v>н/д</x:v>
      </x:c>
      <x:c r="W1074" s="20" t="str">
        <x:f>IF(J1074="Рассчитано",T1074*M1074,"н/д")</x:f>
        <x:v>н/д</x:v>
      </x:c>
      <x:c r="X1074" s="20" t="str">
        <x:f>IF(J1074="Рассчитано",V1074-W1074,"н/д")</x:f>
        <x:v>н/д</x:v>
      </x:c>
      <x:c r="Y1074" s="26" t="str">
        <x:f>IF(J1074="Рассчитано",IF(V1074&gt;0,G1074/V1074,"н/д"),"н/д")</x:f>
        <x:v>н/д</x:v>
      </x:c>
      <x:c r="Z1074" s="20" t="str">
        <x:f>"н/д"</x:f>
        <x:v>н/д</x:v>
      </x:c>
      <x:c r="AA1074" s="20" t="str">
        <x:f>"н/д"</x:f>
        <x:v>н/д</x:v>
      </x:c>
      <x:c r="AB1074" s="20" t="str">
        <x:f>"н/д"</x:f>
        <x:v>н/д</x:v>
      </x:c>
      <x:c r="AC1074" s="20" t="str">
        <x:f>IF(AND(J1074="Рассчитано",T1074&gt;0,R1074&lt;100),(W1074+P1074+Q1074)/(T1074*(1-R1074/100)),"н/д")</x:f>
        <x:v>н/д</x:v>
      </x:c>
      <x:c r="AD1074" s="11" t="str">
        <x:f>IF(ISNUMBER(G1074),IF(G1074&lt;0,"Убыток",IF(G1074=0,"Без прибыли","Прибыль &gt; 0")),"Не оценён")</x:f>
        <x:v>Не оценён</x:v>
      </x:c>
      <x:c r="AE1074" s="12" t="str">
        <x:f>IF(J1074="Рассчитано","Выручка "&amp;TEXT(V1074,"0.00")&amp;" - себестоимость "&amp;TEXT(W1074,"0.00")&amp;" - комиссия "&amp;TEXT(V1074*R1074/100,"0.00")&amp;" - доставка "&amp;TEXT(P1074,"0.00")&amp;" - прочие "&amp;TEXT(Q1074,"0.00")&amp;" = "&amp;TEXT(G1074,"0.00")&amp;" "&amp;L1074,"Введите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4" s="23" t="n">
        <x:v>0</x:v>
      </x:c>
      <x:c r="AG1074" s="35" t="n">
        <x:v>1</x:v>
      </x:c>
      <x:c r="AH1074" s="35" t="n">
        <x:v>0</x:v>
      </x:c>
      <x:c r="AI1074" s="29" t="n">
        <x:v>46266</x:v>
      </x:c>
      <x:c r="AJ1074" s="35"/>
      <x:c r="AK1074" s="11" t="str">
        <x:v>неизвестно</x:v>
      </x:c>
      <x:c r="AL1074" s="31" t="str">
        <x:v>н/д</x:v>
      </x:c>
      <x:c r="AM107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74" s="12" t="str">
        <x:v>Проверить свободный остаток и установить цену для B2B</x:v>
      </x:c>
      <x:c r="AO1074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074" s="12" t="str">
        <x:v>["category_missing", "daily_stockout_data_missing", "moq_missing", "new_order_lead_time_unknown", "reservations_unknown", "stale_stock"]</x:v>
      </x:c>
      <x:c r="AQ1074" s="11" t="str">
        <x:v>IEK:280100424_</x:v>
      </x:c>
      <x:c r="AR1074" s="23" t="n">
        <x:v>1</x:v>
      </x:c>
      <x:c r="AS1074" s="23" t="n">
        <x:v>0</x:v>
      </x:c>
      <x:c r="AT1074" s="23" t="n">
        <x:v>0</x:v>
      </x:c>
    </x:row>
    <x:row r="1075" ht="64" customHeight="1">
      <x:c r="A1075" s="10" t="str">
        <x:v>IEK</x:v>
      </x:c>
      <x:c r="B1075" s="34" t="str">
        <x:v>280100429_</x:v>
      </x:c>
      <x:c r="C1075" s="34" t="str">
        <x:v>EL-KK10D-V-020-010-K02</x:v>
      </x:c>
      <x:c r="D1075" s="13" t="str">
        <x:v>Угол внутренний КМВ 20х10 черный ЭЛЕКОР IEK (4шт/компл)</x:v>
      </x:c>
      <x:c r="E1075" s="10" t="str">
        <x:v>шт</x:v>
      </x:c>
      <x:c r="F1075" s="37" t="n">
        <x:f>MAX(0,ROUNDDOWN((AG1075-AF1075)/AR1075+0.000000001,0)*AR1075)</x:f>
        <x:v>3</x:v>
      </x:c>
      <x:c r="G1075" s="21" t="str">
        <x:f>IF(J1075="Рассчитано",V1075*(1-R1075/100)-W1075-P1075-Q1075,"н/д")</x:f>
        <x:v>н/д</x:v>
      </x:c>
      <x:c r="H1075" s="13" t="str">
        <x:v>Высокий</x:v>
      </x:c>
      <x:c r="I1075" s="13" t="str">
        <x:v>Высокий</x:v>
      </x:c>
      <x:c r="J1075" s="13" t="str">
        <x:f>IF(L1075="","Укажите валюту",IF(NOT(ISNUMBER(K1075)),"Укажите объём",IF(K1075&lt;=0,"Укажите объём",IF(K1075&gt;F1075,"Объём выше излишка",IF(COUNT(M1075:O1075)&lt;3,"Нужны цены",IF(COUNT(P1075:R1075)&lt;3,"Нужны расходы",IF(OR(M1075&lt;0,N1075&lt;0,O1075&lt;0,O1075&gt;100,P1075&lt;0,Q1075&lt;0,R1075&lt;0,R1075&gt;100),"Проверьте значения","Рассчитано")))))))</x:f>
        <x:v>Нужны цены</x:v>
      </x:c>
      <x:c r="K1075" s="36" t="n">
        <x:v>3</x:v>
      </x:c>
      <x:c r="L1075" s="19" t="str">
        <x:v>KZT</x:v>
      </x:c>
      <x:c r="M1075" s="22"/>
      <x:c r="N1075" s="22"/>
      <x:c r="O1075" s="28"/>
      <x:c r="P1075" s="22"/>
      <x:c r="Q1075" s="22"/>
      <x:c r="R1075" s="28"/>
      <x:c r="S1075" s="22"/>
      <x:c r="T1075" s="37" t="n">
        <x:f>K1075</x:f>
        <x:v>3</x:v>
      </x:c>
      <x:c r="U1075" s="21" t="str">
        <x:f>IF(J1075="Рассчитано",N1075*(1-O1075/100),"н/д")</x:f>
        <x:v>н/д</x:v>
      </x:c>
      <x:c r="V1075" s="21" t="str">
        <x:f>IF(J1075="Рассчитано",T1075*U1075,"н/д")</x:f>
        <x:v>н/д</x:v>
      </x:c>
      <x:c r="W1075" s="21" t="str">
        <x:f>IF(J1075="Рассчитано",T1075*M1075,"н/д")</x:f>
        <x:v>н/д</x:v>
      </x:c>
      <x:c r="X1075" s="21" t="str">
        <x:f>IF(J1075="Рассчитано",V1075-W1075,"н/д")</x:f>
        <x:v>н/д</x:v>
      </x:c>
      <x:c r="Y1075" s="27" t="str">
        <x:f>IF(J1075="Рассчитано",IF(V1075&gt;0,G1075/V1075,"н/д"),"н/д")</x:f>
        <x:v>н/д</x:v>
      </x:c>
      <x:c r="Z1075" s="21" t="str">
        <x:f>"н/д"</x:f>
        <x:v>н/д</x:v>
      </x:c>
      <x:c r="AA1075" s="21" t="str">
        <x:f>"н/д"</x:f>
        <x:v>н/д</x:v>
      </x:c>
      <x:c r="AB1075" s="21" t="str">
        <x:f>"н/д"</x:f>
        <x:v>н/д</x:v>
      </x:c>
      <x:c r="AC1075" s="21" t="str">
        <x:f>IF(AND(J1075="Рассчитано",T1075&gt;0,R1075&lt;100),(W1075+P1075+Q1075)/(T1075*(1-R1075/100)),"н/д")</x:f>
        <x:v>н/д</x:v>
      </x:c>
      <x:c r="AD1075" s="10" t="str">
        <x:f>IF(ISNUMBER(G1075),IF(G1075&lt;0,"Убыток",IF(G1075=0,"Без прибыли","Прибыль &gt; 0")),"Не оценён")</x:f>
        <x:v>Не оценён</x:v>
      </x:c>
      <x:c r="AE1075" s="13" t="str">
        <x:f>IF(J1075="Рассчитано","Выручка "&amp;TEXT(V1075,"0.00")&amp;" - себестоимость "&amp;TEXT(W1075,"0.00")&amp;" - комиссия "&amp;TEXT(V1075*R1075/100,"0.00")&amp;" - доставка "&amp;TEXT(P1075,"0.00")&amp;" - прочие "&amp;TEXT(Q1075,"0.00")&amp;" = "&amp;TEXT(G1075,"0.00")&amp;" "&amp;L1075,"Введите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5" s="24" t="n">
        <x:v>0</x:v>
      </x:c>
      <x:c r="AG1075" s="37" t="n">
        <x:v>3</x:v>
      </x:c>
      <x:c r="AH1075" s="37" t="n">
        <x:v>0</x:v>
      </x:c>
      <x:c r="AI1075" s="30" t="n">
        <x:v>46266</x:v>
      </x:c>
      <x:c r="AJ1075" s="37"/>
      <x:c r="AK1075" s="10" t="str">
        <x:v>неизвестно</x:v>
      </x:c>
      <x:c r="AL1075" s="32" t="str">
        <x:v>н/д</x:v>
      </x:c>
      <x:c r="AM107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75" s="13" t="str">
        <x:v>Проверить свободный остаток и установить цену для B2B</x:v>
      </x:c>
      <x:c r="AO1075" s="13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1075" s="13" t="str">
        <x:v>["category_missing", "daily_stockout_data_missing", "moq_missing", "new_order_lead_time_unknown", "reservations_unknown", "stale_stock"]</x:v>
      </x:c>
      <x:c r="AQ1075" s="10" t="str">
        <x:v>IEK:280100429_</x:v>
      </x:c>
      <x:c r="AR1075" s="24" t="n">
        <x:v>1</x:v>
      </x:c>
      <x:c r="AS1075" s="24" t="n">
        <x:v>0</x:v>
      </x:c>
      <x:c r="AT1075" s="24" t="n">
        <x:v>0</x:v>
      </x:c>
    </x:row>
    <x:row r="1076" ht="64" customHeight="1">
      <x:c r="A1076" s="11" t="str">
        <x:v>IEK</x:v>
      </x:c>
      <x:c r="B1076" s="33" t="str">
        <x:v>280100431_</x:v>
      </x:c>
      <x:c r="C1076" s="33" t="str">
        <x:v>EL-KK10D-V-040-025-K02</x:v>
      </x:c>
      <x:c r="D1076" s="12" t="str">
        <x:v>Угол внутренний КМВ 40х25 черный ЭЛЕКОР IEK (4шт/компл)</x:v>
      </x:c>
      <x:c r="E1076" s="11" t="str">
        <x:v>шт</x:v>
      </x:c>
      <x:c r="F1076" s="35" t="n">
        <x:f>MAX(0,ROUNDDOWN((AG1076-AF1076)/AR1076+0.000000001,0)*AR1076)</x:f>
        <x:v>27</x:v>
      </x:c>
      <x:c r="G1076" s="20" t="str">
        <x:f>IF(J1076="Рассчитано",V1076*(1-R1076/100)-W1076-P1076-Q1076,"н/д")</x:f>
        <x:v>н/д</x:v>
      </x:c>
      <x:c r="H1076" s="12" t="str">
        <x:v>Высокий</x:v>
      </x:c>
      <x:c r="I1076" s="12" t="str">
        <x:v>Высокий</x:v>
      </x:c>
      <x:c r="J1076" s="12" t="str">
        <x:f>IF(L1076="","Укажите валюту",IF(NOT(ISNUMBER(K1076)),"Укажите объём",IF(K1076&lt;=0,"Укажите объём",IF(K1076&gt;F1076,"Объём выше излишка",IF(COUNT(M1076:O1076)&lt;3,"Нужны цены",IF(COUNT(P1076:R1076)&lt;3,"Нужны расходы",IF(OR(M1076&lt;0,N1076&lt;0,O1076&lt;0,O1076&gt;100,P1076&lt;0,Q1076&lt;0,R1076&lt;0,R1076&gt;100),"Проверьте значения","Рассчитано")))))))</x:f>
        <x:v>Нужны цены</x:v>
      </x:c>
      <x:c r="K1076" s="36" t="n">
        <x:v>27</x:v>
      </x:c>
      <x:c r="L1076" s="19" t="str">
        <x:v>KZT</x:v>
      </x:c>
      <x:c r="M1076" s="22"/>
      <x:c r="N1076" s="22"/>
      <x:c r="O1076" s="28"/>
      <x:c r="P1076" s="22"/>
      <x:c r="Q1076" s="22"/>
      <x:c r="R1076" s="28"/>
      <x:c r="S1076" s="22"/>
      <x:c r="T1076" s="35" t="n">
        <x:f>K1076</x:f>
        <x:v>27</x:v>
      </x:c>
      <x:c r="U1076" s="20" t="str">
        <x:f>IF(J1076="Рассчитано",N1076*(1-O1076/100),"н/д")</x:f>
        <x:v>н/д</x:v>
      </x:c>
      <x:c r="V1076" s="20" t="str">
        <x:f>IF(J1076="Рассчитано",T1076*U1076,"н/д")</x:f>
        <x:v>н/д</x:v>
      </x:c>
      <x:c r="W1076" s="20" t="str">
        <x:f>IF(J1076="Рассчитано",T1076*M1076,"н/д")</x:f>
        <x:v>н/д</x:v>
      </x:c>
      <x:c r="X1076" s="20" t="str">
        <x:f>IF(J1076="Рассчитано",V1076-W1076,"н/д")</x:f>
        <x:v>н/д</x:v>
      </x:c>
      <x:c r="Y1076" s="26" t="str">
        <x:f>IF(J1076="Рассчитано",IF(V1076&gt;0,G1076/V1076,"н/д"),"н/д")</x:f>
        <x:v>н/д</x:v>
      </x:c>
      <x:c r="Z1076" s="20" t="str">
        <x:f>"н/д"</x:f>
        <x:v>н/д</x:v>
      </x:c>
      <x:c r="AA1076" s="20" t="str">
        <x:f>"н/д"</x:f>
        <x:v>н/д</x:v>
      </x:c>
      <x:c r="AB1076" s="20" t="str">
        <x:f>"н/д"</x:f>
        <x:v>н/д</x:v>
      </x:c>
      <x:c r="AC1076" s="20" t="str">
        <x:f>IF(AND(J1076="Рассчитано",T1076&gt;0,R1076&lt;100),(W1076+P1076+Q1076)/(T1076*(1-R1076/100)),"н/д")</x:f>
        <x:v>н/д</x:v>
      </x:c>
      <x:c r="AD1076" s="11" t="str">
        <x:f>IF(ISNUMBER(G1076),IF(G1076&lt;0,"Убыток",IF(G1076=0,"Без прибыли","Прибыль &gt; 0")),"Не оценён")</x:f>
        <x:v>Не оценён</x:v>
      </x:c>
      <x:c r="AE1076" s="12" t="str">
        <x:f>IF(J1076="Рассчитано","Выручка "&amp;TEXT(V1076,"0.00")&amp;" - себестоимость "&amp;TEXT(W1076,"0.00")&amp;" - комиссия "&amp;TEXT(V1076*R1076/100,"0.00")&amp;" - доставка "&amp;TEXT(P1076,"0.00")&amp;" - прочие "&amp;TEXT(Q1076,"0.00")&amp;" = "&amp;TEXT(G1076,"0.00")&amp;" "&amp;L1076,"Введите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6" s="23" t="n">
        <x:v>0</x:v>
      </x:c>
      <x:c r="AG1076" s="35" t="n">
        <x:v>27</x:v>
      </x:c>
      <x:c r="AH1076" s="35" t="n">
        <x:v>0</x:v>
      </x:c>
      <x:c r="AI1076" s="29" t="n">
        <x:v>46266</x:v>
      </x:c>
      <x:c r="AJ1076" s="35"/>
      <x:c r="AK1076" s="11" t="str">
        <x:v>неизвестно</x:v>
      </x:c>
      <x:c r="AL1076" s="31" t="str">
        <x:v>н/д</x:v>
      </x:c>
      <x:c r="AM1076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76" s="12" t="str">
        <x:v>Проверить свободный остаток и установить цену для B2B</x:v>
      </x:c>
      <x:c r="AO1076" s="12" t="str">
        <x:v>Остаток 27; прогноз 90 дней 0.00; избыток 27 шт. Будущие поступления не выставляются на продажу. Остаток на начало сентября: требуется актуализация.</x:v>
      </x:c>
      <x:c r="AP1076" s="12" t="str">
        <x:v>["category_missing", "daily_stockout_data_missing", "moq_missing", "new_order_lead_time_unknown", "reservations_unknown", "stale_stock"]</x:v>
      </x:c>
      <x:c r="AQ1076" s="11" t="str">
        <x:v>IEK:280100431_</x:v>
      </x:c>
      <x:c r="AR1076" s="23" t="n">
        <x:v>1</x:v>
      </x:c>
      <x:c r="AS1076" s="23" t="n">
        <x:v>0</x:v>
      </x:c>
      <x:c r="AT1076" s="23" t="n">
        <x:v>0</x:v>
      </x:c>
    </x:row>
    <x:row r="1077" ht="64" customHeight="1">
      <x:c r="A1077" s="10" t="str">
        <x:v>IEK</x:v>
      </x:c>
      <x:c r="B1077" s="34" t="str">
        <x:v>280100446_</x:v>
      </x:c>
      <x:c r="C1077" s="34" t="str">
        <x:v>EL-KK10D-P-060-040-K02</x:v>
      </x:c>
      <x:c r="D1077" s="13" t="str">
        <x:v>Поворот 90град КМП 60х40 черный ЭЛЕКОР IEK (4шт/компл)</x:v>
      </x:c>
      <x:c r="E1077" s="10" t="str">
        <x:v>шт</x:v>
      </x:c>
      <x:c r="F1077" s="37" t="n">
        <x:f>MAX(0,ROUNDDOWN((AG1077-AF1077)/AR1077+0.000000001,0)*AR1077)</x:f>
        <x:v>1</x:v>
      </x:c>
      <x:c r="G1077" s="21" t="str">
        <x:f>IF(J1077="Рассчитано",V1077*(1-R1077/100)-W1077-P1077-Q1077,"н/д")</x:f>
        <x:v>н/д</x:v>
      </x:c>
      <x:c r="H1077" s="13" t="str">
        <x:v>Высокий</x:v>
      </x:c>
      <x:c r="I1077" s="13" t="str">
        <x:v>Высокий</x:v>
      </x:c>
      <x:c r="J1077" s="13" t="str">
        <x:f>IF(L1077="","Укажите валюту",IF(NOT(ISNUMBER(K1077)),"Укажите объём",IF(K1077&lt;=0,"Укажите объём",IF(K1077&gt;F1077,"Объём выше излишка",IF(COUNT(M1077:O1077)&lt;3,"Нужны цены",IF(COUNT(P1077:R1077)&lt;3,"Нужны расходы",IF(OR(M1077&lt;0,N1077&lt;0,O1077&lt;0,O1077&gt;100,P1077&lt;0,Q1077&lt;0,R1077&lt;0,R1077&gt;100),"Проверьте значения","Рассчитано")))))))</x:f>
        <x:v>Нужны цены</x:v>
      </x:c>
      <x:c r="K1077" s="36" t="n">
        <x:v>1</x:v>
      </x:c>
      <x:c r="L1077" s="19" t="str">
        <x:v>KZT</x:v>
      </x:c>
      <x:c r="M1077" s="22"/>
      <x:c r="N1077" s="22"/>
      <x:c r="O1077" s="28"/>
      <x:c r="P1077" s="22"/>
      <x:c r="Q1077" s="22"/>
      <x:c r="R1077" s="28"/>
      <x:c r="S1077" s="22"/>
      <x:c r="T1077" s="37" t="n">
        <x:f>K1077</x:f>
        <x:v>1</x:v>
      </x:c>
      <x:c r="U1077" s="21" t="str">
        <x:f>IF(J1077="Рассчитано",N1077*(1-O1077/100),"н/д")</x:f>
        <x:v>н/д</x:v>
      </x:c>
      <x:c r="V1077" s="21" t="str">
        <x:f>IF(J1077="Рассчитано",T1077*U1077,"н/д")</x:f>
        <x:v>н/д</x:v>
      </x:c>
      <x:c r="W1077" s="21" t="str">
        <x:f>IF(J1077="Рассчитано",T1077*M1077,"н/д")</x:f>
        <x:v>н/д</x:v>
      </x:c>
      <x:c r="X1077" s="21" t="str">
        <x:f>IF(J1077="Рассчитано",V1077-W1077,"н/д")</x:f>
        <x:v>н/д</x:v>
      </x:c>
      <x:c r="Y1077" s="27" t="str">
        <x:f>IF(J1077="Рассчитано",IF(V1077&gt;0,G1077/V1077,"н/д"),"н/д")</x:f>
        <x:v>н/д</x:v>
      </x:c>
      <x:c r="Z1077" s="21" t="str">
        <x:f>"н/д"</x:f>
        <x:v>н/д</x:v>
      </x:c>
      <x:c r="AA1077" s="21" t="str">
        <x:f>"н/д"</x:f>
        <x:v>н/д</x:v>
      </x:c>
      <x:c r="AB1077" s="21" t="str">
        <x:f>"н/д"</x:f>
        <x:v>н/д</x:v>
      </x:c>
      <x:c r="AC1077" s="21" t="str">
        <x:f>IF(AND(J1077="Рассчитано",T1077&gt;0,R1077&lt;100),(W1077+P1077+Q1077)/(T1077*(1-R1077/100)),"н/д")</x:f>
        <x:v>н/д</x:v>
      </x:c>
      <x:c r="AD1077" s="10" t="str">
        <x:f>IF(ISNUMBER(G1077),IF(G1077&lt;0,"Убыток",IF(G1077=0,"Без прибыли","Прибыль &gt; 0")),"Не оценён")</x:f>
        <x:v>Не оценён</x:v>
      </x:c>
      <x:c r="AE1077" s="13" t="str">
        <x:f>IF(J1077="Рассчитано","Выручка "&amp;TEXT(V1077,"0.00")&amp;" - себестоимость "&amp;TEXT(W1077,"0.00")&amp;" - комиссия "&amp;TEXT(V1077*R1077/100,"0.00")&amp;" - доставка "&amp;TEXT(P1077,"0.00")&amp;" - прочие "&amp;TEXT(Q1077,"0.00")&amp;" = "&amp;TEXT(G1077,"0.00")&amp;" "&amp;L1077,"Введите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7" s="24" t="n">
        <x:v>0.228628646455828</x:v>
      </x:c>
      <x:c r="AG1077" s="37" t="n">
        <x:v>2</x:v>
      </x:c>
      <x:c r="AH1077" s="37" t="n">
        <x:v>0</x:v>
      </x:c>
      <x:c r="AI1077" s="30" t="n">
        <x:v>46266</x:v>
      </x:c>
      <x:c r="AJ1077" s="37"/>
      <x:c r="AK1077" s="10" t="str">
        <x:v>неизвестно</x:v>
      </x:c>
      <x:c r="AL1077" s="32" t="n">
        <x:v>743.9065706629116</x:v>
      </x:c>
      <x:c r="AM107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77" s="13" t="str">
        <x:v>Проверить свободный остаток и установить цену для B2B</x:v>
      </x:c>
      <x:c r="AO1077" s="13" t="str">
        <x:v>Остаток 2; прогноз 90 дней 0.23; избыток 1 шт. Будущие поступления не выставляются на продажу. Остаток на начало сентября: требуется актуализация.</x:v>
      </x:c>
      <x:c r="AP1077" s="13" t="str">
        <x:v>["category_missing", "daily_stockout_data_missing", "moq_missing", "negative_net_sales_clipped_for_forecast", "new_order_lead_time_unknown", "reservations_unknown", "stale_stock"]</x:v>
      </x:c>
      <x:c r="AQ1077" s="10" t="str">
        <x:v>IEK:280100446_</x:v>
      </x:c>
      <x:c r="AR1077" s="24" t="n">
        <x:v>1</x:v>
      </x:c>
      <x:c r="AS1077" s="24" t="n">
        <x:v>0</x:v>
      </x:c>
      <x:c r="AT1077" s="24" t="n">
        <x:v>0</x:v>
      </x:c>
    </x:row>
    <x:row r="1078" ht="64" customHeight="1">
      <x:c r="A1078" s="11" t="str">
        <x:v>IEK</x:v>
      </x:c>
      <x:c r="B1078" s="33" t="str">
        <x:v>280100450_</x:v>
      </x:c>
      <x:c r="C1078" s="33" t="str">
        <x:v>EL-KK10D-S-020-010-K02</x:v>
      </x:c>
      <x:c r="D1078" s="12" t="str">
        <x:v>Соединитель на стык КМС 20х10 черный ЭЛЕКОР IEK (4шт/компл)</x:v>
      </x:c>
      <x:c r="E1078" s="11" t="str">
        <x:v>шт</x:v>
      </x:c>
      <x:c r="F1078" s="35" t="n">
        <x:f>MAX(0,ROUNDDOWN((AG1078-AF1078)/AR1078+0.000000001,0)*AR1078)</x:f>
        <x:v>4</x:v>
      </x:c>
      <x:c r="G1078" s="20" t="str">
        <x:f>IF(J1078="Рассчитано",V1078*(1-R1078/100)-W1078-P1078-Q1078,"н/д")</x:f>
        <x:v>н/д</x:v>
      </x:c>
      <x:c r="H1078" s="12" t="str">
        <x:v>Высокий</x:v>
      </x:c>
      <x:c r="I1078" s="12" t="str">
        <x:v>Высокий</x:v>
      </x:c>
      <x:c r="J1078" s="12" t="str">
        <x:f>IF(L1078="","Укажите валюту",IF(NOT(ISNUMBER(K1078)),"Укажите объём",IF(K1078&lt;=0,"Укажите объём",IF(K1078&gt;F1078,"Объём выше излишка",IF(COUNT(M1078:O1078)&lt;3,"Нужны цены",IF(COUNT(P1078:R1078)&lt;3,"Нужны расходы",IF(OR(M1078&lt;0,N1078&lt;0,O1078&lt;0,O1078&gt;100,P1078&lt;0,Q1078&lt;0,R1078&lt;0,R1078&gt;100),"Проверьте значения","Рассчитано")))))))</x:f>
        <x:v>Нужны цены</x:v>
      </x:c>
      <x:c r="K1078" s="36" t="n">
        <x:v>4</x:v>
      </x:c>
      <x:c r="L1078" s="19" t="str">
        <x:v>KZT</x:v>
      </x:c>
      <x:c r="M1078" s="22"/>
      <x:c r="N1078" s="22"/>
      <x:c r="O1078" s="28"/>
      <x:c r="P1078" s="22"/>
      <x:c r="Q1078" s="22"/>
      <x:c r="R1078" s="28"/>
      <x:c r="S1078" s="22"/>
      <x:c r="T1078" s="35" t="n">
        <x:f>K1078</x:f>
        <x:v>4</x:v>
      </x:c>
      <x:c r="U1078" s="20" t="str">
        <x:f>IF(J1078="Рассчитано",N1078*(1-O1078/100),"н/д")</x:f>
        <x:v>н/д</x:v>
      </x:c>
      <x:c r="V1078" s="20" t="str">
        <x:f>IF(J1078="Рассчитано",T1078*U1078,"н/д")</x:f>
        <x:v>н/д</x:v>
      </x:c>
      <x:c r="W1078" s="20" t="str">
        <x:f>IF(J1078="Рассчитано",T1078*M1078,"н/д")</x:f>
        <x:v>н/д</x:v>
      </x:c>
      <x:c r="X1078" s="20" t="str">
        <x:f>IF(J1078="Рассчитано",V1078-W1078,"н/д")</x:f>
        <x:v>н/д</x:v>
      </x:c>
      <x:c r="Y1078" s="26" t="str">
        <x:f>IF(J1078="Рассчитано",IF(V1078&gt;0,G1078/V1078,"н/д"),"н/д")</x:f>
        <x:v>н/д</x:v>
      </x:c>
      <x:c r="Z1078" s="20" t="str">
        <x:f>"н/д"</x:f>
        <x:v>н/д</x:v>
      </x:c>
      <x:c r="AA1078" s="20" t="str">
        <x:f>"н/д"</x:f>
        <x:v>н/д</x:v>
      </x:c>
      <x:c r="AB1078" s="20" t="str">
        <x:f>"н/д"</x:f>
        <x:v>н/д</x:v>
      </x:c>
      <x:c r="AC1078" s="20" t="str">
        <x:f>IF(AND(J1078="Рассчитано",T1078&gt;0,R1078&lt;100),(W1078+P1078+Q1078)/(T1078*(1-R1078/100)),"н/д")</x:f>
        <x:v>н/д</x:v>
      </x:c>
      <x:c r="AD1078" s="11" t="str">
        <x:f>IF(ISNUMBER(G1078),IF(G1078&lt;0,"Убыток",IF(G1078=0,"Без прибыли","Прибыль &gt; 0")),"Не оценён")</x:f>
        <x:v>Не оценён</x:v>
      </x:c>
      <x:c r="AE1078" s="12" t="str">
        <x:f>IF(J1078="Рассчитано","Выручка "&amp;TEXT(V1078,"0.00")&amp;" - себестоимость "&amp;TEXT(W1078,"0.00")&amp;" - комиссия "&amp;TEXT(V1078*R1078/100,"0.00")&amp;" - доставка "&amp;TEXT(P1078,"0.00")&amp;" - прочие "&amp;TEXT(Q1078,"0.00")&amp;" = "&amp;TEXT(G1078,"0.00")&amp;" "&amp;L1078,"Введите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8" s="23" t="n">
        <x:v>1.1078145050006174</x:v>
      </x:c>
      <x:c r="AG1078" s="35" t="n">
        <x:v>6</x:v>
      </x:c>
      <x:c r="AH1078" s="35" t="n">
        <x:v>0</x:v>
      </x:c>
      <x:c r="AI1078" s="29" t="n">
        <x:v>46266</x:v>
      </x:c>
      <x:c r="AJ1078" s="35"/>
      <x:c r="AK1078" s="11" t="str">
        <x:v>неизвестно</x:v>
      </x:c>
      <x:c r="AL1078" s="31" t="n">
        <x:v>460.57806132488867</x:v>
      </x:c>
      <x:c r="AM107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78" s="12" t="str">
        <x:v>Проверить свободный остаток и установить цену для B2B</x:v>
      </x:c>
      <x:c r="AO1078" s="12" t="str">
        <x:v>Остаток 6; прогноз 90 дней 1.11; избыток 4 шт. Будущие поступления не выставляются на продажу. Остаток на начало сентября: требуется актуализация.</x:v>
      </x:c>
      <x:c r="AP1078" s="12" t="str">
        <x:v>["category_missing", "daily_stockout_data_missing", "moq_missing", "new_order_lead_time_unknown", "reservations_unknown", "stale_stock"]</x:v>
      </x:c>
      <x:c r="AQ1078" s="11" t="str">
        <x:v>IEK:280100450_</x:v>
      </x:c>
      <x:c r="AR1078" s="23" t="n">
        <x:v>1</x:v>
      </x:c>
      <x:c r="AS1078" s="23" t="n">
        <x:v>0</x:v>
      </x:c>
      <x:c r="AT1078" s="23" t="n">
        <x:v>0</x:v>
      </x:c>
    </x:row>
    <x:row r="1079" ht="64" customHeight="1">
      <x:c r="A1079" s="10" t="str">
        <x:v>IEK</x:v>
      </x:c>
      <x:c r="B1079" s="34" t="str">
        <x:v>280100454_</x:v>
      </x:c>
      <x:c r="C1079" s="34" t="str">
        <x:v>EL-KK10D-S-100-060-K02</x:v>
      </x:c>
      <x:c r="D1079" s="13" t="str">
        <x:v>Соединитель на стык КМС 100х60 черный ЭЛЕКОР IEK (2шт/компл)</x:v>
      </x:c>
      <x:c r="E1079" s="10" t="str">
        <x:v>шт</x:v>
      </x:c>
      <x:c r="F1079" s="37" t="n">
        <x:f>MAX(0,ROUNDDOWN((AG1079-AF1079)/AR1079+0.000000001,0)*AR1079)</x:f>
        <x:v>1</x:v>
      </x:c>
      <x:c r="G1079" s="21" t="str">
        <x:f>IF(J1079="Рассчитано",V1079*(1-R1079/100)-W1079-P1079-Q1079,"н/д")</x:f>
        <x:v>н/д</x:v>
      </x:c>
      <x:c r="H1079" s="13" t="str">
        <x:v>Высокий</x:v>
      </x:c>
      <x:c r="I1079" s="13" t="str">
        <x:v>Высокий</x:v>
      </x:c>
      <x:c r="J1079" s="13" t="str">
        <x:f>IF(L1079="","Укажите валюту",IF(NOT(ISNUMBER(K1079)),"Укажите объём",IF(K1079&lt;=0,"Укажите объём",IF(K1079&gt;F1079,"Объём выше излишка",IF(COUNT(M1079:O1079)&lt;3,"Нужны цены",IF(COUNT(P1079:R1079)&lt;3,"Нужны расходы",IF(OR(M1079&lt;0,N1079&lt;0,O1079&lt;0,O1079&gt;100,P1079&lt;0,Q1079&lt;0,R1079&lt;0,R1079&gt;100),"Проверьте значения","Рассчитано")))))))</x:f>
        <x:v>Нужны цены</x:v>
      </x:c>
      <x:c r="K1079" s="36" t="n">
        <x:v>1</x:v>
      </x:c>
      <x:c r="L1079" s="19" t="str">
        <x:v>KZT</x:v>
      </x:c>
      <x:c r="M1079" s="22"/>
      <x:c r="N1079" s="22"/>
      <x:c r="O1079" s="28"/>
      <x:c r="P1079" s="22"/>
      <x:c r="Q1079" s="22"/>
      <x:c r="R1079" s="28"/>
      <x:c r="S1079" s="22"/>
      <x:c r="T1079" s="37" t="n">
        <x:f>K1079</x:f>
        <x:v>1</x:v>
      </x:c>
      <x:c r="U1079" s="21" t="str">
        <x:f>IF(J1079="Рассчитано",N1079*(1-O1079/100),"н/д")</x:f>
        <x:v>н/д</x:v>
      </x:c>
      <x:c r="V1079" s="21" t="str">
        <x:f>IF(J1079="Рассчитано",T1079*U1079,"н/д")</x:f>
        <x:v>н/д</x:v>
      </x:c>
      <x:c r="W1079" s="21" t="str">
        <x:f>IF(J1079="Рассчитано",T1079*M1079,"н/д")</x:f>
        <x:v>н/д</x:v>
      </x:c>
      <x:c r="X1079" s="21" t="str">
        <x:f>IF(J1079="Рассчитано",V1079-W1079,"н/д")</x:f>
        <x:v>н/д</x:v>
      </x:c>
      <x:c r="Y1079" s="27" t="str">
        <x:f>IF(J1079="Рассчитано",IF(V1079&gt;0,G1079/V1079,"н/д"),"н/д")</x:f>
        <x:v>н/д</x:v>
      </x:c>
      <x:c r="Z1079" s="21" t="str">
        <x:f>"н/д"</x:f>
        <x:v>н/д</x:v>
      </x:c>
      <x:c r="AA1079" s="21" t="str">
        <x:f>"н/д"</x:f>
        <x:v>н/д</x:v>
      </x:c>
      <x:c r="AB1079" s="21" t="str">
        <x:f>"н/д"</x:f>
        <x:v>н/д</x:v>
      </x:c>
      <x:c r="AC1079" s="21" t="str">
        <x:f>IF(AND(J1079="Рассчитано",T1079&gt;0,R1079&lt;100),(W1079+P1079+Q1079)/(T1079*(1-R1079/100)),"н/д")</x:f>
        <x:v>н/д</x:v>
      </x:c>
      <x:c r="AD1079" s="10" t="str">
        <x:f>IF(ISNUMBER(G1079),IF(G1079&lt;0,"Убыток",IF(G1079=0,"Без прибыли","Прибыль &gt; 0")),"Не оценён")</x:f>
        <x:v>Не оценён</x:v>
      </x:c>
      <x:c r="AE1079" s="13" t="str">
        <x:f>IF(J1079="Рассчитано","Выручка "&amp;TEXT(V1079,"0.00")&amp;" - себестоимость "&amp;TEXT(W1079,"0.00")&amp;" - комиссия "&amp;TEXT(V1079*R1079/100,"0.00")&amp;" - доставка "&amp;TEXT(P1079,"0.00")&amp;" - прочие "&amp;TEXT(Q1079,"0.00")&amp;" = "&amp;TEXT(G1079,"0.00")&amp;" "&amp;L1079,"Введите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9" s="24" t="n">
        <x:v>0</x:v>
      </x:c>
      <x:c r="AG1079" s="37" t="n">
        <x:v>1</x:v>
      </x:c>
      <x:c r="AH1079" s="37" t="n">
        <x:v>0</x:v>
      </x:c>
      <x:c r="AI1079" s="30" t="n">
        <x:v>46266</x:v>
      </x:c>
      <x:c r="AJ1079" s="37"/>
      <x:c r="AK1079" s="10" t="str">
        <x:v>неизвестно</x:v>
      </x:c>
      <x:c r="AL1079" s="32" t="str">
        <x:v>н/д</x:v>
      </x:c>
      <x:c r="AM107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79" s="13" t="str">
        <x:v>Проверить свободный остаток и установить цену для B2B</x:v>
      </x:c>
      <x:c r="AO1079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079" s="13" t="str">
        <x:v>["category_missing", "daily_stockout_data_missing", "moq_missing", "new_order_lead_time_unknown", "reservations_unknown", "stale_stock"]</x:v>
      </x:c>
      <x:c r="AQ1079" s="10" t="str">
        <x:v>IEK:280100454_</x:v>
      </x:c>
      <x:c r="AR1079" s="24" t="n">
        <x:v>1</x:v>
      </x:c>
      <x:c r="AS1079" s="24" t="n">
        <x:v>0</x:v>
      </x:c>
      <x:c r="AT1079" s="24" t="n">
        <x:v>0</x:v>
      </x:c>
    </x:row>
    <x:row r="1080" ht="64" customHeight="1">
      <x:c r="A1080" s="11" t="str">
        <x:v>IEK</x:v>
      </x:c>
      <x:c r="B1080" s="33" t="str">
        <x:v>280100455_</x:v>
      </x:c>
      <x:c r="C1080" s="33" t="str">
        <x:v>EL-KK10D-T-015-010-K02</x:v>
      </x:c>
      <x:c r="D1080" s="12" t="str">
        <x:v>Угол Т-образный КМТ 15х10 черный ЭЛЕКОР IEK (4шт/компл)</x:v>
      </x:c>
      <x:c r="E1080" s="11" t="str">
        <x:v>шт</x:v>
      </x:c>
      <x:c r="F1080" s="35" t="n">
        <x:f>MAX(0,ROUNDDOWN((AG1080-AF1080)/AR1080+0.000000001,0)*AR1080)</x:f>
        <x:v>28</x:v>
      </x:c>
      <x:c r="G1080" s="20" t="str">
        <x:f>IF(J1080="Рассчитано",V1080*(1-R1080/100)-W1080-P1080-Q1080,"н/д")</x:f>
        <x:v>н/д</x:v>
      </x:c>
      <x:c r="H1080" s="12" t="str">
        <x:v>Высокий</x:v>
      </x:c>
      <x:c r="I1080" s="12" t="str">
        <x:v>Высокий</x:v>
      </x:c>
      <x:c r="J1080" s="12" t="str">
        <x:f>IF(L1080="","Укажите валюту",IF(NOT(ISNUMBER(K1080)),"Укажите объём",IF(K1080&lt;=0,"Укажите объём",IF(K1080&gt;F1080,"Объём выше излишка",IF(COUNT(M1080:O1080)&lt;3,"Нужны цены",IF(COUNT(P1080:R1080)&lt;3,"Нужны расходы",IF(OR(M1080&lt;0,N1080&lt;0,O1080&lt;0,O1080&gt;100,P1080&lt;0,Q1080&lt;0,R1080&lt;0,R1080&gt;100),"Проверьте значения","Рассчитано")))))))</x:f>
        <x:v>Нужны цены</x:v>
      </x:c>
      <x:c r="K1080" s="36" t="n">
        <x:v>28</x:v>
      </x:c>
      <x:c r="L1080" s="19" t="str">
        <x:v>KZT</x:v>
      </x:c>
      <x:c r="M1080" s="22"/>
      <x:c r="N1080" s="22"/>
      <x:c r="O1080" s="28"/>
      <x:c r="P1080" s="22"/>
      <x:c r="Q1080" s="22"/>
      <x:c r="R1080" s="28"/>
      <x:c r="S1080" s="22"/>
      <x:c r="T1080" s="35" t="n">
        <x:f>K1080</x:f>
        <x:v>28</x:v>
      </x:c>
      <x:c r="U1080" s="20" t="str">
        <x:f>IF(J1080="Рассчитано",N1080*(1-O1080/100),"н/д")</x:f>
        <x:v>н/д</x:v>
      </x:c>
      <x:c r="V1080" s="20" t="str">
        <x:f>IF(J1080="Рассчитано",T1080*U1080,"н/д")</x:f>
        <x:v>н/д</x:v>
      </x:c>
      <x:c r="W1080" s="20" t="str">
        <x:f>IF(J1080="Рассчитано",T1080*M1080,"н/д")</x:f>
        <x:v>н/д</x:v>
      </x:c>
      <x:c r="X1080" s="20" t="str">
        <x:f>IF(J1080="Рассчитано",V1080-W1080,"н/д")</x:f>
        <x:v>н/д</x:v>
      </x:c>
      <x:c r="Y1080" s="26" t="str">
        <x:f>IF(J1080="Рассчитано",IF(V1080&gt;0,G1080/V1080,"н/д"),"н/д")</x:f>
        <x:v>н/д</x:v>
      </x:c>
      <x:c r="Z1080" s="20" t="str">
        <x:f>"н/д"</x:f>
        <x:v>н/д</x:v>
      </x:c>
      <x:c r="AA1080" s="20" t="str">
        <x:f>"н/д"</x:f>
        <x:v>н/д</x:v>
      </x:c>
      <x:c r="AB1080" s="20" t="str">
        <x:f>"н/д"</x:f>
        <x:v>н/д</x:v>
      </x:c>
      <x:c r="AC1080" s="20" t="str">
        <x:f>IF(AND(J1080="Рассчитано",T1080&gt;0,R1080&lt;100),(W1080+P1080+Q1080)/(T1080*(1-R1080/100)),"н/д")</x:f>
        <x:v>н/д</x:v>
      </x:c>
      <x:c r="AD1080" s="11" t="str">
        <x:f>IF(ISNUMBER(G1080),IF(G1080&lt;0,"Убыток",IF(G1080=0,"Без прибыли","Прибыль &gt; 0")),"Не оценён")</x:f>
        <x:v>Не оценён</x:v>
      </x:c>
      <x:c r="AE1080" s="12" t="str">
        <x:f>IF(J1080="Рассчитано","Выручка "&amp;TEXT(V1080,"0.00")&amp;" - себестоимость "&amp;TEXT(W1080,"0.00")&amp;" - комиссия "&amp;TEXT(V1080*R1080/100,"0.00")&amp;" - доставка "&amp;TEXT(P1080,"0.00")&amp;" - прочие "&amp;TEXT(Q1080,"0.00")&amp;" = "&amp;TEXT(G1080,"0.00")&amp;" "&amp;L1080,"Введите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0" s="23" t="n">
        <x:v>0</x:v>
      </x:c>
      <x:c r="AG1080" s="35" t="n">
        <x:v>28</x:v>
      </x:c>
      <x:c r="AH1080" s="35" t="n">
        <x:v>0</x:v>
      </x:c>
      <x:c r="AI1080" s="29" t="n">
        <x:v>46266</x:v>
      </x:c>
      <x:c r="AJ1080" s="35"/>
      <x:c r="AK1080" s="11" t="str">
        <x:v>неизвестно</x:v>
      </x:c>
      <x:c r="AL1080" s="31" t="str">
        <x:v>н/д</x:v>
      </x:c>
      <x:c r="AM1080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80" s="12" t="str">
        <x:v>Проверить свободный остаток и установить цену для B2B</x:v>
      </x:c>
      <x:c r="AO1080" s="12" t="str">
        <x:v>Остаток 28; прогноз 90 дней 0.00; избыток 28 шт. Будущие поступления не выставляются на продажу. Остаток на начало сентября: требуется актуализация.</x:v>
      </x:c>
      <x:c r="AP1080" s="12" t="str">
        <x:v>["category_missing", "daily_stockout_data_missing", "moq_missing", "new_order_lead_time_unknown", "reservations_unknown", "stale_stock"]</x:v>
      </x:c>
      <x:c r="AQ1080" s="11" t="str">
        <x:v>IEK:280100455_</x:v>
      </x:c>
      <x:c r="AR1080" s="23" t="n">
        <x:v>1</x:v>
      </x:c>
      <x:c r="AS1080" s="23" t="n">
        <x:v>0</x:v>
      </x:c>
      <x:c r="AT1080" s="23" t="n">
        <x:v>0</x:v>
      </x:c>
    </x:row>
    <x:row r="1081" ht="64" customHeight="1">
      <x:c r="A1081" s="10" t="str">
        <x:v>IEK</x:v>
      </x:c>
      <x:c r="B1081" s="34" t="str">
        <x:v>280100459_</x:v>
      </x:c>
      <x:c r="C1081" s="34" t="str">
        <x:v>EL-KK10D-T-040-025-K02</x:v>
      </x:c>
      <x:c r="D1081" s="13" t="str">
        <x:v>Угол Т-образный КМТ 40х25 черный ЭЛЕКОР IEK (4шт/компл)</x:v>
      </x:c>
      <x:c r="E1081" s="10" t="str">
        <x:v>шт</x:v>
      </x:c>
      <x:c r="F1081" s="37" t="n">
        <x:f>MAX(0,ROUNDDOWN((AG1081-AF1081)/AR1081+0.000000001,0)*AR1081)</x:f>
        <x:v>146</x:v>
      </x:c>
      <x:c r="G1081" s="21" t="str">
        <x:f>IF(J1081="Рассчитано",V1081*(1-R1081/100)-W1081-P1081-Q1081,"н/д")</x:f>
        <x:v>н/д</x:v>
      </x:c>
      <x:c r="H1081" s="13" t="str">
        <x:v>Высокий</x:v>
      </x:c>
      <x:c r="I1081" s="13" t="str">
        <x:v>Высокий</x:v>
      </x:c>
      <x:c r="J1081" s="13" t="str">
        <x:f>IF(L1081="","Укажите валюту",IF(NOT(ISNUMBER(K1081)),"Укажите объём",IF(K1081&lt;=0,"Укажите объём",IF(K1081&gt;F1081,"Объём выше излишка",IF(COUNT(M1081:O1081)&lt;3,"Нужны цены",IF(COUNT(P1081:R1081)&lt;3,"Нужны расходы",IF(OR(M1081&lt;0,N1081&lt;0,O1081&lt;0,O1081&gt;100,P1081&lt;0,Q1081&lt;0,R1081&lt;0,R1081&gt;100),"Проверьте значения","Рассчитано")))))))</x:f>
        <x:v>Нужны цены</x:v>
      </x:c>
      <x:c r="K1081" s="36" t="n">
        <x:v>146</x:v>
      </x:c>
      <x:c r="L1081" s="19" t="str">
        <x:v>KZT</x:v>
      </x:c>
      <x:c r="M1081" s="22"/>
      <x:c r="N1081" s="22"/>
      <x:c r="O1081" s="28"/>
      <x:c r="P1081" s="22"/>
      <x:c r="Q1081" s="22"/>
      <x:c r="R1081" s="28"/>
      <x:c r="S1081" s="22"/>
      <x:c r="T1081" s="37" t="n">
        <x:f>K1081</x:f>
        <x:v>146</x:v>
      </x:c>
      <x:c r="U1081" s="21" t="str">
        <x:f>IF(J1081="Рассчитано",N1081*(1-O1081/100),"н/д")</x:f>
        <x:v>н/д</x:v>
      </x:c>
      <x:c r="V1081" s="21" t="str">
        <x:f>IF(J1081="Рассчитано",T1081*U1081,"н/д")</x:f>
        <x:v>н/д</x:v>
      </x:c>
      <x:c r="W1081" s="21" t="str">
        <x:f>IF(J1081="Рассчитано",T1081*M1081,"н/д")</x:f>
        <x:v>н/д</x:v>
      </x:c>
      <x:c r="X1081" s="21" t="str">
        <x:f>IF(J1081="Рассчитано",V1081-W1081,"н/д")</x:f>
        <x:v>н/д</x:v>
      </x:c>
      <x:c r="Y1081" s="27" t="str">
        <x:f>IF(J1081="Рассчитано",IF(V1081&gt;0,G1081/V1081,"н/д"),"н/д")</x:f>
        <x:v>н/д</x:v>
      </x:c>
      <x:c r="Z1081" s="21" t="str">
        <x:f>"н/д"</x:f>
        <x:v>н/д</x:v>
      </x:c>
      <x:c r="AA1081" s="21" t="str">
        <x:f>"н/д"</x:f>
        <x:v>н/д</x:v>
      </x:c>
      <x:c r="AB1081" s="21" t="str">
        <x:f>"н/д"</x:f>
        <x:v>н/д</x:v>
      </x:c>
      <x:c r="AC1081" s="21" t="str">
        <x:f>IF(AND(J1081="Рассчитано",T1081&gt;0,R1081&lt;100),(W1081+P1081+Q1081)/(T1081*(1-R1081/100)),"н/д")</x:f>
        <x:v>н/д</x:v>
      </x:c>
      <x:c r="AD1081" s="10" t="str">
        <x:f>IF(ISNUMBER(G1081),IF(G1081&lt;0,"Убыток",IF(G1081=0,"Без прибыли","Прибыль &gt; 0")),"Не оценён")</x:f>
        <x:v>Не оценён</x:v>
      </x:c>
      <x:c r="AE1081" s="13" t="str">
        <x:f>IF(J1081="Рассчитано","Выручка "&amp;TEXT(V1081,"0.00")&amp;" - себестоимость "&amp;TEXT(W1081,"0.00")&amp;" - комиссия "&amp;TEXT(V1081*R1081/100,"0.00")&amp;" - доставка "&amp;TEXT(P1081,"0.00")&amp;" - прочие "&amp;TEXT(Q1081,"0.00")&amp;" = "&amp;TEXT(G1081,"0.00")&amp;" "&amp;L1081,"Введите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1" s="24" t="n">
        <x:v>0.9347317062755336</x:v>
      </x:c>
      <x:c r="AG1081" s="37" t="n">
        <x:v>147</x:v>
      </x:c>
      <x:c r="AH1081" s="37" t="n">
        <x:v>0</x:v>
      </x:c>
      <x:c r="AI1081" s="30" t="n">
        <x:v>46266</x:v>
      </x:c>
      <x:c r="AJ1081" s="37"/>
      <x:c r="AK1081" s="10" t="str">
        <x:v>неизвестно</x:v>
      </x:c>
      <x:c r="AL1081" s="32" t="n">
        <x:v>13373.633111065235</x:v>
      </x:c>
      <x:c r="AM108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81" s="13" t="str">
        <x:v>Проверить свободный остаток и установить цену для B2B</x:v>
      </x:c>
      <x:c r="AO1081" s="13" t="str">
        <x:v>Остаток 147; прогноз 90 дней 0.93; избыток 146 шт. Будущие поступления не выставляются на продажу. Остаток на начало сентября: требуется актуализация.</x:v>
      </x:c>
      <x:c r="AP1081" s="13" t="str">
        <x:v>["category_missing", "daily_stockout_data_missing", "moq_missing", "new_order_lead_time_unknown", "reservations_unknown", "stale_stock"]</x:v>
      </x:c>
      <x:c r="AQ1081" s="10" t="str">
        <x:v>IEK:280100459_</x:v>
      </x:c>
      <x:c r="AR1081" s="24" t="n">
        <x:v>1</x:v>
      </x:c>
      <x:c r="AS1081" s="24" t="n">
        <x:v>0</x:v>
      </x:c>
      <x:c r="AT1081" s="24" t="n">
        <x:v>0</x:v>
      </x:c>
    </x:row>
    <x:row r="1082" ht="64" customHeight="1">
      <x:c r="A1082" s="11" t="str">
        <x:v>IEK</x:v>
      </x:c>
      <x:c r="B1082" s="33" t="str">
        <x:v>280100461_</x:v>
      </x:c>
      <x:c r="C1082" s="33" t="str">
        <x:v>EL-KK10D-T-100-060-K02</x:v>
      </x:c>
      <x:c r="D1082" s="12" t="str">
        <x:v>Угол Т-образный КМТ 100х60 черный ЭЛЕКОР IEK (2шт/компл)</x:v>
      </x:c>
      <x:c r="E1082" s="11" t="str">
        <x:v>шт</x:v>
      </x:c>
      <x:c r="F1082" s="35" t="n">
        <x:f>MAX(0,ROUNDDOWN((AG1082-AF1082)/AR1082+0.000000001,0)*AR1082)</x:f>
        <x:v>1</x:v>
      </x:c>
      <x:c r="G1082" s="20" t="str">
        <x:f>IF(J1082="Рассчитано",V1082*(1-R1082/100)-W1082-P1082-Q1082,"н/д")</x:f>
        <x:v>н/д</x:v>
      </x:c>
      <x:c r="H1082" s="12" t="str">
        <x:v>Высокий</x:v>
      </x:c>
      <x:c r="I1082" s="12" t="str">
        <x:v>Высокий</x:v>
      </x:c>
      <x:c r="J1082" s="12" t="str">
        <x:f>IF(L1082="","Укажите валюту",IF(NOT(ISNUMBER(K1082)),"Укажите объём",IF(K1082&lt;=0,"Укажите объём",IF(K1082&gt;F1082,"Объём выше излишка",IF(COUNT(M1082:O1082)&lt;3,"Нужны цены",IF(COUNT(P1082:R1082)&lt;3,"Нужны расходы",IF(OR(M1082&lt;0,N1082&lt;0,O1082&lt;0,O1082&gt;100,P1082&lt;0,Q1082&lt;0,R1082&lt;0,R1082&gt;100),"Проверьте значения","Рассчитано")))))))</x:f>
        <x:v>Нужны цены</x:v>
      </x:c>
      <x:c r="K1082" s="36" t="n">
        <x:v>1</x:v>
      </x:c>
      <x:c r="L1082" s="19" t="str">
        <x:v>KZT</x:v>
      </x:c>
      <x:c r="M1082" s="22"/>
      <x:c r="N1082" s="22"/>
      <x:c r="O1082" s="28"/>
      <x:c r="P1082" s="22"/>
      <x:c r="Q1082" s="22"/>
      <x:c r="R1082" s="28"/>
      <x:c r="S1082" s="22"/>
      <x:c r="T1082" s="35" t="n">
        <x:f>K1082</x:f>
        <x:v>1</x:v>
      </x:c>
      <x:c r="U1082" s="20" t="str">
        <x:f>IF(J1082="Рассчитано",N1082*(1-O1082/100),"н/д")</x:f>
        <x:v>н/д</x:v>
      </x:c>
      <x:c r="V1082" s="20" t="str">
        <x:f>IF(J1082="Рассчитано",T1082*U1082,"н/д")</x:f>
        <x:v>н/д</x:v>
      </x:c>
      <x:c r="W1082" s="20" t="str">
        <x:f>IF(J1082="Рассчитано",T1082*M1082,"н/д")</x:f>
        <x:v>н/д</x:v>
      </x:c>
      <x:c r="X1082" s="20" t="str">
        <x:f>IF(J1082="Рассчитано",V1082-W1082,"н/д")</x:f>
        <x:v>н/д</x:v>
      </x:c>
      <x:c r="Y1082" s="26" t="str">
        <x:f>IF(J1082="Рассчитано",IF(V1082&gt;0,G1082/V1082,"н/д"),"н/д")</x:f>
        <x:v>н/д</x:v>
      </x:c>
      <x:c r="Z1082" s="20" t="str">
        <x:f>"н/д"</x:f>
        <x:v>н/д</x:v>
      </x:c>
      <x:c r="AA1082" s="20" t="str">
        <x:f>"н/д"</x:f>
        <x:v>н/д</x:v>
      </x:c>
      <x:c r="AB1082" s="20" t="str">
        <x:f>"н/д"</x:f>
        <x:v>н/д</x:v>
      </x:c>
      <x:c r="AC1082" s="20" t="str">
        <x:f>IF(AND(J1082="Рассчитано",T1082&gt;0,R1082&lt;100),(W1082+P1082+Q1082)/(T1082*(1-R1082/100)),"н/д")</x:f>
        <x:v>н/д</x:v>
      </x:c>
      <x:c r="AD1082" s="11" t="str">
        <x:f>IF(ISNUMBER(G1082),IF(G1082&lt;0,"Убыток",IF(G1082=0,"Без прибыли","Прибыль &gt; 0")),"Не оценён")</x:f>
        <x:v>Не оценён</x:v>
      </x:c>
      <x:c r="AE1082" s="12" t="str">
        <x:f>IF(J1082="Рассчитано","Выручка "&amp;TEXT(V1082,"0.00")&amp;" - себестоимость "&amp;TEXT(W1082,"0.00")&amp;" - комиссия "&amp;TEXT(V1082*R1082/100,"0.00")&amp;" - доставка "&amp;TEXT(P1082,"0.00")&amp;" - прочие "&amp;TEXT(Q1082,"0.00")&amp;" = "&amp;TEXT(G1082,"0.00")&amp;" "&amp;L1082,"Введите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2" s="23" t="n">
        <x:v>0</x:v>
      </x:c>
      <x:c r="AG1082" s="35" t="n">
        <x:v>1</x:v>
      </x:c>
      <x:c r="AH1082" s="35" t="n">
        <x:v>0</x:v>
      </x:c>
      <x:c r="AI1082" s="29" t="n">
        <x:v>46266</x:v>
      </x:c>
      <x:c r="AJ1082" s="35"/>
      <x:c r="AK1082" s="11" t="str">
        <x:v>неизвестно</x:v>
      </x:c>
      <x:c r="AL1082" s="31" t="str">
        <x:v>н/д</x:v>
      </x:c>
      <x:c r="AM108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082" s="12" t="str">
        <x:v>Проверить свободный остаток и установить цену для B2B</x:v>
      </x:c>
      <x:c r="AO1082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082" s="12" t="str">
        <x:v>["category_missing", "daily_stockout_data_missing", "moq_missing", "new_order_lead_time_unknown", "reservations_unknown", "stale_stock"]</x:v>
      </x:c>
      <x:c r="AQ1082" s="11" t="str">
        <x:v>IEK:280100461_</x:v>
      </x:c>
      <x:c r="AR1082" s="23" t="n">
        <x:v>1</x:v>
      </x:c>
      <x:c r="AS1082" s="23" t="n">
        <x:v>0</x:v>
      </x:c>
      <x:c r="AT1082" s="23" t="n">
        <x:v>0</x:v>
      </x:c>
    </x:row>
    <x:row r="1083" ht="64" customHeight="1">
      <x:c r="A1083" s="10" t="str">
        <x:v>IEK</x:v>
      </x:c>
      <x:c r="B1083" s="34" t="str">
        <x:v>280200031_</x:v>
      </x:c>
      <x:c r="C1083" s="34" t="str">
        <x:v>CKMP10D-N-100-040-K01</x:v>
      </x:c>
      <x:c r="D1083" s="13" t="str">
        <x:v>Внешний угол КМН 100х40 Белый ЭЛЕКОР IEK (2)</x:v>
      </x:c>
      <x:c r="E1083" s="10" t="str">
        <x:v>шт</x:v>
      </x:c>
      <x:c r="F1083" s="37" t="n">
        <x:f>MAX(0,ROUNDDOWN((AG1083-AF1083)/AR1083+0.000000001,0)*AR1083)</x:f>
        <x:v>24</x:v>
      </x:c>
      <x:c r="G1083" s="21" t="str">
        <x:f>IF(J1083="Рассчитано",V1083*(1-R1083/100)-W1083-P1083-Q1083,"н/д")</x:f>
        <x:v>н/д</x:v>
      </x:c>
      <x:c r="H1083" s="13" t="str">
        <x:v>Высокий</x:v>
      </x:c>
      <x:c r="I1083" s="13" t="str">
        <x:v>Высокий</x:v>
      </x:c>
      <x:c r="J1083" s="13" t="str">
        <x:f>IF(L1083="","Укажите валюту",IF(NOT(ISNUMBER(K1083)),"Укажите объём",IF(K1083&lt;=0,"Укажите объём",IF(K1083&gt;F1083,"Объём выше излишка",IF(COUNT(M1083:O1083)&lt;3,"Нужны цены",IF(COUNT(P1083:R1083)&lt;3,"Нужны расходы",IF(OR(M1083&lt;0,N1083&lt;0,O1083&lt;0,O1083&gt;100,P1083&lt;0,Q1083&lt;0,R1083&lt;0,R1083&gt;100),"Проверьте значения","Рассчитано")))))))</x:f>
        <x:v>Нужны цены</x:v>
      </x:c>
      <x:c r="K1083" s="36" t="n">
        <x:v>24</x:v>
      </x:c>
      <x:c r="L1083" s="19" t="str">
        <x:v>KZT</x:v>
      </x:c>
      <x:c r="M1083" s="22"/>
      <x:c r="N1083" s="22"/>
      <x:c r="O1083" s="28"/>
      <x:c r="P1083" s="22"/>
      <x:c r="Q1083" s="22"/>
      <x:c r="R1083" s="28"/>
      <x:c r="S1083" s="22"/>
      <x:c r="T1083" s="37" t="n">
        <x:f>K1083</x:f>
        <x:v>24</x:v>
      </x:c>
      <x:c r="U1083" s="21" t="str">
        <x:f>IF(J1083="Рассчитано",N1083*(1-O1083/100),"н/д")</x:f>
        <x:v>н/д</x:v>
      </x:c>
      <x:c r="V1083" s="21" t="str">
        <x:f>IF(J1083="Рассчитано",T1083*U1083,"н/д")</x:f>
        <x:v>н/д</x:v>
      </x:c>
      <x:c r="W1083" s="21" t="str">
        <x:f>IF(J1083="Рассчитано",T1083*M1083,"н/д")</x:f>
        <x:v>н/д</x:v>
      </x:c>
      <x:c r="X1083" s="21" t="str">
        <x:f>IF(J1083="Рассчитано",V1083-W1083,"н/д")</x:f>
        <x:v>н/д</x:v>
      </x:c>
      <x:c r="Y1083" s="27" t="str">
        <x:f>IF(J1083="Рассчитано",IF(V1083&gt;0,G1083/V1083,"н/д"),"н/д")</x:f>
        <x:v>н/д</x:v>
      </x:c>
      <x:c r="Z1083" s="21" t="str">
        <x:f>"н/д"</x:f>
        <x:v>н/д</x:v>
      </x:c>
      <x:c r="AA1083" s="21" t="str">
        <x:f>"н/д"</x:f>
        <x:v>н/д</x:v>
      </x:c>
      <x:c r="AB1083" s="21" t="str">
        <x:f>"н/д"</x:f>
        <x:v>н/д</x:v>
      </x:c>
      <x:c r="AC1083" s="21" t="str">
        <x:f>IF(AND(J1083="Рассчитано",T1083&gt;0,R1083&lt;100),(W1083+P1083+Q1083)/(T1083*(1-R1083/100)),"н/д")</x:f>
        <x:v>н/д</x:v>
      </x:c>
      <x:c r="AD1083" s="10" t="str">
        <x:f>IF(ISNUMBER(G1083),IF(G1083&lt;0,"Убыток",IF(G1083=0,"Без прибыли","Прибыль &gt; 0")),"Не оценён")</x:f>
        <x:v>Не оценён</x:v>
      </x:c>
      <x:c r="AE1083" s="13" t="str">
        <x:f>IF(J1083="Рассчитано","Выручка "&amp;TEXT(V1083,"0.00")&amp;" - себестоимость "&amp;TEXT(W1083,"0.00")&amp;" - комиссия "&amp;TEXT(V1083*R1083/100,"0.00")&amp;" - доставка "&amp;TEXT(P1083,"0.00")&amp;" - прочие "&amp;TEXT(Q1083,"0.00")&amp;" = "&amp;TEXT(G1083,"0.00")&amp;" "&amp;L1083,"Введите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3" s="24" t="n">
        <x:v>20.47575892522833</x:v>
      </x:c>
      <x:c r="AG1083" s="37" t="n">
        <x:v>45</x:v>
      </x:c>
      <x:c r="AH1083" s="37" t="n">
        <x:v>0</x:v>
      </x:c>
      <x:c r="AI1083" s="30" t="n">
        <x:v>46266</x:v>
      </x:c>
      <x:c r="AJ1083" s="37" t="n">
        <x:v>11</x:v>
      </x:c>
      <x:c r="AK1083" s="10" t="str">
        <x:v>минимум</x:v>
      </x:c>
      <x:c r="AL1083" s="32" t="n">
        <x:v>186.8923609439857</x:v>
      </x:c>
      <x:c r="AM10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83" s="13" t="str">
        <x:v>Проверить свободный остаток и установить цену для B2B</x:v>
      </x:c>
      <x:c r="AO1083" s="13" t="str">
        <x:v>Остаток 45; прогноз 90 дней 20.48; избыток 24 шт. Будущие поступления не выставляются на продажу. Остаток на начало сентября: требуется актуализация.</x:v>
      </x:c>
      <x:c r="AP1083" s="13" t="str">
        <x:v>["category_missing", "daily_stockout_data_missing", "new_order_lead_time_unknown", "reservations_unknown", "stale_stock"]</x:v>
      </x:c>
      <x:c r="AQ1083" s="10" t="str">
        <x:v>IEK:280200031_</x:v>
      </x:c>
      <x:c r="AR1083" s="24" t="n">
        <x:v>1</x:v>
      </x:c>
      <x:c r="AS1083" s="24" t="n">
        <x:v>0</x:v>
      </x:c>
      <x:c r="AT1083" s="24" t="n">
        <x:v>0</x:v>
      </x:c>
    </x:row>
    <x:row r="1084" ht="64" customHeight="1">
      <x:c r="A1084" s="11" t="str">
        <x:v>IEK</x:v>
      </x:c>
      <x:c r="B1084" s="33" t="str">
        <x:v>280200033_</x:v>
      </x:c>
      <x:c r="C1084" s="33" t="str">
        <x:v>CKMP10D-N-015-010-K01</x:v>
      </x:c>
      <x:c r="D1084" s="12" t="str">
        <x:v>Внешний угол КМН 15х10 Белый ЭЛЕКОР IEK (4)</x:v>
      </x:c>
      <x:c r="E1084" s="11" t="str">
        <x:v>шт</x:v>
      </x:c>
      <x:c r="F1084" s="35" t="n">
        <x:f>MAX(0,ROUNDDOWN((AG1084-AF1084)/AR1084+0.000000001,0)*AR1084)</x:f>
        <x:v>111</x:v>
      </x:c>
      <x:c r="G1084" s="20" t="str">
        <x:f>IF(J1084="Рассчитано",V1084*(1-R1084/100)-W1084-P1084-Q1084,"н/д")</x:f>
        <x:v>н/д</x:v>
      </x:c>
      <x:c r="H1084" s="12" t="str">
        <x:v>Высокий</x:v>
      </x:c>
      <x:c r="I1084" s="12" t="str">
        <x:v>Высокий</x:v>
      </x:c>
      <x:c r="J1084" s="12" t="str">
        <x:f>IF(L1084="","Укажите валюту",IF(NOT(ISNUMBER(K1084)),"Укажите объём",IF(K1084&lt;=0,"Укажите объём",IF(K1084&gt;F1084,"Объём выше излишка",IF(COUNT(M1084:O1084)&lt;3,"Нужны цены",IF(COUNT(P1084:R1084)&lt;3,"Нужны расходы",IF(OR(M1084&lt;0,N1084&lt;0,O1084&lt;0,O1084&gt;100,P1084&lt;0,Q1084&lt;0,R1084&lt;0,R1084&gt;100),"Проверьте значения","Рассчитано")))))))</x:f>
        <x:v>Нужны цены</x:v>
      </x:c>
      <x:c r="K1084" s="36" t="n">
        <x:v>111</x:v>
      </x:c>
      <x:c r="L1084" s="19" t="str">
        <x:v>KZT</x:v>
      </x:c>
      <x:c r="M1084" s="22"/>
      <x:c r="N1084" s="22"/>
      <x:c r="O1084" s="28"/>
      <x:c r="P1084" s="22"/>
      <x:c r="Q1084" s="22"/>
      <x:c r="R1084" s="28"/>
      <x:c r="S1084" s="22"/>
      <x:c r="T1084" s="35" t="n">
        <x:f>K1084</x:f>
        <x:v>111</x:v>
      </x:c>
      <x:c r="U1084" s="20" t="str">
        <x:f>IF(J1084="Рассчитано",N1084*(1-O1084/100),"н/д")</x:f>
        <x:v>н/д</x:v>
      </x:c>
      <x:c r="V1084" s="20" t="str">
        <x:f>IF(J1084="Рассчитано",T1084*U1084,"н/д")</x:f>
        <x:v>н/д</x:v>
      </x:c>
      <x:c r="W1084" s="20" t="str">
        <x:f>IF(J1084="Рассчитано",T1084*M1084,"н/д")</x:f>
        <x:v>н/д</x:v>
      </x:c>
      <x:c r="X1084" s="20" t="str">
        <x:f>IF(J1084="Рассчитано",V1084-W1084,"н/д")</x:f>
        <x:v>н/д</x:v>
      </x:c>
      <x:c r="Y1084" s="26" t="str">
        <x:f>IF(J1084="Рассчитано",IF(V1084&gt;0,G1084/V1084,"н/д"),"н/д")</x:f>
        <x:v>н/д</x:v>
      </x:c>
      <x:c r="Z1084" s="20" t="str">
        <x:f>"н/д"</x:f>
        <x:v>н/д</x:v>
      </x:c>
      <x:c r="AA1084" s="20" t="str">
        <x:f>"н/д"</x:f>
        <x:v>н/д</x:v>
      </x:c>
      <x:c r="AB1084" s="20" t="str">
        <x:f>"н/д"</x:f>
        <x:v>н/д</x:v>
      </x:c>
      <x:c r="AC1084" s="20" t="str">
        <x:f>IF(AND(J1084="Рассчитано",T1084&gt;0,R1084&lt;100),(W1084+P1084+Q1084)/(T1084*(1-R1084/100)),"н/д")</x:f>
        <x:v>н/д</x:v>
      </x:c>
      <x:c r="AD1084" s="11" t="str">
        <x:f>IF(ISNUMBER(G1084),IF(G1084&lt;0,"Убыток",IF(G1084=0,"Без прибыли","Прибыль &gt; 0")),"Не оценён")</x:f>
        <x:v>Не оценён</x:v>
      </x:c>
      <x:c r="AE1084" s="12" t="str">
        <x:f>IF(J1084="Рассчитано","Выручка "&amp;TEXT(V1084,"0.00")&amp;" - себестоимость "&amp;TEXT(W1084,"0.00")&amp;" - комиссия "&amp;TEXT(V1084*R1084/100,"0.00")&amp;" - доставка "&amp;TEXT(P1084,"0.00")&amp;" - прочие "&amp;TEXT(Q1084,"0.00")&amp;" = "&amp;TEXT(G1084,"0.00")&amp;" "&amp;L1084,"Введите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4" s="23" t="n">
        <x:v>39.43899652728362</x:v>
      </x:c>
      <x:c r="AG1084" s="35" t="n">
        <x:v>151</x:v>
      </x:c>
      <x:c r="AH1084" s="35" t="n">
        <x:v>0</x:v>
      </x:c>
      <x:c r="AI1084" s="29" t="n">
        <x:v>46266</x:v>
      </x:c>
      <x:c r="AJ1084" s="35" t="n">
        <x:v>1</x:v>
      </x:c>
      <x:c r="AK1084" s="11" t="str">
        <x:v>минимум</x:v>
      </x:c>
      <x:c r="AL1084" s="31" t="n">
        <x:v>325.58930835895467</x:v>
      </x:c>
      <x:c r="AM108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84" s="12" t="str">
        <x:v>Проверить свободный остаток и установить цену для B2B</x:v>
      </x:c>
      <x:c r="AO1084" s="12" t="str">
        <x:v>Остаток 151; прогноз 90 дней 39.44; избыток 111 шт. Будущие поступления не выставляются на продажу. Остаток на начало сентября: требуется актуализация.</x:v>
      </x:c>
      <x:c r="AP1084" s="12" t="str">
        <x:v>["category_missing", "daily_stockout_data_missing", "new_order_lead_time_unknown", "reservations_unknown", "stale_stock"]</x:v>
      </x:c>
      <x:c r="AQ1084" s="11" t="str">
        <x:v>IEK:280200033_</x:v>
      </x:c>
      <x:c r="AR1084" s="23" t="n">
        <x:v>1</x:v>
      </x:c>
      <x:c r="AS1084" s="23" t="n">
        <x:v>0</x:v>
      </x:c>
      <x:c r="AT1084" s="23" t="n">
        <x:v>0</x:v>
      </x:c>
    </x:row>
    <x:row r="1085" ht="64" customHeight="1">
      <x:c r="A1085" s="10" t="str">
        <x:v>IEK</x:v>
      </x:c>
      <x:c r="B1085" s="34" t="str">
        <x:v>280200034_</x:v>
      </x:c>
      <x:c r="C1085" s="34" t="str">
        <x:v>CKMP10D-N-016-016-K01</x:v>
      </x:c>
      <x:c r="D1085" s="13" t="str">
        <x:v>Внешний угол КМН 16х16 Белый ЭЛЕКОР IEK (4)</x:v>
      </x:c>
      <x:c r="E1085" s="10" t="str">
        <x:v>шт</x:v>
      </x:c>
      <x:c r="F1085" s="37" t="n">
        <x:f>MAX(0,ROUNDDOWN((AG1085-AF1085)/AR1085+0.000000001,0)*AR1085)</x:f>
        <x:v>15</x:v>
      </x:c>
      <x:c r="G1085" s="21" t="str">
        <x:f>IF(J1085="Рассчитано",V1085*(1-R1085/100)-W1085-P1085-Q1085,"н/д")</x:f>
        <x:v>н/д</x:v>
      </x:c>
      <x:c r="H1085" s="13" t="str">
        <x:v>Высокий</x:v>
      </x:c>
      <x:c r="I1085" s="13" t="str">
        <x:v>Средний</x:v>
      </x:c>
      <x:c r="J1085" s="13" t="str">
        <x:f>IF(L1085="","Укажите валюту",IF(NOT(ISNUMBER(K1085)),"Укажите объём",IF(K1085&lt;=0,"Укажите объём",IF(K1085&gt;F1085,"Объём выше излишка",IF(COUNT(M1085:O1085)&lt;3,"Нужны цены",IF(COUNT(P1085:R1085)&lt;3,"Нужны расходы",IF(OR(M1085&lt;0,N1085&lt;0,O1085&lt;0,O1085&gt;100,P1085&lt;0,Q1085&lt;0,R1085&lt;0,R1085&gt;100),"Проверьте значения","Рассчитано")))))))</x:f>
        <x:v>Нужны цены</x:v>
      </x:c>
      <x:c r="K1085" s="36" t="n">
        <x:v>15</x:v>
      </x:c>
      <x:c r="L1085" s="19" t="str">
        <x:v>KZT</x:v>
      </x:c>
      <x:c r="M1085" s="22"/>
      <x:c r="N1085" s="22"/>
      <x:c r="O1085" s="28"/>
      <x:c r="P1085" s="22"/>
      <x:c r="Q1085" s="22"/>
      <x:c r="R1085" s="28"/>
      <x:c r="S1085" s="22"/>
      <x:c r="T1085" s="37" t="n">
        <x:f>K1085</x:f>
        <x:v>15</x:v>
      </x:c>
      <x:c r="U1085" s="21" t="str">
        <x:f>IF(J1085="Рассчитано",N1085*(1-O1085/100),"н/д")</x:f>
        <x:v>н/д</x:v>
      </x:c>
      <x:c r="V1085" s="21" t="str">
        <x:f>IF(J1085="Рассчитано",T1085*U1085,"н/д")</x:f>
        <x:v>н/д</x:v>
      </x:c>
      <x:c r="W1085" s="21" t="str">
        <x:f>IF(J1085="Рассчитано",T1085*M1085,"н/д")</x:f>
        <x:v>н/д</x:v>
      </x:c>
      <x:c r="X1085" s="21" t="str">
        <x:f>IF(J1085="Рассчитано",V1085-W1085,"н/д")</x:f>
        <x:v>н/д</x:v>
      </x:c>
      <x:c r="Y1085" s="27" t="str">
        <x:f>IF(J1085="Рассчитано",IF(V1085&gt;0,G1085/V1085,"н/д"),"н/д")</x:f>
        <x:v>н/д</x:v>
      </x:c>
      <x:c r="Z1085" s="21" t="str">
        <x:f>"н/д"</x:f>
        <x:v>н/д</x:v>
      </x:c>
      <x:c r="AA1085" s="21" t="str">
        <x:f>"н/д"</x:f>
        <x:v>н/д</x:v>
      </x:c>
      <x:c r="AB1085" s="21" t="str">
        <x:f>"н/д"</x:f>
        <x:v>н/д</x:v>
      </x:c>
      <x:c r="AC1085" s="21" t="str">
        <x:f>IF(AND(J1085="Рассчитано",T1085&gt;0,R1085&lt;100),(W1085+P1085+Q1085)/(T1085*(1-R1085/100)),"н/д")</x:f>
        <x:v>н/д</x:v>
      </x:c>
      <x:c r="AD1085" s="10" t="str">
        <x:f>IF(ISNUMBER(G1085),IF(G1085&lt;0,"Убыток",IF(G1085=0,"Без прибыли","Прибыль &gt; 0")),"Не оценён")</x:f>
        <x:v>Не оценён</x:v>
      </x:c>
      <x:c r="AE1085" s="13" t="str">
        <x:f>IF(J1085="Рассчитано","Выручка "&amp;TEXT(V1085,"0.00")&amp;" - себестоимость "&amp;TEXT(W1085,"0.00")&amp;" - комиссия "&amp;TEXT(V1085*R1085/100,"0.00")&amp;" - доставка "&amp;TEXT(P1085,"0.00")&amp;" - прочие "&amp;TEXT(Q1085,"0.00")&amp;" = "&amp;TEXT(G1085,"0.00")&amp;" "&amp;L1085,"Введите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5" s="24" t="n">
        <x:v>111.85246269979292</x:v>
      </x:c>
      <x:c r="AG1085" s="37" t="n">
        <x:v>127</x:v>
      </x:c>
      <x:c r="AH1085" s="37" t="n">
        <x:v>0</x:v>
      </x:c>
      <x:c r="AI1085" s="30" t="n">
        <x:v>46266</x:v>
      </x:c>
      <x:c r="AJ1085" s="37" t="n">
        <x:v>1</x:v>
      </x:c>
      <x:c r="AK1085" s="10" t="str">
        <x:v>минимум</x:v>
      </x:c>
      <x:c r="AL1085" s="32" t="n">
        <x:v>96.55554390959662</x:v>
      </x:c>
      <x:c r="AM1085" s="13" t="str">
        <x:v>Остаток на начало сентября; Резервы неизвестны; Нет ежедневных данных доступности. Запас выше прогноза на 90 дней</x:v>
      </x:c>
      <x:c r="AN1085" s="13" t="str">
        <x:v>Проверить свободный остаток и установить цену для B2B</x:v>
      </x:c>
      <x:c r="AO1085" s="13" t="str">
        <x:v>Остаток 127; прогноз 90 дней 111.85; избыток 15 шт. Будущие поступления не выставляются на продажу. Остаток на начало сентября: требуется актуализация.</x:v>
      </x:c>
      <x:c r="AP1085" s="13" t="str">
        <x:v>["category_missing", "daily_stockout_data_missing", "negative_net_sales_clipped_for_forecast", "new_order_lead_time_unknown", "reservations_unknown", "stale_stock"]</x:v>
      </x:c>
      <x:c r="AQ1085" s="10" t="str">
        <x:v>IEK:280200034_</x:v>
      </x:c>
      <x:c r="AR1085" s="24" t="n">
        <x:v>1</x:v>
      </x:c>
      <x:c r="AS1085" s="24" t="n">
        <x:v>0</x:v>
      </x:c>
      <x:c r="AT1085" s="24" t="n">
        <x:v>0</x:v>
      </x:c>
    </x:row>
    <x:row r="1086" ht="64" customHeight="1">
      <x:c r="A1086" s="11" t="str">
        <x:v>IEK</x:v>
      </x:c>
      <x:c r="B1086" s="33" t="str">
        <x:v>280200035_</x:v>
      </x:c>
      <x:c r="C1086" s="33" t="str">
        <x:v>CKMP10D-N-020-010-K01</x:v>
      </x:c>
      <x:c r="D1086" s="12" t="str">
        <x:v>Внешний угол КМН 20х10 Белый ЭЛЕКОР IEK (4)</x:v>
      </x:c>
      <x:c r="E1086" s="11" t="str">
        <x:v>шт</x:v>
      </x:c>
      <x:c r="F1086" s="35" t="n">
        <x:f>MAX(0,ROUNDDOWN((AG1086-AF1086)/AR1086+0.000000001,0)*AR1086)</x:f>
        <x:v>82</x:v>
      </x:c>
      <x:c r="G1086" s="20" t="str">
        <x:f>IF(J1086="Рассчитано",V1086*(1-R1086/100)-W1086-P1086-Q1086,"н/д")</x:f>
        <x:v>н/д</x:v>
      </x:c>
      <x:c r="H1086" s="12" t="str">
        <x:v>Высокий</x:v>
      </x:c>
      <x:c r="I1086" s="12" t="str">
        <x:v>Высокий</x:v>
      </x:c>
      <x:c r="J1086" s="12" t="str">
        <x:f>IF(L1086="","Укажите валюту",IF(NOT(ISNUMBER(K1086)),"Укажите объём",IF(K1086&lt;=0,"Укажите объём",IF(K1086&gt;F1086,"Объём выше излишка",IF(COUNT(M1086:O1086)&lt;3,"Нужны цены",IF(COUNT(P1086:R1086)&lt;3,"Нужны расходы",IF(OR(M1086&lt;0,N1086&lt;0,O1086&lt;0,O1086&gt;100,P1086&lt;0,Q1086&lt;0,R1086&lt;0,R1086&gt;100),"Проверьте значения","Рассчитано")))))))</x:f>
        <x:v>Нужны цены</x:v>
      </x:c>
      <x:c r="K1086" s="36" t="n">
        <x:v>82</x:v>
      </x:c>
      <x:c r="L1086" s="19" t="str">
        <x:v>KZT</x:v>
      </x:c>
      <x:c r="M1086" s="22"/>
      <x:c r="N1086" s="22"/>
      <x:c r="O1086" s="28"/>
      <x:c r="P1086" s="22"/>
      <x:c r="Q1086" s="22"/>
      <x:c r="R1086" s="28"/>
      <x:c r="S1086" s="22"/>
      <x:c r="T1086" s="35" t="n">
        <x:f>K1086</x:f>
        <x:v>82</x:v>
      </x:c>
      <x:c r="U1086" s="20" t="str">
        <x:f>IF(J1086="Рассчитано",N1086*(1-O1086/100),"н/д")</x:f>
        <x:v>н/д</x:v>
      </x:c>
      <x:c r="V1086" s="20" t="str">
        <x:f>IF(J1086="Рассчитано",T1086*U1086,"н/д")</x:f>
        <x:v>н/д</x:v>
      </x:c>
      <x:c r="W1086" s="20" t="str">
        <x:f>IF(J1086="Рассчитано",T1086*M1086,"н/д")</x:f>
        <x:v>н/д</x:v>
      </x:c>
      <x:c r="X1086" s="20" t="str">
        <x:f>IF(J1086="Рассчитано",V1086-W1086,"н/д")</x:f>
        <x:v>н/д</x:v>
      </x:c>
      <x:c r="Y1086" s="26" t="str">
        <x:f>IF(J1086="Рассчитано",IF(V1086&gt;0,G1086/V1086,"н/д"),"н/д")</x:f>
        <x:v>н/д</x:v>
      </x:c>
      <x:c r="Z1086" s="20" t="str">
        <x:f>"н/д"</x:f>
        <x:v>н/д</x:v>
      </x:c>
      <x:c r="AA1086" s="20" t="str">
        <x:f>"н/д"</x:f>
        <x:v>н/д</x:v>
      </x:c>
      <x:c r="AB1086" s="20" t="str">
        <x:f>"н/д"</x:f>
        <x:v>н/д</x:v>
      </x:c>
      <x:c r="AC1086" s="20" t="str">
        <x:f>IF(AND(J1086="Рассчитано",T1086&gt;0,R1086&lt;100),(W1086+P1086+Q1086)/(T1086*(1-R1086/100)),"н/д")</x:f>
        <x:v>н/д</x:v>
      </x:c>
      <x:c r="AD1086" s="11" t="str">
        <x:f>IF(ISNUMBER(G1086),IF(G1086&lt;0,"Убыток",IF(G1086=0,"Без прибыли","Прибыль &gt; 0")),"Не оценён")</x:f>
        <x:v>Не оценён</x:v>
      </x:c>
      <x:c r="AE1086" s="12" t="str">
        <x:f>IF(J1086="Рассчитано","Выручка "&amp;TEXT(V1086,"0.00")&amp;" - себестоимость "&amp;TEXT(W1086,"0.00")&amp;" - комиссия "&amp;TEXT(V1086*R1086/100,"0.00")&amp;" - доставка "&amp;TEXT(P1086,"0.00")&amp;" - прочие "&amp;TEXT(Q1086,"0.00")&amp;" = "&amp;TEXT(G1086,"0.00")&amp;" "&amp;L1086,"Введите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6" s="23" t="n">
        <x:v>73.29632845327339</x:v>
      </x:c>
      <x:c r="AG1086" s="35" t="n">
        <x:v>156</x:v>
      </x:c>
      <x:c r="AH1086" s="35" t="n">
        <x:v>0</x:v>
      </x:c>
      <x:c r="AI1086" s="29" t="n">
        <x:v>46266</x:v>
      </x:c>
      <x:c r="AJ1086" s="35" t="n">
        <x:v>1</x:v>
      </x:c>
      <x:c r="AK1086" s="11" t="str">
        <x:v>минимум</x:v>
      </x:c>
      <x:c r="AL1086" s="31" t="n">
        <x:v>180.99285138132555</x:v>
      </x:c>
      <x:c r="AM108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86" s="12" t="str">
        <x:v>Проверить свободный остаток и установить цену для B2B</x:v>
      </x:c>
      <x:c r="AO1086" s="12" t="str">
        <x:v>Остаток 156; прогноз 90 дней 73.30; избыток 82 шт. Будущие поступления не выставляются на продажу. Остаток на начало сентября: требуется актуализация.</x:v>
      </x:c>
      <x:c r="AP1086" s="12" t="str">
        <x:v>["category_missing", "daily_stockout_data_missing", "new_order_lead_time_unknown", "reservations_unknown", "stale_stock"]</x:v>
      </x:c>
      <x:c r="AQ1086" s="11" t="str">
        <x:v>IEK:280200035_</x:v>
      </x:c>
      <x:c r="AR1086" s="23" t="n">
        <x:v>1</x:v>
      </x:c>
      <x:c r="AS1086" s="23" t="n">
        <x:v>0</x:v>
      </x:c>
      <x:c r="AT1086" s="23" t="n">
        <x:v>0</x:v>
      </x:c>
    </x:row>
    <x:row r="1087" ht="64" customHeight="1">
      <x:c r="A1087" s="10" t="str">
        <x:v>IEK</x:v>
      </x:c>
      <x:c r="B1087" s="34" t="str">
        <x:v>280200039_</x:v>
      </x:c>
      <x:c r="C1087" s="34" t="str">
        <x:v>CKMP10D-V-020-010-K01</x:v>
      </x:c>
      <x:c r="D1087" s="13" t="str">
        <x:v>Внутренний угол КМВ 20х10 Белый ЭЛЕКОР IEK (4)</x:v>
      </x:c>
      <x:c r="E1087" s="10" t="str">
        <x:v>шт</x:v>
      </x:c>
      <x:c r="F1087" s="37" t="n">
        <x:f>MAX(0,ROUNDDOWN((AG1087-AF1087)/AR1087+0.000000001,0)*AR1087)</x:f>
        <x:v>24</x:v>
      </x:c>
      <x:c r="G1087" s="21" t="str">
        <x:f>IF(J1087="Рассчитано",V1087*(1-R1087/100)-W1087-P1087-Q1087,"н/д")</x:f>
        <x:v>н/д</x:v>
      </x:c>
      <x:c r="H1087" s="13" t="str">
        <x:v>Высокий</x:v>
      </x:c>
      <x:c r="I1087" s="13" t="str">
        <x:v>Средний</x:v>
      </x:c>
      <x:c r="J1087" s="13" t="str">
        <x:f>IF(L1087="","Укажите валюту",IF(NOT(ISNUMBER(K1087)),"Укажите объём",IF(K1087&lt;=0,"Укажите объём",IF(K1087&gt;F1087,"Объём выше излишка",IF(COUNT(M1087:O1087)&lt;3,"Нужны цены",IF(COUNT(P1087:R1087)&lt;3,"Нужны расходы",IF(OR(M1087&lt;0,N1087&lt;0,O1087&lt;0,O1087&gt;100,P1087&lt;0,Q1087&lt;0,R1087&lt;0,R1087&gt;100),"Проверьте значения","Рассчитано")))))))</x:f>
        <x:v>Нужны цены</x:v>
      </x:c>
      <x:c r="K1087" s="36" t="n">
        <x:v>24</x:v>
      </x:c>
      <x:c r="L1087" s="19" t="str">
        <x:v>KZT</x:v>
      </x:c>
      <x:c r="M1087" s="22"/>
      <x:c r="N1087" s="22"/>
      <x:c r="O1087" s="28"/>
      <x:c r="P1087" s="22"/>
      <x:c r="Q1087" s="22"/>
      <x:c r="R1087" s="28"/>
      <x:c r="S1087" s="22"/>
      <x:c r="T1087" s="37" t="n">
        <x:f>K1087</x:f>
        <x:v>24</x:v>
      </x:c>
      <x:c r="U1087" s="21" t="str">
        <x:f>IF(J1087="Рассчитано",N1087*(1-O1087/100),"н/д")</x:f>
        <x:v>н/д</x:v>
      </x:c>
      <x:c r="V1087" s="21" t="str">
        <x:f>IF(J1087="Рассчитано",T1087*U1087,"н/д")</x:f>
        <x:v>н/д</x:v>
      </x:c>
      <x:c r="W1087" s="21" t="str">
        <x:f>IF(J1087="Рассчитано",T1087*M1087,"н/д")</x:f>
        <x:v>н/д</x:v>
      </x:c>
      <x:c r="X1087" s="21" t="str">
        <x:f>IF(J1087="Рассчитано",V1087-W1087,"н/д")</x:f>
        <x:v>н/д</x:v>
      </x:c>
      <x:c r="Y1087" s="27" t="str">
        <x:f>IF(J1087="Рассчитано",IF(V1087&gt;0,G1087/V1087,"н/д"),"н/д")</x:f>
        <x:v>н/д</x:v>
      </x:c>
      <x:c r="Z1087" s="21" t="str">
        <x:f>"н/д"</x:f>
        <x:v>н/д</x:v>
      </x:c>
      <x:c r="AA1087" s="21" t="str">
        <x:f>"н/д"</x:f>
        <x:v>н/д</x:v>
      </x:c>
      <x:c r="AB1087" s="21" t="str">
        <x:f>"н/д"</x:f>
        <x:v>н/д</x:v>
      </x:c>
      <x:c r="AC1087" s="21" t="str">
        <x:f>IF(AND(J1087="Рассчитано",T1087&gt;0,R1087&lt;100),(W1087+P1087+Q1087)/(T1087*(1-R1087/100)),"н/д")</x:f>
        <x:v>н/д</x:v>
      </x:c>
      <x:c r="AD1087" s="10" t="str">
        <x:f>IF(ISNUMBER(G1087),IF(G1087&lt;0,"Убыток",IF(G1087=0,"Без прибыли","Прибыль &gt; 0")),"Не оценён")</x:f>
        <x:v>Не оценён</x:v>
      </x:c>
      <x:c r="AE1087" s="13" t="str">
        <x:f>IF(J1087="Рассчитано","Выручка "&amp;TEXT(V1087,"0.00")&amp;" - себестоимость "&amp;TEXT(W1087,"0.00")&amp;" - комиссия "&amp;TEXT(V1087*R1087/100,"0.00")&amp;" - доставка "&amp;TEXT(P1087,"0.00")&amp;" - прочие "&amp;TEXT(Q1087,"0.00")&amp;" = "&amp;TEXT(G1087,"0.00")&amp;" "&amp;L1087,"Введите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7" s="24" t="n">
        <x:v>88.02156858089455</x:v>
      </x:c>
      <x:c r="AG1087" s="37" t="n">
        <x:v>113</x:v>
      </x:c>
      <x:c r="AH1087" s="37" t="n">
        <x:v>0</x:v>
      </x:c>
      <x:c r="AI1087" s="30" t="n">
        <x:v>46266</x:v>
      </x:c>
      <x:c r="AJ1087" s="37" t="n">
        <x:v>1</x:v>
      </x:c>
      <x:c r="AK1087" s="10" t="str">
        <x:v>минимум</x:v>
      </x:c>
      <x:c r="AL1087" s="32" t="n">
        <x:v>109.17127542885399</x:v>
      </x:c>
      <x:c r="AM1087" s="13" t="str">
        <x:v>Остаток на начало сентября; Резервы неизвестны; Нет ежедневных данных доступности. Запас выше прогноза на 90 дней</x:v>
      </x:c>
      <x:c r="AN1087" s="13" t="str">
        <x:v>Проверить свободный остаток и установить цену для B2B</x:v>
      </x:c>
      <x:c r="AO1087" s="13" t="str">
        <x:v>Остаток 113; прогноз 90 дней 88.02; избыток 24 шт. Будущие поступления не выставляются на продажу. Остаток на начало сентября: требуется актуализация.</x:v>
      </x:c>
      <x:c r="AP1087" s="13" t="str">
        <x:v>["category_missing", "daily_stockout_data_missing", "new_order_lead_time_unknown", "reservations_unknown", "stale_stock"]</x:v>
      </x:c>
      <x:c r="AQ1087" s="10" t="str">
        <x:v>IEK:280200039_</x:v>
      </x:c>
      <x:c r="AR1087" s="24" t="n">
        <x:v>1</x:v>
      </x:c>
      <x:c r="AS1087" s="24" t="n">
        <x:v>0</x:v>
      </x:c>
      <x:c r="AT1087" s="24" t="n">
        <x:v>0</x:v>
      </x:c>
    </x:row>
    <x:row r="1088" ht="64" customHeight="1">
      <x:c r="A1088" s="11" t="str">
        <x:v>IEK</x:v>
      </x:c>
      <x:c r="B1088" s="33" t="str">
        <x:v>280200040_</x:v>
      </x:c>
      <x:c r="C1088" s="33" t="str">
        <x:v>CKMP10D-V-040-016-K01</x:v>
      </x:c>
      <x:c r="D1088" s="12" t="str">
        <x:v>Внутренний угол КМВ 40х16 Белый ЭЛЕКОР IEK (4)</x:v>
      </x:c>
      <x:c r="E1088" s="11" t="str">
        <x:v>шт</x:v>
      </x:c>
      <x:c r="F1088" s="35" t="n">
        <x:f>MAX(0,ROUNDDOWN((AG1088-AF1088)/AR1088+0.000000001,0)*AR1088)</x:f>
        <x:v>212</x:v>
      </x:c>
      <x:c r="G1088" s="20" t="str">
        <x:f>IF(J1088="Рассчитано",V1088*(1-R1088/100)-W1088-P1088-Q1088,"н/д")</x:f>
        <x:v>н/д</x:v>
      </x:c>
      <x:c r="H1088" s="12" t="str">
        <x:v>Высокий</x:v>
      </x:c>
      <x:c r="I1088" s="12" t="str">
        <x:v>Высокий</x:v>
      </x:c>
      <x:c r="J1088" s="12" t="str">
        <x:f>IF(L1088="","Укажите валюту",IF(NOT(ISNUMBER(K1088)),"Укажите объём",IF(K1088&lt;=0,"Укажите объём",IF(K1088&gt;F1088,"Объём выше излишка",IF(COUNT(M1088:O1088)&lt;3,"Нужны цены",IF(COUNT(P1088:R1088)&lt;3,"Нужны расходы",IF(OR(M1088&lt;0,N1088&lt;0,O1088&lt;0,O1088&gt;100,P1088&lt;0,Q1088&lt;0,R1088&lt;0,R1088&gt;100),"Проверьте значения","Рассчитано")))))))</x:f>
        <x:v>Нужны цены</x:v>
      </x:c>
      <x:c r="K1088" s="36" t="n">
        <x:v>212</x:v>
      </x:c>
      <x:c r="L1088" s="19" t="str">
        <x:v>KZT</x:v>
      </x:c>
      <x:c r="M1088" s="22"/>
      <x:c r="N1088" s="22"/>
      <x:c r="O1088" s="28"/>
      <x:c r="P1088" s="22"/>
      <x:c r="Q1088" s="22"/>
      <x:c r="R1088" s="28"/>
      <x:c r="S1088" s="22"/>
      <x:c r="T1088" s="35" t="n">
        <x:f>K1088</x:f>
        <x:v>212</x:v>
      </x:c>
      <x:c r="U1088" s="20" t="str">
        <x:f>IF(J1088="Рассчитано",N1088*(1-O1088/100),"н/д")</x:f>
        <x:v>н/д</x:v>
      </x:c>
      <x:c r="V1088" s="20" t="str">
        <x:f>IF(J1088="Рассчитано",T1088*U1088,"н/д")</x:f>
        <x:v>н/д</x:v>
      </x:c>
      <x:c r="W1088" s="20" t="str">
        <x:f>IF(J1088="Рассчитано",T1088*M1088,"н/д")</x:f>
        <x:v>н/д</x:v>
      </x:c>
      <x:c r="X1088" s="20" t="str">
        <x:f>IF(J1088="Рассчитано",V1088-W1088,"н/д")</x:f>
        <x:v>н/д</x:v>
      </x:c>
      <x:c r="Y1088" s="26" t="str">
        <x:f>IF(J1088="Рассчитано",IF(V1088&gt;0,G1088/V1088,"н/д"),"н/д")</x:f>
        <x:v>н/д</x:v>
      </x:c>
      <x:c r="Z1088" s="20" t="str">
        <x:f>"н/д"</x:f>
        <x:v>н/д</x:v>
      </x:c>
      <x:c r="AA1088" s="20" t="str">
        <x:f>"н/д"</x:f>
        <x:v>н/д</x:v>
      </x:c>
      <x:c r="AB1088" s="20" t="str">
        <x:f>"н/д"</x:f>
        <x:v>н/д</x:v>
      </x:c>
      <x:c r="AC1088" s="20" t="str">
        <x:f>IF(AND(J1088="Рассчитано",T1088&gt;0,R1088&lt;100),(W1088+P1088+Q1088)/(T1088*(1-R1088/100)),"н/д")</x:f>
        <x:v>н/д</x:v>
      </x:c>
      <x:c r="AD1088" s="11" t="str">
        <x:f>IF(ISNUMBER(G1088),IF(G1088&lt;0,"Убыток",IF(G1088=0,"Без прибыли","Прибыль &gt; 0")),"Не оценён")</x:f>
        <x:v>Не оценён</x:v>
      </x:c>
      <x:c r="AE1088" s="12" t="str">
        <x:f>IF(J1088="Рассчитано","Выручка "&amp;TEXT(V1088,"0.00")&amp;" - себестоимость "&amp;TEXT(W1088,"0.00")&amp;" - комиссия "&amp;TEXT(V1088*R1088/100,"0.00")&amp;" - доставка "&amp;TEXT(P1088,"0.00")&amp;" - прочие "&amp;TEXT(Q1088,"0.00")&amp;" = "&amp;TEXT(G1088,"0.00")&amp;" "&amp;L1088,"Введите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8" s="23" t="n">
        <x:v>23.196131674994543</x:v>
      </x:c>
      <x:c r="AG1088" s="35" t="n">
        <x:v>236</x:v>
      </x:c>
      <x:c r="AH1088" s="35" t="n">
        <x:v>0</x:v>
      </x:c>
      <x:c r="AI1088" s="29" t="n">
        <x:v>46266</x:v>
      </x:c>
      <x:c r="AJ1088" s="35" t="n">
        <x:v>1</x:v>
      </x:c>
      <x:c r="AK1088" s="11" t="str">
        <x:v>минимум</x:v>
      </x:c>
      <x:c r="AL1088" s="31" t="n">
        <x:v>865.1979501299847</x:v>
      </x:c>
      <x:c r="AM108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88" s="12" t="str">
        <x:v>Проверить свободный остаток и установить цену для B2B</x:v>
      </x:c>
      <x:c r="AO1088" s="12" t="str">
        <x:v>Остаток 236; прогноз 90 дней 23.20; избыток 212 шт. Будущие поступления не выставляются на продажу. Остаток на начало сентября: требуется актуализация.</x:v>
      </x:c>
      <x:c r="AP1088" s="12" t="str">
        <x:v>["category_missing", "daily_stockout_data_missing", "large_orders_detected", "new_order_lead_time_unknown", "reservations_unknown", "stale_stock"]</x:v>
      </x:c>
      <x:c r="AQ1088" s="11" t="str">
        <x:v>IEK:280200040_</x:v>
      </x:c>
      <x:c r="AR1088" s="23" t="n">
        <x:v>1</x:v>
      </x:c>
      <x:c r="AS1088" s="23" t="n">
        <x:v>0</x:v>
      </x:c>
      <x:c r="AT1088" s="23" t="n">
        <x:v>0</x:v>
      </x:c>
    </x:row>
    <x:row r="1089" ht="64" customHeight="1">
      <x:c r="A1089" s="10" t="str">
        <x:v>IEK</x:v>
      </x:c>
      <x:c r="B1089" s="34" t="str">
        <x:v>280200041_</x:v>
      </x:c>
      <x:c r="C1089" s="34" t="str">
        <x:v>CKMP10D-V-040-025-K01</x:v>
      </x:c>
      <x:c r="D1089" s="13" t="str">
        <x:v>Внутренний угол КМВ 40х25 Белый ЭЛЕКОР IEK (4)</x:v>
      </x:c>
      <x:c r="E1089" s="10" t="str">
        <x:v>шт</x:v>
      </x:c>
      <x:c r="F1089" s="37" t="n">
        <x:f>MAX(0,ROUNDDOWN((AG1089-AF1089)/AR1089+0.000000001,0)*AR1089)</x:f>
        <x:v>101</x:v>
      </x:c>
      <x:c r="G1089" s="21" t="str">
        <x:f>IF(J1089="Рассчитано",V1089*(1-R1089/100)-W1089-P1089-Q1089,"н/д")</x:f>
        <x:v>н/д</x:v>
      </x:c>
      <x:c r="H1089" s="13" t="str">
        <x:v>Высокий</x:v>
      </x:c>
      <x:c r="I1089" s="13" t="str">
        <x:v>Средний</x:v>
      </x:c>
      <x:c r="J1089" s="13" t="str">
        <x:f>IF(L1089="","Укажите валюту",IF(NOT(ISNUMBER(K1089)),"Укажите объём",IF(K1089&lt;=0,"Укажите объём",IF(K1089&gt;F1089,"Объём выше излишка",IF(COUNT(M1089:O1089)&lt;3,"Нужны цены",IF(COUNT(P1089:R1089)&lt;3,"Нужны расходы",IF(OR(M1089&lt;0,N1089&lt;0,O1089&lt;0,O1089&gt;100,P1089&lt;0,Q1089&lt;0,R1089&lt;0,R1089&gt;100),"Проверьте значения","Рассчитано")))))))</x:f>
        <x:v>Нужны цены</x:v>
      </x:c>
      <x:c r="K1089" s="36" t="n">
        <x:v>101</x:v>
      </x:c>
      <x:c r="L1089" s="19" t="str">
        <x:v>KZT</x:v>
      </x:c>
      <x:c r="M1089" s="22"/>
      <x:c r="N1089" s="22"/>
      <x:c r="O1089" s="28"/>
      <x:c r="P1089" s="22"/>
      <x:c r="Q1089" s="22"/>
      <x:c r="R1089" s="28"/>
      <x:c r="S1089" s="22"/>
      <x:c r="T1089" s="37" t="n">
        <x:f>K1089</x:f>
        <x:v>101</x:v>
      </x:c>
      <x:c r="U1089" s="21" t="str">
        <x:f>IF(J1089="Рассчитано",N1089*(1-O1089/100),"н/д")</x:f>
        <x:v>н/д</x:v>
      </x:c>
      <x:c r="V1089" s="21" t="str">
        <x:f>IF(J1089="Рассчитано",T1089*U1089,"н/д")</x:f>
        <x:v>н/д</x:v>
      </x:c>
      <x:c r="W1089" s="21" t="str">
        <x:f>IF(J1089="Рассчитано",T1089*M1089,"н/д")</x:f>
        <x:v>н/д</x:v>
      </x:c>
      <x:c r="X1089" s="21" t="str">
        <x:f>IF(J1089="Рассчитано",V1089-W1089,"н/д")</x:f>
        <x:v>н/д</x:v>
      </x:c>
      <x:c r="Y1089" s="27" t="str">
        <x:f>IF(J1089="Рассчитано",IF(V1089&gt;0,G1089/V1089,"н/д"),"н/д")</x:f>
        <x:v>н/д</x:v>
      </x:c>
      <x:c r="Z1089" s="21" t="str">
        <x:f>"н/д"</x:f>
        <x:v>н/д</x:v>
      </x:c>
      <x:c r="AA1089" s="21" t="str">
        <x:f>"н/д"</x:f>
        <x:v>н/д</x:v>
      </x:c>
      <x:c r="AB1089" s="21" t="str">
        <x:f>"н/д"</x:f>
        <x:v>н/д</x:v>
      </x:c>
      <x:c r="AC1089" s="21" t="str">
        <x:f>IF(AND(J1089="Рассчитано",T1089&gt;0,R1089&lt;100),(W1089+P1089+Q1089)/(T1089*(1-R1089/100)),"н/д")</x:f>
        <x:v>н/д</x:v>
      </x:c>
      <x:c r="AD1089" s="10" t="str">
        <x:f>IF(ISNUMBER(G1089),IF(G1089&lt;0,"Убыток",IF(G1089=0,"Без прибыли","Прибыль &gt; 0")),"Не оценён")</x:f>
        <x:v>Не оценён</x:v>
      </x:c>
      <x:c r="AE1089" s="13" t="str">
        <x:f>IF(J1089="Рассчитано","Выручка "&amp;TEXT(V1089,"0.00")&amp;" - себестоимость "&amp;TEXT(W1089,"0.00")&amp;" - комиссия "&amp;TEXT(V1089*R1089/100,"0.00")&amp;" - доставка "&amp;TEXT(P1089,"0.00")&amp;" - прочие "&amp;TEXT(Q1089,"0.00")&amp;" = "&amp;TEXT(G1089,"0.00")&amp;" "&amp;L1089,"Введите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9" s="24" t="n">
        <x:v>365.59345052659114</x:v>
      </x:c>
      <x:c r="AG1089" s="37" t="n">
        <x:v>467</x:v>
      </x:c>
      <x:c r="AH1089" s="37" t="n">
        <x:v>0</x:v>
      </x:c>
      <x:c r="AI1089" s="30" t="n">
        <x:v>46266</x:v>
      </x:c>
      <x:c r="AJ1089" s="37" t="n">
        <x:v>1</x:v>
      </x:c>
      <x:c r="AK1089" s="10" t="str">
        <x:v>минимум</x:v>
      </x:c>
      <x:c r="AL1089" s="32" t="n">
        <x:v>108.62693304338</x:v>
      </x:c>
      <x:c r="AM108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89" s="13" t="str">
        <x:v>Проверить свободный остаток и установить цену для B2B</x:v>
      </x:c>
      <x:c r="AO1089" s="13" t="str">
        <x:v>Остаток 467; прогноз 90 дней 365.59; избыток 101 шт. Будущие поступления не выставляются на продажу. Остаток на начало сентября: требуется актуализация.</x:v>
      </x:c>
      <x:c r="AP1089" s="13" t="str">
        <x:v>["category_missing", "daily_stockout_data_missing", "large_orders_detected", "new_order_lead_time_unknown", "reservations_unknown", "stale_stock", "transaction_month_mismatch"]</x:v>
      </x:c>
      <x:c r="AQ1089" s="10" t="str">
        <x:v>IEK:280200041_</x:v>
      </x:c>
      <x:c r="AR1089" s="24" t="n">
        <x:v>1</x:v>
      </x:c>
      <x:c r="AS1089" s="24" t="n">
        <x:v>0</x:v>
      </x:c>
      <x:c r="AT1089" s="24" t="n">
        <x:v>0</x:v>
      </x:c>
    </x:row>
    <x:row r="1090" ht="64" customHeight="1">
      <x:c r="A1090" s="11" t="str">
        <x:v>IEK</x:v>
      </x:c>
      <x:c r="B1090" s="33" t="str">
        <x:v>280200043_</x:v>
      </x:c>
      <x:c r="C1090" s="33" t="str">
        <x:v>CKMP10D-Z-100-040-K01</x:v>
      </x:c>
      <x:c r="D1090" s="12" t="str">
        <x:v>Заглушка КМЗ 100х40 Белый ЭЛЕКОР IEK (2)</x:v>
      </x:c>
      <x:c r="E1090" s="11" t="str">
        <x:v>шт</x:v>
      </x:c>
      <x:c r="F1090" s="35" t="n">
        <x:f>MAX(0,ROUNDDOWN((AG1090-AF1090)/AR1090+0.000000001,0)*AR1090)</x:f>
        <x:v>19</x:v>
      </x:c>
      <x:c r="G1090" s="20" t="str">
        <x:f>IF(J1090="Рассчитано",V1090*(1-R1090/100)-W1090-P1090-Q1090,"н/д")</x:f>
        <x:v>н/д</x:v>
      </x:c>
      <x:c r="H1090" s="12" t="str">
        <x:v>Высокий</x:v>
      </x:c>
      <x:c r="I1090" s="12" t="str">
        <x:v>Средний</x:v>
      </x:c>
      <x:c r="J1090" s="12" t="str">
        <x:f>IF(L1090="","Укажите валюту",IF(NOT(ISNUMBER(K1090)),"Укажите объём",IF(K1090&lt;=0,"Укажите объём",IF(K1090&gt;F1090,"Объём выше излишка",IF(COUNT(M1090:O1090)&lt;3,"Нужны цены",IF(COUNT(P1090:R1090)&lt;3,"Нужны расходы",IF(OR(M1090&lt;0,N1090&lt;0,O1090&lt;0,O1090&gt;100,P1090&lt;0,Q1090&lt;0,R1090&lt;0,R1090&gt;100),"Проверьте значения","Рассчитано")))))))</x:f>
        <x:v>Нужны цены</x:v>
      </x:c>
      <x:c r="K1090" s="36" t="n">
        <x:v>19</x:v>
      </x:c>
      <x:c r="L1090" s="19" t="str">
        <x:v>KZT</x:v>
      </x:c>
      <x:c r="M1090" s="22"/>
      <x:c r="N1090" s="22"/>
      <x:c r="O1090" s="28"/>
      <x:c r="P1090" s="22"/>
      <x:c r="Q1090" s="22"/>
      <x:c r="R1090" s="28"/>
      <x:c r="S1090" s="22"/>
      <x:c r="T1090" s="35" t="n">
        <x:f>K1090</x:f>
        <x:v>19</x:v>
      </x:c>
      <x:c r="U1090" s="20" t="str">
        <x:f>IF(J1090="Рассчитано",N1090*(1-O1090/100),"н/д")</x:f>
        <x:v>н/д</x:v>
      </x:c>
      <x:c r="V1090" s="20" t="str">
        <x:f>IF(J1090="Рассчитано",T1090*U1090,"н/д")</x:f>
        <x:v>н/д</x:v>
      </x:c>
      <x:c r="W1090" s="20" t="str">
        <x:f>IF(J1090="Рассчитано",T1090*M1090,"н/д")</x:f>
        <x:v>н/д</x:v>
      </x:c>
      <x:c r="X1090" s="20" t="str">
        <x:f>IF(J1090="Рассчитано",V1090-W1090,"н/д")</x:f>
        <x:v>н/д</x:v>
      </x:c>
      <x:c r="Y1090" s="26" t="str">
        <x:f>IF(J1090="Рассчитано",IF(V1090&gt;0,G1090/V1090,"н/д"),"н/д")</x:f>
        <x:v>н/д</x:v>
      </x:c>
      <x:c r="Z1090" s="20" t="str">
        <x:f>"н/д"</x:f>
        <x:v>н/д</x:v>
      </x:c>
      <x:c r="AA1090" s="20" t="str">
        <x:f>"н/д"</x:f>
        <x:v>н/д</x:v>
      </x:c>
      <x:c r="AB1090" s="20" t="str">
        <x:f>"н/д"</x:f>
        <x:v>н/д</x:v>
      </x:c>
      <x:c r="AC1090" s="20" t="str">
        <x:f>IF(AND(J1090="Рассчитано",T1090&gt;0,R1090&lt;100),(W1090+P1090+Q1090)/(T1090*(1-R1090/100)),"н/д")</x:f>
        <x:v>н/д</x:v>
      </x:c>
      <x:c r="AD1090" s="11" t="str">
        <x:f>IF(ISNUMBER(G1090),IF(G1090&lt;0,"Убыток",IF(G1090=0,"Без прибыли","Прибыль &gt; 0")),"Не оценён")</x:f>
        <x:v>Не оценён</x:v>
      </x:c>
      <x:c r="AE1090" s="12" t="str">
        <x:f>IF(J1090="Рассчитано","Выручка "&amp;TEXT(V1090,"0.00")&amp;" - себестоимость "&amp;TEXT(W1090,"0.00")&amp;" - комиссия "&amp;TEXT(V1090*R1090/100,"0.00")&amp;" - доставка "&amp;TEXT(P1090,"0.00")&amp;" - прочие "&amp;TEXT(Q1090,"0.00")&amp;" = "&amp;TEXT(G1090,"0.00")&amp;" "&amp;L1090,"Введите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0" s="23" t="n">
        <x:v>40.05808468381759</x:v>
      </x:c>
      <x:c r="AG1090" s="35" t="n">
        <x:v>60</x:v>
      </x:c>
      <x:c r="AH1090" s="35" t="n">
        <x:v>0</x:v>
      </x:c>
      <x:c r="AI1090" s="29" t="n">
        <x:v>46266</x:v>
      </x:c>
      <x:c r="AJ1090" s="35" t="n">
        <x:v>54</x:v>
      </x:c>
      <x:c r="AK1090" s="11" t="str">
        <x:v>минимум</x:v>
      </x:c>
      <x:c r="AL1090" s="31" t="n">
        <x:v>127.37380257895802</x:v>
      </x:c>
      <x:c r="AM1090" s="12" t="str">
        <x:v>Остаток на начало сентября; Резервы неизвестны; Нет ежедневных данных доступности. Запас выше прогноза на 90 дней</x:v>
      </x:c>
      <x:c r="AN1090" s="12" t="str">
        <x:v>Проверить свободный остаток и установить цену для B2B</x:v>
      </x:c>
      <x:c r="AO1090" s="12" t="str">
        <x:v>Остаток 60; прогноз 90 дней 40.06; избыток 19 шт. Будущие поступления не выставляются на продажу. Остаток на начало сентября: требуется актуализация.</x:v>
      </x:c>
      <x:c r="AP1090" s="12" t="str">
        <x:v>["category_missing", "daily_stockout_data_missing", "new_order_lead_time_unknown", "reservations_unknown", "stale_stock"]</x:v>
      </x:c>
      <x:c r="AQ1090" s="11" t="str">
        <x:v>IEK:280200043_</x:v>
      </x:c>
      <x:c r="AR1090" s="23" t="n">
        <x:v>1</x:v>
      </x:c>
      <x:c r="AS1090" s="23" t="n">
        <x:v>0</x:v>
      </x:c>
      <x:c r="AT1090" s="23" t="n">
        <x:v>0</x:v>
      </x:c>
    </x:row>
    <x:row r="1091" ht="64" customHeight="1">
      <x:c r="A1091" s="10" t="str">
        <x:v>IEK</x:v>
      </x:c>
      <x:c r="B1091" s="34" t="str">
        <x:v>280200044_</x:v>
      </x:c>
      <x:c r="C1091" s="34" t="str">
        <x:v>CKMP10D-Z-100-060-K01</x:v>
      </x:c>
      <x:c r="D1091" s="13" t="str">
        <x:v>Заглушка КМЗ 100х60 Белый ЭЛЕКОР IEK (2)</x:v>
      </x:c>
      <x:c r="E1091" s="10" t="str">
        <x:v>шт</x:v>
      </x:c>
      <x:c r="F1091" s="37" t="n">
        <x:f>MAX(0,ROUNDDOWN((AG1091-AF1091)/AR1091+0.000000001,0)*AR1091)</x:f>
        <x:v>13</x:v>
      </x:c>
      <x:c r="G1091" s="21" t="str">
        <x:f>IF(J1091="Рассчитано",V1091*(1-R1091/100)-W1091-P1091-Q1091,"н/д")</x:f>
        <x:v>н/д</x:v>
      </x:c>
      <x:c r="H1091" s="13" t="str">
        <x:v>Высокий</x:v>
      </x:c>
      <x:c r="I1091" s="13" t="str">
        <x:v>Средний</x:v>
      </x:c>
      <x:c r="J1091" s="13" t="str">
        <x:f>IF(L1091="","Укажите валюту",IF(NOT(ISNUMBER(K1091)),"Укажите объём",IF(K1091&lt;=0,"Укажите объём",IF(K1091&gt;F1091,"Объём выше излишка",IF(COUNT(M1091:O1091)&lt;3,"Нужны цены",IF(COUNT(P1091:R1091)&lt;3,"Нужны расходы",IF(OR(M1091&lt;0,N1091&lt;0,O1091&lt;0,O1091&gt;100,P1091&lt;0,Q1091&lt;0,R1091&lt;0,R1091&gt;100),"Проверьте значения","Рассчитано")))))))</x:f>
        <x:v>Нужны цены</x:v>
      </x:c>
      <x:c r="K1091" s="36" t="n">
        <x:v>13</x:v>
      </x:c>
      <x:c r="L1091" s="19" t="str">
        <x:v>KZT</x:v>
      </x:c>
      <x:c r="M1091" s="22"/>
      <x:c r="N1091" s="22"/>
      <x:c r="O1091" s="28"/>
      <x:c r="P1091" s="22"/>
      <x:c r="Q1091" s="22"/>
      <x:c r="R1091" s="28"/>
      <x:c r="S1091" s="22"/>
      <x:c r="T1091" s="37" t="n">
        <x:f>K1091</x:f>
        <x:v>13</x:v>
      </x:c>
      <x:c r="U1091" s="21" t="str">
        <x:f>IF(J1091="Рассчитано",N1091*(1-O1091/100),"н/д")</x:f>
        <x:v>н/д</x:v>
      </x:c>
      <x:c r="V1091" s="21" t="str">
        <x:f>IF(J1091="Рассчитано",T1091*U1091,"н/д")</x:f>
        <x:v>н/д</x:v>
      </x:c>
      <x:c r="W1091" s="21" t="str">
        <x:f>IF(J1091="Рассчитано",T1091*M1091,"н/д")</x:f>
        <x:v>н/д</x:v>
      </x:c>
      <x:c r="X1091" s="21" t="str">
        <x:f>IF(J1091="Рассчитано",V1091-W1091,"н/д")</x:f>
        <x:v>н/д</x:v>
      </x:c>
      <x:c r="Y1091" s="27" t="str">
        <x:f>IF(J1091="Рассчитано",IF(V1091&gt;0,G1091/V1091,"н/д"),"н/д")</x:f>
        <x:v>н/д</x:v>
      </x:c>
      <x:c r="Z1091" s="21" t="str">
        <x:f>"н/д"</x:f>
        <x:v>н/д</x:v>
      </x:c>
      <x:c r="AA1091" s="21" t="str">
        <x:f>"н/д"</x:f>
        <x:v>н/д</x:v>
      </x:c>
      <x:c r="AB1091" s="21" t="str">
        <x:f>"н/д"</x:f>
        <x:v>н/д</x:v>
      </x:c>
      <x:c r="AC1091" s="21" t="str">
        <x:f>IF(AND(J1091="Рассчитано",T1091&gt;0,R1091&lt;100),(W1091+P1091+Q1091)/(T1091*(1-R1091/100)),"н/д")</x:f>
        <x:v>н/д</x:v>
      </x:c>
      <x:c r="AD1091" s="10" t="str">
        <x:f>IF(ISNUMBER(G1091),IF(G1091&lt;0,"Убыток",IF(G1091=0,"Без прибыли","Прибыль &gt; 0")),"Не оценён")</x:f>
        <x:v>Не оценён</x:v>
      </x:c>
      <x:c r="AE1091" s="13" t="str">
        <x:f>IF(J1091="Рассчитано","Выручка "&amp;TEXT(V1091,"0.00")&amp;" - себестоимость "&amp;TEXT(W1091,"0.00")&amp;" - комиссия "&amp;TEXT(V1091*R1091/100,"0.00")&amp;" - доставка "&amp;TEXT(P1091,"0.00")&amp;" - прочие "&amp;TEXT(Q1091,"0.00")&amp;" = "&amp;TEXT(G1091,"0.00")&amp;" "&amp;L1091,"Введите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1" s="24" t="n">
        <x:v>58.55296957693367</x:v>
      </x:c>
      <x:c r="AG1091" s="37" t="n">
        <x:v>72</x:v>
      </x:c>
      <x:c r="AH1091" s="37" t="n">
        <x:v>0</x:v>
      </x:c>
      <x:c r="AI1091" s="30" t="n">
        <x:v>46266</x:v>
      </x:c>
      <x:c r="AJ1091" s="37" t="n">
        <x:v>36</x:v>
      </x:c>
      <x:c r="AK1091" s="10" t="str">
        <x:v>минимум</x:v>
      </x:c>
      <x:c r="AL1091" s="32" t="n">
        <x:v>104.56891816911913</x:v>
      </x:c>
      <x:c r="AM1091" s="13" t="str">
        <x:v>Остаток на начало сентября; Резервы неизвестны; Нет ежедневных данных доступности. Запас выше прогноза на 90 дней</x:v>
      </x:c>
      <x:c r="AN1091" s="13" t="str">
        <x:v>Проверить свободный остаток и установить цену для B2B</x:v>
      </x:c>
      <x:c r="AO1091" s="13" t="str">
        <x:v>Остаток 72; прогноз 90 дней 58.55; избыток 13 шт. Будущие поступления не выставляются на продажу. Остаток на начало сентября: требуется актуализация.</x:v>
      </x:c>
      <x:c r="AP1091" s="13" t="str">
        <x:v>["category_missing", "daily_stockout_data_missing", "new_order_lead_time_unknown", "reservations_unknown", "stale_stock"]</x:v>
      </x:c>
      <x:c r="AQ1091" s="10" t="str">
        <x:v>IEK:280200044_</x:v>
      </x:c>
      <x:c r="AR1091" s="24" t="n">
        <x:v>1</x:v>
      </x:c>
      <x:c r="AS1091" s="24" t="n">
        <x:v>0</x:v>
      </x:c>
      <x:c r="AT1091" s="24" t="n">
        <x:v>0</x:v>
      </x:c>
    </x:row>
    <x:row r="1092" ht="64" customHeight="1">
      <x:c r="A1092" s="11" t="str">
        <x:v>IEK</x:v>
      </x:c>
      <x:c r="B1092" s="33" t="str">
        <x:v>280200045_</x:v>
      </x:c>
      <x:c r="C1092" s="33" t="str">
        <x:v>CKMP10D-Z-015-010-K01</x:v>
      </x:c>
      <x:c r="D1092" s="12" t="str">
        <x:v>Заглушка КМЗ 15х10 Белый ЭЛЕКОР IEK (4)</x:v>
      </x:c>
      <x:c r="E1092" s="11" t="str">
        <x:v>шт</x:v>
      </x:c>
      <x:c r="F1092" s="35" t="n">
        <x:f>MAX(0,ROUNDDOWN((AG1092-AF1092)/AR1092+0.000000001,0)*AR1092)</x:f>
        <x:v>33</x:v>
      </x:c>
      <x:c r="G1092" s="20" t="str">
        <x:f>IF(J1092="Рассчитано",V1092*(1-R1092/100)-W1092-P1092-Q1092,"н/д")</x:f>
        <x:v>н/д</x:v>
      </x:c>
      <x:c r="H1092" s="12" t="str">
        <x:v>Высокий</x:v>
      </x:c>
      <x:c r="I1092" s="12" t="str">
        <x:v>Средний</x:v>
      </x:c>
      <x:c r="J1092" s="12" t="str">
        <x:f>IF(L1092="","Укажите валюту",IF(NOT(ISNUMBER(K1092)),"Укажите объём",IF(K1092&lt;=0,"Укажите объём",IF(K1092&gt;F1092,"Объём выше излишка",IF(COUNT(M1092:O1092)&lt;3,"Нужны цены",IF(COUNT(P1092:R1092)&lt;3,"Нужны расходы",IF(OR(M1092&lt;0,N1092&lt;0,O1092&lt;0,O1092&gt;100,P1092&lt;0,Q1092&lt;0,R1092&lt;0,R1092&gt;100),"Проверьте значения","Рассчитано")))))))</x:f>
        <x:v>Нужны цены</x:v>
      </x:c>
      <x:c r="K1092" s="36" t="n">
        <x:v>33</x:v>
      </x:c>
      <x:c r="L1092" s="19" t="str">
        <x:v>KZT</x:v>
      </x:c>
      <x:c r="M1092" s="22"/>
      <x:c r="N1092" s="22"/>
      <x:c r="O1092" s="28"/>
      <x:c r="P1092" s="22"/>
      <x:c r="Q1092" s="22"/>
      <x:c r="R1092" s="28"/>
      <x:c r="S1092" s="22"/>
      <x:c r="T1092" s="35" t="n">
        <x:f>K1092</x:f>
        <x:v>33</x:v>
      </x:c>
      <x:c r="U1092" s="20" t="str">
        <x:f>IF(J1092="Рассчитано",N1092*(1-O1092/100),"н/д")</x:f>
        <x:v>н/д</x:v>
      </x:c>
      <x:c r="V1092" s="20" t="str">
        <x:f>IF(J1092="Рассчитано",T1092*U1092,"н/д")</x:f>
        <x:v>н/д</x:v>
      </x:c>
      <x:c r="W1092" s="20" t="str">
        <x:f>IF(J1092="Рассчитано",T1092*M1092,"н/д")</x:f>
        <x:v>н/д</x:v>
      </x:c>
      <x:c r="X1092" s="20" t="str">
        <x:f>IF(J1092="Рассчитано",V1092-W1092,"н/д")</x:f>
        <x:v>н/д</x:v>
      </x:c>
      <x:c r="Y1092" s="26" t="str">
        <x:f>IF(J1092="Рассчитано",IF(V1092&gt;0,G1092/V1092,"н/д"),"н/д")</x:f>
        <x:v>н/д</x:v>
      </x:c>
      <x:c r="Z1092" s="20" t="str">
        <x:f>"н/д"</x:f>
        <x:v>н/д</x:v>
      </x:c>
      <x:c r="AA1092" s="20" t="str">
        <x:f>"н/д"</x:f>
        <x:v>н/д</x:v>
      </x:c>
      <x:c r="AB1092" s="20" t="str">
        <x:f>"н/д"</x:f>
        <x:v>н/д</x:v>
      </x:c>
      <x:c r="AC1092" s="20" t="str">
        <x:f>IF(AND(J1092="Рассчитано",T1092&gt;0,R1092&lt;100),(W1092+P1092+Q1092)/(T1092*(1-R1092/100)),"н/д")</x:f>
        <x:v>н/д</x:v>
      </x:c>
      <x:c r="AD1092" s="11" t="str">
        <x:f>IF(ISNUMBER(G1092),IF(G1092&lt;0,"Убыток",IF(G1092=0,"Без прибыли","Прибыль &gt; 0")),"Не оценён")</x:f>
        <x:v>Не оценён</x:v>
      </x:c>
      <x:c r="AE1092" s="12" t="str">
        <x:f>IF(J1092="Рассчитано","Выручка "&amp;TEXT(V1092,"0.00")&amp;" - себестоимость "&amp;TEXT(W1092,"0.00")&amp;" - комиссия "&amp;TEXT(V1092*R1092/100,"0.00")&amp;" - доставка "&amp;TEXT(P1092,"0.00")&amp;" - прочие "&amp;TEXT(Q1092,"0.00")&amp;" = "&amp;TEXT(G1092,"0.00")&amp;" "&amp;L1092,"Введите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2" s="23" t="n">
        <x:v>76.96881303520328</x:v>
      </x:c>
      <x:c r="AG1092" s="35" t="n">
        <x:v>110</x:v>
      </x:c>
      <x:c r="AH1092" s="35" t="n">
        <x:v>0</x:v>
      </x:c>
      <x:c r="AI1092" s="29" t="n">
        <x:v>46266</x:v>
      </x:c>
      <x:c r="AJ1092" s="35" t="n">
        <x:v>1</x:v>
      </x:c>
      <x:c r="AK1092" s="11" t="str">
        <x:v>минимум</x:v>
      </x:c>
      <x:c r="AL1092" s="31" t="n">
        <x:v>121.53376166052897</x:v>
      </x:c>
      <x:c r="AM1092" s="12" t="str">
        <x:v>Остаток на начало сентября; Резервы неизвестны; Нет ежедневных данных доступности. Запас выше прогноза на 90 дней</x:v>
      </x:c>
      <x:c r="AN1092" s="12" t="str">
        <x:v>Проверить свободный остаток и установить цену для B2B</x:v>
      </x:c>
      <x:c r="AO1092" s="12" t="str">
        <x:v>Остаток 110; прогноз 90 дней 76.97; избыток 33 шт. Будущие поступления не выставляются на продажу. Остаток на начало сентября: требуется актуализация.</x:v>
      </x:c>
      <x:c r="AP1092" s="12" t="str">
        <x:v>["category_missing", "daily_stockout_data_missing", "new_order_lead_time_unknown", "reservations_unknown", "stale_stock"]</x:v>
      </x:c>
      <x:c r="AQ1092" s="11" t="str">
        <x:v>IEK:280200045_</x:v>
      </x:c>
      <x:c r="AR1092" s="23" t="n">
        <x:v>1</x:v>
      </x:c>
      <x:c r="AS1092" s="23" t="n">
        <x:v>0</x:v>
      </x:c>
      <x:c r="AT1092" s="23" t="n">
        <x:v>0</x:v>
      </x:c>
    </x:row>
    <x:row r="1093" ht="64" customHeight="1">
      <x:c r="A1093" s="10" t="str">
        <x:v>IEK</x:v>
      </x:c>
      <x:c r="B1093" s="34" t="str">
        <x:v>280200047_</x:v>
      </x:c>
      <x:c r="C1093" s="34" t="str">
        <x:v>CKMP10D-Z-020-010-K01</x:v>
      </x:c>
      <x:c r="D1093" s="13" t="str">
        <x:v>Заглушка КМЗ 20х10 Белый ЭЛЕКОР IEK (4)</x:v>
      </x:c>
      <x:c r="E1093" s="10" t="str">
        <x:v>шт</x:v>
      </x:c>
      <x:c r="F1093" s="37" t="n">
        <x:f>MAX(0,ROUNDDOWN((AG1093-AF1093)/AR1093+0.000000001,0)*AR1093)</x:f>
        <x:v>40</x:v>
      </x:c>
      <x:c r="G1093" s="21" t="str">
        <x:f>IF(J1093="Рассчитано",V1093*(1-R1093/100)-W1093-P1093-Q1093,"н/д")</x:f>
        <x:v>н/д</x:v>
      </x:c>
      <x:c r="H1093" s="13" t="str">
        <x:v>Высокий</x:v>
      </x:c>
      <x:c r="I1093" s="13" t="str">
        <x:v>Высокий</x:v>
      </x:c>
      <x:c r="J1093" s="13" t="str">
        <x:f>IF(L1093="","Укажите валюту",IF(NOT(ISNUMBER(K1093)),"Укажите объём",IF(K1093&lt;=0,"Укажите объём",IF(K1093&gt;F1093,"Объём выше излишка",IF(COUNT(M1093:O1093)&lt;3,"Нужны цены",IF(COUNT(P1093:R1093)&lt;3,"Нужны расходы",IF(OR(M1093&lt;0,N1093&lt;0,O1093&lt;0,O1093&gt;100,P1093&lt;0,Q1093&lt;0,R1093&lt;0,R1093&gt;100),"Проверьте значения","Рассчитано")))))))</x:f>
        <x:v>Нужны цены</x:v>
      </x:c>
      <x:c r="K1093" s="36" t="n">
        <x:v>40</x:v>
      </x:c>
      <x:c r="L1093" s="19" t="str">
        <x:v>KZT</x:v>
      </x:c>
      <x:c r="M1093" s="22"/>
      <x:c r="N1093" s="22"/>
      <x:c r="O1093" s="28"/>
      <x:c r="P1093" s="22"/>
      <x:c r="Q1093" s="22"/>
      <x:c r="R1093" s="28"/>
      <x:c r="S1093" s="22"/>
      <x:c r="T1093" s="37" t="n">
        <x:f>K1093</x:f>
        <x:v>40</x:v>
      </x:c>
      <x:c r="U1093" s="21" t="str">
        <x:f>IF(J1093="Рассчитано",N1093*(1-O1093/100),"н/д")</x:f>
        <x:v>н/д</x:v>
      </x:c>
      <x:c r="V1093" s="21" t="str">
        <x:f>IF(J1093="Рассчитано",T1093*U1093,"н/д")</x:f>
        <x:v>н/д</x:v>
      </x:c>
      <x:c r="W1093" s="21" t="str">
        <x:f>IF(J1093="Рассчитано",T1093*M1093,"н/д")</x:f>
        <x:v>н/д</x:v>
      </x:c>
      <x:c r="X1093" s="21" t="str">
        <x:f>IF(J1093="Рассчитано",V1093-W1093,"н/д")</x:f>
        <x:v>н/д</x:v>
      </x:c>
      <x:c r="Y1093" s="27" t="str">
        <x:f>IF(J1093="Рассчитано",IF(V1093&gt;0,G1093/V1093,"н/д"),"н/д")</x:f>
        <x:v>н/д</x:v>
      </x:c>
      <x:c r="Z1093" s="21" t="str">
        <x:f>"н/д"</x:f>
        <x:v>н/д</x:v>
      </x:c>
      <x:c r="AA1093" s="21" t="str">
        <x:f>"н/д"</x:f>
        <x:v>н/д</x:v>
      </x:c>
      <x:c r="AB1093" s="21" t="str">
        <x:f>"н/д"</x:f>
        <x:v>н/д</x:v>
      </x:c>
      <x:c r="AC1093" s="21" t="str">
        <x:f>IF(AND(J1093="Рассчитано",T1093&gt;0,R1093&lt;100),(W1093+P1093+Q1093)/(T1093*(1-R1093/100)),"н/д")</x:f>
        <x:v>н/д</x:v>
      </x:c>
      <x:c r="AD1093" s="10" t="str">
        <x:f>IF(ISNUMBER(G1093),IF(G1093&lt;0,"Убыток",IF(G1093=0,"Без прибыли","Прибыль &gt; 0")),"Не оценён")</x:f>
        <x:v>Не оценён</x:v>
      </x:c>
      <x:c r="AE1093" s="13" t="str">
        <x:f>IF(J1093="Рассчитано","Выручка "&amp;TEXT(V1093,"0.00")&amp;" - себестоимость "&amp;TEXT(W1093,"0.00")&amp;" - комиссия "&amp;TEXT(V1093*R1093/100,"0.00")&amp;" - доставка "&amp;TEXT(P1093,"0.00")&amp;" - прочие "&amp;TEXT(Q1093,"0.00")&amp;" = "&amp;TEXT(G1093,"0.00")&amp;" "&amp;L1093,"Введите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3" s="24" t="n">
        <x:v>25.311449664279188</x:v>
      </x:c>
      <x:c r="AG1093" s="37" t="n">
        <x:v>66</x:v>
      </x:c>
      <x:c r="AH1093" s="37" t="n">
        <x:v>0</x:v>
      </x:c>
      <x:c r="AI1093" s="30" t="n">
        <x:v>46266</x:v>
      </x:c>
      <x:c r="AJ1093" s="37" t="n">
        <x:v>1</x:v>
      </x:c>
      <x:c r="AK1093" s="10" t="str">
        <x:v>минимум</x:v>
      </x:c>
      <x:c r="AL1093" s="32" t="n">
        <x:v>221.74097895109017</x:v>
      </x:c>
      <x:c r="AM109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93" s="13" t="str">
        <x:v>Проверить свободный остаток и установить цену для B2B</x:v>
      </x:c>
      <x:c r="AO1093" s="13" t="str">
        <x:v>Остаток 66; прогноз 90 дней 25.31; избыток 40 шт. Будущие поступления не выставляются на продажу. Остаток на начало сентября: требуется актуализация.</x:v>
      </x:c>
      <x:c r="AP1093" s="13" t="str">
        <x:v>["category_missing", "daily_stockout_data_missing", "new_order_lead_time_unknown", "reservations_unknown", "stale_stock"]</x:v>
      </x:c>
      <x:c r="AQ1093" s="10" t="str">
        <x:v>IEK:280200047_</x:v>
      </x:c>
      <x:c r="AR1093" s="24" t="n">
        <x:v>1</x:v>
      </x:c>
      <x:c r="AS1093" s="24" t="n">
        <x:v>0</x:v>
      </x:c>
      <x:c r="AT1093" s="24" t="n">
        <x:v>0</x:v>
      </x:c>
    </x:row>
    <x:row r="1094" ht="64" customHeight="1">
      <x:c r="A1094" s="11" t="str">
        <x:v>IEK</x:v>
      </x:c>
      <x:c r="B1094" s="33" t="str">
        <x:v>280200048_</x:v>
      </x:c>
      <x:c r="C1094" s="33" t="str">
        <x:v>CKMP10D-Z-040-016-K01</x:v>
      </x:c>
      <x:c r="D1094" s="12" t="str">
        <x:v>Заглушка КМЗ 40х16 Белый ЭЛЕКОР IEK (4)</x:v>
      </x:c>
      <x:c r="E1094" s="11" t="str">
        <x:v>шт</x:v>
      </x:c>
      <x:c r="F1094" s="35" t="n">
        <x:f>MAX(0,ROUNDDOWN((AG1094-AF1094)/AR1094+0.000000001,0)*AR1094)</x:f>
        <x:v>125</x:v>
      </x:c>
      <x:c r="G1094" s="20" t="str">
        <x:f>IF(J1094="Рассчитано",V1094*(1-R1094/100)-W1094-P1094-Q1094,"н/д")</x:f>
        <x:v>н/д</x:v>
      </x:c>
      <x:c r="H1094" s="12" t="str">
        <x:v>Высокий</x:v>
      </x:c>
      <x:c r="I1094" s="12" t="str">
        <x:v>Высокий</x:v>
      </x:c>
      <x:c r="J1094" s="12" t="str">
        <x:f>IF(L1094="","Укажите валюту",IF(NOT(ISNUMBER(K1094)),"Укажите объём",IF(K1094&lt;=0,"Укажите объём",IF(K1094&gt;F1094,"Объём выше излишка",IF(COUNT(M1094:O1094)&lt;3,"Нужны цены",IF(COUNT(P1094:R1094)&lt;3,"Нужны расходы",IF(OR(M1094&lt;0,N1094&lt;0,O1094&lt;0,O1094&gt;100,P1094&lt;0,Q1094&lt;0,R1094&lt;0,R1094&gt;100),"Проверьте значения","Рассчитано")))))))</x:f>
        <x:v>Нужны цены</x:v>
      </x:c>
      <x:c r="K1094" s="36" t="n">
        <x:v>125</x:v>
      </x:c>
      <x:c r="L1094" s="19" t="str">
        <x:v>KZT</x:v>
      </x:c>
      <x:c r="M1094" s="22"/>
      <x:c r="N1094" s="22"/>
      <x:c r="O1094" s="28"/>
      <x:c r="P1094" s="22"/>
      <x:c r="Q1094" s="22"/>
      <x:c r="R1094" s="28"/>
      <x:c r="S1094" s="22"/>
      <x:c r="T1094" s="35" t="n">
        <x:f>K1094</x:f>
        <x:v>125</x:v>
      </x:c>
      <x:c r="U1094" s="20" t="str">
        <x:f>IF(J1094="Рассчитано",N1094*(1-O1094/100),"н/д")</x:f>
        <x:v>н/д</x:v>
      </x:c>
      <x:c r="V1094" s="20" t="str">
        <x:f>IF(J1094="Рассчитано",T1094*U1094,"н/д")</x:f>
        <x:v>н/д</x:v>
      </x:c>
      <x:c r="W1094" s="20" t="str">
        <x:f>IF(J1094="Рассчитано",T1094*M1094,"н/д")</x:f>
        <x:v>н/д</x:v>
      </x:c>
      <x:c r="X1094" s="20" t="str">
        <x:f>IF(J1094="Рассчитано",V1094-W1094,"н/д")</x:f>
        <x:v>н/д</x:v>
      </x:c>
      <x:c r="Y1094" s="26" t="str">
        <x:f>IF(J1094="Рассчитано",IF(V1094&gt;0,G1094/V1094,"н/д"),"н/д")</x:f>
        <x:v>н/д</x:v>
      </x:c>
      <x:c r="Z1094" s="20" t="str">
        <x:f>"н/д"</x:f>
        <x:v>н/д</x:v>
      </x:c>
      <x:c r="AA1094" s="20" t="str">
        <x:f>"н/д"</x:f>
        <x:v>н/д</x:v>
      </x:c>
      <x:c r="AB1094" s="20" t="str">
        <x:f>"н/д"</x:f>
        <x:v>н/д</x:v>
      </x:c>
      <x:c r="AC1094" s="20" t="str">
        <x:f>IF(AND(J1094="Рассчитано",T1094&gt;0,R1094&lt;100),(W1094+P1094+Q1094)/(T1094*(1-R1094/100)),"н/д")</x:f>
        <x:v>н/д</x:v>
      </x:c>
      <x:c r="AD1094" s="11" t="str">
        <x:f>IF(ISNUMBER(G1094),IF(G1094&lt;0,"Убыток",IF(G1094=0,"Без прибыли","Прибыль &gt; 0")),"Не оценён")</x:f>
        <x:v>Не оценён</x:v>
      </x:c>
      <x:c r="AE1094" s="12" t="str">
        <x:f>IF(J1094="Рассчитано","Выручка "&amp;TEXT(V1094,"0.00")&amp;" - себестоимость "&amp;TEXT(W1094,"0.00")&amp;" - комиссия "&amp;TEXT(V1094*R1094/100,"0.00")&amp;" - доставка "&amp;TEXT(P1094,"0.00")&amp;" - прочие "&amp;TEXT(Q1094,"0.00")&amp;" = "&amp;TEXT(G1094,"0.00")&amp;" "&amp;L1094,"Введите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4" s="23" t="n">
        <x:v>63.79757358211775</x:v>
      </x:c>
      <x:c r="AG1094" s="35" t="n">
        <x:v>189</x:v>
      </x:c>
      <x:c r="AH1094" s="35" t="n">
        <x:v>0</x:v>
      </x:c>
      <x:c r="AI1094" s="29" t="n">
        <x:v>46266</x:v>
      </x:c>
      <x:c r="AJ1094" s="35" t="n">
        <x:v>1</x:v>
      </x:c>
      <x:c r="AK1094" s="11" t="str">
        <x:v>минимум</x:v>
      </x:c>
      <x:c r="AL1094" s="31" t="n">
        <x:v>251.92814387316196</x:v>
      </x:c>
      <x:c r="AM109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94" s="12" t="str">
        <x:v>Проверить свободный остаток и установить цену для B2B</x:v>
      </x:c>
      <x:c r="AO1094" s="12" t="str">
        <x:v>Остаток 189; прогноз 90 дней 63.80; избыток 125 шт. Будущие поступления не выставляются на продажу. Остаток на начало сентября: требуется актуализация.</x:v>
      </x:c>
      <x:c r="AP1094" s="12" t="str">
        <x:v>["category_missing", "daily_stockout_data_missing", "new_order_lead_time_unknown", "reservations_unknown", "stale_stock"]</x:v>
      </x:c>
      <x:c r="AQ1094" s="11" t="str">
        <x:v>IEK:280200048_</x:v>
      </x:c>
      <x:c r="AR1094" s="23" t="n">
        <x:v>1</x:v>
      </x:c>
      <x:c r="AS1094" s="23" t="n">
        <x:v>0</x:v>
      </x:c>
      <x:c r="AT1094" s="23" t="n">
        <x:v>0</x:v>
      </x:c>
    </x:row>
    <x:row r="1095" ht="64" customHeight="1">
      <x:c r="A1095" s="10" t="str">
        <x:v>IEK</x:v>
      </x:c>
      <x:c r="B1095" s="34" t="str">
        <x:v>280200050_</x:v>
      </x:c>
      <x:c r="C1095" s="34" t="str">
        <x:v>CKMP10D-P-100-040-K01</x:v>
      </x:c>
      <x:c r="D1095" s="13" t="str">
        <x:v>Поворот 90° КМП 100х40 Белый ЭЛЕКОР IEK (2)</x:v>
      </x:c>
      <x:c r="E1095" s="10" t="str">
        <x:v>шт</x:v>
      </x:c>
      <x:c r="F1095" s="37" t="n">
        <x:f>MAX(0,ROUNDDOWN((AG1095-AF1095)/AR1095+0.000000001,0)*AR1095)</x:f>
        <x:v>3</x:v>
      </x:c>
      <x:c r="G1095" s="21" t="str">
        <x:f>IF(J1095="Рассчитано",V1095*(1-R1095/100)-W1095-P1095-Q1095,"н/д")</x:f>
        <x:v>н/д</x:v>
      </x:c>
      <x:c r="H1095" s="13" t="str">
        <x:v>Высокий</x:v>
      </x:c>
      <x:c r="I1095" s="13" t="str">
        <x:v>Средний</x:v>
      </x:c>
      <x:c r="J1095" s="13" t="str">
        <x:f>IF(L1095="","Укажите валюту",IF(NOT(ISNUMBER(K1095)),"Укажите объём",IF(K1095&lt;=0,"Укажите объём",IF(K1095&gt;F1095,"Объём выше излишка",IF(COUNT(M1095:O1095)&lt;3,"Нужны цены",IF(COUNT(P1095:R1095)&lt;3,"Нужны расходы",IF(OR(M1095&lt;0,N1095&lt;0,O1095&lt;0,O1095&gt;100,P1095&lt;0,Q1095&lt;0,R1095&lt;0,R1095&gt;100),"Проверьте значения","Рассчитано")))))))</x:f>
        <x:v>Нужны цены</x:v>
      </x:c>
      <x:c r="K1095" s="36" t="n">
        <x:v>3</x:v>
      </x:c>
      <x:c r="L1095" s="19" t="str">
        <x:v>KZT</x:v>
      </x:c>
      <x:c r="M1095" s="22"/>
      <x:c r="N1095" s="22"/>
      <x:c r="O1095" s="28"/>
      <x:c r="P1095" s="22"/>
      <x:c r="Q1095" s="22"/>
      <x:c r="R1095" s="28"/>
      <x:c r="S1095" s="22"/>
      <x:c r="T1095" s="37" t="n">
        <x:f>K1095</x:f>
        <x:v>3</x:v>
      </x:c>
      <x:c r="U1095" s="21" t="str">
        <x:f>IF(J1095="Рассчитано",N1095*(1-O1095/100),"н/д")</x:f>
        <x:v>н/д</x:v>
      </x:c>
      <x:c r="V1095" s="21" t="str">
        <x:f>IF(J1095="Рассчитано",T1095*U1095,"н/д")</x:f>
        <x:v>н/д</x:v>
      </x:c>
      <x:c r="W1095" s="21" t="str">
        <x:f>IF(J1095="Рассчитано",T1095*M1095,"н/д")</x:f>
        <x:v>н/д</x:v>
      </x:c>
      <x:c r="X1095" s="21" t="str">
        <x:f>IF(J1095="Рассчитано",V1095-W1095,"н/д")</x:f>
        <x:v>н/д</x:v>
      </x:c>
      <x:c r="Y1095" s="27" t="str">
        <x:f>IF(J1095="Рассчитано",IF(V1095&gt;0,G1095/V1095,"н/д"),"н/д")</x:f>
        <x:v>н/д</x:v>
      </x:c>
      <x:c r="Z1095" s="21" t="str">
        <x:f>"н/д"</x:f>
        <x:v>н/д</x:v>
      </x:c>
      <x:c r="AA1095" s="21" t="str">
        <x:f>"н/д"</x:f>
        <x:v>н/д</x:v>
      </x:c>
      <x:c r="AB1095" s="21" t="str">
        <x:f>"н/д"</x:f>
        <x:v>н/д</x:v>
      </x:c>
      <x:c r="AC1095" s="21" t="str">
        <x:f>IF(AND(J1095="Рассчитано",T1095&gt;0,R1095&lt;100),(W1095+P1095+Q1095)/(T1095*(1-R1095/100)),"н/д")</x:f>
        <x:v>н/д</x:v>
      </x:c>
      <x:c r="AD1095" s="10" t="str">
        <x:f>IF(ISNUMBER(G1095),IF(G1095&lt;0,"Убыток",IF(G1095=0,"Без прибыли","Прибыль &gt; 0")),"Не оценён")</x:f>
        <x:v>Не оценён</x:v>
      </x:c>
      <x:c r="AE1095" s="13" t="str">
        <x:f>IF(J1095="Рассчитано","Выручка "&amp;TEXT(V1095,"0.00")&amp;" - себестоимость "&amp;TEXT(W1095,"0.00")&amp;" - комиссия "&amp;TEXT(V1095*R1095/100,"0.00")&amp;" - доставка "&amp;TEXT(P1095,"0.00")&amp;" - прочие "&amp;TEXT(Q1095,"0.00")&amp;" = "&amp;TEXT(G1095,"0.00")&amp;" "&amp;L1095,"Введите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5" s="24" t="n">
        <x:v>19.426939344655363</x:v>
      </x:c>
      <x:c r="AG1095" s="37" t="n">
        <x:v>23</x:v>
      </x:c>
      <x:c r="AH1095" s="37" t="n">
        <x:v>0</x:v>
      </x:c>
      <x:c r="AI1095" s="30" t="n">
        <x:v>46266</x:v>
      </x:c>
      <x:c r="AJ1095" s="37" t="n">
        <x:v>6</x:v>
      </x:c>
      <x:c r="AK1095" s="10" t="str">
        <x:v>минимум</x:v>
      </x:c>
      <x:c r="AL1095" s="32" t="n">
        <x:v>100.6798352130062</x:v>
      </x:c>
      <x:c r="AM1095" s="13" t="str">
        <x:v>Остаток на начало сентября; Резервы неизвестны; Нет ежедневных данных доступности. Запас выше прогноза на 90 дней</x:v>
      </x:c>
      <x:c r="AN1095" s="13" t="str">
        <x:v>Проверить свободный остаток и установить цену для B2B</x:v>
      </x:c>
      <x:c r="AO1095" s="13" t="str">
        <x:v>Остаток 23; прогноз 90 дней 19.43; избыток 3 шт. Будущие поступления не выставляются на продажу. Остаток на начало сентября: требуется актуализация.</x:v>
      </x:c>
      <x:c r="AP1095" s="13" t="str">
        <x:v>["category_missing", "daily_stockout_data_missing", "negative_net_sales_clipped_for_forecast", "new_order_lead_time_unknown", "reservations_unknown", "stale_stock"]</x:v>
      </x:c>
      <x:c r="AQ1095" s="10" t="str">
        <x:v>IEK:280200050_</x:v>
      </x:c>
      <x:c r="AR1095" s="24" t="n">
        <x:v>1</x:v>
      </x:c>
      <x:c r="AS1095" s="24" t="n">
        <x:v>0</x:v>
      </x:c>
      <x:c r="AT1095" s="24" t="n">
        <x:v>0</x:v>
      </x:c>
    </x:row>
    <x:row r="1096" ht="64" customHeight="1">
      <x:c r="A1096" s="11" t="str">
        <x:v>IEK</x:v>
      </x:c>
      <x:c r="B1096" s="33" t="str">
        <x:v>280200052_</x:v>
      </x:c>
      <x:c r="C1096" s="33" t="str">
        <x:v>CKMP10D-P-015-010-K01</x:v>
      </x:c>
      <x:c r="D1096" s="12" t="str">
        <x:v>Поворот 90° КМП 15х10 Белый ЭЛЕКОР IEK (4)</x:v>
      </x:c>
      <x:c r="E1096" s="11" t="str">
        <x:v>шт</x:v>
      </x:c>
      <x:c r="F1096" s="35" t="n">
        <x:f>MAX(0,ROUNDDOWN((AG1096-AF1096)/AR1096+0.000000001,0)*AR1096)</x:f>
        <x:v>102</x:v>
      </x:c>
      <x:c r="G1096" s="20" t="str">
        <x:f>IF(J1096="Рассчитано",V1096*(1-R1096/100)-W1096-P1096-Q1096,"н/д")</x:f>
        <x:v>н/д</x:v>
      </x:c>
      <x:c r="H1096" s="12" t="str">
        <x:v>Высокий</x:v>
      </x:c>
      <x:c r="I1096" s="12" t="str">
        <x:v>Высокий</x:v>
      </x:c>
      <x:c r="J1096" s="12" t="str">
        <x:f>IF(L1096="","Укажите валюту",IF(NOT(ISNUMBER(K1096)),"Укажите объём",IF(K1096&lt;=0,"Укажите объём",IF(K1096&gt;F1096,"Объём выше излишка",IF(COUNT(M1096:O1096)&lt;3,"Нужны цены",IF(COUNT(P1096:R1096)&lt;3,"Нужны расходы",IF(OR(M1096&lt;0,N1096&lt;0,O1096&lt;0,O1096&gt;100,P1096&lt;0,Q1096&lt;0,R1096&lt;0,R1096&gt;100),"Проверьте значения","Рассчитано")))))))</x:f>
        <x:v>Нужны цены</x:v>
      </x:c>
      <x:c r="K1096" s="36" t="n">
        <x:v>102</x:v>
      </x:c>
      <x:c r="L1096" s="19" t="str">
        <x:v>KZT</x:v>
      </x:c>
      <x:c r="M1096" s="22"/>
      <x:c r="N1096" s="22"/>
      <x:c r="O1096" s="28"/>
      <x:c r="P1096" s="22"/>
      <x:c r="Q1096" s="22"/>
      <x:c r="R1096" s="28"/>
      <x:c r="S1096" s="22"/>
      <x:c r="T1096" s="35" t="n">
        <x:f>K1096</x:f>
        <x:v>102</x:v>
      </x:c>
      <x:c r="U1096" s="20" t="str">
        <x:f>IF(J1096="Рассчитано",N1096*(1-O1096/100),"н/д")</x:f>
        <x:v>н/д</x:v>
      </x:c>
      <x:c r="V1096" s="20" t="str">
        <x:f>IF(J1096="Рассчитано",T1096*U1096,"н/д")</x:f>
        <x:v>н/д</x:v>
      </x:c>
      <x:c r="W1096" s="20" t="str">
        <x:f>IF(J1096="Рассчитано",T1096*M1096,"н/д")</x:f>
        <x:v>н/д</x:v>
      </x:c>
      <x:c r="X1096" s="20" t="str">
        <x:f>IF(J1096="Рассчитано",V1096-W1096,"н/д")</x:f>
        <x:v>н/д</x:v>
      </x:c>
      <x:c r="Y1096" s="26" t="str">
        <x:f>IF(J1096="Рассчитано",IF(V1096&gt;0,G1096/V1096,"н/д"),"н/д")</x:f>
        <x:v>н/д</x:v>
      </x:c>
      <x:c r="Z1096" s="20" t="str">
        <x:f>"н/д"</x:f>
        <x:v>н/д</x:v>
      </x:c>
      <x:c r="AA1096" s="20" t="str">
        <x:f>"н/д"</x:f>
        <x:v>н/д</x:v>
      </x:c>
      <x:c r="AB1096" s="20" t="str">
        <x:f>"н/д"</x:f>
        <x:v>н/д</x:v>
      </x:c>
      <x:c r="AC1096" s="20" t="str">
        <x:f>IF(AND(J1096="Рассчитано",T1096&gt;0,R1096&lt;100),(W1096+P1096+Q1096)/(T1096*(1-R1096/100)),"н/д")</x:f>
        <x:v>н/д</x:v>
      </x:c>
      <x:c r="AD1096" s="11" t="str">
        <x:f>IF(ISNUMBER(G1096),IF(G1096&lt;0,"Убыток",IF(G1096=0,"Без прибыли","Прибыль &gt; 0")),"Не оценён")</x:f>
        <x:v>Не оценён</x:v>
      </x:c>
      <x:c r="AE1096" s="12" t="str">
        <x:f>IF(J1096="Рассчитано","Выручка "&amp;TEXT(V1096,"0.00")&amp;" - себестоимость "&amp;TEXT(W1096,"0.00")&amp;" - комиссия "&amp;TEXT(V1096*R1096/100,"0.00")&amp;" - доставка "&amp;TEXT(P1096,"0.00")&amp;" - прочие "&amp;TEXT(Q1096,"0.00")&amp;" = "&amp;TEXT(G1096,"0.00")&amp;" "&amp;L1096,"Введите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6" s="23" t="n">
        <x:v>35.67426786870725</x:v>
      </x:c>
      <x:c r="AG1096" s="35" t="n">
        <x:v>138</x:v>
      </x:c>
      <x:c r="AH1096" s="35" t="n">
        <x:v>0</x:v>
      </x:c>
      <x:c r="AI1096" s="29" t="n">
        <x:v>46266</x:v>
      </x:c>
      <x:c r="AJ1096" s="35" t="n">
        <x:v>1</x:v>
      </x:c>
      <x:c r="AK1096" s="11" t="str">
        <x:v>минимум</x:v>
      </x:c>
      <x:c r="AL1096" s="31" t="n">
        <x:v>328.9599762682689</x:v>
      </x:c>
      <x:c r="AM1096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096" s="12" t="str">
        <x:v>Проверить свободный остаток и установить цену для B2B</x:v>
      </x:c>
      <x:c r="AO1096" s="12" t="str">
        <x:v>Остаток 138; прогноз 90 дней 35.67; избыток 102 шт. Будущие поступления не выставляются на продажу. Остаток на начало сентября: требуется актуализация.</x:v>
      </x:c>
      <x:c r="AP1096" s="12" t="str">
        <x:v>["category_missing", "daily_stockout_data_missing", "large_orders_detected", "new_order_lead_time_unknown", "reservations_unknown", "stale_stock", "transaction_month_mismatch"]</x:v>
      </x:c>
      <x:c r="AQ1096" s="11" t="str">
        <x:v>IEK:280200052_</x:v>
      </x:c>
      <x:c r="AR1096" s="23" t="n">
        <x:v>1</x:v>
      </x:c>
      <x:c r="AS1096" s="23" t="n">
        <x:v>0</x:v>
      </x:c>
      <x:c r="AT1096" s="23" t="n">
        <x:v>0</x:v>
      </x:c>
    </x:row>
    <x:row r="1097" ht="64" customHeight="1">
      <x:c r="A1097" s="10" t="str">
        <x:v>IEK</x:v>
      </x:c>
      <x:c r="B1097" s="34" t="str">
        <x:v>280200054_</x:v>
      </x:c>
      <x:c r="C1097" s="34" t="str">
        <x:v>CKMP10D-P-025-016-K01</x:v>
      </x:c>
      <x:c r="D1097" s="13" t="str">
        <x:v>Поворот 90° КМП 25х16 Белый ЭЛЕКОР IEK (4)</x:v>
      </x:c>
      <x:c r="E1097" s="10" t="str">
        <x:v>шт</x:v>
      </x:c>
      <x:c r="F1097" s="37" t="n">
        <x:f>MAX(0,ROUNDDOWN((AG1097-AF1097)/AR1097+0.000000001,0)*AR1097)</x:f>
        <x:v>74</x:v>
      </x:c>
      <x:c r="G1097" s="21" t="str">
        <x:f>IF(J1097="Рассчитано",V1097*(1-R1097/100)-W1097-P1097-Q1097,"н/д")</x:f>
        <x:v>н/д</x:v>
      </x:c>
      <x:c r="H1097" s="13" t="str">
        <x:v>Высокий</x:v>
      </x:c>
      <x:c r="I1097" s="13" t="str">
        <x:v>Средний</x:v>
      </x:c>
      <x:c r="J1097" s="13" t="str">
        <x:f>IF(L1097="","Укажите валюту",IF(NOT(ISNUMBER(K1097)),"Укажите объём",IF(K1097&lt;=0,"Укажите объём",IF(K1097&gt;F1097,"Объём выше излишка",IF(COUNT(M1097:O1097)&lt;3,"Нужны цены",IF(COUNT(P1097:R1097)&lt;3,"Нужны расходы",IF(OR(M1097&lt;0,N1097&lt;0,O1097&lt;0,O1097&gt;100,P1097&lt;0,Q1097&lt;0,R1097&lt;0,R1097&gt;100),"Проверьте значения","Рассчитано")))))))</x:f>
        <x:v>Нужны цены</x:v>
      </x:c>
      <x:c r="K1097" s="36" t="n">
        <x:v>74</x:v>
      </x:c>
      <x:c r="L1097" s="19" t="str">
        <x:v>KZT</x:v>
      </x:c>
      <x:c r="M1097" s="22"/>
      <x:c r="N1097" s="22"/>
      <x:c r="O1097" s="28"/>
      <x:c r="P1097" s="22"/>
      <x:c r="Q1097" s="22"/>
      <x:c r="R1097" s="28"/>
      <x:c r="S1097" s="22"/>
      <x:c r="T1097" s="37" t="n">
        <x:f>K1097</x:f>
        <x:v>74</x:v>
      </x:c>
      <x:c r="U1097" s="21" t="str">
        <x:f>IF(J1097="Рассчитано",N1097*(1-O1097/100),"н/д")</x:f>
        <x:v>н/д</x:v>
      </x:c>
      <x:c r="V1097" s="21" t="str">
        <x:f>IF(J1097="Рассчитано",T1097*U1097,"н/д")</x:f>
        <x:v>н/д</x:v>
      </x:c>
      <x:c r="W1097" s="21" t="str">
        <x:f>IF(J1097="Рассчитано",T1097*M1097,"н/д")</x:f>
        <x:v>н/д</x:v>
      </x:c>
      <x:c r="X1097" s="21" t="str">
        <x:f>IF(J1097="Рассчитано",V1097-W1097,"н/д")</x:f>
        <x:v>н/д</x:v>
      </x:c>
      <x:c r="Y1097" s="27" t="str">
        <x:f>IF(J1097="Рассчитано",IF(V1097&gt;0,G1097/V1097,"н/д"),"н/д")</x:f>
        <x:v>н/д</x:v>
      </x:c>
      <x:c r="Z1097" s="21" t="str">
        <x:f>"н/д"</x:f>
        <x:v>н/д</x:v>
      </x:c>
      <x:c r="AA1097" s="21" t="str">
        <x:f>"н/д"</x:f>
        <x:v>н/д</x:v>
      </x:c>
      <x:c r="AB1097" s="21" t="str">
        <x:f>"н/д"</x:f>
        <x:v>н/д</x:v>
      </x:c>
      <x:c r="AC1097" s="21" t="str">
        <x:f>IF(AND(J1097="Рассчитано",T1097&gt;0,R1097&lt;100),(W1097+P1097+Q1097)/(T1097*(1-R1097/100)),"н/д")</x:f>
        <x:v>н/д</x:v>
      </x:c>
      <x:c r="AD1097" s="10" t="str">
        <x:f>IF(ISNUMBER(G1097),IF(G1097&lt;0,"Убыток",IF(G1097=0,"Без прибыли","Прибыль &gt; 0")),"Не оценён")</x:f>
        <x:v>Не оценён</x:v>
      </x:c>
      <x:c r="AE1097" s="13" t="str">
        <x:f>IF(J1097="Рассчитано","Выручка "&amp;TEXT(V1097,"0.00")&amp;" - себестоимость "&amp;TEXT(W1097,"0.00")&amp;" - комиссия "&amp;TEXT(V1097*R1097/100,"0.00")&amp;" - доставка "&amp;TEXT(P1097,"0.00")&amp;" - прочие "&amp;TEXT(Q1097,"0.00")&amp;" = "&amp;TEXT(G1097,"0.00")&amp;" "&amp;L1097,"Введите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7" s="24" t="n">
        <x:v>227.1477328755016</x:v>
      </x:c>
      <x:c r="AG1097" s="37" t="n">
        <x:v>302</x:v>
      </x:c>
      <x:c r="AH1097" s="37" t="n">
        <x:v>20</x:v>
      </x:c>
      <x:c r="AI1097" s="30" t="n">
        <x:v>46266</x:v>
      </x:c>
      <x:c r="AJ1097" s="37" t="n">
        <x:v>1</x:v>
      </x:c>
      <x:c r="AK1097" s="10" t="str">
        <x:v>минимум</x:v>
      </x:c>
      <x:c r="AL1097" s="32" t="n">
        <x:v>113.06223873894038</x:v>
      </x:c>
      <x:c r="AM1097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097" s="13" t="str">
        <x:v>Проверить свободный остаток и установить цену для B2B</x:v>
      </x:c>
      <x:c r="AO1097" s="13" t="str">
        <x:v>Остаток 302; прогноз 90 дней 227.15; избыток 74 шт. Будущие поступления не выставляются на продажу. Остаток на начало сентября: требуется актуализация.</x:v>
      </x:c>
      <x:c r="AP1097" s="13" t="str">
        <x:v>["category_missing", "daily_stockout_data_missing", "large_orders_detected", "new_order_lead_time_unknown", "reservations_unknown", "stale_stock", "transaction_month_mismatch"]</x:v>
      </x:c>
      <x:c r="AQ1097" s="10" t="str">
        <x:v>IEK:280200054_</x:v>
      </x:c>
      <x:c r="AR1097" s="24" t="n">
        <x:v>1</x:v>
      </x:c>
      <x:c r="AS1097" s="24" t="n">
        <x:v>0</x:v>
      </x:c>
      <x:c r="AT1097" s="24" t="n">
        <x:v>0</x:v>
      </x:c>
    </x:row>
    <x:row r="1098" ht="64" customHeight="1">
      <x:c r="A1098" s="11" t="str">
        <x:v>IEK</x:v>
      </x:c>
      <x:c r="B1098" s="33" t="str">
        <x:v>280200055_</x:v>
      </x:c>
      <x:c r="C1098" s="33" t="str">
        <x:v>CKMP10D-P-040-016-K01</x:v>
      </x:c>
      <x:c r="D1098" s="12" t="str">
        <x:v>Поворот 90° КМП 40х16 Белый ЭЛЕКОР IEK (4)</x:v>
      </x:c>
      <x:c r="E1098" s="11" t="str">
        <x:v>шт</x:v>
      </x:c>
      <x:c r="F1098" s="35" t="n">
        <x:f>MAX(0,ROUNDDOWN((AG1098-AF1098)/AR1098+0.000000001,0)*AR1098)</x:f>
        <x:v>123</x:v>
      </x:c>
      <x:c r="G1098" s="20" t="str">
        <x:f>IF(J1098="Рассчитано",V1098*(1-R1098/100)-W1098-P1098-Q1098,"н/д")</x:f>
        <x:v>н/д</x:v>
      </x:c>
      <x:c r="H1098" s="12" t="str">
        <x:v>Высокий</x:v>
      </x:c>
      <x:c r="I1098" s="12" t="str">
        <x:v>Высокий</x:v>
      </x:c>
      <x:c r="J1098" s="12" t="str">
        <x:f>IF(L1098="","Укажите валюту",IF(NOT(ISNUMBER(K1098)),"Укажите объём",IF(K1098&lt;=0,"Укажите объём",IF(K1098&gt;F1098,"Объём выше излишка",IF(COUNT(M1098:O1098)&lt;3,"Нужны цены",IF(COUNT(P1098:R1098)&lt;3,"Нужны расходы",IF(OR(M1098&lt;0,N1098&lt;0,O1098&lt;0,O1098&gt;100,P1098&lt;0,Q1098&lt;0,R1098&lt;0,R1098&gt;100),"Проверьте значения","Рассчитано")))))))</x:f>
        <x:v>Нужны цены</x:v>
      </x:c>
      <x:c r="K1098" s="36" t="n">
        <x:v>123</x:v>
      </x:c>
      <x:c r="L1098" s="19" t="str">
        <x:v>KZT</x:v>
      </x:c>
      <x:c r="M1098" s="22"/>
      <x:c r="N1098" s="22"/>
      <x:c r="O1098" s="28"/>
      <x:c r="P1098" s="22"/>
      <x:c r="Q1098" s="22"/>
      <x:c r="R1098" s="28"/>
      <x:c r="S1098" s="22"/>
      <x:c r="T1098" s="35" t="n">
        <x:f>K1098</x:f>
        <x:v>123</x:v>
      </x:c>
      <x:c r="U1098" s="20" t="str">
        <x:f>IF(J1098="Рассчитано",N1098*(1-O1098/100),"н/д")</x:f>
        <x:v>н/д</x:v>
      </x:c>
      <x:c r="V1098" s="20" t="str">
        <x:f>IF(J1098="Рассчитано",T1098*U1098,"н/д")</x:f>
        <x:v>н/д</x:v>
      </x:c>
      <x:c r="W1098" s="20" t="str">
        <x:f>IF(J1098="Рассчитано",T1098*M1098,"н/д")</x:f>
        <x:v>н/д</x:v>
      </x:c>
      <x:c r="X1098" s="20" t="str">
        <x:f>IF(J1098="Рассчитано",V1098-W1098,"н/д")</x:f>
        <x:v>н/д</x:v>
      </x:c>
      <x:c r="Y1098" s="26" t="str">
        <x:f>IF(J1098="Рассчитано",IF(V1098&gt;0,G1098/V1098,"н/д"),"н/д")</x:f>
        <x:v>н/д</x:v>
      </x:c>
      <x:c r="Z1098" s="20" t="str">
        <x:f>"н/д"</x:f>
        <x:v>н/д</x:v>
      </x:c>
      <x:c r="AA1098" s="20" t="str">
        <x:f>"н/д"</x:f>
        <x:v>н/д</x:v>
      </x:c>
      <x:c r="AB1098" s="20" t="str">
        <x:f>"н/д"</x:f>
        <x:v>н/д</x:v>
      </x:c>
      <x:c r="AC1098" s="20" t="str">
        <x:f>IF(AND(J1098="Рассчитано",T1098&gt;0,R1098&lt;100),(W1098+P1098+Q1098)/(T1098*(1-R1098/100)),"н/д")</x:f>
        <x:v>н/д</x:v>
      </x:c>
      <x:c r="AD1098" s="11" t="str">
        <x:f>IF(ISNUMBER(G1098),IF(G1098&lt;0,"Убыток",IF(G1098=0,"Без прибыли","Прибыль &gt; 0")),"Не оценён")</x:f>
        <x:v>Не оценён</x:v>
      </x:c>
      <x:c r="AE1098" s="12" t="str">
        <x:f>IF(J1098="Рассчитано","Выручка "&amp;TEXT(V1098,"0.00")&amp;" - себестоимость "&amp;TEXT(W1098,"0.00")&amp;" - комиссия "&amp;TEXT(V1098*R1098/100,"0.00")&amp;" - доставка "&amp;TEXT(P1098,"0.00")&amp;" - прочие "&amp;TEXT(Q1098,"0.00")&amp;" = "&amp;TEXT(G1098,"0.00")&amp;" "&amp;L1098,"Введите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8" s="23" t="n">
        <x:v>21.31838054419944</x:v>
      </x:c>
      <x:c r="AG1098" s="35" t="n">
        <x:v>145</x:v>
      </x:c>
      <x:c r="AH1098" s="35" t="n">
        <x:v>0</x:v>
      </x:c>
      <x:c r="AI1098" s="29" t="n">
        <x:v>46266</x:v>
      </x:c>
      <x:c r="AJ1098" s="35" t="n">
        <x:v>1</x:v>
      </x:c>
      <x:c r="AK1098" s="11" t="str">
        <x:v>минимум</x:v>
      </x:c>
      <x:c r="AL1098" s="31" t="n">
        <x:v>578.4060622758598</x:v>
      </x:c>
      <x:c r="AM109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098" s="12" t="str">
        <x:v>Проверить свободный остаток и установить цену для B2B</x:v>
      </x:c>
      <x:c r="AO1098" s="12" t="str">
        <x:v>Остаток 145; прогноз 90 дней 21.32; избыток 123 шт. Будущие поступления не выставляются на продажу. Остаток на начало сентября: требуется актуализация.</x:v>
      </x:c>
      <x:c r="AP1098" s="12" t="str">
        <x:v>["category_missing", "daily_stockout_data_missing", "new_order_lead_time_unknown", "reservations_unknown", "stale_stock"]</x:v>
      </x:c>
      <x:c r="AQ1098" s="11" t="str">
        <x:v>IEK:280200055_</x:v>
      </x:c>
      <x:c r="AR1098" s="23" t="n">
        <x:v>1</x:v>
      </x:c>
      <x:c r="AS1098" s="23" t="n">
        <x:v>0</x:v>
      </x:c>
      <x:c r="AT1098" s="23" t="n">
        <x:v>0</x:v>
      </x:c>
    </x:row>
    <x:row r="1099" ht="64" customHeight="1">
      <x:c r="A1099" s="10" t="str">
        <x:v>IEK</x:v>
      </x:c>
      <x:c r="B1099" s="34" t="str">
        <x:v>280200059_</x:v>
      </x:c>
      <x:c r="C1099" s="34" t="str">
        <x:v>CKMP10D-S-100-060-K01</x:v>
      </x:c>
      <x:c r="D1099" s="13" t="str">
        <x:v>Соединитель на стык КМС 100х60 Белый ЭЛЕКОР IEK (2)</x:v>
      </x:c>
      <x:c r="E1099" s="10" t="str">
        <x:v>шт</x:v>
      </x:c>
      <x:c r="F1099" s="37" t="n">
        <x:f>MAX(0,ROUNDDOWN((AG1099-AF1099)/AR1099+0.000000001,0)*AR1099)</x:f>
        <x:v>23</x:v>
      </x:c>
      <x:c r="G1099" s="21" t="str">
        <x:f>IF(J1099="Рассчитано",V1099*(1-R1099/100)-W1099-P1099-Q1099,"н/д")</x:f>
        <x:v>н/д</x:v>
      </x:c>
      <x:c r="H1099" s="13" t="str">
        <x:v>Высокий</x:v>
      </x:c>
      <x:c r="I1099" s="13" t="str">
        <x:v>Средний</x:v>
      </x:c>
      <x:c r="J1099" s="13" t="str">
        <x:f>IF(L1099="","Укажите валюту",IF(NOT(ISNUMBER(K1099)),"Укажите объём",IF(K1099&lt;=0,"Укажите объём",IF(K1099&gt;F1099,"Объём выше излишка",IF(COUNT(M1099:O1099)&lt;3,"Нужны цены",IF(COUNT(P1099:R1099)&lt;3,"Нужны расходы",IF(OR(M1099&lt;0,N1099&lt;0,O1099&lt;0,O1099&gt;100,P1099&lt;0,Q1099&lt;0,R1099&lt;0,R1099&gt;100),"Проверьте значения","Рассчитано")))))))</x:f>
        <x:v>Нужны цены</x:v>
      </x:c>
      <x:c r="K1099" s="36" t="n">
        <x:v>23</x:v>
      </x:c>
      <x:c r="L1099" s="19" t="str">
        <x:v>KZT</x:v>
      </x:c>
      <x:c r="M1099" s="22"/>
      <x:c r="N1099" s="22"/>
      <x:c r="O1099" s="28"/>
      <x:c r="P1099" s="22"/>
      <x:c r="Q1099" s="22"/>
      <x:c r="R1099" s="28"/>
      <x:c r="S1099" s="22"/>
      <x:c r="T1099" s="37" t="n">
        <x:f>K1099</x:f>
        <x:v>23</x:v>
      </x:c>
      <x:c r="U1099" s="21" t="str">
        <x:f>IF(J1099="Рассчитано",N1099*(1-O1099/100),"н/д")</x:f>
        <x:v>н/д</x:v>
      </x:c>
      <x:c r="V1099" s="21" t="str">
        <x:f>IF(J1099="Рассчитано",T1099*U1099,"н/д")</x:f>
        <x:v>н/д</x:v>
      </x:c>
      <x:c r="W1099" s="21" t="str">
        <x:f>IF(J1099="Рассчитано",T1099*M1099,"н/д")</x:f>
        <x:v>н/д</x:v>
      </x:c>
      <x:c r="X1099" s="21" t="str">
        <x:f>IF(J1099="Рассчитано",V1099-W1099,"н/д")</x:f>
        <x:v>н/д</x:v>
      </x:c>
      <x:c r="Y1099" s="27" t="str">
        <x:f>IF(J1099="Рассчитано",IF(V1099&gt;0,G1099/V1099,"н/д"),"н/д")</x:f>
        <x:v>н/д</x:v>
      </x:c>
      <x:c r="Z1099" s="21" t="str">
        <x:f>"н/д"</x:f>
        <x:v>н/д</x:v>
      </x:c>
      <x:c r="AA1099" s="21" t="str">
        <x:f>"н/д"</x:f>
        <x:v>н/д</x:v>
      </x:c>
      <x:c r="AB1099" s="21" t="str">
        <x:f>"н/д"</x:f>
        <x:v>н/д</x:v>
      </x:c>
      <x:c r="AC1099" s="21" t="str">
        <x:f>IF(AND(J1099="Рассчитано",T1099&gt;0,R1099&lt;100),(W1099+P1099+Q1099)/(T1099*(1-R1099/100)),"н/д")</x:f>
        <x:v>н/д</x:v>
      </x:c>
      <x:c r="AD1099" s="10" t="str">
        <x:f>IF(ISNUMBER(G1099),IF(G1099&lt;0,"Убыток",IF(G1099=0,"Без прибыли","Прибыль &gt; 0")),"Не оценён")</x:f>
        <x:v>Не оценён</x:v>
      </x:c>
      <x:c r="AE1099" s="13" t="str">
        <x:f>IF(J1099="Рассчитано","Выручка "&amp;TEXT(V1099,"0.00")&amp;" - себестоимость "&amp;TEXT(W1099,"0.00")&amp;" - комиссия "&amp;TEXT(V1099*R1099/100,"0.00")&amp;" - доставка "&amp;TEXT(P1099,"0.00")&amp;" - прочие "&amp;TEXT(Q1099,"0.00")&amp;" = "&amp;TEXT(G1099,"0.00")&amp;" "&amp;L1099,"Введите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9" s="24" t="n">
        <x:v>179.97870037989028</x:v>
      </x:c>
      <x:c r="AG1099" s="37" t="n">
        <x:v>203</x:v>
      </x:c>
      <x:c r="AH1099" s="37" t="n">
        <x:v>52</x:v>
      </x:c>
      <x:c r="AI1099" s="30" t="n">
        <x:v>46266</x:v>
      </x:c>
      <x:c r="AJ1099" s="37" t="n">
        <x:v>26</x:v>
      </x:c>
      <x:c r="AK1099" s="10" t="str">
        <x:v>минимум</x:v>
      </x:c>
      <x:c r="AL1099" s="32" t="n">
        <x:v>95.91664305886422</x:v>
      </x:c>
      <x:c r="AM1099" s="13" t="str">
        <x:v>Остаток на начало сентября; Резервы неизвестны; Нет ежедневных данных доступности. Запас выше прогноза на 90 дней</x:v>
      </x:c>
      <x:c r="AN1099" s="13" t="str">
        <x:v>Проверить свободный остаток и установить цену для B2B</x:v>
      </x:c>
      <x:c r="AO1099" s="13" t="str">
        <x:v>Остаток 203; прогноз 90 дней 179.98; избыток 23 шт. Будущие поступления не выставляются на продажу. Остаток на начало сентября: требуется актуализация.</x:v>
      </x:c>
      <x:c r="AP1099" s="13" t="str">
        <x:v>["category_missing", "daily_stockout_data_missing", "new_order_lead_time_unknown", "reservations_unknown", "stale_stock"]</x:v>
      </x:c>
      <x:c r="AQ1099" s="10" t="str">
        <x:v>IEK:280200059_</x:v>
      </x:c>
      <x:c r="AR1099" s="24" t="n">
        <x:v>1</x:v>
      </x:c>
      <x:c r="AS1099" s="24" t="n">
        <x:v>0</x:v>
      </x:c>
      <x:c r="AT1099" s="24" t="n">
        <x:v>0</x:v>
      </x:c>
    </x:row>
    <x:row r="1100" ht="64" customHeight="1">
      <x:c r="A1100" s="11" t="str">
        <x:v>IEK</x:v>
      </x:c>
      <x:c r="B1100" s="33" t="str">
        <x:v>280200063_</x:v>
      </x:c>
      <x:c r="C1100" s="33" t="str">
        <x:v>CKMP10D-S-040-016-K01</x:v>
      </x:c>
      <x:c r="D1100" s="12" t="str">
        <x:v>Соединитель на стык КМС 40х16 Белый ЭЛЕКОР IEK (4)</x:v>
      </x:c>
      <x:c r="E1100" s="11" t="str">
        <x:v>шт</x:v>
      </x:c>
      <x:c r="F1100" s="35" t="n">
        <x:f>MAX(0,ROUNDDOWN((AG1100-AF1100)/AR1100+0.000000001,0)*AR1100)</x:f>
        <x:v>320</x:v>
      </x:c>
      <x:c r="G1100" s="20" t="str">
        <x:f>IF(J1100="Рассчитано",V1100*(1-R1100/100)-W1100-P1100-Q1100,"н/д")</x:f>
        <x:v>н/д</x:v>
      </x:c>
      <x:c r="H1100" s="12" t="str">
        <x:v>Высокий</x:v>
      </x:c>
      <x:c r="I1100" s="12" t="str">
        <x:v>Высокий</x:v>
      </x:c>
      <x:c r="J1100" s="12" t="str">
        <x:f>IF(L1100="","Укажите валюту",IF(NOT(ISNUMBER(K1100)),"Укажите объём",IF(K1100&lt;=0,"Укажите объём",IF(K1100&gt;F1100,"Объём выше излишка",IF(COUNT(M1100:O1100)&lt;3,"Нужны цены",IF(COUNT(P1100:R1100)&lt;3,"Нужны расходы",IF(OR(M1100&lt;0,N1100&lt;0,O1100&lt;0,O1100&gt;100,P1100&lt;0,Q1100&lt;0,R1100&lt;0,R1100&gt;100),"Проверьте значения","Рассчитано")))))))</x:f>
        <x:v>Нужны цены</x:v>
      </x:c>
      <x:c r="K1100" s="36" t="n">
        <x:v>320</x:v>
      </x:c>
      <x:c r="L1100" s="19" t="str">
        <x:v>KZT</x:v>
      </x:c>
      <x:c r="M1100" s="22"/>
      <x:c r="N1100" s="22"/>
      <x:c r="O1100" s="28"/>
      <x:c r="P1100" s="22"/>
      <x:c r="Q1100" s="22"/>
      <x:c r="R1100" s="28"/>
      <x:c r="S1100" s="22"/>
      <x:c r="T1100" s="35" t="n">
        <x:f>K1100</x:f>
        <x:v>320</x:v>
      </x:c>
      <x:c r="U1100" s="20" t="str">
        <x:f>IF(J1100="Рассчитано",N1100*(1-O1100/100),"н/д")</x:f>
        <x:v>н/д</x:v>
      </x:c>
      <x:c r="V1100" s="20" t="str">
        <x:f>IF(J1100="Рассчитано",T1100*U1100,"н/д")</x:f>
        <x:v>н/д</x:v>
      </x:c>
      <x:c r="W1100" s="20" t="str">
        <x:f>IF(J1100="Рассчитано",T1100*M1100,"н/д")</x:f>
        <x:v>н/д</x:v>
      </x:c>
      <x:c r="X1100" s="20" t="str">
        <x:f>IF(J1100="Рассчитано",V1100-W1100,"н/д")</x:f>
        <x:v>н/д</x:v>
      </x:c>
      <x:c r="Y1100" s="26" t="str">
        <x:f>IF(J1100="Рассчитано",IF(V1100&gt;0,G1100/V1100,"н/д"),"н/д")</x:f>
        <x:v>н/д</x:v>
      </x:c>
      <x:c r="Z1100" s="20" t="str">
        <x:f>"н/д"</x:f>
        <x:v>н/д</x:v>
      </x:c>
      <x:c r="AA1100" s="20" t="str">
        <x:f>"н/д"</x:f>
        <x:v>н/д</x:v>
      </x:c>
      <x:c r="AB1100" s="20" t="str">
        <x:f>"н/д"</x:f>
        <x:v>н/д</x:v>
      </x:c>
      <x:c r="AC1100" s="20" t="str">
        <x:f>IF(AND(J1100="Рассчитано",T1100&gt;0,R1100&lt;100),(W1100+P1100+Q1100)/(T1100*(1-R1100/100)),"н/д")</x:f>
        <x:v>н/д</x:v>
      </x:c>
      <x:c r="AD1100" s="11" t="str">
        <x:f>IF(ISNUMBER(G1100),IF(G1100&lt;0,"Убыток",IF(G1100=0,"Без прибыли","Прибыль &gt; 0")),"Не оценён")</x:f>
        <x:v>Не оценён</x:v>
      </x:c>
      <x:c r="AE1100" s="12" t="str">
        <x:f>IF(J1100="Рассчитано","Выручка "&amp;TEXT(V1100,"0.00")&amp;" - себестоимость "&amp;TEXT(W1100,"0.00")&amp;" - комиссия "&amp;TEXT(V1100*R1100/100,"0.00")&amp;" - доставка "&amp;TEXT(P1100,"0.00")&amp;" - прочие "&amp;TEXT(Q1100,"0.00")&amp;" = "&amp;TEXT(G1100,"0.00")&amp;" "&amp;L1100,"Введите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0" s="23" t="n">
        <x:v>13.046319232718815</x:v>
      </x:c>
      <x:c r="AG1100" s="35" t="n">
        <x:v>334</x:v>
      </x:c>
      <x:c r="AH1100" s="35" t="n">
        <x:v>0</x:v>
      </x:c>
      <x:c r="AI1100" s="29" t="n">
        <x:v>46266</x:v>
      </x:c>
      <x:c r="AJ1100" s="35" t="n">
        <x:v>1</x:v>
      </x:c>
      <x:c r="AK1100" s="11" t="str">
        <x:v>минимум</x:v>
      </x:c>
      <x:c r="AL1100" s="31" t="n">
        <x:v>2177.0956492917267</x:v>
      </x:c>
      <x:c r="AM110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00" s="12" t="str">
        <x:v>Проверить свободный остаток и установить цену для B2B</x:v>
      </x:c>
      <x:c r="AO1100" s="12" t="str">
        <x:v>Остаток 334; прогноз 90 дней 13.05; избыток 320 шт. Будущие поступления не выставляются на продажу. Остаток на начало сентября: требуется актуализация.</x:v>
      </x:c>
      <x:c r="AP1100" s="12" t="str">
        <x:v>["category_missing", "daily_stockout_data_missing", "new_order_lead_time_unknown", "reservations_unknown", "stale_stock"]</x:v>
      </x:c>
      <x:c r="AQ1100" s="11" t="str">
        <x:v>IEK:280200063_</x:v>
      </x:c>
      <x:c r="AR1100" s="23" t="n">
        <x:v>1</x:v>
      </x:c>
      <x:c r="AS1100" s="23" t="n">
        <x:v>0</x:v>
      </x:c>
      <x:c r="AT1100" s="23" t="n">
        <x:v>0</x:v>
      </x:c>
    </x:row>
    <x:row r="1101" ht="64" customHeight="1">
      <x:c r="A1101" s="10" t="str">
        <x:v>IEK</x:v>
      </x:c>
      <x:c r="B1101" s="34" t="str">
        <x:v>280200069_</x:v>
      </x:c>
      <x:c r="C1101" s="34" t="str">
        <x:v>CKMP10D-T-016-016-K01</x:v>
      </x:c>
      <x:c r="D1101" s="13" t="str">
        <x:v>Т-образный угол КМТ 16х16 Белый ЭЛЕКОР IEK (4)</x:v>
      </x:c>
      <x:c r="E1101" s="10" t="str">
        <x:v>шт</x:v>
      </x:c>
      <x:c r="F1101" s="37" t="n">
        <x:f>MAX(0,ROUNDDOWN((AG1101-AF1101)/AR1101+0.000000001,0)*AR1101)</x:f>
        <x:v>78</x:v>
      </x:c>
      <x:c r="G1101" s="21" t="str">
        <x:f>IF(J1101="Рассчитано",V1101*(1-R1101/100)-W1101-P1101-Q1101,"н/д")</x:f>
        <x:v>н/д</x:v>
      </x:c>
      <x:c r="H1101" s="13" t="str">
        <x:v>Высокий</x:v>
      </x:c>
      <x:c r="I1101" s="13" t="str">
        <x:v>Высокий</x:v>
      </x:c>
      <x:c r="J1101" s="13" t="str">
        <x:f>IF(L1101="","Укажите валюту",IF(NOT(ISNUMBER(K1101)),"Укажите объём",IF(K1101&lt;=0,"Укажите объём",IF(K1101&gt;F1101,"Объём выше излишка",IF(COUNT(M1101:O1101)&lt;3,"Нужны цены",IF(COUNT(P1101:R1101)&lt;3,"Нужны расходы",IF(OR(M1101&lt;0,N1101&lt;0,O1101&lt;0,O1101&gt;100,P1101&lt;0,Q1101&lt;0,R1101&lt;0,R1101&gt;100),"Проверьте значения","Рассчитано")))))))</x:f>
        <x:v>Нужны цены</x:v>
      </x:c>
      <x:c r="K1101" s="36" t="n">
        <x:v>78</x:v>
      </x:c>
      <x:c r="L1101" s="19" t="str">
        <x:v>KZT</x:v>
      </x:c>
      <x:c r="M1101" s="22"/>
      <x:c r="N1101" s="22"/>
      <x:c r="O1101" s="28"/>
      <x:c r="P1101" s="22"/>
      <x:c r="Q1101" s="22"/>
      <x:c r="R1101" s="28"/>
      <x:c r="S1101" s="22"/>
      <x:c r="T1101" s="37" t="n">
        <x:f>K1101</x:f>
        <x:v>78</x:v>
      </x:c>
      <x:c r="U1101" s="21" t="str">
        <x:f>IF(J1101="Рассчитано",N1101*(1-O1101/100),"н/д")</x:f>
        <x:v>н/д</x:v>
      </x:c>
      <x:c r="V1101" s="21" t="str">
        <x:f>IF(J1101="Рассчитано",T1101*U1101,"н/д")</x:f>
        <x:v>н/д</x:v>
      </x:c>
      <x:c r="W1101" s="21" t="str">
        <x:f>IF(J1101="Рассчитано",T1101*M1101,"н/д")</x:f>
        <x:v>н/д</x:v>
      </x:c>
      <x:c r="X1101" s="21" t="str">
        <x:f>IF(J1101="Рассчитано",V1101-W1101,"н/д")</x:f>
        <x:v>н/д</x:v>
      </x:c>
      <x:c r="Y1101" s="27" t="str">
        <x:f>IF(J1101="Рассчитано",IF(V1101&gt;0,G1101/V1101,"н/д"),"н/д")</x:f>
        <x:v>н/д</x:v>
      </x:c>
      <x:c r="Z1101" s="21" t="str">
        <x:f>"н/д"</x:f>
        <x:v>н/д</x:v>
      </x:c>
      <x:c r="AA1101" s="21" t="str">
        <x:f>"н/д"</x:f>
        <x:v>н/д</x:v>
      </x:c>
      <x:c r="AB1101" s="21" t="str">
        <x:f>"н/д"</x:f>
        <x:v>н/д</x:v>
      </x:c>
      <x:c r="AC1101" s="21" t="str">
        <x:f>IF(AND(J1101="Рассчитано",T1101&gt;0,R1101&lt;100),(W1101+P1101+Q1101)/(T1101*(1-R1101/100)),"н/д")</x:f>
        <x:v>н/д</x:v>
      </x:c>
      <x:c r="AD1101" s="10" t="str">
        <x:f>IF(ISNUMBER(G1101),IF(G1101&lt;0,"Убыток",IF(G1101=0,"Без прибыли","Прибыль &gt; 0")),"Не оценён")</x:f>
        <x:v>Не оценён</x:v>
      </x:c>
      <x:c r="AE1101" s="13" t="str">
        <x:f>IF(J1101="Рассчитано","Выручка "&amp;TEXT(V1101,"0.00")&amp;" - себестоимость "&amp;TEXT(W1101,"0.00")&amp;" - комиссия "&amp;TEXT(V1101*R1101/100,"0.00")&amp;" - доставка "&amp;TEXT(P1101,"0.00")&amp;" - прочие "&amp;TEXT(Q1101,"0.00")&amp;" = "&amp;TEXT(G1101,"0.00")&amp;" "&amp;L1101,"Введите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1" s="24" t="n">
        <x:v>19.148811719225314</x:v>
      </x:c>
      <x:c r="AG1101" s="37" t="n">
        <x:v>98</x:v>
      </x:c>
      <x:c r="AH1101" s="37" t="n">
        <x:v>0</x:v>
      </x:c>
      <x:c r="AI1101" s="30" t="n">
        <x:v>46266</x:v>
      </x:c>
      <x:c r="AJ1101" s="37" t="n">
        <x:v>1</x:v>
      </x:c>
      <x:c r="AK1101" s="10" t="str">
        <x:v>минимум</x:v>
      </x:c>
      <x:c r="AL1101" s="32" t="n">
        <x:v>435.21443454924724</x:v>
      </x:c>
      <x:c r="AM110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01" s="13" t="str">
        <x:v>Проверить свободный остаток и установить цену для B2B</x:v>
      </x:c>
      <x:c r="AO1101" s="13" t="str">
        <x:v>Остаток 98; прогноз 90 дней 19.15; избыток 78 шт. Будущие поступления не выставляются на продажу. Остаток на начало сентября: требуется актуализация.</x:v>
      </x:c>
      <x:c r="AP1101" s="13" t="str">
        <x:v>["category_missing", "daily_stockout_data_missing", "new_order_lead_time_unknown", "reservations_unknown", "stale_stock"]</x:v>
      </x:c>
      <x:c r="AQ1101" s="10" t="str">
        <x:v>IEK:280200069_</x:v>
      </x:c>
      <x:c r="AR1101" s="24" t="n">
        <x:v>1</x:v>
      </x:c>
      <x:c r="AS1101" s="24" t="n">
        <x:v>0</x:v>
      </x:c>
      <x:c r="AT1101" s="24" t="n">
        <x:v>0</x:v>
      </x:c>
    </x:row>
    <x:row r="1102" ht="64" customHeight="1">
      <x:c r="A1102" s="11" t="str">
        <x:v>IEK</x:v>
      </x:c>
      <x:c r="B1102" s="33" t="str">
        <x:v>280200070_</x:v>
      </x:c>
      <x:c r="C1102" s="33" t="str">
        <x:v>CKMP10D-T-020-010-K01</x:v>
      </x:c>
      <x:c r="D1102" s="12" t="str">
        <x:v>Т-образный угол КМТ 20х10 Белый ЭЛЕКОР IEK (4)</x:v>
      </x:c>
      <x:c r="E1102" s="11" t="str">
        <x:v>шт</x:v>
      </x:c>
      <x:c r="F1102" s="35" t="n">
        <x:f>MAX(0,ROUNDDOWN((AG1102-AF1102)/AR1102+0.000000001,0)*AR1102)</x:f>
        <x:v>61</x:v>
      </x:c>
      <x:c r="G1102" s="20" t="str">
        <x:f>IF(J1102="Рассчитано",V1102*(1-R1102/100)-W1102-P1102-Q1102,"н/д")</x:f>
        <x:v>н/д</x:v>
      </x:c>
      <x:c r="H1102" s="12" t="str">
        <x:v>Высокий</x:v>
      </x:c>
      <x:c r="I1102" s="12" t="str">
        <x:v>Высокий</x:v>
      </x:c>
      <x:c r="J1102" s="12" t="str">
        <x:f>IF(L1102="","Укажите валюту",IF(NOT(ISNUMBER(K1102)),"Укажите объём",IF(K1102&lt;=0,"Укажите объём",IF(K1102&gt;F1102,"Объём выше излишка",IF(COUNT(M1102:O1102)&lt;3,"Нужны цены",IF(COUNT(P1102:R1102)&lt;3,"Нужны расходы",IF(OR(M1102&lt;0,N1102&lt;0,O1102&lt;0,O1102&gt;100,P1102&lt;0,Q1102&lt;0,R1102&lt;0,R1102&gt;100),"Проверьте значения","Рассчитано")))))))</x:f>
        <x:v>Нужны цены</x:v>
      </x:c>
      <x:c r="K1102" s="36" t="n">
        <x:v>61</x:v>
      </x:c>
      <x:c r="L1102" s="19" t="str">
        <x:v>KZT</x:v>
      </x:c>
      <x:c r="M1102" s="22"/>
      <x:c r="N1102" s="22"/>
      <x:c r="O1102" s="28"/>
      <x:c r="P1102" s="22"/>
      <x:c r="Q1102" s="22"/>
      <x:c r="R1102" s="28"/>
      <x:c r="S1102" s="22"/>
      <x:c r="T1102" s="35" t="n">
        <x:f>K1102</x:f>
        <x:v>61</x:v>
      </x:c>
      <x:c r="U1102" s="20" t="str">
        <x:f>IF(J1102="Рассчитано",N1102*(1-O1102/100),"н/д")</x:f>
        <x:v>н/д</x:v>
      </x:c>
      <x:c r="V1102" s="20" t="str">
        <x:f>IF(J1102="Рассчитано",T1102*U1102,"н/д")</x:f>
        <x:v>н/д</x:v>
      </x:c>
      <x:c r="W1102" s="20" t="str">
        <x:f>IF(J1102="Рассчитано",T1102*M1102,"н/д")</x:f>
        <x:v>н/д</x:v>
      </x:c>
      <x:c r="X1102" s="20" t="str">
        <x:f>IF(J1102="Рассчитано",V1102-W1102,"н/д")</x:f>
        <x:v>н/д</x:v>
      </x:c>
      <x:c r="Y1102" s="26" t="str">
        <x:f>IF(J1102="Рассчитано",IF(V1102&gt;0,G1102/V1102,"н/д"),"н/д")</x:f>
        <x:v>н/д</x:v>
      </x:c>
      <x:c r="Z1102" s="20" t="str">
        <x:f>"н/д"</x:f>
        <x:v>н/д</x:v>
      </x:c>
      <x:c r="AA1102" s="20" t="str">
        <x:f>"н/д"</x:f>
        <x:v>н/д</x:v>
      </x:c>
      <x:c r="AB1102" s="20" t="str">
        <x:f>"н/д"</x:f>
        <x:v>н/д</x:v>
      </x:c>
      <x:c r="AC1102" s="20" t="str">
        <x:f>IF(AND(J1102="Рассчитано",T1102&gt;0,R1102&lt;100),(W1102+P1102+Q1102)/(T1102*(1-R1102/100)),"н/д")</x:f>
        <x:v>н/д</x:v>
      </x:c>
      <x:c r="AD1102" s="11" t="str">
        <x:f>IF(ISNUMBER(G1102),IF(G1102&lt;0,"Убыток",IF(G1102=0,"Без прибыли","Прибыль &gt; 0")),"Не оценён")</x:f>
        <x:v>Не оценён</x:v>
      </x:c>
      <x:c r="AE1102" s="12" t="str">
        <x:f>IF(J1102="Рассчитано","Выручка "&amp;TEXT(V1102,"0.00")&amp;" - себестоимость "&amp;TEXT(W1102,"0.00")&amp;" - комиссия "&amp;TEXT(V1102*R1102/100,"0.00")&amp;" - доставка "&amp;TEXT(P1102,"0.00")&amp;" - прочие "&amp;TEXT(Q1102,"0.00")&amp;" = "&amp;TEXT(G1102,"0.00")&amp;" "&amp;L1102,"Введите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2" s="23" t="n">
        <x:v>5.466227004603736</x:v>
      </x:c>
      <x:c r="AG1102" s="35" t="n">
        <x:v>67</x:v>
      </x:c>
      <x:c r="AH1102" s="35" t="n">
        <x:v>0</x:v>
      </x:c>
      <x:c r="AI1102" s="29" t="n">
        <x:v>46266</x:v>
      </x:c>
      <x:c r="AJ1102" s="35" t="n">
        <x:v>1</x:v>
      </x:c>
      <x:c r="AK1102" s="11" t="str">
        <x:v>минимум</x:v>
      </x:c>
      <x:c r="AL1102" s="31" t="n">
        <x:v>1042.3322702478379</x:v>
      </x:c>
      <x:c r="AM110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02" s="12" t="str">
        <x:v>Проверить свободный остаток и установить цену для B2B</x:v>
      </x:c>
      <x:c r="AO1102" s="12" t="str">
        <x:v>Остаток 67; прогноз 90 дней 5.47; избыток 61 шт. Будущие поступления не выставляются на продажу. Остаток на начало сентября: требуется актуализация.</x:v>
      </x:c>
      <x:c r="AP1102" s="12" t="str">
        <x:v>["category_missing", "daily_stockout_data_missing", "new_order_lead_time_unknown", "reservations_unknown", "stale_stock"]</x:v>
      </x:c>
      <x:c r="AQ1102" s="11" t="str">
        <x:v>IEK:280200070_</x:v>
      </x:c>
      <x:c r="AR1102" s="23" t="n">
        <x:v>1</x:v>
      </x:c>
      <x:c r="AS1102" s="23" t="n">
        <x:v>0</x:v>
      </x:c>
      <x:c r="AT1102" s="23" t="n">
        <x:v>0</x:v>
      </x:c>
    </x:row>
    <x:row r="1103" ht="64" customHeight="1">
      <x:c r="A1103" s="10" t="str">
        <x:v>IEK</x:v>
      </x:c>
      <x:c r="B1103" s="34" t="str">
        <x:v>280200071_</x:v>
      </x:c>
      <x:c r="C1103" s="34" t="str">
        <x:v>CKMP10D-T-040-016-K01</x:v>
      </x:c>
      <x:c r="D1103" s="13" t="str">
        <x:v>Т-образный угол КМТ 40х16 Белый ЭЛЕКОР IEK (4)</x:v>
      </x:c>
      <x:c r="E1103" s="10" t="str">
        <x:v>шт</x:v>
      </x:c>
      <x:c r="F1103" s="37" t="n">
        <x:f>MAX(0,ROUNDDOWN((AG1103-AF1103)/AR1103+0.000000001,0)*AR1103)</x:f>
        <x:v>79</x:v>
      </x:c>
      <x:c r="G1103" s="21" t="str">
        <x:f>IF(J1103="Рассчитано",V1103*(1-R1103/100)-W1103-P1103-Q1103,"н/д")</x:f>
        <x:v>н/д</x:v>
      </x:c>
      <x:c r="H1103" s="13" t="str">
        <x:v>Высокий</x:v>
      </x:c>
      <x:c r="I1103" s="13" t="str">
        <x:v>Высокий</x:v>
      </x:c>
      <x:c r="J1103" s="13" t="str">
        <x:f>IF(L1103="","Укажите валюту",IF(NOT(ISNUMBER(K1103)),"Укажите объём",IF(K1103&lt;=0,"Укажите объём",IF(K1103&gt;F1103,"Объём выше излишка",IF(COUNT(M1103:O1103)&lt;3,"Нужны цены",IF(COUNT(P1103:R1103)&lt;3,"Нужны расходы",IF(OR(M1103&lt;0,N1103&lt;0,O1103&lt;0,O1103&gt;100,P1103&lt;0,Q1103&lt;0,R1103&lt;0,R1103&gt;100),"Проверьте значения","Рассчитано")))))))</x:f>
        <x:v>Нужны цены</x:v>
      </x:c>
      <x:c r="K1103" s="36" t="n">
        <x:v>79</x:v>
      </x:c>
      <x:c r="L1103" s="19" t="str">
        <x:v>KZT</x:v>
      </x:c>
      <x:c r="M1103" s="22"/>
      <x:c r="N1103" s="22"/>
      <x:c r="O1103" s="28"/>
      <x:c r="P1103" s="22"/>
      <x:c r="Q1103" s="22"/>
      <x:c r="R1103" s="28"/>
      <x:c r="S1103" s="22"/>
      <x:c r="T1103" s="37" t="n">
        <x:f>K1103</x:f>
        <x:v>79</x:v>
      </x:c>
      <x:c r="U1103" s="21" t="str">
        <x:f>IF(J1103="Рассчитано",N1103*(1-O1103/100),"н/д")</x:f>
        <x:v>н/д</x:v>
      </x:c>
      <x:c r="V1103" s="21" t="str">
        <x:f>IF(J1103="Рассчитано",T1103*U1103,"н/д")</x:f>
        <x:v>н/д</x:v>
      </x:c>
      <x:c r="W1103" s="21" t="str">
        <x:f>IF(J1103="Рассчитано",T1103*M1103,"н/д")</x:f>
        <x:v>н/д</x:v>
      </x:c>
      <x:c r="X1103" s="21" t="str">
        <x:f>IF(J1103="Рассчитано",V1103-W1103,"н/д")</x:f>
        <x:v>н/д</x:v>
      </x:c>
      <x:c r="Y1103" s="27" t="str">
        <x:f>IF(J1103="Рассчитано",IF(V1103&gt;0,G1103/V1103,"н/д"),"н/д")</x:f>
        <x:v>н/д</x:v>
      </x:c>
      <x:c r="Z1103" s="21" t="str">
        <x:f>"н/д"</x:f>
        <x:v>н/д</x:v>
      </x:c>
      <x:c r="AA1103" s="21" t="str">
        <x:f>"н/д"</x:f>
        <x:v>н/д</x:v>
      </x:c>
      <x:c r="AB1103" s="21" t="str">
        <x:f>"н/д"</x:f>
        <x:v>н/д</x:v>
      </x:c>
      <x:c r="AC1103" s="21" t="str">
        <x:f>IF(AND(J1103="Рассчитано",T1103&gt;0,R1103&lt;100),(W1103+P1103+Q1103)/(T1103*(1-R1103/100)),"н/д")</x:f>
        <x:v>н/д</x:v>
      </x:c>
      <x:c r="AD1103" s="10" t="str">
        <x:f>IF(ISNUMBER(G1103),IF(G1103&lt;0,"Убыток",IF(G1103=0,"Без прибыли","Прибыль &gt; 0")),"Не оценён")</x:f>
        <x:v>Не оценён</x:v>
      </x:c>
      <x:c r="AE1103" s="13" t="str">
        <x:f>IF(J1103="Рассчитано","Выручка "&amp;TEXT(V1103,"0.00")&amp;" - себестоимость "&amp;TEXT(W1103,"0.00")&amp;" - комиссия "&amp;TEXT(V1103*R1103/100,"0.00")&amp;" - доставка "&amp;TEXT(P1103,"0.00")&amp;" - прочие "&amp;TEXT(Q1103,"0.00")&amp;" = "&amp;TEXT(G1103,"0.00")&amp;" "&amp;L1103,"Введите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3" s="24" t="n">
        <x:v>6.727252843659821</x:v>
      </x:c>
      <x:c r="AG1103" s="37" t="n">
        <x:v>86</x:v>
      </x:c>
      <x:c r="AH1103" s="37" t="n">
        <x:v>0</x:v>
      </x:c>
      <x:c r="AI1103" s="30" t="n">
        <x:v>46266</x:v>
      </x:c>
      <x:c r="AJ1103" s="37" t="n">
        <x:v>1</x:v>
      </x:c>
      <x:c r="AK1103" s="10" t="str">
        <x:v>минимум</x:v>
      </x:c>
      <x:c r="AL1103" s="32" t="n">
        <x:v>1087.125654497093</x:v>
      </x:c>
      <x:c r="AM110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03" s="13" t="str">
        <x:v>Проверить свободный остаток и установить цену для B2B</x:v>
      </x:c>
      <x:c r="AO1103" s="13" t="str">
        <x:v>Остаток 86; прогноз 90 дней 6.73; избыток 79 шт. Будущие поступления не выставляются на продажу. Остаток на начало сентября: требуется актуализация.</x:v>
      </x:c>
      <x:c r="AP1103" s="13" t="str">
        <x:v>["category_missing", "daily_stockout_data_missing", "large_orders_detected", "new_order_lead_time_unknown", "reservations_unknown", "stale_stock"]</x:v>
      </x:c>
      <x:c r="AQ1103" s="10" t="str">
        <x:v>IEK:280200071_</x:v>
      </x:c>
      <x:c r="AR1103" s="24" t="n">
        <x:v>1</x:v>
      </x:c>
      <x:c r="AS1103" s="24" t="n">
        <x:v>0</x:v>
      </x:c>
      <x:c r="AT1103" s="24" t="n">
        <x:v>0</x:v>
      </x:c>
    </x:row>
    <x:row r="1104" ht="64" customHeight="1">
      <x:c r="A1104" s="11" t="str">
        <x:v>IEK</x:v>
      </x:c>
      <x:c r="B1104" s="33" t="str">
        <x:v>280200072_</x:v>
      </x:c>
      <x:c r="C1104" s="33" t="str">
        <x:v>CKMP10D-T-040-025-K01</x:v>
      </x:c>
      <x:c r="D1104" s="12" t="str">
        <x:v>Т-образный угол КМТ 40х25 Белый ЭЛЕКОР IEK (4)</x:v>
      </x:c>
      <x:c r="E1104" s="11" t="str">
        <x:v>шт</x:v>
      </x:c>
      <x:c r="F1104" s="35" t="n">
        <x:f>MAX(0,ROUNDDOWN((AG1104-AF1104)/AR1104+0.000000001,0)*AR1104)</x:f>
        <x:v>133</x:v>
      </x:c>
      <x:c r="G1104" s="20" t="str">
        <x:f>IF(J1104="Рассчитано",V1104*(1-R1104/100)-W1104-P1104-Q1104,"н/д")</x:f>
        <x:v>н/д</x:v>
      </x:c>
      <x:c r="H1104" s="12" t="str">
        <x:v>Высокий</x:v>
      </x:c>
      <x:c r="I1104" s="12" t="str">
        <x:v>Высокий</x:v>
      </x:c>
      <x:c r="J1104" s="12" t="str">
        <x:f>IF(L1104="","Укажите валюту",IF(NOT(ISNUMBER(K1104)),"Укажите объём",IF(K1104&lt;=0,"Укажите объём",IF(K1104&gt;F1104,"Объём выше излишка",IF(COUNT(M1104:O1104)&lt;3,"Нужны цены",IF(COUNT(P1104:R1104)&lt;3,"Нужны расходы",IF(OR(M1104&lt;0,N1104&lt;0,O1104&lt;0,O1104&gt;100,P1104&lt;0,Q1104&lt;0,R1104&lt;0,R1104&gt;100),"Проверьте значения","Рассчитано")))))))</x:f>
        <x:v>Нужны цены</x:v>
      </x:c>
      <x:c r="K1104" s="36" t="n">
        <x:v>133</x:v>
      </x:c>
      <x:c r="L1104" s="19" t="str">
        <x:v>KZT</x:v>
      </x:c>
      <x:c r="M1104" s="22"/>
      <x:c r="N1104" s="22"/>
      <x:c r="O1104" s="28"/>
      <x:c r="P1104" s="22"/>
      <x:c r="Q1104" s="22"/>
      <x:c r="R1104" s="28"/>
      <x:c r="S1104" s="22"/>
      <x:c r="T1104" s="35" t="n">
        <x:f>K1104</x:f>
        <x:v>133</x:v>
      </x:c>
      <x:c r="U1104" s="20" t="str">
        <x:f>IF(J1104="Рассчитано",N1104*(1-O1104/100),"н/д")</x:f>
        <x:v>н/д</x:v>
      </x:c>
      <x:c r="V1104" s="20" t="str">
        <x:f>IF(J1104="Рассчитано",T1104*U1104,"н/д")</x:f>
        <x:v>н/д</x:v>
      </x:c>
      <x:c r="W1104" s="20" t="str">
        <x:f>IF(J1104="Рассчитано",T1104*M1104,"н/д")</x:f>
        <x:v>н/д</x:v>
      </x:c>
      <x:c r="X1104" s="20" t="str">
        <x:f>IF(J1104="Рассчитано",V1104-W1104,"н/д")</x:f>
        <x:v>н/д</x:v>
      </x:c>
      <x:c r="Y1104" s="26" t="str">
        <x:f>IF(J1104="Рассчитано",IF(V1104&gt;0,G1104/V1104,"н/д"),"н/д")</x:f>
        <x:v>н/д</x:v>
      </x:c>
      <x:c r="Z1104" s="20" t="str">
        <x:f>"н/д"</x:f>
        <x:v>н/д</x:v>
      </x:c>
      <x:c r="AA1104" s="20" t="str">
        <x:f>"н/д"</x:f>
        <x:v>н/д</x:v>
      </x:c>
      <x:c r="AB1104" s="20" t="str">
        <x:f>"н/д"</x:f>
        <x:v>н/д</x:v>
      </x:c>
      <x:c r="AC1104" s="20" t="str">
        <x:f>IF(AND(J1104="Рассчитано",T1104&gt;0,R1104&lt;100),(W1104+P1104+Q1104)/(T1104*(1-R1104/100)),"н/д")</x:f>
        <x:v>н/д</x:v>
      </x:c>
      <x:c r="AD1104" s="11" t="str">
        <x:f>IF(ISNUMBER(G1104),IF(G1104&lt;0,"Убыток",IF(G1104=0,"Без прибыли","Прибыль &gt; 0")),"Не оценён")</x:f>
        <x:v>Не оценён</x:v>
      </x:c>
      <x:c r="AE1104" s="12" t="str">
        <x:f>IF(J1104="Рассчитано","Выручка "&amp;TEXT(V1104,"0.00")&amp;" - себестоимость "&amp;TEXT(W1104,"0.00")&amp;" - комиссия "&amp;TEXT(V1104*R1104/100,"0.00")&amp;" - доставка "&amp;TEXT(P1104,"0.00")&amp;" - прочие "&amp;TEXT(Q1104,"0.00")&amp;" = "&amp;TEXT(G1104,"0.00")&amp;" "&amp;L1104,"Введите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4" s="23" t="n">
        <x:v>80.9445732736379</x:v>
      </x:c>
      <x:c r="AG1104" s="35" t="n">
        <x:v>214</x:v>
      </x:c>
      <x:c r="AH1104" s="35" t="n">
        <x:v>0</x:v>
      </x:c>
      <x:c r="AI1104" s="29" t="n">
        <x:v>46266</x:v>
      </x:c>
      <x:c r="AJ1104" s="35" t="n">
        <x:v>1</x:v>
      </x:c>
      <x:c r="AK1104" s="11" t="str">
        <x:v>минимум</x:v>
      </x:c>
      <x:c r="AL1104" s="31" t="n">
        <x:v>224.8252472576126</x:v>
      </x:c>
      <x:c r="AM110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04" s="12" t="str">
        <x:v>Проверить свободный остаток и установить цену для B2B</x:v>
      </x:c>
      <x:c r="AO1104" s="12" t="str">
        <x:v>Остаток 214; прогноз 90 дней 80.94; избыток 133 шт. Будущие поступления не выставляются на продажу. Остаток на начало сентября: требуется актуализация.</x:v>
      </x:c>
      <x:c r="AP1104" s="12" t="str">
        <x:v>["category_missing", "daily_stockout_data_missing", "new_order_lead_time_unknown", "reservations_unknown", "stale_stock"]</x:v>
      </x:c>
      <x:c r="AQ1104" s="11" t="str">
        <x:v>IEK:280200072_</x:v>
      </x:c>
      <x:c r="AR1104" s="23" t="n">
        <x:v>1</x:v>
      </x:c>
      <x:c r="AS1104" s="23" t="n">
        <x:v>0</x:v>
      </x:c>
      <x:c r="AT1104" s="23" t="n">
        <x:v>0</x:v>
      </x:c>
    </x:row>
    <x:row r="1105" ht="64" customHeight="1">
      <x:c r="A1105" s="10" t="str">
        <x:v>IEK</x:v>
      </x:c>
      <x:c r="B1105" s="34" t="str">
        <x:v>280200080_</x:v>
      </x:c>
      <x:c r="C1105" s="34" t="str">
        <x:v>CKMP10D-Z-025-016-K01</x:v>
      </x:c>
      <x:c r="D1105" s="13" t="str">
        <x:v>Заглушка КМЗ 25х16 Белый ЭЛЕКОР IEK (4)</x:v>
      </x:c>
      <x:c r="E1105" s="10" t="str">
        <x:v>шт</x:v>
      </x:c>
      <x:c r="F1105" s="37" t="n">
        <x:f>MAX(0,ROUNDDOWN((AG1105-AF1105)/AR1105+0.000000001,0)*AR1105)</x:f>
        <x:v>172</x:v>
      </x:c>
      <x:c r="G1105" s="21" t="str">
        <x:f>IF(J1105="Рассчитано",V1105*(1-R1105/100)-W1105-P1105-Q1105,"н/д")</x:f>
        <x:v>н/д</x:v>
      </x:c>
      <x:c r="H1105" s="13" t="str">
        <x:v>Высокий</x:v>
      </x:c>
      <x:c r="I1105" s="13" t="str">
        <x:v>Высокий</x:v>
      </x:c>
      <x:c r="J1105" s="13" t="str">
        <x:f>IF(L1105="","Укажите валюту",IF(NOT(ISNUMBER(K1105)),"Укажите объём",IF(K1105&lt;=0,"Укажите объём",IF(K1105&gt;F1105,"Объём выше излишка",IF(COUNT(M1105:O1105)&lt;3,"Нужны цены",IF(COUNT(P1105:R1105)&lt;3,"Нужны расходы",IF(OR(M1105&lt;0,N1105&lt;0,O1105&lt;0,O1105&gt;100,P1105&lt;0,Q1105&lt;0,R1105&lt;0,R1105&gt;100),"Проверьте значения","Рассчитано")))))))</x:f>
        <x:v>Нужны цены</x:v>
      </x:c>
      <x:c r="K1105" s="36" t="n">
        <x:v>172</x:v>
      </x:c>
      <x:c r="L1105" s="19" t="str">
        <x:v>KZT</x:v>
      </x:c>
      <x:c r="M1105" s="22"/>
      <x:c r="N1105" s="22"/>
      <x:c r="O1105" s="28"/>
      <x:c r="P1105" s="22"/>
      <x:c r="Q1105" s="22"/>
      <x:c r="R1105" s="28"/>
      <x:c r="S1105" s="22"/>
      <x:c r="T1105" s="37" t="n">
        <x:f>K1105</x:f>
        <x:v>172</x:v>
      </x:c>
      <x:c r="U1105" s="21" t="str">
        <x:f>IF(J1105="Рассчитано",N1105*(1-O1105/100),"н/д")</x:f>
        <x:v>н/д</x:v>
      </x:c>
      <x:c r="V1105" s="21" t="str">
        <x:f>IF(J1105="Рассчитано",T1105*U1105,"н/д")</x:f>
        <x:v>н/д</x:v>
      </x:c>
      <x:c r="W1105" s="21" t="str">
        <x:f>IF(J1105="Рассчитано",T1105*M1105,"н/д")</x:f>
        <x:v>н/д</x:v>
      </x:c>
      <x:c r="X1105" s="21" t="str">
        <x:f>IF(J1105="Рассчитано",V1105-W1105,"н/д")</x:f>
        <x:v>н/д</x:v>
      </x:c>
      <x:c r="Y1105" s="27" t="str">
        <x:f>IF(J1105="Рассчитано",IF(V1105&gt;0,G1105/V1105,"н/д"),"н/д")</x:f>
        <x:v>н/д</x:v>
      </x:c>
      <x:c r="Z1105" s="21" t="str">
        <x:f>"н/д"</x:f>
        <x:v>н/д</x:v>
      </x:c>
      <x:c r="AA1105" s="21" t="str">
        <x:f>"н/д"</x:f>
        <x:v>н/д</x:v>
      </x:c>
      <x:c r="AB1105" s="21" t="str">
        <x:f>"н/д"</x:f>
        <x:v>н/д</x:v>
      </x:c>
      <x:c r="AC1105" s="21" t="str">
        <x:f>IF(AND(J1105="Рассчитано",T1105&gt;0,R1105&lt;100),(W1105+P1105+Q1105)/(T1105*(1-R1105/100)),"н/д")</x:f>
        <x:v>н/д</x:v>
      </x:c>
      <x:c r="AD1105" s="10" t="str">
        <x:f>IF(ISNUMBER(G1105),IF(G1105&lt;0,"Убыток",IF(G1105=0,"Без прибыли","Прибыль &gt; 0")),"Не оценён")</x:f>
        <x:v>Не оценён</x:v>
      </x:c>
      <x:c r="AE1105" s="13" t="str">
        <x:f>IF(J1105="Рассчитано","Выручка "&amp;TEXT(V1105,"0.00")&amp;" - себестоимость "&amp;TEXT(W1105,"0.00")&amp;" - комиссия "&amp;TEXT(V1105*R1105/100,"0.00")&amp;" - доставка "&amp;TEXT(P1105,"0.00")&amp;" - прочие "&amp;TEXT(Q1105,"0.00")&amp;" = "&amp;TEXT(G1105,"0.00")&amp;" "&amp;L1105,"Введите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5" s="24" t="n">
        <x:v>140.0575005677566</x:v>
      </x:c>
      <x:c r="AG1105" s="37" t="n">
        <x:v>313</x:v>
      </x:c>
      <x:c r="AH1105" s="37" t="n">
        <x:v>0</x:v>
      </x:c>
      <x:c r="AI1105" s="30" t="n">
        <x:v>46266</x:v>
      </x:c>
      <x:c r="AJ1105" s="37" t="n">
        <x:v>1</x:v>
      </x:c>
      <x:c r="AK1105" s="10" t="str">
        <x:v>минимум</x:v>
      </x:c>
      <x:c r="AL1105" s="32" t="n">
        <x:v>190.04524594078129</x:v>
      </x:c>
      <x:c r="AM1105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05" s="13" t="str">
        <x:v>Проверить свободный остаток и установить цену для B2B</x:v>
      </x:c>
      <x:c r="AO1105" s="13" t="str">
        <x:v>Остаток 313; прогноз 90 дней 140.06; избыток 172 шт. Будущие поступления не выставляются на продажу. Остаток на начало сентября: требуется актуализация.</x:v>
      </x:c>
      <x:c r="AP1105" s="13" t="str">
        <x:v>["category_missing", "daily_stockout_data_missing", "large_orders_detected", "negative_net_sales_clipped_for_forecast", "new_order_lead_time_unknown", "reservations_unknown", "stale_stock", "transaction_month_mismatch"]</x:v>
      </x:c>
      <x:c r="AQ1105" s="10" t="str">
        <x:v>IEK:280200080_</x:v>
      </x:c>
      <x:c r="AR1105" s="24" t="n">
        <x:v>1</x:v>
      </x:c>
      <x:c r="AS1105" s="24" t="n">
        <x:v>0</x:v>
      </x:c>
      <x:c r="AT1105" s="24" t="n">
        <x:v>0</x:v>
      </x:c>
    </x:row>
    <x:row r="1106" ht="64" customHeight="1">
      <x:c r="A1106" s="11" t="str">
        <x:v>IEK</x:v>
      </x:c>
      <x:c r="B1106" s="33" t="str">
        <x:v>280200081_</x:v>
      </x:c>
      <x:c r="C1106" s="33" t="str">
        <x:v>CKMP10D-Z-040-025-K01</x:v>
      </x:c>
      <x:c r="D1106" s="12" t="str">
        <x:v>Заглушка КМЗ 40х25 Белый ЭЛЕКОР IEK (4)</x:v>
      </x:c>
      <x:c r="E1106" s="11" t="str">
        <x:v>шт</x:v>
      </x:c>
      <x:c r="F1106" s="35" t="n">
        <x:f>MAX(0,ROUNDDOWN((AG1106-AF1106)/AR1106+0.000000001,0)*AR1106)</x:f>
        <x:v>121</x:v>
      </x:c>
      <x:c r="G1106" s="20" t="str">
        <x:f>IF(J1106="Рассчитано",V1106*(1-R1106/100)-W1106-P1106-Q1106,"н/д")</x:f>
        <x:v>н/д</x:v>
      </x:c>
      <x:c r="H1106" s="12" t="str">
        <x:v>Высокий</x:v>
      </x:c>
      <x:c r="I1106" s="12" t="str">
        <x:v>Средний</x:v>
      </x:c>
      <x:c r="J1106" s="12" t="str">
        <x:f>IF(L1106="","Укажите валюту",IF(NOT(ISNUMBER(K1106)),"Укажите объём",IF(K1106&lt;=0,"Укажите объём",IF(K1106&gt;F1106,"Объём выше излишка",IF(COUNT(M1106:O1106)&lt;3,"Нужны цены",IF(COUNT(P1106:R1106)&lt;3,"Нужны расходы",IF(OR(M1106&lt;0,N1106&lt;0,O1106&lt;0,O1106&gt;100,P1106&lt;0,Q1106&lt;0,R1106&lt;0,R1106&gt;100),"Проверьте значения","Рассчитано")))))))</x:f>
        <x:v>Нужны цены</x:v>
      </x:c>
      <x:c r="K1106" s="36" t="n">
        <x:v>121</x:v>
      </x:c>
      <x:c r="L1106" s="19" t="str">
        <x:v>KZT</x:v>
      </x:c>
      <x:c r="M1106" s="22"/>
      <x:c r="N1106" s="22"/>
      <x:c r="O1106" s="28"/>
      <x:c r="P1106" s="22"/>
      <x:c r="Q1106" s="22"/>
      <x:c r="R1106" s="28"/>
      <x:c r="S1106" s="22"/>
      <x:c r="T1106" s="35" t="n">
        <x:f>K1106</x:f>
        <x:v>121</x:v>
      </x:c>
      <x:c r="U1106" s="20" t="str">
        <x:f>IF(J1106="Рассчитано",N1106*(1-O1106/100),"н/д")</x:f>
        <x:v>н/д</x:v>
      </x:c>
      <x:c r="V1106" s="20" t="str">
        <x:f>IF(J1106="Рассчитано",T1106*U1106,"н/д")</x:f>
        <x:v>н/д</x:v>
      </x:c>
      <x:c r="W1106" s="20" t="str">
        <x:f>IF(J1106="Рассчитано",T1106*M1106,"н/д")</x:f>
        <x:v>н/д</x:v>
      </x:c>
      <x:c r="X1106" s="20" t="str">
        <x:f>IF(J1106="Рассчитано",V1106-W1106,"н/д")</x:f>
        <x:v>н/д</x:v>
      </x:c>
      <x:c r="Y1106" s="26" t="str">
        <x:f>IF(J1106="Рассчитано",IF(V1106&gt;0,G1106/V1106,"н/д"),"н/д")</x:f>
        <x:v>н/д</x:v>
      </x:c>
      <x:c r="Z1106" s="20" t="str">
        <x:f>"н/д"</x:f>
        <x:v>н/д</x:v>
      </x:c>
      <x:c r="AA1106" s="20" t="str">
        <x:f>"н/д"</x:f>
        <x:v>н/д</x:v>
      </x:c>
      <x:c r="AB1106" s="20" t="str">
        <x:f>"н/д"</x:f>
        <x:v>н/д</x:v>
      </x:c>
      <x:c r="AC1106" s="20" t="str">
        <x:f>IF(AND(J1106="Рассчитано",T1106&gt;0,R1106&lt;100),(W1106+P1106+Q1106)/(T1106*(1-R1106/100)),"н/д")</x:f>
        <x:v>н/д</x:v>
      </x:c>
      <x:c r="AD1106" s="11" t="str">
        <x:f>IF(ISNUMBER(G1106),IF(G1106&lt;0,"Убыток",IF(G1106=0,"Без прибыли","Прибыль &gt; 0")),"Не оценён")</x:f>
        <x:v>Не оценён</x:v>
      </x:c>
      <x:c r="AE1106" s="12" t="str">
        <x:f>IF(J1106="Рассчитано","Выручка "&amp;TEXT(V1106,"0.00")&amp;" - себестоимость "&amp;TEXT(W1106,"0.00")&amp;" - комиссия "&amp;TEXT(V1106*R1106/100,"0.00")&amp;" - доставка "&amp;TEXT(P1106,"0.00")&amp;" - прочие "&amp;TEXT(Q1106,"0.00")&amp;" = "&amp;TEXT(G1106,"0.00")&amp;" "&amp;L1106,"Введите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6" s="23" t="n">
        <x:v>136.03607856362214</x:v>
      </x:c>
      <x:c r="AG1106" s="35" t="n">
        <x:v>258</x:v>
      </x:c>
      <x:c r="AH1106" s="35" t="n">
        <x:v>0</x:v>
      </x:c>
      <x:c r="AI1106" s="29" t="n">
        <x:v>46266</x:v>
      </x:c>
      <x:c r="AJ1106" s="35" t="n">
        <x:v>1</x:v>
      </x:c>
      <x:c r="AK1106" s="11" t="str">
        <x:v>минимум</x:v>
      </x:c>
      <x:c r="AL1106" s="31" t="n">
        <x:v>161.281534160309</x:v>
      </x:c>
      <x:c r="AM1106" s="12" t="str">
        <x:v>Остаток на начало сентября; Резервы неизвестны; Нет ежедневных данных доступности. Запас выше прогноза на 90 дней</x:v>
      </x:c>
      <x:c r="AN1106" s="12" t="str">
        <x:v>Проверить свободный остаток и установить цену для B2B</x:v>
      </x:c>
      <x:c r="AO1106" s="12" t="str">
        <x:v>Остаток 258; прогноз 90 дней 136.04; избыток 121 шт. Будущие поступления не выставляются на продажу. Остаток на начало сентября: требуется актуализация.</x:v>
      </x:c>
      <x:c r="AP1106" s="12" t="str">
        <x:v>["category_missing", "daily_stockout_data_missing", "large_orders_detected", "new_order_lead_time_unknown", "reservations_unknown", "stale_stock"]</x:v>
      </x:c>
      <x:c r="AQ1106" s="11" t="str">
        <x:v>IEK:280200081_</x:v>
      </x:c>
      <x:c r="AR1106" s="23" t="n">
        <x:v>1</x:v>
      </x:c>
      <x:c r="AS1106" s="23" t="n">
        <x:v>0</x:v>
      </x:c>
      <x:c r="AT1106" s="23" t="n">
        <x:v>0</x:v>
      </x:c>
    </x:row>
    <x:row r="1107" ht="64" customHeight="1">
      <x:c r="A1107" s="10" t="str">
        <x:v>IEK</x:v>
      </x:c>
      <x:c r="B1107" s="34" t="str">
        <x:v>280200082_</x:v>
      </x:c>
      <x:c r="C1107" s="34" t="str">
        <x:v>CKMP10D-P-020-010-K01</x:v>
      </x:c>
      <x:c r="D1107" s="13" t="str">
        <x:v>Поворот 90° КМП 20х10 Белый ЭЛЕКОР IEK (4)</x:v>
      </x:c>
      <x:c r="E1107" s="10" t="str">
        <x:v>шт</x:v>
      </x:c>
      <x:c r="F1107" s="37" t="n">
        <x:f>MAX(0,ROUNDDOWN((AG1107-AF1107)/AR1107+0.000000001,0)*AR1107)</x:f>
        <x:v>39</x:v>
      </x:c>
      <x:c r="G1107" s="21" t="str">
        <x:f>IF(J1107="Рассчитано",V1107*(1-R1107/100)-W1107-P1107-Q1107,"н/д")</x:f>
        <x:v>н/д</x:v>
      </x:c>
      <x:c r="H1107" s="13" t="str">
        <x:v>Высокий</x:v>
      </x:c>
      <x:c r="I1107" s="13" t="str">
        <x:v>Высокий</x:v>
      </x:c>
      <x:c r="J1107" s="13" t="str">
        <x:f>IF(L1107="","Укажите валюту",IF(NOT(ISNUMBER(K1107)),"Укажите объём",IF(K1107&lt;=0,"Укажите объём",IF(K1107&gt;F1107,"Объём выше излишка",IF(COUNT(M1107:O1107)&lt;3,"Нужны цены",IF(COUNT(P1107:R1107)&lt;3,"Нужны расходы",IF(OR(M1107&lt;0,N1107&lt;0,O1107&lt;0,O1107&gt;100,P1107&lt;0,Q1107&lt;0,R1107&lt;0,R1107&gt;100),"Проверьте значения","Рассчитано")))))))</x:f>
        <x:v>Нужны цены</x:v>
      </x:c>
      <x:c r="K1107" s="36" t="n">
        <x:v>39</x:v>
      </x:c>
      <x:c r="L1107" s="19" t="str">
        <x:v>KZT</x:v>
      </x:c>
      <x:c r="M1107" s="22"/>
      <x:c r="N1107" s="22"/>
      <x:c r="O1107" s="28"/>
      <x:c r="P1107" s="22"/>
      <x:c r="Q1107" s="22"/>
      <x:c r="R1107" s="28"/>
      <x:c r="S1107" s="22"/>
      <x:c r="T1107" s="37" t="n">
        <x:f>K1107</x:f>
        <x:v>39</x:v>
      </x:c>
      <x:c r="U1107" s="21" t="str">
        <x:f>IF(J1107="Рассчитано",N1107*(1-O1107/100),"н/д")</x:f>
        <x:v>н/д</x:v>
      </x:c>
      <x:c r="V1107" s="21" t="str">
        <x:f>IF(J1107="Рассчитано",T1107*U1107,"н/д")</x:f>
        <x:v>н/д</x:v>
      </x:c>
      <x:c r="W1107" s="21" t="str">
        <x:f>IF(J1107="Рассчитано",T1107*M1107,"н/д")</x:f>
        <x:v>н/д</x:v>
      </x:c>
      <x:c r="X1107" s="21" t="str">
        <x:f>IF(J1107="Рассчитано",V1107-W1107,"н/д")</x:f>
        <x:v>н/д</x:v>
      </x:c>
      <x:c r="Y1107" s="27" t="str">
        <x:f>IF(J1107="Рассчитано",IF(V1107&gt;0,G1107/V1107,"н/д"),"н/д")</x:f>
        <x:v>н/д</x:v>
      </x:c>
      <x:c r="Z1107" s="21" t="str">
        <x:f>"н/д"</x:f>
        <x:v>н/д</x:v>
      </x:c>
      <x:c r="AA1107" s="21" t="str">
        <x:f>"н/д"</x:f>
        <x:v>н/д</x:v>
      </x:c>
      <x:c r="AB1107" s="21" t="str">
        <x:f>"н/д"</x:f>
        <x:v>н/д</x:v>
      </x:c>
      <x:c r="AC1107" s="21" t="str">
        <x:f>IF(AND(J1107="Рассчитано",T1107&gt;0,R1107&lt;100),(W1107+P1107+Q1107)/(T1107*(1-R1107/100)),"н/д")</x:f>
        <x:v>н/д</x:v>
      </x:c>
      <x:c r="AD1107" s="10" t="str">
        <x:f>IF(ISNUMBER(G1107),IF(G1107&lt;0,"Убыток",IF(G1107=0,"Без прибыли","Прибыль &gt; 0")),"Не оценён")</x:f>
        <x:v>Не оценён</x:v>
      </x:c>
      <x:c r="AE1107" s="13" t="str">
        <x:f>IF(J1107="Рассчитано","Выручка "&amp;TEXT(V1107,"0.00")&amp;" - себестоимость "&amp;TEXT(W1107,"0.00")&amp;" - комиссия "&amp;TEXT(V1107*R1107/100,"0.00")&amp;" - доставка "&amp;TEXT(P1107,"0.00")&amp;" - прочие "&amp;TEXT(Q1107,"0.00")&amp;" = "&amp;TEXT(G1107,"0.00")&amp;" "&amp;L1107,"Введите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7" s="24" t="n">
        <x:v>33.28035035902179</x:v>
      </x:c>
      <x:c r="AG1107" s="37" t="n">
        <x:v>73</x:v>
      </x:c>
      <x:c r="AH1107" s="37" t="n">
        <x:v>0</x:v>
      </x:c>
      <x:c r="AI1107" s="30" t="n">
        <x:v>46266</x:v>
      </x:c>
      <x:c r="AJ1107" s="37" t="n">
        <x:v>1</x:v>
      </x:c>
      <x:c r="AK1107" s="10" t="str">
        <x:v>минимум</x:v>
      </x:c>
      <x:c r="AL1107" s="32" t="n">
        <x:v>186.53228687349335</x:v>
      </x:c>
      <x:c r="AM110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07" s="13" t="str">
        <x:v>Проверить свободный остаток и установить цену для B2B</x:v>
      </x:c>
      <x:c r="AO1107" s="13" t="str">
        <x:v>Остаток 73; прогноз 90 дней 33.28; избыток 39 шт. Будущие поступления не выставляются на продажу. Остаток на начало сентября: требуется актуализация.</x:v>
      </x:c>
      <x:c r="AP1107" s="13" t="str">
        <x:v>["category_missing", "daily_stockout_data_missing", "new_order_lead_time_unknown", "reservations_unknown", "stale_stock"]</x:v>
      </x:c>
      <x:c r="AQ1107" s="10" t="str">
        <x:v>IEK:280200082_</x:v>
      </x:c>
      <x:c r="AR1107" s="24" t="n">
        <x:v>1</x:v>
      </x:c>
      <x:c r="AS1107" s="24" t="n">
        <x:v>0</x:v>
      </x:c>
      <x:c r="AT1107" s="24" t="n">
        <x:v>0</x:v>
      </x:c>
    </x:row>
    <x:row r="1108" ht="64" customHeight="1">
      <x:c r="A1108" s="11" t="str">
        <x:v>IEK</x:v>
      </x:c>
      <x:c r="B1108" s="33" t="str">
        <x:v>280200084_</x:v>
      </x:c>
      <x:c r="C1108" s="33" t="str">
        <x:v>CKMP10D-T-025-016-K01</x:v>
      </x:c>
      <x:c r="D1108" s="12" t="str">
        <x:v>Т-образный угол КМТ 25х16 Белый ЭЛЕКОР IEK (4)</x:v>
      </x:c>
      <x:c r="E1108" s="11" t="str">
        <x:v>шт</x:v>
      </x:c>
      <x:c r="F1108" s="35" t="n">
        <x:f>MAX(0,ROUNDDOWN((AG1108-AF1108)/AR1108+0.000000001,0)*AR1108)</x:f>
        <x:v>36</x:v>
      </x:c>
      <x:c r="G1108" s="20" t="str">
        <x:f>IF(J1108="Рассчитано",V1108*(1-R1108/100)-W1108-P1108-Q1108,"н/д")</x:f>
        <x:v>н/д</x:v>
      </x:c>
      <x:c r="H1108" s="12" t="str">
        <x:v>Высокий</x:v>
      </x:c>
      <x:c r="I1108" s="12" t="str">
        <x:v>Средний</x:v>
      </x:c>
      <x:c r="J1108" s="12" t="str">
        <x:f>IF(L1108="","Укажите валюту",IF(NOT(ISNUMBER(K1108)),"Укажите объём",IF(K1108&lt;=0,"Укажите объём",IF(K1108&gt;F1108,"Объём выше излишка",IF(COUNT(M1108:O1108)&lt;3,"Нужны цены",IF(COUNT(P1108:R1108)&lt;3,"Нужны расходы",IF(OR(M1108&lt;0,N1108&lt;0,O1108&lt;0,O1108&gt;100,P1108&lt;0,Q1108&lt;0,R1108&lt;0,R1108&gt;100),"Проверьте значения","Рассчитано")))))))</x:f>
        <x:v>Нужны цены</x:v>
      </x:c>
      <x:c r="K1108" s="36" t="n">
        <x:v>36</x:v>
      </x:c>
      <x:c r="L1108" s="19" t="str">
        <x:v>KZT</x:v>
      </x:c>
      <x:c r="M1108" s="22"/>
      <x:c r="N1108" s="22"/>
      <x:c r="O1108" s="28"/>
      <x:c r="P1108" s="22"/>
      <x:c r="Q1108" s="22"/>
      <x:c r="R1108" s="28"/>
      <x:c r="S1108" s="22"/>
      <x:c r="T1108" s="35" t="n">
        <x:f>K1108</x:f>
        <x:v>36</x:v>
      </x:c>
      <x:c r="U1108" s="20" t="str">
        <x:f>IF(J1108="Рассчитано",N1108*(1-O1108/100),"н/д")</x:f>
        <x:v>н/д</x:v>
      </x:c>
      <x:c r="V1108" s="20" t="str">
        <x:f>IF(J1108="Рассчитано",T1108*U1108,"н/д")</x:f>
        <x:v>н/д</x:v>
      </x:c>
      <x:c r="W1108" s="20" t="str">
        <x:f>IF(J1108="Рассчитано",T1108*M1108,"н/д")</x:f>
        <x:v>н/д</x:v>
      </x:c>
      <x:c r="X1108" s="20" t="str">
        <x:f>IF(J1108="Рассчитано",V1108-W1108,"н/д")</x:f>
        <x:v>н/д</x:v>
      </x:c>
      <x:c r="Y1108" s="26" t="str">
        <x:f>IF(J1108="Рассчитано",IF(V1108&gt;0,G1108/V1108,"н/д"),"н/д")</x:f>
        <x:v>н/д</x:v>
      </x:c>
      <x:c r="Z1108" s="20" t="str">
        <x:f>"н/д"</x:f>
        <x:v>н/д</x:v>
      </x:c>
      <x:c r="AA1108" s="20" t="str">
        <x:f>"н/д"</x:f>
        <x:v>н/д</x:v>
      </x:c>
      <x:c r="AB1108" s="20" t="str">
        <x:f>"н/д"</x:f>
        <x:v>н/д</x:v>
      </x:c>
      <x:c r="AC1108" s="20" t="str">
        <x:f>IF(AND(J1108="Рассчитано",T1108&gt;0,R1108&lt;100),(W1108+P1108+Q1108)/(T1108*(1-R1108/100)),"н/д")</x:f>
        <x:v>н/д</x:v>
      </x:c>
      <x:c r="AD1108" s="11" t="str">
        <x:f>IF(ISNUMBER(G1108),IF(G1108&lt;0,"Убыток",IF(G1108=0,"Без прибыли","Прибыль &gt; 0")),"Не оценён")</x:f>
        <x:v>Не оценён</x:v>
      </x:c>
      <x:c r="AE1108" s="12" t="str">
        <x:f>IF(J1108="Рассчитано","Выручка "&amp;TEXT(V1108,"0.00")&amp;" - себестоимость "&amp;TEXT(W1108,"0.00")&amp;" - комиссия "&amp;TEXT(V1108*R1108/100,"0.00")&amp;" - доставка "&amp;TEXT(P1108,"0.00")&amp;" - прочие "&amp;TEXT(Q1108,"0.00")&amp;" = "&amp;TEXT(G1108,"0.00")&amp;" "&amp;L1108,"Введите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8" s="23" t="n">
        <x:v>134.542231120618</x:v>
      </x:c>
      <x:c r="AG1108" s="35" t="n">
        <x:v>171</x:v>
      </x:c>
      <x:c r="AH1108" s="35" t="n">
        <x:v>15</x:v>
      </x:c>
      <x:c r="AI1108" s="29" t="n">
        <x:v>46266</x:v>
      </x:c>
      <x:c r="AJ1108" s="35" t="n">
        <x:v>1</x:v>
      </x:c>
      <x:c r="AK1108" s="11" t="str">
        <x:v>минимум</x:v>
      </x:c>
      <x:c r="AL1108" s="31" t="n">
        <x:v>108.08278563520578</x:v>
      </x:c>
      <x:c r="AM1108" s="12" t="str">
        <x:v>Остаток на начало сентября; Резервы неизвестны; Нет ежедневных данных доступности. Запас выше прогноза на 90 дней</x:v>
      </x:c>
      <x:c r="AN1108" s="12" t="str">
        <x:v>Проверить свободный остаток и установить цену для B2B</x:v>
      </x:c>
      <x:c r="AO1108" s="12" t="str">
        <x:v>Остаток 171; прогноз 90 дней 134.54; избыток 36 шт. Будущие поступления не выставляются на продажу. Остаток на начало сентября: требуется актуализация.</x:v>
      </x:c>
      <x:c r="AP1108" s="12" t="str">
        <x:v>["category_missing", "daily_stockout_data_missing", "new_order_lead_time_unknown", "reservations_unknown", "stale_stock"]</x:v>
      </x:c>
      <x:c r="AQ1108" s="11" t="str">
        <x:v>IEK:280200084_</x:v>
      </x:c>
      <x:c r="AR1108" s="23" t="n">
        <x:v>1</x:v>
      </x:c>
      <x:c r="AS1108" s="23" t="n">
        <x:v>0</x:v>
      </x:c>
      <x:c r="AT1108" s="23" t="n">
        <x:v>0</x:v>
      </x:c>
    </x:row>
    <x:row r="1109" ht="64" customHeight="1">
      <x:c r="A1109" s="10" t="str">
        <x:v>IEK</x:v>
      </x:c>
      <x:c r="B1109" s="34" t="str">
        <x:v>280200085_</x:v>
      </x:c>
      <x:c r="C1109" s="34" t="str">
        <x:v>CKMP10D-V-015-010-K01</x:v>
      </x:c>
      <x:c r="D1109" s="13" t="str">
        <x:v>Внутренний угол КМВ 15х10 Белый ЭЛЕКОР IEK (4)</x:v>
      </x:c>
      <x:c r="E1109" s="10" t="str">
        <x:v>шт</x:v>
      </x:c>
      <x:c r="F1109" s="37" t="n">
        <x:f>MAX(0,ROUNDDOWN((AG1109-AF1109)/AR1109+0.000000001,0)*AR1109)</x:f>
        <x:v>52</x:v>
      </x:c>
      <x:c r="G1109" s="21" t="str">
        <x:f>IF(J1109="Рассчитано",V1109*(1-R1109/100)-W1109-P1109-Q1109,"н/д")</x:f>
        <x:v>н/д</x:v>
      </x:c>
      <x:c r="H1109" s="13" t="str">
        <x:v>Высокий</x:v>
      </x:c>
      <x:c r="I1109" s="13" t="str">
        <x:v>Высокий</x:v>
      </x:c>
      <x:c r="J1109" s="13" t="str">
        <x:f>IF(L1109="","Укажите валюту",IF(NOT(ISNUMBER(K1109)),"Укажите объём",IF(K1109&lt;=0,"Укажите объём",IF(K1109&gt;F1109,"Объём выше излишка",IF(COUNT(M1109:O1109)&lt;3,"Нужны цены",IF(COUNT(P1109:R1109)&lt;3,"Нужны расходы",IF(OR(M1109&lt;0,N1109&lt;0,O1109&lt;0,O1109&gt;100,P1109&lt;0,Q1109&lt;0,R1109&lt;0,R1109&gt;100),"Проверьте значения","Рассчитано")))))))</x:f>
        <x:v>Нужны цены</x:v>
      </x:c>
      <x:c r="K1109" s="36" t="n">
        <x:v>52</x:v>
      </x:c>
      <x:c r="L1109" s="19" t="str">
        <x:v>KZT</x:v>
      </x:c>
      <x:c r="M1109" s="22"/>
      <x:c r="N1109" s="22"/>
      <x:c r="O1109" s="28"/>
      <x:c r="P1109" s="22"/>
      <x:c r="Q1109" s="22"/>
      <x:c r="R1109" s="28"/>
      <x:c r="S1109" s="22"/>
      <x:c r="T1109" s="37" t="n">
        <x:f>K1109</x:f>
        <x:v>52</x:v>
      </x:c>
      <x:c r="U1109" s="21" t="str">
        <x:f>IF(J1109="Рассчитано",N1109*(1-O1109/100),"н/д")</x:f>
        <x:v>н/д</x:v>
      </x:c>
      <x:c r="V1109" s="21" t="str">
        <x:f>IF(J1109="Рассчитано",T1109*U1109,"н/д")</x:f>
        <x:v>н/д</x:v>
      </x:c>
      <x:c r="W1109" s="21" t="str">
        <x:f>IF(J1109="Рассчитано",T1109*M1109,"н/д")</x:f>
        <x:v>н/д</x:v>
      </x:c>
      <x:c r="X1109" s="21" t="str">
        <x:f>IF(J1109="Рассчитано",V1109-W1109,"н/д")</x:f>
        <x:v>н/д</x:v>
      </x:c>
      <x:c r="Y1109" s="27" t="str">
        <x:f>IF(J1109="Рассчитано",IF(V1109&gt;0,G1109/V1109,"н/д"),"н/д")</x:f>
        <x:v>н/д</x:v>
      </x:c>
      <x:c r="Z1109" s="21" t="str">
        <x:f>"н/д"</x:f>
        <x:v>н/д</x:v>
      </x:c>
      <x:c r="AA1109" s="21" t="str">
        <x:f>"н/д"</x:f>
        <x:v>н/д</x:v>
      </x:c>
      <x:c r="AB1109" s="21" t="str">
        <x:f>"н/д"</x:f>
        <x:v>н/д</x:v>
      </x:c>
      <x:c r="AC1109" s="21" t="str">
        <x:f>IF(AND(J1109="Рассчитано",T1109&gt;0,R1109&lt;100),(W1109+P1109+Q1109)/(T1109*(1-R1109/100)),"н/д")</x:f>
        <x:v>н/д</x:v>
      </x:c>
      <x:c r="AD1109" s="10" t="str">
        <x:f>IF(ISNUMBER(G1109),IF(G1109&lt;0,"Убыток",IF(G1109=0,"Без прибыли","Прибыль &gt; 0")),"Не оценён")</x:f>
        <x:v>Не оценён</x:v>
      </x:c>
      <x:c r="AE1109" s="13" t="str">
        <x:f>IF(J1109="Рассчитано","Выручка "&amp;TEXT(V1109,"0.00")&amp;" - себестоимость "&amp;TEXT(W1109,"0.00")&amp;" - комиссия "&amp;TEXT(V1109*R1109/100,"0.00")&amp;" - доставка "&amp;TEXT(P1109,"0.00")&amp;" - прочие "&amp;TEXT(Q1109,"0.00")&amp;" = "&amp;TEXT(G1109,"0.00")&amp;" "&amp;L1109,"Введите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9" s="24" t="n">
        <x:v>18.98606845183403</x:v>
      </x:c>
      <x:c r="AG1109" s="37" t="n">
        <x:v>71</x:v>
      </x:c>
      <x:c r="AH1109" s="37" t="n">
        <x:v>5</x:v>
      </x:c>
      <x:c r="AI1109" s="30" t="n">
        <x:v>46266</x:v>
      </x:c>
      <x:c r="AJ1109" s="37" t="n">
        <x:v>1</x:v>
      </x:c>
      <x:c r="AK1109" s="10" t="str">
        <x:v>минимум</x:v>
      </x:c>
      <x:c r="AL1109" s="32" t="n">
        <x:v>318.0111524087512</x:v>
      </x:c>
      <x:c r="AM110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09" s="13" t="str">
        <x:v>Проверить свободный остаток и установить цену для B2B</x:v>
      </x:c>
      <x:c r="AO1109" s="13" t="str">
        <x:v>Остаток 71; прогноз 90 дней 18.99; избыток 52 шт. Будущие поступления не выставляются на продажу. Остаток на начало сентября: требуется актуализация.</x:v>
      </x:c>
      <x:c r="AP1109" s="13" t="str">
        <x:v>["category_missing", "daily_stockout_data_missing", "new_order_lead_time_unknown", "reservations_unknown", "stale_stock"]</x:v>
      </x:c>
      <x:c r="AQ1109" s="10" t="str">
        <x:v>IEK:280200085_</x:v>
      </x:c>
      <x:c r="AR1109" s="24" t="n">
        <x:v>1</x:v>
      </x:c>
      <x:c r="AS1109" s="24" t="n">
        <x:v>0</x:v>
      </x:c>
      <x:c r="AT1109" s="24" t="n">
        <x:v>0</x:v>
      </x:c>
    </x:row>
    <x:row r="1110" ht="64" customHeight="1">
      <x:c r="A1110" s="11" t="str">
        <x:v>IEK</x:v>
      </x:c>
      <x:c r="B1110" s="33" t="str">
        <x:v>280200086_</x:v>
      </x:c>
      <x:c r="C1110" s="33" t="str">
        <x:v>CKMP10D-V-025-016-K01</x:v>
      </x:c>
      <x:c r="D1110" s="12" t="str">
        <x:v>Внутренний угол КМВ 25х16 Белый ЭЛЕКОР IEK (4)</x:v>
      </x:c>
      <x:c r="E1110" s="11" t="str">
        <x:v>шт</x:v>
      </x:c>
      <x:c r="F1110" s="35" t="n">
        <x:f>MAX(0,ROUNDDOWN((AG1110-AF1110)/AR1110+0.000000001,0)*AR1110)</x:f>
        <x:v>206</x:v>
      </x:c>
      <x:c r="G1110" s="20" t="str">
        <x:f>IF(J1110="Рассчитано",V1110*(1-R1110/100)-W1110-P1110-Q1110,"н/д")</x:f>
        <x:v>н/д</x:v>
      </x:c>
      <x:c r="H1110" s="12" t="str">
        <x:v>Высокий</x:v>
      </x:c>
      <x:c r="I1110" s="12" t="str">
        <x:v>Средний</x:v>
      </x:c>
      <x:c r="J1110" s="12" t="str">
        <x:f>IF(L1110="","Укажите валюту",IF(NOT(ISNUMBER(K1110)),"Укажите объём",IF(K1110&lt;=0,"Укажите объём",IF(K1110&gt;F1110,"Объём выше излишка",IF(COUNT(M1110:O1110)&lt;3,"Нужны цены",IF(COUNT(P1110:R1110)&lt;3,"Нужны расходы",IF(OR(M1110&lt;0,N1110&lt;0,O1110&lt;0,O1110&gt;100,P1110&lt;0,Q1110&lt;0,R1110&lt;0,R1110&gt;100),"Проверьте значения","Рассчитано")))))))</x:f>
        <x:v>Нужны цены</x:v>
      </x:c>
      <x:c r="K1110" s="36" t="n">
        <x:v>206</x:v>
      </x:c>
      <x:c r="L1110" s="19" t="str">
        <x:v>KZT</x:v>
      </x:c>
      <x:c r="M1110" s="22"/>
      <x:c r="N1110" s="22"/>
      <x:c r="O1110" s="28"/>
      <x:c r="P1110" s="22"/>
      <x:c r="Q1110" s="22"/>
      <x:c r="R1110" s="28"/>
      <x:c r="S1110" s="22"/>
      <x:c r="T1110" s="35" t="n">
        <x:f>K1110</x:f>
        <x:v>206</x:v>
      </x:c>
      <x:c r="U1110" s="20" t="str">
        <x:f>IF(J1110="Рассчитано",N1110*(1-O1110/100),"н/д")</x:f>
        <x:v>н/д</x:v>
      </x:c>
      <x:c r="V1110" s="20" t="str">
        <x:f>IF(J1110="Рассчитано",T1110*U1110,"н/д")</x:f>
        <x:v>н/д</x:v>
      </x:c>
      <x:c r="W1110" s="20" t="str">
        <x:f>IF(J1110="Рассчитано",T1110*M1110,"н/д")</x:f>
        <x:v>н/д</x:v>
      </x:c>
      <x:c r="X1110" s="20" t="str">
        <x:f>IF(J1110="Рассчитано",V1110-W1110,"н/д")</x:f>
        <x:v>н/д</x:v>
      </x:c>
      <x:c r="Y1110" s="26" t="str">
        <x:f>IF(J1110="Рассчитано",IF(V1110&gt;0,G1110/V1110,"н/д"),"н/д")</x:f>
        <x:v>н/д</x:v>
      </x:c>
      <x:c r="Z1110" s="20" t="str">
        <x:f>"н/д"</x:f>
        <x:v>н/д</x:v>
      </x:c>
      <x:c r="AA1110" s="20" t="str">
        <x:f>"н/д"</x:f>
        <x:v>н/д</x:v>
      </x:c>
      <x:c r="AB1110" s="20" t="str">
        <x:f>"н/д"</x:f>
        <x:v>н/д</x:v>
      </x:c>
      <x:c r="AC1110" s="20" t="str">
        <x:f>IF(AND(J1110="Рассчитано",T1110&gt;0,R1110&lt;100),(W1110+P1110+Q1110)/(T1110*(1-R1110/100)),"н/д")</x:f>
        <x:v>н/д</x:v>
      </x:c>
      <x:c r="AD1110" s="11" t="str">
        <x:f>IF(ISNUMBER(G1110),IF(G1110&lt;0,"Убыток",IF(G1110=0,"Без прибыли","Прибыль &gt; 0")),"Не оценён")</x:f>
        <x:v>Не оценён</x:v>
      </x:c>
      <x:c r="AE1110" s="12" t="str">
        <x:f>IF(J1110="Рассчитано","Выручка "&amp;TEXT(V1110,"0.00")&amp;" - себестоимость "&amp;TEXT(W1110,"0.00")&amp;" - комиссия "&amp;TEXT(V1110*R1110/100,"0.00")&amp;" - доставка "&amp;TEXT(P1110,"0.00")&amp;" - прочие "&amp;TEXT(Q1110,"0.00")&amp;" = "&amp;TEXT(G1110,"0.00")&amp;" "&amp;L1110,"Введите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0" s="23" t="n">
        <x:v>222.6138423609995</x:v>
      </x:c>
      <x:c r="AG1110" s="35" t="n">
        <x:v>429</x:v>
      </x:c>
      <x:c r="AH1110" s="35" t="n">
        <x:v>0</x:v>
      </x:c>
      <x:c r="AI1110" s="29" t="n">
        <x:v>46266</x:v>
      </x:c>
      <x:c r="AJ1110" s="35" t="n">
        <x:v>1</x:v>
      </x:c>
      <x:c r="AK1110" s="11" t="str">
        <x:v>минимум</x:v>
      </x:c>
      <x:c r="AL1110" s="31" t="n">
        <x:v>163.8793265956258</x:v>
      </x:c>
      <x:c r="AM111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10" s="12" t="str">
        <x:v>Проверить свободный остаток и установить цену для B2B</x:v>
      </x:c>
      <x:c r="AO1110" s="12" t="str">
        <x:v>Остаток 429; прогноз 90 дней 222.61; избыток 206 шт. Будущие поступления не выставляются на продажу. Остаток на начало сентября: требуется актуализация.</x:v>
      </x:c>
      <x:c r="AP1110" s="12" t="str">
        <x:v>["category_missing", "daily_stockout_data_missing", "large_orders_detected", "new_order_lead_time_unknown", "reservations_unknown", "stale_stock", "transaction_month_mismatch"]</x:v>
      </x:c>
      <x:c r="AQ1110" s="11" t="str">
        <x:v>IEK:280200086_</x:v>
      </x:c>
      <x:c r="AR1110" s="23" t="n">
        <x:v>1</x:v>
      </x:c>
      <x:c r="AS1110" s="23" t="n">
        <x:v>0</x:v>
      </x:c>
      <x:c r="AT1110" s="23" t="n">
        <x:v>0</x:v>
      </x:c>
    </x:row>
    <x:row r="1111" ht="64" customHeight="1">
      <x:c r="A1111" s="10" t="str">
        <x:v>IEK</x:v>
      </x:c>
      <x:c r="B1111" s="34" t="str">
        <x:v>280200087_</x:v>
      </x:c>
      <x:c r="C1111" s="34" t="str">
        <x:v>CKMP10D-N-025-016-K01</x:v>
      </x:c>
      <x:c r="D1111" s="13" t="str">
        <x:v>Внешний угол КМН 25х16 Белый ЭЛЕКОР IEK (4)</x:v>
      </x:c>
      <x:c r="E1111" s="10" t="str">
        <x:v>шт</x:v>
      </x:c>
      <x:c r="F1111" s="37" t="n">
        <x:f>MAX(0,ROUNDDOWN((AG1111-AF1111)/AR1111+0.000000001,0)*AR1111)</x:f>
        <x:v>94</x:v>
      </x:c>
      <x:c r="G1111" s="21" t="str">
        <x:f>IF(J1111="Рассчитано",V1111*(1-R1111/100)-W1111-P1111-Q1111,"н/д")</x:f>
        <x:v>н/д</x:v>
      </x:c>
      <x:c r="H1111" s="13" t="str">
        <x:v>Высокий</x:v>
      </x:c>
      <x:c r="I1111" s="13" t="str">
        <x:v>Средний</x:v>
      </x:c>
      <x:c r="J1111" s="13" t="str">
        <x:f>IF(L1111="","Укажите валюту",IF(NOT(ISNUMBER(K1111)),"Укажите объём",IF(K1111&lt;=0,"Укажите объём",IF(K1111&gt;F1111,"Объём выше излишка",IF(COUNT(M1111:O1111)&lt;3,"Нужны цены",IF(COUNT(P1111:R1111)&lt;3,"Нужны расходы",IF(OR(M1111&lt;0,N1111&lt;0,O1111&lt;0,O1111&gt;100,P1111&lt;0,Q1111&lt;0,R1111&lt;0,R1111&gt;100),"Проверьте значения","Рассчитано")))))))</x:f>
        <x:v>Нужны цены</x:v>
      </x:c>
      <x:c r="K1111" s="36" t="n">
        <x:v>94</x:v>
      </x:c>
      <x:c r="L1111" s="19" t="str">
        <x:v>KZT</x:v>
      </x:c>
      <x:c r="M1111" s="22"/>
      <x:c r="N1111" s="22"/>
      <x:c r="O1111" s="28"/>
      <x:c r="P1111" s="22"/>
      <x:c r="Q1111" s="22"/>
      <x:c r="R1111" s="28"/>
      <x:c r="S1111" s="22"/>
      <x:c r="T1111" s="37" t="n">
        <x:f>K1111</x:f>
        <x:v>94</x:v>
      </x:c>
      <x:c r="U1111" s="21" t="str">
        <x:f>IF(J1111="Рассчитано",N1111*(1-O1111/100),"н/д")</x:f>
        <x:v>н/д</x:v>
      </x:c>
      <x:c r="V1111" s="21" t="str">
        <x:f>IF(J1111="Рассчитано",T1111*U1111,"н/д")</x:f>
        <x:v>н/д</x:v>
      </x:c>
      <x:c r="W1111" s="21" t="str">
        <x:f>IF(J1111="Рассчитано",T1111*M1111,"н/д")</x:f>
        <x:v>н/д</x:v>
      </x:c>
      <x:c r="X1111" s="21" t="str">
        <x:f>IF(J1111="Рассчитано",V1111-W1111,"н/д")</x:f>
        <x:v>н/д</x:v>
      </x:c>
      <x:c r="Y1111" s="27" t="str">
        <x:f>IF(J1111="Рассчитано",IF(V1111&gt;0,G1111/V1111,"н/д"),"н/д")</x:f>
        <x:v>н/д</x:v>
      </x:c>
      <x:c r="Z1111" s="21" t="str">
        <x:f>"н/д"</x:f>
        <x:v>н/д</x:v>
      </x:c>
      <x:c r="AA1111" s="21" t="str">
        <x:f>"н/д"</x:f>
        <x:v>н/д</x:v>
      </x:c>
      <x:c r="AB1111" s="21" t="str">
        <x:f>"н/д"</x:f>
        <x:v>н/д</x:v>
      </x:c>
      <x:c r="AC1111" s="21" t="str">
        <x:f>IF(AND(J1111="Рассчитано",T1111&gt;0,R1111&lt;100),(W1111+P1111+Q1111)/(T1111*(1-R1111/100)),"н/д")</x:f>
        <x:v>н/д</x:v>
      </x:c>
      <x:c r="AD1111" s="10" t="str">
        <x:f>IF(ISNUMBER(G1111),IF(G1111&lt;0,"Убыток",IF(G1111=0,"Без прибыли","Прибыль &gt; 0")),"Не оценён")</x:f>
        <x:v>Не оценён</x:v>
      </x:c>
      <x:c r="AE1111" s="13" t="str">
        <x:f>IF(J1111="Рассчитано","Выручка "&amp;TEXT(V1111,"0.00")&amp;" - себестоимость "&amp;TEXT(W1111,"0.00")&amp;" - комиссия "&amp;TEXT(V1111*R1111/100,"0.00")&amp;" - доставка "&amp;TEXT(P1111,"0.00")&amp;" - прочие "&amp;TEXT(Q1111,"0.00")&amp;" = "&amp;TEXT(G1111,"0.00")&amp;" "&amp;L1111,"Введите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1" s="24" t="n">
        <x:v>176.5724261541418</x:v>
      </x:c>
      <x:c r="AG1111" s="37" t="n">
        <x:v>271</x:v>
      </x:c>
      <x:c r="AH1111" s="37" t="n">
        <x:v>5</x:v>
      </x:c>
      <x:c r="AI1111" s="30" t="n">
        <x:v>46266</x:v>
      </x:c>
      <x:c r="AJ1111" s="37" t="n">
        <x:v>1</x:v>
      </x:c>
      <x:c r="AK1111" s="10" t="str">
        <x:v>минимум</x:v>
      </x:c>
      <x:c r="AL1111" s="32" t="n">
        <x:v>130.51650953692484</x:v>
      </x:c>
      <x:c r="AM1111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11" s="13" t="str">
        <x:v>Проверить свободный остаток и установить цену для B2B</x:v>
      </x:c>
      <x:c r="AO1111" s="13" t="str">
        <x:v>Остаток 271; прогноз 90 дней 176.57; избыток 94 шт. Будущие поступления не выставляются на продажу. Остаток на начало сентября: требуется актуализация.</x:v>
      </x:c>
      <x:c r="AP1111" s="13" t="str">
        <x:v>["category_missing", "daily_stockout_data_missing", "large_orders_detected", "new_order_lead_time_unknown", "reservations_unknown", "stale_stock", "transaction_month_mismatch"]</x:v>
      </x:c>
      <x:c r="AQ1111" s="10" t="str">
        <x:v>IEK:280200087_</x:v>
      </x:c>
      <x:c r="AR1111" s="24" t="n">
        <x:v>1</x:v>
      </x:c>
      <x:c r="AS1111" s="24" t="n">
        <x:v>0</x:v>
      </x:c>
      <x:c r="AT1111" s="24" t="n">
        <x:v>0</x:v>
      </x:c>
    </x:row>
    <x:row r="1112" ht="64" customHeight="1">
      <x:c r="A1112" s="11" t="str">
        <x:v>IEK</x:v>
      </x:c>
      <x:c r="B1112" s="33" t="str">
        <x:v>280200088_</x:v>
      </x:c>
      <x:c r="C1112" s="33" t="str">
        <x:v>CKMP10D-N-040-016-K01</x:v>
      </x:c>
      <x:c r="D1112" s="12" t="str">
        <x:v>Внешний угол КМН 40х16 Белый ЭЛЕКОР IEK (4)</x:v>
      </x:c>
      <x:c r="E1112" s="11" t="str">
        <x:v>шт</x:v>
      </x:c>
      <x:c r="F1112" s="35" t="n">
        <x:f>MAX(0,ROUNDDOWN((AG1112-AF1112)/AR1112+0.000000001,0)*AR1112)</x:f>
        <x:v>414</x:v>
      </x:c>
      <x:c r="G1112" s="20" t="str">
        <x:f>IF(J1112="Рассчитано",V1112*(1-R1112/100)-W1112-P1112-Q1112,"н/д")</x:f>
        <x:v>н/д</x:v>
      </x:c>
      <x:c r="H1112" s="12" t="str">
        <x:v>Высокий</x:v>
      </x:c>
      <x:c r="I1112" s="12" t="str">
        <x:v>Высокий</x:v>
      </x:c>
      <x:c r="J1112" s="12" t="str">
        <x:f>IF(L1112="","Укажите валюту",IF(NOT(ISNUMBER(K1112)),"Укажите объём",IF(K1112&lt;=0,"Укажите объём",IF(K1112&gt;F1112,"Объём выше излишка",IF(COUNT(M1112:O1112)&lt;3,"Нужны цены",IF(COUNT(P1112:R1112)&lt;3,"Нужны расходы",IF(OR(M1112&lt;0,N1112&lt;0,O1112&lt;0,O1112&gt;100,P1112&lt;0,Q1112&lt;0,R1112&lt;0,R1112&gt;100),"Проверьте значения","Рассчитано")))))))</x:f>
        <x:v>Нужны цены</x:v>
      </x:c>
      <x:c r="K1112" s="36" t="n">
        <x:v>414</x:v>
      </x:c>
      <x:c r="L1112" s="19" t="str">
        <x:v>KZT</x:v>
      </x:c>
      <x:c r="M1112" s="22"/>
      <x:c r="N1112" s="22"/>
      <x:c r="O1112" s="28"/>
      <x:c r="P1112" s="22"/>
      <x:c r="Q1112" s="22"/>
      <x:c r="R1112" s="28"/>
      <x:c r="S1112" s="22"/>
      <x:c r="T1112" s="35" t="n">
        <x:f>K1112</x:f>
        <x:v>414</x:v>
      </x:c>
      <x:c r="U1112" s="20" t="str">
        <x:f>IF(J1112="Рассчитано",N1112*(1-O1112/100),"н/д")</x:f>
        <x:v>н/д</x:v>
      </x:c>
      <x:c r="V1112" s="20" t="str">
        <x:f>IF(J1112="Рассчитано",T1112*U1112,"н/д")</x:f>
        <x:v>н/д</x:v>
      </x:c>
      <x:c r="W1112" s="20" t="str">
        <x:f>IF(J1112="Рассчитано",T1112*M1112,"н/д")</x:f>
        <x:v>н/д</x:v>
      </x:c>
      <x:c r="X1112" s="20" t="str">
        <x:f>IF(J1112="Рассчитано",V1112-W1112,"н/д")</x:f>
        <x:v>н/д</x:v>
      </x:c>
      <x:c r="Y1112" s="26" t="str">
        <x:f>IF(J1112="Рассчитано",IF(V1112&gt;0,G1112/V1112,"н/д"),"н/д")</x:f>
        <x:v>н/д</x:v>
      </x:c>
      <x:c r="Z1112" s="20" t="str">
        <x:f>"н/д"</x:f>
        <x:v>н/д</x:v>
      </x:c>
      <x:c r="AA1112" s="20" t="str">
        <x:f>"н/д"</x:f>
        <x:v>н/д</x:v>
      </x:c>
      <x:c r="AB1112" s="20" t="str">
        <x:f>"н/д"</x:f>
        <x:v>н/д</x:v>
      </x:c>
      <x:c r="AC1112" s="20" t="str">
        <x:f>IF(AND(J1112="Рассчитано",T1112&gt;0,R1112&lt;100),(W1112+P1112+Q1112)/(T1112*(1-R1112/100)),"н/д")</x:f>
        <x:v>н/д</x:v>
      </x:c>
      <x:c r="AD1112" s="11" t="str">
        <x:f>IF(ISNUMBER(G1112),IF(G1112&lt;0,"Убыток",IF(G1112=0,"Без прибыли","Прибыль &gt; 0")),"Не оценён")</x:f>
        <x:v>Не оценён</x:v>
      </x:c>
      <x:c r="AE1112" s="12" t="str">
        <x:f>IF(J1112="Рассчитано","Выручка "&amp;TEXT(V1112,"0.00")&amp;" - себестоимость "&amp;TEXT(W1112,"0.00")&amp;" - комиссия "&amp;TEXT(V1112*R1112/100,"0.00")&amp;" - доставка "&amp;TEXT(P1112,"0.00")&amp;" - прочие "&amp;TEXT(Q1112,"0.00")&amp;" = "&amp;TEXT(G1112,"0.00")&amp;" "&amp;L1112,"Введите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2" s="23" t="n">
        <x:v>20.33311310683833</x:v>
      </x:c>
      <x:c r="AG1112" s="35" t="n">
        <x:v>435</x:v>
      </x:c>
      <x:c r="AH1112" s="35" t="n">
        <x:v>0</x:v>
      </x:c>
      <x:c r="AI1112" s="29" t="n">
        <x:v>46266</x:v>
      </x:c>
      <x:c r="AJ1112" s="35" t="n">
        <x:v>1</x:v>
      </x:c>
      <x:c r="AK1112" s="11" t="str">
        <x:v>минимум</x:v>
      </x:c>
      <x:c r="AL1112" s="31" t="n">
        <x:v>1819.300440598305</x:v>
      </x:c>
      <x:c r="AM1112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12" s="12" t="str">
        <x:v>Проверить свободный остаток и установить цену для B2B</x:v>
      </x:c>
      <x:c r="AO1112" s="12" t="str">
        <x:v>Остаток 435; прогноз 90 дней 20.33; избыток 414 шт. Будущие поступления не выставляются на продажу. Остаток на начало сентября: требуется актуализация.</x:v>
      </x:c>
      <x:c r="AP1112" s="12" t="str">
        <x:v>["category_missing", "daily_stockout_data_missing", "large_orders_detected", "new_order_lead_time_unknown", "reservations_unknown", "stale_stock", "transaction_month_mismatch"]</x:v>
      </x:c>
      <x:c r="AQ1112" s="11" t="str">
        <x:v>IEK:280200088_</x:v>
      </x:c>
      <x:c r="AR1112" s="23" t="n">
        <x:v>1</x:v>
      </x:c>
      <x:c r="AS1112" s="23" t="n">
        <x:v>0</x:v>
      </x:c>
      <x:c r="AT1112" s="23" t="n">
        <x:v>0</x:v>
      </x:c>
    </x:row>
    <x:row r="1113" ht="64" customHeight="1">
      <x:c r="A1113" s="10" t="str">
        <x:v>IEK</x:v>
      </x:c>
      <x:c r="B1113" s="34" t="str">
        <x:v>280200109_</x:v>
      </x:c>
      <x:c r="C1113" s="34" t="str">
        <x:v>CKMP10D-V-100-040-K01</x:v>
      </x:c>
      <x:c r="D1113" s="13" t="str">
        <x:v>Внутренний угол КМВ 100х40 Белый ЭЛЕКОР IEK (2)</x:v>
      </x:c>
      <x:c r="E1113" s="10" t="str">
        <x:v>шт</x:v>
      </x:c>
      <x:c r="F1113" s="37" t="n">
        <x:f>MAX(0,ROUNDDOWN((AG1113-AF1113)/AR1113+0.000000001,0)*AR1113)</x:f>
        <x:v>14</x:v>
      </x:c>
      <x:c r="G1113" s="21" t="str">
        <x:f>IF(J1113="Рассчитано",V1113*(1-R1113/100)-W1113-P1113-Q1113,"н/д")</x:f>
        <x:v>н/д</x:v>
      </x:c>
      <x:c r="H1113" s="13" t="str">
        <x:v>Высокий</x:v>
      </x:c>
      <x:c r="I1113" s="13" t="str">
        <x:v>Средний</x:v>
      </x:c>
      <x:c r="J1113" s="13" t="str">
        <x:f>IF(L1113="","Укажите валюту",IF(NOT(ISNUMBER(K1113)),"Укажите объём",IF(K1113&lt;=0,"Укажите объём",IF(K1113&gt;F1113,"Объём выше излишка",IF(COUNT(M1113:O1113)&lt;3,"Нужны цены",IF(COUNT(P1113:R1113)&lt;3,"Нужны расходы",IF(OR(M1113&lt;0,N1113&lt;0,O1113&lt;0,O1113&gt;100,P1113&lt;0,Q1113&lt;0,R1113&lt;0,R1113&gt;100),"Проверьте значения","Рассчитано")))))))</x:f>
        <x:v>Нужны цены</x:v>
      </x:c>
      <x:c r="K1113" s="36" t="n">
        <x:v>14</x:v>
      </x:c>
      <x:c r="L1113" s="19" t="str">
        <x:v>KZT</x:v>
      </x:c>
      <x:c r="M1113" s="22"/>
      <x:c r="N1113" s="22"/>
      <x:c r="O1113" s="28"/>
      <x:c r="P1113" s="22"/>
      <x:c r="Q1113" s="22"/>
      <x:c r="R1113" s="28"/>
      <x:c r="S1113" s="22"/>
      <x:c r="T1113" s="37" t="n">
        <x:f>K1113</x:f>
        <x:v>14</x:v>
      </x:c>
      <x:c r="U1113" s="21" t="str">
        <x:f>IF(J1113="Рассчитано",N1113*(1-O1113/100),"н/д")</x:f>
        <x:v>н/д</x:v>
      </x:c>
      <x:c r="V1113" s="21" t="str">
        <x:f>IF(J1113="Рассчитано",T1113*U1113,"н/д")</x:f>
        <x:v>н/д</x:v>
      </x:c>
      <x:c r="W1113" s="21" t="str">
        <x:f>IF(J1113="Рассчитано",T1113*M1113,"н/д")</x:f>
        <x:v>н/д</x:v>
      </x:c>
      <x:c r="X1113" s="21" t="str">
        <x:f>IF(J1113="Рассчитано",V1113-W1113,"н/д")</x:f>
        <x:v>н/д</x:v>
      </x:c>
      <x:c r="Y1113" s="27" t="str">
        <x:f>IF(J1113="Рассчитано",IF(V1113&gt;0,G1113/V1113,"н/д"),"н/д")</x:f>
        <x:v>н/д</x:v>
      </x:c>
      <x:c r="Z1113" s="21" t="str">
        <x:f>"н/д"</x:f>
        <x:v>н/д</x:v>
      </x:c>
      <x:c r="AA1113" s="21" t="str">
        <x:f>"н/д"</x:f>
        <x:v>н/д</x:v>
      </x:c>
      <x:c r="AB1113" s="21" t="str">
        <x:f>"н/д"</x:f>
        <x:v>н/д</x:v>
      </x:c>
      <x:c r="AC1113" s="21" t="str">
        <x:f>IF(AND(J1113="Рассчитано",T1113&gt;0,R1113&lt;100),(W1113+P1113+Q1113)/(T1113*(1-R1113/100)),"н/д")</x:f>
        <x:v>н/д</x:v>
      </x:c>
      <x:c r="AD1113" s="10" t="str">
        <x:f>IF(ISNUMBER(G1113),IF(G1113&lt;0,"Убыток",IF(G1113=0,"Без прибыли","Прибыль &gt; 0")),"Не оценён")</x:f>
        <x:v>Не оценён</x:v>
      </x:c>
      <x:c r="AE1113" s="13" t="str">
        <x:f>IF(J1113="Рассчитано","Выручка "&amp;TEXT(V1113,"0.00")&amp;" - себестоимость "&amp;TEXT(W1113,"0.00")&amp;" - комиссия "&amp;TEXT(V1113*R1113/100,"0.00")&amp;" - доставка "&amp;TEXT(P1113,"0.00")&amp;" - прочие "&amp;TEXT(Q1113,"0.00")&amp;" = "&amp;TEXT(G1113,"0.00")&amp;" "&amp;L1113,"Введите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3" s="24" t="n">
        <x:v>29.10703938437664</x:v>
      </x:c>
      <x:c r="AG1113" s="37" t="n">
        <x:v>44</x:v>
      </x:c>
      <x:c r="AH1113" s="37" t="n">
        <x:v>16</x:v>
      </x:c>
      <x:c r="AI1113" s="30" t="n">
        <x:v>46266</x:v>
      </x:c>
      <x:c r="AJ1113" s="37" t="n">
        <x:v>8</x:v>
      </x:c>
      <x:c r="AK1113" s="10" t="str">
        <x:v>минимум</x:v>
      </x:c>
      <x:c r="AL1113" s="32" t="n">
        <x:v>128.55047543908125</x:v>
      </x:c>
      <x:c r="AM1113" s="13" t="str">
        <x:v>Остаток на начало сентября; Резервы неизвестны; Нет ежедневных данных доступности. Запас выше прогноза на 90 дней</x:v>
      </x:c>
      <x:c r="AN1113" s="13" t="str">
        <x:v>Проверить свободный остаток и установить цену для B2B</x:v>
      </x:c>
      <x:c r="AO1113" s="13" t="str">
        <x:v>Остаток 44; прогноз 90 дней 29.11; избыток 14 шт. Будущие поступления не выставляются на продажу. Остаток на начало сентября: требуется актуализация.</x:v>
      </x:c>
      <x:c r="AP1113" s="13" t="str">
        <x:v>["category_missing", "daily_stockout_data_missing", "new_order_lead_time_unknown", "reservations_unknown", "stale_stock"]</x:v>
      </x:c>
      <x:c r="AQ1113" s="10" t="str">
        <x:v>IEK:280200109_</x:v>
      </x:c>
      <x:c r="AR1113" s="24" t="n">
        <x:v>1</x:v>
      </x:c>
      <x:c r="AS1113" s="24" t="n">
        <x:v>0</x:v>
      </x:c>
      <x:c r="AT1113" s="24" t="n">
        <x:v>0</x:v>
      </x:c>
    </x:row>
    <x:row r="1114" ht="64" customHeight="1">
      <x:c r="A1114" s="11" t="str">
        <x:v>IEK</x:v>
      </x:c>
      <x:c r="B1114" s="33" t="str">
        <x:v>280200166_</x:v>
      </x:c>
      <x:c r="C1114" s="33" t="str">
        <x:v>CKK-40D-W-100-040-K01</x:v>
      </x:c>
      <x:c r="D1114" s="12" t="str">
        <x:v>Внешний изменяемый угол 100х40  ПРАЙМЕР (108)</x:v>
      </x:c>
      <x:c r="E1114" s="11" t="str">
        <x:v>шт</x:v>
      </x:c>
      <x:c r="F1114" s="35" t="n">
        <x:f>MAX(0,ROUNDDOWN((AG1114-AF1114)/AR1114+0.000000001,0)*AR1114)</x:f>
        <x:v>9</x:v>
      </x:c>
      <x:c r="G1114" s="20" t="str">
        <x:f>IF(J1114="Рассчитано",V1114*(1-R1114/100)-W1114-P1114-Q1114,"н/д")</x:f>
        <x:v>н/д</x:v>
      </x:c>
      <x:c r="H1114" s="12" t="str">
        <x:v>Высокий</x:v>
      </x:c>
      <x:c r="I1114" s="12" t="str">
        <x:v>Средний</x:v>
      </x:c>
      <x:c r="J1114" s="12" t="str">
        <x:f>IF(L1114="","Укажите валюту",IF(NOT(ISNUMBER(K1114)),"Укажите объём",IF(K1114&lt;=0,"Укажите объём",IF(K1114&gt;F1114,"Объём выше излишка",IF(COUNT(M1114:O1114)&lt;3,"Нужны цены",IF(COUNT(P1114:R1114)&lt;3,"Нужны расходы",IF(OR(M1114&lt;0,N1114&lt;0,O1114&lt;0,O1114&gt;100,P1114&lt;0,Q1114&lt;0,R1114&lt;0,R1114&gt;100),"Проверьте значения","Рассчитано")))))))</x:f>
        <x:v>Нужны цены</x:v>
      </x:c>
      <x:c r="K1114" s="36" t="n">
        <x:v>9</x:v>
      </x:c>
      <x:c r="L1114" s="19" t="str">
        <x:v>KZT</x:v>
      </x:c>
      <x:c r="M1114" s="22"/>
      <x:c r="N1114" s="22"/>
      <x:c r="O1114" s="28"/>
      <x:c r="P1114" s="22"/>
      <x:c r="Q1114" s="22"/>
      <x:c r="R1114" s="28"/>
      <x:c r="S1114" s="22"/>
      <x:c r="T1114" s="35" t="n">
        <x:f>K1114</x:f>
        <x:v>9</x:v>
      </x:c>
      <x:c r="U1114" s="20" t="str">
        <x:f>IF(J1114="Рассчитано",N1114*(1-O1114/100),"н/д")</x:f>
        <x:v>н/д</x:v>
      </x:c>
      <x:c r="V1114" s="20" t="str">
        <x:f>IF(J1114="Рассчитано",T1114*U1114,"н/д")</x:f>
        <x:v>н/д</x:v>
      </x:c>
      <x:c r="W1114" s="20" t="str">
        <x:f>IF(J1114="Рассчитано",T1114*M1114,"н/д")</x:f>
        <x:v>н/д</x:v>
      </x:c>
      <x:c r="X1114" s="20" t="str">
        <x:f>IF(J1114="Рассчитано",V1114-W1114,"н/д")</x:f>
        <x:v>н/д</x:v>
      </x:c>
      <x:c r="Y1114" s="26" t="str">
        <x:f>IF(J1114="Рассчитано",IF(V1114&gt;0,G1114/V1114,"н/д"),"н/д")</x:f>
        <x:v>н/д</x:v>
      </x:c>
      <x:c r="Z1114" s="20" t="str">
        <x:f>"н/д"</x:f>
        <x:v>н/д</x:v>
      </x:c>
      <x:c r="AA1114" s="20" t="str">
        <x:f>"н/д"</x:f>
        <x:v>н/д</x:v>
      </x:c>
      <x:c r="AB1114" s="20" t="str">
        <x:f>"н/д"</x:f>
        <x:v>н/д</x:v>
      </x:c>
      <x:c r="AC1114" s="20" t="str">
        <x:f>IF(AND(J1114="Рассчитано",T1114&gt;0,R1114&lt;100),(W1114+P1114+Q1114)/(T1114*(1-R1114/100)),"н/д")</x:f>
        <x:v>н/д</x:v>
      </x:c>
      <x:c r="AD1114" s="11" t="str">
        <x:f>IF(ISNUMBER(G1114),IF(G1114&lt;0,"Убыток",IF(G1114=0,"Без прибыли","Прибыль &gt; 0")),"Не оценён")</x:f>
        <x:v>Не оценён</x:v>
      </x:c>
      <x:c r="AE1114" s="12" t="str">
        <x:f>IF(J1114="Рассчитано","Выручка "&amp;TEXT(V1114,"0.00")&amp;" - себестоимость "&amp;TEXT(W1114,"0.00")&amp;" - комиссия "&amp;TEXT(V1114*R1114/100,"0.00")&amp;" - доставка "&amp;TEXT(P1114,"0.00")&amp;" - прочие "&amp;TEXT(Q1114,"0.00")&amp;" = "&amp;TEXT(G1114,"0.00")&amp;" "&amp;L1114,"Введите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4" s="23" t="n">
        <x:v>27.816265799220293</x:v>
      </x:c>
      <x:c r="AG1114" s="35" t="n">
        <x:v>37</x:v>
      </x:c>
      <x:c r="AH1114" s="35" t="n">
        <x:v>0</x:v>
      </x:c>
      <x:c r="AI1114" s="29" t="n">
        <x:v>46266</x:v>
      </x:c>
      <x:c r="AJ1114" s="35" t="n">
        <x:v>12</x:v>
      </x:c>
      <x:c r="AK1114" s="11" t="str">
        <x:v>минимум</x:v>
      </x:c>
      <x:c r="AL1114" s="31" t="n">
        <x:v>113.11545341873229</x:v>
      </x:c>
      <x:c r="AM1114" s="12" t="str">
        <x:v>Остаток на начало сентября; Резервы неизвестны; Нет ежедневных данных доступности. Запас выше прогноза на 90 дней</x:v>
      </x:c>
      <x:c r="AN1114" s="12" t="str">
        <x:v>Проверить свободный остаток и установить цену для B2B</x:v>
      </x:c>
      <x:c r="AO1114" s="12" t="str">
        <x:v>Остаток 37; прогноз 90 дней 27.82; избыток 9 шт. Будущие поступления не выставляются на продажу. Остаток на начало сентября: требуется актуализация.</x:v>
      </x:c>
      <x:c r="AP1114" s="12" t="str">
        <x:v>["category_missing", "daily_stockout_data_missing", "new_order_lead_time_unknown", "reservations_unknown", "stale_stock"]</x:v>
      </x:c>
      <x:c r="AQ1114" s="11" t="str">
        <x:v>IEK:280200166_</x:v>
      </x:c>
      <x:c r="AR1114" s="23" t="n">
        <x:v>1</x:v>
      </x:c>
      <x:c r="AS1114" s="23" t="n">
        <x:v>0</x:v>
      </x:c>
      <x:c r="AT1114" s="23" t="n">
        <x:v>0</x:v>
      </x:c>
    </x:row>
    <x:row r="1115" ht="64" customHeight="1">
      <x:c r="A1115" s="10" t="str">
        <x:v>IEK</x:v>
      </x:c>
      <x:c r="B1115" s="34" t="str">
        <x:v>280200167_</x:v>
      </x:c>
      <x:c r="C1115" s="34" t="str">
        <x:v>CKK-40D-X-100-040-K01</x:v>
      </x:c>
      <x:c r="D1115" s="13" t="str">
        <x:v>Внутренний изменяемый угол 100х40  ПРАЙМЕР (108)</x:v>
      </x:c>
      <x:c r="E1115" s="10" t="str">
        <x:v>шт</x:v>
      </x:c>
      <x:c r="F1115" s="37" t="n">
        <x:f>MAX(0,ROUNDDOWN((AG1115-AF1115)/AR1115+0.000000001,0)*AR1115)</x:f>
        <x:v>40</x:v>
      </x:c>
      <x:c r="G1115" s="21" t="str">
        <x:f>IF(J1115="Рассчитано",V1115*(1-R1115/100)-W1115-P1115-Q1115,"н/д")</x:f>
        <x:v>н/д</x:v>
      </x:c>
      <x:c r="H1115" s="13" t="str">
        <x:v>Высокий</x:v>
      </x:c>
      <x:c r="I1115" s="13" t="str">
        <x:v>Средний</x:v>
      </x:c>
      <x:c r="J1115" s="13" t="str">
        <x:f>IF(L1115="","Укажите валюту",IF(NOT(ISNUMBER(K1115)),"Укажите объём",IF(K1115&lt;=0,"Укажите объём",IF(K1115&gt;F1115,"Объём выше излишка",IF(COUNT(M1115:O1115)&lt;3,"Нужны цены",IF(COUNT(P1115:R1115)&lt;3,"Нужны расходы",IF(OR(M1115&lt;0,N1115&lt;0,O1115&lt;0,O1115&gt;100,P1115&lt;0,Q1115&lt;0,R1115&lt;0,R1115&gt;100),"Проверьте значения","Рассчитано")))))))</x:f>
        <x:v>Нужны цены</x:v>
      </x:c>
      <x:c r="K1115" s="36" t="n">
        <x:v>40</x:v>
      </x:c>
      <x:c r="L1115" s="19" t="str">
        <x:v>KZT</x:v>
      </x:c>
      <x:c r="M1115" s="22"/>
      <x:c r="N1115" s="22"/>
      <x:c r="O1115" s="28"/>
      <x:c r="P1115" s="22"/>
      <x:c r="Q1115" s="22"/>
      <x:c r="R1115" s="28"/>
      <x:c r="S1115" s="22"/>
      <x:c r="T1115" s="37" t="n">
        <x:f>K1115</x:f>
        <x:v>40</x:v>
      </x:c>
      <x:c r="U1115" s="21" t="str">
        <x:f>IF(J1115="Рассчитано",N1115*(1-O1115/100),"н/д")</x:f>
        <x:v>н/д</x:v>
      </x:c>
      <x:c r="V1115" s="21" t="str">
        <x:f>IF(J1115="Рассчитано",T1115*U1115,"н/д")</x:f>
        <x:v>н/д</x:v>
      </x:c>
      <x:c r="W1115" s="21" t="str">
        <x:f>IF(J1115="Рассчитано",T1115*M1115,"н/д")</x:f>
        <x:v>н/д</x:v>
      </x:c>
      <x:c r="X1115" s="21" t="str">
        <x:f>IF(J1115="Рассчитано",V1115-W1115,"н/д")</x:f>
        <x:v>н/д</x:v>
      </x:c>
      <x:c r="Y1115" s="27" t="str">
        <x:f>IF(J1115="Рассчитано",IF(V1115&gt;0,G1115/V1115,"н/д"),"н/д")</x:f>
        <x:v>н/д</x:v>
      </x:c>
      <x:c r="Z1115" s="21" t="str">
        <x:f>"н/д"</x:f>
        <x:v>н/д</x:v>
      </x:c>
      <x:c r="AA1115" s="21" t="str">
        <x:f>"н/д"</x:f>
        <x:v>н/д</x:v>
      </x:c>
      <x:c r="AB1115" s="21" t="str">
        <x:f>"н/д"</x:f>
        <x:v>н/д</x:v>
      </x:c>
      <x:c r="AC1115" s="21" t="str">
        <x:f>IF(AND(J1115="Рассчитано",T1115&gt;0,R1115&lt;100),(W1115+P1115+Q1115)/(T1115*(1-R1115/100)),"н/д")</x:f>
        <x:v>н/д</x:v>
      </x:c>
      <x:c r="AD1115" s="10" t="str">
        <x:f>IF(ISNUMBER(G1115),IF(G1115&lt;0,"Убыток",IF(G1115=0,"Без прибыли","Прибыль &gt; 0")),"Не оценён")</x:f>
        <x:v>Не оценён</x:v>
      </x:c>
      <x:c r="AE1115" s="13" t="str">
        <x:f>IF(J1115="Рассчитано","Выручка "&amp;TEXT(V1115,"0.00")&amp;" - себестоимость "&amp;TEXT(W1115,"0.00")&amp;" - комиссия "&amp;TEXT(V1115*R1115/100,"0.00")&amp;" - доставка "&amp;TEXT(P1115,"0.00")&amp;" - прочие "&amp;TEXT(Q1115,"0.00")&amp;" = "&amp;TEXT(G1115,"0.00")&amp;" "&amp;L1115,"Введите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5" s="24" t="n">
        <x:v>56.268613898811694</x:v>
      </x:c>
      <x:c r="AG1115" s="37" t="n">
        <x:v>97</x:v>
      </x:c>
      <x:c r="AH1115" s="37" t="n">
        <x:v>0</x:v>
      </x:c>
      <x:c r="AI1115" s="30" t="n">
        <x:v>46266</x:v>
      </x:c>
      <x:c r="AJ1115" s="37" t="n">
        <x:v>12</x:v>
      </x:c>
      <x:c r="AK1115" s="10" t="str">
        <x:v>минимум</x:v>
      </x:c>
      <x:c r="AL1115" s="32" t="n">
        <x:v>146.59682400096833</x:v>
      </x:c>
      <x:c r="AM1115" s="13" t="str">
        <x:v>Остаток на начало сентября; Резервы неизвестны; Нет ежедневных данных доступности. Запас выше прогноза на 90 дней</x:v>
      </x:c>
      <x:c r="AN1115" s="13" t="str">
        <x:v>Проверить свободный остаток и установить цену для B2B</x:v>
      </x:c>
      <x:c r="AO1115" s="13" t="str">
        <x:v>Остаток 97; прогноз 90 дней 56.27; избыток 40 шт. Будущие поступления не выставляются на продажу. Остаток на начало сентября: требуется актуализация.</x:v>
      </x:c>
      <x:c r="AP1115" s="13" t="str">
        <x:v>["category_missing", "daily_stockout_data_missing", "large_orders_detected", "new_order_lead_time_unknown", "reservations_unknown", "stale_stock"]</x:v>
      </x:c>
      <x:c r="AQ1115" s="10" t="str">
        <x:v>IEK:280200167_</x:v>
      </x:c>
      <x:c r="AR1115" s="24" t="n">
        <x:v>1</x:v>
      </x:c>
      <x:c r="AS1115" s="24" t="n">
        <x:v>0</x:v>
      </x:c>
      <x:c r="AT1115" s="24" t="n">
        <x:v>0</x:v>
      </x:c>
    </x:row>
    <x:row r="1116" ht="64" customHeight="1">
      <x:c r="A1116" s="11" t="str">
        <x:v>IEK</x:v>
      </x:c>
      <x:c r="B1116" s="33" t="str">
        <x:v>280200252_</x:v>
      </x:c>
      <x:c r="C1116" s="33" t="str">
        <x:v>CS3-1C5EU</x:v>
      </x:c>
      <x:c r="D1116" s="12" t="str">
        <x:v>Разъём RJ-45 UTP для кабеля кат.5Е ITK</x:v>
      </x:c>
      <x:c r="E1116" s="11" t="str">
        <x:v>шт</x:v>
      </x:c>
      <x:c r="F1116" s="35" t="n">
        <x:f>MAX(0,ROUNDDOWN((AG1116-AF1116)/AR1116+0.000000001,0)*AR1116)</x:f>
        <x:v>1682</x:v>
      </x:c>
      <x:c r="G1116" s="20" t="str">
        <x:f>IF(J1116="Рассчитано",V1116*(1-R1116/100)-W1116-P1116-Q1116,"н/д")</x:f>
        <x:v>н/д</x:v>
      </x:c>
      <x:c r="H1116" s="12" t="str">
        <x:v>Высокий</x:v>
      </x:c>
      <x:c r="I1116" s="12" t="str">
        <x:v>Средний</x:v>
      </x:c>
      <x:c r="J1116" s="12" t="str">
        <x:f>IF(L1116="","Укажите валюту",IF(NOT(ISNUMBER(K1116)),"Укажите объём",IF(K1116&lt;=0,"Укажите объём",IF(K1116&gt;F1116,"Объём выше излишка",IF(COUNT(M1116:O1116)&lt;3,"Нужны цены",IF(COUNT(P1116:R1116)&lt;3,"Нужны расходы",IF(OR(M1116&lt;0,N1116&lt;0,O1116&lt;0,O1116&gt;100,P1116&lt;0,Q1116&lt;0,R1116&lt;0,R1116&gt;100),"Проверьте значения","Рассчитано")))))))</x:f>
        <x:v>Нужны цены</x:v>
      </x:c>
      <x:c r="K1116" s="36" t="n">
        <x:v>1682</x:v>
      </x:c>
      <x:c r="L1116" s="19" t="str">
        <x:v>KZT</x:v>
      </x:c>
      <x:c r="M1116" s="22"/>
      <x:c r="N1116" s="22"/>
      <x:c r="O1116" s="28"/>
      <x:c r="P1116" s="22"/>
      <x:c r="Q1116" s="22"/>
      <x:c r="R1116" s="28"/>
      <x:c r="S1116" s="22"/>
      <x:c r="T1116" s="35" t="n">
        <x:f>K1116</x:f>
        <x:v>1682</x:v>
      </x:c>
      <x:c r="U1116" s="20" t="str">
        <x:f>IF(J1116="Рассчитано",N1116*(1-O1116/100),"н/д")</x:f>
        <x:v>н/д</x:v>
      </x:c>
      <x:c r="V1116" s="20" t="str">
        <x:f>IF(J1116="Рассчитано",T1116*U1116,"н/д")</x:f>
        <x:v>н/д</x:v>
      </x:c>
      <x:c r="W1116" s="20" t="str">
        <x:f>IF(J1116="Рассчитано",T1116*M1116,"н/д")</x:f>
        <x:v>н/д</x:v>
      </x:c>
      <x:c r="X1116" s="20" t="str">
        <x:f>IF(J1116="Рассчитано",V1116-W1116,"н/д")</x:f>
        <x:v>н/д</x:v>
      </x:c>
      <x:c r="Y1116" s="26" t="str">
        <x:f>IF(J1116="Рассчитано",IF(V1116&gt;0,G1116/V1116,"н/д"),"н/д")</x:f>
        <x:v>н/д</x:v>
      </x:c>
      <x:c r="Z1116" s="20" t="str">
        <x:f>"н/д"</x:f>
        <x:v>н/д</x:v>
      </x:c>
      <x:c r="AA1116" s="20" t="str">
        <x:f>"н/д"</x:f>
        <x:v>н/д</x:v>
      </x:c>
      <x:c r="AB1116" s="20" t="str">
        <x:f>"н/д"</x:f>
        <x:v>н/д</x:v>
      </x:c>
      <x:c r="AC1116" s="20" t="str">
        <x:f>IF(AND(J1116="Рассчитано",T1116&gt;0,R1116&lt;100),(W1116+P1116+Q1116)/(T1116*(1-R1116/100)),"н/д")</x:f>
        <x:v>н/д</x:v>
      </x:c>
      <x:c r="AD1116" s="11" t="str">
        <x:f>IF(ISNUMBER(G1116),IF(G1116&lt;0,"Убыток",IF(G1116=0,"Без прибыли","Прибыль &gt; 0")),"Не оценён")</x:f>
        <x:v>Не оценён</x:v>
      </x:c>
      <x:c r="AE1116" s="12" t="str">
        <x:f>IF(J1116="Рассчитано","Выручка "&amp;TEXT(V1116,"0.00")&amp;" - себестоимость "&amp;TEXT(W1116,"0.00")&amp;" - комиссия "&amp;TEXT(V1116*R1116/100,"0.00")&amp;" - доставка "&amp;TEXT(P1116,"0.00")&amp;" - прочие "&amp;TEXT(Q1116,"0.00")&amp;" = "&amp;TEXT(G1116,"0.00")&amp;" "&amp;L1116,"Введите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6" s="23" t="n">
        <x:v>2430.608902404526</x:v>
      </x:c>
      <x:c r="AG1116" s="35" t="n">
        <x:v>4113</x:v>
      </x:c>
      <x:c r="AH1116" s="35" t="n">
        <x:v>3000</x:v>
      </x:c>
      <x:c r="AI1116" s="29" t="n">
        <x:v>46266</x:v>
      </x:c>
      <x:c r="AJ1116" s="35" t="n">
        <x:v>20</x:v>
      </x:c>
      <x:c r="AK1116" s="11" t="str">
        <x:v>минимум</x:v>
      </x:c>
      <x:c r="AL1116" s="31" t="n">
        <x:v>143.9006214622714</x:v>
      </x:c>
      <x:c r="AM1116" s="12" t="str">
        <x:v>Остаток на начало сентября; Резервы неизвестны; Нет ежедневных данных доступности. Запас выше прогноза на 90 дней</x:v>
      </x:c>
      <x:c r="AN1116" s="12" t="str">
        <x:v>Проверить свободный остаток и установить цену для B2B</x:v>
      </x:c>
      <x:c r="AO1116" s="12" t="str">
        <x:v>Остаток 4113; прогноз 90 дней 2430.61; избыток 1682 шт. Будущие поступления не выставляются на продажу. Остаток на начало сентября: требуется актуализация.</x:v>
      </x:c>
      <x:c r="AP1116" s="12" t="str">
        <x:v>["category_missing", "daily_stockout_data_missing", "large_orders_detected", "new_order_lead_time_unknown", "reservations_unknown", "stale_stock"]</x:v>
      </x:c>
      <x:c r="AQ1116" s="11" t="str">
        <x:v>IEK:280200252_</x:v>
      </x:c>
      <x:c r="AR1116" s="23" t="n">
        <x:v>1</x:v>
      </x:c>
      <x:c r="AS1116" s="23" t="n">
        <x:v>0</x:v>
      </x:c>
      <x:c r="AT1116" s="23" t="n">
        <x:v>0</x:v>
      </x:c>
    </x:row>
    <x:row r="1117" ht="64" customHeight="1">
      <x:c r="A1117" s="10" t="str">
        <x:v>IEK</x:v>
      </x:c>
      <x:c r="B1117" s="34" t="str">
        <x:v>280300003_</x:v>
      </x:c>
      <x:c r="C1117" s="34" t="str">
        <x:v>CLP1CW-100-1</x:v>
      </x:c>
      <x:c r="D1117" s="13" t="str">
        <x:v>Кронштейн настенный осн.100мм. IEK (4)</x:v>
      </x:c>
      <x:c r="E1117" s="10" t="str">
        <x:v>шт</x:v>
      </x:c>
      <x:c r="F1117" s="37" t="n">
        <x:f>MAX(0,ROUNDDOWN((AG1117-AF1117)/AR1117+0.000000001,0)*AR1117)</x:f>
        <x:v>56</x:v>
      </x:c>
      <x:c r="G1117" s="21" t="str">
        <x:f>IF(J1117="Рассчитано",V1117*(1-R1117/100)-W1117-P1117-Q1117,"н/д")</x:f>
        <x:v>н/д</x:v>
      </x:c>
      <x:c r="H1117" s="13" t="str">
        <x:v>Высокий</x:v>
      </x:c>
      <x:c r="I1117" s="13" t="str">
        <x:v>Средний</x:v>
      </x:c>
      <x:c r="J1117" s="13" t="str">
        <x:f>IF(L1117="","Укажите валюту",IF(NOT(ISNUMBER(K1117)),"Укажите объём",IF(K1117&lt;=0,"Укажите объём",IF(K1117&gt;F1117,"Объём выше излишка",IF(COUNT(M1117:O1117)&lt;3,"Нужны цены",IF(COUNT(P1117:R1117)&lt;3,"Нужны расходы",IF(OR(M1117&lt;0,N1117&lt;0,O1117&lt;0,O1117&gt;100,P1117&lt;0,Q1117&lt;0,R1117&lt;0,R1117&gt;100),"Проверьте значения","Рассчитано")))))))</x:f>
        <x:v>Нужны цены</x:v>
      </x:c>
      <x:c r="K1117" s="36" t="n">
        <x:v>56</x:v>
      </x:c>
      <x:c r="L1117" s="19" t="str">
        <x:v>KZT</x:v>
      </x:c>
      <x:c r="M1117" s="22"/>
      <x:c r="N1117" s="22"/>
      <x:c r="O1117" s="28"/>
      <x:c r="P1117" s="22"/>
      <x:c r="Q1117" s="22"/>
      <x:c r="R1117" s="28"/>
      <x:c r="S1117" s="22"/>
      <x:c r="T1117" s="37" t="n">
        <x:f>K1117</x:f>
        <x:v>56</x:v>
      </x:c>
      <x:c r="U1117" s="21" t="str">
        <x:f>IF(J1117="Рассчитано",N1117*(1-O1117/100),"н/д")</x:f>
        <x:v>н/д</x:v>
      </x:c>
      <x:c r="V1117" s="21" t="str">
        <x:f>IF(J1117="Рассчитано",T1117*U1117,"н/д")</x:f>
        <x:v>н/д</x:v>
      </x:c>
      <x:c r="W1117" s="21" t="str">
        <x:f>IF(J1117="Рассчитано",T1117*M1117,"н/д")</x:f>
        <x:v>н/д</x:v>
      </x:c>
      <x:c r="X1117" s="21" t="str">
        <x:f>IF(J1117="Рассчитано",V1117-W1117,"н/д")</x:f>
        <x:v>н/д</x:v>
      </x:c>
      <x:c r="Y1117" s="27" t="str">
        <x:f>IF(J1117="Рассчитано",IF(V1117&gt;0,G1117/V1117,"н/д"),"н/д")</x:f>
        <x:v>н/д</x:v>
      </x:c>
      <x:c r="Z1117" s="21" t="str">
        <x:f>"н/д"</x:f>
        <x:v>н/д</x:v>
      </x:c>
      <x:c r="AA1117" s="21" t="str">
        <x:f>"н/д"</x:f>
        <x:v>н/д</x:v>
      </x:c>
      <x:c r="AB1117" s="21" t="str">
        <x:f>"н/д"</x:f>
        <x:v>н/д</x:v>
      </x:c>
      <x:c r="AC1117" s="21" t="str">
        <x:f>IF(AND(J1117="Рассчитано",T1117&gt;0,R1117&lt;100),(W1117+P1117+Q1117)/(T1117*(1-R1117/100)),"н/д")</x:f>
        <x:v>н/д</x:v>
      </x:c>
      <x:c r="AD1117" s="10" t="str">
        <x:f>IF(ISNUMBER(G1117),IF(G1117&lt;0,"Убыток",IF(G1117=0,"Без прибыли","Прибыль &gt; 0")),"Не оценён")</x:f>
        <x:v>Не оценён</x:v>
      </x:c>
      <x:c r="AE1117" s="13" t="str">
        <x:f>IF(J1117="Рассчитано","Выручка "&amp;TEXT(V1117,"0.00")&amp;" - себестоимость "&amp;TEXT(W1117,"0.00")&amp;" - комиссия "&amp;TEXT(V1117*R1117/100,"0.00")&amp;" - доставка "&amp;TEXT(P1117,"0.00")&amp;" - прочие "&amp;TEXT(Q1117,"0.00")&amp;" = "&amp;TEXT(G1117,"0.00")&amp;" "&amp;L1117,"Введите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7" s="24" t="n">
        <x:v>81.67742956874903</x:v>
      </x:c>
      <x:c r="AG1117" s="37" t="n">
        <x:v>138</x:v>
      </x:c>
      <x:c r="AH1117" s="37" t="n">
        <x:v>0</x:v>
      </x:c>
      <x:c r="AI1117" s="30" t="n">
        <x:v>46266</x:v>
      </x:c>
      <x:c r="AJ1117" s="37" t="n">
        <x:v>4</x:v>
      </x:c>
      <x:c r="AK1117" s="10" t="str">
        <x:v>минимум</x:v>
      </x:c>
      <x:c r="AL1117" s="32" t="n">
        <x:v>143.67991712569685</x:v>
      </x:c>
      <x:c r="AM1117" s="13" t="str">
        <x:v>Остаток на начало сентября; Резервы неизвестны; Нет ежедневных данных доступности. Запас выше прогноза на 90 дней</x:v>
      </x:c>
      <x:c r="AN1117" s="13" t="str">
        <x:v>Проверить свободный остаток и установить цену для B2B</x:v>
      </x:c>
      <x:c r="AO1117" s="13" t="str">
        <x:v>Остаток 138; прогноз 90 дней 81.68; избыток 56 шт. Будущие поступления не выставляются на продажу. Остаток на начало сентября: требуется актуализация.</x:v>
      </x:c>
      <x:c r="AP1117" s="13" t="str">
        <x:v>["category_missing", "daily_stockout_data_missing", "large_orders_detected", "new_order_lead_time_unknown", "reservations_unknown", "stale_stock"]</x:v>
      </x:c>
      <x:c r="AQ1117" s="10" t="str">
        <x:v>IEK:280300003_</x:v>
      </x:c>
      <x:c r="AR1117" s="24" t="n">
        <x:v>1</x:v>
      </x:c>
      <x:c r="AS1117" s="24" t="n">
        <x:v>0</x:v>
      </x:c>
      <x:c r="AT1117" s="24" t="n">
        <x:v>0</x:v>
      </x:c>
    </x:row>
    <x:row r="1118" ht="64" customHeight="1">
      <x:c r="A1118" s="11" t="str">
        <x:v>IEK</x:v>
      </x:c>
      <x:c r="B1118" s="33" t="str">
        <x:v>280300004_</x:v>
      </x:c>
      <x:c r="C1118" s="33" t="str">
        <x:v>CLP1CW-200-1</x:v>
      </x:c>
      <x:c r="D1118" s="12" t="str">
        <x:v>Кронштейн настенный осн.200мм. IEK (4)</x:v>
      </x:c>
      <x:c r="E1118" s="11" t="str">
        <x:v>шт</x:v>
      </x:c>
      <x:c r="F1118" s="35" t="n">
        <x:f>MAX(0,ROUNDDOWN((AG1118-AF1118)/AR1118+0.000000001,0)*AR1118)</x:f>
        <x:v>7</x:v>
      </x:c>
      <x:c r="G1118" s="20" t="str">
        <x:f>IF(J1118="Рассчитано",V1118*(1-R1118/100)-W1118-P1118-Q1118,"н/д")</x:f>
        <x:v>н/д</x:v>
      </x:c>
      <x:c r="H1118" s="12" t="str">
        <x:v>Высокий</x:v>
      </x:c>
      <x:c r="I1118" s="12" t="str">
        <x:v>Средний</x:v>
      </x:c>
      <x:c r="J1118" s="12" t="str">
        <x:f>IF(L1118="","Укажите валюту",IF(NOT(ISNUMBER(K1118)),"Укажите объём",IF(K1118&lt;=0,"Укажите объём",IF(K1118&gt;F1118,"Объём выше излишка",IF(COUNT(M1118:O1118)&lt;3,"Нужны цены",IF(COUNT(P1118:R1118)&lt;3,"Нужны расходы",IF(OR(M1118&lt;0,N1118&lt;0,O1118&lt;0,O1118&gt;100,P1118&lt;0,Q1118&lt;0,R1118&lt;0,R1118&gt;100),"Проверьте значения","Рассчитано")))))))</x:f>
        <x:v>Нужны цены</x:v>
      </x:c>
      <x:c r="K1118" s="36" t="n">
        <x:v>7</x:v>
      </x:c>
      <x:c r="L1118" s="19" t="str">
        <x:v>KZT</x:v>
      </x:c>
      <x:c r="M1118" s="22"/>
      <x:c r="N1118" s="22"/>
      <x:c r="O1118" s="28"/>
      <x:c r="P1118" s="22"/>
      <x:c r="Q1118" s="22"/>
      <x:c r="R1118" s="28"/>
      <x:c r="S1118" s="22"/>
      <x:c r="T1118" s="35" t="n">
        <x:f>K1118</x:f>
        <x:v>7</x:v>
      </x:c>
      <x:c r="U1118" s="20" t="str">
        <x:f>IF(J1118="Рассчитано",N1118*(1-O1118/100),"н/д")</x:f>
        <x:v>н/д</x:v>
      </x:c>
      <x:c r="V1118" s="20" t="str">
        <x:f>IF(J1118="Рассчитано",T1118*U1118,"н/д")</x:f>
        <x:v>н/д</x:v>
      </x:c>
      <x:c r="W1118" s="20" t="str">
        <x:f>IF(J1118="Рассчитано",T1118*M1118,"н/д")</x:f>
        <x:v>н/д</x:v>
      </x:c>
      <x:c r="X1118" s="20" t="str">
        <x:f>IF(J1118="Рассчитано",V1118-W1118,"н/д")</x:f>
        <x:v>н/д</x:v>
      </x:c>
      <x:c r="Y1118" s="26" t="str">
        <x:f>IF(J1118="Рассчитано",IF(V1118&gt;0,G1118/V1118,"н/д"),"н/д")</x:f>
        <x:v>н/д</x:v>
      </x:c>
      <x:c r="Z1118" s="20" t="str">
        <x:f>"н/д"</x:f>
        <x:v>н/д</x:v>
      </x:c>
      <x:c r="AA1118" s="20" t="str">
        <x:f>"н/д"</x:f>
        <x:v>н/д</x:v>
      </x:c>
      <x:c r="AB1118" s="20" t="str">
        <x:f>"н/д"</x:f>
        <x:v>н/д</x:v>
      </x:c>
      <x:c r="AC1118" s="20" t="str">
        <x:f>IF(AND(J1118="Рассчитано",T1118&gt;0,R1118&lt;100),(W1118+P1118+Q1118)/(T1118*(1-R1118/100)),"н/д")</x:f>
        <x:v>н/д</x:v>
      </x:c>
      <x:c r="AD1118" s="11" t="str">
        <x:f>IF(ISNUMBER(G1118),IF(G1118&lt;0,"Убыток",IF(G1118=0,"Без прибыли","Прибыль &gt; 0")),"Не оценён")</x:f>
        <x:v>Не оценён</x:v>
      </x:c>
      <x:c r="AE1118" s="12" t="str">
        <x:f>IF(J1118="Рассчитано","Выручка "&amp;TEXT(V1118,"0.00")&amp;" - себестоимость "&amp;TEXT(W1118,"0.00")&amp;" - комиссия "&amp;TEXT(V1118*R1118/100,"0.00")&amp;" - доставка "&amp;TEXT(P1118,"0.00")&amp;" - прочие "&amp;TEXT(Q1118,"0.00")&amp;" = "&amp;TEXT(G1118,"0.00")&amp;" "&amp;L1118,"Введите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8" s="23" t="n">
        <x:v>137.80656309879444</x:v>
      </x:c>
      <x:c r="AG1118" s="35" t="n">
        <x:v>145</x:v>
      </x:c>
      <x:c r="AH1118" s="35" t="n">
        <x:v>0</x:v>
      </x:c>
      <x:c r="AI1118" s="29" t="n">
        <x:v>46266</x:v>
      </x:c>
      <x:c r="AJ1118" s="35" t="n">
        <x:v>4</x:v>
      </x:c>
      <x:c r="AK1118" s="11" t="str">
        <x:v>минимум</x:v>
      </x:c>
      <x:c r="AL1118" s="31" t="n">
        <x:v>89.47818062793404</x:v>
      </x:c>
      <x:c r="AM1118" s="12" t="str">
        <x:v>Остаток на начало сентября; Резервы неизвестны; Нет ежедневных данных доступности. Запас выше прогноза на 90 дней</x:v>
      </x:c>
      <x:c r="AN1118" s="12" t="str">
        <x:v>Проверить свободный остаток и установить цену для B2B</x:v>
      </x:c>
      <x:c r="AO1118" s="12" t="str">
        <x:v>Остаток 145; прогноз 90 дней 137.81; избыток 7 шт. Будущие поступления не выставляются на продажу. Остаток на начало сентября: требуется актуализация.</x:v>
      </x:c>
      <x:c r="AP1118" s="12" t="str">
        <x:v>["category_missing", "daily_stockout_data_missing", "large_orders_detected", "new_order_lead_time_unknown", "reservations_unknown", "stale_stock"]</x:v>
      </x:c>
      <x:c r="AQ1118" s="11" t="str">
        <x:v>IEK:280300004_</x:v>
      </x:c>
      <x:c r="AR1118" s="23" t="n">
        <x:v>1</x:v>
      </x:c>
      <x:c r="AS1118" s="23" t="n">
        <x:v>0</x:v>
      </x:c>
      <x:c r="AT1118" s="23" t="n">
        <x:v>0</x:v>
      </x:c>
    </x:row>
    <x:row r="1119" ht="64" customHeight="1">
      <x:c r="A1119" s="10" t="str">
        <x:v>IEK</x:v>
      </x:c>
      <x:c r="B1119" s="34" t="str">
        <x:v>280300005_</x:v>
      </x:c>
      <x:c r="C1119" s="34" t="str">
        <x:v>CLP1K-100-1</x:v>
      </x:c>
      <x:c r="D1119" s="13" t="str">
        <x:v>Крышка на лоток осн. 100мм. IEK (6)</x:v>
      </x:c>
      <x:c r="E1119" s="10" t="str">
        <x:v>м</x:v>
      </x:c>
      <x:c r="F1119" s="24" t="n">
        <x:f>MAX(0,ROUNDDOWN((AG1119-AF1119)/AR1119+0.000000001,0)*AR1119)</x:f>
        <x:v>253.314</x:v>
      </x:c>
      <x:c r="G1119" s="21" t="str">
        <x:f>IF(J1119="Рассчитано",V1119*(1-R1119/100)-W1119-P1119-Q1119,"н/д")</x:f>
        <x:v>н/д</x:v>
      </x:c>
      <x:c r="H1119" s="13" t="str">
        <x:v>Высокий</x:v>
      </x:c>
      <x:c r="I1119" s="13" t="str">
        <x:v>Средний</x:v>
      </x:c>
      <x:c r="J1119" s="13" t="str">
        <x:f>IF(L1119="","Укажите валюту",IF(NOT(ISNUMBER(K1119)),"Укажите объём",IF(K1119&lt;=0,"Укажите объём",IF(K1119&gt;F1119,"Объём выше излишка",IF(COUNT(M1119:O1119)&lt;3,"Нужны цены",IF(COUNT(P1119:R1119)&lt;3,"Нужны расходы",IF(OR(M1119&lt;0,N1119&lt;0,O1119&lt;0,O1119&gt;100,P1119&lt;0,Q1119&lt;0,R1119&lt;0,R1119&gt;100),"Проверьте значения","Рассчитано")))))))</x:f>
        <x:v>Нужны цены</x:v>
      </x:c>
      <x:c r="K1119" s="25" t="n">
        <x:v>253.314</x:v>
      </x:c>
      <x:c r="L1119" s="19" t="str">
        <x:v>KZT</x:v>
      </x:c>
      <x:c r="M1119" s="22"/>
      <x:c r="N1119" s="22"/>
      <x:c r="O1119" s="28"/>
      <x:c r="P1119" s="22"/>
      <x:c r="Q1119" s="22"/>
      <x:c r="R1119" s="28"/>
      <x:c r="S1119" s="22"/>
      <x:c r="T1119" s="24" t="n">
        <x:f>K1119</x:f>
        <x:v>253.314</x:v>
      </x:c>
      <x:c r="U1119" s="21" t="str">
        <x:f>IF(J1119="Рассчитано",N1119*(1-O1119/100),"н/д")</x:f>
        <x:v>н/д</x:v>
      </x:c>
      <x:c r="V1119" s="21" t="str">
        <x:f>IF(J1119="Рассчитано",T1119*U1119,"н/д")</x:f>
        <x:v>н/д</x:v>
      </x:c>
      <x:c r="W1119" s="21" t="str">
        <x:f>IF(J1119="Рассчитано",T1119*M1119,"н/д")</x:f>
        <x:v>н/д</x:v>
      </x:c>
      <x:c r="X1119" s="21" t="str">
        <x:f>IF(J1119="Рассчитано",V1119-W1119,"н/д")</x:f>
        <x:v>н/д</x:v>
      </x:c>
      <x:c r="Y1119" s="27" t="str">
        <x:f>IF(J1119="Рассчитано",IF(V1119&gt;0,G1119/V1119,"н/д"),"н/д")</x:f>
        <x:v>н/д</x:v>
      </x:c>
      <x:c r="Z1119" s="21" t="str">
        <x:f>"н/д"</x:f>
        <x:v>н/д</x:v>
      </x:c>
      <x:c r="AA1119" s="21" t="str">
        <x:f>"н/д"</x:f>
        <x:v>н/д</x:v>
      </x:c>
      <x:c r="AB1119" s="21" t="str">
        <x:f>"н/д"</x:f>
        <x:v>н/д</x:v>
      </x:c>
      <x:c r="AC1119" s="21" t="str">
        <x:f>IF(AND(J1119="Рассчитано",T1119&gt;0,R1119&lt;100),(W1119+P1119+Q1119)/(T1119*(1-R1119/100)),"н/д")</x:f>
        <x:v>н/д</x:v>
      </x:c>
      <x:c r="AD1119" s="10" t="str">
        <x:f>IF(ISNUMBER(G1119),IF(G1119&lt;0,"Убыток",IF(G1119=0,"Без прибыли","Прибыль &gt; 0")),"Не оценён")</x:f>
        <x:v>Не оценён</x:v>
      </x:c>
      <x:c r="AE1119" s="13" t="str">
        <x:f>IF(J1119="Рассчитано","Выручка "&amp;TEXT(V1119,"0.00")&amp;" - себестоимость "&amp;TEXT(W1119,"0.00")&amp;" - комиссия "&amp;TEXT(V1119*R1119/100,"0.00")&amp;" - доставка "&amp;TEXT(P1119,"0.00")&amp;" - прочие "&amp;TEXT(Q1119,"0.00")&amp;" = "&amp;TEXT(G1119,"0.00")&amp;" "&amp;L1119,"Введите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9" s="24" t="n">
        <x:v>418.6850008927026</x:v>
      </x:c>
      <x:c r="AG1119" s="24" t="n">
        <x:v>672</x:v>
      </x:c>
      <x:c r="AH1119" s="24" t="n">
        <x:v>0</x:v>
      </x:c>
      <x:c r="AI1119" s="30" t="n">
        <x:v>46266</x:v>
      </x:c>
      <x:c r="AJ1119" s="24" t="n">
        <x:v>6</x:v>
      </x:c>
      <x:c r="AK1119" s="10" t="str">
        <x:v>минимум</x:v>
      </x:c>
      <x:c r="AL1119" s="32" t="n">
        <x:v>136.49002535195146</x:v>
      </x:c>
      <x:c r="AM1119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19" s="13" t="str">
        <x:v>Проверить свободный остаток и установить цену для B2B</x:v>
      </x:c>
      <x:c r="AO1119" s="13" t="str">
        <x:v>Остаток 672; прогноз 90 дней 418.69; избыток 253.314 м. Будущие поступления не выставляются на продажу. Остаток на начало сентября: требуется актуализация.</x:v>
      </x:c>
      <x:c r="AP1119" s="13" t="str">
        <x:v>["category_missing", "daily_stockout_data_missing", "large_orders_detected", "new_order_lead_time_unknown", "reservations_unknown", "stale_stock", "transaction_month_mismatch"]</x:v>
      </x:c>
      <x:c r="AQ1119" s="10" t="str">
        <x:v>IEK:280300005_</x:v>
      </x:c>
      <x:c r="AR1119" s="24" t="n">
        <x:v>0.001</x:v>
      </x:c>
      <x:c r="AS1119" s="24" t="n">
        <x:v>0</x:v>
      </x:c>
      <x:c r="AT1119" s="24" t="n">
        <x:v>0</x:v>
      </x:c>
    </x:row>
    <x:row r="1120" ht="64" customHeight="1">
      <x:c r="A1120" s="11" t="str">
        <x:v>IEK</x:v>
      </x:c>
      <x:c r="B1120" s="33" t="str">
        <x:v>280300007_</x:v>
      </x:c>
      <x:c r="C1120" s="33" t="str">
        <x:v>CLP1K-200-1</x:v>
      </x:c>
      <x:c r="D1120" s="12" t="str">
        <x:v>Крышка на лоток осн. 200мм. IEK (6)</x:v>
      </x:c>
      <x:c r="E1120" s="11" t="str">
        <x:v>м</x:v>
      </x:c>
      <x:c r="F1120" s="23" t="n">
        <x:f>MAX(0,ROUNDDOWN((AG1120-AF1120)/AR1120+0.000000001,0)*AR1120)</x:f>
        <x:v>92.555</x:v>
      </x:c>
      <x:c r="G1120" s="20" t="str">
        <x:f>IF(J1120="Рассчитано",V1120*(1-R1120/100)-W1120-P1120-Q1120,"н/д")</x:f>
        <x:v>н/д</x:v>
      </x:c>
      <x:c r="H1120" s="12" t="str">
        <x:v>Высокий</x:v>
      </x:c>
      <x:c r="I1120" s="12" t="str">
        <x:v>Средний</x:v>
      </x:c>
      <x:c r="J1120" s="12" t="str">
        <x:f>IF(L1120="","Укажите валюту",IF(NOT(ISNUMBER(K1120)),"Укажите объём",IF(K1120&lt;=0,"Укажите объём",IF(K1120&gt;F1120,"Объём выше излишка",IF(COUNT(M1120:O1120)&lt;3,"Нужны цены",IF(COUNT(P1120:R1120)&lt;3,"Нужны расходы",IF(OR(M1120&lt;0,N1120&lt;0,O1120&lt;0,O1120&gt;100,P1120&lt;0,Q1120&lt;0,R1120&lt;0,R1120&gt;100),"Проверьте значения","Рассчитано")))))))</x:f>
        <x:v>Нужны цены</x:v>
      </x:c>
      <x:c r="K1120" s="25" t="n">
        <x:v>92.555</x:v>
      </x:c>
      <x:c r="L1120" s="19" t="str">
        <x:v>KZT</x:v>
      </x:c>
      <x:c r="M1120" s="22"/>
      <x:c r="N1120" s="22"/>
      <x:c r="O1120" s="28"/>
      <x:c r="P1120" s="22"/>
      <x:c r="Q1120" s="22"/>
      <x:c r="R1120" s="28"/>
      <x:c r="S1120" s="22"/>
      <x:c r="T1120" s="23" t="n">
        <x:f>K1120</x:f>
        <x:v>92.555</x:v>
      </x:c>
      <x:c r="U1120" s="20" t="str">
        <x:f>IF(J1120="Рассчитано",N1120*(1-O1120/100),"н/д")</x:f>
        <x:v>н/д</x:v>
      </x:c>
      <x:c r="V1120" s="20" t="str">
        <x:f>IF(J1120="Рассчитано",T1120*U1120,"н/д")</x:f>
        <x:v>н/д</x:v>
      </x:c>
      <x:c r="W1120" s="20" t="str">
        <x:f>IF(J1120="Рассчитано",T1120*M1120,"н/д")</x:f>
        <x:v>н/д</x:v>
      </x:c>
      <x:c r="X1120" s="20" t="str">
        <x:f>IF(J1120="Рассчитано",V1120-W1120,"н/д")</x:f>
        <x:v>н/д</x:v>
      </x:c>
      <x:c r="Y1120" s="26" t="str">
        <x:f>IF(J1120="Рассчитано",IF(V1120&gt;0,G1120/V1120,"н/д"),"н/д")</x:f>
        <x:v>н/д</x:v>
      </x:c>
      <x:c r="Z1120" s="20" t="str">
        <x:f>"н/д"</x:f>
        <x:v>н/д</x:v>
      </x:c>
      <x:c r="AA1120" s="20" t="str">
        <x:f>"н/д"</x:f>
        <x:v>н/д</x:v>
      </x:c>
      <x:c r="AB1120" s="20" t="str">
        <x:f>"н/д"</x:f>
        <x:v>н/д</x:v>
      </x:c>
      <x:c r="AC1120" s="20" t="str">
        <x:f>IF(AND(J1120="Рассчитано",T1120&gt;0,R1120&lt;100),(W1120+P1120+Q1120)/(T1120*(1-R1120/100)),"н/д")</x:f>
        <x:v>н/д</x:v>
      </x:c>
      <x:c r="AD1120" s="11" t="str">
        <x:f>IF(ISNUMBER(G1120),IF(G1120&lt;0,"Убыток",IF(G1120=0,"Без прибыли","Прибыль &gt; 0")),"Не оценён")</x:f>
        <x:v>Не оценён</x:v>
      </x:c>
      <x:c r="AE1120" s="12" t="str">
        <x:f>IF(J1120="Рассчитано","Выручка "&amp;TEXT(V1120,"0.00")&amp;" - себестоимость "&amp;TEXT(W1120,"0.00")&amp;" - комиссия "&amp;TEXT(V1120*R1120/100,"0.00")&amp;" - доставка "&amp;TEXT(P1120,"0.00")&amp;" - прочие "&amp;TEXT(Q1120,"0.00")&amp;" = "&amp;TEXT(G1120,"0.00")&amp;" "&amp;L1120,"Введите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0" s="23" t="n">
        <x:v>194.44442932313757</x:v>
      </x:c>
      <x:c r="AG1120" s="23" t="n">
        <x:v>287</x:v>
      </x:c>
      <x:c r="AH1120" s="23" t="n">
        <x:v>0</x:v>
      </x:c>
      <x:c r="AI1120" s="29" t="n">
        <x:v>46266</x:v>
      </x:c>
      <x:c r="AJ1120" s="23" t="n">
        <x:v>6</x:v>
      </x:c>
      <x:c r="AK1120" s="11" t="str">
        <x:v>минимум</x:v>
      </x:c>
      <x:c r="AL1120" s="31" t="n">
        <x:v>125.51783378822088</x:v>
      </x:c>
      <x:c r="AM1120" s="12" t="str">
        <x:v>Остаток на начало сентября; Резервы неизвестны; Нет ежедневных данных доступности. Запас выше прогноза на 90 дней</x:v>
      </x:c>
      <x:c r="AN1120" s="12" t="str">
        <x:v>Проверить свободный остаток и установить цену для B2B</x:v>
      </x:c>
      <x:c r="AO1120" s="12" t="str">
        <x:v>Остаток 287; прогноз 90 дней 194.44; избыток 92.555 м. Будущие поступления не выставляются на продажу. Остаток на начало сентября: требуется актуализация.</x:v>
      </x:c>
      <x:c r="AP1120" s="12" t="str">
        <x:v>["category_missing", "daily_stockout_data_missing", "large_orders_detected", "new_order_lead_time_unknown", "reservations_unknown", "stale_stock"]</x:v>
      </x:c>
      <x:c r="AQ1120" s="11" t="str">
        <x:v>IEK:280300007_</x:v>
      </x:c>
      <x:c r="AR1120" s="23" t="n">
        <x:v>0.001</x:v>
      </x:c>
      <x:c r="AS1120" s="23" t="n">
        <x:v>0</x:v>
      </x:c>
      <x:c r="AT1120" s="23" t="n">
        <x:v>0</x:v>
      </x:c>
    </x:row>
    <x:row r="1121" ht="64" customHeight="1">
      <x:c r="A1121" s="10" t="str">
        <x:v>IEK</x:v>
      </x:c>
      <x:c r="B1121" s="34" t="str">
        <x:v>280300009_</x:v>
      </x:c>
      <x:c r="C1121" s="34" t="str">
        <x:v>CLP1K-400-3</x:v>
      </x:c>
      <x:c r="D1121" s="13" t="str">
        <x:v>Крышка на лоток осн. 400мм. IEK (6)</x:v>
      </x:c>
      <x:c r="E1121" s="10" t="str">
        <x:v>м</x:v>
      </x:c>
      <x:c r="F1121" s="24" t="n">
        <x:f>MAX(0,ROUNDDOWN((AG1121-AF1121)/AR1121+0.000000001,0)*AR1121)</x:f>
        <x:v>48.591</x:v>
      </x:c>
      <x:c r="G1121" s="21" t="str">
        <x:f>IF(J1121="Рассчитано",V1121*(1-R1121/100)-W1121-P1121-Q1121,"н/д")</x:f>
        <x:v>н/д</x:v>
      </x:c>
      <x:c r="H1121" s="13" t="str">
        <x:v>Высокий</x:v>
      </x:c>
      <x:c r="I1121" s="13" t="str">
        <x:v>Высокий</x:v>
      </x:c>
      <x:c r="J1121" s="13" t="str">
        <x:f>IF(L1121="","Укажите валюту",IF(NOT(ISNUMBER(K1121)),"Укажите объём",IF(K1121&lt;=0,"Укажите объём",IF(K1121&gt;F1121,"Объём выше излишка",IF(COUNT(M1121:O1121)&lt;3,"Нужны цены",IF(COUNT(P1121:R1121)&lt;3,"Нужны расходы",IF(OR(M1121&lt;0,N1121&lt;0,O1121&lt;0,O1121&gt;100,P1121&lt;0,Q1121&lt;0,R1121&lt;0,R1121&gt;100),"Проверьте значения","Рассчитано")))))))</x:f>
        <x:v>Нужны цены</x:v>
      </x:c>
      <x:c r="K1121" s="25" t="n">
        <x:v>48.591</x:v>
      </x:c>
      <x:c r="L1121" s="19" t="str">
        <x:v>KZT</x:v>
      </x:c>
      <x:c r="M1121" s="22"/>
      <x:c r="N1121" s="22"/>
      <x:c r="O1121" s="28"/>
      <x:c r="P1121" s="22"/>
      <x:c r="Q1121" s="22"/>
      <x:c r="R1121" s="28"/>
      <x:c r="S1121" s="22"/>
      <x:c r="T1121" s="24" t="n">
        <x:f>K1121</x:f>
        <x:v>48.591</x:v>
      </x:c>
      <x:c r="U1121" s="21" t="str">
        <x:f>IF(J1121="Рассчитано",N1121*(1-O1121/100),"н/д")</x:f>
        <x:v>н/д</x:v>
      </x:c>
      <x:c r="V1121" s="21" t="str">
        <x:f>IF(J1121="Рассчитано",T1121*U1121,"н/д")</x:f>
        <x:v>н/д</x:v>
      </x:c>
      <x:c r="W1121" s="21" t="str">
        <x:f>IF(J1121="Рассчитано",T1121*M1121,"н/д")</x:f>
        <x:v>н/д</x:v>
      </x:c>
      <x:c r="X1121" s="21" t="str">
        <x:f>IF(J1121="Рассчитано",V1121-W1121,"н/д")</x:f>
        <x:v>н/д</x:v>
      </x:c>
      <x:c r="Y1121" s="27" t="str">
        <x:f>IF(J1121="Рассчитано",IF(V1121&gt;0,G1121/V1121,"н/д"),"н/д")</x:f>
        <x:v>н/д</x:v>
      </x:c>
      <x:c r="Z1121" s="21" t="str">
        <x:f>"н/д"</x:f>
        <x:v>н/д</x:v>
      </x:c>
      <x:c r="AA1121" s="21" t="str">
        <x:f>"н/д"</x:f>
        <x:v>н/д</x:v>
      </x:c>
      <x:c r="AB1121" s="21" t="str">
        <x:f>"н/д"</x:f>
        <x:v>н/д</x:v>
      </x:c>
      <x:c r="AC1121" s="21" t="str">
        <x:f>IF(AND(J1121="Рассчитано",T1121&gt;0,R1121&lt;100),(W1121+P1121+Q1121)/(T1121*(1-R1121/100)),"н/д")</x:f>
        <x:v>н/д</x:v>
      </x:c>
      <x:c r="AD1121" s="10" t="str">
        <x:f>IF(ISNUMBER(G1121),IF(G1121&lt;0,"Убыток",IF(G1121=0,"Без прибыли","Прибыль &gt; 0")),"Не оценён")</x:f>
        <x:v>Не оценён</x:v>
      </x:c>
      <x:c r="AE1121" s="13" t="str">
        <x:f>IF(J1121="Рассчитано","Выручка "&amp;TEXT(V1121,"0.00")&amp;" - себестоимость "&amp;TEXT(W1121,"0.00")&amp;" - комиссия "&amp;TEXT(V1121*R1121/100,"0.00")&amp;" - доставка "&amp;TEXT(P1121,"0.00")&amp;" - прочие "&amp;TEXT(Q1121,"0.00")&amp;" = "&amp;TEXT(G1121,"0.00")&amp;" "&amp;L1121,"Введите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1" s="24" t="n">
        <x:v>14.408492660421063</x:v>
      </x:c>
      <x:c r="AG1121" s="24" t="n">
        <x:v>63</x:v>
      </x:c>
      <x:c r="AH1121" s="24" t="n">
        <x:v>0</x:v>
      </x:c>
      <x:c r="AI1121" s="30" t="n">
        <x:v>46266</x:v>
      </x:c>
      <x:c r="AJ1121" s="24" t="n">
        <x:v>6</x:v>
      </x:c>
      <x:c r="AK1121" s="10" t="str">
        <x:v>минимум</x:v>
      </x:c>
      <x:c r="AL1121" s="32" t="n">
        <x:v>371.827103985322</x:v>
      </x:c>
      <x:c r="AM112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21" s="13" t="str">
        <x:v>Проверить свободный остаток и установить цену для B2B</x:v>
      </x:c>
      <x:c r="AO1121" s="13" t="str">
        <x:v>Остаток 63; прогноз 90 дней 14.41; избыток 48.591 м. Будущие поступления не выставляются на продажу. Остаток на начало сентября: требуется актуализация.</x:v>
      </x:c>
      <x:c r="AP1121" s="13" t="str">
        <x:v>["category_missing", "daily_stockout_data_missing", "new_order_lead_time_unknown", "reservations_unknown", "stale_stock"]</x:v>
      </x:c>
      <x:c r="AQ1121" s="10" t="str">
        <x:v>IEK:280300009_</x:v>
      </x:c>
      <x:c r="AR1121" s="24" t="n">
        <x:v>0.001</x:v>
      </x:c>
      <x:c r="AS1121" s="24" t="n">
        <x:v>0</x:v>
      </x:c>
      <x:c r="AT1121" s="24" t="n">
        <x:v>0</x:v>
      </x:c>
    </x:row>
    <x:row r="1122" ht="64" customHeight="1">
      <x:c r="A1122" s="11" t="str">
        <x:v>IEK</x:v>
      </x:c>
      <x:c r="B1122" s="33" t="str">
        <x:v>280300011_</x:v>
      </x:c>
      <x:c r="C1122" s="33" t="str">
        <x:v>CLP1K-050-1</x:v>
      </x:c>
      <x:c r="D1122" s="12" t="str">
        <x:v>Крышка на лоток осн.  50мм. IEK (6)</x:v>
      </x:c>
      <x:c r="E1122" s="11" t="str">
        <x:v>м</x:v>
      </x:c>
      <x:c r="F1122" s="23" t="n">
        <x:f>MAX(0,ROUNDDOWN((AG1122-AF1122)/AR1122+0.000000001,0)*AR1122)</x:f>
        <x:v>108.046</x:v>
      </x:c>
      <x:c r="G1122" s="20" t="str">
        <x:f>IF(J1122="Рассчитано",V1122*(1-R1122/100)-W1122-P1122-Q1122,"н/д")</x:f>
        <x:v>н/д</x:v>
      </x:c>
      <x:c r="H1122" s="12" t="str">
        <x:v>Высокий</x:v>
      </x:c>
      <x:c r="I1122" s="12" t="str">
        <x:v>Средний</x:v>
      </x:c>
      <x:c r="J1122" s="12" t="str">
        <x:f>IF(L1122="","Укажите валюту",IF(NOT(ISNUMBER(K1122)),"Укажите объём",IF(K1122&lt;=0,"Укажите объём",IF(K1122&gt;F1122,"Объём выше излишка",IF(COUNT(M1122:O1122)&lt;3,"Нужны цены",IF(COUNT(P1122:R1122)&lt;3,"Нужны расходы",IF(OR(M1122&lt;0,N1122&lt;0,O1122&lt;0,O1122&gt;100,P1122&lt;0,Q1122&lt;0,R1122&lt;0,R1122&gt;100),"Проверьте значения","Рассчитано")))))))</x:f>
        <x:v>Нужны цены</x:v>
      </x:c>
      <x:c r="K1122" s="25" t="n">
        <x:v>108.046</x:v>
      </x:c>
      <x:c r="L1122" s="19" t="str">
        <x:v>KZT</x:v>
      </x:c>
      <x:c r="M1122" s="22"/>
      <x:c r="N1122" s="22"/>
      <x:c r="O1122" s="28"/>
      <x:c r="P1122" s="22"/>
      <x:c r="Q1122" s="22"/>
      <x:c r="R1122" s="28"/>
      <x:c r="S1122" s="22"/>
      <x:c r="T1122" s="23" t="n">
        <x:f>K1122</x:f>
        <x:v>108.046</x:v>
      </x:c>
      <x:c r="U1122" s="20" t="str">
        <x:f>IF(J1122="Рассчитано",N1122*(1-O1122/100),"н/д")</x:f>
        <x:v>н/д</x:v>
      </x:c>
      <x:c r="V1122" s="20" t="str">
        <x:f>IF(J1122="Рассчитано",T1122*U1122,"н/д")</x:f>
        <x:v>н/д</x:v>
      </x:c>
      <x:c r="W1122" s="20" t="str">
        <x:f>IF(J1122="Рассчитано",T1122*M1122,"н/д")</x:f>
        <x:v>н/д</x:v>
      </x:c>
      <x:c r="X1122" s="20" t="str">
        <x:f>IF(J1122="Рассчитано",V1122-W1122,"н/д")</x:f>
        <x:v>н/д</x:v>
      </x:c>
      <x:c r="Y1122" s="26" t="str">
        <x:f>IF(J1122="Рассчитано",IF(V1122&gt;0,G1122/V1122,"н/д"),"н/д")</x:f>
        <x:v>н/д</x:v>
      </x:c>
      <x:c r="Z1122" s="20" t="str">
        <x:f>"н/д"</x:f>
        <x:v>н/д</x:v>
      </x:c>
      <x:c r="AA1122" s="20" t="str">
        <x:f>"н/д"</x:f>
        <x:v>н/д</x:v>
      </x:c>
      <x:c r="AB1122" s="20" t="str">
        <x:f>"н/д"</x:f>
        <x:v>н/д</x:v>
      </x:c>
      <x:c r="AC1122" s="20" t="str">
        <x:f>IF(AND(J1122="Рассчитано",T1122&gt;0,R1122&lt;100),(W1122+P1122+Q1122)/(T1122*(1-R1122/100)),"н/д")</x:f>
        <x:v>н/д</x:v>
      </x:c>
      <x:c r="AD1122" s="11" t="str">
        <x:f>IF(ISNUMBER(G1122),IF(G1122&lt;0,"Убыток",IF(G1122=0,"Без прибыли","Прибыль &gt; 0")),"Не оценён")</x:f>
        <x:v>Не оценён</x:v>
      </x:c>
      <x:c r="AE1122" s="12" t="str">
        <x:f>IF(J1122="Рассчитано","Выручка "&amp;TEXT(V1122,"0.00")&amp;" - себестоимость "&amp;TEXT(W1122,"0.00")&amp;" - комиссия "&amp;TEXT(V1122*R1122/100,"0.00")&amp;" - доставка "&amp;TEXT(P1122,"0.00")&amp;" - прочие "&amp;TEXT(Q1122,"0.00")&amp;" = "&amp;TEXT(G1122,"0.00")&amp;" "&amp;L1122,"Введите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2" s="23" t="n">
        <x:v>170.9530478861521</x:v>
      </x:c>
      <x:c r="AG1122" s="23" t="n">
        <x:v>279</x:v>
      </x:c>
      <x:c r="AH1122" s="23" t="n">
        <x:v>0</x:v>
      </x:c>
      <x:c r="AI1122" s="29" t="n">
        <x:v>46266</x:v>
      </x:c>
      <x:c r="AJ1122" s="23" t="n">
        <x:v>6</x:v>
      </x:c>
      <x:c r="AK1122" s="11" t="str">
        <x:v>минимум</x:v>
      </x:c>
      <x:c r="AL1122" s="31" t="n">
        <x:v>138.78623660027725</x:v>
      </x:c>
      <x:c r="AM1122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22" s="12" t="str">
        <x:v>Проверить свободный остаток и установить цену для B2B</x:v>
      </x:c>
      <x:c r="AO1122" s="12" t="str">
        <x:v>Остаток 279; прогноз 90 дней 170.95; избыток 108.046 м. Будущие поступления не выставляются на продажу. Остаток на начало сентября: требуется актуализация.</x:v>
      </x:c>
      <x:c r="AP1122" s="12" t="str">
        <x:v>["category_missing", "daily_stockout_data_missing", "large_orders_detected", "new_order_lead_time_unknown", "reservations_unknown", "stale_stock", "transaction_month_mismatch"]</x:v>
      </x:c>
      <x:c r="AQ1122" s="11" t="str">
        <x:v>IEK:280300011_</x:v>
      </x:c>
      <x:c r="AR1122" s="23" t="n">
        <x:v>0.001</x:v>
      </x:c>
      <x:c r="AS1122" s="23" t="n">
        <x:v>0</x:v>
      </x:c>
      <x:c r="AT1122" s="23" t="n">
        <x:v>0</x:v>
      </x:c>
    </x:row>
    <x:row r="1123" ht="64" customHeight="1">
      <x:c r="A1123" s="10" t="str">
        <x:v>IEK</x:v>
      </x:c>
      <x:c r="B1123" s="34" t="str">
        <x:v>280300012_</x:v>
      </x:c>
      <x:c r="C1123" s="34" t="str">
        <x:v>CLP10-050-100-3</x:v>
      </x:c>
      <x:c r="D1123" s="13" t="str">
        <x:v>Лоток перфорированный (50х100х3000) (0,7 мм) IEK (6)</x:v>
      </x:c>
      <x:c r="E1123" s="10" t="str">
        <x:v>м</x:v>
      </x:c>
      <x:c r="F1123" s="24" t="n">
        <x:f>MAX(0,ROUNDDOWN((AG1123-AF1123)/AR1123+0.000000001,0)*AR1123)</x:f>
        <x:v>306.152</x:v>
      </x:c>
      <x:c r="G1123" s="21" t="str">
        <x:f>IF(J1123="Рассчитано",V1123*(1-R1123/100)-W1123-P1123-Q1123,"н/д")</x:f>
        <x:v>н/д</x:v>
      </x:c>
      <x:c r="H1123" s="13" t="str">
        <x:v>Высокий</x:v>
      </x:c>
      <x:c r="I1123" s="13" t="str">
        <x:v>Средний</x:v>
      </x:c>
      <x:c r="J1123" s="13" t="str">
        <x:f>IF(L1123="","Укажите валюту",IF(NOT(ISNUMBER(K1123)),"Укажите объём",IF(K1123&lt;=0,"Укажите объём",IF(K1123&gt;F1123,"Объём выше излишка",IF(COUNT(M1123:O1123)&lt;3,"Нужны цены",IF(COUNT(P1123:R1123)&lt;3,"Нужны расходы",IF(OR(M1123&lt;0,N1123&lt;0,O1123&lt;0,O1123&gt;100,P1123&lt;0,Q1123&lt;0,R1123&lt;0,R1123&gt;100),"Проверьте значения","Рассчитано")))))))</x:f>
        <x:v>Нужны цены</x:v>
      </x:c>
      <x:c r="K1123" s="25" t="n">
        <x:v>306.152</x:v>
      </x:c>
      <x:c r="L1123" s="19" t="str">
        <x:v>KZT</x:v>
      </x:c>
      <x:c r="M1123" s="22"/>
      <x:c r="N1123" s="22"/>
      <x:c r="O1123" s="28"/>
      <x:c r="P1123" s="22"/>
      <x:c r="Q1123" s="22"/>
      <x:c r="R1123" s="28"/>
      <x:c r="S1123" s="22"/>
      <x:c r="T1123" s="24" t="n">
        <x:f>K1123</x:f>
        <x:v>306.152</x:v>
      </x:c>
      <x:c r="U1123" s="21" t="str">
        <x:f>IF(J1123="Рассчитано",N1123*(1-O1123/100),"н/д")</x:f>
        <x:v>н/д</x:v>
      </x:c>
      <x:c r="V1123" s="21" t="str">
        <x:f>IF(J1123="Рассчитано",T1123*U1123,"н/д")</x:f>
        <x:v>н/д</x:v>
      </x:c>
      <x:c r="W1123" s="21" t="str">
        <x:f>IF(J1123="Рассчитано",T1123*M1123,"н/д")</x:f>
        <x:v>н/д</x:v>
      </x:c>
      <x:c r="X1123" s="21" t="str">
        <x:f>IF(J1123="Рассчитано",V1123-W1123,"н/д")</x:f>
        <x:v>н/д</x:v>
      </x:c>
      <x:c r="Y1123" s="27" t="str">
        <x:f>IF(J1123="Рассчитано",IF(V1123&gt;0,G1123/V1123,"н/д"),"н/д")</x:f>
        <x:v>н/д</x:v>
      </x:c>
      <x:c r="Z1123" s="21" t="str">
        <x:f>"н/д"</x:f>
        <x:v>н/д</x:v>
      </x:c>
      <x:c r="AA1123" s="21" t="str">
        <x:f>"н/д"</x:f>
        <x:v>н/д</x:v>
      </x:c>
      <x:c r="AB1123" s="21" t="str">
        <x:f>"н/д"</x:f>
        <x:v>н/д</x:v>
      </x:c>
      <x:c r="AC1123" s="21" t="str">
        <x:f>IF(AND(J1123="Рассчитано",T1123&gt;0,R1123&lt;100),(W1123+P1123+Q1123)/(T1123*(1-R1123/100)),"н/д")</x:f>
        <x:v>н/д</x:v>
      </x:c>
      <x:c r="AD1123" s="10" t="str">
        <x:f>IF(ISNUMBER(G1123),IF(G1123&lt;0,"Убыток",IF(G1123=0,"Без прибыли","Прибыль &gt; 0")),"Не оценён")</x:f>
        <x:v>Не оценён</x:v>
      </x:c>
      <x:c r="AE1123" s="13" t="str">
        <x:f>IF(J1123="Рассчитано","Выручка "&amp;TEXT(V1123,"0.00")&amp;" - себестоимость "&amp;TEXT(W1123,"0.00")&amp;" - комиссия "&amp;TEXT(V1123*R1123/100,"0.00")&amp;" - доставка "&amp;TEXT(P1123,"0.00")&amp;" - прочие "&amp;TEXT(Q1123,"0.00")&amp;" = "&amp;TEXT(G1123,"0.00")&amp;" "&amp;L1123,"Введите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3" s="24" t="n">
        <x:v>963.84799584869</x:v>
      </x:c>
      <x:c r="AG1123" s="24" t="n">
        <x:v>1270</x:v>
      </x:c>
      <x:c r="AH1123" s="24" t="n">
        <x:v>0</x:v>
      </x:c>
      <x:c r="AI1123" s="30" t="n">
        <x:v>46266</x:v>
      </x:c>
      <x:c r="AJ1123" s="24" t="n">
        <x:v>12</x:v>
      </x:c>
      <x:c r="AK1123" s="10" t="str">
        <x:v>минимум</x:v>
      </x:c>
      <x:c r="AL1123" s="32" t="n">
        <x:v>112.05060777344639</x:v>
      </x:c>
      <x:c r="AM112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23" s="13" t="str">
        <x:v>Проверить свободный остаток и установить цену для B2B</x:v>
      </x:c>
      <x:c r="AO1123" s="13" t="str">
        <x:v>Остаток 1270; прогноз 90 дней 963.85; избыток 306.152 м. Будущие поступления не выставляются на продажу. Остаток на начало сентября: требуется актуализация.</x:v>
      </x:c>
      <x:c r="AP1123" s="13" t="str">
        <x:v>["category_missing", "daily_stockout_data_missing", "large_orders_detected", "new_order_lead_time_unknown", "reservations_unknown", "stale_stock", "transaction_month_mismatch"]</x:v>
      </x:c>
      <x:c r="AQ1123" s="10" t="str">
        <x:v>IEK:280300012_</x:v>
      </x:c>
      <x:c r="AR1123" s="24" t="n">
        <x:v>0.001</x:v>
      </x:c>
      <x:c r="AS1123" s="24" t="n">
        <x:v>0</x:v>
      </x:c>
      <x:c r="AT1123" s="24" t="n">
        <x:v>0</x:v>
      </x:c>
    </x:row>
    <x:row r="1124" ht="64" customHeight="1">
      <x:c r="A1124" s="11" t="str">
        <x:v>IEK</x:v>
      </x:c>
      <x:c r="B1124" s="33" t="str">
        <x:v>280300021_</x:v>
      </x:c>
      <x:c r="C1124" s="33" t="str">
        <x:v>CLP1T-050-100</x:v>
      </x:c>
      <x:c r="D1124" s="12" t="str">
        <x:v>Разветвитель Т-образный  50х100 IEK</x:v>
      </x:c>
      <x:c r="E1124" s="11" t="str">
        <x:v>шт</x:v>
      </x:c>
      <x:c r="F1124" s="35" t="n">
        <x:f>MAX(0,ROUNDDOWN((AG1124-AF1124)/AR1124+0.000000001,0)*AR1124)</x:f>
        <x:v>7</x:v>
      </x:c>
      <x:c r="G1124" s="20" t="str">
        <x:f>IF(J1124="Рассчитано",V1124*(1-R1124/100)-W1124-P1124-Q1124,"н/д")</x:f>
        <x:v>н/д</x:v>
      </x:c>
      <x:c r="H1124" s="12" t="str">
        <x:v>Высокий</x:v>
      </x:c>
      <x:c r="I1124" s="12" t="str">
        <x:v>Средний</x:v>
      </x:c>
      <x:c r="J1124" s="12" t="str">
        <x:f>IF(L1124="","Укажите валюту",IF(NOT(ISNUMBER(K1124)),"Укажите объём",IF(K1124&lt;=0,"Укажите объём",IF(K1124&gt;F1124,"Объём выше излишка",IF(COUNT(M1124:O1124)&lt;3,"Нужны цены",IF(COUNT(P1124:R1124)&lt;3,"Нужны расходы",IF(OR(M1124&lt;0,N1124&lt;0,O1124&lt;0,O1124&gt;100,P1124&lt;0,Q1124&lt;0,R1124&lt;0,R1124&gt;100),"Проверьте значения","Рассчитано")))))))</x:f>
        <x:v>Нужны цены</x:v>
      </x:c>
      <x:c r="K1124" s="36" t="n">
        <x:v>7</x:v>
      </x:c>
      <x:c r="L1124" s="19" t="str">
        <x:v>KZT</x:v>
      </x:c>
      <x:c r="M1124" s="22"/>
      <x:c r="N1124" s="22"/>
      <x:c r="O1124" s="28"/>
      <x:c r="P1124" s="22"/>
      <x:c r="Q1124" s="22"/>
      <x:c r="R1124" s="28"/>
      <x:c r="S1124" s="22"/>
      <x:c r="T1124" s="35" t="n">
        <x:f>K1124</x:f>
        <x:v>7</x:v>
      </x:c>
      <x:c r="U1124" s="20" t="str">
        <x:f>IF(J1124="Рассчитано",N1124*(1-O1124/100),"н/д")</x:f>
        <x:v>н/д</x:v>
      </x:c>
      <x:c r="V1124" s="20" t="str">
        <x:f>IF(J1124="Рассчитано",T1124*U1124,"н/д")</x:f>
        <x:v>н/д</x:v>
      </x:c>
      <x:c r="W1124" s="20" t="str">
        <x:f>IF(J1124="Рассчитано",T1124*M1124,"н/д")</x:f>
        <x:v>н/д</x:v>
      </x:c>
      <x:c r="X1124" s="20" t="str">
        <x:f>IF(J1124="Рассчитано",V1124-W1124,"н/д")</x:f>
        <x:v>н/д</x:v>
      </x:c>
      <x:c r="Y1124" s="26" t="str">
        <x:f>IF(J1124="Рассчитано",IF(V1124&gt;0,G1124/V1124,"н/д"),"н/д")</x:f>
        <x:v>н/д</x:v>
      </x:c>
      <x:c r="Z1124" s="20" t="str">
        <x:f>"н/д"</x:f>
        <x:v>н/д</x:v>
      </x:c>
      <x:c r="AA1124" s="20" t="str">
        <x:f>"н/д"</x:f>
        <x:v>н/д</x:v>
      </x:c>
      <x:c r="AB1124" s="20" t="str">
        <x:f>"н/д"</x:f>
        <x:v>н/д</x:v>
      </x:c>
      <x:c r="AC1124" s="20" t="str">
        <x:f>IF(AND(J1124="Рассчитано",T1124&gt;0,R1124&lt;100),(W1124+P1124+Q1124)/(T1124*(1-R1124/100)),"н/д")</x:f>
        <x:v>н/д</x:v>
      </x:c>
      <x:c r="AD1124" s="11" t="str">
        <x:f>IF(ISNUMBER(G1124),IF(G1124&lt;0,"Убыток",IF(G1124=0,"Без прибыли","Прибыль &gt; 0")),"Не оценён")</x:f>
        <x:v>Не оценён</x:v>
      </x:c>
      <x:c r="AE1124" s="12" t="str">
        <x:f>IF(J1124="Рассчитано","Выручка "&amp;TEXT(V1124,"0.00")&amp;" - себестоимость "&amp;TEXT(W1124,"0.00")&amp;" - комиссия "&amp;TEXT(V1124*R1124/100,"0.00")&amp;" - доставка "&amp;TEXT(P1124,"0.00")&amp;" - прочие "&amp;TEXT(Q1124,"0.00")&amp;" = "&amp;TEXT(G1124,"0.00")&amp;" "&amp;L1124,"Введите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4" s="23" t="n">
        <x:v>16.349777227873656</x:v>
      </x:c>
      <x:c r="AG1124" s="35" t="n">
        <x:v>24</x:v>
      </x:c>
      <x:c r="AH1124" s="35" t="n">
        <x:v>0</x:v>
      </x:c>
      <x:c r="AI1124" s="29" t="n">
        <x:v>46266</x:v>
      </x:c>
      <x:c r="AJ1124" s="35" t="n">
        <x:v>1</x:v>
      </x:c>
      <x:c r="AK1124" s="11" t="str">
        <x:v>минимум</x:v>
      </x:c>
      <x:c r="AL1124" s="31" t="n">
        <x:v>124.82984933908669</x:v>
      </x:c>
      <x:c r="AM1124" s="12" t="str">
        <x:v>Остаток на начало сентября; Резервы неизвестны; Нет ежедневных данных доступности. Запас выше прогноза на 90 дней</x:v>
      </x:c>
      <x:c r="AN1124" s="12" t="str">
        <x:v>Проверить свободный остаток и установить цену для B2B</x:v>
      </x:c>
      <x:c r="AO1124" s="12" t="str">
        <x:v>Остаток 24; прогноз 90 дней 16.35; избыток 7 шт. Будущие поступления не выставляются на продажу. Остаток на начало сентября: требуется актуализация.</x:v>
      </x:c>
      <x:c r="AP1124" s="12" t="str">
        <x:v>["category_missing", "daily_stockout_data_missing", "large_orders_detected", "new_order_lead_time_unknown", "reservations_unknown", "stale_stock"]</x:v>
      </x:c>
      <x:c r="AQ1124" s="11" t="str">
        <x:v>IEK:280300021_</x:v>
      </x:c>
      <x:c r="AR1124" s="23" t="n">
        <x:v>1</x:v>
      </x:c>
      <x:c r="AS1124" s="23" t="n">
        <x:v>0</x:v>
      </x:c>
      <x:c r="AT1124" s="23" t="n">
        <x:v>0</x:v>
      </x:c>
    </x:row>
    <x:row r="1125" ht="64" customHeight="1">
      <x:c r="A1125" s="10" t="str">
        <x:v>IEK</x:v>
      </x:c>
      <x:c r="B1125" s="34" t="str">
        <x:v>280300022_</x:v>
      </x:c>
      <x:c r="C1125" s="34" t="str">
        <x:v>CLP1T-050-200</x:v>
      </x:c>
      <x:c r="D1125" s="13" t="str">
        <x:v>Разветвитель Т-образный  50х200 IEK</x:v>
      </x:c>
      <x:c r="E1125" s="10" t="str">
        <x:v>шт</x:v>
      </x:c>
      <x:c r="F1125" s="37" t="n">
        <x:f>MAX(0,ROUNDDOWN((AG1125-AF1125)/AR1125+0.000000001,0)*AR1125)</x:f>
        <x:v>4</x:v>
      </x:c>
      <x:c r="G1125" s="21" t="str">
        <x:f>IF(J1125="Рассчитано",V1125*(1-R1125/100)-W1125-P1125-Q1125,"н/д")</x:f>
        <x:v>н/д</x:v>
      </x:c>
      <x:c r="H1125" s="13" t="str">
        <x:v>Высокий</x:v>
      </x:c>
      <x:c r="I1125" s="13" t="str">
        <x:v>Средний</x:v>
      </x:c>
      <x:c r="J1125" s="13" t="str">
        <x:f>IF(L1125="","Укажите валюту",IF(NOT(ISNUMBER(K1125)),"Укажите объём",IF(K1125&lt;=0,"Укажите объём",IF(K1125&gt;F1125,"Объём выше излишка",IF(COUNT(M1125:O1125)&lt;3,"Нужны цены",IF(COUNT(P1125:R1125)&lt;3,"Нужны расходы",IF(OR(M1125&lt;0,N1125&lt;0,O1125&lt;0,O1125&gt;100,P1125&lt;0,Q1125&lt;0,R1125&lt;0,R1125&gt;100),"Проверьте значения","Рассчитано")))))))</x:f>
        <x:v>Нужны цены</x:v>
      </x:c>
      <x:c r="K1125" s="36" t="n">
        <x:v>4</x:v>
      </x:c>
      <x:c r="L1125" s="19" t="str">
        <x:v>KZT</x:v>
      </x:c>
      <x:c r="M1125" s="22"/>
      <x:c r="N1125" s="22"/>
      <x:c r="O1125" s="28"/>
      <x:c r="P1125" s="22"/>
      <x:c r="Q1125" s="22"/>
      <x:c r="R1125" s="28"/>
      <x:c r="S1125" s="22"/>
      <x:c r="T1125" s="37" t="n">
        <x:f>K1125</x:f>
        <x:v>4</x:v>
      </x:c>
      <x:c r="U1125" s="21" t="str">
        <x:f>IF(J1125="Рассчитано",N1125*(1-O1125/100),"н/д")</x:f>
        <x:v>н/д</x:v>
      </x:c>
      <x:c r="V1125" s="21" t="str">
        <x:f>IF(J1125="Рассчитано",T1125*U1125,"н/д")</x:f>
        <x:v>н/д</x:v>
      </x:c>
      <x:c r="W1125" s="21" t="str">
        <x:f>IF(J1125="Рассчитано",T1125*M1125,"н/д")</x:f>
        <x:v>н/д</x:v>
      </x:c>
      <x:c r="X1125" s="21" t="str">
        <x:f>IF(J1125="Рассчитано",V1125-W1125,"н/д")</x:f>
        <x:v>н/д</x:v>
      </x:c>
      <x:c r="Y1125" s="27" t="str">
        <x:f>IF(J1125="Рассчитано",IF(V1125&gt;0,G1125/V1125,"н/д"),"н/д")</x:f>
        <x:v>н/д</x:v>
      </x:c>
      <x:c r="Z1125" s="21" t="str">
        <x:f>"н/д"</x:f>
        <x:v>н/д</x:v>
      </x:c>
      <x:c r="AA1125" s="21" t="str">
        <x:f>"н/д"</x:f>
        <x:v>н/д</x:v>
      </x:c>
      <x:c r="AB1125" s="21" t="str">
        <x:f>"н/д"</x:f>
        <x:v>н/д</x:v>
      </x:c>
      <x:c r="AC1125" s="21" t="str">
        <x:f>IF(AND(J1125="Рассчитано",T1125&gt;0,R1125&lt;100),(W1125+P1125+Q1125)/(T1125*(1-R1125/100)),"н/д")</x:f>
        <x:v>н/д</x:v>
      </x:c>
      <x:c r="AD1125" s="10" t="str">
        <x:f>IF(ISNUMBER(G1125),IF(G1125&lt;0,"Убыток",IF(G1125=0,"Без прибыли","Прибыль &gt; 0")),"Не оценён")</x:f>
        <x:v>Не оценён</x:v>
      </x:c>
      <x:c r="AE1125" s="13" t="str">
        <x:f>IF(J1125="Рассчитано","Выручка "&amp;TEXT(V1125,"0.00")&amp;" - себестоимость "&amp;TEXT(W1125,"0.00")&amp;" - комиссия "&amp;TEXT(V1125*R1125/100,"0.00")&amp;" - доставка "&amp;TEXT(P1125,"0.00")&amp;" - прочие "&amp;TEXT(Q1125,"0.00")&amp;" = "&amp;TEXT(G1125,"0.00")&amp;" "&amp;L1125,"Введите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5" s="24" t="n">
        <x:v>16.22904697258452</x:v>
      </x:c>
      <x:c r="AG1125" s="37" t="n">
        <x:v>21</x:v>
      </x:c>
      <x:c r="AH1125" s="37" t="n">
        <x:v>0</x:v>
      </x:c>
      <x:c r="AI1125" s="30" t="n">
        <x:v>46266</x:v>
      </x:c>
      <x:c r="AJ1125" s="37" t="n">
        <x:v>1</x:v>
      </x:c>
      <x:c r="AK1125" s="10" t="str">
        <x:v>минимум</x:v>
      </x:c>
      <x:c r="AL1125" s="32" t="n">
        <x:v>110.03866724826635</x:v>
      </x:c>
      <x:c r="AM1125" s="13" t="str">
        <x:v>Остаток на начало сентября; Резервы неизвестны; Нет ежедневных данных доступности. Запас выше прогноза на 90 дней</x:v>
      </x:c>
      <x:c r="AN1125" s="13" t="str">
        <x:v>Проверить свободный остаток и установить цену для B2B</x:v>
      </x:c>
      <x:c r="AO1125" s="13" t="str">
        <x:v>Остаток 21; прогноз 90 дней 16.23; избыток 4 шт. Будущие поступления не выставляются на продажу. Остаток на начало сентября: требуется актуализация.</x:v>
      </x:c>
      <x:c r="AP1125" s="13" t="str">
        <x:v>["category_missing", "daily_stockout_data_missing", "new_order_lead_time_unknown", "reservations_unknown", "stale_stock"]</x:v>
      </x:c>
      <x:c r="AQ1125" s="10" t="str">
        <x:v>IEK:280300022_</x:v>
      </x:c>
      <x:c r="AR1125" s="24" t="n">
        <x:v>1</x:v>
      </x:c>
      <x:c r="AS1125" s="24" t="n">
        <x:v>0</x:v>
      </x:c>
      <x:c r="AT1125" s="24" t="n">
        <x:v>0</x:v>
      </x:c>
    </x:row>
    <x:row r="1126" ht="64" customHeight="1">
      <x:c r="A1126" s="11" t="str">
        <x:v>IEK</x:v>
      </x:c>
      <x:c r="B1126" s="33" t="str">
        <x:v>280300024_</x:v>
      </x:c>
      <x:c r="C1126" s="33" t="str">
        <x:v>CLP1Q-050</x:v>
      </x:c>
      <x:c r="D1126" s="12" t="str">
        <x:v>Скоба потолочная IEK (40)</x:v>
      </x:c>
      <x:c r="E1126" s="11" t="str">
        <x:v>шт</x:v>
      </x:c>
      <x:c r="F1126" s="35" t="n">
        <x:f>MAX(0,ROUNDDOWN((AG1126-AF1126)/AR1126+0.000000001,0)*AR1126)</x:f>
        <x:v>8</x:v>
      </x:c>
      <x:c r="G1126" s="20" t="str">
        <x:f>IF(J1126="Рассчитано",V1126*(1-R1126/100)-W1126-P1126-Q1126,"н/д")</x:f>
        <x:v>н/д</x:v>
      </x:c>
      <x:c r="H1126" s="12" t="str">
        <x:v>Высокий</x:v>
      </x:c>
      <x:c r="I1126" s="12" t="str">
        <x:v>Высокий</x:v>
      </x:c>
      <x:c r="J1126" s="12" t="str">
        <x:f>IF(L1126="","Укажите валюту",IF(NOT(ISNUMBER(K1126)),"Укажите объём",IF(K1126&lt;=0,"Укажите объём",IF(K1126&gt;F1126,"Объём выше излишка",IF(COUNT(M1126:O1126)&lt;3,"Нужны цены",IF(COUNT(P1126:R1126)&lt;3,"Нужны расходы",IF(OR(M1126&lt;0,N1126&lt;0,O1126&lt;0,O1126&gt;100,P1126&lt;0,Q1126&lt;0,R1126&lt;0,R1126&gt;100),"Проверьте значения","Рассчитано")))))))</x:f>
        <x:v>Нужны цены</x:v>
      </x:c>
      <x:c r="K1126" s="36" t="n">
        <x:v>8</x:v>
      </x:c>
      <x:c r="L1126" s="19" t="str">
        <x:v>KZT</x:v>
      </x:c>
      <x:c r="M1126" s="22"/>
      <x:c r="N1126" s="22"/>
      <x:c r="O1126" s="28"/>
      <x:c r="P1126" s="22"/>
      <x:c r="Q1126" s="22"/>
      <x:c r="R1126" s="28"/>
      <x:c r="S1126" s="22"/>
      <x:c r="T1126" s="35" t="n">
        <x:f>K1126</x:f>
        <x:v>8</x:v>
      </x:c>
      <x:c r="U1126" s="20" t="str">
        <x:f>IF(J1126="Рассчитано",N1126*(1-O1126/100),"н/д")</x:f>
        <x:v>н/д</x:v>
      </x:c>
      <x:c r="V1126" s="20" t="str">
        <x:f>IF(J1126="Рассчитано",T1126*U1126,"н/д")</x:f>
        <x:v>н/д</x:v>
      </x:c>
      <x:c r="W1126" s="20" t="str">
        <x:f>IF(J1126="Рассчитано",T1126*M1126,"н/д")</x:f>
        <x:v>н/д</x:v>
      </x:c>
      <x:c r="X1126" s="20" t="str">
        <x:f>IF(J1126="Рассчитано",V1126-W1126,"н/д")</x:f>
        <x:v>н/д</x:v>
      </x:c>
      <x:c r="Y1126" s="26" t="str">
        <x:f>IF(J1126="Рассчитано",IF(V1126&gt;0,G1126/V1126,"н/д"),"н/д")</x:f>
        <x:v>н/д</x:v>
      </x:c>
      <x:c r="Z1126" s="20" t="str">
        <x:f>"н/д"</x:f>
        <x:v>н/д</x:v>
      </x:c>
      <x:c r="AA1126" s="20" t="str">
        <x:f>"н/д"</x:f>
        <x:v>н/д</x:v>
      </x:c>
      <x:c r="AB1126" s="20" t="str">
        <x:f>"н/д"</x:f>
        <x:v>н/д</x:v>
      </x:c>
      <x:c r="AC1126" s="20" t="str">
        <x:f>IF(AND(J1126="Рассчитано",T1126&gt;0,R1126&lt;100),(W1126+P1126+Q1126)/(T1126*(1-R1126/100)),"н/д")</x:f>
        <x:v>н/д</x:v>
      </x:c>
      <x:c r="AD1126" s="11" t="str">
        <x:f>IF(ISNUMBER(G1126),IF(G1126&lt;0,"Убыток",IF(G1126=0,"Без прибыли","Прибыль &gt; 0")),"Не оценён")</x:f>
        <x:v>Не оценён</x:v>
      </x:c>
      <x:c r="AE1126" s="12" t="str">
        <x:f>IF(J1126="Рассчитано","Выручка "&amp;TEXT(V1126,"0.00")&amp;" - себестоимость "&amp;TEXT(W1126,"0.00")&amp;" - комиссия "&amp;TEXT(V1126*R1126/100,"0.00")&amp;" - доставка "&amp;TEXT(P1126,"0.00")&amp;" - прочие "&amp;TEXT(Q1126,"0.00")&amp;" = "&amp;TEXT(G1126,"0.00")&amp;" "&amp;L1126,"Введите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6" s="23" t="n">
        <x:v>0.5403486708123311</x:v>
      </x:c>
      <x:c r="AG1126" s="35" t="n">
        <x:v>9</x:v>
      </x:c>
      <x:c r="AH1126" s="35" t="n">
        <x:v>0</x:v>
      </x:c>
      <x:c r="AI1126" s="29" t="n">
        <x:v>46266</x:v>
      </x:c>
      <x:c r="AJ1126" s="35" t="n">
        <x:v>32</x:v>
      </x:c>
      <x:c r="AK1126" s="11" t="str">
        <x:v>минимум</x:v>
      </x:c>
      <x:c r="AL1126" s="31" t="n">
        <x:v>1416.4050489484362</x:v>
      </x:c>
      <x:c r="AM112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26" s="12" t="str">
        <x:v>Проверить свободный остаток и установить цену для B2B</x:v>
      </x:c>
      <x:c r="AO1126" s="12" t="str">
        <x:v>Остаток 9; прогноз 90 дней 0.54; избыток 8 шт. Будущие поступления не выставляются на продажу. Остаток на начало сентября: требуется актуализация.</x:v>
      </x:c>
      <x:c r="AP1126" s="12" t="str">
        <x:v>["category_missing", "daily_stockout_data_missing", "new_order_lead_time_unknown", "reservations_unknown", "stale_stock"]</x:v>
      </x:c>
      <x:c r="AQ1126" s="11" t="str">
        <x:v>IEK:280300024_</x:v>
      </x:c>
      <x:c r="AR1126" s="23" t="n">
        <x:v>1</x:v>
      </x:c>
      <x:c r="AS1126" s="23" t="n">
        <x:v>0</x:v>
      </x:c>
      <x:c r="AT1126" s="23" t="n">
        <x:v>0</x:v>
      </x:c>
    </x:row>
    <x:row r="1127" ht="64" customHeight="1">
      <x:c r="A1127" s="10" t="str">
        <x:v>IEK</x:v>
      </x:c>
      <x:c r="B1127" s="34" t="str">
        <x:v>280300028_</x:v>
      </x:c>
      <x:c r="C1127" s="34" t="str">
        <x:v>CLP10-050-500-3</x:v>
      </x:c>
      <x:c r="D1127" s="13" t="str">
        <x:v>Лоток перфорированный (50х500х3000) (1,2 мм) IEK (6)</x:v>
      </x:c>
      <x:c r="E1127" s="10" t="str">
        <x:v>м</x:v>
      </x:c>
      <x:c r="F1127" s="24" t="n">
        <x:f>MAX(0,ROUNDDOWN((AG1127-AF1127)/AR1127+0.000000001,0)*AR1127)</x:f>
        <x:v>4.44</x:v>
      </x:c>
      <x:c r="G1127" s="21" t="str">
        <x:f>IF(J1127="Рассчитано",V1127*(1-R1127/100)-W1127-P1127-Q1127,"н/д")</x:f>
        <x:v>н/д</x:v>
      </x:c>
      <x:c r="H1127" s="13" t="str">
        <x:v>Высокий</x:v>
      </x:c>
      <x:c r="I1127" s="13" t="str">
        <x:v>Средний</x:v>
      </x:c>
      <x:c r="J1127" s="13" t="str">
        <x:f>IF(L1127="","Укажите валюту",IF(NOT(ISNUMBER(K1127)),"Укажите объём",IF(K1127&lt;=0,"Укажите объём",IF(K1127&gt;F1127,"Объём выше излишка",IF(COUNT(M1127:O1127)&lt;3,"Нужны цены",IF(COUNT(P1127:R1127)&lt;3,"Нужны расходы",IF(OR(M1127&lt;0,N1127&lt;0,O1127&lt;0,O1127&gt;100,P1127&lt;0,Q1127&lt;0,R1127&lt;0,R1127&gt;100),"Проверьте значения","Рассчитано")))))))</x:f>
        <x:v>Нужны цены</x:v>
      </x:c>
      <x:c r="K1127" s="25" t="n">
        <x:v>4.44</x:v>
      </x:c>
      <x:c r="L1127" s="19" t="str">
        <x:v>KZT</x:v>
      </x:c>
      <x:c r="M1127" s="22"/>
      <x:c r="N1127" s="22"/>
      <x:c r="O1127" s="28"/>
      <x:c r="P1127" s="22"/>
      <x:c r="Q1127" s="22"/>
      <x:c r="R1127" s="28"/>
      <x:c r="S1127" s="22"/>
      <x:c r="T1127" s="24" t="n">
        <x:f>K1127</x:f>
        <x:v>4.44</x:v>
      </x:c>
      <x:c r="U1127" s="21" t="str">
        <x:f>IF(J1127="Рассчитано",N1127*(1-O1127/100),"н/д")</x:f>
        <x:v>н/д</x:v>
      </x:c>
      <x:c r="V1127" s="21" t="str">
        <x:f>IF(J1127="Рассчитано",T1127*U1127,"н/д")</x:f>
        <x:v>н/д</x:v>
      </x:c>
      <x:c r="W1127" s="21" t="str">
        <x:f>IF(J1127="Рассчитано",T1127*M1127,"н/д")</x:f>
        <x:v>н/д</x:v>
      </x:c>
      <x:c r="X1127" s="21" t="str">
        <x:f>IF(J1127="Рассчитано",V1127-W1127,"н/д")</x:f>
        <x:v>н/д</x:v>
      </x:c>
      <x:c r="Y1127" s="27" t="str">
        <x:f>IF(J1127="Рассчитано",IF(V1127&gt;0,G1127/V1127,"н/д"),"н/д")</x:f>
        <x:v>н/д</x:v>
      </x:c>
      <x:c r="Z1127" s="21" t="str">
        <x:f>"н/д"</x:f>
        <x:v>н/д</x:v>
      </x:c>
      <x:c r="AA1127" s="21" t="str">
        <x:f>"н/д"</x:f>
        <x:v>н/д</x:v>
      </x:c>
      <x:c r="AB1127" s="21" t="str">
        <x:f>"н/д"</x:f>
        <x:v>н/д</x:v>
      </x:c>
      <x:c r="AC1127" s="21" t="str">
        <x:f>IF(AND(J1127="Рассчитано",T1127&gt;0,R1127&lt;100),(W1127+P1127+Q1127)/(T1127*(1-R1127/100)),"н/д")</x:f>
        <x:v>н/д</x:v>
      </x:c>
      <x:c r="AD1127" s="10" t="str">
        <x:f>IF(ISNUMBER(G1127),IF(G1127&lt;0,"Убыток",IF(G1127=0,"Без прибыли","Прибыль &gt; 0")),"Не оценён")</x:f>
        <x:v>Не оценён</x:v>
      </x:c>
      <x:c r="AE1127" s="13" t="str">
        <x:f>IF(J1127="Рассчитано","Выручка "&amp;TEXT(V1127,"0.00")&amp;" - себестоимость "&amp;TEXT(W1127,"0.00")&amp;" - комиссия "&amp;TEXT(V1127*R1127/100,"0.00")&amp;" - доставка "&amp;TEXT(P1127,"0.00")&amp;" - прочие "&amp;TEXT(Q1127,"0.00")&amp;" = "&amp;TEXT(G1127,"0.00")&amp;" "&amp;L1127,"Введите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7" s="24" t="n">
        <x:v>25.559450012015834</x:v>
      </x:c>
      <x:c r="AG1127" s="24" t="n">
        <x:v>30</x:v>
      </x:c>
      <x:c r="AH1127" s="24" t="n">
        <x:v>0</x:v>
      </x:c>
      <x:c r="AI1127" s="30" t="n">
        <x:v>46266</x:v>
      </x:c>
      <x:c r="AJ1127" s="24" t="n">
        <x:v>6</x:v>
      </x:c>
      <x:c r="AK1127" s="10" t="str">
        <x:v>минимум</x:v>
      </x:c>
      <x:c r="AL1127" s="32" t="n">
        <x:v>99.81338737353632</x:v>
      </x:c>
      <x:c r="AM1127" s="13" t="str">
        <x:v>Остаток на начало сентября; Резервы неизвестны; Нет ежедневных данных доступности. Запас выше прогноза на 90 дней</x:v>
      </x:c>
      <x:c r="AN1127" s="13" t="str">
        <x:v>Проверить свободный остаток и установить цену для B2B</x:v>
      </x:c>
      <x:c r="AO1127" s="13" t="str">
        <x:v>Остаток 30; прогноз 90 дней 25.56; избыток 4.44 м. Будущие поступления не выставляются на продажу. Остаток на начало сентября: требуется актуализация.</x:v>
      </x:c>
      <x:c r="AP1127" s="13" t="str">
        <x:v>["category_missing", "daily_stockout_data_missing", "new_order_lead_time_unknown", "reservations_unknown", "stale_stock"]</x:v>
      </x:c>
      <x:c r="AQ1127" s="10" t="str">
        <x:v>IEK:280300028_</x:v>
      </x:c>
      <x:c r="AR1127" s="24" t="n">
        <x:v>0.001</x:v>
      </x:c>
      <x:c r="AS1127" s="24" t="n">
        <x:v>0</x:v>
      </x:c>
      <x:c r="AT1127" s="24" t="n">
        <x:v>0</x:v>
      </x:c>
    </x:row>
    <x:row r="1128" ht="64" customHeight="1">
      <x:c r="A1128" s="11" t="str">
        <x:v>IEK</x:v>
      </x:c>
      <x:c r="B1128" s="33" t="str">
        <x:v>280300030_</x:v>
      </x:c>
      <x:c r="C1128" s="33" t="str">
        <x:v>CLP10-050-300-3</x:v>
      </x:c>
      <x:c r="D1128" s="12" t="str">
        <x:v>Лоток перфорированный (50х300х3000) (0,8 мм) IEK (6)</x:v>
      </x:c>
      <x:c r="E1128" s="11" t="str">
        <x:v>м</x:v>
      </x:c>
      <x:c r="F1128" s="23" t="n">
        <x:f>MAX(0,ROUNDDOWN((AG1128-AF1128)/AR1128+0.000000001,0)*AR1128)</x:f>
        <x:v>45.754</x:v>
      </x:c>
      <x:c r="G1128" s="20" t="str">
        <x:f>IF(J1128="Рассчитано",V1128*(1-R1128/100)-W1128-P1128-Q1128,"н/д")</x:f>
        <x:v>н/д</x:v>
      </x:c>
      <x:c r="H1128" s="12" t="str">
        <x:v>Высокий</x:v>
      </x:c>
      <x:c r="I1128" s="12" t="str">
        <x:v>Средний</x:v>
      </x:c>
      <x:c r="J1128" s="12" t="str">
        <x:f>IF(L1128="","Укажите валюту",IF(NOT(ISNUMBER(K1128)),"Укажите объём",IF(K1128&lt;=0,"Укажите объём",IF(K1128&gt;F1128,"Объём выше излишка",IF(COUNT(M1128:O1128)&lt;3,"Нужны цены",IF(COUNT(P1128:R1128)&lt;3,"Нужны расходы",IF(OR(M1128&lt;0,N1128&lt;0,O1128&lt;0,O1128&gt;100,P1128&lt;0,Q1128&lt;0,R1128&lt;0,R1128&gt;100),"Проверьте значения","Рассчитано")))))))</x:f>
        <x:v>Нужны цены</x:v>
      </x:c>
      <x:c r="K1128" s="25" t="n">
        <x:v>45.754</x:v>
      </x:c>
      <x:c r="L1128" s="19" t="str">
        <x:v>KZT</x:v>
      </x:c>
      <x:c r="M1128" s="22"/>
      <x:c r="N1128" s="22"/>
      <x:c r="O1128" s="28"/>
      <x:c r="P1128" s="22"/>
      <x:c r="Q1128" s="22"/>
      <x:c r="R1128" s="28"/>
      <x:c r="S1128" s="22"/>
      <x:c r="T1128" s="23" t="n">
        <x:f>K1128</x:f>
        <x:v>45.754</x:v>
      </x:c>
      <x:c r="U1128" s="20" t="str">
        <x:f>IF(J1128="Рассчитано",N1128*(1-O1128/100),"н/д")</x:f>
        <x:v>н/д</x:v>
      </x:c>
      <x:c r="V1128" s="20" t="str">
        <x:f>IF(J1128="Рассчитано",T1128*U1128,"н/д")</x:f>
        <x:v>н/д</x:v>
      </x:c>
      <x:c r="W1128" s="20" t="str">
        <x:f>IF(J1128="Рассчитано",T1128*M1128,"н/д")</x:f>
        <x:v>н/д</x:v>
      </x:c>
      <x:c r="X1128" s="20" t="str">
        <x:f>IF(J1128="Рассчитано",V1128-W1128,"н/д")</x:f>
        <x:v>н/д</x:v>
      </x:c>
      <x:c r="Y1128" s="26" t="str">
        <x:f>IF(J1128="Рассчитано",IF(V1128&gt;0,G1128/V1128,"н/д"),"н/д")</x:f>
        <x:v>н/д</x:v>
      </x:c>
      <x:c r="Z1128" s="20" t="str">
        <x:f>"н/д"</x:f>
        <x:v>н/д</x:v>
      </x:c>
      <x:c r="AA1128" s="20" t="str">
        <x:f>"н/д"</x:f>
        <x:v>н/д</x:v>
      </x:c>
      <x:c r="AB1128" s="20" t="str">
        <x:f>"н/д"</x:f>
        <x:v>н/д</x:v>
      </x:c>
      <x:c r="AC1128" s="20" t="str">
        <x:f>IF(AND(J1128="Рассчитано",T1128&gt;0,R1128&lt;100),(W1128+P1128+Q1128)/(T1128*(1-R1128/100)),"н/д")</x:f>
        <x:v>н/д</x:v>
      </x:c>
      <x:c r="AD1128" s="11" t="str">
        <x:f>IF(ISNUMBER(G1128),IF(G1128&lt;0,"Убыток",IF(G1128=0,"Без прибыли","Прибыль &gt; 0")),"Не оценён")</x:f>
        <x:v>Не оценён</x:v>
      </x:c>
      <x:c r="AE1128" s="12" t="str">
        <x:f>IF(J1128="Рассчитано","Выручка "&amp;TEXT(V1128,"0.00")&amp;" - себестоимость "&amp;TEXT(W1128,"0.00")&amp;" - комиссия "&amp;TEXT(V1128*R1128/100,"0.00")&amp;" - доставка "&amp;TEXT(P1128,"0.00")&amp;" - прочие "&amp;TEXT(Q1128,"0.00")&amp;" = "&amp;TEXT(G1128,"0.00")&amp;" "&amp;L1128,"Введите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8" s="23" t="n">
        <x:v>278.2450986375313</x:v>
      </x:c>
      <x:c r="AG1128" s="23" t="n">
        <x:v>324</x:v>
      </x:c>
      <x:c r="AH1128" s="23" t="n">
        <x:v>180</x:v>
      </x:c>
      <x:c r="AI1128" s="29" t="n">
        <x:v>46266</x:v>
      </x:c>
      <x:c r="AJ1128" s="23" t="n">
        <x:v>12</x:v>
      </x:c>
      <x:c r="AK1128" s="11" t="str">
        <x:v>минимум</x:v>
      </x:c>
      <x:c r="AL1128" s="31" t="n">
        <x:v>99.02310306286702</x:v>
      </x:c>
      <x:c r="AM1128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28" s="12" t="str">
        <x:v>Проверить свободный остаток и установить цену для B2B</x:v>
      </x:c>
      <x:c r="AO1128" s="12" t="str">
        <x:v>Остаток 324; прогноз 90 дней 278.25; избыток 45.754 м. Будущие поступления не выставляются на продажу. Остаток на начало сентября: требуется актуализация.</x:v>
      </x:c>
      <x:c r="AP1128" s="12" t="str">
        <x:v>["category_missing", "daily_stockout_data_missing", "large_orders_detected", "new_order_lead_time_unknown", "reservations_unknown", "stale_stock", "transaction_month_mismatch"]</x:v>
      </x:c>
      <x:c r="AQ1128" s="11" t="str">
        <x:v>IEK:280300030_</x:v>
      </x:c>
      <x:c r="AR1128" s="23" t="n">
        <x:v>0.001</x:v>
      </x:c>
      <x:c r="AS1128" s="23" t="n">
        <x:v>0</x:v>
      </x:c>
      <x:c r="AT1128" s="23" t="n">
        <x:v>0</x:v>
      </x:c>
    </x:row>
    <x:row r="1129" ht="64" customHeight="1">
      <x:c r="A1129" s="10" t="str">
        <x:v>IEK</x:v>
      </x:c>
      <x:c r="B1129" s="34" t="str">
        <x:v>280300031_</x:v>
      </x:c>
      <x:c r="C1129" s="34" t="str">
        <x:v>CLP10-050-400-3</x:v>
      </x:c>
      <x:c r="D1129" s="13" t="str">
        <x:v>Лоток перфорированный (50х400х3000) (1 мм) IEK (6)</x:v>
      </x:c>
      <x:c r="E1129" s="10" t="str">
        <x:v>м</x:v>
      </x:c>
      <x:c r="F1129" s="24" t="n">
        <x:f>MAX(0,ROUNDDOWN((AG1129-AF1129)/AR1129+0.000000001,0)*AR1129)</x:f>
        <x:v>92.634</x:v>
      </x:c>
      <x:c r="G1129" s="21" t="str">
        <x:f>IF(J1129="Рассчитано",V1129*(1-R1129/100)-W1129-P1129-Q1129,"н/д")</x:f>
        <x:v>н/д</x:v>
      </x:c>
      <x:c r="H1129" s="13" t="str">
        <x:v>Высокий</x:v>
      </x:c>
      <x:c r="I1129" s="13" t="str">
        <x:v>Высокий</x:v>
      </x:c>
      <x:c r="J1129" s="13" t="str">
        <x:f>IF(L1129="","Укажите валюту",IF(NOT(ISNUMBER(K1129)),"Укажите объём",IF(K1129&lt;=0,"Укажите объём",IF(K1129&gt;F1129,"Объём выше излишка",IF(COUNT(M1129:O1129)&lt;3,"Нужны цены",IF(COUNT(P1129:R1129)&lt;3,"Нужны расходы",IF(OR(M1129&lt;0,N1129&lt;0,O1129&lt;0,O1129&gt;100,P1129&lt;0,Q1129&lt;0,R1129&lt;0,R1129&gt;100),"Проверьте значения","Рассчитано")))))))</x:f>
        <x:v>Нужны цены</x:v>
      </x:c>
      <x:c r="K1129" s="25" t="n">
        <x:v>92.634</x:v>
      </x:c>
      <x:c r="L1129" s="19" t="str">
        <x:v>KZT</x:v>
      </x:c>
      <x:c r="M1129" s="22"/>
      <x:c r="N1129" s="22"/>
      <x:c r="O1129" s="28"/>
      <x:c r="P1129" s="22"/>
      <x:c r="Q1129" s="22"/>
      <x:c r="R1129" s="28"/>
      <x:c r="S1129" s="22"/>
      <x:c r="T1129" s="24" t="n">
        <x:f>K1129</x:f>
        <x:v>92.634</x:v>
      </x:c>
      <x:c r="U1129" s="21" t="str">
        <x:f>IF(J1129="Рассчитано",N1129*(1-O1129/100),"н/д")</x:f>
        <x:v>н/д</x:v>
      </x:c>
      <x:c r="V1129" s="21" t="str">
        <x:f>IF(J1129="Рассчитано",T1129*U1129,"н/д")</x:f>
        <x:v>н/д</x:v>
      </x:c>
      <x:c r="W1129" s="21" t="str">
        <x:f>IF(J1129="Рассчитано",T1129*M1129,"н/д")</x:f>
        <x:v>н/д</x:v>
      </x:c>
      <x:c r="X1129" s="21" t="str">
        <x:f>IF(J1129="Рассчитано",V1129-W1129,"н/д")</x:f>
        <x:v>н/д</x:v>
      </x:c>
      <x:c r="Y1129" s="27" t="str">
        <x:f>IF(J1129="Рассчитано",IF(V1129&gt;0,G1129/V1129,"н/д"),"н/д")</x:f>
        <x:v>н/д</x:v>
      </x:c>
      <x:c r="Z1129" s="21" t="str">
        <x:f>"н/д"</x:f>
        <x:v>н/д</x:v>
      </x:c>
      <x:c r="AA1129" s="21" t="str">
        <x:f>"н/д"</x:f>
        <x:v>н/д</x:v>
      </x:c>
      <x:c r="AB1129" s="21" t="str">
        <x:f>"н/д"</x:f>
        <x:v>н/д</x:v>
      </x:c>
      <x:c r="AC1129" s="21" t="str">
        <x:f>IF(AND(J1129="Рассчитано",T1129&gt;0,R1129&lt;100),(W1129+P1129+Q1129)/(T1129*(1-R1129/100)),"н/д")</x:f>
        <x:v>н/д</x:v>
      </x:c>
      <x:c r="AD1129" s="10" t="str">
        <x:f>IF(ISNUMBER(G1129),IF(G1129&lt;0,"Убыток",IF(G1129=0,"Без прибыли","Прибыль &gt; 0")),"Не оценён")</x:f>
        <x:v>Не оценён</x:v>
      </x:c>
      <x:c r="AE1129" s="13" t="str">
        <x:f>IF(J1129="Рассчитано","Выручка "&amp;TEXT(V1129,"0.00")&amp;" - себестоимость "&amp;TEXT(W1129,"0.00")&amp;" - комиссия "&amp;TEXT(V1129*R1129/100,"0.00")&amp;" - доставка "&amp;TEXT(P1129,"0.00")&amp;" - прочие "&amp;TEXT(Q1129,"0.00")&amp;" = "&amp;TEXT(G1129,"0.00")&amp;" "&amp;L1129,"Введите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9" s="24" t="n">
        <x:v>27.365733060888555</x:v>
      </x:c>
      <x:c r="AG1129" s="24" t="n">
        <x:v>120</x:v>
      </x:c>
      <x:c r="AH1129" s="24" t="n">
        <x:v>0</x:v>
      </x:c>
      <x:c r="AI1129" s="30" t="n">
        <x:v>46266</x:v>
      </x:c>
      <x:c r="AJ1129" s="24" t="n">
        <x:v>12</x:v>
      </x:c>
      <x:c r="AK1129" s="10" t="str">
        <x:v>минимум</x:v>
      </x:c>
      <x:c r="AL1129" s="32" t="n">
        <x:v>372.90070460418883</x:v>
      </x:c>
      <x:c r="AM112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29" s="13" t="str">
        <x:v>Проверить свободный остаток и установить цену для B2B</x:v>
      </x:c>
      <x:c r="AO1129" s="13" t="str">
        <x:v>Остаток 120; прогноз 90 дней 27.37; избыток 92.634 м. Будущие поступления не выставляются на продажу. Остаток на начало сентября: требуется актуализация.</x:v>
      </x:c>
      <x:c r="AP1129" s="13" t="str">
        <x:v>["category_missing", "daily_stockout_data_missing", "new_order_lead_time_unknown", "reservations_unknown", "stale_stock"]</x:v>
      </x:c>
      <x:c r="AQ1129" s="10" t="str">
        <x:v>IEK:280300031_</x:v>
      </x:c>
      <x:c r="AR1129" s="24" t="n">
        <x:v>0.001</x:v>
      </x:c>
      <x:c r="AS1129" s="24" t="n">
        <x:v>0</x:v>
      </x:c>
      <x:c r="AT1129" s="24" t="n">
        <x:v>0</x:v>
      </x:c>
    </x:row>
    <x:row r="1130" ht="64" customHeight="1">
      <x:c r="A1130" s="11" t="str">
        <x:v>IEK</x:v>
      </x:c>
      <x:c r="B1130" s="33" t="str">
        <x:v>280300034_</x:v>
      </x:c>
      <x:c r="C1130" s="33" t="str">
        <x:v>CLP10-100-200-3</x:v>
      </x:c>
      <x:c r="D1130" s="12" t="str">
        <x:v>Лоток перфорированный (100х200х3000) (0,8 мм) IEK (6)</x:v>
      </x:c>
      <x:c r="E1130" s="11" t="str">
        <x:v>м</x:v>
      </x:c>
      <x:c r="F1130" s="23" t="n">
        <x:f>MAX(0,ROUNDDOWN((AG1130-AF1130)/AR1130+0.000000001,0)*AR1130)</x:f>
        <x:v>93.256</x:v>
      </x:c>
      <x:c r="G1130" s="20" t="str">
        <x:f>IF(J1130="Рассчитано",V1130*(1-R1130/100)-W1130-P1130-Q1130,"н/д")</x:f>
        <x:v>н/д</x:v>
      </x:c>
      <x:c r="H1130" s="12" t="str">
        <x:v>Высокий</x:v>
      </x:c>
      <x:c r="I1130" s="12" t="str">
        <x:v>Средний</x:v>
      </x:c>
      <x:c r="J1130" s="12" t="str">
        <x:f>IF(L1130="","Укажите валюту",IF(NOT(ISNUMBER(K1130)),"Укажите объём",IF(K1130&lt;=0,"Укажите объём",IF(K1130&gt;F1130,"Объём выше излишка",IF(COUNT(M1130:O1130)&lt;3,"Нужны цены",IF(COUNT(P1130:R1130)&lt;3,"Нужны расходы",IF(OR(M1130&lt;0,N1130&lt;0,O1130&lt;0,O1130&gt;100,P1130&lt;0,Q1130&lt;0,R1130&lt;0,R1130&gt;100),"Проверьте значения","Рассчитано")))))))</x:f>
        <x:v>Нужны цены</x:v>
      </x:c>
      <x:c r="K1130" s="25" t="n">
        <x:v>93.256</x:v>
      </x:c>
      <x:c r="L1130" s="19" t="str">
        <x:v>KZT</x:v>
      </x:c>
      <x:c r="M1130" s="22"/>
      <x:c r="N1130" s="22"/>
      <x:c r="O1130" s="28"/>
      <x:c r="P1130" s="22"/>
      <x:c r="Q1130" s="22"/>
      <x:c r="R1130" s="28"/>
      <x:c r="S1130" s="22"/>
      <x:c r="T1130" s="23" t="n">
        <x:f>K1130</x:f>
        <x:v>93.256</x:v>
      </x:c>
      <x:c r="U1130" s="20" t="str">
        <x:f>IF(J1130="Рассчитано",N1130*(1-O1130/100),"н/д")</x:f>
        <x:v>н/д</x:v>
      </x:c>
      <x:c r="V1130" s="20" t="str">
        <x:f>IF(J1130="Рассчитано",T1130*U1130,"н/д")</x:f>
        <x:v>н/д</x:v>
      </x:c>
      <x:c r="W1130" s="20" t="str">
        <x:f>IF(J1130="Рассчитано",T1130*M1130,"н/д")</x:f>
        <x:v>н/д</x:v>
      </x:c>
      <x:c r="X1130" s="20" t="str">
        <x:f>IF(J1130="Рассчитано",V1130-W1130,"н/д")</x:f>
        <x:v>н/д</x:v>
      </x:c>
      <x:c r="Y1130" s="26" t="str">
        <x:f>IF(J1130="Рассчитано",IF(V1130&gt;0,G1130/V1130,"н/д"),"н/д")</x:f>
        <x:v>н/д</x:v>
      </x:c>
      <x:c r="Z1130" s="20" t="str">
        <x:f>"н/д"</x:f>
        <x:v>н/д</x:v>
      </x:c>
      <x:c r="AA1130" s="20" t="str">
        <x:f>"н/д"</x:f>
        <x:v>н/д</x:v>
      </x:c>
      <x:c r="AB1130" s="20" t="str">
        <x:f>"н/д"</x:f>
        <x:v>н/д</x:v>
      </x:c>
      <x:c r="AC1130" s="20" t="str">
        <x:f>IF(AND(J1130="Рассчитано",T1130&gt;0,R1130&lt;100),(W1130+P1130+Q1130)/(T1130*(1-R1130/100)),"н/д")</x:f>
        <x:v>н/д</x:v>
      </x:c>
      <x:c r="AD1130" s="11" t="str">
        <x:f>IF(ISNUMBER(G1130),IF(G1130&lt;0,"Убыток",IF(G1130=0,"Без прибыли","Прибыль &gt; 0")),"Не оценён")</x:f>
        <x:v>Не оценён</x:v>
      </x:c>
      <x:c r="AE1130" s="12" t="str">
        <x:f>IF(J1130="Рассчитано","Выручка "&amp;TEXT(V1130,"0.00")&amp;" - себестоимость "&amp;TEXT(W1130,"0.00")&amp;" - комиссия "&amp;TEXT(V1130*R1130/100,"0.00")&amp;" - доставка "&amp;TEXT(P1130,"0.00")&amp;" - прочие "&amp;TEXT(Q1130,"0.00")&amp;" = "&amp;TEXT(G1130,"0.00")&amp;" "&amp;L1130,"Введите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0" s="23" t="n">
        <x:v>164.74373347888968</x:v>
      </x:c>
      <x:c r="AG1130" s="23" t="n">
        <x:v>258</x:v>
      </x:c>
      <x:c r="AH1130" s="23" t="n">
        <x:v>0</x:v>
      </x:c>
      <x:c r="AI1130" s="29" t="n">
        <x:v>46266</x:v>
      </x:c>
      <x:c r="AJ1130" s="23" t="n">
        <x:v>6</x:v>
      </x:c>
      <x:c r="AK1130" s="11" t="str">
        <x:v>минимум</x:v>
      </x:c>
      <x:c r="AL1130" s="31" t="n">
        <x:v>133.17718973938827</x:v>
      </x:c>
      <x:c r="AM1130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30" s="12" t="str">
        <x:v>Проверить свободный остаток и установить цену для B2B</x:v>
      </x:c>
      <x:c r="AO1130" s="12" t="str">
        <x:v>Остаток 258; прогноз 90 дней 164.74; избыток 93.256 м. Будущие поступления не выставляются на продажу. Остаток на начало сентября: требуется актуализация.</x:v>
      </x:c>
      <x:c r="AP1130" s="12" t="str">
        <x:v>["category_missing", "daily_stockout_data_missing", "large_orders_detected", "new_order_lead_time_unknown", "reservations_unknown", "stale_stock", "transaction_month_mismatch"]</x:v>
      </x:c>
      <x:c r="AQ1130" s="11" t="str">
        <x:v>IEK:280300034_</x:v>
      </x:c>
      <x:c r="AR1130" s="23" t="n">
        <x:v>0.001</x:v>
      </x:c>
      <x:c r="AS1130" s="23" t="n">
        <x:v>0</x:v>
      </x:c>
      <x:c r="AT1130" s="23" t="n">
        <x:v>0</x:v>
      </x:c>
    </x:row>
    <x:row r="1131" ht="64" customHeight="1">
      <x:c r="A1131" s="10" t="str">
        <x:v>IEK</x:v>
      </x:c>
      <x:c r="B1131" s="34" t="str">
        <x:v>280300035_</x:v>
      </x:c>
      <x:c r="C1131" s="34" t="str">
        <x:v>CLP10-100-300-3</x:v>
      </x:c>
      <x:c r="D1131" s="13" t="str">
        <x:v>Лоток перфорированный (100х300х3000) (1 мм) IEK (6)</x:v>
      </x:c>
      <x:c r="E1131" s="10" t="str">
        <x:v>м</x:v>
      </x:c>
      <x:c r="F1131" s="24" t="n">
        <x:f>MAX(0,ROUNDDOWN((AG1131-AF1131)/AR1131+0.000000001,0)*AR1131)</x:f>
        <x:v>33.411</x:v>
      </x:c>
      <x:c r="G1131" s="21" t="str">
        <x:f>IF(J1131="Рассчитано",V1131*(1-R1131/100)-W1131-P1131-Q1131,"н/д")</x:f>
        <x:v>н/д</x:v>
      </x:c>
      <x:c r="H1131" s="13" t="str">
        <x:v>Высокий</x:v>
      </x:c>
      <x:c r="I1131" s="13" t="str">
        <x:v>Средний</x:v>
      </x:c>
      <x:c r="J1131" s="13" t="str">
        <x:f>IF(L1131="","Укажите валюту",IF(NOT(ISNUMBER(K1131)),"Укажите объём",IF(K1131&lt;=0,"Укажите объём",IF(K1131&gt;F1131,"Объём выше излишка",IF(COUNT(M1131:O1131)&lt;3,"Нужны цены",IF(COUNT(P1131:R1131)&lt;3,"Нужны расходы",IF(OR(M1131&lt;0,N1131&lt;0,O1131&lt;0,O1131&gt;100,P1131&lt;0,Q1131&lt;0,R1131&lt;0,R1131&gt;100),"Проверьте значения","Рассчитано")))))))</x:f>
        <x:v>Нужны цены</x:v>
      </x:c>
      <x:c r="K1131" s="25" t="n">
        <x:v>33.411</x:v>
      </x:c>
      <x:c r="L1131" s="19" t="str">
        <x:v>KZT</x:v>
      </x:c>
      <x:c r="M1131" s="22"/>
      <x:c r="N1131" s="22"/>
      <x:c r="O1131" s="28"/>
      <x:c r="P1131" s="22"/>
      <x:c r="Q1131" s="22"/>
      <x:c r="R1131" s="28"/>
      <x:c r="S1131" s="22"/>
      <x:c r="T1131" s="24" t="n">
        <x:f>K1131</x:f>
        <x:v>33.411</x:v>
      </x:c>
      <x:c r="U1131" s="21" t="str">
        <x:f>IF(J1131="Рассчитано",N1131*(1-O1131/100),"н/д")</x:f>
        <x:v>н/д</x:v>
      </x:c>
      <x:c r="V1131" s="21" t="str">
        <x:f>IF(J1131="Рассчитано",T1131*U1131,"н/д")</x:f>
        <x:v>н/д</x:v>
      </x:c>
      <x:c r="W1131" s="21" t="str">
        <x:f>IF(J1131="Рассчитано",T1131*M1131,"н/д")</x:f>
        <x:v>н/д</x:v>
      </x:c>
      <x:c r="X1131" s="21" t="str">
        <x:f>IF(J1131="Рассчитано",V1131-W1131,"н/д")</x:f>
        <x:v>н/д</x:v>
      </x:c>
      <x:c r="Y1131" s="27" t="str">
        <x:f>IF(J1131="Рассчитано",IF(V1131&gt;0,G1131/V1131,"н/д"),"н/д")</x:f>
        <x:v>н/д</x:v>
      </x:c>
      <x:c r="Z1131" s="21" t="str">
        <x:f>"н/д"</x:f>
        <x:v>н/д</x:v>
      </x:c>
      <x:c r="AA1131" s="21" t="str">
        <x:f>"н/д"</x:f>
        <x:v>н/д</x:v>
      </x:c>
      <x:c r="AB1131" s="21" t="str">
        <x:f>"н/д"</x:f>
        <x:v>н/д</x:v>
      </x:c>
      <x:c r="AC1131" s="21" t="str">
        <x:f>IF(AND(J1131="Рассчитано",T1131&gt;0,R1131&lt;100),(W1131+P1131+Q1131)/(T1131*(1-R1131/100)),"н/д")</x:f>
        <x:v>н/д</x:v>
      </x:c>
      <x:c r="AD1131" s="10" t="str">
        <x:f>IF(ISNUMBER(G1131),IF(G1131&lt;0,"Убыток",IF(G1131=0,"Без прибыли","Прибыль &gt; 0")),"Не оценён")</x:f>
        <x:v>Не оценён</x:v>
      </x:c>
      <x:c r="AE1131" s="13" t="str">
        <x:f>IF(J1131="Рассчитано","Выручка "&amp;TEXT(V1131,"0.00")&amp;" - себестоимость "&amp;TEXT(W1131,"0.00")&amp;" - комиссия "&amp;TEXT(V1131*R1131/100,"0.00")&amp;" - доставка "&amp;TEXT(P1131,"0.00")&amp;" - прочие "&amp;TEXT(Q1131,"0.00")&amp;" = "&amp;TEXT(G1131,"0.00")&amp;" "&amp;L1131,"Введите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1" s="24" t="n">
        <x:v>44.58893604271082</x:v>
      </x:c>
      <x:c r="AG1131" s="24" t="n">
        <x:v>78</x:v>
      </x:c>
      <x:c r="AH1131" s="24" t="n">
        <x:v>0</x:v>
      </x:c>
      <x:c r="AI1131" s="30" t="n">
        <x:v>46266</x:v>
      </x:c>
      <x:c r="AJ1131" s="24" t="n">
        <x:v>6</x:v>
      </x:c>
      <x:c r="AK1131" s="10" t="str">
        <x:v>минимум</x:v>
      </x:c>
      <x:c r="AL1131" s="32" t="n">
        <x:v>148.76012594057838</x:v>
      </x:c>
      <x:c r="AM1131" s="13" t="str">
        <x:v>Остаток на начало сентября; Резервы неизвестны; Нет ежедневных данных доступности. Запас выше прогноза на 90 дней</x:v>
      </x:c>
      <x:c r="AN1131" s="13" t="str">
        <x:v>Проверить свободный остаток и установить цену для B2B</x:v>
      </x:c>
      <x:c r="AO1131" s="13" t="str">
        <x:v>Остаток 78; прогноз 90 дней 44.59; избыток 33.411 м. Будущие поступления не выставляются на продажу. Остаток на начало сентября: требуется актуализация.</x:v>
      </x:c>
      <x:c r="AP1131" s="13" t="str">
        <x:v>["category_missing", "daily_stockout_data_missing", "negative_net_sales_clipped_for_forecast", "new_order_lead_time_unknown", "reservations_unknown", "stale_stock"]</x:v>
      </x:c>
      <x:c r="AQ1131" s="10" t="str">
        <x:v>IEK:280300035_</x:v>
      </x:c>
      <x:c r="AR1131" s="24" t="n">
        <x:v>0.001</x:v>
      </x:c>
      <x:c r="AS1131" s="24" t="n">
        <x:v>0</x:v>
      </x:c>
      <x:c r="AT1131" s="24" t="n">
        <x:v>0</x:v>
      </x:c>
    </x:row>
    <x:row r="1132" ht="64" customHeight="1">
      <x:c r="A1132" s="11" t="str">
        <x:v>IEK</x:v>
      </x:c>
      <x:c r="B1132" s="33" t="str">
        <x:v>280300036_</x:v>
      </x:c>
      <x:c r="C1132" s="33" t="str">
        <x:v>CLP10-100-400-3</x:v>
      </x:c>
      <x:c r="D1132" s="12" t="str">
        <x:v>Лоток перфорированный (100х400х3000) (1,2 мм) IEK (6)</x:v>
      </x:c>
      <x:c r="E1132" s="11" t="str">
        <x:v>м</x:v>
      </x:c>
      <x:c r="F1132" s="23" t="n">
        <x:f>MAX(0,ROUNDDOWN((AG1132-AF1132)/AR1132+0.000000001,0)*AR1132)</x:f>
        <x:v>35.074</x:v>
      </x:c>
      <x:c r="G1132" s="20" t="str">
        <x:f>IF(J1132="Рассчитано",V1132*(1-R1132/100)-W1132-P1132-Q1132,"н/д")</x:f>
        <x:v>н/д</x:v>
      </x:c>
      <x:c r="H1132" s="12" t="str">
        <x:v>Высокий</x:v>
      </x:c>
      <x:c r="I1132" s="12" t="str">
        <x:v>Высокий</x:v>
      </x:c>
      <x:c r="J1132" s="12" t="str">
        <x:f>IF(L1132="","Укажите валюту",IF(NOT(ISNUMBER(K1132)),"Укажите объём",IF(K1132&lt;=0,"Укажите объём",IF(K1132&gt;F1132,"Объём выше излишка",IF(COUNT(M1132:O1132)&lt;3,"Нужны цены",IF(COUNT(P1132:R1132)&lt;3,"Нужны расходы",IF(OR(M1132&lt;0,N1132&lt;0,O1132&lt;0,O1132&gt;100,P1132&lt;0,Q1132&lt;0,R1132&lt;0,R1132&gt;100),"Проверьте значения","Рассчитано")))))))</x:f>
        <x:v>Нужны цены</x:v>
      </x:c>
      <x:c r="K1132" s="25" t="n">
        <x:v>35.074</x:v>
      </x:c>
      <x:c r="L1132" s="19" t="str">
        <x:v>KZT</x:v>
      </x:c>
      <x:c r="M1132" s="22"/>
      <x:c r="N1132" s="22"/>
      <x:c r="O1132" s="28"/>
      <x:c r="P1132" s="22"/>
      <x:c r="Q1132" s="22"/>
      <x:c r="R1132" s="28"/>
      <x:c r="S1132" s="22"/>
      <x:c r="T1132" s="23" t="n">
        <x:f>K1132</x:f>
        <x:v>35.074</x:v>
      </x:c>
      <x:c r="U1132" s="20" t="str">
        <x:f>IF(J1132="Рассчитано",N1132*(1-O1132/100),"н/д")</x:f>
        <x:v>н/д</x:v>
      </x:c>
      <x:c r="V1132" s="20" t="str">
        <x:f>IF(J1132="Рассчитано",T1132*U1132,"н/д")</x:f>
        <x:v>н/д</x:v>
      </x:c>
      <x:c r="W1132" s="20" t="str">
        <x:f>IF(J1132="Рассчитано",T1132*M1132,"н/д")</x:f>
        <x:v>н/д</x:v>
      </x:c>
      <x:c r="X1132" s="20" t="str">
        <x:f>IF(J1132="Рассчитано",V1132-W1132,"н/д")</x:f>
        <x:v>н/д</x:v>
      </x:c>
      <x:c r="Y1132" s="26" t="str">
        <x:f>IF(J1132="Рассчитано",IF(V1132&gt;0,G1132/V1132,"н/д"),"н/д")</x:f>
        <x:v>н/д</x:v>
      </x:c>
      <x:c r="Z1132" s="20" t="str">
        <x:f>"н/д"</x:f>
        <x:v>н/д</x:v>
      </x:c>
      <x:c r="AA1132" s="20" t="str">
        <x:f>"н/д"</x:f>
        <x:v>н/д</x:v>
      </x:c>
      <x:c r="AB1132" s="20" t="str">
        <x:f>"н/д"</x:f>
        <x:v>н/д</x:v>
      </x:c>
      <x:c r="AC1132" s="20" t="str">
        <x:f>IF(AND(J1132="Рассчитано",T1132&gt;0,R1132&lt;100),(W1132+P1132+Q1132)/(T1132*(1-R1132/100)),"н/д")</x:f>
        <x:v>н/д</x:v>
      </x:c>
      <x:c r="AD1132" s="11" t="str">
        <x:f>IF(ISNUMBER(G1132),IF(G1132&lt;0,"Убыток",IF(G1132=0,"Без прибыли","Прибыль &gt; 0")),"Не оценён")</x:f>
        <x:v>Не оценён</x:v>
      </x:c>
      <x:c r="AE1132" s="12" t="str">
        <x:f>IF(J1132="Рассчитано","Выручка "&amp;TEXT(V1132,"0.00")&amp;" - себестоимость "&amp;TEXT(W1132,"0.00")&amp;" - комиссия "&amp;TEXT(V1132*R1132/100,"0.00")&amp;" - доставка "&amp;TEXT(P1132,"0.00")&amp;" - прочие "&amp;TEXT(Q1132,"0.00")&amp;" = "&amp;TEXT(G1132,"0.00")&amp;" "&amp;L1132,"Введите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2" s="23" t="n">
        <x:v>9.925335799048568</x:v>
      </x:c>
      <x:c r="AG1132" s="23" t="n">
        <x:v>45</x:v>
      </x:c>
      <x:c r="AH1132" s="23" t="n">
        <x:v>0</x:v>
      </x:c>
      <x:c r="AI1132" s="29" t="n">
        <x:v>46266</x:v>
      </x:c>
      <x:c r="AJ1132" s="23" t="n">
        <x:v>6</x:v>
      </x:c>
      <x:c r="AK1132" s="11" t="str">
        <x:v>минимум</x:v>
      </x:c>
      <x:c r="AL1132" s="31" t="n">
        <x:v>385.5550084282931</x:v>
      </x:c>
      <x:c r="AM113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32" s="12" t="str">
        <x:v>Проверить свободный остаток и установить цену для B2B</x:v>
      </x:c>
      <x:c r="AO1132" s="12" t="str">
        <x:v>Остаток 45; прогноз 90 дней 9.93; избыток 35.074 м. Будущие поступления не выставляются на продажу. Остаток на начало сентября: требуется актуализация.</x:v>
      </x:c>
      <x:c r="AP1132" s="12" t="str">
        <x:v>["category_missing", "daily_stockout_data_missing", "new_order_lead_time_unknown", "reservations_unknown", "stale_stock"]</x:v>
      </x:c>
      <x:c r="AQ1132" s="11" t="str">
        <x:v>IEK:280300036_</x:v>
      </x:c>
      <x:c r="AR1132" s="23" t="n">
        <x:v>0.001</x:v>
      </x:c>
      <x:c r="AS1132" s="23" t="n">
        <x:v>0</x:v>
      </x:c>
      <x:c r="AT1132" s="23" t="n">
        <x:v>0</x:v>
      </x:c>
    </x:row>
    <x:row r="1133" ht="64" customHeight="1">
      <x:c r="A1133" s="10" t="str">
        <x:v>IEK</x:v>
      </x:c>
      <x:c r="B1133" s="34" t="str">
        <x:v>280300037_</x:v>
      </x:c>
      <x:c r="C1133" s="34" t="str">
        <x:v>CLP1K-300-1</x:v>
      </x:c>
      <x:c r="D1133" s="13" t="str">
        <x:v>Крышка на лоток осн. 300мм. IEK (6)</x:v>
      </x:c>
      <x:c r="E1133" s="10" t="str">
        <x:v>м</x:v>
      </x:c>
      <x:c r="F1133" s="24" t="n">
        <x:f>MAX(0,ROUNDDOWN((AG1133-AF1133)/AR1133+0.000000001,0)*AR1133)</x:f>
        <x:v>30.383</x:v>
      </x:c>
      <x:c r="G1133" s="21" t="str">
        <x:f>IF(J1133="Рассчитано",V1133*(1-R1133/100)-W1133-P1133-Q1133,"н/д")</x:f>
        <x:v>н/д</x:v>
      </x:c>
      <x:c r="H1133" s="13" t="str">
        <x:v>Высокий</x:v>
      </x:c>
      <x:c r="I1133" s="13" t="str">
        <x:v>Средний</x:v>
      </x:c>
      <x:c r="J1133" s="13" t="str">
        <x:f>IF(L1133="","Укажите валюту",IF(NOT(ISNUMBER(K1133)),"Укажите объём",IF(K1133&lt;=0,"Укажите объём",IF(K1133&gt;F1133,"Объём выше излишка",IF(COUNT(M1133:O1133)&lt;3,"Нужны цены",IF(COUNT(P1133:R1133)&lt;3,"Нужны расходы",IF(OR(M1133&lt;0,N1133&lt;0,O1133&lt;0,O1133&gt;100,P1133&lt;0,Q1133&lt;0,R1133&lt;0,R1133&gt;100),"Проверьте значения","Рассчитано")))))))</x:f>
        <x:v>Нужны цены</x:v>
      </x:c>
      <x:c r="K1133" s="25" t="n">
        <x:v>30.383</x:v>
      </x:c>
      <x:c r="L1133" s="19" t="str">
        <x:v>KZT</x:v>
      </x:c>
      <x:c r="M1133" s="22"/>
      <x:c r="N1133" s="22"/>
      <x:c r="O1133" s="28"/>
      <x:c r="P1133" s="22"/>
      <x:c r="Q1133" s="22"/>
      <x:c r="R1133" s="28"/>
      <x:c r="S1133" s="22"/>
      <x:c r="T1133" s="24" t="n">
        <x:f>K1133</x:f>
        <x:v>30.383</x:v>
      </x:c>
      <x:c r="U1133" s="21" t="str">
        <x:f>IF(J1133="Рассчитано",N1133*(1-O1133/100),"н/д")</x:f>
        <x:v>н/д</x:v>
      </x:c>
      <x:c r="V1133" s="21" t="str">
        <x:f>IF(J1133="Рассчитано",T1133*U1133,"н/д")</x:f>
        <x:v>н/д</x:v>
      </x:c>
      <x:c r="W1133" s="21" t="str">
        <x:f>IF(J1133="Рассчитано",T1133*M1133,"н/д")</x:f>
        <x:v>н/д</x:v>
      </x:c>
      <x:c r="X1133" s="21" t="str">
        <x:f>IF(J1133="Рассчитано",V1133-W1133,"н/д")</x:f>
        <x:v>н/д</x:v>
      </x:c>
      <x:c r="Y1133" s="27" t="str">
        <x:f>IF(J1133="Рассчитано",IF(V1133&gt;0,G1133/V1133,"н/д"),"н/д")</x:f>
        <x:v>н/д</x:v>
      </x:c>
      <x:c r="Z1133" s="21" t="str">
        <x:f>"н/д"</x:f>
        <x:v>н/д</x:v>
      </x:c>
      <x:c r="AA1133" s="21" t="str">
        <x:f>"н/д"</x:f>
        <x:v>н/д</x:v>
      </x:c>
      <x:c r="AB1133" s="21" t="str">
        <x:f>"н/д"</x:f>
        <x:v>н/д</x:v>
      </x:c>
      <x:c r="AC1133" s="21" t="str">
        <x:f>IF(AND(J1133="Рассчитано",T1133&gt;0,R1133&lt;100),(W1133+P1133+Q1133)/(T1133*(1-R1133/100)),"н/д")</x:f>
        <x:v>н/д</x:v>
      </x:c>
      <x:c r="AD1133" s="10" t="str">
        <x:f>IF(ISNUMBER(G1133),IF(G1133&lt;0,"Убыток",IF(G1133=0,"Без прибыли","Прибыль &gt; 0")),"Не оценён")</x:f>
        <x:v>Не оценён</x:v>
      </x:c>
      <x:c r="AE1133" s="13" t="str">
        <x:f>IF(J1133="Рассчитано","Выручка "&amp;TEXT(V1133,"0.00")&amp;" - себестоимость "&amp;TEXT(W1133,"0.00")&amp;" - комиссия "&amp;TEXT(V1133*R1133/100,"0.00")&amp;" - доставка "&amp;TEXT(P1133,"0.00")&amp;" - прочие "&amp;TEXT(Q1133,"0.00")&amp;" = "&amp;TEXT(G1133,"0.00")&amp;" "&amp;L1133,"Введите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3" s="24" t="n">
        <x:v>92.61679001094028</x:v>
      </x:c>
      <x:c r="AG1133" s="24" t="n">
        <x:v>123</x:v>
      </x:c>
      <x:c r="AH1133" s="24" t="n">
        <x:v>0</x:v>
      </x:c>
      <x:c r="AI1133" s="30" t="n">
        <x:v>46266</x:v>
      </x:c>
      <x:c r="AJ1133" s="24" t="n">
        <x:v>6</x:v>
      </x:c>
      <x:c r="AK1133" s="10" t="str">
        <x:v>минимум</x:v>
      </x:c>
      <x:c r="AL1133" s="32" t="n">
        <x:v>112.93652768240312</x:v>
      </x:c>
      <x:c r="AM1133" s="13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33" s="13" t="str">
        <x:v>Проверить свободный остаток и установить цену для B2B</x:v>
      </x:c>
      <x:c r="AO1133" s="13" t="str">
        <x:v>Остаток 123; прогноз 90 дней 92.62; избыток 30.383 м. Будущие поступления не выставляются на продажу. Остаток на начало сентября: требуется актуализация.</x:v>
      </x:c>
      <x:c r="AP1133" s="13" t="str">
        <x:v>["category_missing", "daily_stockout_data_missing", "large_orders_detected", "new_order_lead_time_unknown", "reservations_unknown", "stale_stock", "transaction_month_mismatch"]</x:v>
      </x:c>
      <x:c r="AQ1133" s="10" t="str">
        <x:v>IEK:280300037_</x:v>
      </x:c>
      <x:c r="AR1133" s="24" t="n">
        <x:v>0.001</x:v>
      </x:c>
      <x:c r="AS1133" s="24" t="n">
        <x:v>0</x:v>
      </x:c>
      <x:c r="AT1133" s="24" t="n">
        <x:v>0</x:v>
      </x:c>
    </x:row>
    <x:row r="1134" ht="64" customHeight="1">
      <x:c r="A1134" s="11" t="str">
        <x:v>IEK</x:v>
      </x:c>
      <x:c r="B1134" s="33" t="str">
        <x:v>280300038_</x:v>
      </x:c>
      <x:c r="C1134" s="33" t="str">
        <x:v>CLP1K-500-3</x:v>
      </x:c>
      <x:c r="D1134" s="12" t="str">
        <x:v>Крышка на лоток осн. 500мм. IEK (6)</x:v>
      </x:c>
      <x:c r="E1134" s="11" t="str">
        <x:v>м</x:v>
      </x:c>
      <x:c r="F1134" s="23" t="n">
        <x:f>MAX(0,ROUNDDOWN((AG1134-AF1134)/AR1134+0.000000001,0)*AR1134)</x:f>
        <x:v>10.424</x:v>
      </x:c>
      <x:c r="G1134" s="20" t="str">
        <x:f>IF(J1134="Рассчитано",V1134*(1-R1134/100)-W1134-P1134-Q1134,"н/д")</x:f>
        <x:v>н/д</x:v>
      </x:c>
      <x:c r="H1134" s="12" t="str">
        <x:v>Высокий</x:v>
      </x:c>
      <x:c r="I1134" s="12" t="str">
        <x:v>Высокий</x:v>
      </x:c>
      <x:c r="J1134" s="12" t="str">
        <x:f>IF(L1134="","Укажите валюту",IF(NOT(ISNUMBER(K1134)),"Укажите объём",IF(K1134&lt;=0,"Укажите объём",IF(K1134&gt;F1134,"Объём выше излишка",IF(COUNT(M1134:O1134)&lt;3,"Нужны цены",IF(COUNT(P1134:R1134)&lt;3,"Нужны расходы",IF(OR(M1134&lt;0,N1134&lt;0,O1134&lt;0,O1134&gt;100,P1134&lt;0,Q1134&lt;0,R1134&lt;0,R1134&gt;100),"Проверьте значения","Рассчитано")))))))</x:f>
        <x:v>Нужны цены</x:v>
      </x:c>
      <x:c r="K1134" s="25" t="n">
        <x:v>10.424</x:v>
      </x:c>
      <x:c r="L1134" s="19" t="str">
        <x:v>KZT</x:v>
      </x:c>
      <x:c r="M1134" s="22"/>
      <x:c r="N1134" s="22"/>
      <x:c r="O1134" s="28"/>
      <x:c r="P1134" s="22"/>
      <x:c r="Q1134" s="22"/>
      <x:c r="R1134" s="28"/>
      <x:c r="S1134" s="22"/>
      <x:c r="T1134" s="23" t="n">
        <x:f>K1134</x:f>
        <x:v>10.424</x:v>
      </x:c>
      <x:c r="U1134" s="20" t="str">
        <x:f>IF(J1134="Рассчитано",N1134*(1-O1134/100),"н/д")</x:f>
        <x:v>н/д</x:v>
      </x:c>
      <x:c r="V1134" s="20" t="str">
        <x:f>IF(J1134="Рассчитано",T1134*U1134,"н/д")</x:f>
        <x:v>н/д</x:v>
      </x:c>
      <x:c r="W1134" s="20" t="str">
        <x:f>IF(J1134="Рассчитано",T1134*M1134,"н/д")</x:f>
        <x:v>н/д</x:v>
      </x:c>
      <x:c r="X1134" s="20" t="str">
        <x:f>IF(J1134="Рассчитано",V1134-W1134,"н/д")</x:f>
        <x:v>н/д</x:v>
      </x:c>
      <x:c r="Y1134" s="26" t="str">
        <x:f>IF(J1134="Рассчитано",IF(V1134&gt;0,G1134/V1134,"н/д"),"н/д")</x:f>
        <x:v>н/д</x:v>
      </x:c>
      <x:c r="Z1134" s="20" t="str">
        <x:f>"н/д"</x:f>
        <x:v>н/д</x:v>
      </x:c>
      <x:c r="AA1134" s="20" t="str">
        <x:f>"н/д"</x:f>
        <x:v>н/д</x:v>
      </x:c>
      <x:c r="AB1134" s="20" t="str">
        <x:f>"н/д"</x:f>
        <x:v>н/д</x:v>
      </x:c>
      <x:c r="AC1134" s="20" t="str">
        <x:f>IF(AND(J1134="Рассчитано",T1134&gt;0,R1134&lt;100),(W1134+P1134+Q1134)/(T1134*(1-R1134/100)),"н/д")</x:f>
        <x:v>н/д</x:v>
      </x:c>
      <x:c r="AD1134" s="11" t="str">
        <x:f>IF(ISNUMBER(G1134),IF(G1134&lt;0,"Убыток",IF(G1134=0,"Без прибыли","Прибыль &gt; 0")),"Не оценён")</x:f>
        <x:v>Не оценён</x:v>
      </x:c>
      <x:c r="AE1134" s="12" t="str">
        <x:f>IF(J1134="Рассчитано","Выручка "&amp;TEXT(V1134,"0.00")&amp;" - себестоимость "&amp;TEXT(W1134,"0.00")&amp;" - комиссия "&amp;TEXT(V1134*R1134/100,"0.00")&amp;" - доставка "&amp;TEXT(P1134,"0.00")&amp;" - прочие "&amp;TEXT(Q1134,"0.00")&amp;" = "&amp;TEXT(G1134,"0.00")&amp;" "&amp;L1134,"Введите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4" s="23" t="n">
        <x:v>1.5758008215553432</x:v>
      </x:c>
      <x:c r="AG1134" s="23" t="n">
        <x:v>12</x:v>
      </x:c>
      <x:c r="AH1134" s="23" t="n">
        <x:v>0</x:v>
      </x:c>
      <x:c r="AI1134" s="29" t="n">
        <x:v>46266</x:v>
      </x:c>
      <x:c r="AJ1134" s="23" t="n">
        <x:v>6</x:v>
      </x:c>
      <x:c r="AK1134" s="11" t="str">
        <x:v>минимум</x:v>
      </x:c>
      <x:c r="AL1134" s="31" t="n">
        <x:v>647.5882612082445</x:v>
      </x:c>
      <x:c r="AM113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34" s="12" t="str">
        <x:v>Проверить свободный остаток и установить цену для B2B</x:v>
      </x:c>
      <x:c r="AO1134" s="12" t="str">
        <x:v>Остаток 12; прогноз 90 дней 1.58; избыток 10.424 м. Будущие поступления не выставляются на продажу. Остаток на начало сентября: требуется актуализация.</x:v>
      </x:c>
      <x:c r="AP1134" s="12" t="str">
        <x:v>["category_missing", "daily_stockout_data_missing", "new_order_lead_time_unknown", "reservations_unknown", "stale_stock"]</x:v>
      </x:c>
      <x:c r="AQ1134" s="11" t="str">
        <x:v>IEK:280300038_</x:v>
      </x:c>
      <x:c r="AR1134" s="23" t="n">
        <x:v>0.001</x:v>
      </x:c>
      <x:c r="AS1134" s="23" t="n">
        <x:v>0</x:v>
      </x:c>
      <x:c r="AT1134" s="23" t="n">
        <x:v>0</x:v>
      </x:c>
    </x:row>
    <x:row r="1135" ht="64" customHeight="1">
      <x:c r="A1135" s="10" t="str">
        <x:v>IEK</x:v>
      </x:c>
      <x:c r="B1135" s="34" t="str">
        <x:v>280300039_</x:v>
      </x:c>
      <x:c r="C1135" s="34" t="str">
        <x:v>CLP1N-050-050</x:v>
      </x:c>
      <x:c r="D1135" s="13" t="str">
        <x:v>Поворот 90º вертикальный внешний   50х50 IEK</x:v>
      </x:c>
      <x:c r="E1135" s="10" t="str">
        <x:v>шт</x:v>
      </x:c>
      <x:c r="F1135" s="37" t="n">
        <x:f>MAX(0,ROUNDDOWN((AG1135-AF1135)/AR1135+0.000000001,0)*AR1135)</x:f>
        <x:v>8</x:v>
      </x:c>
      <x:c r="G1135" s="21" t="str">
        <x:f>IF(J1135="Рассчитано",V1135*(1-R1135/100)-W1135-P1135-Q1135,"н/д")</x:f>
        <x:v>н/д</x:v>
      </x:c>
      <x:c r="H1135" s="13" t="str">
        <x:v>Высокий</x:v>
      </x:c>
      <x:c r="I1135" s="13" t="str">
        <x:v>Высокий</x:v>
      </x:c>
      <x:c r="J1135" s="13" t="str">
        <x:f>IF(L1135="","Укажите валюту",IF(NOT(ISNUMBER(K1135)),"Укажите объём",IF(K1135&lt;=0,"Укажите объём",IF(K1135&gt;F1135,"Объём выше излишка",IF(COUNT(M1135:O1135)&lt;3,"Нужны цены",IF(COUNT(P1135:R1135)&lt;3,"Нужны расходы",IF(OR(M1135&lt;0,N1135&lt;0,O1135&lt;0,O1135&gt;100,P1135&lt;0,Q1135&lt;0,R1135&lt;0,R1135&gt;100),"Проверьте значения","Рассчитано")))))))</x:f>
        <x:v>Нужны цены</x:v>
      </x:c>
      <x:c r="K1135" s="36" t="n">
        <x:v>8</x:v>
      </x:c>
      <x:c r="L1135" s="19" t="str">
        <x:v>KZT</x:v>
      </x:c>
      <x:c r="M1135" s="22"/>
      <x:c r="N1135" s="22"/>
      <x:c r="O1135" s="28"/>
      <x:c r="P1135" s="22"/>
      <x:c r="Q1135" s="22"/>
      <x:c r="R1135" s="28"/>
      <x:c r="S1135" s="22"/>
      <x:c r="T1135" s="37" t="n">
        <x:f>K1135</x:f>
        <x:v>8</x:v>
      </x:c>
      <x:c r="U1135" s="21" t="str">
        <x:f>IF(J1135="Рассчитано",N1135*(1-O1135/100),"н/д")</x:f>
        <x:v>н/д</x:v>
      </x:c>
      <x:c r="V1135" s="21" t="str">
        <x:f>IF(J1135="Рассчитано",T1135*U1135,"н/д")</x:f>
        <x:v>н/д</x:v>
      </x:c>
      <x:c r="W1135" s="21" t="str">
        <x:f>IF(J1135="Рассчитано",T1135*M1135,"н/д")</x:f>
        <x:v>н/д</x:v>
      </x:c>
      <x:c r="X1135" s="21" t="str">
        <x:f>IF(J1135="Рассчитано",V1135-W1135,"н/д")</x:f>
        <x:v>н/д</x:v>
      </x:c>
      <x:c r="Y1135" s="27" t="str">
        <x:f>IF(J1135="Рассчитано",IF(V1135&gt;0,G1135/V1135,"н/д"),"н/д")</x:f>
        <x:v>н/д</x:v>
      </x:c>
      <x:c r="Z1135" s="21" t="str">
        <x:f>"н/д"</x:f>
        <x:v>н/д</x:v>
      </x:c>
      <x:c r="AA1135" s="21" t="str">
        <x:f>"н/д"</x:f>
        <x:v>н/д</x:v>
      </x:c>
      <x:c r="AB1135" s="21" t="str">
        <x:f>"н/д"</x:f>
        <x:v>н/д</x:v>
      </x:c>
      <x:c r="AC1135" s="21" t="str">
        <x:f>IF(AND(J1135="Рассчитано",T1135&gt;0,R1135&lt;100),(W1135+P1135+Q1135)/(T1135*(1-R1135/100)),"н/д")</x:f>
        <x:v>н/д</x:v>
      </x:c>
      <x:c r="AD1135" s="10" t="str">
        <x:f>IF(ISNUMBER(G1135),IF(G1135&lt;0,"Убыток",IF(G1135=0,"Без прибыли","Прибыль &gt; 0")),"Не оценён")</x:f>
        <x:v>Не оценён</x:v>
      </x:c>
      <x:c r="AE1135" s="13" t="str">
        <x:f>IF(J1135="Рассчитано","Выручка "&amp;TEXT(V1135,"0.00")&amp;" - себестоимость "&amp;TEXT(W1135,"0.00")&amp;" - комиссия "&amp;TEXT(V1135*R1135/100,"0.00")&amp;" - доставка "&amp;TEXT(P1135,"0.00")&amp;" - прочие "&amp;TEXT(Q1135,"0.00")&amp;" = "&amp;TEXT(G1135,"0.00")&amp;" "&amp;L1135,"Введите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5" s="24" t="n">
        <x:v>0</x:v>
      </x:c>
      <x:c r="AG1135" s="37" t="n">
        <x:v>8</x:v>
      </x:c>
      <x:c r="AH1135" s="37" t="n">
        <x:v>0</x:v>
      </x:c>
      <x:c r="AI1135" s="30" t="n">
        <x:v>46266</x:v>
      </x:c>
      <x:c r="AJ1135" s="37"/>
      <x:c r="AK1135" s="10" t="str">
        <x:v>неизвестно</x:v>
      </x:c>
      <x:c r="AL1135" s="32" t="str">
        <x:v>н/д</x:v>
      </x:c>
      <x:c r="AM1135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135" s="13" t="str">
        <x:v>Проверить свободный остаток и установить цену для B2B</x:v>
      </x:c>
      <x:c r="AO1135" s="13" t="str">
        <x:v>Остаток 8; прогноз 90 дней 0.00; избыток 8 шт. Будущие поступления не выставляются на продажу. Остаток на начало сентября: требуется актуализация.</x:v>
      </x:c>
      <x:c r="AP1135" s="13" t="str">
        <x:v>["category_missing", "daily_stockout_data_missing", "moq_missing", "new_order_lead_time_unknown", "reservations_unknown", "stale_stock"]</x:v>
      </x:c>
      <x:c r="AQ1135" s="10" t="str">
        <x:v>IEK:280300039_</x:v>
      </x:c>
      <x:c r="AR1135" s="24" t="n">
        <x:v>1</x:v>
      </x:c>
      <x:c r="AS1135" s="24" t="n">
        <x:v>0</x:v>
      </x:c>
      <x:c r="AT1135" s="24" t="n">
        <x:v>0</x:v>
      </x:c>
    </x:row>
    <x:row r="1136" ht="64" customHeight="1">
      <x:c r="A1136" s="11" t="str">
        <x:v>IEK</x:v>
      </x:c>
      <x:c r="B1136" s="33" t="str">
        <x:v>280300057_</x:v>
      </x:c>
      <x:c r="C1136" s="33" t="str">
        <x:v>CLP1V-050-200</x:v>
      </x:c>
      <x:c r="D1136" s="12" t="str">
        <x:v>Поворот 90º вертикальный внутренний  50х200 IEK</x:v>
      </x:c>
      <x:c r="E1136" s="11" t="str">
        <x:v>шт</x:v>
      </x:c>
      <x:c r="F1136" s="35" t="n">
        <x:f>MAX(0,ROUNDDOWN((AG1136-AF1136)/AR1136+0.000000001,0)*AR1136)</x:f>
        <x:v>5</x:v>
      </x:c>
      <x:c r="G1136" s="20" t="str">
        <x:f>IF(J1136="Рассчитано",V1136*(1-R1136/100)-W1136-P1136-Q1136,"н/д")</x:f>
        <x:v>н/д</x:v>
      </x:c>
      <x:c r="H1136" s="12" t="str">
        <x:v>Высокий</x:v>
      </x:c>
      <x:c r="I1136" s="12" t="str">
        <x:v>Средний</x:v>
      </x:c>
      <x:c r="J1136" s="12" t="str">
        <x:f>IF(L1136="","Укажите валюту",IF(NOT(ISNUMBER(K1136)),"Укажите объём",IF(K1136&lt;=0,"Укажите объём",IF(K1136&gt;F1136,"Объём выше излишка",IF(COUNT(M1136:O1136)&lt;3,"Нужны цены",IF(COUNT(P1136:R1136)&lt;3,"Нужны расходы",IF(OR(M1136&lt;0,N1136&lt;0,O1136&lt;0,O1136&gt;100,P1136&lt;0,Q1136&lt;0,R1136&lt;0,R1136&gt;100),"Проверьте значения","Рассчитано")))))))</x:f>
        <x:v>Нужны цены</x:v>
      </x:c>
      <x:c r="K1136" s="36" t="n">
        <x:v>5</x:v>
      </x:c>
      <x:c r="L1136" s="19" t="str">
        <x:v>KZT</x:v>
      </x:c>
      <x:c r="M1136" s="22"/>
      <x:c r="N1136" s="22"/>
      <x:c r="O1136" s="28"/>
      <x:c r="P1136" s="22"/>
      <x:c r="Q1136" s="22"/>
      <x:c r="R1136" s="28"/>
      <x:c r="S1136" s="22"/>
      <x:c r="T1136" s="35" t="n">
        <x:f>K1136</x:f>
        <x:v>5</x:v>
      </x:c>
      <x:c r="U1136" s="20" t="str">
        <x:f>IF(J1136="Рассчитано",N1136*(1-O1136/100),"н/д")</x:f>
        <x:v>н/д</x:v>
      </x:c>
      <x:c r="V1136" s="20" t="str">
        <x:f>IF(J1136="Рассчитано",T1136*U1136,"н/д")</x:f>
        <x:v>н/д</x:v>
      </x:c>
      <x:c r="W1136" s="20" t="str">
        <x:f>IF(J1136="Рассчитано",T1136*M1136,"н/д")</x:f>
        <x:v>н/д</x:v>
      </x:c>
      <x:c r="X1136" s="20" t="str">
        <x:f>IF(J1136="Рассчитано",V1136-W1136,"н/д")</x:f>
        <x:v>н/д</x:v>
      </x:c>
      <x:c r="Y1136" s="26" t="str">
        <x:f>IF(J1136="Рассчитано",IF(V1136&gt;0,G1136/V1136,"н/д"),"н/д")</x:f>
        <x:v>н/д</x:v>
      </x:c>
      <x:c r="Z1136" s="20" t="str">
        <x:f>"н/д"</x:f>
        <x:v>н/д</x:v>
      </x:c>
      <x:c r="AA1136" s="20" t="str">
        <x:f>"н/д"</x:f>
        <x:v>н/д</x:v>
      </x:c>
      <x:c r="AB1136" s="20" t="str">
        <x:f>"н/д"</x:f>
        <x:v>н/д</x:v>
      </x:c>
      <x:c r="AC1136" s="20" t="str">
        <x:f>IF(AND(J1136="Рассчитано",T1136&gt;0,R1136&lt;100),(W1136+P1136+Q1136)/(T1136*(1-R1136/100)),"н/д")</x:f>
        <x:v>н/д</x:v>
      </x:c>
      <x:c r="AD1136" s="11" t="str">
        <x:f>IF(ISNUMBER(G1136),IF(G1136&lt;0,"Убыток",IF(G1136=0,"Без прибыли","Прибыль &gt; 0")),"Не оценён")</x:f>
        <x:v>Не оценён</x:v>
      </x:c>
      <x:c r="AE1136" s="12" t="str">
        <x:f>IF(J1136="Рассчитано","Выручка "&amp;TEXT(V1136,"0.00")&amp;" - себестоимость "&amp;TEXT(W1136,"0.00")&amp;" - комиссия "&amp;TEXT(V1136*R1136/100,"0.00")&amp;" - доставка "&amp;TEXT(P1136,"0.00")&amp;" - прочие "&amp;TEXT(Q1136,"0.00")&amp;" = "&amp;TEXT(G1136,"0.00")&amp;" "&amp;L1136,"Введите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6" s="23" t="n">
        <x:v>4.793882117126779</x:v>
      </x:c>
      <x:c r="AG1136" s="35" t="n">
        <x:v>10</x:v>
      </x:c>
      <x:c r="AH1136" s="35" t="n">
        <x:v>0</x:v>
      </x:c>
      <x:c r="AI1136" s="29" t="n">
        <x:v>46266</x:v>
      </x:c>
      <x:c r="AJ1136" s="35" t="n">
        <x:v>1</x:v>
      </x:c>
      <x:c r="AK1136" s="11" t="str">
        <x:v>минимум</x:v>
      </x:c>
      <x:c r="AL1136" s="31" t="n">
        <x:v>177.39104569617047</x:v>
      </x:c>
      <x:c r="AM1136" s="12" t="str">
        <x:v>Остаток на начало сентября; Резервы неизвестны; Нет ежедневных данных доступности. Запас выше прогноза на 90 дней</x:v>
      </x:c>
      <x:c r="AN1136" s="12" t="str">
        <x:v>Проверить свободный остаток и установить цену для B2B</x:v>
      </x:c>
      <x:c r="AO1136" s="12" t="str">
        <x:v>Остаток 10; прогноз 90 дней 4.79; избыток 5 шт. Будущие поступления не выставляются на продажу. Остаток на начало сентября: требуется актуализация.</x:v>
      </x:c>
      <x:c r="AP1136" s="12" t="str">
        <x:v>["category_missing", "daily_stockout_data_missing", "new_order_lead_time_unknown", "reservations_unknown", "stale_stock"]</x:v>
      </x:c>
      <x:c r="AQ1136" s="11" t="str">
        <x:v>IEK:280300057_</x:v>
      </x:c>
      <x:c r="AR1136" s="23" t="n">
        <x:v>1</x:v>
      </x:c>
      <x:c r="AS1136" s="23" t="n">
        <x:v>0</x:v>
      </x:c>
      <x:c r="AT1136" s="23" t="n">
        <x:v>0</x:v>
      </x:c>
    </x:row>
    <x:row r="1137" ht="64" customHeight="1">
      <x:c r="A1137" s="10" t="str">
        <x:v>IEK</x:v>
      </x:c>
      <x:c r="B1137" s="34" t="str">
        <x:v>280300082_</x:v>
      </x:c>
      <x:c r="C1137" s="34" t="str">
        <x:v>CLP1CW-300-1</x:v>
      </x:c>
      <x:c r="D1137" s="13" t="str">
        <x:v>Кронштейн настенный осн.300мм IEK</x:v>
      </x:c>
      <x:c r="E1137" s="10" t="str">
        <x:v>шт</x:v>
      </x:c>
      <x:c r="F1137" s="37" t="n">
        <x:f>MAX(0,ROUNDDOWN((AG1137-AF1137)/AR1137+0.000000001,0)*AR1137)</x:f>
        <x:v>28</x:v>
      </x:c>
      <x:c r="G1137" s="21" t="str">
        <x:f>IF(J1137="Рассчитано",V1137*(1-R1137/100)-W1137-P1137-Q1137,"н/д")</x:f>
        <x:v>н/д</x:v>
      </x:c>
      <x:c r="H1137" s="13" t="str">
        <x:v>Высокий</x:v>
      </x:c>
      <x:c r="I1137" s="13" t="str">
        <x:v>Средний</x:v>
      </x:c>
      <x:c r="J1137" s="13" t="str">
        <x:f>IF(L1137="","Укажите валюту",IF(NOT(ISNUMBER(K1137)),"Укажите объём",IF(K1137&lt;=0,"Укажите объём",IF(K1137&gt;F1137,"Объём выше излишка",IF(COUNT(M1137:O1137)&lt;3,"Нужны цены",IF(COUNT(P1137:R1137)&lt;3,"Нужны расходы",IF(OR(M1137&lt;0,N1137&lt;0,O1137&lt;0,O1137&gt;100,P1137&lt;0,Q1137&lt;0,R1137&lt;0,R1137&gt;100),"Проверьте значения","Рассчитано")))))))</x:f>
        <x:v>Нужны цены</x:v>
      </x:c>
      <x:c r="K1137" s="36" t="n">
        <x:v>28</x:v>
      </x:c>
      <x:c r="L1137" s="19" t="str">
        <x:v>KZT</x:v>
      </x:c>
      <x:c r="M1137" s="22"/>
      <x:c r="N1137" s="22"/>
      <x:c r="O1137" s="28"/>
      <x:c r="P1137" s="22"/>
      <x:c r="Q1137" s="22"/>
      <x:c r="R1137" s="28"/>
      <x:c r="S1137" s="22"/>
      <x:c r="T1137" s="37" t="n">
        <x:f>K1137</x:f>
        <x:v>28</x:v>
      </x:c>
      <x:c r="U1137" s="21" t="str">
        <x:f>IF(J1137="Рассчитано",N1137*(1-O1137/100),"н/д")</x:f>
        <x:v>н/д</x:v>
      </x:c>
      <x:c r="V1137" s="21" t="str">
        <x:f>IF(J1137="Рассчитано",T1137*U1137,"н/д")</x:f>
        <x:v>н/д</x:v>
      </x:c>
      <x:c r="W1137" s="21" t="str">
        <x:f>IF(J1137="Рассчитано",T1137*M1137,"н/д")</x:f>
        <x:v>н/д</x:v>
      </x:c>
      <x:c r="X1137" s="21" t="str">
        <x:f>IF(J1137="Рассчитано",V1137-W1137,"н/д")</x:f>
        <x:v>н/д</x:v>
      </x:c>
      <x:c r="Y1137" s="27" t="str">
        <x:f>IF(J1137="Рассчитано",IF(V1137&gt;0,G1137/V1137,"н/д"),"н/д")</x:f>
        <x:v>н/д</x:v>
      </x:c>
      <x:c r="Z1137" s="21" t="str">
        <x:f>"н/д"</x:f>
        <x:v>н/д</x:v>
      </x:c>
      <x:c r="AA1137" s="21" t="str">
        <x:f>"н/д"</x:f>
        <x:v>н/д</x:v>
      </x:c>
      <x:c r="AB1137" s="21" t="str">
        <x:f>"н/д"</x:f>
        <x:v>н/д</x:v>
      </x:c>
      <x:c r="AC1137" s="21" t="str">
        <x:f>IF(AND(J1137="Рассчитано",T1137&gt;0,R1137&lt;100),(W1137+P1137+Q1137)/(T1137*(1-R1137/100)),"н/д")</x:f>
        <x:v>н/д</x:v>
      </x:c>
      <x:c r="AD1137" s="10" t="str">
        <x:f>IF(ISNUMBER(G1137),IF(G1137&lt;0,"Убыток",IF(G1137=0,"Без прибыли","Прибыль &gt; 0")),"Не оценён")</x:f>
        <x:v>Не оценён</x:v>
      </x:c>
      <x:c r="AE1137" s="13" t="str">
        <x:f>IF(J1137="Рассчитано","Выручка "&amp;TEXT(V1137,"0.00")&amp;" - себестоимость "&amp;TEXT(W1137,"0.00")&amp;" - комиссия "&amp;TEXT(V1137*R1137/100,"0.00")&amp;" - доставка "&amp;TEXT(P1137,"0.00")&amp;" - прочие "&amp;TEXT(Q1137,"0.00")&amp;" = "&amp;TEXT(G1137,"0.00")&amp;" "&amp;L1137,"Введите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7" s="24" t="n">
        <x:v>33.66782480950556</x:v>
      </x:c>
      <x:c r="AG1137" s="37" t="n">
        <x:v>62</x:v>
      </x:c>
      <x:c r="AH1137" s="37" t="n">
        <x:v>0</x:v>
      </x:c>
      <x:c r="AI1137" s="30" t="n">
        <x:v>46266</x:v>
      </x:c>
      <x:c r="AJ1137" s="37" t="n">
        <x:v>4</x:v>
      </x:c>
      <x:c r="AK1137" s="10" t="str">
        <x:v>минимум</x:v>
      </x:c>
      <x:c r="AL1137" s="32" t="n">
        <x:v>156.6014125468368</x:v>
      </x:c>
      <x:c r="AM1137" s="13" t="str">
        <x:v>Остаток на начало сентября; Резервы неизвестны; Нет ежедневных данных доступности. Запас выше прогноза на 90 дней</x:v>
      </x:c>
      <x:c r="AN1137" s="13" t="str">
        <x:v>Проверить свободный остаток и установить цену для B2B</x:v>
      </x:c>
      <x:c r="AO1137" s="13" t="str">
        <x:v>Остаток 62; прогноз 90 дней 33.67; избыток 28 шт. Будущие поступления не выставляются на продажу. Остаток на начало сентября: требуется актуализация.</x:v>
      </x:c>
      <x:c r="AP1137" s="13" t="str">
        <x:v>["category_missing", "daily_stockout_data_missing", "large_orders_detected", "new_order_lead_time_unknown", "reservations_unknown", "stale_stock"]</x:v>
      </x:c>
      <x:c r="AQ1137" s="10" t="str">
        <x:v>IEK:280300082_</x:v>
      </x:c>
      <x:c r="AR1137" s="24" t="n">
        <x:v>1</x:v>
      </x:c>
      <x:c r="AS1137" s="24" t="n">
        <x:v>0</x:v>
      </x:c>
      <x:c r="AT1137" s="24" t="n">
        <x:v>0</x:v>
      </x:c>
    </x:row>
    <x:row r="1138" ht="64" customHeight="1">
      <x:c r="A1138" s="11" t="str">
        <x:v>IEK</x:v>
      </x:c>
      <x:c r="B1138" s="33" t="str">
        <x:v>280300083_</x:v>
      </x:c>
      <x:c r="C1138" s="33" t="str">
        <x:v>CLWG10-060-060-3</x:v>
      </x:c>
      <x:c r="D1138" s="12" t="str">
        <x:v>Лоток проволочный (50х80х3000) IEK (6)</x:v>
      </x:c>
      <x:c r="E1138" s="11" t="str">
        <x:v>м</x:v>
      </x:c>
      <x:c r="F1138" s="23" t="n">
        <x:f>MAX(0,ROUNDDOWN((AG1138-AF1138)/AR1138+0.000000001,0)*AR1138)</x:f>
        <x:v>19.580000000000002</x:v>
      </x:c>
      <x:c r="G1138" s="20" t="str">
        <x:f>IF(J1138="Рассчитано",V1138*(1-R1138/100)-W1138-P1138-Q1138,"н/д")</x:f>
        <x:v>н/д</x:v>
      </x:c>
      <x:c r="H1138" s="12" t="str">
        <x:v>Высокий</x:v>
      </x:c>
      <x:c r="I1138" s="12" t="str">
        <x:v>Средний</x:v>
      </x:c>
      <x:c r="J1138" s="12" t="str">
        <x:f>IF(L1138="","Укажите валюту",IF(NOT(ISNUMBER(K1138)),"Укажите объём",IF(K1138&lt;=0,"Укажите объём",IF(K1138&gt;F1138,"Объём выше излишка",IF(COUNT(M1138:O1138)&lt;3,"Нужны цены",IF(COUNT(P1138:R1138)&lt;3,"Нужны расходы",IF(OR(M1138&lt;0,N1138&lt;0,O1138&lt;0,O1138&gt;100,P1138&lt;0,Q1138&lt;0,R1138&lt;0,R1138&gt;100),"Проверьте значения","Рассчитано")))))))</x:f>
        <x:v>Нужны цены</x:v>
      </x:c>
      <x:c r="K1138" s="25" t="n">
        <x:v>19.580000000000002</x:v>
      </x:c>
      <x:c r="L1138" s="19" t="str">
        <x:v>KZT</x:v>
      </x:c>
      <x:c r="M1138" s="22"/>
      <x:c r="N1138" s="22"/>
      <x:c r="O1138" s="28"/>
      <x:c r="P1138" s="22"/>
      <x:c r="Q1138" s="22"/>
      <x:c r="R1138" s="28"/>
      <x:c r="S1138" s="22"/>
      <x:c r="T1138" s="23" t="n">
        <x:f>K1138</x:f>
        <x:v>19.580000000000002</x:v>
      </x:c>
      <x:c r="U1138" s="20" t="str">
        <x:f>IF(J1138="Рассчитано",N1138*(1-O1138/100),"н/д")</x:f>
        <x:v>н/д</x:v>
      </x:c>
      <x:c r="V1138" s="20" t="str">
        <x:f>IF(J1138="Рассчитано",T1138*U1138,"н/д")</x:f>
        <x:v>н/д</x:v>
      </x:c>
      <x:c r="W1138" s="20" t="str">
        <x:f>IF(J1138="Рассчитано",T1138*M1138,"н/д")</x:f>
        <x:v>н/д</x:v>
      </x:c>
      <x:c r="X1138" s="20" t="str">
        <x:f>IF(J1138="Рассчитано",V1138-W1138,"н/д")</x:f>
        <x:v>н/д</x:v>
      </x:c>
      <x:c r="Y1138" s="26" t="str">
        <x:f>IF(J1138="Рассчитано",IF(V1138&gt;0,G1138/V1138,"н/д"),"н/д")</x:f>
        <x:v>н/д</x:v>
      </x:c>
      <x:c r="Z1138" s="20" t="str">
        <x:f>"н/д"</x:f>
        <x:v>н/д</x:v>
      </x:c>
      <x:c r="AA1138" s="20" t="str">
        <x:f>"н/д"</x:f>
        <x:v>н/д</x:v>
      </x:c>
      <x:c r="AB1138" s="20" t="str">
        <x:f>"н/д"</x:f>
        <x:v>н/д</x:v>
      </x:c>
      <x:c r="AC1138" s="20" t="str">
        <x:f>IF(AND(J1138="Рассчитано",T1138&gt;0,R1138&lt;100),(W1138+P1138+Q1138)/(T1138*(1-R1138/100)),"н/д")</x:f>
        <x:v>н/д</x:v>
      </x:c>
      <x:c r="AD1138" s="11" t="str">
        <x:f>IF(ISNUMBER(G1138),IF(G1138&lt;0,"Убыток",IF(G1138=0,"Без прибыли","Прибыль &gt; 0")),"Не оценён")</x:f>
        <x:v>Не оценён</x:v>
      </x:c>
      <x:c r="AE1138" s="12" t="str">
        <x:f>IF(J1138="Рассчитано","Выручка "&amp;TEXT(V1138,"0.00")&amp;" - себестоимость "&amp;TEXT(W1138,"0.00")&amp;" - комиссия "&amp;TEXT(V1138*R1138/100,"0.00")&amp;" - доставка "&amp;TEXT(P1138,"0.00")&amp;" - прочие "&amp;TEXT(Q1138,"0.00")&amp;" = "&amp;TEXT(G1138,"0.00")&amp;" "&amp;L1138,"Введите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8" s="23" t="n">
        <x:v>70.41970391297484</x:v>
      </x:c>
      <x:c r="AG1138" s="23" t="n">
        <x:v>90</x:v>
      </x:c>
      <x:c r="AH1138" s="23" t="n">
        <x:v>0</x:v>
      </x:c>
      <x:c r="AI1138" s="29" t="n">
        <x:v>46266</x:v>
      </x:c>
      <x:c r="AJ1138" s="23" t="n">
        <x:v>18</x:v>
      </x:c>
      <x:c r="AK1138" s="11" t="str">
        <x:v>минимум</x:v>
      </x:c>
      <x:c r="AL1138" s="31" t="n">
        <x:v>108.68443674187976</x:v>
      </x:c>
      <x:c r="AM1138" s="12" t="str">
        <x:v>Остаток на начало сентября; Резервы неизвестны; Нет ежедневных данных доступности. Запас выше прогноза на 90 дней</x:v>
      </x:c>
      <x:c r="AN1138" s="12" t="str">
        <x:v>Проверить свободный остаток и установить цену для B2B</x:v>
      </x:c>
      <x:c r="AO1138" s="12" t="str">
        <x:v>Остаток 90; прогноз 90 дней 70.42; избыток 19.58 м. Будущие поступления не выставляются на продажу. Остаток на начало сентября: требуется актуализация.</x:v>
      </x:c>
      <x:c r="AP1138" s="12" t="str">
        <x:v>["category_missing", "daily_stockout_data_missing", "new_order_lead_time_unknown", "reservations_unknown", "stale_stock"]</x:v>
      </x:c>
      <x:c r="AQ1138" s="11" t="str">
        <x:v>IEK:280300083_</x:v>
      </x:c>
      <x:c r="AR1138" s="23" t="n">
        <x:v>0.001</x:v>
      </x:c>
      <x:c r="AS1138" s="23" t="n">
        <x:v>0</x:v>
      </x:c>
      <x:c r="AT1138" s="23" t="n">
        <x:v>0</x:v>
      </x:c>
    </x:row>
    <x:row r="1139" ht="64" customHeight="1">
      <x:c r="A1139" s="10" t="str">
        <x:v>IEK</x:v>
      </x:c>
      <x:c r="B1139" s="34" t="str">
        <x:v>280300085_</x:v>
      </x:c>
      <x:c r="C1139" s="34" t="str">
        <x:v>CLWG10-060-200-3</x:v>
      </x:c>
      <x:c r="D1139" s="13" t="str">
        <x:v>Лоток проволочный (60х200х3000) IEK (6)</x:v>
      </x:c>
      <x:c r="E1139" s="10" t="str">
        <x:v>м</x:v>
      </x:c>
      <x:c r="F1139" s="24" t="n">
        <x:f>MAX(0,ROUNDDOWN((AG1139-AF1139)/AR1139+0.000000001,0)*AR1139)</x:f>
        <x:v>176.726</x:v>
      </x:c>
      <x:c r="G1139" s="21" t="str">
        <x:f>IF(J1139="Рассчитано",V1139*(1-R1139/100)-W1139-P1139-Q1139,"н/д")</x:f>
        <x:v>н/д</x:v>
      </x:c>
      <x:c r="H1139" s="13" t="str">
        <x:v>Высокий</x:v>
      </x:c>
      <x:c r="I1139" s="13" t="str">
        <x:v>Средний</x:v>
      </x:c>
      <x:c r="J1139" s="13" t="str">
        <x:f>IF(L1139="","Укажите валюту",IF(NOT(ISNUMBER(K1139)),"Укажите объём",IF(K1139&lt;=0,"Укажите объём",IF(K1139&gt;F1139,"Объём выше излишка",IF(COUNT(M1139:O1139)&lt;3,"Нужны цены",IF(COUNT(P1139:R1139)&lt;3,"Нужны расходы",IF(OR(M1139&lt;0,N1139&lt;0,O1139&lt;0,O1139&gt;100,P1139&lt;0,Q1139&lt;0,R1139&lt;0,R1139&gt;100),"Проверьте значения","Рассчитано")))))))</x:f>
        <x:v>Нужны цены</x:v>
      </x:c>
      <x:c r="K1139" s="25" t="n">
        <x:v>176.726</x:v>
      </x:c>
      <x:c r="L1139" s="19" t="str">
        <x:v>KZT</x:v>
      </x:c>
      <x:c r="M1139" s="22"/>
      <x:c r="N1139" s="22"/>
      <x:c r="O1139" s="28"/>
      <x:c r="P1139" s="22"/>
      <x:c r="Q1139" s="22"/>
      <x:c r="R1139" s="28"/>
      <x:c r="S1139" s="22"/>
      <x:c r="T1139" s="24" t="n">
        <x:f>K1139</x:f>
        <x:v>176.726</x:v>
      </x:c>
      <x:c r="U1139" s="21" t="str">
        <x:f>IF(J1139="Рассчитано",N1139*(1-O1139/100),"н/д")</x:f>
        <x:v>н/д</x:v>
      </x:c>
      <x:c r="V1139" s="21" t="str">
        <x:f>IF(J1139="Рассчитано",T1139*U1139,"н/д")</x:f>
        <x:v>н/д</x:v>
      </x:c>
      <x:c r="W1139" s="21" t="str">
        <x:f>IF(J1139="Рассчитано",T1139*M1139,"н/д")</x:f>
        <x:v>н/д</x:v>
      </x:c>
      <x:c r="X1139" s="21" t="str">
        <x:f>IF(J1139="Рассчитано",V1139-W1139,"н/д")</x:f>
        <x:v>н/д</x:v>
      </x:c>
      <x:c r="Y1139" s="27" t="str">
        <x:f>IF(J1139="Рассчитано",IF(V1139&gt;0,G1139/V1139,"н/д"),"н/д")</x:f>
        <x:v>н/д</x:v>
      </x:c>
      <x:c r="Z1139" s="21" t="str">
        <x:f>"н/д"</x:f>
        <x:v>н/д</x:v>
      </x:c>
      <x:c r="AA1139" s="21" t="str">
        <x:f>"н/д"</x:f>
        <x:v>н/д</x:v>
      </x:c>
      <x:c r="AB1139" s="21" t="str">
        <x:f>"н/д"</x:f>
        <x:v>н/д</x:v>
      </x:c>
      <x:c r="AC1139" s="21" t="str">
        <x:f>IF(AND(J1139="Рассчитано",T1139&gt;0,R1139&lt;100),(W1139+P1139+Q1139)/(T1139*(1-R1139/100)),"н/д")</x:f>
        <x:v>н/д</x:v>
      </x:c>
      <x:c r="AD1139" s="10" t="str">
        <x:f>IF(ISNUMBER(G1139),IF(G1139&lt;0,"Убыток",IF(G1139=0,"Без прибыли","Прибыль &gt; 0")),"Не оценён")</x:f>
        <x:v>Не оценён</x:v>
      </x:c>
      <x:c r="AE1139" s="13" t="str">
        <x:f>IF(J1139="Рассчитано","Выручка "&amp;TEXT(V1139,"0.00")&amp;" - себестоимость "&amp;TEXT(W1139,"0.00")&amp;" - комиссия "&amp;TEXT(V1139*R1139/100,"0.00")&amp;" - доставка "&amp;TEXT(P1139,"0.00")&amp;" - прочие "&amp;TEXT(Q1139,"0.00")&amp;" = "&amp;TEXT(G1139,"0.00")&amp;" "&amp;L1139,"Введите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9" s="24" t="n">
        <x:v>390.27353806393717</x:v>
      </x:c>
      <x:c r="AG1139" s="24" t="n">
        <x:v>567</x:v>
      </x:c>
      <x:c r="AH1139" s="24" t="n">
        <x:v>0</x:v>
      </x:c>
      <x:c r="AI1139" s="30" t="n">
        <x:v>46266</x:v>
      </x:c>
      <x:c r="AJ1139" s="24" t="n">
        <x:v>6</x:v>
      </x:c>
      <x:c r="AK1139" s="10" t="str">
        <x:v>минимум</x:v>
      </x:c>
      <x:c r="AL1139" s="32" t="n">
        <x:v>123.54722569113532</x:v>
      </x:c>
      <x:c r="AM1139" s="13" t="str">
        <x:v>Остаток на начало сентября; Резервы неизвестны; Нет ежедневных данных доступности. Запас выше прогноза на 90 дней</x:v>
      </x:c>
      <x:c r="AN1139" s="13" t="str">
        <x:v>Проверить свободный остаток и установить цену для B2B</x:v>
      </x:c>
      <x:c r="AO1139" s="13" t="str">
        <x:v>Остаток 567; прогноз 90 дней 390.27; избыток 176.726 м. Будущие поступления не выставляются на продажу. Остаток на начало сентября: требуется актуализация.</x:v>
      </x:c>
      <x:c r="AP1139" s="13" t="str">
        <x:v>["category_missing", "daily_stockout_data_missing", "new_order_lead_time_unknown", "reservations_unknown", "stale_stock"]</x:v>
      </x:c>
      <x:c r="AQ1139" s="10" t="str">
        <x:v>IEK:280300085_</x:v>
      </x:c>
      <x:c r="AR1139" s="24" t="n">
        <x:v>0.001</x:v>
      </x:c>
      <x:c r="AS1139" s="24" t="n">
        <x:v>0</x:v>
      </x:c>
      <x:c r="AT1139" s="24" t="n">
        <x:v>0</x:v>
      </x:c>
    </x:row>
    <x:row r="1140" ht="64" customHeight="1">
      <x:c r="A1140" s="11" t="str">
        <x:v>IEK</x:v>
      </x:c>
      <x:c r="B1140" s="33" t="str">
        <x:v>280300086_</x:v>
      </x:c>
      <x:c r="C1140" s="33" t="str">
        <x:v>CLP10-050-050-3</x:v>
      </x:c>
      <x:c r="D1140" s="12" t="str">
        <x:v>Лоток перфорированный (50 х50х3000) (0,7 мм) IEK (6)</x:v>
      </x:c>
      <x:c r="E1140" s="11" t="str">
        <x:v>м</x:v>
      </x:c>
      <x:c r="F1140" s="23" t="n">
        <x:f>MAX(0,ROUNDDOWN((AG1140-AF1140)/AR1140+0.000000001,0)*AR1140)</x:f>
        <x:v>409.258</x:v>
      </x:c>
      <x:c r="G1140" s="20" t="str">
        <x:f>IF(J1140="Рассчитано",V1140*(1-R1140/100)-W1140-P1140-Q1140,"н/д")</x:f>
        <x:v>н/д</x:v>
      </x:c>
      <x:c r="H1140" s="12" t="str">
        <x:v>Высокий</x:v>
      </x:c>
      <x:c r="I1140" s="12" t="str">
        <x:v>Высокий</x:v>
      </x:c>
      <x:c r="J1140" s="12" t="str">
        <x:f>IF(L1140="","Укажите валюту",IF(NOT(ISNUMBER(K1140)),"Укажите объём",IF(K1140&lt;=0,"Укажите объём",IF(K1140&gt;F1140,"Объём выше излишка",IF(COUNT(M1140:O1140)&lt;3,"Нужны цены",IF(COUNT(P1140:R1140)&lt;3,"Нужны расходы",IF(OR(M1140&lt;0,N1140&lt;0,O1140&lt;0,O1140&gt;100,P1140&lt;0,Q1140&lt;0,R1140&lt;0,R1140&gt;100),"Проверьте значения","Рассчитано")))))))</x:f>
        <x:v>Нужны цены</x:v>
      </x:c>
      <x:c r="K1140" s="25" t="n">
        <x:v>409.258</x:v>
      </x:c>
      <x:c r="L1140" s="19" t="str">
        <x:v>KZT</x:v>
      </x:c>
      <x:c r="M1140" s="22"/>
      <x:c r="N1140" s="22"/>
      <x:c r="O1140" s="28"/>
      <x:c r="P1140" s="22"/>
      <x:c r="Q1140" s="22"/>
      <x:c r="R1140" s="28"/>
      <x:c r="S1140" s="22"/>
      <x:c r="T1140" s="23" t="n">
        <x:f>K1140</x:f>
        <x:v>409.258</x:v>
      </x:c>
      <x:c r="U1140" s="20" t="str">
        <x:f>IF(J1140="Рассчитано",N1140*(1-O1140/100),"н/д")</x:f>
        <x:v>н/д</x:v>
      </x:c>
      <x:c r="V1140" s="20" t="str">
        <x:f>IF(J1140="Рассчитано",T1140*U1140,"н/д")</x:f>
        <x:v>н/д</x:v>
      </x:c>
      <x:c r="W1140" s="20" t="str">
        <x:f>IF(J1140="Рассчитано",T1140*M1140,"н/д")</x:f>
        <x:v>н/д</x:v>
      </x:c>
      <x:c r="X1140" s="20" t="str">
        <x:f>IF(J1140="Рассчитано",V1140-W1140,"н/д")</x:f>
        <x:v>н/д</x:v>
      </x:c>
      <x:c r="Y1140" s="26" t="str">
        <x:f>IF(J1140="Рассчитано",IF(V1140&gt;0,G1140/V1140,"н/д"),"н/д")</x:f>
        <x:v>н/д</x:v>
      </x:c>
      <x:c r="Z1140" s="20" t="str">
        <x:f>"н/д"</x:f>
        <x:v>н/д</x:v>
      </x:c>
      <x:c r="AA1140" s="20" t="str">
        <x:f>"н/д"</x:f>
        <x:v>н/д</x:v>
      </x:c>
      <x:c r="AB1140" s="20" t="str">
        <x:f>"н/д"</x:f>
        <x:v>н/д</x:v>
      </x:c>
      <x:c r="AC1140" s="20" t="str">
        <x:f>IF(AND(J1140="Рассчитано",T1140&gt;0,R1140&lt;100),(W1140+P1140+Q1140)/(T1140*(1-R1140/100)),"н/д")</x:f>
        <x:v>н/д</x:v>
      </x:c>
      <x:c r="AD1140" s="11" t="str">
        <x:f>IF(ISNUMBER(G1140),IF(G1140&lt;0,"Убыток",IF(G1140=0,"Без прибыли","Прибыль &gt; 0")),"Не оценён")</x:f>
        <x:v>Не оценён</x:v>
      </x:c>
      <x:c r="AE1140" s="12" t="str">
        <x:f>IF(J1140="Рассчитано","Выручка "&amp;TEXT(V1140,"0.00")&amp;" - себестоимость "&amp;TEXT(W1140,"0.00")&amp;" - комиссия "&amp;TEXT(V1140*R1140/100,"0.00")&amp;" - доставка "&amp;TEXT(P1140,"0.00")&amp;" - прочие "&amp;TEXT(Q1140,"0.00")&amp;" = "&amp;TEXT(G1140,"0.00")&amp;" "&amp;L1140,"Введите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0" s="23" t="n">
        <x:v>316.7410968313184</x:v>
      </x:c>
      <x:c r="AG1140" s="23" t="n">
        <x:v>726</x:v>
      </x:c>
      <x:c r="AH1140" s="23" t="n">
        <x:v>0</x:v>
      </x:c>
      <x:c r="AI1140" s="29" t="n">
        <x:v>46266</x:v>
      </x:c>
      <x:c r="AJ1140" s="23" t="n">
        <x:v>18</x:v>
      </x:c>
      <x:c r="AK1140" s="11" t="str">
        <x:v>минимум</x:v>
      </x:c>
      <x:c r="AL1140" s="31" t="n">
        <x:v>194.9176867705069</x:v>
      </x:c>
      <x:c r="AM1140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40" s="12" t="str">
        <x:v>Проверить свободный остаток и установить цену для B2B</x:v>
      </x:c>
      <x:c r="AO1140" s="12" t="str">
        <x:v>Остаток 726; прогноз 90 дней 316.74; избыток 409.258 м. Будущие поступления не выставляются на продажу. Остаток на начало сентября: требуется актуализация.</x:v>
      </x:c>
      <x:c r="AP1140" s="12" t="str">
        <x:v>["category_missing", "daily_stockout_data_missing", "large_orders_detected", "new_order_lead_time_unknown", "reservations_unknown", "stale_stock", "transaction_month_mismatch"]</x:v>
      </x:c>
      <x:c r="AQ1140" s="11" t="str">
        <x:v>IEK:280300086_</x:v>
      </x:c>
      <x:c r="AR1140" s="23" t="n">
        <x:v>0.001</x:v>
      </x:c>
      <x:c r="AS1140" s="23" t="n">
        <x:v>0</x:v>
      </x:c>
      <x:c r="AT1140" s="23" t="n">
        <x:v>0</x:v>
      </x:c>
    </x:row>
    <x:row r="1141" ht="64" customHeight="1">
      <x:c r="A1141" s="10" t="str">
        <x:v>IEK</x:v>
      </x:c>
      <x:c r="B1141" s="34" t="str">
        <x:v>280300092_</x:v>
      </x:c>
      <x:c r="C1141" s="34" t="str">
        <x:v>CLW10-VH-200</x:v>
      </x:c>
      <x:c r="D1141" s="13" t="str">
        <x:v>Держатель горизонтальный VH200 IEK (20)</x:v>
      </x:c>
      <x:c r="E1141" s="10" t="str">
        <x:v>шт</x:v>
      </x:c>
      <x:c r="F1141" s="37" t="n">
        <x:f>MAX(0,ROUNDDOWN((AG1141-AF1141)/AR1141+0.000000001,0)*AR1141)</x:f>
        <x:v>29</x:v>
      </x:c>
      <x:c r="G1141" s="21" t="str">
        <x:f>IF(J1141="Рассчитано",V1141*(1-R1141/100)-W1141-P1141-Q1141,"н/д")</x:f>
        <x:v>н/д</x:v>
      </x:c>
      <x:c r="H1141" s="13" t="str">
        <x:v>Высокий</x:v>
      </x:c>
      <x:c r="I1141" s="13" t="str">
        <x:v>Средний</x:v>
      </x:c>
      <x:c r="J1141" s="13" t="str">
        <x:f>IF(L1141="","Укажите валюту",IF(NOT(ISNUMBER(K1141)),"Укажите объём",IF(K1141&lt;=0,"Укажите объём",IF(K1141&gt;F1141,"Объём выше излишка",IF(COUNT(M1141:O1141)&lt;3,"Нужны цены",IF(COUNT(P1141:R1141)&lt;3,"Нужны расходы",IF(OR(M1141&lt;0,N1141&lt;0,O1141&lt;0,O1141&gt;100,P1141&lt;0,Q1141&lt;0,R1141&lt;0,R1141&gt;100),"Проверьте значения","Рассчитано")))))))</x:f>
        <x:v>Нужны цены</x:v>
      </x:c>
      <x:c r="K1141" s="36" t="n">
        <x:v>29</x:v>
      </x:c>
      <x:c r="L1141" s="19" t="str">
        <x:v>KZT</x:v>
      </x:c>
      <x:c r="M1141" s="22"/>
      <x:c r="N1141" s="22"/>
      <x:c r="O1141" s="28"/>
      <x:c r="P1141" s="22"/>
      <x:c r="Q1141" s="22"/>
      <x:c r="R1141" s="28"/>
      <x:c r="S1141" s="22"/>
      <x:c r="T1141" s="37" t="n">
        <x:f>K1141</x:f>
        <x:v>29</x:v>
      </x:c>
      <x:c r="U1141" s="21" t="str">
        <x:f>IF(J1141="Рассчитано",N1141*(1-O1141/100),"н/д")</x:f>
        <x:v>н/д</x:v>
      </x:c>
      <x:c r="V1141" s="21" t="str">
        <x:f>IF(J1141="Рассчитано",T1141*U1141,"н/д")</x:f>
        <x:v>н/д</x:v>
      </x:c>
      <x:c r="W1141" s="21" t="str">
        <x:f>IF(J1141="Рассчитано",T1141*M1141,"н/д")</x:f>
        <x:v>н/д</x:v>
      </x:c>
      <x:c r="X1141" s="21" t="str">
        <x:f>IF(J1141="Рассчитано",V1141-W1141,"н/д")</x:f>
        <x:v>н/д</x:v>
      </x:c>
      <x:c r="Y1141" s="27" t="str">
        <x:f>IF(J1141="Рассчитано",IF(V1141&gt;0,G1141/V1141,"н/д"),"н/д")</x:f>
        <x:v>н/д</x:v>
      </x:c>
      <x:c r="Z1141" s="21" t="str">
        <x:f>"н/д"</x:f>
        <x:v>н/д</x:v>
      </x:c>
      <x:c r="AA1141" s="21" t="str">
        <x:f>"н/д"</x:f>
        <x:v>н/д</x:v>
      </x:c>
      <x:c r="AB1141" s="21" t="str">
        <x:f>"н/д"</x:f>
        <x:v>н/д</x:v>
      </x:c>
      <x:c r="AC1141" s="21" t="str">
        <x:f>IF(AND(J1141="Рассчитано",T1141&gt;0,R1141&lt;100),(W1141+P1141+Q1141)/(T1141*(1-R1141/100)),"н/д")</x:f>
        <x:v>н/д</x:v>
      </x:c>
      <x:c r="AD1141" s="10" t="str">
        <x:f>IF(ISNUMBER(G1141),IF(G1141&lt;0,"Убыток",IF(G1141=0,"Без прибыли","Прибыль &gt; 0")),"Не оценён")</x:f>
        <x:v>Не оценён</x:v>
      </x:c>
      <x:c r="AE1141" s="13" t="str">
        <x:f>IF(J1141="Рассчитано","Выручка "&amp;TEXT(V1141,"0.00")&amp;" - себестоимость "&amp;TEXT(W1141,"0.00")&amp;" - комиссия "&amp;TEXT(V1141*R1141/100,"0.00")&amp;" - доставка "&amp;TEXT(P1141,"0.00")&amp;" - прочие "&amp;TEXT(Q1141,"0.00")&amp;" = "&amp;TEXT(G1141,"0.00")&amp;" "&amp;L1141,"Введите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1" s="24" t="n">
        <x:v>55.37929142567619</x:v>
      </x:c>
      <x:c r="AG1141" s="37" t="n">
        <x:v>85</x:v>
      </x:c>
      <x:c r="AH1141" s="37" t="n">
        <x:v>0</x:v>
      </x:c>
      <x:c r="AI1141" s="30" t="n">
        <x:v>46266</x:v>
      </x:c>
      <x:c r="AJ1141" s="37" t="n">
        <x:v>20</x:v>
      </x:c>
      <x:c r="AK1141" s="10" t="str">
        <x:v>минимум</x:v>
      </x:c>
      <x:c r="AL1141" s="32" t="n">
        <x:v>130.52406031886517</x:v>
      </x:c>
      <x:c r="AM1141" s="13" t="str">
        <x:v>Остаток на начало сентября; Резервы неизвестны; Нет ежедневных данных доступности. Запас выше прогноза на 90 дней</x:v>
      </x:c>
      <x:c r="AN1141" s="13" t="str">
        <x:v>Проверить свободный остаток и установить цену для B2B</x:v>
      </x:c>
      <x:c r="AO1141" s="13" t="str">
        <x:v>Остаток 85; прогноз 90 дней 55.38; избыток 29 шт. Будущие поступления не выставляются на продажу. Остаток на начало сентября: требуется актуализация.</x:v>
      </x:c>
      <x:c r="AP1141" s="13" t="str">
        <x:v>["category_missing", "daily_stockout_data_missing", "new_order_lead_time_unknown", "reservations_unknown", "stale_stock"]</x:v>
      </x:c>
      <x:c r="AQ1141" s="10" t="str">
        <x:v>IEK:280300092_</x:v>
      </x:c>
      <x:c r="AR1141" s="24" t="n">
        <x:v>1</x:v>
      </x:c>
      <x:c r="AS1141" s="24" t="n">
        <x:v>0</x:v>
      </x:c>
      <x:c r="AT1141" s="24" t="n">
        <x:v>0</x:v>
      </x:c>
    </x:row>
    <x:row r="1142" ht="64" customHeight="1">
      <x:c r="A1142" s="11" t="str">
        <x:v>IEK</x:v>
      </x:c>
      <x:c r="B1142" s="33" t="str">
        <x:v>280300104_</x:v>
      </x:c>
      <x:c r="C1142" s="33" t="str">
        <x:v>CLW10-CR</x:v>
      </x:c>
      <x:c r="D1142" s="12" t="str">
        <x:v>Площадка фиксаторная CR IEK (200)</x:v>
      </x:c>
      <x:c r="E1142" s="11" t="str">
        <x:v>шт</x:v>
      </x:c>
      <x:c r="F1142" s="35" t="n">
        <x:f>MAX(0,ROUNDDOWN((AG1142-AF1142)/AR1142+0.000000001,0)*AR1142)</x:f>
        <x:v>113</x:v>
      </x:c>
      <x:c r="G1142" s="20" t="str">
        <x:f>IF(J1142="Рассчитано",V1142*(1-R1142/100)-W1142-P1142-Q1142,"н/д")</x:f>
        <x:v>н/д</x:v>
      </x:c>
      <x:c r="H1142" s="12" t="str">
        <x:v>Высокий</x:v>
      </x:c>
      <x:c r="I1142" s="12" t="str">
        <x:v>Высокий</x:v>
      </x:c>
      <x:c r="J1142" s="12" t="str">
        <x:f>IF(L1142="","Укажите валюту",IF(NOT(ISNUMBER(K1142)),"Укажите объём",IF(K1142&lt;=0,"Укажите объём",IF(K1142&gt;F1142,"Объём выше излишка",IF(COUNT(M1142:O1142)&lt;3,"Нужны цены",IF(COUNT(P1142:R1142)&lt;3,"Нужны расходы",IF(OR(M1142&lt;0,N1142&lt;0,O1142&lt;0,O1142&gt;100,P1142&lt;0,Q1142&lt;0,R1142&lt;0,R1142&gt;100),"Проверьте значения","Рассчитано")))))))</x:f>
        <x:v>Нужны цены</x:v>
      </x:c>
      <x:c r="K1142" s="36" t="n">
        <x:v>113</x:v>
      </x:c>
      <x:c r="L1142" s="19" t="str">
        <x:v>KZT</x:v>
      </x:c>
      <x:c r="M1142" s="22"/>
      <x:c r="N1142" s="22"/>
      <x:c r="O1142" s="28"/>
      <x:c r="P1142" s="22"/>
      <x:c r="Q1142" s="22"/>
      <x:c r="R1142" s="28"/>
      <x:c r="S1142" s="22"/>
      <x:c r="T1142" s="35" t="n">
        <x:f>K1142</x:f>
        <x:v>113</x:v>
      </x:c>
      <x:c r="U1142" s="20" t="str">
        <x:f>IF(J1142="Рассчитано",N1142*(1-O1142/100),"н/д")</x:f>
        <x:v>н/д</x:v>
      </x:c>
      <x:c r="V1142" s="20" t="str">
        <x:f>IF(J1142="Рассчитано",T1142*U1142,"н/д")</x:f>
        <x:v>н/д</x:v>
      </x:c>
      <x:c r="W1142" s="20" t="str">
        <x:f>IF(J1142="Рассчитано",T1142*M1142,"н/д")</x:f>
        <x:v>н/д</x:v>
      </x:c>
      <x:c r="X1142" s="20" t="str">
        <x:f>IF(J1142="Рассчитано",V1142-W1142,"н/д")</x:f>
        <x:v>н/д</x:v>
      </x:c>
      <x:c r="Y1142" s="26" t="str">
        <x:f>IF(J1142="Рассчитано",IF(V1142&gt;0,G1142/V1142,"н/д"),"н/д")</x:f>
        <x:v>н/д</x:v>
      </x:c>
      <x:c r="Z1142" s="20" t="str">
        <x:f>"н/д"</x:f>
        <x:v>н/д</x:v>
      </x:c>
      <x:c r="AA1142" s="20" t="str">
        <x:f>"н/д"</x:f>
        <x:v>н/д</x:v>
      </x:c>
      <x:c r="AB1142" s="20" t="str">
        <x:f>"н/д"</x:f>
        <x:v>н/д</x:v>
      </x:c>
      <x:c r="AC1142" s="20" t="str">
        <x:f>IF(AND(J1142="Рассчитано",T1142&gt;0,R1142&lt;100),(W1142+P1142+Q1142)/(T1142*(1-R1142/100)),"н/д")</x:f>
        <x:v>н/д</x:v>
      </x:c>
      <x:c r="AD1142" s="11" t="str">
        <x:f>IF(ISNUMBER(G1142),IF(G1142&lt;0,"Убыток",IF(G1142=0,"Без прибыли","Прибыль &gt; 0")),"Не оценён")</x:f>
        <x:v>Не оценён</x:v>
      </x:c>
      <x:c r="AE1142" s="12" t="str">
        <x:f>IF(J1142="Рассчитано","Выручка "&amp;TEXT(V1142,"0.00")&amp;" - себестоимость "&amp;TEXT(W1142,"0.00")&amp;" - комиссия "&amp;TEXT(V1142*R1142/100,"0.00")&amp;" - доставка "&amp;TEXT(P1142,"0.00")&amp;" - прочие "&amp;TEXT(Q1142,"0.00")&amp;" = "&amp;TEXT(G1142,"0.00")&amp;" "&amp;L1142,"Введите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2" s="23" t="n">
        <x:v>26.60703076970469</x:v>
      </x:c>
      <x:c r="AG1142" s="35" t="n">
        <x:v>140</x:v>
      </x:c>
      <x:c r="AH1142" s="35" t="n">
        <x:v>0</x:v>
      </x:c>
      <x:c r="AI1142" s="29" t="n">
        <x:v>46266</x:v>
      </x:c>
      <x:c r="AJ1142" s="35" t="n">
        <x:v>200</x:v>
      </x:c>
      <x:c r="AK1142" s="11" t="str">
        <x:v>минимум</x:v>
      </x:c>
      <x:c r="AL1142" s="31" t="n">
        <x:v>447.4563421550173</x:v>
      </x:c>
      <x:c r="AM114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42" s="12" t="str">
        <x:v>Проверить свободный остаток и установить цену для B2B</x:v>
      </x:c>
      <x:c r="AO1142" s="12" t="str">
        <x:v>Остаток 140; прогноз 90 дней 26.61; избыток 113 шт. Будущие поступления не выставляются на продажу. Остаток на начало сентября: требуется актуализация.</x:v>
      </x:c>
      <x:c r="AP1142" s="12" t="str">
        <x:v>["category_missing", "daily_stockout_data_missing", "new_order_lead_time_unknown", "reservations_unknown", "stale_stock"]</x:v>
      </x:c>
      <x:c r="AQ1142" s="11" t="str">
        <x:v>IEK:280300104_</x:v>
      </x:c>
      <x:c r="AR1142" s="23" t="n">
        <x:v>1</x:v>
      </x:c>
      <x:c r="AS1142" s="23" t="n">
        <x:v>0</x:v>
      </x:c>
      <x:c r="AT1142" s="23" t="n">
        <x:v>0</x:v>
      </x:c>
    </x:row>
    <x:row r="1143" ht="64" customHeight="1">
      <x:c r="A1143" s="10" t="str">
        <x:v>IEK</x:v>
      </x:c>
      <x:c r="B1143" s="34" t="str">
        <x:v>280300122_</x:v>
      </x:c>
      <x:c r="C1143" s="34" t="str">
        <x:v>CLP1CW-400-1</x:v>
      </x:c>
      <x:c r="D1143" s="13" t="str">
        <x:v>Кронштейн настенный осн.400мм. IEK (4)</x:v>
      </x:c>
      <x:c r="E1143" s="10" t="str">
        <x:v>шт</x:v>
      </x:c>
      <x:c r="F1143" s="37" t="n">
        <x:f>MAX(0,ROUNDDOWN((AG1143-AF1143)/AR1143+0.000000001,0)*AR1143)</x:f>
        <x:v>20</x:v>
      </x:c>
      <x:c r="G1143" s="21" t="str">
        <x:f>IF(J1143="Рассчитано",V1143*(1-R1143/100)-W1143-P1143-Q1143,"н/д")</x:f>
        <x:v>н/д</x:v>
      </x:c>
      <x:c r="H1143" s="13" t="str">
        <x:v>Высокий</x:v>
      </x:c>
      <x:c r="I1143" s="13" t="str">
        <x:v>Высокий</x:v>
      </x:c>
      <x:c r="J1143" s="13" t="str">
        <x:f>IF(L1143="","Укажите валюту",IF(NOT(ISNUMBER(K1143)),"Укажите объём",IF(K1143&lt;=0,"Укажите объём",IF(K1143&gt;F1143,"Объём выше излишка",IF(COUNT(M1143:O1143)&lt;3,"Нужны цены",IF(COUNT(P1143:R1143)&lt;3,"Нужны расходы",IF(OR(M1143&lt;0,N1143&lt;0,O1143&lt;0,O1143&gt;100,P1143&lt;0,Q1143&lt;0,R1143&lt;0,R1143&gt;100),"Проверьте значения","Рассчитано")))))))</x:f>
        <x:v>Нужны цены</x:v>
      </x:c>
      <x:c r="K1143" s="36" t="n">
        <x:v>20</x:v>
      </x:c>
      <x:c r="L1143" s="19" t="str">
        <x:v>KZT</x:v>
      </x:c>
      <x:c r="M1143" s="22"/>
      <x:c r="N1143" s="22"/>
      <x:c r="O1143" s="28"/>
      <x:c r="P1143" s="22"/>
      <x:c r="Q1143" s="22"/>
      <x:c r="R1143" s="28"/>
      <x:c r="S1143" s="22"/>
      <x:c r="T1143" s="37" t="n">
        <x:f>K1143</x:f>
        <x:v>20</x:v>
      </x:c>
      <x:c r="U1143" s="21" t="str">
        <x:f>IF(J1143="Рассчитано",N1143*(1-O1143/100),"н/д")</x:f>
        <x:v>н/д</x:v>
      </x:c>
      <x:c r="V1143" s="21" t="str">
        <x:f>IF(J1143="Рассчитано",T1143*U1143,"н/д")</x:f>
        <x:v>н/д</x:v>
      </x:c>
      <x:c r="W1143" s="21" t="str">
        <x:f>IF(J1143="Рассчитано",T1143*M1143,"н/д")</x:f>
        <x:v>н/д</x:v>
      </x:c>
      <x:c r="X1143" s="21" t="str">
        <x:f>IF(J1143="Рассчитано",V1143-W1143,"н/д")</x:f>
        <x:v>н/д</x:v>
      </x:c>
      <x:c r="Y1143" s="27" t="str">
        <x:f>IF(J1143="Рассчитано",IF(V1143&gt;0,G1143/V1143,"н/д"),"н/д")</x:f>
        <x:v>н/д</x:v>
      </x:c>
      <x:c r="Z1143" s="21" t="str">
        <x:f>"н/д"</x:f>
        <x:v>н/д</x:v>
      </x:c>
      <x:c r="AA1143" s="21" t="str">
        <x:f>"н/д"</x:f>
        <x:v>н/д</x:v>
      </x:c>
      <x:c r="AB1143" s="21" t="str">
        <x:f>"н/д"</x:f>
        <x:v>н/д</x:v>
      </x:c>
      <x:c r="AC1143" s="21" t="str">
        <x:f>IF(AND(J1143="Рассчитано",T1143&gt;0,R1143&lt;100),(W1143+P1143+Q1143)/(T1143*(1-R1143/100)),"н/д")</x:f>
        <x:v>н/д</x:v>
      </x:c>
      <x:c r="AD1143" s="10" t="str">
        <x:f>IF(ISNUMBER(G1143),IF(G1143&lt;0,"Убыток",IF(G1143=0,"Без прибыли","Прибыль &gt; 0")),"Не оценён")</x:f>
        <x:v>Не оценён</x:v>
      </x:c>
      <x:c r="AE1143" s="13" t="str">
        <x:f>IF(J1143="Рассчитано","Выручка "&amp;TEXT(V1143,"0.00")&amp;" - себестоимость "&amp;TEXT(W1143,"0.00")&amp;" - комиссия "&amp;TEXT(V1143*R1143/100,"0.00")&amp;" - доставка "&amp;TEXT(P1143,"0.00")&amp;" - прочие "&amp;TEXT(Q1143,"0.00")&amp;" = "&amp;TEXT(G1143,"0.00")&amp;" "&amp;L1143,"Введите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3" s="24" t="n">
        <x:v>10.399320191603902</x:v>
      </x:c>
      <x:c r="AG1143" s="37" t="n">
        <x:v>31</x:v>
      </x:c>
      <x:c r="AH1143" s="37" t="n">
        <x:v>0</x:v>
      </x:c>
      <x:c r="AI1143" s="30" t="n">
        <x:v>46266</x:v>
      </x:c>
      <x:c r="AJ1143" s="37" t="n">
        <x:v>4</x:v>
      </x:c>
      <x:c r="AK1143" s="10" t="str">
        <x:v>минимум</x:v>
      </x:c>
      <x:c r="AL1143" s="32" t="n">
        <x:v>253.49872998452403</x:v>
      </x:c>
      <x:c r="AM114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43" s="13" t="str">
        <x:v>Проверить свободный остаток и установить цену для B2B</x:v>
      </x:c>
      <x:c r="AO1143" s="13" t="str">
        <x:v>Остаток 31; прогноз 90 дней 10.40; избыток 20 шт. Будущие поступления не выставляются на продажу. Остаток на начало сентября: требуется актуализация.</x:v>
      </x:c>
      <x:c r="AP1143" s="13" t="str">
        <x:v>["category_missing", "daily_stockout_data_missing", "new_order_lead_time_unknown", "reservations_unknown", "stale_stock"]</x:v>
      </x:c>
      <x:c r="AQ1143" s="10" t="str">
        <x:v>IEK:280300122_</x:v>
      </x:c>
      <x:c r="AR1143" s="24" t="n">
        <x:v>1</x:v>
      </x:c>
      <x:c r="AS1143" s="24" t="n">
        <x:v>0</x:v>
      </x:c>
      <x:c r="AT1143" s="24" t="n">
        <x:v>0</x:v>
      </x:c>
    </x:row>
    <x:row r="1144" ht="64" customHeight="1">
      <x:c r="A1144" s="11" t="str">
        <x:v>IEK</x:v>
      </x:c>
      <x:c r="B1144" s="33" t="str">
        <x:v>280300128_</x:v>
      </x:c>
      <x:c r="C1144" s="33" t="str">
        <x:v>CLP10-100-100-3</x:v>
      </x:c>
      <x:c r="D1144" s="12" t="str">
        <x:v>Лоток перфорированный (100х100х3000) (0,7 мм) IEK (6)</x:v>
      </x:c>
      <x:c r="E1144" s="11" t="str">
        <x:v>м</x:v>
      </x:c>
      <x:c r="F1144" s="23" t="n">
        <x:f>MAX(0,ROUNDDOWN((AG1144-AF1144)/AR1144+0.000000001,0)*AR1144)</x:f>
        <x:v>136.37800000000001</x:v>
      </x:c>
      <x:c r="G1144" s="20" t="str">
        <x:f>IF(J1144="Рассчитано",V1144*(1-R1144/100)-W1144-P1144-Q1144,"н/д")</x:f>
        <x:v>н/д</x:v>
      </x:c>
      <x:c r="H1144" s="12" t="str">
        <x:v>Высокий</x:v>
      </x:c>
      <x:c r="I1144" s="12" t="str">
        <x:v>Высокий</x:v>
      </x:c>
      <x:c r="J1144" s="12" t="str">
        <x:f>IF(L1144="","Укажите валюту",IF(NOT(ISNUMBER(K1144)),"Укажите объём",IF(K1144&lt;=0,"Укажите объём",IF(K1144&gt;F1144,"Объём выше излишка",IF(COUNT(M1144:O1144)&lt;3,"Нужны цены",IF(COUNT(P1144:R1144)&lt;3,"Нужны расходы",IF(OR(M1144&lt;0,N1144&lt;0,O1144&lt;0,O1144&gt;100,P1144&lt;0,Q1144&lt;0,R1144&lt;0,R1144&gt;100),"Проверьте значения","Рассчитано")))))))</x:f>
        <x:v>Нужны цены</x:v>
      </x:c>
      <x:c r="K1144" s="25" t="n">
        <x:v>136.37800000000001</x:v>
      </x:c>
      <x:c r="L1144" s="19" t="str">
        <x:v>KZT</x:v>
      </x:c>
      <x:c r="M1144" s="22"/>
      <x:c r="N1144" s="22"/>
      <x:c r="O1144" s="28"/>
      <x:c r="P1144" s="22"/>
      <x:c r="Q1144" s="22"/>
      <x:c r="R1144" s="28"/>
      <x:c r="S1144" s="22"/>
      <x:c r="T1144" s="23" t="n">
        <x:f>K1144</x:f>
        <x:v>136.37800000000001</x:v>
      </x:c>
      <x:c r="U1144" s="20" t="str">
        <x:f>IF(J1144="Рассчитано",N1144*(1-O1144/100),"н/д")</x:f>
        <x:v>н/д</x:v>
      </x:c>
      <x:c r="V1144" s="20" t="str">
        <x:f>IF(J1144="Рассчитано",T1144*U1144,"н/д")</x:f>
        <x:v>н/д</x:v>
      </x:c>
      <x:c r="W1144" s="20" t="str">
        <x:f>IF(J1144="Рассчитано",T1144*M1144,"н/д")</x:f>
        <x:v>н/д</x:v>
      </x:c>
      <x:c r="X1144" s="20" t="str">
        <x:f>IF(J1144="Рассчитано",V1144-W1144,"н/д")</x:f>
        <x:v>н/д</x:v>
      </x:c>
      <x:c r="Y1144" s="26" t="str">
        <x:f>IF(J1144="Рассчитано",IF(V1144&gt;0,G1144/V1144,"н/д"),"н/д")</x:f>
        <x:v>н/д</x:v>
      </x:c>
      <x:c r="Z1144" s="20" t="str">
        <x:f>"н/д"</x:f>
        <x:v>н/д</x:v>
      </x:c>
      <x:c r="AA1144" s="20" t="str">
        <x:f>"н/д"</x:f>
        <x:v>н/д</x:v>
      </x:c>
      <x:c r="AB1144" s="20" t="str">
        <x:f>"н/д"</x:f>
        <x:v>н/д</x:v>
      </x:c>
      <x:c r="AC1144" s="20" t="str">
        <x:f>IF(AND(J1144="Рассчитано",T1144&gt;0,R1144&lt;100),(W1144+P1144+Q1144)/(T1144*(1-R1144/100)),"н/д")</x:f>
        <x:v>н/д</x:v>
      </x:c>
      <x:c r="AD1144" s="11" t="str">
        <x:f>IF(ISNUMBER(G1144),IF(G1144&lt;0,"Убыток",IF(G1144=0,"Без прибыли","Прибыль &gt; 0")),"Не оценён")</x:f>
        <x:v>Не оценён</x:v>
      </x:c>
      <x:c r="AE1144" s="12" t="str">
        <x:f>IF(J1144="Рассчитано","Выручка "&amp;TEXT(V1144,"0.00")&amp;" - себестоимость "&amp;TEXT(W1144,"0.00")&amp;" - комиссия "&amp;TEXT(V1144*R1144/100,"0.00")&amp;" - доставка "&amp;TEXT(P1144,"0.00")&amp;" - прочие "&amp;TEXT(Q1144,"0.00")&amp;" = "&amp;TEXT(G1144,"0.00")&amp;" "&amp;L1144,"Введите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4" s="23" t="n">
        <x:v>97.6213540328905</x:v>
      </x:c>
      <x:c r="AG1144" s="23" t="n">
        <x:v>234</x:v>
      </x:c>
      <x:c r="AH1144" s="23" t="n">
        <x:v>0</x:v>
      </x:c>
      <x:c r="AI1144" s="29" t="n">
        <x:v>46266</x:v>
      </x:c>
      <x:c r="AJ1144" s="23" t="n">
        <x:v>12</x:v>
      </x:c>
      <x:c r="AK1144" s="11" t="str">
        <x:v>минимум</x:v>
      </x:c>
      <x:c r="AL1144" s="31" t="n">
        <x:v>203.8403115890589</x:v>
      </x:c>
      <x:c r="AM1144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44" s="12" t="str">
        <x:v>Проверить свободный остаток и установить цену для B2B</x:v>
      </x:c>
      <x:c r="AO1144" s="12" t="str">
        <x:v>Остаток 234; прогноз 90 дней 97.62; избыток 136.378 м. Будущие поступления не выставляются на продажу. Остаток на начало сентября: требуется актуализация.</x:v>
      </x:c>
      <x:c r="AP1144" s="12" t="str">
        <x:v>["category_missing", "daily_stockout_data_missing", "large_orders_detected", "new_order_lead_time_unknown", "reservations_unknown", "stale_stock", "transaction_month_mismatch"]</x:v>
      </x:c>
      <x:c r="AQ1144" s="11" t="str">
        <x:v>IEK:280300128_</x:v>
      </x:c>
      <x:c r="AR1144" s="23" t="n">
        <x:v>0.001</x:v>
      </x:c>
      <x:c r="AS1144" s="23" t="n">
        <x:v>0</x:v>
      </x:c>
      <x:c r="AT1144" s="23" t="n">
        <x:v>0</x:v>
      </x:c>
    </x:row>
    <x:row r="1145" ht="64" customHeight="1">
      <x:c r="A1145" s="10" t="str">
        <x:v>IEK</x:v>
      </x:c>
      <x:c r="B1145" s="34" t="str">
        <x:v>280300145_</x:v>
      </x:c>
      <x:c r="C1145" s="34" t="str">
        <x:v>ERK13-K01-10-DM</x:v>
      </x:c>
      <x:c r="D1145" s="13" t="str">
        <x:v>I5 роз. с/у  10А КВАРТА РС 10-2-КБ (200)</x:v>
      </x:c>
      <x:c r="E1145" s="10" t="str">
        <x:v>шт</x:v>
      </x:c>
      <x:c r="F1145" s="37" t="n">
        <x:f>MAX(0,ROUNDDOWN((AG1145-AF1145)/AR1145+0.000000001,0)*AR1145)</x:f>
        <x:v>26</x:v>
      </x:c>
      <x:c r="G1145" s="21" t="str">
        <x:f>IF(J1145="Рассчитано",V1145*(1-R1145/100)-W1145-P1145-Q1145,"н/д")</x:f>
        <x:v>н/д</x:v>
      </x:c>
      <x:c r="H1145" s="13" t="str">
        <x:v>Высокий</x:v>
      </x:c>
      <x:c r="I1145" s="13" t="str">
        <x:v>Высокий</x:v>
      </x:c>
      <x:c r="J1145" s="13" t="str">
        <x:f>IF(L1145="","Укажите валюту",IF(NOT(ISNUMBER(K1145)),"Укажите объём",IF(K1145&lt;=0,"Укажите объём",IF(K1145&gt;F1145,"Объём выше излишка",IF(COUNT(M1145:O1145)&lt;3,"Нужны цены",IF(COUNT(P1145:R1145)&lt;3,"Нужны расходы",IF(OR(M1145&lt;0,N1145&lt;0,O1145&lt;0,O1145&gt;100,P1145&lt;0,Q1145&lt;0,R1145&lt;0,R1145&gt;100),"Проверьте значения","Рассчитано")))))))</x:f>
        <x:v>Нужны цены</x:v>
      </x:c>
      <x:c r="K1145" s="36" t="n">
        <x:v>26</x:v>
      </x:c>
      <x:c r="L1145" s="19" t="str">
        <x:v>KZT</x:v>
      </x:c>
      <x:c r="M1145" s="22"/>
      <x:c r="N1145" s="22"/>
      <x:c r="O1145" s="28"/>
      <x:c r="P1145" s="22"/>
      <x:c r="Q1145" s="22"/>
      <x:c r="R1145" s="28"/>
      <x:c r="S1145" s="22"/>
      <x:c r="T1145" s="37" t="n">
        <x:f>K1145</x:f>
        <x:v>26</x:v>
      </x:c>
      <x:c r="U1145" s="21" t="str">
        <x:f>IF(J1145="Рассчитано",N1145*(1-O1145/100),"н/д")</x:f>
        <x:v>н/д</x:v>
      </x:c>
      <x:c r="V1145" s="21" t="str">
        <x:f>IF(J1145="Рассчитано",T1145*U1145,"н/д")</x:f>
        <x:v>н/д</x:v>
      </x:c>
      <x:c r="W1145" s="21" t="str">
        <x:f>IF(J1145="Рассчитано",T1145*M1145,"н/д")</x:f>
        <x:v>н/д</x:v>
      </x:c>
      <x:c r="X1145" s="21" t="str">
        <x:f>IF(J1145="Рассчитано",V1145-W1145,"н/д")</x:f>
        <x:v>н/д</x:v>
      </x:c>
      <x:c r="Y1145" s="27" t="str">
        <x:f>IF(J1145="Рассчитано",IF(V1145&gt;0,G1145/V1145,"н/д"),"н/д")</x:f>
        <x:v>н/д</x:v>
      </x:c>
      <x:c r="Z1145" s="21" t="str">
        <x:f>"н/д"</x:f>
        <x:v>н/д</x:v>
      </x:c>
      <x:c r="AA1145" s="21" t="str">
        <x:f>"н/д"</x:f>
        <x:v>н/д</x:v>
      </x:c>
      <x:c r="AB1145" s="21" t="str">
        <x:f>"н/д"</x:f>
        <x:v>н/д</x:v>
      </x:c>
      <x:c r="AC1145" s="21" t="str">
        <x:f>IF(AND(J1145="Рассчитано",T1145&gt;0,R1145&lt;100),(W1145+P1145+Q1145)/(T1145*(1-R1145/100)),"н/д")</x:f>
        <x:v>н/д</x:v>
      </x:c>
      <x:c r="AD1145" s="10" t="str">
        <x:f>IF(ISNUMBER(G1145),IF(G1145&lt;0,"Убыток",IF(G1145=0,"Без прибыли","Прибыль &gt; 0")),"Не оценён")</x:f>
        <x:v>Не оценён</x:v>
      </x:c>
      <x:c r="AE1145" s="13" t="str">
        <x:f>IF(J1145="Рассчитано","Выручка "&amp;TEXT(V1145,"0.00")&amp;" - себестоимость "&amp;TEXT(W1145,"0.00")&amp;" - комиссия "&amp;TEXT(V1145*R1145/100,"0.00")&amp;" - доставка "&amp;TEXT(P1145,"0.00")&amp;" - прочие "&amp;TEXT(Q1145,"0.00")&amp;" = "&amp;TEXT(G1145,"0.00")&amp;" "&amp;L1145,"Введите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5" s="24" t="n">
        <x:v>16.66781904667984</x:v>
      </x:c>
      <x:c r="AG1145" s="37" t="n">
        <x:v>43</x:v>
      </x:c>
      <x:c r="AH1145" s="37" t="n">
        <x:v>0</x:v>
      </x:c>
      <x:c r="AI1145" s="30" t="n">
        <x:v>46266</x:v>
      </x:c>
      <x:c r="AJ1145" s="37" t="n">
        <x:v>10</x:v>
      </x:c>
      <x:c r="AK1145" s="10" t="str">
        <x:v>минимум</x:v>
      </x:c>
      <x:c r="AL1145" s="32" t="n">
        <x:v>219.38590556296884</x:v>
      </x:c>
      <x:c r="AM1145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45" s="13" t="str">
        <x:v>Проверить свободный остаток и установить цену для B2B</x:v>
      </x:c>
      <x:c r="AO1145" s="13" t="str">
        <x:v>Остаток 43; прогноз 90 дней 16.67; избыток 26 шт. Будущие поступления не выставляются на продажу. Остаток на начало сентября: требуется актуализация.</x:v>
      </x:c>
      <x:c r="AP1145" s="13" t="str">
        <x:v>["category_missing", "daily_stockout_data_missing", "large_orders_detected", "new_order_lead_time_unknown", "reservations_unknown", "stale_stock", "transaction_month_mismatch"]</x:v>
      </x:c>
      <x:c r="AQ1145" s="10" t="str">
        <x:v>IEK:280300145_</x:v>
      </x:c>
      <x:c r="AR1145" s="24" t="n">
        <x:v>1</x:v>
      </x:c>
      <x:c r="AS1145" s="24" t="n">
        <x:v>0</x:v>
      </x:c>
      <x:c r="AT1145" s="24" t="n">
        <x:v>0</x:v>
      </x:c>
    </x:row>
    <x:row r="1146" ht="64" customHeight="1">
      <x:c r="A1146" s="11" t="str">
        <x:v>IEK</x:v>
      </x:c>
      <x:c r="B1146" s="33" t="str">
        <x:v>280300147_</x:v>
      </x:c>
      <x:c r="C1146" s="33" t="str">
        <x:v>EKK10-K01-DM</x:v>
      </x:c>
      <x:c r="D1146" s="12" t="str">
        <x:v>I13 роз. комп КВАРТА РК10-КБ (200)</x:v>
      </x:c>
      <x:c r="E1146" s="11" t="str">
        <x:v>шт</x:v>
      </x:c>
      <x:c r="F1146" s="35" t="n">
        <x:f>MAX(0,ROUNDDOWN((AG1146-AF1146)/AR1146+0.000000001,0)*AR1146)</x:f>
        <x:v>14</x:v>
      </x:c>
      <x:c r="G1146" s="20" t="str">
        <x:f>IF(J1146="Рассчитано",V1146*(1-R1146/100)-W1146-P1146-Q1146,"н/д")</x:f>
        <x:v>н/д</x:v>
      </x:c>
      <x:c r="H1146" s="12" t="str">
        <x:v>Высокий</x:v>
      </x:c>
      <x:c r="I1146" s="12" t="str">
        <x:v>Высокий</x:v>
      </x:c>
      <x:c r="J1146" s="12" t="str">
        <x:f>IF(L1146="","Укажите валюту",IF(NOT(ISNUMBER(K1146)),"Укажите объём",IF(K1146&lt;=0,"Укажите объём",IF(K1146&gt;F1146,"Объём выше излишка",IF(COUNT(M1146:O1146)&lt;3,"Нужны цены",IF(COUNT(P1146:R1146)&lt;3,"Нужны расходы",IF(OR(M1146&lt;0,N1146&lt;0,O1146&lt;0,O1146&gt;100,P1146&lt;0,Q1146&lt;0,R1146&lt;0,R1146&gt;100),"Проверьте значения","Рассчитано")))))))</x:f>
        <x:v>Нужны цены</x:v>
      </x:c>
      <x:c r="K1146" s="36" t="n">
        <x:v>14</x:v>
      </x:c>
      <x:c r="L1146" s="19" t="str">
        <x:v>KZT</x:v>
      </x:c>
      <x:c r="M1146" s="22"/>
      <x:c r="N1146" s="22"/>
      <x:c r="O1146" s="28"/>
      <x:c r="P1146" s="22"/>
      <x:c r="Q1146" s="22"/>
      <x:c r="R1146" s="28"/>
      <x:c r="S1146" s="22"/>
      <x:c r="T1146" s="35" t="n">
        <x:f>K1146</x:f>
        <x:v>14</x:v>
      </x:c>
      <x:c r="U1146" s="20" t="str">
        <x:f>IF(J1146="Рассчитано",N1146*(1-O1146/100),"н/д")</x:f>
        <x:v>н/д</x:v>
      </x:c>
      <x:c r="V1146" s="20" t="str">
        <x:f>IF(J1146="Рассчитано",T1146*U1146,"н/д")</x:f>
        <x:v>н/д</x:v>
      </x:c>
      <x:c r="W1146" s="20" t="str">
        <x:f>IF(J1146="Рассчитано",T1146*M1146,"н/д")</x:f>
        <x:v>н/д</x:v>
      </x:c>
      <x:c r="X1146" s="20" t="str">
        <x:f>IF(J1146="Рассчитано",V1146-W1146,"н/д")</x:f>
        <x:v>н/д</x:v>
      </x:c>
      <x:c r="Y1146" s="26" t="str">
        <x:f>IF(J1146="Рассчитано",IF(V1146&gt;0,G1146/V1146,"н/д"),"н/д")</x:f>
        <x:v>н/д</x:v>
      </x:c>
      <x:c r="Z1146" s="20" t="str">
        <x:f>"н/д"</x:f>
        <x:v>н/д</x:v>
      </x:c>
      <x:c r="AA1146" s="20" t="str">
        <x:f>"н/д"</x:f>
        <x:v>н/д</x:v>
      </x:c>
      <x:c r="AB1146" s="20" t="str">
        <x:f>"н/д"</x:f>
        <x:v>н/д</x:v>
      </x:c>
      <x:c r="AC1146" s="20" t="str">
        <x:f>IF(AND(J1146="Рассчитано",T1146&gt;0,R1146&lt;100),(W1146+P1146+Q1146)/(T1146*(1-R1146/100)),"н/д")</x:f>
        <x:v>н/д</x:v>
      </x:c>
      <x:c r="AD1146" s="11" t="str">
        <x:f>IF(ISNUMBER(G1146),IF(G1146&lt;0,"Убыток",IF(G1146=0,"Без прибыли","Прибыль &gt; 0")),"Не оценён")</x:f>
        <x:v>Не оценён</x:v>
      </x:c>
      <x:c r="AE1146" s="12" t="str">
        <x:f>IF(J1146="Рассчитано","Выручка "&amp;TEXT(V1146,"0.00")&amp;" - себестоимость "&amp;TEXT(W1146,"0.00")&amp;" - комиссия "&amp;TEXT(V1146*R1146/100,"0.00")&amp;" - доставка "&amp;TEXT(P1146,"0.00")&amp;" - прочие "&amp;TEXT(Q1146,"0.00")&amp;" = "&amp;TEXT(G1146,"0.00")&amp;" "&amp;L1146,"Введите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6" s="23" t="n">
        <x:v>0.11078145050006173</x:v>
      </x:c>
      <x:c r="AG1146" s="35" t="n">
        <x:v>15</x:v>
      </x:c>
      <x:c r="AH1146" s="35" t="n">
        <x:v>0</x:v>
      </x:c>
      <x:c r="AI1146" s="29" t="n">
        <x:v>46266</x:v>
      </x:c>
      <x:c r="AJ1146" s="35" t="n">
        <x:v>10</x:v>
      </x:c>
      <x:c r="AK1146" s="11" t="str">
        <x:v>минимум</x:v>
      </x:c>
      <x:c r="AL1146" s="31" t="n">
        <x:v>11514.451533122223</x:v>
      </x:c>
      <x:c r="AM114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46" s="12" t="str">
        <x:v>Проверить свободный остаток и установить цену для B2B</x:v>
      </x:c>
      <x:c r="AO1146" s="12" t="str">
        <x:v>Остаток 15; прогноз 90 дней 0.11; избыток 14 шт. Будущие поступления не выставляются на продажу. Остаток на начало сентября: требуется актуализация.</x:v>
      </x:c>
      <x:c r="AP1146" s="12" t="str">
        <x:v>["category_missing", "daily_stockout_data_missing", "new_order_lead_time_unknown", "reservations_unknown", "stale_stock"]</x:v>
      </x:c>
      <x:c r="AQ1146" s="11" t="str">
        <x:v>IEK:280300147_</x:v>
      </x:c>
      <x:c r="AR1146" s="23" t="n">
        <x:v>1</x:v>
      </x:c>
      <x:c r="AS1146" s="23" t="n">
        <x:v>0</x:v>
      </x:c>
      <x:c r="AT1146" s="23" t="n">
        <x:v>0</x:v>
      </x:c>
    </x:row>
    <x:row r="1147" ht="64" customHeight="1">
      <x:c r="A1147" s="10" t="str">
        <x:v>IEK</x:v>
      </x:c>
      <x:c r="B1147" s="34" t="str">
        <x:v>280300179_</x:v>
      </x:c>
      <x:c r="C1147" s="34" t="str">
        <x:v>UKG01-080-040-000-M</x:v>
      </x:c>
      <x:c r="D1147" s="13" t="str">
        <x:v>КМ41024 распаячн. d80х40 для полых стен (мет. лапками, с крышкой ) IEK (175)</x:v>
      </x:c>
      <x:c r="E1147" s="10" t="str">
        <x:v>шт</x:v>
      </x:c>
      <x:c r="F1147" s="37" t="n">
        <x:f>MAX(0,ROUNDDOWN((AG1147-AF1147)/AR1147+0.000000001,0)*AR1147)</x:f>
        <x:v>31</x:v>
      </x:c>
      <x:c r="G1147" s="21" t="str">
        <x:f>IF(J1147="Рассчитано",V1147*(1-R1147/100)-W1147-P1147-Q1147,"н/д")</x:f>
        <x:v>н/д</x:v>
      </x:c>
      <x:c r="H1147" s="13" t="str">
        <x:v>Высокий</x:v>
      </x:c>
      <x:c r="I1147" s="13" t="str">
        <x:v>Средний</x:v>
      </x:c>
      <x:c r="J1147" s="13" t="str">
        <x:f>IF(L1147="","Укажите валюту",IF(NOT(ISNUMBER(K1147)),"Укажите объём",IF(K1147&lt;=0,"Укажите объём",IF(K1147&gt;F1147,"Объём выше излишка",IF(COUNT(M1147:O1147)&lt;3,"Нужны цены",IF(COUNT(P1147:R1147)&lt;3,"Нужны расходы",IF(OR(M1147&lt;0,N1147&lt;0,O1147&lt;0,O1147&gt;100,P1147&lt;0,Q1147&lt;0,R1147&lt;0,R1147&gt;100),"Проверьте значения","Рассчитано")))))))</x:f>
        <x:v>Нужны цены</x:v>
      </x:c>
      <x:c r="K1147" s="36" t="n">
        <x:v>31</x:v>
      </x:c>
      <x:c r="L1147" s="19" t="str">
        <x:v>KZT</x:v>
      </x:c>
      <x:c r="M1147" s="22"/>
      <x:c r="N1147" s="22"/>
      <x:c r="O1147" s="28"/>
      <x:c r="P1147" s="22"/>
      <x:c r="Q1147" s="22"/>
      <x:c r="R1147" s="28"/>
      <x:c r="S1147" s="22"/>
      <x:c r="T1147" s="37" t="n">
        <x:f>K1147</x:f>
        <x:v>31</x:v>
      </x:c>
      <x:c r="U1147" s="21" t="str">
        <x:f>IF(J1147="Рассчитано",N1147*(1-O1147/100),"н/д")</x:f>
        <x:v>н/д</x:v>
      </x:c>
      <x:c r="V1147" s="21" t="str">
        <x:f>IF(J1147="Рассчитано",T1147*U1147,"н/д")</x:f>
        <x:v>н/д</x:v>
      </x:c>
      <x:c r="W1147" s="21" t="str">
        <x:f>IF(J1147="Рассчитано",T1147*M1147,"н/д")</x:f>
        <x:v>н/д</x:v>
      </x:c>
      <x:c r="X1147" s="21" t="str">
        <x:f>IF(J1147="Рассчитано",V1147-W1147,"н/д")</x:f>
        <x:v>н/д</x:v>
      </x:c>
      <x:c r="Y1147" s="27" t="str">
        <x:f>IF(J1147="Рассчитано",IF(V1147&gt;0,G1147/V1147,"н/д"),"н/д")</x:f>
        <x:v>н/д</x:v>
      </x:c>
      <x:c r="Z1147" s="21" t="str">
        <x:f>"н/д"</x:f>
        <x:v>н/д</x:v>
      </x:c>
      <x:c r="AA1147" s="21" t="str">
        <x:f>"н/д"</x:f>
        <x:v>н/д</x:v>
      </x:c>
      <x:c r="AB1147" s="21" t="str">
        <x:f>"н/д"</x:f>
        <x:v>н/д</x:v>
      </x:c>
      <x:c r="AC1147" s="21" t="str">
        <x:f>IF(AND(J1147="Рассчитано",T1147&gt;0,R1147&lt;100),(W1147+P1147+Q1147)/(T1147*(1-R1147/100)),"н/д")</x:f>
        <x:v>н/д</x:v>
      </x:c>
      <x:c r="AD1147" s="10" t="str">
        <x:f>IF(ISNUMBER(G1147),IF(G1147&lt;0,"Убыток",IF(G1147=0,"Без прибыли","Прибыль &gt; 0")),"Не оценён")</x:f>
        <x:v>Не оценён</x:v>
      </x:c>
      <x:c r="AE1147" s="13" t="str">
        <x:f>IF(J1147="Рассчитано","Выручка "&amp;TEXT(V1147,"0.00")&amp;" - себестоимость "&amp;TEXT(W1147,"0.00")&amp;" - комиссия "&amp;TEXT(V1147*R1147/100,"0.00")&amp;" - доставка "&amp;TEXT(P1147,"0.00")&amp;" - прочие "&amp;TEXT(Q1147,"0.00")&amp;" = "&amp;TEXT(G1147,"0.00")&amp;" "&amp;L1147,"Введите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7" s="24" t="n">
        <x:v>45.2717378366145</x:v>
      </x:c>
      <x:c r="AG1147" s="37" t="n">
        <x:v>77</x:v>
      </x:c>
      <x:c r="AH1147" s="37" t="n">
        <x:v>0</x:v>
      </x:c>
      <x:c r="AI1147" s="30" t="n">
        <x:v>46266</x:v>
      </x:c>
      <x:c r="AJ1147" s="37" t="n">
        <x:v>175</x:v>
      </x:c>
      <x:c r="AK1147" s="10" t="str">
        <x:v>минимум</x:v>
      </x:c>
      <x:c r="AL1147" s="32" t="n">
        <x:v>144.6380651154082</x:v>
      </x:c>
      <x:c r="AM1147" s="13" t="str">
        <x:v>Остаток на начало сентября; Резервы неизвестны; Нет ежедневных данных доступности. Запас выше прогноза на 90 дней</x:v>
      </x:c>
      <x:c r="AN1147" s="13" t="str">
        <x:v>Проверить свободный остаток и установить цену для B2B</x:v>
      </x:c>
      <x:c r="AO1147" s="13" t="str">
        <x:v>Остаток 77; прогноз 90 дней 45.27; избыток 31 шт. Будущие поступления не выставляются на продажу. Остаток на начало сентября: требуется актуализация.</x:v>
      </x:c>
      <x:c r="AP1147" s="13" t="str">
        <x:v>["category_missing", "daily_stockout_data_missing", "large_orders_detected", "new_order_lead_time_unknown", "reservations_unknown", "stale_stock"]</x:v>
      </x:c>
      <x:c r="AQ1147" s="10" t="str">
        <x:v>IEK:280300179_</x:v>
      </x:c>
      <x:c r="AR1147" s="24" t="n">
        <x:v>1</x:v>
      </x:c>
      <x:c r="AS1147" s="24" t="n">
        <x:v>0</x:v>
      </x:c>
      <x:c r="AT1147" s="24" t="n">
        <x:v>0</x:v>
      </x:c>
    </x:row>
    <x:row r="1148" ht="64" customHeight="1">
      <x:c r="A1148" s="11" t="str">
        <x:v>IEK</x:v>
      </x:c>
      <x:c r="B1148" s="33" t="str">
        <x:v>280300180_</x:v>
      </x:c>
      <x:c r="C1148" s="33" t="str">
        <x:v>UKO11-075-040-000-K41-44</x:v>
      </x:c>
      <x:c r="D1148" s="12" t="str">
        <x:v>Распределительная  коробка о/у  с сальниками  75х40 IP44 КМ41237 IEK (60)</x:v>
      </x:c>
      <x:c r="E1148" s="11" t="str">
        <x:v>шт</x:v>
      </x:c>
      <x:c r="F1148" s="35" t="n">
        <x:f>MAX(0,ROUNDDOWN((AG1148-AF1148)/AR1148+0.000000001,0)*AR1148)</x:f>
        <x:v>38</x:v>
      </x:c>
      <x:c r="G1148" s="20" t="str">
        <x:f>IF(J1148="Рассчитано",V1148*(1-R1148/100)-W1148-P1148-Q1148,"н/д")</x:f>
        <x:v>н/д</x:v>
      </x:c>
      <x:c r="H1148" s="12" t="str">
        <x:v>Высокий</x:v>
      </x:c>
      <x:c r="I1148" s="12" t="str">
        <x:v>Высокий</x:v>
      </x:c>
      <x:c r="J1148" s="12" t="str">
        <x:f>IF(L1148="","Укажите валюту",IF(NOT(ISNUMBER(K1148)),"Укажите объём",IF(K1148&lt;=0,"Укажите объём",IF(K1148&gt;F1148,"Объём выше излишка",IF(COUNT(M1148:O1148)&lt;3,"Нужны цены",IF(COUNT(P1148:R1148)&lt;3,"Нужны расходы",IF(OR(M1148&lt;0,N1148&lt;0,O1148&lt;0,O1148&gt;100,P1148&lt;0,Q1148&lt;0,R1148&lt;0,R1148&gt;100),"Проверьте значения","Рассчитано")))))))</x:f>
        <x:v>Нужны цены</x:v>
      </x:c>
      <x:c r="K1148" s="36" t="n">
        <x:v>38</x:v>
      </x:c>
      <x:c r="L1148" s="19" t="str">
        <x:v>KZT</x:v>
      </x:c>
      <x:c r="M1148" s="22"/>
      <x:c r="N1148" s="22"/>
      <x:c r="O1148" s="28"/>
      <x:c r="P1148" s="22"/>
      <x:c r="Q1148" s="22"/>
      <x:c r="R1148" s="28"/>
      <x:c r="S1148" s="22"/>
      <x:c r="T1148" s="35" t="n">
        <x:f>K1148</x:f>
        <x:v>38</x:v>
      </x:c>
      <x:c r="U1148" s="20" t="str">
        <x:f>IF(J1148="Рассчитано",N1148*(1-O1148/100),"н/д")</x:f>
        <x:v>н/д</x:v>
      </x:c>
      <x:c r="V1148" s="20" t="str">
        <x:f>IF(J1148="Рассчитано",T1148*U1148,"н/д")</x:f>
        <x:v>н/д</x:v>
      </x:c>
      <x:c r="W1148" s="20" t="str">
        <x:f>IF(J1148="Рассчитано",T1148*M1148,"н/д")</x:f>
        <x:v>н/д</x:v>
      </x:c>
      <x:c r="X1148" s="20" t="str">
        <x:f>IF(J1148="Рассчитано",V1148-W1148,"н/д")</x:f>
        <x:v>н/д</x:v>
      </x:c>
      <x:c r="Y1148" s="26" t="str">
        <x:f>IF(J1148="Рассчитано",IF(V1148&gt;0,G1148/V1148,"н/д"),"н/д")</x:f>
        <x:v>н/д</x:v>
      </x:c>
      <x:c r="Z1148" s="20" t="str">
        <x:f>"н/д"</x:f>
        <x:v>н/д</x:v>
      </x:c>
      <x:c r="AA1148" s="20" t="str">
        <x:f>"н/д"</x:f>
        <x:v>н/д</x:v>
      </x:c>
      <x:c r="AB1148" s="20" t="str">
        <x:f>"н/д"</x:f>
        <x:v>н/д</x:v>
      </x:c>
      <x:c r="AC1148" s="20" t="str">
        <x:f>IF(AND(J1148="Рассчитано",T1148&gt;0,R1148&lt;100),(W1148+P1148+Q1148)/(T1148*(1-R1148/100)),"н/д")</x:f>
        <x:v>н/д</x:v>
      </x:c>
      <x:c r="AD1148" s="11" t="str">
        <x:f>IF(ISNUMBER(G1148),IF(G1148&lt;0,"Убыток",IF(G1148=0,"Без прибыли","Прибыль &gt; 0")),"Не оценён")</x:f>
        <x:v>Не оценён</x:v>
      </x:c>
      <x:c r="AE1148" s="12" t="str">
        <x:f>IF(J1148="Рассчитано","Выручка "&amp;TEXT(V1148,"0.00")&amp;" - себестоимость "&amp;TEXT(W1148,"0.00")&amp;" - комиссия "&amp;TEXT(V1148*R1148/100,"0.00")&amp;" - доставка "&amp;TEXT(P1148,"0.00")&amp;" - прочие "&amp;TEXT(Q1148,"0.00")&amp;" = "&amp;TEXT(G1148,"0.00")&amp;" "&amp;L1148,"Введите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8" s="23" t="n">
        <x:v>21.30956318382472</x:v>
      </x:c>
      <x:c r="AG1148" s="35" t="n">
        <x:v>60</x:v>
      </x:c>
      <x:c r="AH1148" s="35" t="n">
        <x:v>0</x:v>
      </x:c>
      <x:c r="AI1148" s="29" t="n">
        <x:v>46266</x:v>
      </x:c>
      <x:c r="AJ1148" s="35"/>
      <x:c r="AK1148" s="11" t="str">
        <x:v>неизвестно</x:v>
      </x:c>
      <x:c r="AL1148" s="31" t="n">
        <x:v>239.43947260640007</x:v>
      </x:c>
      <x:c r="AM114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48" s="12" t="str">
        <x:v>Проверить свободный остаток и установить цену для B2B</x:v>
      </x:c>
      <x:c r="AO1148" s="12" t="str">
        <x:v>Остаток 60; прогноз 90 дней 21.31; избыток 38 шт. Будущие поступления не выставляются на продажу. Остаток на начало сентября: требуется актуализация.</x:v>
      </x:c>
      <x:c r="AP1148" s="12" t="str">
        <x:v>["category_missing", "daily_stockout_data_missing", "moq_missing", "new_order_lead_time_unknown", "reservations_unknown", "stale_stock"]</x:v>
      </x:c>
      <x:c r="AQ1148" s="11" t="str">
        <x:v>IEK:280300180_</x:v>
      </x:c>
      <x:c r="AR1148" s="23" t="n">
        <x:v>1</x:v>
      </x:c>
      <x:c r="AS1148" s="23" t="n">
        <x:v>0</x:v>
      </x:c>
      <x:c r="AT1148" s="23" t="n">
        <x:v>0</x:v>
      </x:c>
    </x:row>
    <x:row r="1149" ht="64" customHeight="1">
      <x:c r="A1149" s="10" t="str">
        <x:v>IEK</x:v>
      </x:c>
      <x:c r="B1149" s="34" t="str">
        <x:v>280300182_</x:v>
      </x:c>
      <x:c r="C1149" s="34" t="str">
        <x:v>UKO10-150-110-070-K41-55</x:v>
      </x:c>
      <x:c r="D1149" s="13" t="str">
        <x:v>КМ41242 распаячн. для о/п 150х110х70 IP55 (10 гермовводов) IEK (30)</x:v>
      </x:c>
      <x:c r="E1149" s="10" t="str">
        <x:v>шт</x:v>
      </x:c>
      <x:c r="F1149" s="37" t="n">
        <x:f>MAX(0,ROUNDDOWN((AG1149-AF1149)/AR1149+0.000000001,0)*AR1149)</x:f>
        <x:v>10</x:v>
      </x:c>
      <x:c r="G1149" s="21" t="str">
        <x:f>IF(J1149="Рассчитано",V1149*(1-R1149/100)-W1149-P1149-Q1149,"н/д")</x:f>
        <x:v>н/д</x:v>
      </x:c>
      <x:c r="H1149" s="13" t="str">
        <x:v>Высокий</x:v>
      </x:c>
      <x:c r="I1149" s="13" t="str">
        <x:v>Средний</x:v>
      </x:c>
      <x:c r="J1149" s="13" t="str">
        <x:f>IF(L1149="","Укажите валюту",IF(NOT(ISNUMBER(K1149)),"Укажите объём",IF(K1149&lt;=0,"Укажите объём",IF(K1149&gt;F1149,"Объём выше излишка",IF(COUNT(M1149:O1149)&lt;3,"Нужны цены",IF(COUNT(P1149:R1149)&lt;3,"Нужны расходы",IF(OR(M1149&lt;0,N1149&lt;0,O1149&lt;0,O1149&gt;100,P1149&lt;0,Q1149&lt;0,R1149&lt;0,R1149&gt;100),"Проверьте значения","Рассчитано")))))))</x:f>
        <x:v>Нужны цены</x:v>
      </x:c>
      <x:c r="K1149" s="36" t="n">
        <x:v>10</x:v>
      </x:c>
      <x:c r="L1149" s="19" t="str">
        <x:v>KZT</x:v>
      </x:c>
      <x:c r="M1149" s="22"/>
      <x:c r="N1149" s="22"/>
      <x:c r="O1149" s="28"/>
      <x:c r="P1149" s="22"/>
      <x:c r="Q1149" s="22"/>
      <x:c r="R1149" s="28"/>
      <x:c r="S1149" s="22"/>
      <x:c r="T1149" s="37" t="n">
        <x:f>K1149</x:f>
        <x:v>10</x:v>
      </x:c>
      <x:c r="U1149" s="21" t="str">
        <x:f>IF(J1149="Рассчитано",N1149*(1-O1149/100),"н/д")</x:f>
        <x:v>н/д</x:v>
      </x:c>
      <x:c r="V1149" s="21" t="str">
        <x:f>IF(J1149="Рассчитано",T1149*U1149,"н/д")</x:f>
        <x:v>н/д</x:v>
      </x:c>
      <x:c r="W1149" s="21" t="str">
        <x:f>IF(J1149="Рассчитано",T1149*M1149,"н/д")</x:f>
        <x:v>н/д</x:v>
      </x:c>
      <x:c r="X1149" s="21" t="str">
        <x:f>IF(J1149="Рассчитано",V1149-W1149,"н/д")</x:f>
        <x:v>н/д</x:v>
      </x:c>
      <x:c r="Y1149" s="27" t="str">
        <x:f>IF(J1149="Рассчитано",IF(V1149&gt;0,G1149/V1149,"н/д"),"н/д")</x:f>
        <x:v>н/д</x:v>
      </x:c>
      <x:c r="Z1149" s="21" t="str">
        <x:f>"н/д"</x:f>
        <x:v>н/д</x:v>
      </x:c>
      <x:c r="AA1149" s="21" t="str">
        <x:f>"н/д"</x:f>
        <x:v>н/д</x:v>
      </x:c>
      <x:c r="AB1149" s="21" t="str">
        <x:f>"н/д"</x:f>
        <x:v>н/д</x:v>
      </x:c>
      <x:c r="AC1149" s="21" t="str">
        <x:f>IF(AND(J1149="Рассчитано",T1149&gt;0,R1149&lt;100),(W1149+P1149+Q1149)/(T1149*(1-R1149/100)),"н/д")</x:f>
        <x:v>н/д</x:v>
      </x:c>
      <x:c r="AD1149" s="10" t="str">
        <x:f>IF(ISNUMBER(G1149),IF(G1149&lt;0,"Убыток",IF(G1149=0,"Без прибыли","Прибыль &gt; 0")),"Не оценён")</x:f>
        <x:v>Не оценён</x:v>
      </x:c>
      <x:c r="AE1149" s="13" t="str">
        <x:f>IF(J1149="Рассчитано","Выручка "&amp;TEXT(V1149,"0.00")&amp;" - себестоимость "&amp;TEXT(W1149,"0.00")&amp;" - комиссия "&amp;TEXT(V1149*R1149/100,"0.00")&amp;" - доставка "&amp;TEXT(P1149,"0.00")&amp;" - прочие "&amp;TEXT(Q1149,"0.00")&amp;" = "&amp;TEXT(G1149,"0.00")&amp;" "&amp;L1149,"Введите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9" s="24" t="n">
        <x:v>73.18124406422163</x:v>
      </x:c>
      <x:c r="AG1149" s="37" t="n">
        <x:v>84</x:v>
      </x:c>
      <x:c r="AH1149" s="37" t="n">
        <x:v>0</x:v>
      </x:c>
      <x:c r="AI1149" s="30" t="n">
        <x:v>46266</x:v>
      </x:c>
      <x:c r="AJ1149" s="37" t="n">
        <x:v>30</x:v>
      </x:c>
      <x:c r="AK1149" s="10" t="str">
        <x:v>минимум</x:v>
      </x:c>
      <x:c r="AL1149" s="32" t="n">
        <x:v>97.61095058758647</x:v>
      </x:c>
      <x:c r="AM1149" s="13" t="str">
        <x:v>Остаток на начало сентября; Резервы неизвестны; Нет ежедневных данных доступности. Запас выше прогноза на 90 дней</x:v>
      </x:c>
      <x:c r="AN1149" s="13" t="str">
        <x:v>Проверить свободный остаток и установить цену для B2B</x:v>
      </x:c>
      <x:c r="AO1149" s="13" t="str">
        <x:v>Остаток 84; прогноз 90 дней 73.18; избыток 10 шт. Будущие поступления не выставляются на продажу. Остаток на начало сентября: требуется актуализация.</x:v>
      </x:c>
      <x:c r="AP1149" s="13" t="str">
        <x:v>["category_missing", "daily_stockout_data_missing", "large_orders_detected", "new_order_lead_time_unknown", "reservations_unknown", "stale_stock"]</x:v>
      </x:c>
      <x:c r="AQ1149" s="10" t="str">
        <x:v>IEK:280300182_</x:v>
      </x:c>
      <x:c r="AR1149" s="24" t="n">
        <x:v>1</x:v>
      </x:c>
      <x:c r="AS1149" s="24" t="n">
        <x:v>0</x:v>
      </x:c>
      <x:c r="AT1149" s="24" t="n">
        <x:v>0</x:v>
      </x:c>
    </x:row>
    <x:row r="1150" ht="64" customHeight="1">
      <x:c r="A1150" s="11" t="str">
        <x:v>IEK</x:v>
      </x:c>
      <x:c r="B1150" s="33" t="str">
        <x:v>280300231_</x:v>
      </x:c>
      <x:c r="C1150" s="33" t="str">
        <x:v>EDK10-K01-03-DM</x:v>
      </x:c>
      <x:c r="D1150" s="12" t="str">
        <x:v>I12 диммер КВАРТА ВСР 10-1-0-КБ (160)</x:v>
      </x:c>
      <x:c r="E1150" s="11" t="str">
        <x:v>шт</x:v>
      </x:c>
      <x:c r="F1150" s="35" t="n">
        <x:f>MAX(0,ROUNDDOWN((AG1150-AF1150)/AR1150+0.000000001,0)*AR1150)</x:f>
        <x:v>5</x:v>
      </x:c>
      <x:c r="G1150" s="20" t="str">
        <x:f>IF(J1150="Рассчитано",V1150*(1-R1150/100)-W1150-P1150-Q1150,"н/д")</x:f>
        <x:v>н/д</x:v>
      </x:c>
      <x:c r="H1150" s="12" t="str">
        <x:v>Высокий</x:v>
      </x:c>
      <x:c r="I1150" s="12" t="str">
        <x:v>Высокий</x:v>
      </x:c>
      <x:c r="J1150" s="12" t="str">
        <x:f>IF(L1150="","Укажите валюту",IF(NOT(ISNUMBER(K1150)),"Укажите объём",IF(K1150&lt;=0,"Укажите объём",IF(K1150&gt;F1150,"Объём выше излишка",IF(COUNT(M1150:O1150)&lt;3,"Нужны цены",IF(COUNT(P1150:R1150)&lt;3,"Нужны расходы",IF(OR(M1150&lt;0,N1150&lt;0,O1150&lt;0,O1150&gt;100,P1150&lt;0,Q1150&lt;0,R1150&lt;0,R1150&gt;100),"Проверьте значения","Рассчитано")))))))</x:f>
        <x:v>Нужны цены</x:v>
      </x:c>
      <x:c r="K1150" s="36" t="n">
        <x:v>5</x:v>
      </x:c>
      <x:c r="L1150" s="19" t="str">
        <x:v>KZT</x:v>
      </x:c>
      <x:c r="M1150" s="22"/>
      <x:c r="N1150" s="22"/>
      <x:c r="O1150" s="28"/>
      <x:c r="P1150" s="22"/>
      <x:c r="Q1150" s="22"/>
      <x:c r="R1150" s="28"/>
      <x:c r="S1150" s="22"/>
      <x:c r="T1150" s="35" t="n">
        <x:f>K1150</x:f>
        <x:v>5</x:v>
      </x:c>
      <x:c r="U1150" s="20" t="str">
        <x:f>IF(J1150="Рассчитано",N1150*(1-O1150/100),"н/д")</x:f>
        <x:v>н/д</x:v>
      </x:c>
      <x:c r="V1150" s="20" t="str">
        <x:f>IF(J1150="Рассчитано",T1150*U1150,"н/д")</x:f>
        <x:v>н/д</x:v>
      </x:c>
      <x:c r="W1150" s="20" t="str">
        <x:f>IF(J1150="Рассчитано",T1150*M1150,"н/д")</x:f>
        <x:v>н/д</x:v>
      </x:c>
      <x:c r="X1150" s="20" t="str">
        <x:f>IF(J1150="Рассчитано",V1150-W1150,"н/д")</x:f>
        <x:v>н/д</x:v>
      </x:c>
      <x:c r="Y1150" s="26" t="str">
        <x:f>IF(J1150="Рассчитано",IF(V1150&gt;0,G1150/V1150,"н/д"),"н/д")</x:f>
        <x:v>н/д</x:v>
      </x:c>
      <x:c r="Z1150" s="20" t="str">
        <x:f>"н/д"</x:f>
        <x:v>н/д</x:v>
      </x:c>
      <x:c r="AA1150" s="20" t="str">
        <x:f>"н/д"</x:f>
        <x:v>н/д</x:v>
      </x:c>
      <x:c r="AB1150" s="20" t="str">
        <x:f>"н/д"</x:f>
        <x:v>н/д</x:v>
      </x:c>
      <x:c r="AC1150" s="20" t="str">
        <x:f>IF(AND(J1150="Рассчитано",T1150&gt;0,R1150&lt;100),(W1150+P1150+Q1150)/(T1150*(1-R1150/100)),"н/д")</x:f>
        <x:v>н/д</x:v>
      </x:c>
      <x:c r="AD1150" s="11" t="str">
        <x:f>IF(ISNUMBER(G1150),IF(G1150&lt;0,"Убыток",IF(G1150=0,"Без прибыли","Прибыль &gt; 0")),"Не оценён")</x:f>
        <x:v>Не оценён</x:v>
      </x:c>
      <x:c r="AE1150" s="12" t="str">
        <x:f>IF(J1150="Рассчитано","Выручка "&amp;TEXT(V1150,"0.00")&amp;" - себестоимость "&amp;TEXT(W1150,"0.00")&amp;" - комиссия "&amp;TEXT(V1150*R1150/100,"0.00")&amp;" - доставка "&amp;TEXT(P1150,"0.00")&amp;" - прочие "&amp;TEXT(Q1150,"0.00")&amp;" = "&amp;TEXT(G1150,"0.00")&amp;" "&amp;L1150,"Введите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0" s="23" t="n">
        <x:v>1.1983865213046787</x:v>
      </x:c>
      <x:c r="AG1150" s="35" t="n">
        <x:v>7</x:v>
      </x:c>
      <x:c r="AH1150" s="35" t="n">
        <x:v>0</x:v>
      </x:c>
      <x:c r="AI1150" s="29" t="n">
        <x:v>46266</x:v>
      </x:c>
      <x:c r="AJ1150" s="35" t="n">
        <x:v>8</x:v>
      </x:c>
      <x:c r="AK1150" s="11" t="str">
        <x:v>минимум</x:v>
      </x:c>
      <x:c r="AL1150" s="31" t="n">
        <x:v>496.7297467121297</x:v>
      </x:c>
      <x:c r="AM11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50" s="12" t="str">
        <x:v>Проверить свободный остаток и установить цену для B2B</x:v>
      </x:c>
      <x:c r="AO1150" s="12" t="str">
        <x:v>Остаток 7; прогноз 90 дней 1.20; избыток 5 шт. Будущие поступления не выставляются на продажу. Остаток на начало сентября: требуется актуализация.</x:v>
      </x:c>
      <x:c r="AP1150" s="12" t="str">
        <x:v>["category_missing", "daily_stockout_data_missing", "large_orders_detected", "new_order_lead_time_unknown", "reservations_unknown", "stale_stock"]</x:v>
      </x:c>
      <x:c r="AQ1150" s="11" t="str">
        <x:v>IEK:280300231_</x:v>
      </x:c>
      <x:c r="AR1150" s="23" t="n">
        <x:v>1</x:v>
      </x:c>
      <x:c r="AS1150" s="23" t="n">
        <x:v>0</x:v>
      </x:c>
      <x:c r="AT1150" s="23" t="n">
        <x:v>0</x:v>
      </x:c>
    </x:row>
    <x:row r="1151" ht="64" customHeight="1">
      <x:c r="A1151" s="10" t="str">
        <x:v>IEK</x:v>
      </x:c>
      <x:c r="B1151" s="34" t="str">
        <x:v>280300250_</x:v>
      </x:c>
      <x:c r="C1151" s="34" t="str">
        <x:v>CLP1F-080-2</x:v>
      </x:c>
      <x:c r="D1151" s="13" t="str">
        <x:v>Разделительная перегородка h 80 IEK</x:v>
      </x:c>
      <x:c r="E1151" s="10" t="str">
        <x:v>шт</x:v>
      </x:c>
      <x:c r="F1151" s="37" t="n">
        <x:f>MAX(0,ROUNDDOWN((AG1151-AF1151)/AR1151+0.000000001,0)*AR1151)</x:f>
        <x:v>110</x:v>
      </x:c>
      <x:c r="G1151" s="21" t="str">
        <x:f>IF(J1151="Рассчитано",V1151*(1-R1151/100)-W1151-P1151-Q1151,"н/д")</x:f>
        <x:v>н/д</x:v>
      </x:c>
      <x:c r="H1151" s="13" t="str">
        <x:v>Высокий</x:v>
      </x:c>
      <x:c r="I1151" s="13" t="str">
        <x:v>Высокий</x:v>
      </x:c>
      <x:c r="J1151" s="13" t="str">
        <x:f>IF(L1151="","Укажите валюту",IF(NOT(ISNUMBER(K1151)),"Укажите объём",IF(K1151&lt;=0,"Укажите объём",IF(K1151&gt;F1151,"Объём выше излишка",IF(COUNT(M1151:O1151)&lt;3,"Нужны цены",IF(COUNT(P1151:R1151)&lt;3,"Нужны расходы",IF(OR(M1151&lt;0,N1151&lt;0,O1151&lt;0,O1151&gt;100,P1151&lt;0,Q1151&lt;0,R1151&lt;0,R1151&gt;100),"Проверьте значения","Рассчитано")))))))</x:f>
        <x:v>Нужны цены</x:v>
      </x:c>
      <x:c r="K1151" s="36" t="n">
        <x:v>110</x:v>
      </x:c>
      <x:c r="L1151" s="19" t="str">
        <x:v>KZT</x:v>
      </x:c>
      <x:c r="M1151" s="22"/>
      <x:c r="N1151" s="22"/>
      <x:c r="O1151" s="28"/>
      <x:c r="P1151" s="22"/>
      <x:c r="Q1151" s="22"/>
      <x:c r="R1151" s="28"/>
      <x:c r="S1151" s="22"/>
      <x:c r="T1151" s="37" t="n">
        <x:f>K1151</x:f>
        <x:v>110</x:v>
      </x:c>
      <x:c r="U1151" s="21" t="str">
        <x:f>IF(J1151="Рассчитано",N1151*(1-O1151/100),"н/д")</x:f>
        <x:v>н/д</x:v>
      </x:c>
      <x:c r="V1151" s="21" t="str">
        <x:f>IF(J1151="Рассчитано",T1151*U1151,"н/д")</x:f>
        <x:v>н/д</x:v>
      </x:c>
      <x:c r="W1151" s="21" t="str">
        <x:f>IF(J1151="Рассчитано",T1151*M1151,"н/д")</x:f>
        <x:v>н/д</x:v>
      </x:c>
      <x:c r="X1151" s="21" t="str">
        <x:f>IF(J1151="Рассчитано",V1151-W1151,"н/д")</x:f>
        <x:v>н/д</x:v>
      </x:c>
      <x:c r="Y1151" s="27" t="str">
        <x:f>IF(J1151="Рассчитано",IF(V1151&gt;0,G1151/V1151,"н/д"),"н/д")</x:f>
        <x:v>н/д</x:v>
      </x:c>
      <x:c r="Z1151" s="21" t="str">
        <x:f>"н/д"</x:f>
        <x:v>н/д</x:v>
      </x:c>
      <x:c r="AA1151" s="21" t="str">
        <x:f>"н/д"</x:f>
        <x:v>н/д</x:v>
      </x:c>
      <x:c r="AB1151" s="21" t="str">
        <x:f>"н/д"</x:f>
        <x:v>н/д</x:v>
      </x:c>
      <x:c r="AC1151" s="21" t="str">
        <x:f>IF(AND(J1151="Рассчитано",T1151&gt;0,R1151&lt;100),(W1151+P1151+Q1151)/(T1151*(1-R1151/100)),"н/д")</x:f>
        <x:v>н/д</x:v>
      </x:c>
      <x:c r="AD1151" s="10" t="str">
        <x:f>IF(ISNUMBER(G1151),IF(G1151&lt;0,"Убыток",IF(G1151=0,"Без прибыли","Прибыль &gt; 0")),"Не оценён")</x:f>
        <x:v>Не оценён</x:v>
      </x:c>
      <x:c r="AE1151" s="13" t="str">
        <x:f>IF(J1151="Рассчитано","Выручка "&amp;TEXT(V1151,"0.00")&amp;" - себестоимость "&amp;TEXT(W1151,"0.00")&amp;" - комиссия "&amp;TEXT(V1151*R1151/100,"0.00")&amp;" - доставка "&amp;TEXT(P1151,"0.00")&amp;" - прочие "&amp;TEXT(Q1151,"0.00")&amp;" = "&amp;TEXT(G1151,"0.00")&amp;" "&amp;L1151,"Введите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1" s="24" t="n">
        <x:v>1.028609991802042</x:v>
      </x:c>
      <x:c r="AG1151" s="37" t="n">
        <x:v>112</x:v>
      </x:c>
      <x:c r="AH1151" s="37" t="n">
        <x:v>0</x:v>
      </x:c>
      <x:c r="AI1151" s="30" t="n">
        <x:v>46266</x:v>
      </x:c>
      <x:c r="AJ1151" s="37" t="n">
        <x:v>2</x:v>
      </x:c>
      <x:c r="AK1151" s="10" t="str">
        <x:v>минимум</x:v>
      </x:c>
      <x:c r="AL1151" s="32" t="n">
        <x:v>9259.474248707726</x:v>
      </x:c>
      <x:c r="AM115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51" s="13" t="str">
        <x:v>Проверить свободный остаток и установить цену для B2B</x:v>
      </x:c>
      <x:c r="AO1151" s="13" t="str">
        <x:v>Остаток 112; прогноз 90 дней 1.03; избыток 110 шт. Будущие поступления не выставляются на продажу. Остаток на начало сентября: требуется актуализация.</x:v>
      </x:c>
      <x:c r="AP1151" s="13" t="str">
        <x:v>["category_missing", "daily_stockout_data_missing", "new_order_lead_time_unknown", "reservations_unknown", "stale_stock"]</x:v>
      </x:c>
      <x:c r="AQ1151" s="10" t="str">
        <x:v>IEK:280300250_</x:v>
      </x:c>
      <x:c r="AR1151" s="24" t="n">
        <x:v>1</x:v>
      </x:c>
      <x:c r="AS1151" s="24" t="n">
        <x:v>0</x:v>
      </x:c>
      <x:c r="AT1151" s="24" t="n">
        <x:v>0</x:v>
      </x:c>
    </x:row>
    <x:row r="1152" ht="64" customHeight="1">
      <x:c r="A1152" s="11" t="str">
        <x:v>IEK</x:v>
      </x:c>
      <x:c r="B1152" s="33" t="str">
        <x:v>280300356_</x:v>
      </x:c>
      <x:c r="C1152" s="33"/>
      <x:c r="D1152" s="12" t="str">
        <x:v>3 КВтп 10х150-240-02 IEK !!!</x:v>
      </x:c>
      <x:c r="E1152" s="11" t="str">
        <x:v>шт</x:v>
      </x:c>
      <x:c r="F1152" s="35" t="n">
        <x:f>MAX(0,ROUNDDOWN((AG1152-AF1152)/AR1152+0.000000001,0)*AR1152)</x:f>
        <x:v>3</x:v>
      </x:c>
      <x:c r="G1152" s="20" t="str">
        <x:f>IF(J1152="Рассчитано",V1152*(1-R1152/100)-W1152-P1152-Q1152,"н/д")</x:f>
        <x:v>н/д</x:v>
      </x:c>
      <x:c r="H1152" s="12" t="str">
        <x:v>Высокий</x:v>
      </x:c>
      <x:c r="I1152" s="12" t="str">
        <x:v>Высокий</x:v>
      </x:c>
      <x:c r="J1152" s="12" t="str">
        <x:f>IF(L1152="","Укажите валюту",IF(NOT(ISNUMBER(K1152)),"Укажите объём",IF(K1152&lt;=0,"Укажите объём",IF(K1152&gt;F1152,"Объём выше излишка",IF(COUNT(M1152:O1152)&lt;3,"Нужны цены",IF(COUNT(P1152:R1152)&lt;3,"Нужны расходы",IF(OR(M1152&lt;0,N1152&lt;0,O1152&lt;0,O1152&gt;100,P1152&lt;0,Q1152&lt;0,R1152&lt;0,R1152&gt;100),"Проверьте значения","Рассчитано")))))))</x:f>
        <x:v>Нужны цены</x:v>
      </x:c>
      <x:c r="K1152" s="36" t="n">
        <x:v>3</x:v>
      </x:c>
      <x:c r="L1152" s="19" t="str">
        <x:v>KZT</x:v>
      </x:c>
      <x:c r="M1152" s="22"/>
      <x:c r="N1152" s="22"/>
      <x:c r="O1152" s="28"/>
      <x:c r="P1152" s="22"/>
      <x:c r="Q1152" s="22"/>
      <x:c r="R1152" s="28"/>
      <x:c r="S1152" s="22"/>
      <x:c r="T1152" s="35" t="n">
        <x:f>K1152</x:f>
        <x:v>3</x:v>
      </x:c>
      <x:c r="U1152" s="20" t="str">
        <x:f>IF(J1152="Рассчитано",N1152*(1-O1152/100),"н/д")</x:f>
        <x:v>н/д</x:v>
      </x:c>
      <x:c r="V1152" s="20" t="str">
        <x:f>IF(J1152="Рассчитано",T1152*U1152,"н/д")</x:f>
        <x:v>н/д</x:v>
      </x:c>
      <x:c r="W1152" s="20" t="str">
        <x:f>IF(J1152="Рассчитано",T1152*M1152,"н/д")</x:f>
        <x:v>н/д</x:v>
      </x:c>
      <x:c r="X1152" s="20" t="str">
        <x:f>IF(J1152="Рассчитано",V1152-W1152,"н/д")</x:f>
        <x:v>н/д</x:v>
      </x:c>
      <x:c r="Y1152" s="26" t="str">
        <x:f>IF(J1152="Рассчитано",IF(V1152&gt;0,G1152/V1152,"н/д"),"н/д")</x:f>
        <x:v>н/д</x:v>
      </x:c>
      <x:c r="Z1152" s="20" t="str">
        <x:f>"н/д"</x:f>
        <x:v>н/д</x:v>
      </x:c>
      <x:c r="AA1152" s="20" t="str">
        <x:f>"н/д"</x:f>
        <x:v>н/д</x:v>
      </x:c>
      <x:c r="AB1152" s="20" t="str">
        <x:f>"н/д"</x:f>
        <x:v>н/д</x:v>
      </x:c>
      <x:c r="AC1152" s="20" t="str">
        <x:f>IF(AND(J1152="Рассчитано",T1152&gt;0,R1152&lt;100),(W1152+P1152+Q1152)/(T1152*(1-R1152/100)),"н/д")</x:f>
        <x:v>н/д</x:v>
      </x:c>
      <x:c r="AD1152" s="11" t="str">
        <x:f>IF(ISNUMBER(G1152),IF(G1152&lt;0,"Убыток",IF(G1152=0,"Без прибыли","Прибыль &gt; 0")),"Не оценён")</x:f>
        <x:v>Не оценён</x:v>
      </x:c>
      <x:c r="AE1152" s="12" t="str">
        <x:f>IF(J1152="Рассчитано","Выручка "&amp;TEXT(V1152,"0.00")&amp;" - себестоимость "&amp;TEXT(W1152,"0.00")&amp;" - комиссия "&amp;TEXT(V1152*R1152/100,"0.00")&amp;" - доставка "&amp;TEXT(P1152,"0.00")&amp;" - прочие "&amp;TEXT(Q1152,"0.00")&amp;" = "&amp;TEXT(G1152,"0.00")&amp;" "&amp;L1152,"Введите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2" s="23" t="n">
        <x:v>0</x:v>
      </x:c>
      <x:c r="AG1152" s="35" t="n">
        <x:v>3</x:v>
      </x:c>
      <x:c r="AH1152" s="35" t="n">
        <x:v>0</x:v>
      </x:c>
      <x:c r="AI1152" s="29" t="n">
        <x:v>46266</x:v>
      </x:c>
      <x:c r="AJ1152" s="35"/>
      <x:c r="AK1152" s="11" t="str">
        <x:v>неизвестно</x:v>
      </x:c>
      <x:c r="AL1152" s="31" t="str">
        <x:v>н/д</x:v>
      </x:c>
      <x:c r="AM1152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152" s="12" t="str">
        <x:v>Проверить свободный остаток и установить цену для B2B</x:v>
      </x:c>
      <x:c r="AO1152" s="12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1152" s="12" t="str">
        <x:v>["category_missing", "daily_stockout_data_missing", "moq_missing", "new_order_lead_time_unknown", "reservations_unknown", "stale_stock", "supplier_sku_missing"]</x:v>
      </x:c>
      <x:c r="AQ1152" s="11" t="str">
        <x:v>IEK:280300356_</x:v>
      </x:c>
      <x:c r="AR1152" s="23" t="n">
        <x:v>1</x:v>
      </x:c>
      <x:c r="AS1152" s="23" t="n">
        <x:v>0</x:v>
      </x:c>
      <x:c r="AT1152" s="23" t="n">
        <x:v>0</x:v>
      </x:c>
    </x:row>
    <x:row r="1153" ht="64" customHeight="1">
      <x:c r="A1153" s="10" t="str">
        <x:v>IEK</x:v>
      </x:c>
      <x:c r="B1153" s="34" t="str">
        <x:v>280300397_</x:v>
      </x:c>
      <x:c r="C1153" s="34" t="str">
        <x:v>UKT11-172-096-045</x:v>
      </x:c>
      <x:c r="D1153" s="13" t="str">
        <x:v>Распределительная коробка с/у для твердых стен 172x96x45 IP20 КМ41006 IEK (70)*</x:v>
      </x:c>
      <x:c r="E1153" s="10" t="str">
        <x:v>шт</x:v>
      </x:c>
      <x:c r="F1153" s="37" t="n">
        <x:f>MAX(0,ROUNDDOWN((AG1153-AF1153)/AR1153+0.000000001,0)*AR1153)</x:f>
        <x:v>41</x:v>
      </x:c>
      <x:c r="G1153" s="21" t="str">
        <x:f>IF(J1153="Рассчитано",V1153*(1-R1153/100)-W1153-P1153-Q1153,"н/д")</x:f>
        <x:v>н/д</x:v>
      </x:c>
      <x:c r="H1153" s="13" t="str">
        <x:v>Высокий</x:v>
      </x:c>
      <x:c r="I1153" s="13" t="str">
        <x:v>Высокий</x:v>
      </x:c>
      <x:c r="J1153" s="13" t="str">
        <x:f>IF(L1153="","Укажите валюту",IF(NOT(ISNUMBER(K1153)),"Укажите объём",IF(K1153&lt;=0,"Укажите объём",IF(K1153&gt;F1153,"Объём выше излишка",IF(COUNT(M1153:O1153)&lt;3,"Нужны цены",IF(COUNT(P1153:R1153)&lt;3,"Нужны расходы",IF(OR(M1153&lt;0,N1153&lt;0,O1153&lt;0,O1153&gt;100,P1153&lt;0,Q1153&lt;0,R1153&lt;0,R1153&gt;100),"Проверьте значения","Рассчитано")))))))</x:f>
        <x:v>Нужны цены</x:v>
      </x:c>
      <x:c r="K1153" s="36" t="n">
        <x:v>41</x:v>
      </x:c>
      <x:c r="L1153" s="19" t="str">
        <x:v>KZT</x:v>
      </x:c>
      <x:c r="M1153" s="22"/>
      <x:c r="N1153" s="22"/>
      <x:c r="O1153" s="28"/>
      <x:c r="P1153" s="22"/>
      <x:c r="Q1153" s="22"/>
      <x:c r="R1153" s="28"/>
      <x:c r="S1153" s="22"/>
      <x:c r="T1153" s="37" t="n">
        <x:f>K1153</x:f>
        <x:v>41</x:v>
      </x:c>
      <x:c r="U1153" s="21" t="str">
        <x:f>IF(J1153="Рассчитано",N1153*(1-O1153/100),"н/д")</x:f>
        <x:v>н/д</x:v>
      </x:c>
      <x:c r="V1153" s="21" t="str">
        <x:f>IF(J1153="Рассчитано",T1153*U1153,"н/д")</x:f>
        <x:v>н/д</x:v>
      </x:c>
      <x:c r="W1153" s="21" t="str">
        <x:f>IF(J1153="Рассчитано",T1153*M1153,"н/д")</x:f>
        <x:v>н/д</x:v>
      </x:c>
      <x:c r="X1153" s="21" t="str">
        <x:f>IF(J1153="Рассчитано",V1153-W1153,"н/д")</x:f>
        <x:v>н/д</x:v>
      </x:c>
      <x:c r="Y1153" s="27" t="str">
        <x:f>IF(J1153="Рассчитано",IF(V1153&gt;0,G1153/V1153,"н/д"),"н/д")</x:f>
        <x:v>н/д</x:v>
      </x:c>
      <x:c r="Z1153" s="21" t="str">
        <x:f>"н/д"</x:f>
        <x:v>н/д</x:v>
      </x:c>
      <x:c r="AA1153" s="21" t="str">
        <x:f>"н/д"</x:f>
        <x:v>н/д</x:v>
      </x:c>
      <x:c r="AB1153" s="21" t="str">
        <x:f>"н/д"</x:f>
        <x:v>н/д</x:v>
      </x:c>
      <x:c r="AC1153" s="21" t="str">
        <x:f>IF(AND(J1153="Рассчитано",T1153&gt;0,R1153&lt;100),(W1153+P1153+Q1153)/(T1153*(1-R1153/100)),"н/д")</x:f>
        <x:v>н/д</x:v>
      </x:c>
      <x:c r="AD1153" s="10" t="str">
        <x:f>IF(ISNUMBER(G1153),IF(G1153&lt;0,"Убыток",IF(G1153=0,"Без прибыли","Прибыль &gt; 0")),"Не оценён")</x:f>
        <x:v>Не оценён</x:v>
      </x:c>
      <x:c r="AE1153" s="13" t="str">
        <x:f>IF(J1153="Рассчитано","Выручка "&amp;TEXT(V1153,"0.00")&amp;" - себестоимость "&amp;TEXT(W1153,"0.00")&amp;" - комиссия "&amp;TEXT(V1153*R1153/100,"0.00")&amp;" - доставка "&amp;TEXT(P1153,"0.00")&amp;" - прочие "&amp;TEXT(Q1153,"0.00")&amp;" = "&amp;TEXT(G1153,"0.00")&amp;" "&amp;L1153,"Введите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3" s="24" t="n">
        <x:v>2.5336059504162582</x:v>
      </x:c>
      <x:c r="AG1153" s="37" t="n">
        <x:v>44</x:v>
      </x:c>
      <x:c r="AH1153" s="37" t="n">
        <x:v>0</x:v>
      </x:c>
      <x:c r="AI1153" s="30" t="n">
        <x:v>46266</x:v>
      </x:c>
      <x:c r="AJ1153" s="37"/>
      <x:c r="AK1153" s="10" t="str">
        <x:v>неизвестно</x:v>
      </x:c>
      <x:c r="AL1153" s="32" t="n">
        <x:v>1476.837292267545</x:v>
      </x:c>
      <x:c r="AM11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53" s="13" t="str">
        <x:v>Проверить свободный остаток и установить цену для B2B</x:v>
      </x:c>
      <x:c r="AO1153" s="13" t="str">
        <x:v>Остаток 44; прогноз 90 дней 2.53; избыток 41 шт. Будущие поступления не выставляются на продажу. Остаток на начало сентября: требуется актуализация.</x:v>
      </x:c>
      <x:c r="AP1153" s="13" t="str">
        <x:v>["category_missing", "daily_stockout_data_missing", "large_orders_detected", "moq_missing", "new_order_lead_time_unknown", "reservations_unknown", "stale_stock"]</x:v>
      </x:c>
      <x:c r="AQ1153" s="10" t="str">
        <x:v>IEK:280300397_</x:v>
      </x:c>
      <x:c r="AR1153" s="24" t="n">
        <x:v>1</x:v>
      </x:c>
      <x:c r="AS1153" s="24" t="n">
        <x:v>0</x:v>
      </x:c>
      <x:c r="AT1153" s="24" t="n">
        <x:v>0</x:v>
      </x:c>
    </x:row>
    <x:row r="1154" ht="64" customHeight="1">
      <x:c r="A1154" s="11" t="str">
        <x:v>IEK</x:v>
      </x:c>
      <x:c r="B1154" s="33" t="str">
        <x:v>280300399_</x:v>
      </x:c>
      <x:c r="C1154" s="33" t="str">
        <x:v>UKG11-172-096-045-P</x:v>
      </x:c>
      <x:c r="D1154" s="12" t="str">
        <x:v>Распределительная коробка с/у для полых стен г/к 172х96x45 IP20 КМ41026 IEK (70)</x:v>
      </x:c>
      <x:c r="E1154" s="11" t="str">
        <x:v>шт</x:v>
      </x:c>
      <x:c r="F1154" s="35" t="n">
        <x:f>MAX(0,ROUNDDOWN((AG1154-AF1154)/AR1154+0.000000001,0)*AR1154)</x:f>
        <x:v>42</x:v>
      </x:c>
      <x:c r="G1154" s="20" t="str">
        <x:f>IF(J1154="Рассчитано",V1154*(1-R1154/100)-W1154-P1154-Q1154,"н/д")</x:f>
        <x:v>н/д</x:v>
      </x:c>
      <x:c r="H1154" s="12" t="str">
        <x:v>Высокий</x:v>
      </x:c>
      <x:c r="I1154" s="12" t="str">
        <x:v>Высокий</x:v>
      </x:c>
      <x:c r="J1154" s="12" t="str">
        <x:f>IF(L1154="","Укажите валюту",IF(NOT(ISNUMBER(K1154)),"Укажите объём",IF(K1154&lt;=0,"Укажите объём",IF(K1154&gt;F1154,"Объём выше излишка",IF(COUNT(M1154:O1154)&lt;3,"Нужны цены",IF(COUNT(P1154:R1154)&lt;3,"Нужны расходы",IF(OR(M1154&lt;0,N1154&lt;0,O1154&lt;0,O1154&gt;100,P1154&lt;0,Q1154&lt;0,R1154&lt;0,R1154&gt;100),"Проверьте значения","Рассчитано")))))))</x:f>
        <x:v>Нужны цены</x:v>
      </x:c>
      <x:c r="K1154" s="36" t="n">
        <x:v>42</x:v>
      </x:c>
      <x:c r="L1154" s="19" t="str">
        <x:v>KZT</x:v>
      </x:c>
      <x:c r="M1154" s="22"/>
      <x:c r="N1154" s="22"/>
      <x:c r="O1154" s="28"/>
      <x:c r="P1154" s="22"/>
      <x:c r="Q1154" s="22"/>
      <x:c r="R1154" s="28"/>
      <x:c r="S1154" s="22"/>
      <x:c r="T1154" s="35" t="n">
        <x:f>K1154</x:f>
        <x:v>42</x:v>
      </x:c>
      <x:c r="U1154" s="20" t="str">
        <x:f>IF(J1154="Рассчитано",N1154*(1-O1154/100),"н/д")</x:f>
        <x:v>н/д</x:v>
      </x:c>
      <x:c r="V1154" s="20" t="str">
        <x:f>IF(J1154="Рассчитано",T1154*U1154,"н/д")</x:f>
        <x:v>н/д</x:v>
      </x:c>
      <x:c r="W1154" s="20" t="str">
        <x:f>IF(J1154="Рассчитано",T1154*M1154,"н/д")</x:f>
        <x:v>н/д</x:v>
      </x:c>
      <x:c r="X1154" s="20" t="str">
        <x:f>IF(J1154="Рассчитано",V1154-W1154,"н/д")</x:f>
        <x:v>н/д</x:v>
      </x:c>
      <x:c r="Y1154" s="26" t="str">
        <x:f>IF(J1154="Рассчитано",IF(V1154&gt;0,G1154/V1154,"н/д"),"н/д")</x:f>
        <x:v>н/д</x:v>
      </x:c>
      <x:c r="Z1154" s="20" t="str">
        <x:f>"н/д"</x:f>
        <x:v>н/д</x:v>
      </x:c>
      <x:c r="AA1154" s="20" t="str">
        <x:f>"н/д"</x:f>
        <x:v>н/д</x:v>
      </x:c>
      <x:c r="AB1154" s="20" t="str">
        <x:f>"н/д"</x:f>
        <x:v>н/д</x:v>
      </x:c>
      <x:c r="AC1154" s="20" t="str">
        <x:f>IF(AND(J1154="Рассчитано",T1154&gt;0,R1154&lt;100),(W1154+P1154+Q1154)/(T1154*(1-R1154/100)),"н/д")</x:f>
        <x:v>н/д</x:v>
      </x:c>
      <x:c r="AD1154" s="11" t="str">
        <x:f>IF(ISNUMBER(G1154),IF(G1154&lt;0,"Убыток",IF(G1154=0,"Без прибыли","Прибыль &gt; 0")),"Не оценён")</x:f>
        <x:v>Не оценён</x:v>
      </x:c>
      <x:c r="AE1154" s="12" t="str">
        <x:f>IF(J1154="Рассчитано","Выручка "&amp;TEXT(V1154,"0.00")&amp;" - себестоимость "&amp;TEXT(W1154,"0.00")&amp;" - комиссия "&amp;TEXT(V1154*R1154/100,"0.00")&amp;" - доставка "&amp;TEXT(P1154,"0.00")&amp;" - прочие "&amp;TEXT(Q1154,"0.00")&amp;" = "&amp;TEXT(G1154,"0.00")&amp;" "&amp;L1154,"Введите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4" s="23" t="n">
        <x:v>7.867340590220894</x:v>
      </x:c>
      <x:c r="AG1154" s="35" t="n">
        <x:v>50</x:v>
      </x:c>
      <x:c r="AH1154" s="35" t="n">
        <x:v>0</x:v>
      </x:c>
      <x:c r="AI1154" s="29" t="n">
        <x:v>46266</x:v>
      </x:c>
      <x:c r="AJ1154" s="35"/>
      <x:c r="AK1154" s="11" t="str">
        <x:v>неизвестно</x:v>
      </x:c>
      <x:c r="AL1154" s="31" t="n">
        <x:v>540.4569383702085</x:v>
      </x:c>
      <x:c r="AM1154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54" s="12" t="str">
        <x:v>Проверить свободный остаток и установить цену для B2B</x:v>
      </x:c>
      <x:c r="AO1154" s="12" t="str">
        <x:v>Остаток 50; прогноз 90 дней 7.87; избыток 42 шт. Будущие поступления не выставляются на продажу. Остаток на начало сентября: требуется актуализация.</x:v>
      </x:c>
      <x:c r="AP1154" s="12" t="str">
        <x:v>["category_missing", "daily_stockout_data_missing", "large_orders_detected", "moq_missing", "negative_net_sales_clipped_for_forecast", "new_order_lead_time_unknown", "reservations_unknown", "stale_stock", "transaction_month_mismatch"]</x:v>
      </x:c>
      <x:c r="AQ1154" s="11" t="str">
        <x:v>IEK:280300399_</x:v>
      </x:c>
      <x:c r="AR1154" s="23" t="n">
        <x:v>1</x:v>
      </x:c>
      <x:c r="AS1154" s="23" t="n">
        <x:v>0</x:v>
      </x:c>
      <x:c r="AT1154" s="23" t="n">
        <x:v>0</x:v>
      </x:c>
    </x:row>
    <x:row r="1155" ht="64" customHeight="1">
      <x:c r="A1155" s="10" t="str">
        <x:v>IEK</x:v>
      </x:c>
      <x:c r="B1155" s="34" t="str">
        <x:v>280300400_</x:v>
      </x:c>
      <x:c r="C1155" s="34" t="str">
        <x:v>UKG20-141-070-045-M</x:v>
      </x:c>
      <x:c r="D1155" s="13" t="str">
        <x:v>Установочная коробка для полых стен г/к 141х70x45 КМ40023 IEK (100)</x:v>
      </x:c>
      <x:c r="E1155" s="10" t="str">
        <x:v>шт</x:v>
      </x:c>
      <x:c r="F1155" s="37" t="n">
        <x:f>MAX(0,ROUNDDOWN((AG1155-AF1155)/AR1155+0.000000001,0)*AR1155)</x:f>
        <x:v>69</x:v>
      </x:c>
      <x:c r="G1155" s="21" t="str">
        <x:f>IF(J1155="Рассчитано",V1155*(1-R1155/100)-W1155-P1155-Q1155,"н/д")</x:f>
        <x:v>н/д</x:v>
      </x:c>
      <x:c r="H1155" s="13" t="str">
        <x:v>Высокий</x:v>
      </x:c>
      <x:c r="I1155" s="13" t="str">
        <x:v>Высокий</x:v>
      </x:c>
      <x:c r="J1155" s="13" t="str">
        <x:f>IF(L1155="","Укажите валюту",IF(NOT(ISNUMBER(K1155)),"Укажите объём",IF(K1155&lt;=0,"Укажите объём",IF(K1155&gt;F1155,"Объём выше излишка",IF(COUNT(M1155:O1155)&lt;3,"Нужны цены",IF(COUNT(P1155:R1155)&lt;3,"Нужны расходы",IF(OR(M1155&lt;0,N1155&lt;0,O1155&lt;0,O1155&gt;100,P1155&lt;0,Q1155&lt;0,R1155&lt;0,R1155&gt;100),"Проверьте значения","Рассчитано")))))))</x:f>
        <x:v>Нужны цены</x:v>
      </x:c>
      <x:c r="K1155" s="36" t="n">
        <x:v>69</x:v>
      </x:c>
      <x:c r="L1155" s="19" t="str">
        <x:v>KZT</x:v>
      </x:c>
      <x:c r="M1155" s="22"/>
      <x:c r="N1155" s="22"/>
      <x:c r="O1155" s="28"/>
      <x:c r="P1155" s="22"/>
      <x:c r="Q1155" s="22"/>
      <x:c r="R1155" s="28"/>
      <x:c r="S1155" s="22"/>
      <x:c r="T1155" s="37" t="n">
        <x:f>K1155</x:f>
        <x:v>69</x:v>
      </x:c>
      <x:c r="U1155" s="21" t="str">
        <x:f>IF(J1155="Рассчитано",N1155*(1-O1155/100),"н/д")</x:f>
        <x:v>н/д</x:v>
      </x:c>
      <x:c r="V1155" s="21" t="str">
        <x:f>IF(J1155="Рассчитано",T1155*U1155,"н/д")</x:f>
        <x:v>н/д</x:v>
      </x:c>
      <x:c r="W1155" s="21" t="str">
        <x:f>IF(J1155="Рассчитано",T1155*M1155,"н/д")</x:f>
        <x:v>н/д</x:v>
      </x:c>
      <x:c r="X1155" s="21" t="str">
        <x:f>IF(J1155="Рассчитано",V1155-W1155,"н/д")</x:f>
        <x:v>н/д</x:v>
      </x:c>
      <x:c r="Y1155" s="27" t="str">
        <x:f>IF(J1155="Рассчитано",IF(V1155&gt;0,G1155/V1155,"н/д"),"н/д")</x:f>
        <x:v>н/д</x:v>
      </x:c>
      <x:c r="Z1155" s="21" t="str">
        <x:f>"н/д"</x:f>
        <x:v>н/д</x:v>
      </x:c>
      <x:c r="AA1155" s="21" t="str">
        <x:f>"н/д"</x:f>
        <x:v>н/д</x:v>
      </x:c>
      <x:c r="AB1155" s="21" t="str">
        <x:f>"н/д"</x:f>
        <x:v>н/д</x:v>
      </x:c>
      <x:c r="AC1155" s="21" t="str">
        <x:f>IF(AND(J1155="Рассчитано",T1155&gt;0,R1155&lt;100),(W1155+P1155+Q1155)/(T1155*(1-R1155/100)),"н/д")</x:f>
        <x:v>н/д</x:v>
      </x:c>
      <x:c r="AD1155" s="10" t="str">
        <x:f>IF(ISNUMBER(G1155),IF(G1155&lt;0,"Убыток",IF(G1155=0,"Без прибыли","Прибыль &gt; 0")),"Не оценён")</x:f>
        <x:v>Не оценён</x:v>
      </x:c>
      <x:c r="AE1155" s="13" t="str">
        <x:f>IF(J1155="Рассчитано","Выручка "&amp;TEXT(V1155,"0.00")&amp;" - себестоимость "&amp;TEXT(W1155,"0.00")&amp;" - комиссия "&amp;TEXT(V1155*R1155/100,"0.00")&amp;" - доставка "&amp;TEXT(P1155,"0.00")&amp;" - прочие "&amp;TEXT(Q1155,"0.00")&amp;" = "&amp;TEXT(G1155,"0.00")&amp;" "&amp;L1155,"Введите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5" s="24" t="n">
        <x:v>7.682937604029677</x:v>
      </x:c>
      <x:c r="AG1155" s="37" t="n">
        <x:v>77</x:v>
      </x:c>
      <x:c r="AH1155" s="37" t="n">
        <x:v>0</x:v>
      </x:c>
      <x:c r="AI1155" s="30" t="n">
        <x:v>46266</x:v>
      </x:c>
      <x:c r="AJ1155" s="37"/>
      <x:c r="AK1155" s="10" t="str">
        <x:v>неизвестно</x:v>
      </x:c>
      <x:c r="AL1155" s="32" t="n">
        <x:v>852.280325908871</x:v>
      </x:c>
      <x:c r="AM115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55" s="13" t="str">
        <x:v>Проверить свободный остаток и установить цену для B2B</x:v>
      </x:c>
      <x:c r="AO1155" s="13" t="str">
        <x:v>Остаток 77; прогноз 90 дней 7.68; избыток 69 шт. Будущие поступления не выставляются на продажу. Остаток на начало сентября: требуется актуализация.</x:v>
      </x:c>
      <x:c r="AP1155" s="13" t="str">
        <x:v>["category_missing", "daily_stockout_data_missing", "moq_missing", "new_order_lead_time_unknown", "reservations_unknown", "stale_stock"]</x:v>
      </x:c>
      <x:c r="AQ1155" s="10" t="str">
        <x:v>IEK:280300400_</x:v>
      </x:c>
      <x:c r="AR1155" s="24" t="n">
        <x:v>1</x:v>
      </x:c>
      <x:c r="AS1155" s="24" t="n">
        <x:v>0</x:v>
      </x:c>
      <x:c r="AT1155" s="24" t="n">
        <x:v>0</x:v>
      </x:c>
    </x:row>
    <x:row r="1156" ht="64" customHeight="1">
      <x:c r="A1156" s="11" t="str">
        <x:v>IEK</x:v>
      </x:c>
      <x:c r="B1156" s="33" t="str">
        <x:v>280300401_</x:v>
      </x:c>
      <x:c r="C1156" s="33" t="str">
        <x:v>UKO11-085-085-040-K41-44</x:v>
      </x:c>
      <x:c r="D1156" s="12" t="str">
        <x:v>КМ41235 распаячн. для о/п 85х85х40 мм IP44 (6 гермовводов) IEK (60)</x:v>
      </x:c>
      <x:c r="E1156" s="11" t="str">
        <x:v>шт</x:v>
      </x:c>
      <x:c r="F1156" s="35" t="n">
        <x:f>MAX(0,ROUNDDOWN((AG1156-AF1156)/AR1156+0.000000001,0)*AR1156)</x:f>
        <x:v>91</x:v>
      </x:c>
      <x:c r="G1156" s="20" t="str">
        <x:f>IF(J1156="Рассчитано",V1156*(1-R1156/100)-W1156-P1156-Q1156,"н/д")</x:f>
        <x:v>н/д</x:v>
      </x:c>
      <x:c r="H1156" s="12" t="str">
        <x:v>Высокий</x:v>
      </x:c>
      <x:c r="I1156" s="12" t="str">
        <x:v>Средний</x:v>
      </x:c>
      <x:c r="J1156" s="12" t="str">
        <x:f>IF(L1156="","Укажите валюту",IF(NOT(ISNUMBER(K1156)),"Укажите объём",IF(K1156&lt;=0,"Укажите объём",IF(K1156&gt;F1156,"Объём выше излишка",IF(COUNT(M1156:O1156)&lt;3,"Нужны цены",IF(COUNT(P1156:R1156)&lt;3,"Нужны расходы",IF(OR(M1156&lt;0,N1156&lt;0,O1156&lt;0,O1156&gt;100,P1156&lt;0,Q1156&lt;0,R1156&lt;0,R1156&gt;100),"Проверьте значения","Рассчитано")))))))</x:f>
        <x:v>Нужны цены</x:v>
      </x:c>
      <x:c r="K1156" s="36" t="n">
        <x:v>91</x:v>
      </x:c>
      <x:c r="L1156" s="19" t="str">
        <x:v>KZT</x:v>
      </x:c>
      <x:c r="M1156" s="22"/>
      <x:c r="N1156" s="22"/>
      <x:c r="O1156" s="28"/>
      <x:c r="P1156" s="22"/>
      <x:c r="Q1156" s="22"/>
      <x:c r="R1156" s="28"/>
      <x:c r="S1156" s="22"/>
      <x:c r="T1156" s="35" t="n">
        <x:f>K1156</x:f>
        <x:v>91</x:v>
      </x:c>
      <x:c r="U1156" s="20" t="str">
        <x:f>IF(J1156="Рассчитано",N1156*(1-O1156/100),"н/д")</x:f>
        <x:v>н/д</x:v>
      </x:c>
      <x:c r="V1156" s="20" t="str">
        <x:f>IF(J1156="Рассчитано",T1156*U1156,"н/д")</x:f>
        <x:v>н/д</x:v>
      </x:c>
      <x:c r="W1156" s="20" t="str">
        <x:f>IF(J1156="Рассчитано",T1156*M1156,"н/д")</x:f>
        <x:v>н/д</x:v>
      </x:c>
      <x:c r="X1156" s="20" t="str">
        <x:f>IF(J1156="Рассчитано",V1156-W1156,"н/д")</x:f>
        <x:v>н/д</x:v>
      </x:c>
      <x:c r="Y1156" s="26" t="str">
        <x:f>IF(J1156="Рассчитано",IF(V1156&gt;0,G1156/V1156,"н/д"),"н/д")</x:f>
        <x:v>н/д</x:v>
      </x:c>
      <x:c r="Z1156" s="20" t="str">
        <x:f>"н/д"</x:f>
        <x:v>н/д</x:v>
      </x:c>
      <x:c r="AA1156" s="20" t="str">
        <x:f>"н/д"</x:f>
        <x:v>н/д</x:v>
      </x:c>
      <x:c r="AB1156" s="20" t="str">
        <x:f>"н/д"</x:f>
        <x:v>н/д</x:v>
      </x:c>
      <x:c r="AC1156" s="20" t="str">
        <x:f>IF(AND(J1156="Рассчитано",T1156&gt;0,R1156&lt;100),(W1156+P1156+Q1156)/(T1156*(1-R1156/100)),"н/д")</x:f>
        <x:v>н/д</x:v>
      </x:c>
      <x:c r="AD1156" s="11" t="str">
        <x:f>IF(ISNUMBER(G1156),IF(G1156&lt;0,"Убыток",IF(G1156=0,"Без прибыли","Прибыль &gt; 0")),"Не оценён")</x:f>
        <x:v>Не оценён</x:v>
      </x:c>
      <x:c r="AE1156" s="12" t="str">
        <x:f>IF(J1156="Рассчитано","Выручка "&amp;TEXT(V1156,"0.00")&amp;" - себестоимость "&amp;TEXT(W1156,"0.00")&amp;" - комиссия "&amp;TEXT(V1156*R1156/100,"0.00")&amp;" - доставка "&amp;TEXT(P1156,"0.00")&amp;" - прочие "&amp;TEXT(Q1156,"0.00")&amp;" = "&amp;TEXT(G1156,"0.00")&amp;" "&amp;L1156,"Введите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6" s="23" t="n">
        <x:v>232.37249799214135</x:v>
      </x:c>
      <x:c r="AG1156" s="35" t="n">
        <x:v>324</x:v>
      </x:c>
      <x:c r="AH1156" s="35" t="n">
        <x:v>0</x:v>
      </x:c>
      <x:c r="AI1156" s="29" t="n">
        <x:v>46266</x:v>
      </x:c>
      <x:c r="AJ1156" s="35" t="n">
        <x:v>60</x:v>
      </x:c>
      <x:c r="AK1156" s="11" t="str">
        <x:v>минимум</x:v>
      </x:c>
      <x:c r="AL1156" s="31" t="n">
        <x:v>118.57123074888854</x:v>
      </x:c>
      <x:c r="AM1156" s="12" t="str">
        <x:v>Остаток на начало сентября; Резервы неизвестны; Детальные и месячные продажи расходятся; Нет ежедневных данных доступности. Запас выше прогноза на 90 дней</x:v>
      </x:c>
      <x:c r="AN1156" s="12" t="str">
        <x:v>Проверить свободный остаток и установить цену для B2B</x:v>
      </x:c>
      <x:c r="AO1156" s="12" t="str">
        <x:v>Остаток 324; прогноз 90 дней 232.37; избыток 91 шт. Будущие поступления не выставляются на продажу. Остаток на начало сентября: требуется актуализация.</x:v>
      </x:c>
      <x:c r="AP1156" s="12" t="str">
        <x:v>["category_missing", "daily_stockout_data_missing", "large_orders_detected", "new_order_lead_time_unknown", "reservations_unknown", "stale_stock", "transaction_month_mismatch"]</x:v>
      </x:c>
      <x:c r="AQ1156" s="11" t="str">
        <x:v>IEK:280300401_</x:v>
      </x:c>
      <x:c r="AR1156" s="23" t="n">
        <x:v>1</x:v>
      </x:c>
      <x:c r="AS1156" s="23" t="n">
        <x:v>0</x:v>
      </x:c>
      <x:c r="AT1156" s="23" t="n">
        <x:v>0</x:v>
      </x:c>
    </x:row>
    <x:row r="1157" ht="64" customHeight="1">
      <x:c r="A1157" s="10" t="str">
        <x:v>IEK</x:v>
      </x:c>
      <x:c r="B1157" s="34" t="str">
        <x:v>280300402_</x:v>
      </x:c>
      <x:c r="C1157" s="34" t="str">
        <x:v>UKO11-190-140-070-K41-55</x:v>
      </x:c>
      <x:c r="D1157" s="13" t="str">
        <x:v>КМ41244 распаячн. для о/п 190х140х70 мм IP55 (10 гермовводов IEK (20)</x:v>
      </x:c>
      <x:c r="E1157" s="10" t="str">
        <x:v>шт</x:v>
      </x:c>
      <x:c r="F1157" s="37" t="n">
        <x:f>MAX(0,ROUNDDOWN((AG1157-AF1157)/AR1157+0.000000001,0)*AR1157)</x:f>
        <x:v>30</x:v>
      </x:c>
      <x:c r="G1157" s="21" t="str">
        <x:f>IF(J1157="Рассчитано",V1157*(1-R1157/100)-W1157-P1157-Q1157,"н/д")</x:f>
        <x:v>н/д</x:v>
      </x:c>
      <x:c r="H1157" s="13" t="str">
        <x:v>Высокий</x:v>
      </x:c>
      <x:c r="I1157" s="13" t="str">
        <x:v>Средний</x:v>
      </x:c>
      <x:c r="J1157" s="13" t="str">
        <x:f>IF(L1157="","Укажите валюту",IF(NOT(ISNUMBER(K1157)),"Укажите объём",IF(K1157&lt;=0,"Укажите объём",IF(K1157&gt;F1157,"Объём выше излишка",IF(COUNT(M1157:O1157)&lt;3,"Нужны цены",IF(COUNT(P1157:R1157)&lt;3,"Нужны расходы",IF(OR(M1157&lt;0,N1157&lt;0,O1157&lt;0,O1157&gt;100,P1157&lt;0,Q1157&lt;0,R1157&lt;0,R1157&gt;100),"Проверьте значения","Рассчитано")))))))</x:f>
        <x:v>Нужны цены</x:v>
      </x:c>
      <x:c r="K1157" s="36" t="n">
        <x:v>30</x:v>
      </x:c>
      <x:c r="L1157" s="19" t="str">
        <x:v>KZT</x:v>
      </x:c>
      <x:c r="M1157" s="22"/>
      <x:c r="N1157" s="22"/>
      <x:c r="O1157" s="28"/>
      <x:c r="P1157" s="22"/>
      <x:c r="Q1157" s="22"/>
      <x:c r="R1157" s="28"/>
      <x:c r="S1157" s="22"/>
      <x:c r="T1157" s="37" t="n">
        <x:f>K1157</x:f>
        <x:v>30</x:v>
      </x:c>
      <x:c r="U1157" s="21" t="str">
        <x:f>IF(J1157="Рассчитано",N1157*(1-O1157/100),"н/д")</x:f>
        <x:v>н/д</x:v>
      </x:c>
      <x:c r="V1157" s="21" t="str">
        <x:f>IF(J1157="Рассчитано",T1157*U1157,"н/д")</x:f>
        <x:v>н/д</x:v>
      </x:c>
      <x:c r="W1157" s="21" t="str">
        <x:f>IF(J1157="Рассчитано",T1157*M1157,"н/д")</x:f>
        <x:v>н/д</x:v>
      </x:c>
      <x:c r="X1157" s="21" t="str">
        <x:f>IF(J1157="Рассчитано",V1157-W1157,"н/д")</x:f>
        <x:v>н/д</x:v>
      </x:c>
      <x:c r="Y1157" s="27" t="str">
        <x:f>IF(J1157="Рассчитано",IF(V1157&gt;0,G1157/V1157,"н/д"),"н/д")</x:f>
        <x:v>н/д</x:v>
      </x:c>
      <x:c r="Z1157" s="21" t="str">
        <x:f>"н/д"</x:f>
        <x:v>н/д</x:v>
      </x:c>
      <x:c r="AA1157" s="21" t="str">
        <x:f>"н/д"</x:f>
        <x:v>н/д</x:v>
      </x:c>
      <x:c r="AB1157" s="21" t="str">
        <x:f>"н/д"</x:f>
        <x:v>н/д</x:v>
      </x:c>
      <x:c r="AC1157" s="21" t="str">
        <x:f>IF(AND(J1157="Рассчитано",T1157&gt;0,R1157&lt;100),(W1157+P1157+Q1157)/(T1157*(1-R1157/100)),"н/д")</x:f>
        <x:v>н/д</x:v>
      </x:c>
      <x:c r="AD1157" s="10" t="str">
        <x:f>IF(ISNUMBER(G1157),IF(G1157&lt;0,"Убыток",IF(G1157=0,"Без прибыли","Прибыль &gt; 0")),"Не оценён")</x:f>
        <x:v>Не оценён</x:v>
      </x:c>
      <x:c r="AE1157" s="13" t="str">
        <x:f>IF(J1157="Рассчитано","Выручка "&amp;TEXT(V1157,"0.00")&amp;" - себестоимость "&amp;TEXT(W1157,"0.00")&amp;" - комиссия "&amp;TEXT(V1157*R1157/100,"0.00")&amp;" - доставка "&amp;TEXT(P1157,"0.00")&amp;" - прочие "&amp;TEXT(Q1157,"0.00")&amp;" = "&amp;TEXT(G1157,"0.00")&amp;" "&amp;L1157,"Введите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7" s="24" t="n">
        <x:v>88.34224567808359</x:v>
      </x:c>
      <x:c r="AG1157" s="37" t="n">
        <x:v>119</x:v>
      </x:c>
      <x:c r="AH1157" s="37" t="n">
        <x:v>0</x:v>
      </x:c>
      <x:c r="AI1157" s="30" t="n">
        <x:v>46266</x:v>
      </x:c>
      <x:c r="AJ1157" s="37" t="n">
        <x:v>20</x:v>
      </x:c>
      <x:c r="AK1157" s="10" t="str">
        <x:v>минимум</x:v>
      </x:c>
      <x:c r="AL1157" s="32" t="n">
        <x:v>114.55065338865269</x:v>
      </x:c>
      <x:c r="AM1157" s="13" t="str">
        <x:v>Остаток на начало сентября; Резервы неизвестны; Нет ежедневных данных доступности. Запас выше прогноза на 90 дней</x:v>
      </x:c>
      <x:c r="AN1157" s="13" t="str">
        <x:v>Проверить свободный остаток и установить цену для B2B</x:v>
      </x:c>
      <x:c r="AO1157" s="13" t="str">
        <x:v>Остаток 119; прогноз 90 дней 88.34; избыток 30 шт. Будущие поступления не выставляются на продажу. Остаток на начало сентября: требуется актуализация.</x:v>
      </x:c>
      <x:c r="AP1157" s="13" t="str">
        <x:v>["category_missing", "daily_stockout_data_missing", "negative_net_sales_clipped_for_forecast", "new_order_lead_time_unknown", "reservations_unknown", "stale_stock"]</x:v>
      </x:c>
      <x:c r="AQ1157" s="10" t="str">
        <x:v>IEK:280300402_</x:v>
      </x:c>
      <x:c r="AR1157" s="24" t="n">
        <x:v>1</x:v>
      </x:c>
      <x:c r="AS1157" s="24" t="n">
        <x:v>0</x:v>
      </x:c>
      <x:c r="AT1157" s="24" t="n">
        <x:v>0</x:v>
      </x:c>
    </x:row>
    <x:row r="1158" ht="64" customHeight="1">
      <x:c r="A1158" s="11" t="str">
        <x:v>IEK</x:v>
      </x:c>
      <x:c r="B1158" s="33" t="str">
        <x:v>280300403_</x:v>
      </x:c>
      <x:c r="C1158" s="33" t="str">
        <x:v>UKOZ11-070-070-040-K41-44</x:v>
      </x:c>
      <x:c r="D1158" s="12" t="str">
        <x:v>КМ41236 распаячн. для о/п 70х70х40 IP44 (4 гермоввода, с крышкой) IEK (84)</x:v>
      </x:c>
      <x:c r="E1158" s="11" t="str">
        <x:v>шт</x:v>
      </x:c>
      <x:c r="F1158" s="35" t="n">
        <x:f>MAX(0,ROUNDDOWN((AG1158-AF1158)/AR1158+0.000000001,0)*AR1158)</x:f>
        <x:v>302</x:v>
      </x:c>
      <x:c r="G1158" s="20" t="str">
        <x:f>IF(J1158="Рассчитано",V1158*(1-R1158/100)-W1158-P1158-Q1158,"н/д")</x:f>
        <x:v>н/д</x:v>
      </x:c>
      <x:c r="H1158" s="12" t="str">
        <x:v>Высокий</x:v>
      </x:c>
      <x:c r="I1158" s="12" t="str">
        <x:v>Высокий</x:v>
      </x:c>
      <x:c r="J1158" s="12" t="str">
        <x:f>IF(L1158="","Укажите валюту",IF(NOT(ISNUMBER(K1158)),"Укажите объём",IF(K1158&lt;=0,"Укажите объём",IF(K1158&gt;F1158,"Объём выше излишка",IF(COUNT(M1158:O1158)&lt;3,"Нужны цены",IF(COUNT(P1158:R1158)&lt;3,"Нужны расходы",IF(OR(M1158&lt;0,N1158&lt;0,O1158&lt;0,O1158&gt;100,P1158&lt;0,Q1158&lt;0,R1158&lt;0,R1158&gt;100),"Проверьте значения","Рассчитано")))))))</x:f>
        <x:v>Нужны цены</x:v>
      </x:c>
      <x:c r="K1158" s="36" t="n">
        <x:v>302</x:v>
      </x:c>
      <x:c r="L1158" s="19" t="str">
        <x:v>KZT</x:v>
      </x:c>
      <x:c r="M1158" s="22"/>
      <x:c r="N1158" s="22"/>
      <x:c r="O1158" s="28"/>
      <x:c r="P1158" s="22"/>
      <x:c r="Q1158" s="22"/>
      <x:c r="R1158" s="28"/>
      <x:c r="S1158" s="22"/>
      <x:c r="T1158" s="35" t="n">
        <x:f>K1158</x:f>
        <x:v>302</x:v>
      </x:c>
      <x:c r="U1158" s="20" t="str">
        <x:f>IF(J1158="Рассчитано",N1158*(1-O1158/100),"н/д")</x:f>
        <x:v>н/д</x:v>
      </x:c>
      <x:c r="V1158" s="20" t="str">
        <x:f>IF(J1158="Рассчитано",T1158*U1158,"н/д")</x:f>
        <x:v>н/д</x:v>
      </x:c>
      <x:c r="W1158" s="20" t="str">
        <x:f>IF(J1158="Рассчитано",T1158*M1158,"н/д")</x:f>
        <x:v>н/д</x:v>
      </x:c>
      <x:c r="X1158" s="20" t="str">
        <x:f>IF(J1158="Рассчитано",V1158-W1158,"н/д")</x:f>
        <x:v>н/д</x:v>
      </x:c>
      <x:c r="Y1158" s="26" t="str">
        <x:f>IF(J1158="Рассчитано",IF(V1158&gt;0,G1158/V1158,"н/д"),"н/д")</x:f>
        <x:v>н/д</x:v>
      </x:c>
      <x:c r="Z1158" s="20" t="str">
        <x:f>"н/д"</x:f>
        <x:v>н/д</x:v>
      </x:c>
      <x:c r="AA1158" s="20" t="str">
        <x:f>"н/д"</x:f>
        <x:v>н/д</x:v>
      </x:c>
      <x:c r="AB1158" s="20" t="str">
        <x:f>"н/д"</x:f>
        <x:v>н/д</x:v>
      </x:c>
      <x:c r="AC1158" s="20" t="str">
        <x:f>IF(AND(J1158="Рассчитано",T1158&gt;0,R1158&lt;100),(W1158+P1158+Q1158)/(T1158*(1-R1158/100)),"н/д")</x:f>
        <x:v>н/д</x:v>
      </x:c>
      <x:c r="AD1158" s="11" t="str">
        <x:f>IF(ISNUMBER(G1158),IF(G1158&lt;0,"Убыток",IF(G1158=0,"Без прибыли","Прибыль &gt; 0")),"Не оценён")</x:f>
        <x:v>Не оценён</x:v>
      </x:c>
      <x:c r="AE1158" s="12" t="str">
        <x:f>IF(J1158="Рассчитано","Выручка "&amp;TEXT(V1158,"0.00")&amp;" - себестоимость "&amp;TEXT(W1158,"0.00")&amp;" - комиссия "&amp;TEXT(V1158*R1158/100,"0.00")&amp;" - доставка "&amp;TEXT(P1158,"0.00")&amp;" - прочие "&amp;TEXT(Q1158,"0.00")&amp;" = "&amp;TEXT(G1158,"0.00")&amp;" "&amp;L1158,"Введите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8" s="23" t="n">
        <x:v>103.23452546674616</x:v>
      </x:c>
      <x:c r="AG1158" s="35" t="n">
        <x:v>406</x:v>
      </x:c>
      <x:c r="AH1158" s="35" t="n">
        <x:v>0</x:v>
      </x:c>
      <x:c r="AI1158" s="29" t="n">
        <x:v>46266</x:v>
      </x:c>
      <x:c r="AJ1158" s="35" t="n">
        <x:v>84</x:v>
      </x:c>
      <x:c r="AK1158" s="11" t="str">
        <x:v>минимум</x:v>
      </x:c>
      <x:c r="AL1158" s="31" t="n">
        <x:v>334.4414610225908</x:v>
      </x:c>
      <x:c r="AM1158" s="12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58" s="12" t="str">
        <x:v>Проверить свободный остаток и установить цену для B2B</x:v>
      </x:c>
      <x:c r="AO1158" s="12" t="str">
        <x:v>Остаток 406; прогноз 90 дней 103.23; избыток 302 шт. Будущие поступления не выставляются на продажу. Остаток на начало сентября: требуется актуализация.</x:v>
      </x:c>
      <x:c r="AP1158" s="12" t="str">
        <x:v>["category_missing", "daily_stockout_data_missing", "large_orders_detected", "negative_net_sales_clipped_for_forecast", "new_order_lead_time_unknown", "reservations_unknown", "stale_stock", "transaction_month_mismatch"]</x:v>
      </x:c>
      <x:c r="AQ1158" s="11" t="str">
        <x:v>IEK:280300403_</x:v>
      </x:c>
      <x:c r="AR1158" s="23" t="n">
        <x:v>1</x:v>
      </x:c>
      <x:c r="AS1158" s="23" t="n">
        <x:v>0</x:v>
      </x:c>
      <x:c r="AT1158" s="23" t="n">
        <x:v>0</x:v>
      </x:c>
    </x:row>
    <x:row r="1159" ht="64" customHeight="1">
      <x:c r="A1159" s="10" t="str">
        <x:v>IEK</x:v>
      </x:c>
      <x:c r="B1159" s="34" t="str">
        <x:v>280300404_</x:v>
      </x:c>
      <x:c r="C1159" s="34" t="str">
        <x:v>UKOZ11-100-100-050-K41-44</x:v>
      </x:c>
      <x:c r="D1159" s="13" t="str">
        <x:v>КМ41255 распаячн. для о/п 100х100х50 IP44 (6 гермовводов, с крышкой) IEK (48)</x:v>
      </x:c>
      <x:c r="E1159" s="10" t="str">
        <x:v>шт</x:v>
      </x:c>
      <x:c r="F1159" s="37" t="n">
        <x:f>MAX(0,ROUNDDOWN((AG1159-AF1159)/AR1159+0.000000001,0)*AR1159)</x:f>
        <x:v>1923</x:v>
      </x:c>
      <x:c r="G1159" s="21" t="str">
        <x:f>IF(J1159="Рассчитано",V1159*(1-R1159/100)-W1159-P1159-Q1159,"н/д")</x:f>
        <x:v>н/д</x:v>
      </x:c>
      <x:c r="H1159" s="13" t="str">
        <x:v>Высокий</x:v>
      </x:c>
      <x:c r="I1159" s="13" t="str">
        <x:v>Высокий</x:v>
      </x:c>
      <x:c r="J1159" s="13" t="str">
        <x:f>IF(L1159="","Укажите валюту",IF(NOT(ISNUMBER(K1159)),"Укажите объём",IF(K1159&lt;=0,"Укажите объём",IF(K1159&gt;F1159,"Объём выше излишка",IF(COUNT(M1159:O1159)&lt;3,"Нужны цены",IF(COUNT(P1159:R1159)&lt;3,"Нужны расходы",IF(OR(M1159&lt;0,N1159&lt;0,O1159&lt;0,O1159&gt;100,P1159&lt;0,Q1159&lt;0,R1159&lt;0,R1159&gt;100),"Проверьте значения","Рассчитано")))))))</x:f>
        <x:v>Нужны цены</x:v>
      </x:c>
      <x:c r="K1159" s="36" t="n">
        <x:v>1923</x:v>
      </x:c>
      <x:c r="L1159" s="19" t="str">
        <x:v>KZT</x:v>
      </x:c>
      <x:c r="M1159" s="22"/>
      <x:c r="N1159" s="22"/>
      <x:c r="O1159" s="28"/>
      <x:c r="P1159" s="22"/>
      <x:c r="Q1159" s="22"/>
      <x:c r="R1159" s="28"/>
      <x:c r="S1159" s="22"/>
      <x:c r="T1159" s="37" t="n">
        <x:f>K1159</x:f>
        <x:v>1923</x:v>
      </x:c>
      <x:c r="U1159" s="21" t="str">
        <x:f>IF(J1159="Рассчитано",N1159*(1-O1159/100),"н/д")</x:f>
        <x:v>н/д</x:v>
      </x:c>
      <x:c r="V1159" s="21" t="str">
        <x:f>IF(J1159="Рассчитано",T1159*U1159,"н/д")</x:f>
        <x:v>н/д</x:v>
      </x:c>
      <x:c r="W1159" s="21" t="str">
        <x:f>IF(J1159="Рассчитано",T1159*M1159,"н/д")</x:f>
        <x:v>н/д</x:v>
      </x:c>
      <x:c r="X1159" s="21" t="str">
        <x:f>IF(J1159="Рассчитано",V1159-W1159,"н/д")</x:f>
        <x:v>н/д</x:v>
      </x:c>
      <x:c r="Y1159" s="27" t="str">
        <x:f>IF(J1159="Рассчитано",IF(V1159&gt;0,G1159/V1159,"н/д"),"н/д")</x:f>
        <x:v>н/д</x:v>
      </x:c>
      <x:c r="Z1159" s="21" t="str">
        <x:f>"н/д"</x:f>
        <x:v>н/д</x:v>
      </x:c>
      <x:c r="AA1159" s="21" t="str">
        <x:f>"н/д"</x:f>
        <x:v>н/д</x:v>
      </x:c>
      <x:c r="AB1159" s="21" t="str">
        <x:f>"н/д"</x:f>
        <x:v>н/д</x:v>
      </x:c>
      <x:c r="AC1159" s="21" t="str">
        <x:f>IF(AND(J1159="Рассчитано",T1159&gt;0,R1159&lt;100),(W1159+P1159+Q1159)/(T1159*(1-R1159/100)),"н/д")</x:f>
        <x:v>н/д</x:v>
      </x:c>
      <x:c r="AD1159" s="10" t="str">
        <x:f>IF(ISNUMBER(G1159),IF(G1159&lt;0,"Убыток",IF(G1159=0,"Без прибыли","Прибыль &gt; 0")),"Не оценён")</x:f>
        <x:v>Не оценён</x:v>
      </x:c>
      <x:c r="AE1159" s="13" t="str">
        <x:f>IF(J1159="Рассчитано","Выручка "&amp;TEXT(V1159,"0.00")&amp;" - себестоимость "&amp;TEXT(W1159,"0.00")&amp;" - комиссия "&amp;TEXT(V1159*R1159/100,"0.00")&amp;" - доставка "&amp;TEXT(P1159,"0.00")&amp;" - прочие "&amp;TEXT(Q1159,"0.00")&amp;" = "&amp;TEXT(G1159,"0.00")&amp;" "&amp;L1159,"Введите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9" s="24" t="n">
        <x:v>497.7749007930396</x:v>
      </x:c>
      <x:c r="AG1159" s="37" t="n">
        <x:v>2421</x:v>
      </x:c>
      <x:c r="AH1159" s="37" t="n">
        <x:v>0</x:v>
      </x:c>
      <x:c r="AI1159" s="30" t="n">
        <x:v>46266</x:v>
      </x:c>
      <x:c r="AJ1159" s="37" t="n">
        <x:v>48</x:v>
      </x:c>
      <x:c r="AK1159" s="10" t="str">
        <x:v>минимум</x:v>
      </x:c>
      <x:c r="AL1159" s="32" t="n">
        <x:v>413.6002943898563</x:v>
      </x:c>
      <x:c r="AM1159" s="13" t="str">
        <x:v>Остаток на начало сентября; Резервы неизвестны; Детальные и месячные продажи расходятся; Нет ежедневных данных доступности. Запас более 180 дней при среднем спросе</x:v>
      </x:c>
      <x:c r="AN1159" s="13" t="str">
        <x:v>Проверить свободный остаток и установить цену для B2B</x:v>
      </x:c>
      <x:c r="AO1159" s="13" t="str">
        <x:v>Остаток 2421; прогноз 90 дней 497.77; избыток 1923 шт. Будущие поступления не выставляются на продажу. Остаток на начало сентября: требуется актуализация.</x:v>
      </x:c>
      <x:c r="AP1159" s="13" t="str">
        <x:v>["category_missing", "daily_stockout_data_missing", "large_orders_detected", "new_order_lead_time_unknown", "reservations_unknown", "stale_stock", "transaction_month_mismatch"]</x:v>
      </x:c>
      <x:c r="AQ1159" s="10" t="str">
        <x:v>IEK:280300404_</x:v>
      </x:c>
      <x:c r="AR1159" s="24" t="n">
        <x:v>1</x:v>
      </x:c>
      <x:c r="AS1159" s="24" t="n">
        <x:v>0</x:v>
      </x:c>
      <x:c r="AT1159" s="24" t="n">
        <x:v>0</x:v>
      </x:c>
    </x:row>
    <x:row r="1160" ht="64" customHeight="1">
      <x:c r="A1160" s="11" t="str">
        <x:v>IEK</x:v>
      </x:c>
      <x:c r="B1160" s="33" t="str">
        <x:v>280300644_</x:v>
      </x:c>
      <x:c r="C1160" s="33" t="str">
        <x:v>EVA14-K03-10-54</x:v>
      </x:c>
      <x:c r="D1160" s="12" t="str">
        <x:v>Выключатель кнопочный 1кл. о/у 10А IP54 AQUATIC ВС-20-1-3-А IEK</x:v>
      </x:c>
      <x:c r="E1160" s="11" t="str">
        <x:v>шт</x:v>
      </x:c>
      <x:c r="F1160" s="35" t="n">
        <x:f>MAX(0,ROUNDDOWN((AG1160-AF1160)/AR1160+0.000000001,0)*AR1160)</x:f>
        <x:v>23</x:v>
      </x:c>
      <x:c r="G1160" s="20" t="str">
        <x:f>IF(J1160="Рассчитано",V1160*(1-R1160/100)-W1160-P1160-Q1160,"н/д")</x:f>
        <x:v>н/д</x:v>
      </x:c>
      <x:c r="H1160" s="12" t="str">
        <x:v>Высокий</x:v>
      </x:c>
      <x:c r="I1160" s="12" t="str">
        <x:v>Высокий</x:v>
      </x:c>
      <x:c r="J1160" s="12" t="str">
        <x:f>IF(L1160="","Укажите валюту",IF(NOT(ISNUMBER(K1160)),"Укажите объём",IF(K1160&lt;=0,"Укажите объём",IF(K1160&gt;F1160,"Объём выше излишка",IF(COUNT(M1160:O1160)&lt;3,"Нужны цены",IF(COUNT(P1160:R1160)&lt;3,"Нужны расходы",IF(OR(M1160&lt;0,N1160&lt;0,O1160&lt;0,O1160&gt;100,P1160&lt;0,Q1160&lt;0,R1160&lt;0,R1160&gt;100),"Проверьте значения","Рассчитано")))))))</x:f>
        <x:v>Нужны цены</x:v>
      </x:c>
      <x:c r="K1160" s="36" t="n">
        <x:v>23</x:v>
      </x:c>
      <x:c r="L1160" s="19" t="str">
        <x:v>KZT</x:v>
      </x:c>
      <x:c r="M1160" s="22"/>
      <x:c r="N1160" s="22"/>
      <x:c r="O1160" s="28"/>
      <x:c r="P1160" s="22"/>
      <x:c r="Q1160" s="22"/>
      <x:c r="R1160" s="28"/>
      <x:c r="S1160" s="22"/>
      <x:c r="T1160" s="35" t="n">
        <x:f>K1160</x:f>
        <x:v>23</x:v>
      </x:c>
      <x:c r="U1160" s="20" t="str">
        <x:f>IF(J1160="Рассчитано",N1160*(1-O1160/100),"н/д")</x:f>
        <x:v>н/д</x:v>
      </x:c>
      <x:c r="V1160" s="20" t="str">
        <x:f>IF(J1160="Рассчитано",T1160*U1160,"н/д")</x:f>
        <x:v>н/д</x:v>
      </x:c>
      <x:c r="W1160" s="20" t="str">
        <x:f>IF(J1160="Рассчитано",T1160*M1160,"н/д")</x:f>
        <x:v>н/д</x:v>
      </x:c>
      <x:c r="X1160" s="20" t="str">
        <x:f>IF(J1160="Рассчитано",V1160-W1160,"н/д")</x:f>
        <x:v>н/д</x:v>
      </x:c>
      <x:c r="Y1160" s="26" t="str">
        <x:f>IF(J1160="Рассчитано",IF(V1160&gt;0,G1160/V1160,"н/д"),"н/д")</x:f>
        <x:v>н/д</x:v>
      </x:c>
      <x:c r="Z1160" s="20" t="str">
        <x:f>"н/д"</x:f>
        <x:v>н/д</x:v>
      </x:c>
      <x:c r="AA1160" s="20" t="str">
        <x:f>"н/д"</x:f>
        <x:v>н/д</x:v>
      </x:c>
      <x:c r="AB1160" s="20" t="str">
        <x:f>"н/д"</x:f>
        <x:v>н/д</x:v>
      </x:c>
      <x:c r="AC1160" s="20" t="str">
        <x:f>IF(AND(J1160="Рассчитано",T1160&gt;0,R1160&lt;100),(W1160+P1160+Q1160)/(T1160*(1-R1160/100)),"н/д")</x:f>
        <x:v>н/д</x:v>
      </x:c>
      <x:c r="AD1160" s="11" t="str">
        <x:f>IF(ISNUMBER(G1160),IF(G1160&lt;0,"Убыток",IF(G1160=0,"Без прибыли","Прибыль &gt; 0")),"Не оценён")</x:f>
        <x:v>Не оценён</x:v>
      </x:c>
      <x:c r="AE1160" s="12" t="str">
        <x:f>IF(J1160="Рассчитано","Выручка "&amp;TEXT(V1160,"0.00")&amp;" - себестоимость "&amp;TEXT(W1160,"0.00")&amp;" - комиссия "&amp;TEXT(V1160*R1160/100,"0.00")&amp;" - доставка "&amp;TEXT(P1160,"0.00")&amp;" - прочие "&amp;TEXT(Q1160,"0.00")&amp;" = "&amp;TEXT(G1160,"0.00")&amp;" "&amp;L1160,"Введите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0" s="23" t="n">
        <x:v>3.6852085770456533</x:v>
      </x:c>
      <x:c r="AG1160" s="35" t="n">
        <x:v>27</x:v>
      </x:c>
      <x:c r="AH1160" s="35" t="n">
        <x:v>0</x:v>
      </x:c>
      <x:c r="AI1160" s="29" t="n">
        <x:v>46266</x:v>
      </x:c>
      <x:c r="AJ1160" s="35" t="n">
        <x:v>10</x:v>
      </x:c>
      <x:c r="AK1160" s="11" t="str">
        <x:v>минимум</x:v>
      </x:c>
      <x:c r="AL1160" s="31" t="n">
        <x:v>623.0468937077591</x:v>
      </x:c>
      <x:c r="AM11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60" s="12" t="str">
        <x:v>Проверить свободный остаток и установить цену для B2B</x:v>
      </x:c>
      <x:c r="AO1160" s="12" t="str">
        <x:v>Остаток 27; прогноз 90 дней 3.69; избыток 23 шт. Будущие поступления не выставляются на продажу. Остаток на начало сентября: требуется актуализация.</x:v>
      </x:c>
      <x:c r="AP1160" s="12" t="str">
        <x:v>["category_missing", "daily_stockout_data_missing", "new_order_lead_time_unknown", "reservations_unknown", "stale_stock"]</x:v>
      </x:c>
      <x:c r="AQ1160" s="11" t="str">
        <x:v>IEK:280300644_</x:v>
      </x:c>
      <x:c r="AR1160" s="23" t="n">
        <x:v>1</x:v>
      </x:c>
      <x:c r="AS1160" s="23" t="n">
        <x:v>0</x:v>
      </x:c>
      <x:c r="AT1160" s="23" t="n">
        <x:v>0</x:v>
      </x:c>
    </x:row>
    <x:row r="1161" ht="64" customHeight="1">
      <x:c r="A1161" s="10" t="str">
        <x:v>IEK</x:v>
      </x:c>
      <x:c r="B1161" s="34" t="str">
        <x:v>280300645_</x:v>
      </x:c>
      <x:c r="C1161" s="34" t="str">
        <x:v>EVA12-K03-10-54</x:v>
      </x:c>
      <x:c r="D1161" s="13" t="str">
        <x:v>Выключатель проходной 1кл о/у 10А IP54 AQUATIC ВС-20-1-2-А IEK</x:v>
      </x:c>
      <x:c r="E1161" s="10" t="str">
        <x:v>шт</x:v>
      </x:c>
      <x:c r="F1161" s="37" t="n">
        <x:f>MAX(0,ROUNDDOWN((AG1161-AF1161)/AR1161+0.000000001,0)*AR1161)</x:f>
        <x:v>7</x:v>
      </x:c>
      <x:c r="G1161" s="21" t="str">
        <x:f>IF(J1161="Рассчитано",V1161*(1-R1161/100)-W1161-P1161-Q1161,"н/д")</x:f>
        <x:v>н/д</x:v>
      </x:c>
      <x:c r="H1161" s="13" t="str">
        <x:v>Высокий</x:v>
      </x:c>
      <x:c r="I1161" s="13" t="str">
        <x:v>Средний</x:v>
      </x:c>
      <x:c r="J1161" s="13" t="str">
        <x:f>IF(L1161="","Укажите валюту",IF(NOT(ISNUMBER(K1161)),"Укажите объём",IF(K1161&lt;=0,"Укажите объём",IF(K1161&gt;F1161,"Объём выше излишка",IF(COUNT(M1161:O1161)&lt;3,"Нужны цены",IF(COUNT(P1161:R1161)&lt;3,"Нужны расходы",IF(OR(M1161&lt;0,N1161&lt;0,O1161&lt;0,O1161&gt;100,P1161&lt;0,Q1161&lt;0,R1161&lt;0,R1161&gt;100),"Проверьте значения","Рассчитано")))))))</x:f>
        <x:v>Нужны цены</x:v>
      </x:c>
      <x:c r="K1161" s="36" t="n">
        <x:v>7</x:v>
      </x:c>
      <x:c r="L1161" s="19" t="str">
        <x:v>KZT</x:v>
      </x:c>
      <x:c r="M1161" s="22"/>
      <x:c r="N1161" s="22"/>
      <x:c r="O1161" s="28"/>
      <x:c r="P1161" s="22"/>
      <x:c r="Q1161" s="22"/>
      <x:c r="R1161" s="28"/>
      <x:c r="S1161" s="22"/>
      <x:c r="T1161" s="37" t="n">
        <x:f>K1161</x:f>
        <x:v>7</x:v>
      </x:c>
      <x:c r="U1161" s="21" t="str">
        <x:f>IF(J1161="Рассчитано",N1161*(1-O1161/100),"н/д")</x:f>
        <x:v>н/д</x:v>
      </x:c>
      <x:c r="V1161" s="21" t="str">
        <x:f>IF(J1161="Рассчитано",T1161*U1161,"н/д")</x:f>
        <x:v>н/д</x:v>
      </x:c>
      <x:c r="W1161" s="21" t="str">
        <x:f>IF(J1161="Рассчитано",T1161*M1161,"н/д")</x:f>
        <x:v>н/д</x:v>
      </x:c>
      <x:c r="X1161" s="21" t="str">
        <x:f>IF(J1161="Рассчитано",V1161-W1161,"н/д")</x:f>
        <x:v>н/д</x:v>
      </x:c>
      <x:c r="Y1161" s="27" t="str">
        <x:f>IF(J1161="Рассчитано",IF(V1161&gt;0,G1161/V1161,"н/д"),"н/д")</x:f>
        <x:v>н/д</x:v>
      </x:c>
      <x:c r="Z1161" s="21" t="str">
        <x:f>"н/д"</x:f>
        <x:v>н/д</x:v>
      </x:c>
      <x:c r="AA1161" s="21" t="str">
        <x:f>"н/д"</x:f>
        <x:v>н/д</x:v>
      </x:c>
      <x:c r="AB1161" s="21" t="str">
        <x:f>"н/д"</x:f>
        <x:v>н/д</x:v>
      </x:c>
      <x:c r="AC1161" s="21" t="str">
        <x:f>IF(AND(J1161="Рассчитано",T1161&gt;0,R1161&lt;100),(W1161+P1161+Q1161)/(T1161*(1-R1161/100)),"н/д")</x:f>
        <x:v>н/д</x:v>
      </x:c>
      <x:c r="AD1161" s="10" t="str">
        <x:f>IF(ISNUMBER(G1161),IF(G1161&lt;0,"Убыток",IF(G1161=0,"Без прибыли","Прибыль &gt; 0")),"Не оценён")</x:f>
        <x:v>Не оценён</x:v>
      </x:c>
      <x:c r="AE1161" s="13" t="str">
        <x:f>IF(J1161="Рассчитано","Выручка "&amp;TEXT(V1161,"0.00")&amp;" - себестоимость "&amp;TEXT(W1161,"0.00")&amp;" - комиссия "&amp;TEXT(V1161*R1161/100,"0.00")&amp;" - доставка "&amp;TEXT(P1161,"0.00")&amp;" - прочие "&amp;TEXT(Q1161,"0.00")&amp;" = "&amp;TEXT(G1161,"0.00")&amp;" "&amp;L1161,"Введите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1" s="24" t="n">
        <x:v>122.90721171340846</x:v>
      </x:c>
      <x:c r="AG1161" s="37" t="n">
        <x:v>130</x:v>
      </x:c>
      <x:c r="AH1161" s="37" t="n">
        <x:v>100</x:v>
      </x:c>
      <x:c r="AI1161" s="30" t="n">
        <x:v>46266</x:v>
      </x:c>
      <x:c r="AJ1161" s="37" t="n">
        <x:v>10</x:v>
      </x:c>
      <x:c r="AK1161" s="10" t="str">
        <x:v>минимум</x:v>
      </x:c>
      <x:c r="AL1161" s="32" t="n">
        <x:v>89.94665771032813</x:v>
      </x:c>
      <x:c r="AM1161" s="13" t="str">
        <x:v>Остаток на начало сентября; Резервы неизвестны; Нет ежедневных данных доступности. Запас выше прогноза на 90 дней</x:v>
      </x:c>
      <x:c r="AN1161" s="13" t="str">
        <x:v>Проверить свободный остаток и установить цену для B2B</x:v>
      </x:c>
      <x:c r="AO1161" s="13" t="str">
        <x:v>Остаток 130; прогноз 90 дней 122.91; избыток 7 шт. Будущие поступления не выставляются на продажу. Остаток на начало сентября: требуется актуализация.</x:v>
      </x:c>
      <x:c r="AP1161" s="13" t="str">
        <x:v>["category_missing", "daily_stockout_data_missing", "large_orders_detected", "new_order_lead_time_unknown", "reservations_unknown", "stale_stock"]</x:v>
      </x:c>
      <x:c r="AQ1161" s="10" t="str">
        <x:v>IEK:280300645_</x:v>
      </x:c>
      <x:c r="AR1161" s="24" t="n">
        <x:v>1</x:v>
      </x:c>
      <x:c r="AS1161" s="24" t="n">
        <x:v>0</x:v>
      </x:c>
      <x:c r="AT1161" s="24" t="n">
        <x:v>0</x:v>
      </x:c>
    </x:row>
    <x:row r="1162" ht="64" customHeight="1">
      <x:c r="A1162" s="11" t="str">
        <x:v>IEK</x:v>
      </x:c>
      <x:c r="B1162" s="33" t="str">
        <x:v>280300673_</x:v>
      </x:c>
      <x:c r="C1162" s="33" t="str">
        <x:v>CLM50D-PSS-185-40</x:v>
      </x:c>
      <x:c r="D1162" s="12" t="str">
        <x:v>Пластина соед. с 4 отверстиями для STRUT-профиля EZ IEK</x:v>
      </x:c>
      <x:c r="E1162" s="11" t="str">
        <x:v>шт</x:v>
      </x:c>
      <x:c r="F1162" s="35" t="n">
        <x:f>MAX(0,ROUNDDOWN((AG1162-AF1162)/AR1162+0.000000001,0)*AR1162)</x:f>
        <x:v>578</x:v>
      </x:c>
      <x:c r="G1162" s="20" t="str">
        <x:f>IF(J1162="Рассчитано",V1162*(1-R1162/100)-W1162-P1162-Q1162,"н/д")</x:f>
        <x:v>н/д</x:v>
      </x:c>
      <x:c r="H1162" s="12" t="str">
        <x:v>Высокий</x:v>
      </x:c>
      <x:c r="I1162" s="12" t="str">
        <x:v>Высокий</x:v>
      </x:c>
      <x:c r="J1162" s="12" t="str">
        <x:f>IF(L1162="","Укажите валюту",IF(NOT(ISNUMBER(K1162)),"Укажите объём",IF(K1162&lt;=0,"Укажите объём",IF(K1162&gt;F1162,"Объём выше излишка",IF(COUNT(M1162:O1162)&lt;3,"Нужны цены",IF(COUNT(P1162:R1162)&lt;3,"Нужны расходы",IF(OR(M1162&lt;0,N1162&lt;0,O1162&lt;0,O1162&gt;100,P1162&lt;0,Q1162&lt;0,R1162&lt;0,R1162&gt;100),"Проверьте значения","Рассчитано")))))))</x:f>
        <x:v>Нужны цены</x:v>
      </x:c>
      <x:c r="K1162" s="36" t="n">
        <x:v>578</x:v>
      </x:c>
      <x:c r="L1162" s="19" t="str">
        <x:v>KZT</x:v>
      </x:c>
      <x:c r="M1162" s="22"/>
      <x:c r="N1162" s="22"/>
      <x:c r="O1162" s="28"/>
      <x:c r="P1162" s="22"/>
      <x:c r="Q1162" s="22"/>
      <x:c r="R1162" s="28"/>
      <x:c r="S1162" s="22"/>
      <x:c r="T1162" s="35" t="n">
        <x:f>K1162</x:f>
        <x:v>578</x:v>
      </x:c>
      <x:c r="U1162" s="20" t="str">
        <x:f>IF(J1162="Рассчитано",N1162*(1-O1162/100),"н/д")</x:f>
        <x:v>н/д</x:v>
      </x:c>
      <x:c r="V1162" s="20" t="str">
        <x:f>IF(J1162="Рассчитано",T1162*U1162,"н/д")</x:f>
        <x:v>н/д</x:v>
      </x:c>
      <x:c r="W1162" s="20" t="str">
        <x:f>IF(J1162="Рассчитано",T1162*M1162,"н/д")</x:f>
        <x:v>н/д</x:v>
      </x:c>
      <x:c r="X1162" s="20" t="str">
        <x:f>IF(J1162="Рассчитано",V1162-W1162,"н/д")</x:f>
        <x:v>н/д</x:v>
      </x:c>
      <x:c r="Y1162" s="26" t="str">
        <x:f>IF(J1162="Рассчитано",IF(V1162&gt;0,G1162/V1162,"н/д"),"н/д")</x:f>
        <x:v>н/д</x:v>
      </x:c>
      <x:c r="Z1162" s="20" t="str">
        <x:f>"н/д"</x:f>
        <x:v>н/д</x:v>
      </x:c>
      <x:c r="AA1162" s="20" t="str">
        <x:f>"н/д"</x:f>
        <x:v>н/д</x:v>
      </x:c>
      <x:c r="AB1162" s="20" t="str">
        <x:f>"н/д"</x:f>
        <x:v>н/д</x:v>
      </x:c>
      <x:c r="AC1162" s="20" t="str">
        <x:f>IF(AND(J1162="Рассчитано",T1162&gt;0,R1162&lt;100),(W1162+P1162+Q1162)/(T1162*(1-R1162/100)),"н/д")</x:f>
        <x:v>н/д</x:v>
      </x:c>
      <x:c r="AD1162" s="11" t="str">
        <x:f>IF(ISNUMBER(G1162),IF(G1162&lt;0,"Убыток",IF(G1162=0,"Без прибыли","Прибыль &gt; 0")),"Не оценён")</x:f>
        <x:v>Не оценён</x:v>
      </x:c>
      <x:c r="AE1162" s="12" t="str">
        <x:f>IF(J1162="Рассчитано","Выручка "&amp;TEXT(V1162,"0.00")&amp;" - себестоимость "&amp;TEXT(W1162,"0.00")&amp;" - комиссия "&amp;TEXT(V1162*R1162/100,"0.00")&amp;" - доставка "&amp;TEXT(P1162,"0.00")&amp;" - прочие "&amp;TEXT(Q1162,"0.00")&amp;" = "&amp;TEXT(G1162,"0.00")&amp;" "&amp;L1162,"Введите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2" s="23" t="n">
        <x:v>0</x:v>
      </x:c>
      <x:c r="AG1162" s="35" t="n">
        <x:v>578</x:v>
      </x:c>
      <x:c r="AH1162" s="35" t="n">
        <x:v>0</x:v>
      </x:c>
      <x:c r="AI1162" s="29" t="n">
        <x:v>46266</x:v>
      </x:c>
      <x:c r="AJ1162" s="35" t="n">
        <x:v>20</x:v>
      </x:c>
      <x:c r="AK1162" s="11" t="str">
        <x:v>минимум</x:v>
      </x:c>
      <x:c r="AL1162" s="31" t="str">
        <x:v>н/д</x:v>
      </x:c>
      <x:c r="AM116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162" s="12" t="str">
        <x:v>Проверить свободный остаток и установить цену для B2B</x:v>
      </x:c>
      <x:c r="AO1162" s="12" t="str">
        <x:v>Остаток 578; прогноз 90 дней 0.00; избыток 578 шт. Будущие поступления не выставляются на продажу. Остаток на начало сентября: требуется актуализация.</x:v>
      </x:c>
      <x:c r="AP1162" s="12" t="str">
        <x:v>["category_missing", "daily_stockout_data_missing", "new_order_lead_time_unknown", "reservations_unknown", "stale_stock"]</x:v>
      </x:c>
      <x:c r="AQ1162" s="11" t="str">
        <x:v>IEK:280300673_</x:v>
      </x:c>
      <x:c r="AR1162" s="23" t="n">
        <x:v>1</x:v>
      </x:c>
      <x:c r="AS1162" s="23" t="n">
        <x:v>0</x:v>
      </x:c>
      <x:c r="AT1162" s="23" t="n">
        <x:v>0</x:v>
      </x:c>
    </x:row>
    <x:row r="1163" ht="64" customHeight="1">
      <x:c r="A1163" s="10" t="str">
        <x:v>IEK</x:v>
      </x:c>
      <x:c r="B1163" s="34" t="str">
        <x:v>280300734_</x:v>
      </x:c>
      <x:c r="C1163" s="34" t="str">
        <x:v>CMZ13-SBT-08-030</x:v>
      </x:c>
      <x:c r="D1163" s="13" t="str">
        <x:v>STRUT-болт с конусной пружиной  М8х30 IEK</x:v>
      </x:c>
      <x:c r="E1163" s="10" t="str">
        <x:v>шт</x:v>
      </x:c>
      <x:c r="F1163" s="37" t="n">
        <x:f>MAX(0,ROUNDDOWN((AG1163-AF1163)/AR1163+0.000000001,0)*AR1163)</x:f>
        <x:v>3714</x:v>
      </x:c>
      <x:c r="G1163" s="21" t="str">
        <x:f>IF(J1163="Рассчитано",V1163*(1-R1163/100)-W1163-P1163-Q1163,"н/д")</x:f>
        <x:v>н/д</x:v>
      </x:c>
      <x:c r="H1163" s="13" t="str">
        <x:v>Высокий</x:v>
      </x:c>
      <x:c r="I1163" s="13" t="str">
        <x:v>Высокий</x:v>
      </x:c>
      <x:c r="J1163" s="13" t="str">
        <x:f>IF(L1163="","Укажите валюту",IF(NOT(ISNUMBER(K1163)),"Укажите объём",IF(K1163&lt;=0,"Укажите объём",IF(K1163&gt;F1163,"Объём выше излишка",IF(COUNT(M1163:O1163)&lt;3,"Нужны цены",IF(COUNT(P1163:R1163)&lt;3,"Нужны расходы",IF(OR(M1163&lt;0,N1163&lt;0,O1163&lt;0,O1163&gt;100,P1163&lt;0,Q1163&lt;0,R1163&lt;0,R1163&gt;100),"Проверьте значения","Рассчитано")))))))</x:f>
        <x:v>Нужны цены</x:v>
      </x:c>
      <x:c r="K1163" s="36" t="n">
        <x:v>3714</x:v>
      </x:c>
      <x:c r="L1163" s="19" t="str">
        <x:v>KZT</x:v>
      </x:c>
      <x:c r="M1163" s="22"/>
      <x:c r="N1163" s="22"/>
      <x:c r="O1163" s="28"/>
      <x:c r="P1163" s="22"/>
      <x:c r="Q1163" s="22"/>
      <x:c r="R1163" s="28"/>
      <x:c r="S1163" s="22"/>
      <x:c r="T1163" s="37" t="n">
        <x:f>K1163</x:f>
        <x:v>3714</x:v>
      </x:c>
      <x:c r="U1163" s="21" t="str">
        <x:f>IF(J1163="Рассчитано",N1163*(1-O1163/100),"н/д")</x:f>
        <x:v>н/д</x:v>
      </x:c>
      <x:c r="V1163" s="21" t="str">
        <x:f>IF(J1163="Рассчитано",T1163*U1163,"н/д")</x:f>
        <x:v>н/д</x:v>
      </x:c>
      <x:c r="W1163" s="21" t="str">
        <x:f>IF(J1163="Рассчитано",T1163*M1163,"н/д")</x:f>
        <x:v>н/д</x:v>
      </x:c>
      <x:c r="X1163" s="21" t="str">
        <x:f>IF(J1163="Рассчитано",V1163-W1163,"н/д")</x:f>
        <x:v>н/д</x:v>
      </x:c>
      <x:c r="Y1163" s="27" t="str">
        <x:f>IF(J1163="Рассчитано",IF(V1163&gt;0,G1163/V1163,"н/д"),"н/д")</x:f>
        <x:v>н/д</x:v>
      </x:c>
      <x:c r="Z1163" s="21" t="str">
        <x:f>"н/д"</x:f>
        <x:v>н/д</x:v>
      </x:c>
      <x:c r="AA1163" s="21" t="str">
        <x:f>"н/д"</x:f>
        <x:v>н/д</x:v>
      </x:c>
      <x:c r="AB1163" s="21" t="str">
        <x:f>"н/д"</x:f>
        <x:v>н/д</x:v>
      </x:c>
      <x:c r="AC1163" s="21" t="str">
        <x:f>IF(AND(J1163="Рассчитано",T1163&gt;0,R1163&lt;100),(W1163+P1163+Q1163)/(T1163*(1-R1163/100)),"н/д")</x:f>
        <x:v>н/д</x:v>
      </x:c>
      <x:c r="AD1163" s="10" t="str">
        <x:f>IF(ISNUMBER(G1163),IF(G1163&lt;0,"Убыток",IF(G1163=0,"Без прибыли","Прибыль &gt; 0")),"Не оценён")</x:f>
        <x:v>Не оценён</x:v>
      </x:c>
      <x:c r="AE1163" s="13" t="str">
        <x:f>IF(J1163="Рассчитано","Выручка "&amp;TEXT(V1163,"0.00")&amp;" - себестоимость "&amp;TEXT(W1163,"0.00")&amp;" - комиссия "&amp;TEXT(V1163*R1163/100,"0.00")&amp;" - доставка "&amp;TEXT(P1163,"0.00")&amp;" - прочие "&amp;TEXT(Q1163,"0.00")&amp;" = "&amp;TEXT(G1163,"0.00")&amp;" "&amp;L1163,"Введите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3" s="24" t="n">
        <x:v>11.559971282055189</x:v>
      </x:c>
      <x:c r="AG1163" s="37" t="n">
        <x:v>3726</x:v>
      </x:c>
      <x:c r="AH1163" s="37" t="n">
        <x:v>0</x:v>
      </x:c>
      <x:c r="AI1163" s="30" t="n">
        <x:v>46266</x:v>
      </x:c>
      <x:c r="AJ1163" s="37" t="n">
        <x:v>50</x:v>
      </x:c>
      <x:c r="AK1163" s="10" t="str">
        <x:v>минимум</x:v>
      </x:c>
      <x:c r="AL1163" s="32" t="n">
        <x:v>27409.754114334482</x:v>
      </x:c>
      <x:c r="AM11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63" s="13" t="str">
        <x:v>Проверить свободный остаток и установить цену для B2B</x:v>
      </x:c>
      <x:c r="AO1163" s="13" t="str">
        <x:v>Остаток 3726; прогноз 90 дней 11.56; избыток 3714 шт. Будущие поступления не выставляются на продажу. Остаток на начало сентября: требуется актуализация.</x:v>
      </x:c>
      <x:c r="AP1163" s="13" t="str">
        <x:v>["category_missing", "daily_stockout_data_missing", "new_order_lead_time_unknown", "reservations_unknown", "stale_stock"]</x:v>
      </x:c>
      <x:c r="AQ1163" s="10" t="str">
        <x:v>IEK:280300734_</x:v>
      </x:c>
      <x:c r="AR1163" s="24" t="n">
        <x:v>1</x:v>
      </x:c>
      <x:c r="AS1163" s="24" t="n">
        <x:v>0</x:v>
      </x:c>
      <x:c r="AT1163" s="24" t="n">
        <x:v>0</x:v>
      </x:c>
    </x:row>
    <x:row r="1164" ht="64" customHeight="1">
      <x:c r="A1164" s="11" t="str">
        <x:v>IEK</x:v>
      </x:c>
      <x:c r="B1164" s="33" t="str">
        <x:v>280300735_</x:v>
      </x:c>
      <x:c r="C1164" s="33" t="str">
        <x:v>CMZ13-SBT-08-040</x:v>
      </x:c>
      <x:c r="D1164" s="12" t="str">
        <x:v>STRUT-болт с конусной пружиной  М8х40 IEK</x:v>
      </x:c>
      <x:c r="E1164" s="11" t="str">
        <x:v>шт</x:v>
      </x:c>
      <x:c r="F1164" s="35" t="n">
        <x:f>MAX(0,ROUNDDOWN((AG1164-AF1164)/AR1164+0.000000001,0)*AR1164)</x:f>
        <x:v>749</x:v>
      </x:c>
      <x:c r="G1164" s="20" t="str">
        <x:f>IF(J1164="Рассчитано",V1164*(1-R1164/100)-W1164-P1164-Q1164,"н/д")</x:f>
        <x:v>н/д</x:v>
      </x:c>
      <x:c r="H1164" s="12" t="str">
        <x:v>Высокий</x:v>
      </x:c>
      <x:c r="I1164" s="12" t="str">
        <x:v>Высокий</x:v>
      </x:c>
      <x:c r="J1164" s="12" t="str">
        <x:f>IF(L1164="","Укажите валюту",IF(NOT(ISNUMBER(K1164)),"Укажите объём",IF(K1164&lt;=0,"Укажите объём",IF(K1164&gt;F1164,"Объём выше излишка",IF(COUNT(M1164:O1164)&lt;3,"Нужны цены",IF(COUNT(P1164:R1164)&lt;3,"Нужны расходы",IF(OR(M1164&lt;0,N1164&lt;0,O1164&lt;0,O1164&gt;100,P1164&lt;0,Q1164&lt;0,R1164&lt;0,R1164&gt;100),"Проверьте значения","Рассчитано")))))))</x:f>
        <x:v>Нужны цены</x:v>
      </x:c>
      <x:c r="K1164" s="36" t="n">
        <x:v>749</x:v>
      </x:c>
      <x:c r="L1164" s="19" t="str">
        <x:v>KZT</x:v>
      </x:c>
      <x:c r="M1164" s="22"/>
      <x:c r="N1164" s="22"/>
      <x:c r="O1164" s="28"/>
      <x:c r="P1164" s="22"/>
      <x:c r="Q1164" s="22"/>
      <x:c r="R1164" s="28"/>
      <x:c r="S1164" s="22"/>
      <x:c r="T1164" s="35" t="n">
        <x:f>K1164</x:f>
        <x:v>749</x:v>
      </x:c>
      <x:c r="U1164" s="20" t="str">
        <x:f>IF(J1164="Рассчитано",N1164*(1-O1164/100),"н/д")</x:f>
        <x:v>н/д</x:v>
      </x:c>
      <x:c r="V1164" s="20" t="str">
        <x:f>IF(J1164="Рассчитано",T1164*U1164,"н/д")</x:f>
        <x:v>н/д</x:v>
      </x:c>
      <x:c r="W1164" s="20" t="str">
        <x:f>IF(J1164="Рассчитано",T1164*M1164,"н/д")</x:f>
        <x:v>н/д</x:v>
      </x:c>
      <x:c r="X1164" s="20" t="str">
        <x:f>IF(J1164="Рассчитано",V1164-W1164,"н/д")</x:f>
        <x:v>н/д</x:v>
      </x:c>
      <x:c r="Y1164" s="26" t="str">
        <x:f>IF(J1164="Рассчитано",IF(V1164&gt;0,G1164/V1164,"н/д"),"н/д")</x:f>
        <x:v>н/д</x:v>
      </x:c>
      <x:c r="Z1164" s="20" t="str">
        <x:f>"н/д"</x:f>
        <x:v>н/д</x:v>
      </x:c>
      <x:c r="AA1164" s="20" t="str">
        <x:f>"н/д"</x:f>
        <x:v>н/д</x:v>
      </x:c>
      <x:c r="AB1164" s="20" t="str">
        <x:f>"н/д"</x:f>
        <x:v>н/д</x:v>
      </x:c>
      <x:c r="AC1164" s="20" t="str">
        <x:f>IF(AND(J1164="Рассчитано",T1164&gt;0,R1164&lt;100),(W1164+P1164+Q1164)/(T1164*(1-R1164/100)),"н/д")</x:f>
        <x:v>н/д</x:v>
      </x:c>
      <x:c r="AD1164" s="11" t="str">
        <x:f>IF(ISNUMBER(G1164),IF(G1164&lt;0,"Убыток",IF(G1164=0,"Без прибыли","Прибыль &gt; 0")),"Не оценён")</x:f>
        <x:v>Не оценён</x:v>
      </x:c>
      <x:c r="AE1164" s="12" t="str">
        <x:f>IF(J1164="Рассчитано","Выручка "&amp;TEXT(V1164,"0.00")&amp;" - себестоимость "&amp;TEXT(W1164,"0.00")&amp;" - комиссия "&amp;TEXT(V1164*R1164/100,"0.00")&amp;" - доставка "&amp;TEXT(P1164,"0.00")&amp;" - прочие "&amp;TEXT(Q1164,"0.00")&amp;" = "&amp;TEXT(G1164,"0.00")&amp;" "&amp;L1164,"Введите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4" s="23" t="n">
        <x:v>0</x:v>
      </x:c>
      <x:c r="AG1164" s="35" t="n">
        <x:v>749</x:v>
      </x:c>
      <x:c r="AH1164" s="35" t="n">
        <x:v>0</x:v>
      </x:c>
      <x:c r="AI1164" s="29" t="n">
        <x:v>46266</x:v>
      </x:c>
      <x:c r="AJ1164" s="35" t="n">
        <x:v>50</x:v>
      </x:c>
      <x:c r="AK1164" s="11" t="str">
        <x:v>минимум</x:v>
      </x:c>
      <x:c r="AL1164" s="31" t="str">
        <x:v>н/д</x:v>
      </x:c>
      <x:c r="AM116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164" s="12" t="str">
        <x:v>Проверить свободный остаток и установить цену для B2B</x:v>
      </x:c>
      <x:c r="AO1164" s="12" t="str">
        <x:v>Остаток 749; прогноз 90 дней 0.00; избыток 749 шт. Будущие поступления не выставляются на продажу. Остаток на начало сентября: требуется актуализация.</x:v>
      </x:c>
      <x:c r="AP1164" s="12" t="str">
        <x:v>["category_missing", "daily_stockout_data_missing", "new_order_lead_time_unknown", "reservations_unknown", "stale_stock"]</x:v>
      </x:c>
      <x:c r="AQ1164" s="11" t="str">
        <x:v>IEK:280300735_</x:v>
      </x:c>
      <x:c r="AR1164" s="23" t="n">
        <x:v>1</x:v>
      </x:c>
      <x:c r="AS1164" s="23" t="n">
        <x:v>0</x:v>
      </x:c>
      <x:c r="AT1164" s="23" t="n">
        <x:v>0</x:v>
      </x:c>
    </x:row>
    <x:row r="1165" ht="64" customHeight="1">
      <x:c r="A1165" s="10" t="str">
        <x:v>IEK</x:v>
      </x:c>
      <x:c r="B1165" s="34" t="str">
        <x:v>280300736_</x:v>
      </x:c>
      <x:c r="C1165" s="34" t="str">
        <x:v>CMZ13-SBT-08-050</x:v>
      </x:c>
      <x:c r="D1165" s="13" t="str">
        <x:v>STRUT-болт с конусной пружиной  М8х50 IEK</x:v>
      </x:c>
      <x:c r="E1165" s="10" t="str">
        <x:v>шт</x:v>
      </x:c>
      <x:c r="F1165" s="37" t="n">
        <x:f>MAX(0,ROUNDDOWN((AG1165-AF1165)/AR1165+0.000000001,0)*AR1165)</x:f>
        <x:v>664</x:v>
      </x:c>
      <x:c r="G1165" s="21" t="str">
        <x:f>IF(J1165="Рассчитано",V1165*(1-R1165/100)-W1165-P1165-Q1165,"н/д")</x:f>
        <x:v>н/д</x:v>
      </x:c>
      <x:c r="H1165" s="13" t="str">
        <x:v>Высокий</x:v>
      </x:c>
      <x:c r="I1165" s="13" t="str">
        <x:v>Высокий</x:v>
      </x:c>
      <x:c r="J1165" s="13" t="str">
        <x:f>IF(L1165="","Укажите валюту",IF(NOT(ISNUMBER(K1165)),"Укажите объём",IF(K1165&lt;=0,"Укажите объём",IF(K1165&gt;F1165,"Объём выше излишка",IF(COUNT(M1165:O1165)&lt;3,"Нужны цены",IF(COUNT(P1165:R1165)&lt;3,"Нужны расходы",IF(OR(M1165&lt;0,N1165&lt;0,O1165&lt;0,O1165&gt;100,P1165&lt;0,Q1165&lt;0,R1165&lt;0,R1165&gt;100),"Проверьте значения","Рассчитано")))))))</x:f>
        <x:v>Нужны цены</x:v>
      </x:c>
      <x:c r="K1165" s="36" t="n">
        <x:v>664</x:v>
      </x:c>
      <x:c r="L1165" s="19" t="str">
        <x:v>KZT</x:v>
      </x:c>
      <x:c r="M1165" s="22"/>
      <x:c r="N1165" s="22"/>
      <x:c r="O1165" s="28"/>
      <x:c r="P1165" s="22"/>
      <x:c r="Q1165" s="22"/>
      <x:c r="R1165" s="28"/>
      <x:c r="S1165" s="22"/>
      <x:c r="T1165" s="37" t="n">
        <x:f>K1165</x:f>
        <x:v>664</x:v>
      </x:c>
      <x:c r="U1165" s="21" t="str">
        <x:f>IF(J1165="Рассчитано",N1165*(1-O1165/100),"н/д")</x:f>
        <x:v>н/д</x:v>
      </x:c>
      <x:c r="V1165" s="21" t="str">
        <x:f>IF(J1165="Рассчитано",T1165*U1165,"н/д")</x:f>
        <x:v>н/д</x:v>
      </x:c>
      <x:c r="W1165" s="21" t="str">
        <x:f>IF(J1165="Рассчитано",T1165*M1165,"н/д")</x:f>
        <x:v>н/д</x:v>
      </x:c>
      <x:c r="X1165" s="21" t="str">
        <x:f>IF(J1165="Рассчитано",V1165-W1165,"н/д")</x:f>
        <x:v>н/д</x:v>
      </x:c>
      <x:c r="Y1165" s="27" t="str">
        <x:f>IF(J1165="Рассчитано",IF(V1165&gt;0,G1165/V1165,"н/д"),"н/д")</x:f>
        <x:v>н/д</x:v>
      </x:c>
      <x:c r="Z1165" s="21" t="str">
        <x:f>"н/д"</x:f>
        <x:v>н/д</x:v>
      </x:c>
      <x:c r="AA1165" s="21" t="str">
        <x:f>"н/д"</x:f>
        <x:v>н/д</x:v>
      </x:c>
      <x:c r="AB1165" s="21" t="str">
        <x:f>"н/д"</x:f>
        <x:v>н/д</x:v>
      </x:c>
      <x:c r="AC1165" s="21" t="str">
        <x:f>IF(AND(J1165="Рассчитано",T1165&gt;0,R1165&lt;100),(W1165+P1165+Q1165)/(T1165*(1-R1165/100)),"н/д")</x:f>
        <x:v>н/д</x:v>
      </x:c>
      <x:c r="AD1165" s="10" t="str">
        <x:f>IF(ISNUMBER(G1165),IF(G1165&lt;0,"Убыток",IF(G1165=0,"Без прибыли","Прибыль &gt; 0")),"Не оценён")</x:f>
        <x:v>Не оценён</x:v>
      </x:c>
      <x:c r="AE1165" s="13" t="str">
        <x:f>IF(J1165="Рассчитано","Выручка "&amp;TEXT(V1165,"0.00")&amp;" - себестоимость "&amp;TEXT(W1165,"0.00")&amp;" - комиссия "&amp;TEXT(V1165*R1165/100,"0.00")&amp;" - доставка "&amp;TEXT(P1165,"0.00")&amp;" - прочие "&amp;TEXT(Q1165,"0.00")&amp;" = "&amp;TEXT(G1165,"0.00")&amp;" "&amp;L1165,"Введите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5" s="24" t="n">
        <x:v>34.22526682927694</x:v>
      </x:c>
      <x:c r="AG1165" s="37" t="n">
        <x:v>699</x:v>
      </x:c>
      <x:c r="AH1165" s="37" t="n">
        <x:v>0</x:v>
      </x:c>
      <x:c r="AI1165" s="30" t="n">
        <x:v>46266</x:v>
      </x:c>
      <x:c r="AJ1165" s="37" t="n">
        <x:v>50</x:v>
      </x:c>
      <x:c r="AK1165" s="10" t="str">
        <x:v>минимум</x:v>
      </x:c>
      <x:c r="AL1165" s="32" t="n">
        <x:v>1736.7982677660834</x:v>
      </x:c>
      <x:c r="AM116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65" s="13" t="str">
        <x:v>Проверить свободный остаток и установить цену для B2B</x:v>
      </x:c>
      <x:c r="AO1165" s="13" t="str">
        <x:v>Остаток 699; прогноз 90 дней 34.23; избыток 664 шт. Будущие поступления не выставляются на продажу. Остаток на начало сентября: требуется актуализация.</x:v>
      </x:c>
      <x:c r="AP1165" s="13" t="str">
        <x:v>["category_missing", "daily_stockout_data_missing", "new_order_lead_time_unknown", "reservations_unknown", "stale_stock"]</x:v>
      </x:c>
      <x:c r="AQ1165" s="10" t="str">
        <x:v>IEK:280300736_</x:v>
      </x:c>
      <x:c r="AR1165" s="24" t="n">
        <x:v>1</x:v>
      </x:c>
      <x:c r="AS1165" s="24" t="n">
        <x:v>0</x:v>
      </x:c>
      <x:c r="AT1165" s="24" t="n">
        <x:v>0</x:v>
      </x:c>
    </x:row>
    <x:row r="1166" ht="64" customHeight="1">
      <x:c r="A1166" s="11" t="str">
        <x:v>IEK</x:v>
      </x:c>
      <x:c r="B1166" s="33" t="str">
        <x:v>280300737_</x:v>
      </x:c>
      <x:c r="C1166" s="33" t="str">
        <x:v>CMZ13-SGH-10</x:v>
      </x:c>
      <x:c r="D1166" s="12" t="str">
        <x:v>STRUT-гайка с конусной пружиной М10 IEK</x:v>
      </x:c>
      <x:c r="E1166" s="11" t="str">
        <x:v>шт</x:v>
      </x:c>
      <x:c r="F1166" s="35" t="n">
        <x:f>MAX(0,ROUNDDOWN((AG1166-AF1166)/AR1166+0.000000001,0)*AR1166)</x:f>
        <x:v>3737</x:v>
      </x:c>
      <x:c r="G1166" s="20" t="str">
        <x:f>IF(J1166="Рассчитано",V1166*(1-R1166/100)-W1166-P1166-Q1166,"н/д")</x:f>
        <x:v>н/д</x:v>
      </x:c>
      <x:c r="H1166" s="12" t="str">
        <x:v>Высокий</x:v>
      </x:c>
      <x:c r="I1166" s="12" t="str">
        <x:v>Высокий</x:v>
      </x:c>
      <x:c r="J1166" s="12" t="str">
        <x:f>IF(L1166="","Укажите валюту",IF(NOT(ISNUMBER(K1166)),"Укажите объём",IF(K1166&lt;=0,"Укажите объём",IF(K1166&gt;F1166,"Объём выше излишка",IF(COUNT(M1166:O1166)&lt;3,"Нужны цены",IF(COUNT(P1166:R1166)&lt;3,"Нужны расходы",IF(OR(M1166&lt;0,N1166&lt;0,O1166&lt;0,O1166&gt;100,P1166&lt;0,Q1166&lt;0,R1166&lt;0,R1166&gt;100),"Проверьте значения","Рассчитано")))))))</x:f>
        <x:v>Нужны цены</x:v>
      </x:c>
      <x:c r="K1166" s="36" t="n">
        <x:v>3737</x:v>
      </x:c>
      <x:c r="L1166" s="19" t="str">
        <x:v>KZT</x:v>
      </x:c>
      <x:c r="M1166" s="22"/>
      <x:c r="N1166" s="22"/>
      <x:c r="O1166" s="28"/>
      <x:c r="P1166" s="22"/>
      <x:c r="Q1166" s="22"/>
      <x:c r="R1166" s="28"/>
      <x:c r="S1166" s="22"/>
      <x:c r="T1166" s="35" t="n">
        <x:f>K1166</x:f>
        <x:v>3737</x:v>
      </x:c>
      <x:c r="U1166" s="20" t="str">
        <x:f>IF(J1166="Рассчитано",N1166*(1-O1166/100),"н/д")</x:f>
        <x:v>н/д</x:v>
      </x:c>
      <x:c r="V1166" s="20" t="str">
        <x:f>IF(J1166="Рассчитано",T1166*U1166,"н/д")</x:f>
        <x:v>н/д</x:v>
      </x:c>
      <x:c r="W1166" s="20" t="str">
        <x:f>IF(J1166="Рассчитано",T1166*M1166,"н/д")</x:f>
        <x:v>н/д</x:v>
      </x:c>
      <x:c r="X1166" s="20" t="str">
        <x:f>IF(J1166="Рассчитано",V1166-W1166,"н/д")</x:f>
        <x:v>н/д</x:v>
      </x:c>
      <x:c r="Y1166" s="26" t="str">
        <x:f>IF(J1166="Рассчитано",IF(V1166&gt;0,G1166/V1166,"н/д"),"н/д")</x:f>
        <x:v>н/д</x:v>
      </x:c>
      <x:c r="Z1166" s="20" t="str">
        <x:f>"н/д"</x:f>
        <x:v>н/д</x:v>
      </x:c>
      <x:c r="AA1166" s="20" t="str">
        <x:f>"н/д"</x:f>
        <x:v>н/д</x:v>
      </x:c>
      <x:c r="AB1166" s="20" t="str">
        <x:f>"н/д"</x:f>
        <x:v>н/д</x:v>
      </x:c>
      <x:c r="AC1166" s="20" t="str">
        <x:f>IF(AND(J1166="Рассчитано",T1166&gt;0,R1166&lt;100),(W1166+P1166+Q1166)/(T1166*(1-R1166/100)),"н/д")</x:f>
        <x:v>н/д</x:v>
      </x:c>
      <x:c r="AD1166" s="11" t="str">
        <x:f>IF(ISNUMBER(G1166),IF(G1166&lt;0,"Убыток",IF(G1166=0,"Без прибыли","Прибыль &gt; 0")),"Не оценён")</x:f>
        <x:v>Не оценён</x:v>
      </x:c>
      <x:c r="AE1166" s="12" t="str">
        <x:f>IF(J1166="Рассчитано","Выручка "&amp;TEXT(V1166,"0.00")&amp;" - себестоимость "&amp;TEXT(W1166,"0.00")&amp;" - комиссия "&amp;TEXT(V1166*R1166/100,"0.00")&amp;" - доставка "&amp;TEXT(P1166,"0.00")&amp;" - прочие "&amp;TEXT(Q1166,"0.00")&amp;" = "&amp;TEXT(G1166,"0.00")&amp;" "&amp;L1166,"Введите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6" s="23" t="n">
        <x:v>1.0758727254321898</x:v>
      </x:c>
      <x:c r="AG1166" s="35" t="n">
        <x:v>3739</x:v>
      </x:c>
      <x:c r="AH1166" s="35" t="n">
        <x:v>0</x:v>
      </x:c>
      <x:c r="AI1166" s="29" t="n">
        <x:v>46266</x:v>
      </x:c>
      <x:c r="AJ1166" s="35" t="n">
        <x:v>25</x:v>
      </x:c>
      <x:c r="AK1166" s="11" t="str">
        <x:v>минимум</x:v>
      </x:c>
      <x:c r="AL1166" s="31" t="n">
        <x:v>295538.19163171336</x:v>
      </x:c>
      <x:c r="AM116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66" s="12" t="str">
        <x:v>Проверить свободный остаток и установить цену для B2B</x:v>
      </x:c>
      <x:c r="AO1166" s="12" t="str">
        <x:v>Остаток 3739; прогноз 90 дней 1.08; избыток 3737 шт. Будущие поступления не выставляются на продажу. Остаток на начало сентября: требуется актуализация.</x:v>
      </x:c>
      <x:c r="AP1166" s="12" t="str">
        <x:v>["category_missing", "daily_stockout_data_missing", "new_order_lead_time_unknown", "reservations_unknown", "stale_stock"]</x:v>
      </x:c>
      <x:c r="AQ1166" s="11" t="str">
        <x:v>IEK:280300737_</x:v>
      </x:c>
      <x:c r="AR1166" s="23" t="n">
        <x:v>1</x:v>
      </x:c>
      <x:c r="AS1166" s="23" t="n">
        <x:v>0</x:v>
      </x:c>
      <x:c r="AT1166" s="23" t="n">
        <x:v>0</x:v>
      </x:c>
    </x:row>
    <x:row r="1167" ht="64" customHeight="1">
      <x:c r="A1167" s="10" t="str">
        <x:v>IEK</x:v>
      </x:c>
      <x:c r="B1167" s="34" t="str">
        <x:v>280300738_</x:v>
      </x:c>
      <x:c r="C1167" s="34" t="str">
        <x:v>CMZ13-SGH-08</x:v>
      </x:c>
      <x:c r="D1167" s="13" t="str">
        <x:v>STRUT-гайка с конусной пружиной  М8 IEK</x:v>
      </x:c>
      <x:c r="E1167" s="10" t="str">
        <x:v>шт</x:v>
      </x:c>
      <x:c r="F1167" s="37" t="n">
        <x:f>MAX(0,ROUNDDOWN((AG1167-AF1167)/AR1167+0.000000001,0)*AR1167)</x:f>
        <x:v>104</x:v>
      </x:c>
      <x:c r="G1167" s="21" t="str">
        <x:f>IF(J1167="Рассчитано",V1167*(1-R1167/100)-W1167-P1167-Q1167,"н/д")</x:f>
        <x:v>н/д</x:v>
      </x:c>
      <x:c r="H1167" s="13" t="str">
        <x:v>Высокий</x:v>
      </x:c>
      <x:c r="I1167" s="13" t="str">
        <x:v>Средний</x:v>
      </x:c>
      <x:c r="J1167" s="13" t="str">
        <x:f>IF(L1167="","Укажите валюту",IF(NOT(ISNUMBER(K1167)),"Укажите объём",IF(K1167&lt;=0,"Укажите объём",IF(K1167&gt;F1167,"Объём выше излишка",IF(COUNT(M1167:O1167)&lt;3,"Нужны цены",IF(COUNT(P1167:R1167)&lt;3,"Нужны расходы",IF(OR(M1167&lt;0,N1167&lt;0,O1167&lt;0,O1167&gt;100,P1167&lt;0,Q1167&lt;0,R1167&lt;0,R1167&gt;100),"Проверьте значения","Рассчитано")))))))</x:f>
        <x:v>Нужны цены</x:v>
      </x:c>
      <x:c r="K1167" s="36" t="n">
        <x:v>104</x:v>
      </x:c>
      <x:c r="L1167" s="19" t="str">
        <x:v>KZT</x:v>
      </x:c>
      <x:c r="M1167" s="22"/>
      <x:c r="N1167" s="22"/>
      <x:c r="O1167" s="28"/>
      <x:c r="P1167" s="22"/>
      <x:c r="Q1167" s="22"/>
      <x:c r="R1167" s="28"/>
      <x:c r="S1167" s="22"/>
      <x:c r="T1167" s="37" t="n">
        <x:f>K1167</x:f>
        <x:v>104</x:v>
      </x:c>
      <x:c r="U1167" s="21" t="str">
        <x:f>IF(J1167="Рассчитано",N1167*(1-O1167/100),"н/д")</x:f>
        <x:v>н/д</x:v>
      </x:c>
      <x:c r="V1167" s="21" t="str">
        <x:f>IF(J1167="Рассчитано",T1167*U1167,"н/д")</x:f>
        <x:v>н/д</x:v>
      </x:c>
      <x:c r="W1167" s="21" t="str">
        <x:f>IF(J1167="Рассчитано",T1167*M1167,"н/д")</x:f>
        <x:v>н/д</x:v>
      </x:c>
      <x:c r="X1167" s="21" t="str">
        <x:f>IF(J1167="Рассчитано",V1167-W1167,"н/д")</x:f>
        <x:v>н/д</x:v>
      </x:c>
      <x:c r="Y1167" s="27" t="str">
        <x:f>IF(J1167="Рассчитано",IF(V1167&gt;0,G1167/V1167,"н/д"),"н/д")</x:f>
        <x:v>н/д</x:v>
      </x:c>
      <x:c r="Z1167" s="21" t="str">
        <x:f>"н/д"</x:f>
        <x:v>н/д</x:v>
      </x:c>
      <x:c r="AA1167" s="21" t="str">
        <x:f>"н/д"</x:f>
        <x:v>н/д</x:v>
      </x:c>
      <x:c r="AB1167" s="21" t="str">
        <x:f>"н/д"</x:f>
        <x:v>н/д</x:v>
      </x:c>
      <x:c r="AC1167" s="21" t="str">
        <x:f>IF(AND(J1167="Рассчитано",T1167&gt;0,R1167&lt;100),(W1167+P1167+Q1167)/(T1167*(1-R1167/100)),"н/д")</x:f>
        <x:v>н/д</x:v>
      </x:c>
      <x:c r="AD1167" s="10" t="str">
        <x:f>IF(ISNUMBER(G1167),IF(G1167&lt;0,"Убыток",IF(G1167=0,"Без прибыли","Прибыль &gt; 0")),"Не оценён")</x:f>
        <x:v>Не оценён</x:v>
      </x:c>
      <x:c r="AE1167" s="13" t="str">
        <x:f>IF(J1167="Рассчитано","Выручка "&amp;TEXT(V1167,"0.00")&amp;" - себестоимость "&amp;TEXT(W1167,"0.00")&amp;" - комиссия "&amp;TEXT(V1167*R1167/100,"0.00")&amp;" - доставка "&amp;TEXT(P1167,"0.00")&amp;" - прочие "&amp;TEXT(Q1167,"0.00")&amp;" = "&amp;TEXT(G1167,"0.00")&amp;" "&amp;L1167,"Введите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7" s="24" t="n">
        <x:v>332.5137485609887</x:v>
      </x:c>
      <x:c r="AG1167" s="37" t="n">
        <x:v>437</x:v>
      </x:c>
      <x:c r="AH1167" s="37" t="n">
        <x:v>0</x:v>
      </x:c>
      <x:c r="AI1167" s="30" t="n">
        <x:v>46266</x:v>
      </x:c>
      <x:c r="AJ1167" s="37" t="n">
        <x:v>25</x:v>
      </x:c>
      <x:c r="AK1167" s="10" t="str">
        <x:v>минимум</x:v>
      </x:c>
      <x:c r="AL1167" s="32" t="n">
        <x:v>111.76115317688979</x:v>
      </x:c>
      <x:c r="AM1167" s="13" t="str">
        <x:v>Остаток на начало сентября; Резервы неизвестны; Нет ежедневных данных доступности. Запас выше прогноза на 90 дней</x:v>
      </x:c>
      <x:c r="AN1167" s="13" t="str">
        <x:v>Проверить свободный остаток и установить цену для B2B</x:v>
      </x:c>
      <x:c r="AO1167" s="13" t="str">
        <x:v>Остаток 437; прогноз 90 дней 332.51; избыток 104 шт. Будущие поступления не выставляются на продажу. Остаток на начало сентября: требуется актуализация.</x:v>
      </x:c>
      <x:c r="AP1167" s="13" t="str">
        <x:v>["category_missing", "daily_stockout_data_missing", "new_order_lead_time_unknown", "reservations_unknown", "stale_stock"]</x:v>
      </x:c>
      <x:c r="AQ1167" s="10" t="str">
        <x:v>IEK:280300738_</x:v>
      </x:c>
      <x:c r="AR1167" s="24" t="n">
        <x:v>1</x:v>
      </x:c>
      <x:c r="AS1167" s="24" t="n">
        <x:v>0</x:v>
      </x:c>
      <x:c r="AT1167" s="24" t="n">
        <x:v>0</x:v>
      </x:c>
    </x:row>
    <x:row r="1168" ht="64" customHeight="1">
      <x:c r="A1168" s="11" t="str">
        <x:v>IEK</x:v>
      </x:c>
      <x:c r="B1168" s="33" t="str">
        <x:v>280300740_</x:v>
      </x:c>
      <x:c r="C1168" s="33" t="str">
        <x:v>CLP1S-41-21-20-25</x:v>
      </x:c>
      <x:c r="D1168" s="12" t="str">
        <x:v>STRUT-профиль перфорированный 41x21х2000-2,5 IEK</x:v>
      </x:c>
      <x:c r="E1168" s="11" t="str">
        <x:v>шт</x:v>
      </x:c>
      <x:c r="F1168" s="35" t="n">
        <x:f>MAX(0,ROUNDDOWN((AG1168-AF1168)/AR1168+0.000000001,0)*AR1168)</x:f>
        <x:v>49</x:v>
      </x:c>
      <x:c r="G1168" s="20" t="str">
        <x:f>IF(J1168="Рассчитано",V1168*(1-R1168/100)-W1168-P1168-Q1168,"н/д")</x:f>
        <x:v>н/д</x:v>
      </x:c>
      <x:c r="H1168" s="12" t="str">
        <x:v>Высокий</x:v>
      </x:c>
      <x:c r="I1168" s="12" t="str">
        <x:v>Средний</x:v>
      </x:c>
      <x:c r="J1168" s="12" t="str">
        <x:f>IF(L1168="","Укажите валюту",IF(NOT(ISNUMBER(K1168)),"Укажите объём",IF(K1168&lt;=0,"Укажите объём",IF(K1168&gt;F1168,"Объём выше излишка",IF(COUNT(M1168:O1168)&lt;3,"Нужны цены",IF(COUNT(P1168:R1168)&lt;3,"Нужны расходы",IF(OR(M1168&lt;0,N1168&lt;0,O1168&lt;0,O1168&gt;100,P1168&lt;0,Q1168&lt;0,R1168&lt;0,R1168&gt;100),"Проверьте значения","Рассчитано")))))))</x:f>
        <x:v>Нужны цены</x:v>
      </x:c>
      <x:c r="K1168" s="36" t="n">
        <x:v>49</x:v>
      </x:c>
      <x:c r="L1168" s="19" t="str">
        <x:v>KZT</x:v>
      </x:c>
      <x:c r="M1168" s="22"/>
      <x:c r="N1168" s="22"/>
      <x:c r="O1168" s="28"/>
      <x:c r="P1168" s="22"/>
      <x:c r="Q1168" s="22"/>
      <x:c r="R1168" s="28"/>
      <x:c r="S1168" s="22"/>
      <x:c r="T1168" s="35" t="n">
        <x:f>K1168</x:f>
        <x:v>49</x:v>
      </x:c>
      <x:c r="U1168" s="20" t="str">
        <x:f>IF(J1168="Рассчитано",N1168*(1-O1168/100),"н/д")</x:f>
        <x:v>н/д</x:v>
      </x:c>
      <x:c r="V1168" s="20" t="str">
        <x:f>IF(J1168="Рассчитано",T1168*U1168,"н/д")</x:f>
        <x:v>н/д</x:v>
      </x:c>
      <x:c r="W1168" s="20" t="str">
        <x:f>IF(J1168="Рассчитано",T1168*M1168,"н/д")</x:f>
        <x:v>н/д</x:v>
      </x:c>
      <x:c r="X1168" s="20" t="str">
        <x:f>IF(J1168="Рассчитано",V1168-W1168,"н/д")</x:f>
        <x:v>н/д</x:v>
      </x:c>
      <x:c r="Y1168" s="26" t="str">
        <x:f>IF(J1168="Рассчитано",IF(V1168&gt;0,G1168/V1168,"н/д"),"н/д")</x:f>
        <x:v>н/д</x:v>
      </x:c>
      <x:c r="Z1168" s="20" t="str">
        <x:f>"н/д"</x:f>
        <x:v>н/д</x:v>
      </x:c>
      <x:c r="AA1168" s="20" t="str">
        <x:f>"н/д"</x:f>
        <x:v>н/д</x:v>
      </x:c>
      <x:c r="AB1168" s="20" t="str">
        <x:f>"н/д"</x:f>
        <x:v>н/д</x:v>
      </x:c>
      <x:c r="AC1168" s="20" t="str">
        <x:f>IF(AND(J1168="Рассчитано",T1168&gt;0,R1168&lt;100),(W1168+P1168+Q1168)/(T1168*(1-R1168/100)),"н/д")</x:f>
        <x:v>н/д</x:v>
      </x:c>
      <x:c r="AD1168" s="11" t="str">
        <x:f>IF(ISNUMBER(G1168),IF(G1168&lt;0,"Убыток",IF(G1168=0,"Без прибыли","Прибыль &gt; 0")),"Не оценён")</x:f>
        <x:v>Не оценён</x:v>
      </x:c>
      <x:c r="AE1168" s="12" t="str">
        <x:f>IF(J1168="Рассчитано","Выручка "&amp;TEXT(V1168,"0.00")&amp;" - себестоимость "&amp;TEXT(W1168,"0.00")&amp;" - комиссия "&amp;TEXT(V1168*R1168/100,"0.00")&amp;" - доставка "&amp;TEXT(P1168,"0.00")&amp;" - прочие "&amp;TEXT(Q1168,"0.00")&amp;" = "&amp;TEXT(G1168,"0.00")&amp;" "&amp;L1168,"Введите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8" s="23" t="n">
        <x:v>99.76989129026875</x:v>
      </x:c>
      <x:c r="AG1168" s="35" t="n">
        <x:v>149</x:v>
      </x:c>
      <x:c r="AH1168" s="35" t="n">
        <x:v>0</x:v>
      </x:c>
      <x:c r="AI1168" s="29" t="n">
        <x:v>46266</x:v>
      </x:c>
      <x:c r="AJ1168" s="35" t="n">
        <x:v>2</x:v>
      </x:c>
      <x:c r="AK1168" s="11" t="str">
        <x:v>минимум</x:v>
      </x:c>
      <x:c r="AL1168" s="31" t="n">
        <x:v>127.00061196303137</x:v>
      </x:c>
      <x:c r="AM1168" s="12" t="str">
        <x:v>Остаток на начало сентября; Резервы неизвестны; Нет ежедневных данных доступности. Запас выше прогноза на 90 дней</x:v>
      </x:c>
      <x:c r="AN1168" s="12" t="str">
        <x:v>Проверить свободный остаток и установить цену для B2B</x:v>
      </x:c>
      <x:c r="AO1168" s="12" t="str">
        <x:v>Остаток 149; прогноз 90 дней 99.77; избыток 49 шт. Будущие поступления не выставляются на продажу. Остаток на начало сентября: требуется актуализация.</x:v>
      </x:c>
      <x:c r="AP1168" s="12" t="str">
        <x:v>["category_missing", "daily_stockout_data_missing", "new_order_lead_time_unknown", "reservations_unknown", "stale_stock"]</x:v>
      </x:c>
      <x:c r="AQ1168" s="11" t="str">
        <x:v>IEK:280300740_</x:v>
      </x:c>
      <x:c r="AR1168" s="23" t="n">
        <x:v>1</x:v>
      </x:c>
      <x:c r="AS1168" s="23" t="n">
        <x:v>0</x:v>
      </x:c>
      <x:c r="AT1168" s="23" t="n">
        <x:v>0</x:v>
      </x:c>
    </x:row>
    <x:row r="1169" ht="64" customHeight="1">
      <x:c r="A1169" s="10" t="str">
        <x:v>IEK</x:v>
      </x:c>
      <x:c r="B1169" s="34" t="str">
        <x:v>280300743_</x:v>
      </x:c>
      <x:c r="C1169" s="34" t="str">
        <x:v>CLP1S-41-21-05-15</x:v>
      </x:c>
      <x:c r="D1169" s="13" t="str">
        <x:v>STRUT-профиль  перфорированный  41х21х500-1,5 IEK</x:v>
      </x:c>
      <x:c r="E1169" s="10" t="str">
        <x:v>шт</x:v>
      </x:c>
      <x:c r="F1169" s="37" t="n">
        <x:f>MAX(0,ROUNDDOWN((AG1169-AF1169)/AR1169+0.000000001,0)*AR1169)</x:f>
        <x:v>296</x:v>
      </x:c>
      <x:c r="G1169" s="21" t="str">
        <x:f>IF(J1169="Рассчитано",V1169*(1-R1169/100)-W1169-P1169-Q1169,"н/д")</x:f>
        <x:v>н/д</x:v>
      </x:c>
      <x:c r="H1169" s="13" t="str">
        <x:v>Высокий</x:v>
      </x:c>
      <x:c r="I1169" s="13" t="str">
        <x:v>Высокий</x:v>
      </x:c>
      <x:c r="J1169" s="13" t="str">
        <x:f>IF(L1169="","Укажите валюту",IF(NOT(ISNUMBER(K1169)),"Укажите объём",IF(K1169&lt;=0,"Укажите объём",IF(K1169&gt;F1169,"Объём выше излишка",IF(COUNT(M1169:O1169)&lt;3,"Нужны цены",IF(COUNT(P1169:R1169)&lt;3,"Нужны расходы",IF(OR(M1169&lt;0,N1169&lt;0,O1169&lt;0,O1169&gt;100,P1169&lt;0,Q1169&lt;0,R1169&lt;0,R1169&gt;100),"Проверьте значения","Рассчитано")))))))</x:f>
        <x:v>Нужны цены</x:v>
      </x:c>
      <x:c r="K1169" s="36" t="n">
        <x:v>296</x:v>
      </x:c>
      <x:c r="L1169" s="19" t="str">
        <x:v>KZT</x:v>
      </x:c>
      <x:c r="M1169" s="22"/>
      <x:c r="N1169" s="22"/>
      <x:c r="O1169" s="28"/>
      <x:c r="P1169" s="22"/>
      <x:c r="Q1169" s="22"/>
      <x:c r="R1169" s="28"/>
      <x:c r="S1169" s="22"/>
      <x:c r="T1169" s="37" t="n">
        <x:f>K1169</x:f>
        <x:v>296</x:v>
      </x:c>
      <x:c r="U1169" s="21" t="str">
        <x:f>IF(J1169="Рассчитано",N1169*(1-O1169/100),"н/д")</x:f>
        <x:v>н/д</x:v>
      </x:c>
      <x:c r="V1169" s="21" t="str">
        <x:f>IF(J1169="Рассчитано",T1169*U1169,"н/д")</x:f>
        <x:v>н/д</x:v>
      </x:c>
      <x:c r="W1169" s="21" t="str">
        <x:f>IF(J1169="Рассчитано",T1169*M1169,"н/д")</x:f>
        <x:v>н/д</x:v>
      </x:c>
      <x:c r="X1169" s="21" t="str">
        <x:f>IF(J1169="Рассчитано",V1169-W1169,"н/д")</x:f>
        <x:v>н/д</x:v>
      </x:c>
      <x:c r="Y1169" s="27" t="str">
        <x:f>IF(J1169="Рассчитано",IF(V1169&gt;0,G1169/V1169,"н/д"),"н/д")</x:f>
        <x:v>н/д</x:v>
      </x:c>
      <x:c r="Z1169" s="21" t="str">
        <x:f>"н/д"</x:f>
        <x:v>н/д</x:v>
      </x:c>
      <x:c r="AA1169" s="21" t="str">
        <x:f>"н/д"</x:f>
        <x:v>н/д</x:v>
      </x:c>
      <x:c r="AB1169" s="21" t="str">
        <x:f>"н/д"</x:f>
        <x:v>н/д</x:v>
      </x:c>
      <x:c r="AC1169" s="21" t="str">
        <x:f>IF(AND(J1169="Рассчитано",T1169&gt;0,R1169&lt;100),(W1169+P1169+Q1169)/(T1169*(1-R1169/100)),"н/д")</x:f>
        <x:v>н/д</x:v>
      </x:c>
      <x:c r="AD1169" s="10" t="str">
        <x:f>IF(ISNUMBER(G1169),IF(G1169&lt;0,"Убыток",IF(G1169=0,"Без прибыли","Прибыль &gt; 0")),"Не оценён")</x:f>
        <x:v>Не оценён</x:v>
      </x:c>
      <x:c r="AE1169" s="13" t="str">
        <x:f>IF(J1169="Рассчитано","Выручка "&amp;TEXT(V1169,"0.00")&amp;" - себестоимость "&amp;TEXT(W1169,"0.00")&amp;" - комиссия "&amp;TEXT(V1169*R1169/100,"0.00")&amp;" - доставка "&amp;TEXT(P1169,"0.00")&amp;" - прочие "&amp;TEXT(Q1169,"0.00")&amp;" = "&amp;TEXT(G1169,"0.00")&amp;" "&amp;L1169,"Введите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9" s="24" t="n">
        <x:v>0.27556361545571784</x:v>
      </x:c>
      <x:c r="AG1169" s="37" t="n">
        <x:v>297</x:v>
      </x:c>
      <x:c r="AH1169" s="37" t="n">
        <x:v>0</x:v>
      </x:c>
      <x:c r="AI1169" s="30" t="n">
        <x:v>46266</x:v>
      </x:c>
      <x:c r="AJ1169" s="37" t="n">
        <x:v>2</x:v>
      </x:c>
      <x:c r="AK1169" s="10" t="str">
        <x:v>минимум</x:v>
      </x:c>
      <x:c r="AL1169" s="32" t="n">
        <x:v>91654.46345577853</x:v>
      </x:c>
      <x:c r="AM116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69" s="13" t="str">
        <x:v>Проверить свободный остаток и установить цену для B2B</x:v>
      </x:c>
      <x:c r="AO1169" s="13" t="str">
        <x:v>Остаток 297; прогноз 90 дней 0.28; избыток 296 шт. Будущие поступления не выставляются на продажу. Остаток на начало сентября: требуется актуализация.</x:v>
      </x:c>
      <x:c r="AP1169" s="13" t="str">
        <x:v>["category_missing", "daily_stockout_data_missing", "new_order_lead_time_unknown", "reservations_unknown", "stale_stock"]</x:v>
      </x:c>
      <x:c r="AQ1169" s="10" t="str">
        <x:v>IEK:280300743_</x:v>
      </x:c>
      <x:c r="AR1169" s="24" t="n">
        <x:v>1</x:v>
      </x:c>
      <x:c r="AS1169" s="24" t="n">
        <x:v>0</x:v>
      </x:c>
      <x:c r="AT1169" s="24" t="n">
        <x:v>0</x:v>
      </x:c>
    </x:row>
    <x:row r="1170" ht="64" customHeight="1">
      <x:c r="A1170" s="11" t="str">
        <x:v>IEK</x:v>
      </x:c>
      <x:c r="B1170" s="33" t="str">
        <x:v>280300744_</x:v>
      </x:c>
      <x:c r="C1170" s="33" t="str">
        <x:v>CLM50D-CSO-41-21-02</x:v>
      </x:c>
      <x:c r="D1170" s="12" t="str">
        <x:v>Консоль STRUT 41х21-200 EZ IEK</x:v>
      </x:c>
      <x:c r="E1170" s="11" t="str">
        <x:v>шт</x:v>
      </x:c>
      <x:c r="F1170" s="35" t="n">
        <x:f>MAX(0,ROUNDDOWN((AG1170-AF1170)/AR1170+0.000000001,0)*AR1170)</x:f>
        <x:v>346</x:v>
      </x:c>
      <x:c r="G1170" s="20" t="str">
        <x:f>IF(J1170="Рассчитано",V1170*(1-R1170/100)-W1170-P1170-Q1170,"н/д")</x:f>
        <x:v>н/д</x:v>
      </x:c>
      <x:c r="H1170" s="12" t="str">
        <x:v>Высокий</x:v>
      </x:c>
      <x:c r="I1170" s="12" t="str">
        <x:v>Высокий</x:v>
      </x:c>
      <x:c r="J1170" s="12" t="str">
        <x:f>IF(L1170="","Укажите валюту",IF(NOT(ISNUMBER(K1170)),"Укажите объём",IF(K1170&lt;=0,"Укажите объём",IF(K1170&gt;F1170,"Объём выше излишка",IF(COUNT(M1170:O1170)&lt;3,"Нужны цены",IF(COUNT(P1170:R1170)&lt;3,"Нужны расходы",IF(OR(M1170&lt;0,N1170&lt;0,O1170&lt;0,O1170&gt;100,P1170&lt;0,Q1170&lt;0,R1170&lt;0,R1170&gt;100),"Проверьте значения","Рассчитано")))))))</x:f>
        <x:v>Нужны цены</x:v>
      </x:c>
      <x:c r="K1170" s="36" t="n">
        <x:v>346</x:v>
      </x:c>
      <x:c r="L1170" s="19" t="str">
        <x:v>KZT</x:v>
      </x:c>
      <x:c r="M1170" s="22"/>
      <x:c r="N1170" s="22"/>
      <x:c r="O1170" s="28"/>
      <x:c r="P1170" s="22"/>
      <x:c r="Q1170" s="22"/>
      <x:c r="R1170" s="28"/>
      <x:c r="S1170" s="22"/>
      <x:c r="T1170" s="35" t="n">
        <x:f>K1170</x:f>
        <x:v>346</x:v>
      </x:c>
      <x:c r="U1170" s="20" t="str">
        <x:f>IF(J1170="Рассчитано",N1170*(1-O1170/100),"н/д")</x:f>
        <x:v>н/д</x:v>
      </x:c>
      <x:c r="V1170" s="20" t="str">
        <x:f>IF(J1170="Рассчитано",T1170*U1170,"н/д")</x:f>
        <x:v>н/д</x:v>
      </x:c>
      <x:c r="W1170" s="20" t="str">
        <x:f>IF(J1170="Рассчитано",T1170*M1170,"н/д")</x:f>
        <x:v>н/д</x:v>
      </x:c>
      <x:c r="X1170" s="20" t="str">
        <x:f>IF(J1170="Рассчитано",V1170-W1170,"н/д")</x:f>
        <x:v>н/д</x:v>
      </x:c>
      <x:c r="Y1170" s="26" t="str">
        <x:f>IF(J1170="Рассчитано",IF(V1170&gt;0,G1170/V1170,"н/д"),"н/д")</x:f>
        <x:v>н/д</x:v>
      </x:c>
      <x:c r="Z1170" s="20" t="str">
        <x:f>"н/д"</x:f>
        <x:v>н/д</x:v>
      </x:c>
      <x:c r="AA1170" s="20" t="str">
        <x:f>"н/д"</x:f>
        <x:v>н/д</x:v>
      </x:c>
      <x:c r="AB1170" s="20" t="str">
        <x:f>"н/д"</x:f>
        <x:v>н/д</x:v>
      </x:c>
      <x:c r="AC1170" s="20" t="str">
        <x:f>IF(AND(J1170="Рассчитано",T1170&gt;0,R1170&lt;100),(W1170+P1170+Q1170)/(T1170*(1-R1170/100)),"н/д")</x:f>
        <x:v>н/д</x:v>
      </x:c>
      <x:c r="AD1170" s="11" t="str">
        <x:f>IF(ISNUMBER(G1170),IF(G1170&lt;0,"Убыток",IF(G1170=0,"Без прибыли","Прибыль &gt; 0")),"Не оценён")</x:f>
        <x:v>Не оценён</x:v>
      </x:c>
      <x:c r="AE1170" s="12" t="str">
        <x:f>IF(J1170="Рассчитано","Выручка "&amp;TEXT(V1170,"0.00")&amp;" - себестоимость "&amp;TEXT(W1170,"0.00")&amp;" - комиссия "&amp;TEXT(V1170*R1170/100,"0.00")&amp;" - доставка "&amp;TEXT(P1170,"0.00")&amp;" - прочие "&amp;TEXT(Q1170,"0.00")&amp;" = "&amp;TEXT(G1170,"0.00")&amp;" "&amp;L1170,"Введите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0" s="23" t="n">
        <x:v>14.94789177503852</x:v>
      </x:c>
      <x:c r="AG1170" s="35" t="n">
        <x:v>361</x:v>
      </x:c>
      <x:c r="AH1170" s="35" t="n">
        <x:v>0</x:v>
      </x:c>
      <x:c r="AI1170" s="29" t="n">
        <x:v>46266</x:v>
      </x:c>
      <x:c r="AJ1170" s="35" t="n">
        <x:v>2</x:v>
      </x:c>
      <x:c r="AK1170" s="11" t="str">
        <x:v>минимум</x:v>
      </x:c>
      <x:c r="AL1170" s="31" t="n">
        <x:v>2053.7439700146288</x:v>
      </x:c>
      <x:c r="AM117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70" s="12" t="str">
        <x:v>Проверить свободный остаток и установить цену для B2B</x:v>
      </x:c>
      <x:c r="AO1170" s="12" t="str">
        <x:v>Остаток 361; прогноз 90 дней 14.95; избыток 346 шт. Будущие поступления не выставляются на продажу. Остаток на начало сентября: требуется актуализация.</x:v>
      </x:c>
      <x:c r="AP1170" s="12" t="str">
        <x:v>["category_missing", "daily_stockout_data_missing", "new_order_lead_time_unknown", "reservations_unknown", "stale_stock"]</x:v>
      </x:c>
      <x:c r="AQ1170" s="11" t="str">
        <x:v>IEK:280300744_</x:v>
      </x:c>
      <x:c r="AR1170" s="23" t="n">
        <x:v>1</x:v>
      </x:c>
      <x:c r="AS1170" s="23" t="n">
        <x:v>0</x:v>
      </x:c>
      <x:c r="AT1170" s="23" t="n">
        <x:v>0</x:v>
      </x:c>
    </x:row>
    <x:row r="1171" ht="64" customHeight="1">
      <x:c r="A1171" s="10" t="str">
        <x:v>IEK</x:v>
      </x:c>
      <x:c r="B1171" s="34" t="str">
        <x:v>280300745_</x:v>
      </x:c>
      <x:c r="C1171" s="34" t="str">
        <x:v>CLM50D-CSO-41-21-03</x:v>
      </x:c>
      <x:c r="D1171" s="13" t="str">
        <x:v>Консоль STRUT 41х21-300 EZ IEK</x:v>
      </x:c>
      <x:c r="E1171" s="10" t="str">
        <x:v>шт</x:v>
      </x:c>
      <x:c r="F1171" s="37" t="n">
        <x:f>MAX(0,ROUNDDOWN((AG1171-AF1171)/AR1171+0.000000001,0)*AR1171)</x:f>
        <x:v>375</x:v>
      </x:c>
      <x:c r="G1171" s="21" t="str">
        <x:f>IF(J1171="Рассчитано",V1171*(1-R1171/100)-W1171-P1171-Q1171,"н/д")</x:f>
        <x:v>н/д</x:v>
      </x:c>
      <x:c r="H1171" s="13" t="str">
        <x:v>Высокий</x:v>
      </x:c>
      <x:c r="I1171" s="13" t="str">
        <x:v>Высокий</x:v>
      </x:c>
      <x:c r="J1171" s="13" t="str">
        <x:f>IF(L1171="","Укажите валюту",IF(NOT(ISNUMBER(K1171)),"Укажите объём",IF(K1171&lt;=0,"Укажите объём",IF(K1171&gt;F1171,"Объём выше излишка",IF(COUNT(M1171:O1171)&lt;3,"Нужны цены",IF(COUNT(P1171:R1171)&lt;3,"Нужны расходы",IF(OR(M1171&lt;0,N1171&lt;0,O1171&lt;0,O1171&gt;100,P1171&lt;0,Q1171&lt;0,R1171&lt;0,R1171&gt;100),"Проверьте значения","Рассчитано")))))))</x:f>
        <x:v>Нужны цены</x:v>
      </x:c>
      <x:c r="K1171" s="36" t="n">
        <x:v>375</x:v>
      </x:c>
      <x:c r="L1171" s="19" t="str">
        <x:v>KZT</x:v>
      </x:c>
      <x:c r="M1171" s="22"/>
      <x:c r="N1171" s="22"/>
      <x:c r="O1171" s="28"/>
      <x:c r="P1171" s="22"/>
      <x:c r="Q1171" s="22"/>
      <x:c r="R1171" s="28"/>
      <x:c r="S1171" s="22"/>
      <x:c r="T1171" s="37" t="n">
        <x:f>K1171</x:f>
        <x:v>375</x:v>
      </x:c>
      <x:c r="U1171" s="21" t="str">
        <x:f>IF(J1171="Рассчитано",N1171*(1-O1171/100),"н/д")</x:f>
        <x:v>н/д</x:v>
      </x:c>
      <x:c r="V1171" s="21" t="str">
        <x:f>IF(J1171="Рассчитано",T1171*U1171,"н/д")</x:f>
        <x:v>н/д</x:v>
      </x:c>
      <x:c r="W1171" s="21" t="str">
        <x:f>IF(J1171="Рассчитано",T1171*M1171,"н/д")</x:f>
        <x:v>н/д</x:v>
      </x:c>
      <x:c r="X1171" s="21" t="str">
        <x:f>IF(J1171="Рассчитано",V1171-W1171,"н/д")</x:f>
        <x:v>н/д</x:v>
      </x:c>
      <x:c r="Y1171" s="27" t="str">
        <x:f>IF(J1171="Рассчитано",IF(V1171&gt;0,G1171/V1171,"н/д"),"н/д")</x:f>
        <x:v>н/д</x:v>
      </x:c>
      <x:c r="Z1171" s="21" t="str">
        <x:f>"н/д"</x:f>
        <x:v>н/д</x:v>
      </x:c>
      <x:c r="AA1171" s="21" t="str">
        <x:f>"н/д"</x:f>
        <x:v>н/д</x:v>
      </x:c>
      <x:c r="AB1171" s="21" t="str">
        <x:f>"н/д"</x:f>
        <x:v>н/д</x:v>
      </x:c>
      <x:c r="AC1171" s="21" t="str">
        <x:f>IF(AND(J1171="Рассчитано",T1171&gt;0,R1171&lt;100),(W1171+P1171+Q1171)/(T1171*(1-R1171/100)),"н/д")</x:f>
        <x:v>н/д</x:v>
      </x:c>
      <x:c r="AD1171" s="10" t="str">
        <x:f>IF(ISNUMBER(G1171),IF(G1171&lt;0,"Убыток",IF(G1171=0,"Без прибыли","Прибыль &gt; 0")),"Не оценён")</x:f>
        <x:v>Не оценён</x:v>
      </x:c>
      <x:c r="AE1171" s="13" t="str">
        <x:f>IF(J1171="Рассчитано","Выручка "&amp;TEXT(V1171,"0.00")&amp;" - себестоимость "&amp;TEXT(W1171,"0.00")&amp;" - комиссия "&amp;TEXT(V1171*R1171/100,"0.00")&amp;" - доставка "&amp;TEXT(P1171,"0.00")&amp;" - прочие "&amp;TEXT(Q1171,"0.00")&amp;" = "&amp;TEXT(G1171,"0.00")&amp;" "&amp;L1171,"Введите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1" s="24" t="n">
        <x:v>20.382728277775886</x:v>
      </x:c>
      <x:c r="AG1171" s="37" t="n">
        <x:v>396</x:v>
      </x:c>
      <x:c r="AH1171" s="37" t="n">
        <x:v>0</x:v>
      </x:c>
      <x:c r="AI1171" s="30" t="n">
        <x:v>46266</x:v>
      </x:c>
      <x:c r="AJ1171" s="37" t="n">
        <x:v>2</x:v>
      </x:c>
      <x:c r="AK1171" s="10" t="str">
        <x:v>минимум</x:v>
      </x:c>
      <x:c r="AL1171" s="32" t="n">
        <x:v>1652.1592842940904</x:v>
      </x:c>
      <x:c r="AM117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71" s="13" t="str">
        <x:v>Проверить свободный остаток и установить цену для B2B</x:v>
      </x:c>
      <x:c r="AO1171" s="13" t="str">
        <x:v>Остаток 396; прогноз 90 дней 20.38; избыток 375 шт. Будущие поступления не выставляются на продажу. Остаток на начало сентября: требуется актуализация.</x:v>
      </x:c>
      <x:c r="AP1171" s="13" t="str">
        <x:v>["category_missing", "daily_stockout_data_missing", "new_order_lead_time_unknown", "reservations_unknown", "stale_stock"]</x:v>
      </x:c>
      <x:c r="AQ1171" s="10" t="str">
        <x:v>IEK:280300745_</x:v>
      </x:c>
      <x:c r="AR1171" s="24" t="n">
        <x:v>1</x:v>
      </x:c>
      <x:c r="AS1171" s="24" t="n">
        <x:v>0</x:v>
      </x:c>
      <x:c r="AT1171" s="24" t="n">
        <x:v>0</x:v>
      </x:c>
    </x:row>
    <x:row r="1172" ht="64" customHeight="1">
      <x:c r="A1172" s="11" t="str">
        <x:v>IEK</x:v>
      </x:c>
      <x:c r="B1172" s="33" t="str">
        <x:v>280300747_</x:v>
      </x:c>
      <x:c r="C1172" s="33" t="str">
        <x:v>CLM50D-UUS-107-40</x:v>
      </x:c>
      <x:c r="D1172" s="12" t="str">
        <x:v>Уголок крепежный двойной усиленный для STRUT-профиля EZ IEK</x:v>
      </x:c>
      <x:c r="E1172" s="11" t="str">
        <x:v>шт</x:v>
      </x:c>
      <x:c r="F1172" s="35" t="n">
        <x:f>MAX(0,ROUNDDOWN((AG1172-AF1172)/AR1172+0.000000001,0)*AR1172)</x:f>
        <x:v>81</x:v>
      </x:c>
      <x:c r="G1172" s="20" t="str">
        <x:f>IF(J1172="Рассчитано",V1172*(1-R1172/100)-W1172-P1172-Q1172,"н/д")</x:f>
        <x:v>н/д</x:v>
      </x:c>
      <x:c r="H1172" s="12" t="str">
        <x:v>Высокий</x:v>
      </x:c>
      <x:c r="I1172" s="12" t="str">
        <x:v>Высокий</x:v>
      </x:c>
      <x:c r="J1172" s="12" t="str">
        <x:f>IF(L1172="","Укажите валюту",IF(NOT(ISNUMBER(K1172)),"Укажите объём",IF(K1172&lt;=0,"Укажите объём",IF(K1172&gt;F1172,"Объём выше излишка",IF(COUNT(M1172:O1172)&lt;3,"Нужны цены",IF(COUNT(P1172:R1172)&lt;3,"Нужны расходы",IF(OR(M1172&lt;0,N1172&lt;0,O1172&lt;0,O1172&gt;100,P1172&lt;0,Q1172&lt;0,R1172&lt;0,R1172&gt;100),"Проверьте значения","Рассчитано")))))))</x:f>
        <x:v>Нужны цены</x:v>
      </x:c>
      <x:c r="K1172" s="36" t="n">
        <x:v>81</x:v>
      </x:c>
      <x:c r="L1172" s="19" t="str">
        <x:v>KZT</x:v>
      </x:c>
      <x:c r="M1172" s="22"/>
      <x:c r="N1172" s="22"/>
      <x:c r="O1172" s="28"/>
      <x:c r="P1172" s="22"/>
      <x:c r="Q1172" s="22"/>
      <x:c r="R1172" s="28"/>
      <x:c r="S1172" s="22"/>
      <x:c r="T1172" s="35" t="n">
        <x:f>K1172</x:f>
        <x:v>81</x:v>
      </x:c>
      <x:c r="U1172" s="20" t="str">
        <x:f>IF(J1172="Рассчитано",N1172*(1-O1172/100),"н/д")</x:f>
        <x:v>н/д</x:v>
      </x:c>
      <x:c r="V1172" s="20" t="str">
        <x:f>IF(J1172="Рассчитано",T1172*U1172,"н/д")</x:f>
        <x:v>н/д</x:v>
      </x:c>
      <x:c r="W1172" s="20" t="str">
        <x:f>IF(J1172="Рассчитано",T1172*M1172,"н/д")</x:f>
        <x:v>н/д</x:v>
      </x:c>
      <x:c r="X1172" s="20" t="str">
        <x:f>IF(J1172="Рассчитано",V1172-W1172,"н/д")</x:f>
        <x:v>н/д</x:v>
      </x:c>
      <x:c r="Y1172" s="26" t="str">
        <x:f>IF(J1172="Рассчитано",IF(V1172&gt;0,G1172/V1172,"н/д"),"н/д")</x:f>
        <x:v>н/д</x:v>
      </x:c>
      <x:c r="Z1172" s="20" t="str">
        <x:f>"н/д"</x:f>
        <x:v>н/д</x:v>
      </x:c>
      <x:c r="AA1172" s="20" t="str">
        <x:f>"н/д"</x:f>
        <x:v>н/д</x:v>
      </x:c>
      <x:c r="AB1172" s="20" t="str">
        <x:f>"н/д"</x:f>
        <x:v>н/д</x:v>
      </x:c>
      <x:c r="AC1172" s="20" t="str">
        <x:f>IF(AND(J1172="Рассчитано",T1172&gt;0,R1172&lt;100),(W1172+P1172+Q1172)/(T1172*(1-R1172/100)),"н/д")</x:f>
        <x:v>н/д</x:v>
      </x:c>
      <x:c r="AD1172" s="11" t="str">
        <x:f>IF(ISNUMBER(G1172),IF(G1172&lt;0,"Убыток",IF(G1172=0,"Без прибыли","Прибыль &gt; 0")),"Не оценён")</x:f>
        <x:v>Не оценён</x:v>
      </x:c>
      <x:c r="AE1172" s="12" t="str">
        <x:f>IF(J1172="Рассчитано","Выручка "&amp;TEXT(V1172,"0.00")&amp;" - себестоимость "&amp;TEXT(W1172,"0.00")&amp;" - комиссия "&amp;TEXT(V1172*R1172/100,"0.00")&amp;" - доставка "&amp;TEXT(P1172,"0.00")&amp;" - прочие "&amp;TEXT(Q1172,"0.00")&amp;" = "&amp;TEXT(G1172,"0.00")&amp;" "&amp;L1172,"Введите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2" s="23" t="n">
        <x:v>3.232442792489044</x:v>
      </x:c>
      <x:c r="AG1172" s="35" t="n">
        <x:v>85</x:v>
      </x:c>
      <x:c r="AH1172" s="35" t="n">
        <x:v>0</x:v>
      </x:c>
      <x:c r="AI1172" s="29" t="n">
        <x:v>46266</x:v>
      </x:c>
      <x:c r="AJ1172" s="35" t="n">
        <x:v>4</x:v>
      </x:c>
      <x:c r="AK1172" s="11" t="str">
        <x:v>минимум</x:v>
      </x:c>
      <x:c r="AL1172" s="31" t="n">
        <x:v>2236.181871882416</x:v>
      </x:c>
      <x:c r="AM117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72" s="12" t="str">
        <x:v>Проверить свободный остаток и установить цену для B2B</x:v>
      </x:c>
      <x:c r="AO1172" s="12" t="str">
        <x:v>Остаток 85; прогноз 90 дней 3.23; избыток 81 шт. Будущие поступления не выставляются на продажу. Остаток на начало сентября: требуется актуализация.</x:v>
      </x:c>
      <x:c r="AP1172" s="12" t="str">
        <x:v>["category_missing", "daily_stockout_data_missing", "new_order_lead_time_unknown", "reservations_unknown", "stale_stock"]</x:v>
      </x:c>
      <x:c r="AQ1172" s="11" t="str">
        <x:v>IEK:280300747_</x:v>
      </x:c>
      <x:c r="AR1172" s="23" t="n">
        <x:v>1</x:v>
      </x:c>
      <x:c r="AS1172" s="23" t="n">
        <x:v>0</x:v>
      </x:c>
      <x:c r="AT1172" s="23" t="n">
        <x:v>0</x:v>
      </x:c>
    </x:row>
    <x:row r="1173" ht="64" customHeight="1">
      <x:c r="A1173" s="10" t="str">
        <x:v>IEK</x:v>
      </x:c>
      <x:c r="B1173" s="34" t="str">
        <x:v>280300748_</x:v>
      </x:c>
      <x:c r="C1173" s="34" t="str">
        <x:v>CLM50D-UOS-058-40</x:v>
      </x:c>
      <x:c r="D1173" s="13" t="str">
        <x:v>Уголок крепежный одинарный для STRUT-профиля EZ IEK</x:v>
      </x:c>
      <x:c r="E1173" s="10" t="str">
        <x:v>шт</x:v>
      </x:c>
      <x:c r="F1173" s="37" t="n">
        <x:f>MAX(0,ROUNDDOWN((AG1173-AF1173)/AR1173+0.000000001,0)*AR1173)</x:f>
        <x:v>275</x:v>
      </x:c>
      <x:c r="G1173" s="21" t="str">
        <x:f>IF(J1173="Рассчитано",V1173*(1-R1173/100)-W1173-P1173-Q1173,"н/д")</x:f>
        <x:v>н/д</x:v>
      </x:c>
      <x:c r="H1173" s="13" t="str">
        <x:v>Высокий</x:v>
      </x:c>
      <x:c r="I1173" s="13" t="str">
        <x:v>Высокий</x:v>
      </x:c>
      <x:c r="J1173" s="13" t="str">
        <x:f>IF(L1173="","Укажите валюту",IF(NOT(ISNUMBER(K1173)),"Укажите объём",IF(K1173&lt;=0,"Укажите объём",IF(K1173&gt;F1173,"Объём выше излишка",IF(COUNT(M1173:O1173)&lt;3,"Нужны цены",IF(COUNT(P1173:R1173)&lt;3,"Нужны расходы",IF(OR(M1173&lt;0,N1173&lt;0,O1173&lt;0,O1173&gt;100,P1173&lt;0,Q1173&lt;0,R1173&lt;0,R1173&gt;100),"Проверьте значения","Рассчитано")))))))</x:f>
        <x:v>Нужны цены</x:v>
      </x:c>
      <x:c r="K1173" s="36" t="n">
        <x:v>275</x:v>
      </x:c>
      <x:c r="L1173" s="19" t="str">
        <x:v>KZT</x:v>
      </x:c>
      <x:c r="M1173" s="22"/>
      <x:c r="N1173" s="22"/>
      <x:c r="O1173" s="28"/>
      <x:c r="P1173" s="22"/>
      <x:c r="Q1173" s="22"/>
      <x:c r="R1173" s="28"/>
      <x:c r="S1173" s="22"/>
      <x:c r="T1173" s="37" t="n">
        <x:f>K1173</x:f>
        <x:v>275</x:v>
      </x:c>
      <x:c r="U1173" s="21" t="str">
        <x:f>IF(J1173="Рассчитано",N1173*(1-O1173/100),"н/д")</x:f>
        <x:v>н/д</x:v>
      </x:c>
      <x:c r="V1173" s="21" t="str">
        <x:f>IF(J1173="Рассчитано",T1173*U1173,"н/д")</x:f>
        <x:v>н/д</x:v>
      </x:c>
      <x:c r="W1173" s="21" t="str">
        <x:f>IF(J1173="Рассчитано",T1173*M1173,"н/д")</x:f>
        <x:v>н/д</x:v>
      </x:c>
      <x:c r="X1173" s="21" t="str">
        <x:f>IF(J1173="Рассчитано",V1173-W1173,"н/д")</x:f>
        <x:v>н/д</x:v>
      </x:c>
      <x:c r="Y1173" s="27" t="str">
        <x:f>IF(J1173="Рассчитано",IF(V1173&gt;0,G1173/V1173,"н/д"),"н/д")</x:f>
        <x:v>н/д</x:v>
      </x:c>
      <x:c r="Z1173" s="21" t="str">
        <x:f>"н/д"</x:f>
        <x:v>н/д</x:v>
      </x:c>
      <x:c r="AA1173" s="21" t="str">
        <x:f>"н/д"</x:f>
        <x:v>н/д</x:v>
      </x:c>
      <x:c r="AB1173" s="21" t="str">
        <x:f>"н/д"</x:f>
        <x:v>н/д</x:v>
      </x:c>
      <x:c r="AC1173" s="21" t="str">
        <x:f>IF(AND(J1173="Рассчитано",T1173&gt;0,R1173&lt;100),(W1173+P1173+Q1173)/(T1173*(1-R1173/100)),"н/д")</x:f>
        <x:v>н/д</x:v>
      </x:c>
      <x:c r="AD1173" s="10" t="str">
        <x:f>IF(ISNUMBER(G1173),IF(G1173&lt;0,"Убыток",IF(G1173=0,"Без прибыли","Прибыль &gt; 0")),"Не оценён")</x:f>
        <x:v>Не оценён</x:v>
      </x:c>
      <x:c r="AE1173" s="13" t="str">
        <x:f>IF(J1173="Рассчитано","Выручка "&amp;TEXT(V1173,"0.00")&amp;" - себестоимость "&amp;TEXT(W1173,"0.00")&amp;" - комиссия "&amp;TEXT(V1173*R1173/100,"0.00")&amp;" - доставка "&amp;TEXT(P1173,"0.00")&amp;" - прочие "&amp;TEXT(Q1173,"0.00")&amp;" = "&amp;TEXT(G1173,"0.00")&amp;" "&amp;L1173,"Введите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3" s="24" t="n">
        <x:v>2.3978458083198686</x:v>
      </x:c>
      <x:c r="AG1173" s="37" t="n">
        <x:v>278</x:v>
      </x:c>
      <x:c r="AH1173" s="37" t="n">
        <x:v>0</x:v>
      </x:c>
      <x:c r="AI1173" s="30" t="n">
        <x:v>46266</x:v>
      </x:c>
      <x:c r="AJ1173" s="37" t="n">
        <x:v>20</x:v>
      </x:c>
      <x:c r="AK1173" s="10" t="str">
        <x:v>минимум</x:v>
      </x:c>
      <x:c r="AL1173" s="32" t="n">
        <x:v>9859.220677688476</x:v>
      </x:c>
      <x:c r="AM11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73" s="13" t="str">
        <x:v>Проверить свободный остаток и установить цену для B2B</x:v>
      </x:c>
      <x:c r="AO1173" s="13" t="str">
        <x:v>Остаток 278; прогноз 90 дней 2.40; избыток 275 шт. Будущие поступления не выставляются на продажу. Остаток на начало сентября: требуется актуализация.</x:v>
      </x:c>
      <x:c r="AP1173" s="13" t="str">
        <x:v>["category_missing", "daily_stockout_data_missing", "new_order_lead_time_unknown", "reservations_unknown", "stale_stock"]</x:v>
      </x:c>
      <x:c r="AQ1173" s="10" t="str">
        <x:v>IEK:280300748_</x:v>
      </x:c>
      <x:c r="AR1173" s="24" t="n">
        <x:v>1</x:v>
      </x:c>
      <x:c r="AS1173" s="24" t="n">
        <x:v>0</x:v>
      </x:c>
      <x:c r="AT1173" s="24" t="n">
        <x:v>0</x:v>
      </x:c>
    </x:row>
    <x:row r="1174" ht="64" customHeight="1">
      <x:c r="A1174" s="11" t="str">
        <x:v>IEK</x:v>
      </x:c>
      <x:c r="B1174" s="33" t="str">
        <x:v>290100029_</x:v>
      </x:c>
      <x:c r="C1174" s="33" t="str">
        <x:v>WUP10-05-K09-N</x:v>
      </x:c>
      <x:c r="D1174" s="12" t="str">
        <x:v>Шнур УШ-01РВ (оранж с кругл  вилк и розеткой 5м) IEK</x:v>
      </x:c>
      <x:c r="E1174" s="11" t="str">
        <x:v>шт</x:v>
      </x:c>
      <x:c r="F1174" s="35" t="n">
        <x:f>MAX(0,ROUNDDOWN((AG1174-AF1174)/AR1174+0.000000001,0)*AR1174)</x:f>
        <x:v>2</x:v>
      </x:c>
      <x:c r="G1174" s="20" t="str">
        <x:f>IF(J1174="Рассчитано",V1174*(1-R1174/100)-W1174-P1174-Q1174,"н/д")</x:f>
        <x:v>н/д</x:v>
      </x:c>
      <x:c r="H1174" s="12" t="str">
        <x:v>Высокий</x:v>
      </x:c>
      <x:c r="I1174" s="12" t="str">
        <x:v>Средний</x:v>
      </x:c>
      <x:c r="J1174" s="12" t="str">
        <x:f>IF(L1174="","Укажите валюту",IF(NOT(ISNUMBER(K1174)),"Укажите объём",IF(K1174&lt;=0,"Укажите объём",IF(K1174&gt;F1174,"Объём выше излишка",IF(COUNT(M1174:O1174)&lt;3,"Нужны цены",IF(COUNT(P1174:R1174)&lt;3,"Нужны расходы",IF(OR(M1174&lt;0,N1174&lt;0,O1174&lt;0,O1174&gt;100,P1174&lt;0,Q1174&lt;0,R1174&lt;0,R1174&gt;100),"Проверьте значения","Рассчитано")))))))</x:f>
        <x:v>Нужны цены</x:v>
      </x:c>
      <x:c r="K1174" s="36" t="n">
        <x:v>2</x:v>
      </x:c>
      <x:c r="L1174" s="19" t="str">
        <x:v>KZT</x:v>
      </x:c>
      <x:c r="M1174" s="22"/>
      <x:c r="N1174" s="22"/>
      <x:c r="O1174" s="28"/>
      <x:c r="P1174" s="22"/>
      <x:c r="Q1174" s="22"/>
      <x:c r="R1174" s="28"/>
      <x:c r="S1174" s="22"/>
      <x:c r="T1174" s="35" t="n">
        <x:f>K1174</x:f>
        <x:v>2</x:v>
      </x:c>
      <x:c r="U1174" s="20" t="str">
        <x:f>IF(J1174="Рассчитано",N1174*(1-O1174/100),"н/д")</x:f>
        <x:v>н/д</x:v>
      </x:c>
      <x:c r="V1174" s="20" t="str">
        <x:f>IF(J1174="Рассчитано",T1174*U1174,"н/д")</x:f>
        <x:v>н/д</x:v>
      </x:c>
      <x:c r="W1174" s="20" t="str">
        <x:f>IF(J1174="Рассчитано",T1174*M1174,"н/д")</x:f>
        <x:v>н/д</x:v>
      </x:c>
      <x:c r="X1174" s="20" t="str">
        <x:f>IF(J1174="Рассчитано",V1174-W1174,"н/д")</x:f>
        <x:v>н/д</x:v>
      </x:c>
      <x:c r="Y1174" s="26" t="str">
        <x:f>IF(J1174="Рассчитано",IF(V1174&gt;0,G1174/V1174,"н/д"),"н/д")</x:f>
        <x:v>н/д</x:v>
      </x:c>
      <x:c r="Z1174" s="20" t="str">
        <x:f>"н/д"</x:f>
        <x:v>н/д</x:v>
      </x:c>
      <x:c r="AA1174" s="20" t="str">
        <x:f>"н/д"</x:f>
        <x:v>н/д</x:v>
      </x:c>
      <x:c r="AB1174" s="20" t="str">
        <x:f>"н/д"</x:f>
        <x:v>н/д</x:v>
      </x:c>
      <x:c r="AC1174" s="20" t="str">
        <x:f>IF(AND(J1174="Рассчитано",T1174&gt;0,R1174&lt;100),(W1174+P1174+Q1174)/(T1174*(1-R1174/100)),"н/д")</x:f>
        <x:v>н/д</x:v>
      </x:c>
      <x:c r="AD1174" s="11" t="str">
        <x:f>IF(ISNUMBER(G1174),IF(G1174&lt;0,"Убыток",IF(G1174=0,"Без прибыли","Прибыль &gt; 0")),"Не оценён")</x:f>
        <x:v>Не оценён</x:v>
      </x:c>
      <x:c r="AE1174" s="12" t="str">
        <x:f>IF(J1174="Рассчитано","Выручка "&amp;TEXT(V1174,"0.00")&amp;" - себестоимость "&amp;TEXT(W1174,"0.00")&amp;" - комиссия "&amp;TEXT(V1174*R1174/100,"0.00")&amp;" - доставка "&amp;TEXT(P1174,"0.00")&amp;" - прочие "&amp;TEXT(Q1174,"0.00")&amp;" = "&amp;TEXT(G1174,"0.00")&amp;" "&amp;L1174,"Введите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4" s="23" t="n">
        <x:v>4.188686679091865</x:v>
      </x:c>
      <x:c r="AG1174" s="35" t="n">
        <x:v>7</x:v>
      </x:c>
      <x:c r="AH1174" s="35" t="n">
        <x:v>0</x:v>
      </x:c>
      <x:c r="AI1174" s="29" t="n">
        <x:v>46266</x:v>
      </x:c>
      <x:c r="AJ1174" s="35" t="n">
        <x:v>10</x:v>
      </x:c>
      <x:c r="AK1174" s="11" t="str">
        <x:v>минимум</x:v>
      </x:c>
      <x:c r="AL1174" s="31" t="n">
        <x:v>142.11476741916724</x:v>
      </x:c>
      <x:c r="AM1174" s="12" t="str">
        <x:v>Остаток на начало сентября; Резервы неизвестны; Нет ежедневных данных доступности. Запас выше прогноза на 90 дней</x:v>
      </x:c>
      <x:c r="AN1174" s="12" t="str">
        <x:v>Проверить свободный остаток и установить цену для B2B</x:v>
      </x:c>
      <x:c r="AO1174" s="12" t="str">
        <x:v>Остаток 7; прогноз 90 дней 4.19; избыток 2 шт. Будущие поступления не выставляются на продажу. Остаток на начало сентября: требуется актуализация.</x:v>
      </x:c>
      <x:c r="AP1174" s="12" t="str">
        <x:v>["category_missing", "daily_stockout_data_missing", "new_order_lead_time_unknown", "reservations_unknown", "stale_stock"]</x:v>
      </x:c>
      <x:c r="AQ1174" s="11" t="str">
        <x:v>IEK:290100029_</x:v>
      </x:c>
      <x:c r="AR1174" s="23" t="n">
        <x:v>1</x:v>
      </x:c>
      <x:c r="AS1174" s="23" t="n">
        <x:v>0</x:v>
      </x:c>
      <x:c r="AT1174" s="23" t="n">
        <x:v>0</x:v>
      </x:c>
    </x:row>
    <x:row r="1175" ht="64" customHeight="1">
      <x:c r="A1175" s="10" t="str">
        <x:v>IEK</x:v>
      </x:c>
      <x:c r="B1175" s="34" t="str">
        <x:v>290100031_</x:v>
      </x:c>
      <x:c r="C1175" s="34" t="str">
        <x:v>WFP10-16-03-01-N</x:v>
      </x:c>
      <x:c r="D1175" s="13" t="str">
        <x:v>СФ-03К-вык (3 мест/1,5м.) IEK</x:v>
      </x:c>
      <x:c r="E1175" s="10" t="str">
        <x:v>шт</x:v>
      </x:c>
      <x:c r="F1175" s="37" t="n">
        <x:f>MAX(0,ROUNDDOWN((AG1175-AF1175)/AR1175+0.000000001,0)*AR1175)</x:f>
        <x:v>31</x:v>
      </x:c>
      <x:c r="G1175" s="21" t="str">
        <x:f>IF(J1175="Рассчитано",V1175*(1-R1175/100)-W1175-P1175-Q1175,"н/д")</x:f>
        <x:v>н/д</x:v>
      </x:c>
      <x:c r="H1175" s="13" t="str">
        <x:v>Высокий</x:v>
      </x:c>
      <x:c r="I1175" s="13" t="str">
        <x:v>Высокий</x:v>
      </x:c>
      <x:c r="J1175" s="13" t="str">
        <x:f>IF(L1175="","Укажите валюту",IF(NOT(ISNUMBER(K1175)),"Укажите объём",IF(K1175&lt;=0,"Укажите объём",IF(K1175&gt;F1175,"Объём выше излишка",IF(COUNT(M1175:O1175)&lt;3,"Нужны цены",IF(COUNT(P1175:R1175)&lt;3,"Нужны расходы",IF(OR(M1175&lt;0,N1175&lt;0,O1175&lt;0,O1175&gt;100,P1175&lt;0,Q1175&lt;0,R1175&lt;0,R1175&gt;100),"Проверьте значения","Рассчитано")))))))</x:f>
        <x:v>Нужны цены</x:v>
      </x:c>
      <x:c r="K1175" s="36" t="n">
        <x:v>31</x:v>
      </x:c>
      <x:c r="L1175" s="19" t="str">
        <x:v>KZT</x:v>
      </x:c>
      <x:c r="M1175" s="22"/>
      <x:c r="N1175" s="22"/>
      <x:c r="O1175" s="28"/>
      <x:c r="P1175" s="22"/>
      <x:c r="Q1175" s="22"/>
      <x:c r="R1175" s="28"/>
      <x:c r="S1175" s="22"/>
      <x:c r="T1175" s="37" t="n">
        <x:f>K1175</x:f>
        <x:v>31</x:v>
      </x:c>
      <x:c r="U1175" s="21" t="str">
        <x:f>IF(J1175="Рассчитано",N1175*(1-O1175/100),"н/д")</x:f>
        <x:v>н/д</x:v>
      </x:c>
      <x:c r="V1175" s="21" t="str">
        <x:f>IF(J1175="Рассчитано",T1175*U1175,"н/д")</x:f>
        <x:v>н/д</x:v>
      </x:c>
      <x:c r="W1175" s="21" t="str">
        <x:f>IF(J1175="Рассчитано",T1175*M1175,"н/д")</x:f>
        <x:v>н/д</x:v>
      </x:c>
      <x:c r="X1175" s="21" t="str">
        <x:f>IF(J1175="Рассчитано",V1175-W1175,"н/д")</x:f>
        <x:v>н/д</x:v>
      </x:c>
      <x:c r="Y1175" s="27" t="str">
        <x:f>IF(J1175="Рассчитано",IF(V1175&gt;0,G1175/V1175,"н/д"),"н/д")</x:f>
        <x:v>н/д</x:v>
      </x:c>
      <x:c r="Z1175" s="21" t="str">
        <x:f>"н/д"</x:f>
        <x:v>н/д</x:v>
      </x:c>
      <x:c r="AA1175" s="21" t="str">
        <x:f>"н/д"</x:f>
        <x:v>н/д</x:v>
      </x:c>
      <x:c r="AB1175" s="21" t="str">
        <x:f>"н/д"</x:f>
        <x:v>н/д</x:v>
      </x:c>
      <x:c r="AC1175" s="21" t="str">
        <x:f>IF(AND(J1175="Рассчитано",T1175&gt;0,R1175&lt;100),(W1175+P1175+Q1175)/(T1175*(1-R1175/100)),"н/д")</x:f>
        <x:v>н/д</x:v>
      </x:c>
      <x:c r="AD1175" s="10" t="str">
        <x:f>IF(ISNUMBER(G1175),IF(G1175&lt;0,"Убыток",IF(G1175=0,"Без прибыли","Прибыль &gt; 0")),"Не оценён")</x:f>
        <x:v>Не оценён</x:v>
      </x:c>
      <x:c r="AE1175" s="13" t="str">
        <x:f>IF(J1175="Рассчитано","Выручка "&amp;TEXT(V1175,"0.00")&amp;" - себестоимость "&amp;TEXT(W1175,"0.00")&amp;" - комиссия "&amp;TEXT(V1175*R1175/100,"0.00")&amp;" - доставка "&amp;TEXT(P1175,"0.00")&amp;" - прочие "&amp;TEXT(Q1175,"0.00")&amp;" = "&amp;TEXT(G1175,"0.00")&amp;" "&amp;L1175,"Введите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5" s="24" t="n">
        <x:v>4.124238488901476</x:v>
      </x:c>
      <x:c r="AG1175" s="37" t="n">
        <x:v>36</x:v>
      </x:c>
      <x:c r="AH1175" s="37" t="n">
        <x:v>0</x:v>
      </x:c>
      <x:c r="AI1175" s="30" t="n">
        <x:v>46266</x:v>
      </x:c>
      <x:c r="AJ1175" s="37" t="n">
        <x:v>6</x:v>
      </x:c>
      <x:c r="AK1175" s="10" t="str">
        <x:v>минимум</x:v>
      </x:c>
      <x:c r="AL1175" s="32" t="n">
        <x:v>742.2971174831536</x:v>
      </x:c>
      <x:c r="AM117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75" s="13" t="str">
        <x:v>Проверить свободный остаток и установить цену для B2B</x:v>
      </x:c>
      <x:c r="AO1175" s="13" t="str">
        <x:v>Остаток 36; прогноз 90 дней 4.12; избыток 31 шт. Будущие поступления не выставляются на продажу. Остаток на начало сентября: требуется актуализация.</x:v>
      </x:c>
      <x:c r="AP1175" s="13" t="str">
        <x:v>["category_missing", "daily_stockout_data_missing", "new_order_lead_time_unknown", "reservations_unknown", "stale_stock"]</x:v>
      </x:c>
      <x:c r="AQ1175" s="10" t="str">
        <x:v>IEK:290100031_</x:v>
      </x:c>
      <x:c r="AR1175" s="24" t="n">
        <x:v>1</x:v>
      </x:c>
      <x:c r="AS1175" s="24" t="n">
        <x:v>0</x:v>
      </x:c>
      <x:c r="AT1175" s="24" t="n">
        <x:v>0</x:v>
      </x:c>
    </x:row>
    <x:row r="1176" ht="64" customHeight="1">
      <x:c r="A1176" s="11" t="str">
        <x:v>IEK</x:v>
      </x:c>
      <x:c r="B1176" s="33" t="str">
        <x:v>290100101_</x:v>
      </x:c>
      <x:c r="C1176" s="33" t="str">
        <x:v>WUP20-02-K01</x:v>
      </x:c>
      <x:c r="D1176" s="12" t="str">
        <x:v>Шнур УШ-1КВ ( с плоск вилк и выкл 2x0,75/2метр) IEK</x:v>
      </x:c>
      <x:c r="E1176" s="11" t="str">
        <x:v>шт</x:v>
      </x:c>
      <x:c r="F1176" s="35" t="n">
        <x:f>MAX(0,ROUNDDOWN((AG1176-AF1176)/AR1176+0.000000001,0)*AR1176)</x:f>
        <x:v>12</x:v>
      </x:c>
      <x:c r="G1176" s="20" t="str">
        <x:f>IF(J1176="Рассчитано",V1176*(1-R1176/100)-W1176-P1176-Q1176,"н/д")</x:f>
        <x:v>н/д</x:v>
      </x:c>
      <x:c r="H1176" s="12" t="str">
        <x:v>Высокий</x:v>
      </x:c>
      <x:c r="I1176" s="12" t="str">
        <x:v>Средний</x:v>
      </x:c>
      <x:c r="J1176" s="12" t="str">
        <x:f>IF(L1176="","Укажите валюту",IF(NOT(ISNUMBER(K1176)),"Укажите объём",IF(K1176&lt;=0,"Укажите объём",IF(K1176&gt;F1176,"Объём выше излишка",IF(COUNT(M1176:O1176)&lt;3,"Нужны цены",IF(COUNT(P1176:R1176)&lt;3,"Нужны расходы",IF(OR(M1176&lt;0,N1176&lt;0,O1176&lt;0,O1176&gt;100,P1176&lt;0,Q1176&lt;0,R1176&lt;0,R1176&gt;100),"Проверьте значения","Рассчитано")))))))</x:f>
        <x:v>Нужны цены</x:v>
      </x:c>
      <x:c r="K1176" s="36" t="n">
        <x:v>12</x:v>
      </x:c>
      <x:c r="L1176" s="19" t="str">
        <x:v>KZT</x:v>
      </x:c>
      <x:c r="M1176" s="22"/>
      <x:c r="N1176" s="22"/>
      <x:c r="O1176" s="28"/>
      <x:c r="P1176" s="22"/>
      <x:c r="Q1176" s="22"/>
      <x:c r="R1176" s="28"/>
      <x:c r="S1176" s="22"/>
      <x:c r="T1176" s="35" t="n">
        <x:f>K1176</x:f>
        <x:v>12</x:v>
      </x:c>
      <x:c r="U1176" s="20" t="str">
        <x:f>IF(J1176="Рассчитано",N1176*(1-O1176/100),"н/д")</x:f>
        <x:v>н/д</x:v>
      </x:c>
      <x:c r="V1176" s="20" t="str">
        <x:f>IF(J1176="Рассчитано",T1176*U1176,"н/д")</x:f>
        <x:v>н/д</x:v>
      </x:c>
      <x:c r="W1176" s="20" t="str">
        <x:f>IF(J1176="Рассчитано",T1176*M1176,"н/д")</x:f>
        <x:v>н/д</x:v>
      </x:c>
      <x:c r="X1176" s="20" t="str">
        <x:f>IF(J1176="Рассчитано",V1176-W1176,"н/д")</x:f>
        <x:v>н/д</x:v>
      </x:c>
      <x:c r="Y1176" s="26" t="str">
        <x:f>IF(J1176="Рассчитано",IF(V1176&gt;0,G1176/V1176,"н/д"),"н/д")</x:f>
        <x:v>н/д</x:v>
      </x:c>
      <x:c r="Z1176" s="20" t="str">
        <x:f>"н/д"</x:f>
        <x:v>н/д</x:v>
      </x:c>
      <x:c r="AA1176" s="20" t="str">
        <x:f>"н/д"</x:f>
        <x:v>н/д</x:v>
      </x:c>
      <x:c r="AB1176" s="20" t="str">
        <x:f>"н/д"</x:f>
        <x:v>н/д</x:v>
      </x:c>
      <x:c r="AC1176" s="20" t="str">
        <x:f>IF(AND(J1176="Рассчитано",T1176&gt;0,R1176&lt;100),(W1176+P1176+Q1176)/(T1176*(1-R1176/100)),"н/д")</x:f>
        <x:v>н/д</x:v>
      </x:c>
      <x:c r="AD1176" s="11" t="str">
        <x:f>IF(ISNUMBER(G1176),IF(G1176&lt;0,"Убыток",IF(G1176=0,"Без прибыли","Прибыль &gt; 0")),"Не оценён")</x:f>
        <x:v>Не оценён</x:v>
      </x:c>
      <x:c r="AE1176" s="12" t="str">
        <x:f>IF(J1176="Рассчитано","Выручка "&amp;TEXT(V1176,"0.00")&amp;" - себестоимость "&amp;TEXT(W1176,"0.00")&amp;" - комиссия "&amp;TEXT(V1176*R1176/100,"0.00")&amp;" - доставка "&amp;TEXT(P1176,"0.00")&amp;" - прочие "&amp;TEXT(Q1176,"0.00")&amp;" = "&amp;TEXT(G1176,"0.00")&amp;" "&amp;L1176,"Введите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6" s="23" t="n">
        <x:v>38.37000078420201</x:v>
      </x:c>
      <x:c r="AG1176" s="35" t="n">
        <x:v>51</x:v>
      </x:c>
      <x:c r="AH1176" s="35" t="n">
        <x:v>0</x:v>
      </x:c>
      <x:c r="AI1176" s="29" t="n">
        <x:v>46266</x:v>
      </x:c>
      <x:c r="AJ1176" s="35" t="n">
        <x:v>10</x:v>
      </x:c>
      <x:c r="AK1176" s="11" t="str">
        <x:v>минимум</x:v>
      </x:c>
      <x:c r="AL1176" s="31" t="n">
        <x:v>113.03095897934523</x:v>
      </x:c>
      <x:c r="AM1176" s="12" t="str">
        <x:v>Остаток на начало сентября; Резервы неизвестны; Нет ежедневных данных доступности. Запас выше прогноза на 90 дней</x:v>
      </x:c>
      <x:c r="AN1176" s="12" t="str">
        <x:v>Проверить свободный остаток и установить цену для B2B</x:v>
      </x:c>
      <x:c r="AO1176" s="12" t="str">
        <x:v>Остаток 51; прогноз 90 дней 38.37; избыток 12 шт. Будущие поступления не выставляются на продажу. Остаток на начало сентября: требуется актуализация.</x:v>
      </x:c>
      <x:c r="AP1176" s="12" t="str">
        <x:v>["category_missing", "daily_stockout_data_missing", "large_orders_detected", "new_order_lead_time_unknown", "reservations_unknown", "stale_stock"]</x:v>
      </x:c>
      <x:c r="AQ1176" s="11" t="str">
        <x:v>IEK:290100101_</x:v>
      </x:c>
      <x:c r="AR1176" s="23" t="n">
        <x:v>1</x:v>
      </x:c>
      <x:c r="AS1176" s="23" t="n">
        <x:v>0</x:v>
      </x:c>
      <x:c r="AT1176" s="23" t="n">
        <x:v>0</x:v>
      </x:c>
    </x:row>
    <x:row r="1177" ht="64" customHeight="1">
      <x:c r="A1177" s="10" t="str">
        <x:v>IEK</x:v>
      </x:c>
      <x:c r="B1177" s="34" t="str">
        <x:v>290100110_</x:v>
      </x:c>
      <x:c r="C1177" s="34" t="str">
        <x:v>MKM42-06-1270-31</x:v>
      </x:c>
      <x:c r="D1177" s="13" t="str">
        <x:v>ЩЭ 6 (1275х960х155) P31 IEK</x:v>
      </x:c>
      <x:c r="E1177" s="10" t="str">
        <x:v>шт</x:v>
      </x:c>
      <x:c r="F1177" s="37" t="n">
        <x:f>MAX(0,ROUNDDOWN((AG1177-AF1177)/AR1177+0.000000001,0)*AR1177)</x:f>
        <x:v>2</x:v>
      </x:c>
      <x:c r="G1177" s="21" t="str">
        <x:f>IF(J1177="Рассчитано",V1177*(1-R1177/100)-W1177-P1177-Q1177,"н/д")</x:f>
        <x:v>н/д</x:v>
      </x:c>
      <x:c r="H1177" s="13" t="str">
        <x:v>Высокий</x:v>
      </x:c>
      <x:c r="I1177" s="13" t="str">
        <x:v>Высокий</x:v>
      </x:c>
      <x:c r="J1177" s="13" t="str">
        <x:f>IF(L1177="","Укажите валюту",IF(NOT(ISNUMBER(K1177)),"Укажите объём",IF(K1177&lt;=0,"Укажите объём",IF(K1177&gt;F1177,"Объём выше излишка",IF(COUNT(M1177:O1177)&lt;3,"Нужны цены",IF(COUNT(P1177:R1177)&lt;3,"Нужны расходы",IF(OR(M1177&lt;0,N1177&lt;0,O1177&lt;0,O1177&gt;100,P1177&lt;0,Q1177&lt;0,R1177&lt;0,R1177&gt;100),"Проверьте значения","Рассчитано")))))))</x:f>
        <x:v>Нужны цены</x:v>
      </x:c>
      <x:c r="K1177" s="36" t="n">
        <x:v>2</x:v>
      </x:c>
      <x:c r="L1177" s="19" t="str">
        <x:v>KZT</x:v>
      </x:c>
      <x:c r="M1177" s="22"/>
      <x:c r="N1177" s="22"/>
      <x:c r="O1177" s="28"/>
      <x:c r="P1177" s="22"/>
      <x:c r="Q1177" s="22"/>
      <x:c r="R1177" s="28"/>
      <x:c r="S1177" s="22"/>
      <x:c r="T1177" s="37" t="n">
        <x:f>K1177</x:f>
        <x:v>2</x:v>
      </x:c>
      <x:c r="U1177" s="21" t="str">
        <x:f>IF(J1177="Рассчитано",N1177*(1-O1177/100),"н/д")</x:f>
        <x:v>н/д</x:v>
      </x:c>
      <x:c r="V1177" s="21" t="str">
        <x:f>IF(J1177="Рассчитано",T1177*U1177,"н/д")</x:f>
        <x:v>н/д</x:v>
      </x:c>
      <x:c r="W1177" s="21" t="str">
        <x:f>IF(J1177="Рассчитано",T1177*M1177,"н/д")</x:f>
        <x:v>н/д</x:v>
      </x:c>
      <x:c r="X1177" s="21" t="str">
        <x:f>IF(J1177="Рассчитано",V1177-W1177,"н/д")</x:f>
        <x:v>н/д</x:v>
      </x:c>
      <x:c r="Y1177" s="27" t="str">
        <x:f>IF(J1177="Рассчитано",IF(V1177&gt;0,G1177/V1177,"н/д"),"н/д")</x:f>
        <x:v>н/д</x:v>
      </x:c>
      <x:c r="Z1177" s="21" t="str">
        <x:f>"н/д"</x:f>
        <x:v>н/д</x:v>
      </x:c>
      <x:c r="AA1177" s="21" t="str">
        <x:f>"н/д"</x:f>
        <x:v>н/д</x:v>
      </x:c>
      <x:c r="AB1177" s="21" t="str">
        <x:f>"н/д"</x:f>
        <x:v>н/д</x:v>
      </x:c>
      <x:c r="AC1177" s="21" t="str">
        <x:f>IF(AND(J1177="Рассчитано",T1177&gt;0,R1177&lt;100),(W1177+P1177+Q1177)/(T1177*(1-R1177/100)),"н/д")</x:f>
        <x:v>н/д</x:v>
      </x:c>
      <x:c r="AD1177" s="10" t="str">
        <x:f>IF(ISNUMBER(G1177),IF(G1177&lt;0,"Убыток",IF(G1177=0,"Без прибыли","Прибыль &gt; 0")),"Не оценён")</x:f>
        <x:v>Не оценён</x:v>
      </x:c>
      <x:c r="AE1177" s="13" t="str">
        <x:f>IF(J1177="Рассчитано","Выручка "&amp;TEXT(V1177,"0.00")&amp;" - себестоимость "&amp;TEXT(W1177,"0.00")&amp;" - комиссия "&amp;TEXT(V1177*R1177/100,"0.00")&amp;" - доставка "&amp;TEXT(P1177,"0.00")&amp;" - прочие "&amp;TEXT(Q1177,"0.00")&amp;" = "&amp;TEXT(G1177,"0.00")&amp;" "&amp;L1177,"Введите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7" s="24" t="n">
        <x:v>0.09865067005171732</x:v>
      </x:c>
      <x:c r="AG1177" s="37" t="n">
        <x:v>3</x:v>
      </x:c>
      <x:c r="AH1177" s="37" t="n">
        <x:v>0</x:v>
      </x:c>
      <x:c r="AI1177" s="30" t="n">
        <x:v>46266</x:v>
      </x:c>
      <x:c r="AJ1177" s="37" t="n">
        <x:v>1</x:v>
      </x:c>
      <x:c r="AK1177" s="10" t="str">
        <x:v>минимум</x:v>
      </x:c>
      <x:c r="AL1177" s="32" t="n">
        <x:v>2586.069900758328</x:v>
      </x:c>
      <x:c r="AM117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77" s="13" t="str">
        <x:v>Проверить свободный остаток и установить цену для B2B</x:v>
      </x:c>
      <x:c r="AO1177" s="13" t="str">
        <x:v>Остаток 3; прогноз 90 дней 0.10; избыток 2 шт. Будущие поступления не выставляются на продажу. Остаток на начало сентября: требуется актуализация.</x:v>
      </x:c>
      <x:c r="AP1177" s="13" t="str">
        <x:v>["category_missing", "daily_stockout_data_missing", "new_order_lead_time_unknown", "reservations_unknown", "stale_stock"]</x:v>
      </x:c>
      <x:c r="AQ1177" s="10" t="str">
        <x:v>IEK:290100110_</x:v>
      </x:c>
      <x:c r="AR1177" s="24" t="n">
        <x:v>1</x:v>
      </x:c>
      <x:c r="AS1177" s="24" t="n">
        <x:v>0</x:v>
      </x:c>
      <x:c r="AT1177" s="24" t="n">
        <x:v>0</x:v>
      </x:c>
    </x:row>
    <x:row r="1178" ht="64" customHeight="1">
      <x:c r="A1178" s="11" t="str">
        <x:v>IEK</x:v>
      </x:c>
      <x:c r="B1178" s="33" t="str">
        <x:v>290100132_</x:v>
      </x:c>
      <x:c r="C1178" s="33" t="str">
        <x:v>WYP10-16-03-03-Z-K02</x:v>
      </x:c>
      <x:c r="D1178" s="12" t="str">
        <x:v>У03 (3места/3метра) чер. IEK</x:v>
      </x:c>
      <x:c r="E1178" s="11" t="str">
        <x:v>шт</x:v>
      </x:c>
      <x:c r="F1178" s="35" t="n">
        <x:f>MAX(0,ROUNDDOWN((AG1178-AF1178)/AR1178+0.000000001,0)*AR1178)</x:f>
        <x:v>1</x:v>
      </x:c>
      <x:c r="G1178" s="20" t="str">
        <x:f>IF(J1178="Рассчитано",V1178*(1-R1178/100)-W1178-P1178-Q1178,"н/д")</x:f>
        <x:v>н/д</x:v>
      </x:c>
      <x:c r="H1178" s="12" t="str">
        <x:v>Высокий</x:v>
      </x:c>
      <x:c r="I1178" s="12" t="str">
        <x:v>Средний</x:v>
      </x:c>
      <x:c r="J1178" s="12" t="str">
        <x:f>IF(L1178="","Укажите валюту",IF(NOT(ISNUMBER(K1178)),"Укажите объём",IF(K1178&lt;=0,"Укажите объём",IF(K1178&gt;F1178,"Объём выше излишка",IF(COUNT(M1178:O1178)&lt;3,"Нужны цены",IF(COUNT(P1178:R1178)&lt;3,"Нужны расходы",IF(OR(M1178&lt;0,N1178&lt;0,O1178&lt;0,O1178&gt;100,P1178&lt;0,Q1178&lt;0,R1178&lt;0,R1178&gt;100),"Проверьте значения","Рассчитано")))))))</x:f>
        <x:v>Нужны цены</x:v>
      </x:c>
      <x:c r="K1178" s="36" t="n">
        <x:v>1</x:v>
      </x:c>
      <x:c r="L1178" s="19" t="str">
        <x:v>KZT</x:v>
      </x:c>
      <x:c r="M1178" s="22"/>
      <x:c r="N1178" s="22"/>
      <x:c r="O1178" s="28"/>
      <x:c r="P1178" s="22"/>
      <x:c r="Q1178" s="22"/>
      <x:c r="R1178" s="28"/>
      <x:c r="S1178" s="22"/>
      <x:c r="T1178" s="35" t="n">
        <x:f>K1178</x:f>
        <x:v>1</x:v>
      </x:c>
      <x:c r="U1178" s="20" t="str">
        <x:f>IF(J1178="Рассчитано",N1178*(1-O1178/100),"н/д")</x:f>
        <x:v>н/д</x:v>
      </x:c>
      <x:c r="V1178" s="20" t="str">
        <x:f>IF(J1178="Рассчитано",T1178*U1178,"н/д")</x:f>
        <x:v>н/д</x:v>
      </x:c>
      <x:c r="W1178" s="20" t="str">
        <x:f>IF(J1178="Рассчитано",T1178*M1178,"н/д")</x:f>
        <x:v>н/д</x:v>
      </x:c>
      <x:c r="X1178" s="20" t="str">
        <x:f>IF(J1178="Рассчитано",V1178-W1178,"н/д")</x:f>
        <x:v>н/д</x:v>
      </x:c>
      <x:c r="Y1178" s="26" t="str">
        <x:f>IF(J1178="Рассчитано",IF(V1178&gt;0,G1178/V1178,"н/д"),"н/д")</x:f>
        <x:v>н/д</x:v>
      </x:c>
      <x:c r="Z1178" s="20" t="str">
        <x:f>"н/д"</x:f>
        <x:v>н/д</x:v>
      </x:c>
      <x:c r="AA1178" s="20" t="str">
        <x:f>"н/д"</x:f>
        <x:v>н/д</x:v>
      </x:c>
      <x:c r="AB1178" s="20" t="str">
        <x:f>"н/д"</x:f>
        <x:v>н/д</x:v>
      </x:c>
      <x:c r="AC1178" s="20" t="str">
        <x:f>IF(AND(J1178="Рассчитано",T1178&gt;0,R1178&lt;100),(W1178+P1178+Q1178)/(T1178*(1-R1178/100)),"н/д")</x:f>
        <x:v>н/д</x:v>
      </x:c>
      <x:c r="AD1178" s="11" t="str">
        <x:f>IF(ISNUMBER(G1178),IF(G1178&lt;0,"Убыток",IF(G1178=0,"Без прибыли","Прибыль &gt; 0")),"Не оценён")</x:f>
        <x:v>Не оценён</x:v>
      </x:c>
      <x:c r="AE1178" s="12" t="str">
        <x:f>IF(J1178="Рассчитано","Выручка "&amp;TEXT(V1178,"0.00")&amp;" - себестоимость "&amp;TEXT(W1178,"0.00")&amp;" - комиссия "&amp;TEXT(V1178*R1178/100,"0.00")&amp;" - доставка "&amp;TEXT(P1178,"0.00")&amp;" - прочие "&amp;TEXT(Q1178,"0.00")&amp;" = "&amp;TEXT(G1178,"0.00")&amp;" "&amp;L1178,"Введите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8" s="23" t="n">
        <x:v>10.273538210715808</x:v>
      </x:c>
      <x:c r="AG1178" s="35" t="n">
        <x:v>12</x:v>
      </x:c>
      <x:c r="AH1178" s="35" t="n">
        <x:v>0</x:v>
      </x:c>
      <x:c r="AI1178" s="29" t="n">
        <x:v>46266</x:v>
      </x:c>
      <x:c r="AJ1178" s="35" t="n">
        <x:v>1</x:v>
      </x:c>
      <x:c r="AK1178" s="11" t="str">
        <x:v>минимум</x:v>
      </x:c>
      <x:c r="AL1178" s="31" t="n">
        <x:v>99.32995751912907</x:v>
      </x:c>
      <x:c r="AM1178" s="12" t="str">
        <x:v>Остаток на начало сентября; Резервы неизвестны; Нет ежедневных данных доступности. Запас выше прогноза на 90 дней</x:v>
      </x:c>
      <x:c r="AN1178" s="12" t="str">
        <x:v>Проверить свободный остаток и установить цену для B2B</x:v>
      </x:c>
      <x:c r="AO1178" s="12" t="str">
        <x:v>Остаток 12; прогноз 90 дней 10.27; избыток 1 шт. Будущие поступления не выставляются на продажу. Остаток на начало сентября: требуется актуализация.</x:v>
      </x:c>
      <x:c r="AP1178" s="12" t="str">
        <x:v>["category_missing", "daily_stockout_data_missing", "new_order_lead_time_unknown", "reservations_unknown", "stale_stock"]</x:v>
      </x:c>
      <x:c r="AQ1178" s="11" t="str">
        <x:v>IEK:290100132_</x:v>
      </x:c>
      <x:c r="AR1178" s="23" t="n">
        <x:v>1</x:v>
      </x:c>
      <x:c r="AS1178" s="23" t="n">
        <x:v>0</x:v>
      </x:c>
      <x:c r="AT1178" s="23" t="n">
        <x:v>0</x:v>
      </x:c>
    </x:row>
    <x:row r="1179" ht="64" customHeight="1">
      <x:c r="A1179" s="10" t="str">
        <x:v>IEK</x:v>
      </x:c>
      <x:c r="B1179" s="34" t="str">
        <x:v>290100133_</x:v>
      </x:c>
      <x:c r="C1179" s="34" t="str">
        <x:v>WYP10-16-03-05-Z-K02</x:v>
      </x:c>
      <x:c r="D1179" s="13" t="str">
        <x:v>У03 (3места/5метров) чер. IEK</x:v>
      </x:c>
      <x:c r="E1179" s="10" t="str">
        <x:v>шт</x:v>
      </x:c>
      <x:c r="F1179" s="37" t="n">
        <x:f>MAX(0,ROUNDDOWN((AG1179-AF1179)/AR1179+0.000000001,0)*AR1179)</x:f>
        <x:v>1</x:v>
      </x:c>
      <x:c r="G1179" s="21" t="str">
        <x:f>IF(J1179="Рассчитано",V1179*(1-R1179/100)-W1179-P1179-Q1179,"н/д")</x:f>
        <x:v>н/д</x:v>
      </x:c>
      <x:c r="H1179" s="13" t="str">
        <x:v>Высокий</x:v>
      </x:c>
      <x:c r="I1179" s="13" t="str">
        <x:v>Средний</x:v>
      </x:c>
      <x:c r="J1179" s="13" t="str">
        <x:f>IF(L1179="","Укажите валюту",IF(NOT(ISNUMBER(K1179)),"Укажите объём",IF(K1179&lt;=0,"Укажите объём",IF(K1179&gt;F1179,"Объём выше излишка",IF(COUNT(M1179:O1179)&lt;3,"Нужны цены",IF(COUNT(P1179:R1179)&lt;3,"Нужны расходы",IF(OR(M1179&lt;0,N1179&lt;0,O1179&lt;0,O1179&gt;100,P1179&lt;0,Q1179&lt;0,R1179&lt;0,R1179&gt;100),"Проверьте значения","Рассчитано")))))))</x:f>
        <x:v>Нужны цены</x:v>
      </x:c>
      <x:c r="K1179" s="36" t="n">
        <x:v>1</x:v>
      </x:c>
      <x:c r="L1179" s="19" t="str">
        <x:v>KZT</x:v>
      </x:c>
      <x:c r="M1179" s="22"/>
      <x:c r="N1179" s="22"/>
      <x:c r="O1179" s="28"/>
      <x:c r="P1179" s="22"/>
      <x:c r="Q1179" s="22"/>
      <x:c r="R1179" s="28"/>
      <x:c r="S1179" s="22"/>
      <x:c r="T1179" s="37" t="n">
        <x:f>K1179</x:f>
        <x:v>1</x:v>
      </x:c>
      <x:c r="U1179" s="21" t="str">
        <x:f>IF(J1179="Рассчитано",N1179*(1-O1179/100),"н/д")</x:f>
        <x:v>н/д</x:v>
      </x:c>
      <x:c r="V1179" s="21" t="str">
        <x:f>IF(J1179="Рассчитано",T1179*U1179,"н/д")</x:f>
        <x:v>н/д</x:v>
      </x:c>
      <x:c r="W1179" s="21" t="str">
        <x:f>IF(J1179="Рассчитано",T1179*M1179,"н/д")</x:f>
        <x:v>н/д</x:v>
      </x:c>
      <x:c r="X1179" s="21" t="str">
        <x:f>IF(J1179="Рассчитано",V1179-W1179,"н/д")</x:f>
        <x:v>н/д</x:v>
      </x:c>
      <x:c r="Y1179" s="27" t="str">
        <x:f>IF(J1179="Рассчитано",IF(V1179&gt;0,G1179/V1179,"н/д"),"н/д")</x:f>
        <x:v>н/д</x:v>
      </x:c>
      <x:c r="Z1179" s="21" t="str">
        <x:f>"н/д"</x:f>
        <x:v>н/д</x:v>
      </x:c>
      <x:c r="AA1179" s="21" t="str">
        <x:f>"н/д"</x:f>
        <x:v>н/д</x:v>
      </x:c>
      <x:c r="AB1179" s="21" t="str">
        <x:f>"н/д"</x:f>
        <x:v>н/д</x:v>
      </x:c>
      <x:c r="AC1179" s="21" t="str">
        <x:f>IF(AND(J1179="Рассчитано",T1179&gt;0,R1179&lt;100),(W1179+P1179+Q1179)/(T1179*(1-R1179/100)),"н/д")</x:f>
        <x:v>н/д</x:v>
      </x:c>
      <x:c r="AD1179" s="10" t="str">
        <x:f>IF(ISNUMBER(G1179),IF(G1179&lt;0,"Убыток",IF(G1179=0,"Без прибыли","Прибыль &gt; 0")),"Не оценён")</x:f>
        <x:v>Не оценён</x:v>
      </x:c>
      <x:c r="AE1179" s="13" t="str">
        <x:f>IF(J1179="Рассчитано","Выручка "&amp;TEXT(V1179,"0.00")&amp;" - себестоимость "&amp;TEXT(W1179,"0.00")&amp;" - комиссия "&amp;TEXT(V1179*R1179/100,"0.00")&amp;" - доставка "&amp;TEXT(P1179,"0.00")&amp;" - прочие "&amp;TEXT(Q1179,"0.00")&amp;" = "&amp;TEXT(G1179,"0.00")&amp;" "&amp;L1179,"Введите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9" s="24" t="n">
        <x:v>6.872966060410821</x:v>
      </x:c>
      <x:c r="AG1179" s="37" t="n">
        <x:v>8</x:v>
      </x:c>
      <x:c r="AH1179" s="37" t="n">
        <x:v>0</x:v>
      </x:c>
      <x:c r="AI1179" s="30" t="n">
        <x:v>46266</x:v>
      </x:c>
      <x:c r="AJ1179" s="37" t="n">
        <x:v>1</x:v>
      </x:c>
      <x:c r="AK1179" s="10" t="str">
        <x:v>минимум</x:v>
      </x:c>
      <x:c r="AL1179" s="32" t="n">
        <x:v>98.9839617104653</x:v>
      </x:c>
      <x:c r="AM1179" s="13" t="str">
        <x:v>Остаток на начало сентября; Резервы неизвестны; Нет ежедневных данных доступности. Запас выше прогноза на 90 дней</x:v>
      </x:c>
      <x:c r="AN1179" s="13" t="str">
        <x:v>Проверить свободный остаток и установить цену для B2B</x:v>
      </x:c>
      <x:c r="AO1179" s="13" t="str">
        <x:v>Остаток 8; прогноз 90 дней 6.87; избыток 1 шт. Будущие поступления не выставляются на продажу. Остаток на начало сентября: требуется актуализация.</x:v>
      </x:c>
      <x:c r="AP1179" s="13" t="str">
        <x:v>["category_missing", "daily_stockout_data_missing", "new_order_lead_time_unknown", "reservations_unknown", "stale_stock"]</x:v>
      </x:c>
      <x:c r="AQ1179" s="10" t="str">
        <x:v>IEK:290100133_</x:v>
      </x:c>
      <x:c r="AR1179" s="24" t="n">
        <x:v>1</x:v>
      </x:c>
      <x:c r="AS1179" s="24" t="n">
        <x:v>0</x:v>
      </x:c>
      <x:c r="AT1179" s="24" t="n">
        <x:v>0</x:v>
      </x:c>
    </x:row>
    <x:row r="1180" ht="64" customHeight="1">
      <x:c r="A1180" s="11" t="str">
        <x:v>IEK</x:v>
      </x:c>
      <x:c r="B1180" s="33" t="str">
        <x:v>290100139_</x:v>
      </x:c>
      <x:c r="C1180" s="33" t="str">
        <x:v>WYP10-16-04-05-ZK-K02</x:v>
      </x:c>
      <x:c r="D1180" s="12" t="str">
        <x:v>У04К (4места/5метров) чер. IEK</x:v>
      </x:c>
      <x:c r="E1180" s="11" t="str">
        <x:v>шт</x:v>
      </x:c>
      <x:c r="F1180" s="35" t="n">
        <x:f>MAX(0,ROUNDDOWN((AG1180-AF1180)/AR1180+0.000000001,0)*AR1180)</x:f>
        <x:v>4</x:v>
      </x:c>
      <x:c r="G1180" s="20" t="str">
        <x:f>IF(J1180="Рассчитано",V1180*(1-R1180/100)-W1180-P1180-Q1180,"н/д")</x:f>
        <x:v>н/д</x:v>
      </x:c>
      <x:c r="H1180" s="12" t="str">
        <x:v>Высокий</x:v>
      </x:c>
      <x:c r="I1180" s="12" t="str">
        <x:v>Высокий</x:v>
      </x:c>
      <x:c r="J1180" s="12" t="str">
        <x:f>IF(L1180="","Укажите валюту",IF(NOT(ISNUMBER(K1180)),"Укажите объём",IF(K1180&lt;=0,"Укажите объём",IF(K1180&gt;F1180,"Объём выше излишка",IF(COUNT(M1180:O1180)&lt;3,"Нужны цены",IF(COUNT(P1180:R1180)&lt;3,"Нужны расходы",IF(OR(M1180&lt;0,N1180&lt;0,O1180&lt;0,O1180&gt;100,P1180&lt;0,Q1180&lt;0,R1180&lt;0,R1180&gt;100),"Проверьте значения","Рассчитано")))))))</x:f>
        <x:v>Нужны цены</x:v>
      </x:c>
      <x:c r="K1180" s="36" t="n">
        <x:v>4</x:v>
      </x:c>
      <x:c r="L1180" s="19" t="str">
        <x:v>KZT</x:v>
      </x:c>
      <x:c r="M1180" s="22"/>
      <x:c r="N1180" s="22"/>
      <x:c r="O1180" s="28"/>
      <x:c r="P1180" s="22"/>
      <x:c r="Q1180" s="22"/>
      <x:c r="R1180" s="28"/>
      <x:c r="S1180" s="22"/>
      <x:c r="T1180" s="35" t="n">
        <x:f>K1180</x:f>
        <x:v>4</x:v>
      </x:c>
      <x:c r="U1180" s="20" t="str">
        <x:f>IF(J1180="Рассчитано",N1180*(1-O1180/100),"н/д")</x:f>
        <x:v>н/д</x:v>
      </x:c>
      <x:c r="V1180" s="20" t="str">
        <x:f>IF(J1180="Рассчитано",T1180*U1180,"н/д")</x:f>
        <x:v>н/д</x:v>
      </x:c>
      <x:c r="W1180" s="20" t="str">
        <x:f>IF(J1180="Рассчитано",T1180*M1180,"н/д")</x:f>
        <x:v>н/д</x:v>
      </x:c>
      <x:c r="X1180" s="20" t="str">
        <x:f>IF(J1180="Рассчитано",V1180-W1180,"н/д")</x:f>
        <x:v>н/д</x:v>
      </x:c>
      <x:c r="Y1180" s="26" t="str">
        <x:f>IF(J1180="Рассчитано",IF(V1180&gt;0,G1180/V1180,"н/д"),"н/д")</x:f>
        <x:v>н/д</x:v>
      </x:c>
      <x:c r="Z1180" s="20" t="str">
        <x:f>"н/д"</x:f>
        <x:v>н/д</x:v>
      </x:c>
      <x:c r="AA1180" s="20" t="str">
        <x:f>"н/д"</x:f>
        <x:v>н/д</x:v>
      </x:c>
      <x:c r="AB1180" s="20" t="str">
        <x:f>"н/д"</x:f>
        <x:v>н/д</x:v>
      </x:c>
      <x:c r="AC1180" s="20" t="str">
        <x:f>IF(AND(J1180="Рассчитано",T1180&gt;0,R1180&lt;100),(W1180+P1180+Q1180)/(T1180*(1-R1180/100)),"н/д")</x:f>
        <x:v>н/д</x:v>
      </x:c>
      <x:c r="AD1180" s="11" t="str">
        <x:f>IF(ISNUMBER(G1180),IF(G1180&lt;0,"Убыток",IF(G1180=0,"Без прибыли","Прибыль &gt; 0")),"Не оценён")</x:f>
        <x:v>Не оценён</x:v>
      </x:c>
      <x:c r="AE1180" s="12" t="str">
        <x:f>IF(J1180="Рассчитано","Выручка "&amp;TEXT(V1180,"0.00")&amp;" - себестоимость "&amp;TEXT(W1180,"0.00")&amp;" - комиссия "&amp;TEXT(V1180*R1180/100,"0.00")&amp;" - доставка "&amp;TEXT(P1180,"0.00")&amp;" - прочие "&amp;TEXT(Q1180,"0.00")&amp;" = "&amp;TEXT(G1180,"0.00")&amp;" "&amp;L1180,"Введите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0" s="23" t="n">
        <x:v>2.419322477021699</x:v>
      </x:c>
      <x:c r="AG1180" s="35" t="n">
        <x:v>7</x:v>
      </x:c>
      <x:c r="AH1180" s="35" t="n">
        <x:v>0</x:v>
      </x:c>
      <x:c r="AI1180" s="29" t="n">
        <x:v>46266</x:v>
      </x:c>
      <x:c r="AJ1180" s="35" t="n">
        <x:v>1</x:v>
      </x:c>
      <x:c r="AK1180" s="11" t="str">
        <x:v>минимум</x:v>
      </x:c>
      <x:c r="AL1180" s="31" t="n">
        <x:v>246.04997425713808</x:v>
      </x:c>
      <x:c r="AM118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80" s="12" t="str">
        <x:v>Проверить свободный остаток и установить цену для B2B</x:v>
      </x:c>
      <x:c r="AO1180" s="12" t="str">
        <x:v>Остаток 7; прогноз 90 дней 2.42; избыток 4 шт. Будущие поступления не выставляются на продажу. Остаток на начало сентября: требуется актуализация.</x:v>
      </x:c>
      <x:c r="AP1180" s="12" t="str">
        <x:v>["category_missing", "daily_stockout_data_missing", "new_order_lead_time_unknown", "reservations_unknown", "stale_stock"]</x:v>
      </x:c>
      <x:c r="AQ1180" s="11" t="str">
        <x:v>IEK:290100139_</x:v>
      </x:c>
      <x:c r="AR1180" s="23" t="n">
        <x:v>1</x:v>
      </x:c>
      <x:c r="AS1180" s="23" t="n">
        <x:v>0</x:v>
      </x:c>
      <x:c r="AT1180" s="23" t="n">
        <x:v>0</x:v>
      </x:c>
    </x:row>
    <x:row r="1181" ht="64" customHeight="1">
      <x:c r="A1181" s="10" t="str">
        <x:v>IEK</x:v>
      </x:c>
      <x:c r="B1181" s="34" t="str">
        <x:v>290100140_</x:v>
      </x:c>
      <x:c r="C1181" s="34" t="str">
        <x:v>WYP10-16-05-03-Z-K02</x:v>
      </x:c>
      <x:c r="D1181" s="13" t="str">
        <x:v>У05 (5мест/3метра) чер. IEK</x:v>
      </x:c>
      <x:c r="E1181" s="10" t="str">
        <x:v>шт</x:v>
      </x:c>
      <x:c r="F1181" s="37" t="n">
        <x:f>MAX(0,ROUNDDOWN((AG1181-AF1181)/AR1181+0.000000001,0)*AR1181)</x:f>
        <x:v>1</x:v>
      </x:c>
      <x:c r="G1181" s="21" t="str">
        <x:f>IF(J1181="Рассчитано",V1181*(1-R1181/100)-W1181-P1181-Q1181,"н/д")</x:f>
        <x:v>н/д</x:v>
      </x:c>
      <x:c r="H1181" s="13" t="str">
        <x:v>Высокий</x:v>
      </x:c>
      <x:c r="I1181" s="13" t="str">
        <x:v>Средний</x:v>
      </x:c>
      <x:c r="J1181" s="13" t="str">
        <x:f>IF(L1181="","Укажите валюту",IF(NOT(ISNUMBER(K1181)),"Укажите объём",IF(K1181&lt;=0,"Укажите объём",IF(K1181&gt;F1181,"Объём выше излишка",IF(COUNT(M1181:O1181)&lt;3,"Нужны цены",IF(COUNT(P1181:R1181)&lt;3,"Нужны расходы",IF(OR(M1181&lt;0,N1181&lt;0,O1181&lt;0,O1181&gt;100,P1181&lt;0,Q1181&lt;0,R1181&lt;0,R1181&gt;100),"Проверьте значения","Рассчитано")))))))</x:f>
        <x:v>Нужны цены</x:v>
      </x:c>
      <x:c r="K1181" s="36" t="n">
        <x:v>1</x:v>
      </x:c>
      <x:c r="L1181" s="19" t="str">
        <x:v>KZT</x:v>
      </x:c>
      <x:c r="M1181" s="22"/>
      <x:c r="N1181" s="22"/>
      <x:c r="O1181" s="28"/>
      <x:c r="P1181" s="22"/>
      <x:c r="Q1181" s="22"/>
      <x:c r="R1181" s="28"/>
      <x:c r="S1181" s="22"/>
      <x:c r="T1181" s="37" t="n">
        <x:f>K1181</x:f>
        <x:v>1</x:v>
      </x:c>
      <x:c r="U1181" s="21" t="str">
        <x:f>IF(J1181="Рассчитано",N1181*(1-O1181/100),"н/д")</x:f>
        <x:v>н/д</x:v>
      </x:c>
      <x:c r="V1181" s="21" t="str">
        <x:f>IF(J1181="Рассчитано",T1181*U1181,"н/д")</x:f>
        <x:v>н/д</x:v>
      </x:c>
      <x:c r="W1181" s="21" t="str">
        <x:f>IF(J1181="Рассчитано",T1181*M1181,"н/д")</x:f>
        <x:v>н/д</x:v>
      </x:c>
      <x:c r="X1181" s="21" t="str">
        <x:f>IF(J1181="Рассчитано",V1181-W1181,"н/д")</x:f>
        <x:v>н/д</x:v>
      </x:c>
      <x:c r="Y1181" s="27" t="str">
        <x:f>IF(J1181="Рассчитано",IF(V1181&gt;0,G1181/V1181,"н/д"),"н/д")</x:f>
        <x:v>н/д</x:v>
      </x:c>
      <x:c r="Z1181" s="21" t="str">
        <x:f>"н/д"</x:f>
        <x:v>н/д</x:v>
      </x:c>
      <x:c r="AA1181" s="21" t="str">
        <x:f>"н/д"</x:f>
        <x:v>н/д</x:v>
      </x:c>
      <x:c r="AB1181" s="21" t="str">
        <x:f>"н/д"</x:f>
        <x:v>н/д</x:v>
      </x:c>
      <x:c r="AC1181" s="21" t="str">
        <x:f>IF(AND(J1181="Рассчитано",T1181&gt;0,R1181&lt;100),(W1181+P1181+Q1181)/(T1181*(1-R1181/100)),"н/д")</x:f>
        <x:v>н/д</x:v>
      </x:c>
      <x:c r="AD1181" s="10" t="str">
        <x:f>IF(ISNUMBER(G1181),IF(G1181&lt;0,"Убыток",IF(G1181=0,"Без прибыли","Прибыль &gt; 0")),"Не оценён")</x:f>
        <x:v>Не оценён</x:v>
      </x:c>
      <x:c r="AE1181" s="13" t="str">
        <x:f>IF(J1181="Рассчитано","Выручка "&amp;TEXT(V1181,"0.00")&amp;" - себестоимость "&amp;TEXT(W1181,"0.00")&amp;" - комиссия "&amp;TEXT(V1181*R1181/100,"0.00")&amp;" - доставка "&amp;TEXT(P1181,"0.00")&amp;" - прочие "&amp;TEXT(Q1181,"0.00")&amp;" = "&amp;TEXT(G1181,"0.00")&amp;" "&amp;L1181,"Введите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1" s="24" t="n">
        <x:v>3.616400817143147</x:v>
      </x:c>
      <x:c r="AG1181" s="37" t="n">
        <x:v>5</x:v>
      </x:c>
      <x:c r="AH1181" s="37" t="n">
        <x:v>0</x:v>
      </x:c>
      <x:c r="AI1181" s="30" t="n">
        <x:v>46266</x:v>
      </x:c>
      <x:c r="AJ1181" s="37" t="n">
        <x:v>1</x:v>
      </x:c>
      <x:c r="AK1181" s="10" t="str">
        <x:v>минимум</x:v>
      </x:c>
      <x:c r="AL1181" s="32" t="n">
        <x:v>117.57432385123134</x:v>
      </x:c>
      <x:c r="AM1181" s="13" t="str">
        <x:v>Остаток на начало сентября; Резервы неизвестны; Нет ежедневных данных доступности. Запас выше прогноза на 90 дней</x:v>
      </x:c>
      <x:c r="AN1181" s="13" t="str">
        <x:v>Проверить свободный остаток и установить цену для B2B</x:v>
      </x:c>
      <x:c r="AO1181" s="13" t="str">
        <x:v>Остаток 5; прогноз 90 дней 3.62; избыток 1 шт. Будущие поступления не выставляются на продажу. Остаток на начало сентября: требуется актуализация.</x:v>
      </x:c>
      <x:c r="AP1181" s="13" t="str">
        <x:v>["category_missing", "daily_stockout_data_missing", "new_order_lead_time_unknown", "reservations_unknown", "stale_stock"]</x:v>
      </x:c>
      <x:c r="AQ1181" s="10" t="str">
        <x:v>IEK:290100140_</x:v>
      </x:c>
      <x:c r="AR1181" s="24" t="n">
        <x:v>1</x:v>
      </x:c>
      <x:c r="AS1181" s="24" t="n">
        <x:v>0</x:v>
      </x:c>
      <x:c r="AT1181" s="24" t="n">
        <x:v>0</x:v>
      </x:c>
    </x:row>
    <x:row r="1182" ht="64" customHeight="1">
      <x:c r="A1182" s="11" t="str">
        <x:v>IEK</x:v>
      </x:c>
      <x:c r="B1182" s="33" t="str">
        <x:v>290100143_</x:v>
      </x:c>
      <x:c r="C1182" s="33" t="str">
        <x:v>WYP10-16-05-05-ZK-K02</x:v>
      </x:c>
      <x:c r="D1182" s="12" t="str">
        <x:v>У05К (5мест/5метров) чер. IEK</x:v>
      </x:c>
      <x:c r="E1182" s="11" t="str">
        <x:v>шт</x:v>
      </x:c>
      <x:c r="F1182" s="35" t="n">
        <x:f>MAX(0,ROUNDDOWN((AG1182-AF1182)/AR1182+0.000000001,0)*AR1182)</x:f>
        <x:v>5</x:v>
      </x:c>
      <x:c r="G1182" s="20" t="str">
        <x:f>IF(J1182="Рассчитано",V1182*(1-R1182/100)-W1182-P1182-Q1182,"н/д")</x:f>
        <x:v>н/д</x:v>
      </x:c>
      <x:c r="H1182" s="12" t="str">
        <x:v>Высокий</x:v>
      </x:c>
      <x:c r="I1182" s="12" t="str">
        <x:v>Высокий</x:v>
      </x:c>
      <x:c r="J1182" s="12" t="str">
        <x:f>IF(L1182="","Укажите валюту",IF(NOT(ISNUMBER(K1182)),"Укажите объём",IF(K1182&lt;=0,"Укажите объём",IF(K1182&gt;F1182,"Объём выше излишка",IF(COUNT(M1182:O1182)&lt;3,"Нужны цены",IF(COUNT(P1182:R1182)&lt;3,"Нужны расходы",IF(OR(M1182&lt;0,N1182&lt;0,O1182&lt;0,O1182&gt;100,P1182&lt;0,Q1182&lt;0,R1182&lt;0,R1182&gt;100),"Проверьте значения","Рассчитано")))))))</x:f>
        <x:v>Нужны цены</x:v>
      </x:c>
      <x:c r="K1182" s="36" t="n">
        <x:v>5</x:v>
      </x:c>
      <x:c r="L1182" s="19" t="str">
        <x:v>KZT</x:v>
      </x:c>
      <x:c r="M1182" s="22"/>
      <x:c r="N1182" s="22"/>
      <x:c r="O1182" s="28"/>
      <x:c r="P1182" s="22"/>
      <x:c r="Q1182" s="22"/>
      <x:c r="R1182" s="28"/>
      <x:c r="S1182" s="22"/>
      <x:c r="T1182" s="35" t="n">
        <x:f>K1182</x:f>
        <x:v>5</x:v>
      </x:c>
      <x:c r="U1182" s="20" t="str">
        <x:f>IF(J1182="Рассчитано",N1182*(1-O1182/100),"н/д")</x:f>
        <x:v>н/д</x:v>
      </x:c>
      <x:c r="V1182" s="20" t="str">
        <x:f>IF(J1182="Рассчитано",T1182*U1182,"н/д")</x:f>
        <x:v>н/д</x:v>
      </x:c>
      <x:c r="W1182" s="20" t="str">
        <x:f>IF(J1182="Рассчитано",T1182*M1182,"н/д")</x:f>
        <x:v>н/д</x:v>
      </x:c>
      <x:c r="X1182" s="20" t="str">
        <x:f>IF(J1182="Рассчитано",V1182-W1182,"н/д")</x:f>
        <x:v>н/д</x:v>
      </x:c>
      <x:c r="Y1182" s="26" t="str">
        <x:f>IF(J1182="Рассчитано",IF(V1182&gt;0,G1182/V1182,"н/д"),"н/д")</x:f>
        <x:v>н/д</x:v>
      </x:c>
      <x:c r="Z1182" s="20" t="str">
        <x:f>"н/д"</x:f>
        <x:v>н/д</x:v>
      </x:c>
      <x:c r="AA1182" s="20" t="str">
        <x:f>"н/д"</x:f>
        <x:v>н/д</x:v>
      </x:c>
      <x:c r="AB1182" s="20" t="str">
        <x:f>"н/д"</x:f>
        <x:v>н/д</x:v>
      </x:c>
      <x:c r="AC1182" s="20" t="str">
        <x:f>IF(AND(J1182="Рассчитано",T1182&gt;0,R1182&lt;100),(W1182+P1182+Q1182)/(T1182*(1-R1182/100)),"н/д")</x:f>
        <x:v>н/д</x:v>
      </x:c>
      <x:c r="AD1182" s="11" t="str">
        <x:f>IF(ISNUMBER(G1182),IF(G1182&lt;0,"Убыток",IF(G1182=0,"Без прибыли","Прибыль &gt; 0")),"Не оценён")</x:f>
        <x:v>Не оценён</x:v>
      </x:c>
      <x:c r="AE1182" s="12" t="str">
        <x:f>IF(J1182="Рассчитано","Выручка "&amp;TEXT(V1182,"0.00")&amp;" - себестоимость "&amp;TEXT(W1182,"0.00")&amp;" - комиссия "&amp;TEXT(V1182*R1182/100,"0.00")&amp;" - доставка "&amp;TEXT(P1182,"0.00")&amp;" - прочие "&amp;TEXT(Q1182,"0.00")&amp;" = "&amp;TEXT(G1182,"0.00")&amp;" "&amp;L1182,"Введите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2" s="23" t="n">
        <x:v>4.438315600897574</x:v>
      </x:c>
      <x:c r="AG1182" s="35" t="n">
        <x:v>10</x:v>
      </x:c>
      <x:c r="AH1182" s="35" t="n">
        <x:v>20</x:v>
      </x:c>
      <x:c r="AI1182" s="29" t="n">
        <x:v>46266</x:v>
      </x:c>
      <x:c r="AJ1182" s="35" t="n">
        <x:v>1</x:v>
      </x:c>
      <x:c r="AK1182" s="11" t="str">
        <x:v>минимум</x:v>
      </x:c>
      <x:c r="AL1182" s="31" t="n">
        <x:v>191.60236408814964</x:v>
      </x:c>
      <x:c r="AM118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82" s="12" t="str">
        <x:v>Проверить свободный остаток и установить цену для B2B</x:v>
      </x:c>
      <x:c r="AO1182" s="12" t="str">
        <x:v>Остаток 10; прогноз 90 дней 4.44; избыток 5 шт. Будущие поступления не выставляются на продажу. Остаток на начало сентября: требуется актуализация.</x:v>
      </x:c>
      <x:c r="AP1182" s="12" t="str">
        <x:v>["category_missing", "daily_stockout_data_missing", "new_order_lead_time_unknown", "reservations_unknown", "stale_stock"]</x:v>
      </x:c>
      <x:c r="AQ1182" s="11" t="str">
        <x:v>IEK:290100143_</x:v>
      </x:c>
      <x:c r="AR1182" s="23" t="n">
        <x:v>1</x:v>
      </x:c>
      <x:c r="AS1182" s="23" t="n">
        <x:v>0</x:v>
      </x:c>
      <x:c r="AT1182" s="23" t="n">
        <x:v>0</x:v>
      </x:c>
    </x:row>
    <x:row r="1183" ht="64" customHeight="1">
      <x:c r="A1183" s="10" t="str">
        <x:v>IEK</x:v>
      </x:c>
      <x:c r="B1183" s="34" t="str">
        <x:v>290100144_</x:v>
      </x:c>
      <x:c r="C1183" s="34" t="str">
        <x:v>WYP10-06-03-03-K02</x:v>
      </x:c>
      <x:c r="D1183" s="13" t="str">
        <x:v>У3 (3места/3метра) чер. IEK</x:v>
      </x:c>
      <x:c r="E1183" s="10" t="str">
        <x:v>шт</x:v>
      </x:c>
      <x:c r="F1183" s="37" t="n">
        <x:f>MAX(0,ROUNDDOWN((AG1183-AF1183)/AR1183+0.000000001,0)*AR1183)</x:f>
        <x:v>3</x:v>
      </x:c>
      <x:c r="G1183" s="21" t="str">
        <x:f>IF(J1183="Рассчитано",V1183*(1-R1183/100)-W1183-P1183-Q1183,"н/д")</x:f>
        <x:v>н/д</x:v>
      </x:c>
      <x:c r="H1183" s="13" t="str">
        <x:v>Высокий</x:v>
      </x:c>
      <x:c r="I1183" s="13" t="str">
        <x:v>Высокий</x:v>
      </x:c>
      <x:c r="J1183" s="13" t="str">
        <x:f>IF(L1183="","Укажите валюту",IF(NOT(ISNUMBER(K1183)),"Укажите объём",IF(K1183&lt;=0,"Укажите объём",IF(K1183&gt;F1183,"Объём выше излишка",IF(COUNT(M1183:O1183)&lt;3,"Нужны цены",IF(COUNT(P1183:R1183)&lt;3,"Нужны расходы",IF(OR(M1183&lt;0,N1183&lt;0,O1183&lt;0,O1183&gt;100,P1183&lt;0,Q1183&lt;0,R1183&lt;0,R1183&gt;100),"Проверьте значения","Рассчитано")))))))</x:f>
        <x:v>Нужны цены</x:v>
      </x:c>
      <x:c r="K1183" s="36" t="n">
        <x:v>3</x:v>
      </x:c>
      <x:c r="L1183" s="19" t="str">
        <x:v>KZT</x:v>
      </x:c>
      <x:c r="M1183" s="22"/>
      <x:c r="N1183" s="22"/>
      <x:c r="O1183" s="28"/>
      <x:c r="P1183" s="22"/>
      <x:c r="Q1183" s="22"/>
      <x:c r="R1183" s="28"/>
      <x:c r="S1183" s="22"/>
      <x:c r="T1183" s="37" t="n">
        <x:f>K1183</x:f>
        <x:v>3</x:v>
      </x:c>
      <x:c r="U1183" s="21" t="str">
        <x:f>IF(J1183="Рассчитано",N1183*(1-O1183/100),"н/д")</x:f>
        <x:v>н/д</x:v>
      </x:c>
      <x:c r="V1183" s="21" t="str">
        <x:f>IF(J1183="Рассчитано",T1183*U1183,"н/д")</x:f>
        <x:v>н/д</x:v>
      </x:c>
      <x:c r="W1183" s="21" t="str">
        <x:f>IF(J1183="Рассчитано",T1183*M1183,"н/д")</x:f>
        <x:v>н/д</x:v>
      </x:c>
      <x:c r="X1183" s="21" t="str">
        <x:f>IF(J1183="Рассчитано",V1183-W1183,"н/д")</x:f>
        <x:v>н/д</x:v>
      </x:c>
      <x:c r="Y1183" s="27" t="str">
        <x:f>IF(J1183="Рассчитано",IF(V1183&gt;0,G1183/V1183,"н/д"),"н/д")</x:f>
        <x:v>н/д</x:v>
      </x:c>
      <x:c r="Z1183" s="21" t="str">
        <x:f>"н/д"</x:f>
        <x:v>н/д</x:v>
      </x:c>
      <x:c r="AA1183" s="21" t="str">
        <x:f>"н/д"</x:f>
        <x:v>н/д</x:v>
      </x:c>
      <x:c r="AB1183" s="21" t="str">
        <x:f>"н/д"</x:f>
        <x:v>н/д</x:v>
      </x:c>
      <x:c r="AC1183" s="21" t="str">
        <x:f>IF(AND(J1183="Рассчитано",T1183&gt;0,R1183&lt;100),(W1183+P1183+Q1183)/(T1183*(1-R1183/100)),"н/д")</x:f>
        <x:v>н/д</x:v>
      </x:c>
      <x:c r="AD1183" s="10" t="str">
        <x:f>IF(ISNUMBER(G1183),IF(G1183&lt;0,"Убыток",IF(G1183=0,"Без прибыли","Прибыль &gt; 0")),"Не оценён")</x:f>
        <x:v>Не оценён</x:v>
      </x:c>
      <x:c r="AE1183" s="13" t="str">
        <x:f>IF(J1183="Рассчитано","Выручка "&amp;TEXT(V1183,"0.00")&amp;" - себестоимость "&amp;TEXT(W1183,"0.00")&amp;" - комиссия "&amp;TEXT(V1183*R1183/100,"0.00")&amp;" - доставка "&amp;TEXT(P1183,"0.00")&amp;" - прочие "&amp;TEXT(Q1183,"0.00")&amp;" = "&amp;TEXT(G1183,"0.00")&amp;" "&amp;L1183,"Введите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3" s="24" t="n">
        <x:v>0.38909836505998807</x:v>
      </x:c>
      <x:c r="AG1183" s="37" t="n">
        <x:v>4</x:v>
      </x:c>
      <x:c r="AH1183" s="37" t="n">
        <x:v>0</x:v>
      </x:c>
      <x:c r="AI1183" s="30" t="n">
        <x:v>46266</x:v>
      </x:c>
      <x:c r="AJ1183" s="37" t="n">
        <x:v>1</x:v>
      </x:c>
      <x:c r="AK1183" s="10" t="str">
        <x:v>минимум</x:v>
      </x:c>
      <x:c r="AL1183" s="32" t="n">
        <x:v>874.2177691445046</x:v>
      </x:c>
      <x:c r="AM118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83" s="13" t="str">
        <x:v>Проверить свободный остаток и установить цену для B2B</x:v>
      </x:c>
      <x:c r="AO1183" s="13" t="str">
        <x:v>Остаток 4; прогноз 90 дней 0.39; избыток 3 шт. Будущие поступления не выставляются на продажу. Остаток на начало сентября: требуется актуализация.</x:v>
      </x:c>
      <x:c r="AP1183" s="13" t="str">
        <x:v>["category_missing", "daily_stockout_data_missing", "new_order_lead_time_unknown", "reservations_unknown", "stale_stock"]</x:v>
      </x:c>
      <x:c r="AQ1183" s="10" t="str">
        <x:v>IEK:290100144_</x:v>
      </x:c>
      <x:c r="AR1183" s="24" t="n">
        <x:v>1</x:v>
      </x:c>
      <x:c r="AS1183" s="24" t="n">
        <x:v>0</x:v>
      </x:c>
      <x:c r="AT1183" s="24" t="n">
        <x:v>0</x:v>
      </x:c>
    </x:row>
    <x:row r="1184" ht="64" customHeight="1">
      <x:c r="A1184" s="11" t="str">
        <x:v>IEK</x:v>
      </x:c>
      <x:c r="B1184" s="33" t="str">
        <x:v>290100145_</x:v>
      </x:c>
      <x:c r="C1184" s="33" t="str">
        <x:v>WYP10-06-03-05-K02</x:v>
      </x:c>
      <x:c r="D1184" s="12" t="str">
        <x:v>У3 (3места/5метров) чер. IEK</x:v>
      </x:c>
      <x:c r="E1184" s="11" t="str">
        <x:v>шт</x:v>
      </x:c>
      <x:c r="F1184" s="35" t="n">
        <x:f>MAX(0,ROUNDDOWN((AG1184-AF1184)/AR1184+0.000000001,0)*AR1184)</x:f>
        <x:v>2</x:v>
      </x:c>
      <x:c r="G1184" s="20" t="str">
        <x:f>IF(J1184="Рассчитано",V1184*(1-R1184/100)-W1184-P1184-Q1184,"н/д")</x:f>
        <x:v>н/д</x:v>
      </x:c>
      <x:c r="H1184" s="12" t="str">
        <x:v>Высокий</x:v>
      </x:c>
      <x:c r="I1184" s="12" t="str">
        <x:v>Высокий</x:v>
      </x:c>
      <x:c r="J1184" s="12" t="str">
        <x:f>IF(L1184="","Укажите валюту",IF(NOT(ISNUMBER(K1184)),"Укажите объём",IF(K1184&lt;=0,"Укажите объём",IF(K1184&gt;F1184,"Объём выше излишка",IF(COUNT(M1184:O1184)&lt;3,"Нужны цены",IF(COUNT(P1184:R1184)&lt;3,"Нужны расходы",IF(OR(M1184&lt;0,N1184&lt;0,O1184&lt;0,O1184&gt;100,P1184&lt;0,Q1184&lt;0,R1184&lt;0,R1184&gt;100),"Проверьте значения","Рассчитано")))))))</x:f>
        <x:v>Нужны цены</x:v>
      </x:c>
      <x:c r="K1184" s="36" t="n">
        <x:v>2</x:v>
      </x:c>
      <x:c r="L1184" s="19" t="str">
        <x:v>KZT</x:v>
      </x:c>
      <x:c r="M1184" s="22"/>
      <x:c r="N1184" s="22"/>
      <x:c r="O1184" s="28"/>
      <x:c r="P1184" s="22"/>
      <x:c r="Q1184" s="22"/>
      <x:c r="R1184" s="28"/>
      <x:c r="S1184" s="22"/>
      <x:c r="T1184" s="35" t="n">
        <x:f>K1184</x:f>
        <x:v>2</x:v>
      </x:c>
      <x:c r="U1184" s="20" t="str">
        <x:f>IF(J1184="Рассчитано",N1184*(1-O1184/100),"н/д")</x:f>
        <x:v>н/д</x:v>
      </x:c>
      <x:c r="V1184" s="20" t="str">
        <x:f>IF(J1184="Рассчитано",T1184*U1184,"н/д")</x:f>
        <x:v>н/д</x:v>
      </x:c>
      <x:c r="W1184" s="20" t="str">
        <x:f>IF(J1184="Рассчитано",T1184*M1184,"н/д")</x:f>
        <x:v>н/д</x:v>
      </x:c>
      <x:c r="X1184" s="20" t="str">
        <x:f>IF(J1184="Рассчитано",V1184-W1184,"н/д")</x:f>
        <x:v>н/д</x:v>
      </x:c>
      <x:c r="Y1184" s="26" t="str">
        <x:f>IF(J1184="Рассчитано",IF(V1184&gt;0,G1184/V1184,"н/д"),"н/д")</x:f>
        <x:v>н/д</x:v>
      </x:c>
      <x:c r="Z1184" s="20" t="str">
        <x:f>"н/д"</x:f>
        <x:v>н/д</x:v>
      </x:c>
      <x:c r="AA1184" s="20" t="str">
        <x:f>"н/д"</x:f>
        <x:v>н/д</x:v>
      </x:c>
      <x:c r="AB1184" s="20" t="str">
        <x:f>"н/д"</x:f>
        <x:v>н/д</x:v>
      </x:c>
      <x:c r="AC1184" s="20" t="str">
        <x:f>IF(AND(J1184="Рассчитано",T1184&gt;0,R1184&lt;100),(W1184+P1184+Q1184)/(T1184*(1-R1184/100)),"н/д")</x:f>
        <x:v>н/д</x:v>
      </x:c>
      <x:c r="AD1184" s="11" t="str">
        <x:f>IF(ISNUMBER(G1184),IF(G1184&lt;0,"Убыток",IF(G1184=0,"Без прибыли","Прибыль &gt; 0")),"Не оценён")</x:f>
        <x:v>Не оценён</x:v>
      </x:c>
      <x:c r="AE1184" s="12" t="str">
        <x:f>IF(J1184="Рассчитано","Выручка "&amp;TEXT(V1184,"0.00")&amp;" - себестоимость "&amp;TEXT(W1184,"0.00")&amp;" - комиссия "&amp;TEXT(V1184*R1184/100,"0.00")&amp;" - доставка "&amp;TEXT(P1184,"0.00")&amp;" - прочие "&amp;TEXT(Q1184,"0.00")&amp;" = "&amp;TEXT(G1184,"0.00")&amp;" "&amp;L1184,"Введите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4" s="23" t="n">
        <x:v>0.9793454932777194</x:v>
      </x:c>
      <x:c r="AG1184" s="35" t="n">
        <x:v>3</x:v>
      </x:c>
      <x:c r="AH1184" s="35" t="n">
        <x:v>0</x:v>
      </x:c>
      <x:c r="AI1184" s="29" t="n">
        <x:v>46266</x:v>
      </x:c>
      <x:c r="AJ1184" s="35" t="n">
        <x:v>1</x:v>
      </x:c>
      <x:c r="AK1184" s="11" t="str">
        <x:v>минимум</x:v>
      </x:c>
      <x:c r="AL1184" s="31" t="n">
        <x:v>260.4979859115381</x:v>
      </x:c>
      <x:c r="AM1184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84" s="12" t="str">
        <x:v>Проверить свободный остаток и установить цену для B2B</x:v>
      </x:c>
      <x:c r="AO1184" s="12" t="str">
        <x:v>Остаток 3; прогноз 90 дней 0.98; избыток 2 шт. Будущие поступления не выставляются на продажу. Остаток на начало сентября: требуется актуализация.</x:v>
      </x:c>
      <x:c r="AP1184" s="12" t="str">
        <x:v>["category_missing", "daily_stockout_data_missing", "new_order_lead_time_unknown", "reservations_unknown", "stale_stock"]</x:v>
      </x:c>
      <x:c r="AQ1184" s="11" t="str">
        <x:v>IEK:290100145_</x:v>
      </x:c>
      <x:c r="AR1184" s="23" t="n">
        <x:v>1</x:v>
      </x:c>
      <x:c r="AS1184" s="23" t="n">
        <x:v>0</x:v>
      </x:c>
      <x:c r="AT1184" s="23" t="n">
        <x:v>0</x:v>
      </x:c>
    </x:row>
    <x:row r="1185" ht="64" customHeight="1">
      <x:c r="A1185" s="10" t="str">
        <x:v>IEK</x:v>
      </x:c>
      <x:c r="B1185" s="34" t="str">
        <x:v>290100146_</x:v>
      </x:c>
      <x:c r="C1185" s="34" t="str">
        <x:v>WFP10-16-05-03-ZK-K03</x:v>
      </x:c>
      <x:c r="D1185" s="13" t="str">
        <x:v>СФ-05К-вык (5 мест/3м.) серый IEK</x:v>
      </x:c>
      <x:c r="E1185" s="10" t="str">
        <x:v>шт</x:v>
      </x:c>
      <x:c r="F1185" s="37" t="n">
        <x:f>MAX(0,ROUNDDOWN((AG1185-AF1185)/AR1185+0.000000001,0)*AR1185)</x:f>
        <x:v>13</x:v>
      </x:c>
      <x:c r="G1185" s="21" t="str">
        <x:f>IF(J1185="Рассчитано",V1185*(1-R1185/100)-W1185-P1185-Q1185,"н/д")</x:f>
        <x:v>н/д</x:v>
      </x:c>
      <x:c r="H1185" s="13" t="str">
        <x:v>Высокий</x:v>
      </x:c>
      <x:c r="I1185" s="13" t="str">
        <x:v>Высокий</x:v>
      </x:c>
      <x:c r="J1185" s="13" t="str">
        <x:f>IF(L1185="","Укажите валюту",IF(NOT(ISNUMBER(K1185)),"Укажите объём",IF(K1185&lt;=0,"Укажите объём",IF(K1185&gt;F1185,"Объём выше излишка",IF(COUNT(M1185:O1185)&lt;3,"Нужны цены",IF(COUNT(P1185:R1185)&lt;3,"Нужны расходы",IF(OR(M1185&lt;0,N1185&lt;0,O1185&lt;0,O1185&gt;100,P1185&lt;0,Q1185&lt;0,R1185&lt;0,R1185&gt;100),"Проверьте значения","Рассчитано")))))))</x:f>
        <x:v>Нужны цены</x:v>
      </x:c>
      <x:c r="K1185" s="36" t="n">
        <x:v>13</x:v>
      </x:c>
      <x:c r="L1185" s="19" t="str">
        <x:v>KZT</x:v>
      </x:c>
      <x:c r="M1185" s="22"/>
      <x:c r="N1185" s="22"/>
      <x:c r="O1185" s="28"/>
      <x:c r="P1185" s="22"/>
      <x:c r="Q1185" s="22"/>
      <x:c r="R1185" s="28"/>
      <x:c r="S1185" s="22"/>
      <x:c r="T1185" s="37" t="n">
        <x:f>K1185</x:f>
        <x:v>13</x:v>
      </x:c>
      <x:c r="U1185" s="21" t="str">
        <x:f>IF(J1185="Рассчитано",N1185*(1-O1185/100),"н/д")</x:f>
        <x:v>н/д</x:v>
      </x:c>
      <x:c r="V1185" s="21" t="str">
        <x:f>IF(J1185="Рассчитано",T1185*U1185,"н/д")</x:f>
        <x:v>н/д</x:v>
      </x:c>
      <x:c r="W1185" s="21" t="str">
        <x:f>IF(J1185="Рассчитано",T1185*M1185,"н/д")</x:f>
        <x:v>н/д</x:v>
      </x:c>
      <x:c r="X1185" s="21" t="str">
        <x:f>IF(J1185="Рассчитано",V1185-W1185,"н/д")</x:f>
        <x:v>н/д</x:v>
      </x:c>
      <x:c r="Y1185" s="27" t="str">
        <x:f>IF(J1185="Рассчитано",IF(V1185&gt;0,G1185/V1185,"н/д"),"н/д")</x:f>
        <x:v>н/д</x:v>
      </x:c>
      <x:c r="Z1185" s="21" t="str">
        <x:f>"н/д"</x:f>
        <x:v>н/д</x:v>
      </x:c>
      <x:c r="AA1185" s="21" t="str">
        <x:f>"н/д"</x:f>
        <x:v>н/д</x:v>
      </x:c>
      <x:c r="AB1185" s="21" t="str">
        <x:f>"н/д"</x:f>
        <x:v>н/д</x:v>
      </x:c>
      <x:c r="AC1185" s="21" t="str">
        <x:f>IF(AND(J1185="Рассчитано",T1185&gt;0,R1185&lt;100),(W1185+P1185+Q1185)/(T1185*(1-R1185/100)),"н/д")</x:f>
        <x:v>н/д</x:v>
      </x:c>
      <x:c r="AD1185" s="10" t="str">
        <x:f>IF(ISNUMBER(G1185),IF(G1185&lt;0,"Убыток",IF(G1185=0,"Без прибыли","Прибыль &gt; 0")),"Не оценён")</x:f>
        <x:v>Не оценён</x:v>
      </x:c>
      <x:c r="AE1185" s="13" t="str">
        <x:f>IF(J1185="Рассчитано","Выручка "&amp;TEXT(V1185,"0.00")&amp;" - себестоимость "&amp;TEXT(W1185,"0.00")&amp;" - комиссия "&amp;TEXT(V1185*R1185/100,"0.00")&amp;" - доставка "&amp;TEXT(P1185,"0.00")&amp;" - прочие "&amp;TEXT(Q1185,"0.00")&amp;" = "&amp;TEXT(G1185,"0.00")&amp;" "&amp;L1185,"Введите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5" s="24" t="n">
        <x:v>5.585288121128911</x:v>
      </x:c>
      <x:c r="AG1185" s="37" t="n">
        <x:v>19</x:v>
      </x:c>
      <x:c r="AH1185" s="37" t="n">
        <x:v>0</x:v>
      </x:c>
      <x:c r="AI1185" s="30" t="n">
        <x:v>46266</x:v>
      </x:c>
      <x:c r="AJ1185" s="37" t="n">
        <x:v>5</x:v>
      </x:c>
      <x:c r="AK1185" s="10" t="str">
        <x:v>минимум</x:v>
      </x:c>
      <x:c r="AL1185" s="32" t="n">
        <x:v>289.28576506557647</x:v>
      </x:c>
      <x:c r="AM118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85" s="13" t="str">
        <x:v>Проверить свободный остаток и установить цену для B2B</x:v>
      </x:c>
      <x:c r="AO1185" s="13" t="str">
        <x:v>Остаток 19; прогноз 90 дней 5.59; избыток 13 шт. Будущие поступления не выставляются на продажу. Остаток на начало сентября: требуется актуализация.</x:v>
      </x:c>
      <x:c r="AP1185" s="13" t="str">
        <x:v>["category_missing", "daily_stockout_data_missing", "new_order_lead_time_unknown", "reservations_unknown", "stale_stock"]</x:v>
      </x:c>
      <x:c r="AQ1185" s="10" t="str">
        <x:v>IEK:290100146_</x:v>
      </x:c>
      <x:c r="AR1185" s="24" t="n">
        <x:v>1</x:v>
      </x:c>
      <x:c r="AS1185" s="24" t="n">
        <x:v>0</x:v>
      </x:c>
      <x:c r="AT1185" s="24" t="n">
        <x:v>0</x:v>
      </x:c>
    </x:row>
    <x:row r="1186" ht="64" customHeight="1">
      <x:c r="A1186" s="11" t="str">
        <x:v>IEK</x:v>
      </x:c>
      <x:c r="B1186" s="33" t="str">
        <x:v>290100148_</x:v>
      </x:c>
      <x:c r="C1186" s="33" t="str">
        <x:v>WFP10-16-05-05-ZK-K03</x:v>
      </x:c>
      <x:c r="D1186" s="12" t="str">
        <x:v>СФ-05К-вык (5 мест/5м.) серый IEK</x:v>
      </x:c>
      <x:c r="E1186" s="11" t="str">
        <x:v>шт</x:v>
      </x:c>
      <x:c r="F1186" s="35" t="n">
        <x:f>MAX(0,ROUNDDOWN((AG1186-AF1186)/AR1186+0.000000001,0)*AR1186)</x:f>
        <x:v>2</x:v>
      </x:c>
      <x:c r="G1186" s="20" t="str">
        <x:f>IF(J1186="Рассчитано",V1186*(1-R1186/100)-W1186-P1186-Q1186,"н/д")</x:f>
        <x:v>н/д</x:v>
      </x:c>
      <x:c r="H1186" s="12" t="str">
        <x:v>Высокий</x:v>
      </x:c>
      <x:c r="I1186" s="12" t="str">
        <x:v>Высокий</x:v>
      </x:c>
      <x:c r="J1186" s="12" t="str">
        <x:f>IF(L1186="","Укажите валюту",IF(NOT(ISNUMBER(K1186)),"Укажите объём",IF(K1186&lt;=0,"Укажите объём",IF(K1186&gt;F1186,"Объём выше излишка",IF(COUNT(M1186:O1186)&lt;3,"Нужны цены",IF(COUNT(P1186:R1186)&lt;3,"Нужны расходы",IF(OR(M1186&lt;0,N1186&lt;0,O1186&lt;0,O1186&gt;100,P1186&lt;0,Q1186&lt;0,R1186&lt;0,R1186&gt;100),"Проверьте значения","Рассчитано")))))))</x:f>
        <x:v>Нужны цены</x:v>
      </x:c>
      <x:c r="K1186" s="36" t="n">
        <x:v>2</x:v>
      </x:c>
      <x:c r="L1186" s="19" t="str">
        <x:v>KZT</x:v>
      </x:c>
      <x:c r="M1186" s="22"/>
      <x:c r="N1186" s="22"/>
      <x:c r="O1186" s="28"/>
      <x:c r="P1186" s="22"/>
      <x:c r="Q1186" s="22"/>
      <x:c r="R1186" s="28"/>
      <x:c r="S1186" s="22"/>
      <x:c r="T1186" s="35" t="n">
        <x:f>K1186</x:f>
        <x:v>2</x:v>
      </x:c>
      <x:c r="U1186" s="20" t="str">
        <x:f>IF(J1186="Рассчитано",N1186*(1-O1186/100),"н/д")</x:f>
        <x:v>н/д</x:v>
      </x:c>
      <x:c r="V1186" s="20" t="str">
        <x:f>IF(J1186="Рассчитано",T1186*U1186,"н/д")</x:f>
        <x:v>н/д</x:v>
      </x:c>
      <x:c r="W1186" s="20" t="str">
        <x:f>IF(J1186="Рассчитано",T1186*M1186,"н/д")</x:f>
        <x:v>н/д</x:v>
      </x:c>
      <x:c r="X1186" s="20" t="str">
        <x:f>IF(J1186="Рассчитано",V1186-W1186,"н/д")</x:f>
        <x:v>н/д</x:v>
      </x:c>
      <x:c r="Y1186" s="26" t="str">
        <x:f>IF(J1186="Рассчитано",IF(V1186&gt;0,G1186/V1186,"н/д"),"н/д")</x:f>
        <x:v>н/д</x:v>
      </x:c>
      <x:c r="Z1186" s="20" t="str">
        <x:f>"н/д"</x:f>
        <x:v>н/д</x:v>
      </x:c>
      <x:c r="AA1186" s="20" t="str">
        <x:f>"н/д"</x:f>
        <x:v>н/д</x:v>
      </x:c>
      <x:c r="AB1186" s="20" t="str">
        <x:f>"н/д"</x:f>
        <x:v>н/д</x:v>
      </x:c>
      <x:c r="AC1186" s="20" t="str">
        <x:f>IF(AND(J1186="Рассчитано",T1186&gt;0,R1186&lt;100),(W1186+P1186+Q1186)/(T1186*(1-R1186/100)),"н/д")</x:f>
        <x:v>н/д</x:v>
      </x:c>
      <x:c r="AD1186" s="11" t="str">
        <x:f>IF(ISNUMBER(G1186),IF(G1186&lt;0,"Убыток",IF(G1186=0,"Без прибыли","Прибыль &gt; 0")),"Не оценён")</x:f>
        <x:v>Не оценён</x:v>
      </x:c>
      <x:c r="AE1186" s="12" t="str">
        <x:f>IF(J1186="Рассчитано","Выручка "&amp;TEXT(V1186,"0.00")&amp;" - себестоимость "&amp;TEXT(W1186,"0.00")&amp;" - комиссия "&amp;TEXT(V1186*R1186/100,"0.00")&amp;" - доставка "&amp;TEXT(P1186,"0.00")&amp;" - прочие "&amp;TEXT(Q1186,"0.00")&amp;" = "&amp;TEXT(G1186,"0.00")&amp;" "&amp;L1186,"Введите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6" s="23" t="n">
        <x:v>1.8392184331818773</x:v>
      </x:c>
      <x:c r="AG1186" s="35" t="n">
        <x:v>4</x:v>
      </x:c>
      <x:c r="AH1186" s="35" t="n">
        <x:v>0</x:v>
      </x:c>
      <x:c r="AI1186" s="29" t="n">
        <x:v>46266</x:v>
      </x:c>
      <x:c r="AJ1186" s="35" t="n">
        <x:v>5</x:v>
      </x:c>
      <x:c r="AK1186" s="11" t="str">
        <x:v>минимум</x:v>
      </x:c>
      <x:c r="AL1186" s="31" t="n">
        <x:v>184.9463329334076</x:v>
      </x:c>
      <x:c r="AM118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86" s="12" t="str">
        <x:v>Проверить свободный остаток и установить цену для B2B</x:v>
      </x:c>
      <x:c r="AO1186" s="12" t="str">
        <x:v>Остаток 4; прогноз 90 дней 1.84; избыток 2 шт. Будущие поступления не выставляются на продажу. Остаток на начало сентября: требуется актуализация.</x:v>
      </x:c>
      <x:c r="AP1186" s="12" t="str">
        <x:v>["category_missing", "daily_stockout_data_missing", "new_order_lead_time_unknown", "reservations_unknown", "stale_stock"]</x:v>
      </x:c>
      <x:c r="AQ1186" s="11" t="str">
        <x:v>IEK:290100148_</x:v>
      </x:c>
      <x:c r="AR1186" s="23" t="n">
        <x:v>1</x:v>
      </x:c>
      <x:c r="AS1186" s="23" t="n">
        <x:v>0</x:v>
      </x:c>
      <x:c r="AT1186" s="23" t="n">
        <x:v>0</x:v>
      </x:c>
    </x:row>
    <x:row r="1187" ht="64" customHeight="1">
      <x:c r="A1187" s="10" t="str">
        <x:v>IEK</x:v>
      </x:c>
      <x:c r="B1187" s="34" t="str">
        <x:v>290200009_</x:v>
      </x:c>
      <x:c r="C1187" s="34" t="str">
        <x:v>WKP15-16-04-40</x:v>
      </x:c>
      <x:c r="D1187" s="13" t="str">
        <x:v>УК40 Катушка (40м) IEK</x:v>
      </x:c>
      <x:c r="E1187" s="10" t="str">
        <x:v>шт</x:v>
      </x:c>
      <x:c r="F1187" s="37" t="n">
        <x:f>MAX(0,ROUNDDOWN((AG1187-AF1187)/AR1187+0.000000001,0)*AR1187)</x:f>
        <x:v>3</x:v>
      </x:c>
      <x:c r="G1187" s="21" t="str">
        <x:f>IF(J1187="Рассчитано",V1187*(1-R1187/100)-W1187-P1187-Q1187,"н/д")</x:f>
        <x:v>н/д</x:v>
      </x:c>
      <x:c r="H1187" s="13" t="str">
        <x:v>Высокий</x:v>
      </x:c>
      <x:c r="I1187" s="13" t="str">
        <x:v>Высокий</x:v>
      </x:c>
      <x:c r="J1187" s="13" t="str">
        <x:f>IF(L1187="","Укажите валюту",IF(NOT(ISNUMBER(K1187)),"Укажите объём",IF(K1187&lt;=0,"Укажите объём",IF(K1187&gt;F1187,"Объём выше излишка",IF(COUNT(M1187:O1187)&lt;3,"Нужны цены",IF(COUNT(P1187:R1187)&lt;3,"Нужны расходы",IF(OR(M1187&lt;0,N1187&lt;0,O1187&lt;0,O1187&gt;100,P1187&lt;0,Q1187&lt;0,R1187&lt;0,R1187&gt;100),"Проверьте значения","Рассчитано")))))))</x:f>
        <x:v>Нужны цены</x:v>
      </x:c>
      <x:c r="K1187" s="36" t="n">
        <x:v>3</x:v>
      </x:c>
      <x:c r="L1187" s="19" t="str">
        <x:v>KZT</x:v>
      </x:c>
      <x:c r="M1187" s="22"/>
      <x:c r="N1187" s="22"/>
      <x:c r="O1187" s="28"/>
      <x:c r="P1187" s="22"/>
      <x:c r="Q1187" s="22"/>
      <x:c r="R1187" s="28"/>
      <x:c r="S1187" s="22"/>
      <x:c r="T1187" s="37" t="n">
        <x:f>K1187</x:f>
        <x:v>3</x:v>
      </x:c>
      <x:c r="U1187" s="21" t="str">
        <x:f>IF(J1187="Рассчитано",N1187*(1-O1187/100),"н/д")</x:f>
        <x:v>н/д</x:v>
      </x:c>
      <x:c r="V1187" s="21" t="str">
        <x:f>IF(J1187="Рассчитано",T1187*U1187,"н/д")</x:f>
        <x:v>н/д</x:v>
      </x:c>
      <x:c r="W1187" s="21" t="str">
        <x:f>IF(J1187="Рассчитано",T1187*M1187,"н/д")</x:f>
        <x:v>н/д</x:v>
      </x:c>
      <x:c r="X1187" s="21" t="str">
        <x:f>IF(J1187="Рассчитано",V1187-W1187,"н/д")</x:f>
        <x:v>н/д</x:v>
      </x:c>
      <x:c r="Y1187" s="27" t="str">
        <x:f>IF(J1187="Рассчитано",IF(V1187&gt;0,G1187/V1187,"н/д"),"н/д")</x:f>
        <x:v>н/д</x:v>
      </x:c>
      <x:c r="Z1187" s="21" t="str">
        <x:f>"н/д"</x:f>
        <x:v>н/д</x:v>
      </x:c>
      <x:c r="AA1187" s="21" t="str">
        <x:f>"н/д"</x:f>
        <x:v>н/д</x:v>
      </x:c>
      <x:c r="AB1187" s="21" t="str">
        <x:f>"н/д"</x:f>
        <x:v>н/д</x:v>
      </x:c>
      <x:c r="AC1187" s="21" t="str">
        <x:f>IF(AND(J1187="Рассчитано",T1187&gt;0,R1187&lt;100),(W1187+P1187+Q1187)/(T1187*(1-R1187/100)),"н/д")</x:f>
        <x:v>н/д</x:v>
      </x:c>
      <x:c r="AD1187" s="10" t="str">
        <x:f>IF(ISNUMBER(G1187),IF(G1187&lt;0,"Убыток",IF(G1187=0,"Без прибыли","Прибыль &gt; 0")),"Не оценён")</x:f>
        <x:v>Не оценён</x:v>
      </x:c>
      <x:c r="AE1187" s="13" t="str">
        <x:f>IF(J1187="Рассчитано","Выручка "&amp;TEXT(V1187,"0.00")&amp;" - себестоимость "&amp;TEXT(W1187,"0.00")&amp;" - комиссия "&amp;TEXT(V1187*R1187/100,"0.00")&amp;" - доставка "&amp;TEXT(P1187,"0.00")&amp;" - прочие "&amp;TEXT(Q1187,"0.00")&amp;" = "&amp;TEXT(G1187,"0.00")&amp;" "&amp;L1187,"Введите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7" s="24" t="n">
        <x:v>0.8818066766889753</x:v>
      </x:c>
      <x:c r="AG1187" s="37" t="n">
        <x:v>4</x:v>
      </x:c>
      <x:c r="AH1187" s="37" t="n">
        <x:v>0</x:v>
      </x:c>
      <x:c r="AI1187" s="30" t="n">
        <x:v>46266</x:v>
      </x:c>
      <x:c r="AJ1187" s="37" t="n">
        <x:v>1</x:v>
      </x:c>
      <x:c r="AK1187" s="10" t="str">
        <x:v>минимум</x:v>
      </x:c>
      <x:c r="AL1187" s="32" t="n">
        <x:v>385.7497495457207</x:v>
      </x:c>
      <x:c r="AM1187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87" s="13" t="str">
        <x:v>Проверить свободный остаток и установить цену для B2B</x:v>
      </x:c>
      <x:c r="AO1187" s="13" t="str">
        <x:v>Остаток 4; прогноз 90 дней 0.88; избыток 3 шт. Будущие поступления не выставляются на продажу. Остаток на начало сентября: требуется актуализация.</x:v>
      </x:c>
      <x:c r="AP1187" s="13" t="str">
        <x:v>["category_missing", "daily_stockout_data_missing", "new_order_lead_time_unknown", "reservations_unknown", "stale_stock"]</x:v>
      </x:c>
      <x:c r="AQ1187" s="10" t="str">
        <x:v>IEK:290200009_</x:v>
      </x:c>
      <x:c r="AR1187" s="24" t="n">
        <x:v>1</x:v>
      </x:c>
      <x:c r="AS1187" s="24" t="n">
        <x:v>0</x:v>
      </x:c>
      <x:c r="AT1187" s="24" t="n">
        <x:v>0</x:v>
      </x:c>
    </x:row>
    <x:row r="1188" ht="64" customHeight="1">
      <x:c r="A1188" s="11" t="str">
        <x:v>IEK</x:v>
      </x:c>
      <x:c r="B1188" s="33" t="str">
        <x:v>311101218_</x:v>
      </x:c>
      <x:c r="C1188" s="33" t="str">
        <x:v>AAK-NIMH-03-1100-L04</x:v>
      </x:c>
      <x:c r="D1188" s="12" t="str">
        <x:v>Аккумулятор GREEN Ni-MH  AAA 1100мАч (4шт/блистер) IEK</x:v>
      </x:c>
      <x:c r="E1188" s="11" t="str">
        <x:v>упак</x:v>
      </x:c>
      <x:c r="F1188" s="35" t="n">
        <x:f>MAX(0,ROUNDDOWN((AG1188-AF1188)/AR1188+0.000000001,0)*AR1188)</x:f>
        <x:v>1</x:v>
      </x:c>
      <x:c r="G1188" s="20" t="str">
        <x:f>IF(J1188="Рассчитано",V1188*(1-R1188/100)-W1188-P1188-Q1188,"н/д")</x:f>
        <x:v>н/д</x:v>
      </x:c>
      <x:c r="H1188" s="12" t="str">
        <x:v>Высокий</x:v>
      </x:c>
      <x:c r="I1188" s="12" t="str">
        <x:v>Высокий</x:v>
      </x:c>
      <x:c r="J1188" s="12" t="str">
        <x:f>IF(L1188="","Укажите валюту",IF(NOT(ISNUMBER(K1188)),"Укажите объём",IF(K1188&lt;=0,"Укажите объём",IF(K1188&gt;F1188,"Объём выше излишка",IF(COUNT(M1188:O1188)&lt;3,"Нужны цены",IF(COUNT(P1188:R1188)&lt;3,"Нужны расходы",IF(OR(M1188&lt;0,N1188&lt;0,O1188&lt;0,O1188&gt;100,P1188&lt;0,Q1188&lt;0,R1188&lt;0,R1188&gt;100),"Проверьте значения","Рассчитано")))))))</x:f>
        <x:v>Нужны цены</x:v>
      </x:c>
      <x:c r="K1188" s="36" t="n">
        <x:v>1</x:v>
      </x:c>
      <x:c r="L1188" s="19" t="str">
        <x:v>KZT</x:v>
      </x:c>
      <x:c r="M1188" s="22"/>
      <x:c r="N1188" s="22"/>
      <x:c r="O1188" s="28"/>
      <x:c r="P1188" s="22"/>
      <x:c r="Q1188" s="22"/>
      <x:c r="R1188" s="28"/>
      <x:c r="S1188" s="22"/>
      <x:c r="T1188" s="35" t="n">
        <x:f>K1188</x:f>
        <x:v>1</x:v>
      </x:c>
      <x:c r="U1188" s="20" t="str">
        <x:f>IF(J1188="Рассчитано",N1188*(1-O1188/100),"н/д")</x:f>
        <x:v>н/д</x:v>
      </x:c>
      <x:c r="V1188" s="20" t="str">
        <x:f>IF(J1188="Рассчитано",T1188*U1188,"н/д")</x:f>
        <x:v>н/д</x:v>
      </x:c>
      <x:c r="W1188" s="20" t="str">
        <x:f>IF(J1188="Рассчитано",T1188*M1188,"н/д")</x:f>
        <x:v>н/д</x:v>
      </x:c>
      <x:c r="X1188" s="20" t="str">
        <x:f>IF(J1188="Рассчитано",V1188-W1188,"н/д")</x:f>
        <x:v>н/д</x:v>
      </x:c>
      <x:c r="Y1188" s="26" t="str">
        <x:f>IF(J1188="Рассчитано",IF(V1188&gt;0,G1188/V1188,"н/д"),"н/д")</x:f>
        <x:v>н/д</x:v>
      </x:c>
      <x:c r="Z1188" s="20" t="str">
        <x:f>"н/д"</x:f>
        <x:v>н/д</x:v>
      </x:c>
      <x:c r="AA1188" s="20" t="str">
        <x:f>"н/д"</x:f>
        <x:v>н/д</x:v>
      </x:c>
      <x:c r="AB1188" s="20" t="str">
        <x:f>"н/д"</x:f>
        <x:v>н/д</x:v>
      </x:c>
      <x:c r="AC1188" s="20" t="str">
        <x:f>IF(AND(J1188="Рассчитано",T1188&gt;0,R1188&lt;100),(W1188+P1188+Q1188)/(T1188*(1-R1188/100)),"н/д")</x:f>
        <x:v>н/д</x:v>
      </x:c>
      <x:c r="AD1188" s="11" t="str">
        <x:f>IF(ISNUMBER(G1188),IF(G1188&lt;0,"Убыток",IF(G1188=0,"Без прибыли","Прибыль &gt; 0")),"Не оценён")</x:f>
        <x:v>Не оценён</x:v>
      </x:c>
      <x:c r="AE1188" s="12" t="str">
        <x:f>IF(J1188="Рассчитано","Выручка "&amp;TEXT(V1188,"0.00")&amp;" - себестоимость "&amp;TEXT(W1188,"0.00")&amp;" - комиссия "&amp;TEXT(V1188*R1188/100,"0.00")&amp;" - доставка "&amp;TEXT(P1188,"0.00")&amp;" - прочие "&amp;TEXT(Q1188,"0.00")&amp;" = "&amp;TEXT(G1188,"0.00")&amp;" "&amp;L1188,"Введите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8" s="23" t="n">
        <x:v>0</x:v>
      </x:c>
      <x:c r="AG1188" s="35" t="n">
        <x:v>1</x:v>
      </x:c>
      <x:c r="AH1188" s="35" t="n">
        <x:v>0</x:v>
      </x:c>
      <x:c r="AI1188" s="29" t="n">
        <x:v>46266</x:v>
      </x:c>
      <x:c r="AJ1188" s="35"/>
      <x:c r="AK1188" s="11" t="str">
        <x:v>неизвестно</x:v>
      </x:c>
      <x:c r="AL1188" s="31" t="str">
        <x:v>н/д</x:v>
      </x:c>
      <x:c r="AM118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188" s="12" t="str">
        <x:v>Проверить свободный остаток и установить цену для B2B</x:v>
      </x:c>
      <x:c r="AO1188" s="12" t="str">
        <x:v>Остаток 1; прогноз 90 дней 0.00; избыток 1 упак. Будущие поступления не выставляются на продажу. Остаток на начало сентября: требуется актуализация.</x:v>
      </x:c>
      <x:c r="AP1188" s="12" t="str">
        <x:v>["category_missing", "daily_stockout_data_missing", "moq_missing", "new_order_lead_time_unknown", "reservations_unknown", "stale_stock"]</x:v>
      </x:c>
      <x:c r="AQ1188" s="11" t="str">
        <x:v>IEK:311101218_</x:v>
      </x:c>
      <x:c r="AR1188" s="23" t="n">
        <x:v>1</x:v>
      </x:c>
      <x:c r="AS1188" s="23" t="n">
        <x:v>0</x:v>
      </x:c>
      <x:c r="AT1188" s="23" t="n">
        <x:v>0</x:v>
      </x:c>
    </x:row>
    <x:row r="1189" ht="64" customHeight="1">
      <x:c r="A1189" s="10" t="str">
        <x:v>IEK</x:v>
      </x:c>
      <x:c r="B1189" s="34" t="str">
        <x:v>AR-KMR10-063-40-230</x:v>
      </x:c>
      <x:c r="C1189" s="34"/>
      <x:c r="D1189" s="13" t="str">
        <x:v>ARMAT Контактор модульный KMR 63А 230В AC 4НО IEK</x:v>
      </x:c>
      <x:c r="E1189" s="10" t="str">
        <x:v>шт</x:v>
      </x:c>
      <x:c r="F1189" s="37" t="n">
        <x:f>MAX(0,ROUNDDOWN((AG1189-AF1189)/AR1189+0.000000001,0)*AR1189)</x:f>
        <x:v>1</x:v>
      </x:c>
      <x:c r="G1189" s="21" t="str">
        <x:f>IF(J1189="Рассчитано",V1189*(1-R1189/100)-W1189-P1189-Q1189,"н/д")</x:f>
        <x:v>н/д</x:v>
      </x:c>
      <x:c r="H1189" s="13" t="str">
        <x:v>Высокий</x:v>
      </x:c>
      <x:c r="I1189" s="13" t="str">
        <x:v>Высокий</x:v>
      </x:c>
      <x:c r="J1189" s="13" t="str">
        <x:f>IF(L1189="","Укажите валюту",IF(NOT(ISNUMBER(K1189)),"Укажите объём",IF(K1189&lt;=0,"Укажите объём",IF(K1189&gt;F1189,"Объём выше излишка",IF(COUNT(M1189:O1189)&lt;3,"Нужны цены",IF(COUNT(P1189:R1189)&lt;3,"Нужны расходы",IF(OR(M1189&lt;0,N1189&lt;0,O1189&lt;0,O1189&gt;100,P1189&lt;0,Q1189&lt;0,R1189&lt;0,R1189&gt;100),"Проверьте значения","Рассчитано")))))))</x:f>
        <x:v>Нужны цены</x:v>
      </x:c>
      <x:c r="K1189" s="36" t="n">
        <x:v>1</x:v>
      </x:c>
      <x:c r="L1189" s="19" t="str">
        <x:v>KZT</x:v>
      </x:c>
      <x:c r="M1189" s="22"/>
      <x:c r="N1189" s="22"/>
      <x:c r="O1189" s="28"/>
      <x:c r="P1189" s="22"/>
      <x:c r="Q1189" s="22"/>
      <x:c r="R1189" s="28"/>
      <x:c r="S1189" s="22"/>
      <x:c r="T1189" s="37" t="n">
        <x:f>K1189</x:f>
        <x:v>1</x:v>
      </x:c>
      <x:c r="U1189" s="21" t="str">
        <x:f>IF(J1189="Рассчитано",N1189*(1-O1189/100),"н/д")</x:f>
        <x:v>н/д</x:v>
      </x:c>
      <x:c r="V1189" s="21" t="str">
        <x:f>IF(J1189="Рассчитано",T1189*U1189,"н/д")</x:f>
        <x:v>н/д</x:v>
      </x:c>
      <x:c r="W1189" s="21" t="str">
        <x:f>IF(J1189="Рассчитано",T1189*M1189,"н/д")</x:f>
        <x:v>н/д</x:v>
      </x:c>
      <x:c r="X1189" s="21" t="str">
        <x:f>IF(J1189="Рассчитано",V1189-W1189,"н/д")</x:f>
        <x:v>н/д</x:v>
      </x:c>
      <x:c r="Y1189" s="27" t="str">
        <x:f>IF(J1189="Рассчитано",IF(V1189&gt;0,G1189/V1189,"н/д"),"н/д")</x:f>
        <x:v>н/д</x:v>
      </x:c>
      <x:c r="Z1189" s="21" t="str">
        <x:f>"н/д"</x:f>
        <x:v>н/д</x:v>
      </x:c>
      <x:c r="AA1189" s="21" t="str">
        <x:f>"н/д"</x:f>
        <x:v>н/д</x:v>
      </x:c>
      <x:c r="AB1189" s="21" t="str">
        <x:f>"н/д"</x:f>
        <x:v>н/д</x:v>
      </x:c>
      <x:c r="AC1189" s="21" t="str">
        <x:f>IF(AND(J1189="Рассчитано",T1189&gt;0,R1189&lt;100),(W1189+P1189+Q1189)/(T1189*(1-R1189/100)),"н/д")</x:f>
        <x:v>н/д</x:v>
      </x:c>
      <x:c r="AD1189" s="10" t="str">
        <x:f>IF(ISNUMBER(G1189),IF(G1189&lt;0,"Убыток",IF(G1189=0,"Без прибыли","Прибыль &gt; 0")),"Не оценён")</x:f>
        <x:v>Не оценён</x:v>
      </x:c>
      <x:c r="AE1189" s="13" t="str">
        <x:f>IF(J1189="Рассчитано","Выручка "&amp;TEXT(V1189,"0.00")&amp;" - себестоимость "&amp;TEXT(W1189,"0.00")&amp;" - комиссия "&amp;TEXT(V1189*R1189/100,"0.00")&amp;" - доставка "&amp;TEXT(P1189,"0.00")&amp;" - прочие "&amp;TEXT(Q1189,"0.00")&amp;" = "&amp;TEXT(G1189,"0.00")&amp;" "&amp;L1189,"Введите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9" s="24" t="n">
        <x:v>0</x:v>
      </x:c>
      <x:c r="AG1189" s="37" t="n">
        <x:v>1</x:v>
      </x:c>
      <x:c r="AH1189" s="37" t="n">
        <x:v>0</x:v>
      </x:c>
      <x:c r="AI1189" s="30" t="n">
        <x:v>46266</x:v>
      </x:c>
      <x:c r="AJ1189" s="37"/>
      <x:c r="AK1189" s="10" t="str">
        <x:v>неизвестно</x:v>
      </x:c>
      <x:c r="AL1189" s="32" t="str">
        <x:v>н/д</x:v>
      </x:c>
      <x:c r="AM118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189" s="13" t="str">
        <x:v>Проверить свободный остаток и установить цену для B2B</x:v>
      </x:c>
      <x:c r="AO1189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189" s="13" t="str">
        <x:v>["category_missing", "daily_stockout_data_missing", "moq_missing", "new_order_lead_time_unknown", "reservations_unknown", "stale_stock", "supplier_sku_missing"]</x:v>
      </x:c>
      <x:c r="AQ1189" s="10" t="str">
        <x:v>IEK:AR-KMR10-063-40-230</x:v>
      </x:c>
      <x:c r="AR1189" s="24" t="n">
        <x:v>1</x:v>
      </x:c>
      <x:c r="AS1189" s="24" t="n">
        <x:v>0</x:v>
      </x:c>
      <x:c r="AT1189" s="24" t="n">
        <x:v>0</x:v>
      </x:c>
    </x:row>
    <x:row r="1190" ht="64" customHeight="1">
      <x:c r="A1190" s="11" t="str">
        <x:v>IEK</x:v>
      </x:c>
      <x:c r="B1190" s="33" t="str">
        <x:v>BR-K20-1-K35</x:v>
      </x:c>
      <x:c r="C1190" s="33"/>
      <x:c r="D1190" s="12" t="str">
        <x:v>BRITE Розетка компьютерная двойная RJ45 кат.5E РК10-2-БрМ маренго IEK</x:v>
      </x:c>
      <x:c r="E1190" s="11" t="str">
        <x:v>шт</x:v>
      </x:c>
      <x:c r="F1190" s="35" t="n">
        <x:f>MAX(0,ROUNDDOWN((AG1190-AF1190)/AR1190+0.000000001,0)*AR1190)</x:f>
        <x:v>47</x:v>
      </x:c>
      <x:c r="G1190" s="20" t="str">
        <x:f>IF(J1190="Рассчитано",V1190*(1-R1190/100)-W1190-P1190-Q1190,"н/д")</x:f>
        <x:v>н/д</x:v>
      </x:c>
      <x:c r="H1190" s="12" t="str">
        <x:v>Высокий</x:v>
      </x:c>
      <x:c r="I1190" s="12" t="str">
        <x:v>Высокий</x:v>
      </x:c>
      <x:c r="J1190" s="12" t="str">
        <x:f>IF(L1190="","Укажите валюту",IF(NOT(ISNUMBER(K1190)),"Укажите объём",IF(K1190&lt;=0,"Укажите объём",IF(K1190&gt;F1190,"Объём выше излишка",IF(COUNT(M1190:O1190)&lt;3,"Нужны цены",IF(COUNT(P1190:R1190)&lt;3,"Нужны расходы",IF(OR(M1190&lt;0,N1190&lt;0,O1190&lt;0,O1190&gt;100,P1190&lt;0,Q1190&lt;0,R1190&lt;0,R1190&gt;100),"Проверьте значения","Рассчитано")))))))</x:f>
        <x:v>Нужны цены</x:v>
      </x:c>
      <x:c r="K1190" s="36" t="n">
        <x:v>47</x:v>
      </x:c>
      <x:c r="L1190" s="19" t="str">
        <x:v>KZT</x:v>
      </x:c>
      <x:c r="M1190" s="22"/>
      <x:c r="N1190" s="22"/>
      <x:c r="O1190" s="28"/>
      <x:c r="P1190" s="22"/>
      <x:c r="Q1190" s="22"/>
      <x:c r="R1190" s="28"/>
      <x:c r="S1190" s="22"/>
      <x:c r="T1190" s="35" t="n">
        <x:f>K1190</x:f>
        <x:v>47</x:v>
      </x:c>
      <x:c r="U1190" s="20" t="str">
        <x:f>IF(J1190="Рассчитано",N1190*(1-O1190/100),"н/д")</x:f>
        <x:v>н/д</x:v>
      </x:c>
      <x:c r="V1190" s="20" t="str">
        <x:f>IF(J1190="Рассчитано",T1190*U1190,"н/д")</x:f>
        <x:v>н/д</x:v>
      </x:c>
      <x:c r="W1190" s="20" t="str">
        <x:f>IF(J1190="Рассчитано",T1190*M1190,"н/д")</x:f>
        <x:v>н/д</x:v>
      </x:c>
      <x:c r="X1190" s="20" t="str">
        <x:f>IF(J1190="Рассчитано",V1190-W1190,"н/д")</x:f>
        <x:v>н/д</x:v>
      </x:c>
      <x:c r="Y1190" s="26" t="str">
        <x:f>IF(J1190="Рассчитано",IF(V1190&gt;0,G1190/V1190,"н/д"),"н/д")</x:f>
        <x:v>н/д</x:v>
      </x:c>
      <x:c r="Z1190" s="20" t="str">
        <x:f>"н/д"</x:f>
        <x:v>н/д</x:v>
      </x:c>
      <x:c r="AA1190" s="20" t="str">
        <x:f>"н/д"</x:f>
        <x:v>н/д</x:v>
      </x:c>
      <x:c r="AB1190" s="20" t="str">
        <x:f>"н/д"</x:f>
        <x:v>н/д</x:v>
      </x:c>
      <x:c r="AC1190" s="20" t="str">
        <x:f>IF(AND(J1190="Рассчитано",T1190&gt;0,R1190&lt;100),(W1190+P1190+Q1190)/(T1190*(1-R1190/100)),"н/д")</x:f>
        <x:v>н/д</x:v>
      </x:c>
      <x:c r="AD1190" s="11" t="str">
        <x:f>IF(ISNUMBER(G1190),IF(G1190&lt;0,"Убыток",IF(G1190=0,"Без прибыли","Прибыль &gt; 0")),"Не оценён")</x:f>
        <x:v>Не оценён</x:v>
      </x:c>
      <x:c r="AE1190" s="12" t="str">
        <x:f>IF(J1190="Рассчитано","Выручка "&amp;TEXT(V1190,"0.00")&amp;" - себестоимость "&amp;TEXT(W1190,"0.00")&amp;" - комиссия "&amp;TEXT(V1190*R1190/100,"0.00")&amp;" - доставка "&amp;TEXT(P1190,"0.00")&amp;" - прочие "&amp;TEXT(Q1190,"0.00")&amp;" = "&amp;TEXT(G1190,"0.00")&amp;" "&amp;L1190,"Введите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0" s="23" t="n">
        <x:v>0</x:v>
      </x:c>
      <x:c r="AG1190" s="35" t="n">
        <x:v>47</x:v>
      </x:c>
      <x:c r="AH1190" s="35" t="n">
        <x:v>0</x:v>
      </x:c>
      <x:c r="AI1190" s="29" t="n">
        <x:v>46266</x:v>
      </x:c>
      <x:c r="AJ1190" s="35"/>
      <x:c r="AK1190" s="11" t="str">
        <x:v>неизвестно</x:v>
      </x:c>
      <x:c r="AL1190" s="31" t="str">
        <x:v>н/д</x:v>
      </x:c>
      <x:c r="AM1190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190" s="12" t="str">
        <x:v>Проверить свободный остаток и установить цену для B2B</x:v>
      </x:c>
      <x:c r="AO1190" s="12" t="str">
        <x:v>Остаток 47; прогноз 90 дней 0.00; избыток 47 шт. Будущие поступления не выставляются на продажу. Остаток на начало сентября: требуется актуализация.</x:v>
      </x:c>
      <x:c r="AP1190" s="12" t="str">
        <x:v>["category_missing", "daily_stockout_data_missing", "moq_missing", "new_order_lead_time_unknown", "reservations_unknown", "stale_stock", "supplier_sku_missing"]</x:v>
      </x:c>
      <x:c r="AQ1190" s="11" t="str">
        <x:v>IEK:BR-K20-1-K35</x:v>
      </x:c>
      <x:c r="AR1190" s="23" t="n">
        <x:v>1</x:v>
      </x:c>
      <x:c r="AS1190" s="23" t="n">
        <x:v>0</x:v>
      </x:c>
      <x:c r="AT1190" s="23" t="n">
        <x:v>0</x:v>
      </x:c>
    </x:row>
    <x:row r="1191" ht="64" customHeight="1">
      <x:c r="A1191" s="10" t="str">
        <x:v>IEK</x:v>
      </x:c>
      <x:c r="B1191" s="34" t="str">
        <x:v>BR-K20-1-K45</x:v>
      </x:c>
      <x:c r="C1191" s="34" t="str">
        <x:v>BR-K20-1-K45</x:v>
      </x:c>
      <x:c r="D1191" s="13" t="str">
        <x:v>BRITE Розетка компьютерная двойная RJ45 кат.5E РК10-2-БрТБ темная бронза IEK</x:v>
      </x:c>
      <x:c r="E1191" s="10" t="str">
        <x:v>шт</x:v>
      </x:c>
      <x:c r="F1191" s="37" t="n">
        <x:f>MAX(0,ROUNDDOWN((AG1191-AF1191)/AR1191+0.000000001,0)*AR1191)</x:f>
        <x:v>30</x:v>
      </x:c>
      <x:c r="G1191" s="21" t="str">
        <x:f>IF(J1191="Рассчитано",V1191*(1-R1191/100)-W1191-P1191-Q1191,"н/д")</x:f>
        <x:v>н/д</x:v>
      </x:c>
      <x:c r="H1191" s="13" t="str">
        <x:v>Высокий</x:v>
      </x:c>
      <x:c r="I1191" s="13" t="str">
        <x:v>Высокий</x:v>
      </x:c>
      <x:c r="J1191" s="13" t="str">
        <x:f>IF(L1191="","Укажите валюту",IF(NOT(ISNUMBER(K1191)),"Укажите объём",IF(K1191&lt;=0,"Укажите объём",IF(K1191&gt;F1191,"Объём выше излишка",IF(COUNT(M1191:O1191)&lt;3,"Нужны цены",IF(COUNT(P1191:R1191)&lt;3,"Нужны расходы",IF(OR(M1191&lt;0,N1191&lt;0,O1191&lt;0,O1191&gt;100,P1191&lt;0,Q1191&lt;0,R1191&lt;0,R1191&gt;100),"Проверьте значения","Рассчитано")))))))</x:f>
        <x:v>Нужны цены</x:v>
      </x:c>
      <x:c r="K1191" s="36" t="n">
        <x:v>30</x:v>
      </x:c>
      <x:c r="L1191" s="19" t="str">
        <x:v>KZT</x:v>
      </x:c>
      <x:c r="M1191" s="22"/>
      <x:c r="N1191" s="22"/>
      <x:c r="O1191" s="28"/>
      <x:c r="P1191" s="22"/>
      <x:c r="Q1191" s="22"/>
      <x:c r="R1191" s="28"/>
      <x:c r="S1191" s="22"/>
      <x:c r="T1191" s="37" t="n">
        <x:f>K1191</x:f>
        <x:v>30</x:v>
      </x:c>
      <x:c r="U1191" s="21" t="str">
        <x:f>IF(J1191="Рассчитано",N1191*(1-O1191/100),"н/д")</x:f>
        <x:v>н/д</x:v>
      </x:c>
      <x:c r="V1191" s="21" t="str">
        <x:f>IF(J1191="Рассчитано",T1191*U1191,"н/д")</x:f>
        <x:v>н/д</x:v>
      </x:c>
      <x:c r="W1191" s="21" t="str">
        <x:f>IF(J1191="Рассчитано",T1191*M1191,"н/д")</x:f>
        <x:v>н/д</x:v>
      </x:c>
      <x:c r="X1191" s="21" t="str">
        <x:f>IF(J1191="Рассчитано",V1191-W1191,"н/д")</x:f>
        <x:v>н/д</x:v>
      </x:c>
      <x:c r="Y1191" s="27" t="str">
        <x:f>IF(J1191="Рассчитано",IF(V1191&gt;0,G1191/V1191,"н/д"),"н/д")</x:f>
        <x:v>н/д</x:v>
      </x:c>
      <x:c r="Z1191" s="21" t="str">
        <x:f>"н/д"</x:f>
        <x:v>н/д</x:v>
      </x:c>
      <x:c r="AA1191" s="21" t="str">
        <x:f>"н/д"</x:f>
        <x:v>н/д</x:v>
      </x:c>
      <x:c r="AB1191" s="21" t="str">
        <x:f>"н/д"</x:f>
        <x:v>н/д</x:v>
      </x:c>
      <x:c r="AC1191" s="21" t="str">
        <x:f>IF(AND(J1191="Рассчитано",T1191&gt;0,R1191&lt;100),(W1191+P1191+Q1191)/(T1191*(1-R1191/100)),"н/д")</x:f>
        <x:v>н/д</x:v>
      </x:c>
      <x:c r="AD1191" s="10" t="str">
        <x:f>IF(ISNUMBER(G1191),IF(G1191&lt;0,"Убыток",IF(G1191=0,"Без прибыли","Прибыль &gt; 0")),"Не оценён")</x:f>
        <x:v>Не оценён</x:v>
      </x:c>
      <x:c r="AE1191" s="13" t="str">
        <x:f>IF(J1191="Рассчитано","Выручка "&amp;TEXT(V1191,"0.00")&amp;" - себестоимость "&amp;TEXT(W1191,"0.00")&amp;" - комиссия "&amp;TEXT(V1191*R1191/100,"0.00")&amp;" - доставка "&amp;TEXT(P1191,"0.00")&amp;" - прочие "&amp;TEXT(Q1191,"0.00")&amp;" = "&amp;TEXT(G1191,"0.00")&amp;" "&amp;L1191,"Введите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1" s="24" t="n">
        <x:v>0.8586762653737059</x:v>
      </x:c>
      <x:c r="AG1191" s="37" t="n">
        <x:v>31</x:v>
      </x:c>
      <x:c r="AH1191" s="37" t="n">
        <x:v>0</x:v>
      </x:c>
      <x:c r="AI1191" s="30" t="n">
        <x:v>46266</x:v>
      </x:c>
      <x:c r="AJ1191" s="37" t="n">
        <x:v>1</x:v>
      </x:c>
      <x:c r="AK1191" s="10" t="str">
        <x:v>минимум</x:v>
      </x:c>
      <x:c r="AL1191" s="32" t="n">
        <x:v>3070.091217819664</x:v>
      </x:c>
      <x:c r="AM119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91" s="13" t="str">
        <x:v>Проверить свободный остаток и установить цену для B2B</x:v>
      </x:c>
      <x:c r="AO1191" s="13" t="str">
        <x:v>Остаток 31; прогноз 90 дней 0.86; избыток 30 шт. Будущие поступления не выставляются на продажу. Остаток на начало сентября: требуется актуализация.</x:v>
      </x:c>
      <x:c r="AP1191" s="13" t="str">
        <x:v>["category_missing", "daily_stockout_data_missing", "new_order_lead_time_unknown", "reservations_unknown", "stale_stock"]</x:v>
      </x:c>
      <x:c r="AQ1191" s="10" t="str">
        <x:v>IEK:BR-K20-1-K45</x:v>
      </x:c>
      <x:c r="AR1191" s="24" t="n">
        <x:v>1</x:v>
      </x:c>
      <x:c r="AS1191" s="24" t="n">
        <x:v>0</x:v>
      </x:c>
      <x:c r="AT1191" s="24" t="n">
        <x:v>0</x:v>
      </x:c>
    </x:row>
    <x:row r="1192" ht="64" customHeight="1">
      <x:c r="A1192" s="11" t="str">
        <x:v>IEK</x:v>
      </x:c>
      <x:c r="B1192" s="33" t="str">
        <x:v>BR-R16-16-44-K37</x:v>
      </x:c>
      <x:c r="C1192" s="33" t="str">
        <x:v>BR-R16-16-44-K37</x:v>
      </x:c>
      <x:c r="D1192" s="12" t="str">
        <x:v>BRITE Розетка 1-я с/з с/ш и крышкой 16А IP44 РСбш10-3-44-БрШ шампань IEK</x:v>
      </x:c>
      <x:c r="E1192" s="11" t="str">
        <x:v>шт</x:v>
      </x:c>
      <x:c r="F1192" s="35" t="n">
        <x:f>MAX(0,ROUNDDOWN((AG1192-AF1192)/AR1192+0.000000001,0)*AR1192)</x:f>
        <x:v>23</x:v>
      </x:c>
      <x:c r="G1192" s="20" t="str">
        <x:f>IF(J1192="Рассчитано",V1192*(1-R1192/100)-W1192-P1192-Q1192,"н/д")</x:f>
        <x:v>н/д</x:v>
      </x:c>
      <x:c r="H1192" s="12" t="str">
        <x:v>Высокий</x:v>
      </x:c>
      <x:c r="I1192" s="12" t="str">
        <x:v>Высокий</x:v>
      </x:c>
      <x:c r="J1192" s="12" t="str">
        <x:f>IF(L1192="","Укажите валюту",IF(NOT(ISNUMBER(K1192)),"Укажите объём",IF(K1192&lt;=0,"Укажите объём",IF(K1192&gt;F1192,"Объём выше излишка",IF(COUNT(M1192:O1192)&lt;3,"Нужны цены",IF(COUNT(P1192:R1192)&lt;3,"Нужны расходы",IF(OR(M1192&lt;0,N1192&lt;0,O1192&lt;0,O1192&gt;100,P1192&lt;0,Q1192&lt;0,R1192&lt;0,R1192&gt;100),"Проверьте значения","Рассчитано")))))))</x:f>
        <x:v>Нужны цены</x:v>
      </x:c>
      <x:c r="K1192" s="36" t="n">
        <x:v>23</x:v>
      </x:c>
      <x:c r="L1192" s="19" t="str">
        <x:v>KZT</x:v>
      </x:c>
      <x:c r="M1192" s="22"/>
      <x:c r="N1192" s="22"/>
      <x:c r="O1192" s="28"/>
      <x:c r="P1192" s="22"/>
      <x:c r="Q1192" s="22"/>
      <x:c r="R1192" s="28"/>
      <x:c r="S1192" s="22"/>
      <x:c r="T1192" s="35" t="n">
        <x:f>K1192</x:f>
        <x:v>23</x:v>
      </x:c>
      <x:c r="U1192" s="20" t="str">
        <x:f>IF(J1192="Рассчитано",N1192*(1-O1192/100),"н/д")</x:f>
        <x:v>н/д</x:v>
      </x:c>
      <x:c r="V1192" s="20" t="str">
        <x:f>IF(J1192="Рассчитано",T1192*U1192,"н/д")</x:f>
        <x:v>н/д</x:v>
      </x:c>
      <x:c r="W1192" s="20" t="str">
        <x:f>IF(J1192="Рассчитано",T1192*M1192,"н/д")</x:f>
        <x:v>н/д</x:v>
      </x:c>
      <x:c r="X1192" s="20" t="str">
        <x:f>IF(J1192="Рассчитано",V1192-W1192,"н/д")</x:f>
        <x:v>н/д</x:v>
      </x:c>
      <x:c r="Y1192" s="26" t="str">
        <x:f>IF(J1192="Рассчитано",IF(V1192&gt;0,G1192/V1192,"н/д"),"н/д")</x:f>
        <x:v>н/д</x:v>
      </x:c>
      <x:c r="Z1192" s="20" t="str">
        <x:f>"н/д"</x:f>
        <x:v>н/д</x:v>
      </x:c>
      <x:c r="AA1192" s="20" t="str">
        <x:f>"н/д"</x:f>
        <x:v>н/д</x:v>
      </x:c>
      <x:c r="AB1192" s="20" t="str">
        <x:f>"н/д"</x:f>
        <x:v>н/д</x:v>
      </x:c>
      <x:c r="AC1192" s="20" t="str">
        <x:f>IF(AND(J1192="Рассчитано",T1192&gt;0,R1192&lt;100),(W1192+P1192+Q1192)/(T1192*(1-R1192/100)),"н/д")</x:f>
        <x:v>н/д</x:v>
      </x:c>
      <x:c r="AD1192" s="11" t="str">
        <x:f>IF(ISNUMBER(G1192),IF(G1192&lt;0,"Убыток",IF(G1192=0,"Без прибыли","Прибыль &gt; 0")),"Не оценён")</x:f>
        <x:v>Не оценён</x:v>
      </x:c>
      <x:c r="AE1192" s="12" t="str">
        <x:f>IF(J1192="Рассчитано","Выручка "&amp;TEXT(V1192,"0.00")&amp;" - себестоимость "&amp;TEXT(W1192,"0.00")&amp;" - комиссия "&amp;TEXT(V1192*R1192/100,"0.00")&amp;" - доставка "&amp;TEXT(P1192,"0.00")&amp;" - прочие "&amp;TEXT(Q1192,"0.00")&amp;" = "&amp;TEXT(G1192,"0.00")&amp;" "&amp;L1192,"Введите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2" s="23" t="n">
        <x:v>2.33547550334342</x:v>
      </x:c>
      <x:c r="AG1192" s="35" t="n">
        <x:v>26</x:v>
      </x:c>
      <x:c r="AH1192" s="35" t="n">
        <x:v>0</x:v>
      </x:c>
      <x:c r="AI1192" s="29" t="n">
        <x:v>46266</x:v>
      </x:c>
      <x:c r="AJ1192" s="35" t="n">
        <x:v>1</x:v>
      </x:c>
      <x:c r="AK1192" s="11" t="str">
        <x:v>минимум</x:v>
      </x:c>
      <x:c r="AL1192" s="31" t="n">
        <x:v>946.7102426285809</x:v>
      </x:c>
      <x:c r="AM1192" s="12" t="str">
        <x:v>Остаток на начало сентября; Резервы неизвестны; Stockout оценён по месячным снимкам; Нет ежедневных данных доступности. Запас более 180 дней при среднем спросе</x:v>
      </x:c>
      <x:c r="AN1192" s="12" t="str">
        <x:v>Проверить свободный остаток и установить цену для B2B</x:v>
      </x:c>
      <x:c r="AO1192" s="12" t="str">
        <x:v>Остаток 26; прогноз 90 дней 2.34; избыток 23 шт. Будущие поступления не выставляются на продажу. Остаток на начало сентября: требуется актуализация.</x:v>
      </x:c>
      <x:c r="AP1192" s="12" t="str">
        <x:v>["category_missing", "daily_stockout_data_missing", "new_order_lead_time_unknown", "reservations_unknown", "stale_stock", "stockout_proxy_used"]</x:v>
      </x:c>
      <x:c r="AQ1192" s="11" t="str">
        <x:v>IEK:BR-R16-16-44-K37</x:v>
      </x:c>
      <x:c r="AR1192" s="23" t="n">
        <x:v>1</x:v>
      </x:c>
      <x:c r="AS1192" s="23" t="n">
        <x:v>0</x:v>
      </x:c>
      <x:c r="AT1192" s="23" t="n">
        <x:v>0</x:v>
      </x:c>
    </x:row>
    <x:row r="1193" ht="64" customHeight="1">
      <x:c r="A1193" s="10" t="str">
        <x:v>IEK</x:v>
      </x:c>
      <x:c r="B1193" s="34" t="str">
        <x:v>BR-R16-16-44-K46</x:v>
      </x:c>
      <x:c r="C1193" s="34" t="str">
        <x:v>BR-R16-16-44-K46</x:v>
      </x:c>
      <x:c r="D1193" s="13" t="str">
        <x:v>BRITE Розетка 1-местная с заземлением с защитными шторками и крышкой 16А IP44 РСбш10-3-44-БрС сталь</x:v>
      </x:c>
      <x:c r="E1193" s="10" t="str">
        <x:v>шт</x:v>
      </x:c>
      <x:c r="F1193" s="37" t="n">
        <x:f>MAX(0,ROUNDDOWN((AG1193-AF1193)/AR1193+0.000000001,0)*AR1193)</x:f>
        <x:v>12</x:v>
      </x:c>
      <x:c r="G1193" s="21" t="str">
        <x:f>IF(J1193="Рассчитано",V1193*(1-R1193/100)-W1193-P1193-Q1193,"н/д")</x:f>
        <x:v>н/д</x:v>
      </x:c>
      <x:c r="H1193" s="13" t="str">
        <x:v>Высокий</x:v>
      </x:c>
      <x:c r="I1193" s="13" t="str">
        <x:v>Высокий</x:v>
      </x:c>
      <x:c r="J1193" s="13" t="str">
        <x:f>IF(L1193="","Укажите валюту",IF(NOT(ISNUMBER(K1193)),"Укажите объём",IF(K1193&lt;=0,"Укажите объём",IF(K1193&gt;F1193,"Объём выше излишка",IF(COUNT(M1193:O1193)&lt;3,"Нужны цены",IF(COUNT(P1193:R1193)&lt;3,"Нужны расходы",IF(OR(M1193&lt;0,N1193&lt;0,O1193&lt;0,O1193&gt;100,P1193&lt;0,Q1193&lt;0,R1193&lt;0,R1193&gt;100),"Проверьте значения","Рассчитано")))))))</x:f>
        <x:v>Нужны цены</x:v>
      </x:c>
      <x:c r="K1193" s="36" t="n">
        <x:v>12</x:v>
      </x:c>
      <x:c r="L1193" s="19" t="str">
        <x:v>KZT</x:v>
      </x:c>
      <x:c r="M1193" s="22"/>
      <x:c r="N1193" s="22"/>
      <x:c r="O1193" s="28"/>
      <x:c r="P1193" s="22"/>
      <x:c r="Q1193" s="22"/>
      <x:c r="R1193" s="28"/>
      <x:c r="S1193" s="22"/>
      <x:c r="T1193" s="37" t="n">
        <x:f>K1193</x:f>
        <x:v>12</x:v>
      </x:c>
      <x:c r="U1193" s="21" t="str">
        <x:f>IF(J1193="Рассчитано",N1193*(1-O1193/100),"н/д")</x:f>
        <x:v>н/д</x:v>
      </x:c>
      <x:c r="V1193" s="21" t="str">
        <x:f>IF(J1193="Рассчитано",T1193*U1193,"н/д")</x:f>
        <x:v>н/д</x:v>
      </x:c>
      <x:c r="W1193" s="21" t="str">
        <x:f>IF(J1193="Рассчитано",T1193*M1193,"н/д")</x:f>
        <x:v>н/д</x:v>
      </x:c>
      <x:c r="X1193" s="21" t="str">
        <x:f>IF(J1193="Рассчитано",V1193-W1193,"н/д")</x:f>
        <x:v>н/д</x:v>
      </x:c>
      <x:c r="Y1193" s="27" t="str">
        <x:f>IF(J1193="Рассчитано",IF(V1193&gt;0,G1193/V1193,"н/д"),"н/д")</x:f>
        <x:v>н/д</x:v>
      </x:c>
      <x:c r="Z1193" s="21" t="str">
        <x:f>"н/д"</x:f>
        <x:v>н/д</x:v>
      </x:c>
      <x:c r="AA1193" s="21" t="str">
        <x:f>"н/д"</x:f>
        <x:v>н/д</x:v>
      </x:c>
      <x:c r="AB1193" s="21" t="str">
        <x:f>"н/д"</x:f>
        <x:v>н/д</x:v>
      </x:c>
      <x:c r="AC1193" s="21" t="str">
        <x:f>IF(AND(J1193="Рассчитано",T1193&gt;0,R1193&lt;100),(W1193+P1193+Q1193)/(T1193*(1-R1193/100)),"н/д")</x:f>
        <x:v>н/д</x:v>
      </x:c>
      <x:c r="AD1193" s="10" t="str">
        <x:f>IF(ISNUMBER(G1193),IF(G1193&lt;0,"Убыток",IF(G1193=0,"Без прибыли","Прибыль &gt; 0")),"Не оценён")</x:f>
        <x:v>Не оценён</x:v>
      </x:c>
      <x:c r="AE1193" s="13" t="str">
        <x:f>IF(J1193="Рассчитано","Выручка "&amp;TEXT(V1193,"0.00")&amp;" - себестоимость "&amp;TEXT(W1193,"0.00")&amp;" - комиссия "&amp;TEXT(V1193*R1193/100,"0.00")&amp;" - доставка "&amp;TEXT(P1193,"0.00")&amp;" - прочие "&amp;TEXT(Q1193,"0.00")&amp;" = "&amp;TEXT(G1193,"0.00")&amp;" "&amp;L1193,"Введите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3" s="24" t="n">
        <x:v>0.09005811180205522</x:v>
      </x:c>
      <x:c r="AG1193" s="37" t="n">
        <x:v>13</x:v>
      </x:c>
      <x:c r="AH1193" s="37" t="n">
        <x:v>0</x:v>
      </x:c>
      <x:c r="AI1193" s="30" t="n">
        <x:v>46266</x:v>
      </x:c>
      <x:c r="AJ1193" s="37" t="n">
        <x:v>1</x:v>
      </x:c>
      <x:c r="AK1193" s="10" t="str">
        <x:v>минимум</x:v>
      </x:c>
      <x:c r="AL1193" s="32" t="n">
        <x:v>12275.510424219772</x:v>
      </x:c>
      <x:c r="AM119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193" s="13" t="str">
        <x:v>Проверить свободный остаток и установить цену для B2B</x:v>
      </x:c>
      <x:c r="AO1193" s="13" t="str">
        <x:v>Остаток 13; прогноз 90 дней 0.09; избыток 12 шт. Будущие поступления не выставляются на продажу. Остаток на начало сентября: требуется актуализация.</x:v>
      </x:c>
      <x:c r="AP1193" s="13" t="str">
        <x:v>["category_missing", "daily_stockout_data_missing", "new_order_lead_time_unknown", "reservations_unknown", "stale_stock"]</x:v>
      </x:c>
      <x:c r="AQ1193" s="10" t="str">
        <x:v>IEK:BR-R16-16-44-K46</x:v>
      </x:c>
      <x:c r="AR1193" s="24" t="n">
        <x:v>1</x:v>
      </x:c>
      <x:c r="AS1193" s="24" t="n">
        <x:v>0</x:v>
      </x:c>
      <x:c r="AT1193" s="24" t="n">
        <x:v>0</x:v>
      </x:c>
    </x:row>
    <x:row r="1194" ht="64" customHeight="1">
      <x:c r="A1194" s="11" t="str">
        <x:v>IEK</x:v>
      </x:c>
      <x:c r="B1194" s="33" t="str">
        <x:v>CLM50D-PPP-050-15</x:v>
      </x:c>
      <x:c r="C1194" s="33"/>
      <x:c r="D1194" s="12" t="str">
        <x:v>Профиль перфорированный П-образный  500-1,5 IEK E-PRO</x:v>
      </x:c>
      <x:c r="E1194" s="11" t="str">
        <x:v>шт</x:v>
      </x:c>
      <x:c r="F1194" s="35" t="n">
        <x:f>MAX(0,ROUNDDOWN((AG1194-AF1194)/AR1194+0.000000001,0)*AR1194)</x:f>
        <x:v>2</x:v>
      </x:c>
      <x:c r="G1194" s="20" t="str">
        <x:f>IF(J1194="Рассчитано",V1194*(1-R1194/100)-W1194-P1194-Q1194,"н/д")</x:f>
        <x:v>н/д</x:v>
      </x:c>
      <x:c r="H1194" s="12" t="str">
        <x:v>Высокий</x:v>
      </x:c>
      <x:c r="I1194" s="12" t="str">
        <x:v>Высокий</x:v>
      </x:c>
      <x:c r="J1194" s="12" t="str">
        <x:f>IF(L1194="","Укажите валюту",IF(NOT(ISNUMBER(K1194)),"Укажите объём",IF(K1194&lt;=0,"Укажите объём",IF(K1194&gt;F1194,"Объём выше излишка",IF(COUNT(M1194:O1194)&lt;3,"Нужны цены",IF(COUNT(P1194:R1194)&lt;3,"Нужны расходы",IF(OR(M1194&lt;0,N1194&lt;0,O1194&lt;0,O1194&gt;100,P1194&lt;0,Q1194&lt;0,R1194&lt;0,R1194&gt;100),"Проверьте значения","Рассчитано")))))))</x:f>
        <x:v>Нужны цены</x:v>
      </x:c>
      <x:c r="K1194" s="36" t="n">
        <x:v>2</x:v>
      </x:c>
      <x:c r="L1194" s="19" t="str">
        <x:v>KZT</x:v>
      </x:c>
      <x:c r="M1194" s="22"/>
      <x:c r="N1194" s="22"/>
      <x:c r="O1194" s="28"/>
      <x:c r="P1194" s="22"/>
      <x:c r="Q1194" s="22"/>
      <x:c r="R1194" s="28"/>
      <x:c r="S1194" s="22"/>
      <x:c r="T1194" s="35" t="n">
        <x:f>K1194</x:f>
        <x:v>2</x:v>
      </x:c>
      <x:c r="U1194" s="20" t="str">
        <x:f>IF(J1194="Рассчитано",N1194*(1-O1194/100),"н/д")</x:f>
        <x:v>н/д</x:v>
      </x:c>
      <x:c r="V1194" s="20" t="str">
        <x:f>IF(J1194="Рассчитано",T1194*U1194,"н/д")</x:f>
        <x:v>н/д</x:v>
      </x:c>
      <x:c r="W1194" s="20" t="str">
        <x:f>IF(J1194="Рассчитано",T1194*M1194,"н/д")</x:f>
        <x:v>н/д</x:v>
      </x:c>
      <x:c r="X1194" s="20" t="str">
        <x:f>IF(J1194="Рассчитано",V1194-W1194,"н/д")</x:f>
        <x:v>н/д</x:v>
      </x:c>
      <x:c r="Y1194" s="26" t="str">
        <x:f>IF(J1194="Рассчитано",IF(V1194&gt;0,G1194/V1194,"н/д"),"н/д")</x:f>
        <x:v>н/д</x:v>
      </x:c>
      <x:c r="Z1194" s="20" t="str">
        <x:f>"н/д"</x:f>
        <x:v>н/д</x:v>
      </x:c>
      <x:c r="AA1194" s="20" t="str">
        <x:f>"н/д"</x:f>
        <x:v>н/д</x:v>
      </x:c>
      <x:c r="AB1194" s="20" t="str">
        <x:f>"н/д"</x:f>
        <x:v>н/д</x:v>
      </x:c>
      <x:c r="AC1194" s="20" t="str">
        <x:f>IF(AND(J1194="Рассчитано",T1194&gt;0,R1194&lt;100),(W1194+P1194+Q1194)/(T1194*(1-R1194/100)),"н/д")</x:f>
        <x:v>н/д</x:v>
      </x:c>
      <x:c r="AD1194" s="11" t="str">
        <x:f>IF(ISNUMBER(G1194),IF(G1194&lt;0,"Убыток",IF(G1194=0,"Без прибыли","Прибыль &gt; 0")),"Не оценён")</x:f>
        <x:v>Не оценён</x:v>
      </x:c>
      <x:c r="AE1194" s="12" t="str">
        <x:f>IF(J1194="Рассчитано","Выручка "&amp;TEXT(V1194,"0.00")&amp;" - себестоимость "&amp;TEXT(W1194,"0.00")&amp;" - комиссия "&amp;TEXT(V1194*R1194/100,"0.00")&amp;" - доставка "&amp;TEXT(P1194,"0.00")&amp;" - прочие "&amp;TEXT(Q1194,"0.00")&amp;" = "&amp;TEXT(G1194,"0.00")&amp;" "&amp;L1194,"Введите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4" s="23" t="n">
        <x:v>0</x:v>
      </x:c>
      <x:c r="AG1194" s="35" t="n">
        <x:v>2</x:v>
      </x:c>
      <x:c r="AH1194" s="35" t="n">
        <x:v>0</x:v>
      </x:c>
      <x:c r="AI1194" s="29" t="n">
        <x:v>46266</x:v>
      </x:c>
      <x:c r="AJ1194" s="35"/>
      <x:c r="AK1194" s="11" t="str">
        <x:v>неизвестно</x:v>
      </x:c>
      <x:c r="AL1194" s="31" t="str">
        <x:v>н/д</x:v>
      </x:c>
      <x:c r="AM1194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194" s="12" t="str">
        <x:v>Проверить свободный остаток и установить цену для B2B</x:v>
      </x:c>
      <x:c r="AO1194" s="12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1194" s="12" t="str">
        <x:v>["category_missing", "daily_stockout_data_missing", "moq_missing", "new_order_lead_time_unknown", "reservations_unknown", "stale_stock", "supplier_sku_missing"]</x:v>
      </x:c>
      <x:c r="AQ1194" s="11" t="str">
        <x:v>IEK:CLM50D-PPP-050-15</x:v>
      </x:c>
      <x:c r="AR1194" s="23" t="n">
        <x:v>1</x:v>
      </x:c>
      <x:c r="AS1194" s="23" t="n">
        <x:v>0</x:v>
      </x:c>
      <x:c r="AT1194" s="23" t="n">
        <x:v>0</x:v>
      </x:c>
    </x:row>
    <x:row r="1195" ht="64" customHeight="1">
      <x:c r="A1195" s="10" t="str">
        <x:v>IEK</x:v>
      </x:c>
      <x:c r="B1195" s="34" t="str">
        <x:v>CLP1CL-300-1</x:v>
      </x:c>
      <x:c r="C1195" s="34"/>
      <x:c r="D1195" s="13" t="str">
        <x:v>Кронштейн замковый осн.300мм IEK</x:v>
      </x:c>
      <x:c r="E1195" s="10" t="str">
        <x:v>шт</x:v>
      </x:c>
      <x:c r="F1195" s="37" t="n">
        <x:f>MAX(0,ROUNDDOWN((AG1195-AF1195)/AR1195+0.000000001,0)*AR1195)</x:f>
        <x:v>1</x:v>
      </x:c>
      <x:c r="G1195" s="21" t="str">
        <x:f>IF(J1195="Рассчитано",V1195*(1-R1195/100)-W1195-P1195-Q1195,"н/д")</x:f>
        <x:v>н/д</x:v>
      </x:c>
      <x:c r="H1195" s="13" t="str">
        <x:v>Высокий</x:v>
      </x:c>
      <x:c r="I1195" s="13" t="str">
        <x:v>Высокий</x:v>
      </x:c>
      <x:c r="J1195" s="13" t="str">
        <x:f>IF(L1195="","Укажите валюту",IF(NOT(ISNUMBER(K1195)),"Укажите объём",IF(K1195&lt;=0,"Укажите объём",IF(K1195&gt;F1195,"Объём выше излишка",IF(COUNT(M1195:O1195)&lt;3,"Нужны цены",IF(COUNT(P1195:R1195)&lt;3,"Нужны расходы",IF(OR(M1195&lt;0,N1195&lt;0,O1195&lt;0,O1195&gt;100,P1195&lt;0,Q1195&lt;0,R1195&lt;0,R1195&gt;100),"Проверьте значения","Рассчитано")))))))</x:f>
        <x:v>Нужны цены</x:v>
      </x:c>
      <x:c r="K1195" s="36" t="n">
        <x:v>1</x:v>
      </x:c>
      <x:c r="L1195" s="19" t="str">
        <x:v>KZT</x:v>
      </x:c>
      <x:c r="M1195" s="22"/>
      <x:c r="N1195" s="22"/>
      <x:c r="O1195" s="28"/>
      <x:c r="P1195" s="22"/>
      <x:c r="Q1195" s="22"/>
      <x:c r="R1195" s="28"/>
      <x:c r="S1195" s="22"/>
      <x:c r="T1195" s="37" t="n">
        <x:f>K1195</x:f>
        <x:v>1</x:v>
      </x:c>
      <x:c r="U1195" s="21" t="str">
        <x:f>IF(J1195="Рассчитано",N1195*(1-O1195/100),"н/д")</x:f>
        <x:v>н/д</x:v>
      </x:c>
      <x:c r="V1195" s="21" t="str">
        <x:f>IF(J1195="Рассчитано",T1195*U1195,"н/д")</x:f>
        <x:v>н/д</x:v>
      </x:c>
      <x:c r="W1195" s="21" t="str">
        <x:f>IF(J1195="Рассчитано",T1195*M1195,"н/д")</x:f>
        <x:v>н/д</x:v>
      </x:c>
      <x:c r="X1195" s="21" t="str">
        <x:f>IF(J1195="Рассчитано",V1195-W1195,"н/д")</x:f>
        <x:v>н/д</x:v>
      </x:c>
      <x:c r="Y1195" s="27" t="str">
        <x:f>IF(J1195="Рассчитано",IF(V1195&gt;0,G1195/V1195,"н/д"),"н/д")</x:f>
        <x:v>н/д</x:v>
      </x:c>
      <x:c r="Z1195" s="21" t="str">
        <x:f>"н/д"</x:f>
        <x:v>н/д</x:v>
      </x:c>
      <x:c r="AA1195" s="21" t="str">
        <x:f>"н/д"</x:f>
        <x:v>н/д</x:v>
      </x:c>
      <x:c r="AB1195" s="21" t="str">
        <x:f>"н/д"</x:f>
        <x:v>н/д</x:v>
      </x:c>
      <x:c r="AC1195" s="21" t="str">
        <x:f>IF(AND(J1195="Рассчитано",T1195&gt;0,R1195&lt;100),(W1195+P1195+Q1195)/(T1195*(1-R1195/100)),"н/д")</x:f>
        <x:v>н/д</x:v>
      </x:c>
      <x:c r="AD1195" s="10" t="str">
        <x:f>IF(ISNUMBER(G1195),IF(G1195&lt;0,"Убыток",IF(G1195=0,"Без прибыли","Прибыль &gt; 0")),"Не оценён")</x:f>
        <x:v>Не оценён</x:v>
      </x:c>
      <x:c r="AE1195" s="13" t="str">
        <x:f>IF(J1195="Рассчитано","Выручка "&amp;TEXT(V1195,"0.00")&amp;" - себестоимость "&amp;TEXT(W1195,"0.00")&amp;" - комиссия "&amp;TEXT(V1195*R1195/100,"0.00")&amp;" - доставка "&amp;TEXT(P1195,"0.00")&amp;" - прочие "&amp;TEXT(Q1195,"0.00")&amp;" = "&amp;TEXT(G1195,"0.00")&amp;" "&amp;L1195,"Введите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5" s="24" t="n">
        <x:v>0</x:v>
      </x:c>
      <x:c r="AG1195" s="37" t="n">
        <x:v>1</x:v>
      </x:c>
      <x:c r="AH1195" s="37" t="n">
        <x:v>0</x:v>
      </x:c>
      <x:c r="AI1195" s="30" t="n">
        <x:v>46266</x:v>
      </x:c>
      <x:c r="AJ1195" s="37"/>
      <x:c r="AK1195" s="10" t="str">
        <x:v>неизвестно</x:v>
      </x:c>
      <x:c r="AL1195" s="32" t="str">
        <x:v>н/д</x:v>
      </x:c>
      <x:c r="AM1195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195" s="13" t="str">
        <x:v>Проверить свободный остаток и установить цену для B2B</x:v>
      </x:c>
      <x:c r="AO1195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195" s="13" t="str">
        <x:v>["category_missing", "daily_stockout_data_missing", "moq_missing", "new_order_lead_time_unknown", "reservations_unknown", "stale_stock", "supplier_sku_missing"]</x:v>
      </x:c>
      <x:c r="AQ1195" s="10" t="str">
        <x:v>IEK:CLP1CL-300-1</x:v>
      </x:c>
      <x:c r="AR1195" s="24" t="n">
        <x:v>1</x:v>
      </x:c>
      <x:c r="AS1195" s="24" t="n">
        <x:v>0</x:v>
      </x:c>
      <x:c r="AT1195" s="24" t="n">
        <x:v>0</x:v>
      </x:c>
    </x:row>
    <x:row r="1196" ht="64" customHeight="1">
      <x:c r="A1196" s="11" t="str">
        <x:v>IEK</x:v>
      </x:c>
      <x:c r="B1196" s="33" t="str">
        <x:v>CMZ11-VT-06-030</x:v>
      </x:c>
      <x:c r="C1196" s="33"/>
      <x:c r="D1196" s="12" t="str">
        <x:v>Винт с гладкой головкой и квадратным подголов. M6х30 IEK</x:v>
      </x:c>
      <x:c r="E1196" s="11" t="str">
        <x:v>шт</x:v>
      </x:c>
      <x:c r="F1196" s="35" t="n">
        <x:f>MAX(0,ROUNDDOWN((AG1196-AF1196)/AR1196+0.000000001,0)*AR1196)</x:f>
        <x:v>1299</x:v>
      </x:c>
      <x:c r="G1196" s="20" t="str">
        <x:f>IF(J1196="Рассчитано",V1196*(1-R1196/100)-W1196-P1196-Q1196,"н/д")</x:f>
        <x:v>н/д</x:v>
      </x:c>
      <x:c r="H1196" s="12" t="str">
        <x:v>Высокий</x:v>
      </x:c>
      <x:c r="I1196" s="12" t="str">
        <x:v>Высокий</x:v>
      </x:c>
      <x:c r="J1196" s="12" t="str">
        <x:f>IF(L1196="","Укажите валюту",IF(NOT(ISNUMBER(K1196)),"Укажите объём",IF(K1196&lt;=0,"Укажите объём",IF(K1196&gt;F1196,"Объём выше излишка",IF(COUNT(M1196:O1196)&lt;3,"Нужны цены",IF(COUNT(P1196:R1196)&lt;3,"Нужны расходы",IF(OR(M1196&lt;0,N1196&lt;0,O1196&lt;0,O1196&gt;100,P1196&lt;0,Q1196&lt;0,R1196&lt;0,R1196&gt;100),"Проверьте значения","Рассчитано")))))))</x:f>
        <x:v>Нужны цены</x:v>
      </x:c>
      <x:c r="K1196" s="36" t="n">
        <x:v>1299</x:v>
      </x:c>
      <x:c r="L1196" s="19" t="str">
        <x:v>KZT</x:v>
      </x:c>
      <x:c r="M1196" s="22"/>
      <x:c r="N1196" s="22"/>
      <x:c r="O1196" s="28"/>
      <x:c r="P1196" s="22"/>
      <x:c r="Q1196" s="22"/>
      <x:c r="R1196" s="28"/>
      <x:c r="S1196" s="22"/>
      <x:c r="T1196" s="35" t="n">
        <x:f>K1196</x:f>
        <x:v>1299</x:v>
      </x:c>
      <x:c r="U1196" s="20" t="str">
        <x:f>IF(J1196="Рассчитано",N1196*(1-O1196/100),"н/д")</x:f>
        <x:v>н/д</x:v>
      </x:c>
      <x:c r="V1196" s="20" t="str">
        <x:f>IF(J1196="Рассчитано",T1196*U1196,"н/д")</x:f>
        <x:v>н/д</x:v>
      </x:c>
      <x:c r="W1196" s="20" t="str">
        <x:f>IF(J1196="Рассчитано",T1196*M1196,"н/д")</x:f>
        <x:v>н/д</x:v>
      </x:c>
      <x:c r="X1196" s="20" t="str">
        <x:f>IF(J1196="Рассчитано",V1196-W1196,"н/д")</x:f>
        <x:v>н/д</x:v>
      </x:c>
      <x:c r="Y1196" s="26" t="str">
        <x:f>IF(J1196="Рассчитано",IF(V1196&gt;0,G1196/V1196,"н/д"),"н/д")</x:f>
        <x:v>н/д</x:v>
      </x:c>
      <x:c r="Z1196" s="20" t="str">
        <x:f>"н/д"</x:f>
        <x:v>н/д</x:v>
      </x:c>
      <x:c r="AA1196" s="20" t="str">
        <x:f>"н/д"</x:f>
        <x:v>н/д</x:v>
      </x:c>
      <x:c r="AB1196" s="20" t="str">
        <x:f>"н/д"</x:f>
        <x:v>н/д</x:v>
      </x:c>
      <x:c r="AC1196" s="20" t="str">
        <x:f>IF(AND(J1196="Рассчитано",T1196&gt;0,R1196&lt;100),(W1196+P1196+Q1196)/(T1196*(1-R1196/100)),"н/д")</x:f>
        <x:v>н/д</x:v>
      </x:c>
      <x:c r="AD1196" s="11" t="str">
        <x:f>IF(ISNUMBER(G1196),IF(G1196&lt;0,"Убыток",IF(G1196=0,"Без прибыли","Прибыль &gt; 0")),"Не оценён")</x:f>
        <x:v>Не оценён</x:v>
      </x:c>
      <x:c r="AE1196" s="12" t="str">
        <x:f>IF(J1196="Рассчитано","Выручка "&amp;TEXT(V1196,"0.00")&amp;" - себестоимость "&amp;TEXT(W1196,"0.00")&amp;" - комиссия "&amp;TEXT(V1196*R1196/100,"0.00")&amp;" - доставка "&amp;TEXT(P1196,"0.00")&amp;" - прочие "&amp;TEXT(Q1196,"0.00")&amp;" = "&amp;TEXT(G1196,"0.00")&amp;" "&amp;L1196,"Введите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6" s="23" t="n">
        <x:v>0</x:v>
      </x:c>
      <x:c r="AG1196" s="35" t="n">
        <x:v>1299</x:v>
      </x:c>
      <x:c r="AH1196" s="35" t="n">
        <x:v>0</x:v>
      </x:c>
      <x:c r="AI1196" s="29" t="n">
        <x:v>46266</x:v>
      </x:c>
      <x:c r="AJ1196" s="35"/>
      <x:c r="AK1196" s="11" t="str">
        <x:v>неизвестно</x:v>
      </x:c>
      <x:c r="AL1196" s="31" t="str">
        <x:v>н/д</x:v>
      </x:c>
      <x:c r="AM1196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196" s="12" t="str">
        <x:v>Проверить свободный остаток и установить цену для B2B</x:v>
      </x:c>
      <x:c r="AO1196" s="12" t="str">
        <x:v>Остаток 1299; прогноз 90 дней 0.00; избыток 1299 шт. Будущие поступления не выставляются на продажу. Остаток на начало сентября: требуется актуализация.</x:v>
      </x:c>
      <x:c r="AP1196" s="12" t="str">
        <x:v>["category_missing", "daily_stockout_data_missing", "moq_missing", "new_order_lead_time_unknown", "reservations_unknown", "stale_stock", "supplier_sku_missing"]</x:v>
      </x:c>
      <x:c r="AQ1196" s="11" t="str">
        <x:v>IEK:CMZ11-VT-06-030</x:v>
      </x:c>
      <x:c r="AR1196" s="23" t="n">
        <x:v>1</x:v>
      </x:c>
      <x:c r="AS1196" s="23" t="n">
        <x:v>0</x:v>
      </x:c>
      <x:c r="AT1196" s="23" t="n">
        <x:v>0</x:v>
      </x:c>
    </x:row>
    <x:row r="1197" ht="64" customHeight="1">
      <x:c r="A1197" s="10" t="str">
        <x:v>IEK</x:v>
      </x:c>
      <x:c r="B1197" s="34" t="str">
        <x:v>EL-KK10-040-025-1-K0</x:v>
      </x:c>
      <x:c r="C1197" s="34" t="str">
        <x:v>EL-KK10-040-025-1-K02</x:v>
      </x:c>
      <x:c r="D1197" s="13" t="str">
        <x:v>Кабель-канал 40х25 черный ЭЛЕКОР IEK (за штуку) (24)</x:v>
      </x:c>
      <x:c r="E1197" s="10" t="str">
        <x:v>м</x:v>
      </x:c>
      <x:c r="F1197" s="24" t="n">
        <x:f>MAX(0,ROUNDDOWN((AG1197-AF1197)/AR1197+0.000000001,0)*AR1197)</x:f>
        <x:v>0.4</x:v>
      </x:c>
      <x:c r="G1197" s="21" t="str">
        <x:f>IF(J1197="Рассчитано",V1197*(1-R1197/100)-W1197-P1197-Q1197,"н/д")</x:f>
        <x:v>н/д</x:v>
      </x:c>
      <x:c r="H1197" s="13" t="str">
        <x:v>Высокий</x:v>
      </x:c>
      <x:c r="I1197" s="13" t="str">
        <x:v>Средний</x:v>
      </x:c>
      <x:c r="J1197" s="13" t="str">
        <x:f>IF(L1197="","Укажите валюту",IF(NOT(ISNUMBER(K1197)),"Укажите объём",IF(K1197&lt;=0,"Укажите объём",IF(K1197&gt;F1197,"Объём выше излишка",IF(COUNT(M1197:O1197)&lt;3,"Нужны цены",IF(COUNT(P1197:R1197)&lt;3,"Нужны расходы",IF(OR(M1197&lt;0,N1197&lt;0,O1197&lt;0,O1197&gt;100,P1197&lt;0,Q1197&lt;0,R1197&lt;0,R1197&gt;100),"Проверьте значения","Рассчитано")))))))</x:f>
        <x:v>Нужны цены</x:v>
      </x:c>
      <x:c r="K1197" s="25" t="n">
        <x:v>0.4</x:v>
      </x:c>
      <x:c r="L1197" s="19" t="str">
        <x:v>KZT</x:v>
      </x:c>
      <x:c r="M1197" s="22"/>
      <x:c r="N1197" s="22"/>
      <x:c r="O1197" s="28"/>
      <x:c r="P1197" s="22"/>
      <x:c r="Q1197" s="22"/>
      <x:c r="R1197" s="28"/>
      <x:c r="S1197" s="22"/>
      <x:c r="T1197" s="24" t="n">
        <x:f>K1197</x:f>
        <x:v>0.4</x:v>
      </x:c>
      <x:c r="U1197" s="21" t="str">
        <x:f>IF(J1197="Рассчитано",N1197*(1-O1197/100),"н/д")</x:f>
        <x:v>н/д</x:v>
      </x:c>
      <x:c r="V1197" s="21" t="str">
        <x:f>IF(J1197="Рассчитано",T1197*U1197,"н/д")</x:f>
        <x:v>н/д</x:v>
      </x:c>
      <x:c r="W1197" s="21" t="str">
        <x:f>IF(J1197="Рассчитано",T1197*M1197,"н/д")</x:f>
        <x:v>н/д</x:v>
      </x:c>
      <x:c r="X1197" s="21" t="str">
        <x:f>IF(J1197="Рассчитано",V1197-W1197,"н/д")</x:f>
        <x:v>н/д</x:v>
      </x:c>
      <x:c r="Y1197" s="27" t="str">
        <x:f>IF(J1197="Рассчитано",IF(V1197&gt;0,G1197/V1197,"н/д"),"н/д")</x:f>
        <x:v>н/д</x:v>
      </x:c>
      <x:c r="Z1197" s="21" t="str">
        <x:f>"н/д"</x:f>
        <x:v>н/д</x:v>
      </x:c>
      <x:c r="AA1197" s="21" t="str">
        <x:f>"н/д"</x:f>
        <x:v>н/д</x:v>
      </x:c>
      <x:c r="AB1197" s="21" t="str">
        <x:f>"н/д"</x:f>
        <x:v>н/д</x:v>
      </x:c>
      <x:c r="AC1197" s="21" t="str">
        <x:f>IF(AND(J1197="Рассчитано",T1197&gt;0,R1197&lt;100),(W1197+P1197+Q1197)/(T1197*(1-R1197/100)),"н/д")</x:f>
        <x:v>н/д</x:v>
      </x:c>
      <x:c r="AD1197" s="10" t="str">
        <x:f>IF(ISNUMBER(G1197),IF(G1197&lt;0,"Убыток",IF(G1197=0,"Без прибыли","Прибыль &gt; 0")),"Не оценён")</x:f>
        <x:v>Не оценён</x:v>
      </x:c>
      <x:c r="AE1197" s="13" t="str">
        <x:f>IF(J1197="Рассчитано","Выручка "&amp;TEXT(V1197,"0.00")&amp;" - себестоимость "&amp;TEXT(W1197,"0.00")&amp;" - комиссия "&amp;TEXT(V1197*R1197/100,"0.00")&amp;" - доставка "&amp;TEXT(P1197,"0.00")&amp;" - прочие "&amp;TEXT(Q1197,"0.00")&amp;" = "&amp;TEXT(G1197,"0.00")&amp;" "&amp;L1197,"Введите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7" s="24" t="n">
        <x:v>1.5999626906924245</x:v>
      </x:c>
      <x:c r="AG1197" s="24" t="n">
        <x:v>2</x:v>
      </x:c>
      <x:c r="AH1197" s="24" t="n">
        <x:v>0</x:v>
      </x:c>
      <x:c r="AI1197" s="30" t="n">
        <x:v>46266</x:v>
      </x:c>
      <x:c r="AJ1197" s="24" t="n">
        <x:v>24</x:v>
      </x:c>
      <x:c r="AK1197" s="10" t="str">
        <x:v>минимум</x:v>
      </x:c>
      <x:c r="AL1197" s="32" t="n">
        <x:v>106.30144898357116</x:v>
      </x:c>
      <x:c r="AM1197" s="13" t="str">
        <x:v>Остаток на начало сентября; Резервы неизвестны; Нет ежедневных данных доступности. Запас выше прогноза на 90 дней</x:v>
      </x:c>
      <x:c r="AN1197" s="13" t="str">
        <x:v>Проверить свободный остаток и установить цену для B2B</x:v>
      </x:c>
      <x:c r="AO1197" s="13" t="str">
        <x:v>Остаток 2; прогноз 90 дней 1.60; избыток 0.4 м. Будущие поступления не выставляются на продажу. Остаток на начало сентября: требуется актуализация.</x:v>
      </x:c>
      <x:c r="AP1197" s="13" t="str">
        <x:v>["category_missing", "daily_stockout_data_missing", "new_order_lead_time_unknown", "reservations_unknown", "stale_stock"]</x:v>
      </x:c>
      <x:c r="AQ1197" s="10" t="str">
        <x:v>IEK:EL-KK10-040-025-1-K0</x:v>
      </x:c>
      <x:c r="AR1197" s="24" t="n">
        <x:v>0.001</x:v>
      </x:c>
      <x:c r="AS1197" s="24" t="n">
        <x:v>0</x:v>
      </x:c>
      <x:c r="AT1197" s="24" t="n">
        <x:v>0</x:v>
      </x:c>
    </x:row>
    <x:row r="1198" ht="64" customHeight="1">
      <x:c r="A1198" s="11" t="str">
        <x:v>IEK</x:v>
      </x:c>
      <x:c r="B1198" s="33" t="str">
        <x:v>EPK10-04-02-K01</x:v>
      </x:c>
      <x:c r="C1198" s="33"/>
      <x:c r="D1198" s="12" t="str">
        <x:v>Пкб27-04-К01 Патрон подвесной карболитовый, Е27, черный, индивидуальный пакет, IEK E-PRO</x:v>
      </x:c>
      <x:c r="E1198" s="11" t="str">
        <x:v>шт</x:v>
      </x:c>
      <x:c r="F1198" s="35" t="n">
        <x:f>MAX(0,ROUNDDOWN((AG1198-AF1198)/AR1198+0.000000001,0)*AR1198)</x:f>
        <x:v>19</x:v>
      </x:c>
      <x:c r="G1198" s="20" t="str">
        <x:f>IF(J1198="Рассчитано",V1198*(1-R1198/100)-W1198-P1198-Q1198,"н/д")</x:f>
        <x:v>н/д</x:v>
      </x:c>
      <x:c r="H1198" s="12" t="str">
        <x:v>Высокий</x:v>
      </x:c>
      <x:c r="I1198" s="12" t="str">
        <x:v>Высокий</x:v>
      </x:c>
      <x:c r="J1198" s="12" t="str">
        <x:f>IF(L1198="","Укажите валюту",IF(NOT(ISNUMBER(K1198)),"Укажите объём",IF(K1198&lt;=0,"Укажите объём",IF(K1198&gt;F1198,"Объём выше излишка",IF(COUNT(M1198:O1198)&lt;3,"Нужны цены",IF(COUNT(P1198:R1198)&lt;3,"Нужны расходы",IF(OR(M1198&lt;0,N1198&lt;0,O1198&lt;0,O1198&gt;100,P1198&lt;0,Q1198&lt;0,R1198&lt;0,R1198&gt;100),"Проверьте значения","Рассчитано")))))))</x:f>
        <x:v>Нужны цены</x:v>
      </x:c>
      <x:c r="K1198" s="36" t="n">
        <x:v>19</x:v>
      </x:c>
      <x:c r="L1198" s="19" t="str">
        <x:v>KZT</x:v>
      </x:c>
      <x:c r="M1198" s="22"/>
      <x:c r="N1198" s="22"/>
      <x:c r="O1198" s="28"/>
      <x:c r="P1198" s="22"/>
      <x:c r="Q1198" s="22"/>
      <x:c r="R1198" s="28"/>
      <x:c r="S1198" s="22"/>
      <x:c r="T1198" s="35" t="n">
        <x:f>K1198</x:f>
        <x:v>19</x:v>
      </x:c>
      <x:c r="U1198" s="20" t="str">
        <x:f>IF(J1198="Рассчитано",N1198*(1-O1198/100),"н/д")</x:f>
        <x:v>н/д</x:v>
      </x:c>
      <x:c r="V1198" s="20" t="str">
        <x:f>IF(J1198="Рассчитано",T1198*U1198,"н/д")</x:f>
        <x:v>н/д</x:v>
      </x:c>
      <x:c r="W1198" s="20" t="str">
        <x:f>IF(J1198="Рассчитано",T1198*M1198,"н/д")</x:f>
        <x:v>н/д</x:v>
      </x:c>
      <x:c r="X1198" s="20" t="str">
        <x:f>IF(J1198="Рассчитано",V1198-W1198,"н/д")</x:f>
        <x:v>н/д</x:v>
      </x:c>
      <x:c r="Y1198" s="26" t="str">
        <x:f>IF(J1198="Рассчитано",IF(V1198&gt;0,G1198/V1198,"н/д"),"н/д")</x:f>
        <x:v>н/д</x:v>
      </x:c>
      <x:c r="Z1198" s="20" t="str">
        <x:f>"н/д"</x:f>
        <x:v>н/д</x:v>
      </x:c>
      <x:c r="AA1198" s="20" t="str">
        <x:f>"н/д"</x:f>
        <x:v>н/д</x:v>
      </x:c>
      <x:c r="AB1198" s="20" t="str">
        <x:f>"н/д"</x:f>
        <x:v>н/д</x:v>
      </x:c>
      <x:c r="AC1198" s="20" t="str">
        <x:f>IF(AND(J1198="Рассчитано",T1198&gt;0,R1198&lt;100),(W1198+P1198+Q1198)/(T1198*(1-R1198/100)),"н/д")</x:f>
        <x:v>н/д</x:v>
      </x:c>
      <x:c r="AD1198" s="11" t="str">
        <x:f>IF(ISNUMBER(G1198),IF(G1198&lt;0,"Убыток",IF(G1198=0,"Без прибыли","Прибыль &gt; 0")),"Не оценён")</x:f>
        <x:v>Не оценён</x:v>
      </x:c>
      <x:c r="AE1198" s="12" t="str">
        <x:f>IF(J1198="Рассчитано","Выручка "&amp;TEXT(V1198,"0.00")&amp;" - себестоимость "&amp;TEXT(W1198,"0.00")&amp;" - комиссия "&amp;TEXT(V1198*R1198/100,"0.00")&amp;" - доставка "&amp;TEXT(P1198,"0.00")&amp;" - прочие "&amp;TEXT(Q1198,"0.00")&amp;" = "&amp;TEXT(G1198,"0.00")&amp;" "&amp;L1198,"Введите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8" s="23" t="n">
        <x:v>10.963398646738534</x:v>
      </x:c>
      <x:c r="AG1198" s="35" t="n">
        <x:v>30</x:v>
      </x:c>
      <x:c r="AH1198" s="35" t="n">
        <x:v>0</x:v>
      </x:c>
      <x:c r="AI1198" s="29" t="n">
        <x:v>46266</x:v>
      </x:c>
      <x:c r="AJ1198" s="35"/>
      <x:c r="AK1198" s="11" t="str">
        <x:v>неизвестно</x:v>
      </x:c>
      <x:c r="AL1198" s="31" t="n">
        <x:v>232.69930860927056</x:v>
      </x:c>
      <x:c r="AM1198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Запас более 180 дней при среднем спросе</x:v>
      </x:c>
      <x:c r="AN1198" s="12" t="str">
        <x:v>Проверить свободный остаток и установить цену для B2B</x:v>
      </x:c>
      <x:c r="AO1198" s="12" t="str">
        <x:v>Остаток 30; прогноз 90 дней 10.96; избыток 19 шт. Будущие поступления не выставляются на продажу. Остаток на начало сентября: требуется актуализация.</x:v>
      </x:c>
      <x:c r="AP1198" s="12" t="str">
        <x:v>["category_missing", "daily_stockout_data_missing", "moq_missing", "new_order_lead_time_unknown", "reservations_unknown", "stale_stock", "stockout_proxy_used", "supplier_sku_missing"]</x:v>
      </x:c>
      <x:c r="AQ1198" s="11" t="str">
        <x:v>IEK:EPK10-04-02-K01</x:v>
      </x:c>
      <x:c r="AR1198" s="23" t="n">
        <x:v>1</x:v>
      </x:c>
      <x:c r="AS1198" s="23" t="n">
        <x:v>0</x:v>
      </x:c>
      <x:c r="AT1198" s="23" t="n">
        <x:v>0</x:v>
      </x:c>
    </x:row>
    <x:row r="1199" ht="64" customHeight="1">
      <x:c r="A1199" s="10" t="str">
        <x:v>IEK</x:v>
      </x:c>
      <x:c r="B1199" s="34" t="str">
        <x:v>MVA31-1-006-C</x:v>
      </x:c>
      <x:c r="C1199" s="34"/>
      <x:c r="D1199" s="13" t="str">
        <x:v>BA 47-60M (1ф)  6А 6кА С IEK !!!</x:v>
      </x:c>
      <x:c r="E1199" s="10" t="str">
        <x:v>шт</x:v>
      </x:c>
      <x:c r="F1199" s="37" t="n">
        <x:f>MAX(0,ROUNDDOWN((AG1199-AF1199)/AR1199+0.000000001,0)*AR1199)</x:f>
        <x:v>214</x:v>
      </x:c>
      <x:c r="G1199" s="21" t="str">
        <x:f>IF(J1199="Рассчитано",V1199*(1-R1199/100)-W1199-P1199-Q1199,"н/д")</x:f>
        <x:v>н/д</x:v>
      </x:c>
      <x:c r="H1199" s="13" t="str">
        <x:v>Высокий</x:v>
      </x:c>
      <x:c r="I1199" s="13" t="str">
        <x:v>Высокий</x:v>
      </x:c>
      <x:c r="J1199" s="13" t="str">
        <x:f>IF(L1199="","Укажите валюту",IF(NOT(ISNUMBER(K1199)),"Укажите объём",IF(K1199&lt;=0,"Укажите объём",IF(K1199&gt;F1199,"Объём выше излишка",IF(COUNT(M1199:O1199)&lt;3,"Нужны цены",IF(COUNT(P1199:R1199)&lt;3,"Нужны расходы",IF(OR(M1199&lt;0,N1199&lt;0,O1199&lt;0,O1199&gt;100,P1199&lt;0,Q1199&lt;0,R1199&lt;0,R1199&gt;100),"Проверьте значения","Рассчитано")))))))</x:f>
        <x:v>Нужны цены</x:v>
      </x:c>
      <x:c r="K1199" s="36" t="n">
        <x:v>214</x:v>
      </x:c>
      <x:c r="L1199" s="19" t="str">
        <x:v>KZT</x:v>
      </x:c>
      <x:c r="M1199" s="22"/>
      <x:c r="N1199" s="22"/>
      <x:c r="O1199" s="28"/>
      <x:c r="P1199" s="22"/>
      <x:c r="Q1199" s="22"/>
      <x:c r="R1199" s="28"/>
      <x:c r="S1199" s="22"/>
      <x:c r="T1199" s="37" t="n">
        <x:f>K1199</x:f>
        <x:v>214</x:v>
      </x:c>
      <x:c r="U1199" s="21" t="str">
        <x:f>IF(J1199="Рассчитано",N1199*(1-O1199/100),"н/д")</x:f>
        <x:v>н/д</x:v>
      </x:c>
      <x:c r="V1199" s="21" t="str">
        <x:f>IF(J1199="Рассчитано",T1199*U1199,"н/д")</x:f>
        <x:v>н/д</x:v>
      </x:c>
      <x:c r="W1199" s="21" t="str">
        <x:f>IF(J1199="Рассчитано",T1199*M1199,"н/д")</x:f>
        <x:v>н/д</x:v>
      </x:c>
      <x:c r="X1199" s="21" t="str">
        <x:f>IF(J1199="Рассчитано",V1199-W1199,"н/д")</x:f>
        <x:v>н/д</x:v>
      </x:c>
      <x:c r="Y1199" s="27" t="str">
        <x:f>IF(J1199="Рассчитано",IF(V1199&gt;0,G1199/V1199,"н/д"),"н/д")</x:f>
        <x:v>н/д</x:v>
      </x:c>
      <x:c r="Z1199" s="21" t="str">
        <x:f>"н/д"</x:f>
        <x:v>н/д</x:v>
      </x:c>
      <x:c r="AA1199" s="21" t="str">
        <x:f>"н/д"</x:f>
        <x:v>н/д</x:v>
      </x:c>
      <x:c r="AB1199" s="21" t="str">
        <x:f>"н/д"</x:f>
        <x:v>н/д</x:v>
      </x:c>
      <x:c r="AC1199" s="21" t="str">
        <x:f>IF(AND(J1199="Рассчитано",T1199&gt;0,R1199&lt;100),(W1199+P1199+Q1199)/(T1199*(1-R1199/100)),"н/д")</x:f>
        <x:v>н/д</x:v>
      </x:c>
      <x:c r="AD1199" s="10" t="str">
        <x:f>IF(ISNUMBER(G1199),IF(G1199&lt;0,"Убыток",IF(G1199=0,"Без прибыли","Прибыль &gt; 0")),"Не оценён")</x:f>
        <x:v>Не оценён</x:v>
      </x:c>
      <x:c r="AE1199" s="13" t="str">
        <x:f>IF(J1199="Рассчитано","Выручка "&amp;TEXT(V1199,"0.00")&amp;" - себестоимость "&amp;TEXT(W1199,"0.00")&amp;" - комиссия "&amp;TEXT(V1199*R1199/100,"0.00")&amp;" - доставка "&amp;TEXT(P1199,"0.00")&amp;" - прочие "&amp;TEXT(Q1199,"0.00")&amp;" = "&amp;TEXT(G1199,"0.00")&amp;" "&amp;L1199,"Введите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9" s="24" t="n">
        <x:v>0</x:v>
      </x:c>
      <x:c r="AG1199" s="37" t="n">
        <x:v>214</x:v>
      </x:c>
      <x:c r="AH1199" s="37" t="n">
        <x:v>0</x:v>
      </x:c>
      <x:c r="AI1199" s="30" t="n">
        <x:v>46266</x:v>
      </x:c>
      <x:c r="AJ1199" s="37"/>
      <x:c r="AK1199" s="10" t="str">
        <x:v>неизвестно</x:v>
      </x:c>
      <x:c r="AL1199" s="32" t="str">
        <x:v>н/д</x:v>
      </x:c>
      <x:c r="AM119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199" s="13" t="str">
        <x:v>Проверить свободный остаток и установить цену для B2B</x:v>
      </x:c>
      <x:c r="AO1199" s="13" t="str">
        <x:v>Остаток 214; прогноз 90 дней 0.00; избыток 214 шт. Будущие поступления не выставляются на продажу. Остаток на начало сентября: требуется актуализация.</x:v>
      </x:c>
      <x:c r="AP1199" s="13" t="str">
        <x:v>["category_missing", "daily_stockout_data_missing", "moq_missing", "new_order_lead_time_unknown", "reservations_unknown", "stale_stock", "supplier_sku_missing"]</x:v>
      </x:c>
      <x:c r="AQ1199" s="10" t="str">
        <x:v>IEK:MVA31-1-006-C</x:v>
      </x:c>
      <x:c r="AR1199" s="24" t="n">
        <x:v>1</x:v>
      </x:c>
      <x:c r="AS1199" s="24" t="n">
        <x:v>0</x:v>
      </x:c>
      <x:c r="AT1199" s="24" t="n">
        <x:v>0</x:v>
      </x:c>
    </x:row>
    <x:row r="1200" ht="64" customHeight="1">
      <x:c r="A1200" s="11" t="str">
        <x:v>IEK</x:v>
      </x:c>
      <x:c r="B1200" s="33" t="str">
        <x:v>UNL10-D25-4-4</x:v>
      </x:c>
      <x:c r="C1200" s="33"/>
      <x:c r="D1200" s="12" t="str">
        <x:v>Наконечник НВИ 2-4 вилка 1,5-2,5мм (100шт/упак) IEK E-PRO</x:v>
      </x:c>
      <x:c r="E1200" s="11" t="str">
        <x:v>упак</x:v>
      </x:c>
      <x:c r="F1200" s="35" t="n">
        <x:f>MAX(0,ROUNDDOWN((AG1200-AF1200)/AR1200+0.000000001,0)*AR1200)</x:f>
        <x:v>136</x:v>
      </x:c>
      <x:c r="G1200" s="20" t="str">
        <x:f>IF(J1200="Рассчитано",V1200*(1-R1200/100)-W1200-P1200-Q1200,"н/д")</x:f>
        <x:v>н/д</x:v>
      </x:c>
      <x:c r="H1200" s="12" t="str">
        <x:v>Высокий</x:v>
      </x:c>
      <x:c r="I1200" s="12" t="str">
        <x:v>Высокий</x:v>
      </x:c>
      <x:c r="J1200" s="12" t="str">
        <x:f>IF(L1200="","Укажите валюту",IF(NOT(ISNUMBER(K1200)),"Укажите объём",IF(K1200&lt;=0,"Укажите объём",IF(K1200&gt;F1200,"Объём выше излишка",IF(COUNT(M1200:O1200)&lt;3,"Нужны цены",IF(COUNT(P1200:R1200)&lt;3,"Нужны расходы",IF(OR(M1200&lt;0,N1200&lt;0,O1200&lt;0,O1200&gt;100,P1200&lt;0,Q1200&lt;0,R1200&lt;0,R1200&gt;100),"Проверьте значения","Рассчитано")))))))</x:f>
        <x:v>Нужны цены</x:v>
      </x:c>
      <x:c r="K1200" s="36" t="n">
        <x:v>136</x:v>
      </x:c>
      <x:c r="L1200" s="19" t="str">
        <x:v>KZT</x:v>
      </x:c>
      <x:c r="M1200" s="22"/>
      <x:c r="N1200" s="22"/>
      <x:c r="O1200" s="28"/>
      <x:c r="P1200" s="22"/>
      <x:c r="Q1200" s="22"/>
      <x:c r="R1200" s="28"/>
      <x:c r="S1200" s="22"/>
      <x:c r="T1200" s="35" t="n">
        <x:f>K1200</x:f>
        <x:v>136</x:v>
      </x:c>
      <x:c r="U1200" s="20" t="str">
        <x:f>IF(J1200="Рассчитано",N1200*(1-O1200/100),"н/д")</x:f>
        <x:v>н/д</x:v>
      </x:c>
      <x:c r="V1200" s="20" t="str">
        <x:f>IF(J1200="Рассчитано",T1200*U1200,"н/д")</x:f>
        <x:v>н/д</x:v>
      </x:c>
      <x:c r="W1200" s="20" t="str">
        <x:f>IF(J1200="Рассчитано",T1200*M1200,"н/д")</x:f>
        <x:v>н/д</x:v>
      </x:c>
      <x:c r="X1200" s="20" t="str">
        <x:f>IF(J1200="Рассчитано",V1200-W1200,"н/д")</x:f>
        <x:v>н/д</x:v>
      </x:c>
      <x:c r="Y1200" s="26" t="str">
        <x:f>IF(J1200="Рассчитано",IF(V1200&gt;0,G1200/V1200,"н/д"),"н/д")</x:f>
        <x:v>н/д</x:v>
      </x:c>
      <x:c r="Z1200" s="20" t="str">
        <x:f>"н/д"</x:f>
        <x:v>н/д</x:v>
      </x:c>
      <x:c r="AA1200" s="20" t="str">
        <x:f>"н/д"</x:f>
        <x:v>н/д</x:v>
      </x:c>
      <x:c r="AB1200" s="20" t="str">
        <x:f>"н/д"</x:f>
        <x:v>н/д</x:v>
      </x:c>
      <x:c r="AC1200" s="20" t="str">
        <x:f>IF(AND(J1200="Рассчитано",T1200&gt;0,R1200&lt;100),(W1200+P1200+Q1200)/(T1200*(1-R1200/100)),"н/д")</x:f>
        <x:v>н/д</x:v>
      </x:c>
      <x:c r="AD1200" s="11" t="str">
        <x:f>IF(ISNUMBER(G1200),IF(G1200&lt;0,"Убыток",IF(G1200=0,"Без прибыли","Прибыль &gt; 0")),"Не оценён")</x:f>
        <x:v>Не оценён</x:v>
      </x:c>
      <x:c r="AE1200" s="12" t="str">
        <x:f>IF(J1200="Рассчитано","Выручка "&amp;TEXT(V1200,"0.00")&amp;" - себестоимость "&amp;TEXT(W1200,"0.00")&amp;" - комиссия "&amp;TEXT(V1200*R1200/100,"0.00")&amp;" - доставка "&amp;TEXT(P1200,"0.00")&amp;" - прочие "&amp;TEXT(Q1200,"0.00")&amp;" = "&amp;TEXT(G1200,"0.00")&amp;" "&amp;L1200,"Введите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0" s="23" t="n">
        <x:v>0.6593498826373021</x:v>
      </x:c>
      <x:c r="AG1200" s="35" t="n">
        <x:v>137</x:v>
      </x:c>
      <x:c r="AH1200" s="35" t="n">
        <x:v>0</x:v>
      </x:c>
      <x:c r="AI1200" s="29" t="n">
        <x:v>46266</x:v>
      </x:c>
      <x:c r="AJ1200" s="35"/>
      <x:c r="AK1200" s="11" t="str">
        <x:v>неизвестно</x:v>
      </x:c>
      <x:c r="AL1200" s="31" t="n">
        <x:v>17669.476316137265</x:v>
      </x:c>
      <x:c r="AM120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00" s="12" t="str">
        <x:v>Проверить свободный остаток и установить цену для B2B</x:v>
      </x:c>
      <x:c r="AO1200" s="12" t="str">
        <x:v>Остаток 137; прогноз 90 дней 0.66; избыток 136 упак. Будущие поступления не выставляются на продажу. Остаток на начало сентября: требуется актуализация.</x:v>
      </x:c>
      <x:c r="AP1200" s="12" t="str">
        <x:v>["category_missing", "daily_stockout_data_missing", "moq_missing", "new_order_lead_time_unknown", "reservations_unknown", "stale_stock", "supplier_sku_missing"]</x:v>
      </x:c>
      <x:c r="AQ1200" s="11" t="str">
        <x:v>IEK:UNL10-D25-4-4</x:v>
      </x:c>
      <x:c r="AR1200" s="23" t="n">
        <x:v>1</x:v>
      </x:c>
      <x:c r="AS1200" s="23" t="n">
        <x:v>0</x:v>
      </x:c>
      <x:c r="AT1200" s="23" t="n">
        <x:v>0</x:v>
      </x:c>
    </x:row>
    <x:row r="1201" ht="64" customHeight="1">
      <x:c r="A1201" s="10" t="str">
        <x:v>IEK</x:v>
      </x:c>
      <x:c r="B1201" s="34" t="str">
        <x:v>UNL20-006-6-5</x:v>
      </x:c>
      <x:c r="C1201" s="34"/>
      <x:c r="D1201" s="13" t="str">
        <x:v>Наконечник НКИ 5,5-8 кольцо 4-6мм (100шт/упак) IEK !!!</x:v>
      </x:c>
      <x:c r="E1201" s="10" t="str">
        <x:v>упак</x:v>
      </x:c>
      <x:c r="F1201" s="37" t="n">
        <x:f>MAX(0,ROUNDDOWN((AG1201-AF1201)/AR1201+0.000000001,0)*AR1201)</x:f>
        <x:v>22</x:v>
      </x:c>
      <x:c r="G1201" s="21" t="str">
        <x:f>IF(J1201="Рассчитано",V1201*(1-R1201/100)-W1201-P1201-Q1201,"н/д")</x:f>
        <x:v>н/д</x:v>
      </x:c>
      <x:c r="H1201" s="13" t="str">
        <x:v>Высокий</x:v>
      </x:c>
      <x:c r="I1201" s="13" t="str">
        <x:v>Высокий</x:v>
      </x:c>
      <x:c r="J1201" s="13" t="str">
        <x:f>IF(L1201="","Укажите валюту",IF(NOT(ISNUMBER(K1201)),"Укажите объём",IF(K1201&lt;=0,"Укажите объём",IF(K1201&gt;F1201,"Объём выше излишка",IF(COUNT(M1201:O1201)&lt;3,"Нужны цены",IF(COUNT(P1201:R1201)&lt;3,"Нужны расходы",IF(OR(M1201&lt;0,N1201&lt;0,O1201&lt;0,O1201&gt;100,P1201&lt;0,Q1201&lt;0,R1201&lt;0,R1201&gt;100),"Проверьте значения","Рассчитано")))))))</x:f>
        <x:v>Нужны цены</x:v>
      </x:c>
      <x:c r="K1201" s="36" t="n">
        <x:v>22</x:v>
      </x:c>
      <x:c r="L1201" s="19" t="str">
        <x:v>KZT</x:v>
      </x:c>
      <x:c r="M1201" s="22"/>
      <x:c r="N1201" s="22"/>
      <x:c r="O1201" s="28"/>
      <x:c r="P1201" s="22"/>
      <x:c r="Q1201" s="22"/>
      <x:c r="R1201" s="28"/>
      <x:c r="S1201" s="22"/>
      <x:c r="T1201" s="37" t="n">
        <x:f>K1201</x:f>
        <x:v>22</x:v>
      </x:c>
      <x:c r="U1201" s="21" t="str">
        <x:f>IF(J1201="Рассчитано",N1201*(1-O1201/100),"н/д")</x:f>
        <x:v>н/д</x:v>
      </x:c>
      <x:c r="V1201" s="21" t="str">
        <x:f>IF(J1201="Рассчитано",T1201*U1201,"н/д")</x:f>
        <x:v>н/д</x:v>
      </x:c>
      <x:c r="W1201" s="21" t="str">
        <x:f>IF(J1201="Рассчитано",T1201*M1201,"н/д")</x:f>
        <x:v>н/д</x:v>
      </x:c>
      <x:c r="X1201" s="21" t="str">
        <x:f>IF(J1201="Рассчитано",V1201-W1201,"н/д")</x:f>
        <x:v>н/д</x:v>
      </x:c>
      <x:c r="Y1201" s="27" t="str">
        <x:f>IF(J1201="Рассчитано",IF(V1201&gt;0,G1201/V1201,"н/д"),"н/д")</x:f>
        <x:v>н/д</x:v>
      </x:c>
      <x:c r="Z1201" s="21" t="str">
        <x:f>"н/д"</x:f>
        <x:v>н/д</x:v>
      </x:c>
      <x:c r="AA1201" s="21" t="str">
        <x:f>"н/д"</x:f>
        <x:v>н/д</x:v>
      </x:c>
      <x:c r="AB1201" s="21" t="str">
        <x:f>"н/д"</x:f>
        <x:v>н/д</x:v>
      </x:c>
      <x:c r="AC1201" s="21" t="str">
        <x:f>IF(AND(J1201="Рассчитано",T1201&gt;0,R1201&lt;100),(W1201+P1201+Q1201)/(T1201*(1-R1201/100)),"н/д")</x:f>
        <x:v>н/д</x:v>
      </x:c>
      <x:c r="AD1201" s="10" t="str">
        <x:f>IF(ISNUMBER(G1201),IF(G1201&lt;0,"Убыток",IF(G1201=0,"Без прибыли","Прибыль &gt; 0")),"Не оценён")</x:f>
        <x:v>Не оценён</x:v>
      </x:c>
      <x:c r="AE1201" s="13" t="str">
        <x:f>IF(J1201="Рассчитано","Выручка "&amp;TEXT(V1201,"0.00")&amp;" - себестоимость "&amp;TEXT(W1201,"0.00")&amp;" - комиссия "&amp;TEXT(V1201*R1201/100,"0.00")&amp;" - доставка "&amp;TEXT(P1201,"0.00")&amp;" - прочие "&amp;TEXT(Q1201,"0.00")&amp;" = "&amp;TEXT(G1201,"0.00")&amp;" "&amp;L1201,"Введите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1" s="24" t="n">
        <x:v>0.3599453815854401</x:v>
      </x:c>
      <x:c r="AG1201" s="37" t="n">
        <x:v>23</x:v>
      </x:c>
      <x:c r="AH1201" s="37" t="n">
        <x:v>0</x:v>
      </x:c>
      <x:c r="AI1201" s="30" t="n">
        <x:v>46266</x:v>
      </x:c>
      <x:c r="AJ1201" s="37"/>
      <x:c r="AK1201" s="10" t="str">
        <x:v>неизвестно</x:v>
      </x:c>
      <x:c r="AL1201" s="32" t="n">
        <x:v>5433.882894393238</x:v>
      </x:c>
      <x:c r="AM1201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01" s="13" t="str">
        <x:v>Проверить свободный остаток и установить цену для B2B</x:v>
      </x:c>
      <x:c r="AO1201" s="13" t="str">
        <x:v>Остаток 23; прогноз 90 дней 0.36; избыток 22 упак. Будущие поступления не выставляются на продажу. Остаток на начало сентября: требуется актуализация.</x:v>
      </x:c>
      <x:c r="AP1201" s="13" t="str">
        <x:v>["category_missing", "daily_stockout_data_missing", "moq_missing", "new_order_lead_time_unknown", "reservations_unknown", "stale_stock", "supplier_sku_missing"]</x:v>
      </x:c>
      <x:c r="AQ1201" s="10" t="str">
        <x:v>IEK:UNL20-006-6-5</x:v>
      </x:c>
      <x:c r="AR1201" s="24" t="n">
        <x:v>1</x:v>
      </x:c>
      <x:c r="AS1201" s="24" t="n">
        <x:v>0</x:v>
      </x:c>
      <x:c r="AT1201" s="24" t="n">
        <x:v>0</x:v>
      </x:c>
    </x:row>
    <x:row r="1202" ht="64" customHeight="1">
      <x:c r="A1202" s="11" t="str">
        <x:v>IEK</x:v>
      </x:c>
      <x:c r="B1202" s="33" t="str">
        <x:v>YZN20-004-K52</x:v>
      </x:c>
      <x:c r="C1202" s="33"/>
      <x:c r="D1202" s="12" t="str">
        <x:v>Зажим наборный ЗНИ-4PEN 4мм2 (JXB-земля) IEK</x:v>
      </x:c>
      <x:c r="E1202" s="11" t="str">
        <x:v>шт</x:v>
      </x:c>
      <x:c r="F1202" s="35" t="n">
        <x:f>MAX(0,ROUNDDOWN((AG1202-AF1202)/AR1202+0.000000001,0)*AR1202)</x:f>
        <x:v>20</x:v>
      </x:c>
      <x:c r="G1202" s="20" t="str">
        <x:f>IF(J1202="Рассчитано",V1202*(1-R1202/100)-W1202-P1202-Q1202,"н/д")</x:f>
        <x:v>н/д</x:v>
      </x:c>
      <x:c r="H1202" s="12" t="str">
        <x:v>Высокий</x:v>
      </x:c>
      <x:c r="I1202" s="12" t="str">
        <x:v>Высокий</x:v>
      </x:c>
      <x:c r="J1202" s="12" t="str">
        <x:f>IF(L1202="","Укажите валюту",IF(NOT(ISNUMBER(K1202)),"Укажите объём",IF(K1202&lt;=0,"Укажите объём",IF(K1202&gt;F1202,"Объём выше излишка",IF(COUNT(M1202:O1202)&lt;3,"Нужны цены",IF(COUNT(P1202:R1202)&lt;3,"Нужны расходы",IF(OR(M1202&lt;0,N1202&lt;0,O1202&lt;0,O1202&gt;100,P1202&lt;0,Q1202&lt;0,R1202&lt;0,R1202&gt;100),"Проверьте значения","Рассчитано")))))))</x:f>
        <x:v>Нужны цены</x:v>
      </x:c>
      <x:c r="K1202" s="36" t="n">
        <x:v>20</x:v>
      </x:c>
      <x:c r="L1202" s="19" t="str">
        <x:v>KZT</x:v>
      </x:c>
      <x:c r="M1202" s="22"/>
      <x:c r="N1202" s="22"/>
      <x:c r="O1202" s="28"/>
      <x:c r="P1202" s="22"/>
      <x:c r="Q1202" s="22"/>
      <x:c r="R1202" s="28"/>
      <x:c r="S1202" s="22"/>
      <x:c r="T1202" s="35" t="n">
        <x:f>K1202</x:f>
        <x:v>20</x:v>
      </x:c>
      <x:c r="U1202" s="20" t="str">
        <x:f>IF(J1202="Рассчитано",N1202*(1-O1202/100),"н/д")</x:f>
        <x:v>н/д</x:v>
      </x:c>
      <x:c r="V1202" s="20" t="str">
        <x:f>IF(J1202="Рассчитано",T1202*U1202,"н/д")</x:f>
        <x:v>н/д</x:v>
      </x:c>
      <x:c r="W1202" s="20" t="str">
        <x:f>IF(J1202="Рассчитано",T1202*M1202,"н/д")</x:f>
        <x:v>н/д</x:v>
      </x:c>
      <x:c r="X1202" s="20" t="str">
        <x:f>IF(J1202="Рассчитано",V1202-W1202,"н/д")</x:f>
        <x:v>н/д</x:v>
      </x:c>
      <x:c r="Y1202" s="26" t="str">
        <x:f>IF(J1202="Рассчитано",IF(V1202&gt;0,G1202/V1202,"н/д"),"н/д")</x:f>
        <x:v>н/д</x:v>
      </x:c>
      <x:c r="Z1202" s="20" t="str">
        <x:f>"н/д"</x:f>
        <x:v>н/д</x:v>
      </x:c>
      <x:c r="AA1202" s="20" t="str">
        <x:f>"н/д"</x:f>
        <x:v>н/д</x:v>
      </x:c>
      <x:c r="AB1202" s="20" t="str">
        <x:f>"н/д"</x:f>
        <x:v>н/д</x:v>
      </x:c>
      <x:c r="AC1202" s="20" t="str">
        <x:f>IF(AND(J1202="Рассчитано",T1202&gt;0,R1202&lt;100),(W1202+P1202+Q1202)/(T1202*(1-R1202/100)),"н/д")</x:f>
        <x:v>н/д</x:v>
      </x:c>
      <x:c r="AD1202" s="11" t="str">
        <x:f>IF(ISNUMBER(G1202),IF(G1202&lt;0,"Убыток",IF(G1202=0,"Без прибыли","Прибыль &gt; 0")),"Не оценён")</x:f>
        <x:v>Не оценён</x:v>
      </x:c>
      <x:c r="AE1202" s="12" t="str">
        <x:f>IF(J1202="Рассчитано","Выручка "&amp;TEXT(V1202,"0.00")&amp;" - себестоимость "&amp;TEXT(W1202,"0.00")&amp;" - комиссия "&amp;TEXT(V1202*R1202/100,"0.00")&amp;" - доставка "&amp;TEXT(P1202,"0.00")&amp;" - прочие "&amp;TEXT(Q1202,"0.00")&amp;" = "&amp;TEXT(G1202,"0.00")&amp;" "&amp;L1202,"Введите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2" s="23" t="n">
        <x:v>0</x:v>
      </x:c>
      <x:c r="AG1202" s="35" t="n">
        <x:v>20</x:v>
      </x:c>
      <x:c r="AH1202" s="35" t="n">
        <x:v>0</x:v>
      </x:c>
      <x:c r="AI1202" s="29" t="n">
        <x:v>46266</x:v>
      </x:c>
      <x:c r="AJ1202" s="35"/>
      <x:c r="AK1202" s="11" t="str">
        <x:v>неизвестно</x:v>
      </x:c>
      <x:c r="AL1202" s="31" t="str">
        <x:v>н/д</x:v>
      </x:c>
      <x:c r="AM1202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02" s="12" t="str">
        <x:v>Проверить свободный остаток и установить цену для B2B</x:v>
      </x:c>
      <x:c r="AO1202" s="12" t="str">
        <x:v>Остаток 20; прогноз 90 дней 0.00; избыток 20 шт. Будущие поступления не выставляются на продажу. Остаток на начало сентября: требуется актуализация.</x:v>
      </x:c>
      <x:c r="AP1202" s="12" t="str">
        <x:v>["category_missing", "daily_stockout_data_missing", "moq_missing", "new_order_lead_time_unknown", "reservations_unknown", "stale_stock", "supplier_sku_missing"]</x:v>
      </x:c>
      <x:c r="AQ1202" s="11" t="str">
        <x:v>IEK:YZN20-004-K52</x:v>
      </x:c>
      <x:c r="AR1202" s="23" t="n">
        <x:v>1</x:v>
      </x:c>
      <x:c r="AS1202" s="23" t="n">
        <x:v>0</x:v>
      </x:c>
      <x:c r="AT1202" s="23" t="n">
        <x:v>0</x:v>
      </x:c>
    </x:row>
    <x:row r="1203" ht="64" customHeight="1">
      <x:c r="A1203" s="10" t="str">
        <x:v>IEK</x:v>
      </x:c>
      <x:c r="B1203" s="34" t="str">
        <x:v>нов03200_</x:v>
      </x:c>
      <x:c r="C1203" s="34"/>
      <x:c r="D1203" s="13" t="str">
        <x:v>Предохранитель ППНИ-33  (125А) IEK габарит 0 (72) !!!</x:v>
      </x:c>
      <x:c r="E1203" s="10" t="str">
        <x:v>шт</x:v>
      </x:c>
      <x:c r="F1203" s="37" t="n">
        <x:f>MAX(0,ROUNDDOWN((AG1203-AF1203)/AR1203+0.000000001,0)*AR1203)</x:f>
        <x:v>76</x:v>
      </x:c>
      <x:c r="G1203" s="21" t="str">
        <x:f>IF(J1203="Рассчитано",V1203*(1-R1203/100)-W1203-P1203-Q1203,"н/д")</x:f>
        <x:v>н/д</x:v>
      </x:c>
      <x:c r="H1203" s="13" t="str">
        <x:v>Высокий</x:v>
      </x:c>
      <x:c r="I1203" s="13" t="str">
        <x:v>Высокий</x:v>
      </x:c>
      <x:c r="J1203" s="13" t="str">
        <x:f>IF(L1203="","Укажите валюту",IF(NOT(ISNUMBER(K1203)),"Укажите объём",IF(K1203&lt;=0,"Укажите объём",IF(K1203&gt;F1203,"Объём выше излишка",IF(COUNT(M1203:O1203)&lt;3,"Нужны цены",IF(COUNT(P1203:R1203)&lt;3,"Нужны расходы",IF(OR(M1203&lt;0,N1203&lt;0,O1203&lt;0,O1203&gt;100,P1203&lt;0,Q1203&lt;0,R1203&lt;0,R1203&gt;100),"Проверьте значения","Рассчитано")))))))</x:f>
        <x:v>Нужны цены</x:v>
      </x:c>
      <x:c r="K1203" s="36" t="n">
        <x:v>76</x:v>
      </x:c>
      <x:c r="L1203" s="19" t="str">
        <x:v>KZT</x:v>
      </x:c>
      <x:c r="M1203" s="22"/>
      <x:c r="N1203" s="22"/>
      <x:c r="O1203" s="28"/>
      <x:c r="P1203" s="22"/>
      <x:c r="Q1203" s="22"/>
      <x:c r="R1203" s="28"/>
      <x:c r="S1203" s="22"/>
      <x:c r="T1203" s="37" t="n">
        <x:f>K1203</x:f>
        <x:v>76</x:v>
      </x:c>
      <x:c r="U1203" s="21" t="str">
        <x:f>IF(J1203="Рассчитано",N1203*(1-O1203/100),"н/д")</x:f>
        <x:v>н/д</x:v>
      </x:c>
      <x:c r="V1203" s="21" t="str">
        <x:f>IF(J1203="Рассчитано",T1203*U1203,"н/д")</x:f>
        <x:v>н/д</x:v>
      </x:c>
      <x:c r="W1203" s="21" t="str">
        <x:f>IF(J1203="Рассчитано",T1203*M1203,"н/д")</x:f>
        <x:v>н/д</x:v>
      </x:c>
      <x:c r="X1203" s="21" t="str">
        <x:f>IF(J1203="Рассчитано",V1203-W1203,"н/д")</x:f>
        <x:v>н/д</x:v>
      </x:c>
      <x:c r="Y1203" s="27" t="str">
        <x:f>IF(J1203="Рассчитано",IF(V1203&gt;0,G1203/V1203,"н/д"),"н/д")</x:f>
        <x:v>н/д</x:v>
      </x:c>
      <x:c r="Z1203" s="21" t="str">
        <x:f>"н/д"</x:f>
        <x:v>н/д</x:v>
      </x:c>
      <x:c r="AA1203" s="21" t="str">
        <x:f>"н/д"</x:f>
        <x:v>н/д</x:v>
      </x:c>
      <x:c r="AB1203" s="21" t="str">
        <x:f>"н/д"</x:f>
        <x:v>н/д</x:v>
      </x:c>
      <x:c r="AC1203" s="21" t="str">
        <x:f>IF(AND(J1203="Рассчитано",T1203&gt;0,R1203&lt;100),(W1203+P1203+Q1203)/(T1203*(1-R1203/100)),"н/д")</x:f>
        <x:v>н/д</x:v>
      </x:c>
      <x:c r="AD1203" s="10" t="str">
        <x:f>IF(ISNUMBER(G1203),IF(G1203&lt;0,"Убыток",IF(G1203=0,"Без прибыли","Прибыль &gt; 0")),"Не оценён")</x:f>
        <x:v>Не оценён</x:v>
      </x:c>
      <x:c r="AE1203" s="13" t="str">
        <x:f>IF(J1203="Рассчитано","Выручка "&amp;TEXT(V1203,"0.00")&amp;" - себестоимость "&amp;TEXT(W1203,"0.00")&amp;" - комиссия "&amp;TEXT(V1203*R1203/100,"0.00")&amp;" - доставка "&amp;TEXT(P1203,"0.00")&amp;" - прочие "&amp;TEXT(Q1203,"0.00")&amp;" = "&amp;TEXT(G1203,"0.00")&amp;" "&amp;L1203,"Введите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3" s="24" t="n">
        <x:v>0.3939502053888358</x:v>
      </x:c>
      <x:c r="AG1203" s="37" t="n">
        <x:v>77</x:v>
      </x:c>
      <x:c r="AH1203" s="37" t="n">
        <x:v>0</x:v>
      </x:c>
      <x:c r="AI1203" s="30" t="n">
        <x:v>46266</x:v>
      </x:c>
      <x:c r="AJ1203" s="37"/>
      <x:c r="AK1203" s="10" t="str">
        <x:v>неизвестно</x:v>
      </x:c>
      <x:c r="AL1203" s="32" t="n">
        <x:v>16621.432037678274</x:v>
      </x:c>
      <x:c r="AM1203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03" s="13" t="str">
        <x:v>Проверить свободный остаток и установить цену для B2B</x:v>
      </x:c>
      <x:c r="AO1203" s="13" t="str">
        <x:v>Остаток 77; прогноз 90 дней 0.39; избыток 76 шт. Будущие поступления не выставляются на продажу. Остаток на начало сентября: требуется актуализация.</x:v>
      </x:c>
      <x:c r="AP1203" s="13" t="str">
        <x:v>["category_missing", "daily_stockout_data_missing", "moq_missing", "new_order_lead_time_unknown", "reservations_unknown", "stale_stock", "supplier_sku_missing"]</x:v>
      </x:c>
      <x:c r="AQ1203" s="10" t="str">
        <x:v>IEK:нов03200_</x:v>
      </x:c>
      <x:c r="AR1203" s="24" t="n">
        <x:v>1</x:v>
      </x:c>
      <x:c r="AS1203" s="24" t="n">
        <x:v>0</x:v>
      </x:c>
      <x:c r="AT1203" s="24" t="n">
        <x:v>0</x:v>
      </x:c>
    </x:row>
    <x:row r="1204" ht="64" customHeight="1">
      <x:c r="A1204" s="11" t="str">
        <x:v>IEK</x:v>
      </x:c>
      <x:c r="B1204" s="33" t="str">
        <x:v>нов3370_</x:v>
      </x:c>
      <x:c r="C1204" s="33"/>
      <x:c r="D1204" s="12" t="str">
        <x:v>Расцепитель мин. напряжения РМ-250/400 (РМ-35/37) IEK (480) !!!</x:v>
      </x:c>
      <x:c r="E1204" s="11" t="str">
        <x:v>шт</x:v>
      </x:c>
      <x:c r="F1204" s="35" t="n">
        <x:f>MAX(0,ROUNDDOWN((AG1204-AF1204)/AR1204+0.000000001,0)*AR1204)</x:f>
        <x:v>10</x:v>
      </x:c>
      <x:c r="G1204" s="20" t="str">
        <x:f>IF(J1204="Рассчитано",V1204*(1-R1204/100)-W1204-P1204-Q1204,"н/д")</x:f>
        <x:v>н/д</x:v>
      </x:c>
      <x:c r="H1204" s="12" t="str">
        <x:v>Высокий</x:v>
      </x:c>
      <x:c r="I1204" s="12" t="str">
        <x:v>Высокий</x:v>
      </x:c>
      <x:c r="J1204" s="12" t="str">
        <x:f>IF(L1204="","Укажите валюту",IF(NOT(ISNUMBER(K1204)),"Укажите объём",IF(K1204&lt;=0,"Укажите объём",IF(K1204&gt;F1204,"Объём выше излишка",IF(COUNT(M1204:O1204)&lt;3,"Нужны цены",IF(COUNT(P1204:R1204)&lt;3,"Нужны расходы",IF(OR(M1204&lt;0,N1204&lt;0,O1204&lt;0,O1204&gt;100,P1204&lt;0,Q1204&lt;0,R1204&lt;0,R1204&gt;100),"Проверьте значения","Рассчитано")))))))</x:f>
        <x:v>Нужны цены</x:v>
      </x:c>
      <x:c r="K1204" s="36" t="n">
        <x:v>10</x:v>
      </x:c>
      <x:c r="L1204" s="19" t="str">
        <x:v>KZT</x:v>
      </x:c>
      <x:c r="M1204" s="22"/>
      <x:c r="N1204" s="22"/>
      <x:c r="O1204" s="28"/>
      <x:c r="P1204" s="22"/>
      <x:c r="Q1204" s="22"/>
      <x:c r="R1204" s="28"/>
      <x:c r="S1204" s="22"/>
      <x:c r="T1204" s="35" t="n">
        <x:f>K1204</x:f>
        <x:v>10</x:v>
      </x:c>
      <x:c r="U1204" s="20" t="str">
        <x:f>IF(J1204="Рассчитано",N1204*(1-O1204/100),"н/д")</x:f>
        <x:v>н/д</x:v>
      </x:c>
      <x:c r="V1204" s="20" t="str">
        <x:f>IF(J1204="Рассчитано",T1204*U1204,"н/д")</x:f>
        <x:v>н/д</x:v>
      </x:c>
      <x:c r="W1204" s="20" t="str">
        <x:f>IF(J1204="Рассчитано",T1204*M1204,"н/д")</x:f>
        <x:v>н/д</x:v>
      </x:c>
      <x:c r="X1204" s="20" t="str">
        <x:f>IF(J1204="Рассчитано",V1204-W1204,"н/д")</x:f>
        <x:v>н/д</x:v>
      </x:c>
      <x:c r="Y1204" s="26" t="str">
        <x:f>IF(J1204="Рассчитано",IF(V1204&gt;0,G1204/V1204,"н/д"),"н/д")</x:f>
        <x:v>н/д</x:v>
      </x:c>
      <x:c r="Z1204" s="20" t="str">
        <x:f>"н/д"</x:f>
        <x:v>н/д</x:v>
      </x:c>
      <x:c r="AA1204" s="20" t="str">
        <x:f>"н/д"</x:f>
        <x:v>н/д</x:v>
      </x:c>
      <x:c r="AB1204" s="20" t="str">
        <x:f>"н/д"</x:f>
        <x:v>н/д</x:v>
      </x:c>
      <x:c r="AC1204" s="20" t="str">
        <x:f>IF(AND(J1204="Рассчитано",T1204&gt;0,R1204&lt;100),(W1204+P1204+Q1204)/(T1204*(1-R1204/100)),"н/д")</x:f>
        <x:v>н/д</x:v>
      </x:c>
      <x:c r="AD1204" s="11" t="str">
        <x:f>IF(ISNUMBER(G1204),IF(G1204&lt;0,"Убыток",IF(G1204=0,"Без прибыли","Прибыль &gt; 0")),"Не оценён")</x:f>
        <x:v>Не оценён</x:v>
      </x:c>
      <x:c r="AE1204" s="12" t="str">
        <x:f>IF(J1204="Рассчитано","Выручка "&amp;TEXT(V1204,"0.00")&amp;" - себестоимость "&amp;TEXT(W1204,"0.00")&amp;" - комиссия "&amp;TEXT(V1204*R1204/100,"0.00")&amp;" - доставка "&amp;TEXT(P1204,"0.00")&amp;" - прочие "&amp;TEXT(Q1204,"0.00")&amp;" = "&amp;TEXT(G1204,"0.00")&amp;" "&amp;L1204,"Введите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4" s="23" t="n">
        <x:v>0.13018071613502077</x:v>
      </x:c>
      <x:c r="AG1204" s="35" t="n">
        <x:v>11</x:v>
      </x:c>
      <x:c r="AH1204" s="35" t="n">
        <x:v>0</x:v>
      </x:c>
      <x:c r="AI1204" s="29" t="n">
        <x:v>46266</x:v>
      </x:c>
      <x:c r="AJ1204" s="35"/>
      <x:c r="AK1204" s="11" t="str">
        <x:v>неизвестно</x:v>
      </x:c>
      <x:c r="AL1204" s="31" t="n">
        <x:v>7185.633676351962</x:v>
      </x:c>
      <x:c r="AM1204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04" s="12" t="str">
        <x:v>Проверить свободный остаток и установить цену для B2B</x:v>
      </x:c>
      <x:c r="AO1204" s="12" t="str">
        <x:v>Остаток 11; прогноз 90 дней 0.13; избыток 10 шт. Будущие поступления не выставляются на продажу. Остаток на начало сентября: требуется актуализация.</x:v>
      </x:c>
      <x:c r="AP1204" s="12" t="str">
        <x:v>["category_missing", "daily_stockout_data_missing", "moq_missing", "new_order_lead_time_unknown", "reservations_unknown", "stale_stock", "supplier_sku_missing"]</x:v>
      </x:c>
      <x:c r="AQ1204" s="11" t="str">
        <x:v>IEK:нов3370_</x:v>
      </x:c>
      <x:c r="AR1204" s="23" t="n">
        <x:v>1</x:v>
      </x:c>
      <x:c r="AS1204" s="23" t="n">
        <x:v>0</x:v>
      </x:c>
      <x:c r="AT1204" s="23" t="n">
        <x:v>0</x:v>
      </x:c>
    </x:row>
    <x:row r="1205" ht="64" customHeight="1">
      <x:c r="A1205" s="10" t="str">
        <x:v>IEK</x:v>
      </x:c>
      <x:c r="B1205" s="34" t="str">
        <x:v>нов3396</x:v>
      </x:c>
      <x:c r="C1205" s="34"/>
      <x:c r="D1205" s="13" t="str">
        <x:v>Расцепитель независимый РН-125/160 (РН-32/33) IEK !!!</x:v>
      </x:c>
      <x:c r="E1205" s="10" t="str">
        <x:v>шт</x:v>
      </x:c>
      <x:c r="F1205" s="37" t="n">
        <x:f>MAX(0,ROUNDDOWN((AG1205-AF1205)/AR1205+0.000000001,0)*AR1205)</x:f>
        <x:v>220</x:v>
      </x:c>
      <x:c r="G1205" s="21" t="str">
        <x:f>IF(J1205="Рассчитано",V1205*(1-R1205/100)-W1205-P1205-Q1205,"н/д")</x:f>
        <x:v>н/д</x:v>
      </x:c>
      <x:c r="H1205" s="13" t="str">
        <x:v>Высокий</x:v>
      </x:c>
      <x:c r="I1205" s="13" t="str">
        <x:v>Высокий</x:v>
      </x:c>
      <x:c r="J1205" s="13" t="str">
        <x:f>IF(L1205="","Укажите валюту",IF(NOT(ISNUMBER(K1205)),"Укажите объём",IF(K1205&lt;=0,"Укажите объём",IF(K1205&gt;F1205,"Объём выше излишка",IF(COUNT(M1205:O1205)&lt;3,"Нужны цены",IF(COUNT(P1205:R1205)&lt;3,"Нужны расходы",IF(OR(M1205&lt;0,N1205&lt;0,O1205&lt;0,O1205&gt;100,P1205&lt;0,Q1205&lt;0,R1205&lt;0,R1205&gt;100),"Проверьте значения","Рассчитано")))))))</x:f>
        <x:v>Нужны цены</x:v>
      </x:c>
      <x:c r="K1205" s="36" t="n">
        <x:v>220</x:v>
      </x:c>
      <x:c r="L1205" s="19" t="str">
        <x:v>KZT</x:v>
      </x:c>
      <x:c r="M1205" s="22"/>
      <x:c r="N1205" s="22"/>
      <x:c r="O1205" s="28"/>
      <x:c r="P1205" s="22"/>
      <x:c r="Q1205" s="22"/>
      <x:c r="R1205" s="28"/>
      <x:c r="S1205" s="22"/>
      <x:c r="T1205" s="37" t="n">
        <x:f>K1205</x:f>
        <x:v>220</x:v>
      </x:c>
      <x:c r="U1205" s="21" t="str">
        <x:f>IF(J1205="Рассчитано",N1205*(1-O1205/100),"н/д")</x:f>
        <x:v>н/д</x:v>
      </x:c>
      <x:c r="V1205" s="21" t="str">
        <x:f>IF(J1205="Рассчитано",T1205*U1205,"н/д")</x:f>
        <x:v>н/д</x:v>
      </x:c>
      <x:c r="W1205" s="21" t="str">
        <x:f>IF(J1205="Рассчитано",T1205*M1205,"н/д")</x:f>
        <x:v>н/д</x:v>
      </x:c>
      <x:c r="X1205" s="21" t="str">
        <x:f>IF(J1205="Рассчитано",V1205-W1205,"н/д")</x:f>
        <x:v>н/д</x:v>
      </x:c>
      <x:c r="Y1205" s="27" t="str">
        <x:f>IF(J1205="Рассчитано",IF(V1205&gt;0,G1205/V1205,"н/д"),"н/д")</x:f>
        <x:v>н/д</x:v>
      </x:c>
      <x:c r="Z1205" s="21" t="str">
        <x:f>"н/д"</x:f>
        <x:v>н/д</x:v>
      </x:c>
      <x:c r="AA1205" s="21" t="str">
        <x:f>"н/д"</x:f>
        <x:v>н/д</x:v>
      </x:c>
      <x:c r="AB1205" s="21" t="str">
        <x:f>"н/д"</x:f>
        <x:v>н/д</x:v>
      </x:c>
      <x:c r="AC1205" s="21" t="str">
        <x:f>IF(AND(J1205="Рассчитано",T1205&gt;0,R1205&lt;100),(W1205+P1205+Q1205)/(T1205*(1-R1205/100)),"н/д")</x:f>
        <x:v>н/д</x:v>
      </x:c>
      <x:c r="AD1205" s="10" t="str">
        <x:f>IF(ISNUMBER(G1205),IF(G1205&lt;0,"Убыток",IF(G1205=0,"Без прибыли","Прибыль &gt; 0")),"Не оценён")</x:f>
        <x:v>Не оценён</x:v>
      </x:c>
      <x:c r="AE1205" s="13" t="str">
        <x:f>IF(J1205="Рассчитано","Выручка "&amp;TEXT(V1205,"0.00")&amp;" - себестоимость "&amp;TEXT(W1205,"0.00")&amp;" - комиссия "&amp;TEXT(V1205*R1205/100,"0.00")&amp;" - доставка "&amp;TEXT(P1205,"0.00")&amp;" - прочие "&amp;TEXT(Q1205,"0.00")&amp;" = "&amp;TEXT(G1205,"0.00")&amp;" "&amp;L1205,"Введите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5" s="24" t="n">
        <x:v>9.018853779940647</x:v>
      </x:c>
      <x:c r="AG1205" s="37" t="n">
        <x:v>230</x:v>
      </x:c>
      <x:c r="AH1205" s="37" t="n">
        <x:v>0</x:v>
      </x:c>
      <x:c r="AI1205" s="30" t="n">
        <x:v>46266</x:v>
      </x:c>
      <x:c r="AJ1205" s="37"/>
      <x:c r="AK1205" s="10" t="str">
        <x:v>неизвестно</x:v>
      </x:c>
      <x:c r="AL1205" s="32" t="n">
        <x:v>2168.680299777339</x:v>
      </x:c>
      <x:c r="AM1205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05" s="13" t="str">
        <x:v>Проверить свободный остаток и установить цену для B2B</x:v>
      </x:c>
      <x:c r="AO1205" s="13" t="str">
        <x:v>Остаток 230; прогноз 90 дней 9.02; избыток 220 шт. Будущие поступления не выставляются на продажу. Остаток на начало сентября: требуется актуализация.</x:v>
      </x:c>
      <x:c r="AP1205" s="13" t="str">
        <x:v>["category_missing", "daily_stockout_data_missing", "large_orders_detected", "moq_missing", "new_order_lead_time_unknown", "reservations_unknown", "stale_stock", "supplier_sku_missing"]</x:v>
      </x:c>
      <x:c r="AQ1205" s="10" t="str">
        <x:v>IEK:нов3396</x:v>
      </x:c>
      <x:c r="AR1205" s="24" t="n">
        <x:v>1</x:v>
      </x:c>
      <x:c r="AS1205" s="24" t="n">
        <x:v>0</x:v>
      </x:c>
      <x:c r="AT1205" s="24" t="n">
        <x:v>0</x:v>
      </x:c>
    </x:row>
    <x:row r="1206" ht="64" customHeight="1">
      <x:c r="A1206" s="11" t="str">
        <x:v>IEK</x:v>
      </x:c>
      <x:c r="B1206" s="33" t="str">
        <x:v>ст-9948468</x:v>
      </x:c>
      <x:c r="C1206" s="33" t="str">
        <x:v>CKK-40D-Z-100-040-K01</x:v>
      </x:c>
      <x:c r="D1206" s="12" t="str">
        <x:v>Заглушка 100х40  ПРАЙМЕР (216)</x:v>
      </x:c>
      <x:c r="E1206" s="11" t="str">
        <x:v>шт</x:v>
      </x:c>
      <x:c r="F1206" s="35" t="n">
        <x:f>MAX(0,ROUNDDOWN((AG1206-AF1206)/AR1206+0.000000001,0)*AR1206)</x:f>
        <x:v>97</x:v>
      </x:c>
      <x:c r="G1206" s="20" t="str">
        <x:f>IF(J1206="Рассчитано",V1206*(1-R1206/100)-W1206-P1206-Q1206,"н/д")</x:f>
        <x:v>н/д</x:v>
      </x:c>
      <x:c r="H1206" s="12" t="str">
        <x:v>Высокий</x:v>
      </x:c>
      <x:c r="I1206" s="12" t="str">
        <x:v>Средний</x:v>
      </x:c>
      <x:c r="J1206" s="12" t="str">
        <x:f>IF(L1206="","Укажите валюту",IF(NOT(ISNUMBER(K1206)),"Укажите объём",IF(K1206&lt;=0,"Укажите объём",IF(K1206&gt;F1206,"Объём выше излишка",IF(COUNT(M1206:O1206)&lt;3,"Нужны цены",IF(COUNT(P1206:R1206)&lt;3,"Нужны расходы",IF(OR(M1206&lt;0,N1206&lt;0,O1206&lt;0,O1206&gt;100,P1206&lt;0,Q1206&lt;0,R1206&lt;0,R1206&gt;100),"Проверьте значения","Рассчитано")))))))</x:f>
        <x:v>Нужны цены</x:v>
      </x:c>
      <x:c r="K1206" s="36" t="n">
        <x:v>97</x:v>
      </x:c>
      <x:c r="L1206" s="19" t="str">
        <x:v>KZT</x:v>
      </x:c>
      <x:c r="M1206" s="22"/>
      <x:c r="N1206" s="22"/>
      <x:c r="O1206" s="28"/>
      <x:c r="P1206" s="22"/>
      <x:c r="Q1206" s="22"/>
      <x:c r="R1206" s="28"/>
      <x:c r="S1206" s="22"/>
      <x:c r="T1206" s="35" t="n">
        <x:f>K1206</x:f>
        <x:v>97</x:v>
      </x:c>
      <x:c r="U1206" s="20" t="str">
        <x:f>IF(J1206="Рассчитано",N1206*(1-O1206/100),"н/д")</x:f>
        <x:v>н/д</x:v>
      </x:c>
      <x:c r="V1206" s="20" t="str">
        <x:f>IF(J1206="Рассчитано",T1206*U1206,"н/д")</x:f>
        <x:v>н/д</x:v>
      </x:c>
      <x:c r="W1206" s="20" t="str">
        <x:f>IF(J1206="Рассчитано",T1206*M1206,"н/д")</x:f>
        <x:v>н/д</x:v>
      </x:c>
      <x:c r="X1206" s="20" t="str">
        <x:f>IF(J1206="Рассчитано",V1206-W1206,"н/д")</x:f>
        <x:v>н/д</x:v>
      </x:c>
      <x:c r="Y1206" s="26" t="str">
        <x:f>IF(J1206="Рассчитано",IF(V1206&gt;0,G1206/V1206,"н/д"),"н/д")</x:f>
        <x:v>н/д</x:v>
      </x:c>
      <x:c r="Z1206" s="20" t="str">
        <x:f>"н/д"</x:f>
        <x:v>н/д</x:v>
      </x:c>
      <x:c r="AA1206" s="20" t="str">
        <x:f>"н/д"</x:f>
        <x:v>н/д</x:v>
      </x:c>
      <x:c r="AB1206" s="20" t="str">
        <x:f>"н/д"</x:f>
        <x:v>н/д</x:v>
      </x:c>
      <x:c r="AC1206" s="20" t="str">
        <x:f>IF(AND(J1206="Рассчитано",T1206&gt;0,R1206&lt;100),(W1206+P1206+Q1206)/(T1206*(1-R1206/100)),"н/д")</x:f>
        <x:v>н/д</x:v>
      </x:c>
      <x:c r="AD1206" s="11" t="str">
        <x:f>IF(ISNUMBER(G1206),IF(G1206&lt;0,"Убыток",IF(G1206=0,"Без прибыли","Прибыль &gt; 0")),"Не оценён")</x:f>
        <x:v>Не оценён</x:v>
      </x:c>
      <x:c r="AE1206" s="12" t="str">
        <x:f>IF(J1206="Рассчитано","Выручка "&amp;TEXT(V1206,"0.00")&amp;" - себестоимость "&amp;TEXT(W1206,"0.00")&amp;" - комиссия "&amp;TEXT(V1206*R1206/100,"0.00")&amp;" - доставка "&amp;TEXT(P1206,"0.00")&amp;" - прочие "&amp;TEXT(Q1206,"0.00")&amp;" = "&amp;TEXT(G1206,"0.00")&amp;" "&amp;L1206,"Введите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6" s="23" t="n">
        <x:v>94.44845609726083</x:v>
      </x:c>
      <x:c r="AG1206" s="35" t="n">
        <x:v>192</x:v>
      </x:c>
      <x:c r="AH1206" s="35" t="n">
        <x:v>24</x:v>
      </x:c>
      <x:c r="AI1206" s="29" t="n">
        <x:v>46266</x:v>
      </x:c>
      <x:c r="AJ1206" s="35" t="n">
        <x:v>12</x:v>
      </x:c>
      <x:c r="AK1206" s="11" t="str">
        <x:v>минимум</x:v>
      </x:c>
      <x:c r="AL1206" s="31" t="n">
        <x:v>172.87229986958295</x:v>
      </x:c>
      <x:c r="AM1206" s="12" t="str">
        <x:v>Остаток на начало сентября; Резервы неизвестны; Нет ежедневных данных доступности. Запас выше прогноза на 90 дней</x:v>
      </x:c>
      <x:c r="AN1206" s="12" t="str">
        <x:v>Проверить свободный остаток и установить цену для B2B</x:v>
      </x:c>
      <x:c r="AO1206" s="12" t="str">
        <x:v>Остаток 192; прогноз 90 дней 94.45; избыток 97 шт. Будущие поступления не выставляются на продажу. Остаток на начало сентября: требуется актуализация.</x:v>
      </x:c>
      <x:c r="AP1206" s="12" t="str">
        <x:v>["category_missing", "daily_stockout_data_missing", "new_order_lead_time_unknown", "reservations_unknown", "stale_stock"]</x:v>
      </x:c>
      <x:c r="AQ1206" s="11" t="str">
        <x:v>IEK:ст-9948468</x:v>
      </x:c>
      <x:c r="AR1206" s="23" t="n">
        <x:v>1</x:v>
      </x:c>
      <x:c r="AS1206" s="23" t="n">
        <x:v>0</x:v>
      </x:c>
      <x:c r="AT1206" s="23" t="n">
        <x:v>0</x:v>
      </x:c>
    </x:row>
    <x:row r="1207" ht="64" customHeight="1">
      <x:c r="A1207" s="10" t="str">
        <x:v>IEK</x:v>
      </x:c>
      <x:c r="B1207" s="34" t="str">
        <x:v>ст-9949234</x:v>
      </x:c>
      <x:c r="C1207" s="34"/>
      <x:c r="D1207" s="13" t="str">
        <x:v>УЗО ВД1-63 (4ф) 100А 30мА IEK  (24)</x:v>
      </x:c>
      <x:c r="E1207" s="10" t="str">
        <x:v>шт</x:v>
      </x:c>
      <x:c r="F1207" s="37" t="n">
        <x:f>MAX(0,ROUNDDOWN((AG1207-AF1207)/AR1207+0.000000001,0)*AR1207)</x:f>
        <x:v>13</x:v>
      </x:c>
      <x:c r="G1207" s="21" t="str">
        <x:f>IF(J1207="Рассчитано",V1207*(1-R1207/100)-W1207-P1207-Q1207,"н/д")</x:f>
        <x:v>н/д</x:v>
      </x:c>
      <x:c r="H1207" s="13" t="str">
        <x:v>Высокий</x:v>
      </x:c>
      <x:c r="I1207" s="13" t="str">
        <x:v>Высокий</x:v>
      </x:c>
      <x:c r="J1207" s="13" t="str">
        <x:f>IF(L1207="","Укажите валюту",IF(NOT(ISNUMBER(K1207)),"Укажите объём",IF(K1207&lt;=0,"Укажите объём",IF(K1207&gt;F1207,"Объём выше излишка",IF(COUNT(M1207:O1207)&lt;3,"Нужны цены",IF(COUNT(P1207:R1207)&lt;3,"Нужны расходы",IF(OR(M1207&lt;0,N1207&lt;0,O1207&lt;0,O1207&gt;100,P1207&lt;0,Q1207&lt;0,R1207&lt;0,R1207&gt;100),"Проверьте значения","Рассчитано")))))))</x:f>
        <x:v>Нужны цены</x:v>
      </x:c>
      <x:c r="K1207" s="36" t="n">
        <x:v>13</x:v>
      </x:c>
      <x:c r="L1207" s="19" t="str">
        <x:v>KZT</x:v>
      </x:c>
      <x:c r="M1207" s="22"/>
      <x:c r="N1207" s="22"/>
      <x:c r="O1207" s="28"/>
      <x:c r="P1207" s="22"/>
      <x:c r="Q1207" s="22"/>
      <x:c r="R1207" s="28"/>
      <x:c r="S1207" s="22"/>
      <x:c r="T1207" s="37" t="n">
        <x:f>K1207</x:f>
        <x:v>13</x:v>
      </x:c>
      <x:c r="U1207" s="21" t="str">
        <x:f>IF(J1207="Рассчитано",N1207*(1-O1207/100),"н/д")</x:f>
        <x:v>н/д</x:v>
      </x:c>
      <x:c r="V1207" s="21" t="str">
        <x:f>IF(J1207="Рассчитано",T1207*U1207,"н/д")</x:f>
        <x:v>н/д</x:v>
      </x:c>
      <x:c r="W1207" s="21" t="str">
        <x:f>IF(J1207="Рассчитано",T1207*M1207,"н/д")</x:f>
        <x:v>н/д</x:v>
      </x:c>
      <x:c r="X1207" s="21" t="str">
        <x:f>IF(J1207="Рассчитано",V1207-W1207,"н/д")</x:f>
        <x:v>н/д</x:v>
      </x:c>
      <x:c r="Y1207" s="27" t="str">
        <x:f>IF(J1207="Рассчитано",IF(V1207&gt;0,G1207/V1207,"н/д"),"н/д")</x:f>
        <x:v>н/д</x:v>
      </x:c>
      <x:c r="Z1207" s="21" t="str">
        <x:f>"н/д"</x:f>
        <x:v>н/д</x:v>
      </x:c>
      <x:c r="AA1207" s="21" t="str">
        <x:f>"н/д"</x:f>
        <x:v>н/д</x:v>
      </x:c>
      <x:c r="AB1207" s="21" t="str">
        <x:f>"н/д"</x:f>
        <x:v>н/д</x:v>
      </x:c>
      <x:c r="AC1207" s="21" t="str">
        <x:f>IF(AND(J1207="Рассчитано",T1207&gt;0,R1207&lt;100),(W1207+P1207+Q1207)/(T1207*(1-R1207/100)),"н/д")</x:f>
        <x:v>н/д</x:v>
      </x:c>
      <x:c r="AD1207" s="10" t="str">
        <x:f>IF(ISNUMBER(G1207),IF(G1207&lt;0,"Убыток",IF(G1207=0,"Без прибыли","Прибыль &gt; 0")),"Не оценён")</x:f>
        <x:v>Не оценён</x:v>
      </x:c>
      <x:c r="AE1207" s="13" t="str">
        <x:f>IF(J1207="Рассчитано","Выручка "&amp;TEXT(V1207,"0.00")&amp;" - себестоимость "&amp;TEXT(W1207,"0.00")&amp;" - комиссия "&amp;TEXT(V1207*R1207/100,"0.00")&amp;" - доставка "&amp;TEXT(P1207,"0.00")&amp;" - прочие "&amp;TEXT(Q1207,"0.00")&amp;" = "&amp;TEXT(G1207,"0.00")&amp;" "&amp;L1207,"Введите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7" s="24" t="n">
        <x:v>0.9005811180205531</x:v>
      </x:c>
      <x:c r="AG1207" s="37" t="n">
        <x:v>14</x:v>
      </x:c>
      <x:c r="AH1207" s="37" t="n">
        <x:v>0</x:v>
      </x:c>
      <x:c r="AI1207" s="30" t="n">
        <x:v>46266</x:v>
      </x:c>
      <x:c r="AJ1207" s="37"/>
      <x:c r="AK1207" s="10" t="str">
        <x:v>неизвестно</x:v>
      </x:c>
      <x:c r="AL1207" s="32" t="n">
        <x:v>1321.978045685207</x:v>
      </x:c>
      <x:c r="AM1207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07" s="13" t="str">
        <x:v>Проверить свободный остаток и установить цену для B2B</x:v>
      </x:c>
      <x:c r="AO1207" s="13" t="str">
        <x:v>Остаток 14; прогноз 90 дней 0.90; избыток 13 шт. Будущие поступления не выставляются на продажу. Остаток на начало сентября: требуется актуализация.</x:v>
      </x:c>
      <x:c r="AP1207" s="13" t="str">
        <x:v>["category_missing", "daily_stockout_data_missing", "moq_missing", "new_order_lead_time_unknown", "reservations_unknown", "stale_stock", "supplier_sku_missing"]</x:v>
      </x:c>
      <x:c r="AQ1207" s="10" t="str">
        <x:v>IEK:ст-9949234</x:v>
      </x:c>
      <x:c r="AR1207" s="24" t="n">
        <x:v>1</x:v>
      </x:c>
      <x:c r="AS1207" s="24" t="n">
        <x:v>0</x:v>
      </x:c>
      <x:c r="AT1207" s="24" t="n">
        <x:v>0</x:v>
      </x:c>
    </x:row>
    <x:row r="1208" ht="64" customHeight="1">
      <x:c r="A1208" s="11" t="str">
        <x:v>IEK</x:v>
      </x:c>
      <x:c r="B1208" s="33" t="str">
        <x:v>ст-9951312</x:v>
      </x:c>
      <x:c r="C1208" s="33"/>
      <x:c r="D1208" s="12" t="str">
        <x:v>Вольтметр Э47 100В кл.точн. 1,5 96*96мм !!!</x:v>
      </x:c>
      <x:c r="E1208" s="11" t="str">
        <x:v>шт</x:v>
      </x:c>
      <x:c r="F1208" s="35" t="n">
        <x:f>MAX(0,ROUNDDOWN((AG1208-AF1208)/AR1208+0.000000001,0)*AR1208)</x:f>
        <x:v>9</x:v>
      </x:c>
      <x:c r="G1208" s="20" t="str">
        <x:f>IF(J1208="Рассчитано",V1208*(1-R1208/100)-W1208-P1208-Q1208,"н/д")</x:f>
        <x:v>н/д</x:v>
      </x:c>
      <x:c r="H1208" s="12" t="str">
        <x:v>Высокий</x:v>
      </x:c>
      <x:c r="I1208" s="12" t="str">
        <x:v>Высокий</x:v>
      </x:c>
      <x:c r="J1208" s="12" t="str">
        <x:f>IF(L1208="","Укажите валюту",IF(NOT(ISNUMBER(K1208)),"Укажите объём",IF(K1208&lt;=0,"Укажите объём",IF(K1208&gt;F1208,"Объём выше излишка",IF(COUNT(M1208:O1208)&lt;3,"Нужны цены",IF(COUNT(P1208:R1208)&lt;3,"Нужны расходы",IF(OR(M1208&lt;0,N1208&lt;0,O1208&lt;0,O1208&gt;100,P1208&lt;0,Q1208&lt;0,R1208&lt;0,R1208&gt;100),"Проверьте значения","Рассчитано")))))))</x:f>
        <x:v>Нужны цены</x:v>
      </x:c>
      <x:c r="K1208" s="36" t="n">
        <x:v>9</x:v>
      </x:c>
      <x:c r="L1208" s="19" t="str">
        <x:v>KZT</x:v>
      </x:c>
      <x:c r="M1208" s="22"/>
      <x:c r="N1208" s="22"/>
      <x:c r="O1208" s="28"/>
      <x:c r="P1208" s="22"/>
      <x:c r="Q1208" s="22"/>
      <x:c r="R1208" s="28"/>
      <x:c r="S1208" s="22"/>
      <x:c r="T1208" s="35" t="n">
        <x:f>K1208</x:f>
        <x:v>9</x:v>
      </x:c>
      <x:c r="U1208" s="20" t="str">
        <x:f>IF(J1208="Рассчитано",N1208*(1-O1208/100),"н/д")</x:f>
        <x:v>н/д</x:v>
      </x:c>
      <x:c r="V1208" s="20" t="str">
        <x:f>IF(J1208="Рассчитано",T1208*U1208,"н/д")</x:f>
        <x:v>н/д</x:v>
      </x:c>
      <x:c r="W1208" s="20" t="str">
        <x:f>IF(J1208="Рассчитано",T1208*M1208,"н/д")</x:f>
        <x:v>н/д</x:v>
      </x:c>
      <x:c r="X1208" s="20" t="str">
        <x:f>IF(J1208="Рассчитано",V1208-W1208,"н/д")</x:f>
        <x:v>н/д</x:v>
      </x:c>
      <x:c r="Y1208" s="26" t="str">
        <x:f>IF(J1208="Рассчитано",IF(V1208&gt;0,G1208/V1208,"н/д"),"н/д")</x:f>
        <x:v>н/д</x:v>
      </x:c>
      <x:c r="Z1208" s="20" t="str">
        <x:f>"н/д"</x:f>
        <x:v>н/д</x:v>
      </x:c>
      <x:c r="AA1208" s="20" t="str">
        <x:f>"н/д"</x:f>
        <x:v>н/д</x:v>
      </x:c>
      <x:c r="AB1208" s="20" t="str">
        <x:f>"н/д"</x:f>
        <x:v>н/д</x:v>
      </x:c>
      <x:c r="AC1208" s="20" t="str">
        <x:f>IF(AND(J1208="Рассчитано",T1208&gt;0,R1208&lt;100),(W1208+P1208+Q1208)/(T1208*(1-R1208/100)),"н/д")</x:f>
        <x:v>н/д</x:v>
      </x:c>
      <x:c r="AD1208" s="11" t="str">
        <x:f>IF(ISNUMBER(G1208),IF(G1208&lt;0,"Убыток",IF(G1208=0,"Без прибыли","Прибыль &gt; 0")),"Не оценён")</x:f>
        <x:v>Не оценён</x:v>
      </x:c>
      <x:c r="AE1208" s="12" t="str">
        <x:f>IF(J1208="Рассчитано","Выручка "&amp;TEXT(V1208,"0.00")&amp;" - себестоимость "&amp;TEXT(W1208,"0.00")&amp;" - комиссия "&amp;TEXT(V1208*R1208/100,"0.00")&amp;" - доставка "&amp;TEXT(P1208,"0.00")&amp;" - прочие "&amp;TEXT(Q1208,"0.00")&amp;" = "&amp;TEXT(G1208,"0.00")&amp;" "&amp;L1208,"Введите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8" s="23" t="n">
        <x:v>0</x:v>
      </x:c>
      <x:c r="AG1208" s="35" t="n">
        <x:v>9</x:v>
      </x:c>
      <x:c r="AH1208" s="35" t="n">
        <x:v>0</x:v>
      </x:c>
      <x:c r="AI1208" s="29" t="n">
        <x:v>46266</x:v>
      </x:c>
      <x:c r="AJ1208" s="35"/>
      <x:c r="AK1208" s="11" t="str">
        <x:v>неизвестно</x:v>
      </x:c>
      <x:c r="AL1208" s="31" t="str">
        <x:v>н/д</x:v>
      </x:c>
      <x:c r="AM1208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08" s="12" t="str">
        <x:v>Проверить свободный остаток и установить цену для B2B</x:v>
      </x:c>
      <x:c r="AO1208" s="12" t="str">
        <x:v>Остаток 9; прогноз 90 дней 0.00; избыток 9 шт. Будущие поступления не выставляются на продажу. Остаток на начало сентября: требуется актуализация.</x:v>
      </x:c>
      <x:c r="AP1208" s="12" t="str">
        <x:v>["category_missing", "daily_stockout_data_missing", "moq_missing", "new_order_lead_time_unknown", "reservations_unknown", "stale_stock", "supplier_sku_missing"]</x:v>
      </x:c>
      <x:c r="AQ1208" s="11" t="str">
        <x:v>IEK:ст-9951312</x:v>
      </x:c>
      <x:c r="AR1208" s="23" t="n">
        <x:v>1</x:v>
      </x:c>
      <x:c r="AS1208" s="23" t="n">
        <x:v>0</x:v>
      </x:c>
      <x:c r="AT1208" s="23" t="n">
        <x:v>0</x:v>
      </x:c>
    </x:row>
    <x:row r="1209" ht="64" customHeight="1">
      <x:c r="A1209" s="10" t="str">
        <x:v>IEK</x:v>
      </x:c>
      <x:c r="B1209" s="34" t="str">
        <x:v>ст-9951729</x:v>
      </x:c>
      <x:c r="C1209" s="34"/>
      <x:c r="D1209" s="13" t="str">
        <x:v>Трансформатор тока ТТИ-А  125\5А 5ВА кл.т.0,5 IEK (36) !!!</x:v>
      </x:c>
      <x:c r="E1209" s="10" t="str">
        <x:v>шт</x:v>
      </x:c>
      <x:c r="F1209" s="37" t="n">
        <x:f>MAX(0,ROUNDDOWN((AG1209-AF1209)/AR1209+0.000000001,0)*AR1209)</x:f>
        <x:v>1</x:v>
      </x:c>
      <x:c r="G1209" s="21" t="str">
        <x:f>IF(J1209="Рассчитано",V1209*(1-R1209/100)-W1209-P1209-Q1209,"н/д")</x:f>
        <x:v>н/д</x:v>
      </x:c>
      <x:c r="H1209" s="13" t="str">
        <x:v>Высокий</x:v>
      </x:c>
      <x:c r="I1209" s="13" t="str">
        <x:v>Высокий</x:v>
      </x:c>
      <x:c r="J1209" s="13" t="str">
        <x:f>IF(L1209="","Укажите валюту",IF(NOT(ISNUMBER(K1209)),"Укажите объём",IF(K1209&lt;=0,"Укажите объём",IF(K1209&gt;F1209,"Объём выше излишка",IF(COUNT(M1209:O1209)&lt;3,"Нужны цены",IF(COUNT(P1209:R1209)&lt;3,"Нужны расходы",IF(OR(M1209&lt;0,N1209&lt;0,O1209&lt;0,O1209&gt;100,P1209&lt;0,Q1209&lt;0,R1209&lt;0,R1209&gt;100),"Проверьте значения","Рассчитано")))))))</x:f>
        <x:v>Нужны цены</x:v>
      </x:c>
      <x:c r="K1209" s="36" t="n">
        <x:v>1</x:v>
      </x:c>
      <x:c r="L1209" s="19" t="str">
        <x:v>KZT</x:v>
      </x:c>
      <x:c r="M1209" s="22"/>
      <x:c r="N1209" s="22"/>
      <x:c r="O1209" s="28"/>
      <x:c r="P1209" s="22"/>
      <x:c r="Q1209" s="22"/>
      <x:c r="R1209" s="28"/>
      <x:c r="S1209" s="22"/>
      <x:c r="T1209" s="37" t="n">
        <x:f>K1209</x:f>
        <x:v>1</x:v>
      </x:c>
      <x:c r="U1209" s="21" t="str">
        <x:f>IF(J1209="Рассчитано",N1209*(1-O1209/100),"н/д")</x:f>
        <x:v>н/д</x:v>
      </x:c>
      <x:c r="V1209" s="21" t="str">
        <x:f>IF(J1209="Рассчитано",T1209*U1209,"н/д")</x:f>
        <x:v>н/д</x:v>
      </x:c>
      <x:c r="W1209" s="21" t="str">
        <x:f>IF(J1209="Рассчитано",T1209*M1209,"н/д")</x:f>
        <x:v>н/д</x:v>
      </x:c>
      <x:c r="X1209" s="21" t="str">
        <x:f>IF(J1209="Рассчитано",V1209-W1209,"н/д")</x:f>
        <x:v>н/д</x:v>
      </x:c>
      <x:c r="Y1209" s="27" t="str">
        <x:f>IF(J1209="Рассчитано",IF(V1209&gt;0,G1209/V1209,"н/д"),"н/д")</x:f>
        <x:v>н/д</x:v>
      </x:c>
      <x:c r="Z1209" s="21" t="str">
        <x:f>"н/д"</x:f>
        <x:v>н/д</x:v>
      </x:c>
      <x:c r="AA1209" s="21" t="str">
        <x:f>"н/д"</x:f>
        <x:v>н/д</x:v>
      </x:c>
      <x:c r="AB1209" s="21" t="str">
        <x:f>"н/д"</x:f>
        <x:v>н/д</x:v>
      </x:c>
      <x:c r="AC1209" s="21" t="str">
        <x:f>IF(AND(J1209="Рассчитано",T1209&gt;0,R1209&lt;100),(W1209+P1209+Q1209)/(T1209*(1-R1209/100)),"н/д")</x:f>
        <x:v>н/д</x:v>
      </x:c>
      <x:c r="AD1209" s="10" t="str">
        <x:f>IF(ISNUMBER(G1209),IF(G1209&lt;0,"Убыток",IF(G1209=0,"Без прибыли","Прибыль &gt; 0")),"Не оценён")</x:f>
        <x:v>Не оценён</x:v>
      </x:c>
      <x:c r="AE1209" s="13" t="str">
        <x:f>IF(J1209="Рассчитано","Выручка "&amp;TEXT(V1209,"0.00")&amp;" - себестоимость "&amp;TEXT(W1209,"0.00")&amp;" - комиссия "&amp;TEXT(V1209*R1209/100,"0.00")&amp;" - доставка "&amp;TEXT(P1209,"0.00")&amp;" - прочие "&amp;TEXT(Q1209,"0.00")&amp;" = "&amp;TEXT(G1209,"0.00")&amp;" "&amp;L1209,"Введите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9" s="24" t="n">
        <x:v>0</x:v>
      </x:c>
      <x:c r="AG1209" s="37" t="n">
        <x:v>1</x:v>
      </x:c>
      <x:c r="AH1209" s="37" t="n">
        <x:v>0</x:v>
      </x:c>
      <x:c r="AI1209" s="30" t="n">
        <x:v>46266</x:v>
      </x:c>
      <x:c r="AJ1209" s="37"/>
      <x:c r="AK1209" s="10" t="str">
        <x:v>неизвестно</x:v>
      </x:c>
      <x:c r="AL1209" s="32" t="str">
        <x:v>н/д</x:v>
      </x:c>
      <x:c r="AM120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09" s="13" t="str">
        <x:v>Проверить свободный остаток и установить цену для B2B</x:v>
      </x:c>
      <x:c r="AO1209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09" s="13" t="str">
        <x:v>["category_missing", "daily_stockout_data_missing", "moq_missing", "new_order_lead_time_unknown", "reservations_unknown", "stale_stock", "supplier_sku_missing"]</x:v>
      </x:c>
      <x:c r="AQ1209" s="10" t="str">
        <x:v>IEK:ст-9951729</x:v>
      </x:c>
      <x:c r="AR1209" s="24" t="n">
        <x:v>1</x:v>
      </x:c>
      <x:c r="AS1209" s="24" t="n">
        <x:v>0</x:v>
      </x:c>
      <x:c r="AT1209" s="24" t="n">
        <x:v>0</x:v>
      </x:c>
    </x:row>
    <x:row r="1210" ht="64" customHeight="1">
      <x:c r="A1210" s="11" t="str">
        <x:v>IEK</x:v>
      </x:c>
      <x:c r="B1210" s="33" t="str">
        <x:v>ст-9951998</x:v>
      </x:c>
      <x:c r="C1210" s="33"/>
      <x:c r="D1210" s="12" t="str">
        <x:v>ВА47-29 (1ф) 13А IEK (144) !!!</x:v>
      </x:c>
      <x:c r="E1210" s="11" t="str">
        <x:v>шт</x:v>
      </x:c>
      <x:c r="F1210" s="35" t="n">
        <x:f>MAX(0,ROUNDDOWN((AG1210-AF1210)/AR1210+0.000000001,0)*AR1210)</x:f>
        <x:v>115</x:v>
      </x:c>
      <x:c r="G1210" s="20" t="str">
        <x:f>IF(J1210="Рассчитано",V1210*(1-R1210/100)-W1210-P1210-Q1210,"н/д")</x:f>
        <x:v>н/д</x:v>
      </x:c>
      <x:c r="H1210" s="12" t="str">
        <x:v>Высокий</x:v>
      </x:c>
      <x:c r="I1210" s="12" t="str">
        <x:v>Высокий</x:v>
      </x:c>
      <x:c r="J1210" s="12" t="str">
        <x:f>IF(L1210="","Укажите валюту",IF(NOT(ISNUMBER(K1210)),"Укажите объём",IF(K1210&lt;=0,"Укажите объём",IF(K1210&gt;F1210,"Объём выше излишка",IF(COUNT(M1210:O1210)&lt;3,"Нужны цены",IF(COUNT(P1210:R1210)&lt;3,"Нужны расходы",IF(OR(M1210&lt;0,N1210&lt;0,O1210&lt;0,O1210&gt;100,P1210&lt;0,Q1210&lt;0,R1210&lt;0,R1210&gt;100),"Проверьте значения","Рассчитано")))))))</x:f>
        <x:v>Нужны цены</x:v>
      </x:c>
      <x:c r="K1210" s="36" t="n">
        <x:v>115</x:v>
      </x:c>
      <x:c r="L1210" s="19" t="str">
        <x:v>KZT</x:v>
      </x:c>
      <x:c r="M1210" s="22"/>
      <x:c r="N1210" s="22"/>
      <x:c r="O1210" s="28"/>
      <x:c r="P1210" s="22"/>
      <x:c r="Q1210" s="22"/>
      <x:c r="R1210" s="28"/>
      <x:c r="S1210" s="22"/>
      <x:c r="T1210" s="35" t="n">
        <x:f>K1210</x:f>
        <x:v>115</x:v>
      </x:c>
      <x:c r="U1210" s="20" t="str">
        <x:f>IF(J1210="Рассчитано",N1210*(1-O1210/100),"н/д")</x:f>
        <x:v>н/д</x:v>
      </x:c>
      <x:c r="V1210" s="20" t="str">
        <x:f>IF(J1210="Рассчитано",T1210*U1210,"н/д")</x:f>
        <x:v>н/д</x:v>
      </x:c>
      <x:c r="W1210" s="20" t="str">
        <x:f>IF(J1210="Рассчитано",T1210*M1210,"н/д")</x:f>
        <x:v>н/д</x:v>
      </x:c>
      <x:c r="X1210" s="20" t="str">
        <x:f>IF(J1210="Рассчитано",V1210-W1210,"н/д")</x:f>
        <x:v>н/д</x:v>
      </x:c>
      <x:c r="Y1210" s="26" t="str">
        <x:f>IF(J1210="Рассчитано",IF(V1210&gt;0,G1210/V1210,"н/д"),"н/д")</x:f>
        <x:v>н/д</x:v>
      </x:c>
      <x:c r="Z1210" s="20" t="str">
        <x:f>"н/д"</x:f>
        <x:v>н/д</x:v>
      </x:c>
      <x:c r="AA1210" s="20" t="str">
        <x:f>"н/д"</x:f>
        <x:v>н/д</x:v>
      </x:c>
      <x:c r="AB1210" s="20" t="str">
        <x:f>"н/д"</x:f>
        <x:v>н/д</x:v>
      </x:c>
      <x:c r="AC1210" s="20" t="str">
        <x:f>IF(AND(J1210="Рассчитано",T1210&gt;0,R1210&lt;100),(W1210+P1210+Q1210)/(T1210*(1-R1210/100)),"н/д")</x:f>
        <x:v>н/д</x:v>
      </x:c>
      <x:c r="AD1210" s="11" t="str">
        <x:f>IF(ISNUMBER(G1210),IF(G1210&lt;0,"Убыток",IF(G1210=0,"Без прибыли","Прибыль &gt; 0")),"Не оценён")</x:f>
        <x:v>Не оценён</x:v>
      </x:c>
      <x:c r="AE1210" s="12" t="str">
        <x:f>IF(J1210="Рассчитано","Выручка "&amp;TEXT(V1210,"0.00")&amp;" - себестоимость "&amp;TEXT(W1210,"0.00")&amp;" - комиссия "&amp;TEXT(V1210*R1210/100,"0.00")&amp;" - доставка "&amp;TEXT(P1210,"0.00")&amp;" - прочие "&amp;TEXT(Q1210,"0.00")&amp;" = "&amp;TEXT(G1210,"0.00")&amp;" "&amp;L1210,"Введите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0" s="23" t="n">
        <x:v>0</x:v>
      </x:c>
      <x:c r="AG1210" s="35" t="n">
        <x:v>115</x:v>
      </x:c>
      <x:c r="AH1210" s="35" t="n">
        <x:v>0</x:v>
      </x:c>
      <x:c r="AI1210" s="29" t="n">
        <x:v>46266</x:v>
      </x:c>
      <x:c r="AJ1210" s="35"/>
      <x:c r="AK1210" s="11" t="str">
        <x:v>неизвестно</x:v>
      </x:c>
      <x:c r="AL1210" s="31" t="str">
        <x:v>н/д</x:v>
      </x:c>
      <x:c r="AM1210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10" s="12" t="str">
        <x:v>Проверить свободный остаток и установить цену для B2B</x:v>
      </x:c>
      <x:c r="AO1210" s="12" t="str">
        <x:v>Остаток 115; прогноз 90 дней 0.00; избыток 115 шт. Будущие поступления не выставляются на продажу. Остаток на начало сентября: требуется актуализация.</x:v>
      </x:c>
      <x:c r="AP1210" s="12" t="str">
        <x:v>["category_missing", "daily_stockout_data_missing", "moq_missing", "new_order_lead_time_unknown", "reservations_unknown", "stale_stock", "supplier_sku_missing"]</x:v>
      </x:c>
      <x:c r="AQ1210" s="11" t="str">
        <x:v>IEK:ст-9951998</x:v>
      </x:c>
      <x:c r="AR1210" s="23" t="n">
        <x:v>1</x:v>
      </x:c>
      <x:c r="AS1210" s="23" t="n">
        <x:v>0</x:v>
      </x:c>
      <x:c r="AT1210" s="23" t="n">
        <x:v>0</x:v>
      </x:c>
    </x:row>
    <x:row r="1211" ht="64" customHeight="1">
      <x:c r="A1211" s="10" t="str">
        <x:v>IEK</x:v>
      </x:c>
      <x:c r="B1211" s="34" t="str">
        <x:v>ст-9952399</x:v>
      </x:c>
      <x:c r="C1211" s="34"/>
      <x:c r="D1211" s="13" t="str">
        <x:v>BA 47-100 (2ф) 100А 4,5кА х-ка С IEK !!!</x:v>
      </x:c>
      <x:c r="E1211" s="10" t="str">
        <x:v>шт</x:v>
      </x:c>
      <x:c r="F1211" s="37" t="n">
        <x:f>MAX(0,ROUNDDOWN((AG1211-AF1211)/AR1211+0.000000001,0)*AR1211)</x:f>
        <x:v>123</x:v>
      </x:c>
      <x:c r="G1211" s="21" t="str">
        <x:f>IF(J1211="Рассчитано",V1211*(1-R1211/100)-W1211-P1211-Q1211,"н/д")</x:f>
        <x:v>н/д</x:v>
      </x:c>
      <x:c r="H1211" s="13" t="str">
        <x:v>Высокий</x:v>
      </x:c>
      <x:c r="I1211" s="13" t="str">
        <x:v>Высокий</x:v>
      </x:c>
      <x:c r="J1211" s="13" t="str">
        <x:f>IF(L1211="","Укажите валюту",IF(NOT(ISNUMBER(K1211)),"Укажите объём",IF(K1211&lt;=0,"Укажите объём",IF(K1211&gt;F1211,"Объём выше излишка",IF(COUNT(M1211:O1211)&lt;3,"Нужны цены",IF(COUNT(P1211:R1211)&lt;3,"Нужны расходы",IF(OR(M1211&lt;0,N1211&lt;0,O1211&lt;0,O1211&gt;100,P1211&lt;0,Q1211&lt;0,R1211&lt;0,R1211&gt;100),"Проверьте значения","Рассчитано")))))))</x:f>
        <x:v>Нужны цены</x:v>
      </x:c>
      <x:c r="K1211" s="36" t="n">
        <x:v>123</x:v>
      </x:c>
      <x:c r="L1211" s="19" t="str">
        <x:v>KZT</x:v>
      </x:c>
      <x:c r="M1211" s="22"/>
      <x:c r="N1211" s="22"/>
      <x:c r="O1211" s="28"/>
      <x:c r="P1211" s="22"/>
      <x:c r="Q1211" s="22"/>
      <x:c r="R1211" s="28"/>
      <x:c r="S1211" s="22"/>
      <x:c r="T1211" s="37" t="n">
        <x:f>K1211</x:f>
        <x:v>123</x:v>
      </x:c>
      <x:c r="U1211" s="21" t="str">
        <x:f>IF(J1211="Рассчитано",N1211*(1-O1211/100),"н/д")</x:f>
        <x:v>н/д</x:v>
      </x:c>
      <x:c r="V1211" s="21" t="str">
        <x:f>IF(J1211="Рассчитано",T1211*U1211,"н/д")</x:f>
        <x:v>н/д</x:v>
      </x:c>
      <x:c r="W1211" s="21" t="str">
        <x:f>IF(J1211="Рассчитано",T1211*M1211,"н/д")</x:f>
        <x:v>н/д</x:v>
      </x:c>
      <x:c r="X1211" s="21" t="str">
        <x:f>IF(J1211="Рассчитано",V1211-W1211,"н/д")</x:f>
        <x:v>н/д</x:v>
      </x:c>
      <x:c r="Y1211" s="27" t="str">
        <x:f>IF(J1211="Рассчитано",IF(V1211&gt;0,G1211/V1211,"н/д"),"н/д")</x:f>
        <x:v>н/д</x:v>
      </x:c>
      <x:c r="Z1211" s="21" t="str">
        <x:f>"н/д"</x:f>
        <x:v>н/д</x:v>
      </x:c>
      <x:c r="AA1211" s="21" t="str">
        <x:f>"н/д"</x:f>
        <x:v>н/д</x:v>
      </x:c>
      <x:c r="AB1211" s="21" t="str">
        <x:f>"н/д"</x:f>
        <x:v>н/д</x:v>
      </x:c>
      <x:c r="AC1211" s="21" t="str">
        <x:f>IF(AND(J1211="Рассчитано",T1211&gt;0,R1211&lt;100),(W1211+P1211+Q1211)/(T1211*(1-R1211/100)),"н/д")</x:f>
        <x:v>н/д</x:v>
      </x:c>
      <x:c r="AD1211" s="10" t="str">
        <x:f>IF(ISNUMBER(G1211),IF(G1211&lt;0,"Убыток",IF(G1211=0,"Без прибыли","Прибыль &gt; 0")),"Не оценён")</x:f>
        <x:v>Не оценён</x:v>
      </x:c>
      <x:c r="AE1211" s="13" t="str">
        <x:f>IF(J1211="Рассчитано","Выручка "&amp;TEXT(V1211,"0.00")&amp;" - себестоимость "&amp;TEXT(W1211,"0.00")&amp;" - комиссия "&amp;TEXT(V1211*R1211/100,"0.00")&amp;" - доставка "&amp;TEXT(P1211,"0.00")&amp;" - прочие "&amp;TEXT(Q1211,"0.00")&amp;" = "&amp;TEXT(G1211,"0.00")&amp;" "&amp;L1211,"Введите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1" s="24" t="n">
        <x:v>0.6829942648378767</x:v>
      </x:c>
      <x:c r="AG1211" s="37" t="n">
        <x:v>124</x:v>
      </x:c>
      <x:c r="AH1211" s="37" t="n">
        <x:v>0</x:v>
      </x:c>
      <x:c r="AI1211" s="30" t="n">
        <x:v>46266</x:v>
      </x:c>
      <x:c r="AJ1211" s="37"/>
      <x:c r="AK1211" s="10" t="str">
        <x:v>неизвестно</x:v>
      </x:c>
      <x:c r="AL1211" s="32" t="n">
        <x:v>15439.160162785618</x:v>
      </x:c>
      <x:c r="AM1211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11" s="13" t="str">
        <x:v>Проверить свободный остаток и установить цену для B2B</x:v>
      </x:c>
      <x:c r="AO1211" s="13" t="str">
        <x:v>Остаток 124; прогноз 90 дней 0.68; избыток 123 шт. Будущие поступления не выставляются на продажу. Остаток на начало сентября: требуется актуализация.</x:v>
      </x:c>
      <x:c r="AP1211" s="13" t="str">
        <x:v>["category_missing", "daily_stockout_data_missing", "moq_missing", "new_order_lead_time_unknown", "reservations_unknown", "stale_stock", "supplier_sku_missing"]</x:v>
      </x:c>
      <x:c r="AQ1211" s="10" t="str">
        <x:v>IEK:ст-9952399</x:v>
      </x:c>
      <x:c r="AR1211" s="24" t="n">
        <x:v>1</x:v>
      </x:c>
      <x:c r="AS1211" s="24" t="n">
        <x:v>0</x:v>
      </x:c>
      <x:c r="AT1211" s="24" t="n">
        <x:v>0</x:v>
      </x:c>
    </x:row>
    <x:row r="1212" ht="64" customHeight="1">
      <x:c r="A1212" s="11" t="str">
        <x:v>IEK</x:v>
      </x:c>
      <x:c r="B1212" s="33" t="str">
        <x:v>ст-9952430</x:v>
      </x:c>
      <x:c r="C1212" s="33"/>
      <x:c r="D1212" s="12" t="str">
        <x:v>Сиг. лампа AL-22  d22мм зеленый неон/240В цилиндр IEK (200) !!!</x:v>
      </x:c>
      <x:c r="E1212" s="11" t="str">
        <x:v>шт</x:v>
      </x:c>
      <x:c r="F1212" s="35" t="n">
        <x:f>MAX(0,ROUNDDOWN((AG1212-AF1212)/AR1212+0.000000001,0)*AR1212)</x:f>
        <x:v>58</x:v>
      </x:c>
      <x:c r="G1212" s="20" t="str">
        <x:f>IF(J1212="Рассчитано",V1212*(1-R1212/100)-W1212-P1212-Q1212,"н/д")</x:f>
        <x:v>н/д</x:v>
      </x:c>
      <x:c r="H1212" s="12" t="str">
        <x:v>Высокий</x:v>
      </x:c>
      <x:c r="I1212" s="12" t="str">
        <x:v>Высокий</x:v>
      </x:c>
      <x:c r="J1212" s="12" t="str">
        <x:f>IF(L1212="","Укажите валюту",IF(NOT(ISNUMBER(K1212)),"Укажите объём",IF(K1212&lt;=0,"Укажите объём",IF(K1212&gt;F1212,"Объём выше излишка",IF(COUNT(M1212:O1212)&lt;3,"Нужны цены",IF(COUNT(P1212:R1212)&lt;3,"Нужны расходы",IF(OR(M1212&lt;0,N1212&lt;0,O1212&lt;0,O1212&gt;100,P1212&lt;0,Q1212&lt;0,R1212&lt;0,R1212&gt;100),"Проверьте значения","Рассчитано")))))))</x:f>
        <x:v>Нужны цены</x:v>
      </x:c>
      <x:c r="K1212" s="36" t="n">
        <x:v>58</x:v>
      </x:c>
      <x:c r="L1212" s="19" t="str">
        <x:v>KZT</x:v>
      </x:c>
      <x:c r="M1212" s="22"/>
      <x:c r="N1212" s="22"/>
      <x:c r="O1212" s="28"/>
      <x:c r="P1212" s="22"/>
      <x:c r="Q1212" s="22"/>
      <x:c r="R1212" s="28"/>
      <x:c r="S1212" s="22"/>
      <x:c r="T1212" s="35" t="n">
        <x:f>K1212</x:f>
        <x:v>58</x:v>
      </x:c>
      <x:c r="U1212" s="20" t="str">
        <x:f>IF(J1212="Рассчитано",N1212*(1-O1212/100),"н/д")</x:f>
        <x:v>н/д</x:v>
      </x:c>
      <x:c r="V1212" s="20" t="str">
        <x:f>IF(J1212="Рассчитано",T1212*U1212,"н/д")</x:f>
        <x:v>н/д</x:v>
      </x:c>
      <x:c r="W1212" s="20" t="str">
        <x:f>IF(J1212="Рассчитано",T1212*M1212,"н/д")</x:f>
        <x:v>н/д</x:v>
      </x:c>
      <x:c r="X1212" s="20" t="str">
        <x:f>IF(J1212="Рассчитано",V1212-W1212,"н/д")</x:f>
        <x:v>н/д</x:v>
      </x:c>
      <x:c r="Y1212" s="26" t="str">
        <x:f>IF(J1212="Рассчитано",IF(V1212&gt;0,G1212/V1212,"н/д"),"н/д")</x:f>
        <x:v>н/д</x:v>
      </x:c>
      <x:c r="Z1212" s="20" t="str">
        <x:f>"н/д"</x:f>
        <x:v>н/д</x:v>
      </x:c>
      <x:c r="AA1212" s="20" t="str">
        <x:f>"н/д"</x:f>
        <x:v>н/д</x:v>
      </x:c>
      <x:c r="AB1212" s="20" t="str">
        <x:f>"н/д"</x:f>
        <x:v>н/д</x:v>
      </x:c>
      <x:c r="AC1212" s="20" t="str">
        <x:f>IF(AND(J1212="Рассчитано",T1212&gt;0,R1212&lt;100),(W1212+P1212+Q1212)/(T1212*(1-R1212/100)),"н/д")</x:f>
        <x:v>н/д</x:v>
      </x:c>
      <x:c r="AD1212" s="11" t="str">
        <x:f>IF(ISNUMBER(G1212),IF(G1212&lt;0,"Убыток",IF(G1212=0,"Без прибыли","Прибыль &gt; 0")),"Не оценён")</x:f>
        <x:v>Не оценён</x:v>
      </x:c>
      <x:c r="AE1212" s="12" t="str">
        <x:f>IF(J1212="Рассчитано","Выручка "&amp;TEXT(V1212,"0.00")&amp;" - себестоимость "&amp;TEXT(W1212,"0.00")&amp;" - комиссия "&amp;TEXT(V1212*R1212/100,"0.00")&amp;" - доставка "&amp;TEXT(P1212,"0.00")&amp;" - прочие "&amp;TEXT(Q1212,"0.00")&amp;" = "&amp;TEXT(G1212,"0.00")&amp;" "&amp;L1212,"Введите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2" s="23" t="n">
        <x:v>3.580411281283046</x:v>
      </x:c>
      <x:c r="AG1212" s="35" t="n">
        <x:v>62</x:v>
      </x:c>
      <x:c r="AH1212" s="35" t="n">
        <x:v>0</x:v>
      </x:c>
      <x:c r="AI1212" s="29" t="n">
        <x:v>46266</x:v>
      </x:c>
      <x:c r="AJ1212" s="35"/>
      <x:c r="AK1212" s="11" t="str">
        <x:v>неизвестно</x:v>
      </x:c>
      <x:c r="AL1212" s="31" t="n">
        <x:v>1472.5763350456814</x:v>
      </x:c>
      <x:c r="AM1212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12" s="12" t="str">
        <x:v>Проверить свободный остаток и установить цену для B2B</x:v>
      </x:c>
      <x:c r="AO1212" s="12" t="str">
        <x:v>Остаток 62; прогноз 90 дней 3.58; избыток 58 шт. Будущие поступления не выставляются на продажу. Остаток на начало сентября: требуется актуализация.</x:v>
      </x:c>
      <x:c r="AP1212" s="12" t="str">
        <x:v>["category_missing", "daily_stockout_data_missing", "moq_missing", "new_order_lead_time_unknown", "reservations_unknown", "stale_stock", "supplier_sku_missing"]</x:v>
      </x:c>
      <x:c r="AQ1212" s="11" t="str">
        <x:v>IEK:ст-9952430</x:v>
      </x:c>
      <x:c r="AR1212" s="23" t="n">
        <x:v>1</x:v>
      </x:c>
      <x:c r="AS1212" s="23" t="n">
        <x:v>0</x:v>
      </x:c>
      <x:c r="AT1212" s="23" t="n">
        <x:v>0</x:v>
      </x:c>
    </x:row>
    <x:row r="1213" ht="64" customHeight="1">
      <x:c r="A1213" s="10" t="str">
        <x:v>IEK</x:v>
      </x:c>
      <x:c r="B1213" s="34" t="str">
        <x:v>ст-9952431</x:v>
      </x:c>
      <x:c r="C1213" s="34"/>
      <x:c r="D1213" s="13" t="str">
        <x:v>Сиг. лампа AL-22  d22мм красный неон/240В цилиндр IEK (200) !!!</x:v>
      </x:c>
      <x:c r="E1213" s="10" t="str">
        <x:v>шт</x:v>
      </x:c>
      <x:c r="F1213" s="37" t="n">
        <x:f>MAX(0,ROUNDDOWN((AG1213-AF1213)/AR1213+0.000000001,0)*AR1213)</x:f>
        <x:v>16</x:v>
      </x:c>
      <x:c r="G1213" s="21" t="str">
        <x:f>IF(J1213="Рассчитано",V1213*(1-R1213/100)-W1213-P1213-Q1213,"н/д")</x:f>
        <x:v>н/д</x:v>
      </x:c>
      <x:c r="H1213" s="13" t="str">
        <x:v>Высокий</x:v>
      </x:c>
      <x:c r="I1213" s="13" t="str">
        <x:v>Высокий</x:v>
      </x:c>
      <x:c r="J1213" s="13" t="str">
        <x:f>IF(L1213="","Укажите валюту",IF(NOT(ISNUMBER(K1213)),"Укажите объём",IF(K1213&lt;=0,"Укажите объём",IF(K1213&gt;F1213,"Объём выше излишка",IF(COUNT(M1213:O1213)&lt;3,"Нужны цены",IF(COUNT(P1213:R1213)&lt;3,"Нужны расходы",IF(OR(M1213&lt;0,N1213&lt;0,O1213&lt;0,O1213&gt;100,P1213&lt;0,Q1213&lt;0,R1213&lt;0,R1213&gt;100),"Проверьте значения","Рассчитано")))))))</x:f>
        <x:v>Нужны цены</x:v>
      </x:c>
      <x:c r="K1213" s="36" t="n">
        <x:v>16</x:v>
      </x:c>
      <x:c r="L1213" s="19" t="str">
        <x:v>KZT</x:v>
      </x:c>
      <x:c r="M1213" s="22"/>
      <x:c r="N1213" s="22"/>
      <x:c r="O1213" s="28"/>
      <x:c r="P1213" s="22"/>
      <x:c r="Q1213" s="22"/>
      <x:c r="R1213" s="28"/>
      <x:c r="S1213" s="22"/>
      <x:c r="T1213" s="37" t="n">
        <x:f>K1213</x:f>
        <x:v>16</x:v>
      </x:c>
      <x:c r="U1213" s="21" t="str">
        <x:f>IF(J1213="Рассчитано",N1213*(1-O1213/100),"н/д")</x:f>
        <x:v>н/д</x:v>
      </x:c>
      <x:c r="V1213" s="21" t="str">
        <x:f>IF(J1213="Рассчитано",T1213*U1213,"н/д")</x:f>
        <x:v>н/д</x:v>
      </x:c>
      <x:c r="W1213" s="21" t="str">
        <x:f>IF(J1213="Рассчитано",T1213*M1213,"н/д")</x:f>
        <x:v>н/д</x:v>
      </x:c>
      <x:c r="X1213" s="21" t="str">
        <x:f>IF(J1213="Рассчитано",V1213-W1213,"н/д")</x:f>
        <x:v>н/д</x:v>
      </x:c>
      <x:c r="Y1213" s="27" t="str">
        <x:f>IF(J1213="Рассчитано",IF(V1213&gt;0,G1213/V1213,"н/д"),"н/д")</x:f>
        <x:v>н/д</x:v>
      </x:c>
      <x:c r="Z1213" s="21" t="str">
        <x:f>"н/д"</x:f>
        <x:v>н/д</x:v>
      </x:c>
      <x:c r="AA1213" s="21" t="str">
        <x:f>"н/д"</x:f>
        <x:v>н/д</x:v>
      </x:c>
      <x:c r="AB1213" s="21" t="str">
        <x:f>"н/д"</x:f>
        <x:v>н/д</x:v>
      </x:c>
      <x:c r="AC1213" s="21" t="str">
        <x:f>IF(AND(J1213="Рассчитано",T1213&gt;0,R1213&lt;100),(W1213+P1213+Q1213)/(T1213*(1-R1213/100)),"н/д")</x:f>
        <x:v>н/д</x:v>
      </x:c>
      <x:c r="AD1213" s="10" t="str">
        <x:f>IF(ISNUMBER(G1213),IF(G1213&lt;0,"Убыток",IF(G1213=0,"Без прибыли","Прибыль &gt; 0")),"Не оценён")</x:f>
        <x:v>Не оценён</x:v>
      </x:c>
      <x:c r="AE1213" s="13" t="str">
        <x:f>IF(J1213="Рассчитано","Выручка "&amp;TEXT(V1213,"0.00")&amp;" - себестоимость "&amp;TEXT(W1213,"0.00")&amp;" - комиссия "&amp;TEXT(V1213*R1213/100,"0.00")&amp;" - доставка "&amp;TEXT(P1213,"0.00")&amp;" - прочие "&amp;TEXT(Q1213,"0.00")&amp;" = "&amp;TEXT(G1213,"0.00")&amp;" "&amp;L1213,"Введите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3" s="24" t="n">
        <x:v>2.374562384022962</x:v>
      </x:c>
      <x:c r="AG1213" s="37" t="n">
        <x:v>19</x:v>
      </x:c>
      <x:c r="AH1213" s="37" t="n">
        <x:v>0</x:v>
      </x:c>
      <x:c r="AI1213" s="30" t="n">
        <x:v>46266</x:v>
      </x:c>
      <x:c r="AJ1213" s="37"/>
      <x:c r="AK1213" s="10" t="str">
        <x:v>неизвестно</x:v>
      </x:c>
      <x:c r="AL1213" s="32" t="n">
        <x:v>680.4387865755189</x:v>
      </x:c>
      <x:c r="AM1213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13" s="13" t="str">
        <x:v>Проверить свободный остаток и установить цену для B2B</x:v>
      </x:c>
      <x:c r="AO1213" s="13" t="str">
        <x:v>Остаток 19; прогноз 90 дней 2.37; избыток 16 шт. Будущие поступления не выставляются на продажу. Остаток на начало сентября: требуется актуализация.</x:v>
      </x:c>
      <x:c r="AP1213" s="13" t="str">
        <x:v>["category_missing", "daily_stockout_data_missing", "moq_missing", "new_order_lead_time_unknown", "reservations_unknown", "stale_stock", "supplier_sku_missing"]</x:v>
      </x:c>
      <x:c r="AQ1213" s="10" t="str">
        <x:v>IEK:ст-9952431</x:v>
      </x:c>
      <x:c r="AR1213" s="24" t="n">
        <x:v>1</x:v>
      </x:c>
      <x:c r="AS1213" s="24" t="n">
        <x:v>0</x:v>
      </x:c>
      <x:c r="AT1213" s="24" t="n">
        <x:v>0</x:v>
      </x:c>
    </x:row>
    <x:row r="1214" ht="64" customHeight="1">
      <x:c r="A1214" s="11" t="str">
        <x:v>IEK</x:v>
      </x:c>
      <x:c r="B1214" s="33" t="str">
        <x:v>ст-9952496</x:v>
      </x:c>
      <x:c r="C1214" s="33"/>
      <x:c r="D1214" s="12" t="str">
        <x:v>Наконечник-гильза НГИ2 4,0-12 с изол. фланцем (серый) IEK (100) !!!</x:v>
      </x:c>
      <x:c r="E1214" s="11" t="str">
        <x:v>упак</x:v>
      </x:c>
      <x:c r="F1214" s="35" t="n">
        <x:f>MAX(0,ROUNDDOWN((AG1214-AF1214)/AR1214+0.000000001,0)*AR1214)</x:f>
        <x:v>15</x:v>
      </x:c>
      <x:c r="G1214" s="20" t="str">
        <x:f>IF(J1214="Рассчитано",V1214*(1-R1214/100)-W1214-P1214-Q1214,"н/д")</x:f>
        <x:v>н/д</x:v>
      </x:c>
      <x:c r="H1214" s="12" t="str">
        <x:v>Высокий</x:v>
      </x:c>
      <x:c r="I1214" s="12" t="str">
        <x:v>Высокий</x:v>
      </x:c>
      <x:c r="J1214" s="12" t="str">
        <x:f>IF(L1214="","Укажите валюту",IF(NOT(ISNUMBER(K1214)),"Укажите объём",IF(K1214&lt;=0,"Укажите объём",IF(K1214&gt;F1214,"Объём выше излишка",IF(COUNT(M1214:O1214)&lt;3,"Нужны цены",IF(COUNT(P1214:R1214)&lt;3,"Нужны расходы",IF(OR(M1214&lt;0,N1214&lt;0,O1214&lt;0,O1214&gt;100,P1214&lt;0,Q1214&lt;0,R1214&lt;0,R1214&gt;100),"Проверьте значения","Рассчитано")))))))</x:f>
        <x:v>Нужны цены</x:v>
      </x:c>
      <x:c r="K1214" s="36" t="n">
        <x:v>15</x:v>
      </x:c>
      <x:c r="L1214" s="19" t="str">
        <x:v>KZT</x:v>
      </x:c>
      <x:c r="M1214" s="22"/>
      <x:c r="N1214" s="22"/>
      <x:c r="O1214" s="28"/>
      <x:c r="P1214" s="22"/>
      <x:c r="Q1214" s="22"/>
      <x:c r="R1214" s="28"/>
      <x:c r="S1214" s="22"/>
      <x:c r="T1214" s="35" t="n">
        <x:f>K1214</x:f>
        <x:v>15</x:v>
      </x:c>
      <x:c r="U1214" s="20" t="str">
        <x:f>IF(J1214="Рассчитано",N1214*(1-O1214/100),"н/д")</x:f>
        <x:v>н/д</x:v>
      </x:c>
      <x:c r="V1214" s="20" t="str">
        <x:f>IF(J1214="Рассчитано",T1214*U1214,"н/д")</x:f>
        <x:v>н/д</x:v>
      </x:c>
      <x:c r="W1214" s="20" t="str">
        <x:f>IF(J1214="Рассчитано",T1214*M1214,"н/д")</x:f>
        <x:v>н/д</x:v>
      </x:c>
      <x:c r="X1214" s="20" t="str">
        <x:f>IF(J1214="Рассчитано",V1214-W1214,"н/д")</x:f>
        <x:v>н/д</x:v>
      </x:c>
      <x:c r="Y1214" s="26" t="str">
        <x:f>IF(J1214="Рассчитано",IF(V1214&gt;0,G1214/V1214,"н/д"),"н/д")</x:f>
        <x:v>н/д</x:v>
      </x:c>
      <x:c r="Z1214" s="20" t="str">
        <x:f>"н/д"</x:f>
        <x:v>н/д</x:v>
      </x:c>
      <x:c r="AA1214" s="20" t="str">
        <x:f>"н/д"</x:f>
        <x:v>н/д</x:v>
      </x:c>
      <x:c r="AB1214" s="20" t="str">
        <x:f>"н/д"</x:f>
        <x:v>н/д</x:v>
      </x:c>
      <x:c r="AC1214" s="20" t="str">
        <x:f>IF(AND(J1214="Рассчитано",T1214&gt;0,R1214&lt;100),(W1214+P1214+Q1214)/(T1214*(1-R1214/100)),"н/д")</x:f>
        <x:v>н/д</x:v>
      </x:c>
      <x:c r="AD1214" s="11" t="str">
        <x:f>IF(ISNUMBER(G1214),IF(G1214&lt;0,"Убыток",IF(G1214=0,"Без прибыли","Прибыль &gt; 0")),"Не оценён")</x:f>
        <x:v>Не оценён</x:v>
      </x:c>
      <x:c r="AE1214" s="12" t="str">
        <x:f>IF(J1214="Рассчитано","Выручка "&amp;TEXT(V1214,"0.00")&amp;" - себестоимость "&amp;TEXT(W1214,"0.00")&amp;" - комиссия "&amp;TEXT(V1214*R1214/100,"0.00")&amp;" - доставка "&amp;TEXT(P1214,"0.00")&amp;" - прочие "&amp;TEXT(Q1214,"0.00")&amp;" = "&amp;TEXT(G1214,"0.00")&amp;" "&amp;L1214,"Введите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4" s="23" t="n">
        <x:v>0</x:v>
      </x:c>
      <x:c r="AG1214" s="35" t="n">
        <x:v>15</x:v>
      </x:c>
      <x:c r="AH1214" s="35" t="n">
        <x:v>0</x:v>
      </x:c>
      <x:c r="AI1214" s="29" t="n">
        <x:v>46266</x:v>
      </x:c>
      <x:c r="AJ1214" s="35"/>
      <x:c r="AK1214" s="11" t="str">
        <x:v>неизвестно</x:v>
      </x:c>
      <x:c r="AL1214" s="31" t="str">
        <x:v>н/д</x:v>
      </x:c>
      <x:c r="AM1214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14" s="12" t="str">
        <x:v>Проверить свободный остаток и установить цену для B2B</x:v>
      </x:c>
      <x:c r="AO1214" s="12" t="str">
        <x:v>Остаток 15; прогноз 90 дней 0.00; избыток 15 упак. Будущие поступления не выставляются на продажу. Остаток на начало сентября: требуется актуализация.</x:v>
      </x:c>
      <x:c r="AP1214" s="12" t="str">
        <x:v>["category_missing", "daily_stockout_data_missing", "moq_missing", "new_order_lead_time_unknown", "reservations_unknown", "stale_stock", "supplier_sku_missing"]</x:v>
      </x:c>
      <x:c r="AQ1214" s="11" t="str">
        <x:v>IEK:ст-9952496</x:v>
      </x:c>
      <x:c r="AR1214" s="23" t="n">
        <x:v>1</x:v>
      </x:c>
      <x:c r="AS1214" s="23" t="n">
        <x:v>0</x:v>
      </x:c>
      <x:c r="AT1214" s="23" t="n">
        <x:v>0</x:v>
      </x:c>
    </x:row>
    <x:row r="1215" ht="64" customHeight="1">
      <x:c r="A1215" s="10" t="str">
        <x:v>IEK</x:v>
      </x:c>
      <x:c r="B1215" s="34" t="str">
        <x:v>ст-9952498</x:v>
      </x:c>
      <x:c r="C1215" s="34"/>
      <x:c r="D1215" s="13" t="str">
        <x:v>Наконечник-гильза НГИ2 10-14 с изол. фланцем (слоновая кость) IEK (100) !!!</x:v>
      </x:c>
      <x:c r="E1215" s="10" t="str">
        <x:v>упак</x:v>
      </x:c>
      <x:c r="F1215" s="37" t="n">
        <x:f>MAX(0,ROUNDDOWN((AG1215-AF1215)/AR1215+0.000000001,0)*AR1215)</x:f>
        <x:v>19</x:v>
      </x:c>
      <x:c r="G1215" s="21" t="str">
        <x:f>IF(J1215="Рассчитано",V1215*(1-R1215/100)-W1215-P1215-Q1215,"н/д")</x:f>
        <x:v>н/д</x:v>
      </x:c>
      <x:c r="H1215" s="13" t="str">
        <x:v>Высокий</x:v>
      </x:c>
      <x:c r="I1215" s="13" t="str">
        <x:v>Высокий</x:v>
      </x:c>
      <x:c r="J1215" s="13" t="str">
        <x:f>IF(L1215="","Укажите валюту",IF(NOT(ISNUMBER(K1215)),"Укажите объём",IF(K1215&lt;=0,"Укажите объём",IF(K1215&gt;F1215,"Объём выше излишка",IF(COUNT(M1215:O1215)&lt;3,"Нужны цены",IF(COUNT(P1215:R1215)&lt;3,"Нужны расходы",IF(OR(M1215&lt;0,N1215&lt;0,O1215&lt;0,O1215&gt;100,P1215&lt;0,Q1215&lt;0,R1215&lt;0,R1215&gt;100),"Проверьте значения","Рассчитано")))))))</x:f>
        <x:v>Нужны цены</x:v>
      </x:c>
      <x:c r="K1215" s="36" t="n">
        <x:v>19</x:v>
      </x:c>
      <x:c r="L1215" s="19" t="str">
        <x:v>KZT</x:v>
      </x:c>
      <x:c r="M1215" s="22"/>
      <x:c r="N1215" s="22"/>
      <x:c r="O1215" s="28"/>
      <x:c r="P1215" s="22"/>
      <x:c r="Q1215" s="22"/>
      <x:c r="R1215" s="28"/>
      <x:c r="S1215" s="22"/>
      <x:c r="T1215" s="37" t="n">
        <x:f>K1215</x:f>
        <x:v>19</x:v>
      </x:c>
      <x:c r="U1215" s="21" t="str">
        <x:f>IF(J1215="Рассчитано",N1215*(1-O1215/100),"н/д")</x:f>
        <x:v>н/д</x:v>
      </x:c>
      <x:c r="V1215" s="21" t="str">
        <x:f>IF(J1215="Рассчитано",T1215*U1215,"н/д")</x:f>
        <x:v>н/д</x:v>
      </x:c>
      <x:c r="W1215" s="21" t="str">
        <x:f>IF(J1215="Рассчитано",T1215*M1215,"н/д")</x:f>
        <x:v>н/д</x:v>
      </x:c>
      <x:c r="X1215" s="21" t="str">
        <x:f>IF(J1215="Рассчитано",V1215-W1215,"н/д")</x:f>
        <x:v>н/д</x:v>
      </x:c>
      <x:c r="Y1215" s="27" t="str">
        <x:f>IF(J1215="Рассчитано",IF(V1215&gt;0,G1215/V1215,"н/д"),"н/д")</x:f>
        <x:v>н/д</x:v>
      </x:c>
      <x:c r="Z1215" s="21" t="str">
        <x:f>"н/д"</x:f>
        <x:v>н/д</x:v>
      </x:c>
      <x:c r="AA1215" s="21" t="str">
        <x:f>"н/д"</x:f>
        <x:v>н/д</x:v>
      </x:c>
      <x:c r="AB1215" s="21" t="str">
        <x:f>"н/д"</x:f>
        <x:v>н/д</x:v>
      </x:c>
      <x:c r="AC1215" s="21" t="str">
        <x:f>IF(AND(J1215="Рассчитано",T1215&gt;0,R1215&lt;100),(W1215+P1215+Q1215)/(T1215*(1-R1215/100)),"н/д")</x:f>
        <x:v>н/д</x:v>
      </x:c>
      <x:c r="AD1215" s="10" t="str">
        <x:f>IF(ISNUMBER(G1215),IF(G1215&lt;0,"Убыток",IF(G1215=0,"Без прибыли","Прибыль &gt; 0")),"Не оценён")</x:f>
        <x:v>Не оценён</x:v>
      </x:c>
      <x:c r="AE1215" s="13" t="str">
        <x:f>IF(J1215="Рассчитано","Выручка "&amp;TEXT(V1215,"0.00")&amp;" - себестоимость "&amp;TEXT(W1215,"0.00")&amp;" - комиссия "&amp;TEXT(V1215*R1215/100,"0.00")&amp;" - доставка "&amp;TEXT(P1215,"0.00")&amp;" - прочие "&amp;TEXT(Q1215,"0.00")&amp;" = "&amp;TEXT(G1215,"0.00")&amp;" "&amp;L1215,"Введите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5" s="24" t="n">
        <x:v>0</x:v>
      </x:c>
      <x:c r="AG1215" s="37" t="n">
        <x:v>19</x:v>
      </x:c>
      <x:c r="AH1215" s="37" t="n">
        <x:v>0</x:v>
      </x:c>
      <x:c r="AI1215" s="30" t="n">
        <x:v>46266</x:v>
      </x:c>
      <x:c r="AJ1215" s="37"/>
      <x:c r="AK1215" s="10" t="str">
        <x:v>неизвестно</x:v>
      </x:c>
      <x:c r="AL1215" s="32" t="str">
        <x:v>н/д</x:v>
      </x:c>
      <x:c r="AM1215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15" s="13" t="str">
        <x:v>Проверить свободный остаток и установить цену для B2B</x:v>
      </x:c>
      <x:c r="AO1215" s="13" t="str">
        <x:v>Остаток 19; прогноз 90 дней 0.00; избыток 19 упак. Будущие поступления не выставляются на продажу. Остаток на начало сентября: требуется актуализация.</x:v>
      </x:c>
      <x:c r="AP1215" s="13" t="str">
        <x:v>["category_missing", "daily_stockout_data_missing", "moq_missing", "new_order_lead_time_unknown", "reservations_unknown", "stale_stock", "supplier_sku_missing"]</x:v>
      </x:c>
      <x:c r="AQ1215" s="10" t="str">
        <x:v>IEK:ст-9952498</x:v>
      </x:c>
      <x:c r="AR1215" s="24" t="n">
        <x:v>1</x:v>
      </x:c>
      <x:c r="AS1215" s="24" t="n">
        <x:v>0</x:v>
      </x:c>
      <x:c r="AT1215" s="24" t="n">
        <x:v>0</x:v>
      </x:c>
    </x:row>
    <x:row r="1216" ht="64" customHeight="1">
      <x:c r="A1216" s="11" t="str">
        <x:v>IEK</x:v>
      </x:c>
      <x:c r="B1216" s="33" t="str">
        <x:v>ст-9952644</x:v>
      </x:c>
      <x:c r="C1216" s="33"/>
      <x:c r="D1216" s="12" t="str">
        <x:v>Стойка настенная СНП100  IEK !</x:v>
      </x:c>
      <x:c r="E1216" s="11" t="str">
        <x:v>шт</x:v>
      </x:c>
      <x:c r="F1216" s="35" t="n">
        <x:f>MAX(0,ROUNDDOWN((AG1216-AF1216)/AR1216+0.000000001,0)*AR1216)</x:f>
        <x:v>8</x:v>
      </x:c>
      <x:c r="G1216" s="20" t="str">
        <x:f>IF(J1216="Рассчитано",V1216*(1-R1216/100)-W1216-P1216-Q1216,"н/д")</x:f>
        <x:v>н/д</x:v>
      </x:c>
      <x:c r="H1216" s="12" t="str">
        <x:v>Высокий</x:v>
      </x:c>
      <x:c r="I1216" s="12" t="str">
        <x:v>Высокий</x:v>
      </x:c>
      <x:c r="J1216" s="12" t="str">
        <x:f>IF(L1216="","Укажите валюту",IF(NOT(ISNUMBER(K1216)),"Укажите объём",IF(K1216&lt;=0,"Укажите объём",IF(K1216&gt;F1216,"Объём выше излишка",IF(COUNT(M1216:O1216)&lt;3,"Нужны цены",IF(COUNT(P1216:R1216)&lt;3,"Нужны расходы",IF(OR(M1216&lt;0,N1216&lt;0,O1216&lt;0,O1216&gt;100,P1216&lt;0,Q1216&lt;0,R1216&lt;0,R1216&gt;100),"Проверьте значения","Рассчитано")))))))</x:f>
        <x:v>Нужны цены</x:v>
      </x:c>
      <x:c r="K1216" s="36" t="n">
        <x:v>8</x:v>
      </x:c>
      <x:c r="L1216" s="19" t="str">
        <x:v>KZT</x:v>
      </x:c>
      <x:c r="M1216" s="22"/>
      <x:c r="N1216" s="22"/>
      <x:c r="O1216" s="28"/>
      <x:c r="P1216" s="22"/>
      <x:c r="Q1216" s="22"/>
      <x:c r="R1216" s="28"/>
      <x:c r="S1216" s="22"/>
      <x:c r="T1216" s="35" t="n">
        <x:f>K1216</x:f>
        <x:v>8</x:v>
      </x:c>
      <x:c r="U1216" s="20" t="str">
        <x:f>IF(J1216="Рассчитано",N1216*(1-O1216/100),"н/д")</x:f>
        <x:v>н/д</x:v>
      </x:c>
      <x:c r="V1216" s="20" t="str">
        <x:f>IF(J1216="Рассчитано",T1216*U1216,"н/д")</x:f>
        <x:v>н/д</x:v>
      </x:c>
      <x:c r="W1216" s="20" t="str">
        <x:f>IF(J1216="Рассчитано",T1216*M1216,"н/д")</x:f>
        <x:v>н/д</x:v>
      </x:c>
      <x:c r="X1216" s="20" t="str">
        <x:f>IF(J1216="Рассчитано",V1216-W1216,"н/д")</x:f>
        <x:v>н/д</x:v>
      </x:c>
      <x:c r="Y1216" s="26" t="str">
        <x:f>IF(J1216="Рассчитано",IF(V1216&gt;0,G1216/V1216,"н/д"),"н/д")</x:f>
        <x:v>н/д</x:v>
      </x:c>
      <x:c r="Z1216" s="20" t="str">
        <x:f>"н/д"</x:f>
        <x:v>н/д</x:v>
      </x:c>
      <x:c r="AA1216" s="20" t="str">
        <x:f>"н/д"</x:f>
        <x:v>н/д</x:v>
      </x:c>
      <x:c r="AB1216" s="20" t="str">
        <x:f>"н/д"</x:f>
        <x:v>н/д</x:v>
      </x:c>
      <x:c r="AC1216" s="20" t="str">
        <x:f>IF(AND(J1216="Рассчитано",T1216&gt;0,R1216&lt;100),(W1216+P1216+Q1216)/(T1216*(1-R1216/100)),"н/д")</x:f>
        <x:v>н/д</x:v>
      </x:c>
      <x:c r="AD1216" s="11" t="str">
        <x:f>IF(ISNUMBER(G1216),IF(G1216&lt;0,"Убыток",IF(G1216=0,"Без прибыли","Прибыль &gt; 0")),"Не оценён")</x:f>
        <x:v>Не оценён</x:v>
      </x:c>
      <x:c r="AE1216" s="12" t="str">
        <x:f>IF(J1216="Рассчитано","Выручка "&amp;TEXT(V1216,"0.00")&amp;" - себестоимость "&amp;TEXT(W1216,"0.00")&amp;" - комиссия "&amp;TEXT(V1216*R1216/100,"0.00")&amp;" - доставка "&amp;TEXT(P1216,"0.00")&amp;" - прочие "&amp;TEXT(Q1216,"0.00")&amp;" = "&amp;TEXT(G1216,"0.00")&amp;" "&amp;L1216,"Введите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6" s="23" t="n">
        <x:v>0</x:v>
      </x:c>
      <x:c r="AG1216" s="35" t="n">
        <x:v>8</x:v>
      </x:c>
      <x:c r="AH1216" s="35" t="n">
        <x:v>0</x:v>
      </x:c>
      <x:c r="AI1216" s="29" t="n">
        <x:v>46266</x:v>
      </x:c>
      <x:c r="AJ1216" s="35"/>
      <x:c r="AK1216" s="11" t="str">
        <x:v>неизвестно</x:v>
      </x:c>
      <x:c r="AL1216" s="31" t="str">
        <x:v>н/д</x:v>
      </x:c>
      <x:c r="AM1216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16" s="12" t="str">
        <x:v>Проверить свободный остаток и установить цену для B2B</x:v>
      </x:c>
      <x:c r="AO1216" s="12" t="str">
        <x:v>Остаток 8; прогноз 90 дней 0.00; избыток 8 шт. Будущие поступления не выставляются на продажу. Остаток на начало сентября: требуется актуализация.</x:v>
      </x:c>
      <x:c r="AP1216" s="12" t="str">
        <x:v>["category_missing", "daily_stockout_data_missing", "moq_missing", "new_order_lead_time_unknown", "reservations_unknown", "stale_stock", "supplier_sku_missing"]</x:v>
      </x:c>
      <x:c r="AQ1216" s="11" t="str">
        <x:v>IEK:ст-9952644</x:v>
      </x:c>
      <x:c r="AR1216" s="23" t="n">
        <x:v>1</x:v>
      </x:c>
      <x:c r="AS1216" s="23" t="n">
        <x:v>0</x:v>
      </x:c>
      <x:c r="AT1216" s="23" t="n">
        <x:v>0</x:v>
      </x:c>
    </x:row>
    <x:row r="1217" ht="64" customHeight="1">
      <x:c r="A1217" s="10" t="str">
        <x:v>IEK</x:v>
      </x:c>
      <x:c r="B1217" s="34" t="str">
        <x:v>ст-9953247</x:v>
      </x:c>
      <x:c r="C1217" s="34"/>
      <x:c r="D1217" s="13" t="str">
        <x:v>Индикатор AD-16DS (LED) Ø16мм (зеленый) 12В IEK</x:v>
      </x:c>
      <x:c r="E1217" s="10" t="str">
        <x:v>шт</x:v>
      </x:c>
      <x:c r="F1217" s="37" t="n">
        <x:f>MAX(0,ROUNDDOWN((AG1217-AF1217)/AR1217+0.000000001,0)*AR1217)</x:f>
        <x:v>1</x:v>
      </x:c>
      <x:c r="G1217" s="21" t="str">
        <x:f>IF(J1217="Рассчитано",V1217*(1-R1217/100)-W1217-P1217-Q1217,"н/д")</x:f>
        <x:v>н/д</x:v>
      </x:c>
      <x:c r="H1217" s="13" t="str">
        <x:v>Высокий</x:v>
      </x:c>
      <x:c r="I1217" s="13" t="str">
        <x:v>Высокий</x:v>
      </x:c>
      <x:c r="J1217" s="13" t="str">
        <x:f>IF(L1217="","Укажите валюту",IF(NOT(ISNUMBER(K1217)),"Укажите объём",IF(K1217&lt;=0,"Укажите объём",IF(K1217&gt;F1217,"Объём выше излишка",IF(COUNT(M1217:O1217)&lt;3,"Нужны цены",IF(COUNT(P1217:R1217)&lt;3,"Нужны расходы",IF(OR(M1217&lt;0,N1217&lt;0,O1217&lt;0,O1217&gt;100,P1217&lt;0,Q1217&lt;0,R1217&lt;0,R1217&gt;100),"Проверьте значения","Рассчитано")))))))</x:f>
        <x:v>Нужны цены</x:v>
      </x:c>
      <x:c r="K1217" s="36" t="n">
        <x:v>1</x:v>
      </x:c>
      <x:c r="L1217" s="19" t="str">
        <x:v>KZT</x:v>
      </x:c>
      <x:c r="M1217" s="22"/>
      <x:c r="N1217" s="22"/>
      <x:c r="O1217" s="28"/>
      <x:c r="P1217" s="22"/>
      <x:c r="Q1217" s="22"/>
      <x:c r="R1217" s="28"/>
      <x:c r="S1217" s="22"/>
      <x:c r="T1217" s="37" t="n">
        <x:f>K1217</x:f>
        <x:v>1</x:v>
      </x:c>
      <x:c r="U1217" s="21" t="str">
        <x:f>IF(J1217="Рассчитано",N1217*(1-O1217/100),"н/д")</x:f>
        <x:v>н/д</x:v>
      </x:c>
      <x:c r="V1217" s="21" t="str">
        <x:f>IF(J1217="Рассчитано",T1217*U1217,"н/д")</x:f>
        <x:v>н/д</x:v>
      </x:c>
      <x:c r="W1217" s="21" t="str">
        <x:f>IF(J1217="Рассчитано",T1217*M1217,"н/д")</x:f>
        <x:v>н/д</x:v>
      </x:c>
      <x:c r="X1217" s="21" t="str">
        <x:f>IF(J1217="Рассчитано",V1217-W1217,"н/д")</x:f>
        <x:v>н/д</x:v>
      </x:c>
      <x:c r="Y1217" s="27" t="str">
        <x:f>IF(J1217="Рассчитано",IF(V1217&gt;0,G1217/V1217,"н/д"),"н/д")</x:f>
        <x:v>н/д</x:v>
      </x:c>
      <x:c r="Z1217" s="21" t="str">
        <x:f>"н/д"</x:f>
        <x:v>н/д</x:v>
      </x:c>
      <x:c r="AA1217" s="21" t="str">
        <x:f>"н/д"</x:f>
        <x:v>н/д</x:v>
      </x:c>
      <x:c r="AB1217" s="21" t="str">
        <x:f>"н/д"</x:f>
        <x:v>н/д</x:v>
      </x:c>
      <x:c r="AC1217" s="21" t="str">
        <x:f>IF(AND(J1217="Рассчитано",T1217&gt;0,R1217&lt;100),(W1217+P1217+Q1217)/(T1217*(1-R1217/100)),"н/д")</x:f>
        <x:v>н/д</x:v>
      </x:c>
      <x:c r="AD1217" s="10" t="str">
        <x:f>IF(ISNUMBER(G1217),IF(G1217&lt;0,"Убыток",IF(G1217=0,"Без прибыли","Прибыль &gt; 0")),"Не оценён")</x:f>
        <x:v>Не оценён</x:v>
      </x:c>
      <x:c r="AE1217" s="13" t="str">
        <x:f>IF(J1217="Рассчитано","Выручка "&amp;TEXT(V1217,"0.00")&amp;" - себестоимость "&amp;TEXT(W1217,"0.00")&amp;" - комиссия "&amp;TEXT(V1217*R1217/100,"0.00")&amp;" - доставка "&amp;TEXT(P1217,"0.00")&amp;" - прочие "&amp;TEXT(Q1217,"0.00")&amp;" = "&amp;TEXT(G1217,"0.00")&amp;" "&amp;L1217,"Введите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7" s="24" t="n">
        <x:v>0</x:v>
      </x:c>
      <x:c r="AG1217" s="37" t="n">
        <x:v>1</x:v>
      </x:c>
      <x:c r="AH1217" s="37" t="n">
        <x:v>0</x:v>
      </x:c>
      <x:c r="AI1217" s="30" t="n">
        <x:v>46266</x:v>
      </x:c>
      <x:c r="AJ1217" s="37"/>
      <x:c r="AK1217" s="10" t="str">
        <x:v>неизвестно</x:v>
      </x:c>
      <x:c r="AL1217" s="32" t="str">
        <x:v>н/д</x:v>
      </x:c>
      <x:c r="AM1217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17" s="13" t="str">
        <x:v>Проверить свободный остаток и установить цену для B2B</x:v>
      </x:c>
      <x:c r="AO1217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17" s="13" t="str">
        <x:v>["category_missing", "daily_stockout_data_missing", "moq_missing", "new_order_lead_time_unknown", "reservations_unknown", "stale_stock", "supplier_sku_missing"]</x:v>
      </x:c>
      <x:c r="AQ1217" s="10" t="str">
        <x:v>IEK:ст-9953247</x:v>
      </x:c>
      <x:c r="AR1217" s="24" t="n">
        <x:v>1</x:v>
      </x:c>
      <x:c r="AS1217" s="24" t="n">
        <x:v>0</x:v>
      </x:c>
      <x:c r="AT1217" s="24" t="n">
        <x:v>0</x:v>
      </x:c>
    </x:row>
    <x:row r="1218" ht="64" customHeight="1">
      <x:c r="A1218" s="11" t="str">
        <x:v>IEK</x:v>
      </x:c>
      <x:c r="B1218" s="33" t="str">
        <x:v>ст-9953354</x:v>
      </x:c>
      <x:c r="C1218" s="33"/>
      <x:c r="D1218" s="12" t="str">
        <x:v>УЗО ВД1-63 (4ф) 25А 100мА IEK !!!</x:v>
      </x:c>
      <x:c r="E1218" s="11" t="str">
        <x:v>шт</x:v>
      </x:c>
      <x:c r="F1218" s="35" t="n">
        <x:f>MAX(0,ROUNDDOWN((AG1218-AF1218)/AR1218+0.000000001,0)*AR1218)</x:f>
        <x:v>29</x:v>
      </x:c>
      <x:c r="G1218" s="20" t="str">
        <x:f>IF(J1218="Рассчитано",V1218*(1-R1218/100)-W1218-P1218-Q1218,"н/д")</x:f>
        <x:v>н/д</x:v>
      </x:c>
      <x:c r="H1218" s="12" t="str">
        <x:v>Высокий</x:v>
      </x:c>
      <x:c r="I1218" s="12" t="str">
        <x:v>Высокий</x:v>
      </x:c>
      <x:c r="J1218" s="12" t="str">
        <x:f>IF(L1218="","Укажите валюту",IF(NOT(ISNUMBER(K1218)),"Укажите объём",IF(K1218&lt;=0,"Укажите объём",IF(K1218&gt;F1218,"Объём выше излишка",IF(COUNT(M1218:O1218)&lt;3,"Нужны цены",IF(COUNT(P1218:R1218)&lt;3,"Нужны расходы",IF(OR(M1218&lt;0,N1218&lt;0,O1218&lt;0,O1218&gt;100,P1218&lt;0,Q1218&lt;0,R1218&lt;0,R1218&gt;100),"Проверьте значения","Рассчитано")))))))</x:f>
        <x:v>Нужны цены</x:v>
      </x:c>
      <x:c r="K1218" s="36" t="n">
        <x:v>29</x:v>
      </x:c>
      <x:c r="L1218" s="19" t="str">
        <x:v>KZT</x:v>
      </x:c>
      <x:c r="M1218" s="22"/>
      <x:c r="N1218" s="22"/>
      <x:c r="O1218" s="28"/>
      <x:c r="P1218" s="22"/>
      <x:c r="Q1218" s="22"/>
      <x:c r="R1218" s="28"/>
      <x:c r="S1218" s="22"/>
      <x:c r="T1218" s="35" t="n">
        <x:f>K1218</x:f>
        <x:v>29</x:v>
      </x:c>
      <x:c r="U1218" s="20" t="str">
        <x:f>IF(J1218="Рассчитано",N1218*(1-O1218/100),"н/д")</x:f>
        <x:v>н/д</x:v>
      </x:c>
      <x:c r="V1218" s="20" t="str">
        <x:f>IF(J1218="Рассчитано",T1218*U1218,"н/д")</x:f>
        <x:v>н/д</x:v>
      </x:c>
      <x:c r="W1218" s="20" t="str">
        <x:f>IF(J1218="Рассчитано",T1218*M1218,"н/д")</x:f>
        <x:v>н/д</x:v>
      </x:c>
      <x:c r="X1218" s="20" t="str">
        <x:f>IF(J1218="Рассчитано",V1218-W1218,"н/д")</x:f>
        <x:v>н/д</x:v>
      </x:c>
      <x:c r="Y1218" s="26" t="str">
        <x:f>IF(J1218="Рассчитано",IF(V1218&gt;0,G1218/V1218,"н/д"),"н/д")</x:f>
        <x:v>н/д</x:v>
      </x:c>
      <x:c r="Z1218" s="20" t="str">
        <x:f>"н/д"</x:f>
        <x:v>н/д</x:v>
      </x:c>
      <x:c r="AA1218" s="20" t="str">
        <x:f>"н/д"</x:f>
        <x:v>н/д</x:v>
      </x:c>
      <x:c r="AB1218" s="20" t="str">
        <x:f>"н/д"</x:f>
        <x:v>н/д</x:v>
      </x:c>
      <x:c r="AC1218" s="20" t="str">
        <x:f>IF(AND(J1218="Рассчитано",T1218&gt;0,R1218&lt;100),(W1218+P1218+Q1218)/(T1218*(1-R1218/100)),"н/д")</x:f>
        <x:v>н/д</x:v>
      </x:c>
      <x:c r="AD1218" s="11" t="str">
        <x:f>IF(ISNUMBER(G1218),IF(G1218&lt;0,"Убыток",IF(G1218=0,"Без прибыли","Прибыль &gt; 0")),"Не оценён")</x:f>
        <x:v>Не оценён</x:v>
      </x:c>
      <x:c r="AE1218" s="12" t="str">
        <x:f>IF(J1218="Рассчитано","Выручка "&amp;TEXT(V1218,"0.00")&amp;" - себестоимость "&amp;TEXT(W1218,"0.00")&amp;" - комиссия "&amp;TEXT(V1218*R1218/100,"0.00")&amp;" - доставка "&amp;TEXT(P1218,"0.00")&amp;" - прочие "&amp;TEXT(Q1218,"0.00")&amp;" = "&amp;TEXT(G1218,"0.00")&amp;" "&amp;L1218,"Введите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8" s="23" t="n">
        <x:v>0.5207228645400831</x:v>
      </x:c>
      <x:c r="AG1218" s="35" t="n">
        <x:v>30</x:v>
      </x:c>
      <x:c r="AH1218" s="35" t="n">
        <x:v>0</x:v>
      </x:c>
      <x:c r="AI1218" s="29" t="n">
        <x:v>46266</x:v>
      </x:c>
      <x:c r="AJ1218" s="35"/>
      <x:c r="AK1218" s="11" t="str">
        <x:v>неизвестно</x:v>
      </x:c>
      <x:c r="AL1218" s="31" t="n">
        <x:v>4899.295688421793</x:v>
      </x:c>
      <x:c r="AM1218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18" s="12" t="str">
        <x:v>Проверить свободный остаток и установить цену для B2B</x:v>
      </x:c>
      <x:c r="AO1218" s="12" t="str">
        <x:v>Остаток 30; прогноз 90 дней 0.52; избыток 29 шт. Будущие поступления не выставляются на продажу. Остаток на начало сентября: требуется актуализация.</x:v>
      </x:c>
      <x:c r="AP1218" s="12" t="str">
        <x:v>["category_missing", "daily_stockout_data_missing", "moq_missing", "new_order_lead_time_unknown", "reservations_unknown", "stale_stock", "supplier_sku_missing"]</x:v>
      </x:c>
      <x:c r="AQ1218" s="11" t="str">
        <x:v>IEK:ст-9953354</x:v>
      </x:c>
      <x:c r="AR1218" s="23" t="n">
        <x:v>1</x:v>
      </x:c>
      <x:c r="AS1218" s="23" t="n">
        <x:v>0</x:v>
      </x:c>
      <x:c r="AT1218" s="23" t="n">
        <x:v>0</x:v>
      </x:c>
    </x:row>
    <x:row r="1219" ht="64" customHeight="1">
      <x:c r="A1219" s="10" t="str">
        <x:v>IEK</x:v>
      </x:c>
      <x:c r="B1219" s="34" t="str">
        <x:v>ст-9953508</x:v>
      </x:c>
      <x:c r="C1219" s="34"/>
      <x:c r="D1219" s="13" t="str">
        <x:v>Соединитель безвинтовой CF IEK !!!</x:v>
      </x:c>
      <x:c r="E1219" s="10" t="str">
        <x:v>шт</x:v>
      </x:c>
      <x:c r="F1219" s="37" t="n">
        <x:f>MAX(0,ROUNDDOWN((AG1219-AF1219)/AR1219+0.000000001,0)*AR1219)</x:f>
        <x:v>21</x:v>
      </x:c>
      <x:c r="G1219" s="21" t="str">
        <x:f>IF(J1219="Рассчитано",V1219*(1-R1219/100)-W1219-P1219-Q1219,"н/д")</x:f>
        <x:v>н/д</x:v>
      </x:c>
      <x:c r="H1219" s="13" t="str">
        <x:v>Высокий</x:v>
      </x:c>
      <x:c r="I1219" s="13" t="str">
        <x:v>Высокий</x:v>
      </x:c>
      <x:c r="J1219" s="13" t="str">
        <x:f>IF(L1219="","Укажите валюту",IF(NOT(ISNUMBER(K1219)),"Укажите объём",IF(K1219&lt;=0,"Укажите объём",IF(K1219&gt;F1219,"Объём выше излишка",IF(COUNT(M1219:O1219)&lt;3,"Нужны цены",IF(COUNT(P1219:R1219)&lt;3,"Нужны расходы",IF(OR(M1219&lt;0,N1219&lt;0,O1219&lt;0,O1219&gt;100,P1219&lt;0,Q1219&lt;0,R1219&lt;0,R1219&gt;100),"Проверьте значения","Рассчитано")))))))</x:f>
        <x:v>Нужны цены</x:v>
      </x:c>
      <x:c r="K1219" s="36" t="n">
        <x:v>21</x:v>
      </x:c>
      <x:c r="L1219" s="19" t="str">
        <x:v>KZT</x:v>
      </x:c>
      <x:c r="M1219" s="22"/>
      <x:c r="N1219" s="22"/>
      <x:c r="O1219" s="28"/>
      <x:c r="P1219" s="22"/>
      <x:c r="Q1219" s="22"/>
      <x:c r="R1219" s="28"/>
      <x:c r="S1219" s="22"/>
      <x:c r="T1219" s="37" t="n">
        <x:f>K1219</x:f>
        <x:v>21</x:v>
      </x:c>
      <x:c r="U1219" s="21" t="str">
        <x:f>IF(J1219="Рассчитано",N1219*(1-O1219/100),"н/д")</x:f>
        <x:v>н/д</x:v>
      </x:c>
      <x:c r="V1219" s="21" t="str">
        <x:f>IF(J1219="Рассчитано",T1219*U1219,"н/д")</x:f>
        <x:v>н/д</x:v>
      </x:c>
      <x:c r="W1219" s="21" t="str">
        <x:f>IF(J1219="Рассчитано",T1219*M1219,"н/д")</x:f>
        <x:v>н/д</x:v>
      </x:c>
      <x:c r="X1219" s="21" t="str">
        <x:f>IF(J1219="Рассчитано",V1219-W1219,"н/д")</x:f>
        <x:v>н/д</x:v>
      </x:c>
      <x:c r="Y1219" s="27" t="str">
        <x:f>IF(J1219="Рассчитано",IF(V1219&gt;0,G1219/V1219,"н/д"),"н/д")</x:f>
        <x:v>н/д</x:v>
      </x:c>
      <x:c r="Z1219" s="21" t="str">
        <x:f>"н/д"</x:f>
        <x:v>н/д</x:v>
      </x:c>
      <x:c r="AA1219" s="21" t="str">
        <x:f>"н/д"</x:f>
        <x:v>н/д</x:v>
      </x:c>
      <x:c r="AB1219" s="21" t="str">
        <x:f>"н/д"</x:f>
        <x:v>н/д</x:v>
      </x:c>
      <x:c r="AC1219" s="21" t="str">
        <x:f>IF(AND(J1219="Рассчитано",T1219&gt;0,R1219&lt;100),(W1219+P1219+Q1219)/(T1219*(1-R1219/100)),"н/д")</x:f>
        <x:v>н/д</x:v>
      </x:c>
      <x:c r="AD1219" s="10" t="str">
        <x:f>IF(ISNUMBER(G1219),IF(G1219&lt;0,"Убыток",IF(G1219=0,"Без прибыли","Прибыль &gt; 0")),"Не оценён")</x:f>
        <x:v>Не оценён</x:v>
      </x:c>
      <x:c r="AE1219" s="13" t="str">
        <x:f>IF(J1219="Рассчитано","Выручка "&amp;TEXT(V1219,"0.00")&amp;" - себестоимость "&amp;TEXT(W1219,"0.00")&amp;" - комиссия "&amp;TEXT(V1219*R1219/100,"0.00")&amp;" - доставка "&amp;TEXT(P1219,"0.00")&amp;" - прочие "&amp;TEXT(Q1219,"0.00")&amp;" = "&amp;TEXT(G1219,"0.00")&amp;" "&amp;L1219,"Введите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9" s="24" t="n">
        <x:v>0.5207228645400831</x:v>
      </x:c>
      <x:c r="AG1219" s="37" t="n">
        <x:v>22</x:v>
      </x:c>
      <x:c r="AH1219" s="37" t="n">
        <x:v>0</x:v>
      </x:c>
      <x:c r="AI1219" s="30" t="n">
        <x:v>46266</x:v>
      </x:c>
      <x:c r="AJ1219" s="37"/>
      <x:c r="AK1219" s="10" t="str">
        <x:v>неизвестно</x:v>
      </x:c>
      <x:c r="AL1219" s="32" t="n">
        <x:v>3592.816838175981</x:v>
      </x:c>
      <x:c r="AM1219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19" s="13" t="str">
        <x:v>Проверить свободный остаток и установить цену для B2B</x:v>
      </x:c>
      <x:c r="AO1219" s="13" t="str">
        <x:v>Остаток 22; прогноз 90 дней 0.52; избыток 21 шт. Будущие поступления не выставляются на продажу. Остаток на начало сентября: требуется актуализация.</x:v>
      </x:c>
      <x:c r="AP1219" s="13" t="str">
        <x:v>["category_missing", "daily_stockout_data_missing", "moq_missing", "new_order_lead_time_unknown", "reservations_unknown", "stale_stock", "supplier_sku_missing"]</x:v>
      </x:c>
      <x:c r="AQ1219" s="10" t="str">
        <x:v>IEK:ст-9953508</x:v>
      </x:c>
      <x:c r="AR1219" s="24" t="n">
        <x:v>1</x:v>
      </x:c>
      <x:c r="AS1219" s="24" t="n">
        <x:v>0</x:v>
      </x:c>
      <x:c r="AT1219" s="24" t="n">
        <x:v>0</x:v>
      </x:c>
    </x:row>
    <x:row r="1220" ht="64" customHeight="1">
      <x:c r="A1220" s="11" t="str">
        <x:v>IEK</x:v>
      </x:c>
      <x:c r="B1220" s="33" t="str">
        <x:v>щт-0001802</x:v>
      </x:c>
      <x:c r="C1220" s="33"/>
      <x:c r="D1220" s="12" t="str">
        <x:v>Сиг. лампа ENR-22  d22мм белый неон/240В цилиндр IEK !!!</x:v>
      </x:c>
      <x:c r="E1220" s="11" t="str">
        <x:v>шт</x:v>
      </x:c>
      <x:c r="F1220" s="35" t="n">
        <x:f>MAX(0,ROUNDDOWN((AG1220-AF1220)/AR1220+0.000000001,0)*AR1220)</x:f>
        <x:v>2</x:v>
      </x:c>
      <x:c r="G1220" s="20" t="str">
        <x:f>IF(J1220="Рассчитано",V1220*(1-R1220/100)-W1220-P1220-Q1220,"н/д")</x:f>
        <x:v>н/д</x:v>
      </x:c>
      <x:c r="H1220" s="12" t="str">
        <x:v>Высокий</x:v>
      </x:c>
      <x:c r="I1220" s="12" t="str">
        <x:v>Высокий</x:v>
      </x:c>
      <x:c r="J1220" s="12" t="str">
        <x:f>IF(L1220="","Укажите валюту",IF(NOT(ISNUMBER(K1220)),"Укажите объём",IF(K1220&lt;=0,"Укажите объём",IF(K1220&gt;F1220,"Объём выше излишка",IF(COUNT(M1220:O1220)&lt;3,"Нужны цены",IF(COUNT(P1220:R1220)&lt;3,"Нужны расходы",IF(OR(M1220&lt;0,N1220&lt;0,O1220&lt;0,O1220&gt;100,P1220&lt;0,Q1220&lt;0,R1220&lt;0,R1220&gt;100),"Проверьте значения","Рассчитано")))))))</x:f>
        <x:v>Нужны цены</x:v>
      </x:c>
      <x:c r="K1220" s="36" t="n">
        <x:v>2</x:v>
      </x:c>
      <x:c r="L1220" s="19" t="str">
        <x:v>KZT</x:v>
      </x:c>
      <x:c r="M1220" s="22"/>
      <x:c r="N1220" s="22"/>
      <x:c r="O1220" s="28"/>
      <x:c r="P1220" s="22"/>
      <x:c r="Q1220" s="22"/>
      <x:c r="R1220" s="28"/>
      <x:c r="S1220" s="22"/>
      <x:c r="T1220" s="35" t="n">
        <x:f>K1220</x:f>
        <x:v>2</x:v>
      </x:c>
      <x:c r="U1220" s="20" t="str">
        <x:f>IF(J1220="Рассчитано",N1220*(1-O1220/100),"н/д")</x:f>
        <x:v>н/д</x:v>
      </x:c>
      <x:c r="V1220" s="20" t="str">
        <x:f>IF(J1220="Рассчитано",T1220*U1220,"н/д")</x:f>
        <x:v>н/д</x:v>
      </x:c>
      <x:c r="W1220" s="20" t="str">
        <x:f>IF(J1220="Рассчитано",T1220*M1220,"н/д")</x:f>
        <x:v>н/д</x:v>
      </x:c>
      <x:c r="X1220" s="20" t="str">
        <x:f>IF(J1220="Рассчитано",V1220-W1220,"н/д")</x:f>
        <x:v>н/д</x:v>
      </x:c>
      <x:c r="Y1220" s="26" t="str">
        <x:f>IF(J1220="Рассчитано",IF(V1220&gt;0,G1220/V1220,"н/д"),"н/д")</x:f>
        <x:v>н/д</x:v>
      </x:c>
      <x:c r="Z1220" s="20" t="str">
        <x:f>"н/д"</x:f>
        <x:v>н/д</x:v>
      </x:c>
      <x:c r="AA1220" s="20" t="str">
        <x:f>"н/д"</x:f>
        <x:v>н/д</x:v>
      </x:c>
      <x:c r="AB1220" s="20" t="str">
        <x:f>"н/д"</x:f>
        <x:v>н/д</x:v>
      </x:c>
      <x:c r="AC1220" s="20" t="str">
        <x:f>IF(AND(J1220="Рассчитано",T1220&gt;0,R1220&lt;100),(W1220+P1220+Q1220)/(T1220*(1-R1220/100)),"н/д")</x:f>
        <x:v>н/д</x:v>
      </x:c>
      <x:c r="AD1220" s="11" t="str">
        <x:f>IF(ISNUMBER(G1220),IF(G1220&lt;0,"Убыток",IF(G1220=0,"Без прибыли","Прибыль &gt; 0")),"Не оценён")</x:f>
        <x:v>Не оценён</x:v>
      </x:c>
      <x:c r="AE1220" s="12" t="str">
        <x:f>IF(J1220="Рассчитано","Выручка "&amp;TEXT(V1220,"0.00")&amp;" - себестоимость "&amp;TEXT(W1220,"0.00")&amp;" - комиссия "&amp;TEXT(V1220*R1220/100,"0.00")&amp;" - доставка "&amp;TEXT(P1220,"0.00")&amp;" - прочие "&amp;TEXT(Q1220,"0.00")&amp;" = "&amp;TEXT(G1220,"0.00")&amp;" "&amp;L1220,"Введите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0" s="23" t="n">
        <x:v>0.3939502053888358</x:v>
      </x:c>
      <x:c r="AG1220" s="35" t="n">
        <x:v>3</x:v>
      </x:c>
      <x:c r="AH1220" s="35" t="n">
        <x:v>0</x:v>
      </x:c>
      <x:c r="AI1220" s="29" t="n">
        <x:v>46266</x:v>
      </x:c>
      <x:c r="AJ1220" s="35"/>
      <x:c r="AK1220" s="11" t="str">
        <x:v>неизвестно</x:v>
      </x:c>
      <x:c r="AL1220" s="31" t="n">
        <x:v>647.5882612082445</x:v>
      </x:c>
      <x:c r="AM122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20" s="12" t="str">
        <x:v>Проверить свободный остаток и установить цену для B2B</x:v>
      </x:c>
      <x:c r="AO1220" s="12" t="str">
        <x:v>Остаток 3; прогноз 90 дней 0.39; избыток 2 шт. Будущие поступления не выставляются на продажу. Остаток на начало сентября: требуется актуализация.</x:v>
      </x:c>
      <x:c r="AP1220" s="12" t="str">
        <x:v>["category_missing", "daily_stockout_data_missing", "moq_missing", "new_order_lead_time_unknown", "reservations_unknown", "stale_stock", "supplier_sku_missing"]</x:v>
      </x:c>
      <x:c r="AQ1220" s="11" t="str">
        <x:v>IEK:щт-0001802</x:v>
      </x:c>
      <x:c r="AR1220" s="23" t="n">
        <x:v>1</x:v>
      </x:c>
      <x:c r="AS1220" s="23" t="n">
        <x:v>0</x:v>
      </x:c>
      <x:c r="AT1220" s="23" t="n">
        <x:v>0</x:v>
      </x:c>
    </x:row>
    <x:row r="1221" ht="64" customHeight="1">
      <x:c r="A1221" s="10" t="str">
        <x:v>IEK</x:v>
      </x:c>
      <x:c r="B1221" s="34" t="str">
        <x:v>щт-0002147</x:v>
      </x:c>
      <x:c r="C1221" s="34"/>
      <x:c r="D1221" s="13" t="str">
        <x:v>Подвес V-образный M10 IEK !!!</x:v>
      </x:c>
      <x:c r="E1221" s="10" t="str">
        <x:v>шт</x:v>
      </x:c>
      <x:c r="F1221" s="37" t="n">
        <x:f>MAX(0,ROUNDDOWN((AG1221-AF1221)/AR1221+0.000000001,0)*AR1221)</x:f>
        <x:v>456</x:v>
      </x:c>
      <x:c r="G1221" s="21" t="str">
        <x:f>IF(J1221="Рассчитано",V1221*(1-R1221/100)-W1221-P1221-Q1221,"н/д")</x:f>
        <x:v>н/д</x:v>
      </x:c>
      <x:c r="H1221" s="13" t="str">
        <x:v>Высокий</x:v>
      </x:c>
      <x:c r="I1221" s="13" t="str">
        <x:v>Высокий</x:v>
      </x:c>
      <x:c r="J1221" s="13" t="str">
        <x:f>IF(L1221="","Укажите валюту",IF(NOT(ISNUMBER(K1221)),"Укажите объём",IF(K1221&lt;=0,"Укажите объём",IF(K1221&gt;F1221,"Объём выше излишка",IF(COUNT(M1221:O1221)&lt;3,"Нужны цены",IF(COUNT(P1221:R1221)&lt;3,"Нужны расходы",IF(OR(M1221&lt;0,N1221&lt;0,O1221&lt;0,O1221&gt;100,P1221&lt;0,Q1221&lt;0,R1221&lt;0,R1221&gt;100),"Проверьте значения","Рассчитано")))))))</x:f>
        <x:v>Нужны цены</x:v>
      </x:c>
      <x:c r="K1221" s="36" t="n">
        <x:v>456</x:v>
      </x:c>
      <x:c r="L1221" s="19" t="str">
        <x:v>KZT</x:v>
      </x:c>
      <x:c r="M1221" s="22"/>
      <x:c r="N1221" s="22"/>
      <x:c r="O1221" s="28"/>
      <x:c r="P1221" s="22"/>
      <x:c r="Q1221" s="22"/>
      <x:c r="R1221" s="28"/>
      <x:c r="S1221" s="22"/>
      <x:c r="T1221" s="37" t="n">
        <x:f>K1221</x:f>
        <x:v>456</x:v>
      </x:c>
      <x:c r="U1221" s="21" t="str">
        <x:f>IF(J1221="Рассчитано",N1221*(1-O1221/100),"н/д")</x:f>
        <x:v>н/д</x:v>
      </x:c>
      <x:c r="V1221" s="21" t="str">
        <x:f>IF(J1221="Рассчитано",T1221*U1221,"н/д")</x:f>
        <x:v>н/д</x:v>
      </x:c>
      <x:c r="W1221" s="21" t="str">
        <x:f>IF(J1221="Рассчитано",T1221*M1221,"н/д")</x:f>
        <x:v>н/д</x:v>
      </x:c>
      <x:c r="X1221" s="21" t="str">
        <x:f>IF(J1221="Рассчитано",V1221-W1221,"н/д")</x:f>
        <x:v>н/д</x:v>
      </x:c>
      <x:c r="Y1221" s="27" t="str">
        <x:f>IF(J1221="Рассчитано",IF(V1221&gt;0,G1221/V1221,"н/д"),"н/д")</x:f>
        <x:v>н/д</x:v>
      </x:c>
      <x:c r="Z1221" s="21" t="str">
        <x:f>"н/д"</x:f>
        <x:v>н/д</x:v>
      </x:c>
      <x:c r="AA1221" s="21" t="str">
        <x:f>"н/д"</x:f>
        <x:v>н/д</x:v>
      </x:c>
      <x:c r="AB1221" s="21" t="str">
        <x:f>"н/д"</x:f>
        <x:v>н/д</x:v>
      </x:c>
      <x:c r="AC1221" s="21" t="str">
        <x:f>IF(AND(J1221="Рассчитано",T1221&gt;0,R1221&lt;100),(W1221+P1221+Q1221)/(T1221*(1-R1221/100)),"н/д")</x:f>
        <x:v>н/д</x:v>
      </x:c>
      <x:c r="AD1221" s="10" t="str">
        <x:f>IF(ISNUMBER(G1221),IF(G1221&lt;0,"Убыток",IF(G1221=0,"Без прибыли","Прибыль &gt; 0")),"Не оценён")</x:f>
        <x:v>Не оценён</x:v>
      </x:c>
      <x:c r="AE1221" s="13" t="str">
        <x:f>IF(J1221="Рассчитано","Выручка "&amp;TEXT(V1221,"0.00")&amp;" - себестоимость "&amp;TEXT(W1221,"0.00")&amp;" - комиссия "&amp;TEXT(V1221*R1221/100,"0.00")&amp;" - доставка "&amp;TEXT(P1221,"0.00")&amp;" - прочие "&amp;TEXT(Q1221,"0.00")&amp;" = "&amp;TEXT(G1221,"0.00")&amp;" "&amp;L1221,"Введите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1" s="24" t="n">
        <x:v>13.199845625560256</x:v>
      </x:c>
      <x:c r="AG1221" s="37" t="n">
        <x:v>470</x:v>
      </x:c>
      <x:c r="AH1221" s="37" t="n">
        <x:v>0</x:v>
      </x:c>
      <x:c r="AI1221" s="30" t="n">
        <x:v>46266</x:v>
      </x:c>
      <x:c r="AJ1221" s="37"/>
      <x:c r="AK1221" s="10" t="str">
        <x:v>неизвестно</x:v>
      </x:c>
      <x:c r="AL1221" s="32" t="n">
        <x:v>3027.9454725262553</x:v>
      </x:c>
      <x:c r="AM1221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21" s="13" t="str">
        <x:v>Проверить свободный остаток и установить цену для B2B</x:v>
      </x:c>
      <x:c r="AO1221" s="13" t="str">
        <x:v>Остаток 470; прогноз 90 дней 13.20; избыток 456 шт. Будущие поступления не выставляются на продажу. Остаток на начало сентября: требуется актуализация.</x:v>
      </x:c>
      <x:c r="AP1221" s="13" t="str">
        <x:v>["category_missing", "daily_stockout_data_missing", "moq_missing", "new_order_lead_time_unknown", "reservations_unknown", "stale_stock", "supplier_sku_missing"]</x:v>
      </x:c>
      <x:c r="AQ1221" s="10" t="str">
        <x:v>IEK:щт-0002147</x:v>
      </x:c>
      <x:c r="AR1221" s="24" t="n">
        <x:v>1</x:v>
      </x:c>
      <x:c r="AS1221" s="24" t="n">
        <x:v>0</x:v>
      </x:c>
      <x:c r="AT1221" s="24" t="n">
        <x:v>0</x:v>
      </x:c>
    </x:row>
    <x:row r="1222" ht="64" customHeight="1">
      <x:c r="A1222" s="11" t="str">
        <x:v>IEK</x:v>
      </x:c>
      <x:c r="B1222" s="33" t="str">
        <x:v>щт02229866</x:v>
      </x:c>
      <x:c r="C1222" s="33"/>
      <x:c r="D1222" s="12" t="str">
        <x:v>Совмещенный контакт АКДК-250/400А IEK !!!</x:v>
      </x:c>
      <x:c r="E1222" s="11" t="str">
        <x:v>шт</x:v>
      </x:c>
      <x:c r="F1222" s="35" t="n">
        <x:f>MAX(0,ROUNDDOWN((AG1222-AF1222)/AR1222+0.000000001,0)*AR1222)</x:f>
        <x:v>45</x:v>
      </x:c>
      <x:c r="G1222" s="20" t="str">
        <x:f>IF(J1222="Рассчитано",V1222*(1-R1222/100)-W1222-P1222-Q1222,"н/д")</x:f>
        <x:v>н/д</x:v>
      </x:c>
      <x:c r="H1222" s="12" t="str">
        <x:v>Высокий</x:v>
      </x:c>
      <x:c r="I1222" s="12" t="str">
        <x:v>Высокий</x:v>
      </x:c>
      <x:c r="J1222" s="12" t="str">
        <x:f>IF(L1222="","Укажите валюту",IF(NOT(ISNUMBER(K1222)),"Укажите объём",IF(K1222&lt;=0,"Укажите объём",IF(K1222&gt;F1222,"Объём выше излишка",IF(COUNT(M1222:O1222)&lt;3,"Нужны цены",IF(COUNT(P1222:R1222)&lt;3,"Нужны расходы",IF(OR(M1222&lt;0,N1222&lt;0,O1222&lt;0,O1222&gt;100,P1222&lt;0,Q1222&lt;0,R1222&lt;0,R1222&gt;100),"Проверьте значения","Рассчитано")))))))</x:f>
        <x:v>Нужны цены</x:v>
      </x:c>
      <x:c r="K1222" s="36" t="n">
        <x:v>45</x:v>
      </x:c>
      <x:c r="L1222" s="19" t="str">
        <x:v>KZT</x:v>
      </x:c>
      <x:c r="M1222" s="22"/>
      <x:c r="N1222" s="22"/>
      <x:c r="O1222" s="28"/>
      <x:c r="P1222" s="22"/>
      <x:c r="Q1222" s="22"/>
      <x:c r="R1222" s="28"/>
      <x:c r="S1222" s="22"/>
      <x:c r="T1222" s="35" t="n">
        <x:f>K1222</x:f>
        <x:v>45</x:v>
      </x:c>
      <x:c r="U1222" s="20" t="str">
        <x:f>IF(J1222="Рассчитано",N1222*(1-O1222/100),"н/д")</x:f>
        <x:v>н/д</x:v>
      </x:c>
      <x:c r="V1222" s="20" t="str">
        <x:f>IF(J1222="Рассчитано",T1222*U1222,"н/д")</x:f>
        <x:v>н/д</x:v>
      </x:c>
      <x:c r="W1222" s="20" t="str">
        <x:f>IF(J1222="Рассчитано",T1222*M1222,"н/д")</x:f>
        <x:v>н/д</x:v>
      </x:c>
      <x:c r="X1222" s="20" t="str">
        <x:f>IF(J1222="Рассчитано",V1222-W1222,"н/д")</x:f>
        <x:v>н/д</x:v>
      </x:c>
      <x:c r="Y1222" s="26" t="str">
        <x:f>IF(J1222="Рассчитано",IF(V1222&gt;0,G1222/V1222,"н/д"),"н/д")</x:f>
        <x:v>н/д</x:v>
      </x:c>
      <x:c r="Z1222" s="20" t="str">
        <x:f>"н/д"</x:f>
        <x:v>н/д</x:v>
      </x:c>
      <x:c r="AA1222" s="20" t="str">
        <x:f>"н/д"</x:f>
        <x:v>н/д</x:v>
      </x:c>
      <x:c r="AB1222" s="20" t="str">
        <x:f>"н/д"</x:f>
        <x:v>н/д</x:v>
      </x:c>
      <x:c r="AC1222" s="20" t="str">
        <x:f>IF(AND(J1222="Рассчитано",T1222&gt;0,R1222&lt;100),(W1222+P1222+Q1222)/(T1222*(1-R1222/100)),"н/д")</x:f>
        <x:v>н/д</x:v>
      </x:c>
      <x:c r="AD1222" s="11" t="str">
        <x:f>IF(ISNUMBER(G1222),IF(G1222&lt;0,"Убыток",IF(G1222=0,"Без прибыли","Прибыль &gt; 0")),"Не оценён")</x:f>
        <x:v>Не оценён</x:v>
      </x:c>
      <x:c r="AE1222" s="12" t="str">
        <x:f>IF(J1222="Рассчитано","Выручка "&amp;TEXT(V1222,"0.00")&amp;" - себестоимость "&amp;TEXT(W1222,"0.00")&amp;" - комиссия "&amp;TEXT(V1222*R1222/100,"0.00")&amp;" - доставка "&amp;TEXT(P1222,"0.00")&amp;" - прочие "&amp;TEXT(Q1222,"0.00")&amp;" = "&amp;TEXT(G1222,"0.00")&amp;" "&amp;L1222,"Введите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2" s="23" t="n">
        <x:v>0</x:v>
      </x:c>
      <x:c r="AG1222" s="35" t="n">
        <x:v>45</x:v>
      </x:c>
      <x:c r="AH1222" s="35" t="n">
        <x:v>0</x:v>
      </x:c>
      <x:c r="AI1222" s="29" t="n">
        <x:v>46266</x:v>
      </x:c>
      <x:c r="AJ1222" s="35"/>
      <x:c r="AK1222" s="11" t="str">
        <x:v>неизвестно</x:v>
      </x:c>
      <x:c r="AL1222" s="31" t="str">
        <x:v>н/д</x:v>
      </x:c>
      <x:c r="AM1222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22" s="12" t="str">
        <x:v>Проверить свободный остаток и установить цену для B2B</x:v>
      </x:c>
      <x:c r="AO1222" s="12" t="str">
        <x:v>Остаток 45; прогноз 90 дней 0.00; избыток 45 шт. Будущие поступления не выставляются на продажу. Остаток на начало сентября: требуется актуализация.</x:v>
      </x:c>
      <x:c r="AP1222" s="12" t="str">
        <x:v>["category_missing", "daily_stockout_data_missing", "moq_missing", "new_order_lead_time_unknown", "reservations_unknown", "stale_stock", "supplier_sku_missing"]</x:v>
      </x:c>
      <x:c r="AQ1222" s="11" t="str">
        <x:v>IEK:щт02229866</x:v>
      </x:c>
      <x:c r="AR1222" s="23" t="n">
        <x:v>1</x:v>
      </x:c>
      <x:c r="AS1222" s="23" t="n">
        <x:v>0</x:v>
      </x:c>
      <x:c r="AT1222" s="23" t="n">
        <x:v>0</x:v>
      </x:c>
    </x:row>
    <x:row r="1223" ht="64" customHeight="1">
      <x:c r="A1223" s="10" t="str">
        <x:v>IEK</x:v>
      </x:c>
      <x:c r="B1223" s="34" t="str">
        <x:v>щт02230193</x:v>
      </x:c>
      <x:c r="C1223" s="34"/>
      <x:c r="D1223" s="13" t="str">
        <x:v>ВА47-29 (3ф)  4А 4,5кА х-ка D IEK !!!</x:v>
      </x:c>
      <x:c r="E1223" s="10" t="str">
        <x:v>шт</x:v>
      </x:c>
      <x:c r="F1223" s="37" t="n">
        <x:f>MAX(0,ROUNDDOWN((AG1223-AF1223)/AR1223+0.000000001,0)*AR1223)</x:f>
        <x:v>3</x:v>
      </x:c>
      <x:c r="G1223" s="21" t="str">
        <x:f>IF(J1223="Рассчитано",V1223*(1-R1223/100)-W1223-P1223-Q1223,"н/д")</x:f>
        <x:v>н/д</x:v>
      </x:c>
      <x:c r="H1223" s="13" t="str">
        <x:v>Высокий</x:v>
      </x:c>
      <x:c r="I1223" s="13" t="str">
        <x:v>Высокий</x:v>
      </x:c>
      <x:c r="J1223" s="13" t="str">
        <x:f>IF(L1223="","Укажите валюту",IF(NOT(ISNUMBER(K1223)),"Укажите объём",IF(K1223&lt;=0,"Укажите объём",IF(K1223&gt;F1223,"Объём выше излишка",IF(COUNT(M1223:O1223)&lt;3,"Нужны цены",IF(COUNT(P1223:R1223)&lt;3,"Нужны расходы",IF(OR(M1223&lt;0,N1223&lt;0,O1223&lt;0,O1223&gt;100,P1223&lt;0,Q1223&lt;0,R1223&lt;0,R1223&gt;100),"Проверьте значения","Рассчитано")))))))</x:f>
        <x:v>Нужны цены</x:v>
      </x:c>
      <x:c r="K1223" s="36" t="n">
        <x:v>3</x:v>
      </x:c>
      <x:c r="L1223" s="19" t="str">
        <x:v>KZT</x:v>
      </x:c>
      <x:c r="M1223" s="22"/>
      <x:c r="N1223" s="22"/>
      <x:c r="O1223" s="28"/>
      <x:c r="P1223" s="22"/>
      <x:c r="Q1223" s="22"/>
      <x:c r="R1223" s="28"/>
      <x:c r="S1223" s="22"/>
      <x:c r="T1223" s="37" t="n">
        <x:f>K1223</x:f>
        <x:v>3</x:v>
      </x:c>
      <x:c r="U1223" s="21" t="str">
        <x:f>IF(J1223="Рассчитано",N1223*(1-O1223/100),"н/д")</x:f>
        <x:v>н/д</x:v>
      </x:c>
      <x:c r="V1223" s="21" t="str">
        <x:f>IF(J1223="Рассчитано",T1223*U1223,"н/д")</x:f>
        <x:v>н/д</x:v>
      </x:c>
      <x:c r="W1223" s="21" t="str">
        <x:f>IF(J1223="Рассчитано",T1223*M1223,"н/д")</x:f>
        <x:v>н/д</x:v>
      </x:c>
      <x:c r="X1223" s="21" t="str">
        <x:f>IF(J1223="Рассчитано",V1223-W1223,"н/д")</x:f>
        <x:v>н/д</x:v>
      </x:c>
      <x:c r="Y1223" s="27" t="str">
        <x:f>IF(J1223="Рассчитано",IF(V1223&gt;0,G1223/V1223,"н/д"),"н/д")</x:f>
        <x:v>н/д</x:v>
      </x:c>
      <x:c r="Z1223" s="21" t="str">
        <x:f>"н/д"</x:f>
        <x:v>н/д</x:v>
      </x:c>
      <x:c r="AA1223" s="21" t="str">
        <x:f>"н/д"</x:f>
        <x:v>н/д</x:v>
      </x:c>
      <x:c r="AB1223" s="21" t="str">
        <x:f>"н/д"</x:f>
        <x:v>н/д</x:v>
      </x:c>
      <x:c r="AC1223" s="21" t="str">
        <x:f>IF(AND(J1223="Рассчитано",T1223&gt;0,R1223&lt;100),(W1223+P1223+Q1223)/(T1223*(1-R1223/100)),"н/д")</x:f>
        <x:v>н/д</x:v>
      </x:c>
      <x:c r="AD1223" s="10" t="str">
        <x:f>IF(ISNUMBER(G1223),IF(G1223&lt;0,"Убыток",IF(G1223=0,"Без прибыли","Прибыль &gt; 0")),"Не оценён")</x:f>
        <x:v>Не оценён</x:v>
      </x:c>
      <x:c r="AE1223" s="13" t="str">
        <x:f>IF(J1223="Рассчитано","Выручка "&amp;TEXT(V1223,"0.00")&amp;" - себестоимость "&amp;TEXT(W1223,"0.00")&amp;" - комиссия "&amp;TEXT(V1223*R1223/100,"0.00")&amp;" - доставка "&amp;TEXT(P1223,"0.00")&amp;" - прочие "&amp;TEXT(Q1223,"0.00")&amp;" = "&amp;TEXT(G1223,"0.00")&amp;" "&amp;L1223,"Введите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3" s="24" t="n">
        <x:v>0</x:v>
      </x:c>
      <x:c r="AG1223" s="37" t="n">
        <x:v>3</x:v>
      </x:c>
      <x:c r="AH1223" s="37" t="n">
        <x:v>0</x:v>
      </x:c>
      <x:c r="AI1223" s="30" t="n">
        <x:v>46266</x:v>
      </x:c>
      <x:c r="AJ1223" s="37"/>
      <x:c r="AK1223" s="10" t="str">
        <x:v>неизвестно</x:v>
      </x:c>
      <x:c r="AL1223" s="32" t="str">
        <x:v>н/д</x:v>
      </x:c>
      <x:c r="AM1223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23" s="13" t="str">
        <x:v>Проверить свободный остаток и установить цену для B2B</x:v>
      </x:c>
      <x:c r="AO1223" s="13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1223" s="13" t="str">
        <x:v>["category_missing", "daily_stockout_data_missing", "moq_missing", "new_order_lead_time_unknown", "reservations_unknown", "stale_stock", "supplier_sku_missing"]</x:v>
      </x:c>
      <x:c r="AQ1223" s="10" t="str">
        <x:v>IEK:щт02230193</x:v>
      </x:c>
      <x:c r="AR1223" s="24" t="n">
        <x:v>1</x:v>
      </x:c>
      <x:c r="AS1223" s="24" t="n">
        <x:v>0</x:v>
      </x:c>
      <x:c r="AT1223" s="24" t="n">
        <x:v>0</x:v>
      </x:c>
    </x:row>
    <x:row r="1224" ht="64" customHeight="1">
      <x:c r="A1224" s="11" t="str">
        <x:v>IEK</x:v>
      </x:c>
      <x:c r="B1224" s="33" t="str">
        <x:v>щщ0001050</x:v>
      </x:c>
      <x:c r="C1224" s="33"/>
      <x:c r="D1224" s="12" t="str">
        <x:v>Наконечник НВИ 2-5 вилка 1,5-2,5мм (100 шт) IEK !</x:v>
      </x:c>
      <x:c r="E1224" s="11" t="str">
        <x:v>упак</x:v>
      </x:c>
      <x:c r="F1224" s="35" t="n">
        <x:f>MAX(0,ROUNDDOWN((AG1224-AF1224)/AR1224+0.000000001,0)*AR1224)</x:f>
        <x:v>6</x:v>
      </x:c>
      <x:c r="G1224" s="20" t="str">
        <x:f>IF(J1224="Рассчитано",V1224*(1-R1224/100)-W1224-P1224-Q1224,"н/д")</x:f>
        <x:v>н/д</x:v>
      </x:c>
      <x:c r="H1224" s="12" t="str">
        <x:v>Высокий</x:v>
      </x:c>
      <x:c r="I1224" s="12" t="str">
        <x:v>Высокий</x:v>
      </x:c>
      <x:c r="J1224" s="12" t="str">
        <x:f>IF(L1224="","Укажите валюту",IF(NOT(ISNUMBER(K1224)),"Укажите объём",IF(K1224&lt;=0,"Укажите объём",IF(K1224&gt;F1224,"Объём выше излишка",IF(COUNT(M1224:O1224)&lt;3,"Нужны цены",IF(COUNT(P1224:R1224)&lt;3,"Нужны расходы",IF(OR(M1224&lt;0,N1224&lt;0,O1224&lt;0,O1224&gt;100,P1224&lt;0,Q1224&lt;0,R1224&lt;0,R1224&gt;100),"Проверьте значения","Рассчитано")))))))</x:f>
        <x:v>Нужны цены</x:v>
      </x:c>
      <x:c r="K1224" s="36" t="n">
        <x:v>6</x:v>
      </x:c>
      <x:c r="L1224" s="19" t="str">
        <x:v>KZT</x:v>
      </x:c>
      <x:c r="M1224" s="22"/>
      <x:c r="N1224" s="22"/>
      <x:c r="O1224" s="28"/>
      <x:c r="P1224" s="22"/>
      <x:c r="Q1224" s="22"/>
      <x:c r="R1224" s="28"/>
      <x:c r="S1224" s="22"/>
      <x:c r="T1224" s="35" t="n">
        <x:f>K1224</x:f>
        <x:v>6</x:v>
      </x:c>
      <x:c r="U1224" s="20" t="str">
        <x:f>IF(J1224="Рассчитано",N1224*(1-O1224/100),"н/д")</x:f>
        <x:v>н/д</x:v>
      </x:c>
      <x:c r="V1224" s="20" t="str">
        <x:f>IF(J1224="Рассчитано",T1224*U1224,"н/д")</x:f>
        <x:v>н/д</x:v>
      </x:c>
      <x:c r="W1224" s="20" t="str">
        <x:f>IF(J1224="Рассчитано",T1224*M1224,"н/д")</x:f>
        <x:v>н/д</x:v>
      </x:c>
      <x:c r="X1224" s="20" t="str">
        <x:f>IF(J1224="Рассчитано",V1224-W1224,"н/д")</x:f>
        <x:v>н/д</x:v>
      </x:c>
      <x:c r="Y1224" s="26" t="str">
        <x:f>IF(J1224="Рассчитано",IF(V1224&gt;0,G1224/V1224,"н/д"),"н/д")</x:f>
        <x:v>н/д</x:v>
      </x:c>
      <x:c r="Z1224" s="20" t="str">
        <x:f>"н/д"</x:f>
        <x:v>н/д</x:v>
      </x:c>
      <x:c r="AA1224" s="20" t="str">
        <x:f>"н/д"</x:f>
        <x:v>н/д</x:v>
      </x:c>
      <x:c r="AB1224" s="20" t="str">
        <x:f>"н/д"</x:f>
        <x:v>н/д</x:v>
      </x:c>
      <x:c r="AC1224" s="20" t="str">
        <x:f>IF(AND(J1224="Рассчитано",T1224&gt;0,R1224&lt;100),(W1224+P1224+Q1224)/(T1224*(1-R1224/100)),"н/д")</x:f>
        <x:v>н/д</x:v>
      </x:c>
      <x:c r="AD1224" s="11" t="str">
        <x:f>IF(ISNUMBER(G1224),IF(G1224&lt;0,"Убыток",IF(G1224=0,"Без прибыли","Прибыль &gt; 0")),"Не оценён")</x:f>
        <x:v>Не оценён</x:v>
      </x:c>
      <x:c r="AE1224" s="12" t="str">
        <x:f>IF(J1224="Рассчитано","Выручка "&amp;TEXT(V1224,"0.00")&amp;" - себестоимость "&amp;TEXT(W1224,"0.00")&amp;" - комиссия "&amp;TEXT(V1224*R1224/100,"0.00")&amp;" - доставка "&amp;TEXT(P1224,"0.00")&amp;" - прочие "&amp;TEXT(Q1224,"0.00")&amp;" = "&amp;TEXT(G1224,"0.00")&amp;" "&amp;L1224,"Введите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4" s="23" t="n">
        <x:v>0.14538289932069773</x:v>
      </x:c>
      <x:c r="AG1224" s="35" t="n">
        <x:v>7</x:v>
      </x:c>
      <x:c r="AH1224" s="35" t="n">
        <x:v>0</x:v>
      </x:c>
      <x:c r="AI1224" s="29" t="n">
        <x:v>46266</x:v>
      </x:c>
      <x:c r="AJ1224" s="35"/>
      <x:c r="AK1224" s="11" t="str">
        <x:v>неизвестно</x:v>
      </x:c>
      <x:c r="AL1224" s="31" t="n">
        <x:v>4094.527182855245</x:v>
      </x:c>
      <x:c r="AM1224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24" s="12" t="str">
        <x:v>Проверить свободный остаток и установить цену для B2B</x:v>
      </x:c>
      <x:c r="AO1224" s="12" t="str">
        <x:v>Остаток 7; прогноз 90 дней 0.15; избыток 6 упак. Будущие поступления не выставляются на продажу. Остаток на начало сентября: требуется актуализация.</x:v>
      </x:c>
      <x:c r="AP1224" s="12" t="str">
        <x:v>["category_missing", "daily_stockout_data_missing", "moq_missing", "new_order_lead_time_unknown", "reservations_unknown", "stale_stock", "supplier_sku_missing"]</x:v>
      </x:c>
      <x:c r="AQ1224" s="11" t="str">
        <x:v>IEK:щщ0001050</x:v>
      </x:c>
      <x:c r="AR1224" s="23" t="n">
        <x:v>1</x:v>
      </x:c>
      <x:c r="AS1224" s="23" t="n">
        <x:v>0</x:v>
      </x:c>
      <x:c r="AT1224" s="23" t="n">
        <x:v>0</x:v>
      </x:c>
    </x:row>
    <x:row r="1225" ht="64" customHeight="1">
      <x:c r="A1225" s="10" t="str">
        <x:v>IEK</x:v>
      </x:c>
      <x:c r="B1225" s="34" t="str">
        <x:v>ярп40132</x:v>
      </x:c>
      <x:c r="C1225" s="34"/>
      <x:c r="D1225" s="13" t="str">
        <x:v>LED C35 "Свеча" 7w 230v 4000К E27 IEK</x:v>
      </x:c>
      <x:c r="E1225" s="10" t="str">
        <x:v>шт</x:v>
      </x:c>
      <x:c r="F1225" s="37" t="n">
        <x:f>MAX(0,ROUNDDOWN((AG1225-AF1225)/AR1225+0.000000001,0)*AR1225)</x:f>
        <x:v>5</x:v>
      </x:c>
      <x:c r="G1225" s="21" t="str">
        <x:f>IF(J1225="Рассчитано",V1225*(1-R1225/100)-W1225-P1225-Q1225,"н/д")</x:f>
        <x:v>н/д</x:v>
      </x:c>
      <x:c r="H1225" s="13" t="str">
        <x:v>Высокий</x:v>
      </x:c>
      <x:c r="I1225" s="13" t="str">
        <x:v>Высокий</x:v>
      </x:c>
      <x:c r="J1225" s="13" t="str">
        <x:f>IF(L1225="","Укажите валюту",IF(NOT(ISNUMBER(K1225)),"Укажите объём",IF(K1225&lt;=0,"Укажите объём",IF(K1225&gt;F1225,"Объём выше излишка",IF(COUNT(M1225:O1225)&lt;3,"Нужны цены",IF(COUNT(P1225:R1225)&lt;3,"Нужны расходы",IF(OR(M1225&lt;0,N1225&lt;0,O1225&lt;0,O1225&gt;100,P1225&lt;0,Q1225&lt;0,R1225&lt;0,R1225&gt;100),"Проверьте значения","Рассчитано")))))))</x:f>
        <x:v>Нужны цены</x:v>
      </x:c>
      <x:c r="K1225" s="36" t="n">
        <x:v>5</x:v>
      </x:c>
      <x:c r="L1225" s="19" t="str">
        <x:v>KZT</x:v>
      </x:c>
      <x:c r="M1225" s="22"/>
      <x:c r="N1225" s="22"/>
      <x:c r="O1225" s="28"/>
      <x:c r="P1225" s="22"/>
      <x:c r="Q1225" s="22"/>
      <x:c r="R1225" s="28"/>
      <x:c r="S1225" s="22"/>
      <x:c r="T1225" s="37" t="n">
        <x:f>K1225</x:f>
        <x:v>5</x:v>
      </x:c>
      <x:c r="U1225" s="21" t="str">
        <x:f>IF(J1225="Рассчитано",N1225*(1-O1225/100),"н/д")</x:f>
        <x:v>н/д</x:v>
      </x:c>
      <x:c r="V1225" s="21" t="str">
        <x:f>IF(J1225="Рассчитано",T1225*U1225,"н/д")</x:f>
        <x:v>н/д</x:v>
      </x:c>
      <x:c r="W1225" s="21" t="str">
        <x:f>IF(J1225="Рассчитано",T1225*M1225,"н/д")</x:f>
        <x:v>н/д</x:v>
      </x:c>
      <x:c r="X1225" s="21" t="str">
        <x:f>IF(J1225="Рассчитано",V1225-W1225,"н/д")</x:f>
        <x:v>н/д</x:v>
      </x:c>
      <x:c r="Y1225" s="27" t="str">
        <x:f>IF(J1225="Рассчитано",IF(V1225&gt;0,G1225/V1225,"н/д"),"н/д")</x:f>
        <x:v>н/д</x:v>
      </x:c>
      <x:c r="Z1225" s="21" t="str">
        <x:f>"н/д"</x:f>
        <x:v>н/д</x:v>
      </x:c>
      <x:c r="AA1225" s="21" t="str">
        <x:f>"н/д"</x:f>
        <x:v>н/д</x:v>
      </x:c>
      <x:c r="AB1225" s="21" t="str">
        <x:f>"н/д"</x:f>
        <x:v>н/д</x:v>
      </x:c>
      <x:c r="AC1225" s="21" t="str">
        <x:f>IF(AND(J1225="Рассчитано",T1225&gt;0,R1225&lt;100),(W1225+P1225+Q1225)/(T1225*(1-R1225/100)),"н/д")</x:f>
        <x:v>н/д</x:v>
      </x:c>
      <x:c r="AD1225" s="10" t="str">
        <x:f>IF(ISNUMBER(G1225),IF(G1225&lt;0,"Убыток",IF(G1225=0,"Без прибыли","Прибыль &gt; 0")),"Не оценён")</x:f>
        <x:v>Не оценён</x:v>
      </x:c>
      <x:c r="AE1225" s="13" t="str">
        <x:f>IF(J1225="Рассчитано","Выручка "&amp;TEXT(V1225,"0.00")&amp;" - себестоимость "&amp;TEXT(W1225,"0.00")&amp;" - комиссия "&amp;TEXT(V1225*R1225/100,"0.00")&amp;" - доставка "&amp;TEXT(P1225,"0.00")&amp;" - прочие "&amp;TEXT(Q1225,"0.00")&amp;" = "&amp;TEXT(G1225,"0.00")&amp;" "&amp;L1225,"Введите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5" s="24" t="n">
        <x:v>4.3222065645996866</x:v>
      </x:c>
      <x:c r="AG1225" s="37" t="n">
        <x:v>10</x:v>
      </x:c>
      <x:c r="AH1225" s="37" t="n">
        <x:v>0</x:v>
      </x:c>
      <x:c r="AI1225" s="30" t="n">
        <x:v>46266</x:v>
      </x:c>
      <x:c r="AJ1225" s="37"/>
      <x:c r="AK1225" s="10" t="str">
        <x:v>неизвестно</x:v>
      </x:c>
      <x:c r="AL1225" s="32" t="n">
        <x:v>196.74944938224024</x:v>
      </x:c>
      <x:c r="AM1225" s="13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25" s="13" t="str">
        <x:v>Проверить свободный остаток и установить цену для B2B</x:v>
      </x:c>
      <x:c r="AO1225" s="13" t="str">
        <x:v>Остаток 10; прогноз 90 дней 4.32; избыток 5 шт. Будущие поступления не выставляются на продажу. Остаток на начало сентября: требуется актуализация.</x:v>
      </x:c>
      <x:c r="AP1225" s="13" t="str">
        <x:v>["category_missing", "daily_stockout_data_missing", "moq_missing", "new_order_lead_time_unknown", "reservations_unknown", "stale_stock", "supplier_sku_missing"]</x:v>
      </x:c>
      <x:c r="AQ1225" s="10" t="str">
        <x:v>IEK:ярп40132</x:v>
      </x:c>
      <x:c r="AR1225" s="24" t="n">
        <x:v>1</x:v>
      </x:c>
      <x:c r="AS1225" s="24" t="n">
        <x:v>0</x:v>
      </x:c>
      <x:c r="AT1225" s="24" t="n">
        <x:v>0</x:v>
      </x:c>
    </x:row>
    <x:row r="1226" ht="64" customHeight="1">
      <x:c r="A1226" s="11" t="str">
        <x:v>IEK</x:v>
      </x:c>
      <x:c r="B1226" s="33" t="str">
        <x:v>ярп40244</x:v>
      </x:c>
      <x:c r="C1226" s="33" t="str">
        <x:v>MKP13-V-06-41-K02</x:v>
      </x:c>
      <x:c r="D1226" s="12" t="str">
        <x:v>ЩРВ-П  6 IEK черный IP41</x:v>
      </x:c>
      <x:c r="E1226" s="11" t="str">
        <x:v>шт</x:v>
      </x:c>
      <x:c r="F1226" s="35" t="n">
        <x:f>MAX(0,ROUNDDOWN((AG1226-AF1226)/AR1226+0.000000001,0)*AR1226)</x:f>
        <x:v>2</x:v>
      </x:c>
      <x:c r="G1226" s="20" t="str">
        <x:f>IF(J1226="Рассчитано",V1226*(1-R1226/100)-W1226-P1226-Q1226,"н/д")</x:f>
        <x:v>н/д</x:v>
      </x:c>
      <x:c r="H1226" s="12" t="str">
        <x:v>Высокий</x:v>
      </x:c>
      <x:c r="I1226" s="12" t="str">
        <x:v>Высокий</x:v>
      </x:c>
      <x:c r="J1226" s="12" t="str">
        <x:f>IF(L1226="","Укажите валюту",IF(NOT(ISNUMBER(K1226)),"Укажите объём",IF(K1226&lt;=0,"Укажите объём",IF(K1226&gt;F1226,"Объём выше излишка",IF(COUNT(M1226:O1226)&lt;3,"Нужны цены",IF(COUNT(P1226:R1226)&lt;3,"Нужны расходы",IF(OR(M1226&lt;0,N1226&lt;0,O1226&lt;0,O1226&gt;100,P1226&lt;0,Q1226&lt;0,R1226&lt;0,R1226&gt;100),"Проверьте значения","Рассчитано")))))))</x:f>
        <x:v>Нужны цены</x:v>
      </x:c>
      <x:c r="K1226" s="36" t="n">
        <x:v>2</x:v>
      </x:c>
      <x:c r="L1226" s="19" t="str">
        <x:v>KZT</x:v>
      </x:c>
      <x:c r="M1226" s="22"/>
      <x:c r="N1226" s="22"/>
      <x:c r="O1226" s="28"/>
      <x:c r="P1226" s="22"/>
      <x:c r="Q1226" s="22"/>
      <x:c r="R1226" s="28"/>
      <x:c r="S1226" s="22"/>
      <x:c r="T1226" s="35" t="n">
        <x:f>K1226</x:f>
        <x:v>2</x:v>
      </x:c>
      <x:c r="U1226" s="20" t="str">
        <x:f>IF(J1226="Рассчитано",N1226*(1-O1226/100),"н/д")</x:f>
        <x:v>н/д</x:v>
      </x:c>
      <x:c r="V1226" s="20" t="str">
        <x:f>IF(J1226="Рассчитано",T1226*U1226,"н/д")</x:f>
        <x:v>н/д</x:v>
      </x:c>
      <x:c r="W1226" s="20" t="str">
        <x:f>IF(J1226="Рассчитано",T1226*M1226,"н/д")</x:f>
        <x:v>н/д</x:v>
      </x:c>
      <x:c r="X1226" s="20" t="str">
        <x:f>IF(J1226="Рассчитано",V1226-W1226,"н/д")</x:f>
        <x:v>н/д</x:v>
      </x:c>
      <x:c r="Y1226" s="26" t="str">
        <x:f>IF(J1226="Рассчитано",IF(V1226&gt;0,G1226/V1226,"н/д"),"н/д")</x:f>
        <x:v>н/д</x:v>
      </x:c>
      <x:c r="Z1226" s="20" t="str">
        <x:f>"н/д"</x:f>
        <x:v>н/д</x:v>
      </x:c>
      <x:c r="AA1226" s="20" t="str">
        <x:f>"н/д"</x:f>
        <x:v>н/д</x:v>
      </x:c>
      <x:c r="AB1226" s="20" t="str">
        <x:f>"н/д"</x:f>
        <x:v>н/д</x:v>
      </x:c>
      <x:c r="AC1226" s="20" t="str">
        <x:f>IF(AND(J1226="Рассчитано",T1226&gt;0,R1226&lt;100),(W1226+P1226+Q1226)/(T1226*(1-R1226/100)),"н/д")</x:f>
        <x:v>н/д</x:v>
      </x:c>
      <x:c r="AD1226" s="11" t="str">
        <x:f>IF(ISNUMBER(G1226),IF(G1226&lt;0,"Убыток",IF(G1226=0,"Без прибыли","Прибыль &gt; 0")),"Не оценён")</x:f>
        <x:v>Не оценён</x:v>
      </x:c>
      <x:c r="AE1226" s="12" t="str">
        <x:f>IF(J1226="Рассчитано","Выручка "&amp;TEXT(V1226,"0.00")&amp;" - себестоимость "&amp;TEXT(W1226,"0.00")&amp;" - комиссия "&amp;TEXT(V1226*R1226/100,"0.00")&amp;" - доставка "&amp;TEXT(P1226,"0.00")&amp;" - прочие "&amp;TEXT(Q1226,"0.00")&amp;" = "&amp;TEXT(G1226,"0.00")&amp;" "&amp;L1226,"Введите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6" s="23" t="n">
        <x:v>0.09005811180205522</x:v>
      </x:c>
      <x:c r="AG1226" s="35" t="n">
        <x:v>3</x:v>
      </x:c>
      <x:c r="AH1226" s="35" t="n">
        <x:v>0</x:v>
      </x:c>
      <x:c r="AI1226" s="29" t="n">
        <x:v>46266</x:v>
      </x:c>
      <x:c r="AJ1226" s="35"/>
      <x:c r="AK1226" s="11" t="str">
        <x:v>неизвестно</x:v>
      </x:c>
      <x:c r="AL1226" s="31" t="n">
        <x:v>2832.8100978968705</x:v>
      </x:c>
      <x:c r="AM122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26" s="12" t="str">
        <x:v>Проверить свободный остаток и установить цену для B2B</x:v>
      </x:c>
      <x:c r="AO1226" s="12" t="str">
        <x:v>Остаток 3; прогноз 90 дней 0.09; избыток 2 шт. Будущие поступления не выставляются на продажу. Остаток на начало сентября: требуется актуализация.</x:v>
      </x:c>
      <x:c r="AP1226" s="12" t="str">
        <x:v>["category_missing", "daily_stockout_data_missing", "moq_missing", "new_order_lead_time_unknown", "reservations_unknown", "stale_stock"]</x:v>
      </x:c>
      <x:c r="AQ1226" s="11" t="str">
        <x:v>IEK:ярп40244</x:v>
      </x:c>
      <x:c r="AR1226" s="23" t="n">
        <x:v>1</x:v>
      </x:c>
      <x:c r="AS1226" s="23" t="n">
        <x:v>0</x:v>
      </x:c>
      <x:c r="AT1226" s="23" t="n">
        <x:v>0</x:v>
      </x:c>
    </x:row>
    <x:row r="1227" ht="64" customHeight="1">
      <x:c r="A1227" s="10" t="str">
        <x:v>IEK</x:v>
      </x:c>
      <x:c r="B1227" s="34" t="str">
        <x:v>ярп40260</x:v>
      </x:c>
      <x:c r="C1227" s="34" t="str">
        <x:v>EVA20-K03-10-54</x:v>
      </x:c>
      <x:c r="D1227" s="13" t="str">
        <x:v>Выключатель 2кл. о/у 10А IP54 AQUATIC ВС-20-2-0-А IEK</x:v>
      </x:c>
      <x:c r="E1227" s="10" t="str">
        <x:v>шт</x:v>
      </x:c>
      <x:c r="F1227" s="37" t="n">
        <x:f>MAX(0,ROUNDDOWN((AG1227-AF1227)/AR1227+0.000000001,0)*AR1227)</x:f>
        <x:v>11</x:v>
      </x:c>
      <x:c r="G1227" s="21" t="str">
        <x:f>IF(J1227="Рассчитано",V1227*(1-R1227/100)-W1227-P1227-Q1227,"н/д")</x:f>
        <x:v>н/д</x:v>
      </x:c>
      <x:c r="H1227" s="13" t="str">
        <x:v>Высокий</x:v>
      </x:c>
      <x:c r="I1227" s="13" t="str">
        <x:v>Средний</x:v>
      </x:c>
      <x:c r="J1227" s="13" t="str">
        <x:f>IF(L1227="","Укажите валюту",IF(NOT(ISNUMBER(K1227)),"Укажите объём",IF(K1227&lt;=0,"Укажите объём",IF(K1227&gt;F1227,"Объём выше излишка",IF(COUNT(M1227:O1227)&lt;3,"Нужны цены",IF(COUNT(P1227:R1227)&lt;3,"Нужны расходы",IF(OR(M1227&lt;0,N1227&lt;0,O1227&lt;0,O1227&gt;100,P1227&lt;0,Q1227&lt;0,R1227&lt;0,R1227&gt;100),"Проверьте значения","Рассчитано")))))))</x:f>
        <x:v>Нужны цены</x:v>
      </x:c>
      <x:c r="K1227" s="36" t="n">
        <x:v>11</x:v>
      </x:c>
      <x:c r="L1227" s="19" t="str">
        <x:v>KZT</x:v>
      </x:c>
      <x:c r="M1227" s="22"/>
      <x:c r="N1227" s="22"/>
      <x:c r="O1227" s="28"/>
      <x:c r="P1227" s="22"/>
      <x:c r="Q1227" s="22"/>
      <x:c r="R1227" s="28"/>
      <x:c r="S1227" s="22"/>
      <x:c r="T1227" s="37" t="n">
        <x:f>K1227</x:f>
        <x:v>11</x:v>
      </x:c>
      <x:c r="U1227" s="21" t="str">
        <x:f>IF(J1227="Рассчитано",N1227*(1-O1227/100),"н/д")</x:f>
        <x:v>н/д</x:v>
      </x:c>
      <x:c r="V1227" s="21" t="str">
        <x:f>IF(J1227="Рассчитано",T1227*U1227,"н/д")</x:f>
        <x:v>н/д</x:v>
      </x:c>
      <x:c r="W1227" s="21" t="str">
        <x:f>IF(J1227="Рассчитано",T1227*M1227,"н/д")</x:f>
        <x:v>н/д</x:v>
      </x:c>
      <x:c r="X1227" s="21" t="str">
        <x:f>IF(J1227="Рассчитано",V1227-W1227,"н/д")</x:f>
        <x:v>н/д</x:v>
      </x:c>
      <x:c r="Y1227" s="27" t="str">
        <x:f>IF(J1227="Рассчитано",IF(V1227&gt;0,G1227/V1227,"н/д"),"н/д")</x:f>
        <x:v>н/д</x:v>
      </x:c>
      <x:c r="Z1227" s="21" t="str">
        <x:f>"н/д"</x:f>
        <x:v>н/д</x:v>
      </x:c>
      <x:c r="AA1227" s="21" t="str">
        <x:f>"н/д"</x:f>
        <x:v>н/д</x:v>
      </x:c>
      <x:c r="AB1227" s="21" t="str">
        <x:f>"н/д"</x:f>
        <x:v>н/д</x:v>
      </x:c>
      <x:c r="AC1227" s="21" t="str">
        <x:f>IF(AND(J1227="Рассчитано",T1227&gt;0,R1227&lt;100),(W1227+P1227+Q1227)/(T1227*(1-R1227/100)),"н/д")</x:f>
        <x:v>н/д</x:v>
      </x:c>
      <x:c r="AD1227" s="10" t="str">
        <x:f>IF(ISNUMBER(G1227),IF(G1227&lt;0,"Убыток",IF(G1227=0,"Без прибыли","Прибыль &gt; 0")),"Не оценён")</x:f>
        <x:v>Не оценён</x:v>
      </x:c>
      <x:c r="AE1227" s="13" t="str">
        <x:f>IF(J1227="Рассчитано","Выручка "&amp;TEXT(V1227,"0.00")&amp;" - себестоимость "&amp;TEXT(W1227,"0.00")&amp;" - комиссия "&amp;TEXT(V1227*R1227/100,"0.00")&amp;" - доставка "&amp;TEXT(P1227,"0.00")&amp;" - прочие "&amp;TEXT(Q1227,"0.00")&amp;" = "&amp;TEXT(G1227,"0.00")&amp;" "&amp;L1227,"Введите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7" s="24" t="n">
        <x:v>23.673557930791297</x:v>
      </x:c>
      <x:c r="AG1227" s="37" t="n">
        <x:v>35</x:v>
      </x:c>
      <x:c r="AH1227" s="37" t="n">
        <x:v>0</x:v>
      </x:c>
      <x:c r="AI1227" s="30" t="n">
        <x:v>46266</x:v>
      </x:c>
      <x:c r="AJ1227" s="37" t="n">
        <x:v>10</x:v>
      </x:c>
      <x:c r="AK1227" s="10" t="str">
        <x:v>минимум</x:v>
      </x:c>
      <x:c r="AL1227" s="32" t="n">
        <x:v>125.72555315326166</x:v>
      </x:c>
      <x:c r="AM1227" s="13" t="str">
        <x:v>Остаток на начало сентября; Резервы неизвестны; Детальные и месячные продажи расходятся; Stockout оценён по месячным снимкам; Нет ежедневных данных доступности. Запас выше прогноза на 90 дней</x:v>
      </x:c>
      <x:c r="AN1227" s="13" t="str">
        <x:v>Проверить свободный остаток и установить цену для B2B</x:v>
      </x:c>
      <x:c r="AO1227" s="13" t="str">
        <x:v>Остаток 35; прогноз 90 дней 23.67; избыток 11 шт. Будущие поступления не выставляются на продажу. Остаток на начало сентября: требуется актуализация.</x:v>
      </x:c>
      <x:c r="AP1227" s="13" t="str">
        <x:v>["category_missing", "daily_stockout_data_missing", "large_orders_detected", "new_order_lead_time_unknown", "reservations_unknown", "stale_stock", "stockout_proxy_used", "transaction_month_mismatch"]</x:v>
      </x:c>
      <x:c r="AQ1227" s="10" t="str">
        <x:v>IEK:ярп40260</x:v>
      </x:c>
      <x:c r="AR1227" s="24" t="n">
        <x:v>1</x:v>
      </x:c>
      <x:c r="AS1227" s="24" t="n">
        <x:v>0</x:v>
      </x:c>
      <x:c r="AT1227" s="24" t="n">
        <x:v>0</x:v>
      </x:c>
    </x:row>
    <x:row r="1228" ht="64" customHeight="1">
      <x:c r="A1228" s="11" t="str">
        <x:v>IEK</x:v>
      </x:c>
      <x:c r="B1228" s="33" t="str">
        <x:v>ярп40277</x:v>
      </x:c>
      <x:c r="C1228" s="33" t="str">
        <x:v>UHH31-D025-080-100</x:v>
      </x:c>
      <x:c r="D1228" s="12" t="str">
        <x:v>Хомут 2,5х 80 нейлон (100шт) IEK!!!</x:v>
      </x:c>
      <x:c r="E1228" s="11" t="str">
        <x:v>упак</x:v>
      </x:c>
      <x:c r="F1228" s="35" t="n">
        <x:f>MAX(0,ROUNDDOWN((AG1228-AF1228)/AR1228+0.000000001,0)*AR1228)</x:f>
        <x:v>56</x:v>
      </x:c>
      <x:c r="G1228" s="20" t="str">
        <x:f>IF(J1228="Рассчитано",V1228*(1-R1228/100)-W1228-P1228-Q1228,"н/д")</x:f>
        <x:v>н/д</x:v>
      </x:c>
      <x:c r="H1228" s="12" t="str">
        <x:v>Высокий</x:v>
      </x:c>
      <x:c r="I1228" s="12" t="str">
        <x:v>Высокий</x:v>
      </x:c>
      <x:c r="J1228" s="12" t="str">
        <x:f>IF(L1228="","Укажите валюту",IF(NOT(ISNUMBER(K1228)),"Укажите объём",IF(K1228&lt;=0,"Укажите объём",IF(K1228&gt;F1228,"Объём выше излишка",IF(COUNT(M1228:O1228)&lt;3,"Нужны цены",IF(COUNT(P1228:R1228)&lt;3,"Нужны расходы",IF(OR(M1228&lt;0,N1228&lt;0,O1228&lt;0,O1228&gt;100,P1228&lt;0,Q1228&lt;0,R1228&lt;0,R1228&gt;100),"Проверьте значения","Рассчитано")))))))</x:f>
        <x:v>Нужны цены</x:v>
      </x:c>
      <x:c r="K1228" s="36" t="n">
        <x:v>56</x:v>
      </x:c>
      <x:c r="L1228" s="19" t="str">
        <x:v>KZT</x:v>
      </x:c>
      <x:c r="M1228" s="22"/>
      <x:c r="N1228" s="22"/>
      <x:c r="O1228" s="28"/>
      <x:c r="P1228" s="22"/>
      <x:c r="Q1228" s="22"/>
      <x:c r="R1228" s="28"/>
      <x:c r="S1228" s="22"/>
      <x:c r="T1228" s="35" t="n">
        <x:f>K1228</x:f>
        <x:v>56</x:v>
      </x:c>
      <x:c r="U1228" s="20" t="str">
        <x:f>IF(J1228="Рассчитано",N1228*(1-O1228/100),"н/д")</x:f>
        <x:v>н/д</x:v>
      </x:c>
      <x:c r="V1228" s="20" t="str">
        <x:f>IF(J1228="Рассчитано",T1228*U1228,"н/д")</x:f>
        <x:v>н/д</x:v>
      </x:c>
      <x:c r="W1228" s="20" t="str">
        <x:f>IF(J1228="Рассчитано",T1228*M1228,"н/д")</x:f>
        <x:v>н/д</x:v>
      </x:c>
      <x:c r="X1228" s="20" t="str">
        <x:f>IF(J1228="Рассчитано",V1228-W1228,"н/д")</x:f>
        <x:v>н/д</x:v>
      </x:c>
      <x:c r="Y1228" s="26" t="str">
        <x:f>IF(J1228="Рассчитано",IF(V1228&gt;0,G1228/V1228,"н/д"),"н/д")</x:f>
        <x:v>н/д</x:v>
      </x:c>
      <x:c r="Z1228" s="20" t="str">
        <x:f>"н/д"</x:f>
        <x:v>н/д</x:v>
      </x:c>
      <x:c r="AA1228" s="20" t="str">
        <x:f>"н/д"</x:f>
        <x:v>н/д</x:v>
      </x:c>
      <x:c r="AB1228" s="20" t="str">
        <x:f>"н/д"</x:f>
        <x:v>н/д</x:v>
      </x:c>
      <x:c r="AC1228" s="20" t="str">
        <x:f>IF(AND(J1228="Рассчитано",T1228&gt;0,R1228&lt;100),(W1228+P1228+Q1228)/(T1228*(1-R1228/100)),"н/д")</x:f>
        <x:v>н/д</x:v>
      </x:c>
      <x:c r="AD1228" s="11" t="str">
        <x:f>IF(ISNUMBER(G1228),IF(G1228&lt;0,"Убыток",IF(G1228=0,"Без прибыли","Прибыль &gt; 0")),"Не оценён")</x:f>
        <x:v>Не оценён</x:v>
      </x:c>
      <x:c r="AE1228" s="12" t="str">
        <x:f>IF(J1228="Рассчитано","Выручка "&amp;TEXT(V1228,"0.00")&amp;" - себестоимость "&amp;TEXT(W1228,"0.00")&amp;" - комиссия "&amp;TEXT(V1228*R1228/100,"0.00")&amp;" - доставка "&amp;TEXT(P1228,"0.00")&amp;" - прочие "&amp;TEXT(Q1228,"0.00")&amp;" = "&amp;TEXT(G1228,"0.00")&amp;" "&amp;L1228,"Введите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8" s="23" t="n">
        <x:v>7.679555135002109</x:v>
      </x:c>
      <x:c r="AG1228" s="35" t="n">
        <x:v>64</x:v>
      </x:c>
      <x:c r="AH1228" s="35" t="n">
        <x:v>0</x:v>
      </x:c>
      <x:c r="AI1228" s="29" t="n">
        <x:v>46266</x:v>
      </x:c>
      <x:c r="AJ1228" s="35"/>
      <x:c r="AK1228" s="11" t="str">
        <x:v>неизвестно</x:v>
      </x:c>
      <x:c r="AL1228" s="31" t="n">
        <x:v>708.700853006737</x:v>
      </x:c>
      <x:c r="AM122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28" s="12" t="str">
        <x:v>Проверить свободный остаток и установить цену для B2B</x:v>
      </x:c>
      <x:c r="AO1228" s="12" t="str">
        <x:v>Остаток 64; прогноз 90 дней 7.68; избыток 56 упак. Будущие поступления не выставляются на продажу. Остаток на начало сентября: требуется актуализация.</x:v>
      </x:c>
      <x:c r="AP1228" s="12" t="str">
        <x:v>["category_missing", "daily_stockout_data_missing", "moq_missing", "new_order_lead_time_unknown", "reservations_unknown", "stale_stock"]</x:v>
      </x:c>
      <x:c r="AQ1228" s="11" t="str">
        <x:v>IEK:ярп40277</x:v>
      </x:c>
      <x:c r="AR1228" s="23" t="n">
        <x:v>1</x:v>
      </x:c>
      <x:c r="AS1228" s="23" t="n">
        <x:v>0</x:v>
      </x:c>
      <x:c r="AT1228" s="23" t="n">
        <x:v>0</x:v>
      </x:c>
    </x:row>
    <x:row r="1229" ht="64" customHeight="1">
      <x:c r="A1229" s="10" t="str">
        <x:v>IEK</x:v>
      </x:c>
      <x:c r="B1229" s="34" t="str">
        <x:v>ярп40395</x:v>
      </x:c>
      <x:c r="C1229" s="34"/>
      <x:c r="D1229" s="13" t="str">
        <x:v>УЗО АВДТ 34   6А С 10мА  IEK !!!</x:v>
      </x:c>
      <x:c r="E1229" s="10" t="str">
        <x:v>шт</x:v>
      </x:c>
      <x:c r="F1229" s="37" t="n">
        <x:f>MAX(0,ROUNDDOWN((AG1229-AF1229)/AR1229+0.000000001,0)*AR1229)</x:f>
        <x:v>13</x:v>
      </x:c>
      <x:c r="G1229" s="21" t="str">
        <x:f>IF(J1229="Рассчитано",V1229*(1-R1229/100)-W1229-P1229-Q1229,"н/д")</x:f>
        <x:v>н/д</x:v>
      </x:c>
      <x:c r="H1229" s="13" t="str">
        <x:v>Высокий</x:v>
      </x:c>
      <x:c r="I1229" s="13" t="str">
        <x:v>Высокий</x:v>
      </x:c>
      <x:c r="J1229" s="13" t="str">
        <x:f>IF(L1229="","Укажите валюту",IF(NOT(ISNUMBER(K1229)),"Укажите объём",IF(K1229&lt;=0,"Укажите объём",IF(K1229&gt;F1229,"Объём выше излишка",IF(COUNT(M1229:O1229)&lt;3,"Нужны цены",IF(COUNT(P1229:R1229)&lt;3,"Нужны расходы",IF(OR(M1229&lt;0,N1229&lt;0,O1229&lt;0,O1229&gt;100,P1229&lt;0,Q1229&lt;0,R1229&lt;0,R1229&gt;100),"Проверьте значения","Рассчитано")))))))</x:f>
        <x:v>Нужны цены</x:v>
      </x:c>
      <x:c r="K1229" s="36" t="n">
        <x:v>13</x:v>
      </x:c>
      <x:c r="L1229" s="19" t="str">
        <x:v>KZT</x:v>
      </x:c>
      <x:c r="M1229" s="22"/>
      <x:c r="N1229" s="22"/>
      <x:c r="O1229" s="28"/>
      <x:c r="P1229" s="22"/>
      <x:c r="Q1229" s="22"/>
      <x:c r="R1229" s="28"/>
      <x:c r="S1229" s="22"/>
      <x:c r="T1229" s="37" t="n">
        <x:f>K1229</x:f>
        <x:v>13</x:v>
      </x:c>
      <x:c r="U1229" s="21" t="str">
        <x:f>IF(J1229="Рассчитано",N1229*(1-O1229/100),"н/д")</x:f>
        <x:v>н/д</x:v>
      </x:c>
      <x:c r="V1229" s="21" t="str">
        <x:f>IF(J1229="Рассчитано",T1229*U1229,"н/д")</x:f>
        <x:v>н/д</x:v>
      </x:c>
      <x:c r="W1229" s="21" t="str">
        <x:f>IF(J1229="Рассчитано",T1229*M1229,"н/д")</x:f>
        <x:v>н/д</x:v>
      </x:c>
      <x:c r="X1229" s="21" t="str">
        <x:f>IF(J1229="Рассчитано",V1229-W1229,"н/д")</x:f>
        <x:v>н/д</x:v>
      </x:c>
      <x:c r="Y1229" s="27" t="str">
        <x:f>IF(J1229="Рассчитано",IF(V1229&gt;0,G1229/V1229,"н/д"),"н/д")</x:f>
        <x:v>н/д</x:v>
      </x:c>
      <x:c r="Z1229" s="21" t="str">
        <x:f>"н/д"</x:f>
        <x:v>н/д</x:v>
      </x:c>
      <x:c r="AA1229" s="21" t="str">
        <x:f>"н/д"</x:f>
        <x:v>н/д</x:v>
      </x:c>
      <x:c r="AB1229" s="21" t="str">
        <x:f>"н/д"</x:f>
        <x:v>н/д</x:v>
      </x:c>
      <x:c r="AC1229" s="21" t="str">
        <x:f>IF(AND(J1229="Рассчитано",T1229&gt;0,R1229&lt;100),(W1229+P1229+Q1229)/(T1229*(1-R1229/100)),"н/д")</x:f>
        <x:v>н/д</x:v>
      </x:c>
      <x:c r="AD1229" s="10" t="str">
        <x:f>IF(ISNUMBER(G1229),IF(G1229&lt;0,"Убыток",IF(G1229=0,"Без прибыли","Прибыль &gt; 0")),"Не оценён")</x:f>
        <x:v>Не оценён</x:v>
      </x:c>
      <x:c r="AE1229" s="13" t="str">
        <x:f>IF(J1229="Рассчитано","Выручка "&amp;TEXT(V1229,"0.00")&amp;" - себестоимость "&amp;TEXT(W1229,"0.00")&amp;" - комиссия "&amp;TEXT(V1229*R1229/100,"0.00")&amp;" - доставка "&amp;TEXT(P1229,"0.00")&amp;" - прочие "&amp;TEXT(Q1229,"0.00")&amp;" = "&amp;TEXT(G1229,"0.00")&amp;" "&amp;L1229,"Введите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9" s="24" t="n">
        <x:v>0</x:v>
      </x:c>
      <x:c r="AG1229" s="37" t="n">
        <x:v>13</x:v>
      </x:c>
      <x:c r="AH1229" s="37" t="n">
        <x:v>0</x:v>
      </x:c>
      <x:c r="AI1229" s="30" t="n">
        <x:v>46266</x:v>
      </x:c>
      <x:c r="AJ1229" s="37"/>
      <x:c r="AK1229" s="10" t="str">
        <x:v>неизвестно</x:v>
      </x:c>
      <x:c r="AL1229" s="32" t="str">
        <x:v>н/д</x:v>
      </x:c>
      <x:c r="AM122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29" s="13" t="str">
        <x:v>Проверить свободный остаток и установить цену для B2B</x:v>
      </x:c>
      <x:c r="AO1229" s="13" t="str">
        <x:v>Остаток 13; прогноз 90 дней 0.00; избыток 13 шт. Будущие поступления не выставляются на продажу. Остаток на начало сентября: требуется актуализация.</x:v>
      </x:c>
      <x:c r="AP1229" s="13" t="str">
        <x:v>["category_missing", "daily_stockout_data_missing", "moq_missing", "new_order_lead_time_unknown", "reservations_unknown", "stale_stock", "supplier_sku_missing"]</x:v>
      </x:c>
      <x:c r="AQ1229" s="10" t="str">
        <x:v>IEK:ярп40395</x:v>
      </x:c>
      <x:c r="AR1229" s="24" t="n">
        <x:v>1</x:v>
      </x:c>
      <x:c r="AS1229" s="24" t="n">
        <x:v>0</x:v>
      </x:c>
      <x:c r="AT1229" s="24" t="n">
        <x:v>0</x:v>
      </x:c>
    </x:row>
    <x:row r="1230" ht="64" customHeight="1">
      <x:c r="A1230" s="11" t="str">
        <x:v>IEK</x:v>
      </x:c>
      <x:c r="B1230" s="33" t="str">
        <x:v>ярп4303</x:v>
      </x:c>
      <x:c r="C1230" s="33"/>
      <x:c r="D1230" s="12" t="str">
        <x:v>Наконечник НКИ-н 2-4 кольцо 1,5-2,5мм (100 шт) IEK !!!</x:v>
      </x:c>
      <x:c r="E1230" s="11" t="str">
        <x:v>упак</x:v>
      </x:c>
      <x:c r="F1230" s="35" t="n">
        <x:f>MAX(0,ROUNDDOWN((AG1230-AF1230)/AR1230+0.000000001,0)*AR1230)</x:f>
        <x:v>28</x:v>
      </x:c>
      <x:c r="G1230" s="20" t="str">
        <x:f>IF(J1230="Рассчитано",V1230*(1-R1230/100)-W1230-P1230-Q1230,"н/д")</x:f>
        <x:v>н/д</x:v>
      </x:c>
      <x:c r="H1230" s="12" t="str">
        <x:v>Высокий</x:v>
      </x:c>
      <x:c r="I1230" s="12" t="str">
        <x:v>Высокий</x:v>
      </x:c>
      <x:c r="J1230" s="12" t="str">
        <x:f>IF(L1230="","Укажите валюту",IF(NOT(ISNUMBER(K1230)),"Укажите объём",IF(K1230&lt;=0,"Укажите объём",IF(K1230&gt;F1230,"Объём выше излишка",IF(COUNT(M1230:O1230)&lt;3,"Нужны цены",IF(COUNT(P1230:R1230)&lt;3,"Нужны расходы",IF(OR(M1230&lt;0,N1230&lt;0,O1230&lt;0,O1230&gt;100,P1230&lt;0,Q1230&lt;0,R1230&lt;0,R1230&gt;100),"Проверьте значения","Рассчитано")))))))</x:f>
        <x:v>Нужны цены</x:v>
      </x:c>
      <x:c r="K1230" s="36" t="n">
        <x:v>28</x:v>
      </x:c>
      <x:c r="L1230" s="19" t="str">
        <x:v>KZT</x:v>
      </x:c>
      <x:c r="M1230" s="22"/>
      <x:c r="N1230" s="22"/>
      <x:c r="O1230" s="28"/>
      <x:c r="P1230" s="22"/>
      <x:c r="Q1230" s="22"/>
      <x:c r="R1230" s="28"/>
      <x:c r="S1230" s="22"/>
      <x:c r="T1230" s="35" t="n">
        <x:f>K1230</x:f>
        <x:v>28</x:v>
      </x:c>
      <x:c r="U1230" s="20" t="str">
        <x:f>IF(J1230="Рассчитано",N1230*(1-O1230/100),"н/д")</x:f>
        <x:v>н/д</x:v>
      </x:c>
      <x:c r="V1230" s="20" t="str">
        <x:f>IF(J1230="Рассчитано",T1230*U1230,"н/д")</x:f>
        <x:v>н/д</x:v>
      </x:c>
      <x:c r="W1230" s="20" t="str">
        <x:f>IF(J1230="Рассчитано",T1230*M1230,"н/д")</x:f>
        <x:v>н/д</x:v>
      </x:c>
      <x:c r="X1230" s="20" t="str">
        <x:f>IF(J1230="Рассчитано",V1230-W1230,"н/д")</x:f>
        <x:v>н/д</x:v>
      </x:c>
      <x:c r="Y1230" s="26" t="str">
        <x:f>IF(J1230="Рассчитано",IF(V1230&gt;0,G1230/V1230,"н/д"),"н/д")</x:f>
        <x:v>н/д</x:v>
      </x:c>
      <x:c r="Z1230" s="20" t="str">
        <x:f>"н/д"</x:f>
        <x:v>н/д</x:v>
      </x:c>
      <x:c r="AA1230" s="20" t="str">
        <x:f>"н/д"</x:f>
        <x:v>н/д</x:v>
      </x:c>
      <x:c r="AB1230" s="20" t="str">
        <x:f>"н/д"</x:f>
        <x:v>н/д</x:v>
      </x:c>
      <x:c r="AC1230" s="20" t="str">
        <x:f>IF(AND(J1230="Рассчитано",T1230&gt;0,R1230&lt;100),(W1230+P1230+Q1230)/(T1230*(1-R1230/100)),"н/д")</x:f>
        <x:v>н/д</x:v>
      </x:c>
      <x:c r="AD1230" s="11" t="str">
        <x:f>IF(ISNUMBER(G1230),IF(G1230&lt;0,"Убыток",IF(G1230=0,"Без прибыли","Прибыль &gt; 0")),"Не оценён")</x:f>
        <x:v>Не оценён</x:v>
      </x:c>
      <x:c r="AE1230" s="12" t="str">
        <x:f>IF(J1230="Рассчитано","Выручка "&amp;TEXT(V1230,"0.00")&amp;" - себестоимость "&amp;TEXT(W1230,"0.00")&amp;" - комиссия "&amp;TEXT(V1230*R1230/100,"0.00")&amp;" - доставка "&amp;TEXT(P1230,"0.00")&amp;" - прочие "&amp;TEXT(Q1230,"0.00")&amp;" = "&amp;TEXT(G1230,"0.00")&amp;" "&amp;L1230,"Введите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0" s="23" t="n">
        <x:v>0.6845053365855409</x:v>
      </x:c>
      <x:c r="AG1230" s="35" t="n">
        <x:v>29</x:v>
      </x:c>
      <x:c r="AH1230" s="35" t="n">
        <x:v>0</x:v>
      </x:c>
      <x:c r="AI1230" s="29" t="n">
        <x:v>46266</x:v>
      </x:c>
      <x:c r="AJ1230" s="35"/>
      <x:c r="AK1230" s="11" t="str">
        <x:v>неизвестно</x:v>
      </x:c>
      <x:c r="AL1230" s="31" t="n">
        <x:v>3602.8004123902983</x:v>
      </x:c>
      <x:c r="AM123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30" s="12" t="str">
        <x:v>Проверить свободный остаток и установить цену для B2B</x:v>
      </x:c>
      <x:c r="AO1230" s="12" t="str">
        <x:v>Остаток 29; прогноз 90 дней 0.68; избыток 28 упак. Будущие поступления не выставляются на продажу. Остаток на начало сентября: требуется актуализация.</x:v>
      </x:c>
      <x:c r="AP1230" s="12" t="str">
        <x:v>["category_missing", "daily_stockout_data_missing", "moq_missing", "new_order_lead_time_unknown", "reservations_unknown", "stale_stock", "supplier_sku_missing"]</x:v>
      </x:c>
      <x:c r="AQ1230" s="11" t="str">
        <x:v>IEK:ярп4303</x:v>
      </x:c>
      <x:c r="AR1230" s="23" t="n">
        <x:v>1</x:v>
      </x:c>
      <x:c r="AS1230" s="23" t="n">
        <x:v>0</x:v>
      </x:c>
      <x:c r="AT1230" s="23" t="n">
        <x:v>0</x:v>
      </x:c>
    </x:row>
    <x:row r="1231" ht="64" customHeight="1">
      <x:c r="A1231" s="10" t="str">
        <x:v>IEK</x:v>
      </x:c>
      <x:c r="B1231" s="34" t="str">
        <x:v>ярп4385</x:v>
      </x:c>
      <x:c r="C1231" s="34"/>
      <x:c r="D1231" s="13" t="str">
        <x:v>Амперметр Э47 100/5А кл. точн. 1,5 96х96мм !!!</x:v>
      </x:c>
      <x:c r="E1231" s="10" t="str">
        <x:v>шт</x:v>
      </x:c>
      <x:c r="F1231" s="37" t="n">
        <x:f>MAX(0,ROUNDDOWN((AG1231-AF1231)/AR1231+0.000000001,0)*AR1231)</x:f>
        <x:v>10</x:v>
      </x:c>
      <x:c r="G1231" s="21" t="str">
        <x:f>IF(J1231="Рассчитано",V1231*(1-R1231/100)-W1231-P1231-Q1231,"н/д")</x:f>
        <x:v>н/д</x:v>
      </x:c>
      <x:c r="H1231" s="13" t="str">
        <x:v>Высокий</x:v>
      </x:c>
      <x:c r="I1231" s="13" t="str">
        <x:v>Высокий</x:v>
      </x:c>
      <x:c r="J1231" s="13" t="str">
        <x:f>IF(L1231="","Укажите валюту",IF(NOT(ISNUMBER(K1231)),"Укажите объём",IF(K1231&lt;=0,"Укажите объём",IF(K1231&gt;F1231,"Объём выше излишка",IF(COUNT(M1231:O1231)&lt;3,"Нужны цены",IF(COUNT(P1231:R1231)&lt;3,"Нужны расходы",IF(OR(M1231&lt;0,N1231&lt;0,O1231&lt;0,O1231&gt;100,P1231&lt;0,Q1231&lt;0,R1231&lt;0,R1231&gt;100),"Проверьте значения","Рассчитано")))))))</x:f>
        <x:v>Нужны цены</x:v>
      </x:c>
      <x:c r="K1231" s="36" t="n">
        <x:v>10</x:v>
      </x:c>
      <x:c r="L1231" s="19" t="str">
        <x:v>KZT</x:v>
      </x:c>
      <x:c r="M1231" s="22"/>
      <x:c r="N1231" s="22"/>
      <x:c r="O1231" s="28"/>
      <x:c r="P1231" s="22"/>
      <x:c r="Q1231" s="22"/>
      <x:c r="R1231" s="28"/>
      <x:c r="S1231" s="22"/>
      <x:c r="T1231" s="37" t="n">
        <x:f>K1231</x:f>
        <x:v>10</x:v>
      </x:c>
      <x:c r="U1231" s="21" t="str">
        <x:f>IF(J1231="Рассчитано",N1231*(1-O1231/100),"н/д")</x:f>
        <x:v>н/д</x:v>
      </x:c>
      <x:c r="V1231" s="21" t="str">
        <x:f>IF(J1231="Рассчитано",T1231*U1231,"н/д")</x:f>
        <x:v>н/д</x:v>
      </x:c>
      <x:c r="W1231" s="21" t="str">
        <x:f>IF(J1231="Рассчитано",T1231*M1231,"н/д")</x:f>
        <x:v>н/д</x:v>
      </x:c>
      <x:c r="X1231" s="21" t="str">
        <x:f>IF(J1231="Рассчитано",V1231-W1231,"н/д")</x:f>
        <x:v>н/д</x:v>
      </x:c>
      <x:c r="Y1231" s="27" t="str">
        <x:f>IF(J1231="Рассчитано",IF(V1231&gt;0,G1231/V1231,"н/д"),"н/д")</x:f>
        <x:v>н/д</x:v>
      </x:c>
      <x:c r="Z1231" s="21" t="str">
        <x:f>"н/д"</x:f>
        <x:v>н/д</x:v>
      </x:c>
      <x:c r="AA1231" s="21" t="str">
        <x:f>"н/д"</x:f>
        <x:v>н/д</x:v>
      </x:c>
      <x:c r="AB1231" s="21" t="str">
        <x:f>"н/д"</x:f>
        <x:v>н/д</x:v>
      </x:c>
      <x:c r="AC1231" s="21" t="str">
        <x:f>IF(AND(J1231="Рассчитано",T1231&gt;0,R1231&lt;100),(W1231+P1231+Q1231)/(T1231*(1-R1231/100)),"н/д")</x:f>
        <x:v>н/д</x:v>
      </x:c>
      <x:c r="AD1231" s="10" t="str">
        <x:f>IF(ISNUMBER(G1231),IF(G1231&lt;0,"Убыток",IF(G1231=0,"Без прибыли","Прибыль &gt; 0")),"Не оценён")</x:f>
        <x:v>Не оценён</x:v>
      </x:c>
      <x:c r="AE1231" s="13" t="str">
        <x:f>IF(J1231="Рассчитано","Выручка "&amp;TEXT(V1231,"0.00")&amp;" - себестоимость "&amp;TEXT(W1231,"0.00")&amp;" - комиссия "&amp;TEXT(V1231*R1231/100,"0.00")&amp;" - доставка "&amp;TEXT(P1231,"0.00")&amp;" - прочие "&amp;TEXT(Q1231,"0.00")&amp;" = "&amp;TEXT(G1231,"0.00")&amp;" "&amp;L1231,"Введите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1" s="24" t="n">
        <x:v>0</x:v>
      </x:c>
      <x:c r="AG1231" s="37" t="n">
        <x:v>10</x:v>
      </x:c>
      <x:c r="AH1231" s="37" t="n">
        <x:v>0</x:v>
      </x:c>
      <x:c r="AI1231" s="30" t="n">
        <x:v>46266</x:v>
      </x:c>
      <x:c r="AJ1231" s="37"/>
      <x:c r="AK1231" s="10" t="str">
        <x:v>неизвестно</x:v>
      </x:c>
      <x:c r="AL1231" s="32" t="str">
        <x:v>н/д</x:v>
      </x:c>
      <x:c r="AM1231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31" s="13" t="str">
        <x:v>Проверить свободный остаток и установить цену для B2B</x:v>
      </x:c>
      <x:c r="AO1231" s="13" t="str">
        <x:v>Остаток 10; прогноз 90 дней 0.00; избыток 10 шт. Будущие поступления не выставляются на продажу. Остаток на начало сентября: требуется актуализация.</x:v>
      </x:c>
      <x:c r="AP1231" s="13" t="str">
        <x:v>["category_missing", "daily_stockout_data_missing", "moq_missing", "new_order_lead_time_unknown", "reservations_unknown", "stale_stock", "supplier_sku_missing"]</x:v>
      </x:c>
      <x:c r="AQ1231" s="10" t="str">
        <x:v>IEK:ярп4385</x:v>
      </x:c>
      <x:c r="AR1231" s="24" t="n">
        <x:v>1</x:v>
      </x:c>
      <x:c r="AS1231" s="24" t="n">
        <x:v>0</x:v>
      </x:c>
      <x:c r="AT1231" s="24" t="n">
        <x:v>0</x:v>
      </x:c>
    </x:row>
    <x:row r="1232" ht="64" customHeight="1">
      <x:c r="A1232" s="11" t="str">
        <x:v>IEK</x:v>
      </x:c>
      <x:c r="B1232" s="33" t="str">
        <x:v>ярп4665</x:v>
      </x:c>
      <x:c r="C1232" s="33"/>
      <x:c r="D1232" s="12" t="str">
        <x:v>ВА47-29 (2ф)  5А IEK (6/72) !!!</x:v>
      </x:c>
      <x:c r="E1232" s="11" t="str">
        <x:v>шт</x:v>
      </x:c>
      <x:c r="F1232" s="35" t="n">
        <x:f>MAX(0,ROUNDDOWN((AG1232-AF1232)/AR1232+0.000000001,0)*AR1232)</x:f>
        <x:v>2</x:v>
      </x:c>
      <x:c r="G1232" s="20" t="str">
        <x:f>IF(J1232="Рассчитано",V1232*(1-R1232/100)-W1232-P1232-Q1232,"н/д")</x:f>
        <x:v>н/д</x:v>
      </x:c>
      <x:c r="H1232" s="12" t="str">
        <x:v>Высокий</x:v>
      </x:c>
      <x:c r="I1232" s="12" t="str">
        <x:v>Высокий</x:v>
      </x:c>
      <x:c r="J1232" s="12" t="str">
        <x:f>IF(L1232="","Укажите валюту",IF(NOT(ISNUMBER(K1232)),"Укажите объём",IF(K1232&lt;=0,"Укажите объём",IF(K1232&gt;F1232,"Объём выше излишка",IF(COUNT(M1232:O1232)&lt;3,"Нужны цены",IF(COUNT(P1232:R1232)&lt;3,"Нужны расходы",IF(OR(M1232&lt;0,N1232&lt;0,O1232&lt;0,O1232&gt;100,P1232&lt;0,Q1232&lt;0,R1232&lt;0,R1232&gt;100),"Проверьте значения","Рассчитано")))))))</x:f>
        <x:v>Нужны цены</x:v>
      </x:c>
      <x:c r="K1232" s="36" t="n">
        <x:v>2</x:v>
      </x:c>
      <x:c r="L1232" s="19" t="str">
        <x:v>KZT</x:v>
      </x:c>
      <x:c r="M1232" s="22"/>
      <x:c r="N1232" s="22"/>
      <x:c r="O1232" s="28"/>
      <x:c r="P1232" s="22"/>
      <x:c r="Q1232" s="22"/>
      <x:c r="R1232" s="28"/>
      <x:c r="S1232" s="22"/>
      <x:c r="T1232" s="35" t="n">
        <x:f>K1232</x:f>
        <x:v>2</x:v>
      </x:c>
      <x:c r="U1232" s="20" t="str">
        <x:f>IF(J1232="Рассчитано",N1232*(1-O1232/100),"н/д")</x:f>
        <x:v>н/д</x:v>
      </x:c>
      <x:c r="V1232" s="20" t="str">
        <x:f>IF(J1232="Рассчитано",T1232*U1232,"н/д")</x:f>
        <x:v>н/д</x:v>
      </x:c>
      <x:c r="W1232" s="20" t="str">
        <x:f>IF(J1232="Рассчитано",T1232*M1232,"н/д")</x:f>
        <x:v>н/д</x:v>
      </x:c>
      <x:c r="X1232" s="20" t="str">
        <x:f>IF(J1232="Рассчитано",V1232-W1232,"н/д")</x:f>
        <x:v>н/д</x:v>
      </x:c>
      <x:c r="Y1232" s="26" t="str">
        <x:f>IF(J1232="Рассчитано",IF(V1232&gt;0,G1232/V1232,"н/д"),"н/д")</x:f>
        <x:v>н/д</x:v>
      </x:c>
      <x:c r="Z1232" s="20" t="str">
        <x:f>"н/д"</x:f>
        <x:v>н/д</x:v>
      </x:c>
      <x:c r="AA1232" s="20" t="str">
        <x:f>"н/д"</x:f>
        <x:v>н/д</x:v>
      </x:c>
      <x:c r="AB1232" s="20" t="str">
        <x:f>"н/д"</x:f>
        <x:v>н/д</x:v>
      </x:c>
      <x:c r="AC1232" s="20" t="str">
        <x:f>IF(AND(J1232="Рассчитано",T1232&gt;0,R1232&lt;100),(W1232+P1232+Q1232)/(T1232*(1-R1232/100)),"н/д")</x:f>
        <x:v>н/д</x:v>
      </x:c>
      <x:c r="AD1232" s="11" t="str">
        <x:f>IF(ISNUMBER(G1232),IF(G1232&lt;0,"Убыток",IF(G1232=0,"Без прибыли","Прибыль &gt; 0")),"Не оценён")</x:f>
        <x:v>Не оценён</x:v>
      </x:c>
      <x:c r="AE1232" s="12" t="str">
        <x:f>IF(J1232="Рассчитано","Выручка "&amp;TEXT(V1232,"0.00")&amp;" - себестоимость "&amp;TEXT(W1232,"0.00")&amp;" - комиссия "&amp;TEXT(V1232*R1232/100,"0.00")&amp;" - доставка "&amp;TEXT(P1232,"0.00")&amp;" - прочие "&amp;TEXT(Q1232,"0.00")&amp;" = "&amp;TEXT(G1232,"0.00")&amp;" "&amp;L1232,"Введите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2" s="23" t="n">
        <x:v>0.40353928269837114</x:v>
      </x:c>
      <x:c r="AG1232" s="35" t="n">
        <x:v>3</x:v>
      </x:c>
      <x:c r="AH1232" s="35" t="n">
        <x:v>0</x:v>
      </x:c>
      <x:c r="AI1232" s="29" t="n">
        <x:v>46266</x:v>
      </x:c>
      <x:c r="AJ1232" s="35"/>
      <x:c r="AK1232" s="11" t="str">
        <x:v>неизвестно</x:v>
      </x:c>
      <x:c r="AL1232" s="31" t="n">
        <x:v>632.1999851030042</x:v>
      </x:c>
      <x:c r="AM1232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32" s="12" t="str">
        <x:v>Проверить свободный остаток и установить цену для B2B</x:v>
      </x:c>
      <x:c r="AO1232" s="12" t="str">
        <x:v>Остаток 3; прогноз 90 дней 0.40; избыток 2 шт. Будущие поступления не выставляются на продажу. Остаток на начало сентября: требуется актуализация.</x:v>
      </x:c>
      <x:c r="AP1232" s="12" t="str">
        <x:v>["category_missing", "daily_stockout_data_missing", "moq_missing", "new_order_lead_time_unknown", "reservations_unknown", "stale_stock", "supplier_sku_missing"]</x:v>
      </x:c>
      <x:c r="AQ1232" s="11" t="str">
        <x:v>IEK:ярп4665</x:v>
      </x:c>
      <x:c r="AR1232" s="23" t="n">
        <x:v>1</x:v>
      </x:c>
      <x:c r="AS1232" s="23" t="n">
        <x:v>0</x:v>
      </x:c>
      <x:c r="AT1232" s="23" t="n">
        <x:v>0</x:v>
      </x:c>
    </x:row>
    <x:row r="1233" ht="64" customHeight="1">
      <x:c r="A1233" s="10" t="str">
        <x:v>IEK</x:v>
      </x:c>
      <x:c r="B1233" s="34" t="str">
        <x:v>ярп5605</x:v>
      </x:c>
      <x:c r="C1233" s="34"/>
      <x:c r="D1233" s="13" t="str">
        <x:v>Шина N "ноль" на DIN-изол тип "Стойка" ШНИ-6х9-14-С-С IEK !!!</x:v>
      </x:c>
      <x:c r="E1233" s="10" t="str">
        <x:v>шт</x:v>
      </x:c>
      <x:c r="F1233" s="37" t="n">
        <x:f>MAX(0,ROUNDDOWN((AG1233-AF1233)/AR1233+0.000000001,0)*AR1233)</x:f>
        <x:v>7</x:v>
      </x:c>
      <x:c r="G1233" s="21" t="str">
        <x:f>IF(J1233="Рассчитано",V1233*(1-R1233/100)-W1233-P1233-Q1233,"н/д")</x:f>
        <x:v>н/д</x:v>
      </x:c>
      <x:c r="H1233" s="13" t="str">
        <x:v>Высокий</x:v>
      </x:c>
      <x:c r="I1233" s="13" t="str">
        <x:v>Средний</x:v>
      </x:c>
      <x:c r="J1233" s="13" t="str">
        <x:f>IF(L1233="","Укажите валюту",IF(NOT(ISNUMBER(K1233)),"Укажите объём",IF(K1233&lt;=0,"Укажите объём",IF(K1233&gt;F1233,"Объём выше излишка",IF(COUNT(M1233:O1233)&lt;3,"Нужны цены",IF(COUNT(P1233:R1233)&lt;3,"Нужны расходы",IF(OR(M1233&lt;0,N1233&lt;0,O1233&lt;0,O1233&gt;100,P1233&lt;0,Q1233&lt;0,R1233&lt;0,R1233&gt;100),"Проверьте значения","Рассчитано")))))))</x:f>
        <x:v>Нужны цены</x:v>
      </x:c>
      <x:c r="K1233" s="36" t="n">
        <x:v>7</x:v>
      </x:c>
      <x:c r="L1233" s="19" t="str">
        <x:v>KZT</x:v>
      </x:c>
      <x:c r="M1233" s="22"/>
      <x:c r="N1233" s="22"/>
      <x:c r="O1233" s="28"/>
      <x:c r="P1233" s="22"/>
      <x:c r="Q1233" s="22"/>
      <x:c r="R1233" s="28"/>
      <x:c r="S1233" s="22"/>
      <x:c r="T1233" s="37" t="n">
        <x:f>K1233</x:f>
        <x:v>7</x:v>
      </x:c>
      <x:c r="U1233" s="21" t="str">
        <x:f>IF(J1233="Рассчитано",N1233*(1-O1233/100),"н/д")</x:f>
        <x:v>н/д</x:v>
      </x:c>
      <x:c r="V1233" s="21" t="str">
        <x:f>IF(J1233="Рассчитано",T1233*U1233,"н/д")</x:f>
        <x:v>н/д</x:v>
      </x:c>
      <x:c r="W1233" s="21" t="str">
        <x:f>IF(J1233="Рассчитано",T1233*M1233,"н/д")</x:f>
        <x:v>н/д</x:v>
      </x:c>
      <x:c r="X1233" s="21" t="str">
        <x:f>IF(J1233="Рассчитано",V1233-W1233,"н/д")</x:f>
        <x:v>н/д</x:v>
      </x:c>
      <x:c r="Y1233" s="27" t="str">
        <x:f>IF(J1233="Рассчитано",IF(V1233&gt;0,G1233/V1233,"н/д"),"н/д")</x:f>
        <x:v>н/д</x:v>
      </x:c>
      <x:c r="Z1233" s="21" t="str">
        <x:f>"н/д"</x:f>
        <x:v>н/д</x:v>
      </x:c>
      <x:c r="AA1233" s="21" t="str">
        <x:f>"н/д"</x:f>
        <x:v>н/д</x:v>
      </x:c>
      <x:c r="AB1233" s="21" t="str">
        <x:f>"н/д"</x:f>
        <x:v>н/д</x:v>
      </x:c>
      <x:c r="AC1233" s="21" t="str">
        <x:f>IF(AND(J1233="Рассчитано",T1233&gt;0,R1233&lt;100),(W1233+P1233+Q1233)/(T1233*(1-R1233/100)),"н/д")</x:f>
        <x:v>н/д</x:v>
      </x:c>
      <x:c r="AD1233" s="10" t="str">
        <x:f>IF(ISNUMBER(G1233),IF(G1233&lt;0,"Убыток",IF(G1233=0,"Без прибыли","Прибыль &gt; 0")),"Не оценён")</x:f>
        <x:v>Не оценён</x:v>
      </x:c>
      <x:c r="AE1233" s="13" t="str">
        <x:f>IF(J1233="Рассчитано","Выручка "&amp;TEXT(V1233,"0.00")&amp;" - себестоимость "&amp;TEXT(W1233,"0.00")&amp;" - комиссия "&amp;TEXT(V1233*R1233/100,"0.00")&amp;" - доставка "&amp;TEXT(P1233,"0.00")&amp;" - прочие "&amp;TEXT(Q1233,"0.00")&amp;" = "&amp;TEXT(G1233,"0.00")&amp;" "&amp;L1233,"Введите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3" s="24" t="n">
        <x:v>21.330294544701683</x:v>
      </x:c>
      <x:c r="AG1233" s="37" t="n">
        <x:v>29</x:v>
      </x:c>
      <x:c r="AH1233" s="37" t="n">
        <x:v>0</x:v>
      </x:c>
      <x:c r="AI1233" s="30" t="n">
        <x:v>46266</x:v>
      </x:c>
      <x:c r="AJ1233" s="37"/>
      <x:c r="AK1233" s="10" t="str">
        <x:v>неизвестно</x:v>
      </x:c>
      <x:c r="AL1233" s="32" t="n">
        <x:v>115.61659890656844</x:v>
      </x:c>
      <x:c r="AM1233" s="13" t="str">
        <x:v>Остаток на начало сентября; Резервы неизвестны; Нет артикула производителя; Нет ежедневных данных доступности. Запас выше прогноза на 90 дней</x:v>
      </x:c>
      <x:c r="AN1233" s="13" t="str">
        <x:v>Проверить свободный остаток и установить цену для B2B</x:v>
      </x:c>
      <x:c r="AO1233" s="13" t="str">
        <x:v>Остаток 29; прогноз 90 дней 21.33; избыток 7 шт. Будущие поступления не выставляются на продажу. Остаток на начало сентября: требуется актуализация.</x:v>
      </x:c>
      <x:c r="AP1233" s="13" t="str">
        <x:v>["category_missing", "daily_stockout_data_missing", "moq_missing", "new_order_lead_time_unknown", "reservations_unknown", "stale_stock", "supplier_sku_missing"]</x:v>
      </x:c>
      <x:c r="AQ1233" s="10" t="str">
        <x:v>IEK:ярп5605</x:v>
      </x:c>
      <x:c r="AR1233" s="24" t="n">
        <x:v>1</x:v>
      </x:c>
      <x:c r="AS1233" s="24" t="n">
        <x:v>0</x:v>
      </x:c>
      <x:c r="AT1233" s="24" t="n">
        <x:v>0</x:v>
      </x:c>
    </x:row>
    <x:row r="1234" ht="64" customHeight="1">
      <x:c r="A1234" s="11" t="str">
        <x:v>IEK</x:v>
      </x:c>
      <x:c r="B1234" s="33" t="str">
        <x:v>ярп5628</x:v>
      </x:c>
      <x:c r="C1234" s="33"/>
      <x:c r="D1234" s="12" t="str">
        <x:v>Предохранитель ППНИ-37  (355А) габарит 2 IEK !!!</x:v>
      </x:c>
      <x:c r="E1234" s="11" t="str">
        <x:v>шт</x:v>
      </x:c>
      <x:c r="F1234" s="35" t="n">
        <x:f>MAX(0,ROUNDDOWN((AG1234-AF1234)/AR1234+0.000000001,0)*AR1234)</x:f>
        <x:v>12</x:v>
      </x:c>
      <x:c r="G1234" s="20" t="str">
        <x:f>IF(J1234="Рассчитано",V1234*(1-R1234/100)-W1234-P1234-Q1234,"н/д")</x:f>
        <x:v>н/д</x:v>
      </x:c>
      <x:c r="H1234" s="12" t="str">
        <x:v>Высокий</x:v>
      </x:c>
      <x:c r="I1234" s="12" t="str">
        <x:v>Высокий</x:v>
      </x:c>
      <x:c r="J1234" s="12" t="str">
        <x:f>IF(L1234="","Укажите валюту",IF(NOT(ISNUMBER(K1234)),"Укажите объём",IF(K1234&lt;=0,"Укажите объём",IF(K1234&gt;F1234,"Объём выше излишка",IF(COUNT(M1234:O1234)&lt;3,"Нужны цены",IF(COUNT(P1234:R1234)&lt;3,"Нужны расходы",IF(OR(M1234&lt;0,N1234&lt;0,O1234&lt;0,O1234&gt;100,P1234&lt;0,Q1234&lt;0,R1234&lt;0,R1234&gt;100),"Проверьте значения","Рассчитано")))))))</x:f>
        <x:v>Нужны цены</x:v>
      </x:c>
      <x:c r="K1234" s="36" t="n">
        <x:v>12</x:v>
      </x:c>
      <x:c r="L1234" s="19" t="str">
        <x:v>KZT</x:v>
      </x:c>
      <x:c r="M1234" s="22"/>
      <x:c r="N1234" s="22"/>
      <x:c r="O1234" s="28"/>
      <x:c r="P1234" s="22"/>
      <x:c r="Q1234" s="22"/>
      <x:c r="R1234" s="28"/>
      <x:c r="S1234" s="22"/>
      <x:c r="T1234" s="35" t="n">
        <x:f>K1234</x:f>
        <x:v>12</x:v>
      </x:c>
      <x:c r="U1234" s="20" t="str">
        <x:f>IF(J1234="Рассчитано",N1234*(1-O1234/100),"н/д")</x:f>
        <x:v>н/д</x:v>
      </x:c>
      <x:c r="V1234" s="20" t="str">
        <x:f>IF(J1234="Рассчитано",T1234*U1234,"н/д")</x:f>
        <x:v>н/д</x:v>
      </x:c>
      <x:c r="W1234" s="20" t="str">
        <x:f>IF(J1234="Рассчитано",T1234*M1234,"н/д")</x:f>
        <x:v>н/д</x:v>
      </x:c>
      <x:c r="X1234" s="20" t="str">
        <x:f>IF(J1234="Рассчитано",V1234-W1234,"н/д")</x:f>
        <x:v>н/д</x:v>
      </x:c>
      <x:c r="Y1234" s="26" t="str">
        <x:f>IF(J1234="Рассчитано",IF(V1234&gt;0,G1234/V1234,"н/д"),"н/д")</x:f>
        <x:v>н/д</x:v>
      </x:c>
      <x:c r="Z1234" s="20" t="str">
        <x:f>"н/д"</x:f>
        <x:v>н/д</x:v>
      </x:c>
      <x:c r="AA1234" s="20" t="str">
        <x:f>"н/д"</x:f>
        <x:v>н/д</x:v>
      </x:c>
      <x:c r="AB1234" s="20" t="str">
        <x:f>"н/д"</x:f>
        <x:v>н/д</x:v>
      </x:c>
      <x:c r="AC1234" s="20" t="str">
        <x:f>IF(AND(J1234="Рассчитано",T1234&gt;0,R1234&lt;100),(W1234+P1234+Q1234)/(T1234*(1-R1234/100)),"н/д")</x:f>
        <x:v>н/д</x:v>
      </x:c>
      <x:c r="AD1234" s="11" t="str">
        <x:f>IF(ISNUMBER(G1234),IF(G1234&lt;0,"Убыток",IF(G1234=0,"Без прибыли","Прибыль &gt; 0")),"Не оценён")</x:f>
        <x:v>Не оценён</x:v>
      </x:c>
      <x:c r="AE1234" s="12" t="str">
        <x:f>IF(J1234="Рассчитано","Выручка "&amp;TEXT(V1234,"0.00")&amp;" - себестоимость "&amp;TEXT(W1234,"0.00")&amp;" - комиссия "&amp;TEXT(V1234*R1234/100,"0.00")&amp;" - доставка "&amp;TEXT(P1234,"0.00")&amp;" - прочие "&amp;TEXT(Q1234,"0.00")&amp;" = "&amp;TEXT(G1234,"0.00")&amp;" "&amp;L1234,"Введите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4" s="23" t="n">
        <x:v>0</x:v>
      </x:c>
      <x:c r="AG1234" s="35" t="n">
        <x:v>12</x:v>
      </x:c>
      <x:c r="AH1234" s="35" t="n">
        <x:v>0</x:v>
      </x:c>
      <x:c r="AI1234" s="29" t="n">
        <x:v>46266</x:v>
      </x:c>
      <x:c r="AJ1234" s="35"/>
      <x:c r="AK1234" s="11" t="str">
        <x:v>неизвестно</x:v>
      </x:c>
      <x:c r="AL1234" s="31" t="str">
        <x:v>н/д</x:v>
      </x:c>
      <x:c r="AM1234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34" s="12" t="str">
        <x:v>Проверить свободный остаток и установить цену для B2B</x:v>
      </x:c>
      <x:c r="AO1234" s="12" t="str">
        <x:v>Остаток 12; прогноз 90 дней 0.00; избыток 12 шт. Будущие поступления не выставляются на продажу. Остаток на начало сентября: требуется актуализация.</x:v>
      </x:c>
      <x:c r="AP1234" s="12" t="str">
        <x:v>["category_missing", "daily_stockout_data_missing", "moq_missing", "new_order_lead_time_unknown", "reservations_unknown", "stale_stock", "supplier_sku_missing"]</x:v>
      </x:c>
      <x:c r="AQ1234" s="11" t="str">
        <x:v>IEK:ярп5628</x:v>
      </x:c>
      <x:c r="AR1234" s="23" t="n">
        <x:v>1</x:v>
      </x:c>
      <x:c r="AS1234" s="23" t="n">
        <x:v>0</x:v>
      </x:c>
      <x:c r="AT1234" s="23" t="n">
        <x:v>0</x:v>
      </x:c>
    </x:row>
    <x:row r="1235" ht="64" customHeight="1">
      <x:c r="A1235" s="10" t="str">
        <x:v>IEK</x:v>
      </x:c>
      <x:c r="B1235" s="34" t="str">
        <x:v>ярп5962</x:v>
      </x:c>
      <x:c r="C1235" s="34"/>
      <x:c r="D1235" s="13" t="str">
        <x:v>Распред. блок на DIN-рейку РБД-400А IEK !!!</x:v>
      </x:c>
      <x:c r="E1235" s="10" t="str">
        <x:v>шт</x:v>
      </x:c>
      <x:c r="F1235" s="37" t="n">
        <x:f>MAX(0,ROUNDDOWN((AG1235-AF1235)/AR1235+0.000000001,0)*AR1235)</x:f>
        <x:v>1</x:v>
      </x:c>
      <x:c r="G1235" s="21" t="str">
        <x:f>IF(J1235="Рассчитано",V1235*(1-R1235/100)-W1235-P1235-Q1235,"н/д")</x:f>
        <x:v>н/д</x:v>
      </x:c>
      <x:c r="H1235" s="13" t="str">
        <x:v>Высокий</x:v>
      </x:c>
      <x:c r="I1235" s="13" t="str">
        <x:v>Высокий</x:v>
      </x:c>
      <x:c r="J1235" s="13" t="str">
        <x:f>IF(L1235="","Укажите валюту",IF(NOT(ISNUMBER(K1235)),"Укажите объём",IF(K1235&lt;=0,"Укажите объём",IF(K1235&gt;F1235,"Объём выше излишка",IF(COUNT(M1235:O1235)&lt;3,"Нужны цены",IF(COUNT(P1235:R1235)&lt;3,"Нужны расходы",IF(OR(M1235&lt;0,N1235&lt;0,O1235&lt;0,O1235&gt;100,P1235&lt;0,Q1235&lt;0,R1235&lt;0,R1235&gt;100),"Проверьте значения","Рассчитано")))))))</x:f>
        <x:v>Нужны цены</x:v>
      </x:c>
      <x:c r="K1235" s="36" t="n">
        <x:v>1</x:v>
      </x:c>
      <x:c r="L1235" s="19" t="str">
        <x:v>KZT</x:v>
      </x:c>
      <x:c r="M1235" s="22"/>
      <x:c r="N1235" s="22"/>
      <x:c r="O1235" s="28"/>
      <x:c r="P1235" s="22"/>
      <x:c r="Q1235" s="22"/>
      <x:c r="R1235" s="28"/>
      <x:c r="S1235" s="22"/>
      <x:c r="T1235" s="37" t="n">
        <x:f>K1235</x:f>
        <x:v>1</x:v>
      </x:c>
      <x:c r="U1235" s="21" t="str">
        <x:f>IF(J1235="Рассчитано",N1235*(1-O1235/100),"н/д")</x:f>
        <x:v>н/д</x:v>
      </x:c>
      <x:c r="V1235" s="21" t="str">
        <x:f>IF(J1235="Рассчитано",T1235*U1235,"н/д")</x:f>
        <x:v>н/д</x:v>
      </x:c>
      <x:c r="W1235" s="21" t="str">
        <x:f>IF(J1235="Рассчитано",T1235*M1235,"н/д")</x:f>
        <x:v>н/д</x:v>
      </x:c>
      <x:c r="X1235" s="21" t="str">
        <x:f>IF(J1235="Рассчитано",V1235-W1235,"н/д")</x:f>
        <x:v>н/д</x:v>
      </x:c>
      <x:c r="Y1235" s="27" t="str">
        <x:f>IF(J1235="Рассчитано",IF(V1235&gt;0,G1235/V1235,"н/д"),"н/д")</x:f>
        <x:v>н/д</x:v>
      </x:c>
      <x:c r="Z1235" s="21" t="str">
        <x:f>"н/д"</x:f>
        <x:v>н/д</x:v>
      </x:c>
      <x:c r="AA1235" s="21" t="str">
        <x:f>"н/д"</x:f>
        <x:v>н/д</x:v>
      </x:c>
      <x:c r="AB1235" s="21" t="str">
        <x:f>"н/д"</x:f>
        <x:v>н/д</x:v>
      </x:c>
      <x:c r="AC1235" s="21" t="str">
        <x:f>IF(AND(J1235="Рассчитано",T1235&gt;0,R1235&lt;100),(W1235+P1235+Q1235)/(T1235*(1-R1235/100)),"н/д")</x:f>
        <x:v>н/д</x:v>
      </x:c>
      <x:c r="AD1235" s="10" t="str">
        <x:f>IF(ISNUMBER(G1235),IF(G1235&lt;0,"Убыток",IF(G1235=0,"Без прибыли","Прибыль &gt; 0")),"Не оценён")</x:f>
        <x:v>Не оценён</x:v>
      </x:c>
      <x:c r="AE1235" s="13" t="str">
        <x:f>IF(J1235="Рассчитано","Выручка "&amp;TEXT(V1235,"0.00")&amp;" - себестоимость "&amp;TEXT(W1235,"0.00")&amp;" - комиссия "&amp;TEXT(V1235*R1235/100,"0.00")&amp;" - доставка "&amp;TEXT(P1235,"0.00")&amp;" - прочие "&amp;TEXT(Q1235,"0.00")&amp;" = "&amp;TEXT(G1235,"0.00")&amp;" "&amp;L1235,"Введите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5" s="24" t="n">
        <x:v>0</x:v>
      </x:c>
      <x:c r="AG1235" s="37" t="n">
        <x:v>1</x:v>
      </x:c>
      <x:c r="AH1235" s="37" t="n">
        <x:v>0</x:v>
      </x:c>
      <x:c r="AI1235" s="30" t="n">
        <x:v>46266</x:v>
      </x:c>
      <x:c r="AJ1235" s="37"/>
      <x:c r="AK1235" s="10" t="str">
        <x:v>неизвестно</x:v>
      </x:c>
      <x:c r="AL1235" s="32" t="str">
        <x:v>н/д</x:v>
      </x:c>
      <x:c r="AM1235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35" s="13" t="str">
        <x:v>Проверить свободный остаток и установить цену для B2B</x:v>
      </x:c>
      <x:c r="AO1235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35" s="13" t="str">
        <x:v>["category_missing", "daily_stockout_data_missing", "moq_missing", "new_order_lead_time_unknown", "reservations_unknown", "stale_stock", "supplier_sku_missing"]</x:v>
      </x:c>
      <x:c r="AQ1235" s="10" t="str">
        <x:v>IEK:ярп5962</x:v>
      </x:c>
      <x:c r="AR1235" s="24" t="n">
        <x:v>1</x:v>
      </x:c>
      <x:c r="AS1235" s="24" t="n">
        <x:v>0</x:v>
      </x:c>
      <x:c r="AT1235" s="24" t="n">
        <x:v>0</x:v>
      </x:c>
    </x:row>
    <x:row r="1236" ht="64" customHeight="1">
      <x:c r="A1236" s="11" t="str">
        <x:v>IEK</x:v>
      </x:c>
      <x:c r="B1236" s="33" t="str">
        <x:v>ярп6058</x:v>
      </x:c>
      <x:c r="C1236" s="33"/>
      <x:c r="D1236" s="12" t="str">
        <x:v>BA 47-60M (1ф) 16А 6кА С IEK !!!</x:v>
      </x:c>
      <x:c r="E1236" s="11" t="str">
        <x:v>шт</x:v>
      </x:c>
      <x:c r="F1236" s="35" t="n">
        <x:f>MAX(0,ROUNDDOWN((AG1236-AF1236)/AR1236+0.000000001,0)*AR1236)</x:f>
        <x:v>2</x:v>
      </x:c>
      <x:c r="G1236" s="20" t="str">
        <x:f>IF(J1236="Рассчитано",V1236*(1-R1236/100)-W1236-P1236-Q1236,"н/д")</x:f>
        <x:v>н/д</x:v>
      </x:c>
      <x:c r="H1236" s="12" t="str">
        <x:v>Высокий</x:v>
      </x:c>
      <x:c r="I1236" s="12" t="str">
        <x:v>Высокий</x:v>
      </x:c>
      <x:c r="J1236" s="12" t="str">
        <x:f>IF(L1236="","Укажите валюту",IF(NOT(ISNUMBER(K1236)),"Укажите объём",IF(K1236&lt;=0,"Укажите объём",IF(K1236&gt;F1236,"Объём выше излишка",IF(COUNT(M1236:O1236)&lt;3,"Нужны цены",IF(COUNT(P1236:R1236)&lt;3,"Нужны расходы",IF(OR(M1236&lt;0,N1236&lt;0,O1236&lt;0,O1236&gt;100,P1236&lt;0,Q1236&lt;0,R1236&lt;0,R1236&gt;100),"Проверьте значения","Рассчитано")))))))</x:f>
        <x:v>Нужны цены</x:v>
      </x:c>
      <x:c r="K1236" s="36" t="n">
        <x:v>2</x:v>
      </x:c>
      <x:c r="L1236" s="19" t="str">
        <x:v>KZT</x:v>
      </x:c>
      <x:c r="M1236" s="22"/>
      <x:c r="N1236" s="22"/>
      <x:c r="O1236" s="28"/>
      <x:c r="P1236" s="22"/>
      <x:c r="Q1236" s="22"/>
      <x:c r="R1236" s="28"/>
      <x:c r="S1236" s="22"/>
      <x:c r="T1236" s="35" t="n">
        <x:f>K1236</x:f>
        <x:v>2</x:v>
      </x:c>
      <x:c r="U1236" s="20" t="str">
        <x:f>IF(J1236="Рассчитано",N1236*(1-O1236/100),"н/д")</x:f>
        <x:v>н/д</x:v>
      </x:c>
      <x:c r="V1236" s="20" t="str">
        <x:f>IF(J1236="Рассчитано",T1236*U1236,"н/д")</x:f>
        <x:v>н/д</x:v>
      </x:c>
      <x:c r="W1236" s="20" t="str">
        <x:f>IF(J1236="Рассчитано",T1236*M1236,"н/д")</x:f>
        <x:v>н/д</x:v>
      </x:c>
      <x:c r="X1236" s="20" t="str">
        <x:f>IF(J1236="Рассчитано",V1236-W1236,"н/д")</x:f>
        <x:v>н/д</x:v>
      </x:c>
      <x:c r="Y1236" s="26" t="str">
        <x:f>IF(J1236="Рассчитано",IF(V1236&gt;0,G1236/V1236,"н/д"),"н/д")</x:f>
        <x:v>н/д</x:v>
      </x:c>
      <x:c r="Z1236" s="20" t="str">
        <x:f>"н/д"</x:f>
        <x:v>н/д</x:v>
      </x:c>
      <x:c r="AA1236" s="20" t="str">
        <x:f>"н/д"</x:f>
        <x:v>н/д</x:v>
      </x:c>
      <x:c r="AB1236" s="20" t="str">
        <x:f>"н/д"</x:f>
        <x:v>н/д</x:v>
      </x:c>
      <x:c r="AC1236" s="20" t="str">
        <x:f>IF(AND(J1236="Рассчитано",T1236&gt;0,R1236&lt;100),(W1236+P1236+Q1236)/(T1236*(1-R1236/100)),"н/д")</x:f>
        <x:v>н/д</x:v>
      </x:c>
      <x:c r="AD1236" s="11" t="str">
        <x:f>IF(ISNUMBER(G1236),IF(G1236&lt;0,"Убыток",IF(G1236=0,"Без прибыли","Прибыль &gt; 0")),"Не оценён")</x:f>
        <x:v>Не оценён</x:v>
      </x:c>
      <x:c r="AE1236" s="12" t="str">
        <x:f>IF(J1236="Рассчитано","Выручка "&amp;TEXT(V1236,"0.00")&amp;" - себестоимость "&amp;TEXT(W1236,"0.00")&amp;" - комиссия "&amp;TEXT(V1236*R1236/100,"0.00")&amp;" - доставка "&amp;TEXT(P1236,"0.00")&amp;" - прочие "&amp;TEXT(Q1236,"0.00")&amp;" = "&amp;TEXT(G1236,"0.00")&amp;" "&amp;L1236,"Введите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6" s="23" t="n">
        <x:v>0.3602324472082209</x:v>
      </x:c>
      <x:c r="AG1236" s="35" t="n">
        <x:v>3</x:v>
      </x:c>
      <x:c r="AH1236" s="35" t="n">
        <x:v>0</x:v>
      </x:c>
      <x:c r="AI1236" s="29" t="n">
        <x:v>46266</x:v>
      </x:c>
      <x:c r="AJ1236" s="35"/>
      <x:c r="AK1236" s="11" t="str">
        <x:v>неизвестно</x:v>
      </x:c>
      <x:c r="AL1236" s="31" t="n">
        <x:v>708.2025244742176</x:v>
      </x:c>
      <x:c r="AM1236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36" s="12" t="str">
        <x:v>Проверить свободный остаток и установить цену для B2B</x:v>
      </x:c>
      <x:c r="AO1236" s="12" t="str">
        <x:v>Остаток 3; прогноз 90 дней 0.36; избыток 2 шт. Будущие поступления не выставляются на продажу. Остаток на начало сентября: требуется актуализация.</x:v>
      </x:c>
      <x:c r="AP1236" s="12" t="str">
        <x:v>["category_missing", "daily_stockout_data_missing", "moq_missing", "new_order_lead_time_unknown", "reservations_unknown", "stale_stock", "supplier_sku_missing"]</x:v>
      </x:c>
      <x:c r="AQ1236" s="11" t="str">
        <x:v>IEK:ярп6058</x:v>
      </x:c>
      <x:c r="AR1236" s="23" t="n">
        <x:v>1</x:v>
      </x:c>
      <x:c r="AS1236" s="23" t="n">
        <x:v>0</x:v>
      </x:c>
      <x:c r="AT1236" s="23" t="n">
        <x:v>0</x:v>
      </x:c>
    </x:row>
    <x:row r="1237" ht="64" customHeight="1">
      <x:c r="A1237" s="10" t="str">
        <x:v>IEK</x:v>
      </x:c>
      <x:c r="B1237" s="34" t="str">
        <x:v>ярп6182</x:v>
      </x:c>
      <x:c r="C1237" s="34"/>
      <x:c r="D1237" s="13" t="str">
        <x:v>ЩЭ 5-1 36 УХЛ3 IP31 !!!</x:v>
      </x:c>
      <x:c r="E1237" s="10" t="str">
        <x:v>шт</x:v>
      </x:c>
      <x:c r="F1237" s="37" t="n">
        <x:f>MAX(0,ROUNDDOWN((AG1237-AF1237)/AR1237+0.000000001,0)*AR1237)</x:f>
        <x:v>1</x:v>
      </x:c>
      <x:c r="G1237" s="21" t="str">
        <x:f>IF(J1237="Рассчитано",V1237*(1-R1237/100)-W1237-P1237-Q1237,"н/д")</x:f>
        <x:v>н/д</x:v>
      </x:c>
      <x:c r="H1237" s="13" t="str">
        <x:v>Высокий</x:v>
      </x:c>
      <x:c r="I1237" s="13" t="str">
        <x:v>Высокий</x:v>
      </x:c>
      <x:c r="J1237" s="13" t="str">
        <x:f>IF(L1237="","Укажите валюту",IF(NOT(ISNUMBER(K1237)),"Укажите объём",IF(K1237&lt;=0,"Укажите объём",IF(K1237&gt;F1237,"Объём выше излишка",IF(COUNT(M1237:O1237)&lt;3,"Нужны цены",IF(COUNT(P1237:R1237)&lt;3,"Нужны расходы",IF(OR(M1237&lt;0,N1237&lt;0,O1237&lt;0,O1237&gt;100,P1237&lt;0,Q1237&lt;0,R1237&lt;0,R1237&gt;100),"Проверьте значения","Рассчитано")))))))</x:f>
        <x:v>Нужны цены</x:v>
      </x:c>
      <x:c r="K1237" s="36" t="n">
        <x:v>1</x:v>
      </x:c>
      <x:c r="L1237" s="19" t="str">
        <x:v>KZT</x:v>
      </x:c>
      <x:c r="M1237" s="22"/>
      <x:c r="N1237" s="22"/>
      <x:c r="O1237" s="28"/>
      <x:c r="P1237" s="22"/>
      <x:c r="Q1237" s="22"/>
      <x:c r="R1237" s="28"/>
      <x:c r="S1237" s="22"/>
      <x:c r="T1237" s="37" t="n">
        <x:f>K1237</x:f>
        <x:v>1</x:v>
      </x:c>
      <x:c r="U1237" s="21" t="str">
        <x:f>IF(J1237="Рассчитано",N1237*(1-O1237/100),"н/д")</x:f>
        <x:v>н/д</x:v>
      </x:c>
      <x:c r="V1237" s="21" t="str">
        <x:f>IF(J1237="Рассчитано",T1237*U1237,"н/д")</x:f>
        <x:v>н/д</x:v>
      </x:c>
      <x:c r="W1237" s="21" t="str">
        <x:f>IF(J1237="Рассчитано",T1237*M1237,"н/д")</x:f>
        <x:v>н/д</x:v>
      </x:c>
      <x:c r="X1237" s="21" t="str">
        <x:f>IF(J1237="Рассчитано",V1237-W1237,"н/д")</x:f>
        <x:v>н/д</x:v>
      </x:c>
      <x:c r="Y1237" s="27" t="str">
        <x:f>IF(J1237="Рассчитано",IF(V1237&gt;0,G1237/V1237,"н/д"),"н/д")</x:f>
        <x:v>н/д</x:v>
      </x:c>
      <x:c r="Z1237" s="21" t="str">
        <x:f>"н/д"</x:f>
        <x:v>н/д</x:v>
      </x:c>
      <x:c r="AA1237" s="21" t="str">
        <x:f>"н/д"</x:f>
        <x:v>н/д</x:v>
      </x:c>
      <x:c r="AB1237" s="21" t="str">
        <x:f>"н/д"</x:f>
        <x:v>н/д</x:v>
      </x:c>
      <x:c r="AC1237" s="21" t="str">
        <x:f>IF(AND(J1237="Рассчитано",T1237&gt;0,R1237&lt;100),(W1237+P1237+Q1237)/(T1237*(1-R1237/100)),"н/д")</x:f>
        <x:v>н/д</x:v>
      </x:c>
      <x:c r="AD1237" s="10" t="str">
        <x:f>IF(ISNUMBER(G1237),IF(G1237&lt;0,"Убыток",IF(G1237=0,"Без прибыли","Прибыль &gt; 0")),"Не оценён")</x:f>
        <x:v>Не оценён</x:v>
      </x:c>
      <x:c r="AE1237" s="13" t="str">
        <x:f>IF(J1237="Рассчитано","Выручка "&amp;TEXT(V1237,"0.00")&amp;" - себестоимость "&amp;TEXT(W1237,"0.00")&amp;" - комиссия "&amp;TEXT(V1237*R1237/100,"0.00")&amp;" - доставка "&amp;TEXT(P1237,"0.00")&amp;" - прочие "&amp;TEXT(Q1237,"0.00")&amp;" = "&amp;TEXT(G1237,"0.00")&amp;" "&amp;L1237,"Введите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7" s="24" t="n">
        <x:v>0</x:v>
      </x:c>
      <x:c r="AG1237" s="37" t="n">
        <x:v>1</x:v>
      </x:c>
      <x:c r="AH1237" s="37" t="n">
        <x:v>0</x:v>
      </x:c>
      <x:c r="AI1237" s="30" t="n">
        <x:v>46266</x:v>
      </x:c>
      <x:c r="AJ1237" s="37"/>
      <x:c r="AK1237" s="10" t="str">
        <x:v>неизвестно</x:v>
      </x:c>
      <x:c r="AL1237" s="32" t="str">
        <x:v>н/д</x:v>
      </x:c>
      <x:c r="AM1237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37" s="13" t="str">
        <x:v>Проверить свободный остаток и установить цену для B2B</x:v>
      </x:c>
      <x:c r="AO1237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37" s="13" t="str">
        <x:v>["category_missing", "daily_stockout_data_missing", "moq_missing", "new_order_lead_time_unknown", "reservations_unknown", "stale_stock", "supplier_sku_missing"]</x:v>
      </x:c>
      <x:c r="AQ1237" s="10" t="str">
        <x:v>IEK:ярп6182</x:v>
      </x:c>
      <x:c r="AR1237" s="24" t="n">
        <x:v>1</x:v>
      </x:c>
      <x:c r="AS1237" s="24" t="n">
        <x:v>0</x:v>
      </x:c>
      <x:c r="AT1237" s="24" t="n">
        <x:v>0</x:v>
      </x:c>
    </x:row>
    <x:row r="1238" ht="64" customHeight="1">
      <x:c r="A1238" s="11" t="str">
        <x:v>IEK</x:v>
      </x:c>
      <x:c r="B1238" s="33" t="str">
        <x:v>ярп6188</x:v>
      </x:c>
      <x:c r="C1238" s="33"/>
      <x:c r="D1238" s="12" t="str">
        <x:v>BA 47-60M (3ф) 50А 6кА С IEK !!!</x:v>
      </x:c>
      <x:c r="E1238" s="11" t="str">
        <x:v>шт</x:v>
      </x:c>
      <x:c r="F1238" s="35" t="n">
        <x:f>MAX(0,ROUNDDOWN((AG1238-AF1238)/AR1238+0.000000001,0)*AR1238)</x:f>
        <x:v>2</x:v>
      </x:c>
      <x:c r="G1238" s="20" t="str">
        <x:f>IF(J1238="Рассчитано",V1238*(1-R1238/100)-W1238-P1238-Q1238,"н/д")</x:f>
        <x:v>н/д</x:v>
      </x:c>
      <x:c r="H1238" s="12" t="str">
        <x:v>Высокий</x:v>
      </x:c>
      <x:c r="I1238" s="12" t="str">
        <x:v>Высокий</x:v>
      </x:c>
      <x:c r="J1238" s="12" t="str">
        <x:f>IF(L1238="","Укажите валюту",IF(NOT(ISNUMBER(K1238)),"Укажите объём",IF(K1238&lt;=0,"Укажите объём",IF(K1238&gt;F1238,"Объём выше излишка",IF(COUNT(M1238:O1238)&lt;3,"Нужны цены",IF(COUNT(P1238:R1238)&lt;3,"Нужны расходы",IF(OR(M1238&lt;0,N1238&lt;0,O1238&lt;0,O1238&gt;100,P1238&lt;0,Q1238&lt;0,R1238&lt;0,R1238&gt;100),"Проверьте значения","Рассчитано")))))))</x:f>
        <x:v>Нужны цены</x:v>
      </x:c>
      <x:c r="K1238" s="36" t="n">
        <x:v>2</x:v>
      </x:c>
      <x:c r="L1238" s="19" t="str">
        <x:v>KZT</x:v>
      </x:c>
      <x:c r="M1238" s="22"/>
      <x:c r="N1238" s="22"/>
      <x:c r="O1238" s="28"/>
      <x:c r="P1238" s="22"/>
      <x:c r="Q1238" s="22"/>
      <x:c r="R1238" s="28"/>
      <x:c r="S1238" s="22"/>
      <x:c r="T1238" s="35" t="n">
        <x:f>K1238</x:f>
        <x:v>2</x:v>
      </x:c>
      <x:c r="U1238" s="20" t="str">
        <x:f>IF(J1238="Рассчитано",N1238*(1-O1238/100),"н/д")</x:f>
        <x:v>н/д</x:v>
      </x:c>
      <x:c r="V1238" s="20" t="str">
        <x:f>IF(J1238="Рассчитано",T1238*U1238,"н/д")</x:f>
        <x:v>н/д</x:v>
      </x:c>
      <x:c r="W1238" s="20" t="str">
        <x:f>IF(J1238="Рассчитано",T1238*M1238,"н/д")</x:f>
        <x:v>н/д</x:v>
      </x:c>
      <x:c r="X1238" s="20" t="str">
        <x:f>IF(J1238="Рассчитано",V1238-W1238,"н/д")</x:f>
        <x:v>н/д</x:v>
      </x:c>
      <x:c r="Y1238" s="26" t="str">
        <x:f>IF(J1238="Рассчитано",IF(V1238&gt;0,G1238/V1238,"н/д"),"н/д")</x:f>
        <x:v>н/д</x:v>
      </x:c>
      <x:c r="Z1238" s="20" t="str">
        <x:f>"н/д"</x:f>
        <x:v>н/д</x:v>
      </x:c>
      <x:c r="AA1238" s="20" t="str">
        <x:f>"н/д"</x:f>
        <x:v>н/д</x:v>
      </x:c>
      <x:c r="AB1238" s="20" t="str">
        <x:f>"н/д"</x:f>
        <x:v>н/д</x:v>
      </x:c>
      <x:c r="AC1238" s="20" t="str">
        <x:f>IF(AND(J1238="Рассчитано",T1238&gt;0,R1238&lt;100),(W1238+P1238+Q1238)/(T1238*(1-R1238/100)),"н/д")</x:f>
        <x:v>н/д</x:v>
      </x:c>
      <x:c r="AD1238" s="11" t="str">
        <x:f>IF(ISNUMBER(G1238),IF(G1238&lt;0,"Убыток",IF(G1238=0,"Без прибыли","Прибыль &gt; 0")),"Не оценён")</x:f>
        <x:v>Не оценён</x:v>
      </x:c>
      <x:c r="AE1238" s="12" t="str">
        <x:f>IF(J1238="Рассчитано","Выручка "&amp;TEXT(V1238,"0.00")&amp;" - себестоимость "&amp;TEXT(W1238,"0.00")&amp;" - комиссия "&amp;TEXT(V1238*R1238/100,"0.00")&amp;" - доставка "&amp;TEXT(P1238,"0.00")&amp;" - прочие "&amp;TEXT(Q1238,"0.00")&amp;" = "&amp;TEXT(G1238,"0.00")&amp;" "&amp;L1238,"Введите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8" s="23" t="n">
        <x:v>0</x:v>
      </x:c>
      <x:c r="AG1238" s="35" t="n">
        <x:v>2</x:v>
      </x:c>
      <x:c r="AH1238" s="35" t="n">
        <x:v>0</x:v>
      </x:c>
      <x:c r="AI1238" s="29" t="n">
        <x:v>46266</x:v>
      </x:c>
      <x:c r="AJ1238" s="35"/>
      <x:c r="AK1238" s="11" t="str">
        <x:v>неизвестно</x:v>
      </x:c>
      <x:c r="AL1238" s="31" t="str">
        <x:v>н/д</x:v>
      </x:c>
      <x:c r="AM1238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38" s="12" t="str">
        <x:v>Проверить свободный остаток и установить цену для B2B</x:v>
      </x:c>
      <x:c r="AO1238" s="12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1238" s="12" t="str">
        <x:v>["category_missing", "daily_stockout_data_missing", "moq_missing", "new_order_lead_time_unknown", "reservations_unknown", "stale_stock", "supplier_sku_missing"]</x:v>
      </x:c>
      <x:c r="AQ1238" s="11" t="str">
        <x:v>IEK:ярп6188</x:v>
      </x:c>
      <x:c r="AR1238" s="23" t="n">
        <x:v>1</x:v>
      </x:c>
      <x:c r="AS1238" s="23" t="n">
        <x:v>0</x:v>
      </x:c>
      <x:c r="AT1238" s="23" t="n">
        <x:v>0</x:v>
      </x:c>
    </x:row>
    <x:row r="1239" ht="64" customHeight="1">
      <x:c r="A1239" s="10" t="str">
        <x:v>IEK</x:v>
      </x:c>
      <x:c r="B1239" s="34" t="str">
        <x:v>яярп4610</x:v>
      </x:c>
      <x:c r="C1239" s="34"/>
      <x:c r="D1239" s="13" t="str">
        <x:v>ЩРВ-2х36зк-1 36 IP31 "UNIVERSAL" !!!</x:v>
      </x:c>
      <x:c r="E1239" s="10" t="str">
        <x:v>шт</x:v>
      </x:c>
      <x:c r="F1239" s="37" t="n">
        <x:f>MAX(0,ROUNDDOWN((AG1239-AF1239)/AR1239+0.000000001,0)*AR1239)</x:f>
        <x:v>1</x:v>
      </x:c>
      <x:c r="G1239" s="21" t="str">
        <x:f>IF(J1239="Рассчитано",V1239*(1-R1239/100)-W1239-P1239-Q1239,"н/д")</x:f>
        <x:v>н/д</x:v>
      </x:c>
      <x:c r="H1239" s="13" t="str">
        <x:v>Высокий</x:v>
      </x:c>
      <x:c r="I1239" s="13" t="str">
        <x:v>Высокий</x:v>
      </x:c>
      <x:c r="J1239" s="13" t="str">
        <x:f>IF(L1239="","Укажите валюту",IF(NOT(ISNUMBER(K1239)),"Укажите объём",IF(K1239&lt;=0,"Укажите объём",IF(K1239&gt;F1239,"Объём выше излишка",IF(COUNT(M1239:O1239)&lt;3,"Нужны цены",IF(COUNT(P1239:R1239)&lt;3,"Нужны расходы",IF(OR(M1239&lt;0,N1239&lt;0,O1239&lt;0,O1239&gt;100,P1239&lt;0,Q1239&lt;0,R1239&lt;0,R1239&gt;100),"Проверьте значения","Рассчитано")))))))</x:f>
        <x:v>Нужны цены</x:v>
      </x:c>
      <x:c r="K1239" s="36" t="n">
        <x:v>1</x:v>
      </x:c>
      <x:c r="L1239" s="19" t="str">
        <x:v>KZT</x:v>
      </x:c>
      <x:c r="M1239" s="22"/>
      <x:c r="N1239" s="22"/>
      <x:c r="O1239" s="28"/>
      <x:c r="P1239" s="22"/>
      <x:c r="Q1239" s="22"/>
      <x:c r="R1239" s="28"/>
      <x:c r="S1239" s="22"/>
      <x:c r="T1239" s="37" t="n">
        <x:f>K1239</x:f>
        <x:v>1</x:v>
      </x:c>
      <x:c r="U1239" s="21" t="str">
        <x:f>IF(J1239="Рассчитано",N1239*(1-O1239/100),"н/д")</x:f>
        <x:v>н/д</x:v>
      </x:c>
      <x:c r="V1239" s="21" t="str">
        <x:f>IF(J1239="Рассчитано",T1239*U1239,"н/д")</x:f>
        <x:v>н/д</x:v>
      </x:c>
      <x:c r="W1239" s="21" t="str">
        <x:f>IF(J1239="Рассчитано",T1239*M1239,"н/д")</x:f>
        <x:v>н/д</x:v>
      </x:c>
      <x:c r="X1239" s="21" t="str">
        <x:f>IF(J1239="Рассчитано",V1239-W1239,"н/д")</x:f>
        <x:v>н/д</x:v>
      </x:c>
      <x:c r="Y1239" s="27" t="str">
        <x:f>IF(J1239="Рассчитано",IF(V1239&gt;0,G1239/V1239,"н/д"),"н/д")</x:f>
        <x:v>н/д</x:v>
      </x:c>
      <x:c r="Z1239" s="21" t="str">
        <x:f>"н/д"</x:f>
        <x:v>н/д</x:v>
      </x:c>
      <x:c r="AA1239" s="21" t="str">
        <x:f>"н/д"</x:f>
        <x:v>н/д</x:v>
      </x:c>
      <x:c r="AB1239" s="21" t="str">
        <x:f>"н/д"</x:f>
        <x:v>н/д</x:v>
      </x:c>
      <x:c r="AC1239" s="21" t="str">
        <x:f>IF(AND(J1239="Рассчитано",T1239&gt;0,R1239&lt;100),(W1239+P1239+Q1239)/(T1239*(1-R1239/100)),"н/д")</x:f>
        <x:v>н/д</x:v>
      </x:c>
      <x:c r="AD1239" s="10" t="str">
        <x:f>IF(ISNUMBER(G1239),IF(G1239&lt;0,"Убыток",IF(G1239=0,"Без прибыли","Прибыль &gt; 0")),"Не оценён")</x:f>
        <x:v>Не оценён</x:v>
      </x:c>
      <x:c r="AE1239" s="13" t="str">
        <x:f>IF(J1239="Рассчитано","Выручка "&amp;TEXT(V1239,"0.00")&amp;" - себестоимость "&amp;TEXT(W1239,"0.00")&amp;" - комиссия "&amp;TEXT(V1239*R1239/100,"0.00")&amp;" - доставка "&amp;TEXT(P1239,"0.00")&amp;" - прочие "&amp;TEXT(Q1239,"0.00")&amp;" = "&amp;TEXT(G1239,"0.00")&amp;" "&amp;L1239,"Введите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9" s="24" t="n">
        <x:v>0</x:v>
      </x:c>
      <x:c r="AG1239" s="37" t="n">
        <x:v>1</x:v>
      </x:c>
      <x:c r="AH1239" s="37" t="n">
        <x:v>0</x:v>
      </x:c>
      <x:c r="AI1239" s="30" t="n">
        <x:v>46266</x:v>
      </x:c>
      <x:c r="AJ1239" s="37"/>
      <x:c r="AK1239" s="10" t="str">
        <x:v>неизвестно</x:v>
      </x:c>
      <x:c r="AL1239" s="32" t="str">
        <x:v>н/д</x:v>
      </x:c>
      <x:c r="AM1239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39" s="13" t="str">
        <x:v>Проверить свободный остаток и установить цену для B2B</x:v>
      </x:c>
      <x:c r="AO1239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39" s="13" t="str">
        <x:v>["category_missing", "daily_stockout_data_missing", "moq_missing", "new_order_lead_time_unknown", "reservations_unknown", "stale_stock", "supplier_sku_missing"]</x:v>
      </x:c>
      <x:c r="AQ1239" s="10" t="str">
        <x:v>IEK:яярп4610</x:v>
      </x:c>
      <x:c r="AR1239" s="24" t="n">
        <x:v>1</x:v>
      </x:c>
      <x:c r="AS1239" s="24" t="n">
        <x:v>0</x:v>
      </x:c>
      <x:c r="AT1239" s="24" t="n">
        <x:v>0</x:v>
      </x:c>
    </x:row>
    <x:row r="1240" ht="64" customHeight="1">
      <x:c r="A1240" s="11" t="str">
        <x:v>IEK</x:v>
      </x:c>
      <x:c r="B1240" s="33" t="str">
        <x:v>яярп4811</x:v>
      </x:c>
      <x:c r="C1240" s="33"/>
      <x:c r="D1240" s="12" t="str">
        <x:v>LED G45 5w 230v 3000К E27 IEK</x:v>
      </x:c>
      <x:c r="E1240" s="11" t="str">
        <x:v>шт</x:v>
      </x:c>
      <x:c r="F1240" s="35" t="n">
        <x:f>MAX(0,ROUNDDOWN((AG1240-AF1240)/AR1240+0.000000001,0)*AR1240)</x:f>
        <x:v>173</x:v>
      </x:c>
      <x:c r="G1240" s="20" t="str">
        <x:f>IF(J1240="Рассчитано",V1240*(1-R1240/100)-W1240-P1240-Q1240,"н/д")</x:f>
        <x:v>н/д</x:v>
      </x:c>
      <x:c r="H1240" s="12" t="str">
        <x:v>Высокий</x:v>
      </x:c>
      <x:c r="I1240" s="12" t="str">
        <x:v>Высокий</x:v>
      </x:c>
      <x:c r="J1240" s="12" t="str">
        <x:f>IF(L1240="","Укажите валюту",IF(NOT(ISNUMBER(K1240)),"Укажите объём",IF(K1240&lt;=0,"Укажите объём",IF(K1240&gt;F1240,"Объём выше излишка",IF(COUNT(M1240:O1240)&lt;3,"Нужны цены",IF(COUNT(P1240:R1240)&lt;3,"Нужны расходы",IF(OR(M1240&lt;0,N1240&lt;0,O1240&lt;0,O1240&gt;100,P1240&lt;0,Q1240&lt;0,R1240&lt;0,R1240&gt;100),"Проверьте значения","Рассчитано")))))))</x:f>
        <x:v>Нужны цены</x:v>
      </x:c>
      <x:c r="K1240" s="36" t="n">
        <x:v>173</x:v>
      </x:c>
      <x:c r="L1240" s="19" t="str">
        <x:v>KZT</x:v>
      </x:c>
      <x:c r="M1240" s="22"/>
      <x:c r="N1240" s="22"/>
      <x:c r="O1240" s="28"/>
      <x:c r="P1240" s="22"/>
      <x:c r="Q1240" s="22"/>
      <x:c r="R1240" s="28"/>
      <x:c r="S1240" s="22"/>
      <x:c r="T1240" s="35" t="n">
        <x:f>K1240</x:f>
        <x:v>173</x:v>
      </x:c>
      <x:c r="U1240" s="20" t="str">
        <x:f>IF(J1240="Рассчитано",N1240*(1-O1240/100),"н/д")</x:f>
        <x:v>н/д</x:v>
      </x:c>
      <x:c r="V1240" s="20" t="str">
        <x:f>IF(J1240="Рассчитано",T1240*U1240,"н/д")</x:f>
        <x:v>н/д</x:v>
      </x:c>
      <x:c r="W1240" s="20" t="str">
        <x:f>IF(J1240="Рассчитано",T1240*M1240,"н/д")</x:f>
        <x:v>н/д</x:v>
      </x:c>
      <x:c r="X1240" s="20" t="str">
        <x:f>IF(J1240="Рассчитано",V1240-W1240,"н/д")</x:f>
        <x:v>н/д</x:v>
      </x:c>
      <x:c r="Y1240" s="26" t="str">
        <x:f>IF(J1240="Рассчитано",IF(V1240&gt;0,G1240/V1240,"н/д"),"н/д")</x:f>
        <x:v>н/д</x:v>
      </x:c>
      <x:c r="Z1240" s="20" t="str">
        <x:f>"н/д"</x:f>
        <x:v>н/д</x:v>
      </x:c>
      <x:c r="AA1240" s="20" t="str">
        <x:f>"н/д"</x:f>
        <x:v>н/д</x:v>
      </x:c>
      <x:c r="AB1240" s="20" t="str">
        <x:f>"н/д"</x:f>
        <x:v>н/д</x:v>
      </x:c>
      <x:c r="AC1240" s="20" t="str">
        <x:f>IF(AND(J1240="Рассчитано",T1240&gt;0,R1240&lt;100),(W1240+P1240+Q1240)/(T1240*(1-R1240/100)),"н/д")</x:f>
        <x:v>н/д</x:v>
      </x:c>
      <x:c r="AD1240" s="11" t="str">
        <x:f>IF(ISNUMBER(G1240),IF(G1240&lt;0,"Убыток",IF(G1240=0,"Без прибыли","Прибыль &gt; 0")),"Не оценён")</x:f>
        <x:v>Не оценён</x:v>
      </x:c>
      <x:c r="AE1240" s="12" t="str">
        <x:f>IF(J1240="Рассчитано","Выручка "&amp;TEXT(V1240,"0.00")&amp;" - себестоимость "&amp;TEXT(W1240,"0.00")&amp;" - комиссия "&amp;TEXT(V1240*R1240/100,"0.00")&amp;" - доставка "&amp;TEXT(P1240,"0.00")&amp;" - прочие "&amp;TEXT(Q1240,"0.00")&amp;" = "&amp;TEXT(G1240,"0.00")&amp;" "&amp;L1240,"Введите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0" s="23" t="n">
        <x:v>2.847126253382355</x:v>
      </x:c>
      <x:c r="AG1240" s="35" t="n">
        <x:v>176</x:v>
      </x:c>
      <x:c r="AH1240" s="35" t="n">
        <x:v>0</x:v>
      </x:c>
      <x:c r="AI1240" s="29" t="n">
        <x:v>46266</x:v>
      </x:c>
      <x:c r="AJ1240" s="35"/>
      <x:c r="AK1240" s="11" t="str">
        <x:v>неизвестно</x:v>
      </x:c>
      <x:c r="AL1240" s="31" t="n">
        <x:v>5256.842750883358</x:v>
      </x:c>
      <x:c r="AM1240" s="12" t="str">
        <x:v>Остаток на начало сентября; Резервы неизвестны; Нет артикула производителя; Нет ежедневных данных доступности. Запас более 180 дней при среднем спросе</x:v>
      </x:c>
      <x:c r="AN1240" s="12" t="str">
        <x:v>Проверить свободный остаток и установить цену для B2B</x:v>
      </x:c>
      <x:c r="AO1240" s="12" t="str">
        <x:v>Остаток 176; прогноз 90 дней 2.85; избыток 173 шт. Будущие поступления не выставляются на продажу. Остаток на начало сентября: требуется актуализация.</x:v>
      </x:c>
      <x:c r="AP1240" s="12" t="str">
        <x:v>["category_missing", "daily_stockout_data_missing", "moq_missing", "new_order_lead_time_unknown", "reservations_unknown", "stale_stock", "supplier_sku_missing"]</x:v>
      </x:c>
      <x:c r="AQ1240" s="11" t="str">
        <x:v>IEK:яярп4811</x:v>
      </x:c>
      <x:c r="AR1240" s="23" t="n">
        <x:v>1</x:v>
      </x:c>
      <x:c r="AS1240" s="23" t="n">
        <x:v>0</x:v>
      </x:c>
      <x:c r="AT1240" s="23" t="n">
        <x:v>0</x:v>
      </x:c>
    </x:row>
    <x:row r="1241" ht="64" customHeight="1">
      <x:c r="A1241" s="10" t="str">
        <x:v>IEK</x:v>
      </x:c>
      <x:c r="B1241" s="34" t="str">
        <x:v>яярп4814</x:v>
      </x:c>
      <x:c r="C1241" s="34"/>
      <x:c r="D1241" s="13" t="str">
        <x:v>BA 47-60M (1ф) 40А 6кА С IEK !!!</x:v>
      </x:c>
      <x:c r="E1241" s="10" t="str">
        <x:v>шт</x:v>
      </x:c>
      <x:c r="F1241" s="37" t="n">
        <x:f>MAX(0,ROUNDDOWN((AG1241-AF1241)/AR1241+0.000000001,0)*AR1241)</x:f>
        <x:v>12</x:v>
      </x:c>
      <x:c r="G1241" s="21" t="str">
        <x:f>IF(J1241="Рассчитано",V1241*(1-R1241/100)-W1241-P1241-Q1241,"н/д")</x:f>
        <x:v>н/д</x:v>
      </x:c>
      <x:c r="H1241" s="13" t="str">
        <x:v>Высокий</x:v>
      </x:c>
      <x:c r="I1241" s="13" t="str">
        <x:v>Высокий</x:v>
      </x:c>
      <x:c r="J1241" s="13" t="str">
        <x:f>IF(L1241="","Укажите валюту",IF(NOT(ISNUMBER(K1241)),"Укажите объём",IF(K1241&lt;=0,"Укажите объём",IF(K1241&gt;F1241,"Объём выше излишка",IF(COUNT(M1241:O1241)&lt;3,"Нужны цены",IF(COUNT(P1241:R1241)&lt;3,"Нужны расходы",IF(OR(M1241&lt;0,N1241&lt;0,O1241&lt;0,O1241&gt;100,P1241&lt;0,Q1241&lt;0,R1241&lt;0,R1241&gt;100),"Проверьте значения","Рассчитано")))))))</x:f>
        <x:v>Нужны цены</x:v>
      </x:c>
      <x:c r="K1241" s="36" t="n">
        <x:v>12</x:v>
      </x:c>
      <x:c r="L1241" s="19" t="str">
        <x:v>KZT</x:v>
      </x:c>
      <x:c r="M1241" s="22"/>
      <x:c r="N1241" s="22"/>
      <x:c r="O1241" s="28"/>
      <x:c r="P1241" s="22"/>
      <x:c r="Q1241" s="22"/>
      <x:c r="R1241" s="28"/>
      <x:c r="S1241" s="22"/>
      <x:c r="T1241" s="37" t="n">
        <x:f>K1241</x:f>
        <x:v>12</x:v>
      </x:c>
      <x:c r="U1241" s="21" t="str">
        <x:f>IF(J1241="Рассчитано",N1241*(1-O1241/100),"н/д")</x:f>
        <x:v>н/д</x:v>
      </x:c>
      <x:c r="V1241" s="21" t="str">
        <x:f>IF(J1241="Рассчитано",T1241*U1241,"н/д")</x:f>
        <x:v>н/д</x:v>
      </x:c>
      <x:c r="W1241" s="21" t="str">
        <x:f>IF(J1241="Рассчитано",T1241*M1241,"н/д")</x:f>
        <x:v>н/д</x:v>
      </x:c>
      <x:c r="X1241" s="21" t="str">
        <x:f>IF(J1241="Рассчитано",V1241-W1241,"н/д")</x:f>
        <x:v>н/д</x:v>
      </x:c>
      <x:c r="Y1241" s="27" t="str">
        <x:f>IF(J1241="Рассчитано",IF(V1241&gt;0,G1241/V1241,"н/д"),"н/д")</x:f>
        <x:v>н/д</x:v>
      </x:c>
      <x:c r="Z1241" s="21" t="str">
        <x:f>"н/д"</x:f>
        <x:v>н/д</x:v>
      </x:c>
      <x:c r="AA1241" s="21" t="str">
        <x:f>"н/д"</x:f>
        <x:v>н/д</x:v>
      </x:c>
      <x:c r="AB1241" s="21" t="str">
        <x:f>"н/д"</x:f>
        <x:v>н/д</x:v>
      </x:c>
      <x:c r="AC1241" s="21" t="str">
        <x:f>IF(AND(J1241="Рассчитано",T1241&gt;0,R1241&lt;100),(W1241+P1241+Q1241)/(T1241*(1-R1241/100)),"н/д")</x:f>
        <x:v>н/д</x:v>
      </x:c>
      <x:c r="AD1241" s="10" t="str">
        <x:f>IF(ISNUMBER(G1241),IF(G1241&lt;0,"Убыток",IF(G1241=0,"Без прибыли","Прибыль &gt; 0")),"Не оценён")</x:f>
        <x:v>Не оценён</x:v>
      </x:c>
      <x:c r="AE1241" s="13" t="str">
        <x:f>IF(J1241="Рассчитано","Выручка "&amp;TEXT(V1241,"0.00")&amp;" - себестоимость "&amp;TEXT(W1241,"0.00")&amp;" - комиссия "&amp;TEXT(V1241*R1241/100,"0.00")&amp;" - доставка "&amp;TEXT(P1241,"0.00")&amp;" - прочие "&amp;TEXT(Q1241,"0.00")&amp;" = "&amp;TEXT(G1241,"0.00")&amp;" "&amp;L1241,"Введите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1" s="24" t="n">
        <x:v>0</x:v>
      </x:c>
      <x:c r="AG1241" s="37" t="n">
        <x:v>12</x:v>
      </x:c>
      <x:c r="AH1241" s="37" t="n">
        <x:v>0</x:v>
      </x:c>
      <x:c r="AI1241" s="30" t="n">
        <x:v>46266</x:v>
      </x:c>
      <x:c r="AJ1241" s="37"/>
      <x:c r="AK1241" s="10" t="str">
        <x:v>неизвестно</x:v>
      </x:c>
      <x:c r="AL1241" s="32" t="str">
        <x:v>н/д</x:v>
      </x:c>
      <x:c r="AM1241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41" s="13" t="str">
        <x:v>Проверить свободный остаток и установить цену для B2B</x:v>
      </x:c>
      <x:c r="AO1241" s="13" t="str">
        <x:v>Остаток 12; прогноз 90 дней 0.00; избыток 12 шт. Будущие поступления не выставляются на продажу. Остаток на начало сентября: требуется актуализация.</x:v>
      </x:c>
      <x:c r="AP1241" s="13" t="str">
        <x:v>["category_missing", "daily_stockout_data_missing", "moq_missing", "new_order_lead_time_unknown", "reservations_unknown", "stale_stock", "supplier_sku_missing"]</x:v>
      </x:c>
      <x:c r="AQ1241" s="10" t="str">
        <x:v>IEK:яярп4814</x:v>
      </x:c>
      <x:c r="AR1241" s="24" t="n">
        <x:v>1</x:v>
      </x:c>
      <x:c r="AS1241" s="24" t="n">
        <x:v>0</x:v>
      </x:c>
      <x:c r="AT1241" s="24" t="n">
        <x:v>0</x:v>
      </x:c>
    </x:row>
    <x:row r="1242" ht="64" customHeight="1">
      <x:c r="A1242" s="11" t="str">
        <x:v>IEK</x:v>
      </x:c>
      <x:c r="B1242" s="33" t="str">
        <x:v>яярп4849</x:v>
      </x:c>
      <x:c r="C1242" s="33"/>
      <x:c r="D1242" s="12" t="str">
        <x:v>Трансформатор тока ТТИ-85 1000/5А 15ВА 0,5 IEK !!!</x:v>
      </x:c>
      <x:c r="E1242" s="11" t="str">
        <x:v>шт</x:v>
      </x:c>
      <x:c r="F1242" s="35" t="n">
        <x:f>MAX(0,ROUNDDOWN((AG1242-AF1242)/AR1242+0.000000001,0)*AR1242)</x:f>
        <x:v>3</x:v>
      </x:c>
      <x:c r="G1242" s="20" t="str">
        <x:f>IF(J1242="Рассчитано",V1242*(1-R1242/100)-W1242-P1242-Q1242,"н/д")</x:f>
        <x:v>н/д</x:v>
      </x:c>
      <x:c r="H1242" s="12" t="str">
        <x:v>Высокий</x:v>
      </x:c>
      <x:c r="I1242" s="12" t="str">
        <x:v>Высокий</x:v>
      </x:c>
      <x:c r="J1242" s="12" t="str">
        <x:f>IF(L1242="","Укажите валюту",IF(NOT(ISNUMBER(K1242)),"Укажите объём",IF(K1242&lt;=0,"Укажите объём",IF(K1242&gt;F1242,"Объём выше излишка",IF(COUNT(M1242:O1242)&lt;3,"Нужны цены",IF(COUNT(P1242:R1242)&lt;3,"Нужны расходы",IF(OR(M1242&lt;0,N1242&lt;0,O1242&lt;0,O1242&gt;100,P1242&lt;0,Q1242&lt;0,R1242&lt;0,R1242&gt;100),"Проверьте значения","Рассчитано")))))))</x:f>
        <x:v>Нужны цены</x:v>
      </x:c>
      <x:c r="K1242" s="36" t="n">
        <x:v>3</x:v>
      </x:c>
      <x:c r="L1242" s="19" t="str">
        <x:v>KZT</x:v>
      </x:c>
      <x:c r="M1242" s="22"/>
      <x:c r="N1242" s="22"/>
      <x:c r="O1242" s="28"/>
      <x:c r="P1242" s="22"/>
      <x:c r="Q1242" s="22"/>
      <x:c r="R1242" s="28"/>
      <x:c r="S1242" s="22"/>
      <x:c r="T1242" s="35" t="n">
        <x:f>K1242</x:f>
        <x:v>3</x:v>
      </x:c>
      <x:c r="U1242" s="20" t="str">
        <x:f>IF(J1242="Рассчитано",N1242*(1-O1242/100),"н/д")</x:f>
        <x:v>н/д</x:v>
      </x:c>
      <x:c r="V1242" s="20" t="str">
        <x:f>IF(J1242="Рассчитано",T1242*U1242,"н/д")</x:f>
        <x:v>н/д</x:v>
      </x:c>
      <x:c r="W1242" s="20" t="str">
        <x:f>IF(J1242="Рассчитано",T1242*M1242,"н/д")</x:f>
        <x:v>н/д</x:v>
      </x:c>
      <x:c r="X1242" s="20" t="str">
        <x:f>IF(J1242="Рассчитано",V1242-W1242,"н/д")</x:f>
        <x:v>н/д</x:v>
      </x:c>
      <x:c r="Y1242" s="26" t="str">
        <x:f>IF(J1242="Рассчитано",IF(V1242&gt;0,G1242/V1242,"н/д"),"н/д")</x:f>
        <x:v>н/д</x:v>
      </x:c>
      <x:c r="Z1242" s="20" t="str">
        <x:f>"н/д"</x:f>
        <x:v>н/д</x:v>
      </x:c>
      <x:c r="AA1242" s="20" t="str">
        <x:f>"н/д"</x:f>
        <x:v>н/д</x:v>
      </x:c>
      <x:c r="AB1242" s="20" t="str">
        <x:f>"н/д"</x:f>
        <x:v>н/д</x:v>
      </x:c>
      <x:c r="AC1242" s="20" t="str">
        <x:f>IF(AND(J1242="Рассчитано",T1242&gt;0,R1242&lt;100),(W1242+P1242+Q1242)/(T1242*(1-R1242/100)),"н/д")</x:f>
        <x:v>н/д</x:v>
      </x:c>
      <x:c r="AD1242" s="11" t="str">
        <x:f>IF(ISNUMBER(G1242),IF(G1242&lt;0,"Убыток",IF(G1242=0,"Без прибыли","Прибыль &gt; 0")),"Не оценён")</x:f>
        <x:v>Не оценён</x:v>
      </x:c>
      <x:c r="AE1242" s="12" t="str">
        <x:f>IF(J1242="Рассчитано","Выручка "&amp;TEXT(V1242,"0.00")&amp;" - себестоимость "&amp;TEXT(W1242,"0.00")&amp;" - комиссия "&amp;TEXT(V1242*R1242/100,"0.00")&amp;" - доставка "&amp;TEXT(P1242,"0.00")&amp;" - прочие "&amp;TEXT(Q1242,"0.00")&amp;" = "&amp;TEXT(G1242,"0.00")&amp;" "&amp;L1242,"Введите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2" s="23" t="n">
        <x:v>0</x:v>
      </x:c>
      <x:c r="AG1242" s="35" t="n">
        <x:v>3</x:v>
      </x:c>
      <x:c r="AH1242" s="35" t="n">
        <x:v>0</x:v>
      </x:c>
      <x:c r="AI1242" s="29" t="n">
        <x:v>46266</x:v>
      </x:c>
      <x:c r="AJ1242" s="35"/>
      <x:c r="AK1242" s="11" t="str">
        <x:v>неизвестно</x:v>
      </x:c>
      <x:c r="AL1242" s="31" t="str">
        <x:v>н/д</x:v>
      </x:c>
      <x:c r="AM1242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42" s="12" t="str">
        <x:v>Проверить свободный остаток и установить цену для B2B</x:v>
      </x:c>
      <x:c r="AO1242" s="12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1242" s="12" t="str">
        <x:v>["category_missing", "daily_stockout_data_missing", "moq_missing", "new_order_lead_time_unknown", "reservations_unknown", "stale_stock", "supplier_sku_missing"]</x:v>
      </x:c>
      <x:c r="AQ1242" s="11" t="str">
        <x:v>IEK:яярп4849</x:v>
      </x:c>
      <x:c r="AR1242" s="23" t="n">
        <x:v>1</x:v>
      </x:c>
      <x:c r="AS1242" s="23" t="n">
        <x:v>0</x:v>
      </x:c>
      <x:c r="AT1242" s="23" t="n">
        <x:v>0</x:v>
      </x:c>
    </x:row>
    <x:row r="1243" ht="64" customHeight="1">
      <x:c r="A1243" s="10" t="str">
        <x:v>IEK</x:v>
      </x:c>
      <x:c r="B1243" s="34" t="str">
        <x:v>яяярп5542</x:v>
      </x:c>
      <x:c r="C1243" s="34"/>
      <x:c r="D1243" s="13" t="str">
        <x:v>УЗО АД 12  (2ф) 50А 100мА IEK !!!</x:v>
      </x:c>
      <x:c r="E1243" s="10" t="str">
        <x:v>шт</x:v>
      </x:c>
      <x:c r="F1243" s="37" t="n">
        <x:f>MAX(0,ROUNDDOWN((AG1243-AF1243)/AR1243+0.000000001,0)*AR1243)</x:f>
        <x:v>1</x:v>
      </x:c>
      <x:c r="G1243" s="21" t="str">
        <x:f>IF(J1243="Рассчитано",V1243*(1-R1243/100)-W1243-P1243-Q1243,"н/д")</x:f>
        <x:v>н/д</x:v>
      </x:c>
      <x:c r="H1243" s="13" t="str">
        <x:v>Высокий</x:v>
      </x:c>
      <x:c r="I1243" s="13" t="str">
        <x:v>Высокий</x:v>
      </x:c>
      <x:c r="J1243" s="13" t="str">
        <x:f>IF(L1243="","Укажите валюту",IF(NOT(ISNUMBER(K1243)),"Укажите объём",IF(K1243&lt;=0,"Укажите объём",IF(K1243&gt;F1243,"Объём выше излишка",IF(COUNT(M1243:O1243)&lt;3,"Нужны цены",IF(COUNT(P1243:R1243)&lt;3,"Нужны расходы",IF(OR(M1243&lt;0,N1243&lt;0,O1243&lt;0,O1243&gt;100,P1243&lt;0,Q1243&lt;0,R1243&lt;0,R1243&gt;100),"Проверьте значения","Рассчитано")))))))</x:f>
        <x:v>Нужны цены</x:v>
      </x:c>
      <x:c r="K1243" s="36" t="n">
        <x:v>1</x:v>
      </x:c>
      <x:c r="L1243" s="19" t="str">
        <x:v>KZT</x:v>
      </x:c>
      <x:c r="M1243" s="22"/>
      <x:c r="N1243" s="22"/>
      <x:c r="O1243" s="28"/>
      <x:c r="P1243" s="22"/>
      <x:c r="Q1243" s="22"/>
      <x:c r="R1243" s="28"/>
      <x:c r="S1243" s="22"/>
      <x:c r="T1243" s="37" t="n">
        <x:f>K1243</x:f>
        <x:v>1</x:v>
      </x:c>
      <x:c r="U1243" s="21" t="str">
        <x:f>IF(J1243="Рассчитано",N1243*(1-O1243/100),"н/д")</x:f>
        <x:v>н/д</x:v>
      </x:c>
      <x:c r="V1243" s="21" t="str">
        <x:f>IF(J1243="Рассчитано",T1243*U1243,"н/д")</x:f>
        <x:v>н/д</x:v>
      </x:c>
      <x:c r="W1243" s="21" t="str">
        <x:f>IF(J1243="Рассчитано",T1243*M1243,"н/д")</x:f>
        <x:v>н/д</x:v>
      </x:c>
      <x:c r="X1243" s="21" t="str">
        <x:f>IF(J1243="Рассчитано",V1243-W1243,"н/д")</x:f>
        <x:v>н/д</x:v>
      </x:c>
      <x:c r="Y1243" s="27" t="str">
        <x:f>IF(J1243="Рассчитано",IF(V1243&gt;0,G1243/V1243,"н/д"),"н/д")</x:f>
        <x:v>н/д</x:v>
      </x:c>
      <x:c r="Z1243" s="21" t="str">
        <x:f>"н/д"</x:f>
        <x:v>н/д</x:v>
      </x:c>
      <x:c r="AA1243" s="21" t="str">
        <x:f>"н/д"</x:f>
        <x:v>н/д</x:v>
      </x:c>
      <x:c r="AB1243" s="21" t="str">
        <x:f>"н/д"</x:f>
        <x:v>н/д</x:v>
      </x:c>
      <x:c r="AC1243" s="21" t="str">
        <x:f>IF(AND(J1243="Рассчитано",T1243&gt;0,R1243&lt;100),(W1243+P1243+Q1243)/(T1243*(1-R1243/100)),"н/д")</x:f>
        <x:v>н/д</x:v>
      </x:c>
      <x:c r="AD1243" s="10" t="str">
        <x:f>IF(ISNUMBER(G1243),IF(G1243&lt;0,"Убыток",IF(G1243=0,"Без прибыли","Прибыль &gt; 0")),"Не оценён")</x:f>
        <x:v>Не оценён</x:v>
      </x:c>
      <x:c r="AE1243" s="13" t="str">
        <x:f>IF(J1243="Рассчитано","Выручка "&amp;TEXT(V1243,"0.00")&amp;" - себестоимость "&amp;TEXT(W1243,"0.00")&amp;" - комиссия "&amp;TEXT(V1243*R1243/100,"0.00")&amp;" - доставка "&amp;TEXT(P1243,"0.00")&amp;" - прочие "&amp;TEXT(Q1243,"0.00")&amp;" = "&amp;TEXT(G1243,"0.00")&amp;" "&amp;L1243,"Введите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3" s="24" t="n">
        <x:v>0</x:v>
      </x:c>
      <x:c r="AG1243" s="37" t="n">
        <x:v>1</x:v>
      </x:c>
      <x:c r="AH1243" s="37" t="n">
        <x:v>0</x:v>
      </x:c>
      <x:c r="AI1243" s="30" t="n">
        <x:v>46266</x:v>
      </x:c>
      <x:c r="AJ1243" s="37"/>
      <x:c r="AK1243" s="10" t="str">
        <x:v>неизвестно</x:v>
      </x:c>
      <x:c r="AL1243" s="32" t="str">
        <x:v>н/д</x:v>
      </x:c>
      <x:c r="AM1243" s="13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43" s="13" t="str">
        <x:v>Проверить свободный остаток и установить цену для B2B</x:v>
      </x:c>
      <x:c r="AO1243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43" s="13" t="str">
        <x:v>["category_missing", "daily_stockout_data_missing", "moq_missing", "new_order_lead_time_unknown", "reservations_unknown", "stale_stock", "supplier_sku_missing"]</x:v>
      </x:c>
      <x:c r="AQ1243" s="10" t="str">
        <x:v>IEK:яяярп5542</x:v>
      </x:c>
      <x:c r="AR1243" s="24" t="n">
        <x:v>1</x:v>
      </x:c>
      <x:c r="AS1243" s="24" t="n">
        <x:v>0</x:v>
      </x:c>
      <x:c r="AT1243" s="24" t="n">
        <x:v>0</x:v>
      </x:c>
    </x:row>
    <x:row r="1244" ht="64" customHeight="1">
      <x:c r="A1244" s="11" t="str">
        <x:v>IEK</x:v>
      </x:c>
      <x:c r="B1244" s="33" t="str">
        <x:v>яяяярп5518</x:v>
      </x:c>
      <x:c r="C1244" s="33"/>
      <x:c r="D1244" s="12" t="str">
        <x:v>Контактор КМИ-10910  9А  110В (1вел) IEK (1/50)</x:v>
      </x:c>
      <x:c r="E1244" s="11" t="str">
        <x:v>шт</x:v>
      </x:c>
      <x:c r="F1244" s="35" t="n">
        <x:f>MAX(0,ROUNDDOWN((AG1244-AF1244)/AR1244+0.000000001,0)*AR1244)</x:f>
        <x:v>4</x:v>
      </x:c>
      <x:c r="G1244" s="20" t="str">
        <x:f>IF(J1244="Рассчитано",V1244*(1-R1244/100)-W1244-P1244-Q1244,"н/д")</x:f>
        <x:v>н/д</x:v>
      </x:c>
      <x:c r="H1244" s="12" t="str">
        <x:v>Высокий</x:v>
      </x:c>
      <x:c r="I1244" s="12" t="str">
        <x:v>Высокий</x:v>
      </x:c>
      <x:c r="J1244" s="12" t="str">
        <x:f>IF(L1244="","Укажите валюту",IF(NOT(ISNUMBER(K1244)),"Укажите объём",IF(K1244&lt;=0,"Укажите объём",IF(K1244&gt;F1244,"Объём выше излишка",IF(COUNT(M1244:O1244)&lt;3,"Нужны цены",IF(COUNT(P1244:R1244)&lt;3,"Нужны расходы",IF(OR(M1244&lt;0,N1244&lt;0,O1244&lt;0,O1244&gt;100,P1244&lt;0,Q1244&lt;0,R1244&lt;0,R1244&gt;100),"Проверьте значения","Рассчитано")))))))</x:f>
        <x:v>Нужны цены</x:v>
      </x:c>
      <x:c r="K1244" s="36" t="n">
        <x:v>4</x:v>
      </x:c>
      <x:c r="L1244" s="19" t="str">
        <x:v>KZT</x:v>
      </x:c>
      <x:c r="M1244" s="22"/>
      <x:c r="N1244" s="22"/>
      <x:c r="O1244" s="28"/>
      <x:c r="P1244" s="22"/>
      <x:c r="Q1244" s="22"/>
      <x:c r="R1244" s="28"/>
      <x:c r="S1244" s="22"/>
      <x:c r="T1244" s="35" t="n">
        <x:f>K1244</x:f>
        <x:v>4</x:v>
      </x:c>
      <x:c r="U1244" s="20" t="str">
        <x:f>IF(J1244="Рассчитано",N1244*(1-O1244/100),"н/д")</x:f>
        <x:v>н/д</x:v>
      </x:c>
      <x:c r="V1244" s="20" t="str">
        <x:f>IF(J1244="Рассчитано",T1244*U1244,"н/д")</x:f>
        <x:v>н/д</x:v>
      </x:c>
      <x:c r="W1244" s="20" t="str">
        <x:f>IF(J1244="Рассчитано",T1244*M1244,"н/д")</x:f>
        <x:v>н/д</x:v>
      </x:c>
      <x:c r="X1244" s="20" t="str">
        <x:f>IF(J1244="Рассчитано",V1244-W1244,"н/д")</x:f>
        <x:v>н/д</x:v>
      </x:c>
      <x:c r="Y1244" s="26" t="str">
        <x:f>IF(J1244="Рассчитано",IF(V1244&gt;0,G1244/V1244,"н/д"),"н/д")</x:f>
        <x:v>н/д</x:v>
      </x:c>
      <x:c r="Z1244" s="20" t="str">
        <x:f>"н/д"</x:f>
        <x:v>н/д</x:v>
      </x:c>
      <x:c r="AA1244" s="20" t="str">
        <x:f>"н/д"</x:f>
        <x:v>н/д</x:v>
      </x:c>
      <x:c r="AB1244" s="20" t="str">
        <x:f>"н/д"</x:f>
        <x:v>н/д</x:v>
      </x:c>
      <x:c r="AC1244" s="20" t="str">
        <x:f>IF(AND(J1244="Рассчитано",T1244&gt;0,R1244&lt;100),(W1244+P1244+Q1244)/(T1244*(1-R1244/100)),"н/д")</x:f>
        <x:v>н/д</x:v>
      </x:c>
      <x:c r="AD1244" s="11" t="str">
        <x:f>IF(ISNUMBER(G1244),IF(G1244&lt;0,"Убыток",IF(G1244=0,"Без прибыли","Прибыль &gt; 0")),"Не оценён")</x:f>
        <x:v>Не оценён</x:v>
      </x:c>
      <x:c r="AE1244" s="12" t="str">
        <x:f>IF(J1244="Рассчитано","Выручка "&amp;TEXT(V1244,"0.00")&amp;" - себестоимость "&amp;TEXT(W1244,"0.00")&amp;" - комиссия "&amp;TEXT(V1244*R1244/100,"0.00")&amp;" - доставка "&amp;TEXT(P1244,"0.00")&amp;" - прочие "&amp;TEXT(Q1244,"0.00")&amp;" = "&amp;TEXT(G1244,"0.00")&amp;" "&amp;L1244,"Введите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4" s="23" t="n">
        <x:v>0</x:v>
      </x:c>
      <x:c r="AG1244" s="35" t="n">
        <x:v>4</x:v>
      </x:c>
      <x:c r="AH1244" s="35" t="n">
        <x:v>0</x:v>
      </x:c>
      <x:c r="AI1244" s="29" t="n">
        <x:v>46266</x:v>
      </x:c>
      <x:c r="AJ1244" s="35"/>
      <x:c r="AK1244" s="11" t="str">
        <x:v>неизвестно</x:v>
      </x:c>
      <x:c r="AL1244" s="31" t="str">
        <x:v>н/д</x:v>
      </x:c>
      <x:c r="AM1244" s="12" t="str">
        <x:v>Остаток на начало сентября; Резервы неизвестны; Нет артикула производителя; Нет ежедневных данных доступности. Нет положительных чистых продаж за 12 месяцев</x:v>
      </x:c>
      <x:c r="AN1244" s="12" t="str">
        <x:v>Проверить свободный остаток и установить цену для B2B</x:v>
      </x:c>
      <x:c r="AO1244" s="12" t="str">
        <x:v>Остаток 4; прогноз 90 дней 0.00; избыток 4 шт. Будущие поступления не выставляются на продажу. Остаток на начало сентября: требуется актуализация.</x:v>
      </x:c>
      <x:c r="AP1244" s="12" t="str">
        <x:v>["category_missing", "daily_stockout_data_missing", "moq_missing", "new_order_lead_time_unknown", "reservations_unknown", "stale_stock", "supplier_sku_missing"]</x:v>
      </x:c>
      <x:c r="AQ1244" s="11" t="str">
        <x:v>IEK:яяяярп5518</x:v>
      </x:c>
      <x:c r="AR1244" s="23" t="n">
        <x:v>1</x:v>
      </x:c>
      <x:c r="AS1244" s="23" t="n">
        <x:v>0</x:v>
      </x:c>
      <x:c r="AT1244" s="23" t="n">
        <x:v>0</x:v>
      </x:c>
    </x:row>
    <x:row r="1245" ht="64" customHeight="1">
      <x:c r="A1245" s="10" t="str">
        <x:v>Systeme Electric</x:v>
      </x:c>
      <x:c r="B1245" s="34" t="str">
        <x:v>010400432_</x:v>
      </x:c>
      <x:c r="C1245" s="34" t="str">
        <x:v>EZ9E108S2FRU</x:v>
      </x:c>
      <x:c r="D1245" s="13" t="str">
        <x:v>City 9 ЩРВ-П  8 Прозрач./дв. Systeme Electric</x:v>
      </x:c>
      <x:c r="E1245" s="10" t="str">
        <x:v>шт</x:v>
      </x:c>
      <x:c r="F1245" s="37" t="n">
        <x:f>MAX(0,ROUNDDOWN((AG1245-AF1245)/AR1245+0.000000001,0)*AR1245)</x:f>
        <x:v>44</x:v>
      </x:c>
      <x:c r="G1245" s="21" t="str">
        <x:f>IF(J1245="Рассчитано",V1245*(1-R1245/100)-W1245-P1245-Q1245,"н/д")</x:f>
        <x:v>н/д</x:v>
      </x:c>
      <x:c r="H1245" s="13" t="str">
        <x:v>Средний</x:v>
      </x:c>
      <x:c r="I1245" s="13" t="str">
        <x:v>Высокий</x:v>
      </x:c>
      <x:c r="J1245" s="13" t="str">
        <x:f>IF(L1245="","Укажите валюту",IF(NOT(ISNUMBER(K1245)),"Укажите объём",IF(K1245&lt;=0,"Укажите объём",IF(K1245&gt;F1245,"Объём выше излишка",IF(COUNT(M1245:O1245)&lt;3,"Нужны цены",IF(COUNT(P1245:R1245)&lt;3,"Нужны расходы",IF(OR(M1245&lt;0,N1245&lt;0,O1245&lt;0,O1245&gt;100,P1245&lt;0,Q1245&lt;0,R1245&lt;0,R1245&gt;100),"Проверьте значения","Рассчитано")))))))</x:f>
        <x:v>Нужны цены</x:v>
      </x:c>
      <x:c r="K1245" s="36" t="n">
        <x:v>44</x:v>
      </x:c>
      <x:c r="L1245" s="19" t="str">
        <x:v>KZT</x:v>
      </x:c>
      <x:c r="M1245" s="22"/>
      <x:c r="N1245" s="22"/>
      <x:c r="O1245" s="28"/>
      <x:c r="P1245" s="22"/>
      <x:c r="Q1245" s="22"/>
      <x:c r="R1245" s="28"/>
      <x:c r="S1245" s="22"/>
      <x:c r="T1245" s="37" t="n">
        <x:f>K1245</x:f>
        <x:v>44</x:v>
      </x:c>
      <x:c r="U1245" s="21" t="str">
        <x:f>IF(J1245="Рассчитано",N1245*(1-O1245/100),"н/д")</x:f>
        <x:v>н/д</x:v>
      </x:c>
      <x:c r="V1245" s="21" t="str">
        <x:f>IF(J1245="Рассчитано",T1245*U1245,"н/д")</x:f>
        <x:v>н/д</x:v>
      </x:c>
      <x:c r="W1245" s="21" t="str">
        <x:f>IF(J1245="Рассчитано",T1245*M1245,"н/д")</x:f>
        <x:v>н/д</x:v>
      </x:c>
      <x:c r="X1245" s="21" t="str">
        <x:f>IF(J1245="Рассчитано",V1245-W1245,"н/д")</x:f>
        <x:v>н/д</x:v>
      </x:c>
      <x:c r="Y1245" s="27" t="str">
        <x:f>IF(J1245="Рассчитано",IF(V1245&gt;0,G1245/V1245,"н/д"),"н/д")</x:f>
        <x:v>н/д</x:v>
      </x:c>
      <x:c r="Z1245" s="21" t="str">
        <x:f>"н/д"</x:f>
        <x:v>н/д</x:v>
      </x:c>
      <x:c r="AA1245" s="21" t="str">
        <x:f>"н/д"</x:f>
        <x:v>н/д</x:v>
      </x:c>
      <x:c r="AB1245" s="21" t="str">
        <x:f>"н/д"</x:f>
        <x:v>н/д</x:v>
      </x:c>
      <x:c r="AC1245" s="21" t="str">
        <x:f>IF(AND(J1245="Рассчитано",T1245&gt;0,R1245&lt;100),(W1245+P1245+Q1245)/(T1245*(1-R1245/100)),"н/д")</x:f>
        <x:v>н/д</x:v>
      </x:c>
      <x:c r="AD1245" s="10" t="str">
        <x:f>IF(ISNUMBER(G1245),IF(G1245&lt;0,"Убыток",IF(G1245=0,"Без прибыли","Прибыль &gt; 0")),"Не оценён")</x:f>
        <x:v>Не оценён</x:v>
      </x:c>
      <x:c r="AE1245" s="13" t="str">
        <x:f>IF(J1245="Рассчитано","Выручка "&amp;TEXT(V1245,"0.00")&amp;" - себестоимость "&amp;TEXT(W1245,"0.00")&amp;" - комиссия "&amp;TEXT(V1245*R1245/100,"0.00")&amp;" - доставка "&amp;TEXT(P1245,"0.00")&amp;" - прочие "&amp;TEXT(Q1245,"0.00")&amp;" = "&amp;TEXT(G1245,"0.00")&amp;" "&amp;L1245,"Введите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5" s="24" t="n">
        <x:v>17.471076385789843</x:v>
      </x:c>
      <x:c r="AG1245" s="37" t="n">
        <x:v>62</x:v>
      </x:c>
      <x:c r="AH1245" s="37" t="n">
        <x:v>0</x:v>
      </x:c>
      <x:c r="AI1245" s="30" t="n">
        <x:v>46287</x:v>
      </x:c>
      <x:c r="AJ1245" s="37" t="n">
        <x:v>1</x:v>
      </x:c>
      <x:c r="AK1245" s="10" t="str">
        <x:v>кратность</x:v>
      </x:c>
      <x:c r="AL1245" s="32" t="n">
        <x:v>302.57845872037956</x:v>
      </x:c>
      <x:c r="AM1245" s="13" t="str">
        <x:v>Детальные и месячные продажи расходятся; Нет ежедневных данных доступности. Запас более 180 дней при среднем спросе</x:v>
      </x:c>
      <x:c r="AN1245" s="13" t="str">
        <x:v>Проверить свободный остаток и установить цену для B2B</x:v>
      </x:c>
      <x:c r="AO1245" s="13" t="str">
        <x:v>Остаток 62; прогноз 90 дней 17.47; избыток 44 шт. Будущие поступления не выставляются на продажу.</x:v>
      </x:c>
      <x:c r="AP1245" s="13" t="str">
        <x:v>["daily_stockout_data_missing", "large_orders_detected", "new_order_lead_time_unknown", "transaction_month_mismatch"]</x:v>
      </x:c>
      <x:c r="AQ1245" s="10" t="str">
        <x:v>SE:010400432_</x:v>
      </x:c>
      <x:c r="AR1245" s="24" t="n">
        <x:v>1</x:v>
      </x:c>
      <x:c r="AS1245" s="24" t="n">
        <x:v>0</x:v>
      </x:c>
      <x:c r="AT1245" s="24" t="n">
        <x:v>0</x:v>
      </x:c>
    </x:row>
    <x:row r="1246" ht="64" customHeight="1">
      <x:c r="A1246" s="11" t="str">
        <x:v>Systeme Electric</x:v>
      </x:c>
      <x:c r="B1246" s="33" t="str">
        <x:v>020100159_</x:v>
      </x:c>
      <x:c r="C1246" s="33" t="str">
        <x:v>ATN001013</x:v>
      </x:c>
      <x:c r="D1246" s="12" t="str">
        <x:v>K069 Выкл 1 кл с инд 10А с/у б/рамки "ATLAS" КАРБОН - ATN1013</x:v>
      </x:c>
      <x:c r="E1246" s="11" t="str">
        <x:v>шт</x:v>
      </x:c>
      <x:c r="F1246" s="35" t="n">
        <x:f>MAX(0,ROUNDDOWN((AG1246-AF1246)/AR1246+0.000000001,0)*AR1246)</x:f>
        <x:v>47</x:v>
      </x:c>
      <x:c r="G1246" s="20" t="str">
        <x:f>IF(J1246="Рассчитано",V1246*(1-R1246/100)-W1246-P1246-Q1246,"н/д")</x:f>
        <x:v>н/д</x:v>
      </x:c>
      <x:c r="H1246" s="12" t="str">
        <x:v>Средний</x:v>
      </x:c>
      <x:c r="I1246" s="12" t="str">
        <x:v>Высокий</x:v>
      </x:c>
      <x:c r="J1246" s="12" t="str">
        <x:f>IF(L1246="","Укажите валюту",IF(NOT(ISNUMBER(K1246)),"Укажите объём",IF(K1246&lt;=0,"Укажите объём",IF(K1246&gt;F1246,"Объём выше излишка",IF(COUNT(M1246:O1246)&lt;3,"Нужны цены",IF(COUNT(P1246:R1246)&lt;3,"Нужны расходы",IF(OR(M1246&lt;0,N1246&lt;0,O1246&lt;0,O1246&gt;100,P1246&lt;0,Q1246&lt;0,R1246&lt;0,R1246&gt;100),"Проверьте значения","Рассчитано")))))))</x:f>
        <x:v>Нужны цены</x:v>
      </x:c>
      <x:c r="K1246" s="36" t="n">
        <x:v>47</x:v>
      </x:c>
      <x:c r="L1246" s="19" t="str">
        <x:v>KZT</x:v>
      </x:c>
      <x:c r="M1246" s="22"/>
      <x:c r="N1246" s="22"/>
      <x:c r="O1246" s="28"/>
      <x:c r="P1246" s="22"/>
      <x:c r="Q1246" s="22"/>
      <x:c r="R1246" s="28"/>
      <x:c r="S1246" s="22"/>
      <x:c r="T1246" s="35" t="n">
        <x:f>K1246</x:f>
        <x:v>47</x:v>
      </x:c>
      <x:c r="U1246" s="20" t="str">
        <x:f>IF(J1246="Рассчитано",N1246*(1-O1246/100),"н/д")</x:f>
        <x:v>н/д</x:v>
      </x:c>
      <x:c r="V1246" s="20" t="str">
        <x:f>IF(J1246="Рассчитано",T1246*U1246,"н/д")</x:f>
        <x:v>н/д</x:v>
      </x:c>
      <x:c r="W1246" s="20" t="str">
        <x:f>IF(J1246="Рассчитано",T1246*M1246,"н/д")</x:f>
        <x:v>н/д</x:v>
      </x:c>
      <x:c r="X1246" s="20" t="str">
        <x:f>IF(J1246="Рассчитано",V1246-W1246,"н/д")</x:f>
        <x:v>н/д</x:v>
      </x:c>
      <x:c r="Y1246" s="26" t="str">
        <x:f>IF(J1246="Рассчитано",IF(V1246&gt;0,G1246/V1246,"н/д"),"н/д")</x:f>
        <x:v>н/д</x:v>
      </x:c>
      <x:c r="Z1246" s="20" t="str">
        <x:f>"н/д"</x:f>
        <x:v>н/д</x:v>
      </x:c>
      <x:c r="AA1246" s="20" t="str">
        <x:f>"н/д"</x:f>
        <x:v>н/д</x:v>
      </x:c>
      <x:c r="AB1246" s="20" t="str">
        <x:f>"н/д"</x:f>
        <x:v>н/д</x:v>
      </x:c>
      <x:c r="AC1246" s="20" t="str">
        <x:f>IF(AND(J1246="Рассчитано",T1246&gt;0,R1246&lt;100),(W1246+P1246+Q1246)/(T1246*(1-R1246/100)),"н/д")</x:f>
        <x:v>н/д</x:v>
      </x:c>
      <x:c r="AD1246" s="11" t="str">
        <x:f>IF(ISNUMBER(G1246),IF(G1246&lt;0,"Убыток",IF(G1246=0,"Без прибыли","Прибыль &gt; 0")),"Не оценён")</x:f>
        <x:v>Не оценён</x:v>
      </x:c>
      <x:c r="AE1246" s="12" t="str">
        <x:f>IF(J1246="Рассчитано","Выручка "&amp;TEXT(V1246,"0.00")&amp;" - себестоимость "&amp;TEXT(W1246,"0.00")&amp;" - комиссия "&amp;TEXT(V1246*R1246/100,"0.00")&amp;" - доставка "&amp;TEXT(P1246,"0.00")&amp;" - прочие "&amp;TEXT(Q1246,"0.00")&amp;" = "&amp;TEXT(G1246,"0.00")&amp;" "&amp;L1246,"Введите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6" s="23" t="n">
        <x:v>20.73646235092754</x:v>
      </x:c>
      <x:c r="AG1246" s="35" t="n">
        <x:v>68</x:v>
      </x:c>
      <x:c r="AH1246" s="35" t="n">
        <x:v>0</x:v>
      </x:c>
      <x:c r="AI1246" s="29" t="n">
        <x:v>46287</x:v>
      </x:c>
      <x:c r="AJ1246" s="35" t="n">
        <x:v>5</x:v>
      </x:c>
      <x:c r="AK1246" s="11" t="str">
        <x:v>кратность</x:v>
      </x:c>
      <x:c r="AL1246" s="31" t="n">
        <x:v>279.6019683841579</x:v>
      </x:c>
      <x:c r="AM1246" s="12" t="str">
        <x:v>Нет ежедневных данных доступности. Запас более 180 дней при среднем спросе</x:v>
      </x:c>
      <x:c r="AN1246" s="12" t="str">
        <x:v>Проверить свободный остаток и установить цену для B2B</x:v>
      </x:c>
      <x:c r="AO1246" s="12" t="str">
        <x:v>Остаток 68; прогноз 90 дней 20.74; избыток 47 шт. Будущие поступления не выставляются на продажу.</x:v>
      </x:c>
      <x:c r="AP1246" s="12" t="str">
        <x:v>["daily_stockout_data_missing", "negative_net_sales_clipped_for_forecast", "new_order_lead_time_unknown"]</x:v>
      </x:c>
      <x:c r="AQ1246" s="11" t="str">
        <x:v>SE:020100159_</x:v>
      </x:c>
      <x:c r="AR1246" s="23" t="n">
        <x:v>1</x:v>
      </x:c>
      <x:c r="AS1246" s="23" t="n">
        <x:v>0</x:v>
      </x:c>
      <x:c r="AT1246" s="23" t="n">
        <x:v>0</x:v>
      </x:c>
    </x:row>
    <x:row r="1247" ht="64" customHeight="1">
      <x:c r="A1247" s="10" t="str">
        <x:v>Systeme Electric</x:v>
      </x:c>
      <x:c r="B1247" s="34" t="str">
        <x:v>020100161_</x:v>
      </x:c>
      <x:c r="C1247" s="34" t="str">
        <x:v>ATN001053</x:v>
      </x:c>
      <x:c r="D1247" s="13" t="str">
        <x:v>K071 Выкл 2 кл с инд 10А с/у б/рамки "ATLAS" КАРБОН  - ATN1053</x:v>
      </x:c>
      <x:c r="E1247" s="10" t="str">
        <x:v>шт</x:v>
      </x:c>
      <x:c r="F1247" s="37" t="n">
        <x:f>MAX(0,ROUNDDOWN((AG1247-AF1247)/AR1247+0.000000001,0)*AR1247)</x:f>
        <x:v>4</x:v>
      </x:c>
      <x:c r="G1247" s="21" t="str">
        <x:f>IF(J1247="Рассчитано",V1247*(1-R1247/100)-W1247-P1247-Q1247,"н/д")</x:f>
        <x:v>н/д</x:v>
      </x:c>
      <x:c r="H1247" s="13" t="str">
        <x:v>Средний</x:v>
      </x:c>
      <x:c r="I1247" s="13" t="str">
        <x:v>Средний</x:v>
      </x:c>
      <x:c r="J1247" s="13" t="str">
        <x:f>IF(L1247="","Укажите валюту",IF(NOT(ISNUMBER(K1247)),"Укажите объём",IF(K1247&lt;=0,"Укажите объём",IF(K1247&gt;F1247,"Объём выше излишка",IF(COUNT(M1247:O1247)&lt;3,"Нужны цены",IF(COUNT(P1247:R1247)&lt;3,"Нужны расходы",IF(OR(M1247&lt;0,N1247&lt;0,O1247&lt;0,O1247&gt;100,P1247&lt;0,Q1247&lt;0,R1247&lt;0,R1247&gt;100),"Проверьте значения","Рассчитано")))))))</x:f>
        <x:v>Нужны цены</x:v>
      </x:c>
      <x:c r="K1247" s="36" t="n">
        <x:v>4</x:v>
      </x:c>
      <x:c r="L1247" s="19" t="str">
        <x:v>KZT</x:v>
      </x:c>
      <x:c r="M1247" s="22"/>
      <x:c r="N1247" s="22"/>
      <x:c r="O1247" s="28"/>
      <x:c r="P1247" s="22"/>
      <x:c r="Q1247" s="22"/>
      <x:c r="R1247" s="28"/>
      <x:c r="S1247" s="22"/>
      <x:c r="T1247" s="37" t="n">
        <x:f>K1247</x:f>
        <x:v>4</x:v>
      </x:c>
      <x:c r="U1247" s="21" t="str">
        <x:f>IF(J1247="Рассчитано",N1247*(1-O1247/100),"н/д")</x:f>
        <x:v>н/д</x:v>
      </x:c>
      <x:c r="V1247" s="21" t="str">
        <x:f>IF(J1247="Рассчитано",T1247*U1247,"н/д")</x:f>
        <x:v>н/д</x:v>
      </x:c>
      <x:c r="W1247" s="21" t="str">
        <x:f>IF(J1247="Рассчитано",T1247*M1247,"н/д")</x:f>
        <x:v>н/д</x:v>
      </x:c>
      <x:c r="X1247" s="21" t="str">
        <x:f>IF(J1247="Рассчитано",V1247-W1247,"н/д")</x:f>
        <x:v>н/д</x:v>
      </x:c>
      <x:c r="Y1247" s="27" t="str">
        <x:f>IF(J1247="Рассчитано",IF(V1247&gt;0,G1247/V1247,"н/д"),"н/д")</x:f>
        <x:v>н/д</x:v>
      </x:c>
      <x:c r="Z1247" s="21" t="str">
        <x:f>"н/д"</x:f>
        <x:v>н/д</x:v>
      </x:c>
      <x:c r="AA1247" s="21" t="str">
        <x:f>"н/д"</x:f>
        <x:v>н/д</x:v>
      </x:c>
      <x:c r="AB1247" s="21" t="str">
        <x:f>"н/д"</x:f>
        <x:v>н/д</x:v>
      </x:c>
      <x:c r="AC1247" s="21" t="str">
        <x:f>IF(AND(J1247="Рассчитано",T1247&gt;0,R1247&lt;100),(W1247+P1247+Q1247)/(T1247*(1-R1247/100)),"н/д")</x:f>
        <x:v>н/д</x:v>
      </x:c>
      <x:c r="AD1247" s="10" t="str">
        <x:f>IF(ISNUMBER(G1247),IF(G1247&lt;0,"Убыток",IF(G1247=0,"Без прибыли","Прибыль &gt; 0")),"Не оценён")</x:f>
        <x:v>Не оценён</x:v>
      </x:c>
      <x:c r="AE1247" s="13" t="str">
        <x:f>IF(J1247="Рассчитано","Выручка "&amp;TEXT(V1247,"0.00")&amp;" - себестоимость "&amp;TEXT(W1247,"0.00")&amp;" - комиссия "&amp;TEXT(V1247*R1247/100,"0.00")&amp;" - доставка "&amp;TEXT(P1247,"0.00")&amp;" - прочие "&amp;TEXT(Q1247,"0.00")&amp;" = "&amp;TEXT(G1247,"0.00")&amp;" "&amp;L1247,"Введите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7" s="24" t="n">
        <x:v>12.326613231891574</x:v>
      </x:c>
      <x:c r="AG1247" s="37" t="n">
        <x:v>17</x:v>
      </x:c>
      <x:c r="AH1247" s="37" t="n">
        <x:v>0</x:v>
      </x:c>
      <x:c r="AI1247" s="30" t="n">
        <x:v>46287</x:v>
      </x:c>
      <x:c r="AJ1247" s="37" t="n">
        <x:v>5</x:v>
      </x:c>
      <x:c r="AK1247" s="10" t="str">
        <x:v>кратность</x:v>
      </x:c>
      <x:c r="AL1247" s="32" t="n">
        <x:v>117.59020060033116</x:v>
      </x:c>
      <x:c r="AM1247" s="13" t="str">
        <x:v>Нет ежедневных данных доступности. Запас выше прогноза на 90 дней</x:v>
      </x:c>
      <x:c r="AN1247" s="13" t="str">
        <x:v>Проверить свободный остаток и установить цену для B2B</x:v>
      </x:c>
      <x:c r="AO1247" s="13" t="str">
        <x:v>Остаток 17; прогноз 90 дней 12.33; избыток 4 шт. Будущие поступления не выставляются на продажу.</x:v>
      </x:c>
      <x:c r="AP1247" s="13" t="str">
        <x:v>["daily_stockout_data_missing", "negative_net_sales_clipped_for_forecast", "new_order_lead_time_unknown"]</x:v>
      </x:c>
      <x:c r="AQ1247" s="10" t="str">
        <x:v>SE:020100161_</x:v>
      </x:c>
      <x:c r="AR1247" s="24" t="n">
        <x:v>1</x:v>
      </x:c>
      <x:c r="AS1247" s="24" t="n">
        <x:v>0</x:v>
      </x:c>
      <x:c r="AT1247" s="24" t="n">
        <x:v>0</x:v>
      </x:c>
    </x:row>
    <x:row r="1248" ht="64" customHeight="1">
      <x:c r="A1248" s="11" t="str">
        <x:v>Systeme Electric</x:v>
      </x:c>
      <x:c r="B1248" s="33" t="str">
        <x:v>020100162_</x:v>
      </x:c>
      <x:c r="C1248" s="33" t="str">
        <x:v>ATN001071</x:v>
      </x:c>
      <x:c r="D1248" s="12" t="str">
        <x:v>K077 Перекрест.переключ. 1 кл 10А с/у б/рамки "ATLAS", КАРБОН -  ATN1071 (2)</x:v>
      </x:c>
      <x:c r="E1248" s="11" t="str">
        <x:v>шт</x:v>
      </x:c>
      <x:c r="F1248" s="35" t="n">
        <x:f>MAX(0,ROUNDDOWN((AG1248-AF1248)/AR1248+0.000000001,0)*AR1248)</x:f>
        <x:v>7</x:v>
      </x:c>
      <x:c r="G1248" s="20" t="str">
        <x:f>IF(J1248="Рассчитано",V1248*(1-R1248/100)-W1248-P1248-Q1248,"н/д")</x:f>
        <x:v>н/д</x:v>
      </x:c>
      <x:c r="H1248" s="12" t="str">
        <x:v>Средний</x:v>
      </x:c>
      <x:c r="I1248" s="12" t="str">
        <x:v>Средний</x:v>
      </x:c>
      <x:c r="J1248" s="12" t="str">
        <x:f>IF(L1248="","Укажите валюту",IF(NOT(ISNUMBER(K1248)),"Укажите объём",IF(K1248&lt;=0,"Укажите объём",IF(K1248&gt;F1248,"Объём выше излишка",IF(COUNT(M1248:O1248)&lt;3,"Нужны цены",IF(COUNT(P1248:R1248)&lt;3,"Нужны расходы",IF(OR(M1248&lt;0,N1248&lt;0,O1248&lt;0,O1248&gt;100,P1248&lt;0,Q1248&lt;0,R1248&lt;0,R1248&gt;100),"Проверьте значения","Рассчитано")))))))</x:f>
        <x:v>Нужны цены</x:v>
      </x:c>
      <x:c r="K1248" s="36" t="n">
        <x:v>7</x:v>
      </x:c>
      <x:c r="L1248" s="19" t="str">
        <x:v>KZT</x:v>
      </x:c>
      <x:c r="M1248" s="22"/>
      <x:c r="N1248" s="22"/>
      <x:c r="O1248" s="28"/>
      <x:c r="P1248" s="22"/>
      <x:c r="Q1248" s="22"/>
      <x:c r="R1248" s="28"/>
      <x:c r="S1248" s="22"/>
      <x:c r="T1248" s="35" t="n">
        <x:f>K1248</x:f>
        <x:v>7</x:v>
      </x:c>
      <x:c r="U1248" s="20" t="str">
        <x:f>IF(J1248="Рассчитано",N1248*(1-O1248/100),"н/д")</x:f>
        <x:v>н/д</x:v>
      </x:c>
      <x:c r="V1248" s="20" t="str">
        <x:f>IF(J1248="Рассчитано",T1248*U1248,"н/д")</x:f>
        <x:v>н/д</x:v>
      </x:c>
      <x:c r="W1248" s="20" t="str">
        <x:f>IF(J1248="Рассчитано",T1248*M1248,"н/д")</x:f>
        <x:v>н/д</x:v>
      </x:c>
      <x:c r="X1248" s="20" t="str">
        <x:f>IF(J1248="Рассчитано",V1248-W1248,"н/д")</x:f>
        <x:v>н/д</x:v>
      </x:c>
      <x:c r="Y1248" s="26" t="str">
        <x:f>IF(J1248="Рассчитано",IF(V1248&gt;0,G1248/V1248,"н/д"),"н/д")</x:f>
        <x:v>н/д</x:v>
      </x:c>
      <x:c r="Z1248" s="20" t="str">
        <x:f>"н/д"</x:f>
        <x:v>н/д</x:v>
      </x:c>
      <x:c r="AA1248" s="20" t="str">
        <x:f>"н/д"</x:f>
        <x:v>н/д</x:v>
      </x:c>
      <x:c r="AB1248" s="20" t="str">
        <x:f>"н/д"</x:f>
        <x:v>н/д</x:v>
      </x:c>
      <x:c r="AC1248" s="20" t="str">
        <x:f>IF(AND(J1248="Рассчитано",T1248&gt;0,R1248&lt;100),(W1248+P1248+Q1248)/(T1248*(1-R1248/100)),"н/д")</x:f>
        <x:v>н/д</x:v>
      </x:c>
      <x:c r="AD1248" s="11" t="str">
        <x:f>IF(ISNUMBER(G1248),IF(G1248&lt;0,"Убыток",IF(G1248=0,"Без прибыли","Прибыль &gt; 0")),"Не оценён")</x:f>
        <x:v>Не оценён</x:v>
      </x:c>
      <x:c r="AE1248" s="12" t="str">
        <x:f>IF(J1248="Рассчитано","Выручка "&amp;TEXT(V1248,"0.00")&amp;" - себестоимость "&amp;TEXT(W1248,"0.00")&amp;" - комиссия "&amp;TEXT(V1248*R1248/100,"0.00")&amp;" - доставка "&amp;TEXT(P1248,"0.00")&amp;" - прочие "&amp;TEXT(Q1248,"0.00")&amp;" = "&amp;TEXT(G1248,"0.00")&amp;" "&amp;L1248,"Введите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8" s="23" t="n">
        <x:v>26.56472538420618</x:v>
      </x:c>
      <x:c r="AG1248" s="35" t="n">
        <x:v>34</x:v>
      </x:c>
      <x:c r="AH1248" s="35" t="n">
        <x:v>0</x:v>
      </x:c>
      <x:c r="AI1248" s="29" t="n">
        <x:v>46287</x:v>
      </x:c>
      <x:c r="AJ1248" s="35" t="n">
        <x:v>5</x:v>
      </x:c>
      <x:c r="AK1248" s="11" t="str">
        <x:v>кратность</x:v>
      </x:c>
      <x:c r="AL1248" s="31" t="n">
        <x:v>109.12884674671692</x:v>
      </x:c>
      <x:c r="AM1248" s="12" t="str">
        <x:v>Нет ежедневных данных доступности. Запас выше прогноза на 90 дней</x:v>
      </x:c>
      <x:c r="AN1248" s="12" t="str">
        <x:v>Проверить свободный остаток и установить цену для B2B</x:v>
      </x:c>
      <x:c r="AO1248" s="12" t="str">
        <x:v>Остаток 34; прогноз 90 дней 26.56; избыток 7 шт. Будущие поступления не выставляются на продажу.</x:v>
      </x:c>
      <x:c r="AP1248" s="12" t="str">
        <x:v>["daily_stockout_data_missing", "negative_net_sales_clipped_for_forecast", "new_order_lead_time_unknown"]</x:v>
      </x:c>
      <x:c r="AQ1248" s="11" t="str">
        <x:v>SE:020100162_</x:v>
      </x:c>
      <x:c r="AR1248" s="23" t="n">
        <x:v>1</x:v>
      </x:c>
      <x:c r="AS1248" s="23" t="n">
        <x:v>0</x:v>
      </x:c>
      <x:c r="AT1248" s="23" t="n">
        <x:v>0</x:v>
      </x:c>
    </x:row>
    <x:row r="1249" ht="64" customHeight="1">
      <x:c r="A1249" s="10" t="str">
        <x:v>Systeme Electric</x:v>
      </x:c>
      <x:c r="B1249" s="34" t="str">
        <x:v>030200002_</x:v>
      </x:c>
      <x:c r="C1249" s="34" t="str">
        <x:v>A16-051-B</x:v>
      </x:c>
      <x:c r="D1249" s="13" t="str">
        <x:v>S239 1кл о/у. 6А IP20  "Прима" ВА 16-051-б (130) !!!</x:v>
      </x:c>
      <x:c r="E1249" s="10" t="str">
        <x:v>шт</x:v>
      </x:c>
      <x:c r="F1249" s="37" t="n">
        <x:f>MAX(0,ROUNDDOWN((AG1249-AF1249)/AR1249+0.000000001,0)*AR1249)</x:f>
        <x:v>3</x:v>
      </x:c>
      <x:c r="G1249" s="21" t="str">
        <x:f>IF(J1249="Рассчитано",V1249*(1-R1249/100)-W1249-P1249-Q1249,"н/д")</x:f>
        <x:v>н/д</x:v>
      </x:c>
      <x:c r="H1249" s="13" t="str">
        <x:v>Высокий</x:v>
      </x:c>
      <x:c r="I1249" s="13" t="str">
        <x:v>Высокий</x:v>
      </x:c>
      <x:c r="J1249" s="13" t="str">
        <x:f>IF(L1249="","Укажите валюту",IF(NOT(ISNUMBER(K1249)),"Укажите объём",IF(K1249&lt;=0,"Укажите объём",IF(K1249&gt;F1249,"Объём выше излишка",IF(COUNT(M1249:O1249)&lt;3,"Нужны цены",IF(COUNT(P1249:R1249)&lt;3,"Нужны расходы",IF(OR(M1249&lt;0,N1249&lt;0,O1249&lt;0,O1249&gt;100,P1249&lt;0,Q1249&lt;0,R1249&lt;0,R1249&gt;100),"Проверьте значения","Рассчитано")))))))</x:f>
        <x:v>Нужны цены</x:v>
      </x:c>
      <x:c r="K1249" s="36" t="n">
        <x:v>3</x:v>
      </x:c>
      <x:c r="L1249" s="19" t="str">
        <x:v>KZT</x:v>
      </x:c>
      <x:c r="M1249" s="22"/>
      <x:c r="N1249" s="22"/>
      <x:c r="O1249" s="28"/>
      <x:c r="P1249" s="22"/>
      <x:c r="Q1249" s="22"/>
      <x:c r="R1249" s="28"/>
      <x:c r="S1249" s="22"/>
      <x:c r="T1249" s="37" t="n">
        <x:f>K1249</x:f>
        <x:v>3</x:v>
      </x:c>
      <x:c r="U1249" s="21" t="str">
        <x:f>IF(J1249="Рассчитано",N1249*(1-O1249/100),"н/д")</x:f>
        <x:v>н/д</x:v>
      </x:c>
      <x:c r="V1249" s="21" t="str">
        <x:f>IF(J1249="Рассчитано",T1249*U1249,"н/д")</x:f>
        <x:v>н/д</x:v>
      </x:c>
      <x:c r="W1249" s="21" t="str">
        <x:f>IF(J1249="Рассчитано",T1249*M1249,"н/д")</x:f>
        <x:v>н/д</x:v>
      </x:c>
      <x:c r="X1249" s="21" t="str">
        <x:f>IF(J1249="Рассчитано",V1249-W1249,"н/д")</x:f>
        <x:v>н/д</x:v>
      </x:c>
      <x:c r="Y1249" s="27" t="str">
        <x:f>IF(J1249="Рассчитано",IF(V1249&gt;0,G1249/V1249,"н/д"),"н/д")</x:f>
        <x:v>н/д</x:v>
      </x:c>
      <x:c r="Z1249" s="21" t="str">
        <x:f>"н/д"</x:f>
        <x:v>н/д</x:v>
      </x:c>
      <x:c r="AA1249" s="21" t="str">
        <x:f>"н/д"</x:f>
        <x:v>н/д</x:v>
      </x:c>
      <x:c r="AB1249" s="21" t="str">
        <x:f>"н/д"</x:f>
        <x:v>н/д</x:v>
      </x:c>
      <x:c r="AC1249" s="21" t="str">
        <x:f>IF(AND(J1249="Рассчитано",T1249&gt;0,R1249&lt;100),(W1249+P1249+Q1249)/(T1249*(1-R1249/100)),"н/д")</x:f>
        <x:v>н/д</x:v>
      </x:c>
      <x:c r="AD1249" s="10" t="str">
        <x:f>IF(ISNUMBER(G1249),IF(G1249&lt;0,"Убыток",IF(G1249=0,"Без прибыли","Прибыль &gt; 0")),"Не оценён")</x:f>
        <x:v>Не оценён</x:v>
      </x:c>
      <x:c r="AE1249" s="13" t="str">
        <x:f>IF(J1249="Рассчитано","Выручка "&amp;TEXT(V1249,"0.00")&amp;" - себестоимость "&amp;TEXT(W1249,"0.00")&amp;" - комиссия "&amp;TEXT(V1249*R1249/100,"0.00")&amp;" - доставка "&amp;TEXT(P1249,"0.00")&amp;" - прочие "&amp;TEXT(Q1249,"0.00")&amp;" = "&amp;TEXT(G1249,"0.00")&amp;" "&amp;L1249,"Введите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9" s="24" t="n">
        <x:v>0</x:v>
      </x:c>
      <x:c r="AG1249" s="37" t="n">
        <x:v>3</x:v>
      </x:c>
      <x:c r="AH1249" s="37" t="n">
        <x:v>0</x:v>
      </x:c>
      <x:c r="AI1249" s="30" t="n">
        <x:v>46266</x:v>
      </x:c>
      <x:c r="AJ1249" s="37" t="n">
        <x:v>1</x:v>
      </x:c>
      <x:c r="AK1249" s="10" t="str">
        <x:v>кратность</x:v>
      </x:c>
      <x:c r="AL1249" s="32" t="str">
        <x:v>н/д</x:v>
      </x:c>
      <x:c r="AM1249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249" s="13" t="str">
        <x:v>Проверить свободный остаток и установить цену для B2B</x:v>
      </x:c>
      <x:c r="AO1249" s="13" t="str">
        <x:v>Остаток 3; прогноз 90 дней 0.00; избыток 3 шт. Будущие поступления не выставляются на продажу. Остаток на начало сентября: требуется актуализация.</x:v>
      </x:c>
      <x:c r="AP1249" s="13" t="str">
        <x:v>["category_missing", "daily_stockout_data_missing", "monthly_balance_date_assumed", "new_order_lead_time_unknown", "reservations_unknown", "stale_stock"]</x:v>
      </x:c>
      <x:c r="AQ1249" s="10" t="str">
        <x:v>SE:030200002_</x:v>
      </x:c>
      <x:c r="AR1249" s="24" t="n">
        <x:v>1</x:v>
      </x:c>
      <x:c r="AS1249" s="24" t="n">
        <x:v>0</x:v>
      </x:c>
      <x:c r="AT1249" s="24" t="n">
        <x:v>0</x:v>
      </x:c>
    </x:row>
    <x:row r="1250" ht="64" customHeight="1">
      <x:c r="A1250" s="11" t="str">
        <x:v>Systeme Electric</x:v>
      </x:c>
      <x:c r="B1250" s="33" t="str">
        <x:v>030200005_</x:v>
      </x:c>
      <x:c r="C1250" s="33" t="str">
        <x:v>S16-053-B</x:v>
      </x:c>
      <x:c r="D1250" s="12" t="str">
        <x:v>S233 1кл. инд.с/у 6А IP20 "Прима" ВС 16-053-б (96) !!!</x:v>
      </x:c>
      <x:c r="E1250" s="11" t="str">
        <x:v>шт</x:v>
      </x:c>
      <x:c r="F1250" s="35" t="n">
        <x:f>MAX(0,ROUNDDOWN((AG1250-AF1250)/AR1250+0.000000001,0)*AR1250)</x:f>
        <x:v>310</x:v>
      </x:c>
      <x:c r="G1250" s="20" t="str">
        <x:f>IF(J1250="Рассчитано",V1250*(1-R1250/100)-W1250-P1250-Q1250,"н/д")</x:f>
        <x:v>н/д</x:v>
      </x:c>
      <x:c r="H1250" s="12" t="str">
        <x:v>Высокий</x:v>
      </x:c>
      <x:c r="I1250" s="12" t="str">
        <x:v>Высокий</x:v>
      </x:c>
      <x:c r="J1250" s="12" t="str">
        <x:f>IF(L1250="","Укажите валюту",IF(NOT(ISNUMBER(K1250)),"Укажите объём",IF(K1250&lt;=0,"Укажите объём",IF(K1250&gt;F1250,"Объём выше излишка",IF(COUNT(M1250:O1250)&lt;3,"Нужны цены",IF(COUNT(P1250:R1250)&lt;3,"Нужны расходы",IF(OR(M1250&lt;0,N1250&lt;0,O1250&lt;0,O1250&gt;100,P1250&lt;0,Q1250&lt;0,R1250&lt;0,R1250&gt;100),"Проверьте значения","Рассчитано")))))))</x:f>
        <x:v>Нужны цены</x:v>
      </x:c>
      <x:c r="K1250" s="36" t="n">
        <x:v>310</x:v>
      </x:c>
      <x:c r="L1250" s="19" t="str">
        <x:v>KZT</x:v>
      </x:c>
      <x:c r="M1250" s="22"/>
      <x:c r="N1250" s="22"/>
      <x:c r="O1250" s="28"/>
      <x:c r="P1250" s="22"/>
      <x:c r="Q1250" s="22"/>
      <x:c r="R1250" s="28"/>
      <x:c r="S1250" s="22"/>
      <x:c r="T1250" s="35" t="n">
        <x:f>K1250</x:f>
        <x:v>310</x:v>
      </x:c>
      <x:c r="U1250" s="20" t="str">
        <x:f>IF(J1250="Рассчитано",N1250*(1-O1250/100),"н/д")</x:f>
        <x:v>н/д</x:v>
      </x:c>
      <x:c r="V1250" s="20" t="str">
        <x:f>IF(J1250="Рассчитано",T1250*U1250,"н/д")</x:f>
        <x:v>н/д</x:v>
      </x:c>
      <x:c r="W1250" s="20" t="str">
        <x:f>IF(J1250="Рассчитано",T1250*M1250,"н/д")</x:f>
        <x:v>н/д</x:v>
      </x:c>
      <x:c r="X1250" s="20" t="str">
        <x:f>IF(J1250="Рассчитано",V1250-W1250,"н/д")</x:f>
        <x:v>н/д</x:v>
      </x:c>
      <x:c r="Y1250" s="26" t="str">
        <x:f>IF(J1250="Рассчитано",IF(V1250&gt;0,G1250/V1250,"н/д"),"н/д")</x:f>
        <x:v>н/д</x:v>
      </x:c>
      <x:c r="Z1250" s="20" t="str">
        <x:f>"н/д"</x:f>
        <x:v>н/д</x:v>
      </x:c>
      <x:c r="AA1250" s="20" t="str">
        <x:f>"н/д"</x:f>
        <x:v>н/д</x:v>
      </x:c>
      <x:c r="AB1250" s="20" t="str">
        <x:f>"н/д"</x:f>
        <x:v>н/д</x:v>
      </x:c>
      <x:c r="AC1250" s="20" t="str">
        <x:f>IF(AND(J1250="Рассчитано",T1250&gt;0,R1250&lt;100),(W1250+P1250+Q1250)/(T1250*(1-R1250/100)),"н/д")</x:f>
        <x:v>н/д</x:v>
      </x:c>
      <x:c r="AD1250" s="11" t="str">
        <x:f>IF(ISNUMBER(G1250),IF(G1250&lt;0,"Убыток",IF(G1250=0,"Без прибыли","Прибыль &gt; 0")),"Не оценён")</x:f>
        <x:v>Не оценён</x:v>
      </x:c>
      <x:c r="AE1250" s="12" t="str">
        <x:f>IF(J1250="Рассчитано","Выручка "&amp;TEXT(V1250,"0.00")&amp;" - себестоимость "&amp;TEXT(W1250,"0.00")&amp;" - комиссия "&amp;TEXT(V1250*R1250/100,"0.00")&amp;" - доставка "&amp;TEXT(P1250,"0.00")&amp;" - прочие "&amp;TEXT(Q1250,"0.00")&amp;" = "&amp;TEXT(G1250,"0.00")&amp;" "&amp;L1250,"Введите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0" s="23" t="n">
        <x:v>50.64350220843158</x:v>
      </x:c>
      <x:c r="AG1250" s="35" t="n">
        <x:v>361</x:v>
      </x:c>
      <x:c r="AH1250" s="35" t="n">
        <x:v>0</x:v>
      </x:c>
      <x:c r="AI1250" s="29" t="n">
        <x:v>46266</x:v>
      </x:c>
      <x:c r="AJ1250" s="35" t="n">
        <x:v>1</x:v>
      </x:c>
      <x:c r="AK1250" s="11" t="str">
        <x:v>кратность</x:v>
      </x:c>
      <x:c r="AL1250" s="31" t="n">
        <x:v>607.7842615681014</x:v>
      </x:c>
      <x:c r="AM125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50" s="12" t="str">
        <x:v>Проверить свободный остаток и установить цену для B2B</x:v>
      </x:c>
      <x:c r="AO1250" s="12" t="str">
        <x:v>Остаток 361; прогноз 90 дней 50.64; избыток 310 шт. Будущие поступления не выставляются на продажу. Остаток на начало сентября: требуется актуализация.</x:v>
      </x:c>
      <x:c r="AP1250" s="12" t="str">
        <x:v>["category_missing", "daily_stockout_data_missing", "large_orders_detected", "monthly_balance_date_assumed", "new_order_lead_time_unknown", "reservations_unknown", "stale_stock"]</x:v>
      </x:c>
      <x:c r="AQ1250" s="11" t="str">
        <x:v>SE:030200005_</x:v>
      </x:c>
      <x:c r="AR1250" s="23" t="n">
        <x:v>1</x:v>
      </x:c>
      <x:c r="AS1250" s="23" t="n">
        <x:v>0</x:v>
      </x:c>
      <x:c r="AT1250" s="23" t="n">
        <x:v>0</x:v>
      </x:c>
    </x:row>
    <x:row r="1251" ht="64" customHeight="1">
      <x:c r="A1251" s="10" t="str">
        <x:v>Systeme Electric</x:v>
      </x:c>
      <x:c r="B1251" s="34" t="str">
        <x:v>030200007_</x:v>
      </x:c>
      <x:c r="C1251" s="34" t="str">
        <x:v>S56-039-B</x:v>
      </x:c>
      <x:c r="D1251" s="13" t="str">
        <x:v>S234 2кл.инд.с/у 6А IP20 "Прима" ВС 56-039-б (96) !!!</x:v>
      </x:c>
      <x:c r="E1251" s="10" t="str">
        <x:v>шт</x:v>
      </x:c>
      <x:c r="F1251" s="37" t="n">
        <x:f>MAX(0,ROUNDDOWN((AG1251-AF1251)/AR1251+0.000000001,0)*AR1251)</x:f>
        <x:v>84</x:v>
      </x:c>
      <x:c r="G1251" s="21" t="str">
        <x:f>IF(J1251="Рассчитано",V1251*(1-R1251/100)-W1251-P1251-Q1251,"н/д")</x:f>
        <x:v>н/д</x:v>
      </x:c>
      <x:c r="H1251" s="13" t="str">
        <x:v>Высокий</x:v>
      </x:c>
      <x:c r="I1251" s="13" t="str">
        <x:v>Высокий</x:v>
      </x:c>
      <x:c r="J1251" s="13" t="str">
        <x:f>IF(L1251="","Укажите валюту",IF(NOT(ISNUMBER(K1251)),"Укажите объём",IF(K1251&lt;=0,"Укажите объём",IF(K1251&gt;F1251,"Объём выше излишка",IF(COUNT(M1251:O1251)&lt;3,"Нужны цены",IF(COUNT(P1251:R1251)&lt;3,"Нужны расходы",IF(OR(M1251&lt;0,N1251&lt;0,O1251&lt;0,O1251&gt;100,P1251&lt;0,Q1251&lt;0,R1251&lt;0,R1251&gt;100),"Проверьте значения","Рассчитано")))))))</x:f>
        <x:v>Нужны цены</x:v>
      </x:c>
      <x:c r="K1251" s="36" t="n">
        <x:v>84</x:v>
      </x:c>
      <x:c r="L1251" s="19" t="str">
        <x:v>KZT</x:v>
      </x:c>
      <x:c r="M1251" s="22"/>
      <x:c r="N1251" s="22"/>
      <x:c r="O1251" s="28"/>
      <x:c r="P1251" s="22"/>
      <x:c r="Q1251" s="22"/>
      <x:c r="R1251" s="28"/>
      <x:c r="S1251" s="22"/>
      <x:c r="T1251" s="37" t="n">
        <x:f>K1251</x:f>
        <x:v>84</x:v>
      </x:c>
      <x:c r="U1251" s="21" t="str">
        <x:f>IF(J1251="Рассчитано",N1251*(1-O1251/100),"н/д")</x:f>
        <x:v>н/д</x:v>
      </x:c>
      <x:c r="V1251" s="21" t="str">
        <x:f>IF(J1251="Рассчитано",T1251*U1251,"н/д")</x:f>
        <x:v>н/д</x:v>
      </x:c>
      <x:c r="W1251" s="21" t="str">
        <x:f>IF(J1251="Рассчитано",T1251*M1251,"н/д")</x:f>
        <x:v>н/д</x:v>
      </x:c>
      <x:c r="X1251" s="21" t="str">
        <x:f>IF(J1251="Рассчитано",V1251-W1251,"н/д")</x:f>
        <x:v>н/д</x:v>
      </x:c>
      <x:c r="Y1251" s="27" t="str">
        <x:f>IF(J1251="Рассчитано",IF(V1251&gt;0,G1251/V1251,"н/д"),"н/д")</x:f>
        <x:v>н/д</x:v>
      </x:c>
      <x:c r="Z1251" s="21" t="str">
        <x:f>"н/д"</x:f>
        <x:v>н/д</x:v>
      </x:c>
      <x:c r="AA1251" s="21" t="str">
        <x:f>"н/д"</x:f>
        <x:v>н/д</x:v>
      </x:c>
      <x:c r="AB1251" s="21" t="str">
        <x:f>"н/д"</x:f>
        <x:v>н/д</x:v>
      </x:c>
      <x:c r="AC1251" s="21" t="str">
        <x:f>IF(AND(J1251="Рассчитано",T1251&gt;0,R1251&lt;100),(W1251+P1251+Q1251)/(T1251*(1-R1251/100)),"н/д")</x:f>
        <x:v>н/д</x:v>
      </x:c>
      <x:c r="AD1251" s="10" t="str">
        <x:f>IF(ISNUMBER(G1251),IF(G1251&lt;0,"Убыток",IF(G1251=0,"Без прибыли","Прибыль &gt; 0")),"Не оценён")</x:f>
        <x:v>Не оценён</x:v>
      </x:c>
      <x:c r="AE1251" s="13" t="str">
        <x:f>IF(J1251="Рассчитано","Выручка "&amp;TEXT(V1251,"0.00")&amp;" - себестоимость "&amp;TEXT(W1251,"0.00")&amp;" - комиссия "&amp;TEXT(V1251*R1251/100,"0.00")&amp;" - доставка "&amp;TEXT(P1251,"0.00")&amp;" - прочие "&amp;TEXT(Q1251,"0.00")&amp;" = "&amp;TEXT(G1251,"0.00")&amp;" "&amp;L1251,"Введите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1" s="24" t="n">
        <x:v>31.38996957649247</x:v>
      </x:c>
      <x:c r="AG1251" s="37" t="n">
        <x:v>116</x:v>
      </x:c>
      <x:c r="AH1251" s="37" t="n">
        <x:v>0</x:v>
      </x:c>
      <x:c r="AI1251" s="30" t="n">
        <x:v>46266</x:v>
      </x:c>
      <x:c r="AJ1251" s="37" t="n">
        <x:v>1</x:v>
      </x:c>
      <x:c r="AK1251" s="10" t="str">
        <x:v>кратность</x:v>
      </x:c>
      <x:c r="AL1251" s="32" t="n">
        <x:v>315.0888780475358</x:v>
      </x:c>
      <x:c r="AM125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51" s="13" t="str">
        <x:v>Проверить свободный остаток и установить цену для B2B</x:v>
      </x:c>
      <x:c r="AO1251" s="13" t="str">
        <x:v>Остаток 116; прогноз 90 дней 31.39; избыток 84 шт. Будущие поступления не выставляются на продажу. Остаток на начало сентября: требуется актуализация.</x:v>
      </x:c>
      <x:c r="AP1251" s="13" t="str">
        <x:v>["category_missing", "daily_stockout_data_missing", "monthly_balance_date_assumed", "new_order_lead_time_unknown", "reservations_unknown", "stale_stock"]</x:v>
      </x:c>
      <x:c r="AQ1251" s="10" t="str">
        <x:v>SE:030200007_</x:v>
      </x:c>
      <x:c r="AR1251" s="24" t="n">
        <x:v>1</x:v>
      </x:c>
      <x:c r="AS1251" s="24" t="n">
        <x:v>0</x:v>
      </x:c>
      <x:c r="AT1251" s="24" t="n">
        <x:v>0</x:v>
      </x:c>
    </x:row>
    <x:row r="1252" ht="64" customHeight="1">
      <x:c r="A1252" s="11" t="str">
        <x:v>Systeme Electric</x:v>
      </x:c>
      <x:c r="B1252" s="33" t="str">
        <x:v>030200009_</x:v>
      </x:c>
      <x:c r="C1252" s="33" t="str">
        <x:v>RA10-164-B</x:v>
      </x:c>
      <x:c r="D1252" s="12" t="str">
        <x:v>S243 о\у 10А IP20  "Прима" РА 10-164-б (168) !!!</x:v>
      </x:c>
      <x:c r="E1252" s="11" t="str">
        <x:v>шт</x:v>
      </x:c>
      <x:c r="F1252" s="35" t="n">
        <x:f>MAX(0,ROUNDDOWN((AG1252-AF1252)/AR1252+0.000000001,0)*AR1252)</x:f>
        <x:v>1</x:v>
      </x:c>
      <x:c r="G1252" s="20" t="str">
        <x:f>IF(J1252="Рассчитано",V1252*(1-R1252/100)-W1252-P1252-Q1252,"н/д")</x:f>
        <x:v>н/д</x:v>
      </x:c>
      <x:c r="H1252" s="12" t="str">
        <x:v>Высокий</x:v>
      </x:c>
      <x:c r="I1252" s="12" t="str">
        <x:v>Высокий</x:v>
      </x:c>
      <x:c r="J1252" s="12" t="str">
        <x:f>IF(L1252="","Укажите валюту",IF(NOT(ISNUMBER(K1252)),"Укажите объём",IF(K1252&lt;=0,"Укажите объём",IF(K1252&gt;F1252,"Объём выше излишка",IF(COUNT(M1252:O1252)&lt;3,"Нужны цены",IF(COUNT(P1252:R1252)&lt;3,"Нужны расходы",IF(OR(M1252&lt;0,N1252&lt;0,O1252&lt;0,O1252&gt;100,P1252&lt;0,Q1252&lt;0,R1252&lt;0,R1252&gt;100),"Проверьте значения","Рассчитано")))))))</x:f>
        <x:v>Нужны цены</x:v>
      </x:c>
      <x:c r="K1252" s="36" t="n">
        <x:v>1</x:v>
      </x:c>
      <x:c r="L1252" s="19" t="str">
        <x:v>KZT</x:v>
      </x:c>
      <x:c r="M1252" s="22"/>
      <x:c r="N1252" s="22"/>
      <x:c r="O1252" s="28"/>
      <x:c r="P1252" s="22"/>
      <x:c r="Q1252" s="22"/>
      <x:c r="R1252" s="28"/>
      <x:c r="S1252" s="22"/>
      <x:c r="T1252" s="35" t="n">
        <x:f>K1252</x:f>
        <x:v>1</x:v>
      </x:c>
      <x:c r="U1252" s="20" t="str">
        <x:f>IF(J1252="Рассчитано",N1252*(1-O1252/100),"н/д")</x:f>
        <x:v>н/д</x:v>
      </x:c>
      <x:c r="V1252" s="20" t="str">
        <x:f>IF(J1252="Рассчитано",T1252*U1252,"н/д")</x:f>
        <x:v>н/д</x:v>
      </x:c>
      <x:c r="W1252" s="20" t="str">
        <x:f>IF(J1252="Рассчитано",T1252*M1252,"н/д")</x:f>
        <x:v>н/д</x:v>
      </x:c>
      <x:c r="X1252" s="20" t="str">
        <x:f>IF(J1252="Рассчитано",V1252-W1252,"н/д")</x:f>
        <x:v>н/д</x:v>
      </x:c>
      <x:c r="Y1252" s="26" t="str">
        <x:f>IF(J1252="Рассчитано",IF(V1252&gt;0,G1252/V1252,"н/д"),"н/д")</x:f>
        <x:v>н/д</x:v>
      </x:c>
      <x:c r="Z1252" s="20" t="str">
        <x:f>"н/д"</x:f>
        <x:v>н/д</x:v>
      </x:c>
      <x:c r="AA1252" s="20" t="str">
        <x:f>"н/д"</x:f>
        <x:v>н/д</x:v>
      </x:c>
      <x:c r="AB1252" s="20" t="str">
        <x:f>"н/д"</x:f>
        <x:v>н/д</x:v>
      </x:c>
      <x:c r="AC1252" s="20" t="str">
        <x:f>IF(AND(J1252="Рассчитано",T1252&gt;0,R1252&lt;100),(W1252+P1252+Q1252)/(T1252*(1-R1252/100)),"н/д")</x:f>
        <x:v>н/д</x:v>
      </x:c>
      <x:c r="AD1252" s="11" t="str">
        <x:f>IF(ISNUMBER(G1252),IF(G1252&lt;0,"Убыток",IF(G1252=0,"Без прибыли","Прибыль &gt; 0")),"Не оценён")</x:f>
        <x:v>Не оценён</x:v>
      </x:c>
      <x:c r="AE1252" s="12" t="str">
        <x:f>IF(J1252="Рассчитано","Выручка "&amp;TEXT(V1252,"0.00")&amp;" - себестоимость "&amp;TEXT(W1252,"0.00")&amp;" - комиссия "&amp;TEXT(V1252*R1252/100,"0.00")&amp;" - доставка "&amp;TEXT(P1252,"0.00")&amp;" - прочие "&amp;TEXT(Q1252,"0.00")&amp;" = "&amp;TEXT(G1252,"0.00")&amp;" "&amp;L1252,"Введите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2" s="23" t="n">
        <x:v>0.4327430280932589</x:v>
      </x:c>
      <x:c r="AG1252" s="35" t="n">
        <x:v>2</x:v>
      </x:c>
      <x:c r="AH1252" s="35" t="n">
        <x:v>0</x:v>
      </x:c>
      <x:c r="AI1252" s="29" t="n">
        <x:v>46266</x:v>
      </x:c>
      <x:c r="AJ1252" s="35" t="n">
        <x:v>1</x:v>
      </x:c>
      <x:c r="AK1252" s="11" t="str">
        <x:v>кратность</x:v>
      </x:c>
      <x:c r="AL1252" s="31" t="n">
        <x:v>394.06321414283525</x:v>
      </x:c>
      <x:c r="AM125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52" s="12" t="str">
        <x:v>Проверить свободный остаток и установить цену для B2B</x:v>
      </x:c>
      <x:c r="AO1252" s="12" t="str">
        <x:v>Остаток 2; прогноз 90 дней 0.43; избыток 1 шт. Будущие поступления не выставляются на продажу. Остаток на начало сентября: требуется актуализация.</x:v>
      </x:c>
      <x:c r="AP1252" s="12" t="str">
        <x:v>["category_missing", "daily_stockout_data_missing", "monthly_balance_date_assumed", "new_order_lead_time_unknown", "reservations_unknown", "stale_stock"]</x:v>
      </x:c>
      <x:c r="AQ1252" s="11" t="str">
        <x:v>SE:030200009_</x:v>
      </x:c>
      <x:c r="AR1252" s="23" t="n">
        <x:v>1</x:v>
      </x:c>
      <x:c r="AS1252" s="23" t="n">
        <x:v>0</x:v>
      </x:c>
      <x:c r="AT1252" s="23" t="n">
        <x:v>0</x:v>
      </x:c>
    </x:row>
    <x:row r="1253" ht="64" customHeight="1">
      <x:c r="A1253" s="10" t="str">
        <x:v>Systeme Electric</x:v>
      </x:c>
      <x:c r="B1253" s="34" t="str">
        <x:v>030200015_</x:v>
      </x:c>
      <x:c r="C1253" s="34" t="str">
        <x:v>RS16-004-B</x:v>
      </x:c>
      <x:c r="D1253" s="13" t="str">
        <x:v>S236 с/у з/к.з/ш.16А IP20 "Прима" РС 16-004-б (81) !!!</x:v>
      </x:c>
      <x:c r="E1253" s="10" t="str">
        <x:v>шт</x:v>
      </x:c>
      <x:c r="F1253" s="37" t="n">
        <x:f>MAX(0,ROUNDDOWN((AG1253-AF1253)/AR1253+0.000000001,0)*AR1253)</x:f>
        <x:v>2</x:v>
      </x:c>
      <x:c r="G1253" s="21" t="str">
        <x:f>IF(J1253="Рассчитано",V1253*(1-R1253/100)-W1253-P1253-Q1253,"н/д")</x:f>
        <x:v>н/д</x:v>
      </x:c>
      <x:c r="H1253" s="13" t="str">
        <x:v>Высокий</x:v>
      </x:c>
      <x:c r="I1253" s="13" t="str">
        <x:v>Высокий</x:v>
      </x:c>
      <x:c r="J1253" s="13" t="str">
        <x:f>IF(L1253="","Укажите валюту",IF(NOT(ISNUMBER(K1253)),"Укажите объём",IF(K1253&lt;=0,"Укажите объём",IF(K1253&gt;F1253,"Объём выше излишка",IF(COUNT(M1253:O1253)&lt;3,"Нужны цены",IF(COUNT(P1253:R1253)&lt;3,"Нужны расходы",IF(OR(M1253&lt;0,N1253&lt;0,O1253&lt;0,O1253&gt;100,P1253&lt;0,Q1253&lt;0,R1253&lt;0,R1253&gt;100),"Проверьте значения","Рассчитано")))))))</x:f>
        <x:v>Нужны цены</x:v>
      </x:c>
      <x:c r="K1253" s="36" t="n">
        <x:v>2</x:v>
      </x:c>
      <x:c r="L1253" s="19" t="str">
        <x:v>KZT</x:v>
      </x:c>
      <x:c r="M1253" s="22"/>
      <x:c r="N1253" s="22"/>
      <x:c r="O1253" s="28"/>
      <x:c r="P1253" s="22"/>
      <x:c r="Q1253" s="22"/>
      <x:c r="R1253" s="28"/>
      <x:c r="S1253" s="22"/>
      <x:c r="T1253" s="37" t="n">
        <x:f>K1253</x:f>
        <x:v>2</x:v>
      </x:c>
      <x:c r="U1253" s="21" t="str">
        <x:f>IF(J1253="Рассчитано",N1253*(1-O1253/100),"н/д")</x:f>
        <x:v>н/д</x:v>
      </x:c>
      <x:c r="V1253" s="21" t="str">
        <x:f>IF(J1253="Рассчитано",T1253*U1253,"н/д")</x:f>
        <x:v>н/д</x:v>
      </x:c>
      <x:c r="W1253" s="21" t="str">
        <x:f>IF(J1253="Рассчитано",T1253*M1253,"н/д")</x:f>
        <x:v>н/д</x:v>
      </x:c>
      <x:c r="X1253" s="21" t="str">
        <x:f>IF(J1253="Рассчитано",V1253-W1253,"н/д")</x:f>
        <x:v>н/д</x:v>
      </x:c>
      <x:c r="Y1253" s="27" t="str">
        <x:f>IF(J1253="Рассчитано",IF(V1253&gt;0,G1253/V1253,"н/д"),"н/д")</x:f>
        <x:v>н/д</x:v>
      </x:c>
      <x:c r="Z1253" s="21" t="str">
        <x:f>"н/д"</x:f>
        <x:v>н/д</x:v>
      </x:c>
      <x:c r="AA1253" s="21" t="str">
        <x:f>"н/д"</x:f>
        <x:v>н/д</x:v>
      </x:c>
      <x:c r="AB1253" s="21" t="str">
        <x:f>"н/д"</x:f>
        <x:v>н/д</x:v>
      </x:c>
      <x:c r="AC1253" s="21" t="str">
        <x:f>IF(AND(J1253="Рассчитано",T1253&gt;0,R1253&lt;100),(W1253+P1253+Q1253)/(T1253*(1-R1253/100)),"н/д")</x:f>
        <x:v>н/д</x:v>
      </x:c>
      <x:c r="AD1253" s="10" t="str">
        <x:f>IF(ISNUMBER(G1253),IF(G1253&lt;0,"Убыток",IF(G1253=0,"Без прибыли","Прибыль &gt; 0")),"Не оценён")</x:f>
        <x:v>Не оценён</x:v>
      </x:c>
      <x:c r="AE1253" s="13" t="str">
        <x:f>IF(J1253="Рассчитано","Выручка "&amp;TEXT(V1253,"0.00")&amp;" - себестоимость "&amp;TEXT(W1253,"0.00")&amp;" - комиссия "&amp;TEXT(V1253*R1253/100,"0.00")&amp;" - доставка "&amp;TEXT(P1253,"0.00")&amp;" - прочие "&amp;TEXT(Q1253,"0.00")&amp;" = "&amp;TEXT(G1253,"0.00")&amp;" "&amp;L1253,"Введите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3" s="24" t="n">
        <x:v>0.48725776101400264</x:v>
      </x:c>
      <x:c r="AG1253" s="37" t="n">
        <x:v>3</x:v>
      </x:c>
      <x:c r="AH1253" s="37" t="n">
        <x:v>0</x:v>
      </x:c>
      <x:c r="AI1253" s="30" t="n">
        <x:v>46266</x:v>
      </x:c>
      <x:c r="AJ1253" s="37" t="n">
        <x:v>1</x:v>
      </x:c>
      <x:c r="AK1253" s="10" t="str">
        <x:v>кратность</x:v>
      </x:c>
      <x:c r="AL1253" s="32" t="n">
        <x:v>524.9627266894338</x:v>
      </x:c>
      <x:c r="AM125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53" s="13" t="str">
        <x:v>Проверить свободный остаток и установить цену для B2B</x:v>
      </x:c>
      <x:c r="AO1253" s="13" t="str">
        <x:v>Остаток 3; прогноз 90 дней 0.49; избыток 2 шт. Будущие поступления не выставляются на продажу. Остаток на начало сентября: требуется актуализация.</x:v>
      </x:c>
      <x:c r="AP1253" s="13" t="str">
        <x:v>["category_missing", "daily_stockout_data_missing", "monthly_balance_date_assumed", "negative_net_sales_clipped_for_forecast", "new_order_lead_time_unknown", "reservations_unknown", "stale_stock"]</x:v>
      </x:c>
      <x:c r="AQ1253" s="10" t="str">
        <x:v>SE:030200015_</x:v>
      </x:c>
      <x:c r="AR1253" s="24" t="n">
        <x:v>1</x:v>
      </x:c>
      <x:c r="AS1253" s="24" t="n">
        <x:v>0</x:v>
      </x:c>
      <x:c r="AT1253" s="24" t="n">
        <x:v>0</x:v>
      </x:c>
    </x:row>
    <x:row r="1254" ht="64" customHeight="1">
      <x:c r="A1254" s="11" t="str">
        <x:v>Systeme Electric</x:v>
      </x:c>
      <x:c r="B1254" s="33" t="str">
        <x:v>030200025_</x:v>
      </x:c>
      <x:c r="C1254" s="33" t="str">
        <x:v>VA56-225B-BI</x:v>
      </x:c>
      <x:c r="D1254" s="12" t="str">
        <x:v>S284 2кл. о/у 6А IP44  "Рондо" ВА 56-225Б-би (10/60) !!!</x:v>
      </x:c>
      <x:c r="E1254" s="11" t="str">
        <x:v>шт</x:v>
      </x:c>
      <x:c r="F1254" s="35" t="n">
        <x:f>MAX(0,ROUNDDOWN((AG1254-AF1254)/AR1254+0.000000001,0)*AR1254)</x:f>
        <x:v>1</x:v>
      </x:c>
      <x:c r="G1254" s="20" t="str">
        <x:f>IF(J1254="Рассчитано",V1254*(1-R1254/100)-W1254-P1254-Q1254,"н/д")</x:f>
        <x:v>н/д</x:v>
      </x:c>
      <x:c r="H1254" s="12" t="str">
        <x:v>Высокий</x:v>
      </x:c>
      <x:c r="I1254" s="12" t="str">
        <x:v>Высокий</x:v>
      </x:c>
      <x:c r="J1254" s="12" t="str">
        <x:f>IF(L1254="","Укажите валюту",IF(NOT(ISNUMBER(K1254)),"Укажите объём",IF(K1254&lt;=0,"Укажите объём",IF(K1254&gt;F1254,"Объём выше излишка",IF(COUNT(M1254:O1254)&lt;3,"Нужны цены",IF(COUNT(P1254:R1254)&lt;3,"Нужны расходы",IF(OR(M1254&lt;0,N1254&lt;0,O1254&lt;0,O1254&gt;100,P1254&lt;0,Q1254&lt;0,R1254&lt;0,R1254&gt;100),"Проверьте значения","Рассчитано")))))))</x:f>
        <x:v>Нужны цены</x:v>
      </x:c>
      <x:c r="K1254" s="36" t="n">
        <x:v>1</x:v>
      </x:c>
      <x:c r="L1254" s="19" t="str">
        <x:v>KZT</x:v>
      </x:c>
      <x:c r="M1254" s="22"/>
      <x:c r="N1254" s="22"/>
      <x:c r="O1254" s="28"/>
      <x:c r="P1254" s="22"/>
      <x:c r="Q1254" s="22"/>
      <x:c r="R1254" s="28"/>
      <x:c r="S1254" s="22"/>
      <x:c r="T1254" s="35" t="n">
        <x:f>K1254</x:f>
        <x:v>1</x:v>
      </x:c>
      <x:c r="U1254" s="20" t="str">
        <x:f>IF(J1254="Рассчитано",N1254*(1-O1254/100),"н/д")</x:f>
        <x:v>н/д</x:v>
      </x:c>
      <x:c r="V1254" s="20" t="str">
        <x:f>IF(J1254="Рассчитано",T1254*U1254,"н/д")</x:f>
        <x:v>н/д</x:v>
      </x:c>
      <x:c r="W1254" s="20" t="str">
        <x:f>IF(J1254="Рассчитано",T1254*M1254,"н/д")</x:f>
        <x:v>н/д</x:v>
      </x:c>
      <x:c r="X1254" s="20" t="str">
        <x:f>IF(J1254="Рассчитано",V1254-W1254,"н/д")</x:f>
        <x:v>н/д</x:v>
      </x:c>
      <x:c r="Y1254" s="26" t="str">
        <x:f>IF(J1254="Рассчитано",IF(V1254&gt;0,G1254/V1254,"н/д"),"н/д")</x:f>
        <x:v>н/д</x:v>
      </x:c>
      <x:c r="Z1254" s="20" t="str">
        <x:f>"н/д"</x:f>
        <x:v>н/д</x:v>
      </x:c>
      <x:c r="AA1254" s="20" t="str">
        <x:f>"н/д"</x:f>
        <x:v>н/д</x:v>
      </x:c>
      <x:c r="AB1254" s="20" t="str">
        <x:f>"н/д"</x:f>
        <x:v>н/д</x:v>
      </x:c>
      <x:c r="AC1254" s="20" t="str">
        <x:f>IF(AND(J1254="Рассчитано",T1254&gt;0,R1254&lt;100),(W1254+P1254+Q1254)/(T1254*(1-R1254/100)),"н/д")</x:f>
        <x:v>н/д</x:v>
      </x:c>
      <x:c r="AD1254" s="11" t="str">
        <x:f>IF(ISNUMBER(G1254),IF(G1254&lt;0,"Убыток",IF(G1254=0,"Без прибыли","Прибыль &gt; 0")),"Не оценён")</x:f>
        <x:v>Не оценён</x:v>
      </x:c>
      <x:c r="AE1254" s="12" t="str">
        <x:f>IF(J1254="Рассчитано","Выручка "&amp;TEXT(V1254,"0.00")&amp;" - себестоимость "&amp;TEXT(W1254,"0.00")&amp;" - комиссия "&amp;TEXT(V1254*R1254/100,"0.00")&amp;" - доставка "&amp;TEXT(P1254,"0.00")&amp;" - прочие "&amp;TEXT(Q1254,"0.00")&amp;" = "&amp;TEXT(G1254,"0.00")&amp;" "&amp;L1254,"Введите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4" s="23" t="n">
        <x:v>0</x:v>
      </x:c>
      <x:c r="AG1254" s="35" t="n">
        <x:v>1</x:v>
      </x:c>
      <x:c r="AH1254" s="35" t="n">
        <x:v>0</x:v>
      </x:c>
      <x:c r="AI1254" s="29" t="n">
        <x:v>46266</x:v>
      </x:c>
      <x:c r="AJ1254" s="35" t="n">
        <x:v>1</x:v>
      </x:c>
      <x:c r="AK1254" s="11" t="str">
        <x:v>кратность</x:v>
      </x:c>
      <x:c r="AL1254" s="31" t="str">
        <x:v>н/д</x:v>
      </x:c>
      <x:c r="AM1254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254" s="12" t="str">
        <x:v>Проверить свободный остаток и установить цену для B2B</x:v>
      </x:c>
      <x:c r="AO1254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54" s="12" t="str">
        <x:v>["category_missing", "daily_stockout_data_missing", "monthly_balance_date_assumed", "new_order_lead_time_unknown", "reservations_unknown", "stale_stock"]</x:v>
      </x:c>
      <x:c r="AQ1254" s="11" t="str">
        <x:v>SE:030200025_</x:v>
      </x:c>
      <x:c r="AR1254" s="23" t="n">
        <x:v>1</x:v>
      </x:c>
      <x:c r="AS1254" s="23" t="n">
        <x:v>0</x:v>
      </x:c>
      <x:c r="AT1254" s="23" t="n">
        <x:v>0</x:v>
      </x:c>
    </x:row>
    <x:row r="1255" ht="64" customHeight="1">
      <x:c r="A1255" s="10" t="str">
        <x:v>Systeme Electric</x:v>
      </x:c>
      <x:c r="B1255" s="34" t="str">
        <x:v>030200026_</x:v>
      </x:c>
      <x:c r="C1255" s="34" t="str">
        <x:v>VA66-102B-BI</x:v>
      </x:c>
      <x:c r="D1255" s="13" t="str">
        <x:v>S283 о/у. 6А IP44 "Рондо" ВА 66-102Б-би переключатель (10/60) !!!</x:v>
      </x:c>
      <x:c r="E1255" s="10" t="str">
        <x:v>шт</x:v>
      </x:c>
      <x:c r="F1255" s="37" t="n">
        <x:f>MAX(0,ROUNDDOWN((AG1255-AF1255)/AR1255+0.000000001,0)*AR1255)</x:f>
        <x:v>3</x:v>
      </x:c>
      <x:c r="G1255" s="21" t="str">
        <x:f>IF(J1255="Рассчитано",V1255*(1-R1255/100)-W1255-P1255-Q1255,"н/д")</x:f>
        <x:v>н/д</x:v>
      </x:c>
      <x:c r="H1255" s="13" t="str">
        <x:v>Высокий</x:v>
      </x:c>
      <x:c r="I1255" s="13" t="str">
        <x:v>Высокий</x:v>
      </x:c>
      <x:c r="J1255" s="13" t="str">
        <x:f>IF(L1255="","Укажите валюту",IF(NOT(ISNUMBER(K1255)),"Укажите объём",IF(K1255&lt;=0,"Укажите объём",IF(K1255&gt;F1255,"Объём выше излишка",IF(COUNT(M1255:O1255)&lt;3,"Нужны цены",IF(COUNT(P1255:R1255)&lt;3,"Нужны расходы",IF(OR(M1255&lt;0,N1255&lt;0,O1255&lt;0,O1255&gt;100,P1255&lt;0,Q1255&lt;0,R1255&lt;0,R1255&gt;100),"Проверьте значения","Рассчитано")))))))</x:f>
        <x:v>Нужны цены</x:v>
      </x:c>
      <x:c r="K1255" s="36" t="n">
        <x:v>3</x:v>
      </x:c>
      <x:c r="L1255" s="19" t="str">
        <x:v>KZT</x:v>
      </x:c>
      <x:c r="M1255" s="22"/>
      <x:c r="N1255" s="22"/>
      <x:c r="O1255" s="28"/>
      <x:c r="P1255" s="22"/>
      <x:c r="Q1255" s="22"/>
      <x:c r="R1255" s="28"/>
      <x:c r="S1255" s="22"/>
      <x:c r="T1255" s="37" t="n">
        <x:f>K1255</x:f>
        <x:v>3</x:v>
      </x:c>
      <x:c r="U1255" s="21" t="str">
        <x:f>IF(J1255="Рассчитано",N1255*(1-O1255/100),"н/д")</x:f>
        <x:v>н/д</x:v>
      </x:c>
      <x:c r="V1255" s="21" t="str">
        <x:f>IF(J1255="Рассчитано",T1255*U1255,"н/д")</x:f>
        <x:v>н/д</x:v>
      </x:c>
      <x:c r="W1255" s="21" t="str">
        <x:f>IF(J1255="Рассчитано",T1255*M1255,"н/д")</x:f>
        <x:v>н/д</x:v>
      </x:c>
      <x:c r="X1255" s="21" t="str">
        <x:f>IF(J1255="Рассчитано",V1255-W1255,"н/д")</x:f>
        <x:v>н/д</x:v>
      </x:c>
      <x:c r="Y1255" s="27" t="str">
        <x:f>IF(J1255="Рассчитано",IF(V1255&gt;0,G1255/V1255,"н/д"),"н/д")</x:f>
        <x:v>н/д</x:v>
      </x:c>
      <x:c r="Z1255" s="21" t="str">
        <x:f>"н/д"</x:f>
        <x:v>н/д</x:v>
      </x:c>
      <x:c r="AA1255" s="21" t="str">
        <x:f>"н/д"</x:f>
        <x:v>н/д</x:v>
      </x:c>
      <x:c r="AB1255" s="21" t="str">
        <x:f>"н/д"</x:f>
        <x:v>н/д</x:v>
      </x:c>
      <x:c r="AC1255" s="21" t="str">
        <x:f>IF(AND(J1255="Рассчитано",T1255&gt;0,R1255&lt;100),(W1255+P1255+Q1255)/(T1255*(1-R1255/100)),"н/д")</x:f>
        <x:v>н/д</x:v>
      </x:c>
      <x:c r="AD1255" s="10" t="str">
        <x:f>IF(ISNUMBER(G1255),IF(G1255&lt;0,"Убыток",IF(G1255=0,"Без прибыли","Прибыль &gt; 0")),"Не оценён")</x:f>
        <x:v>Не оценён</x:v>
      </x:c>
      <x:c r="AE1255" s="13" t="str">
        <x:f>IF(J1255="Рассчитано","Выручка "&amp;TEXT(V1255,"0.00")&amp;" - себестоимость "&amp;TEXT(W1255,"0.00")&amp;" - комиссия "&amp;TEXT(V1255*R1255/100,"0.00")&amp;" - доставка "&amp;TEXT(P1255,"0.00")&amp;" - прочие "&amp;TEXT(Q1255,"0.00")&amp;" = "&amp;TEXT(G1255,"0.00")&amp;" "&amp;L1255,"Введите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5" s="24" t="n">
        <x:v>0.10110054566827914</x:v>
      </x:c>
      <x:c r="AG1255" s="37" t="n">
        <x:v>4</x:v>
      </x:c>
      <x:c r="AH1255" s="37" t="n">
        <x:v>0</x:v>
      </x:c>
      <x:c r="AI1255" s="30" t="n">
        <x:v>46266</x:v>
      </x:c>
      <x:c r="AJ1255" s="37" t="n">
        <x:v>1</x:v>
      </x:c>
      <x:c r="AK1255" s="10" t="str">
        <x:v>кратность</x:v>
      </x:c>
      <x:c r="AL1255" s="32" t="n">
        <x:v>3373.4359675535784</x:v>
      </x:c>
      <x:c r="AM125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55" s="13" t="str">
        <x:v>Проверить свободный остаток и установить цену для B2B</x:v>
      </x:c>
      <x:c r="AO1255" s="13" t="str">
        <x:v>Остаток 4; прогноз 90 дней 0.10; избыток 3 шт. Будущие поступления не выставляются на продажу. Остаток на начало сентября: требуется актуализация.</x:v>
      </x:c>
      <x:c r="AP1255" s="13" t="str">
        <x:v>["category_missing", "daily_stockout_data_missing", "monthly_balance_date_assumed", "new_order_lead_time_unknown", "reservations_unknown", "stale_stock"]</x:v>
      </x:c>
      <x:c r="AQ1255" s="10" t="str">
        <x:v>SE:030200026_</x:v>
      </x:c>
      <x:c r="AR1255" s="24" t="n">
        <x:v>1</x:v>
      </x:c>
      <x:c r="AS1255" s="24" t="n">
        <x:v>0</x:v>
      </x:c>
      <x:c r="AT1255" s="24" t="n">
        <x:v>0</x:v>
      </x:c>
    </x:row>
    <x:row r="1256" ht="64" customHeight="1">
      <x:c r="A1256" s="11" t="str">
        <x:v>Systeme Electric</x:v>
      </x:c>
      <x:c r="B1256" s="33" t="str">
        <x:v>030200027_</x:v>
      </x:c>
      <x:c r="C1256" s="33" t="str">
        <x:v>RS16-126B-BI</x:v>
      </x:c>
      <x:c r="D1256" s="12" t="str">
        <x:v>S285 с/у.з/к.з/ш 16А IP44 "Рондо" РС 16-126Б-би (10/60) !!!</x:v>
      </x:c>
      <x:c r="E1256" s="11" t="str">
        <x:v>шт</x:v>
      </x:c>
      <x:c r="F1256" s="35" t="n">
        <x:f>MAX(0,ROUNDDOWN((AG1256-AF1256)/AR1256+0.000000001,0)*AR1256)</x:f>
        <x:v>18</x:v>
      </x:c>
      <x:c r="G1256" s="20" t="str">
        <x:f>IF(J1256="Рассчитано",V1256*(1-R1256/100)-W1256-P1256-Q1256,"н/д")</x:f>
        <x:v>н/д</x:v>
      </x:c>
      <x:c r="H1256" s="12" t="str">
        <x:v>Высокий</x:v>
      </x:c>
      <x:c r="I1256" s="12" t="str">
        <x:v>Высокий</x:v>
      </x:c>
      <x:c r="J1256" s="12" t="str">
        <x:f>IF(L1256="","Укажите валюту",IF(NOT(ISNUMBER(K1256)),"Укажите объём",IF(K1256&lt;=0,"Укажите объём",IF(K1256&gt;F1256,"Объём выше излишка",IF(COUNT(M1256:O1256)&lt;3,"Нужны цены",IF(COUNT(P1256:R1256)&lt;3,"Нужны расходы",IF(OR(M1256&lt;0,N1256&lt;0,O1256&lt;0,O1256&gt;100,P1256&lt;0,Q1256&lt;0,R1256&lt;0,R1256&gt;100),"Проверьте значения","Рассчитано")))))))</x:f>
        <x:v>Нужны цены</x:v>
      </x:c>
      <x:c r="K1256" s="36" t="n">
        <x:v>18</x:v>
      </x:c>
      <x:c r="L1256" s="19" t="str">
        <x:v>KZT</x:v>
      </x:c>
      <x:c r="M1256" s="22"/>
      <x:c r="N1256" s="22"/>
      <x:c r="O1256" s="28"/>
      <x:c r="P1256" s="22"/>
      <x:c r="Q1256" s="22"/>
      <x:c r="R1256" s="28"/>
      <x:c r="S1256" s="22"/>
      <x:c r="T1256" s="35" t="n">
        <x:f>K1256</x:f>
        <x:v>18</x:v>
      </x:c>
      <x:c r="U1256" s="20" t="str">
        <x:f>IF(J1256="Рассчитано",N1256*(1-O1256/100),"н/д")</x:f>
        <x:v>н/д</x:v>
      </x:c>
      <x:c r="V1256" s="20" t="str">
        <x:f>IF(J1256="Рассчитано",T1256*U1256,"н/д")</x:f>
        <x:v>н/д</x:v>
      </x:c>
      <x:c r="W1256" s="20" t="str">
        <x:f>IF(J1256="Рассчитано",T1256*M1256,"н/д")</x:f>
        <x:v>н/д</x:v>
      </x:c>
      <x:c r="X1256" s="20" t="str">
        <x:f>IF(J1256="Рассчитано",V1256-W1256,"н/д")</x:f>
        <x:v>н/д</x:v>
      </x:c>
      <x:c r="Y1256" s="26" t="str">
        <x:f>IF(J1256="Рассчитано",IF(V1256&gt;0,G1256/V1256,"н/д"),"н/д")</x:f>
        <x:v>н/д</x:v>
      </x:c>
      <x:c r="Z1256" s="20" t="str">
        <x:f>"н/д"</x:f>
        <x:v>н/д</x:v>
      </x:c>
      <x:c r="AA1256" s="20" t="str">
        <x:f>"н/д"</x:f>
        <x:v>н/д</x:v>
      </x:c>
      <x:c r="AB1256" s="20" t="str">
        <x:f>"н/д"</x:f>
        <x:v>н/д</x:v>
      </x:c>
      <x:c r="AC1256" s="20" t="str">
        <x:f>IF(AND(J1256="Рассчитано",T1256&gt;0,R1256&lt;100),(W1256+P1256+Q1256)/(T1256*(1-R1256/100)),"н/д")</x:f>
        <x:v>н/д</x:v>
      </x:c>
      <x:c r="AD1256" s="11" t="str">
        <x:f>IF(ISNUMBER(G1256),IF(G1256&lt;0,"Убыток",IF(G1256=0,"Без прибыли","Прибыль &gt; 0")),"Не оценён")</x:f>
        <x:v>Не оценён</x:v>
      </x:c>
      <x:c r="AE1256" s="12" t="str">
        <x:f>IF(J1256="Рассчитано","Выручка "&amp;TEXT(V1256,"0.00")&amp;" - себестоимость "&amp;TEXT(W1256,"0.00")&amp;" - комиссия "&amp;TEXT(V1256*R1256/100,"0.00")&amp;" - доставка "&amp;TEXT(P1256,"0.00")&amp;" - прочие "&amp;TEXT(Q1256,"0.00")&amp;" = "&amp;TEXT(G1256,"0.00")&amp;" "&amp;L1256,"Введите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6" s="23" t="n">
        <x:v>2.358361018099927</x:v>
      </x:c>
      <x:c r="AG1256" s="35" t="n">
        <x:v>21</x:v>
      </x:c>
      <x:c r="AH1256" s="35" t="n">
        <x:v>0</x:v>
      </x:c>
      <x:c r="AI1256" s="29" t="n">
        <x:v>46266</x:v>
      </x:c>
      <x:c r="AJ1256" s="35" t="n">
        <x:v>1</x:v>
      </x:c>
      <x:c r="AK1256" s="11" t="str">
        <x:v>кратность</x:v>
      </x:c>
      <x:c r="AL1256" s="31" t="n">
        <x:v>759.2328426459876</x:v>
      </x:c>
      <x:c r="AM1256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56" s="12" t="str">
        <x:v>Проверить свободный остаток и установить цену для B2B</x:v>
      </x:c>
      <x:c r="AO1256" s="12" t="str">
        <x:v>Остаток 21; прогноз 90 дней 2.36; избыток 18 шт. Будущие поступления не выставляются на продажу. Остаток на начало сентября: требуется актуализация.</x:v>
      </x:c>
      <x:c r="AP1256" s="12" t="str">
        <x:v>["category_missing", "daily_stockout_data_missing", "monthly_balance_date_assumed", "new_order_lead_time_unknown", "reservations_unknown", "stale_stock"]</x:v>
      </x:c>
      <x:c r="AQ1256" s="11" t="str">
        <x:v>SE:030200027_</x:v>
      </x:c>
      <x:c r="AR1256" s="23" t="n">
        <x:v>1</x:v>
      </x:c>
      <x:c r="AS1256" s="23" t="n">
        <x:v>0</x:v>
      </x:c>
      <x:c r="AT1256" s="23" t="n">
        <x:v>0</x:v>
      </x:c>
    </x:row>
    <x:row r="1257" ht="64" customHeight="1">
      <x:c r="A1257" s="10" t="str">
        <x:v>Systeme Electric</x:v>
      </x:c>
      <x:c r="B1257" s="34" t="str">
        <x:v>030200028_</x:v>
      </x:c>
      <x:c r="C1257" s="34" t="str">
        <x:v>VA16-131-B</x:v>
      </x:c>
      <x:c r="D1257" s="13" t="str">
        <x:v>S254 о/у. 6А IP20  "ХИТ" ВА 16-131-б (168) !!!</x:v>
      </x:c>
      <x:c r="E1257" s="10" t="str">
        <x:v>шт</x:v>
      </x:c>
      <x:c r="F1257" s="37" t="n">
        <x:f>MAX(0,ROUNDDOWN((AG1257-AF1257)/AR1257+0.000000001,0)*AR1257)</x:f>
        <x:v>1</x:v>
      </x:c>
      <x:c r="G1257" s="21" t="str">
        <x:f>IF(J1257="Рассчитано",V1257*(1-R1257/100)-W1257-P1257-Q1257,"н/д")</x:f>
        <x:v>н/д</x:v>
      </x:c>
      <x:c r="H1257" s="13" t="str">
        <x:v>Высокий</x:v>
      </x:c>
      <x:c r="I1257" s="13" t="str">
        <x:v>Высокий</x:v>
      </x:c>
      <x:c r="J1257" s="13" t="str">
        <x:f>IF(L1257="","Укажите валюту",IF(NOT(ISNUMBER(K1257)),"Укажите объём",IF(K1257&lt;=0,"Укажите объём",IF(K1257&gt;F1257,"Объём выше излишка",IF(COUNT(M1257:O1257)&lt;3,"Нужны цены",IF(COUNT(P1257:R1257)&lt;3,"Нужны расходы",IF(OR(M1257&lt;0,N1257&lt;0,O1257&lt;0,O1257&gt;100,P1257&lt;0,Q1257&lt;0,R1257&lt;0,R1257&gt;100),"Проверьте значения","Рассчитано")))))))</x:f>
        <x:v>Нужны цены</x:v>
      </x:c>
      <x:c r="K1257" s="36" t="n">
        <x:v>1</x:v>
      </x:c>
      <x:c r="L1257" s="19" t="str">
        <x:v>KZT</x:v>
      </x:c>
      <x:c r="M1257" s="22"/>
      <x:c r="N1257" s="22"/>
      <x:c r="O1257" s="28"/>
      <x:c r="P1257" s="22"/>
      <x:c r="Q1257" s="22"/>
      <x:c r="R1257" s="28"/>
      <x:c r="S1257" s="22"/>
      <x:c r="T1257" s="37" t="n">
        <x:f>K1257</x:f>
        <x:v>1</x:v>
      </x:c>
      <x:c r="U1257" s="21" t="str">
        <x:f>IF(J1257="Рассчитано",N1257*(1-O1257/100),"н/д")</x:f>
        <x:v>н/д</x:v>
      </x:c>
      <x:c r="V1257" s="21" t="str">
        <x:f>IF(J1257="Рассчитано",T1257*U1257,"н/д")</x:f>
        <x:v>н/д</x:v>
      </x:c>
      <x:c r="W1257" s="21" t="str">
        <x:f>IF(J1257="Рассчитано",T1257*M1257,"н/д")</x:f>
        <x:v>н/д</x:v>
      </x:c>
      <x:c r="X1257" s="21" t="str">
        <x:f>IF(J1257="Рассчитано",V1257-W1257,"н/д")</x:f>
        <x:v>н/д</x:v>
      </x:c>
      <x:c r="Y1257" s="27" t="str">
        <x:f>IF(J1257="Рассчитано",IF(V1257&gt;0,G1257/V1257,"н/д"),"н/д")</x:f>
        <x:v>н/д</x:v>
      </x:c>
      <x:c r="Z1257" s="21" t="str">
        <x:f>"н/д"</x:f>
        <x:v>н/д</x:v>
      </x:c>
      <x:c r="AA1257" s="21" t="str">
        <x:f>"н/д"</x:f>
        <x:v>н/д</x:v>
      </x:c>
      <x:c r="AB1257" s="21" t="str">
        <x:f>"н/д"</x:f>
        <x:v>н/д</x:v>
      </x:c>
      <x:c r="AC1257" s="21" t="str">
        <x:f>IF(AND(J1257="Рассчитано",T1257&gt;0,R1257&lt;100),(W1257+P1257+Q1257)/(T1257*(1-R1257/100)),"н/д")</x:f>
        <x:v>н/д</x:v>
      </x:c>
      <x:c r="AD1257" s="10" t="str">
        <x:f>IF(ISNUMBER(G1257),IF(G1257&lt;0,"Убыток",IF(G1257=0,"Без прибыли","Прибыль &gt; 0")),"Не оценён")</x:f>
        <x:v>Не оценён</x:v>
      </x:c>
      <x:c r="AE1257" s="13" t="str">
        <x:f>IF(J1257="Рассчитано","Выручка "&amp;TEXT(V1257,"0.00")&amp;" - себестоимость "&amp;TEXT(W1257,"0.00")&amp;" - комиссия "&amp;TEXT(V1257*R1257/100,"0.00")&amp;" - доставка "&amp;TEXT(P1257,"0.00")&amp;" - прочие "&amp;TEXT(Q1257,"0.00")&amp;" = "&amp;TEXT(G1257,"0.00")&amp;" "&amp;L1257,"Введите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7" s="24" t="n">
        <x:v>0</x:v>
      </x:c>
      <x:c r="AG1257" s="37" t="n">
        <x:v>1</x:v>
      </x:c>
      <x:c r="AH1257" s="37" t="n">
        <x:v>0</x:v>
      </x:c>
      <x:c r="AI1257" s="30" t="n">
        <x:v>46266</x:v>
      </x:c>
      <x:c r="AJ1257" s="37" t="n">
        <x:v>25</x:v>
      </x:c>
      <x:c r="AK1257" s="10" t="str">
        <x:v>кратность</x:v>
      </x:c>
      <x:c r="AL1257" s="32" t="str">
        <x:v>н/д</x:v>
      </x:c>
      <x:c r="AM125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257" s="13" t="str">
        <x:v>Проверить свободный остаток и установить цену для B2B</x:v>
      </x:c>
      <x:c r="AO1257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57" s="13" t="str">
        <x:v>["category_missing", "daily_stockout_data_missing", "monthly_balance_date_assumed", "new_order_lead_time_unknown", "reservations_unknown", "stale_stock"]</x:v>
      </x:c>
      <x:c r="AQ1257" s="10" t="str">
        <x:v>SE:030200028_</x:v>
      </x:c>
      <x:c r="AR1257" s="24" t="n">
        <x:v>1</x:v>
      </x:c>
      <x:c r="AS1257" s="24" t="n">
        <x:v>0</x:v>
      </x:c>
      <x:c r="AT1257" s="24" t="n">
        <x:v>0</x:v>
      </x:c>
    </x:row>
    <x:row r="1258" ht="64" customHeight="1">
      <x:c r="A1258" s="11" t="str">
        <x:v>Systeme Electric</x:v>
      </x:c>
      <x:c r="B1258" s="33" t="str">
        <x:v>030200054_</x:v>
      </x:c>
      <x:c r="C1258" s="33" t="str">
        <x:v>RA16-227B-BI</x:v>
      </x:c>
      <x:c r="D1258" s="12" t="str">
        <x:v>S288 2-я.о/у. з/к.з/ш 16А IP44 "Рондо" РА 16-227Б-би (5/30) !!!</x:v>
      </x:c>
      <x:c r="E1258" s="11" t="str">
        <x:v>шт</x:v>
      </x:c>
      <x:c r="F1258" s="35" t="n">
        <x:f>MAX(0,ROUNDDOWN((AG1258-AF1258)/AR1258+0.000000001,0)*AR1258)</x:f>
        <x:v>17</x:v>
      </x:c>
      <x:c r="G1258" s="20" t="str">
        <x:f>IF(J1258="Рассчитано",V1258*(1-R1258/100)-W1258-P1258-Q1258,"н/д")</x:f>
        <x:v>н/д</x:v>
      </x:c>
      <x:c r="H1258" s="12" t="str">
        <x:v>Высокий</x:v>
      </x:c>
      <x:c r="I1258" s="12" t="str">
        <x:v>Высокий</x:v>
      </x:c>
      <x:c r="J1258" s="12" t="str">
        <x:f>IF(L1258="","Укажите валюту",IF(NOT(ISNUMBER(K1258)),"Укажите объём",IF(K1258&lt;=0,"Укажите объём",IF(K1258&gt;F1258,"Объём выше излишка",IF(COUNT(M1258:O1258)&lt;3,"Нужны цены",IF(COUNT(P1258:R1258)&lt;3,"Нужны расходы",IF(OR(M1258&lt;0,N1258&lt;0,O1258&lt;0,O1258&gt;100,P1258&lt;0,Q1258&lt;0,R1258&lt;0,R1258&gt;100),"Проверьте значения","Рассчитано")))))))</x:f>
        <x:v>Нужны цены</x:v>
      </x:c>
      <x:c r="K1258" s="36" t="n">
        <x:v>17</x:v>
      </x:c>
      <x:c r="L1258" s="19" t="str">
        <x:v>KZT</x:v>
      </x:c>
      <x:c r="M1258" s="22"/>
      <x:c r="N1258" s="22"/>
      <x:c r="O1258" s="28"/>
      <x:c r="P1258" s="22"/>
      <x:c r="Q1258" s="22"/>
      <x:c r="R1258" s="28"/>
      <x:c r="S1258" s="22"/>
      <x:c r="T1258" s="35" t="n">
        <x:f>K1258</x:f>
        <x:v>17</x:v>
      </x:c>
      <x:c r="U1258" s="20" t="str">
        <x:f>IF(J1258="Рассчитано",N1258*(1-O1258/100),"н/д")</x:f>
        <x:v>н/д</x:v>
      </x:c>
      <x:c r="V1258" s="20" t="str">
        <x:f>IF(J1258="Рассчитано",T1258*U1258,"н/д")</x:f>
        <x:v>н/д</x:v>
      </x:c>
      <x:c r="W1258" s="20" t="str">
        <x:f>IF(J1258="Рассчитано",T1258*M1258,"н/д")</x:f>
        <x:v>н/д</x:v>
      </x:c>
      <x:c r="X1258" s="20" t="str">
        <x:f>IF(J1258="Рассчитано",V1258-W1258,"н/д")</x:f>
        <x:v>н/д</x:v>
      </x:c>
      <x:c r="Y1258" s="26" t="str">
        <x:f>IF(J1258="Рассчитано",IF(V1258&gt;0,G1258/V1258,"н/д"),"н/д")</x:f>
        <x:v>н/д</x:v>
      </x:c>
      <x:c r="Z1258" s="20" t="str">
        <x:f>"н/д"</x:f>
        <x:v>н/д</x:v>
      </x:c>
      <x:c r="AA1258" s="20" t="str">
        <x:f>"н/д"</x:f>
        <x:v>н/д</x:v>
      </x:c>
      <x:c r="AB1258" s="20" t="str">
        <x:f>"н/д"</x:f>
        <x:v>н/д</x:v>
      </x:c>
      <x:c r="AC1258" s="20" t="str">
        <x:f>IF(AND(J1258="Рассчитано",T1258&gt;0,R1258&lt;100),(W1258+P1258+Q1258)/(T1258*(1-R1258/100)),"н/д")</x:f>
        <x:v>н/д</x:v>
      </x:c>
      <x:c r="AD1258" s="11" t="str">
        <x:f>IF(ISNUMBER(G1258),IF(G1258&lt;0,"Убыток",IF(G1258=0,"Без прибыли","Прибыль &gt; 0")),"Не оценён")</x:f>
        <x:v>Не оценён</x:v>
      </x:c>
      <x:c r="AE1258" s="12" t="str">
        <x:f>IF(J1258="Рассчитано","Выручка "&amp;TEXT(V1258,"0.00")&amp;" - себестоимость "&amp;TEXT(W1258,"0.00")&amp;" - комиссия "&amp;TEXT(V1258*R1258/100,"0.00")&amp;" - доставка "&amp;TEXT(P1258,"0.00")&amp;" - прочие "&amp;TEXT(Q1258,"0.00")&amp;" = "&amp;TEXT(G1258,"0.00")&amp;" "&amp;L1258,"Введите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8" s="23" t="n">
        <x:v>0.14415760441127248</x:v>
      </x:c>
      <x:c r="AG1258" s="35" t="n">
        <x:v>18</x:v>
      </x:c>
      <x:c r="AH1258" s="35" t="n">
        <x:v>0</x:v>
      </x:c>
      <x:c r="AI1258" s="29" t="n">
        <x:v>46266</x:v>
      </x:c>
      <x:c r="AJ1258" s="35" t="n">
        <x:v>1</x:v>
      </x:c>
      <x:c r="AK1258" s="11" t="str">
        <x:v>кратность</x:v>
      </x:c>
      <x:c r="AL1258" s="31" t="n">
        <x:v>10646.354614470703</x:v>
      </x:c>
      <x:c r="AM1258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58" s="12" t="str">
        <x:v>Проверить свободный остаток и установить цену для B2B</x:v>
      </x:c>
      <x:c r="AO1258" s="12" t="str">
        <x:v>Остаток 18; прогноз 90 дней 0.14; избыток 17 шт. Будущие поступления не выставляются на продажу. Остаток на начало сентября: требуется актуализация.</x:v>
      </x:c>
      <x:c r="AP1258" s="12" t="str">
        <x:v>["category_missing", "daily_stockout_data_missing", "monthly_balance_date_assumed", "new_order_lead_time_unknown", "reservations_unknown", "stale_stock"]</x:v>
      </x:c>
      <x:c r="AQ1258" s="11" t="str">
        <x:v>SE:030200054_</x:v>
      </x:c>
      <x:c r="AR1258" s="23" t="n">
        <x:v>1</x:v>
      </x:c>
      <x:c r="AS1258" s="23" t="n">
        <x:v>0</x:v>
      </x:c>
      <x:c r="AT1258" s="23" t="n">
        <x:v>0</x:v>
      </x:c>
    </x:row>
    <x:row r="1259" ht="64" customHeight="1">
      <x:c r="A1259" s="10" t="str">
        <x:v>Systeme Electric</x:v>
      </x:c>
      <x:c r="B1259" s="34" t="str">
        <x:v>030200134_</x:v>
      </x:c>
      <x:c r="C1259" s="34" t="str">
        <x:v>RS16-152B-18</x:v>
      </x:c>
      <x:c r="D1259" s="13" t="str">
        <x:v>S190  с/у. з/ш. з/к.16А, IP44 "Wessen 59" РС 16-152Б-18 (10/60) !!!</x:v>
      </x:c>
      <x:c r="E1259" s="10" t="str">
        <x:v>шт</x:v>
      </x:c>
      <x:c r="F1259" s="37" t="n">
        <x:f>MAX(0,ROUNDDOWN((AG1259-AF1259)/AR1259+0.000000001,0)*AR1259)</x:f>
        <x:v>821</x:v>
      </x:c>
      <x:c r="G1259" s="21" t="str">
        <x:f>IF(J1259="Рассчитано",V1259*(1-R1259/100)-W1259-P1259-Q1259,"н/д")</x:f>
        <x:v>н/д</x:v>
      </x:c>
      <x:c r="H1259" s="13" t="str">
        <x:v>Высокий</x:v>
      </x:c>
      <x:c r="I1259" s="13" t="str">
        <x:v>Высокий</x:v>
      </x:c>
      <x:c r="J1259" s="13" t="str">
        <x:f>IF(L1259="","Укажите валюту",IF(NOT(ISNUMBER(K1259)),"Укажите объём",IF(K1259&lt;=0,"Укажите объём",IF(K1259&gt;F1259,"Объём выше излишка",IF(COUNT(M1259:O1259)&lt;3,"Нужны цены",IF(COUNT(P1259:R1259)&lt;3,"Нужны расходы",IF(OR(M1259&lt;0,N1259&lt;0,O1259&lt;0,O1259&gt;100,P1259&lt;0,Q1259&lt;0,R1259&lt;0,R1259&gt;100),"Проверьте значения","Рассчитано")))))))</x:f>
        <x:v>Нужны цены</x:v>
      </x:c>
      <x:c r="K1259" s="36" t="n">
        <x:v>821</x:v>
      </x:c>
      <x:c r="L1259" s="19" t="str">
        <x:v>KZT</x:v>
      </x:c>
      <x:c r="M1259" s="22"/>
      <x:c r="N1259" s="22"/>
      <x:c r="O1259" s="28"/>
      <x:c r="P1259" s="22"/>
      <x:c r="Q1259" s="22"/>
      <x:c r="R1259" s="28"/>
      <x:c r="S1259" s="22"/>
      <x:c r="T1259" s="37" t="n">
        <x:f>K1259</x:f>
        <x:v>821</x:v>
      </x:c>
      <x:c r="U1259" s="21" t="str">
        <x:f>IF(J1259="Рассчитано",N1259*(1-O1259/100),"н/д")</x:f>
        <x:v>н/д</x:v>
      </x:c>
      <x:c r="V1259" s="21" t="str">
        <x:f>IF(J1259="Рассчитано",T1259*U1259,"н/д")</x:f>
        <x:v>н/д</x:v>
      </x:c>
      <x:c r="W1259" s="21" t="str">
        <x:f>IF(J1259="Рассчитано",T1259*M1259,"н/д")</x:f>
        <x:v>н/д</x:v>
      </x:c>
      <x:c r="X1259" s="21" t="str">
        <x:f>IF(J1259="Рассчитано",V1259-W1259,"н/д")</x:f>
        <x:v>н/д</x:v>
      </x:c>
      <x:c r="Y1259" s="27" t="str">
        <x:f>IF(J1259="Рассчитано",IF(V1259&gt;0,G1259/V1259,"н/д"),"н/д")</x:f>
        <x:v>н/д</x:v>
      </x:c>
      <x:c r="Z1259" s="21" t="str">
        <x:f>"н/д"</x:f>
        <x:v>н/д</x:v>
      </x:c>
      <x:c r="AA1259" s="21" t="str">
        <x:f>"н/д"</x:f>
        <x:v>н/д</x:v>
      </x:c>
      <x:c r="AB1259" s="21" t="str">
        <x:f>"н/д"</x:f>
        <x:v>н/д</x:v>
      </x:c>
      <x:c r="AC1259" s="21" t="str">
        <x:f>IF(AND(J1259="Рассчитано",T1259&gt;0,R1259&lt;100),(W1259+P1259+Q1259)/(T1259*(1-R1259/100)),"н/д")</x:f>
        <x:v>н/д</x:v>
      </x:c>
      <x:c r="AD1259" s="10" t="str">
        <x:f>IF(ISNUMBER(G1259),IF(G1259&lt;0,"Убыток",IF(G1259=0,"Без прибыли","Прибыль &gt; 0")),"Не оценён")</x:f>
        <x:v>Не оценён</x:v>
      </x:c>
      <x:c r="AE1259" s="13" t="str">
        <x:f>IF(J1259="Рассчитано","Выручка "&amp;TEXT(V1259,"0.00")&amp;" - себестоимость "&amp;TEXT(W1259,"0.00")&amp;" - комиссия "&amp;TEXT(V1259*R1259/100,"0.00")&amp;" - доставка "&amp;TEXT(P1259,"0.00")&amp;" - прочие "&amp;TEXT(Q1259,"0.00")&amp;" = "&amp;TEXT(G1259,"0.00")&amp;" "&amp;L1259,"Введите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9" s="24" t="n">
        <x:v>46.17260509940073</x:v>
      </x:c>
      <x:c r="AG1259" s="37" t="n">
        <x:v>868</x:v>
      </x:c>
      <x:c r="AH1259" s="37" t="n">
        <x:v>0</x:v>
      </x:c>
      <x:c r="AI1259" s="30" t="n">
        <x:v>46266</x:v>
      </x:c>
      <x:c r="AJ1259" s="37" t="n">
        <x:v>10</x:v>
      </x:c>
      <x:c r="AK1259" s="10" t="str">
        <x:v>кратность</x:v>
      </x:c>
      <x:c r="AL1259" s="32" t="n">
        <x:v>1602.8811662380483</x:v>
      </x:c>
      <x:c r="AM125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59" s="13" t="str">
        <x:v>Проверить свободный остаток и установить цену для B2B</x:v>
      </x:c>
      <x:c r="AO1259" s="13" t="str">
        <x:v>Остаток 868; прогноз 90 дней 46.17; избыток 821 шт. Будущие поступления не выставляются на продажу. Остаток на начало сентября: требуется актуализация.</x:v>
      </x:c>
      <x:c r="AP1259" s="13" t="str">
        <x:v>["category_missing", "daily_stockout_data_missing", "monthly_balance_date_assumed", "new_order_lead_time_unknown", "reservations_unknown", "stale_stock"]</x:v>
      </x:c>
      <x:c r="AQ1259" s="10" t="str">
        <x:v>SE:030200134_</x:v>
      </x:c>
      <x:c r="AR1259" s="24" t="n">
        <x:v>1</x:v>
      </x:c>
      <x:c r="AS1259" s="24" t="n">
        <x:v>0</x:v>
      </x:c>
      <x:c r="AT1259" s="24" t="n">
        <x:v>0</x:v>
      </x:c>
    </x:row>
    <x:row r="1260" ht="64" customHeight="1">
      <x:c r="A1260" s="11" t="str">
        <x:v>Systeme Electric</x:v>
      </x:c>
      <x:c r="B1260" s="33" t="str">
        <x:v>030200142_</x:v>
      </x:c>
      <x:c r="C1260" s="33" t="str">
        <x:v>RSI-251KK5E-1-86</x:v>
      </x:c>
      <x:c r="D1260" s="12" t="str">
        <x:v>S195 2-я роз информ. с\у 1А  "Wessen 59" РСИ 251 КК5Е-1-86 (60) !!!</x:v>
      </x:c>
      <x:c r="E1260" s="11" t="str">
        <x:v>шт</x:v>
      </x:c>
      <x:c r="F1260" s="35" t="n">
        <x:f>MAX(0,ROUNDDOWN((AG1260-AF1260)/AR1260+0.000000001,0)*AR1260)</x:f>
        <x:v>19</x:v>
      </x:c>
      <x:c r="G1260" s="20" t="str">
        <x:f>IF(J1260="Рассчитано",V1260*(1-R1260/100)-W1260-P1260-Q1260,"н/д")</x:f>
        <x:v>н/д</x:v>
      </x:c>
      <x:c r="H1260" s="12" t="str">
        <x:v>Высокий</x:v>
      </x:c>
      <x:c r="I1260" s="12" t="str">
        <x:v>Высокий</x:v>
      </x:c>
      <x:c r="J1260" s="12" t="str">
        <x:f>IF(L1260="","Укажите валюту",IF(NOT(ISNUMBER(K1260)),"Укажите объём",IF(K1260&lt;=0,"Укажите объём",IF(K1260&gt;F1260,"Объём выше излишка",IF(COUNT(M1260:O1260)&lt;3,"Нужны цены",IF(COUNT(P1260:R1260)&lt;3,"Нужны расходы",IF(OR(M1260&lt;0,N1260&lt;0,O1260&lt;0,O1260&gt;100,P1260&lt;0,Q1260&lt;0,R1260&lt;0,R1260&gt;100),"Проверьте значения","Рассчитано")))))))</x:f>
        <x:v>Нужны цены</x:v>
      </x:c>
      <x:c r="K1260" s="36" t="n">
        <x:v>19</x:v>
      </x:c>
      <x:c r="L1260" s="19" t="str">
        <x:v>KZT</x:v>
      </x:c>
      <x:c r="M1260" s="22"/>
      <x:c r="N1260" s="22"/>
      <x:c r="O1260" s="28"/>
      <x:c r="P1260" s="22"/>
      <x:c r="Q1260" s="22"/>
      <x:c r="R1260" s="28"/>
      <x:c r="S1260" s="22"/>
      <x:c r="T1260" s="35" t="n">
        <x:f>K1260</x:f>
        <x:v>19</x:v>
      </x:c>
      <x:c r="U1260" s="20" t="str">
        <x:f>IF(J1260="Рассчитано",N1260*(1-O1260/100),"н/д")</x:f>
        <x:v>н/д</x:v>
      </x:c>
      <x:c r="V1260" s="20" t="str">
        <x:f>IF(J1260="Рассчитано",T1260*U1260,"н/д")</x:f>
        <x:v>н/д</x:v>
      </x:c>
      <x:c r="W1260" s="20" t="str">
        <x:f>IF(J1260="Рассчитано",T1260*M1260,"н/д")</x:f>
        <x:v>н/д</x:v>
      </x:c>
      <x:c r="X1260" s="20" t="str">
        <x:f>IF(J1260="Рассчитано",V1260-W1260,"н/д")</x:f>
        <x:v>н/д</x:v>
      </x:c>
      <x:c r="Y1260" s="26" t="str">
        <x:f>IF(J1260="Рассчитано",IF(V1260&gt;0,G1260/V1260,"н/д"),"н/д")</x:f>
        <x:v>н/д</x:v>
      </x:c>
      <x:c r="Z1260" s="20" t="str">
        <x:f>"н/д"</x:f>
        <x:v>н/д</x:v>
      </x:c>
      <x:c r="AA1260" s="20" t="str">
        <x:f>"н/д"</x:f>
        <x:v>н/д</x:v>
      </x:c>
      <x:c r="AB1260" s="20" t="str">
        <x:f>"н/д"</x:f>
        <x:v>н/д</x:v>
      </x:c>
      <x:c r="AC1260" s="20" t="str">
        <x:f>IF(AND(J1260="Рассчитано",T1260&gt;0,R1260&lt;100),(W1260+P1260+Q1260)/(T1260*(1-R1260/100)),"н/д")</x:f>
        <x:v>н/д</x:v>
      </x:c>
      <x:c r="AD1260" s="11" t="str">
        <x:f>IF(ISNUMBER(G1260),IF(G1260&lt;0,"Убыток",IF(G1260=0,"Без прибыли","Прибыль &gt; 0")),"Не оценён")</x:f>
        <x:v>Не оценён</x:v>
      </x:c>
      <x:c r="AE1260" s="12" t="str">
        <x:f>IF(J1260="Рассчитано","Выручка "&amp;TEXT(V1260,"0.00")&amp;" - себестоимость "&amp;TEXT(W1260,"0.00")&amp;" - комиссия "&amp;TEXT(V1260*R1260/100,"0.00")&amp;" - доставка "&amp;TEXT(P1260,"0.00")&amp;" - прочие "&amp;TEXT(Q1260,"0.00")&amp;" = "&amp;TEXT(G1260,"0.00")&amp;" "&amp;L1260,"Введите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0" s="23" t="n">
        <x:v>0.2760060383303089</x:v>
      </x:c>
      <x:c r="AG1260" s="35" t="n">
        <x:v>20</x:v>
      </x:c>
      <x:c r="AH1260" s="35" t="n">
        <x:v>0</x:v>
      </x:c>
      <x:c r="AI1260" s="29" t="n">
        <x:v>46266</x:v>
      </x:c>
      <x:c r="AJ1260" s="35" t="n">
        <x:v>10</x:v>
      </x:c>
      <x:c r="AK1260" s="11" t="str">
        <x:v>кратность</x:v>
      </x:c>
      <x:c r="AL1260" s="31" t="n">
        <x:v>6178.419486035089</x:v>
      </x:c>
      <x:c r="AM12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60" s="12" t="str">
        <x:v>Проверить свободный остаток и установить цену для B2B</x:v>
      </x:c>
      <x:c r="AO1260" s="12" t="str">
        <x:v>Остаток 20; прогноз 90 дней 0.28; избыток 19 шт. Будущие поступления не выставляются на продажу. Остаток на начало сентября: требуется актуализация.</x:v>
      </x:c>
      <x:c r="AP1260" s="12" t="str">
        <x:v>["category_missing", "daily_stockout_data_missing", "monthly_balance_date_assumed", "new_order_lead_time_unknown", "reservations_unknown", "stale_stock"]</x:v>
      </x:c>
      <x:c r="AQ1260" s="11" t="str">
        <x:v>SE:030200142_</x:v>
      </x:c>
      <x:c r="AR1260" s="23" t="n">
        <x:v>1</x:v>
      </x:c>
      <x:c r="AS1260" s="23" t="n">
        <x:v>0</x:v>
      </x:c>
      <x:c r="AT1260" s="23" t="n">
        <x:v>0</x:v>
      </x:c>
    </x:row>
    <x:row r="1261" ht="64" customHeight="1">
      <x:c r="A1261" s="10" t="str">
        <x:v>Systeme Electric</x:v>
      </x:c>
      <x:c r="B1261" s="34" t="str">
        <x:v>030200175_</x:v>
      </x:c>
      <x:c r="C1261" s="34" t="str">
        <x:v>BA10-045B</x:v>
      </x:c>
      <x:c r="D1261" s="13" t="str">
        <x:v>S313  Выкл. 1-кл. с инд. о/у IP44 Белый ЭТЮД ВА10-045В (112)</x:v>
      </x:c>
      <x:c r="E1261" s="10" t="str">
        <x:v>шт</x:v>
      </x:c>
      <x:c r="F1261" s="37" t="n">
        <x:f>MAX(0,ROUNDDOWN((AG1261-AF1261)/AR1261+0.000000001,0)*AR1261)</x:f>
        <x:v>2</x:v>
      </x:c>
      <x:c r="G1261" s="21" t="str">
        <x:f>IF(J1261="Рассчитано",V1261*(1-R1261/100)-W1261-P1261-Q1261,"н/д")</x:f>
        <x:v>н/д</x:v>
      </x:c>
      <x:c r="H1261" s="13" t="str">
        <x:v>Высокий</x:v>
      </x:c>
      <x:c r="I1261" s="13" t="str">
        <x:v>Высокий</x:v>
      </x:c>
      <x:c r="J1261" s="13" t="str">
        <x:f>IF(L1261="","Укажите валюту",IF(NOT(ISNUMBER(K1261)),"Укажите объём",IF(K1261&lt;=0,"Укажите объём",IF(K1261&gt;F1261,"Объём выше излишка",IF(COUNT(M1261:O1261)&lt;3,"Нужны цены",IF(COUNT(P1261:R1261)&lt;3,"Нужны расходы",IF(OR(M1261&lt;0,N1261&lt;0,O1261&lt;0,O1261&gt;100,P1261&lt;0,Q1261&lt;0,R1261&lt;0,R1261&gt;100),"Проверьте значения","Рассчитано")))))))</x:f>
        <x:v>Нужны цены</x:v>
      </x:c>
      <x:c r="K1261" s="36" t="n">
        <x:v>2</x:v>
      </x:c>
      <x:c r="L1261" s="19" t="str">
        <x:v>KZT</x:v>
      </x:c>
      <x:c r="M1261" s="22"/>
      <x:c r="N1261" s="22"/>
      <x:c r="O1261" s="28"/>
      <x:c r="P1261" s="22"/>
      <x:c r="Q1261" s="22"/>
      <x:c r="R1261" s="28"/>
      <x:c r="S1261" s="22"/>
      <x:c r="T1261" s="37" t="n">
        <x:f>K1261</x:f>
        <x:v>2</x:v>
      </x:c>
      <x:c r="U1261" s="21" t="str">
        <x:f>IF(J1261="Рассчитано",N1261*(1-O1261/100),"н/д")</x:f>
        <x:v>н/д</x:v>
      </x:c>
      <x:c r="V1261" s="21" t="str">
        <x:f>IF(J1261="Рассчитано",T1261*U1261,"н/д")</x:f>
        <x:v>н/д</x:v>
      </x:c>
      <x:c r="W1261" s="21" t="str">
        <x:f>IF(J1261="Рассчитано",T1261*M1261,"н/д")</x:f>
        <x:v>н/д</x:v>
      </x:c>
      <x:c r="X1261" s="21" t="str">
        <x:f>IF(J1261="Рассчитано",V1261-W1261,"н/д")</x:f>
        <x:v>н/д</x:v>
      </x:c>
      <x:c r="Y1261" s="27" t="str">
        <x:f>IF(J1261="Рассчитано",IF(V1261&gt;0,G1261/V1261,"н/д"),"н/д")</x:f>
        <x:v>н/д</x:v>
      </x:c>
      <x:c r="Z1261" s="21" t="str">
        <x:f>"н/д"</x:f>
        <x:v>н/д</x:v>
      </x:c>
      <x:c r="AA1261" s="21" t="str">
        <x:f>"н/д"</x:f>
        <x:v>н/д</x:v>
      </x:c>
      <x:c r="AB1261" s="21" t="str">
        <x:f>"н/д"</x:f>
        <x:v>н/д</x:v>
      </x:c>
      <x:c r="AC1261" s="21" t="str">
        <x:f>IF(AND(J1261="Рассчитано",T1261&gt;0,R1261&lt;100),(W1261+P1261+Q1261)/(T1261*(1-R1261/100)),"н/д")</x:f>
        <x:v>н/д</x:v>
      </x:c>
      <x:c r="AD1261" s="10" t="str">
        <x:f>IF(ISNUMBER(G1261),IF(G1261&lt;0,"Убыток",IF(G1261=0,"Без прибыли","Прибыль &gt; 0")),"Не оценён")</x:f>
        <x:v>Не оценён</x:v>
      </x:c>
      <x:c r="AE1261" s="13" t="str">
        <x:f>IF(J1261="Рассчитано","Выручка "&amp;TEXT(V1261,"0.00")&amp;" - себестоимость "&amp;TEXT(W1261,"0.00")&amp;" - комиссия "&amp;TEXT(V1261*R1261/100,"0.00")&amp;" - доставка "&amp;TEXT(P1261,"0.00")&amp;" - прочие "&amp;TEXT(Q1261,"0.00")&amp;" = "&amp;TEXT(G1261,"0.00")&amp;" "&amp;L1261,"Введите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1" s="24" t="n">
        <x:v>0</x:v>
      </x:c>
      <x:c r="AG1261" s="37" t="n">
        <x:v>2</x:v>
      </x:c>
      <x:c r="AH1261" s="37" t="n">
        <x:v>0</x:v>
      </x:c>
      <x:c r="AI1261" s="30" t="n">
        <x:v>46266</x:v>
      </x:c>
      <x:c r="AJ1261" s="37" t="n">
        <x:v>14</x:v>
      </x:c>
      <x:c r="AK1261" s="10" t="str">
        <x:v>кратность</x:v>
      </x:c>
      <x:c r="AL1261" s="32" t="str">
        <x:v>н/д</x:v>
      </x:c>
      <x:c r="AM1261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261" s="13" t="str">
        <x:v>Проверить свободный остаток и установить цену для B2B</x:v>
      </x:c>
      <x:c r="AO1261" s="13" t="str">
        <x:v>Остаток 2; прогноз 90 дней 0.00; избыток 2 шт. Будущие поступления не выставляются на продажу. Остаток на начало сентября: требуется актуализация.</x:v>
      </x:c>
      <x:c r="AP1261" s="13" t="str">
        <x:v>["category_missing", "daily_stockout_data_missing", "monthly_balance_date_assumed", "new_order_lead_time_unknown", "reservations_unknown", "stale_stock"]</x:v>
      </x:c>
      <x:c r="AQ1261" s="10" t="str">
        <x:v>SE:030200175_</x:v>
      </x:c>
      <x:c r="AR1261" s="24" t="n">
        <x:v>1</x:v>
      </x:c>
      <x:c r="AS1261" s="24" t="n">
        <x:v>0</x:v>
      </x:c>
      <x:c r="AT1261" s="24" t="n">
        <x:v>0</x:v>
      </x:c>
    </x:row>
    <x:row r="1262" ht="64" customHeight="1">
      <x:c r="A1262" s="11" t="str">
        <x:v>Systeme Electric</x:v>
      </x:c>
      <x:c r="B1262" s="33" t="str">
        <x:v>030200183_</x:v>
      </x:c>
      <x:c r="C1262" s="33" t="str">
        <x:v>РС16-006В</x:v>
      </x:c>
      <x:c r="D1262" s="12" t="str">
        <x:v>S297  Розетка  2-ая с/у, з/ш ЭТЮД (120) РС16-006В !!!</x:v>
      </x:c>
      <x:c r="E1262" s="11" t="str">
        <x:v>шт</x:v>
      </x:c>
      <x:c r="F1262" s="35" t="n">
        <x:f>MAX(0,ROUNDDOWN((AG1262-AF1262)/AR1262+0.000000001,0)*AR1262)</x:f>
        <x:v>88</x:v>
      </x:c>
      <x:c r="G1262" s="20" t="str">
        <x:f>IF(J1262="Рассчитано",V1262*(1-R1262/100)-W1262-P1262-Q1262,"н/д")</x:f>
        <x:v>н/д</x:v>
      </x:c>
      <x:c r="H1262" s="12" t="str">
        <x:v>Высокий</x:v>
      </x:c>
      <x:c r="I1262" s="12" t="str">
        <x:v>Высокий</x:v>
      </x:c>
      <x:c r="J1262" s="12" t="str">
        <x:f>IF(L1262="","Укажите валюту",IF(NOT(ISNUMBER(K1262)),"Укажите объём",IF(K1262&lt;=0,"Укажите объём",IF(K1262&gt;F1262,"Объём выше излишка",IF(COUNT(M1262:O1262)&lt;3,"Нужны цены",IF(COUNT(P1262:R1262)&lt;3,"Нужны расходы",IF(OR(M1262&lt;0,N1262&lt;0,O1262&lt;0,O1262&gt;100,P1262&lt;0,Q1262&lt;0,R1262&lt;0,R1262&gt;100),"Проверьте значения","Рассчитано")))))))</x:f>
        <x:v>Нужны цены</x:v>
      </x:c>
      <x:c r="K1262" s="36" t="n">
        <x:v>88</x:v>
      </x:c>
      <x:c r="L1262" s="19" t="str">
        <x:v>KZT</x:v>
      </x:c>
      <x:c r="M1262" s="22"/>
      <x:c r="N1262" s="22"/>
      <x:c r="O1262" s="28"/>
      <x:c r="P1262" s="22"/>
      <x:c r="Q1262" s="22"/>
      <x:c r="R1262" s="28"/>
      <x:c r="S1262" s="22"/>
      <x:c r="T1262" s="35" t="n">
        <x:f>K1262</x:f>
        <x:v>88</x:v>
      </x:c>
      <x:c r="U1262" s="20" t="str">
        <x:f>IF(J1262="Рассчитано",N1262*(1-O1262/100),"н/д")</x:f>
        <x:v>н/д</x:v>
      </x:c>
      <x:c r="V1262" s="20" t="str">
        <x:f>IF(J1262="Рассчитано",T1262*U1262,"н/д")</x:f>
        <x:v>н/д</x:v>
      </x:c>
      <x:c r="W1262" s="20" t="str">
        <x:f>IF(J1262="Рассчитано",T1262*M1262,"н/д")</x:f>
        <x:v>н/д</x:v>
      </x:c>
      <x:c r="X1262" s="20" t="str">
        <x:f>IF(J1262="Рассчитано",V1262-W1262,"н/д")</x:f>
        <x:v>н/д</x:v>
      </x:c>
      <x:c r="Y1262" s="26" t="str">
        <x:f>IF(J1262="Рассчитано",IF(V1262&gt;0,G1262/V1262,"н/д"),"н/д")</x:f>
        <x:v>н/д</x:v>
      </x:c>
      <x:c r="Z1262" s="20" t="str">
        <x:f>"н/д"</x:f>
        <x:v>н/д</x:v>
      </x:c>
      <x:c r="AA1262" s="20" t="str">
        <x:f>"н/д"</x:f>
        <x:v>н/д</x:v>
      </x:c>
      <x:c r="AB1262" s="20" t="str">
        <x:f>"н/д"</x:f>
        <x:v>н/д</x:v>
      </x:c>
      <x:c r="AC1262" s="20" t="str">
        <x:f>IF(AND(J1262="Рассчитано",T1262&gt;0,R1262&lt;100),(W1262+P1262+Q1262)/(T1262*(1-R1262/100)),"н/д")</x:f>
        <x:v>н/д</x:v>
      </x:c>
      <x:c r="AD1262" s="11" t="str">
        <x:f>IF(ISNUMBER(G1262),IF(G1262&lt;0,"Убыток",IF(G1262=0,"Без прибыли","Прибыль &gt; 0")),"Не оценён")</x:f>
        <x:v>Не оценён</x:v>
      </x:c>
      <x:c r="AE1262" s="12" t="str">
        <x:f>IF(J1262="Рассчитано","Выручка "&amp;TEXT(V1262,"0.00")&amp;" - себестоимость "&amp;TEXT(W1262,"0.00")&amp;" - комиссия "&amp;TEXT(V1262*R1262/100,"0.00")&amp;" - доставка "&amp;TEXT(P1262,"0.00")&amp;" - прочие "&amp;TEXT(Q1262,"0.00")&amp;" = "&amp;TEXT(G1262,"0.00")&amp;" "&amp;L1262,"Введите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2" s="23" t="n">
        <x:v>0</x:v>
      </x:c>
      <x:c r="AG1262" s="35" t="n">
        <x:v>88</x:v>
      </x:c>
      <x:c r="AH1262" s="35" t="n">
        <x:v>0</x:v>
      </x:c>
      <x:c r="AI1262" s="29" t="n">
        <x:v>46266</x:v>
      </x:c>
      <x:c r="AJ1262" s="35" t="n">
        <x:v>1</x:v>
      </x:c>
      <x:c r="AK1262" s="11" t="str">
        <x:v>кратность</x:v>
      </x:c>
      <x:c r="AL1262" s="31" t="str">
        <x:v>н/д</x:v>
      </x:c>
      <x:c r="AM1262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262" s="12" t="str">
        <x:v>Проверить свободный остаток и установить цену для B2B</x:v>
      </x:c>
      <x:c r="AO1262" s="12" t="str">
        <x:v>Остаток 88; прогноз 90 дней 0.00; избыток 88 шт. Будущие поступления не выставляются на продажу. Остаток на начало сентября: требуется актуализация.</x:v>
      </x:c>
      <x:c r="AP1262" s="12" t="str">
        <x:v>["category_missing", "daily_stockout_data_missing", "monthly_balance_date_assumed", "new_order_lead_time_unknown", "reservations_unknown", "stale_stock"]</x:v>
      </x:c>
      <x:c r="AQ1262" s="11" t="str">
        <x:v>SE:030200183_</x:v>
      </x:c>
      <x:c r="AR1262" s="23" t="n">
        <x:v>1</x:v>
      </x:c>
      <x:c r="AS1262" s="23" t="n">
        <x:v>0</x:v>
      </x:c>
      <x:c r="AT1262" s="23" t="n">
        <x:v>0</x:v>
      </x:c>
    </x:row>
    <x:row r="1263" ht="64" customHeight="1">
      <x:c r="A1263" s="10" t="str">
        <x:v>Systeme Electric</x:v>
      </x:c>
      <x:c r="B1263" s="34" t="str">
        <x:v>030200191_</x:v>
      </x:c>
      <x:c r="C1263" s="34" t="str">
        <x:v>PC16-044B</x:v>
      </x:c>
      <x:c r="D1263" s="13" t="str">
        <x:v>S310  Розетка IP44 с/у, з/к, з/ш ЭТЮД РС16-044В (120)</x:v>
      </x:c>
      <x:c r="E1263" s="10" t="str">
        <x:v>шт</x:v>
      </x:c>
      <x:c r="F1263" s="37" t="n">
        <x:f>MAX(0,ROUNDDOWN((AG1263-AF1263)/AR1263+0.000000001,0)*AR1263)</x:f>
        <x:v>1</x:v>
      </x:c>
      <x:c r="G1263" s="21" t="str">
        <x:f>IF(J1263="Рассчитано",V1263*(1-R1263/100)-W1263-P1263-Q1263,"н/д")</x:f>
        <x:v>н/д</x:v>
      </x:c>
      <x:c r="H1263" s="13" t="str">
        <x:v>Высокий</x:v>
      </x:c>
      <x:c r="I1263" s="13" t="str">
        <x:v>Высокий</x:v>
      </x:c>
      <x:c r="J1263" s="13" t="str">
        <x:f>IF(L1263="","Укажите валюту",IF(NOT(ISNUMBER(K1263)),"Укажите объём",IF(K1263&lt;=0,"Укажите объём",IF(K1263&gt;F1263,"Объём выше излишка",IF(COUNT(M1263:O1263)&lt;3,"Нужны цены",IF(COUNT(P1263:R1263)&lt;3,"Нужны расходы",IF(OR(M1263&lt;0,N1263&lt;0,O1263&lt;0,O1263&gt;100,P1263&lt;0,Q1263&lt;0,R1263&lt;0,R1263&gt;100),"Проверьте значения","Рассчитано")))))))</x:f>
        <x:v>Нужны цены</x:v>
      </x:c>
      <x:c r="K1263" s="36" t="n">
        <x:v>1</x:v>
      </x:c>
      <x:c r="L1263" s="19" t="str">
        <x:v>KZT</x:v>
      </x:c>
      <x:c r="M1263" s="22"/>
      <x:c r="N1263" s="22"/>
      <x:c r="O1263" s="28"/>
      <x:c r="P1263" s="22"/>
      <x:c r="Q1263" s="22"/>
      <x:c r="R1263" s="28"/>
      <x:c r="S1263" s="22"/>
      <x:c r="T1263" s="37" t="n">
        <x:f>K1263</x:f>
        <x:v>1</x:v>
      </x:c>
      <x:c r="U1263" s="21" t="str">
        <x:f>IF(J1263="Рассчитано",N1263*(1-O1263/100),"н/д")</x:f>
        <x:v>н/д</x:v>
      </x:c>
      <x:c r="V1263" s="21" t="str">
        <x:f>IF(J1263="Рассчитано",T1263*U1263,"н/д")</x:f>
        <x:v>н/д</x:v>
      </x:c>
      <x:c r="W1263" s="21" t="str">
        <x:f>IF(J1263="Рассчитано",T1263*M1263,"н/д")</x:f>
        <x:v>н/д</x:v>
      </x:c>
      <x:c r="X1263" s="21" t="str">
        <x:f>IF(J1263="Рассчитано",V1263-W1263,"н/д")</x:f>
        <x:v>н/д</x:v>
      </x:c>
      <x:c r="Y1263" s="27" t="str">
        <x:f>IF(J1263="Рассчитано",IF(V1263&gt;0,G1263/V1263,"н/д"),"н/д")</x:f>
        <x:v>н/д</x:v>
      </x:c>
      <x:c r="Z1263" s="21" t="str">
        <x:f>"н/д"</x:f>
        <x:v>н/д</x:v>
      </x:c>
      <x:c r="AA1263" s="21" t="str">
        <x:f>"н/д"</x:f>
        <x:v>н/д</x:v>
      </x:c>
      <x:c r="AB1263" s="21" t="str">
        <x:f>"н/д"</x:f>
        <x:v>н/д</x:v>
      </x:c>
      <x:c r="AC1263" s="21" t="str">
        <x:f>IF(AND(J1263="Рассчитано",T1263&gt;0,R1263&lt;100),(W1263+P1263+Q1263)/(T1263*(1-R1263/100)),"н/д")</x:f>
        <x:v>н/д</x:v>
      </x:c>
      <x:c r="AD1263" s="10" t="str">
        <x:f>IF(ISNUMBER(G1263),IF(G1263&lt;0,"Убыток",IF(G1263=0,"Без прибыли","Прибыль &gt; 0")),"Не оценён")</x:f>
        <x:v>Не оценён</x:v>
      </x:c>
      <x:c r="AE1263" s="13" t="str">
        <x:f>IF(J1263="Рассчитано","Выручка "&amp;TEXT(V1263,"0.00")&amp;" - себестоимость "&amp;TEXT(W1263,"0.00")&amp;" - комиссия "&amp;TEXT(V1263*R1263/100,"0.00")&amp;" - доставка "&amp;TEXT(P1263,"0.00")&amp;" - прочие "&amp;TEXT(Q1263,"0.00")&amp;" = "&amp;TEXT(G1263,"0.00")&amp;" "&amp;L1263,"Введите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3" s="24" t="n">
        <x:v>0.1828102111508775</x:v>
      </x:c>
      <x:c r="AG1263" s="37" t="n">
        <x:v>2</x:v>
      </x:c>
      <x:c r="AH1263" s="37" t="n">
        <x:v>0</x:v>
      </x:c>
      <x:c r="AI1263" s="30" t="n">
        <x:v>46266</x:v>
      </x:c>
      <x:c r="AJ1263" s="37" t="n">
        <x:v>14</x:v>
      </x:c>
      <x:c r="AK1263" s="10" t="str">
        <x:v>кратность</x:v>
      </x:c>
      <x:c r="AL1263" s="32" t="n">
        <x:v>932.8150078421579</x:v>
      </x:c>
      <x:c r="AM126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63" s="13" t="str">
        <x:v>Проверить свободный остаток и установить цену для B2B</x:v>
      </x:c>
      <x:c r="AO1263" s="13" t="str">
        <x:v>Остаток 2; прогноз 90 дней 0.18; избыток 1 шт. Будущие поступления не выставляются на продажу. Остаток на начало сентября: требуется актуализация.</x:v>
      </x:c>
      <x:c r="AP1263" s="13" t="str">
        <x:v>["category_missing", "daily_stockout_data_missing", "monthly_balance_date_assumed", "new_order_lead_time_unknown", "reservations_unknown", "stale_stock"]</x:v>
      </x:c>
      <x:c r="AQ1263" s="10" t="str">
        <x:v>SE:030200191_</x:v>
      </x:c>
      <x:c r="AR1263" s="24" t="n">
        <x:v>1</x:v>
      </x:c>
      <x:c r="AS1263" s="24" t="n">
        <x:v>0</x:v>
      </x:c>
      <x:c r="AT1263" s="24" t="n">
        <x:v>0</x:v>
      </x:c>
    </x:row>
    <x:row r="1264" ht="64" customHeight="1">
      <x:c r="A1264" s="11" t="str">
        <x:v>Systeme Electric</x:v>
      </x:c>
      <x:c r="B1264" s="33" t="str">
        <x:v>030200219_</x:v>
      </x:c>
      <x:c r="C1264" s="33" t="str">
        <x:v>IMT35121</x:v>
      </x:c>
      <x:c r="D1264" s="12" t="str">
        <x:v>Распределительная коробка с/у для твердых стен 100х50 IP30 IMT35121 Systeme Electric (84)</x:v>
      </x:c>
      <x:c r="E1264" s="11" t="str">
        <x:v>шт</x:v>
      </x:c>
      <x:c r="F1264" s="35" t="n">
        <x:f>MAX(0,ROUNDDOWN((AG1264-AF1264)/AR1264+0.000000001,0)*AR1264)</x:f>
        <x:v>2181</x:v>
      </x:c>
      <x:c r="G1264" s="20" t="str">
        <x:f>IF(J1264="Рассчитано",V1264*(1-R1264/100)-W1264-P1264-Q1264,"н/д")</x:f>
        <x:v>н/д</x:v>
      </x:c>
      <x:c r="H1264" s="12" t="str">
        <x:v>Средний</x:v>
      </x:c>
      <x:c r="I1264" s="12" t="str">
        <x:v>Средний</x:v>
      </x:c>
      <x:c r="J1264" s="12" t="str">
        <x:f>IF(L1264="","Укажите валюту",IF(NOT(ISNUMBER(K1264)),"Укажите объём",IF(K1264&lt;=0,"Укажите объём",IF(K1264&gt;F1264,"Объём выше излишка",IF(COUNT(M1264:O1264)&lt;3,"Нужны цены",IF(COUNT(P1264:R1264)&lt;3,"Нужны расходы",IF(OR(M1264&lt;0,N1264&lt;0,O1264&lt;0,O1264&gt;100,P1264&lt;0,Q1264&lt;0,R1264&lt;0,R1264&gt;100),"Проверьте значения","Рассчитано")))))))</x:f>
        <x:v>Нужны цены</x:v>
      </x:c>
      <x:c r="K1264" s="36" t="n">
        <x:v>2181</x:v>
      </x:c>
      <x:c r="L1264" s="19" t="str">
        <x:v>KZT</x:v>
      </x:c>
      <x:c r="M1264" s="22"/>
      <x:c r="N1264" s="22"/>
      <x:c r="O1264" s="28"/>
      <x:c r="P1264" s="22"/>
      <x:c r="Q1264" s="22"/>
      <x:c r="R1264" s="28"/>
      <x:c r="S1264" s="22"/>
      <x:c r="T1264" s="35" t="n">
        <x:f>K1264</x:f>
        <x:v>2181</x:v>
      </x:c>
      <x:c r="U1264" s="20" t="str">
        <x:f>IF(J1264="Рассчитано",N1264*(1-O1264/100),"н/д")</x:f>
        <x:v>н/д</x:v>
      </x:c>
      <x:c r="V1264" s="20" t="str">
        <x:f>IF(J1264="Рассчитано",T1264*U1264,"н/д")</x:f>
        <x:v>н/д</x:v>
      </x:c>
      <x:c r="W1264" s="20" t="str">
        <x:f>IF(J1264="Рассчитано",T1264*M1264,"н/д")</x:f>
        <x:v>н/д</x:v>
      </x:c>
      <x:c r="X1264" s="20" t="str">
        <x:f>IF(J1264="Рассчитано",V1264-W1264,"н/д")</x:f>
        <x:v>н/д</x:v>
      </x:c>
      <x:c r="Y1264" s="26" t="str">
        <x:f>IF(J1264="Рассчитано",IF(V1264&gt;0,G1264/V1264,"н/д"),"н/д")</x:f>
        <x:v>н/д</x:v>
      </x:c>
      <x:c r="Z1264" s="20" t="str">
        <x:f>"н/д"</x:f>
        <x:v>н/д</x:v>
      </x:c>
      <x:c r="AA1264" s="20" t="str">
        <x:f>"н/д"</x:f>
        <x:v>н/д</x:v>
      </x:c>
      <x:c r="AB1264" s="20" t="str">
        <x:f>"н/д"</x:f>
        <x:v>н/д</x:v>
      </x:c>
      <x:c r="AC1264" s="20" t="str">
        <x:f>IF(AND(J1264="Рассчитано",T1264&gt;0,R1264&lt;100),(W1264+P1264+Q1264)/(T1264*(1-R1264/100)),"н/д")</x:f>
        <x:v>н/д</x:v>
      </x:c>
      <x:c r="AD1264" s="11" t="str">
        <x:f>IF(ISNUMBER(G1264),IF(G1264&lt;0,"Убыток",IF(G1264=0,"Без прибыли","Прибыль &gt; 0")),"Не оценён")</x:f>
        <x:v>Не оценён</x:v>
      </x:c>
      <x:c r="AE1264" s="12" t="str">
        <x:f>IF(J1264="Рассчитано","Выручка "&amp;TEXT(V1264,"0.00")&amp;" - себестоимость "&amp;TEXT(W1264,"0.00")&amp;" - комиссия "&amp;TEXT(V1264*R1264/100,"0.00")&amp;" - доставка "&amp;TEXT(P1264,"0.00")&amp;" - прочие "&amp;TEXT(Q1264,"0.00")&amp;" = "&amp;TEXT(G1264,"0.00")&amp;" "&amp;L1264,"Введите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4" s="23" t="n">
        <x:v>14884.463381361256</x:v>
      </x:c>
      <x:c r="AG1264" s="35" t="n">
        <x:v>17066</x:v>
      </x:c>
      <x:c r="AH1264" s="35" t="n">
        <x:v>0</x:v>
      </x:c>
      <x:c r="AI1264" s="29" t="n">
        <x:v>46287</x:v>
      </x:c>
      <x:c r="AJ1264" s="35" t="n">
        <x:v>84</x:v>
      </x:c>
      <x:c r="AK1264" s="11" t="str">
        <x:v>кратность</x:v>
      </x:c>
      <x:c r="AL1264" s="31" t="n">
        <x:v>97.76075313975112</x:v>
      </x:c>
      <x:c r="AM1264" s="12" t="str">
        <x:v>Детальные и месячные продажи расходятся; Нет ежедневных данных доступности. Запас выше прогноза на 90 дней</x:v>
      </x:c>
      <x:c r="AN1264" s="12" t="str">
        <x:v>Проверить свободный остаток и установить цену для B2B</x:v>
      </x:c>
      <x:c r="AO1264" s="12" t="str">
        <x:v>Остаток 17066; прогноз 90 дней 14884.46; избыток 2181 шт. Будущие поступления не выставляются на продажу.</x:v>
      </x:c>
      <x:c r="AP1264" s="12" t="str">
        <x:v>["daily_stockout_data_missing", "large_orders_detected", "new_order_lead_time_unknown", "transaction_month_mismatch"]</x:v>
      </x:c>
      <x:c r="AQ1264" s="11" t="str">
        <x:v>SE:030200219_</x:v>
      </x:c>
      <x:c r="AR1264" s="23" t="n">
        <x:v>1</x:v>
      </x:c>
      <x:c r="AS1264" s="23" t="n">
        <x:v>0</x:v>
      </x:c>
      <x:c r="AT1264" s="23" t="n">
        <x:v>0</x:v>
      </x:c>
    </x:row>
    <x:row r="1265" ht="64" customHeight="1">
      <x:c r="A1265" s="10" t="str">
        <x:v>Systeme Electric</x:v>
      </x:c>
      <x:c r="B1265" s="34" t="str">
        <x:v>030200221_</x:v>
      </x:c>
      <x:c r="C1265" s="34" t="str">
        <x:v>IMT35160</x:v>
      </x:c>
      <x:c r="D1265" s="13" t="str">
        <x:v>Распределительная коробка с/у для полых стен г/к  80х45 IP20 IMT35160 Systeme Electric (120)</x:v>
      </x:c>
      <x:c r="E1265" s="10" t="str">
        <x:v>шт</x:v>
      </x:c>
      <x:c r="F1265" s="37" t="n">
        <x:f>MAX(0,ROUNDDOWN((AG1265-AF1265)/AR1265+0.000000001,0)*AR1265)</x:f>
        <x:v>2111</x:v>
      </x:c>
      <x:c r="G1265" s="21" t="str">
        <x:f>IF(J1265="Рассчитано",V1265*(1-R1265/100)-W1265-P1265-Q1265,"н/д")</x:f>
        <x:v>н/д</x:v>
      </x:c>
      <x:c r="H1265" s="13" t="str">
        <x:v>Средний</x:v>
      </x:c>
      <x:c r="I1265" s="13" t="str">
        <x:v>Средний</x:v>
      </x:c>
      <x:c r="J1265" s="13" t="str">
        <x:f>IF(L1265="","Укажите валюту",IF(NOT(ISNUMBER(K1265)),"Укажите объём",IF(K1265&lt;=0,"Укажите объём",IF(K1265&gt;F1265,"Объём выше излишка",IF(COUNT(M1265:O1265)&lt;3,"Нужны цены",IF(COUNT(P1265:R1265)&lt;3,"Нужны расходы",IF(OR(M1265&lt;0,N1265&lt;0,O1265&lt;0,O1265&gt;100,P1265&lt;0,Q1265&lt;0,R1265&lt;0,R1265&gt;100),"Проверьте значения","Рассчитано")))))))</x:f>
        <x:v>Нужны цены</x:v>
      </x:c>
      <x:c r="K1265" s="36" t="n">
        <x:v>2111</x:v>
      </x:c>
      <x:c r="L1265" s="19" t="str">
        <x:v>KZT</x:v>
      </x:c>
      <x:c r="M1265" s="22"/>
      <x:c r="N1265" s="22"/>
      <x:c r="O1265" s="28"/>
      <x:c r="P1265" s="22"/>
      <x:c r="Q1265" s="22"/>
      <x:c r="R1265" s="28"/>
      <x:c r="S1265" s="22"/>
      <x:c r="T1265" s="37" t="n">
        <x:f>K1265</x:f>
        <x:v>2111</x:v>
      </x:c>
      <x:c r="U1265" s="21" t="str">
        <x:f>IF(J1265="Рассчитано",N1265*(1-O1265/100),"н/д")</x:f>
        <x:v>н/д</x:v>
      </x:c>
      <x:c r="V1265" s="21" t="str">
        <x:f>IF(J1265="Рассчитано",T1265*U1265,"н/д")</x:f>
        <x:v>н/д</x:v>
      </x:c>
      <x:c r="W1265" s="21" t="str">
        <x:f>IF(J1265="Рассчитано",T1265*M1265,"н/д")</x:f>
        <x:v>н/д</x:v>
      </x:c>
      <x:c r="X1265" s="21" t="str">
        <x:f>IF(J1265="Рассчитано",V1265-W1265,"н/д")</x:f>
        <x:v>н/д</x:v>
      </x:c>
      <x:c r="Y1265" s="27" t="str">
        <x:f>IF(J1265="Рассчитано",IF(V1265&gt;0,G1265/V1265,"н/д"),"н/д")</x:f>
        <x:v>н/д</x:v>
      </x:c>
      <x:c r="Z1265" s="21" t="str">
        <x:f>"н/д"</x:f>
        <x:v>н/д</x:v>
      </x:c>
      <x:c r="AA1265" s="21" t="str">
        <x:f>"н/д"</x:f>
        <x:v>н/д</x:v>
      </x:c>
      <x:c r="AB1265" s="21" t="str">
        <x:f>"н/д"</x:f>
        <x:v>н/д</x:v>
      </x:c>
      <x:c r="AC1265" s="21" t="str">
        <x:f>IF(AND(J1265="Рассчитано",T1265&gt;0,R1265&lt;100),(W1265+P1265+Q1265)/(T1265*(1-R1265/100)),"н/д")</x:f>
        <x:v>н/д</x:v>
      </x:c>
      <x:c r="AD1265" s="10" t="str">
        <x:f>IF(ISNUMBER(G1265),IF(G1265&lt;0,"Убыток",IF(G1265=0,"Без прибыли","Прибыль &gt; 0")),"Не оценён")</x:f>
        <x:v>Не оценён</x:v>
      </x:c>
      <x:c r="AE1265" s="13" t="str">
        <x:f>IF(J1265="Рассчитано","Выручка "&amp;TEXT(V1265,"0.00")&amp;" - себестоимость "&amp;TEXT(W1265,"0.00")&amp;" - комиссия "&amp;TEXT(V1265*R1265/100,"0.00")&amp;" - доставка "&amp;TEXT(P1265,"0.00")&amp;" - прочие "&amp;TEXT(Q1265,"0.00")&amp;" = "&amp;TEXT(G1265,"0.00")&amp;" "&amp;L1265,"Введите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5" s="24" t="n">
        <x:v>3134.0805262275994</x:v>
      </x:c>
      <x:c r="AG1265" s="37" t="n">
        <x:v>5246</x:v>
      </x:c>
      <x:c r="AH1265" s="37" t="n">
        <x:v>0</x:v>
      </x:c>
      <x:c r="AI1265" s="30" t="n">
        <x:v>46287</x:v>
      </x:c>
      <x:c r="AJ1265" s="37" t="n">
        <x:v>120</x:v>
      </x:c>
      <x:c r="AK1265" s="10" t="str">
        <x:v>кратность</x:v>
      </x:c>
      <x:c r="AL1265" s="32" t="n">
        <x:v>142.71976261588685</x:v>
      </x:c>
      <x:c r="AM1265" s="13" t="str">
        <x:v>Детальные и месячные продажи расходятся; Нет ежедневных данных доступности. Запас выше прогноза на 90 дней</x:v>
      </x:c>
      <x:c r="AN1265" s="13" t="str">
        <x:v>Проверить свободный остаток и установить цену для B2B</x:v>
      </x:c>
      <x:c r="AO1265" s="13" t="str">
        <x:v>Остаток 5246; прогноз 90 дней 3134.08; избыток 2111 шт. Будущие поступления не выставляются на продажу.</x:v>
      </x:c>
      <x:c r="AP1265" s="13" t="str">
        <x:v>["daily_stockout_data_missing", "large_orders_detected", "new_order_lead_time_unknown", "transaction_month_mismatch"]</x:v>
      </x:c>
      <x:c r="AQ1265" s="10" t="str">
        <x:v>SE:030200221_</x:v>
      </x:c>
      <x:c r="AR1265" s="24" t="n">
        <x:v>1</x:v>
      </x:c>
      <x:c r="AS1265" s="24" t="n">
        <x:v>0</x:v>
      </x:c>
      <x:c r="AT1265" s="24" t="n">
        <x:v>0</x:v>
      </x:c>
    </x:row>
    <x:row r="1266" ht="64" customHeight="1">
      <x:c r="A1266" s="11" t="str">
        <x:v>Systeme Electric</x:v>
      </x:c>
      <x:c r="B1266" s="33" t="str">
        <x:v>030200223_</x:v>
      </x:c>
      <x:c r="C1266" s="33" t="str">
        <x:v>IMT35090</x:v>
      </x:c>
      <x:c r="D1266" s="12" t="str">
        <x:v>Распределительная  коробка о/у  с сальниками  70х70х40 IP55 IMT35090 Systeme Electric (96)</x:v>
      </x:c>
      <x:c r="E1266" s="11" t="str">
        <x:v>шт</x:v>
      </x:c>
      <x:c r="F1266" s="35" t="n">
        <x:f>MAX(0,ROUNDDOWN((AG1266-AF1266)/AR1266+0.000000001,0)*AR1266)</x:f>
        <x:v>777</x:v>
      </x:c>
      <x:c r="G1266" s="20" t="str">
        <x:f>IF(J1266="Рассчитано",V1266*(1-R1266/100)-W1266-P1266-Q1266,"н/д")</x:f>
        <x:v>н/д</x:v>
      </x:c>
      <x:c r="H1266" s="12" t="str">
        <x:v>Средний</x:v>
      </x:c>
      <x:c r="I1266" s="12" t="str">
        <x:v>Средний</x:v>
      </x:c>
      <x:c r="J1266" s="12" t="str">
        <x:f>IF(L1266="","Укажите валюту",IF(NOT(ISNUMBER(K1266)),"Укажите объём",IF(K1266&lt;=0,"Укажите объём",IF(K1266&gt;F1266,"Объём выше излишка",IF(COUNT(M1266:O1266)&lt;3,"Нужны цены",IF(COUNT(P1266:R1266)&lt;3,"Нужны расходы",IF(OR(M1266&lt;0,N1266&lt;0,O1266&lt;0,O1266&gt;100,P1266&lt;0,Q1266&lt;0,R1266&lt;0,R1266&gt;100),"Проверьте значения","Рассчитано")))))))</x:f>
        <x:v>Нужны цены</x:v>
      </x:c>
      <x:c r="K1266" s="36" t="n">
        <x:v>777</x:v>
      </x:c>
      <x:c r="L1266" s="19" t="str">
        <x:v>KZT</x:v>
      </x:c>
      <x:c r="M1266" s="22"/>
      <x:c r="N1266" s="22"/>
      <x:c r="O1266" s="28"/>
      <x:c r="P1266" s="22"/>
      <x:c r="Q1266" s="22"/>
      <x:c r="R1266" s="28"/>
      <x:c r="S1266" s="22"/>
      <x:c r="T1266" s="35" t="n">
        <x:f>K1266</x:f>
        <x:v>777</x:v>
      </x:c>
      <x:c r="U1266" s="20" t="str">
        <x:f>IF(J1266="Рассчитано",N1266*(1-O1266/100),"н/д")</x:f>
        <x:v>н/д</x:v>
      </x:c>
      <x:c r="V1266" s="20" t="str">
        <x:f>IF(J1266="Рассчитано",T1266*U1266,"н/д")</x:f>
        <x:v>н/д</x:v>
      </x:c>
      <x:c r="W1266" s="20" t="str">
        <x:f>IF(J1266="Рассчитано",T1266*M1266,"н/д")</x:f>
        <x:v>н/д</x:v>
      </x:c>
      <x:c r="X1266" s="20" t="str">
        <x:f>IF(J1266="Рассчитано",V1266-W1266,"н/д")</x:f>
        <x:v>н/д</x:v>
      </x:c>
      <x:c r="Y1266" s="26" t="str">
        <x:f>IF(J1266="Рассчитано",IF(V1266&gt;0,G1266/V1266,"н/д"),"н/д")</x:f>
        <x:v>н/д</x:v>
      </x:c>
      <x:c r="Z1266" s="20" t="str">
        <x:f>"н/д"</x:f>
        <x:v>н/д</x:v>
      </x:c>
      <x:c r="AA1266" s="20" t="str">
        <x:f>"н/д"</x:f>
        <x:v>н/д</x:v>
      </x:c>
      <x:c r="AB1266" s="20" t="str">
        <x:f>"н/д"</x:f>
        <x:v>н/д</x:v>
      </x:c>
      <x:c r="AC1266" s="20" t="str">
        <x:f>IF(AND(J1266="Рассчитано",T1266&gt;0,R1266&lt;100),(W1266+P1266+Q1266)/(T1266*(1-R1266/100)),"н/д")</x:f>
        <x:v>н/д</x:v>
      </x:c>
      <x:c r="AD1266" s="11" t="str">
        <x:f>IF(ISNUMBER(G1266),IF(G1266&lt;0,"Убыток",IF(G1266=0,"Без прибыли","Прибыль &gt; 0")),"Не оценён")</x:f>
        <x:v>Не оценён</x:v>
      </x:c>
      <x:c r="AE1266" s="12" t="str">
        <x:f>IF(J1266="Рассчитано","Выручка "&amp;TEXT(V1266,"0.00")&amp;" - себестоимость "&amp;TEXT(W1266,"0.00")&amp;" - комиссия "&amp;TEXT(V1266*R1266/100,"0.00")&amp;" - доставка "&amp;TEXT(P1266,"0.00")&amp;" - прочие "&amp;TEXT(Q1266,"0.00")&amp;" = "&amp;TEXT(G1266,"0.00")&amp;" "&amp;L1266,"Введите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6" s="23" t="n">
        <x:v>2207.9051398647566</x:v>
      </x:c>
      <x:c r="AG1266" s="35" t="n">
        <x:v>2985</x:v>
      </x:c>
      <x:c r="AH1266" s="35" t="n">
        <x:v>0</x:v>
      </x:c>
      <x:c r="AI1266" s="29" t="n">
        <x:v>46287</x:v>
      </x:c>
      <x:c r="AJ1266" s="35" t="n">
        <x:v>96</x:v>
      </x:c>
      <x:c r="AK1266" s="11" t="str">
        <x:v>кратность</x:v>
      </x:c>
      <x:c r="AL1266" s="31" t="n">
        <x:v>115.2736127168837</x:v>
      </x:c>
      <x:c r="AM1266" s="12" t="str">
        <x:v>Детальные и месячные продажи расходятся; Нет ежедневных данных доступности. Запас выше прогноза на 90 дней</x:v>
      </x:c>
      <x:c r="AN1266" s="12" t="str">
        <x:v>Проверить свободный остаток и установить цену для B2B</x:v>
      </x:c>
      <x:c r="AO1266" s="12" t="str">
        <x:v>Остаток 2985; прогноз 90 дней 2207.91; избыток 777 шт. Будущие поступления не выставляются на продажу.</x:v>
      </x:c>
      <x:c r="AP1266" s="12" t="str">
        <x:v>["daily_stockout_data_missing", "large_orders_detected", "new_order_lead_time_unknown", "transaction_month_mismatch"]</x:v>
      </x:c>
      <x:c r="AQ1266" s="11" t="str">
        <x:v>SE:030200223_</x:v>
      </x:c>
      <x:c r="AR1266" s="23" t="n">
        <x:v>1</x:v>
      </x:c>
      <x:c r="AS1266" s="23" t="n">
        <x:v>0</x:v>
      </x:c>
      <x:c r="AT1266" s="23" t="n">
        <x:v>0</x:v>
      </x:c>
    </x:row>
    <x:row r="1267" ht="64" customHeight="1">
      <x:c r="A1267" s="10" t="str">
        <x:v>Systeme Electric</x:v>
      </x:c>
      <x:c r="B1267" s="34" t="str">
        <x:v>030200225_</x:v>
      </x:c>
      <x:c r="C1267" s="34" t="str">
        <x:v>IMT35092</x:v>
      </x:c>
      <x:c r="D1267" s="13" t="str">
        <x:v>Распределительная  коробка о/у  с сальниками  85х85х40 IP55 IMT35092 Systeme Electric (72)</x:v>
      </x:c>
      <x:c r="E1267" s="10" t="str">
        <x:v>шт</x:v>
      </x:c>
      <x:c r="F1267" s="37" t="n">
        <x:f>MAX(0,ROUNDDOWN((AG1267-AF1267)/AR1267+0.000000001,0)*AR1267)</x:f>
        <x:v>236</x:v>
      </x:c>
      <x:c r="G1267" s="21" t="str">
        <x:f>IF(J1267="Рассчитано",V1267*(1-R1267/100)-W1267-P1267-Q1267,"н/д")</x:f>
        <x:v>н/д</x:v>
      </x:c>
      <x:c r="H1267" s="13" t="str">
        <x:v>Средний</x:v>
      </x:c>
      <x:c r="I1267" s="13" t="str">
        <x:v>Средний</x:v>
      </x:c>
      <x:c r="J1267" s="13" t="str">
        <x:f>IF(L1267="","Укажите валюту",IF(NOT(ISNUMBER(K1267)),"Укажите объём",IF(K1267&lt;=0,"Укажите объём",IF(K1267&gt;F1267,"Объём выше излишка",IF(COUNT(M1267:O1267)&lt;3,"Нужны цены",IF(COUNT(P1267:R1267)&lt;3,"Нужны расходы",IF(OR(M1267&lt;0,N1267&lt;0,O1267&lt;0,O1267&gt;100,P1267&lt;0,Q1267&lt;0,R1267&lt;0,R1267&gt;100),"Проверьте значения","Рассчитано")))))))</x:f>
        <x:v>Нужны цены</x:v>
      </x:c>
      <x:c r="K1267" s="36" t="n">
        <x:v>236</x:v>
      </x:c>
      <x:c r="L1267" s="19" t="str">
        <x:v>KZT</x:v>
      </x:c>
      <x:c r="M1267" s="22"/>
      <x:c r="N1267" s="22"/>
      <x:c r="O1267" s="28"/>
      <x:c r="P1267" s="22"/>
      <x:c r="Q1267" s="22"/>
      <x:c r="R1267" s="28"/>
      <x:c r="S1267" s="22"/>
      <x:c r="T1267" s="37" t="n">
        <x:f>K1267</x:f>
        <x:v>236</x:v>
      </x:c>
      <x:c r="U1267" s="21" t="str">
        <x:f>IF(J1267="Рассчитано",N1267*(1-O1267/100),"н/д")</x:f>
        <x:v>н/д</x:v>
      </x:c>
      <x:c r="V1267" s="21" t="str">
        <x:f>IF(J1267="Рассчитано",T1267*U1267,"н/д")</x:f>
        <x:v>н/д</x:v>
      </x:c>
      <x:c r="W1267" s="21" t="str">
        <x:f>IF(J1267="Рассчитано",T1267*M1267,"н/д")</x:f>
        <x:v>н/д</x:v>
      </x:c>
      <x:c r="X1267" s="21" t="str">
        <x:f>IF(J1267="Рассчитано",V1267-W1267,"н/д")</x:f>
        <x:v>н/д</x:v>
      </x:c>
      <x:c r="Y1267" s="27" t="str">
        <x:f>IF(J1267="Рассчитано",IF(V1267&gt;0,G1267/V1267,"н/д"),"н/д")</x:f>
        <x:v>н/д</x:v>
      </x:c>
      <x:c r="Z1267" s="21" t="str">
        <x:f>"н/д"</x:f>
        <x:v>н/д</x:v>
      </x:c>
      <x:c r="AA1267" s="21" t="str">
        <x:f>"н/д"</x:f>
        <x:v>н/д</x:v>
      </x:c>
      <x:c r="AB1267" s="21" t="str">
        <x:f>"н/д"</x:f>
        <x:v>н/д</x:v>
      </x:c>
      <x:c r="AC1267" s="21" t="str">
        <x:f>IF(AND(J1267="Рассчитано",T1267&gt;0,R1267&lt;100),(W1267+P1267+Q1267)/(T1267*(1-R1267/100)),"н/д")</x:f>
        <x:v>н/д</x:v>
      </x:c>
      <x:c r="AD1267" s="10" t="str">
        <x:f>IF(ISNUMBER(G1267),IF(G1267&lt;0,"Убыток",IF(G1267=0,"Без прибыли","Прибыль &gt; 0")),"Не оценён")</x:f>
        <x:v>Не оценён</x:v>
      </x:c>
      <x:c r="AE1267" s="13" t="str">
        <x:f>IF(J1267="Рассчитано","Выручка "&amp;TEXT(V1267,"0.00")&amp;" - себестоимость "&amp;TEXT(W1267,"0.00")&amp;" - комиссия "&amp;TEXT(V1267*R1267/100,"0.00")&amp;" - доставка "&amp;TEXT(P1267,"0.00")&amp;" - прочие "&amp;TEXT(Q1267,"0.00")&amp;" = "&amp;TEXT(G1267,"0.00")&amp;" "&amp;L1267,"Введите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7" s="24" t="n">
        <x:v>4981.322554845721</x:v>
      </x:c>
      <x:c r="AG1267" s="37" t="n">
        <x:v>5218</x:v>
      </x:c>
      <x:c r="AH1267" s="37" t="n">
        <x:v>0</x:v>
      </x:c>
      <x:c r="AI1267" s="30" t="n">
        <x:v>46287</x:v>
      </x:c>
      <x:c r="AJ1267" s="37" t="n">
        <x:v>72</x:v>
      </x:c>
      <x:c r="AK1267" s="10" t="str">
        <x:v>кратность</x:v>
      </x:c>
      <x:c r="AL1267" s="32" t="n">
        <x:v>89.31520300162119</x:v>
      </x:c>
      <x:c r="AM1267" s="13" t="str">
        <x:v>Детальные и месячные продажи расходятся; Нет ежедневных данных доступности. Запас выше прогноза на 90 дней</x:v>
      </x:c>
      <x:c r="AN1267" s="13" t="str">
        <x:v>Проверить свободный остаток и установить цену для B2B</x:v>
      </x:c>
      <x:c r="AO1267" s="13" t="str">
        <x:v>Остаток 5218; прогноз 90 дней 4981.32; избыток 236 шт. Будущие поступления не выставляются на продажу.</x:v>
      </x:c>
      <x:c r="AP1267" s="13" t="str">
        <x:v>["daily_stockout_data_missing", "large_orders_detected", "new_order_lead_time_unknown", "transaction_month_mismatch"]</x:v>
      </x:c>
      <x:c r="AQ1267" s="10" t="str">
        <x:v>SE:030200225_</x:v>
      </x:c>
      <x:c r="AR1267" s="24" t="n">
        <x:v>1</x:v>
      </x:c>
      <x:c r="AS1267" s="24" t="n">
        <x:v>0</x:v>
      </x:c>
      <x:c r="AT1267" s="24" t="n">
        <x:v>0</x:v>
      </x:c>
    </x:row>
    <x:row r="1268" ht="64" customHeight="1">
      <x:c r="A1268" s="11" t="str">
        <x:v>Systeme Electric</x:v>
      </x:c>
      <x:c r="B1268" s="33" t="str">
        <x:v>030200239_</x:v>
      </x:c>
      <x:c r="C1268" s="33" t="str">
        <x:v>RA16-237I-B</x:v>
      </x:c>
      <x:c r="D1268" s="12" t="str">
        <x:v>S258  2-я.о/у. 10А IP20 "ХИТ" РА 16-237I-б / РА 16-233I-б (112) !!!</x:v>
      </x:c>
      <x:c r="E1268" s="11" t="str">
        <x:v>шт</x:v>
      </x:c>
      <x:c r="F1268" s="35" t="n">
        <x:f>MAX(0,ROUNDDOWN((AG1268-AF1268)/AR1268+0.000000001,0)*AR1268)</x:f>
        <x:v>1</x:v>
      </x:c>
      <x:c r="G1268" s="20" t="str">
        <x:f>IF(J1268="Рассчитано",V1268*(1-R1268/100)-W1268-P1268-Q1268,"н/д")</x:f>
        <x:v>н/д</x:v>
      </x:c>
      <x:c r="H1268" s="12" t="str">
        <x:v>Высокий</x:v>
      </x:c>
      <x:c r="I1268" s="12" t="str">
        <x:v>Высокий</x:v>
      </x:c>
      <x:c r="J1268" s="12" t="str">
        <x:f>IF(L1268="","Укажите валюту",IF(NOT(ISNUMBER(K1268)),"Укажите объём",IF(K1268&lt;=0,"Укажите объём",IF(K1268&gt;F1268,"Объём выше излишка",IF(COUNT(M1268:O1268)&lt;3,"Нужны цены",IF(COUNT(P1268:R1268)&lt;3,"Нужны расходы",IF(OR(M1268&lt;0,N1268&lt;0,O1268&lt;0,O1268&gt;100,P1268&lt;0,Q1268&lt;0,R1268&lt;0,R1268&gt;100),"Проверьте значения","Рассчитано")))))))</x:f>
        <x:v>Нужны цены</x:v>
      </x:c>
      <x:c r="K1268" s="36" t="n">
        <x:v>1</x:v>
      </x:c>
      <x:c r="L1268" s="19" t="str">
        <x:v>KZT</x:v>
      </x:c>
      <x:c r="M1268" s="22"/>
      <x:c r="N1268" s="22"/>
      <x:c r="O1268" s="28"/>
      <x:c r="P1268" s="22"/>
      <x:c r="Q1268" s="22"/>
      <x:c r="R1268" s="28"/>
      <x:c r="S1268" s="22"/>
      <x:c r="T1268" s="35" t="n">
        <x:f>K1268</x:f>
        <x:v>1</x:v>
      </x:c>
      <x:c r="U1268" s="20" t="str">
        <x:f>IF(J1268="Рассчитано",N1268*(1-O1268/100),"н/д")</x:f>
        <x:v>н/д</x:v>
      </x:c>
      <x:c r="V1268" s="20" t="str">
        <x:f>IF(J1268="Рассчитано",T1268*U1268,"н/д")</x:f>
        <x:v>н/д</x:v>
      </x:c>
      <x:c r="W1268" s="20" t="str">
        <x:f>IF(J1268="Рассчитано",T1268*M1268,"н/д")</x:f>
        <x:v>н/д</x:v>
      </x:c>
      <x:c r="X1268" s="20" t="str">
        <x:f>IF(J1268="Рассчитано",V1268-W1268,"н/д")</x:f>
        <x:v>н/д</x:v>
      </x:c>
      <x:c r="Y1268" s="26" t="str">
        <x:f>IF(J1268="Рассчитано",IF(V1268&gt;0,G1268/V1268,"н/д"),"н/д")</x:f>
        <x:v>н/д</x:v>
      </x:c>
      <x:c r="Z1268" s="20" t="str">
        <x:f>"н/д"</x:f>
        <x:v>н/д</x:v>
      </x:c>
      <x:c r="AA1268" s="20" t="str">
        <x:f>"н/д"</x:f>
        <x:v>н/д</x:v>
      </x:c>
      <x:c r="AB1268" s="20" t="str">
        <x:f>"н/д"</x:f>
        <x:v>н/д</x:v>
      </x:c>
      <x:c r="AC1268" s="20" t="str">
        <x:f>IF(AND(J1268="Рассчитано",T1268&gt;0,R1268&lt;100),(W1268+P1268+Q1268)/(T1268*(1-R1268/100)),"н/д")</x:f>
        <x:v>н/д</x:v>
      </x:c>
      <x:c r="AD1268" s="11" t="str">
        <x:f>IF(ISNUMBER(G1268),IF(G1268&lt;0,"Убыток",IF(G1268=0,"Без прибыли","Прибыль &gt; 0")),"Не оценён")</x:f>
        <x:v>Не оценён</x:v>
      </x:c>
      <x:c r="AE1268" s="12" t="str">
        <x:f>IF(J1268="Рассчитано","Выручка "&amp;TEXT(V1268,"0.00")&amp;" - себестоимость "&amp;TEXT(W1268,"0.00")&amp;" - комиссия "&amp;TEXT(V1268*R1268/100,"0.00")&amp;" - доставка "&amp;TEXT(P1268,"0.00")&amp;" - прочие "&amp;TEXT(Q1268,"0.00")&amp;" = "&amp;TEXT(G1268,"0.00")&amp;" "&amp;L1268,"Введите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8" s="23" t="n">
        <x:v>0</x:v>
      </x:c>
      <x:c r="AG1268" s="35" t="n">
        <x:v>1</x:v>
      </x:c>
      <x:c r="AH1268" s="35" t="n">
        <x:v>0</x:v>
      </x:c>
      <x:c r="AI1268" s="29" t="n">
        <x:v>46266</x:v>
      </x:c>
      <x:c r="AJ1268" s="35" t="n">
        <x:v>16</x:v>
      </x:c>
      <x:c r="AK1268" s="11" t="str">
        <x:v>кратность</x:v>
      </x:c>
      <x:c r="AL1268" s="31" t="str">
        <x:v>н/д</x:v>
      </x:c>
      <x:c r="AM1268" s="12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268" s="12" t="str">
        <x:v>Проверить свободный остаток и установить цену для B2B</x:v>
      </x:c>
      <x:c r="AO1268" s="12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268" s="12" t="str">
        <x:v>["category_missing", "daily_stockout_data_missing", "monthly_balance_date_assumed", "new_order_lead_time_unknown", "reservations_unknown", "stale_stock"]</x:v>
      </x:c>
      <x:c r="AQ1268" s="11" t="str">
        <x:v>SE:030200239_</x:v>
      </x:c>
      <x:c r="AR1268" s="23" t="n">
        <x:v>1</x:v>
      </x:c>
      <x:c r="AS1268" s="23" t="n">
        <x:v>0</x:v>
      </x:c>
      <x:c r="AT1268" s="23" t="n">
        <x:v>0</x:v>
      </x:c>
    </x:row>
    <x:row r="1269" ht="64" customHeight="1">
      <x:c r="A1269" s="10" t="str">
        <x:v>Systeme Electric</x:v>
      </x:c>
      <x:c r="B1269" s="34" t="str">
        <x:v>030200245_</x:v>
      </x:c>
      <x:c r="C1269" s="34" t="str">
        <x:v>GSL000131</x:v>
      </x:c>
      <x:c r="D1269" s="13" t="str">
        <x:v>S364 Выкл 3 кл 10А с/у б/рамки "GLOSSA" белый GSL131 (20)</x:v>
      </x:c>
      <x:c r="E1269" s="10" t="str">
        <x:v>шт</x:v>
      </x:c>
      <x:c r="F1269" s="37" t="n">
        <x:f>MAX(0,ROUNDDOWN((AG1269-AF1269)/AR1269+0.000000001,0)*AR1269)</x:f>
        <x:v>26</x:v>
      </x:c>
      <x:c r="G1269" s="21" t="str">
        <x:f>IF(J1269="Рассчитано",V1269*(1-R1269/100)-W1269-P1269-Q1269,"н/д")</x:f>
        <x:v>н/д</x:v>
      </x:c>
      <x:c r="H1269" s="13" t="str">
        <x:v>Высокий</x:v>
      </x:c>
      <x:c r="I1269" s="13" t="str">
        <x:v>Высокий</x:v>
      </x:c>
      <x:c r="J1269" s="13" t="str">
        <x:f>IF(L1269="","Укажите валюту",IF(NOT(ISNUMBER(K1269)),"Укажите объём",IF(K1269&lt;=0,"Укажите объём",IF(K1269&gt;F1269,"Объём выше излишка",IF(COUNT(M1269:O1269)&lt;3,"Нужны цены",IF(COUNT(P1269:R1269)&lt;3,"Нужны расходы",IF(OR(M1269&lt;0,N1269&lt;0,O1269&lt;0,O1269&gt;100,P1269&lt;0,Q1269&lt;0,R1269&lt;0,R1269&gt;100),"Проверьте значения","Рассчитано")))))))</x:f>
        <x:v>Нужны цены</x:v>
      </x:c>
      <x:c r="K1269" s="36" t="n">
        <x:v>26</x:v>
      </x:c>
      <x:c r="L1269" s="19" t="str">
        <x:v>KZT</x:v>
      </x:c>
      <x:c r="M1269" s="22"/>
      <x:c r="N1269" s="22"/>
      <x:c r="O1269" s="28"/>
      <x:c r="P1269" s="22"/>
      <x:c r="Q1269" s="22"/>
      <x:c r="R1269" s="28"/>
      <x:c r="S1269" s="22"/>
      <x:c r="T1269" s="37" t="n">
        <x:f>K1269</x:f>
        <x:v>26</x:v>
      </x:c>
      <x:c r="U1269" s="21" t="str">
        <x:f>IF(J1269="Рассчитано",N1269*(1-O1269/100),"н/д")</x:f>
        <x:v>н/д</x:v>
      </x:c>
      <x:c r="V1269" s="21" t="str">
        <x:f>IF(J1269="Рассчитано",T1269*U1269,"н/д")</x:f>
        <x:v>н/д</x:v>
      </x:c>
      <x:c r="W1269" s="21" t="str">
        <x:f>IF(J1269="Рассчитано",T1269*M1269,"н/д")</x:f>
        <x:v>н/д</x:v>
      </x:c>
      <x:c r="X1269" s="21" t="str">
        <x:f>IF(J1269="Рассчитано",V1269-W1269,"н/д")</x:f>
        <x:v>н/д</x:v>
      </x:c>
      <x:c r="Y1269" s="27" t="str">
        <x:f>IF(J1269="Рассчитано",IF(V1269&gt;0,G1269/V1269,"н/д"),"н/д")</x:f>
        <x:v>н/д</x:v>
      </x:c>
      <x:c r="Z1269" s="21" t="str">
        <x:f>"н/д"</x:f>
        <x:v>н/д</x:v>
      </x:c>
      <x:c r="AA1269" s="21" t="str">
        <x:f>"н/д"</x:f>
        <x:v>н/д</x:v>
      </x:c>
      <x:c r="AB1269" s="21" t="str">
        <x:f>"н/д"</x:f>
        <x:v>н/д</x:v>
      </x:c>
      <x:c r="AC1269" s="21" t="str">
        <x:f>IF(AND(J1269="Рассчитано",T1269&gt;0,R1269&lt;100),(W1269+P1269+Q1269)/(T1269*(1-R1269/100)),"н/д")</x:f>
        <x:v>н/д</x:v>
      </x:c>
      <x:c r="AD1269" s="10" t="str">
        <x:f>IF(ISNUMBER(G1269),IF(G1269&lt;0,"Убыток",IF(G1269=0,"Без прибыли","Прибыль &gt; 0")),"Не оценён")</x:f>
        <x:v>Не оценён</x:v>
      </x:c>
      <x:c r="AE1269" s="13" t="str">
        <x:f>IF(J1269="Рассчитано","Выручка "&amp;TEXT(V1269,"0.00")&amp;" - себестоимость "&amp;TEXT(W1269,"0.00")&amp;" - комиссия "&amp;TEXT(V1269*R1269/100,"0.00")&amp;" - доставка "&amp;TEXT(P1269,"0.00")&amp;" - прочие "&amp;TEXT(Q1269,"0.00")&amp;" = "&amp;TEXT(G1269,"0.00")&amp;" "&amp;L1269,"Введите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9" s="24" t="n">
        <x:v>4.780662868246461</x:v>
      </x:c>
      <x:c r="AG1269" s="37" t="n">
        <x:v>31</x:v>
      </x:c>
      <x:c r="AH1269" s="37" t="n">
        <x:v>0</x:v>
      </x:c>
      <x:c r="AI1269" s="30" t="n">
        <x:v>46266</x:v>
      </x:c>
      <x:c r="AJ1269" s="37" t="n">
        <x:v>20</x:v>
      </x:c>
      <x:c r="AK1269" s="10" t="str">
        <x:v>кратность</x:v>
      </x:c>
      <x:c r="AL1269" s="32" t="n">
        <x:v>552.891043636523</x:v>
      </x:c>
      <x:c r="AM126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69" s="13" t="str">
        <x:v>Проверить свободный остаток и установить цену для B2B</x:v>
      </x:c>
      <x:c r="AO1269" s="13" t="str">
        <x:v>Остаток 31; прогноз 90 дней 4.78; избыток 26 шт. Будущие поступления не выставляются на продажу. Остаток на начало сентября: требуется актуализация.</x:v>
      </x:c>
      <x:c r="AP1269" s="13" t="str">
        <x:v>["category_missing", "daily_stockout_data_missing", "monthly_balance_date_assumed", "new_order_lead_time_unknown", "reservations_unknown", "stale_stock"]</x:v>
      </x:c>
      <x:c r="AQ1269" s="10" t="str">
        <x:v>SE:030200245_</x:v>
      </x:c>
      <x:c r="AR1269" s="24" t="n">
        <x:v>1</x:v>
      </x:c>
      <x:c r="AS1269" s="24" t="n">
        <x:v>0</x:v>
      </x:c>
      <x:c r="AT1269" s="24" t="n">
        <x:v>0</x:v>
      </x:c>
    </x:row>
    <x:row r="1270" ht="64" customHeight="1">
      <x:c r="A1270" s="11" t="str">
        <x:v>Systeme Electric</x:v>
      </x:c>
      <x:c r="B1270" s="33" t="str">
        <x:v>030200252_</x:v>
      </x:c>
      <x:c r="C1270" s="33" t="str">
        <x:v>GSL000103</x:v>
      </x:c>
      <x:c r="D1270" s="12" t="str">
        <x:v>S381 Рамка 3-ная "GLOSSA" белый GSL103 (15)</x:v>
      </x:c>
      <x:c r="E1270" s="11" t="str">
        <x:v>шт</x:v>
      </x:c>
      <x:c r="F1270" s="35" t="n">
        <x:f>MAX(0,ROUNDDOWN((AG1270-AF1270)/AR1270+0.000000001,0)*AR1270)</x:f>
        <x:v>31</x:v>
      </x:c>
      <x:c r="G1270" s="20" t="str">
        <x:f>IF(J1270="Рассчитано",V1270*(1-R1270/100)-W1270-P1270-Q1270,"н/д")</x:f>
        <x:v>н/д</x:v>
      </x:c>
      <x:c r="H1270" s="12" t="str">
        <x:v>Высокий</x:v>
      </x:c>
      <x:c r="I1270" s="12" t="str">
        <x:v>Высокий</x:v>
      </x:c>
      <x:c r="J1270" s="12" t="str">
        <x:f>IF(L1270="","Укажите валюту",IF(NOT(ISNUMBER(K1270)),"Укажите объём",IF(K1270&lt;=0,"Укажите объём",IF(K1270&gt;F1270,"Объём выше излишка",IF(COUNT(M1270:O1270)&lt;3,"Нужны цены",IF(COUNT(P1270:R1270)&lt;3,"Нужны расходы",IF(OR(M1270&lt;0,N1270&lt;0,O1270&lt;0,O1270&gt;100,P1270&lt;0,Q1270&lt;0,R1270&lt;0,R1270&gt;100),"Проверьте значения","Рассчитано")))))))</x:f>
        <x:v>Нужны цены</x:v>
      </x:c>
      <x:c r="K1270" s="36" t="n">
        <x:v>31</x:v>
      </x:c>
      <x:c r="L1270" s="19" t="str">
        <x:v>KZT</x:v>
      </x:c>
      <x:c r="M1270" s="22"/>
      <x:c r="N1270" s="22"/>
      <x:c r="O1270" s="28"/>
      <x:c r="P1270" s="22"/>
      <x:c r="Q1270" s="22"/>
      <x:c r="R1270" s="28"/>
      <x:c r="S1270" s="22"/>
      <x:c r="T1270" s="35" t="n">
        <x:f>K1270</x:f>
        <x:v>31</x:v>
      </x:c>
      <x:c r="U1270" s="20" t="str">
        <x:f>IF(J1270="Рассчитано",N1270*(1-O1270/100),"н/д")</x:f>
        <x:v>н/д</x:v>
      </x:c>
      <x:c r="V1270" s="20" t="str">
        <x:f>IF(J1270="Рассчитано",T1270*U1270,"н/д")</x:f>
        <x:v>н/д</x:v>
      </x:c>
      <x:c r="W1270" s="20" t="str">
        <x:f>IF(J1270="Рассчитано",T1270*M1270,"н/д")</x:f>
        <x:v>н/д</x:v>
      </x:c>
      <x:c r="X1270" s="20" t="str">
        <x:f>IF(J1270="Рассчитано",V1270-W1270,"н/д")</x:f>
        <x:v>н/д</x:v>
      </x:c>
      <x:c r="Y1270" s="26" t="str">
        <x:f>IF(J1270="Рассчитано",IF(V1270&gt;0,G1270/V1270,"н/д"),"н/д")</x:f>
        <x:v>н/д</x:v>
      </x:c>
      <x:c r="Z1270" s="20" t="str">
        <x:f>"н/д"</x:f>
        <x:v>н/д</x:v>
      </x:c>
      <x:c r="AA1270" s="20" t="str">
        <x:f>"н/д"</x:f>
        <x:v>н/д</x:v>
      </x:c>
      <x:c r="AB1270" s="20" t="str">
        <x:f>"н/д"</x:f>
        <x:v>н/д</x:v>
      </x:c>
      <x:c r="AC1270" s="20" t="str">
        <x:f>IF(AND(J1270="Рассчитано",T1270&gt;0,R1270&lt;100),(W1270+P1270+Q1270)/(T1270*(1-R1270/100)),"н/д")</x:f>
        <x:v>н/д</x:v>
      </x:c>
      <x:c r="AD1270" s="11" t="str">
        <x:f>IF(ISNUMBER(G1270),IF(G1270&lt;0,"Убыток",IF(G1270=0,"Без прибыли","Прибыль &gt; 0")),"Не оценён")</x:f>
        <x:v>Не оценён</x:v>
      </x:c>
      <x:c r="AE1270" s="12" t="str">
        <x:f>IF(J1270="Рассчитано","Выручка "&amp;TEXT(V1270,"0.00")&amp;" - себестоимость "&amp;TEXT(W1270,"0.00")&amp;" - комиссия "&amp;TEXT(V1270*R1270/100,"0.00")&amp;" - доставка "&amp;TEXT(P1270,"0.00")&amp;" - прочие "&amp;TEXT(Q1270,"0.00")&amp;" = "&amp;TEXT(G1270,"0.00")&amp;" "&amp;L1270,"Введите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0" s="23" t="n">
        <x:v>4.0426391692559545</x:v>
      </x:c>
      <x:c r="AG1270" s="35" t="n">
        <x:v>36</x:v>
      </x:c>
      <x:c r="AH1270" s="35" t="n">
        <x:v>0</x:v>
      </x:c>
      <x:c r="AI1270" s="29" t="n">
        <x:v>46266</x:v>
      </x:c>
      <x:c r="AJ1270" s="35" t="n">
        <x:v>15</x:v>
      </x:c>
      <x:c r="AK1270" s="11" t="str">
        <x:v>кратность</x:v>
      </x:c>
      <x:c r="AL1270" s="31" t="n">
        <x:v>759.2826926561761</x:v>
      </x:c>
      <x:c r="AM127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70" s="12" t="str">
        <x:v>Проверить свободный остаток и установить цену для B2B</x:v>
      </x:c>
      <x:c r="AO1270" s="12" t="str">
        <x:v>Остаток 36; прогноз 90 дней 4.04; избыток 31 шт. Будущие поступления не выставляются на продажу. Остаток на начало сентября: требуется актуализация.</x:v>
      </x:c>
      <x:c r="AP1270" s="12" t="str">
        <x:v>["category_missing", "daily_stockout_data_missing", "monthly_balance_date_assumed", "new_order_lead_time_unknown", "reservations_unknown", "stale_stock"]</x:v>
      </x:c>
      <x:c r="AQ1270" s="11" t="str">
        <x:v>SE:030200252_</x:v>
      </x:c>
      <x:c r="AR1270" s="23" t="n">
        <x:v>1</x:v>
      </x:c>
      <x:c r="AS1270" s="23" t="n">
        <x:v>0</x:v>
      </x:c>
      <x:c r="AT1270" s="23" t="n">
        <x:v>0</x:v>
      </x:c>
    </x:row>
    <x:row r="1271" ht="64" customHeight="1">
      <x:c r="A1271" s="10" t="str">
        <x:v>Systeme Electric</x:v>
      </x:c>
      <x:c r="B1271" s="34" t="str">
        <x:v>030200253_</x:v>
      </x:c>
      <x:c r="C1271" s="34" t="str">
        <x:v>GSL000104</x:v>
      </x:c>
      <x:c r="D1271" s="13" t="str">
        <x:v>S382 Рамка 4-ная "GLOSSA" белый GSL104 (15)</x:v>
      </x:c>
      <x:c r="E1271" s="10" t="str">
        <x:v>шт</x:v>
      </x:c>
      <x:c r="F1271" s="37" t="n">
        <x:f>MAX(0,ROUNDDOWN((AG1271-AF1271)/AR1271+0.000000001,0)*AR1271)</x:f>
        <x:v>15</x:v>
      </x:c>
      <x:c r="G1271" s="21" t="str">
        <x:f>IF(J1271="Рассчитано",V1271*(1-R1271/100)-W1271-P1271-Q1271,"н/д")</x:f>
        <x:v>н/д</x:v>
      </x:c>
      <x:c r="H1271" s="13" t="str">
        <x:v>Высокий</x:v>
      </x:c>
      <x:c r="I1271" s="13" t="str">
        <x:v>Высокий</x:v>
      </x:c>
      <x:c r="J1271" s="13" t="str">
        <x:f>IF(L1271="","Укажите валюту",IF(NOT(ISNUMBER(K1271)),"Укажите объём",IF(K1271&lt;=0,"Укажите объём",IF(K1271&gt;F1271,"Объём выше излишка",IF(COUNT(M1271:O1271)&lt;3,"Нужны цены",IF(COUNT(P1271:R1271)&lt;3,"Нужны расходы",IF(OR(M1271&lt;0,N1271&lt;0,O1271&lt;0,O1271&gt;100,P1271&lt;0,Q1271&lt;0,R1271&lt;0,R1271&gt;100),"Проверьте значения","Рассчитано")))))))</x:f>
        <x:v>Нужны цены</x:v>
      </x:c>
      <x:c r="K1271" s="36" t="n">
        <x:v>15</x:v>
      </x:c>
      <x:c r="L1271" s="19" t="str">
        <x:v>KZT</x:v>
      </x:c>
      <x:c r="M1271" s="22"/>
      <x:c r="N1271" s="22"/>
      <x:c r="O1271" s="28"/>
      <x:c r="P1271" s="22"/>
      <x:c r="Q1271" s="22"/>
      <x:c r="R1271" s="28"/>
      <x:c r="S1271" s="22"/>
      <x:c r="T1271" s="37" t="n">
        <x:f>K1271</x:f>
        <x:v>15</x:v>
      </x:c>
      <x:c r="U1271" s="21" t="str">
        <x:f>IF(J1271="Рассчитано",N1271*(1-O1271/100),"н/д")</x:f>
        <x:v>н/д</x:v>
      </x:c>
      <x:c r="V1271" s="21" t="str">
        <x:f>IF(J1271="Рассчитано",T1271*U1271,"н/д")</x:f>
        <x:v>н/д</x:v>
      </x:c>
      <x:c r="W1271" s="21" t="str">
        <x:f>IF(J1271="Рассчитано",T1271*M1271,"н/д")</x:f>
        <x:v>н/д</x:v>
      </x:c>
      <x:c r="X1271" s="21" t="str">
        <x:f>IF(J1271="Рассчитано",V1271-W1271,"н/д")</x:f>
        <x:v>н/д</x:v>
      </x:c>
      <x:c r="Y1271" s="27" t="str">
        <x:f>IF(J1271="Рассчитано",IF(V1271&gt;0,G1271/V1271,"н/д"),"н/д")</x:f>
        <x:v>н/д</x:v>
      </x:c>
      <x:c r="Z1271" s="21" t="str">
        <x:f>"н/д"</x:f>
        <x:v>н/д</x:v>
      </x:c>
      <x:c r="AA1271" s="21" t="str">
        <x:f>"н/д"</x:f>
        <x:v>н/д</x:v>
      </x:c>
      <x:c r="AB1271" s="21" t="str">
        <x:f>"н/д"</x:f>
        <x:v>н/д</x:v>
      </x:c>
      <x:c r="AC1271" s="21" t="str">
        <x:f>IF(AND(J1271="Рассчитано",T1271&gt;0,R1271&lt;100),(W1271+P1271+Q1271)/(T1271*(1-R1271/100)),"н/д")</x:f>
        <x:v>н/д</x:v>
      </x:c>
      <x:c r="AD1271" s="10" t="str">
        <x:f>IF(ISNUMBER(G1271),IF(G1271&lt;0,"Убыток",IF(G1271=0,"Без прибыли","Прибыль &gt; 0")),"Не оценён")</x:f>
        <x:v>Не оценён</x:v>
      </x:c>
      <x:c r="AE1271" s="13" t="str">
        <x:f>IF(J1271="Рассчитано","Выручка "&amp;TEXT(V1271,"0.00")&amp;" - себестоимость "&amp;TEXT(W1271,"0.00")&amp;" - комиссия "&amp;TEXT(V1271*R1271/100,"0.00")&amp;" - доставка "&amp;TEXT(P1271,"0.00")&amp;" - прочие "&amp;TEXT(Q1271,"0.00")&amp;" = "&amp;TEXT(G1271,"0.00")&amp;" "&amp;L1271,"Введите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1" s="24" t="n">
        <x:v>1.534822680837817</x:v>
      </x:c>
      <x:c r="AG1271" s="37" t="n">
        <x:v>17</x:v>
      </x:c>
      <x:c r="AH1271" s="37" t="n">
        <x:v>0</x:v>
      </x:c>
      <x:c r="AI1271" s="30" t="n">
        <x:v>46266</x:v>
      </x:c>
      <x:c r="AJ1271" s="37" t="n">
        <x:v>15</x:v>
      </x:c>
      <x:c r="AK1271" s="10" t="str">
        <x:v>кратность</x:v>
      </x:c>
      <x:c r="AL1271" s="32" t="n">
        <x:v>944.4015525425987</x:v>
      </x:c>
      <x:c r="AM127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71" s="13" t="str">
        <x:v>Проверить свободный остаток и установить цену для B2B</x:v>
      </x:c>
      <x:c r="AO1271" s="13" t="str">
        <x:v>Остаток 17; прогноз 90 дней 1.53; избыток 15 шт. Будущие поступления не выставляются на продажу. Остаток на начало сентября: требуется актуализация.</x:v>
      </x:c>
      <x:c r="AP1271" s="13" t="str">
        <x:v>["category_missing", "daily_stockout_data_missing", "monthly_balance_date_assumed", "new_order_lead_time_unknown", "reservations_unknown", "stale_stock"]</x:v>
      </x:c>
      <x:c r="AQ1271" s="10" t="str">
        <x:v>SE:030200253_</x:v>
      </x:c>
      <x:c r="AR1271" s="24" t="n">
        <x:v>1</x:v>
      </x:c>
      <x:c r="AS1271" s="24" t="n">
        <x:v>0</x:v>
      </x:c>
      <x:c r="AT1271" s="24" t="n">
        <x:v>0</x:v>
      </x:c>
    </x:row>
    <x:row r="1272" ht="64" customHeight="1">
      <x:c r="A1272" s="11" t="str">
        <x:v>Systeme Electric</x:v>
      </x:c>
      <x:c r="B1272" s="33" t="str">
        <x:v>030200254_</x:v>
      </x:c>
      <x:c r="C1272" s="33" t="str">
        <x:v>GSL000105</x:v>
      </x:c>
      <x:c r="D1272" s="12" t="str">
        <x:v>S383 Рамка 5-ная "GLOSSA" белый GSL105 (5)</x:v>
      </x:c>
      <x:c r="E1272" s="11" t="str">
        <x:v>шт</x:v>
      </x:c>
      <x:c r="F1272" s="35" t="n">
        <x:f>MAX(0,ROUNDDOWN((AG1272-AF1272)/AR1272+0.000000001,0)*AR1272)</x:f>
        <x:v>18</x:v>
      </x:c>
      <x:c r="G1272" s="20" t="str">
        <x:f>IF(J1272="Рассчитано",V1272*(1-R1272/100)-W1272-P1272-Q1272,"н/д")</x:f>
        <x:v>н/д</x:v>
      </x:c>
      <x:c r="H1272" s="12" t="str">
        <x:v>Высокий</x:v>
      </x:c>
      <x:c r="I1272" s="12" t="str">
        <x:v>Высокий</x:v>
      </x:c>
      <x:c r="J1272" s="12" t="str">
        <x:f>IF(L1272="","Укажите валюту",IF(NOT(ISNUMBER(K1272)),"Укажите объём",IF(K1272&lt;=0,"Укажите объём",IF(K1272&gt;F1272,"Объём выше излишка",IF(COUNT(M1272:O1272)&lt;3,"Нужны цены",IF(COUNT(P1272:R1272)&lt;3,"Нужны расходы",IF(OR(M1272&lt;0,N1272&lt;0,O1272&lt;0,O1272&gt;100,P1272&lt;0,Q1272&lt;0,R1272&lt;0,R1272&gt;100),"Проверьте значения","Рассчитано")))))))</x:f>
        <x:v>Нужны цены</x:v>
      </x:c>
      <x:c r="K1272" s="36" t="n">
        <x:v>18</x:v>
      </x:c>
      <x:c r="L1272" s="19" t="str">
        <x:v>KZT</x:v>
      </x:c>
      <x:c r="M1272" s="22"/>
      <x:c r="N1272" s="22"/>
      <x:c r="O1272" s="28"/>
      <x:c r="P1272" s="22"/>
      <x:c r="Q1272" s="22"/>
      <x:c r="R1272" s="28"/>
      <x:c r="S1272" s="22"/>
      <x:c r="T1272" s="35" t="n">
        <x:f>K1272</x:f>
        <x:v>18</x:v>
      </x:c>
      <x:c r="U1272" s="20" t="str">
        <x:f>IF(J1272="Рассчитано",N1272*(1-O1272/100),"н/д")</x:f>
        <x:v>н/д</x:v>
      </x:c>
      <x:c r="V1272" s="20" t="str">
        <x:f>IF(J1272="Рассчитано",T1272*U1272,"н/д")</x:f>
        <x:v>н/д</x:v>
      </x:c>
      <x:c r="W1272" s="20" t="str">
        <x:f>IF(J1272="Рассчитано",T1272*M1272,"н/д")</x:f>
        <x:v>н/д</x:v>
      </x:c>
      <x:c r="X1272" s="20" t="str">
        <x:f>IF(J1272="Рассчитано",V1272-W1272,"н/д")</x:f>
        <x:v>н/д</x:v>
      </x:c>
      <x:c r="Y1272" s="26" t="str">
        <x:f>IF(J1272="Рассчитано",IF(V1272&gt;0,G1272/V1272,"н/д"),"н/д")</x:f>
        <x:v>н/д</x:v>
      </x:c>
      <x:c r="Z1272" s="20" t="str">
        <x:f>"н/д"</x:f>
        <x:v>н/д</x:v>
      </x:c>
      <x:c r="AA1272" s="20" t="str">
        <x:f>"н/д"</x:f>
        <x:v>н/д</x:v>
      </x:c>
      <x:c r="AB1272" s="20" t="str">
        <x:f>"н/д"</x:f>
        <x:v>н/д</x:v>
      </x:c>
      <x:c r="AC1272" s="20" t="str">
        <x:f>IF(AND(J1272="Рассчитано",T1272&gt;0,R1272&lt;100),(W1272+P1272+Q1272)/(T1272*(1-R1272/100)),"н/д")</x:f>
        <x:v>н/д</x:v>
      </x:c>
      <x:c r="AD1272" s="11" t="str">
        <x:f>IF(ISNUMBER(G1272),IF(G1272&lt;0,"Убыток",IF(G1272=0,"Без прибыли","Прибыль &gt; 0")),"Не оценён")</x:f>
        <x:v>Не оценён</x:v>
      </x:c>
      <x:c r="AE1272" s="12" t="str">
        <x:f>IF(J1272="Рассчитано","Выручка "&amp;TEXT(V1272,"0.00")&amp;" - себестоимость "&amp;TEXT(W1272,"0.00")&amp;" - комиссия "&amp;TEXT(V1272*R1272/100,"0.00")&amp;" - доставка "&amp;TEXT(P1272,"0.00")&amp;" - прочие "&amp;TEXT(Q1272,"0.00")&amp;" = "&amp;TEXT(G1272,"0.00")&amp;" "&amp;L1272,"Введите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2" s="23" t="n">
        <x:v>0.3191023562455525</x:v>
      </x:c>
      <x:c r="AG1272" s="35" t="n">
        <x:v>19</x:v>
      </x:c>
      <x:c r="AH1272" s="35" t="n">
        <x:v>0</x:v>
      </x:c>
      <x:c r="AI1272" s="29" t="n">
        <x:v>46266</x:v>
      </x:c>
      <x:c r="AJ1272" s="35" t="n">
        <x:v>5</x:v>
      </x:c>
      <x:c r="AK1272" s="11" t="str">
        <x:v>кратность</x:v>
      </x:c>
      <x:c r="AL1272" s="31" t="n">
        <x:v>5076.794324773147</x:v>
      </x:c>
      <x:c r="AM127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72" s="12" t="str">
        <x:v>Проверить свободный остаток и установить цену для B2B</x:v>
      </x:c>
      <x:c r="AO1272" s="12" t="str">
        <x:v>Остаток 19; прогноз 90 дней 0.32; избыток 18 шт. Будущие поступления не выставляются на продажу. Остаток на начало сентября: требуется актуализация.</x:v>
      </x:c>
      <x:c r="AP1272" s="12" t="str">
        <x:v>["category_missing", "daily_stockout_data_missing", "monthly_balance_date_assumed", "new_order_lead_time_unknown", "reservations_unknown", "stale_stock"]</x:v>
      </x:c>
      <x:c r="AQ1272" s="11" t="str">
        <x:v>SE:030200254_</x:v>
      </x:c>
      <x:c r="AR1272" s="23" t="n">
        <x:v>1</x:v>
      </x:c>
      <x:c r="AS1272" s="23" t="n">
        <x:v>0</x:v>
      </x:c>
      <x:c r="AT1272" s="23" t="n">
        <x:v>0</x:v>
      </x:c>
    </x:row>
    <x:row r="1273" ht="64" customHeight="1">
      <x:c r="A1273" s="10" t="str">
        <x:v>Systeme Electric</x:v>
      </x:c>
      <x:c r="B1273" s="34" t="str">
        <x:v>030200382_</x:v>
      </x:c>
      <x:c r="C1273" s="34" t="str">
        <x:v>VS510-252-18</x:v>
      </x:c>
      <x:c r="D1273" s="13" t="str">
        <x:v>S179   2кл с/у 16А  "Wessen 59" ВС 510-252-18 (10/60) !!!</x:v>
      </x:c>
      <x:c r="E1273" s="10" t="str">
        <x:v>шт</x:v>
      </x:c>
      <x:c r="F1273" s="37" t="n">
        <x:f>MAX(0,ROUNDDOWN((AG1273-AF1273)/AR1273+0.000000001,0)*AR1273)</x:f>
        <x:v>19</x:v>
      </x:c>
      <x:c r="G1273" s="21" t="str">
        <x:f>IF(J1273="Рассчитано",V1273*(1-R1273/100)-W1273-P1273-Q1273,"н/д")</x:f>
        <x:v>н/д</x:v>
      </x:c>
      <x:c r="H1273" s="13" t="str">
        <x:v>Высокий</x:v>
      </x:c>
      <x:c r="I1273" s="13" t="str">
        <x:v>Высокий</x:v>
      </x:c>
      <x:c r="J1273" s="13" t="str">
        <x:f>IF(L1273="","Укажите валюту",IF(NOT(ISNUMBER(K1273)),"Укажите объём",IF(K1273&lt;=0,"Укажите объём",IF(K1273&gt;F1273,"Объём выше излишка",IF(COUNT(M1273:O1273)&lt;3,"Нужны цены",IF(COUNT(P1273:R1273)&lt;3,"Нужны расходы",IF(OR(M1273&lt;0,N1273&lt;0,O1273&lt;0,O1273&gt;100,P1273&lt;0,Q1273&lt;0,R1273&lt;0,R1273&gt;100),"Проверьте значения","Рассчитано")))))))</x:f>
        <x:v>Нужны цены</x:v>
      </x:c>
      <x:c r="K1273" s="36" t="n">
        <x:v>19</x:v>
      </x:c>
      <x:c r="L1273" s="19" t="str">
        <x:v>KZT</x:v>
      </x:c>
      <x:c r="M1273" s="22"/>
      <x:c r="N1273" s="22"/>
      <x:c r="O1273" s="28"/>
      <x:c r="P1273" s="22"/>
      <x:c r="Q1273" s="22"/>
      <x:c r="R1273" s="28"/>
      <x:c r="S1273" s="22"/>
      <x:c r="T1273" s="37" t="n">
        <x:f>K1273</x:f>
        <x:v>19</x:v>
      </x:c>
      <x:c r="U1273" s="21" t="str">
        <x:f>IF(J1273="Рассчитано",N1273*(1-O1273/100),"н/д")</x:f>
        <x:v>н/д</x:v>
      </x:c>
      <x:c r="V1273" s="21" t="str">
        <x:f>IF(J1273="Рассчитано",T1273*U1273,"н/д")</x:f>
        <x:v>н/д</x:v>
      </x:c>
      <x:c r="W1273" s="21" t="str">
        <x:f>IF(J1273="Рассчитано",T1273*M1273,"н/д")</x:f>
        <x:v>н/д</x:v>
      </x:c>
      <x:c r="X1273" s="21" t="str">
        <x:f>IF(J1273="Рассчитано",V1273-W1273,"н/д")</x:f>
        <x:v>н/д</x:v>
      </x:c>
      <x:c r="Y1273" s="27" t="str">
        <x:f>IF(J1273="Рассчитано",IF(V1273&gt;0,G1273/V1273,"н/д"),"н/д")</x:f>
        <x:v>н/д</x:v>
      </x:c>
      <x:c r="Z1273" s="21" t="str">
        <x:f>"н/д"</x:f>
        <x:v>н/д</x:v>
      </x:c>
      <x:c r="AA1273" s="21" t="str">
        <x:f>"н/д"</x:f>
        <x:v>н/д</x:v>
      </x:c>
      <x:c r="AB1273" s="21" t="str">
        <x:f>"н/д"</x:f>
        <x:v>н/д</x:v>
      </x:c>
      <x:c r="AC1273" s="21" t="str">
        <x:f>IF(AND(J1273="Рассчитано",T1273&gt;0,R1273&lt;100),(W1273+P1273+Q1273)/(T1273*(1-R1273/100)),"н/д")</x:f>
        <x:v>н/д</x:v>
      </x:c>
      <x:c r="AD1273" s="10" t="str">
        <x:f>IF(ISNUMBER(G1273),IF(G1273&lt;0,"Убыток",IF(G1273=0,"Без прибыли","Прибыль &gt; 0")),"Не оценён")</x:f>
        <x:v>Не оценён</x:v>
      </x:c>
      <x:c r="AE1273" s="13" t="str">
        <x:f>IF(J1273="Рассчитано","Выручка "&amp;TEXT(V1273,"0.00")&amp;" - себестоимость "&amp;TEXT(W1273,"0.00")&amp;" - комиссия "&amp;TEXT(V1273*R1273/100,"0.00")&amp;" - доставка "&amp;TEXT(P1273,"0.00")&amp;" - прочие "&amp;TEXT(Q1273,"0.00")&amp;" = "&amp;TEXT(G1273,"0.00")&amp;" "&amp;L1273,"Введите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3" s="24" t="n">
        <x:v>14.253853447018408</x:v>
      </x:c>
      <x:c r="AG1273" s="37" t="n">
        <x:v>34</x:v>
      </x:c>
      <x:c r="AH1273" s="37" t="n">
        <x:v>0</x:v>
      </x:c>
      <x:c r="AI1273" s="30" t="n">
        <x:v>46266</x:v>
      </x:c>
      <x:c r="AJ1273" s="37" t="n">
        <x:v>1</x:v>
      </x:c>
      <x:c r="AK1273" s="10" t="str">
        <x:v>кратность</x:v>
      </x:c>
      <x:c r="AL1273" s="32" t="n">
        <x:v>203.38204374677787</x:v>
      </x:c>
      <x:c r="AM1273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73" s="13" t="str">
        <x:v>Проверить свободный остаток и установить цену для B2B</x:v>
      </x:c>
      <x:c r="AO1273" s="13" t="str">
        <x:v>Остаток 34; прогноз 90 дней 14.25; избыток 19 шт. Будущие поступления не выставляются на продажу. Остаток на начало сентября: требуется актуализация.</x:v>
      </x:c>
      <x:c r="AP1273" s="13" t="str">
        <x:v>["category_missing", "daily_stockout_data_missing", "monthly_balance_date_assumed", "negative_net_sales_clipped_for_forecast", "new_order_lead_time_unknown", "reservations_unknown", "stale_stock"]</x:v>
      </x:c>
      <x:c r="AQ1273" s="10" t="str">
        <x:v>SE:030200382_</x:v>
      </x:c>
      <x:c r="AR1273" s="24" t="n">
        <x:v>1</x:v>
      </x:c>
      <x:c r="AS1273" s="24" t="n">
        <x:v>0</x:v>
      </x:c>
      <x:c r="AT1273" s="24" t="n">
        <x:v>0</x:v>
      </x:c>
    </x:row>
    <x:row r="1274" ht="64" customHeight="1">
      <x:c r="A1274" s="11" t="str">
        <x:v>Systeme Electric</x:v>
      </x:c>
      <x:c r="B1274" s="33" t="str">
        <x:v>030300014_</x:v>
      </x:c>
      <x:c r="C1274" s="33" t="str">
        <x:v>U192</x:v>
      </x:c>
      <x:c r="D1274" s="12" t="str">
        <x:v>Распределительная коробка с/у для твердых стен 102х36 карболит IP30 У-192 Systeme Electric (56)</x:v>
      </x:c>
      <x:c r="E1274" s="11" t="str">
        <x:v>шт</x:v>
      </x:c>
      <x:c r="F1274" s="35" t="n">
        <x:f>MAX(0,ROUNDDOWN((AG1274-AF1274)/AR1274+0.000000001,0)*AR1274)</x:f>
        <x:v>553</x:v>
      </x:c>
      <x:c r="G1274" s="20" t="str">
        <x:f>IF(J1274="Рассчитано",V1274*(1-R1274/100)-W1274-P1274-Q1274,"н/д")</x:f>
        <x:v>н/д</x:v>
      </x:c>
      <x:c r="H1274" s="12" t="str">
        <x:v>Средний</x:v>
      </x:c>
      <x:c r="I1274" s="12" t="str">
        <x:v>Высокий</x:v>
      </x:c>
      <x:c r="J1274" s="12" t="str">
        <x:f>IF(L1274="","Укажите валюту",IF(NOT(ISNUMBER(K1274)),"Укажите объём",IF(K1274&lt;=0,"Укажите объём",IF(K1274&gt;F1274,"Объём выше излишка",IF(COUNT(M1274:O1274)&lt;3,"Нужны цены",IF(COUNT(P1274:R1274)&lt;3,"Нужны расходы",IF(OR(M1274&lt;0,N1274&lt;0,O1274&lt;0,O1274&gt;100,P1274&lt;0,Q1274&lt;0,R1274&lt;0,R1274&gt;100),"Проверьте значения","Рассчитано")))))))</x:f>
        <x:v>Нужны цены</x:v>
      </x:c>
      <x:c r="K1274" s="36" t="n">
        <x:v>553</x:v>
      </x:c>
      <x:c r="L1274" s="19" t="str">
        <x:v>KZT</x:v>
      </x:c>
      <x:c r="M1274" s="22"/>
      <x:c r="N1274" s="22"/>
      <x:c r="O1274" s="28"/>
      <x:c r="P1274" s="22"/>
      <x:c r="Q1274" s="22"/>
      <x:c r="R1274" s="28"/>
      <x:c r="S1274" s="22"/>
      <x:c r="T1274" s="35" t="n">
        <x:f>K1274</x:f>
        <x:v>553</x:v>
      </x:c>
      <x:c r="U1274" s="20" t="str">
        <x:f>IF(J1274="Рассчитано",N1274*(1-O1274/100),"н/д")</x:f>
        <x:v>н/д</x:v>
      </x:c>
      <x:c r="V1274" s="20" t="str">
        <x:f>IF(J1274="Рассчитано",T1274*U1274,"н/д")</x:f>
        <x:v>н/д</x:v>
      </x:c>
      <x:c r="W1274" s="20" t="str">
        <x:f>IF(J1274="Рассчитано",T1274*M1274,"н/д")</x:f>
        <x:v>н/д</x:v>
      </x:c>
      <x:c r="X1274" s="20" t="str">
        <x:f>IF(J1274="Рассчитано",V1274-W1274,"н/д")</x:f>
        <x:v>н/д</x:v>
      </x:c>
      <x:c r="Y1274" s="26" t="str">
        <x:f>IF(J1274="Рассчитано",IF(V1274&gt;0,G1274/V1274,"н/д"),"н/д")</x:f>
        <x:v>н/д</x:v>
      </x:c>
      <x:c r="Z1274" s="20" t="str">
        <x:f>"н/д"</x:f>
        <x:v>н/д</x:v>
      </x:c>
      <x:c r="AA1274" s="20" t="str">
        <x:f>"н/д"</x:f>
        <x:v>н/д</x:v>
      </x:c>
      <x:c r="AB1274" s="20" t="str">
        <x:f>"н/д"</x:f>
        <x:v>н/д</x:v>
      </x:c>
      <x:c r="AC1274" s="20" t="str">
        <x:f>IF(AND(J1274="Рассчитано",T1274&gt;0,R1274&lt;100),(W1274+P1274+Q1274)/(T1274*(1-R1274/100)),"н/д")</x:f>
        <x:v>н/д</x:v>
      </x:c>
      <x:c r="AD1274" s="11" t="str">
        <x:f>IF(ISNUMBER(G1274),IF(G1274&lt;0,"Убыток",IF(G1274=0,"Без прибыли","Прибыль &gt; 0")),"Не оценён")</x:f>
        <x:v>Не оценён</x:v>
      </x:c>
      <x:c r="AE1274" s="12" t="str">
        <x:f>IF(J1274="Рассчитано","Выручка "&amp;TEXT(V1274,"0.00")&amp;" - себестоимость "&amp;TEXT(W1274,"0.00")&amp;" - комиссия "&amp;TEXT(V1274*R1274/100,"0.00")&amp;" - доставка "&amp;TEXT(P1274,"0.00")&amp;" - прочие "&amp;TEXT(Q1274,"0.00")&amp;" = "&amp;TEXT(G1274,"0.00")&amp;" "&amp;L1274,"Введите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4" s="23" t="n">
        <x:v>440.4842086997106</x:v>
      </x:c>
      <x:c r="AG1274" s="35" t="n">
        <x:v>994</x:v>
      </x:c>
      <x:c r="AH1274" s="35" t="n">
        <x:v>0</x:v>
      </x:c>
      <x:c r="AI1274" s="29" t="n">
        <x:v>46287</x:v>
      </x:c>
      <x:c r="AJ1274" s="35" t="n">
        <x:v>56</x:v>
      </x:c>
      <x:c r="AK1274" s="11" t="str">
        <x:v>кратность</x:v>
      </x:c>
      <x:c r="AL1274" s="31" t="n">
        <x:v>192.40751035935378</x:v>
      </x:c>
      <x:c r="AM1274" s="12" t="str">
        <x:v>Детальные и месячные продажи расходятся; Нет ежедневных данных доступности. Запас более 180 дней при среднем спросе</x:v>
      </x:c>
      <x:c r="AN1274" s="12" t="str">
        <x:v>Проверить свободный остаток и установить цену для B2B</x:v>
      </x:c>
      <x:c r="AO1274" s="12" t="str">
        <x:v>Остаток 994; прогноз 90 дней 440.48; избыток 553 шт. Будущие поступления не выставляются на продажу.</x:v>
      </x:c>
      <x:c r="AP1274" s="12" t="str">
        <x:v>["daily_stockout_data_missing", "large_orders_detected", "new_order_lead_time_unknown", "transaction_month_mismatch"]</x:v>
      </x:c>
      <x:c r="AQ1274" s="11" t="str">
        <x:v>SE:030300014_</x:v>
      </x:c>
      <x:c r="AR1274" s="23" t="n">
        <x:v>1</x:v>
      </x:c>
      <x:c r="AS1274" s="23" t="n">
        <x:v>0</x:v>
      </x:c>
      <x:c r="AT1274" s="23" t="n">
        <x:v>0</x:v>
      </x:c>
    </x:row>
    <x:row r="1275" ht="64" customHeight="1">
      <x:c r="A1275" s="10" t="str">
        <x:v>Systeme Electric</x:v>
      </x:c>
      <x:c r="B1275" s="34" t="str">
        <x:v>030300078_</x:v>
      </x:c>
      <x:c r="C1275" s="34" t="str">
        <x:v>U191</x:v>
      </x:c>
      <x:c r="D1275" s="13" t="str">
        <x:v>Распределительная коробка с/у для твердых стен 102х15 карболит IP30 У-191 Systeme Electric (100)</x:v>
      </x:c>
      <x:c r="E1275" s="10" t="str">
        <x:v>шт</x:v>
      </x:c>
      <x:c r="F1275" s="37" t="n">
        <x:f>MAX(0,ROUNDDOWN((AG1275-AF1275)/AR1275+0.000000001,0)*AR1275)</x:f>
        <x:v>77</x:v>
      </x:c>
      <x:c r="G1275" s="21" t="str">
        <x:f>IF(J1275="Рассчитано",V1275*(1-R1275/100)-W1275-P1275-Q1275,"н/д")</x:f>
        <x:v>н/д</x:v>
      </x:c>
      <x:c r="H1275" s="13" t="str">
        <x:v>Высокий</x:v>
      </x:c>
      <x:c r="I1275" s="13" t="str">
        <x:v>Высокий</x:v>
      </x:c>
      <x:c r="J1275" s="13" t="str">
        <x:f>IF(L1275="","Укажите валюту",IF(NOT(ISNUMBER(K1275)),"Укажите объём",IF(K1275&lt;=0,"Укажите объём",IF(K1275&gt;F1275,"Объём выше излишка",IF(COUNT(M1275:O1275)&lt;3,"Нужны цены",IF(COUNT(P1275:R1275)&lt;3,"Нужны расходы",IF(OR(M1275&lt;0,N1275&lt;0,O1275&lt;0,O1275&gt;100,P1275&lt;0,Q1275&lt;0,R1275&lt;0,R1275&gt;100),"Проверьте значения","Рассчитано")))))))</x:f>
        <x:v>Нужны цены</x:v>
      </x:c>
      <x:c r="K1275" s="36" t="n">
        <x:v>77</x:v>
      </x:c>
      <x:c r="L1275" s="19" t="str">
        <x:v>KZT</x:v>
      </x:c>
      <x:c r="M1275" s="22"/>
      <x:c r="N1275" s="22"/>
      <x:c r="O1275" s="28"/>
      <x:c r="P1275" s="22"/>
      <x:c r="Q1275" s="22"/>
      <x:c r="R1275" s="28"/>
      <x:c r="S1275" s="22"/>
      <x:c r="T1275" s="37" t="n">
        <x:f>K1275</x:f>
        <x:v>77</x:v>
      </x:c>
      <x:c r="U1275" s="21" t="str">
        <x:f>IF(J1275="Рассчитано",N1275*(1-O1275/100),"н/д")</x:f>
        <x:v>н/д</x:v>
      </x:c>
      <x:c r="V1275" s="21" t="str">
        <x:f>IF(J1275="Рассчитано",T1275*U1275,"н/д")</x:f>
        <x:v>н/д</x:v>
      </x:c>
      <x:c r="W1275" s="21" t="str">
        <x:f>IF(J1275="Рассчитано",T1275*M1275,"н/д")</x:f>
        <x:v>н/д</x:v>
      </x:c>
      <x:c r="X1275" s="21" t="str">
        <x:f>IF(J1275="Рассчитано",V1275-W1275,"н/д")</x:f>
        <x:v>н/д</x:v>
      </x:c>
      <x:c r="Y1275" s="27" t="str">
        <x:f>IF(J1275="Рассчитано",IF(V1275&gt;0,G1275/V1275,"н/д"),"н/д")</x:f>
        <x:v>н/д</x:v>
      </x:c>
      <x:c r="Z1275" s="21" t="str">
        <x:f>"н/д"</x:f>
        <x:v>н/д</x:v>
      </x:c>
      <x:c r="AA1275" s="21" t="str">
        <x:f>"н/д"</x:f>
        <x:v>н/д</x:v>
      </x:c>
      <x:c r="AB1275" s="21" t="str">
        <x:f>"н/д"</x:f>
        <x:v>н/д</x:v>
      </x:c>
      <x:c r="AC1275" s="21" t="str">
        <x:f>IF(AND(J1275="Рассчитано",T1275&gt;0,R1275&lt;100),(W1275+P1275+Q1275)/(T1275*(1-R1275/100)),"н/д")</x:f>
        <x:v>н/д</x:v>
      </x:c>
      <x:c r="AD1275" s="10" t="str">
        <x:f>IF(ISNUMBER(G1275),IF(G1275&lt;0,"Убыток",IF(G1275=0,"Без прибыли","Прибыль &gt; 0")),"Не оценён")</x:f>
        <x:v>Не оценён</x:v>
      </x:c>
      <x:c r="AE1275" s="13" t="str">
        <x:f>IF(J1275="Рассчитано","Выручка "&amp;TEXT(V1275,"0.00")&amp;" - себестоимость "&amp;TEXT(W1275,"0.00")&amp;" - комиссия "&amp;TEXT(V1275*R1275/100,"0.00")&amp;" - доставка "&amp;TEXT(P1275,"0.00")&amp;" - прочие "&amp;TEXT(Q1275,"0.00")&amp;" = "&amp;TEXT(G1275,"0.00")&amp;" "&amp;L1275,"Введите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5" s="24" t="n">
        <x:v>7.490340296497569</x:v>
      </x:c>
      <x:c r="AG1275" s="37" t="n">
        <x:v>85</x:v>
      </x:c>
      <x:c r="AH1275" s="37" t="n">
        <x:v>0</x:v>
      </x:c>
      <x:c r="AI1275" s="30" t="n">
        <x:v>46266</x:v>
      </x:c>
      <x:c r="AJ1275" s="37" t="n">
        <x:v>100</x:v>
      </x:c>
      <x:c r="AK1275" s="10" t="str">
        <x:v>кратность</x:v>
      </x:c>
      <x:c r="AL1275" s="32" t="n">
        <x:v>967.5721431098377</x:v>
      </x:c>
      <x:c r="AM1275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275" s="13" t="str">
        <x:v>Проверить свободный остаток и установить цену для B2B</x:v>
      </x:c>
      <x:c r="AO1275" s="13" t="str">
        <x:v>Остаток 85; прогноз 90 дней 7.49; избыток 77 шт. Будущие поступления не выставляются на продажу. Остаток на начало сентября: требуется актуализация.</x:v>
      </x:c>
      <x:c r="AP1275" s="13" t="str">
        <x:v>["category_missing", "daily_stockout_data_missing", "monthly_balance_date_assumed", "new_order_lead_time_unknown", "reservations_unknown", "stale_stock"]</x:v>
      </x:c>
      <x:c r="AQ1275" s="10" t="str">
        <x:v>SE:030300078_</x:v>
      </x:c>
      <x:c r="AR1275" s="24" t="n">
        <x:v>1</x:v>
      </x:c>
      <x:c r="AS1275" s="24" t="n">
        <x:v>0</x:v>
      </x:c>
      <x:c r="AT1275" s="24" t="n">
        <x:v>0</x:v>
      </x:c>
    </x:row>
    <x:row r="1276" ht="64" customHeight="1">
      <x:c r="A1276" s="11" t="str">
        <x:v>Systeme Electric</x:v>
      </x:c>
      <x:c r="B1276" s="33" t="str">
        <x:v>300200287_</x:v>
      </x:c>
      <x:c r="C1276" s="33" t="str">
        <x:v>ATN000147</x:v>
      </x:c>
      <x:c r="D1276" s="12" t="str">
        <x:v>S400 Роз. с з/к 16А с/у з/ш с выталкивателем б/рамки "ATLAS" белый ATN147 (15)</x:v>
      </x:c>
      <x:c r="E1276" s="11" t="str">
        <x:v>шт</x:v>
      </x:c>
      <x:c r="F1276" s="35" t="n">
        <x:f>MAX(0,ROUNDDOWN((AG1276-AF1276)/AR1276+0.000000001,0)*AR1276)</x:f>
        <x:v>27</x:v>
      </x:c>
      <x:c r="G1276" s="20" t="str">
        <x:f>IF(J1276="Рассчитано",V1276*(1-R1276/100)-W1276-P1276-Q1276,"н/д")</x:f>
        <x:v>н/д</x:v>
      </x:c>
      <x:c r="H1276" s="12" t="str">
        <x:v>Средний</x:v>
      </x:c>
      <x:c r="I1276" s="12" t="str">
        <x:v>Высокий</x:v>
      </x:c>
      <x:c r="J1276" s="12" t="str">
        <x:f>IF(L1276="","Укажите валюту",IF(NOT(ISNUMBER(K1276)),"Укажите объём",IF(K1276&lt;=0,"Укажите объём",IF(K1276&gt;F1276,"Объём выше излишка",IF(COUNT(M1276:O1276)&lt;3,"Нужны цены",IF(COUNT(P1276:R1276)&lt;3,"Нужны расходы",IF(OR(M1276&lt;0,N1276&lt;0,O1276&lt;0,O1276&gt;100,P1276&lt;0,Q1276&lt;0,R1276&lt;0,R1276&gt;100),"Проверьте значения","Рассчитано")))))))</x:f>
        <x:v>Нужны цены</x:v>
      </x:c>
      <x:c r="K1276" s="36" t="n">
        <x:v>27</x:v>
      </x:c>
      <x:c r="L1276" s="19" t="str">
        <x:v>KZT</x:v>
      </x:c>
      <x:c r="M1276" s="22"/>
      <x:c r="N1276" s="22"/>
      <x:c r="O1276" s="28"/>
      <x:c r="P1276" s="22"/>
      <x:c r="Q1276" s="22"/>
      <x:c r="R1276" s="28"/>
      <x:c r="S1276" s="22"/>
      <x:c r="T1276" s="35" t="n">
        <x:f>K1276</x:f>
        <x:v>27</x:v>
      </x:c>
      <x:c r="U1276" s="20" t="str">
        <x:f>IF(J1276="Рассчитано",N1276*(1-O1276/100),"н/д")</x:f>
        <x:v>н/д</x:v>
      </x:c>
      <x:c r="V1276" s="20" t="str">
        <x:f>IF(J1276="Рассчитано",T1276*U1276,"н/д")</x:f>
        <x:v>н/д</x:v>
      </x:c>
      <x:c r="W1276" s="20" t="str">
        <x:f>IF(J1276="Рассчитано",T1276*M1276,"н/д")</x:f>
        <x:v>н/д</x:v>
      </x:c>
      <x:c r="X1276" s="20" t="str">
        <x:f>IF(J1276="Рассчитано",V1276-W1276,"н/д")</x:f>
        <x:v>н/д</x:v>
      </x:c>
      <x:c r="Y1276" s="26" t="str">
        <x:f>IF(J1276="Рассчитано",IF(V1276&gt;0,G1276/V1276,"н/д"),"н/д")</x:f>
        <x:v>н/д</x:v>
      </x:c>
      <x:c r="Z1276" s="20" t="str">
        <x:f>"н/д"</x:f>
        <x:v>н/д</x:v>
      </x:c>
      <x:c r="AA1276" s="20" t="str">
        <x:f>"н/д"</x:f>
        <x:v>н/д</x:v>
      </x:c>
      <x:c r="AB1276" s="20" t="str">
        <x:f>"н/д"</x:f>
        <x:v>н/д</x:v>
      </x:c>
      <x:c r="AC1276" s="20" t="str">
        <x:f>IF(AND(J1276="Рассчитано",T1276&gt;0,R1276&lt;100),(W1276+P1276+Q1276)/(T1276*(1-R1276/100)),"н/д")</x:f>
        <x:v>н/д</x:v>
      </x:c>
      <x:c r="AD1276" s="11" t="str">
        <x:f>IF(ISNUMBER(G1276),IF(G1276&lt;0,"Убыток",IF(G1276=0,"Без прибыли","Прибыль &gt; 0")),"Не оценён")</x:f>
        <x:v>Не оценён</x:v>
      </x:c>
      <x:c r="AE1276" s="12" t="str">
        <x:f>IF(J1276="Рассчитано","Выручка "&amp;TEXT(V1276,"0.00")&amp;" - себестоимость "&amp;TEXT(W1276,"0.00")&amp;" - комиссия "&amp;TEXT(V1276*R1276/100,"0.00")&amp;" - доставка "&amp;TEXT(P1276,"0.00")&amp;" - прочие "&amp;TEXT(Q1276,"0.00")&amp;" = "&amp;TEXT(G1276,"0.00")&amp;" "&amp;L1276,"Введите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6" s="23" t="n">
        <x:v>12.603726640578458</x:v>
      </x:c>
      <x:c r="AG1276" s="35" t="n">
        <x:v>40</x:v>
      </x:c>
      <x:c r="AH1276" s="35" t="n">
        <x:v>0</x:v>
      </x:c>
      <x:c r="AI1276" s="29" t="n">
        <x:v>46287</x:v>
      </x:c>
      <x:c r="AJ1276" s="35" t="n">
        <x:v>15</x:v>
      </x:c>
      <x:c r="AK1276" s="11" t="str">
        <x:v>кратность</x:v>
      </x:c>
      <x:c r="AL1276" s="31" t="n">
        <x:v>270.59950348225885</x:v>
      </x:c>
      <x:c r="AM1276" s="12" t="str">
        <x:v>Нет ежедневных данных доступности. Запас более 180 дней при среднем спросе</x:v>
      </x:c>
      <x:c r="AN1276" s="12" t="str">
        <x:v>Проверить свободный остаток и установить цену для B2B</x:v>
      </x:c>
      <x:c r="AO1276" s="12" t="str">
        <x:v>Остаток 40; прогноз 90 дней 12.60; избыток 27 шт. Будущие поступления не выставляются на продажу.</x:v>
      </x:c>
      <x:c r="AP1276" s="12" t="str">
        <x:v>["daily_stockout_data_missing", "new_order_lead_time_unknown"]</x:v>
      </x:c>
      <x:c r="AQ1276" s="11" t="str">
        <x:v>SE:300200287_</x:v>
      </x:c>
      <x:c r="AR1276" s="23" t="n">
        <x:v>1</x:v>
      </x:c>
      <x:c r="AS1276" s="23" t="n">
        <x:v>0</x:v>
      </x:c>
      <x:c r="AT1276" s="23" t="n">
        <x:v>0</x:v>
      </x:c>
    </x:row>
    <x:row r="1277" ht="64" customHeight="1">
      <x:c r="A1277" s="10" t="str">
        <x:v>Systeme Electric</x:v>
      </x:c>
      <x:c r="B1277" s="34" t="str">
        <x:v>300200290_</x:v>
      </x:c>
      <x:c r="C1277" s="34" t="str">
        <x:v>ATN000163</x:v>
      </x:c>
      <x:c r="D1277" s="13" t="str">
        <x:v>S392 Переключ. 1 кл с инд 10А с/у б/рамки  "ATLAS" белый ATN163 (20)</x:v>
      </x:c>
      <x:c r="E1277" s="10" t="str">
        <x:v>шт</x:v>
      </x:c>
      <x:c r="F1277" s="37" t="n">
        <x:f>MAX(0,ROUNDDOWN((AG1277-AF1277)/AR1277+0.000000001,0)*AR1277)</x:f>
        <x:v>4</x:v>
      </x:c>
      <x:c r="G1277" s="21" t="str">
        <x:f>IF(J1277="Рассчитано",V1277*(1-R1277/100)-W1277-P1277-Q1277,"н/д")</x:f>
        <x:v>н/д</x:v>
      </x:c>
      <x:c r="H1277" s="13" t="str">
        <x:v>Средний</x:v>
      </x:c>
      <x:c r="I1277" s="13" t="str">
        <x:v>Средний</x:v>
      </x:c>
      <x:c r="J1277" s="13" t="str">
        <x:f>IF(L1277="","Укажите валюту",IF(NOT(ISNUMBER(K1277)),"Укажите объём",IF(K1277&lt;=0,"Укажите объём",IF(K1277&gt;F1277,"Объём выше излишка",IF(COUNT(M1277:O1277)&lt;3,"Нужны цены",IF(COUNT(P1277:R1277)&lt;3,"Нужны расходы",IF(OR(M1277&lt;0,N1277&lt;0,O1277&lt;0,O1277&gt;100,P1277&lt;0,Q1277&lt;0,R1277&lt;0,R1277&gt;100),"Проверьте значения","Рассчитано")))))))</x:f>
        <x:v>Нужны цены</x:v>
      </x:c>
      <x:c r="K1277" s="36" t="n">
        <x:v>4</x:v>
      </x:c>
      <x:c r="L1277" s="19" t="str">
        <x:v>KZT</x:v>
      </x:c>
      <x:c r="M1277" s="22"/>
      <x:c r="N1277" s="22"/>
      <x:c r="O1277" s="28"/>
      <x:c r="P1277" s="22"/>
      <x:c r="Q1277" s="22"/>
      <x:c r="R1277" s="28"/>
      <x:c r="S1277" s="22"/>
      <x:c r="T1277" s="37" t="n">
        <x:f>K1277</x:f>
        <x:v>4</x:v>
      </x:c>
      <x:c r="U1277" s="21" t="str">
        <x:f>IF(J1277="Рассчитано",N1277*(1-O1277/100),"н/д")</x:f>
        <x:v>н/д</x:v>
      </x:c>
      <x:c r="V1277" s="21" t="str">
        <x:f>IF(J1277="Рассчитано",T1277*U1277,"н/д")</x:f>
        <x:v>н/д</x:v>
      </x:c>
      <x:c r="W1277" s="21" t="str">
        <x:f>IF(J1277="Рассчитано",T1277*M1277,"н/д")</x:f>
        <x:v>н/д</x:v>
      </x:c>
      <x:c r="X1277" s="21" t="str">
        <x:f>IF(J1277="Рассчитано",V1277-W1277,"н/д")</x:f>
        <x:v>н/д</x:v>
      </x:c>
      <x:c r="Y1277" s="27" t="str">
        <x:f>IF(J1277="Рассчитано",IF(V1277&gt;0,G1277/V1277,"н/д"),"н/д")</x:f>
        <x:v>н/д</x:v>
      </x:c>
      <x:c r="Z1277" s="21" t="str">
        <x:f>"н/д"</x:f>
        <x:v>н/д</x:v>
      </x:c>
      <x:c r="AA1277" s="21" t="str">
        <x:f>"н/д"</x:f>
        <x:v>н/д</x:v>
      </x:c>
      <x:c r="AB1277" s="21" t="str">
        <x:f>"н/д"</x:f>
        <x:v>н/д</x:v>
      </x:c>
      <x:c r="AC1277" s="21" t="str">
        <x:f>IF(AND(J1277="Рассчитано",T1277&gt;0,R1277&lt;100),(W1277+P1277+Q1277)/(T1277*(1-R1277/100)),"н/д")</x:f>
        <x:v>н/д</x:v>
      </x:c>
      <x:c r="AD1277" s="10" t="str">
        <x:f>IF(ISNUMBER(G1277),IF(G1277&lt;0,"Убыток",IF(G1277=0,"Без прибыли","Прибыль &gt; 0")),"Не оценён")</x:f>
        <x:v>Не оценён</x:v>
      </x:c>
      <x:c r="AE1277" s="13" t="str">
        <x:f>IF(J1277="Рассчитано","Выручка "&amp;TEXT(V1277,"0.00")&amp;" - себестоимость "&amp;TEXT(W1277,"0.00")&amp;" - комиссия "&amp;TEXT(V1277*R1277/100,"0.00")&amp;" - доставка "&amp;TEXT(P1277,"0.00")&amp;" - прочие "&amp;TEXT(Q1277,"0.00")&amp;" = "&amp;TEXT(G1277,"0.00")&amp;" "&amp;L1277,"Введите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7" s="24" t="n">
        <x:v>9.938911096049818</x:v>
      </x:c>
      <x:c r="AG1277" s="37" t="n">
        <x:v>14</x:v>
      </x:c>
      <x:c r="AH1277" s="37" t="n">
        <x:v>0</x:v>
      </x:c>
      <x:c r="AI1277" s="30" t="n">
        <x:v>46287</x:v>
      </x:c>
      <x:c r="AJ1277" s="37" t="n">
        <x:v>20</x:v>
      </x:c>
      <x:c r="AK1277" s="10" t="str">
        <x:v>кратность</x:v>
      </x:c>
      <x:c r="AL1277" s="32" t="n">
        <x:v>120.1033743337094</x:v>
      </x:c>
      <x:c r="AM1277" s="13" t="str">
        <x:v>Нет ежедневных данных доступности. Запас выше прогноза на 90 дней</x:v>
      </x:c>
      <x:c r="AN1277" s="13" t="str">
        <x:v>Проверить свободный остаток и установить цену для B2B</x:v>
      </x:c>
      <x:c r="AO1277" s="13" t="str">
        <x:v>Остаток 14; прогноз 90 дней 9.94; избыток 4 шт. Будущие поступления не выставляются на продажу.</x:v>
      </x:c>
      <x:c r="AP1277" s="13" t="str">
        <x:v>["daily_stockout_data_missing", "negative_net_sales_clipped_for_forecast", "new_order_lead_time_unknown"]</x:v>
      </x:c>
      <x:c r="AQ1277" s="10" t="str">
        <x:v>SE:300200290_</x:v>
      </x:c>
      <x:c r="AR1277" s="24" t="n">
        <x:v>1</x:v>
      </x:c>
      <x:c r="AS1277" s="24" t="n">
        <x:v>0</x:v>
      </x:c>
      <x:c r="AT1277" s="24" t="n">
        <x:v>0</x:v>
      </x:c>
    </x:row>
    <x:row r="1278" ht="64" customHeight="1">
      <x:c r="A1278" s="11" t="str">
        <x:v>Systeme Electric</x:v>
      </x:c>
      <x:c r="B1278" s="33" t="str">
        <x:v>300200292_</x:v>
      </x:c>
      <x:c r="C1278" s="33" t="str">
        <x:v>ATN000181</x:v>
      </x:c>
      <x:c r="D1278" s="12" t="str">
        <x:v>S402 Телефонная роз. RJ11 механизм б/рамки "ATLAS" белый ATN181 (10)</x:v>
      </x:c>
      <x:c r="E1278" s="11" t="str">
        <x:v>шт</x:v>
      </x:c>
      <x:c r="F1278" s="35" t="n">
        <x:f>MAX(0,ROUNDDOWN((AG1278-AF1278)/AR1278+0.000000001,0)*AR1278)</x:f>
        <x:v>4</x:v>
      </x:c>
      <x:c r="G1278" s="20" t="str">
        <x:f>IF(J1278="Рассчитано",V1278*(1-R1278/100)-W1278-P1278-Q1278,"н/д")</x:f>
        <x:v>н/д</x:v>
      </x:c>
      <x:c r="H1278" s="12" t="str">
        <x:v>Средний</x:v>
      </x:c>
      <x:c r="I1278" s="12" t="str">
        <x:v>Средний</x:v>
      </x:c>
      <x:c r="J1278" s="12" t="str">
        <x:f>IF(L1278="","Укажите валюту",IF(NOT(ISNUMBER(K1278)),"Укажите объём",IF(K1278&lt;=0,"Укажите объём",IF(K1278&gt;F1278,"Объём выше излишка",IF(COUNT(M1278:O1278)&lt;3,"Нужны цены",IF(COUNT(P1278:R1278)&lt;3,"Нужны расходы",IF(OR(M1278&lt;0,N1278&lt;0,O1278&lt;0,O1278&gt;100,P1278&lt;0,Q1278&lt;0,R1278&lt;0,R1278&gt;100),"Проверьте значения","Рассчитано")))))))</x:f>
        <x:v>Нужны цены</x:v>
      </x:c>
      <x:c r="K1278" s="36" t="n">
        <x:v>4</x:v>
      </x:c>
      <x:c r="L1278" s="19" t="str">
        <x:v>KZT</x:v>
      </x:c>
      <x:c r="M1278" s="22"/>
      <x:c r="N1278" s="22"/>
      <x:c r="O1278" s="28"/>
      <x:c r="P1278" s="22"/>
      <x:c r="Q1278" s="22"/>
      <x:c r="R1278" s="28"/>
      <x:c r="S1278" s="22"/>
      <x:c r="T1278" s="35" t="n">
        <x:f>K1278</x:f>
        <x:v>4</x:v>
      </x:c>
      <x:c r="U1278" s="20" t="str">
        <x:f>IF(J1278="Рассчитано",N1278*(1-O1278/100),"н/д")</x:f>
        <x:v>н/д</x:v>
      </x:c>
      <x:c r="V1278" s="20" t="str">
        <x:f>IF(J1278="Рассчитано",T1278*U1278,"н/д")</x:f>
        <x:v>н/д</x:v>
      </x:c>
      <x:c r="W1278" s="20" t="str">
        <x:f>IF(J1278="Рассчитано",T1278*M1278,"н/д")</x:f>
        <x:v>н/д</x:v>
      </x:c>
      <x:c r="X1278" s="20" t="str">
        <x:f>IF(J1278="Рассчитано",V1278-W1278,"н/д")</x:f>
        <x:v>н/д</x:v>
      </x:c>
      <x:c r="Y1278" s="26" t="str">
        <x:f>IF(J1278="Рассчитано",IF(V1278&gt;0,G1278/V1278,"н/д"),"н/д")</x:f>
        <x:v>н/д</x:v>
      </x:c>
      <x:c r="Z1278" s="20" t="str">
        <x:f>"н/д"</x:f>
        <x:v>н/д</x:v>
      </x:c>
      <x:c r="AA1278" s="20" t="str">
        <x:f>"н/д"</x:f>
        <x:v>н/д</x:v>
      </x:c>
      <x:c r="AB1278" s="20" t="str">
        <x:f>"н/д"</x:f>
        <x:v>н/д</x:v>
      </x:c>
      <x:c r="AC1278" s="20" t="str">
        <x:f>IF(AND(J1278="Рассчитано",T1278&gt;0,R1278&lt;100),(W1278+P1278+Q1278)/(T1278*(1-R1278/100)),"н/д")</x:f>
        <x:v>н/д</x:v>
      </x:c>
      <x:c r="AD1278" s="11" t="str">
        <x:f>IF(ISNUMBER(G1278),IF(G1278&lt;0,"Убыток",IF(G1278=0,"Без прибыли","Прибыль &gt; 0")),"Не оценён")</x:f>
        <x:v>Не оценён</x:v>
      </x:c>
      <x:c r="AE1278" s="12" t="str">
        <x:f>IF(J1278="Рассчитано","Выручка "&amp;TEXT(V1278,"0.00")&amp;" - себестоимость "&amp;TEXT(W1278,"0.00")&amp;" - комиссия "&amp;TEXT(V1278*R1278/100,"0.00")&amp;" - доставка "&amp;TEXT(P1278,"0.00")&amp;" - прочие "&amp;TEXT(Q1278,"0.00")&amp;" = "&amp;TEXT(G1278,"0.00")&amp;" "&amp;L1278,"Введите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8" s="23" t="n">
        <x:v>11.661276812118988</x:v>
      </x:c>
      <x:c r="AG1278" s="35" t="n">
        <x:v>16</x:v>
      </x:c>
      <x:c r="AH1278" s="35" t="n">
        <x:v>0</x:v>
      </x:c>
      <x:c r="AI1278" s="29" t="n">
        <x:v>46287</x:v>
      </x:c>
      <x:c r="AJ1278" s="35" t="n">
        <x:v>5</x:v>
      </x:c>
      <x:c r="AK1278" s="11" t="str">
        <x:v>кратность</x:v>
      </x:c>
      <x:c r="AL1278" s="31" t="n">
        <x:v>116.98760696332059</x:v>
      </x:c>
      <x:c r="AM1278" s="12" t="str">
        <x:v>Нет ежедневных данных доступности. Запас выше прогноза на 90 дней</x:v>
      </x:c>
      <x:c r="AN1278" s="12" t="str">
        <x:v>Проверить свободный остаток и установить цену для B2B</x:v>
      </x:c>
      <x:c r="AO1278" s="12" t="str">
        <x:v>Остаток 16; прогноз 90 дней 11.66; избыток 4 шт. Будущие поступления не выставляются на продажу.</x:v>
      </x:c>
      <x:c r="AP1278" s="12" t="str">
        <x:v>["daily_stockout_data_missing", "large_orders_detected", "negative_net_sales_clipped_for_forecast", "new_order_lead_time_unknown"]</x:v>
      </x:c>
      <x:c r="AQ1278" s="11" t="str">
        <x:v>SE:300200292_</x:v>
      </x:c>
      <x:c r="AR1278" s="23" t="n">
        <x:v>1</x:v>
      </x:c>
      <x:c r="AS1278" s="23" t="n">
        <x:v>0</x:v>
      </x:c>
      <x:c r="AT1278" s="23" t="n">
        <x:v>0</x:v>
      </x:c>
    </x:row>
    <x:row r="1279" ht="64" customHeight="1">
      <x:c r="A1279" s="10" t="str">
        <x:v>Systeme Electric</x:v>
      </x:c>
      <x:c r="B1279" s="34" t="str">
        <x:v>300200295_</x:v>
      </x:c>
      <x:c r="C1279" s="34" t="str">
        <x:v>ATN000191</x:v>
      </x:c>
      <x:c r="D1279" s="13" t="str">
        <x:v>S401 ТV роз. оконечная с/у б/рамки "ATLAS" белый ATN191 (10)</x:v>
      </x:c>
      <x:c r="E1279" s="10" t="str">
        <x:v>шт</x:v>
      </x:c>
      <x:c r="F1279" s="37" t="n">
        <x:f>MAX(0,ROUNDDOWN((AG1279-AF1279)/AR1279+0.000000001,0)*AR1279)</x:f>
        <x:v>247</x:v>
      </x:c>
      <x:c r="G1279" s="21" t="str">
        <x:f>IF(J1279="Рассчитано",V1279*(1-R1279/100)-W1279-P1279-Q1279,"н/д")</x:f>
        <x:v>н/д</x:v>
      </x:c>
      <x:c r="H1279" s="13" t="str">
        <x:v>Средний</x:v>
      </x:c>
      <x:c r="I1279" s="13" t="str">
        <x:v>Высокий</x:v>
      </x:c>
      <x:c r="J1279" s="13" t="str">
        <x:f>IF(L1279="","Укажите валюту",IF(NOT(ISNUMBER(K1279)),"Укажите объём",IF(K1279&lt;=0,"Укажите объём",IF(K1279&gt;F1279,"Объём выше излишка",IF(COUNT(M1279:O1279)&lt;3,"Нужны цены",IF(COUNT(P1279:R1279)&lt;3,"Нужны расходы",IF(OR(M1279&lt;0,N1279&lt;0,O1279&lt;0,O1279&gt;100,P1279&lt;0,Q1279&lt;0,R1279&lt;0,R1279&gt;100),"Проверьте значения","Рассчитано")))))))</x:f>
        <x:v>Нужны цены</x:v>
      </x:c>
      <x:c r="K1279" s="36" t="n">
        <x:v>247</x:v>
      </x:c>
      <x:c r="L1279" s="19" t="str">
        <x:v>KZT</x:v>
      </x:c>
      <x:c r="M1279" s="22"/>
      <x:c r="N1279" s="22"/>
      <x:c r="O1279" s="28"/>
      <x:c r="P1279" s="22"/>
      <x:c r="Q1279" s="22"/>
      <x:c r="R1279" s="28"/>
      <x:c r="S1279" s="22"/>
      <x:c r="T1279" s="37" t="n">
        <x:f>K1279</x:f>
        <x:v>247</x:v>
      </x:c>
      <x:c r="U1279" s="21" t="str">
        <x:f>IF(J1279="Рассчитано",N1279*(1-O1279/100),"н/д")</x:f>
        <x:v>н/д</x:v>
      </x:c>
      <x:c r="V1279" s="21" t="str">
        <x:f>IF(J1279="Рассчитано",T1279*U1279,"н/д")</x:f>
        <x:v>н/д</x:v>
      </x:c>
      <x:c r="W1279" s="21" t="str">
        <x:f>IF(J1279="Рассчитано",T1279*M1279,"н/д")</x:f>
        <x:v>н/д</x:v>
      </x:c>
      <x:c r="X1279" s="21" t="str">
        <x:f>IF(J1279="Рассчитано",V1279-W1279,"н/д")</x:f>
        <x:v>н/д</x:v>
      </x:c>
      <x:c r="Y1279" s="27" t="str">
        <x:f>IF(J1279="Рассчитано",IF(V1279&gt;0,G1279/V1279,"н/д"),"н/д")</x:f>
        <x:v>н/д</x:v>
      </x:c>
      <x:c r="Z1279" s="21" t="str">
        <x:f>"н/д"</x:f>
        <x:v>н/д</x:v>
      </x:c>
      <x:c r="AA1279" s="21" t="str">
        <x:f>"н/д"</x:f>
        <x:v>н/д</x:v>
      </x:c>
      <x:c r="AB1279" s="21" t="str">
        <x:f>"н/д"</x:f>
        <x:v>н/д</x:v>
      </x:c>
      <x:c r="AC1279" s="21" t="str">
        <x:f>IF(AND(J1279="Рассчитано",T1279&gt;0,R1279&lt;100),(W1279+P1279+Q1279)/(T1279*(1-R1279/100)),"н/д")</x:f>
        <x:v>н/д</x:v>
      </x:c>
      <x:c r="AD1279" s="10" t="str">
        <x:f>IF(ISNUMBER(G1279),IF(G1279&lt;0,"Убыток",IF(G1279=0,"Без прибыли","Прибыль &gt; 0")),"Не оценён")</x:f>
        <x:v>Не оценён</x:v>
      </x:c>
      <x:c r="AE1279" s="13" t="str">
        <x:f>IF(J1279="Рассчитано","Выручка "&amp;TEXT(V1279,"0.00")&amp;" - себестоимость "&amp;TEXT(W1279,"0.00")&amp;" - комиссия "&amp;TEXT(V1279*R1279/100,"0.00")&amp;" - доставка "&amp;TEXT(P1279,"0.00")&amp;" - прочие "&amp;TEXT(Q1279,"0.00")&amp;" = "&amp;TEXT(G1279,"0.00")&amp;" "&amp;L1279,"Введите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9" s="24" t="n">
        <x:v>85.69905406745336</x:v>
      </x:c>
      <x:c r="AG1279" s="37" t="n">
        <x:v>333</x:v>
      </x:c>
      <x:c r="AH1279" s="37" t="n">
        <x:v>0</x:v>
      </x:c>
      <x:c r="AI1279" s="30" t="n">
        <x:v>46287</x:v>
      </x:c>
      <x:c r="AJ1279" s="37" t="n">
        <x:v>10</x:v>
      </x:c>
      <x:c r="AK1279" s="10" t="str">
        <x:v>кратность</x:v>
      </x:c>
      <x:c r="AL1279" s="32" t="n">
        <x:v>331.3097254369856</x:v>
      </x:c>
      <x:c r="AM1279" s="13" t="str">
        <x:v>Детальные и месячные продажи расходятся; Нет ежедневных данных доступности. Запас более 180 дней при среднем спросе</x:v>
      </x:c>
      <x:c r="AN1279" s="13" t="str">
        <x:v>Проверить свободный остаток и установить цену для B2B</x:v>
      </x:c>
      <x:c r="AO1279" s="13" t="str">
        <x:v>Остаток 333; прогноз 90 дней 85.70; избыток 247 шт. Будущие поступления не выставляются на продажу.</x:v>
      </x:c>
      <x:c r="AP1279" s="13" t="str">
        <x:v>["daily_stockout_data_missing", "large_orders_detected", "new_order_lead_time_unknown", "transaction_month_mismatch"]</x:v>
      </x:c>
      <x:c r="AQ1279" s="10" t="str">
        <x:v>SE:300200295_</x:v>
      </x:c>
      <x:c r="AR1279" s="24" t="n">
        <x:v>1</x:v>
      </x:c>
      <x:c r="AS1279" s="24" t="n">
        <x:v>0</x:v>
      </x:c>
      <x:c r="AT1279" s="24" t="n">
        <x:v>0</x:v>
      </x:c>
    </x:row>
    <x:row r="1280" ht="64" customHeight="1">
      <x:c r="A1280" s="11" t="str">
        <x:v>Systeme Electric</x:v>
      </x:c>
      <x:c r="B1280" s="33" t="str">
        <x:v>300200299_</x:v>
      </x:c>
      <x:c r="C1280" s="33" t="str">
        <x:v>ATN000128</x:v>
      </x:c>
      <x:c r="D1280" s="12" t="str">
        <x:v>S396 Роз. 2-ная с/у 16А с з/к з/ш со сдвиж.крыш."ATLAS" белый ATN128 (6)</x:v>
      </x:c>
      <x:c r="E1280" s="11" t="str">
        <x:v>шт</x:v>
      </x:c>
      <x:c r="F1280" s="35" t="n">
        <x:f>MAX(0,ROUNDDOWN((AG1280-AF1280)/AR1280+0.000000001,0)*AR1280)</x:f>
        <x:v>115</x:v>
      </x:c>
      <x:c r="G1280" s="20" t="str">
        <x:f>IF(J1280="Рассчитано",V1280*(1-R1280/100)-W1280-P1280-Q1280,"н/д")</x:f>
        <x:v>н/д</x:v>
      </x:c>
      <x:c r="H1280" s="12" t="str">
        <x:v>Средний</x:v>
      </x:c>
      <x:c r="I1280" s="12" t="str">
        <x:v>Высокий</x:v>
      </x:c>
      <x:c r="J1280" s="12" t="str">
        <x:f>IF(L1280="","Укажите валюту",IF(NOT(ISNUMBER(K1280)),"Укажите объём",IF(K1280&lt;=0,"Укажите объём",IF(K1280&gt;F1280,"Объём выше излишка",IF(COUNT(M1280:O1280)&lt;3,"Нужны цены",IF(COUNT(P1280:R1280)&lt;3,"Нужны расходы",IF(OR(M1280&lt;0,N1280&lt;0,O1280&lt;0,O1280&gt;100,P1280&lt;0,Q1280&lt;0,R1280&lt;0,R1280&gt;100),"Проверьте значения","Рассчитано")))))))</x:f>
        <x:v>Нужны цены</x:v>
      </x:c>
      <x:c r="K1280" s="36" t="n">
        <x:v>115</x:v>
      </x:c>
      <x:c r="L1280" s="19" t="str">
        <x:v>KZT</x:v>
      </x:c>
      <x:c r="M1280" s="22"/>
      <x:c r="N1280" s="22"/>
      <x:c r="O1280" s="28"/>
      <x:c r="P1280" s="22"/>
      <x:c r="Q1280" s="22"/>
      <x:c r="R1280" s="28"/>
      <x:c r="S1280" s="22"/>
      <x:c r="T1280" s="35" t="n">
        <x:f>K1280</x:f>
        <x:v>115</x:v>
      </x:c>
      <x:c r="U1280" s="20" t="str">
        <x:f>IF(J1280="Рассчитано",N1280*(1-O1280/100),"н/д")</x:f>
        <x:v>н/д</x:v>
      </x:c>
      <x:c r="V1280" s="20" t="str">
        <x:f>IF(J1280="Рассчитано",T1280*U1280,"н/д")</x:f>
        <x:v>н/д</x:v>
      </x:c>
      <x:c r="W1280" s="20" t="str">
        <x:f>IF(J1280="Рассчитано",T1280*M1280,"н/д")</x:f>
        <x:v>н/д</x:v>
      </x:c>
      <x:c r="X1280" s="20" t="str">
        <x:f>IF(J1280="Рассчитано",V1280-W1280,"н/д")</x:f>
        <x:v>н/д</x:v>
      </x:c>
      <x:c r="Y1280" s="26" t="str">
        <x:f>IF(J1280="Рассчитано",IF(V1280&gt;0,G1280/V1280,"н/д"),"н/д")</x:f>
        <x:v>н/д</x:v>
      </x:c>
      <x:c r="Z1280" s="20" t="str">
        <x:f>"н/д"</x:f>
        <x:v>н/д</x:v>
      </x:c>
      <x:c r="AA1280" s="20" t="str">
        <x:f>"н/д"</x:f>
        <x:v>н/д</x:v>
      </x:c>
      <x:c r="AB1280" s="20" t="str">
        <x:f>"н/д"</x:f>
        <x:v>н/д</x:v>
      </x:c>
      <x:c r="AC1280" s="20" t="str">
        <x:f>IF(AND(J1280="Рассчитано",T1280&gt;0,R1280&lt;100),(W1280+P1280+Q1280)/(T1280*(1-R1280/100)),"н/д")</x:f>
        <x:v>н/д</x:v>
      </x:c>
      <x:c r="AD1280" s="11" t="str">
        <x:f>IF(ISNUMBER(G1280),IF(G1280&lt;0,"Убыток",IF(G1280=0,"Без прибыли","Прибыль &gt; 0")),"Не оценён")</x:f>
        <x:v>Не оценён</x:v>
      </x:c>
      <x:c r="AE1280" s="12" t="str">
        <x:f>IF(J1280="Рассчитано","Выручка "&amp;TEXT(V1280,"0.00")&amp;" - себестоимость "&amp;TEXT(W1280,"0.00")&amp;" - комиссия "&amp;TEXT(V1280*R1280/100,"0.00")&amp;" - доставка "&amp;TEXT(P1280,"0.00")&amp;" - прочие "&amp;TEXT(Q1280,"0.00")&amp;" = "&amp;TEXT(G1280,"0.00")&amp;" "&amp;L1280,"Введите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0" s="23" t="n">
        <x:v>2.3436697603107888</x:v>
      </x:c>
      <x:c r="AG1280" s="35" t="n">
        <x:v>118</x:v>
      </x:c>
      <x:c r="AH1280" s="35" t="n">
        <x:v>0</x:v>
      </x:c>
      <x:c r="AI1280" s="29" t="n">
        <x:v>46287</x:v>
      </x:c>
      <x:c r="AJ1280" s="35" t="n">
        <x:v>6</x:v>
      </x:c>
      <x:c r="AK1280" s="11" t="str">
        <x:v>кратность</x:v>
      </x:c>
      <x:c r="AL1280" s="31" t="n">
        <x:v>4292.9078894705</x:v>
      </x:c>
      <x:c r="AM1280" s="12" t="str">
        <x:v>Нет ежедневных данных доступности. Нет положительных чистых продаж за 12 месяцев</x:v>
      </x:c>
      <x:c r="AN1280" s="12" t="str">
        <x:v>Проверить свободный остаток и установить цену для B2B</x:v>
      </x:c>
      <x:c r="AO1280" s="12" t="str">
        <x:v>Остаток 118; прогноз 90 дней 2.34; избыток 115 шт. Будущие поступления не выставляются на продажу.</x:v>
      </x:c>
      <x:c r="AP1280" s="12" t="str">
        <x:v>["daily_stockout_data_missing", "negative_net_sales_clipped_for_forecast", "new_order_lead_time_unknown"]</x:v>
      </x:c>
      <x:c r="AQ1280" s="11" t="str">
        <x:v>SE:300200299_</x:v>
      </x:c>
      <x:c r="AR1280" s="23" t="n">
        <x:v>1</x:v>
      </x:c>
      <x:c r="AS1280" s="23" t="n">
        <x:v>0</x:v>
      </x:c>
      <x:c r="AT1280" s="23" t="n">
        <x:v>0</x:v>
      </x:c>
    </x:row>
    <x:row r="1281" ht="64" customHeight="1">
      <x:c r="A1281" s="10" t="str">
        <x:v>Systeme Electric</x:v>
      </x:c>
      <x:c r="B1281" s="34" t="str">
        <x:v>300200300_</x:v>
      </x:c>
      <x:c r="C1281" s="34" t="str">
        <x:v>ATN000138</x:v>
      </x:c>
      <x:c r="D1281" s="13" t="str">
        <x:v>S403 ТЕРМОСТАТ для теп.пола с датч. с/у 16А "ATLAS" белый (1) ATN138</x:v>
      </x:c>
      <x:c r="E1281" s="10" t="str">
        <x:v>шт</x:v>
      </x:c>
      <x:c r="F1281" s="37" t="n">
        <x:f>MAX(0,ROUNDDOWN((AG1281-AF1281)/AR1281+0.000000001,0)*AR1281)</x:f>
        <x:v>11</x:v>
      </x:c>
      <x:c r="G1281" s="21" t="str">
        <x:f>IF(J1281="Рассчитано",V1281*(1-R1281/100)-W1281-P1281-Q1281,"н/д")</x:f>
        <x:v>н/д</x:v>
      </x:c>
      <x:c r="H1281" s="13" t="str">
        <x:v>Средний</x:v>
      </x:c>
      <x:c r="I1281" s="13" t="str">
        <x:v>Высокий</x:v>
      </x:c>
      <x:c r="J1281" s="13" t="str">
        <x:f>IF(L1281="","Укажите валюту",IF(NOT(ISNUMBER(K1281)),"Укажите объём",IF(K1281&lt;=0,"Укажите объём",IF(K1281&gt;F1281,"Объём выше излишка",IF(COUNT(M1281:O1281)&lt;3,"Нужны цены",IF(COUNT(P1281:R1281)&lt;3,"Нужны расходы",IF(OR(M1281&lt;0,N1281&lt;0,O1281&lt;0,O1281&gt;100,P1281&lt;0,Q1281&lt;0,R1281&lt;0,R1281&gt;100),"Проверьте значения","Рассчитано")))))))</x:f>
        <x:v>Нужны цены</x:v>
      </x:c>
      <x:c r="K1281" s="36" t="n">
        <x:v>11</x:v>
      </x:c>
      <x:c r="L1281" s="19" t="str">
        <x:v>KZT</x:v>
      </x:c>
      <x:c r="M1281" s="22"/>
      <x:c r="N1281" s="22"/>
      <x:c r="O1281" s="28"/>
      <x:c r="P1281" s="22"/>
      <x:c r="Q1281" s="22"/>
      <x:c r="R1281" s="28"/>
      <x:c r="S1281" s="22"/>
      <x:c r="T1281" s="37" t="n">
        <x:f>K1281</x:f>
        <x:v>11</x:v>
      </x:c>
      <x:c r="U1281" s="21" t="str">
        <x:f>IF(J1281="Рассчитано",N1281*(1-O1281/100),"н/д")</x:f>
        <x:v>н/д</x:v>
      </x:c>
      <x:c r="V1281" s="21" t="str">
        <x:f>IF(J1281="Рассчитано",T1281*U1281,"н/д")</x:f>
        <x:v>н/д</x:v>
      </x:c>
      <x:c r="W1281" s="21" t="str">
        <x:f>IF(J1281="Рассчитано",T1281*M1281,"н/д")</x:f>
        <x:v>н/д</x:v>
      </x:c>
      <x:c r="X1281" s="21" t="str">
        <x:f>IF(J1281="Рассчитано",V1281-W1281,"н/д")</x:f>
        <x:v>н/д</x:v>
      </x:c>
      <x:c r="Y1281" s="27" t="str">
        <x:f>IF(J1281="Рассчитано",IF(V1281&gt;0,G1281/V1281,"н/д"),"н/д")</x:f>
        <x:v>н/д</x:v>
      </x:c>
      <x:c r="Z1281" s="21" t="str">
        <x:f>"н/д"</x:f>
        <x:v>н/д</x:v>
      </x:c>
      <x:c r="AA1281" s="21" t="str">
        <x:f>"н/д"</x:f>
        <x:v>н/д</x:v>
      </x:c>
      <x:c r="AB1281" s="21" t="str">
        <x:f>"н/д"</x:f>
        <x:v>н/д</x:v>
      </x:c>
      <x:c r="AC1281" s="21" t="str">
        <x:f>IF(AND(J1281="Рассчитано",T1281&gt;0,R1281&lt;100),(W1281+P1281+Q1281)/(T1281*(1-R1281/100)),"н/д")</x:f>
        <x:v>н/д</x:v>
      </x:c>
      <x:c r="AD1281" s="10" t="str">
        <x:f>IF(ISNUMBER(G1281),IF(G1281&lt;0,"Убыток",IF(G1281=0,"Без прибыли","Прибыль &gt; 0")),"Не оценён")</x:f>
        <x:v>Не оценён</x:v>
      </x:c>
      <x:c r="AE1281" s="13" t="str">
        <x:f>IF(J1281="Рассчитано","Выручка "&amp;TEXT(V1281,"0.00")&amp;" - себестоимость "&amp;TEXT(W1281,"0.00")&amp;" - комиссия "&amp;TEXT(V1281*R1281/100,"0.00")&amp;" - доставка "&amp;TEXT(P1281,"0.00")&amp;" - прочие "&amp;TEXT(Q1281,"0.00")&amp;" = "&amp;TEXT(G1281,"0.00")&amp;" "&amp;L1281,"Введите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1" s="24" t="n">
        <x:v>5.076739715344565</x:v>
      </x:c>
      <x:c r="AG1281" s="37" t="n">
        <x:v>17</x:v>
      </x:c>
      <x:c r="AH1281" s="37" t="n">
        <x:v>0</x:v>
      </x:c>
      <x:c r="AI1281" s="30" t="n">
        <x:v>46287</x:v>
      </x:c>
      <x:c r="AJ1281" s="37" t="n">
        <x:v>1</x:v>
      </x:c>
      <x:c r="AK1281" s="10" t="str">
        <x:v>кратность</x:v>
      </x:c>
      <x:c r="AL1281" s="32" t="n">
        <x:v>285.51570573526004</x:v>
      </x:c>
      <x:c r="AM1281" s="13" t="str">
        <x:v>Нет ежедневных данных доступности. Запас более 180 дней при среднем спросе</x:v>
      </x:c>
      <x:c r="AN1281" s="13" t="str">
        <x:v>Проверить свободный остаток и установить цену для B2B</x:v>
      </x:c>
      <x:c r="AO1281" s="13" t="str">
        <x:v>Остаток 17; прогноз 90 дней 5.08; избыток 11 шт. Будущие поступления не выставляются на продажу.</x:v>
      </x:c>
      <x:c r="AP1281" s="13" t="str">
        <x:v>["daily_stockout_data_missing", "new_order_lead_time_unknown"]</x:v>
      </x:c>
      <x:c r="AQ1281" s="10" t="str">
        <x:v>SE:300200300_</x:v>
      </x:c>
      <x:c r="AR1281" s="24" t="n">
        <x:v>1</x:v>
      </x:c>
      <x:c r="AS1281" s="24" t="n">
        <x:v>0</x:v>
      </x:c>
      <x:c r="AT1281" s="24" t="n">
        <x:v>0</x:v>
      </x:c>
    </x:row>
    <x:row r="1282" ht="64" customHeight="1">
      <x:c r="A1282" s="11" t="str">
        <x:v>Systeme Electric</x:v>
      </x:c>
      <x:c r="B1282" s="33" t="str">
        <x:v>300200310_</x:v>
      </x:c>
      <x:c r="C1282" s="33" t="str">
        <x:v>ATN440161</x:v>
      </x:c>
      <x:c r="D1282" s="12" t="str">
        <x:v>S410 Переключ. AQUA 1 кл 10А с/у б/рамки IP 44 "ATLAS" белый ATN0161 (20)</x:v>
      </x:c>
      <x:c r="E1282" s="11" t="str">
        <x:v>шт</x:v>
      </x:c>
      <x:c r="F1282" s="35" t="n">
        <x:f>MAX(0,ROUNDDOWN((AG1282-AF1282)/AR1282+0.000000001,0)*AR1282)</x:f>
        <x:v>19</x:v>
      </x:c>
      <x:c r="G1282" s="20" t="str">
        <x:f>IF(J1282="Рассчитано",V1282*(1-R1282/100)-W1282-P1282-Q1282,"н/д")</x:f>
        <x:v>н/д</x:v>
      </x:c>
      <x:c r="H1282" s="12" t="str">
        <x:v>Средний</x:v>
      </x:c>
      <x:c r="I1282" s="12" t="str">
        <x:v>Средний</x:v>
      </x:c>
      <x:c r="J1282" s="12" t="str">
        <x:f>IF(L1282="","Укажите валюту",IF(NOT(ISNUMBER(K1282)),"Укажите объём",IF(K1282&lt;=0,"Укажите объём",IF(K1282&gt;F1282,"Объём выше излишка",IF(COUNT(M1282:O1282)&lt;3,"Нужны цены",IF(COUNT(P1282:R1282)&lt;3,"Нужны расходы",IF(OR(M1282&lt;0,N1282&lt;0,O1282&lt;0,O1282&gt;100,P1282&lt;0,Q1282&lt;0,R1282&lt;0,R1282&gt;100),"Проверьте значения","Рассчитано")))))))</x:f>
        <x:v>Нужны цены</x:v>
      </x:c>
      <x:c r="K1282" s="36" t="n">
        <x:v>19</x:v>
      </x:c>
      <x:c r="L1282" s="19" t="str">
        <x:v>KZT</x:v>
      </x:c>
      <x:c r="M1282" s="22"/>
      <x:c r="N1282" s="22"/>
      <x:c r="O1282" s="28"/>
      <x:c r="P1282" s="22"/>
      <x:c r="Q1282" s="22"/>
      <x:c r="R1282" s="28"/>
      <x:c r="S1282" s="22"/>
      <x:c r="T1282" s="35" t="n">
        <x:f>K1282</x:f>
        <x:v>19</x:v>
      </x:c>
      <x:c r="U1282" s="20" t="str">
        <x:f>IF(J1282="Рассчитано",N1282*(1-O1282/100),"н/д")</x:f>
        <x:v>н/д</x:v>
      </x:c>
      <x:c r="V1282" s="20" t="str">
        <x:f>IF(J1282="Рассчитано",T1282*U1282,"н/д")</x:f>
        <x:v>н/д</x:v>
      </x:c>
      <x:c r="W1282" s="20" t="str">
        <x:f>IF(J1282="Рассчитано",T1282*M1282,"н/д")</x:f>
        <x:v>н/д</x:v>
      </x:c>
      <x:c r="X1282" s="20" t="str">
        <x:f>IF(J1282="Рассчитано",V1282-W1282,"н/д")</x:f>
        <x:v>н/д</x:v>
      </x:c>
      <x:c r="Y1282" s="26" t="str">
        <x:f>IF(J1282="Рассчитано",IF(V1282&gt;0,G1282/V1282,"н/д"),"н/д")</x:f>
        <x:v>н/д</x:v>
      </x:c>
      <x:c r="Z1282" s="20" t="str">
        <x:f>"н/д"</x:f>
        <x:v>н/д</x:v>
      </x:c>
      <x:c r="AA1282" s="20" t="str">
        <x:f>"н/д"</x:f>
        <x:v>н/д</x:v>
      </x:c>
      <x:c r="AB1282" s="20" t="str">
        <x:f>"н/д"</x:f>
        <x:v>н/д</x:v>
      </x:c>
      <x:c r="AC1282" s="20" t="str">
        <x:f>IF(AND(J1282="Рассчитано",T1282&gt;0,R1282&lt;100),(W1282+P1282+Q1282)/(T1282*(1-R1282/100)),"н/д")</x:f>
        <x:v>н/д</x:v>
      </x:c>
      <x:c r="AD1282" s="11" t="str">
        <x:f>IF(ISNUMBER(G1282),IF(G1282&lt;0,"Убыток",IF(G1282=0,"Без прибыли","Прибыль &gt; 0")),"Не оценён")</x:f>
        <x:v>Не оценён</x:v>
      </x:c>
      <x:c r="AE1282" s="12" t="str">
        <x:f>IF(J1282="Рассчитано","Выручка "&amp;TEXT(V1282,"0.00")&amp;" - себестоимость "&amp;TEXT(W1282,"0.00")&amp;" - комиссия "&amp;TEXT(V1282*R1282/100,"0.00")&amp;" - доставка "&amp;TEXT(P1282,"0.00")&amp;" - прочие "&amp;TEXT(Q1282,"0.00")&amp;" = "&amp;TEXT(G1282,"0.00")&amp;" "&amp;L1282,"Введите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2" s="23" t="n">
        <x:v>34.743401581849504</x:v>
      </x:c>
      <x:c r="AG1282" s="35" t="n">
        <x:v>54</x:v>
      </x:c>
      <x:c r="AH1282" s="35" t="n">
        <x:v>0</x:v>
      </x:c>
      <x:c r="AI1282" s="29" t="n">
        <x:v>46287</x:v>
      </x:c>
      <x:c r="AJ1282" s="35" t="n">
        <x:v>20</x:v>
      </x:c>
      <x:c r="AK1282" s="11" t="str">
        <x:v>кратность</x:v>
      </x:c>
      <x:c r="AL1282" s="31" t="n">
        <x:v>132.52182345928722</x:v>
      </x:c>
      <x:c r="AM1282" s="12" t="str">
        <x:v>Нет ежедневных данных доступности. Запас выше прогноза на 90 дней</x:v>
      </x:c>
      <x:c r="AN1282" s="12" t="str">
        <x:v>Проверить свободный остаток и установить цену для B2B</x:v>
      </x:c>
      <x:c r="AO1282" s="12" t="str">
        <x:v>Остаток 54; прогноз 90 дней 34.74; избыток 19 шт. Будущие поступления не выставляются на продажу.</x:v>
      </x:c>
      <x:c r="AP1282" s="12" t="str">
        <x:v>["daily_stockout_data_missing", "new_order_lead_time_unknown"]</x:v>
      </x:c>
      <x:c r="AQ1282" s="11" t="str">
        <x:v>SE:300200310_</x:v>
      </x:c>
      <x:c r="AR1282" s="23" t="n">
        <x:v>1</x:v>
      </x:c>
      <x:c r="AS1282" s="23" t="n">
        <x:v>0</x:v>
      </x:c>
      <x:c r="AT1282" s="23" t="n">
        <x:v>0</x:v>
      </x:c>
    </x:row>
    <x:row r="1283" ht="64" customHeight="1">
      <x:c r="A1283" s="10" t="str">
        <x:v>Systeme Electric</x:v>
      </x:c>
      <x:c r="B1283" s="34" t="str">
        <x:v>300200313_</x:v>
      </x:c>
      <x:c r="C1283" s="34" t="str">
        <x:v>BLNVS006101</x:v>
      </x:c>
      <x:c r="D1283" s="13" t="str">
        <x:v>S414 Выкл 1 кл  с/у 6А 250B "BLANCA" белый BLNVS006101 (60)</x:v>
      </x:c>
      <x:c r="E1283" s="10" t="str">
        <x:v>шт</x:v>
      </x:c>
      <x:c r="F1283" s="37" t="n">
        <x:f>MAX(0,ROUNDDOWN((AG1283-AF1283)/AR1283+0.000000001,0)*AR1283)</x:f>
        <x:v>17</x:v>
      </x:c>
      <x:c r="G1283" s="21" t="str">
        <x:f>IF(J1283="Рассчитано",V1283*(1-R1283/100)-W1283-P1283-Q1283,"н/д")</x:f>
        <x:v>н/д</x:v>
      </x:c>
      <x:c r="H1283" s="13" t="str">
        <x:v>Средний</x:v>
      </x:c>
      <x:c r="I1283" s="13" t="str">
        <x:v>Средний</x:v>
      </x:c>
      <x:c r="J1283" s="13" t="str">
        <x:f>IF(L1283="","Укажите валюту",IF(NOT(ISNUMBER(K1283)),"Укажите объём",IF(K1283&lt;=0,"Укажите объём",IF(K1283&gt;F1283,"Объём выше излишка",IF(COUNT(M1283:O1283)&lt;3,"Нужны цены",IF(COUNT(P1283:R1283)&lt;3,"Нужны расходы",IF(OR(M1283&lt;0,N1283&lt;0,O1283&lt;0,O1283&gt;100,P1283&lt;0,Q1283&lt;0,R1283&lt;0,R1283&gt;100),"Проверьте значения","Рассчитано")))))))</x:f>
        <x:v>Нужны цены</x:v>
      </x:c>
      <x:c r="K1283" s="36" t="n">
        <x:v>17</x:v>
      </x:c>
      <x:c r="L1283" s="19" t="str">
        <x:v>KZT</x:v>
      </x:c>
      <x:c r="M1283" s="22"/>
      <x:c r="N1283" s="22"/>
      <x:c r="O1283" s="28"/>
      <x:c r="P1283" s="22"/>
      <x:c r="Q1283" s="22"/>
      <x:c r="R1283" s="28"/>
      <x:c r="S1283" s="22"/>
      <x:c r="T1283" s="37" t="n">
        <x:f>K1283</x:f>
        <x:v>17</x:v>
      </x:c>
      <x:c r="U1283" s="21" t="str">
        <x:f>IF(J1283="Рассчитано",N1283*(1-O1283/100),"н/д")</x:f>
        <x:v>н/д</x:v>
      </x:c>
      <x:c r="V1283" s="21" t="str">
        <x:f>IF(J1283="Рассчитано",T1283*U1283,"н/д")</x:f>
        <x:v>н/д</x:v>
      </x:c>
      <x:c r="W1283" s="21" t="str">
        <x:f>IF(J1283="Рассчитано",T1283*M1283,"н/д")</x:f>
        <x:v>н/д</x:v>
      </x:c>
      <x:c r="X1283" s="21" t="str">
        <x:f>IF(J1283="Рассчитано",V1283-W1283,"н/д")</x:f>
        <x:v>н/д</x:v>
      </x:c>
      <x:c r="Y1283" s="27" t="str">
        <x:f>IF(J1283="Рассчитано",IF(V1283&gt;0,G1283/V1283,"н/д"),"н/д")</x:f>
        <x:v>н/д</x:v>
      </x:c>
      <x:c r="Z1283" s="21" t="str">
        <x:f>"н/д"</x:f>
        <x:v>н/д</x:v>
      </x:c>
      <x:c r="AA1283" s="21" t="str">
        <x:f>"н/д"</x:f>
        <x:v>н/д</x:v>
      </x:c>
      <x:c r="AB1283" s="21" t="str">
        <x:f>"н/д"</x:f>
        <x:v>н/д</x:v>
      </x:c>
      <x:c r="AC1283" s="21" t="str">
        <x:f>IF(AND(J1283="Рассчитано",T1283&gt;0,R1283&lt;100),(W1283+P1283+Q1283)/(T1283*(1-R1283/100)),"н/д")</x:f>
        <x:v>н/д</x:v>
      </x:c>
      <x:c r="AD1283" s="10" t="str">
        <x:f>IF(ISNUMBER(G1283),IF(G1283&lt;0,"Убыток",IF(G1283=0,"Без прибыли","Прибыль &gt; 0")),"Не оценён")</x:f>
        <x:v>Не оценён</x:v>
      </x:c>
      <x:c r="AE1283" s="13" t="str">
        <x:f>IF(J1283="Рассчитано","Выручка "&amp;TEXT(V1283,"0.00")&amp;" - себестоимость "&amp;TEXT(W1283,"0.00")&amp;" - комиссия "&amp;TEXT(V1283*R1283/100,"0.00")&amp;" - доставка "&amp;TEXT(P1283,"0.00")&amp;" - прочие "&amp;TEXT(Q1283,"0.00")&amp;" = "&amp;TEXT(G1283,"0.00")&amp;" "&amp;L1283,"Введите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3" s="24" t="n">
        <x:v>114.07425304081201</x:v>
      </x:c>
      <x:c r="AG1283" s="37" t="n">
        <x:v>132</x:v>
      </x:c>
      <x:c r="AH1283" s="37" t="n">
        <x:v>0</x:v>
      </x:c>
      <x:c r="AI1283" s="30" t="n">
        <x:v>46287</x:v>
      </x:c>
      <x:c r="AJ1283" s="37" t="n">
        <x:v>10</x:v>
      </x:c>
      <x:c r="AK1283" s="10" t="str">
        <x:v>кратность</x:v>
      </x:c>
      <x:c r="AL1283" s="32" t="n">
        <x:v>98.66253658626488</x:v>
      </x:c>
      <x:c r="AM1283" s="13" t="str">
        <x:v>Детальные и месячные продажи расходятся; Нет ежедневных данных доступности. Запас выше прогноза на 90 дней</x:v>
      </x:c>
      <x:c r="AN1283" s="13" t="str">
        <x:v>Проверить свободный остаток и установить цену для B2B</x:v>
      </x:c>
      <x:c r="AO1283" s="13" t="str">
        <x:v>Остаток 132; прогноз 90 дней 114.07; избыток 17 шт. Будущие поступления не выставляются на продажу.</x:v>
      </x:c>
      <x:c r="AP1283" s="13" t="str">
        <x:v>["daily_stockout_data_missing", "large_orders_detected", "new_order_lead_time_unknown", "transaction_month_mismatch"]</x:v>
      </x:c>
      <x:c r="AQ1283" s="10" t="str">
        <x:v>SE:300200313_</x:v>
      </x:c>
      <x:c r="AR1283" s="24" t="n">
        <x:v>1</x:v>
      </x:c>
      <x:c r="AS1283" s="24" t="n">
        <x:v>0</x:v>
      </x:c>
      <x:c r="AT1283" s="24" t="n">
        <x:v>0</x:v>
      </x:c>
    </x:row>
    <x:row r="1284" ht="64" customHeight="1">
      <x:c r="A1284" s="11" t="str">
        <x:v>Systeme Electric</x:v>
      </x:c>
      <x:c r="B1284" s="33" t="str">
        <x:v>300200314_</x:v>
      </x:c>
      <x:c r="C1284" s="33" t="str">
        <x:v>BLNVS006501</x:v>
      </x:c>
      <x:c r="D1284" s="12" t="str">
        <x:v>S415 Выкл 2 кл  с/у 6А 250B "BLANCA" белый BLNVS006501 (60)</x:v>
      </x:c>
      <x:c r="E1284" s="11" t="str">
        <x:v>шт</x:v>
      </x:c>
      <x:c r="F1284" s="35" t="n">
        <x:f>MAX(0,ROUNDDOWN((AG1284-AF1284)/AR1284+0.000000001,0)*AR1284)</x:f>
        <x:v>33</x:v>
      </x:c>
      <x:c r="G1284" s="20" t="str">
        <x:f>IF(J1284="Рассчитано",V1284*(1-R1284/100)-W1284-P1284-Q1284,"н/д")</x:f>
        <x:v>н/д</x:v>
      </x:c>
      <x:c r="H1284" s="12" t="str">
        <x:v>Средний</x:v>
      </x:c>
      <x:c r="I1284" s="12" t="str">
        <x:v>Средний</x:v>
      </x:c>
      <x:c r="J1284" s="12" t="str">
        <x:f>IF(L1284="","Укажите валюту",IF(NOT(ISNUMBER(K1284)),"Укажите объём",IF(K1284&lt;=0,"Укажите объём",IF(K1284&gt;F1284,"Объём выше излишка",IF(COUNT(M1284:O1284)&lt;3,"Нужны цены",IF(COUNT(P1284:R1284)&lt;3,"Нужны расходы",IF(OR(M1284&lt;0,N1284&lt;0,O1284&lt;0,O1284&gt;100,P1284&lt;0,Q1284&lt;0,R1284&lt;0,R1284&gt;100),"Проверьте значения","Рассчитано")))))))</x:f>
        <x:v>Нужны цены</x:v>
      </x:c>
      <x:c r="K1284" s="36" t="n">
        <x:v>33</x:v>
      </x:c>
      <x:c r="L1284" s="19" t="str">
        <x:v>KZT</x:v>
      </x:c>
      <x:c r="M1284" s="22"/>
      <x:c r="N1284" s="22"/>
      <x:c r="O1284" s="28"/>
      <x:c r="P1284" s="22"/>
      <x:c r="Q1284" s="22"/>
      <x:c r="R1284" s="28"/>
      <x:c r="S1284" s="22"/>
      <x:c r="T1284" s="35" t="n">
        <x:f>K1284</x:f>
        <x:v>33</x:v>
      </x:c>
      <x:c r="U1284" s="20" t="str">
        <x:f>IF(J1284="Рассчитано",N1284*(1-O1284/100),"н/д")</x:f>
        <x:v>н/д</x:v>
      </x:c>
      <x:c r="V1284" s="20" t="str">
        <x:f>IF(J1284="Рассчитано",T1284*U1284,"н/д")</x:f>
        <x:v>н/д</x:v>
      </x:c>
      <x:c r="W1284" s="20" t="str">
        <x:f>IF(J1284="Рассчитано",T1284*M1284,"н/д")</x:f>
        <x:v>н/д</x:v>
      </x:c>
      <x:c r="X1284" s="20" t="str">
        <x:f>IF(J1284="Рассчитано",V1284-W1284,"н/д")</x:f>
        <x:v>н/д</x:v>
      </x:c>
      <x:c r="Y1284" s="26" t="str">
        <x:f>IF(J1284="Рассчитано",IF(V1284&gt;0,G1284/V1284,"н/д"),"н/д")</x:f>
        <x:v>н/д</x:v>
      </x:c>
      <x:c r="Z1284" s="20" t="str">
        <x:f>"н/д"</x:f>
        <x:v>н/д</x:v>
      </x:c>
      <x:c r="AA1284" s="20" t="str">
        <x:f>"н/д"</x:f>
        <x:v>н/д</x:v>
      </x:c>
      <x:c r="AB1284" s="20" t="str">
        <x:f>"н/д"</x:f>
        <x:v>н/д</x:v>
      </x:c>
      <x:c r="AC1284" s="20" t="str">
        <x:f>IF(AND(J1284="Рассчитано",T1284&gt;0,R1284&lt;100),(W1284+P1284+Q1284)/(T1284*(1-R1284/100)),"н/д")</x:f>
        <x:v>н/д</x:v>
      </x:c>
      <x:c r="AD1284" s="11" t="str">
        <x:f>IF(ISNUMBER(G1284),IF(G1284&lt;0,"Убыток",IF(G1284=0,"Без прибыли","Прибыль &gt; 0")),"Не оценён")</x:f>
        <x:v>Не оценён</x:v>
      </x:c>
      <x:c r="AE1284" s="12" t="str">
        <x:f>IF(J1284="Рассчитано","Выручка "&amp;TEXT(V1284,"0.00")&amp;" - себестоимость "&amp;TEXT(W1284,"0.00")&amp;" - комиссия "&amp;TEXT(V1284*R1284/100,"0.00")&amp;" - доставка "&amp;TEXT(P1284,"0.00")&amp;" - прочие "&amp;TEXT(Q1284,"0.00")&amp;" = "&amp;TEXT(G1284,"0.00")&amp;" "&amp;L1284,"Введите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4" s="23" t="n">
        <x:v>91.21356943910266</x:v>
      </x:c>
      <x:c r="AG1284" s="35" t="n">
        <x:v>125</x:v>
      </x:c>
      <x:c r="AH1284" s="35" t="n">
        <x:v>0</x:v>
      </x:c>
      <x:c r="AI1284" s="29" t="n">
        <x:v>46287</x:v>
      </x:c>
      <x:c r="AJ1284" s="35" t="n">
        <x:v>10</x:v>
      </x:c>
      <x:c r="AK1284" s="11" t="str">
        <x:v>кратность</x:v>
      </x:c>
      <x:c r="AL1284" s="31" t="n">
        <x:v>116.84672412021372</x:v>
      </x:c>
      <x:c r="AM1284" s="12" t="str">
        <x:v>Детальные и месячные продажи расходятся; Нет ежедневных данных доступности. Запас выше прогноза на 90 дней</x:v>
      </x:c>
      <x:c r="AN1284" s="12" t="str">
        <x:v>Проверить свободный остаток и установить цену для B2B</x:v>
      </x:c>
      <x:c r="AO1284" s="12" t="str">
        <x:v>Остаток 125; прогноз 90 дней 91.21; избыток 33 шт. Будущие поступления не выставляются на продажу.</x:v>
      </x:c>
      <x:c r="AP1284" s="12" t="str">
        <x:v>["daily_stockout_data_missing", "large_orders_detected", "new_order_lead_time_unknown", "transaction_month_mismatch"]</x:v>
      </x:c>
      <x:c r="AQ1284" s="11" t="str">
        <x:v>SE:300200314_</x:v>
      </x:c>
      <x:c r="AR1284" s="23" t="n">
        <x:v>1</x:v>
      </x:c>
      <x:c r="AS1284" s="23" t="n">
        <x:v>0</x:v>
      </x:c>
      <x:c r="AT1284" s="23" t="n">
        <x:v>0</x:v>
      </x:c>
    </x:row>
    <x:row r="1285" ht="64" customHeight="1">
      <x:c r="A1285" s="10" t="str">
        <x:v>Systeme Electric</x:v>
      </x:c>
      <x:c r="B1285" s="34" t="str">
        <x:v>300200315_</x:v>
      </x:c>
      <x:c r="C1285" s="34" t="str">
        <x:v>BLNRS000011</x:v>
      </x:c>
      <x:c r="D1285" s="13" t="str">
        <x:v>S416 Роз  с/у без з/к 16А 250В "BLANCA"  белый BLNRS000011 (60)</x:v>
      </x:c>
      <x:c r="E1285" s="10" t="str">
        <x:v>шт</x:v>
      </x:c>
      <x:c r="F1285" s="37" t="n">
        <x:f>MAX(0,ROUNDDOWN((AG1285-AF1285)/AR1285+0.000000001,0)*AR1285)</x:f>
        <x:v>105</x:v>
      </x:c>
      <x:c r="G1285" s="21" t="str">
        <x:f>IF(J1285="Рассчитано",V1285*(1-R1285/100)-W1285-P1285-Q1285,"н/д")</x:f>
        <x:v>н/д</x:v>
      </x:c>
      <x:c r="H1285" s="13" t="str">
        <x:v>Средний</x:v>
      </x:c>
      <x:c r="I1285" s="13" t="str">
        <x:v>Высокий</x:v>
      </x:c>
      <x:c r="J1285" s="13" t="str">
        <x:f>IF(L1285="","Укажите валюту",IF(NOT(ISNUMBER(K1285)),"Укажите объём",IF(K1285&lt;=0,"Укажите объём",IF(K1285&gt;F1285,"Объём выше излишка",IF(COUNT(M1285:O1285)&lt;3,"Нужны цены",IF(COUNT(P1285:R1285)&lt;3,"Нужны расходы",IF(OR(M1285&lt;0,N1285&lt;0,O1285&lt;0,O1285&gt;100,P1285&lt;0,Q1285&lt;0,R1285&lt;0,R1285&gt;100),"Проверьте значения","Рассчитано")))))))</x:f>
        <x:v>Нужны цены</x:v>
      </x:c>
      <x:c r="K1285" s="36" t="n">
        <x:v>105</x:v>
      </x:c>
      <x:c r="L1285" s="19" t="str">
        <x:v>KZT</x:v>
      </x:c>
      <x:c r="M1285" s="22"/>
      <x:c r="N1285" s="22"/>
      <x:c r="O1285" s="28"/>
      <x:c r="P1285" s="22"/>
      <x:c r="Q1285" s="22"/>
      <x:c r="R1285" s="28"/>
      <x:c r="S1285" s="22"/>
      <x:c r="T1285" s="37" t="n">
        <x:f>K1285</x:f>
        <x:v>105</x:v>
      </x:c>
      <x:c r="U1285" s="21" t="str">
        <x:f>IF(J1285="Рассчитано",N1285*(1-O1285/100),"н/д")</x:f>
        <x:v>н/д</x:v>
      </x:c>
      <x:c r="V1285" s="21" t="str">
        <x:f>IF(J1285="Рассчитано",T1285*U1285,"н/д")</x:f>
        <x:v>н/д</x:v>
      </x:c>
      <x:c r="W1285" s="21" t="str">
        <x:f>IF(J1285="Рассчитано",T1285*M1285,"н/д")</x:f>
        <x:v>н/д</x:v>
      </x:c>
      <x:c r="X1285" s="21" t="str">
        <x:f>IF(J1285="Рассчитано",V1285-W1285,"н/д")</x:f>
        <x:v>н/д</x:v>
      </x:c>
      <x:c r="Y1285" s="27" t="str">
        <x:f>IF(J1285="Рассчитано",IF(V1285&gt;0,G1285/V1285,"н/д"),"н/д")</x:f>
        <x:v>н/д</x:v>
      </x:c>
      <x:c r="Z1285" s="21" t="str">
        <x:f>"н/д"</x:f>
        <x:v>н/д</x:v>
      </x:c>
      <x:c r="AA1285" s="21" t="str">
        <x:f>"н/д"</x:f>
        <x:v>н/д</x:v>
      </x:c>
      <x:c r="AB1285" s="21" t="str">
        <x:f>"н/д"</x:f>
        <x:v>н/д</x:v>
      </x:c>
      <x:c r="AC1285" s="21" t="str">
        <x:f>IF(AND(J1285="Рассчитано",T1285&gt;0,R1285&lt;100),(W1285+P1285+Q1285)/(T1285*(1-R1285/100)),"н/д")</x:f>
        <x:v>н/д</x:v>
      </x:c>
      <x:c r="AD1285" s="10" t="str">
        <x:f>IF(ISNUMBER(G1285),IF(G1285&lt;0,"Убыток",IF(G1285=0,"Без прибыли","Прибыль &gt; 0")),"Не оценён")</x:f>
        <x:v>Не оценён</x:v>
      </x:c>
      <x:c r="AE1285" s="13" t="str">
        <x:f>IF(J1285="Рассчитано","Выручка "&amp;TEXT(V1285,"0.00")&amp;" - себестоимость "&amp;TEXT(W1285,"0.00")&amp;" - комиссия "&amp;TEXT(V1285*R1285/100,"0.00")&amp;" - доставка "&amp;TEXT(P1285,"0.00")&amp;" - прочие "&amp;TEXT(Q1285,"0.00")&amp;" = "&amp;TEXT(G1285,"0.00")&amp;" "&amp;L1285,"Введите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5" s="24" t="n">
        <x:v>4.315444332971462</x:v>
      </x:c>
      <x:c r="AG1285" s="37" t="n">
        <x:v>110</x:v>
      </x:c>
      <x:c r="AH1285" s="37" t="n">
        <x:v>0</x:v>
      </x:c>
      <x:c r="AI1285" s="30" t="n">
        <x:v>46287</x:v>
      </x:c>
      <x:c r="AJ1285" s="37" t="n">
        <x:v>10</x:v>
      </x:c>
      <x:c r="AK1285" s="10" t="str">
        <x:v>кратность</x:v>
      </x:c>
      <x:c r="AL1285" s="32" t="n">
        <x:v>2173.3673861806496</x:v>
      </x:c>
      <x:c r="AM1285" s="13" t="str">
        <x:v>Нет ежедневных данных доступности. Запас более 180 дней при среднем спросе</x:v>
      </x:c>
      <x:c r="AN1285" s="13" t="str">
        <x:v>Проверить свободный остаток и установить цену для B2B</x:v>
      </x:c>
      <x:c r="AO1285" s="13" t="str">
        <x:v>Остаток 110; прогноз 90 дней 4.32; избыток 105 шт. Будущие поступления не выставляются на продажу.</x:v>
      </x:c>
      <x:c r="AP1285" s="13" t="str">
        <x:v>["daily_stockout_data_missing", "new_order_lead_time_unknown"]</x:v>
      </x:c>
      <x:c r="AQ1285" s="10" t="str">
        <x:v>SE:300200315_</x:v>
      </x:c>
      <x:c r="AR1285" s="24" t="n">
        <x:v>1</x:v>
      </x:c>
      <x:c r="AS1285" s="24" t="n">
        <x:v>0</x:v>
      </x:c>
      <x:c r="AT1285" s="24" t="n">
        <x:v>0</x:v>
      </x:c>
    </x:row>
    <x:row r="1286" ht="64" customHeight="1">
      <x:c r="A1286" s="11" t="str">
        <x:v>Systeme Electric</x:v>
      </x:c>
      <x:c r="B1286" s="33" t="str">
        <x:v>300200317_</x:v>
      </x:c>
      <x:c r="C1286" s="33" t="str">
        <x:v>BLNRS001011</x:v>
      </x:c>
      <x:c r="D1286" s="12" t="str">
        <x:v>S418 Роз  с/у с з/к 16А 250В "BLANCA"  белый BLNRS001011 (60)</x:v>
      </x:c>
      <x:c r="E1286" s="11" t="str">
        <x:v>шт</x:v>
      </x:c>
      <x:c r="F1286" s="35" t="n">
        <x:f>MAX(0,ROUNDDOWN((AG1286-AF1286)/AR1286+0.000000001,0)*AR1286)</x:f>
        <x:v>155</x:v>
      </x:c>
      <x:c r="G1286" s="20" t="str">
        <x:f>IF(J1286="Рассчитано",V1286*(1-R1286/100)-W1286-P1286-Q1286,"н/д")</x:f>
        <x:v>н/д</x:v>
      </x:c>
      <x:c r="H1286" s="12" t="str">
        <x:v>Средний</x:v>
      </x:c>
      <x:c r="I1286" s="12" t="str">
        <x:v>Высокий</x:v>
      </x:c>
      <x:c r="J1286" s="12" t="str">
        <x:f>IF(L1286="","Укажите валюту",IF(NOT(ISNUMBER(K1286)),"Укажите объём",IF(K1286&lt;=0,"Укажите объём",IF(K1286&gt;F1286,"Объём выше излишка",IF(COUNT(M1286:O1286)&lt;3,"Нужны цены",IF(COUNT(P1286:R1286)&lt;3,"Нужны расходы",IF(OR(M1286&lt;0,N1286&lt;0,O1286&lt;0,O1286&gt;100,P1286&lt;0,Q1286&lt;0,R1286&lt;0,R1286&gt;100),"Проверьте значения","Рассчитано")))))))</x:f>
        <x:v>Нужны цены</x:v>
      </x:c>
      <x:c r="K1286" s="36" t="n">
        <x:v>155</x:v>
      </x:c>
      <x:c r="L1286" s="19" t="str">
        <x:v>KZT</x:v>
      </x:c>
      <x:c r="M1286" s="22"/>
      <x:c r="N1286" s="22"/>
      <x:c r="O1286" s="28"/>
      <x:c r="P1286" s="22"/>
      <x:c r="Q1286" s="22"/>
      <x:c r="R1286" s="28"/>
      <x:c r="S1286" s="22"/>
      <x:c r="T1286" s="35" t="n">
        <x:f>K1286</x:f>
        <x:v>155</x:v>
      </x:c>
      <x:c r="U1286" s="20" t="str">
        <x:f>IF(J1286="Рассчитано",N1286*(1-O1286/100),"н/д")</x:f>
        <x:v>н/д</x:v>
      </x:c>
      <x:c r="V1286" s="20" t="str">
        <x:f>IF(J1286="Рассчитано",T1286*U1286,"н/д")</x:f>
        <x:v>н/д</x:v>
      </x:c>
      <x:c r="W1286" s="20" t="str">
        <x:f>IF(J1286="Рассчитано",T1286*M1286,"н/д")</x:f>
        <x:v>н/д</x:v>
      </x:c>
      <x:c r="X1286" s="20" t="str">
        <x:f>IF(J1286="Рассчитано",V1286-W1286,"н/д")</x:f>
        <x:v>н/д</x:v>
      </x:c>
      <x:c r="Y1286" s="26" t="str">
        <x:f>IF(J1286="Рассчитано",IF(V1286&gt;0,G1286/V1286,"н/д"),"н/д")</x:f>
        <x:v>н/д</x:v>
      </x:c>
      <x:c r="Z1286" s="20" t="str">
        <x:f>"н/д"</x:f>
        <x:v>н/д</x:v>
      </x:c>
      <x:c r="AA1286" s="20" t="str">
        <x:f>"н/д"</x:f>
        <x:v>н/д</x:v>
      </x:c>
      <x:c r="AB1286" s="20" t="str">
        <x:f>"н/д"</x:f>
        <x:v>н/д</x:v>
      </x:c>
      <x:c r="AC1286" s="20" t="str">
        <x:f>IF(AND(J1286="Рассчитано",T1286&gt;0,R1286&lt;100),(W1286+P1286+Q1286)/(T1286*(1-R1286/100)),"н/д")</x:f>
        <x:v>н/д</x:v>
      </x:c>
      <x:c r="AD1286" s="11" t="str">
        <x:f>IF(ISNUMBER(G1286),IF(G1286&lt;0,"Убыток",IF(G1286=0,"Без прибыли","Прибыль &gt; 0")),"Не оценён")</x:f>
        <x:v>Не оценён</x:v>
      </x:c>
      <x:c r="AE1286" s="12" t="str">
        <x:f>IF(J1286="Рассчитано","Выручка "&amp;TEXT(V1286,"0.00")&amp;" - себестоимость "&amp;TEXT(W1286,"0.00")&amp;" - комиссия "&amp;TEXT(V1286*R1286/100,"0.00")&amp;" - доставка "&amp;TEXT(P1286,"0.00")&amp;" - прочие "&amp;TEXT(Q1286,"0.00")&amp;" = "&amp;TEXT(G1286,"0.00")&amp;" "&amp;L1286,"Введите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6" s="23" t="n">
        <x:v>132.427377729267</x:v>
      </x:c>
      <x:c r="AG1286" s="35" t="n">
        <x:v>288</x:v>
      </x:c>
      <x:c r="AH1286" s="35" t="n">
        <x:v>0</x:v>
      </x:c>
      <x:c r="AI1286" s="29" t="n">
        <x:v>46287</x:v>
      </x:c>
      <x:c r="AJ1286" s="35" t="n">
        <x:v>10</x:v>
      </x:c>
      <x:c r="AK1286" s="11" t="str">
        <x:v>кратность</x:v>
      </x:c>
      <x:c r="AL1286" s="31" t="n">
        <x:v>185.43029433960422</x:v>
      </x:c>
      <x:c r="AM1286" s="12" t="str">
        <x:v>Нет ежедневных данных доступности. Запас более 180 дней при среднем спросе</x:v>
      </x:c>
      <x:c r="AN1286" s="12" t="str">
        <x:v>Проверить свободный остаток и установить цену для B2B</x:v>
      </x:c>
      <x:c r="AO1286" s="12" t="str">
        <x:v>Остаток 288; прогноз 90 дней 132.43; избыток 155 шт. Будущие поступления не выставляются на продажу.</x:v>
      </x:c>
      <x:c r="AP1286" s="12" t="str">
        <x:v>["daily_stockout_data_missing", "large_orders_detected", "new_order_lead_time_unknown"]</x:v>
      </x:c>
      <x:c r="AQ1286" s="11" t="str">
        <x:v>SE:300200317_</x:v>
      </x:c>
      <x:c r="AR1286" s="23" t="n">
        <x:v>1</x:v>
      </x:c>
      <x:c r="AS1286" s="23" t="n">
        <x:v>0</x:v>
      </x:c>
      <x:c r="AT1286" s="23" t="n">
        <x:v>0</x:v>
      </x:c>
    </x:row>
    <x:row r="1287" ht="64" customHeight="1">
      <x:c r="A1287" s="10" t="str">
        <x:v>Systeme Electric</x:v>
      </x:c>
      <x:c r="B1287" s="34" t="str">
        <x:v>300200318_</x:v>
      </x:c>
      <x:c r="C1287" s="34" t="str">
        <x:v>BLNRS001021</x:v>
      </x:c>
      <x:c r="D1287" s="13" t="str">
        <x:v>S420 Роз  2-ная  с/у с з/к 16А 250В "BLANCA"  белый BLNRS001021 (36)</x:v>
      </x:c>
      <x:c r="E1287" s="10" t="str">
        <x:v>шт</x:v>
      </x:c>
      <x:c r="F1287" s="37" t="n">
        <x:f>MAX(0,ROUNDDOWN((AG1287-AF1287)/AR1287+0.000000001,0)*AR1287)</x:f>
        <x:v>56</x:v>
      </x:c>
      <x:c r="G1287" s="21" t="str">
        <x:f>IF(J1287="Рассчитано",V1287*(1-R1287/100)-W1287-P1287-Q1287,"н/д")</x:f>
        <x:v>н/д</x:v>
      </x:c>
      <x:c r="H1287" s="13" t="str">
        <x:v>Средний</x:v>
      </x:c>
      <x:c r="I1287" s="13" t="str">
        <x:v>Средний</x:v>
      </x:c>
      <x:c r="J1287" s="13" t="str">
        <x:f>IF(L1287="","Укажите валюту",IF(NOT(ISNUMBER(K1287)),"Укажите объём",IF(K1287&lt;=0,"Укажите объём",IF(K1287&gt;F1287,"Объём выше излишка",IF(COUNT(M1287:O1287)&lt;3,"Нужны цены",IF(COUNT(P1287:R1287)&lt;3,"Нужны расходы",IF(OR(M1287&lt;0,N1287&lt;0,O1287&lt;0,O1287&gt;100,P1287&lt;0,Q1287&lt;0,R1287&lt;0,R1287&gt;100),"Проверьте значения","Рассчитано")))))))</x:f>
        <x:v>Нужны цены</x:v>
      </x:c>
      <x:c r="K1287" s="36" t="n">
        <x:v>56</x:v>
      </x:c>
      <x:c r="L1287" s="19" t="str">
        <x:v>KZT</x:v>
      </x:c>
      <x:c r="M1287" s="22"/>
      <x:c r="N1287" s="22"/>
      <x:c r="O1287" s="28"/>
      <x:c r="P1287" s="22"/>
      <x:c r="Q1287" s="22"/>
      <x:c r="R1287" s="28"/>
      <x:c r="S1287" s="22"/>
      <x:c r="T1287" s="37" t="n">
        <x:f>K1287</x:f>
        <x:v>56</x:v>
      </x:c>
      <x:c r="U1287" s="21" t="str">
        <x:f>IF(J1287="Рассчитано",N1287*(1-O1287/100),"н/д")</x:f>
        <x:v>н/д</x:v>
      </x:c>
      <x:c r="V1287" s="21" t="str">
        <x:f>IF(J1287="Рассчитано",T1287*U1287,"н/д")</x:f>
        <x:v>н/д</x:v>
      </x:c>
      <x:c r="W1287" s="21" t="str">
        <x:f>IF(J1287="Рассчитано",T1287*M1287,"н/д")</x:f>
        <x:v>н/д</x:v>
      </x:c>
      <x:c r="X1287" s="21" t="str">
        <x:f>IF(J1287="Рассчитано",V1287-W1287,"н/д")</x:f>
        <x:v>н/д</x:v>
      </x:c>
      <x:c r="Y1287" s="27" t="str">
        <x:f>IF(J1287="Рассчитано",IF(V1287&gt;0,G1287/V1287,"н/д"),"н/д")</x:f>
        <x:v>н/д</x:v>
      </x:c>
      <x:c r="Z1287" s="21" t="str">
        <x:f>"н/д"</x:f>
        <x:v>н/д</x:v>
      </x:c>
      <x:c r="AA1287" s="21" t="str">
        <x:f>"н/д"</x:f>
        <x:v>н/д</x:v>
      </x:c>
      <x:c r="AB1287" s="21" t="str">
        <x:f>"н/д"</x:f>
        <x:v>н/д</x:v>
      </x:c>
      <x:c r="AC1287" s="21" t="str">
        <x:f>IF(AND(J1287="Рассчитано",T1287&gt;0,R1287&lt;100),(W1287+P1287+Q1287)/(T1287*(1-R1287/100)),"н/д")</x:f>
        <x:v>н/д</x:v>
      </x:c>
      <x:c r="AD1287" s="10" t="str">
        <x:f>IF(ISNUMBER(G1287),IF(G1287&lt;0,"Убыток",IF(G1287=0,"Без прибыли","Прибыль &gt; 0")),"Не оценён")</x:f>
        <x:v>Не оценён</x:v>
      </x:c>
      <x:c r="AE1287" s="13" t="str">
        <x:f>IF(J1287="Рассчитано","Выручка "&amp;TEXT(V1287,"0.00")&amp;" - себестоимость "&amp;TEXT(W1287,"0.00")&amp;" - комиссия "&amp;TEXT(V1287*R1287/100,"0.00")&amp;" - доставка "&amp;TEXT(P1287,"0.00")&amp;" - прочие "&amp;TEXT(Q1287,"0.00")&amp;" = "&amp;TEXT(G1287,"0.00")&amp;" "&amp;L1287,"Введите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7" s="24" t="n">
        <x:v>173.8320708900584</x:v>
      </x:c>
      <x:c r="AG1287" s="37" t="n">
        <x:v>230</x:v>
      </x:c>
      <x:c r="AH1287" s="37" t="n">
        <x:v>0</x:v>
      </x:c>
      <x:c r="AI1287" s="30" t="n">
        <x:v>46287</x:v>
      </x:c>
      <x:c r="AJ1287" s="37" t="n">
        <x:v>6</x:v>
      </x:c>
      <x:c r="AK1287" s="10" t="str">
        <x:v>кратность</x:v>
      </x:c>
      <x:c r="AL1287" s="32" t="n">
        <x:v>112.81423722703768</x:v>
      </x:c>
      <x:c r="AM1287" s="13" t="str">
        <x:v>Детальные и месячные продажи расходятся; Нет ежедневных данных доступности. Запас выше прогноза на 90 дней</x:v>
      </x:c>
      <x:c r="AN1287" s="13" t="str">
        <x:v>Проверить свободный остаток и установить цену для B2B</x:v>
      </x:c>
      <x:c r="AO1287" s="13" t="str">
        <x:v>Остаток 230; прогноз 90 дней 173.83; избыток 56 шт. Будущие поступления не выставляются на продажу.</x:v>
      </x:c>
      <x:c r="AP1287" s="13" t="str">
        <x:v>["daily_stockout_data_missing", "large_orders_detected", "new_order_lead_time_unknown", "transaction_month_mismatch"]</x:v>
      </x:c>
      <x:c r="AQ1287" s="10" t="str">
        <x:v>SE:300200318_</x:v>
      </x:c>
      <x:c r="AR1287" s="24" t="n">
        <x:v>1</x:v>
      </x:c>
      <x:c r="AS1287" s="24" t="n">
        <x:v>0</x:v>
      </x:c>
      <x:c r="AT1287" s="24" t="n">
        <x:v>0</x:v>
      </x:c>
    </x:row>
    <x:row r="1288" ht="64" customHeight="1">
      <x:c r="A1288" s="11" t="str">
        <x:v>Systeme Electric</x:v>
      </x:c>
      <x:c r="B1288" s="33" t="str">
        <x:v>300200324_</x:v>
      </x:c>
      <x:c r="C1288" s="33" t="str">
        <x:v>BLNRA010211</x:v>
      </x:c>
      <x:c r="D1288" s="12" t="str">
        <x:v>S427 Роз  2-ная  о/у с з/к 16А 250В ИЗОЛ.ПЛ. "BLANCA" белый BLNRA010211 (48)</x:v>
      </x:c>
      <x:c r="E1288" s="11" t="str">
        <x:v>шт</x:v>
      </x:c>
      <x:c r="F1288" s="35" t="n">
        <x:f>MAX(0,ROUNDDOWN((AG1288-AF1288)/AR1288+0.000000001,0)*AR1288)</x:f>
        <x:v>210</x:v>
      </x:c>
      <x:c r="G1288" s="20" t="str">
        <x:f>IF(J1288="Рассчитано",V1288*(1-R1288/100)-W1288-P1288-Q1288,"н/д")</x:f>
        <x:v>н/д</x:v>
      </x:c>
      <x:c r="H1288" s="12" t="str">
        <x:v>Средний</x:v>
      </x:c>
      <x:c r="I1288" s="12" t="str">
        <x:v>Средний</x:v>
      </x:c>
      <x:c r="J1288" s="12" t="str">
        <x:f>IF(L1288="","Укажите валюту",IF(NOT(ISNUMBER(K1288)),"Укажите объём",IF(K1288&lt;=0,"Укажите объём",IF(K1288&gt;F1288,"Объём выше излишка",IF(COUNT(M1288:O1288)&lt;3,"Нужны цены",IF(COUNT(P1288:R1288)&lt;3,"Нужны расходы",IF(OR(M1288&lt;0,N1288&lt;0,O1288&lt;0,O1288&gt;100,P1288&lt;0,Q1288&lt;0,R1288&lt;0,R1288&gt;100),"Проверьте значения","Рассчитано")))))))</x:f>
        <x:v>Нужны цены</x:v>
      </x:c>
      <x:c r="K1288" s="36" t="n">
        <x:v>210</x:v>
      </x:c>
      <x:c r="L1288" s="19" t="str">
        <x:v>KZT</x:v>
      </x:c>
      <x:c r="M1288" s="22"/>
      <x:c r="N1288" s="22"/>
      <x:c r="O1288" s="28"/>
      <x:c r="P1288" s="22"/>
      <x:c r="Q1288" s="22"/>
      <x:c r="R1288" s="28"/>
      <x:c r="S1288" s="22"/>
      <x:c r="T1288" s="35" t="n">
        <x:f>K1288</x:f>
        <x:v>210</x:v>
      </x:c>
      <x:c r="U1288" s="20" t="str">
        <x:f>IF(J1288="Рассчитано",N1288*(1-O1288/100),"н/д")</x:f>
        <x:v>н/д</x:v>
      </x:c>
      <x:c r="V1288" s="20" t="str">
        <x:f>IF(J1288="Рассчитано",T1288*U1288,"н/д")</x:f>
        <x:v>н/д</x:v>
      </x:c>
      <x:c r="W1288" s="20" t="str">
        <x:f>IF(J1288="Рассчитано",T1288*M1288,"н/д")</x:f>
        <x:v>н/д</x:v>
      </x:c>
      <x:c r="X1288" s="20" t="str">
        <x:f>IF(J1288="Рассчитано",V1288-W1288,"н/д")</x:f>
        <x:v>н/д</x:v>
      </x:c>
      <x:c r="Y1288" s="26" t="str">
        <x:f>IF(J1288="Рассчитано",IF(V1288&gt;0,G1288/V1288,"н/д"),"н/д")</x:f>
        <x:v>н/д</x:v>
      </x:c>
      <x:c r="Z1288" s="20" t="str">
        <x:f>"н/д"</x:f>
        <x:v>н/д</x:v>
      </x:c>
      <x:c r="AA1288" s="20" t="str">
        <x:f>"н/д"</x:f>
        <x:v>н/д</x:v>
      </x:c>
      <x:c r="AB1288" s="20" t="str">
        <x:f>"н/д"</x:f>
        <x:v>н/д</x:v>
      </x:c>
      <x:c r="AC1288" s="20" t="str">
        <x:f>IF(AND(J1288="Рассчитано",T1288&gt;0,R1288&lt;100),(W1288+P1288+Q1288)/(T1288*(1-R1288/100)),"н/д")</x:f>
        <x:v>н/д</x:v>
      </x:c>
      <x:c r="AD1288" s="11" t="str">
        <x:f>IF(ISNUMBER(G1288),IF(G1288&lt;0,"Убыток",IF(G1288=0,"Без прибыли","Прибыль &gt; 0")),"Не оценён")</x:f>
        <x:v>Не оценён</x:v>
      </x:c>
      <x:c r="AE1288" s="12" t="str">
        <x:f>IF(J1288="Рассчитано","Выручка "&amp;TEXT(V1288,"0.00")&amp;" - себестоимость "&amp;TEXT(W1288,"0.00")&amp;" - комиссия "&amp;TEXT(V1288*R1288/100,"0.00")&amp;" - доставка "&amp;TEXT(P1288,"0.00")&amp;" - прочие "&amp;TEXT(Q1288,"0.00")&amp;" = "&amp;TEXT(G1288,"0.00")&amp;" "&amp;L1288,"Введите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8" s="23" t="n">
        <x:v>2904.9258223381257</x:v>
      </x:c>
      <x:c r="AG1288" s="35" t="n">
        <x:v>3115</x:v>
      </x:c>
      <x:c r="AH1288" s="35" t="n">
        <x:v>0</x:v>
      </x:c>
      <x:c r="AI1288" s="29" t="n">
        <x:v>46287</x:v>
      </x:c>
      <x:c r="AJ1288" s="35" t="n">
        <x:v>8</x:v>
      </x:c>
      <x:c r="AK1288" s="11" t="str">
        <x:v>кратность</x:v>
      </x:c>
      <x:c r="AL1288" s="31" t="n">
        <x:v>91.43005546704576</x:v>
      </x:c>
      <x:c r="AM1288" s="12" t="str">
        <x:v>Детальные и месячные продажи расходятся; Нет ежедневных данных доступности. Запас выше прогноза на 90 дней</x:v>
      </x:c>
      <x:c r="AN1288" s="12" t="str">
        <x:v>Проверить свободный остаток и установить цену для B2B</x:v>
      </x:c>
      <x:c r="AO1288" s="12" t="str">
        <x:v>Остаток 3115; прогноз 90 дней 2904.93; избыток 210 шт. Будущие поступления не выставляются на продажу.</x:v>
      </x:c>
      <x:c r="AP1288" s="12" t="str">
        <x:v>["daily_stockout_data_missing", "large_orders_detected", "new_order_lead_time_unknown", "transaction_month_mismatch"]</x:v>
      </x:c>
      <x:c r="AQ1288" s="11" t="str">
        <x:v>SE:300200324_</x:v>
      </x:c>
      <x:c r="AR1288" s="23" t="n">
        <x:v>1</x:v>
      </x:c>
      <x:c r="AS1288" s="23" t="n">
        <x:v>0</x:v>
      </x:c>
      <x:c r="AT1288" s="23" t="n">
        <x:v>0</x:v>
      </x:c>
    </x:row>
    <x:row r="1289" ht="64" customHeight="1">
      <x:c r="A1289" s="10" t="str">
        <x:v>Systeme Electric</x:v>
      </x:c>
      <x:c r="B1289" s="34" t="str">
        <x:v>300200330_</x:v>
      </x:c>
      <x:c r="C1289" s="34" t="str">
        <x:v>BLNZA000011</x:v>
      </x:c>
      <x:c r="D1289" s="13" t="str">
        <x:v>S432 Звонок проводной  о/у "BLANCA" белый BLNZA000011 (48)</x:v>
      </x:c>
      <x:c r="E1289" s="10" t="str">
        <x:v>шт</x:v>
      </x:c>
      <x:c r="F1289" s="37" t="n">
        <x:f>MAX(0,ROUNDDOWN((AG1289-AF1289)/AR1289+0.000000001,0)*AR1289)</x:f>
        <x:v>6</x:v>
      </x:c>
      <x:c r="G1289" s="21" t="str">
        <x:f>IF(J1289="Рассчитано",V1289*(1-R1289/100)-W1289-P1289-Q1289,"н/д")</x:f>
        <x:v>н/д</x:v>
      </x:c>
      <x:c r="H1289" s="13" t="str">
        <x:v>Средний</x:v>
      </x:c>
      <x:c r="I1289" s="13" t="str">
        <x:v>Высокий</x:v>
      </x:c>
      <x:c r="J1289" s="13" t="str">
        <x:f>IF(L1289="","Укажите валюту",IF(NOT(ISNUMBER(K1289)),"Укажите объём",IF(K1289&lt;=0,"Укажите объём",IF(K1289&gt;F1289,"Объём выше излишка",IF(COUNT(M1289:O1289)&lt;3,"Нужны цены",IF(COUNT(P1289:R1289)&lt;3,"Нужны расходы",IF(OR(M1289&lt;0,N1289&lt;0,O1289&lt;0,O1289&gt;100,P1289&lt;0,Q1289&lt;0,R1289&lt;0,R1289&gt;100),"Проверьте значения","Рассчитано")))))))</x:f>
        <x:v>Нужны цены</x:v>
      </x:c>
      <x:c r="K1289" s="36" t="n">
        <x:v>6</x:v>
      </x:c>
      <x:c r="L1289" s="19" t="str">
        <x:v>KZT</x:v>
      </x:c>
      <x:c r="M1289" s="22"/>
      <x:c r="N1289" s="22"/>
      <x:c r="O1289" s="28"/>
      <x:c r="P1289" s="22"/>
      <x:c r="Q1289" s="22"/>
      <x:c r="R1289" s="28"/>
      <x:c r="S1289" s="22"/>
      <x:c r="T1289" s="37" t="n">
        <x:f>K1289</x:f>
        <x:v>6</x:v>
      </x:c>
      <x:c r="U1289" s="21" t="str">
        <x:f>IF(J1289="Рассчитано",N1289*(1-O1289/100),"н/д")</x:f>
        <x:v>н/д</x:v>
      </x:c>
      <x:c r="V1289" s="21" t="str">
        <x:f>IF(J1289="Рассчитано",T1289*U1289,"н/д")</x:f>
        <x:v>н/д</x:v>
      </x:c>
      <x:c r="W1289" s="21" t="str">
        <x:f>IF(J1289="Рассчитано",T1289*M1289,"н/д")</x:f>
        <x:v>н/д</x:v>
      </x:c>
      <x:c r="X1289" s="21" t="str">
        <x:f>IF(J1289="Рассчитано",V1289-W1289,"н/д")</x:f>
        <x:v>н/д</x:v>
      </x:c>
      <x:c r="Y1289" s="27" t="str">
        <x:f>IF(J1289="Рассчитано",IF(V1289&gt;0,G1289/V1289,"н/д"),"н/д")</x:f>
        <x:v>н/д</x:v>
      </x:c>
      <x:c r="Z1289" s="21" t="str">
        <x:f>"н/д"</x:f>
        <x:v>н/д</x:v>
      </x:c>
      <x:c r="AA1289" s="21" t="str">
        <x:f>"н/д"</x:f>
        <x:v>н/д</x:v>
      </x:c>
      <x:c r="AB1289" s="21" t="str">
        <x:f>"н/д"</x:f>
        <x:v>н/д</x:v>
      </x:c>
      <x:c r="AC1289" s="21" t="str">
        <x:f>IF(AND(J1289="Рассчитано",T1289&gt;0,R1289&lt;100),(W1289+P1289+Q1289)/(T1289*(1-R1289/100)),"н/д")</x:f>
        <x:v>н/д</x:v>
      </x:c>
      <x:c r="AD1289" s="10" t="str">
        <x:f>IF(ISNUMBER(G1289),IF(G1289&lt;0,"Убыток",IF(G1289=0,"Без прибыли","Прибыль &gt; 0")),"Не оценён")</x:f>
        <x:v>Не оценён</x:v>
      </x:c>
      <x:c r="AE1289" s="13" t="str">
        <x:f>IF(J1289="Рассчитано","Выручка "&amp;TEXT(V1289,"0.00")&amp;" - себестоимость "&amp;TEXT(W1289,"0.00")&amp;" - комиссия "&amp;TEXT(V1289*R1289/100,"0.00")&amp;" - доставка "&amp;TEXT(P1289,"0.00")&amp;" - прочие "&amp;TEXT(Q1289,"0.00")&amp;" = "&amp;TEXT(G1289,"0.00")&amp;" "&amp;L1289,"Введите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9" s="24" t="n">
        <x:v>2.56976211461016</x:v>
      </x:c>
      <x:c r="AG1289" s="37" t="n">
        <x:v>9</x:v>
      </x:c>
      <x:c r="AH1289" s="37" t="n">
        <x:v>0</x:v>
      </x:c>
      <x:c r="AI1289" s="30" t="n">
        <x:v>46287</x:v>
      </x:c>
      <x:c r="AJ1289" s="37" t="n">
        <x:v>8</x:v>
      </x:c>
      <x:c r="AK1289" s="10" t="str">
        <x:v>кратность</x:v>
      </x:c>
      <x:c r="AL1289" s="32" t="n">
        <x:v>298.6177141084948</x:v>
      </x:c>
      <x:c r="AM1289" s="13" t="str">
        <x:v>Детальные и месячные продажи расходятся; Нет ежедневных данных доступности. Запас более 180 дней при среднем спросе</x:v>
      </x:c>
      <x:c r="AN1289" s="13" t="str">
        <x:v>Проверить свободный остаток и установить цену для B2B</x:v>
      </x:c>
      <x:c r="AO1289" s="13" t="str">
        <x:v>Остаток 9; прогноз 90 дней 2.57; избыток 6 шт. Будущие поступления не выставляются на продажу.</x:v>
      </x:c>
      <x:c r="AP1289" s="13" t="str">
        <x:v>["daily_stockout_data_missing", "large_orders_detected", "new_order_lead_time_unknown", "transaction_month_mismatch"]</x:v>
      </x:c>
      <x:c r="AQ1289" s="10" t="str">
        <x:v>SE:300200330_</x:v>
      </x:c>
      <x:c r="AR1289" s="24" t="n">
        <x:v>1</x:v>
      </x:c>
      <x:c r="AS1289" s="24" t="n">
        <x:v>0</x:v>
      </x:c>
      <x:c r="AT1289" s="24" t="n">
        <x:v>0</x:v>
      </x:c>
    </x:row>
    <x:row r="1290" ht="64" customHeight="1">
      <x:c r="A1290" s="11" t="str">
        <x:v>Systeme Electric</x:v>
      </x:c>
      <x:c r="B1290" s="33" t="str">
        <x:v>300200346_</x:v>
      </x:c>
      <x:c r="C1290" s="33" t="str">
        <x:v>BLNRS001111</x:v>
      </x:c>
      <x:c r="D1290" s="12" t="str">
        <x:v>S419 Роз  с/у с з/к с штор. 16А 250В "BLANCA" белый BLNRS001111 (60)</x:v>
      </x:c>
      <x:c r="E1290" s="11" t="str">
        <x:v>шт</x:v>
      </x:c>
      <x:c r="F1290" s="35" t="n">
        <x:f>MAX(0,ROUNDDOWN((AG1290-AF1290)/AR1290+0.000000001,0)*AR1290)</x:f>
        <x:v>27</x:v>
      </x:c>
      <x:c r="G1290" s="20" t="str">
        <x:f>IF(J1290="Рассчитано",V1290*(1-R1290/100)-W1290-P1290-Q1290,"н/д")</x:f>
        <x:v>н/д</x:v>
      </x:c>
      <x:c r="H1290" s="12" t="str">
        <x:v>Средний</x:v>
      </x:c>
      <x:c r="I1290" s="12" t="str">
        <x:v>Высокий</x:v>
      </x:c>
      <x:c r="J1290" s="12" t="str">
        <x:f>IF(L1290="","Укажите валюту",IF(NOT(ISNUMBER(K1290)),"Укажите объём",IF(K1290&lt;=0,"Укажите объём",IF(K1290&gt;F1290,"Объём выше излишка",IF(COUNT(M1290:O1290)&lt;3,"Нужны цены",IF(COUNT(P1290:R1290)&lt;3,"Нужны расходы",IF(OR(M1290&lt;0,N1290&lt;0,O1290&lt;0,O1290&gt;100,P1290&lt;0,Q1290&lt;0,R1290&lt;0,R1290&gt;100),"Проверьте значения","Рассчитано")))))))</x:f>
        <x:v>Нужны цены</x:v>
      </x:c>
      <x:c r="K1290" s="36" t="n">
        <x:v>27</x:v>
      </x:c>
      <x:c r="L1290" s="19" t="str">
        <x:v>KZT</x:v>
      </x:c>
      <x:c r="M1290" s="22"/>
      <x:c r="N1290" s="22"/>
      <x:c r="O1290" s="28"/>
      <x:c r="P1290" s="22"/>
      <x:c r="Q1290" s="22"/>
      <x:c r="R1290" s="28"/>
      <x:c r="S1290" s="22"/>
      <x:c r="T1290" s="35" t="n">
        <x:f>K1290</x:f>
        <x:v>27</x:v>
      </x:c>
      <x:c r="U1290" s="20" t="str">
        <x:f>IF(J1290="Рассчитано",N1290*(1-O1290/100),"н/д")</x:f>
        <x:v>н/д</x:v>
      </x:c>
      <x:c r="V1290" s="20" t="str">
        <x:f>IF(J1290="Рассчитано",T1290*U1290,"н/д")</x:f>
        <x:v>н/д</x:v>
      </x:c>
      <x:c r="W1290" s="20" t="str">
        <x:f>IF(J1290="Рассчитано",T1290*M1290,"н/д")</x:f>
        <x:v>н/д</x:v>
      </x:c>
      <x:c r="X1290" s="20" t="str">
        <x:f>IF(J1290="Рассчитано",V1290-W1290,"н/д")</x:f>
        <x:v>н/д</x:v>
      </x:c>
      <x:c r="Y1290" s="26" t="str">
        <x:f>IF(J1290="Рассчитано",IF(V1290&gt;0,G1290/V1290,"н/д"),"н/д")</x:f>
        <x:v>н/д</x:v>
      </x:c>
      <x:c r="Z1290" s="20" t="str">
        <x:f>"н/д"</x:f>
        <x:v>н/д</x:v>
      </x:c>
      <x:c r="AA1290" s="20" t="str">
        <x:f>"н/д"</x:f>
        <x:v>н/д</x:v>
      </x:c>
      <x:c r="AB1290" s="20" t="str">
        <x:f>"н/д"</x:f>
        <x:v>н/д</x:v>
      </x:c>
      <x:c r="AC1290" s="20" t="str">
        <x:f>IF(AND(J1290="Рассчитано",T1290&gt;0,R1290&lt;100),(W1290+P1290+Q1290)/(T1290*(1-R1290/100)),"н/д")</x:f>
        <x:v>н/д</x:v>
      </x:c>
      <x:c r="AD1290" s="11" t="str">
        <x:f>IF(ISNUMBER(G1290),IF(G1290&lt;0,"Убыток",IF(G1290=0,"Без прибыли","Прибыль &gt; 0")),"Не оценён")</x:f>
        <x:v>Не оценён</x:v>
      </x:c>
      <x:c r="AE1290" s="12" t="str">
        <x:f>IF(J1290="Рассчитано","Выручка "&amp;TEXT(V1290,"0.00")&amp;" - себестоимость "&amp;TEXT(W1290,"0.00")&amp;" - комиссия "&amp;TEXT(V1290*R1290/100,"0.00")&amp;" - доставка "&amp;TEXT(P1290,"0.00")&amp;" - прочие "&amp;TEXT(Q1290,"0.00")&amp;" = "&amp;TEXT(G1290,"0.00")&amp;" "&amp;L1290,"Введите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0" s="23" t="n">
        <x:v>8.977379305259287</x:v>
      </x:c>
      <x:c r="AG1290" s="35" t="n">
        <x:v>36</x:v>
      </x:c>
      <x:c r="AH1290" s="35" t="n">
        <x:v>0</x:v>
      </x:c>
      <x:c r="AI1290" s="29" t="n">
        <x:v>46287</x:v>
      </x:c>
      <x:c r="AJ1290" s="35" t="n">
        <x:v>10</x:v>
      </x:c>
      <x:c r="AK1290" s="11" t="str">
        <x:v>кратность</x:v>
      </x:c>
      <x:c r="AL1290" s="31" t="n">
        <x:v>341.91559134320545</x:v>
      </x:c>
      <x:c r="AM1290" s="12" t="str">
        <x:v>Нет ежедневных данных доступности. Запас более 180 дней при среднем спросе</x:v>
      </x:c>
      <x:c r="AN1290" s="12" t="str">
        <x:v>Проверить свободный остаток и установить цену для B2B</x:v>
      </x:c>
      <x:c r="AO1290" s="12" t="str">
        <x:v>Остаток 36; прогноз 90 дней 8.98; избыток 27 шт. Будущие поступления не выставляются на продажу.</x:v>
      </x:c>
      <x:c r="AP1290" s="12" t="str">
        <x:v>["daily_stockout_data_missing", "new_order_lead_time_unknown"]</x:v>
      </x:c>
      <x:c r="AQ1290" s="11" t="str">
        <x:v>SE:300200346_</x:v>
      </x:c>
      <x:c r="AR1290" s="23" t="n">
        <x:v>1</x:v>
      </x:c>
      <x:c r="AS1290" s="23" t="n">
        <x:v>0</x:v>
      </x:c>
      <x:c r="AT1290" s="23" t="n">
        <x:v>0</x:v>
      </x:c>
    </x:row>
    <x:row r="1291" ht="64" customHeight="1">
      <x:c r="A1291" s="10" t="str">
        <x:v>Systeme Electric</x:v>
      </x:c>
      <x:c r="B1291" s="34" t="str">
        <x:v>300200347_</x:v>
      </x:c>
      <x:c r="C1291" s="34" t="str">
        <x:v>BLNRS001121</x:v>
      </x:c>
      <x:c r="D1291" s="13" t="str">
        <x:v>S421 Роз  2-ная  с/у с з/к с штор. 16А 250В "BLANCA" белый BLNRS001121 (36)</x:v>
      </x:c>
      <x:c r="E1291" s="10" t="str">
        <x:v>шт</x:v>
      </x:c>
      <x:c r="F1291" s="37" t="n">
        <x:f>MAX(0,ROUNDDOWN((AG1291-AF1291)/AR1291+0.000000001,0)*AR1291)</x:f>
        <x:v>7</x:v>
      </x:c>
      <x:c r="G1291" s="21" t="str">
        <x:f>IF(J1291="Рассчитано",V1291*(1-R1291/100)-W1291-P1291-Q1291,"н/д")</x:f>
        <x:v>н/д</x:v>
      </x:c>
      <x:c r="H1291" s="13" t="str">
        <x:v>Средний</x:v>
      </x:c>
      <x:c r="I1291" s="13" t="str">
        <x:v>Средний</x:v>
      </x:c>
      <x:c r="J1291" s="13" t="str">
        <x:f>IF(L1291="","Укажите валюту",IF(NOT(ISNUMBER(K1291)),"Укажите объём",IF(K1291&lt;=0,"Укажите объём",IF(K1291&gt;F1291,"Объём выше излишка",IF(COUNT(M1291:O1291)&lt;3,"Нужны цены",IF(COUNT(P1291:R1291)&lt;3,"Нужны расходы",IF(OR(M1291&lt;0,N1291&lt;0,O1291&lt;0,O1291&gt;100,P1291&lt;0,Q1291&lt;0,R1291&lt;0,R1291&gt;100),"Проверьте значения","Рассчитано")))))))</x:f>
        <x:v>Нужны цены</x:v>
      </x:c>
      <x:c r="K1291" s="36" t="n">
        <x:v>7</x:v>
      </x:c>
      <x:c r="L1291" s="19" t="str">
        <x:v>KZT</x:v>
      </x:c>
      <x:c r="M1291" s="22"/>
      <x:c r="N1291" s="22"/>
      <x:c r="O1291" s="28"/>
      <x:c r="P1291" s="22"/>
      <x:c r="Q1291" s="22"/>
      <x:c r="R1291" s="28"/>
      <x:c r="S1291" s="22"/>
      <x:c r="T1291" s="37" t="n">
        <x:f>K1291</x:f>
        <x:v>7</x:v>
      </x:c>
      <x:c r="U1291" s="21" t="str">
        <x:f>IF(J1291="Рассчитано",N1291*(1-O1291/100),"н/д")</x:f>
        <x:v>н/д</x:v>
      </x:c>
      <x:c r="V1291" s="21" t="str">
        <x:f>IF(J1291="Рассчитано",T1291*U1291,"н/д")</x:f>
        <x:v>н/д</x:v>
      </x:c>
      <x:c r="W1291" s="21" t="str">
        <x:f>IF(J1291="Рассчитано",T1291*M1291,"н/д")</x:f>
        <x:v>н/д</x:v>
      </x:c>
      <x:c r="X1291" s="21" t="str">
        <x:f>IF(J1291="Рассчитано",V1291-W1291,"н/д")</x:f>
        <x:v>н/д</x:v>
      </x:c>
      <x:c r="Y1291" s="27" t="str">
        <x:f>IF(J1291="Рассчитано",IF(V1291&gt;0,G1291/V1291,"н/д"),"н/д")</x:f>
        <x:v>н/д</x:v>
      </x:c>
      <x:c r="Z1291" s="21" t="str">
        <x:f>"н/д"</x:f>
        <x:v>н/д</x:v>
      </x:c>
      <x:c r="AA1291" s="21" t="str">
        <x:f>"н/д"</x:f>
        <x:v>н/д</x:v>
      </x:c>
      <x:c r="AB1291" s="21" t="str">
        <x:f>"н/д"</x:f>
        <x:v>н/д</x:v>
      </x:c>
      <x:c r="AC1291" s="21" t="str">
        <x:f>IF(AND(J1291="Рассчитано",T1291&gt;0,R1291&lt;100),(W1291+P1291+Q1291)/(T1291*(1-R1291/100)),"н/д")</x:f>
        <x:v>н/д</x:v>
      </x:c>
      <x:c r="AD1291" s="10" t="str">
        <x:f>IF(ISNUMBER(G1291),IF(G1291&lt;0,"Убыток",IF(G1291=0,"Без прибыли","Прибыль &gt; 0")),"Не оценён")</x:f>
        <x:v>Не оценён</x:v>
      </x:c>
      <x:c r="AE1291" s="13" t="str">
        <x:f>IF(J1291="Рассчитано","Выручка "&amp;TEXT(V1291,"0.00")&amp;" - себестоимость "&amp;TEXT(W1291,"0.00")&amp;" - комиссия "&amp;TEXT(V1291*R1291/100,"0.00")&amp;" - доставка "&amp;TEXT(P1291,"0.00")&amp;" - прочие "&amp;TEXT(Q1291,"0.00")&amp;" = "&amp;TEXT(G1291,"0.00")&amp;" "&amp;L1291,"Введите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1" s="24" t="n">
        <x:v>59.262462882778856</x:v>
      </x:c>
      <x:c r="AG1291" s="37" t="n">
        <x:v>67</x:v>
      </x:c>
      <x:c r="AH1291" s="37" t="n">
        <x:v>0</x:v>
      </x:c>
      <x:c r="AI1291" s="30" t="n">
        <x:v>46287</x:v>
      </x:c>
      <x:c r="AJ1291" s="37" t="n">
        <x:v>6</x:v>
      </x:c>
      <x:c r="AK1291" s="10" t="str">
        <x:v>кратность</x:v>
      </x:c>
      <x:c r="AL1291" s="32" t="n">
        <x:v>96.39646006054213</x:v>
      </x:c>
      <x:c r="AM1291" s="13" t="str">
        <x:v>Детальные и месячные продажи расходятся; Нет ежедневных данных доступности. Запас выше прогноза на 90 дней</x:v>
      </x:c>
      <x:c r="AN1291" s="13" t="str">
        <x:v>Проверить свободный остаток и установить цену для B2B</x:v>
      </x:c>
      <x:c r="AO1291" s="13" t="str">
        <x:v>Остаток 67; прогноз 90 дней 59.26; избыток 7 шт. Будущие поступления не выставляются на продажу.</x:v>
      </x:c>
      <x:c r="AP1291" s="13" t="str">
        <x:v>["daily_stockout_data_missing", "large_orders_detected", "new_order_lead_time_unknown", "transaction_month_mismatch"]</x:v>
      </x:c>
      <x:c r="AQ1291" s="10" t="str">
        <x:v>SE:300200347_</x:v>
      </x:c>
      <x:c r="AR1291" s="24" t="n">
        <x:v>1</x:v>
      </x:c>
      <x:c r="AS1291" s="24" t="n">
        <x:v>0</x:v>
      </x:c>
      <x:c r="AT1291" s="24" t="n">
        <x:v>0</x:v>
      </x:c>
    </x:row>
    <x:row r="1292" ht="64" customHeight="1">
      <x:c r="A1292" s="11" t="str">
        <x:v>Systeme Electric</x:v>
      </x:c>
      <x:c r="B1292" s="33" t="str">
        <x:v>300200348_</x:v>
      </x:c>
      <x:c r="C1292" s="33" t="str">
        <x:v>BLNRS441121</x:v>
      </x:c>
      <x:c r="D1292" s="12" t="str">
        <x:v>S433 Роз  2-ная  с/у с з/к с крыш. IP44 16А 250B "BLANCA" белый BLNRS441121 (30)</x:v>
      </x:c>
      <x:c r="E1292" s="11" t="str">
        <x:v>шт</x:v>
      </x:c>
      <x:c r="F1292" s="35" t="n">
        <x:f>MAX(0,ROUNDDOWN((AG1292-AF1292)/AR1292+0.000000001,0)*AR1292)</x:f>
        <x:v>39</x:v>
      </x:c>
      <x:c r="G1292" s="20" t="str">
        <x:f>IF(J1292="Рассчитано",V1292*(1-R1292/100)-W1292-P1292-Q1292,"н/д")</x:f>
        <x:v>н/д</x:v>
      </x:c>
      <x:c r="H1292" s="12" t="str">
        <x:v>Средний</x:v>
      </x:c>
      <x:c r="I1292" s="12" t="str">
        <x:v>Высокий</x:v>
      </x:c>
      <x:c r="J1292" s="12" t="str">
        <x:f>IF(L1292="","Укажите валюту",IF(NOT(ISNUMBER(K1292)),"Укажите объём",IF(K1292&lt;=0,"Укажите объём",IF(K1292&gt;F1292,"Объём выше излишка",IF(COUNT(M1292:O1292)&lt;3,"Нужны цены",IF(COUNT(P1292:R1292)&lt;3,"Нужны расходы",IF(OR(M1292&lt;0,N1292&lt;0,O1292&lt;0,O1292&gt;100,P1292&lt;0,Q1292&lt;0,R1292&lt;0,R1292&gt;100),"Проверьте значения","Рассчитано")))))))</x:f>
        <x:v>Нужны цены</x:v>
      </x:c>
      <x:c r="K1292" s="36" t="n">
        <x:v>39</x:v>
      </x:c>
      <x:c r="L1292" s="19" t="str">
        <x:v>KZT</x:v>
      </x:c>
      <x:c r="M1292" s="22"/>
      <x:c r="N1292" s="22"/>
      <x:c r="O1292" s="28"/>
      <x:c r="P1292" s="22"/>
      <x:c r="Q1292" s="22"/>
      <x:c r="R1292" s="28"/>
      <x:c r="S1292" s="22"/>
      <x:c r="T1292" s="35" t="n">
        <x:f>K1292</x:f>
        <x:v>39</x:v>
      </x:c>
      <x:c r="U1292" s="20" t="str">
        <x:f>IF(J1292="Рассчитано",N1292*(1-O1292/100),"н/д")</x:f>
        <x:v>н/д</x:v>
      </x:c>
      <x:c r="V1292" s="20" t="str">
        <x:f>IF(J1292="Рассчитано",T1292*U1292,"н/д")</x:f>
        <x:v>н/д</x:v>
      </x:c>
      <x:c r="W1292" s="20" t="str">
        <x:f>IF(J1292="Рассчитано",T1292*M1292,"н/д")</x:f>
        <x:v>н/д</x:v>
      </x:c>
      <x:c r="X1292" s="20" t="str">
        <x:f>IF(J1292="Рассчитано",V1292-W1292,"н/д")</x:f>
        <x:v>н/д</x:v>
      </x:c>
      <x:c r="Y1292" s="26" t="str">
        <x:f>IF(J1292="Рассчитано",IF(V1292&gt;0,G1292/V1292,"н/д"),"н/д")</x:f>
        <x:v>н/д</x:v>
      </x:c>
      <x:c r="Z1292" s="20" t="str">
        <x:f>"н/д"</x:f>
        <x:v>н/д</x:v>
      </x:c>
      <x:c r="AA1292" s="20" t="str">
        <x:f>"н/д"</x:f>
        <x:v>н/д</x:v>
      </x:c>
      <x:c r="AB1292" s="20" t="str">
        <x:f>"н/д"</x:f>
        <x:v>н/д</x:v>
      </x:c>
      <x:c r="AC1292" s="20" t="str">
        <x:f>IF(AND(J1292="Рассчитано",T1292&gt;0,R1292&lt;100),(W1292+P1292+Q1292)/(T1292*(1-R1292/100)),"н/д")</x:f>
        <x:v>н/д</x:v>
      </x:c>
      <x:c r="AD1292" s="11" t="str">
        <x:f>IF(ISNUMBER(G1292),IF(G1292&lt;0,"Убыток",IF(G1292=0,"Без прибыли","Прибыль &gt; 0")),"Не оценён")</x:f>
        <x:v>Не оценён</x:v>
      </x:c>
      <x:c r="AE1292" s="12" t="str">
        <x:f>IF(J1292="Рассчитано","Выручка "&amp;TEXT(V1292,"0.00")&amp;" - себестоимость "&amp;TEXT(W1292,"0.00")&amp;" - комиссия "&amp;TEXT(V1292*R1292/100,"0.00")&amp;" - доставка "&amp;TEXT(P1292,"0.00")&amp;" - прочие "&amp;TEXT(Q1292,"0.00")&amp;" = "&amp;TEXT(G1292,"0.00")&amp;" "&amp;L1292,"Введите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2" s="23" t="n">
        <x:v>7.367975850536809</x:v>
      </x:c>
      <x:c r="AG1292" s="35" t="n">
        <x:v>47</x:v>
      </x:c>
      <x:c r="AH1292" s="35" t="n">
        <x:v>0</x:v>
      </x:c>
      <x:c r="AI1292" s="29" t="n">
        <x:v>46287</x:v>
      </x:c>
      <x:c r="AJ1292" s="35" t="n">
        <x:v>5</x:v>
      </x:c>
      <x:c r="AK1292" s="11" t="str">
        <x:v>кратность</x:v>
      </x:c>
      <x:c r="AL1292" s="31" t="n">
        <x:v>543.8957228115582</x:v>
      </x:c>
      <x:c r="AM1292" s="12" t="str">
        <x:v>Нет ежедневных данных доступности. Запас более 180 дней при среднем спросе</x:v>
      </x:c>
      <x:c r="AN1292" s="12" t="str">
        <x:v>Проверить свободный остаток и установить цену для B2B</x:v>
      </x:c>
      <x:c r="AO1292" s="12" t="str">
        <x:v>Остаток 47; прогноз 90 дней 7.37; избыток 39 шт. Будущие поступления не выставляются на продажу.</x:v>
      </x:c>
      <x:c r="AP1292" s="12" t="str">
        <x:v>["daily_stockout_data_missing", "new_order_lead_time_unknown"]</x:v>
      </x:c>
      <x:c r="AQ1292" s="11" t="str">
        <x:v>SE:300200348_</x:v>
      </x:c>
      <x:c r="AR1292" s="23" t="n">
        <x:v>1</x:v>
      </x:c>
      <x:c r="AS1292" s="23" t="n">
        <x:v>0</x:v>
      </x:c>
      <x:c r="AT1292" s="23" t="n">
        <x:v>0</x:v>
      </x:c>
    </x:row>
    <x:row r="1293" ht="64" customHeight="1">
      <x:c r="A1293" s="10" t="str">
        <x:v>Systeme Electric</x:v>
      </x:c>
      <x:c r="B1293" s="34" t="str">
        <x:v>300200350_</x:v>
      </x:c>
      <x:c r="C1293" s="34" t="str">
        <x:v>BLNIS045001</x:v>
      </x:c>
      <x:c r="D1293" s="13" t="str">
        <x:v>S434 Роз с/у компьютерная RJ45 кат.5Е "BLANCA" белый BLNIS045001 (60)</x:v>
      </x:c>
      <x:c r="E1293" s="10" t="str">
        <x:v>шт</x:v>
      </x:c>
      <x:c r="F1293" s="37" t="n">
        <x:f>MAX(0,ROUNDDOWN((AG1293-AF1293)/AR1293+0.000000001,0)*AR1293)</x:f>
        <x:v>27</x:v>
      </x:c>
      <x:c r="G1293" s="21" t="str">
        <x:f>IF(J1293="Рассчитано",V1293*(1-R1293/100)-W1293-P1293-Q1293,"н/д")</x:f>
        <x:v>н/д</x:v>
      </x:c>
      <x:c r="H1293" s="13" t="str">
        <x:v>Средний</x:v>
      </x:c>
      <x:c r="I1293" s="13" t="str">
        <x:v>Высокий</x:v>
      </x:c>
      <x:c r="J1293" s="13" t="str">
        <x:f>IF(L1293="","Укажите валюту",IF(NOT(ISNUMBER(K1293)),"Укажите объём",IF(K1293&lt;=0,"Укажите объём",IF(K1293&gt;F1293,"Объём выше излишка",IF(COUNT(M1293:O1293)&lt;3,"Нужны цены",IF(COUNT(P1293:R1293)&lt;3,"Нужны расходы",IF(OR(M1293&lt;0,N1293&lt;0,O1293&lt;0,O1293&gt;100,P1293&lt;0,Q1293&lt;0,R1293&lt;0,R1293&gt;100),"Проверьте значения","Рассчитано")))))))</x:f>
        <x:v>Нужны цены</x:v>
      </x:c>
      <x:c r="K1293" s="36" t="n">
        <x:v>27</x:v>
      </x:c>
      <x:c r="L1293" s="19" t="str">
        <x:v>KZT</x:v>
      </x:c>
      <x:c r="M1293" s="22"/>
      <x:c r="N1293" s="22"/>
      <x:c r="O1293" s="28"/>
      <x:c r="P1293" s="22"/>
      <x:c r="Q1293" s="22"/>
      <x:c r="R1293" s="28"/>
      <x:c r="S1293" s="22"/>
      <x:c r="T1293" s="37" t="n">
        <x:f>K1293</x:f>
        <x:v>27</x:v>
      </x:c>
      <x:c r="U1293" s="21" t="str">
        <x:f>IF(J1293="Рассчитано",N1293*(1-O1293/100),"н/д")</x:f>
        <x:v>н/д</x:v>
      </x:c>
      <x:c r="V1293" s="21" t="str">
        <x:f>IF(J1293="Рассчитано",T1293*U1293,"н/д")</x:f>
        <x:v>н/д</x:v>
      </x:c>
      <x:c r="W1293" s="21" t="str">
        <x:f>IF(J1293="Рассчитано",T1293*M1293,"н/д")</x:f>
        <x:v>н/д</x:v>
      </x:c>
      <x:c r="X1293" s="21" t="str">
        <x:f>IF(J1293="Рассчитано",V1293-W1293,"н/д")</x:f>
        <x:v>н/д</x:v>
      </x:c>
      <x:c r="Y1293" s="27" t="str">
        <x:f>IF(J1293="Рассчитано",IF(V1293&gt;0,G1293/V1293,"н/д"),"н/д")</x:f>
        <x:v>н/д</x:v>
      </x:c>
      <x:c r="Z1293" s="21" t="str">
        <x:f>"н/д"</x:f>
        <x:v>н/д</x:v>
      </x:c>
      <x:c r="AA1293" s="21" t="str">
        <x:f>"н/д"</x:f>
        <x:v>н/д</x:v>
      </x:c>
      <x:c r="AB1293" s="21" t="str">
        <x:f>"н/д"</x:f>
        <x:v>н/д</x:v>
      </x:c>
      <x:c r="AC1293" s="21" t="str">
        <x:f>IF(AND(J1293="Рассчитано",T1293&gt;0,R1293&lt;100),(W1293+P1293+Q1293)/(T1293*(1-R1293/100)),"н/д")</x:f>
        <x:v>н/д</x:v>
      </x:c>
      <x:c r="AD1293" s="10" t="str">
        <x:f>IF(ISNUMBER(G1293),IF(G1293&lt;0,"Убыток",IF(G1293=0,"Без прибыли","Прибыль &gt; 0")),"Не оценён")</x:f>
        <x:v>Не оценён</x:v>
      </x:c>
      <x:c r="AE1293" s="13" t="str">
        <x:f>IF(J1293="Рассчитано","Выручка "&amp;TEXT(V1293,"0.00")&amp;" - себестоимость "&amp;TEXT(W1293,"0.00")&amp;" - комиссия "&amp;TEXT(V1293*R1293/100,"0.00")&amp;" - доставка "&amp;TEXT(P1293,"0.00")&amp;" - прочие "&amp;TEXT(Q1293,"0.00")&amp;" = "&amp;TEXT(G1293,"0.00")&amp;" "&amp;L1293,"Введите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3" s="24" t="n">
        <x:v>0.8472696192909153</x:v>
      </x:c>
      <x:c r="AG1293" s="37" t="n">
        <x:v>28</x:v>
      </x:c>
      <x:c r="AH1293" s="37" t="n">
        <x:v>0</x:v>
      </x:c>
      <x:c r="AI1293" s="30" t="n">
        <x:v>46287</x:v>
      </x:c>
      <x:c r="AJ1293" s="37" t="n">
        <x:v>10</x:v>
      </x:c>
      <x:c r="AK1293" s="10" t="str">
        <x:v>кратность</x:v>
      </x:c>
      <x:c r="AL1293" s="32" t="n">
        <x:v>2817.7494687873755</x:v>
      </x:c>
      <x:c r="AM1293" s="13" t="str">
        <x:v>Нет ежедневных данных доступности. Запас более 180 дней при среднем спросе</x:v>
      </x:c>
      <x:c r="AN1293" s="13" t="str">
        <x:v>Проверить свободный остаток и установить цену для B2B</x:v>
      </x:c>
      <x:c r="AO1293" s="13" t="str">
        <x:v>Остаток 28; прогноз 90 дней 0.85; избыток 27 шт. Будущие поступления не выставляются на продажу.</x:v>
      </x:c>
      <x:c r="AP1293" s="13" t="str">
        <x:v>["daily_stockout_data_missing", "new_order_lead_time_unknown"]</x:v>
      </x:c>
      <x:c r="AQ1293" s="10" t="str">
        <x:v>SE:300200350_</x:v>
      </x:c>
      <x:c r="AR1293" s="24" t="n">
        <x:v>1</x:v>
      </x:c>
      <x:c r="AS1293" s="24" t="n">
        <x:v>0</x:v>
      </x:c>
      <x:c r="AT1293" s="24" t="n">
        <x:v>0</x:v>
      </x:c>
    </x:row>
    <x:row r="1294" ht="64" customHeight="1">
      <x:c r="A1294" s="11" t="str">
        <x:v>Systeme Electric</x:v>
      </x:c>
      <x:c r="B1294" s="33" t="str">
        <x:v>300200352_</x:v>
      </x:c>
      <x:c r="C1294" s="33" t="str">
        <x:v>BLNTS000011</x:v>
      </x:c>
      <x:c r="D1294" s="12" t="str">
        <x:v>S435 Роз TV коннектор "BLANCA" белый BLNTS000011  (60)</x:v>
      </x:c>
      <x:c r="E1294" s="11" t="str">
        <x:v>шт</x:v>
      </x:c>
      <x:c r="F1294" s="35" t="n">
        <x:f>MAX(0,ROUNDDOWN((AG1294-AF1294)/AR1294+0.000000001,0)*AR1294)</x:f>
        <x:v>36</x:v>
      </x:c>
      <x:c r="G1294" s="20" t="str">
        <x:f>IF(J1294="Рассчитано",V1294*(1-R1294/100)-W1294-P1294-Q1294,"н/д")</x:f>
        <x:v>н/д</x:v>
      </x:c>
      <x:c r="H1294" s="12" t="str">
        <x:v>Средний</x:v>
      </x:c>
      <x:c r="I1294" s="12" t="str">
        <x:v>Высокий</x:v>
      </x:c>
      <x:c r="J1294" s="12" t="str">
        <x:f>IF(L1294="","Укажите валюту",IF(NOT(ISNUMBER(K1294)),"Укажите объём",IF(K1294&lt;=0,"Укажите объём",IF(K1294&gt;F1294,"Объём выше излишка",IF(COUNT(M1294:O1294)&lt;3,"Нужны цены",IF(COUNT(P1294:R1294)&lt;3,"Нужны расходы",IF(OR(M1294&lt;0,N1294&lt;0,O1294&lt;0,O1294&gt;100,P1294&lt;0,Q1294&lt;0,R1294&lt;0,R1294&gt;100),"Проверьте значения","Рассчитано")))))))</x:f>
        <x:v>Нужны цены</x:v>
      </x:c>
      <x:c r="K1294" s="36" t="n">
        <x:v>36</x:v>
      </x:c>
      <x:c r="L1294" s="19" t="str">
        <x:v>KZT</x:v>
      </x:c>
      <x:c r="M1294" s="22"/>
      <x:c r="N1294" s="22"/>
      <x:c r="O1294" s="28"/>
      <x:c r="P1294" s="22"/>
      <x:c r="Q1294" s="22"/>
      <x:c r="R1294" s="28"/>
      <x:c r="S1294" s="22"/>
      <x:c r="T1294" s="35" t="n">
        <x:f>K1294</x:f>
        <x:v>36</x:v>
      </x:c>
      <x:c r="U1294" s="20" t="str">
        <x:f>IF(J1294="Рассчитано",N1294*(1-O1294/100),"н/д")</x:f>
        <x:v>н/д</x:v>
      </x:c>
      <x:c r="V1294" s="20" t="str">
        <x:f>IF(J1294="Рассчитано",T1294*U1294,"н/д")</x:f>
        <x:v>н/д</x:v>
      </x:c>
      <x:c r="W1294" s="20" t="str">
        <x:f>IF(J1294="Рассчитано",T1294*M1294,"н/д")</x:f>
        <x:v>н/д</x:v>
      </x:c>
      <x:c r="X1294" s="20" t="str">
        <x:f>IF(J1294="Рассчитано",V1294-W1294,"н/д")</x:f>
        <x:v>н/д</x:v>
      </x:c>
      <x:c r="Y1294" s="26" t="str">
        <x:f>IF(J1294="Рассчитано",IF(V1294&gt;0,G1294/V1294,"н/д"),"н/д")</x:f>
        <x:v>н/д</x:v>
      </x:c>
      <x:c r="Z1294" s="20" t="str">
        <x:f>"н/д"</x:f>
        <x:v>н/д</x:v>
      </x:c>
      <x:c r="AA1294" s="20" t="str">
        <x:f>"н/д"</x:f>
        <x:v>н/д</x:v>
      </x:c>
      <x:c r="AB1294" s="20" t="str">
        <x:f>"н/д"</x:f>
        <x:v>н/д</x:v>
      </x:c>
      <x:c r="AC1294" s="20" t="str">
        <x:f>IF(AND(J1294="Рассчитано",T1294&gt;0,R1294&lt;100),(W1294+P1294+Q1294)/(T1294*(1-R1294/100)),"н/д")</x:f>
        <x:v>н/д</x:v>
      </x:c>
      <x:c r="AD1294" s="11" t="str">
        <x:f>IF(ISNUMBER(G1294),IF(G1294&lt;0,"Убыток",IF(G1294=0,"Без прибыли","Прибыль &gt; 0")),"Не оценён")</x:f>
        <x:v>Не оценён</x:v>
      </x:c>
      <x:c r="AE1294" s="12" t="str">
        <x:f>IF(J1294="Рассчитано","Выручка "&amp;TEXT(V1294,"0.00")&amp;" - себестоимость "&amp;TEXT(W1294,"0.00")&amp;" - комиссия "&amp;TEXT(V1294*R1294/100,"0.00")&amp;" - доставка "&amp;TEXT(P1294,"0.00")&amp;" - прочие "&amp;TEXT(Q1294,"0.00")&amp;" = "&amp;TEXT(G1294,"0.00")&amp;" "&amp;L1294,"Введите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4" s="23" t="n">
        <x:v>0</x:v>
      </x:c>
      <x:c r="AG1294" s="35" t="n">
        <x:v>36</x:v>
      </x:c>
      <x:c r="AH1294" s="35" t="n">
        <x:v>0</x:v>
      </x:c>
      <x:c r="AI1294" s="29" t="n">
        <x:v>46287</x:v>
      </x:c>
      <x:c r="AJ1294" s="35" t="n">
        <x:v>10</x:v>
      </x:c>
      <x:c r="AK1294" s="11" t="str">
        <x:v>кратность</x:v>
      </x:c>
      <x:c r="AL1294" s="31" t="str">
        <x:v>н/д</x:v>
      </x:c>
      <x:c r="AM1294" s="12" t="str">
        <x:v>Нет ежедневных данных доступности. Нет положительных чистых продаж за 12 месяцев</x:v>
      </x:c>
      <x:c r="AN1294" s="12" t="str">
        <x:v>Проверить свободный остаток и установить цену для B2B</x:v>
      </x:c>
      <x:c r="AO1294" s="12" t="str">
        <x:v>Остаток 36; прогноз 90 дней 0.00; избыток 36 шт. Будущие поступления не выставляются на продажу.</x:v>
      </x:c>
      <x:c r="AP1294" s="12" t="str">
        <x:v>["daily_stockout_data_missing", "new_order_lead_time_unknown"]</x:v>
      </x:c>
      <x:c r="AQ1294" s="11" t="str">
        <x:v>SE:300200352_</x:v>
      </x:c>
      <x:c r="AR1294" s="23" t="n">
        <x:v>1</x:v>
      </x:c>
      <x:c r="AS1294" s="23" t="n">
        <x:v>0</x:v>
      </x:c>
      <x:c r="AT1294" s="23" t="n">
        <x:v>0</x:v>
      </x:c>
    </x:row>
    <x:row r="1295" ht="64" customHeight="1">
      <x:c r="A1295" s="10" t="str">
        <x:v>Systeme Electric</x:v>
      </x:c>
      <x:c r="B1295" s="34" t="str">
        <x:v>300200363_</x:v>
      </x:c>
      <x:c r="C1295" s="34" t="str">
        <x:v>ATN000431</x:v>
      </x:c>
      <x:c r="D1295" s="13" t="str">
        <x:v>G388 Выкл 3 кл 10А с/у б/рамки "ATLAS" жемчуг ATN431 (10)</x:v>
      </x:c>
      <x:c r="E1295" s="10" t="str">
        <x:v>шт</x:v>
      </x:c>
      <x:c r="F1295" s="37" t="n">
        <x:f>MAX(0,ROUNDDOWN((AG1295-AF1295)/AR1295+0.000000001,0)*AR1295)</x:f>
        <x:v>30</x:v>
      </x:c>
      <x:c r="G1295" s="21" t="str">
        <x:f>IF(J1295="Рассчитано",V1295*(1-R1295/100)-W1295-P1295-Q1295,"н/д")</x:f>
        <x:v>н/д</x:v>
      </x:c>
      <x:c r="H1295" s="13" t="str">
        <x:v>Средний</x:v>
      </x:c>
      <x:c r="I1295" s="13" t="str">
        <x:v>Высокий</x:v>
      </x:c>
      <x:c r="J1295" s="13" t="str">
        <x:f>IF(L1295="","Укажите валюту",IF(NOT(ISNUMBER(K1295)),"Укажите объём",IF(K1295&lt;=0,"Укажите объём",IF(K1295&gt;F1295,"Объём выше излишка",IF(COUNT(M1295:O1295)&lt;3,"Нужны цены",IF(COUNT(P1295:R1295)&lt;3,"Нужны расходы",IF(OR(M1295&lt;0,N1295&lt;0,O1295&lt;0,O1295&gt;100,P1295&lt;0,Q1295&lt;0,R1295&lt;0,R1295&gt;100),"Проверьте значения","Рассчитано")))))))</x:f>
        <x:v>Нужны цены</x:v>
      </x:c>
      <x:c r="K1295" s="36" t="n">
        <x:v>30</x:v>
      </x:c>
      <x:c r="L1295" s="19" t="str">
        <x:v>KZT</x:v>
      </x:c>
      <x:c r="M1295" s="22"/>
      <x:c r="N1295" s="22"/>
      <x:c r="O1295" s="28"/>
      <x:c r="P1295" s="22"/>
      <x:c r="Q1295" s="22"/>
      <x:c r="R1295" s="28"/>
      <x:c r="S1295" s="22"/>
      <x:c r="T1295" s="37" t="n">
        <x:f>K1295</x:f>
        <x:v>30</x:v>
      </x:c>
      <x:c r="U1295" s="21" t="str">
        <x:f>IF(J1295="Рассчитано",N1295*(1-O1295/100),"н/д")</x:f>
        <x:v>н/д</x:v>
      </x:c>
      <x:c r="V1295" s="21" t="str">
        <x:f>IF(J1295="Рассчитано",T1295*U1295,"н/д")</x:f>
        <x:v>н/д</x:v>
      </x:c>
      <x:c r="W1295" s="21" t="str">
        <x:f>IF(J1295="Рассчитано",T1295*M1295,"н/д")</x:f>
        <x:v>н/д</x:v>
      </x:c>
      <x:c r="X1295" s="21" t="str">
        <x:f>IF(J1295="Рассчитано",V1295-W1295,"н/д")</x:f>
        <x:v>н/д</x:v>
      </x:c>
      <x:c r="Y1295" s="27" t="str">
        <x:f>IF(J1295="Рассчитано",IF(V1295&gt;0,G1295/V1295,"н/д"),"н/д")</x:f>
        <x:v>н/д</x:v>
      </x:c>
      <x:c r="Z1295" s="21" t="str">
        <x:f>"н/д"</x:f>
        <x:v>н/д</x:v>
      </x:c>
      <x:c r="AA1295" s="21" t="str">
        <x:f>"н/д"</x:f>
        <x:v>н/д</x:v>
      </x:c>
      <x:c r="AB1295" s="21" t="str">
        <x:f>"н/д"</x:f>
        <x:v>н/д</x:v>
      </x:c>
      <x:c r="AC1295" s="21" t="str">
        <x:f>IF(AND(J1295="Рассчитано",T1295&gt;0,R1295&lt;100),(W1295+P1295+Q1295)/(T1295*(1-R1295/100)),"н/д")</x:f>
        <x:v>н/д</x:v>
      </x:c>
      <x:c r="AD1295" s="10" t="str">
        <x:f>IF(ISNUMBER(G1295),IF(G1295&lt;0,"Убыток",IF(G1295=0,"Без прибыли","Прибыль &gt; 0")),"Не оценён")</x:f>
        <x:v>Не оценён</x:v>
      </x:c>
      <x:c r="AE1295" s="13" t="str">
        <x:f>IF(J1295="Рассчитано","Выручка "&amp;TEXT(V1295,"0.00")&amp;" - себестоимость "&amp;TEXT(W1295,"0.00")&amp;" - комиссия "&amp;TEXT(V1295*R1295/100,"0.00")&amp;" - доставка "&amp;TEXT(P1295,"0.00")&amp;" - прочие "&amp;TEXT(Q1295,"0.00")&amp;" = "&amp;TEXT(G1295,"0.00")&amp;" "&amp;L1295,"Введите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5" s="24" t="n">
        <x:v>4.232172080384212</x:v>
      </x:c>
      <x:c r="AG1295" s="37" t="n">
        <x:v>35</x:v>
      </x:c>
      <x:c r="AH1295" s="37" t="n">
        <x:v>0</x:v>
      </x:c>
      <x:c r="AI1295" s="30" t="n">
        <x:v>46287</x:v>
      </x:c>
      <x:c r="AJ1295" s="37" t="n">
        <x:v>10</x:v>
      </x:c>
      <x:c r="AK1295" s="10" t="str">
        <x:v>кратность</x:v>
      </x:c>
      <x:c r="AL1295" s="32" t="n">
        <x:v>705.1324574980191</x:v>
      </x:c>
      <x:c r="AM1295" s="13" t="str">
        <x:v>Нет ежедневных данных доступности. Запас более 180 дней при среднем спросе</x:v>
      </x:c>
      <x:c r="AN1295" s="13" t="str">
        <x:v>Проверить свободный остаток и установить цену для B2B</x:v>
      </x:c>
      <x:c r="AO1295" s="13" t="str">
        <x:v>Остаток 35; прогноз 90 дней 4.23; избыток 30 шт. Будущие поступления не выставляются на продажу.</x:v>
      </x:c>
      <x:c r="AP1295" s="13" t="str">
        <x:v>["daily_stockout_data_missing", "negative_net_sales_clipped_for_forecast", "new_order_lead_time_unknown"]</x:v>
      </x:c>
      <x:c r="AQ1295" s="10" t="str">
        <x:v>SE:300200363_</x:v>
      </x:c>
      <x:c r="AR1295" s="24" t="n">
        <x:v>1</x:v>
      </x:c>
      <x:c r="AS1295" s="24" t="n">
        <x:v>0</x:v>
      </x:c>
      <x:c r="AT1295" s="24" t="n">
        <x:v>0</x:v>
      </x:c>
    </x:row>
    <x:row r="1296" ht="64" customHeight="1">
      <x:c r="A1296" s="11" t="str">
        <x:v>Systeme Electric</x:v>
      </x:c>
      <x:c r="B1296" s="33" t="str">
        <x:v>300200364_</x:v>
      </x:c>
      <x:c r="C1296" s="33" t="str">
        <x:v>ATN000441</x:v>
      </x:c>
      <x:c r="D1296" s="12" t="str">
        <x:v>G3988 Роз. без з/к без с/ш 16А б/рамки "ATLAS" жемчуг ATN441 (10) NEW</x:v>
      </x:c>
      <x:c r="E1296" s="11" t="str">
        <x:v>шт</x:v>
      </x:c>
      <x:c r="F1296" s="35" t="n">
        <x:f>MAX(0,ROUNDDOWN((AG1296-AF1296)/AR1296+0.000000001,0)*AR1296)</x:f>
        <x:v>63</x:v>
      </x:c>
      <x:c r="G1296" s="20" t="str">
        <x:f>IF(J1296="Рассчитано",V1296*(1-R1296/100)-W1296-P1296-Q1296,"н/д")</x:f>
        <x:v>н/д</x:v>
      </x:c>
      <x:c r="H1296" s="12" t="str">
        <x:v>Средний</x:v>
      </x:c>
      <x:c r="I1296" s="12" t="str">
        <x:v>Высокий</x:v>
      </x:c>
      <x:c r="J1296" s="12" t="str">
        <x:f>IF(L1296="","Укажите валюту",IF(NOT(ISNUMBER(K1296)),"Укажите объём",IF(K1296&lt;=0,"Укажите объём",IF(K1296&gt;F1296,"Объём выше излишка",IF(COUNT(M1296:O1296)&lt;3,"Нужны цены",IF(COUNT(P1296:R1296)&lt;3,"Нужны расходы",IF(OR(M1296&lt;0,N1296&lt;0,O1296&lt;0,O1296&gt;100,P1296&lt;0,Q1296&lt;0,R1296&lt;0,R1296&gt;100),"Проверьте значения","Рассчитано")))))))</x:f>
        <x:v>Нужны цены</x:v>
      </x:c>
      <x:c r="K1296" s="36" t="n">
        <x:v>63</x:v>
      </x:c>
      <x:c r="L1296" s="19" t="str">
        <x:v>KZT</x:v>
      </x:c>
      <x:c r="M1296" s="22"/>
      <x:c r="N1296" s="22"/>
      <x:c r="O1296" s="28"/>
      <x:c r="P1296" s="22"/>
      <x:c r="Q1296" s="22"/>
      <x:c r="R1296" s="28"/>
      <x:c r="S1296" s="22"/>
      <x:c r="T1296" s="35" t="n">
        <x:f>K1296</x:f>
        <x:v>63</x:v>
      </x:c>
      <x:c r="U1296" s="20" t="str">
        <x:f>IF(J1296="Рассчитано",N1296*(1-O1296/100),"н/д")</x:f>
        <x:v>н/д</x:v>
      </x:c>
      <x:c r="V1296" s="20" t="str">
        <x:f>IF(J1296="Рассчитано",T1296*U1296,"н/д")</x:f>
        <x:v>н/д</x:v>
      </x:c>
      <x:c r="W1296" s="20" t="str">
        <x:f>IF(J1296="Рассчитано",T1296*M1296,"н/д")</x:f>
        <x:v>н/д</x:v>
      </x:c>
      <x:c r="X1296" s="20" t="str">
        <x:f>IF(J1296="Рассчитано",V1296-W1296,"н/д")</x:f>
        <x:v>н/д</x:v>
      </x:c>
      <x:c r="Y1296" s="26" t="str">
        <x:f>IF(J1296="Рассчитано",IF(V1296&gt;0,G1296/V1296,"н/д"),"н/д")</x:f>
        <x:v>н/д</x:v>
      </x:c>
      <x:c r="Z1296" s="20" t="str">
        <x:f>"н/д"</x:f>
        <x:v>н/д</x:v>
      </x:c>
      <x:c r="AA1296" s="20" t="str">
        <x:f>"н/д"</x:f>
        <x:v>н/д</x:v>
      </x:c>
      <x:c r="AB1296" s="20" t="str">
        <x:f>"н/д"</x:f>
        <x:v>н/д</x:v>
      </x:c>
      <x:c r="AC1296" s="20" t="str">
        <x:f>IF(AND(J1296="Рассчитано",T1296&gt;0,R1296&lt;100),(W1296+P1296+Q1296)/(T1296*(1-R1296/100)),"н/д")</x:f>
        <x:v>н/д</x:v>
      </x:c>
      <x:c r="AD1296" s="11" t="str">
        <x:f>IF(ISNUMBER(G1296),IF(G1296&lt;0,"Убыток",IF(G1296=0,"Без прибыли","Прибыль &gt; 0")),"Не оценён")</x:f>
        <x:v>Не оценён</x:v>
      </x:c>
      <x:c r="AE1296" s="12" t="str">
        <x:f>IF(J1296="Рассчитано","Выручка "&amp;TEXT(V1296,"0.00")&amp;" - себестоимость "&amp;TEXT(W1296,"0.00")&amp;" - комиссия "&amp;TEXT(V1296*R1296/100,"0.00")&amp;" - доставка "&amp;TEXT(P1296,"0.00")&amp;" - прочие "&amp;TEXT(Q1296,"0.00")&amp;" = "&amp;TEXT(G1296,"0.00")&amp;" "&amp;L1296,"Введите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6" s="23" t="n">
        <x:v>11.542474727079915</x:v>
      </x:c>
      <x:c r="AG1296" s="35" t="n">
        <x:v>75</x:v>
      </x:c>
      <x:c r="AH1296" s="35" t="n">
        <x:v>0</x:v>
      </x:c>
      <x:c r="AI1296" s="29" t="n">
        <x:v>46287</x:v>
      </x:c>
      <x:c r="AJ1296" s="35" t="n">
        <x:v>10</x:v>
      </x:c>
      <x:c r="AK1296" s="11" t="str">
        <x:v>кратность</x:v>
      </x:c>
      <x:c r="AL1296" s="31" t="n">
        <x:v>554.0236579907399</x:v>
      </x:c>
      <x:c r="AM1296" s="12" t="str">
        <x:v>Нет ежедневных данных доступности. Запас более 180 дней при среднем спросе</x:v>
      </x:c>
      <x:c r="AN1296" s="12" t="str">
        <x:v>Проверить свободный остаток и установить цену для B2B</x:v>
      </x:c>
      <x:c r="AO1296" s="12" t="str">
        <x:v>Остаток 75; прогноз 90 дней 11.54; избыток 63 шт. Будущие поступления не выставляются на продажу.</x:v>
      </x:c>
      <x:c r="AP1296" s="12" t="str">
        <x:v>["daily_stockout_data_missing", "new_order_lead_time_unknown"]</x:v>
      </x:c>
      <x:c r="AQ1296" s="11" t="str">
        <x:v>SE:300200364_</x:v>
      </x:c>
      <x:c r="AR1296" s="23" t="n">
        <x:v>1</x:v>
      </x:c>
      <x:c r="AS1296" s="23" t="n">
        <x:v>0</x:v>
      </x:c>
      <x:c r="AT1296" s="23" t="n">
        <x:v>0</x:v>
      </x:c>
    </x:row>
    <x:row r="1297" ht="64" customHeight="1">
      <x:c r="A1297" s="10" t="str">
        <x:v>Systeme Electric</x:v>
      </x:c>
      <x:c r="B1297" s="34" t="str">
        <x:v>300200366_</x:v>
      </x:c>
      <x:c r="C1297" s="34" t="str">
        <x:v>ATN000451</x:v>
      </x:c>
      <x:c r="D1297" s="13" t="str">
        <x:v>Выкл 2 кл 10А механизм жемчуг ATN000451</x:v>
      </x:c>
      <x:c r="E1297" s="10" t="str">
        <x:v>шт</x:v>
      </x:c>
      <x:c r="F1297" s="37" t="n">
        <x:f>MAX(0,ROUNDDOWN((AG1297-AF1297)/AR1297+0.000000001,0)*AR1297)</x:f>
        <x:v>50</x:v>
      </x:c>
      <x:c r="G1297" s="21" t="str">
        <x:f>IF(J1297="Рассчитано",V1297*(1-R1297/100)-W1297-P1297-Q1297,"н/д")</x:f>
        <x:v>н/д</x:v>
      </x:c>
      <x:c r="H1297" s="13" t="str">
        <x:v>Средний</x:v>
      </x:c>
      <x:c r="I1297" s="13" t="str">
        <x:v>Средний</x:v>
      </x:c>
      <x:c r="J1297" s="13" t="str">
        <x:f>IF(L1297="","Укажите валюту",IF(NOT(ISNUMBER(K1297)),"Укажите объём",IF(K1297&lt;=0,"Укажите объём",IF(K1297&gt;F1297,"Объём выше излишка",IF(COUNT(M1297:O1297)&lt;3,"Нужны цены",IF(COUNT(P1297:R1297)&lt;3,"Нужны расходы",IF(OR(M1297&lt;0,N1297&lt;0,O1297&lt;0,O1297&gt;100,P1297&lt;0,Q1297&lt;0,R1297&lt;0,R1297&gt;100),"Проверьте значения","Рассчитано")))))))</x:f>
        <x:v>Нужны цены</x:v>
      </x:c>
      <x:c r="K1297" s="36" t="n">
        <x:v>50</x:v>
      </x:c>
      <x:c r="L1297" s="19" t="str">
        <x:v>KZT</x:v>
      </x:c>
      <x:c r="M1297" s="22"/>
      <x:c r="N1297" s="22"/>
      <x:c r="O1297" s="28"/>
      <x:c r="P1297" s="22"/>
      <x:c r="Q1297" s="22"/>
      <x:c r="R1297" s="28"/>
      <x:c r="S1297" s="22"/>
      <x:c r="T1297" s="37" t="n">
        <x:f>K1297</x:f>
        <x:v>50</x:v>
      </x:c>
      <x:c r="U1297" s="21" t="str">
        <x:f>IF(J1297="Рассчитано",N1297*(1-O1297/100),"н/д")</x:f>
        <x:v>н/д</x:v>
      </x:c>
      <x:c r="V1297" s="21" t="str">
        <x:f>IF(J1297="Рассчитано",T1297*U1297,"н/д")</x:f>
        <x:v>н/д</x:v>
      </x:c>
      <x:c r="W1297" s="21" t="str">
        <x:f>IF(J1297="Рассчитано",T1297*M1297,"н/д")</x:f>
        <x:v>н/д</x:v>
      </x:c>
      <x:c r="X1297" s="21" t="str">
        <x:f>IF(J1297="Рассчитано",V1297-W1297,"н/д")</x:f>
        <x:v>н/д</x:v>
      </x:c>
      <x:c r="Y1297" s="27" t="str">
        <x:f>IF(J1297="Рассчитано",IF(V1297&gt;0,G1297/V1297,"н/д"),"н/д")</x:f>
        <x:v>н/д</x:v>
      </x:c>
      <x:c r="Z1297" s="21" t="str">
        <x:f>"н/д"</x:f>
        <x:v>н/д</x:v>
      </x:c>
      <x:c r="AA1297" s="21" t="str">
        <x:f>"н/д"</x:f>
        <x:v>н/д</x:v>
      </x:c>
      <x:c r="AB1297" s="21" t="str">
        <x:f>"н/д"</x:f>
        <x:v>н/д</x:v>
      </x:c>
      <x:c r="AC1297" s="21" t="str">
        <x:f>IF(AND(J1297="Рассчитано",T1297&gt;0,R1297&lt;100),(W1297+P1297+Q1297)/(T1297*(1-R1297/100)),"н/д")</x:f>
        <x:v>н/д</x:v>
      </x:c>
      <x:c r="AD1297" s="10" t="str">
        <x:f>IF(ISNUMBER(G1297),IF(G1297&lt;0,"Убыток",IF(G1297=0,"Без прибыли","Прибыль &gt; 0")),"Не оценён")</x:f>
        <x:v>Не оценён</x:v>
      </x:c>
      <x:c r="AE1297" s="13" t="str">
        <x:f>IF(J1297="Рассчитано","Выручка "&amp;TEXT(V1297,"0.00")&amp;" - себестоимость "&amp;TEXT(W1297,"0.00")&amp;" - комиссия "&amp;TEXT(V1297*R1297/100,"0.00")&amp;" - доставка "&amp;TEXT(P1297,"0.00")&amp;" - прочие "&amp;TEXT(Q1297,"0.00")&amp;" = "&amp;TEXT(G1297,"0.00")&amp;" "&amp;L1297,"Введите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7" s="24" t="n">
        <x:v>48.029450635236785</x:v>
      </x:c>
      <x:c r="AG1297" s="37" t="n">
        <x:v>99</x:v>
      </x:c>
      <x:c r="AH1297" s="37" t="n">
        <x:v>0</x:v>
      </x:c>
      <x:c r="AI1297" s="30" t="n">
        <x:v>46287</x:v>
      </x:c>
      <x:c r="AJ1297" s="37" t="n">
        <x:v>10</x:v>
      </x:c>
      <x:c r="AK1297" s="10" t="str">
        <x:v>кратность</x:v>
      </x:c>
      <x:c r="AL1297" s="32" t="n">
        <x:v>175.74928010835112</x:v>
      </x:c>
      <x:c r="AM1297" s="13" t="str">
        <x:v>Нет ежедневных данных доступности. Запас выше прогноза на 90 дней</x:v>
      </x:c>
      <x:c r="AN1297" s="13" t="str">
        <x:v>Проверить свободный остаток и установить цену для B2B</x:v>
      </x:c>
      <x:c r="AO1297" s="13" t="str">
        <x:v>Остаток 99; прогноз 90 дней 48.03; избыток 50 шт. Будущие поступления не выставляются на продажу.</x:v>
      </x:c>
      <x:c r="AP1297" s="13" t="str">
        <x:v>["daily_stockout_data_missing", "new_order_lead_time_unknown"]</x:v>
      </x:c>
      <x:c r="AQ1297" s="10" t="str">
        <x:v>SE:300200366_</x:v>
      </x:c>
      <x:c r="AR1297" s="24" t="n">
        <x:v>1</x:v>
      </x:c>
      <x:c r="AS1297" s="24" t="n">
        <x:v>0</x:v>
      </x:c>
      <x:c r="AT1297" s="24" t="n">
        <x:v>0</x:v>
      </x:c>
    </x:row>
    <x:row r="1298" ht="64" customHeight="1">
      <x:c r="A1298" s="11" t="str">
        <x:v>Systeme Electric</x:v>
      </x:c>
      <x:c r="B1298" s="33" t="str">
        <x:v>300200368_</x:v>
      </x:c>
      <x:c r="C1298" s="33" t="str">
        <x:v>ATN000483</x:v>
      </x:c>
      <x:c r="D1298" s="12" t="str">
        <x:v>G390 Комп. роз. RJ45 5Е механизм б/рамки "ATLAS" жемчуг ATN483 (10)</x:v>
      </x:c>
      <x:c r="E1298" s="11" t="str">
        <x:v>шт</x:v>
      </x:c>
      <x:c r="F1298" s="35" t="n">
        <x:f>MAX(0,ROUNDDOWN((AG1298-AF1298)/AR1298+0.000000001,0)*AR1298)</x:f>
        <x:v>23</x:v>
      </x:c>
      <x:c r="G1298" s="20" t="str">
        <x:f>IF(J1298="Рассчитано",V1298*(1-R1298/100)-W1298-P1298-Q1298,"н/д")</x:f>
        <x:v>н/д</x:v>
      </x:c>
      <x:c r="H1298" s="12" t="str">
        <x:v>Средний</x:v>
      </x:c>
      <x:c r="I1298" s="12" t="str">
        <x:v>Высокий</x:v>
      </x:c>
      <x:c r="J1298" s="12" t="str">
        <x:f>IF(L1298="","Укажите валюту",IF(NOT(ISNUMBER(K1298)),"Укажите объём",IF(K1298&lt;=0,"Укажите объём",IF(K1298&gt;F1298,"Объём выше излишка",IF(COUNT(M1298:O1298)&lt;3,"Нужны цены",IF(COUNT(P1298:R1298)&lt;3,"Нужны расходы",IF(OR(M1298&lt;0,N1298&lt;0,O1298&lt;0,O1298&gt;100,P1298&lt;0,Q1298&lt;0,R1298&lt;0,R1298&gt;100),"Проверьте значения","Рассчитано")))))))</x:f>
        <x:v>Нужны цены</x:v>
      </x:c>
      <x:c r="K1298" s="36" t="n">
        <x:v>23</x:v>
      </x:c>
      <x:c r="L1298" s="19" t="str">
        <x:v>KZT</x:v>
      </x:c>
      <x:c r="M1298" s="22"/>
      <x:c r="N1298" s="22"/>
      <x:c r="O1298" s="28"/>
      <x:c r="P1298" s="22"/>
      <x:c r="Q1298" s="22"/>
      <x:c r="R1298" s="28"/>
      <x:c r="S1298" s="22"/>
      <x:c r="T1298" s="35" t="n">
        <x:f>K1298</x:f>
        <x:v>23</x:v>
      </x:c>
      <x:c r="U1298" s="20" t="str">
        <x:f>IF(J1298="Рассчитано",N1298*(1-O1298/100),"н/д")</x:f>
        <x:v>н/д</x:v>
      </x:c>
      <x:c r="V1298" s="20" t="str">
        <x:f>IF(J1298="Рассчитано",T1298*U1298,"н/д")</x:f>
        <x:v>н/д</x:v>
      </x:c>
      <x:c r="W1298" s="20" t="str">
        <x:f>IF(J1298="Рассчитано",T1298*M1298,"н/д")</x:f>
        <x:v>н/д</x:v>
      </x:c>
      <x:c r="X1298" s="20" t="str">
        <x:f>IF(J1298="Рассчитано",V1298-W1298,"н/д")</x:f>
        <x:v>н/д</x:v>
      </x:c>
      <x:c r="Y1298" s="26" t="str">
        <x:f>IF(J1298="Рассчитано",IF(V1298&gt;0,G1298/V1298,"н/д"),"н/д")</x:f>
        <x:v>н/д</x:v>
      </x:c>
      <x:c r="Z1298" s="20" t="str">
        <x:f>"н/д"</x:f>
        <x:v>н/д</x:v>
      </x:c>
      <x:c r="AA1298" s="20" t="str">
        <x:f>"н/д"</x:f>
        <x:v>н/д</x:v>
      </x:c>
      <x:c r="AB1298" s="20" t="str">
        <x:f>"н/д"</x:f>
        <x:v>н/д</x:v>
      </x:c>
      <x:c r="AC1298" s="20" t="str">
        <x:f>IF(AND(J1298="Рассчитано",T1298&gt;0,R1298&lt;100),(W1298+P1298+Q1298)/(T1298*(1-R1298/100)),"н/д")</x:f>
        <x:v>н/д</x:v>
      </x:c>
      <x:c r="AD1298" s="11" t="str">
        <x:f>IF(ISNUMBER(G1298),IF(G1298&lt;0,"Убыток",IF(G1298=0,"Без прибыли","Прибыль &gt; 0")),"Не оценён")</x:f>
        <x:v>Не оценён</x:v>
      </x:c>
      <x:c r="AE1298" s="12" t="str">
        <x:f>IF(J1298="Рассчитано","Выручка "&amp;TEXT(V1298,"0.00")&amp;" - себестоимость "&amp;TEXT(W1298,"0.00")&amp;" - комиссия "&amp;TEXT(V1298*R1298/100,"0.00")&amp;" - доставка "&amp;TEXT(P1298,"0.00")&amp;" - прочие "&amp;TEXT(Q1298,"0.00")&amp;" = "&amp;TEXT(G1298,"0.00")&amp;" "&amp;L1298,"Введите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8" s="23" t="n">
        <x:v>8.315105256660486</x:v>
      </x:c>
      <x:c r="AG1298" s="35" t="n">
        <x:v>32</x:v>
      </x:c>
      <x:c r="AH1298" s="35" t="n">
        <x:v>0</x:v>
      </x:c>
      <x:c r="AI1298" s="29" t="n">
        <x:v>46287</x:v>
      </x:c>
      <x:c r="AJ1298" s="35" t="n">
        <x:v>5</x:v>
      </x:c>
      <x:c r="AK1298" s="11" t="str">
        <x:v>кратность</x:v>
      </x:c>
      <x:c r="AL1298" s="31" t="n">
        <x:v>328.13171361695134</x:v>
      </x:c>
      <x:c r="AM1298" s="12" t="str">
        <x:v>Нет ежедневных данных доступности. Запас более 180 дней при среднем спросе</x:v>
      </x:c>
      <x:c r="AN1298" s="12" t="str">
        <x:v>Проверить свободный остаток и установить цену для B2B</x:v>
      </x:c>
      <x:c r="AO1298" s="12" t="str">
        <x:v>Остаток 32; прогноз 90 дней 8.32; избыток 23 шт. Будущие поступления не выставляются на продажу.</x:v>
      </x:c>
      <x:c r="AP1298" s="12" t="str">
        <x:v>["daily_stockout_data_missing", "negative_net_sales_clipped_for_forecast", "new_order_lead_time_unknown"]</x:v>
      </x:c>
      <x:c r="AQ1298" s="11" t="str">
        <x:v>SE:300200368_</x:v>
      </x:c>
      <x:c r="AR1298" s="23" t="n">
        <x:v>1</x:v>
      </x:c>
      <x:c r="AS1298" s="23" t="n">
        <x:v>0</x:v>
      </x:c>
      <x:c r="AT1298" s="23" t="n">
        <x:v>0</x:v>
      </x:c>
    </x:row>
    <x:row r="1299" ht="64" customHeight="1">
      <x:c r="A1299" s="10" t="str">
        <x:v>Systeme Electric</x:v>
      </x:c>
      <x:c r="B1299" s="34" t="str">
        <x:v>300200370_</x:v>
      </x:c>
      <x:c r="C1299" s="34" t="str">
        <x:v>ATN000491</x:v>
      </x:c>
      <x:c r="D1299" s="13" t="str">
        <x:v>G401 ТV роз. оконечная с/у б/рамки "ATLAS" жемчуг ATN491  (10)</x:v>
      </x:c>
      <x:c r="E1299" s="10" t="str">
        <x:v>шт</x:v>
      </x:c>
      <x:c r="F1299" s="37" t="n">
        <x:f>MAX(0,ROUNDDOWN((AG1299-AF1299)/AR1299+0.000000001,0)*AR1299)</x:f>
        <x:v>42</x:v>
      </x:c>
      <x:c r="G1299" s="21" t="str">
        <x:f>IF(J1299="Рассчитано",V1299*(1-R1299/100)-W1299-P1299-Q1299,"н/д")</x:f>
        <x:v>н/д</x:v>
      </x:c>
      <x:c r="H1299" s="13" t="str">
        <x:v>Средний</x:v>
      </x:c>
      <x:c r="I1299" s="13" t="str">
        <x:v>Высокий</x:v>
      </x:c>
      <x:c r="J1299" s="13" t="str">
        <x:f>IF(L1299="","Укажите валюту",IF(NOT(ISNUMBER(K1299)),"Укажите объём",IF(K1299&lt;=0,"Укажите объём",IF(K1299&gt;F1299,"Объём выше излишка",IF(COUNT(M1299:O1299)&lt;3,"Нужны цены",IF(COUNT(P1299:R1299)&lt;3,"Нужны расходы",IF(OR(M1299&lt;0,N1299&lt;0,O1299&lt;0,O1299&gt;100,P1299&lt;0,Q1299&lt;0,R1299&lt;0,R1299&gt;100),"Проверьте значения","Рассчитано")))))))</x:f>
        <x:v>Нужны цены</x:v>
      </x:c>
      <x:c r="K1299" s="36" t="n">
        <x:v>42</x:v>
      </x:c>
      <x:c r="L1299" s="19" t="str">
        <x:v>KZT</x:v>
      </x:c>
      <x:c r="M1299" s="22"/>
      <x:c r="N1299" s="22"/>
      <x:c r="O1299" s="28"/>
      <x:c r="P1299" s="22"/>
      <x:c r="Q1299" s="22"/>
      <x:c r="R1299" s="28"/>
      <x:c r="S1299" s="22"/>
      <x:c r="T1299" s="37" t="n">
        <x:f>K1299</x:f>
        <x:v>42</x:v>
      </x:c>
      <x:c r="U1299" s="21" t="str">
        <x:f>IF(J1299="Рассчитано",N1299*(1-O1299/100),"н/д")</x:f>
        <x:v>н/д</x:v>
      </x:c>
      <x:c r="V1299" s="21" t="str">
        <x:f>IF(J1299="Рассчитано",T1299*U1299,"н/д")</x:f>
        <x:v>н/д</x:v>
      </x:c>
      <x:c r="W1299" s="21" t="str">
        <x:f>IF(J1299="Рассчитано",T1299*M1299,"н/д")</x:f>
        <x:v>н/д</x:v>
      </x:c>
      <x:c r="X1299" s="21" t="str">
        <x:f>IF(J1299="Рассчитано",V1299-W1299,"н/д")</x:f>
        <x:v>н/д</x:v>
      </x:c>
      <x:c r="Y1299" s="27" t="str">
        <x:f>IF(J1299="Рассчитано",IF(V1299&gt;0,G1299/V1299,"н/д"),"н/д")</x:f>
        <x:v>н/д</x:v>
      </x:c>
      <x:c r="Z1299" s="21" t="str">
        <x:f>"н/д"</x:f>
        <x:v>н/д</x:v>
      </x:c>
      <x:c r="AA1299" s="21" t="str">
        <x:f>"н/д"</x:f>
        <x:v>н/д</x:v>
      </x:c>
      <x:c r="AB1299" s="21" t="str">
        <x:f>"н/д"</x:f>
        <x:v>н/д</x:v>
      </x:c>
      <x:c r="AC1299" s="21" t="str">
        <x:f>IF(AND(J1299="Рассчитано",T1299&gt;0,R1299&lt;100),(W1299+P1299+Q1299)/(T1299*(1-R1299/100)),"н/д")</x:f>
        <x:v>н/д</x:v>
      </x:c>
      <x:c r="AD1299" s="10" t="str">
        <x:f>IF(ISNUMBER(G1299),IF(G1299&lt;0,"Убыток",IF(G1299=0,"Без прибыли","Прибыль &gt; 0")),"Не оценён")</x:f>
        <x:v>Не оценён</x:v>
      </x:c>
      <x:c r="AE1299" s="13" t="str">
        <x:f>IF(J1299="Рассчитано","Выручка "&amp;TEXT(V1299,"0.00")&amp;" - себестоимость "&amp;TEXT(W1299,"0.00")&amp;" - комиссия "&amp;TEXT(V1299*R1299/100,"0.00")&amp;" - доставка "&amp;TEXT(P1299,"0.00")&amp;" - прочие "&amp;TEXT(Q1299,"0.00")&amp;" = "&amp;TEXT(G1299,"0.00")&amp;" "&amp;L1299,"Введите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9" s="24" t="n">
        <x:v>1.6933964133984476</x:v>
      </x:c>
      <x:c r="AG1299" s="37" t="n">
        <x:v>44</x:v>
      </x:c>
      <x:c r="AH1299" s="37" t="n">
        <x:v>0</x:v>
      </x:c>
      <x:c r="AI1299" s="30" t="n">
        <x:v>46287</x:v>
      </x:c>
      <x:c r="AJ1299" s="37" t="n">
        <x:v>10</x:v>
      </x:c>
      <x:c r="AK1299" s="10" t="str">
        <x:v>кратность</x:v>
      </x:c>
      <x:c r="AL1299" s="32" t="n">
        <x:v>2215.440140524603</x:v>
      </x:c>
      <x:c r="AM1299" s="13" t="str">
        <x:v>Нет ежедневных данных доступности. Запас более 180 дней при среднем спросе</x:v>
      </x:c>
      <x:c r="AN1299" s="13" t="str">
        <x:v>Проверить свободный остаток и установить цену для B2B</x:v>
      </x:c>
      <x:c r="AO1299" s="13" t="str">
        <x:v>Остаток 44; прогноз 90 дней 1.69; избыток 42 шт. Будущие поступления не выставляются на продажу.</x:v>
      </x:c>
      <x:c r="AP1299" s="13" t="str">
        <x:v>["daily_stockout_data_missing", "negative_net_sales_clipped_for_forecast", "new_order_lead_time_unknown"]</x:v>
      </x:c>
      <x:c r="AQ1299" s="10" t="str">
        <x:v>SE:300200370_</x:v>
      </x:c>
      <x:c r="AR1299" s="24" t="n">
        <x:v>1</x:v>
      </x:c>
      <x:c r="AS1299" s="24" t="n">
        <x:v>0</x:v>
      </x:c>
      <x:c r="AT1299" s="24" t="n">
        <x:v>0</x:v>
      </x:c>
    </x:row>
    <x:row r="1300" ht="64" customHeight="1">
      <x:c r="A1300" s="11" t="str">
        <x:v>Systeme Electric</x:v>
      </x:c>
      <x:c r="B1300" s="33" t="str">
        <x:v>300200371_</x:v>
      </x:c>
      <x:c r="C1300" s="33" t="str">
        <x:v>ATN000412</x:v>
      </x:c>
      <x:c r="D1300" s="12" t="str">
        <x:v>G384 Выкл 1 кл 10А с/у "ATLAS" жемчуг ATN412 (10)</x:v>
      </x:c>
      <x:c r="E1300" s="11" t="str">
        <x:v>шт</x:v>
      </x:c>
      <x:c r="F1300" s="35" t="n">
        <x:f>MAX(0,ROUNDDOWN((AG1300-AF1300)/AR1300+0.000000001,0)*AR1300)</x:f>
        <x:v>24</x:v>
      </x:c>
      <x:c r="G1300" s="20" t="str">
        <x:f>IF(J1300="Рассчитано",V1300*(1-R1300/100)-W1300-P1300-Q1300,"н/д")</x:f>
        <x:v>н/д</x:v>
      </x:c>
      <x:c r="H1300" s="12" t="str">
        <x:v>Средний</x:v>
      </x:c>
      <x:c r="I1300" s="12" t="str">
        <x:v>Средний</x:v>
      </x:c>
      <x:c r="J1300" s="12" t="str">
        <x:f>IF(L1300="","Укажите валюту",IF(NOT(ISNUMBER(K1300)),"Укажите объём",IF(K1300&lt;=0,"Укажите объём",IF(K1300&gt;F1300,"Объём выше излишка",IF(COUNT(M1300:O1300)&lt;3,"Нужны цены",IF(COUNT(P1300:R1300)&lt;3,"Нужны расходы",IF(OR(M1300&lt;0,N1300&lt;0,O1300&lt;0,O1300&gt;100,P1300&lt;0,Q1300&lt;0,R1300&lt;0,R1300&gt;100),"Проверьте значения","Рассчитано")))))))</x:f>
        <x:v>Нужны цены</x:v>
      </x:c>
      <x:c r="K1300" s="36" t="n">
        <x:v>24</x:v>
      </x:c>
      <x:c r="L1300" s="19" t="str">
        <x:v>KZT</x:v>
      </x:c>
      <x:c r="M1300" s="22"/>
      <x:c r="N1300" s="22"/>
      <x:c r="O1300" s="28"/>
      <x:c r="P1300" s="22"/>
      <x:c r="Q1300" s="22"/>
      <x:c r="R1300" s="28"/>
      <x:c r="S1300" s="22"/>
      <x:c r="T1300" s="35" t="n">
        <x:f>K1300</x:f>
        <x:v>24</x:v>
      </x:c>
      <x:c r="U1300" s="20" t="str">
        <x:f>IF(J1300="Рассчитано",N1300*(1-O1300/100),"н/д")</x:f>
        <x:v>н/д</x:v>
      </x:c>
      <x:c r="V1300" s="20" t="str">
        <x:f>IF(J1300="Рассчитано",T1300*U1300,"н/д")</x:f>
        <x:v>н/д</x:v>
      </x:c>
      <x:c r="W1300" s="20" t="str">
        <x:f>IF(J1300="Рассчитано",T1300*M1300,"н/д")</x:f>
        <x:v>н/д</x:v>
      </x:c>
      <x:c r="X1300" s="20" t="str">
        <x:f>IF(J1300="Рассчитано",V1300-W1300,"н/д")</x:f>
        <x:v>н/д</x:v>
      </x:c>
      <x:c r="Y1300" s="26" t="str">
        <x:f>IF(J1300="Рассчитано",IF(V1300&gt;0,G1300/V1300,"н/д"),"н/д")</x:f>
        <x:v>н/д</x:v>
      </x:c>
      <x:c r="Z1300" s="20" t="str">
        <x:f>"н/д"</x:f>
        <x:v>н/д</x:v>
      </x:c>
      <x:c r="AA1300" s="20" t="str">
        <x:f>"н/д"</x:f>
        <x:v>н/д</x:v>
      </x:c>
      <x:c r="AB1300" s="20" t="str">
        <x:f>"н/д"</x:f>
        <x:v>н/д</x:v>
      </x:c>
      <x:c r="AC1300" s="20" t="str">
        <x:f>IF(AND(J1300="Рассчитано",T1300&gt;0,R1300&lt;100),(W1300+P1300+Q1300)/(T1300*(1-R1300/100)),"н/д")</x:f>
        <x:v>н/д</x:v>
      </x:c>
      <x:c r="AD1300" s="11" t="str">
        <x:f>IF(ISNUMBER(G1300),IF(G1300&lt;0,"Убыток",IF(G1300=0,"Без прибыли","Прибыль &gt; 0")),"Не оценён")</x:f>
        <x:v>Не оценён</x:v>
      </x:c>
      <x:c r="AE1300" s="12" t="str">
        <x:f>IF(J1300="Рассчитано","Выручка "&amp;TEXT(V1300,"0.00")&amp;" - себестоимость "&amp;TEXT(W1300,"0.00")&amp;" - комиссия "&amp;TEXT(V1300*R1300/100,"0.00")&amp;" - доставка "&amp;TEXT(P1300,"0.00")&amp;" - прочие "&amp;TEXT(Q1300,"0.00")&amp;" = "&amp;TEXT(G1300,"0.00")&amp;" "&amp;L1300,"Введите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0" s="23" t="n">
        <x:v>69.0940441867248</x:v>
      </x:c>
      <x:c r="AG1300" s="35" t="n">
        <x:v>94</x:v>
      </x:c>
      <x:c r="AH1300" s="35" t="n">
        <x:v>0</x:v>
      </x:c>
      <x:c r="AI1300" s="29" t="n">
        <x:v>46287</x:v>
      </x:c>
      <x:c r="AJ1300" s="35" t="n">
        <x:v>10</x:v>
      </x:c>
      <x:c r="AK1300" s="11" t="str">
        <x:v>кратность</x:v>
      </x:c>
      <x:c r="AL1300" s="31" t="n">
        <x:v>115.99872602784401</x:v>
      </x:c>
      <x:c r="AM1300" s="12" t="str">
        <x:v>Детальные и месячные продажи расходятся; Нет ежедневных данных доступности. Запас выше прогноза на 90 дней</x:v>
      </x:c>
      <x:c r="AN1300" s="12" t="str">
        <x:v>Проверить свободный остаток и установить цену для B2B</x:v>
      </x:c>
      <x:c r="AO1300" s="12" t="str">
        <x:v>Остаток 94; прогноз 90 дней 69.09; избыток 24 шт. Будущие поступления не выставляются на продажу.</x:v>
      </x:c>
      <x:c r="AP1300" s="12" t="str">
        <x:v>["daily_stockout_data_missing", "large_orders_detected", "negative_net_sales_clipped_for_forecast", "new_order_lead_time_unknown", "transaction_month_mismatch"]</x:v>
      </x:c>
      <x:c r="AQ1300" s="11" t="str">
        <x:v>SE:300200371_</x:v>
      </x:c>
      <x:c r="AR1300" s="23" t="n">
        <x:v>1</x:v>
      </x:c>
      <x:c r="AS1300" s="23" t="n">
        <x:v>0</x:v>
      </x:c>
      <x:c r="AT1300" s="23" t="n">
        <x:v>0</x:v>
      </x:c>
    </x:row>
    <x:row r="1301" ht="64" customHeight="1">
      <x:c r="A1301" s="10" t="str">
        <x:v>Systeme Electric</x:v>
      </x:c>
      <x:c r="B1301" s="34" t="str">
        <x:v>300200372_</x:v>
      </x:c>
      <x:c r="C1301" s="34" t="str">
        <x:v>ATN000420</x:v>
      </x:c>
      <x:c r="D1301" s="13" t="str">
        <x:v>G394 Роз. 2-ная с/у 16А "ATLAS" жемчуг ATN420 (6)</x:v>
      </x:c>
      <x:c r="E1301" s="10" t="str">
        <x:v>шт</x:v>
      </x:c>
      <x:c r="F1301" s="37" t="n">
        <x:f>MAX(0,ROUNDDOWN((AG1301-AF1301)/AR1301+0.000000001,0)*AR1301)</x:f>
        <x:v>25</x:v>
      </x:c>
      <x:c r="G1301" s="21" t="str">
        <x:f>IF(J1301="Рассчитано",V1301*(1-R1301/100)-W1301-P1301-Q1301,"н/д")</x:f>
        <x:v>н/д</x:v>
      </x:c>
      <x:c r="H1301" s="13" t="str">
        <x:v>Средний</x:v>
      </x:c>
      <x:c r="I1301" s="13" t="str">
        <x:v>Средний</x:v>
      </x:c>
      <x:c r="J1301" s="13" t="str">
        <x:f>IF(L1301="","Укажите валюту",IF(NOT(ISNUMBER(K1301)),"Укажите объём",IF(K1301&lt;=0,"Укажите объём",IF(K1301&gt;F1301,"Объём выше излишка",IF(COUNT(M1301:O1301)&lt;3,"Нужны цены",IF(COUNT(P1301:R1301)&lt;3,"Нужны расходы",IF(OR(M1301&lt;0,N1301&lt;0,O1301&lt;0,O1301&gt;100,P1301&lt;0,Q1301&lt;0,R1301&lt;0,R1301&gt;100),"Проверьте значения","Рассчитано")))))))</x:f>
        <x:v>Нужны цены</x:v>
      </x:c>
      <x:c r="K1301" s="36" t="n">
        <x:v>25</x:v>
      </x:c>
      <x:c r="L1301" s="19" t="str">
        <x:v>KZT</x:v>
      </x:c>
      <x:c r="M1301" s="22"/>
      <x:c r="N1301" s="22"/>
      <x:c r="O1301" s="28"/>
      <x:c r="P1301" s="22"/>
      <x:c r="Q1301" s="22"/>
      <x:c r="R1301" s="28"/>
      <x:c r="S1301" s="22"/>
      <x:c r="T1301" s="37" t="n">
        <x:f>K1301</x:f>
        <x:v>25</x:v>
      </x:c>
      <x:c r="U1301" s="21" t="str">
        <x:f>IF(J1301="Рассчитано",N1301*(1-O1301/100),"н/д")</x:f>
        <x:v>н/д</x:v>
      </x:c>
      <x:c r="V1301" s="21" t="str">
        <x:f>IF(J1301="Рассчитано",T1301*U1301,"н/д")</x:f>
        <x:v>н/д</x:v>
      </x:c>
      <x:c r="W1301" s="21" t="str">
        <x:f>IF(J1301="Рассчитано",T1301*M1301,"н/д")</x:f>
        <x:v>н/д</x:v>
      </x:c>
      <x:c r="X1301" s="21" t="str">
        <x:f>IF(J1301="Рассчитано",V1301-W1301,"н/д")</x:f>
        <x:v>н/д</x:v>
      </x:c>
      <x:c r="Y1301" s="27" t="str">
        <x:f>IF(J1301="Рассчитано",IF(V1301&gt;0,G1301/V1301,"н/д"),"н/д")</x:f>
        <x:v>н/д</x:v>
      </x:c>
      <x:c r="Z1301" s="21" t="str">
        <x:f>"н/д"</x:f>
        <x:v>н/д</x:v>
      </x:c>
      <x:c r="AA1301" s="21" t="str">
        <x:f>"н/д"</x:f>
        <x:v>н/д</x:v>
      </x:c>
      <x:c r="AB1301" s="21" t="str">
        <x:f>"н/д"</x:f>
        <x:v>н/д</x:v>
      </x:c>
      <x:c r="AC1301" s="21" t="str">
        <x:f>IF(AND(J1301="Рассчитано",T1301&gt;0,R1301&lt;100),(W1301+P1301+Q1301)/(T1301*(1-R1301/100)),"н/д")</x:f>
        <x:v>н/д</x:v>
      </x:c>
      <x:c r="AD1301" s="10" t="str">
        <x:f>IF(ISNUMBER(G1301),IF(G1301&lt;0,"Убыток",IF(G1301=0,"Без прибыли","Прибыль &gt; 0")),"Не оценён")</x:f>
        <x:v>Не оценён</x:v>
      </x:c>
      <x:c r="AE1301" s="13" t="str">
        <x:f>IF(J1301="Рассчитано","Выручка "&amp;TEXT(V1301,"0.00")&amp;" - себестоимость "&amp;TEXT(W1301,"0.00")&amp;" - комиссия "&amp;TEXT(V1301*R1301/100,"0.00")&amp;" - доставка "&amp;TEXT(P1301,"0.00")&amp;" - прочие "&amp;TEXT(Q1301,"0.00")&amp;" = "&amp;TEXT(G1301,"0.00")&amp;" "&amp;L1301,"Введите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1" s="24" t="n">
        <x:v>47.7572576756006</x:v>
      </x:c>
      <x:c r="AG1301" s="37" t="n">
        <x:v>73</x:v>
      </x:c>
      <x:c r="AH1301" s="37" t="n">
        <x:v>0</x:v>
      </x:c>
      <x:c r="AI1301" s="30" t="n">
        <x:v>46287</x:v>
      </x:c>
      <x:c r="AJ1301" s="37" t="n">
        <x:v>6</x:v>
      </x:c>
      <x:c r="AK1301" s="10" t="str">
        <x:v>кратность</x:v>
      </x:c>
      <x:c r="AL1301" s="32" t="n">
        <x:v>130.33151954188014</x:v>
      </x:c>
      <x:c r="AM1301" s="13" t="str">
        <x:v>Нет ежедневных данных доступности. Запас выше прогноза на 90 дней</x:v>
      </x:c>
      <x:c r="AN1301" s="13" t="str">
        <x:v>Проверить свободный остаток и установить цену для B2B</x:v>
      </x:c>
      <x:c r="AO1301" s="13" t="str">
        <x:v>Остаток 73; прогноз 90 дней 47.76; избыток 25 шт. Будущие поступления не выставляются на продажу.</x:v>
      </x:c>
      <x:c r="AP1301" s="13" t="str">
        <x:v>["daily_stockout_data_missing", "negative_net_sales_clipped_for_forecast", "new_order_lead_time_unknown"]</x:v>
      </x:c>
      <x:c r="AQ1301" s="10" t="str">
        <x:v>SE:300200372_</x:v>
      </x:c>
      <x:c r="AR1301" s="24" t="n">
        <x:v>1</x:v>
      </x:c>
      <x:c r="AS1301" s="24" t="n">
        <x:v>0</x:v>
      </x:c>
      <x:c r="AT1301" s="24" t="n">
        <x:v>0</x:v>
      </x:c>
    </x:row>
    <x:row r="1302" ht="64" customHeight="1">
      <x:c r="A1302" s="11" t="str">
        <x:v>Systeme Electric</x:v>
      </x:c>
      <x:c r="B1302" s="33" t="str">
        <x:v>300200374_</x:v>
      </x:c>
      <x:c r="C1302" s="33" t="str">
        <x:v>ATN000444</x:v>
      </x:c>
      <x:c r="D1302" s="12" t="str">
        <x:v>G399 Роз. с з/к 16А с/у з/ш "ATLAS" жемчуг ATN444 (10)</x:v>
      </x:c>
      <x:c r="E1302" s="11" t="str">
        <x:v>шт</x:v>
      </x:c>
      <x:c r="F1302" s="35" t="n">
        <x:f>MAX(0,ROUNDDOWN((AG1302-AF1302)/AR1302+0.000000001,0)*AR1302)</x:f>
        <x:v>17</x:v>
      </x:c>
      <x:c r="G1302" s="20" t="str">
        <x:f>IF(J1302="Рассчитано",V1302*(1-R1302/100)-W1302-P1302-Q1302,"н/д")</x:f>
        <x:v>н/д</x:v>
      </x:c>
      <x:c r="H1302" s="12" t="str">
        <x:v>Средний</x:v>
      </x:c>
      <x:c r="I1302" s="12" t="str">
        <x:v>Средний</x:v>
      </x:c>
      <x:c r="J1302" s="12" t="str">
        <x:f>IF(L1302="","Укажите валюту",IF(NOT(ISNUMBER(K1302)),"Укажите объём",IF(K1302&lt;=0,"Укажите объём",IF(K1302&gt;F1302,"Объём выше излишка",IF(COUNT(M1302:O1302)&lt;3,"Нужны цены",IF(COUNT(P1302:R1302)&lt;3,"Нужны расходы",IF(OR(M1302&lt;0,N1302&lt;0,O1302&lt;0,O1302&gt;100,P1302&lt;0,Q1302&lt;0,R1302&lt;0,R1302&gt;100),"Проверьте значения","Рассчитано")))))))</x:f>
        <x:v>Нужны цены</x:v>
      </x:c>
      <x:c r="K1302" s="36" t="n">
        <x:v>17</x:v>
      </x:c>
      <x:c r="L1302" s="19" t="str">
        <x:v>KZT</x:v>
      </x:c>
      <x:c r="M1302" s="22"/>
      <x:c r="N1302" s="22"/>
      <x:c r="O1302" s="28"/>
      <x:c r="P1302" s="22"/>
      <x:c r="Q1302" s="22"/>
      <x:c r="R1302" s="28"/>
      <x:c r="S1302" s="22"/>
      <x:c r="T1302" s="35" t="n">
        <x:f>K1302</x:f>
        <x:v>17</x:v>
      </x:c>
      <x:c r="U1302" s="20" t="str">
        <x:f>IF(J1302="Рассчитано",N1302*(1-O1302/100),"н/д")</x:f>
        <x:v>н/д</x:v>
      </x:c>
      <x:c r="V1302" s="20" t="str">
        <x:f>IF(J1302="Рассчитано",T1302*U1302,"н/д")</x:f>
        <x:v>н/д</x:v>
      </x:c>
      <x:c r="W1302" s="20" t="str">
        <x:f>IF(J1302="Рассчитано",T1302*M1302,"н/д")</x:f>
        <x:v>н/д</x:v>
      </x:c>
      <x:c r="X1302" s="20" t="str">
        <x:f>IF(J1302="Рассчитано",V1302-W1302,"н/д")</x:f>
        <x:v>н/д</x:v>
      </x:c>
      <x:c r="Y1302" s="26" t="str">
        <x:f>IF(J1302="Рассчитано",IF(V1302&gt;0,G1302/V1302,"н/д"),"н/д")</x:f>
        <x:v>н/д</x:v>
      </x:c>
      <x:c r="Z1302" s="20" t="str">
        <x:f>"н/д"</x:f>
        <x:v>н/д</x:v>
      </x:c>
      <x:c r="AA1302" s="20" t="str">
        <x:f>"н/д"</x:f>
        <x:v>н/д</x:v>
      </x:c>
      <x:c r="AB1302" s="20" t="str">
        <x:f>"н/д"</x:f>
        <x:v>н/д</x:v>
      </x:c>
      <x:c r="AC1302" s="20" t="str">
        <x:f>IF(AND(J1302="Рассчитано",T1302&gt;0,R1302&lt;100),(W1302+P1302+Q1302)/(T1302*(1-R1302/100)),"н/д")</x:f>
        <x:v>н/д</x:v>
      </x:c>
      <x:c r="AD1302" s="11" t="str">
        <x:f>IF(ISNUMBER(G1302),IF(G1302&lt;0,"Убыток",IF(G1302=0,"Без прибыли","Прибыль &gt; 0")),"Не оценён")</x:f>
        <x:v>Не оценён</x:v>
      </x:c>
      <x:c r="AE1302" s="12" t="str">
        <x:f>IF(J1302="Рассчитано","Выручка "&amp;TEXT(V1302,"0.00")&amp;" - себестоимость "&amp;TEXT(W1302,"0.00")&amp;" - комиссия "&amp;TEXT(V1302*R1302/100,"0.00")&amp;" - доставка "&amp;TEXT(P1302,"0.00")&amp;" - прочие "&amp;TEXT(Q1302,"0.00")&amp;" = "&amp;TEXT(G1302,"0.00")&amp;" "&amp;L1302,"Введите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2" s="23" t="n">
        <x:v>53.89540463697188</x:v>
      </x:c>
      <x:c r="AG1302" s="35" t="n">
        <x:v>71</x:v>
      </x:c>
      <x:c r="AH1302" s="35" t="n">
        <x:v>0</x:v>
      </x:c>
      <x:c r="AI1302" s="29" t="n">
        <x:v>46287</x:v>
      </x:c>
      <x:c r="AJ1302" s="35" t="n">
        <x:v>10</x:v>
      </x:c>
      <x:c r="AK1302" s="11" t="str">
        <x:v>кратность</x:v>
      </x:c>
      <x:c r="AL1302" s="31" t="n">
        <x:v>112.32400784895445</x:v>
      </x:c>
      <x:c r="AM1302" s="12" t="str">
        <x:v>Нет ежедневных данных доступности. Запас выше прогноза на 90 дней</x:v>
      </x:c>
      <x:c r="AN1302" s="12" t="str">
        <x:v>Проверить свободный остаток и установить цену для B2B</x:v>
      </x:c>
      <x:c r="AO1302" s="12" t="str">
        <x:v>Остаток 71; прогноз 90 дней 53.90; избыток 17 шт. Будущие поступления не выставляются на продажу.</x:v>
      </x:c>
      <x:c r="AP1302" s="12" t="str">
        <x:v>["daily_stockout_data_missing", "new_order_lead_time_unknown"]</x:v>
      </x:c>
      <x:c r="AQ1302" s="11" t="str">
        <x:v>SE:300200374_</x:v>
      </x:c>
      <x:c r="AR1302" s="23" t="n">
        <x:v>1</x:v>
      </x:c>
      <x:c r="AS1302" s="23" t="n">
        <x:v>0</x:v>
      </x:c>
      <x:c r="AT1302" s="23" t="n">
        <x:v>0</x:v>
      </x:c>
    </x:row>
    <x:row r="1303" ht="64" customHeight="1">
      <x:c r="A1303" s="10" t="str">
        <x:v>Systeme Electric</x:v>
      </x:c>
      <x:c r="B1303" s="34" t="str">
        <x:v>300200379_</x:v>
      </x:c>
      <x:c r="C1303" s="34" t="str">
        <x:v>ATN000404</x:v>
      </x:c>
      <x:c r="D1303" s="13" t="str">
        <x:v>G408 Рамка 4-ная "ATLAS" жемчуг ATN404 (15)</x:v>
      </x:c>
      <x:c r="E1303" s="10" t="str">
        <x:v>шт</x:v>
      </x:c>
      <x:c r="F1303" s="37" t="n">
        <x:f>MAX(0,ROUNDDOWN((AG1303-AF1303)/AR1303+0.000000001,0)*AR1303)</x:f>
        <x:v>5</x:v>
      </x:c>
      <x:c r="G1303" s="21" t="str">
        <x:f>IF(J1303="Рассчитано",V1303*(1-R1303/100)-W1303-P1303-Q1303,"н/д")</x:f>
        <x:v>н/д</x:v>
      </x:c>
      <x:c r="H1303" s="13" t="str">
        <x:v>Средний</x:v>
      </x:c>
      <x:c r="I1303" s="13" t="str">
        <x:v>Средний</x:v>
      </x:c>
      <x:c r="J1303" s="13" t="str">
        <x:f>IF(L1303="","Укажите валюту",IF(NOT(ISNUMBER(K1303)),"Укажите объём",IF(K1303&lt;=0,"Укажите объём",IF(K1303&gt;F1303,"Объём выше излишка",IF(COUNT(M1303:O1303)&lt;3,"Нужны цены",IF(COUNT(P1303:R1303)&lt;3,"Нужны расходы",IF(OR(M1303&lt;0,N1303&lt;0,O1303&lt;0,O1303&gt;100,P1303&lt;0,Q1303&lt;0,R1303&lt;0,R1303&gt;100),"Проверьте значения","Рассчитано")))))))</x:f>
        <x:v>Нужны цены</x:v>
      </x:c>
      <x:c r="K1303" s="36" t="n">
        <x:v>5</x:v>
      </x:c>
      <x:c r="L1303" s="19" t="str">
        <x:v>KZT</x:v>
      </x:c>
      <x:c r="M1303" s="22"/>
      <x:c r="N1303" s="22"/>
      <x:c r="O1303" s="28"/>
      <x:c r="P1303" s="22"/>
      <x:c r="Q1303" s="22"/>
      <x:c r="R1303" s="28"/>
      <x:c r="S1303" s="22"/>
      <x:c r="T1303" s="37" t="n">
        <x:f>K1303</x:f>
        <x:v>5</x:v>
      </x:c>
      <x:c r="U1303" s="21" t="str">
        <x:f>IF(J1303="Рассчитано",N1303*(1-O1303/100),"н/д")</x:f>
        <x:v>н/д</x:v>
      </x:c>
      <x:c r="V1303" s="21" t="str">
        <x:f>IF(J1303="Рассчитано",T1303*U1303,"н/д")</x:f>
        <x:v>н/д</x:v>
      </x:c>
      <x:c r="W1303" s="21" t="str">
        <x:f>IF(J1303="Рассчитано",T1303*M1303,"н/д")</x:f>
        <x:v>н/д</x:v>
      </x:c>
      <x:c r="X1303" s="21" t="str">
        <x:f>IF(J1303="Рассчитано",V1303-W1303,"н/д")</x:f>
        <x:v>н/д</x:v>
      </x:c>
      <x:c r="Y1303" s="27" t="str">
        <x:f>IF(J1303="Рассчитано",IF(V1303&gt;0,G1303/V1303,"н/д"),"н/д")</x:f>
        <x:v>н/д</x:v>
      </x:c>
      <x:c r="Z1303" s="21" t="str">
        <x:f>"н/д"</x:f>
        <x:v>н/д</x:v>
      </x:c>
      <x:c r="AA1303" s="21" t="str">
        <x:f>"н/д"</x:f>
        <x:v>н/д</x:v>
      </x:c>
      <x:c r="AB1303" s="21" t="str">
        <x:f>"н/д"</x:f>
        <x:v>н/д</x:v>
      </x:c>
      <x:c r="AC1303" s="21" t="str">
        <x:f>IF(AND(J1303="Рассчитано",T1303&gt;0,R1303&lt;100),(W1303+P1303+Q1303)/(T1303*(1-R1303/100)),"н/д")</x:f>
        <x:v>н/д</x:v>
      </x:c>
      <x:c r="AD1303" s="10" t="str">
        <x:f>IF(ISNUMBER(G1303),IF(G1303&lt;0,"Убыток",IF(G1303=0,"Без прибыли","Прибыль &gt; 0")),"Не оценён")</x:f>
        <x:v>Не оценён</x:v>
      </x:c>
      <x:c r="AE1303" s="13" t="str">
        <x:f>IF(J1303="Рассчитано","Выручка "&amp;TEXT(V1303,"0.00")&amp;" - себестоимость "&amp;TEXT(W1303,"0.00")&amp;" - комиссия "&amp;TEXT(V1303*R1303/100,"0.00")&amp;" - доставка "&amp;TEXT(P1303,"0.00")&amp;" - прочие "&amp;TEXT(Q1303,"0.00")&amp;" = "&amp;TEXT(G1303,"0.00")&amp;" "&amp;L1303,"Введите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3" s="24" t="n">
        <x:v>14.844127712894915</x:v>
      </x:c>
      <x:c r="AG1303" s="37" t="n">
        <x:v>20</x:v>
      </x:c>
      <x:c r="AH1303" s="37" t="n">
        <x:v>0</x:v>
      </x:c>
      <x:c r="AI1303" s="30" t="n">
        <x:v>46287</x:v>
      </x:c>
      <x:c r="AJ1303" s="37" t="n">
        <x:v>5</x:v>
      </x:c>
      <x:c r="AK1303" s="10" t="str">
        <x:v>кратность</x:v>
      </x:c>
      <x:c r="AL1303" s="32" t="n">
        <x:v>114.87917097358118</x:v>
      </x:c>
      <x:c r="AM1303" s="13" t="str">
        <x:v>Нет ежедневных данных доступности. Запас выше прогноза на 90 дней</x:v>
      </x:c>
      <x:c r="AN1303" s="13" t="str">
        <x:v>Проверить свободный остаток и установить цену для B2B</x:v>
      </x:c>
      <x:c r="AO1303" s="13" t="str">
        <x:v>Остаток 20; прогноз 90 дней 14.84; избыток 5 шт. Будущие поступления не выставляются на продажу.</x:v>
      </x:c>
      <x:c r="AP1303" s="13" t="str">
        <x:v>["daily_stockout_data_missing", "new_order_lead_time_unknown"]</x:v>
      </x:c>
      <x:c r="AQ1303" s="10" t="str">
        <x:v>SE:300200379_</x:v>
      </x:c>
      <x:c r="AR1303" s="24" t="n">
        <x:v>1</x:v>
      </x:c>
      <x:c r="AS1303" s="24" t="n">
        <x:v>0</x:v>
      </x:c>
      <x:c r="AT1303" s="24" t="n">
        <x:v>0</x:v>
      </x:c>
    </x:row>
    <x:row r="1304" ht="64" customHeight="1">
      <x:c r="A1304" s="11" t="str">
        <x:v>Systeme Electric</x:v>
      </x:c>
      <x:c r="B1304" s="33" t="str">
        <x:v>300200380_</x:v>
      </x:c>
      <x:c r="C1304" s="33" t="str">
        <x:v>ATN000405</x:v>
      </x:c>
      <x:c r="D1304" s="12" t="str">
        <x:v>G409 Рамка 5-ная "ATLAS" жемчуг ATN405 (5)</x:v>
      </x:c>
      <x:c r="E1304" s="11" t="str">
        <x:v>шт</x:v>
      </x:c>
      <x:c r="F1304" s="35" t="n">
        <x:f>MAX(0,ROUNDDOWN((AG1304-AF1304)/AR1304+0.000000001,0)*AR1304)</x:f>
        <x:v>22</x:v>
      </x:c>
      <x:c r="G1304" s="20" t="str">
        <x:f>IF(J1304="Рассчитано",V1304*(1-R1304/100)-W1304-P1304-Q1304,"н/д")</x:f>
        <x:v>н/д</x:v>
      </x:c>
      <x:c r="H1304" s="12" t="str">
        <x:v>Средний</x:v>
      </x:c>
      <x:c r="I1304" s="12" t="str">
        <x:v>Высокий</x:v>
      </x:c>
      <x:c r="J1304" s="12" t="str">
        <x:f>IF(L1304="","Укажите валюту",IF(NOT(ISNUMBER(K1304)),"Укажите объём",IF(K1304&lt;=0,"Укажите объём",IF(K1304&gt;F1304,"Объём выше излишка",IF(COUNT(M1304:O1304)&lt;3,"Нужны цены",IF(COUNT(P1304:R1304)&lt;3,"Нужны расходы",IF(OR(M1304&lt;0,N1304&lt;0,O1304&lt;0,O1304&gt;100,P1304&lt;0,Q1304&lt;0,R1304&lt;0,R1304&gt;100),"Проверьте значения","Рассчитано")))))))</x:f>
        <x:v>Нужны цены</x:v>
      </x:c>
      <x:c r="K1304" s="36" t="n">
        <x:v>22</x:v>
      </x:c>
      <x:c r="L1304" s="19" t="str">
        <x:v>KZT</x:v>
      </x:c>
      <x:c r="M1304" s="22"/>
      <x:c r="N1304" s="22"/>
      <x:c r="O1304" s="28"/>
      <x:c r="P1304" s="22"/>
      <x:c r="Q1304" s="22"/>
      <x:c r="R1304" s="28"/>
      <x:c r="S1304" s="22"/>
      <x:c r="T1304" s="35" t="n">
        <x:f>K1304</x:f>
        <x:v>22</x:v>
      </x:c>
      <x:c r="U1304" s="20" t="str">
        <x:f>IF(J1304="Рассчитано",N1304*(1-O1304/100),"н/д")</x:f>
        <x:v>н/д</x:v>
      </x:c>
      <x:c r="V1304" s="20" t="str">
        <x:f>IF(J1304="Рассчитано",T1304*U1304,"н/д")</x:f>
        <x:v>н/д</x:v>
      </x:c>
      <x:c r="W1304" s="20" t="str">
        <x:f>IF(J1304="Рассчитано",T1304*M1304,"н/д")</x:f>
        <x:v>н/д</x:v>
      </x:c>
      <x:c r="X1304" s="20" t="str">
        <x:f>IF(J1304="Рассчитано",V1304-W1304,"н/д")</x:f>
        <x:v>н/д</x:v>
      </x:c>
      <x:c r="Y1304" s="26" t="str">
        <x:f>IF(J1304="Рассчитано",IF(V1304&gt;0,G1304/V1304,"н/д"),"н/д")</x:f>
        <x:v>н/д</x:v>
      </x:c>
      <x:c r="Z1304" s="20" t="str">
        <x:f>"н/д"</x:f>
        <x:v>н/д</x:v>
      </x:c>
      <x:c r="AA1304" s="20" t="str">
        <x:f>"н/д"</x:f>
        <x:v>н/д</x:v>
      </x:c>
      <x:c r="AB1304" s="20" t="str">
        <x:f>"н/д"</x:f>
        <x:v>н/д</x:v>
      </x:c>
      <x:c r="AC1304" s="20" t="str">
        <x:f>IF(AND(J1304="Рассчитано",T1304&gt;0,R1304&lt;100),(W1304+P1304+Q1304)/(T1304*(1-R1304/100)),"н/д")</x:f>
        <x:v>н/д</x:v>
      </x:c>
      <x:c r="AD1304" s="11" t="str">
        <x:f>IF(ISNUMBER(G1304),IF(G1304&lt;0,"Убыток",IF(G1304=0,"Без прибыли","Прибыль &gt; 0")),"Не оценён")</x:f>
        <x:v>Не оценён</x:v>
      </x:c>
      <x:c r="AE1304" s="12" t="str">
        <x:f>IF(J1304="Рассчитано","Выручка "&amp;TEXT(V1304,"0.00")&amp;" - себестоимость "&amp;TEXT(W1304,"0.00")&amp;" - комиссия "&amp;TEXT(V1304*R1304/100,"0.00")&amp;" - доставка "&amp;TEXT(P1304,"0.00")&amp;" - прочие "&amp;TEXT(Q1304,"0.00")&amp;" = "&amp;TEXT(G1304,"0.00")&amp;" "&amp;L1304,"Введите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4" s="23" t="n">
        <x:v>1.8585328923005509</x:v>
      </x:c>
      <x:c r="AG1304" s="35" t="n">
        <x:v>24</x:v>
      </x:c>
      <x:c r="AH1304" s="35" t="n">
        <x:v>0</x:v>
      </x:c>
      <x:c r="AI1304" s="29" t="n">
        <x:v>46287</x:v>
      </x:c>
      <x:c r="AJ1304" s="35" t="n">
        <x:v>5</x:v>
      </x:c>
      <x:c r="AK1304" s="11" t="str">
        <x:v>кратность</x:v>
      </x:c>
      <x:c r="AL1304" s="31" t="n">
        <x:v>1101.049817873802</x:v>
      </x:c>
      <x:c r="AM1304" s="12" t="str">
        <x:v>Нет ежедневных данных доступности. Запас более 180 дней при среднем спросе</x:v>
      </x:c>
      <x:c r="AN1304" s="12" t="str">
        <x:v>Проверить свободный остаток и установить цену для B2B</x:v>
      </x:c>
      <x:c r="AO1304" s="12" t="str">
        <x:v>Остаток 24; прогноз 90 дней 1.86; избыток 22 шт. Будущие поступления не выставляются на продажу.</x:v>
      </x:c>
      <x:c r="AP1304" s="12" t="str">
        <x:v>["daily_stockout_data_missing", "negative_net_sales_clipped_for_forecast", "new_order_lead_time_unknown"]</x:v>
      </x:c>
      <x:c r="AQ1304" s="11" t="str">
        <x:v>SE:300200380_</x:v>
      </x:c>
      <x:c r="AR1304" s="23" t="n">
        <x:v>1</x:v>
      </x:c>
      <x:c r="AS1304" s="23" t="n">
        <x:v>0</x:v>
      </x:c>
      <x:c r="AT1304" s="23" t="n">
        <x:v>0</x:v>
      </x:c>
    </x:row>
    <x:row r="1305" ht="64" customHeight="1">
      <x:c r="A1305" s="10" t="str">
        <x:v>Systeme Electric</x:v>
      </x:c>
      <x:c r="B1305" s="34" t="str">
        <x:v>300200418_</x:v>
      </x:c>
      <x:c r="C1305" s="34" t="str">
        <x:v>ATN000485</x:v>
      </x:c>
      <x:c r="D1305" s="13" t="str">
        <x:v>G397 Роз. RJ45+RJ45 5Е кат 5Е механизм б/рамки "ATLAS" жемчуг ATN485 (10)</x:v>
      </x:c>
      <x:c r="E1305" s="10" t="str">
        <x:v>шт</x:v>
      </x:c>
      <x:c r="F1305" s="37" t="n">
        <x:f>MAX(0,ROUNDDOWN((AG1305-AF1305)/AR1305+0.000000001,0)*AR1305)</x:f>
        <x:v>20</x:v>
      </x:c>
      <x:c r="G1305" s="21" t="str">
        <x:f>IF(J1305="Рассчитано",V1305*(1-R1305/100)-W1305-P1305-Q1305,"н/д")</x:f>
        <x:v>н/д</x:v>
      </x:c>
      <x:c r="H1305" s="13" t="str">
        <x:v>Средний</x:v>
      </x:c>
      <x:c r="I1305" s="13" t="str">
        <x:v>Высокий</x:v>
      </x:c>
      <x:c r="J1305" s="13" t="str">
        <x:f>IF(L1305="","Укажите валюту",IF(NOT(ISNUMBER(K1305)),"Укажите объём",IF(K1305&lt;=0,"Укажите объём",IF(K1305&gt;F1305,"Объём выше излишка",IF(COUNT(M1305:O1305)&lt;3,"Нужны цены",IF(COUNT(P1305:R1305)&lt;3,"Нужны расходы",IF(OR(M1305&lt;0,N1305&lt;0,O1305&lt;0,O1305&gt;100,P1305&lt;0,Q1305&lt;0,R1305&lt;0,R1305&gt;100),"Проверьте значения","Рассчитано")))))))</x:f>
        <x:v>Нужны цены</x:v>
      </x:c>
      <x:c r="K1305" s="36" t="n">
        <x:v>20</x:v>
      </x:c>
      <x:c r="L1305" s="19" t="str">
        <x:v>KZT</x:v>
      </x:c>
      <x:c r="M1305" s="22"/>
      <x:c r="N1305" s="22"/>
      <x:c r="O1305" s="28"/>
      <x:c r="P1305" s="22"/>
      <x:c r="Q1305" s="22"/>
      <x:c r="R1305" s="28"/>
      <x:c r="S1305" s="22"/>
      <x:c r="T1305" s="37" t="n">
        <x:f>K1305</x:f>
        <x:v>20</x:v>
      </x:c>
      <x:c r="U1305" s="21" t="str">
        <x:f>IF(J1305="Рассчитано",N1305*(1-O1305/100),"н/д")</x:f>
        <x:v>н/д</x:v>
      </x:c>
      <x:c r="V1305" s="21" t="str">
        <x:f>IF(J1305="Рассчитано",T1305*U1305,"н/д")</x:f>
        <x:v>н/д</x:v>
      </x:c>
      <x:c r="W1305" s="21" t="str">
        <x:f>IF(J1305="Рассчитано",T1305*M1305,"н/д")</x:f>
        <x:v>н/д</x:v>
      </x:c>
      <x:c r="X1305" s="21" t="str">
        <x:f>IF(J1305="Рассчитано",V1305-W1305,"н/д")</x:f>
        <x:v>н/д</x:v>
      </x:c>
      <x:c r="Y1305" s="27" t="str">
        <x:f>IF(J1305="Рассчитано",IF(V1305&gt;0,G1305/V1305,"н/д"),"н/д")</x:f>
        <x:v>н/д</x:v>
      </x:c>
      <x:c r="Z1305" s="21" t="str">
        <x:f>"н/д"</x:f>
        <x:v>н/д</x:v>
      </x:c>
      <x:c r="AA1305" s="21" t="str">
        <x:f>"н/д"</x:f>
        <x:v>н/д</x:v>
      </x:c>
      <x:c r="AB1305" s="21" t="str">
        <x:f>"н/д"</x:f>
        <x:v>н/д</x:v>
      </x:c>
      <x:c r="AC1305" s="21" t="str">
        <x:f>IF(AND(J1305="Рассчитано",T1305&gt;0,R1305&lt;100),(W1305+P1305+Q1305)/(T1305*(1-R1305/100)),"н/д")</x:f>
        <x:v>н/д</x:v>
      </x:c>
      <x:c r="AD1305" s="10" t="str">
        <x:f>IF(ISNUMBER(G1305),IF(G1305&lt;0,"Убыток",IF(G1305=0,"Без прибыли","Прибыль &gt; 0")),"Не оценён")</x:f>
        <x:v>Не оценён</x:v>
      </x:c>
      <x:c r="AE1305" s="13" t="str">
        <x:f>IF(J1305="Рассчитано","Выручка "&amp;TEXT(V1305,"0.00")&amp;" - себестоимость "&amp;TEXT(W1305,"0.00")&amp;" - комиссия "&amp;TEXT(V1305*R1305/100,"0.00")&amp;" - доставка "&amp;TEXT(P1305,"0.00")&amp;" - прочие "&amp;TEXT(Q1305,"0.00")&amp;" = "&amp;TEXT(G1305,"0.00")&amp;" "&amp;L1305,"Введите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5" s="24" t="n">
        <x:v>1.4539472292015991</x:v>
      </x:c>
      <x:c r="AG1305" s="37" t="n">
        <x:v>22</x:v>
      </x:c>
      <x:c r="AH1305" s="37" t="n">
        <x:v>0</x:v>
      </x:c>
      <x:c r="AI1305" s="30" t="n">
        <x:v>46287</x:v>
      </x:c>
      <x:c r="AJ1305" s="37" t="n">
        <x:v>10</x:v>
      </x:c>
      <x:c r="AK1305" s="10" t="str">
        <x:v>кратность</x:v>
      </x:c>
      <x:c r="AL1305" s="32" t="n">
        <x:v>1290.149433457579</x:v>
      </x:c>
      <x:c r="AM1305" s="13" t="str">
        <x:v>Нет ежедневных данных доступности. Запас более 180 дней при среднем спросе</x:v>
      </x:c>
      <x:c r="AN1305" s="13" t="str">
        <x:v>Проверить свободный остаток и установить цену для B2B</x:v>
      </x:c>
      <x:c r="AO1305" s="13" t="str">
        <x:v>Остаток 22; прогноз 90 дней 1.45; избыток 20 шт. Будущие поступления не выставляются на продажу.</x:v>
      </x:c>
      <x:c r="AP1305" s="13" t="str">
        <x:v>["daily_stockout_data_missing", "negative_net_sales_clipped_for_forecast", "new_order_lead_time_unknown"]</x:v>
      </x:c>
      <x:c r="AQ1305" s="10" t="str">
        <x:v>SE:300200418_</x:v>
      </x:c>
      <x:c r="AR1305" s="24" t="n">
        <x:v>1</x:v>
      </x:c>
      <x:c r="AS1305" s="24" t="n">
        <x:v>0</x:v>
      </x:c>
      <x:c r="AT1305" s="24" t="n">
        <x:v>0</x:v>
      </x:c>
    </x:row>
    <x:row r="1306" ht="64" customHeight="1">
      <x:c r="A1306" s="11" t="str">
        <x:v>Systeme Electric</x:v>
      </x:c>
      <x:c r="B1306" s="33" t="str">
        <x:v>300200421_</x:v>
      </x:c>
      <x:c r="C1306" s="33" t="str">
        <x:v>ATN000465</x:v>
      </x:c>
      <x:c r="D1306" s="12" t="str">
        <x:v>G414 Переключ. 2 кл 10А с/у б/рамки "ATLAS" жемчуг ATN465 (10)</x:v>
      </x:c>
      <x:c r="E1306" s="11" t="str">
        <x:v>шт</x:v>
      </x:c>
      <x:c r="F1306" s="35" t="n">
        <x:f>MAX(0,ROUNDDOWN((AG1306-AF1306)/AR1306+0.000000001,0)*AR1306)</x:f>
        <x:v>29</x:v>
      </x:c>
      <x:c r="G1306" s="20" t="str">
        <x:f>IF(J1306="Рассчитано",V1306*(1-R1306/100)-W1306-P1306-Q1306,"н/д")</x:f>
        <x:v>н/д</x:v>
      </x:c>
      <x:c r="H1306" s="12" t="str">
        <x:v>Средний</x:v>
      </x:c>
      <x:c r="I1306" s="12" t="str">
        <x:v>Высокий</x:v>
      </x:c>
      <x:c r="J1306" s="12" t="str">
        <x:f>IF(L1306="","Укажите валюту",IF(NOT(ISNUMBER(K1306)),"Укажите объём",IF(K1306&lt;=0,"Укажите объём",IF(K1306&gt;F1306,"Объём выше излишка",IF(COUNT(M1306:O1306)&lt;3,"Нужны цены",IF(COUNT(P1306:R1306)&lt;3,"Нужны расходы",IF(OR(M1306&lt;0,N1306&lt;0,O1306&lt;0,O1306&gt;100,P1306&lt;0,Q1306&lt;0,R1306&lt;0,R1306&gt;100),"Проверьте значения","Рассчитано")))))))</x:f>
        <x:v>Нужны цены</x:v>
      </x:c>
      <x:c r="K1306" s="36" t="n">
        <x:v>29</x:v>
      </x:c>
      <x:c r="L1306" s="19" t="str">
        <x:v>KZT</x:v>
      </x:c>
      <x:c r="M1306" s="22"/>
      <x:c r="N1306" s="22"/>
      <x:c r="O1306" s="28"/>
      <x:c r="P1306" s="22"/>
      <x:c r="Q1306" s="22"/>
      <x:c r="R1306" s="28"/>
      <x:c r="S1306" s="22"/>
      <x:c r="T1306" s="35" t="n">
        <x:f>K1306</x:f>
        <x:v>29</x:v>
      </x:c>
      <x:c r="U1306" s="20" t="str">
        <x:f>IF(J1306="Рассчитано",N1306*(1-O1306/100),"н/д")</x:f>
        <x:v>н/д</x:v>
      </x:c>
      <x:c r="V1306" s="20" t="str">
        <x:f>IF(J1306="Рассчитано",T1306*U1306,"н/д")</x:f>
        <x:v>н/д</x:v>
      </x:c>
      <x:c r="W1306" s="20" t="str">
        <x:f>IF(J1306="Рассчитано",T1306*M1306,"н/д")</x:f>
        <x:v>н/д</x:v>
      </x:c>
      <x:c r="X1306" s="20" t="str">
        <x:f>IF(J1306="Рассчитано",V1306-W1306,"н/д")</x:f>
        <x:v>н/д</x:v>
      </x:c>
      <x:c r="Y1306" s="26" t="str">
        <x:f>IF(J1306="Рассчитано",IF(V1306&gt;0,G1306/V1306,"н/д"),"н/д")</x:f>
        <x:v>н/д</x:v>
      </x:c>
      <x:c r="Z1306" s="20" t="str">
        <x:f>"н/д"</x:f>
        <x:v>н/д</x:v>
      </x:c>
      <x:c r="AA1306" s="20" t="str">
        <x:f>"н/д"</x:f>
        <x:v>н/д</x:v>
      </x:c>
      <x:c r="AB1306" s="20" t="str">
        <x:f>"н/д"</x:f>
        <x:v>н/д</x:v>
      </x:c>
      <x:c r="AC1306" s="20" t="str">
        <x:f>IF(AND(J1306="Рассчитано",T1306&gt;0,R1306&lt;100),(W1306+P1306+Q1306)/(T1306*(1-R1306/100)),"н/д")</x:f>
        <x:v>н/д</x:v>
      </x:c>
      <x:c r="AD1306" s="11" t="str">
        <x:f>IF(ISNUMBER(G1306),IF(G1306&lt;0,"Убыток",IF(G1306=0,"Без прибыли","Прибыль &gt; 0")),"Не оценён")</x:f>
        <x:v>Не оценён</x:v>
      </x:c>
      <x:c r="AE1306" s="12" t="str">
        <x:f>IF(J1306="Рассчитано","Выручка "&amp;TEXT(V1306,"0.00")&amp;" - себестоимость "&amp;TEXT(W1306,"0.00")&amp;" - комиссия "&amp;TEXT(V1306*R1306/100,"0.00")&amp;" - доставка "&amp;TEXT(P1306,"0.00")&amp;" - прочие "&amp;TEXT(Q1306,"0.00")&amp;" = "&amp;TEXT(G1306,"0.00")&amp;" "&amp;L1306,"Введите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6" s="23" t="n">
        <x:v>7.970944334151929</x:v>
      </x:c>
      <x:c r="AG1306" s="35" t="n">
        <x:v>37</x:v>
      </x:c>
      <x:c r="AH1306" s="35" t="n">
        <x:v>0</x:v>
      </x:c>
      <x:c r="AI1306" s="29" t="n">
        <x:v>46287</x:v>
      </x:c>
      <x:c r="AJ1306" s="35" t="n">
        <x:v>10</x:v>
      </x:c>
      <x:c r="AK1306" s="11" t="str">
        <x:v>кратность</x:v>
      </x:c>
      <x:c r="AL1306" s="31" t="n">
        <x:v>395.7837209610631</x:v>
      </x:c>
      <x:c r="AM1306" s="12" t="str">
        <x:v>Нет ежедневных данных доступности. Запас более 180 дней при среднем спросе</x:v>
      </x:c>
      <x:c r="AN1306" s="12" t="str">
        <x:v>Проверить свободный остаток и установить цену для B2B</x:v>
      </x:c>
      <x:c r="AO1306" s="12" t="str">
        <x:v>Остаток 37; прогноз 90 дней 7.97; избыток 29 шт. Будущие поступления не выставляются на продажу.</x:v>
      </x:c>
      <x:c r="AP1306" s="12" t="str">
        <x:v>["daily_stockout_data_missing", "negative_net_sales_clipped_for_forecast", "new_order_lead_time_unknown"]</x:v>
      </x:c>
      <x:c r="AQ1306" s="11" t="str">
        <x:v>SE:300200421_</x:v>
      </x:c>
      <x:c r="AR1306" s="23" t="n">
        <x:v>1</x:v>
      </x:c>
      <x:c r="AS1306" s="23" t="n">
        <x:v>0</x:v>
      </x:c>
      <x:c r="AT1306" s="23" t="n">
        <x:v>0</x:v>
      </x:c>
    </x:row>
    <x:row r="1307" ht="64" customHeight="1">
      <x:c r="A1307" s="10" t="str">
        <x:v>Systeme Electric</x:v>
      </x:c>
      <x:c r="B1307" s="34" t="str">
        <x:v>300200424_</x:v>
      </x:c>
      <x:c r="C1307" s="34" t="str">
        <x:v>ATN000471</x:v>
      </x:c>
      <x:c r="D1307" s="13" t="str">
        <x:v>G393 Перекрест.переключ. 1 кл 10А с/у б/рамки "ATLAS" жемчуг ATN471 (5)</x:v>
      </x:c>
      <x:c r="E1307" s="10" t="str">
        <x:v>шт</x:v>
      </x:c>
      <x:c r="F1307" s="37" t="n">
        <x:f>MAX(0,ROUNDDOWN((AG1307-AF1307)/AR1307+0.000000001,0)*AR1307)</x:f>
        <x:v>64</x:v>
      </x:c>
      <x:c r="G1307" s="21" t="str">
        <x:f>IF(J1307="Рассчитано",V1307*(1-R1307/100)-W1307-P1307-Q1307,"н/д")</x:f>
        <x:v>н/д</x:v>
      </x:c>
      <x:c r="H1307" s="13" t="str">
        <x:v>Средний</x:v>
      </x:c>
      <x:c r="I1307" s="13" t="str">
        <x:v>Высокий</x:v>
      </x:c>
      <x:c r="J1307" s="13" t="str">
        <x:f>IF(L1307="","Укажите валюту",IF(NOT(ISNUMBER(K1307)),"Укажите объём",IF(K1307&lt;=0,"Укажите объём",IF(K1307&gt;F1307,"Объём выше излишка",IF(COUNT(M1307:O1307)&lt;3,"Нужны цены",IF(COUNT(P1307:R1307)&lt;3,"Нужны расходы",IF(OR(M1307&lt;0,N1307&lt;0,O1307&lt;0,O1307&gt;100,P1307&lt;0,Q1307&lt;0,R1307&lt;0,R1307&gt;100),"Проверьте значения","Рассчитано")))))))</x:f>
        <x:v>Нужны цены</x:v>
      </x:c>
      <x:c r="K1307" s="36" t="n">
        <x:v>64</x:v>
      </x:c>
      <x:c r="L1307" s="19" t="str">
        <x:v>KZT</x:v>
      </x:c>
      <x:c r="M1307" s="22"/>
      <x:c r="N1307" s="22"/>
      <x:c r="O1307" s="28"/>
      <x:c r="P1307" s="22"/>
      <x:c r="Q1307" s="22"/>
      <x:c r="R1307" s="28"/>
      <x:c r="S1307" s="22"/>
      <x:c r="T1307" s="37" t="n">
        <x:f>K1307</x:f>
        <x:v>64</x:v>
      </x:c>
      <x:c r="U1307" s="21" t="str">
        <x:f>IF(J1307="Рассчитано",N1307*(1-O1307/100),"н/д")</x:f>
        <x:v>н/д</x:v>
      </x:c>
      <x:c r="V1307" s="21" t="str">
        <x:f>IF(J1307="Рассчитано",T1307*U1307,"н/д")</x:f>
        <x:v>н/д</x:v>
      </x:c>
      <x:c r="W1307" s="21" t="str">
        <x:f>IF(J1307="Рассчитано",T1307*M1307,"н/д")</x:f>
        <x:v>н/д</x:v>
      </x:c>
      <x:c r="X1307" s="21" t="str">
        <x:f>IF(J1307="Рассчитано",V1307-W1307,"н/д")</x:f>
        <x:v>н/д</x:v>
      </x:c>
      <x:c r="Y1307" s="27" t="str">
        <x:f>IF(J1307="Рассчитано",IF(V1307&gt;0,G1307/V1307,"н/д"),"н/д")</x:f>
        <x:v>н/д</x:v>
      </x:c>
      <x:c r="Z1307" s="21" t="str">
        <x:f>"н/д"</x:f>
        <x:v>н/д</x:v>
      </x:c>
      <x:c r="AA1307" s="21" t="str">
        <x:f>"н/д"</x:f>
        <x:v>н/д</x:v>
      </x:c>
      <x:c r="AB1307" s="21" t="str">
        <x:f>"н/д"</x:f>
        <x:v>н/д</x:v>
      </x:c>
      <x:c r="AC1307" s="21" t="str">
        <x:f>IF(AND(J1307="Рассчитано",T1307&gt;0,R1307&lt;100),(W1307+P1307+Q1307)/(T1307*(1-R1307/100)),"н/д")</x:f>
        <x:v>н/д</x:v>
      </x:c>
      <x:c r="AD1307" s="10" t="str">
        <x:f>IF(ISNUMBER(G1307),IF(G1307&lt;0,"Убыток",IF(G1307=0,"Без прибыли","Прибыль &gt; 0")),"Не оценён")</x:f>
        <x:v>Не оценён</x:v>
      </x:c>
      <x:c r="AE1307" s="13" t="str">
        <x:f>IF(J1307="Рассчитано","Выручка "&amp;TEXT(V1307,"0.00")&amp;" - себестоимость "&amp;TEXT(W1307,"0.00")&amp;" - комиссия "&amp;TEXT(V1307*R1307/100,"0.00")&amp;" - доставка "&amp;TEXT(P1307,"0.00")&amp;" - прочие "&amp;TEXT(Q1307,"0.00")&amp;" = "&amp;TEXT(G1307,"0.00")&amp;" "&amp;L1307,"Введите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7" s="24" t="n">
        <x:v>0.5234092675312568</x:v>
      </x:c>
      <x:c r="AG1307" s="37" t="n">
        <x:v>65</x:v>
      </x:c>
      <x:c r="AH1307" s="37" t="n">
        <x:v>0</x:v>
      </x:c>
      <x:c r="AI1307" s="30" t="n">
        <x:v>46287</x:v>
      </x:c>
      <x:c r="AJ1307" s="37" t="n">
        <x:v>5</x:v>
      </x:c>
      <x:c r="AK1307" s="10" t="str">
        <x:v>кратность</x:v>
      </x:c>
      <x:c r="AL1307" s="32" t="n">
        <x:v>10588.585016771523</x:v>
      </x:c>
      <x:c r="AM1307" s="13" t="str">
        <x:v>Нет ежедневных данных доступности. Запас более 180 дней при среднем спросе</x:v>
      </x:c>
      <x:c r="AN1307" s="13" t="str">
        <x:v>Проверить свободный остаток и установить цену для B2B</x:v>
      </x:c>
      <x:c r="AO1307" s="13" t="str">
        <x:v>Остаток 65; прогноз 90 дней 0.52; избыток 64 шт. Будущие поступления не выставляются на продажу.</x:v>
      </x:c>
      <x:c r="AP1307" s="13" t="str">
        <x:v>["daily_stockout_data_missing", "negative_net_sales_clipped_for_forecast", "new_order_lead_time_unknown"]</x:v>
      </x:c>
      <x:c r="AQ1307" s="10" t="str">
        <x:v>SE:300200424_</x:v>
      </x:c>
      <x:c r="AR1307" s="24" t="n">
        <x:v>1</x:v>
      </x:c>
      <x:c r="AS1307" s="24" t="n">
        <x:v>0</x:v>
      </x:c>
      <x:c r="AT1307" s="24" t="n">
        <x:v>0</x:v>
      </x:c>
    </x:row>
    <x:row r="1308" ht="64" customHeight="1">
      <x:c r="A1308" s="11" t="str">
        <x:v>Systeme Electric</x:v>
      </x:c>
      <x:c r="B1308" s="33" t="str">
        <x:v>300200425_</x:v>
      </x:c>
      <x:c r="C1308" s="33" t="str">
        <x:v>ATN000481</x:v>
      </x:c>
      <x:c r="D1308" s="12" t="str">
        <x:v>G402 Телефонная роз. RJ11 механизм б/рамки "ATLAS" жемчуг ATN481 (10)</x:v>
      </x:c>
      <x:c r="E1308" s="11" t="str">
        <x:v>шт</x:v>
      </x:c>
      <x:c r="F1308" s="35" t="n">
        <x:f>MAX(0,ROUNDDOWN((AG1308-AF1308)/AR1308+0.000000001,0)*AR1308)</x:f>
        <x:v>26</x:v>
      </x:c>
      <x:c r="G1308" s="20" t="str">
        <x:f>IF(J1308="Рассчитано",V1308*(1-R1308/100)-W1308-P1308-Q1308,"н/д")</x:f>
        <x:v>н/д</x:v>
      </x:c>
      <x:c r="H1308" s="12" t="str">
        <x:v>Средний</x:v>
      </x:c>
      <x:c r="I1308" s="12" t="str">
        <x:v>Высокий</x:v>
      </x:c>
      <x:c r="J1308" s="12" t="str">
        <x:f>IF(L1308="","Укажите валюту",IF(NOT(ISNUMBER(K1308)),"Укажите объём",IF(K1308&lt;=0,"Укажите объём",IF(K1308&gt;F1308,"Объём выше излишка",IF(COUNT(M1308:O1308)&lt;3,"Нужны цены",IF(COUNT(P1308:R1308)&lt;3,"Нужны расходы",IF(OR(M1308&lt;0,N1308&lt;0,O1308&lt;0,O1308&gt;100,P1308&lt;0,Q1308&lt;0,R1308&lt;0,R1308&gt;100),"Проверьте значения","Рассчитано")))))))</x:f>
        <x:v>Нужны цены</x:v>
      </x:c>
      <x:c r="K1308" s="36" t="n">
        <x:v>26</x:v>
      </x:c>
      <x:c r="L1308" s="19" t="str">
        <x:v>KZT</x:v>
      </x:c>
      <x:c r="M1308" s="22"/>
      <x:c r="N1308" s="22"/>
      <x:c r="O1308" s="28"/>
      <x:c r="P1308" s="22"/>
      <x:c r="Q1308" s="22"/>
      <x:c r="R1308" s="28"/>
      <x:c r="S1308" s="22"/>
      <x:c r="T1308" s="35" t="n">
        <x:f>K1308</x:f>
        <x:v>26</x:v>
      </x:c>
      <x:c r="U1308" s="20" t="str">
        <x:f>IF(J1308="Рассчитано",N1308*(1-O1308/100),"н/д")</x:f>
        <x:v>н/д</x:v>
      </x:c>
      <x:c r="V1308" s="20" t="str">
        <x:f>IF(J1308="Рассчитано",T1308*U1308,"н/д")</x:f>
        <x:v>н/д</x:v>
      </x:c>
      <x:c r="W1308" s="20" t="str">
        <x:f>IF(J1308="Рассчитано",T1308*M1308,"н/д")</x:f>
        <x:v>н/д</x:v>
      </x:c>
      <x:c r="X1308" s="20" t="str">
        <x:f>IF(J1308="Рассчитано",V1308-W1308,"н/д")</x:f>
        <x:v>н/д</x:v>
      </x:c>
      <x:c r="Y1308" s="26" t="str">
        <x:f>IF(J1308="Рассчитано",IF(V1308&gt;0,G1308/V1308,"н/д"),"н/д")</x:f>
        <x:v>н/д</x:v>
      </x:c>
      <x:c r="Z1308" s="20" t="str">
        <x:f>"н/д"</x:f>
        <x:v>н/д</x:v>
      </x:c>
      <x:c r="AA1308" s="20" t="str">
        <x:f>"н/д"</x:f>
        <x:v>н/д</x:v>
      </x:c>
      <x:c r="AB1308" s="20" t="str">
        <x:f>"н/д"</x:f>
        <x:v>н/д</x:v>
      </x:c>
      <x:c r="AC1308" s="20" t="str">
        <x:f>IF(AND(J1308="Рассчитано",T1308&gt;0,R1308&lt;100),(W1308+P1308+Q1308)/(T1308*(1-R1308/100)),"н/д")</x:f>
        <x:v>н/д</x:v>
      </x:c>
      <x:c r="AD1308" s="11" t="str">
        <x:f>IF(ISNUMBER(G1308),IF(G1308&lt;0,"Убыток",IF(G1308=0,"Без прибыли","Прибыль &gt; 0")),"Не оценён")</x:f>
        <x:v>Не оценён</x:v>
      </x:c>
      <x:c r="AE1308" s="12" t="str">
        <x:f>IF(J1308="Рассчитано","Выручка "&amp;TEXT(V1308,"0.00")&amp;" - себестоимость "&amp;TEXT(W1308,"0.00")&amp;" - комиссия "&amp;TEXT(V1308*R1308/100,"0.00")&amp;" - доставка "&amp;TEXT(P1308,"0.00")&amp;" - прочие "&amp;TEXT(Q1308,"0.00")&amp;" = "&amp;TEXT(G1308,"0.00")&amp;" "&amp;L1308,"Введите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8" s="23" t="n">
        <x:v>0.10746293631690622</x:v>
      </x:c>
      <x:c r="AG1308" s="35" t="n">
        <x:v>27</x:v>
      </x:c>
      <x:c r="AH1308" s="35" t="n">
        <x:v>0</x:v>
      </x:c>
      <x:c r="AI1308" s="29" t="n">
        <x:v>46287</x:v>
      </x:c>
      <x:c r="AJ1308" s="35" t="n">
        <x:v>5</x:v>
      </x:c>
      <x:c r="AK1308" s="11" t="str">
        <x:v>кратность</x:v>
      </x:c>
      <x:c r="AL1308" s="31" t="n">
        <x:v>21422.543849104935</x:v>
      </x:c>
      <x:c r="AM1308" s="12" t="str">
        <x:v>Нет ежедневных данных доступности. Запас более 180 дней при среднем спросе</x:v>
      </x:c>
      <x:c r="AN1308" s="12" t="str">
        <x:v>Проверить свободный остаток и установить цену для B2B</x:v>
      </x:c>
      <x:c r="AO1308" s="12" t="str">
        <x:v>Остаток 27; прогноз 90 дней 0.11; избыток 26 шт. Будущие поступления не выставляются на продажу.</x:v>
      </x:c>
      <x:c r="AP1308" s="12" t="str">
        <x:v>["daily_stockout_data_missing", "new_order_lead_time_unknown"]</x:v>
      </x:c>
      <x:c r="AQ1308" s="11" t="str">
        <x:v>SE:300200425_</x:v>
      </x:c>
      <x:c r="AR1308" s="23" t="n">
        <x:v>1</x:v>
      </x:c>
      <x:c r="AS1308" s="23" t="n">
        <x:v>0</x:v>
      </x:c>
      <x:c r="AT1308" s="23" t="n">
        <x:v>0</x:v>
      </x:c>
    </x:row>
    <x:row r="1309" ht="64" customHeight="1">
      <x:c r="A1309" s="10" t="str">
        <x:v>Systeme Electric</x:v>
      </x:c>
      <x:c r="B1309" s="34" t="str">
        <x:v>300200426_</x:v>
      </x:c>
      <x:c r="C1309" s="34" t="str">
        <x:v>ATN000463</x:v>
      </x:c>
      <x:c r="D1309" s="13" t="str">
        <x:v>G392 Переключ. 1 кл с инд 10А с/у б/рамки  "ATLAS" жемчуг ATN463 (10)</x:v>
      </x:c>
      <x:c r="E1309" s="10" t="str">
        <x:v>шт</x:v>
      </x:c>
      <x:c r="F1309" s="37" t="n">
        <x:f>MAX(0,ROUNDDOWN((AG1309-AF1309)/AR1309+0.000000001,0)*AR1309)</x:f>
        <x:v>23</x:v>
      </x:c>
      <x:c r="G1309" s="21" t="str">
        <x:f>IF(J1309="Рассчитано",V1309*(1-R1309/100)-W1309-P1309-Q1309,"н/д")</x:f>
        <x:v>н/д</x:v>
      </x:c>
      <x:c r="H1309" s="13" t="str">
        <x:v>Средний</x:v>
      </x:c>
      <x:c r="I1309" s="13" t="str">
        <x:v>Высокий</x:v>
      </x:c>
      <x:c r="J1309" s="13" t="str">
        <x:f>IF(L1309="","Укажите валюту",IF(NOT(ISNUMBER(K1309)),"Укажите объём",IF(K1309&lt;=0,"Укажите объём",IF(K1309&gt;F1309,"Объём выше излишка",IF(COUNT(M1309:O1309)&lt;3,"Нужны цены",IF(COUNT(P1309:R1309)&lt;3,"Нужны расходы",IF(OR(M1309&lt;0,N1309&lt;0,O1309&lt;0,O1309&gt;100,P1309&lt;0,Q1309&lt;0,R1309&lt;0,R1309&gt;100),"Проверьте значения","Рассчитано")))))))</x:f>
        <x:v>Нужны цены</x:v>
      </x:c>
      <x:c r="K1309" s="36" t="n">
        <x:v>23</x:v>
      </x:c>
      <x:c r="L1309" s="19" t="str">
        <x:v>KZT</x:v>
      </x:c>
      <x:c r="M1309" s="22"/>
      <x:c r="N1309" s="22"/>
      <x:c r="O1309" s="28"/>
      <x:c r="P1309" s="22"/>
      <x:c r="Q1309" s="22"/>
      <x:c r="R1309" s="28"/>
      <x:c r="S1309" s="22"/>
      <x:c r="T1309" s="37" t="n">
        <x:f>K1309</x:f>
        <x:v>23</x:v>
      </x:c>
      <x:c r="U1309" s="21" t="str">
        <x:f>IF(J1309="Рассчитано",N1309*(1-O1309/100),"н/д")</x:f>
        <x:v>н/д</x:v>
      </x:c>
      <x:c r="V1309" s="21" t="str">
        <x:f>IF(J1309="Рассчитано",T1309*U1309,"н/д")</x:f>
        <x:v>н/д</x:v>
      </x:c>
      <x:c r="W1309" s="21" t="str">
        <x:f>IF(J1309="Рассчитано",T1309*M1309,"н/д")</x:f>
        <x:v>н/д</x:v>
      </x:c>
      <x:c r="X1309" s="21" t="str">
        <x:f>IF(J1309="Рассчитано",V1309-W1309,"н/д")</x:f>
        <x:v>н/д</x:v>
      </x:c>
      <x:c r="Y1309" s="27" t="str">
        <x:f>IF(J1309="Рассчитано",IF(V1309&gt;0,G1309/V1309,"н/д"),"н/д")</x:f>
        <x:v>н/д</x:v>
      </x:c>
      <x:c r="Z1309" s="21" t="str">
        <x:f>"н/д"</x:f>
        <x:v>н/д</x:v>
      </x:c>
      <x:c r="AA1309" s="21" t="str">
        <x:f>"н/д"</x:f>
        <x:v>н/д</x:v>
      </x:c>
      <x:c r="AB1309" s="21" t="str">
        <x:f>"н/д"</x:f>
        <x:v>н/д</x:v>
      </x:c>
      <x:c r="AC1309" s="21" t="str">
        <x:f>IF(AND(J1309="Рассчитано",T1309&gt;0,R1309&lt;100),(W1309+P1309+Q1309)/(T1309*(1-R1309/100)),"н/д")</x:f>
        <x:v>н/д</x:v>
      </x:c>
      <x:c r="AD1309" s="10" t="str">
        <x:f>IF(ISNUMBER(G1309),IF(G1309&lt;0,"Убыток",IF(G1309=0,"Без прибыли","Прибыль &gt; 0")),"Не оценён")</x:f>
        <x:v>Не оценён</x:v>
      </x:c>
      <x:c r="AE1309" s="13" t="str">
        <x:f>IF(J1309="Рассчитано","Выручка "&amp;TEXT(V1309,"0.00")&amp;" - себестоимость "&amp;TEXT(W1309,"0.00")&amp;" - комиссия "&amp;TEXT(V1309*R1309/100,"0.00")&amp;" - доставка "&amp;TEXT(P1309,"0.00")&amp;" - прочие "&amp;TEXT(Q1309,"0.00")&amp;" = "&amp;TEXT(G1309,"0.00")&amp;" "&amp;L1309,"Введите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9" s="24" t="n">
        <x:v>0</x:v>
      </x:c>
      <x:c r="AG1309" s="37" t="n">
        <x:v>23</x:v>
      </x:c>
      <x:c r="AH1309" s="37" t="n">
        <x:v>0</x:v>
      </x:c>
      <x:c r="AI1309" s="30" t="n">
        <x:v>46287</x:v>
      </x:c>
      <x:c r="AJ1309" s="37" t="n">
        <x:v>10</x:v>
      </x:c>
      <x:c r="AK1309" s="10" t="str">
        <x:v>кратность</x:v>
      </x:c>
      <x:c r="AL1309" s="32" t="str">
        <x:v>н/д</x:v>
      </x:c>
      <x:c r="AM1309" s="13" t="str">
        <x:v>Нет ежедневных данных доступности. Нет положительных чистых продаж за 12 месяцев</x:v>
      </x:c>
      <x:c r="AN1309" s="13" t="str">
        <x:v>Проверить свободный остаток и установить цену для B2B</x:v>
      </x:c>
      <x:c r="AO1309" s="13" t="str">
        <x:v>Остаток 23; прогноз 90 дней 0.00; избыток 23 шт. Будущие поступления не выставляются на продажу.</x:v>
      </x:c>
      <x:c r="AP1309" s="13" t="str">
        <x:v>["daily_stockout_data_missing", "new_order_lead_time_unknown"]</x:v>
      </x:c>
      <x:c r="AQ1309" s="10" t="str">
        <x:v>SE:300200426_</x:v>
      </x:c>
      <x:c r="AR1309" s="24" t="n">
        <x:v>1</x:v>
      </x:c>
      <x:c r="AS1309" s="24" t="n">
        <x:v>0</x:v>
      </x:c>
      <x:c r="AT1309" s="24" t="n">
        <x:v>0</x:v>
      </x:c>
    </x:row>
    <x:row r="1310" ht="64" customHeight="1">
      <x:c r="A1310" s="11" t="str">
        <x:v>Systeme Electric</x:v>
      </x:c>
      <x:c r="B1310" s="33" t="str">
        <x:v>300200428_</x:v>
      </x:c>
      <x:c r="C1310" s="33" t="str">
        <x:v>ATN000343</x:v>
      </x:c>
      <x:c r="D1310" s="12" t="str">
        <x:v>A398 Роз. с з/к 16А с/у б/рамки "ATLAS" алюминий ATN343 (10)</x:v>
      </x:c>
      <x:c r="E1310" s="11" t="str">
        <x:v>шт</x:v>
      </x:c>
      <x:c r="F1310" s="35" t="n">
        <x:f>MAX(0,ROUNDDOWN((AG1310-AF1310)/AR1310+0.000000001,0)*AR1310)</x:f>
        <x:v>568</x:v>
      </x:c>
      <x:c r="G1310" s="20" t="str">
        <x:f>IF(J1310="Рассчитано",V1310*(1-R1310/100)-W1310-P1310-Q1310,"н/д")</x:f>
        <x:v>н/д</x:v>
      </x:c>
      <x:c r="H1310" s="12" t="str">
        <x:v>Средний</x:v>
      </x:c>
      <x:c r="I1310" s="12" t="str">
        <x:v>Средний</x:v>
      </x:c>
      <x:c r="J1310" s="12" t="str">
        <x:f>IF(L1310="","Укажите валюту",IF(NOT(ISNUMBER(K1310)),"Укажите объём",IF(K1310&lt;=0,"Укажите объём",IF(K1310&gt;F1310,"Объём выше излишка",IF(COUNT(M1310:O1310)&lt;3,"Нужны цены",IF(COUNT(P1310:R1310)&lt;3,"Нужны расходы",IF(OR(M1310&lt;0,N1310&lt;0,O1310&lt;0,O1310&gt;100,P1310&lt;0,Q1310&lt;0,R1310&lt;0,R1310&gt;100),"Проверьте значения","Рассчитано")))))))</x:f>
        <x:v>Нужны цены</x:v>
      </x:c>
      <x:c r="K1310" s="36" t="n">
        <x:v>568</x:v>
      </x:c>
      <x:c r="L1310" s="19" t="str">
        <x:v>KZT</x:v>
      </x:c>
      <x:c r="M1310" s="22"/>
      <x:c r="N1310" s="22"/>
      <x:c r="O1310" s="28"/>
      <x:c r="P1310" s="22"/>
      <x:c r="Q1310" s="22"/>
      <x:c r="R1310" s="28"/>
      <x:c r="S1310" s="22"/>
      <x:c r="T1310" s="35" t="n">
        <x:f>K1310</x:f>
        <x:v>568</x:v>
      </x:c>
      <x:c r="U1310" s="20" t="str">
        <x:f>IF(J1310="Рассчитано",N1310*(1-O1310/100),"н/д")</x:f>
        <x:v>н/д</x:v>
      </x:c>
      <x:c r="V1310" s="20" t="str">
        <x:f>IF(J1310="Рассчитано",T1310*U1310,"н/д")</x:f>
        <x:v>н/д</x:v>
      </x:c>
      <x:c r="W1310" s="20" t="str">
        <x:f>IF(J1310="Рассчитано",T1310*M1310,"н/д")</x:f>
        <x:v>н/д</x:v>
      </x:c>
      <x:c r="X1310" s="20" t="str">
        <x:f>IF(J1310="Рассчитано",V1310-W1310,"н/д")</x:f>
        <x:v>н/д</x:v>
      </x:c>
      <x:c r="Y1310" s="26" t="str">
        <x:f>IF(J1310="Рассчитано",IF(V1310&gt;0,G1310/V1310,"н/д"),"н/д")</x:f>
        <x:v>н/д</x:v>
      </x:c>
      <x:c r="Z1310" s="20" t="str">
        <x:f>"н/д"</x:f>
        <x:v>н/д</x:v>
      </x:c>
      <x:c r="AA1310" s="20" t="str">
        <x:f>"н/д"</x:f>
        <x:v>н/д</x:v>
      </x:c>
      <x:c r="AB1310" s="20" t="str">
        <x:f>"н/д"</x:f>
        <x:v>н/д</x:v>
      </x:c>
      <x:c r="AC1310" s="20" t="str">
        <x:f>IF(AND(J1310="Рассчитано",T1310&gt;0,R1310&lt;100),(W1310+P1310+Q1310)/(T1310*(1-R1310/100)),"н/д")</x:f>
        <x:v>н/д</x:v>
      </x:c>
      <x:c r="AD1310" s="11" t="str">
        <x:f>IF(ISNUMBER(G1310),IF(G1310&lt;0,"Убыток",IF(G1310=0,"Без прибыли","Прибыль &gt; 0")),"Не оценён")</x:f>
        <x:v>Не оценён</x:v>
      </x:c>
      <x:c r="AE1310" s="12" t="str">
        <x:f>IF(J1310="Рассчитано","Выручка "&amp;TEXT(V1310,"0.00")&amp;" - себестоимость "&amp;TEXT(W1310,"0.00")&amp;" - комиссия "&amp;TEXT(V1310*R1310/100,"0.00")&amp;" - доставка "&amp;TEXT(P1310,"0.00")&amp;" - прочие "&amp;TEXT(Q1310,"0.00")&amp;" = "&amp;TEXT(G1310,"0.00")&amp;" "&amp;L1310,"Введите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0" s="23" t="n">
        <x:v>549.9093683084512</x:v>
      </x:c>
      <x:c r="AG1310" s="35" t="n">
        <x:v>1118</x:v>
      </x:c>
      <x:c r="AH1310" s="35" t="n">
        <x:v>0</x:v>
      </x:c>
      <x:c r="AI1310" s="29" t="n">
        <x:v>46287</x:v>
      </x:c>
      <x:c r="AJ1310" s="35" t="n">
        <x:v>10</x:v>
      </x:c>
      <x:c r="AK1310" s="11" t="str">
        <x:v>кратность</x:v>
      </x:c>
      <x:c r="AL1310" s="31" t="n">
        <x:v>173.34713349536693</x:v>
      </x:c>
      <x:c r="AM1310" s="12" t="str">
        <x:v>Детальные и месячные продажи расходятся; Нет ежедневных данных доступности. Запас выше прогноза на 90 дней</x:v>
      </x:c>
      <x:c r="AN1310" s="12" t="str">
        <x:v>Проверить свободный остаток и установить цену для B2B</x:v>
      </x:c>
      <x:c r="AO1310" s="12" t="str">
        <x:v>Остаток 1118; прогноз 90 дней 549.91; избыток 568 шт. Будущие поступления не выставляются на продажу.</x:v>
      </x:c>
      <x:c r="AP1310" s="12" t="str">
        <x:v>["daily_stockout_data_missing", "large_orders_detected", "new_order_lead_time_unknown", "transaction_month_mismatch"]</x:v>
      </x:c>
      <x:c r="AQ1310" s="11" t="str">
        <x:v>SE:300200428_</x:v>
      </x:c>
      <x:c r="AR1310" s="23" t="n">
        <x:v>1</x:v>
      </x:c>
      <x:c r="AS1310" s="23" t="n">
        <x:v>0</x:v>
      </x:c>
      <x:c r="AT1310" s="23" t="n">
        <x:v>0</x:v>
      </x:c>
    </x:row>
    <x:row r="1311" ht="64" customHeight="1">
      <x:c r="A1311" s="10" t="str">
        <x:v>Systeme Electric</x:v>
      </x:c>
      <x:c r="B1311" s="34" t="str">
        <x:v>300200429_</x:v>
      </x:c>
      <x:c r="C1311" s="34" t="str">
        <x:v>ATN000344</x:v>
      </x:c>
      <x:c r="D1311" s="13" t="str">
        <x:v>А399 Роз. с з/к 16А с/у з/ш "ATLAS" алюминий ATN344 (10)</x:v>
      </x:c>
      <x:c r="E1311" s="10" t="str">
        <x:v>шт</x:v>
      </x:c>
      <x:c r="F1311" s="37" t="n">
        <x:f>MAX(0,ROUNDDOWN((AG1311-AF1311)/AR1311+0.000000001,0)*AR1311)</x:f>
        <x:v>5</x:v>
      </x:c>
      <x:c r="G1311" s="21" t="str">
        <x:f>IF(J1311="Рассчитано",V1311*(1-R1311/100)-W1311-P1311-Q1311,"н/д")</x:f>
        <x:v>н/д</x:v>
      </x:c>
      <x:c r="H1311" s="13" t="str">
        <x:v>Средний</x:v>
      </x:c>
      <x:c r="I1311" s="13" t="str">
        <x:v>Средний</x:v>
      </x:c>
      <x:c r="J1311" s="13" t="str">
        <x:f>IF(L1311="","Укажите валюту",IF(NOT(ISNUMBER(K1311)),"Укажите объём",IF(K1311&lt;=0,"Укажите объём",IF(K1311&gt;F1311,"Объём выше излишка",IF(COUNT(M1311:O1311)&lt;3,"Нужны цены",IF(COUNT(P1311:R1311)&lt;3,"Нужны расходы",IF(OR(M1311&lt;0,N1311&lt;0,O1311&lt;0,O1311&gt;100,P1311&lt;0,Q1311&lt;0,R1311&lt;0,R1311&gt;100),"Проверьте значения","Рассчитано")))))))</x:f>
        <x:v>Нужны цены</x:v>
      </x:c>
      <x:c r="K1311" s="36" t="n">
        <x:v>5</x:v>
      </x:c>
      <x:c r="L1311" s="19" t="str">
        <x:v>KZT</x:v>
      </x:c>
      <x:c r="M1311" s="22"/>
      <x:c r="N1311" s="22"/>
      <x:c r="O1311" s="28"/>
      <x:c r="P1311" s="22"/>
      <x:c r="Q1311" s="22"/>
      <x:c r="R1311" s="28"/>
      <x:c r="S1311" s="22"/>
      <x:c r="T1311" s="37" t="n">
        <x:f>K1311</x:f>
        <x:v>5</x:v>
      </x:c>
      <x:c r="U1311" s="21" t="str">
        <x:f>IF(J1311="Рассчитано",N1311*(1-O1311/100),"н/д")</x:f>
        <x:v>н/д</x:v>
      </x:c>
      <x:c r="V1311" s="21" t="str">
        <x:f>IF(J1311="Рассчитано",T1311*U1311,"н/д")</x:f>
        <x:v>н/д</x:v>
      </x:c>
      <x:c r="W1311" s="21" t="str">
        <x:f>IF(J1311="Рассчитано",T1311*M1311,"н/д")</x:f>
        <x:v>н/д</x:v>
      </x:c>
      <x:c r="X1311" s="21" t="str">
        <x:f>IF(J1311="Рассчитано",V1311-W1311,"н/д")</x:f>
        <x:v>н/д</x:v>
      </x:c>
      <x:c r="Y1311" s="27" t="str">
        <x:f>IF(J1311="Рассчитано",IF(V1311&gt;0,G1311/V1311,"н/д"),"н/д")</x:f>
        <x:v>н/д</x:v>
      </x:c>
      <x:c r="Z1311" s="21" t="str">
        <x:f>"н/д"</x:f>
        <x:v>н/д</x:v>
      </x:c>
      <x:c r="AA1311" s="21" t="str">
        <x:f>"н/д"</x:f>
        <x:v>н/д</x:v>
      </x:c>
      <x:c r="AB1311" s="21" t="str">
        <x:f>"н/д"</x:f>
        <x:v>н/д</x:v>
      </x:c>
      <x:c r="AC1311" s="21" t="str">
        <x:f>IF(AND(J1311="Рассчитано",T1311&gt;0,R1311&lt;100),(W1311+P1311+Q1311)/(T1311*(1-R1311/100)),"н/д")</x:f>
        <x:v>н/д</x:v>
      </x:c>
      <x:c r="AD1311" s="10" t="str">
        <x:f>IF(ISNUMBER(G1311),IF(G1311&lt;0,"Убыток",IF(G1311=0,"Без прибыли","Прибыль &gt; 0")),"Не оценён")</x:f>
        <x:v>Не оценён</x:v>
      </x:c>
      <x:c r="AE1311" s="13" t="str">
        <x:f>IF(J1311="Рассчитано","Выручка "&amp;TEXT(V1311,"0.00")&amp;" - себестоимость "&amp;TEXT(W1311,"0.00")&amp;" - комиссия "&amp;TEXT(V1311*R1311/100,"0.00")&amp;" - доставка "&amp;TEXT(P1311,"0.00")&amp;" - прочие "&amp;TEXT(Q1311,"0.00")&amp;" = "&amp;TEXT(G1311,"0.00")&amp;" "&amp;L1311,"Введите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1" s="24" t="n">
        <x:v>40.3522277180892</x:v>
      </x:c>
      <x:c r="AG1311" s="37" t="n">
        <x:v>46</x:v>
      </x:c>
      <x:c r="AH1311" s="37" t="n">
        <x:v>0</x:v>
      </x:c>
      <x:c r="AI1311" s="30" t="n">
        <x:v>46287</x:v>
      </x:c>
      <x:c r="AJ1311" s="37" t="n">
        <x:v>10</x:v>
      </x:c>
      <x:c r="AK1311" s="10" t="str">
        <x:v>кратность</x:v>
      </x:c>
      <x:c r="AL1311" s="32" t="n">
        <x:v>97.19776870840332</x:v>
      </x:c>
      <x:c r="AM1311" s="13" t="str">
        <x:v>Нет ежедневных данных доступности. Запас выше прогноза на 90 дней</x:v>
      </x:c>
      <x:c r="AN1311" s="13" t="str">
        <x:v>Проверить свободный остаток и установить цену для B2B</x:v>
      </x:c>
      <x:c r="AO1311" s="13" t="str">
        <x:v>Остаток 46; прогноз 90 дней 40.35; избыток 5 шт. Будущие поступления не выставляются на продажу.</x:v>
      </x:c>
      <x:c r="AP1311" s="13" t="str">
        <x:v>["daily_stockout_data_missing", "new_order_lead_time_unknown"]</x:v>
      </x:c>
      <x:c r="AQ1311" s="10" t="str">
        <x:v>SE:300200429_</x:v>
      </x:c>
      <x:c r="AR1311" s="24" t="n">
        <x:v>1</x:v>
      </x:c>
      <x:c r="AS1311" s="24" t="n">
        <x:v>0</x:v>
      </x:c>
      <x:c r="AT1311" s="24" t="n">
        <x:v>0</x:v>
      </x:c>
    </x:row>
    <x:row r="1312" ht="64" customHeight="1">
      <x:c r="A1312" s="11" t="str">
        <x:v>Systeme Electric</x:v>
      </x:c>
      <x:c r="B1312" s="33" t="str">
        <x:v>300200431_</x:v>
      </x:c>
      <x:c r="C1312" s="33" t="str">
        <x:v>ATN000326</x:v>
      </x:c>
      <x:c r="D1312" s="12" t="str">
        <x:v>А395 Роз. 2-ная с/у 16А с з/к з/ш "ATLAS" алюминий ATN326 (6)</x:v>
      </x:c>
      <x:c r="E1312" s="11" t="str">
        <x:v>шт</x:v>
      </x:c>
      <x:c r="F1312" s="35" t="n">
        <x:f>MAX(0,ROUNDDOWN((AG1312-AF1312)/AR1312+0.000000001,0)*AR1312)</x:f>
        <x:v>5</x:v>
      </x:c>
      <x:c r="G1312" s="20" t="str">
        <x:f>IF(J1312="Рассчитано",V1312*(1-R1312/100)-W1312-P1312-Q1312,"н/д")</x:f>
        <x:v>н/д</x:v>
      </x:c>
      <x:c r="H1312" s="12" t="str">
        <x:v>Средний</x:v>
      </x:c>
      <x:c r="I1312" s="12" t="str">
        <x:v>Средний</x:v>
      </x:c>
      <x:c r="J1312" s="12" t="str">
        <x:f>IF(L1312="","Укажите валюту",IF(NOT(ISNUMBER(K1312)),"Укажите объём",IF(K1312&lt;=0,"Укажите объём",IF(K1312&gt;F1312,"Объём выше излишка",IF(COUNT(M1312:O1312)&lt;3,"Нужны цены",IF(COUNT(P1312:R1312)&lt;3,"Нужны расходы",IF(OR(M1312&lt;0,N1312&lt;0,O1312&lt;0,O1312&gt;100,P1312&lt;0,Q1312&lt;0,R1312&lt;0,R1312&gt;100),"Проверьте значения","Рассчитано")))))))</x:f>
        <x:v>Нужны цены</x:v>
      </x:c>
      <x:c r="K1312" s="36" t="n">
        <x:v>5</x:v>
      </x:c>
      <x:c r="L1312" s="19" t="str">
        <x:v>KZT</x:v>
      </x:c>
      <x:c r="M1312" s="22"/>
      <x:c r="N1312" s="22"/>
      <x:c r="O1312" s="28"/>
      <x:c r="P1312" s="22"/>
      <x:c r="Q1312" s="22"/>
      <x:c r="R1312" s="28"/>
      <x:c r="S1312" s="22"/>
      <x:c r="T1312" s="35" t="n">
        <x:f>K1312</x:f>
        <x:v>5</x:v>
      </x:c>
      <x:c r="U1312" s="20" t="str">
        <x:f>IF(J1312="Рассчитано",N1312*(1-O1312/100),"н/д")</x:f>
        <x:v>н/д</x:v>
      </x:c>
      <x:c r="V1312" s="20" t="str">
        <x:f>IF(J1312="Рассчитано",T1312*U1312,"н/д")</x:f>
        <x:v>н/д</x:v>
      </x:c>
      <x:c r="W1312" s="20" t="str">
        <x:f>IF(J1312="Рассчитано",T1312*M1312,"н/д")</x:f>
        <x:v>н/д</x:v>
      </x:c>
      <x:c r="X1312" s="20" t="str">
        <x:f>IF(J1312="Рассчитано",V1312-W1312,"н/д")</x:f>
        <x:v>н/д</x:v>
      </x:c>
      <x:c r="Y1312" s="26" t="str">
        <x:f>IF(J1312="Рассчитано",IF(V1312&gt;0,G1312/V1312,"н/д"),"н/д")</x:f>
        <x:v>н/д</x:v>
      </x:c>
      <x:c r="Z1312" s="20" t="str">
        <x:f>"н/д"</x:f>
        <x:v>н/д</x:v>
      </x:c>
      <x:c r="AA1312" s="20" t="str">
        <x:f>"н/д"</x:f>
        <x:v>н/д</x:v>
      </x:c>
      <x:c r="AB1312" s="20" t="str">
        <x:f>"н/д"</x:f>
        <x:v>н/д</x:v>
      </x:c>
      <x:c r="AC1312" s="20" t="str">
        <x:f>IF(AND(J1312="Рассчитано",T1312&gt;0,R1312&lt;100),(W1312+P1312+Q1312)/(T1312*(1-R1312/100)),"н/д")</x:f>
        <x:v>н/д</x:v>
      </x:c>
      <x:c r="AD1312" s="11" t="str">
        <x:f>IF(ISNUMBER(G1312),IF(G1312&lt;0,"Убыток",IF(G1312=0,"Без прибыли","Прибыль &gt; 0")),"Не оценён")</x:f>
        <x:v>Не оценён</x:v>
      </x:c>
      <x:c r="AE1312" s="12" t="str">
        <x:f>IF(J1312="Рассчитано","Выручка "&amp;TEXT(V1312,"0.00")&amp;" - себестоимость "&amp;TEXT(W1312,"0.00")&amp;" - комиссия "&amp;TEXT(V1312*R1312/100,"0.00")&amp;" - доставка "&amp;TEXT(P1312,"0.00")&amp;" - прочие "&amp;TEXT(Q1312,"0.00")&amp;" = "&amp;TEXT(G1312,"0.00")&amp;" "&amp;L1312,"Введите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2" s="23" t="n">
        <x:v>50.902917812790214</x:v>
      </x:c>
      <x:c r="AG1312" s="35" t="n">
        <x:v>56</x:v>
      </x:c>
      <x:c r="AH1312" s="35" t="n">
        <x:v>0</x:v>
      </x:c>
      <x:c r="AI1312" s="29" t="n">
        <x:v>46287</x:v>
      </x:c>
      <x:c r="AJ1312" s="35" t="n">
        <x:v>6</x:v>
      </x:c>
      <x:c r="AK1312" s="11" t="str">
        <x:v>кратность</x:v>
      </x:c>
      <x:c r="AL1312" s="31" t="n">
        <x:v>93.801833853885</x:v>
      </x:c>
      <x:c r="AM1312" s="12" t="str">
        <x:v>Нет ежедневных данных доступности. Запас выше прогноза на 90 дней</x:v>
      </x:c>
      <x:c r="AN1312" s="12" t="str">
        <x:v>Проверить свободный остаток и установить цену для B2B</x:v>
      </x:c>
      <x:c r="AO1312" s="12" t="str">
        <x:v>Остаток 56; прогноз 90 дней 50.90; избыток 5 шт. Будущие поступления не выставляются на продажу.</x:v>
      </x:c>
      <x:c r="AP1312" s="12" t="str">
        <x:v>["daily_stockout_data_missing", "new_order_lead_time_unknown"]</x:v>
      </x:c>
      <x:c r="AQ1312" s="11" t="str">
        <x:v>SE:300200431_</x:v>
      </x:c>
      <x:c r="AR1312" s="23" t="n">
        <x:v>1</x:v>
      </x:c>
      <x:c r="AS1312" s="23" t="n">
        <x:v>0</x:v>
      </x:c>
      <x:c r="AT1312" s="23" t="n">
        <x:v>0</x:v>
      </x:c>
    </x:row>
    <x:row r="1313" ht="64" customHeight="1">
      <x:c r="A1313" s="10" t="str">
        <x:v>Systeme Electric</x:v>
      </x:c>
      <x:c r="B1313" s="34" t="str">
        <x:v>300200432_</x:v>
      </x:c>
      <x:c r="C1313" s="34" t="str">
        <x:v>ATN000352</x:v>
      </x:c>
      <x:c r="D1313" s="13" t="str">
        <x:v>А386 Выкл 2 кл 10А с/у "ATLAS" алюминий ATN352 (10)</x:v>
      </x:c>
      <x:c r="E1313" s="10" t="str">
        <x:v>шт</x:v>
      </x:c>
      <x:c r="F1313" s="37" t="n">
        <x:f>MAX(0,ROUNDDOWN((AG1313-AF1313)/AR1313+0.000000001,0)*AR1313)</x:f>
        <x:v>41</x:v>
      </x:c>
      <x:c r="G1313" s="21" t="str">
        <x:f>IF(J1313="Рассчитано",V1313*(1-R1313/100)-W1313-P1313-Q1313,"н/д")</x:f>
        <x:v>н/д</x:v>
      </x:c>
      <x:c r="H1313" s="13" t="str">
        <x:v>Средний</x:v>
      </x:c>
      <x:c r="I1313" s="13" t="str">
        <x:v>Средний</x:v>
      </x:c>
      <x:c r="J1313" s="13" t="str">
        <x:f>IF(L1313="","Укажите валюту",IF(NOT(ISNUMBER(K1313)),"Укажите объём",IF(K1313&lt;=0,"Укажите объём",IF(K1313&gt;F1313,"Объём выше излишка",IF(COUNT(M1313:O1313)&lt;3,"Нужны цены",IF(COUNT(P1313:R1313)&lt;3,"Нужны расходы",IF(OR(M1313&lt;0,N1313&lt;0,O1313&lt;0,O1313&gt;100,P1313&lt;0,Q1313&lt;0,R1313&lt;0,R1313&gt;100),"Проверьте значения","Рассчитано")))))))</x:f>
        <x:v>Нужны цены</x:v>
      </x:c>
      <x:c r="K1313" s="36" t="n">
        <x:v>41</x:v>
      </x:c>
      <x:c r="L1313" s="19" t="str">
        <x:v>KZT</x:v>
      </x:c>
      <x:c r="M1313" s="22"/>
      <x:c r="N1313" s="22"/>
      <x:c r="O1313" s="28"/>
      <x:c r="P1313" s="22"/>
      <x:c r="Q1313" s="22"/>
      <x:c r="R1313" s="28"/>
      <x:c r="S1313" s="22"/>
      <x:c r="T1313" s="37" t="n">
        <x:f>K1313</x:f>
        <x:v>41</x:v>
      </x:c>
      <x:c r="U1313" s="21" t="str">
        <x:f>IF(J1313="Рассчитано",N1313*(1-O1313/100),"н/д")</x:f>
        <x:v>н/д</x:v>
      </x:c>
      <x:c r="V1313" s="21" t="str">
        <x:f>IF(J1313="Рассчитано",T1313*U1313,"н/д")</x:f>
        <x:v>н/д</x:v>
      </x:c>
      <x:c r="W1313" s="21" t="str">
        <x:f>IF(J1313="Рассчитано",T1313*M1313,"н/д")</x:f>
        <x:v>н/д</x:v>
      </x:c>
      <x:c r="X1313" s="21" t="str">
        <x:f>IF(J1313="Рассчитано",V1313-W1313,"н/д")</x:f>
        <x:v>н/д</x:v>
      </x:c>
      <x:c r="Y1313" s="27" t="str">
        <x:f>IF(J1313="Рассчитано",IF(V1313&gt;0,G1313/V1313,"н/д"),"н/д")</x:f>
        <x:v>н/д</x:v>
      </x:c>
      <x:c r="Z1313" s="21" t="str">
        <x:f>"н/д"</x:f>
        <x:v>н/д</x:v>
      </x:c>
      <x:c r="AA1313" s="21" t="str">
        <x:f>"н/д"</x:f>
        <x:v>н/д</x:v>
      </x:c>
      <x:c r="AB1313" s="21" t="str">
        <x:f>"н/д"</x:f>
        <x:v>н/д</x:v>
      </x:c>
      <x:c r="AC1313" s="21" t="str">
        <x:f>IF(AND(J1313="Рассчитано",T1313&gt;0,R1313&lt;100),(W1313+P1313+Q1313)/(T1313*(1-R1313/100)),"н/д")</x:f>
        <x:v>н/д</x:v>
      </x:c>
      <x:c r="AD1313" s="10" t="str">
        <x:f>IF(ISNUMBER(G1313),IF(G1313&lt;0,"Убыток",IF(G1313=0,"Без прибыли","Прибыль &gt; 0")),"Не оценён")</x:f>
        <x:v>Не оценён</x:v>
      </x:c>
      <x:c r="AE1313" s="13" t="str">
        <x:f>IF(J1313="Рассчитано","Выручка "&amp;TEXT(V1313,"0.00")&amp;" - себестоимость "&amp;TEXT(W1313,"0.00")&amp;" - комиссия "&amp;TEXT(V1313*R1313/100,"0.00")&amp;" - доставка "&amp;TEXT(P1313,"0.00")&amp;" - прочие "&amp;TEXT(Q1313,"0.00")&amp;" = "&amp;TEXT(G1313,"0.00")&amp;" "&amp;L1313,"Введите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3" s="24" t="n">
        <x:v>47.49520827901787</x:v>
      </x:c>
      <x:c r="AG1313" s="37" t="n">
        <x:v>89</x:v>
      </x:c>
      <x:c r="AH1313" s="37" t="n">
        <x:v>0</x:v>
      </x:c>
      <x:c r="AI1313" s="30" t="n">
        <x:v>46287</x:v>
      </x:c>
      <x:c r="AJ1313" s="37" t="n">
        <x:v>10</x:v>
      </x:c>
      <x:c r="AK1313" s="10" t="str">
        <x:v>кратность</x:v>
      </x:c>
      <x:c r="AL1313" s="32" t="n">
        <x:v>159.77402995731683</x:v>
      </x:c>
      <x:c r="AM1313" s="13" t="str">
        <x:v>Нет ежедневных данных доступности. Запас выше прогноза на 90 дней</x:v>
      </x:c>
      <x:c r="AN1313" s="13" t="str">
        <x:v>Проверить свободный остаток и установить цену для B2B</x:v>
      </x:c>
      <x:c r="AO1313" s="13" t="str">
        <x:v>Остаток 89; прогноз 90 дней 47.50; избыток 41 шт. Будущие поступления не выставляются на продажу.</x:v>
      </x:c>
      <x:c r="AP1313" s="13" t="str">
        <x:v>["daily_stockout_data_missing", "negative_net_sales_clipped_for_forecast", "new_order_lead_time_unknown"]</x:v>
      </x:c>
      <x:c r="AQ1313" s="10" t="str">
        <x:v>SE:300200432_</x:v>
      </x:c>
      <x:c r="AR1313" s="24" t="n">
        <x:v>1</x:v>
      </x:c>
      <x:c r="AS1313" s="24" t="n">
        <x:v>0</x:v>
      </x:c>
      <x:c r="AT1313" s="24" t="n">
        <x:v>0</x:v>
      </x:c>
    </x:row>
    <x:row r="1314" ht="64" customHeight="1">
      <x:c r="A1314" s="11" t="str">
        <x:v>Systeme Electric</x:v>
      </x:c>
      <x:c r="B1314" s="33" t="str">
        <x:v>300200433_</x:v>
      </x:c>
      <x:c r="C1314" s="33" t="str">
        <x:v>ATN000383</x:v>
      </x:c>
      <x:c r="D1314" s="12" t="str">
        <x:v>А390 Комп. роз. RJ45 5Е механизм б/рамки "ATLAS" алюминий ATN383 (10)</x:v>
      </x:c>
      <x:c r="E1314" s="11" t="str">
        <x:v>шт</x:v>
      </x:c>
      <x:c r="F1314" s="35" t="n">
        <x:f>MAX(0,ROUNDDOWN((AG1314-AF1314)/AR1314+0.000000001,0)*AR1314)</x:f>
        <x:v>67</x:v>
      </x:c>
      <x:c r="G1314" s="20" t="str">
        <x:f>IF(J1314="Рассчитано",V1314*(1-R1314/100)-W1314-P1314-Q1314,"н/д")</x:f>
        <x:v>н/д</x:v>
      </x:c>
      <x:c r="H1314" s="12" t="str">
        <x:v>Средний</x:v>
      </x:c>
      <x:c r="I1314" s="12" t="str">
        <x:v>Высокий</x:v>
      </x:c>
      <x:c r="J1314" s="12" t="str">
        <x:f>IF(L1314="","Укажите валюту",IF(NOT(ISNUMBER(K1314)),"Укажите объём",IF(K1314&lt;=0,"Укажите объём",IF(K1314&gt;F1314,"Объём выше излишка",IF(COUNT(M1314:O1314)&lt;3,"Нужны цены",IF(COUNT(P1314:R1314)&lt;3,"Нужны расходы",IF(OR(M1314&lt;0,N1314&lt;0,O1314&lt;0,O1314&gt;100,P1314&lt;0,Q1314&lt;0,R1314&lt;0,R1314&gt;100),"Проверьте значения","Рассчитано")))))))</x:f>
        <x:v>Нужны цены</x:v>
      </x:c>
      <x:c r="K1314" s="36" t="n">
        <x:v>67</x:v>
      </x:c>
      <x:c r="L1314" s="19" t="str">
        <x:v>KZT</x:v>
      </x:c>
      <x:c r="M1314" s="22"/>
      <x:c r="N1314" s="22"/>
      <x:c r="O1314" s="28"/>
      <x:c r="P1314" s="22"/>
      <x:c r="Q1314" s="22"/>
      <x:c r="R1314" s="28"/>
      <x:c r="S1314" s="22"/>
      <x:c r="T1314" s="35" t="n">
        <x:f>K1314</x:f>
        <x:v>67</x:v>
      </x:c>
      <x:c r="U1314" s="20" t="str">
        <x:f>IF(J1314="Рассчитано",N1314*(1-O1314/100),"н/д")</x:f>
        <x:v>н/д</x:v>
      </x:c>
      <x:c r="V1314" s="20" t="str">
        <x:f>IF(J1314="Рассчитано",T1314*U1314,"н/д")</x:f>
        <x:v>н/д</x:v>
      </x:c>
      <x:c r="W1314" s="20" t="str">
        <x:f>IF(J1314="Рассчитано",T1314*M1314,"н/д")</x:f>
        <x:v>н/д</x:v>
      </x:c>
      <x:c r="X1314" s="20" t="str">
        <x:f>IF(J1314="Рассчитано",V1314-W1314,"н/д")</x:f>
        <x:v>н/д</x:v>
      </x:c>
      <x:c r="Y1314" s="26" t="str">
        <x:f>IF(J1314="Рассчитано",IF(V1314&gt;0,G1314/V1314,"н/д"),"н/д")</x:f>
        <x:v>н/д</x:v>
      </x:c>
      <x:c r="Z1314" s="20" t="str">
        <x:f>"н/д"</x:f>
        <x:v>н/д</x:v>
      </x:c>
      <x:c r="AA1314" s="20" t="str">
        <x:f>"н/д"</x:f>
        <x:v>н/д</x:v>
      </x:c>
      <x:c r="AB1314" s="20" t="str">
        <x:f>"н/д"</x:f>
        <x:v>н/д</x:v>
      </x:c>
      <x:c r="AC1314" s="20" t="str">
        <x:f>IF(AND(J1314="Рассчитано",T1314&gt;0,R1314&lt;100),(W1314+P1314+Q1314)/(T1314*(1-R1314/100)),"н/д")</x:f>
        <x:v>н/д</x:v>
      </x:c>
      <x:c r="AD1314" s="11" t="str">
        <x:f>IF(ISNUMBER(G1314),IF(G1314&lt;0,"Убыток",IF(G1314=0,"Без прибыли","Прибыль &gt; 0")),"Не оценён")</x:f>
        <x:v>Не оценён</x:v>
      </x:c>
      <x:c r="AE1314" s="12" t="str">
        <x:f>IF(J1314="Рассчитано","Выручка "&amp;TEXT(V1314,"0.00")&amp;" - себестоимость "&amp;TEXT(W1314,"0.00")&amp;" - комиссия "&amp;TEXT(V1314*R1314/100,"0.00")&amp;" - доставка "&amp;TEXT(P1314,"0.00")&amp;" - прочие "&amp;TEXT(Q1314,"0.00")&amp;" = "&amp;TEXT(G1314,"0.00")&amp;" "&amp;L1314,"Введите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4" s="23" t="n">
        <x:v>10.38803213476589</x:v>
      </x:c>
      <x:c r="AG1314" s="35" t="n">
        <x:v>78</x:v>
      </x:c>
      <x:c r="AH1314" s="35" t="n">
        <x:v>0</x:v>
      </x:c>
      <x:c r="AI1314" s="29" t="n">
        <x:v>46287</x:v>
      </x:c>
      <x:c r="AJ1314" s="35" t="n">
        <x:v>5</x:v>
      </x:c>
      <x:c r="AK1314" s="11" t="str">
        <x:v>кратность</x:v>
      </x:c>
      <x:c r="AL1314" s="31" t="n">
        <x:v>640.2171409469604</x:v>
      </x:c>
      <x:c r="AM1314" s="12" t="str">
        <x:v>Нет ежедневных данных доступности. Запас более 180 дней при среднем спросе</x:v>
      </x:c>
      <x:c r="AN1314" s="12" t="str">
        <x:v>Проверить свободный остаток и установить цену для B2B</x:v>
      </x:c>
      <x:c r="AO1314" s="12" t="str">
        <x:v>Остаток 78; прогноз 90 дней 10.39; избыток 67 шт. Будущие поступления не выставляются на продажу.</x:v>
      </x:c>
      <x:c r="AP1314" s="12" t="str">
        <x:v>["daily_stockout_data_missing", "negative_net_sales_clipped_for_forecast", "new_order_lead_time_unknown"]</x:v>
      </x:c>
      <x:c r="AQ1314" s="11" t="str">
        <x:v>SE:300200433_</x:v>
      </x:c>
      <x:c r="AR1314" s="23" t="n">
        <x:v>1</x:v>
      </x:c>
      <x:c r="AS1314" s="23" t="n">
        <x:v>0</x:v>
      </x:c>
      <x:c r="AT1314" s="23" t="n">
        <x:v>0</x:v>
      </x:c>
    </x:row>
    <x:row r="1315" ht="64" customHeight="1">
      <x:c r="A1315" s="10" t="str">
        <x:v>Systeme Electric</x:v>
      </x:c>
      <x:c r="B1315" s="34" t="str">
        <x:v>300200434_</x:v>
      </x:c>
      <x:c r="C1315" s="34" t="str">
        <x:v>ATN000385</x:v>
      </x:c>
      <x:c r="D1315" s="13" t="str">
        <x:v>А397 Роз. RJ45+RJ45 5Е кат 5Е механизм б/рамки "ATLAS" алюминий ATN385 (10)</x:v>
      </x:c>
      <x:c r="E1315" s="10" t="str">
        <x:v>шт</x:v>
      </x:c>
      <x:c r="F1315" s="37" t="n">
        <x:f>MAX(0,ROUNDDOWN((AG1315-AF1315)/AR1315+0.000000001,0)*AR1315)</x:f>
        <x:v>21</x:v>
      </x:c>
      <x:c r="G1315" s="21" t="str">
        <x:f>IF(J1315="Рассчитано",V1315*(1-R1315/100)-W1315-P1315-Q1315,"н/д")</x:f>
        <x:v>н/д</x:v>
      </x:c>
      <x:c r="H1315" s="13" t="str">
        <x:v>Средний</x:v>
      </x:c>
      <x:c r="I1315" s="13" t="str">
        <x:v>Высокий</x:v>
      </x:c>
      <x:c r="J1315" s="13" t="str">
        <x:f>IF(L1315="","Укажите валюту",IF(NOT(ISNUMBER(K1315)),"Укажите объём",IF(K1315&lt;=0,"Укажите объём",IF(K1315&gt;F1315,"Объём выше излишка",IF(COUNT(M1315:O1315)&lt;3,"Нужны цены",IF(COUNT(P1315:R1315)&lt;3,"Нужны расходы",IF(OR(M1315&lt;0,N1315&lt;0,O1315&lt;0,O1315&gt;100,P1315&lt;0,Q1315&lt;0,R1315&lt;0,R1315&gt;100),"Проверьте значения","Рассчитано")))))))</x:f>
        <x:v>Нужны цены</x:v>
      </x:c>
      <x:c r="K1315" s="36" t="n">
        <x:v>21</x:v>
      </x:c>
      <x:c r="L1315" s="19" t="str">
        <x:v>KZT</x:v>
      </x:c>
      <x:c r="M1315" s="22"/>
      <x:c r="N1315" s="22"/>
      <x:c r="O1315" s="28"/>
      <x:c r="P1315" s="22"/>
      <x:c r="Q1315" s="22"/>
      <x:c r="R1315" s="28"/>
      <x:c r="S1315" s="22"/>
      <x:c r="T1315" s="37" t="n">
        <x:f>K1315</x:f>
        <x:v>21</x:v>
      </x:c>
      <x:c r="U1315" s="21" t="str">
        <x:f>IF(J1315="Рассчитано",N1315*(1-O1315/100),"н/д")</x:f>
        <x:v>н/д</x:v>
      </x:c>
      <x:c r="V1315" s="21" t="str">
        <x:f>IF(J1315="Рассчитано",T1315*U1315,"н/д")</x:f>
        <x:v>н/д</x:v>
      </x:c>
      <x:c r="W1315" s="21" t="str">
        <x:f>IF(J1315="Рассчитано",T1315*M1315,"н/д")</x:f>
        <x:v>н/д</x:v>
      </x:c>
      <x:c r="X1315" s="21" t="str">
        <x:f>IF(J1315="Рассчитано",V1315-W1315,"н/д")</x:f>
        <x:v>н/д</x:v>
      </x:c>
      <x:c r="Y1315" s="27" t="str">
        <x:f>IF(J1315="Рассчитано",IF(V1315&gt;0,G1315/V1315,"н/д"),"н/д")</x:f>
        <x:v>н/д</x:v>
      </x:c>
      <x:c r="Z1315" s="21" t="str">
        <x:f>"н/д"</x:f>
        <x:v>н/д</x:v>
      </x:c>
      <x:c r="AA1315" s="21" t="str">
        <x:f>"н/д"</x:f>
        <x:v>н/д</x:v>
      </x:c>
      <x:c r="AB1315" s="21" t="str">
        <x:f>"н/д"</x:f>
        <x:v>н/д</x:v>
      </x:c>
      <x:c r="AC1315" s="21" t="str">
        <x:f>IF(AND(J1315="Рассчитано",T1315&gt;0,R1315&lt;100),(W1315+P1315+Q1315)/(T1315*(1-R1315/100)),"н/д")</x:f>
        <x:v>н/д</x:v>
      </x:c>
      <x:c r="AD1315" s="10" t="str">
        <x:f>IF(ISNUMBER(G1315),IF(G1315&lt;0,"Убыток",IF(G1315=0,"Без прибыли","Прибыль &gt; 0")),"Не оценён")</x:f>
        <x:v>Не оценён</x:v>
      </x:c>
      <x:c r="AE1315" s="13" t="str">
        <x:f>IF(J1315="Рассчитано","Выручка "&amp;TEXT(V1315,"0.00")&amp;" - себестоимость "&amp;TEXT(W1315,"0.00")&amp;" - комиссия "&amp;TEXT(V1315*R1315/100,"0.00")&amp;" - доставка "&amp;TEXT(P1315,"0.00")&amp;" - прочие "&amp;TEXT(Q1315,"0.00")&amp;" = "&amp;TEXT(G1315,"0.00")&amp;" "&amp;L1315,"Введите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5" s="24" t="n">
        <x:v>15.979178787730332</x:v>
      </x:c>
      <x:c r="AG1315" s="37" t="n">
        <x:v>37</x:v>
      </x:c>
      <x:c r="AH1315" s="37" t="n">
        <x:v>0</x:v>
      </x:c>
      <x:c r="AI1315" s="30" t="n">
        <x:v>46287</x:v>
      </x:c>
      <x:c r="AJ1315" s="37" t="n">
        <x:v>5</x:v>
      </x:c>
      <x:c r="AK1315" s="10" t="str">
        <x:v>кратность</x:v>
      </x:c>
      <x:c r="AL1315" s="32" t="n">
        <x:v>197.4300463154313</x:v>
      </x:c>
      <x:c r="AM1315" s="13" t="str">
        <x:v>Нет ежедневных данных доступности. Запас более 180 дней при среднем спросе</x:v>
      </x:c>
      <x:c r="AN1315" s="13" t="str">
        <x:v>Проверить свободный остаток и установить цену для B2B</x:v>
      </x:c>
      <x:c r="AO1315" s="13" t="str">
        <x:v>Остаток 37; прогноз 90 дней 15.98; избыток 21 шт. Будущие поступления не выставляются на продажу.</x:v>
      </x:c>
      <x:c r="AP1315" s="13" t="str">
        <x:v>["daily_stockout_data_missing", "negative_net_sales_clipped_for_forecast", "new_order_lead_time_unknown"]</x:v>
      </x:c>
      <x:c r="AQ1315" s="10" t="str">
        <x:v>SE:300200434_</x:v>
      </x:c>
      <x:c r="AR1315" s="24" t="n">
        <x:v>1</x:v>
      </x:c>
      <x:c r="AS1315" s="24" t="n">
        <x:v>0</x:v>
      </x:c>
      <x:c r="AT1315" s="24" t="n">
        <x:v>0</x:v>
      </x:c>
    </x:row>
    <x:row r="1316" ht="64" customHeight="1">
      <x:c r="A1316" s="11" t="str">
        <x:v>Systeme Electric</x:v>
      </x:c>
      <x:c r="B1316" s="33" t="str">
        <x:v>300200435_</x:v>
      </x:c>
      <x:c r="C1316" s="33" t="str">
        <x:v>ATN000301</x:v>
      </x:c>
      <x:c r="D1316" s="12" t="str">
        <x:v>А405 Рамка 1-ная "ATLAS" алюминий ATN301 (20)</x:v>
      </x:c>
      <x:c r="E1316" s="11" t="str">
        <x:v>шт</x:v>
      </x:c>
      <x:c r="F1316" s="35" t="n">
        <x:f>MAX(0,ROUNDDOWN((AG1316-AF1316)/AR1316+0.000000001,0)*AR1316)</x:f>
        <x:v>338</x:v>
      </x:c>
      <x:c r="G1316" s="20" t="str">
        <x:f>IF(J1316="Рассчитано",V1316*(1-R1316/100)-W1316-P1316-Q1316,"н/д")</x:f>
        <x:v>н/д</x:v>
      </x:c>
      <x:c r="H1316" s="12" t="str">
        <x:v>Средний</x:v>
      </x:c>
      <x:c r="I1316" s="12" t="str">
        <x:v>Средний</x:v>
      </x:c>
      <x:c r="J1316" s="12" t="str">
        <x:f>IF(L1316="","Укажите валюту",IF(NOT(ISNUMBER(K1316)),"Укажите объём",IF(K1316&lt;=0,"Укажите объём",IF(K1316&gt;F1316,"Объём выше излишка",IF(COUNT(M1316:O1316)&lt;3,"Нужны цены",IF(COUNT(P1316:R1316)&lt;3,"Нужны расходы",IF(OR(M1316&lt;0,N1316&lt;0,O1316&lt;0,O1316&gt;100,P1316&lt;0,Q1316&lt;0,R1316&lt;0,R1316&gt;100),"Проверьте значения","Рассчитано")))))))</x:f>
        <x:v>Нужны цены</x:v>
      </x:c>
      <x:c r="K1316" s="36" t="n">
        <x:v>338</x:v>
      </x:c>
      <x:c r="L1316" s="19" t="str">
        <x:v>KZT</x:v>
      </x:c>
      <x:c r="M1316" s="22"/>
      <x:c r="N1316" s="22"/>
      <x:c r="O1316" s="28"/>
      <x:c r="P1316" s="22"/>
      <x:c r="Q1316" s="22"/>
      <x:c r="R1316" s="28"/>
      <x:c r="S1316" s="22"/>
      <x:c r="T1316" s="35" t="n">
        <x:f>K1316</x:f>
        <x:v>338</x:v>
      </x:c>
      <x:c r="U1316" s="20" t="str">
        <x:f>IF(J1316="Рассчитано",N1316*(1-O1316/100),"н/д")</x:f>
        <x:v>н/д</x:v>
      </x:c>
      <x:c r="V1316" s="20" t="str">
        <x:f>IF(J1316="Рассчитано",T1316*U1316,"н/д")</x:f>
        <x:v>н/д</x:v>
      </x:c>
      <x:c r="W1316" s="20" t="str">
        <x:f>IF(J1316="Рассчитано",T1316*M1316,"н/д")</x:f>
        <x:v>н/д</x:v>
      </x:c>
      <x:c r="X1316" s="20" t="str">
        <x:f>IF(J1316="Рассчитано",V1316-W1316,"н/д")</x:f>
        <x:v>н/д</x:v>
      </x:c>
      <x:c r="Y1316" s="26" t="str">
        <x:f>IF(J1316="Рассчитано",IF(V1316&gt;0,G1316/V1316,"н/д"),"н/д")</x:f>
        <x:v>н/д</x:v>
      </x:c>
      <x:c r="Z1316" s="20" t="str">
        <x:f>"н/д"</x:f>
        <x:v>н/д</x:v>
      </x:c>
      <x:c r="AA1316" s="20" t="str">
        <x:f>"н/д"</x:f>
        <x:v>н/д</x:v>
      </x:c>
      <x:c r="AB1316" s="20" t="str">
        <x:f>"н/д"</x:f>
        <x:v>н/д</x:v>
      </x:c>
      <x:c r="AC1316" s="20" t="str">
        <x:f>IF(AND(J1316="Рассчитано",T1316&gt;0,R1316&lt;100),(W1316+P1316+Q1316)/(T1316*(1-R1316/100)),"н/д")</x:f>
        <x:v>н/д</x:v>
      </x:c>
      <x:c r="AD1316" s="11" t="str">
        <x:f>IF(ISNUMBER(G1316),IF(G1316&lt;0,"Убыток",IF(G1316=0,"Без прибыли","Прибыль &gt; 0")),"Не оценён")</x:f>
        <x:v>Не оценён</x:v>
      </x:c>
      <x:c r="AE1316" s="12" t="str">
        <x:f>IF(J1316="Рассчитано","Выручка "&amp;TEXT(V1316,"0.00")&amp;" - себестоимость "&amp;TEXT(W1316,"0.00")&amp;" - комиссия "&amp;TEXT(V1316*R1316/100,"0.00")&amp;" - доставка "&amp;TEXT(P1316,"0.00")&amp;" - прочие "&amp;TEXT(Q1316,"0.00")&amp;" = "&amp;TEXT(G1316,"0.00")&amp;" "&amp;L1316,"Введите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6" s="23" t="n">
        <x:v>313.5824760892553</x:v>
      </x:c>
      <x:c r="AG1316" s="35" t="n">
        <x:v>652</x:v>
      </x:c>
      <x:c r="AH1316" s="35" t="n">
        <x:v>0</x:v>
      </x:c>
      <x:c r="AI1316" s="29" t="n">
        <x:v>46287</x:v>
      </x:c>
      <x:c r="AJ1316" s="35" t="n">
        <x:v>20</x:v>
      </x:c>
      <x:c r="AK1316" s="11" t="str">
        <x:v>кратность</x:v>
      </x:c>
      <x:c r="AL1316" s="31" t="n">
        <x:v>177.28083558767855</x:v>
      </x:c>
      <x:c r="AM1316" s="12" t="str">
        <x:v>Детальные и месячные продажи расходятся; Нет ежедневных данных доступности. Запас выше прогноза на 90 дней</x:v>
      </x:c>
      <x:c r="AN1316" s="12" t="str">
        <x:v>Проверить свободный остаток и установить цену для B2B</x:v>
      </x:c>
      <x:c r="AO1316" s="12" t="str">
        <x:v>Остаток 652; прогноз 90 дней 313.58; избыток 338 шт. Будущие поступления не выставляются на продажу.</x:v>
      </x:c>
      <x:c r="AP1316" s="12" t="str">
        <x:v>["daily_stockout_data_missing", "large_orders_detected", "new_order_lead_time_unknown", "transaction_month_mismatch"]</x:v>
      </x:c>
      <x:c r="AQ1316" s="11" t="str">
        <x:v>SE:300200435_</x:v>
      </x:c>
      <x:c r="AR1316" s="23" t="n">
        <x:v>1</x:v>
      </x:c>
      <x:c r="AS1316" s="23" t="n">
        <x:v>0</x:v>
      </x:c>
      <x:c r="AT1316" s="23" t="n">
        <x:v>0</x:v>
      </x:c>
    </x:row>
    <x:row r="1317" ht="64" customHeight="1">
      <x:c r="A1317" s="10" t="str">
        <x:v>Systeme Electric</x:v>
      </x:c>
      <x:c r="B1317" s="34" t="str">
        <x:v>300200436_</x:v>
      </x:c>
      <x:c r="C1317" s="34" t="str">
        <x:v>ATN000320</x:v>
      </x:c>
      <x:c r="D1317" s="13" t="str">
        <x:v>А394 Роз. 2-ная с/у 16А "ATLAS" алюминий ATN320 (6)</x:v>
      </x:c>
      <x:c r="E1317" s="10" t="str">
        <x:v>шт</x:v>
      </x:c>
      <x:c r="F1317" s="37" t="n">
        <x:f>MAX(0,ROUNDDOWN((AG1317-AF1317)/AR1317+0.000000001,0)*AR1317)</x:f>
        <x:v>106</x:v>
      </x:c>
      <x:c r="G1317" s="21" t="str">
        <x:f>IF(J1317="Рассчитано",V1317*(1-R1317/100)-W1317-P1317-Q1317,"н/д")</x:f>
        <x:v>н/д</x:v>
      </x:c>
      <x:c r="H1317" s="13" t="str">
        <x:v>Средний</x:v>
      </x:c>
      <x:c r="I1317" s="13" t="str">
        <x:v>Высокий</x:v>
      </x:c>
      <x:c r="J1317" s="13" t="str">
        <x:f>IF(L1317="","Укажите валюту",IF(NOT(ISNUMBER(K1317)),"Укажите объём",IF(K1317&lt;=0,"Укажите объём",IF(K1317&gt;F1317,"Объём выше излишка",IF(COUNT(M1317:O1317)&lt;3,"Нужны цены",IF(COUNT(P1317:R1317)&lt;3,"Нужны расходы",IF(OR(M1317&lt;0,N1317&lt;0,O1317&lt;0,O1317&gt;100,P1317&lt;0,Q1317&lt;0,R1317&lt;0,R1317&gt;100),"Проверьте значения","Рассчитано")))))))</x:f>
        <x:v>Нужны цены</x:v>
      </x:c>
      <x:c r="K1317" s="36" t="n">
        <x:v>106</x:v>
      </x:c>
      <x:c r="L1317" s="19" t="str">
        <x:v>KZT</x:v>
      </x:c>
      <x:c r="M1317" s="22"/>
      <x:c r="N1317" s="22"/>
      <x:c r="O1317" s="28"/>
      <x:c r="P1317" s="22"/>
      <x:c r="Q1317" s="22"/>
      <x:c r="R1317" s="28"/>
      <x:c r="S1317" s="22"/>
      <x:c r="T1317" s="37" t="n">
        <x:f>K1317</x:f>
        <x:v>106</x:v>
      </x:c>
      <x:c r="U1317" s="21" t="str">
        <x:f>IF(J1317="Рассчитано",N1317*(1-O1317/100),"н/д")</x:f>
        <x:v>н/д</x:v>
      </x:c>
      <x:c r="V1317" s="21" t="str">
        <x:f>IF(J1317="Рассчитано",T1317*U1317,"н/д")</x:f>
        <x:v>н/д</x:v>
      </x:c>
      <x:c r="W1317" s="21" t="str">
        <x:f>IF(J1317="Рассчитано",T1317*M1317,"н/д")</x:f>
        <x:v>н/д</x:v>
      </x:c>
      <x:c r="X1317" s="21" t="str">
        <x:f>IF(J1317="Рассчитано",V1317-W1317,"н/д")</x:f>
        <x:v>н/д</x:v>
      </x:c>
      <x:c r="Y1317" s="27" t="str">
        <x:f>IF(J1317="Рассчитано",IF(V1317&gt;0,G1317/V1317,"н/д"),"н/д")</x:f>
        <x:v>н/д</x:v>
      </x:c>
      <x:c r="Z1317" s="21" t="str">
        <x:f>"н/д"</x:f>
        <x:v>н/д</x:v>
      </x:c>
      <x:c r="AA1317" s="21" t="str">
        <x:f>"н/д"</x:f>
        <x:v>н/д</x:v>
      </x:c>
      <x:c r="AB1317" s="21" t="str">
        <x:f>"н/д"</x:f>
        <x:v>н/д</x:v>
      </x:c>
      <x:c r="AC1317" s="21" t="str">
        <x:f>IF(AND(J1317="Рассчитано",T1317&gt;0,R1317&lt;100),(W1317+P1317+Q1317)/(T1317*(1-R1317/100)),"н/д")</x:f>
        <x:v>н/д</x:v>
      </x:c>
      <x:c r="AD1317" s="10" t="str">
        <x:f>IF(ISNUMBER(G1317),IF(G1317&lt;0,"Убыток",IF(G1317=0,"Без прибыли","Прибыль &gt; 0")),"Не оценён")</x:f>
        <x:v>Не оценён</x:v>
      </x:c>
      <x:c r="AE1317" s="13" t="str">
        <x:f>IF(J1317="Рассчитано","Выручка "&amp;TEXT(V1317,"0.00")&amp;" - себестоимость "&amp;TEXT(W1317,"0.00")&amp;" - комиссия "&amp;TEXT(V1317*R1317/100,"0.00")&amp;" - доставка "&amp;TEXT(P1317,"0.00")&amp;" - прочие "&amp;TEXT(Q1317,"0.00")&amp;" = "&amp;TEXT(G1317,"0.00")&amp;" "&amp;L1317,"Введите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7" s="24" t="n">
        <x:v>69.7418183105695</x:v>
      </x:c>
      <x:c r="AG1317" s="37" t="n">
        <x:v>176</x:v>
      </x:c>
      <x:c r="AH1317" s="37" t="n">
        <x:v>0</x:v>
      </x:c>
      <x:c r="AI1317" s="30" t="n">
        <x:v>46287</x:v>
      </x:c>
      <x:c r="AJ1317" s="37" t="n">
        <x:v>6</x:v>
      </x:c>
      <x:c r="AK1317" s="10" t="str">
        <x:v>кратность</x:v>
      </x:c>
      <x:c r="AL1317" s="32" t="n">
        <x:v>215.17181392414346</x:v>
      </x:c>
      <x:c r="AM1317" s="13" t="str">
        <x:v>Детальные и месячные продажи расходятся; Нет ежедневных данных доступности. Запас более 180 дней при среднем спросе</x:v>
      </x:c>
      <x:c r="AN1317" s="13" t="str">
        <x:v>Проверить свободный остаток и установить цену для B2B</x:v>
      </x:c>
      <x:c r="AO1317" s="13" t="str">
        <x:v>Остаток 176; прогноз 90 дней 69.74; избыток 106 шт. Будущие поступления не выставляются на продажу.</x:v>
      </x:c>
      <x:c r="AP1317" s="13" t="str">
        <x:v>["daily_stockout_data_missing", "large_orders_detected", "new_order_lead_time_unknown", "transaction_month_mismatch"]</x:v>
      </x:c>
      <x:c r="AQ1317" s="10" t="str">
        <x:v>SE:300200436_</x:v>
      </x:c>
      <x:c r="AR1317" s="24" t="n">
        <x:v>1</x:v>
      </x:c>
      <x:c r="AS1317" s="24" t="n">
        <x:v>0</x:v>
      </x:c>
      <x:c r="AT1317" s="24" t="n">
        <x:v>0</x:v>
      </x:c>
    </x:row>
    <x:row r="1318" ht="64" customHeight="1">
      <x:c r="A1318" s="11" t="str">
        <x:v>Systeme Electric</x:v>
      </x:c>
      <x:c r="B1318" s="33" t="str">
        <x:v>300200437_</x:v>
      </x:c>
      <x:c r="C1318" s="33" t="str">
        <x:v>ATN000302</x:v>
      </x:c>
      <x:c r="D1318" s="12" t="str">
        <x:v>А406 Рамка 2-ная "ATLAS" алюминий ATN302 (10)</x:v>
      </x:c>
      <x:c r="E1318" s="11" t="str">
        <x:v>шт</x:v>
      </x:c>
      <x:c r="F1318" s="35" t="n">
        <x:f>MAX(0,ROUNDDOWN((AG1318-AF1318)/AR1318+0.000000001,0)*AR1318)</x:f>
        <x:v>48</x:v>
      </x:c>
      <x:c r="G1318" s="20" t="str">
        <x:f>IF(J1318="Рассчитано",V1318*(1-R1318/100)-W1318-P1318-Q1318,"н/д")</x:f>
        <x:v>н/д</x:v>
      </x:c>
      <x:c r="H1318" s="12" t="str">
        <x:v>Средний</x:v>
      </x:c>
      <x:c r="I1318" s="12" t="str">
        <x:v>Средний</x:v>
      </x:c>
      <x:c r="J1318" s="12" t="str">
        <x:f>IF(L1318="","Укажите валюту",IF(NOT(ISNUMBER(K1318)),"Укажите объём",IF(K1318&lt;=0,"Укажите объём",IF(K1318&gt;F1318,"Объём выше излишка",IF(COUNT(M1318:O1318)&lt;3,"Нужны цены",IF(COUNT(P1318:R1318)&lt;3,"Нужны расходы",IF(OR(M1318&lt;0,N1318&lt;0,O1318&lt;0,O1318&gt;100,P1318&lt;0,Q1318&lt;0,R1318&lt;0,R1318&gt;100),"Проверьте значения","Рассчитано")))))))</x:f>
        <x:v>Нужны цены</x:v>
      </x:c>
      <x:c r="K1318" s="36" t="n">
        <x:v>48</x:v>
      </x:c>
      <x:c r="L1318" s="19" t="str">
        <x:v>KZT</x:v>
      </x:c>
      <x:c r="M1318" s="22"/>
      <x:c r="N1318" s="22"/>
      <x:c r="O1318" s="28"/>
      <x:c r="P1318" s="22"/>
      <x:c r="Q1318" s="22"/>
      <x:c r="R1318" s="28"/>
      <x:c r="S1318" s="22"/>
      <x:c r="T1318" s="35" t="n">
        <x:f>K1318</x:f>
        <x:v>48</x:v>
      </x:c>
      <x:c r="U1318" s="20" t="str">
        <x:f>IF(J1318="Рассчитано",N1318*(1-O1318/100),"н/д")</x:f>
        <x:v>н/д</x:v>
      </x:c>
      <x:c r="V1318" s="20" t="str">
        <x:f>IF(J1318="Рассчитано",T1318*U1318,"н/д")</x:f>
        <x:v>н/д</x:v>
      </x:c>
      <x:c r="W1318" s="20" t="str">
        <x:f>IF(J1318="Рассчитано",T1318*M1318,"н/д")</x:f>
        <x:v>н/д</x:v>
      </x:c>
      <x:c r="X1318" s="20" t="str">
        <x:f>IF(J1318="Рассчитано",V1318-W1318,"н/д")</x:f>
        <x:v>н/д</x:v>
      </x:c>
      <x:c r="Y1318" s="26" t="str">
        <x:f>IF(J1318="Рассчитано",IF(V1318&gt;0,G1318/V1318,"н/д"),"н/д")</x:f>
        <x:v>н/д</x:v>
      </x:c>
      <x:c r="Z1318" s="20" t="str">
        <x:f>"н/д"</x:f>
        <x:v>н/д</x:v>
      </x:c>
      <x:c r="AA1318" s="20" t="str">
        <x:f>"н/д"</x:f>
        <x:v>н/д</x:v>
      </x:c>
      <x:c r="AB1318" s="20" t="str">
        <x:f>"н/д"</x:f>
        <x:v>н/д</x:v>
      </x:c>
      <x:c r="AC1318" s="20" t="str">
        <x:f>IF(AND(J1318="Рассчитано",T1318&gt;0,R1318&lt;100),(W1318+P1318+Q1318)/(T1318*(1-R1318/100)),"н/д")</x:f>
        <x:v>н/д</x:v>
      </x:c>
      <x:c r="AD1318" s="11" t="str">
        <x:f>IF(ISNUMBER(G1318),IF(G1318&lt;0,"Убыток",IF(G1318=0,"Без прибыли","Прибыль &gt; 0")),"Не оценён")</x:f>
        <x:v>Не оценён</x:v>
      </x:c>
      <x:c r="AE1318" s="12" t="str">
        <x:f>IF(J1318="Рассчитано","Выручка "&amp;TEXT(V1318,"0.00")&amp;" - себестоимость "&amp;TEXT(W1318,"0.00")&amp;" - комиссия "&amp;TEXT(V1318*R1318/100,"0.00")&amp;" - доставка "&amp;TEXT(P1318,"0.00")&amp;" - прочие "&amp;TEXT(Q1318,"0.00")&amp;" = "&amp;TEXT(G1318,"0.00")&amp;" "&amp;L1318,"Введите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8" s="23" t="n">
        <x:v>106.52741938702239</x:v>
      </x:c>
      <x:c r="AG1318" s="35" t="n">
        <x:v>155</x:v>
      </x:c>
      <x:c r="AH1318" s="35" t="n">
        <x:v>0</x:v>
      </x:c>
      <x:c r="AI1318" s="29" t="n">
        <x:v>46287</x:v>
      </x:c>
      <x:c r="AJ1318" s="35" t="n">
        <x:v>10</x:v>
      </x:c>
      <x:c r="AK1318" s="11" t="str">
        <x:v>кратность</x:v>
      </x:c>
      <x:c r="AL1318" s="31" t="n">
        <x:v>124.06128383229948</x:v>
      </x:c>
      <x:c r="AM1318" s="12" t="str">
        <x:v>Детальные и месячные продажи расходятся; Нет ежедневных данных доступности. Запас выше прогноза на 90 дней</x:v>
      </x:c>
      <x:c r="AN1318" s="12" t="str">
        <x:v>Проверить свободный остаток и установить цену для B2B</x:v>
      </x:c>
      <x:c r="AO1318" s="12" t="str">
        <x:v>Остаток 155; прогноз 90 дней 106.53; избыток 48 шт. Будущие поступления не выставляются на продажу.</x:v>
      </x:c>
      <x:c r="AP1318" s="12" t="str">
        <x:v>["daily_stockout_data_missing", "large_orders_detected", "new_order_lead_time_unknown", "transaction_month_mismatch"]</x:v>
      </x:c>
      <x:c r="AQ1318" s="11" t="str">
        <x:v>SE:300200437_</x:v>
      </x:c>
      <x:c r="AR1318" s="23" t="n">
        <x:v>1</x:v>
      </x:c>
      <x:c r="AS1318" s="23" t="n">
        <x:v>0</x:v>
      </x:c>
      <x:c r="AT1318" s="23" t="n">
        <x:v>0</x:v>
      </x:c>
    </x:row>
    <x:row r="1319" ht="64" customHeight="1">
      <x:c r="A1319" s="10" t="str">
        <x:v>Systeme Electric</x:v>
      </x:c>
      <x:c r="B1319" s="34" t="str">
        <x:v>300200438_</x:v>
      </x:c>
      <x:c r="C1319" s="34" t="str">
        <x:v>ATN000303</x:v>
      </x:c>
      <x:c r="D1319" s="13" t="str">
        <x:v>А407 Рамка 3-ная "ATLAS" алюминий ATN303 (15)</x:v>
      </x:c>
      <x:c r="E1319" s="10" t="str">
        <x:v>шт</x:v>
      </x:c>
      <x:c r="F1319" s="37" t="n">
        <x:f>MAX(0,ROUNDDOWN((AG1319-AF1319)/AR1319+0.000000001,0)*AR1319)</x:f>
        <x:v>62</x:v>
      </x:c>
      <x:c r="G1319" s="21" t="str">
        <x:f>IF(J1319="Рассчитано",V1319*(1-R1319/100)-W1319-P1319-Q1319,"н/д")</x:f>
        <x:v>н/д</x:v>
      </x:c>
      <x:c r="H1319" s="13" t="str">
        <x:v>Средний</x:v>
      </x:c>
      <x:c r="I1319" s="13" t="str">
        <x:v>Средний</x:v>
      </x:c>
      <x:c r="J1319" s="13" t="str">
        <x:f>IF(L1319="","Укажите валюту",IF(NOT(ISNUMBER(K1319)),"Укажите объём",IF(K1319&lt;=0,"Укажите объём",IF(K1319&gt;F1319,"Объём выше излишка",IF(COUNT(M1319:O1319)&lt;3,"Нужны цены",IF(COUNT(P1319:R1319)&lt;3,"Нужны расходы",IF(OR(M1319&lt;0,N1319&lt;0,O1319&lt;0,O1319&gt;100,P1319&lt;0,Q1319&lt;0,R1319&lt;0,R1319&gt;100),"Проверьте значения","Рассчитано")))))))</x:f>
        <x:v>Нужны цены</x:v>
      </x:c>
      <x:c r="K1319" s="36" t="n">
        <x:v>62</x:v>
      </x:c>
      <x:c r="L1319" s="19" t="str">
        <x:v>KZT</x:v>
      </x:c>
      <x:c r="M1319" s="22"/>
      <x:c r="N1319" s="22"/>
      <x:c r="O1319" s="28"/>
      <x:c r="P1319" s="22"/>
      <x:c r="Q1319" s="22"/>
      <x:c r="R1319" s="28"/>
      <x:c r="S1319" s="22"/>
      <x:c r="T1319" s="37" t="n">
        <x:f>K1319</x:f>
        <x:v>62</x:v>
      </x:c>
      <x:c r="U1319" s="21" t="str">
        <x:f>IF(J1319="Рассчитано",N1319*(1-O1319/100),"н/д")</x:f>
        <x:v>н/д</x:v>
      </x:c>
      <x:c r="V1319" s="21" t="str">
        <x:f>IF(J1319="Рассчитано",T1319*U1319,"н/д")</x:f>
        <x:v>н/д</x:v>
      </x:c>
      <x:c r="W1319" s="21" t="str">
        <x:f>IF(J1319="Рассчитано",T1319*M1319,"н/д")</x:f>
        <x:v>н/д</x:v>
      </x:c>
      <x:c r="X1319" s="21" t="str">
        <x:f>IF(J1319="Рассчитано",V1319-W1319,"н/д")</x:f>
        <x:v>н/д</x:v>
      </x:c>
      <x:c r="Y1319" s="27" t="str">
        <x:f>IF(J1319="Рассчитано",IF(V1319&gt;0,G1319/V1319,"н/д"),"н/д")</x:f>
        <x:v>н/д</x:v>
      </x:c>
      <x:c r="Z1319" s="21" t="str">
        <x:f>"н/д"</x:f>
        <x:v>н/д</x:v>
      </x:c>
      <x:c r="AA1319" s="21" t="str">
        <x:f>"н/д"</x:f>
        <x:v>н/д</x:v>
      </x:c>
      <x:c r="AB1319" s="21" t="str">
        <x:f>"н/д"</x:f>
        <x:v>н/д</x:v>
      </x:c>
      <x:c r="AC1319" s="21" t="str">
        <x:f>IF(AND(J1319="Рассчитано",T1319&gt;0,R1319&lt;100),(W1319+P1319+Q1319)/(T1319*(1-R1319/100)),"н/д")</x:f>
        <x:v>н/д</x:v>
      </x:c>
      <x:c r="AD1319" s="10" t="str">
        <x:f>IF(ISNUMBER(G1319),IF(G1319&lt;0,"Убыток",IF(G1319=0,"Без прибыли","Прибыль &gt; 0")),"Не оценён")</x:f>
        <x:v>Не оценён</x:v>
      </x:c>
      <x:c r="AE1319" s="13" t="str">
        <x:f>IF(J1319="Рассчитано","Выручка "&amp;TEXT(V1319,"0.00")&amp;" - себестоимость "&amp;TEXT(W1319,"0.00")&amp;" - комиссия "&amp;TEXT(V1319*R1319/100,"0.00")&amp;" - доставка "&amp;TEXT(P1319,"0.00")&amp;" - прочие "&amp;TEXT(Q1319,"0.00")&amp;" = "&amp;TEXT(G1319,"0.00")&amp;" "&amp;L1319,"Введите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9" s="24" t="n">
        <x:v>60.83160752204847</x:v>
      </x:c>
      <x:c r="AG1319" s="37" t="n">
        <x:v>123</x:v>
      </x:c>
      <x:c r="AH1319" s="37" t="n">
        <x:v>0</x:v>
      </x:c>
      <x:c r="AI1319" s="30" t="n">
        <x:v>46287</x:v>
      </x:c>
      <x:c r="AJ1319" s="37" t="n">
        <x:v>5</x:v>
      </x:c>
      <x:c r="AK1319" s="10" t="str">
        <x:v>кратность</x:v>
      </x:c>
      <x:c r="AL1319" s="32" t="n">
        <x:v>172.40180069088697</x:v>
      </x:c>
      <x:c r="AM1319" s="13" t="str">
        <x:v>Детальные и месячные продажи расходятся; Нет ежедневных данных доступности. Запас выше прогноза на 90 дней</x:v>
      </x:c>
      <x:c r="AN1319" s="13" t="str">
        <x:v>Проверить свободный остаток и установить цену для B2B</x:v>
      </x:c>
      <x:c r="AO1319" s="13" t="str">
        <x:v>Остаток 123; прогноз 90 дней 60.83; избыток 62 шт. Будущие поступления не выставляются на продажу.</x:v>
      </x:c>
      <x:c r="AP1319" s="13" t="str">
        <x:v>["daily_stockout_data_missing", "large_orders_detected", "new_order_lead_time_unknown", "transaction_month_mismatch"]</x:v>
      </x:c>
      <x:c r="AQ1319" s="10" t="str">
        <x:v>SE:300200438_</x:v>
      </x:c>
      <x:c r="AR1319" s="24" t="n">
        <x:v>1</x:v>
      </x:c>
      <x:c r="AS1319" s="24" t="n">
        <x:v>0</x:v>
      </x:c>
      <x:c r="AT1319" s="24" t="n">
        <x:v>0</x:v>
      </x:c>
    </x:row>
    <x:row r="1320" ht="64" customHeight="1">
      <x:c r="A1320" s="11" t="str">
        <x:v>Systeme Electric</x:v>
      </x:c>
      <x:c r="B1320" s="33" t="str">
        <x:v>300200439_</x:v>
      </x:c>
      <x:c r="C1320" s="33" t="str">
        <x:v>ATN000361</x:v>
      </x:c>
      <x:c r="D1320" s="12" t="str">
        <x:v>А391 Переключ. 1 кл 10А с/у б/рамки "ATLAS" алюминий ATN361 (10)</x:v>
      </x:c>
      <x:c r="E1320" s="11" t="str">
        <x:v>шт</x:v>
      </x:c>
      <x:c r="F1320" s="35" t="n">
        <x:f>MAX(0,ROUNDDOWN((AG1320-AF1320)/AR1320+0.000000001,0)*AR1320)</x:f>
        <x:v>21</x:v>
      </x:c>
      <x:c r="G1320" s="20" t="str">
        <x:f>IF(J1320="Рассчитано",V1320*(1-R1320/100)-W1320-P1320-Q1320,"н/д")</x:f>
        <x:v>н/д</x:v>
      </x:c>
      <x:c r="H1320" s="12" t="str">
        <x:v>Средний</x:v>
      </x:c>
      <x:c r="I1320" s="12" t="str">
        <x:v>Высокий</x:v>
      </x:c>
      <x:c r="J1320" s="12" t="str">
        <x:f>IF(L1320="","Укажите валюту",IF(NOT(ISNUMBER(K1320)),"Укажите объём",IF(K1320&lt;=0,"Укажите объём",IF(K1320&gt;F1320,"Объём выше излишка",IF(COUNT(M1320:O1320)&lt;3,"Нужны цены",IF(COUNT(P1320:R1320)&lt;3,"Нужны расходы",IF(OR(M1320&lt;0,N1320&lt;0,O1320&lt;0,O1320&gt;100,P1320&lt;0,Q1320&lt;0,R1320&lt;0,R1320&gt;100),"Проверьте значения","Рассчитано")))))))</x:f>
        <x:v>Нужны цены</x:v>
      </x:c>
      <x:c r="K1320" s="36" t="n">
        <x:v>21</x:v>
      </x:c>
      <x:c r="L1320" s="19" t="str">
        <x:v>KZT</x:v>
      </x:c>
      <x:c r="M1320" s="22"/>
      <x:c r="N1320" s="22"/>
      <x:c r="O1320" s="28"/>
      <x:c r="P1320" s="22"/>
      <x:c r="Q1320" s="22"/>
      <x:c r="R1320" s="28"/>
      <x:c r="S1320" s="22"/>
      <x:c r="T1320" s="35" t="n">
        <x:f>K1320</x:f>
        <x:v>21</x:v>
      </x:c>
      <x:c r="U1320" s="20" t="str">
        <x:f>IF(J1320="Рассчитано",N1320*(1-O1320/100),"н/д")</x:f>
        <x:v>н/д</x:v>
      </x:c>
      <x:c r="V1320" s="20" t="str">
        <x:f>IF(J1320="Рассчитано",T1320*U1320,"н/д")</x:f>
        <x:v>н/д</x:v>
      </x:c>
      <x:c r="W1320" s="20" t="str">
        <x:f>IF(J1320="Рассчитано",T1320*M1320,"н/д")</x:f>
        <x:v>н/д</x:v>
      </x:c>
      <x:c r="X1320" s="20" t="str">
        <x:f>IF(J1320="Рассчитано",V1320-W1320,"н/д")</x:f>
        <x:v>н/д</x:v>
      </x:c>
      <x:c r="Y1320" s="26" t="str">
        <x:f>IF(J1320="Рассчитано",IF(V1320&gt;0,G1320/V1320,"н/д"),"н/д")</x:f>
        <x:v>н/д</x:v>
      </x:c>
      <x:c r="Z1320" s="20" t="str">
        <x:f>"н/д"</x:f>
        <x:v>н/д</x:v>
      </x:c>
      <x:c r="AA1320" s="20" t="str">
        <x:f>"н/д"</x:f>
        <x:v>н/д</x:v>
      </x:c>
      <x:c r="AB1320" s="20" t="str">
        <x:f>"н/д"</x:f>
        <x:v>н/д</x:v>
      </x:c>
      <x:c r="AC1320" s="20" t="str">
        <x:f>IF(AND(J1320="Рассчитано",T1320&gt;0,R1320&lt;100),(W1320+P1320+Q1320)/(T1320*(1-R1320/100)),"н/д")</x:f>
        <x:v>н/д</x:v>
      </x:c>
      <x:c r="AD1320" s="11" t="str">
        <x:f>IF(ISNUMBER(G1320),IF(G1320&lt;0,"Убыток",IF(G1320=0,"Без прибыли","Прибыль &gt; 0")),"Не оценён")</x:f>
        <x:v>Не оценён</x:v>
      </x:c>
      <x:c r="AE1320" s="12" t="str">
        <x:f>IF(J1320="Рассчитано","Выручка "&amp;TEXT(V1320,"0.00")&amp;" - себестоимость "&amp;TEXT(W1320,"0.00")&amp;" - комиссия "&amp;TEXT(V1320*R1320/100,"0.00")&amp;" - доставка "&amp;TEXT(P1320,"0.00")&amp;" - прочие "&amp;TEXT(Q1320,"0.00")&amp;" = "&amp;TEXT(G1320,"0.00")&amp;" "&amp;L1320,"Введите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0" s="23" t="n">
        <x:v>18.617651331886904</x:v>
      </x:c>
      <x:c r="AG1320" s="35" t="n">
        <x:v>40</x:v>
      </x:c>
      <x:c r="AH1320" s="35" t="n">
        <x:v>0</x:v>
      </x:c>
      <x:c r="AI1320" s="29" t="n">
        <x:v>46287</x:v>
      </x:c>
      <x:c r="AJ1320" s="35" t="n">
        <x:v>10</x:v>
      </x:c>
      <x:c r="AK1320" s="11" t="str">
        <x:v>кратность</x:v>
      </x:c>
      <x:c r="AL1320" s="31" t="n">
        <x:v>183.18971121375014</x:v>
      </x:c>
      <x:c r="AM1320" s="12" t="str">
        <x:v>Нет ежедневных данных доступности. Запас более 180 дней при среднем спросе</x:v>
      </x:c>
      <x:c r="AN1320" s="12" t="str">
        <x:v>Проверить свободный остаток и установить цену для B2B</x:v>
      </x:c>
      <x:c r="AO1320" s="12" t="str">
        <x:v>Остаток 40; прогноз 90 дней 18.62; избыток 21 шт. Будущие поступления не выставляются на продажу.</x:v>
      </x:c>
      <x:c r="AP1320" s="12" t="str">
        <x:v>["daily_stockout_data_missing", "negative_net_sales_clipped_for_forecast", "new_order_lead_time_unknown"]</x:v>
      </x:c>
      <x:c r="AQ1320" s="11" t="str">
        <x:v>SE:300200439_</x:v>
      </x:c>
      <x:c r="AR1320" s="23" t="n">
        <x:v>1</x:v>
      </x:c>
      <x:c r="AS1320" s="23" t="n">
        <x:v>0</x:v>
      </x:c>
      <x:c r="AT1320" s="23" t="n">
        <x:v>0</x:v>
      </x:c>
    </x:row>
    <x:row r="1321" ht="64" customHeight="1">
      <x:c r="A1321" s="10" t="str">
        <x:v>Systeme Electric</x:v>
      </x:c>
      <x:c r="B1321" s="34" t="str">
        <x:v>300200440_</x:v>
      </x:c>
      <x:c r="C1321" s="34" t="str">
        <x:v>ATN000304</x:v>
      </x:c>
      <x:c r="D1321" s="13" t="str">
        <x:v>А408 Рамка 4-ная "ATLAS" алюминий ATN304 (15)</x:v>
      </x:c>
      <x:c r="E1321" s="10" t="str">
        <x:v>шт</x:v>
      </x:c>
      <x:c r="F1321" s="37" t="n">
        <x:f>MAX(0,ROUNDDOWN((AG1321-AF1321)/AR1321+0.000000001,0)*AR1321)</x:f>
        <x:v>17</x:v>
      </x:c>
      <x:c r="G1321" s="21" t="str">
        <x:f>IF(J1321="Рассчитано",V1321*(1-R1321/100)-W1321-P1321-Q1321,"н/д")</x:f>
        <x:v>н/д</x:v>
      </x:c>
      <x:c r="H1321" s="13" t="str">
        <x:v>Средний</x:v>
      </x:c>
      <x:c r="I1321" s="13" t="str">
        <x:v>Средний</x:v>
      </x:c>
      <x:c r="J1321" s="13" t="str">
        <x:f>IF(L1321="","Укажите валюту",IF(NOT(ISNUMBER(K1321)),"Укажите объём",IF(K1321&lt;=0,"Укажите объём",IF(K1321&gt;F1321,"Объём выше излишка",IF(COUNT(M1321:O1321)&lt;3,"Нужны цены",IF(COUNT(P1321:R1321)&lt;3,"Нужны расходы",IF(OR(M1321&lt;0,N1321&lt;0,O1321&lt;0,O1321&gt;100,P1321&lt;0,Q1321&lt;0,R1321&lt;0,R1321&gt;100),"Проверьте значения","Рассчитано")))))))</x:f>
        <x:v>Нужны цены</x:v>
      </x:c>
      <x:c r="K1321" s="36" t="n">
        <x:v>17</x:v>
      </x:c>
      <x:c r="L1321" s="19" t="str">
        <x:v>KZT</x:v>
      </x:c>
      <x:c r="M1321" s="22"/>
      <x:c r="N1321" s="22"/>
      <x:c r="O1321" s="28"/>
      <x:c r="P1321" s="22"/>
      <x:c r="Q1321" s="22"/>
      <x:c r="R1321" s="28"/>
      <x:c r="S1321" s="22"/>
      <x:c r="T1321" s="37" t="n">
        <x:f>K1321</x:f>
        <x:v>17</x:v>
      </x:c>
      <x:c r="U1321" s="21" t="str">
        <x:f>IF(J1321="Рассчитано",N1321*(1-O1321/100),"н/д")</x:f>
        <x:v>н/д</x:v>
      </x:c>
      <x:c r="V1321" s="21" t="str">
        <x:f>IF(J1321="Рассчитано",T1321*U1321,"н/д")</x:f>
        <x:v>н/д</x:v>
      </x:c>
      <x:c r="W1321" s="21" t="str">
        <x:f>IF(J1321="Рассчитано",T1321*M1321,"н/д")</x:f>
        <x:v>н/д</x:v>
      </x:c>
      <x:c r="X1321" s="21" t="str">
        <x:f>IF(J1321="Рассчитано",V1321-W1321,"н/д")</x:f>
        <x:v>н/д</x:v>
      </x:c>
      <x:c r="Y1321" s="27" t="str">
        <x:f>IF(J1321="Рассчитано",IF(V1321&gt;0,G1321/V1321,"н/д"),"н/д")</x:f>
        <x:v>н/д</x:v>
      </x:c>
      <x:c r="Z1321" s="21" t="str">
        <x:f>"н/д"</x:f>
        <x:v>н/д</x:v>
      </x:c>
      <x:c r="AA1321" s="21" t="str">
        <x:f>"н/д"</x:f>
        <x:v>н/д</x:v>
      </x:c>
      <x:c r="AB1321" s="21" t="str">
        <x:f>"н/д"</x:f>
        <x:v>н/д</x:v>
      </x:c>
      <x:c r="AC1321" s="21" t="str">
        <x:f>IF(AND(J1321="Рассчитано",T1321&gt;0,R1321&lt;100),(W1321+P1321+Q1321)/(T1321*(1-R1321/100)),"н/д")</x:f>
        <x:v>н/д</x:v>
      </x:c>
      <x:c r="AD1321" s="10" t="str">
        <x:f>IF(ISNUMBER(G1321),IF(G1321&lt;0,"Убыток",IF(G1321=0,"Без прибыли","Прибыль &gt; 0")),"Не оценён")</x:f>
        <x:v>Не оценён</x:v>
      </x:c>
      <x:c r="AE1321" s="13" t="str">
        <x:f>IF(J1321="Рассчитано","Выручка "&amp;TEXT(V1321,"0.00")&amp;" - себестоимость "&amp;TEXT(W1321,"0.00")&amp;" - комиссия "&amp;TEXT(V1321*R1321/100,"0.00")&amp;" - доставка "&amp;TEXT(P1321,"0.00")&amp;" - прочие "&amp;TEXT(Q1321,"0.00")&amp;" = "&amp;TEXT(G1321,"0.00")&amp;" "&amp;L1321,"Введите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1" s="24" t="n">
        <x:v>40.99831042870724</x:v>
      </x:c>
      <x:c r="AG1321" s="37" t="n">
        <x:v>58</x:v>
      </x:c>
      <x:c r="AH1321" s="37" t="n">
        <x:v>0</x:v>
      </x:c>
      <x:c r="AI1321" s="30" t="n">
        <x:v>46287</x:v>
      </x:c>
      <x:c r="AJ1321" s="37" t="n">
        <x:v>5</x:v>
      </x:c>
      <x:c r="AK1321" s="10" t="str">
        <x:v>кратность</x:v>
      </x:c>
      <x:c r="AL1321" s="32" t="n">
        <x:v>120.6224133675254</x:v>
      </x:c>
      <x:c r="AM1321" s="13" t="str">
        <x:v>Детальные и месячные продажи расходятся; Нет ежедневных данных доступности. Запас выше прогноза на 90 дней</x:v>
      </x:c>
      <x:c r="AN1321" s="13" t="str">
        <x:v>Проверить свободный остаток и установить цену для B2B</x:v>
      </x:c>
      <x:c r="AO1321" s="13" t="str">
        <x:v>Остаток 58; прогноз 90 дней 41.00; избыток 17 шт. Будущие поступления не выставляются на продажу.</x:v>
      </x:c>
      <x:c r="AP1321" s="13" t="str">
        <x:v>["daily_stockout_data_missing", "large_orders_detected", "negative_net_sales_clipped_for_forecast", "new_order_lead_time_unknown", "transaction_month_mismatch"]</x:v>
      </x:c>
      <x:c r="AQ1321" s="10" t="str">
        <x:v>SE:300200440_</x:v>
      </x:c>
      <x:c r="AR1321" s="24" t="n">
        <x:v>1</x:v>
      </x:c>
      <x:c r="AS1321" s="24" t="n">
        <x:v>0</x:v>
      </x:c>
      <x:c r="AT1321" s="24" t="n">
        <x:v>0</x:v>
      </x:c>
    </x:row>
    <x:row r="1322" ht="64" customHeight="1">
      <x:c r="A1322" s="11" t="str">
        <x:v>Systeme Electric</x:v>
      </x:c>
      <x:c r="B1322" s="33" t="str">
        <x:v>300200441_</x:v>
      </x:c>
      <x:c r="C1322" s="33" t="str">
        <x:v>ATN000391</x:v>
      </x:c>
      <x:c r="D1322" s="12" t="str">
        <x:v>А401 ТV роз. оконечная с/у б/рамки "ATLAS" алюминий ATN391(10)</x:v>
      </x:c>
      <x:c r="E1322" s="11" t="str">
        <x:v>шт</x:v>
      </x:c>
      <x:c r="F1322" s="35" t="n">
        <x:f>MAX(0,ROUNDDOWN((AG1322-AF1322)/AR1322+0.000000001,0)*AR1322)</x:f>
        <x:v>10</x:v>
      </x:c>
      <x:c r="G1322" s="20" t="str">
        <x:f>IF(J1322="Рассчитано",V1322*(1-R1322/100)-W1322-P1322-Q1322,"н/д")</x:f>
        <x:v>н/д</x:v>
      </x:c>
      <x:c r="H1322" s="12" t="str">
        <x:v>Средний</x:v>
      </x:c>
      <x:c r="I1322" s="12" t="str">
        <x:v>Высокий</x:v>
      </x:c>
      <x:c r="J1322" s="12" t="str">
        <x:f>IF(L1322="","Укажите валюту",IF(NOT(ISNUMBER(K1322)),"Укажите объём",IF(K1322&lt;=0,"Укажите объём",IF(K1322&gt;F1322,"Объём выше излишка",IF(COUNT(M1322:O1322)&lt;3,"Нужны цены",IF(COUNT(P1322:R1322)&lt;3,"Нужны расходы",IF(OR(M1322&lt;0,N1322&lt;0,O1322&lt;0,O1322&gt;100,P1322&lt;0,Q1322&lt;0,R1322&lt;0,R1322&gt;100),"Проверьте значения","Рассчитано")))))))</x:f>
        <x:v>Нужны цены</x:v>
      </x:c>
      <x:c r="K1322" s="36" t="n">
        <x:v>10</x:v>
      </x:c>
      <x:c r="L1322" s="19" t="str">
        <x:v>KZT</x:v>
      </x:c>
      <x:c r="M1322" s="22"/>
      <x:c r="N1322" s="22"/>
      <x:c r="O1322" s="28"/>
      <x:c r="P1322" s="22"/>
      <x:c r="Q1322" s="22"/>
      <x:c r="R1322" s="28"/>
      <x:c r="S1322" s="22"/>
      <x:c r="T1322" s="35" t="n">
        <x:f>K1322</x:f>
        <x:v>10</x:v>
      </x:c>
      <x:c r="U1322" s="20" t="str">
        <x:f>IF(J1322="Рассчитано",N1322*(1-O1322/100),"н/д")</x:f>
        <x:v>н/д</x:v>
      </x:c>
      <x:c r="V1322" s="20" t="str">
        <x:f>IF(J1322="Рассчитано",T1322*U1322,"н/д")</x:f>
        <x:v>н/д</x:v>
      </x:c>
      <x:c r="W1322" s="20" t="str">
        <x:f>IF(J1322="Рассчитано",T1322*M1322,"н/д")</x:f>
        <x:v>н/д</x:v>
      </x:c>
      <x:c r="X1322" s="20" t="str">
        <x:f>IF(J1322="Рассчитано",V1322-W1322,"н/д")</x:f>
        <x:v>н/д</x:v>
      </x:c>
      <x:c r="Y1322" s="26" t="str">
        <x:f>IF(J1322="Рассчитано",IF(V1322&gt;0,G1322/V1322,"н/д"),"н/д")</x:f>
        <x:v>н/д</x:v>
      </x:c>
      <x:c r="Z1322" s="20" t="str">
        <x:f>"н/д"</x:f>
        <x:v>н/д</x:v>
      </x:c>
      <x:c r="AA1322" s="20" t="str">
        <x:f>"н/д"</x:f>
        <x:v>н/д</x:v>
      </x:c>
      <x:c r="AB1322" s="20" t="str">
        <x:f>"н/д"</x:f>
        <x:v>н/д</x:v>
      </x:c>
      <x:c r="AC1322" s="20" t="str">
        <x:f>IF(AND(J1322="Рассчитано",T1322&gt;0,R1322&lt;100),(W1322+P1322+Q1322)/(T1322*(1-R1322/100)),"н/д")</x:f>
        <x:v>н/д</x:v>
      </x:c>
      <x:c r="AD1322" s="11" t="str">
        <x:f>IF(ISNUMBER(G1322),IF(G1322&lt;0,"Убыток",IF(G1322=0,"Без прибыли","Прибыль &gt; 0")),"Не оценён")</x:f>
        <x:v>Не оценён</x:v>
      </x:c>
      <x:c r="AE1322" s="12" t="str">
        <x:f>IF(J1322="Рассчитано","Выручка "&amp;TEXT(V1322,"0.00")&amp;" - себестоимость "&amp;TEXT(W1322,"0.00")&amp;" - комиссия "&amp;TEXT(V1322*R1322/100,"0.00")&amp;" - доставка "&amp;TEXT(P1322,"0.00")&amp;" - прочие "&amp;TEXT(Q1322,"0.00")&amp;" = "&amp;TEXT(G1322,"0.00")&amp;" "&amp;L1322,"Введите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2" s="23" t="n">
        <x:v>7.857149421707407</x:v>
      </x:c>
      <x:c r="AG1322" s="35" t="n">
        <x:v>18</x:v>
      </x:c>
      <x:c r="AH1322" s="35" t="n">
        <x:v>0</x:v>
      </x:c>
      <x:c r="AI1322" s="29" t="n">
        <x:v>46287</x:v>
      </x:c>
      <x:c r="AJ1322" s="35" t="n">
        <x:v>10</x:v>
      </x:c>
      <x:c r="AK1322" s="11" t="str">
        <x:v>кратность</x:v>
      </x:c>
      <x:c r="AL1322" s="31" t="n">
        <x:v>195.3320338664863</x:v>
      </x:c>
      <x:c r="AM1322" s="12" t="str">
        <x:v>Нет ежедневных данных доступности. Запас более 180 дней при среднем спросе</x:v>
      </x:c>
      <x:c r="AN1322" s="12" t="str">
        <x:v>Проверить свободный остаток и установить цену для B2B</x:v>
      </x:c>
      <x:c r="AO1322" s="12" t="str">
        <x:v>Остаток 18; прогноз 90 дней 7.86; избыток 10 шт. Будущие поступления не выставляются на продажу.</x:v>
      </x:c>
      <x:c r="AP1322" s="12" t="str">
        <x:v>["daily_stockout_data_missing", "negative_net_sales_clipped_for_forecast", "new_order_lead_time_unknown"]</x:v>
      </x:c>
      <x:c r="AQ1322" s="11" t="str">
        <x:v>SE:300200441_</x:v>
      </x:c>
      <x:c r="AR1322" s="23" t="n">
        <x:v>1</x:v>
      </x:c>
      <x:c r="AS1322" s="23" t="n">
        <x:v>0</x:v>
      </x:c>
      <x:c r="AT1322" s="23" t="n">
        <x:v>0</x:v>
      </x:c>
    </x:row>
    <x:row r="1323" ht="64" customHeight="1">
      <x:c r="A1323" s="10" t="str">
        <x:v>Systeme Electric</x:v>
      </x:c>
      <x:c r="B1323" s="34" t="str">
        <x:v>300200443_</x:v>
      </x:c>
      <x:c r="C1323" s="34" t="str">
        <x:v>ATN000313</x:v>
      </x:c>
      <x:c r="D1323" s="13" t="str">
        <x:v>А385 Выкл 1 кл с инд 10А с/у б/рамки "ATLAS" алюминий ATN313  (10)</x:v>
      </x:c>
      <x:c r="E1323" s="10" t="str">
        <x:v>шт</x:v>
      </x:c>
      <x:c r="F1323" s="37" t="n">
        <x:f>MAX(0,ROUNDDOWN((AG1323-AF1323)/AR1323+0.000000001,0)*AR1323)</x:f>
        <x:v>54</x:v>
      </x:c>
      <x:c r="G1323" s="21" t="str">
        <x:f>IF(J1323="Рассчитано",V1323*(1-R1323/100)-W1323-P1323-Q1323,"н/д")</x:f>
        <x:v>н/д</x:v>
      </x:c>
      <x:c r="H1323" s="13" t="str">
        <x:v>Средний</x:v>
      </x:c>
      <x:c r="I1323" s="13" t="str">
        <x:v>Высокий</x:v>
      </x:c>
      <x:c r="J1323" s="13" t="str">
        <x:f>IF(L1323="","Укажите валюту",IF(NOT(ISNUMBER(K1323)),"Укажите объём",IF(K1323&lt;=0,"Укажите объём",IF(K1323&gt;F1323,"Объём выше излишка",IF(COUNT(M1323:O1323)&lt;3,"Нужны цены",IF(COUNT(P1323:R1323)&lt;3,"Нужны расходы",IF(OR(M1323&lt;0,N1323&lt;0,O1323&lt;0,O1323&gt;100,P1323&lt;0,Q1323&lt;0,R1323&lt;0,R1323&gt;100),"Проверьте значения","Рассчитано")))))))</x:f>
        <x:v>Нужны цены</x:v>
      </x:c>
      <x:c r="K1323" s="36" t="n">
        <x:v>54</x:v>
      </x:c>
      <x:c r="L1323" s="19" t="str">
        <x:v>KZT</x:v>
      </x:c>
      <x:c r="M1323" s="22"/>
      <x:c r="N1323" s="22"/>
      <x:c r="O1323" s="28"/>
      <x:c r="P1323" s="22"/>
      <x:c r="Q1323" s="22"/>
      <x:c r="R1323" s="28"/>
      <x:c r="S1323" s="22"/>
      <x:c r="T1323" s="37" t="n">
        <x:f>K1323</x:f>
        <x:v>54</x:v>
      </x:c>
      <x:c r="U1323" s="21" t="str">
        <x:f>IF(J1323="Рассчитано",N1323*(1-O1323/100),"н/д")</x:f>
        <x:v>н/д</x:v>
      </x:c>
      <x:c r="V1323" s="21" t="str">
        <x:f>IF(J1323="Рассчитано",T1323*U1323,"н/д")</x:f>
        <x:v>н/д</x:v>
      </x:c>
      <x:c r="W1323" s="21" t="str">
        <x:f>IF(J1323="Рассчитано",T1323*M1323,"н/д")</x:f>
        <x:v>н/д</x:v>
      </x:c>
      <x:c r="X1323" s="21" t="str">
        <x:f>IF(J1323="Рассчитано",V1323-W1323,"н/д")</x:f>
        <x:v>н/д</x:v>
      </x:c>
      <x:c r="Y1323" s="27" t="str">
        <x:f>IF(J1323="Рассчитано",IF(V1323&gt;0,G1323/V1323,"н/д"),"н/д")</x:f>
        <x:v>н/д</x:v>
      </x:c>
      <x:c r="Z1323" s="21" t="str">
        <x:f>"н/д"</x:f>
        <x:v>н/д</x:v>
      </x:c>
      <x:c r="AA1323" s="21" t="str">
        <x:f>"н/д"</x:f>
        <x:v>н/д</x:v>
      </x:c>
      <x:c r="AB1323" s="21" t="str">
        <x:f>"н/д"</x:f>
        <x:v>н/д</x:v>
      </x:c>
      <x:c r="AC1323" s="21" t="str">
        <x:f>IF(AND(J1323="Рассчитано",T1323&gt;0,R1323&lt;100),(W1323+P1323+Q1323)/(T1323*(1-R1323/100)),"н/д")</x:f>
        <x:v>н/д</x:v>
      </x:c>
      <x:c r="AD1323" s="10" t="str">
        <x:f>IF(ISNUMBER(G1323),IF(G1323&lt;0,"Убыток",IF(G1323=0,"Без прибыли","Прибыль &gt; 0")),"Не оценён")</x:f>
        <x:v>Не оценён</x:v>
      </x:c>
      <x:c r="AE1323" s="13" t="str">
        <x:f>IF(J1323="Рассчитано","Выручка "&amp;TEXT(V1323,"0.00")&amp;" - себестоимость "&amp;TEXT(W1323,"0.00")&amp;" - комиссия "&amp;TEXT(V1323*R1323/100,"0.00")&amp;" - доставка "&amp;TEXT(P1323,"0.00")&amp;" - прочие "&amp;TEXT(Q1323,"0.00")&amp;" = "&amp;TEXT(G1323,"0.00")&amp;" "&amp;L1323,"Введите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3" s="24" t="n">
        <x:v>9.913354129559758</x:v>
      </x:c>
      <x:c r="AG1323" s="37" t="n">
        <x:v>64</x:v>
      </x:c>
      <x:c r="AH1323" s="37" t="n">
        <x:v>0</x:v>
      </x:c>
      <x:c r="AI1323" s="30" t="n">
        <x:v>46287</x:v>
      </x:c>
      <x:c r="AJ1323" s="37" t="n">
        <x:v>10</x:v>
      </x:c>
      <x:c r="AK1323" s="10" t="str">
        <x:v>кратность</x:v>
      </x:c>
      <x:c r="AL1323" s="32" t="n">
        <x:v>550.4594511836514</x:v>
      </x:c>
      <x:c r="AM1323" s="13" t="str">
        <x:v>Нет ежедневных данных доступности. Запас более 180 дней при среднем спросе</x:v>
      </x:c>
      <x:c r="AN1323" s="13" t="str">
        <x:v>Проверить свободный остаток и установить цену для B2B</x:v>
      </x:c>
      <x:c r="AO1323" s="13" t="str">
        <x:v>Остаток 64; прогноз 90 дней 9.91; избыток 54 шт. Будущие поступления не выставляются на продажу.</x:v>
      </x:c>
      <x:c r="AP1323" s="13" t="str">
        <x:v>["daily_stockout_data_missing", "negative_net_sales_clipped_for_forecast", "new_order_lead_time_unknown"]</x:v>
      </x:c>
      <x:c r="AQ1323" s="10" t="str">
        <x:v>SE:300200443_</x:v>
      </x:c>
      <x:c r="AR1323" s="24" t="n">
        <x:v>1</x:v>
      </x:c>
      <x:c r="AS1323" s="24" t="n">
        <x:v>0</x:v>
      </x:c>
      <x:c r="AT1323" s="24" t="n">
        <x:v>0</x:v>
      </x:c>
    </x:row>
    <x:row r="1324" ht="64" customHeight="1">
      <x:c r="A1324" s="11" t="str">
        <x:v>Systeme Electric</x:v>
      </x:c>
      <x:c r="B1324" s="33" t="str">
        <x:v>300200444_</x:v>
      </x:c>
      <x:c r="C1324" s="33" t="str">
        <x:v>ATN000353</x:v>
      </x:c>
      <x:c r="D1324" s="12" t="str">
        <x:v>А387 Выкл 2 кл с инд 10А с/у б/рамки "ATLAS" алюминий ATN353 (10)</x:v>
      </x:c>
      <x:c r="E1324" s="11" t="str">
        <x:v>шт</x:v>
      </x:c>
      <x:c r="F1324" s="35" t="n">
        <x:f>MAX(0,ROUNDDOWN((AG1324-AF1324)/AR1324+0.000000001,0)*AR1324)</x:f>
        <x:v>37</x:v>
      </x:c>
      <x:c r="G1324" s="20" t="str">
        <x:f>IF(J1324="Рассчитано",V1324*(1-R1324/100)-W1324-P1324-Q1324,"н/д")</x:f>
        <x:v>н/д</x:v>
      </x:c>
      <x:c r="H1324" s="12" t="str">
        <x:v>Средний</x:v>
      </x:c>
      <x:c r="I1324" s="12" t="str">
        <x:v>Высокий</x:v>
      </x:c>
      <x:c r="J1324" s="12" t="str">
        <x:f>IF(L1324="","Укажите валюту",IF(NOT(ISNUMBER(K1324)),"Укажите объём",IF(K1324&lt;=0,"Укажите объём",IF(K1324&gt;F1324,"Объём выше излишка",IF(COUNT(M1324:O1324)&lt;3,"Нужны цены",IF(COUNT(P1324:R1324)&lt;3,"Нужны расходы",IF(OR(M1324&lt;0,N1324&lt;0,O1324&lt;0,O1324&gt;100,P1324&lt;0,Q1324&lt;0,R1324&lt;0,R1324&gt;100),"Проверьте значения","Рассчитано")))))))</x:f>
        <x:v>Нужны цены</x:v>
      </x:c>
      <x:c r="K1324" s="36" t="n">
        <x:v>37</x:v>
      </x:c>
      <x:c r="L1324" s="19" t="str">
        <x:v>KZT</x:v>
      </x:c>
      <x:c r="M1324" s="22"/>
      <x:c r="N1324" s="22"/>
      <x:c r="O1324" s="28"/>
      <x:c r="P1324" s="22"/>
      <x:c r="Q1324" s="22"/>
      <x:c r="R1324" s="28"/>
      <x:c r="S1324" s="22"/>
      <x:c r="T1324" s="35" t="n">
        <x:f>K1324</x:f>
        <x:v>37</x:v>
      </x:c>
      <x:c r="U1324" s="20" t="str">
        <x:f>IF(J1324="Рассчитано",N1324*(1-O1324/100),"н/д")</x:f>
        <x:v>н/д</x:v>
      </x:c>
      <x:c r="V1324" s="20" t="str">
        <x:f>IF(J1324="Рассчитано",T1324*U1324,"н/д")</x:f>
        <x:v>н/д</x:v>
      </x:c>
      <x:c r="W1324" s="20" t="str">
        <x:f>IF(J1324="Рассчитано",T1324*M1324,"н/д")</x:f>
        <x:v>н/д</x:v>
      </x:c>
      <x:c r="X1324" s="20" t="str">
        <x:f>IF(J1324="Рассчитано",V1324-W1324,"н/д")</x:f>
        <x:v>н/д</x:v>
      </x:c>
      <x:c r="Y1324" s="26" t="str">
        <x:f>IF(J1324="Рассчитано",IF(V1324&gt;0,G1324/V1324,"н/д"),"н/д")</x:f>
        <x:v>н/д</x:v>
      </x:c>
      <x:c r="Z1324" s="20" t="str">
        <x:f>"н/д"</x:f>
        <x:v>н/д</x:v>
      </x:c>
      <x:c r="AA1324" s="20" t="str">
        <x:f>"н/д"</x:f>
        <x:v>н/д</x:v>
      </x:c>
      <x:c r="AB1324" s="20" t="str">
        <x:f>"н/д"</x:f>
        <x:v>н/д</x:v>
      </x:c>
      <x:c r="AC1324" s="20" t="str">
        <x:f>IF(AND(J1324="Рассчитано",T1324&gt;0,R1324&lt;100),(W1324+P1324+Q1324)/(T1324*(1-R1324/100)),"н/д")</x:f>
        <x:v>н/д</x:v>
      </x:c>
      <x:c r="AD1324" s="11" t="str">
        <x:f>IF(ISNUMBER(G1324),IF(G1324&lt;0,"Убыток",IF(G1324=0,"Без прибыли","Прибыль &gt; 0")),"Не оценён")</x:f>
        <x:v>Не оценён</x:v>
      </x:c>
      <x:c r="AE1324" s="12" t="str">
        <x:f>IF(J1324="Рассчитано","Выручка "&amp;TEXT(V1324,"0.00")&amp;" - себестоимость "&amp;TEXT(W1324,"0.00")&amp;" - комиссия "&amp;TEXT(V1324*R1324/100,"0.00")&amp;" - доставка "&amp;TEXT(P1324,"0.00")&amp;" - прочие "&amp;TEXT(Q1324,"0.00")&amp;" = "&amp;TEXT(G1324,"0.00")&amp;" "&amp;L1324,"Введите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4" s="23" t="n">
        <x:v>2.2319743285336537</x:v>
      </x:c>
      <x:c r="AG1324" s="35" t="n">
        <x:v>40</x:v>
      </x:c>
      <x:c r="AH1324" s="35" t="n">
        <x:v>0</x:v>
      </x:c>
      <x:c r="AI1324" s="29" t="n">
        <x:v>46287</x:v>
      </x:c>
      <x:c r="AJ1324" s="35" t="n">
        <x:v>10</x:v>
      </x:c>
      <x:c r="AK1324" s="11" t="str">
        <x:v>кратность</x:v>
      </x:c>
      <x:c r="AL1324" s="31" t="n">
        <x:v>1528.0472214065753</x:v>
      </x:c>
      <x:c r="AM1324" s="12" t="str">
        <x:v>Нет ежедневных данных доступности. Запас более 180 дней при среднем спросе</x:v>
      </x:c>
      <x:c r="AN1324" s="12" t="str">
        <x:v>Проверить свободный остаток и установить цену для B2B</x:v>
      </x:c>
      <x:c r="AO1324" s="12" t="str">
        <x:v>Остаток 40; прогноз 90 дней 2.23; избыток 37 шт. Будущие поступления не выставляются на продажу.</x:v>
      </x:c>
      <x:c r="AP1324" s="12" t="str">
        <x:v>["daily_stockout_data_missing", "negative_net_sales_clipped_for_forecast", "new_order_lead_time_unknown"]</x:v>
      </x:c>
      <x:c r="AQ1324" s="11" t="str">
        <x:v>SE:300200444_</x:v>
      </x:c>
      <x:c r="AR1324" s="23" t="n">
        <x:v>1</x:v>
      </x:c>
      <x:c r="AS1324" s="23" t="n">
        <x:v>0</x:v>
      </x:c>
      <x:c r="AT1324" s="23" t="n">
        <x:v>0</x:v>
      </x:c>
    </x:row>
    <x:row r="1325" ht="64" customHeight="1">
      <x:c r="A1325" s="10" t="str">
        <x:v>Systeme Electric</x:v>
      </x:c>
      <x:c r="B1325" s="34" t="str">
        <x:v>300200445_</x:v>
      </x:c>
      <x:c r="C1325" s="34" t="str">
        <x:v>ATN000305</x:v>
      </x:c>
      <x:c r="D1325" s="13" t="str">
        <x:v>А409 Рамка 5-ная "ATLAS" алюминий ATN305 (5)</x:v>
      </x:c>
      <x:c r="E1325" s="10" t="str">
        <x:v>шт</x:v>
      </x:c>
      <x:c r="F1325" s="37" t="n">
        <x:f>MAX(0,ROUNDDOWN((AG1325-AF1325)/AR1325+0.000000001,0)*AR1325)</x:f>
        <x:v>67</x:v>
      </x:c>
      <x:c r="G1325" s="21" t="str">
        <x:f>IF(J1325="Рассчитано",V1325*(1-R1325/100)-W1325-P1325-Q1325,"н/д")</x:f>
        <x:v>н/д</x:v>
      </x:c>
      <x:c r="H1325" s="13" t="str">
        <x:v>Средний</x:v>
      </x:c>
      <x:c r="I1325" s="13" t="str">
        <x:v>Высокий</x:v>
      </x:c>
      <x:c r="J1325" s="13" t="str">
        <x:f>IF(L1325="","Укажите валюту",IF(NOT(ISNUMBER(K1325)),"Укажите объём",IF(K1325&lt;=0,"Укажите объём",IF(K1325&gt;F1325,"Объём выше излишка",IF(COUNT(M1325:O1325)&lt;3,"Нужны цены",IF(COUNT(P1325:R1325)&lt;3,"Нужны расходы",IF(OR(M1325&lt;0,N1325&lt;0,O1325&lt;0,O1325&gt;100,P1325&lt;0,Q1325&lt;0,R1325&lt;0,R1325&gt;100),"Проверьте значения","Рассчитано")))))))</x:f>
        <x:v>Нужны цены</x:v>
      </x:c>
      <x:c r="K1325" s="36" t="n">
        <x:v>67</x:v>
      </x:c>
      <x:c r="L1325" s="19" t="str">
        <x:v>KZT</x:v>
      </x:c>
      <x:c r="M1325" s="22"/>
      <x:c r="N1325" s="22"/>
      <x:c r="O1325" s="28"/>
      <x:c r="P1325" s="22"/>
      <x:c r="Q1325" s="22"/>
      <x:c r="R1325" s="28"/>
      <x:c r="S1325" s="22"/>
      <x:c r="T1325" s="37" t="n">
        <x:f>K1325</x:f>
        <x:v>67</x:v>
      </x:c>
      <x:c r="U1325" s="21" t="str">
        <x:f>IF(J1325="Рассчитано",N1325*(1-O1325/100),"н/д")</x:f>
        <x:v>н/д</x:v>
      </x:c>
      <x:c r="V1325" s="21" t="str">
        <x:f>IF(J1325="Рассчитано",T1325*U1325,"н/д")</x:f>
        <x:v>н/д</x:v>
      </x:c>
      <x:c r="W1325" s="21" t="str">
        <x:f>IF(J1325="Рассчитано",T1325*M1325,"н/д")</x:f>
        <x:v>н/д</x:v>
      </x:c>
      <x:c r="X1325" s="21" t="str">
        <x:f>IF(J1325="Рассчитано",V1325-W1325,"н/д")</x:f>
        <x:v>н/д</x:v>
      </x:c>
      <x:c r="Y1325" s="27" t="str">
        <x:f>IF(J1325="Рассчитано",IF(V1325&gt;0,G1325/V1325,"н/д"),"н/д")</x:f>
        <x:v>н/д</x:v>
      </x:c>
      <x:c r="Z1325" s="21" t="str">
        <x:f>"н/д"</x:f>
        <x:v>н/д</x:v>
      </x:c>
      <x:c r="AA1325" s="21" t="str">
        <x:f>"н/д"</x:f>
        <x:v>н/д</x:v>
      </x:c>
      <x:c r="AB1325" s="21" t="str">
        <x:f>"н/д"</x:f>
        <x:v>н/д</x:v>
      </x:c>
      <x:c r="AC1325" s="21" t="str">
        <x:f>IF(AND(J1325="Рассчитано",T1325&gt;0,R1325&lt;100),(W1325+P1325+Q1325)/(T1325*(1-R1325/100)),"н/д")</x:f>
        <x:v>н/д</x:v>
      </x:c>
      <x:c r="AD1325" s="10" t="str">
        <x:f>IF(ISNUMBER(G1325),IF(G1325&lt;0,"Убыток",IF(G1325=0,"Без прибыли","Прибыль &gt; 0")),"Не оценён")</x:f>
        <x:v>Не оценён</x:v>
      </x:c>
      <x:c r="AE1325" s="13" t="str">
        <x:f>IF(J1325="Рассчитано","Выручка "&amp;TEXT(V1325,"0.00")&amp;" - себестоимость "&amp;TEXT(W1325,"0.00")&amp;" - комиссия "&amp;TEXT(V1325*R1325/100,"0.00")&amp;" - доставка "&amp;TEXT(P1325,"0.00")&amp;" - прочие "&amp;TEXT(Q1325,"0.00")&amp;" = "&amp;TEXT(G1325,"0.00")&amp;" "&amp;L1325,"Введите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5" s="24" t="n">
        <x:v>5.304134850576201</x:v>
      </x:c>
      <x:c r="AG1325" s="37" t="n">
        <x:v>73</x:v>
      </x:c>
      <x:c r="AH1325" s="37" t="n">
        <x:v>0</x:v>
      </x:c>
      <x:c r="AI1325" s="30" t="n">
        <x:v>46287</x:v>
      </x:c>
      <x:c r="AJ1325" s="37" t="n">
        <x:v>5</x:v>
      </x:c>
      <x:c r="AK1325" s="10" t="str">
        <x:v>кратность</x:v>
      </x:c>
      <x:c r="AL1325" s="32" t="n">
        <x:v>1173.4761911903456</x:v>
      </x:c>
      <x:c r="AM1325" s="13" t="str">
        <x:v>Нет ежедневных данных доступности. Запас более 180 дней при среднем спросе</x:v>
      </x:c>
      <x:c r="AN1325" s="13" t="str">
        <x:v>Проверить свободный остаток и установить цену для B2B</x:v>
      </x:c>
      <x:c r="AO1325" s="13" t="str">
        <x:v>Остаток 73; прогноз 90 дней 5.30; избыток 67 шт. Будущие поступления не выставляются на продажу.</x:v>
      </x:c>
      <x:c r="AP1325" s="13" t="str">
        <x:v>["daily_stockout_data_missing", "negative_net_sales_clipped_for_forecast", "new_order_lead_time_unknown"]</x:v>
      </x:c>
      <x:c r="AQ1325" s="10" t="str">
        <x:v>SE:300200445_</x:v>
      </x:c>
      <x:c r="AR1325" s="24" t="n">
        <x:v>1</x:v>
      </x:c>
      <x:c r="AS1325" s="24" t="n">
        <x:v>0</x:v>
      </x:c>
      <x:c r="AT1325" s="24" t="n">
        <x:v>0</x:v>
      </x:c>
    </x:row>
    <x:row r="1326" ht="64" customHeight="1">
      <x:c r="A1326" s="11" t="str">
        <x:v>Systeme Electric</x:v>
      </x:c>
      <x:c r="B1326" s="33" t="str">
        <x:v>300200446_</x:v>
      </x:c>
      <x:c r="C1326" s="33" t="str">
        <x:v>ATN000365</x:v>
      </x:c>
      <x:c r="D1326" s="12" t="str">
        <x:v>А414 Переключ. 2 кл 10А с/у б/рамки "ATLAS" алюминий ATN365 (10)</x:v>
      </x:c>
      <x:c r="E1326" s="11" t="str">
        <x:v>шт</x:v>
      </x:c>
      <x:c r="F1326" s="35" t="n">
        <x:f>MAX(0,ROUNDDOWN((AG1326-AF1326)/AR1326+0.000000001,0)*AR1326)</x:f>
        <x:v>107</x:v>
      </x:c>
      <x:c r="G1326" s="20" t="str">
        <x:f>IF(J1326="Рассчитано",V1326*(1-R1326/100)-W1326-P1326-Q1326,"н/д")</x:f>
        <x:v>н/д</x:v>
      </x:c>
      <x:c r="H1326" s="12" t="str">
        <x:v>Средний</x:v>
      </x:c>
      <x:c r="I1326" s="12" t="str">
        <x:v>Высокий</x:v>
      </x:c>
      <x:c r="J1326" s="12" t="str">
        <x:f>IF(L1326="","Укажите валюту",IF(NOT(ISNUMBER(K1326)),"Укажите объём",IF(K1326&lt;=0,"Укажите объём",IF(K1326&gt;F1326,"Объём выше излишка",IF(COUNT(M1326:O1326)&lt;3,"Нужны цены",IF(COUNT(P1326:R1326)&lt;3,"Нужны расходы",IF(OR(M1326&lt;0,N1326&lt;0,O1326&lt;0,O1326&gt;100,P1326&lt;0,Q1326&lt;0,R1326&lt;0,R1326&gt;100),"Проверьте значения","Рассчитано")))))))</x:f>
        <x:v>Нужны цены</x:v>
      </x:c>
      <x:c r="K1326" s="36" t="n">
        <x:v>107</x:v>
      </x:c>
      <x:c r="L1326" s="19" t="str">
        <x:v>KZT</x:v>
      </x:c>
      <x:c r="M1326" s="22"/>
      <x:c r="N1326" s="22"/>
      <x:c r="O1326" s="28"/>
      <x:c r="P1326" s="22"/>
      <x:c r="Q1326" s="22"/>
      <x:c r="R1326" s="28"/>
      <x:c r="S1326" s="22"/>
      <x:c r="T1326" s="35" t="n">
        <x:f>K1326</x:f>
        <x:v>107</x:v>
      </x:c>
      <x:c r="U1326" s="20" t="str">
        <x:f>IF(J1326="Рассчитано",N1326*(1-O1326/100),"н/д")</x:f>
        <x:v>н/д</x:v>
      </x:c>
      <x:c r="V1326" s="20" t="str">
        <x:f>IF(J1326="Рассчитано",T1326*U1326,"н/д")</x:f>
        <x:v>н/д</x:v>
      </x:c>
      <x:c r="W1326" s="20" t="str">
        <x:f>IF(J1326="Рассчитано",T1326*M1326,"н/д")</x:f>
        <x:v>н/д</x:v>
      </x:c>
      <x:c r="X1326" s="20" t="str">
        <x:f>IF(J1326="Рассчитано",V1326-W1326,"н/д")</x:f>
        <x:v>н/д</x:v>
      </x:c>
      <x:c r="Y1326" s="26" t="str">
        <x:f>IF(J1326="Рассчитано",IF(V1326&gt;0,G1326/V1326,"н/д"),"н/д")</x:f>
        <x:v>н/д</x:v>
      </x:c>
      <x:c r="Z1326" s="20" t="str">
        <x:f>"н/д"</x:f>
        <x:v>н/д</x:v>
      </x:c>
      <x:c r="AA1326" s="20" t="str">
        <x:f>"н/д"</x:f>
        <x:v>н/д</x:v>
      </x:c>
      <x:c r="AB1326" s="20" t="str">
        <x:f>"н/д"</x:f>
        <x:v>н/д</x:v>
      </x:c>
      <x:c r="AC1326" s="20" t="str">
        <x:f>IF(AND(J1326="Рассчитано",T1326&gt;0,R1326&lt;100),(W1326+P1326+Q1326)/(T1326*(1-R1326/100)),"н/д")</x:f>
        <x:v>н/д</x:v>
      </x:c>
      <x:c r="AD1326" s="11" t="str">
        <x:f>IF(ISNUMBER(G1326),IF(G1326&lt;0,"Убыток",IF(G1326=0,"Без прибыли","Прибыль &gt; 0")),"Не оценён")</x:f>
        <x:v>Не оценён</x:v>
      </x:c>
      <x:c r="AE1326" s="12" t="str">
        <x:f>IF(J1326="Рассчитано","Выручка "&amp;TEXT(V1326,"0.00")&amp;" - себестоимость "&amp;TEXT(W1326,"0.00")&amp;" - комиссия "&amp;TEXT(V1326*R1326/100,"0.00")&amp;" - доставка "&amp;TEXT(P1326,"0.00")&amp;" - прочие "&amp;TEXT(Q1326,"0.00")&amp;" = "&amp;TEXT(G1326,"0.00")&amp;" "&amp;L1326,"Введите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6" s="23" t="n">
        <x:v>7.823807754822077</x:v>
      </x:c>
      <x:c r="AG1326" s="35" t="n">
        <x:v>115</x:v>
      </x:c>
      <x:c r="AH1326" s="35" t="n">
        <x:v>0</x:v>
      </x:c>
      <x:c r="AI1326" s="29" t="n">
        <x:v>46287</x:v>
      </x:c>
      <x:c r="AJ1326" s="35" t="n">
        <x:v>10</x:v>
      </x:c>
      <x:c r="AK1326" s="11" t="str">
        <x:v>кратность</x:v>
      </x:c>
      <x:c r="AL1326" s="31" t="n">
        <x:v>1253.2729009714935</x:v>
      </x:c>
      <x:c r="AM1326" s="12" t="str">
        <x:v>Нет ежедневных данных доступности. Запас более 180 дней при среднем спросе</x:v>
      </x:c>
      <x:c r="AN1326" s="12" t="str">
        <x:v>Проверить свободный остаток и установить цену для B2B</x:v>
      </x:c>
      <x:c r="AO1326" s="12" t="str">
        <x:v>Остаток 115; прогноз 90 дней 7.82; избыток 107 шт. Будущие поступления не выставляются на продажу.</x:v>
      </x:c>
      <x:c r="AP1326" s="12" t="str">
        <x:v>["daily_stockout_data_missing", "negative_net_sales_clipped_for_forecast", "new_order_lead_time_unknown"]</x:v>
      </x:c>
      <x:c r="AQ1326" s="11" t="str">
        <x:v>SE:300200446_</x:v>
      </x:c>
      <x:c r="AR1326" s="23" t="n">
        <x:v>1</x:v>
      </x:c>
      <x:c r="AS1326" s="23" t="n">
        <x:v>0</x:v>
      </x:c>
      <x:c r="AT1326" s="23" t="n">
        <x:v>0</x:v>
      </x:c>
    </x:row>
    <x:row r="1327" ht="64" customHeight="1">
      <x:c r="A1327" s="10" t="str">
        <x:v>Systeme Electric</x:v>
      </x:c>
      <x:c r="B1327" s="34" t="str">
        <x:v>300200448_</x:v>
      </x:c>
      <x:c r="C1327" s="34" t="str">
        <x:v>ATN000371</x:v>
      </x:c>
      <x:c r="D1327" s="13" t="str">
        <x:v>А393 Перекрест. переключ. 1 кл 10А с/у б/рамки "ATLAS" алюминий ATN371 (5)</x:v>
      </x:c>
      <x:c r="E1327" s="10" t="str">
        <x:v>шт</x:v>
      </x:c>
      <x:c r="F1327" s="37" t="n">
        <x:f>MAX(0,ROUNDDOWN((AG1327-AF1327)/AR1327+0.000000001,0)*AR1327)</x:f>
        <x:v>83</x:v>
      </x:c>
      <x:c r="G1327" s="21" t="str">
        <x:f>IF(J1327="Рассчитано",V1327*(1-R1327/100)-W1327-P1327-Q1327,"н/д")</x:f>
        <x:v>н/д</x:v>
      </x:c>
      <x:c r="H1327" s="13" t="str">
        <x:v>Средний</x:v>
      </x:c>
      <x:c r="I1327" s="13" t="str">
        <x:v>Высокий</x:v>
      </x:c>
      <x:c r="J1327" s="13" t="str">
        <x:f>IF(L1327="","Укажите валюту",IF(NOT(ISNUMBER(K1327)),"Укажите объём",IF(K1327&lt;=0,"Укажите объём",IF(K1327&gt;F1327,"Объём выше излишка",IF(COUNT(M1327:O1327)&lt;3,"Нужны цены",IF(COUNT(P1327:R1327)&lt;3,"Нужны расходы",IF(OR(M1327&lt;0,N1327&lt;0,O1327&lt;0,O1327&gt;100,P1327&lt;0,Q1327&lt;0,R1327&lt;0,R1327&gt;100),"Проверьте значения","Рассчитано")))))))</x:f>
        <x:v>Нужны цены</x:v>
      </x:c>
      <x:c r="K1327" s="36" t="n">
        <x:v>83</x:v>
      </x:c>
      <x:c r="L1327" s="19" t="str">
        <x:v>KZT</x:v>
      </x:c>
      <x:c r="M1327" s="22"/>
      <x:c r="N1327" s="22"/>
      <x:c r="O1327" s="28"/>
      <x:c r="P1327" s="22"/>
      <x:c r="Q1327" s="22"/>
      <x:c r="R1327" s="28"/>
      <x:c r="S1327" s="22"/>
      <x:c r="T1327" s="37" t="n">
        <x:f>K1327</x:f>
        <x:v>83</x:v>
      </x:c>
      <x:c r="U1327" s="21" t="str">
        <x:f>IF(J1327="Рассчитано",N1327*(1-O1327/100),"н/д")</x:f>
        <x:v>н/д</x:v>
      </x:c>
      <x:c r="V1327" s="21" t="str">
        <x:f>IF(J1327="Рассчитано",T1327*U1327,"н/д")</x:f>
        <x:v>н/д</x:v>
      </x:c>
      <x:c r="W1327" s="21" t="str">
        <x:f>IF(J1327="Рассчитано",T1327*M1327,"н/д")</x:f>
        <x:v>н/д</x:v>
      </x:c>
      <x:c r="X1327" s="21" t="str">
        <x:f>IF(J1327="Рассчитано",V1327-W1327,"н/д")</x:f>
        <x:v>н/д</x:v>
      </x:c>
      <x:c r="Y1327" s="27" t="str">
        <x:f>IF(J1327="Рассчитано",IF(V1327&gt;0,G1327/V1327,"н/д"),"н/д")</x:f>
        <x:v>н/д</x:v>
      </x:c>
      <x:c r="Z1327" s="21" t="str">
        <x:f>"н/д"</x:f>
        <x:v>н/д</x:v>
      </x:c>
      <x:c r="AA1327" s="21" t="str">
        <x:f>"н/д"</x:f>
        <x:v>н/д</x:v>
      </x:c>
      <x:c r="AB1327" s="21" t="str">
        <x:f>"н/д"</x:f>
        <x:v>н/д</x:v>
      </x:c>
      <x:c r="AC1327" s="21" t="str">
        <x:f>IF(AND(J1327="Рассчитано",T1327&gt;0,R1327&lt;100),(W1327+P1327+Q1327)/(T1327*(1-R1327/100)),"н/д")</x:f>
        <x:v>н/д</x:v>
      </x:c>
      <x:c r="AD1327" s="10" t="str">
        <x:f>IF(ISNUMBER(G1327),IF(G1327&lt;0,"Убыток",IF(G1327=0,"Без прибыли","Прибыль &gt; 0")),"Не оценён")</x:f>
        <x:v>Не оценён</x:v>
      </x:c>
      <x:c r="AE1327" s="13" t="str">
        <x:f>IF(J1327="Рассчитано","Выручка "&amp;TEXT(V1327,"0.00")&amp;" - себестоимость "&amp;TEXT(W1327,"0.00")&amp;" - комиссия "&amp;TEXT(V1327*R1327/100,"0.00")&amp;" - доставка "&amp;TEXT(P1327,"0.00")&amp;" - прочие "&amp;TEXT(Q1327,"0.00")&amp;" = "&amp;TEXT(G1327,"0.00")&amp;" "&amp;L1327,"Введите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7" s="24" t="n">
        <x:v>1.3826899602850946</x:v>
      </x:c>
      <x:c r="AG1327" s="37" t="n">
        <x:v>85</x:v>
      </x:c>
      <x:c r="AH1327" s="37" t="n">
        <x:v>0</x:v>
      </x:c>
      <x:c r="AI1327" s="30" t="n">
        <x:v>46287</x:v>
      </x:c>
      <x:c r="AJ1327" s="37" t="n">
        <x:v>5</x:v>
      </x:c>
      <x:c r="AK1327" s="10" t="str">
        <x:v>кратность</x:v>
      </x:c>
      <x:c r="AL1327" s="32" t="n">
        <x:v>5241.55437695505</x:v>
      </x:c>
      <x:c r="AM1327" s="13" t="str">
        <x:v>Нет ежедневных данных доступности. Запас более 180 дней при среднем спросе</x:v>
      </x:c>
      <x:c r="AN1327" s="13" t="str">
        <x:v>Проверить свободный остаток и установить цену для B2B</x:v>
      </x:c>
      <x:c r="AO1327" s="13" t="str">
        <x:v>Остаток 85; прогноз 90 дней 1.38; избыток 83 шт. Будущие поступления не выставляются на продажу.</x:v>
      </x:c>
      <x:c r="AP1327" s="13" t="str">
        <x:v>["daily_stockout_data_missing", "negative_net_sales_clipped_for_forecast", "new_order_lead_time_unknown"]</x:v>
      </x:c>
      <x:c r="AQ1327" s="10" t="str">
        <x:v>SE:300200448_</x:v>
      </x:c>
      <x:c r="AR1327" s="24" t="n">
        <x:v>1</x:v>
      </x:c>
      <x:c r="AS1327" s="24" t="n">
        <x:v>0</x:v>
      </x:c>
      <x:c r="AT1327" s="24" t="n">
        <x:v>0</x:v>
      </x:c>
    </x:row>
    <x:row r="1328" ht="64" customHeight="1">
      <x:c r="A1328" s="11" t="str">
        <x:v>Systeme Electric</x:v>
      </x:c>
      <x:c r="B1328" s="33" t="str">
        <x:v>300200449_</x:v>
      </x:c>
      <x:c r="C1328" s="33" t="str">
        <x:v>ATN000331</x:v>
      </x:c>
      <x:c r="D1328" s="12" t="str">
        <x:v>А388 Выкл 3 кл 10А с/у б/рамки "ATLAS" алюминий ATN331 (10)</x:v>
      </x:c>
      <x:c r="E1328" s="11" t="str">
        <x:v>шт</x:v>
      </x:c>
      <x:c r="F1328" s="35" t="n">
        <x:f>MAX(0,ROUNDDOWN((AG1328-AF1328)/AR1328+0.000000001,0)*AR1328)</x:f>
        <x:v>48</x:v>
      </x:c>
      <x:c r="G1328" s="20" t="str">
        <x:f>IF(J1328="Рассчитано",V1328*(1-R1328/100)-W1328-P1328-Q1328,"н/д")</x:f>
        <x:v>н/д</x:v>
      </x:c>
      <x:c r="H1328" s="12" t="str">
        <x:v>Средний</x:v>
      </x:c>
      <x:c r="I1328" s="12" t="str">
        <x:v>Высокий</x:v>
      </x:c>
      <x:c r="J1328" s="12" t="str">
        <x:f>IF(L1328="","Укажите валюту",IF(NOT(ISNUMBER(K1328)),"Укажите объём",IF(K1328&lt;=0,"Укажите объём",IF(K1328&gt;F1328,"Объём выше излишка",IF(COUNT(M1328:O1328)&lt;3,"Нужны цены",IF(COUNT(P1328:R1328)&lt;3,"Нужны расходы",IF(OR(M1328&lt;0,N1328&lt;0,O1328&lt;0,O1328&gt;100,P1328&lt;0,Q1328&lt;0,R1328&lt;0,R1328&gt;100),"Проверьте значения","Рассчитано")))))))</x:f>
        <x:v>Нужны цены</x:v>
      </x:c>
      <x:c r="K1328" s="36" t="n">
        <x:v>48</x:v>
      </x:c>
      <x:c r="L1328" s="19" t="str">
        <x:v>KZT</x:v>
      </x:c>
      <x:c r="M1328" s="22"/>
      <x:c r="N1328" s="22"/>
      <x:c r="O1328" s="28"/>
      <x:c r="P1328" s="22"/>
      <x:c r="Q1328" s="22"/>
      <x:c r="R1328" s="28"/>
      <x:c r="S1328" s="22"/>
      <x:c r="T1328" s="35" t="n">
        <x:f>K1328</x:f>
        <x:v>48</x:v>
      </x:c>
      <x:c r="U1328" s="20" t="str">
        <x:f>IF(J1328="Рассчитано",N1328*(1-O1328/100),"н/д")</x:f>
        <x:v>н/д</x:v>
      </x:c>
      <x:c r="V1328" s="20" t="str">
        <x:f>IF(J1328="Рассчитано",T1328*U1328,"н/д")</x:f>
        <x:v>н/д</x:v>
      </x:c>
      <x:c r="W1328" s="20" t="str">
        <x:f>IF(J1328="Рассчитано",T1328*M1328,"н/д")</x:f>
        <x:v>н/д</x:v>
      </x:c>
      <x:c r="X1328" s="20" t="str">
        <x:f>IF(J1328="Рассчитано",V1328-W1328,"н/д")</x:f>
        <x:v>н/д</x:v>
      </x:c>
      <x:c r="Y1328" s="26" t="str">
        <x:f>IF(J1328="Рассчитано",IF(V1328&gt;0,G1328/V1328,"н/д"),"н/д")</x:f>
        <x:v>н/д</x:v>
      </x:c>
      <x:c r="Z1328" s="20" t="str">
        <x:f>"н/д"</x:f>
        <x:v>н/д</x:v>
      </x:c>
      <x:c r="AA1328" s="20" t="str">
        <x:f>"н/д"</x:f>
        <x:v>н/д</x:v>
      </x:c>
      <x:c r="AB1328" s="20" t="str">
        <x:f>"н/д"</x:f>
        <x:v>н/д</x:v>
      </x:c>
      <x:c r="AC1328" s="20" t="str">
        <x:f>IF(AND(J1328="Рассчитано",T1328&gt;0,R1328&lt;100),(W1328+P1328+Q1328)/(T1328*(1-R1328/100)),"н/д")</x:f>
        <x:v>н/д</x:v>
      </x:c>
      <x:c r="AD1328" s="11" t="str">
        <x:f>IF(ISNUMBER(G1328),IF(G1328&lt;0,"Убыток",IF(G1328=0,"Без прибыли","Прибыль &gt; 0")),"Не оценён")</x:f>
        <x:v>Не оценён</x:v>
      </x:c>
      <x:c r="AE1328" s="12" t="str">
        <x:f>IF(J1328="Рассчитано","Выручка "&amp;TEXT(V1328,"0.00")&amp;" - себестоимость "&amp;TEXT(W1328,"0.00")&amp;" - комиссия "&amp;TEXT(V1328*R1328/100,"0.00")&amp;" - доставка "&amp;TEXT(P1328,"0.00")&amp;" - прочие "&amp;TEXT(Q1328,"0.00")&amp;" = "&amp;TEXT(G1328,"0.00")&amp;" "&amp;L1328,"Введите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8" s="23" t="n">
        <x:v>4.418216808296341</x:v>
      </x:c>
      <x:c r="AG1328" s="35" t="n">
        <x:v>53</x:v>
      </x:c>
      <x:c r="AH1328" s="35" t="n">
        <x:v>0</x:v>
      </x:c>
      <x:c r="AI1328" s="29" t="n">
        <x:v>46287</x:v>
      </x:c>
      <x:c r="AJ1328" s="35" t="n">
        <x:v>10</x:v>
      </x:c>
      <x:c r="AK1328" s="11" t="str">
        <x:v>кратность</x:v>
      </x:c>
      <x:c r="AL1328" s="31" t="n">
        <x:v>1022.8096701921093</x:v>
      </x:c>
      <x:c r="AM1328" s="12" t="str">
        <x:v>Нет ежедневных данных доступности. Запас более 180 дней при среднем спросе</x:v>
      </x:c>
      <x:c r="AN1328" s="12" t="str">
        <x:v>Проверить свободный остаток и установить цену для B2B</x:v>
      </x:c>
      <x:c r="AO1328" s="12" t="str">
        <x:v>Остаток 53; прогноз 90 дней 4.42; избыток 48 шт. Будущие поступления не выставляются на продажу.</x:v>
      </x:c>
      <x:c r="AP1328" s="12" t="str">
        <x:v>["daily_stockout_data_missing", "negative_net_sales_clipped_for_forecast", "new_order_lead_time_unknown"]</x:v>
      </x:c>
      <x:c r="AQ1328" s="11" t="str">
        <x:v>SE:300200449_</x:v>
      </x:c>
      <x:c r="AR1328" s="23" t="n">
        <x:v>1</x:v>
      </x:c>
      <x:c r="AS1328" s="23" t="n">
        <x:v>0</x:v>
      </x:c>
      <x:c r="AT1328" s="23" t="n">
        <x:v>0</x:v>
      </x:c>
    </x:row>
    <x:row r="1329" ht="64" customHeight="1">
      <x:c r="A1329" s="10" t="str">
        <x:v>Systeme Electric</x:v>
      </x:c>
      <x:c r="B1329" s="34" t="str">
        <x:v>300200450_</x:v>
      </x:c>
      <x:c r="C1329" s="34" t="str">
        <x:v>ATN000381</x:v>
      </x:c>
      <x:c r="D1329" s="13" t="str">
        <x:v>А402 Телефонная роз. RJ11 механизм б/рамки "ATLAS" алюминий ATN381 (10)</x:v>
      </x:c>
      <x:c r="E1329" s="10" t="str">
        <x:v>шт</x:v>
      </x:c>
      <x:c r="F1329" s="37" t="n">
        <x:f>MAX(0,ROUNDDOWN((AG1329-AF1329)/AR1329+0.000000001,0)*AR1329)</x:f>
        <x:v>91</x:v>
      </x:c>
      <x:c r="G1329" s="21" t="str">
        <x:f>IF(J1329="Рассчитано",V1329*(1-R1329/100)-W1329-P1329-Q1329,"н/д")</x:f>
        <x:v>н/д</x:v>
      </x:c>
      <x:c r="H1329" s="13" t="str">
        <x:v>Средний</x:v>
      </x:c>
      <x:c r="I1329" s="13" t="str">
        <x:v>Высокий</x:v>
      </x:c>
      <x:c r="J1329" s="13" t="str">
        <x:f>IF(L1329="","Укажите валюту",IF(NOT(ISNUMBER(K1329)),"Укажите объём",IF(K1329&lt;=0,"Укажите объём",IF(K1329&gt;F1329,"Объём выше излишка",IF(COUNT(M1329:O1329)&lt;3,"Нужны цены",IF(COUNT(P1329:R1329)&lt;3,"Нужны расходы",IF(OR(M1329&lt;0,N1329&lt;0,O1329&lt;0,O1329&gt;100,P1329&lt;0,Q1329&lt;0,R1329&lt;0,R1329&gt;100),"Проверьте значения","Рассчитано")))))))</x:f>
        <x:v>Нужны цены</x:v>
      </x:c>
      <x:c r="K1329" s="36" t="n">
        <x:v>91</x:v>
      </x:c>
      <x:c r="L1329" s="19" t="str">
        <x:v>KZT</x:v>
      </x:c>
      <x:c r="M1329" s="22"/>
      <x:c r="N1329" s="22"/>
      <x:c r="O1329" s="28"/>
      <x:c r="P1329" s="22"/>
      <x:c r="Q1329" s="22"/>
      <x:c r="R1329" s="28"/>
      <x:c r="S1329" s="22"/>
      <x:c r="T1329" s="37" t="n">
        <x:f>K1329</x:f>
        <x:v>91</x:v>
      </x:c>
      <x:c r="U1329" s="21" t="str">
        <x:f>IF(J1329="Рассчитано",N1329*(1-O1329/100),"н/д")</x:f>
        <x:v>н/д</x:v>
      </x:c>
      <x:c r="V1329" s="21" t="str">
        <x:f>IF(J1329="Рассчитано",T1329*U1329,"н/д")</x:f>
        <x:v>н/д</x:v>
      </x:c>
      <x:c r="W1329" s="21" t="str">
        <x:f>IF(J1329="Рассчитано",T1329*M1329,"н/д")</x:f>
        <x:v>н/д</x:v>
      </x:c>
      <x:c r="X1329" s="21" t="str">
        <x:f>IF(J1329="Рассчитано",V1329-W1329,"н/д")</x:f>
        <x:v>н/д</x:v>
      </x:c>
      <x:c r="Y1329" s="27" t="str">
        <x:f>IF(J1329="Рассчитано",IF(V1329&gt;0,G1329/V1329,"н/д"),"н/д")</x:f>
        <x:v>н/д</x:v>
      </x:c>
      <x:c r="Z1329" s="21" t="str">
        <x:f>"н/д"</x:f>
        <x:v>н/д</x:v>
      </x:c>
      <x:c r="AA1329" s="21" t="str">
        <x:f>"н/д"</x:f>
        <x:v>н/д</x:v>
      </x:c>
      <x:c r="AB1329" s="21" t="str">
        <x:f>"н/д"</x:f>
        <x:v>н/д</x:v>
      </x:c>
      <x:c r="AC1329" s="21" t="str">
        <x:f>IF(AND(J1329="Рассчитано",T1329&gt;0,R1329&lt;100),(W1329+P1329+Q1329)/(T1329*(1-R1329/100)),"н/д")</x:f>
        <x:v>н/д</x:v>
      </x:c>
      <x:c r="AD1329" s="10" t="str">
        <x:f>IF(ISNUMBER(G1329),IF(G1329&lt;0,"Убыток",IF(G1329=0,"Без прибыли","Прибыль &gt; 0")),"Не оценён")</x:f>
        <x:v>Не оценён</x:v>
      </x:c>
      <x:c r="AE1329" s="13" t="str">
        <x:f>IF(J1329="Рассчитано","Выручка "&amp;TEXT(V1329,"0.00")&amp;" - себестоимость "&amp;TEXT(W1329,"0.00")&amp;" - комиссия "&amp;TEXT(V1329*R1329/100,"0.00")&amp;" - доставка "&amp;TEXT(P1329,"0.00")&amp;" - прочие "&amp;TEXT(Q1329,"0.00")&amp;" = "&amp;TEXT(G1329,"0.00")&amp;" "&amp;L1329,"Введите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9" s="24" t="n">
        <x:v>0.10746293631690622</x:v>
      </x:c>
      <x:c r="AG1329" s="37" t="n">
        <x:v>92</x:v>
      </x:c>
      <x:c r="AH1329" s="37" t="n">
        <x:v>0</x:v>
      </x:c>
      <x:c r="AI1329" s="30" t="n">
        <x:v>46287</x:v>
      </x:c>
      <x:c r="AJ1329" s="37" t="n">
        <x:v>10</x:v>
      </x:c>
      <x:c r="AK1329" s="10" t="str">
        <x:v>кратность</x:v>
      </x:c>
      <x:c r="AL1329" s="32" t="n">
        <x:v>72995.33459695015</x:v>
      </x:c>
      <x:c r="AM1329" s="13" t="str">
        <x:v>Нет ежедневных данных доступности. Запас более 180 дней при среднем спросе</x:v>
      </x:c>
      <x:c r="AN1329" s="13" t="str">
        <x:v>Проверить свободный остаток и установить цену для B2B</x:v>
      </x:c>
      <x:c r="AO1329" s="13" t="str">
        <x:v>Остаток 92; прогноз 90 дней 0.11; избыток 91 шт. Будущие поступления не выставляются на продажу.</x:v>
      </x:c>
      <x:c r="AP1329" s="13" t="str">
        <x:v>["daily_stockout_data_missing", "negative_net_sales_clipped_for_forecast", "new_order_lead_time_unknown"]</x:v>
      </x:c>
      <x:c r="AQ1329" s="10" t="str">
        <x:v>SE:300200450_</x:v>
      </x:c>
      <x:c r="AR1329" s="24" t="n">
        <x:v>1</x:v>
      </x:c>
      <x:c r="AS1329" s="24" t="n">
        <x:v>0</x:v>
      </x:c>
      <x:c r="AT1329" s="24" t="n">
        <x:v>0</x:v>
      </x:c>
    </x:row>
    <x:row r="1330" ht="64" customHeight="1">
      <x:c r="A1330" s="11" t="str">
        <x:v>Systeme Electric</x:v>
      </x:c>
      <x:c r="B1330" s="33" t="str">
        <x:v>300200451_</x:v>
      </x:c>
      <x:c r="C1330" s="33" t="str">
        <x:v>ATN000363</x:v>
      </x:c>
      <x:c r="D1330" s="12" t="str">
        <x:v>А392 Переключ. 1 кл с инд 10А с/у б/рамки  "ATLAS" алюминий ATN363  (10)</x:v>
      </x:c>
      <x:c r="E1330" s="11" t="str">
        <x:v>шт</x:v>
      </x:c>
      <x:c r="F1330" s="35" t="n">
        <x:f>MAX(0,ROUNDDOWN((AG1330-AF1330)/AR1330+0.000000001,0)*AR1330)</x:f>
        <x:v>5</x:v>
      </x:c>
      <x:c r="G1330" s="20" t="str">
        <x:f>IF(J1330="Рассчитано",V1330*(1-R1330/100)-W1330-P1330-Q1330,"н/д")</x:f>
        <x:v>н/д</x:v>
      </x:c>
      <x:c r="H1330" s="12" t="str">
        <x:v>Средний</x:v>
      </x:c>
      <x:c r="I1330" s="12" t="str">
        <x:v>Высокий</x:v>
      </x:c>
      <x:c r="J1330" s="12" t="str">
        <x:f>IF(L1330="","Укажите валюту",IF(NOT(ISNUMBER(K1330)),"Укажите объём",IF(K1330&lt;=0,"Укажите объём",IF(K1330&gt;F1330,"Объём выше излишка",IF(COUNT(M1330:O1330)&lt;3,"Нужны цены",IF(COUNT(P1330:R1330)&lt;3,"Нужны расходы",IF(OR(M1330&lt;0,N1330&lt;0,O1330&lt;0,O1330&gt;100,P1330&lt;0,Q1330&lt;0,R1330&lt;0,R1330&gt;100),"Проверьте значения","Рассчитано")))))))</x:f>
        <x:v>Нужны цены</x:v>
      </x:c>
      <x:c r="K1330" s="36" t="n">
        <x:v>5</x:v>
      </x:c>
      <x:c r="L1330" s="19" t="str">
        <x:v>KZT</x:v>
      </x:c>
      <x:c r="M1330" s="22"/>
      <x:c r="N1330" s="22"/>
      <x:c r="O1330" s="28"/>
      <x:c r="P1330" s="22"/>
      <x:c r="Q1330" s="22"/>
      <x:c r="R1330" s="28"/>
      <x:c r="S1330" s="22"/>
      <x:c r="T1330" s="35" t="n">
        <x:f>K1330</x:f>
        <x:v>5</x:v>
      </x:c>
      <x:c r="U1330" s="20" t="str">
        <x:f>IF(J1330="Рассчитано",N1330*(1-O1330/100),"н/д")</x:f>
        <x:v>н/д</x:v>
      </x:c>
      <x:c r="V1330" s="20" t="str">
        <x:f>IF(J1330="Рассчитано",T1330*U1330,"н/д")</x:f>
        <x:v>н/д</x:v>
      </x:c>
      <x:c r="W1330" s="20" t="str">
        <x:f>IF(J1330="Рассчитано",T1330*M1330,"н/д")</x:f>
        <x:v>н/д</x:v>
      </x:c>
      <x:c r="X1330" s="20" t="str">
        <x:f>IF(J1330="Рассчитано",V1330-W1330,"н/д")</x:f>
        <x:v>н/д</x:v>
      </x:c>
      <x:c r="Y1330" s="26" t="str">
        <x:f>IF(J1330="Рассчитано",IF(V1330&gt;0,G1330/V1330,"н/д"),"н/д")</x:f>
        <x:v>н/д</x:v>
      </x:c>
      <x:c r="Z1330" s="20" t="str">
        <x:f>"н/д"</x:f>
        <x:v>н/д</x:v>
      </x:c>
      <x:c r="AA1330" s="20" t="str">
        <x:f>"н/д"</x:f>
        <x:v>н/д</x:v>
      </x:c>
      <x:c r="AB1330" s="20" t="str">
        <x:f>"н/д"</x:f>
        <x:v>н/д</x:v>
      </x:c>
      <x:c r="AC1330" s="20" t="str">
        <x:f>IF(AND(J1330="Рассчитано",T1330&gt;0,R1330&lt;100),(W1330+P1330+Q1330)/(T1330*(1-R1330/100)),"н/д")</x:f>
        <x:v>н/д</x:v>
      </x:c>
      <x:c r="AD1330" s="11" t="str">
        <x:f>IF(ISNUMBER(G1330),IF(G1330&lt;0,"Убыток",IF(G1330=0,"Без прибыли","Прибыль &gt; 0")),"Не оценён")</x:f>
        <x:v>Не оценён</x:v>
      </x:c>
      <x:c r="AE1330" s="12" t="str">
        <x:f>IF(J1330="Рассчитано","Выручка "&amp;TEXT(V1330,"0.00")&amp;" - себестоимость "&amp;TEXT(W1330,"0.00")&amp;" - комиссия "&amp;TEXT(V1330*R1330/100,"0.00")&amp;" - доставка "&amp;TEXT(P1330,"0.00")&amp;" - прочие "&amp;TEXT(Q1330,"0.00")&amp;" = "&amp;TEXT(G1330,"0.00")&amp;" "&amp;L1330,"Введите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0" s="23" t="n">
        <x:v>1.4713262955170792</x:v>
      </x:c>
      <x:c r="AG1330" s="35" t="n">
        <x:v>7</x:v>
      </x:c>
      <x:c r="AH1330" s="35" t="n">
        <x:v>0</x:v>
      </x:c>
      <x:c r="AI1330" s="29" t="n">
        <x:v>46287</x:v>
      </x:c>
      <x:c r="AJ1330" s="35" t="n">
        <x:v>10</x:v>
      </x:c>
      <x:c r="AK1330" s="11" t="str">
        <x:v>кратность</x:v>
      </x:c>
      <x:c r="AL1330" s="31" t="n">
        <x:v>405.6533086764476</x:v>
      </x:c>
      <x:c r="AM1330" s="12" t="str">
        <x:v>Нет ежедневных данных доступности. Запас более 180 дней при среднем спросе</x:v>
      </x:c>
      <x:c r="AN1330" s="12" t="str">
        <x:v>Проверить свободный остаток и установить цену для B2B</x:v>
      </x:c>
      <x:c r="AO1330" s="12" t="str">
        <x:v>Остаток 7; прогноз 90 дней 1.47; избыток 5 шт. Будущие поступления не выставляются на продажу.</x:v>
      </x:c>
      <x:c r="AP1330" s="12" t="str">
        <x:v>["daily_stockout_data_missing", "negative_net_sales_clipped_for_forecast", "new_order_lead_time_unknown"]</x:v>
      </x:c>
      <x:c r="AQ1330" s="11" t="str">
        <x:v>SE:300200451_</x:v>
      </x:c>
      <x:c r="AR1330" s="23" t="n">
        <x:v>1</x:v>
      </x:c>
      <x:c r="AS1330" s="23" t="n">
        <x:v>0</x:v>
      </x:c>
      <x:c r="AT1330" s="23" t="n">
        <x:v>0</x:v>
      </x:c>
    </x:row>
    <x:row r="1331" ht="64" customHeight="1">
      <x:c r="A1331" s="10" t="str">
        <x:v>Systeme Electric</x:v>
      </x:c>
      <x:c r="B1331" s="34" t="str">
        <x:v>300200452_</x:v>
      </x:c>
      <x:c r="C1331" s="34" t="str">
        <x:v>ATN000328</x:v>
      </x:c>
      <x:c r="D1331" s="13" t="str">
        <x:v>А396 Роз. 2-ная с/у 16А с з/к з/ш со сдвиж.крыш."ATLAS" алюминий ATN328 (6)</x:v>
      </x:c>
      <x:c r="E1331" s="10" t="str">
        <x:v>шт</x:v>
      </x:c>
      <x:c r="F1331" s="37" t="n">
        <x:f>MAX(0,ROUNDDOWN((AG1331-AF1331)/AR1331+0.000000001,0)*AR1331)</x:f>
        <x:v>6</x:v>
      </x:c>
      <x:c r="G1331" s="21" t="str">
        <x:f>IF(J1331="Рассчитано",V1331*(1-R1331/100)-W1331-P1331-Q1331,"н/д")</x:f>
        <x:v>н/д</x:v>
      </x:c>
      <x:c r="H1331" s="13" t="str">
        <x:v>Средний</x:v>
      </x:c>
      <x:c r="I1331" s="13" t="str">
        <x:v>Высокий</x:v>
      </x:c>
      <x:c r="J1331" s="13" t="str">
        <x:f>IF(L1331="","Укажите валюту",IF(NOT(ISNUMBER(K1331)),"Укажите объём",IF(K1331&lt;=0,"Укажите объём",IF(K1331&gt;F1331,"Объём выше излишка",IF(COUNT(M1331:O1331)&lt;3,"Нужны цены",IF(COUNT(P1331:R1331)&lt;3,"Нужны расходы",IF(OR(M1331&lt;0,N1331&lt;0,O1331&lt;0,O1331&gt;100,P1331&lt;0,Q1331&lt;0,R1331&lt;0,R1331&gt;100),"Проверьте значения","Рассчитано")))))))</x:f>
        <x:v>Нужны цены</x:v>
      </x:c>
      <x:c r="K1331" s="36" t="n">
        <x:v>6</x:v>
      </x:c>
      <x:c r="L1331" s="19" t="str">
        <x:v>KZT</x:v>
      </x:c>
      <x:c r="M1331" s="22"/>
      <x:c r="N1331" s="22"/>
      <x:c r="O1331" s="28"/>
      <x:c r="P1331" s="22"/>
      <x:c r="Q1331" s="22"/>
      <x:c r="R1331" s="28"/>
      <x:c r="S1331" s="22"/>
      <x:c r="T1331" s="37" t="n">
        <x:f>K1331</x:f>
        <x:v>6</x:v>
      </x:c>
      <x:c r="U1331" s="21" t="str">
        <x:f>IF(J1331="Рассчитано",N1331*(1-O1331/100),"н/д")</x:f>
        <x:v>н/д</x:v>
      </x:c>
      <x:c r="V1331" s="21" t="str">
        <x:f>IF(J1331="Рассчитано",T1331*U1331,"н/д")</x:f>
        <x:v>н/д</x:v>
      </x:c>
      <x:c r="W1331" s="21" t="str">
        <x:f>IF(J1331="Рассчитано",T1331*M1331,"н/д")</x:f>
        <x:v>н/д</x:v>
      </x:c>
      <x:c r="X1331" s="21" t="str">
        <x:f>IF(J1331="Рассчитано",V1331-W1331,"н/д")</x:f>
        <x:v>н/д</x:v>
      </x:c>
      <x:c r="Y1331" s="27" t="str">
        <x:f>IF(J1331="Рассчитано",IF(V1331&gt;0,G1331/V1331,"н/д"),"н/д")</x:f>
        <x:v>н/д</x:v>
      </x:c>
      <x:c r="Z1331" s="21" t="str">
        <x:f>"н/д"</x:f>
        <x:v>н/д</x:v>
      </x:c>
      <x:c r="AA1331" s="21" t="str">
        <x:f>"н/д"</x:f>
        <x:v>н/д</x:v>
      </x:c>
      <x:c r="AB1331" s="21" t="str">
        <x:f>"н/д"</x:f>
        <x:v>н/д</x:v>
      </x:c>
      <x:c r="AC1331" s="21" t="str">
        <x:f>IF(AND(J1331="Рассчитано",T1331&gt;0,R1331&lt;100),(W1331+P1331+Q1331)/(T1331*(1-R1331/100)),"н/д")</x:f>
        <x:v>н/д</x:v>
      </x:c>
      <x:c r="AD1331" s="10" t="str">
        <x:f>IF(ISNUMBER(G1331),IF(G1331&lt;0,"Убыток",IF(G1331=0,"Без прибыли","Прибыль &gt; 0")),"Не оценён")</x:f>
        <x:v>Не оценён</x:v>
      </x:c>
      <x:c r="AE1331" s="13" t="str">
        <x:f>IF(J1331="Рассчитано","Выручка "&amp;TEXT(V1331,"0.00")&amp;" - себестоимость "&amp;TEXT(W1331,"0.00")&amp;" - комиссия "&amp;TEXT(V1331*R1331/100,"0.00")&amp;" - доставка "&amp;TEXT(P1331,"0.00")&amp;" - прочие "&amp;TEXT(Q1331,"0.00")&amp;" = "&amp;TEXT(G1331,"0.00")&amp;" "&amp;L1331,"Введите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1" s="24" t="n">
        <x:v>1.7270129636491993</x:v>
      </x:c>
      <x:c r="AG1331" s="37" t="n">
        <x:v>8</x:v>
      </x:c>
      <x:c r="AH1331" s="37" t="n">
        <x:v>0</x:v>
      </x:c>
      <x:c r="AI1331" s="30" t="n">
        <x:v>46287</x:v>
      </x:c>
      <x:c r="AJ1331" s="37" t="n">
        <x:v>6</x:v>
      </x:c>
      <x:c r="AK1331" s="10" t="str">
        <x:v>кратность</x:v>
      </x:c>
      <x:c r="AL1331" s="32" t="n">
        <x:v>394.96659755930176</x:v>
      </x:c>
      <x:c r="AM1331" s="13" t="str">
        <x:v>Нет ежедневных данных доступности. Запас более 180 дней при среднем спросе</x:v>
      </x:c>
      <x:c r="AN1331" s="13" t="str">
        <x:v>Проверить свободный остаток и установить цену для B2B</x:v>
      </x:c>
      <x:c r="AO1331" s="13" t="str">
        <x:v>Остаток 8; прогноз 90 дней 1.73; избыток 6 шт. Будущие поступления не выставляются на продажу.</x:v>
      </x:c>
      <x:c r="AP1331" s="13" t="str">
        <x:v>["daily_stockout_data_missing", "negative_net_sales_clipped_for_forecast", "new_order_lead_time_unknown"]</x:v>
      </x:c>
      <x:c r="AQ1331" s="10" t="str">
        <x:v>SE:300200452_</x:v>
      </x:c>
      <x:c r="AR1331" s="24" t="n">
        <x:v>1</x:v>
      </x:c>
      <x:c r="AS1331" s="24" t="n">
        <x:v>0</x:v>
      </x:c>
      <x:c r="AT1331" s="24" t="n">
        <x:v>0</x:v>
      </x:c>
    </x:row>
    <x:row r="1332" ht="64" customHeight="1">
      <x:c r="A1332" s="11" t="str">
        <x:v>Systeme Electric</x:v>
      </x:c>
      <x:c r="B1332" s="33" t="str">
        <x:v>300200459_</x:v>
      </x:c>
      <x:c r="C1332" s="33" t="str">
        <x:v>ATN001012</x:v>
      </x:c>
      <x:c r="D1332" s="12" t="str">
        <x:v>K068 Выкл 1 кл 10А с/у "ATLAS" КАРБОН ATN1012 (5)</x:v>
      </x:c>
      <x:c r="E1332" s="11" t="str">
        <x:v>шт</x:v>
      </x:c>
      <x:c r="F1332" s="35" t="n">
        <x:f>MAX(0,ROUNDDOWN((AG1332-AF1332)/AR1332+0.000000001,0)*AR1332)</x:f>
        <x:v>67</x:v>
      </x:c>
      <x:c r="G1332" s="20" t="str">
        <x:f>IF(J1332="Рассчитано",V1332*(1-R1332/100)-W1332-P1332-Q1332,"н/д")</x:f>
        <x:v>н/д</x:v>
      </x:c>
      <x:c r="H1332" s="12" t="str">
        <x:v>Средний</x:v>
      </x:c>
      <x:c r="I1332" s="12" t="str">
        <x:v>Средний</x:v>
      </x:c>
      <x:c r="J1332" s="12" t="str">
        <x:f>IF(L1332="","Укажите валюту",IF(NOT(ISNUMBER(K1332)),"Укажите объём",IF(K1332&lt;=0,"Укажите объём",IF(K1332&gt;F1332,"Объём выше излишка",IF(COUNT(M1332:O1332)&lt;3,"Нужны цены",IF(COUNT(P1332:R1332)&lt;3,"Нужны расходы",IF(OR(M1332&lt;0,N1332&lt;0,O1332&lt;0,O1332&gt;100,P1332&lt;0,Q1332&lt;0,R1332&lt;0,R1332&gt;100),"Проверьте значения","Рассчитано")))))))</x:f>
        <x:v>Нужны цены</x:v>
      </x:c>
      <x:c r="K1332" s="36" t="n">
        <x:v>67</x:v>
      </x:c>
      <x:c r="L1332" s="19" t="str">
        <x:v>KZT</x:v>
      </x:c>
      <x:c r="M1332" s="22"/>
      <x:c r="N1332" s="22"/>
      <x:c r="O1332" s="28"/>
      <x:c r="P1332" s="22"/>
      <x:c r="Q1332" s="22"/>
      <x:c r="R1332" s="28"/>
      <x:c r="S1332" s="22"/>
      <x:c r="T1332" s="35" t="n">
        <x:f>K1332</x:f>
        <x:v>67</x:v>
      </x:c>
      <x:c r="U1332" s="20" t="str">
        <x:f>IF(J1332="Рассчитано",N1332*(1-O1332/100),"н/д")</x:f>
        <x:v>н/д</x:v>
      </x:c>
      <x:c r="V1332" s="20" t="str">
        <x:f>IF(J1332="Рассчитано",T1332*U1332,"н/д")</x:f>
        <x:v>н/д</x:v>
      </x:c>
      <x:c r="W1332" s="20" t="str">
        <x:f>IF(J1332="Рассчитано",T1332*M1332,"н/д")</x:f>
        <x:v>н/д</x:v>
      </x:c>
      <x:c r="X1332" s="20" t="str">
        <x:f>IF(J1332="Рассчитано",V1332-W1332,"н/д")</x:f>
        <x:v>н/д</x:v>
      </x:c>
      <x:c r="Y1332" s="26" t="str">
        <x:f>IF(J1332="Рассчитано",IF(V1332&gt;0,G1332/V1332,"н/д"),"н/д")</x:f>
        <x:v>н/д</x:v>
      </x:c>
      <x:c r="Z1332" s="20" t="str">
        <x:f>"н/д"</x:f>
        <x:v>н/д</x:v>
      </x:c>
      <x:c r="AA1332" s="20" t="str">
        <x:f>"н/д"</x:f>
        <x:v>н/д</x:v>
      </x:c>
      <x:c r="AB1332" s="20" t="str">
        <x:f>"н/д"</x:f>
        <x:v>н/д</x:v>
      </x:c>
      <x:c r="AC1332" s="20" t="str">
        <x:f>IF(AND(J1332="Рассчитано",T1332&gt;0,R1332&lt;100),(W1332+P1332+Q1332)/(T1332*(1-R1332/100)),"н/д")</x:f>
        <x:v>н/д</x:v>
      </x:c>
      <x:c r="AD1332" s="11" t="str">
        <x:f>IF(ISNUMBER(G1332),IF(G1332&lt;0,"Убыток",IF(G1332=0,"Без прибыли","Прибыль &gt; 0")),"Не оценён")</x:f>
        <x:v>Не оценён</x:v>
      </x:c>
      <x:c r="AE1332" s="12" t="str">
        <x:f>IF(J1332="Рассчитано","Выручка "&amp;TEXT(V1332,"0.00")&amp;" - себестоимость "&amp;TEXT(W1332,"0.00")&amp;" - комиссия "&amp;TEXT(V1332*R1332/100,"0.00")&amp;" - доставка "&amp;TEXT(P1332,"0.00")&amp;" - прочие "&amp;TEXT(Q1332,"0.00")&amp;" = "&amp;TEXT(G1332,"0.00")&amp;" "&amp;L1332,"Введите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2" s="23" t="n">
        <x:v>116.10677817467052</x:v>
      </x:c>
      <x:c r="AG1332" s="35" t="n">
        <x:v>184</x:v>
      </x:c>
      <x:c r="AH1332" s="35" t="n">
        <x:v>0</x:v>
      </x:c>
      <x:c r="AI1332" s="29" t="n">
        <x:v>46287</x:v>
      </x:c>
      <x:c r="AJ1332" s="35" t="n">
        <x:v>5</x:v>
      </x:c>
      <x:c r="AK1332" s="11" t="str">
        <x:v>кратность</x:v>
      </x:c>
      <x:c r="AL1332" s="31" t="n">
        <x:v>135.1220508663565</x:v>
      </x:c>
      <x:c r="AM1332" s="12" t="str">
        <x:v>Детальные и месячные продажи расходятся; Нет ежедневных данных доступности. Запас выше прогноза на 90 дней</x:v>
      </x:c>
      <x:c r="AN1332" s="12" t="str">
        <x:v>Проверить свободный остаток и установить цену для B2B</x:v>
      </x:c>
      <x:c r="AO1332" s="12" t="str">
        <x:v>Остаток 184; прогноз 90 дней 116.11; избыток 67 шт. Будущие поступления не выставляются на продажу.</x:v>
      </x:c>
      <x:c r="AP1332" s="12" t="str">
        <x:v>["daily_stockout_data_missing", "large_orders_detected", "new_order_lead_time_unknown", "transaction_month_mismatch"]</x:v>
      </x:c>
      <x:c r="AQ1332" s="11" t="str">
        <x:v>SE:300200459_</x:v>
      </x:c>
      <x:c r="AR1332" s="23" t="n">
        <x:v>1</x:v>
      </x:c>
      <x:c r="AS1332" s="23" t="n">
        <x:v>0</x:v>
      </x:c>
      <x:c r="AT1332" s="23" t="n">
        <x:v>0</x:v>
      </x:c>
    </x:row>
    <x:row r="1333" ht="64" customHeight="1">
      <x:c r="A1333" s="10" t="str">
        <x:v>Systeme Electric</x:v>
      </x:c>
      <x:c r="B1333" s="34" t="str">
        <x:v>300200464_</x:v>
      </x:c>
      <x:c r="C1333" s="34" t="str">
        <x:v>ATN001002</x:v>
      </x:c>
      <x:c r="D1333" s="13" t="str">
        <x:v>K085 Рамка 2-ая "ATLAS" КАРБОН ATN1002 (5)</x:v>
      </x:c>
      <x:c r="E1333" s="10" t="str">
        <x:v>шт</x:v>
      </x:c>
      <x:c r="F1333" s="37" t="n">
        <x:f>MAX(0,ROUNDDOWN((AG1333-AF1333)/AR1333+0.000000001,0)*AR1333)</x:f>
        <x:v>17</x:v>
      </x:c>
      <x:c r="G1333" s="21" t="str">
        <x:f>IF(J1333="Рассчитано",V1333*(1-R1333/100)-W1333-P1333-Q1333,"н/д")</x:f>
        <x:v>н/д</x:v>
      </x:c>
      <x:c r="H1333" s="13" t="str">
        <x:v>Средний</x:v>
      </x:c>
      <x:c r="I1333" s="13" t="str">
        <x:v>Средний</x:v>
      </x:c>
      <x:c r="J1333" s="13" t="str">
        <x:f>IF(L1333="","Укажите валюту",IF(NOT(ISNUMBER(K1333)),"Укажите объём",IF(K1333&lt;=0,"Укажите объём",IF(K1333&gt;F1333,"Объём выше излишка",IF(COUNT(M1333:O1333)&lt;3,"Нужны цены",IF(COUNT(P1333:R1333)&lt;3,"Нужны расходы",IF(OR(M1333&lt;0,N1333&lt;0,O1333&lt;0,O1333&gt;100,P1333&lt;0,Q1333&lt;0,R1333&lt;0,R1333&gt;100),"Проверьте значения","Рассчитано")))))))</x:f>
        <x:v>Нужны цены</x:v>
      </x:c>
      <x:c r="K1333" s="36" t="n">
        <x:v>17</x:v>
      </x:c>
      <x:c r="L1333" s="19" t="str">
        <x:v>KZT</x:v>
      </x:c>
      <x:c r="M1333" s="22"/>
      <x:c r="N1333" s="22"/>
      <x:c r="O1333" s="28"/>
      <x:c r="P1333" s="22"/>
      <x:c r="Q1333" s="22"/>
      <x:c r="R1333" s="28"/>
      <x:c r="S1333" s="22"/>
      <x:c r="T1333" s="37" t="n">
        <x:f>K1333</x:f>
        <x:v>17</x:v>
      </x:c>
      <x:c r="U1333" s="21" t="str">
        <x:f>IF(J1333="Рассчитано",N1333*(1-O1333/100),"н/д")</x:f>
        <x:v>н/д</x:v>
      </x:c>
      <x:c r="V1333" s="21" t="str">
        <x:f>IF(J1333="Рассчитано",T1333*U1333,"н/д")</x:f>
        <x:v>н/д</x:v>
      </x:c>
      <x:c r="W1333" s="21" t="str">
        <x:f>IF(J1333="Рассчитано",T1333*M1333,"н/д")</x:f>
        <x:v>н/д</x:v>
      </x:c>
      <x:c r="X1333" s="21" t="str">
        <x:f>IF(J1333="Рассчитано",V1333-W1333,"н/д")</x:f>
        <x:v>н/д</x:v>
      </x:c>
      <x:c r="Y1333" s="27" t="str">
        <x:f>IF(J1333="Рассчитано",IF(V1333&gt;0,G1333/V1333,"н/д"),"н/д")</x:f>
        <x:v>н/д</x:v>
      </x:c>
      <x:c r="Z1333" s="21" t="str">
        <x:f>"н/д"</x:f>
        <x:v>н/д</x:v>
      </x:c>
      <x:c r="AA1333" s="21" t="str">
        <x:f>"н/д"</x:f>
        <x:v>н/д</x:v>
      </x:c>
      <x:c r="AB1333" s="21" t="str">
        <x:f>"н/д"</x:f>
        <x:v>н/д</x:v>
      </x:c>
      <x:c r="AC1333" s="21" t="str">
        <x:f>IF(AND(J1333="Рассчитано",T1333&gt;0,R1333&lt;100),(W1333+P1333+Q1333)/(T1333*(1-R1333/100)),"н/д")</x:f>
        <x:v>н/д</x:v>
      </x:c>
      <x:c r="AD1333" s="10" t="str">
        <x:f>IF(ISNUMBER(G1333),IF(G1333&lt;0,"Убыток",IF(G1333=0,"Без прибыли","Прибыль &gt; 0")),"Не оценён")</x:f>
        <x:v>Не оценён</x:v>
      </x:c>
      <x:c r="AE1333" s="13" t="str">
        <x:f>IF(J1333="Рассчитано","Выручка "&amp;TEXT(V1333,"0.00")&amp;" - себестоимость "&amp;TEXT(W1333,"0.00")&amp;" - комиссия "&amp;TEXT(V1333*R1333/100,"0.00")&amp;" - доставка "&amp;TEXT(P1333,"0.00")&amp;" - прочие "&amp;TEXT(Q1333,"0.00")&amp;" = "&amp;TEXT(G1333,"0.00")&amp;" "&amp;L1333,"Введите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3" s="24" t="n">
        <x:v>869.9100174289681</x:v>
      </x:c>
      <x:c r="AG1333" s="37" t="n">
        <x:v>887</x:v>
      </x:c>
      <x:c r="AH1333" s="37" t="n">
        <x:v>0</x:v>
      </x:c>
      <x:c r="AI1333" s="30" t="n">
        <x:v>46287</x:v>
      </x:c>
      <x:c r="AJ1333" s="37" t="n">
        <x:v>10</x:v>
      </x:c>
      <x:c r="AK1333" s="10" t="str">
        <x:v>кратность</x:v>
      </x:c>
      <x:c r="AL1333" s="32" t="n">
        <x:v>86.9391254565717</x:v>
      </x:c>
      <x:c r="AM1333" s="13" t="str">
        <x:v>Детальные и месячные продажи расходятся; Нет ежедневных данных доступности. Запас выше прогноза на 90 дней</x:v>
      </x:c>
      <x:c r="AN1333" s="13" t="str">
        <x:v>Проверить свободный остаток и установить цену для B2B</x:v>
      </x:c>
      <x:c r="AO1333" s="13" t="str">
        <x:v>Остаток 887; прогноз 90 дней 869.91; избыток 17 шт. Будущие поступления не выставляются на продажу.</x:v>
      </x:c>
      <x:c r="AP1333" s="13" t="str">
        <x:v>["daily_stockout_data_missing", "large_orders_detected", "new_order_lead_time_unknown", "transaction_month_mismatch"]</x:v>
      </x:c>
      <x:c r="AQ1333" s="10" t="str">
        <x:v>SE:300200464_</x:v>
      </x:c>
      <x:c r="AR1333" s="24" t="n">
        <x:v>1</x:v>
      </x:c>
      <x:c r="AS1333" s="24" t="n">
        <x:v>0</x:v>
      </x:c>
      <x:c r="AT1333" s="24" t="n">
        <x:v>0</x:v>
      </x:c>
    </x:row>
    <x:row r="1334" ht="64" customHeight="1">
      <x:c r="A1334" s="11" t="str">
        <x:v>Systeme Electric</x:v>
      </x:c>
      <x:c r="B1334" s="33" t="str">
        <x:v>300200465_</x:v>
      </x:c>
      <x:c r="C1334" s="33" t="str">
        <x:v>ATN001003</x:v>
      </x:c>
      <x:c r="D1334" s="12" t="str">
        <x:v>K086 Рамка 3-ая "ATLAS" КАРБОН ATN1003 (15)</x:v>
      </x:c>
      <x:c r="E1334" s="11" t="str">
        <x:v>шт</x:v>
      </x:c>
      <x:c r="F1334" s="35" t="n">
        <x:f>MAX(0,ROUNDDOWN((AG1334-AF1334)/AR1334+0.000000001,0)*AR1334)</x:f>
        <x:v>11</x:v>
      </x:c>
      <x:c r="G1334" s="20" t="str">
        <x:f>IF(J1334="Рассчитано",V1334*(1-R1334/100)-W1334-P1334-Q1334,"н/д")</x:f>
        <x:v>н/д</x:v>
      </x:c>
      <x:c r="H1334" s="12" t="str">
        <x:v>Средний</x:v>
      </x:c>
      <x:c r="I1334" s="12" t="str">
        <x:v>Средний</x:v>
      </x:c>
      <x:c r="J1334" s="12" t="str">
        <x:f>IF(L1334="","Укажите валюту",IF(NOT(ISNUMBER(K1334)),"Укажите объём",IF(K1334&lt;=0,"Укажите объём",IF(K1334&gt;F1334,"Объём выше излишка",IF(COUNT(M1334:O1334)&lt;3,"Нужны цены",IF(COUNT(P1334:R1334)&lt;3,"Нужны расходы",IF(OR(M1334&lt;0,N1334&lt;0,O1334&lt;0,O1334&gt;100,P1334&lt;0,Q1334&lt;0,R1334&lt;0,R1334&gt;100),"Проверьте значения","Рассчитано")))))))</x:f>
        <x:v>Нужны цены</x:v>
      </x:c>
      <x:c r="K1334" s="36" t="n">
        <x:v>11</x:v>
      </x:c>
      <x:c r="L1334" s="19" t="str">
        <x:v>KZT</x:v>
      </x:c>
      <x:c r="M1334" s="22"/>
      <x:c r="N1334" s="22"/>
      <x:c r="O1334" s="28"/>
      <x:c r="P1334" s="22"/>
      <x:c r="Q1334" s="22"/>
      <x:c r="R1334" s="28"/>
      <x:c r="S1334" s="22"/>
      <x:c r="T1334" s="35" t="n">
        <x:f>K1334</x:f>
        <x:v>11</x:v>
      </x:c>
      <x:c r="U1334" s="20" t="str">
        <x:f>IF(J1334="Рассчитано",N1334*(1-O1334/100),"н/д")</x:f>
        <x:v>н/д</x:v>
      </x:c>
      <x:c r="V1334" s="20" t="str">
        <x:f>IF(J1334="Рассчитано",T1334*U1334,"н/д")</x:f>
        <x:v>н/д</x:v>
      </x:c>
      <x:c r="W1334" s="20" t="str">
        <x:f>IF(J1334="Рассчитано",T1334*M1334,"н/д")</x:f>
        <x:v>н/д</x:v>
      </x:c>
      <x:c r="X1334" s="20" t="str">
        <x:f>IF(J1334="Рассчитано",V1334-W1334,"н/д")</x:f>
        <x:v>н/д</x:v>
      </x:c>
      <x:c r="Y1334" s="26" t="str">
        <x:f>IF(J1334="Рассчитано",IF(V1334&gt;0,G1334/V1334,"н/д"),"н/д")</x:f>
        <x:v>н/д</x:v>
      </x:c>
      <x:c r="Z1334" s="20" t="str">
        <x:f>"н/д"</x:f>
        <x:v>н/д</x:v>
      </x:c>
      <x:c r="AA1334" s="20" t="str">
        <x:f>"н/д"</x:f>
        <x:v>н/д</x:v>
      </x:c>
      <x:c r="AB1334" s="20" t="str">
        <x:f>"н/д"</x:f>
        <x:v>н/д</x:v>
      </x:c>
      <x:c r="AC1334" s="20" t="str">
        <x:f>IF(AND(J1334="Рассчитано",T1334&gt;0,R1334&lt;100),(W1334+P1334+Q1334)/(T1334*(1-R1334/100)),"н/д")</x:f>
        <x:v>н/д</x:v>
      </x:c>
      <x:c r="AD1334" s="11" t="str">
        <x:f>IF(ISNUMBER(G1334),IF(G1334&lt;0,"Убыток",IF(G1334=0,"Без прибыли","Прибыль &gt; 0")),"Не оценён")</x:f>
        <x:v>Не оценён</x:v>
      </x:c>
      <x:c r="AE1334" s="12" t="str">
        <x:f>IF(J1334="Рассчитано","Выручка "&amp;TEXT(V1334,"0.00")&amp;" - себестоимость "&amp;TEXT(W1334,"0.00")&amp;" - комиссия "&amp;TEXT(V1334*R1334/100,"0.00")&amp;" - доставка "&amp;TEXT(P1334,"0.00")&amp;" - прочие "&amp;TEXT(Q1334,"0.00")&amp;" = "&amp;TEXT(G1334,"0.00")&amp;" "&amp;L1334,"Введите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4" s="23" t="n">
        <x:v>445.84845918488656</x:v>
      </x:c>
      <x:c r="AG1334" s="35" t="n">
        <x:v>457</x:v>
      </x:c>
      <x:c r="AH1334" s="35" t="n">
        <x:v>0</x:v>
      </x:c>
      <x:c r="AI1334" s="29" t="n">
        <x:v>46287</x:v>
      </x:c>
      <x:c r="AJ1334" s="35" t="n">
        <x:v>5</x:v>
      </x:c>
      <x:c r="AK1334" s="11" t="str">
        <x:v>кратность</x:v>
      </x:c>
      <x:c r="AL1334" s="31" t="n">
        <x:v>87.39667481307933</x:v>
      </x:c>
      <x:c r="AM1334" s="12" t="str">
        <x:v>Детальные и месячные продажи расходятся; Нет ежедневных данных доступности. Запас выше прогноза на 90 дней</x:v>
      </x:c>
      <x:c r="AN1334" s="12" t="str">
        <x:v>Проверить свободный остаток и установить цену для B2B</x:v>
      </x:c>
      <x:c r="AO1334" s="12" t="str">
        <x:v>Остаток 457; прогноз 90 дней 445.85; избыток 11 шт. Будущие поступления не выставляются на продажу.</x:v>
      </x:c>
      <x:c r="AP1334" s="12" t="str">
        <x:v>["daily_stockout_data_missing", "large_orders_detected", "new_order_lead_time_unknown", "transaction_month_mismatch"]</x:v>
      </x:c>
      <x:c r="AQ1334" s="11" t="str">
        <x:v>SE:300200465_</x:v>
      </x:c>
      <x:c r="AR1334" s="23" t="n">
        <x:v>1</x:v>
      </x:c>
      <x:c r="AS1334" s="23" t="n">
        <x:v>0</x:v>
      </x:c>
      <x:c r="AT1334" s="23" t="n">
        <x:v>0</x:v>
      </x:c>
    </x:row>
    <x:row r="1335" ht="64" customHeight="1">
      <x:c r="A1335" s="10" t="str">
        <x:v>Systeme Electric</x:v>
      </x:c>
      <x:c r="B1335" s="34" t="str">
        <x:v>300200470_</x:v>
      </x:c>
      <x:c r="C1335" s="34" t="str">
        <x:v>ATN001081</x:v>
      </x:c>
      <x:c r="D1335" s="13" t="str">
        <x:v>K083 Телефонная роз. RJ11 механизм б/рамки "ATLAS" КАРБОН ATN1081</x:v>
      </x:c>
      <x:c r="E1335" s="10" t="str">
        <x:v>шт</x:v>
      </x:c>
      <x:c r="F1335" s="37" t="n">
        <x:f>MAX(0,ROUNDDOWN((AG1335-AF1335)/AR1335+0.000000001,0)*AR1335)</x:f>
        <x:v>27</x:v>
      </x:c>
      <x:c r="G1335" s="21" t="str">
        <x:f>IF(J1335="Рассчитано",V1335*(1-R1335/100)-W1335-P1335-Q1335,"н/д")</x:f>
        <x:v>н/д</x:v>
      </x:c>
      <x:c r="H1335" s="13" t="str">
        <x:v>Средний</x:v>
      </x:c>
      <x:c r="I1335" s="13" t="str">
        <x:v>Высокий</x:v>
      </x:c>
      <x:c r="J1335" s="13" t="str">
        <x:f>IF(L1335="","Укажите валюту",IF(NOT(ISNUMBER(K1335)),"Укажите объём",IF(K1335&lt;=0,"Укажите объём",IF(K1335&gt;F1335,"Объём выше излишка",IF(COUNT(M1335:O1335)&lt;3,"Нужны цены",IF(COUNT(P1335:R1335)&lt;3,"Нужны расходы",IF(OR(M1335&lt;0,N1335&lt;0,O1335&lt;0,O1335&gt;100,P1335&lt;0,Q1335&lt;0,R1335&lt;0,R1335&gt;100),"Проверьте значения","Рассчитано")))))))</x:f>
        <x:v>Нужны цены</x:v>
      </x:c>
      <x:c r="K1335" s="36" t="n">
        <x:v>27</x:v>
      </x:c>
      <x:c r="L1335" s="19" t="str">
        <x:v>KZT</x:v>
      </x:c>
      <x:c r="M1335" s="22"/>
      <x:c r="N1335" s="22"/>
      <x:c r="O1335" s="28"/>
      <x:c r="P1335" s="22"/>
      <x:c r="Q1335" s="22"/>
      <x:c r="R1335" s="28"/>
      <x:c r="S1335" s="22"/>
      <x:c r="T1335" s="37" t="n">
        <x:f>K1335</x:f>
        <x:v>27</x:v>
      </x:c>
      <x:c r="U1335" s="21" t="str">
        <x:f>IF(J1335="Рассчитано",N1335*(1-O1335/100),"н/д")</x:f>
        <x:v>н/д</x:v>
      </x:c>
      <x:c r="V1335" s="21" t="str">
        <x:f>IF(J1335="Рассчитано",T1335*U1335,"н/д")</x:f>
        <x:v>н/д</x:v>
      </x:c>
      <x:c r="W1335" s="21" t="str">
        <x:f>IF(J1335="Рассчитано",T1335*M1335,"н/д")</x:f>
        <x:v>н/д</x:v>
      </x:c>
      <x:c r="X1335" s="21" t="str">
        <x:f>IF(J1335="Рассчитано",V1335-W1335,"н/д")</x:f>
        <x:v>н/д</x:v>
      </x:c>
      <x:c r="Y1335" s="27" t="str">
        <x:f>IF(J1335="Рассчитано",IF(V1335&gt;0,G1335/V1335,"н/д"),"н/д")</x:f>
        <x:v>н/д</x:v>
      </x:c>
      <x:c r="Z1335" s="21" t="str">
        <x:f>"н/д"</x:f>
        <x:v>н/д</x:v>
      </x:c>
      <x:c r="AA1335" s="21" t="str">
        <x:f>"н/д"</x:f>
        <x:v>н/д</x:v>
      </x:c>
      <x:c r="AB1335" s="21" t="str">
        <x:f>"н/д"</x:f>
        <x:v>н/д</x:v>
      </x:c>
      <x:c r="AC1335" s="21" t="str">
        <x:f>IF(AND(J1335="Рассчитано",T1335&gt;0,R1335&lt;100),(W1335+P1335+Q1335)/(T1335*(1-R1335/100)),"н/д")</x:f>
        <x:v>н/д</x:v>
      </x:c>
      <x:c r="AD1335" s="10" t="str">
        <x:f>IF(ISNUMBER(G1335),IF(G1335&lt;0,"Убыток",IF(G1335=0,"Без прибыли","Прибыль &gt; 0")),"Не оценён")</x:f>
        <x:v>Не оценён</x:v>
      </x:c>
      <x:c r="AE1335" s="13" t="str">
        <x:f>IF(J1335="Рассчитано","Выручка "&amp;TEXT(V1335,"0.00")&amp;" - себестоимость "&amp;TEXT(W1335,"0.00")&amp;" - комиссия "&amp;TEXT(V1335*R1335/100,"0.00")&amp;" - доставка "&amp;TEXT(P1335,"0.00")&amp;" - прочие "&amp;TEXT(Q1335,"0.00")&amp;" = "&amp;TEXT(G1335,"0.00")&amp;" "&amp;L1335,"Введите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5" s="24" t="n">
        <x:v>1.0089997619286613</x:v>
      </x:c>
      <x:c r="AG1335" s="37" t="n">
        <x:v>29</x:v>
      </x:c>
      <x:c r="AH1335" s="37" t="n">
        <x:v>0</x:v>
      </x:c>
      <x:c r="AI1335" s="30" t="n">
        <x:v>46287</x:v>
      </x:c>
      <x:c r="AJ1335" s="37" t="n">
        <x:v>5</x:v>
      </x:c>
      <x:c r="AK1335" s="10" t="str">
        <x:v>кратность</x:v>
      </x:c>
      <x:c r="AL1335" s="32" t="n">
        <x:v>2450.6027327741276</x:v>
      </x:c>
      <x:c r="AM1335" s="13" t="str">
        <x:v>Нет ежедневных данных доступности. Запас более 180 дней при среднем спросе</x:v>
      </x:c>
      <x:c r="AN1335" s="13" t="str">
        <x:v>Проверить свободный остаток и установить цену для B2B</x:v>
      </x:c>
      <x:c r="AO1335" s="13" t="str">
        <x:v>Остаток 29; прогноз 90 дней 1.01; избыток 27 шт. Будущие поступления не выставляются на продажу.</x:v>
      </x:c>
      <x:c r="AP1335" s="13" t="str">
        <x:v>["daily_stockout_data_missing", "new_order_lead_time_unknown"]</x:v>
      </x:c>
      <x:c r="AQ1335" s="10" t="str">
        <x:v>SE:300200470_</x:v>
      </x:c>
      <x:c r="AR1335" s="24" t="n">
        <x:v>1</x:v>
      </x:c>
      <x:c r="AS1335" s="24" t="n">
        <x:v>0</x:v>
      </x:c>
      <x:c r="AT1335" s="24" t="n">
        <x:v>0</x:v>
      </x:c>
    </x:row>
    <x:row r="1336" ht="64" customHeight="1">
      <x:c r="A1336" s="11" t="str">
        <x:v>Systeme Electric</x:v>
      </x:c>
      <x:c r="B1336" s="33" t="str">
        <x:v>300200471_</x:v>
      </x:c>
      <x:c r="C1336" s="33" t="str">
        <x:v>ATN001091</x:v>
      </x:c>
      <x:c r="D1336" s="12" t="str">
        <x:v>K082 ТV роз. оконечная с/у б/рамки "ATLAS" КАРБОН ATN1091</x:v>
      </x:c>
      <x:c r="E1336" s="11" t="str">
        <x:v>шт</x:v>
      </x:c>
      <x:c r="F1336" s="35" t="n">
        <x:f>MAX(0,ROUNDDOWN((AG1336-AF1336)/AR1336+0.000000001,0)*AR1336)</x:f>
        <x:v>77</x:v>
      </x:c>
      <x:c r="G1336" s="20" t="str">
        <x:f>IF(J1336="Рассчитано",V1336*(1-R1336/100)-W1336-P1336-Q1336,"н/д")</x:f>
        <x:v>н/д</x:v>
      </x:c>
      <x:c r="H1336" s="12" t="str">
        <x:v>Средний</x:v>
      </x:c>
      <x:c r="I1336" s="12" t="str">
        <x:v>Высокий</x:v>
      </x:c>
      <x:c r="J1336" s="12" t="str">
        <x:f>IF(L1336="","Укажите валюту",IF(NOT(ISNUMBER(K1336)),"Укажите объём",IF(K1336&lt;=0,"Укажите объём",IF(K1336&gt;F1336,"Объём выше излишка",IF(COUNT(M1336:O1336)&lt;3,"Нужны цены",IF(COUNT(P1336:R1336)&lt;3,"Нужны расходы",IF(OR(M1336&lt;0,N1336&lt;0,O1336&lt;0,O1336&gt;100,P1336&lt;0,Q1336&lt;0,R1336&lt;0,R1336&gt;100),"Проверьте значения","Рассчитано")))))))</x:f>
        <x:v>Нужны цены</x:v>
      </x:c>
      <x:c r="K1336" s="36" t="n">
        <x:v>77</x:v>
      </x:c>
      <x:c r="L1336" s="19" t="str">
        <x:v>KZT</x:v>
      </x:c>
      <x:c r="M1336" s="22"/>
      <x:c r="N1336" s="22"/>
      <x:c r="O1336" s="28"/>
      <x:c r="P1336" s="22"/>
      <x:c r="Q1336" s="22"/>
      <x:c r="R1336" s="28"/>
      <x:c r="S1336" s="22"/>
      <x:c r="T1336" s="35" t="n">
        <x:f>K1336</x:f>
        <x:v>77</x:v>
      </x:c>
      <x:c r="U1336" s="20" t="str">
        <x:f>IF(J1336="Рассчитано",N1336*(1-O1336/100),"н/д")</x:f>
        <x:v>н/д</x:v>
      </x:c>
      <x:c r="V1336" s="20" t="str">
        <x:f>IF(J1336="Рассчитано",T1336*U1336,"н/д")</x:f>
        <x:v>н/д</x:v>
      </x:c>
      <x:c r="W1336" s="20" t="str">
        <x:f>IF(J1336="Рассчитано",T1336*M1336,"н/д")</x:f>
        <x:v>н/д</x:v>
      </x:c>
      <x:c r="X1336" s="20" t="str">
        <x:f>IF(J1336="Рассчитано",V1336-W1336,"н/д")</x:f>
        <x:v>н/д</x:v>
      </x:c>
      <x:c r="Y1336" s="26" t="str">
        <x:f>IF(J1336="Рассчитано",IF(V1336&gt;0,G1336/V1336,"н/д"),"н/д")</x:f>
        <x:v>н/д</x:v>
      </x:c>
      <x:c r="Z1336" s="20" t="str">
        <x:f>"н/д"</x:f>
        <x:v>н/д</x:v>
      </x:c>
      <x:c r="AA1336" s="20" t="str">
        <x:f>"н/д"</x:f>
        <x:v>н/д</x:v>
      </x:c>
      <x:c r="AB1336" s="20" t="str">
        <x:f>"н/д"</x:f>
        <x:v>н/д</x:v>
      </x:c>
      <x:c r="AC1336" s="20" t="str">
        <x:f>IF(AND(J1336="Рассчитано",T1336&gt;0,R1336&lt;100),(W1336+P1336+Q1336)/(T1336*(1-R1336/100)),"н/д")</x:f>
        <x:v>н/д</x:v>
      </x:c>
      <x:c r="AD1336" s="11" t="str">
        <x:f>IF(ISNUMBER(G1336),IF(G1336&lt;0,"Убыток",IF(G1336=0,"Без прибыли","Прибыль &gt; 0")),"Не оценён")</x:f>
        <x:v>Не оценён</x:v>
      </x:c>
      <x:c r="AE1336" s="12" t="str">
        <x:f>IF(J1336="Рассчитано","Выручка "&amp;TEXT(V1336,"0.00")&amp;" - себестоимость "&amp;TEXT(W1336,"0.00")&amp;" - комиссия "&amp;TEXT(V1336*R1336/100,"0.00")&amp;" - доставка "&amp;TEXT(P1336,"0.00")&amp;" - прочие "&amp;TEXT(Q1336,"0.00")&amp;" = "&amp;TEXT(G1336,"0.00")&amp;" "&amp;L1336,"Введите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6" s="23" t="n">
        <x:v>35.43917434963465</x:v>
      </x:c>
      <x:c r="AG1336" s="35" t="n">
        <x:v>113</x:v>
      </x:c>
      <x:c r="AH1336" s="35" t="n">
        <x:v>0</x:v>
      </x:c>
      <x:c r="AI1336" s="29" t="n">
        <x:v>46287</x:v>
      </x:c>
      <x:c r="AJ1336" s="35" t="n">
        <x:v>5</x:v>
      </x:c>
      <x:c r="AK1336" s="11" t="str">
        <x:v>кратность</x:v>
      </x:c>
      <x:c r="AL1336" s="31" t="n">
        <x:v>271.8697122547418</x:v>
      </x:c>
      <x:c r="AM1336" s="12" t="str">
        <x:v>Нет ежедневных данных доступности. Запас более 180 дней при среднем спросе</x:v>
      </x:c>
      <x:c r="AN1336" s="12" t="str">
        <x:v>Проверить свободный остаток и установить цену для B2B</x:v>
      </x:c>
      <x:c r="AO1336" s="12" t="str">
        <x:v>Остаток 113; прогноз 90 дней 35.44; избыток 77 шт. Будущие поступления не выставляются на продажу.</x:v>
      </x:c>
      <x:c r="AP1336" s="12" t="str">
        <x:v>["daily_stockout_data_missing", "new_order_lead_time_unknown"]</x:v>
      </x:c>
      <x:c r="AQ1336" s="11" t="str">
        <x:v>SE:300200471_</x:v>
      </x:c>
      <x:c r="AR1336" s="23" t="n">
        <x:v>1</x:v>
      </x:c>
      <x:c r="AS1336" s="23" t="n">
        <x:v>0</x:v>
      </x:c>
      <x:c r="AT1336" s="23" t="n">
        <x:v>0</x:v>
      </x:c>
    </x:row>
    <x:row r="1337" ht="64" customHeight="1">
      <x:c r="A1337" s="10" t="str">
        <x:v>Systeme Electric</x:v>
      </x:c>
      <x:c r="B1337" s="34" t="str">
        <x:v>300200473_</x:v>
      </x:c>
      <x:c r="C1337" s="34" t="str">
        <x:v>ATN000424</x:v>
      </x:c>
      <x:c r="D1337" s="13" t="str">
        <x:v>Роз. 2-ная с з/к 16А в сборе жемчуг ATLASDESIGN !!!</x:v>
      </x:c>
      <x:c r="E1337" s="10" t="str">
        <x:v>шт</x:v>
      </x:c>
      <x:c r="F1337" s="37" t="n">
        <x:f>MAX(0,ROUNDDOWN((AG1337-AF1337)/AR1337+0.000000001,0)*AR1337)</x:f>
        <x:v>1</x:v>
      </x:c>
      <x:c r="G1337" s="21" t="str">
        <x:f>IF(J1337="Рассчитано",V1337*(1-R1337/100)-W1337-P1337-Q1337,"н/д")</x:f>
        <x:v>н/д</x:v>
      </x:c>
      <x:c r="H1337" s="13" t="str">
        <x:v>Высокий</x:v>
      </x:c>
      <x:c r="I1337" s="13" t="str">
        <x:v>Высокий</x:v>
      </x:c>
      <x:c r="J1337" s="13" t="str">
        <x:f>IF(L1337="","Укажите валюту",IF(NOT(ISNUMBER(K1337)),"Укажите объём",IF(K1337&lt;=0,"Укажите объём",IF(K1337&gt;F1337,"Объём выше излишка",IF(COUNT(M1337:O1337)&lt;3,"Нужны цены",IF(COUNT(P1337:R1337)&lt;3,"Нужны расходы",IF(OR(M1337&lt;0,N1337&lt;0,O1337&lt;0,O1337&gt;100,P1337&lt;0,Q1337&lt;0,R1337&lt;0,R1337&gt;100),"Проверьте значения","Рассчитано")))))))</x:f>
        <x:v>Нужны цены</x:v>
      </x:c>
      <x:c r="K1337" s="36" t="n">
        <x:v>1</x:v>
      </x:c>
      <x:c r="L1337" s="19" t="str">
        <x:v>KZT</x:v>
      </x:c>
      <x:c r="M1337" s="22"/>
      <x:c r="N1337" s="22"/>
      <x:c r="O1337" s="28"/>
      <x:c r="P1337" s="22"/>
      <x:c r="Q1337" s="22"/>
      <x:c r="R1337" s="28"/>
      <x:c r="S1337" s="22"/>
      <x:c r="T1337" s="37" t="n">
        <x:f>K1337</x:f>
        <x:v>1</x:v>
      </x:c>
      <x:c r="U1337" s="21" t="str">
        <x:f>IF(J1337="Рассчитано",N1337*(1-O1337/100),"н/д")</x:f>
        <x:v>н/д</x:v>
      </x:c>
      <x:c r="V1337" s="21" t="str">
        <x:f>IF(J1337="Рассчитано",T1337*U1337,"н/д")</x:f>
        <x:v>н/д</x:v>
      </x:c>
      <x:c r="W1337" s="21" t="str">
        <x:f>IF(J1337="Рассчитано",T1337*M1337,"н/д")</x:f>
        <x:v>н/д</x:v>
      </x:c>
      <x:c r="X1337" s="21" t="str">
        <x:f>IF(J1337="Рассчитано",V1337-W1337,"н/д")</x:f>
        <x:v>н/д</x:v>
      </x:c>
      <x:c r="Y1337" s="27" t="str">
        <x:f>IF(J1337="Рассчитано",IF(V1337&gt;0,G1337/V1337,"н/д"),"н/д")</x:f>
        <x:v>н/д</x:v>
      </x:c>
      <x:c r="Z1337" s="21" t="str">
        <x:f>"н/д"</x:f>
        <x:v>н/д</x:v>
      </x:c>
      <x:c r="AA1337" s="21" t="str">
        <x:f>"н/д"</x:f>
        <x:v>н/д</x:v>
      </x:c>
      <x:c r="AB1337" s="21" t="str">
        <x:f>"н/д"</x:f>
        <x:v>н/д</x:v>
      </x:c>
      <x:c r="AC1337" s="21" t="str">
        <x:f>IF(AND(J1337="Рассчитано",T1337&gt;0,R1337&lt;100),(W1337+P1337+Q1337)/(T1337*(1-R1337/100)),"н/д")</x:f>
        <x:v>н/д</x:v>
      </x:c>
      <x:c r="AD1337" s="10" t="str">
        <x:f>IF(ISNUMBER(G1337),IF(G1337&lt;0,"Убыток",IF(G1337=0,"Без прибыли","Прибыль &gt; 0")),"Не оценён")</x:f>
        <x:v>Не оценён</x:v>
      </x:c>
      <x:c r="AE1337" s="13" t="str">
        <x:f>IF(J1337="Рассчитано","Выручка "&amp;TEXT(V1337,"0.00")&amp;" - себестоимость "&amp;TEXT(W1337,"0.00")&amp;" - комиссия "&amp;TEXT(V1337*R1337/100,"0.00")&amp;" - доставка "&amp;TEXT(P1337,"0.00")&amp;" - прочие "&amp;TEXT(Q1337,"0.00")&amp;" = "&amp;TEXT(G1337,"0.00")&amp;" "&amp;L1337,"Введите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7" s="24" t="n">
        <x:v>0</x:v>
      </x:c>
      <x:c r="AG1337" s="37" t="n">
        <x:v>1</x:v>
      </x:c>
      <x:c r="AH1337" s="37" t="n">
        <x:v>0</x:v>
      </x:c>
      <x:c r="AI1337" s="30" t="n">
        <x:v>46266</x:v>
      </x:c>
      <x:c r="AJ1337" s="37" t="n">
        <x:v>6</x:v>
      </x:c>
      <x:c r="AK1337" s="10" t="str">
        <x:v>кратность</x:v>
      </x:c>
      <x:c r="AL1337" s="32" t="str">
        <x:v>н/д</x:v>
      </x:c>
      <x:c r="AM133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337" s="13" t="str">
        <x:v>Проверить свободный остаток и установить цену для B2B</x:v>
      </x:c>
      <x:c r="AO1337" s="13" t="str">
        <x:v>Остаток 1; прогноз 90 дней 0.00; избыток 1 шт. Будущие поступления не выставляются на продажу. Остаток на начало сентября: требуется актуализация.</x:v>
      </x:c>
      <x:c r="AP1337" s="13" t="str">
        <x:v>["category_missing", "daily_stockout_data_missing", "monthly_balance_date_assumed", "new_order_lead_time_unknown", "reservations_unknown", "stale_stock"]</x:v>
      </x:c>
      <x:c r="AQ1337" s="10" t="str">
        <x:v>SE:300200473_</x:v>
      </x:c>
      <x:c r="AR1337" s="24" t="n">
        <x:v>1</x:v>
      </x:c>
      <x:c r="AS1337" s="24" t="n">
        <x:v>0</x:v>
      </x:c>
      <x:c r="AT1337" s="24" t="n">
        <x:v>0</x:v>
      </x:c>
    </x:row>
    <x:row r="1338" ht="64" customHeight="1">
      <x:c r="A1338" s="11" t="str">
        <x:v>Systeme Electric</x:v>
      </x:c>
      <x:c r="B1338" s="33" t="str">
        <x:v>300200516_</x:v>
      </x:c>
      <x:c r="C1338" s="33" t="str">
        <x:v>ATN001044</x:v>
      </x:c>
      <x:c r="D1338" s="12" t="str">
        <x:v>K081 Роз. с з/к 16А с/у з/ш "ATLAS" КАРБОН ATN1044 (5)</x:v>
      </x:c>
      <x:c r="E1338" s="11" t="str">
        <x:v>шт</x:v>
      </x:c>
      <x:c r="F1338" s="35" t="n">
        <x:f>MAX(0,ROUNDDOWN((AG1338-AF1338)/AR1338+0.000000001,0)*AR1338)</x:f>
        <x:v>117</x:v>
      </x:c>
      <x:c r="G1338" s="20" t="str">
        <x:f>IF(J1338="Рассчитано",V1338*(1-R1338/100)-W1338-P1338-Q1338,"н/д")</x:f>
        <x:v>н/д</x:v>
      </x:c>
      <x:c r="H1338" s="12" t="str">
        <x:v>Средний</x:v>
      </x:c>
      <x:c r="I1338" s="12" t="str">
        <x:v>Средний</x:v>
      </x:c>
      <x:c r="J1338" s="12" t="str">
        <x:f>IF(L1338="","Укажите валюту",IF(NOT(ISNUMBER(K1338)),"Укажите объём",IF(K1338&lt;=0,"Укажите объём",IF(K1338&gt;F1338,"Объём выше излишка",IF(COUNT(M1338:O1338)&lt;3,"Нужны цены",IF(COUNT(P1338:R1338)&lt;3,"Нужны расходы",IF(OR(M1338&lt;0,N1338&lt;0,O1338&lt;0,O1338&gt;100,P1338&lt;0,Q1338&lt;0,R1338&lt;0,R1338&gt;100),"Проверьте значения","Рассчитано")))))))</x:f>
        <x:v>Нужны цены</x:v>
      </x:c>
      <x:c r="K1338" s="36" t="n">
        <x:v>117</x:v>
      </x:c>
      <x:c r="L1338" s="19" t="str">
        <x:v>KZT</x:v>
      </x:c>
      <x:c r="M1338" s="22"/>
      <x:c r="N1338" s="22"/>
      <x:c r="O1338" s="28"/>
      <x:c r="P1338" s="22"/>
      <x:c r="Q1338" s="22"/>
      <x:c r="R1338" s="28"/>
      <x:c r="S1338" s="22"/>
      <x:c r="T1338" s="35" t="n">
        <x:f>K1338</x:f>
        <x:v>117</x:v>
      </x:c>
      <x:c r="U1338" s="20" t="str">
        <x:f>IF(J1338="Рассчитано",N1338*(1-O1338/100),"н/д")</x:f>
        <x:v>н/д</x:v>
      </x:c>
      <x:c r="V1338" s="20" t="str">
        <x:f>IF(J1338="Рассчитано",T1338*U1338,"н/д")</x:f>
        <x:v>н/д</x:v>
      </x:c>
      <x:c r="W1338" s="20" t="str">
        <x:f>IF(J1338="Рассчитано",T1338*M1338,"н/д")</x:f>
        <x:v>н/д</x:v>
      </x:c>
      <x:c r="X1338" s="20" t="str">
        <x:f>IF(J1338="Рассчитано",V1338-W1338,"н/д")</x:f>
        <x:v>н/д</x:v>
      </x:c>
      <x:c r="Y1338" s="26" t="str">
        <x:f>IF(J1338="Рассчитано",IF(V1338&gt;0,G1338/V1338,"н/д"),"н/д")</x:f>
        <x:v>н/д</x:v>
      </x:c>
      <x:c r="Z1338" s="20" t="str">
        <x:f>"н/д"</x:f>
        <x:v>н/д</x:v>
      </x:c>
      <x:c r="AA1338" s="20" t="str">
        <x:f>"н/д"</x:f>
        <x:v>н/д</x:v>
      </x:c>
      <x:c r="AB1338" s="20" t="str">
        <x:f>"н/д"</x:f>
        <x:v>н/д</x:v>
      </x:c>
      <x:c r="AC1338" s="20" t="str">
        <x:f>IF(AND(J1338="Рассчитано",T1338&gt;0,R1338&lt;100),(W1338+P1338+Q1338)/(T1338*(1-R1338/100)),"н/д")</x:f>
        <x:v>н/д</x:v>
      </x:c>
      <x:c r="AD1338" s="11" t="str">
        <x:f>IF(ISNUMBER(G1338),IF(G1338&lt;0,"Убыток",IF(G1338=0,"Без прибыли","Прибыль &gt; 0")),"Не оценён")</x:f>
        <x:v>Не оценён</x:v>
      </x:c>
      <x:c r="AE1338" s="12" t="str">
        <x:f>IF(J1338="Рассчитано","Выручка "&amp;TEXT(V1338,"0.00")&amp;" - себестоимость "&amp;TEXT(W1338,"0.00")&amp;" - комиссия "&amp;TEXT(V1338*R1338/100,"0.00")&amp;" - доставка "&amp;TEXT(P1338,"0.00")&amp;" - прочие "&amp;TEXT(Q1338,"0.00")&amp;" = "&amp;TEXT(G1338,"0.00")&amp;" "&amp;L1338,"Введите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8" s="23" t="n">
        <x:v>113.45930874444812</x:v>
      </x:c>
      <x:c r="AG1338" s="35" t="n">
        <x:v>231</x:v>
      </x:c>
      <x:c r="AH1338" s="35" t="n">
        <x:v>0</x:v>
      </x:c>
      <x:c r="AI1338" s="29" t="n">
        <x:v>46287</x:v>
      </x:c>
      <x:c r="AJ1338" s="35" t="n">
        <x:v>5</x:v>
      </x:c>
      <x:c r="AK1338" s="11" t="str">
        <x:v>кратность</x:v>
      </x:c>
      <x:c r="AL1338" s="31" t="n">
        <x:v>173.59524533764812</x:v>
      </x:c>
      <x:c r="AM1338" s="12" t="str">
        <x:v>Детальные и месячные продажи расходятся; Нет ежедневных данных доступности. Запас выше прогноза на 90 дней</x:v>
      </x:c>
      <x:c r="AN1338" s="12" t="str">
        <x:v>Проверить свободный остаток и установить цену для B2B</x:v>
      </x:c>
      <x:c r="AO1338" s="12" t="str">
        <x:v>Остаток 231; прогноз 90 дней 113.46; избыток 117 шт. Будущие поступления не выставляются на продажу.</x:v>
      </x:c>
      <x:c r="AP1338" s="12" t="str">
        <x:v>["daily_stockout_data_missing", "large_orders_detected", "new_order_lead_time_unknown", "transaction_month_mismatch"]</x:v>
      </x:c>
      <x:c r="AQ1338" s="11" t="str">
        <x:v>SE:300200516_</x:v>
      </x:c>
      <x:c r="AR1338" s="23" t="n">
        <x:v>1</x:v>
      </x:c>
      <x:c r="AS1338" s="23" t="n">
        <x:v>0</x:v>
      </x:c>
      <x:c r="AT1338" s="23" t="n">
        <x:v>0</x:v>
      </x:c>
    </x:row>
    <x:row r="1339" ht="64" customHeight="1">
      <x:c r="A1339" s="10" t="str">
        <x:v>Systeme Electric</x:v>
      </x:c>
      <x:c r="B1339" s="34" t="str">
        <x:v>300200517_</x:v>
      </x:c>
      <x:c r="C1339" s="34" t="str">
        <x:v>ATN001063</x:v>
      </x:c>
      <x:c r="D1339" s="13" t="str">
        <x:v>K076 Переключ. 1 кл с инд 10А с/у б/рамки  "ATLAS" КАРБОН ATN1063 (2)</x:v>
      </x:c>
      <x:c r="E1339" s="10" t="str">
        <x:v>шт</x:v>
      </x:c>
      <x:c r="F1339" s="37" t="n">
        <x:f>MAX(0,ROUNDDOWN((AG1339-AF1339)/AR1339+0.000000001,0)*AR1339)</x:f>
        <x:v>19</x:v>
      </x:c>
      <x:c r="G1339" s="21" t="str">
        <x:f>IF(J1339="Рассчитано",V1339*(1-R1339/100)-W1339-P1339-Q1339,"н/д")</x:f>
        <x:v>н/д</x:v>
      </x:c>
      <x:c r="H1339" s="13" t="str">
        <x:v>Средний</x:v>
      </x:c>
      <x:c r="I1339" s="13" t="str">
        <x:v>Высокий</x:v>
      </x:c>
      <x:c r="J1339" s="13" t="str">
        <x:f>IF(L1339="","Укажите валюту",IF(NOT(ISNUMBER(K1339)),"Укажите объём",IF(K1339&lt;=0,"Укажите объём",IF(K1339&gt;F1339,"Объём выше излишка",IF(COUNT(M1339:O1339)&lt;3,"Нужны цены",IF(COUNT(P1339:R1339)&lt;3,"Нужны расходы",IF(OR(M1339&lt;0,N1339&lt;0,O1339&lt;0,O1339&gt;100,P1339&lt;0,Q1339&lt;0,R1339&lt;0,R1339&gt;100),"Проверьте значения","Рассчитано")))))))</x:f>
        <x:v>Нужны цены</x:v>
      </x:c>
      <x:c r="K1339" s="36" t="n">
        <x:v>19</x:v>
      </x:c>
      <x:c r="L1339" s="19" t="str">
        <x:v>KZT</x:v>
      </x:c>
      <x:c r="M1339" s="22"/>
      <x:c r="N1339" s="22"/>
      <x:c r="O1339" s="28"/>
      <x:c r="P1339" s="22"/>
      <x:c r="Q1339" s="22"/>
      <x:c r="R1339" s="28"/>
      <x:c r="S1339" s="22"/>
      <x:c r="T1339" s="37" t="n">
        <x:f>K1339</x:f>
        <x:v>19</x:v>
      </x:c>
      <x:c r="U1339" s="21" t="str">
        <x:f>IF(J1339="Рассчитано",N1339*(1-O1339/100),"н/д")</x:f>
        <x:v>н/д</x:v>
      </x:c>
      <x:c r="V1339" s="21" t="str">
        <x:f>IF(J1339="Рассчитано",T1339*U1339,"н/д")</x:f>
        <x:v>н/д</x:v>
      </x:c>
      <x:c r="W1339" s="21" t="str">
        <x:f>IF(J1339="Рассчитано",T1339*M1339,"н/д")</x:f>
        <x:v>н/д</x:v>
      </x:c>
      <x:c r="X1339" s="21" t="str">
        <x:f>IF(J1339="Рассчитано",V1339-W1339,"н/д")</x:f>
        <x:v>н/д</x:v>
      </x:c>
      <x:c r="Y1339" s="27" t="str">
        <x:f>IF(J1339="Рассчитано",IF(V1339&gt;0,G1339/V1339,"н/д"),"н/д")</x:f>
        <x:v>н/д</x:v>
      </x:c>
      <x:c r="Z1339" s="21" t="str">
        <x:f>"н/д"</x:f>
        <x:v>н/д</x:v>
      </x:c>
      <x:c r="AA1339" s="21" t="str">
        <x:f>"н/д"</x:f>
        <x:v>н/д</x:v>
      </x:c>
      <x:c r="AB1339" s="21" t="str">
        <x:f>"н/д"</x:f>
        <x:v>н/д</x:v>
      </x:c>
      <x:c r="AC1339" s="21" t="str">
        <x:f>IF(AND(J1339="Рассчитано",T1339&gt;0,R1339&lt;100),(W1339+P1339+Q1339)/(T1339*(1-R1339/100)),"н/д")</x:f>
        <x:v>н/д</x:v>
      </x:c>
      <x:c r="AD1339" s="10" t="str">
        <x:f>IF(ISNUMBER(G1339),IF(G1339&lt;0,"Убыток",IF(G1339=0,"Без прибыли","Прибыль &gt; 0")),"Не оценён")</x:f>
        <x:v>Не оценён</x:v>
      </x:c>
      <x:c r="AE1339" s="13" t="str">
        <x:f>IF(J1339="Рассчитано","Выручка "&amp;TEXT(V1339,"0.00")&amp;" - себестоимость "&amp;TEXT(W1339,"0.00")&amp;" - комиссия "&amp;TEXT(V1339*R1339/100,"0.00")&amp;" - доставка "&amp;TEXT(P1339,"0.00")&amp;" - прочие "&amp;TEXT(Q1339,"0.00")&amp;" = "&amp;TEXT(G1339,"0.00")&amp;" "&amp;L1339,"Введите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9" s="24" t="n">
        <x:v>0.18989741234854832</x:v>
      </x:c>
      <x:c r="AG1339" s="37" t="n">
        <x:v>20</x:v>
      </x:c>
      <x:c r="AH1339" s="37" t="n">
        <x:v>0</x:v>
      </x:c>
      <x:c r="AI1339" s="30" t="n">
        <x:v>46287</x:v>
      </x:c>
      <x:c r="AJ1339" s="37" t="n">
        <x:v>5</x:v>
      </x:c>
      <x:c r="AK1339" s="10" t="str">
        <x:v>кратность</x:v>
      </x:c>
      <x:c r="AL1339" s="32" t="n">
        <x:v>8980.012230779424</x:v>
      </x:c>
      <x:c r="AM1339" s="13" t="str">
        <x:v>Нет ежедневных данных доступности. Запас более 180 дней при среднем спросе</x:v>
      </x:c>
      <x:c r="AN1339" s="13" t="str">
        <x:v>Проверить свободный остаток и установить цену для B2B</x:v>
      </x:c>
      <x:c r="AO1339" s="13" t="str">
        <x:v>Остаток 20; прогноз 90 дней 0.19; избыток 19 шт. Будущие поступления не выставляются на продажу.</x:v>
      </x:c>
      <x:c r="AP1339" s="13" t="str">
        <x:v>["daily_stockout_data_missing", "new_order_lead_time_unknown"]</x:v>
      </x:c>
      <x:c r="AQ1339" s="10" t="str">
        <x:v>SE:300200517_</x:v>
      </x:c>
      <x:c r="AR1339" s="24" t="n">
        <x:v>1</x:v>
      </x:c>
      <x:c r="AS1339" s="24" t="n">
        <x:v>0</x:v>
      </x:c>
      <x:c r="AT1339" s="24" t="n">
        <x:v>0</x:v>
      </x:c>
    </x:row>
    <x:row r="1340" ht="64" customHeight="1">
      <x:c r="A1340" s="11" t="str">
        <x:v>Systeme Electric</x:v>
      </x:c>
      <x:c r="B1340" s="33" t="str">
        <x:v>300200520_</x:v>
      </x:c>
      <x:c r="C1340" s="33" t="str">
        <x:v>ATN000943</x:v>
      </x:c>
      <x:c r="D1340" s="12" t="str">
        <x:v>K001 Роз. с з/к 16А с/у б/рамки "ATLAS" СТАЛЬ ATN943 (5)</x:v>
      </x:c>
      <x:c r="E1340" s="11" t="str">
        <x:v>шт</x:v>
      </x:c>
      <x:c r="F1340" s="35" t="n">
        <x:f>MAX(0,ROUNDDOWN((AG1340-AF1340)/AR1340+0.000000001,0)*AR1340)</x:f>
        <x:v>197</x:v>
      </x:c>
      <x:c r="G1340" s="20" t="str">
        <x:f>IF(J1340="Рассчитано",V1340*(1-R1340/100)-W1340-P1340-Q1340,"н/д")</x:f>
        <x:v>н/д</x:v>
      </x:c>
      <x:c r="H1340" s="12" t="str">
        <x:v>Средний</x:v>
      </x:c>
      <x:c r="I1340" s="12" t="str">
        <x:v>Средний</x:v>
      </x:c>
      <x:c r="J1340" s="12" t="str">
        <x:f>IF(L1340="","Укажите валюту",IF(NOT(ISNUMBER(K1340)),"Укажите объём",IF(K1340&lt;=0,"Укажите объём",IF(K1340&gt;F1340,"Объём выше излишка",IF(COUNT(M1340:O1340)&lt;3,"Нужны цены",IF(COUNT(P1340:R1340)&lt;3,"Нужны расходы",IF(OR(M1340&lt;0,N1340&lt;0,O1340&lt;0,O1340&gt;100,P1340&lt;0,Q1340&lt;0,R1340&lt;0,R1340&gt;100),"Проверьте значения","Рассчитано")))))))</x:f>
        <x:v>Нужны цены</x:v>
      </x:c>
      <x:c r="K1340" s="36" t="n">
        <x:v>197</x:v>
      </x:c>
      <x:c r="L1340" s="19" t="str">
        <x:v>KZT</x:v>
      </x:c>
      <x:c r="M1340" s="22"/>
      <x:c r="N1340" s="22"/>
      <x:c r="O1340" s="28"/>
      <x:c r="P1340" s="22"/>
      <x:c r="Q1340" s="22"/>
      <x:c r="R1340" s="28"/>
      <x:c r="S1340" s="22"/>
      <x:c r="T1340" s="35" t="n">
        <x:f>K1340</x:f>
        <x:v>197</x:v>
      </x:c>
      <x:c r="U1340" s="20" t="str">
        <x:f>IF(J1340="Рассчитано",N1340*(1-O1340/100),"н/д")</x:f>
        <x:v>н/д</x:v>
      </x:c>
      <x:c r="V1340" s="20" t="str">
        <x:f>IF(J1340="Рассчитано",T1340*U1340,"н/д")</x:f>
        <x:v>н/д</x:v>
      </x:c>
      <x:c r="W1340" s="20" t="str">
        <x:f>IF(J1340="Рассчитано",T1340*M1340,"н/д")</x:f>
        <x:v>н/д</x:v>
      </x:c>
      <x:c r="X1340" s="20" t="str">
        <x:f>IF(J1340="Рассчитано",V1340-W1340,"н/д")</x:f>
        <x:v>н/д</x:v>
      </x:c>
      <x:c r="Y1340" s="26" t="str">
        <x:f>IF(J1340="Рассчитано",IF(V1340&gt;0,G1340/V1340,"н/д"),"н/д")</x:f>
        <x:v>н/д</x:v>
      </x:c>
      <x:c r="Z1340" s="20" t="str">
        <x:f>"н/д"</x:f>
        <x:v>н/д</x:v>
      </x:c>
      <x:c r="AA1340" s="20" t="str">
        <x:f>"н/д"</x:f>
        <x:v>н/д</x:v>
      </x:c>
      <x:c r="AB1340" s="20" t="str">
        <x:f>"н/д"</x:f>
        <x:v>н/д</x:v>
      </x:c>
      <x:c r="AC1340" s="20" t="str">
        <x:f>IF(AND(J1340="Рассчитано",T1340&gt;0,R1340&lt;100),(W1340+P1340+Q1340)/(T1340*(1-R1340/100)),"н/д")</x:f>
        <x:v>н/д</x:v>
      </x:c>
      <x:c r="AD1340" s="11" t="str">
        <x:f>IF(ISNUMBER(G1340),IF(G1340&lt;0,"Убыток",IF(G1340=0,"Без прибыли","Прибыль &gt; 0")),"Не оценён")</x:f>
        <x:v>Не оценён</x:v>
      </x:c>
      <x:c r="AE1340" s="12" t="str">
        <x:f>IF(J1340="Рассчитано","Выручка "&amp;TEXT(V1340,"0.00")&amp;" - себестоимость "&amp;TEXT(W1340,"0.00")&amp;" - комиссия "&amp;TEXT(V1340*R1340/100,"0.00")&amp;" - доставка "&amp;TEXT(P1340,"0.00")&amp;" - прочие "&amp;TEXT(Q1340,"0.00")&amp;" = "&amp;TEXT(G1340,"0.00")&amp;" "&amp;L1340,"Введите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0" s="23" t="n">
        <x:v>263.6374628709007</x:v>
      </x:c>
      <x:c r="AG1340" s="35" t="n">
        <x:v>461</x:v>
      </x:c>
      <x:c r="AH1340" s="35" t="n">
        <x:v>0</x:v>
      </x:c>
      <x:c r="AI1340" s="29" t="n">
        <x:v>46287</x:v>
      </x:c>
      <x:c r="AJ1340" s="35" t="n">
        <x:v>5</x:v>
      </x:c>
      <x:c r="AK1340" s="11" t="str">
        <x:v>кратность</x:v>
      </x:c>
      <x:c r="AL1340" s="31" t="n">
        <x:v>149.09386773926954</x:v>
      </x:c>
      <x:c r="AM1340" s="12" t="str">
        <x:v>Нет ежедневных данных доступности. Запас выше прогноза на 90 дней</x:v>
      </x:c>
      <x:c r="AN1340" s="12" t="str">
        <x:v>Проверить свободный остаток и установить цену для B2B</x:v>
      </x:c>
      <x:c r="AO1340" s="12" t="str">
        <x:v>Остаток 461; прогноз 90 дней 263.64; избыток 197 шт. Будущие поступления не выставляются на продажу.</x:v>
      </x:c>
      <x:c r="AP1340" s="12" t="str">
        <x:v>["daily_stockout_data_missing", "large_orders_detected", "new_order_lead_time_unknown"]</x:v>
      </x:c>
      <x:c r="AQ1340" s="11" t="str">
        <x:v>SE:300200520_</x:v>
      </x:c>
      <x:c r="AR1340" s="23" t="n">
        <x:v>1</x:v>
      </x:c>
      <x:c r="AS1340" s="23" t="n">
        <x:v>0</x:v>
      </x:c>
      <x:c r="AT1340" s="23" t="n">
        <x:v>0</x:v>
      </x:c>
    </x:row>
    <x:row r="1341" ht="64" customHeight="1">
      <x:c r="A1341" s="10" t="str">
        <x:v>Systeme Electric</x:v>
      </x:c>
      <x:c r="B1341" s="34" t="str">
        <x:v>300200521_</x:v>
      </x:c>
      <x:c r="C1341" s="34" t="str">
        <x:v>ATN000912</x:v>
      </x:c>
      <x:c r="D1341" s="13" t="str">
        <x:v>K002 Выкл 1 кл 10А с/у "ATLAS" СТАЛЬ ATN912 (5) NEW</x:v>
      </x:c>
      <x:c r="E1341" s="10" t="str">
        <x:v>шт</x:v>
      </x:c>
      <x:c r="F1341" s="37" t="n">
        <x:f>MAX(0,ROUNDDOWN((AG1341-AF1341)/AR1341+0.000000001,0)*AR1341)</x:f>
        <x:v>11</x:v>
      </x:c>
      <x:c r="G1341" s="21" t="str">
        <x:f>IF(J1341="Рассчитано",V1341*(1-R1341/100)-W1341-P1341-Q1341,"н/д")</x:f>
        <x:v>н/д</x:v>
      </x:c>
      <x:c r="H1341" s="13" t="str">
        <x:v>Средний</x:v>
      </x:c>
      <x:c r="I1341" s="13" t="str">
        <x:v>Средний</x:v>
      </x:c>
      <x:c r="J1341" s="13" t="str">
        <x:f>IF(L1341="","Укажите валюту",IF(NOT(ISNUMBER(K1341)),"Укажите объём",IF(K1341&lt;=0,"Укажите объём",IF(K1341&gt;F1341,"Объём выше излишка",IF(COUNT(M1341:O1341)&lt;3,"Нужны цены",IF(COUNT(P1341:R1341)&lt;3,"Нужны расходы",IF(OR(M1341&lt;0,N1341&lt;0,O1341&lt;0,O1341&gt;100,P1341&lt;0,Q1341&lt;0,R1341&lt;0,R1341&gt;100),"Проверьте значения","Рассчитано")))))))</x:f>
        <x:v>Нужны цены</x:v>
      </x:c>
      <x:c r="K1341" s="36" t="n">
        <x:v>11</x:v>
      </x:c>
      <x:c r="L1341" s="19" t="str">
        <x:v>KZT</x:v>
      </x:c>
      <x:c r="M1341" s="22"/>
      <x:c r="N1341" s="22"/>
      <x:c r="O1341" s="28"/>
      <x:c r="P1341" s="22"/>
      <x:c r="Q1341" s="22"/>
      <x:c r="R1341" s="28"/>
      <x:c r="S1341" s="22"/>
      <x:c r="T1341" s="37" t="n">
        <x:f>K1341</x:f>
        <x:v>11</x:v>
      </x:c>
      <x:c r="U1341" s="21" t="str">
        <x:f>IF(J1341="Рассчитано",N1341*(1-O1341/100),"н/д")</x:f>
        <x:v>н/д</x:v>
      </x:c>
      <x:c r="V1341" s="21" t="str">
        <x:f>IF(J1341="Рассчитано",T1341*U1341,"н/д")</x:f>
        <x:v>н/д</x:v>
      </x:c>
      <x:c r="W1341" s="21" t="str">
        <x:f>IF(J1341="Рассчитано",T1341*M1341,"н/д")</x:f>
        <x:v>н/д</x:v>
      </x:c>
      <x:c r="X1341" s="21" t="str">
        <x:f>IF(J1341="Рассчитано",V1341-W1341,"н/д")</x:f>
        <x:v>н/д</x:v>
      </x:c>
      <x:c r="Y1341" s="27" t="str">
        <x:f>IF(J1341="Рассчитано",IF(V1341&gt;0,G1341/V1341,"н/д"),"н/д")</x:f>
        <x:v>н/д</x:v>
      </x:c>
      <x:c r="Z1341" s="21" t="str">
        <x:f>"н/д"</x:f>
        <x:v>н/д</x:v>
      </x:c>
      <x:c r="AA1341" s="21" t="str">
        <x:f>"н/д"</x:f>
        <x:v>н/д</x:v>
      </x:c>
      <x:c r="AB1341" s="21" t="str">
        <x:f>"н/д"</x:f>
        <x:v>н/д</x:v>
      </x:c>
      <x:c r="AC1341" s="21" t="str">
        <x:f>IF(AND(J1341="Рассчитано",T1341&gt;0,R1341&lt;100),(W1341+P1341+Q1341)/(T1341*(1-R1341/100)),"н/д")</x:f>
        <x:v>н/д</x:v>
      </x:c>
      <x:c r="AD1341" s="10" t="str">
        <x:f>IF(ISNUMBER(G1341),IF(G1341&lt;0,"Убыток",IF(G1341=0,"Без прибыли","Прибыль &gt; 0")),"Не оценён")</x:f>
        <x:v>Не оценён</x:v>
      </x:c>
      <x:c r="AE1341" s="13" t="str">
        <x:f>IF(J1341="Рассчитано","Выручка "&amp;TEXT(V1341,"0.00")&amp;" - себестоимость "&amp;TEXT(W1341,"0.00")&amp;" - комиссия "&amp;TEXT(V1341*R1341/100,"0.00")&amp;" - доставка "&amp;TEXT(P1341,"0.00")&amp;" - прочие "&amp;TEXT(Q1341,"0.00")&amp;" = "&amp;TEXT(G1341,"0.00")&amp;" "&amp;L1341,"Введите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1" s="24" t="n">
        <x:v>18.708848344834266</x:v>
      </x:c>
      <x:c r="AG1341" s="37" t="n">
        <x:v>30</x:v>
      </x:c>
      <x:c r="AH1341" s="37" t="n">
        <x:v>0</x:v>
      </x:c>
      <x:c r="AI1341" s="30" t="n">
        <x:v>46287</x:v>
      </x:c>
      <x:c r="AJ1341" s="37" t="n">
        <x:v>5</x:v>
      </x:c>
      <x:c r="AK1341" s="10" t="str">
        <x:v>кратность</x:v>
      </x:c>
      <x:c r="AL1341" s="32" t="n">
        <x:v>136.72255935150926</x:v>
      </x:c>
      <x:c r="AM1341" s="13" t="str">
        <x:v>Детальные и месячные продажи расходятся; Нет ежедневных данных доступности. Запас выше прогноза на 90 дней</x:v>
      </x:c>
      <x:c r="AN1341" s="13" t="str">
        <x:v>Проверить свободный остаток и установить цену для B2B</x:v>
      </x:c>
      <x:c r="AO1341" s="13" t="str">
        <x:v>Остаток 30; прогноз 90 дней 18.71; избыток 11 шт. Будущие поступления не выставляются на продажу.</x:v>
      </x:c>
      <x:c r="AP1341" s="13" t="str">
        <x:v>["daily_stockout_data_missing", "large_orders_detected", "new_order_lead_time_unknown", "transaction_month_mismatch"]</x:v>
      </x:c>
      <x:c r="AQ1341" s="10" t="str">
        <x:v>SE:300200521_</x:v>
      </x:c>
      <x:c r="AR1341" s="24" t="n">
        <x:v>1</x:v>
      </x:c>
      <x:c r="AS1341" s="24" t="n">
        <x:v>0</x:v>
      </x:c>
      <x:c r="AT1341" s="24" t="n">
        <x:v>0</x:v>
      </x:c>
    </x:row>
    <x:row r="1342" ht="64" customHeight="1">
      <x:c r="A1342" s="11" t="str">
        <x:v>Systeme Electric</x:v>
      </x:c>
      <x:c r="B1342" s="33" t="str">
        <x:v>300200522_</x:v>
      </x:c>
      <x:c r="C1342" s="33" t="str">
        <x:v>ATN000913</x:v>
      </x:c>
      <x:c r="D1342" s="12" t="str">
        <x:v>K003 Выкл 1 кл с инд 10А с/у б/рамки "ATLAS" СТАЛЬ ATN913 (5)</x:v>
      </x:c>
      <x:c r="E1342" s="11" t="str">
        <x:v>шт</x:v>
      </x:c>
      <x:c r="F1342" s="35" t="n">
        <x:f>MAX(0,ROUNDDOWN((AG1342-AF1342)/AR1342+0.000000001,0)*AR1342)</x:f>
        <x:v>8</x:v>
      </x:c>
      <x:c r="G1342" s="20" t="str">
        <x:f>IF(J1342="Рассчитано",V1342*(1-R1342/100)-W1342-P1342-Q1342,"н/д")</x:f>
        <x:v>н/д</x:v>
      </x:c>
      <x:c r="H1342" s="12" t="str">
        <x:v>Средний</x:v>
      </x:c>
      <x:c r="I1342" s="12" t="str">
        <x:v>Высокий</x:v>
      </x:c>
      <x:c r="J1342" s="12" t="str">
        <x:f>IF(L1342="","Укажите валюту",IF(NOT(ISNUMBER(K1342)),"Укажите объём",IF(K1342&lt;=0,"Укажите объём",IF(K1342&gt;F1342,"Объём выше излишка",IF(COUNT(M1342:O1342)&lt;3,"Нужны цены",IF(COUNT(P1342:R1342)&lt;3,"Нужны расходы",IF(OR(M1342&lt;0,N1342&lt;0,O1342&lt;0,O1342&gt;100,P1342&lt;0,Q1342&lt;0,R1342&lt;0,R1342&gt;100),"Проверьте значения","Рассчитано")))))))</x:f>
        <x:v>Нужны цены</x:v>
      </x:c>
      <x:c r="K1342" s="36" t="n">
        <x:v>8</x:v>
      </x:c>
      <x:c r="L1342" s="19" t="str">
        <x:v>KZT</x:v>
      </x:c>
      <x:c r="M1342" s="22"/>
      <x:c r="N1342" s="22"/>
      <x:c r="O1342" s="28"/>
      <x:c r="P1342" s="22"/>
      <x:c r="Q1342" s="22"/>
      <x:c r="R1342" s="28"/>
      <x:c r="S1342" s="22"/>
      <x:c r="T1342" s="35" t="n">
        <x:f>K1342</x:f>
        <x:v>8</x:v>
      </x:c>
      <x:c r="U1342" s="20" t="str">
        <x:f>IF(J1342="Рассчитано",N1342*(1-O1342/100),"н/д")</x:f>
        <x:v>н/д</x:v>
      </x:c>
      <x:c r="V1342" s="20" t="str">
        <x:f>IF(J1342="Рассчитано",T1342*U1342,"н/д")</x:f>
        <x:v>н/д</x:v>
      </x:c>
      <x:c r="W1342" s="20" t="str">
        <x:f>IF(J1342="Рассчитано",T1342*M1342,"н/д")</x:f>
        <x:v>н/д</x:v>
      </x:c>
      <x:c r="X1342" s="20" t="str">
        <x:f>IF(J1342="Рассчитано",V1342-W1342,"н/д")</x:f>
        <x:v>н/д</x:v>
      </x:c>
      <x:c r="Y1342" s="26" t="str">
        <x:f>IF(J1342="Рассчитано",IF(V1342&gt;0,G1342/V1342,"н/д"),"н/д")</x:f>
        <x:v>н/д</x:v>
      </x:c>
      <x:c r="Z1342" s="20" t="str">
        <x:f>"н/д"</x:f>
        <x:v>н/д</x:v>
      </x:c>
      <x:c r="AA1342" s="20" t="str">
        <x:f>"н/д"</x:f>
        <x:v>н/д</x:v>
      </x:c>
      <x:c r="AB1342" s="20" t="str">
        <x:f>"н/д"</x:f>
        <x:v>н/д</x:v>
      </x:c>
      <x:c r="AC1342" s="20" t="str">
        <x:f>IF(AND(J1342="Рассчитано",T1342&gt;0,R1342&lt;100),(W1342+P1342+Q1342)/(T1342*(1-R1342/100)),"н/д")</x:f>
        <x:v>н/д</x:v>
      </x:c>
      <x:c r="AD1342" s="11" t="str">
        <x:f>IF(ISNUMBER(G1342),IF(G1342&lt;0,"Убыток",IF(G1342=0,"Без прибыли","Прибыль &gt; 0")),"Не оценён")</x:f>
        <x:v>Не оценён</x:v>
      </x:c>
      <x:c r="AE1342" s="12" t="str">
        <x:f>IF(J1342="Рассчитано","Выручка "&amp;TEXT(V1342,"0.00")&amp;" - себестоимость "&amp;TEXT(W1342,"0.00")&amp;" - комиссия "&amp;TEXT(V1342*R1342/100,"0.00")&amp;" - доставка "&amp;TEXT(P1342,"0.00")&amp;" - прочие "&amp;TEXT(Q1342,"0.00")&amp;" = "&amp;TEXT(G1342,"0.00")&amp;" "&amp;L1342,"Введите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2" s="23" t="n">
        <x:v>0.09494870617427416</x:v>
      </x:c>
      <x:c r="AG1342" s="35" t="n">
        <x:v>9</x:v>
      </x:c>
      <x:c r="AH1342" s="35" t="n">
        <x:v>0</x:v>
      </x:c>
      <x:c r="AI1342" s="29" t="n">
        <x:v>46287</x:v>
      </x:c>
      <x:c r="AJ1342" s="35" t="n">
        <x:v>5</x:v>
      </x:c>
      <x:c r="AK1342" s="11" t="str">
        <x:v>кратность</x:v>
      </x:c>
      <x:c r="AL1342" s="31" t="n">
        <x:v>8082.011007701482</x:v>
      </x:c>
      <x:c r="AM1342" s="12" t="str">
        <x:v>Нет ежедневных данных доступности. Запас более 180 дней при среднем спросе</x:v>
      </x:c>
      <x:c r="AN1342" s="12" t="str">
        <x:v>Проверить свободный остаток и установить цену для B2B</x:v>
      </x:c>
      <x:c r="AO1342" s="12" t="str">
        <x:v>Остаток 9; прогноз 90 дней 0.09; избыток 8 шт. Будущие поступления не выставляются на продажу.</x:v>
      </x:c>
      <x:c r="AP1342" s="12" t="str">
        <x:v>["daily_stockout_data_missing", "new_order_lead_time_unknown"]</x:v>
      </x:c>
      <x:c r="AQ1342" s="11" t="str">
        <x:v>SE:300200522_</x:v>
      </x:c>
      <x:c r="AR1342" s="23" t="n">
        <x:v>1</x:v>
      </x:c>
      <x:c r="AS1342" s="23" t="n">
        <x:v>0</x:v>
      </x:c>
      <x:c r="AT1342" s="23" t="n">
        <x:v>0</x:v>
      </x:c>
    </x:row>
    <x:row r="1343" ht="64" customHeight="1">
      <x:c r="A1343" s="10" t="str">
        <x:v>Systeme Electric</x:v>
      </x:c>
      <x:c r="B1343" s="34" t="str">
        <x:v>300200523_</x:v>
      </x:c>
      <x:c r="C1343" s="34" t="str">
        <x:v>ATN000952</x:v>
      </x:c>
      <x:c r="D1343" s="13" t="str">
        <x:v>K004 Выкл 2 кл 10А с/у "ATLAS" СТАЛЬ ATN952 (5) NEW</x:v>
      </x:c>
      <x:c r="E1343" s="10" t="str">
        <x:v>шт</x:v>
      </x:c>
      <x:c r="F1343" s="37" t="n">
        <x:f>MAX(0,ROUNDDOWN((AG1343-AF1343)/AR1343+0.000000001,0)*AR1343)</x:f>
        <x:v>30</x:v>
      </x:c>
      <x:c r="G1343" s="21" t="str">
        <x:f>IF(J1343="Рассчитано",V1343*(1-R1343/100)-W1343-P1343-Q1343,"н/д")</x:f>
        <x:v>н/д</x:v>
      </x:c>
      <x:c r="H1343" s="13" t="str">
        <x:v>Средний</x:v>
      </x:c>
      <x:c r="I1343" s="13" t="str">
        <x:v>Высокий</x:v>
      </x:c>
      <x:c r="J1343" s="13" t="str">
        <x:f>IF(L1343="","Укажите валюту",IF(NOT(ISNUMBER(K1343)),"Укажите объём",IF(K1343&lt;=0,"Укажите объём",IF(K1343&gt;F1343,"Объём выше излишка",IF(COUNT(M1343:O1343)&lt;3,"Нужны цены",IF(COUNT(P1343:R1343)&lt;3,"Нужны расходы",IF(OR(M1343&lt;0,N1343&lt;0,O1343&lt;0,O1343&gt;100,P1343&lt;0,Q1343&lt;0,R1343&lt;0,R1343&gt;100),"Проверьте значения","Рассчитано")))))))</x:f>
        <x:v>Нужны цены</x:v>
      </x:c>
      <x:c r="K1343" s="36" t="n">
        <x:v>30</x:v>
      </x:c>
      <x:c r="L1343" s="19" t="str">
        <x:v>KZT</x:v>
      </x:c>
      <x:c r="M1343" s="22"/>
      <x:c r="N1343" s="22"/>
      <x:c r="O1343" s="28"/>
      <x:c r="P1343" s="22"/>
      <x:c r="Q1343" s="22"/>
      <x:c r="R1343" s="28"/>
      <x:c r="S1343" s="22"/>
      <x:c r="T1343" s="37" t="n">
        <x:f>K1343</x:f>
        <x:v>30</x:v>
      </x:c>
      <x:c r="U1343" s="21" t="str">
        <x:f>IF(J1343="Рассчитано",N1343*(1-O1343/100),"н/д")</x:f>
        <x:v>н/д</x:v>
      </x:c>
      <x:c r="V1343" s="21" t="str">
        <x:f>IF(J1343="Рассчитано",T1343*U1343,"н/д")</x:f>
        <x:v>н/д</x:v>
      </x:c>
      <x:c r="W1343" s="21" t="str">
        <x:f>IF(J1343="Рассчитано",T1343*M1343,"н/д")</x:f>
        <x:v>н/д</x:v>
      </x:c>
      <x:c r="X1343" s="21" t="str">
        <x:f>IF(J1343="Рассчитано",V1343-W1343,"н/д")</x:f>
        <x:v>н/д</x:v>
      </x:c>
      <x:c r="Y1343" s="27" t="str">
        <x:f>IF(J1343="Рассчитано",IF(V1343&gt;0,G1343/V1343,"н/д"),"н/д")</x:f>
        <x:v>н/д</x:v>
      </x:c>
      <x:c r="Z1343" s="21" t="str">
        <x:f>"н/д"</x:f>
        <x:v>н/д</x:v>
      </x:c>
      <x:c r="AA1343" s="21" t="str">
        <x:f>"н/д"</x:f>
        <x:v>н/д</x:v>
      </x:c>
      <x:c r="AB1343" s="21" t="str">
        <x:f>"н/д"</x:f>
        <x:v>н/д</x:v>
      </x:c>
      <x:c r="AC1343" s="21" t="str">
        <x:f>IF(AND(J1343="Рассчитано",T1343&gt;0,R1343&lt;100),(W1343+P1343+Q1343)/(T1343*(1-R1343/100)),"н/д")</x:f>
        <x:v>н/д</x:v>
      </x:c>
      <x:c r="AD1343" s="10" t="str">
        <x:f>IF(ISNUMBER(G1343),IF(G1343&lt;0,"Убыток",IF(G1343=0,"Без прибыли","Прибыль &gt; 0")),"Не оценён")</x:f>
        <x:v>Не оценён</x:v>
      </x:c>
      <x:c r="AE1343" s="13" t="str">
        <x:f>IF(J1343="Рассчитано","Выручка "&amp;TEXT(V1343,"0.00")&amp;" - себестоимость "&amp;TEXT(W1343,"0.00")&amp;" - комиссия "&amp;TEXT(V1343*R1343/100,"0.00")&amp;" - доставка "&amp;TEXT(P1343,"0.00")&amp;" - прочие "&amp;TEXT(Q1343,"0.00")&amp;" = "&amp;TEXT(G1343,"0.00")&amp;" "&amp;L1343,"Введите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3" s="24" t="n">
        <x:v>17.89553300928309</x:v>
      </x:c>
      <x:c r="AG1343" s="37" t="n">
        <x:v>48</x:v>
      </x:c>
      <x:c r="AH1343" s="37" t="n">
        <x:v>0</x:v>
      </x:c>
      <x:c r="AI1343" s="30" t="n">
        <x:v>46287</x:v>
      </x:c>
      <x:c r="AJ1343" s="37" t="n">
        <x:v>5</x:v>
      </x:c>
      <x:c r="AK1343" s="10" t="str">
        <x:v>кратность</x:v>
      </x:c>
      <x:c r="AL1343" s="32" t="n">
        <x:v>228.69811159225955</x:v>
      </x:c>
      <x:c r="AM1343" s="13" t="str">
        <x:v>Нет ежедневных данных доступности. Запас более 180 дней при среднем спросе</x:v>
      </x:c>
      <x:c r="AN1343" s="13" t="str">
        <x:v>Проверить свободный остаток и установить цену для B2B</x:v>
      </x:c>
      <x:c r="AO1343" s="13" t="str">
        <x:v>Остаток 48; прогноз 90 дней 17.90; избыток 30 шт. Будущие поступления не выставляются на продажу.</x:v>
      </x:c>
      <x:c r="AP1343" s="13" t="str">
        <x:v>["daily_stockout_data_missing", "new_order_lead_time_unknown"]</x:v>
      </x:c>
      <x:c r="AQ1343" s="10" t="str">
        <x:v>SE:300200523_</x:v>
      </x:c>
      <x:c r="AR1343" s="24" t="n">
        <x:v>1</x:v>
      </x:c>
      <x:c r="AS1343" s="24" t="n">
        <x:v>0</x:v>
      </x:c>
      <x:c r="AT1343" s="24" t="n">
        <x:v>0</x:v>
      </x:c>
    </x:row>
    <x:row r="1344" ht="64" customHeight="1">
      <x:c r="A1344" s="11" t="str">
        <x:v>Systeme Electric</x:v>
      </x:c>
      <x:c r="B1344" s="33" t="str">
        <x:v>300200525_</x:v>
      </x:c>
      <x:c r="C1344" s="33" t="str">
        <x:v>ATN000931</x:v>
      </x:c>
      <x:c r="D1344" s="12" t="str">
        <x:v>K006 Выкл 3 кл 10А с/у б/рамки "ATLAS" СТАЛЬ ATN931 (5)</x:v>
      </x:c>
      <x:c r="E1344" s="11" t="str">
        <x:v>шт</x:v>
      </x:c>
      <x:c r="F1344" s="35" t="n">
        <x:f>MAX(0,ROUNDDOWN((AG1344-AF1344)/AR1344+0.000000001,0)*AR1344)</x:f>
        <x:v>34</x:v>
      </x:c>
      <x:c r="G1344" s="20" t="str">
        <x:f>IF(J1344="Рассчитано",V1344*(1-R1344/100)-W1344-P1344-Q1344,"н/д")</x:f>
        <x:v>н/д</x:v>
      </x:c>
      <x:c r="H1344" s="12" t="str">
        <x:v>Средний</x:v>
      </x:c>
      <x:c r="I1344" s="12" t="str">
        <x:v>Высокий</x:v>
      </x:c>
      <x:c r="J1344" s="12" t="str">
        <x:f>IF(L1344="","Укажите валюту",IF(NOT(ISNUMBER(K1344)),"Укажите объём",IF(K1344&lt;=0,"Укажите объём",IF(K1344&gt;F1344,"Объём выше излишка",IF(COUNT(M1344:O1344)&lt;3,"Нужны цены",IF(COUNT(P1344:R1344)&lt;3,"Нужны расходы",IF(OR(M1344&lt;0,N1344&lt;0,O1344&lt;0,O1344&gt;100,P1344&lt;0,Q1344&lt;0,R1344&lt;0,R1344&gt;100),"Проверьте значения","Рассчитано")))))))</x:f>
        <x:v>Нужны цены</x:v>
      </x:c>
      <x:c r="K1344" s="36" t="n">
        <x:v>34</x:v>
      </x:c>
      <x:c r="L1344" s="19" t="str">
        <x:v>KZT</x:v>
      </x:c>
      <x:c r="M1344" s="22"/>
      <x:c r="N1344" s="22"/>
      <x:c r="O1344" s="28"/>
      <x:c r="P1344" s="22"/>
      <x:c r="Q1344" s="22"/>
      <x:c r="R1344" s="28"/>
      <x:c r="S1344" s="22"/>
      <x:c r="T1344" s="35" t="n">
        <x:f>K1344</x:f>
        <x:v>34</x:v>
      </x:c>
      <x:c r="U1344" s="20" t="str">
        <x:f>IF(J1344="Рассчитано",N1344*(1-O1344/100),"н/д")</x:f>
        <x:v>н/д</x:v>
      </x:c>
      <x:c r="V1344" s="20" t="str">
        <x:f>IF(J1344="Рассчитано",T1344*U1344,"н/д")</x:f>
        <x:v>н/д</x:v>
      </x:c>
      <x:c r="W1344" s="20" t="str">
        <x:f>IF(J1344="Рассчитано",T1344*M1344,"н/д")</x:f>
        <x:v>н/д</x:v>
      </x:c>
      <x:c r="X1344" s="20" t="str">
        <x:f>IF(J1344="Рассчитано",V1344-W1344,"н/д")</x:f>
        <x:v>н/д</x:v>
      </x:c>
      <x:c r="Y1344" s="26" t="str">
        <x:f>IF(J1344="Рассчитано",IF(V1344&gt;0,G1344/V1344,"н/д"),"н/д")</x:f>
        <x:v>н/д</x:v>
      </x:c>
      <x:c r="Z1344" s="20" t="str">
        <x:f>"н/д"</x:f>
        <x:v>н/д</x:v>
      </x:c>
      <x:c r="AA1344" s="20" t="str">
        <x:f>"н/д"</x:f>
        <x:v>н/д</x:v>
      </x:c>
      <x:c r="AB1344" s="20" t="str">
        <x:f>"н/д"</x:f>
        <x:v>н/д</x:v>
      </x:c>
      <x:c r="AC1344" s="20" t="str">
        <x:f>IF(AND(J1344="Рассчитано",T1344&gt;0,R1344&lt;100),(W1344+P1344+Q1344)/(T1344*(1-R1344/100)),"н/д")</x:f>
        <x:v>н/д</x:v>
      </x:c>
      <x:c r="AD1344" s="11" t="str">
        <x:f>IF(ISNUMBER(G1344),IF(G1344&lt;0,"Убыток",IF(G1344=0,"Без прибыли","Прибыль &gt; 0")),"Не оценён")</x:f>
        <x:v>Не оценён</x:v>
      </x:c>
      <x:c r="AE1344" s="12" t="str">
        <x:f>IF(J1344="Рассчитано","Выручка "&amp;TEXT(V1344,"0.00")&amp;" - себестоимость "&amp;TEXT(W1344,"0.00")&amp;" - комиссия "&amp;TEXT(V1344*R1344/100,"0.00")&amp;" - доставка "&amp;TEXT(P1344,"0.00")&amp;" - прочие "&amp;TEXT(Q1344,"0.00")&amp;" = "&amp;TEXT(G1344,"0.00")&amp;" "&amp;L1344,"Введите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4" s="23" t="n">
        <x:v>4.466513599096104</x:v>
      </x:c>
      <x:c r="AG1344" s="35" t="n">
        <x:v>39</x:v>
      </x:c>
      <x:c r="AH1344" s="35" t="n">
        <x:v>0</x:v>
      </x:c>
      <x:c r="AI1344" s="29" t="n">
        <x:v>46287</x:v>
      </x:c>
      <x:c r="AJ1344" s="35" t="n">
        <x:v>5</x:v>
      </x:c>
      <x:c r="AK1344" s="11" t="str">
        <x:v>кратность</x:v>
      </x:c>
      <x:c r="AL1344" s="31" t="n">
        <x:v>744.495240620209</x:v>
      </x:c>
      <x:c r="AM1344" s="12" t="str">
        <x:v>Нет ежедневных данных доступности. Запас более 180 дней при среднем спросе</x:v>
      </x:c>
      <x:c r="AN1344" s="12" t="str">
        <x:v>Проверить свободный остаток и установить цену для B2B</x:v>
      </x:c>
      <x:c r="AO1344" s="12" t="str">
        <x:v>Остаток 39; прогноз 90 дней 4.47; избыток 34 шт. Будущие поступления не выставляются на продажу.</x:v>
      </x:c>
      <x:c r="AP1344" s="12" t="str">
        <x:v>["daily_stockout_data_missing", "negative_net_sales_clipped_for_forecast", "new_order_lead_time_unknown"]</x:v>
      </x:c>
      <x:c r="AQ1344" s="11" t="str">
        <x:v>SE:300200525_</x:v>
      </x:c>
      <x:c r="AR1344" s="23" t="n">
        <x:v>1</x:v>
      </x:c>
      <x:c r="AS1344" s="23" t="n">
        <x:v>0</x:v>
      </x:c>
      <x:c r="AT1344" s="23" t="n">
        <x:v>0</x:v>
      </x:c>
    </x:row>
    <x:row r="1345" ht="64" customHeight="1">
      <x:c r="A1345" s="10" t="str">
        <x:v>Systeme Electric</x:v>
      </x:c>
      <x:c r="B1345" s="34" t="str">
        <x:v>300200526_</x:v>
      </x:c>
      <x:c r="C1345" s="34" t="str">
        <x:v>ATN000983</x:v>
      </x:c>
      <x:c r="D1345" s="13" t="str">
        <x:v>K007 Комп. роз. RJ45 5Е механизм б/рамки "ATLAS" СТАЛЬ ATN983 (5)</x:v>
      </x:c>
      <x:c r="E1345" s="10" t="str">
        <x:v>шт</x:v>
      </x:c>
      <x:c r="F1345" s="37" t="n">
        <x:f>MAX(0,ROUNDDOWN((AG1345-AF1345)/AR1345+0.000000001,0)*AR1345)</x:f>
        <x:v>18</x:v>
      </x:c>
      <x:c r="G1345" s="21" t="str">
        <x:f>IF(J1345="Рассчитано",V1345*(1-R1345/100)-W1345-P1345-Q1345,"н/д")</x:f>
        <x:v>н/д</x:v>
      </x:c>
      <x:c r="H1345" s="13" t="str">
        <x:v>Средний</x:v>
      </x:c>
      <x:c r="I1345" s="13" t="str">
        <x:v>Средний</x:v>
      </x:c>
      <x:c r="J1345" s="13" t="str">
        <x:f>IF(L1345="","Укажите валюту",IF(NOT(ISNUMBER(K1345)),"Укажите объём",IF(K1345&lt;=0,"Укажите объём",IF(K1345&gt;F1345,"Объём выше излишка",IF(COUNT(M1345:O1345)&lt;3,"Нужны цены",IF(COUNT(P1345:R1345)&lt;3,"Нужны расходы",IF(OR(M1345&lt;0,N1345&lt;0,O1345&lt;0,O1345&gt;100,P1345&lt;0,Q1345&lt;0,R1345&lt;0,R1345&gt;100),"Проверьте значения","Рассчитано")))))))</x:f>
        <x:v>Нужны цены</x:v>
      </x:c>
      <x:c r="K1345" s="36" t="n">
        <x:v>18</x:v>
      </x:c>
      <x:c r="L1345" s="19" t="str">
        <x:v>KZT</x:v>
      </x:c>
      <x:c r="M1345" s="22"/>
      <x:c r="N1345" s="22"/>
      <x:c r="O1345" s="28"/>
      <x:c r="P1345" s="22"/>
      <x:c r="Q1345" s="22"/>
      <x:c r="R1345" s="28"/>
      <x:c r="S1345" s="22"/>
      <x:c r="T1345" s="37" t="n">
        <x:f>K1345</x:f>
        <x:v>18</x:v>
      </x:c>
      <x:c r="U1345" s="21" t="str">
        <x:f>IF(J1345="Рассчитано",N1345*(1-O1345/100),"н/д")</x:f>
        <x:v>н/д</x:v>
      </x:c>
      <x:c r="V1345" s="21" t="str">
        <x:f>IF(J1345="Рассчитано",T1345*U1345,"н/д")</x:f>
        <x:v>н/д</x:v>
      </x:c>
      <x:c r="W1345" s="21" t="str">
        <x:f>IF(J1345="Рассчитано",T1345*M1345,"н/д")</x:f>
        <x:v>н/д</x:v>
      </x:c>
      <x:c r="X1345" s="21" t="str">
        <x:f>IF(J1345="Рассчитано",V1345-W1345,"н/д")</x:f>
        <x:v>н/д</x:v>
      </x:c>
      <x:c r="Y1345" s="27" t="str">
        <x:f>IF(J1345="Рассчитано",IF(V1345&gt;0,G1345/V1345,"н/д"),"н/д")</x:f>
        <x:v>н/д</x:v>
      </x:c>
      <x:c r="Z1345" s="21" t="str">
        <x:f>"н/д"</x:f>
        <x:v>н/д</x:v>
      </x:c>
      <x:c r="AA1345" s="21" t="str">
        <x:f>"н/д"</x:f>
        <x:v>н/д</x:v>
      </x:c>
      <x:c r="AB1345" s="21" t="str">
        <x:f>"н/д"</x:f>
        <x:v>н/д</x:v>
      </x:c>
      <x:c r="AC1345" s="21" t="str">
        <x:f>IF(AND(J1345="Рассчитано",T1345&gt;0,R1345&lt;100),(W1345+P1345+Q1345)/(T1345*(1-R1345/100)),"н/д")</x:f>
        <x:v>н/д</x:v>
      </x:c>
      <x:c r="AD1345" s="10" t="str">
        <x:f>IF(ISNUMBER(G1345),IF(G1345&lt;0,"Убыток",IF(G1345=0,"Без прибыли","Прибыль &gt; 0")),"Не оценён")</x:f>
        <x:v>Не оценён</x:v>
      </x:c>
      <x:c r="AE1345" s="13" t="str">
        <x:f>IF(J1345="Рассчитано","Выручка "&amp;TEXT(V1345,"0.00")&amp;" - себестоимость "&amp;TEXT(W1345,"0.00")&amp;" - комиссия "&amp;TEXT(V1345*R1345/100,"0.00")&amp;" - доставка "&amp;TEXT(P1345,"0.00")&amp;" - прочие "&amp;TEXT(Q1345,"0.00")&amp;" = "&amp;TEXT(G1345,"0.00")&amp;" "&amp;L1345,"Введите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5" s="24" t="n">
        <x:v>23.08054189110775</x:v>
      </x:c>
      <x:c r="AG1345" s="37" t="n">
        <x:v>42</x:v>
      </x:c>
      <x:c r="AH1345" s="37" t="n">
        <x:v>0</x:v>
      </x:c>
      <x:c r="AI1345" s="30" t="n">
        <x:v>46287</x:v>
      </x:c>
      <x:c r="AJ1345" s="37" t="n">
        <x:v>1</x:v>
      </x:c>
      <x:c r="AK1345" s="10" t="str">
        <x:v>кратность</x:v>
      </x:c>
      <x:c r="AL1345" s="32" t="n">
        <x:v>155.15624790831617</x:v>
      </x:c>
      <x:c r="AM1345" s="13" t="str">
        <x:v>Нет ежедневных данных доступности. Запас выше прогноза на 90 дней</x:v>
      </x:c>
      <x:c r="AN1345" s="13" t="str">
        <x:v>Проверить свободный остаток и установить цену для B2B</x:v>
      </x:c>
      <x:c r="AO1345" s="13" t="str">
        <x:v>Остаток 42; прогноз 90 дней 23.08; избыток 18 шт. Будущие поступления не выставляются на продажу.</x:v>
      </x:c>
      <x:c r="AP1345" s="13" t="str">
        <x:v>["daily_stockout_data_missing", "large_orders_detected", "new_order_lead_time_unknown"]</x:v>
      </x:c>
      <x:c r="AQ1345" s="10" t="str">
        <x:v>SE:300200526_</x:v>
      </x:c>
      <x:c r="AR1345" s="24" t="n">
        <x:v>1</x:v>
      </x:c>
      <x:c r="AS1345" s="24" t="n">
        <x:v>0</x:v>
      </x:c>
      <x:c r="AT1345" s="24" t="n">
        <x:v>0</x:v>
      </x:c>
    </x:row>
    <x:row r="1346" ht="64" customHeight="1">
      <x:c r="A1346" s="11" t="str">
        <x:v>Systeme Electric</x:v>
      </x:c>
      <x:c r="B1346" s="33" t="str">
        <x:v>300200527_</x:v>
      </x:c>
      <x:c r="C1346" s="33" t="str">
        <x:v>ATN000961</x:v>
      </x:c>
      <x:c r="D1346" s="12" t="str">
        <x:v>K008 Переключ. 1 кл 10А с/у б/рамки "ATLAS" СТАЛЬ ATN961 (5)</x:v>
      </x:c>
      <x:c r="E1346" s="11" t="str">
        <x:v>шт</x:v>
      </x:c>
      <x:c r="F1346" s="35" t="n">
        <x:f>MAX(0,ROUNDDOWN((AG1346-AF1346)/AR1346+0.000000001,0)*AR1346)</x:f>
        <x:v>263</x:v>
      </x:c>
      <x:c r="G1346" s="20" t="str">
        <x:f>IF(J1346="Рассчитано",V1346*(1-R1346/100)-W1346-P1346-Q1346,"н/д")</x:f>
        <x:v>н/д</x:v>
      </x:c>
      <x:c r="H1346" s="12" t="str">
        <x:v>Средний</x:v>
      </x:c>
      <x:c r="I1346" s="12" t="str">
        <x:v>Высокий</x:v>
      </x:c>
      <x:c r="J1346" s="12" t="str">
        <x:f>IF(L1346="","Укажите валюту",IF(NOT(ISNUMBER(K1346)),"Укажите объём",IF(K1346&lt;=0,"Укажите объём",IF(K1346&gt;F1346,"Объём выше излишка",IF(COUNT(M1346:O1346)&lt;3,"Нужны цены",IF(COUNT(P1346:R1346)&lt;3,"Нужны расходы",IF(OR(M1346&lt;0,N1346&lt;0,O1346&lt;0,O1346&gt;100,P1346&lt;0,Q1346&lt;0,R1346&lt;0,R1346&gt;100),"Проверьте значения","Рассчитано")))))))</x:f>
        <x:v>Нужны цены</x:v>
      </x:c>
      <x:c r="K1346" s="36" t="n">
        <x:v>263</x:v>
      </x:c>
      <x:c r="L1346" s="19" t="str">
        <x:v>KZT</x:v>
      </x:c>
      <x:c r="M1346" s="22"/>
      <x:c r="N1346" s="22"/>
      <x:c r="O1346" s="28"/>
      <x:c r="P1346" s="22"/>
      <x:c r="Q1346" s="22"/>
      <x:c r="R1346" s="28"/>
      <x:c r="S1346" s="22"/>
      <x:c r="T1346" s="35" t="n">
        <x:f>K1346</x:f>
        <x:v>263</x:v>
      </x:c>
      <x:c r="U1346" s="20" t="str">
        <x:f>IF(J1346="Рассчитано",N1346*(1-O1346/100),"н/д")</x:f>
        <x:v>н/д</x:v>
      </x:c>
      <x:c r="V1346" s="20" t="str">
        <x:f>IF(J1346="Рассчитано",T1346*U1346,"н/д")</x:f>
        <x:v>н/д</x:v>
      </x:c>
      <x:c r="W1346" s="20" t="str">
        <x:f>IF(J1346="Рассчитано",T1346*M1346,"н/д")</x:f>
        <x:v>н/д</x:v>
      </x:c>
      <x:c r="X1346" s="20" t="str">
        <x:f>IF(J1346="Рассчитано",V1346-W1346,"н/д")</x:f>
        <x:v>н/д</x:v>
      </x:c>
      <x:c r="Y1346" s="26" t="str">
        <x:f>IF(J1346="Рассчитано",IF(V1346&gt;0,G1346/V1346,"н/д"),"н/д")</x:f>
        <x:v>н/д</x:v>
      </x:c>
      <x:c r="Z1346" s="20" t="str">
        <x:f>"н/д"</x:f>
        <x:v>н/д</x:v>
      </x:c>
      <x:c r="AA1346" s="20" t="str">
        <x:f>"н/д"</x:f>
        <x:v>н/д</x:v>
      </x:c>
      <x:c r="AB1346" s="20" t="str">
        <x:f>"н/д"</x:f>
        <x:v>н/д</x:v>
      </x:c>
      <x:c r="AC1346" s="20" t="str">
        <x:f>IF(AND(J1346="Рассчитано",T1346&gt;0,R1346&lt;100),(W1346+P1346+Q1346)/(T1346*(1-R1346/100)),"н/д")</x:f>
        <x:v>н/д</x:v>
      </x:c>
      <x:c r="AD1346" s="11" t="str">
        <x:f>IF(ISNUMBER(G1346),IF(G1346&lt;0,"Убыток",IF(G1346=0,"Без прибыли","Прибыль &gt; 0")),"Не оценён")</x:f>
        <x:v>Не оценён</x:v>
      </x:c>
      <x:c r="AE1346" s="12" t="str">
        <x:f>IF(J1346="Рассчитано","Выручка "&amp;TEXT(V1346,"0.00")&amp;" - себестоимость "&amp;TEXT(W1346,"0.00")&amp;" - комиссия "&amp;TEXT(V1346*R1346/100,"0.00")&amp;" - доставка "&amp;TEXT(P1346,"0.00")&amp;" - прочие "&amp;TEXT(Q1346,"0.00")&amp;" = "&amp;TEXT(G1346,"0.00")&amp;" "&amp;L1346,"Введите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6" s="23" t="n">
        <x:v>11.156346830345843</x:v>
      </x:c>
      <x:c r="AG1346" s="35" t="n">
        <x:v>275</x:v>
      </x:c>
      <x:c r="AH1346" s="35" t="n">
        <x:v>0</x:v>
      </x:c>
      <x:c r="AI1346" s="29" t="n">
        <x:v>46287</x:v>
      </x:c>
      <x:c r="AJ1346" s="35" t="n">
        <x:v>5</x:v>
      </x:c>
      <x:c r="AK1346" s="11" t="str">
        <x:v>кратность</x:v>
      </x:c>
      <x:c r="AL1346" s="31" t="n">
        <x:v>2101.7287542206013</x:v>
      </x:c>
      <x:c r="AM1346" s="12" t="str">
        <x:v>Нет ежедневных данных доступности. Запас более 180 дней при среднем спросе</x:v>
      </x:c>
      <x:c r="AN1346" s="12" t="str">
        <x:v>Проверить свободный остаток и установить цену для B2B</x:v>
      </x:c>
      <x:c r="AO1346" s="12" t="str">
        <x:v>Остаток 275; прогноз 90 дней 11.16; избыток 263 шт. Будущие поступления не выставляются на продажу.</x:v>
      </x:c>
      <x:c r="AP1346" s="12" t="str">
        <x:v>["daily_stockout_data_missing", "new_order_lead_time_unknown"]</x:v>
      </x:c>
      <x:c r="AQ1346" s="11" t="str">
        <x:v>SE:300200527_</x:v>
      </x:c>
      <x:c r="AR1346" s="23" t="n">
        <x:v>1</x:v>
      </x:c>
      <x:c r="AS1346" s="23" t="n">
        <x:v>0</x:v>
      </x:c>
      <x:c r="AT1346" s="23" t="n">
        <x:v>0</x:v>
      </x:c>
    </x:row>
    <x:row r="1347" ht="64" customHeight="1">
      <x:c r="A1347" s="10" t="str">
        <x:v>Systeme Electric</x:v>
      </x:c>
      <x:c r="B1347" s="34" t="str">
        <x:v>300200529_</x:v>
      </x:c>
      <x:c r="C1347" s="34" t="str">
        <x:v>ATN000971</x:v>
      </x:c>
      <x:c r="D1347" s="13" t="str">
        <x:v>K010 Перекрест.переключ. 1 кл 10А с/у б/рамки "ATLAS" СТАЛЬ ATN971 (2)</x:v>
      </x:c>
      <x:c r="E1347" s="10" t="str">
        <x:v>шт</x:v>
      </x:c>
      <x:c r="F1347" s="37" t="n">
        <x:f>MAX(0,ROUNDDOWN((AG1347-AF1347)/AR1347+0.000000001,0)*AR1347)</x:f>
        <x:v>66</x:v>
      </x:c>
      <x:c r="G1347" s="21" t="str">
        <x:f>IF(J1347="Рассчитано",V1347*(1-R1347/100)-W1347-P1347-Q1347,"н/д")</x:f>
        <x:v>н/д</x:v>
      </x:c>
      <x:c r="H1347" s="13" t="str">
        <x:v>Средний</x:v>
      </x:c>
      <x:c r="I1347" s="13" t="str">
        <x:v>Высокий</x:v>
      </x:c>
      <x:c r="J1347" s="13" t="str">
        <x:f>IF(L1347="","Укажите валюту",IF(NOT(ISNUMBER(K1347)),"Укажите объём",IF(K1347&lt;=0,"Укажите объём",IF(K1347&gt;F1347,"Объём выше излишка",IF(COUNT(M1347:O1347)&lt;3,"Нужны цены",IF(COUNT(P1347:R1347)&lt;3,"Нужны расходы",IF(OR(M1347&lt;0,N1347&lt;0,O1347&lt;0,O1347&gt;100,P1347&lt;0,Q1347&lt;0,R1347&lt;0,R1347&gt;100),"Проверьте значения","Рассчитано")))))))</x:f>
        <x:v>Нужны цены</x:v>
      </x:c>
      <x:c r="K1347" s="36" t="n">
        <x:v>66</x:v>
      </x:c>
      <x:c r="L1347" s="19" t="str">
        <x:v>KZT</x:v>
      </x:c>
      <x:c r="M1347" s="22"/>
      <x:c r="N1347" s="22"/>
      <x:c r="O1347" s="28"/>
      <x:c r="P1347" s="22"/>
      <x:c r="Q1347" s="22"/>
      <x:c r="R1347" s="28"/>
      <x:c r="S1347" s="22"/>
      <x:c r="T1347" s="37" t="n">
        <x:f>K1347</x:f>
        <x:v>66</x:v>
      </x:c>
      <x:c r="U1347" s="21" t="str">
        <x:f>IF(J1347="Рассчитано",N1347*(1-O1347/100),"н/д")</x:f>
        <x:v>н/д</x:v>
      </x:c>
      <x:c r="V1347" s="21" t="str">
        <x:f>IF(J1347="Рассчитано",T1347*U1347,"н/д")</x:f>
        <x:v>н/д</x:v>
      </x:c>
      <x:c r="W1347" s="21" t="str">
        <x:f>IF(J1347="Рассчитано",T1347*M1347,"н/д")</x:f>
        <x:v>н/д</x:v>
      </x:c>
      <x:c r="X1347" s="21" t="str">
        <x:f>IF(J1347="Рассчитано",V1347-W1347,"н/д")</x:f>
        <x:v>н/д</x:v>
      </x:c>
      <x:c r="Y1347" s="27" t="str">
        <x:f>IF(J1347="Рассчитано",IF(V1347&gt;0,G1347/V1347,"н/д"),"н/д")</x:f>
        <x:v>н/д</x:v>
      </x:c>
      <x:c r="Z1347" s="21" t="str">
        <x:f>"н/д"</x:f>
        <x:v>н/д</x:v>
      </x:c>
      <x:c r="AA1347" s="21" t="str">
        <x:f>"н/д"</x:f>
        <x:v>н/д</x:v>
      </x:c>
      <x:c r="AB1347" s="21" t="str">
        <x:f>"н/д"</x:f>
        <x:v>н/д</x:v>
      </x:c>
      <x:c r="AC1347" s="21" t="str">
        <x:f>IF(AND(J1347="Рассчитано",T1347&gt;0,R1347&lt;100),(W1347+P1347+Q1347)/(T1347*(1-R1347/100)),"н/д")</x:f>
        <x:v>н/д</x:v>
      </x:c>
      <x:c r="AD1347" s="10" t="str">
        <x:f>IF(ISNUMBER(G1347),IF(G1347&lt;0,"Убыток",IF(G1347=0,"Без прибыли","Прибыль &gt; 0")),"Не оценён")</x:f>
        <x:v>Не оценён</x:v>
      </x:c>
      <x:c r="AE1347" s="13" t="str">
        <x:f>IF(J1347="Рассчитано","Выручка "&amp;TEXT(V1347,"0.00")&amp;" - себестоимость "&amp;TEXT(W1347,"0.00")&amp;" - комиссия "&amp;TEXT(V1347*R1347/100,"0.00")&amp;" - доставка "&amp;TEXT(P1347,"0.00")&amp;" - прочие "&amp;TEXT(Q1347,"0.00")&amp;" = "&amp;TEXT(G1347,"0.00")&amp;" "&amp;L1347,"Введите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7" s="24" t="n">
        <x:v>1.6239347844373466</x:v>
      </x:c>
      <x:c r="AG1347" s="37" t="n">
        <x:v>68</x:v>
      </x:c>
      <x:c r="AH1347" s="37" t="n">
        <x:v>0</x:v>
      </x:c>
      <x:c r="AI1347" s="30" t="n">
        <x:v>46287</x:v>
      </x:c>
      <x:c r="AJ1347" s="37" t="n">
        <x:v>1</x:v>
      </x:c>
      <x:c r="AK1347" s="10" t="str">
        <x:v>кратность</x:v>
      </x:c>
      <x:c r="AL1347" s="32" t="n">
        <x:v>3570.313134620222</x:v>
      </x:c>
      <x:c r="AM1347" s="13" t="str">
        <x:v>Нет ежедневных данных доступности. Запас более 180 дней при среднем спросе</x:v>
      </x:c>
      <x:c r="AN1347" s="13" t="str">
        <x:v>Проверить свободный остаток и установить цену для B2B</x:v>
      </x:c>
      <x:c r="AO1347" s="13" t="str">
        <x:v>Остаток 68; прогноз 90 дней 1.62; избыток 66 шт. Будущие поступления не выставляются на продажу.</x:v>
      </x:c>
      <x:c r="AP1347" s="13" t="str">
        <x:v>["daily_stockout_data_missing", "new_order_lead_time_unknown"]</x:v>
      </x:c>
      <x:c r="AQ1347" s="10" t="str">
        <x:v>SE:300200529_</x:v>
      </x:c>
      <x:c r="AR1347" s="24" t="n">
        <x:v>1</x:v>
      </x:c>
      <x:c r="AS1347" s="24" t="n">
        <x:v>0</x:v>
      </x:c>
      <x:c r="AT1347" s="24" t="n">
        <x:v>0</x:v>
      </x:c>
    </x:row>
    <x:row r="1348" ht="64" customHeight="1">
      <x:c r="A1348" s="11" t="str">
        <x:v>Systeme Electric</x:v>
      </x:c>
      <x:c r="B1348" s="33" t="str">
        <x:v>300200530_</x:v>
      </x:c>
      <x:c r="C1348" s="33" t="str">
        <x:v>ATN000920</x:v>
      </x:c>
      <x:c r="D1348" s="12" t="str">
        <x:v>K011 Роз. 2-ная с/у 16А "ATLAS" СТАЛЬ ATN920 (6)</x:v>
      </x:c>
      <x:c r="E1348" s="11" t="str">
        <x:v>шт</x:v>
      </x:c>
      <x:c r="F1348" s="35" t="n">
        <x:f>MAX(0,ROUNDDOWN((AG1348-AF1348)/AR1348+0.000000001,0)*AR1348)</x:f>
        <x:v>20</x:v>
      </x:c>
      <x:c r="G1348" s="20" t="str">
        <x:f>IF(J1348="Рассчитано",V1348*(1-R1348/100)-W1348-P1348-Q1348,"н/д")</x:f>
        <x:v>н/д</x:v>
      </x:c>
      <x:c r="H1348" s="12" t="str">
        <x:v>Средний</x:v>
      </x:c>
      <x:c r="I1348" s="12" t="str">
        <x:v>Высокий</x:v>
      </x:c>
      <x:c r="J1348" s="12" t="str">
        <x:f>IF(L1348="","Укажите валюту",IF(NOT(ISNUMBER(K1348)),"Укажите объём",IF(K1348&lt;=0,"Укажите объём",IF(K1348&gt;F1348,"Объём выше излишка",IF(COUNT(M1348:O1348)&lt;3,"Нужны цены",IF(COUNT(P1348:R1348)&lt;3,"Нужны расходы",IF(OR(M1348&lt;0,N1348&lt;0,O1348&lt;0,O1348&gt;100,P1348&lt;0,Q1348&lt;0,R1348&lt;0,R1348&gt;100),"Проверьте значения","Рассчитано")))))))</x:f>
        <x:v>Нужны цены</x:v>
      </x:c>
      <x:c r="K1348" s="36" t="n">
        <x:v>20</x:v>
      </x:c>
      <x:c r="L1348" s="19" t="str">
        <x:v>KZT</x:v>
      </x:c>
      <x:c r="M1348" s="22"/>
      <x:c r="N1348" s="22"/>
      <x:c r="O1348" s="28"/>
      <x:c r="P1348" s="22"/>
      <x:c r="Q1348" s="22"/>
      <x:c r="R1348" s="28"/>
      <x:c r="S1348" s="22"/>
      <x:c r="T1348" s="35" t="n">
        <x:f>K1348</x:f>
        <x:v>20</x:v>
      </x:c>
      <x:c r="U1348" s="20" t="str">
        <x:f>IF(J1348="Рассчитано",N1348*(1-O1348/100),"н/д")</x:f>
        <x:v>н/д</x:v>
      </x:c>
      <x:c r="V1348" s="20" t="str">
        <x:f>IF(J1348="Рассчитано",T1348*U1348,"н/д")</x:f>
        <x:v>н/д</x:v>
      </x:c>
      <x:c r="W1348" s="20" t="str">
        <x:f>IF(J1348="Рассчитано",T1348*M1348,"н/д")</x:f>
        <x:v>н/д</x:v>
      </x:c>
      <x:c r="X1348" s="20" t="str">
        <x:f>IF(J1348="Рассчитано",V1348-W1348,"н/д")</x:f>
        <x:v>н/д</x:v>
      </x:c>
      <x:c r="Y1348" s="26" t="str">
        <x:f>IF(J1348="Рассчитано",IF(V1348&gt;0,G1348/V1348,"н/д"),"н/д")</x:f>
        <x:v>н/д</x:v>
      </x:c>
      <x:c r="Z1348" s="20" t="str">
        <x:f>"н/д"</x:f>
        <x:v>н/д</x:v>
      </x:c>
      <x:c r="AA1348" s="20" t="str">
        <x:f>"н/д"</x:f>
        <x:v>н/д</x:v>
      </x:c>
      <x:c r="AB1348" s="20" t="str">
        <x:f>"н/д"</x:f>
        <x:v>н/д</x:v>
      </x:c>
      <x:c r="AC1348" s="20" t="str">
        <x:f>IF(AND(J1348="Рассчитано",T1348&gt;0,R1348&lt;100),(W1348+P1348+Q1348)/(T1348*(1-R1348/100)),"н/д")</x:f>
        <x:v>н/д</x:v>
      </x:c>
      <x:c r="AD1348" s="11" t="str">
        <x:f>IF(ISNUMBER(G1348),IF(G1348&lt;0,"Убыток",IF(G1348=0,"Без прибыли","Прибыль &gt; 0")),"Не оценён")</x:f>
        <x:v>Не оценён</x:v>
      </x:c>
      <x:c r="AE1348" s="12" t="str">
        <x:f>IF(J1348="Рассчитано","Выручка "&amp;TEXT(V1348,"0.00")&amp;" - себестоимость "&amp;TEXT(W1348,"0.00")&amp;" - комиссия "&amp;TEXT(V1348*R1348/100,"0.00")&amp;" - доставка "&amp;TEXT(P1348,"0.00")&amp;" - прочие "&amp;TEXT(Q1348,"0.00")&amp;" = "&amp;TEXT(G1348,"0.00")&amp;" "&amp;L1348,"Введите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8" s="23" t="n">
        <x:v>6.752536479360941</x:v>
      </x:c>
      <x:c r="AG1348" s="35" t="n">
        <x:v>27</x:v>
      </x:c>
      <x:c r="AH1348" s="35" t="n">
        <x:v>0</x:v>
      </x:c>
      <x:c r="AI1348" s="29" t="n">
        <x:v>46287</x:v>
      </x:c>
      <x:c r="AJ1348" s="35" t="n">
        <x:v>6</x:v>
      </x:c>
      <x:c r="AK1348" s="11" t="str">
        <x:v>кратность</x:v>
      </x:c>
      <x:c r="AL1348" s="31" t="n">
        <x:v>340.92810493344655</x:v>
      </x:c>
      <x:c r="AM1348" s="12" t="str">
        <x:v>Нет ежедневных данных доступности. Запас более 180 дней при среднем спросе</x:v>
      </x:c>
      <x:c r="AN1348" s="12" t="str">
        <x:v>Проверить свободный остаток и установить цену для B2B</x:v>
      </x:c>
      <x:c r="AO1348" s="12" t="str">
        <x:v>Остаток 27; прогноз 90 дней 6.75; избыток 20 шт. Будущие поступления не выставляются на продажу.</x:v>
      </x:c>
      <x:c r="AP1348" s="12" t="str">
        <x:v>["daily_stockout_data_missing", "new_order_lead_time_unknown"]</x:v>
      </x:c>
      <x:c r="AQ1348" s="11" t="str">
        <x:v>SE:300200530_</x:v>
      </x:c>
      <x:c r="AR1348" s="23" t="n">
        <x:v>1</x:v>
      </x:c>
      <x:c r="AS1348" s="23" t="n">
        <x:v>0</x:v>
      </x:c>
      <x:c r="AT1348" s="23" t="n">
        <x:v>0</x:v>
      </x:c>
    </x:row>
    <x:row r="1349" ht="64" customHeight="1">
      <x:c r="A1349" s="10" t="str">
        <x:v>Systeme Electric</x:v>
      </x:c>
      <x:c r="B1349" s="34" t="str">
        <x:v>300200532_</x:v>
      </x:c>
      <x:c r="C1349" s="34" t="str">
        <x:v>ATN000985</x:v>
      </x:c>
      <x:c r="D1349" s="13" t="str">
        <x:v>K013 Роз. RJ45+RJ45 5Е кат 5Е механизм б/рамки "ATLAS" СТАЛЬ ATN985 (5)</x:v>
      </x:c>
      <x:c r="E1349" s="10" t="str">
        <x:v>шт</x:v>
      </x:c>
      <x:c r="F1349" s="37" t="n">
        <x:f>MAX(0,ROUNDDOWN((AG1349-AF1349)/AR1349+0.000000001,0)*AR1349)</x:f>
        <x:v>4</x:v>
      </x:c>
      <x:c r="G1349" s="21" t="str">
        <x:f>IF(J1349="Рассчитано",V1349*(1-R1349/100)-W1349-P1349-Q1349,"н/д")</x:f>
        <x:v>н/д</x:v>
      </x:c>
      <x:c r="H1349" s="13" t="str">
        <x:v>Средний</x:v>
      </x:c>
      <x:c r="I1349" s="13" t="str">
        <x:v>Высокий</x:v>
      </x:c>
      <x:c r="J1349" s="13" t="str">
        <x:f>IF(L1349="","Укажите валюту",IF(NOT(ISNUMBER(K1349)),"Укажите объём",IF(K1349&lt;=0,"Укажите объём",IF(K1349&gt;F1349,"Объём выше излишка",IF(COUNT(M1349:O1349)&lt;3,"Нужны цены",IF(COUNT(P1349:R1349)&lt;3,"Нужны расходы",IF(OR(M1349&lt;0,N1349&lt;0,O1349&lt;0,O1349&gt;100,P1349&lt;0,Q1349&lt;0,R1349&lt;0,R1349&gt;100),"Проверьте значения","Рассчитано")))))))</x:f>
        <x:v>Нужны цены</x:v>
      </x:c>
      <x:c r="K1349" s="36" t="n">
        <x:v>4</x:v>
      </x:c>
      <x:c r="L1349" s="19" t="str">
        <x:v>KZT</x:v>
      </x:c>
      <x:c r="M1349" s="22"/>
      <x:c r="N1349" s="22"/>
      <x:c r="O1349" s="28"/>
      <x:c r="P1349" s="22"/>
      <x:c r="Q1349" s="22"/>
      <x:c r="R1349" s="28"/>
      <x:c r="S1349" s="22"/>
      <x:c r="T1349" s="37" t="n">
        <x:f>K1349</x:f>
        <x:v>4</x:v>
      </x:c>
      <x:c r="U1349" s="21" t="str">
        <x:f>IF(J1349="Рассчитано",N1349*(1-O1349/100),"н/д")</x:f>
        <x:v>н/д</x:v>
      </x:c>
      <x:c r="V1349" s="21" t="str">
        <x:f>IF(J1349="Рассчитано",T1349*U1349,"н/д")</x:f>
        <x:v>н/д</x:v>
      </x:c>
      <x:c r="W1349" s="21" t="str">
        <x:f>IF(J1349="Рассчитано",T1349*M1349,"н/д")</x:f>
        <x:v>н/д</x:v>
      </x:c>
      <x:c r="X1349" s="21" t="str">
        <x:f>IF(J1349="Рассчитано",V1349-W1349,"н/д")</x:f>
        <x:v>н/д</x:v>
      </x:c>
      <x:c r="Y1349" s="27" t="str">
        <x:f>IF(J1349="Рассчитано",IF(V1349&gt;0,G1349/V1349,"н/д"),"н/д")</x:f>
        <x:v>н/д</x:v>
      </x:c>
      <x:c r="Z1349" s="21" t="str">
        <x:f>"н/д"</x:f>
        <x:v>н/д</x:v>
      </x:c>
      <x:c r="AA1349" s="21" t="str">
        <x:f>"н/д"</x:f>
        <x:v>н/д</x:v>
      </x:c>
      <x:c r="AB1349" s="21" t="str">
        <x:f>"н/д"</x:f>
        <x:v>н/д</x:v>
      </x:c>
      <x:c r="AC1349" s="21" t="str">
        <x:f>IF(AND(J1349="Рассчитано",T1349&gt;0,R1349&lt;100),(W1349+P1349+Q1349)/(T1349*(1-R1349/100)),"н/д")</x:f>
        <x:v>н/д</x:v>
      </x:c>
      <x:c r="AD1349" s="10" t="str">
        <x:f>IF(ISNUMBER(G1349),IF(G1349&lt;0,"Убыток",IF(G1349=0,"Без прибыли","Прибыль &gt; 0")),"Не оценён")</x:f>
        <x:v>Не оценён</x:v>
      </x:c>
      <x:c r="AE1349" s="13" t="str">
        <x:f>IF(J1349="Рассчитано","Выручка "&amp;TEXT(V1349,"0.00")&amp;" - себестоимость "&amp;TEXT(W1349,"0.00")&amp;" - комиссия "&amp;TEXT(V1349*R1349/100,"0.00")&amp;" - доставка "&amp;TEXT(P1349,"0.00")&amp;" - прочие "&amp;TEXT(Q1349,"0.00")&amp;" = "&amp;TEXT(G1349,"0.00")&amp;" "&amp;L1349,"Введите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9" s="24" t="n">
        <x:v>3.015344632696777</x:v>
      </x:c>
      <x:c r="AG1349" s="37" t="n">
        <x:v>8</x:v>
      </x:c>
      <x:c r="AH1349" s="37" t="n">
        <x:v>0</x:v>
      </x:c>
      <x:c r="AI1349" s="30" t="n">
        <x:v>46287</x:v>
      </x:c>
      <x:c r="AJ1349" s="37" t="n">
        <x:v>1</x:v>
      </x:c>
      <x:c r="AK1349" s="10" t="str">
        <x:v>кратность</x:v>
      </x:c>
      <x:c r="AL1349" s="32" t="n">
        <x:v>226.213755733547</x:v>
      </x:c>
      <x:c r="AM1349" s="13" t="str">
        <x:v>Нет ежедневных данных доступности. Запас более 180 дней при среднем спросе</x:v>
      </x:c>
      <x:c r="AN1349" s="13" t="str">
        <x:v>Проверить свободный остаток и установить цену для B2B</x:v>
      </x:c>
      <x:c r="AO1349" s="13" t="str">
        <x:v>Остаток 8; прогноз 90 дней 3.02; избыток 4 шт. Будущие поступления не выставляются на продажу.</x:v>
      </x:c>
      <x:c r="AP1349" s="13" t="str">
        <x:v>["daily_stockout_data_missing", "new_order_lead_time_unknown"]</x:v>
      </x:c>
      <x:c r="AQ1349" s="10" t="str">
        <x:v>SE:300200532_</x:v>
      </x:c>
      <x:c r="AR1349" s="24" t="n">
        <x:v>1</x:v>
      </x:c>
      <x:c r="AS1349" s="24" t="n">
        <x:v>0</x:v>
      </x:c>
      <x:c r="AT1349" s="24" t="n">
        <x:v>0</x:v>
      </x:c>
    </x:row>
    <x:row r="1350" ht="64" customHeight="1">
      <x:c r="A1350" s="11" t="str">
        <x:v>Systeme Electric</x:v>
      </x:c>
      <x:c r="B1350" s="33" t="str">
        <x:v>300200533_</x:v>
      </x:c>
      <x:c r="C1350" s="33" t="str">
        <x:v>ATN000944</x:v>
      </x:c>
      <x:c r="D1350" s="12" t="str">
        <x:v>K014 Роз. с з/к 16А с/у з/ш "ATLAS" СТАЛЬ ATN944 (5)</x:v>
      </x:c>
      <x:c r="E1350" s="11" t="str">
        <x:v>шт</x:v>
      </x:c>
      <x:c r="F1350" s="35" t="n">
        <x:f>MAX(0,ROUNDDOWN((AG1350-AF1350)/AR1350+0.000000001,0)*AR1350)</x:f>
        <x:v>22</x:v>
      </x:c>
      <x:c r="G1350" s="20" t="str">
        <x:f>IF(J1350="Рассчитано",V1350*(1-R1350/100)-W1350-P1350-Q1350,"н/д")</x:f>
        <x:v>н/д</x:v>
      </x:c>
      <x:c r="H1350" s="12" t="str">
        <x:v>Средний</x:v>
      </x:c>
      <x:c r="I1350" s="12" t="str">
        <x:v>Высокий</x:v>
      </x:c>
      <x:c r="J1350" s="12" t="str">
        <x:f>IF(L1350="","Укажите валюту",IF(NOT(ISNUMBER(K1350)),"Укажите объём",IF(K1350&lt;=0,"Укажите объём",IF(K1350&gt;F1350,"Объём выше излишка",IF(COUNT(M1350:O1350)&lt;3,"Нужны цены",IF(COUNT(P1350:R1350)&lt;3,"Нужны расходы",IF(OR(M1350&lt;0,N1350&lt;0,O1350&lt;0,O1350&gt;100,P1350&lt;0,Q1350&lt;0,R1350&lt;0,R1350&gt;100),"Проверьте значения","Рассчитано")))))))</x:f>
        <x:v>Нужны цены</x:v>
      </x:c>
      <x:c r="K1350" s="36" t="n">
        <x:v>22</x:v>
      </x:c>
      <x:c r="L1350" s="19" t="str">
        <x:v>KZT</x:v>
      </x:c>
      <x:c r="M1350" s="22"/>
      <x:c r="N1350" s="22"/>
      <x:c r="O1350" s="28"/>
      <x:c r="P1350" s="22"/>
      <x:c r="Q1350" s="22"/>
      <x:c r="R1350" s="28"/>
      <x:c r="S1350" s="22"/>
      <x:c r="T1350" s="35" t="n">
        <x:f>K1350</x:f>
        <x:v>22</x:v>
      </x:c>
      <x:c r="U1350" s="20" t="str">
        <x:f>IF(J1350="Рассчитано",N1350*(1-O1350/100),"н/д")</x:f>
        <x:v>н/д</x:v>
      </x:c>
      <x:c r="V1350" s="20" t="str">
        <x:f>IF(J1350="Рассчитано",T1350*U1350,"н/д")</x:f>
        <x:v>н/д</x:v>
      </x:c>
      <x:c r="W1350" s="20" t="str">
        <x:f>IF(J1350="Рассчитано",T1350*M1350,"н/д")</x:f>
        <x:v>н/д</x:v>
      </x:c>
      <x:c r="X1350" s="20" t="str">
        <x:f>IF(J1350="Рассчитано",V1350-W1350,"н/д")</x:f>
        <x:v>н/д</x:v>
      </x:c>
      <x:c r="Y1350" s="26" t="str">
        <x:f>IF(J1350="Рассчитано",IF(V1350&gt;0,G1350/V1350,"н/д"),"н/д")</x:f>
        <x:v>н/д</x:v>
      </x:c>
      <x:c r="Z1350" s="20" t="str">
        <x:f>"н/д"</x:f>
        <x:v>н/д</x:v>
      </x:c>
      <x:c r="AA1350" s="20" t="str">
        <x:f>"н/д"</x:f>
        <x:v>н/д</x:v>
      </x:c>
      <x:c r="AB1350" s="20" t="str">
        <x:f>"н/д"</x:f>
        <x:v>н/д</x:v>
      </x:c>
      <x:c r="AC1350" s="20" t="str">
        <x:f>IF(AND(J1350="Рассчитано",T1350&gt;0,R1350&lt;100),(W1350+P1350+Q1350)/(T1350*(1-R1350/100)),"н/д")</x:f>
        <x:v>н/д</x:v>
      </x:c>
      <x:c r="AD1350" s="11" t="str">
        <x:f>IF(ISNUMBER(G1350),IF(G1350&lt;0,"Убыток",IF(G1350=0,"Без прибыли","Прибыль &gt; 0")),"Не оценён")</x:f>
        <x:v>Не оценён</x:v>
      </x:c>
      <x:c r="AE1350" s="12" t="str">
        <x:f>IF(J1350="Рассчитано","Выручка "&amp;TEXT(V1350,"0.00")&amp;" - себестоимость "&amp;TEXT(W1350,"0.00")&amp;" - комиссия "&amp;TEXT(V1350*R1350/100,"0.00")&amp;" - доставка "&amp;TEXT(P1350,"0.00")&amp;" - прочие "&amp;TEXT(Q1350,"0.00")&amp;" = "&amp;TEXT(G1350,"0.00")&amp;" "&amp;L1350,"Введите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0" s="23" t="n">
        <x:v>1.5984434036638733</x:v>
      </x:c>
      <x:c r="AG1350" s="35" t="n">
        <x:v>24</x:v>
      </x:c>
      <x:c r="AH1350" s="35" t="n">
        <x:v>0</x:v>
      </x:c>
      <x:c r="AI1350" s="29" t="n">
        <x:v>46287</x:v>
      </x:c>
      <x:c r="AJ1350" s="35" t="n">
        <x:v>5</x:v>
      </x:c>
      <x:c r="AK1350" s="11" t="str">
        <x:v>кратность</x:v>
      </x:c>
      <x:c r="AL1350" s="31" t="n">
        <x:v>1280.2062918771358</x:v>
      </x:c>
      <x:c r="AM1350" s="12" t="str">
        <x:v>Нет ежедневных данных доступности. Запас более 180 дней при среднем спросе</x:v>
      </x:c>
      <x:c r="AN1350" s="12" t="str">
        <x:v>Проверить свободный остаток и установить цену для B2B</x:v>
      </x:c>
      <x:c r="AO1350" s="12" t="str">
        <x:v>Остаток 24; прогноз 90 дней 1.60; избыток 22 шт. Будущие поступления не выставляются на продажу.</x:v>
      </x:c>
      <x:c r="AP1350" s="12" t="str">
        <x:v>["daily_stockout_data_missing", "new_order_lead_time_unknown"]</x:v>
      </x:c>
      <x:c r="AQ1350" s="11" t="str">
        <x:v>SE:300200533_</x:v>
      </x:c>
      <x:c r="AR1350" s="23" t="n">
        <x:v>1</x:v>
      </x:c>
      <x:c r="AS1350" s="23" t="n">
        <x:v>0</x:v>
      </x:c>
      <x:c r="AT1350" s="23" t="n">
        <x:v>0</x:v>
      </x:c>
    </x:row>
    <x:row r="1351" ht="64" customHeight="1">
      <x:c r="A1351" s="10" t="str">
        <x:v>Systeme Electric</x:v>
      </x:c>
      <x:c r="B1351" s="34" t="str">
        <x:v>300200534_</x:v>
      </x:c>
      <x:c r="C1351" s="34" t="str">
        <x:v>ATN000991</x:v>
      </x:c>
      <x:c r="D1351" s="13" t="str">
        <x:v>K015 ТV роз. оконечная с/у б/рамки "ATLAS" СТАЛЬ ATN991(5)</x:v>
      </x:c>
      <x:c r="E1351" s="10" t="str">
        <x:v>шт</x:v>
      </x:c>
      <x:c r="F1351" s="37" t="n">
        <x:f>MAX(0,ROUNDDOWN((AG1351-AF1351)/AR1351+0.000000001,0)*AR1351)</x:f>
        <x:v>3</x:v>
      </x:c>
      <x:c r="G1351" s="21" t="str">
        <x:f>IF(J1351="Рассчитано",V1351*(1-R1351/100)-W1351-P1351-Q1351,"н/д")</x:f>
        <x:v>н/д</x:v>
      </x:c>
      <x:c r="H1351" s="13" t="str">
        <x:v>Средний</x:v>
      </x:c>
      <x:c r="I1351" s="13" t="str">
        <x:v>Высокий</x:v>
      </x:c>
      <x:c r="J1351" s="13" t="str">
        <x:f>IF(L1351="","Укажите валюту",IF(NOT(ISNUMBER(K1351)),"Укажите объём",IF(K1351&lt;=0,"Укажите объём",IF(K1351&gt;F1351,"Объём выше излишка",IF(COUNT(M1351:O1351)&lt;3,"Нужны цены",IF(COUNT(P1351:R1351)&lt;3,"Нужны расходы",IF(OR(M1351&lt;0,N1351&lt;0,O1351&lt;0,O1351&gt;100,P1351&lt;0,Q1351&lt;0,R1351&lt;0,R1351&gt;100),"Проверьте значения","Рассчитано")))))))</x:f>
        <x:v>Нужны цены</x:v>
      </x:c>
      <x:c r="K1351" s="36" t="n">
        <x:v>3</x:v>
      </x:c>
      <x:c r="L1351" s="19" t="str">
        <x:v>KZT</x:v>
      </x:c>
      <x:c r="M1351" s="22"/>
      <x:c r="N1351" s="22"/>
      <x:c r="O1351" s="28"/>
      <x:c r="P1351" s="22"/>
      <x:c r="Q1351" s="22"/>
      <x:c r="R1351" s="28"/>
      <x:c r="S1351" s="22"/>
      <x:c r="T1351" s="37" t="n">
        <x:f>K1351</x:f>
        <x:v>3</x:v>
      </x:c>
      <x:c r="U1351" s="21" t="str">
        <x:f>IF(J1351="Рассчитано",N1351*(1-O1351/100),"н/д")</x:f>
        <x:v>н/д</x:v>
      </x:c>
      <x:c r="V1351" s="21" t="str">
        <x:f>IF(J1351="Рассчитано",T1351*U1351,"н/д")</x:f>
        <x:v>н/д</x:v>
      </x:c>
      <x:c r="W1351" s="21" t="str">
        <x:f>IF(J1351="Рассчитано",T1351*M1351,"н/д")</x:f>
        <x:v>н/д</x:v>
      </x:c>
      <x:c r="X1351" s="21" t="str">
        <x:f>IF(J1351="Рассчитано",V1351-W1351,"н/д")</x:f>
        <x:v>н/д</x:v>
      </x:c>
      <x:c r="Y1351" s="27" t="str">
        <x:f>IF(J1351="Рассчитано",IF(V1351&gt;0,G1351/V1351,"н/д"),"н/д")</x:f>
        <x:v>н/д</x:v>
      </x:c>
      <x:c r="Z1351" s="21" t="str">
        <x:f>"н/д"</x:f>
        <x:v>н/д</x:v>
      </x:c>
      <x:c r="AA1351" s="21" t="str">
        <x:f>"н/д"</x:f>
        <x:v>н/д</x:v>
      </x:c>
      <x:c r="AB1351" s="21" t="str">
        <x:f>"н/д"</x:f>
        <x:v>н/д</x:v>
      </x:c>
      <x:c r="AC1351" s="21" t="str">
        <x:f>IF(AND(J1351="Рассчитано",T1351&gt;0,R1351&lt;100),(W1351+P1351+Q1351)/(T1351*(1-R1351/100)),"н/д")</x:f>
        <x:v>н/д</x:v>
      </x:c>
      <x:c r="AD1351" s="10" t="str">
        <x:f>IF(ISNUMBER(G1351),IF(G1351&lt;0,"Убыток",IF(G1351=0,"Без прибыли","Прибыль &gt; 0")),"Не оценён")</x:f>
        <x:v>Не оценён</x:v>
      </x:c>
      <x:c r="AE1351" s="13" t="str">
        <x:f>IF(J1351="Рассчитано","Выручка "&amp;TEXT(V1351,"0.00")&amp;" - себестоимость "&amp;TEXT(W1351,"0.00")&amp;" - комиссия "&amp;TEXT(V1351*R1351/100,"0.00")&amp;" - доставка "&amp;TEXT(P1351,"0.00")&amp;" - прочие "&amp;TEXT(Q1351,"0.00")&amp;" = "&amp;TEXT(G1351,"0.00")&amp;" "&amp;L1351,"Введите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1" s="24" t="n">
        <x:v>2.5228256439395524</x:v>
      </x:c>
      <x:c r="AG1351" s="37" t="n">
        <x:v>6</x:v>
      </x:c>
      <x:c r="AH1351" s="37" t="n">
        <x:v>0</x:v>
      </x:c>
      <x:c r="AI1351" s="30" t="n">
        <x:v>46287</x:v>
      </x:c>
      <x:c r="AJ1351" s="37" t="n">
        <x:v>5</x:v>
      </x:c>
      <x:c r="AK1351" s="10" t="str">
        <x:v>кратность</x:v>
      </x:c>
      <x:c r="AL1351" s="32" t="n">
        <x:v>202.78227584769832</x:v>
      </x:c>
      <x:c r="AM1351" s="13" t="str">
        <x:v>Нет ежедневных данных доступности. Запас более 180 дней при среднем спросе</x:v>
      </x:c>
      <x:c r="AN1351" s="13" t="str">
        <x:v>Проверить свободный остаток и установить цену для B2B</x:v>
      </x:c>
      <x:c r="AO1351" s="13" t="str">
        <x:v>Остаток 6; прогноз 90 дней 2.52; избыток 3 шт. Будущие поступления не выставляются на продажу.</x:v>
      </x:c>
      <x:c r="AP1351" s="13" t="str">
        <x:v>["daily_stockout_data_missing", "new_order_lead_time_unknown"]</x:v>
      </x:c>
      <x:c r="AQ1351" s="10" t="str">
        <x:v>SE:300200534_</x:v>
      </x:c>
      <x:c r="AR1351" s="24" t="n">
        <x:v>1</x:v>
      </x:c>
      <x:c r="AS1351" s="24" t="n">
        <x:v>0</x:v>
      </x:c>
      <x:c r="AT1351" s="24" t="n">
        <x:v>0</x:v>
      </x:c>
    </x:row>
    <x:row r="1352" ht="64" customHeight="1">
      <x:c r="A1352" s="11" t="str">
        <x:v>Systeme Electric</x:v>
      </x:c>
      <x:c r="B1352" s="33" t="str">
        <x:v>300200535_</x:v>
      </x:c>
      <x:c r="C1352" s="33" t="str">
        <x:v>ATN000981</x:v>
      </x:c>
      <x:c r="D1352" s="12" t="str">
        <x:v>K016 Телефонная роз. RJ11 механизм б/рамки "ATLAS" СТАЛЬ ATN981 (5)</x:v>
      </x:c>
      <x:c r="E1352" s="11" t="str">
        <x:v>шт</x:v>
      </x:c>
      <x:c r="F1352" s="35" t="n">
        <x:f>MAX(0,ROUNDDOWN((AG1352-AF1352)/AR1352+0.000000001,0)*AR1352)</x:f>
        <x:v>2</x:v>
      </x:c>
      <x:c r="G1352" s="20" t="str">
        <x:f>IF(J1352="Рассчитано",V1352*(1-R1352/100)-W1352-P1352-Q1352,"н/д")</x:f>
        <x:v>н/д</x:v>
      </x:c>
      <x:c r="H1352" s="12" t="str">
        <x:v>Средний</x:v>
      </x:c>
      <x:c r="I1352" s="12" t="str">
        <x:v>Высокий</x:v>
      </x:c>
      <x:c r="J1352" s="12" t="str">
        <x:f>IF(L1352="","Укажите валюту",IF(NOT(ISNUMBER(K1352)),"Укажите объём",IF(K1352&lt;=0,"Укажите объём",IF(K1352&gt;F1352,"Объём выше излишка",IF(COUNT(M1352:O1352)&lt;3,"Нужны цены",IF(COUNT(P1352:R1352)&lt;3,"Нужны расходы",IF(OR(M1352&lt;0,N1352&lt;0,O1352&lt;0,O1352&gt;100,P1352&lt;0,Q1352&lt;0,R1352&lt;0,R1352&gt;100),"Проверьте значения","Рассчитано")))))))</x:f>
        <x:v>Нужны цены</x:v>
      </x:c>
      <x:c r="K1352" s="36" t="n">
        <x:v>2</x:v>
      </x:c>
      <x:c r="L1352" s="19" t="str">
        <x:v>KZT</x:v>
      </x:c>
      <x:c r="M1352" s="22"/>
      <x:c r="N1352" s="22"/>
      <x:c r="O1352" s="28"/>
      <x:c r="P1352" s="22"/>
      <x:c r="Q1352" s="22"/>
      <x:c r="R1352" s="28"/>
      <x:c r="S1352" s="22"/>
      <x:c r="T1352" s="35" t="n">
        <x:f>K1352</x:f>
        <x:v>2</x:v>
      </x:c>
      <x:c r="U1352" s="20" t="str">
        <x:f>IF(J1352="Рассчитано",N1352*(1-O1352/100),"н/д")</x:f>
        <x:v>н/д</x:v>
      </x:c>
      <x:c r="V1352" s="20" t="str">
        <x:f>IF(J1352="Рассчитано",T1352*U1352,"н/д")</x:f>
        <x:v>н/д</x:v>
      </x:c>
      <x:c r="W1352" s="20" t="str">
        <x:f>IF(J1352="Рассчитано",T1352*M1352,"н/д")</x:f>
        <x:v>н/д</x:v>
      </x:c>
      <x:c r="X1352" s="20" t="str">
        <x:f>IF(J1352="Рассчитано",V1352-W1352,"н/д")</x:f>
        <x:v>н/д</x:v>
      </x:c>
      <x:c r="Y1352" s="26" t="str">
        <x:f>IF(J1352="Рассчитано",IF(V1352&gt;0,G1352/V1352,"н/д"),"н/д")</x:f>
        <x:v>н/д</x:v>
      </x:c>
      <x:c r="Z1352" s="20" t="str">
        <x:f>"н/д"</x:f>
        <x:v>н/д</x:v>
      </x:c>
      <x:c r="AA1352" s="20" t="str">
        <x:f>"н/д"</x:f>
        <x:v>н/д</x:v>
      </x:c>
      <x:c r="AB1352" s="20" t="str">
        <x:f>"н/д"</x:f>
        <x:v>н/д</x:v>
      </x:c>
      <x:c r="AC1352" s="20" t="str">
        <x:f>IF(AND(J1352="Рассчитано",T1352&gt;0,R1352&lt;100),(W1352+P1352+Q1352)/(T1352*(1-R1352/100)),"н/д")</x:f>
        <x:v>н/д</x:v>
      </x:c>
      <x:c r="AD1352" s="11" t="str">
        <x:f>IF(ISNUMBER(G1352),IF(G1352&lt;0,"Убыток",IF(G1352=0,"Без прибыли","Прибыль &gt; 0")),"Не оценён")</x:f>
        <x:v>Не оценён</x:v>
      </x:c>
      <x:c r="AE1352" s="12" t="str">
        <x:f>IF(J1352="Рассчитано","Выручка "&amp;TEXT(V1352,"0.00")&amp;" - себестоимость "&amp;TEXT(W1352,"0.00")&amp;" - комиссия "&amp;TEXT(V1352*R1352/100,"0.00")&amp;" - доставка "&amp;TEXT(P1352,"0.00")&amp;" - прочие "&amp;TEXT(Q1352,"0.00")&amp;" = "&amp;TEXT(G1352,"0.00")&amp;" "&amp;L1352,"Введите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2" s="23" t="n">
        <x:v>1.298229084279775</x:v>
      </x:c>
      <x:c r="AG1352" s="35" t="n">
        <x:v>4</x:v>
      </x:c>
      <x:c r="AH1352" s="35" t="n">
        <x:v>0</x:v>
      </x:c>
      <x:c r="AI1352" s="29" t="n">
        <x:v>46287</x:v>
      </x:c>
      <x:c r="AJ1352" s="35" t="n">
        <x:v>1</x:v>
      </x:c>
      <x:c r="AK1352" s="11" t="str">
        <x:v>кратность</x:v>
      </x:c>
      <x:c r="AL1352" s="31" t="n">
        <x:v>262.70880942855655</x:v>
      </x:c>
      <x:c r="AM1352" s="12" t="str">
        <x:v>Нет ежедневных данных доступности. Запас более 180 дней при среднем спросе</x:v>
      </x:c>
      <x:c r="AN1352" s="12" t="str">
        <x:v>Проверить свободный остаток и установить цену для B2B</x:v>
      </x:c>
      <x:c r="AO1352" s="12" t="str">
        <x:v>Остаток 4; прогноз 90 дней 1.30; избыток 2 шт. Будущие поступления не выставляются на продажу.</x:v>
      </x:c>
      <x:c r="AP1352" s="12" t="str">
        <x:v>["daily_stockout_data_missing", "new_order_lead_time_unknown"]</x:v>
      </x:c>
      <x:c r="AQ1352" s="11" t="str">
        <x:v>SE:300200535_</x:v>
      </x:c>
      <x:c r="AR1352" s="23" t="n">
        <x:v>1</x:v>
      </x:c>
      <x:c r="AS1352" s="23" t="n">
        <x:v>0</x:v>
      </x:c>
      <x:c r="AT1352" s="23" t="n">
        <x:v>0</x:v>
      </x:c>
    </x:row>
    <x:row r="1353" ht="64" customHeight="1">
      <x:c r="A1353" s="10" t="str">
        <x:v>Systeme Electric</x:v>
      </x:c>
      <x:c r="B1353" s="34" t="str">
        <x:v>300200536_</x:v>
      </x:c>
      <x:c r="C1353" s="34" t="str">
        <x:v>ATN000901</x:v>
      </x:c>
      <x:c r="D1353" s="13" t="str">
        <x:v>K017 Рамка 1-ная "ATLAS" СТАЛЬ ATN901 (5)</x:v>
      </x:c>
      <x:c r="E1353" s="10" t="str">
        <x:v>шт</x:v>
      </x:c>
      <x:c r="F1353" s="37" t="n">
        <x:f>MAX(0,ROUNDDOWN((AG1353-AF1353)/AR1353+0.000000001,0)*AR1353)</x:f>
        <x:v>71</x:v>
      </x:c>
      <x:c r="G1353" s="21" t="str">
        <x:f>IF(J1353="Рассчитано",V1353*(1-R1353/100)-W1353-P1353-Q1353,"н/д")</x:f>
        <x:v>н/д</x:v>
      </x:c>
      <x:c r="H1353" s="13" t="str">
        <x:v>Средний</x:v>
      </x:c>
      <x:c r="I1353" s="13" t="str">
        <x:v>Средний</x:v>
      </x:c>
      <x:c r="J1353" s="13" t="str">
        <x:f>IF(L1353="","Укажите валюту",IF(NOT(ISNUMBER(K1353)),"Укажите объём",IF(K1353&lt;=0,"Укажите объём",IF(K1353&gt;F1353,"Объём выше излишка",IF(COUNT(M1353:O1353)&lt;3,"Нужны цены",IF(COUNT(P1353:R1353)&lt;3,"Нужны расходы",IF(OR(M1353&lt;0,N1353&lt;0,O1353&lt;0,O1353&gt;100,P1353&lt;0,Q1353&lt;0,R1353&lt;0,R1353&gt;100),"Проверьте значения","Рассчитано")))))))</x:f>
        <x:v>Нужны цены</x:v>
      </x:c>
      <x:c r="K1353" s="36" t="n">
        <x:v>71</x:v>
      </x:c>
      <x:c r="L1353" s="19" t="str">
        <x:v>KZT</x:v>
      </x:c>
      <x:c r="M1353" s="22"/>
      <x:c r="N1353" s="22"/>
      <x:c r="O1353" s="28"/>
      <x:c r="P1353" s="22"/>
      <x:c r="Q1353" s="22"/>
      <x:c r="R1353" s="28"/>
      <x:c r="S1353" s="22"/>
      <x:c r="T1353" s="37" t="n">
        <x:f>K1353</x:f>
        <x:v>71</x:v>
      </x:c>
      <x:c r="U1353" s="21" t="str">
        <x:f>IF(J1353="Рассчитано",N1353*(1-O1353/100),"н/д")</x:f>
        <x:v>н/д</x:v>
      </x:c>
      <x:c r="V1353" s="21" t="str">
        <x:f>IF(J1353="Рассчитано",T1353*U1353,"н/д")</x:f>
        <x:v>н/д</x:v>
      </x:c>
      <x:c r="W1353" s="21" t="str">
        <x:f>IF(J1353="Рассчитано",T1353*M1353,"н/д")</x:f>
        <x:v>н/д</x:v>
      </x:c>
      <x:c r="X1353" s="21" t="str">
        <x:f>IF(J1353="Рассчитано",V1353-W1353,"н/д")</x:f>
        <x:v>н/д</x:v>
      </x:c>
      <x:c r="Y1353" s="27" t="str">
        <x:f>IF(J1353="Рассчитано",IF(V1353&gt;0,G1353/V1353,"н/д"),"н/д")</x:f>
        <x:v>н/д</x:v>
      </x:c>
      <x:c r="Z1353" s="21" t="str">
        <x:f>"н/д"</x:f>
        <x:v>н/д</x:v>
      </x:c>
      <x:c r="AA1353" s="21" t="str">
        <x:f>"н/д"</x:f>
        <x:v>н/д</x:v>
      </x:c>
      <x:c r="AB1353" s="21" t="str">
        <x:f>"н/д"</x:f>
        <x:v>н/д</x:v>
      </x:c>
      <x:c r="AC1353" s="21" t="str">
        <x:f>IF(AND(J1353="Рассчитано",T1353&gt;0,R1353&lt;100),(W1353+P1353+Q1353)/(T1353*(1-R1353/100)),"н/д")</x:f>
        <x:v>н/д</x:v>
      </x:c>
      <x:c r="AD1353" s="10" t="str">
        <x:f>IF(ISNUMBER(G1353),IF(G1353&lt;0,"Убыток",IF(G1353=0,"Без прибыли","Прибыль &gt; 0")),"Не оценён")</x:f>
        <x:v>Не оценён</x:v>
      </x:c>
      <x:c r="AE1353" s="13" t="str">
        <x:f>IF(J1353="Рассчитано","Выручка "&amp;TEXT(V1353,"0.00")&amp;" - себестоимость "&amp;TEXT(W1353,"0.00")&amp;" - комиссия "&amp;TEXT(V1353*R1353/100,"0.00")&amp;" - доставка "&amp;TEXT(P1353,"0.00")&amp;" - прочие "&amp;TEXT(Q1353,"0.00")&amp;" = "&amp;TEXT(G1353,"0.00")&amp;" "&amp;L1353,"Введите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3" s="24" t="n">
        <x:v>165.37257098618096</x:v>
      </x:c>
      <x:c r="AG1353" s="37" t="n">
        <x:v>237</x:v>
      </x:c>
      <x:c r="AH1353" s="37" t="n">
        <x:v>0</x:v>
      </x:c>
      <x:c r="AI1353" s="30" t="n">
        <x:v>46287</x:v>
      </x:c>
      <x:c r="AJ1353" s="37" t="n">
        <x:v>10</x:v>
      </x:c>
      <x:c r="AK1353" s="10" t="str">
        <x:v>кратность</x:v>
      </x:c>
      <x:c r="AL1353" s="32" t="n">
        <x:v>122.19427165261916</x:v>
      </x:c>
      <x:c r="AM1353" s="13" t="str">
        <x:v>Детальные и месячные продажи расходятся; Нет ежедневных данных доступности. Запас выше прогноза на 90 дней</x:v>
      </x:c>
      <x:c r="AN1353" s="13" t="str">
        <x:v>Проверить свободный остаток и установить цену для B2B</x:v>
      </x:c>
      <x:c r="AO1353" s="13" t="str">
        <x:v>Остаток 237; прогноз 90 дней 165.37; избыток 71 шт. Будущие поступления не выставляются на продажу.</x:v>
      </x:c>
      <x:c r="AP1353" s="13" t="str">
        <x:v>["daily_stockout_data_missing", "large_orders_detected", "new_order_lead_time_unknown", "transaction_month_mismatch"]</x:v>
      </x:c>
      <x:c r="AQ1353" s="10" t="str">
        <x:v>SE:300200536_</x:v>
      </x:c>
      <x:c r="AR1353" s="24" t="n">
        <x:v>1</x:v>
      </x:c>
      <x:c r="AS1353" s="24" t="n">
        <x:v>0</x:v>
      </x:c>
      <x:c r="AT1353" s="24" t="n">
        <x:v>0</x:v>
      </x:c>
    </x:row>
    <x:row r="1354" ht="64" customHeight="1">
      <x:c r="A1354" s="11" t="str">
        <x:v>Systeme Electric</x:v>
      </x:c>
      <x:c r="B1354" s="33" t="str">
        <x:v>300200537_</x:v>
      </x:c>
      <x:c r="C1354" s="33" t="str">
        <x:v>ATN000902</x:v>
      </x:c>
      <x:c r="D1354" s="12" t="str">
        <x:v>K018 Рамка 2-ная "ATLAS" СТАЛЬ ATN902 (5)</x:v>
      </x:c>
      <x:c r="E1354" s="11" t="str">
        <x:v>шт</x:v>
      </x:c>
      <x:c r="F1354" s="35" t="n">
        <x:f>MAX(0,ROUNDDOWN((AG1354-AF1354)/AR1354+0.000000001,0)*AR1354)</x:f>
        <x:v>37</x:v>
      </x:c>
      <x:c r="G1354" s="20" t="str">
        <x:f>IF(J1354="Рассчитано",V1354*(1-R1354/100)-W1354-P1354-Q1354,"н/д")</x:f>
        <x:v>н/д</x:v>
      </x:c>
      <x:c r="H1354" s="12" t="str">
        <x:v>Средний</x:v>
      </x:c>
      <x:c r="I1354" s="12" t="str">
        <x:v>Средний</x:v>
      </x:c>
      <x:c r="J1354" s="12" t="str">
        <x:f>IF(L1354="","Укажите валюту",IF(NOT(ISNUMBER(K1354)),"Укажите объём",IF(K1354&lt;=0,"Укажите объём",IF(K1354&gt;F1354,"Объём выше излишка",IF(COUNT(M1354:O1354)&lt;3,"Нужны цены",IF(COUNT(P1354:R1354)&lt;3,"Нужны расходы",IF(OR(M1354&lt;0,N1354&lt;0,O1354&lt;0,O1354&gt;100,P1354&lt;0,Q1354&lt;0,R1354&lt;0,R1354&gt;100),"Проверьте значения","Рассчитано")))))))</x:f>
        <x:v>Нужны цены</x:v>
      </x:c>
      <x:c r="K1354" s="36" t="n">
        <x:v>37</x:v>
      </x:c>
      <x:c r="L1354" s="19" t="str">
        <x:v>KZT</x:v>
      </x:c>
      <x:c r="M1354" s="22"/>
      <x:c r="N1354" s="22"/>
      <x:c r="O1354" s="28"/>
      <x:c r="P1354" s="22"/>
      <x:c r="Q1354" s="22"/>
      <x:c r="R1354" s="28"/>
      <x:c r="S1354" s="22"/>
      <x:c r="T1354" s="35" t="n">
        <x:f>K1354</x:f>
        <x:v>37</x:v>
      </x:c>
      <x:c r="U1354" s="20" t="str">
        <x:f>IF(J1354="Рассчитано",N1354*(1-O1354/100),"н/д")</x:f>
        <x:v>н/д</x:v>
      </x:c>
      <x:c r="V1354" s="20" t="str">
        <x:f>IF(J1354="Рассчитано",T1354*U1354,"н/д")</x:f>
        <x:v>н/д</x:v>
      </x:c>
      <x:c r="W1354" s="20" t="str">
        <x:f>IF(J1354="Рассчитано",T1354*M1354,"н/д")</x:f>
        <x:v>н/д</x:v>
      </x:c>
      <x:c r="X1354" s="20" t="str">
        <x:f>IF(J1354="Рассчитано",V1354-W1354,"н/д")</x:f>
        <x:v>н/д</x:v>
      </x:c>
      <x:c r="Y1354" s="26" t="str">
        <x:f>IF(J1354="Рассчитано",IF(V1354&gt;0,G1354/V1354,"н/д"),"н/д")</x:f>
        <x:v>н/д</x:v>
      </x:c>
      <x:c r="Z1354" s="20" t="str">
        <x:f>"н/д"</x:f>
        <x:v>н/д</x:v>
      </x:c>
      <x:c r="AA1354" s="20" t="str">
        <x:f>"н/д"</x:f>
        <x:v>н/д</x:v>
      </x:c>
      <x:c r="AB1354" s="20" t="str">
        <x:f>"н/д"</x:f>
        <x:v>н/д</x:v>
      </x:c>
      <x:c r="AC1354" s="20" t="str">
        <x:f>IF(AND(J1354="Рассчитано",T1354&gt;0,R1354&lt;100),(W1354+P1354+Q1354)/(T1354*(1-R1354/100)),"н/д")</x:f>
        <x:v>н/д</x:v>
      </x:c>
      <x:c r="AD1354" s="11" t="str">
        <x:f>IF(ISNUMBER(G1354),IF(G1354&lt;0,"Убыток",IF(G1354=0,"Без прибыли","Прибыль &gt; 0")),"Не оценён")</x:f>
        <x:v>Не оценён</x:v>
      </x:c>
      <x:c r="AE1354" s="12" t="str">
        <x:f>IF(J1354="Рассчитано","Выручка "&amp;TEXT(V1354,"0.00")&amp;" - себестоимость "&amp;TEXT(W1354,"0.00")&amp;" - комиссия "&amp;TEXT(V1354*R1354/100,"0.00")&amp;" - доставка "&amp;TEXT(P1354,"0.00")&amp;" - прочие "&amp;TEXT(Q1354,"0.00")&amp;" = "&amp;TEXT(G1354,"0.00")&amp;" "&amp;L1354,"Введите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4" s="23" t="n">
        <x:v>70.22800310722288</x:v>
      </x:c>
      <x:c r="AG1354" s="35" t="n">
        <x:v>108</x:v>
      </x:c>
      <x:c r="AH1354" s="35" t="n">
        <x:v>0</x:v>
      </x:c>
      <x:c r="AI1354" s="29" t="n">
        <x:v>46287</x:v>
      </x:c>
      <x:c r="AJ1354" s="35" t="n">
        <x:v>5</x:v>
      </x:c>
      <x:c r="AK1354" s="11" t="str">
        <x:v>кратность</x:v>
      </x:c>
      <x:c r="AL1354" s="31" t="n">
        <x:v>131.12316247338788</x:v>
      </x:c>
      <x:c r="AM1354" s="12" t="str">
        <x:v>Нет ежедневных данных доступности. Запас выше прогноза на 90 дней</x:v>
      </x:c>
      <x:c r="AN1354" s="12" t="str">
        <x:v>Проверить свободный остаток и установить цену для B2B</x:v>
      </x:c>
      <x:c r="AO1354" s="12" t="str">
        <x:v>Остаток 108; прогноз 90 дней 70.23; избыток 37 шт. Будущие поступления не выставляются на продажу.</x:v>
      </x:c>
      <x:c r="AP1354" s="12" t="str">
        <x:v>["daily_stockout_data_missing", "new_order_lead_time_unknown"]</x:v>
      </x:c>
      <x:c r="AQ1354" s="11" t="str">
        <x:v>SE:300200537_</x:v>
      </x:c>
      <x:c r="AR1354" s="23" t="n">
        <x:v>1</x:v>
      </x:c>
      <x:c r="AS1354" s="23" t="n">
        <x:v>0</x:v>
      </x:c>
      <x:c r="AT1354" s="23" t="n">
        <x:v>0</x:v>
      </x:c>
    </x:row>
    <x:row r="1355" ht="64" customHeight="1">
      <x:c r="A1355" s="10" t="str">
        <x:v>Systeme Electric</x:v>
      </x:c>
      <x:c r="B1355" s="34" t="str">
        <x:v>300200539_</x:v>
      </x:c>
      <x:c r="C1355" s="34" t="str">
        <x:v>ATN000904</x:v>
      </x:c>
      <x:c r="D1355" s="13" t="str">
        <x:v>K020 Рамка 4-ная "ATLAS" СТАЛЬ ATN904 (2)</x:v>
      </x:c>
      <x:c r="E1355" s="10" t="str">
        <x:v>шт</x:v>
      </x:c>
      <x:c r="F1355" s="37" t="n">
        <x:f>MAX(0,ROUNDDOWN((AG1355-AF1355)/AR1355+0.000000001,0)*AR1355)</x:f>
        <x:v>40</x:v>
      </x:c>
      <x:c r="G1355" s="21" t="str">
        <x:f>IF(J1355="Рассчитано",V1355*(1-R1355/100)-W1355-P1355-Q1355,"н/д")</x:f>
        <x:v>н/д</x:v>
      </x:c>
      <x:c r="H1355" s="13" t="str">
        <x:v>Средний</x:v>
      </x:c>
      <x:c r="I1355" s="13" t="str">
        <x:v>Высокий</x:v>
      </x:c>
      <x:c r="J1355" s="13" t="str">
        <x:f>IF(L1355="","Укажите валюту",IF(NOT(ISNUMBER(K1355)),"Укажите объём",IF(K1355&lt;=0,"Укажите объём",IF(K1355&gt;F1355,"Объём выше излишка",IF(COUNT(M1355:O1355)&lt;3,"Нужны цены",IF(COUNT(P1355:R1355)&lt;3,"Нужны расходы",IF(OR(M1355&lt;0,N1355&lt;0,O1355&lt;0,O1355&gt;100,P1355&lt;0,Q1355&lt;0,R1355&lt;0,R1355&gt;100),"Проверьте значения","Рассчитано")))))))</x:f>
        <x:v>Нужны цены</x:v>
      </x:c>
      <x:c r="K1355" s="36" t="n">
        <x:v>40</x:v>
      </x:c>
      <x:c r="L1355" s="19" t="str">
        <x:v>KZT</x:v>
      </x:c>
      <x:c r="M1355" s="22"/>
      <x:c r="N1355" s="22"/>
      <x:c r="O1355" s="28"/>
      <x:c r="P1355" s="22"/>
      <x:c r="Q1355" s="22"/>
      <x:c r="R1355" s="28"/>
      <x:c r="S1355" s="22"/>
      <x:c r="T1355" s="37" t="n">
        <x:f>K1355</x:f>
        <x:v>40</x:v>
      </x:c>
      <x:c r="U1355" s="21" t="str">
        <x:f>IF(J1355="Рассчитано",N1355*(1-O1355/100),"н/д")</x:f>
        <x:v>н/д</x:v>
      </x:c>
      <x:c r="V1355" s="21" t="str">
        <x:f>IF(J1355="Рассчитано",T1355*U1355,"н/д")</x:f>
        <x:v>н/д</x:v>
      </x:c>
      <x:c r="W1355" s="21" t="str">
        <x:f>IF(J1355="Рассчитано",T1355*M1355,"н/д")</x:f>
        <x:v>н/д</x:v>
      </x:c>
      <x:c r="X1355" s="21" t="str">
        <x:f>IF(J1355="Рассчитано",V1355-W1355,"н/д")</x:f>
        <x:v>н/д</x:v>
      </x:c>
      <x:c r="Y1355" s="27" t="str">
        <x:f>IF(J1355="Рассчитано",IF(V1355&gt;0,G1355/V1355,"н/д"),"н/д")</x:f>
        <x:v>н/д</x:v>
      </x:c>
      <x:c r="Z1355" s="21" t="str">
        <x:f>"н/д"</x:f>
        <x:v>н/д</x:v>
      </x:c>
      <x:c r="AA1355" s="21" t="str">
        <x:f>"н/д"</x:f>
        <x:v>н/д</x:v>
      </x:c>
      <x:c r="AB1355" s="21" t="str">
        <x:f>"н/д"</x:f>
        <x:v>н/д</x:v>
      </x:c>
      <x:c r="AC1355" s="21" t="str">
        <x:f>IF(AND(J1355="Рассчитано",T1355&gt;0,R1355&lt;100),(W1355+P1355+Q1355)/(T1355*(1-R1355/100)),"н/д")</x:f>
        <x:v>н/д</x:v>
      </x:c>
      <x:c r="AD1355" s="10" t="str">
        <x:f>IF(ISNUMBER(G1355),IF(G1355&lt;0,"Убыток",IF(G1355=0,"Без прибыли","Прибыль &gt; 0")),"Не оценён")</x:f>
        <x:v>Не оценён</x:v>
      </x:c>
      <x:c r="AE1355" s="13" t="str">
        <x:f>IF(J1355="Рассчитано","Выручка "&amp;TEXT(V1355,"0.00")&amp;" - себестоимость "&amp;TEXT(W1355,"0.00")&amp;" - комиссия "&amp;TEXT(V1355*R1355/100,"0.00")&amp;" - доставка "&amp;TEXT(P1355,"0.00")&amp;" - прочие "&amp;TEXT(Q1355,"0.00")&amp;" = "&amp;TEXT(G1355,"0.00")&amp;" "&amp;L1355,"Введите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5" s="24" t="n">
        <x:v>20.923544279657314</x:v>
      </x:c>
      <x:c r="AG1355" s="37" t="n">
        <x:v>61</x:v>
      </x:c>
      <x:c r="AH1355" s="37" t="n">
        <x:v>0</x:v>
      </x:c>
      <x:c r="AI1355" s="30" t="n">
        <x:v>46287</x:v>
      </x:c>
      <x:c r="AJ1355" s="37" t="n">
        <x:v>5</x:v>
      </x:c>
      <x:c r="AK1355" s="10" t="str">
        <x:v>кратность</x:v>
      </x:c>
      <x:c r="AL1355" s="32" t="n">
        <x:v>248.57678227014654</x:v>
      </x:c>
      <x:c r="AM1355" s="13" t="str">
        <x:v>Нет ежедневных данных доступности. Запас более 180 дней при среднем спросе</x:v>
      </x:c>
      <x:c r="AN1355" s="13" t="str">
        <x:v>Проверить свободный остаток и установить цену для B2B</x:v>
      </x:c>
      <x:c r="AO1355" s="13" t="str">
        <x:v>Остаток 61; прогноз 90 дней 20.92; избыток 40 шт. Будущие поступления не выставляются на продажу.</x:v>
      </x:c>
      <x:c r="AP1355" s="13" t="str">
        <x:v>["daily_stockout_data_missing", "large_orders_detected", "new_order_lead_time_unknown"]</x:v>
      </x:c>
      <x:c r="AQ1355" s="10" t="str">
        <x:v>SE:300200539_</x:v>
      </x:c>
      <x:c r="AR1355" s="24" t="n">
        <x:v>1</x:v>
      </x:c>
      <x:c r="AS1355" s="24" t="n">
        <x:v>0</x:v>
      </x:c>
      <x:c r="AT1355" s="24" t="n">
        <x:v>0</x:v>
      </x:c>
    </x:row>
    <x:row r="1356" ht="64" customHeight="1">
      <x:c r="A1356" s="11" t="str">
        <x:v>Systeme Electric</x:v>
      </x:c>
      <x:c r="B1356" s="33" t="str">
        <x:v>300200540_</x:v>
      </x:c>
      <x:c r="C1356" s="33" t="str">
        <x:v>ATN000905</x:v>
      </x:c>
      <x:c r="D1356" s="12" t="str">
        <x:v>K021 Рамка 5-ная "ATLAS" СТАЛЬ ATN905 (2)</x:v>
      </x:c>
      <x:c r="E1356" s="11" t="str">
        <x:v>шт</x:v>
      </x:c>
      <x:c r="F1356" s="35" t="n">
        <x:f>MAX(0,ROUNDDOWN((AG1356-AF1356)/AR1356+0.000000001,0)*AR1356)</x:f>
        <x:v>69</x:v>
      </x:c>
      <x:c r="G1356" s="20" t="str">
        <x:f>IF(J1356="Рассчитано",V1356*(1-R1356/100)-W1356-P1356-Q1356,"н/д")</x:f>
        <x:v>н/д</x:v>
      </x:c>
      <x:c r="H1356" s="12" t="str">
        <x:v>Средний</x:v>
      </x:c>
      <x:c r="I1356" s="12" t="str">
        <x:v>Высокий</x:v>
      </x:c>
      <x:c r="J1356" s="12" t="str">
        <x:f>IF(L1356="","Укажите валюту",IF(NOT(ISNUMBER(K1356)),"Укажите объём",IF(K1356&lt;=0,"Укажите объём",IF(K1356&gt;F1356,"Объём выше излишка",IF(COUNT(M1356:O1356)&lt;3,"Нужны цены",IF(COUNT(P1356:R1356)&lt;3,"Нужны расходы",IF(OR(M1356&lt;0,N1356&lt;0,O1356&lt;0,O1356&gt;100,P1356&lt;0,Q1356&lt;0,R1356&lt;0,R1356&gt;100),"Проверьте значения","Рассчитано")))))))</x:f>
        <x:v>Нужны цены</x:v>
      </x:c>
      <x:c r="K1356" s="36" t="n">
        <x:v>69</x:v>
      </x:c>
      <x:c r="L1356" s="19" t="str">
        <x:v>KZT</x:v>
      </x:c>
      <x:c r="M1356" s="22"/>
      <x:c r="N1356" s="22"/>
      <x:c r="O1356" s="28"/>
      <x:c r="P1356" s="22"/>
      <x:c r="Q1356" s="22"/>
      <x:c r="R1356" s="28"/>
      <x:c r="S1356" s="22"/>
      <x:c r="T1356" s="35" t="n">
        <x:f>K1356</x:f>
        <x:v>69</x:v>
      </x:c>
      <x:c r="U1356" s="20" t="str">
        <x:f>IF(J1356="Рассчитано",N1356*(1-O1356/100),"н/д")</x:f>
        <x:v>н/д</x:v>
      </x:c>
      <x:c r="V1356" s="20" t="str">
        <x:f>IF(J1356="Рассчитано",T1356*U1356,"н/д")</x:f>
        <x:v>н/д</x:v>
      </x:c>
      <x:c r="W1356" s="20" t="str">
        <x:f>IF(J1356="Рассчитано",T1356*M1356,"н/д")</x:f>
        <x:v>н/д</x:v>
      </x:c>
      <x:c r="X1356" s="20" t="str">
        <x:f>IF(J1356="Рассчитано",V1356-W1356,"н/д")</x:f>
        <x:v>н/д</x:v>
      </x:c>
      <x:c r="Y1356" s="26" t="str">
        <x:f>IF(J1356="Рассчитано",IF(V1356&gt;0,G1356/V1356,"н/д"),"н/д")</x:f>
        <x:v>н/д</x:v>
      </x:c>
      <x:c r="Z1356" s="20" t="str">
        <x:f>"н/д"</x:f>
        <x:v>н/д</x:v>
      </x:c>
      <x:c r="AA1356" s="20" t="str">
        <x:f>"н/д"</x:f>
        <x:v>н/д</x:v>
      </x:c>
      <x:c r="AB1356" s="20" t="str">
        <x:f>"н/д"</x:f>
        <x:v>н/д</x:v>
      </x:c>
      <x:c r="AC1356" s="20" t="str">
        <x:f>IF(AND(J1356="Рассчитано",T1356&gt;0,R1356&lt;100),(W1356+P1356+Q1356)/(T1356*(1-R1356/100)),"н/д")</x:f>
        <x:v>н/д</x:v>
      </x:c>
      <x:c r="AD1356" s="11" t="str">
        <x:f>IF(ISNUMBER(G1356),IF(G1356&lt;0,"Убыток",IF(G1356=0,"Без прибыли","Прибыль &gt; 0")),"Не оценён")</x:f>
        <x:v>Не оценён</x:v>
      </x:c>
      <x:c r="AE1356" s="12" t="str">
        <x:f>IF(J1356="Рассчитано","Выручка "&amp;TEXT(V1356,"0.00")&amp;" - себестоимость "&amp;TEXT(W1356,"0.00")&amp;" - комиссия "&amp;TEXT(V1356*R1356/100,"0.00")&amp;" - доставка "&amp;TEXT(P1356,"0.00")&amp;" - прочие "&amp;TEXT(Q1356,"0.00")&amp;" = "&amp;TEXT(G1356,"0.00")&amp;" "&amp;L1356,"Введите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6" s="23" t="n">
        <x:v>4.352997134593311</x:v>
      </x:c>
      <x:c r="AG1356" s="35" t="n">
        <x:v>74</x:v>
      </x:c>
      <x:c r="AH1356" s="35" t="n">
        <x:v>0</x:v>
      </x:c>
      <x:c r="AI1356" s="29" t="n">
        <x:v>46287</x:v>
      </x:c>
      <x:c r="AJ1356" s="35" t="n">
        <x:v>5</x:v>
      </x:c>
      <x:c r="AK1356" s="11" t="str">
        <x:v>кратность</x:v>
      </x:c>
      <x:c r="AL1356" s="31" t="n">
        <x:v>1449.4702893659946</x:v>
      </x:c>
      <x:c r="AM1356" s="12" t="str">
        <x:v>Нет ежедневных данных доступности. Запас более 180 дней при среднем спросе</x:v>
      </x:c>
      <x:c r="AN1356" s="12" t="str">
        <x:v>Проверить свободный остаток и установить цену для B2B</x:v>
      </x:c>
      <x:c r="AO1356" s="12" t="str">
        <x:v>Остаток 74; прогноз 90 дней 4.35; избыток 69 шт. Будущие поступления не выставляются на продажу.</x:v>
      </x:c>
      <x:c r="AP1356" s="12" t="str">
        <x:v>["daily_stockout_data_missing", "large_orders_detected", "new_order_lead_time_unknown"]</x:v>
      </x:c>
      <x:c r="AQ1356" s="11" t="str">
        <x:v>SE:300200540_</x:v>
      </x:c>
      <x:c r="AR1356" s="23" t="n">
        <x:v>1</x:v>
      </x:c>
      <x:c r="AS1356" s="23" t="n">
        <x:v>0</x:v>
      </x:c>
      <x:c r="AT1356" s="23" t="n">
        <x:v>0</x:v>
      </x:c>
    </x:row>
    <x:row r="1357" ht="64" customHeight="1">
      <x:c r="A1357" s="10" t="str">
        <x:v>Systeme Electric</x:v>
      </x:c>
      <x:c r="B1357" s="34" t="str">
        <x:v>300200541_</x:v>
      </x:c>
      <x:c r="C1357" s="34" t="str">
        <x:v>ATN000965</x:v>
      </x:c>
      <x:c r="D1357" s="13" t="str">
        <x:v>K022 Переключ. 2 кл 10А с/у б/рамки "ATLAS" СТАЛЬ ATN965 (5)</x:v>
      </x:c>
      <x:c r="E1357" s="10" t="str">
        <x:v>шт</x:v>
      </x:c>
      <x:c r="F1357" s="37" t="n">
        <x:f>MAX(0,ROUNDDOWN((AG1357-AF1357)/AR1357+0.000000001,0)*AR1357)</x:f>
        <x:v>55</x:v>
      </x:c>
      <x:c r="G1357" s="21" t="str">
        <x:f>IF(J1357="Рассчитано",V1357*(1-R1357/100)-W1357-P1357-Q1357,"н/д")</x:f>
        <x:v>н/д</x:v>
      </x:c>
      <x:c r="H1357" s="13" t="str">
        <x:v>Средний</x:v>
      </x:c>
      <x:c r="I1357" s="13" t="str">
        <x:v>Высокий</x:v>
      </x:c>
      <x:c r="J1357" s="13" t="str">
        <x:f>IF(L1357="","Укажите валюту",IF(NOT(ISNUMBER(K1357)),"Укажите объём",IF(K1357&lt;=0,"Укажите объём",IF(K1357&gt;F1357,"Объём выше излишка",IF(COUNT(M1357:O1357)&lt;3,"Нужны цены",IF(COUNT(P1357:R1357)&lt;3,"Нужны расходы",IF(OR(M1357&lt;0,N1357&lt;0,O1357&lt;0,O1357&gt;100,P1357&lt;0,Q1357&lt;0,R1357&lt;0,R1357&gt;100),"Проверьте значения","Рассчитано")))))))</x:f>
        <x:v>Нужны цены</x:v>
      </x:c>
      <x:c r="K1357" s="36" t="n">
        <x:v>55</x:v>
      </x:c>
      <x:c r="L1357" s="19" t="str">
        <x:v>KZT</x:v>
      </x:c>
      <x:c r="M1357" s="22"/>
      <x:c r="N1357" s="22"/>
      <x:c r="O1357" s="28"/>
      <x:c r="P1357" s="22"/>
      <x:c r="Q1357" s="22"/>
      <x:c r="R1357" s="28"/>
      <x:c r="S1357" s="22"/>
      <x:c r="T1357" s="37" t="n">
        <x:f>K1357</x:f>
        <x:v>55</x:v>
      </x:c>
      <x:c r="U1357" s="21" t="str">
        <x:f>IF(J1357="Рассчитано",N1357*(1-O1357/100),"н/д")</x:f>
        <x:v>н/д</x:v>
      </x:c>
      <x:c r="V1357" s="21" t="str">
        <x:f>IF(J1357="Рассчитано",T1357*U1357,"н/д")</x:f>
        <x:v>н/д</x:v>
      </x:c>
      <x:c r="W1357" s="21" t="str">
        <x:f>IF(J1357="Рассчитано",T1357*M1357,"н/д")</x:f>
        <x:v>н/д</x:v>
      </x:c>
      <x:c r="X1357" s="21" t="str">
        <x:f>IF(J1357="Рассчитано",V1357-W1357,"н/д")</x:f>
        <x:v>н/д</x:v>
      </x:c>
      <x:c r="Y1357" s="27" t="str">
        <x:f>IF(J1357="Рассчитано",IF(V1357&gt;0,G1357/V1357,"н/д"),"н/д")</x:f>
        <x:v>н/д</x:v>
      </x:c>
      <x:c r="Z1357" s="21" t="str">
        <x:f>"н/д"</x:f>
        <x:v>н/д</x:v>
      </x:c>
      <x:c r="AA1357" s="21" t="str">
        <x:f>"н/д"</x:f>
        <x:v>н/д</x:v>
      </x:c>
      <x:c r="AB1357" s="21" t="str">
        <x:f>"н/д"</x:f>
        <x:v>н/д</x:v>
      </x:c>
      <x:c r="AC1357" s="21" t="str">
        <x:f>IF(AND(J1357="Рассчитано",T1357&gt;0,R1357&lt;100),(W1357+P1357+Q1357)/(T1357*(1-R1357/100)),"н/д")</x:f>
        <x:v>н/д</x:v>
      </x:c>
      <x:c r="AD1357" s="10" t="str">
        <x:f>IF(ISNUMBER(G1357),IF(G1357&lt;0,"Убыток",IF(G1357=0,"Без прибыли","Прибыль &gt; 0")),"Не оценён")</x:f>
        <x:v>Не оценён</x:v>
      </x:c>
      <x:c r="AE1357" s="13" t="str">
        <x:f>IF(J1357="Рассчитано","Выручка "&amp;TEXT(V1357,"0.00")&amp;" - себестоимость "&amp;TEXT(W1357,"0.00")&amp;" - комиссия "&amp;TEXT(V1357*R1357/100,"0.00")&amp;" - доставка "&amp;TEXT(P1357,"0.00")&amp;" - прочие "&amp;TEXT(Q1357,"0.00")&amp;" = "&amp;TEXT(G1357,"0.00")&amp;" "&amp;L1357,"Введите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7" s="24" t="n">
        <x:v>4.715107357001936</x:v>
      </x:c>
      <x:c r="AG1357" s="37" t="n">
        <x:v>60</x:v>
      </x:c>
      <x:c r="AH1357" s="37" t="n">
        <x:v>0</x:v>
      </x:c>
      <x:c r="AI1357" s="30" t="n">
        <x:v>46287</x:v>
      </x:c>
      <x:c r="AJ1357" s="37" t="n">
        <x:v>5</x:v>
      </x:c>
      <x:c r="AK1357" s="10" t="str">
        <x:v>кратность</x:v>
      </x:c>
      <x:c r="AL1357" s="32" t="n">
        <x:v>1084.9897720468546</x:v>
      </x:c>
      <x:c r="AM1357" s="13" t="str">
        <x:v>Нет ежедневных данных доступности. Запас более 180 дней при среднем спросе</x:v>
      </x:c>
      <x:c r="AN1357" s="13" t="str">
        <x:v>Проверить свободный остаток и установить цену для B2B</x:v>
      </x:c>
      <x:c r="AO1357" s="13" t="str">
        <x:v>Остаток 60; прогноз 90 дней 4.72; избыток 55 шт. Будущие поступления не выставляются на продажу.</x:v>
      </x:c>
      <x:c r="AP1357" s="13" t="str">
        <x:v>["daily_stockout_data_missing", "new_order_lead_time_unknown"]</x:v>
      </x:c>
      <x:c r="AQ1357" s="10" t="str">
        <x:v>SE:300200541_</x:v>
      </x:c>
      <x:c r="AR1357" s="24" t="n">
        <x:v>1</x:v>
      </x:c>
      <x:c r="AS1357" s="24" t="n">
        <x:v>0</x:v>
      </x:c>
      <x:c r="AT1357" s="24" t="n">
        <x:v>0</x:v>
      </x:c>
    </x:row>
    <x:row r="1358" ht="64" customHeight="1">
      <x:c r="A1358" s="11" t="str">
        <x:v>Systeme Electric</x:v>
      </x:c>
      <x:c r="B1358" s="33" t="str">
        <x:v>300200549_</x:v>
      </x:c>
      <x:c r="C1358" s="33" t="str">
        <x:v>ATN000561</x:v>
      </x:c>
      <x:c r="D1358" s="12" t="str">
        <x:v>K030 Переключ. 1 кл 10А с/у б/рамки "ATLAS" ШАМПАНЬ ATN561 (10)</x:v>
      </x:c>
      <x:c r="E1358" s="11" t="str">
        <x:v>шт</x:v>
      </x:c>
      <x:c r="F1358" s="35" t="n">
        <x:f>MAX(0,ROUNDDOWN((AG1358-AF1358)/AR1358+0.000000001,0)*AR1358)</x:f>
        <x:v>2</x:v>
      </x:c>
      <x:c r="G1358" s="20" t="str">
        <x:f>IF(J1358="Рассчитано",V1358*(1-R1358/100)-W1358-P1358-Q1358,"н/д")</x:f>
        <x:v>н/д</x:v>
      </x:c>
      <x:c r="H1358" s="12" t="str">
        <x:v>Средний</x:v>
      </x:c>
      <x:c r="I1358" s="12" t="str">
        <x:v>Средний</x:v>
      </x:c>
      <x:c r="J1358" s="12" t="str">
        <x:f>IF(L1358="","Укажите валюту",IF(NOT(ISNUMBER(K1358)),"Укажите объём",IF(K1358&lt;=0,"Укажите объём",IF(K1358&gt;F1358,"Объём выше излишка",IF(COUNT(M1358:O1358)&lt;3,"Нужны цены",IF(COUNT(P1358:R1358)&lt;3,"Нужны расходы",IF(OR(M1358&lt;0,N1358&lt;0,O1358&lt;0,O1358&gt;100,P1358&lt;0,Q1358&lt;0,R1358&lt;0,R1358&gt;100),"Проверьте значения","Рассчитано")))))))</x:f>
        <x:v>Нужны цены</x:v>
      </x:c>
      <x:c r="K1358" s="36" t="n">
        <x:v>2</x:v>
      </x:c>
      <x:c r="L1358" s="19" t="str">
        <x:v>KZT</x:v>
      </x:c>
      <x:c r="M1358" s="22"/>
      <x:c r="N1358" s="22"/>
      <x:c r="O1358" s="28"/>
      <x:c r="P1358" s="22"/>
      <x:c r="Q1358" s="22"/>
      <x:c r="R1358" s="28"/>
      <x:c r="S1358" s="22"/>
      <x:c r="T1358" s="35" t="n">
        <x:f>K1358</x:f>
        <x:v>2</x:v>
      </x:c>
      <x:c r="U1358" s="20" t="str">
        <x:f>IF(J1358="Рассчитано",N1358*(1-O1358/100),"н/д")</x:f>
        <x:v>н/д</x:v>
      </x:c>
      <x:c r="V1358" s="20" t="str">
        <x:f>IF(J1358="Рассчитано",T1358*U1358,"н/д")</x:f>
        <x:v>н/д</x:v>
      </x:c>
      <x:c r="W1358" s="20" t="str">
        <x:f>IF(J1358="Рассчитано",T1358*M1358,"н/д")</x:f>
        <x:v>н/д</x:v>
      </x:c>
      <x:c r="X1358" s="20" t="str">
        <x:f>IF(J1358="Рассчитано",V1358-W1358,"н/д")</x:f>
        <x:v>н/д</x:v>
      </x:c>
      <x:c r="Y1358" s="26" t="str">
        <x:f>IF(J1358="Рассчитано",IF(V1358&gt;0,G1358/V1358,"н/д"),"н/д")</x:f>
        <x:v>н/д</x:v>
      </x:c>
      <x:c r="Z1358" s="20" t="str">
        <x:f>"н/д"</x:f>
        <x:v>н/д</x:v>
      </x:c>
      <x:c r="AA1358" s="20" t="str">
        <x:f>"н/д"</x:f>
        <x:v>н/д</x:v>
      </x:c>
      <x:c r="AB1358" s="20" t="str">
        <x:f>"н/д"</x:f>
        <x:v>н/д</x:v>
      </x:c>
      <x:c r="AC1358" s="20" t="str">
        <x:f>IF(AND(J1358="Рассчитано",T1358&gt;0,R1358&lt;100),(W1358+P1358+Q1358)/(T1358*(1-R1358/100)),"н/д")</x:f>
        <x:v>н/д</x:v>
      </x:c>
      <x:c r="AD1358" s="11" t="str">
        <x:f>IF(ISNUMBER(G1358),IF(G1358&lt;0,"Убыток",IF(G1358=0,"Без прибыли","Прибыль &gt; 0")),"Не оценён")</x:f>
        <x:v>Не оценён</x:v>
      </x:c>
      <x:c r="AE1358" s="12" t="str">
        <x:f>IF(J1358="Рассчитано","Выручка "&amp;TEXT(V1358,"0.00")&amp;" - себестоимость "&amp;TEXT(W1358,"0.00")&amp;" - комиссия "&amp;TEXT(V1358*R1358/100,"0.00")&amp;" - доставка "&amp;TEXT(P1358,"0.00")&amp;" - прочие "&amp;TEXT(Q1358,"0.00")&amp;" = "&amp;TEXT(G1358,"0.00")&amp;" "&amp;L1358,"Введите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8" s="23" t="n">
        <x:v>60.78191719083944</x:v>
      </x:c>
      <x:c r="AG1358" s="35" t="n">
        <x:v>63</x:v>
      </x:c>
      <x:c r="AH1358" s="35" t="n">
        <x:v>0</x:v>
      </x:c>
      <x:c r="AI1358" s="29" t="n">
        <x:v>46287</x:v>
      </x:c>
      <x:c r="AJ1358" s="35" t="n">
        <x:v>10</x:v>
      </x:c>
      <x:c r="AK1358" s="11" t="str">
        <x:v>кратность</x:v>
      </x:c>
      <x:c r="AL1358" s="31" t="n">
        <x:v>88.37555094563638</x:v>
      </x:c>
      <x:c r="AM1358" s="12" t="str">
        <x:v>Детальные и месячные продажи расходятся; Нет ежедневных данных доступности. Запас выше прогноза на 90 дней</x:v>
      </x:c>
      <x:c r="AN1358" s="12" t="str">
        <x:v>Проверить свободный остаток и установить цену для B2B</x:v>
      </x:c>
      <x:c r="AO1358" s="12" t="str">
        <x:v>Остаток 63; прогноз 90 дней 60.78; избыток 2 шт. Будущие поступления не выставляются на продажу.</x:v>
      </x:c>
      <x:c r="AP1358" s="12" t="str">
        <x:v>["daily_stockout_data_missing", "large_orders_detected", "new_order_lead_time_unknown", "transaction_month_mismatch"]</x:v>
      </x:c>
      <x:c r="AQ1358" s="11" t="str">
        <x:v>SE:300200549_</x:v>
      </x:c>
      <x:c r="AR1358" s="23" t="n">
        <x:v>1</x:v>
      </x:c>
      <x:c r="AS1358" s="23" t="n">
        <x:v>0</x:v>
      </x:c>
      <x:c r="AT1358" s="23" t="n">
        <x:v>0</x:v>
      </x:c>
    </x:row>
    <x:row r="1359" ht="64" customHeight="1">
      <x:c r="A1359" s="10" t="str">
        <x:v>Systeme Electric</x:v>
      </x:c>
      <x:c r="B1359" s="34" t="str">
        <x:v>300200550_</x:v>
      </x:c>
      <x:c r="C1359" s="34" t="str">
        <x:v>ATN000563</x:v>
      </x:c>
      <x:c r="D1359" s="13" t="str">
        <x:v>K031 Переключ. 1 кл с инд 10А с/у б/рамки  "ATLAS" ШАМПАНЬ ATN563  (10)</x:v>
      </x:c>
      <x:c r="E1359" s="10" t="str">
        <x:v>шт</x:v>
      </x:c>
      <x:c r="F1359" s="37" t="n">
        <x:f>MAX(0,ROUNDDOWN((AG1359-AF1359)/AR1359+0.000000001,0)*AR1359)</x:f>
        <x:v>9</x:v>
      </x:c>
      <x:c r="G1359" s="21" t="str">
        <x:f>IF(J1359="Рассчитано",V1359*(1-R1359/100)-W1359-P1359-Q1359,"н/д")</x:f>
        <x:v>н/д</x:v>
      </x:c>
      <x:c r="H1359" s="13" t="str">
        <x:v>Средний</x:v>
      </x:c>
      <x:c r="I1359" s="13" t="str">
        <x:v>Высокий</x:v>
      </x:c>
      <x:c r="J1359" s="13" t="str">
        <x:f>IF(L1359="","Укажите валюту",IF(NOT(ISNUMBER(K1359)),"Укажите объём",IF(K1359&lt;=0,"Укажите объём",IF(K1359&gt;F1359,"Объём выше излишка",IF(COUNT(M1359:O1359)&lt;3,"Нужны цены",IF(COUNT(P1359:R1359)&lt;3,"Нужны расходы",IF(OR(M1359&lt;0,N1359&lt;0,O1359&lt;0,O1359&gt;100,P1359&lt;0,Q1359&lt;0,R1359&lt;0,R1359&gt;100),"Проверьте значения","Рассчитано")))))))</x:f>
        <x:v>Нужны цены</x:v>
      </x:c>
      <x:c r="K1359" s="36" t="n">
        <x:v>9</x:v>
      </x:c>
      <x:c r="L1359" s="19" t="str">
        <x:v>KZT</x:v>
      </x:c>
      <x:c r="M1359" s="22"/>
      <x:c r="N1359" s="22"/>
      <x:c r="O1359" s="28"/>
      <x:c r="P1359" s="22"/>
      <x:c r="Q1359" s="22"/>
      <x:c r="R1359" s="28"/>
      <x:c r="S1359" s="22"/>
      <x:c r="T1359" s="37" t="n">
        <x:f>K1359</x:f>
        <x:v>9</x:v>
      </x:c>
      <x:c r="U1359" s="21" t="str">
        <x:f>IF(J1359="Рассчитано",N1359*(1-O1359/100),"н/д")</x:f>
        <x:v>н/д</x:v>
      </x:c>
      <x:c r="V1359" s="21" t="str">
        <x:f>IF(J1359="Рассчитано",T1359*U1359,"н/д")</x:f>
        <x:v>н/д</x:v>
      </x:c>
      <x:c r="W1359" s="21" t="str">
        <x:f>IF(J1359="Рассчитано",T1359*M1359,"н/д")</x:f>
        <x:v>н/д</x:v>
      </x:c>
      <x:c r="X1359" s="21" t="str">
        <x:f>IF(J1359="Рассчитано",V1359-W1359,"н/д")</x:f>
        <x:v>н/д</x:v>
      </x:c>
      <x:c r="Y1359" s="27" t="str">
        <x:f>IF(J1359="Рассчитано",IF(V1359&gt;0,G1359/V1359,"н/д"),"н/д")</x:f>
        <x:v>н/д</x:v>
      </x:c>
      <x:c r="Z1359" s="21" t="str">
        <x:f>"н/д"</x:f>
        <x:v>н/д</x:v>
      </x:c>
      <x:c r="AA1359" s="21" t="str">
        <x:f>"н/д"</x:f>
        <x:v>н/д</x:v>
      </x:c>
      <x:c r="AB1359" s="21" t="str">
        <x:f>"н/д"</x:f>
        <x:v>н/д</x:v>
      </x:c>
      <x:c r="AC1359" s="21" t="str">
        <x:f>IF(AND(J1359="Рассчитано",T1359&gt;0,R1359&lt;100),(W1359+P1359+Q1359)/(T1359*(1-R1359/100)),"н/д")</x:f>
        <x:v>н/д</x:v>
      </x:c>
      <x:c r="AD1359" s="10" t="str">
        <x:f>IF(ISNUMBER(G1359),IF(G1359&lt;0,"Убыток",IF(G1359=0,"Без прибыли","Прибыль &gt; 0")),"Не оценён")</x:f>
        <x:v>Не оценён</x:v>
      </x:c>
      <x:c r="AE1359" s="13" t="str">
        <x:f>IF(J1359="Рассчитано","Выручка "&amp;TEXT(V1359,"0.00")&amp;" - себестоимость "&amp;TEXT(W1359,"0.00")&amp;" - комиссия "&amp;TEXT(V1359*R1359/100,"0.00")&amp;" - доставка "&amp;TEXT(P1359,"0.00")&amp;" - прочие "&amp;TEXT(Q1359,"0.00")&amp;" = "&amp;TEXT(G1359,"0.00")&amp;" "&amp;L1359,"Введите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9" s="24" t="n">
        <x:v>2.739848619391802</x:v>
      </x:c>
      <x:c r="AG1359" s="37" t="n">
        <x:v>12</x:v>
      </x:c>
      <x:c r="AH1359" s="37" t="n">
        <x:v>0</x:v>
      </x:c>
      <x:c r="AI1359" s="30" t="n">
        <x:v>46287</x:v>
      </x:c>
      <x:c r="AJ1359" s="37" t="n">
        <x:v>10</x:v>
      </x:c>
      <x:c r="AK1359" s="10" t="str">
        <x:v>кратность</x:v>
      </x:c>
      <x:c r="AL1359" s="32" t="n">
        <x:v>373.43984775228927</x:v>
      </x:c>
      <x:c r="AM1359" s="13" t="str">
        <x:v>Нет ежедневных данных доступности. Запас более 180 дней при среднем спросе</x:v>
      </x:c>
      <x:c r="AN1359" s="13" t="str">
        <x:v>Проверить свободный остаток и установить цену для B2B</x:v>
      </x:c>
      <x:c r="AO1359" s="13" t="str">
        <x:v>Остаток 12; прогноз 90 дней 2.74; избыток 9 шт. Будущие поступления не выставляются на продажу.</x:v>
      </x:c>
      <x:c r="AP1359" s="13" t="str">
        <x:v>["daily_stockout_data_missing", "new_order_lead_time_unknown"]</x:v>
      </x:c>
      <x:c r="AQ1359" s="10" t="str">
        <x:v>SE:300200550_</x:v>
      </x:c>
      <x:c r="AR1359" s="24" t="n">
        <x:v>1</x:v>
      </x:c>
      <x:c r="AS1359" s="24" t="n">
        <x:v>0</x:v>
      </x:c>
      <x:c r="AT1359" s="24" t="n">
        <x:v>0</x:v>
      </x:c>
    </x:row>
    <x:row r="1360" ht="64" customHeight="1">
      <x:c r="A1360" s="11" t="str">
        <x:v>Systeme Electric</x:v>
      </x:c>
      <x:c r="B1360" s="33" t="str">
        <x:v>300200551_</x:v>
      </x:c>
      <x:c r="C1360" s="33" t="str">
        <x:v>ATN000571</x:v>
      </x:c>
      <x:c r="D1360" s="12" t="str">
        <x:v>K032 Перекрест.переключ. 1 кл 10А с/у б/рамки "ATLAS" ШАМПАНЬ ATN571 (5)</x:v>
      </x:c>
      <x:c r="E1360" s="11" t="str">
        <x:v>шт</x:v>
      </x:c>
      <x:c r="F1360" s="35" t="n">
        <x:f>MAX(0,ROUNDDOWN((AG1360-AF1360)/AR1360+0.000000001,0)*AR1360)</x:f>
        <x:v>4</x:v>
      </x:c>
      <x:c r="G1360" s="20" t="str">
        <x:f>IF(J1360="Рассчитано",V1360*(1-R1360/100)-W1360-P1360-Q1360,"н/д")</x:f>
        <x:v>н/д</x:v>
      </x:c>
      <x:c r="H1360" s="12" t="str">
        <x:v>Средний</x:v>
      </x:c>
      <x:c r="I1360" s="12" t="str">
        <x:v>Средний</x:v>
      </x:c>
      <x:c r="J1360" s="12" t="str">
        <x:f>IF(L1360="","Укажите валюту",IF(NOT(ISNUMBER(K1360)),"Укажите объём",IF(K1360&lt;=0,"Укажите объём",IF(K1360&gt;F1360,"Объём выше излишка",IF(COUNT(M1360:O1360)&lt;3,"Нужны цены",IF(COUNT(P1360:R1360)&lt;3,"Нужны расходы",IF(OR(M1360&lt;0,N1360&lt;0,O1360&lt;0,O1360&gt;100,P1360&lt;0,Q1360&lt;0,R1360&lt;0,R1360&gt;100),"Проверьте значения","Рассчитано")))))))</x:f>
        <x:v>Нужны цены</x:v>
      </x:c>
      <x:c r="K1360" s="36" t="n">
        <x:v>4</x:v>
      </x:c>
      <x:c r="L1360" s="19" t="str">
        <x:v>KZT</x:v>
      </x:c>
      <x:c r="M1360" s="22"/>
      <x:c r="N1360" s="22"/>
      <x:c r="O1360" s="28"/>
      <x:c r="P1360" s="22"/>
      <x:c r="Q1360" s="22"/>
      <x:c r="R1360" s="28"/>
      <x:c r="S1360" s="22"/>
      <x:c r="T1360" s="35" t="n">
        <x:f>K1360</x:f>
        <x:v>4</x:v>
      </x:c>
      <x:c r="U1360" s="20" t="str">
        <x:f>IF(J1360="Рассчитано",N1360*(1-O1360/100),"н/д")</x:f>
        <x:v>н/д</x:v>
      </x:c>
      <x:c r="V1360" s="20" t="str">
        <x:f>IF(J1360="Рассчитано",T1360*U1360,"н/д")</x:f>
        <x:v>н/д</x:v>
      </x:c>
      <x:c r="W1360" s="20" t="str">
        <x:f>IF(J1360="Рассчитано",T1360*M1360,"н/д")</x:f>
        <x:v>н/д</x:v>
      </x:c>
      <x:c r="X1360" s="20" t="str">
        <x:f>IF(J1360="Рассчитано",V1360-W1360,"н/д")</x:f>
        <x:v>н/д</x:v>
      </x:c>
      <x:c r="Y1360" s="26" t="str">
        <x:f>IF(J1360="Рассчитано",IF(V1360&gt;0,G1360/V1360,"н/д"),"н/д")</x:f>
        <x:v>н/д</x:v>
      </x:c>
      <x:c r="Z1360" s="20" t="str">
        <x:f>"н/д"</x:f>
        <x:v>н/д</x:v>
      </x:c>
      <x:c r="AA1360" s="20" t="str">
        <x:f>"н/д"</x:f>
        <x:v>н/д</x:v>
      </x:c>
      <x:c r="AB1360" s="20" t="str">
        <x:f>"н/д"</x:f>
        <x:v>н/д</x:v>
      </x:c>
      <x:c r="AC1360" s="20" t="str">
        <x:f>IF(AND(J1360="Рассчитано",T1360&gt;0,R1360&lt;100),(W1360+P1360+Q1360)/(T1360*(1-R1360/100)),"н/д")</x:f>
        <x:v>н/д</x:v>
      </x:c>
      <x:c r="AD1360" s="11" t="str">
        <x:f>IF(ISNUMBER(G1360),IF(G1360&lt;0,"Убыток",IF(G1360=0,"Без прибыли","Прибыль &gt; 0")),"Не оценён")</x:f>
        <x:v>Не оценён</x:v>
      </x:c>
      <x:c r="AE1360" s="12" t="str">
        <x:f>IF(J1360="Рассчитано","Выручка "&amp;TEXT(V1360,"0.00")&amp;" - себестоимость "&amp;TEXT(W1360,"0.00")&amp;" - комиссия "&amp;TEXT(V1360*R1360/100,"0.00")&amp;" - доставка "&amp;TEXT(P1360,"0.00")&amp;" - прочие "&amp;TEXT(Q1360,"0.00")&amp;" = "&amp;TEXT(G1360,"0.00")&amp;" "&amp;L1360,"Введите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0" s="23" t="n">
        <x:v>15.444802552853046</x:v>
      </x:c>
      <x:c r="AG1360" s="35" t="n">
        <x:v>20</x:v>
      </x:c>
      <x:c r="AH1360" s="35" t="n">
        <x:v>0</x:v>
      </x:c>
      <x:c r="AI1360" s="29" t="n">
        <x:v>46287</x:v>
      </x:c>
      <x:c r="AJ1360" s="35" t="n">
        <x:v>5</x:v>
      </x:c>
      <x:c r="AK1360" s="11" t="str">
        <x:v>кратность</x:v>
      </x:c>
      <x:c r="AL1360" s="31" t="n">
        <x:v>110.41132313914379</x:v>
      </x:c>
      <x:c r="AM1360" s="12" t="str">
        <x:v>Нет ежедневных данных доступности. Запас выше прогноза на 90 дней</x:v>
      </x:c>
      <x:c r="AN1360" s="12" t="str">
        <x:v>Проверить свободный остаток и установить цену для B2B</x:v>
      </x:c>
      <x:c r="AO1360" s="12" t="str">
        <x:v>Остаток 20; прогноз 90 дней 15.44; избыток 4 шт. Будущие поступления не выставляются на продажу.</x:v>
      </x:c>
      <x:c r="AP1360" s="12" t="str">
        <x:v>["daily_stockout_data_missing", "new_order_lead_time_unknown"]</x:v>
      </x:c>
      <x:c r="AQ1360" s="11" t="str">
        <x:v>SE:300200551_</x:v>
      </x:c>
      <x:c r="AR1360" s="23" t="n">
        <x:v>1</x:v>
      </x:c>
      <x:c r="AS1360" s="23" t="n">
        <x:v>0</x:v>
      </x:c>
      <x:c r="AT1360" s="23" t="n">
        <x:v>0</x:v>
      </x:c>
    </x:row>
    <x:row r="1361" ht="64" customHeight="1">
      <x:c r="A1361" s="10" t="str">
        <x:v>Systeme Electric</x:v>
      </x:c>
      <x:c r="B1361" s="34" t="str">
        <x:v>300200552_</x:v>
      </x:c>
      <x:c r="C1361" s="34" t="str">
        <x:v>ATN000520</x:v>
      </x:c>
      <x:c r="D1361" s="13" t="str">
        <x:v>K033 Роз. 2-ная с/у 16А "ATLAS" ШАМПАНЬ ATN520 (6)</x:v>
      </x:c>
      <x:c r="E1361" s="10" t="str">
        <x:v>шт</x:v>
      </x:c>
      <x:c r="F1361" s="37" t="n">
        <x:f>MAX(0,ROUNDDOWN((AG1361-AF1361)/AR1361+0.000000001,0)*AR1361)</x:f>
        <x:v>52</x:v>
      </x:c>
      <x:c r="G1361" s="21" t="str">
        <x:f>IF(J1361="Рассчитано",V1361*(1-R1361/100)-W1361-P1361-Q1361,"н/д")</x:f>
        <x:v>н/д</x:v>
      </x:c>
      <x:c r="H1361" s="13" t="str">
        <x:v>Средний</x:v>
      </x:c>
      <x:c r="I1361" s="13" t="str">
        <x:v>Средний</x:v>
      </x:c>
      <x:c r="J1361" s="13" t="str">
        <x:f>IF(L1361="","Укажите валюту",IF(NOT(ISNUMBER(K1361)),"Укажите объём",IF(K1361&lt;=0,"Укажите объём",IF(K1361&gt;F1361,"Объём выше излишка",IF(COUNT(M1361:O1361)&lt;3,"Нужны цены",IF(COUNT(P1361:R1361)&lt;3,"Нужны расходы",IF(OR(M1361&lt;0,N1361&lt;0,O1361&lt;0,O1361&gt;100,P1361&lt;0,Q1361&lt;0,R1361&lt;0,R1361&gt;100),"Проверьте значения","Рассчитано")))))))</x:f>
        <x:v>Нужны цены</x:v>
      </x:c>
      <x:c r="K1361" s="36" t="n">
        <x:v>52</x:v>
      </x:c>
      <x:c r="L1361" s="19" t="str">
        <x:v>KZT</x:v>
      </x:c>
      <x:c r="M1361" s="22"/>
      <x:c r="N1361" s="22"/>
      <x:c r="O1361" s="28"/>
      <x:c r="P1361" s="22"/>
      <x:c r="Q1361" s="22"/>
      <x:c r="R1361" s="28"/>
      <x:c r="S1361" s="22"/>
      <x:c r="T1361" s="37" t="n">
        <x:f>K1361</x:f>
        <x:v>52</x:v>
      </x:c>
      <x:c r="U1361" s="21" t="str">
        <x:f>IF(J1361="Рассчитано",N1361*(1-O1361/100),"н/д")</x:f>
        <x:v>н/д</x:v>
      </x:c>
      <x:c r="V1361" s="21" t="str">
        <x:f>IF(J1361="Рассчитано",T1361*U1361,"н/д")</x:f>
        <x:v>н/д</x:v>
      </x:c>
      <x:c r="W1361" s="21" t="str">
        <x:f>IF(J1361="Рассчитано",T1361*M1361,"н/д")</x:f>
        <x:v>н/д</x:v>
      </x:c>
      <x:c r="X1361" s="21" t="str">
        <x:f>IF(J1361="Рассчитано",V1361-W1361,"н/д")</x:f>
        <x:v>н/д</x:v>
      </x:c>
      <x:c r="Y1361" s="27" t="str">
        <x:f>IF(J1361="Рассчитано",IF(V1361&gt;0,G1361/V1361,"н/д"),"н/д")</x:f>
        <x:v>н/д</x:v>
      </x:c>
      <x:c r="Z1361" s="21" t="str">
        <x:f>"н/д"</x:f>
        <x:v>н/д</x:v>
      </x:c>
      <x:c r="AA1361" s="21" t="str">
        <x:f>"н/д"</x:f>
        <x:v>н/д</x:v>
      </x:c>
      <x:c r="AB1361" s="21" t="str">
        <x:f>"н/д"</x:f>
        <x:v>н/д</x:v>
      </x:c>
      <x:c r="AC1361" s="21" t="str">
        <x:f>IF(AND(J1361="Рассчитано",T1361&gt;0,R1361&lt;100),(W1361+P1361+Q1361)/(T1361*(1-R1361/100)),"н/д")</x:f>
        <x:v>н/д</x:v>
      </x:c>
      <x:c r="AD1361" s="10" t="str">
        <x:f>IF(ISNUMBER(G1361),IF(G1361&lt;0,"Убыток",IF(G1361=0,"Без прибыли","Прибыль &gt; 0")),"Не оценён")</x:f>
        <x:v>Не оценён</x:v>
      </x:c>
      <x:c r="AE1361" s="13" t="str">
        <x:f>IF(J1361="Рассчитано","Выручка "&amp;TEXT(V1361,"0.00")&amp;" - себестоимость "&amp;TEXT(W1361,"0.00")&amp;" - комиссия "&amp;TEXT(V1361*R1361/100,"0.00")&amp;" - доставка "&amp;TEXT(P1361,"0.00")&amp;" - прочие "&amp;TEXT(Q1361,"0.00")&amp;" = "&amp;TEXT(G1361,"0.00")&amp;" "&amp;L1361,"Введите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1" s="24" t="n">
        <x:v>61.389888914959656</x:v>
      </x:c>
      <x:c r="AG1361" s="37" t="n">
        <x:v>114</x:v>
      </x:c>
      <x:c r="AH1361" s="37" t="n">
        <x:v>0</x:v>
      </x:c>
      <x:c r="AI1361" s="30" t="n">
        <x:v>46287</x:v>
      </x:c>
      <x:c r="AJ1361" s="37" t="n">
        <x:v>6</x:v>
      </x:c>
      <x:c r="AK1361" s="10" t="str">
        <x:v>кратность</x:v>
      </x:c>
      <x:c r="AL1361" s="32" t="n">
        <x:v>158.33392695529588</x:v>
      </x:c>
      <x:c r="AM1361" s="13" t="str">
        <x:v>Нет ежедневных данных доступности. Запас выше прогноза на 90 дней</x:v>
      </x:c>
      <x:c r="AN1361" s="13" t="str">
        <x:v>Проверить свободный остаток и установить цену для B2B</x:v>
      </x:c>
      <x:c r="AO1361" s="13" t="str">
        <x:v>Остаток 114; прогноз 90 дней 61.39; избыток 52 шт. Будущие поступления не выставляются на продажу.</x:v>
      </x:c>
      <x:c r="AP1361" s="13" t="str">
        <x:v>["daily_stockout_data_missing", "new_order_lead_time_unknown"]</x:v>
      </x:c>
      <x:c r="AQ1361" s="10" t="str">
        <x:v>SE:300200552_</x:v>
      </x:c>
      <x:c r="AR1361" s="24" t="n">
        <x:v>1</x:v>
      </x:c>
      <x:c r="AS1361" s="24" t="n">
        <x:v>0</x:v>
      </x:c>
      <x:c r="AT1361" s="24" t="n">
        <x:v>0</x:v>
      </x:c>
    </x:row>
    <x:row r="1362" ht="64" customHeight="1">
      <x:c r="A1362" s="11" t="str">
        <x:v>Systeme Electric</x:v>
      </x:c>
      <x:c r="B1362" s="33" t="str">
        <x:v>300200554_</x:v>
      </x:c>
      <x:c r="C1362" s="33" t="str">
        <x:v>ATN000585</x:v>
      </x:c>
      <x:c r="D1362" s="12" t="str">
        <x:v>K035 Роз. RJ45+RJ45 5Е кат 5Е механизм б/рамки "ATLAS" ШАМПАНЬ ATN585 (10)</x:v>
      </x:c>
      <x:c r="E1362" s="11" t="str">
        <x:v>шт</x:v>
      </x:c>
      <x:c r="F1362" s="35" t="n">
        <x:f>MAX(0,ROUNDDOWN((AG1362-AF1362)/AR1362+0.000000001,0)*AR1362)</x:f>
        <x:v>1</x:v>
      </x:c>
      <x:c r="G1362" s="20" t="str">
        <x:f>IF(J1362="Рассчитано",V1362*(1-R1362/100)-W1362-P1362-Q1362,"н/д")</x:f>
        <x:v>н/д</x:v>
      </x:c>
      <x:c r="H1362" s="12" t="str">
        <x:v>Средний</x:v>
      </x:c>
      <x:c r="I1362" s="12" t="str">
        <x:v>Средний</x:v>
      </x:c>
      <x:c r="J1362" s="12" t="str">
        <x:f>IF(L1362="","Укажите валюту",IF(NOT(ISNUMBER(K1362)),"Укажите объём",IF(K1362&lt;=0,"Укажите объём",IF(K1362&gt;F1362,"Объём выше излишка",IF(COUNT(M1362:O1362)&lt;3,"Нужны цены",IF(COUNT(P1362:R1362)&lt;3,"Нужны расходы",IF(OR(M1362&lt;0,N1362&lt;0,O1362&lt;0,O1362&gt;100,P1362&lt;0,Q1362&lt;0,R1362&lt;0,R1362&gt;100),"Проверьте значения","Рассчитано")))))))</x:f>
        <x:v>Нужны цены</x:v>
      </x:c>
      <x:c r="K1362" s="36" t="n">
        <x:v>1</x:v>
      </x:c>
      <x:c r="L1362" s="19" t="str">
        <x:v>KZT</x:v>
      </x:c>
      <x:c r="M1362" s="22"/>
      <x:c r="N1362" s="22"/>
      <x:c r="O1362" s="28"/>
      <x:c r="P1362" s="22"/>
      <x:c r="Q1362" s="22"/>
      <x:c r="R1362" s="28"/>
      <x:c r="S1362" s="22"/>
      <x:c r="T1362" s="35" t="n">
        <x:f>K1362</x:f>
        <x:v>1</x:v>
      </x:c>
      <x:c r="U1362" s="20" t="str">
        <x:f>IF(J1362="Рассчитано",N1362*(1-O1362/100),"н/д")</x:f>
        <x:v>н/д</x:v>
      </x:c>
      <x:c r="V1362" s="20" t="str">
        <x:f>IF(J1362="Рассчитано",T1362*U1362,"н/д")</x:f>
        <x:v>н/д</x:v>
      </x:c>
      <x:c r="W1362" s="20" t="str">
        <x:f>IF(J1362="Рассчитано",T1362*M1362,"н/д")</x:f>
        <x:v>н/д</x:v>
      </x:c>
      <x:c r="X1362" s="20" t="str">
        <x:f>IF(J1362="Рассчитано",V1362-W1362,"н/д")</x:f>
        <x:v>н/д</x:v>
      </x:c>
      <x:c r="Y1362" s="26" t="str">
        <x:f>IF(J1362="Рассчитано",IF(V1362&gt;0,G1362/V1362,"н/д"),"н/д")</x:f>
        <x:v>н/д</x:v>
      </x:c>
      <x:c r="Z1362" s="20" t="str">
        <x:f>"н/д"</x:f>
        <x:v>н/д</x:v>
      </x:c>
      <x:c r="AA1362" s="20" t="str">
        <x:f>"н/д"</x:f>
        <x:v>н/д</x:v>
      </x:c>
      <x:c r="AB1362" s="20" t="str">
        <x:f>"н/д"</x:f>
        <x:v>н/д</x:v>
      </x:c>
      <x:c r="AC1362" s="20" t="str">
        <x:f>IF(AND(J1362="Рассчитано",T1362&gt;0,R1362&lt;100),(W1362+P1362+Q1362)/(T1362*(1-R1362/100)),"н/д")</x:f>
        <x:v>н/д</x:v>
      </x:c>
      <x:c r="AD1362" s="11" t="str">
        <x:f>IF(ISNUMBER(G1362),IF(G1362&lt;0,"Убыток",IF(G1362=0,"Без прибыли","Прибыль &gt; 0")),"Не оценён")</x:f>
        <x:v>Не оценён</x:v>
      </x:c>
      <x:c r="AE1362" s="12" t="str">
        <x:f>IF(J1362="Рассчитано","Выручка "&amp;TEXT(V1362,"0.00")&amp;" - себестоимость "&amp;TEXT(W1362,"0.00")&amp;" - комиссия "&amp;TEXT(V1362*R1362/100,"0.00")&amp;" - доставка "&amp;TEXT(P1362,"0.00")&amp;" - прочие "&amp;TEXT(Q1362,"0.00")&amp;" = "&amp;TEXT(G1362,"0.00")&amp;" "&amp;L1362,"Введите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2" s="23" t="n">
        <x:v>5.11407988400059</x:v>
      </x:c>
      <x:c r="AG1362" s="35" t="n">
        <x:v>7</x:v>
      </x:c>
      <x:c r="AH1362" s="35" t="n">
        <x:v>0</x:v>
      </x:c>
      <x:c r="AI1362" s="29" t="n">
        <x:v>46287</x:v>
      </x:c>
      <x:c r="AJ1362" s="35" t="n">
        <x:v>5</x:v>
      </x:c>
      <x:c r="AK1362" s="11" t="str">
        <x:v>кратность</x:v>
      </x:c>
      <x:c r="AL1362" s="31" t="n">
        <x:v>116.70689419349996</x:v>
      </x:c>
      <x:c r="AM1362" s="12" t="str">
        <x:v>Нет ежедневных данных доступности. Запас выше прогноза на 90 дней</x:v>
      </x:c>
      <x:c r="AN1362" s="12" t="str">
        <x:v>Проверить свободный остаток и установить цену для B2B</x:v>
      </x:c>
      <x:c r="AO1362" s="12" t="str">
        <x:v>Остаток 7; прогноз 90 дней 5.11; избыток 1 шт. Будущие поступления не выставляются на продажу.</x:v>
      </x:c>
      <x:c r="AP1362" s="12" t="str">
        <x:v>["daily_stockout_data_missing", "new_order_lead_time_unknown"]</x:v>
      </x:c>
      <x:c r="AQ1362" s="11" t="str">
        <x:v>SE:300200554_</x:v>
      </x:c>
      <x:c r="AR1362" s="23" t="n">
        <x:v>1</x:v>
      </x:c>
      <x:c r="AS1362" s="23" t="n">
        <x:v>0</x:v>
      </x:c>
      <x:c r="AT1362" s="23" t="n">
        <x:v>0</x:v>
      </x:c>
    </x:row>
    <x:row r="1363" ht="64" customHeight="1">
      <x:c r="A1363" s="10" t="str">
        <x:v>Systeme Electric</x:v>
      </x:c>
      <x:c r="B1363" s="34" t="str">
        <x:v>300200555_</x:v>
      </x:c>
      <x:c r="C1363" s="34" t="str">
        <x:v>ATN000544</x:v>
      </x:c>
      <x:c r="D1363" s="13" t="str">
        <x:v>K036 Роз. с з/к 16А с/у з/ш "ATLAS" ШАМПАНЬ ATN544 (10)</x:v>
      </x:c>
      <x:c r="E1363" s="10" t="str">
        <x:v>шт</x:v>
      </x:c>
      <x:c r="F1363" s="37" t="n">
        <x:f>MAX(0,ROUNDDOWN((AG1363-AF1363)/AR1363+0.000000001,0)*AR1363)</x:f>
        <x:v>2</x:v>
      </x:c>
      <x:c r="G1363" s="21" t="str">
        <x:f>IF(J1363="Рассчитано",V1363*(1-R1363/100)-W1363-P1363-Q1363,"н/д")</x:f>
        <x:v>н/д</x:v>
      </x:c>
      <x:c r="H1363" s="13" t="str">
        <x:v>Средний</x:v>
      </x:c>
      <x:c r="I1363" s="13" t="str">
        <x:v>Средний</x:v>
      </x:c>
      <x:c r="J1363" s="13" t="str">
        <x:f>IF(L1363="","Укажите валюту",IF(NOT(ISNUMBER(K1363)),"Укажите объём",IF(K1363&lt;=0,"Укажите объём",IF(K1363&gt;F1363,"Объём выше излишка",IF(COUNT(M1363:O1363)&lt;3,"Нужны цены",IF(COUNT(P1363:R1363)&lt;3,"Нужны расходы",IF(OR(M1363&lt;0,N1363&lt;0,O1363&lt;0,O1363&gt;100,P1363&lt;0,Q1363&lt;0,R1363&lt;0,R1363&gt;100),"Проверьте значения","Рассчитано")))))))</x:f>
        <x:v>Нужны цены</x:v>
      </x:c>
      <x:c r="K1363" s="36" t="n">
        <x:v>2</x:v>
      </x:c>
      <x:c r="L1363" s="19" t="str">
        <x:v>KZT</x:v>
      </x:c>
      <x:c r="M1363" s="22"/>
      <x:c r="N1363" s="22"/>
      <x:c r="O1363" s="28"/>
      <x:c r="P1363" s="22"/>
      <x:c r="Q1363" s="22"/>
      <x:c r="R1363" s="28"/>
      <x:c r="S1363" s="22"/>
      <x:c r="T1363" s="37" t="n">
        <x:f>K1363</x:f>
        <x:v>2</x:v>
      </x:c>
      <x:c r="U1363" s="21" t="str">
        <x:f>IF(J1363="Рассчитано",N1363*(1-O1363/100),"н/д")</x:f>
        <x:v>н/д</x:v>
      </x:c>
      <x:c r="V1363" s="21" t="str">
        <x:f>IF(J1363="Рассчитано",T1363*U1363,"н/д")</x:f>
        <x:v>н/д</x:v>
      </x:c>
      <x:c r="W1363" s="21" t="str">
        <x:f>IF(J1363="Рассчитано",T1363*M1363,"н/д")</x:f>
        <x:v>н/д</x:v>
      </x:c>
      <x:c r="X1363" s="21" t="str">
        <x:f>IF(J1363="Рассчитано",V1363-W1363,"н/д")</x:f>
        <x:v>н/д</x:v>
      </x:c>
      <x:c r="Y1363" s="27" t="str">
        <x:f>IF(J1363="Рассчитано",IF(V1363&gt;0,G1363/V1363,"н/д"),"н/д")</x:f>
        <x:v>н/д</x:v>
      </x:c>
      <x:c r="Z1363" s="21" t="str">
        <x:f>"н/д"</x:f>
        <x:v>н/д</x:v>
      </x:c>
      <x:c r="AA1363" s="21" t="str">
        <x:f>"н/д"</x:f>
        <x:v>н/д</x:v>
      </x:c>
      <x:c r="AB1363" s="21" t="str">
        <x:f>"н/д"</x:f>
        <x:v>н/д</x:v>
      </x:c>
      <x:c r="AC1363" s="21" t="str">
        <x:f>IF(AND(J1363="Рассчитано",T1363&gt;0,R1363&lt;100),(W1363+P1363+Q1363)/(T1363*(1-R1363/100)),"н/д")</x:f>
        <x:v>н/д</x:v>
      </x:c>
      <x:c r="AD1363" s="10" t="str">
        <x:f>IF(ISNUMBER(G1363),IF(G1363&lt;0,"Убыток",IF(G1363=0,"Без прибыли","Прибыль &gt; 0")),"Не оценён")</x:f>
        <x:v>Не оценён</x:v>
      </x:c>
      <x:c r="AE1363" s="13" t="str">
        <x:f>IF(J1363="Рассчитано","Выручка "&amp;TEXT(V1363,"0.00")&amp;" - себестоимость "&amp;TEXT(W1363,"0.00")&amp;" - комиссия "&amp;TEXT(V1363*R1363/100,"0.00")&amp;" - доставка "&amp;TEXT(P1363,"0.00")&amp;" - прочие "&amp;TEXT(Q1363,"0.00")&amp;" = "&amp;TEXT(G1363,"0.00")&amp;" "&amp;L1363,"Введите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3" s="24" t="n">
        <x:v>28.351675134793215</x:v>
      </x:c>
      <x:c r="AG1363" s="37" t="n">
        <x:v>31</x:v>
      </x:c>
      <x:c r="AH1363" s="37" t="n">
        <x:v>0</x:v>
      </x:c>
      <x:c r="AI1363" s="30" t="n">
        <x:v>46287</x:v>
      </x:c>
      <x:c r="AJ1363" s="37" t="n">
        <x:v>10</x:v>
      </x:c>
      <x:c r="AK1363" s="10" t="str">
        <x:v>кратность</x:v>
      </x:c>
      <x:c r="AL1363" s="32" t="n">
        <x:v>93.22855421884523</x:v>
      </x:c>
      <x:c r="AM1363" s="13" t="str">
        <x:v>Детальные и месячные продажи расходятся; Нет ежедневных данных доступности. Запас выше прогноза на 90 дней</x:v>
      </x:c>
      <x:c r="AN1363" s="13" t="str">
        <x:v>Проверить свободный остаток и установить цену для B2B</x:v>
      </x:c>
      <x:c r="AO1363" s="13" t="str">
        <x:v>Остаток 31; прогноз 90 дней 28.35; избыток 2 шт. Будущие поступления не выставляются на продажу.</x:v>
      </x:c>
      <x:c r="AP1363" s="13" t="str">
        <x:v>["daily_stockout_data_missing", "large_orders_detected", "new_order_lead_time_unknown", "transaction_month_mismatch"]</x:v>
      </x:c>
      <x:c r="AQ1363" s="10" t="str">
        <x:v>SE:300200555_</x:v>
      </x:c>
      <x:c r="AR1363" s="24" t="n">
        <x:v>1</x:v>
      </x:c>
      <x:c r="AS1363" s="24" t="n">
        <x:v>0</x:v>
      </x:c>
      <x:c r="AT1363" s="24" t="n">
        <x:v>0</x:v>
      </x:c>
    </x:row>
    <x:row r="1364" ht="64" customHeight="1">
      <x:c r="A1364" s="11" t="str">
        <x:v>Systeme Electric</x:v>
      </x:c>
      <x:c r="B1364" s="33" t="str">
        <x:v>300200556_</x:v>
      </x:c>
      <x:c r="C1364" s="33" t="str">
        <x:v>ATN000591</x:v>
      </x:c>
      <x:c r="D1364" s="12" t="str">
        <x:v>K037 ТV роз. оконечная с/у б/рамки "ATLAS" ШАМПАНЬ ATN591(10)</x:v>
      </x:c>
      <x:c r="E1364" s="11" t="str">
        <x:v>шт</x:v>
      </x:c>
      <x:c r="F1364" s="35" t="n">
        <x:f>MAX(0,ROUNDDOWN((AG1364-AF1364)/AR1364+0.000000001,0)*AR1364)</x:f>
        <x:v>26</x:v>
      </x:c>
      <x:c r="G1364" s="20" t="str">
        <x:f>IF(J1364="Рассчитано",V1364*(1-R1364/100)-W1364-P1364-Q1364,"н/д")</x:f>
        <x:v>н/д</x:v>
      </x:c>
      <x:c r="H1364" s="12" t="str">
        <x:v>Средний</x:v>
      </x:c>
      <x:c r="I1364" s="12" t="str">
        <x:v>Высокий</x:v>
      </x:c>
      <x:c r="J1364" s="12" t="str">
        <x:f>IF(L1364="","Укажите валюту",IF(NOT(ISNUMBER(K1364)),"Укажите объём",IF(K1364&lt;=0,"Укажите объём",IF(K1364&gt;F1364,"Объём выше излишка",IF(COUNT(M1364:O1364)&lt;3,"Нужны цены",IF(COUNT(P1364:R1364)&lt;3,"Нужны расходы",IF(OR(M1364&lt;0,N1364&lt;0,O1364&lt;0,O1364&gt;100,P1364&lt;0,Q1364&lt;0,R1364&lt;0,R1364&gt;100),"Проверьте значения","Рассчитано")))))))</x:f>
        <x:v>Нужны цены</x:v>
      </x:c>
      <x:c r="K1364" s="36" t="n">
        <x:v>26</x:v>
      </x:c>
      <x:c r="L1364" s="19" t="str">
        <x:v>KZT</x:v>
      </x:c>
      <x:c r="M1364" s="22"/>
      <x:c r="N1364" s="22"/>
      <x:c r="O1364" s="28"/>
      <x:c r="P1364" s="22"/>
      <x:c r="Q1364" s="22"/>
      <x:c r="R1364" s="28"/>
      <x:c r="S1364" s="22"/>
      <x:c r="T1364" s="35" t="n">
        <x:f>K1364</x:f>
        <x:v>26</x:v>
      </x:c>
      <x:c r="U1364" s="20" t="str">
        <x:f>IF(J1364="Рассчитано",N1364*(1-O1364/100),"н/д")</x:f>
        <x:v>н/д</x:v>
      </x:c>
      <x:c r="V1364" s="20" t="str">
        <x:f>IF(J1364="Рассчитано",T1364*U1364,"н/д")</x:f>
        <x:v>н/д</x:v>
      </x:c>
      <x:c r="W1364" s="20" t="str">
        <x:f>IF(J1364="Рассчитано",T1364*M1364,"н/д")</x:f>
        <x:v>н/д</x:v>
      </x:c>
      <x:c r="X1364" s="20" t="str">
        <x:f>IF(J1364="Рассчитано",V1364-W1364,"н/д")</x:f>
        <x:v>н/д</x:v>
      </x:c>
      <x:c r="Y1364" s="26" t="str">
        <x:f>IF(J1364="Рассчитано",IF(V1364&gt;0,G1364/V1364,"н/д"),"н/д")</x:f>
        <x:v>н/д</x:v>
      </x:c>
      <x:c r="Z1364" s="20" t="str">
        <x:f>"н/д"</x:f>
        <x:v>н/д</x:v>
      </x:c>
      <x:c r="AA1364" s="20" t="str">
        <x:f>"н/д"</x:f>
        <x:v>н/д</x:v>
      </x:c>
      <x:c r="AB1364" s="20" t="str">
        <x:f>"н/д"</x:f>
        <x:v>н/д</x:v>
      </x:c>
      <x:c r="AC1364" s="20" t="str">
        <x:f>IF(AND(J1364="Рассчитано",T1364&gt;0,R1364&lt;100),(W1364+P1364+Q1364)/(T1364*(1-R1364/100)),"н/д")</x:f>
        <x:v>н/д</x:v>
      </x:c>
      <x:c r="AD1364" s="11" t="str">
        <x:f>IF(ISNUMBER(G1364),IF(G1364&lt;0,"Убыток",IF(G1364=0,"Без прибыли","Прибыль &gt; 0")),"Не оценён")</x:f>
        <x:v>Не оценён</x:v>
      </x:c>
      <x:c r="AE1364" s="12" t="str">
        <x:f>IF(J1364="Рассчитано","Выручка "&amp;TEXT(V1364,"0.00")&amp;" - себестоимость "&amp;TEXT(W1364,"0.00")&amp;" - комиссия "&amp;TEXT(V1364*R1364/100,"0.00")&amp;" - доставка "&amp;TEXT(P1364,"0.00")&amp;" - прочие "&amp;TEXT(Q1364,"0.00")&amp;" = "&amp;TEXT(G1364,"0.00")&amp;" "&amp;L1364,"Введите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4" s="23" t="n">
        <x:v>13.879014591068405</x:v>
      </x:c>
      <x:c r="AG1364" s="35" t="n">
        <x:v>40</x:v>
      </x:c>
      <x:c r="AH1364" s="35" t="n">
        <x:v>0</x:v>
      </x:c>
      <x:c r="AI1364" s="29" t="n">
        <x:v>46287</x:v>
      </x:c>
      <x:c r="AJ1364" s="35" t="n">
        <x:v>10</x:v>
      </x:c>
      <x:c r="AK1364" s="11" t="str">
        <x:v>кратность</x:v>
      </x:c>
      <x:c r="AL1364" s="31" t="n">
        <x:v>245.73518160010155</x:v>
      </x:c>
      <x:c r="AM1364" s="12" t="str">
        <x:v>Нет ежедневных данных доступности. Запас более 180 дней при среднем спросе</x:v>
      </x:c>
      <x:c r="AN1364" s="12" t="str">
        <x:v>Проверить свободный остаток и установить цену для B2B</x:v>
      </x:c>
      <x:c r="AO1364" s="12" t="str">
        <x:v>Остаток 40; прогноз 90 дней 13.88; избыток 26 шт. Будущие поступления не выставляются на продажу.</x:v>
      </x:c>
      <x:c r="AP1364" s="12" t="str">
        <x:v>["daily_stockout_data_missing", "new_order_lead_time_unknown"]</x:v>
      </x:c>
      <x:c r="AQ1364" s="11" t="str">
        <x:v>SE:300200556_</x:v>
      </x:c>
      <x:c r="AR1364" s="23" t="n">
        <x:v>1</x:v>
      </x:c>
      <x:c r="AS1364" s="23" t="n">
        <x:v>0</x:v>
      </x:c>
      <x:c r="AT1364" s="23" t="n">
        <x:v>0</x:v>
      </x:c>
    </x:row>
    <x:row r="1365" ht="64" customHeight="1">
      <x:c r="A1365" s="10" t="str">
        <x:v>Systeme Electric</x:v>
      </x:c>
      <x:c r="B1365" s="34" t="str">
        <x:v>300200557_</x:v>
      </x:c>
      <x:c r="C1365" s="34" t="str">
        <x:v>ATN000581</x:v>
      </x:c>
      <x:c r="D1365" s="13" t="str">
        <x:v>K038 Телефонная роз. RJ11 механизм б/рамки "ATLAS" ШАМПАНЬ ATN581 (10)</x:v>
      </x:c>
      <x:c r="E1365" s="10" t="str">
        <x:v>шт</x:v>
      </x:c>
      <x:c r="F1365" s="37" t="n">
        <x:f>MAX(0,ROUNDDOWN((AG1365-AF1365)/AR1365+0.000000001,0)*AR1365)</x:f>
        <x:v>1</x:v>
      </x:c>
      <x:c r="G1365" s="21" t="str">
        <x:f>IF(J1365="Рассчитано",V1365*(1-R1365/100)-W1365-P1365-Q1365,"н/д")</x:f>
        <x:v>н/д</x:v>
      </x:c>
      <x:c r="H1365" s="13" t="str">
        <x:v>Средний</x:v>
      </x:c>
      <x:c r="I1365" s="13" t="str">
        <x:v>Высокий</x:v>
      </x:c>
      <x:c r="J1365" s="13" t="str">
        <x:f>IF(L1365="","Укажите валюту",IF(NOT(ISNUMBER(K1365)),"Укажите объём",IF(K1365&lt;=0,"Укажите объём",IF(K1365&gt;F1365,"Объём выше излишка",IF(COUNT(M1365:O1365)&lt;3,"Нужны цены",IF(COUNT(P1365:R1365)&lt;3,"Нужны расходы",IF(OR(M1365&lt;0,N1365&lt;0,O1365&lt;0,O1365&gt;100,P1365&lt;0,Q1365&lt;0,R1365&lt;0,R1365&gt;100),"Проверьте значения","Рассчитано")))))))</x:f>
        <x:v>Нужны цены</x:v>
      </x:c>
      <x:c r="K1365" s="36" t="n">
        <x:v>1</x:v>
      </x:c>
      <x:c r="L1365" s="19" t="str">
        <x:v>KZT</x:v>
      </x:c>
      <x:c r="M1365" s="22"/>
      <x:c r="N1365" s="22"/>
      <x:c r="O1365" s="28"/>
      <x:c r="P1365" s="22"/>
      <x:c r="Q1365" s="22"/>
      <x:c r="R1365" s="28"/>
      <x:c r="S1365" s="22"/>
      <x:c r="T1365" s="37" t="n">
        <x:f>K1365</x:f>
        <x:v>1</x:v>
      </x:c>
      <x:c r="U1365" s="21" t="str">
        <x:f>IF(J1365="Рассчитано",N1365*(1-O1365/100),"н/д")</x:f>
        <x:v>н/д</x:v>
      </x:c>
      <x:c r="V1365" s="21" t="str">
        <x:f>IF(J1365="Рассчитано",T1365*U1365,"н/д")</x:f>
        <x:v>н/д</x:v>
      </x:c>
      <x:c r="W1365" s="21" t="str">
        <x:f>IF(J1365="Рассчитано",T1365*M1365,"н/д")</x:f>
        <x:v>н/д</x:v>
      </x:c>
      <x:c r="X1365" s="21" t="str">
        <x:f>IF(J1365="Рассчитано",V1365-W1365,"н/д")</x:f>
        <x:v>н/д</x:v>
      </x:c>
      <x:c r="Y1365" s="27" t="str">
        <x:f>IF(J1365="Рассчитано",IF(V1365&gt;0,G1365/V1365,"н/д"),"н/д")</x:f>
        <x:v>н/д</x:v>
      </x:c>
      <x:c r="Z1365" s="21" t="str">
        <x:f>"н/д"</x:f>
        <x:v>н/д</x:v>
      </x:c>
      <x:c r="AA1365" s="21" t="str">
        <x:f>"н/д"</x:f>
        <x:v>н/д</x:v>
      </x:c>
      <x:c r="AB1365" s="21" t="str">
        <x:f>"н/д"</x:f>
        <x:v>н/д</x:v>
      </x:c>
      <x:c r="AC1365" s="21" t="str">
        <x:f>IF(AND(J1365="Рассчитано",T1365&gt;0,R1365&lt;100),(W1365+P1365+Q1365)/(T1365*(1-R1365/100)),"н/д")</x:f>
        <x:v>н/д</x:v>
      </x:c>
      <x:c r="AD1365" s="10" t="str">
        <x:f>IF(ISNUMBER(G1365),IF(G1365&lt;0,"Убыток",IF(G1365=0,"Без прибыли","Прибыль &gt; 0")),"Не оценён")</x:f>
        <x:v>Не оценён</x:v>
      </x:c>
      <x:c r="AE1365" s="13" t="str">
        <x:f>IF(J1365="Рассчитано","Выручка "&amp;TEXT(V1365,"0.00")&amp;" - себестоимость "&amp;TEXT(W1365,"0.00")&amp;" - комиссия "&amp;TEXT(V1365*R1365/100,"0.00")&amp;" - доставка "&amp;TEXT(P1365,"0.00")&amp;" - прочие "&amp;TEXT(Q1365,"0.00")&amp;" = "&amp;TEXT(G1365,"0.00")&amp;" "&amp;L1365,"Введите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5" s="24" t="n">
        <x:v>0.8659288418234853</x:v>
      </x:c>
      <x:c r="AG1365" s="37" t="n">
        <x:v>2</x:v>
      </x:c>
      <x:c r="AH1365" s="37" t="n">
        <x:v>0</x:v>
      </x:c>
      <x:c r="AI1365" s="30" t="n">
        <x:v>46287</x:v>
      </x:c>
      <x:c r="AJ1365" s="37" t="n">
        <x:v>10</x:v>
      </x:c>
      <x:c r="AK1365" s="10" t="str">
        <x:v>кратность</x:v>
      </x:c>
      <x:c r="AL1365" s="32" t="n">
        <x:v>196.93085656926763</x:v>
      </x:c>
      <x:c r="AM1365" s="13" t="str">
        <x:v>Нет ежедневных данных доступности. Запас более 180 дней при среднем спросе</x:v>
      </x:c>
      <x:c r="AN1365" s="13" t="str">
        <x:v>Проверить свободный остаток и установить цену для B2B</x:v>
      </x:c>
      <x:c r="AO1365" s="13" t="str">
        <x:v>Остаток 2; прогноз 90 дней 0.87; избыток 1 шт. Будущие поступления не выставляются на продажу.</x:v>
      </x:c>
      <x:c r="AP1365" s="13" t="str">
        <x:v>["daily_stockout_data_missing", "new_order_lead_time_unknown"]</x:v>
      </x:c>
      <x:c r="AQ1365" s="10" t="str">
        <x:v>SE:300200557_</x:v>
      </x:c>
      <x:c r="AR1365" s="24" t="n">
        <x:v>1</x:v>
      </x:c>
      <x:c r="AS1365" s="24" t="n">
        <x:v>0</x:v>
      </x:c>
      <x:c r="AT1365" s="24" t="n">
        <x:v>0</x:v>
      </x:c>
    </x:row>
    <x:row r="1366" ht="64" customHeight="1">
      <x:c r="A1366" s="11" t="str">
        <x:v>Systeme Electric</x:v>
      </x:c>
      <x:c r="B1366" s="33" t="str">
        <x:v>300200559_</x:v>
      </x:c>
      <x:c r="C1366" s="33" t="str">
        <x:v>ATN000502</x:v>
      </x:c>
      <x:c r="D1366" s="12" t="str">
        <x:v>K040 Рамка 2-ная "ATLAS" ШАМПАНЬ ATN502 (10)</x:v>
      </x:c>
      <x:c r="E1366" s="11" t="str">
        <x:v>шт</x:v>
      </x:c>
      <x:c r="F1366" s="35" t="n">
        <x:f>MAX(0,ROUNDDOWN((AG1366-AF1366)/AR1366+0.000000001,0)*AR1366)</x:f>
        <x:v>48</x:v>
      </x:c>
      <x:c r="G1366" s="20" t="str">
        <x:f>IF(J1366="Рассчитано",V1366*(1-R1366/100)-W1366-P1366-Q1366,"н/д")</x:f>
        <x:v>н/д</x:v>
      </x:c>
      <x:c r="H1366" s="12" t="str">
        <x:v>Средний</x:v>
      </x:c>
      <x:c r="I1366" s="12" t="str">
        <x:v>Средний</x:v>
      </x:c>
      <x:c r="J1366" s="12" t="str">
        <x:f>IF(L1366="","Укажите валюту",IF(NOT(ISNUMBER(K1366)),"Укажите объём",IF(K1366&lt;=0,"Укажите объём",IF(K1366&gt;F1366,"Объём выше излишка",IF(COUNT(M1366:O1366)&lt;3,"Нужны цены",IF(COUNT(P1366:R1366)&lt;3,"Нужны расходы",IF(OR(M1366&lt;0,N1366&lt;0,O1366&lt;0,O1366&gt;100,P1366&lt;0,Q1366&lt;0,R1366&lt;0,R1366&gt;100),"Проверьте значения","Рассчитано")))))))</x:f>
        <x:v>Нужны цены</x:v>
      </x:c>
      <x:c r="K1366" s="36" t="n">
        <x:v>48</x:v>
      </x:c>
      <x:c r="L1366" s="19" t="str">
        <x:v>KZT</x:v>
      </x:c>
      <x:c r="M1366" s="22"/>
      <x:c r="N1366" s="22"/>
      <x:c r="O1366" s="28"/>
      <x:c r="P1366" s="22"/>
      <x:c r="Q1366" s="22"/>
      <x:c r="R1366" s="28"/>
      <x:c r="S1366" s="22"/>
      <x:c r="T1366" s="35" t="n">
        <x:f>K1366</x:f>
        <x:v>48</x:v>
      </x:c>
      <x:c r="U1366" s="20" t="str">
        <x:f>IF(J1366="Рассчитано",N1366*(1-O1366/100),"н/д")</x:f>
        <x:v>н/д</x:v>
      </x:c>
      <x:c r="V1366" s="20" t="str">
        <x:f>IF(J1366="Рассчитано",T1366*U1366,"н/д")</x:f>
        <x:v>н/д</x:v>
      </x:c>
      <x:c r="W1366" s="20" t="str">
        <x:f>IF(J1366="Рассчитано",T1366*M1366,"н/д")</x:f>
        <x:v>н/д</x:v>
      </x:c>
      <x:c r="X1366" s="20" t="str">
        <x:f>IF(J1366="Рассчитано",V1366-W1366,"н/д")</x:f>
        <x:v>н/д</x:v>
      </x:c>
      <x:c r="Y1366" s="26" t="str">
        <x:f>IF(J1366="Рассчитано",IF(V1366&gt;0,G1366/V1366,"н/д"),"н/д")</x:f>
        <x:v>н/д</x:v>
      </x:c>
      <x:c r="Z1366" s="20" t="str">
        <x:f>"н/д"</x:f>
        <x:v>н/д</x:v>
      </x:c>
      <x:c r="AA1366" s="20" t="str">
        <x:f>"н/д"</x:f>
        <x:v>н/д</x:v>
      </x:c>
      <x:c r="AB1366" s="20" t="str">
        <x:f>"н/д"</x:f>
        <x:v>н/д</x:v>
      </x:c>
      <x:c r="AC1366" s="20" t="str">
        <x:f>IF(AND(J1366="Рассчитано",T1366&gt;0,R1366&lt;100),(W1366+P1366+Q1366)/(T1366*(1-R1366/100)),"н/д")</x:f>
        <x:v>н/д</x:v>
      </x:c>
      <x:c r="AD1366" s="11" t="str">
        <x:f>IF(ISNUMBER(G1366),IF(G1366&lt;0,"Убыток",IF(G1366=0,"Без прибыли","Прибыль &gt; 0")),"Не оценён")</x:f>
        <x:v>Не оценён</x:v>
      </x:c>
      <x:c r="AE1366" s="12" t="str">
        <x:f>IF(J1366="Рассчитано","Выручка "&amp;TEXT(V1366,"0.00")&amp;" - себестоимость "&amp;TEXT(W1366,"0.00")&amp;" - комиссия "&amp;TEXT(V1366*R1366/100,"0.00")&amp;" - доставка "&amp;TEXT(P1366,"0.00")&amp;" - прочие "&amp;TEXT(Q1366,"0.00")&amp;" = "&amp;TEXT(G1366,"0.00")&amp;" "&amp;L1366,"Введите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6" s="23" t="n">
        <x:v>562.3484569781017</x:v>
      </x:c>
      <x:c r="AG1366" s="35" t="n">
        <x:v>611</x:v>
      </x:c>
      <x:c r="AH1366" s="35" t="n">
        <x:v>0</x:v>
      </x:c>
      <x:c r="AI1366" s="29" t="n">
        <x:v>46287</x:v>
      </x:c>
      <x:c r="AJ1366" s="35" t="n">
        <x:v>10</x:v>
      </x:c>
      <x:c r="AK1366" s="11" t="str">
        <x:v>кратность</x:v>
      </x:c>
      <x:c r="AL1366" s="31" t="n">
        <x:v>92.6406688149663</x:v>
      </x:c>
      <x:c r="AM1366" s="12" t="str">
        <x:v>Детальные и месячные продажи расходятся; Нет ежедневных данных доступности. Запас выше прогноза на 90 дней</x:v>
      </x:c>
      <x:c r="AN1366" s="12" t="str">
        <x:v>Проверить свободный остаток и установить цену для B2B</x:v>
      </x:c>
      <x:c r="AO1366" s="12" t="str">
        <x:v>Остаток 611; прогноз 90 дней 562.35; избыток 48 шт. Будущие поступления не выставляются на продажу.</x:v>
      </x:c>
      <x:c r="AP1366" s="12" t="str">
        <x:v>["daily_stockout_data_missing", "large_orders_detected", "new_order_lead_time_unknown", "transaction_month_mismatch"]</x:v>
      </x:c>
      <x:c r="AQ1366" s="11" t="str">
        <x:v>SE:300200559_</x:v>
      </x:c>
      <x:c r="AR1366" s="23" t="n">
        <x:v>1</x:v>
      </x:c>
      <x:c r="AS1366" s="23" t="n">
        <x:v>0</x:v>
      </x:c>
      <x:c r="AT1366" s="23" t="n">
        <x:v>0</x:v>
      </x:c>
    </x:row>
    <x:row r="1367" ht="64" customHeight="1">
      <x:c r="A1367" s="10" t="str">
        <x:v>Systeme Electric</x:v>
      </x:c>
      <x:c r="B1367" s="34" t="str">
        <x:v>300200562_</x:v>
      </x:c>
      <x:c r="C1367" s="34" t="str">
        <x:v>ATN000505</x:v>
      </x:c>
      <x:c r="D1367" s="13" t="str">
        <x:v>K043 Рамка 5-ная "ATLAS" ШАМПАНЬ ATN505 (5)</x:v>
      </x:c>
      <x:c r="E1367" s="10" t="str">
        <x:v>шт</x:v>
      </x:c>
      <x:c r="F1367" s="37" t="n">
        <x:f>MAX(0,ROUNDDOWN((AG1367-AF1367)/AR1367+0.000000001,0)*AR1367)</x:f>
        <x:v>59</x:v>
      </x:c>
      <x:c r="G1367" s="21" t="str">
        <x:f>IF(J1367="Рассчитано",V1367*(1-R1367/100)-W1367-P1367-Q1367,"н/д")</x:f>
        <x:v>н/д</x:v>
      </x:c>
      <x:c r="H1367" s="13" t="str">
        <x:v>Средний</x:v>
      </x:c>
      <x:c r="I1367" s="13" t="str">
        <x:v>Высокий</x:v>
      </x:c>
      <x:c r="J1367" s="13" t="str">
        <x:f>IF(L1367="","Укажите валюту",IF(NOT(ISNUMBER(K1367)),"Укажите объём",IF(K1367&lt;=0,"Укажите объём",IF(K1367&gt;F1367,"Объём выше излишка",IF(COUNT(M1367:O1367)&lt;3,"Нужны цены",IF(COUNT(P1367:R1367)&lt;3,"Нужны расходы",IF(OR(M1367&lt;0,N1367&lt;0,O1367&lt;0,O1367&gt;100,P1367&lt;0,Q1367&lt;0,R1367&lt;0,R1367&gt;100),"Проверьте значения","Рассчитано")))))))</x:f>
        <x:v>Нужны цены</x:v>
      </x:c>
      <x:c r="K1367" s="36" t="n">
        <x:v>59</x:v>
      </x:c>
      <x:c r="L1367" s="19" t="str">
        <x:v>KZT</x:v>
      </x:c>
      <x:c r="M1367" s="22"/>
      <x:c r="N1367" s="22"/>
      <x:c r="O1367" s="28"/>
      <x:c r="P1367" s="22"/>
      <x:c r="Q1367" s="22"/>
      <x:c r="R1367" s="28"/>
      <x:c r="S1367" s="22"/>
      <x:c r="T1367" s="37" t="n">
        <x:f>K1367</x:f>
        <x:v>59</x:v>
      </x:c>
      <x:c r="U1367" s="21" t="str">
        <x:f>IF(J1367="Рассчитано",N1367*(1-O1367/100),"н/д")</x:f>
        <x:v>н/д</x:v>
      </x:c>
      <x:c r="V1367" s="21" t="str">
        <x:f>IF(J1367="Рассчитано",T1367*U1367,"н/д")</x:f>
        <x:v>н/д</x:v>
      </x:c>
      <x:c r="W1367" s="21" t="str">
        <x:f>IF(J1367="Рассчитано",T1367*M1367,"н/д")</x:f>
        <x:v>н/д</x:v>
      </x:c>
      <x:c r="X1367" s="21" t="str">
        <x:f>IF(J1367="Рассчитано",V1367-W1367,"н/д")</x:f>
        <x:v>н/д</x:v>
      </x:c>
      <x:c r="Y1367" s="27" t="str">
        <x:f>IF(J1367="Рассчитано",IF(V1367&gt;0,G1367/V1367,"н/д"),"н/д")</x:f>
        <x:v>н/д</x:v>
      </x:c>
      <x:c r="Z1367" s="21" t="str">
        <x:f>"н/д"</x:f>
        <x:v>н/д</x:v>
      </x:c>
      <x:c r="AA1367" s="21" t="str">
        <x:f>"н/д"</x:f>
        <x:v>н/д</x:v>
      </x:c>
      <x:c r="AB1367" s="21" t="str">
        <x:f>"н/д"</x:f>
        <x:v>н/д</x:v>
      </x:c>
      <x:c r="AC1367" s="21" t="str">
        <x:f>IF(AND(J1367="Рассчитано",T1367&gt;0,R1367&lt;100),(W1367+P1367+Q1367)/(T1367*(1-R1367/100)),"н/д")</x:f>
        <x:v>н/д</x:v>
      </x:c>
      <x:c r="AD1367" s="10" t="str">
        <x:f>IF(ISNUMBER(G1367),IF(G1367&lt;0,"Убыток",IF(G1367=0,"Без прибыли","Прибыль &gt; 0")),"Не оценён")</x:f>
        <x:v>Не оценён</x:v>
      </x:c>
      <x:c r="AE1367" s="13" t="str">
        <x:f>IF(J1367="Рассчитано","Выручка "&amp;TEXT(V1367,"0.00")&amp;" - себестоимость "&amp;TEXT(W1367,"0.00")&amp;" - комиссия "&amp;TEXT(V1367*R1367/100,"0.00")&amp;" - доставка "&amp;TEXT(P1367,"0.00")&amp;" - прочие "&amp;TEXT(Q1367,"0.00")&amp;" = "&amp;TEXT(G1367,"0.00")&amp;" "&amp;L1367,"Введите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7" s="24" t="n">
        <x:v>13.613245356569868</x:v>
      </x:c>
      <x:c r="AG1367" s="37" t="n">
        <x:v>73</x:v>
      </x:c>
      <x:c r="AH1367" s="37" t="n">
        <x:v>0</x:v>
      </x:c>
      <x:c r="AI1367" s="30" t="n">
        <x:v>46287</x:v>
      </x:c>
      <x:c r="AJ1367" s="37" t="n">
        <x:v>5</x:v>
      </x:c>
      <x:c r="AK1367" s="10" t="str">
        <x:v>кратность</x:v>
      </x:c>
      <x:c r="AL1367" s="32" t="n">
        <x:v>457.2220509498308</x:v>
      </x:c>
      <x:c r="AM1367" s="13" t="str">
        <x:v>Нет ежедневных данных доступности. Запас более 180 дней при среднем спросе</x:v>
      </x:c>
      <x:c r="AN1367" s="13" t="str">
        <x:v>Проверить свободный остаток и установить цену для B2B</x:v>
      </x:c>
      <x:c r="AO1367" s="13" t="str">
        <x:v>Остаток 73; прогноз 90 дней 13.61; избыток 59 шт. Будущие поступления не выставляются на продажу.</x:v>
      </x:c>
      <x:c r="AP1367" s="13" t="str">
        <x:v>["daily_stockout_data_missing", "large_orders_detected", "new_order_lead_time_unknown"]</x:v>
      </x:c>
      <x:c r="AQ1367" s="10" t="str">
        <x:v>SE:300200562_</x:v>
      </x:c>
      <x:c r="AR1367" s="24" t="n">
        <x:v>1</x:v>
      </x:c>
      <x:c r="AS1367" s="24" t="n">
        <x:v>0</x:v>
      </x:c>
      <x:c r="AT1367" s="24" t="n">
        <x:v>0</x:v>
      </x:c>
    </x:row>
    <x:row r="1368" ht="64" customHeight="1">
      <x:c r="A1368" s="11" t="str">
        <x:v>Systeme Electric</x:v>
      </x:c>
      <x:c r="B1368" s="33" t="str">
        <x:v>300200565_</x:v>
      </x:c>
      <x:c r="C1368" s="33" t="str">
        <x:v>ATN000712</x:v>
      </x:c>
      <x:c r="D1368" s="12" t="str">
        <x:v>K046 Выкл 1 кл 10А с/у "ATLAS" ГРИФЕЛЬ ATN712 (10)</x:v>
      </x:c>
      <x:c r="E1368" s="11" t="str">
        <x:v>шт</x:v>
      </x:c>
      <x:c r="F1368" s="35" t="n">
        <x:f>MAX(0,ROUNDDOWN((AG1368-AF1368)/AR1368+0.000000001,0)*AR1368)</x:f>
        <x:v>19</x:v>
      </x:c>
      <x:c r="G1368" s="20" t="str">
        <x:f>IF(J1368="Рассчитано",V1368*(1-R1368/100)-W1368-P1368-Q1368,"н/д")</x:f>
        <x:v>н/д</x:v>
      </x:c>
      <x:c r="H1368" s="12" t="str">
        <x:v>Средний</x:v>
      </x:c>
      <x:c r="I1368" s="12" t="str">
        <x:v>Средний</x:v>
      </x:c>
      <x:c r="J1368" s="12" t="str">
        <x:f>IF(L1368="","Укажите валюту",IF(NOT(ISNUMBER(K1368)),"Укажите объём",IF(K1368&lt;=0,"Укажите объём",IF(K1368&gt;F1368,"Объём выше излишка",IF(COUNT(M1368:O1368)&lt;3,"Нужны цены",IF(COUNT(P1368:R1368)&lt;3,"Нужны расходы",IF(OR(M1368&lt;0,N1368&lt;0,O1368&lt;0,O1368&gt;100,P1368&lt;0,Q1368&lt;0,R1368&lt;0,R1368&gt;100),"Проверьте значения","Рассчитано")))))))</x:f>
        <x:v>Нужны цены</x:v>
      </x:c>
      <x:c r="K1368" s="36" t="n">
        <x:v>19</x:v>
      </x:c>
      <x:c r="L1368" s="19" t="str">
        <x:v>KZT</x:v>
      </x:c>
      <x:c r="M1368" s="22"/>
      <x:c r="N1368" s="22"/>
      <x:c r="O1368" s="28"/>
      <x:c r="P1368" s="22"/>
      <x:c r="Q1368" s="22"/>
      <x:c r="R1368" s="28"/>
      <x:c r="S1368" s="22"/>
      <x:c r="T1368" s="35" t="n">
        <x:f>K1368</x:f>
        <x:v>19</x:v>
      </x:c>
      <x:c r="U1368" s="20" t="str">
        <x:f>IF(J1368="Рассчитано",N1368*(1-O1368/100),"н/д")</x:f>
        <x:v>н/д</x:v>
      </x:c>
      <x:c r="V1368" s="20" t="str">
        <x:f>IF(J1368="Рассчитано",T1368*U1368,"н/д")</x:f>
        <x:v>н/д</x:v>
      </x:c>
      <x:c r="W1368" s="20" t="str">
        <x:f>IF(J1368="Рассчитано",T1368*M1368,"н/д")</x:f>
        <x:v>н/д</x:v>
      </x:c>
      <x:c r="X1368" s="20" t="str">
        <x:f>IF(J1368="Рассчитано",V1368-W1368,"н/д")</x:f>
        <x:v>н/д</x:v>
      </x:c>
      <x:c r="Y1368" s="26" t="str">
        <x:f>IF(J1368="Рассчитано",IF(V1368&gt;0,G1368/V1368,"н/д"),"н/д")</x:f>
        <x:v>н/д</x:v>
      </x:c>
      <x:c r="Z1368" s="20" t="str">
        <x:f>"н/д"</x:f>
        <x:v>н/д</x:v>
      </x:c>
      <x:c r="AA1368" s="20" t="str">
        <x:f>"н/д"</x:f>
        <x:v>н/д</x:v>
      </x:c>
      <x:c r="AB1368" s="20" t="str">
        <x:f>"н/д"</x:f>
        <x:v>н/д</x:v>
      </x:c>
      <x:c r="AC1368" s="20" t="str">
        <x:f>IF(AND(J1368="Рассчитано",T1368&gt;0,R1368&lt;100),(W1368+P1368+Q1368)/(T1368*(1-R1368/100)),"н/д")</x:f>
        <x:v>н/д</x:v>
      </x:c>
      <x:c r="AD1368" s="11" t="str">
        <x:f>IF(ISNUMBER(G1368),IF(G1368&lt;0,"Убыток",IF(G1368=0,"Без прибыли","Прибыль &gt; 0")),"Не оценён")</x:f>
        <x:v>Не оценён</x:v>
      </x:c>
      <x:c r="AE1368" s="12" t="str">
        <x:f>IF(J1368="Рассчитано","Выручка "&amp;TEXT(V1368,"0.00")&amp;" - себестоимость "&amp;TEXT(W1368,"0.00")&amp;" - комиссия "&amp;TEXT(V1368*R1368/100,"0.00")&amp;" - доставка "&amp;TEXT(P1368,"0.00")&amp;" - прочие "&amp;TEXT(Q1368,"0.00")&amp;" = "&amp;TEXT(G1368,"0.00")&amp;" "&amp;L1368,"Введите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8" s="23" t="n">
        <x:v>30.15446305934777</x:v>
      </x:c>
      <x:c r="AG1368" s="35" t="n">
        <x:v>50</x:v>
      </x:c>
      <x:c r="AH1368" s="35" t="n">
        <x:v>0</x:v>
      </x:c>
      <x:c r="AI1368" s="29" t="n">
        <x:v>46287</x:v>
      </x:c>
      <x:c r="AJ1368" s="35" t="n">
        <x:v>10</x:v>
      </x:c>
      <x:c r="AK1368" s="11" t="str">
        <x:v>кратность</x:v>
      </x:c>
      <x:c r="AL1368" s="31" t="n">
        <x:v>141.378830235438</x:v>
      </x:c>
      <x:c r="AM1368" s="12" t="str">
        <x:v>Детальные и месячные продажи расходятся; Нет ежедневных данных доступности. Запас выше прогноза на 90 дней</x:v>
      </x:c>
      <x:c r="AN1368" s="12" t="str">
        <x:v>Проверить свободный остаток и установить цену для B2B</x:v>
      </x:c>
      <x:c r="AO1368" s="12" t="str">
        <x:v>Остаток 50; прогноз 90 дней 30.15; избыток 19 шт. Будущие поступления не выставляются на продажу.</x:v>
      </x:c>
      <x:c r="AP1368" s="12" t="str">
        <x:v>["daily_stockout_data_missing", "large_orders_detected", "negative_net_sales_clipped_for_forecast", "new_order_lead_time_unknown", "transaction_month_mismatch"]</x:v>
      </x:c>
      <x:c r="AQ1368" s="11" t="str">
        <x:v>SE:300200565_</x:v>
      </x:c>
      <x:c r="AR1368" s="23" t="n">
        <x:v>1</x:v>
      </x:c>
      <x:c r="AS1368" s="23" t="n">
        <x:v>0</x:v>
      </x:c>
      <x:c r="AT1368" s="23" t="n">
        <x:v>0</x:v>
      </x:c>
    </x:row>
    <x:row r="1369" ht="64" customHeight="1">
      <x:c r="A1369" s="10" t="str">
        <x:v>Systeme Electric</x:v>
      </x:c>
      <x:c r="B1369" s="34" t="str">
        <x:v>300200566_</x:v>
      </x:c>
      <x:c r="C1369" s="34" t="str">
        <x:v>ATN000713</x:v>
      </x:c>
      <x:c r="D1369" s="13" t="str">
        <x:v>K047 Выкл 1 кл с инд 10А с/у б/рамки "ATLAS" ГРИФЕЛЬ ATN713 (10)</x:v>
      </x:c>
      <x:c r="E1369" s="10" t="str">
        <x:v>шт</x:v>
      </x:c>
      <x:c r="F1369" s="37" t="n">
        <x:f>MAX(0,ROUNDDOWN((AG1369-AF1369)/AR1369+0.000000001,0)*AR1369)</x:f>
        <x:v>73</x:v>
      </x:c>
      <x:c r="G1369" s="21" t="str">
        <x:f>IF(J1369="Рассчитано",V1369*(1-R1369/100)-W1369-P1369-Q1369,"н/д")</x:f>
        <x:v>н/д</x:v>
      </x:c>
      <x:c r="H1369" s="13" t="str">
        <x:v>Средний</x:v>
      </x:c>
      <x:c r="I1369" s="13" t="str">
        <x:v>Высокий</x:v>
      </x:c>
      <x:c r="J1369" s="13" t="str">
        <x:f>IF(L1369="","Укажите валюту",IF(NOT(ISNUMBER(K1369)),"Укажите объём",IF(K1369&lt;=0,"Укажите объём",IF(K1369&gt;F1369,"Объём выше излишка",IF(COUNT(M1369:O1369)&lt;3,"Нужны цены",IF(COUNT(P1369:R1369)&lt;3,"Нужны расходы",IF(OR(M1369&lt;0,N1369&lt;0,O1369&lt;0,O1369&gt;100,P1369&lt;0,Q1369&lt;0,R1369&lt;0,R1369&gt;100),"Проверьте значения","Рассчитано")))))))</x:f>
        <x:v>Нужны цены</x:v>
      </x:c>
      <x:c r="K1369" s="36" t="n">
        <x:v>73</x:v>
      </x:c>
      <x:c r="L1369" s="19" t="str">
        <x:v>KZT</x:v>
      </x:c>
      <x:c r="M1369" s="22"/>
      <x:c r="N1369" s="22"/>
      <x:c r="O1369" s="28"/>
      <x:c r="P1369" s="22"/>
      <x:c r="Q1369" s="22"/>
      <x:c r="R1369" s="28"/>
      <x:c r="S1369" s="22"/>
      <x:c r="T1369" s="37" t="n">
        <x:f>K1369</x:f>
        <x:v>73</x:v>
      </x:c>
      <x:c r="U1369" s="21" t="str">
        <x:f>IF(J1369="Рассчитано",N1369*(1-O1369/100),"н/д")</x:f>
        <x:v>н/д</x:v>
      </x:c>
      <x:c r="V1369" s="21" t="str">
        <x:f>IF(J1369="Рассчитано",T1369*U1369,"н/д")</x:f>
        <x:v>н/д</x:v>
      </x:c>
      <x:c r="W1369" s="21" t="str">
        <x:f>IF(J1369="Рассчитано",T1369*M1369,"н/д")</x:f>
        <x:v>н/д</x:v>
      </x:c>
      <x:c r="X1369" s="21" t="str">
        <x:f>IF(J1369="Рассчитано",V1369-W1369,"н/д")</x:f>
        <x:v>н/д</x:v>
      </x:c>
      <x:c r="Y1369" s="27" t="str">
        <x:f>IF(J1369="Рассчитано",IF(V1369&gt;0,G1369/V1369,"н/д"),"н/д")</x:f>
        <x:v>н/д</x:v>
      </x:c>
      <x:c r="Z1369" s="21" t="str">
        <x:f>"н/д"</x:f>
        <x:v>н/д</x:v>
      </x:c>
      <x:c r="AA1369" s="21" t="str">
        <x:f>"н/д"</x:f>
        <x:v>н/д</x:v>
      </x:c>
      <x:c r="AB1369" s="21" t="str">
        <x:f>"н/д"</x:f>
        <x:v>н/д</x:v>
      </x:c>
      <x:c r="AC1369" s="21" t="str">
        <x:f>IF(AND(J1369="Рассчитано",T1369&gt;0,R1369&lt;100),(W1369+P1369+Q1369)/(T1369*(1-R1369/100)),"н/д")</x:f>
        <x:v>н/д</x:v>
      </x:c>
      <x:c r="AD1369" s="10" t="str">
        <x:f>IF(ISNUMBER(G1369),IF(G1369&lt;0,"Убыток",IF(G1369=0,"Без прибыли","Прибыль &gt; 0")),"Не оценён")</x:f>
        <x:v>Не оценён</x:v>
      </x:c>
      <x:c r="AE1369" s="13" t="str">
        <x:f>IF(J1369="Рассчитано","Выручка "&amp;TEXT(V1369,"0.00")&amp;" - себестоимость "&amp;TEXT(W1369,"0.00")&amp;" - комиссия "&amp;TEXT(V1369*R1369/100,"0.00")&amp;" - доставка "&amp;TEXT(P1369,"0.00")&amp;" - прочие "&amp;TEXT(Q1369,"0.00")&amp;" = "&amp;TEXT(G1369,"0.00")&amp;" "&amp;L1369,"Введите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9" s="24" t="n">
        <x:v>0</x:v>
      </x:c>
      <x:c r="AG1369" s="37" t="n">
        <x:v>73</x:v>
      </x:c>
      <x:c r="AH1369" s="37" t="n">
        <x:v>0</x:v>
      </x:c>
      <x:c r="AI1369" s="30" t="n">
        <x:v>46287</x:v>
      </x:c>
      <x:c r="AJ1369" s="37" t="n">
        <x:v>10</x:v>
      </x:c>
      <x:c r="AK1369" s="10" t="str">
        <x:v>кратность</x:v>
      </x:c>
      <x:c r="AL1369" s="32" t="str">
        <x:v>н/д</x:v>
      </x:c>
      <x:c r="AM1369" s="13" t="str">
        <x:v>Нет ежедневных данных доступности. Нет положительных чистых продаж за 12 месяцев</x:v>
      </x:c>
      <x:c r="AN1369" s="13" t="str">
        <x:v>Проверить свободный остаток и установить цену для B2B</x:v>
      </x:c>
      <x:c r="AO1369" s="13" t="str">
        <x:v>Остаток 73; прогноз 90 дней 0.00; избыток 73 шт. Будущие поступления не выставляются на продажу.</x:v>
      </x:c>
      <x:c r="AP1369" s="13" t="str">
        <x:v>["daily_stockout_data_missing", "negative_net_sales_clipped_for_forecast", "new_order_lead_time_unknown"]</x:v>
      </x:c>
      <x:c r="AQ1369" s="10" t="str">
        <x:v>SE:300200566_</x:v>
      </x:c>
      <x:c r="AR1369" s="24" t="n">
        <x:v>1</x:v>
      </x:c>
      <x:c r="AS1369" s="24" t="n">
        <x:v>0</x:v>
      </x:c>
      <x:c r="AT1369" s="24" t="n">
        <x:v>0</x:v>
      </x:c>
    </x:row>
    <x:row r="1370" ht="64" customHeight="1">
      <x:c r="A1370" s="11" t="str">
        <x:v>Systeme Electric</x:v>
      </x:c>
      <x:c r="B1370" s="33" t="str">
        <x:v>300200567_</x:v>
      </x:c>
      <x:c r="C1370" s="33" t="str">
        <x:v>ATN000752</x:v>
      </x:c>
      <x:c r="D1370" s="12" t="str">
        <x:v>K048 Выкл 2 кл 10А с/у "ATLAS" ГРИФЕЛЬ ATN752 (10)</x:v>
      </x:c>
      <x:c r="E1370" s="11" t="str">
        <x:v>шт</x:v>
      </x:c>
      <x:c r="F1370" s="35" t="n">
        <x:f>MAX(0,ROUNDDOWN((AG1370-AF1370)/AR1370+0.000000001,0)*AR1370)</x:f>
        <x:v>68</x:v>
      </x:c>
      <x:c r="G1370" s="20" t="str">
        <x:f>IF(J1370="Рассчитано",V1370*(1-R1370/100)-W1370-P1370-Q1370,"н/д")</x:f>
        <x:v>н/д</x:v>
      </x:c>
      <x:c r="H1370" s="12" t="str">
        <x:v>Средний</x:v>
      </x:c>
      <x:c r="I1370" s="12" t="str">
        <x:v>Высокий</x:v>
      </x:c>
      <x:c r="J1370" s="12" t="str">
        <x:f>IF(L1370="","Укажите валюту",IF(NOT(ISNUMBER(K1370)),"Укажите объём",IF(K1370&lt;=0,"Укажите объём",IF(K1370&gt;F1370,"Объём выше излишка",IF(COUNT(M1370:O1370)&lt;3,"Нужны цены",IF(COUNT(P1370:R1370)&lt;3,"Нужны расходы",IF(OR(M1370&lt;0,N1370&lt;0,O1370&lt;0,O1370&gt;100,P1370&lt;0,Q1370&lt;0,R1370&lt;0,R1370&gt;100),"Проверьте значения","Рассчитано")))))))</x:f>
        <x:v>Нужны цены</x:v>
      </x:c>
      <x:c r="K1370" s="36" t="n">
        <x:v>68</x:v>
      </x:c>
      <x:c r="L1370" s="19" t="str">
        <x:v>KZT</x:v>
      </x:c>
      <x:c r="M1370" s="22"/>
      <x:c r="N1370" s="22"/>
      <x:c r="O1370" s="28"/>
      <x:c r="P1370" s="22"/>
      <x:c r="Q1370" s="22"/>
      <x:c r="R1370" s="28"/>
      <x:c r="S1370" s="22"/>
      <x:c r="T1370" s="35" t="n">
        <x:f>K1370</x:f>
        <x:v>68</x:v>
      </x:c>
      <x:c r="U1370" s="20" t="str">
        <x:f>IF(J1370="Рассчитано",N1370*(1-O1370/100),"н/д")</x:f>
        <x:v>н/д</x:v>
      </x:c>
      <x:c r="V1370" s="20" t="str">
        <x:f>IF(J1370="Рассчитано",T1370*U1370,"н/д")</x:f>
        <x:v>н/д</x:v>
      </x:c>
      <x:c r="W1370" s="20" t="str">
        <x:f>IF(J1370="Рассчитано",T1370*M1370,"н/д")</x:f>
        <x:v>н/д</x:v>
      </x:c>
      <x:c r="X1370" s="20" t="str">
        <x:f>IF(J1370="Рассчитано",V1370-W1370,"н/д")</x:f>
        <x:v>н/д</x:v>
      </x:c>
      <x:c r="Y1370" s="26" t="str">
        <x:f>IF(J1370="Рассчитано",IF(V1370&gt;0,G1370/V1370,"н/д"),"н/д")</x:f>
        <x:v>н/д</x:v>
      </x:c>
      <x:c r="Z1370" s="20" t="str">
        <x:f>"н/д"</x:f>
        <x:v>н/д</x:v>
      </x:c>
      <x:c r="AA1370" s="20" t="str">
        <x:f>"н/д"</x:f>
        <x:v>н/д</x:v>
      </x:c>
      <x:c r="AB1370" s="20" t="str">
        <x:f>"н/д"</x:f>
        <x:v>н/д</x:v>
      </x:c>
      <x:c r="AC1370" s="20" t="str">
        <x:f>IF(AND(J1370="Рассчитано",T1370&gt;0,R1370&lt;100),(W1370+P1370+Q1370)/(T1370*(1-R1370/100)),"н/д")</x:f>
        <x:v>н/д</x:v>
      </x:c>
      <x:c r="AD1370" s="11" t="str">
        <x:f>IF(ISNUMBER(G1370),IF(G1370&lt;0,"Убыток",IF(G1370=0,"Без прибыли","Прибыль &gt; 0")),"Не оценён")</x:f>
        <x:v>Не оценён</x:v>
      </x:c>
      <x:c r="AE1370" s="12" t="str">
        <x:f>IF(J1370="Рассчитано","Выручка "&amp;TEXT(V1370,"0.00")&amp;" - себестоимость "&amp;TEXT(W1370,"0.00")&amp;" - комиссия "&amp;TEXT(V1370*R1370/100,"0.00")&amp;" - доставка "&amp;TEXT(P1370,"0.00")&amp;" - прочие "&amp;TEXT(Q1370,"0.00")&amp;" = "&amp;TEXT(G1370,"0.00")&amp;" "&amp;L1370,"Введите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0" s="23" t="n">
        <x:v>13.848361206232754</x:v>
      </x:c>
      <x:c r="AG1370" s="35" t="n">
        <x:v>82</x:v>
      </x:c>
      <x:c r="AH1370" s="35" t="n">
        <x:v>0</x:v>
      </x:c>
      <x:c r="AI1370" s="29" t="n">
        <x:v>46287</x:v>
      </x:c>
      <x:c r="AJ1370" s="35" t="n">
        <x:v>10</x:v>
      </x:c>
      <x:c r="AK1370" s="11" t="str">
        <x:v>кратность</x:v>
      </x:c>
      <x:c r="AL1370" s="31" t="n">
        <x:v>504.8721900274315</x:v>
      </x:c>
      <x:c r="AM1370" s="12" t="str">
        <x:v>Нет ежедневных данных доступности. Запас более 180 дней при среднем спросе</x:v>
      </x:c>
      <x:c r="AN1370" s="12" t="str">
        <x:v>Проверить свободный остаток и установить цену для B2B</x:v>
      </x:c>
      <x:c r="AO1370" s="12" t="str">
        <x:v>Остаток 82; прогноз 90 дней 13.85; избыток 68 шт. Будущие поступления не выставляются на продажу.</x:v>
      </x:c>
      <x:c r="AP1370" s="12" t="str">
        <x:v>["daily_stockout_data_missing", "new_order_lead_time_unknown"]</x:v>
      </x:c>
      <x:c r="AQ1370" s="11" t="str">
        <x:v>SE:300200567_</x:v>
      </x:c>
      <x:c r="AR1370" s="23" t="n">
        <x:v>1</x:v>
      </x:c>
      <x:c r="AS1370" s="23" t="n">
        <x:v>0</x:v>
      </x:c>
      <x:c r="AT1370" s="23" t="n">
        <x:v>0</x:v>
      </x:c>
    </x:row>
    <x:row r="1371" ht="64" customHeight="1">
      <x:c r="A1371" s="10" t="str">
        <x:v>Systeme Electric</x:v>
      </x:c>
      <x:c r="B1371" s="34" t="str">
        <x:v>300200568_</x:v>
      </x:c>
      <x:c r="C1371" s="34" t="str">
        <x:v>ATN000753</x:v>
      </x:c>
      <x:c r="D1371" s="13" t="str">
        <x:v>K049 Выкл 2 кл с инд 10А с/у б/рамки "ATLAS" ГРИФЕЛЬ ATN753 (10)</x:v>
      </x:c>
      <x:c r="E1371" s="10" t="str">
        <x:v>шт</x:v>
      </x:c>
      <x:c r="F1371" s="37" t="n">
        <x:f>MAX(0,ROUNDDOWN((AG1371-AF1371)/AR1371+0.000000001,0)*AR1371)</x:f>
        <x:v>63</x:v>
      </x:c>
      <x:c r="G1371" s="21" t="str">
        <x:f>IF(J1371="Рассчитано",V1371*(1-R1371/100)-W1371-P1371-Q1371,"н/д")</x:f>
        <x:v>н/д</x:v>
      </x:c>
      <x:c r="H1371" s="13" t="str">
        <x:v>Средний</x:v>
      </x:c>
      <x:c r="I1371" s="13" t="str">
        <x:v>Высокий</x:v>
      </x:c>
      <x:c r="J1371" s="13" t="str">
        <x:f>IF(L1371="","Укажите валюту",IF(NOT(ISNUMBER(K1371)),"Укажите объём",IF(K1371&lt;=0,"Укажите объём",IF(K1371&gt;F1371,"Объём выше излишка",IF(COUNT(M1371:O1371)&lt;3,"Нужны цены",IF(COUNT(P1371:R1371)&lt;3,"Нужны расходы",IF(OR(M1371&lt;0,N1371&lt;0,O1371&lt;0,O1371&gt;100,P1371&lt;0,Q1371&lt;0,R1371&lt;0,R1371&gt;100),"Проверьте значения","Рассчитано")))))))</x:f>
        <x:v>Нужны цены</x:v>
      </x:c>
      <x:c r="K1371" s="36" t="n">
        <x:v>63</x:v>
      </x:c>
      <x:c r="L1371" s="19" t="str">
        <x:v>KZT</x:v>
      </x:c>
      <x:c r="M1371" s="22"/>
      <x:c r="N1371" s="22"/>
      <x:c r="O1371" s="28"/>
      <x:c r="P1371" s="22"/>
      <x:c r="Q1371" s="22"/>
      <x:c r="R1371" s="28"/>
      <x:c r="S1371" s="22"/>
      <x:c r="T1371" s="37" t="n">
        <x:f>K1371</x:f>
        <x:v>63</x:v>
      </x:c>
      <x:c r="U1371" s="21" t="str">
        <x:f>IF(J1371="Рассчитано",N1371*(1-O1371/100),"н/д")</x:f>
        <x:v>н/д</x:v>
      </x:c>
      <x:c r="V1371" s="21" t="str">
        <x:f>IF(J1371="Рассчитано",T1371*U1371,"н/д")</x:f>
        <x:v>н/д</x:v>
      </x:c>
      <x:c r="W1371" s="21" t="str">
        <x:f>IF(J1371="Рассчитано",T1371*M1371,"н/д")</x:f>
        <x:v>н/д</x:v>
      </x:c>
      <x:c r="X1371" s="21" t="str">
        <x:f>IF(J1371="Рассчитано",V1371-W1371,"н/д")</x:f>
        <x:v>н/д</x:v>
      </x:c>
      <x:c r="Y1371" s="27" t="str">
        <x:f>IF(J1371="Рассчитано",IF(V1371&gt;0,G1371/V1371,"н/д"),"н/д")</x:f>
        <x:v>н/д</x:v>
      </x:c>
      <x:c r="Z1371" s="21" t="str">
        <x:f>"н/д"</x:f>
        <x:v>н/д</x:v>
      </x:c>
      <x:c r="AA1371" s="21" t="str">
        <x:f>"н/д"</x:f>
        <x:v>н/д</x:v>
      </x:c>
      <x:c r="AB1371" s="21" t="str">
        <x:f>"н/д"</x:f>
        <x:v>н/д</x:v>
      </x:c>
      <x:c r="AC1371" s="21" t="str">
        <x:f>IF(AND(J1371="Рассчитано",T1371&gt;0,R1371&lt;100),(W1371+P1371+Q1371)/(T1371*(1-R1371/100)),"н/д")</x:f>
        <x:v>н/д</x:v>
      </x:c>
      <x:c r="AD1371" s="10" t="str">
        <x:f>IF(ISNUMBER(G1371),IF(G1371&lt;0,"Убыток",IF(G1371=0,"Без прибыли","Прибыль &gt; 0")),"Не оценён")</x:f>
        <x:v>Не оценён</x:v>
      </x:c>
      <x:c r="AE1371" s="13" t="str">
        <x:f>IF(J1371="Рассчитано","Выручка "&amp;TEXT(V1371,"0.00")&amp;" - себестоимость "&amp;TEXT(W1371,"0.00")&amp;" - комиссия "&amp;TEXT(V1371*R1371/100,"0.00")&amp;" - доставка "&amp;TEXT(P1371,"0.00")&amp;" - прочие "&amp;TEXT(Q1371,"0.00")&amp;" = "&amp;TEXT(G1371,"0.00")&amp;" "&amp;L1371,"Введите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1" s="24" t="n">
        <x:v>0.11090802659309722</x:v>
      </x:c>
      <x:c r="AG1371" s="37" t="n">
        <x:v>64</x:v>
      </x:c>
      <x:c r="AH1371" s="37" t="n">
        <x:v>0</x:v>
      </x:c>
      <x:c r="AI1371" s="30" t="n">
        <x:v>46287</x:v>
      </x:c>
      <x:c r="AJ1371" s="37" t="n">
        <x:v>10</x:v>
      </x:c>
      <x:c r="AK1371" s="10" t="str">
        <x:v>кратность</x:v>
      </x:c>
      <x:c r="AL1371" s="32" t="n">
        <x:v>49202.02478732288</x:v>
      </x:c>
      <x:c r="AM1371" s="13" t="str">
        <x:v>Нет ежедневных данных доступности. Запас более 180 дней при среднем спросе</x:v>
      </x:c>
      <x:c r="AN1371" s="13" t="str">
        <x:v>Проверить свободный остаток и установить цену для B2B</x:v>
      </x:c>
      <x:c r="AO1371" s="13" t="str">
        <x:v>Остаток 64; прогноз 90 дней 0.11; избыток 63 шт. Будущие поступления не выставляются на продажу.</x:v>
      </x:c>
      <x:c r="AP1371" s="13" t="str">
        <x:v>["daily_stockout_data_missing", "negative_net_sales_clipped_for_forecast", "new_order_lead_time_unknown"]</x:v>
      </x:c>
      <x:c r="AQ1371" s="10" t="str">
        <x:v>SE:300200568_</x:v>
      </x:c>
      <x:c r="AR1371" s="24" t="n">
        <x:v>1</x:v>
      </x:c>
      <x:c r="AS1371" s="24" t="n">
        <x:v>0</x:v>
      </x:c>
      <x:c r="AT1371" s="24" t="n">
        <x:v>0</x:v>
      </x:c>
    </x:row>
    <x:row r="1372" ht="64" customHeight="1">
      <x:c r="A1372" s="11" t="str">
        <x:v>Systeme Electric</x:v>
      </x:c>
      <x:c r="B1372" s="33" t="str">
        <x:v>300200569_</x:v>
      </x:c>
      <x:c r="C1372" s="33" t="str">
        <x:v>ATN000731</x:v>
      </x:c>
      <x:c r="D1372" s="12" t="str">
        <x:v>K050 Выкл 3 кл 10А с/у б/рамки "ATLAS" ГРИФЕЛЬ ATN731 (10)</x:v>
      </x:c>
      <x:c r="E1372" s="11" t="str">
        <x:v>шт</x:v>
      </x:c>
      <x:c r="F1372" s="35" t="n">
        <x:f>MAX(0,ROUNDDOWN((AG1372-AF1372)/AR1372+0.000000001,0)*AR1372)</x:f>
        <x:v>37</x:v>
      </x:c>
      <x:c r="G1372" s="20" t="str">
        <x:f>IF(J1372="Рассчитано",V1372*(1-R1372/100)-W1372-P1372-Q1372,"н/д")</x:f>
        <x:v>н/д</x:v>
      </x:c>
      <x:c r="H1372" s="12" t="str">
        <x:v>Средний</x:v>
      </x:c>
      <x:c r="I1372" s="12" t="str">
        <x:v>Высокий</x:v>
      </x:c>
      <x:c r="J1372" s="12" t="str">
        <x:f>IF(L1372="","Укажите валюту",IF(NOT(ISNUMBER(K1372)),"Укажите объём",IF(K1372&lt;=0,"Укажите объём",IF(K1372&gt;F1372,"Объём выше излишка",IF(COUNT(M1372:O1372)&lt;3,"Нужны цены",IF(COUNT(P1372:R1372)&lt;3,"Нужны расходы",IF(OR(M1372&lt;0,N1372&lt;0,O1372&lt;0,O1372&gt;100,P1372&lt;0,Q1372&lt;0,R1372&lt;0,R1372&gt;100),"Проверьте значения","Рассчитано")))))))</x:f>
        <x:v>Нужны цены</x:v>
      </x:c>
      <x:c r="K1372" s="36" t="n">
        <x:v>37</x:v>
      </x:c>
      <x:c r="L1372" s="19" t="str">
        <x:v>KZT</x:v>
      </x:c>
      <x:c r="M1372" s="22"/>
      <x:c r="N1372" s="22"/>
      <x:c r="O1372" s="28"/>
      <x:c r="P1372" s="22"/>
      <x:c r="Q1372" s="22"/>
      <x:c r="R1372" s="28"/>
      <x:c r="S1372" s="22"/>
      <x:c r="T1372" s="35" t="n">
        <x:f>K1372</x:f>
        <x:v>37</x:v>
      </x:c>
      <x:c r="U1372" s="20" t="str">
        <x:f>IF(J1372="Рассчитано",N1372*(1-O1372/100),"н/д")</x:f>
        <x:v>н/д</x:v>
      </x:c>
      <x:c r="V1372" s="20" t="str">
        <x:f>IF(J1372="Рассчитано",T1372*U1372,"н/д")</x:f>
        <x:v>н/д</x:v>
      </x:c>
      <x:c r="W1372" s="20" t="str">
        <x:f>IF(J1372="Рассчитано",T1372*M1372,"н/д")</x:f>
        <x:v>н/д</x:v>
      </x:c>
      <x:c r="X1372" s="20" t="str">
        <x:f>IF(J1372="Рассчитано",V1372-W1372,"н/д")</x:f>
        <x:v>н/д</x:v>
      </x:c>
      <x:c r="Y1372" s="26" t="str">
        <x:f>IF(J1372="Рассчитано",IF(V1372&gt;0,G1372/V1372,"н/д"),"н/д")</x:f>
        <x:v>н/д</x:v>
      </x:c>
      <x:c r="Z1372" s="20" t="str">
        <x:f>"н/д"</x:f>
        <x:v>н/д</x:v>
      </x:c>
      <x:c r="AA1372" s="20" t="str">
        <x:f>"н/д"</x:f>
        <x:v>н/д</x:v>
      </x:c>
      <x:c r="AB1372" s="20" t="str">
        <x:f>"н/д"</x:f>
        <x:v>н/д</x:v>
      </x:c>
      <x:c r="AC1372" s="20" t="str">
        <x:f>IF(AND(J1372="Рассчитано",T1372&gt;0,R1372&lt;100),(W1372+P1372+Q1372)/(T1372*(1-R1372/100)),"н/д")</x:f>
        <x:v>н/д</x:v>
      </x:c>
      <x:c r="AD1372" s="11" t="str">
        <x:f>IF(ISNUMBER(G1372),IF(G1372&lt;0,"Убыток",IF(G1372=0,"Без прибыли","Прибыль &gt; 0")),"Не оценён")</x:f>
        <x:v>Не оценён</x:v>
      </x:c>
      <x:c r="AE1372" s="12" t="str">
        <x:f>IF(J1372="Рассчитано","Выручка "&amp;TEXT(V1372,"0.00")&amp;" - себестоимость "&amp;TEXT(W1372,"0.00")&amp;" - комиссия "&amp;TEXT(V1372*R1372/100,"0.00")&amp;" - доставка "&amp;TEXT(P1372,"0.00")&amp;" - прочие "&amp;TEXT(Q1372,"0.00")&amp;" = "&amp;TEXT(G1372,"0.00")&amp;" "&amp;L1372,"Введите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2" s="23" t="n">
        <x:v>2.7397637509137924</x:v>
      </x:c>
      <x:c r="AG1372" s="35" t="n">
        <x:v>40</x:v>
      </x:c>
      <x:c r="AH1372" s="35" t="n">
        <x:v>0</x:v>
      </x:c>
      <x:c r="AI1372" s="29" t="n">
        <x:v>46287</x:v>
      </x:c>
      <x:c r="AJ1372" s="35" t="n">
        <x:v>10</x:v>
      </x:c>
      <x:c r="AK1372" s="11" t="str">
        <x:v>кратность</x:v>
      </x:c>
      <x:c r="AL1372" s="31" t="n">
        <x:v>1244.838052123701</x:v>
      </x:c>
      <x:c r="AM1372" s="12" t="str">
        <x:v>Нет ежедневных данных доступности. Запас более 180 дней при среднем спросе</x:v>
      </x:c>
      <x:c r="AN1372" s="12" t="str">
        <x:v>Проверить свободный остаток и установить цену для B2B</x:v>
      </x:c>
      <x:c r="AO1372" s="12" t="str">
        <x:v>Остаток 40; прогноз 90 дней 2.74; избыток 37 шт. Будущие поступления не выставляются на продажу.</x:v>
      </x:c>
      <x:c r="AP1372" s="12" t="str">
        <x:v>["daily_stockout_data_missing", "negative_net_sales_clipped_for_forecast", "new_order_lead_time_unknown"]</x:v>
      </x:c>
      <x:c r="AQ1372" s="11" t="str">
        <x:v>SE:300200569_</x:v>
      </x:c>
      <x:c r="AR1372" s="23" t="n">
        <x:v>1</x:v>
      </x:c>
      <x:c r="AS1372" s="23" t="n">
        <x:v>0</x:v>
      </x:c>
      <x:c r="AT1372" s="23" t="n">
        <x:v>0</x:v>
      </x:c>
    </x:row>
    <x:row r="1373" ht="64" customHeight="1">
      <x:c r="A1373" s="10" t="str">
        <x:v>Systeme Electric</x:v>
      </x:c>
      <x:c r="B1373" s="34" t="str">
        <x:v>300200570_</x:v>
      </x:c>
      <x:c r="C1373" s="34" t="str">
        <x:v>ATN000783</x:v>
      </x:c>
      <x:c r="D1373" s="13" t="str">
        <x:v>K051 Комп. роз. RJ45 5Е механизм б/рамки "ATLAS" ГРИФЕЛЬ ATN783 (10)</x:v>
      </x:c>
      <x:c r="E1373" s="10" t="str">
        <x:v>шт</x:v>
      </x:c>
      <x:c r="F1373" s="37" t="n">
        <x:f>MAX(0,ROUNDDOWN((AG1373-AF1373)/AR1373+0.000000001,0)*AR1373)</x:f>
        <x:v>4</x:v>
      </x:c>
      <x:c r="G1373" s="21" t="str">
        <x:f>IF(J1373="Рассчитано",V1373*(1-R1373/100)-W1373-P1373-Q1373,"н/д")</x:f>
        <x:v>н/д</x:v>
      </x:c>
      <x:c r="H1373" s="13" t="str">
        <x:v>Средний</x:v>
      </x:c>
      <x:c r="I1373" s="13" t="str">
        <x:v>Средний</x:v>
      </x:c>
      <x:c r="J1373" s="13" t="str">
        <x:f>IF(L1373="","Укажите валюту",IF(NOT(ISNUMBER(K1373)),"Укажите объём",IF(K1373&lt;=0,"Укажите объём",IF(K1373&gt;F1373,"Объём выше излишка",IF(COUNT(M1373:O1373)&lt;3,"Нужны цены",IF(COUNT(P1373:R1373)&lt;3,"Нужны расходы",IF(OR(M1373&lt;0,N1373&lt;0,O1373&lt;0,O1373&gt;100,P1373&lt;0,Q1373&lt;0,R1373&lt;0,R1373&gt;100),"Проверьте значения","Рассчитано")))))))</x:f>
        <x:v>Нужны цены</x:v>
      </x:c>
      <x:c r="K1373" s="36" t="n">
        <x:v>4</x:v>
      </x:c>
      <x:c r="L1373" s="19" t="str">
        <x:v>KZT</x:v>
      </x:c>
      <x:c r="M1373" s="22"/>
      <x:c r="N1373" s="22"/>
      <x:c r="O1373" s="28"/>
      <x:c r="P1373" s="22"/>
      <x:c r="Q1373" s="22"/>
      <x:c r="R1373" s="28"/>
      <x:c r="S1373" s="22"/>
      <x:c r="T1373" s="37" t="n">
        <x:f>K1373</x:f>
        <x:v>4</x:v>
      </x:c>
      <x:c r="U1373" s="21" t="str">
        <x:f>IF(J1373="Рассчитано",N1373*(1-O1373/100),"н/д")</x:f>
        <x:v>н/д</x:v>
      </x:c>
      <x:c r="V1373" s="21" t="str">
        <x:f>IF(J1373="Рассчитано",T1373*U1373,"н/д")</x:f>
        <x:v>н/д</x:v>
      </x:c>
      <x:c r="W1373" s="21" t="str">
        <x:f>IF(J1373="Рассчитано",T1373*M1373,"н/д")</x:f>
        <x:v>н/д</x:v>
      </x:c>
      <x:c r="X1373" s="21" t="str">
        <x:f>IF(J1373="Рассчитано",V1373-W1373,"н/д")</x:f>
        <x:v>н/д</x:v>
      </x:c>
      <x:c r="Y1373" s="27" t="str">
        <x:f>IF(J1373="Рассчитано",IF(V1373&gt;0,G1373/V1373,"н/д"),"н/д")</x:f>
        <x:v>н/д</x:v>
      </x:c>
      <x:c r="Z1373" s="21" t="str">
        <x:f>"н/д"</x:f>
        <x:v>н/д</x:v>
      </x:c>
      <x:c r="AA1373" s="21" t="str">
        <x:f>"н/д"</x:f>
        <x:v>н/д</x:v>
      </x:c>
      <x:c r="AB1373" s="21" t="str">
        <x:f>"н/д"</x:f>
        <x:v>н/д</x:v>
      </x:c>
      <x:c r="AC1373" s="21" t="str">
        <x:f>IF(AND(J1373="Рассчитано",T1373&gt;0,R1373&lt;100),(W1373+P1373+Q1373)/(T1373*(1-R1373/100)),"н/д")</x:f>
        <x:v>н/д</x:v>
      </x:c>
      <x:c r="AD1373" s="10" t="str">
        <x:f>IF(ISNUMBER(G1373),IF(G1373&lt;0,"Убыток",IF(G1373=0,"Без прибыли","Прибыль &gt; 0")),"Не оценён")</x:f>
        <x:v>Не оценён</x:v>
      </x:c>
      <x:c r="AE1373" s="13" t="str">
        <x:f>IF(J1373="Рассчитано","Выручка "&amp;TEXT(V1373,"0.00")&amp;" - себестоимость "&amp;TEXT(W1373,"0.00")&amp;" - комиссия "&amp;TEXT(V1373*R1373/100,"0.00")&amp;" - доставка "&amp;TEXT(P1373,"0.00")&amp;" - прочие "&amp;TEXT(Q1373,"0.00")&amp;" = "&amp;TEXT(G1373,"0.00")&amp;" "&amp;L1373,"Введите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3" s="24" t="n">
        <x:v>5.862641023496143</x:v>
      </x:c>
      <x:c r="AG1373" s="37" t="n">
        <x:v>10</x:v>
      </x:c>
      <x:c r="AH1373" s="37" t="n">
        <x:v>0</x:v>
      </x:c>
      <x:c r="AI1373" s="30" t="n">
        <x:v>46287</x:v>
      </x:c>
      <x:c r="AJ1373" s="37" t="n">
        <x:v>5</x:v>
      </x:c>
      <x:c r="AK1373" s="10" t="str">
        <x:v>кратность</x:v>
      </x:c>
      <x:c r="AL1373" s="32" t="n">
        <x:v>145.43625293182265</x:v>
      </x:c>
      <x:c r="AM1373" s="13" t="str">
        <x:v>Нет ежедневных данных доступности. Запас выше прогноза на 90 дней</x:v>
      </x:c>
      <x:c r="AN1373" s="13" t="str">
        <x:v>Проверить свободный остаток и установить цену для B2B</x:v>
      </x:c>
      <x:c r="AO1373" s="13" t="str">
        <x:v>Остаток 10; прогноз 90 дней 5.86; избыток 4 шт. Будущие поступления не выставляются на продажу.</x:v>
      </x:c>
      <x:c r="AP1373" s="13" t="str">
        <x:v>["daily_stockout_data_missing", "negative_net_sales_clipped_for_forecast", "new_order_lead_time_unknown"]</x:v>
      </x:c>
      <x:c r="AQ1373" s="10" t="str">
        <x:v>SE:300200570_</x:v>
      </x:c>
      <x:c r="AR1373" s="24" t="n">
        <x:v>1</x:v>
      </x:c>
      <x:c r="AS1373" s="24" t="n">
        <x:v>0</x:v>
      </x:c>
      <x:c r="AT1373" s="24" t="n">
        <x:v>0</x:v>
      </x:c>
    </x:row>
    <x:row r="1374" ht="64" customHeight="1">
      <x:c r="A1374" s="11" t="str">
        <x:v>Systeme Electric</x:v>
      </x:c>
      <x:c r="B1374" s="33" t="str">
        <x:v>300200571_</x:v>
      </x:c>
      <x:c r="C1374" s="33" t="str">
        <x:v>ATN000761</x:v>
      </x:c>
      <x:c r="D1374" s="12" t="str">
        <x:v>K052 Переключ. 1 кл 10А с/у б/рамки "ATLAS" ГРИФЕЛЬ ATN761 (10)</x:v>
      </x:c>
      <x:c r="E1374" s="11" t="str">
        <x:v>шт</x:v>
      </x:c>
      <x:c r="F1374" s="35" t="n">
        <x:f>MAX(0,ROUNDDOWN((AG1374-AF1374)/AR1374+0.000000001,0)*AR1374)</x:f>
        <x:v>7</x:v>
      </x:c>
      <x:c r="G1374" s="20" t="str">
        <x:f>IF(J1374="Рассчитано",V1374*(1-R1374/100)-W1374-P1374-Q1374,"н/д")</x:f>
        <x:v>н/д</x:v>
      </x:c>
      <x:c r="H1374" s="12" t="str">
        <x:v>Средний</x:v>
      </x:c>
      <x:c r="I1374" s="12" t="str">
        <x:v>Средний</x:v>
      </x:c>
      <x:c r="J1374" s="12" t="str">
        <x:f>IF(L1374="","Укажите валюту",IF(NOT(ISNUMBER(K1374)),"Укажите объём",IF(K1374&lt;=0,"Укажите объём",IF(K1374&gt;F1374,"Объём выше излишка",IF(COUNT(M1374:O1374)&lt;3,"Нужны цены",IF(COUNT(P1374:R1374)&lt;3,"Нужны расходы",IF(OR(M1374&lt;0,N1374&lt;0,O1374&lt;0,O1374&gt;100,P1374&lt;0,Q1374&lt;0,R1374&lt;0,R1374&gt;100),"Проверьте значения","Рассчитано")))))))</x:f>
        <x:v>Нужны цены</x:v>
      </x:c>
      <x:c r="K1374" s="36" t="n">
        <x:v>7</x:v>
      </x:c>
      <x:c r="L1374" s="19" t="str">
        <x:v>KZT</x:v>
      </x:c>
      <x:c r="M1374" s="22"/>
      <x:c r="N1374" s="22"/>
      <x:c r="O1374" s="28"/>
      <x:c r="P1374" s="22"/>
      <x:c r="Q1374" s="22"/>
      <x:c r="R1374" s="28"/>
      <x:c r="S1374" s="22"/>
      <x:c r="T1374" s="35" t="n">
        <x:f>K1374</x:f>
        <x:v>7</x:v>
      </x:c>
      <x:c r="U1374" s="20" t="str">
        <x:f>IF(J1374="Рассчитано",N1374*(1-O1374/100),"н/д")</x:f>
        <x:v>н/д</x:v>
      </x:c>
      <x:c r="V1374" s="20" t="str">
        <x:f>IF(J1374="Рассчитано",T1374*U1374,"н/д")</x:f>
        <x:v>н/д</x:v>
      </x:c>
      <x:c r="W1374" s="20" t="str">
        <x:f>IF(J1374="Рассчитано",T1374*M1374,"н/д")</x:f>
        <x:v>н/д</x:v>
      </x:c>
      <x:c r="X1374" s="20" t="str">
        <x:f>IF(J1374="Рассчитано",V1374-W1374,"н/д")</x:f>
        <x:v>н/д</x:v>
      </x:c>
      <x:c r="Y1374" s="26" t="str">
        <x:f>IF(J1374="Рассчитано",IF(V1374&gt;0,G1374/V1374,"н/д"),"н/д")</x:f>
        <x:v>н/д</x:v>
      </x:c>
      <x:c r="Z1374" s="20" t="str">
        <x:f>"н/д"</x:f>
        <x:v>н/д</x:v>
      </x:c>
      <x:c r="AA1374" s="20" t="str">
        <x:f>"н/д"</x:f>
        <x:v>н/д</x:v>
      </x:c>
      <x:c r="AB1374" s="20" t="str">
        <x:f>"н/д"</x:f>
        <x:v>н/д</x:v>
      </x:c>
      <x:c r="AC1374" s="20" t="str">
        <x:f>IF(AND(J1374="Рассчитано",T1374&gt;0,R1374&lt;100),(W1374+P1374+Q1374)/(T1374*(1-R1374/100)),"н/д")</x:f>
        <x:v>н/д</x:v>
      </x:c>
      <x:c r="AD1374" s="11" t="str">
        <x:f>IF(ISNUMBER(G1374),IF(G1374&lt;0,"Убыток",IF(G1374=0,"Без прибыли","Прибыль &gt; 0")),"Не оценён")</x:f>
        <x:v>Не оценён</x:v>
      </x:c>
      <x:c r="AE1374" s="12" t="str">
        <x:f>IF(J1374="Рассчитано","Выручка "&amp;TEXT(V1374,"0.00")&amp;" - себестоимость "&amp;TEXT(W1374,"0.00")&amp;" - комиссия "&amp;TEXT(V1374*R1374/100,"0.00")&amp;" - доставка "&amp;TEXT(P1374,"0.00")&amp;" - прочие "&amp;TEXT(Q1374,"0.00")&amp;" = "&amp;TEXT(G1374,"0.00")&amp;" "&amp;L1374,"Введите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4" s="23" t="n">
        <x:v>8.549214184314724</x:v>
      </x:c>
      <x:c r="AG1374" s="35" t="n">
        <x:v>16</x:v>
      </x:c>
      <x:c r="AH1374" s="35" t="n">
        <x:v>0</x:v>
      </x:c>
      <x:c r="AI1374" s="29" t="n">
        <x:v>46287</x:v>
      </x:c>
      <x:c r="AJ1374" s="35" t="n">
        <x:v>10</x:v>
      </x:c>
      <x:c r="AK1374" s="11" t="str">
        <x:v>кратность</x:v>
      </x:c>
      <x:c r="AL1374" s="31" t="n">
        <x:v>159.573130228695</x:v>
      </x:c>
      <x:c r="AM1374" s="12" t="str">
        <x:v>Детальные и месячные продажи расходятся; Нет ежедневных данных доступности. Запас выше прогноза на 90 дней</x:v>
      </x:c>
      <x:c r="AN1374" s="12" t="str">
        <x:v>Проверить свободный остаток и установить цену для B2B</x:v>
      </x:c>
      <x:c r="AO1374" s="12" t="str">
        <x:v>Остаток 16; прогноз 90 дней 8.55; избыток 7 шт. Будущие поступления не выставляются на продажу.</x:v>
      </x:c>
      <x:c r="AP1374" s="12" t="str">
        <x:v>["daily_stockout_data_missing", "large_orders_detected", "negative_net_sales_clipped_for_forecast", "new_order_lead_time_unknown", "transaction_month_mismatch"]</x:v>
      </x:c>
      <x:c r="AQ1374" s="11" t="str">
        <x:v>SE:300200571_</x:v>
      </x:c>
      <x:c r="AR1374" s="23" t="n">
        <x:v>1</x:v>
      </x:c>
      <x:c r="AS1374" s="23" t="n">
        <x:v>0</x:v>
      </x:c>
      <x:c r="AT1374" s="23" t="n">
        <x:v>0</x:v>
      </x:c>
    </x:row>
    <x:row r="1375" ht="64" customHeight="1">
      <x:c r="A1375" s="10" t="str">
        <x:v>Systeme Electric</x:v>
      </x:c>
      <x:c r="B1375" s="34" t="str">
        <x:v>300200572_</x:v>
      </x:c>
      <x:c r="C1375" s="34" t="str">
        <x:v>ATN000763</x:v>
      </x:c>
      <x:c r="D1375" s="13" t="str">
        <x:v>K053 Переключ. 1 кл с инд 10А с/у б/рамки  "ATLAS" ГРИФЕЛЬ ATN763  (10)</x:v>
      </x:c>
      <x:c r="E1375" s="10" t="str">
        <x:v>шт</x:v>
      </x:c>
      <x:c r="F1375" s="37" t="n">
        <x:f>MAX(0,ROUNDDOWN((AG1375-AF1375)/AR1375+0.000000001,0)*AR1375)</x:f>
        <x:v>5</x:v>
      </x:c>
      <x:c r="G1375" s="21" t="str">
        <x:f>IF(J1375="Рассчитано",V1375*(1-R1375/100)-W1375-P1375-Q1375,"н/д")</x:f>
        <x:v>н/д</x:v>
      </x:c>
      <x:c r="H1375" s="13" t="str">
        <x:v>Средний</x:v>
      </x:c>
      <x:c r="I1375" s="13" t="str">
        <x:v>Высокий</x:v>
      </x:c>
      <x:c r="J1375" s="13" t="str">
        <x:f>IF(L1375="","Укажите валюту",IF(NOT(ISNUMBER(K1375)),"Укажите объём",IF(K1375&lt;=0,"Укажите объём",IF(K1375&gt;F1375,"Объём выше излишка",IF(COUNT(M1375:O1375)&lt;3,"Нужны цены",IF(COUNT(P1375:R1375)&lt;3,"Нужны расходы",IF(OR(M1375&lt;0,N1375&lt;0,O1375&lt;0,O1375&gt;100,P1375&lt;0,Q1375&lt;0,R1375&lt;0,R1375&gt;100),"Проверьте значения","Рассчитано")))))))</x:f>
        <x:v>Нужны цены</x:v>
      </x:c>
      <x:c r="K1375" s="36" t="n">
        <x:v>5</x:v>
      </x:c>
      <x:c r="L1375" s="19" t="str">
        <x:v>KZT</x:v>
      </x:c>
      <x:c r="M1375" s="22"/>
      <x:c r="N1375" s="22"/>
      <x:c r="O1375" s="28"/>
      <x:c r="P1375" s="22"/>
      <x:c r="Q1375" s="22"/>
      <x:c r="R1375" s="28"/>
      <x:c r="S1375" s="22"/>
      <x:c r="T1375" s="37" t="n">
        <x:f>K1375</x:f>
        <x:v>5</x:v>
      </x:c>
      <x:c r="U1375" s="21" t="str">
        <x:f>IF(J1375="Рассчитано",N1375*(1-O1375/100),"н/д")</x:f>
        <x:v>н/д</x:v>
      </x:c>
      <x:c r="V1375" s="21" t="str">
        <x:f>IF(J1375="Рассчитано",T1375*U1375,"н/д")</x:f>
        <x:v>н/д</x:v>
      </x:c>
      <x:c r="W1375" s="21" t="str">
        <x:f>IF(J1375="Рассчитано",T1375*M1375,"н/д")</x:f>
        <x:v>н/д</x:v>
      </x:c>
      <x:c r="X1375" s="21" t="str">
        <x:f>IF(J1375="Рассчитано",V1375-W1375,"н/д")</x:f>
        <x:v>н/д</x:v>
      </x:c>
      <x:c r="Y1375" s="27" t="str">
        <x:f>IF(J1375="Рассчитано",IF(V1375&gt;0,G1375/V1375,"н/д"),"н/д")</x:f>
        <x:v>н/д</x:v>
      </x:c>
      <x:c r="Z1375" s="21" t="str">
        <x:f>"н/д"</x:f>
        <x:v>н/д</x:v>
      </x:c>
      <x:c r="AA1375" s="21" t="str">
        <x:f>"н/д"</x:f>
        <x:v>н/д</x:v>
      </x:c>
      <x:c r="AB1375" s="21" t="str">
        <x:f>"н/д"</x:f>
        <x:v>н/д</x:v>
      </x:c>
      <x:c r="AC1375" s="21" t="str">
        <x:f>IF(AND(J1375="Рассчитано",T1375&gt;0,R1375&lt;100),(W1375+P1375+Q1375)/(T1375*(1-R1375/100)),"н/д")</x:f>
        <x:v>н/д</x:v>
      </x:c>
      <x:c r="AD1375" s="10" t="str">
        <x:f>IF(ISNUMBER(G1375),IF(G1375&lt;0,"Убыток",IF(G1375=0,"Без прибыли","Прибыль &gt; 0")),"Не оценён")</x:f>
        <x:v>Не оценён</x:v>
      </x:c>
      <x:c r="AE1375" s="13" t="str">
        <x:f>IF(J1375="Рассчитано","Выручка "&amp;TEXT(V1375,"0.00")&amp;" - себестоимость "&amp;TEXT(W1375,"0.00")&amp;" - комиссия "&amp;TEXT(V1375*R1375/100,"0.00")&amp;" - доставка "&amp;TEXT(P1375,"0.00")&amp;" - прочие "&amp;TEXT(Q1375,"0.00")&amp;" = "&amp;TEXT(G1375,"0.00")&amp;" "&amp;L1375,"Введите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5" s="24" t="n">
        <x:v>0.7080272606699277</x:v>
      </x:c>
      <x:c r="AG1375" s="37" t="n">
        <x:v>6</x:v>
      </x:c>
      <x:c r="AH1375" s="37" t="n">
        <x:v>0</x:v>
      </x:c>
      <x:c r="AI1375" s="30" t="n">
        <x:v>46287</x:v>
      </x:c>
      <x:c r="AJ1375" s="37" t="n">
        <x:v>5</x:v>
      </x:c>
      <x:c r="AK1375" s="10" t="str">
        <x:v>кратность</x:v>
      </x:c>
      <x:c r="AL1375" s="32" t="n">
        <x:v>722.5489102791649</x:v>
      </x:c>
      <x:c r="AM1375" s="13" t="str">
        <x:v>Нет ежедневных данных доступности. Запас более 180 дней при среднем спросе</x:v>
      </x:c>
      <x:c r="AN1375" s="13" t="str">
        <x:v>Проверить свободный остаток и установить цену для B2B</x:v>
      </x:c>
      <x:c r="AO1375" s="13" t="str">
        <x:v>Остаток 6; прогноз 90 дней 0.71; избыток 5 шт. Будущие поступления не выставляются на продажу.</x:v>
      </x:c>
      <x:c r="AP1375" s="13" t="str">
        <x:v>["daily_stockout_data_missing", "new_order_lead_time_unknown"]</x:v>
      </x:c>
      <x:c r="AQ1375" s="10" t="str">
        <x:v>SE:300200572_</x:v>
      </x:c>
      <x:c r="AR1375" s="24" t="n">
        <x:v>1</x:v>
      </x:c>
      <x:c r="AS1375" s="24" t="n">
        <x:v>0</x:v>
      </x:c>
      <x:c r="AT1375" s="24" t="n">
        <x:v>0</x:v>
      </x:c>
    </x:row>
    <x:row r="1376" ht="64" customHeight="1">
      <x:c r="A1376" s="11" t="str">
        <x:v>Systeme Electric</x:v>
      </x:c>
      <x:c r="B1376" s="33" t="str">
        <x:v>300200573_</x:v>
      </x:c>
      <x:c r="C1376" s="33" t="str">
        <x:v>ATN000771</x:v>
      </x:c>
      <x:c r="D1376" s="12" t="str">
        <x:v>K054 Перекрест.переключ. 1 кл 10А с/у б/рамки "ATLAS" ГРИФЕЛЬ ATN771 (5)</x:v>
      </x:c>
      <x:c r="E1376" s="11" t="str">
        <x:v>шт</x:v>
      </x:c>
      <x:c r="F1376" s="35" t="n">
        <x:f>MAX(0,ROUNDDOWN((AG1376-AF1376)/AR1376+0.000000001,0)*AR1376)</x:f>
        <x:v>49</x:v>
      </x:c>
      <x:c r="G1376" s="20" t="str">
        <x:f>IF(J1376="Рассчитано",V1376*(1-R1376/100)-W1376-P1376-Q1376,"н/д")</x:f>
        <x:v>н/д</x:v>
      </x:c>
      <x:c r="H1376" s="12" t="str">
        <x:v>Средний</x:v>
      </x:c>
      <x:c r="I1376" s="12" t="str">
        <x:v>Высокий</x:v>
      </x:c>
      <x:c r="J1376" s="12" t="str">
        <x:f>IF(L1376="","Укажите валюту",IF(NOT(ISNUMBER(K1376)),"Укажите объём",IF(K1376&lt;=0,"Укажите объём",IF(K1376&gt;F1376,"Объём выше излишка",IF(COUNT(M1376:O1376)&lt;3,"Нужны цены",IF(COUNT(P1376:R1376)&lt;3,"Нужны расходы",IF(OR(M1376&lt;0,N1376&lt;0,O1376&lt;0,O1376&gt;100,P1376&lt;0,Q1376&lt;0,R1376&lt;0,R1376&gt;100),"Проверьте значения","Рассчитано")))))))</x:f>
        <x:v>Нужны цены</x:v>
      </x:c>
      <x:c r="K1376" s="36" t="n">
        <x:v>49</x:v>
      </x:c>
      <x:c r="L1376" s="19" t="str">
        <x:v>KZT</x:v>
      </x:c>
      <x:c r="M1376" s="22"/>
      <x:c r="N1376" s="22"/>
      <x:c r="O1376" s="28"/>
      <x:c r="P1376" s="22"/>
      <x:c r="Q1376" s="22"/>
      <x:c r="R1376" s="28"/>
      <x:c r="S1376" s="22"/>
      <x:c r="T1376" s="35" t="n">
        <x:f>K1376</x:f>
        <x:v>49</x:v>
      </x:c>
      <x:c r="U1376" s="20" t="str">
        <x:f>IF(J1376="Рассчитано",N1376*(1-O1376/100),"н/д")</x:f>
        <x:v>н/д</x:v>
      </x:c>
      <x:c r="V1376" s="20" t="str">
        <x:f>IF(J1376="Рассчитано",T1376*U1376,"н/д")</x:f>
        <x:v>н/д</x:v>
      </x:c>
      <x:c r="W1376" s="20" t="str">
        <x:f>IF(J1376="Рассчитано",T1376*M1376,"н/д")</x:f>
        <x:v>н/д</x:v>
      </x:c>
      <x:c r="X1376" s="20" t="str">
        <x:f>IF(J1376="Рассчитано",V1376-W1376,"н/д")</x:f>
        <x:v>н/д</x:v>
      </x:c>
      <x:c r="Y1376" s="26" t="str">
        <x:f>IF(J1376="Рассчитано",IF(V1376&gt;0,G1376/V1376,"н/д"),"н/д")</x:f>
        <x:v>н/д</x:v>
      </x:c>
      <x:c r="Z1376" s="20" t="str">
        <x:f>"н/д"</x:f>
        <x:v>н/д</x:v>
      </x:c>
      <x:c r="AA1376" s="20" t="str">
        <x:f>"н/д"</x:f>
        <x:v>н/д</x:v>
      </x:c>
      <x:c r="AB1376" s="20" t="str">
        <x:f>"н/д"</x:f>
        <x:v>н/д</x:v>
      </x:c>
      <x:c r="AC1376" s="20" t="str">
        <x:f>IF(AND(J1376="Рассчитано",T1376&gt;0,R1376&lt;100),(W1376+P1376+Q1376)/(T1376*(1-R1376/100)),"н/д")</x:f>
        <x:v>н/д</x:v>
      </x:c>
      <x:c r="AD1376" s="11" t="str">
        <x:f>IF(ISNUMBER(G1376),IF(G1376&lt;0,"Убыток",IF(G1376=0,"Без прибыли","Прибыль &gt; 0")),"Не оценён")</x:f>
        <x:v>Не оценён</x:v>
      </x:c>
      <x:c r="AE1376" s="12" t="str">
        <x:f>IF(J1376="Рассчитано","Выручка "&amp;TEXT(V1376,"0.00")&amp;" - себестоимость "&amp;TEXT(W1376,"0.00")&amp;" - комиссия "&amp;TEXT(V1376*R1376/100,"0.00")&amp;" - доставка "&amp;TEXT(P1376,"0.00")&amp;" - прочие "&amp;TEXT(Q1376,"0.00")&amp;" = "&amp;TEXT(G1376,"0.00")&amp;" "&amp;L1376,"Введите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6" s="23" t="n">
        <x:v>1.8683907557167836</x:v>
      </x:c>
      <x:c r="AG1376" s="35" t="n">
        <x:v>51</x:v>
      </x:c>
      <x:c r="AH1376" s="35" t="n">
        <x:v>0</x:v>
      </x:c>
      <x:c r="AI1376" s="29" t="n">
        <x:v>46287</x:v>
      </x:c>
      <x:c r="AJ1376" s="35" t="n">
        <x:v>5</x:v>
      </x:c>
      <x:c r="AK1376" s="11" t="str">
        <x:v>кратность</x:v>
      </x:c>
      <x:c r="AL1376" s="31" t="n">
        <x:v>2327.3861501815504</x:v>
      </x:c>
      <x:c r="AM1376" s="12" t="str">
        <x:v>Нет ежедневных данных доступности. Запас более 180 дней при среднем спросе</x:v>
      </x:c>
      <x:c r="AN1376" s="12" t="str">
        <x:v>Проверить свободный остаток и установить цену для B2B</x:v>
      </x:c>
      <x:c r="AO1376" s="12" t="str">
        <x:v>Остаток 51; прогноз 90 дней 1.87; избыток 49 шт. Будущие поступления не выставляются на продажу.</x:v>
      </x:c>
      <x:c r="AP1376" s="12" t="str">
        <x:v>["daily_stockout_data_missing", "negative_net_sales_clipped_for_forecast", "new_order_lead_time_unknown"]</x:v>
      </x:c>
      <x:c r="AQ1376" s="11" t="str">
        <x:v>SE:300200573_</x:v>
      </x:c>
      <x:c r="AR1376" s="23" t="n">
        <x:v>1</x:v>
      </x:c>
      <x:c r="AS1376" s="23" t="n">
        <x:v>0</x:v>
      </x:c>
      <x:c r="AT1376" s="23" t="n">
        <x:v>0</x:v>
      </x:c>
    </x:row>
    <x:row r="1377" ht="64" customHeight="1">
      <x:c r="A1377" s="10" t="str">
        <x:v>Systeme Electric</x:v>
      </x:c>
      <x:c r="B1377" s="34" t="str">
        <x:v>300200574_</x:v>
      </x:c>
      <x:c r="C1377" s="34" t="str">
        <x:v>ATN000720</x:v>
      </x:c>
      <x:c r="D1377" s="13" t="str">
        <x:v>K055 Роз. 2-ная с/у 16А "ATLAS" ГРИФЕЛЬ ATN720 (6)</x:v>
      </x:c>
      <x:c r="E1377" s="10" t="str">
        <x:v>шт</x:v>
      </x:c>
      <x:c r="F1377" s="37" t="n">
        <x:f>MAX(0,ROUNDDOWN((AG1377-AF1377)/AR1377+0.000000001,0)*AR1377)</x:f>
        <x:v>100</x:v>
      </x:c>
      <x:c r="G1377" s="21" t="str">
        <x:f>IF(J1377="Рассчитано",V1377*(1-R1377/100)-W1377-P1377-Q1377,"н/д")</x:f>
        <x:v>н/д</x:v>
      </x:c>
      <x:c r="H1377" s="13" t="str">
        <x:v>Средний</x:v>
      </x:c>
      <x:c r="I1377" s="13" t="str">
        <x:v>Высокий</x:v>
      </x:c>
      <x:c r="J1377" s="13" t="str">
        <x:f>IF(L1377="","Укажите валюту",IF(NOT(ISNUMBER(K1377)),"Укажите объём",IF(K1377&lt;=0,"Укажите объём",IF(K1377&gt;F1377,"Объём выше излишка",IF(COUNT(M1377:O1377)&lt;3,"Нужны цены",IF(COUNT(P1377:R1377)&lt;3,"Нужны расходы",IF(OR(M1377&lt;0,N1377&lt;0,O1377&lt;0,O1377&gt;100,P1377&lt;0,Q1377&lt;0,R1377&lt;0,R1377&gt;100),"Проверьте значения","Рассчитано")))))))</x:f>
        <x:v>Нужны цены</x:v>
      </x:c>
      <x:c r="K1377" s="36" t="n">
        <x:v>100</x:v>
      </x:c>
      <x:c r="L1377" s="19" t="str">
        <x:v>KZT</x:v>
      </x:c>
      <x:c r="M1377" s="22"/>
      <x:c r="N1377" s="22"/>
      <x:c r="O1377" s="28"/>
      <x:c r="P1377" s="22"/>
      <x:c r="Q1377" s="22"/>
      <x:c r="R1377" s="28"/>
      <x:c r="S1377" s="22"/>
      <x:c r="T1377" s="37" t="n">
        <x:f>K1377</x:f>
        <x:v>100</x:v>
      </x:c>
      <x:c r="U1377" s="21" t="str">
        <x:f>IF(J1377="Рассчитано",N1377*(1-O1377/100),"н/д")</x:f>
        <x:v>н/д</x:v>
      </x:c>
      <x:c r="V1377" s="21" t="str">
        <x:f>IF(J1377="Рассчитано",T1377*U1377,"н/д")</x:f>
        <x:v>н/д</x:v>
      </x:c>
      <x:c r="W1377" s="21" t="str">
        <x:f>IF(J1377="Рассчитано",T1377*M1377,"н/д")</x:f>
        <x:v>н/д</x:v>
      </x:c>
      <x:c r="X1377" s="21" t="str">
        <x:f>IF(J1377="Рассчитано",V1377-W1377,"н/д")</x:f>
        <x:v>н/д</x:v>
      </x:c>
      <x:c r="Y1377" s="27" t="str">
        <x:f>IF(J1377="Рассчитано",IF(V1377&gt;0,G1377/V1377,"н/д"),"н/д")</x:f>
        <x:v>н/д</x:v>
      </x:c>
      <x:c r="Z1377" s="21" t="str">
        <x:f>"н/д"</x:f>
        <x:v>н/д</x:v>
      </x:c>
      <x:c r="AA1377" s="21" t="str">
        <x:f>"н/д"</x:f>
        <x:v>н/д</x:v>
      </x:c>
      <x:c r="AB1377" s="21" t="str">
        <x:f>"н/д"</x:f>
        <x:v>н/д</x:v>
      </x:c>
      <x:c r="AC1377" s="21" t="str">
        <x:f>IF(AND(J1377="Рассчитано",T1377&gt;0,R1377&lt;100),(W1377+P1377+Q1377)/(T1377*(1-R1377/100)),"н/д")</x:f>
        <x:v>н/д</x:v>
      </x:c>
      <x:c r="AD1377" s="10" t="str">
        <x:f>IF(ISNUMBER(G1377),IF(G1377&lt;0,"Убыток",IF(G1377=0,"Без прибыли","Прибыль &gt; 0")),"Не оценён")</x:f>
        <x:v>Не оценён</x:v>
      </x:c>
      <x:c r="AE1377" s="13" t="str">
        <x:f>IF(J1377="Рассчитано","Выручка "&amp;TEXT(V1377,"0.00")&amp;" - себестоимость "&amp;TEXT(W1377,"0.00")&amp;" - комиссия "&amp;TEXT(V1377*R1377/100,"0.00")&amp;" - доставка "&amp;TEXT(P1377,"0.00")&amp;" - прочие "&amp;TEXT(Q1377,"0.00")&amp;" = "&amp;TEXT(G1377,"0.00")&amp;" "&amp;L1377,"Введите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7" s="24" t="n">
        <x:v>7.979274802099152</x:v>
      </x:c>
      <x:c r="AG1377" s="37" t="n">
        <x:v>108</x:v>
      </x:c>
      <x:c r="AH1377" s="37" t="n">
        <x:v>0</x:v>
      </x:c>
      <x:c r="AI1377" s="30" t="n">
        <x:v>46287</x:v>
      </x:c>
      <x:c r="AJ1377" s="37" t="n">
        <x:v>6</x:v>
      </x:c>
      <x:c r="AK1377" s="10" t="str">
        <x:v>кратность</x:v>
      </x:c>
      <x:c r="AL1377" s="32" t="n">
        <x:v>1154.0544836464876</x:v>
      </x:c>
      <x:c r="AM1377" s="13" t="str">
        <x:v>Нет ежедневных данных доступности. Запас более 180 дней при среднем спросе</x:v>
      </x:c>
      <x:c r="AN1377" s="13" t="str">
        <x:v>Проверить свободный остаток и установить цену для B2B</x:v>
      </x:c>
      <x:c r="AO1377" s="13" t="str">
        <x:v>Остаток 108; прогноз 90 дней 7.98; избыток 100 шт. Будущие поступления не выставляются на продажу.</x:v>
      </x:c>
      <x:c r="AP1377" s="13" t="str">
        <x:v>["daily_stockout_data_missing", "negative_net_sales_clipped_for_forecast", "new_order_lead_time_unknown"]</x:v>
      </x:c>
      <x:c r="AQ1377" s="10" t="str">
        <x:v>SE:300200574_</x:v>
      </x:c>
      <x:c r="AR1377" s="24" t="n">
        <x:v>1</x:v>
      </x:c>
      <x:c r="AS1377" s="24" t="n">
        <x:v>0</x:v>
      </x:c>
      <x:c r="AT1377" s="24" t="n">
        <x:v>0</x:v>
      </x:c>
    </x:row>
    <x:row r="1378" ht="64" customHeight="1">
      <x:c r="A1378" s="11" t="str">
        <x:v>Systeme Electric</x:v>
      </x:c>
      <x:c r="B1378" s="33" t="str">
        <x:v>300200575_</x:v>
      </x:c>
      <x:c r="C1378" s="33" t="str">
        <x:v>ATN000726</x:v>
      </x:c>
      <x:c r="D1378" s="12" t="str">
        <x:v>K056 Роз. 2-ная с/у 16А с з/к з/ш "ATLAS" ГРИФЕЛЬ ATN726 (6)</x:v>
      </x:c>
      <x:c r="E1378" s="11" t="str">
        <x:v>шт</x:v>
      </x:c>
      <x:c r="F1378" s="35" t="n">
        <x:f>MAX(0,ROUNDDOWN((AG1378-AF1378)/AR1378+0.000000001,0)*AR1378)</x:f>
        <x:v>6</x:v>
      </x:c>
      <x:c r="G1378" s="20" t="str">
        <x:f>IF(J1378="Рассчитано",V1378*(1-R1378/100)-W1378-P1378-Q1378,"н/д")</x:f>
        <x:v>н/д</x:v>
      </x:c>
      <x:c r="H1378" s="12" t="str">
        <x:v>Средний</x:v>
      </x:c>
      <x:c r="I1378" s="12" t="str">
        <x:v>Средний</x:v>
      </x:c>
      <x:c r="J1378" s="12" t="str">
        <x:f>IF(L1378="","Укажите валюту",IF(NOT(ISNUMBER(K1378)),"Укажите объём",IF(K1378&lt;=0,"Укажите объём",IF(K1378&gt;F1378,"Объём выше излишка",IF(COUNT(M1378:O1378)&lt;3,"Нужны цены",IF(COUNT(P1378:R1378)&lt;3,"Нужны расходы",IF(OR(M1378&lt;0,N1378&lt;0,O1378&lt;0,O1378&gt;100,P1378&lt;0,Q1378&lt;0,R1378&lt;0,R1378&gt;100),"Проверьте значения","Рассчитано")))))))</x:f>
        <x:v>Нужны цены</x:v>
      </x:c>
      <x:c r="K1378" s="36" t="n">
        <x:v>6</x:v>
      </x:c>
      <x:c r="L1378" s="19" t="str">
        <x:v>KZT</x:v>
      </x:c>
      <x:c r="M1378" s="22"/>
      <x:c r="N1378" s="22"/>
      <x:c r="O1378" s="28"/>
      <x:c r="P1378" s="22"/>
      <x:c r="Q1378" s="22"/>
      <x:c r="R1378" s="28"/>
      <x:c r="S1378" s="22"/>
      <x:c r="T1378" s="35" t="n">
        <x:f>K1378</x:f>
        <x:v>6</x:v>
      </x:c>
      <x:c r="U1378" s="20" t="str">
        <x:f>IF(J1378="Рассчитано",N1378*(1-O1378/100),"н/д")</x:f>
        <x:v>н/д</x:v>
      </x:c>
      <x:c r="V1378" s="20" t="str">
        <x:f>IF(J1378="Рассчитано",T1378*U1378,"н/д")</x:f>
        <x:v>н/д</x:v>
      </x:c>
      <x:c r="W1378" s="20" t="str">
        <x:f>IF(J1378="Рассчитано",T1378*M1378,"н/д")</x:f>
        <x:v>н/д</x:v>
      </x:c>
      <x:c r="X1378" s="20" t="str">
        <x:f>IF(J1378="Рассчитано",V1378-W1378,"н/д")</x:f>
        <x:v>н/д</x:v>
      </x:c>
      <x:c r="Y1378" s="26" t="str">
        <x:f>IF(J1378="Рассчитано",IF(V1378&gt;0,G1378/V1378,"н/д"),"н/д")</x:f>
        <x:v>н/д</x:v>
      </x:c>
      <x:c r="Z1378" s="20" t="str">
        <x:f>"н/д"</x:f>
        <x:v>н/д</x:v>
      </x:c>
      <x:c r="AA1378" s="20" t="str">
        <x:f>"н/д"</x:f>
        <x:v>н/д</x:v>
      </x:c>
      <x:c r="AB1378" s="20" t="str">
        <x:f>"н/д"</x:f>
        <x:v>н/д</x:v>
      </x:c>
      <x:c r="AC1378" s="20" t="str">
        <x:f>IF(AND(J1378="Рассчитано",T1378&gt;0,R1378&lt;100),(W1378+P1378+Q1378)/(T1378*(1-R1378/100)),"н/д")</x:f>
        <x:v>н/д</x:v>
      </x:c>
      <x:c r="AD1378" s="11" t="str">
        <x:f>IF(ISNUMBER(G1378),IF(G1378&lt;0,"Убыток",IF(G1378=0,"Без прибыли","Прибыль &gt; 0")),"Не оценён")</x:f>
        <x:v>Не оценён</x:v>
      </x:c>
      <x:c r="AE1378" s="12" t="str">
        <x:f>IF(J1378="Рассчитано","Выручка "&amp;TEXT(V1378,"0.00")&amp;" - себестоимость "&amp;TEXT(W1378,"0.00")&amp;" - комиссия "&amp;TEXT(V1378*R1378/100,"0.00")&amp;" - доставка "&amp;TEXT(P1378,"0.00")&amp;" - прочие "&amp;TEXT(Q1378,"0.00")&amp;" = "&amp;TEXT(G1378,"0.00")&amp;" "&amp;L1378,"Введите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8" s="23" t="n">
        <x:v>11.038565007398129</x:v>
      </x:c>
      <x:c r="AG1378" s="35" t="n">
        <x:v>18</x:v>
      </x:c>
      <x:c r="AH1378" s="35" t="n">
        <x:v>0</x:v>
      </x:c>
      <x:c r="AI1378" s="29" t="n">
        <x:v>46287</x:v>
      </x:c>
      <x:c r="AJ1378" s="35" t="n">
        <x:v>6</x:v>
      </x:c>
      <x:c r="AK1378" s="11" t="str">
        <x:v>кратность</x:v>
      </x:c>
      <x:c r="AL1378" s="31" t="n">
        <x:v>139.03555180464045</x:v>
      </x:c>
      <x:c r="AM1378" s="12" t="str">
        <x:v>Нет ежедневных данных доступности. Запас выше прогноза на 90 дней</x:v>
      </x:c>
      <x:c r="AN1378" s="12" t="str">
        <x:v>Проверить свободный остаток и установить цену для B2B</x:v>
      </x:c>
      <x:c r="AO1378" s="12" t="str">
        <x:v>Остаток 18; прогноз 90 дней 11.04; избыток 6 шт. Будущие поступления не выставляются на продажу.</x:v>
      </x:c>
      <x:c r="AP1378" s="12" t="str">
        <x:v>["daily_stockout_data_missing", "new_order_lead_time_unknown"]</x:v>
      </x:c>
      <x:c r="AQ1378" s="11" t="str">
        <x:v>SE:300200575_</x:v>
      </x:c>
      <x:c r="AR1378" s="23" t="n">
        <x:v>1</x:v>
      </x:c>
      <x:c r="AS1378" s="23" t="n">
        <x:v>0</x:v>
      </x:c>
      <x:c r="AT1378" s="23" t="n">
        <x:v>0</x:v>
      </x:c>
    </x:row>
    <x:row r="1379" ht="64" customHeight="1">
      <x:c r="A1379" s="10" t="str">
        <x:v>Systeme Electric</x:v>
      </x:c>
      <x:c r="B1379" s="34" t="str">
        <x:v>300200576_</x:v>
      </x:c>
      <x:c r="C1379" s="34" t="str">
        <x:v>ATN000744</x:v>
      </x:c>
      <x:c r="D1379" s="13" t="str">
        <x:v>K058 Роз. с з/к 16А с/у з/ш "ATLAS" ГРИФЕЛЬ ATN744 (10)</x:v>
      </x:c>
      <x:c r="E1379" s="10" t="str">
        <x:v>шт</x:v>
      </x:c>
      <x:c r="F1379" s="37" t="n">
        <x:f>MAX(0,ROUNDDOWN((AG1379-AF1379)/AR1379+0.000000001,0)*AR1379)</x:f>
        <x:v>16</x:v>
      </x:c>
      <x:c r="G1379" s="21" t="str">
        <x:f>IF(J1379="Рассчитано",V1379*(1-R1379/100)-W1379-P1379-Q1379,"н/д")</x:f>
        <x:v>н/д</x:v>
      </x:c>
      <x:c r="H1379" s="13" t="str">
        <x:v>Средний</x:v>
      </x:c>
      <x:c r="I1379" s="13" t="str">
        <x:v>Средний</x:v>
      </x:c>
      <x:c r="J1379" s="13" t="str">
        <x:f>IF(L1379="","Укажите валюту",IF(NOT(ISNUMBER(K1379)),"Укажите объём",IF(K1379&lt;=0,"Укажите объём",IF(K1379&gt;F1379,"Объём выше излишка",IF(COUNT(M1379:O1379)&lt;3,"Нужны цены",IF(COUNT(P1379:R1379)&lt;3,"Нужны расходы",IF(OR(M1379&lt;0,N1379&lt;0,O1379&lt;0,O1379&gt;100,P1379&lt;0,Q1379&lt;0,R1379&lt;0,R1379&gt;100),"Проверьте значения","Рассчитано")))))))</x:f>
        <x:v>Нужны цены</x:v>
      </x:c>
      <x:c r="K1379" s="36" t="n">
        <x:v>16</x:v>
      </x:c>
      <x:c r="L1379" s="19" t="str">
        <x:v>KZT</x:v>
      </x:c>
      <x:c r="M1379" s="22"/>
      <x:c r="N1379" s="22"/>
      <x:c r="O1379" s="28"/>
      <x:c r="P1379" s="22"/>
      <x:c r="Q1379" s="22"/>
      <x:c r="R1379" s="28"/>
      <x:c r="S1379" s="22"/>
      <x:c r="T1379" s="37" t="n">
        <x:f>K1379</x:f>
        <x:v>16</x:v>
      </x:c>
      <x:c r="U1379" s="21" t="str">
        <x:f>IF(J1379="Рассчитано",N1379*(1-O1379/100),"н/д")</x:f>
        <x:v>н/д</x:v>
      </x:c>
      <x:c r="V1379" s="21" t="str">
        <x:f>IF(J1379="Рассчитано",T1379*U1379,"н/д")</x:f>
        <x:v>н/д</x:v>
      </x:c>
      <x:c r="W1379" s="21" t="str">
        <x:f>IF(J1379="Рассчитано",T1379*M1379,"н/д")</x:f>
        <x:v>н/д</x:v>
      </x:c>
      <x:c r="X1379" s="21" t="str">
        <x:f>IF(J1379="Рассчитано",V1379-W1379,"н/д")</x:f>
        <x:v>н/д</x:v>
      </x:c>
      <x:c r="Y1379" s="27" t="str">
        <x:f>IF(J1379="Рассчитано",IF(V1379&gt;0,G1379/V1379,"н/д"),"н/д")</x:f>
        <x:v>н/д</x:v>
      </x:c>
      <x:c r="Z1379" s="21" t="str">
        <x:f>"н/д"</x:f>
        <x:v>н/д</x:v>
      </x:c>
      <x:c r="AA1379" s="21" t="str">
        <x:f>"н/д"</x:f>
        <x:v>н/д</x:v>
      </x:c>
      <x:c r="AB1379" s="21" t="str">
        <x:f>"н/д"</x:f>
        <x:v>н/д</x:v>
      </x:c>
      <x:c r="AC1379" s="21" t="str">
        <x:f>IF(AND(J1379="Рассчитано",T1379&gt;0,R1379&lt;100),(W1379+P1379+Q1379)/(T1379*(1-R1379/100)),"н/д")</x:f>
        <x:v>н/д</x:v>
      </x:c>
      <x:c r="AD1379" s="10" t="str">
        <x:f>IF(ISNUMBER(G1379),IF(G1379&lt;0,"Убыток",IF(G1379=0,"Без прибыли","Прибыль &gt; 0")),"Не оценён")</x:f>
        <x:v>Не оценён</x:v>
      </x:c>
      <x:c r="AE1379" s="13" t="str">
        <x:f>IF(J1379="Рассчитано","Выручка "&amp;TEXT(V1379,"0.00")&amp;" - себестоимость "&amp;TEXT(W1379,"0.00")&amp;" - комиссия "&amp;TEXT(V1379*R1379/100,"0.00")&amp;" - доставка "&amp;TEXT(P1379,"0.00")&amp;" - прочие "&amp;TEXT(Q1379,"0.00")&amp;" = "&amp;TEXT(G1379,"0.00")&amp;" "&amp;L1379,"Введите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9" s="24" t="n">
        <x:v>28.575239760310016</x:v>
      </x:c>
      <x:c r="AG1379" s="37" t="n">
        <x:v>45</x:v>
      </x:c>
      <x:c r="AH1379" s="37" t="n">
        <x:v>0</x:v>
      </x:c>
      <x:c r="AI1379" s="30" t="n">
        <x:v>46287</x:v>
      </x:c>
      <x:c r="AJ1379" s="37" t="n">
        <x:v>10</x:v>
      </x:c>
      <x:c r="AK1379" s="10" t="str">
        <x:v>кратность</x:v>
      </x:c>
      <x:c r="AL1379" s="32" t="n">
        <x:v>134.27297459343734</x:v>
      </x:c>
      <x:c r="AM1379" s="13" t="str">
        <x:v>Нет ежедневных данных доступности. Запас выше прогноза на 90 дней</x:v>
      </x:c>
      <x:c r="AN1379" s="13" t="str">
        <x:v>Проверить свободный остаток и установить цену для B2B</x:v>
      </x:c>
      <x:c r="AO1379" s="13" t="str">
        <x:v>Остаток 45; прогноз 90 дней 28.58; избыток 16 шт. Будущие поступления не выставляются на продажу.</x:v>
      </x:c>
      <x:c r="AP1379" s="13" t="str">
        <x:v>["daily_stockout_data_missing", "negative_net_sales_clipped_for_forecast", "new_order_lead_time_unknown"]</x:v>
      </x:c>
      <x:c r="AQ1379" s="10" t="str">
        <x:v>SE:300200576_</x:v>
      </x:c>
      <x:c r="AR1379" s="24" t="n">
        <x:v>1</x:v>
      </x:c>
      <x:c r="AS1379" s="24" t="n">
        <x:v>0</x:v>
      </x:c>
      <x:c r="AT1379" s="24" t="n">
        <x:v>0</x:v>
      </x:c>
    </x:row>
    <x:row r="1380" ht="64" customHeight="1">
      <x:c r="A1380" s="11" t="str">
        <x:v>Systeme Electric</x:v>
      </x:c>
      <x:c r="B1380" s="33" t="str">
        <x:v>300200577_</x:v>
      </x:c>
      <x:c r="C1380" s="33" t="str">
        <x:v>ATN000791</x:v>
      </x:c>
      <x:c r="D1380" s="12" t="str">
        <x:v>K059 ТV роз. оконечная с/у б/рамки "ATLAS" ГРИФЕЛЬ ATN791 (10)</x:v>
      </x:c>
      <x:c r="E1380" s="11" t="str">
        <x:v>шт</x:v>
      </x:c>
      <x:c r="F1380" s="35" t="n">
        <x:f>MAX(0,ROUNDDOWN((AG1380-AF1380)/AR1380+0.000000001,0)*AR1380)</x:f>
        <x:v>36</x:v>
      </x:c>
      <x:c r="G1380" s="20" t="str">
        <x:f>IF(J1380="Рассчитано",V1380*(1-R1380/100)-W1380-P1380-Q1380,"н/д")</x:f>
        <x:v>н/д</x:v>
      </x:c>
      <x:c r="H1380" s="12" t="str">
        <x:v>Средний</x:v>
      </x:c>
      <x:c r="I1380" s="12" t="str">
        <x:v>Высокий</x:v>
      </x:c>
      <x:c r="J1380" s="12" t="str">
        <x:f>IF(L1380="","Укажите валюту",IF(NOT(ISNUMBER(K1380)),"Укажите объём",IF(K1380&lt;=0,"Укажите объём",IF(K1380&gt;F1380,"Объём выше излишка",IF(COUNT(M1380:O1380)&lt;3,"Нужны цены",IF(COUNT(P1380:R1380)&lt;3,"Нужны расходы",IF(OR(M1380&lt;0,N1380&lt;0,O1380&lt;0,O1380&gt;100,P1380&lt;0,Q1380&lt;0,R1380&lt;0,R1380&gt;100),"Проверьте значения","Рассчитано")))))))</x:f>
        <x:v>Нужны цены</x:v>
      </x:c>
      <x:c r="K1380" s="36" t="n">
        <x:v>36</x:v>
      </x:c>
      <x:c r="L1380" s="19" t="str">
        <x:v>KZT</x:v>
      </x:c>
      <x:c r="M1380" s="22"/>
      <x:c r="N1380" s="22"/>
      <x:c r="O1380" s="28"/>
      <x:c r="P1380" s="22"/>
      <x:c r="Q1380" s="22"/>
      <x:c r="R1380" s="28"/>
      <x:c r="S1380" s="22"/>
      <x:c r="T1380" s="35" t="n">
        <x:f>K1380</x:f>
        <x:v>36</x:v>
      </x:c>
      <x:c r="U1380" s="20" t="str">
        <x:f>IF(J1380="Рассчитано",N1380*(1-O1380/100),"н/д")</x:f>
        <x:v>н/д</x:v>
      </x:c>
      <x:c r="V1380" s="20" t="str">
        <x:f>IF(J1380="Рассчитано",T1380*U1380,"н/д")</x:f>
        <x:v>н/д</x:v>
      </x:c>
      <x:c r="W1380" s="20" t="str">
        <x:f>IF(J1380="Рассчитано",T1380*M1380,"н/д")</x:f>
        <x:v>н/д</x:v>
      </x:c>
      <x:c r="X1380" s="20" t="str">
        <x:f>IF(J1380="Рассчитано",V1380-W1380,"н/д")</x:f>
        <x:v>н/д</x:v>
      </x:c>
      <x:c r="Y1380" s="26" t="str">
        <x:f>IF(J1380="Рассчитано",IF(V1380&gt;0,G1380/V1380,"н/д"),"н/д")</x:f>
        <x:v>н/д</x:v>
      </x:c>
      <x:c r="Z1380" s="20" t="str">
        <x:f>"н/д"</x:f>
        <x:v>н/д</x:v>
      </x:c>
      <x:c r="AA1380" s="20" t="str">
        <x:f>"н/д"</x:f>
        <x:v>н/д</x:v>
      </x:c>
      <x:c r="AB1380" s="20" t="str">
        <x:f>"н/д"</x:f>
        <x:v>н/д</x:v>
      </x:c>
      <x:c r="AC1380" s="20" t="str">
        <x:f>IF(AND(J1380="Рассчитано",T1380&gt;0,R1380&lt;100),(W1380+P1380+Q1380)/(T1380*(1-R1380/100)),"н/д")</x:f>
        <x:v>н/д</x:v>
      </x:c>
      <x:c r="AD1380" s="11" t="str">
        <x:f>IF(ISNUMBER(G1380),IF(G1380&lt;0,"Убыток",IF(G1380=0,"Без прибыли","Прибыль &gt; 0")),"Не оценён")</x:f>
        <x:v>Не оценён</x:v>
      </x:c>
      <x:c r="AE1380" s="12" t="str">
        <x:f>IF(J1380="Рассчитано","Выручка "&amp;TEXT(V1380,"0.00")&amp;" - себестоимость "&amp;TEXT(W1380,"0.00")&amp;" - комиссия "&amp;TEXT(V1380*R1380/100,"0.00")&amp;" - доставка "&amp;TEXT(P1380,"0.00")&amp;" - прочие "&amp;TEXT(Q1380,"0.00")&amp;" = "&amp;TEXT(G1380,"0.00")&amp;" "&amp;L1380,"Введите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0" s="23" t="n">
        <x:v>0.09728630305935798</x:v>
      </x:c>
      <x:c r="AG1380" s="35" t="n">
        <x:v>37</x:v>
      </x:c>
      <x:c r="AH1380" s="35" t="n">
        <x:v>0</x:v>
      </x:c>
      <x:c r="AI1380" s="29" t="n">
        <x:v>46287</x:v>
      </x:c>
      <x:c r="AJ1380" s="35" t="n">
        <x:v>10</x:v>
      </x:c>
      <x:c r="AK1380" s="11" t="str">
        <x:v>кратность</x:v>
      </x:c>
      <x:c r="AL1380" s="31" t="n">
        <x:v>32427.689293726376</x:v>
      </x:c>
      <x:c r="AM1380" s="12" t="str">
        <x:v>Нет ежедневных данных доступности. Запас более 180 дней при среднем спросе</x:v>
      </x:c>
      <x:c r="AN1380" s="12" t="str">
        <x:v>Проверить свободный остаток и установить цену для B2B</x:v>
      </x:c>
      <x:c r="AO1380" s="12" t="str">
        <x:v>Остаток 37; прогноз 90 дней 0.10; избыток 36 шт. Будущие поступления не выставляются на продажу.</x:v>
      </x:c>
      <x:c r="AP1380" s="12" t="str">
        <x:v>["daily_stockout_data_missing", "negative_net_sales_clipped_for_forecast", "new_order_lead_time_unknown"]</x:v>
      </x:c>
      <x:c r="AQ1380" s="11" t="str">
        <x:v>SE:300200577_</x:v>
      </x:c>
      <x:c r="AR1380" s="23" t="n">
        <x:v>1</x:v>
      </x:c>
      <x:c r="AS1380" s="23" t="n">
        <x:v>0</x:v>
      </x:c>
      <x:c r="AT1380" s="23" t="n">
        <x:v>0</x:v>
      </x:c>
    </x:row>
    <x:row r="1381" ht="64" customHeight="1">
      <x:c r="A1381" s="10" t="str">
        <x:v>Systeme Electric</x:v>
      </x:c>
      <x:c r="B1381" s="34" t="str">
        <x:v>300200582_</x:v>
      </x:c>
      <x:c r="C1381" s="34" t="str">
        <x:v>ATN000704</x:v>
      </x:c>
      <x:c r="D1381" s="13" t="str">
        <x:v>K064 Рамка 4-ная "ATLAS" ГРИФЕЛЬ ATN704 (15)</x:v>
      </x:c>
      <x:c r="E1381" s="10" t="str">
        <x:v>шт</x:v>
      </x:c>
      <x:c r="F1381" s="37" t="n">
        <x:f>MAX(0,ROUNDDOWN((AG1381-AF1381)/AR1381+0.000000001,0)*AR1381)</x:f>
        <x:v>6</x:v>
      </x:c>
      <x:c r="G1381" s="21" t="str">
        <x:f>IF(J1381="Рассчитано",V1381*(1-R1381/100)-W1381-P1381-Q1381,"н/д")</x:f>
        <x:v>н/д</x:v>
      </x:c>
      <x:c r="H1381" s="13" t="str">
        <x:v>Средний</x:v>
      </x:c>
      <x:c r="I1381" s="13" t="str">
        <x:v>Средний</x:v>
      </x:c>
      <x:c r="J1381" s="13" t="str">
        <x:f>IF(L1381="","Укажите валюту",IF(NOT(ISNUMBER(K1381)),"Укажите объём",IF(K1381&lt;=0,"Укажите объём",IF(K1381&gt;F1381,"Объём выше излишка",IF(COUNT(M1381:O1381)&lt;3,"Нужны цены",IF(COUNT(P1381:R1381)&lt;3,"Нужны расходы",IF(OR(M1381&lt;0,N1381&lt;0,O1381&lt;0,O1381&gt;100,P1381&lt;0,Q1381&lt;0,R1381&lt;0,R1381&gt;100),"Проверьте значения","Рассчитано")))))))</x:f>
        <x:v>Нужны цены</x:v>
      </x:c>
      <x:c r="K1381" s="36" t="n">
        <x:v>6</x:v>
      </x:c>
      <x:c r="L1381" s="19" t="str">
        <x:v>KZT</x:v>
      </x:c>
      <x:c r="M1381" s="22"/>
      <x:c r="N1381" s="22"/>
      <x:c r="O1381" s="28"/>
      <x:c r="P1381" s="22"/>
      <x:c r="Q1381" s="22"/>
      <x:c r="R1381" s="28"/>
      <x:c r="S1381" s="22"/>
      <x:c r="T1381" s="37" t="n">
        <x:f>K1381</x:f>
        <x:v>6</x:v>
      </x:c>
      <x:c r="U1381" s="21" t="str">
        <x:f>IF(J1381="Рассчитано",N1381*(1-O1381/100),"н/д")</x:f>
        <x:v>н/д</x:v>
      </x:c>
      <x:c r="V1381" s="21" t="str">
        <x:f>IF(J1381="Рассчитано",T1381*U1381,"н/д")</x:f>
        <x:v>н/д</x:v>
      </x:c>
      <x:c r="W1381" s="21" t="str">
        <x:f>IF(J1381="Рассчитано",T1381*M1381,"н/д")</x:f>
        <x:v>н/д</x:v>
      </x:c>
      <x:c r="X1381" s="21" t="str">
        <x:f>IF(J1381="Рассчитано",V1381-W1381,"н/д")</x:f>
        <x:v>н/д</x:v>
      </x:c>
      <x:c r="Y1381" s="27" t="str">
        <x:f>IF(J1381="Рассчитано",IF(V1381&gt;0,G1381/V1381,"н/д"),"н/д")</x:f>
        <x:v>н/д</x:v>
      </x:c>
      <x:c r="Z1381" s="21" t="str">
        <x:f>"н/д"</x:f>
        <x:v>н/д</x:v>
      </x:c>
      <x:c r="AA1381" s="21" t="str">
        <x:f>"н/д"</x:f>
        <x:v>н/д</x:v>
      </x:c>
      <x:c r="AB1381" s="21" t="str">
        <x:f>"н/д"</x:f>
        <x:v>н/д</x:v>
      </x:c>
      <x:c r="AC1381" s="21" t="str">
        <x:f>IF(AND(J1381="Рассчитано",T1381&gt;0,R1381&lt;100),(W1381+P1381+Q1381)/(T1381*(1-R1381/100)),"н/д")</x:f>
        <x:v>н/д</x:v>
      </x:c>
      <x:c r="AD1381" s="10" t="str">
        <x:f>IF(ISNUMBER(G1381),IF(G1381&lt;0,"Убыток",IF(G1381=0,"Без прибыли","Прибыль &gt; 0")),"Не оценён")</x:f>
        <x:v>Не оценён</x:v>
      </x:c>
      <x:c r="AE1381" s="13" t="str">
        <x:f>IF(J1381="Рассчитано","Выручка "&amp;TEXT(V1381,"0.00")&amp;" - себестоимость "&amp;TEXT(W1381,"0.00")&amp;" - комиссия "&amp;TEXT(V1381*R1381/100,"0.00")&amp;" - доставка "&amp;TEXT(P1381,"0.00")&amp;" - прочие "&amp;TEXT(Q1381,"0.00")&amp;" = "&amp;TEXT(G1381,"0.00")&amp;" "&amp;L1381,"Введите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1" s="24" t="n">
        <x:v>6.760223923449844</x:v>
      </x:c>
      <x:c r="AG1381" s="37" t="n">
        <x:v>13</x:v>
      </x:c>
      <x:c r="AH1381" s="37" t="n">
        <x:v>0</x:v>
      </x:c>
      <x:c r="AI1381" s="30" t="n">
        <x:v>46287</x:v>
      </x:c>
      <x:c r="AJ1381" s="37" t="n">
        <x:v>5</x:v>
      </x:c>
      <x:c r="AK1381" s="10" t="str">
        <x:v>кратность</x:v>
      </x:c>
      <x:c r="AL1381" s="32" t="n">
        <x:v>163.96390387591097</x:v>
      </x:c>
      <x:c r="AM1381" s="13" t="str">
        <x:v>Нет ежедневных данных доступности. Запас выше прогноза на 90 дней</x:v>
      </x:c>
      <x:c r="AN1381" s="13" t="str">
        <x:v>Проверить свободный остаток и установить цену для B2B</x:v>
      </x:c>
      <x:c r="AO1381" s="13" t="str">
        <x:v>Остаток 13; прогноз 90 дней 6.76; избыток 6 шт. Будущие поступления не выставляются на продажу.</x:v>
      </x:c>
      <x:c r="AP1381" s="13" t="str">
        <x:v>["daily_stockout_data_missing", "negative_net_sales_clipped_for_forecast", "new_order_lead_time_unknown"]</x:v>
      </x:c>
      <x:c r="AQ1381" s="10" t="str">
        <x:v>SE:300200582_</x:v>
      </x:c>
      <x:c r="AR1381" s="24" t="n">
        <x:v>1</x:v>
      </x:c>
      <x:c r="AS1381" s="24" t="n">
        <x:v>0</x:v>
      </x:c>
      <x:c r="AT1381" s="24" t="n">
        <x:v>0</x:v>
      </x:c>
    </x:row>
    <x:row r="1382" ht="64" customHeight="1">
      <x:c r="A1382" s="11" t="str">
        <x:v>Systeme Electric</x:v>
      </x:c>
      <x:c r="B1382" s="33" t="str">
        <x:v>300200583_</x:v>
      </x:c>
      <x:c r="C1382" s="33" t="str">
        <x:v>ATN000705</x:v>
      </x:c>
      <x:c r="D1382" s="12" t="str">
        <x:v>K065 Рамка 5-ная "ATLAS" ГРИФЕЛЬ ATN705 (5)</x:v>
      </x:c>
      <x:c r="E1382" s="11" t="str">
        <x:v>шт</x:v>
      </x:c>
      <x:c r="F1382" s="35" t="n">
        <x:f>MAX(0,ROUNDDOWN((AG1382-AF1382)/AR1382+0.000000001,0)*AR1382)</x:f>
        <x:v>37</x:v>
      </x:c>
      <x:c r="G1382" s="20" t="str">
        <x:f>IF(J1382="Рассчитано",V1382*(1-R1382/100)-W1382-P1382-Q1382,"н/д")</x:f>
        <x:v>н/д</x:v>
      </x:c>
      <x:c r="H1382" s="12" t="str">
        <x:v>Средний</x:v>
      </x:c>
      <x:c r="I1382" s="12" t="str">
        <x:v>Высокий</x:v>
      </x:c>
      <x:c r="J1382" s="12" t="str">
        <x:f>IF(L1382="","Укажите валюту",IF(NOT(ISNUMBER(K1382)),"Укажите объём",IF(K1382&lt;=0,"Укажите объём",IF(K1382&gt;F1382,"Объём выше излишка",IF(COUNT(M1382:O1382)&lt;3,"Нужны цены",IF(COUNT(P1382:R1382)&lt;3,"Нужны расходы",IF(OR(M1382&lt;0,N1382&lt;0,O1382&lt;0,O1382&gt;100,P1382&lt;0,Q1382&lt;0,R1382&lt;0,R1382&gt;100),"Проверьте значения","Рассчитано")))))))</x:f>
        <x:v>Нужны цены</x:v>
      </x:c>
      <x:c r="K1382" s="36" t="n">
        <x:v>37</x:v>
      </x:c>
      <x:c r="L1382" s="19" t="str">
        <x:v>KZT</x:v>
      </x:c>
      <x:c r="M1382" s="22"/>
      <x:c r="N1382" s="22"/>
      <x:c r="O1382" s="28"/>
      <x:c r="P1382" s="22"/>
      <x:c r="Q1382" s="22"/>
      <x:c r="R1382" s="28"/>
      <x:c r="S1382" s="22"/>
      <x:c r="T1382" s="35" t="n">
        <x:f>K1382</x:f>
        <x:v>37</x:v>
      </x:c>
      <x:c r="U1382" s="20" t="str">
        <x:f>IF(J1382="Рассчитано",N1382*(1-O1382/100),"н/д")</x:f>
        <x:v>н/д</x:v>
      </x:c>
      <x:c r="V1382" s="20" t="str">
        <x:f>IF(J1382="Рассчитано",T1382*U1382,"н/д")</x:f>
        <x:v>н/д</x:v>
      </x:c>
      <x:c r="W1382" s="20" t="str">
        <x:f>IF(J1382="Рассчитано",T1382*M1382,"н/д")</x:f>
        <x:v>н/д</x:v>
      </x:c>
      <x:c r="X1382" s="20" t="str">
        <x:f>IF(J1382="Рассчитано",V1382-W1382,"н/д")</x:f>
        <x:v>н/д</x:v>
      </x:c>
      <x:c r="Y1382" s="26" t="str">
        <x:f>IF(J1382="Рассчитано",IF(V1382&gt;0,G1382/V1382,"н/д"),"н/д")</x:f>
        <x:v>н/д</x:v>
      </x:c>
      <x:c r="Z1382" s="20" t="str">
        <x:f>"н/д"</x:f>
        <x:v>н/д</x:v>
      </x:c>
      <x:c r="AA1382" s="20" t="str">
        <x:f>"н/д"</x:f>
        <x:v>н/д</x:v>
      </x:c>
      <x:c r="AB1382" s="20" t="str">
        <x:f>"н/д"</x:f>
        <x:v>н/д</x:v>
      </x:c>
      <x:c r="AC1382" s="20" t="str">
        <x:f>IF(AND(J1382="Рассчитано",T1382&gt;0,R1382&lt;100),(W1382+P1382+Q1382)/(T1382*(1-R1382/100)),"н/д")</x:f>
        <x:v>н/д</x:v>
      </x:c>
      <x:c r="AD1382" s="11" t="str">
        <x:f>IF(ISNUMBER(G1382),IF(G1382&lt;0,"Убыток",IF(G1382=0,"Без прибыли","Прибыль &gt; 0")),"Не оценён")</x:f>
        <x:v>Не оценён</x:v>
      </x:c>
      <x:c r="AE1382" s="12" t="str">
        <x:f>IF(J1382="Рассчитано","Выручка "&amp;TEXT(V1382,"0.00")&amp;" - себестоимость "&amp;TEXT(W1382,"0.00")&amp;" - комиссия "&amp;TEXT(V1382*R1382/100,"0.00")&amp;" - доставка "&amp;TEXT(P1382,"0.00")&amp;" - прочие "&amp;TEXT(Q1382,"0.00")&amp;" = "&amp;TEXT(G1382,"0.00")&amp;" "&amp;L1382,"Введите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2" s="23" t="n">
        <x:v>2.1809344152816377</x:v>
      </x:c>
      <x:c r="AG1382" s="35" t="n">
        <x:v>40</x:v>
      </x:c>
      <x:c r="AH1382" s="35" t="n">
        <x:v>0</x:v>
      </x:c>
      <x:c r="AI1382" s="29" t="n">
        <x:v>46287</x:v>
      </x:c>
      <x:c r="AJ1382" s="35" t="n">
        <x:v>5</x:v>
      </x:c>
      <x:c r="AK1382" s="11" t="str">
        <x:v>кратность</x:v>
      </x:c>
      <x:c r="AL1382" s="31" t="n">
        <x:v>1563.8077638048667</x:v>
      </x:c>
      <x:c r="AM1382" s="12" t="str">
        <x:v>Нет ежедневных данных доступности. Запас более 180 дней при среднем спросе</x:v>
      </x:c>
      <x:c r="AN1382" s="12" t="str">
        <x:v>Проверить свободный остаток и установить цену для B2B</x:v>
      </x:c>
      <x:c r="AO1382" s="12" t="str">
        <x:v>Остаток 40; прогноз 90 дней 2.18; избыток 37 шт. Будущие поступления не выставляются на продажу.</x:v>
      </x:c>
      <x:c r="AP1382" s="12" t="str">
        <x:v>["daily_stockout_data_missing", "negative_net_sales_clipped_for_forecast", "new_order_lead_time_unknown"]</x:v>
      </x:c>
      <x:c r="AQ1382" s="11" t="str">
        <x:v>SE:300200583_</x:v>
      </x:c>
      <x:c r="AR1382" s="23" t="n">
        <x:v>1</x:v>
      </x:c>
      <x:c r="AS1382" s="23" t="n">
        <x:v>0</x:v>
      </x:c>
      <x:c r="AT1382" s="23" t="n">
        <x:v>0</x:v>
      </x:c>
    </x:row>
    <x:row r="1383" ht="64" customHeight="1">
      <x:c r="A1383" s="10" t="str">
        <x:v>Systeme Electric</x:v>
      </x:c>
      <x:c r="B1383" s="34" t="str">
        <x:v>300200584_</x:v>
      </x:c>
      <x:c r="C1383" s="34" t="str">
        <x:v>ATN000765</x:v>
      </x:c>
      <x:c r="D1383" s="13" t="str">
        <x:v>K066 Переключ. 2 кл 10А с/у б/рамки "ATLAS" ГРИФЕЛЬ ATN765 (10)</x:v>
      </x:c>
      <x:c r="E1383" s="10" t="str">
        <x:v>шт</x:v>
      </x:c>
      <x:c r="F1383" s="37" t="n">
        <x:f>MAX(0,ROUNDDOWN((AG1383-AF1383)/AR1383+0.000000001,0)*AR1383)</x:f>
        <x:v>41</x:v>
      </x:c>
      <x:c r="G1383" s="21" t="str">
        <x:f>IF(J1383="Рассчитано",V1383*(1-R1383/100)-W1383-P1383-Q1383,"н/д")</x:f>
        <x:v>н/д</x:v>
      </x:c>
      <x:c r="H1383" s="13" t="str">
        <x:v>Средний</x:v>
      </x:c>
      <x:c r="I1383" s="13" t="str">
        <x:v>Высокий</x:v>
      </x:c>
      <x:c r="J1383" s="13" t="str">
        <x:f>IF(L1383="","Укажите валюту",IF(NOT(ISNUMBER(K1383)),"Укажите объём",IF(K1383&lt;=0,"Укажите объём",IF(K1383&gt;F1383,"Объём выше излишка",IF(COUNT(M1383:O1383)&lt;3,"Нужны цены",IF(COUNT(P1383:R1383)&lt;3,"Нужны расходы",IF(OR(M1383&lt;0,N1383&lt;0,O1383&lt;0,O1383&gt;100,P1383&lt;0,Q1383&lt;0,R1383&lt;0,R1383&gt;100),"Проверьте значения","Рассчитано")))))))</x:f>
        <x:v>Нужны цены</x:v>
      </x:c>
      <x:c r="K1383" s="36" t="n">
        <x:v>41</x:v>
      </x:c>
      <x:c r="L1383" s="19" t="str">
        <x:v>KZT</x:v>
      </x:c>
      <x:c r="M1383" s="22"/>
      <x:c r="N1383" s="22"/>
      <x:c r="O1383" s="28"/>
      <x:c r="P1383" s="22"/>
      <x:c r="Q1383" s="22"/>
      <x:c r="R1383" s="28"/>
      <x:c r="S1383" s="22"/>
      <x:c r="T1383" s="37" t="n">
        <x:f>K1383</x:f>
        <x:v>41</x:v>
      </x:c>
      <x:c r="U1383" s="21" t="str">
        <x:f>IF(J1383="Рассчитано",N1383*(1-O1383/100),"н/д")</x:f>
        <x:v>н/д</x:v>
      </x:c>
      <x:c r="V1383" s="21" t="str">
        <x:f>IF(J1383="Рассчитано",T1383*U1383,"н/д")</x:f>
        <x:v>н/д</x:v>
      </x:c>
      <x:c r="W1383" s="21" t="str">
        <x:f>IF(J1383="Рассчитано",T1383*M1383,"н/д")</x:f>
        <x:v>н/д</x:v>
      </x:c>
      <x:c r="X1383" s="21" t="str">
        <x:f>IF(J1383="Рассчитано",V1383-W1383,"н/д")</x:f>
        <x:v>н/д</x:v>
      </x:c>
      <x:c r="Y1383" s="27" t="str">
        <x:f>IF(J1383="Рассчитано",IF(V1383&gt;0,G1383/V1383,"н/д"),"н/д")</x:f>
        <x:v>н/д</x:v>
      </x:c>
      <x:c r="Z1383" s="21" t="str">
        <x:f>"н/д"</x:f>
        <x:v>н/д</x:v>
      </x:c>
      <x:c r="AA1383" s="21" t="str">
        <x:f>"н/д"</x:f>
        <x:v>н/д</x:v>
      </x:c>
      <x:c r="AB1383" s="21" t="str">
        <x:f>"н/д"</x:f>
        <x:v>н/д</x:v>
      </x:c>
      <x:c r="AC1383" s="21" t="str">
        <x:f>IF(AND(J1383="Рассчитано",T1383&gt;0,R1383&lt;100),(W1383+P1383+Q1383)/(T1383*(1-R1383/100)),"н/д")</x:f>
        <x:v>н/д</x:v>
      </x:c>
      <x:c r="AD1383" s="10" t="str">
        <x:f>IF(ISNUMBER(G1383),IF(G1383&lt;0,"Убыток",IF(G1383=0,"Без прибыли","Прибыль &gt; 0")),"Не оценён")</x:f>
        <x:v>Не оценён</x:v>
      </x:c>
      <x:c r="AE1383" s="13" t="str">
        <x:f>IF(J1383="Рассчитано","Выручка "&amp;TEXT(V1383,"0.00")&amp;" - себестоимость "&amp;TEXT(W1383,"0.00")&amp;" - комиссия "&amp;TEXT(V1383*R1383/100,"0.00")&amp;" - доставка "&amp;TEXT(P1383,"0.00")&amp;" - прочие "&amp;TEXT(Q1383,"0.00")&amp;" = "&amp;TEXT(G1383,"0.00")&amp;" "&amp;L1383,"Введите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3" s="24" t="n">
        <x:v>4.592355510517179</x:v>
      </x:c>
      <x:c r="AG1383" s="37" t="n">
        <x:v>46</x:v>
      </x:c>
      <x:c r="AH1383" s="37" t="n">
        <x:v>0</x:v>
      </x:c>
      <x:c r="AI1383" s="30" t="n">
        <x:v>46287</x:v>
      </x:c>
      <x:c r="AJ1383" s="37" t="n">
        <x:v>10</x:v>
      </x:c>
      <x:c r="AK1383" s="10" t="str">
        <x:v>кратность</x:v>
      </x:c>
      <x:c r="AL1383" s="32" t="n">
        <x:v>854.0598583078657</x:v>
      </x:c>
      <x:c r="AM1383" s="13" t="str">
        <x:v>Нет ежедневных данных доступности. Запас более 180 дней при среднем спросе</x:v>
      </x:c>
      <x:c r="AN1383" s="13" t="str">
        <x:v>Проверить свободный остаток и установить цену для B2B</x:v>
      </x:c>
      <x:c r="AO1383" s="13" t="str">
        <x:v>Остаток 46; прогноз 90 дней 4.59; избыток 41 шт. Будущие поступления не выставляются на продажу.</x:v>
      </x:c>
      <x:c r="AP1383" s="13" t="str">
        <x:v>["daily_stockout_data_missing", "negative_net_sales_clipped_for_forecast", "new_order_lead_time_unknown"]</x:v>
      </x:c>
      <x:c r="AQ1383" s="10" t="str">
        <x:v>SE:300200584_</x:v>
      </x:c>
      <x:c r="AR1383" s="24" t="n">
        <x:v>1</x:v>
      </x:c>
      <x:c r="AS1383" s="24" t="n">
        <x:v>0</x:v>
      </x:c>
      <x:c r="AT1383" s="24" t="n">
        <x:v>0</x:v>
      </x:c>
    </x:row>
    <x:row r="1384" ht="64" customHeight="1">
      <x:c r="A1384" s="11" t="str">
        <x:v>Systeme Electric</x:v>
      </x:c>
      <x:c r="B1384" s="33" t="str">
        <x:v>300200588_</x:v>
      </x:c>
      <x:c r="C1384" s="33" t="str">
        <x:v>ATN000311</x:v>
      </x:c>
      <x:c r="D1384" s="12" t="str">
        <x:v>А3844 Выкл 1 кл 10А механизм "ATLAS" алюминий ATN311 (10)</x:v>
      </x:c>
      <x:c r="E1384" s="11" t="str">
        <x:v>шт</x:v>
      </x:c>
      <x:c r="F1384" s="35" t="n">
        <x:f>MAX(0,ROUNDDOWN((AG1384-AF1384)/AR1384+0.000000001,0)*AR1384)</x:f>
        <x:v>45</x:v>
      </x:c>
      <x:c r="G1384" s="20" t="str">
        <x:f>IF(J1384="Рассчитано",V1384*(1-R1384/100)-W1384-P1384-Q1384,"н/д")</x:f>
        <x:v>н/д</x:v>
      </x:c>
      <x:c r="H1384" s="12" t="str">
        <x:v>Средний</x:v>
      </x:c>
      <x:c r="I1384" s="12" t="str">
        <x:v>Средний</x:v>
      </x:c>
      <x:c r="J1384" s="12" t="str">
        <x:f>IF(L1384="","Укажите валюту",IF(NOT(ISNUMBER(K1384)),"Укажите объём",IF(K1384&lt;=0,"Укажите объём",IF(K1384&gt;F1384,"Объём выше излишка",IF(COUNT(M1384:O1384)&lt;3,"Нужны цены",IF(COUNT(P1384:R1384)&lt;3,"Нужны расходы",IF(OR(M1384&lt;0,N1384&lt;0,O1384&lt;0,O1384&gt;100,P1384&lt;0,Q1384&lt;0,R1384&lt;0,R1384&gt;100),"Проверьте значения","Рассчитано")))))))</x:f>
        <x:v>Нужны цены</x:v>
      </x:c>
      <x:c r="K1384" s="36" t="n">
        <x:v>45</x:v>
      </x:c>
      <x:c r="L1384" s="19" t="str">
        <x:v>KZT</x:v>
      </x:c>
      <x:c r="M1384" s="22"/>
      <x:c r="N1384" s="22"/>
      <x:c r="O1384" s="28"/>
      <x:c r="P1384" s="22"/>
      <x:c r="Q1384" s="22"/>
      <x:c r="R1384" s="28"/>
      <x:c r="S1384" s="22"/>
      <x:c r="T1384" s="35" t="n">
        <x:f>K1384</x:f>
        <x:v>45</x:v>
      </x:c>
      <x:c r="U1384" s="20" t="str">
        <x:f>IF(J1384="Рассчитано",N1384*(1-O1384/100),"н/д")</x:f>
        <x:v>н/д</x:v>
      </x:c>
      <x:c r="V1384" s="20" t="str">
        <x:f>IF(J1384="Рассчитано",T1384*U1384,"н/д")</x:f>
        <x:v>н/д</x:v>
      </x:c>
      <x:c r="W1384" s="20" t="str">
        <x:f>IF(J1384="Рассчитано",T1384*M1384,"н/д")</x:f>
        <x:v>н/д</x:v>
      </x:c>
      <x:c r="X1384" s="20" t="str">
        <x:f>IF(J1384="Рассчитано",V1384-W1384,"н/д")</x:f>
        <x:v>н/д</x:v>
      </x:c>
      <x:c r="Y1384" s="26" t="str">
        <x:f>IF(J1384="Рассчитано",IF(V1384&gt;0,G1384/V1384,"н/д"),"н/д")</x:f>
        <x:v>н/д</x:v>
      </x:c>
      <x:c r="Z1384" s="20" t="str">
        <x:f>"н/д"</x:f>
        <x:v>н/д</x:v>
      </x:c>
      <x:c r="AA1384" s="20" t="str">
        <x:f>"н/д"</x:f>
        <x:v>н/д</x:v>
      </x:c>
      <x:c r="AB1384" s="20" t="str">
        <x:f>"н/д"</x:f>
        <x:v>н/д</x:v>
      </x:c>
      <x:c r="AC1384" s="20" t="str">
        <x:f>IF(AND(J1384="Рассчитано",T1384&gt;0,R1384&lt;100),(W1384+P1384+Q1384)/(T1384*(1-R1384/100)),"н/д")</x:f>
        <x:v>н/д</x:v>
      </x:c>
      <x:c r="AD1384" s="11" t="str">
        <x:f>IF(ISNUMBER(G1384),IF(G1384&lt;0,"Убыток",IF(G1384=0,"Без прибыли","Прибыль &gt; 0")),"Не оценён")</x:f>
        <x:v>Не оценён</x:v>
      </x:c>
      <x:c r="AE1384" s="12" t="str">
        <x:f>IF(J1384="Рассчитано","Выручка "&amp;TEXT(V1384,"0.00")&amp;" - себестоимость "&amp;TEXT(W1384,"0.00")&amp;" - комиссия "&amp;TEXT(V1384*R1384/100,"0.00")&amp;" - доставка "&amp;TEXT(P1384,"0.00")&amp;" - прочие "&amp;TEXT(Q1384,"0.00")&amp;" = "&amp;TEXT(G1384,"0.00")&amp;" "&amp;L1384,"Введите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4" s="23" t="n">
        <x:v>214.47612804996368</x:v>
      </x:c>
      <x:c r="AG1384" s="35" t="n">
        <x:v>260</x:v>
      </x:c>
      <x:c r="AH1384" s="35" t="n">
        <x:v>0</x:v>
      </x:c>
      <x:c r="AI1384" s="29" t="n">
        <x:v>46287</x:v>
      </x:c>
      <x:c r="AJ1384" s="35" t="n">
        <x:v>10</x:v>
      </x:c>
      <x:c r="AK1384" s="11" t="str">
        <x:v>кратность</x:v>
      </x:c>
      <x:c r="AL1384" s="31" t="n">
        <x:v>103.36187207799146</x:v>
      </x:c>
      <x:c r="AM1384" s="12" t="str">
        <x:v>Нет ежедневных данных доступности. Запас выше прогноза на 90 дней</x:v>
      </x:c>
      <x:c r="AN1384" s="12" t="str">
        <x:v>Проверить свободный остаток и установить цену для B2B</x:v>
      </x:c>
      <x:c r="AO1384" s="12" t="str">
        <x:v>Остаток 260; прогноз 90 дней 214.48; избыток 45 шт. Будущие поступления не выставляются на продажу.</x:v>
      </x:c>
      <x:c r="AP1384" s="12" t="str">
        <x:v>["daily_stockout_data_missing", "negative_net_sales_clipped_for_forecast", "new_order_lead_time_unknown"]</x:v>
      </x:c>
      <x:c r="AQ1384" s="11" t="str">
        <x:v>SE:300200588_</x:v>
      </x:c>
      <x:c r="AR1384" s="23" t="n">
        <x:v>1</x:v>
      </x:c>
      <x:c r="AS1384" s="23" t="n">
        <x:v>0</x:v>
      </x:c>
      <x:c r="AT1384" s="23" t="n">
        <x:v>0</x:v>
      </x:c>
    </x:row>
    <x:row r="1385" ht="64" customHeight="1">
      <x:c r="A1385" s="10" t="str">
        <x:v>Systeme Electric</x:v>
      </x:c>
      <x:c r="B1385" s="34" t="str">
        <x:v>300200590_</x:v>
      </x:c>
      <x:c r="C1385" s="34" t="str">
        <x:v>ATN000711</x:v>
      </x:c>
      <x:c r="D1385" s="13" t="str">
        <x:v>K0461 Выкл. 1-кл 10А с/у б/рамки "ATLAS" ГРИФЕЛЬ ATN711 (10) NEW</x:v>
      </x:c>
      <x:c r="E1385" s="10" t="str">
        <x:v>шт</x:v>
      </x:c>
      <x:c r="F1385" s="37" t="n">
        <x:f>MAX(0,ROUNDDOWN((AG1385-AF1385)/AR1385+0.000000001,0)*AR1385)</x:f>
        <x:v>30</x:v>
      </x:c>
      <x:c r="G1385" s="21" t="str">
        <x:f>IF(J1385="Рассчитано",V1385*(1-R1385/100)-W1385-P1385-Q1385,"н/д")</x:f>
        <x:v>н/д</x:v>
      </x:c>
      <x:c r="H1385" s="13" t="str">
        <x:v>Средний</x:v>
      </x:c>
      <x:c r="I1385" s="13" t="str">
        <x:v>Средний</x:v>
      </x:c>
      <x:c r="J1385" s="13" t="str">
        <x:f>IF(L1385="","Укажите валюту",IF(NOT(ISNUMBER(K1385)),"Укажите объём",IF(K1385&lt;=0,"Укажите объём",IF(K1385&gt;F1385,"Объём выше излишка",IF(COUNT(M1385:O1385)&lt;3,"Нужны цены",IF(COUNT(P1385:R1385)&lt;3,"Нужны расходы",IF(OR(M1385&lt;0,N1385&lt;0,O1385&lt;0,O1385&gt;100,P1385&lt;0,Q1385&lt;0,R1385&lt;0,R1385&gt;100),"Проверьте значения","Рассчитано")))))))</x:f>
        <x:v>Нужны цены</x:v>
      </x:c>
      <x:c r="K1385" s="36" t="n">
        <x:v>30</x:v>
      </x:c>
      <x:c r="L1385" s="19" t="str">
        <x:v>KZT</x:v>
      </x:c>
      <x:c r="M1385" s="22"/>
      <x:c r="N1385" s="22"/>
      <x:c r="O1385" s="28"/>
      <x:c r="P1385" s="22"/>
      <x:c r="Q1385" s="22"/>
      <x:c r="R1385" s="28"/>
      <x:c r="S1385" s="22"/>
      <x:c r="T1385" s="37" t="n">
        <x:f>K1385</x:f>
        <x:v>30</x:v>
      </x:c>
      <x:c r="U1385" s="21" t="str">
        <x:f>IF(J1385="Рассчитано",N1385*(1-O1385/100),"н/д")</x:f>
        <x:v>н/д</x:v>
      </x:c>
      <x:c r="V1385" s="21" t="str">
        <x:f>IF(J1385="Рассчитано",T1385*U1385,"н/д")</x:f>
        <x:v>н/д</x:v>
      </x:c>
      <x:c r="W1385" s="21" t="str">
        <x:f>IF(J1385="Рассчитано",T1385*M1385,"н/д")</x:f>
        <x:v>н/д</x:v>
      </x:c>
      <x:c r="X1385" s="21" t="str">
        <x:f>IF(J1385="Рассчитано",V1385-W1385,"н/д")</x:f>
        <x:v>н/д</x:v>
      </x:c>
      <x:c r="Y1385" s="27" t="str">
        <x:f>IF(J1385="Рассчитано",IF(V1385&gt;0,G1385/V1385,"н/д"),"н/д")</x:f>
        <x:v>н/д</x:v>
      </x:c>
      <x:c r="Z1385" s="21" t="str">
        <x:f>"н/д"</x:f>
        <x:v>н/д</x:v>
      </x:c>
      <x:c r="AA1385" s="21" t="str">
        <x:f>"н/д"</x:f>
        <x:v>н/д</x:v>
      </x:c>
      <x:c r="AB1385" s="21" t="str">
        <x:f>"н/д"</x:f>
        <x:v>н/д</x:v>
      </x:c>
      <x:c r="AC1385" s="21" t="str">
        <x:f>IF(AND(J1385="Рассчитано",T1385&gt;0,R1385&lt;100),(W1385+P1385+Q1385)/(T1385*(1-R1385/100)),"н/д")</x:f>
        <x:v>н/д</x:v>
      </x:c>
      <x:c r="AD1385" s="10" t="str">
        <x:f>IF(ISNUMBER(G1385),IF(G1385&lt;0,"Убыток",IF(G1385=0,"Без прибыли","Прибыль &gt; 0")),"Не оценён")</x:f>
        <x:v>Не оценён</x:v>
      </x:c>
      <x:c r="AE1385" s="13" t="str">
        <x:f>IF(J1385="Рассчитано","Выручка "&amp;TEXT(V1385,"0.00")&amp;" - себестоимость "&amp;TEXT(W1385,"0.00")&amp;" - комиссия "&amp;TEXT(V1385*R1385/100,"0.00")&amp;" - доставка "&amp;TEXT(P1385,"0.00")&amp;" - прочие "&amp;TEXT(Q1385,"0.00")&amp;" = "&amp;TEXT(G1385,"0.00")&amp;" "&amp;L1385,"Введите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5" s="24" t="n">
        <x:v>37.570808127215734</x:v>
      </x:c>
      <x:c r="AG1385" s="37" t="n">
        <x:v>68</x:v>
      </x:c>
      <x:c r="AH1385" s="37" t="n">
        <x:v>0</x:v>
      </x:c>
      <x:c r="AI1385" s="30" t="n">
        <x:v>46287</x:v>
      </x:c>
      <x:c r="AJ1385" s="37" t="n">
        <x:v>10</x:v>
      </x:c>
      <x:c r="AK1385" s="10" t="str">
        <x:v>кратность</x:v>
      </x:c>
      <x:c r="AL1385" s="32" t="n">
        <x:v>154.32076070898665</x:v>
      </x:c>
      <x:c r="AM1385" s="13" t="str">
        <x:v>Нет ежедневных данных доступности. Запас выше прогноза на 90 дней</x:v>
      </x:c>
      <x:c r="AN1385" s="13" t="str">
        <x:v>Проверить свободный остаток и установить цену для B2B</x:v>
      </x:c>
      <x:c r="AO1385" s="13" t="str">
        <x:v>Остаток 68; прогноз 90 дней 37.57; избыток 30 шт. Будущие поступления не выставляются на продажу.</x:v>
      </x:c>
      <x:c r="AP1385" s="13" t="str">
        <x:v>["daily_stockout_data_missing", "negative_net_sales_clipped_for_forecast", "new_order_lead_time_unknown"]</x:v>
      </x:c>
      <x:c r="AQ1385" s="10" t="str">
        <x:v>SE:300200590_</x:v>
      </x:c>
      <x:c r="AR1385" s="24" t="n">
        <x:v>1</x:v>
      </x:c>
      <x:c r="AS1385" s="24" t="n">
        <x:v>0</x:v>
      </x:c>
      <x:c r="AT1385" s="24" t="n">
        <x:v>0</x:v>
      </x:c>
    </x:row>
    <x:row r="1386" ht="64" customHeight="1">
      <x:c r="A1386" s="11" t="str">
        <x:v>Systeme Electric</x:v>
      </x:c>
      <x:c r="B1386" s="33" t="str">
        <x:v>300200591_</x:v>
      </x:c>
      <x:c r="C1386" s="33" t="str">
        <x:v>ATN000751</x:v>
      </x:c>
      <x:c r="D1386" s="12" t="str">
        <x:v>K0488 Выкл 2-кл 10А механизм "ATLAS" ГРИФЕЛЬ ATN751 (10)</x:v>
      </x:c>
      <x:c r="E1386" s="11" t="str">
        <x:v>шт</x:v>
      </x:c>
      <x:c r="F1386" s="35" t="n">
        <x:f>MAX(0,ROUNDDOWN((AG1386-AF1386)/AR1386+0.000000001,0)*AR1386)</x:f>
        <x:v>4</x:v>
      </x:c>
      <x:c r="G1386" s="20" t="str">
        <x:f>IF(J1386="Рассчитано",V1386*(1-R1386/100)-W1386-P1386-Q1386,"н/д")</x:f>
        <x:v>н/д</x:v>
      </x:c>
      <x:c r="H1386" s="12" t="str">
        <x:v>Средний</x:v>
      </x:c>
      <x:c r="I1386" s="12" t="str">
        <x:v>Средний</x:v>
      </x:c>
      <x:c r="J1386" s="12" t="str">
        <x:f>IF(L1386="","Укажите валюту",IF(NOT(ISNUMBER(K1386)),"Укажите объём",IF(K1386&lt;=0,"Укажите объём",IF(K1386&gt;F1386,"Объём выше излишка",IF(COUNT(M1386:O1386)&lt;3,"Нужны цены",IF(COUNT(P1386:R1386)&lt;3,"Нужны расходы",IF(OR(M1386&lt;0,N1386&lt;0,O1386&lt;0,O1386&gt;100,P1386&lt;0,Q1386&lt;0,R1386&lt;0,R1386&gt;100),"Проверьте значения","Рассчитано")))))))</x:f>
        <x:v>Нужны цены</x:v>
      </x:c>
      <x:c r="K1386" s="36" t="n">
        <x:v>4</x:v>
      </x:c>
      <x:c r="L1386" s="19" t="str">
        <x:v>KZT</x:v>
      </x:c>
      <x:c r="M1386" s="22"/>
      <x:c r="N1386" s="22"/>
      <x:c r="O1386" s="28"/>
      <x:c r="P1386" s="22"/>
      <x:c r="Q1386" s="22"/>
      <x:c r="R1386" s="28"/>
      <x:c r="S1386" s="22"/>
      <x:c r="T1386" s="35" t="n">
        <x:f>K1386</x:f>
        <x:v>4</x:v>
      </x:c>
      <x:c r="U1386" s="20" t="str">
        <x:f>IF(J1386="Рассчитано",N1386*(1-O1386/100),"н/д")</x:f>
        <x:v>н/д</x:v>
      </x:c>
      <x:c r="V1386" s="20" t="str">
        <x:f>IF(J1386="Рассчитано",T1386*U1386,"н/д")</x:f>
        <x:v>н/д</x:v>
      </x:c>
      <x:c r="W1386" s="20" t="str">
        <x:f>IF(J1386="Рассчитано",T1386*M1386,"н/д")</x:f>
        <x:v>н/д</x:v>
      </x:c>
      <x:c r="X1386" s="20" t="str">
        <x:f>IF(J1386="Рассчитано",V1386-W1386,"н/д")</x:f>
        <x:v>н/д</x:v>
      </x:c>
      <x:c r="Y1386" s="26" t="str">
        <x:f>IF(J1386="Рассчитано",IF(V1386&gt;0,G1386/V1386,"н/д"),"н/д")</x:f>
        <x:v>н/д</x:v>
      </x:c>
      <x:c r="Z1386" s="20" t="str">
        <x:f>"н/д"</x:f>
        <x:v>н/д</x:v>
      </x:c>
      <x:c r="AA1386" s="20" t="str">
        <x:f>"н/д"</x:f>
        <x:v>н/д</x:v>
      </x:c>
      <x:c r="AB1386" s="20" t="str">
        <x:f>"н/д"</x:f>
        <x:v>н/д</x:v>
      </x:c>
      <x:c r="AC1386" s="20" t="str">
        <x:f>IF(AND(J1386="Рассчитано",T1386&gt;0,R1386&lt;100),(W1386+P1386+Q1386)/(T1386*(1-R1386/100)),"н/д")</x:f>
        <x:v>н/д</x:v>
      </x:c>
      <x:c r="AD1386" s="11" t="str">
        <x:f>IF(ISNUMBER(G1386),IF(G1386&lt;0,"Убыток",IF(G1386=0,"Без прибыли","Прибыль &gt; 0")),"Не оценён")</x:f>
        <x:v>Не оценён</x:v>
      </x:c>
      <x:c r="AE1386" s="12" t="str">
        <x:f>IF(J1386="Рассчитано","Выручка "&amp;TEXT(V1386,"0.00")&amp;" - себестоимость "&amp;TEXT(W1386,"0.00")&amp;" - комиссия "&amp;TEXT(V1386*R1386/100,"0.00")&amp;" - доставка "&amp;TEXT(P1386,"0.00")&amp;" - прочие "&amp;TEXT(Q1386,"0.00")&amp;" = "&amp;TEXT(G1386,"0.00")&amp;" "&amp;L1386,"Введите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6" s="23" t="n">
        <x:v>19.84960976134887</x:v>
      </x:c>
      <x:c r="AG1386" s="35" t="n">
        <x:v>24</x:v>
      </x:c>
      <x:c r="AH1386" s="35" t="n">
        <x:v>0</x:v>
      </x:c>
      <x:c r="AI1386" s="29" t="n">
        <x:v>46287</x:v>
      </x:c>
      <x:c r="AJ1386" s="35" t="n">
        <x:v>10</x:v>
      </x:c>
      <x:c r="AK1386" s="11" t="str">
        <x:v>кратность</x:v>
      </x:c>
      <x:c r="AL1386" s="31" t="n">
        <x:v>103.09206715814726</x:v>
      </x:c>
      <x:c r="AM1386" s="12" t="str">
        <x:v>Нет ежедневных данных доступности. Запас выше прогноза на 90 дней</x:v>
      </x:c>
      <x:c r="AN1386" s="12" t="str">
        <x:v>Проверить свободный остаток и установить цену для B2B</x:v>
      </x:c>
      <x:c r="AO1386" s="12" t="str">
        <x:v>Остаток 24; прогноз 90 дней 19.85; избыток 4 шт. Будущие поступления не выставляются на продажу.</x:v>
      </x:c>
      <x:c r="AP1386" s="12" t="str">
        <x:v>["daily_stockout_data_missing", "negative_net_sales_clipped_for_forecast", "new_order_lead_time_unknown"]</x:v>
      </x:c>
      <x:c r="AQ1386" s="11" t="str">
        <x:v>SE:300200591_</x:v>
      </x:c>
      <x:c r="AR1386" s="23" t="n">
        <x:v>1</x:v>
      </x:c>
      <x:c r="AS1386" s="23" t="n">
        <x:v>0</x:v>
      </x:c>
      <x:c r="AT1386" s="23" t="n">
        <x:v>0</x:v>
      </x:c>
    </x:row>
    <x:row r="1387" ht="64" customHeight="1">
      <x:c r="A1387" s="10" t="str">
        <x:v>Systeme Electric</x:v>
      </x:c>
      <x:c r="B1387" s="34" t="str">
        <x:v>300200592_</x:v>
      </x:c>
      <x:c r="C1387" s="34" t="str">
        <x:v>ATN000511</x:v>
      </x:c>
      <x:c r="D1387" s="13" t="str">
        <x:v>Выкл 1-кл, сх.1, 10АХ, механизм, шампань "ATLAS"</x:v>
      </x:c>
      <x:c r="E1387" s="10" t="str">
        <x:v>шт</x:v>
      </x:c>
      <x:c r="F1387" s="37" t="n">
        <x:f>MAX(0,ROUNDDOWN((AG1387-AF1387)/AR1387+0.000000001,0)*AR1387)</x:f>
        <x:v>36</x:v>
      </x:c>
      <x:c r="G1387" s="21" t="str">
        <x:f>IF(J1387="Рассчитано",V1387*(1-R1387/100)-W1387-P1387-Q1387,"н/д")</x:f>
        <x:v>н/д</x:v>
      </x:c>
      <x:c r="H1387" s="13" t="str">
        <x:v>Средний</x:v>
      </x:c>
      <x:c r="I1387" s="13" t="str">
        <x:v>Средний</x:v>
      </x:c>
      <x:c r="J1387" s="13" t="str">
        <x:f>IF(L1387="","Укажите валюту",IF(NOT(ISNUMBER(K1387)),"Укажите объём",IF(K1387&lt;=0,"Укажите объём",IF(K1387&gt;F1387,"Объём выше излишка",IF(COUNT(M1387:O1387)&lt;3,"Нужны цены",IF(COUNT(P1387:R1387)&lt;3,"Нужны расходы",IF(OR(M1387&lt;0,N1387&lt;0,O1387&lt;0,O1387&gt;100,P1387&lt;0,Q1387&lt;0,R1387&lt;0,R1387&gt;100),"Проверьте значения","Рассчитано")))))))</x:f>
        <x:v>Нужны цены</x:v>
      </x:c>
      <x:c r="K1387" s="36" t="n">
        <x:v>36</x:v>
      </x:c>
      <x:c r="L1387" s="19" t="str">
        <x:v>KZT</x:v>
      </x:c>
      <x:c r="M1387" s="22"/>
      <x:c r="N1387" s="22"/>
      <x:c r="O1387" s="28"/>
      <x:c r="P1387" s="22"/>
      <x:c r="Q1387" s="22"/>
      <x:c r="R1387" s="28"/>
      <x:c r="S1387" s="22"/>
      <x:c r="T1387" s="37" t="n">
        <x:f>K1387</x:f>
        <x:v>36</x:v>
      </x:c>
      <x:c r="U1387" s="21" t="str">
        <x:f>IF(J1387="Рассчитано",N1387*(1-O1387/100),"н/д")</x:f>
        <x:v>н/д</x:v>
      </x:c>
      <x:c r="V1387" s="21" t="str">
        <x:f>IF(J1387="Рассчитано",T1387*U1387,"н/д")</x:f>
        <x:v>н/д</x:v>
      </x:c>
      <x:c r="W1387" s="21" t="str">
        <x:f>IF(J1387="Рассчитано",T1387*M1387,"н/д")</x:f>
        <x:v>н/д</x:v>
      </x:c>
      <x:c r="X1387" s="21" t="str">
        <x:f>IF(J1387="Рассчитано",V1387-W1387,"н/д")</x:f>
        <x:v>н/д</x:v>
      </x:c>
      <x:c r="Y1387" s="27" t="str">
        <x:f>IF(J1387="Рассчитано",IF(V1387&gt;0,G1387/V1387,"н/д"),"н/д")</x:f>
        <x:v>н/д</x:v>
      </x:c>
      <x:c r="Z1387" s="21" t="str">
        <x:f>"н/д"</x:f>
        <x:v>н/д</x:v>
      </x:c>
      <x:c r="AA1387" s="21" t="str">
        <x:f>"н/д"</x:f>
        <x:v>н/д</x:v>
      </x:c>
      <x:c r="AB1387" s="21" t="str">
        <x:f>"н/д"</x:f>
        <x:v>н/д</x:v>
      </x:c>
      <x:c r="AC1387" s="21" t="str">
        <x:f>IF(AND(J1387="Рассчитано",T1387&gt;0,R1387&lt;100),(W1387+P1387+Q1387)/(T1387*(1-R1387/100)),"н/д")</x:f>
        <x:v>н/д</x:v>
      </x:c>
      <x:c r="AD1387" s="10" t="str">
        <x:f>IF(ISNUMBER(G1387),IF(G1387&lt;0,"Убыток",IF(G1387=0,"Без прибыли","Прибыль &gt; 0")),"Не оценён")</x:f>
        <x:v>Не оценён</x:v>
      </x:c>
      <x:c r="AE1387" s="13" t="str">
        <x:f>IF(J1387="Рассчитано","Выручка "&amp;TEXT(V1387,"0.00")&amp;" - себестоимость "&amp;TEXT(W1387,"0.00")&amp;" - комиссия "&amp;TEXT(V1387*R1387/100,"0.00")&amp;" - доставка "&amp;TEXT(P1387,"0.00")&amp;" - прочие "&amp;TEXT(Q1387,"0.00")&amp;" = "&amp;TEXT(G1387,"0.00")&amp;" "&amp;L1387,"Введите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7" s="24" t="n">
        <x:v>170.52921744669203</x:v>
      </x:c>
      <x:c r="AG1387" s="37" t="n">
        <x:v>207</x:v>
      </x:c>
      <x:c r="AH1387" s="37" t="n">
        <x:v>0</x:v>
      </x:c>
      <x:c r="AI1387" s="30" t="n">
        <x:v>46287</x:v>
      </x:c>
      <x:c r="AJ1387" s="37" t="n">
        <x:v>10</x:v>
      </x:c>
      <x:c r="AK1387" s="10" t="str">
        <x:v>кратность</x:v>
      </x:c>
      <x:c r="AL1387" s="32" t="n">
        <x:v>103.4993269717535</x:v>
      </x:c>
      <x:c r="AM1387" s="13" t="str">
        <x:v>Детальные и месячные продажи расходятся; Нет ежедневных данных доступности. Запас выше прогноза на 90 дней</x:v>
      </x:c>
      <x:c r="AN1387" s="13" t="str">
        <x:v>Проверить свободный остаток и установить цену для B2B</x:v>
      </x:c>
      <x:c r="AO1387" s="13" t="str">
        <x:v>Остаток 207; прогноз 90 дней 170.53; избыток 36 шт. Будущие поступления не выставляются на продажу.</x:v>
      </x:c>
      <x:c r="AP1387" s="13" t="str">
        <x:v>["daily_stockout_data_missing", "large_orders_detected", "new_order_lead_time_unknown", "transaction_month_mismatch"]</x:v>
      </x:c>
      <x:c r="AQ1387" s="10" t="str">
        <x:v>SE:300200592_</x:v>
      </x:c>
      <x:c r="AR1387" s="24" t="n">
        <x:v>1</x:v>
      </x:c>
      <x:c r="AS1387" s="24" t="n">
        <x:v>0</x:v>
      </x:c>
      <x:c r="AT1387" s="24" t="n">
        <x:v>0</x:v>
      </x:c>
    </x:row>
    <x:row r="1388" ht="64" customHeight="1">
      <x:c r="A1388" s="11" t="str">
        <x:v>Systeme Electric</x:v>
      </x:c>
      <x:c r="B1388" s="33" t="str">
        <x:v>300200593_</x:v>
      </x:c>
      <x:c r="C1388" s="33" t="str">
        <x:v>ATN000551</x:v>
      </x:c>
      <x:c r="D1388" s="12" t="str">
        <x:v>K0266 Выкл. 2 кл 10А б/рамки "ATLAS" ШАМПАНЬ ATN551 (10) NEW</x:v>
      </x:c>
      <x:c r="E1388" s="11" t="str">
        <x:v>шт</x:v>
      </x:c>
      <x:c r="F1388" s="35" t="n">
        <x:f>MAX(0,ROUNDDOWN((AG1388-AF1388)/AR1388+0.000000001,0)*AR1388)</x:f>
        <x:v>69</x:v>
      </x:c>
      <x:c r="G1388" s="20" t="str">
        <x:f>IF(J1388="Рассчитано",V1388*(1-R1388/100)-W1388-P1388-Q1388,"н/д")</x:f>
        <x:v>н/д</x:v>
      </x:c>
      <x:c r="H1388" s="12" t="str">
        <x:v>Средний</x:v>
      </x:c>
      <x:c r="I1388" s="12" t="str">
        <x:v>Средний</x:v>
      </x:c>
      <x:c r="J1388" s="12" t="str">
        <x:f>IF(L1388="","Укажите валюту",IF(NOT(ISNUMBER(K1388)),"Укажите объём",IF(K1388&lt;=0,"Укажите объём",IF(K1388&gt;F1388,"Объём выше излишка",IF(COUNT(M1388:O1388)&lt;3,"Нужны цены",IF(COUNT(P1388:R1388)&lt;3,"Нужны расходы",IF(OR(M1388&lt;0,N1388&lt;0,O1388&lt;0,O1388&gt;100,P1388&lt;0,Q1388&lt;0,R1388&lt;0,R1388&gt;100),"Проверьте значения","Рассчитано")))))))</x:f>
        <x:v>Нужны цены</x:v>
      </x:c>
      <x:c r="K1388" s="36" t="n">
        <x:v>69</x:v>
      </x:c>
      <x:c r="L1388" s="19" t="str">
        <x:v>KZT</x:v>
      </x:c>
      <x:c r="M1388" s="22"/>
      <x:c r="N1388" s="22"/>
      <x:c r="O1388" s="28"/>
      <x:c r="P1388" s="22"/>
      <x:c r="Q1388" s="22"/>
      <x:c r="R1388" s="28"/>
      <x:c r="S1388" s="22"/>
      <x:c r="T1388" s="35" t="n">
        <x:f>K1388</x:f>
        <x:v>69</x:v>
      </x:c>
      <x:c r="U1388" s="20" t="str">
        <x:f>IF(J1388="Рассчитано",N1388*(1-O1388/100),"н/д")</x:f>
        <x:v>н/д</x:v>
      </x:c>
      <x:c r="V1388" s="20" t="str">
        <x:f>IF(J1388="Рассчитано",T1388*U1388,"н/д")</x:f>
        <x:v>н/д</x:v>
      </x:c>
      <x:c r="W1388" s="20" t="str">
        <x:f>IF(J1388="Рассчитано",T1388*M1388,"н/д")</x:f>
        <x:v>н/д</x:v>
      </x:c>
      <x:c r="X1388" s="20" t="str">
        <x:f>IF(J1388="Рассчитано",V1388-W1388,"н/д")</x:f>
        <x:v>н/д</x:v>
      </x:c>
      <x:c r="Y1388" s="26" t="str">
        <x:f>IF(J1388="Рассчитано",IF(V1388&gt;0,G1388/V1388,"н/д"),"н/д")</x:f>
        <x:v>н/д</x:v>
      </x:c>
      <x:c r="Z1388" s="20" t="str">
        <x:f>"н/д"</x:f>
        <x:v>н/д</x:v>
      </x:c>
      <x:c r="AA1388" s="20" t="str">
        <x:f>"н/д"</x:f>
        <x:v>н/д</x:v>
      </x:c>
      <x:c r="AB1388" s="20" t="str">
        <x:f>"н/д"</x:f>
        <x:v>н/д</x:v>
      </x:c>
      <x:c r="AC1388" s="20" t="str">
        <x:f>IF(AND(J1388="Рассчитано",T1388&gt;0,R1388&lt;100),(W1388+P1388+Q1388)/(T1388*(1-R1388/100)),"н/д")</x:f>
        <x:v>н/д</x:v>
      </x:c>
      <x:c r="AD1388" s="11" t="str">
        <x:f>IF(ISNUMBER(G1388),IF(G1388&lt;0,"Убыток",IF(G1388=0,"Без прибыли","Прибыль &gt; 0")),"Не оценён")</x:f>
        <x:v>Не оценён</x:v>
      </x:c>
      <x:c r="AE1388" s="12" t="str">
        <x:f>IF(J1388="Рассчитано","Выручка "&amp;TEXT(V1388,"0.00")&amp;" - себестоимость "&amp;TEXT(W1388,"0.00")&amp;" - комиссия "&amp;TEXT(V1388*R1388/100,"0.00")&amp;" - доставка "&amp;TEXT(P1388,"0.00")&amp;" - прочие "&amp;TEXT(Q1388,"0.00")&amp;" = "&amp;TEXT(G1388,"0.00")&amp;" "&amp;L1388,"Введите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8" s="23" t="n">
        <x:v>160.74409637786886</x:v>
      </x:c>
      <x:c r="AG1388" s="35" t="n">
        <x:v>230</x:v>
      </x:c>
      <x:c r="AH1388" s="35" t="n">
        <x:v>0</x:v>
      </x:c>
      <x:c r="AI1388" s="29" t="n">
        <x:v>46287</x:v>
      </x:c>
      <x:c r="AJ1388" s="35" t="n">
        <x:v>10</x:v>
      </x:c>
      <x:c r="AK1388" s="11" t="str">
        <x:v>кратность</x:v>
      </x:c>
      <x:c r="AL1388" s="31" t="n">
        <x:v>121.99970589873715</x:v>
      </x:c>
      <x:c r="AM1388" s="12" t="str">
        <x:v>Нет ежедневных данных доступности. Запас выше прогноза на 90 дней</x:v>
      </x:c>
      <x:c r="AN1388" s="12" t="str">
        <x:v>Проверить свободный остаток и установить цену для B2B</x:v>
      </x:c>
      <x:c r="AO1388" s="12" t="str">
        <x:v>Остаток 230; прогноз 90 дней 160.74; избыток 69 шт. Будущие поступления не выставляются на продажу.</x:v>
      </x:c>
      <x:c r="AP1388" s="12" t="str">
        <x:v>["daily_stockout_data_missing", "new_order_lead_time_unknown"]</x:v>
      </x:c>
      <x:c r="AQ1388" s="11" t="str">
        <x:v>SE:300200593_</x:v>
      </x:c>
      <x:c r="AR1388" s="23" t="n">
        <x:v>1</x:v>
      </x:c>
      <x:c r="AS1388" s="23" t="n">
        <x:v>0</x:v>
      </x:c>
      <x:c r="AT1388" s="23" t="n">
        <x:v>0</x:v>
      </x:c>
    </x:row>
    <x:row r="1389" ht="64" customHeight="1">
      <x:c r="A1389" s="10" t="str">
        <x:v>Systeme Electric</x:v>
      </x:c>
      <x:c r="B1389" s="34" t="str">
        <x:v>300200595_</x:v>
      </x:c>
      <x:c r="C1389" s="34" t="str">
        <x:v>ATN000951</x:v>
      </x:c>
      <x:c r="D1389" s="13" t="str">
        <x:v>Выкл 2-кл, сх.5, 10АХ, механизм, сталь "ATLAS"</x:v>
      </x:c>
      <x:c r="E1389" s="10" t="str">
        <x:v>шт</x:v>
      </x:c>
      <x:c r="F1389" s="37" t="n">
        <x:f>MAX(0,ROUNDDOWN((AG1389-AF1389)/AR1389+0.000000001,0)*AR1389)</x:f>
        <x:v>325</x:v>
      </x:c>
      <x:c r="G1389" s="21" t="str">
        <x:f>IF(J1389="Рассчитано",V1389*(1-R1389/100)-W1389-P1389-Q1389,"н/д")</x:f>
        <x:v>н/д</x:v>
      </x:c>
      <x:c r="H1389" s="13" t="str">
        <x:v>Средний</x:v>
      </x:c>
      <x:c r="I1389" s="13" t="str">
        <x:v>Высокий</x:v>
      </x:c>
      <x:c r="J1389" s="13" t="str">
        <x:f>IF(L1389="","Укажите валюту",IF(NOT(ISNUMBER(K1389)),"Укажите объём",IF(K1389&lt;=0,"Укажите объём",IF(K1389&gt;F1389,"Объём выше излишка",IF(COUNT(M1389:O1389)&lt;3,"Нужны цены",IF(COUNT(P1389:R1389)&lt;3,"Нужны расходы",IF(OR(M1389&lt;0,N1389&lt;0,O1389&lt;0,O1389&gt;100,P1389&lt;0,Q1389&lt;0,R1389&lt;0,R1389&gt;100),"Проверьте значения","Рассчитано")))))))</x:f>
        <x:v>Нужны цены</x:v>
      </x:c>
      <x:c r="K1389" s="36" t="n">
        <x:v>325</x:v>
      </x:c>
      <x:c r="L1389" s="19" t="str">
        <x:v>KZT</x:v>
      </x:c>
      <x:c r="M1389" s="22"/>
      <x:c r="N1389" s="22"/>
      <x:c r="O1389" s="28"/>
      <x:c r="P1389" s="22"/>
      <x:c r="Q1389" s="22"/>
      <x:c r="R1389" s="28"/>
      <x:c r="S1389" s="22"/>
      <x:c r="T1389" s="37" t="n">
        <x:f>K1389</x:f>
        <x:v>325</x:v>
      </x:c>
      <x:c r="U1389" s="21" t="str">
        <x:f>IF(J1389="Рассчитано",N1389*(1-O1389/100),"н/д")</x:f>
        <x:v>н/д</x:v>
      </x:c>
      <x:c r="V1389" s="21" t="str">
        <x:f>IF(J1389="Рассчитано",T1389*U1389,"н/д")</x:f>
        <x:v>н/д</x:v>
      </x:c>
      <x:c r="W1389" s="21" t="str">
        <x:f>IF(J1389="Рассчитано",T1389*M1389,"н/д")</x:f>
        <x:v>н/д</x:v>
      </x:c>
      <x:c r="X1389" s="21" t="str">
        <x:f>IF(J1389="Рассчитано",V1389-W1389,"н/д")</x:f>
        <x:v>н/д</x:v>
      </x:c>
      <x:c r="Y1389" s="27" t="str">
        <x:f>IF(J1389="Рассчитано",IF(V1389&gt;0,G1389/V1389,"н/д"),"н/д")</x:f>
        <x:v>н/д</x:v>
      </x:c>
      <x:c r="Z1389" s="21" t="str">
        <x:f>"н/д"</x:f>
        <x:v>н/д</x:v>
      </x:c>
      <x:c r="AA1389" s="21" t="str">
        <x:f>"н/д"</x:f>
        <x:v>н/д</x:v>
      </x:c>
      <x:c r="AB1389" s="21" t="str">
        <x:f>"н/д"</x:f>
        <x:v>н/д</x:v>
      </x:c>
      <x:c r="AC1389" s="21" t="str">
        <x:f>IF(AND(J1389="Рассчитано",T1389&gt;0,R1389&lt;100),(W1389+P1389+Q1389)/(T1389*(1-R1389/100)),"н/д")</x:f>
        <x:v>н/д</x:v>
      </x:c>
      <x:c r="AD1389" s="10" t="str">
        <x:f>IF(ISNUMBER(G1389),IF(G1389&lt;0,"Убыток",IF(G1389=0,"Без прибыли","Прибыль &gt; 0")),"Не оценён")</x:f>
        <x:v>Не оценён</x:v>
      </x:c>
      <x:c r="AE1389" s="13" t="str">
        <x:f>IF(J1389="Рассчитано","Выручка "&amp;TEXT(V1389,"0.00")&amp;" - себестоимость "&amp;TEXT(W1389,"0.00")&amp;" - комиссия "&amp;TEXT(V1389*R1389/100,"0.00")&amp;" - доставка "&amp;TEXT(P1389,"0.00")&amp;" - прочие "&amp;TEXT(Q1389,"0.00")&amp;" = "&amp;TEXT(G1389,"0.00")&amp;" "&amp;L1389,"Введите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9" s="24" t="n">
        <x:v>24.947802089841936</x:v>
      </x:c>
      <x:c r="AG1389" s="37" t="n">
        <x:v>350</x:v>
      </x:c>
      <x:c r="AH1389" s="37" t="n">
        <x:v>0</x:v>
      </x:c>
      <x:c r="AI1389" s="30" t="n">
        <x:v>46287</x:v>
      </x:c>
      <x:c r="AJ1389" s="37" t="n">
        <x:v>5</x:v>
      </x:c>
      <x:c r="AK1389" s="10" t="str">
        <x:v>кратность</x:v>
      </x:c>
      <x:c r="AL1389" s="32" t="n">
        <x:v>1196.194313570783</x:v>
      </x:c>
      <x:c r="AM1389" s="13" t="str">
        <x:v>Нет ежедневных данных доступности. Запас более 180 дней при среднем спросе</x:v>
      </x:c>
      <x:c r="AN1389" s="13" t="str">
        <x:v>Проверить свободный остаток и установить цену для B2B</x:v>
      </x:c>
      <x:c r="AO1389" s="13" t="str">
        <x:v>Остаток 350; прогноз 90 дней 24.95; избыток 325 шт. Будущие поступления не выставляются на продажу.</x:v>
      </x:c>
      <x:c r="AP1389" s="13" t="str">
        <x:v>["daily_stockout_data_missing", "large_orders_detected", "new_order_lead_time_unknown"]</x:v>
      </x:c>
      <x:c r="AQ1389" s="10" t="str">
        <x:v>SE:300200595_</x:v>
      </x:c>
      <x:c r="AR1389" s="24" t="n">
        <x:v>1</x:v>
      </x:c>
      <x:c r="AS1389" s="24" t="n">
        <x:v>0</x:v>
      </x:c>
      <x:c r="AT1389" s="24" t="n">
        <x:v>0</x:v>
      </x:c>
    </x:row>
    <x:row r="1390" ht="64" customHeight="1">
      <x:c r="A1390" s="11" t="str">
        <x:v>Systeme Electric</x:v>
      </x:c>
      <x:c r="B1390" s="33" t="str">
        <x:v>300200704_</x:v>
      </x:c>
      <x:c r="C1390" s="33" t="str">
        <x:v>ATN000541</x:v>
      </x:c>
      <x:c r="D1390" s="12" t="str">
        <x:v>K02333 Роз. без з/к без с/ш 16А мех. "ATLAS" ШАМПАНЬ ATN541 (10) NEW</x:v>
      </x:c>
      <x:c r="E1390" s="11" t="str">
        <x:v>шт</x:v>
      </x:c>
      <x:c r="F1390" s="35" t="n">
        <x:f>MAX(0,ROUNDDOWN((AG1390-AF1390)/AR1390+0.000000001,0)*AR1390)</x:f>
        <x:v>203</x:v>
      </x:c>
      <x:c r="G1390" s="20" t="str">
        <x:f>IF(J1390="Рассчитано",V1390*(1-R1390/100)-W1390-P1390-Q1390,"н/д")</x:f>
        <x:v>н/д</x:v>
      </x:c>
      <x:c r="H1390" s="12" t="str">
        <x:v>Средний</x:v>
      </x:c>
      <x:c r="I1390" s="12" t="str">
        <x:v>Высокий</x:v>
      </x:c>
      <x:c r="J1390" s="12" t="str">
        <x:f>IF(L1390="","Укажите валюту",IF(NOT(ISNUMBER(K1390)),"Укажите объём",IF(K1390&lt;=0,"Укажите объём",IF(K1390&gt;F1390,"Объём выше излишка",IF(COUNT(M1390:O1390)&lt;3,"Нужны цены",IF(COUNT(P1390:R1390)&lt;3,"Нужны расходы",IF(OR(M1390&lt;0,N1390&lt;0,O1390&lt;0,O1390&gt;100,P1390&lt;0,Q1390&lt;0,R1390&lt;0,R1390&gt;100),"Проверьте значения","Рассчитано")))))))</x:f>
        <x:v>Нужны цены</x:v>
      </x:c>
      <x:c r="K1390" s="36" t="n">
        <x:v>203</x:v>
      </x:c>
      <x:c r="L1390" s="19" t="str">
        <x:v>KZT</x:v>
      </x:c>
      <x:c r="M1390" s="22"/>
      <x:c r="N1390" s="22"/>
      <x:c r="O1390" s="28"/>
      <x:c r="P1390" s="22"/>
      <x:c r="Q1390" s="22"/>
      <x:c r="R1390" s="28"/>
      <x:c r="S1390" s="22"/>
      <x:c r="T1390" s="35" t="n">
        <x:f>K1390</x:f>
        <x:v>203</x:v>
      </x:c>
      <x:c r="U1390" s="20" t="str">
        <x:f>IF(J1390="Рассчитано",N1390*(1-O1390/100),"н/д")</x:f>
        <x:v>н/д</x:v>
      </x:c>
      <x:c r="V1390" s="20" t="str">
        <x:f>IF(J1390="Рассчитано",T1390*U1390,"н/д")</x:f>
        <x:v>н/д</x:v>
      </x:c>
      <x:c r="W1390" s="20" t="str">
        <x:f>IF(J1390="Рассчитано",T1390*M1390,"н/д")</x:f>
        <x:v>н/д</x:v>
      </x:c>
      <x:c r="X1390" s="20" t="str">
        <x:f>IF(J1390="Рассчитано",V1390-W1390,"н/д")</x:f>
        <x:v>н/д</x:v>
      </x:c>
      <x:c r="Y1390" s="26" t="str">
        <x:f>IF(J1390="Рассчитано",IF(V1390&gt;0,G1390/V1390,"н/д"),"н/д")</x:f>
        <x:v>н/д</x:v>
      </x:c>
      <x:c r="Z1390" s="20" t="str">
        <x:f>"н/д"</x:f>
        <x:v>н/д</x:v>
      </x:c>
      <x:c r="AA1390" s="20" t="str">
        <x:f>"н/д"</x:f>
        <x:v>н/д</x:v>
      </x:c>
      <x:c r="AB1390" s="20" t="str">
        <x:f>"н/д"</x:f>
        <x:v>н/д</x:v>
      </x:c>
      <x:c r="AC1390" s="20" t="str">
        <x:f>IF(AND(J1390="Рассчитано",T1390&gt;0,R1390&lt;100),(W1390+P1390+Q1390)/(T1390*(1-R1390/100)),"н/д")</x:f>
        <x:v>н/д</x:v>
      </x:c>
      <x:c r="AD1390" s="11" t="str">
        <x:f>IF(ISNUMBER(G1390),IF(G1390&lt;0,"Убыток",IF(G1390=0,"Без прибыли","Прибыль &gt; 0")),"Не оценён")</x:f>
        <x:v>Не оценён</x:v>
      </x:c>
      <x:c r="AE1390" s="12" t="str">
        <x:f>IF(J1390="Рассчитано","Выручка "&amp;TEXT(V1390,"0.00")&amp;" - себестоимость "&amp;TEXT(W1390,"0.00")&amp;" - комиссия "&amp;TEXT(V1390*R1390/100,"0.00")&amp;" - доставка "&amp;TEXT(P1390,"0.00")&amp;" - прочие "&amp;TEXT(Q1390,"0.00")&amp;" = "&amp;TEXT(G1390,"0.00")&amp;" "&amp;L1390,"Введите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0" s="23" t="n">
        <x:v>31.173445219546164</x:v>
      </x:c>
      <x:c r="AG1390" s="35" t="n">
        <x:v>235</x:v>
      </x:c>
      <x:c r="AH1390" s="35" t="n">
        <x:v>0</x:v>
      </x:c>
      <x:c r="AI1390" s="29" t="n">
        <x:v>46287</x:v>
      </x:c>
      <x:c r="AJ1390" s="35" t="n">
        <x:v>10</x:v>
      </x:c>
      <x:c r="AK1390" s="11" t="str">
        <x:v>кратность</x:v>
      </x:c>
      <x:c r="AL1390" s="31" t="n">
        <x:v>642.7602920791566</x:v>
      </x:c>
      <x:c r="AM1390" s="12" t="str">
        <x:v>Нет ежедневных данных доступности. Запас более 180 дней при среднем спросе</x:v>
      </x:c>
      <x:c r="AN1390" s="12" t="str">
        <x:v>Проверить свободный остаток и установить цену для B2B</x:v>
      </x:c>
      <x:c r="AO1390" s="12" t="str">
        <x:v>Остаток 235; прогноз 90 дней 31.17; избыток 203 шт. Будущие поступления не выставляются на продажу.</x:v>
      </x:c>
      <x:c r="AP1390" s="12" t="str">
        <x:v>["daily_stockout_data_missing", "negative_net_sales_clipped_for_forecast", "new_order_lead_time_unknown"]</x:v>
      </x:c>
      <x:c r="AQ1390" s="11" t="str">
        <x:v>SE:300200704_</x:v>
      </x:c>
      <x:c r="AR1390" s="23" t="n">
        <x:v>1</x:v>
      </x:c>
      <x:c r="AS1390" s="23" t="n">
        <x:v>0</x:v>
      </x:c>
      <x:c r="AT1390" s="23" t="n">
        <x:v>0</x:v>
      </x:c>
    </x:row>
    <x:row r="1391" ht="64" customHeight="1">
      <x:c r="A1391" s="10" t="str">
        <x:v>Systeme Electric</x:v>
      </x:c>
      <x:c r="B1391" s="34" t="str">
        <x:v>300200719_</x:v>
      </x:c>
      <x:c r="C1391" s="34" t="str">
        <x:v>ATN001245</x:v>
      </x:c>
      <x:c r="D1391" s="13" t="str">
        <x:v>К091 Роз. с з/к с з/ш 16А механизм ATLAS ПЕСОЧНЫЙ ATN1245 (5)</x:v>
      </x:c>
      <x:c r="E1391" s="10" t="str">
        <x:v>шт</x:v>
      </x:c>
      <x:c r="F1391" s="37" t="n">
        <x:f>MAX(0,ROUNDDOWN((AG1391-AF1391)/AR1391+0.000000001,0)*AR1391)</x:f>
        <x:v>19</x:v>
      </x:c>
      <x:c r="G1391" s="21" t="str">
        <x:f>IF(J1391="Рассчитано",V1391*(1-R1391/100)-W1391-P1391-Q1391,"н/д")</x:f>
        <x:v>н/д</x:v>
      </x:c>
      <x:c r="H1391" s="13" t="str">
        <x:v>Средний</x:v>
      </x:c>
      <x:c r="I1391" s="13" t="str">
        <x:v>Средний</x:v>
      </x:c>
      <x:c r="J1391" s="13" t="str">
        <x:f>IF(L1391="","Укажите валюту",IF(NOT(ISNUMBER(K1391)),"Укажите объём",IF(K1391&lt;=0,"Укажите объём",IF(K1391&gt;F1391,"Объём выше излишка",IF(COUNT(M1391:O1391)&lt;3,"Нужны цены",IF(COUNT(P1391:R1391)&lt;3,"Нужны расходы",IF(OR(M1391&lt;0,N1391&lt;0,O1391&lt;0,O1391&gt;100,P1391&lt;0,Q1391&lt;0,R1391&lt;0,R1391&gt;100),"Проверьте значения","Рассчитано")))))))</x:f>
        <x:v>Нужны цены</x:v>
      </x:c>
      <x:c r="K1391" s="36" t="n">
        <x:v>19</x:v>
      </x:c>
      <x:c r="L1391" s="19" t="str">
        <x:v>KZT</x:v>
      </x:c>
      <x:c r="M1391" s="22"/>
      <x:c r="N1391" s="22"/>
      <x:c r="O1391" s="28"/>
      <x:c r="P1391" s="22"/>
      <x:c r="Q1391" s="22"/>
      <x:c r="R1391" s="28"/>
      <x:c r="S1391" s="22"/>
      <x:c r="T1391" s="37" t="n">
        <x:f>K1391</x:f>
        <x:v>19</x:v>
      </x:c>
      <x:c r="U1391" s="21" t="str">
        <x:f>IF(J1391="Рассчитано",N1391*(1-O1391/100),"н/д")</x:f>
        <x:v>н/д</x:v>
      </x:c>
      <x:c r="V1391" s="21" t="str">
        <x:f>IF(J1391="Рассчитано",T1391*U1391,"н/д")</x:f>
        <x:v>н/д</x:v>
      </x:c>
      <x:c r="W1391" s="21" t="str">
        <x:f>IF(J1391="Рассчитано",T1391*M1391,"н/д")</x:f>
        <x:v>н/д</x:v>
      </x:c>
      <x:c r="X1391" s="21" t="str">
        <x:f>IF(J1391="Рассчитано",V1391-W1391,"н/д")</x:f>
        <x:v>н/д</x:v>
      </x:c>
      <x:c r="Y1391" s="27" t="str">
        <x:f>IF(J1391="Рассчитано",IF(V1391&gt;0,G1391/V1391,"н/д"),"н/д")</x:f>
        <x:v>н/д</x:v>
      </x:c>
      <x:c r="Z1391" s="21" t="str">
        <x:f>"н/д"</x:f>
        <x:v>н/д</x:v>
      </x:c>
      <x:c r="AA1391" s="21" t="str">
        <x:f>"н/д"</x:f>
        <x:v>н/д</x:v>
      </x:c>
      <x:c r="AB1391" s="21" t="str">
        <x:f>"н/д"</x:f>
        <x:v>н/д</x:v>
      </x:c>
      <x:c r="AC1391" s="21" t="str">
        <x:f>IF(AND(J1391="Рассчитано",T1391&gt;0,R1391&lt;100),(W1391+P1391+Q1391)/(T1391*(1-R1391/100)),"н/д")</x:f>
        <x:v>н/д</x:v>
      </x:c>
      <x:c r="AD1391" s="10" t="str">
        <x:f>IF(ISNUMBER(G1391),IF(G1391&lt;0,"Убыток",IF(G1391=0,"Без прибыли","Прибыль &gt; 0")),"Не оценён")</x:f>
        <x:v>Не оценён</x:v>
      </x:c>
      <x:c r="AE1391" s="13" t="str">
        <x:f>IF(J1391="Рассчитано","Выручка "&amp;TEXT(V1391,"0.00")&amp;" - себестоимость "&amp;TEXT(W1391,"0.00")&amp;" - комиссия "&amp;TEXT(V1391*R1391/100,"0.00")&amp;" - доставка "&amp;TEXT(P1391,"0.00")&amp;" - прочие "&amp;TEXT(Q1391,"0.00")&amp;" = "&amp;TEXT(G1391,"0.00")&amp;" "&amp;L1391,"Введите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1" s="24" t="n">
        <x:v>41.76234127930494</x:v>
      </x:c>
      <x:c r="AG1391" s="37" t="n">
        <x:v>61</x:v>
      </x:c>
      <x:c r="AH1391" s="37" t="n">
        <x:v>0</x:v>
      </x:c>
      <x:c r="AI1391" s="30" t="n">
        <x:v>46287</x:v>
      </x:c>
      <x:c r="AJ1391" s="37" t="n">
        <x:v>5</x:v>
      </x:c>
      <x:c r="AK1391" s="10" t="str">
        <x:v>кратность</x:v>
      </x:c>
      <x:c r="AL1391" s="32" t="n">
        <x:v>124.54060647460672</x:v>
      </x:c>
      <x:c r="AM1391" s="13" t="str">
        <x:v>Нет ежедневных данных доступности. Запас выше прогноза на 90 дней</x:v>
      </x:c>
      <x:c r="AN1391" s="13" t="str">
        <x:v>Проверить свободный остаток и установить цену для B2B</x:v>
      </x:c>
      <x:c r="AO1391" s="13" t="str">
        <x:v>Остаток 61; прогноз 90 дней 41.76; избыток 19 шт. Будущие поступления не выставляются на продажу.</x:v>
      </x:c>
      <x:c r="AP1391" s="13" t="str">
        <x:v>["daily_stockout_data_missing", "negative_net_sales_clipped_for_forecast", "new_order_lead_time_unknown"]</x:v>
      </x:c>
      <x:c r="AQ1391" s="10" t="str">
        <x:v>SE:300200719_</x:v>
      </x:c>
      <x:c r="AR1391" s="24" t="n">
        <x:v>1</x:v>
      </x:c>
      <x:c r="AS1391" s="24" t="n">
        <x:v>0</x:v>
      </x:c>
      <x:c r="AT1391" s="24" t="n">
        <x:v>0</x:v>
      </x:c>
    </x:row>
    <x:row r="1392" ht="64" customHeight="1">
      <x:c r="A1392" s="11" t="str">
        <x:v>Systeme Electric</x:v>
      </x:c>
      <x:c r="B1392" s="33" t="str">
        <x:v>300200721_</x:v>
      </x:c>
      <x:c r="C1392" s="33" t="str">
        <x:v>ATN001213</x:v>
      </x:c>
      <x:c r="D1392" s="12" t="str">
        <x:v>К093 Выкл 1 кл с инд 10А с/у б/рамки ATLAS ПЕСОЧНЫЙ ATN1213</x:v>
      </x:c>
      <x:c r="E1392" s="11" t="str">
        <x:v>шт</x:v>
      </x:c>
      <x:c r="F1392" s="35" t="n">
        <x:f>MAX(0,ROUNDDOWN((AG1392-AF1392)/AR1392+0.000000001,0)*AR1392)</x:f>
        <x:v>1</x:v>
      </x:c>
      <x:c r="G1392" s="20" t="str">
        <x:f>IF(J1392="Рассчитано",V1392*(1-R1392/100)-W1392-P1392-Q1392,"н/д")</x:f>
        <x:v>н/д</x:v>
      </x:c>
      <x:c r="H1392" s="12" t="str">
        <x:v>Средний</x:v>
      </x:c>
      <x:c r="I1392" s="12" t="str">
        <x:v>Средний</x:v>
      </x:c>
      <x:c r="J1392" s="12" t="str">
        <x:f>IF(L1392="","Укажите валюту",IF(NOT(ISNUMBER(K1392)),"Укажите объём",IF(K1392&lt;=0,"Укажите объём",IF(K1392&gt;F1392,"Объём выше излишка",IF(COUNT(M1392:O1392)&lt;3,"Нужны цены",IF(COUNT(P1392:R1392)&lt;3,"Нужны расходы",IF(OR(M1392&lt;0,N1392&lt;0,O1392&lt;0,O1392&gt;100,P1392&lt;0,Q1392&lt;0,R1392&lt;0,R1392&gt;100),"Проверьте значения","Рассчитано")))))))</x:f>
        <x:v>Нужны цены</x:v>
      </x:c>
      <x:c r="K1392" s="36" t="n">
        <x:v>1</x:v>
      </x:c>
      <x:c r="L1392" s="19" t="str">
        <x:v>KZT</x:v>
      </x:c>
      <x:c r="M1392" s="22"/>
      <x:c r="N1392" s="22"/>
      <x:c r="O1392" s="28"/>
      <x:c r="P1392" s="22"/>
      <x:c r="Q1392" s="22"/>
      <x:c r="R1392" s="28"/>
      <x:c r="S1392" s="22"/>
      <x:c r="T1392" s="35" t="n">
        <x:f>K1392</x:f>
        <x:v>1</x:v>
      </x:c>
      <x:c r="U1392" s="20" t="str">
        <x:f>IF(J1392="Рассчитано",N1392*(1-O1392/100),"н/д")</x:f>
        <x:v>н/д</x:v>
      </x:c>
      <x:c r="V1392" s="20" t="str">
        <x:f>IF(J1392="Рассчитано",T1392*U1392,"н/д")</x:f>
        <x:v>н/д</x:v>
      </x:c>
      <x:c r="W1392" s="20" t="str">
        <x:f>IF(J1392="Рассчитано",T1392*M1392,"н/д")</x:f>
        <x:v>н/д</x:v>
      </x:c>
      <x:c r="X1392" s="20" t="str">
        <x:f>IF(J1392="Рассчитано",V1392-W1392,"н/д")</x:f>
        <x:v>н/д</x:v>
      </x:c>
      <x:c r="Y1392" s="26" t="str">
        <x:f>IF(J1392="Рассчитано",IF(V1392&gt;0,G1392/V1392,"н/д"),"н/д")</x:f>
        <x:v>н/д</x:v>
      </x:c>
      <x:c r="Z1392" s="20" t="str">
        <x:f>"н/д"</x:f>
        <x:v>н/д</x:v>
      </x:c>
      <x:c r="AA1392" s="20" t="str">
        <x:f>"н/д"</x:f>
        <x:v>н/д</x:v>
      </x:c>
      <x:c r="AB1392" s="20" t="str">
        <x:f>"н/д"</x:f>
        <x:v>н/д</x:v>
      </x:c>
      <x:c r="AC1392" s="20" t="str">
        <x:f>IF(AND(J1392="Рассчитано",T1392&gt;0,R1392&lt;100),(W1392+P1392+Q1392)/(T1392*(1-R1392/100)),"н/д")</x:f>
        <x:v>н/д</x:v>
      </x:c>
      <x:c r="AD1392" s="11" t="str">
        <x:f>IF(ISNUMBER(G1392),IF(G1392&lt;0,"Убыток",IF(G1392=0,"Без прибыли","Прибыль &gt; 0")),"Не оценён")</x:f>
        <x:v>Не оценён</x:v>
      </x:c>
      <x:c r="AE1392" s="12" t="str">
        <x:f>IF(J1392="Рассчитано","Выручка "&amp;TEXT(V1392,"0.00")&amp;" - себестоимость "&amp;TEXT(W1392,"0.00")&amp;" - комиссия "&amp;TEXT(V1392*R1392/100,"0.00")&amp;" - доставка "&amp;TEXT(P1392,"0.00")&amp;" - прочие "&amp;TEXT(Q1392,"0.00")&amp;" = "&amp;TEXT(G1392,"0.00")&amp;" "&amp;L1392,"Введите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2" s="23" t="n">
        <x:v>7.0033440184527</x:v>
      </x:c>
      <x:c r="AG1392" s="35" t="n">
        <x:v>9</x:v>
      </x:c>
      <x:c r="AH1392" s="35" t="n">
        <x:v>0</x:v>
      </x:c>
      <x:c r="AI1392" s="29" t="n">
        <x:v>46287</x:v>
      </x:c>
      <x:c r="AJ1392" s="35" t="n">
        <x:v>5</x:v>
      </x:c>
      <x:c r="AK1392" s="11" t="str">
        <x:v>кратность</x:v>
      </x:c>
      <x:c r="AL1392" s="31" t="n">
        <x:v>109.57286782508199</x:v>
      </x:c>
      <x:c r="AM1392" s="12" t="str">
        <x:v>Нет ежедневных данных доступности. Запас выше прогноза на 90 дней</x:v>
      </x:c>
      <x:c r="AN1392" s="12" t="str">
        <x:v>Проверить свободный остаток и установить цену для B2B</x:v>
      </x:c>
      <x:c r="AO1392" s="12" t="str">
        <x:v>Остаток 9; прогноз 90 дней 7.00; избыток 1 шт. Будущие поступления не выставляются на продажу.</x:v>
      </x:c>
      <x:c r="AP1392" s="12" t="str">
        <x:v>["daily_stockout_data_missing", "new_order_lead_time_unknown"]</x:v>
      </x:c>
      <x:c r="AQ1392" s="11" t="str">
        <x:v>SE:300200721_</x:v>
      </x:c>
      <x:c r="AR1392" s="23" t="n">
        <x:v>1</x:v>
      </x:c>
      <x:c r="AS1392" s="23" t="n">
        <x:v>0</x:v>
      </x:c>
      <x:c r="AT1392" s="23" t="n">
        <x:v>0</x:v>
      </x:c>
    </x:row>
    <x:row r="1393" ht="64" customHeight="1">
      <x:c r="A1393" s="10" t="str">
        <x:v>Systeme Electric</x:v>
      </x:c>
      <x:c r="B1393" s="34" t="str">
        <x:v>300200727_</x:v>
      </x:c>
      <x:c r="C1393" s="34" t="str">
        <x:v>ATN001263</x:v>
      </x:c>
      <x:c r="D1393" s="13" t="str">
        <x:v>К099 Переключ. 1 кл с инд 10А с/у б/рамки ATLAS ПЕСОЧНЫЙ ATN1263</x:v>
      </x:c>
      <x:c r="E1393" s="10" t="str">
        <x:v>шт</x:v>
      </x:c>
      <x:c r="F1393" s="37" t="n">
        <x:f>MAX(0,ROUNDDOWN((AG1393-AF1393)/AR1393+0.000000001,0)*AR1393)</x:f>
        <x:v>5</x:v>
      </x:c>
      <x:c r="G1393" s="21" t="str">
        <x:f>IF(J1393="Рассчитано",V1393*(1-R1393/100)-W1393-P1393-Q1393,"н/д")</x:f>
        <x:v>н/д</x:v>
      </x:c>
      <x:c r="H1393" s="13" t="str">
        <x:v>Средний</x:v>
      </x:c>
      <x:c r="I1393" s="13" t="str">
        <x:v>Высокий</x:v>
      </x:c>
      <x:c r="J1393" s="13" t="str">
        <x:f>IF(L1393="","Укажите валюту",IF(NOT(ISNUMBER(K1393)),"Укажите объём",IF(K1393&lt;=0,"Укажите объём",IF(K1393&gt;F1393,"Объём выше излишка",IF(COUNT(M1393:O1393)&lt;3,"Нужны цены",IF(COUNT(P1393:R1393)&lt;3,"Нужны расходы",IF(OR(M1393&lt;0,N1393&lt;0,O1393&lt;0,O1393&gt;100,P1393&lt;0,Q1393&lt;0,R1393&lt;0,R1393&gt;100),"Проверьте значения","Рассчитано")))))))</x:f>
        <x:v>Нужны цены</x:v>
      </x:c>
      <x:c r="K1393" s="36" t="n">
        <x:v>5</x:v>
      </x:c>
      <x:c r="L1393" s="19" t="str">
        <x:v>KZT</x:v>
      </x:c>
      <x:c r="M1393" s="22"/>
      <x:c r="N1393" s="22"/>
      <x:c r="O1393" s="28"/>
      <x:c r="P1393" s="22"/>
      <x:c r="Q1393" s="22"/>
      <x:c r="R1393" s="28"/>
      <x:c r="S1393" s="22"/>
      <x:c r="T1393" s="37" t="n">
        <x:f>K1393</x:f>
        <x:v>5</x:v>
      </x:c>
      <x:c r="U1393" s="21" t="str">
        <x:f>IF(J1393="Рассчитано",N1393*(1-O1393/100),"н/д")</x:f>
        <x:v>н/д</x:v>
      </x:c>
      <x:c r="V1393" s="21" t="str">
        <x:f>IF(J1393="Рассчитано",T1393*U1393,"н/д")</x:f>
        <x:v>н/д</x:v>
      </x:c>
      <x:c r="W1393" s="21" t="str">
        <x:f>IF(J1393="Рассчитано",T1393*M1393,"н/д")</x:f>
        <x:v>н/д</x:v>
      </x:c>
      <x:c r="X1393" s="21" t="str">
        <x:f>IF(J1393="Рассчитано",V1393-W1393,"н/д")</x:f>
        <x:v>н/д</x:v>
      </x:c>
      <x:c r="Y1393" s="27" t="str">
        <x:f>IF(J1393="Рассчитано",IF(V1393&gt;0,G1393/V1393,"н/д"),"н/д")</x:f>
        <x:v>н/д</x:v>
      </x:c>
      <x:c r="Z1393" s="21" t="str">
        <x:f>"н/д"</x:f>
        <x:v>н/д</x:v>
      </x:c>
      <x:c r="AA1393" s="21" t="str">
        <x:f>"н/д"</x:f>
        <x:v>н/д</x:v>
      </x:c>
      <x:c r="AB1393" s="21" t="str">
        <x:f>"н/д"</x:f>
        <x:v>н/д</x:v>
      </x:c>
      <x:c r="AC1393" s="21" t="str">
        <x:f>IF(AND(J1393="Рассчитано",T1393&gt;0,R1393&lt;100),(W1393+P1393+Q1393)/(T1393*(1-R1393/100)),"н/д")</x:f>
        <x:v>н/д</x:v>
      </x:c>
      <x:c r="AD1393" s="10" t="str">
        <x:f>IF(ISNUMBER(G1393),IF(G1393&lt;0,"Убыток",IF(G1393=0,"Без прибыли","Прибыль &gt; 0")),"Не оценён")</x:f>
        <x:v>Не оценён</x:v>
      </x:c>
      <x:c r="AE1393" s="13" t="str">
        <x:f>IF(J1393="Рассчитано","Выручка "&amp;TEXT(V1393,"0.00")&amp;" - себестоимость "&amp;TEXT(W1393,"0.00")&amp;" - комиссия "&amp;TEXT(V1393*R1393/100,"0.00")&amp;" - доставка "&amp;TEXT(P1393,"0.00")&amp;" - прочие "&amp;TEXT(Q1393,"0.00")&amp;" = "&amp;TEXT(G1393,"0.00")&amp;" "&amp;L1393,"Введите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3" s="24" t="n">
        <x:v>0</x:v>
      </x:c>
      <x:c r="AG1393" s="37" t="n">
        <x:v>5</x:v>
      </x:c>
      <x:c r="AH1393" s="37" t="n">
        <x:v>0</x:v>
      </x:c>
      <x:c r="AI1393" s="30" t="n">
        <x:v>46287</x:v>
      </x:c>
      <x:c r="AJ1393" s="37" t="n">
        <x:v>5</x:v>
      </x:c>
      <x:c r="AK1393" s="10" t="str">
        <x:v>кратность</x:v>
      </x:c>
      <x:c r="AL1393" s="32" t="str">
        <x:v>н/д</x:v>
      </x:c>
      <x:c r="AM1393" s="13" t="str">
        <x:v>Нет ежедневных данных доступности. Нет положительных чистых продаж за 12 месяцев</x:v>
      </x:c>
      <x:c r="AN1393" s="13" t="str">
        <x:v>Проверить свободный остаток и установить цену для B2B</x:v>
      </x:c>
      <x:c r="AO1393" s="13" t="str">
        <x:v>Остаток 5; прогноз 90 дней 0.00; избыток 5 шт. Будущие поступления не выставляются на продажу.</x:v>
      </x:c>
      <x:c r="AP1393" s="13" t="str">
        <x:v>["daily_stockout_data_missing", "new_order_lead_time_unknown"]</x:v>
      </x:c>
      <x:c r="AQ1393" s="10" t="str">
        <x:v>SE:300200727_</x:v>
      </x:c>
      <x:c r="AR1393" s="24" t="n">
        <x:v>1</x:v>
      </x:c>
      <x:c r="AS1393" s="24" t="n">
        <x:v>0</x:v>
      </x:c>
      <x:c r="AT1393" s="24" t="n">
        <x:v>0</x:v>
      </x:c>
    </x:row>
    <x:row r="1394" ht="64" customHeight="1">
      <x:c r="A1394" s="11" t="str">
        <x:v>Systeme Electric</x:v>
      </x:c>
      <x:c r="B1394" s="33" t="str">
        <x:v>300200730_</x:v>
      </x:c>
      <x:c r="C1394" s="33" t="str">
        <x:v>ATN001226</x:v>
      </x:c>
      <x:c r="D1394" s="12" t="str">
        <x:v>К102 Роз. 2-ная с/у 16А с з/к з/ш ATLAS ПЕСОЧНЫЙ ATN1226 (6)</x:v>
      </x:c>
      <x:c r="E1394" s="11" t="str">
        <x:v>шт</x:v>
      </x:c>
      <x:c r="F1394" s="35" t="n">
        <x:f>MAX(0,ROUNDDOWN((AG1394-AF1394)/AR1394+0.000000001,0)*AR1394)</x:f>
        <x:v>17</x:v>
      </x:c>
      <x:c r="G1394" s="20" t="str">
        <x:f>IF(J1394="Рассчитано",V1394*(1-R1394/100)-W1394-P1394-Q1394,"н/д")</x:f>
        <x:v>н/д</x:v>
      </x:c>
      <x:c r="H1394" s="12" t="str">
        <x:v>Средний</x:v>
      </x:c>
      <x:c r="I1394" s="12" t="str">
        <x:v>Средний</x:v>
      </x:c>
      <x:c r="J1394" s="12" t="str">
        <x:f>IF(L1394="","Укажите валюту",IF(NOT(ISNUMBER(K1394)),"Укажите объём",IF(K1394&lt;=0,"Укажите объём",IF(K1394&gt;F1394,"Объём выше излишка",IF(COUNT(M1394:O1394)&lt;3,"Нужны цены",IF(COUNT(P1394:R1394)&lt;3,"Нужны расходы",IF(OR(M1394&lt;0,N1394&lt;0,O1394&lt;0,O1394&gt;100,P1394&lt;0,Q1394&lt;0,R1394&lt;0,R1394&gt;100),"Проверьте значения","Рассчитано")))))))</x:f>
        <x:v>Нужны цены</x:v>
      </x:c>
      <x:c r="K1394" s="36" t="n">
        <x:v>17</x:v>
      </x:c>
      <x:c r="L1394" s="19" t="str">
        <x:v>KZT</x:v>
      </x:c>
      <x:c r="M1394" s="22"/>
      <x:c r="N1394" s="22"/>
      <x:c r="O1394" s="28"/>
      <x:c r="P1394" s="22"/>
      <x:c r="Q1394" s="22"/>
      <x:c r="R1394" s="28"/>
      <x:c r="S1394" s="22"/>
      <x:c r="T1394" s="35" t="n">
        <x:f>K1394</x:f>
        <x:v>17</x:v>
      </x:c>
      <x:c r="U1394" s="20" t="str">
        <x:f>IF(J1394="Рассчитано",N1394*(1-O1394/100),"н/д")</x:f>
        <x:v>н/д</x:v>
      </x:c>
      <x:c r="V1394" s="20" t="str">
        <x:f>IF(J1394="Рассчитано",T1394*U1394,"н/д")</x:f>
        <x:v>н/д</x:v>
      </x:c>
      <x:c r="W1394" s="20" t="str">
        <x:f>IF(J1394="Рассчитано",T1394*M1394,"н/д")</x:f>
        <x:v>н/д</x:v>
      </x:c>
      <x:c r="X1394" s="20" t="str">
        <x:f>IF(J1394="Рассчитано",V1394-W1394,"н/д")</x:f>
        <x:v>н/д</x:v>
      </x:c>
      <x:c r="Y1394" s="26" t="str">
        <x:f>IF(J1394="Рассчитано",IF(V1394&gt;0,G1394/V1394,"н/д"),"н/д")</x:f>
        <x:v>н/д</x:v>
      </x:c>
      <x:c r="Z1394" s="20" t="str">
        <x:f>"н/д"</x:f>
        <x:v>н/д</x:v>
      </x:c>
      <x:c r="AA1394" s="20" t="str">
        <x:f>"н/д"</x:f>
        <x:v>н/д</x:v>
      </x:c>
      <x:c r="AB1394" s="20" t="str">
        <x:f>"н/д"</x:f>
        <x:v>н/д</x:v>
      </x:c>
      <x:c r="AC1394" s="20" t="str">
        <x:f>IF(AND(J1394="Рассчитано",T1394&gt;0,R1394&lt;100),(W1394+P1394+Q1394)/(T1394*(1-R1394/100)),"н/д")</x:f>
        <x:v>н/д</x:v>
      </x:c>
      <x:c r="AD1394" s="11" t="str">
        <x:f>IF(ISNUMBER(G1394),IF(G1394&lt;0,"Убыток",IF(G1394=0,"Без прибыли","Прибыль &gt; 0")),"Не оценён")</x:f>
        <x:v>Не оценён</x:v>
      </x:c>
      <x:c r="AE1394" s="12" t="str">
        <x:f>IF(J1394="Рассчитано","Выручка "&amp;TEXT(V1394,"0.00")&amp;" - себестоимость "&amp;TEXT(W1394,"0.00")&amp;" - комиссия "&amp;TEXT(V1394*R1394/100,"0.00")&amp;" - доставка "&amp;TEXT(P1394,"0.00")&amp;" - прочие "&amp;TEXT(Q1394,"0.00")&amp;" = "&amp;TEXT(G1394,"0.00")&amp;" "&amp;L1394,"Введите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4" s="23" t="n">
        <x:v>47.29310823259324</x:v>
      </x:c>
      <x:c r="AG1394" s="35" t="n">
        <x:v>65</x:v>
      </x:c>
      <x:c r="AH1394" s="35" t="n">
        <x:v>0</x:v>
      </x:c>
      <x:c r="AI1394" s="29" t="n">
        <x:v>46287</x:v>
      </x:c>
      <x:c r="AJ1394" s="35" t="n">
        <x:v>6</x:v>
      </x:c>
      <x:c r="AK1394" s="11" t="str">
        <x:v>кратность</x:v>
      </x:c>
      <x:c r="AL1394" s="31" t="n">
        <x:v>117.18755089142775</x:v>
      </x:c>
      <x:c r="AM1394" s="12" t="str">
        <x:v>Нет ежедневных данных доступности. Запас выше прогноза на 90 дней</x:v>
      </x:c>
      <x:c r="AN1394" s="12" t="str">
        <x:v>Проверить свободный остаток и установить цену для B2B</x:v>
      </x:c>
      <x:c r="AO1394" s="12" t="str">
        <x:v>Остаток 65; прогноз 90 дней 47.29; избыток 17 шт. Будущие поступления не выставляются на продажу.</x:v>
      </x:c>
      <x:c r="AP1394" s="12" t="str">
        <x:v>["daily_stockout_data_missing", "new_order_lead_time_unknown"]</x:v>
      </x:c>
      <x:c r="AQ1394" s="11" t="str">
        <x:v>SE:300200730_</x:v>
      </x:c>
      <x:c r="AR1394" s="23" t="n">
        <x:v>1</x:v>
      </x:c>
      <x:c r="AS1394" s="23" t="n">
        <x:v>0</x:v>
      </x:c>
      <x:c r="AT1394" s="23" t="n">
        <x:v>0</x:v>
      </x:c>
    </x:row>
    <x:row r="1395" ht="64" customHeight="1">
      <x:c r="A1395" s="10" t="str">
        <x:v>Systeme Electric</x:v>
      </x:c>
      <x:c r="B1395" s="34" t="str">
        <x:v>300200731_</x:v>
      </x:c>
      <x:c r="C1395" s="34" t="str">
        <x:v>ATN001285</x:v>
      </x:c>
      <x:c r="D1395" s="13" t="str">
        <x:v>К103 Роз. RJ45+RJ45 5Е кат 5Е механизм б/рамки ATLAS ПЕСОЧНЫЙ ATN1285 (5)</x:v>
      </x:c>
      <x:c r="E1395" s="10" t="str">
        <x:v>шт</x:v>
      </x:c>
      <x:c r="F1395" s="37" t="n">
        <x:f>MAX(0,ROUNDDOWN((AG1395-AF1395)/AR1395+0.000000001,0)*AR1395)</x:f>
        <x:v>4</x:v>
      </x:c>
      <x:c r="G1395" s="21" t="str">
        <x:f>IF(J1395="Рассчитано",V1395*(1-R1395/100)-W1395-P1395-Q1395,"н/д")</x:f>
        <x:v>н/д</x:v>
      </x:c>
      <x:c r="H1395" s="13" t="str">
        <x:v>Средний</x:v>
      </x:c>
      <x:c r="I1395" s="13" t="str">
        <x:v>Высокий</x:v>
      </x:c>
      <x:c r="J1395" s="13" t="str">
        <x:f>IF(L1395="","Укажите валюту",IF(NOT(ISNUMBER(K1395)),"Укажите объём",IF(K1395&lt;=0,"Укажите объём",IF(K1395&gt;F1395,"Объём выше излишка",IF(COUNT(M1395:O1395)&lt;3,"Нужны цены",IF(COUNT(P1395:R1395)&lt;3,"Нужны расходы",IF(OR(M1395&lt;0,N1395&lt;0,O1395&lt;0,O1395&gt;100,P1395&lt;0,Q1395&lt;0,R1395&lt;0,R1395&gt;100),"Проверьте значения","Рассчитано")))))))</x:f>
        <x:v>Нужны цены</x:v>
      </x:c>
      <x:c r="K1395" s="36" t="n">
        <x:v>4</x:v>
      </x:c>
      <x:c r="L1395" s="19" t="str">
        <x:v>KZT</x:v>
      </x:c>
      <x:c r="M1395" s="22"/>
      <x:c r="N1395" s="22"/>
      <x:c r="O1395" s="28"/>
      <x:c r="P1395" s="22"/>
      <x:c r="Q1395" s="22"/>
      <x:c r="R1395" s="28"/>
      <x:c r="S1395" s="22"/>
      <x:c r="T1395" s="37" t="n">
        <x:f>K1395</x:f>
        <x:v>4</x:v>
      </x:c>
      <x:c r="U1395" s="21" t="str">
        <x:f>IF(J1395="Рассчитано",N1395*(1-O1395/100),"н/д")</x:f>
        <x:v>н/д</x:v>
      </x:c>
      <x:c r="V1395" s="21" t="str">
        <x:f>IF(J1395="Рассчитано",T1395*U1395,"н/д")</x:f>
        <x:v>н/д</x:v>
      </x:c>
      <x:c r="W1395" s="21" t="str">
        <x:f>IF(J1395="Рассчитано",T1395*M1395,"н/д")</x:f>
        <x:v>н/д</x:v>
      </x:c>
      <x:c r="X1395" s="21" t="str">
        <x:f>IF(J1395="Рассчитано",V1395-W1395,"н/д")</x:f>
        <x:v>н/д</x:v>
      </x:c>
      <x:c r="Y1395" s="27" t="str">
        <x:f>IF(J1395="Рассчитано",IF(V1395&gt;0,G1395/V1395,"н/д"),"н/д")</x:f>
        <x:v>н/д</x:v>
      </x:c>
      <x:c r="Z1395" s="21" t="str">
        <x:f>"н/д"</x:f>
        <x:v>н/д</x:v>
      </x:c>
      <x:c r="AA1395" s="21" t="str">
        <x:f>"н/д"</x:f>
        <x:v>н/д</x:v>
      </x:c>
      <x:c r="AB1395" s="21" t="str">
        <x:f>"н/д"</x:f>
        <x:v>н/д</x:v>
      </x:c>
      <x:c r="AC1395" s="21" t="str">
        <x:f>IF(AND(J1395="Рассчитано",T1395&gt;0,R1395&lt;100),(W1395+P1395+Q1395)/(T1395*(1-R1395/100)),"н/д")</x:f>
        <x:v>н/д</x:v>
      </x:c>
      <x:c r="AD1395" s="10" t="str">
        <x:f>IF(ISNUMBER(G1395),IF(G1395&lt;0,"Убыток",IF(G1395=0,"Без прибыли","Прибыль &gt; 0")),"Не оценён")</x:f>
        <x:v>Не оценён</x:v>
      </x:c>
      <x:c r="AE1395" s="13" t="str">
        <x:f>IF(J1395="Рассчитано","Выручка "&amp;TEXT(V1395,"0.00")&amp;" - себестоимость "&amp;TEXT(W1395,"0.00")&amp;" - комиссия "&amp;TEXT(V1395*R1395/100,"0.00")&amp;" - доставка "&amp;TEXT(P1395,"0.00")&amp;" - прочие "&amp;TEXT(Q1395,"0.00")&amp;" = "&amp;TEXT(G1395,"0.00")&amp;" "&amp;L1395,"Введите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5" s="24" t="n">
        <x:v>1.8162560803944179</x:v>
      </x:c>
      <x:c r="AG1395" s="37" t="n">
        <x:v>6</x:v>
      </x:c>
      <x:c r="AH1395" s="37" t="n">
        <x:v>0</x:v>
      </x:c>
      <x:c r="AI1395" s="30" t="n">
        <x:v>46287</x:v>
      </x:c>
      <x:c r="AJ1395" s="37" t="n">
        <x:v>5</x:v>
      </x:c>
      <x:c r="AK1395" s="10" t="str">
        <x:v>кратность</x:v>
      </x:c>
      <x:c r="AL1395" s="32" t="n">
        <x:v>281.6697112082909</x:v>
      </x:c>
      <x:c r="AM1395" s="13" t="str">
        <x:v>Нет ежедневных данных доступности. Запас более 180 дней при среднем спросе</x:v>
      </x:c>
      <x:c r="AN1395" s="13" t="str">
        <x:v>Проверить свободный остаток и установить цену для B2B</x:v>
      </x:c>
      <x:c r="AO1395" s="13" t="str">
        <x:v>Остаток 6; прогноз 90 дней 1.82; избыток 4 шт. Будущие поступления не выставляются на продажу.</x:v>
      </x:c>
      <x:c r="AP1395" s="13" t="str">
        <x:v>["daily_stockout_data_missing", "new_order_lead_time_unknown"]</x:v>
      </x:c>
      <x:c r="AQ1395" s="10" t="str">
        <x:v>SE:300200731_</x:v>
      </x:c>
      <x:c r="AR1395" s="24" t="n">
        <x:v>1</x:v>
      </x:c>
      <x:c r="AS1395" s="24" t="n">
        <x:v>0</x:v>
      </x:c>
      <x:c r="AT1395" s="24" t="n">
        <x:v>0</x:v>
      </x:c>
    </x:row>
    <x:row r="1396" ht="64" customHeight="1">
      <x:c r="A1396" s="11" t="str">
        <x:v>Systeme Electric</x:v>
      </x:c>
      <x:c r="B1396" s="33" t="str">
        <x:v>300200733_</x:v>
      </x:c>
      <x:c r="C1396" s="33" t="str">
        <x:v>ATN001291</x:v>
      </x:c>
      <x:c r="D1396" s="12" t="str">
        <x:v>К105 ТV роз. оконечная с/у б/рамки ATLAS ПЕСОЧНЫЙ ATN1291 (5)</x:v>
      </x:c>
      <x:c r="E1396" s="11" t="str">
        <x:v>шт</x:v>
      </x:c>
      <x:c r="F1396" s="35" t="n">
        <x:f>MAX(0,ROUNDDOWN((AG1396-AF1396)/AR1396+0.000000001,0)*AR1396)</x:f>
        <x:v>10</x:v>
      </x:c>
      <x:c r="G1396" s="20" t="str">
        <x:f>IF(J1396="Рассчитано",V1396*(1-R1396/100)-W1396-P1396-Q1396,"н/д")</x:f>
        <x:v>н/д</x:v>
      </x:c>
      <x:c r="H1396" s="12" t="str">
        <x:v>Средний</x:v>
      </x:c>
      <x:c r="I1396" s="12" t="str">
        <x:v>Высокий</x:v>
      </x:c>
      <x:c r="J1396" s="12" t="str">
        <x:f>IF(L1396="","Укажите валюту",IF(NOT(ISNUMBER(K1396)),"Укажите объём",IF(K1396&lt;=0,"Укажите объём",IF(K1396&gt;F1396,"Объём выше излишка",IF(COUNT(M1396:O1396)&lt;3,"Нужны цены",IF(COUNT(P1396:R1396)&lt;3,"Нужны расходы",IF(OR(M1396&lt;0,N1396&lt;0,O1396&lt;0,O1396&gt;100,P1396&lt;0,Q1396&lt;0,R1396&lt;0,R1396&gt;100),"Проверьте значения","Рассчитано")))))))</x:f>
        <x:v>Нужны цены</x:v>
      </x:c>
      <x:c r="K1396" s="36" t="n">
        <x:v>10</x:v>
      </x:c>
      <x:c r="L1396" s="19" t="str">
        <x:v>KZT</x:v>
      </x:c>
      <x:c r="M1396" s="22"/>
      <x:c r="N1396" s="22"/>
      <x:c r="O1396" s="28"/>
      <x:c r="P1396" s="22"/>
      <x:c r="Q1396" s="22"/>
      <x:c r="R1396" s="28"/>
      <x:c r="S1396" s="22"/>
      <x:c r="T1396" s="35" t="n">
        <x:f>K1396</x:f>
        <x:v>10</x:v>
      </x:c>
      <x:c r="U1396" s="20" t="str">
        <x:f>IF(J1396="Рассчитано",N1396*(1-O1396/100),"н/д")</x:f>
        <x:v>н/д</x:v>
      </x:c>
      <x:c r="V1396" s="20" t="str">
        <x:f>IF(J1396="Рассчитано",T1396*U1396,"н/д")</x:f>
        <x:v>н/д</x:v>
      </x:c>
      <x:c r="W1396" s="20" t="str">
        <x:f>IF(J1396="Рассчитано",T1396*M1396,"н/д")</x:f>
        <x:v>н/д</x:v>
      </x:c>
      <x:c r="X1396" s="20" t="str">
        <x:f>IF(J1396="Рассчитано",V1396-W1396,"н/д")</x:f>
        <x:v>н/д</x:v>
      </x:c>
      <x:c r="Y1396" s="26" t="str">
        <x:f>IF(J1396="Рассчитано",IF(V1396&gt;0,G1396/V1396,"н/д"),"н/д")</x:f>
        <x:v>н/д</x:v>
      </x:c>
      <x:c r="Z1396" s="20" t="str">
        <x:f>"н/д"</x:f>
        <x:v>н/д</x:v>
      </x:c>
      <x:c r="AA1396" s="20" t="str">
        <x:f>"н/д"</x:f>
        <x:v>н/д</x:v>
      </x:c>
      <x:c r="AB1396" s="20" t="str">
        <x:f>"н/д"</x:f>
        <x:v>н/д</x:v>
      </x:c>
      <x:c r="AC1396" s="20" t="str">
        <x:f>IF(AND(J1396="Рассчитано",T1396&gt;0,R1396&lt;100),(W1396+P1396+Q1396)/(T1396*(1-R1396/100)),"н/д")</x:f>
        <x:v>н/д</x:v>
      </x:c>
      <x:c r="AD1396" s="11" t="str">
        <x:f>IF(ISNUMBER(G1396),IF(G1396&lt;0,"Убыток",IF(G1396=0,"Без прибыли","Прибыль &gt; 0")),"Не оценён")</x:f>
        <x:v>Не оценён</x:v>
      </x:c>
      <x:c r="AE1396" s="12" t="str">
        <x:f>IF(J1396="Рассчитано","Выручка "&amp;TEXT(V1396,"0.00")&amp;" - себестоимость "&amp;TEXT(W1396,"0.00")&amp;" - комиссия "&amp;TEXT(V1396*R1396/100,"0.00")&amp;" - доставка "&amp;TEXT(P1396,"0.00")&amp;" - прочие "&amp;TEXT(Q1396,"0.00")&amp;" = "&amp;TEXT(G1396,"0.00")&amp;" "&amp;L1396,"Введите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6" s="23" t="n">
        <x:v>2.7536371690853505</x:v>
      </x:c>
      <x:c r="AG1396" s="35" t="n">
        <x:v>13</x:v>
      </x:c>
      <x:c r="AH1396" s="35" t="n">
        <x:v>0</x:v>
      </x:c>
      <x:c r="AI1396" s="29" t="n">
        <x:v>46287</x:v>
      </x:c>
      <x:c r="AJ1396" s="35" t="n">
        <x:v>5</x:v>
      </x:c>
      <x:c r="AK1396" s="11" t="str">
        <x:v>кратность</x:v>
      </x:c>
      <x:c r="AL1396" s="31" t="n">
        <x:v>402.5340440666482</x:v>
      </x:c>
      <x:c r="AM1396" s="12" t="str">
        <x:v>Нет ежедневных данных доступности. Запас более 180 дней при среднем спросе</x:v>
      </x:c>
      <x:c r="AN1396" s="12" t="str">
        <x:v>Проверить свободный остаток и установить цену для B2B</x:v>
      </x:c>
      <x:c r="AO1396" s="12" t="str">
        <x:v>Остаток 13; прогноз 90 дней 2.75; избыток 10 шт. Будущие поступления не выставляются на продажу.</x:v>
      </x:c>
      <x:c r="AP1396" s="12" t="str">
        <x:v>["daily_stockout_data_missing", "negative_net_sales_clipped_for_forecast", "new_order_lead_time_unknown"]</x:v>
      </x:c>
      <x:c r="AQ1396" s="11" t="str">
        <x:v>SE:300200733_</x:v>
      </x:c>
      <x:c r="AR1396" s="23" t="n">
        <x:v>1</x:v>
      </x:c>
      <x:c r="AS1396" s="23" t="n">
        <x:v>0</x:v>
      </x:c>
      <x:c r="AT1396" s="23" t="n">
        <x:v>0</x:v>
      </x:c>
    </x:row>
    <x:row r="1397" ht="64" customHeight="1">
      <x:c r="A1397" s="10" t="str">
        <x:v>Systeme Electric</x:v>
      </x:c>
      <x:c r="B1397" s="34" t="str">
        <x:v>300200734_</x:v>
      </x:c>
      <x:c r="C1397" s="34" t="str">
        <x:v>ATN001281</x:v>
      </x:c>
      <x:c r="D1397" s="13" t="str">
        <x:v>К106 Телефонная роз. RJ11 механизм б/рамки ATLAS ПЕСОЧНЫЙ ATN1281 (5)</x:v>
      </x:c>
      <x:c r="E1397" s="10" t="str">
        <x:v>шт</x:v>
      </x:c>
      <x:c r="F1397" s="37" t="n">
        <x:f>MAX(0,ROUNDDOWN((AG1397-AF1397)/AR1397+0.000000001,0)*AR1397)</x:f>
        <x:v>2</x:v>
      </x:c>
      <x:c r="G1397" s="21" t="str">
        <x:f>IF(J1397="Рассчитано",V1397*(1-R1397/100)-W1397-P1397-Q1397,"н/д")</x:f>
        <x:v>н/д</x:v>
      </x:c>
      <x:c r="H1397" s="13" t="str">
        <x:v>Средний</x:v>
      </x:c>
      <x:c r="I1397" s="13" t="str">
        <x:v>Высокий</x:v>
      </x:c>
      <x:c r="J1397" s="13" t="str">
        <x:f>IF(L1397="","Укажите валюту",IF(NOT(ISNUMBER(K1397)),"Укажите объём",IF(K1397&lt;=0,"Укажите объём",IF(K1397&gt;F1397,"Объём выше излишка",IF(COUNT(M1397:O1397)&lt;3,"Нужны цены",IF(COUNT(P1397:R1397)&lt;3,"Нужны расходы",IF(OR(M1397&lt;0,N1397&lt;0,O1397&lt;0,O1397&gt;100,P1397&lt;0,Q1397&lt;0,R1397&lt;0,R1397&gt;100),"Проверьте значения","Рассчитано")))))))</x:f>
        <x:v>Нужны цены</x:v>
      </x:c>
      <x:c r="K1397" s="36" t="n">
        <x:v>2</x:v>
      </x:c>
      <x:c r="L1397" s="19" t="str">
        <x:v>KZT</x:v>
      </x:c>
      <x:c r="M1397" s="22"/>
      <x:c r="N1397" s="22"/>
      <x:c r="O1397" s="28"/>
      <x:c r="P1397" s="22"/>
      <x:c r="Q1397" s="22"/>
      <x:c r="R1397" s="28"/>
      <x:c r="S1397" s="22"/>
      <x:c r="T1397" s="37" t="n">
        <x:f>K1397</x:f>
        <x:v>2</x:v>
      </x:c>
      <x:c r="U1397" s="21" t="str">
        <x:f>IF(J1397="Рассчитано",N1397*(1-O1397/100),"н/д")</x:f>
        <x:v>н/д</x:v>
      </x:c>
      <x:c r="V1397" s="21" t="str">
        <x:f>IF(J1397="Рассчитано",T1397*U1397,"н/д")</x:f>
        <x:v>н/д</x:v>
      </x:c>
      <x:c r="W1397" s="21" t="str">
        <x:f>IF(J1397="Рассчитано",T1397*M1397,"н/д")</x:f>
        <x:v>н/д</x:v>
      </x:c>
      <x:c r="X1397" s="21" t="str">
        <x:f>IF(J1397="Рассчитано",V1397-W1397,"н/д")</x:f>
        <x:v>н/д</x:v>
      </x:c>
      <x:c r="Y1397" s="27" t="str">
        <x:f>IF(J1397="Рассчитано",IF(V1397&gt;0,G1397/V1397,"н/д"),"н/д")</x:f>
        <x:v>н/д</x:v>
      </x:c>
      <x:c r="Z1397" s="21" t="str">
        <x:f>"н/д"</x:f>
        <x:v>н/д</x:v>
      </x:c>
      <x:c r="AA1397" s="21" t="str">
        <x:f>"н/д"</x:f>
        <x:v>н/д</x:v>
      </x:c>
      <x:c r="AB1397" s="21" t="str">
        <x:f>"н/д"</x:f>
        <x:v>н/д</x:v>
      </x:c>
      <x:c r="AC1397" s="21" t="str">
        <x:f>IF(AND(J1397="Рассчитано",T1397&gt;0,R1397&lt;100),(W1397+P1397+Q1397)/(T1397*(1-R1397/100)),"н/д")</x:f>
        <x:v>н/д</x:v>
      </x:c>
      <x:c r="AD1397" s="10" t="str">
        <x:f>IF(ISNUMBER(G1397),IF(G1397&lt;0,"Убыток",IF(G1397=0,"Без прибыли","Прибыль &gt; 0")),"Не оценён")</x:f>
        <x:v>Не оценён</x:v>
      </x:c>
      <x:c r="AE1397" s="13" t="str">
        <x:f>IF(J1397="Рассчитано","Выручка "&amp;TEXT(V1397,"0.00")&amp;" - себестоимость "&amp;TEXT(W1397,"0.00")&amp;" - комиссия "&amp;TEXT(V1397*R1397/100,"0.00")&amp;" - доставка "&amp;TEXT(P1397,"0.00")&amp;" - прочие "&amp;TEXT(Q1397,"0.00")&amp;" = "&amp;TEXT(G1397,"0.00")&amp;" "&amp;L1397,"Введите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7" s="24" t="n">
        <x:v>0.9969996394870625</x:v>
      </x:c>
      <x:c r="AG1397" s="37" t="n">
        <x:v>3</x:v>
      </x:c>
      <x:c r="AH1397" s="37" t="n">
        <x:v>0</x:v>
      </x:c>
      <x:c r="AI1397" s="30" t="n">
        <x:v>46287</x:v>
      </x:c>
      <x:c r="AJ1397" s="37" t="n">
        <x:v>5</x:v>
      </x:c>
      <x:c r="AK1397" s="10" t="str">
        <x:v>кратность</x:v>
      </x:c>
      <x:c r="AL1397" s="32" t="n">
        <x:v>256.56194113981735</x:v>
      </x:c>
      <x:c r="AM1397" s="13" t="str">
        <x:v>Нет ежедневных данных доступности. Запас более 180 дней при среднем спросе</x:v>
      </x:c>
      <x:c r="AN1397" s="13" t="str">
        <x:v>Проверить свободный остаток и установить цену для B2B</x:v>
      </x:c>
      <x:c r="AO1397" s="13" t="str">
        <x:v>Остаток 3; прогноз 90 дней 1.00; избыток 2 шт. Будущие поступления не выставляются на продажу.</x:v>
      </x:c>
      <x:c r="AP1397" s="13" t="str">
        <x:v>["daily_stockout_data_missing", "new_order_lead_time_unknown"]</x:v>
      </x:c>
      <x:c r="AQ1397" s="10" t="str">
        <x:v>SE:300200734_</x:v>
      </x:c>
      <x:c r="AR1397" s="24" t="n">
        <x:v>1</x:v>
      </x:c>
      <x:c r="AS1397" s="24" t="n">
        <x:v>0</x:v>
      </x:c>
      <x:c r="AT1397" s="24" t="n">
        <x:v>0</x:v>
      </x:c>
    </x:row>
    <x:row r="1398" ht="64" customHeight="1">
      <x:c r="A1398" s="11" t="str">
        <x:v>Systeme Electric</x:v>
      </x:c>
      <x:c r="B1398" s="33" t="str">
        <x:v>300200735_</x:v>
      </x:c>
      <x:c r="C1398" s="33" t="str">
        <x:v>ATN001201</x:v>
      </x:c>
      <x:c r="D1398" s="12" t="str">
        <x:v>К107 Рамка 1-ная ATLAS ПЕСОЧНЫЙ ATN1201 (10)</x:v>
      </x:c>
      <x:c r="E1398" s="11" t="str">
        <x:v>шт</x:v>
      </x:c>
      <x:c r="F1398" s="35" t="n">
        <x:f>MAX(0,ROUNDDOWN((AG1398-AF1398)/AR1398+0.000000001,0)*AR1398)</x:f>
        <x:v>31</x:v>
      </x:c>
      <x:c r="G1398" s="20" t="str">
        <x:f>IF(J1398="Рассчитано",V1398*(1-R1398/100)-W1398-P1398-Q1398,"н/д")</x:f>
        <x:v>н/д</x:v>
      </x:c>
      <x:c r="H1398" s="12" t="str">
        <x:v>Средний</x:v>
      </x:c>
      <x:c r="I1398" s="12" t="str">
        <x:v>Средний</x:v>
      </x:c>
      <x:c r="J1398" s="12" t="str">
        <x:f>IF(L1398="","Укажите валюту",IF(NOT(ISNUMBER(K1398)),"Укажите объём",IF(K1398&lt;=0,"Укажите объём",IF(K1398&gt;F1398,"Объём выше излишка",IF(COUNT(M1398:O1398)&lt;3,"Нужны цены",IF(COUNT(P1398:R1398)&lt;3,"Нужны расходы",IF(OR(M1398&lt;0,N1398&lt;0,O1398&lt;0,O1398&gt;100,P1398&lt;0,Q1398&lt;0,R1398&lt;0,R1398&gt;100),"Проверьте значения","Рассчитано")))))))</x:f>
        <x:v>Нужны цены</x:v>
      </x:c>
      <x:c r="K1398" s="36" t="n">
        <x:v>31</x:v>
      </x:c>
      <x:c r="L1398" s="19" t="str">
        <x:v>KZT</x:v>
      </x:c>
      <x:c r="M1398" s="22"/>
      <x:c r="N1398" s="22"/>
      <x:c r="O1398" s="28"/>
      <x:c r="P1398" s="22"/>
      <x:c r="Q1398" s="22"/>
      <x:c r="R1398" s="28"/>
      <x:c r="S1398" s="22"/>
      <x:c r="T1398" s="35" t="n">
        <x:f>K1398</x:f>
        <x:v>31</x:v>
      </x:c>
      <x:c r="U1398" s="20" t="str">
        <x:f>IF(J1398="Рассчитано",N1398*(1-O1398/100),"н/д")</x:f>
        <x:v>н/д</x:v>
      </x:c>
      <x:c r="V1398" s="20" t="str">
        <x:f>IF(J1398="Рассчитано",T1398*U1398,"н/д")</x:f>
        <x:v>н/д</x:v>
      </x:c>
      <x:c r="W1398" s="20" t="str">
        <x:f>IF(J1398="Рассчитано",T1398*M1398,"н/д")</x:f>
        <x:v>н/д</x:v>
      </x:c>
      <x:c r="X1398" s="20" t="str">
        <x:f>IF(J1398="Рассчитано",V1398-W1398,"н/д")</x:f>
        <x:v>н/д</x:v>
      </x:c>
      <x:c r="Y1398" s="26" t="str">
        <x:f>IF(J1398="Рассчитано",IF(V1398&gt;0,G1398/V1398,"н/д"),"н/д")</x:f>
        <x:v>н/д</x:v>
      </x:c>
      <x:c r="Z1398" s="20" t="str">
        <x:f>"н/д"</x:f>
        <x:v>н/д</x:v>
      </x:c>
      <x:c r="AA1398" s="20" t="str">
        <x:f>"н/д"</x:f>
        <x:v>н/д</x:v>
      </x:c>
      <x:c r="AB1398" s="20" t="str">
        <x:f>"н/д"</x:f>
        <x:v>н/д</x:v>
      </x:c>
      <x:c r="AC1398" s="20" t="str">
        <x:f>IF(AND(J1398="Рассчитано",T1398&gt;0,R1398&lt;100),(W1398+P1398+Q1398)/(T1398*(1-R1398/100)),"н/д")</x:f>
        <x:v>н/д</x:v>
      </x:c>
      <x:c r="AD1398" s="11" t="str">
        <x:f>IF(ISNUMBER(G1398),IF(G1398&lt;0,"Убыток",IF(G1398=0,"Без прибыли","Прибыль &gt; 0")),"Не оценён")</x:f>
        <x:v>Не оценён</x:v>
      </x:c>
      <x:c r="AE1398" s="12" t="str">
        <x:f>IF(J1398="Рассчитано","Выручка "&amp;TEXT(V1398,"0.00")&amp;" - себестоимость "&amp;TEXT(W1398,"0.00")&amp;" - комиссия "&amp;TEXT(V1398*R1398/100,"0.00")&amp;" - доставка "&amp;TEXT(P1398,"0.00")&amp;" - прочие "&amp;TEXT(Q1398,"0.00")&amp;" = "&amp;TEXT(G1398,"0.00")&amp;" "&amp;L1398,"Введите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8" s="23" t="n">
        <x:v>491.18559485911027</x:v>
      </x:c>
      <x:c r="AG1398" s="35" t="n">
        <x:v>523</x:v>
      </x:c>
      <x:c r="AH1398" s="35" t="n">
        <x:v>0</x:v>
      </x:c>
      <x:c r="AI1398" s="29" t="n">
        <x:v>46287</x:v>
      </x:c>
      <x:c r="AJ1398" s="35" t="n">
        <x:v>10</x:v>
      </x:c>
      <x:c r="AK1398" s="11" t="str">
        <x:v>кратность</x:v>
      </x:c>
      <x:c r="AL1398" s="31" t="n">
        <x:v>90.78666160431678</x:v>
      </x:c>
      <x:c r="AM1398" s="12" t="str">
        <x:v>Детальные и месячные продажи расходятся; Нет ежедневных данных доступности. Запас выше прогноза на 90 дней</x:v>
      </x:c>
      <x:c r="AN1398" s="12" t="str">
        <x:v>Проверить свободный остаток и установить цену для B2B</x:v>
      </x:c>
      <x:c r="AO1398" s="12" t="str">
        <x:v>Остаток 523; прогноз 90 дней 491.19; избыток 31 шт. Будущие поступления не выставляются на продажу.</x:v>
      </x:c>
      <x:c r="AP1398" s="12" t="str">
        <x:v>["daily_stockout_data_missing", "large_orders_detected", "new_order_lead_time_unknown", "transaction_month_mismatch"]</x:v>
      </x:c>
      <x:c r="AQ1398" s="11" t="str">
        <x:v>SE:300200735_</x:v>
      </x:c>
      <x:c r="AR1398" s="23" t="n">
        <x:v>1</x:v>
      </x:c>
      <x:c r="AS1398" s="23" t="n">
        <x:v>0</x:v>
      </x:c>
      <x:c r="AT1398" s="23" t="n">
        <x:v>0</x:v>
      </x:c>
    </x:row>
    <x:row r="1399" ht="64" customHeight="1">
      <x:c r="A1399" s="10" t="str">
        <x:v>Systeme Electric</x:v>
      </x:c>
      <x:c r="B1399" s="34" t="str">
        <x:v>300200736_</x:v>
      </x:c>
      <x:c r="C1399" s="34" t="str">
        <x:v>ATN001202</x:v>
      </x:c>
      <x:c r="D1399" s="13" t="str">
        <x:v>К108 Рамка 2-ная ATLAS ПЕСОЧНЫЙ ATN1202 (5)</x:v>
      </x:c>
      <x:c r="E1399" s="10" t="str">
        <x:v>шт</x:v>
      </x:c>
      <x:c r="F1399" s="37" t="n">
        <x:f>MAX(0,ROUNDDOWN((AG1399-AF1399)/AR1399+0.000000001,0)*AR1399)</x:f>
        <x:v>19</x:v>
      </x:c>
      <x:c r="G1399" s="21" t="str">
        <x:f>IF(J1399="Рассчитано",V1399*(1-R1399/100)-W1399-P1399-Q1399,"н/д")</x:f>
        <x:v>н/д</x:v>
      </x:c>
      <x:c r="H1399" s="13" t="str">
        <x:v>Средний</x:v>
      </x:c>
      <x:c r="I1399" s="13" t="str">
        <x:v>Средний</x:v>
      </x:c>
      <x:c r="J1399" s="13" t="str">
        <x:f>IF(L1399="","Укажите валюту",IF(NOT(ISNUMBER(K1399)),"Укажите объём",IF(K1399&lt;=0,"Укажите объём",IF(K1399&gt;F1399,"Объём выше излишка",IF(COUNT(M1399:O1399)&lt;3,"Нужны цены",IF(COUNT(P1399:R1399)&lt;3,"Нужны расходы",IF(OR(M1399&lt;0,N1399&lt;0,O1399&lt;0,O1399&gt;100,P1399&lt;0,Q1399&lt;0,R1399&lt;0,R1399&gt;100),"Проверьте значения","Рассчитано")))))))</x:f>
        <x:v>Нужны цены</x:v>
      </x:c>
      <x:c r="K1399" s="36" t="n">
        <x:v>19</x:v>
      </x:c>
      <x:c r="L1399" s="19" t="str">
        <x:v>KZT</x:v>
      </x:c>
      <x:c r="M1399" s="22"/>
      <x:c r="N1399" s="22"/>
      <x:c r="O1399" s="28"/>
      <x:c r="P1399" s="22"/>
      <x:c r="Q1399" s="22"/>
      <x:c r="R1399" s="28"/>
      <x:c r="S1399" s="22"/>
      <x:c r="T1399" s="37" t="n">
        <x:f>K1399</x:f>
        <x:v>19</x:v>
      </x:c>
      <x:c r="U1399" s="21" t="str">
        <x:f>IF(J1399="Рассчитано",N1399*(1-O1399/100),"н/д")</x:f>
        <x:v>н/д</x:v>
      </x:c>
      <x:c r="V1399" s="21" t="str">
        <x:f>IF(J1399="Рассчитано",T1399*U1399,"н/д")</x:f>
        <x:v>н/д</x:v>
      </x:c>
      <x:c r="W1399" s="21" t="str">
        <x:f>IF(J1399="Рассчитано",T1399*M1399,"н/д")</x:f>
        <x:v>н/д</x:v>
      </x:c>
      <x:c r="X1399" s="21" t="str">
        <x:f>IF(J1399="Рассчитано",V1399-W1399,"н/д")</x:f>
        <x:v>н/д</x:v>
      </x:c>
      <x:c r="Y1399" s="27" t="str">
        <x:f>IF(J1399="Рассчитано",IF(V1399&gt;0,G1399/V1399,"н/д"),"н/д")</x:f>
        <x:v>н/д</x:v>
      </x:c>
      <x:c r="Z1399" s="21" t="str">
        <x:f>"н/д"</x:f>
        <x:v>н/д</x:v>
      </x:c>
      <x:c r="AA1399" s="21" t="str">
        <x:f>"н/д"</x:f>
        <x:v>н/д</x:v>
      </x:c>
      <x:c r="AB1399" s="21" t="str">
        <x:f>"н/д"</x:f>
        <x:v>н/д</x:v>
      </x:c>
      <x:c r="AC1399" s="21" t="str">
        <x:f>IF(AND(J1399="Рассчитано",T1399&gt;0,R1399&lt;100),(W1399+P1399+Q1399)/(T1399*(1-R1399/100)),"н/д")</x:f>
        <x:v>н/д</x:v>
      </x:c>
      <x:c r="AD1399" s="10" t="str">
        <x:f>IF(ISNUMBER(G1399),IF(G1399&lt;0,"Убыток",IF(G1399=0,"Без прибыли","Прибыль &gt; 0")),"Не оценён")</x:f>
        <x:v>Не оценён</x:v>
      </x:c>
      <x:c r="AE1399" s="13" t="str">
        <x:f>IF(J1399="Рассчитано","Выручка "&amp;TEXT(V1399,"0.00")&amp;" - себестоимость "&amp;TEXT(W1399,"0.00")&amp;" - комиссия "&amp;TEXT(V1399*R1399/100,"0.00")&amp;" - доставка "&amp;TEXT(P1399,"0.00")&amp;" - прочие "&amp;TEXT(Q1399,"0.00")&amp;" = "&amp;TEXT(G1399,"0.00")&amp;" "&amp;L1399,"Введите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9" s="24" t="n">
        <x:v>169.50968011925067</x:v>
      </x:c>
      <x:c r="AG1399" s="37" t="n">
        <x:v>189</x:v>
      </x:c>
      <x:c r="AH1399" s="37" t="n">
        <x:v>0</x:v>
      </x:c>
      <x:c r="AI1399" s="30" t="n">
        <x:v>46287</x:v>
      </x:c>
      <x:c r="AJ1399" s="37" t="n">
        <x:v>5</x:v>
      </x:c>
      <x:c r="AK1399" s="10" t="str">
        <x:v>кратность</x:v>
      </x:c>
      <x:c r="AL1399" s="32" t="n">
        <x:v>95.06776395590225</x:v>
      </x:c>
      <x:c r="AM1399" s="13" t="str">
        <x:v>Детальные и месячные продажи расходятся; Нет ежедневных данных доступности. Запас выше прогноза на 90 дней</x:v>
      </x:c>
      <x:c r="AN1399" s="13" t="str">
        <x:v>Проверить свободный остаток и установить цену для B2B</x:v>
      </x:c>
      <x:c r="AO1399" s="13" t="str">
        <x:v>Остаток 189; прогноз 90 дней 169.51; избыток 19 шт. Будущие поступления не выставляются на продажу.</x:v>
      </x:c>
      <x:c r="AP1399" s="13" t="str">
        <x:v>["daily_stockout_data_missing", "large_orders_detected", "new_order_lead_time_unknown", "transaction_month_mismatch"]</x:v>
      </x:c>
      <x:c r="AQ1399" s="10" t="str">
        <x:v>SE:300200736_</x:v>
      </x:c>
      <x:c r="AR1399" s="24" t="n">
        <x:v>1</x:v>
      </x:c>
      <x:c r="AS1399" s="24" t="n">
        <x:v>0</x:v>
      </x:c>
      <x:c r="AT1399" s="24" t="n">
        <x:v>0</x:v>
      </x:c>
    </x:row>
    <x:row r="1400" ht="64" customHeight="1">
      <x:c r="A1400" s="11" t="str">
        <x:v>Systeme Electric</x:v>
      </x:c>
      <x:c r="B1400" s="33" t="str">
        <x:v>300200739_</x:v>
      </x:c>
      <x:c r="C1400" s="33" t="str">
        <x:v>ATN001205</x:v>
      </x:c>
      <x:c r="D1400" s="12" t="str">
        <x:v>К111 Рамка 5-ная ATLAS ПЕСОЧНЫЙ ATN1205 (5)</x:v>
      </x:c>
      <x:c r="E1400" s="11" t="str">
        <x:v>шт</x:v>
      </x:c>
      <x:c r="F1400" s="35" t="n">
        <x:f>MAX(0,ROUNDDOWN((AG1400-AF1400)/AR1400+0.000000001,0)*AR1400)</x:f>
        <x:v>1</x:v>
      </x:c>
      <x:c r="G1400" s="20" t="str">
        <x:f>IF(J1400="Рассчитано",V1400*(1-R1400/100)-W1400-P1400-Q1400,"н/д")</x:f>
        <x:v>н/д</x:v>
      </x:c>
      <x:c r="H1400" s="12" t="str">
        <x:v>Средний</x:v>
      </x:c>
      <x:c r="I1400" s="12" t="str">
        <x:v>Средний</x:v>
      </x:c>
      <x:c r="J1400" s="12" t="str">
        <x:f>IF(L1400="","Укажите валюту",IF(NOT(ISNUMBER(K1400)),"Укажите объём",IF(K1400&lt;=0,"Укажите объём",IF(K1400&gt;F1400,"Объём выше излишка",IF(COUNT(M1400:O1400)&lt;3,"Нужны цены",IF(COUNT(P1400:R1400)&lt;3,"Нужны расходы",IF(OR(M1400&lt;0,N1400&lt;0,O1400&lt;0,O1400&gt;100,P1400&lt;0,Q1400&lt;0,R1400&lt;0,R1400&gt;100),"Проверьте значения","Рассчитано")))))))</x:f>
        <x:v>Нужны цены</x:v>
      </x:c>
      <x:c r="K1400" s="36" t="n">
        <x:v>1</x:v>
      </x:c>
      <x:c r="L1400" s="19" t="str">
        <x:v>KZT</x:v>
      </x:c>
      <x:c r="M1400" s="22"/>
      <x:c r="N1400" s="22"/>
      <x:c r="O1400" s="28"/>
      <x:c r="P1400" s="22"/>
      <x:c r="Q1400" s="22"/>
      <x:c r="R1400" s="28"/>
      <x:c r="S1400" s="22"/>
      <x:c r="T1400" s="35" t="n">
        <x:f>K1400</x:f>
        <x:v>1</x:v>
      </x:c>
      <x:c r="U1400" s="20" t="str">
        <x:f>IF(J1400="Рассчитано",N1400*(1-O1400/100),"н/д")</x:f>
        <x:v>н/д</x:v>
      </x:c>
      <x:c r="V1400" s="20" t="str">
        <x:f>IF(J1400="Рассчитано",T1400*U1400,"н/д")</x:f>
        <x:v>н/д</x:v>
      </x:c>
      <x:c r="W1400" s="20" t="str">
        <x:f>IF(J1400="Рассчитано",T1400*M1400,"н/д")</x:f>
        <x:v>н/д</x:v>
      </x:c>
      <x:c r="X1400" s="20" t="str">
        <x:f>IF(J1400="Рассчитано",V1400-W1400,"н/д")</x:f>
        <x:v>н/д</x:v>
      </x:c>
      <x:c r="Y1400" s="26" t="str">
        <x:f>IF(J1400="Рассчитано",IF(V1400&gt;0,G1400/V1400,"н/д"),"н/д")</x:f>
        <x:v>н/д</x:v>
      </x:c>
      <x:c r="Z1400" s="20" t="str">
        <x:f>"н/д"</x:f>
        <x:v>н/д</x:v>
      </x:c>
      <x:c r="AA1400" s="20" t="str">
        <x:f>"н/д"</x:f>
        <x:v>н/д</x:v>
      </x:c>
      <x:c r="AB1400" s="20" t="str">
        <x:f>"н/д"</x:f>
        <x:v>н/д</x:v>
      </x:c>
      <x:c r="AC1400" s="20" t="str">
        <x:f>IF(AND(J1400="Рассчитано",T1400&gt;0,R1400&lt;100),(W1400+P1400+Q1400)/(T1400*(1-R1400/100)),"н/д")</x:f>
        <x:v>н/д</x:v>
      </x:c>
      <x:c r="AD1400" s="11" t="str">
        <x:f>IF(ISNUMBER(G1400),IF(G1400&lt;0,"Убыток",IF(G1400=0,"Без прибыли","Прибыль &gt; 0")),"Не оценён")</x:f>
        <x:v>Не оценён</x:v>
      </x:c>
      <x:c r="AE1400" s="12" t="str">
        <x:f>IF(J1400="Рассчитано","Выручка "&amp;TEXT(V1400,"0.00")&amp;" - себестоимость "&amp;TEXT(W1400,"0.00")&amp;" - комиссия "&amp;TEXT(V1400*R1400/100,"0.00")&amp;" - доставка "&amp;TEXT(P1400,"0.00")&amp;" - прочие "&amp;TEXT(Q1400,"0.00")&amp;" = "&amp;TEXT(G1400,"0.00")&amp;" "&amp;L1400,"Введите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0" s="23" t="n">
        <x:v>2.1672070012045466</x:v>
      </x:c>
      <x:c r="AG1400" s="35" t="n">
        <x:v>4</x:v>
      </x:c>
      <x:c r="AH1400" s="35" t="n">
        <x:v>0</x:v>
      </x:c>
      <x:c r="AI1400" s="29" t="n">
        <x:v>46287</x:v>
      </x:c>
      <x:c r="AJ1400" s="35" t="n">
        <x:v>5</x:v>
      </x:c>
      <x:c r="AK1400" s="11" t="str">
        <x:v>кратность</x:v>
      </x:c>
      <x:c r="AL1400" s="31" t="n">
        <x:v>157.37131566440308</x:v>
      </x:c>
      <x:c r="AM1400" s="12" t="str">
        <x:v>Нет ежедневных данных доступности. Запас выше прогноза на 90 дней</x:v>
      </x:c>
      <x:c r="AN1400" s="12" t="str">
        <x:v>Проверить свободный остаток и установить цену для B2B</x:v>
      </x:c>
      <x:c r="AO1400" s="12" t="str">
        <x:v>Остаток 4; прогноз 90 дней 2.17; избыток 1 шт. Будущие поступления не выставляются на продажу.</x:v>
      </x:c>
      <x:c r="AP1400" s="12" t="str">
        <x:v>["daily_stockout_data_missing", "new_order_lead_time_unknown"]</x:v>
      </x:c>
      <x:c r="AQ1400" s="11" t="str">
        <x:v>SE:300200739_</x:v>
      </x:c>
      <x:c r="AR1400" s="23" t="n">
        <x:v>1</x:v>
      </x:c>
      <x:c r="AS1400" s="23" t="n">
        <x:v>0</x:v>
      </x:c>
      <x:c r="AT1400" s="23" t="n">
        <x:v>0</x:v>
      </x:c>
    </x:row>
    <x:row r="1401" ht="64" customHeight="1">
      <x:c r="A1401" s="10" t="str">
        <x:v>Systeme Electric</x:v>
      </x:c>
      <x:c r="B1401" s="34" t="str">
        <x:v>300200740_</x:v>
      </x:c>
      <x:c r="C1401" s="34" t="str">
        <x:v>ATN001265</x:v>
      </x:c>
      <x:c r="D1401" s="13" t="str">
        <x:v>К112 Переключ. 2 кл 10А с/у б/рамки ATLAS ПЕСОЧНЫЙ ATN1265 (5)</x:v>
      </x:c>
      <x:c r="E1401" s="10" t="str">
        <x:v>шт</x:v>
      </x:c>
      <x:c r="F1401" s="37" t="n">
        <x:f>MAX(0,ROUNDDOWN((AG1401-AF1401)/AR1401+0.000000001,0)*AR1401)</x:f>
        <x:v>5</x:v>
      </x:c>
      <x:c r="G1401" s="21" t="str">
        <x:f>IF(J1401="Рассчитано",V1401*(1-R1401/100)-W1401-P1401-Q1401,"н/д")</x:f>
        <x:v>н/д</x:v>
      </x:c>
      <x:c r="H1401" s="13" t="str">
        <x:v>Средний</x:v>
      </x:c>
      <x:c r="I1401" s="13" t="str">
        <x:v>Средний</x:v>
      </x:c>
      <x:c r="J1401" s="13" t="str">
        <x:f>IF(L1401="","Укажите валюту",IF(NOT(ISNUMBER(K1401)),"Укажите объём",IF(K1401&lt;=0,"Укажите объём",IF(K1401&gt;F1401,"Объём выше излишка",IF(COUNT(M1401:O1401)&lt;3,"Нужны цены",IF(COUNT(P1401:R1401)&lt;3,"Нужны расходы",IF(OR(M1401&lt;0,N1401&lt;0,O1401&lt;0,O1401&gt;100,P1401&lt;0,Q1401&lt;0,R1401&lt;0,R1401&gt;100),"Проверьте значения","Рассчитано")))))))</x:f>
        <x:v>Нужны цены</x:v>
      </x:c>
      <x:c r="K1401" s="36" t="n">
        <x:v>5</x:v>
      </x:c>
      <x:c r="L1401" s="19" t="str">
        <x:v>KZT</x:v>
      </x:c>
      <x:c r="M1401" s="22"/>
      <x:c r="N1401" s="22"/>
      <x:c r="O1401" s="28"/>
      <x:c r="P1401" s="22"/>
      <x:c r="Q1401" s="22"/>
      <x:c r="R1401" s="28"/>
      <x:c r="S1401" s="22"/>
      <x:c r="T1401" s="37" t="n">
        <x:f>K1401</x:f>
        <x:v>5</x:v>
      </x:c>
      <x:c r="U1401" s="21" t="str">
        <x:f>IF(J1401="Рассчитано",N1401*(1-O1401/100),"н/д")</x:f>
        <x:v>н/д</x:v>
      </x:c>
      <x:c r="V1401" s="21" t="str">
        <x:f>IF(J1401="Рассчитано",T1401*U1401,"н/д")</x:f>
        <x:v>н/д</x:v>
      </x:c>
      <x:c r="W1401" s="21" t="str">
        <x:f>IF(J1401="Рассчитано",T1401*M1401,"н/д")</x:f>
        <x:v>н/д</x:v>
      </x:c>
      <x:c r="X1401" s="21" t="str">
        <x:f>IF(J1401="Рассчитано",V1401-W1401,"н/д")</x:f>
        <x:v>н/д</x:v>
      </x:c>
      <x:c r="Y1401" s="27" t="str">
        <x:f>IF(J1401="Рассчитано",IF(V1401&gt;0,G1401/V1401,"н/д"),"н/д")</x:f>
        <x:v>н/д</x:v>
      </x:c>
      <x:c r="Z1401" s="21" t="str">
        <x:f>"н/д"</x:f>
        <x:v>н/д</x:v>
      </x:c>
      <x:c r="AA1401" s="21" t="str">
        <x:f>"н/д"</x:f>
        <x:v>н/д</x:v>
      </x:c>
      <x:c r="AB1401" s="21" t="str">
        <x:f>"н/д"</x:f>
        <x:v>н/д</x:v>
      </x:c>
      <x:c r="AC1401" s="21" t="str">
        <x:f>IF(AND(J1401="Рассчитано",T1401&gt;0,R1401&lt;100),(W1401+P1401+Q1401)/(T1401*(1-R1401/100)),"н/д")</x:f>
        <x:v>н/д</x:v>
      </x:c>
      <x:c r="AD1401" s="10" t="str">
        <x:f>IF(ISNUMBER(G1401),IF(G1401&lt;0,"Убыток",IF(G1401=0,"Без прибыли","Прибыль &gt; 0")),"Не оценён")</x:f>
        <x:v>Не оценён</x:v>
      </x:c>
      <x:c r="AE1401" s="13" t="str">
        <x:f>IF(J1401="Рассчитано","Выручка "&amp;TEXT(V1401,"0.00")&amp;" - себестоимость "&amp;TEXT(W1401,"0.00")&amp;" - комиссия "&amp;TEXT(V1401*R1401/100,"0.00")&amp;" - доставка "&amp;TEXT(P1401,"0.00")&amp;" - прочие "&amp;TEXT(Q1401,"0.00")&amp;" = "&amp;TEXT(G1401,"0.00")&amp;" "&amp;L1401,"Введите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1" s="24" t="n">
        <x:v>29.844248846570473</x:v>
      </x:c>
      <x:c r="AG1401" s="37" t="n">
        <x:v>35</x:v>
      </x:c>
      <x:c r="AH1401" s="37" t="n">
        <x:v>0</x:v>
      </x:c>
      <x:c r="AI1401" s="30" t="n">
        <x:v>46287</x:v>
      </x:c>
      <x:c r="AJ1401" s="37" t="n">
        <x:v>5</x:v>
      </x:c>
      <x:c r="AK1401" s="10" t="str">
        <x:v>кратность</x:v>
      </x:c>
      <x:c r="AL1401" s="32" t="n">
        <x:v>99.99386866588063</x:v>
      </x:c>
      <x:c r="AM1401" s="13" t="str">
        <x:v>Нет ежедневных данных доступности. Запас выше прогноза на 90 дней</x:v>
      </x:c>
      <x:c r="AN1401" s="13" t="str">
        <x:v>Проверить свободный остаток и установить цену для B2B</x:v>
      </x:c>
      <x:c r="AO1401" s="13" t="str">
        <x:v>Остаток 35; прогноз 90 дней 29.84; избыток 5 шт. Будущие поступления не выставляются на продажу.</x:v>
      </x:c>
      <x:c r="AP1401" s="13" t="str">
        <x:v>["daily_stockout_data_missing", "negative_net_sales_clipped_for_forecast", "new_order_lead_time_unknown"]</x:v>
      </x:c>
      <x:c r="AQ1401" s="10" t="str">
        <x:v>SE:300200740_</x:v>
      </x:c>
      <x:c r="AR1401" s="24" t="n">
        <x:v>1</x:v>
      </x:c>
      <x:c r="AS1401" s="24" t="n">
        <x:v>0</x:v>
      </x:c>
      <x:c r="AT1401" s="24" t="n">
        <x:v>0</x:v>
      </x:c>
    </x:row>
    <x:row r="1402" ht="64" customHeight="1">
      <x:c r="A1402" s="11" t="str">
        <x:v>Systeme Electric</x:v>
      </x:c>
      <x:c r="B1402" s="33" t="str">
        <x:v>300200755_</x:v>
      </x:c>
      <x:c r="C1402" s="33" t="str">
        <x:v>ATN544070</x:v>
      </x:c>
      <x:c r="D1402" s="12" t="str">
        <x:v>К124 Блок:Роз+выкл 1-кл з/к з/ш о/у IP54 16А Atlas Profi 54 АНТРАЦИТ ATN544070 (6)</x:v>
      </x:c>
      <x:c r="E1402" s="11" t="str">
        <x:v>шт</x:v>
      </x:c>
      <x:c r="F1402" s="35" t="n">
        <x:f>MAX(0,ROUNDDOWN((AG1402-AF1402)/AR1402+0.000000001,0)*AR1402)</x:f>
        <x:v>8</x:v>
      </x:c>
      <x:c r="G1402" s="20" t="str">
        <x:f>IF(J1402="Рассчитано",V1402*(1-R1402/100)-W1402-P1402-Q1402,"н/д")</x:f>
        <x:v>н/д</x:v>
      </x:c>
      <x:c r="H1402" s="12" t="str">
        <x:v>Средний</x:v>
      </x:c>
      <x:c r="I1402" s="12" t="str">
        <x:v>Средний</x:v>
      </x:c>
      <x:c r="J1402" s="12" t="str">
        <x:f>IF(L1402="","Укажите валюту",IF(NOT(ISNUMBER(K1402)),"Укажите объём",IF(K1402&lt;=0,"Укажите объём",IF(K1402&gt;F1402,"Объём выше излишка",IF(COUNT(M1402:O1402)&lt;3,"Нужны цены",IF(COUNT(P1402:R1402)&lt;3,"Нужны расходы",IF(OR(M1402&lt;0,N1402&lt;0,O1402&lt;0,O1402&gt;100,P1402&lt;0,Q1402&lt;0,R1402&lt;0,R1402&gt;100),"Проверьте значения","Рассчитано")))))))</x:f>
        <x:v>Нужны цены</x:v>
      </x:c>
      <x:c r="K1402" s="36" t="n">
        <x:v>8</x:v>
      </x:c>
      <x:c r="L1402" s="19" t="str">
        <x:v>KZT</x:v>
      </x:c>
      <x:c r="M1402" s="22"/>
      <x:c r="N1402" s="22"/>
      <x:c r="O1402" s="28"/>
      <x:c r="P1402" s="22"/>
      <x:c r="Q1402" s="22"/>
      <x:c r="R1402" s="28"/>
      <x:c r="S1402" s="22"/>
      <x:c r="T1402" s="35" t="n">
        <x:f>K1402</x:f>
        <x:v>8</x:v>
      </x:c>
      <x:c r="U1402" s="20" t="str">
        <x:f>IF(J1402="Рассчитано",N1402*(1-O1402/100),"н/д")</x:f>
        <x:v>н/д</x:v>
      </x:c>
      <x:c r="V1402" s="20" t="str">
        <x:f>IF(J1402="Рассчитано",T1402*U1402,"н/д")</x:f>
        <x:v>н/д</x:v>
      </x:c>
      <x:c r="W1402" s="20" t="str">
        <x:f>IF(J1402="Рассчитано",T1402*M1402,"н/д")</x:f>
        <x:v>н/д</x:v>
      </x:c>
      <x:c r="X1402" s="20" t="str">
        <x:f>IF(J1402="Рассчитано",V1402-W1402,"н/д")</x:f>
        <x:v>н/д</x:v>
      </x:c>
      <x:c r="Y1402" s="26" t="str">
        <x:f>IF(J1402="Рассчитано",IF(V1402&gt;0,G1402/V1402,"н/д"),"н/д")</x:f>
        <x:v>н/д</x:v>
      </x:c>
      <x:c r="Z1402" s="20" t="str">
        <x:f>"н/д"</x:f>
        <x:v>н/д</x:v>
      </x:c>
      <x:c r="AA1402" s="20" t="str">
        <x:f>"н/д"</x:f>
        <x:v>н/д</x:v>
      </x:c>
      <x:c r="AB1402" s="20" t="str">
        <x:f>"н/д"</x:f>
        <x:v>н/д</x:v>
      </x:c>
      <x:c r="AC1402" s="20" t="str">
        <x:f>IF(AND(J1402="Рассчитано",T1402&gt;0,R1402&lt;100),(W1402+P1402+Q1402)/(T1402*(1-R1402/100)),"н/д")</x:f>
        <x:v>н/д</x:v>
      </x:c>
      <x:c r="AD1402" s="11" t="str">
        <x:f>IF(ISNUMBER(G1402),IF(G1402&lt;0,"Убыток",IF(G1402=0,"Без прибыли","Прибыль &gt; 0")),"Не оценён")</x:f>
        <x:v>Не оценён</x:v>
      </x:c>
      <x:c r="AE1402" s="12" t="str">
        <x:f>IF(J1402="Рассчитано","Выручка "&amp;TEXT(V1402,"0.00")&amp;" - себестоимость "&amp;TEXT(W1402,"0.00")&amp;" - комиссия "&amp;TEXT(V1402*R1402/100,"0.00")&amp;" - доставка "&amp;TEXT(P1402,"0.00")&amp;" - прочие "&amp;TEXT(Q1402,"0.00")&amp;" = "&amp;TEXT(G1402,"0.00")&amp;" "&amp;L1402,"Введите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2" s="23" t="n">
        <x:v>24.870241144476108</x:v>
      </x:c>
      <x:c r="AG1402" s="35" t="n">
        <x:v>33</x:v>
      </x:c>
      <x:c r="AH1402" s="35" t="n">
        <x:v>0</x:v>
      </x:c>
      <x:c r="AI1402" s="29" t="n">
        <x:v>46287</x:v>
      </x:c>
      <x:c r="AJ1402" s="35" t="n">
        <x:v>6</x:v>
      </x:c>
      <x:c r="AK1402" s="11" t="str">
        <x:v>кратность</x:v>
      </x:c>
      <x:c r="AL1402" s="31" t="n">
        <x:v>113.13576634428563</x:v>
      </x:c>
      <x:c r="AM1402" s="12" t="str">
        <x:v>Нет ежедневных данных доступности. Запас выше прогноза на 90 дней</x:v>
      </x:c>
      <x:c r="AN1402" s="12" t="str">
        <x:v>Проверить свободный остаток и установить цену для B2B</x:v>
      </x:c>
      <x:c r="AO1402" s="12" t="str">
        <x:v>Остаток 33; прогноз 90 дней 24.87; избыток 8 шт. Будущие поступления не выставляются на продажу.</x:v>
      </x:c>
      <x:c r="AP1402" s="12" t="str">
        <x:v>["daily_stockout_data_missing", "new_order_lead_time_unknown"]</x:v>
      </x:c>
      <x:c r="AQ1402" s="11" t="str">
        <x:v>SE:300200755_</x:v>
      </x:c>
      <x:c r="AR1402" s="23" t="n">
        <x:v>1</x:v>
      </x:c>
      <x:c r="AS1402" s="23" t="n">
        <x:v>0</x:v>
      </x:c>
      <x:c r="AT1402" s="23" t="n">
        <x:v>0</x:v>
      </x:c>
    </x:row>
    <x:row r="1403" ht="64" customHeight="1">
      <x:c r="A1403" s="10" t="str">
        <x:v>Systeme Electric</x:v>
      </x:c>
      <x:c r="B1403" s="34" t="str">
        <x:v>300200772_</x:v>
      </x:c>
      <x:c r="C1403" s="34" t="str">
        <x:v>ATN001073</x:v>
      </x:c>
      <x:c r="D1403" s="13" t="str">
        <x:v>K0777 Перекрест. перекл. 2 кл 10А с/у б/рамки мех. "ATLAS" КАРБОН ATN1073   (5) NEW</x:v>
      </x:c>
      <x:c r="E1403" s="10" t="str">
        <x:v>шт</x:v>
      </x:c>
      <x:c r="F1403" s="37" t="n">
        <x:f>MAX(0,ROUNDDOWN((AG1403-AF1403)/AR1403+0.000000001,0)*AR1403)</x:f>
        <x:v>110</x:v>
      </x:c>
      <x:c r="G1403" s="21" t="str">
        <x:f>IF(J1403="Рассчитано",V1403*(1-R1403/100)-W1403-P1403-Q1403,"н/д")</x:f>
        <x:v>н/д</x:v>
      </x:c>
      <x:c r="H1403" s="13" t="str">
        <x:v>Средний</x:v>
      </x:c>
      <x:c r="I1403" s="13" t="str">
        <x:v>Высокий</x:v>
      </x:c>
      <x:c r="J1403" s="13" t="str">
        <x:f>IF(L1403="","Укажите валюту",IF(NOT(ISNUMBER(K1403)),"Укажите объём",IF(K1403&lt;=0,"Укажите объём",IF(K1403&gt;F1403,"Объём выше излишка",IF(COUNT(M1403:O1403)&lt;3,"Нужны цены",IF(COUNT(P1403:R1403)&lt;3,"Нужны расходы",IF(OR(M1403&lt;0,N1403&lt;0,O1403&lt;0,O1403&gt;100,P1403&lt;0,Q1403&lt;0,R1403&lt;0,R1403&gt;100),"Проверьте значения","Рассчитано")))))))</x:f>
        <x:v>Нужны цены</x:v>
      </x:c>
      <x:c r="K1403" s="36" t="n">
        <x:v>110</x:v>
      </x:c>
      <x:c r="L1403" s="19" t="str">
        <x:v>KZT</x:v>
      </x:c>
      <x:c r="M1403" s="22"/>
      <x:c r="N1403" s="22"/>
      <x:c r="O1403" s="28"/>
      <x:c r="P1403" s="22"/>
      <x:c r="Q1403" s="22"/>
      <x:c r="R1403" s="28"/>
      <x:c r="S1403" s="22"/>
      <x:c r="T1403" s="37" t="n">
        <x:f>K1403</x:f>
        <x:v>110</x:v>
      </x:c>
      <x:c r="U1403" s="21" t="str">
        <x:f>IF(J1403="Рассчитано",N1403*(1-O1403/100),"н/д")</x:f>
        <x:v>н/д</x:v>
      </x:c>
      <x:c r="V1403" s="21" t="str">
        <x:f>IF(J1403="Рассчитано",T1403*U1403,"н/д")</x:f>
        <x:v>н/д</x:v>
      </x:c>
      <x:c r="W1403" s="21" t="str">
        <x:f>IF(J1403="Рассчитано",T1403*M1403,"н/д")</x:f>
        <x:v>н/д</x:v>
      </x:c>
      <x:c r="X1403" s="21" t="str">
        <x:f>IF(J1403="Рассчитано",V1403-W1403,"н/д")</x:f>
        <x:v>н/д</x:v>
      </x:c>
      <x:c r="Y1403" s="27" t="str">
        <x:f>IF(J1403="Рассчитано",IF(V1403&gt;0,G1403/V1403,"н/д"),"н/д")</x:f>
        <x:v>н/д</x:v>
      </x:c>
      <x:c r="Z1403" s="21" t="str">
        <x:f>"н/д"</x:f>
        <x:v>н/д</x:v>
      </x:c>
      <x:c r="AA1403" s="21" t="str">
        <x:f>"н/д"</x:f>
        <x:v>н/д</x:v>
      </x:c>
      <x:c r="AB1403" s="21" t="str">
        <x:f>"н/д"</x:f>
        <x:v>н/д</x:v>
      </x:c>
      <x:c r="AC1403" s="21" t="str">
        <x:f>IF(AND(J1403="Рассчитано",T1403&gt;0,R1403&lt;100),(W1403+P1403+Q1403)/(T1403*(1-R1403/100)),"н/д")</x:f>
        <x:v>н/д</x:v>
      </x:c>
      <x:c r="AD1403" s="10" t="str">
        <x:f>IF(ISNUMBER(G1403),IF(G1403&lt;0,"Убыток",IF(G1403=0,"Без прибыли","Прибыль &gt; 0")),"Не оценён")</x:f>
        <x:v>Не оценён</x:v>
      </x:c>
      <x:c r="AE1403" s="13" t="str">
        <x:f>IF(J1403="Рассчитано","Выручка "&amp;TEXT(V1403,"0.00")&amp;" - себестоимость "&amp;TEXT(W1403,"0.00")&amp;" - комиссия "&amp;TEXT(V1403*R1403/100,"0.00")&amp;" - доставка "&amp;TEXT(P1403,"0.00")&amp;" - прочие "&amp;TEXT(Q1403,"0.00")&amp;" = "&amp;TEXT(G1403,"0.00")&amp;" "&amp;L1403,"Введите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3" s="24" t="n">
        <x:v>25.29137353920957</x:v>
      </x:c>
      <x:c r="AG1403" s="37" t="n">
        <x:v>136</x:v>
      </x:c>
      <x:c r="AH1403" s="37" t="n">
        <x:v>0</x:v>
      </x:c>
      <x:c r="AI1403" s="30" t="n">
        <x:v>46287</x:v>
      </x:c>
      <x:c r="AJ1403" s="37" t="n">
        <x:v>5</x:v>
      </x:c>
      <x:c r="AK1403" s="10" t="str">
        <x:v>кратность</x:v>
      </x:c>
      <x:c r="AL1403" s="32" t="n">
        <x:v>458.49274905173905</x:v>
      </x:c>
      <x:c r="AM1403" s="13" t="str">
        <x:v>Детальные и месячные продажи расходятся; Нет ежедневных данных доступности. Запас более 180 дней при среднем спросе</x:v>
      </x:c>
      <x:c r="AN1403" s="13" t="str">
        <x:v>Проверить свободный остаток и установить цену для B2B</x:v>
      </x:c>
      <x:c r="AO1403" s="13" t="str">
        <x:v>Остаток 136; прогноз 90 дней 25.29; избыток 110 шт. Будущие поступления не выставляются на продажу.</x:v>
      </x:c>
      <x:c r="AP1403" s="13" t="str">
        <x:v>["daily_stockout_data_missing", "large_orders_detected", "new_order_lead_time_unknown", "transaction_month_mismatch"]</x:v>
      </x:c>
      <x:c r="AQ1403" s="10" t="str">
        <x:v>SE:300200772_</x:v>
      </x:c>
      <x:c r="AR1403" s="24" t="n">
        <x:v>1</x:v>
      </x:c>
      <x:c r="AS1403" s="24" t="n">
        <x:v>0</x:v>
      </x:c>
      <x:c r="AT1403" s="24" t="n">
        <x:v>0</x:v>
      </x:c>
    </x:row>
    <x:row r="1404" ht="64" customHeight="1">
      <x:c r="A1404" s="11" t="str">
        <x:v>Systeme Electric</x:v>
      </x:c>
      <x:c r="B1404" s="33" t="str">
        <x:v>300200773_</x:v>
      </x:c>
      <x:c r="C1404" s="33" t="str">
        <x:v>ATN000573</x:v>
      </x:c>
      <x:c r="D1404" s="12" t="str">
        <x:v>K0322 Перекрест. перекл. 2 кл 10А с/у б/рамки "ATLAS" ШАМПАНЬ ATN573 (5) NEW</x:v>
      </x:c>
      <x:c r="E1404" s="11" t="str">
        <x:v>шт</x:v>
      </x:c>
      <x:c r="F1404" s="35" t="n">
        <x:f>MAX(0,ROUNDDOWN((AG1404-AF1404)/AR1404+0.000000001,0)*AR1404)</x:f>
        <x:v>10</x:v>
      </x:c>
      <x:c r="G1404" s="20" t="str">
        <x:f>IF(J1404="Рассчитано",V1404*(1-R1404/100)-W1404-P1404-Q1404,"н/д")</x:f>
        <x:v>н/д</x:v>
      </x:c>
      <x:c r="H1404" s="12" t="str">
        <x:v>Средний</x:v>
      </x:c>
      <x:c r="I1404" s="12" t="str">
        <x:v>Высокий</x:v>
      </x:c>
      <x:c r="J1404" s="12" t="str">
        <x:f>IF(L1404="","Укажите валюту",IF(NOT(ISNUMBER(K1404)),"Укажите объём",IF(K1404&lt;=0,"Укажите объём",IF(K1404&gt;F1404,"Объём выше излишка",IF(COUNT(M1404:O1404)&lt;3,"Нужны цены",IF(COUNT(P1404:R1404)&lt;3,"Нужны расходы",IF(OR(M1404&lt;0,N1404&lt;0,O1404&lt;0,O1404&gt;100,P1404&lt;0,Q1404&lt;0,R1404&lt;0,R1404&gt;100),"Проверьте значения","Рассчитано")))))))</x:f>
        <x:v>Нужны цены</x:v>
      </x:c>
      <x:c r="K1404" s="36" t="n">
        <x:v>10</x:v>
      </x:c>
      <x:c r="L1404" s="19" t="str">
        <x:v>KZT</x:v>
      </x:c>
      <x:c r="M1404" s="22"/>
      <x:c r="N1404" s="22"/>
      <x:c r="O1404" s="28"/>
      <x:c r="P1404" s="22"/>
      <x:c r="Q1404" s="22"/>
      <x:c r="R1404" s="28"/>
      <x:c r="S1404" s="22"/>
      <x:c r="T1404" s="35" t="n">
        <x:f>K1404</x:f>
        <x:v>10</x:v>
      </x:c>
      <x:c r="U1404" s="20" t="str">
        <x:f>IF(J1404="Рассчитано",N1404*(1-O1404/100),"н/д")</x:f>
        <x:v>н/д</x:v>
      </x:c>
      <x:c r="V1404" s="20" t="str">
        <x:f>IF(J1404="Рассчитано",T1404*U1404,"н/д")</x:f>
        <x:v>н/д</x:v>
      </x:c>
      <x:c r="W1404" s="20" t="str">
        <x:f>IF(J1404="Рассчитано",T1404*M1404,"н/д")</x:f>
        <x:v>н/д</x:v>
      </x:c>
      <x:c r="X1404" s="20" t="str">
        <x:f>IF(J1404="Рассчитано",V1404-W1404,"н/д")</x:f>
        <x:v>н/д</x:v>
      </x:c>
      <x:c r="Y1404" s="26" t="str">
        <x:f>IF(J1404="Рассчитано",IF(V1404&gt;0,G1404/V1404,"н/д"),"н/д")</x:f>
        <x:v>н/д</x:v>
      </x:c>
      <x:c r="Z1404" s="20" t="str">
        <x:f>"н/д"</x:f>
        <x:v>н/д</x:v>
      </x:c>
      <x:c r="AA1404" s="20" t="str">
        <x:f>"н/д"</x:f>
        <x:v>н/д</x:v>
      </x:c>
      <x:c r="AB1404" s="20" t="str">
        <x:f>"н/д"</x:f>
        <x:v>н/д</x:v>
      </x:c>
      <x:c r="AC1404" s="20" t="str">
        <x:f>IF(AND(J1404="Рассчитано",T1404&gt;0,R1404&lt;100),(W1404+P1404+Q1404)/(T1404*(1-R1404/100)),"н/д")</x:f>
        <x:v>н/д</x:v>
      </x:c>
      <x:c r="AD1404" s="11" t="str">
        <x:f>IF(ISNUMBER(G1404),IF(G1404&lt;0,"Убыток",IF(G1404=0,"Без прибыли","Прибыль &gt; 0")),"Не оценён")</x:f>
        <x:v>Не оценён</x:v>
      </x:c>
      <x:c r="AE1404" s="12" t="str">
        <x:f>IF(J1404="Рассчитано","Выручка "&amp;TEXT(V1404,"0.00")&amp;" - себестоимость "&amp;TEXT(W1404,"0.00")&amp;" - комиссия "&amp;TEXT(V1404*R1404/100,"0.00")&amp;" - доставка "&amp;TEXT(P1404,"0.00")&amp;" - прочие "&amp;TEXT(Q1404,"0.00")&amp;" = "&amp;TEXT(G1404,"0.00")&amp;" "&amp;L1404,"Введите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4" s="23" t="n">
        <x:v>6.8895088082006914</x:v>
      </x:c>
      <x:c r="AG1404" s="35" t="n">
        <x:v>17</x:v>
      </x:c>
      <x:c r="AH1404" s="35" t="n">
        <x:v>0</x:v>
      </x:c>
      <x:c r="AI1404" s="29" t="n">
        <x:v>46287</x:v>
      </x:c>
      <x:c r="AJ1404" s="35" t="n">
        <x:v>5</x:v>
      </x:c>
      <x:c r="AK1404" s="11" t="str">
        <x:v>кратность</x:v>
      </x:c>
      <x:c r="AL1404" s="31" t="n">
        <x:v>210.39074961853254</x:v>
      </x:c>
      <x:c r="AM1404" s="12" t="str">
        <x:v>Нет ежедневных данных доступности. Запас более 180 дней при среднем спросе</x:v>
      </x:c>
      <x:c r="AN1404" s="12" t="str">
        <x:v>Проверить свободный остаток и установить цену для B2B</x:v>
      </x:c>
      <x:c r="AO1404" s="12" t="str">
        <x:v>Остаток 17; прогноз 90 дней 6.89; избыток 10 шт. Будущие поступления не выставляются на продажу.</x:v>
      </x:c>
      <x:c r="AP1404" s="12" t="str">
        <x:v>["daily_stockout_data_missing", "new_order_lead_time_unknown"]</x:v>
      </x:c>
      <x:c r="AQ1404" s="11" t="str">
        <x:v>SE:300200773_</x:v>
      </x:c>
      <x:c r="AR1404" s="23" t="n">
        <x:v>1</x:v>
      </x:c>
      <x:c r="AS1404" s="23" t="n">
        <x:v>0</x:v>
      </x:c>
      <x:c r="AT1404" s="23" t="n">
        <x:v>0</x:v>
      </x:c>
    </x:row>
    <x:row r="1405" ht="64" customHeight="1">
      <x:c r="A1405" s="10" t="str">
        <x:v>Systeme Electric</x:v>
      </x:c>
      <x:c r="B1405" s="34" t="str">
        <x:v>300200774_</x:v>
      </x:c>
      <x:c r="C1405" s="34" t="str">
        <x:v>ATN000373</x:v>
      </x:c>
      <x:c r="D1405" s="13" t="str">
        <x:v>А3933 Перекрест. переключ. 2 кл 10А с/у б/рамки "ATLAS" алюминий ATN373 (5) NEW</x:v>
      </x:c>
      <x:c r="E1405" s="10" t="str">
        <x:v>шт</x:v>
      </x:c>
      <x:c r="F1405" s="37" t="n">
        <x:f>MAX(0,ROUNDDOWN((AG1405-AF1405)/AR1405+0.000000001,0)*AR1405)</x:f>
        <x:v>71</x:v>
      </x:c>
      <x:c r="G1405" s="21" t="str">
        <x:f>IF(J1405="Рассчитано",V1405*(1-R1405/100)-W1405-P1405-Q1405,"н/д")</x:f>
        <x:v>н/д</x:v>
      </x:c>
      <x:c r="H1405" s="13" t="str">
        <x:v>Средний</x:v>
      </x:c>
      <x:c r="I1405" s="13" t="str">
        <x:v>Высокий</x:v>
      </x:c>
      <x:c r="J1405" s="13" t="str">
        <x:f>IF(L1405="","Укажите валюту",IF(NOT(ISNUMBER(K1405)),"Укажите объём",IF(K1405&lt;=0,"Укажите объём",IF(K1405&gt;F1405,"Объём выше излишка",IF(COUNT(M1405:O1405)&lt;3,"Нужны цены",IF(COUNT(P1405:R1405)&lt;3,"Нужны расходы",IF(OR(M1405&lt;0,N1405&lt;0,O1405&lt;0,O1405&gt;100,P1405&lt;0,Q1405&lt;0,R1405&lt;0,R1405&gt;100),"Проверьте значения","Рассчитано")))))))</x:f>
        <x:v>Нужны цены</x:v>
      </x:c>
      <x:c r="K1405" s="36" t="n">
        <x:v>71</x:v>
      </x:c>
      <x:c r="L1405" s="19" t="str">
        <x:v>KZT</x:v>
      </x:c>
      <x:c r="M1405" s="22"/>
      <x:c r="N1405" s="22"/>
      <x:c r="O1405" s="28"/>
      <x:c r="P1405" s="22"/>
      <x:c r="Q1405" s="22"/>
      <x:c r="R1405" s="28"/>
      <x:c r="S1405" s="22"/>
      <x:c r="T1405" s="37" t="n">
        <x:f>K1405</x:f>
        <x:v>71</x:v>
      </x:c>
      <x:c r="U1405" s="21" t="str">
        <x:f>IF(J1405="Рассчитано",N1405*(1-O1405/100),"н/д")</x:f>
        <x:v>н/д</x:v>
      </x:c>
      <x:c r="V1405" s="21" t="str">
        <x:f>IF(J1405="Рассчитано",T1405*U1405,"н/д")</x:f>
        <x:v>н/д</x:v>
      </x:c>
      <x:c r="W1405" s="21" t="str">
        <x:f>IF(J1405="Рассчитано",T1405*M1405,"н/д")</x:f>
        <x:v>н/д</x:v>
      </x:c>
      <x:c r="X1405" s="21" t="str">
        <x:f>IF(J1405="Рассчитано",V1405-W1405,"н/д")</x:f>
        <x:v>н/д</x:v>
      </x:c>
      <x:c r="Y1405" s="27" t="str">
        <x:f>IF(J1405="Рассчитано",IF(V1405&gt;0,G1405/V1405,"н/д"),"н/д")</x:f>
        <x:v>н/д</x:v>
      </x:c>
      <x:c r="Z1405" s="21" t="str">
        <x:f>"н/д"</x:f>
        <x:v>н/д</x:v>
      </x:c>
      <x:c r="AA1405" s="21" t="str">
        <x:f>"н/д"</x:f>
        <x:v>н/д</x:v>
      </x:c>
      <x:c r="AB1405" s="21" t="str">
        <x:f>"н/д"</x:f>
        <x:v>н/д</x:v>
      </x:c>
      <x:c r="AC1405" s="21" t="str">
        <x:f>IF(AND(J1405="Рассчитано",T1405&gt;0,R1405&lt;100),(W1405+P1405+Q1405)/(T1405*(1-R1405/100)),"н/д")</x:f>
        <x:v>н/д</x:v>
      </x:c>
      <x:c r="AD1405" s="10" t="str">
        <x:f>IF(ISNUMBER(G1405),IF(G1405&lt;0,"Убыток",IF(G1405=0,"Без прибыли","Прибыль &gt; 0")),"Не оценён")</x:f>
        <x:v>Не оценён</x:v>
      </x:c>
      <x:c r="AE1405" s="13" t="str">
        <x:f>IF(J1405="Рассчитано","Выручка "&amp;TEXT(V1405,"0.00")&amp;" - себестоимость "&amp;TEXT(W1405,"0.00")&amp;" - комиссия "&amp;TEXT(V1405*R1405/100,"0.00")&amp;" - доставка "&amp;TEXT(P1405,"0.00")&amp;" - прочие "&amp;TEXT(Q1405,"0.00")&amp;" = "&amp;TEXT(G1405,"0.00")&amp;" "&amp;L1405,"Введите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5" s="24" t="n">
        <x:v>2.435149015937828</x:v>
      </x:c>
      <x:c r="AG1405" s="37" t="n">
        <x:v>74</x:v>
      </x:c>
      <x:c r="AH1405" s="37" t="n">
        <x:v>0</x:v>
      </x:c>
      <x:c r="AI1405" s="30" t="n">
        <x:v>46287</x:v>
      </x:c>
      <x:c r="AJ1405" s="37" t="n">
        <x:v>5</x:v>
      </x:c>
      <x:c r="AK1405" s="10" t="str">
        <x:v>кратность</x:v>
      </x:c>
      <x:c r="AL1405" s="32" t="n">
        <x:v>2591.028300524094</x:v>
      </x:c>
      <x:c r="AM1405" s="13" t="str">
        <x:v>Нет ежедневных данных доступности. Запас более 180 дней при среднем спросе</x:v>
      </x:c>
      <x:c r="AN1405" s="13" t="str">
        <x:v>Проверить свободный остаток и установить цену для B2B</x:v>
      </x:c>
      <x:c r="AO1405" s="13" t="str">
        <x:v>Остаток 74; прогноз 90 дней 2.44; избыток 71 шт. Будущие поступления не выставляются на продажу.</x:v>
      </x:c>
      <x:c r="AP1405" s="13" t="str">
        <x:v>["daily_stockout_data_missing", "new_order_lead_time_unknown"]</x:v>
      </x:c>
      <x:c r="AQ1405" s="10" t="str">
        <x:v>SE:300200774_</x:v>
      </x:c>
      <x:c r="AR1405" s="24" t="n">
        <x:v>1</x:v>
      </x:c>
      <x:c r="AS1405" s="24" t="n">
        <x:v>0</x:v>
      </x:c>
      <x:c r="AT1405" s="24" t="n">
        <x:v>0</x:v>
      </x:c>
    </x:row>
    <x:row r="1406" ht="64" customHeight="1">
      <x:c r="A1406" s="11" t="str">
        <x:v>Systeme Electric</x:v>
      </x:c>
      <x:c r="B1406" s="33" t="str">
        <x:v>300200775_</x:v>
      </x:c>
      <x:c r="C1406" s="33" t="str">
        <x:v>ATN001023</x:v>
      </x:c>
      <x:c r="D1406" s="12" t="str">
        <x:v>K090 Диммер повортно нажимной мех. LED RC 400Вт "ATLAS" КАРБОН ATN1023 (1) NEW</x:v>
      </x:c>
      <x:c r="E1406" s="11" t="str">
        <x:v>шт</x:v>
      </x:c>
      <x:c r="F1406" s="35" t="n">
        <x:f>MAX(0,ROUNDDOWN((AG1406-AF1406)/AR1406+0.000000001,0)*AR1406)</x:f>
        <x:v>10</x:v>
      </x:c>
      <x:c r="G1406" s="20" t="str">
        <x:f>IF(J1406="Рассчитано",V1406*(1-R1406/100)-W1406-P1406-Q1406,"н/д")</x:f>
        <x:v>н/д</x:v>
      </x:c>
      <x:c r="H1406" s="12" t="str">
        <x:v>Средний</x:v>
      </x:c>
      <x:c r="I1406" s="12" t="str">
        <x:v>Высокий</x:v>
      </x:c>
      <x:c r="J1406" s="12" t="str">
        <x:f>IF(L1406="","Укажите валюту",IF(NOT(ISNUMBER(K1406)),"Укажите объём",IF(K1406&lt;=0,"Укажите объём",IF(K1406&gt;F1406,"Объём выше излишка",IF(COUNT(M1406:O1406)&lt;3,"Нужны цены",IF(COUNT(P1406:R1406)&lt;3,"Нужны расходы",IF(OR(M1406&lt;0,N1406&lt;0,O1406&lt;0,O1406&gt;100,P1406&lt;0,Q1406&lt;0,R1406&lt;0,R1406&gt;100),"Проверьте значения","Рассчитано")))))))</x:f>
        <x:v>Нужны цены</x:v>
      </x:c>
      <x:c r="K1406" s="36" t="n">
        <x:v>10</x:v>
      </x:c>
      <x:c r="L1406" s="19" t="str">
        <x:v>KZT</x:v>
      </x:c>
      <x:c r="M1406" s="22"/>
      <x:c r="N1406" s="22"/>
      <x:c r="O1406" s="28"/>
      <x:c r="P1406" s="22"/>
      <x:c r="Q1406" s="22"/>
      <x:c r="R1406" s="28"/>
      <x:c r="S1406" s="22"/>
      <x:c r="T1406" s="35" t="n">
        <x:f>K1406</x:f>
        <x:v>10</x:v>
      </x:c>
      <x:c r="U1406" s="20" t="str">
        <x:f>IF(J1406="Рассчитано",N1406*(1-O1406/100),"н/д")</x:f>
        <x:v>н/д</x:v>
      </x:c>
      <x:c r="V1406" s="20" t="str">
        <x:f>IF(J1406="Рассчитано",T1406*U1406,"н/д")</x:f>
        <x:v>н/д</x:v>
      </x:c>
      <x:c r="W1406" s="20" t="str">
        <x:f>IF(J1406="Рассчитано",T1406*M1406,"н/д")</x:f>
        <x:v>н/д</x:v>
      </x:c>
      <x:c r="X1406" s="20" t="str">
        <x:f>IF(J1406="Рассчитано",V1406-W1406,"н/д")</x:f>
        <x:v>н/д</x:v>
      </x:c>
      <x:c r="Y1406" s="26" t="str">
        <x:f>IF(J1406="Рассчитано",IF(V1406&gt;0,G1406/V1406,"н/д"),"н/д")</x:f>
        <x:v>н/д</x:v>
      </x:c>
      <x:c r="Z1406" s="20" t="str">
        <x:f>"н/д"</x:f>
        <x:v>н/д</x:v>
      </x:c>
      <x:c r="AA1406" s="20" t="str">
        <x:f>"н/д"</x:f>
        <x:v>н/д</x:v>
      </x:c>
      <x:c r="AB1406" s="20" t="str">
        <x:f>"н/д"</x:f>
        <x:v>н/д</x:v>
      </x:c>
      <x:c r="AC1406" s="20" t="str">
        <x:f>IF(AND(J1406="Рассчитано",T1406&gt;0,R1406&lt;100),(W1406+P1406+Q1406)/(T1406*(1-R1406/100)),"н/д")</x:f>
        <x:v>н/д</x:v>
      </x:c>
      <x:c r="AD1406" s="11" t="str">
        <x:f>IF(ISNUMBER(G1406),IF(G1406&lt;0,"Убыток",IF(G1406=0,"Без прибыли","Прибыль &gt; 0")),"Не оценён")</x:f>
        <x:v>Не оценён</x:v>
      </x:c>
      <x:c r="AE1406" s="12" t="str">
        <x:f>IF(J1406="Рассчитано","Выручка "&amp;TEXT(V1406,"0.00")&amp;" - себестоимость "&amp;TEXT(W1406,"0.00")&amp;" - комиссия "&amp;TEXT(V1406*R1406/100,"0.00")&amp;" - доставка "&amp;TEXT(P1406,"0.00")&amp;" - прочие "&amp;TEXT(Q1406,"0.00")&amp;" = "&amp;TEXT(G1406,"0.00")&amp;" "&amp;L1406,"Введите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6" s="23" t="n">
        <x:v>1.5114438431402426</x:v>
      </x:c>
      <x:c r="AG1406" s="35" t="n">
        <x:v>12</x:v>
      </x:c>
      <x:c r="AH1406" s="35" t="n">
        <x:v>0</x:v>
      </x:c>
      <x:c r="AI1406" s="29" t="n">
        <x:v>46287</x:v>
      </x:c>
      <x:c r="AJ1406" s="35" t="n">
        <x:v>1</x:v>
      </x:c>
      <x:c r="AK1406" s="11" t="str">
        <x:v>кратность</x:v>
      </x:c>
      <x:c r="AL1406" s="31" t="n">
        <x:v>676.9478442309947</x:v>
      </x:c>
      <x:c r="AM1406" s="12" t="str">
        <x:v>Нет ежедневных данных доступности. Запас более 180 дней при среднем спросе</x:v>
      </x:c>
      <x:c r="AN1406" s="12" t="str">
        <x:v>Проверить свободный остаток и установить цену для B2B</x:v>
      </x:c>
      <x:c r="AO1406" s="12" t="str">
        <x:v>Остаток 12; прогноз 90 дней 1.51; избыток 10 шт. Будущие поступления не выставляются на продажу.</x:v>
      </x:c>
      <x:c r="AP1406" s="12" t="str">
        <x:v>["daily_stockout_data_missing", "negative_net_sales_clipped_for_forecast", "new_order_lead_time_unknown"]</x:v>
      </x:c>
      <x:c r="AQ1406" s="11" t="str">
        <x:v>SE:300200775_</x:v>
      </x:c>
      <x:c r="AR1406" s="23" t="n">
        <x:v>1</x:v>
      </x:c>
      <x:c r="AS1406" s="23" t="n">
        <x:v>0</x:v>
      </x:c>
      <x:c r="AT1406" s="23" t="n">
        <x:v>0</x:v>
      </x:c>
    </x:row>
    <x:row r="1407" ht="64" customHeight="1">
      <x:c r="A1407" s="10" t="str">
        <x:v>Systeme Electric</x:v>
      </x:c>
      <x:c r="B1407" s="34" t="str">
        <x:v>300200776_</x:v>
      </x:c>
      <x:c r="C1407" s="34" t="str">
        <x:v>ATN000741</x:v>
      </x:c>
      <x:c r="D1407" s="13" t="str">
        <x:v>K0588 Роз. без з/к без з/ш б/рамки 16А "ATLAS" ГРИФЕЛЬ ATN741   (10) NEW</x:v>
      </x:c>
      <x:c r="E1407" s="10" t="str">
        <x:v>шт</x:v>
      </x:c>
      <x:c r="F1407" s="37" t="n">
        <x:f>MAX(0,ROUNDDOWN((AG1407-AF1407)/AR1407+0.000000001,0)*AR1407)</x:f>
        <x:v>125</x:v>
      </x:c>
      <x:c r="G1407" s="21" t="str">
        <x:f>IF(J1407="Рассчитано",V1407*(1-R1407/100)-W1407-P1407-Q1407,"н/д")</x:f>
        <x:v>н/д</x:v>
      </x:c>
      <x:c r="H1407" s="13" t="str">
        <x:v>Средний</x:v>
      </x:c>
      <x:c r="I1407" s="13" t="str">
        <x:v>Высокий</x:v>
      </x:c>
      <x:c r="J1407" s="13" t="str">
        <x:f>IF(L1407="","Укажите валюту",IF(NOT(ISNUMBER(K1407)),"Укажите объём",IF(K1407&lt;=0,"Укажите объём",IF(K1407&gt;F1407,"Объём выше излишка",IF(COUNT(M1407:O1407)&lt;3,"Нужны цены",IF(COUNT(P1407:R1407)&lt;3,"Нужны расходы",IF(OR(M1407&lt;0,N1407&lt;0,O1407&lt;0,O1407&gt;100,P1407&lt;0,Q1407&lt;0,R1407&lt;0,R1407&gt;100),"Проверьте значения","Рассчитано")))))))</x:f>
        <x:v>Нужны цены</x:v>
      </x:c>
      <x:c r="K1407" s="36" t="n">
        <x:v>125</x:v>
      </x:c>
      <x:c r="L1407" s="19" t="str">
        <x:v>KZT</x:v>
      </x:c>
      <x:c r="M1407" s="22"/>
      <x:c r="N1407" s="22"/>
      <x:c r="O1407" s="28"/>
      <x:c r="P1407" s="22"/>
      <x:c r="Q1407" s="22"/>
      <x:c r="R1407" s="28"/>
      <x:c r="S1407" s="22"/>
      <x:c r="T1407" s="37" t="n">
        <x:f>K1407</x:f>
        <x:v>125</x:v>
      </x:c>
      <x:c r="U1407" s="21" t="str">
        <x:f>IF(J1407="Рассчитано",N1407*(1-O1407/100),"н/д")</x:f>
        <x:v>н/д</x:v>
      </x:c>
      <x:c r="V1407" s="21" t="str">
        <x:f>IF(J1407="Рассчитано",T1407*U1407,"н/д")</x:f>
        <x:v>н/д</x:v>
      </x:c>
      <x:c r="W1407" s="21" t="str">
        <x:f>IF(J1407="Рассчитано",T1407*M1407,"н/д")</x:f>
        <x:v>н/д</x:v>
      </x:c>
      <x:c r="X1407" s="21" t="str">
        <x:f>IF(J1407="Рассчитано",V1407-W1407,"н/д")</x:f>
        <x:v>н/д</x:v>
      </x:c>
      <x:c r="Y1407" s="27" t="str">
        <x:f>IF(J1407="Рассчитано",IF(V1407&gt;0,G1407/V1407,"н/д"),"н/д")</x:f>
        <x:v>н/д</x:v>
      </x:c>
      <x:c r="Z1407" s="21" t="str">
        <x:f>"н/д"</x:f>
        <x:v>н/д</x:v>
      </x:c>
      <x:c r="AA1407" s="21" t="str">
        <x:f>"н/д"</x:f>
        <x:v>н/д</x:v>
      </x:c>
      <x:c r="AB1407" s="21" t="str">
        <x:f>"н/д"</x:f>
        <x:v>н/д</x:v>
      </x:c>
      <x:c r="AC1407" s="21" t="str">
        <x:f>IF(AND(J1407="Рассчитано",T1407&gt;0,R1407&lt;100),(W1407+P1407+Q1407)/(T1407*(1-R1407/100)),"н/д")</x:f>
        <x:v>н/д</x:v>
      </x:c>
      <x:c r="AD1407" s="10" t="str">
        <x:f>IF(ISNUMBER(G1407),IF(G1407&lt;0,"Убыток",IF(G1407=0,"Без прибыли","Прибыль &gt; 0")),"Не оценён")</x:f>
        <x:v>Не оценён</x:v>
      </x:c>
      <x:c r="AE1407" s="13" t="str">
        <x:f>IF(J1407="Рассчитано","Выручка "&amp;TEXT(V1407,"0.00")&amp;" - себестоимость "&amp;TEXT(W1407,"0.00")&amp;" - комиссия "&amp;TEXT(V1407*R1407/100,"0.00")&amp;" - доставка "&amp;TEXT(P1407,"0.00")&amp;" - прочие "&amp;TEXT(Q1407,"0.00")&amp;" = "&amp;TEXT(G1407,"0.00")&amp;" "&amp;L1407,"Введите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7" s="24" t="n">
        <x:v>4.21079328219031</x:v>
      </x:c>
      <x:c r="AG1407" s="37" t="n">
        <x:v>130</x:v>
      </x:c>
      <x:c r="AH1407" s="37" t="n">
        <x:v>0</x:v>
      </x:c>
      <x:c r="AI1407" s="30" t="n">
        <x:v>46287</x:v>
      </x:c>
      <x:c r="AJ1407" s="37" t="n">
        <x:v>10</x:v>
      </x:c>
      <x:c r="AK1407" s="10" t="str">
        <x:v>кратность</x:v>
      </x:c>
      <x:c r="AL1407" s="32" t="n">
        <x:v>2632.360772143141</x:v>
      </x:c>
      <x:c r="AM1407" s="13" t="str">
        <x:v>Нет ежедневных данных доступности. Запас более 180 дней при среднем спросе</x:v>
      </x:c>
      <x:c r="AN1407" s="13" t="str">
        <x:v>Проверить свободный остаток и установить цену для B2B</x:v>
      </x:c>
      <x:c r="AO1407" s="13" t="str">
        <x:v>Остаток 130; прогноз 90 дней 4.21; избыток 125 шт. Будущие поступления не выставляются на продажу.</x:v>
      </x:c>
      <x:c r="AP1407" s="13" t="str">
        <x:v>["daily_stockout_data_missing", "negative_net_sales_clipped_for_forecast", "new_order_lead_time_unknown"]</x:v>
      </x:c>
      <x:c r="AQ1407" s="10" t="str">
        <x:v>SE:300200776_</x:v>
      </x:c>
      <x:c r="AR1407" s="24" t="n">
        <x:v>1</x:v>
      </x:c>
      <x:c r="AS1407" s="24" t="n">
        <x:v>0</x:v>
      </x:c>
      <x:c r="AT1407" s="24" t="n">
        <x:v>0</x:v>
      </x:c>
    </x:row>
    <x:row r="1408" ht="64" customHeight="1">
      <x:c r="A1408" s="11" t="str">
        <x:v>Systeme Electric</x:v>
      </x:c>
      <x:c r="B1408" s="33" t="str">
        <x:v>300200777_</x:v>
      </x:c>
      <x:c r="C1408" s="33" t="str">
        <x:v>ATN001251</x:v>
      </x:c>
      <x:c r="D1408" s="12" t="str">
        <x:v>К0944 Выкл. 2 кл 10А б/рамки "ATLAS" ПЕСОЧНЫЙ ATN1251 (5) NEW</x:v>
      </x:c>
      <x:c r="E1408" s="11" t="str">
        <x:v>шт</x:v>
      </x:c>
      <x:c r="F1408" s="35" t="n">
        <x:f>MAX(0,ROUNDDOWN((AG1408-AF1408)/AR1408+0.000000001,0)*AR1408)</x:f>
        <x:v>4</x:v>
      </x:c>
      <x:c r="G1408" s="20" t="str">
        <x:f>IF(J1408="Рассчитано",V1408*(1-R1408/100)-W1408-P1408-Q1408,"н/д")</x:f>
        <x:v>н/д</x:v>
      </x:c>
      <x:c r="H1408" s="12" t="str">
        <x:v>Средний</x:v>
      </x:c>
      <x:c r="I1408" s="12" t="str">
        <x:v>Средний</x:v>
      </x:c>
      <x:c r="J1408" s="12" t="str">
        <x:f>IF(L1408="","Укажите валюту",IF(NOT(ISNUMBER(K1408)),"Укажите объём",IF(K1408&lt;=0,"Укажите объём",IF(K1408&gt;F1408,"Объём выше излишка",IF(COUNT(M1408:O1408)&lt;3,"Нужны цены",IF(COUNT(P1408:R1408)&lt;3,"Нужны расходы",IF(OR(M1408&lt;0,N1408&lt;0,O1408&lt;0,O1408&gt;100,P1408&lt;0,Q1408&lt;0,R1408&lt;0,R1408&gt;100),"Проверьте значения","Рассчитано")))))))</x:f>
        <x:v>Нужны цены</x:v>
      </x:c>
      <x:c r="K1408" s="36" t="n">
        <x:v>4</x:v>
      </x:c>
      <x:c r="L1408" s="19" t="str">
        <x:v>KZT</x:v>
      </x:c>
      <x:c r="M1408" s="22"/>
      <x:c r="N1408" s="22"/>
      <x:c r="O1408" s="28"/>
      <x:c r="P1408" s="22"/>
      <x:c r="Q1408" s="22"/>
      <x:c r="R1408" s="28"/>
      <x:c r="S1408" s="22"/>
      <x:c r="T1408" s="35" t="n">
        <x:f>K1408</x:f>
        <x:v>4</x:v>
      </x:c>
      <x:c r="U1408" s="20" t="str">
        <x:f>IF(J1408="Рассчитано",N1408*(1-O1408/100),"н/д")</x:f>
        <x:v>н/д</x:v>
      </x:c>
      <x:c r="V1408" s="20" t="str">
        <x:f>IF(J1408="Рассчитано",T1408*U1408,"н/д")</x:f>
        <x:v>н/д</x:v>
      </x:c>
      <x:c r="W1408" s="20" t="str">
        <x:f>IF(J1408="Рассчитано",T1408*M1408,"н/д")</x:f>
        <x:v>н/д</x:v>
      </x:c>
      <x:c r="X1408" s="20" t="str">
        <x:f>IF(J1408="Рассчитано",V1408-W1408,"н/д")</x:f>
        <x:v>н/д</x:v>
      </x:c>
      <x:c r="Y1408" s="26" t="str">
        <x:f>IF(J1408="Рассчитано",IF(V1408&gt;0,G1408/V1408,"н/д"),"н/д")</x:f>
        <x:v>н/д</x:v>
      </x:c>
      <x:c r="Z1408" s="20" t="str">
        <x:f>"н/д"</x:f>
        <x:v>н/д</x:v>
      </x:c>
      <x:c r="AA1408" s="20" t="str">
        <x:f>"н/д"</x:f>
        <x:v>н/д</x:v>
      </x:c>
      <x:c r="AB1408" s="20" t="str">
        <x:f>"н/д"</x:f>
        <x:v>н/д</x:v>
      </x:c>
      <x:c r="AC1408" s="20" t="str">
        <x:f>IF(AND(J1408="Рассчитано",T1408&gt;0,R1408&lt;100),(W1408+P1408+Q1408)/(T1408*(1-R1408/100)),"н/д")</x:f>
        <x:v>н/д</x:v>
      </x:c>
      <x:c r="AD1408" s="11" t="str">
        <x:f>IF(ISNUMBER(G1408),IF(G1408&lt;0,"Убыток",IF(G1408=0,"Без прибыли","Прибыль &gt; 0")),"Не оценён")</x:f>
        <x:v>Не оценён</x:v>
      </x:c>
      <x:c r="AE1408" s="12" t="str">
        <x:f>IF(J1408="Рассчитано","Выручка "&amp;TEXT(V1408,"0.00")&amp;" - себестоимость "&amp;TEXT(W1408,"0.00")&amp;" - комиссия "&amp;TEXT(V1408*R1408/100,"0.00")&amp;" - доставка "&amp;TEXT(P1408,"0.00")&amp;" - прочие "&amp;TEXT(Q1408,"0.00")&amp;" = "&amp;TEXT(G1408,"0.00")&amp;" "&amp;L1408,"Введите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8" s="23" t="n">
        <x:v>66.02140353951975</x:v>
      </x:c>
      <x:c r="AG1408" s="35" t="n">
        <x:v>71</x:v>
      </x:c>
      <x:c r="AH1408" s="35" t="n">
        <x:v>0</x:v>
      </x:c>
      <x:c r="AI1408" s="29" t="n">
        <x:v>46287</x:v>
      </x:c>
      <x:c r="AJ1408" s="35" t="n">
        <x:v>5</x:v>
      </x:c>
      <x:c r="AK1408" s="11" t="str">
        <x:v>кратность</x:v>
      </x:c>
      <x:c r="AL1408" s="31" t="n">
        <x:v>91.69371641489099</x:v>
      </x:c>
      <x:c r="AM1408" s="12" t="str">
        <x:v>Детальные и месячные продажи расходятся; Нет ежедневных данных доступности. Запас выше прогноза на 90 дней</x:v>
      </x:c>
      <x:c r="AN1408" s="12" t="str">
        <x:v>Проверить свободный остаток и установить цену для B2B</x:v>
      </x:c>
      <x:c r="AO1408" s="12" t="str">
        <x:v>Остаток 71; прогноз 90 дней 66.02; избыток 4 шт. Будущие поступления не выставляются на продажу.</x:v>
      </x:c>
      <x:c r="AP1408" s="12" t="str">
        <x:v>["daily_stockout_data_missing", "large_orders_detected", "new_order_lead_time_unknown", "transaction_month_mismatch"]</x:v>
      </x:c>
      <x:c r="AQ1408" s="11" t="str">
        <x:v>SE:300200777_</x:v>
      </x:c>
      <x:c r="AR1408" s="23" t="n">
        <x:v>1</x:v>
      </x:c>
      <x:c r="AS1408" s="23" t="n">
        <x:v>0</x:v>
      </x:c>
      <x:c r="AT1408" s="23" t="n">
        <x:v>0</x:v>
      </x:c>
    </x:row>
    <x:row r="1409" ht="64" customHeight="1">
      <x:c r="A1409" s="10" t="str">
        <x:v>Systeme Electric</x:v>
      </x:c>
      <x:c r="B1409" s="34" t="str">
        <x:v>300200778_</x:v>
      </x:c>
      <x:c r="C1409" s="34" t="str">
        <x:v>ATN001241</x:v>
      </x:c>
      <x:c r="D1409" s="13" t="str">
        <x:v>К1044 Роз. без з/к без с/ш 16А б/рамки "ATLAS" ПЕСОЧНЫЙ ATN1241 (5) NEW</x:v>
      </x:c>
      <x:c r="E1409" s="10" t="str">
        <x:v>шт</x:v>
      </x:c>
      <x:c r="F1409" s="37" t="n">
        <x:f>MAX(0,ROUNDDOWN((AG1409-AF1409)/AR1409+0.000000001,0)*AR1409)</x:f>
        <x:v>15</x:v>
      </x:c>
      <x:c r="G1409" s="21" t="str">
        <x:f>IF(J1409="Рассчитано",V1409*(1-R1409/100)-W1409-P1409-Q1409,"н/д")</x:f>
        <x:v>н/д</x:v>
      </x:c>
      <x:c r="H1409" s="13" t="str">
        <x:v>Средний</x:v>
      </x:c>
      <x:c r="I1409" s="13" t="str">
        <x:v>Средний</x:v>
      </x:c>
      <x:c r="J1409" s="13" t="str">
        <x:f>IF(L1409="","Укажите валюту",IF(NOT(ISNUMBER(K1409)),"Укажите объём",IF(K1409&lt;=0,"Укажите объём",IF(K1409&gt;F1409,"Объём выше излишка",IF(COUNT(M1409:O1409)&lt;3,"Нужны цены",IF(COUNT(P1409:R1409)&lt;3,"Нужны расходы",IF(OR(M1409&lt;0,N1409&lt;0,O1409&lt;0,O1409&gt;100,P1409&lt;0,Q1409&lt;0,R1409&lt;0,R1409&gt;100),"Проверьте значения","Рассчитано")))))))</x:f>
        <x:v>Нужны цены</x:v>
      </x:c>
      <x:c r="K1409" s="36" t="n">
        <x:v>15</x:v>
      </x:c>
      <x:c r="L1409" s="19" t="str">
        <x:v>KZT</x:v>
      </x:c>
      <x:c r="M1409" s="22"/>
      <x:c r="N1409" s="22"/>
      <x:c r="O1409" s="28"/>
      <x:c r="P1409" s="22"/>
      <x:c r="Q1409" s="22"/>
      <x:c r="R1409" s="28"/>
      <x:c r="S1409" s="22"/>
      <x:c r="T1409" s="37" t="n">
        <x:f>K1409</x:f>
        <x:v>15</x:v>
      </x:c>
      <x:c r="U1409" s="21" t="str">
        <x:f>IF(J1409="Рассчитано",N1409*(1-O1409/100),"н/д")</x:f>
        <x:v>н/д</x:v>
      </x:c>
      <x:c r="V1409" s="21" t="str">
        <x:f>IF(J1409="Рассчитано",T1409*U1409,"н/д")</x:f>
        <x:v>н/д</x:v>
      </x:c>
      <x:c r="W1409" s="21" t="str">
        <x:f>IF(J1409="Рассчитано",T1409*M1409,"н/д")</x:f>
        <x:v>н/д</x:v>
      </x:c>
      <x:c r="X1409" s="21" t="str">
        <x:f>IF(J1409="Рассчитано",V1409-W1409,"н/д")</x:f>
        <x:v>н/д</x:v>
      </x:c>
      <x:c r="Y1409" s="27" t="str">
        <x:f>IF(J1409="Рассчитано",IF(V1409&gt;0,G1409/V1409,"н/д"),"н/д")</x:f>
        <x:v>н/д</x:v>
      </x:c>
      <x:c r="Z1409" s="21" t="str">
        <x:f>"н/д"</x:f>
        <x:v>н/д</x:v>
      </x:c>
      <x:c r="AA1409" s="21" t="str">
        <x:f>"н/д"</x:f>
        <x:v>н/д</x:v>
      </x:c>
      <x:c r="AB1409" s="21" t="str">
        <x:f>"н/д"</x:f>
        <x:v>н/д</x:v>
      </x:c>
      <x:c r="AC1409" s="21" t="str">
        <x:f>IF(AND(J1409="Рассчитано",T1409&gt;0,R1409&lt;100),(W1409+P1409+Q1409)/(T1409*(1-R1409/100)),"н/д")</x:f>
        <x:v>н/д</x:v>
      </x:c>
      <x:c r="AD1409" s="10" t="str">
        <x:f>IF(ISNUMBER(G1409),IF(G1409&lt;0,"Убыток",IF(G1409=0,"Без прибыли","Прибыль &gt; 0")),"Не оценён")</x:f>
        <x:v>Не оценён</x:v>
      </x:c>
      <x:c r="AE1409" s="13" t="str">
        <x:f>IF(J1409="Рассчитано","Выручка "&amp;TEXT(V1409,"0.00")&amp;" - себестоимость "&amp;TEXT(W1409,"0.00")&amp;" - комиссия "&amp;TEXT(V1409*R1409/100,"0.00")&amp;" - доставка "&amp;TEXT(P1409,"0.00")&amp;" - прочие "&amp;TEXT(Q1409,"0.00")&amp;" = "&amp;TEXT(G1409,"0.00")&amp;" "&amp;L1409,"Введите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9" s="24" t="n">
        <x:v>55.55194083526946</x:v>
      </x:c>
      <x:c r="AG1409" s="37" t="n">
        <x:v>71</x:v>
      </x:c>
      <x:c r="AH1409" s="37" t="n">
        <x:v>0</x:v>
      </x:c>
      <x:c r="AI1409" s="30" t="n">
        <x:v>46287</x:v>
      </x:c>
      <x:c r="AJ1409" s="37" t="n">
        <x:v>5</x:v>
      </x:c>
      <x:c r="AK1409" s="10" t="str">
        <x:v>кратность</x:v>
      </x:c>
      <x:c r="AL1409" s="32" t="n">
        <x:v>108.97455178779904</x:v>
      </x:c>
      <x:c r="AM1409" s="13" t="str">
        <x:v>Нет ежедневных данных доступности. Запас выше прогноза на 90 дней</x:v>
      </x:c>
      <x:c r="AN1409" s="13" t="str">
        <x:v>Проверить свободный остаток и установить цену для B2B</x:v>
      </x:c>
      <x:c r="AO1409" s="13" t="str">
        <x:v>Остаток 71; прогноз 90 дней 55.55; избыток 15 шт. Будущие поступления не выставляются на продажу.</x:v>
      </x:c>
      <x:c r="AP1409" s="13" t="str">
        <x:v>["daily_stockout_data_missing", "new_order_lead_time_unknown"]</x:v>
      </x:c>
      <x:c r="AQ1409" s="10" t="str">
        <x:v>SE:300200778_</x:v>
      </x:c>
      <x:c r="AR1409" s="24" t="n">
        <x:v>1</x:v>
      </x:c>
      <x:c r="AS1409" s="24" t="n">
        <x:v>0</x:v>
      </x:c>
      <x:c r="AT1409" s="24" t="n">
        <x:v>0</x:v>
      </x:c>
    </x:row>
    <x:row r="1410" ht="64" customHeight="1">
      <x:c r="A1410" s="11" t="str">
        <x:v>Systeme Electric</x:v>
      </x:c>
      <x:c r="B1410" s="33" t="str">
        <x:v>300200779_</x:v>
      </x:c>
      <x:c r="C1410" s="33" t="str">
        <x:v>ATN441046</x:v>
      </x:c>
      <x:c r="D1410" s="12" t="str">
        <x:v>K093 Роз. AQUA с з/к с ш/т 16А с крышкой IP44 механизам "ATLAS" КАРБОН ATN441046 (10) NEW</x:v>
      </x:c>
      <x:c r="E1410" s="11" t="str">
        <x:v>шт</x:v>
      </x:c>
      <x:c r="F1410" s="35" t="n">
        <x:f>MAX(0,ROUNDDOWN((AG1410-AF1410)/AR1410+0.000000001,0)*AR1410)</x:f>
        <x:v>6</x:v>
      </x:c>
      <x:c r="G1410" s="20" t="str">
        <x:f>IF(J1410="Рассчитано",V1410*(1-R1410/100)-W1410-P1410-Q1410,"н/д")</x:f>
        <x:v>н/д</x:v>
      </x:c>
      <x:c r="H1410" s="12" t="str">
        <x:v>Средний</x:v>
      </x:c>
      <x:c r="I1410" s="12" t="str">
        <x:v>Средний</x:v>
      </x:c>
      <x:c r="J1410" s="12" t="str">
        <x:f>IF(L1410="","Укажите валюту",IF(NOT(ISNUMBER(K1410)),"Укажите объём",IF(K1410&lt;=0,"Укажите объём",IF(K1410&gt;F1410,"Объём выше излишка",IF(COUNT(M1410:O1410)&lt;3,"Нужны цены",IF(COUNT(P1410:R1410)&lt;3,"Нужны расходы",IF(OR(M1410&lt;0,N1410&lt;0,O1410&lt;0,O1410&gt;100,P1410&lt;0,Q1410&lt;0,R1410&lt;0,R1410&gt;100),"Проверьте значения","Рассчитано")))))))</x:f>
        <x:v>Нужны цены</x:v>
      </x:c>
      <x:c r="K1410" s="36" t="n">
        <x:v>6</x:v>
      </x:c>
      <x:c r="L1410" s="19" t="str">
        <x:v>KZT</x:v>
      </x:c>
      <x:c r="M1410" s="22"/>
      <x:c r="N1410" s="22"/>
      <x:c r="O1410" s="28"/>
      <x:c r="P1410" s="22"/>
      <x:c r="Q1410" s="22"/>
      <x:c r="R1410" s="28"/>
      <x:c r="S1410" s="22"/>
      <x:c r="T1410" s="35" t="n">
        <x:f>K1410</x:f>
        <x:v>6</x:v>
      </x:c>
      <x:c r="U1410" s="20" t="str">
        <x:f>IF(J1410="Рассчитано",N1410*(1-O1410/100),"н/д")</x:f>
        <x:v>н/д</x:v>
      </x:c>
      <x:c r="V1410" s="20" t="str">
        <x:f>IF(J1410="Рассчитано",T1410*U1410,"н/д")</x:f>
        <x:v>н/д</x:v>
      </x:c>
      <x:c r="W1410" s="20" t="str">
        <x:f>IF(J1410="Рассчитано",T1410*M1410,"н/д")</x:f>
        <x:v>н/д</x:v>
      </x:c>
      <x:c r="X1410" s="20" t="str">
        <x:f>IF(J1410="Рассчитано",V1410-W1410,"н/д")</x:f>
        <x:v>н/д</x:v>
      </x:c>
      <x:c r="Y1410" s="26" t="str">
        <x:f>IF(J1410="Рассчитано",IF(V1410&gt;0,G1410/V1410,"н/д"),"н/д")</x:f>
        <x:v>н/д</x:v>
      </x:c>
      <x:c r="Z1410" s="20" t="str">
        <x:f>"н/д"</x:f>
        <x:v>н/д</x:v>
      </x:c>
      <x:c r="AA1410" s="20" t="str">
        <x:f>"н/д"</x:f>
        <x:v>н/д</x:v>
      </x:c>
      <x:c r="AB1410" s="20" t="str">
        <x:f>"н/д"</x:f>
        <x:v>н/д</x:v>
      </x:c>
      <x:c r="AC1410" s="20" t="str">
        <x:f>IF(AND(J1410="Рассчитано",T1410&gt;0,R1410&lt;100),(W1410+P1410+Q1410)/(T1410*(1-R1410/100)),"н/д")</x:f>
        <x:v>н/д</x:v>
      </x:c>
      <x:c r="AD1410" s="11" t="str">
        <x:f>IF(ISNUMBER(G1410),IF(G1410&lt;0,"Убыток",IF(G1410=0,"Без прибыли","Прибыль &gt; 0")),"Не оценён")</x:f>
        <x:v>Не оценён</x:v>
      </x:c>
      <x:c r="AE1410" s="12" t="str">
        <x:f>IF(J1410="Рассчитано","Выручка "&amp;TEXT(V1410,"0.00")&amp;" - себестоимость "&amp;TEXT(W1410,"0.00")&amp;" - комиссия "&amp;TEXT(V1410*R1410/100,"0.00")&amp;" - доставка "&amp;TEXT(P1410,"0.00")&amp;" - прочие "&amp;TEXT(Q1410,"0.00")&amp;" = "&amp;TEXT(G1410,"0.00")&amp;" "&amp;L1410,"Введите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0" s="23" t="n">
        <x:v>43.63592059869507</x:v>
      </x:c>
      <x:c r="AG1410" s="35" t="n">
        <x:v>50</x:v>
      </x:c>
      <x:c r="AH1410" s="35" t="n">
        <x:v>0</x:v>
      </x:c>
      <x:c r="AI1410" s="29" t="n">
        <x:v>46287</x:v>
      </x:c>
      <x:c r="AJ1410" s="35" t="n">
        <x:v>10</x:v>
      </x:c>
      <x:c r="AK1410" s="11" t="str">
        <x:v>кратность</x:v>
      </x:c>
      <x:c r="AL1410" s="31" t="n">
        <x:v>97.69938745914328</x:v>
      </x:c>
      <x:c r="AM1410" s="12" t="str">
        <x:v>Детальные и месячные продажи расходятся; Нет ежедневных данных доступности. Запас выше прогноза на 90 дней</x:v>
      </x:c>
      <x:c r="AN1410" s="12" t="str">
        <x:v>Проверить свободный остаток и установить цену для B2B</x:v>
      </x:c>
      <x:c r="AO1410" s="12" t="str">
        <x:v>Остаток 50; прогноз 90 дней 43.64; избыток 6 шт. Будущие поступления не выставляются на продажу.</x:v>
      </x:c>
      <x:c r="AP1410" s="12" t="str">
        <x:v>["daily_stockout_data_missing", "large_orders_detected", "new_order_lead_time_unknown", "transaction_month_mismatch"]</x:v>
      </x:c>
      <x:c r="AQ1410" s="11" t="str">
        <x:v>SE:300200779_</x:v>
      </x:c>
      <x:c r="AR1410" s="23" t="n">
        <x:v>1</x:v>
      </x:c>
      <x:c r="AS1410" s="23" t="n">
        <x:v>0</x:v>
      </x:c>
      <x:c r="AT1410" s="23" t="n">
        <x:v>0</x:v>
      </x:c>
    </x:row>
    <x:row r="1411" ht="64" customHeight="1">
      <x:c r="A1411" s="10" t="str">
        <x:v>Systeme Electric</x:v>
      </x:c>
      <x:c r="B1411" s="34" t="str">
        <x:v>300200781_</x:v>
      </x:c>
      <x:c r="C1411" s="34" t="str">
        <x:v>ATN441051</x:v>
      </x:c>
      <x:c r="D1411" s="13" t="str">
        <x:v>K091 Выкл. AQUA 2 кл IP44 мех. "ATLAS" КАРБОН ATN441051   (5) NEW</x:v>
      </x:c>
      <x:c r="E1411" s="10" t="str">
        <x:v>шт</x:v>
      </x:c>
      <x:c r="F1411" s="37" t="n">
        <x:f>MAX(0,ROUNDDOWN((AG1411-AF1411)/AR1411+0.000000001,0)*AR1411)</x:f>
        <x:v>11</x:v>
      </x:c>
      <x:c r="G1411" s="21" t="str">
        <x:f>IF(J1411="Рассчитано",V1411*(1-R1411/100)-W1411-P1411-Q1411,"н/д")</x:f>
        <x:v>н/д</x:v>
      </x:c>
      <x:c r="H1411" s="13" t="str">
        <x:v>Средний</x:v>
      </x:c>
      <x:c r="I1411" s="13" t="str">
        <x:v>Высокий</x:v>
      </x:c>
      <x:c r="J1411" s="13" t="str">
        <x:f>IF(L1411="","Укажите валюту",IF(NOT(ISNUMBER(K1411)),"Укажите объём",IF(K1411&lt;=0,"Укажите объём",IF(K1411&gt;F1411,"Объём выше излишка",IF(COUNT(M1411:O1411)&lt;3,"Нужны цены",IF(COUNT(P1411:R1411)&lt;3,"Нужны расходы",IF(OR(M1411&lt;0,N1411&lt;0,O1411&lt;0,O1411&gt;100,P1411&lt;0,Q1411&lt;0,R1411&lt;0,R1411&gt;100),"Проверьте значения","Рассчитано")))))))</x:f>
        <x:v>Нужны цены</x:v>
      </x:c>
      <x:c r="K1411" s="36" t="n">
        <x:v>11</x:v>
      </x:c>
      <x:c r="L1411" s="19" t="str">
        <x:v>KZT</x:v>
      </x:c>
      <x:c r="M1411" s="22"/>
      <x:c r="N1411" s="22"/>
      <x:c r="O1411" s="28"/>
      <x:c r="P1411" s="22"/>
      <x:c r="Q1411" s="22"/>
      <x:c r="R1411" s="28"/>
      <x:c r="S1411" s="22"/>
      <x:c r="T1411" s="37" t="n">
        <x:f>K1411</x:f>
        <x:v>11</x:v>
      </x:c>
      <x:c r="U1411" s="21" t="str">
        <x:f>IF(J1411="Рассчитано",N1411*(1-O1411/100),"н/д")</x:f>
        <x:v>н/д</x:v>
      </x:c>
      <x:c r="V1411" s="21" t="str">
        <x:f>IF(J1411="Рассчитано",T1411*U1411,"н/д")</x:f>
        <x:v>н/д</x:v>
      </x:c>
      <x:c r="W1411" s="21" t="str">
        <x:f>IF(J1411="Рассчитано",T1411*M1411,"н/д")</x:f>
        <x:v>н/д</x:v>
      </x:c>
      <x:c r="X1411" s="21" t="str">
        <x:f>IF(J1411="Рассчитано",V1411-W1411,"н/д")</x:f>
        <x:v>н/д</x:v>
      </x:c>
      <x:c r="Y1411" s="27" t="str">
        <x:f>IF(J1411="Рассчитано",IF(V1411&gt;0,G1411/V1411,"н/д"),"н/д")</x:f>
        <x:v>н/д</x:v>
      </x:c>
      <x:c r="Z1411" s="21" t="str">
        <x:f>"н/д"</x:f>
        <x:v>н/д</x:v>
      </x:c>
      <x:c r="AA1411" s="21" t="str">
        <x:f>"н/д"</x:f>
        <x:v>н/д</x:v>
      </x:c>
      <x:c r="AB1411" s="21" t="str">
        <x:f>"н/д"</x:f>
        <x:v>н/д</x:v>
      </x:c>
      <x:c r="AC1411" s="21" t="str">
        <x:f>IF(AND(J1411="Рассчитано",T1411&gt;0,R1411&lt;100),(W1411+P1411+Q1411)/(T1411*(1-R1411/100)),"н/д")</x:f>
        <x:v>н/д</x:v>
      </x:c>
      <x:c r="AD1411" s="10" t="str">
        <x:f>IF(ISNUMBER(G1411),IF(G1411&lt;0,"Убыток",IF(G1411=0,"Без прибыли","Прибыль &gt; 0")),"Не оценён")</x:f>
        <x:v>Не оценён</x:v>
      </x:c>
      <x:c r="AE1411" s="13" t="str">
        <x:f>IF(J1411="Рассчитано","Выручка "&amp;TEXT(V1411,"0.00")&amp;" - себестоимость "&amp;TEXT(W1411,"0.00")&amp;" - комиссия "&amp;TEXT(V1411*R1411/100,"0.00")&amp;" - доставка "&amp;TEXT(P1411,"0.00")&amp;" - прочие "&amp;TEXT(Q1411,"0.00")&amp;" = "&amp;TEXT(G1411,"0.00")&amp;" "&amp;L1411,"Введите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1" s="24" t="n">
        <x:v>2.0951127517848427</x:v>
      </x:c>
      <x:c r="AG1411" s="37" t="n">
        <x:v>14</x:v>
      </x:c>
      <x:c r="AH1411" s="37" t="n">
        <x:v>0</x:v>
      </x:c>
      <x:c r="AI1411" s="30" t="n">
        <x:v>46287</x:v>
      </x:c>
      <x:c r="AJ1411" s="37" t="n">
        <x:v>5</x:v>
      </x:c>
      <x:c r="AK1411" s="10" t="str">
        <x:v>кратность</x:v>
      </x:c>
      <x:c r="AL1411" s="32" t="n">
        <x:v>569.7529924446355</x:v>
      </x:c>
      <x:c r="AM1411" s="13" t="str">
        <x:v>Нет ежедневных данных доступности. Запас более 180 дней при среднем спросе</x:v>
      </x:c>
      <x:c r="AN1411" s="13" t="str">
        <x:v>Проверить свободный остаток и установить цену для B2B</x:v>
      </x:c>
      <x:c r="AO1411" s="13" t="str">
        <x:v>Остаток 14; прогноз 90 дней 2.10; избыток 11 шт. Будущие поступления не выставляются на продажу.</x:v>
      </x:c>
      <x:c r="AP1411" s="13" t="str">
        <x:v>["daily_stockout_data_missing", "new_order_lead_time_unknown"]</x:v>
      </x:c>
      <x:c r="AQ1411" s="10" t="str">
        <x:v>SE:300200781_</x:v>
      </x:c>
      <x:c r="AR1411" s="24" t="n">
        <x:v>1</x:v>
      </x:c>
      <x:c r="AS1411" s="24" t="n">
        <x:v>0</x:v>
      </x:c>
      <x:c r="AT1411" s="24" t="n">
        <x:v>0</x:v>
      </x:c>
    </x:row>
    <x:row r="1412" ht="64" customHeight="1">
      <x:c r="A1412" s="11" t="str">
        <x:v>Systeme Electric</x:v>
      </x:c>
      <x:c r="B1412" s="33" t="str">
        <x:v>300200782_</x:v>
      </x:c>
      <x:c r="C1412" s="33" t="str">
        <x:v>ATN441001</x:v>
      </x:c>
      <x:c r="D1412" s="12" t="str">
        <x:v>K094 Рамка 1-ная AQUA IP44 "ATLAS" КАРБОН ATN441001     (10) NEW</x:v>
      </x:c>
      <x:c r="E1412" s="11" t="str">
        <x:v>шт</x:v>
      </x:c>
      <x:c r="F1412" s="35" t="n">
        <x:f>MAX(0,ROUNDDOWN((AG1412-AF1412)/AR1412+0.000000001,0)*AR1412)</x:f>
        <x:v>151</x:v>
      </x:c>
      <x:c r="G1412" s="20" t="str">
        <x:f>IF(J1412="Рассчитано",V1412*(1-R1412/100)-W1412-P1412-Q1412,"н/д")</x:f>
        <x:v>н/д</x:v>
      </x:c>
      <x:c r="H1412" s="12" t="str">
        <x:v>Средний</x:v>
      </x:c>
      <x:c r="I1412" s="12" t="str">
        <x:v>Высокий</x:v>
      </x:c>
      <x:c r="J1412" s="12" t="str">
        <x:f>IF(L1412="","Укажите валюту",IF(NOT(ISNUMBER(K1412)),"Укажите объём",IF(K1412&lt;=0,"Укажите объём",IF(K1412&gt;F1412,"Объём выше излишка",IF(COUNT(M1412:O1412)&lt;3,"Нужны цены",IF(COUNT(P1412:R1412)&lt;3,"Нужны расходы",IF(OR(M1412&lt;0,N1412&lt;0,O1412&lt;0,O1412&gt;100,P1412&lt;0,Q1412&lt;0,R1412&lt;0,R1412&gt;100),"Проверьте значения","Рассчитано")))))))</x:f>
        <x:v>Нужны цены</x:v>
      </x:c>
      <x:c r="K1412" s="36" t="n">
        <x:v>151</x:v>
      </x:c>
      <x:c r="L1412" s="19" t="str">
        <x:v>KZT</x:v>
      </x:c>
      <x:c r="M1412" s="22"/>
      <x:c r="N1412" s="22"/>
      <x:c r="O1412" s="28"/>
      <x:c r="P1412" s="22"/>
      <x:c r="Q1412" s="22"/>
      <x:c r="R1412" s="28"/>
      <x:c r="S1412" s="22"/>
      <x:c r="T1412" s="35" t="n">
        <x:f>K1412</x:f>
        <x:v>151</x:v>
      </x:c>
      <x:c r="U1412" s="20" t="str">
        <x:f>IF(J1412="Рассчитано",N1412*(1-O1412/100),"н/д")</x:f>
        <x:v>н/д</x:v>
      </x:c>
      <x:c r="V1412" s="20" t="str">
        <x:f>IF(J1412="Рассчитано",T1412*U1412,"н/д")</x:f>
        <x:v>н/д</x:v>
      </x:c>
      <x:c r="W1412" s="20" t="str">
        <x:f>IF(J1412="Рассчитано",T1412*M1412,"н/д")</x:f>
        <x:v>н/д</x:v>
      </x:c>
      <x:c r="X1412" s="20" t="str">
        <x:f>IF(J1412="Рассчитано",V1412-W1412,"н/д")</x:f>
        <x:v>н/д</x:v>
      </x:c>
      <x:c r="Y1412" s="26" t="str">
        <x:f>IF(J1412="Рассчитано",IF(V1412&gt;0,G1412/V1412,"н/д"),"н/д")</x:f>
        <x:v>н/д</x:v>
      </x:c>
      <x:c r="Z1412" s="20" t="str">
        <x:f>"н/д"</x:f>
        <x:v>н/д</x:v>
      </x:c>
      <x:c r="AA1412" s="20" t="str">
        <x:f>"н/д"</x:f>
        <x:v>н/д</x:v>
      </x:c>
      <x:c r="AB1412" s="20" t="str">
        <x:f>"н/д"</x:f>
        <x:v>н/д</x:v>
      </x:c>
      <x:c r="AC1412" s="20" t="str">
        <x:f>IF(AND(J1412="Рассчитано",T1412&gt;0,R1412&lt;100),(W1412+P1412+Q1412)/(T1412*(1-R1412/100)),"н/д")</x:f>
        <x:v>н/д</x:v>
      </x:c>
      <x:c r="AD1412" s="11" t="str">
        <x:f>IF(ISNUMBER(G1412),IF(G1412&lt;0,"Убыток",IF(G1412=0,"Без прибыли","Прибыль &gt; 0")),"Не оценён")</x:f>
        <x:v>Не оценён</x:v>
      </x:c>
      <x:c r="AE1412" s="12" t="str">
        <x:f>IF(J1412="Рассчитано","Выручка "&amp;TEXT(V1412,"0.00")&amp;" - себестоимость "&amp;TEXT(W1412,"0.00")&amp;" - комиссия "&amp;TEXT(V1412*R1412/100,"0.00")&amp;" - доставка "&amp;TEXT(P1412,"0.00")&amp;" - прочие "&amp;TEXT(Q1412,"0.00")&amp;" = "&amp;TEXT(G1412,"0.00")&amp;" "&amp;L1412,"Введите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2" s="23" t="n">
        <x:v>15.974775391026563</x:v>
      </x:c>
      <x:c r="AG1412" s="35" t="n">
        <x:v>167</x:v>
      </x:c>
      <x:c r="AH1412" s="35" t="n">
        <x:v>0</x:v>
      </x:c>
      <x:c r="AI1412" s="29" t="n">
        <x:v>46287</x:v>
      </x:c>
      <x:c r="AJ1412" s="35" t="n">
        <x:v>10</x:v>
      </x:c>
      <x:c r="AK1412" s="11" t="str">
        <x:v>кратность</x:v>
      </x:c>
      <x:c r="AL1412" s="31" t="n">
        <x:v>891.3488118139194</x:v>
      </x:c>
      <x:c r="AM1412" s="12" t="str">
        <x:v>Нет ежедневных данных доступности. Запас более 180 дней при среднем спросе</x:v>
      </x:c>
      <x:c r="AN1412" s="12" t="str">
        <x:v>Проверить свободный остаток и установить цену для B2B</x:v>
      </x:c>
      <x:c r="AO1412" s="12" t="str">
        <x:v>Остаток 167; прогноз 90 дней 15.97; избыток 151 шт. Будущие поступления не выставляются на продажу.</x:v>
      </x:c>
      <x:c r="AP1412" s="12" t="str">
        <x:v>["daily_stockout_data_missing", "new_order_lead_time_unknown"]</x:v>
      </x:c>
      <x:c r="AQ1412" s="11" t="str">
        <x:v>SE:300200782_</x:v>
      </x:c>
      <x:c r="AR1412" s="23" t="n">
        <x:v>1</x:v>
      </x:c>
      <x:c r="AS1412" s="23" t="n">
        <x:v>0</x:v>
      </x:c>
      <x:c r="AT1412" s="23" t="n">
        <x:v>0</x:v>
      </x:c>
    </x:row>
    <x:row r="1413" ht="64" customHeight="1">
      <x:c r="A1413" s="10" t="str">
        <x:v>Systeme Electric</x:v>
      </x:c>
      <x:c r="B1413" s="34" t="str">
        <x:v>300200783_</x:v>
      </x:c>
      <x:c r="C1413" s="34" t="str">
        <x:v>ATN441002</x:v>
      </x:c>
      <x:c r="D1413" s="13" t="str">
        <x:v>K095 Рамка 2-ная AQUA IP44 "ATLAS" КАРБОН ATN441002     (5) NEW</x:v>
      </x:c>
      <x:c r="E1413" s="10" t="str">
        <x:v>шт</x:v>
      </x:c>
      <x:c r="F1413" s="37" t="n">
        <x:f>MAX(0,ROUNDDOWN((AG1413-AF1413)/AR1413+0.000000001,0)*AR1413)</x:f>
        <x:v>7</x:v>
      </x:c>
      <x:c r="G1413" s="21" t="str">
        <x:f>IF(J1413="Рассчитано",V1413*(1-R1413/100)-W1413-P1413-Q1413,"н/д")</x:f>
        <x:v>н/д</x:v>
      </x:c>
      <x:c r="H1413" s="13" t="str">
        <x:v>Средний</x:v>
      </x:c>
      <x:c r="I1413" s="13" t="str">
        <x:v>Высокий</x:v>
      </x:c>
      <x:c r="J1413" s="13" t="str">
        <x:f>IF(L1413="","Укажите валюту",IF(NOT(ISNUMBER(K1413)),"Укажите объём",IF(K1413&lt;=0,"Укажите объём",IF(K1413&gt;F1413,"Объём выше излишка",IF(COUNT(M1413:O1413)&lt;3,"Нужны цены",IF(COUNT(P1413:R1413)&lt;3,"Нужны расходы",IF(OR(M1413&lt;0,N1413&lt;0,O1413&lt;0,O1413&gt;100,P1413&lt;0,Q1413&lt;0,R1413&lt;0,R1413&gt;100),"Проверьте значения","Рассчитано")))))))</x:f>
        <x:v>Нужны цены</x:v>
      </x:c>
      <x:c r="K1413" s="36" t="n">
        <x:v>7</x:v>
      </x:c>
      <x:c r="L1413" s="19" t="str">
        <x:v>KZT</x:v>
      </x:c>
      <x:c r="M1413" s="22"/>
      <x:c r="N1413" s="22"/>
      <x:c r="O1413" s="28"/>
      <x:c r="P1413" s="22"/>
      <x:c r="Q1413" s="22"/>
      <x:c r="R1413" s="28"/>
      <x:c r="S1413" s="22"/>
      <x:c r="T1413" s="37" t="n">
        <x:f>K1413</x:f>
        <x:v>7</x:v>
      </x:c>
      <x:c r="U1413" s="21" t="str">
        <x:f>IF(J1413="Рассчитано",N1413*(1-O1413/100),"н/д")</x:f>
        <x:v>н/д</x:v>
      </x:c>
      <x:c r="V1413" s="21" t="str">
        <x:f>IF(J1413="Рассчитано",T1413*U1413,"н/д")</x:f>
        <x:v>н/д</x:v>
      </x:c>
      <x:c r="W1413" s="21" t="str">
        <x:f>IF(J1413="Рассчитано",T1413*M1413,"н/д")</x:f>
        <x:v>н/д</x:v>
      </x:c>
      <x:c r="X1413" s="21" t="str">
        <x:f>IF(J1413="Рассчитано",V1413-W1413,"н/д")</x:f>
        <x:v>н/д</x:v>
      </x:c>
      <x:c r="Y1413" s="27" t="str">
        <x:f>IF(J1413="Рассчитано",IF(V1413&gt;0,G1413/V1413,"н/д"),"н/д")</x:f>
        <x:v>н/д</x:v>
      </x:c>
      <x:c r="Z1413" s="21" t="str">
        <x:f>"н/д"</x:f>
        <x:v>н/д</x:v>
      </x:c>
      <x:c r="AA1413" s="21" t="str">
        <x:f>"н/д"</x:f>
        <x:v>н/д</x:v>
      </x:c>
      <x:c r="AB1413" s="21" t="str">
        <x:f>"н/д"</x:f>
        <x:v>н/д</x:v>
      </x:c>
      <x:c r="AC1413" s="21" t="str">
        <x:f>IF(AND(J1413="Рассчитано",T1413&gt;0,R1413&lt;100),(W1413+P1413+Q1413)/(T1413*(1-R1413/100)),"н/д")</x:f>
        <x:v>н/д</x:v>
      </x:c>
      <x:c r="AD1413" s="10" t="str">
        <x:f>IF(ISNUMBER(G1413),IF(G1413&lt;0,"Убыток",IF(G1413=0,"Без прибыли","Прибыль &gt; 0")),"Не оценён")</x:f>
        <x:v>Не оценён</x:v>
      </x:c>
      <x:c r="AE1413" s="13" t="str">
        <x:f>IF(J1413="Рассчитано","Выручка "&amp;TEXT(V1413,"0.00")&amp;" - себестоимость "&amp;TEXT(W1413,"0.00")&amp;" - комиссия "&amp;TEXT(V1413*R1413/100,"0.00")&amp;" - доставка "&amp;TEXT(P1413,"0.00")&amp;" - прочие "&amp;TEXT(Q1413,"0.00")&amp;" = "&amp;TEXT(G1413,"0.00")&amp;" "&amp;L1413,"Введите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3" s="24" t="n">
        <x:v>5.443246283144351</x:v>
      </x:c>
      <x:c r="AG1413" s="37" t="n">
        <x:v>13</x:v>
      </x:c>
      <x:c r="AH1413" s="37" t="n">
        <x:v>0</x:v>
      </x:c>
      <x:c r="AI1413" s="30" t="n">
        <x:v>46287</x:v>
      </x:c>
      <x:c r="AJ1413" s="37" t="n">
        <x:v>5</x:v>
      </x:c>
      <x:c r="AK1413" s="10" t="str">
        <x:v>кратность</x:v>
      </x:c>
      <x:c r="AL1413" s="32" t="n">
        <x:v>203.6344945472258</x:v>
      </x:c>
      <x:c r="AM1413" s="13" t="str">
        <x:v>Нет ежедневных данных доступности. Запас более 180 дней при среднем спросе</x:v>
      </x:c>
      <x:c r="AN1413" s="13" t="str">
        <x:v>Проверить свободный остаток и установить цену для B2B</x:v>
      </x:c>
      <x:c r="AO1413" s="13" t="str">
        <x:v>Остаток 13; прогноз 90 дней 5.44; избыток 7 шт. Будущие поступления не выставляются на продажу.</x:v>
      </x:c>
      <x:c r="AP1413" s="13" t="str">
        <x:v>["daily_stockout_data_missing", "negative_net_sales_clipped_for_forecast", "new_order_lead_time_unknown"]</x:v>
      </x:c>
      <x:c r="AQ1413" s="10" t="str">
        <x:v>SE:300200783_</x:v>
      </x:c>
      <x:c r="AR1413" s="24" t="n">
        <x:v>1</x:v>
      </x:c>
      <x:c r="AS1413" s="24" t="n">
        <x:v>0</x:v>
      </x:c>
      <x:c r="AT1413" s="24" t="n">
        <x:v>0</x:v>
      </x:c>
    </x:row>
    <x:row r="1414" ht="64" customHeight="1">
      <x:c r="A1414" s="11" t="str">
        <x:v>Systeme Electric</x:v>
      </x:c>
      <x:c r="B1414" s="33" t="str">
        <x:v>300200785_</x:v>
      </x:c>
      <x:c r="C1414" s="33" t="str">
        <x:v>GAL000311</x:v>
      </x:c>
      <x:c r="D1414" s="12" t="str">
        <x:v>G002 Выкл. 1 кл 10А "ARTGALLERY" алюминий GAL0311 (10)</x:v>
      </x:c>
      <x:c r="E1414" s="11" t="str">
        <x:v>шт</x:v>
      </x:c>
      <x:c r="F1414" s="35" t="n">
        <x:f>MAX(0,ROUNDDOWN((AG1414-AF1414)/AR1414+0.000000001,0)*AR1414)</x:f>
        <x:v>136</x:v>
      </x:c>
      <x:c r="G1414" s="20" t="str">
        <x:f>IF(J1414="Рассчитано",V1414*(1-R1414/100)-W1414-P1414-Q1414,"н/д")</x:f>
        <x:v>н/д</x:v>
      </x:c>
      <x:c r="H1414" s="12" t="str">
        <x:v>Средний</x:v>
      </x:c>
      <x:c r="I1414" s="12" t="str">
        <x:v>Высокий</x:v>
      </x:c>
      <x:c r="J1414" s="12" t="str">
        <x:f>IF(L1414="","Укажите валюту",IF(NOT(ISNUMBER(K1414)),"Укажите объём",IF(K1414&lt;=0,"Укажите объём",IF(K1414&gt;F1414,"Объём выше излишка",IF(COUNT(M1414:O1414)&lt;3,"Нужны цены",IF(COUNT(P1414:R1414)&lt;3,"Нужны расходы",IF(OR(M1414&lt;0,N1414&lt;0,O1414&lt;0,O1414&gt;100,P1414&lt;0,Q1414&lt;0,R1414&lt;0,R1414&gt;100),"Проверьте значения","Рассчитано")))))))</x:f>
        <x:v>Нужны цены</x:v>
      </x:c>
      <x:c r="K1414" s="36" t="n">
        <x:v>136</x:v>
      </x:c>
      <x:c r="L1414" s="19" t="str">
        <x:v>KZT</x:v>
      </x:c>
      <x:c r="M1414" s="22"/>
      <x:c r="N1414" s="22"/>
      <x:c r="O1414" s="28"/>
      <x:c r="P1414" s="22"/>
      <x:c r="Q1414" s="22"/>
      <x:c r="R1414" s="28"/>
      <x:c r="S1414" s="22"/>
      <x:c r="T1414" s="35" t="n">
        <x:f>K1414</x:f>
        <x:v>136</x:v>
      </x:c>
      <x:c r="U1414" s="20" t="str">
        <x:f>IF(J1414="Рассчитано",N1414*(1-O1414/100),"н/д")</x:f>
        <x:v>н/д</x:v>
      </x:c>
      <x:c r="V1414" s="20" t="str">
        <x:f>IF(J1414="Рассчитано",T1414*U1414,"н/д")</x:f>
        <x:v>н/д</x:v>
      </x:c>
      <x:c r="W1414" s="20" t="str">
        <x:f>IF(J1414="Рассчитано",T1414*M1414,"н/д")</x:f>
        <x:v>н/д</x:v>
      </x:c>
      <x:c r="X1414" s="20" t="str">
        <x:f>IF(J1414="Рассчитано",V1414-W1414,"н/д")</x:f>
        <x:v>н/д</x:v>
      </x:c>
      <x:c r="Y1414" s="26" t="str">
        <x:f>IF(J1414="Рассчитано",IF(V1414&gt;0,G1414/V1414,"н/д"),"н/д")</x:f>
        <x:v>н/д</x:v>
      </x:c>
      <x:c r="Z1414" s="20" t="str">
        <x:f>"н/д"</x:f>
        <x:v>н/д</x:v>
      </x:c>
      <x:c r="AA1414" s="20" t="str">
        <x:f>"н/д"</x:f>
        <x:v>н/д</x:v>
      </x:c>
      <x:c r="AB1414" s="20" t="str">
        <x:f>"н/д"</x:f>
        <x:v>н/д</x:v>
      </x:c>
      <x:c r="AC1414" s="20" t="str">
        <x:f>IF(AND(J1414="Рассчитано",T1414&gt;0,R1414&lt;100),(W1414+P1414+Q1414)/(T1414*(1-R1414/100)),"н/д")</x:f>
        <x:v>н/д</x:v>
      </x:c>
      <x:c r="AD1414" s="11" t="str">
        <x:f>IF(ISNUMBER(G1414),IF(G1414&lt;0,"Убыток",IF(G1414=0,"Без прибыли","Прибыль &gt; 0")),"Не оценён")</x:f>
        <x:v>Не оценён</x:v>
      </x:c>
      <x:c r="AE1414" s="12" t="str">
        <x:f>IF(J1414="Рассчитано","Выручка "&amp;TEXT(V1414,"0.00")&amp;" - себестоимость "&amp;TEXT(W1414,"0.00")&amp;" - комиссия "&amp;TEXT(V1414*R1414/100,"0.00")&amp;" - доставка "&amp;TEXT(P1414,"0.00")&amp;" - прочие "&amp;TEXT(Q1414,"0.00")&amp;" = "&amp;TEXT(G1414,"0.00")&amp;" "&amp;L1414,"Введите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4" s="23" t="n">
        <x:v>13.053096616895754</x:v>
      </x:c>
      <x:c r="AG1414" s="35" t="n">
        <x:v>150</x:v>
      </x:c>
      <x:c r="AH1414" s="35" t="n">
        <x:v>0</x:v>
      </x:c>
      <x:c r="AI1414" s="29" t="n">
        <x:v>46287</x:v>
      </x:c>
      <x:c r="AJ1414" s="35" t="n">
        <x:v>10</x:v>
      </x:c>
      <x:c r="AK1414" s="11" t="str">
        <x:v>кратность</x:v>
      </x:c>
      <x:c r="AL1414" s="31" t="n">
        <x:v>979.8141020859574</x:v>
      </x:c>
      <x:c r="AM1414" s="12" t="str">
        <x:v>Детальные и месячные продажи расходятся; Нет ежедневных данных доступности. Запас более 180 дней при среднем спросе</x:v>
      </x:c>
      <x:c r="AN1414" s="12" t="str">
        <x:v>Проверить свободный остаток и установить цену для B2B</x:v>
      </x:c>
      <x:c r="AO1414" s="12" t="str">
        <x:v>Остаток 150; прогноз 90 дней 13.05; избыток 136 шт. Будущие поступления не выставляются на продажу.</x:v>
      </x:c>
      <x:c r="AP1414" s="12" t="str">
        <x:v>["daily_stockout_data_missing", "large_orders_detected", "negative_net_sales_clipped_for_forecast", "new_order_lead_time_unknown", "transaction_month_mismatch"]</x:v>
      </x:c>
      <x:c r="AQ1414" s="11" t="str">
        <x:v>SE:300200785_</x:v>
      </x:c>
      <x:c r="AR1414" s="23" t="n">
        <x:v>1</x:v>
      </x:c>
      <x:c r="AS1414" s="23" t="n">
        <x:v>0</x:v>
      </x:c>
      <x:c r="AT1414" s="23" t="n">
        <x:v>0</x:v>
      </x:c>
    </x:row>
    <x:row r="1415" ht="64" customHeight="1">
      <x:c r="A1415" s="10" t="str">
        <x:v>Systeme Electric</x:v>
      </x:c>
      <x:c r="B1415" s="34" t="str">
        <x:v>300200786_</x:v>
      </x:c>
      <x:c r="C1415" s="34" t="str">
        <x:v>GAL000313</x:v>
      </x:c>
      <x:c r="D1415" s="13" t="str">
        <x:v>G003 Выкл. 1 кл с инд 10А механизм "ARTGALLERY" алюминий GAL0313 (10)</x:v>
      </x:c>
      <x:c r="E1415" s="10" t="str">
        <x:v>шт</x:v>
      </x:c>
      <x:c r="F1415" s="37" t="n">
        <x:f>MAX(0,ROUNDDOWN((AG1415-AF1415)/AR1415+0.000000001,0)*AR1415)</x:f>
        <x:v>164</x:v>
      </x:c>
      <x:c r="G1415" s="21" t="str">
        <x:f>IF(J1415="Рассчитано",V1415*(1-R1415/100)-W1415-P1415-Q1415,"н/д")</x:f>
        <x:v>н/д</x:v>
      </x:c>
      <x:c r="H1415" s="13" t="str">
        <x:v>Средний</x:v>
      </x:c>
      <x:c r="I1415" s="13" t="str">
        <x:v>Высокий</x:v>
      </x:c>
      <x:c r="J1415" s="13" t="str">
        <x:f>IF(L1415="","Укажите валюту",IF(NOT(ISNUMBER(K1415)),"Укажите объём",IF(K1415&lt;=0,"Укажите объём",IF(K1415&gt;F1415,"Объём выше излишка",IF(COUNT(M1415:O1415)&lt;3,"Нужны цены",IF(COUNT(P1415:R1415)&lt;3,"Нужны расходы",IF(OR(M1415&lt;0,N1415&lt;0,O1415&lt;0,O1415&gt;100,P1415&lt;0,Q1415&lt;0,R1415&lt;0,R1415&gt;100),"Проверьте значения","Рассчитано")))))))</x:f>
        <x:v>Нужны цены</x:v>
      </x:c>
      <x:c r="K1415" s="36" t="n">
        <x:v>164</x:v>
      </x:c>
      <x:c r="L1415" s="19" t="str">
        <x:v>KZT</x:v>
      </x:c>
      <x:c r="M1415" s="22"/>
      <x:c r="N1415" s="22"/>
      <x:c r="O1415" s="28"/>
      <x:c r="P1415" s="22"/>
      <x:c r="Q1415" s="22"/>
      <x:c r="R1415" s="28"/>
      <x:c r="S1415" s="22"/>
      <x:c r="T1415" s="37" t="n">
        <x:f>K1415</x:f>
        <x:v>164</x:v>
      </x:c>
      <x:c r="U1415" s="21" t="str">
        <x:f>IF(J1415="Рассчитано",N1415*(1-O1415/100),"н/д")</x:f>
        <x:v>н/д</x:v>
      </x:c>
      <x:c r="V1415" s="21" t="str">
        <x:f>IF(J1415="Рассчитано",T1415*U1415,"н/д")</x:f>
        <x:v>н/д</x:v>
      </x:c>
      <x:c r="W1415" s="21" t="str">
        <x:f>IF(J1415="Рассчитано",T1415*M1415,"н/д")</x:f>
        <x:v>н/д</x:v>
      </x:c>
      <x:c r="X1415" s="21" t="str">
        <x:f>IF(J1415="Рассчитано",V1415-W1415,"н/д")</x:f>
        <x:v>н/д</x:v>
      </x:c>
      <x:c r="Y1415" s="27" t="str">
        <x:f>IF(J1415="Рассчитано",IF(V1415&gt;0,G1415/V1415,"н/д"),"н/д")</x:f>
        <x:v>н/д</x:v>
      </x:c>
      <x:c r="Z1415" s="21" t="str">
        <x:f>"н/д"</x:f>
        <x:v>н/д</x:v>
      </x:c>
      <x:c r="AA1415" s="21" t="str">
        <x:f>"н/д"</x:f>
        <x:v>н/д</x:v>
      </x:c>
      <x:c r="AB1415" s="21" t="str">
        <x:f>"н/д"</x:f>
        <x:v>н/д</x:v>
      </x:c>
      <x:c r="AC1415" s="21" t="str">
        <x:f>IF(AND(J1415="Рассчитано",T1415&gt;0,R1415&lt;100),(W1415+P1415+Q1415)/(T1415*(1-R1415/100)),"н/д")</x:f>
        <x:v>н/д</x:v>
      </x:c>
      <x:c r="AD1415" s="10" t="str">
        <x:f>IF(ISNUMBER(G1415),IF(G1415&lt;0,"Убыток",IF(G1415=0,"Без прибыли","Прибыль &gt; 0")),"Не оценён")</x:f>
        <x:v>Не оценён</x:v>
      </x:c>
      <x:c r="AE1415" s="13" t="str">
        <x:f>IF(J1415="Рассчитано","Выручка "&amp;TEXT(V1415,"0.00")&amp;" - себестоимость "&amp;TEXT(W1415,"0.00")&amp;" - комиссия "&amp;TEXT(V1415*R1415/100,"0.00")&amp;" - доставка "&amp;TEXT(P1415,"0.00")&amp;" - прочие "&amp;TEXT(Q1415,"0.00")&amp;" = "&amp;TEXT(G1415,"0.00")&amp;" "&amp;L1415,"Введите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5" s="24" t="n">
        <x:v>0</x:v>
      </x:c>
      <x:c r="AG1415" s="37" t="n">
        <x:v>164</x:v>
      </x:c>
      <x:c r="AH1415" s="37" t="n">
        <x:v>0</x:v>
      </x:c>
      <x:c r="AI1415" s="30" t="n">
        <x:v>46287</x:v>
      </x:c>
      <x:c r="AJ1415" s="37" t="n">
        <x:v>10</x:v>
      </x:c>
      <x:c r="AK1415" s="10" t="str">
        <x:v>кратность</x:v>
      </x:c>
      <x:c r="AL1415" s="32" t="str">
        <x:v>н/д</x:v>
      </x:c>
      <x:c r="AM1415" s="13" t="str">
        <x:v>Нет ежедневных данных доступности. Нет положительных чистых продаж за 12 месяцев</x:v>
      </x:c>
      <x:c r="AN1415" s="13" t="str">
        <x:v>Проверить свободный остаток и установить цену для B2B</x:v>
      </x:c>
      <x:c r="AO1415" s="13" t="str">
        <x:v>Остаток 164; прогноз 90 дней 0.00; избыток 164 шт. Будущие поступления не выставляются на продажу.</x:v>
      </x:c>
      <x:c r="AP1415" s="13" t="str">
        <x:v>["daily_stockout_data_missing", "negative_net_sales_clipped_for_forecast", "new_order_lead_time_unknown"]</x:v>
      </x:c>
      <x:c r="AQ1415" s="10" t="str">
        <x:v>SE:300200786_</x:v>
      </x:c>
      <x:c r="AR1415" s="24" t="n">
        <x:v>1</x:v>
      </x:c>
      <x:c r="AS1415" s="24" t="n">
        <x:v>0</x:v>
      </x:c>
      <x:c r="AT1415" s="24" t="n">
        <x:v>0</x:v>
      </x:c>
    </x:row>
    <x:row r="1416" ht="64" customHeight="1">
      <x:c r="A1416" s="11" t="str">
        <x:v>Systeme Electric</x:v>
      </x:c>
      <x:c r="B1416" s="33" t="str">
        <x:v>300200787_</x:v>
      </x:c>
      <x:c r="C1416" s="33" t="str">
        <x:v>GAL000351</x:v>
      </x:c>
      <x:c r="D1416" s="12" t="str">
        <x:v>G004 Выкл. 2 кл 10А механизм "ARTGALLERY" алюминий GAL0351 (10)</x:v>
      </x:c>
      <x:c r="E1416" s="11" t="str">
        <x:v>шт</x:v>
      </x:c>
      <x:c r="F1416" s="35" t="n">
        <x:f>MAX(0,ROUNDDOWN((AG1416-AF1416)/AR1416+0.000000001,0)*AR1416)</x:f>
        <x:v>138</x:v>
      </x:c>
      <x:c r="G1416" s="20" t="str">
        <x:f>IF(J1416="Рассчитано",V1416*(1-R1416/100)-W1416-P1416-Q1416,"н/д")</x:f>
        <x:v>н/д</x:v>
      </x:c>
      <x:c r="H1416" s="12" t="str">
        <x:v>Средний</x:v>
      </x:c>
      <x:c r="I1416" s="12" t="str">
        <x:v>Высокий</x:v>
      </x:c>
      <x:c r="J1416" s="12" t="str">
        <x:f>IF(L1416="","Укажите валюту",IF(NOT(ISNUMBER(K1416)),"Укажите объём",IF(K1416&lt;=0,"Укажите объём",IF(K1416&gt;F1416,"Объём выше излишка",IF(COUNT(M1416:O1416)&lt;3,"Нужны цены",IF(COUNT(P1416:R1416)&lt;3,"Нужны расходы",IF(OR(M1416&lt;0,N1416&lt;0,O1416&lt;0,O1416&gt;100,P1416&lt;0,Q1416&lt;0,R1416&lt;0,R1416&gt;100),"Проверьте значения","Рассчитано")))))))</x:f>
        <x:v>Нужны цены</x:v>
      </x:c>
      <x:c r="K1416" s="36" t="n">
        <x:v>138</x:v>
      </x:c>
      <x:c r="L1416" s="19" t="str">
        <x:v>KZT</x:v>
      </x:c>
      <x:c r="M1416" s="22"/>
      <x:c r="N1416" s="22"/>
      <x:c r="O1416" s="28"/>
      <x:c r="P1416" s="22"/>
      <x:c r="Q1416" s="22"/>
      <x:c r="R1416" s="28"/>
      <x:c r="S1416" s="22"/>
      <x:c r="T1416" s="35" t="n">
        <x:f>K1416</x:f>
        <x:v>138</x:v>
      </x:c>
      <x:c r="U1416" s="20" t="str">
        <x:f>IF(J1416="Рассчитано",N1416*(1-O1416/100),"н/д")</x:f>
        <x:v>н/д</x:v>
      </x:c>
      <x:c r="V1416" s="20" t="str">
        <x:f>IF(J1416="Рассчитано",T1416*U1416,"н/д")</x:f>
        <x:v>н/д</x:v>
      </x:c>
      <x:c r="W1416" s="20" t="str">
        <x:f>IF(J1416="Рассчитано",T1416*M1416,"н/д")</x:f>
        <x:v>н/д</x:v>
      </x:c>
      <x:c r="X1416" s="20" t="str">
        <x:f>IF(J1416="Рассчитано",V1416-W1416,"н/д")</x:f>
        <x:v>н/д</x:v>
      </x:c>
      <x:c r="Y1416" s="26" t="str">
        <x:f>IF(J1416="Рассчитано",IF(V1416&gt;0,G1416/V1416,"н/д"),"н/д")</x:f>
        <x:v>н/д</x:v>
      </x:c>
      <x:c r="Z1416" s="20" t="str">
        <x:f>"н/д"</x:f>
        <x:v>н/д</x:v>
      </x:c>
      <x:c r="AA1416" s="20" t="str">
        <x:f>"н/д"</x:f>
        <x:v>н/д</x:v>
      </x:c>
      <x:c r="AB1416" s="20" t="str">
        <x:f>"н/д"</x:f>
        <x:v>н/д</x:v>
      </x:c>
      <x:c r="AC1416" s="20" t="str">
        <x:f>IF(AND(J1416="Рассчитано",T1416&gt;0,R1416&lt;100),(W1416+P1416+Q1416)/(T1416*(1-R1416/100)),"н/д")</x:f>
        <x:v>н/д</x:v>
      </x:c>
      <x:c r="AD1416" s="11" t="str">
        <x:f>IF(ISNUMBER(G1416),IF(G1416&lt;0,"Убыток",IF(G1416=0,"Без прибыли","Прибыль &gt; 0")),"Не оценён")</x:f>
        <x:v>Не оценён</x:v>
      </x:c>
      <x:c r="AE1416" s="12" t="str">
        <x:f>IF(J1416="Рассчитано","Выручка "&amp;TEXT(V1416,"0.00")&amp;" - себестоимость "&amp;TEXT(W1416,"0.00")&amp;" - комиссия "&amp;TEXT(V1416*R1416/100,"0.00")&amp;" - доставка "&amp;TEXT(P1416,"0.00")&amp;" - прочие "&amp;TEXT(Q1416,"0.00")&amp;" = "&amp;TEXT(G1416,"0.00")&amp;" "&amp;L1416,"Введите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6" s="23" t="n">
        <x:v>17.081437259736262</x:v>
      </x:c>
      <x:c r="AG1416" s="35" t="n">
        <x:v>156</x:v>
      </x:c>
      <x:c r="AH1416" s="35" t="n">
        <x:v>0</x:v>
      </x:c>
      <x:c r="AI1416" s="29" t="n">
        <x:v>46287</x:v>
      </x:c>
      <x:c r="AJ1416" s="35" t="n">
        <x:v>10</x:v>
      </x:c>
      <x:c r="AK1416" s="11" t="str">
        <x:v>кратность</x:v>
      </x:c>
      <x:c r="AL1416" s="31" t="n">
        <x:v>778.6928151604111</x:v>
      </x:c>
      <x:c r="AM1416" s="12" t="str">
        <x:v>Детальные и месячные продажи расходятся; Нет ежедневных данных доступности. Запас более 180 дней при среднем спросе</x:v>
      </x:c>
      <x:c r="AN1416" s="12" t="str">
        <x:v>Проверить свободный остаток и установить цену для B2B</x:v>
      </x:c>
      <x:c r="AO1416" s="12" t="str">
        <x:v>Остаток 156; прогноз 90 дней 17.08; избыток 138 шт. Будущие поступления не выставляются на продажу.</x:v>
      </x:c>
      <x:c r="AP1416" s="12" t="str">
        <x:v>["daily_stockout_data_missing", "large_orders_detected", "negative_net_sales_clipped_for_forecast", "new_order_lead_time_unknown", "transaction_month_mismatch"]</x:v>
      </x:c>
      <x:c r="AQ1416" s="11" t="str">
        <x:v>SE:300200787_</x:v>
      </x:c>
      <x:c r="AR1416" s="23" t="n">
        <x:v>1</x:v>
      </x:c>
      <x:c r="AS1416" s="23" t="n">
        <x:v>0</x:v>
      </x:c>
      <x:c r="AT1416" s="23" t="n">
        <x:v>0</x:v>
      </x:c>
    </x:row>
    <x:row r="1417" ht="64" customHeight="1">
      <x:c r="A1417" s="10" t="str">
        <x:v>Systeme Electric</x:v>
      </x:c>
      <x:c r="B1417" s="34" t="str">
        <x:v>300200788_</x:v>
      </x:c>
      <x:c r="C1417" s="34" t="str">
        <x:v>GAL000353</x:v>
      </x:c>
      <x:c r="D1417" s="13" t="str">
        <x:v>G005 Выкл. 2 кл с инд 10А механизм "ARTGALLERY" алюминий GAL0353 (10)</x:v>
      </x:c>
      <x:c r="E1417" s="10" t="str">
        <x:v>шт</x:v>
      </x:c>
      <x:c r="F1417" s="37" t="n">
        <x:f>MAX(0,ROUNDDOWN((AG1417-AF1417)/AR1417+0.000000001,0)*AR1417)</x:f>
        <x:v>134</x:v>
      </x:c>
      <x:c r="G1417" s="21" t="str">
        <x:f>IF(J1417="Рассчитано",V1417*(1-R1417/100)-W1417-P1417-Q1417,"н/д")</x:f>
        <x:v>н/д</x:v>
      </x:c>
      <x:c r="H1417" s="13" t="str">
        <x:v>Средний</x:v>
      </x:c>
      <x:c r="I1417" s="13" t="str">
        <x:v>Высокий</x:v>
      </x:c>
      <x:c r="J1417" s="13" t="str">
        <x:f>IF(L1417="","Укажите валюту",IF(NOT(ISNUMBER(K1417)),"Укажите объём",IF(K1417&lt;=0,"Укажите объём",IF(K1417&gt;F1417,"Объём выше излишка",IF(COUNT(M1417:O1417)&lt;3,"Нужны цены",IF(COUNT(P1417:R1417)&lt;3,"Нужны расходы",IF(OR(M1417&lt;0,N1417&lt;0,O1417&lt;0,O1417&gt;100,P1417&lt;0,Q1417&lt;0,R1417&lt;0,R1417&gt;100),"Проверьте значения","Рассчитано")))))))</x:f>
        <x:v>Нужны цены</x:v>
      </x:c>
      <x:c r="K1417" s="36" t="n">
        <x:v>134</x:v>
      </x:c>
      <x:c r="L1417" s="19" t="str">
        <x:v>KZT</x:v>
      </x:c>
      <x:c r="M1417" s="22"/>
      <x:c r="N1417" s="22"/>
      <x:c r="O1417" s="28"/>
      <x:c r="P1417" s="22"/>
      <x:c r="Q1417" s="22"/>
      <x:c r="R1417" s="28"/>
      <x:c r="S1417" s="22"/>
      <x:c r="T1417" s="37" t="n">
        <x:f>K1417</x:f>
        <x:v>134</x:v>
      </x:c>
      <x:c r="U1417" s="21" t="str">
        <x:f>IF(J1417="Рассчитано",N1417*(1-O1417/100),"н/д")</x:f>
        <x:v>н/д</x:v>
      </x:c>
      <x:c r="V1417" s="21" t="str">
        <x:f>IF(J1417="Рассчитано",T1417*U1417,"н/д")</x:f>
        <x:v>н/д</x:v>
      </x:c>
      <x:c r="W1417" s="21" t="str">
        <x:f>IF(J1417="Рассчитано",T1417*M1417,"н/д")</x:f>
        <x:v>н/д</x:v>
      </x:c>
      <x:c r="X1417" s="21" t="str">
        <x:f>IF(J1417="Рассчитано",V1417-W1417,"н/д")</x:f>
        <x:v>н/д</x:v>
      </x:c>
      <x:c r="Y1417" s="27" t="str">
        <x:f>IF(J1417="Рассчитано",IF(V1417&gt;0,G1417/V1417,"н/д"),"н/д")</x:f>
        <x:v>н/д</x:v>
      </x:c>
      <x:c r="Z1417" s="21" t="str">
        <x:f>"н/д"</x:f>
        <x:v>н/д</x:v>
      </x:c>
      <x:c r="AA1417" s="21" t="str">
        <x:f>"н/д"</x:f>
        <x:v>н/д</x:v>
      </x:c>
      <x:c r="AB1417" s="21" t="str">
        <x:f>"н/д"</x:f>
        <x:v>н/д</x:v>
      </x:c>
      <x:c r="AC1417" s="21" t="str">
        <x:f>IF(AND(J1417="Рассчитано",T1417&gt;0,R1417&lt;100),(W1417+P1417+Q1417)/(T1417*(1-R1417/100)),"н/д")</x:f>
        <x:v>н/д</x:v>
      </x:c>
      <x:c r="AD1417" s="10" t="str">
        <x:f>IF(ISNUMBER(G1417),IF(G1417&lt;0,"Убыток",IF(G1417=0,"Без прибыли","Прибыль &gt; 0")),"Не оценён")</x:f>
        <x:v>Не оценён</x:v>
      </x:c>
      <x:c r="AE1417" s="13" t="str">
        <x:f>IF(J1417="Рассчитано","Выручка "&amp;TEXT(V1417,"0.00")&amp;" - себестоимость "&amp;TEXT(W1417,"0.00")&amp;" - комиссия "&amp;TEXT(V1417*R1417/100,"0.00")&amp;" - доставка "&amp;TEXT(P1417,"0.00")&amp;" - прочие "&amp;TEXT(Q1417,"0.00")&amp;" = "&amp;TEXT(G1417,"0.00")&amp;" "&amp;L1417,"Введите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7" s="24" t="n">
        <x:v>7.824462033562861</x:v>
      </x:c>
      <x:c r="AG1417" s="37" t="n">
        <x:v>142</x:v>
      </x:c>
      <x:c r="AH1417" s="37" t="n">
        <x:v>0</x:v>
      </x:c>
      <x:c r="AI1417" s="30" t="n">
        <x:v>46287</x:v>
      </x:c>
      <x:c r="AJ1417" s="37" t="n">
        <x:v>10</x:v>
      </x:c>
      <x:c r="AK1417" s="10" t="str">
        <x:v>кратность</x:v>
      </x:c>
      <x:c r="AL1417" s="32" t="n">
        <x:v>1547.3901790304271</x:v>
      </x:c>
      <x:c r="AM1417" s="13" t="str">
        <x:v>Нет ежедневных данных доступности. Нет положительных чистых продаж за 12 месяцев</x:v>
      </x:c>
      <x:c r="AN1417" s="13" t="str">
        <x:v>Проверить свободный остаток и установить цену для B2B</x:v>
      </x:c>
      <x:c r="AO1417" s="13" t="str">
        <x:v>Остаток 142; прогноз 90 дней 7.82; избыток 134 шт. Будущие поступления не выставляются на продажу.</x:v>
      </x:c>
      <x:c r="AP1417" s="13" t="str">
        <x:v>["daily_stockout_data_missing", "negative_net_sales_clipped_for_forecast", "new_order_lead_time_unknown"]</x:v>
      </x:c>
      <x:c r="AQ1417" s="10" t="str">
        <x:v>SE:300200788_</x:v>
      </x:c>
      <x:c r="AR1417" s="24" t="n">
        <x:v>1</x:v>
      </x:c>
      <x:c r="AS1417" s="24" t="n">
        <x:v>0</x:v>
      </x:c>
      <x:c r="AT1417" s="24" t="n">
        <x:v>0</x:v>
      </x:c>
    </x:row>
    <x:row r="1418" ht="64" customHeight="1">
      <x:c r="A1418" s="11" t="str">
        <x:v>Systeme Electric</x:v>
      </x:c>
      <x:c r="B1418" s="33" t="str">
        <x:v>300200789_</x:v>
      </x:c>
      <x:c r="C1418" s="33" t="str">
        <x:v>GAL000386</x:v>
      </x:c>
      <x:c r="D1418" s="12" t="str">
        <x:v>G006 Роз. комп. RJ45 6A механизм "ARTGALLERY" алюминий GAL0386 (5)</x:v>
      </x:c>
      <x:c r="E1418" s="11" t="str">
        <x:v>шт</x:v>
      </x:c>
      <x:c r="F1418" s="35" t="n">
        <x:f>MAX(0,ROUNDDOWN((AG1418-AF1418)/AR1418+0.000000001,0)*AR1418)</x:f>
        <x:v>23</x:v>
      </x:c>
      <x:c r="G1418" s="20" t="str">
        <x:f>IF(J1418="Рассчитано",V1418*(1-R1418/100)-W1418-P1418-Q1418,"н/д")</x:f>
        <x:v>н/д</x:v>
      </x:c>
      <x:c r="H1418" s="12" t="str">
        <x:v>Средний</x:v>
      </x:c>
      <x:c r="I1418" s="12" t="str">
        <x:v>Средний</x:v>
      </x:c>
      <x:c r="J1418" s="12" t="str">
        <x:f>IF(L1418="","Укажите валюту",IF(NOT(ISNUMBER(K1418)),"Укажите объём",IF(K1418&lt;=0,"Укажите объём",IF(K1418&gt;F1418,"Объём выше излишка",IF(COUNT(M1418:O1418)&lt;3,"Нужны цены",IF(COUNT(P1418:R1418)&lt;3,"Нужны расходы",IF(OR(M1418&lt;0,N1418&lt;0,O1418&lt;0,O1418&gt;100,P1418&lt;0,Q1418&lt;0,R1418&lt;0,R1418&gt;100),"Проверьте значения","Рассчитано")))))))</x:f>
        <x:v>Нужны цены</x:v>
      </x:c>
      <x:c r="K1418" s="36" t="n">
        <x:v>23</x:v>
      </x:c>
      <x:c r="L1418" s="19" t="str">
        <x:v>KZT</x:v>
      </x:c>
      <x:c r="M1418" s="22"/>
      <x:c r="N1418" s="22"/>
      <x:c r="O1418" s="28"/>
      <x:c r="P1418" s="22"/>
      <x:c r="Q1418" s="22"/>
      <x:c r="R1418" s="28"/>
      <x:c r="S1418" s="22"/>
      <x:c r="T1418" s="35" t="n">
        <x:f>K1418</x:f>
        <x:v>23</x:v>
      </x:c>
      <x:c r="U1418" s="20" t="str">
        <x:f>IF(J1418="Рассчитано",N1418*(1-O1418/100),"н/д")</x:f>
        <x:v>н/д</x:v>
      </x:c>
      <x:c r="V1418" s="20" t="str">
        <x:f>IF(J1418="Рассчитано",T1418*U1418,"н/д")</x:f>
        <x:v>н/д</x:v>
      </x:c>
      <x:c r="W1418" s="20" t="str">
        <x:f>IF(J1418="Рассчитано",T1418*M1418,"н/д")</x:f>
        <x:v>н/д</x:v>
      </x:c>
      <x:c r="X1418" s="20" t="str">
        <x:f>IF(J1418="Рассчитано",V1418-W1418,"н/д")</x:f>
        <x:v>н/д</x:v>
      </x:c>
      <x:c r="Y1418" s="26" t="str">
        <x:f>IF(J1418="Рассчитано",IF(V1418&gt;0,G1418/V1418,"н/д"),"н/д")</x:f>
        <x:v>н/д</x:v>
      </x:c>
      <x:c r="Z1418" s="20" t="str">
        <x:f>"н/д"</x:f>
        <x:v>н/д</x:v>
      </x:c>
      <x:c r="AA1418" s="20" t="str">
        <x:f>"н/д"</x:f>
        <x:v>н/д</x:v>
      </x:c>
      <x:c r="AB1418" s="20" t="str">
        <x:f>"н/д"</x:f>
        <x:v>н/д</x:v>
      </x:c>
      <x:c r="AC1418" s="20" t="str">
        <x:f>IF(AND(J1418="Рассчитано",T1418&gt;0,R1418&lt;100),(W1418+P1418+Q1418)/(T1418*(1-R1418/100)),"н/д")</x:f>
        <x:v>н/д</x:v>
      </x:c>
      <x:c r="AD1418" s="11" t="str">
        <x:f>IF(ISNUMBER(G1418),IF(G1418&lt;0,"Убыток",IF(G1418=0,"Без прибыли","Прибыль &gt; 0")),"Не оценён")</x:f>
        <x:v>Не оценён</x:v>
      </x:c>
      <x:c r="AE1418" s="12" t="str">
        <x:f>IF(J1418="Рассчитано","Выручка "&amp;TEXT(V1418,"0.00")&amp;" - себестоимость "&amp;TEXT(W1418,"0.00")&amp;" - комиссия "&amp;TEXT(V1418*R1418/100,"0.00")&amp;" - доставка "&amp;TEXT(P1418,"0.00")&amp;" - прочие "&amp;TEXT(Q1418,"0.00")&amp;" = "&amp;TEXT(G1418,"0.00")&amp;" "&amp;L1418,"Введите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8" s="23" t="n">
        <x:v>25.840334697281648</x:v>
      </x:c>
      <x:c r="AG1418" s="35" t="n">
        <x:v>49</x:v>
      </x:c>
      <x:c r="AH1418" s="35" t="n">
        <x:v>0</x:v>
      </x:c>
      <x:c r="AI1418" s="29" t="n">
        <x:v>46287</x:v>
      </x:c>
      <x:c r="AJ1418" s="35" t="n">
        <x:v>5</x:v>
      </x:c>
      <x:c r="AK1418" s="11" t="str">
        <x:v>кратность</x:v>
      </x:c>
      <x:c r="AL1418" s="31" t="n">
        <x:v>161.68283841438247</x:v>
      </x:c>
      <x:c r="AM1418" s="12" t="str">
        <x:v>Нет ежедневных данных доступности. Запас выше прогноза на 90 дней</x:v>
      </x:c>
      <x:c r="AN1418" s="12" t="str">
        <x:v>Проверить свободный остаток и установить цену для B2B</x:v>
      </x:c>
      <x:c r="AO1418" s="12" t="str">
        <x:v>Остаток 49; прогноз 90 дней 25.84; избыток 23 шт. Будущие поступления не выставляются на продажу.</x:v>
      </x:c>
      <x:c r="AP1418" s="12" t="str">
        <x:v>["daily_stockout_data_missing", "negative_net_sales_clipped_for_forecast", "new_order_lead_time_unknown"]</x:v>
      </x:c>
      <x:c r="AQ1418" s="11" t="str">
        <x:v>SE:300200789_</x:v>
      </x:c>
      <x:c r="AR1418" s="23" t="n">
        <x:v>1</x:v>
      </x:c>
      <x:c r="AS1418" s="23" t="n">
        <x:v>0</x:v>
      </x:c>
      <x:c r="AT1418" s="23" t="n">
        <x:v>0</x:v>
      </x:c>
    </x:row>
    <x:row r="1419" ht="64" customHeight="1">
      <x:c r="A1419" s="10" t="str">
        <x:v>Systeme Electric</x:v>
      </x:c>
      <x:c r="B1419" s="34" t="str">
        <x:v>300200790_</x:v>
      </x:c>
      <x:c r="C1419" s="34" t="str">
        <x:v>GAL000361</x:v>
      </x:c>
      <x:c r="D1419" s="13" t="str">
        <x:v>G007 Переключ. 1 кл механизм "ARTGALLERY" алюминий GAL0361 (10)</x:v>
      </x:c>
      <x:c r="E1419" s="10" t="str">
        <x:v>шт</x:v>
      </x:c>
      <x:c r="F1419" s="37" t="n">
        <x:f>MAX(0,ROUNDDOWN((AG1419-AF1419)/AR1419+0.000000001,0)*AR1419)</x:f>
        <x:v>33</x:v>
      </x:c>
      <x:c r="G1419" s="21" t="str">
        <x:f>IF(J1419="Рассчитано",V1419*(1-R1419/100)-W1419-P1419-Q1419,"н/д")</x:f>
        <x:v>н/д</x:v>
      </x:c>
      <x:c r="H1419" s="13" t="str">
        <x:v>Средний</x:v>
      </x:c>
      <x:c r="I1419" s="13" t="str">
        <x:v>Высокий</x:v>
      </x:c>
      <x:c r="J1419" s="13" t="str">
        <x:f>IF(L1419="","Укажите валюту",IF(NOT(ISNUMBER(K1419)),"Укажите объём",IF(K1419&lt;=0,"Укажите объём",IF(K1419&gt;F1419,"Объём выше излишка",IF(COUNT(M1419:O1419)&lt;3,"Нужны цены",IF(COUNT(P1419:R1419)&lt;3,"Нужны расходы",IF(OR(M1419&lt;0,N1419&lt;0,O1419&lt;0,O1419&gt;100,P1419&lt;0,Q1419&lt;0,R1419&lt;0,R1419&gt;100),"Проверьте значения","Рассчитано")))))))</x:f>
        <x:v>Нужны цены</x:v>
      </x:c>
      <x:c r="K1419" s="36" t="n">
        <x:v>33</x:v>
      </x:c>
      <x:c r="L1419" s="19" t="str">
        <x:v>KZT</x:v>
      </x:c>
      <x:c r="M1419" s="22"/>
      <x:c r="N1419" s="22"/>
      <x:c r="O1419" s="28"/>
      <x:c r="P1419" s="22"/>
      <x:c r="Q1419" s="22"/>
      <x:c r="R1419" s="28"/>
      <x:c r="S1419" s="22"/>
      <x:c r="T1419" s="37" t="n">
        <x:f>K1419</x:f>
        <x:v>33</x:v>
      </x:c>
      <x:c r="U1419" s="21" t="str">
        <x:f>IF(J1419="Рассчитано",N1419*(1-O1419/100),"н/д")</x:f>
        <x:v>н/д</x:v>
      </x:c>
      <x:c r="V1419" s="21" t="str">
        <x:f>IF(J1419="Рассчитано",T1419*U1419,"н/д")</x:f>
        <x:v>н/д</x:v>
      </x:c>
      <x:c r="W1419" s="21" t="str">
        <x:f>IF(J1419="Рассчитано",T1419*M1419,"н/д")</x:f>
        <x:v>н/д</x:v>
      </x:c>
      <x:c r="X1419" s="21" t="str">
        <x:f>IF(J1419="Рассчитано",V1419-W1419,"н/д")</x:f>
        <x:v>н/д</x:v>
      </x:c>
      <x:c r="Y1419" s="27" t="str">
        <x:f>IF(J1419="Рассчитано",IF(V1419&gt;0,G1419/V1419,"н/д"),"н/д")</x:f>
        <x:v>н/д</x:v>
      </x:c>
      <x:c r="Z1419" s="21" t="str">
        <x:f>"н/д"</x:f>
        <x:v>н/д</x:v>
      </x:c>
      <x:c r="AA1419" s="21" t="str">
        <x:f>"н/д"</x:f>
        <x:v>н/д</x:v>
      </x:c>
      <x:c r="AB1419" s="21" t="str">
        <x:f>"н/д"</x:f>
        <x:v>н/д</x:v>
      </x:c>
      <x:c r="AC1419" s="21" t="str">
        <x:f>IF(AND(J1419="Рассчитано",T1419&gt;0,R1419&lt;100),(W1419+P1419+Q1419)/(T1419*(1-R1419/100)),"н/д")</x:f>
        <x:v>н/д</x:v>
      </x:c>
      <x:c r="AD1419" s="10" t="str">
        <x:f>IF(ISNUMBER(G1419),IF(G1419&lt;0,"Убыток",IF(G1419=0,"Без прибыли","Прибыль &gt; 0")),"Не оценён")</x:f>
        <x:v>Не оценён</x:v>
      </x:c>
      <x:c r="AE1419" s="13" t="str">
        <x:f>IF(J1419="Рассчитано","Выручка "&amp;TEXT(V1419,"0.00")&amp;" - себестоимость "&amp;TEXT(W1419,"0.00")&amp;" - комиссия "&amp;TEXT(V1419*R1419/100,"0.00")&amp;" - доставка "&amp;TEXT(P1419,"0.00")&amp;" - прочие "&amp;TEXT(Q1419,"0.00")&amp;" = "&amp;TEXT(G1419,"0.00")&amp;" "&amp;L1419,"Введите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9" s="24" t="n">
        <x:v>8.281962049435146</x:v>
      </x:c>
      <x:c r="AG1419" s="37" t="n">
        <x:v>42</x:v>
      </x:c>
      <x:c r="AH1419" s="37" t="n">
        <x:v>0</x:v>
      </x:c>
      <x:c r="AI1419" s="30" t="n">
        <x:v>46287</x:v>
      </x:c>
      <x:c r="AJ1419" s="37" t="n">
        <x:v>10</x:v>
      </x:c>
      <x:c r="AK1419" s="10" t="str">
        <x:v>кратность</x:v>
      </x:c>
      <x:c r="AL1419" s="32" t="n">
        <x:v>432.3963643082891</x:v>
      </x:c>
      <x:c r="AM1419" s="13" t="str">
        <x:v>Нет ежедневных данных доступности. Запас более 180 дней при среднем спросе</x:v>
      </x:c>
      <x:c r="AN1419" s="13" t="str">
        <x:v>Проверить свободный остаток и установить цену для B2B</x:v>
      </x:c>
      <x:c r="AO1419" s="13" t="str">
        <x:v>Остаток 42; прогноз 90 дней 8.28; избыток 33 шт. Будущие поступления не выставляются на продажу.</x:v>
      </x:c>
      <x:c r="AP1419" s="13" t="str">
        <x:v>["daily_stockout_data_missing", "negative_net_sales_clipped_for_forecast", "new_order_lead_time_unknown"]</x:v>
      </x:c>
      <x:c r="AQ1419" s="10" t="str">
        <x:v>SE:300200790_</x:v>
      </x:c>
      <x:c r="AR1419" s="24" t="n">
        <x:v>1</x:v>
      </x:c>
      <x:c r="AS1419" s="24" t="n">
        <x:v>0</x:v>
      </x:c>
      <x:c r="AT1419" s="24" t="n">
        <x:v>0</x:v>
      </x:c>
    </x:row>
    <x:row r="1420" ht="64" customHeight="1">
      <x:c r="A1420" s="11" t="str">
        <x:v>Systeme Electric</x:v>
      </x:c>
      <x:c r="B1420" s="33" t="str">
        <x:v>300200791_</x:v>
      </x:c>
      <x:c r="C1420" s="33" t="str">
        <x:v>GAL000371</x:v>
      </x:c>
      <x:c r="D1420" s="12" t="str">
        <x:v>G008 Перекрест. переключ. 1 кл "ARTGALLERY" алюминий GAL0371 (5)</x:v>
      </x:c>
      <x:c r="E1420" s="11" t="str">
        <x:v>шт</x:v>
      </x:c>
      <x:c r="F1420" s="35" t="n">
        <x:f>MAX(0,ROUNDDOWN((AG1420-AF1420)/AR1420+0.000000001,0)*AR1420)</x:f>
        <x:v>90</x:v>
      </x:c>
      <x:c r="G1420" s="20" t="str">
        <x:f>IF(J1420="Рассчитано",V1420*(1-R1420/100)-W1420-P1420-Q1420,"н/д")</x:f>
        <x:v>н/д</x:v>
      </x:c>
      <x:c r="H1420" s="12" t="str">
        <x:v>Средний</x:v>
      </x:c>
      <x:c r="I1420" s="12" t="str">
        <x:v>Высокий</x:v>
      </x:c>
      <x:c r="J1420" s="12" t="str">
        <x:f>IF(L1420="","Укажите валюту",IF(NOT(ISNUMBER(K1420)),"Укажите объём",IF(K1420&lt;=0,"Укажите объём",IF(K1420&gt;F1420,"Объём выше излишка",IF(COUNT(M1420:O1420)&lt;3,"Нужны цены",IF(COUNT(P1420:R1420)&lt;3,"Нужны расходы",IF(OR(M1420&lt;0,N1420&lt;0,O1420&lt;0,O1420&gt;100,P1420&lt;0,Q1420&lt;0,R1420&lt;0,R1420&gt;100),"Проверьте значения","Рассчитано")))))))</x:f>
        <x:v>Нужны цены</x:v>
      </x:c>
      <x:c r="K1420" s="36" t="n">
        <x:v>90</x:v>
      </x:c>
      <x:c r="L1420" s="19" t="str">
        <x:v>KZT</x:v>
      </x:c>
      <x:c r="M1420" s="22"/>
      <x:c r="N1420" s="22"/>
      <x:c r="O1420" s="28"/>
      <x:c r="P1420" s="22"/>
      <x:c r="Q1420" s="22"/>
      <x:c r="R1420" s="28"/>
      <x:c r="S1420" s="22"/>
      <x:c r="T1420" s="35" t="n">
        <x:f>K1420</x:f>
        <x:v>90</x:v>
      </x:c>
      <x:c r="U1420" s="20" t="str">
        <x:f>IF(J1420="Рассчитано",N1420*(1-O1420/100),"н/д")</x:f>
        <x:v>н/д</x:v>
      </x:c>
      <x:c r="V1420" s="20" t="str">
        <x:f>IF(J1420="Рассчитано",T1420*U1420,"н/д")</x:f>
        <x:v>н/д</x:v>
      </x:c>
      <x:c r="W1420" s="20" t="str">
        <x:f>IF(J1420="Рассчитано",T1420*M1420,"н/д")</x:f>
        <x:v>н/д</x:v>
      </x:c>
      <x:c r="X1420" s="20" t="str">
        <x:f>IF(J1420="Рассчитано",V1420-W1420,"н/д")</x:f>
        <x:v>н/д</x:v>
      </x:c>
      <x:c r="Y1420" s="26" t="str">
        <x:f>IF(J1420="Рассчитано",IF(V1420&gt;0,G1420/V1420,"н/д"),"н/д")</x:f>
        <x:v>н/д</x:v>
      </x:c>
      <x:c r="Z1420" s="20" t="str">
        <x:f>"н/д"</x:f>
        <x:v>н/д</x:v>
      </x:c>
      <x:c r="AA1420" s="20" t="str">
        <x:f>"н/д"</x:f>
        <x:v>н/д</x:v>
      </x:c>
      <x:c r="AB1420" s="20" t="str">
        <x:f>"н/д"</x:f>
        <x:v>н/д</x:v>
      </x:c>
      <x:c r="AC1420" s="20" t="str">
        <x:f>IF(AND(J1420="Рассчитано",T1420&gt;0,R1420&lt;100),(W1420+P1420+Q1420)/(T1420*(1-R1420/100)),"н/д")</x:f>
        <x:v>н/д</x:v>
      </x:c>
      <x:c r="AD1420" s="11" t="str">
        <x:f>IF(ISNUMBER(G1420),IF(G1420&lt;0,"Убыток",IF(G1420=0,"Без прибыли","Прибыль &gt; 0")),"Не оценён")</x:f>
        <x:v>Не оценён</x:v>
      </x:c>
      <x:c r="AE1420" s="12" t="str">
        <x:f>IF(J1420="Рассчитано","Выручка "&amp;TEXT(V1420,"0.00")&amp;" - себестоимость "&amp;TEXT(W1420,"0.00")&amp;" - комиссия "&amp;TEXT(V1420*R1420/100,"0.00")&amp;" - доставка "&amp;TEXT(P1420,"0.00")&amp;" - прочие "&amp;TEXT(Q1420,"0.00")&amp;" = "&amp;TEXT(G1420,"0.00")&amp;" "&amp;L1420,"Введите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0" s="23" t="n">
        <x:v>0.11090802659309722</x:v>
      </x:c>
      <x:c r="AG1420" s="35" t="n">
        <x:v>91</x:v>
      </x:c>
      <x:c r="AH1420" s="35" t="n">
        <x:v>0</x:v>
      </x:c>
      <x:c r="AI1420" s="29" t="n">
        <x:v>46287</x:v>
      </x:c>
      <x:c r="AJ1420" s="35" t="n">
        <x:v>5</x:v>
      </x:c>
      <x:c r="AK1420" s="11" t="str">
        <x:v>кратность</x:v>
      </x:c>
      <x:c r="AL1420" s="31" t="n">
        <x:v>69959.12899447473</x:v>
      </x:c>
      <x:c r="AM1420" s="12" t="str">
        <x:v>Нет ежедневных данных доступности. Нет положительных чистых продаж за 12 месяцев</x:v>
      </x:c>
      <x:c r="AN1420" s="12" t="str">
        <x:v>Проверить свободный остаток и установить цену для B2B</x:v>
      </x:c>
      <x:c r="AO1420" s="12" t="str">
        <x:v>Остаток 91; прогноз 90 дней 0.11; избыток 90 шт. Будущие поступления не выставляются на продажу.</x:v>
      </x:c>
      <x:c r="AP1420" s="12" t="str">
        <x:v>["daily_stockout_data_missing", "negative_net_sales_clipped_for_forecast", "new_order_lead_time_unknown"]</x:v>
      </x:c>
      <x:c r="AQ1420" s="11" t="str">
        <x:v>SE:300200791_</x:v>
      </x:c>
      <x:c r="AR1420" s="23" t="n">
        <x:v>1</x:v>
      </x:c>
      <x:c r="AS1420" s="23" t="n">
        <x:v>0</x:v>
      </x:c>
      <x:c r="AT1420" s="23" t="n">
        <x:v>0</x:v>
      </x:c>
    </x:row>
    <x:row r="1421" ht="64" customHeight="1">
      <x:c r="A1421" s="10" t="str">
        <x:v>Systeme Electric</x:v>
      </x:c>
      <x:c r="B1421" s="34" t="str">
        <x:v>300200793_</x:v>
      </x:c>
      <x:c r="C1421" s="34" t="str">
        <x:v>GAL000345</x:v>
      </x:c>
      <x:c r="D1421" s="13" t="str">
        <x:v>G010 Роз. с з/к с/ш 16A механизм "ARTGALLERY" алюминий GAL0345 (10)</x:v>
      </x:c>
      <x:c r="E1421" s="10" t="str">
        <x:v>шт</x:v>
      </x:c>
      <x:c r="F1421" s="37" t="n">
        <x:f>MAX(0,ROUNDDOWN((AG1421-AF1421)/AR1421+0.000000001,0)*AR1421)</x:f>
        <x:v>100</x:v>
      </x:c>
      <x:c r="G1421" s="21" t="str">
        <x:f>IF(J1421="Рассчитано",V1421*(1-R1421/100)-W1421-P1421-Q1421,"н/д")</x:f>
        <x:v>н/д</x:v>
      </x:c>
      <x:c r="H1421" s="13" t="str">
        <x:v>Средний</x:v>
      </x:c>
      <x:c r="I1421" s="13" t="str">
        <x:v>Высокий</x:v>
      </x:c>
      <x:c r="J1421" s="13" t="str">
        <x:f>IF(L1421="","Укажите валюту",IF(NOT(ISNUMBER(K1421)),"Укажите объём",IF(K1421&lt;=0,"Укажите объём",IF(K1421&gt;F1421,"Объём выше излишка",IF(COUNT(M1421:O1421)&lt;3,"Нужны цены",IF(COUNT(P1421:R1421)&lt;3,"Нужны расходы",IF(OR(M1421&lt;0,N1421&lt;0,O1421&lt;0,O1421&gt;100,P1421&lt;0,Q1421&lt;0,R1421&lt;0,R1421&gt;100),"Проверьте значения","Рассчитано")))))))</x:f>
        <x:v>Нужны цены</x:v>
      </x:c>
      <x:c r="K1421" s="36" t="n">
        <x:v>100</x:v>
      </x:c>
      <x:c r="L1421" s="19" t="str">
        <x:v>KZT</x:v>
      </x:c>
      <x:c r="M1421" s="22"/>
      <x:c r="N1421" s="22"/>
      <x:c r="O1421" s="28"/>
      <x:c r="P1421" s="22"/>
      <x:c r="Q1421" s="22"/>
      <x:c r="R1421" s="28"/>
      <x:c r="S1421" s="22"/>
      <x:c r="T1421" s="37" t="n">
        <x:f>K1421</x:f>
        <x:v>100</x:v>
      </x:c>
      <x:c r="U1421" s="21" t="str">
        <x:f>IF(J1421="Рассчитано",N1421*(1-O1421/100),"н/д")</x:f>
        <x:v>н/д</x:v>
      </x:c>
      <x:c r="V1421" s="21" t="str">
        <x:f>IF(J1421="Рассчитано",T1421*U1421,"н/д")</x:f>
        <x:v>н/д</x:v>
      </x:c>
      <x:c r="W1421" s="21" t="str">
        <x:f>IF(J1421="Рассчитано",T1421*M1421,"н/д")</x:f>
        <x:v>н/д</x:v>
      </x:c>
      <x:c r="X1421" s="21" t="str">
        <x:f>IF(J1421="Рассчитано",V1421-W1421,"н/д")</x:f>
        <x:v>н/д</x:v>
      </x:c>
      <x:c r="Y1421" s="27" t="str">
        <x:f>IF(J1421="Рассчитано",IF(V1421&gt;0,G1421/V1421,"н/д"),"н/д")</x:f>
        <x:v>н/д</x:v>
      </x:c>
      <x:c r="Z1421" s="21" t="str">
        <x:f>"н/д"</x:f>
        <x:v>н/д</x:v>
      </x:c>
      <x:c r="AA1421" s="21" t="str">
        <x:f>"н/д"</x:f>
        <x:v>н/д</x:v>
      </x:c>
      <x:c r="AB1421" s="21" t="str">
        <x:f>"н/д"</x:f>
        <x:v>н/д</x:v>
      </x:c>
      <x:c r="AC1421" s="21" t="str">
        <x:f>IF(AND(J1421="Рассчитано",T1421&gt;0,R1421&lt;100),(W1421+P1421+Q1421)/(T1421*(1-R1421/100)),"н/д")</x:f>
        <x:v>н/д</x:v>
      </x:c>
      <x:c r="AD1421" s="10" t="str">
        <x:f>IF(ISNUMBER(G1421),IF(G1421&lt;0,"Убыток",IF(G1421=0,"Без прибыли","Прибыль &gt; 0")),"Не оценён")</x:f>
        <x:v>Не оценён</x:v>
      </x:c>
      <x:c r="AE1421" s="13" t="str">
        <x:f>IF(J1421="Рассчитано","Выручка "&amp;TEXT(V1421,"0.00")&amp;" - себестоимость "&amp;TEXT(W1421,"0.00")&amp;" - комиссия "&amp;TEXT(V1421*R1421/100,"0.00")&amp;" - доставка "&amp;TEXT(P1421,"0.00")&amp;" - прочие "&amp;TEXT(Q1421,"0.00")&amp;" = "&amp;TEXT(G1421,"0.00")&amp;" "&amp;L1421,"Введите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1" s="24" t="n">
        <x:v>0</x:v>
      </x:c>
      <x:c r="AG1421" s="37" t="n">
        <x:v>100</x:v>
      </x:c>
      <x:c r="AH1421" s="37" t="n">
        <x:v>0</x:v>
      </x:c>
      <x:c r="AI1421" s="30" t="n">
        <x:v>46287</x:v>
      </x:c>
      <x:c r="AJ1421" s="37" t="n">
        <x:v>10</x:v>
      </x:c>
      <x:c r="AK1421" s="10" t="str">
        <x:v>кратность</x:v>
      </x:c>
      <x:c r="AL1421" s="32" t="str">
        <x:v>н/д</x:v>
      </x:c>
      <x:c r="AM1421" s="13" t="str">
        <x:v>Нет ежедневных данных доступности. Нет положительных чистых продаж за 12 месяцев</x:v>
      </x:c>
      <x:c r="AN1421" s="13" t="str">
        <x:v>Проверить свободный остаток и установить цену для B2B</x:v>
      </x:c>
      <x:c r="AO1421" s="13" t="str">
        <x:v>Остаток 100; прогноз 90 дней 0.00; избыток 100 шт. Будущие поступления не выставляются на продажу.</x:v>
      </x:c>
      <x:c r="AP1421" s="13" t="str">
        <x:v>["daily_stockout_data_missing", "negative_net_sales_clipped_for_forecast", "new_order_lead_time_unknown"]</x:v>
      </x:c>
      <x:c r="AQ1421" s="10" t="str">
        <x:v>SE:300200793_</x:v>
      </x:c>
      <x:c r="AR1421" s="24" t="n">
        <x:v>1</x:v>
      </x:c>
      <x:c r="AS1421" s="24" t="n">
        <x:v>0</x:v>
      </x:c>
      <x:c r="AT1421" s="24" t="n">
        <x:v>0</x:v>
      </x:c>
    </x:row>
    <x:row r="1422" ht="64" customHeight="1">
      <x:c r="A1422" s="11" t="str">
        <x:v>Systeme Electric</x:v>
      </x:c>
      <x:c r="B1422" s="33" t="str">
        <x:v>300200794_</x:v>
      </x:c>
      <x:c r="C1422" s="33" t="str">
        <x:v>GAL000391</x:v>
      </x:c>
      <x:c r="D1422" s="12" t="str">
        <x:v>G011 Роз. TV оконечная механизм "ARTGALLERY" алюминий GAL0391 (5)</x:v>
      </x:c>
      <x:c r="E1422" s="11" t="str">
        <x:v>шт</x:v>
      </x:c>
      <x:c r="F1422" s="35" t="n">
        <x:f>MAX(0,ROUNDDOWN((AG1422-AF1422)/AR1422+0.000000001,0)*AR1422)</x:f>
        <x:v>100</x:v>
      </x:c>
      <x:c r="G1422" s="20" t="str">
        <x:f>IF(J1422="Рассчитано",V1422*(1-R1422/100)-W1422-P1422-Q1422,"н/д")</x:f>
        <x:v>н/д</x:v>
      </x:c>
      <x:c r="H1422" s="12" t="str">
        <x:v>Средний</x:v>
      </x:c>
      <x:c r="I1422" s="12" t="str">
        <x:v>Высокий</x:v>
      </x:c>
      <x:c r="J1422" s="12" t="str">
        <x:f>IF(L1422="","Укажите валюту",IF(NOT(ISNUMBER(K1422)),"Укажите объём",IF(K1422&lt;=0,"Укажите объём",IF(K1422&gt;F1422,"Объём выше излишка",IF(COUNT(M1422:O1422)&lt;3,"Нужны цены",IF(COUNT(P1422:R1422)&lt;3,"Нужны расходы",IF(OR(M1422&lt;0,N1422&lt;0,O1422&lt;0,O1422&gt;100,P1422&lt;0,Q1422&lt;0,R1422&lt;0,R1422&gt;100),"Проверьте значения","Рассчитано")))))))</x:f>
        <x:v>Нужны цены</x:v>
      </x:c>
      <x:c r="K1422" s="36" t="n">
        <x:v>100</x:v>
      </x:c>
      <x:c r="L1422" s="19" t="str">
        <x:v>KZT</x:v>
      </x:c>
      <x:c r="M1422" s="22"/>
      <x:c r="N1422" s="22"/>
      <x:c r="O1422" s="28"/>
      <x:c r="P1422" s="22"/>
      <x:c r="Q1422" s="22"/>
      <x:c r="R1422" s="28"/>
      <x:c r="S1422" s="22"/>
      <x:c r="T1422" s="35" t="n">
        <x:f>K1422</x:f>
        <x:v>100</x:v>
      </x:c>
      <x:c r="U1422" s="20" t="str">
        <x:f>IF(J1422="Рассчитано",N1422*(1-O1422/100),"н/д")</x:f>
        <x:v>н/д</x:v>
      </x:c>
      <x:c r="V1422" s="20" t="str">
        <x:f>IF(J1422="Рассчитано",T1422*U1422,"н/д")</x:f>
        <x:v>н/д</x:v>
      </x:c>
      <x:c r="W1422" s="20" t="str">
        <x:f>IF(J1422="Рассчитано",T1422*M1422,"н/д")</x:f>
        <x:v>н/д</x:v>
      </x:c>
      <x:c r="X1422" s="20" t="str">
        <x:f>IF(J1422="Рассчитано",V1422-W1422,"н/д")</x:f>
        <x:v>н/д</x:v>
      </x:c>
      <x:c r="Y1422" s="26" t="str">
        <x:f>IF(J1422="Рассчитано",IF(V1422&gt;0,G1422/V1422,"н/д"),"н/д")</x:f>
        <x:v>н/д</x:v>
      </x:c>
      <x:c r="Z1422" s="20" t="str">
        <x:f>"н/д"</x:f>
        <x:v>н/д</x:v>
      </x:c>
      <x:c r="AA1422" s="20" t="str">
        <x:f>"н/д"</x:f>
        <x:v>н/д</x:v>
      </x:c>
      <x:c r="AB1422" s="20" t="str">
        <x:f>"н/д"</x:f>
        <x:v>н/д</x:v>
      </x:c>
      <x:c r="AC1422" s="20" t="str">
        <x:f>IF(AND(J1422="Рассчитано",T1422&gt;0,R1422&lt;100),(W1422+P1422+Q1422)/(T1422*(1-R1422/100)),"н/д")</x:f>
        <x:v>н/д</x:v>
      </x:c>
      <x:c r="AD1422" s="11" t="str">
        <x:f>IF(ISNUMBER(G1422),IF(G1422&lt;0,"Убыток",IF(G1422=0,"Без прибыли","Прибыль &gt; 0")),"Не оценён")</x:f>
        <x:v>Не оценён</x:v>
      </x:c>
      <x:c r="AE1422" s="12" t="str">
        <x:f>IF(J1422="Рассчитано","Выручка "&amp;TEXT(V1422,"0.00")&amp;" - себестоимость "&amp;TEXT(W1422,"0.00")&amp;" - комиссия "&amp;TEXT(V1422*R1422/100,"0.00")&amp;" - доставка "&amp;TEXT(P1422,"0.00")&amp;" - прочие "&amp;TEXT(Q1422,"0.00")&amp;" = "&amp;TEXT(G1422,"0.00")&amp;" "&amp;L1422,"Введите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2" s="23" t="n">
        <x:v>0.3891452122374319</x:v>
      </x:c>
      <x:c r="AG1422" s="35" t="n">
        <x:v>101</x:v>
      </x:c>
      <x:c r="AH1422" s="35" t="n">
        <x:v>0</x:v>
      </x:c>
      <x:c r="AI1422" s="29" t="n">
        <x:v>46287</x:v>
      </x:c>
      <x:c r="AJ1422" s="35" t="n">
        <x:v>5</x:v>
      </x:c>
      <x:c r="AK1422" s="11" t="str">
        <x:v>кратность</x:v>
      </x:c>
      <x:c r="AL1422" s="31" t="n">
        <x:v>22129.706882880837</x:v>
      </x:c>
      <x:c r="AM1422" s="12" t="str">
        <x:v>Нет ежедневных данных доступности. Нет положительных чистых продаж за 12 месяцев</x:v>
      </x:c>
      <x:c r="AN1422" s="12" t="str">
        <x:v>Проверить свободный остаток и установить цену для B2B</x:v>
      </x:c>
      <x:c r="AO1422" s="12" t="str">
        <x:v>Остаток 101; прогноз 90 дней 0.39; избыток 100 шт. Будущие поступления не выставляются на продажу.</x:v>
      </x:c>
      <x:c r="AP1422" s="12" t="str">
        <x:v>["daily_stockout_data_missing", "negative_net_sales_clipped_for_forecast", "new_order_lead_time_unknown"]</x:v>
      </x:c>
      <x:c r="AQ1422" s="11" t="str">
        <x:v>SE:300200794_</x:v>
      </x:c>
      <x:c r="AR1422" s="23" t="n">
        <x:v>1</x:v>
      </x:c>
      <x:c r="AS1422" s="23" t="n">
        <x:v>0</x:v>
      </x:c>
      <x:c r="AT1422" s="23" t="n">
        <x:v>0</x:v>
      </x:c>
    </x:row>
    <x:row r="1423" ht="64" customHeight="1">
      <x:c r="A1423" s="10" t="str">
        <x:v>Systeme Electric</x:v>
      </x:c>
      <x:c r="B1423" s="34" t="str">
        <x:v>300200795_</x:v>
      </x:c>
      <x:c r="C1423" s="34" t="str">
        <x:v>GAL000301</x:v>
      </x:c>
      <x:c r="D1423" s="13" t="str">
        <x:v>G012 Рамка 1-ная "ARTGALLERY" алюминий GAL0301 (20)</x:v>
      </x:c>
      <x:c r="E1423" s="10" t="str">
        <x:v>шт</x:v>
      </x:c>
      <x:c r="F1423" s="37" t="n">
        <x:f>MAX(0,ROUNDDOWN((AG1423-AF1423)/AR1423+0.000000001,0)*AR1423)</x:f>
        <x:v>156</x:v>
      </x:c>
      <x:c r="G1423" s="21" t="str">
        <x:f>IF(J1423="Рассчитано",V1423*(1-R1423/100)-W1423-P1423-Q1423,"н/д")</x:f>
        <x:v>н/д</x:v>
      </x:c>
      <x:c r="H1423" s="13" t="str">
        <x:v>Средний</x:v>
      </x:c>
      <x:c r="I1423" s="13" t="str">
        <x:v>Высокий</x:v>
      </x:c>
      <x:c r="J1423" s="13" t="str">
        <x:f>IF(L1423="","Укажите валюту",IF(NOT(ISNUMBER(K1423)),"Укажите объём",IF(K1423&lt;=0,"Укажите объём",IF(K1423&gt;F1423,"Объём выше излишка",IF(COUNT(M1423:O1423)&lt;3,"Нужны цены",IF(COUNT(P1423:R1423)&lt;3,"Нужны расходы",IF(OR(M1423&lt;0,N1423&lt;0,O1423&lt;0,O1423&gt;100,P1423&lt;0,Q1423&lt;0,R1423&lt;0,R1423&gt;100),"Проверьте значения","Рассчитано")))))))</x:f>
        <x:v>Нужны цены</x:v>
      </x:c>
      <x:c r="K1423" s="36" t="n">
        <x:v>156</x:v>
      </x:c>
      <x:c r="L1423" s="19" t="str">
        <x:v>KZT</x:v>
      </x:c>
      <x:c r="M1423" s="22"/>
      <x:c r="N1423" s="22"/>
      <x:c r="O1423" s="28"/>
      <x:c r="P1423" s="22"/>
      <x:c r="Q1423" s="22"/>
      <x:c r="R1423" s="28"/>
      <x:c r="S1423" s="22"/>
      <x:c r="T1423" s="37" t="n">
        <x:f>K1423</x:f>
        <x:v>156</x:v>
      </x:c>
      <x:c r="U1423" s="21" t="str">
        <x:f>IF(J1423="Рассчитано",N1423*(1-O1423/100),"н/д")</x:f>
        <x:v>н/д</x:v>
      </x:c>
      <x:c r="V1423" s="21" t="str">
        <x:f>IF(J1423="Рассчитано",T1423*U1423,"н/д")</x:f>
        <x:v>н/д</x:v>
      </x:c>
      <x:c r="W1423" s="21" t="str">
        <x:f>IF(J1423="Рассчитано",T1423*M1423,"н/д")</x:f>
        <x:v>н/д</x:v>
      </x:c>
      <x:c r="X1423" s="21" t="str">
        <x:f>IF(J1423="Рассчитано",V1423-W1423,"н/д")</x:f>
        <x:v>н/д</x:v>
      </x:c>
      <x:c r="Y1423" s="27" t="str">
        <x:f>IF(J1423="Рассчитано",IF(V1423&gt;0,G1423/V1423,"н/д"),"н/д")</x:f>
        <x:v>н/д</x:v>
      </x:c>
      <x:c r="Z1423" s="21" t="str">
        <x:f>"н/д"</x:f>
        <x:v>н/д</x:v>
      </x:c>
      <x:c r="AA1423" s="21" t="str">
        <x:f>"н/д"</x:f>
        <x:v>н/д</x:v>
      </x:c>
      <x:c r="AB1423" s="21" t="str">
        <x:f>"н/д"</x:f>
        <x:v>н/д</x:v>
      </x:c>
      <x:c r="AC1423" s="21" t="str">
        <x:f>IF(AND(J1423="Рассчитано",T1423&gt;0,R1423&lt;100),(W1423+P1423+Q1423)/(T1423*(1-R1423/100)),"н/д")</x:f>
        <x:v>н/д</x:v>
      </x:c>
      <x:c r="AD1423" s="10" t="str">
        <x:f>IF(ISNUMBER(G1423),IF(G1423&lt;0,"Убыток",IF(G1423=0,"Без прибыли","Прибыль &gt; 0")),"Не оценён")</x:f>
        <x:v>Не оценён</x:v>
      </x:c>
      <x:c r="AE1423" s="13" t="str">
        <x:f>IF(J1423="Рассчитано","Выручка "&amp;TEXT(V1423,"0.00")&amp;" - себестоимость "&amp;TEXT(W1423,"0.00")&amp;" - комиссия "&amp;TEXT(V1423*R1423/100,"0.00")&amp;" - доставка "&amp;TEXT(P1423,"0.00")&amp;" - прочие "&amp;TEXT(Q1423,"0.00")&amp;" = "&amp;TEXT(G1423,"0.00")&amp;" "&amp;L1423,"Введите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3" s="24" t="n">
        <x:v>54.80233252460859</x:v>
      </x:c>
      <x:c r="AG1423" s="37" t="n">
        <x:v>211</x:v>
      </x:c>
      <x:c r="AH1423" s="37" t="n">
        <x:v>0</x:v>
      </x:c>
      <x:c r="AI1423" s="30" t="n">
        <x:v>46287</x:v>
      </x:c>
      <x:c r="AJ1423" s="37" t="n">
        <x:v>20</x:v>
      </x:c>
      <x:c r="AK1423" s="10" t="str">
        <x:v>кратность</x:v>
      </x:c>
      <x:c r="AL1423" s="32" t="n">
        <x:v>328.28375404952914</x:v>
      </x:c>
      <x:c r="AM1423" s="13" t="str">
        <x:v>Нет ежедневных данных доступности. Запас более 180 дней при среднем спросе</x:v>
      </x:c>
      <x:c r="AN1423" s="13" t="str">
        <x:v>Проверить свободный остаток и установить цену для B2B</x:v>
      </x:c>
      <x:c r="AO1423" s="13" t="str">
        <x:v>Остаток 211; прогноз 90 дней 54.80; избыток 156 шт. Будущие поступления не выставляются на продажу.</x:v>
      </x:c>
      <x:c r="AP1423" s="13" t="str">
        <x:v>["daily_stockout_data_missing", "negative_net_sales_clipped_for_forecast", "new_order_lead_time_unknown"]</x:v>
      </x:c>
      <x:c r="AQ1423" s="10" t="str">
        <x:v>SE:300200795_</x:v>
      </x:c>
      <x:c r="AR1423" s="24" t="n">
        <x:v>1</x:v>
      </x:c>
      <x:c r="AS1423" s="24" t="n">
        <x:v>0</x:v>
      </x:c>
      <x:c r="AT1423" s="24" t="n">
        <x:v>0</x:v>
      </x:c>
    </x:row>
    <x:row r="1424" ht="64" customHeight="1">
      <x:c r="A1424" s="11" t="str">
        <x:v>Systeme Electric</x:v>
      </x:c>
      <x:c r="B1424" s="33" t="str">
        <x:v>300200796_</x:v>
      </x:c>
      <x:c r="C1424" s="33" t="str">
        <x:v>GAL000302</x:v>
      </x:c>
      <x:c r="D1424" s="12" t="str">
        <x:v>G013 Рамка 2-ная "ARTGALLERY" алюминий GAL0302 (10)</x:v>
      </x:c>
      <x:c r="E1424" s="11" t="str">
        <x:v>шт</x:v>
      </x:c>
      <x:c r="F1424" s="35" t="n">
        <x:f>MAX(0,ROUNDDOWN((AG1424-AF1424)/AR1424+0.000000001,0)*AR1424)</x:f>
        <x:v>75</x:v>
      </x:c>
      <x:c r="G1424" s="20" t="str">
        <x:f>IF(J1424="Рассчитано",V1424*(1-R1424/100)-W1424-P1424-Q1424,"н/д")</x:f>
        <x:v>н/д</x:v>
      </x:c>
      <x:c r="H1424" s="12" t="str">
        <x:v>Средний</x:v>
      </x:c>
      <x:c r="I1424" s="12" t="str">
        <x:v>Высокий</x:v>
      </x:c>
      <x:c r="J1424" s="12" t="str">
        <x:f>IF(L1424="","Укажите валюту",IF(NOT(ISNUMBER(K1424)),"Укажите объём",IF(K1424&lt;=0,"Укажите объём",IF(K1424&gt;F1424,"Объём выше излишка",IF(COUNT(M1424:O1424)&lt;3,"Нужны цены",IF(COUNT(P1424:R1424)&lt;3,"Нужны расходы",IF(OR(M1424&lt;0,N1424&lt;0,O1424&lt;0,O1424&gt;100,P1424&lt;0,Q1424&lt;0,R1424&lt;0,R1424&gt;100),"Проверьте значения","Рассчитано")))))))</x:f>
        <x:v>Нужны цены</x:v>
      </x:c>
      <x:c r="K1424" s="36" t="n">
        <x:v>75</x:v>
      </x:c>
      <x:c r="L1424" s="19" t="str">
        <x:v>KZT</x:v>
      </x:c>
      <x:c r="M1424" s="22"/>
      <x:c r="N1424" s="22"/>
      <x:c r="O1424" s="28"/>
      <x:c r="P1424" s="22"/>
      <x:c r="Q1424" s="22"/>
      <x:c r="R1424" s="28"/>
      <x:c r="S1424" s="22"/>
      <x:c r="T1424" s="35" t="n">
        <x:f>K1424</x:f>
        <x:v>75</x:v>
      </x:c>
      <x:c r="U1424" s="20" t="str">
        <x:f>IF(J1424="Рассчитано",N1424*(1-O1424/100),"н/д")</x:f>
        <x:v>н/д</x:v>
      </x:c>
      <x:c r="V1424" s="20" t="str">
        <x:f>IF(J1424="Рассчитано",T1424*U1424,"н/д")</x:f>
        <x:v>н/д</x:v>
      </x:c>
      <x:c r="W1424" s="20" t="str">
        <x:f>IF(J1424="Рассчитано",T1424*M1424,"н/д")</x:f>
        <x:v>н/д</x:v>
      </x:c>
      <x:c r="X1424" s="20" t="str">
        <x:f>IF(J1424="Рассчитано",V1424-W1424,"н/д")</x:f>
        <x:v>н/д</x:v>
      </x:c>
      <x:c r="Y1424" s="26" t="str">
        <x:f>IF(J1424="Рассчитано",IF(V1424&gt;0,G1424/V1424,"н/д"),"н/д")</x:f>
        <x:v>н/д</x:v>
      </x:c>
      <x:c r="Z1424" s="20" t="str">
        <x:f>"н/д"</x:f>
        <x:v>н/д</x:v>
      </x:c>
      <x:c r="AA1424" s="20" t="str">
        <x:f>"н/д"</x:f>
        <x:v>н/д</x:v>
      </x:c>
      <x:c r="AB1424" s="20" t="str">
        <x:f>"н/д"</x:f>
        <x:v>н/д</x:v>
      </x:c>
      <x:c r="AC1424" s="20" t="str">
        <x:f>IF(AND(J1424="Рассчитано",T1424&gt;0,R1424&lt;100),(W1424+P1424+Q1424)/(T1424*(1-R1424/100)),"н/д")</x:f>
        <x:v>н/д</x:v>
      </x:c>
      <x:c r="AD1424" s="11" t="str">
        <x:f>IF(ISNUMBER(G1424),IF(G1424&lt;0,"Убыток",IF(G1424=0,"Без прибыли","Прибыль &gt; 0")),"Не оценён")</x:f>
        <x:v>Не оценён</x:v>
      </x:c>
      <x:c r="AE1424" s="12" t="str">
        <x:f>IF(J1424="Рассчитано","Выручка "&amp;TEXT(V1424,"0.00")&amp;" - себестоимость "&amp;TEXT(W1424,"0.00")&amp;" - комиссия "&amp;TEXT(V1424*R1424/100,"0.00")&amp;" - доставка "&amp;TEXT(P1424,"0.00")&amp;" - прочие "&amp;TEXT(Q1424,"0.00")&amp;" = "&amp;TEXT(G1424,"0.00")&amp;" "&amp;L1424,"Введите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4" s="23" t="n">
        <x:v>38.406789511655276</x:v>
      </x:c>
      <x:c r="AG1424" s="35" t="n">
        <x:v>114</x:v>
      </x:c>
      <x:c r="AH1424" s="35" t="n">
        <x:v>0</x:v>
      </x:c>
      <x:c r="AI1424" s="29" t="n">
        <x:v>46287</x:v>
      </x:c>
      <x:c r="AJ1424" s="35" t="n">
        <x:v>10</x:v>
      </x:c>
      <x:c r="AK1424" s="11" t="str">
        <x:v>кратность</x:v>
      </x:c>
      <x:c r="AL1424" s="31" t="n">
        <x:v>253.08291348604362</x:v>
      </x:c>
      <x:c r="AM1424" s="12" t="str">
        <x:v>Нет ежедневных данных доступности. Запас более 180 дней при среднем спросе</x:v>
      </x:c>
      <x:c r="AN1424" s="12" t="str">
        <x:v>Проверить свободный остаток и установить цену для B2B</x:v>
      </x:c>
      <x:c r="AO1424" s="12" t="str">
        <x:v>Остаток 114; прогноз 90 дней 38.41; избыток 75 шт. Будущие поступления не выставляются на продажу.</x:v>
      </x:c>
      <x:c r="AP1424" s="12" t="str">
        <x:v>["daily_stockout_data_missing", "negative_net_sales_clipped_for_forecast", "new_order_lead_time_unknown"]</x:v>
      </x:c>
      <x:c r="AQ1424" s="11" t="str">
        <x:v>SE:300200796_</x:v>
      </x:c>
      <x:c r="AR1424" s="23" t="n">
        <x:v>1</x:v>
      </x:c>
      <x:c r="AS1424" s="23" t="n">
        <x:v>0</x:v>
      </x:c>
      <x:c r="AT1424" s="23" t="n">
        <x:v>0</x:v>
      </x:c>
    </x:row>
    <x:row r="1425" ht="64" customHeight="1">
      <x:c r="A1425" s="10" t="str">
        <x:v>Systeme Electric</x:v>
      </x:c>
      <x:c r="B1425" s="34" t="str">
        <x:v>300200797_</x:v>
      </x:c>
      <x:c r="C1425" s="34" t="str">
        <x:v>GAL000303</x:v>
      </x:c>
      <x:c r="D1425" s="13" t="str">
        <x:v>G014 Рамка 3-ная "ARTGALLERY" алюминий GAL0303 (5)</x:v>
      </x:c>
      <x:c r="E1425" s="10" t="str">
        <x:v>шт</x:v>
      </x:c>
      <x:c r="F1425" s="37" t="n">
        <x:f>MAX(0,ROUNDDOWN((AG1425-AF1425)/AR1425+0.000000001,0)*AR1425)</x:f>
        <x:v>84</x:v>
      </x:c>
      <x:c r="G1425" s="21" t="str">
        <x:f>IF(J1425="Рассчитано",V1425*(1-R1425/100)-W1425-P1425-Q1425,"н/д")</x:f>
        <x:v>н/д</x:v>
      </x:c>
      <x:c r="H1425" s="13" t="str">
        <x:v>Средний</x:v>
      </x:c>
      <x:c r="I1425" s="13" t="str">
        <x:v>Высокий</x:v>
      </x:c>
      <x:c r="J1425" s="13" t="str">
        <x:f>IF(L1425="","Укажите валюту",IF(NOT(ISNUMBER(K1425)),"Укажите объём",IF(K1425&lt;=0,"Укажите объём",IF(K1425&gt;F1425,"Объём выше излишка",IF(COUNT(M1425:O1425)&lt;3,"Нужны цены",IF(COUNT(P1425:R1425)&lt;3,"Нужны расходы",IF(OR(M1425&lt;0,N1425&lt;0,O1425&lt;0,O1425&gt;100,P1425&lt;0,Q1425&lt;0,R1425&lt;0,R1425&gt;100),"Проверьте значения","Рассчитано")))))))</x:f>
        <x:v>Нужны цены</x:v>
      </x:c>
      <x:c r="K1425" s="36" t="n">
        <x:v>84</x:v>
      </x:c>
      <x:c r="L1425" s="19" t="str">
        <x:v>KZT</x:v>
      </x:c>
      <x:c r="M1425" s="22"/>
      <x:c r="N1425" s="22"/>
      <x:c r="O1425" s="28"/>
      <x:c r="P1425" s="22"/>
      <x:c r="Q1425" s="22"/>
      <x:c r="R1425" s="28"/>
      <x:c r="S1425" s="22"/>
      <x:c r="T1425" s="37" t="n">
        <x:f>K1425</x:f>
        <x:v>84</x:v>
      </x:c>
      <x:c r="U1425" s="21" t="str">
        <x:f>IF(J1425="Рассчитано",N1425*(1-O1425/100),"н/д")</x:f>
        <x:v>н/д</x:v>
      </x:c>
      <x:c r="V1425" s="21" t="str">
        <x:f>IF(J1425="Рассчитано",T1425*U1425,"н/д")</x:f>
        <x:v>н/д</x:v>
      </x:c>
      <x:c r="W1425" s="21" t="str">
        <x:f>IF(J1425="Рассчитано",T1425*M1425,"н/д")</x:f>
        <x:v>н/д</x:v>
      </x:c>
      <x:c r="X1425" s="21" t="str">
        <x:f>IF(J1425="Рассчитано",V1425-W1425,"н/д")</x:f>
        <x:v>н/д</x:v>
      </x:c>
      <x:c r="Y1425" s="27" t="str">
        <x:f>IF(J1425="Рассчитано",IF(V1425&gt;0,G1425/V1425,"н/д"),"н/д")</x:f>
        <x:v>н/д</x:v>
      </x:c>
      <x:c r="Z1425" s="21" t="str">
        <x:f>"н/д"</x:f>
        <x:v>н/д</x:v>
      </x:c>
      <x:c r="AA1425" s="21" t="str">
        <x:f>"н/д"</x:f>
        <x:v>н/д</x:v>
      </x:c>
      <x:c r="AB1425" s="21" t="str">
        <x:f>"н/д"</x:f>
        <x:v>н/д</x:v>
      </x:c>
      <x:c r="AC1425" s="21" t="str">
        <x:f>IF(AND(J1425="Рассчитано",T1425&gt;0,R1425&lt;100),(W1425+P1425+Q1425)/(T1425*(1-R1425/100)),"н/д")</x:f>
        <x:v>н/д</x:v>
      </x:c>
      <x:c r="AD1425" s="10" t="str">
        <x:f>IF(ISNUMBER(G1425),IF(G1425&lt;0,"Убыток",IF(G1425=0,"Без прибыли","Прибыль &gt; 0")),"Не оценён")</x:f>
        <x:v>Не оценён</x:v>
      </x:c>
      <x:c r="AE1425" s="13" t="str">
        <x:f>IF(J1425="Рассчитано","Выручка "&amp;TEXT(V1425,"0.00")&amp;" - себестоимость "&amp;TEXT(W1425,"0.00")&amp;" - комиссия "&amp;TEXT(V1425*R1425/100,"0.00")&amp;" - доставка "&amp;TEXT(P1425,"0.00")&amp;" - прочие "&amp;TEXT(Q1425,"0.00")&amp;" = "&amp;TEXT(G1425,"0.00")&amp;" "&amp;L1425,"Введите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5" s="24" t="n">
        <x:v>14.075749678877475</x:v>
      </x:c>
      <x:c r="AG1425" s="37" t="n">
        <x:v>99</x:v>
      </x:c>
      <x:c r="AH1425" s="37" t="n">
        <x:v>0</x:v>
      </x:c>
      <x:c r="AI1425" s="30" t="n">
        <x:v>46287</x:v>
      </x:c>
      <x:c r="AJ1425" s="37" t="n">
        <x:v>5</x:v>
      </x:c>
      <x:c r="AK1425" s="10" t="str">
        <x:v>кратность</x:v>
      </x:c>
      <x:c r="AL1425" s="32" t="n">
        <x:v>599.69391085503</x:v>
      </x:c>
      <x:c r="AM1425" s="13" t="str">
        <x:v>Детальные и месячные продажи расходятся; Нет ежедневных данных доступности. Запас более 180 дней при среднем спросе</x:v>
      </x:c>
      <x:c r="AN1425" s="13" t="str">
        <x:v>Проверить свободный остаток и установить цену для B2B</x:v>
      </x:c>
      <x:c r="AO1425" s="13" t="str">
        <x:v>Остаток 99; прогноз 90 дней 14.08; избыток 84 шт. Будущие поступления не выставляются на продажу.</x:v>
      </x:c>
      <x:c r="AP1425" s="13" t="str">
        <x:v>["daily_stockout_data_missing", "large_orders_detected", "negative_net_sales_clipped_for_forecast", "new_order_lead_time_unknown", "transaction_month_mismatch"]</x:v>
      </x:c>
      <x:c r="AQ1425" s="10" t="str">
        <x:v>SE:300200797_</x:v>
      </x:c>
      <x:c r="AR1425" s="24" t="n">
        <x:v>1</x:v>
      </x:c>
      <x:c r="AS1425" s="24" t="n">
        <x:v>0</x:v>
      </x:c>
      <x:c r="AT1425" s="24" t="n">
        <x:v>0</x:v>
      </x:c>
    </x:row>
    <x:row r="1426" ht="64" customHeight="1">
      <x:c r="A1426" s="11" t="str">
        <x:v>Systeme Electric</x:v>
      </x:c>
      <x:c r="B1426" s="33" t="str">
        <x:v>300200798_</x:v>
      </x:c>
      <x:c r="C1426" s="33" t="str">
        <x:v>GAL000304</x:v>
      </x:c>
      <x:c r="D1426" s="12" t="str">
        <x:v>G015 Рамка 4-ная "ARTGALLERY" алюминий GAL0304 (5)</x:v>
      </x:c>
      <x:c r="E1426" s="11" t="str">
        <x:v>шт</x:v>
      </x:c>
      <x:c r="F1426" s="35" t="n">
        <x:f>MAX(0,ROUNDDOWN((AG1426-AF1426)/AR1426+0.000000001,0)*AR1426)</x:f>
        <x:v>65</x:v>
      </x:c>
      <x:c r="G1426" s="20" t="str">
        <x:f>IF(J1426="Рассчитано",V1426*(1-R1426/100)-W1426-P1426-Q1426,"н/д")</x:f>
        <x:v>н/д</x:v>
      </x:c>
      <x:c r="H1426" s="12" t="str">
        <x:v>Средний</x:v>
      </x:c>
      <x:c r="I1426" s="12" t="str">
        <x:v>Высокий</x:v>
      </x:c>
      <x:c r="J1426" s="12" t="str">
        <x:f>IF(L1426="","Укажите валюту",IF(NOT(ISNUMBER(K1426)),"Укажите объём",IF(K1426&lt;=0,"Укажите объём",IF(K1426&gt;F1426,"Объём выше излишка",IF(COUNT(M1426:O1426)&lt;3,"Нужны цены",IF(COUNT(P1426:R1426)&lt;3,"Нужны расходы",IF(OR(M1426&lt;0,N1426&lt;0,O1426&lt;0,O1426&gt;100,P1426&lt;0,Q1426&lt;0,R1426&lt;0,R1426&gt;100),"Проверьте значения","Рассчитано")))))))</x:f>
        <x:v>Нужны цены</x:v>
      </x:c>
      <x:c r="K1426" s="36" t="n">
        <x:v>65</x:v>
      </x:c>
      <x:c r="L1426" s="19" t="str">
        <x:v>KZT</x:v>
      </x:c>
      <x:c r="M1426" s="22"/>
      <x:c r="N1426" s="22"/>
      <x:c r="O1426" s="28"/>
      <x:c r="P1426" s="22"/>
      <x:c r="Q1426" s="22"/>
      <x:c r="R1426" s="28"/>
      <x:c r="S1426" s="22"/>
      <x:c r="T1426" s="35" t="n">
        <x:f>K1426</x:f>
        <x:v>65</x:v>
      </x:c>
      <x:c r="U1426" s="20" t="str">
        <x:f>IF(J1426="Рассчитано",N1426*(1-O1426/100),"н/д")</x:f>
        <x:v>н/д</x:v>
      </x:c>
      <x:c r="V1426" s="20" t="str">
        <x:f>IF(J1426="Рассчитано",T1426*U1426,"н/д")</x:f>
        <x:v>н/д</x:v>
      </x:c>
      <x:c r="W1426" s="20" t="str">
        <x:f>IF(J1426="Рассчитано",T1426*M1426,"н/д")</x:f>
        <x:v>н/д</x:v>
      </x:c>
      <x:c r="X1426" s="20" t="str">
        <x:f>IF(J1426="Рассчитано",V1426-W1426,"н/д")</x:f>
        <x:v>н/д</x:v>
      </x:c>
      <x:c r="Y1426" s="26" t="str">
        <x:f>IF(J1426="Рассчитано",IF(V1426&gt;0,G1426/V1426,"н/д"),"н/д")</x:f>
        <x:v>н/д</x:v>
      </x:c>
      <x:c r="Z1426" s="20" t="str">
        <x:f>"н/д"</x:f>
        <x:v>н/д</x:v>
      </x:c>
      <x:c r="AA1426" s="20" t="str">
        <x:f>"н/д"</x:f>
        <x:v>н/д</x:v>
      </x:c>
      <x:c r="AB1426" s="20" t="str">
        <x:f>"н/д"</x:f>
        <x:v>н/д</x:v>
      </x:c>
      <x:c r="AC1426" s="20" t="str">
        <x:f>IF(AND(J1426="Рассчитано",T1426&gt;0,R1426&lt;100),(W1426+P1426+Q1426)/(T1426*(1-R1426/100)),"н/д")</x:f>
        <x:v>н/д</x:v>
      </x:c>
      <x:c r="AD1426" s="11" t="str">
        <x:f>IF(ISNUMBER(G1426),IF(G1426&lt;0,"Убыток",IF(G1426=0,"Без прибыли","Прибыль &gt; 0")),"Не оценён")</x:f>
        <x:v>Не оценён</x:v>
      </x:c>
      <x:c r="AE1426" s="12" t="str">
        <x:f>IF(J1426="Рассчитано","Выручка "&amp;TEXT(V1426,"0.00")&amp;" - себестоимость "&amp;TEXT(W1426,"0.00")&amp;" - комиссия "&amp;TEXT(V1426*R1426/100,"0.00")&amp;" - доставка "&amp;TEXT(P1426,"0.00")&amp;" - прочие "&amp;TEXT(Q1426,"0.00")&amp;" = "&amp;TEXT(G1426,"0.00")&amp;" "&amp;L1426,"Введите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6" s="23" t="n">
        <x:v>5.547193142202467</x:v>
      </x:c>
      <x:c r="AG1426" s="35" t="n">
        <x:v>71</x:v>
      </x:c>
      <x:c r="AH1426" s="35" t="n">
        <x:v>0</x:v>
      </x:c>
      <x:c r="AI1426" s="29" t="n">
        <x:v>46287</x:v>
      </x:c>
      <x:c r="AJ1426" s="35" t="n">
        <x:v>5</x:v>
      </x:c>
      <x:c r="AK1426" s="11" t="str">
        <x:v>кратность</x:v>
      </x:c>
      <x:c r="AL1426" s="31" t="n">
        <x:v>1091.3173019719707</x:v>
      </x:c>
      <x:c r="AM1426" s="12" t="str">
        <x:v>Детальные и месячные продажи расходятся; Нет ежедневных данных доступности. Нет положительных чистых продаж за 12 месяцев</x:v>
      </x:c>
      <x:c r="AN1426" s="12" t="str">
        <x:v>Проверить свободный остаток и установить цену для B2B</x:v>
      </x:c>
      <x:c r="AO1426" s="12" t="str">
        <x:v>Остаток 71; прогноз 90 дней 5.55; избыток 65 шт. Будущие поступления не выставляются на продажу.</x:v>
      </x:c>
      <x:c r="AP1426" s="12" t="str">
        <x:v>["daily_stockout_data_missing", "large_orders_detected", "negative_net_sales_clipped_for_forecast", "new_order_lead_time_unknown", "transaction_month_mismatch"]</x:v>
      </x:c>
      <x:c r="AQ1426" s="11" t="str">
        <x:v>SE:300200798_</x:v>
      </x:c>
      <x:c r="AR1426" s="23" t="n">
        <x:v>1</x:v>
      </x:c>
      <x:c r="AS1426" s="23" t="n">
        <x:v>0</x:v>
      </x:c>
      <x:c r="AT1426" s="23" t="n">
        <x:v>0</x:v>
      </x:c>
    </x:row>
    <x:row r="1427" ht="64" customHeight="1">
      <x:c r="A1427" s="10" t="str">
        <x:v>Systeme Electric</x:v>
      </x:c>
      <x:c r="B1427" s="34" t="str">
        <x:v>300200799_</x:v>
      </x:c>
      <x:c r="C1427" s="34" t="str">
        <x:v>GAL000305</x:v>
      </x:c>
      <x:c r="D1427" s="13" t="str">
        <x:v>G016 Рамка 5-ная "ARTGALLERY" алюминий GAL0305 (5)</x:v>
      </x:c>
      <x:c r="E1427" s="10" t="str">
        <x:v>шт</x:v>
      </x:c>
      <x:c r="F1427" s="37" t="n">
        <x:f>MAX(0,ROUNDDOWN((AG1427-AF1427)/AR1427+0.000000001,0)*AR1427)</x:f>
        <x:v>117</x:v>
      </x:c>
      <x:c r="G1427" s="21" t="str">
        <x:f>IF(J1427="Рассчитано",V1427*(1-R1427/100)-W1427-P1427-Q1427,"н/д")</x:f>
        <x:v>н/д</x:v>
      </x:c>
      <x:c r="H1427" s="13" t="str">
        <x:v>Средний</x:v>
      </x:c>
      <x:c r="I1427" s="13" t="str">
        <x:v>Высокий</x:v>
      </x:c>
      <x:c r="J1427" s="13" t="str">
        <x:f>IF(L1427="","Укажите валюту",IF(NOT(ISNUMBER(K1427)),"Укажите объём",IF(K1427&lt;=0,"Укажите объём",IF(K1427&gt;F1427,"Объём выше излишка",IF(COUNT(M1427:O1427)&lt;3,"Нужны цены",IF(COUNT(P1427:R1427)&lt;3,"Нужны расходы",IF(OR(M1427&lt;0,N1427&lt;0,O1427&lt;0,O1427&gt;100,P1427&lt;0,Q1427&lt;0,R1427&lt;0,R1427&gt;100),"Проверьте значения","Рассчитано")))))))</x:f>
        <x:v>Нужны цены</x:v>
      </x:c>
      <x:c r="K1427" s="36" t="n">
        <x:v>117</x:v>
      </x:c>
      <x:c r="L1427" s="19" t="str">
        <x:v>KZT</x:v>
      </x:c>
      <x:c r="M1427" s="22"/>
      <x:c r="N1427" s="22"/>
      <x:c r="O1427" s="28"/>
      <x:c r="P1427" s="22"/>
      <x:c r="Q1427" s="22"/>
      <x:c r="R1427" s="28"/>
      <x:c r="S1427" s="22"/>
      <x:c r="T1427" s="37" t="n">
        <x:f>K1427</x:f>
        <x:v>117</x:v>
      </x:c>
      <x:c r="U1427" s="21" t="str">
        <x:f>IF(J1427="Рассчитано",N1427*(1-O1427/100),"н/д")</x:f>
        <x:v>н/д</x:v>
      </x:c>
      <x:c r="V1427" s="21" t="str">
        <x:f>IF(J1427="Рассчитано",T1427*U1427,"н/д")</x:f>
        <x:v>н/д</x:v>
      </x:c>
      <x:c r="W1427" s="21" t="str">
        <x:f>IF(J1427="Рассчитано",T1427*M1427,"н/д")</x:f>
        <x:v>н/д</x:v>
      </x:c>
      <x:c r="X1427" s="21" t="str">
        <x:f>IF(J1427="Рассчитано",V1427-W1427,"н/д")</x:f>
        <x:v>н/д</x:v>
      </x:c>
      <x:c r="Y1427" s="27" t="str">
        <x:f>IF(J1427="Рассчитано",IF(V1427&gt;0,G1427/V1427,"н/д"),"н/д")</x:f>
        <x:v>н/д</x:v>
      </x:c>
      <x:c r="Z1427" s="21" t="str">
        <x:f>"н/д"</x:f>
        <x:v>н/д</x:v>
      </x:c>
      <x:c r="AA1427" s="21" t="str">
        <x:f>"н/д"</x:f>
        <x:v>н/д</x:v>
      </x:c>
      <x:c r="AB1427" s="21" t="str">
        <x:f>"н/д"</x:f>
        <x:v>н/д</x:v>
      </x:c>
      <x:c r="AC1427" s="21" t="str">
        <x:f>IF(AND(J1427="Рассчитано",T1427&gt;0,R1427&lt;100),(W1427+P1427+Q1427)/(T1427*(1-R1427/100)),"н/д")</x:f>
        <x:v>н/д</x:v>
      </x:c>
      <x:c r="AD1427" s="10" t="str">
        <x:f>IF(ISNUMBER(G1427),IF(G1427&lt;0,"Убыток",IF(G1427=0,"Без прибыли","Прибыль &gt; 0")),"Не оценён")</x:f>
        <x:v>Не оценён</x:v>
      </x:c>
      <x:c r="AE1427" s="13" t="str">
        <x:f>IF(J1427="Рассчитано","Выручка "&amp;TEXT(V1427,"0.00")&amp;" - себестоимость "&amp;TEXT(W1427,"0.00")&amp;" - комиссия "&amp;TEXT(V1427*R1427/100,"0.00")&amp;" - доставка "&amp;TEXT(P1427,"0.00")&amp;" - прочие "&amp;TEXT(Q1427,"0.00")&amp;" = "&amp;TEXT(G1427,"0.00")&amp;" "&amp;L1427,"Введите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7" s="24" t="n">
        <x:v>2.5141485686828684</x:v>
      </x:c>
      <x:c r="AG1427" s="37" t="n">
        <x:v>120</x:v>
      </x:c>
      <x:c r="AH1427" s="37" t="n">
        <x:v>0</x:v>
      </x:c>
      <x:c r="AI1427" s="30" t="n">
        <x:v>46287</x:v>
      </x:c>
      <x:c r="AJ1427" s="37" t="n">
        <x:v>5</x:v>
      </x:c>
      <x:c r="AK1427" s="10" t="str">
        <x:v>кратность</x:v>
      </x:c>
      <x:c r="AL1427" s="32" t="n">
        <x:v>4069.642757134364</x:v>
      </x:c>
      <x:c r="AM1427" s="13" t="str">
        <x:v>Нет ежедневных данных доступности. Нет положительных чистых продаж за 12 месяцев</x:v>
      </x:c>
      <x:c r="AN1427" s="13" t="str">
        <x:v>Проверить свободный остаток и установить цену для B2B</x:v>
      </x:c>
      <x:c r="AO1427" s="13" t="str">
        <x:v>Остаток 120; прогноз 90 дней 2.51; избыток 117 шт. Будущие поступления не выставляются на продажу.</x:v>
      </x:c>
      <x:c r="AP1427" s="13" t="str">
        <x:v>["daily_stockout_data_missing", "negative_net_sales_clipped_for_forecast", "new_order_lead_time_unknown"]</x:v>
      </x:c>
      <x:c r="AQ1427" s="10" t="str">
        <x:v>SE:300200799_</x:v>
      </x:c>
      <x:c r="AR1427" s="24" t="n">
        <x:v>1</x:v>
      </x:c>
      <x:c r="AS1427" s="24" t="n">
        <x:v>0</x:v>
      </x:c>
      <x:c r="AT1427" s="24" t="n">
        <x:v>0</x:v>
      </x:c>
    </x:row>
    <x:row r="1428" ht="64" customHeight="1">
      <x:c r="A1428" s="11" t="str">
        <x:v>Systeme Electric</x:v>
      </x:c>
      <x:c r="B1428" s="33" t="str">
        <x:v>300200800_</x:v>
      </x:c>
      <x:c r="C1428" s="33" t="str">
        <x:v>GAL000365</x:v>
      </x:c>
      <x:c r="D1428" s="12" t="str">
        <x:v>G017 Переключ. 2 кл механизм "ARTGALLERY" алюминий GAL0365 (10)</x:v>
      </x:c>
      <x:c r="E1428" s="11" t="str">
        <x:v>шт</x:v>
      </x:c>
      <x:c r="F1428" s="35" t="n">
        <x:f>MAX(0,ROUNDDOWN((AG1428-AF1428)/AR1428+0.000000001,0)*AR1428)</x:f>
        <x:v>77</x:v>
      </x:c>
      <x:c r="G1428" s="20" t="str">
        <x:f>IF(J1428="Рассчитано",V1428*(1-R1428/100)-W1428-P1428-Q1428,"н/д")</x:f>
        <x:v>н/д</x:v>
      </x:c>
      <x:c r="H1428" s="12" t="str">
        <x:v>Средний</x:v>
      </x:c>
      <x:c r="I1428" s="12" t="str">
        <x:v>Высокий</x:v>
      </x:c>
      <x:c r="J1428" s="12" t="str">
        <x:f>IF(L1428="","Укажите валюту",IF(NOT(ISNUMBER(K1428)),"Укажите объём",IF(K1428&lt;=0,"Укажите объём",IF(K1428&gt;F1428,"Объём выше излишка",IF(COUNT(M1428:O1428)&lt;3,"Нужны цены",IF(COUNT(P1428:R1428)&lt;3,"Нужны расходы",IF(OR(M1428&lt;0,N1428&lt;0,O1428&lt;0,O1428&gt;100,P1428&lt;0,Q1428&lt;0,R1428&lt;0,R1428&gt;100),"Проверьте значения","Рассчитано")))))))</x:f>
        <x:v>Нужны цены</x:v>
      </x:c>
      <x:c r="K1428" s="36" t="n">
        <x:v>77</x:v>
      </x:c>
      <x:c r="L1428" s="19" t="str">
        <x:v>KZT</x:v>
      </x:c>
      <x:c r="M1428" s="22"/>
      <x:c r="N1428" s="22"/>
      <x:c r="O1428" s="28"/>
      <x:c r="P1428" s="22"/>
      <x:c r="Q1428" s="22"/>
      <x:c r="R1428" s="28"/>
      <x:c r="S1428" s="22"/>
      <x:c r="T1428" s="35" t="n">
        <x:f>K1428</x:f>
        <x:v>77</x:v>
      </x:c>
      <x:c r="U1428" s="20" t="str">
        <x:f>IF(J1428="Рассчитано",N1428*(1-O1428/100),"н/д")</x:f>
        <x:v>н/д</x:v>
      </x:c>
      <x:c r="V1428" s="20" t="str">
        <x:f>IF(J1428="Рассчитано",T1428*U1428,"н/д")</x:f>
        <x:v>н/д</x:v>
      </x:c>
      <x:c r="W1428" s="20" t="str">
        <x:f>IF(J1428="Рассчитано",T1428*M1428,"н/д")</x:f>
        <x:v>н/д</x:v>
      </x:c>
      <x:c r="X1428" s="20" t="str">
        <x:f>IF(J1428="Рассчитано",V1428-W1428,"н/д")</x:f>
        <x:v>н/д</x:v>
      </x:c>
      <x:c r="Y1428" s="26" t="str">
        <x:f>IF(J1428="Рассчитано",IF(V1428&gt;0,G1428/V1428,"н/д"),"н/д")</x:f>
        <x:v>н/д</x:v>
      </x:c>
      <x:c r="Z1428" s="20" t="str">
        <x:f>"н/д"</x:f>
        <x:v>н/д</x:v>
      </x:c>
      <x:c r="AA1428" s="20" t="str">
        <x:f>"н/д"</x:f>
        <x:v>н/д</x:v>
      </x:c>
      <x:c r="AB1428" s="20" t="str">
        <x:f>"н/д"</x:f>
        <x:v>н/д</x:v>
      </x:c>
      <x:c r="AC1428" s="20" t="str">
        <x:f>IF(AND(J1428="Рассчитано",T1428&gt;0,R1428&lt;100),(W1428+P1428+Q1428)/(T1428*(1-R1428/100)),"н/д")</x:f>
        <x:v>н/д</x:v>
      </x:c>
      <x:c r="AD1428" s="11" t="str">
        <x:f>IF(ISNUMBER(G1428),IF(G1428&lt;0,"Убыток",IF(G1428=0,"Без прибыли","Прибыль &gt; 0")),"Не оценён")</x:f>
        <x:v>Не оценён</x:v>
      </x:c>
      <x:c r="AE1428" s="12" t="str">
        <x:f>IF(J1428="Рассчитано","Выручка "&amp;TEXT(V1428,"0.00")&amp;" - себестоимость "&amp;TEXT(W1428,"0.00")&amp;" - комиссия "&amp;TEXT(V1428*R1428/100,"0.00")&amp;" - доставка "&amp;TEXT(P1428,"0.00")&amp;" - прочие "&amp;TEXT(Q1428,"0.00")&amp;" = "&amp;TEXT(G1428,"0.00")&amp;" "&amp;L1428,"Введите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8" s="23" t="n">
        <x:v>0.49070285129019275</x:v>
      </x:c>
      <x:c r="AG1428" s="35" t="n">
        <x:v>78</x:v>
      </x:c>
      <x:c r="AH1428" s="35" t="n">
        <x:v>0</x:v>
      </x:c>
      <x:c r="AI1428" s="29" t="n">
        <x:v>46287</x:v>
      </x:c>
      <x:c r="AJ1428" s="35" t="n">
        <x:v>10</x:v>
      </x:c>
      <x:c r="AK1428" s="11" t="str">
        <x:v>кратность</x:v>
      </x:c>
      <x:c r="AL1428" s="31" t="n">
        <x:v>13553.204787579116</x:v>
      </x:c>
      <x:c r="AM1428" s="12" t="str">
        <x:v>Нет ежедневных данных доступности. Нет положительных чистых продаж за 12 месяцев</x:v>
      </x:c>
      <x:c r="AN1428" s="12" t="str">
        <x:v>Проверить свободный остаток и установить цену для B2B</x:v>
      </x:c>
      <x:c r="AO1428" s="12" t="str">
        <x:v>Остаток 78; прогноз 90 дней 0.49; избыток 77 шт. Будущие поступления не выставляются на продажу.</x:v>
      </x:c>
      <x:c r="AP1428" s="12" t="str">
        <x:v>["daily_stockout_data_missing", "negative_net_sales_clipped_for_forecast", "new_order_lead_time_unknown"]</x:v>
      </x:c>
      <x:c r="AQ1428" s="11" t="str">
        <x:v>SE:300200800_</x:v>
      </x:c>
      <x:c r="AR1428" s="23" t="n">
        <x:v>1</x:v>
      </x:c>
      <x:c r="AS1428" s="23" t="n">
        <x:v>0</x:v>
      </x:c>
      <x:c r="AT1428" s="23" t="n">
        <x:v>0</x:v>
      </x:c>
    </x:row>
    <x:row r="1429" ht="64" customHeight="1">
      <x:c r="A1429" s="10" t="str">
        <x:v>Systeme Electric</x:v>
      </x:c>
      <x:c r="B1429" s="34" t="str">
        <x:v>300200801_</x:v>
      </x:c>
      <x:c r="C1429" s="34" t="str">
        <x:v>GAL440301</x:v>
      </x:c>
      <x:c r="D1429" s="13" t="str">
        <x:v>G018 Рамка 1-ная IP44 "ARTGALLERY" алюминий GAL440301 (10)</x:v>
      </x:c>
      <x:c r="E1429" s="10" t="str">
        <x:v>шт</x:v>
      </x:c>
      <x:c r="F1429" s="37" t="n">
        <x:f>MAX(0,ROUNDDOWN((AG1429-AF1429)/AR1429+0.000000001,0)*AR1429)</x:f>
        <x:v>39</x:v>
      </x:c>
      <x:c r="G1429" s="21" t="str">
        <x:f>IF(J1429="Рассчитано",V1429*(1-R1429/100)-W1429-P1429-Q1429,"н/д")</x:f>
        <x:v>н/д</x:v>
      </x:c>
      <x:c r="H1429" s="13" t="str">
        <x:v>Средний</x:v>
      </x:c>
      <x:c r="I1429" s="13" t="str">
        <x:v>Высокий</x:v>
      </x:c>
      <x:c r="J1429" s="13" t="str">
        <x:f>IF(L1429="","Укажите валюту",IF(NOT(ISNUMBER(K1429)),"Укажите объём",IF(K1429&lt;=0,"Укажите объём",IF(K1429&gt;F1429,"Объём выше излишка",IF(COUNT(M1429:O1429)&lt;3,"Нужны цены",IF(COUNT(P1429:R1429)&lt;3,"Нужны расходы",IF(OR(M1429&lt;0,N1429&lt;0,O1429&lt;0,O1429&gt;100,P1429&lt;0,Q1429&lt;0,R1429&lt;0,R1429&gt;100),"Проверьте значения","Рассчитано")))))))</x:f>
        <x:v>Нужны цены</x:v>
      </x:c>
      <x:c r="K1429" s="36" t="n">
        <x:v>39</x:v>
      </x:c>
      <x:c r="L1429" s="19" t="str">
        <x:v>KZT</x:v>
      </x:c>
      <x:c r="M1429" s="22"/>
      <x:c r="N1429" s="22"/>
      <x:c r="O1429" s="28"/>
      <x:c r="P1429" s="22"/>
      <x:c r="Q1429" s="22"/>
      <x:c r="R1429" s="28"/>
      <x:c r="S1429" s="22"/>
      <x:c r="T1429" s="37" t="n">
        <x:f>K1429</x:f>
        <x:v>39</x:v>
      </x:c>
      <x:c r="U1429" s="21" t="str">
        <x:f>IF(J1429="Рассчитано",N1429*(1-O1429/100),"н/д")</x:f>
        <x:v>н/д</x:v>
      </x:c>
      <x:c r="V1429" s="21" t="str">
        <x:f>IF(J1429="Рассчитано",T1429*U1429,"н/д")</x:f>
        <x:v>н/д</x:v>
      </x:c>
      <x:c r="W1429" s="21" t="str">
        <x:f>IF(J1429="Рассчитано",T1429*M1429,"н/д")</x:f>
        <x:v>н/д</x:v>
      </x:c>
      <x:c r="X1429" s="21" t="str">
        <x:f>IF(J1429="Рассчитано",V1429-W1429,"н/д")</x:f>
        <x:v>н/д</x:v>
      </x:c>
      <x:c r="Y1429" s="27" t="str">
        <x:f>IF(J1429="Рассчитано",IF(V1429&gt;0,G1429/V1429,"н/д"),"н/д")</x:f>
        <x:v>н/д</x:v>
      </x:c>
      <x:c r="Z1429" s="21" t="str">
        <x:f>"н/д"</x:f>
        <x:v>н/д</x:v>
      </x:c>
      <x:c r="AA1429" s="21" t="str">
        <x:f>"н/д"</x:f>
        <x:v>н/д</x:v>
      </x:c>
      <x:c r="AB1429" s="21" t="str">
        <x:f>"н/д"</x:f>
        <x:v>н/д</x:v>
      </x:c>
      <x:c r="AC1429" s="21" t="str">
        <x:f>IF(AND(J1429="Рассчитано",T1429&gt;0,R1429&lt;100),(W1429+P1429+Q1429)/(T1429*(1-R1429/100)),"н/д")</x:f>
        <x:v>н/д</x:v>
      </x:c>
      <x:c r="AD1429" s="10" t="str">
        <x:f>IF(ISNUMBER(G1429),IF(G1429&lt;0,"Убыток",IF(G1429=0,"Без прибыли","Прибыль &gt; 0")),"Не оценён")</x:f>
        <x:v>Не оценён</x:v>
      </x:c>
      <x:c r="AE1429" s="13" t="str">
        <x:f>IF(J1429="Рассчитано","Выручка "&amp;TEXT(V1429,"0.00")&amp;" - себестоимость "&amp;TEXT(W1429,"0.00")&amp;" - комиссия "&amp;TEXT(V1429*R1429/100,"0.00")&amp;" - доставка "&amp;TEXT(P1429,"0.00")&amp;" - прочие "&amp;TEXT(Q1429,"0.00")&amp;" = "&amp;TEXT(G1429,"0.00")&amp;" "&amp;L1429,"Введите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9" s="24" t="n">
        <x:v>9.174032669805342</x:v>
      </x:c>
      <x:c r="AG1429" s="37" t="n">
        <x:v>49</x:v>
      </x:c>
      <x:c r="AH1429" s="37" t="n">
        <x:v>0</x:v>
      </x:c>
      <x:c r="AI1429" s="30" t="n">
        <x:v>46287</x:v>
      </x:c>
      <x:c r="AJ1429" s="37" t="n">
        <x:v>10</x:v>
      </x:c>
      <x:c r="AK1429" s="10" t="str">
        <x:v>кратность</x:v>
      </x:c>
      <x:c r="AL1429" s="32" t="n">
        <x:v>455.40917607423324</x:v>
      </x:c>
      <x:c r="AM1429" s="13" t="str">
        <x:v>Нет ежедневных данных доступности. Запас более 180 дней при среднем спросе</x:v>
      </x:c>
      <x:c r="AN1429" s="13" t="str">
        <x:v>Проверить свободный остаток и установить цену для B2B</x:v>
      </x:c>
      <x:c r="AO1429" s="13" t="str">
        <x:v>Остаток 49; прогноз 90 дней 9.17; избыток 39 шт. Будущие поступления не выставляются на продажу.</x:v>
      </x:c>
      <x:c r="AP1429" s="13" t="str">
        <x:v>["daily_stockout_data_missing", "negative_net_sales_clipped_for_forecast", "new_order_lead_time_unknown"]</x:v>
      </x:c>
      <x:c r="AQ1429" s="10" t="str">
        <x:v>SE:300200801_</x:v>
      </x:c>
      <x:c r="AR1429" s="24" t="n">
        <x:v>1</x:v>
      </x:c>
      <x:c r="AS1429" s="24" t="n">
        <x:v>0</x:v>
      </x:c>
      <x:c r="AT1429" s="24" t="n">
        <x:v>0</x:v>
      </x:c>
    </x:row>
    <x:row r="1430" ht="64" customHeight="1">
      <x:c r="A1430" s="11" t="str">
        <x:v>Systeme Electric</x:v>
      </x:c>
      <x:c r="B1430" s="33" t="str">
        <x:v>300200802_</x:v>
      </x:c>
      <x:c r="C1430" s="33" t="str">
        <x:v>GAL440302</x:v>
      </x:c>
      <x:c r="D1430" s="12" t="str">
        <x:v>G019 Рамка 2-ная IP44 "ARTGALLERY" алюминий GAL440302 (5)</x:v>
      </x:c>
      <x:c r="E1430" s="11" t="str">
        <x:v>шт</x:v>
      </x:c>
      <x:c r="F1430" s="35" t="n">
        <x:f>MAX(0,ROUNDDOWN((AG1430-AF1430)/AR1430+0.000000001,0)*AR1430)</x:f>
        <x:v>114</x:v>
      </x:c>
      <x:c r="G1430" s="20" t="str">
        <x:f>IF(J1430="Рассчитано",V1430*(1-R1430/100)-W1430-P1430-Q1430,"н/д")</x:f>
        <x:v>н/д</x:v>
      </x:c>
      <x:c r="H1430" s="12" t="str">
        <x:v>Средний</x:v>
      </x:c>
      <x:c r="I1430" s="12" t="str">
        <x:v>Высокий</x:v>
      </x:c>
      <x:c r="J1430" s="12" t="str">
        <x:f>IF(L1430="","Укажите валюту",IF(NOT(ISNUMBER(K1430)),"Укажите объём",IF(K1430&lt;=0,"Укажите объём",IF(K1430&gt;F1430,"Объём выше излишка",IF(COUNT(M1430:O1430)&lt;3,"Нужны цены",IF(COUNT(P1430:R1430)&lt;3,"Нужны расходы",IF(OR(M1430&lt;0,N1430&lt;0,O1430&lt;0,O1430&gt;100,P1430&lt;0,Q1430&lt;0,R1430&lt;0,R1430&gt;100),"Проверьте значения","Рассчитано")))))))</x:f>
        <x:v>Нужны цены</x:v>
      </x:c>
      <x:c r="K1430" s="36" t="n">
        <x:v>114</x:v>
      </x:c>
      <x:c r="L1430" s="19" t="str">
        <x:v>KZT</x:v>
      </x:c>
      <x:c r="M1430" s="22"/>
      <x:c r="N1430" s="22"/>
      <x:c r="O1430" s="28"/>
      <x:c r="P1430" s="22"/>
      <x:c r="Q1430" s="22"/>
      <x:c r="R1430" s="28"/>
      <x:c r="S1430" s="22"/>
      <x:c r="T1430" s="35" t="n">
        <x:f>K1430</x:f>
        <x:v>114</x:v>
      </x:c>
      <x:c r="U1430" s="20" t="str">
        <x:f>IF(J1430="Рассчитано",N1430*(1-O1430/100),"н/д")</x:f>
        <x:v>н/д</x:v>
      </x:c>
      <x:c r="V1430" s="20" t="str">
        <x:f>IF(J1430="Рассчитано",T1430*U1430,"н/д")</x:f>
        <x:v>н/д</x:v>
      </x:c>
      <x:c r="W1430" s="20" t="str">
        <x:f>IF(J1430="Рассчитано",T1430*M1430,"н/д")</x:f>
        <x:v>н/д</x:v>
      </x:c>
      <x:c r="X1430" s="20" t="str">
        <x:f>IF(J1430="Рассчитано",V1430-W1430,"н/д")</x:f>
        <x:v>н/д</x:v>
      </x:c>
      <x:c r="Y1430" s="26" t="str">
        <x:f>IF(J1430="Рассчитано",IF(V1430&gt;0,G1430/V1430,"н/д"),"н/д")</x:f>
        <x:v>н/д</x:v>
      </x:c>
      <x:c r="Z1430" s="20" t="str">
        <x:f>"н/д"</x:f>
        <x:v>н/д</x:v>
      </x:c>
      <x:c r="AA1430" s="20" t="str">
        <x:f>"н/д"</x:f>
        <x:v>н/д</x:v>
      </x:c>
      <x:c r="AB1430" s="20" t="str">
        <x:f>"н/д"</x:f>
        <x:v>н/д</x:v>
      </x:c>
      <x:c r="AC1430" s="20" t="str">
        <x:f>IF(AND(J1430="Рассчитано",T1430&gt;0,R1430&lt;100),(W1430+P1430+Q1430)/(T1430*(1-R1430/100)),"н/д")</x:f>
        <x:v>н/д</x:v>
      </x:c>
      <x:c r="AD1430" s="11" t="str">
        <x:f>IF(ISNUMBER(G1430),IF(G1430&lt;0,"Убыток",IF(G1430=0,"Без прибыли","Прибыль &gt; 0")),"Не оценён")</x:f>
        <x:v>Не оценён</x:v>
      </x:c>
      <x:c r="AE1430" s="12" t="str">
        <x:f>IF(J1430="Рассчитано","Выручка "&amp;TEXT(V1430,"0.00")&amp;" - себестоимость "&amp;TEXT(W1430,"0.00")&amp;" - комиссия "&amp;TEXT(V1430*R1430/100,"0.00")&amp;" - доставка "&amp;TEXT(P1430,"0.00")&amp;" - прочие "&amp;TEXT(Q1430,"0.00")&amp;" = "&amp;TEXT(G1430,"0.00")&amp;" "&amp;L1430,"Введите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0" s="23" t="n">
        <x:v>12.040808720086247</x:v>
      </x:c>
      <x:c r="AG1430" s="35" t="n">
        <x:v>127</x:v>
      </x:c>
      <x:c r="AH1430" s="35" t="n">
        <x:v>0</x:v>
      </x:c>
      <x:c r="AI1430" s="29" t="n">
        <x:v>46287</x:v>
      </x:c>
      <x:c r="AJ1430" s="35" t="n">
        <x:v>5</x:v>
      </x:c>
      <x:c r="AK1430" s="11" t="str">
        <x:v>кратность</x:v>
      </x:c>
      <x:c r="AL1430" s="31" t="n">
        <x:v>899.3195676927545</x:v>
      </x:c>
      <x:c r="AM1430" s="12" t="str">
        <x:v>Нет ежедневных данных доступности. Запас более 180 дней при среднем спросе</x:v>
      </x:c>
      <x:c r="AN1430" s="12" t="str">
        <x:v>Проверить свободный остаток и установить цену для B2B</x:v>
      </x:c>
      <x:c r="AO1430" s="12" t="str">
        <x:v>Остаток 127; прогноз 90 дней 12.04; избыток 114 шт. Будущие поступления не выставляются на продажу.</x:v>
      </x:c>
      <x:c r="AP1430" s="12" t="str">
        <x:v>["daily_stockout_data_missing", "negative_net_sales_clipped_for_forecast", "new_order_lead_time_unknown"]</x:v>
      </x:c>
      <x:c r="AQ1430" s="11" t="str">
        <x:v>SE:300200802_</x:v>
      </x:c>
      <x:c r="AR1430" s="23" t="n">
        <x:v>1</x:v>
      </x:c>
      <x:c r="AS1430" s="23" t="n">
        <x:v>0</x:v>
      </x:c>
      <x:c r="AT1430" s="23" t="n">
        <x:v>0</x:v>
      </x:c>
    </x:row>
    <x:row r="1431" ht="64" customHeight="1">
      <x:c r="A1431" s="10" t="str">
        <x:v>Systeme Electric</x:v>
      </x:c>
      <x:c r="B1431" s="34" t="str">
        <x:v>300200803_</x:v>
      </x:c>
      <x:c r="C1431" s="34" t="str">
        <x:v>GAL440346</x:v>
      </x:c>
      <x:c r="D1431" s="13" t="str">
        <x:v>G020 Роз. с з/к с/ш с крышкой 16A механизм IP44 "ARTGALLERY" алюминий GAL440346 (10)</x:v>
      </x:c>
      <x:c r="E1431" s="10" t="str">
        <x:v>шт</x:v>
      </x:c>
      <x:c r="F1431" s="37" t="n">
        <x:f>MAX(0,ROUNDDOWN((AG1431-AF1431)/AR1431+0.000000001,0)*AR1431)</x:f>
        <x:v>59</x:v>
      </x:c>
      <x:c r="G1431" s="21" t="str">
        <x:f>IF(J1431="Рассчитано",V1431*(1-R1431/100)-W1431-P1431-Q1431,"н/д")</x:f>
        <x:v>н/д</x:v>
      </x:c>
      <x:c r="H1431" s="13" t="str">
        <x:v>Средний</x:v>
      </x:c>
      <x:c r="I1431" s="13" t="str">
        <x:v>Высокий</x:v>
      </x:c>
      <x:c r="J1431" s="13" t="str">
        <x:f>IF(L1431="","Укажите валюту",IF(NOT(ISNUMBER(K1431)),"Укажите объём",IF(K1431&lt;=0,"Укажите объём",IF(K1431&gt;F1431,"Объём выше излишка",IF(COUNT(M1431:O1431)&lt;3,"Нужны цены",IF(COUNT(P1431:R1431)&lt;3,"Нужны расходы",IF(OR(M1431&lt;0,N1431&lt;0,O1431&lt;0,O1431&gt;100,P1431&lt;0,Q1431&lt;0,R1431&lt;0,R1431&gt;100),"Проверьте значения","Рассчитано")))))))</x:f>
        <x:v>Нужны цены</x:v>
      </x:c>
      <x:c r="K1431" s="36" t="n">
        <x:v>59</x:v>
      </x:c>
      <x:c r="L1431" s="19" t="str">
        <x:v>KZT</x:v>
      </x:c>
      <x:c r="M1431" s="22"/>
      <x:c r="N1431" s="22"/>
      <x:c r="O1431" s="28"/>
      <x:c r="P1431" s="22"/>
      <x:c r="Q1431" s="22"/>
      <x:c r="R1431" s="28"/>
      <x:c r="S1431" s="22"/>
      <x:c r="T1431" s="37" t="n">
        <x:f>K1431</x:f>
        <x:v>59</x:v>
      </x:c>
      <x:c r="U1431" s="21" t="str">
        <x:f>IF(J1431="Рассчитано",N1431*(1-O1431/100),"н/д")</x:f>
        <x:v>н/д</x:v>
      </x:c>
      <x:c r="V1431" s="21" t="str">
        <x:f>IF(J1431="Рассчитано",T1431*U1431,"н/д")</x:f>
        <x:v>н/д</x:v>
      </x:c>
      <x:c r="W1431" s="21" t="str">
        <x:f>IF(J1431="Рассчитано",T1431*M1431,"н/д")</x:f>
        <x:v>н/д</x:v>
      </x:c>
      <x:c r="X1431" s="21" t="str">
        <x:f>IF(J1431="Рассчитано",V1431-W1431,"н/д")</x:f>
        <x:v>н/д</x:v>
      </x:c>
      <x:c r="Y1431" s="27" t="str">
        <x:f>IF(J1431="Рассчитано",IF(V1431&gt;0,G1431/V1431,"н/д"),"н/д")</x:f>
        <x:v>н/д</x:v>
      </x:c>
      <x:c r="Z1431" s="21" t="str">
        <x:f>"н/д"</x:f>
        <x:v>н/д</x:v>
      </x:c>
      <x:c r="AA1431" s="21" t="str">
        <x:f>"н/д"</x:f>
        <x:v>н/д</x:v>
      </x:c>
      <x:c r="AB1431" s="21" t="str">
        <x:f>"н/д"</x:f>
        <x:v>н/д</x:v>
      </x:c>
      <x:c r="AC1431" s="21" t="str">
        <x:f>IF(AND(J1431="Рассчитано",T1431&gt;0,R1431&lt;100),(W1431+P1431+Q1431)/(T1431*(1-R1431/100)),"н/д")</x:f>
        <x:v>н/д</x:v>
      </x:c>
      <x:c r="AD1431" s="10" t="str">
        <x:f>IF(ISNUMBER(G1431),IF(G1431&lt;0,"Убыток",IF(G1431=0,"Без прибыли","Прибыль &gt; 0")),"Не оценён")</x:f>
        <x:v>Не оценён</x:v>
      </x:c>
      <x:c r="AE1431" s="13" t="str">
        <x:f>IF(J1431="Рассчитано","Выручка "&amp;TEXT(V1431,"0.00")&amp;" - себестоимость "&amp;TEXT(W1431,"0.00")&amp;" - комиссия "&amp;TEXT(V1431*R1431/100,"0.00")&amp;" - доставка "&amp;TEXT(P1431,"0.00")&amp;" - прочие "&amp;TEXT(Q1431,"0.00")&amp;" = "&amp;TEXT(G1431,"0.00")&amp;" "&amp;L1431,"Введите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1" s="24" t="n">
        <x:v>12.022508129348505</x:v>
      </x:c>
      <x:c r="AG1431" s="37" t="n">
        <x:v>72</x:v>
      </x:c>
      <x:c r="AH1431" s="37" t="n">
        <x:v>0</x:v>
      </x:c>
      <x:c r="AI1431" s="30" t="n">
        <x:v>46287</x:v>
      </x:c>
      <x:c r="AJ1431" s="37" t="n">
        <x:v>10</x:v>
      </x:c>
      <x:c r="AK1431" s="10" t="str">
        <x:v>кратность</x:v>
      </x:c>
      <x:c r="AL1431" s="32" t="n">
        <x:v>510.62655493273064</x:v>
      </x:c>
      <x:c r="AM1431" s="13" t="str">
        <x:v>Нет ежедневных данных доступности. Запас более 180 дней при среднем спросе</x:v>
      </x:c>
      <x:c r="AN1431" s="13" t="str">
        <x:v>Проверить свободный остаток и установить цену для B2B</x:v>
      </x:c>
      <x:c r="AO1431" s="13" t="str">
        <x:v>Остаток 72; прогноз 90 дней 12.02; избыток 59 шт. Будущие поступления не выставляются на продажу.</x:v>
      </x:c>
      <x:c r="AP1431" s="13" t="str">
        <x:v>["daily_stockout_data_missing", "negative_net_sales_clipped_for_forecast", "new_order_lead_time_unknown"]</x:v>
      </x:c>
      <x:c r="AQ1431" s="10" t="str">
        <x:v>SE:300200803_</x:v>
      </x:c>
      <x:c r="AR1431" s="24" t="n">
        <x:v>1</x:v>
      </x:c>
      <x:c r="AS1431" s="24" t="n">
        <x:v>0</x:v>
      </x:c>
      <x:c r="AT1431" s="24" t="n">
        <x:v>0</x:v>
      </x:c>
    </x:row>
    <x:row r="1432" ht="64" customHeight="1">
      <x:c r="A1432" s="11" t="str">
        <x:v>Systeme Electric</x:v>
      </x:c>
      <x:c r="B1432" s="33" t="str">
        <x:v>300200804_</x:v>
      </x:c>
      <x:c r="C1432" s="33" t="str">
        <x:v>GAL000315</x:v>
      </x:c>
      <x:c r="D1432" s="12" t="str">
        <x:v>G021 Выкл. 1 кл кнопочный 10А механизм "ARTGALLERY" алюминий GAL0315 (5)</x:v>
      </x:c>
      <x:c r="E1432" s="11" t="str">
        <x:v>шт</x:v>
      </x:c>
      <x:c r="F1432" s="35" t="n">
        <x:f>MAX(0,ROUNDDOWN((AG1432-AF1432)/AR1432+0.000000001,0)*AR1432)</x:f>
        <x:v>59</x:v>
      </x:c>
      <x:c r="G1432" s="20" t="str">
        <x:f>IF(J1432="Рассчитано",V1432*(1-R1432/100)-W1432-P1432-Q1432,"н/д")</x:f>
        <x:v>н/д</x:v>
      </x:c>
      <x:c r="H1432" s="12" t="str">
        <x:v>Средний</x:v>
      </x:c>
      <x:c r="I1432" s="12" t="str">
        <x:v>Высокий</x:v>
      </x:c>
      <x:c r="J1432" s="12" t="str">
        <x:f>IF(L1432="","Укажите валюту",IF(NOT(ISNUMBER(K1432)),"Укажите объём",IF(K1432&lt;=0,"Укажите объём",IF(K1432&gt;F1432,"Объём выше излишка",IF(COUNT(M1432:O1432)&lt;3,"Нужны цены",IF(COUNT(P1432:R1432)&lt;3,"Нужны расходы",IF(OR(M1432&lt;0,N1432&lt;0,O1432&lt;0,O1432&gt;100,P1432&lt;0,Q1432&lt;0,R1432&lt;0,R1432&gt;100),"Проверьте значения","Рассчитано")))))))</x:f>
        <x:v>Нужны цены</x:v>
      </x:c>
      <x:c r="K1432" s="36" t="n">
        <x:v>59</x:v>
      </x:c>
      <x:c r="L1432" s="19" t="str">
        <x:v>KZT</x:v>
      </x:c>
      <x:c r="M1432" s="22"/>
      <x:c r="N1432" s="22"/>
      <x:c r="O1432" s="28"/>
      <x:c r="P1432" s="22"/>
      <x:c r="Q1432" s="22"/>
      <x:c r="R1432" s="28"/>
      <x:c r="S1432" s="22"/>
      <x:c r="T1432" s="35" t="n">
        <x:f>K1432</x:f>
        <x:v>59</x:v>
      </x:c>
      <x:c r="U1432" s="20" t="str">
        <x:f>IF(J1432="Рассчитано",N1432*(1-O1432/100),"н/д")</x:f>
        <x:v>н/д</x:v>
      </x:c>
      <x:c r="V1432" s="20" t="str">
        <x:f>IF(J1432="Рассчитано",T1432*U1432,"н/д")</x:f>
        <x:v>н/д</x:v>
      </x:c>
      <x:c r="W1432" s="20" t="str">
        <x:f>IF(J1432="Рассчитано",T1432*M1432,"н/д")</x:f>
        <x:v>н/д</x:v>
      </x:c>
      <x:c r="X1432" s="20" t="str">
        <x:f>IF(J1432="Рассчитано",V1432-W1432,"н/д")</x:f>
        <x:v>н/д</x:v>
      </x:c>
      <x:c r="Y1432" s="26" t="str">
        <x:f>IF(J1432="Рассчитано",IF(V1432&gt;0,G1432/V1432,"н/д"),"н/д")</x:f>
        <x:v>н/д</x:v>
      </x:c>
      <x:c r="Z1432" s="20" t="str">
        <x:f>"н/д"</x:f>
        <x:v>н/д</x:v>
      </x:c>
      <x:c r="AA1432" s="20" t="str">
        <x:f>"н/д"</x:f>
        <x:v>н/д</x:v>
      </x:c>
      <x:c r="AB1432" s="20" t="str">
        <x:f>"н/д"</x:f>
        <x:v>н/д</x:v>
      </x:c>
      <x:c r="AC1432" s="20" t="str">
        <x:f>IF(AND(J1432="Рассчитано",T1432&gt;0,R1432&lt;100),(W1432+P1432+Q1432)/(T1432*(1-R1432/100)),"н/д")</x:f>
        <x:v>н/д</x:v>
      </x:c>
      <x:c r="AD1432" s="11" t="str">
        <x:f>IF(ISNUMBER(G1432),IF(G1432&lt;0,"Убыток",IF(G1432=0,"Без прибыли","Прибыль &gt; 0")),"Не оценён")</x:f>
        <x:v>Не оценён</x:v>
      </x:c>
      <x:c r="AE1432" s="12" t="str">
        <x:f>IF(J1432="Рассчитано","Выручка "&amp;TEXT(V1432,"0.00")&amp;" - себестоимость "&amp;TEXT(W1432,"0.00")&amp;" - комиссия "&amp;TEXT(V1432*R1432/100,"0.00")&amp;" - доставка "&amp;TEXT(P1432,"0.00")&amp;" - прочие "&amp;TEXT(Q1432,"0.00")&amp;" = "&amp;TEXT(G1432,"0.00")&amp;" "&amp;L1432,"Введите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2" s="23" t="n">
        <x:v>0</x:v>
      </x:c>
      <x:c r="AG1432" s="35" t="n">
        <x:v>59</x:v>
      </x:c>
      <x:c r="AH1432" s="35" t="n">
        <x:v>0</x:v>
      </x:c>
      <x:c r="AI1432" s="29" t="n">
        <x:v>46287</x:v>
      </x:c>
      <x:c r="AJ1432" s="35" t="n">
        <x:v>5</x:v>
      </x:c>
      <x:c r="AK1432" s="11" t="str">
        <x:v>кратность</x:v>
      </x:c>
      <x:c r="AL1432" s="31" t="str">
        <x:v>н/д</x:v>
      </x:c>
      <x:c r="AM1432" s="12" t="str">
        <x:v>Нет ежедневных данных доступности. Нет положительных чистых продаж за 12 месяцев</x:v>
      </x:c>
      <x:c r="AN1432" s="12" t="str">
        <x:v>Проверить свободный остаток и установить цену для B2B</x:v>
      </x:c>
      <x:c r="AO1432" s="12" t="str">
        <x:v>Остаток 59; прогноз 90 дней 0.00; избыток 59 шт. Будущие поступления не выставляются на продажу.</x:v>
      </x:c>
      <x:c r="AP1432" s="12" t="str">
        <x:v>["daily_stockout_data_missing", "negative_net_sales_clipped_for_forecast", "new_order_lead_time_unknown"]</x:v>
      </x:c>
      <x:c r="AQ1432" s="11" t="str">
        <x:v>SE:300200804_</x:v>
      </x:c>
      <x:c r="AR1432" s="23" t="n">
        <x:v>1</x:v>
      </x:c>
      <x:c r="AS1432" s="23" t="n">
        <x:v>0</x:v>
      </x:c>
      <x:c r="AT1432" s="23" t="n">
        <x:v>0</x:v>
      </x:c>
    </x:row>
    <x:row r="1433" ht="64" customHeight="1">
      <x:c r="A1433" s="10" t="str">
        <x:v>Systeme Electric</x:v>
      </x:c>
      <x:c r="B1433" s="34" t="str">
        <x:v>300200805_</x:v>
      </x:c>
      <x:c r="C1433" s="34" t="str">
        <x:v>GAL000399</x:v>
      </x:c>
      <x:c r="D1433" s="13" t="str">
        <x:v>G022 Вывод кабеля механизм "ARTGALLERY" алюминий GAL0399 (5)</x:v>
      </x:c>
      <x:c r="E1433" s="10" t="str">
        <x:v>шт</x:v>
      </x:c>
      <x:c r="F1433" s="37" t="n">
        <x:f>MAX(0,ROUNDDOWN((AG1433-AF1433)/AR1433+0.000000001,0)*AR1433)</x:f>
        <x:v>43</x:v>
      </x:c>
      <x:c r="G1433" s="21" t="str">
        <x:f>IF(J1433="Рассчитано",V1433*(1-R1433/100)-W1433-P1433-Q1433,"н/д")</x:f>
        <x:v>н/д</x:v>
      </x:c>
      <x:c r="H1433" s="13" t="str">
        <x:v>Средний</x:v>
      </x:c>
      <x:c r="I1433" s="13" t="str">
        <x:v>Высокий</x:v>
      </x:c>
      <x:c r="J1433" s="13" t="str">
        <x:f>IF(L1433="","Укажите валюту",IF(NOT(ISNUMBER(K1433)),"Укажите объём",IF(K1433&lt;=0,"Укажите объём",IF(K1433&gt;F1433,"Объём выше излишка",IF(COUNT(M1433:O1433)&lt;3,"Нужны цены",IF(COUNT(P1433:R1433)&lt;3,"Нужны расходы",IF(OR(M1433&lt;0,N1433&lt;0,O1433&lt;0,O1433&gt;100,P1433&lt;0,Q1433&lt;0,R1433&lt;0,R1433&gt;100),"Проверьте значения","Рассчитано")))))))</x:f>
        <x:v>Нужны цены</x:v>
      </x:c>
      <x:c r="K1433" s="36" t="n">
        <x:v>43</x:v>
      </x:c>
      <x:c r="L1433" s="19" t="str">
        <x:v>KZT</x:v>
      </x:c>
      <x:c r="M1433" s="22"/>
      <x:c r="N1433" s="22"/>
      <x:c r="O1433" s="28"/>
      <x:c r="P1433" s="22"/>
      <x:c r="Q1433" s="22"/>
      <x:c r="R1433" s="28"/>
      <x:c r="S1433" s="22"/>
      <x:c r="T1433" s="37" t="n">
        <x:f>K1433</x:f>
        <x:v>43</x:v>
      </x:c>
      <x:c r="U1433" s="21" t="str">
        <x:f>IF(J1433="Рассчитано",N1433*(1-O1433/100),"н/д")</x:f>
        <x:v>н/д</x:v>
      </x:c>
      <x:c r="V1433" s="21" t="str">
        <x:f>IF(J1433="Рассчитано",T1433*U1433,"н/д")</x:f>
        <x:v>н/д</x:v>
      </x:c>
      <x:c r="W1433" s="21" t="str">
        <x:f>IF(J1433="Рассчитано",T1433*M1433,"н/д")</x:f>
        <x:v>н/д</x:v>
      </x:c>
      <x:c r="X1433" s="21" t="str">
        <x:f>IF(J1433="Рассчитано",V1433-W1433,"н/д")</x:f>
        <x:v>н/д</x:v>
      </x:c>
      <x:c r="Y1433" s="27" t="str">
        <x:f>IF(J1433="Рассчитано",IF(V1433&gt;0,G1433/V1433,"н/д"),"н/д")</x:f>
        <x:v>н/д</x:v>
      </x:c>
      <x:c r="Z1433" s="21" t="str">
        <x:f>"н/д"</x:f>
        <x:v>н/д</x:v>
      </x:c>
      <x:c r="AA1433" s="21" t="str">
        <x:f>"н/д"</x:f>
        <x:v>н/д</x:v>
      </x:c>
      <x:c r="AB1433" s="21" t="str">
        <x:f>"н/д"</x:f>
        <x:v>н/д</x:v>
      </x:c>
      <x:c r="AC1433" s="21" t="str">
        <x:f>IF(AND(J1433="Рассчитано",T1433&gt;0,R1433&lt;100),(W1433+P1433+Q1433)/(T1433*(1-R1433/100)),"н/д")</x:f>
        <x:v>н/д</x:v>
      </x:c>
      <x:c r="AD1433" s="10" t="str">
        <x:f>IF(ISNUMBER(G1433),IF(G1433&lt;0,"Убыток",IF(G1433=0,"Без прибыли","Прибыль &gt; 0")),"Не оценён")</x:f>
        <x:v>Не оценён</x:v>
      </x:c>
      <x:c r="AE1433" s="13" t="str">
        <x:f>IF(J1433="Рассчитано","Выручка "&amp;TEXT(V1433,"0.00")&amp;" - себестоимость "&amp;TEXT(W1433,"0.00")&amp;" - комиссия "&amp;TEXT(V1433*R1433/100,"0.00")&amp;" - доставка "&amp;TEXT(P1433,"0.00")&amp;" - прочие "&amp;TEXT(Q1433,"0.00")&amp;" = "&amp;TEXT(G1433,"0.00")&amp;" "&amp;L1433,"Введите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3" s="24" t="n">
        <x:v>5.278579633640217</x:v>
      </x:c>
      <x:c r="AG1433" s="37" t="n">
        <x:v>49</x:v>
      </x:c>
      <x:c r="AH1433" s="37" t="n">
        <x:v>0</x:v>
      </x:c>
      <x:c r="AI1433" s="30" t="n">
        <x:v>46287</x:v>
      </x:c>
      <x:c r="AJ1433" s="37" t="n">
        <x:v>5</x:v>
      </x:c>
      <x:c r="AK1433" s="10" t="str">
        <x:v>кратность</x:v>
      </x:c>
      <x:c r="AL1433" s="32" t="n">
        <x:v>791.4891787950472</x:v>
      </x:c>
      <x:c r="AM1433" s="13" t="str">
        <x:v>Нет ежедневных данных доступности. Нет положительных чистых продаж за 12 месяцев</x:v>
      </x:c>
      <x:c r="AN1433" s="13" t="str">
        <x:v>Проверить свободный остаток и установить цену для B2B</x:v>
      </x:c>
      <x:c r="AO1433" s="13" t="str">
        <x:v>Остаток 49; прогноз 90 дней 5.28; избыток 43 шт. Будущие поступления не выставляются на продажу.</x:v>
      </x:c>
      <x:c r="AP1433" s="13" t="str">
        <x:v>["daily_stockout_data_missing", "negative_net_sales_clipped_for_forecast", "new_order_lead_time_unknown"]</x:v>
      </x:c>
      <x:c r="AQ1433" s="10" t="str">
        <x:v>SE:300200805_</x:v>
      </x:c>
      <x:c r="AR1433" s="24" t="n">
        <x:v>1</x:v>
      </x:c>
      <x:c r="AS1433" s="24" t="n">
        <x:v>0</x:v>
      </x:c>
      <x:c r="AT1433" s="24" t="n">
        <x:v>0</x:v>
      </x:c>
    </x:row>
    <x:row r="1434" ht="64" customHeight="1">
      <x:c r="A1434" s="11" t="str">
        <x:v>Systeme Electric</x:v>
      </x:c>
      <x:c r="B1434" s="33" t="str">
        <x:v>300200806_</x:v>
      </x:c>
      <x:c r="C1434" s="33" t="str">
        <x:v>GAL000389</x:v>
      </x:c>
      <x:c r="D1434" s="12" t="str">
        <x:v>G023 Роз. 2-ная TV комп. RJ45 5Е "ARTGALLERY" алюминий GAL0389 (5)</x:v>
      </x:c>
      <x:c r="E1434" s="11" t="str">
        <x:v>шт</x:v>
      </x:c>
      <x:c r="F1434" s="35" t="n">
        <x:f>MAX(0,ROUNDDOWN((AG1434-AF1434)/AR1434+0.000000001,0)*AR1434)</x:f>
        <x:v>54</x:v>
      </x:c>
      <x:c r="G1434" s="20" t="str">
        <x:f>IF(J1434="Рассчитано",V1434*(1-R1434/100)-W1434-P1434-Q1434,"н/д")</x:f>
        <x:v>н/д</x:v>
      </x:c>
      <x:c r="H1434" s="12" t="str">
        <x:v>Средний</x:v>
      </x:c>
      <x:c r="I1434" s="12" t="str">
        <x:v>Высокий</x:v>
      </x:c>
      <x:c r="J1434" s="12" t="str">
        <x:f>IF(L1434="","Укажите валюту",IF(NOT(ISNUMBER(K1434)),"Укажите объём",IF(K1434&lt;=0,"Укажите объём",IF(K1434&gt;F1434,"Объём выше излишка",IF(COUNT(M1434:O1434)&lt;3,"Нужны цены",IF(COUNT(P1434:R1434)&lt;3,"Нужны расходы",IF(OR(M1434&lt;0,N1434&lt;0,O1434&lt;0,O1434&gt;100,P1434&lt;0,Q1434&lt;0,R1434&lt;0,R1434&gt;100),"Проверьте значения","Рассчитано")))))))</x:f>
        <x:v>Нужны цены</x:v>
      </x:c>
      <x:c r="K1434" s="36" t="n">
        <x:v>54</x:v>
      </x:c>
      <x:c r="L1434" s="19" t="str">
        <x:v>KZT</x:v>
      </x:c>
      <x:c r="M1434" s="22"/>
      <x:c r="N1434" s="22"/>
      <x:c r="O1434" s="28"/>
      <x:c r="P1434" s="22"/>
      <x:c r="Q1434" s="22"/>
      <x:c r="R1434" s="28"/>
      <x:c r="S1434" s="22"/>
      <x:c r="T1434" s="35" t="n">
        <x:f>K1434</x:f>
        <x:v>54</x:v>
      </x:c>
      <x:c r="U1434" s="20" t="str">
        <x:f>IF(J1434="Рассчитано",N1434*(1-O1434/100),"н/д")</x:f>
        <x:v>н/д</x:v>
      </x:c>
      <x:c r="V1434" s="20" t="str">
        <x:f>IF(J1434="Рассчитано",T1434*U1434,"н/д")</x:f>
        <x:v>н/д</x:v>
      </x:c>
      <x:c r="W1434" s="20" t="str">
        <x:f>IF(J1434="Рассчитано",T1434*M1434,"н/д")</x:f>
        <x:v>н/д</x:v>
      </x:c>
      <x:c r="X1434" s="20" t="str">
        <x:f>IF(J1434="Рассчитано",V1434-W1434,"н/д")</x:f>
        <x:v>н/д</x:v>
      </x:c>
      <x:c r="Y1434" s="26" t="str">
        <x:f>IF(J1434="Рассчитано",IF(V1434&gt;0,G1434/V1434,"н/д"),"н/д")</x:f>
        <x:v>н/д</x:v>
      </x:c>
      <x:c r="Z1434" s="20" t="str">
        <x:f>"н/д"</x:f>
        <x:v>н/д</x:v>
      </x:c>
      <x:c r="AA1434" s="20" t="str">
        <x:f>"н/д"</x:f>
        <x:v>н/д</x:v>
      </x:c>
      <x:c r="AB1434" s="20" t="str">
        <x:f>"н/д"</x:f>
        <x:v>н/д</x:v>
      </x:c>
      <x:c r="AC1434" s="20" t="str">
        <x:f>IF(AND(J1434="Рассчитано",T1434&gt;0,R1434&lt;100),(W1434+P1434+Q1434)/(T1434*(1-R1434/100)),"н/д")</x:f>
        <x:v>н/д</x:v>
      </x:c>
      <x:c r="AD1434" s="11" t="str">
        <x:f>IF(ISNUMBER(G1434),IF(G1434&lt;0,"Убыток",IF(G1434=0,"Без прибыли","Прибыль &gt; 0")),"Не оценён")</x:f>
        <x:v>Не оценён</x:v>
      </x:c>
      <x:c r="AE1434" s="12" t="str">
        <x:f>IF(J1434="Рассчитано","Выручка "&amp;TEXT(V1434,"0.00")&amp;" - себестоимость "&amp;TEXT(W1434,"0.00")&amp;" - комиссия "&amp;TEXT(V1434*R1434/100,"0.00")&amp;" - доставка "&amp;TEXT(P1434,"0.00")&amp;" - прочие "&amp;TEXT(Q1434,"0.00")&amp;" = "&amp;TEXT(G1434,"0.00")&amp;" "&amp;L1434,"Введите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4" s="23" t="n">
        <x:v>0.48175632152662146</x:v>
      </x:c>
      <x:c r="AG1434" s="35" t="n">
        <x:v>55</x:v>
      </x:c>
      <x:c r="AH1434" s="35" t="n">
        <x:v>0</x:v>
      </x:c>
      <x:c r="AI1434" s="29" t="n">
        <x:v>46287</x:v>
      </x:c>
      <x:c r="AJ1434" s="35" t="n">
        <x:v>5</x:v>
      </x:c>
      <x:c r="AK1434" s="11" t="str">
        <x:v>кратность</x:v>
      </x:c>
      <x:c r="AL1434" s="31" t="n">
        <x:v>9734.222002980001</x:v>
      </x:c>
      <x:c r="AM1434" s="12" t="str">
        <x:v>Нет ежедневных данных доступности. Нет положительных чистых продаж за 12 месяцев</x:v>
      </x:c>
      <x:c r="AN1434" s="12" t="str">
        <x:v>Проверить свободный остаток и установить цену для B2B</x:v>
      </x:c>
      <x:c r="AO1434" s="12" t="str">
        <x:v>Остаток 55; прогноз 90 дней 0.48; избыток 54 шт. Будущие поступления не выставляются на продажу.</x:v>
      </x:c>
      <x:c r="AP1434" s="12" t="str">
        <x:v>["daily_stockout_data_missing", "negative_net_sales_clipped_for_forecast", "new_order_lead_time_unknown"]</x:v>
      </x:c>
      <x:c r="AQ1434" s="11" t="str">
        <x:v>SE:300200806_</x:v>
      </x:c>
      <x:c r="AR1434" s="23" t="n">
        <x:v>1</x:v>
      </x:c>
      <x:c r="AS1434" s="23" t="n">
        <x:v>0</x:v>
      </x:c>
      <x:c r="AT1434" s="23" t="n">
        <x:v>0</x:v>
      </x:c>
    </x:row>
    <x:row r="1435" ht="64" customHeight="1">
      <x:c r="A1435" s="10" t="str">
        <x:v>Systeme Electric</x:v>
      </x:c>
      <x:c r="B1435" s="34" t="str">
        <x:v>300200807_</x:v>
      </x:c>
      <x:c r="C1435" s="34" t="str">
        <x:v>GAL000329</x:v>
      </x:c>
      <x:c r="D1435" s="13" t="str">
        <x:v>G024 Роз. USB A+C 45Вт высокоскор.заряд., механизм "ARTGALLERY" алюминий GAL0329 (1)</x:v>
      </x:c>
      <x:c r="E1435" s="10" t="str">
        <x:v>шт</x:v>
      </x:c>
      <x:c r="F1435" s="37" t="n">
        <x:f>MAX(0,ROUNDDOWN((AG1435-AF1435)/AR1435+0.000000001,0)*AR1435)</x:f>
        <x:v>10</x:v>
      </x:c>
      <x:c r="G1435" s="21" t="str">
        <x:f>IF(J1435="Рассчитано",V1435*(1-R1435/100)-W1435-P1435-Q1435,"н/д")</x:f>
        <x:v>н/д</x:v>
      </x:c>
      <x:c r="H1435" s="13" t="str">
        <x:v>Средний</x:v>
      </x:c>
      <x:c r="I1435" s="13" t="str">
        <x:v>Высокий</x:v>
      </x:c>
      <x:c r="J1435" s="13" t="str">
        <x:f>IF(L1435="","Укажите валюту",IF(NOT(ISNUMBER(K1435)),"Укажите объём",IF(K1435&lt;=0,"Укажите объём",IF(K1435&gt;F1435,"Объём выше излишка",IF(COUNT(M1435:O1435)&lt;3,"Нужны цены",IF(COUNT(P1435:R1435)&lt;3,"Нужны расходы",IF(OR(M1435&lt;0,N1435&lt;0,O1435&lt;0,O1435&gt;100,P1435&lt;0,Q1435&lt;0,R1435&lt;0,R1435&gt;100),"Проверьте значения","Рассчитано")))))))</x:f>
        <x:v>Нужны цены</x:v>
      </x:c>
      <x:c r="K1435" s="36" t="n">
        <x:v>10</x:v>
      </x:c>
      <x:c r="L1435" s="19" t="str">
        <x:v>KZT</x:v>
      </x:c>
      <x:c r="M1435" s="22"/>
      <x:c r="N1435" s="22"/>
      <x:c r="O1435" s="28"/>
      <x:c r="P1435" s="22"/>
      <x:c r="Q1435" s="22"/>
      <x:c r="R1435" s="28"/>
      <x:c r="S1435" s="22"/>
      <x:c r="T1435" s="37" t="n">
        <x:f>K1435</x:f>
        <x:v>10</x:v>
      </x:c>
      <x:c r="U1435" s="21" t="str">
        <x:f>IF(J1435="Рассчитано",N1435*(1-O1435/100),"н/д")</x:f>
        <x:v>н/д</x:v>
      </x:c>
      <x:c r="V1435" s="21" t="str">
        <x:f>IF(J1435="Рассчитано",T1435*U1435,"н/д")</x:f>
        <x:v>н/д</x:v>
      </x:c>
      <x:c r="W1435" s="21" t="str">
        <x:f>IF(J1435="Рассчитано",T1435*M1435,"н/д")</x:f>
        <x:v>н/д</x:v>
      </x:c>
      <x:c r="X1435" s="21" t="str">
        <x:f>IF(J1435="Рассчитано",V1435-W1435,"н/д")</x:f>
        <x:v>н/д</x:v>
      </x:c>
      <x:c r="Y1435" s="27" t="str">
        <x:f>IF(J1435="Рассчитано",IF(V1435&gt;0,G1435/V1435,"н/д"),"н/д")</x:f>
        <x:v>н/д</x:v>
      </x:c>
      <x:c r="Z1435" s="21" t="str">
        <x:f>"н/д"</x:f>
        <x:v>н/д</x:v>
      </x:c>
      <x:c r="AA1435" s="21" t="str">
        <x:f>"н/д"</x:f>
        <x:v>н/д</x:v>
      </x:c>
      <x:c r="AB1435" s="21" t="str">
        <x:f>"н/д"</x:f>
        <x:v>н/д</x:v>
      </x:c>
      <x:c r="AC1435" s="21" t="str">
        <x:f>IF(AND(J1435="Рассчитано",T1435&gt;0,R1435&lt;100),(W1435+P1435+Q1435)/(T1435*(1-R1435/100)),"н/д")</x:f>
        <x:v>н/д</x:v>
      </x:c>
      <x:c r="AD1435" s="10" t="str">
        <x:f>IF(ISNUMBER(G1435),IF(G1435&lt;0,"Убыток",IF(G1435=0,"Без прибыли","Прибыль &gt; 0")),"Не оценён")</x:f>
        <x:v>Не оценён</x:v>
      </x:c>
      <x:c r="AE1435" s="13" t="str">
        <x:f>IF(J1435="Рассчитано","Выручка "&amp;TEXT(V1435,"0.00")&amp;" - себестоимость "&amp;TEXT(W1435,"0.00")&amp;" - комиссия "&amp;TEXT(V1435*R1435/100,"0.00")&amp;" - доставка "&amp;TEXT(P1435,"0.00")&amp;" - прочие "&amp;TEXT(Q1435,"0.00")&amp;" = "&amp;TEXT(G1435,"0.00")&amp;" "&amp;L1435,"Введите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5" s="24" t="n">
        <x:v>0</x:v>
      </x:c>
      <x:c r="AG1435" s="37" t="n">
        <x:v>10</x:v>
      </x:c>
      <x:c r="AH1435" s="37" t="n">
        <x:v>0</x:v>
      </x:c>
      <x:c r="AI1435" s="30" t="n">
        <x:v>46287</x:v>
      </x:c>
      <x:c r="AJ1435" s="37" t="n">
        <x:v>1</x:v>
      </x:c>
      <x:c r="AK1435" s="10" t="str">
        <x:v>кратность</x:v>
      </x:c>
      <x:c r="AL1435" s="32" t="str">
        <x:v>н/д</x:v>
      </x:c>
      <x:c r="AM1435" s="13" t="str">
        <x:v>Нет ежедневных данных доступности. Нет положительных чистых продаж за 12 месяцев</x:v>
      </x:c>
      <x:c r="AN1435" s="13" t="str">
        <x:v>Проверить свободный остаток и установить цену для B2B</x:v>
      </x:c>
      <x:c r="AO1435" s="13" t="str">
        <x:v>Остаток 10; прогноз 90 дней 0.00; избыток 10 шт. Будущие поступления не выставляются на продажу.</x:v>
      </x:c>
      <x:c r="AP1435" s="13" t="str">
        <x:v>["daily_stockout_data_missing", "negative_net_sales_clipped_for_forecast", "new_order_lead_time_unknown"]</x:v>
      </x:c>
      <x:c r="AQ1435" s="10" t="str">
        <x:v>SE:300200807_</x:v>
      </x:c>
      <x:c r="AR1435" s="24" t="n">
        <x:v>1</x:v>
      </x:c>
      <x:c r="AS1435" s="24" t="n">
        <x:v>0</x:v>
      </x:c>
      <x:c r="AT1435" s="24" t="n">
        <x:v>0</x:v>
      </x:c>
    </x:row>
    <x:row r="1436" ht="64" customHeight="1">
      <x:c r="A1436" s="11" t="str">
        <x:v>Systeme Electric</x:v>
      </x:c>
      <x:c r="B1436" s="33" t="str">
        <x:v>300200808_</x:v>
      </x:c>
      <x:c r="C1436" s="33" t="str">
        <x:v>GAL000323</x:v>
      </x:c>
      <x:c r="D1436" s="12" t="str">
        <x:v>G025 Диммер поворотно-нажимной механизм 400Вт "ARTGALLERY" алюминий GAL0323 (1)</x:v>
      </x:c>
      <x:c r="E1436" s="11" t="str">
        <x:v>шт</x:v>
      </x:c>
      <x:c r="F1436" s="35" t="n">
        <x:f>MAX(0,ROUNDDOWN((AG1436-AF1436)/AR1436+0.000000001,0)*AR1436)</x:f>
        <x:v>14</x:v>
      </x:c>
      <x:c r="G1436" s="20" t="str">
        <x:f>IF(J1436="Рассчитано",V1436*(1-R1436/100)-W1436-P1436-Q1436,"н/д")</x:f>
        <x:v>н/д</x:v>
      </x:c>
      <x:c r="H1436" s="12" t="str">
        <x:v>Средний</x:v>
      </x:c>
      <x:c r="I1436" s="12" t="str">
        <x:v>Высокий</x:v>
      </x:c>
      <x:c r="J1436" s="12" t="str">
        <x:f>IF(L1436="","Укажите валюту",IF(NOT(ISNUMBER(K1436)),"Укажите объём",IF(K1436&lt;=0,"Укажите объём",IF(K1436&gt;F1436,"Объём выше излишка",IF(COUNT(M1436:O1436)&lt;3,"Нужны цены",IF(COUNT(P1436:R1436)&lt;3,"Нужны расходы",IF(OR(M1436&lt;0,N1436&lt;0,O1436&lt;0,O1436&gt;100,P1436&lt;0,Q1436&lt;0,R1436&lt;0,R1436&gt;100),"Проверьте значения","Рассчитано")))))))</x:f>
        <x:v>Нужны цены</x:v>
      </x:c>
      <x:c r="K1436" s="36" t="n">
        <x:v>14</x:v>
      </x:c>
      <x:c r="L1436" s="19" t="str">
        <x:v>KZT</x:v>
      </x:c>
      <x:c r="M1436" s="22"/>
      <x:c r="N1436" s="22"/>
      <x:c r="O1436" s="28"/>
      <x:c r="P1436" s="22"/>
      <x:c r="Q1436" s="22"/>
      <x:c r="R1436" s="28"/>
      <x:c r="S1436" s="22"/>
      <x:c r="T1436" s="35" t="n">
        <x:f>K1436</x:f>
        <x:v>14</x:v>
      </x:c>
      <x:c r="U1436" s="20" t="str">
        <x:f>IF(J1436="Рассчитано",N1436*(1-O1436/100),"н/д")</x:f>
        <x:v>н/д</x:v>
      </x:c>
      <x:c r="V1436" s="20" t="str">
        <x:f>IF(J1436="Рассчитано",T1436*U1436,"н/д")</x:f>
        <x:v>н/д</x:v>
      </x:c>
      <x:c r="W1436" s="20" t="str">
        <x:f>IF(J1436="Рассчитано",T1436*M1436,"н/д")</x:f>
        <x:v>н/д</x:v>
      </x:c>
      <x:c r="X1436" s="20" t="str">
        <x:f>IF(J1436="Рассчитано",V1436-W1436,"н/д")</x:f>
        <x:v>н/д</x:v>
      </x:c>
      <x:c r="Y1436" s="26" t="str">
        <x:f>IF(J1436="Рассчитано",IF(V1436&gt;0,G1436/V1436,"н/д"),"н/д")</x:f>
        <x:v>н/д</x:v>
      </x:c>
      <x:c r="Z1436" s="20" t="str">
        <x:f>"н/д"</x:f>
        <x:v>н/д</x:v>
      </x:c>
      <x:c r="AA1436" s="20" t="str">
        <x:f>"н/д"</x:f>
        <x:v>н/д</x:v>
      </x:c>
      <x:c r="AB1436" s="20" t="str">
        <x:f>"н/д"</x:f>
        <x:v>н/д</x:v>
      </x:c>
      <x:c r="AC1436" s="20" t="str">
        <x:f>IF(AND(J1436="Рассчитано",T1436&gt;0,R1436&lt;100),(W1436+P1436+Q1436)/(T1436*(1-R1436/100)),"н/д")</x:f>
        <x:v>н/д</x:v>
      </x:c>
      <x:c r="AD1436" s="11" t="str">
        <x:f>IF(ISNUMBER(G1436),IF(G1436&lt;0,"Убыток",IF(G1436=0,"Без прибыли","Прибыль &gt; 0")),"Не оценён")</x:f>
        <x:v>Не оценён</x:v>
      </x:c>
      <x:c r="AE1436" s="12" t="str">
        <x:f>IF(J1436="Рассчитано","Выручка "&amp;TEXT(V1436,"0.00")&amp;" - себестоимость "&amp;TEXT(W1436,"0.00")&amp;" - комиссия "&amp;TEXT(V1436*R1436/100,"0.00")&amp;" - доставка "&amp;TEXT(P1436,"0.00")&amp;" - прочие "&amp;TEXT(Q1436,"0.00")&amp;" = "&amp;TEXT(G1436,"0.00")&amp;" "&amp;L1436,"Введите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6" s="23" t="n">
        <x:v>0</x:v>
      </x:c>
      <x:c r="AG1436" s="35" t="n">
        <x:v>14</x:v>
      </x:c>
      <x:c r="AH1436" s="35" t="n">
        <x:v>0</x:v>
      </x:c>
      <x:c r="AI1436" s="29" t="n">
        <x:v>46287</x:v>
      </x:c>
      <x:c r="AJ1436" s="35" t="n">
        <x:v>1</x:v>
      </x:c>
      <x:c r="AK1436" s="11" t="str">
        <x:v>кратность</x:v>
      </x:c>
      <x:c r="AL1436" s="31" t="str">
        <x:v>н/д</x:v>
      </x:c>
      <x:c r="AM1436" s="12" t="str">
        <x:v>Нет ежедневных данных доступности. Нет положительных чистых продаж за 12 месяцев</x:v>
      </x:c>
      <x:c r="AN1436" s="12" t="str">
        <x:v>Проверить свободный остаток и установить цену для B2B</x:v>
      </x:c>
      <x:c r="AO1436" s="12" t="str">
        <x:v>Остаток 14; прогноз 90 дней 0.00; избыток 14 шт. Будущие поступления не выставляются на продажу.</x:v>
      </x:c>
      <x:c r="AP1436" s="12" t="str">
        <x:v>["daily_stockout_data_missing", "negative_net_sales_clipped_for_forecast", "new_order_lead_time_unknown"]</x:v>
      </x:c>
      <x:c r="AQ1436" s="11" t="str">
        <x:v>SE:300200808_</x:v>
      </x:c>
      <x:c r="AR1436" s="23" t="n">
        <x:v>1</x:v>
      </x:c>
      <x:c r="AS1436" s="23" t="n">
        <x:v>0</x:v>
      </x:c>
      <x:c r="AT1436" s="23" t="n">
        <x:v>0</x:v>
      </x:c>
    </x:row>
    <x:row r="1437" ht="64" customHeight="1">
      <x:c r="A1437" s="10" t="str">
        <x:v>Systeme Electric</x:v>
      </x:c>
      <x:c r="B1437" s="34" t="str">
        <x:v>300200809_</x:v>
      </x:c>
      <x:c r="C1437" s="34" t="str">
        <x:v>GAL000346</x:v>
      </x:c>
      <x:c r="D1437" s="13" t="str">
        <x:v>G026 Роз. с з/к с/ш LED 16A механизм IP20 "ARTGALLERY" алюминий GAL0346 (10)</x:v>
      </x:c>
      <x:c r="E1437" s="10" t="str">
        <x:v>шт</x:v>
      </x:c>
      <x:c r="F1437" s="37" t="n">
        <x:f>MAX(0,ROUNDDOWN((AG1437-AF1437)/AR1437+0.000000001,0)*AR1437)</x:f>
        <x:v>33</x:v>
      </x:c>
      <x:c r="G1437" s="21" t="str">
        <x:f>IF(J1437="Рассчитано",V1437*(1-R1437/100)-W1437-P1437-Q1437,"н/д")</x:f>
        <x:v>н/д</x:v>
      </x:c>
      <x:c r="H1437" s="13" t="str">
        <x:v>Средний</x:v>
      </x:c>
      <x:c r="I1437" s="13" t="str">
        <x:v>Высокий</x:v>
      </x:c>
      <x:c r="J1437" s="13" t="str">
        <x:f>IF(L1437="","Укажите валюту",IF(NOT(ISNUMBER(K1437)),"Укажите объём",IF(K1437&lt;=0,"Укажите объём",IF(K1437&gt;F1437,"Объём выше излишка",IF(COUNT(M1437:O1437)&lt;3,"Нужны цены",IF(COUNT(P1437:R1437)&lt;3,"Нужны расходы",IF(OR(M1437&lt;0,N1437&lt;0,O1437&lt;0,O1437&gt;100,P1437&lt;0,Q1437&lt;0,R1437&lt;0,R1437&gt;100),"Проверьте значения","Рассчитано")))))))</x:f>
        <x:v>Нужны цены</x:v>
      </x:c>
      <x:c r="K1437" s="36" t="n">
        <x:v>33</x:v>
      </x:c>
      <x:c r="L1437" s="19" t="str">
        <x:v>KZT</x:v>
      </x:c>
      <x:c r="M1437" s="22"/>
      <x:c r="N1437" s="22"/>
      <x:c r="O1437" s="28"/>
      <x:c r="P1437" s="22"/>
      <x:c r="Q1437" s="22"/>
      <x:c r="R1437" s="28"/>
      <x:c r="S1437" s="22"/>
      <x:c r="T1437" s="37" t="n">
        <x:f>K1437</x:f>
        <x:v>33</x:v>
      </x:c>
      <x:c r="U1437" s="21" t="str">
        <x:f>IF(J1437="Рассчитано",N1437*(1-O1437/100),"н/д")</x:f>
        <x:v>н/д</x:v>
      </x:c>
      <x:c r="V1437" s="21" t="str">
        <x:f>IF(J1437="Рассчитано",T1437*U1437,"н/д")</x:f>
        <x:v>н/д</x:v>
      </x:c>
      <x:c r="W1437" s="21" t="str">
        <x:f>IF(J1437="Рассчитано",T1437*M1437,"н/д")</x:f>
        <x:v>н/д</x:v>
      </x:c>
      <x:c r="X1437" s="21" t="str">
        <x:f>IF(J1437="Рассчитано",V1437-W1437,"н/д")</x:f>
        <x:v>н/д</x:v>
      </x:c>
      <x:c r="Y1437" s="27" t="str">
        <x:f>IF(J1437="Рассчитано",IF(V1437&gt;0,G1437/V1437,"н/д"),"н/д")</x:f>
        <x:v>н/д</x:v>
      </x:c>
      <x:c r="Z1437" s="21" t="str">
        <x:f>"н/д"</x:f>
        <x:v>н/д</x:v>
      </x:c>
      <x:c r="AA1437" s="21" t="str">
        <x:f>"н/д"</x:f>
        <x:v>н/д</x:v>
      </x:c>
      <x:c r="AB1437" s="21" t="str">
        <x:f>"н/д"</x:f>
        <x:v>н/д</x:v>
      </x:c>
      <x:c r="AC1437" s="21" t="str">
        <x:f>IF(AND(J1437="Рассчитано",T1437&gt;0,R1437&lt;100),(W1437+P1437+Q1437)/(T1437*(1-R1437/100)),"н/д")</x:f>
        <x:v>н/д</x:v>
      </x:c>
      <x:c r="AD1437" s="10" t="str">
        <x:f>IF(ISNUMBER(G1437),IF(G1437&lt;0,"Убыток",IF(G1437=0,"Без прибыли","Прибыль &gt; 0")),"Не оценён")</x:f>
        <x:v>Не оценён</x:v>
      </x:c>
      <x:c r="AE1437" s="13" t="str">
        <x:f>IF(J1437="Рассчитано","Выручка "&amp;TEXT(V1437,"0.00")&amp;" - себестоимость "&amp;TEXT(W1437,"0.00")&amp;" - комиссия "&amp;TEXT(V1437*R1437/100,"0.00")&amp;" - доставка "&amp;TEXT(P1437,"0.00")&amp;" - прочие "&amp;TEXT(Q1437,"0.00")&amp;" = "&amp;TEXT(G1437,"0.00")&amp;" "&amp;L1437,"Введите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7" s="24" t="n">
        <x:v>0.18989741234854832</x:v>
      </x:c>
      <x:c r="AG1437" s="37" t="n">
        <x:v>34</x:v>
      </x:c>
      <x:c r="AH1437" s="37" t="n">
        <x:v>0</x:v>
      </x:c>
      <x:c r="AI1437" s="30" t="n">
        <x:v>46287</x:v>
      </x:c>
      <x:c r="AJ1437" s="37" t="n">
        <x:v>10</x:v>
      </x:c>
      <x:c r="AK1437" s="10" t="str">
        <x:v>кратность</x:v>
      </x:c>
      <x:c r="AL1437" s="32" t="n">
        <x:v>15266.020792325024</x:v>
      </x:c>
      <x:c r="AM1437" s="13" t="str">
        <x:v>Нет ежедневных данных доступности. Запас более 180 дней при среднем спросе</x:v>
      </x:c>
      <x:c r="AN1437" s="13" t="str">
        <x:v>Проверить свободный остаток и установить цену для B2B</x:v>
      </x:c>
      <x:c r="AO1437" s="13" t="str">
        <x:v>Остаток 34; прогноз 90 дней 0.19; избыток 33 шт. Будущие поступления не выставляются на продажу.</x:v>
      </x:c>
      <x:c r="AP1437" s="13" t="str">
        <x:v>["daily_stockout_data_missing", "new_order_lead_time_unknown"]</x:v>
      </x:c>
      <x:c r="AQ1437" s="10" t="str">
        <x:v>SE:300200809_</x:v>
      </x:c>
      <x:c r="AR1437" s="24" t="n">
        <x:v>1</x:v>
      </x:c>
      <x:c r="AS1437" s="24" t="n">
        <x:v>0</x:v>
      </x:c>
      <x:c r="AT1437" s="24" t="n">
        <x:v>0</x:v>
      </x:c>
    </x:row>
    <x:row r="1438" ht="64" customHeight="1">
      <x:c r="A1438" s="11" t="str">
        <x:v>Systeme Electric</x:v>
      </x:c>
      <x:c r="B1438" s="33" t="str">
        <x:v>300200811_</x:v>
      </x:c>
      <x:c r="C1438" s="33" t="str">
        <x:v>GAL000545</x:v>
      </x:c>
      <x:c r="D1438" s="12" t="str">
        <x:v>G028 Роз. с з/к с/ш механизм "ARTGALLERY" шампань GAL0545 (10)</x:v>
      </x:c>
      <x:c r="E1438" s="11" t="str">
        <x:v>шт</x:v>
      </x:c>
      <x:c r="F1438" s="35" t="n">
        <x:f>MAX(0,ROUNDDOWN((AG1438-AF1438)/AR1438+0.000000001,0)*AR1438)</x:f>
        <x:v>11</x:v>
      </x:c>
      <x:c r="G1438" s="20" t="str">
        <x:f>IF(J1438="Рассчитано",V1438*(1-R1438/100)-W1438-P1438-Q1438,"н/д")</x:f>
        <x:v>н/д</x:v>
      </x:c>
      <x:c r="H1438" s="12" t="str">
        <x:v>Средний</x:v>
      </x:c>
      <x:c r="I1438" s="12" t="str">
        <x:v>Высокий</x:v>
      </x:c>
      <x:c r="J1438" s="12" t="str">
        <x:f>IF(L1438="","Укажите валюту",IF(NOT(ISNUMBER(K1438)),"Укажите объём",IF(K1438&lt;=0,"Укажите объём",IF(K1438&gt;F1438,"Объём выше излишка",IF(COUNT(M1438:O1438)&lt;3,"Нужны цены",IF(COUNT(P1438:R1438)&lt;3,"Нужны расходы",IF(OR(M1438&lt;0,N1438&lt;0,O1438&lt;0,O1438&gt;100,P1438&lt;0,Q1438&lt;0,R1438&lt;0,R1438&gt;100),"Проверьте значения","Рассчитано")))))))</x:f>
        <x:v>Нужны цены</x:v>
      </x:c>
      <x:c r="K1438" s="36" t="n">
        <x:v>11</x:v>
      </x:c>
      <x:c r="L1438" s="19" t="str">
        <x:v>KZT</x:v>
      </x:c>
      <x:c r="M1438" s="22"/>
      <x:c r="N1438" s="22"/>
      <x:c r="O1438" s="28"/>
      <x:c r="P1438" s="22"/>
      <x:c r="Q1438" s="22"/>
      <x:c r="R1438" s="28"/>
      <x:c r="S1438" s="22"/>
      <x:c r="T1438" s="35" t="n">
        <x:f>K1438</x:f>
        <x:v>11</x:v>
      </x:c>
      <x:c r="U1438" s="20" t="str">
        <x:f>IF(J1438="Рассчитано",N1438*(1-O1438/100),"н/д")</x:f>
        <x:v>н/д</x:v>
      </x:c>
      <x:c r="V1438" s="20" t="str">
        <x:f>IF(J1438="Рассчитано",T1438*U1438,"н/д")</x:f>
        <x:v>н/д</x:v>
      </x:c>
      <x:c r="W1438" s="20" t="str">
        <x:f>IF(J1438="Рассчитано",T1438*M1438,"н/д")</x:f>
        <x:v>н/д</x:v>
      </x:c>
      <x:c r="X1438" s="20" t="str">
        <x:f>IF(J1438="Рассчитано",V1438-W1438,"н/д")</x:f>
        <x:v>н/д</x:v>
      </x:c>
      <x:c r="Y1438" s="26" t="str">
        <x:f>IF(J1438="Рассчитано",IF(V1438&gt;0,G1438/V1438,"н/д"),"н/д")</x:f>
        <x:v>н/д</x:v>
      </x:c>
      <x:c r="Z1438" s="20" t="str">
        <x:f>"н/д"</x:f>
        <x:v>н/д</x:v>
      </x:c>
      <x:c r="AA1438" s="20" t="str">
        <x:f>"н/д"</x:f>
        <x:v>н/д</x:v>
      </x:c>
      <x:c r="AB1438" s="20" t="str">
        <x:f>"н/д"</x:f>
        <x:v>н/д</x:v>
      </x:c>
      <x:c r="AC1438" s="20" t="str">
        <x:f>IF(AND(J1438="Рассчитано",T1438&gt;0,R1438&lt;100),(W1438+P1438+Q1438)/(T1438*(1-R1438/100)),"н/д")</x:f>
        <x:v>н/д</x:v>
      </x:c>
      <x:c r="AD1438" s="11" t="str">
        <x:f>IF(ISNUMBER(G1438),IF(G1438&lt;0,"Убыток",IF(G1438=0,"Без прибыли","Прибыль &gt; 0")),"Не оценён")</x:f>
        <x:v>Не оценён</x:v>
      </x:c>
      <x:c r="AE1438" s="12" t="str">
        <x:f>IF(J1438="Рассчитано","Выручка "&amp;TEXT(V1438,"0.00")&amp;" - себестоимость "&amp;TEXT(W1438,"0.00")&amp;" - комиссия "&amp;TEXT(V1438*R1438/100,"0.00")&amp;" - доставка "&amp;TEXT(P1438,"0.00")&amp;" - прочие "&amp;TEXT(Q1438,"0.00")&amp;" = "&amp;TEXT(G1438,"0.00")&amp;" "&amp;L1438,"Введите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8" s="23" t="n">
        <x:v>6.21533464853041</x:v>
      </x:c>
      <x:c r="AG1438" s="35" t="n">
        <x:v>18</x:v>
      </x:c>
      <x:c r="AH1438" s="35" t="n">
        <x:v>0</x:v>
      </x:c>
      <x:c r="AI1438" s="29" t="n">
        <x:v>46287</x:v>
      </x:c>
      <x:c r="AJ1438" s="35" t="n">
        <x:v>10</x:v>
      </x:c>
      <x:c r="AK1438" s="11" t="str">
        <x:v>кратность</x:v>
      </x:c>
      <x:c r="AL1438" s="31" t="n">
        <x:v>246.93006309770936</x:v>
      </x:c>
      <x:c r="AM1438" s="12" t="str">
        <x:v>Нет ежедневных данных доступности. Запас более 180 дней при среднем спросе</x:v>
      </x:c>
      <x:c r="AN1438" s="12" t="str">
        <x:v>Проверить свободный остаток и установить цену для B2B</x:v>
      </x:c>
      <x:c r="AO1438" s="12" t="str">
        <x:v>Остаток 18; прогноз 90 дней 6.22; избыток 11 шт. Будущие поступления не выставляются на продажу.</x:v>
      </x:c>
      <x:c r="AP1438" s="12" t="str">
        <x:v>["daily_stockout_data_missing", "negative_net_sales_clipped_for_forecast", "new_order_lead_time_unknown"]</x:v>
      </x:c>
      <x:c r="AQ1438" s="11" t="str">
        <x:v>SE:300200811_</x:v>
      </x:c>
      <x:c r="AR1438" s="23" t="n">
        <x:v>1</x:v>
      </x:c>
      <x:c r="AS1438" s="23" t="n">
        <x:v>0</x:v>
      </x:c>
      <x:c r="AT1438" s="23" t="n">
        <x:v>0</x:v>
      </x:c>
    </x:row>
    <x:row r="1439" ht="64" customHeight="1">
      <x:c r="A1439" s="10" t="str">
        <x:v>Systeme Electric</x:v>
      </x:c>
      <x:c r="B1439" s="34" t="str">
        <x:v>300200813_</x:v>
      </x:c>
      <x:c r="C1439" s="34" t="str">
        <x:v>GAL000513</x:v>
      </x:c>
      <x:c r="D1439" s="13" t="str">
        <x:v>G030 Выкл. 1 кл с инд 10А механизм "ARTGALLERY" шампань GAL0513 (10)</x:v>
      </x:c>
      <x:c r="E1439" s="10" t="str">
        <x:v>шт</x:v>
      </x:c>
      <x:c r="F1439" s="37" t="n">
        <x:f>MAX(0,ROUNDDOWN((AG1439-AF1439)/AR1439+0.000000001,0)*AR1439)</x:f>
        <x:v>150</x:v>
      </x:c>
      <x:c r="G1439" s="21" t="str">
        <x:f>IF(J1439="Рассчитано",V1439*(1-R1439/100)-W1439-P1439-Q1439,"н/д")</x:f>
        <x:v>н/д</x:v>
      </x:c>
      <x:c r="H1439" s="13" t="str">
        <x:v>Средний</x:v>
      </x:c>
      <x:c r="I1439" s="13" t="str">
        <x:v>Высокий</x:v>
      </x:c>
      <x:c r="J1439" s="13" t="str">
        <x:f>IF(L1439="","Укажите валюту",IF(NOT(ISNUMBER(K1439)),"Укажите объём",IF(K1439&lt;=0,"Укажите объём",IF(K1439&gt;F1439,"Объём выше излишка",IF(COUNT(M1439:O1439)&lt;3,"Нужны цены",IF(COUNT(P1439:R1439)&lt;3,"Нужны расходы",IF(OR(M1439&lt;0,N1439&lt;0,O1439&lt;0,O1439&gt;100,P1439&lt;0,Q1439&lt;0,R1439&lt;0,R1439&gt;100),"Проверьте значения","Рассчитано")))))))</x:f>
        <x:v>Нужны цены</x:v>
      </x:c>
      <x:c r="K1439" s="36" t="n">
        <x:v>150</x:v>
      </x:c>
      <x:c r="L1439" s="19" t="str">
        <x:v>KZT</x:v>
      </x:c>
      <x:c r="M1439" s="22"/>
      <x:c r="N1439" s="22"/>
      <x:c r="O1439" s="28"/>
      <x:c r="P1439" s="22"/>
      <x:c r="Q1439" s="22"/>
      <x:c r="R1439" s="28"/>
      <x:c r="S1439" s="22"/>
      <x:c r="T1439" s="37" t="n">
        <x:f>K1439</x:f>
        <x:v>150</x:v>
      </x:c>
      <x:c r="U1439" s="21" t="str">
        <x:f>IF(J1439="Рассчитано",N1439*(1-O1439/100),"н/д")</x:f>
        <x:v>н/д</x:v>
      </x:c>
      <x:c r="V1439" s="21" t="str">
        <x:f>IF(J1439="Рассчитано",T1439*U1439,"н/д")</x:f>
        <x:v>н/д</x:v>
      </x:c>
      <x:c r="W1439" s="21" t="str">
        <x:f>IF(J1439="Рассчитано",T1439*M1439,"н/д")</x:f>
        <x:v>н/д</x:v>
      </x:c>
      <x:c r="X1439" s="21" t="str">
        <x:f>IF(J1439="Рассчитано",V1439-W1439,"н/д")</x:f>
        <x:v>н/д</x:v>
      </x:c>
      <x:c r="Y1439" s="27" t="str">
        <x:f>IF(J1439="Рассчитано",IF(V1439&gt;0,G1439/V1439,"н/д"),"н/д")</x:f>
        <x:v>н/д</x:v>
      </x:c>
      <x:c r="Z1439" s="21" t="str">
        <x:f>"н/д"</x:f>
        <x:v>н/д</x:v>
      </x:c>
      <x:c r="AA1439" s="21" t="str">
        <x:f>"н/д"</x:f>
        <x:v>н/д</x:v>
      </x:c>
      <x:c r="AB1439" s="21" t="str">
        <x:f>"н/д"</x:f>
        <x:v>н/д</x:v>
      </x:c>
      <x:c r="AC1439" s="21" t="str">
        <x:f>IF(AND(J1439="Рассчитано",T1439&gt;0,R1439&lt;100),(W1439+P1439+Q1439)/(T1439*(1-R1439/100)),"н/д")</x:f>
        <x:v>н/д</x:v>
      </x:c>
      <x:c r="AD1439" s="10" t="str">
        <x:f>IF(ISNUMBER(G1439),IF(G1439&lt;0,"Убыток",IF(G1439=0,"Без прибыли","Прибыль &gt; 0")),"Не оценён")</x:f>
        <x:v>Не оценён</x:v>
      </x:c>
      <x:c r="AE1439" s="13" t="str">
        <x:f>IF(J1439="Рассчитано","Выручка "&amp;TEXT(V1439,"0.00")&amp;" - себестоимость "&amp;TEXT(W1439,"0.00")&amp;" - комиссия "&amp;TEXT(V1439*R1439/100,"0.00")&amp;" - доставка "&amp;TEXT(P1439,"0.00")&amp;" - прочие "&amp;TEXT(Q1439,"0.00")&amp;" = "&amp;TEXT(G1439,"0.00")&amp;" "&amp;L1439,"Введите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9" s="24" t="n">
        <x:v>7.224485232051762</x:v>
      </x:c>
      <x:c r="AG1439" s="37" t="n">
        <x:v>158</x:v>
      </x:c>
      <x:c r="AH1439" s="37" t="n">
        <x:v>0</x:v>
      </x:c>
      <x:c r="AI1439" s="30" t="n">
        <x:v>46287</x:v>
      </x:c>
      <x:c r="AJ1439" s="37" t="n">
        <x:v>10</x:v>
      </x:c>
      <x:c r="AK1439" s="10" t="str">
        <x:v>кратность</x:v>
      </x:c>
      <x:c r="AL1439" s="32" t="n">
        <x:v>1864.7308621450818</x:v>
      </x:c>
      <x:c r="AM1439" s="13" t="str">
        <x:v>Нет ежедневных данных доступности. Запас более 180 дней при среднем спросе</x:v>
      </x:c>
      <x:c r="AN1439" s="13" t="str">
        <x:v>Проверить свободный остаток и установить цену для B2B</x:v>
      </x:c>
      <x:c r="AO1439" s="13" t="str">
        <x:v>Остаток 158; прогноз 90 дней 7.22; избыток 150 шт. Будущие поступления не выставляются на продажу.</x:v>
      </x:c>
      <x:c r="AP1439" s="13" t="str">
        <x:v>["daily_stockout_data_missing", "negative_net_sales_clipped_for_forecast", "new_order_lead_time_unknown"]</x:v>
      </x:c>
      <x:c r="AQ1439" s="10" t="str">
        <x:v>SE:300200813_</x:v>
      </x:c>
      <x:c r="AR1439" s="24" t="n">
        <x:v>1</x:v>
      </x:c>
      <x:c r="AS1439" s="24" t="n">
        <x:v>0</x:v>
      </x:c>
      <x:c r="AT1439" s="24" t="n">
        <x:v>0</x:v>
      </x:c>
    </x:row>
    <x:row r="1440" ht="64" customHeight="1">
      <x:c r="A1440" s="11" t="str">
        <x:v>Systeme Electric</x:v>
      </x:c>
      <x:c r="B1440" s="33" t="str">
        <x:v>300200815_</x:v>
      </x:c>
      <x:c r="C1440" s="33" t="str">
        <x:v>GAL000553</x:v>
      </x:c>
      <x:c r="D1440" s="12" t="str">
        <x:v>G032 Выкл. 2 кл с инд 10А механизм "ARTGALLERY" шампань GAL0553 (10)</x:v>
      </x:c>
      <x:c r="E1440" s="11" t="str">
        <x:v>шт</x:v>
      </x:c>
      <x:c r="F1440" s="35" t="n">
        <x:f>MAX(0,ROUNDDOWN((AG1440-AF1440)/AR1440+0.000000001,0)*AR1440)</x:f>
        <x:v>101</x:v>
      </x:c>
      <x:c r="G1440" s="20" t="str">
        <x:f>IF(J1440="Рассчитано",V1440*(1-R1440/100)-W1440-P1440-Q1440,"н/д")</x:f>
        <x:v>н/д</x:v>
      </x:c>
      <x:c r="H1440" s="12" t="str">
        <x:v>Средний</x:v>
      </x:c>
      <x:c r="I1440" s="12" t="str">
        <x:v>Высокий</x:v>
      </x:c>
      <x:c r="J1440" s="12" t="str">
        <x:f>IF(L1440="","Укажите валюту",IF(NOT(ISNUMBER(K1440)),"Укажите объём",IF(K1440&lt;=0,"Укажите объём",IF(K1440&gt;F1440,"Объём выше излишка",IF(COUNT(M1440:O1440)&lt;3,"Нужны цены",IF(COUNT(P1440:R1440)&lt;3,"Нужны расходы",IF(OR(M1440&lt;0,N1440&lt;0,O1440&lt;0,O1440&gt;100,P1440&lt;0,Q1440&lt;0,R1440&lt;0,R1440&gt;100),"Проверьте значения","Рассчитано")))))))</x:f>
        <x:v>Нужны цены</x:v>
      </x:c>
      <x:c r="K1440" s="36" t="n">
        <x:v>101</x:v>
      </x:c>
      <x:c r="L1440" s="19" t="str">
        <x:v>KZT</x:v>
      </x:c>
      <x:c r="M1440" s="22"/>
      <x:c r="N1440" s="22"/>
      <x:c r="O1440" s="28"/>
      <x:c r="P1440" s="22"/>
      <x:c r="Q1440" s="22"/>
      <x:c r="R1440" s="28"/>
      <x:c r="S1440" s="22"/>
      <x:c r="T1440" s="35" t="n">
        <x:f>K1440</x:f>
        <x:v>101</x:v>
      </x:c>
      <x:c r="U1440" s="20" t="str">
        <x:f>IF(J1440="Рассчитано",N1440*(1-O1440/100),"н/д")</x:f>
        <x:v>н/д</x:v>
      </x:c>
      <x:c r="V1440" s="20" t="str">
        <x:f>IF(J1440="Рассчитано",T1440*U1440,"н/д")</x:f>
        <x:v>н/д</x:v>
      </x:c>
      <x:c r="W1440" s="20" t="str">
        <x:f>IF(J1440="Рассчитано",T1440*M1440,"н/д")</x:f>
        <x:v>н/д</x:v>
      </x:c>
      <x:c r="X1440" s="20" t="str">
        <x:f>IF(J1440="Рассчитано",V1440-W1440,"н/д")</x:f>
        <x:v>н/д</x:v>
      </x:c>
      <x:c r="Y1440" s="26" t="str">
        <x:f>IF(J1440="Рассчитано",IF(V1440&gt;0,G1440/V1440,"н/д"),"н/д")</x:f>
        <x:v>н/д</x:v>
      </x:c>
      <x:c r="Z1440" s="20" t="str">
        <x:f>"н/д"</x:f>
        <x:v>н/д</x:v>
      </x:c>
      <x:c r="AA1440" s="20" t="str">
        <x:f>"н/д"</x:f>
        <x:v>н/д</x:v>
      </x:c>
      <x:c r="AB1440" s="20" t="str">
        <x:f>"н/д"</x:f>
        <x:v>н/д</x:v>
      </x:c>
      <x:c r="AC1440" s="20" t="str">
        <x:f>IF(AND(J1440="Рассчитано",T1440&gt;0,R1440&lt;100),(W1440+P1440+Q1440)/(T1440*(1-R1440/100)),"н/д")</x:f>
        <x:v>н/д</x:v>
      </x:c>
      <x:c r="AD1440" s="11" t="str">
        <x:f>IF(ISNUMBER(G1440),IF(G1440&lt;0,"Убыток",IF(G1440=0,"Без прибыли","Прибыль &gt; 0")),"Не оценён")</x:f>
        <x:v>Не оценён</x:v>
      </x:c>
      <x:c r="AE1440" s="12" t="str">
        <x:f>IF(J1440="Рассчитано","Выручка "&amp;TEXT(V1440,"0.00")&amp;" - себестоимость "&amp;TEXT(W1440,"0.00")&amp;" - комиссия "&amp;TEXT(V1440*R1440/100,"0.00")&amp;" - доставка "&amp;TEXT(P1440,"0.00")&amp;" - прочие "&amp;TEXT(Q1440,"0.00")&amp;" = "&amp;TEXT(G1440,"0.00")&amp;" "&amp;L1440,"Введите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0" s="23" t="n">
        <x:v>0.47474353087136956</x:v>
      </x:c>
      <x:c r="AG1440" s="35" t="n">
        <x:v>102</x:v>
      </x:c>
      <x:c r="AH1440" s="35" t="n">
        <x:v>0</x:v>
      </x:c>
      <x:c r="AI1440" s="29" t="n">
        <x:v>46287</x:v>
      </x:c>
      <x:c r="AJ1440" s="35" t="n">
        <x:v>10</x:v>
      </x:c>
      <x:c r="AK1440" s="11" t="str">
        <x:v>кратность</x:v>
      </x:c>
      <x:c r="AL1440" s="31" t="n">
        <x:v>18319.22495079004</x:v>
      </x:c>
      <x:c r="AM1440" s="12" t="str">
        <x:v>Нет ежедневных данных доступности. Нет положительных чистых продаж за 12 месяцев</x:v>
      </x:c>
      <x:c r="AN1440" s="12" t="str">
        <x:v>Проверить свободный остаток и установить цену для B2B</x:v>
      </x:c>
      <x:c r="AO1440" s="12" t="str">
        <x:v>Остаток 102; прогноз 90 дней 0.47; избыток 101 шт. Будущие поступления не выставляются на продажу.</x:v>
      </x:c>
      <x:c r="AP1440" s="12" t="str">
        <x:v>["daily_stockout_data_missing", "negative_net_sales_clipped_for_forecast", "new_order_lead_time_unknown"]</x:v>
      </x:c>
      <x:c r="AQ1440" s="11" t="str">
        <x:v>SE:300200815_</x:v>
      </x:c>
      <x:c r="AR1440" s="23" t="n">
        <x:v>1</x:v>
      </x:c>
      <x:c r="AS1440" s="23" t="n">
        <x:v>0</x:v>
      </x:c>
      <x:c r="AT1440" s="23" t="n">
        <x:v>0</x:v>
      </x:c>
    </x:row>
    <x:row r="1441" ht="64" customHeight="1">
      <x:c r="A1441" s="10" t="str">
        <x:v>Systeme Electric</x:v>
      </x:c>
      <x:c r="B1441" s="34" t="str">
        <x:v>300200816_</x:v>
      </x:c>
      <x:c r="C1441" s="34" t="str">
        <x:v>GAL000586</x:v>
      </x:c>
      <x:c r="D1441" s="13" t="str">
        <x:v>G033 Роз. комп. RJ45, 6A механизм "ARTGALLERY" шампань GAL0586 (5)</x:v>
      </x:c>
      <x:c r="E1441" s="10" t="str">
        <x:v>шт</x:v>
      </x:c>
      <x:c r="F1441" s="37" t="n">
        <x:f>MAX(0,ROUNDDOWN((AG1441-AF1441)/AR1441+0.000000001,0)*AR1441)</x:f>
        <x:v>47</x:v>
      </x:c>
      <x:c r="G1441" s="21" t="str">
        <x:f>IF(J1441="Рассчитано",V1441*(1-R1441/100)-W1441-P1441-Q1441,"н/д")</x:f>
        <x:v>н/д</x:v>
      </x:c>
      <x:c r="H1441" s="13" t="str">
        <x:v>Средний</x:v>
      </x:c>
      <x:c r="I1441" s="13" t="str">
        <x:v>Высокий</x:v>
      </x:c>
      <x:c r="J1441" s="13" t="str">
        <x:f>IF(L1441="","Укажите валюту",IF(NOT(ISNUMBER(K1441)),"Укажите объём",IF(K1441&lt;=0,"Укажите объём",IF(K1441&gt;F1441,"Объём выше излишка",IF(COUNT(M1441:O1441)&lt;3,"Нужны цены",IF(COUNT(P1441:R1441)&lt;3,"Нужны расходы",IF(OR(M1441&lt;0,N1441&lt;0,O1441&lt;0,O1441&gt;100,P1441&lt;0,Q1441&lt;0,R1441&lt;0,R1441&gt;100),"Проверьте значения","Рассчитано")))))))</x:f>
        <x:v>Нужны цены</x:v>
      </x:c>
      <x:c r="K1441" s="36" t="n">
        <x:v>47</x:v>
      </x:c>
      <x:c r="L1441" s="19" t="str">
        <x:v>KZT</x:v>
      </x:c>
      <x:c r="M1441" s="22"/>
      <x:c r="N1441" s="22"/>
      <x:c r="O1441" s="28"/>
      <x:c r="P1441" s="22"/>
      <x:c r="Q1441" s="22"/>
      <x:c r="R1441" s="28"/>
      <x:c r="S1441" s="22"/>
      <x:c r="T1441" s="37" t="n">
        <x:f>K1441</x:f>
        <x:v>47</x:v>
      </x:c>
      <x:c r="U1441" s="21" t="str">
        <x:f>IF(J1441="Рассчитано",N1441*(1-O1441/100),"н/д")</x:f>
        <x:v>н/д</x:v>
      </x:c>
      <x:c r="V1441" s="21" t="str">
        <x:f>IF(J1441="Рассчитано",T1441*U1441,"н/д")</x:f>
        <x:v>н/д</x:v>
      </x:c>
      <x:c r="W1441" s="21" t="str">
        <x:f>IF(J1441="Рассчитано",T1441*M1441,"н/д")</x:f>
        <x:v>н/д</x:v>
      </x:c>
      <x:c r="X1441" s="21" t="str">
        <x:f>IF(J1441="Рассчитано",V1441-W1441,"н/д")</x:f>
        <x:v>н/д</x:v>
      </x:c>
      <x:c r="Y1441" s="27" t="str">
        <x:f>IF(J1441="Рассчитано",IF(V1441&gt;0,G1441/V1441,"н/д"),"н/д")</x:f>
        <x:v>н/д</x:v>
      </x:c>
      <x:c r="Z1441" s="21" t="str">
        <x:f>"н/д"</x:f>
        <x:v>н/д</x:v>
      </x:c>
      <x:c r="AA1441" s="21" t="str">
        <x:f>"н/д"</x:f>
        <x:v>н/д</x:v>
      </x:c>
      <x:c r="AB1441" s="21" t="str">
        <x:f>"н/д"</x:f>
        <x:v>н/д</x:v>
      </x:c>
      <x:c r="AC1441" s="21" t="str">
        <x:f>IF(AND(J1441="Рассчитано",T1441&gt;0,R1441&lt;100),(W1441+P1441+Q1441)/(T1441*(1-R1441/100)),"н/д")</x:f>
        <x:v>н/д</x:v>
      </x:c>
      <x:c r="AD1441" s="10" t="str">
        <x:f>IF(ISNUMBER(G1441),IF(G1441&lt;0,"Убыток",IF(G1441=0,"Без прибыли","Прибыль &gt; 0")),"Не оценён")</x:f>
        <x:v>Не оценён</x:v>
      </x:c>
      <x:c r="AE1441" s="13" t="str">
        <x:f>IF(J1441="Рассчитано","Выручка "&amp;TEXT(V1441,"0.00")&amp;" - себестоимость "&amp;TEXT(W1441,"0.00")&amp;" - комиссия "&amp;TEXT(V1441*R1441/100,"0.00")&amp;" - доставка "&amp;TEXT(P1441,"0.00")&amp;" - прочие "&amp;TEXT(Q1441,"0.00")&amp;" = "&amp;TEXT(G1441,"0.00")&amp;" "&amp;L1441,"Введите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1" s="24" t="n">
        <x:v>13.458816879923631</x:v>
      </x:c>
      <x:c r="AG1441" s="37" t="n">
        <x:v>61</x:v>
      </x:c>
      <x:c r="AH1441" s="37" t="n">
        <x:v>0</x:v>
      </x:c>
      <x:c r="AI1441" s="30" t="n">
        <x:v>46287</x:v>
      </x:c>
      <x:c r="AJ1441" s="37" t="n">
        <x:v>5</x:v>
      </x:c>
      <x:c r="AK1441" s="10" t="str">
        <x:v>кратность</x:v>
      </x:c>
      <x:c r="AL1441" s="32" t="n">
        <x:v>386.44610125296975</x:v>
      </x:c>
      <x:c r="AM1441" s="13" t="str">
        <x:v>Детальные и месячные продажи расходятся; Нет ежедневных данных доступности. Запас более 180 дней при среднем спросе</x:v>
      </x:c>
      <x:c r="AN1441" s="13" t="str">
        <x:v>Проверить свободный остаток и установить цену для B2B</x:v>
      </x:c>
      <x:c r="AO1441" s="13" t="str">
        <x:v>Остаток 61; прогноз 90 дней 13.46; избыток 47 шт. Будущие поступления не выставляются на продажу.</x:v>
      </x:c>
      <x:c r="AP1441" s="13" t="str">
        <x:v>["daily_stockout_data_missing", "large_orders_detected", "negative_net_sales_clipped_for_forecast", "new_order_lead_time_unknown", "transaction_month_mismatch"]</x:v>
      </x:c>
      <x:c r="AQ1441" s="10" t="str">
        <x:v>SE:300200816_</x:v>
      </x:c>
      <x:c r="AR1441" s="24" t="n">
        <x:v>1</x:v>
      </x:c>
      <x:c r="AS1441" s="24" t="n">
        <x:v>0</x:v>
      </x:c>
      <x:c r="AT1441" s="24" t="n">
        <x:v>0</x:v>
      </x:c>
    </x:row>
    <x:row r="1442" ht="64" customHeight="1">
      <x:c r="A1442" s="11" t="str">
        <x:v>Systeme Electric</x:v>
      </x:c>
      <x:c r="B1442" s="33" t="str">
        <x:v>300200817_</x:v>
      </x:c>
      <x:c r="C1442" s="33" t="str">
        <x:v>GAL000561</x:v>
      </x:c>
      <x:c r="D1442" s="12" t="str">
        <x:v>G034 Переключ. 1 кл механизм "ARTGALLERY" шампань GAL0561 (10)</x:v>
      </x:c>
      <x:c r="E1442" s="11" t="str">
        <x:v>шт</x:v>
      </x:c>
      <x:c r="F1442" s="35" t="n">
        <x:f>MAX(0,ROUNDDOWN((AG1442-AF1442)/AR1442+0.000000001,0)*AR1442)</x:f>
        <x:v>35</x:v>
      </x:c>
      <x:c r="G1442" s="20" t="str">
        <x:f>IF(J1442="Рассчитано",V1442*(1-R1442/100)-W1442-P1442-Q1442,"н/д")</x:f>
        <x:v>н/д</x:v>
      </x:c>
      <x:c r="H1442" s="12" t="str">
        <x:v>Средний</x:v>
      </x:c>
      <x:c r="I1442" s="12" t="str">
        <x:v>Высокий</x:v>
      </x:c>
      <x:c r="J1442" s="12" t="str">
        <x:f>IF(L1442="","Укажите валюту",IF(NOT(ISNUMBER(K1442)),"Укажите объём",IF(K1442&lt;=0,"Укажите объём",IF(K1442&gt;F1442,"Объём выше излишка",IF(COUNT(M1442:O1442)&lt;3,"Нужны цены",IF(COUNT(P1442:R1442)&lt;3,"Нужны расходы",IF(OR(M1442&lt;0,N1442&lt;0,O1442&lt;0,O1442&gt;100,P1442&lt;0,Q1442&lt;0,R1442&lt;0,R1442&gt;100),"Проверьте значения","Рассчитано")))))))</x:f>
        <x:v>Нужны цены</x:v>
      </x:c>
      <x:c r="K1442" s="36" t="n">
        <x:v>35</x:v>
      </x:c>
      <x:c r="L1442" s="19" t="str">
        <x:v>KZT</x:v>
      </x:c>
      <x:c r="M1442" s="22"/>
      <x:c r="N1442" s="22"/>
      <x:c r="O1442" s="28"/>
      <x:c r="P1442" s="22"/>
      <x:c r="Q1442" s="22"/>
      <x:c r="R1442" s="28"/>
      <x:c r="S1442" s="22"/>
      <x:c r="T1442" s="35" t="n">
        <x:f>K1442</x:f>
        <x:v>35</x:v>
      </x:c>
      <x:c r="U1442" s="20" t="str">
        <x:f>IF(J1442="Рассчитано",N1442*(1-O1442/100),"н/д")</x:f>
        <x:v>н/д</x:v>
      </x:c>
      <x:c r="V1442" s="20" t="str">
        <x:f>IF(J1442="Рассчитано",T1442*U1442,"н/д")</x:f>
        <x:v>н/д</x:v>
      </x:c>
      <x:c r="W1442" s="20" t="str">
        <x:f>IF(J1442="Рассчитано",T1442*M1442,"н/д")</x:f>
        <x:v>н/д</x:v>
      </x:c>
      <x:c r="X1442" s="20" t="str">
        <x:f>IF(J1442="Рассчитано",V1442-W1442,"н/д")</x:f>
        <x:v>н/д</x:v>
      </x:c>
      <x:c r="Y1442" s="26" t="str">
        <x:f>IF(J1442="Рассчитано",IF(V1442&gt;0,G1442/V1442,"н/д"),"н/д")</x:f>
        <x:v>н/д</x:v>
      </x:c>
      <x:c r="Z1442" s="20" t="str">
        <x:f>"н/д"</x:f>
        <x:v>н/д</x:v>
      </x:c>
      <x:c r="AA1442" s="20" t="str">
        <x:f>"н/д"</x:f>
        <x:v>н/д</x:v>
      </x:c>
      <x:c r="AB1442" s="20" t="str">
        <x:f>"н/д"</x:f>
        <x:v>н/д</x:v>
      </x:c>
      <x:c r="AC1442" s="20" t="str">
        <x:f>IF(AND(J1442="Рассчитано",T1442&gt;0,R1442&lt;100),(W1442+P1442+Q1442)/(T1442*(1-R1442/100)),"н/д")</x:f>
        <x:v>н/д</x:v>
      </x:c>
      <x:c r="AD1442" s="11" t="str">
        <x:f>IF(ISNUMBER(G1442),IF(G1442&lt;0,"Убыток",IF(G1442=0,"Без прибыли","Прибыль &gt; 0")),"Не оценён")</x:f>
        <x:v>Не оценён</x:v>
      </x:c>
      <x:c r="AE1442" s="12" t="str">
        <x:f>IF(J1442="Рассчитано","Выручка "&amp;TEXT(V1442,"0.00")&amp;" - себестоимость "&amp;TEXT(W1442,"0.00")&amp;" - комиссия "&amp;TEXT(V1442*R1442/100,"0.00")&amp;" - доставка "&amp;TEXT(P1442,"0.00")&amp;" - прочие "&amp;TEXT(Q1442,"0.00")&amp;" = "&amp;TEXT(G1442,"0.00")&amp;" "&amp;L1442,"Введите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2" s="23" t="n">
        <x:v>31.294488766540194</x:v>
      </x:c>
      <x:c r="AG1442" s="35" t="n">
        <x:v>67</x:v>
      </x:c>
      <x:c r="AH1442" s="35" t="n">
        <x:v>0</x:v>
      </x:c>
      <x:c r="AI1442" s="29" t="n">
        <x:v>46287</x:v>
      </x:c>
      <x:c r="AJ1442" s="35" t="n">
        <x:v>10</x:v>
      </x:c>
      <x:c r="AK1442" s="11" t="str">
        <x:v>кратность</x:v>
      </x:c>
      <x:c r="AL1442" s="31" t="n">
        <x:v>182.54625212082388</x:v>
      </x:c>
      <x:c r="AM1442" s="12" t="str">
        <x:v>Детальные и месячные продажи расходятся; Нет ежедневных данных доступности. Запас более 180 дней при среднем спросе</x:v>
      </x:c>
      <x:c r="AN1442" s="12" t="str">
        <x:v>Проверить свободный остаток и установить цену для B2B</x:v>
      </x:c>
      <x:c r="AO1442" s="12" t="str">
        <x:v>Остаток 67; прогноз 90 дней 31.29; избыток 35 шт. Будущие поступления не выставляются на продажу.</x:v>
      </x:c>
      <x:c r="AP1442" s="12" t="str">
        <x:v>["daily_stockout_data_missing", "large_orders_detected", "new_order_lead_time_unknown", "transaction_month_mismatch"]</x:v>
      </x:c>
      <x:c r="AQ1442" s="11" t="str">
        <x:v>SE:300200817_</x:v>
      </x:c>
      <x:c r="AR1442" s="23" t="n">
        <x:v>1</x:v>
      </x:c>
      <x:c r="AS1442" s="23" t="n">
        <x:v>0</x:v>
      </x:c>
      <x:c r="AT1442" s="23" t="n">
        <x:v>0</x:v>
      </x:c>
    </x:row>
    <x:row r="1443" ht="64" customHeight="1">
      <x:c r="A1443" s="10" t="str">
        <x:v>Systeme Electric</x:v>
      </x:c>
      <x:c r="B1443" s="34" t="str">
        <x:v>300200818_</x:v>
      </x:c>
      <x:c r="C1443" s="34" t="str">
        <x:v>GAL000571</x:v>
      </x:c>
      <x:c r="D1443" s="13" t="str">
        <x:v>G035 Перекрест. переключ. 1 кл "ARTGALLERY" шампань GAL0571 (5)</x:v>
      </x:c>
      <x:c r="E1443" s="10" t="str">
        <x:v>шт</x:v>
      </x:c>
      <x:c r="F1443" s="37" t="n">
        <x:f>MAX(0,ROUNDDOWN((AG1443-AF1443)/AR1443+0.000000001,0)*AR1443)</x:f>
        <x:v>69</x:v>
      </x:c>
      <x:c r="G1443" s="21" t="str">
        <x:f>IF(J1443="Рассчитано",V1443*(1-R1443/100)-W1443-P1443-Q1443,"н/д")</x:f>
        <x:v>н/д</x:v>
      </x:c>
      <x:c r="H1443" s="13" t="str">
        <x:v>Средний</x:v>
      </x:c>
      <x:c r="I1443" s="13" t="str">
        <x:v>Высокий</x:v>
      </x:c>
      <x:c r="J1443" s="13" t="str">
        <x:f>IF(L1443="","Укажите валюту",IF(NOT(ISNUMBER(K1443)),"Укажите объём",IF(K1443&lt;=0,"Укажите объём",IF(K1443&gt;F1443,"Объём выше излишка",IF(COUNT(M1443:O1443)&lt;3,"Нужны цены",IF(COUNT(P1443:R1443)&lt;3,"Нужны расходы",IF(OR(M1443&lt;0,N1443&lt;0,O1443&lt;0,O1443&gt;100,P1443&lt;0,Q1443&lt;0,R1443&lt;0,R1443&gt;100),"Проверьте значения","Рассчитано")))))))</x:f>
        <x:v>Нужны цены</x:v>
      </x:c>
      <x:c r="K1443" s="36" t="n">
        <x:v>69</x:v>
      </x:c>
      <x:c r="L1443" s="19" t="str">
        <x:v>KZT</x:v>
      </x:c>
      <x:c r="M1443" s="22"/>
      <x:c r="N1443" s="22"/>
      <x:c r="O1443" s="28"/>
      <x:c r="P1443" s="22"/>
      <x:c r="Q1443" s="22"/>
      <x:c r="R1443" s="28"/>
      <x:c r="S1443" s="22"/>
      <x:c r="T1443" s="37" t="n">
        <x:f>K1443</x:f>
        <x:v>69</x:v>
      </x:c>
      <x:c r="U1443" s="21" t="str">
        <x:f>IF(J1443="Рассчитано",N1443*(1-O1443/100),"н/д")</x:f>
        <x:v>н/д</x:v>
      </x:c>
      <x:c r="V1443" s="21" t="str">
        <x:f>IF(J1443="Рассчитано",T1443*U1443,"н/д")</x:f>
        <x:v>н/д</x:v>
      </x:c>
      <x:c r="W1443" s="21" t="str">
        <x:f>IF(J1443="Рассчитано",T1443*M1443,"н/д")</x:f>
        <x:v>н/д</x:v>
      </x:c>
      <x:c r="X1443" s="21" t="str">
        <x:f>IF(J1443="Рассчитано",V1443-W1443,"н/д")</x:f>
        <x:v>н/д</x:v>
      </x:c>
      <x:c r="Y1443" s="27" t="str">
        <x:f>IF(J1443="Рассчитано",IF(V1443&gt;0,G1443/V1443,"н/д"),"н/д")</x:f>
        <x:v>н/д</x:v>
      </x:c>
      <x:c r="Z1443" s="21" t="str">
        <x:f>"н/д"</x:f>
        <x:v>н/д</x:v>
      </x:c>
      <x:c r="AA1443" s="21" t="str">
        <x:f>"н/д"</x:f>
        <x:v>н/д</x:v>
      </x:c>
      <x:c r="AB1443" s="21" t="str">
        <x:f>"н/д"</x:f>
        <x:v>н/д</x:v>
      </x:c>
      <x:c r="AC1443" s="21" t="str">
        <x:f>IF(AND(J1443="Рассчитано",T1443&gt;0,R1443&lt;100),(W1443+P1443+Q1443)/(T1443*(1-R1443/100)),"н/д")</x:f>
        <x:v>н/д</x:v>
      </x:c>
      <x:c r="AD1443" s="10" t="str">
        <x:f>IF(ISNUMBER(G1443),IF(G1443&lt;0,"Убыток",IF(G1443=0,"Без прибыли","Прибыль &gt; 0")),"Не оценён")</x:f>
        <x:v>Не оценён</x:v>
      </x:c>
      <x:c r="AE1443" s="13" t="str">
        <x:f>IF(J1443="Рассчитано","Выручка "&amp;TEXT(V1443,"0.00")&amp;" - себестоимость "&amp;TEXT(W1443,"0.00")&amp;" - комиссия "&amp;TEXT(V1443*R1443/100,"0.00")&amp;" - доставка "&amp;TEXT(P1443,"0.00")&amp;" - прочие "&amp;TEXT(Q1443,"0.00")&amp;" = "&amp;TEXT(G1443,"0.00")&amp;" "&amp;L1443,"Введите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3" s="24" t="n">
        <x:v>7.392816485953591</x:v>
      </x:c>
      <x:c r="AG1443" s="37" t="n">
        <x:v>77</x:v>
      </x:c>
      <x:c r="AH1443" s="37" t="n">
        <x:v>0</x:v>
      </x:c>
      <x:c r="AI1443" s="30" t="n">
        <x:v>46287</x:v>
      </x:c>
      <x:c r="AJ1443" s="37" t="n">
        <x:v>5</x:v>
      </x:c>
      <x:c r="AK1443" s="10" t="str">
        <x:v>кратность</x:v>
      </x:c>
      <x:c r="AL1443" s="32" t="n">
        <x:v>888.0691400341135</x:v>
      </x:c>
      <x:c r="AM1443" s="13" t="str">
        <x:v>Нет ежедневных данных доступности. Запас более 180 дней при среднем спросе</x:v>
      </x:c>
      <x:c r="AN1443" s="13" t="str">
        <x:v>Проверить свободный остаток и установить цену для B2B</x:v>
      </x:c>
      <x:c r="AO1443" s="13" t="str">
        <x:v>Остаток 77; прогноз 90 дней 7.39; избыток 69 шт. Будущие поступления не выставляются на продажу.</x:v>
      </x:c>
      <x:c r="AP1443" s="13" t="str">
        <x:v>["daily_stockout_data_missing", "negative_net_sales_clipped_for_forecast", "new_order_lead_time_unknown"]</x:v>
      </x:c>
      <x:c r="AQ1443" s="10" t="str">
        <x:v>SE:300200818_</x:v>
      </x:c>
      <x:c r="AR1443" s="24" t="n">
        <x:v>1</x:v>
      </x:c>
      <x:c r="AS1443" s="24" t="n">
        <x:v>0</x:v>
      </x:c>
      <x:c r="AT1443" s="24" t="n">
        <x:v>0</x:v>
      </x:c>
    </x:row>
    <x:row r="1444" ht="64" customHeight="1">
      <x:c r="A1444" s="11" t="str">
        <x:v>Systeme Electric</x:v>
      </x:c>
      <x:c r="B1444" s="33" t="str">
        <x:v>300200819_</x:v>
      </x:c>
      <x:c r="C1444" s="33" t="str">
        <x:v>GAL000588</x:v>
      </x:c>
      <x:c r="D1444" s="12" t="str">
        <x:v>G036 Роз. 2-ная комп. RJ45+RJ45 6A механизм "ARTGALLERY" шампань GAL0588 (1)</x:v>
      </x:c>
      <x:c r="E1444" s="11" t="str">
        <x:v>шт</x:v>
      </x:c>
      <x:c r="F1444" s="35" t="n">
        <x:f>MAX(0,ROUNDDOWN((AG1444-AF1444)/AR1444+0.000000001,0)*AR1444)</x:f>
        <x:v>7</x:v>
      </x:c>
      <x:c r="G1444" s="20" t="str">
        <x:f>IF(J1444="Рассчитано",V1444*(1-R1444/100)-W1444-P1444-Q1444,"н/д")</x:f>
        <x:v>н/д</x:v>
      </x:c>
      <x:c r="H1444" s="12" t="str">
        <x:v>Средний</x:v>
      </x:c>
      <x:c r="I1444" s="12" t="str">
        <x:v>Высокий</x:v>
      </x:c>
      <x:c r="J1444" s="12" t="str">
        <x:f>IF(L1444="","Укажите валюту",IF(NOT(ISNUMBER(K1444)),"Укажите объём",IF(K1444&lt;=0,"Укажите объём",IF(K1444&gt;F1444,"Объём выше излишка",IF(COUNT(M1444:O1444)&lt;3,"Нужны цены",IF(COUNT(P1444:R1444)&lt;3,"Нужны расходы",IF(OR(M1444&lt;0,N1444&lt;0,O1444&lt;0,O1444&gt;100,P1444&lt;0,Q1444&lt;0,R1444&lt;0,R1444&gt;100),"Проверьте значения","Рассчитано")))))))</x:f>
        <x:v>Нужны цены</x:v>
      </x:c>
      <x:c r="K1444" s="36" t="n">
        <x:v>7</x:v>
      </x:c>
      <x:c r="L1444" s="19" t="str">
        <x:v>KZT</x:v>
      </x:c>
      <x:c r="M1444" s="22"/>
      <x:c r="N1444" s="22"/>
      <x:c r="O1444" s="28"/>
      <x:c r="P1444" s="22"/>
      <x:c r="Q1444" s="22"/>
      <x:c r="R1444" s="28"/>
      <x:c r="S1444" s="22"/>
      <x:c r="T1444" s="35" t="n">
        <x:f>K1444</x:f>
        <x:v>7</x:v>
      </x:c>
      <x:c r="U1444" s="20" t="str">
        <x:f>IF(J1444="Рассчитано",N1444*(1-O1444/100),"н/д")</x:f>
        <x:v>н/д</x:v>
      </x:c>
      <x:c r="V1444" s="20" t="str">
        <x:f>IF(J1444="Рассчитано",T1444*U1444,"н/д")</x:f>
        <x:v>н/д</x:v>
      </x:c>
      <x:c r="W1444" s="20" t="str">
        <x:f>IF(J1444="Рассчитано",T1444*M1444,"н/д")</x:f>
        <x:v>н/д</x:v>
      </x:c>
      <x:c r="X1444" s="20" t="str">
        <x:f>IF(J1444="Рассчитано",V1444-W1444,"н/д")</x:f>
        <x:v>н/д</x:v>
      </x:c>
      <x:c r="Y1444" s="26" t="str">
        <x:f>IF(J1444="Рассчитано",IF(V1444&gt;0,G1444/V1444,"н/д"),"н/д")</x:f>
        <x:v>н/д</x:v>
      </x:c>
      <x:c r="Z1444" s="20" t="str">
        <x:f>"н/д"</x:f>
        <x:v>н/д</x:v>
      </x:c>
      <x:c r="AA1444" s="20" t="str">
        <x:f>"н/д"</x:f>
        <x:v>н/д</x:v>
      </x:c>
      <x:c r="AB1444" s="20" t="str">
        <x:f>"н/д"</x:f>
        <x:v>н/д</x:v>
      </x:c>
      <x:c r="AC1444" s="20" t="str">
        <x:f>IF(AND(J1444="Рассчитано",T1444&gt;0,R1444&lt;100),(W1444+P1444+Q1444)/(T1444*(1-R1444/100)),"н/д")</x:f>
        <x:v>н/д</x:v>
      </x:c>
      <x:c r="AD1444" s="11" t="str">
        <x:f>IF(ISNUMBER(G1444),IF(G1444&lt;0,"Убыток",IF(G1444=0,"Без прибыли","Прибыль &gt; 0")),"Не оценён")</x:f>
        <x:v>Не оценён</x:v>
      </x:c>
      <x:c r="AE1444" s="12" t="str">
        <x:f>IF(J1444="Рассчитано","Выручка "&amp;TEXT(V1444,"0.00")&amp;" - себестоимость "&amp;TEXT(W1444,"0.00")&amp;" - комиссия "&amp;TEXT(V1444*R1444/100,"0.00")&amp;" - доставка "&amp;TEXT(P1444,"0.00")&amp;" - прочие "&amp;TEXT(Q1444,"0.00")&amp;" = "&amp;TEXT(G1444,"0.00")&amp;" "&amp;L1444,"Введите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4" s="23" t="n">
        <x:v>2.246283176987155</x:v>
      </x:c>
      <x:c r="AG1444" s="35" t="n">
        <x:v>10</x:v>
      </x:c>
      <x:c r="AH1444" s="35" t="n">
        <x:v>0</x:v>
      </x:c>
      <x:c r="AI1444" s="29" t="n">
        <x:v>46287</x:v>
      </x:c>
      <x:c r="AJ1444" s="35" t="n">
        <x:v>1</x:v>
      </x:c>
      <x:c r="AK1444" s="11" t="str">
        <x:v>кратность</x:v>
      </x:c>
      <x:c r="AL1444" s="31" t="n">
        <x:v>379.5783859652429</x:v>
      </x:c>
      <x:c r="AM1444" s="12" t="str">
        <x:v>Нет ежедневных данных доступности. Запас более 180 дней при среднем спросе</x:v>
      </x:c>
      <x:c r="AN1444" s="12" t="str">
        <x:v>Проверить свободный остаток и установить цену для B2B</x:v>
      </x:c>
      <x:c r="AO1444" s="12" t="str">
        <x:v>Остаток 10; прогноз 90 дней 2.25; избыток 7 шт. Будущие поступления не выставляются на продажу.</x:v>
      </x:c>
      <x:c r="AP1444" s="12" t="str">
        <x:v>["daily_stockout_data_missing", "negative_net_sales_clipped_for_forecast", "new_order_lead_time_unknown"]</x:v>
      </x:c>
      <x:c r="AQ1444" s="11" t="str">
        <x:v>SE:300200819_</x:v>
      </x:c>
      <x:c r="AR1444" s="23" t="n">
        <x:v>1</x:v>
      </x:c>
      <x:c r="AS1444" s="23" t="n">
        <x:v>0</x:v>
      </x:c>
      <x:c r="AT1444" s="23" t="n">
        <x:v>0</x:v>
      </x:c>
    </x:row>
    <x:row r="1445" ht="64" customHeight="1">
      <x:c r="A1445" s="10" t="str">
        <x:v>Systeme Electric</x:v>
      </x:c>
      <x:c r="B1445" s="34" t="str">
        <x:v>300200820_</x:v>
      </x:c>
      <x:c r="C1445" s="34" t="str">
        <x:v>GAL000591</x:v>
      </x:c>
      <x:c r="D1445" s="13" t="str">
        <x:v>G037 Роз. TV оконечная 1DB механизм "ARTGALLERY" шампань GAL0591 (5)</x:v>
      </x:c>
      <x:c r="E1445" s="10" t="str">
        <x:v>шт</x:v>
      </x:c>
      <x:c r="F1445" s="37" t="n">
        <x:f>MAX(0,ROUNDDOWN((AG1445-AF1445)/AR1445+0.000000001,0)*AR1445)</x:f>
        <x:v>39</x:v>
      </x:c>
      <x:c r="G1445" s="21" t="str">
        <x:f>IF(J1445="Рассчитано",V1445*(1-R1445/100)-W1445-P1445-Q1445,"н/д")</x:f>
        <x:v>н/д</x:v>
      </x:c>
      <x:c r="H1445" s="13" t="str">
        <x:v>Средний</x:v>
      </x:c>
      <x:c r="I1445" s="13" t="str">
        <x:v>Высокий</x:v>
      </x:c>
      <x:c r="J1445" s="13" t="str">
        <x:f>IF(L1445="","Укажите валюту",IF(NOT(ISNUMBER(K1445)),"Укажите объём",IF(K1445&lt;=0,"Укажите объём",IF(K1445&gt;F1445,"Объём выше излишка",IF(COUNT(M1445:O1445)&lt;3,"Нужны цены",IF(COUNT(P1445:R1445)&lt;3,"Нужны расходы",IF(OR(M1445&lt;0,N1445&lt;0,O1445&lt;0,O1445&gt;100,P1445&lt;0,Q1445&lt;0,R1445&lt;0,R1445&gt;100),"Проверьте значения","Рассчитано")))))))</x:f>
        <x:v>Нужны цены</x:v>
      </x:c>
      <x:c r="K1445" s="36" t="n">
        <x:v>39</x:v>
      </x:c>
      <x:c r="L1445" s="19" t="str">
        <x:v>KZT</x:v>
      </x:c>
      <x:c r="M1445" s="22"/>
      <x:c r="N1445" s="22"/>
      <x:c r="O1445" s="28"/>
      <x:c r="P1445" s="22"/>
      <x:c r="Q1445" s="22"/>
      <x:c r="R1445" s="28"/>
      <x:c r="S1445" s="22"/>
      <x:c r="T1445" s="37" t="n">
        <x:f>K1445</x:f>
        <x:v>39</x:v>
      </x:c>
      <x:c r="U1445" s="21" t="str">
        <x:f>IF(J1445="Рассчитано",N1445*(1-O1445/100),"н/д")</x:f>
        <x:v>н/д</x:v>
      </x:c>
      <x:c r="V1445" s="21" t="str">
        <x:f>IF(J1445="Рассчитано",T1445*U1445,"н/д")</x:f>
        <x:v>н/д</x:v>
      </x:c>
      <x:c r="W1445" s="21" t="str">
        <x:f>IF(J1445="Рассчитано",T1445*M1445,"н/д")</x:f>
        <x:v>н/д</x:v>
      </x:c>
      <x:c r="X1445" s="21" t="str">
        <x:f>IF(J1445="Рассчитано",V1445-W1445,"н/д")</x:f>
        <x:v>н/д</x:v>
      </x:c>
      <x:c r="Y1445" s="27" t="str">
        <x:f>IF(J1445="Рассчитано",IF(V1445&gt;0,G1445/V1445,"н/д"),"н/д")</x:f>
        <x:v>н/д</x:v>
      </x:c>
      <x:c r="Z1445" s="21" t="str">
        <x:f>"н/д"</x:f>
        <x:v>н/д</x:v>
      </x:c>
      <x:c r="AA1445" s="21" t="str">
        <x:f>"н/д"</x:f>
        <x:v>н/д</x:v>
      </x:c>
      <x:c r="AB1445" s="21" t="str">
        <x:f>"н/д"</x:f>
        <x:v>н/д</x:v>
      </x:c>
      <x:c r="AC1445" s="21" t="str">
        <x:f>IF(AND(J1445="Рассчитано",T1445&gt;0,R1445&lt;100),(W1445+P1445+Q1445)/(T1445*(1-R1445/100)),"н/д")</x:f>
        <x:v>н/д</x:v>
      </x:c>
      <x:c r="AD1445" s="10" t="str">
        <x:f>IF(ISNUMBER(G1445),IF(G1445&lt;0,"Убыток",IF(G1445=0,"Без прибыли","Прибыль &gt; 0")),"Не оценён")</x:f>
        <x:v>Не оценён</x:v>
      </x:c>
      <x:c r="AE1445" s="13" t="str">
        <x:f>IF(J1445="Рассчитано","Выручка "&amp;TEXT(V1445,"0.00")&amp;" - себестоимость "&amp;TEXT(W1445,"0.00")&amp;" - комиссия "&amp;TEXT(V1445*R1445/100,"0.00")&amp;" - доставка "&amp;TEXT(P1445,"0.00")&amp;" - прочие "&amp;TEXT(Q1445,"0.00")&amp;" = "&amp;TEXT(G1445,"0.00")&amp;" "&amp;L1445,"Введите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5" s="24" t="n">
        <x:v>3.475359650969087</x:v>
      </x:c>
      <x:c r="AG1445" s="37" t="n">
        <x:v>43</x:v>
      </x:c>
      <x:c r="AH1445" s="37" t="n">
        <x:v>0</x:v>
      </x:c>
      <x:c r="AI1445" s="30" t="n">
        <x:v>46287</x:v>
      </x:c>
      <x:c r="AJ1445" s="37" t="n">
        <x:v>5</x:v>
      </x:c>
      <x:c r="AK1445" s="10" t="str">
        <x:v>кратность</x:v>
      </x:c>
      <x:c r="AL1445" s="32" t="n">
        <x:v>1054.9568108056997</x:v>
      </x:c>
      <x:c r="AM1445" s="13" t="str">
        <x:v>Нет ежедневных данных доступности. Запас более 180 дней при среднем спросе</x:v>
      </x:c>
      <x:c r="AN1445" s="13" t="str">
        <x:v>Проверить свободный остаток и установить цену для B2B</x:v>
      </x:c>
      <x:c r="AO1445" s="13" t="str">
        <x:v>Остаток 43; прогноз 90 дней 3.48; избыток 39 шт. Будущие поступления не выставляются на продажу.</x:v>
      </x:c>
      <x:c r="AP1445" s="13" t="str">
        <x:v>["daily_stockout_data_missing", "negative_net_sales_clipped_for_forecast", "new_order_lead_time_unknown"]</x:v>
      </x:c>
      <x:c r="AQ1445" s="10" t="str">
        <x:v>SE:300200820_</x:v>
      </x:c>
      <x:c r="AR1445" s="24" t="n">
        <x:v>1</x:v>
      </x:c>
      <x:c r="AS1445" s="24" t="n">
        <x:v>0</x:v>
      </x:c>
      <x:c r="AT1445" s="24" t="n">
        <x:v>0</x:v>
      </x:c>
    </x:row>
    <x:row r="1446" ht="64" customHeight="1">
      <x:c r="A1446" s="11" t="str">
        <x:v>Systeme Electric</x:v>
      </x:c>
      <x:c r="B1446" s="33" t="str">
        <x:v>300200825_</x:v>
      </x:c>
      <x:c r="C1446" s="33" t="str">
        <x:v>GAL000505</x:v>
      </x:c>
      <x:c r="D1446" s="12" t="str">
        <x:v>G042 Рамка 5-ная "ARTGALLERY" шампань GAL0505 (5)</x:v>
      </x:c>
      <x:c r="E1446" s="11" t="str">
        <x:v>шт</x:v>
      </x:c>
      <x:c r="F1446" s="35" t="n">
        <x:f>MAX(0,ROUNDDOWN((AG1446-AF1446)/AR1446+0.000000001,0)*AR1446)</x:f>
        <x:v>65</x:v>
      </x:c>
      <x:c r="G1446" s="20" t="str">
        <x:f>IF(J1446="Рассчитано",V1446*(1-R1446/100)-W1446-P1446-Q1446,"н/д")</x:f>
        <x:v>н/д</x:v>
      </x:c>
      <x:c r="H1446" s="12" t="str">
        <x:v>Средний</x:v>
      </x:c>
      <x:c r="I1446" s="12" t="str">
        <x:v>Высокий</x:v>
      </x:c>
      <x:c r="J1446" s="12" t="str">
        <x:f>IF(L1446="","Укажите валюту",IF(NOT(ISNUMBER(K1446)),"Укажите объём",IF(K1446&lt;=0,"Укажите объём",IF(K1446&gt;F1446,"Объём выше излишка",IF(COUNT(M1446:O1446)&lt;3,"Нужны цены",IF(COUNT(P1446:R1446)&lt;3,"Нужны расходы",IF(OR(M1446&lt;0,N1446&lt;0,O1446&lt;0,O1446&gt;100,P1446&lt;0,Q1446&lt;0,R1446&lt;0,R1446&gt;100),"Проверьте значения","Рассчитано")))))))</x:f>
        <x:v>Нужны цены</x:v>
      </x:c>
      <x:c r="K1446" s="36" t="n">
        <x:v>65</x:v>
      </x:c>
      <x:c r="L1446" s="19" t="str">
        <x:v>KZT</x:v>
      </x:c>
      <x:c r="M1446" s="22"/>
      <x:c r="N1446" s="22"/>
      <x:c r="O1446" s="28"/>
      <x:c r="P1446" s="22"/>
      <x:c r="Q1446" s="22"/>
      <x:c r="R1446" s="28"/>
      <x:c r="S1446" s="22"/>
      <x:c r="T1446" s="35" t="n">
        <x:f>K1446</x:f>
        <x:v>65</x:v>
      </x:c>
      <x:c r="U1446" s="20" t="str">
        <x:f>IF(J1446="Рассчитано",N1446*(1-O1446/100),"н/д")</x:f>
        <x:v>н/д</x:v>
      </x:c>
      <x:c r="V1446" s="20" t="str">
        <x:f>IF(J1446="Рассчитано",T1446*U1446,"н/д")</x:f>
        <x:v>н/д</x:v>
      </x:c>
      <x:c r="W1446" s="20" t="str">
        <x:f>IF(J1446="Рассчитано",T1446*M1446,"н/д")</x:f>
        <x:v>н/д</x:v>
      </x:c>
      <x:c r="X1446" s="20" t="str">
        <x:f>IF(J1446="Рассчитано",V1446-W1446,"н/д")</x:f>
        <x:v>н/д</x:v>
      </x:c>
      <x:c r="Y1446" s="26" t="str">
        <x:f>IF(J1446="Рассчитано",IF(V1446&gt;0,G1446/V1446,"н/д"),"н/д")</x:f>
        <x:v>н/д</x:v>
      </x:c>
      <x:c r="Z1446" s="20" t="str">
        <x:f>"н/д"</x:f>
        <x:v>н/д</x:v>
      </x:c>
      <x:c r="AA1446" s="20" t="str">
        <x:f>"н/д"</x:f>
        <x:v>н/д</x:v>
      </x:c>
      <x:c r="AB1446" s="20" t="str">
        <x:f>"н/д"</x:f>
        <x:v>н/д</x:v>
      </x:c>
      <x:c r="AC1446" s="20" t="str">
        <x:f>IF(AND(J1446="Рассчитано",T1446&gt;0,R1446&lt;100),(W1446+P1446+Q1446)/(T1446*(1-R1446/100)),"н/д")</x:f>
        <x:v>н/д</x:v>
      </x:c>
      <x:c r="AD1446" s="11" t="str">
        <x:f>IF(ISNUMBER(G1446),IF(G1446&lt;0,"Убыток",IF(G1446=0,"Без прибыли","Прибыль &gt; 0")),"Не оценён")</x:f>
        <x:v>Не оценён</x:v>
      </x:c>
      <x:c r="AE1446" s="12" t="str">
        <x:f>IF(J1446="Рассчитано","Выручка "&amp;TEXT(V1446,"0.00")&amp;" - себестоимость "&amp;TEXT(W1446,"0.00")&amp;" - комиссия "&amp;TEXT(V1446*R1446/100,"0.00")&amp;" - доставка "&amp;TEXT(P1446,"0.00")&amp;" - прочие "&amp;TEXT(Q1446,"0.00")&amp;" = "&amp;TEXT(G1446,"0.00")&amp;" "&amp;L1446,"Введите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6" s="23" t="n">
        <x:v>3.0551484077216027</x:v>
      </x:c>
      <x:c r="AG1446" s="35" t="n">
        <x:v>69</x:v>
      </x:c>
      <x:c r="AH1446" s="35" t="n">
        <x:v>0</x:v>
      </x:c>
      <x:c r="AI1446" s="29" t="n">
        <x:v>46287</x:v>
      </x:c>
      <x:c r="AJ1446" s="35" t="n">
        <x:v>5</x:v>
      </x:c>
      <x:c r="AK1446" s="11" t="str">
        <x:v>кратность</x:v>
      </x:c>
      <x:c r="AL1446" s="31" t="n">
        <x:v>1925.673964003903</x:v>
      </x:c>
      <x:c r="AM1446" s="12" t="str">
        <x:v>Детальные и месячные продажи расходятся; Нет ежедневных данных доступности. Запас более 180 дней при среднем спросе</x:v>
      </x:c>
      <x:c r="AN1446" s="12" t="str">
        <x:v>Проверить свободный остаток и установить цену для B2B</x:v>
      </x:c>
      <x:c r="AO1446" s="12" t="str">
        <x:v>Остаток 69; прогноз 90 дней 3.06; избыток 65 шт. Будущие поступления не выставляются на продажу.</x:v>
      </x:c>
      <x:c r="AP1446" s="12" t="str">
        <x:v>["daily_stockout_data_missing", "large_orders_detected", "negative_net_sales_clipped_for_forecast", "new_order_lead_time_unknown", "transaction_month_mismatch"]</x:v>
      </x:c>
      <x:c r="AQ1446" s="11" t="str">
        <x:v>SE:300200825_</x:v>
      </x:c>
      <x:c r="AR1446" s="23" t="n">
        <x:v>1</x:v>
      </x:c>
      <x:c r="AS1446" s="23" t="n">
        <x:v>0</x:v>
      </x:c>
      <x:c r="AT1446" s="23" t="n">
        <x:v>0</x:v>
      </x:c>
    </x:row>
    <x:row r="1447" ht="64" customHeight="1">
      <x:c r="A1447" s="10" t="str">
        <x:v>Systeme Electric</x:v>
      </x:c>
      <x:c r="B1447" s="34" t="str">
        <x:v>300200826_</x:v>
      </x:c>
      <x:c r="C1447" s="34" t="str">
        <x:v>GAL000565</x:v>
      </x:c>
      <x:c r="D1447" s="13" t="str">
        <x:v>G043 Переключ. 2 кл механизм "ARTGALLERY" шампань GAL0565 (10)</x:v>
      </x:c>
      <x:c r="E1447" s="10" t="str">
        <x:v>шт</x:v>
      </x:c>
      <x:c r="F1447" s="37" t="n">
        <x:f>MAX(0,ROUNDDOWN((AG1447-AF1447)/AR1447+0.000000001,0)*AR1447)</x:f>
        <x:v>10</x:v>
      </x:c>
      <x:c r="G1447" s="21" t="str">
        <x:f>IF(J1447="Рассчитано",V1447*(1-R1447/100)-W1447-P1447-Q1447,"н/д")</x:f>
        <x:v>н/д</x:v>
      </x:c>
      <x:c r="H1447" s="13" t="str">
        <x:v>Средний</x:v>
      </x:c>
      <x:c r="I1447" s="13" t="str">
        <x:v>Средний</x:v>
      </x:c>
      <x:c r="J1447" s="13" t="str">
        <x:f>IF(L1447="","Укажите валюту",IF(NOT(ISNUMBER(K1447)),"Укажите объём",IF(K1447&lt;=0,"Укажите объём",IF(K1447&gt;F1447,"Объём выше излишка",IF(COUNT(M1447:O1447)&lt;3,"Нужны цены",IF(COUNT(P1447:R1447)&lt;3,"Нужны расходы",IF(OR(M1447&lt;0,N1447&lt;0,O1447&lt;0,O1447&gt;100,P1447&lt;0,Q1447&lt;0,R1447&lt;0,R1447&gt;100),"Проверьте значения","Рассчитано")))))))</x:f>
        <x:v>Нужны цены</x:v>
      </x:c>
      <x:c r="K1447" s="36" t="n">
        <x:v>10</x:v>
      </x:c>
      <x:c r="L1447" s="19" t="str">
        <x:v>KZT</x:v>
      </x:c>
      <x:c r="M1447" s="22"/>
      <x:c r="N1447" s="22"/>
      <x:c r="O1447" s="28"/>
      <x:c r="P1447" s="22"/>
      <x:c r="Q1447" s="22"/>
      <x:c r="R1447" s="28"/>
      <x:c r="S1447" s="22"/>
      <x:c r="T1447" s="37" t="n">
        <x:f>K1447</x:f>
        <x:v>10</x:v>
      </x:c>
      <x:c r="U1447" s="21" t="str">
        <x:f>IF(J1447="Рассчитано",N1447*(1-O1447/100),"н/д")</x:f>
        <x:v>н/д</x:v>
      </x:c>
      <x:c r="V1447" s="21" t="str">
        <x:f>IF(J1447="Рассчитано",T1447*U1447,"н/д")</x:f>
        <x:v>н/д</x:v>
      </x:c>
      <x:c r="W1447" s="21" t="str">
        <x:f>IF(J1447="Рассчитано",T1447*M1447,"н/д")</x:f>
        <x:v>н/д</x:v>
      </x:c>
      <x:c r="X1447" s="21" t="str">
        <x:f>IF(J1447="Рассчитано",V1447-W1447,"н/д")</x:f>
        <x:v>н/д</x:v>
      </x:c>
      <x:c r="Y1447" s="27" t="str">
        <x:f>IF(J1447="Рассчитано",IF(V1447&gt;0,G1447/V1447,"н/д"),"н/д")</x:f>
        <x:v>н/д</x:v>
      </x:c>
      <x:c r="Z1447" s="21" t="str">
        <x:f>"н/д"</x:f>
        <x:v>н/д</x:v>
      </x:c>
      <x:c r="AA1447" s="21" t="str">
        <x:f>"н/д"</x:f>
        <x:v>н/д</x:v>
      </x:c>
      <x:c r="AB1447" s="21" t="str">
        <x:f>"н/д"</x:f>
        <x:v>н/д</x:v>
      </x:c>
      <x:c r="AC1447" s="21" t="str">
        <x:f>IF(AND(J1447="Рассчитано",T1447&gt;0,R1447&lt;100),(W1447+P1447+Q1447)/(T1447*(1-R1447/100)),"н/д")</x:f>
        <x:v>н/д</x:v>
      </x:c>
      <x:c r="AD1447" s="10" t="str">
        <x:f>IF(ISNUMBER(G1447),IF(G1447&lt;0,"Убыток",IF(G1447=0,"Без прибыли","Прибыль &gt; 0")),"Не оценён")</x:f>
        <x:v>Не оценён</x:v>
      </x:c>
      <x:c r="AE1447" s="13" t="str">
        <x:f>IF(J1447="Рассчитано","Выручка "&amp;TEXT(V1447,"0.00")&amp;" - себестоимость "&amp;TEXT(W1447,"0.00")&amp;" - комиссия "&amp;TEXT(V1447*R1447/100,"0.00")&amp;" - доставка "&amp;TEXT(P1447,"0.00")&amp;" - прочие "&amp;TEXT(Q1447,"0.00")&amp;" = "&amp;TEXT(G1447,"0.00")&amp;" "&amp;L1447,"Введите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7" s="24" t="n">
        <x:v>24.921451983734904</x:v>
      </x:c>
      <x:c r="AG1447" s="37" t="n">
        <x:v>35</x:v>
      </x:c>
      <x:c r="AH1447" s="37" t="n">
        <x:v>0</x:v>
      </x:c>
      <x:c r="AI1447" s="30" t="n">
        <x:v>46287</x:v>
      </x:c>
      <x:c r="AJ1447" s="37" t="n">
        <x:v>10</x:v>
      </x:c>
      <x:c r="AK1447" s="10" t="str">
        <x:v>кратность</x:v>
      </x:c>
      <x:c r="AL1447" s="32" t="n">
        <x:v>119.74590812539748</x:v>
      </x:c>
      <x:c r="AM1447" s="13" t="str">
        <x:v>Нет ежедневных данных доступности. Запас выше прогноза на 90 дней</x:v>
      </x:c>
      <x:c r="AN1447" s="13" t="str">
        <x:v>Проверить свободный остаток и установить цену для B2B</x:v>
      </x:c>
      <x:c r="AO1447" s="13" t="str">
        <x:v>Остаток 35; прогноз 90 дней 24.92; избыток 10 шт. Будущие поступления не выставляются на продажу.</x:v>
      </x:c>
      <x:c r="AP1447" s="13" t="str">
        <x:v>["daily_stockout_data_missing", "negative_net_sales_clipped_for_forecast", "new_order_lead_time_unknown"]</x:v>
      </x:c>
      <x:c r="AQ1447" s="10" t="str">
        <x:v>SE:300200826_</x:v>
      </x:c>
      <x:c r="AR1447" s="24" t="n">
        <x:v>1</x:v>
      </x:c>
      <x:c r="AS1447" s="24" t="n">
        <x:v>0</x:v>
      </x:c>
      <x:c r="AT1447" s="24" t="n">
        <x:v>0</x:v>
      </x:c>
    </x:row>
    <x:row r="1448" ht="64" customHeight="1">
      <x:c r="A1448" s="11" t="str">
        <x:v>Systeme Electric</x:v>
      </x:c>
      <x:c r="B1448" s="33" t="str">
        <x:v>300200827_</x:v>
      </x:c>
      <x:c r="C1448" s="33" t="str">
        <x:v>GAL000515</x:v>
      </x:c>
      <x:c r="D1448" s="12" t="str">
        <x:v>G044 Выкл. 1 кл кнопочный 10А механизм "ARTGALLERY" шампань GAL0515 (5)</x:v>
      </x:c>
      <x:c r="E1448" s="11" t="str">
        <x:v>шт</x:v>
      </x:c>
      <x:c r="F1448" s="35" t="n">
        <x:f>MAX(0,ROUNDDOWN((AG1448-AF1448)/AR1448+0.000000001,0)*AR1448)</x:f>
        <x:v>48</x:v>
      </x:c>
      <x:c r="G1448" s="20" t="str">
        <x:f>IF(J1448="Рассчитано",V1448*(1-R1448/100)-W1448-P1448-Q1448,"н/д")</x:f>
        <x:v>н/д</x:v>
      </x:c>
      <x:c r="H1448" s="12" t="str">
        <x:v>Средний</x:v>
      </x:c>
      <x:c r="I1448" s="12" t="str">
        <x:v>Высокий</x:v>
      </x:c>
      <x:c r="J1448" s="12" t="str">
        <x:f>IF(L1448="","Укажите валюту",IF(NOT(ISNUMBER(K1448)),"Укажите объём",IF(K1448&lt;=0,"Укажите объём",IF(K1448&gt;F1448,"Объём выше излишка",IF(COUNT(M1448:O1448)&lt;3,"Нужны цены",IF(COUNT(P1448:R1448)&lt;3,"Нужны расходы",IF(OR(M1448&lt;0,N1448&lt;0,O1448&lt;0,O1448&gt;100,P1448&lt;0,Q1448&lt;0,R1448&lt;0,R1448&gt;100),"Проверьте значения","Рассчитано")))))))</x:f>
        <x:v>Нужны цены</x:v>
      </x:c>
      <x:c r="K1448" s="36" t="n">
        <x:v>48</x:v>
      </x:c>
      <x:c r="L1448" s="19" t="str">
        <x:v>KZT</x:v>
      </x:c>
      <x:c r="M1448" s="22"/>
      <x:c r="N1448" s="22"/>
      <x:c r="O1448" s="28"/>
      <x:c r="P1448" s="22"/>
      <x:c r="Q1448" s="22"/>
      <x:c r="R1448" s="28"/>
      <x:c r="S1448" s="22"/>
      <x:c r="T1448" s="35" t="n">
        <x:f>K1448</x:f>
        <x:v>48</x:v>
      </x:c>
      <x:c r="U1448" s="20" t="str">
        <x:f>IF(J1448="Рассчитано",N1448*(1-O1448/100),"н/д")</x:f>
        <x:v>н/д</x:v>
      </x:c>
      <x:c r="V1448" s="20" t="str">
        <x:f>IF(J1448="Рассчитано",T1448*U1448,"н/д")</x:f>
        <x:v>н/д</x:v>
      </x:c>
      <x:c r="W1448" s="20" t="str">
        <x:f>IF(J1448="Рассчитано",T1448*M1448,"н/д")</x:f>
        <x:v>н/д</x:v>
      </x:c>
      <x:c r="X1448" s="20" t="str">
        <x:f>IF(J1448="Рассчитано",V1448-W1448,"н/д")</x:f>
        <x:v>н/д</x:v>
      </x:c>
      <x:c r="Y1448" s="26" t="str">
        <x:f>IF(J1448="Рассчитано",IF(V1448&gt;0,G1448/V1448,"н/д"),"н/д")</x:f>
        <x:v>н/д</x:v>
      </x:c>
      <x:c r="Z1448" s="20" t="str">
        <x:f>"н/д"</x:f>
        <x:v>н/д</x:v>
      </x:c>
      <x:c r="AA1448" s="20" t="str">
        <x:f>"н/д"</x:f>
        <x:v>н/д</x:v>
      </x:c>
      <x:c r="AB1448" s="20" t="str">
        <x:f>"н/д"</x:f>
        <x:v>н/д</x:v>
      </x:c>
      <x:c r="AC1448" s="20" t="str">
        <x:f>IF(AND(J1448="Рассчитано",T1448&gt;0,R1448&lt;100),(W1448+P1448+Q1448)/(T1448*(1-R1448/100)),"н/д")</x:f>
        <x:v>н/д</x:v>
      </x:c>
      <x:c r="AD1448" s="11" t="str">
        <x:f>IF(ISNUMBER(G1448),IF(G1448&lt;0,"Убыток",IF(G1448=0,"Без прибыли","Прибыль &gt; 0")),"Не оценён")</x:f>
        <x:v>Не оценён</x:v>
      </x:c>
      <x:c r="AE1448" s="12" t="str">
        <x:f>IF(J1448="Рассчитано","Выручка "&amp;TEXT(V1448,"0.00")&amp;" - себестоимость "&amp;TEXT(W1448,"0.00")&amp;" - комиссия "&amp;TEXT(V1448*R1448/100,"0.00")&amp;" - доставка "&amp;TEXT(P1448,"0.00")&amp;" - прочие "&amp;TEXT(Q1448,"0.00")&amp;" = "&amp;TEXT(G1448,"0.00")&amp;" "&amp;L1448,"Введите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8" s="23" t="n">
        <x:v>0</x:v>
      </x:c>
      <x:c r="AG1448" s="35" t="n">
        <x:v>48</x:v>
      </x:c>
      <x:c r="AH1448" s="35" t="n">
        <x:v>0</x:v>
      </x:c>
      <x:c r="AI1448" s="29" t="n">
        <x:v>46287</x:v>
      </x:c>
      <x:c r="AJ1448" s="35" t="n">
        <x:v>5</x:v>
      </x:c>
      <x:c r="AK1448" s="11" t="str">
        <x:v>кратность</x:v>
      </x:c>
      <x:c r="AL1448" s="31" t="str">
        <x:v>н/д</x:v>
      </x:c>
      <x:c r="AM1448" s="12" t="str">
        <x:v>Нет ежедневных данных доступности. Нет положительных чистых продаж за 12 месяцев</x:v>
      </x:c>
      <x:c r="AN1448" s="12" t="str">
        <x:v>Проверить свободный остаток и установить цену для B2B</x:v>
      </x:c>
      <x:c r="AO1448" s="12" t="str">
        <x:v>Остаток 48; прогноз 90 дней 0.00; избыток 48 шт. Будущие поступления не выставляются на продажу.</x:v>
      </x:c>
      <x:c r="AP1448" s="12" t="str">
        <x:v>["daily_stockout_data_missing", "negative_net_sales_clipped_for_forecast", "new_order_lead_time_unknown"]</x:v>
      </x:c>
      <x:c r="AQ1448" s="11" t="str">
        <x:v>SE:300200827_</x:v>
      </x:c>
      <x:c r="AR1448" s="23" t="n">
        <x:v>1</x:v>
      </x:c>
      <x:c r="AS1448" s="23" t="n">
        <x:v>0</x:v>
      </x:c>
      <x:c r="AT1448" s="23" t="n">
        <x:v>0</x:v>
      </x:c>
    </x:row>
    <x:row r="1449" ht="64" customHeight="1">
      <x:c r="A1449" s="10" t="str">
        <x:v>Systeme Electric</x:v>
      </x:c>
      <x:c r="B1449" s="34" t="str">
        <x:v>300200828_</x:v>
      </x:c>
      <x:c r="C1449" s="34" t="str">
        <x:v>GAL000599</x:v>
      </x:c>
      <x:c r="D1449" s="13" t="str">
        <x:v>G045 Вывод кабеля механизм "ARTGALLERY" шампань GAL0599 (5)</x:v>
      </x:c>
      <x:c r="E1449" s="10" t="str">
        <x:v>шт</x:v>
      </x:c>
      <x:c r="F1449" s="37" t="n">
        <x:f>MAX(0,ROUNDDOWN((AG1449-AF1449)/AR1449+0.000000001,0)*AR1449)</x:f>
        <x:v>25</x:v>
      </x:c>
      <x:c r="G1449" s="21" t="str">
        <x:f>IF(J1449="Рассчитано",V1449*(1-R1449/100)-W1449-P1449-Q1449,"н/д")</x:f>
        <x:v>н/д</x:v>
      </x:c>
      <x:c r="H1449" s="13" t="str">
        <x:v>Средний</x:v>
      </x:c>
      <x:c r="I1449" s="13" t="str">
        <x:v>Высокий</x:v>
      </x:c>
      <x:c r="J1449" s="13" t="str">
        <x:f>IF(L1449="","Укажите валюту",IF(NOT(ISNUMBER(K1449)),"Укажите объём",IF(K1449&lt;=0,"Укажите объём",IF(K1449&gt;F1449,"Объём выше излишка",IF(COUNT(M1449:O1449)&lt;3,"Нужны цены",IF(COUNT(P1449:R1449)&lt;3,"Нужны расходы",IF(OR(M1449&lt;0,N1449&lt;0,O1449&lt;0,O1449&gt;100,P1449&lt;0,Q1449&lt;0,R1449&lt;0,R1449&gt;100),"Проверьте значения","Рассчитано")))))))</x:f>
        <x:v>Нужны цены</x:v>
      </x:c>
      <x:c r="K1449" s="36" t="n">
        <x:v>25</x:v>
      </x:c>
      <x:c r="L1449" s="19" t="str">
        <x:v>KZT</x:v>
      </x:c>
      <x:c r="M1449" s="22"/>
      <x:c r="N1449" s="22"/>
      <x:c r="O1449" s="28"/>
      <x:c r="P1449" s="22"/>
      <x:c r="Q1449" s="22"/>
      <x:c r="R1449" s="28"/>
      <x:c r="S1449" s="22"/>
      <x:c r="T1449" s="37" t="n">
        <x:f>K1449</x:f>
        <x:v>25</x:v>
      </x:c>
      <x:c r="U1449" s="21" t="str">
        <x:f>IF(J1449="Рассчитано",N1449*(1-O1449/100),"н/д")</x:f>
        <x:v>н/д</x:v>
      </x:c>
      <x:c r="V1449" s="21" t="str">
        <x:f>IF(J1449="Рассчитано",T1449*U1449,"н/д")</x:f>
        <x:v>н/д</x:v>
      </x:c>
      <x:c r="W1449" s="21" t="str">
        <x:f>IF(J1449="Рассчитано",T1449*M1449,"н/д")</x:f>
        <x:v>н/д</x:v>
      </x:c>
      <x:c r="X1449" s="21" t="str">
        <x:f>IF(J1449="Рассчитано",V1449-W1449,"н/д")</x:f>
        <x:v>н/д</x:v>
      </x:c>
      <x:c r="Y1449" s="27" t="str">
        <x:f>IF(J1449="Рассчитано",IF(V1449&gt;0,G1449/V1449,"н/д"),"н/д")</x:f>
        <x:v>н/д</x:v>
      </x:c>
      <x:c r="Z1449" s="21" t="str">
        <x:f>"н/д"</x:f>
        <x:v>н/д</x:v>
      </x:c>
      <x:c r="AA1449" s="21" t="str">
        <x:f>"н/д"</x:f>
        <x:v>н/д</x:v>
      </x:c>
      <x:c r="AB1449" s="21" t="str">
        <x:f>"н/д"</x:f>
        <x:v>н/д</x:v>
      </x:c>
      <x:c r="AC1449" s="21" t="str">
        <x:f>IF(AND(J1449="Рассчитано",T1449&gt;0,R1449&lt;100),(W1449+P1449+Q1449)/(T1449*(1-R1449/100)),"н/д")</x:f>
        <x:v>н/д</x:v>
      </x:c>
      <x:c r="AD1449" s="10" t="str">
        <x:f>IF(ISNUMBER(G1449),IF(G1449&lt;0,"Убыток",IF(G1449=0,"Без прибыли","Прибыль &gt; 0")),"Не оценён")</x:f>
        <x:v>Не оценён</x:v>
      </x:c>
      <x:c r="AE1449" s="13" t="str">
        <x:f>IF(J1449="Рассчитано","Выручка "&amp;TEXT(V1449,"0.00")&amp;" - себестоимость "&amp;TEXT(W1449,"0.00")&amp;" - комиссия "&amp;TEXT(V1449*R1449/100,"0.00")&amp;" - доставка "&amp;TEXT(P1449,"0.00")&amp;" - прочие "&amp;TEXT(Q1449,"0.00")&amp;" = "&amp;TEXT(G1449,"0.00")&amp;" "&amp;L1449,"Введите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9" s="24" t="n">
        <x:v>2.903813109981958</x:v>
      </x:c>
      <x:c r="AG1449" s="37" t="n">
        <x:v>28</x:v>
      </x:c>
      <x:c r="AH1449" s="37" t="n">
        <x:v>0</x:v>
      </x:c>
      <x:c r="AI1449" s="30" t="n">
        <x:v>46287</x:v>
      </x:c>
      <x:c r="AJ1449" s="37" t="n">
        <x:v>5</x:v>
      </x:c>
      <x:c r="AK1449" s="10" t="str">
        <x:v>кратность</x:v>
      </x:c>
      <x:c r="AL1449" s="32" t="n">
        <x:v>822.1581173629631</x:v>
      </x:c>
      <x:c r="AM1449" s="13" t="str">
        <x:v>Детальные и месячные продажи расходятся; Нет ежедневных данных доступности. Запас более 180 дней при среднем спросе</x:v>
      </x:c>
      <x:c r="AN1449" s="13" t="str">
        <x:v>Проверить свободный остаток и установить цену для B2B</x:v>
      </x:c>
      <x:c r="AO1449" s="13" t="str">
        <x:v>Остаток 28; прогноз 90 дней 2.90; избыток 25 шт. Будущие поступления не выставляются на продажу.</x:v>
      </x:c>
      <x:c r="AP1449" s="13" t="str">
        <x:v>["daily_stockout_data_missing", "large_orders_detected", "negative_net_sales_clipped_for_forecast", "new_order_lead_time_unknown", "transaction_month_mismatch"]</x:v>
      </x:c>
      <x:c r="AQ1449" s="10" t="str">
        <x:v>SE:300200828_</x:v>
      </x:c>
      <x:c r="AR1449" s="24" t="n">
        <x:v>1</x:v>
      </x:c>
      <x:c r="AS1449" s="24" t="n">
        <x:v>0</x:v>
      </x:c>
      <x:c r="AT1449" s="24" t="n">
        <x:v>0</x:v>
      </x:c>
    </x:row>
    <x:row r="1450" ht="64" customHeight="1">
      <x:c r="A1450" s="11" t="str">
        <x:v>Systeme Electric</x:v>
      </x:c>
      <x:c r="B1450" s="33" t="str">
        <x:v>300200829_</x:v>
      </x:c>
      <x:c r="C1450" s="33" t="str">
        <x:v>GAL000589</x:v>
      </x:c>
      <x:c r="D1450" s="12" t="str">
        <x:v>G046 Роз. 2-ная TV комп. RJ45 5Е "ARTGALLERY" шампань GAL0589 (5)</x:v>
      </x:c>
      <x:c r="E1450" s="11" t="str">
        <x:v>шт</x:v>
      </x:c>
      <x:c r="F1450" s="35" t="n">
        <x:f>MAX(0,ROUNDDOWN((AG1450-AF1450)/AR1450+0.000000001,0)*AR1450)</x:f>
        <x:v>178</x:v>
      </x:c>
      <x:c r="G1450" s="20" t="str">
        <x:f>IF(J1450="Рассчитано",V1450*(1-R1450/100)-W1450-P1450-Q1450,"н/д")</x:f>
        <x:v>н/д</x:v>
      </x:c>
      <x:c r="H1450" s="12" t="str">
        <x:v>Средний</x:v>
      </x:c>
      <x:c r="I1450" s="12" t="str">
        <x:v>Высокий</x:v>
      </x:c>
      <x:c r="J1450" s="12" t="str">
        <x:f>IF(L1450="","Укажите валюту",IF(NOT(ISNUMBER(K1450)),"Укажите объём",IF(K1450&lt;=0,"Укажите объём",IF(K1450&gt;F1450,"Объём выше излишка",IF(COUNT(M1450:O1450)&lt;3,"Нужны цены",IF(COUNT(P1450:R1450)&lt;3,"Нужны расходы",IF(OR(M1450&lt;0,N1450&lt;0,O1450&lt;0,O1450&gt;100,P1450&lt;0,Q1450&lt;0,R1450&lt;0,R1450&gt;100),"Проверьте значения","Рассчитано")))))))</x:f>
        <x:v>Нужны цены</x:v>
      </x:c>
      <x:c r="K1450" s="36" t="n">
        <x:v>178</x:v>
      </x:c>
      <x:c r="L1450" s="19" t="str">
        <x:v>KZT</x:v>
      </x:c>
      <x:c r="M1450" s="22"/>
      <x:c r="N1450" s="22"/>
      <x:c r="O1450" s="28"/>
      <x:c r="P1450" s="22"/>
      <x:c r="Q1450" s="22"/>
      <x:c r="R1450" s="28"/>
      <x:c r="S1450" s="22"/>
      <x:c r="T1450" s="35" t="n">
        <x:f>K1450</x:f>
        <x:v>178</x:v>
      </x:c>
      <x:c r="U1450" s="20" t="str">
        <x:f>IF(J1450="Рассчитано",N1450*(1-O1450/100),"н/д")</x:f>
        <x:v>н/д</x:v>
      </x:c>
      <x:c r="V1450" s="20" t="str">
        <x:f>IF(J1450="Рассчитано",T1450*U1450,"н/д")</x:f>
        <x:v>н/д</x:v>
      </x:c>
      <x:c r="W1450" s="20" t="str">
        <x:f>IF(J1450="Рассчитано",T1450*M1450,"н/д")</x:f>
        <x:v>н/д</x:v>
      </x:c>
      <x:c r="X1450" s="20" t="str">
        <x:f>IF(J1450="Рассчитано",V1450-W1450,"н/д")</x:f>
        <x:v>н/д</x:v>
      </x:c>
      <x:c r="Y1450" s="26" t="str">
        <x:f>IF(J1450="Рассчитано",IF(V1450&gt;0,G1450/V1450,"н/д"),"н/д")</x:f>
        <x:v>н/д</x:v>
      </x:c>
      <x:c r="Z1450" s="20" t="str">
        <x:f>"н/д"</x:f>
        <x:v>н/д</x:v>
      </x:c>
      <x:c r="AA1450" s="20" t="str">
        <x:f>"н/д"</x:f>
        <x:v>н/д</x:v>
      </x:c>
      <x:c r="AB1450" s="20" t="str">
        <x:f>"н/д"</x:f>
        <x:v>н/д</x:v>
      </x:c>
      <x:c r="AC1450" s="20" t="str">
        <x:f>IF(AND(J1450="Рассчитано",T1450&gt;0,R1450&lt;100),(W1450+P1450+Q1450)/(T1450*(1-R1450/100)),"н/д")</x:f>
        <x:v>н/д</x:v>
      </x:c>
      <x:c r="AD1450" s="11" t="str">
        <x:f>IF(ISNUMBER(G1450),IF(G1450&lt;0,"Убыток",IF(G1450=0,"Без прибыли","Прибыль &gt; 0")),"Не оценён")</x:f>
        <x:v>Не оценён</x:v>
      </x:c>
      <x:c r="AE1450" s="12" t="str">
        <x:f>IF(J1450="Рассчитано","Выручка "&amp;TEXT(V1450,"0.00")&amp;" - себестоимость "&amp;TEXT(W1450,"0.00")&amp;" - комиссия "&amp;TEXT(V1450*R1450/100,"0.00")&amp;" - доставка "&amp;TEXT(P1450,"0.00")&amp;" - прочие "&amp;TEXT(Q1450,"0.00")&amp;" = "&amp;TEXT(G1450,"0.00")&amp;" "&amp;L1450,"Введите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0" s="23" t="n">
        <x:v>0</x:v>
      </x:c>
      <x:c r="AG1450" s="35" t="n">
        <x:v>178</x:v>
      </x:c>
      <x:c r="AH1450" s="35" t="n">
        <x:v>0</x:v>
      </x:c>
      <x:c r="AI1450" s="29" t="n">
        <x:v>46287</x:v>
      </x:c>
      <x:c r="AJ1450" s="35" t="n">
        <x:v>5</x:v>
      </x:c>
      <x:c r="AK1450" s="11" t="str">
        <x:v>кратность</x:v>
      </x:c>
      <x:c r="AL1450" s="31" t="str">
        <x:v>н/д</x:v>
      </x:c>
      <x:c r="AM1450" s="12" t="str">
        <x:v>Нет ежедневных данных доступности. Нет положительных чистых продаж за 12 месяцев</x:v>
      </x:c>
      <x:c r="AN1450" s="12" t="str">
        <x:v>Проверить свободный остаток и установить цену для B2B</x:v>
      </x:c>
      <x:c r="AO1450" s="12" t="str">
        <x:v>Остаток 178; прогноз 90 дней 0.00; избыток 178 шт. Будущие поступления не выставляются на продажу.</x:v>
      </x:c>
      <x:c r="AP1450" s="12" t="str">
        <x:v>["daily_stockout_data_missing", "negative_net_sales_clipped_for_forecast", "new_order_lead_time_unknown"]</x:v>
      </x:c>
      <x:c r="AQ1450" s="11" t="str">
        <x:v>SE:300200829_</x:v>
      </x:c>
      <x:c r="AR1450" s="23" t="n">
        <x:v>1</x:v>
      </x:c>
      <x:c r="AS1450" s="23" t="n">
        <x:v>0</x:v>
      </x:c>
      <x:c r="AT1450" s="23" t="n">
        <x:v>0</x:v>
      </x:c>
    </x:row>
    <x:row r="1451" ht="64" customHeight="1">
      <x:c r="A1451" s="10" t="str">
        <x:v>Systeme Electric</x:v>
      </x:c>
      <x:c r="B1451" s="34" t="str">
        <x:v>300200830_</x:v>
      </x:c>
      <x:c r="C1451" s="34" t="str">
        <x:v>GAL000529</x:v>
      </x:c>
      <x:c r="D1451" s="13" t="str">
        <x:v>G047 Роз. USB A+C 45Вт высокоскор.заряд., механизм "ARTGALLERY" шампань GAL0529 (1)</x:v>
      </x:c>
      <x:c r="E1451" s="10" t="str">
        <x:v>шт</x:v>
      </x:c>
      <x:c r="F1451" s="37" t="n">
        <x:f>MAX(0,ROUNDDOWN((AG1451-AF1451)/AR1451+0.000000001,0)*AR1451)</x:f>
        <x:v>1</x:v>
      </x:c>
      <x:c r="G1451" s="21" t="str">
        <x:f>IF(J1451="Рассчитано",V1451*(1-R1451/100)-W1451-P1451-Q1451,"н/д")</x:f>
        <x:v>н/д</x:v>
      </x:c>
      <x:c r="H1451" s="13" t="str">
        <x:v>Средний</x:v>
      </x:c>
      <x:c r="I1451" s="13" t="str">
        <x:v>Высокий</x:v>
      </x:c>
      <x:c r="J1451" s="13" t="str">
        <x:f>IF(L1451="","Укажите валюту",IF(NOT(ISNUMBER(K1451)),"Укажите объём",IF(K1451&lt;=0,"Укажите объём",IF(K1451&gt;F1451,"Объём выше излишка",IF(COUNT(M1451:O1451)&lt;3,"Нужны цены",IF(COUNT(P1451:R1451)&lt;3,"Нужны расходы",IF(OR(M1451&lt;0,N1451&lt;0,O1451&lt;0,O1451&gt;100,P1451&lt;0,Q1451&lt;0,R1451&lt;0,R1451&gt;100),"Проверьте значения","Рассчитано")))))))</x:f>
        <x:v>Нужны цены</x:v>
      </x:c>
      <x:c r="K1451" s="36" t="n">
        <x:v>1</x:v>
      </x:c>
      <x:c r="L1451" s="19" t="str">
        <x:v>KZT</x:v>
      </x:c>
      <x:c r="M1451" s="22"/>
      <x:c r="N1451" s="22"/>
      <x:c r="O1451" s="28"/>
      <x:c r="P1451" s="22"/>
      <x:c r="Q1451" s="22"/>
      <x:c r="R1451" s="28"/>
      <x:c r="S1451" s="22"/>
      <x:c r="T1451" s="37" t="n">
        <x:f>K1451</x:f>
        <x:v>1</x:v>
      </x:c>
      <x:c r="U1451" s="21" t="str">
        <x:f>IF(J1451="Рассчитано",N1451*(1-O1451/100),"н/д")</x:f>
        <x:v>н/д</x:v>
      </x:c>
      <x:c r="V1451" s="21" t="str">
        <x:f>IF(J1451="Рассчитано",T1451*U1451,"н/д")</x:f>
        <x:v>н/д</x:v>
      </x:c>
      <x:c r="W1451" s="21" t="str">
        <x:f>IF(J1451="Рассчитано",T1451*M1451,"н/д")</x:f>
        <x:v>н/д</x:v>
      </x:c>
      <x:c r="X1451" s="21" t="str">
        <x:f>IF(J1451="Рассчитано",V1451-W1451,"н/д")</x:f>
        <x:v>н/д</x:v>
      </x:c>
      <x:c r="Y1451" s="27" t="str">
        <x:f>IF(J1451="Рассчитано",IF(V1451&gt;0,G1451/V1451,"н/д"),"н/д")</x:f>
        <x:v>н/д</x:v>
      </x:c>
      <x:c r="Z1451" s="21" t="str">
        <x:f>"н/д"</x:f>
        <x:v>н/д</x:v>
      </x:c>
      <x:c r="AA1451" s="21" t="str">
        <x:f>"н/д"</x:f>
        <x:v>н/д</x:v>
      </x:c>
      <x:c r="AB1451" s="21" t="str">
        <x:f>"н/д"</x:f>
        <x:v>н/д</x:v>
      </x:c>
      <x:c r="AC1451" s="21" t="str">
        <x:f>IF(AND(J1451="Рассчитано",T1451&gt;0,R1451&lt;100),(W1451+P1451+Q1451)/(T1451*(1-R1451/100)),"н/д")</x:f>
        <x:v>н/д</x:v>
      </x:c>
      <x:c r="AD1451" s="10" t="str">
        <x:f>IF(ISNUMBER(G1451),IF(G1451&lt;0,"Убыток",IF(G1451=0,"Без прибыли","Прибыль &gt; 0")),"Не оценён")</x:f>
        <x:v>Не оценён</x:v>
      </x:c>
      <x:c r="AE1451" s="13" t="str">
        <x:f>IF(J1451="Рассчитано","Выручка "&amp;TEXT(V1451,"0.00")&amp;" - себестоимость "&amp;TEXT(W1451,"0.00")&amp;" - комиссия "&amp;TEXT(V1451*R1451/100,"0.00")&amp;" - доставка "&amp;TEXT(P1451,"0.00")&amp;" - прочие "&amp;TEXT(Q1451,"0.00")&amp;" = "&amp;TEXT(G1451,"0.00")&amp;" "&amp;L1451,"Введите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1" s="24" t="n">
        <x:v>0.8238564891905077</x:v>
      </x:c>
      <x:c r="AG1451" s="37" t="n">
        <x:v>2</x:v>
      </x:c>
      <x:c r="AH1451" s="37" t="n">
        <x:v>0</x:v>
      </x:c>
      <x:c r="AI1451" s="30" t="n">
        <x:v>46287</x:v>
      </x:c>
      <x:c r="AJ1451" s="37" t="n">
        <x:v>1</x:v>
      </x:c>
      <x:c r="AK1451" s="10" t="str">
        <x:v>кратность</x:v>
      </x:c>
      <x:c r="AL1451" s="32" t="n">
        <x:v>206.98763775701698</x:v>
      </x:c>
      <x:c r="AM1451" s="13" t="str">
        <x:v>Нет ежедневных данных доступности. Запас более 180 дней при среднем спросе</x:v>
      </x:c>
      <x:c r="AN1451" s="13" t="str">
        <x:v>Проверить свободный остаток и установить цену для B2B</x:v>
      </x:c>
      <x:c r="AO1451" s="13" t="str">
        <x:v>Остаток 2; прогноз 90 дней 0.82; избыток 1 шт. Будущие поступления не выставляются на продажу.</x:v>
      </x:c>
      <x:c r="AP1451" s="13" t="str">
        <x:v>["daily_stockout_data_missing", "new_order_lead_time_unknown"]</x:v>
      </x:c>
      <x:c r="AQ1451" s="10" t="str">
        <x:v>SE:300200830_</x:v>
      </x:c>
      <x:c r="AR1451" s="24" t="n">
        <x:v>1</x:v>
      </x:c>
      <x:c r="AS1451" s="24" t="n">
        <x:v>0</x:v>
      </x:c>
      <x:c r="AT1451" s="24" t="n">
        <x:v>0</x:v>
      </x:c>
    </x:row>
    <x:row r="1452" ht="64" customHeight="1">
      <x:c r="A1452" s="11" t="str">
        <x:v>Systeme Electric</x:v>
      </x:c>
      <x:c r="B1452" s="33" t="str">
        <x:v>300200831_</x:v>
      </x:c>
      <x:c r="C1452" s="33" t="str">
        <x:v>GAL000523</x:v>
      </x:c>
      <x:c r="D1452" s="12" t="str">
        <x:v>G048 Диммер поворотно-нажимной механизм 400Вт "ARTGALLERY" шампань GAL0523 (1)</x:v>
      </x:c>
      <x:c r="E1452" s="11" t="str">
        <x:v>шт</x:v>
      </x:c>
      <x:c r="F1452" s="35" t="n">
        <x:f>MAX(0,ROUNDDOWN((AG1452-AF1452)/AR1452+0.000000001,0)*AR1452)</x:f>
        <x:v>2</x:v>
      </x:c>
      <x:c r="G1452" s="20" t="str">
        <x:f>IF(J1452="Рассчитано",V1452*(1-R1452/100)-W1452-P1452-Q1452,"н/д")</x:f>
        <x:v>н/д</x:v>
      </x:c>
      <x:c r="H1452" s="12" t="str">
        <x:v>Средний</x:v>
      </x:c>
      <x:c r="I1452" s="12" t="str">
        <x:v>Высокий</x:v>
      </x:c>
      <x:c r="J1452" s="12" t="str">
        <x:f>IF(L1452="","Укажите валюту",IF(NOT(ISNUMBER(K1452)),"Укажите объём",IF(K1452&lt;=0,"Укажите объём",IF(K1452&gt;F1452,"Объём выше излишка",IF(COUNT(M1452:O1452)&lt;3,"Нужны цены",IF(COUNT(P1452:R1452)&lt;3,"Нужны расходы",IF(OR(M1452&lt;0,N1452&lt;0,O1452&lt;0,O1452&gt;100,P1452&lt;0,Q1452&lt;0,R1452&lt;0,R1452&gt;100),"Проверьте значения","Рассчитано")))))))</x:f>
        <x:v>Нужны цены</x:v>
      </x:c>
      <x:c r="K1452" s="36" t="n">
        <x:v>2</x:v>
      </x:c>
      <x:c r="L1452" s="19" t="str">
        <x:v>KZT</x:v>
      </x:c>
      <x:c r="M1452" s="22"/>
      <x:c r="N1452" s="22"/>
      <x:c r="O1452" s="28"/>
      <x:c r="P1452" s="22"/>
      <x:c r="Q1452" s="22"/>
      <x:c r="R1452" s="28"/>
      <x:c r="S1452" s="22"/>
      <x:c r="T1452" s="35" t="n">
        <x:f>K1452</x:f>
        <x:v>2</x:v>
      </x:c>
      <x:c r="U1452" s="20" t="str">
        <x:f>IF(J1452="Рассчитано",N1452*(1-O1452/100),"н/д")</x:f>
        <x:v>н/д</x:v>
      </x:c>
      <x:c r="V1452" s="20" t="str">
        <x:f>IF(J1452="Рассчитано",T1452*U1452,"н/д")</x:f>
        <x:v>н/д</x:v>
      </x:c>
      <x:c r="W1452" s="20" t="str">
        <x:f>IF(J1452="Рассчитано",T1452*M1452,"н/д")</x:f>
        <x:v>н/д</x:v>
      </x:c>
      <x:c r="X1452" s="20" t="str">
        <x:f>IF(J1452="Рассчитано",V1452-W1452,"н/д")</x:f>
        <x:v>н/д</x:v>
      </x:c>
      <x:c r="Y1452" s="26" t="str">
        <x:f>IF(J1452="Рассчитано",IF(V1452&gt;0,G1452/V1452,"н/д"),"н/д")</x:f>
        <x:v>н/д</x:v>
      </x:c>
      <x:c r="Z1452" s="20" t="str">
        <x:f>"н/д"</x:f>
        <x:v>н/д</x:v>
      </x:c>
      <x:c r="AA1452" s="20" t="str">
        <x:f>"н/д"</x:f>
        <x:v>н/д</x:v>
      </x:c>
      <x:c r="AB1452" s="20" t="str">
        <x:f>"н/д"</x:f>
        <x:v>н/д</x:v>
      </x:c>
      <x:c r="AC1452" s="20" t="str">
        <x:f>IF(AND(J1452="Рассчитано",T1452&gt;0,R1452&lt;100),(W1452+P1452+Q1452)/(T1452*(1-R1452/100)),"н/д")</x:f>
        <x:v>н/д</x:v>
      </x:c>
      <x:c r="AD1452" s="11" t="str">
        <x:f>IF(ISNUMBER(G1452),IF(G1452&lt;0,"Убыток",IF(G1452=0,"Без прибыли","Прибыль &gt; 0")),"Не оценён")</x:f>
        <x:v>Не оценён</x:v>
      </x:c>
      <x:c r="AE1452" s="12" t="str">
        <x:f>IF(J1452="Рассчитано","Выручка "&amp;TEXT(V1452,"0.00")&amp;" - себестоимость "&amp;TEXT(W1452,"0.00")&amp;" - комиссия "&amp;TEXT(V1452*R1452/100,"0.00")&amp;" - доставка "&amp;TEXT(P1452,"0.00")&amp;" - прочие "&amp;TEXT(Q1452,"0.00")&amp;" = "&amp;TEXT(G1452,"0.00")&amp;" "&amp;L1452,"Введите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2" s="23" t="n">
        <x:v>1.209392305410425</x:v>
      </x:c>
      <x:c r="AG1452" s="35" t="n">
        <x:v>4</x:v>
      </x:c>
      <x:c r="AH1452" s="35" t="n">
        <x:v>0</x:v>
      </x:c>
      <x:c r="AI1452" s="29" t="n">
        <x:v>46287</x:v>
      </x:c>
      <x:c r="AJ1452" s="35" t="n">
        <x:v>1</x:v>
      </x:c>
      <x:c r="AK1452" s="11" t="str">
        <x:v>кратность</x:v>
      </x:c>
      <x:c r="AL1452" s="31" t="n">
        <x:v>282.00627337456285</x:v>
      </x:c>
      <x:c r="AM1452" s="12" t="str">
        <x:v>Нет ежедневных данных доступности. Запас более 180 дней при среднем спросе</x:v>
      </x:c>
      <x:c r="AN1452" s="12" t="str">
        <x:v>Проверить свободный остаток и установить цену для B2B</x:v>
      </x:c>
      <x:c r="AO1452" s="12" t="str">
        <x:v>Остаток 4; прогноз 90 дней 1.21; избыток 2 шт. Будущие поступления не выставляются на продажу.</x:v>
      </x:c>
      <x:c r="AP1452" s="12" t="str">
        <x:v>["daily_stockout_data_missing", "new_order_lead_time_unknown"]</x:v>
      </x:c>
      <x:c r="AQ1452" s="11" t="str">
        <x:v>SE:300200831_</x:v>
      </x:c>
      <x:c r="AR1452" s="23" t="n">
        <x:v>1</x:v>
      </x:c>
      <x:c r="AS1452" s="23" t="n">
        <x:v>0</x:v>
      </x:c>
      <x:c r="AT1452" s="23" t="n">
        <x:v>0</x:v>
      </x:c>
    </x:row>
    <x:row r="1453" ht="64" customHeight="1">
      <x:c r="A1453" s="10" t="str">
        <x:v>Systeme Electric</x:v>
      </x:c>
      <x:c r="B1453" s="34" t="str">
        <x:v>300200832_</x:v>
      </x:c>
      <x:c r="C1453" s="34" t="str">
        <x:v>GAL000546</x:v>
      </x:c>
      <x:c r="D1453" s="13" t="str">
        <x:v>G049 Роз. с з/к с/ш с крышкой 16А механизм IP20 "ARTGALLERY" шампань GAL0546 (10)</x:v>
      </x:c>
      <x:c r="E1453" s="10" t="str">
        <x:v>шт</x:v>
      </x:c>
      <x:c r="F1453" s="37" t="n">
        <x:f>MAX(0,ROUNDDOWN((AG1453-AF1453)/AR1453+0.000000001,0)*AR1453)</x:f>
        <x:v>60</x:v>
      </x:c>
      <x:c r="G1453" s="21" t="str">
        <x:f>IF(J1453="Рассчитано",V1453*(1-R1453/100)-W1453-P1453-Q1453,"н/д")</x:f>
        <x:v>н/д</x:v>
      </x:c>
      <x:c r="H1453" s="13" t="str">
        <x:v>Средний</x:v>
      </x:c>
      <x:c r="I1453" s="13" t="str">
        <x:v>Высокий</x:v>
      </x:c>
      <x:c r="J1453" s="13" t="str">
        <x:f>IF(L1453="","Укажите валюту",IF(NOT(ISNUMBER(K1453)),"Укажите объём",IF(K1453&lt;=0,"Укажите объём",IF(K1453&gt;F1453,"Объём выше излишка",IF(COUNT(M1453:O1453)&lt;3,"Нужны цены",IF(COUNT(P1453:R1453)&lt;3,"Нужны расходы",IF(OR(M1453&lt;0,N1453&lt;0,O1453&lt;0,O1453&gt;100,P1453&lt;0,Q1453&lt;0,R1453&lt;0,R1453&gt;100),"Проверьте значения","Рассчитано")))))))</x:f>
        <x:v>Нужны цены</x:v>
      </x:c>
      <x:c r="K1453" s="36" t="n">
        <x:v>60</x:v>
      </x:c>
      <x:c r="L1453" s="19" t="str">
        <x:v>KZT</x:v>
      </x:c>
      <x:c r="M1453" s="22"/>
      <x:c r="N1453" s="22"/>
      <x:c r="O1453" s="28"/>
      <x:c r="P1453" s="22"/>
      <x:c r="Q1453" s="22"/>
      <x:c r="R1453" s="28"/>
      <x:c r="S1453" s="22"/>
      <x:c r="T1453" s="37" t="n">
        <x:f>K1453</x:f>
        <x:v>60</x:v>
      </x:c>
      <x:c r="U1453" s="21" t="str">
        <x:f>IF(J1453="Рассчитано",N1453*(1-O1453/100),"н/д")</x:f>
        <x:v>н/д</x:v>
      </x:c>
      <x:c r="V1453" s="21" t="str">
        <x:f>IF(J1453="Рассчитано",T1453*U1453,"н/д")</x:f>
        <x:v>н/д</x:v>
      </x:c>
      <x:c r="W1453" s="21" t="str">
        <x:f>IF(J1453="Рассчитано",T1453*M1453,"н/д")</x:f>
        <x:v>н/д</x:v>
      </x:c>
      <x:c r="X1453" s="21" t="str">
        <x:f>IF(J1453="Рассчитано",V1453-W1453,"н/д")</x:f>
        <x:v>н/д</x:v>
      </x:c>
      <x:c r="Y1453" s="27" t="str">
        <x:f>IF(J1453="Рассчитано",IF(V1453&gt;0,G1453/V1453,"н/д"),"н/д")</x:f>
        <x:v>н/д</x:v>
      </x:c>
      <x:c r="Z1453" s="21" t="str">
        <x:f>"н/д"</x:f>
        <x:v>н/д</x:v>
      </x:c>
      <x:c r="AA1453" s="21" t="str">
        <x:f>"н/д"</x:f>
        <x:v>н/д</x:v>
      </x:c>
      <x:c r="AB1453" s="21" t="str">
        <x:f>"н/д"</x:f>
        <x:v>н/д</x:v>
      </x:c>
      <x:c r="AC1453" s="21" t="str">
        <x:f>IF(AND(J1453="Рассчитано",T1453&gt;0,R1453&lt;100),(W1453+P1453+Q1453)/(T1453*(1-R1453/100)),"н/д")</x:f>
        <x:v>н/д</x:v>
      </x:c>
      <x:c r="AD1453" s="10" t="str">
        <x:f>IF(ISNUMBER(G1453),IF(G1453&lt;0,"Убыток",IF(G1453=0,"Без прибыли","Прибыль &gt; 0")),"Не оценён")</x:f>
        <x:v>Не оценён</x:v>
      </x:c>
      <x:c r="AE1453" s="13" t="str">
        <x:f>IF(J1453="Рассчитано","Выручка "&amp;TEXT(V1453,"0.00")&amp;" - себестоимость "&amp;TEXT(W1453,"0.00")&amp;" - комиссия "&amp;TEXT(V1453*R1453/100,"0.00")&amp;" - доставка "&amp;TEXT(P1453,"0.00")&amp;" - прочие "&amp;TEXT(Q1453,"0.00")&amp;" = "&amp;TEXT(G1453,"0.00")&amp;" "&amp;L1453,"Введите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3" s="24" t="n">
        <x:v>18.082079183645295</x:v>
      </x:c>
      <x:c r="AG1453" s="37" t="n">
        <x:v>79</x:v>
      </x:c>
      <x:c r="AH1453" s="37" t="n">
        <x:v>0</x:v>
      </x:c>
      <x:c r="AI1453" s="30" t="n">
        <x:v>46287</x:v>
      </x:c>
      <x:c r="AJ1453" s="37" t="n">
        <x:v>10</x:v>
      </x:c>
      <x:c r="AK1453" s="10" t="str">
        <x:v>кратность</x:v>
      </x:c>
      <x:c r="AL1453" s="32" t="n">
        <x:v>372.5158052482991</x:v>
      </x:c>
      <x:c r="AM1453" s="13" t="str">
        <x:v>Нет ежедневных данных доступности. Запас более 180 дней при среднем спросе</x:v>
      </x:c>
      <x:c r="AN1453" s="13" t="str">
        <x:v>Проверить свободный остаток и установить цену для B2B</x:v>
      </x:c>
      <x:c r="AO1453" s="13" t="str">
        <x:v>Остаток 79; прогноз 90 дней 18.08; избыток 60 шт. Будущие поступления не выставляются на продажу.</x:v>
      </x:c>
      <x:c r="AP1453" s="13" t="str">
        <x:v>["daily_stockout_data_missing", "negative_net_sales_clipped_for_forecast", "new_order_lead_time_unknown"]</x:v>
      </x:c>
      <x:c r="AQ1453" s="10" t="str">
        <x:v>SE:300200832_</x:v>
      </x:c>
      <x:c r="AR1453" s="24" t="n">
        <x:v>1</x:v>
      </x:c>
      <x:c r="AS1453" s="24" t="n">
        <x:v>0</x:v>
      </x:c>
      <x:c r="AT1453" s="24" t="n">
        <x:v>0</x:v>
      </x:c>
    </x:row>
    <x:row r="1454" ht="64" customHeight="1">
      <x:c r="A1454" s="11" t="str">
        <x:v>Systeme Electric</x:v>
      </x:c>
      <x:c r="B1454" s="33" t="str">
        <x:v>300200833_</x:v>
      </x:c>
      <x:c r="C1454" s="33" t="str">
        <x:v>GAL001311</x:v>
      </x:c>
      <x:c r="D1454" s="12" t="str">
        <x:v>G050 Выкл. 1 кл 10А "ARTGALLERY" лотос GAL1311 (5)</x:v>
      </x:c>
      <x:c r="E1454" s="11" t="str">
        <x:v>шт</x:v>
      </x:c>
      <x:c r="F1454" s="35" t="n">
        <x:f>MAX(0,ROUNDDOWN((AG1454-AF1454)/AR1454+0.000000001,0)*AR1454)</x:f>
        <x:v>649</x:v>
      </x:c>
      <x:c r="G1454" s="20" t="str">
        <x:f>IF(J1454="Рассчитано",V1454*(1-R1454/100)-W1454-P1454-Q1454,"н/д")</x:f>
        <x:v>н/д</x:v>
      </x:c>
      <x:c r="H1454" s="12" t="str">
        <x:v>Средний</x:v>
      </x:c>
      <x:c r="I1454" s="12" t="str">
        <x:v>Высокий</x:v>
      </x:c>
      <x:c r="J1454" s="12" t="str">
        <x:f>IF(L1454="","Укажите валюту",IF(NOT(ISNUMBER(K1454)),"Укажите объём",IF(K1454&lt;=0,"Укажите объём",IF(K1454&gt;F1454,"Объём выше излишка",IF(COUNT(M1454:O1454)&lt;3,"Нужны цены",IF(COUNT(P1454:R1454)&lt;3,"Нужны расходы",IF(OR(M1454&lt;0,N1454&lt;0,O1454&lt;0,O1454&gt;100,P1454&lt;0,Q1454&lt;0,R1454&lt;0,R1454&gt;100),"Проверьте значения","Рассчитано")))))))</x:f>
        <x:v>Нужны цены</x:v>
      </x:c>
      <x:c r="K1454" s="36" t="n">
        <x:v>649</x:v>
      </x:c>
      <x:c r="L1454" s="19" t="str">
        <x:v>KZT</x:v>
      </x:c>
      <x:c r="M1454" s="22"/>
      <x:c r="N1454" s="22"/>
      <x:c r="O1454" s="28"/>
      <x:c r="P1454" s="22"/>
      <x:c r="Q1454" s="22"/>
      <x:c r="R1454" s="28"/>
      <x:c r="S1454" s="22"/>
      <x:c r="T1454" s="35" t="n">
        <x:f>K1454</x:f>
        <x:v>649</x:v>
      </x:c>
      <x:c r="U1454" s="20" t="str">
        <x:f>IF(J1454="Рассчитано",N1454*(1-O1454/100),"н/д")</x:f>
        <x:v>н/д</x:v>
      </x:c>
      <x:c r="V1454" s="20" t="str">
        <x:f>IF(J1454="Рассчитано",T1454*U1454,"н/д")</x:f>
        <x:v>н/д</x:v>
      </x:c>
      <x:c r="W1454" s="20" t="str">
        <x:f>IF(J1454="Рассчитано",T1454*M1454,"н/д")</x:f>
        <x:v>н/д</x:v>
      </x:c>
      <x:c r="X1454" s="20" t="str">
        <x:f>IF(J1454="Рассчитано",V1454-W1454,"н/д")</x:f>
        <x:v>н/д</x:v>
      </x:c>
      <x:c r="Y1454" s="26" t="str">
        <x:f>IF(J1454="Рассчитано",IF(V1454&gt;0,G1454/V1454,"н/д"),"н/д")</x:f>
        <x:v>н/д</x:v>
      </x:c>
      <x:c r="Z1454" s="20" t="str">
        <x:f>"н/д"</x:f>
        <x:v>н/д</x:v>
      </x:c>
      <x:c r="AA1454" s="20" t="str">
        <x:f>"н/д"</x:f>
        <x:v>н/д</x:v>
      </x:c>
      <x:c r="AB1454" s="20" t="str">
        <x:f>"н/д"</x:f>
        <x:v>н/д</x:v>
      </x:c>
      <x:c r="AC1454" s="20" t="str">
        <x:f>IF(AND(J1454="Рассчитано",T1454&gt;0,R1454&lt;100),(W1454+P1454+Q1454)/(T1454*(1-R1454/100)),"н/д")</x:f>
        <x:v>н/д</x:v>
      </x:c>
      <x:c r="AD1454" s="11" t="str">
        <x:f>IF(ISNUMBER(G1454),IF(G1454&lt;0,"Убыток",IF(G1454=0,"Без прибыли","Прибыль &gt; 0")),"Не оценён")</x:f>
        <x:v>Не оценён</x:v>
      </x:c>
      <x:c r="AE1454" s="12" t="str">
        <x:f>IF(J1454="Рассчитано","Выручка "&amp;TEXT(V1454,"0.00")&amp;" - себестоимость "&amp;TEXT(W1454,"0.00")&amp;" - комиссия "&amp;TEXT(V1454*R1454/100,"0.00")&amp;" - доставка "&amp;TEXT(P1454,"0.00")&amp;" - прочие "&amp;TEXT(Q1454,"0.00")&amp;" = "&amp;TEXT(G1454,"0.00")&amp;" "&amp;L1454,"Введите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4" s="23" t="n">
        <x:v>36.598948089902734</x:v>
      </x:c>
      <x:c r="AG1454" s="35" t="n">
        <x:v>686</x:v>
      </x:c>
      <x:c r="AH1454" s="35" t="n">
        <x:v>0</x:v>
      </x:c>
      <x:c r="AI1454" s="29" t="n">
        <x:v>46287</x:v>
      </x:c>
      <x:c r="AJ1454" s="35" t="n">
        <x:v>5</x:v>
      </x:c>
      <x:c r="AK1454" s="11" t="str">
        <x:v>кратность</x:v>
      </x:c>
      <x:c r="AL1454" s="31" t="n">
        <x:v>1598.1645452868952</x:v>
      </x:c>
      <x:c r="AM1454" s="12" t="str">
        <x:v>Детальные и месячные продажи расходятся; Нет ежедневных данных доступности. Запас более 180 дней при среднем спросе</x:v>
      </x:c>
      <x:c r="AN1454" s="12" t="str">
        <x:v>Проверить свободный остаток и установить цену для B2B</x:v>
      </x:c>
      <x:c r="AO1454" s="12" t="str">
        <x:v>Остаток 686; прогноз 90 дней 36.60; избыток 649 шт. Будущие поступления не выставляются на продажу.</x:v>
      </x:c>
      <x:c r="AP1454" s="12" t="str">
        <x:v>["daily_stockout_data_missing", "large_orders_detected", "negative_net_sales_clipped_for_forecast", "new_order_lead_time_unknown", "transaction_month_mismatch"]</x:v>
      </x:c>
      <x:c r="AQ1454" s="11" t="str">
        <x:v>SE:300200833_</x:v>
      </x:c>
      <x:c r="AR1454" s="23" t="n">
        <x:v>1</x:v>
      </x:c>
      <x:c r="AS1454" s="23" t="n">
        <x:v>0</x:v>
      </x:c>
      <x:c r="AT1454" s="23" t="n">
        <x:v>0</x:v>
      </x:c>
    </x:row>
    <x:row r="1455" ht="64" customHeight="1">
      <x:c r="A1455" s="10" t="str">
        <x:v>Systeme Electric</x:v>
      </x:c>
      <x:c r="B1455" s="34" t="str">
        <x:v>300200834_</x:v>
      </x:c>
      <x:c r="C1455" s="34" t="str">
        <x:v>GAL001313</x:v>
      </x:c>
      <x:c r="D1455" s="13" t="str">
        <x:v>G051 Выкл. 1 кл с инд 10А механизм "ARTGALLERY" лотос GAL1313 (5)</x:v>
      </x:c>
      <x:c r="E1455" s="10" t="str">
        <x:v>шт</x:v>
      </x:c>
      <x:c r="F1455" s="37" t="n">
        <x:f>MAX(0,ROUNDDOWN((AG1455-AF1455)/AR1455+0.000000001,0)*AR1455)</x:f>
        <x:v>98</x:v>
      </x:c>
      <x:c r="G1455" s="21" t="str">
        <x:f>IF(J1455="Рассчитано",V1455*(1-R1455/100)-W1455-P1455-Q1455,"н/д")</x:f>
        <x:v>н/д</x:v>
      </x:c>
      <x:c r="H1455" s="13" t="str">
        <x:v>Средний</x:v>
      </x:c>
      <x:c r="I1455" s="13" t="str">
        <x:v>Высокий</x:v>
      </x:c>
      <x:c r="J1455" s="13" t="str">
        <x:f>IF(L1455="","Укажите валюту",IF(NOT(ISNUMBER(K1455)),"Укажите объём",IF(K1455&lt;=0,"Укажите объём",IF(K1455&gt;F1455,"Объём выше излишка",IF(COUNT(M1455:O1455)&lt;3,"Нужны цены",IF(COUNT(P1455:R1455)&lt;3,"Нужны расходы",IF(OR(M1455&lt;0,N1455&lt;0,O1455&lt;0,O1455&gt;100,P1455&lt;0,Q1455&lt;0,R1455&lt;0,R1455&gt;100),"Проверьте значения","Рассчитано")))))))</x:f>
        <x:v>Нужны цены</x:v>
      </x:c>
      <x:c r="K1455" s="36" t="n">
        <x:v>98</x:v>
      </x:c>
      <x:c r="L1455" s="19" t="str">
        <x:v>KZT</x:v>
      </x:c>
      <x:c r="M1455" s="22"/>
      <x:c r="N1455" s="22"/>
      <x:c r="O1455" s="28"/>
      <x:c r="P1455" s="22"/>
      <x:c r="Q1455" s="22"/>
      <x:c r="R1455" s="28"/>
      <x:c r="S1455" s="22"/>
      <x:c r="T1455" s="37" t="n">
        <x:f>K1455</x:f>
        <x:v>98</x:v>
      </x:c>
      <x:c r="U1455" s="21" t="str">
        <x:f>IF(J1455="Рассчитано",N1455*(1-O1455/100),"н/д")</x:f>
        <x:v>н/д</x:v>
      </x:c>
      <x:c r="V1455" s="21" t="str">
        <x:f>IF(J1455="Рассчитано",T1455*U1455,"н/д")</x:f>
        <x:v>н/д</x:v>
      </x:c>
      <x:c r="W1455" s="21" t="str">
        <x:f>IF(J1455="Рассчитано",T1455*M1455,"н/д")</x:f>
        <x:v>н/д</x:v>
      </x:c>
      <x:c r="X1455" s="21" t="str">
        <x:f>IF(J1455="Рассчитано",V1455-W1455,"н/д")</x:f>
        <x:v>н/д</x:v>
      </x:c>
      <x:c r="Y1455" s="27" t="str">
        <x:f>IF(J1455="Рассчитано",IF(V1455&gt;0,G1455/V1455,"н/д"),"н/д")</x:f>
        <x:v>н/д</x:v>
      </x:c>
      <x:c r="Z1455" s="21" t="str">
        <x:f>"н/д"</x:f>
        <x:v>н/д</x:v>
      </x:c>
      <x:c r="AA1455" s="21" t="str">
        <x:f>"н/д"</x:f>
        <x:v>н/д</x:v>
      </x:c>
      <x:c r="AB1455" s="21" t="str">
        <x:f>"н/д"</x:f>
        <x:v>н/д</x:v>
      </x:c>
      <x:c r="AC1455" s="21" t="str">
        <x:f>IF(AND(J1455="Рассчитано",T1455&gt;0,R1455&lt;100),(W1455+P1455+Q1455)/(T1455*(1-R1455/100)),"н/д")</x:f>
        <x:v>н/д</x:v>
      </x:c>
      <x:c r="AD1455" s="10" t="str">
        <x:f>IF(ISNUMBER(G1455),IF(G1455&lt;0,"Убыток",IF(G1455=0,"Без прибыли","Прибыль &gt; 0")),"Не оценён")</x:f>
        <x:v>Не оценён</x:v>
      </x:c>
      <x:c r="AE1455" s="13" t="str">
        <x:f>IF(J1455="Рассчитано","Выручка "&amp;TEXT(V1455,"0.00")&amp;" - себестоимость "&amp;TEXT(W1455,"0.00")&amp;" - комиссия "&amp;TEXT(V1455*R1455/100,"0.00")&amp;" - доставка "&amp;TEXT(P1455,"0.00")&amp;" - прочие "&amp;TEXT(Q1455,"0.00")&amp;" = "&amp;TEXT(G1455,"0.00")&amp;" "&amp;L1455,"Введите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5" s="24" t="n">
        <x:v>1.1942638311615807</x:v>
      </x:c>
      <x:c r="AG1455" s="37" t="n">
        <x:v>100</x:v>
      </x:c>
      <x:c r="AH1455" s="37" t="n">
        <x:v>0</x:v>
      </x:c>
      <x:c r="AI1455" s="30" t="n">
        <x:v>46287</x:v>
      </x:c>
      <x:c r="AJ1455" s="37" t="n">
        <x:v>5</x:v>
      </x:c>
      <x:c r="AK1455" s="10" t="str">
        <x:v>кратность</x:v>
      </x:c>
      <x:c r="AL1455" s="32" t="n">
        <x:v>7139.465505811695</x:v>
      </x:c>
      <x:c r="AM1455" s="13" t="str">
        <x:v>Нет ежедневных данных доступности. Нет положительных чистых продаж за 12 месяцев</x:v>
      </x:c>
      <x:c r="AN1455" s="13" t="str">
        <x:v>Проверить свободный остаток и установить цену для B2B</x:v>
      </x:c>
      <x:c r="AO1455" s="13" t="str">
        <x:v>Остаток 100; прогноз 90 дней 1.19; избыток 98 шт. Будущие поступления не выставляются на продажу.</x:v>
      </x:c>
      <x:c r="AP1455" s="13" t="str">
        <x:v>["daily_stockout_data_missing", "negative_net_sales_clipped_for_forecast", "new_order_lead_time_unknown"]</x:v>
      </x:c>
      <x:c r="AQ1455" s="10" t="str">
        <x:v>SE:300200834_</x:v>
      </x:c>
      <x:c r="AR1455" s="24" t="n">
        <x:v>1</x:v>
      </x:c>
      <x:c r="AS1455" s="24" t="n">
        <x:v>0</x:v>
      </x:c>
      <x:c r="AT1455" s="24" t="n">
        <x:v>0</x:v>
      </x:c>
    </x:row>
    <x:row r="1456" ht="64" customHeight="1">
      <x:c r="A1456" s="11" t="str">
        <x:v>Systeme Electric</x:v>
      </x:c>
      <x:c r="B1456" s="33" t="str">
        <x:v>300200835_</x:v>
      </x:c>
      <x:c r="C1456" s="33" t="str">
        <x:v>GAL001351</x:v>
      </x:c>
      <x:c r="D1456" s="12" t="str">
        <x:v>G052 Выкл. 2 кл 10А механизм "ARTGALLERY" лотос GAL1351 (5)</x:v>
      </x:c>
      <x:c r="E1456" s="11" t="str">
        <x:v>шт</x:v>
      </x:c>
      <x:c r="F1456" s="35" t="n">
        <x:f>MAX(0,ROUNDDOWN((AG1456-AF1456)/AR1456+0.000000001,0)*AR1456)</x:f>
        <x:v>105</x:v>
      </x:c>
      <x:c r="G1456" s="20" t="str">
        <x:f>IF(J1456="Рассчитано",V1456*(1-R1456/100)-W1456-P1456-Q1456,"н/д")</x:f>
        <x:v>н/д</x:v>
      </x:c>
      <x:c r="H1456" s="12" t="str">
        <x:v>Средний</x:v>
      </x:c>
      <x:c r="I1456" s="12" t="str">
        <x:v>Высокий</x:v>
      </x:c>
      <x:c r="J1456" s="12" t="str">
        <x:f>IF(L1456="","Укажите валюту",IF(NOT(ISNUMBER(K1456)),"Укажите объём",IF(K1456&lt;=0,"Укажите объём",IF(K1456&gt;F1456,"Объём выше излишка",IF(COUNT(M1456:O1456)&lt;3,"Нужны цены",IF(COUNT(P1456:R1456)&lt;3,"Нужны расходы",IF(OR(M1456&lt;0,N1456&lt;0,O1456&lt;0,O1456&gt;100,P1456&lt;0,Q1456&lt;0,R1456&lt;0,R1456&gt;100),"Проверьте значения","Рассчитано")))))))</x:f>
        <x:v>Нужны цены</x:v>
      </x:c>
      <x:c r="K1456" s="36" t="n">
        <x:v>105</x:v>
      </x:c>
      <x:c r="L1456" s="19" t="str">
        <x:v>KZT</x:v>
      </x:c>
      <x:c r="M1456" s="22"/>
      <x:c r="N1456" s="22"/>
      <x:c r="O1456" s="28"/>
      <x:c r="P1456" s="22"/>
      <x:c r="Q1456" s="22"/>
      <x:c r="R1456" s="28"/>
      <x:c r="S1456" s="22"/>
      <x:c r="T1456" s="35" t="n">
        <x:f>K1456</x:f>
        <x:v>105</x:v>
      </x:c>
      <x:c r="U1456" s="20" t="str">
        <x:f>IF(J1456="Рассчитано",N1456*(1-O1456/100),"н/д")</x:f>
        <x:v>н/д</x:v>
      </x:c>
      <x:c r="V1456" s="20" t="str">
        <x:f>IF(J1456="Рассчитано",T1456*U1456,"н/д")</x:f>
        <x:v>н/д</x:v>
      </x:c>
      <x:c r="W1456" s="20" t="str">
        <x:f>IF(J1456="Рассчитано",T1456*M1456,"н/д")</x:f>
        <x:v>н/д</x:v>
      </x:c>
      <x:c r="X1456" s="20" t="str">
        <x:f>IF(J1456="Рассчитано",V1456-W1456,"н/д")</x:f>
        <x:v>н/д</x:v>
      </x:c>
      <x:c r="Y1456" s="26" t="str">
        <x:f>IF(J1456="Рассчитано",IF(V1456&gt;0,G1456/V1456,"н/д"),"н/д")</x:f>
        <x:v>н/д</x:v>
      </x:c>
      <x:c r="Z1456" s="20" t="str">
        <x:f>"н/д"</x:f>
        <x:v>н/д</x:v>
      </x:c>
      <x:c r="AA1456" s="20" t="str">
        <x:f>"н/д"</x:f>
        <x:v>н/д</x:v>
      </x:c>
      <x:c r="AB1456" s="20" t="str">
        <x:f>"н/д"</x:f>
        <x:v>н/д</x:v>
      </x:c>
      <x:c r="AC1456" s="20" t="str">
        <x:f>IF(AND(J1456="Рассчитано",T1456&gt;0,R1456&lt;100),(W1456+P1456+Q1456)/(T1456*(1-R1456/100)),"н/д")</x:f>
        <x:v>н/д</x:v>
      </x:c>
      <x:c r="AD1456" s="11" t="str">
        <x:f>IF(ISNUMBER(G1456),IF(G1456&lt;0,"Убыток",IF(G1456=0,"Без прибыли","Прибыль &gt; 0")),"Не оценён")</x:f>
        <x:v>Не оценён</x:v>
      </x:c>
      <x:c r="AE1456" s="12" t="str">
        <x:f>IF(J1456="Рассчитано","Выручка "&amp;TEXT(V1456,"0.00")&amp;" - себестоимость "&amp;TEXT(W1456,"0.00")&amp;" - комиссия "&amp;TEXT(V1456*R1456/100,"0.00")&amp;" - доставка "&amp;TEXT(P1456,"0.00")&amp;" - прочие "&amp;TEXT(Q1456,"0.00")&amp;" = "&amp;TEXT(G1456,"0.00")&amp;" "&amp;L1456,"Введите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6" s="23" t="n">
        <x:v>41.46239523083847</x:v>
      </x:c>
      <x:c r="AG1456" s="35" t="n">
        <x:v>147</x:v>
      </x:c>
      <x:c r="AH1456" s="35" t="n">
        <x:v>0</x:v>
      </x:c>
      <x:c r="AI1456" s="29" t="n">
        <x:v>46287</x:v>
      </x:c>
      <x:c r="AJ1456" s="35" t="n">
        <x:v>5</x:v>
      </x:c>
      <x:c r="AK1456" s="11" t="str">
        <x:v>кратность</x:v>
      </x:c>
      <x:c r="AL1456" s="31" t="n">
        <x:v>302.2935821368135</x:v>
      </x:c>
      <x:c r="AM1456" s="12" t="str">
        <x:v>Детальные и месячные продажи расходятся; Нет ежедневных данных доступности. Запас более 180 дней при среднем спросе</x:v>
      </x:c>
      <x:c r="AN1456" s="12" t="str">
        <x:v>Проверить свободный остаток и установить цену для B2B</x:v>
      </x:c>
      <x:c r="AO1456" s="12" t="str">
        <x:v>Остаток 147; прогноз 90 дней 41.46; избыток 105 шт. Будущие поступления не выставляются на продажу.</x:v>
      </x:c>
      <x:c r="AP1456" s="12" t="str">
        <x:v>["daily_stockout_data_missing", "large_orders_detected", "negative_net_sales_clipped_for_forecast", "new_order_lead_time_unknown", "transaction_month_mismatch"]</x:v>
      </x:c>
      <x:c r="AQ1456" s="11" t="str">
        <x:v>SE:300200835_</x:v>
      </x:c>
      <x:c r="AR1456" s="23" t="n">
        <x:v>1</x:v>
      </x:c>
      <x:c r="AS1456" s="23" t="n">
        <x:v>0</x:v>
      </x:c>
      <x:c r="AT1456" s="23" t="n">
        <x:v>0</x:v>
      </x:c>
    </x:row>
    <x:row r="1457" ht="64" customHeight="1">
      <x:c r="A1457" s="10" t="str">
        <x:v>Systeme Electric</x:v>
      </x:c>
      <x:c r="B1457" s="34" t="str">
        <x:v>300200836_</x:v>
      </x:c>
      <x:c r="C1457" s="34" t="str">
        <x:v>GAL001353</x:v>
      </x:c>
      <x:c r="D1457" s="13" t="str">
        <x:v>G053 Выкл. 2 кл с инд 10А механизм "ARTGALLERY" лотос GAL1353 (5)</x:v>
      </x:c>
      <x:c r="E1457" s="10" t="str">
        <x:v>шт</x:v>
      </x:c>
      <x:c r="F1457" s="37" t="n">
        <x:f>MAX(0,ROUNDDOWN((AG1457-AF1457)/AR1457+0.000000001,0)*AR1457)</x:f>
        <x:v>99</x:v>
      </x:c>
      <x:c r="G1457" s="21" t="str">
        <x:f>IF(J1457="Рассчитано",V1457*(1-R1457/100)-W1457-P1457-Q1457,"н/д")</x:f>
        <x:v>н/д</x:v>
      </x:c>
      <x:c r="H1457" s="13" t="str">
        <x:v>Средний</x:v>
      </x:c>
      <x:c r="I1457" s="13" t="str">
        <x:v>Высокий</x:v>
      </x:c>
      <x:c r="J1457" s="13" t="str">
        <x:f>IF(L1457="","Укажите валюту",IF(NOT(ISNUMBER(K1457)),"Укажите объём",IF(K1457&lt;=0,"Укажите объём",IF(K1457&gt;F1457,"Объём выше излишка",IF(COUNT(M1457:O1457)&lt;3,"Нужны цены",IF(COUNT(P1457:R1457)&lt;3,"Нужны расходы",IF(OR(M1457&lt;0,N1457&lt;0,O1457&lt;0,O1457&gt;100,P1457&lt;0,Q1457&lt;0,R1457&lt;0,R1457&gt;100),"Проверьте значения","Рассчитано")))))))</x:f>
        <x:v>Нужны цены</x:v>
      </x:c>
      <x:c r="K1457" s="36" t="n">
        <x:v>99</x:v>
      </x:c>
      <x:c r="L1457" s="19" t="str">
        <x:v>KZT</x:v>
      </x:c>
      <x:c r="M1457" s="22"/>
      <x:c r="N1457" s="22"/>
      <x:c r="O1457" s="28"/>
      <x:c r="P1457" s="22"/>
      <x:c r="Q1457" s="22"/>
      <x:c r="R1457" s="28"/>
      <x:c r="S1457" s="22"/>
      <x:c r="T1457" s="37" t="n">
        <x:f>K1457</x:f>
        <x:v>99</x:v>
      </x:c>
      <x:c r="U1457" s="21" t="str">
        <x:f>IF(J1457="Рассчитано",N1457*(1-O1457/100),"н/д")</x:f>
        <x:v>н/д</x:v>
      </x:c>
      <x:c r="V1457" s="21" t="str">
        <x:f>IF(J1457="Рассчитано",T1457*U1457,"н/д")</x:f>
        <x:v>н/д</x:v>
      </x:c>
      <x:c r="W1457" s="21" t="str">
        <x:f>IF(J1457="Рассчитано",T1457*M1457,"н/д")</x:f>
        <x:v>н/д</x:v>
      </x:c>
      <x:c r="X1457" s="21" t="str">
        <x:f>IF(J1457="Рассчитано",V1457-W1457,"н/д")</x:f>
        <x:v>н/д</x:v>
      </x:c>
      <x:c r="Y1457" s="27" t="str">
        <x:f>IF(J1457="Рассчитано",IF(V1457&gt;0,G1457/V1457,"н/д"),"н/д")</x:f>
        <x:v>н/д</x:v>
      </x:c>
      <x:c r="Z1457" s="21" t="str">
        <x:f>"н/д"</x:f>
        <x:v>н/д</x:v>
      </x:c>
      <x:c r="AA1457" s="21" t="str">
        <x:f>"н/д"</x:f>
        <x:v>н/д</x:v>
      </x:c>
      <x:c r="AB1457" s="21" t="str">
        <x:f>"н/д"</x:f>
        <x:v>н/д</x:v>
      </x:c>
      <x:c r="AC1457" s="21" t="str">
        <x:f>IF(AND(J1457="Рассчитано",T1457&gt;0,R1457&lt;100),(W1457+P1457+Q1457)/(T1457*(1-R1457/100)),"н/д")</x:f>
        <x:v>н/д</x:v>
      </x:c>
      <x:c r="AD1457" s="10" t="str">
        <x:f>IF(ISNUMBER(G1457),IF(G1457&lt;0,"Убыток",IF(G1457=0,"Без прибыли","Прибыль &gt; 0")),"Не оценён")</x:f>
        <x:v>Не оценён</x:v>
      </x:c>
      <x:c r="AE1457" s="13" t="str">
        <x:f>IF(J1457="Рассчитано","Выручка "&amp;TEXT(V1457,"0.00")&amp;" - себестоимость "&amp;TEXT(W1457,"0.00")&amp;" - комиссия "&amp;TEXT(V1457*R1457/100,"0.00")&amp;" - доставка "&amp;TEXT(P1457,"0.00")&amp;" - прочие "&amp;TEXT(Q1457,"0.00")&amp;" = "&amp;TEXT(G1457,"0.00")&amp;" "&amp;L1457,"Введите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7" s="24" t="n">
        <x:v>2.0083223993495016</x:v>
      </x:c>
      <x:c r="AG1457" s="37" t="n">
        <x:v>102</x:v>
      </x:c>
      <x:c r="AH1457" s="37" t="n">
        <x:v>0</x:v>
      </x:c>
      <x:c r="AI1457" s="30" t="n">
        <x:v>46287</x:v>
      </x:c>
      <x:c r="AJ1457" s="37" t="n">
        <x:v>5</x:v>
      </x:c>
      <x:c r="AK1457" s="10" t="str">
        <x:v>кратность</x:v>
      </x:c>
      <x:c r="AL1457" s="32" t="n">
        <x:v>4330.446913693704</x:v>
      </x:c>
      <x:c r="AM1457" s="13" t="str">
        <x:v>Детальные и месячные продажи расходятся; Нет ежедневных данных доступности. Нет положительных чистых продаж за 12 месяцев</x:v>
      </x:c>
      <x:c r="AN1457" s="13" t="str">
        <x:v>Проверить свободный остаток и установить цену для B2B</x:v>
      </x:c>
      <x:c r="AO1457" s="13" t="str">
        <x:v>Остаток 102; прогноз 90 дней 2.01; избыток 99 шт. Будущие поступления не выставляются на продажу.</x:v>
      </x:c>
      <x:c r="AP1457" s="13" t="str">
        <x:v>["daily_stockout_data_missing", "large_orders_detected", "negative_net_sales_clipped_for_forecast", "new_order_lead_time_unknown", "transaction_month_mismatch"]</x:v>
      </x:c>
      <x:c r="AQ1457" s="10" t="str">
        <x:v>SE:300200836_</x:v>
      </x:c>
      <x:c r="AR1457" s="24" t="n">
        <x:v>1</x:v>
      </x:c>
      <x:c r="AS1457" s="24" t="n">
        <x:v>0</x:v>
      </x:c>
      <x:c r="AT1457" s="24" t="n">
        <x:v>0</x:v>
      </x:c>
    </x:row>
    <x:row r="1458" ht="64" customHeight="1">
      <x:c r="A1458" s="11" t="str">
        <x:v>Systeme Electric</x:v>
      </x:c>
      <x:c r="B1458" s="33" t="str">
        <x:v>300200837_</x:v>
      </x:c>
      <x:c r="C1458" s="33" t="str">
        <x:v>GAL001323</x:v>
      </x:c>
      <x:c r="D1458" s="12" t="str">
        <x:v>G054 Диммер поворотно-нажимной механизм 400Вт "ARTGALLERY" лотос GAL1323 (1)</x:v>
      </x:c>
      <x:c r="E1458" s="11" t="str">
        <x:v>шт</x:v>
      </x:c>
      <x:c r="F1458" s="35" t="n">
        <x:f>MAX(0,ROUNDDOWN((AG1458-AF1458)/AR1458+0.000000001,0)*AR1458)</x:f>
        <x:v>4</x:v>
      </x:c>
      <x:c r="G1458" s="20" t="str">
        <x:f>IF(J1458="Рассчитано",V1458*(1-R1458/100)-W1458-P1458-Q1458,"н/д")</x:f>
        <x:v>н/д</x:v>
      </x:c>
      <x:c r="H1458" s="12" t="str">
        <x:v>Средний</x:v>
      </x:c>
      <x:c r="I1458" s="12" t="str">
        <x:v>Высокий</x:v>
      </x:c>
      <x:c r="J1458" s="12" t="str">
        <x:f>IF(L1458="","Укажите валюту",IF(NOT(ISNUMBER(K1458)),"Укажите объём",IF(K1458&lt;=0,"Укажите объём",IF(K1458&gt;F1458,"Объём выше излишка",IF(COUNT(M1458:O1458)&lt;3,"Нужны цены",IF(COUNT(P1458:R1458)&lt;3,"Нужны расходы",IF(OR(M1458&lt;0,N1458&lt;0,O1458&lt;0,O1458&gt;100,P1458&lt;0,Q1458&lt;0,R1458&lt;0,R1458&gt;100),"Проверьте значения","Рассчитано")))))))</x:f>
        <x:v>Нужны цены</x:v>
      </x:c>
      <x:c r="K1458" s="36" t="n">
        <x:v>4</x:v>
      </x:c>
      <x:c r="L1458" s="19" t="str">
        <x:v>KZT</x:v>
      </x:c>
      <x:c r="M1458" s="22"/>
      <x:c r="N1458" s="22"/>
      <x:c r="O1458" s="28"/>
      <x:c r="P1458" s="22"/>
      <x:c r="Q1458" s="22"/>
      <x:c r="R1458" s="28"/>
      <x:c r="S1458" s="22"/>
      <x:c r="T1458" s="35" t="n">
        <x:f>K1458</x:f>
        <x:v>4</x:v>
      </x:c>
      <x:c r="U1458" s="20" t="str">
        <x:f>IF(J1458="Рассчитано",N1458*(1-O1458/100),"н/д")</x:f>
        <x:v>н/д</x:v>
      </x:c>
      <x:c r="V1458" s="20" t="str">
        <x:f>IF(J1458="Рассчитано",T1458*U1458,"н/д")</x:f>
        <x:v>н/д</x:v>
      </x:c>
      <x:c r="W1458" s="20" t="str">
        <x:f>IF(J1458="Рассчитано",T1458*M1458,"н/д")</x:f>
        <x:v>н/д</x:v>
      </x:c>
      <x:c r="X1458" s="20" t="str">
        <x:f>IF(J1458="Рассчитано",V1458-W1458,"н/д")</x:f>
        <x:v>н/д</x:v>
      </x:c>
      <x:c r="Y1458" s="26" t="str">
        <x:f>IF(J1458="Рассчитано",IF(V1458&gt;0,G1458/V1458,"н/д"),"н/д")</x:f>
        <x:v>н/д</x:v>
      </x:c>
      <x:c r="Z1458" s="20" t="str">
        <x:f>"н/д"</x:f>
        <x:v>н/д</x:v>
      </x:c>
      <x:c r="AA1458" s="20" t="str">
        <x:f>"н/д"</x:f>
        <x:v>н/д</x:v>
      </x:c>
      <x:c r="AB1458" s="20" t="str">
        <x:f>"н/д"</x:f>
        <x:v>н/д</x:v>
      </x:c>
      <x:c r="AC1458" s="20" t="str">
        <x:f>IF(AND(J1458="Рассчитано",T1458&gt;0,R1458&lt;100),(W1458+P1458+Q1458)/(T1458*(1-R1458/100)),"н/д")</x:f>
        <x:v>н/д</x:v>
      </x:c>
      <x:c r="AD1458" s="11" t="str">
        <x:f>IF(ISNUMBER(G1458),IF(G1458&lt;0,"Убыток",IF(G1458=0,"Без прибыли","Прибыль &gt; 0")),"Не оценён")</x:f>
        <x:v>Не оценён</x:v>
      </x:c>
      <x:c r="AE1458" s="12" t="str">
        <x:f>IF(J1458="Рассчитано","Выручка "&amp;TEXT(V1458,"0.00")&amp;" - себестоимость "&amp;TEXT(W1458,"0.00")&amp;" - комиссия "&amp;TEXT(V1458*R1458/100,"0.00")&amp;" - доставка "&amp;TEXT(P1458,"0.00")&amp;" - прочие "&amp;TEXT(Q1458,"0.00")&amp;" = "&amp;TEXT(G1458,"0.00")&amp;" "&amp;L1458,"Введите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8" s="23" t="n">
        <x:v>0</x:v>
      </x:c>
      <x:c r="AG1458" s="35" t="n">
        <x:v>4</x:v>
      </x:c>
      <x:c r="AH1458" s="35" t="n">
        <x:v>0</x:v>
      </x:c>
      <x:c r="AI1458" s="29" t="n">
        <x:v>46287</x:v>
      </x:c>
      <x:c r="AJ1458" s="35" t="n">
        <x:v>1</x:v>
      </x:c>
      <x:c r="AK1458" s="11" t="str">
        <x:v>кратность</x:v>
      </x:c>
      <x:c r="AL1458" s="31" t="str">
        <x:v>н/д</x:v>
      </x:c>
      <x:c r="AM1458" s="12" t="str">
        <x:v>Нет ежедневных данных доступности. Нет положительных чистых продаж за 12 месяцев</x:v>
      </x:c>
      <x:c r="AN1458" s="12" t="str">
        <x:v>Проверить свободный остаток и установить цену для B2B</x:v>
      </x:c>
      <x:c r="AO1458" s="12" t="str">
        <x:v>Остаток 4; прогноз 90 дней 0.00; избыток 4 шт. Будущие поступления не выставляются на продажу.</x:v>
      </x:c>
      <x:c r="AP1458" s="12" t="str">
        <x:v>["daily_stockout_data_missing", "new_order_lead_time_unknown"]</x:v>
      </x:c>
      <x:c r="AQ1458" s="11" t="str">
        <x:v>SE:300200837_</x:v>
      </x:c>
      <x:c r="AR1458" s="23" t="n">
        <x:v>1</x:v>
      </x:c>
      <x:c r="AS1458" s="23" t="n">
        <x:v>0</x:v>
      </x:c>
      <x:c r="AT1458" s="23" t="n">
        <x:v>0</x:v>
      </x:c>
    </x:row>
    <x:row r="1459" ht="64" customHeight="1">
      <x:c r="A1459" s="10" t="str">
        <x:v>Systeme Electric</x:v>
      </x:c>
      <x:c r="B1459" s="34" t="str">
        <x:v>300200838_</x:v>
      </x:c>
      <x:c r="C1459" s="34" t="str">
        <x:v>GAL001386</x:v>
      </x:c>
      <x:c r="D1459" s="13" t="str">
        <x:v>G055 Роз. комп. RJ45 6A механизм "ARTGALLERY" лотос GAL1386 (5)</x:v>
      </x:c>
      <x:c r="E1459" s="10" t="str">
        <x:v>шт</x:v>
      </x:c>
      <x:c r="F1459" s="37" t="n">
        <x:f>MAX(0,ROUNDDOWN((AG1459-AF1459)/AR1459+0.000000001,0)*AR1459)</x:f>
        <x:v>13</x:v>
      </x:c>
      <x:c r="G1459" s="21" t="str">
        <x:f>IF(J1459="Рассчитано",V1459*(1-R1459/100)-W1459-P1459-Q1459,"н/д")</x:f>
        <x:v>н/д</x:v>
      </x:c>
      <x:c r="H1459" s="13" t="str">
        <x:v>Средний</x:v>
      </x:c>
      <x:c r="I1459" s="13" t="str">
        <x:v>Средний</x:v>
      </x:c>
      <x:c r="J1459" s="13" t="str">
        <x:f>IF(L1459="","Укажите валюту",IF(NOT(ISNUMBER(K1459)),"Укажите объём",IF(K1459&lt;=0,"Укажите объём",IF(K1459&gt;F1459,"Объём выше излишка",IF(COUNT(M1459:O1459)&lt;3,"Нужны цены",IF(COUNT(P1459:R1459)&lt;3,"Нужны расходы",IF(OR(M1459&lt;0,N1459&lt;0,O1459&lt;0,O1459&gt;100,P1459&lt;0,Q1459&lt;0,R1459&lt;0,R1459&gt;100),"Проверьте значения","Рассчитано")))))))</x:f>
        <x:v>Нужны цены</x:v>
      </x:c>
      <x:c r="K1459" s="36" t="n">
        <x:v>13</x:v>
      </x:c>
      <x:c r="L1459" s="19" t="str">
        <x:v>KZT</x:v>
      </x:c>
      <x:c r="M1459" s="22"/>
      <x:c r="N1459" s="22"/>
      <x:c r="O1459" s="28"/>
      <x:c r="P1459" s="22"/>
      <x:c r="Q1459" s="22"/>
      <x:c r="R1459" s="28"/>
      <x:c r="S1459" s="22"/>
      <x:c r="T1459" s="37" t="n">
        <x:f>K1459</x:f>
        <x:v>13</x:v>
      </x:c>
      <x:c r="U1459" s="21" t="str">
        <x:f>IF(J1459="Рассчитано",N1459*(1-O1459/100),"н/д")</x:f>
        <x:v>н/д</x:v>
      </x:c>
      <x:c r="V1459" s="21" t="str">
        <x:f>IF(J1459="Рассчитано",T1459*U1459,"н/д")</x:f>
        <x:v>н/д</x:v>
      </x:c>
      <x:c r="W1459" s="21" t="str">
        <x:f>IF(J1459="Рассчитано",T1459*M1459,"н/д")</x:f>
        <x:v>н/д</x:v>
      </x:c>
      <x:c r="X1459" s="21" t="str">
        <x:f>IF(J1459="Рассчитано",V1459-W1459,"н/д")</x:f>
        <x:v>н/д</x:v>
      </x:c>
      <x:c r="Y1459" s="27" t="str">
        <x:f>IF(J1459="Рассчитано",IF(V1459&gt;0,G1459/V1459,"н/д"),"н/д")</x:f>
        <x:v>н/д</x:v>
      </x:c>
      <x:c r="Z1459" s="21" t="str">
        <x:f>"н/д"</x:f>
        <x:v>н/д</x:v>
      </x:c>
      <x:c r="AA1459" s="21" t="str">
        <x:f>"н/д"</x:f>
        <x:v>н/д</x:v>
      </x:c>
      <x:c r="AB1459" s="21" t="str">
        <x:f>"н/д"</x:f>
        <x:v>н/д</x:v>
      </x:c>
      <x:c r="AC1459" s="21" t="str">
        <x:f>IF(AND(J1459="Рассчитано",T1459&gt;0,R1459&lt;100),(W1459+P1459+Q1459)/(T1459*(1-R1459/100)),"н/д")</x:f>
        <x:v>н/д</x:v>
      </x:c>
      <x:c r="AD1459" s="10" t="str">
        <x:f>IF(ISNUMBER(G1459),IF(G1459&lt;0,"Убыток",IF(G1459=0,"Без прибыли","Прибыль &gt; 0")),"Не оценён")</x:f>
        <x:v>Не оценён</x:v>
      </x:c>
      <x:c r="AE1459" s="13" t="str">
        <x:f>IF(J1459="Рассчитано","Выручка "&amp;TEXT(V1459,"0.00")&amp;" - себестоимость "&amp;TEXT(W1459,"0.00")&amp;" - комиссия "&amp;TEXT(V1459*R1459/100,"0.00")&amp;" - доставка "&amp;TEXT(P1459,"0.00")&amp;" - прочие "&amp;TEXT(Q1459,"0.00")&amp;" = "&amp;TEXT(G1459,"0.00")&amp;" "&amp;L1459,"Введите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9" s="24" t="n">
        <x:v>19.762844997269326</x:v>
      </x:c>
      <x:c r="AG1459" s="37" t="n">
        <x:v>33</x:v>
      </x:c>
      <x:c r="AH1459" s="37" t="n">
        <x:v>0</x:v>
      </x:c>
      <x:c r="AI1459" s="30" t="n">
        <x:v>46287</x:v>
      </x:c>
      <x:c r="AJ1459" s="37" t="n">
        <x:v>5</x:v>
      </x:c>
      <x:c r="AK1459" s="10" t="str">
        <x:v>кратность</x:v>
      </x:c>
      <x:c r="AL1459" s="32" t="n">
        <x:v>142.37392396875356</x:v>
      </x:c>
      <x:c r="AM1459" s="13" t="str">
        <x:v>Детальные и месячные продажи расходятся; Нет ежедневных данных доступности. Запас выше прогноза на 90 дней</x:v>
      </x:c>
      <x:c r="AN1459" s="13" t="str">
        <x:v>Проверить свободный остаток и установить цену для B2B</x:v>
      </x:c>
      <x:c r="AO1459" s="13" t="str">
        <x:v>Остаток 33; прогноз 90 дней 19.76; избыток 13 шт. Будущие поступления не выставляются на продажу.</x:v>
      </x:c>
      <x:c r="AP1459" s="13" t="str">
        <x:v>["daily_stockout_data_missing", "large_orders_detected", "negative_net_sales_clipped_for_forecast", "new_order_lead_time_unknown", "transaction_month_mismatch"]</x:v>
      </x:c>
      <x:c r="AQ1459" s="10" t="str">
        <x:v>SE:300200838_</x:v>
      </x:c>
      <x:c r="AR1459" s="24" t="n">
        <x:v>1</x:v>
      </x:c>
      <x:c r="AS1459" s="24" t="n">
        <x:v>0</x:v>
      </x:c>
      <x:c r="AT1459" s="24" t="n">
        <x:v>0</x:v>
      </x:c>
    </x:row>
    <x:row r="1460" ht="64" customHeight="1">
      <x:c r="A1460" s="11" t="str">
        <x:v>Systeme Electric</x:v>
      </x:c>
      <x:c r="B1460" s="33" t="str">
        <x:v>300200839_</x:v>
      </x:c>
      <x:c r="C1460" s="33" t="str">
        <x:v>GAL001361</x:v>
      </x:c>
      <x:c r="D1460" s="12" t="str">
        <x:v>G056 Переключ. 1 кл механизм "ARTGALLERY" лотос GAL1361 (5)</x:v>
      </x:c>
      <x:c r="E1460" s="11" t="str">
        <x:v>шт</x:v>
      </x:c>
      <x:c r="F1460" s="35" t="n">
        <x:f>MAX(0,ROUNDDOWN((AG1460-AF1460)/AR1460+0.000000001,0)*AR1460)</x:f>
        <x:v>64</x:v>
      </x:c>
      <x:c r="G1460" s="20" t="str">
        <x:f>IF(J1460="Рассчитано",V1460*(1-R1460/100)-W1460-P1460-Q1460,"н/д")</x:f>
        <x:v>н/д</x:v>
      </x:c>
      <x:c r="H1460" s="12" t="str">
        <x:v>Средний</x:v>
      </x:c>
      <x:c r="I1460" s="12" t="str">
        <x:v>Высокий</x:v>
      </x:c>
      <x:c r="J1460" s="12" t="str">
        <x:f>IF(L1460="","Укажите валюту",IF(NOT(ISNUMBER(K1460)),"Укажите объём",IF(K1460&lt;=0,"Укажите объём",IF(K1460&gt;F1460,"Объём выше излишка",IF(COUNT(M1460:O1460)&lt;3,"Нужны цены",IF(COUNT(P1460:R1460)&lt;3,"Нужны расходы",IF(OR(M1460&lt;0,N1460&lt;0,O1460&lt;0,O1460&gt;100,P1460&lt;0,Q1460&lt;0,R1460&lt;0,R1460&gt;100),"Проверьте значения","Рассчитано")))))))</x:f>
        <x:v>Нужны цены</x:v>
      </x:c>
      <x:c r="K1460" s="36" t="n">
        <x:v>64</x:v>
      </x:c>
      <x:c r="L1460" s="19" t="str">
        <x:v>KZT</x:v>
      </x:c>
      <x:c r="M1460" s="22"/>
      <x:c r="N1460" s="22"/>
      <x:c r="O1460" s="28"/>
      <x:c r="P1460" s="22"/>
      <x:c r="Q1460" s="22"/>
      <x:c r="R1460" s="28"/>
      <x:c r="S1460" s="22"/>
      <x:c r="T1460" s="35" t="n">
        <x:f>K1460</x:f>
        <x:v>64</x:v>
      </x:c>
      <x:c r="U1460" s="20" t="str">
        <x:f>IF(J1460="Рассчитано",N1460*(1-O1460/100),"н/д")</x:f>
        <x:v>н/д</x:v>
      </x:c>
      <x:c r="V1460" s="20" t="str">
        <x:f>IF(J1460="Рассчитано",T1460*U1460,"н/д")</x:f>
        <x:v>н/д</x:v>
      </x:c>
      <x:c r="W1460" s="20" t="str">
        <x:f>IF(J1460="Рассчитано",T1460*M1460,"н/д")</x:f>
        <x:v>н/д</x:v>
      </x:c>
      <x:c r="X1460" s="20" t="str">
        <x:f>IF(J1460="Рассчитано",V1460-W1460,"н/д")</x:f>
        <x:v>н/д</x:v>
      </x:c>
      <x:c r="Y1460" s="26" t="str">
        <x:f>IF(J1460="Рассчитано",IF(V1460&gt;0,G1460/V1460,"н/д"),"н/д")</x:f>
        <x:v>н/д</x:v>
      </x:c>
      <x:c r="Z1460" s="20" t="str">
        <x:f>"н/д"</x:f>
        <x:v>н/д</x:v>
      </x:c>
      <x:c r="AA1460" s="20" t="str">
        <x:f>"н/д"</x:f>
        <x:v>н/д</x:v>
      </x:c>
      <x:c r="AB1460" s="20" t="str">
        <x:f>"н/д"</x:f>
        <x:v>н/д</x:v>
      </x:c>
      <x:c r="AC1460" s="20" t="str">
        <x:f>IF(AND(J1460="Рассчитано",T1460&gt;0,R1460&lt;100),(W1460+P1460+Q1460)/(T1460*(1-R1460/100)),"н/д")</x:f>
        <x:v>н/д</x:v>
      </x:c>
      <x:c r="AD1460" s="11" t="str">
        <x:f>IF(ISNUMBER(G1460),IF(G1460&lt;0,"Убыток",IF(G1460=0,"Без прибыли","Прибыль &gt; 0")),"Не оценён")</x:f>
        <x:v>Не оценён</x:v>
      </x:c>
      <x:c r="AE1460" s="12" t="str">
        <x:f>IF(J1460="Рассчитано","Выручка "&amp;TEXT(V1460,"0.00")&amp;" - себестоимость "&amp;TEXT(W1460,"0.00")&amp;" - комиссия "&amp;TEXT(V1460*R1460/100,"0.00")&amp;" - доставка "&amp;TEXT(P1460,"0.00")&amp;" - прочие "&amp;TEXT(Q1460,"0.00")&amp;" = "&amp;TEXT(G1460,"0.00")&amp;" "&amp;L1460,"Введите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0" s="23" t="n">
        <x:v>20.659314535217398</x:v>
      </x:c>
      <x:c r="AG1460" s="35" t="n">
        <x:v>85</x:v>
      </x:c>
      <x:c r="AH1460" s="35" t="n">
        <x:v>0</x:v>
      </x:c>
      <x:c r="AI1460" s="29" t="n">
        <x:v>46287</x:v>
      </x:c>
      <x:c r="AJ1460" s="35" t="n">
        <x:v>5</x:v>
      </x:c>
      <x:c r="AK1460" s="11" t="str">
        <x:v>кратность</x:v>
      </x:c>
      <x:c r="AL1460" s="31" t="n">
        <x:v>350.8076030765498</x:v>
      </x:c>
      <x:c r="AM1460" s="12" t="str">
        <x:v>Нет ежедневных данных доступности. Запас более 180 дней при среднем спросе</x:v>
      </x:c>
      <x:c r="AN1460" s="12" t="str">
        <x:v>Проверить свободный остаток и установить цену для B2B</x:v>
      </x:c>
      <x:c r="AO1460" s="12" t="str">
        <x:v>Остаток 85; прогноз 90 дней 20.66; избыток 64 шт. Будущие поступления не выставляются на продажу.</x:v>
      </x:c>
      <x:c r="AP1460" s="12" t="str">
        <x:v>["daily_stockout_data_missing", "large_orders_detected", "negative_net_sales_clipped_for_forecast", "new_order_lead_time_unknown"]</x:v>
      </x:c>
      <x:c r="AQ1460" s="11" t="str">
        <x:v>SE:300200839_</x:v>
      </x:c>
      <x:c r="AR1460" s="23" t="n">
        <x:v>1</x:v>
      </x:c>
      <x:c r="AS1460" s="23" t="n">
        <x:v>0</x:v>
      </x:c>
      <x:c r="AT1460" s="23" t="n">
        <x:v>0</x:v>
      </x:c>
    </x:row>
    <x:row r="1461" ht="64" customHeight="1">
      <x:c r="A1461" s="10" t="str">
        <x:v>Systeme Electric</x:v>
      </x:c>
      <x:c r="B1461" s="34" t="str">
        <x:v>300200840_</x:v>
      </x:c>
      <x:c r="C1461" s="34" t="str">
        <x:v>GAL001371</x:v>
      </x:c>
      <x:c r="D1461" s="13" t="str">
        <x:v>G057 Перекрест. переключ. 1 кл "ARTGALLERY" лотос GAL1371 (5)</x:v>
      </x:c>
      <x:c r="E1461" s="10" t="str">
        <x:v>шт</x:v>
      </x:c>
      <x:c r="F1461" s="37" t="n">
        <x:f>MAX(0,ROUNDDOWN((AG1461-AF1461)/AR1461+0.000000001,0)*AR1461)</x:f>
        <x:v>136</x:v>
      </x:c>
      <x:c r="G1461" s="21" t="str">
        <x:f>IF(J1461="Рассчитано",V1461*(1-R1461/100)-W1461-P1461-Q1461,"н/д")</x:f>
        <x:v>н/д</x:v>
      </x:c>
      <x:c r="H1461" s="13" t="str">
        <x:v>Средний</x:v>
      </x:c>
      <x:c r="I1461" s="13" t="str">
        <x:v>Высокий</x:v>
      </x:c>
      <x:c r="J1461" s="13" t="str">
        <x:f>IF(L1461="","Укажите валюту",IF(NOT(ISNUMBER(K1461)),"Укажите объём",IF(K1461&lt;=0,"Укажите объём",IF(K1461&gt;F1461,"Объём выше излишка",IF(COUNT(M1461:O1461)&lt;3,"Нужны цены",IF(COUNT(P1461:R1461)&lt;3,"Нужны расходы",IF(OR(M1461&lt;0,N1461&lt;0,O1461&lt;0,O1461&gt;100,P1461&lt;0,Q1461&lt;0,R1461&lt;0,R1461&gt;100),"Проверьте значения","Рассчитано")))))))</x:f>
        <x:v>Нужны цены</x:v>
      </x:c>
      <x:c r="K1461" s="36" t="n">
        <x:v>136</x:v>
      </x:c>
      <x:c r="L1461" s="19" t="str">
        <x:v>KZT</x:v>
      </x:c>
      <x:c r="M1461" s="22"/>
      <x:c r="N1461" s="22"/>
      <x:c r="O1461" s="28"/>
      <x:c r="P1461" s="22"/>
      <x:c r="Q1461" s="22"/>
      <x:c r="R1461" s="28"/>
      <x:c r="S1461" s="22"/>
      <x:c r="T1461" s="37" t="n">
        <x:f>K1461</x:f>
        <x:v>136</x:v>
      </x:c>
      <x:c r="U1461" s="21" t="str">
        <x:f>IF(J1461="Рассчитано",N1461*(1-O1461/100),"н/д")</x:f>
        <x:v>н/д</x:v>
      </x:c>
      <x:c r="V1461" s="21" t="str">
        <x:f>IF(J1461="Рассчитано",T1461*U1461,"н/д")</x:f>
        <x:v>н/д</x:v>
      </x:c>
      <x:c r="W1461" s="21" t="str">
        <x:f>IF(J1461="Рассчитано",T1461*M1461,"н/д")</x:f>
        <x:v>н/д</x:v>
      </x:c>
      <x:c r="X1461" s="21" t="str">
        <x:f>IF(J1461="Рассчитано",V1461-W1461,"н/д")</x:f>
        <x:v>н/д</x:v>
      </x:c>
      <x:c r="Y1461" s="27" t="str">
        <x:f>IF(J1461="Рассчитано",IF(V1461&gt;0,G1461/V1461,"н/д"),"н/д")</x:f>
        <x:v>н/д</x:v>
      </x:c>
      <x:c r="Z1461" s="21" t="str">
        <x:f>"н/д"</x:f>
        <x:v>н/д</x:v>
      </x:c>
      <x:c r="AA1461" s="21" t="str">
        <x:f>"н/д"</x:f>
        <x:v>н/д</x:v>
      </x:c>
      <x:c r="AB1461" s="21" t="str">
        <x:f>"н/д"</x:f>
        <x:v>н/д</x:v>
      </x:c>
      <x:c r="AC1461" s="21" t="str">
        <x:f>IF(AND(J1461="Рассчитано",T1461&gt;0,R1461&lt;100),(W1461+P1461+Q1461)/(T1461*(1-R1461/100)),"н/д")</x:f>
        <x:v>н/д</x:v>
      </x:c>
      <x:c r="AD1461" s="10" t="str">
        <x:f>IF(ISNUMBER(G1461),IF(G1461&lt;0,"Убыток",IF(G1461=0,"Без прибыли","Прибыль &gt; 0")),"Не оценён")</x:f>
        <x:v>Не оценён</x:v>
      </x:c>
      <x:c r="AE1461" s="13" t="str">
        <x:f>IF(J1461="Рассчитано","Выручка "&amp;TEXT(V1461,"0.00")&amp;" - себестоимость "&amp;TEXT(W1461,"0.00")&amp;" - комиссия "&amp;TEXT(V1461*R1461/100,"0.00")&amp;" - доставка "&amp;TEXT(P1461,"0.00")&amp;" - прочие "&amp;TEXT(Q1461,"0.00")&amp;" = "&amp;TEXT(G1461,"0.00")&amp;" "&amp;L1461,"Введите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1" s="24" t="n">
        <x:v>16.4313259309195</x:v>
      </x:c>
      <x:c r="AG1461" s="37" t="n">
        <x:v>153</x:v>
      </x:c>
      <x:c r="AH1461" s="37" t="n">
        <x:v>0</x:v>
      </x:c>
      <x:c r="AI1461" s="30" t="n">
        <x:v>46287</x:v>
      </x:c>
      <x:c r="AJ1461" s="37" t="n">
        <x:v>5</x:v>
      </x:c>
      <x:c r="AK1461" s="10" t="str">
        <x:v>кратность</x:v>
      </x:c>
      <x:c r="AL1461" s="32" t="n">
        <x:v>793.9347292356595</x:v>
      </x:c>
      <x:c r="AM1461" s="13" t="str">
        <x:v>Нет ежедневных данных доступности. Запас более 180 дней при среднем спросе</x:v>
      </x:c>
      <x:c r="AN1461" s="13" t="str">
        <x:v>Проверить свободный остаток и установить цену для B2B</x:v>
      </x:c>
      <x:c r="AO1461" s="13" t="str">
        <x:v>Остаток 153; прогноз 90 дней 16.43; избыток 136 шт. Будущие поступления не выставляются на продажу.</x:v>
      </x:c>
      <x:c r="AP1461" s="13" t="str">
        <x:v>["daily_stockout_data_missing", "negative_net_sales_clipped_for_forecast", "new_order_lead_time_unknown"]</x:v>
      </x:c>
      <x:c r="AQ1461" s="10" t="str">
        <x:v>SE:300200840_</x:v>
      </x:c>
      <x:c r="AR1461" s="24" t="n">
        <x:v>1</x:v>
      </x:c>
      <x:c r="AS1461" s="24" t="n">
        <x:v>0</x:v>
      </x:c>
      <x:c r="AT1461" s="24" t="n">
        <x:v>0</x:v>
      </x:c>
    </x:row>
    <x:row r="1462" ht="64" customHeight="1">
      <x:c r="A1462" s="11" t="str">
        <x:v>Systeme Electric</x:v>
      </x:c>
      <x:c r="B1462" s="33" t="str">
        <x:v>300200841_</x:v>
      </x:c>
      <x:c r="C1462" s="33" t="str">
        <x:v>GAL001388</x:v>
      </x:c>
      <x:c r="D1462" s="12" t="str">
        <x:v>G058 Роз. 2-ная комп. RJ45+RJ45 6A механизм "ARTGALLERY" лотос GAL1388 (1)</x:v>
      </x:c>
      <x:c r="E1462" s="11" t="str">
        <x:v>шт</x:v>
      </x:c>
      <x:c r="F1462" s="35" t="n">
        <x:f>MAX(0,ROUNDDOWN((AG1462-AF1462)/AR1462+0.000000001,0)*AR1462)</x:f>
        <x:v>23</x:v>
      </x:c>
      <x:c r="G1462" s="20" t="str">
        <x:f>IF(J1462="Рассчитано",V1462*(1-R1462/100)-W1462-P1462-Q1462,"н/д")</x:f>
        <x:v>н/д</x:v>
      </x:c>
      <x:c r="H1462" s="12" t="str">
        <x:v>Средний</x:v>
      </x:c>
      <x:c r="I1462" s="12" t="str">
        <x:v>Высокий</x:v>
      </x:c>
      <x:c r="J1462" s="12" t="str">
        <x:f>IF(L1462="","Укажите валюту",IF(NOT(ISNUMBER(K1462)),"Укажите объём",IF(K1462&lt;=0,"Укажите объём",IF(K1462&gt;F1462,"Объём выше излишка",IF(COUNT(M1462:O1462)&lt;3,"Нужны цены",IF(COUNT(P1462:R1462)&lt;3,"Нужны расходы",IF(OR(M1462&lt;0,N1462&lt;0,O1462&lt;0,O1462&gt;100,P1462&lt;0,Q1462&lt;0,R1462&lt;0,R1462&gt;100),"Проверьте значения","Рассчитано")))))))</x:f>
        <x:v>Нужны цены</x:v>
      </x:c>
      <x:c r="K1462" s="36" t="n">
        <x:v>23</x:v>
      </x:c>
      <x:c r="L1462" s="19" t="str">
        <x:v>KZT</x:v>
      </x:c>
      <x:c r="M1462" s="22"/>
      <x:c r="N1462" s="22"/>
      <x:c r="O1462" s="28"/>
      <x:c r="P1462" s="22"/>
      <x:c r="Q1462" s="22"/>
      <x:c r="R1462" s="28"/>
      <x:c r="S1462" s="22"/>
      <x:c r="T1462" s="35" t="n">
        <x:f>K1462</x:f>
        <x:v>23</x:v>
      </x:c>
      <x:c r="U1462" s="20" t="str">
        <x:f>IF(J1462="Рассчитано",N1462*(1-O1462/100),"н/д")</x:f>
        <x:v>н/д</x:v>
      </x:c>
      <x:c r="V1462" s="20" t="str">
        <x:f>IF(J1462="Рассчитано",T1462*U1462,"н/д")</x:f>
        <x:v>н/д</x:v>
      </x:c>
      <x:c r="W1462" s="20" t="str">
        <x:f>IF(J1462="Рассчитано",T1462*M1462,"н/д")</x:f>
        <x:v>н/д</x:v>
      </x:c>
      <x:c r="X1462" s="20" t="str">
        <x:f>IF(J1462="Рассчитано",V1462-W1462,"н/д")</x:f>
        <x:v>н/д</x:v>
      </x:c>
      <x:c r="Y1462" s="26" t="str">
        <x:f>IF(J1462="Рассчитано",IF(V1462&gt;0,G1462/V1462,"н/д"),"н/д")</x:f>
        <x:v>н/д</x:v>
      </x:c>
      <x:c r="Z1462" s="20" t="str">
        <x:f>"н/д"</x:f>
        <x:v>н/д</x:v>
      </x:c>
      <x:c r="AA1462" s="20" t="str">
        <x:f>"н/д"</x:f>
        <x:v>н/д</x:v>
      </x:c>
      <x:c r="AB1462" s="20" t="str">
        <x:f>"н/д"</x:f>
        <x:v>н/д</x:v>
      </x:c>
      <x:c r="AC1462" s="20" t="str">
        <x:f>IF(AND(J1462="Рассчитано",T1462&gt;0,R1462&lt;100),(W1462+P1462+Q1462)/(T1462*(1-R1462/100)),"н/д")</x:f>
        <x:v>н/д</x:v>
      </x:c>
      <x:c r="AD1462" s="11" t="str">
        <x:f>IF(ISNUMBER(G1462),IF(G1462&lt;0,"Убыток",IF(G1462=0,"Без прибыли","Прибыль &gt; 0")),"Не оценён")</x:f>
        <x:v>Не оценён</x:v>
      </x:c>
      <x:c r="AE1462" s="12" t="str">
        <x:f>IF(J1462="Рассчитано","Выручка "&amp;TEXT(V1462,"0.00")&amp;" - себестоимость "&amp;TEXT(W1462,"0.00")&amp;" - комиссия "&amp;TEXT(V1462*R1462/100,"0.00")&amp;" - доставка "&amp;TEXT(P1462,"0.00")&amp;" - прочие "&amp;TEXT(Q1462,"0.00")&amp;" = "&amp;TEXT(G1462,"0.00")&amp;" "&amp;L1462,"Введите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2" s="23" t="n">
        <x:v>0.8722538456550624</x:v>
      </x:c>
      <x:c r="AG1462" s="35" t="n">
        <x:v>24</x:v>
      </x:c>
      <x:c r="AH1462" s="35" t="n">
        <x:v>0</x:v>
      </x:c>
      <x:c r="AI1462" s="29" t="n">
        <x:v>46287</x:v>
      </x:c>
      <x:c r="AJ1462" s="35" t="n">
        <x:v>1</x:v>
      </x:c>
      <x:c r="AK1462" s="11" t="str">
        <x:v>кратность</x:v>
      </x:c>
      <x:c r="AL1462" s="31" t="n">
        <x:v>2346.03414220913</x:v>
      </x:c>
      <x:c r="AM1462" s="12" t="str">
        <x:v>Нет ежедневных данных доступности. Запас более 180 дней при среднем спросе</x:v>
      </x:c>
      <x:c r="AN1462" s="12" t="str">
        <x:v>Проверить свободный остаток и установить цену для B2B</x:v>
      </x:c>
      <x:c r="AO1462" s="12" t="str">
        <x:v>Остаток 24; прогноз 90 дней 0.87; избыток 23 шт. Будущие поступления не выставляются на продажу.</x:v>
      </x:c>
      <x:c r="AP1462" s="12" t="str">
        <x:v>["daily_stockout_data_missing", "negative_net_sales_clipped_for_forecast", "new_order_lead_time_unknown"]</x:v>
      </x:c>
      <x:c r="AQ1462" s="11" t="str">
        <x:v>SE:300200841_</x:v>
      </x:c>
      <x:c r="AR1462" s="23" t="n">
        <x:v>1</x:v>
      </x:c>
      <x:c r="AS1462" s="23" t="n">
        <x:v>0</x:v>
      </x:c>
      <x:c r="AT1462" s="23" t="n">
        <x:v>0</x:v>
      </x:c>
    </x:row>
    <x:row r="1463" ht="64" customHeight="1">
      <x:c r="A1463" s="10" t="str">
        <x:v>Systeme Electric</x:v>
      </x:c>
      <x:c r="B1463" s="34" t="str">
        <x:v>300200842_</x:v>
      </x:c>
      <x:c r="C1463" s="34" t="str">
        <x:v>GAL001343</x:v>
      </x:c>
      <x:c r="D1463" s="13" t="str">
        <x:v>G059 Роз. с з/к 16А механизм "ARTGALLERY" лотос GAL1343 (5)</x:v>
      </x:c>
      <x:c r="E1463" s="10" t="str">
        <x:v>шт</x:v>
      </x:c>
      <x:c r="F1463" s="37" t="n">
        <x:f>MAX(0,ROUNDDOWN((AG1463-AF1463)/AR1463+0.000000001,0)*AR1463)</x:f>
        <x:v>270</x:v>
      </x:c>
      <x:c r="G1463" s="21" t="str">
        <x:f>IF(J1463="Рассчитано",V1463*(1-R1463/100)-W1463-P1463-Q1463,"н/д")</x:f>
        <x:v>н/д</x:v>
      </x:c>
      <x:c r="H1463" s="13" t="str">
        <x:v>Средний</x:v>
      </x:c>
      <x:c r="I1463" s="13" t="str">
        <x:v>Средний</x:v>
      </x:c>
      <x:c r="J1463" s="13" t="str">
        <x:f>IF(L1463="","Укажите валюту",IF(NOT(ISNUMBER(K1463)),"Укажите объём",IF(K1463&lt;=0,"Укажите объём",IF(K1463&gt;F1463,"Объём выше излишка",IF(COUNT(M1463:O1463)&lt;3,"Нужны цены",IF(COUNT(P1463:R1463)&lt;3,"Нужны расходы",IF(OR(M1463&lt;0,N1463&lt;0,O1463&lt;0,O1463&gt;100,P1463&lt;0,Q1463&lt;0,R1463&lt;0,R1463&gt;100),"Проверьте значения","Рассчитано")))))))</x:f>
        <x:v>Нужны цены</x:v>
      </x:c>
      <x:c r="K1463" s="36" t="n">
        <x:v>270</x:v>
      </x:c>
      <x:c r="L1463" s="19" t="str">
        <x:v>KZT</x:v>
      </x:c>
      <x:c r="M1463" s="22"/>
      <x:c r="N1463" s="22"/>
      <x:c r="O1463" s="28"/>
      <x:c r="P1463" s="22"/>
      <x:c r="Q1463" s="22"/>
      <x:c r="R1463" s="28"/>
      <x:c r="S1463" s="22"/>
      <x:c r="T1463" s="37" t="n">
        <x:f>K1463</x:f>
        <x:v>270</x:v>
      </x:c>
      <x:c r="U1463" s="21" t="str">
        <x:f>IF(J1463="Рассчитано",N1463*(1-O1463/100),"н/д")</x:f>
        <x:v>н/д</x:v>
      </x:c>
      <x:c r="V1463" s="21" t="str">
        <x:f>IF(J1463="Рассчитано",T1463*U1463,"н/д")</x:f>
        <x:v>н/д</x:v>
      </x:c>
      <x:c r="W1463" s="21" t="str">
        <x:f>IF(J1463="Рассчитано",T1463*M1463,"н/д")</x:f>
        <x:v>н/д</x:v>
      </x:c>
      <x:c r="X1463" s="21" t="str">
        <x:f>IF(J1463="Рассчитано",V1463-W1463,"н/д")</x:f>
        <x:v>н/д</x:v>
      </x:c>
      <x:c r="Y1463" s="27" t="str">
        <x:f>IF(J1463="Рассчитано",IF(V1463&gt;0,G1463/V1463,"н/д"),"н/д")</x:f>
        <x:v>н/д</x:v>
      </x:c>
      <x:c r="Z1463" s="21" t="str">
        <x:f>"н/д"</x:f>
        <x:v>н/д</x:v>
      </x:c>
      <x:c r="AA1463" s="21" t="str">
        <x:f>"н/д"</x:f>
        <x:v>н/д</x:v>
      </x:c>
      <x:c r="AB1463" s="21" t="str">
        <x:f>"н/д"</x:f>
        <x:v>н/д</x:v>
      </x:c>
      <x:c r="AC1463" s="21" t="str">
        <x:f>IF(AND(J1463="Рассчитано",T1463&gt;0,R1463&lt;100),(W1463+P1463+Q1463)/(T1463*(1-R1463/100)),"н/д")</x:f>
        <x:v>н/д</x:v>
      </x:c>
      <x:c r="AD1463" s="10" t="str">
        <x:f>IF(ISNUMBER(G1463),IF(G1463&lt;0,"Убыток",IF(G1463=0,"Без прибыли","Прибыль &gt; 0")),"Не оценён")</x:f>
        <x:v>Не оценён</x:v>
      </x:c>
      <x:c r="AE1463" s="13" t="str">
        <x:f>IF(J1463="Рассчитано","Выручка "&amp;TEXT(V1463,"0.00")&amp;" - себестоимость "&amp;TEXT(W1463,"0.00")&amp;" - комиссия "&amp;TEXT(V1463*R1463/100,"0.00")&amp;" - доставка "&amp;TEXT(P1463,"0.00")&amp;" - прочие "&amp;TEXT(Q1463,"0.00")&amp;" = "&amp;TEXT(G1463,"0.00")&amp;" "&amp;L1463,"Введите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3" s="24" t="n">
        <x:v>287.3563547365837</x:v>
      </x:c>
      <x:c r="AG1463" s="37" t="n">
        <x:v>558</x:v>
      </x:c>
      <x:c r="AH1463" s="37" t="n">
        <x:v>0</x:v>
      </x:c>
      <x:c r="AI1463" s="30" t="n">
        <x:v>46287</x:v>
      </x:c>
      <x:c r="AJ1463" s="37" t="n">
        <x:v>5</x:v>
      </x:c>
      <x:c r="AK1463" s="10" t="str">
        <x:v>кратность</x:v>
      </x:c>
      <x:c r="AL1463" s="32" t="n">
        <x:v>165.569132196845</x:v>
      </x:c>
      <x:c r="AM1463" s="13" t="str">
        <x:v>Детальные и месячные продажи расходятся; Нет ежедневных данных доступности. Запас выше прогноза на 90 дней</x:v>
      </x:c>
      <x:c r="AN1463" s="13" t="str">
        <x:v>Проверить свободный остаток и установить цену для B2B</x:v>
      </x:c>
      <x:c r="AO1463" s="13" t="str">
        <x:v>Остаток 558; прогноз 90 дней 287.36; избыток 270 шт. Будущие поступления не выставляются на продажу.</x:v>
      </x:c>
      <x:c r="AP1463" s="13" t="str">
        <x:v>["daily_stockout_data_missing", "large_orders_detected", "negative_net_sales_clipped_for_forecast", "new_order_lead_time_unknown", "transaction_month_mismatch"]</x:v>
      </x:c>
      <x:c r="AQ1463" s="10" t="str">
        <x:v>SE:300200842_</x:v>
      </x:c>
      <x:c r="AR1463" s="24" t="n">
        <x:v>1</x:v>
      </x:c>
      <x:c r="AS1463" s="24" t="n">
        <x:v>0</x:v>
      </x:c>
      <x:c r="AT1463" s="24" t="n">
        <x:v>0</x:v>
      </x:c>
    </x:row>
    <x:row r="1464" ht="64" customHeight="1">
      <x:c r="A1464" s="11" t="str">
        <x:v>Systeme Electric</x:v>
      </x:c>
      <x:c r="B1464" s="33" t="str">
        <x:v>300200843_</x:v>
      </x:c>
      <x:c r="C1464" s="33" t="str">
        <x:v>GAL001345</x:v>
      </x:c>
      <x:c r="D1464" s="12" t="str">
        <x:v>G060 Роз. с з/к с/ш 16А механизм "ARTGALLERY" лотос GAL1345 (5)</x:v>
      </x:c>
      <x:c r="E1464" s="11" t="str">
        <x:v>шт</x:v>
      </x:c>
      <x:c r="F1464" s="35" t="n">
        <x:f>MAX(0,ROUNDDOWN((AG1464-AF1464)/AR1464+0.000000001,0)*AR1464)</x:f>
        <x:v>347</x:v>
      </x:c>
      <x:c r="G1464" s="20" t="str">
        <x:f>IF(J1464="Рассчитано",V1464*(1-R1464/100)-W1464-P1464-Q1464,"н/д")</x:f>
        <x:v>н/д</x:v>
      </x:c>
      <x:c r="H1464" s="12" t="str">
        <x:v>Средний</x:v>
      </x:c>
      <x:c r="I1464" s="12" t="str">
        <x:v>Высокий</x:v>
      </x:c>
      <x:c r="J1464" s="12" t="str">
        <x:f>IF(L1464="","Укажите валюту",IF(NOT(ISNUMBER(K1464)),"Укажите объём",IF(K1464&lt;=0,"Укажите объём",IF(K1464&gt;F1464,"Объём выше излишка",IF(COUNT(M1464:O1464)&lt;3,"Нужны цены",IF(COUNT(P1464:R1464)&lt;3,"Нужны расходы",IF(OR(M1464&lt;0,N1464&lt;0,O1464&lt;0,O1464&gt;100,P1464&lt;0,Q1464&lt;0,R1464&lt;0,R1464&gt;100),"Проверьте значения","Рассчитано")))))))</x:f>
        <x:v>Нужны цены</x:v>
      </x:c>
      <x:c r="K1464" s="36" t="n">
        <x:v>347</x:v>
      </x:c>
      <x:c r="L1464" s="19" t="str">
        <x:v>KZT</x:v>
      </x:c>
      <x:c r="M1464" s="22"/>
      <x:c r="N1464" s="22"/>
      <x:c r="O1464" s="28"/>
      <x:c r="P1464" s="22"/>
      <x:c r="Q1464" s="22"/>
      <x:c r="R1464" s="28"/>
      <x:c r="S1464" s="22"/>
      <x:c r="T1464" s="35" t="n">
        <x:f>K1464</x:f>
        <x:v>347</x:v>
      </x:c>
      <x:c r="U1464" s="20" t="str">
        <x:f>IF(J1464="Рассчитано",N1464*(1-O1464/100),"н/д")</x:f>
        <x:v>н/д</x:v>
      </x:c>
      <x:c r="V1464" s="20" t="str">
        <x:f>IF(J1464="Рассчитано",T1464*U1464,"н/д")</x:f>
        <x:v>н/д</x:v>
      </x:c>
      <x:c r="W1464" s="20" t="str">
        <x:f>IF(J1464="Рассчитано",T1464*M1464,"н/д")</x:f>
        <x:v>н/д</x:v>
      </x:c>
      <x:c r="X1464" s="20" t="str">
        <x:f>IF(J1464="Рассчитано",V1464-W1464,"н/д")</x:f>
        <x:v>н/д</x:v>
      </x:c>
      <x:c r="Y1464" s="26" t="str">
        <x:f>IF(J1464="Рассчитано",IF(V1464&gt;0,G1464/V1464,"н/д"),"н/д")</x:f>
        <x:v>н/д</x:v>
      </x:c>
      <x:c r="Z1464" s="20" t="str">
        <x:f>"н/д"</x:f>
        <x:v>н/д</x:v>
      </x:c>
      <x:c r="AA1464" s="20" t="str">
        <x:f>"н/д"</x:f>
        <x:v>н/д</x:v>
      </x:c>
      <x:c r="AB1464" s="20" t="str">
        <x:f>"н/д"</x:f>
        <x:v>н/д</x:v>
      </x:c>
      <x:c r="AC1464" s="20" t="str">
        <x:f>IF(AND(J1464="Рассчитано",T1464&gt;0,R1464&lt;100),(W1464+P1464+Q1464)/(T1464*(1-R1464/100)),"н/д")</x:f>
        <x:v>н/д</x:v>
      </x:c>
      <x:c r="AD1464" s="11" t="str">
        <x:f>IF(ISNUMBER(G1464),IF(G1464&lt;0,"Убыток",IF(G1464=0,"Без прибыли","Прибыль &gt; 0")),"Не оценён")</x:f>
        <x:v>Не оценён</x:v>
      </x:c>
      <x:c r="AE1464" s="12" t="str">
        <x:f>IF(J1464="Рассчитано","Выручка "&amp;TEXT(V1464,"0.00")&amp;" - себестоимость "&amp;TEXT(W1464,"0.00")&amp;" - комиссия "&amp;TEXT(V1464*R1464/100,"0.00")&amp;" - доставка "&amp;TEXT(P1464,"0.00")&amp;" - прочие "&amp;TEXT(Q1464,"0.00")&amp;" = "&amp;TEXT(G1464,"0.00")&amp;" "&amp;L1464,"Введите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4" s="23" t="n">
        <x:v>38.338376739070355</x:v>
      </x:c>
      <x:c r="AG1464" s="35" t="n">
        <x:v>386</x:v>
      </x:c>
      <x:c r="AH1464" s="35" t="n">
        <x:v>0</x:v>
      </x:c>
      <x:c r="AI1464" s="29" t="n">
        <x:v>46287</x:v>
      </x:c>
      <x:c r="AJ1464" s="35" t="n">
        <x:v>5</x:v>
      </x:c>
      <x:c r="AK1464" s="11" t="str">
        <x:v>кратность</x:v>
      </x:c>
      <x:c r="AL1464" s="31" t="n">
        <x:v>858.4590102451565</x:v>
      </x:c>
      <x:c r="AM1464" s="12" t="str">
        <x:v>Нет ежедневных данных доступности. Запас более 180 дней при среднем спросе</x:v>
      </x:c>
      <x:c r="AN1464" s="12" t="str">
        <x:v>Проверить свободный остаток и установить цену для B2B</x:v>
      </x:c>
      <x:c r="AO1464" s="12" t="str">
        <x:v>Остаток 386; прогноз 90 дней 38.34; избыток 347 шт. Будущие поступления не выставляются на продажу.</x:v>
      </x:c>
      <x:c r="AP1464" s="12" t="str">
        <x:v>["daily_stockout_data_missing", "negative_net_sales_clipped_for_forecast", "new_order_lead_time_unknown"]</x:v>
      </x:c>
      <x:c r="AQ1464" s="11" t="str">
        <x:v>SE:300200843_</x:v>
      </x:c>
      <x:c r="AR1464" s="23" t="n">
        <x:v>1</x:v>
      </x:c>
      <x:c r="AS1464" s="23" t="n">
        <x:v>0</x:v>
      </x:c>
      <x:c r="AT1464" s="23" t="n">
        <x:v>0</x:v>
      </x:c>
    </x:row>
    <x:row r="1465" ht="64" customHeight="1">
      <x:c r="A1465" s="10" t="str">
        <x:v>Systeme Electric</x:v>
      </x:c>
      <x:c r="B1465" s="34" t="str">
        <x:v>300200844_</x:v>
      </x:c>
      <x:c r="C1465" s="34" t="str">
        <x:v>GAL001346</x:v>
      </x:c>
      <x:c r="D1465" s="13" t="str">
        <x:v>G061 Роз. с з/к с/ш с крышкой 16А механизм IP20 "ARTGALLERY" лотос GAL1346 (5)</x:v>
      </x:c>
      <x:c r="E1465" s="10" t="str">
        <x:v>шт</x:v>
      </x:c>
      <x:c r="F1465" s="37" t="n">
        <x:f>MAX(0,ROUNDDOWN((AG1465-AF1465)/AR1465+0.000000001,0)*AR1465)</x:f>
        <x:v>57</x:v>
      </x:c>
      <x:c r="G1465" s="21" t="str">
        <x:f>IF(J1465="Рассчитано",V1465*(1-R1465/100)-W1465-P1465-Q1465,"н/д")</x:f>
        <x:v>н/д</x:v>
      </x:c>
      <x:c r="H1465" s="13" t="str">
        <x:v>Средний</x:v>
      </x:c>
      <x:c r="I1465" s="13" t="str">
        <x:v>Высокий</x:v>
      </x:c>
      <x:c r="J1465" s="13" t="str">
        <x:f>IF(L1465="","Укажите валюту",IF(NOT(ISNUMBER(K1465)),"Укажите объём",IF(K1465&lt;=0,"Укажите объём",IF(K1465&gt;F1465,"Объём выше излишка",IF(COUNT(M1465:O1465)&lt;3,"Нужны цены",IF(COUNT(P1465:R1465)&lt;3,"Нужны расходы",IF(OR(M1465&lt;0,N1465&lt;0,O1465&lt;0,O1465&gt;100,P1465&lt;0,Q1465&lt;0,R1465&lt;0,R1465&gt;100),"Проверьте значения","Рассчитано")))))))</x:f>
        <x:v>Нужны цены</x:v>
      </x:c>
      <x:c r="K1465" s="36" t="n">
        <x:v>57</x:v>
      </x:c>
      <x:c r="L1465" s="19" t="str">
        <x:v>KZT</x:v>
      </x:c>
      <x:c r="M1465" s="22"/>
      <x:c r="N1465" s="22"/>
      <x:c r="O1465" s="28"/>
      <x:c r="P1465" s="22"/>
      <x:c r="Q1465" s="22"/>
      <x:c r="R1465" s="28"/>
      <x:c r="S1465" s="22"/>
      <x:c r="T1465" s="37" t="n">
        <x:f>K1465</x:f>
        <x:v>57</x:v>
      </x:c>
      <x:c r="U1465" s="21" t="str">
        <x:f>IF(J1465="Рассчитано",N1465*(1-O1465/100),"н/д")</x:f>
        <x:v>н/д</x:v>
      </x:c>
      <x:c r="V1465" s="21" t="str">
        <x:f>IF(J1465="Рассчитано",T1465*U1465,"н/д")</x:f>
        <x:v>н/д</x:v>
      </x:c>
      <x:c r="W1465" s="21" t="str">
        <x:f>IF(J1465="Рассчитано",T1465*M1465,"н/д")</x:f>
        <x:v>н/д</x:v>
      </x:c>
      <x:c r="X1465" s="21" t="str">
        <x:f>IF(J1465="Рассчитано",V1465-W1465,"н/д")</x:f>
        <x:v>н/д</x:v>
      </x:c>
      <x:c r="Y1465" s="27" t="str">
        <x:f>IF(J1465="Рассчитано",IF(V1465&gt;0,G1465/V1465,"н/д"),"н/д")</x:f>
        <x:v>н/д</x:v>
      </x:c>
      <x:c r="Z1465" s="21" t="str">
        <x:f>"н/д"</x:f>
        <x:v>н/д</x:v>
      </x:c>
      <x:c r="AA1465" s="21" t="str">
        <x:f>"н/д"</x:f>
        <x:v>н/д</x:v>
      </x:c>
      <x:c r="AB1465" s="21" t="str">
        <x:f>"н/д"</x:f>
        <x:v>н/д</x:v>
      </x:c>
      <x:c r="AC1465" s="21" t="str">
        <x:f>IF(AND(J1465="Рассчитано",T1465&gt;0,R1465&lt;100),(W1465+P1465+Q1465)/(T1465*(1-R1465/100)),"н/д")</x:f>
        <x:v>н/д</x:v>
      </x:c>
      <x:c r="AD1465" s="10" t="str">
        <x:f>IF(ISNUMBER(G1465),IF(G1465&lt;0,"Убыток",IF(G1465=0,"Без прибыли","Прибыль &gt; 0")),"Не оценён")</x:f>
        <x:v>Не оценён</x:v>
      </x:c>
      <x:c r="AE1465" s="13" t="str">
        <x:f>IF(J1465="Рассчитано","Выручка "&amp;TEXT(V1465,"0.00")&amp;" - себестоимость "&amp;TEXT(W1465,"0.00")&amp;" - комиссия "&amp;TEXT(V1465*R1465/100,"0.00")&amp;" - доставка "&amp;TEXT(P1465,"0.00")&amp;" - прочие "&amp;TEXT(Q1465,"0.00")&amp;" = "&amp;TEXT(G1465,"0.00")&amp;" "&amp;L1465,"Введите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5" s="24" t="n">
        <x:v>7.753154462737288</x:v>
      </x:c>
      <x:c r="AG1465" s="37" t="n">
        <x:v>65</x:v>
      </x:c>
      <x:c r="AH1465" s="37" t="n">
        <x:v>0</x:v>
      </x:c>
      <x:c r="AI1465" s="30" t="n">
        <x:v>46287</x:v>
      </x:c>
      <x:c r="AJ1465" s="37" t="n">
        <x:v>5</x:v>
      </x:c>
      <x:c r="AK1465" s="10" t="str">
        <x:v>кратность</x:v>
      </x:c>
      <x:c r="AL1465" s="32" t="n">
        <x:v>714.8269203789507</x:v>
      </x:c>
      <x:c r="AM1465" s="13" t="str">
        <x:v>Детальные и месячные продажи расходятся; Нет ежедневных данных доступности. Запас более 180 дней при среднем спросе</x:v>
      </x:c>
      <x:c r="AN1465" s="13" t="str">
        <x:v>Проверить свободный остаток и установить цену для B2B</x:v>
      </x:c>
      <x:c r="AO1465" s="13" t="str">
        <x:v>Остаток 65; прогноз 90 дней 7.75; избыток 57 шт. Будущие поступления не выставляются на продажу.</x:v>
      </x:c>
      <x:c r="AP1465" s="13" t="str">
        <x:v>["daily_stockout_data_missing", "large_orders_detected", "negative_net_sales_clipped_for_forecast", "new_order_lead_time_unknown", "transaction_month_mismatch"]</x:v>
      </x:c>
      <x:c r="AQ1465" s="10" t="str">
        <x:v>SE:300200844_</x:v>
      </x:c>
      <x:c r="AR1465" s="24" t="n">
        <x:v>1</x:v>
      </x:c>
      <x:c r="AS1465" s="24" t="n">
        <x:v>0</x:v>
      </x:c>
      <x:c r="AT1465" s="24" t="n">
        <x:v>0</x:v>
      </x:c>
    </x:row>
    <x:row r="1466" ht="64" customHeight="1">
      <x:c r="A1466" s="11" t="str">
        <x:v>Systeme Electric</x:v>
      </x:c>
      <x:c r="B1466" s="33" t="str">
        <x:v>300200845_</x:v>
      </x:c>
      <x:c r="C1466" s="33" t="str">
        <x:v>GAL001391</x:v>
      </x:c>
      <x:c r="D1466" s="12" t="str">
        <x:v>G062 Роз. TV оконечная механизм "ARTGALLERY" лотос GAL1391 (5)</x:v>
      </x:c>
      <x:c r="E1466" s="11" t="str">
        <x:v>шт</x:v>
      </x:c>
      <x:c r="F1466" s="35" t="n">
        <x:f>MAX(0,ROUNDDOWN((AG1466-AF1466)/AR1466+0.000000001,0)*AR1466)</x:f>
        <x:v>202</x:v>
      </x:c>
      <x:c r="G1466" s="20" t="str">
        <x:f>IF(J1466="Рассчитано",V1466*(1-R1466/100)-W1466-P1466-Q1466,"н/д")</x:f>
        <x:v>н/д</x:v>
      </x:c>
      <x:c r="H1466" s="12" t="str">
        <x:v>Средний</x:v>
      </x:c>
      <x:c r="I1466" s="12" t="str">
        <x:v>Высокий</x:v>
      </x:c>
      <x:c r="J1466" s="12" t="str">
        <x:f>IF(L1466="","Укажите валюту",IF(NOT(ISNUMBER(K1466)),"Укажите объём",IF(K1466&lt;=0,"Укажите объём",IF(K1466&gt;F1466,"Объём выше излишка",IF(COUNT(M1466:O1466)&lt;3,"Нужны цены",IF(COUNT(P1466:R1466)&lt;3,"Нужны расходы",IF(OR(M1466&lt;0,N1466&lt;0,O1466&lt;0,O1466&gt;100,P1466&lt;0,Q1466&lt;0,R1466&lt;0,R1466&gt;100),"Проверьте значения","Рассчитано")))))))</x:f>
        <x:v>Нужны цены</x:v>
      </x:c>
      <x:c r="K1466" s="36" t="n">
        <x:v>202</x:v>
      </x:c>
      <x:c r="L1466" s="19" t="str">
        <x:v>KZT</x:v>
      </x:c>
      <x:c r="M1466" s="22"/>
      <x:c r="N1466" s="22"/>
      <x:c r="O1466" s="28"/>
      <x:c r="P1466" s="22"/>
      <x:c r="Q1466" s="22"/>
      <x:c r="R1466" s="28"/>
      <x:c r="S1466" s="22"/>
      <x:c r="T1466" s="35" t="n">
        <x:f>K1466</x:f>
        <x:v>202</x:v>
      </x:c>
      <x:c r="U1466" s="20" t="str">
        <x:f>IF(J1466="Рассчитано",N1466*(1-O1466/100),"н/д")</x:f>
        <x:v>н/д</x:v>
      </x:c>
      <x:c r="V1466" s="20" t="str">
        <x:f>IF(J1466="Рассчитано",T1466*U1466,"н/д")</x:f>
        <x:v>н/д</x:v>
      </x:c>
      <x:c r="W1466" s="20" t="str">
        <x:f>IF(J1466="Рассчитано",T1466*M1466,"н/д")</x:f>
        <x:v>н/д</x:v>
      </x:c>
      <x:c r="X1466" s="20" t="str">
        <x:f>IF(J1466="Рассчитано",V1466-W1466,"н/д")</x:f>
        <x:v>н/д</x:v>
      </x:c>
      <x:c r="Y1466" s="26" t="str">
        <x:f>IF(J1466="Рассчитано",IF(V1466&gt;0,G1466/V1466,"н/д"),"н/д")</x:f>
        <x:v>н/д</x:v>
      </x:c>
      <x:c r="Z1466" s="20" t="str">
        <x:f>"н/д"</x:f>
        <x:v>н/д</x:v>
      </x:c>
      <x:c r="AA1466" s="20" t="str">
        <x:f>"н/д"</x:f>
        <x:v>н/д</x:v>
      </x:c>
      <x:c r="AB1466" s="20" t="str">
        <x:f>"н/д"</x:f>
        <x:v>н/д</x:v>
      </x:c>
      <x:c r="AC1466" s="20" t="str">
        <x:f>IF(AND(J1466="Рассчитано",T1466&gt;0,R1466&lt;100),(W1466+P1466+Q1466)/(T1466*(1-R1466/100)),"н/д")</x:f>
        <x:v>н/д</x:v>
      </x:c>
      <x:c r="AD1466" s="11" t="str">
        <x:f>IF(ISNUMBER(G1466),IF(G1466&lt;0,"Убыток",IF(G1466=0,"Без прибыли","Прибыль &gt; 0")),"Не оценён")</x:f>
        <x:v>Не оценён</x:v>
      </x:c>
      <x:c r="AE1466" s="12" t="str">
        <x:f>IF(J1466="Рассчитано","Выручка "&amp;TEXT(V1466,"0.00")&amp;" - себестоимость "&amp;TEXT(W1466,"0.00")&amp;" - комиссия "&amp;TEXT(V1466*R1466/100,"0.00")&amp;" - доставка "&amp;TEXT(P1466,"0.00")&amp;" - прочие "&amp;TEXT(Q1466,"0.00")&amp;" = "&amp;TEXT(G1466,"0.00")&amp;" "&amp;L1466,"Введите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6" s="23" t="n">
        <x:v>2.5375169911828355</x:v>
      </x:c>
      <x:c r="AG1466" s="35" t="n">
        <x:v>205</x:v>
      </x:c>
      <x:c r="AH1466" s="35" t="n">
        <x:v>0</x:v>
      </x:c>
      <x:c r="AI1466" s="29" t="n">
        <x:v>46287</x:v>
      </x:c>
      <x:c r="AJ1466" s="35" t="n">
        <x:v>5</x:v>
      </x:c>
      <x:c r="AK1466" s="11" t="str">
        <x:v>кратность</x:v>
      </x:c>
      <x:c r="AL1466" s="31" t="n">
        <x:v>6888.281413263144</x:v>
      </x:c>
      <x:c r="AM1466" s="12" t="str">
        <x:v>Нет ежедневных данных доступности. Нет положительных чистых продаж за 12 месяцев</x:v>
      </x:c>
      <x:c r="AN1466" s="12" t="str">
        <x:v>Проверить свободный остаток и установить цену для B2B</x:v>
      </x:c>
      <x:c r="AO1466" s="12" t="str">
        <x:v>Остаток 205; прогноз 90 дней 2.54; избыток 202 шт. Будущие поступления не выставляются на продажу.</x:v>
      </x:c>
      <x:c r="AP1466" s="12" t="str">
        <x:v>["daily_stockout_data_missing", "negative_net_sales_clipped_for_forecast", "new_order_lead_time_unknown"]</x:v>
      </x:c>
      <x:c r="AQ1466" s="11" t="str">
        <x:v>SE:300200845_</x:v>
      </x:c>
      <x:c r="AR1466" s="23" t="n">
        <x:v>1</x:v>
      </x:c>
      <x:c r="AS1466" s="23" t="n">
        <x:v>0</x:v>
      </x:c>
      <x:c r="AT1466" s="23" t="n">
        <x:v>0</x:v>
      </x:c>
    </x:row>
    <x:row r="1467" ht="64" customHeight="1">
      <x:c r="A1467" s="10" t="str">
        <x:v>Systeme Electric</x:v>
      </x:c>
      <x:c r="B1467" s="34" t="str">
        <x:v>300200846_</x:v>
      </x:c>
      <x:c r="C1467" s="34" t="str">
        <x:v>GAL001301</x:v>
      </x:c>
      <x:c r="D1467" s="13" t="str">
        <x:v>G063 Рамка 1-ная "ARTGALLERY" лотос GAL1301 (10)</x:v>
      </x:c>
      <x:c r="E1467" s="10" t="str">
        <x:v>шт</x:v>
      </x:c>
      <x:c r="F1467" s="37" t="n">
        <x:f>MAX(0,ROUNDDOWN((AG1467-AF1467)/AR1467+0.000000001,0)*AR1467)</x:f>
        <x:v>983</x:v>
      </x:c>
      <x:c r="G1467" s="21" t="str">
        <x:f>IF(J1467="Рассчитано",V1467*(1-R1467/100)-W1467-P1467-Q1467,"н/д")</x:f>
        <x:v>н/д</x:v>
      </x:c>
      <x:c r="H1467" s="13" t="str">
        <x:v>Средний</x:v>
      </x:c>
      <x:c r="I1467" s="13" t="str">
        <x:v>Высокий</x:v>
      </x:c>
      <x:c r="J1467" s="13" t="str">
        <x:f>IF(L1467="","Укажите валюту",IF(NOT(ISNUMBER(K1467)),"Укажите объём",IF(K1467&lt;=0,"Укажите объём",IF(K1467&gt;F1467,"Объём выше излишка",IF(COUNT(M1467:O1467)&lt;3,"Нужны цены",IF(COUNT(P1467:R1467)&lt;3,"Нужны расходы",IF(OR(M1467&lt;0,N1467&lt;0,O1467&lt;0,O1467&gt;100,P1467&lt;0,Q1467&lt;0,R1467&lt;0,R1467&gt;100),"Проверьте значения","Рассчитано")))))))</x:f>
        <x:v>Нужны цены</x:v>
      </x:c>
      <x:c r="K1467" s="36" t="n">
        <x:v>983</x:v>
      </x:c>
      <x:c r="L1467" s="19" t="str">
        <x:v>KZT</x:v>
      </x:c>
      <x:c r="M1467" s="22"/>
      <x:c r="N1467" s="22"/>
      <x:c r="O1467" s="28"/>
      <x:c r="P1467" s="22"/>
      <x:c r="Q1467" s="22"/>
      <x:c r="R1467" s="28"/>
      <x:c r="S1467" s="22"/>
      <x:c r="T1467" s="37" t="n">
        <x:f>K1467</x:f>
        <x:v>983</x:v>
      </x:c>
      <x:c r="U1467" s="21" t="str">
        <x:f>IF(J1467="Рассчитано",N1467*(1-O1467/100),"н/д")</x:f>
        <x:v>н/д</x:v>
      </x:c>
      <x:c r="V1467" s="21" t="str">
        <x:f>IF(J1467="Рассчитано",T1467*U1467,"н/д")</x:f>
        <x:v>н/д</x:v>
      </x:c>
      <x:c r="W1467" s="21" t="str">
        <x:f>IF(J1467="Рассчитано",T1467*M1467,"н/д")</x:f>
        <x:v>н/д</x:v>
      </x:c>
      <x:c r="X1467" s="21" t="str">
        <x:f>IF(J1467="Рассчитано",V1467-W1467,"н/д")</x:f>
        <x:v>н/д</x:v>
      </x:c>
      <x:c r="Y1467" s="27" t="str">
        <x:f>IF(J1467="Рассчитано",IF(V1467&gt;0,G1467/V1467,"н/д"),"н/д")</x:f>
        <x:v>н/д</x:v>
      </x:c>
      <x:c r="Z1467" s="21" t="str">
        <x:f>"н/д"</x:f>
        <x:v>н/д</x:v>
      </x:c>
      <x:c r="AA1467" s="21" t="str">
        <x:f>"н/д"</x:f>
        <x:v>н/д</x:v>
      </x:c>
      <x:c r="AB1467" s="21" t="str">
        <x:f>"н/д"</x:f>
        <x:v>н/д</x:v>
      </x:c>
      <x:c r="AC1467" s="21" t="str">
        <x:f>IF(AND(J1467="Рассчитано",T1467&gt;0,R1467&lt;100),(W1467+P1467+Q1467)/(T1467*(1-R1467/100)),"н/д")</x:f>
        <x:v>н/д</x:v>
      </x:c>
      <x:c r="AD1467" s="10" t="str">
        <x:f>IF(ISNUMBER(G1467),IF(G1467&lt;0,"Убыток",IF(G1467=0,"Без прибыли","Прибыль &gt; 0")),"Не оценён")</x:f>
        <x:v>Не оценён</x:v>
      </x:c>
      <x:c r="AE1467" s="13" t="str">
        <x:f>IF(J1467="Рассчитано","Выручка "&amp;TEXT(V1467,"0.00")&amp;" - себестоимость "&amp;TEXT(W1467,"0.00")&amp;" - комиссия "&amp;TEXT(V1467*R1467/100,"0.00")&amp;" - доставка "&amp;TEXT(P1467,"0.00")&amp;" - прочие "&amp;TEXT(Q1467,"0.00")&amp;" = "&amp;TEXT(G1467,"0.00")&amp;" "&amp;L1467,"Введите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7" s="24" t="n">
        <x:v>218.6879754110341</x:v>
      </x:c>
      <x:c r="AG1467" s="37" t="n">
        <x:v>1202</x:v>
      </x:c>
      <x:c r="AH1467" s="37" t="n">
        <x:v>0</x:v>
      </x:c>
      <x:c r="AI1467" s="30" t="n">
        <x:v>46287</x:v>
      </x:c>
      <x:c r="AJ1467" s="37" t="n">
        <x:v>10</x:v>
      </x:c>
      <x:c r="AK1467" s="10" t="str">
        <x:v>кратность</x:v>
      </x:c>
      <x:c r="AL1467" s="32" t="n">
        <x:v>468.64667819489426</x:v>
      </x:c>
      <x:c r="AM1467" s="13" t="str">
        <x:v>Детальные и месячные продажи расходятся; Нет ежедневных данных доступности. Запас более 180 дней при среднем спросе</x:v>
      </x:c>
      <x:c r="AN1467" s="13" t="str">
        <x:v>Проверить свободный остаток и установить цену для B2B</x:v>
      </x:c>
      <x:c r="AO1467" s="13" t="str">
        <x:v>Остаток 1202; прогноз 90 дней 218.69; избыток 983 шт. Будущие поступления не выставляются на продажу.</x:v>
      </x:c>
      <x:c r="AP1467" s="13" t="str">
        <x:v>["daily_stockout_data_missing", "large_orders_detected", "negative_net_sales_clipped_for_forecast", "new_order_lead_time_unknown", "transaction_month_mismatch"]</x:v>
      </x:c>
      <x:c r="AQ1467" s="10" t="str">
        <x:v>SE:300200846_</x:v>
      </x:c>
      <x:c r="AR1467" s="24" t="n">
        <x:v>1</x:v>
      </x:c>
      <x:c r="AS1467" s="24" t="n">
        <x:v>0</x:v>
      </x:c>
      <x:c r="AT1467" s="24" t="n">
        <x:v>0</x:v>
      </x:c>
    </x:row>
    <x:row r="1468" ht="64" customHeight="1">
      <x:c r="A1468" s="11" t="str">
        <x:v>Systeme Electric</x:v>
      </x:c>
      <x:c r="B1468" s="33" t="str">
        <x:v>300200847_</x:v>
      </x:c>
      <x:c r="C1468" s="33" t="str">
        <x:v>GAL001302</x:v>
      </x:c>
      <x:c r="D1468" s="12" t="str">
        <x:v>G064 Рамка 2-ная "ARTGALLERY" лотос GAL1302 (5)</x:v>
      </x:c>
      <x:c r="E1468" s="11" t="str">
        <x:v>шт</x:v>
      </x:c>
      <x:c r="F1468" s="35" t="n">
        <x:f>MAX(0,ROUNDDOWN((AG1468-AF1468)/AR1468+0.000000001,0)*AR1468)</x:f>
        <x:v>421</x:v>
      </x:c>
      <x:c r="G1468" s="20" t="str">
        <x:f>IF(J1468="Рассчитано",V1468*(1-R1468/100)-W1468-P1468-Q1468,"н/д")</x:f>
        <x:v>н/д</x:v>
      </x:c>
      <x:c r="H1468" s="12" t="str">
        <x:v>Средний</x:v>
      </x:c>
      <x:c r="I1468" s="12" t="str">
        <x:v>Высокий</x:v>
      </x:c>
      <x:c r="J1468" s="12" t="str">
        <x:f>IF(L1468="","Укажите валюту",IF(NOT(ISNUMBER(K1468)),"Укажите объём",IF(K1468&lt;=0,"Укажите объём",IF(K1468&gt;F1468,"Объём выше излишка",IF(COUNT(M1468:O1468)&lt;3,"Нужны цены",IF(COUNT(P1468:R1468)&lt;3,"Нужны расходы",IF(OR(M1468&lt;0,N1468&lt;0,O1468&lt;0,O1468&gt;100,P1468&lt;0,Q1468&lt;0,R1468&lt;0,R1468&gt;100),"Проверьте значения","Рассчитано")))))))</x:f>
        <x:v>Нужны цены</x:v>
      </x:c>
      <x:c r="K1468" s="36" t="n">
        <x:v>421</x:v>
      </x:c>
      <x:c r="L1468" s="19" t="str">
        <x:v>KZT</x:v>
      </x:c>
      <x:c r="M1468" s="22"/>
      <x:c r="N1468" s="22"/>
      <x:c r="O1468" s="28"/>
      <x:c r="P1468" s="22"/>
      <x:c r="Q1468" s="22"/>
      <x:c r="R1468" s="28"/>
      <x:c r="S1468" s="22"/>
      <x:c r="T1468" s="35" t="n">
        <x:f>K1468</x:f>
        <x:v>421</x:v>
      </x:c>
      <x:c r="U1468" s="20" t="str">
        <x:f>IF(J1468="Рассчитано",N1468*(1-O1468/100),"н/д")</x:f>
        <x:v>н/д</x:v>
      </x:c>
      <x:c r="V1468" s="20" t="str">
        <x:f>IF(J1468="Рассчитано",T1468*U1468,"н/д")</x:f>
        <x:v>н/д</x:v>
      </x:c>
      <x:c r="W1468" s="20" t="str">
        <x:f>IF(J1468="Рассчитано",T1468*M1468,"н/д")</x:f>
        <x:v>н/д</x:v>
      </x:c>
      <x:c r="X1468" s="20" t="str">
        <x:f>IF(J1468="Рассчитано",V1468-W1468,"н/д")</x:f>
        <x:v>н/д</x:v>
      </x:c>
      <x:c r="Y1468" s="26" t="str">
        <x:f>IF(J1468="Рассчитано",IF(V1468&gt;0,G1468/V1468,"н/д"),"н/д")</x:f>
        <x:v>н/д</x:v>
      </x:c>
      <x:c r="Z1468" s="20" t="str">
        <x:f>"н/д"</x:f>
        <x:v>н/д</x:v>
      </x:c>
      <x:c r="AA1468" s="20" t="str">
        <x:f>"н/д"</x:f>
        <x:v>н/д</x:v>
      </x:c>
      <x:c r="AB1468" s="20" t="str">
        <x:f>"н/д"</x:f>
        <x:v>н/д</x:v>
      </x:c>
      <x:c r="AC1468" s="20" t="str">
        <x:f>IF(AND(J1468="Рассчитано",T1468&gt;0,R1468&lt;100),(W1468+P1468+Q1468)/(T1468*(1-R1468/100)),"н/д")</x:f>
        <x:v>н/д</x:v>
      </x:c>
      <x:c r="AD1468" s="11" t="str">
        <x:f>IF(ISNUMBER(G1468),IF(G1468&lt;0,"Убыток",IF(G1468=0,"Без прибыли","Прибыль &gt; 0")),"Не оценён")</x:f>
        <x:v>Не оценён</x:v>
      </x:c>
      <x:c r="AE1468" s="12" t="str">
        <x:f>IF(J1468="Рассчитано","Выручка "&amp;TEXT(V1468,"0.00")&amp;" - себестоимость "&amp;TEXT(W1468,"0.00")&amp;" - комиссия "&amp;TEXT(V1468*R1468/100,"0.00")&amp;" - доставка "&amp;TEXT(P1468,"0.00")&amp;" - прочие "&amp;TEXT(Q1468,"0.00")&amp;" = "&amp;TEXT(G1468,"0.00")&amp;" "&amp;L1468,"Введите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8" s="23" t="n">
        <x:v>71.66861909349758</x:v>
      </x:c>
      <x:c r="AG1468" s="35" t="n">
        <x:v>493</x:v>
      </x:c>
      <x:c r="AH1468" s="35" t="n">
        <x:v>0</x:v>
      </x:c>
      <x:c r="AI1468" s="29" t="n">
        <x:v>46287</x:v>
      </x:c>
      <x:c r="AJ1468" s="35" t="n">
        <x:v>5</x:v>
      </x:c>
      <x:c r="AK1468" s="11" t="str">
        <x:v>кратность</x:v>
      </x:c>
      <x:c r="AL1468" s="31" t="n">
        <x:v>586.5213993076342</x:v>
      </x:c>
      <x:c r="AM1468" s="12" t="str">
        <x:v>Детальные и месячные продажи расходятся; Нет ежедневных данных доступности. Запас более 180 дней при среднем спросе</x:v>
      </x:c>
      <x:c r="AN1468" s="12" t="str">
        <x:v>Проверить свободный остаток и установить цену для B2B</x:v>
      </x:c>
      <x:c r="AO1468" s="12" t="str">
        <x:v>Остаток 493; прогноз 90 дней 71.67; избыток 421 шт. Будущие поступления не выставляются на продажу.</x:v>
      </x:c>
      <x:c r="AP1468" s="12" t="str">
        <x:v>["daily_stockout_data_missing", "large_orders_detected", "negative_net_sales_clipped_for_forecast", "new_order_lead_time_unknown", "transaction_month_mismatch"]</x:v>
      </x:c>
      <x:c r="AQ1468" s="11" t="str">
        <x:v>SE:300200847_</x:v>
      </x:c>
      <x:c r="AR1468" s="23" t="n">
        <x:v>1</x:v>
      </x:c>
      <x:c r="AS1468" s="23" t="n">
        <x:v>0</x:v>
      </x:c>
      <x:c r="AT1468" s="23" t="n">
        <x:v>0</x:v>
      </x:c>
    </x:row>
    <x:row r="1469" ht="64" customHeight="1">
      <x:c r="A1469" s="10" t="str">
        <x:v>Systeme Electric</x:v>
      </x:c>
      <x:c r="B1469" s="34" t="str">
        <x:v>300200848_</x:v>
      </x:c>
      <x:c r="C1469" s="34" t="str">
        <x:v>GAL001303</x:v>
      </x:c>
      <x:c r="D1469" s="13" t="str">
        <x:v>G065 Рамка 3-ная "ARTGALLERY" лотос GAL1303 (5)</x:v>
      </x:c>
      <x:c r="E1469" s="10" t="str">
        <x:v>шт</x:v>
      </x:c>
      <x:c r="F1469" s="37" t="n">
        <x:f>MAX(0,ROUNDDOWN((AG1469-AF1469)/AR1469+0.000000001,0)*AR1469)</x:f>
        <x:v>260</x:v>
      </x:c>
      <x:c r="G1469" s="21" t="str">
        <x:f>IF(J1469="Рассчитано",V1469*(1-R1469/100)-W1469-P1469-Q1469,"н/д")</x:f>
        <x:v>н/д</x:v>
      </x:c>
      <x:c r="H1469" s="13" t="str">
        <x:v>Средний</x:v>
      </x:c>
      <x:c r="I1469" s="13" t="str">
        <x:v>Высокий</x:v>
      </x:c>
      <x:c r="J1469" s="13" t="str">
        <x:f>IF(L1469="","Укажите валюту",IF(NOT(ISNUMBER(K1469)),"Укажите объём",IF(K1469&lt;=0,"Укажите объём",IF(K1469&gt;F1469,"Объём выше излишка",IF(COUNT(M1469:O1469)&lt;3,"Нужны цены",IF(COUNT(P1469:R1469)&lt;3,"Нужны расходы",IF(OR(M1469&lt;0,N1469&lt;0,O1469&lt;0,O1469&gt;100,P1469&lt;0,Q1469&lt;0,R1469&lt;0,R1469&gt;100),"Проверьте значения","Рассчитано")))))))</x:f>
        <x:v>Нужны цены</x:v>
      </x:c>
      <x:c r="K1469" s="36" t="n">
        <x:v>260</x:v>
      </x:c>
      <x:c r="L1469" s="19" t="str">
        <x:v>KZT</x:v>
      </x:c>
      <x:c r="M1469" s="22"/>
      <x:c r="N1469" s="22"/>
      <x:c r="O1469" s="28"/>
      <x:c r="P1469" s="22"/>
      <x:c r="Q1469" s="22"/>
      <x:c r="R1469" s="28"/>
      <x:c r="S1469" s="22"/>
      <x:c r="T1469" s="37" t="n">
        <x:f>K1469</x:f>
        <x:v>260</x:v>
      </x:c>
      <x:c r="U1469" s="21" t="str">
        <x:f>IF(J1469="Рассчитано",N1469*(1-O1469/100),"н/д")</x:f>
        <x:v>н/д</x:v>
      </x:c>
      <x:c r="V1469" s="21" t="str">
        <x:f>IF(J1469="Рассчитано",T1469*U1469,"н/д")</x:f>
        <x:v>н/д</x:v>
      </x:c>
      <x:c r="W1469" s="21" t="str">
        <x:f>IF(J1469="Рассчитано",T1469*M1469,"н/д")</x:f>
        <x:v>н/д</x:v>
      </x:c>
      <x:c r="X1469" s="21" t="str">
        <x:f>IF(J1469="Рассчитано",V1469-W1469,"н/д")</x:f>
        <x:v>н/д</x:v>
      </x:c>
      <x:c r="Y1469" s="27" t="str">
        <x:f>IF(J1469="Рассчитано",IF(V1469&gt;0,G1469/V1469,"н/д"),"н/д")</x:f>
        <x:v>н/д</x:v>
      </x:c>
      <x:c r="Z1469" s="21" t="str">
        <x:f>"н/д"</x:f>
        <x:v>н/д</x:v>
      </x:c>
      <x:c r="AA1469" s="21" t="str">
        <x:f>"н/д"</x:f>
        <x:v>н/д</x:v>
      </x:c>
      <x:c r="AB1469" s="21" t="str">
        <x:f>"н/д"</x:f>
        <x:v>н/д</x:v>
      </x:c>
      <x:c r="AC1469" s="21" t="str">
        <x:f>IF(AND(J1469="Рассчитано",T1469&gt;0,R1469&lt;100),(W1469+P1469+Q1469)/(T1469*(1-R1469/100)),"н/д")</x:f>
        <x:v>н/д</x:v>
      </x:c>
      <x:c r="AD1469" s="10" t="str">
        <x:f>IF(ISNUMBER(G1469),IF(G1469&lt;0,"Убыток",IF(G1469=0,"Без прибыли","Прибыль &gt; 0")),"Не оценён")</x:f>
        <x:v>Не оценён</x:v>
      </x:c>
      <x:c r="AE1469" s="13" t="str">
        <x:f>IF(J1469="Рассчитано","Выручка "&amp;TEXT(V1469,"0.00")&amp;" - себестоимость "&amp;TEXT(W1469,"0.00")&amp;" - комиссия "&amp;TEXT(V1469*R1469/100,"0.00")&amp;" - доставка "&amp;TEXT(P1469,"0.00")&amp;" - прочие "&amp;TEXT(Q1469,"0.00")&amp;" = "&amp;TEXT(G1469,"0.00")&amp;" "&amp;L1469,"Введите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9" s="24" t="n">
        <x:v>20.352003876578603</x:v>
      </x:c>
      <x:c r="AG1469" s="37" t="n">
        <x:v>281</x:v>
      </x:c>
      <x:c r="AH1469" s="37" t="n">
        <x:v>0</x:v>
      </x:c>
      <x:c r="AI1469" s="30" t="n">
        <x:v>46287</x:v>
      </x:c>
      <x:c r="AJ1469" s="37" t="n">
        <x:v>5</x:v>
      </x:c>
      <x:c r="AK1469" s="10" t="str">
        <x:v>кратность</x:v>
      </x:c>
      <x:c r="AL1469" s="32" t="n">
        <x:v>1177.240305000794</x:v>
      </x:c>
      <x:c r="AM1469" s="13" t="str">
        <x:v>Детальные и месячные продажи расходятся; Нет ежедневных данных доступности. Запас более 180 дней при среднем спросе</x:v>
      </x:c>
      <x:c r="AN1469" s="13" t="str">
        <x:v>Проверить свободный остаток и установить цену для B2B</x:v>
      </x:c>
      <x:c r="AO1469" s="13" t="str">
        <x:v>Остаток 281; прогноз 90 дней 20.35; избыток 260 шт. Будущие поступления не выставляются на продажу.</x:v>
      </x:c>
      <x:c r="AP1469" s="13" t="str">
        <x:v>["daily_stockout_data_missing", "large_orders_detected", "negative_net_sales_clipped_for_forecast", "new_order_lead_time_unknown", "transaction_month_mismatch"]</x:v>
      </x:c>
      <x:c r="AQ1469" s="10" t="str">
        <x:v>SE:300200848_</x:v>
      </x:c>
      <x:c r="AR1469" s="24" t="n">
        <x:v>1</x:v>
      </x:c>
      <x:c r="AS1469" s="24" t="n">
        <x:v>0</x:v>
      </x:c>
      <x:c r="AT1469" s="24" t="n">
        <x:v>0</x:v>
      </x:c>
    </x:row>
    <x:row r="1470" ht="64" customHeight="1">
      <x:c r="A1470" s="11" t="str">
        <x:v>Systeme Electric</x:v>
      </x:c>
      <x:c r="B1470" s="33" t="str">
        <x:v>300200849_</x:v>
      </x:c>
      <x:c r="C1470" s="33" t="str">
        <x:v>GAL001304</x:v>
      </x:c>
      <x:c r="D1470" s="12" t="str">
        <x:v>G066 Рамка 4-ная "ARTGALLERY" лотос GAL1304 (5)</x:v>
      </x:c>
      <x:c r="E1470" s="11" t="str">
        <x:v>шт</x:v>
      </x:c>
      <x:c r="F1470" s="35" t="n">
        <x:f>MAX(0,ROUNDDOWN((AG1470-AF1470)/AR1470+0.000000001,0)*AR1470)</x:f>
        <x:v>93</x:v>
      </x:c>
      <x:c r="G1470" s="20" t="str">
        <x:f>IF(J1470="Рассчитано",V1470*(1-R1470/100)-W1470-P1470-Q1470,"н/д")</x:f>
        <x:v>н/д</x:v>
      </x:c>
      <x:c r="H1470" s="12" t="str">
        <x:v>Средний</x:v>
      </x:c>
      <x:c r="I1470" s="12" t="str">
        <x:v>Высокий</x:v>
      </x:c>
      <x:c r="J1470" s="12" t="str">
        <x:f>IF(L1470="","Укажите валюту",IF(NOT(ISNUMBER(K1470)),"Укажите объём",IF(K1470&lt;=0,"Укажите объём",IF(K1470&gt;F1470,"Объём выше излишка",IF(COUNT(M1470:O1470)&lt;3,"Нужны цены",IF(COUNT(P1470:R1470)&lt;3,"Нужны расходы",IF(OR(M1470&lt;0,N1470&lt;0,O1470&lt;0,O1470&gt;100,P1470&lt;0,Q1470&lt;0,R1470&lt;0,R1470&gt;100),"Проверьте значения","Рассчитано")))))))</x:f>
        <x:v>Нужны цены</x:v>
      </x:c>
      <x:c r="K1470" s="36" t="n">
        <x:v>93</x:v>
      </x:c>
      <x:c r="L1470" s="19" t="str">
        <x:v>KZT</x:v>
      </x:c>
      <x:c r="M1470" s="22"/>
      <x:c r="N1470" s="22"/>
      <x:c r="O1470" s="28"/>
      <x:c r="P1470" s="22"/>
      <x:c r="Q1470" s="22"/>
      <x:c r="R1470" s="28"/>
      <x:c r="S1470" s="22"/>
      <x:c r="T1470" s="35" t="n">
        <x:f>K1470</x:f>
        <x:v>93</x:v>
      </x:c>
      <x:c r="U1470" s="20" t="str">
        <x:f>IF(J1470="Рассчитано",N1470*(1-O1470/100),"н/д")</x:f>
        <x:v>н/д</x:v>
      </x:c>
      <x:c r="V1470" s="20" t="str">
        <x:f>IF(J1470="Рассчитано",T1470*U1470,"н/д")</x:f>
        <x:v>н/д</x:v>
      </x:c>
      <x:c r="W1470" s="20" t="str">
        <x:f>IF(J1470="Рассчитано",T1470*M1470,"н/д")</x:f>
        <x:v>н/д</x:v>
      </x:c>
      <x:c r="X1470" s="20" t="str">
        <x:f>IF(J1470="Рассчитано",V1470-W1470,"н/д")</x:f>
        <x:v>н/д</x:v>
      </x:c>
      <x:c r="Y1470" s="26" t="str">
        <x:f>IF(J1470="Рассчитано",IF(V1470&gt;0,G1470/V1470,"н/д"),"н/д")</x:f>
        <x:v>н/д</x:v>
      </x:c>
      <x:c r="Z1470" s="20" t="str">
        <x:f>"н/д"</x:f>
        <x:v>н/д</x:v>
      </x:c>
      <x:c r="AA1470" s="20" t="str">
        <x:f>"н/д"</x:f>
        <x:v>н/д</x:v>
      </x:c>
      <x:c r="AB1470" s="20" t="str">
        <x:f>"н/д"</x:f>
        <x:v>н/д</x:v>
      </x:c>
      <x:c r="AC1470" s="20" t="str">
        <x:f>IF(AND(J1470="Рассчитано",T1470&gt;0,R1470&lt;100),(W1470+P1470+Q1470)/(T1470*(1-R1470/100)),"н/д")</x:f>
        <x:v>н/д</x:v>
      </x:c>
      <x:c r="AD1470" s="11" t="str">
        <x:f>IF(ISNUMBER(G1470),IF(G1470&lt;0,"Убыток",IF(G1470=0,"Без прибыли","Прибыль &gt; 0")),"Не оценён")</x:f>
        <x:v>Не оценён</x:v>
      </x:c>
      <x:c r="AE1470" s="12" t="str">
        <x:f>IF(J1470="Рассчитано","Выручка "&amp;TEXT(V1470,"0.00")&amp;" - себестоимость "&amp;TEXT(W1470,"0.00")&amp;" - комиссия "&amp;TEXT(V1470*R1470/100,"0.00")&amp;" - доставка "&amp;TEXT(P1470,"0.00")&amp;" - прочие "&amp;TEXT(Q1470,"0.00")&amp;" = "&amp;TEXT(G1470,"0.00")&amp;" "&amp;L1470,"Введите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0" s="23" t="n">
        <x:v>10.211231596766941</x:v>
      </x:c>
      <x:c r="AG1470" s="35" t="n">
        <x:v>104</x:v>
      </x:c>
      <x:c r="AH1470" s="35" t="n">
        <x:v>0</x:v>
      </x:c>
      <x:c r="AI1470" s="29" t="n">
        <x:v>46287</x:v>
      </x:c>
      <x:c r="AJ1470" s="35" t="n">
        <x:v>5</x:v>
      </x:c>
      <x:c r="AK1470" s="11" t="str">
        <x:v>кратность</x:v>
      </x:c>
      <x:c r="AL1470" s="31" t="n">
        <x:v>868.4027544063231</x:v>
      </x:c>
      <x:c r="AM1470" s="12" t="str">
        <x:v>Детальные и месячные продажи расходятся; Нет ежедневных данных доступности. Запас более 180 дней при среднем спросе</x:v>
      </x:c>
      <x:c r="AN1470" s="12" t="str">
        <x:v>Проверить свободный остаток и установить цену для B2B</x:v>
      </x:c>
      <x:c r="AO1470" s="12" t="str">
        <x:v>Остаток 104; прогноз 90 дней 10.21; избыток 93 шт. Будущие поступления не выставляются на продажу.</x:v>
      </x:c>
      <x:c r="AP1470" s="12" t="str">
        <x:v>["daily_stockout_data_missing", "large_orders_detected", "negative_net_sales_clipped_for_forecast", "new_order_lead_time_unknown", "transaction_month_mismatch"]</x:v>
      </x:c>
      <x:c r="AQ1470" s="11" t="str">
        <x:v>SE:300200849_</x:v>
      </x:c>
      <x:c r="AR1470" s="23" t="n">
        <x:v>1</x:v>
      </x:c>
      <x:c r="AS1470" s="23" t="n">
        <x:v>0</x:v>
      </x:c>
      <x:c r="AT1470" s="23" t="n">
        <x:v>0</x:v>
      </x:c>
    </x:row>
    <x:row r="1471" ht="64" customHeight="1">
      <x:c r="A1471" s="10" t="str">
        <x:v>Systeme Electric</x:v>
      </x:c>
      <x:c r="B1471" s="34" t="str">
        <x:v>300200850_</x:v>
      </x:c>
      <x:c r="C1471" s="34" t="str">
        <x:v>GAL001305</x:v>
      </x:c>
      <x:c r="D1471" s="13" t="str">
        <x:v>G067 Рамка 5-ная "ARTGALLERY" лотос GAL1305 (5)</x:v>
      </x:c>
      <x:c r="E1471" s="10" t="str">
        <x:v>шт</x:v>
      </x:c>
      <x:c r="F1471" s="37" t="n">
        <x:f>MAX(0,ROUNDDOWN((AG1471-AF1471)/AR1471+0.000000001,0)*AR1471)</x:f>
        <x:v>149</x:v>
      </x:c>
      <x:c r="G1471" s="21" t="str">
        <x:f>IF(J1471="Рассчитано",V1471*(1-R1471/100)-W1471-P1471-Q1471,"н/д")</x:f>
        <x:v>н/д</x:v>
      </x:c>
      <x:c r="H1471" s="13" t="str">
        <x:v>Средний</x:v>
      </x:c>
      <x:c r="I1471" s="13" t="str">
        <x:v>Высокий</x:v>
      </x:c>
      <x:c r="J1471" s="13" t="str">
        <x:f>IF(L1471="","Укажите валюту",IF(NOT(ISNUMBER(K1471)),"Укажите объём",IF(K1471&lt;=0,"Укажите объём",IF(K1471&gt;F1471,"Объём выше излишка",IF(COUNT(M1471:O1471)&lt;3,"Нужны цены",IF(COUNT(P1471:R1471)&lt;3,"Нужны расходы",IF(OR(M1471&lt;0,N1471&lt;0,O1471&lt;0,O1471&gt;100,P1471&lt;0,Q1471&lt;0,R1471&lt;0,R1471&gt;100),"Проверьте значения","Рассчитано")))))))</x:f>
        <x:v>Нужны цены</x:v>
      </x:c>
      <x:c r="K1471" s="36" t="n">
        <x:v>149</x:v>
      </x:c>
      <x:c r="L1471" s="19" t="str">
        <x:v>KZT</x:v>
      </x:c>
      <x:c r="M1471" s="22"/>
      <x:c r="N1471" s="22"/>
      <x:c r="O1471" s="28"/>
      <x:c r="P1471" s="22"/>
      <x:c r="Q1471" s="22"/>
      <x:c r="R1471" s="28"/>
      <x:c r="S1471" s="22"/>
      <x:c r="T1471" s="37" t="n">
        <x:f>K1471</x:f>
        <x:v>149</x:v>
      </x:c>
      <x:c r="U1471" s="21" t="str">
        <x:f>IF(J1471="Рассчитано",N1471*(1-O1471/100),"н/д")</x:f>
        <x:v>н/д</x:v>
      </x:c>
      <x:c r="V1471" s="21" t="str">
        <x:f>IF(J1471="Рассчитано",T1471*U1471,"н/д")</x:f>
        <x:v>н/д</x:v>
      </x:c>
      <x:c r="W1471" s="21" t="str">
        <x:f>IF(J1471="Рассчитано",T1471*M1471,"н/д")</x:f>
        <x:v>н/д</x:v>
      </x:c>
      <x:c r="X1471" s="21" t="str">
        <x:f>IF(J1471="Рассчитано",V1471-W1471,"н/д")</x:f>
        <x:v>н/д</x:v>
      </x:c>
      <x:c r="Y1471" s="27" t="str">
        <x:f>IF(J1471="Рассчитано",IF(V1471&gt;0,G1471/V1471,"н/д"),"н/д")</x:f>
        <x:v>н/д</x:v>
      </x:c>
      <x:c r="Z1471" s="21" t="str">
        <x:f>"н/д"</x:f>
        <x:v>н/д</x:v>
      </x:c>
      <x:c r="AA1471" s="21" t="str">
        <x:f>"н/д"</x:f>
        <x:v>н/д</x:v>
      </x:c>
      <x:c r="AB1471" s="21" t="str">
        <x:f>"н/д"</x:f>
        <x:v>н/д</x:v>
      </x:c>
      <x:c r="AC1471" s="21" t="str">
        <x:f>IF(AND(J1471="Рассчитано",T1471&gt;0,R1471&lt;100),(W1471+P1471+Q1471)/(T1471*(1-R1471/100)),"н/д")</x:f>
        <x:v>н/д</x:v>
      </x:c>
      <x:c r="AD1471" s="10" t="str">
        <x:f>IF(ISNUMBER(G1471),IF(G1471&lt;0,"Убыток",IF(G1471=0,"Без прибыли","Прибыль &gt; 0")),"Не оценён")</x:f>
        <x:v>Не оценён</x:v>
      </x:c>
      <x:c r="AE1471" s="13" t="str">
        <x:f>IF(J1471="Рассчитано","Выручка "&amp;TEXT(V1471,"0.00")&amp;" - себестоимость "&amp;TEXT(W1471,"0.00")&amp;" - комиссия "&amp;TEXT(V1471*R1471/100,"0.00")&amp;" - доставка "&amp;TEXT(P1471,"0.00")&amp;" - прочие "&amp;TEXT(Q1471,"0.00")&amp;" = "&amp;TEXT(G1471,"0.00")&amp;" "&amp;L1471,"Введите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1" s="24" t="n">
        <x:v>0.9391266400311195</x:v>
      </x:c>
      <x:c r="AG1471" s="37" t="n">
        <x:v>150</x:v>
      </x:c>
      <x:c r="AH1471" s="37" t="n">
        <x:v>0</x:v>
      </x:c>
      <x:c r="AI1471" s="30" t="n">
        <x:v>46287</x:v>
      </x:c>
      <x:c r="AJ1471" s="37" t="n">
        <x:v>5</x:v>
      </x:c>
      <x:c r="AK1471" s="10" t="str">
        <x:v>кратность</x:v>
      </x:c>
      <x:c r="AL1471" s="32" t="n">
        <x:v>13618.619253204391</x:v>
      </x:c>
      <x:c r="AM1471" s="13" t="str">
        <x:v>Детальные и месячные продажи расходятся; Нет ежедневных данных доступности. Нет положительных чистых продаж за 12 месяцев</x:v>
      </x:c>
      <x:c r="AN1471" s="13" t="str">
        <x:v>Проверить свободный остаток и установить цену для B2B</x:v>
      </x:c>
      <x:c r="AO1471" s="13" t="str">
        <x:v>Остаток 150; прогноз 90 дней 0.94; избыток 149 шт. Будущие поступления не выставляются на продажу.</x:v>
      </x:c>
      <x:c r="AP1471" s="13" t="str">
        <x:v>["daily_stockout_data_missing", "large_orders_detected", "negative_net_sales_clipped_for_forecast", "new_order_lead_time_unknown", "transaction_month_mismatch"]</x:v>
      </x:c>
      <x:c r="AQ1471" s="10" t="str">
        <x:v>SE:300200850_</x:v>
      </x:c>
      <x:c r="AR1471" s="24" t="n">
        <x:v>1</x:v>
      </x:c>
      <x:c r="AS1471" s="24" t="n">
        <x:v>0</x:v>
      </x:c>
      <x:c r="AT1471" s="24" t="n">
        <x:v>0</x:v>
      </x:c>
    </x:row>
    <x:row r="1472" ht="64" customHeight="1">
      <x:c r="A1472" s="11" t="str">
        <x:v>Systeme Electric</x:v>
      </x:c>
      <x:c r="B1472" s="33" t="str">
        <x:v>300200852_</x:v>
      </x:c>
      <x:c r="C1472" s="33" t="str">
        <x:v>GAL001315</x:v>
      </x:c>
      <x:c r="D1472" s="12" t="str">
        <x:v>G069 Выкл. 1 кл кнопочный 10А механизм "ARTGALLERY" лотос GAL1315 (5)</x:v>
      </x:c>
      <x:c r="E1472" s="11" t="str">
        <x:v>шт</x:v>
      </x:c>
      <x:c r="F1472" s="35" t="n">
        <x:f>MAX(0,ROUNDDOWN((AG1472-AF1472)/AR1472+0.000000001,0)*AR1472)</x:f>
        <x:v>93</x:v>
      </x:c>
      <x:c r="G1472" s="20" t="str">
        <x:f>IF(J1472="Рассчитано",V1472*(1-R1472/100)-W1472-P1472-Q1472,"н/д")</x:f>
        <x:v>н/д</x:v>
      </x:c>
      <x:c r="H1472" s="12" t="str">
        <x:v>Средний</x:v>
      </x:c>
      <x:c r="I1472" s="12" t="str">
        <x:v>Высокий</x:v>
      </x:c>
      <x:c r="J1472" s="12" t="str">
        <x:f>IF(L1472="","Укажите валюту",IF(NOT(ISNUMBER(K1472)),"Укажите объём",IF(K1472&lt;=0,"Укажите объём",IF(K1472&gt;F1472,"Объём выше излишка",IF(COUNT(M1472:O1472)&lt;3,"Нужны цены",IF(COUNT(P1472:R1472)&lt;3,"Нужны расходы",IF(OR(M1472&lt;0,N1472&lt;0,O1472&lt;0,O1472&gt;100,P1472&lt;0,Q1472&lt;0,R1472&lt;0,R1472&gt;100),"Проверьте значения","Рассчитано")))))))</x:f>
        <x:v>Нужны цены</x:v>
      </x:c>
      <x:c r="K1472" s="36" t="n">
        <x:v>93</x:v>
      </x:c>
      <x:c r="L1472" s="19" t="str">
        <x:v>KZT</x:v>
      </x:c>
      <x:c r="M1472" s="22"/>
      <x:c r="N1472" s="22"/>
      <x:c r="O1472" s="28"/>
      <x:c r="P1472" s="22"/>
      <x:c r="Q1472" s="22"/>
      <x:c r="R1472" s="28"/>
      <x:c r="S1472" s="22"/>
      <x:c r="T1472" s="35" t="n">
        <x:f>K1472</x:f>
        <x:v>93</x:v>
      </x:c>
      <x:c r="U1472" s="20" t="str">
        <x:f>IF(J1472="Рассчитано",N1472*(1-O1472/100),"н/д")</x:f>
        <x:v>н/д</x:v>
      </x:c>
      <x:c r="V1472" s="20" t="str">
        <x:f>IF(J1472="Рассчитано",T1472*U1472,"н/д")</x:f>
        <x:v>н/д</x:v>
      </x:c>
      <x:c r="W1472" s="20" t="str">
        <x:f>IF(J1472="Рассчитано",T1472*M1472,"н/д")</x:f>
        <x:v>н/д</x:v>
      </x:c>
      <x:c r="X1472" s="20" t="str">
        <x:f>IF(J1472="Рассчитано",V1472-W1472,"н/д")</x:f>
        <x:v>н/д</x:v>
      </x:c>
      <x:c r="Y1472" s="26" t="str">
        <x:f>IF(J1472="Рассчитано",IF(V1472&gt;0,G1472/V1472,"н/д"),"н/д")</x:f>
        <x:v>н/д</x:v>
      </x:c>
      <x:c r="Z1472" s="20" t="str">
        <x:f>"н/д"</x:f>
        <x:v>н/д</x:v>
      </x:c>
      <x:c r="AA1472" s="20" t="str">
        <x:f>"н/д"</x:f>
        <x:v>н/д</x:v>
      </x:c>
      <x:c r="AB1472" s="20" t="str">
        <x:f>"н/д"</x:f>
        <x:v>н/д</x:v>
      </x:c>
      <x:c r="AC1472" s="20" t="str">
        <x:f>IF(AND(J1472="Рассчитано",T1472&gt;0,R1472&lt;100),(W1472+P1472+Q1472)/(T1472*(1-R1472/100)),"н/д")</x:f>
        <x:v>н/д</x:v>
      </x:c>
      <x:c r="AD1472" s="11" t="str">
        <x:f>IF(ISNUMBER(G1472),IF(G1472&lt;0,"Убыток",IF(G1472=0,"Без прибыли","Прибыль &gt; 0")),"Не оценён")</x:f>
        <x:v>Не оценён</x:v>
      </x:c>
      <x:c r="AE1472" s="12" t="str">
        <x:f>IF(J1472="Рассчитано","Выручка "&amp;TEXT(V1472,"0.00")&amp;" - себестоимость "&amp;TEXT(W1472,"0.00")&amp;" - комиссия "&amp;TEXT(V1472*R1472/100,"0.00")&amp;" - доставка "&amp;TEXT(P1472,"0.00")&amp;" - прочие "&amp;TEXT(Q1472,"0.00")&amp;" = "&amp;TEXT(G1472,"0.00")&amp;" "&amp;L1472,"Введите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2" s="23" t="n">
        <x:v>2.4885782097272244</x:v>
      </x:c>
      <x:c r="AG1472" s="35" t="n">
        <x:v>96</x:v>
      </x:c>
      <x:c r="AH1472" s="35" t="n">
        <x:v>0</x:v>
      </x:c>
      <x:c r="AI1472" s="29" t="n">
        <x:v>46287</x:v>
      </x:c>
      <x:c r="AJ1472" s="35" t="n">
        <x:v>5</x:v>
      </x:c>
      <x:c r="AK1472" s="11" t="str">
        <x:v>кратность</x:v>
      </x:c>
      <x:c r="AL1472" s="31" t="n">
        <x:v>3289.1669541770902</x:v>
      </x:c>
      <x:c r="AM1472" s="12" t="str">
        <x:v>Нет ежедневных данных доступности. Запас более 180 дней при среднем спросе</x:v>
      </x:c>
      <x:c r="AN1472" s="12" t="str">
        <x:v>Проверить свободный остаток и установить цену для B2B</x:v>
      </x:c>
      <x:c r="AO1472" s="12" t="str">
        <x:v>Остаток 96; прогноз 90 дней 2.49; избыток 93 шт. Будущие поступления не выставляются на продажу.</x:v>
      </x:c>
      <x:c r="AP1472" s="12" t="str">
        <x:v>["daily_stockout_data_missing", "negative_net_sales_clipped_for_forecast", "new_order_lead_time_unknown"]</x:v>
      </x:c>
      <x:c r="AQ1472" s="11" t="str">
        <x:v>SE:300200852_</x:v>
      </x:c>
      <x:c r="AR1472" s="23" t="n">
        <x:v>1</x:v>
      </x:c>
      <x:c r="AS1472" s="23" t="n">
        <x:v>0</x:v>
      </x:c>
      <x:c r="AT1472" s="23" t="n">
        <x:v>0</x:v>
      </x:c>
    </x:row>
    <x:row r="1473" ht="64" customHeight="1">
      <x:c r="A1473" s="10" t="str">
        <x:v>Systeme Electric</x:v>
      </x:c>
      <x:c r="B1473" s="34" t="str">
        <x:v>300200853_</x:v>
      </x:c>
      <x:c r="C1473" s="34" t="str">
        <x:v>GAL001399</x:v>
      </x:c>
      <x:c r="D1473" s="13" t="str">
        <x:v>G070 Вывод кабеля механизм "ARTGALLERY" лотос GAL1399 (5)</x:v>
      </x:c>
      <x:c r="E1473" s="10" t="str">
        <x:v>шт</x:v>
      </x:c>
      <x:c r="F1473" s="37" t="n">
        <x:f>MAX(0,ROUNDDOWN((AG1473-AF1473)/AR1473+0.000000001,0)*AR1473)</x:f>
        <x:v>2</x:v>
      </x:c>
      <x:c r="G1473" s="21" t="str">
        <x:f>IF(J1473="Рассчитано",V1473*(1-R1473/100)-W1473-P1473-Q1473,"н/д")</x:f>
        <x:v>н/д</x:v>
      </x:c>
      <x:c r="H1473" s="13" t="str">
        <x:v>Средний</x:v>
      </x:c>
      <x:c r="I1473" s="13" t="str">
        <x:v>Средний</x:v>
      </x:c>
      <x:c r="J1473" s="13" t="str">
        <x:f>IF(L1473="","Укажите валюту",IF(NOT(ISNUMBER(K1473)),"Укажите объём",IF(K1473&lt;=0,"Укажите объём",IF(K1473&gt;F1473,"Объём выше излишка",IF(COUNT(M1473:O1473)&lt;3,"Нужны цены",IF(COUNT(P1473:R1473)&lt;3,"Нужны расходы",IF(OR(M1473&lt;0,N1473&lt;0,O1473&lt;0,O1473&gt;100,P1473&lt;0,Q1473&lt;0,R1473&lt;0,R1473&gt;100),"Проверьте значения","Рассчитано")))))))</x:f>
        <x:v>Нужны цены</x:v>
      </x:c>
      <x:c r="K1473" s="36" t="n">
        <x:v>2</x:v>
      </x:c>
      <x:c r="L1473" s="19" t="str">
        <x:v>KZT</x:v>
      </x:c>
      <x:c r="M1473" s="22"/>
      <x:c r="N1473" s="22"/>
      <x:c r="O1473" s="28"/>
      <x:c r="P1473" s="22"/>
      <x:c r="Q1473" s="22"/>
      <x:c r="R1473" s="28"/>
      <x:c r="S1473" s="22"/>
      <x:c r="T1473" s="37" t="n">
        <x:f>K1473</x:f>
        <x:v>2</x:v>
      </x:c>
      <x:c r="U1473" s="21" t="str">
        <x:f>IF(J1473="Рассчитано",N1473*(1-O1473/100),"н/д")</x:f>
        <x:v>н/д</x:v>
      </x:c>
      <x:c r="V1473" s="21" t="str">
        <x:f>IF(J1473="Рассчитано",T1473*U1473,"н/д")</x:f>
        <x:v>н/д</x:v>
      </x:c>
      <x:c r="W1473" s="21" t="str">
        <x:f>IF(J1473="Рассчитано",T1473*M1473,"н/д")</x:f>
        <x:v>н/д</x:v>
      </x:c>
      <x:c r="X1473" s="21" t="str">
        <x:f>IF(J1473="Рассчитано",V1473-W1473,"н/д")</x:f>
        <x:v>н/д</x:v>
      </x:c>
      <x:c r="Y1473" s="27" t="str">
        <x:f>IF(J1473="Рассчитано",IF(V1473&gt;0,G1473/V1473,"н/д"),"н/д")</x:f>
        <x:v>н/д</x:v>
      </x:c>
      <x:c r="Z1473" s="21" t="str">
        <x:f>"н/д"</x:f>
        <x:v>н/д</x:v>
      </x:c>
      <x:c r="AA1473" s="21" t="str">
        <x:f>"н/д"</x:f>
        <x:v>н/д</x:v>
      </x:c>
      <x:c r="AB1473" s="21" t="str">
        <x:f>"н/д"</x:f>
        <x:v>н/д</x:v>
      </x:c>
      <x:c r="AC1473" s="21" t="str">
        <x:f>IF(AND(J1473="Рассчитано",T1473&gt;0,R1473&lt;100),(W1473+P1473+Q1473)/(T1473*(1-R1473/100)),"н/д")</x:f>
        <x:v>н/д</x:v>
      </x:c>
      <x:c r="AD1473" s="10" t="str">
        <x:f>IF(ISNUMBER(G1473),IF(G1473&lt;0,"Убыток",IF(G1473=0,"Без прибыли","Прибыль &gt; 0")),"Не оценён")</x:f>
        <x:v>Не оценён</x:v>
      </x:c>
      <x:c r="AE1473" s="13" t="str">
        <x:f>IF(J1473="Рассчитано","Выручка "&amp;TEXT(V1473,"0.00")&amp;" - себестоимость "&amp;TEXT(W1473,"0.00")&amp;" - комиссия "&amp;TEXT(V1473*R1473/100,"0.00")&amp;" - доставка "&amp;TEXT(P1473,"0.00")&amp;" - прочие "&amp;TEXT(Q1473,"0.00")&amp;" = "&amp;TEXT(G1473,"0.00")&amp;" "&amp;L1473,"Введите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3" s="24" t="n">
        <x:v>13.820733668634535</x:v>
      </x:c>
      <x:c r="AG1473" s="37" t="n">
        <x:v>16</x:v>
      </x:c>
      <x:c r="AH1473" s="37" t="n">
        <x:v>0</x:v>
      </x:c>
      <x:c r="AI1473" s="30" t="n">
        <x:v>46287</x:v>
      </x:c>
      <x:c r="AJ1473" s="37" t="n">
        <x:v>5</x:v>
      </x:c>
      <x:c r="AK1473" s="10" t="str">
        <x:v>кратность</x:v>
      </x:c>
      <x:c r="AL1473" s="32" t="n">
        <x:v>98.70857083967273</x:v>
      </x:c>
      <x:c r="AM1473" s="13" t="str">
        <x:v>Нет ежедневных данных доступности. Запас выше прогноза на 90 дней</x:v>
      </x:c>
      <x:c r="AN1473" s="13" t="str">
        <x:v>Проверить свободный остаток и установить цену для B2B</x:v>
      </x:c>
      <x:c r="AO1473" s="13" t="str">
        <x:v>Остаток 16; прогноз 90 дней 13.82; избыток 2 шт. Будущие поступления не выставляются на продажу.</x:v>
      </x:c>
      <x:c r="AP1473" s="13" t="str">
        <x:v>["daily_stockout_data_missing", "negative_net_sales_clipped_for_forecast", "new_order_lead_time_unknown"]</x:v>
      </x:c>
      <x:c r="AQ1473" s="10" t="str">
        <x:v>SE:300200853_</x:v>
      </x:c>
      <x:c r="AR1473" s="24" t="n">
        <x:v>1</x:v>
      </x:c>
      <x:c r="AS1473" s="24" t="n">
        <x:v>0</x:v>
      </x:c>
      <x:c r="AT1473" s="24" t="n">
        <x:v>0</x:v>
      </x:c>
    </x:row>
    <x:row r="1474" ht="64" customHeight="1">
      <x:c r="A1474" s="11" t="str">
        <x:v>Systeme Electric</x:v>
      </x:c>
      <x:c r="B1474" s="33" t="str">
        <x:v>300200854_</x:v>
      </x:c>
      <x:c r="C1474" s="33" t="str">
        <x:v>GAL001389</x:v>
      </x:c>
      <x:c r="D1474" s="12" t="str">
        <x:v>G071 Роз. 2-ная TV комп. RJ45 5Е "ARTGALLERY" лотос GAL1389 (5)</x:v>
      </x:c>
      <x:c r="E1474" s="11" t="str">
        <x:v>шт</x:v>
      </x:c>
      <x:c r="F1474" s="35" t="n">
        <x:f>MAX(0,ROUNDDOWN((AG1474-AF1474)/AR1474+0.000000001,0)*AR1474)</x:f>
        <x:v>119</x:v>
      </x:c>
      <x:c r="G1474" s="20" t="str">
        <x:f>IF(J1474="Рассчитано",V1474*(1-R1474/100)-W1474-P1474-Q1474,"н/д")</x:f>
        <x:v>н/д</x:v>
      </x:c>
      <x:c r="H1474" s="12" t="str">
        <x:v>Средний</x:v>
      </x:c>
      <x:c r="I1474" s="12" t="str">
        <x:v>Высокий</x:v>
      </x:c>
      <x:c r="J1474" s="12" t="str">
        <x:f>IF(L1474="","Укажите валюту",IF(NOT(ISNUMBER(K1474)),"Укажите объём",IF(K1474&lt;=0,"Укажите объём",IF(K1474&gt;F1474,"Объём выше излишка",IF(COUNT(M1474:O1474)&lt;3,"Нужны цены",IF(COUNT(P1474:R1474)&lt;3,"Нужны расходы",IF(OR(M1474&lt;0,N1474&lt;0,O1474&lt;0,O1474&gt;100,P1474&lt;0,Q1474&lt;0,R1474&lt;0,R1474&gt;100),"Проверьте значения","Рассчитано")))))))</x:f>
        <x:v>Нужны цены</x:v>
      </x:c>
      <x:c r="K1474" s="36" t="n">
        <x:v>119</x:v>
      </x:c>
      <x:c r="L1474" s="19" t="str">
        <x:v>KZT</x:v>
      </x:c>
      <x:c r="M1474" s="22"/>
      <x:c r="N1474" s="22"/>
      <x:c r="O1474" s="28"/>
      <x:c r="P1474" s="22"/>
      <x:c r="Q1474" s="22"/>
      <x:c r="R1474" s="28"/>
      <x:c r="S1474" s="22"/>
      <x:c r="T1474" s="35" t="n">
        <x:f>K1474</x:f>
        <x:v>119</x:v>
      </x:c>
      <x:c r="U1474" s="20" t="str">
        <x:f>IF(J1474="Рассчитано",N1474*(1-O1474/100),"н/д")</x:f>
        <x:v>н/д</x:v>
      </x:c>
      <x:c r="V1474" s="20" t="str">
        <x:f>IF(J1474="Рассчитано",T1474*U1474,"н/д")</x:f>
        <x:v>н/д</x:v>
      </x:c>
      <x:c r="W1474" s="20" t="str">
        <x:f>IF(J1474="Рассчитано",T1474*M1474,"н/д")</x:f>
        <x:v>н/д</x:v>
      </x:c>
      <x:c r="X1474" s="20" t="str">
        <x:f>IF(J1474="Рассчитано",V1474-W1474,"н/д")</x:f>
        <x:v>н/д</x:v>
      </x:c>
      <x:c r="Y1474" s="26" t="str">
        <x:f>IF(J1474="Рассчитано",IF(V1474&gt;0,G1474/V1474,"н/д"),"н/д")</x:f>
        <x:v>н/д</x:v>
      </x:c>
      <x:c r="Z1474" s="20" t="str">
        <x:f>"н/д"</x:f>
        <x:v>н/д</x:v>
      </x:c>
      <x:c r="AA1474" s="20" t="str">
        <x:f>"н/д"</x:f>
        <x:v>н/д</x:v>
      </x:c>
      <x:c r="AB1474" s="20" t="str">
        <x:f>"н/д"</x:f>
        <x:v>н/д</x:v>
      </x:c>
      <x:c r="AC1474" s="20" t="str">
        <x:f>IF(AND(J1474="Рассчитано",T1474&gt;0,R1474&lt;100),(W1474+P1474+Q1474)/(T1474*(1-R1474/100)),"н/д")</x:f>
        <x:v>н/д</x:v>
      </x:c>
      <x:c r="AD1474" s="11" t="str">
        <x:f>IF(ISNUMBER(G1474),IF(G1474&lt;0,"Убыток",IF(G1474=0,"Без прибыли","Прибыль &gt; 0")),"Не оценён")</x:f>
        <x:v>Не оценён</x:v>
      </x:c>
      <x:c r="AE1474" s="12" t="str">
        <x:f>IF(J1474="Рассчитано","Выручка "&amp;TEXT(V1474,"0.00")&amp;" - себестоимость "&amp;TEXT(W1474,"0.00")&amp;" - комиссия "&amp;TEXT(V1474*R1474/100,"0.00")&amp;" - доставка "&amp;TEXT(P1474,"0.00")&amp;" - прочие "&amp;TEXT(Q1474,"0.00")&amp;" = "&amp;TEXT(G1474,"0.00")&amp;" "&amp;L1474,"Введите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4" s="23" t="n">
        <x:v>0</x:v>
      </x:c>
      <x:c r="AG1474" s="35" t="n">
        <x:v>119</x:v>
      </x:c>
      <x:c r="AH1474" s="35" t="n">
        <x:v>0</x:v>
      </x:c>
      <x:c r="AI1474" s="29" t="n">
        <x:v>46287</x:v>
      </x:c>
      <x:c r="AJ1474" s="35" t="n">
        <x:v>5</x:v>
      </x:c>
      <x:c r="AK1474" s="11" t="str">
        <x:v>кратность</x:v>
      </x:c>
      <x:c r="AL1474" s="31" t="str">
        <x:v>н/д</x:v>
      </x:c>
      <x:c r="AM1474" s="12" t="str">
        <x:v>Нет ежедневных данных доступности. Нет положительных чистых продаж за 12 месяцев</x:v>
      </x:c>
      <x:c r="AN1474" s="12" t="str">
        <x:v>Проверить свободный остаток и установить цену для B2B</x:v>
      </x:c>
      <x:c r="AO1474" s="12" t="str">
        <x:v>Остаток 119; прогноз 90 дней 0.00; избыток 119 шт. Будущие поступления не выставляются на продажу.</x:v>
      </x:c>
      <x:c r="AP1474" s="12" t="str">
        <x:v>["daily_stockout_data_missing", "negative_net_sales_clipped_for_forecast", "new_order_lead_time_unknown"]</x:v>
      </x:c>
      <x:c r="AQ1474" s="11" t="str">
        <x:v>SE:300200854_</x:v>
      </x:c>
      <x:c r="AR1474" s="23" t="n">
        <x:v>1</x:v>
      </x:c>
      <x:c r="AS1474" s="23" t="n">
        <x:v>0</x:v>
      </x:c>
      <x:c r="AT1474" s="23" t="n">
        <x:v>0</x:v>
      </x:c>
    </x:row>
    <x:row r="1475" ht="64" customHeight="1">
      <x:c r="A1475" s="10" t="str">
        <x:v>Systeme Electric</x:v>
      </x:c>
      <x:c r="B1475" s="34" t="str">
        <x:v>300200855_</x:v>
      </x:c>
      <x:c r="C1475" s="34" t="str">
        <x:v>GAL001329</x:v>
      </x:c>
      <x:c r="D1475" s="13" t="str">
        <x:v>G072 Роз. USB A+C 45Вт высокоскор.заряд., механизм "ARTGALLERY" лотос GAL1329 (1)</x:v>
      </x:c>
      <x:c r="E1475" s="10" t="str">
        <x:v>шт</x:v>
      </x:c>
      <x:c r="F1475" s="37" t="n">
        <x:f>MAX(0,ROUNDDOWN((AG1475-AF1475)/AR1475+0.000000001,0)*AR1475)</x:f>
        <x:v>7</x:v>
      </x:c>
      <x:c r="G1475" s="21" t="str">
        <x:f>IF(J1475="Рассчитано",V1475*(1-R1475/100)-W1475-P1475-Q1475,"н/д")</x:f>
        <x:v>н/д</x:v>
      </x:c>
      <x:c r="H1475" s="13" t="str">
        <x:v>Средний</x:v>
      </x:c>
      <x:c r="I1475" s="13" t="str">
        <x:v>Высокий</x:v>
      </x:c>
      <x:c r="J1475" s="13" t="str">
        <x:f>IF(L1475="","Укажите валюту",IF(NOT(ISNUMBER(K1475)),"Укажите объём",IF(K1475&lt;=0,"Укажите объём",IF(K1475&gt;F1475,"Объём выше излишка",IF(COUNT(M1475:O1475)&lt;3,"Нужны цены",IF(COUNT(P1475:R1475)&lt;3,"Нужны расходы",IF(OR(M1475&lt;0,N1475&lt;0,O1475&lt;0,O1475&gt;100,P1475&lt;0,Q1475&lt;0,R1475&lt;0,R1475&gt;100),"Проверьте значения","Рассчитано")))))))</x:f>
        <x:v>Нужны цены</x:v>
      </x:c>
      <x:c r="K1475" s="36" t="n">
        <x:v>7</x:v>
      </x:c>
      <x:c r="L1475" s="19" t="str">
        <x:v>KZT</x:v>
      </x:c>
      <x:c r="M1475" s="22"/>
      <x:c r="N1475" s="22"/>
      <x:c r="O1475" s="28"/>
      <x:c r="P1475" s="22"/>
      <x:c r="Q1475" s="22"/>
      <x:c r="R1475" s="28"/>
      <x:c r="S1475" s="22"/>
      <x:c r="T1475" s="37" t="n">
        <x:f>K1475</x:f>
        <x:v>7</x:v>
      </x:c>
      <x:c r="U1475" s="21" t="str">
        <x:f>IF(J1475="Рассчитано",N1475*(1-O1475/100),"н/д")</x:f>
        <x:v>н/д</x:v>
      </x:c>
      <x:c r="V1475" s="21" t="str">
        <x:f>IF(J1475="Рассчитано",T1475*U1475,"н/д")</x:f>
        <x:v>н/д</x:v>
      </x:c>
      <x:c r="W1475" s="21" t="str">
        <x:f>IF(J1475="Рассчитано",T1475*M1475,"н/д")</x:f>
        <x:v>н/д</x:v>
      </x:c>
      <x:c r="X1475" s="21" t="str">
        <x:f>IF(J1475="Рассчитано",V1475-W1475,"н/д")</x:f>
        <x:v>н/д</x:v>
      </x:c>
      <x:c r="Y1475" s="27" t="str">
        <x:f>IF(J1475="Рассчитано",IF(V1475&gt;0,G1475/V1475,"н/д"),"н/д")</x:f>
        <x:v>н/д</x:v>
      </x:c>
      <x:c r="Z1475" s="21" t="str">
        <x:f>"н/д"</x:f>
        <x:v>н/д</x:v>
      </x:c>
      <x:c r="AA1475" s="21" t="str">
        <x:f>"н/д"</x:f>
        <x:v>н/д</x:v>
      </x:c>
      <x:c r="AB1475" s="21" t="str">
        <x:f>"н/д"</x:f>
        <x:v>н/д</x:v>
      </x:c>
      <x:c r="AC1475" s="21" t="str">
        <x:f>IF(AND(J1475="Рассчитано",T1475&gt;0,R1475&lt;100),(W1475+P1475+Q1475)/(T1475*(1-R1475/100)),"н/д")</x:f>
        <x:v>н/д</x:v>
      </x:c>
      <x:c r="AD1475" s="10" t="str">
        <x:f>IF(ISNUMBER(G1475),IF(G1475&lt;0,"Убыток",IF(G1475=0,"Без прибыли","Прибыль &gt; 0")),"Не оценён")</x:f>
        <x:v>Не оценён</x:v>
      </x:c>
      <x:c r="AE1475" s="13" t="str">
        <x:f>IF(J1475="Рассчитано","Выручка "&amp;TEXT(V1475,"0.00")&amp;" - себестоимость "&amp;TEXT(W1475,"0.00")&amp;" - комиссия "&amp;TEXT(V1475*R1475/100,"0.00")&amp;" - доставка "&amp;TEXT(P1475,"0.00")&amp;" - прочие "&amp;TEXT(Q1475,"0.00")&amp;" = "&amp;TEXT(G1475,"0.00")&amp;" "&amp;L1475,"Введите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5" s="24" t="n">
        <x:v>0</x:v>
      </x:c>
      <x:c r="AG1475" s="37" t="n">
        <x:v>7</x:v>
      </x:c>
      <x:c r="AH1475" s="37" t="n">
        <x:v>0</x:v>
      </x:c>
      <x:c r="AI1475" s="30" t="n">
        <x:v>46287</x:v>
      </x:c>
      <x:c r="AJ1475" s="37" t="n">
        <x:v>1</x:v>
      </x:c>
      <x:c r="AK1475" s="10" t="str">
        <x:v>кратность</x:v>
      </x:c>
      <x:c r="AL1475" s="32" t="str">
        <x:v>н/д</x:v>
      </x:c>
      <x:c r="AM1475" s="13" t="str">
        <x:v>Нет ежедневных данных доступности. Нет положительных чистых продаж за 12 месяцев</x:v>
      </x:c>
      <x:c r="AN1475" s="13" t="str">
        <x:v>Проверить свободный остаток и установить цену для B2B</x:v>
      </x:c>
      <x:c r="AO1475" s="13" t="str">
        <x:v>Остаток 7; прогноз 90 дней 0.00; избыток 7 шт. Будущие поступления не выставляются на продажу.</x:v>
      </x:c>
      <x:c r="AP1475" s="13" t="str">
        <x:v>["daily_stockout_data_missing", "new_order_lead_time_unknown"]</x:v>
      </x:c>
      <x:c r="AQ1475" s="10" t="str">
        <x:v>SE:300200855_</x:v>
      </x:c>
      <x:c r="AR1475" s="24" t="n">
        <x:v>1</x:v>
      </x:c>
      <x:c r="AS1475" s="24" t="n">
        <x:v>0</x:v>
      </x:c>
      <x:c r="AT1475" s="24" t="n">
        <x:v>0</x:v>
      </x:c>
    </x:row>
    <x:row r="1476" ht="64" customHeight="1">
      <x:c r="A1476" s="11" t="str">
        <x:v>Systeme Electric</x:v>
      </x:c>
      <x:c r="B1476" s="33" t="str">
        <x:v>300200858_</x:v>
      </x:c>
      <x:c r="C1476" s="33" t="str">
        <x:v>GAL001013</x:v>
      </x:c>
      <x:c r="D1476" s="12" t="str">
        <x:v>G075 Выкл. 1 кл с инд 10А механизм "ARTGALLERY" карбон GAL1013 (5)</x:v>
      </x:c>
      <x:c r="E1476" s="11" t="str">
        <x:v>шт</x:v>
      </x:c>
      <x:c r="F1476" s="35" t="n">
        <x:f>MAX(0,ROUNDDOWN((AG1476-AF1476)/AR1476+0.000000001,0)*AR1476)</x:f>
        <x:v>95</x:v>
      </x:c>
      <x:c r="G1476" s="20" t="str">
        <x:f>IF(J1476="Рассчитано",V1476*(1-R1476/100)-W1476-P1476-Q1476,"н/д")</x:f>
        <x:v>н/д</x:v>
      </x:c>
      <x:c r="H1476" s="12" t="str">
        <x:v>Средний</x:v>
      </x:c>
      <x:c r="I1476" s="12" t="str">
        <x:v>Высокий</x:v>
      </x:c>
      <x:c r="J1476" s="12" t="str">
        <x:f>IF(L1476="","Укажите валюту",IF(NOT(ISNUMBER(K1476)),"Укажите объём",IF(K1476&lt;=0,"Укажите объём",IF(K1476&gt;F1476,"Объём выше излишка",IF(COUNT(M1476:O1476)&lt;3,"Нужны цены",IF(COUNT(P1476:R1476)&lt;3,"Нужны расходы",IF(OR(M1476&lt;0,N1476&lt;0,O1476&lt;0,O1476&gt;100,P1476&lt;0,Q1476&lt;0,R1476&lt;0,R1476&gt;100),"Проверьте значения","Рассчитано")))))))</x:f>
        <x:v>Нужны цены</x:v>
      </x:c>
      <x:c r="K1476" s="36" t="n">
        <x:v>95</x:v>
      </x:c>
      <x:c r="L1476" s="19" t="str">
        <x:v>KZT</x:v>
      </x:c>
      <x:c r="M1476" s="22"/>
      <x:c r="N1476" s="22"/>
      <x:c r="O1476" s="28"/>
      <x:c r="P1476" s="22"/>
      <x:c r="Q1476" s="22"/>
      <x:c r="R1476" s="28"/>
      <x:c r="S1476" s="22"/>
      <x:c r="T1476" s="35" t="n">
        <x:f>K1476</x:f>
        <x:v>95</x:v>
      </x:c>
      <x:c r="U1476" s="20" t="str">
        <x:f>IF(J1476="Рассчитано",N1476*(1-O1476/100),"н/д")</x:f>
        <x:v>н/д</x:v>
      </x:c>
      <x:c r="V1476" s="20" t="str">
        <x:f>IF(J1476="Рассчитано",T1476*U1476,"н/д")</x:f>
        <x:v>н/д</x:v>
      </x:c>
      <x:c r="W1476" s="20" t="str">
        <x:f>IF(J1476="Рассчитано",T1476*M1476,"н/д")</x:f>
        <x:v>н/д</x:v>
      </x:c>
      <x:c r="X1476" s="20" t="str">
        <x:f>IF(J1476="Рассчитано",V1476-W1476,"н/д")</x:f>
        <x:v>н/д</x:v>
      </x:c>
      <x:c r="Y1476" s="26" t="str">
        <x:f>IF(J1476="Рассчитано",IF(V1476&gt;0,G1476/V1476,"н/д"),"н/д")</x:f>
        <x:v>н/д</x:v>
      </x:c>
      <x:c r="Z1476" s="20" t="str">
        <x:f>"н/д"</x:f>
        <x:v>н/д</x:v>
      </x:c>
      <x:c r="AA1476" s="20" t="str">
        <x:f>"н/д"</x:f>
        <x:v>н/д</x:v>
      </x:c>
      <x:c r="AB1476" s="20" t="str">
        <x:f>"н/д"</x:f>
        <x:v>н/д</x:v>
      </x:c>
      <x:c r="AC1476" s="20" t="str">
        <x:f>IF(AND(J1476="Рассчитано",T1476&gt;0,R1476&lt;100),(W1476+P1476+Q1476)/(T1476*(1-R1476/100)),"н/д")</x:f>
        <x:v>н/д</x:v>
      </x:c>
      <x:c r="AD1476" s="11" t="str">
        <x:f>IF(ISNUMBER(G1476),IF(G1476&lt;0,"Убыток",IF(G1476=0,"Без прибыли","Прибыль &gt; 0")),"Не оценён")</x:f>
        <x:v>Не оценён</x:v>
      </x:c>
      <x:c r="AE1476" s="12" t="str">
        <x:f>IF(J1476="Рассчитано","Выручка "&amp;TEXT(V1476,"0.00")&amp;" - себестоимость "&amp;TEXT(W1476,"0.00")&amp;" - комиссия "&amp;TEXT(V1476*R1476/100,"0.00")&amp;" - доставка "&amp;TEXT(P1476,"0.00")&amp;" - прочие "&amp;TEXT(Q1476,"0.00")&amp;" = "&amp;TEXT(G1476,"0.00")&amp;" "&amp;L1476,"Введите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6" s="23" t="n">
        <x:v>0</x:v>
      </x:c>
      <x:c r="AG1476" s="35" t="n">
        <x:v>95</x:v>
      </x:c>
      <x:c r="AH1476" s="35" t="n">
        <x:v>0</x:v>
      </x:c>
      <x:c r="AI1476" s="29" t="n">
        <x:v>46287</x:v>
      </x:c>
      <x:c r="AJ1476" s="35" t="n">
        <x:v>5</x:v>
      </x:c>
      <x:c r="AK1476" s="11" t="str">
        <x:v>кратность</x:v>
      </x:c>
      <x:c r="AL1476" s="31" t="str">
        <x:v>н/д</x:v>
      </x:c>
      <x:c r="AM1476" s="12" t="str">
        <x:v>Нет ежедневных данных доступности. Нет положительных чистых продаж за 12 месяцев</x:v>
      </x:c>
      <x:c r="AN1476" s="12" t="str">
        <x:v>Проверить свободный остаток и установить цену для B2B</x:v>
      </x:c>
      <x:c r="AO1476" s="12" t="str">
        <x:v>Остаток 95; прогноз 90 дней 0.00; избыток 95 шт. Будущие поступления не выставляются на продажу.</x:v>
      </x:c>
      <x:c r="AP1476" s="12" t="str">
        <x:v>["daily_stockout_data_missing", "negative_net_sales_clipped_for_forecast", "new_order_lead_time_unknown"]</x:v>
      </x:c>
      <x:c r="AQ1476" s="11" t="str">
        <x:v>SE:300200858_</x:v>
      </x:c>
      <x:c r="AR1476" s="23" t="n">
        <x:v>1</x:v>
      </x:c>
      <x:c r="AS1476" s="23" t="n">
        <x:v>0</x:v>
      </x:c>
      <x:c r="AT1476" s="23" t="n">
        <x:v>0</x:v>
      </x:c>
    </x:row>
    <x:row r="1477" ht="64" customHeight="1">
      <x:c r="A1477" s="10" t="str">
        <x:v>Systeme Electric</x:v>
      </x:c>
      <x:c r="B1477" s="34" t="str">
        <x:v>300200860_</x:v>
      </x:c>
      <x:c r="C1477" s="34" t="str">
        <x:v>GAL001053</x:v>
      </x:c>
      <x:c r="D1477" s="13" t="str">
        <x:v>G077 Выкл. 2 кл с инд 10А механизм "ARTGALLERY" карбон GAL1053 (5)</x:v>
      </x:c>
      <x:c r="E1477" s="10" t="str">
        <x:v>шт</x:v>
      </x:c>
      <x:c r="F1477" s="37" t="n">
        <x:f>MAX(0,ROUNDDOWN((AG1477-AF1477)/AR1477+0.000000001,0)*AR1477)</x:f>
        <x:v>119</x:v>
      </x:c>
      <x:c r="G1477" s="21" t="str">
        <x:f>IF(J1477="Рассчитано",V1477*(1-R1477/100)-W1477-P1477-Q1477,"н/д")</x:f>
        <x:v>н/д</x:v>
      </x:c>
      <x:c r="H1477" s="13" t="str">
        <x:v>Средний</x:v>
      </x:c>
      <x:c r="I1477" s="13" t="str">
        <x:v>Высокий</x:v>
      </x:c>
      <x:c r="J1477" s="13" t="str">
        <x:f>IF(L1477="","Укажите валюту",IF(NOT(ISNUMBER(K1477)),"Укажите объём",IF(K1477&lt;=0,"Укажите объём",IF(K1477&gt;F1477,"Объём выше излишка",IF(COUNT(M1477:O1477)&lt;3,"Нужны цены",IF(COUNT(P1477:R1477)&lt;3,"Нужны расходы",IF(OR(M1477&lt;0,N1477&lt;0,O1477&lt;0,O1477&gt;100,P1477&lt;0,Q1477&lt;0,R1477&lt;0,R1477&gt;100),"Проверьте значения","Рассчитано")))))))</x:f>
        <x:v>Нужны цены</x:v>
      </x:c>
      <x:c r="K1477" s="36" t="n">
        <x:v>119</x:v>
      </x:c>
      <x:c r="L1477" s="19" t="str">
        <x:v>KZT</x:v>
      </x:c>
      <x:c r="M1477" s="22"/>
      <x:c r="N1477" s="22"/>
      <x:c r="O1477" s="28"/>
      <x:c r="P1477" s="22"/>
      <x:c r="Q1477" s="22"/>
      <x:c r="R1477" s="28"/>
      <x:c r="S1477" s="22"/>
      <x:c r="T1477" s="37" t="n">
        <x:f>K1477</x:f>
        <x:v>119</x:v>
      </x:c>
      <x:c r="U1477" s="21" t="str">
        <x:f>IF(J1477="Рассчитано",N1477*(1-O1477/100),"н/д")</x:f>
        <x:v>н/д</x:v>
      </x:c>
      <x:c r="V1477" s="21" t="str">
        <x:f>IF(J1477="Рассчитано",T1477*U1477,"н/д")</x:f>
        <x:v>н/д</x:v>
      </x:c>
      <x:c r="W1477" s="21" t="str">
        <x:f>IF(J1477="Рассчитано",T1477*M1477,"н/д")</x:f>
        <x:v>н/д</x:v>
      </x:c>
      <x:c r="X1477" s="21" t="str">
        <x:f>IF(J1477="Рассчитано",V1477-W1477,"н/д")</x:f>
        <x:v>н/д</x:v>
      </x:c>
      <x:c r="Y1477" s="27" t="str">
        <x:f>IF(J1477="Рассчитано",IF(V1477&gt;0,G1477/V1477,"н/д"),"н/д")</x:f>
        <x:v>н/д</x:v>
      </x:c>
      <x:c r="Z1477" s="21" t="str">
        <x:f>"н/д"</x:f>
        <x:v>н/д</x:v>
      </x:c>
      <x:c r="AA1477" s="21" t="str">
        <x:f>"н/д"</x:f>
        <x:v>н/д</x:v>
      </x:c>
      <x:c r="AB1477" s="21" t="str">
        <x:f>"н/д"</x:f>
        <x:v>н/д</x:v>
      </x:c>
      <x:c r="AC1477" s="21" t="str">
        <x:f>IF(AND(J1477="Рассчитано",T1477&gt;0,R1477&lt;100),(W1477+P1477+Q1477)/(T1477*(1-R1477/100)),"н/д")</x:f>
        <x:v>н/д</x:v>
      </x:c>
      <x:c r="AD1477" s="10" t="str">
        <x:f>IF(ISNUMBER(G1477),IF(G1477&lt;0,"Убыток",IF(G1477=0,"Без прибыли","Прибыль &gt; 0")),"Не оценён")</x:f>
        <x:v>Не оценён</x:v>
      </x:c>
      <x:c r="AE1477" s="13" t="str">
        <x:f>IF(J1477="Рассчитано","Выручка "&amp;TEXT(V1477,"0.00")&amp;" - себестоимость "&amp;TEXT(W1477,"0.00")&amp;" - комиссия "&amp;TEXT(V1477*R1477/100,"0.00")&amp;" - доставка "&amp;TEXT(P1477,"0.00")&amp;" - прочие "&amp;TEXT(Q1477,"0.00")&amp;" = "&amp;TEXT(G1477,"0.00")&amp;" "&amp;L1477,"Введите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7" s="24" t="n">
        <x:v>1.1841026679200912</x:v>
      </x:c>
      <x:c r="AG1477" s="37" t="n">
        <x:v>121</x:v>
      </x:c>
      <x:c r="AH1477" s="37" t="n">
        <x:v>0</x:v>
      </x:c>
      <x:c r="AI1477" s="30" t="n">
        <x:v>46287</x:v>
      </x:c>
      <x:c r="AJ1477" s="37" t="n">
        <x:v>5</x:v>
      </x:c>
      <x:c r="AK1477" s="10" t="str">
        <x:v>кратность</x:v>
      </x:c>
      <x:c r="AL1477" s="32" t="n">
        <x:v>8712.885163324663</x:v>
      </x:c>
      <x:c r="AM1477" s="13" t="str">
        <x:v>Нет ежедневных данных доступности. Нет положительных чистых продаж за 12 месяцев</x:v>
      </x:c>
      <x:c r="AN1477" s="13" t="str">
        <x:v>Проверить свободный остаток и установить цену для B2B</x:v>
      </x:c>
      <x:c r="AO1477" s="13" t="str">
        <x:v>Остаток 121; прогноз 90 дней 1.18; избыток 119 шт. Будущие поступления не выставляются на продажу.</x:v>
      </x:c>
      <x:c r="AP1477" s="13" t="str">
        <x:v>["daily_stockout_data_missing", "negative_net_sales_clipped_for_forecast", "new_order_lead_time_unknown"]</x:v>
      </x:c>
      <x:c r="AQ1477" s="10" t="str">
        <x:v>SE:300200860_</x:v>
      </x:c>
      <x:c r="AR1477" s="24" t="n">
        <x:v>1</x:v>
      </x:c>
      <x:c r="AS1477" s="24" t="n">
        <x:v>0</x:v>
      </x:c>
      <x:c r="AT1477" s="24" t="n">
        <x:v>0</x:v>
      </x:c>
    </x:row>
    <x:row r="1478" ht="64" customHeight="1">
      <x:c r="A1478" s="11" t="str">
        <x:v>Systeme Electric</x:v>
      </x:c>
      <x:c r="B1478" s="33" t="str">
        <x:v>300200863_</x:v>
      </x:c>
      <x:c r="C1478" s="33" t="str">
        <x:v>GAL001071</x:v>
      </x:c>
      <x:c r="D1478" s="12" t="str">
        <x:v>G080 Перекрест. переключ. 1 кл "ARTGALLERY" карбон GAL1071 (5)</x:v>
      </x:c>
      <x:c r="E1478" s="11" t="str">
        <x:v>шт</x:v>
      </x:c>
      <x:c r="F1478" s="35" t="n">
        <x:f>MAX(0,ROUNDDOWN((AG1478-AF1478)/AR1478+0.000000001,0)*AR1478)</x:f>
        <x:v>68</x:v>
      </x:c>
      <x:c r="G1478" s="20" t="str">
        <x:f>IF(J1478="Рассчитано",V1478*(1-R1478/100)-W1478-P1478-Q1478,"н/д")</x:f>
        <x:v>н/д</x:v>
      </x:c>
      <x:c r="H1478" s="12" t="str">
        <x:v>Средний</x:v>
      </x:c>
      <x:c r="I1478" s="12" t="str">
        <x:v>Высокий</x:v>
      </x:c>
      <x:c r="J1478" s="12" t="str">
        <x:f>IF(L1478="","Укажите валюту",IF(NOT(ISNUMBER(K1478)),"Укажите объём",IF(K1478&lt;=0,"Укажите объём",IF(K1478&gt;F1478,"Объём выше излишка",IF(COUNT(M1478:O1478)&lt;3,"Нужны цены",IF(COUNT(P1478:R1478)&lt;3,"Нужны расходы",IF(OR(M1478&lt;0,N1478&lt;0,O1478&lt;0,O1478&gt;100,P1478&lt;0,Q1478&lt;0,R1478&lt;0,R1478&gt;100),"Проверьте значения","Рассчитано")))))))</x:f>
        <x:v>Нужны цены</x:v>
      </x:c>
      <x:c r="K1478" s="36" t="n">
        <x:v>68</x:v>
      </x:c>
      <x:c r="L1478" s="19" t="str">
        <x:v>KZT</x:v>
      </x:c>
      <x:c r="M1478" s="22"/>
      <x:c r="N1478" s="22"/>
      <x:c r="O1478" s="28"/>
      <x:c r="P1478" s="22"/>
      <x:c r="Q1478" s="22"/>
      <x:c r="R1478" s="28"/>
      <x:c r="S1478" s="22"/>
      <x:c r="T1478" s="35" t="n">
        <x:f>K1478</x:f>
        <x:v>68</x:v>
      </x:c>
      <x:c r="U1478" s="20" t="str">
        <x:f>IF(J1478="Рассчитано",N1478*(1-O1478/100),"н/д")</x:f>
        <x:v>н/д</x:v>
      </x:c>
      <x:c r="V1478" s="20" t="str">
        <x:f>IF(J1478="Рассчитано",T1478*U1478,"н/д")</x:f>
        <x:v>н/д</x:v>
      </x:c>
      <x:c r="W1478" s="20" t="str">
        <x:f>IF(J1478="Рассчитано",T1478*M1478,"н/д")</x:f>
        <x:v>н/д</x:v>
      </x:c>
      <x:c r="X1478" s="20" t="str">
        <x:f>IF(J1478="Рассчитано",V1478-W1478,"н/д")</x:f>
        <x:v>н/д</x:v>
      </x:c>
      <x:c r="Y1478" s="26" t="str">
        <x:f>IF(J1478="Рассчитано",IF(V1478&gt;0,G1478/V1478,"н/д"),"н/д")</x:f>
        <x:v>н/д</x:v>
      </x:c>
      <x:c r="Z1478" s="20" t="str">
        <x:f>"н/д"</x:f>
        <x:v>н/д</x:v>
      </x:c>
      <x:c r="AA1478" s="20" t="str">
        <x:f>"н/д"</x:f>
        <x:v>н/д</x:v>
      </x:c>
      <x:c r="AB1478" s="20" t="str">
        <x:f>"н/д"</x:f>
        <x:v>н/д</x:v>
      </x:c>
      <x:c r="AC1478" s="20" t="str">
        <x:f>IF(AND(J1478="Рассчитано",T1478&gt;0,R1478&lt;100),(W1478+P1478+Q1478)/(T1478*(1-R1478/100)),"н/д")</x:f>
        <x:v>н/д</x:v>
      </x:c>
      <x:c r="AD1478" s="11" t="str">
        <x:f>IF(ISNUMBER(G1478),IF(G1478&lt;0,"Убыток",IF(G1478=0,"Без прибыли","Прибыль &gt; 0")),"Не оценён")</x:f>
        <x:v>Не оценён</x:v>
      </x:c>
      <x:c r="AE1478" s="12" t="str">
        <x:f>IF(J1478="Рассчитано","Выручка "&amp;TEXT(V1478,"0.00")&amp;" - себестоимость "&amp;TEXT(W1478,"0.00")&amp;" - комиссия "&amp;TEXT(V1478*R1478/100,"0.00")&amp;" - доставка "&amp;TEXT(P1478,"0.00")&amp;" - прочие "&amp;TEXT(Q1478,"0.00")&amp;" = "&amp;TEXT(G1478,"0.00")&amp;" "&amp;L1478,"Введите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8" s="23" t="n">
        <x:v>20.25643865227503</x:v>
      </x:c>
      <x:c r="AG1478" s="35" t="n">
        <x:v>89</x:v>
      </x:c>
      <x:c r="AH1478" s="35" t="n">
        <x:v>0</x:v>
      </x:c>
      <x:c r="AI1478" s="29" t="n">
        <x:v>46287</x:v>
      </x:c>
      <x:c r="AJ1478" s="35" t="n">
        <x:v>5</x:v>
      </x:c>
      <x:c r="AK1478" s="11" t="str">
        <x:v>кратность</x:v>
      </x:c>
      <x:c r="AL1478" s="31" t="n">
        <x:v>374.6216677406182</x:v>
      </x:c>
      <x:c r="AM1478" s="12" t="str">
        <x:v>Нет ежедневных данных доступности. Запас более 180 дней при среднем спросе</x:v>
      </x:c>
      <x:c r="AN1478" s="12" t="str">
        <x:v>Проверить свободный остаток и установить цену для B2B</x:v>
      </x:c>
      <x:c r="AO1478" s="12" t="str">
        <x:v>Остаток 89; прогноз 90 дней 20.26; избыток 68 шт. Будущие поступления не выставляются на продажу.</x:v>
      </x:c>
      <x:c r="AP1478" s="12" t="str">
        <x:v>["daily_stockout_data_missing", "negative_net_sales_clipped_for_forecast", "new_order_lead_time_unknown"]</x:v>
      </x:c>
      <x:c r="AQ1478" s="11" t="str">
        <x:v>SE:300200863_</x:v>
      </x:c>
      <x:c r="AR1478" s="23" t="n">
        <x:v>1</x:v>
      </x:c>
      <x:c r="AS1478" s="23" t="n">
        <x:v>0</x:v>
      </x:c>
      <x:c r="AT1478" s="23" t="n">
        <x:v>0</x:v>
      </x:c>
    </x:row>
    <x:row r="1479" ht="64" customHeight="1">
      <x:c r="A1479" s="10" t="str">
        <x:v>Systeme Electric</x:v>
      </x:c>
      <x:c r="B1479" s="34" t="str">
        <x:v>300200864_</x:v>
      </x:c>
      <x:c r="C1479" s="34" t="str">
        <x:v>GAL001088</x:v>
      </x:c>
      <x:c r="D1479" s="13" t="str">
        <x:v>G081 Роз. 2-ная комп. RJ45+RJ45 6A механизм "ARTGALLERY" карбон GAL1088 (1)</x:v>
      </x:c>
      <x:c r="E1479" s="10" t="str">
        <x:v>шт</x:v>
      </x:c>
      <x:c r="F1479" s="37" t="n">
        <x:f>MAX(0,ROUNDDOWN((AG1479-AF1479)/AR1479+0.000000001,0)*AR1479)</x:f>
        <x:v>42</x:v>
      </x:c>
      <x:c r="G1479" s="21" t="str">
        <x:f>IF(J1479="Рассчитано",V1479*(1-R1479/100)-W1479-P1479-Q1479,"н/д")</x:f>
        <x:v>н/д</x:v>
      </x:c>
      <x:c r="H1479" s="13" t="str">
        <x:v>Средний</x:v>
      </x:c>
      <x:c r="I1479" s="13" t="str">
        <x:v>Высокий</x:v>
      </x:c>
      <x:c r="J1479" s="13" t="str">
        <x:f>IF(L1479="","Укажите валюту",IF(NOT(ISNUMBER(K1479)),"Укажите объём",IF(K1479&lt;=0,"Укажите объём",IF(K1479&gt;F1479,"Объём выше излишка",IF(COUNT(M1479:O1479)&lt;3,"Нужны цены",IF(COUNT(P1479:R1479)&lt;3,"Нужны расходы",IF(OR(M1479&lt;0,N1479&lt;0,O1479&lt;0,O1479&gt;100,P1479&lt;0,Q1479&lt;0,R1479&lt;0,R1479&gt;100),"Проверьте значения","Рассчитано")))))))</x:f>
        <x:v>Нужны цены</x:v>
      </x:c>
      <x:c r="K1479" s="36" t="n">
        <x:v>42</x:v>
      </x:c>
      <x:c r="L1479" s="19" t="str">
        <x:v>KZT</x:v>
      </x:c>
      <x:c r="M1479" s="22"/>
      <x:c r="N1479" s="22"/>
      <x:c r="O1479" s="28"/>
      <x:c r="P1479" s="22"/>
      <x:c r="Q1479" s="22"/>
      <x:c r="R1479" s="28"/>
      <x:c r="S1479" s="22"/>
      <x:c r="T1479" s="37" t="n">
        <x:f>K1479</x:f>
        <x:v>42</x:v>
      </x:c>
      <x:c r="U1479" s="21" t="str">
        <x:f>IF(J1479="Рассчитано",N1479*(1-O1479/100),"н/д")</x:f>
        <x:v>н/д</x:v>
      </x:c>
      <x:c r="V1479" s="21" t="str">
        <x:f>IF(J1479="Рассчитано",T1479*U1479,"н/д")</x:f>
        <x:v>н/д</x:v>
      </x:c>
      <x:c r="W1479" s="21" t="str">
        <x:f>IF(J1479="Рассчитано",T1479*M1479,"н/д")</x:f>
        <x:v>н/д</x:v>
      </x:c>
      <x:c r="X1479" s="21" t="str">
        <x:f>IF(J1479="Рассчитано",V1479-W1479,"н/д")</x:f>
        <x:v>н/д</x:v>
      </x:c>
      <x:c r="Y1479" s="27" t="str">
        <x:f>IF(J1479="Рассчитано",IF(V1479&gt;0,G1479/V1479,"н/д"),"н/д")</x:f>
        <x:v>н/д</x:v>
      </x:c>
      <x:c r="Z1479" s="21" t="str">
        <x:f>"н/д"</x:f>
        <x:v>н/д</x:v>
      </x:c>
      <x:c r="AA1479" s="21" t="str">
        <x:f>"н/д"</x:f>
        <x:v>н/д</x:v>
      </x:c>
      <x:c r="AB1479" s="21" t="str">
        <x:f>"н/д"</x:f>
        <x:v>н/д</x:v>
      </x:c>
      <x:c r="AC1479" s="21" t="str">
        <x:f>IF(AND(J1479="Рассчитано",T1479&gt;0,R1479&lt;100),(W1479+P1479+Q1479)/(T1479*(1-R1479/100)),"н/д")</x:f>
        <x:v>н/д</x:v>
      </x:c>
      <x:c r="AD1479" s="10" t="str">
        <x:f>IF(ISNUMBER(G1479),IF(G1479&lt;0,"Убыток",IF(G1479=0,"Без прибыли","Прибыль &gt; 0")),"Не оценён")</x:f>
        <x:v>Не оценён</x:v>
      </x:c>
      <x:c r="AE1479" s="13" t="str">
        <x:f>IF(J1479="Рассчитано","Выручка "&amp;TEXT(V1479,"0.00")&amp;" - себестоимость "&amp;TEXT(W1479,"0.00")&amp;" - комиссия "&amp;TEXT(V1479*R1479/100,"0.00")&amp;" - доставка "&amp;TEXT(P1479,"0.00")&amp;" - прочие "&amp;TEXT(Q1479,"0.00")&amp;" = "&amp;TEXT(G1479,"0.00")&amp;" "&amp;L1479,"Введите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9" s="24" t="n">
        <x:v>1.0711429688020437</x:v>
      </x:c>
      <x:c r="AG1479" s="37" t="n">
        <x:v>44</x:v>
      </x:c>
      <x:c r="AH1479" s="37" t="n">
        <x:v>0</x:v>
      </x:c>
      <x:c r="AI1479" s="30" t="n">
        <x:v>46287</x:v>
      </x:c>
      <x:c r="AJ1479" s="37" t="n">
        <x:v>1</x:v>
      </x:c>
      <x:c r="AK1479" s="10" t="str">
        <x:v>кратность</x:v>
      </x:c>
      <x:c r="AL1479" s="32" t="n">
        <x:v>3502.4441156151993</x:v>
      </x:c>
      <x:c r="AM1479" s="13" t="str">
        <x:v>Нет ежедневных данных доступности. Запас более 180 дней при среднем спросе</x:v>
      </x:c>
      <x:c r="AN1479" s="13" t="str">
        <x:v>Проверить свободный остаток и установить цену для B2B</x:v>
      </x:c>
      <x:c r="AO1479" s="13" t="str">
        <x:v>Остаток 44; прогноз 90 дней 1.07; избыток 42 шт. Будущие поступления не выставляются на продажу.</x:v>
      </x:c>
      <x:c r="AP1479" s="13" t="str">
        <x:v>["daily_stockout_data_missing", "negative_net_sales_clipped_for_forecast", "new_order_lead_time_unknown"]</x:v>
      </x:c>
      <x:c r="AQ1479" s="10" t="str">
        <x:v>SE:300200864_</x:v>
      </x:c>
      <x:c r="AR1479" s="24" t="n">
        <x:v>1</x:v>
      </x:c>
      <x:c r="AS1479" s="24" t="n">
        <x:v>0</x:v>
      </x:c>
      <x:c r="AT1479" s="24" t="n">
        <x:v>0</x:v>
      </x:c>
    </x:row>
    <x:row r="1480" ht="64" customHeight="1">
      <x:c r="A1480" s="11" t="str">
        <x:v>Systeme Electric</x:v>
      </x:c>
      <x:c r="B1480" s="33" t="str">
        <x:v>300200866_</x:v>
      </x:c>
      <x:c r="C1480" s="33" t="str">
        <x:v>GAL001046</x:v>
      </x:c>
      <x:c r="D1480" s="12" t="str">
        <x:v>G083 Роз. с з/к с/ш с крышкой 16А механизм IP20 "ARTGALLERY" карбон GAL1046 (5)</x:v>
      </x:c>
      <x:c r="E1480" s="11" t="str">
        <x:v>шт</x:v>
      </x:c>
      <x:c r="F1480" s="35" t="n">
        <x:f>MAX(0,ROUNDDOWN((AG1480-AF1480)/AR1480+0.000000001,0)*AR1480)</x:f>
        <x:v>90</x:v>
      </x:c>
      <x:c r="G1480" s="20" t="str">
        <x:f>IF(J1480="Рассчитано",V1480*(1-R1480/100)-W1480-P1480-Q1480,"н/д")</x:f>
        <x:v>н/д</x:v>
      </x:c>
      <x:c r="H1480" s="12" t="str">
        <x:v>Средний</x:v>
      </x:c>
      <x:c r="I1480" s="12" t="str">
        <x:v>Высокий</x:v>
      </x:c>
      <x:c r="J1480" s="12" t="str">
        <x:f>IF(L1480="","Укажите валюту",IF(NOT(ISNUMBER(K1480)),"Укажите объём",IF(K1480&lt;=0,"Укажите объём",IF(K1480&gt;F1480,"Объём выше излишка",IF(COUNT(M1480:O1480)&lt;3,"Нужны цены",IF(COUNT(P1480:R1480)&lt;3,"Нужны расходы",IF(OR(M1480&lt;0,N1480&lt;0,O1480&lt;0,O1480&gt;100,P1480&lt;0,Q1480&lt;0,R1480&lt;0,R1480&gt;100),"Проверьте значения","Рассчитано")))))))</x:f>
        <x:v>Нужны цены</x:v>
      </x:c>
      <x:c r="K1480" s="36" t="n">
        <x:v>90</x:v>
      </x:c>
      <x:c r="L1480" s="19" t="str">
        <x:v>KZT</x:v>
      </x:c>
      <x:c r="M1480" s="22"/>
      <x:c r="N1480" s="22"/>
      <x:c r="O1480" s="28"/>
      <x:c r="P1480" s="22"/>
      <x:c r="Q1480" s="22"/>
      <x:c r="R1480" s="28"/>
      <x:c r="S1480" s="22"/>
      <x:c r="T1480" s="35" t="n">
        <x:f>K1480</x:f>
        <x:v>90</x:v>
      </x:c>
      <x:c r="U1480" s="20" t="str">
        <x:f>IF(J1480="Рассчитано",N1480*(1-O1480/100),"н/д")</x:f>
        <x:v>н/д</x:v>
      </x:c>
      <x:c r="V1480" s="20" t="str">
        <x:f>IF(J1480="Рассчитано",T1480*U1480,"н/д")</x:f>
        <x:v>н/д</x:v>
      </x:c>
      <x:c r="W1480" s="20" t="str">
        <x:f>IF(J1480="Рассчитано",T1480*M1480,"н/д")</x:f>
        <x:v>н/д</x:v>
      </x:c>
      <x:c r="X1480" s="20" t="str">
        <x:f>IF(J1480="Рассчитано",V1480-W1480,"н/д")</x:f>
        <x:v>н/д</x:v>
      </x:c>
      <x:c r="Y1480" s="26" t="str">
        <x:f>IF(J1480="Рассчитано",IF(V1480&gt;0,G1480/V1480,"н/д"),"н/д")</x:f>
        <x:v>н/д</x:v>
      </x:c>
      <x:c r="Z1480" s="20" t="str">
        <x:f>"н/д"</x:f>
        <x:v>н/д</x:v>
      </x:c>
      <x:c r="AA1480" s="20" t="str">
        <x:f>"н/д"</x:f>
        <x:v>н/д</x:v>
      </x:c>
      <x:c r="AB1480" s="20" t="str">
        <x:f>"н/д"</x:f>
        <x:v>н/д</x:v>
      </x:c>
      <x:c r="AC1480" s="20" t="str">
        <x:f>IF(AND(J1480="Рассчитано",T1480&gt;0,R1480&lt;100),(W1480+P1480+Q1480)/(T1480*(1-R1480/100)),"н/д")</x:f>
        <x:v>н/д</x:v>
      </x:c>
      <x:c r="AD1480" s="11" t="str">
        <x:f>IF(ISNUMBER(G1480),IF(G1480&lt;0,"Убыток",IF(G1480=0,"Без прибыли","Прибыль &gt; 0")),"Не оценён")</x:f>
        <x:v>Не оценён</x:v>
      </x:c>
      <x:c r="AE1480" s="12" t="str">
        <x:f>IF(J1480="Рассчитано","Выручка "&amp;TEXT(V1480,"0.00")&amp;" - себестоимость "&amp;TEXT(W1480,"0.00")&amp;" - комиссия "&amp;TEXT(V1480*R1480/100,"0.00")&amp;" - доставка "&amp;TEXT(P1480,"0.00")&amp;" - прочие "&amp;TEXT(Q1480,"0.00")&amp;" = "&amp;TEXT(G1480,"0.00")&amp;" "&amp;L1480,"Введите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0" s="23" t="n">
        <x:v>6.935409343939716</x:v>
      </x:c>
      <x:c r="AG1480" s="35" t="n">
        <x:v>97</x:v>
      </x:c>
      <x:c r="AH1480" s="35" t="n">
        <x:v>0</x:v>
      </x:c>
      <x:c r="AI1480" s="29" t="n">
        <x:v>46287</x:v>
      </x:c>
      <x:c r="AJ1480" s="35" t="n">
        <x:v>5</x:v>
      </x:c>
      <x:c r="AK1480" s="11" t="str">
        <x:v>кратность</x:v>
      </x:c>
      <x:c r="AL1480" s="31" t="n">
        <x:v>1192.51984337754</x:v>
      </x:c>
      <x:c r="AM1480" s="12" t="str">
        <x:v>Нет ежедневных данных доступности. Запас более 180 дней при среднем спросе</x:v>
      </x:c>
      <x:c r="AN1480" s="12" t="str">
        <x:v>Проверить свободный остаток и установить цену для B2B</x:v>
      </x:c>
      <x:c r="AO1480" s="12" t="str">
        <x:v>Остаток 97; прогноз 90 дней 6.94; избыток 90 шт. Будущие поступления не выставляются на продажу.</x:v>
      </x:c>
      <x:c r="AP1480" s="12" t="str">
        <x:v>["daily_stockout_data_missing", "negative_net_sales_clipped_for_forecast", "new_order_lead_time_unknown"]</x:v>
      </x:c>
      <x:c r="AQ1480" s="11" t="str">
        <x:v>SE:300200866_</x:v>
      </x:c>
      <x:c r="AR1480" s="23" t="n">
        <x:v>1</x:v>
      </x:c>
      <x:c r="AS1480" s="23" t="n">
        <x:v>0</x:v>
      </x:c>
      <x:c r="AT1480" s="23" t="n">
        <x:v>0</x:v>
      </x:c>
    </x:row>
    <x:row r="1481" ht="64" customHeight="1">
      <x:c r="A1481" s="10" t="str">
        <x:v>Systeme Electric</x:v>
      </x:c>
      <x:c r="B1481" s="34" t="str">
        <x:v>300200867_</x:v>
      </x:c>
      <x:c r="C1481" s="34" t="str">
        <x:v>GAL001091</x:v>
      </x:c>
      <x:c r="D1481" s="13" t="str">
        <x:v>G084 Роз. TV оконечная механизм "ARTGALLERY" карбон GAL1091 (5)</x:v>
      </x:c>
      <x:c r="E1481" s="10" t="str">
        <x:v>шт</x:v>
      </x:c>
      <x:c r="F1481" s="37" t="n">
        <x:f>MAX(0,ROUNDDOWN((AG1481-AF1481)/AR1481+0.000000001,0)*AR1481)</x:f>
        <x:v>37</x:v>
      </x:c>
      <x:c r="G1481" s="21" t="str">
        <x:f>IF(J1481="Рассчитано",V1481*(1-R1481/100)-W1481-P1481-Q1481,"н/д")</x:f>
        <x:v>н/д</x:v>
      </x:c>
      <x:c r="H1481" s="13" t="str">
        <x:v>Средний</x:v>
      </x:c>
      <x:c r="I1481" s="13" t="str">
        <x:v>Высокий</x:v>
      </x:c>
      <x:c r="J1481" s="13" t="str">
        <x:f>IF(L1481="","Укажите валюту",IF(NOT(ISNUMBER(K1481)),"Укажите объём",IF(K1481&lt;=0,"Укажите объём",IF(K1481&gt;F1481,"Объём выше излишка",IF(COUNT(M1481:O1481)&lt;3,"Нужны цены",IF(COUNT(P1481:R1481)&lt;3,"Нужны расходы",IF(OR(M1481&lt;0,N1481&lt;0,O1481&lt;0,O1481&gt;100,P1481&lt;0,Q1481&lt;0,R1481&lt;0,R1481&gt;100),"Проверьте значения","Рассчитано")))))))</x:f>
        <x:v>Нужны цены</x:v>
      </x:c>
      <x:c r="K1481" s="36" t="n">
        <x:v>37</x:v>
      </x:c>
      <x:c r="L1481" s="19" t="str">
        <x:v>KZT</x:v>
      </x:c>
      <x:c r="M1481" s="22"/>
      <x:c r="N1481" s="22"/>
      <x:c r="O1481" s="28"/>
      <x:c r="P1481" s="22"/>
      <x:c r="Q1481" s="22"/>
      <x:c r="R1481" s="28"/>
      <x:c r="S1481" s="22"/>
      <x:c r="T1481" s="37" t="n">
        <x:f>K1481</x:f>
        <x:v>37</x:v>
      </x:c>
      <x:c r="U1481" s="21" t="str">
        <x:f>IF(J1481="Рассчитано",N1481*(1-O1481/100),"н/д")</x:f>
        <x:v>н/д</x:v>
      </x:c>
      <x:c r="V1481" s="21" t="str">
        <x:f>IF(J1481="Рассчитано",T1481*U1481,"н/д")</x:f>
        <x:v>н/д</x:v>
      </x:c>
      <x:c r="W1481" s="21" t="str">
        <x:f>IF(J1481="Рассчитано",T1481*M1481,"н/д")</x:f>
        <x:v>н/д</x:v>
      </x:c>
      <x:c r="X1481" s="21" t="str">
        <x:f>IF(J1481="Рассчитано",V1481-W1481,"н/д")</x:f>
        <x:v>н/д</x:v>
      </x:c>
      <x:c r="Y1481" s="27" t="str">
        <x:f>IF(J1481="Рассчитано",IF(V1481&gt;0,G1481/V1481,"н/д"),"н/д")</x:f>
        <x:v>н/д</x:v>
      </x:c>
      <x:c r="Z1481" s="21" t="str">
        <x:f>"н/д"</x:f>
        <x:v>н/д</x:v>
      </x:c>
      <x:c r="AA1481" s="21" t="str">
        <x:f>"н/д"</x:f>
        <x:v>н/д</x:v>
      </x:c>
      <x:c r="AB1481" s="21" t="str">
        <x:f>"н/д"</x:f>
        <x:v>н/д</x:v>
      </x:c>
      <x:c r="AC1481" s="21" t="str">
        <x:f>IF(AND(J1481="Рассчитано",T1481&gt;0,R1481&lt;100),(W1481+P1481+Q1481)/(T1481*(1-R1481/100)),"н/д")</x:f>
        <x:v>н/д</x:v>
      </x:c>
      <x:c r="AD1481" s="10" t="str">
        <x:f>IF(ISNUMBER(G1481),IF(G1481&lt;0,"Убыток",IF(G1481=0,"Без прибыли","Прибыль &gt; 0")),"Не оценён")</x:f>
        <x:v>Не оценён</x:v>
      </x:c>
      <x:c r="AE1481" s="13" t="str">
        <x:f>IF(J1481="Рассчитано","Выручка "&amp;TEXT(V1481,"0.00")&amp;" - себестоимость "&amp;TEXT(W1481,"0.00")&amp;" - комиссия "&amp;TEXT(V1481*R1481/100,"0.00")&amp;" - доставка "&amp;TEXT(P1481,"0.00")&amp;" - прочие "&amp;TEXT(Q1481,"0.00")&amp;" = "&amp;TEXT(G1481,"0.00")&amp;" "&amp;L1481,"Введите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1" s="24" t="n">
        <x:v>3.040303372332161</x:v>
      </x:c>
      <x:c r="AG1481" s="37" t="n">
        <x:v>41</x:v>
      </x:c>
      <x:c r="AH1481" s="37" t="n">
        <x:v>0</x:v>
      </x:c>
      <x:c r="AI1481" s="30" t="n">
        <x:v>46287</x:v>
      </x:c>
      <x:c r="AJ1481" s="37" t="n">
        <x:v>5</x:v>
      </x:c>
      <x:c r="AK1481" s="10" t="str">
        <x:v>кратность</x:v>
      </x:c>
      <x:c r="AL1481" s="32" t="n">
        <x:v>1149.8280918457274</x:v>
      </x:c>
      <x:c r="AM1481" s="13" t="str">
        <x:v>Нет ежедневных данных доступности. Нет положительных чистых продаж за 12 месяцев</x:v>
      </x:c>
      <x:c r="AN1481" s="13" t="str">
        <x:v>Проверить свободный остаток и установить цену для B2B</x:v>
      </x:c>
      <x:c r="AO1481" s="13" t="str">
        <x:v>Остаток 41; прогноз 90 дней 3.04; избыток 37 шт. Будущие поступления не выставляются на продажу.</x:v>
      </x:c>
      <x:c r="AP1481" s="13" t="str">
        <x:v>["daily_stockout_data_missing", "negative_net_sales_clipped_for_forecast", "new_order_lead_time_unknown"]</x:v>
      </x:c>
      <x:c r="AQ1481" s="10" t="str">
        <x:v>SE:300200867_</x:v>
      </x:c>
      <x:c r="AR1481" s="24" t="n">
        <x:v>1</x:v>
      </x:c>
      <x:c r="AS1481" s="24" t="n">
        <x:v>0</x:v>
      </x:c>
      <x:c r="AT1481" s="24" t="n">
        <x:v>0</x:v>
      </x:c>
    </x:row>
    <x:row r="1482" ht="64" customHeight="1">
      <x:c r="A1482" s="11" t="str">
        <x:v>Systeme Electric</x:v>
      </x:c>
      <x:c r="B1482" s="33" t="str">
        <x:v>300200872_</x:v>
      </x:c>
      <x:c r="C1482" s="33" t="str">
        <x:v>GAL001005</x:v>
      </x:c>
      <x:c r="D1482" s="12" t="str">
        <x:v>G089 Рамка 5-ная "ARTGALLERY" карбон GAL1005 (5)</x:v>
      </x:c>
      <x:c r="E1482" s="11" t="str">
        <x:v>шт</x:v>
      </x:c>
      <x:c r="F1482" s="35" t="n">
        <x:f>MAX(0,ROUNDDOWN((AG1482-AF1482)/AR1482+0.000000001,0)*AR1482)</x:f>
        <x:v>114</x:v>
      </x:c>
      <x:c r="G1482" s="20" t="str">
        <x:f>IF(J1482="Рассчитано",V1482*(1-R1482/100)-W1482-P1482-Q1482,"н/д")</x:f>
        <x:v>н/д</x:v>
      </x:c>
      <x:c r="H1482" s="12" t="str">
        <x:v>Средний</x:v>
      </x:c>
      <x:c r="I1482" s="12" t="str">
        <x:v>Высокий</x:v>
      </x:c>
      <x:c r="J1482" s="12" t="str">
        <x:f>IF(L1482="","Укажите валюту",IF(NOT(ISNUMBER(K1482)),"Укажите объём",IF(K1482&lt;=0,"Укажите объём",IF(K1482&gt;F1482,"Объём выше излишка",IF(COUNT(M1482:O1482)&lt;3,"Нужны цены",IF(COUNT(P1482:R1482)&lt;3,"Нужны расходы",IF(OR(M1482&lt;0,N1482&lt;0,O1482&lt;0,O1482&gt;100,P1482&lt;0,Q1482&lt;0,R1482&lt;0,R1482&gt;100),"Проверьте значения","Рассчитано")))))))</x:f>
        <x:v>Нужны цены</x:v>
      </x:c>
      <x:c r="K1482" s="36" t="n">
        <x:v>114</x:v>
      </x:c>
      <x:c r="L1482" s="19" t="str">
        <x:v>KZT</x:v>
      </x:c>
      <x:c r="M1482" s="22"/>
      <x:c r="N1482" s="22"/>
      <x:c r="O1482" s="28"/>
      <x:c r="P1482" s="22"/>
      <x:c r="Q1482" s="22"/>
      <x:c r="R1482" s="28"/>
      <x:c r="S1482" s="22"/>
      <x:c r="T1482" s="35" t="n">
        <x:f>K1482</x:f>
        <x:v>114</x:v>
      </x:c>
      <x:c r="U1482" s="20" t="str">
        <x:f>IF(J1482="Рассчитано",N1482*(1-O1482/100),"н/д")</x:f>
        <x:v>н/д</x:v>
      </x:c>
      <x:c r="V1482" s="20" t="str">
        <x:f>IF(J1482="Рассчитано",T1482*U1482,"н/д")</x:f>
        <x:v>н/д</x:v>
      </x:c>
      <x:c r="W1482" s="20" t="str">
        <x:f>IF(J1482="Рассчитано",T1482*M1482,"н/д")</x:f>
        <x:v>н/д</x:v>
      </x:c>
      <x:c r="X1482" s="20" t="str">
        <x:f>IF(J1482="Рассчитано",V1482-W1482,"н/д")</x:f>
        <x:v>н/д</x:v>
      </x:c>
      <x:c r="Y1482" s="26" t="str">
        <x:f>IF(J1482="Рассчитано",IF(V1482&gt;0,G1482/V1482,"н/д"),"н/д")</x:f>
        <x:v>н/д</x:v>
      </x:c>
      <x:c r="Z1482" s="20" t="str">
        <x:f>"н/д"</x:f>
        <x:v>н/д</x:v>
      </x:c>
      <x:c r="AA1482" s="20" t="str">
        <x:f>"н/д"</x:f>
        <x:v>н/д</x:v>
      </x:c>
      <x:c r="AB1482" s="20" t="str">
        <x:f>"н/д"</x:f>
        <x:v>н/д</x:v>
      </x:c>
      <x:c r="AC1482" s="20" t="str">
        <x:f>IF(AND(J1482="Рассчитано",T1482&gt;0,R1482&lt;100),(W1482+P1482+Q1482)/(T1482*(1-R1482/100)),"н/д")</x:f>
        <x:v>н/д</x:v>
      </x:c>
      <x:c r="AD1482" s="11" t="str">
        <x:f>IF(ISNUMBER(G1482),IF(G1482&lt;0,"Убыток",IF(G1482=0,"Без прибыли","Прибыль &gt; 0")),"Не оценён")</x:f>
        <x:v>Не оценён</x:v>
      </x:c>
      <x:c r="AE1482" s="12" t="str">
        <x:f>IF(J1482="Рассчитано","Выручка "&amp;TEXT(V1482,"0.00")&amp;" - себестоимость "&amp;TEXT(W1482,"0.00")&amp;" - комиссия "&amp;TEXT(V1482*R1482/100,"0.00")&amp;" - доставка "&amp;TEXT(P1482,"0.00")&amp;" - прочие "&amp;TEXT(Q1482,"0.00")&amp;" = "&amp;TEXT(G1482,"0.00")&amp;" "&amp;L1482,"Введите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2" s="23" t="n">
        <x:v>8.699200823350225</x:v>
      </x:c>
      <x:c r="AG1482" s="35" t="n">
        <x:v>123</x:v>
      </x:c>
      <x:c r="AH1482" s="35" t="n">
        <x:v>0</x:v>
      </x:c>
      <x:c r="AI1482" s="29" t="n">
        <x:v>46287</x:v>
      </x:c>
      <x:c r="AJ1482" s="35" t="n">
        <x:v>5</x:v>
      </x:c>
      <x:c r="AK1482" s="11" t="str">
        <x:v>кратность</x:v>
      </x:c>
      <x:c r="AL1482" s="31" t="n">
        <x:v>1205.5680617893308</x:v>
      </x:c>
      <x:c r="AM1482" s="12" t="str">
        <x:v>Детальные и месячные продажи расходятся; Нет ежедневных данных доступности. Нет положительных чистых продаж за 12 месяцев</x:v>
      </x:c>
      <x:c r="AN1482" s="12" t="str">
        <x:v>Проверить свободный остаток и установить цену для B2B</x:v>
      </x:c>
      <x:c r="AO1482" s="12" t="str">
        <x:v>Остаток 123; прогноз 90 дней 8.70; избыток 114 шт. Будущие поступления не выставляются на продажу.</x:v>
      </x:c>
      <x:c r="AP1482" s="12" t="str">
        <x:v>["daily_stockout_data_missing", "large_orders_detected", "negative_net_sales_clipped_for_forecast", "new_order_lead_time_unknown", "transaction_month_mismatch"]</x:v>
      </x:c>
      <x:c r="AQ1482" s="11" t="str">
        <x:v>SE:300200872_</x:v>
      </x:c>
      <x:c r="AR1482" s="23" t="n">
        <x:v>1</x:v>
      </x:c>
      <x:c r="AS1482" s="23" t="n">
        <x:v>0</x:v>
      </x:c>
      <x:c r="AT1482" s="23" t="n">
        <x:v>0</x:v>
      </x:c>
    </x:row>
    <x:row r="1483" ht="64" customHeight="1">
      <x:c r="A1483" s="10" t="str">
        <x:v>Systeme Electric</x:v>
      </x:c>
      <x:c r="B1483" s="34" t="str">
        <x:v>300200874_</x:v>
      </x:c>
      <x:c r="C1483" s="34" t="str">
        <x:v>GAL001023</x:v>
      </x:c>
      <x:c r="D1483" s="13" t="str">
        <x:v>G091 Диммер поворотно-нажимной механизм 400Вт "ARTGALLERY" карбон GAL1023 (1)</x:v>
      </x:c>
      <x:c r="E1483" s="10" t="str">
        <x:v>шт</x:v>
      </x:c>
      <x:c r="F1483" s="37" t="n">
        <x:f>MAX(0,ROUNDDOWN((AG1483-AF1483)/AR1483+0.000000001,0)*AR1483)</x:f>
        <x:v>7</x:v>
      </x:c>
      <x:c r="G1483" s="21" t="str">
        <x:f>IF(J1483="Рассчитано",V1483*(1-R1483/100)-W1483-P1483-Q1483,"н/д")</x:f>
        <x:v>н/д</x:v>
      </x:c>
      <x:c r="H1483" s="13" t="str">
        <x:v>Средний</x:v>
      </x:c>
      <x:c r="I1483" s="13" t="str">
        <x:v>Высокий</x:v>
      </x:c>
      <x:c r="J1483" s="13" t="str">
        <x:f>IF(L1483="","Укажите валюту",IF(NOT(ISNUMBER(K1483)),"Укажите объём",IF(K1483&lt;=0,"Укажите объём",IF(K1483&gt;F1483,"Объём выше излишка",IF(COUNT(M1483:O1483)&lt;3,"Нужны цены",IF(COUNT(P1483:R1483)&lt;3,"Нужны расходы",IF(OR(M1483&lt;0,N1483&lt;0,O1483&lt;0,O1483&gt;100,P1483&lt;0,Q1483&lt;0,R1483&lt;0,R1483&gt;100),"Проверьте значения","Рассчитано")))))))</x:f>
        <x:v>Нужны цены</x:v>
      </x:c>
      <x:c r="K1483" s="36" t="n">
        <x:v>7</x:v>
      </x:c>
      <x:c r="L1483" s="19" t="str">
        <x:v>KZT</x:v>
      </x:c>
      <x:c r="M1483" s="22"/>
      <x:c r="N1483" s="22"/>
      <x:c r="O1483" s="28"/>
      <x:c r="P1483" s="22"/>
      <x:c r="Q1483" s="22"/>
      <x:c r="R1483" s="28"/>
      <x:c r="S1483" s="22"/>
      <x:c r="T1483" s="37" t="n">
        <x:f>K1483</x:f>
        <x:v>7</x:v>
      </x:c>
      <x:c r="U1483" s="21" t="str">
        <x:f>IF(J1483="Рассчитано",N1483*(1-O1483/100),"н/д")</x:f>
        <x:v>н/д</x:v>
      </x:c>
      <x:c r="V1483" s="21" t="str">
        <x:f>IF(J1483="Рассчитано",T1483*U1483,"н/д")</x:f>
        <x:v>н/д</x:v>
      </x:c>
      <x:c r="W1483" s="21" t="str">
        <x:f>IF(J1483="Рассчитано",T1483*M1483,"н/д")</x:f>
        <x:v>н/д</x:v>
      </x:c>
      <x:c r="X1483" s="21" t="str">
        <x:f>IF(J1483="Рассчитано",V1483-W1483,"н/д")</x:f>
        <x:v>н/д</x:v>
      </x:c>
      <x:c r="Y1483" s="27" t="str">
        <x:f>IF(J1483="Рассчитано",IF(V1483&gt;0,G1483/V1483,"н/д"),"н/д")</x:f>
        <x:v>н/д</x:v>
      </x:c>
      <x:c r="Z1483" s="21" t="str">
        <x:f>"н/д"</x:f>
        <x:v>н/д</x:v>
      </x:c>
      <x:c r="AA1483" s="21" t="str">
        <x:f>"н/д"</x:f>
        <x:v>н/д</x:v>
      </x:c>
      <x:c r="AB1483" s="21" t="str">
        <x:f>"н/д"</x:f>
        <x:v>н/д</x:v>
      </x:c>
      <x:c r="AC1483" s="21" t="str">
        <x:f>IF(AND(J1483="Рассчитано",T1483&gt;0,R1483&lt;100),(W1483+P1483+Q1483)/(T1483*(1-R1483/100)),"н/д")</x:f>
        <x:v>н/д</x:v>
      </x:c>
      <x:c r="AD1483" s="10" t="str">
        <x:f>IF(ISNUMBER(G1483),IF(G1483&lt;0,"Убыток",IF(G1483=0,"Без прибыли","Прибыль &gt; 0")),"Не оценён")</x:f>
        <x:v>Не оценён</x:v>
      </x:c>
      <x:c r="AE1483" s="13" t="str">
        <x:f>IF(J1483="Рассчитано","Выручка "&amp;TEXT(V1483,"0.00")&amp;" - себестоимость "&amp;TEXT(W1483,"0.00")&amp;" - комиссия "&amp;TEXT(V1483*R1483/100,"0.00")&amp;" - доставка "&amp;TEXT(P1483,"0.00")&amp;" - прочие "&amp;TEXT(Q1483,"0.00")&amp;" = "&amp;TEXT(G1483,"0.00")&amp;" "&amp;L1483,"Введите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3" s="24" t="n">
        <x:v>0.09728630305935798</x:v>
      </x:c>
      <x:c r="AG1483" s="37" t="n">
        <x:v>8</x:v>
      </x:c>
      <x:c r="AH1483" s="37" t="n">
        <x:v>0</x:v>
      </x:c>
      <x:c r="AI1483" s="30" t="n">
        <x:v>46287</x:v>
      </x:c>
      <x:c r="AJ1483" s="37" t="n">
        <x:v>1</x:v>
      </x:c>
      <x:c r="AK1483" s="10" t="str">
        <x:v>кратность</x:v>
      </x:c>
      <x:c r="AL1483" s="32" t="n">
        <x:v>7011.392279724621</x:v>
      </x:c>
      <x:c r="AM1483" s="13" t="str">
        <x:v>Нет ежедневных данных доступности. Запас более 180 дней при среднем спросе</x:v>
      </x:c>
      <x:c r="AN1483" s="13" t="str">
        <x:v>Проверить свободный остаток и установить цену для B2B</x:v>
      </x:c>
      <x:c r="AO1483" s="13" t="str">
        <x:v>Остаток 8; прогноз 90 дней 0.10; избыток 7 шт. Будущие поступления не выставляются на продажу.</x:v>
      </x:c>
      <x:c r="AP1483" s="13" t="str">
        <x:v>["daily_stockout_data_missing", "new_order_lead_time_unknown"]</x:v>
      </x:c>
      <x:c r="AQ1483" s="10" t="str">
        <x:v>SE:300200874_</x:v>
      </x:c>
      <x:c r="AR1483" s="24" t="n">
        <x:v>1</x:v>
      </x:c>
      <x:c r="AS1483" s="24" t="n">
        <x:v>0</x:v>
      </x:c>
      <x:c r="AT1483" s="24" t="n">
        <x:v>0</x:v>
      </x:c>
    </x:row>
    <x:row r="1484" ht="64" customHeight="1">
      <x:c r="A1484" s="11" t="str">
        <x:v>Systeme Electric</x:v>
      </x:c>
      <x:c r="B1484" s="33" t="str">
        <x:v>300200875_</x:v>
      </x:c>
      <x:c r="C1484" s="33" t="str">
        <x:v>GAL441046</x:v>
      </x:c>
      <x:c r="D1484" s="12" t="str">
        <x:v>G092 Роз. с з/к с/ш с крышкой 16А механизм IP44 "ARTGALLERY" карбон GAL441046 (5)</x:v>
      </x:c>
      <x:c r="E1484" s="11" t="str">
        <x:v>шт</x:v>
      </x:c>
      <x:c r="F1484" s="35" t="n">
        <x:f>MAX(0,ROUNDDOWN((AG1484-AF1484)/AR1484+0.000000001,0)*AR1484)</x:f>
        <x:v>58</x:v>
      </x:c>
      <x:c r="G1484" s="20" t="str">
        <x:f>IF(J1484="Рассчитано",V1484*(1-R1484/100)-W1484-P1484-Q1484,"н/д")</x:f>
        <x:v>н/д</x:v>
      </x:c>
      <x:c r="H1484" s="12" t="str">
        <x:v>Средний</x:v>
      </x:c>
      <x:c r="I1484" s="12" t="str">
        <x:v>Высокий</x:v>
      </x:c>
      <x:c r="J1484" s="12" t="str">
        <x:f>IF(L1484="","Укажите валюту",IF(NOT(ISNUMBER(K1484)),"Укажите объём",IF(K1484&lt;=0,"Укажите объём",IF(K1484&gt;F1484,"Объём выше излишка",IF(COUNT(M1484:O1484)&lt;3,"Нужны цены",IF(COUNT(P1484:R1484)&lt;3,"Нужны расходы",IF(OR(M1484&lt;0,N1484&lt;0,O1484&lt;0,O1484&gt;100,P1484&lt;0,Q1484&lt;0,R1484&lt;0,R1484&gt;100),"Проверьте значения","Рассчитано")))))))</x:f>
        <x:v>Нужны цены</x:v>
      </x:c>
      <x:c r="K1484" s="36" t="n">
        <x:v>58</x:v>
      </x:c>
      <x:c r="L1484" s="19" t="str">
        <x:v>KZT</x:v>
      </x:c>
      <x:c r="M1484" s="22"/>
      <x:c r="N1484" s="22"/>
      <x:c r="O1484" s="28"/>
      <x:c r="P1484" s="22"/>
      <x:c r="Q1484" s="22"/>
      <x:c r="R1484" s="28"/>
      <x:c r="S1484" s="22"/>
      <x:c r="T1484" s="35" t="n">
        <x:f>K1484</x:f>
        <x:v>58</x:v>
      </x:c>
      <x:c r="U1484" s="20" t="str">
        <x:f>IF(J1484="Рассчитано",N1484*(1-O1484/100),"н/д")</x:f>
        <x:v>н/д</x:v>
      </x:c>
      <x:c r="V1484" s="20" t="str">
        <x:f>IF(J1484="Рассчитано",T1484*U1484,"н/д")</x:f>
        <x:v>н/д</x:v>
      </x:c>
      <x:c r="W1484" s="20" t="str">
        <x:f>IF(J1484="Рассчитано",T1484*M1484,"н/д")</x:f>
        <x:v>н/д</x:v>
      </x:c>
      <x:c r="X1484" s="20" t="str">
        <x:f>IF(J1484="Рассчитано",V1484-W1484,"н/д")</x:f>
        <x:v>н/д</x:v>
      </x:c>
      <x:c r="Y1484" s="26" t="str">
        <x:f>IF(J1484="Рассчитано",IF(V1484&gt;0,G1484/V1484,"н/д"),"н/д")</x:f>
        <x:v>н/д</x:v>
      </x:c>
      <x:c r="Z1484" s="20" t="str">
        <x:f>"н/д"</x:f>
        <x:v>н/д</x:v>
      </x:c>
      <x:c r="AA1484" s="20" t="str">
        <x:f>"н/д"</x:f>
        <x:v>н/д</x:v>
      </x:c>
      <x:c r="AB1484" s="20" t="str">
        <x:f>"н/д"</x:f>
        <x:v>н/д</x:v>
      </x:c>
      <x:c r="AC1484" s="20" t="str">
        <x:f>IF(AND(J1484="Рассчитано",T1484&gt;0,R1484&lt;100),(W1484+P1484+Q1484)/(T1484*(1-R1484/100)),"н/д")</x:f>
        <x:v>н/д</x:v>
      </x:c>
      <x:c r="AD1484" s="11" t="str">
        <x:f>IF(ISNUMBER(G1484),IF(G1484&lt;0,"Убыток",IF(G1484=0,"Без прибыли","Прибыль &gt; 0")),"Не оценён")</x:f>
        <x:v>Не оценён</x:v>
      </x:c>
      <x:c r="AE1484" s="12" t="str">
        <x:f>IF(J1484="Рассчитано","Выручка "&amp;TEXT(V1484,"0.00")&amp;" - себестоимость "&amp;TEXT(W1484,"0.00")&amp;" - комиссия "&amp;TEXT(V1484*R1484/100,"0.00")&amp;" - доставка "&amp;TEXT(P1484,"0.00")&amp;" - прочие "&amp;TEXT(Q1484,"0.00")&amp;" = "&amp;TEXT(G1484,"0.00")&amp;" "&amp;L1484,"Введите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4" s="23" t="n">
        <x:v>13.483124361549256</x:v>
      </x:c>
      <x:c r="AG1484" s="35" t="n">
        <x:v>72</x:v>
      </x:c>
      <x:c r="AH1484" s="35" t="n">
        <x:v>0</x:v>
      </x:c>
      <x:c r="AI1484" s="29" t="n">
        <x:v>46287</x:v>
      </x:c>
      <x:c r="AJ1484" s="35" t="n">
        <x:v>5</x:v>
      </x:c>
      <x:c r="AK1484" s="11" t="str">
        <x:v>кратность</x:v>
      </x:c>
      <x:c r="AL1484" s="31" t="n">
        <x:v>455.3107828069142</x:v>
      </x:c>
      <x:c r="AM1484" s="12" t="str">
        <x:v>Нет ежедневных данных доступности. Запас более 180 дней при среднем спросе</x:v>
      </x:c>
      <x:c r="AN1484" s="12" t="str">
        <x:v>Проверить свободный остаток и установить цену для B2B</x:v>
      </x:c>
      <x:c r="AO1484" s="12" t="str">
        <x:v>Остаток 72; прогноз 90 дней 13.48; избыток 58 шт. Будущие поступления не выставляются на продажу.</x:v>
      </x:c>
      <x:c r="AP1484" s="12" t="str">
        <x:v>["daily_stockout_data_missing", "new_order_lead_time_unknown"]</x:v>
      </x:c>
      <x:c r="AQ1484" s="11" t="str">
        <x:v>SE:300200875_</x:v>
      </x:c>
      <x:c r="AR1484" s="23" t="n">
        <x:v>1</x:v>
      </x:c>
      <x:c r="AS1484" s="23" t="n">
        <x:v>0</x:v>
      </x:c>
      <x:c r="AT1484" s="23" t="n">
        <x:v>0</x:v>
      </x:c>
    </x:row>
    <x:row r="1485" ht="64" customHeight="1">
      <x:c r="A1485" s="10" t="str">
        <x:v>Systeme Electric</x:v>
      </x:c>
      <x:c r="B1485" s="34" t="str">
        <x:v>300200876_</x:v>
      </x:c>
      <x:c r="C1485" s="34" t="str">
        <x:v>GAL441001</x:v>
      </x:c>
      <x:c r="D1485" s="13" t="str">
        <x:v>G093 Рамка 1-ная IP44 "ARTGALLERY" карбон GAL441001 (5)</x:v>
      </x:c>
      <x:c r="E1485" s="10" t="str">
        <x:v>шт</x:v>
      </x:c>
      <x:c r="F1485" s="37" t="n">
        <x:f>MAX(0,ROUNDDOWN((AG1485-AF1485)/AR1485+0.000000001,0)*AR1485)</x:f>
        <x:v>138</x:v>
      </x:c>
      <x:c r="G1485" s="21" t="str">
        <x:f>IF(J1485="Рассчитано",V1485*(1-R1485/100)-W1485-P1485-Q1485,"н/д")</x:f>
        <x:v>н/д</x:v>
      </x:c>
      <x:c r="H1485" s="13" t="str">
        <x:v>Средний</x:v>
      </x:c>
      <x:c r="I1485" s="13" t="str">
        <x:v>Высокий</x:v>
      </x:c>
      <x:c r="J1485" s="13" t="str">
        <x:f>IF(L1485="","Укажите валюту",IF(NOT(ISNUMBER(K1485)),"Укажите объём",IF(K1485&lt;=0,"Укажите объём",IF(K1485&gt;F1485,"Объём выше излишка",IF(COUNT(M1485:O1485)&lt;3,"Нужны цены",IF(COUNT(P1485:R1485)&lt;3,"Нужны расходы",IF(OR(M1485&lt;0,N1485&lt;0,O1485&lt;0,O1485&gt;100,P1485&lt;0,Q1485&lt;0,R1485&lt;0,R1485&gt;100),"Проверьте значения","Рассчитано")))))))</x:f>
        <x:v>Нужны цены</x:v>
      </x:c>
      <x:c r="K1485" s="36" t="n">
        <x:v>138</x:v>
      </x:c>
      <x:c r="L1485" s="19" t="str">
        <x:v>KZT</x:v>
      </x:c>
      <x:c r="M1485" s="22"/>
      <x:c r="N1485" s="22"/>
      <x:c r="O1485" s="28"/>
      <x:c r="P1485" s="22"/>
      <x:c r="Q1485" s="22"/>
      <x:c r="R1485" s="28"/>
      <x:c r="S1485" s="22"/>
      <x:c r="T1485" s="37" t="n">
        <x:f>K1485</x:f>
        <x:v>138</x:v>
      </x:c>
      <x:c r="U1485" s="21" t="str">
        <x:f>IF(J1485="Рассчитано",N1485*(1-O1485/100),"н/д")</x:f>
        <x:v>н/д</x:v>
      </x:c>
      <x:c r="V1485" s="21" t="str">
        <x:f>IF(J1485="Рассчитано",T1485*U1485,"н/д")</x:f>
        <x:v>н/д</x:v>
      </x:c>
      <x:c r="W1485" s="21" t="str">
        <x:f>IF(J1485="Рассчитано",T1485*M1485,"н/д")</x:f>
        <x:v>н/д</x:v>
      </x:c>
      <x:c r="X1485" s="21" t="str">
        <x:f>IF(J1485="Рассчитано",V1485-W1485,"н/д")</x:f>
        <x:v>н/д</x:v>
      </x:c>
      <x:c r="Y1485" s="27" t="str">
        <x:f>IF(J1485="Рассчитано",IF(V1485&gt;0,G1485/V1485,"н/д"),"н/д")</x:f>
        <x:v>н/д</x:v>
      </x:c>
      <x:c r="Z1485" s="21" t="str">
        <x:f>"н/д"</x:f>
        <x:v>н/д</x:v>
      </x:c>
      <x:c r="AA1485" s="21" t="str">
        <x:f>"н/д"</x:f>
        <x:v>н/д</x:v>
      </x:c>
      <x:c r="AB1485" s="21" t="str">
        <x:f>"н/д"</x:f>
        <x:v>н/д</x:v>
      </x:c>
      <x:c r="AC1485" s="21" t="str">
        <x:f>IF(AND(J1485="Рассчитано",T1485&gt;0,R1485&lt;100),(W1485+P1485+Q1485)/(T1485*(1-R1485/100)),"н/д")</x:f>
        <x:v>н/д</x:v>
      </x:c>
      <x:c r="AD1485" s="10" t="str">
        <x:f>IF(ISNUMBER(G1485),IF(G1485&lt;0,"Убыток",IF(G1485=0,"Без прибыли","Прибыль &gt; 0")),"Не оценён")</x:f>
        <x:v>Не оценён</x:v>
      </x:c>
      <x:c r="AE1485" s="13" t="str">
        <x:f>IF(J1485="Рассчитано","Выручка "&amp;TEXT(V1485,"0.00")&amp;" - себестоимость "&amp;TEXT(W1485,"0.00")&amp;" - комиссия "&amp;TEXT(V1485*R1485/100,"0.00")&amp;" - доставка "&amp;TEXT(P1485,"0.00")&amp;" - прочие "&amp;TEXT(Q1485,"0.00")&amp;" = "&amp;TEXT(G1485,"0.00")&amp;" "&amp;L1485,"Введите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5" s="24" t="n">
        <x:v>2.124081782009783</x:v>
      </x:c>
      <x:c r="AG1485" s="37" t="n">
        <x:v>141</x:v>
      </x:c>
      <x:c r="AH1485" s="37" t="n">
        <x:v>0</x:v>
      </x:c>
      <x:c r="AI1485" s="30" t="n">
        <x:v>46287</x:v>
      </x:c>
      <x:c r="AJ1485" s="37" t="n">
        <x:v>5</x:v>
      </x:c>
      <x:c r="AK1485" s="10" t="str">
        <x:v>кратность</x:v>
      </x:c>
      <x:c r="AL1485" s="32" t="n">
        <x:v>5659.966463853463</x:v>
      </x:c>
      <x:c r="AM1485" s="13" t="str">
        <x:v>Нет ежедневных данных доступности. Запас более 180 дней при среднем спросе</x:v>
      </x:c>
      <x:c r="AN1485" s="13" t="str">
        <x:v>Проверить свободный остаток и установить цену для B2B</x:v>
      </x:c>
      <x:c r="AO1485" s="13" t="str">
        <x:v>Остаток 141; прогноз 90 дней 2.12; избыток 138 шт. Будущие поступления не выставляются на продажу.</x:v>
      </x:c>
      <x:c r="AP1485" s="13" t="str">
        <x:v>["daily_stockout_data_missing", "new_order_lead_time_unknown"]</x:v>
      </x:c>
      <x:c r="AQ1485" s="10" t="str">
        <x:v>SE:300200876_</x:v>
      </x:c>
      <x:c r="AR1485" s="24" t="n">
        <x:v>1</x:v>
      </x:c>
      <x:c r="AS1485" s="24" t="n">
        <x:v>0</x:v>
      </x:c>
      <x:c r="AT1485" s="24" t="n">
        <x:v>0</x:v>
      </x:c>
    </x:row>
    <x:row r="1486" ht="64" customHeight="1">
      <x:c r="A1486" s="11" t="str">
        <x:v>Systeme Electric</x:v>
      </x:c>
      <x:c r="B1486" s="33" t="str">
        <x:v>300200877_</x:v>
      </x:c>
      <x:c r="C1486" s="33" t="str">
        <x:v>GAL441002</x:v>
      </x:c>
      <x:c r="D1486" s="12" t="str">
        <x:v>G094 Рамка 2-ная IP44 "ARTGALLERY" карбон GAL441002 (5)</x:v>
      </x:c>
      <x:c r="E1486" s="11" t="str">
        <x:v>шт</x:v>
      </x:c>
      <x:c r="F1486" s="35" t="n">
        <x:f>MAX(0,ROUNDDOWN((AG1486-AF1486)/AR1486+0.000000001,0)*AR1486)</x:f>
        <x:v>34</x:v>
      </x:c>
      <x:c r="G1486" s="20" t="str">
        <x:f>IF(J1486="Рассчитано",V1486*(1-R1486/100)-W1486-P1486-Q1486,"н/д")</x:f>
        <x:v>н/д</x:v>
      </x:c>
      <x:c r="H1486" s="12" t="str">
        <x:v>Средний</x:v>
      </x:c>
      <x:c r="I1486" s="12" t="str">
        <x:v>Высокий</x:v>
      </x:c>
      <x:c r="J1486" s="12" t="str">
        <x:f>IF(L1486="","Укажите валюту",IF(NOT(ISNUMBER(K1486)),"Укажите объём",IF(K1486&lt;=0,"Укажите объём",IF(K1486&gt;F1486,"Объём выше излишка",IF(COUNT(M1486:O1486)&lt;3,"Нужны цены",IF(COUNT(P1486:R1486)&lt;3,"Нужны расходы",IF(OR(M1486&lt;0,N1486&lt;0,O1486&lt;0,O1486&gt;100,P1486&lt;0,Q1486&lt;0,R1486&lt;0,R1486&gt;100),"Проверьте значения","Рассчитано")))))))</x:f>
        <x:v>Нужны цены</x:v>
      </x:c>
      <x:c r="K1486" s="36" t="n">
        <x:v>34</x:v>
      </x:c>
      <x:c r="L1486" s="19" t="str">
        <x:v>KZT</x:v>
      </x:c>
      <x:c r="M1486" s="22"/>
      <x:c r="N1486" s="22"/>
      <x:c r="O1486" s="28"/>
      <x:c r="P1486" s="22"/>
      <x:c r="Q1486" s="22"/>
      <x:c r="R1486" s="28"/>
      <x:c r="S1486" s="22"/>
      <x:c r="T1486" s="35" t="n">
        <x:f>K1486</x:f>
        <x:v>34</x:v>
      </x:c>
      <x:c r="U1486" s="20" t="str">
        <x:f>IF(J1486="Рассчитано",N1486*(1-O1486/100),"н/д")</x:f>
        <x:v>н/д</x:v>
      </x:c>
      <x:c r="V1486" s="20" t="str">
        <x:f>IF(J1486="Рассчитано",T1486*U1486,"н/д")</x:f>
        <x:v>н/д</x:v>
      </x:c>
      <x:c r="W1486" s="20" t="str">
        <x:f>IF(J1486="Рассчитано",T1486*M1486,"н/д")</x:f>
        <x:v>н/д</x:v>
      </x:c>
      <x:c r="X1486" s="20" t="str">
        <x:f>IF(J1486="Рассчитано",V1486-W1486,"н/д")</x:f>
        <x:v>н/д</x:v>
      </x:c>
      <x:c r="Y1486" s="26" t="str">
        <x:f>IF(J1486="Рассчитано",IF(V1486&gt;0,G1486/V1486,"н/д"),"н/д")</x:f>
        <x:v>н/д</x:v>
      </x:c>
      <x:c r="Z1486" s="20" t="str">
        <x:f>"н/д"</x:f>
        <x:v>н/д</x:v>
      </x:c>
      <x:c r="AA1486" s="20" t="str">
        <x:f>"н/д"</x:f>
        <x:v>н/д</x:v>
      </x:c>
      <x:c r="AB1486" s="20" t="str">
        <x:f>"н/д"</x:f>
        <x:v>н/д</x:v>
      </x:c>
      <x:c r="AC1486" s="20" t="str">
        <x:f>IF(AND(J1486="Рассчитано",T1486&gt;0,R1486&lt;100),(W1486+P1486+Q1486)/(T1486*(1-R1486/100)),"н/д")</x:f>
        <x:v>н/д</x:v>
      </x:c>
      <x:c r="AD1486" s="11" t="str">
        <x:f>IF(ISNUMBER(G1486),IF(G1486&lt;0,"Убыток",IF(G1486=0,"Без прибыли","Прибыль &gt; 0")),"Не оценён")</x:f>
        <x:v>Не оценён</x:v>
      </x:c>
      <x:c r="AE1486" s="12" t="str">
        <x:f>IF(J1486="Рассчитано","Выручка "&amp;TEXT(V1486,"0.00")&amp;" - себестоимость "&amp;TEXT(W1486,"0.00")&amp;" - комиссия "&amp;TEXT(V1486*R1486/100,"0.00")&amp;" - доставка "&amp;TEXT(P1486,"0.00")&amp;" - прочие "&amp;TEXT(Q1486,"0.00")&amp;" = "&amp;TEXT(G1486,"0.00")&amp;" "&amp;L1486,"Введите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6" s="23" t="n">
        <x:v>1.3966163022928908</x:v>
      </x:c>
      <x:c r="AG1486" s="35" t="n">
        <x:v>36</x:v>
      </x:c>
      <x:c r="AH1486" s="35" t="n">
        <x:v>0</x:v>
      </x:c>
      <x:c r="AI1486" s="29" t="n">
        <x:v>46287</x:v>
      </x:c>
      <x:c r="AJ1486" s="35" t="n">
        <x:v>5</x:v>
      </x:c>
      <x:c r="AK1486" s="11" t="str">
        <x:v>кратность</x:v>
      </x:c>
      <x:c r="AL1486" s="31" t="n">
        <x:v>2197.816213967024</x:v>
      </x:c>
      <x:c r="AM1486" s="12" t="str">
        <x:v>Нет ежедневных данных доступности. Запас более 180 дней при среднем спросе</x:v>
      </x:c>
      <x:c r="AN1486" s="12" t="str">
        <x:v>Проверить свободный остаток и установить цену для B2B</x:v>
      </x:c>
      <x:c r="AO1486" s="12" t="str">
        <x:v>Остаток 36; прогноз 90 дней 1.40; избыток 34 шт. Будущие поступления не выставляются на продажу.</x:v>
      </x:c>
      <x:c r="AP1486" s="12" t="str">
        <x:v>["daily_stockout_data_missing", "new_order_lead_time_unknown"]</x:v>
      </x:c>
      <x:c r="AQ1486" s="11" t="str">
        <x:v>SE:300200877_</x:v>
      </x:c>
      <x:c r="AR1486" s="23" t="n">
        <x:v>1</x:v>
      </x:c>
      <x:c r="AS1486" s="23" t="n">
        <x:v>0</x:v>
      </x:c>
      <x:c r="AT1486" s="23" t="n">
        <x:v>0</x:v>
      </x:c>
    </x:row>
    <x:row r="1487" ht="64" customHeight="1">
      <x:c r="A1487" s="10" t="str">
        <x:v>Systeme Electric</x:v>
      </x:c>
      <x:c r="B1487" s="34" t="str">
        <x:v>300200878_</x:v>
      </x:c>
      <x:c r="C1487" s="34" t="str">
        <x:v>GAL001015</x:v>
      </x:c>
      <x:c r="D1487" s="13" t="str">
        <x:v>G095 Выкл. 1 кл кнопочный 10А механизм "ARTGALLERY" карбон GAL1015 (5)</x:v>
      </x:c>
      <x:c r="E1487" s="10" t="str">
        <x:v>шт</x:v>
      </x:c>
      <x:c r="F1487" s="37" t="n">
        <x:f>MAX(0,ROUNDDOWN((AG1487-AF1487)/AR1487+0.000000001,0)*AR1487)</x:f>
        <x:v>6</x:v>
      </x:c>
      <x:c r="G1487" s="21" t="str">
        <x:f>IF(J1487="Рассчитано",V1487*(1-R1487/100)-W1487-P1487-Q1487,"н/д")</x:f>
        <x:v>н/д</x:v>
      </x:c>
      <x:c r="H1487" s="13" t="str">
        <x:v>Средний</x:v>
      </x:c>
      <x:c r="I1487" s="13" t="str">
        <x:v>Высокий</x:v>
      </x:c>
      <x:c r="J1487" s="13" t="str">
        <x:f>IF(L1487="","Укажите валюту",IF(NOT(ISNUMBER(K1487)),"Укажите объём",IF(K1487&lt;=0,"Укажите объём",IF(K1487&gt;F1487,"Объём выше излишка",IF(COUNT(M1487:O1487)&lt;3,"Нужны цены",IF(COUNT(P1487:R1487)&lt;3,"Нужны расходы",IF(OR(M1487&lt;0,N1487&lt;0,O1487&lt;0,O1487&gt;100,P1487&lt;0,Q1487&lt;0,R1487&lt;0,R1487&gt;100),"Проверьте значения","Рассчитано")))))))</x:f>
        <x:v>Нужны цены</x:v>
      </x:c>
      <x:c r="K1487" s="36" t="n">
        <x:v>6</x:v>
      </x:c>
      <x:c r="L1487" s="19" t="str">
        <x:v>KZT</x:v>
      </x:c>
      <x:c r="M1487" s="22"/>
      <x:c r="N1487" s="22"/>
      <x:c r="O1487" s="28"/>
      <x:c r="P1487" s="22"/>
      <x:c r="Q1487" s="22"/>
      <x:c r="R1487" s="28"/>
      <x:c r="S1487" s="22"/>
      <x:c r="T1487" s="37" t="n">
        <x:f>K1487</x:f>
        <x:v>6</x:v>
      </x:c>
      <x:c r="U1487" s="21" t="str">
        <x:f>IF(J1487="Рассчитано",N1487*(1-O1487/100),"н/д")</x:f>
        <x:v>н/д</x:v>
      </x:c>
      <x:c r="V1487" s="21" t="str">
        <x:f>IF(J1487="Рассчитано",T1487*U1487,"н/д")</x:f>
        <x:v>н/д</x:v>
      </x:c>
      <x:c r="W1487" s="21" t="str">
        <x:f>IF(J1487="Рассчитано",T1487*M1487,"н/д")</x:f>
        <x:v>н/д</x:v>
      </x:c>
      <x:c r="X1487" s="21" t="str">
        <x:f>IF(J1487="Рассчитано",V1487-W1487,"н/д")</x:f>
        <x:v>н/д</x:v>
      </x:c>
      <x:c r="Y1487" s="27" t="str">
        <x:f>IF(J1487="Рассчитано",IF(V1487&gt;0,G1487/V1487,"н/д"),"н/д")</x:f>
        <x:v>н/д</x:v>
      </x:c>
      <x:c r="Z1487" s="21" t="str">
        <x:f>"н/д"</x:f>
        <x:v>н/д</x:v>
      </x:c>
      <x:c r="AA1487" s="21" t="str">
        <x:f>"н/д"</x:f>
        <x:v>н/д</x:v>
      </x:c>
      <x:c r="AB1487" s="21" t="str">
        <x:f>"н/д"</x:f>
        <x:v>н/д</x:v>
      </x:c>
      <x:c r="AC1487" s="21" t="str">
        <x:f>IF(AND(J1487="Рассчитано",T1487&gt;0,R1487&lt;100),(W1487+P1487+Q1487)/(T1487*(1-R1487/100)),"н/д")</x:f>
        <x:v>н/д</x:v>
      </x:c>
      <x:c r="AD1487" s="10" t="str">
        <x:f>IF(ISNUMBER(G1487),IF(G1487&lt;0,"Убыток",IF(G1487=0,"Без прибыли","Прибыль &gt; 0")),"Не оценён")</x:f>
        <x:v>Не оценён</x:v>
      </x:c>
      <x:c r="AE1487" s="13" t="str">
        <x:f>IF(J1487="Рассчитано","Выручка "&amp;TEXT(V1487,"0.00")&amp;" - себестоимость "&amp;TEXT(W1487,"0.00")&amp;" - комиссия "&amp;TEXT(V1487*R1487/100,"0.00")&amp;" - доставка "&amp;TEXT(P1487,"0.00")&amp;" - прочие "&amp;TEXT(Q1487,"0.00")&amp;" = "&amp;TEXT(G1487,"0.00")&amp;" "&amp;L1487,"Введите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7" s="24" t="n">
        <x:v>3.464281449361461</x:v>
      </x:c>
      <x:c r="AG1487" s="37" t="n">
        <x:v>10</x:v>
      </x:c>
      <x:c r="AH1487" s="37" t="n">
        <x:v>0</x:v>
      </x:c>
      <x:c r="AI1487" s="30" t="n">
        <x:v>46287</x:v>
      </x:c>
      <x:c r="AJ1487" s="37" t="n">
        <x:v>5</x:v>
      </x:c>
      <x:c r="AK1487" s="10" t="str">
        <x:v>кратность</x:v>
      </x:c>
      <x:c r="AL1487" s="32" t="n">
        <x:v>246.1233462710779</x:v>
      </x:c>
      <x:c r="AM1487" s="13" t="str">
        <x:v>Нет ежедневных данных доступности. Запас более 180 дней при среднем спросе</x:v>
      </x:c>
      <x:c r="AN1487" s="13" t="str">
        <x:v>Проверить свободный остаток и установить цену для B2B</x:v>
      </x:c>
      <x:c r="AO1487" s="13" t="str">
        <x:v>Остаток 10; прогноз 90 дней 3.46; избыток 6 шт. Будущие поступления не выставляются на продажу.</x:v>
      </x:c>
      <x:c r="AP1487" s="13" t="str">
        <x:v>["daily_stockout_data_missing", "new_order_lead_time_unknown"]</x:v>
      </x:c>
      <x:c r="AQ1487" s="10" t="str">
        <x:v>SE:300200878_</x:v>
      </x:c>
      <x:c r="AR1487" s="24" t="n">
        <x:v>1</x:v>
      </x:c>
      <x:c r="AS1487" s="24" t="n">
        <x:v>0</x:v>
      </x:c>
      <x:c r="AT1487" s="24" t="n">
        <x:v>0</x:v>
      </x:c>
    </x:row>
    <x:row r="1488" ht="64" customHeight="1">
      <x:c r="A1488" s="11" t="str">
        <x:v>Systeme Electric</x:v>
      </x:c>
      <x:c r="B1488" s="33" t="str">
        <x:v>300200879_</x:v>
      </x:c>
      <x:c r="C1488" s="33" t="str">
        <x:v>GAL001099</x:v>
      </x:c>
      <x:c r="D1488" s="12" t="str">
        <x:v>G096 Вывод кабеля механизм "ARTGALLERY" карбон    GAL1099 (5)</x:v>
      </x:c>
      <x:c r="E1488" s="11" t="str">
        <x:v>шт</x:v>
      </x:c>
      <x:c r="F1488" s="35" t="n">
        <x:f>MAX(0,ROUNDDOWN((AG1488-AF1488)/AR1488+0.000000001,0)*AR1488)</x:f>
        <x:v>40</x:v>
      </x:c>
      <x:c r="G1488" s="20" t="str">
        <x:f>IF(J1488="Рассчитано",V1488*(1-R1488/100)-W1488-P1488-Q1488,"н/д")</x:f>
        <x:v>н/д</x:v>
      </x:c>
      <x:c r="H1488" s="12" t="str">
        <x:v>Средний</x:v>
      </x:c>
      <x:c r="I1488" s="12" t="str">
        <x:v>Высокий</x:v>
      </x:c>
      <x:c r="J1488" s="12" t="str">
        <x:f>IF(L1488="","Укажите валюту",IF(NOT(ISNUMBER(K1488)),"Укажите объём",IF(K1488&lt;=0,"Укажите объём",IF(K1488&gt;F1488,"Объём выше излишка",IF(COUNT(M1488:O1488)&lt;3,"Нужны цены",IF(COUNT(P1488:R1488)&lt;3,"Нужны расходы",IF(OR(M1488&lt;0,N1488&lt;0,O1488&lt;0,O1488&gt;100,P1488&lt;0,Q1488&lt;0,R1488&lt;0,R1488&gt;100),"Проверьте значения","Рассчитано")))))))</x:f>
        <x:v>Нужны цены</x:v>
      </x:c>
      <x:c r="K1488" s="36" t="n">
        <x:v>40</x:v>
      </x:c>
      <x:c r="L1488" s="19" t="str">
        <x:v>KZT</x:v>
      </x:c>
      <x:c r="M1488" s="22"/>
      <x:c r="N1488" s="22"/>
      <x:c r="O1488" s="28"/>
      <x:c r="P1488" s="22"/>
      <x:c r="Q1488" s="22"/>
      <x:c r="R1488" s="28"/>
      <x:c r="S1488" s="22"/>
      <x:c r="T1488" s="35" t="n">
        <x:f>K1488</x:f>
        <x:v>40</x:v>
      </x:c>
      <x:c r="U1488" s="20" t="str">
        <x:f>IF(J1488="Рассчитано",N1488*(1-O1488/100),"н/д")</x:f>
        <x:v>н/д</x:v>
      </x:c>
      <x:c r="V1488" s="20" t="str">
        <x:f>IF(J1488="Рассчитано",T1488*U1488,"н/д")</x:f>
        <x:v>н/д</x:v>
      </x:c>
      <x:c r="W1488" s="20" t="str">
        <x:f>IF(J1488="Рассчитано",T1488*M1488,"н/д")</x:f>
        <x:v>н/д</x:v>
      </x:c>
      <x:c r="X1488" s="20" t="str">
        <x:f>IF(J1488="Рассчитано",V1488-W1488,"н/д")</x:f>
        <x:v>н/д</x:v>
      </x:c>
      <x:c r="Y1488" s="26" t="str">
        <x:f>IF(J1488="Рассчитано",IF(V1488&gt;0,G1488/V1488,"н/д"),"н/д")</x:f>
        <x:v>н/д</x:v>
      </x:c>
      <x:c r="Z1488" s="20" t="str">
        <x:f>"н/д"</x:f>
        <x:v>н/д</x:v>
      </x:c>
      <x:c r="AA1488" s="20" t="str">
        <x:f>"н/д"</x:f>
        <x:v>н/д</x:v>
      </x:c>
      <x:c r="AB1488" s="20" t="str">
        <x:f>"н/д"</x:f>
        <x:v>н/д</x:v>
      </x:c>
      <x:c r="AC1488" s="20" t="str">
        <x:f>IF(AND(J1488="Рассчитано",T1488&gt;0,R1488&lt;100),(W1488+P1488+Q1488)/(T1488*(1-R1488/100)),"н/д")</x:f>
        <x:v>н/д</x:v>
      </x:c>
      <x:c r="AD1488" s="11" t="str">
        <x:f>IF(ISNUMBER(G1488),IF(G1488&lt;0,"Убыток",IF(G1488=0,"Без прибыли","Прибыль &gt; 0")),"Не оценён")</x:f>
        <x:v>Не оценён</x:v>
      </x:c>
      <x:c r="AE1488" s="12" t="str">
        <x:f>IF(J1488="Рассчитано","Выручка "&amp;TEXT(V1488,"0.00")&amp;" - себестоимость "&amp;TEXT(W1488,"0.00")&amp;" - комиссия "&amp;TEXT(V1488*R1488/100,"0.00")&amp;" - доставка "&amp;TEXT(P1488,"0.00")&amp;" - прочие "&amp;TEXT(Q1488,"0.00")&amp;" = "&amp;TEXT(G1488,"0.00")&amp;" "&amp;L1488,"Введите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8" s="23" t="n">
        <x:v>15.100488855401299</x:v>
      </x:c>
      <x:c r="AG1488" s="35" t="n">
        <x:v>56</x:v>
      </x:c>
      <x:c r="AH1488" s="35" t="n">
        <x:v>0</x:v>
      </x:c>
      <x:c r="AI1488" s="29" t="n">
        <x:v>46287</x:v>
      </x:c>
      <x:c r="AJ1488" s="35" t="n">
        <x:v>5</x:v>
      </x:c>
      <x:c r="AK1488" s="11" t="str">
        <x:v>кратность</x:v>
      </x:c>
      <x:c r="AL1488" s="31" t="n">
        <x:v>316.2008253557578</x:v>
      </x:c>
      <x:c r="AM1488" s="12" t="str">
        <x:v>Нет ежедневных данных доступности. Запас более 180 дней при среднем спросе</x:v>
      </x:c>
      <x:c r="AN1488" s="12" t="str">
        <x:v>Проверить свободный остаток и установить цену для B2B</x:v>
      </x:c>
      <x:c r="AO1488" s="12" t="str">
        <x:v>Остаток 56; прогноз 90 дней 15.10; избыток 40 шт. Будущие поступления не выставляются на продажу.</x:v>
      </x:c>
      <x:c r="AP1488" s="12" t="str">
        <x:v>["daily_stockout_data_missing", "negative_net_sales_clipped_for_forecast", "new_order_lead_time_unknown"]</x:v>
      </x:c>
      <x:c r="AQ1488" s="11" t="str">
        <x:v>SE:300200879_</x:v>
      </x:c>
      <x:c r="AR1488" s="23" t="n">
        <x:v>1</x:v>
      </x:c>
      <x:c r="AS1488" s="23" t="n">
        <x:v>0</x:v>
      </x:c>
      <x:c r="AT1488" s="23" t="n">
        <x:v>0</x:v>
      </x:c>
    </x:row>
    <x:row r="1489" ht="64" customHeight="1">
      <x:c r="A1489" s="10" t="str">
        <x:v>Systeme Electric</x:v>
      </x:c>
      <x:c r="B1489" s="34" t="str">
        <x:v>300200880_</x:v>
      </x:c>
      <x:c r="C1489" s="34" t="str">
        <x:v>GAL001089</x:v>
      </x:c>
      <x:c r="D1489" s="13" t="str">
        <x:v>G097 Роз. 2-ная TV комп. RJ45 5Е "ARTGALLERY" карбон GAL1089 (5)</x:v>
      </x:c>
      <x:c r="E1489" s="10" t="str">
        <x:v>шт</x:v>
      </x:c>
      <x:c r="F1489" s="37" t="n">
        <x:f>MAX(0,ROUNDDOWN((AG1489-AF1489)/AR1489+0.000000001,0)*AR1489)</x:f>
        <x:v>71</x:v>
      </x:c>
      <x:c r="G1489" s="21" t="str">
        <x:f>IF(J1489="Рассчитано",V1489*(1-R1489/100)-W1489-P1489-Q1489,"н/д")</x:f>
        <x:v>н/д</x:v>
      </x:c>
      <x:c r="H1489" s="13" t="str">
        <x:v>Средний</x:v>
      </x:c>
      <x:c r="I1489" s="13" t="str">
        <x:v>Высокий</x:v>
      </x:c>
      <x:c r="J1489" s="13" t="str">
        <x:f>IF(L1489="","Укажите валюту",IF(NOT(ISNUMBER(K1489)),"Укажите объём",IF(K1489&lt;=0,"Укажите объём",IF(K1489&gt;F1489,"Объём выше излишка",IF(COUNT(M1489:O1489)&lt;3,"Нужны цены",IF(COUNT(P1489:R1489)&lt;3,"Нужны расходы",IF(OR(M1489&lt;0,N1489&lt;0,O1489&lt;0,O1489&gt;100,P1489&lt;0,Q1489&lt;0,R1489&lt;0,R1489&gt;100),"Проверьте значения","Рассчитано")))))))</x:f>
        <x:v>Нужны цены</x:v>
      </x:c>
      <x:c r="K1489" s="36" t="n">
        <x:v>71</x:v>
      </x:c>
      <x:c r="L1489" s="19" t="str">
        <x:v>KZT</x:v>
      </x:c>
      <x:c r="M1489" s="22"/>
      <x:c r="N1489" s="22"/>
      <x:c r="O1489" s="28"/>
      <x:c r="P1489" s="22"/>
      <x:c r="Q1489" s="22"/>
      <x:c r="R1489" s="28"/>
      <x:c r="S1489" s="22"/>
      <x:c r="T1489" s="37" t="n">
        <x:f>K1489</x:f>
        <x:v>71</x:v>
      </x:c>
      <x:c r="U1489" s="21" t="str">
        <x:f>IF(J1489="Рассчитано",N1489*(1-O1489/100),"н/д")</x:f>
        <x:v>н/д</x:v>
      </x:c>
      <x:c r="V1489" s="21" t="str">
        <x:f>IF(J1489="Рассчитано",T1489*U1489,"н/д")</x:f>
        <x:v>н/д</x:v>
      </x:c>
      <x:c r="W1489" s="21" t="str">
        <x:f>IF(J1489="Рассчитано",T1489*M1489,"н/д")</x:f>
        <x:v>н/д</x:v>
      </x:c>
      <x:c r="X1489" s="21" t="str">
        <x:f>IF(J1489="Рассчитано",V1489-W1489,"н/д")</x:f>
        <x:v>н/д</x:v>
      </x:c>
      <x:c r="Y1489" s="27" t="str">
        <x:f>IF(J1489="Рассчитано",IF(V1489&gt;0,G1489/V1489,"н/д"),"н/д")</x:f>
        <x:v>н/д</x:v>
      </x:c>
      <x:c r="Z1489" s="21" t="str">
        <x:f>"н/д"</x:f>
        <x:v>н/д</x:v>
      </x:c>
      <x:c r="AA1489" s="21" t="str">
        <x:f>"н/д"</x:f>
        <x:v>н/д</x:v>
      </x:c>
      <x:c r="AB1489" s="21" t="str">
        <x:f>"н/д"</x:f>
        <x:v>н/д</x:v>
      </x:c>
      <x:c r="AC1489" s="21" t="str">
        <x:f>IF(AND(J1489="Рассчитано",T1489&gt;0,R1489&lt;100),(W1489+P1489+Q1489)/(T1489*(1-R1489/100)),"н/д")</x:f>
        <x:v>н/д</x:v>
      </x:c>
      <x:c r="AD1489" s="10" t="str">
        <x:f>IF(ISNUMBER(G1489),IF(G1489&lt;0,"Убыток",IF(G1489=0,"Без прибыли","Прибыль &gt; 0")),"Не оценён")</x:f>
        <x:v>Не оценён</x:v>
      </x:c>
      <x:c r="AE1489" s="13" t="str">
        <x:f>IF(J1489="Рассчитано","Выручка "&amp;TEXT(V1489,"0.00")&amp;" - себестоимость "&amp;TEXT(W1489,"0.00")&amp;" - комиссия "&amp;TEXT(V1489*R1489/100,"0.00")&amp;" - доставка "&amp;TEXT(P1489,"0.00")&amp;" - прочие "&amp;TEXT(Q1489,"0.00")&amp;" = "&amp;TEXT(G1489,"0.00")&amp;" "&amp;L1489,"Введите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9" s="24" t="n">
        <x:v>0.5484306334526337</x:v>
      </x:c>
      <x:c r="AG1489" s="37" t="n">
        <x:v>72</x:v>
      </x:c>
      <x:c r="AH1489" s="37" t="n">
        <x:v>0</x:v>
      </x:c>
      <x:c r="AI1489" s="30" t="n">
        <x:v>46287</x:v>
      </x:c>
      <x:c r="AJ1489" s="37" t="n">
        <x:v>5</x:v>
      </x:c>
      <x:c r="AK1489" s="10" t="str">
        <x:v>кратность</x:v>
      </x:c>
      <x:c r="AL1489" s="32" t="n">
        <x:v>11193.780094105903</x:v>
      </x:c>
      <x:c r="AM1489" s="13" t="str">
        <x:v>Нет ежедневных данных доступности. Нет положительных чистых продаж за 12 месяцев</x:v>
      </x:c>
      <x:c r="AN1489" s="13" t="str">
        <x:v>Проверить свободный остаток и установить цену для B2B</x:v>
      </x:c>
      <x:c r="AO1489" s="13" t="str">
        <x:v>Остаток 72; прогноз 90 дней 0.55; избыток 71 шт. Будущие поступления не выставляются на продажу.</x:v>
      </x:c>
      <x:c r="AP1489" s="13" t="str">
        <x:v>["daily_stockout_data_missing", "negative_net_sales_clipped_for_forecast", "new_order_lead_time_unknown"]</x:v>
      </x:c>
      <x:c r="AQ1489" s="10" t="str">
        <x:v>SE:300200880_</x:v>
      </x:c>
      <x:c r="AR1489" s="24" t="n">
        <x:v>1</x:v>
      </x:c>
      <x:c r="AS1489" s="24" t="n">
        <x:v>0</x:v>
      </x:c>
      <x:c r="AT1489" s="24" t="n">
        <x:v>0</x:v>
      </x:c>
    </x:row>
    <x:row r="1490" ht="64" customHeight="1">
      <x:c r="A1490" s="11" t="str">
        <x:v>Systeme Electric</x:v>
      </x:c>
      <x:c r="B1490" s="33" t="str">
        <x:v>300200882_</x:v>
      </x:c>
      <x:c r="C1490" s="33" t="str">
        <x:v>GAL001601</x:v>
      </x:c>
      <x:c r="D1490" s="12" t="str">
        <x:v>G099 Рамка 1-ная "ARTGALLERY" золото GAL1601 (5)</x:v>
      </x:c>
      <x:c r="E1490" s="11" t="str">
        <x:v>шт</x:v>
      </x:c>
      <x:c r="F1490" s="35" t="n">
        <x:f>MAX(0,ROUNDDOWN((AG1490-AF1490)/AR1490+0.000000001,0)*AR1490)</x:f>
        <x:v>7</x:v>
      </x:c>
      <x:c r="G1490" s="20" t="str">
        <x:f>IF(J1490="Рассчитано",V1490*(1-R1490/100)-W1490-P1490-Q1490,"н/д")</x:f>
        <x:v>н/д</x:v>
      </x:c>
      <x:c r="H1490" s="12" t="str">
        <x:v>Средний</x:v>
      </x:c>
      <x:c r="I1490" s="12" t="str">
        <x:v>Средний</x:v>
      </x:c>
      <x:c r="J1490" s="12" t="str">
        <x:f>IF(L1490="","Укажите валюту",IF(NOT(ISNUMBER(K1490)),"Укажите объём",IF(K1490&lt;=0,"Укажите объём",IF(K1490&gt;F1490,"Объём выше излишка",IF(COUNT(M1490:O1490)&lt;3,"Нужны цены",IF(COUNT(P1490:R1490)&lt;3,"Нужны расходы",IF(OR(M1490&lt;0,N1490&lt;0,O1490&lt;0,O1490&gt;100,P1490&lt;0,Q1490&lt;0,R1490&lt;0,R1490&gt;100),"Проверьте значения","Рассчитано")))))))</x:f>
        <x:v>Нужны цены</x:v>
      </x:c>
      <x:c r="K1490" s="36" t="n">
        <x:v>7</x:v>
      </x:c>
      <x:c r="L1490" s="19" t="str">
        <x:v>KZT</x:v>
      </x:c>
      <x:c r="M1490" s="22"/>
      <x:c r="N1490" s="22"/>
      <x:c r="O1490" s="28"/>
      <x:c r="P1490" s="22"/>
      <x:c r="Q1490" s="22"/>
      <x:c r="R1490" s="28"/>
      <x:c r="S1490" s="22"/>
      <x:c r="T1490" s="35" t="n">
        <x:f>K1490</x:f>
        <x:v>7</x:v>
      </x:c>
      <x:c r="U1490" s="20" t="str">
        <x:f>IF(J1490="Рассчитано",N1490*(1-O1490/100),"н/д")</x:f>
        <x:v>н/д</x:v>
      </x:c>
      <x:c r="V1490" s="20" t="str">
        <x:f>IF(J1490="Рассчитано",T1490*U1490,"н/д")</x:f>
        <x:v>н/д</x:v>
      </x:c>
      <x:c r="W1490" s="20" t="str">
        <x:f>IF(J1490="Рассчитано",T1490*M1490,"н/д")</x:f>
        <x:v>н/д</x:v>
      </x:c>
      <x:c r="X1490" s="20" t="str">
        <x:f>IF(J1490="Рассчитано",V1490-W1490,"н/д")</x:f>
        <x:v>н/д</x:v>
      </x:c>
      <x:c r="Y1490" s="26" t="str">
        <x:f>IF(J1490="Рассчитано",IF(V1490&gt;0,G1490/V1490,"н/д"),"н/д")</x:f>
        <x:v>н/д</x:v>
      </x:c>
      <x:c r="Z1490" s="20" t="str">
        <x:f>"н/д"</x:f>
        <x:v>н/д</x:v>
      </x:c>
      <x:c r="AA1490" s="20" t="str">
        <x:f>"н/д"</x:f>
        <x:v>н/д</x:v>
      </x:c>
      <x:c r="AB1490" s="20" t="str">
        <x:f>"н/д"</x:f>
        <x:v>н/д</x:v>
      </x:c>
      <x:c r="AC1490" s="20" t="str">
        <x:f>IF(AND(J1490="Рассчитано",T1490&gt;0,R1490&lt;100),(W1490+P1490+Q1490)/(T1490*(1-R1490/100)),"н/д")</x:f>
        <x:v>н/д</x:v>
      </x:c>
      <x:c r="AD1490" s="11" t="str">
        <x:f>IF(ISNUMBER(G1490),IF(G1490&lt;0,"Убыток",IF(G1490=0,"Без прибыли","Прибыль &gt; 0")),"Не оценён")</x:f>
        <x:v>Не оценён</x:v>
      </x:c>
      <x:c r="AE1490" s="12" t="str">
        <x:f>IF(J1490="Рассчитано","Выручка "&amp;TEXT(V1490,"0.00")&amp;" - себестоимость "&amp;TEXT(W1490,"0.00")&amp;" - комиссия "&amp;TEXT(V1490*R1490/100,"0.00")&amp;" - доставка "&amp;TEXT(P1490,"0.00")&amp;" - прочие "&amp;TEXT(Q1490,"0.00")&amp;" = "&amp;TEXT(G1490,"0.00")&amp;" "&amp;L1490,"Введите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0" s="23" t="n">
        <x:v>32.45588905230997</x:v>
      </x:c>
      <x:c r="AG1490" s="35" t="n">
        <x:v>40</x:v>
      </x:c>
      <x:c r="AH1490" s="35" t="n">
        <x:v>0</x:v>
      </x:c>
      <x:c r="AI1490" s="29" t="n">
        <x:v>46287</x:v>
      </x:c>
      <x:c r="AJ1490" s="35" t="n">
        <x:v>10</x:v>
      </x:c>
      <x:c r="AK1490" s="11" t="str">
        <x:v>кратность</x:v>
      </x:c>
      <x:c r="AL1490" s="31" t="n">
        <x:v>105.08299943562682</x:v>
      </x:c>
      <x:c r="AM1490" s="12" t="str">
        <x:v>Нет ежедневных данных доступности. Запас выше прогноза на 90 дней</x:v>
      </x:c>
      <x:c r="AN1490" s="12" t="str">
        <x:v>Проверить свободный остаток и установить цену для B2B</x:v>
      </x:c>
      <x:c r="AO1490" s="12" t="str">
        <x:v>Остаток 40; прогноз 90 дней 32.46; избыток 7 шт. Будущие поступления не выставляются на продажу.</x:v>
      </x:c>
      <x:c r="AP1490" s="12" t="str">
        <x:v>["daily_stockout_data_missing", "negative_net_sales_clipped_for_forecast", "new_order_lead_time_unknown"]</x:v>
      </x:c>
      <x:c r="AQ1490" s="11" t="str">
        <x:v>SE:300200882_</x:v>
      </x:c>
      <x:c r="AR1490" s="23" t="n">
        <x:v>1</x:v>
      </x:c>
      <x:c r="AS1490" s="23" t="n">
        <x:v>0</x:v>
      </x:c>
      <x:c r="AT1490" s="23" t="n">
        <x:v>0</x:v>
      </x:c>
    </x:row>
    <x:row r="1491" ht="64" customHeight="1">
      <x:c r="A1491" s="10" t="str">
        <x:v>Systeme Electric</x:v>
      </x:c>
      <x:c r="B1491" s="34" t="str">
        <x:v>300200883_</x:v>
      </x:c>
      <x:c r="C1491" s="34" t="str">
        <x:v>GAL001602</x:v>
      </x:c>
      <x:c r="D1491" s="13" t="str">
        <x:v>G100 Рамка 2-ная "ARTGALLERY" золото GAL1602 (5)</x:v>
      </x:c>
      <x:c r="E1491" s="10" t="str">
        <x:v>шт</x:v>
      </x:c>
      <x:c r="F1491" s="37" t="n">
        <x:f>MAX(0,ROUNDDOWN((AG1491-AF1491)/AR1491+0.000000001,0)*AR1491)</x:f>
        <x:v>73</x:v>
      </x:c>
      <x:c r="G1491" s="21" t="str">
        <x:f>IF(J1491="Рассчитано",V1491*(1-R1491/100)-W1491-P1491-Q1491,"н/д")</x:f>
        <x:v>н/д</x:v>
      </x:c>
      <x:c r="H1491" s="13" t="str">
        <x:v>Средний</x:v>
      </x:c>
      <x:c r="I1491" s="13" t="str">
        <x:v>Высокий</x:v>
      </x:c>
      <x:c r="J1491" s="13" t="str">
        <x:f>IF(L1491="","Укажите валюту",IF(NOT(ISNUMBER(K1491)),"Укажите объём",IF(K1491&lt;=0,"Укажите объём",IF(K1491&gt;F1491,"Объём выше излишка",IF(COUNT(M1491:O1491)&lt;3,"Нужны цены",IF(COUNT(P1491:R1491)&lt;3,"Нужны расходы",IF(OR(M1491&lt;0,N1491&lt;0,O1491&lt;0,O1491&gt;100,P1491&lt;0,Q1491&lt;0,R1491&lt;0,R1491&gt;100),"Проверьте значения","Рассчитано")))))))</x:f>
        <x:v>Нужны цены</x:v>
      </x:c>
      <x:c r="K1491" s="36" t="n">
        <x:v>73</x:v>
      </x:c>
      <x:c r="L1491" s="19" t="str">
        <x:v>KZT</x:v>
      </x:c>
      <x:c r="M1491" s="22"/>
      <x:c r="N1491" s="22"/>
      <x:c r="O1491" s="28"/>
      <x:c r="P1491" s="22"/>
      <x:c r="Q1491" s="22"/>
      <x:c r="R1491" s="28"/>
      <x:c r="S1491" s="22"/>
      <x:c r="T1491" s="37" t="n">
        <x:f>K1491</x:f>
        <x:v>73</x:v>
      </x:c>
      <x:c r="U1491" s="21" t="str">
        <x:f>IF(J1491="Рассчитано",N1491*(1-O1491/100),"н/д")</x:f>
        <x:v>н/д</x:v>
      </x:c>
      <x:c r="V1491" s="21" t="str">
        <x:f>IF(J1491="Рассчитано",T1491*U1491,"н/д")</x:f>
        <x:v>н/д</x:v>
      </x:c>
      <x:c r="W1491" s="21" t="str">
        <x:f>IF(J1491="Рассчитано",T1491*M1491,"н/д")</x:f>
        <x:v>н/д</x:v>
      </x:c>
      <x:c r="X1491" s="21" t="str">
        <x:f>IF(J1491="Рассчитано",V1491-W1491,"н/д")</x:f>
        <x:v>н/д</x:v>
      </x:c>
      <x:c r="Y1491" s="27" t="str">
        <x:f>IF(J1491="Рассчитано",IF(V1491&gt;0,G1491/V1491,"н/д"),"н/д")</x:f>
        <x:v>н/д</x:v>
      </x:c>
      <x:c r="Z1491" s="21" t="str">
        <x:f>"н/д"</x:f>
        <x:v>н/д</x:v>
      </x:c>
      <x:c r="AA1491" s="21" t="str">
        <x:f>"н/д"</x:f>
        <x:v>н/д</x:v>
      </x:c>
      <x:c r="AB1491" s="21" t="str">
        <x:f>"н/д"</x:f>
        <x:v>н/д</x:v>
      </x:c>
      <x:c r="AC1491" s="21" t="str">
        <x:f>IF(AND(J1491="Рассчитано",T1491&gt;0,R1491&lt;100),(W1491+P1491+Q1491)/(T1491*(1-R1491/100)),"н/д")</x:f>
        <x:v>н/д</x:v>
      </x:c>
      <x:c r="AD1491" s="10" t="str">
        <x:f>IF(ISNUMBER(G1491),IF(G1491&lt;0,"Убыток",IF(G1491=0,"Без прибыли","Прибыль &gt; 0")),"Не оценён")</x:f>
        <x:v>Не оценён</x:v>
      </x:c>
      <x:c r="AE1491" s="13" t="str">
        <x:f>IF(J1491="Рассчитано","Выручка "&amp;TEXT(V1491,"0.00")&amp;" - себестоимость "&amp;TEXT(W1491,"0.00")&amp;" - комиссия "&amp;TEXT(V1491*R1491/100,"0.00")&amp;" - доставка "&amp;TEXT(P1491,"0.00")&amp;" - прочие "&amp;TEXT(Q1491,"0.00")&amp;" = "&amp;TEXT(G1491,"0.00")&amp;" "&amp;L1491,"Введите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1" s="24" t="n">
        <x:v>8.618463516408942</x:v>
      </x:c>
      <x:c r="AG1491" s="37" t="n">
        <x:v>82</x:v>
      </x:c>
      <x:c r="AH1491" s="37" t="n">
        <x:v>0</x:v>
      </x:c>
      <x:c r="AI1491" s="30" t="n">
        <x:v>46287</x:v>
      </x:c>
      <x:c r="AJ1491" s="37" t="n">
        <x:v>5</x:v>
      </x:c>
      <x:c r="AK1491" s="10" t="str">
        <x:v>кратность</x:v>
      </x:c>
      <x:c r="AL1491" s="32" t="n">
        <x:v>811.2411727647324</x:v>
      </x:c>
      <x:c r="AM1491" s="13" t="str">
        <x:v>Нет ежедневных данных доступности. Запас более 180 дней при среднем спросе</x:v>
      </x:c>
      <x:c r="AN1491" s="13" t="str">
        <x:v>Проверить свободный остаток и установить цену для B2B</x:v>
      </x:c>
      <x:c r="AO1491" s="13" t="str">
        <x:v>Остаток 82; прогноз 90 дней 8.62; избыток 73 шт. Будущие поступления не выставляются на продажу.</x:v>
      </x:c>
      <x:c r="AP1491" s="13" t="str">
        <x:v>["daily_stockout_data_missing", "negative_net_sales_clipped_for_forecast", "new_order_lead_time_unknown"]</x:v>
      </x:c>
      <x:c r="AQ1491" s="10" t="str">
        <x:v>SE:300200883_</x:v>
      </x:c>
      <x:c r="AR1491" s="24" t="n">
        <x:v>1</x:v>
      </x:c>
      <x:c r="AS1491" s="24" t="n">
        <x:v>0</x:v>
      </x:c>
      <x:c r="AT1491" s="24" t="n">
        <x:v>0</x:v>
      </x:c>
    </x:row>
    <x:row r="1492" ht="64" customHeight="1">
      <x:c r="A1492" s="11" t="str">
        <x:v>Systeme Electric</x:v>
      </x:c>
      <x:c r="B1492" s="33" t="str">
        <x:v>300200884_</x:v>
      </x:c>
      <x:c r="C1492" s="33" t="str">
        <x:v>GAL001603</x:v>
      </x:c>
      <x:c r="D1492" s="12" t="str">
        <x:v>G101 Рамка 3-ная "ARTGALLERY" золото GAL1603 (5)</x:v>
      </x:c>
      <x:c r="E1492" s="11" t="str">
        <x:v>шт</x:v>
      </x:c>
      <x:c r="F1492" s="35" t="n">
        <x:f>MAX(0,ROUNDDOWN((AG1492-AF1492)/AR1492+0.000000001,0)*AR1492)</x:f>
        <x:v>29</x:v>
      </x:c>
      <x:c r="G1492" s="20" t="str">
        <x:f>IF(J1492="Рассчитано",V1492*(1-R1492/100)-W1492-P1492-Q1492,"н/д")</x:f>
        <x:v>н/д</x:v>
      </x:c>
      <x:c r="H1492" s="12" t="str">
        <x:v>Средний</x:v>
      </x:c>
      <x:c r="I1492" s="12" t="str">
        <x:v>Высокий</x:v>
      </x:c>
      <x:c r="J1492" s="12" t="str">
        <x:f>IF(L1492="","Укажите валюту",IF(NOT(ISNUMBER(K1492)),"Укажите объём",IF(K1492&lt;=0,"Укажите объём",IF(K1492&gt;F1492,"Объём выше излишка",IF(COUNT(M1492:O1492)&lt;3,"Нужны цены",IF(COUNT(P1492:R1492)&lt;3,"Нужны расходы",IF(OR(M1492&lt;0,N1492&lt;0,O1492&lt;0,O1492&gt;100,P1492&lt;0,Q1492&lt;0,R1492&lt;0,R1492&gt;100),"Проверьте значения","Рассчитано")))))))</x:f>
        <x:v>Нужны цены</x:v>
      </x:c>
      <x:c r="K1492" s="36" t="n">
        <x:v>29</x:v>
      </x:c>
      <x:c r="L1492" s="19" t="str">
        <x:v>KZT</x:v>
      </x:c>
      <x:c r="M1492" s="22"/>
      <x:c r="N1492" s="22"/>
      <x:c r="O1492" s="28"/>
      <x:c r="P1492" s="22"/>
      <x:c r="Q1492" s="22"/>
      <x:c r="R1492" s="28"/>
      <x:c r="S1492" s="22"/>
      <x:c r="T1492" s="35" t="n">
        <x:f>K1492</x:f>
        <x:v>29</x:v>
      </x:c>
      <x:c r="U1492" s="20" t="str">
        <x:f>IF(J1492="Рассчитано",N1492*(1-O1492/100),"н/д")</x:f>
        <x:v>н/д</x:v>
      </x:c>
      <x:c r="V1492" s="20" t="str">
        <x:f>IF(J1492="Рассчитано",T1492*U1492,"н/д")</x:f>
        <x:v>н/д</x:v>
      </x:c>
      <x:c r="W1492" s="20" t="str">
        <x:f>IF(J1492="Рассчитано",T1492*M1492,"н/д")</x:f>
        <x:v>н/д</x:v>
      </x:c>
      <x:c r="X1492" s="20" t="str">
        <x:f>IF(J1492="Рассчитано",V1492-W1492,"н/д")</x:f>
        <x:v>н/д</x:v>
      </x:c>
      <x:c r="Y1492" s="26" t="str">
        <x:f>IF(J1492="Рассчитано",IF(V1492&gt;0,G1492/V1492,"н/д"),"н/д")</x:f>
        <x:v>н/д</x:v>
      </x:c>
      <x:c r="Z1492" s="20" t="str">
        <x:f>"н/д"</x:f>
        <x:v>н/д</x:v>
      </x:c>
      <x:c r="AA1492" s="20" t="str">
        <x:f>"н/д"</x:f>
        <x:v>н/д</x:v>
      </x:c>
      <x:c r="AB1492" s="20" t="str">
        <x:f>"н/д"</x:f>
        <x:v>н/д</x:v>
      </x:c>
      <x:c r="AC1492" s="20" t="str">
        <x:f>IF(AND(J1492="Рассчитано",T1492&gt;0,R1492&lt;100),(W1492+P1492+Q1492)/(T1492*(1-R1492/100)),"н/д")</x:f>
        <x:v>н/д</x:v>
      </x:c>
      <x:c r="AD1492" s="11" t="str">
        <x:f>IF(ISNUMBER(G1492),IF(G1492&lt;0,"Убыток",IF(G1492=0,"Без прибыли","Прибыль &gt; 0")),"Не оценён")</x:f>
        <x:v>Не оценён</x:v>
      </x:c>
      <x:c r="AE1492" s="12" t="str">
        <x:f>IF(J1492="Рассчитано","Выручка "&amp;TEXT(V1492,"0.00")&amp;" - себестоимость "&amp;TEXT(W1492,"0.00")&amp;" - комиссия "&amp;TEXT(V1492*R1492/100,"0.00")&amp;" - доставка "&amp;TEXT(P1492,"0.00")&amp;" - прочие "&amp;TEXT(Q1492,"0.00")&amp;" = "&amp;TEXT(G1492,"0.00")&amp;" "&amp;L1492,"Введите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2" s="23" t="n">
        <x:v>2.5141485686828684</x:v>
      </x:c>
      <x:c r="AG1492" s="35" t="n">
        <x:v>32</x:v>
      </x:c>
      <x:c r="AH1492" s="35" t="n">
        <x:v>0</x:v>
      </x:c>
      <x:c r="AI1492" s="29" t="n">
        <x:v>46287</x:v>
      </x:c>
      <x:c r="AJ1492" s="35" t="n">
        <x:v>5</x:v>
      </x:c>
      <x:c r="AK1492" s="11" t="str">
        <x:v>кратность</x:v>
      </x:c>
      <x:c r="AL1492" s="31" t="n">
        <x:v>1085.2380685691637</x:v>
      </x:c>
      <x:c r="AM1492" s="12" t="str">
        <x:v>Нет ежедневных данных доступности. Нет положительных чистых продаж за 12 месяцев</x:v>
      </x:c>
      <x:c r="AN1492" s="12" t="str">
        <x:v>Проверить свободный остаток и установить цену для B2B</x:v>
      </x:c>
      <x:c r="AO1492" s="12" t="str">
        <x:v>Остаток 32; прогноз 90 дней 2.51; избыток 29 шт. Будущие поступления не выставляются на продажу.</x:v>
      </x:c>
      <x:c r="AP1492" s="12" t="str">
        <x:v>["daily_stockout_data_missing", "negative_net_sales_clipped_for_forecast", "new_order_lead_time_unknown"]</x:v>
      </x:c>
      <x:c r="AQ1492" s="11" t="str">
        <x:v>SE:300200884_</x:v>
      </x:c>
      <x:c r="AR1492" s="23" t="n">
        <x:v>1</x:v>
      </x:c>
      <x:c r="AS1492" s="23" t="n">
        <x:v>0</x:v>
      </x:c>
      <x:c r="AT1492" s="23" t="n">
        <x:v>0</x:v>
      </x:c>
    </x:row>
    <x:row r="1493" ht="64" customHeight="1">
      <x:c r="A1493" s="10" t="str">
        <x:v>Systeme Electric</x:v>
      </x:c>
      <x:c r="B1493" s="34" t="str">
        <x:v>300200885_</x:v>
      </x:c>
      <x:c r="C1493" s="34" t="str">
        <x:v>GAL001604</x:v>
      </x:c>
      <x:c r="D1493" s="13" t="str">
        <x:v>G102 Рамка 4-ная "ARTGALLERY" золото GAL1604 (5)</x:v>
      </x:c>
      <x:c r="E1493" s="10" t="str">
        <x:v>шт</x:v>
      </x:c>
      <x:c r="F1493" s="37" t="n">
        <x:f>MAX(0,ROUNDDOWN((AG1493-AF1493)/AR1493+0.000000001,0)*AR1493)</x:f>
        <x:v>39</x:v>
      </x:c>
      <x:c r="G1493" s="21" t="str">
        <x:f>IF(J1493="Рассчитано",V1493*(1-R1493/100)-W1493-P1493-Q1493,"н/д")</x:f>
        <x:v>н/д</x:v>
      </x:c>
      <x:c r="H1493" s="13" t="str">
        <x:v>Средний</x:v>
      </x:c>
      <x:c r="I1493" s="13" t="str">
        <x:v>Высокий</x:v>
      </x:c>
      <x:c r="J1493" s="13" t="str">
        <x:f>IF(L1493="","Укажите валюту",IF(NOT(ISNUMBER(K1493)),"Укажите объём",IF(K1493&lt;=0,"Укажите объём",IF(K1493&gt;F1493,"Объём выше излишка",IF(COUNT(M1493:O1493)&lt;3,"Нужны цены",IF(COUNT(P1493:R1493)&lt;3,"Нужны расходы",IF(OR(M1493&lt;0,N1493&lt;0,O1493&lt;0,O1493&gt;100,P1493&lt;0,Q1493&lt;0,R1493&lt;0,R1493&gt;100),"Проверьте значения","Рассчитано")))))))</x:f>
        <x:v>Нужны цены</x:v>
      </x:c>
      <x:c r="K1493" s="36" t="n">
        <x:v>39</x:v>
      </x:c>
      <x:c r="L1493" s="19" t="str">
        <x:v>KZT</x:v>
      </x:c>
      <x:c r="M1493" s="22"/>
      <x:c r="N1493" s="22"/>
      <x:c r="O1493" s="28"/>
      <x:c r="P1493" s="22"/>
      <x:c r="Q1493" s="22"/>
      <x:c r="R1493" s="28"/>
      <x:c r="S1493" s="22"/>
      <x:c r="T1493" s="37" t="n">
        <x:f>K1493</x:f>
        <x:v>39</x:v>
      </x:c>
      <x:c r="U1493" s="21" t="str">
        <x:f>IF(J1493="Рассчитано",N1493*(1-O1493/100),"н/д")</x:f>
        <x:v>н/д</x:v>
      </x:c>
      <x:c r="V1493" s="21" t="str">
        <x:f>IF(J1493="Рассчитано",T1493*U1493,"н/д")</x:f>
        <x:v>н/д</x:v>
      </x:c>
      <x:c r="W1493" s="21" t="str">
        <x:f>IF(J1493="Рассчитано",T1493*M1493,"н/д")</x:f>
        <x:v>н/д</x:v>
      </x:c>
      <x:c r="X1493" s="21" t="str">
        <x:f>IF(J1493="Рассчитано",V1493-W1493,"н/д")</x:f>
        <x:v>н/д</x:v>
      </x:c>
      <x:c r="Y1493" s="27" t="str">
        <x:f>IF(J1493="Рассчитано",IF(V1493&gt;0,G1493/V1493,"н/д"),"н/д")</x:f>
        <x:v>н/д</x:v>
      </x:c>
      <x:c r="Z1493" s="21" t="str">
        <x:f>"н/д"</x:f>
        <x:v>н/д</x:v>
      </x:c>
      <x:c r="AA1493" s="21" t="str">
        <x:f>"н/д"</x:f>
        <x:v>н/д</x:v>
      </x:c>
      <x:c r="AB1493" s="21" t="str">
        <x:f>"н/д"</x:f>
        <x:v>н/д</x:v>
      </x:c>
      <x:c r="AC1493" s="21" t="str">
        <x:f>IF(AND(J1493="Рассчитано",T1493&gt;0,R1493&lt;100),(W1493+P1493+Q1493)/(T1493*(1-R1493/100)),"н/д")</x:f>
        <x:v>н/д</x:v>
      </x:c>
      <x:c r="AD1493" s="10" t="str">
        <x:f>IF(ISNUMBER(G1493),IF(G1493&lt;0,"Убыток",IF(G1493=0,"Без прибыли","Прибыль &gt; 0")),"Не оценён")</x:f>
        <x:v>Не оценён</x:v>
      </x:c>
      <x:c r="AE1493" s="13" t="str">
        <x:f>IF(J1493="Рассчитано","Выручка "&amp;TEXT(V1493,"0.00")&amp;" - себестоимость "&amp;TEXT(W1493,"0.00")&amp;" - комиссия "&amp;TEXT(V1493*R1493/100,"0.00")&amp;" - доставка "&amp;TEXT(P1493,"0.00")&amp;" - прочие "&amp;TEXT(Q1493,"0.00")&amp;" = "&amp;TEXT(G1493,"0.00")&amp;" "&amp;L1493,"Введите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3" s="24" t="n">
        <x:v>0.7080272606699277</x:v>
      </x:c>
      <x:c r="AG1493" s="37" t="n">
        <x:v>40</x:v>
      </x:c>
      <x:c r="AH1493" s="37" t="n">
        <x:v>0</x:v>
      </x:c>
      <x:c r="AI1493" s="30" t="n">
        <x:v>46287</x:v>
      </x:c>
      <x:c r="AJ1493" s="37" t="n">
        <x:v>5</x:v>
      </x:c>
      <x:c r="AK1493" s="10" t="str">
        <x:v>кратность</x:v>
      </x:c>
      <x:c r="AL1493" s="32" t="n">
        <x:v>4816.992735194433</x:v>
      </x:c>
      <x:c r="AM1493" s="13" t="str">
        <x:v>Нет ежедневных данных доступности. Нет положительных чистых продаж за 12 месяцев</x:v>
      </x:c>
      <x:c r="AN1493" s="13" t="str">
        <x:v>Проверить свободный остаток и установить цену для B2B</x:v>
      </x:c>
      <x:c r="AO1493" s="13" t="str">
        <x:v>Остаток 40; прогноз 90 дней 0.71; избыток 39 шт. Будущие поступления не выставляются на продажу.</x:v>
      </x:c>
      <x:c r="AP1493" s="13" t="str">
        <x:v>["daily_stockout_data_missing", "negative_net_sales_clipped_for_forecast", "new_order_lead_time_unknown"]</x:v>
      </x:c>
      <x:c r="AQ1493" s="10" t="str">
        <x:v>SE:300200885_</x:v>
      </x:c>
      <x:c r="AR1493" s="24" t="n">
        <x:v>1</x:v>
      </x:c>
      <x:c r="AS1493" s="24" t="n">
        <x:v>0</x:v>
      </x:c>
      <x:c r="AT1493" s="24" t="n">
        <x:v>0</x:v>
      </x:c>
    </x:row>
    <x:row r="1494" ht="64" customHeight="1">
      <x:c r="A1494" s="11" t="str">
        <x:v>Systeme Electric</x:v>
      </x:c>
      <x:c r="B1494" s="33" t="str">
        <x:v>300200886_</x:v>
      </x:c>
      <x:c r="C1494" s="33" t="str">
        <x:v>GAL001605</x:v>
      </x:c>
      <x:c r="D1494" s="12" t="str">
        <x:v>G103 Рамка 5-ная "ARTGALLERY" золото GAL1605 (5)</x:v>
      </x:c>
      <x:c r="E1494" s="11" t="str">
        <x:v>шт</x:v>
      </x:c>
      <x:c r="F1494" s="35" t="n">
        <x:f>MAX(0,ROUNDDOWN((AG1494-AF1494)/AR1494+0.000000001,0)*AR1494)</x:f>
        <x:v>46</x:v>
      </x:c>
      <x:c r="G1494" s="20" t="str">
        <x:f>IF(J1494="Рассчитано",V1494*(1-R1494/100)-W1494-P1494-Q1494,"н/д")</x:f>
        <x:v>н/д</x:v>
      </x:c>
      <x:c r="H1494" s="12" t="str">
        <x:v>Средний</x:v>
      </x:c>
      <x:c r="I1494" s="12" t="str">
        <x:v>Высокий</x:v>
      </x:c>
      <x:c r="J1494" s="12" t="str">
        <x:f>IF(L1494="","Укажите валюту",IF(NOT(ISNUMBER(K1494)),"Укажите объём",IF(K1494&lt;=0,"Укажите объём",IF(K1494&gt;F1494,"Объём выше излишка",IF(COUNT(M1494:O1494)&lt;3,"Нужны цены",IF(COUNT(P1494:R1494)&lt;3,"Нужны расходы",IF(OR(M1494&lt;0,N1494&lt;0,O1494&lt;0,O1494&gt;100,P1494&lt;0,Q1494&lt;0,R1494&lt;0,R1494&gt;100),"Проверьте значения","Рассчитано")))))))</x:f>
        <x:v>Нужны цены</x:v>
      </x:c>
      <x:c r="K1494" s="36" t="n">
        <x:v>46</x:v>
      </x:c>
      <x:c r="L1494" s="19" t="str">
        <x:v>KZT</x:v>
      </x:c>
      <x:c r="M1494" s="22"/>
      <x:c r="N1494" s="22"/>
      <x:c r="O1494" s="28"/>
      <x:c r="P1494" s="22"/>
      <x:c r="Q1494" s="22"/>
      <x:c r="R1494" s="28"/>
      <x:c r="S1494" s="22"/>
      <x:c r="T1494" s="35" t="n">
        <x:f>K1494</x:f>
        <x:v>46</x:v>
      </x:c>
      <x:c r="U1494" s="20" t="str">
        <x:f>IF(J1494="Рассчитано",N1494*(1-O1494/100),"н/д")</x:f>
        <x:v>н/д</x:v>
      </x:c>
      <x:c r="V1494" s="20" t="str">
        <x:f>IF(J1494="Рассчитано",T1494*U1494,"н/д")</x:f>
        <x:v>н/д</x:v>
      </x:c>
      <x:c r="W1494" s="20" t="str">
        <x:f>IF(J1494="Рассчитано",T1494*M1494,"н/д")</x:f>
        <x:v>н/д</x:v>
      </x:c>
      <x:c r="X1494" s="20" t="str">
        <x:f>IF(J1494="Рассчитано",V1494-W1494,"н/д")</x:f>
        <x:v>н/д</x:v>
      </x:c>
      <x:c r="Y1494" s="26" t="str">
        <x:f>IF(J1494="Рассчитано",IF(V1494&gt;0,G1494/V1494,"н/д"),"н/д")</x:f>
        <x:v>н/д</x:v>
      </x:c>
      <x:c r="Z1494" s="20" t="str">
        <x:f>"н/д"</x:f>
        <x:v>н/д</x:v>
      </x:c>
      <x:c r="AA1494" s="20" t="str">
        <x:f>"н/д"</x:f>
        <x:v>н/д</x:v>
      </x:c>
      <x:c r="AB1494" s="20" t="str">
        <x:f>"н/д"</x:f>
        <x:v>н/д</x:v>
      </x:c>
      <x:c r="AC1494" s="20" t="str">
        <x:f>IF(AND(J1494="Рассчитано",T1494&gt;0,R1494&lt;100),(W1494+P1494+Q1494)/(T1494*(1-R1494/100)),"н/д")</x:f>
        <x:v>н/д</x:v>
      </x:c>
      <x:c r="AD1494" s="11" t="str">
        <x:f>IF(ISNUMBER(G1494),IF(G1494&lt;0,"Убыток",IF(G1494=0,"Без прибыли","Прибыль &gt; 0")),"Не оценён")</x:f>
        <x:v>Не оценён</x:v>
      </x:c>
      <x:c r="AE1494" s="12" t="str">
        <x:f>IF(J1494="Рассчитано","Выручка "&amp;TEXT(V1494,"0.00")&amp;" - себестоимость "&amp;TEXT(W1494,"0.00")&amp;" - комиссия "&amp;TEXT(V1494*R1494/100,"0.00")&amp;" - доставка "&amp;TEXT(P1494,"0.00")&amp;" - прочие "&amp;TEXT(Q1494,"0.00")&amp;" = "&amp;TEXT(G1494,"0.00")&amp;" "&amp;L1494,"Введите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4" s="23" t="n">
        <x:v>0</x:v>
      </x:c>
      <x:c r="AG1494" s="35" t="n">
        <x:v>46</x:v>
      </x:c>
      <x:c r="AH1494" s="35" t="n">
        <x:v>0</x:v>
      </x:c>
      <x:c r="AI1494" s="29" t="n">
        <x:v>46287</x:v>
      </x:c>
      <x:c r="AJ1494" s="35" t="n">
        <x:v>5</x:v>
      </x:c>
      <x:c r="AK1494" s="11" t="str">
        <x:v>кратность</x:v>
      </x:c>
      <x:c r="AL1494" s="31" t="str">
        <x:v>н/д</x:v>
      </x:c>
      <x:c r="AM1494" s="12" t="str">
        <x:v>Нет ежедневных данных доступности. Нет положительных чистых продаж за 12 месяцев</x:v>
      </x:c>
      <x:c r="AN1494" s="12" t="str">
        <x:v>Проверить свободный остаток и установить цену для B2B</x:v>
      </x:c>
      <x:c r="AO1494" s="12" t="str">
        <x:v>Остаток 46; прогноз 90 дней 0.00; избыток 46 шт. Будущие поступления не выставляются на продажу.</x:v>
      </x:c>
      <x:c r="AP1494" s="12" t="str">
        <x:v>["daily_stockout_data_missing", "negative_net_sales_clipped_for_forecast", "new_order_lead_time_unknown"]</x:v>
      </x:c>
      <x:c r="AQ1494" s="11" t="str">
        <x:v>SE:300200886_</x:v>
      </x:c>
      <x:c r="AR1494" s="23" t="n">
        <x:v>1</x:v>
      </x:c>
      <x:c r="AS1494" s="23" t="n">
        <x:v>0</x:v>
      </x:c>
      <x:c r="AT1494" s="23" t="n">
        <x:v>0</x:v>
      </x:c>
    </x:row>
    <x:row r="1495" ht="64" customHeight="1">
      <x:c r="A1495" s="10" t="str">
        <x:v>Systeme Electric</x:v>
      </x:c>
      <x:c r="B1495" s="34" t="str">
        <x:v>300200887_</x:v>
      </x:c>
      <x:c r="C1495" s="34" t="str">
        <x:v>GAL000943</x:v>
      </x:c>
      <x:c r="D1495" s="13" t="str">
        <x:v>G104 Роз. с з/к 16А механизм "ARTGALLERY" сталь GAL0943 (5)</x:v>
      </x:c>
      <x:c r="E1495" s="10" t="str">
        <x:v>шт</x:v>
      </x:c>
      <x:c r="F1495" s="37" t="n">
        <x:f>MAX(0,ROUNDDOWN((AG1495-AF1495)/AR1495+0.000000001,0)*AR1495)</x:f>
        <x:v>14</x:v>
      </x:c>
      <x:c r="G1495" s="21" t="str">
        <x:f>IF(J1495="Рассчитано",V1495*(1-R1495/100)-W1495-P1495-Q1495,"н/д")</x:f>
        <x:v>н/д</x:v>
      </x:c>
      <x:c r="H1495" s="13" t="str">
        <x:v>Средний</x:v>
      </x:c>
      <x:c r="I1495" s="13" t="str">
        <x:v>Средний</x:v>
      </x:c>
      <x:c r="J1495" s="13" t="str">
        <x:f>IF(L1495="","Укажите валюту",IF(NOT(ISNUMBER(K1495)),"Укажите объём",IF(K1495&lt;=0,"Укажите объём",IF(K1495&gt;F1495,"Объём выше излишка",IF(COUNT(M1495:O1495)&lt;3,"Нужны цены",IF(COUNT(P1495:R1495)&lt;3,"Нужны расходы",IF(OR(M1495&lt;0,N1495&lt;0,O1495&lt;0,O1495&gt;100,P1495&lt;0,Q1495&lt;0,R1495&lt;0,R1495&gt;100),"Проверьте значения","Рассчитано")))))))</x:f>
        <x:v>Нужны цены</x:v>
      </x:c>
      <x:c r="K1495" s="36" t="n">
        <x:v>14</x:v>
      </x:c>
      <x:c r="L1495" s="19" t="str">
        <x:v>KZT</x:v>
      </x:c>
      <x:c r="M1495" s="22"/>
      <x:c r="N1495" s="22"/>
      <x:c r="O1495" s="28"/>
      <x:c r="P1495" s="22"/>
      <x:c r="Q1495" s="22"/>
      <x:c r="R1495" s="28"/>
      <x:c r="S1495" s="22"/>
      <x:c r="T1495" s="37" t="n">
        <x:f>K1495</x:f>
        <x:v>14</x:v>
      </x:c>
      <x:c r="U1495" s="21" t="str">
        <x:f>IF(J1495="Рассчитано",N1495*(1-O1495/100),"н/д")</x:f>
        <x:v>н/д</x:v>
      </x:c>
      <x:c r="V1495" s="21" t="str">
        <x:f>IF(J1495="Рассчитано",T1495*U1495,"н/д")</x:f>
        <x:v>н/д</x:v>
      </x:c>
      <x:c r="W1495" s="21" t="str">
        <x:f>IF(J1495="Рассчитано",T1495*M1495,"н/д")</x:f>
        <x:v>н/д</x:v>
      </x:c>
      <x:c r="X1495" s="21" t="str">
        <x:f>IF(J1495="Рассчитано",V1495-W1495,"н/д")</x:f>
        <x:v>н/д</x:v>
      </x:c>
      <x:c r="Y1495" s="27" t="str">
        <x:f>IF(J1495="Рассчитано",IF(V1495&gt;0,G1495/V1495,"н/д"),"н/д")</x:f>
        <x:v>н/д</x:v>
      </x:c>
      <x:c r="Z1495" s="21" t="str">
        <x:f>"н/д"</x:f>
        <x:v>н/д</x:v>
      </x:c>
      <x:c r="AA1495" s="21" t="str">
        <x:f>"н/д"</x:f>
        <x:v>н/д</x:v>
      </x:c>
      <x:c r="AB1495" s="21" t="str">
        <x:f>"н/д"</x:f>
        <x:v>н/д</x:v>
      </x:c>
      <x:c r="AC1495" s="21" t="str">
        <x:f>IF(AND(J1495="Рассчитано",T1495&gt;0,R1495&lt;100),(W1495+P1495+Q1495)/(T1495*(1-R1495/100)),"н/д")</x:f>
        <x:v>н/д</x:v>
      </x:c>
      <x:c r="AD1495" s="10" t="str">
        <x:f>IF(ISNUMBER(G1495),IF(G1495&lt;0,"Убыток",IF(G1495=0,"Без прибыли","Прибыль &gt; 0")),"Не оценён")</x:f>
        <x:v>Не оценён</x:v>
      </x:c>
      <x:c r="AE1495" s="13" t="str">
        <x:f>IF(J1495="Рассчитано","Выручка "&amp;TEXT(V1495,"0.00")&amp;" - себестоимость "&amp;TEXT(W1495,"0.00")&amp;" - комиссия "&amp;TEXT(V1495*R1495/100,"0.00")&amp;" - доставка "&amp;TEXT(P1495,"0.00")&amp;" - прочие "&amp;TEXT(Q1495,"0.00")&amp;" = "&amp;TEXT(G1495,"0.00")&amp;" "&amp;L1495,"Введите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5" s="24" t="n">
        <x:v>143.78385855800536</x:v>
      </x:c>
      <x:c r="AG1495" s="37" t="n">
        <x:v>158</x:v>
      </x:c>
      <x:c r="AH1495" s="37" t="n">
        <x:v>0</x:v>
      </x:c>
      <x:c r="AI1495" s="30" t="n">
        <x:v>46287</x:v>
      </x:c>
      <x:c r="AJ1495" s="37" t="n">
        <x:v>5</x:v>
      </x:c>
      <x:c r="AK1495" s="10" t="str">
        <x:v>кратность</x:v>
      </x:c>
      <x:c r="AL1495" s="32" t="n">
        <x:v>93.69424850901133</x:v>
      </x:c>
      <x:c r="AM1495" s="13" t="str">
        <x:v>Нет ежедневных данных доступности. Запас выше прогноза на 90 дней</x:v>
      </x:c>
      <x:c r="AN1495" s="13" t="str">
        <x:v>Проверить свободный остаток и установить цену для B2B</x:v>
      </x:c>
      <x:c r="AO1495" s="13" t="str">
        <x:v>Остаток 158; прогноз 90 дней 143.78; избыток 14 шт. Будущие поступления не выставляются на продажу.</x:v>
      </x:c>
      <x:c r="AP1495" s="13" t="str">
        <x:v>["daily_stockout_data_missing", "new_order_lead_time_unknown"]</x:v>
      </x:c>
      <x:c r="AQ1495" s="10" t="str">
        <x:v>SE:300200887_</x:v>
      </x:c>
      <x:c r="AR1495" s="24" t="n">
        <x:v>1</x:v>
      </x:c>
      <x:c r="AS1495" s="24" t="n">
        <x:v>0</x:v>
      </x:c>
      <x:c r="AT1495" s="24" t="n">
        <x:v>0</x:v>
      </x:c>
    </x:row>
    <x:row r="1496" ht="64" customHeight="1">
      <x:c r="A1496" s="11" t="str">
        <x:v>Systeme Electric</x:v>
      </x:c>
      <x:c r="B1496" s="33" t="str">
        <x:v>300200888_</x:v>
      </x:c>
      <x:c r="C1496" s="33" t="str">
        <x:v>GAL000911</x:v>
      </x:c>
      <x:c r="D1496" s="12" t="str">
        <x:v>G105 Выкл. 1 кл 10А "ARTGALLERY" сталь GAL0911 (5)</x:v>
      </x:c>
      <x:c r="E1496" s="11" t="str">
        <x:v>шт</x:v>
      </x:c>
      <x:c r="F1496" s="35" t="n">
        <x:f>MAX(0,ROUNDDOWN((AG1496-AF1496)/AR1496+0.000000001,0)*AR1496)</x:f>
        <x:v>19</x:v>
      </x:c>
      <x:c r="G1496" s="20" t="str">
        <x:f>IF(J1496="Рассчитано",V1496*(1-R1496/100)-W1496-P1496-Q1496,"н/д")</x:f>
        <x:v>н/д</x:v>
      </x:c>
      <x:c r="H1496" s="12" t="str">
        <x:v>Средний</x:v>
      </x:c>
      <x:c r="I1496" s="12" t="str">
        <x:v>Высокий</x:v>
      </x:c>
      <x:c r="J1496" s="12" t="str">
        <x:f>IF(L1496="","Укажите валюту",IF(NOT(ISNUMBER(K1496)),"Укажите объём",IF(K1496&lt;=0,"Укажите объём",IF(K1496&gt;F1496,"Объём выше излишка",IF(COUNT(M1496:O1496)&lt;3,"Нужны цены",IF(COUNT(P1496:R1496)&lt;3,"Нужны расходы",IF(OR(M1496&lt;0,N1496&lt;0,O1496&lt;0,O1496&gt;100,P1496&lt;0,Q1496&lt;0,R1496&lt;0,R1496&gt;100),"Проверьте значения","Рассчитано")))))))</x:f>
        <x:v>Нужны цены</x:v>
      </x:c>
      <x:c r="K1496" s="36" t="n">
        <x:v>19</x:v>
      </x:c>
      <x:c r="L1496" s="19" t="str">
        <x:v>KZT</x:v>
      </x:c>
      <x:c r="M1496" s="22"/>
      <x:c r="N1496" s="22"/>
      <x:c r="O1496" s="28"/>
      <x:c r="P1496" s="22"/>
      <x:c r="Q1496" s="22"/>
      <x:c r="R1496" s="28"/>
      <x:c r="S1496" s="22"/>
      <x:c r="T1496" s="35" t="n">
        <x:f>K1496</x:f>
        <x:v>19</x:v>
      </x:c>
      <x:c r="U1496" s="20" t="str">
        <x:f>IF(J1496="Рассчитано",N1496*(1-O1496/100),"н/д")</x:f>
        <x:v>н/д</x:v>
      </x:c>
      <x:c r="V1496" s="20" t="str">
        <x:f>IF(J1496="Рассчитано",T1496*U1496,"н/д")</x:f>
        <x:v>н/д</x:v>
      </x:c>
      <x:c r="W1496" s="20" t="str">
        <x:f>IF(J1496="Рассчитано",T1496*M1496,"н/д")</x:f>
        <x:v>н/д</x:v>
      </x:c>
      <x:c r="X1496" s="20" t="str">
        <x:f>IF(J1496="Рассчитано",V1496-W1496,"н/д")</x:f>
        <x:v>н/д</x:v>
      </x:c>
      <x:c r="Y1496" s="26" t="str">
        <x:f>IF(J1496="Рассчитано",IF(V1496&gt;0,G1496/V1496,"н/д"),"н/д")</x:f>
        <x:v>н/д</x:v>
      </x:c>
      <x:c r="Z1496" s="20" t="str">
        <x:f>"н/д"</x:f>
        <x:v>н/д</x:v>
      </x:c>
      <x:c r="AA1496" s="20" t="str">
        <x:f>"н/д"</x:f>
        <x:v>н/д</x:v>
      </x:c>
      <x:c r="AB1496" s="20" t="str">
        <x:f>"н/д"</x:f>
        <x:v>н/д</x:v>
      </x:c>
      <x:c r="AC1496" s="20" t="str">
        <x:f>IF(AND(J1496="Рассчитано",T1496&gt;0,R1496&lt;100),(W1496+P1496+Q1496)/(T1496*(1-R1496/100)),"н/д")</x:f>
        <x:v>н/д</x:v>
      </x:c>
      <x:c r="AD1496" s="11" t="str">
        <x:f>IF(ISNUMBER(G1496),IF(G1496&lt;0,"Убыток",IF(G1496=0,"Без прибыли","Прибыль &gt; 0")),"Не оценён")</x:f>
        <x:v>Не оценён</x:v>
      </x:c>
      <x:c r="AE1496" s="12" t="str">
        <x:f>IF(J1496="Рассчитано","Выручка "&amp;TEXT(V1496,"0.00")&amp;" - себестоимость "&amp;TEXT(W1496,"0.00")&amp;" - комиссия "&amp;TEXT(V1496*R1496/100,"0.00")&amp;" - доставка "&amp;TEXT(P1496,"0.00")&amp;" - прочие "&amp;TEXT(Q1496,"0.00")&amp;" = "&amp;TEXT(G1496,"0.00")&amp;" "&amp;L1496,"Введите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6" s="23" t="n">
        <x:v>16.209121916219015</x:v>
      </x:c>
      <x:c r="AG1496" s="35" t="n">
        <x:v>36</x:v>
      </x:c>
      <x:c r="AH1496" s="35" t="n">
        <x:v>0</x:v>
      </x:c>
      <x:c r="AI1496" s="29" t="n">
        <x:v>46287</x:v>
      </x:c>
      <x:c r="AJ1496" s="35" t="n">
        <x:v>5</x:v>
      </x:c>
      <x:c r="AK1496" s="11" t="str">
        <x:v>кратность</x:v>
      </x:c>
      <x:c r="AL1496" s="31" t="n">
        <x:v>189.3690460060401</x:v>
      </x:c>
      <x:c r="AM1496" s="12" t="str">
        <x:v>Нет ежедневных данных доступности. Запас более 180 дней при среднем спросе</x:v>
      </x:c>
      <x:c r="AN1496" s="12" t="str">
        <x:v>Проверить свободный остаток и установить цену для B2B</x:v>
      </x:c>
      <x:c r="AO1496" s="12" t="str">
        <x:v>Остаток 36; прогноз 90 дней 16.21; избыток 19 шт. Будущие поступления не выставляются на продажу.</x:v>
      </x:c>
      <x:c r="AP1496" s="12" t="str">
        <x:v>["daily_stockout_data_missing", "new_order_lead_time_unknown"]</x:v>
      </x:c>
      <x:c r="AQ1496" s="11" t="str">
        <x:v>SE:300200888_</x:v>
      </x:c>
      <x:c r="AR1496" s="23" t="n">
        <x:v>1</x:v>
      </x:c>
      <x:c r="AS1496" s="23" t="n">
        <x:v>0</x:v>
      </x:c>
      <x:c r="AT1496" s="23" t="n">
        <x:v>0</x:v>
      </x:c>
    </x:row>
    <x:row r="1497" ht="64" customHeight="1">
      <x:c r="A1497" s="10" t="str">
        <x:v>Systeme Electric</x:v>
      </x:c>
      <x:c r="B1497" s="34" t="str">
        <x:v>300200889_</x:v>
      </x:c>
      <x:c r="C1497" s="34" t="str">
        <x:v>GAL000913</x:v>
      </x:c>
      <x:c r="D1497" s="13" t="str">
        <x:v>G106 Выкл. 1 кл с инд механизм "ARTGALLERY" сталь GAL0913 (5)</x:v>
      </x:c>
      <x:c r="E1497" s="10" t="str">
        <x:v>шт</x:v>
      </x:c>
      <x:c r="F1497" s="37" t="n">
        <x:f>MAX(0,ROUNDDOWN((AG1497-AF1497)/AR1497+0.000000001,0)*AR1497)</x:f>
        <x:v>39</x:v>
      </x:c>
      <x:c r="G1497" s="21" t="str">
        <x:f>IF(J1497="Рассчитано",V1497*(1-R1497/100)-W1497-P1497-Q1497,"н/д")</x:f>
        <x:v>н/д</x:v>
      </x:c>
      <x:c r="H1497" s="13" t="str">
        <x:v>Средний</x:v>
      </x:c>
      <x:c r="I1497" s="13" t="str">
        <x:v>Высокий</x:v>
      </x:c>
      <x:c r="J1497" s="13" t="str">
        <x:f>IF(L1497="","Укажите валюту",IF(NOT(ISNUMBER(K1497)),"Укажите объём",IF(K1497&lt;=0,"Укажите объём",IF(K1497&gt;F1497,"Объём выше излишка",IF(COUNT(M1497:O1497)&lt;3,"Нужны цены",IF(COUNT(P1497:R1497)&lt;3,"Нужны расходы",IF(OR(M1497&lt;0,N1497&lt;0,O1497&lt;0,O1497&gt;100,P1497&lt;0,Q1497&lt;0,R1497&lt;0,R1497&gt;100),"Проверьте значения","Рассчитано")))))))</x:f>
        <x:v>Нужны цены</x:v>
      </x:c>
      <x:c r="K1497" s="36" t="n">
        <x:v>39</x:v>
      </x:c>
      <x:c r="L1497" s="19" t="str">
        <x:v>KZT</x:v>
      </x:c>
      <x:c r="M1497" s="22"/>
      <x:c r="N1497" s="22"/>
      <x:c r="O1497" s="28"/>
      <x:c r="P1497" s="22"/>
      <x:c r="Q1497" s="22"/>
      <x:c r="R1497" s="28"/>
      <x:c r="S1497" s="22"/>
      <x:c r="T1497" s="37" t="n">
        <x:f>K1497</x:f>
        <x:v>39</x:v>
      </x:c>
      <x:c r="U1497" s="21" t="str">
        <x:f>IF(J1497="Рассчитано",N1497*(1-O1497/100),"н/д")</x:f>
        <x:v>н/д</x:v>
      </x:c>
      <x:c r="V1497" s="21" t="str">
        <x:f>IF(J1497="Рассчитано",T1497*U1497,"н/д")</x:f>
        <x:v>н/д</x:v>
      </x:c>
      <x:c r="W1497" s="21" t="str">
        <x:f>IF(J1497="Рассчитано",T1497*M1497,"н/д")</x:f>
        <x:v>н/д</x:v>
      </x:c>
      <x:c r="X1497" s="21" t="str">
        <x:f>IF(J1497="Рассчитано",V1497-W1497,"н/д")</x:f>
        <x:v>н/д</x:v>
      </x:c>
      <x:c r="Y1497" s="27" t="str">
        <x:f>IF(J1497="Рассчитано",IF(V1497&gt;0,G1497/V1497,"н/д"),"н/д")</x:f>
        <x:v>н/д</x:v>
      </x:c>
      <x:c r="Z1497" s="21" t="str">
        <x:f>"н/д"</x:f>
        <x:v>н/д</x:v>
      </x:c>
      <x:c r="AA1497" s="21" t="str">
        <x:f>"н/д"</x:f>
        <x:v>н/д</x:v>
      </x:c>
      <x:c r="AB1497" s="21" t="str">
        <x:f>"н/д"</x:f>
        <x:v>н/д</x:v>
      </x:c>
      <x:c r="AC1497" s="21" t="str">
        <x:f>IF(AND(J1497="Рассчитано",T1497&gt;0,R1497&lt;100),(W1497+P1497+Q1497)/(T1497*(1-R1497/100)),"н/д")</x:f>
        <x:v>н/д</x:v>
      </x:c>
      <x:c r="AD1497" s="10" t="str">
        <x:f>IF(ISNUMBER(G1497),IF(G1497&lt;0,"Убыток",IF(G1497=0,"Без прибыли","Прибыль &gt; 0")),"Не оценён")</x:f>
        <x:v>Не оценён</x:v>
      </x:c>
      <x:c r="AE1497" s="13" t="str">
        <x:f>IF(J1497="Рассчитано","Выручка "&amp;TEXT(V1497,"0.00")&amp;" - себестоимость "&amp;TEXT(W1497,"0.00")&amp;" - комиссия "&amp;TEXT(V1497*R1497/100,"0.00")&amp;" - доставка "&amp;TEXT(P1497,"0.00")&amp;" - прочие "&amp;TEXT(Q1497,"0.00")&amp;" = "&amp;TEXT(G1497,"0.00")&amp;" "&amp;L1497,"Введите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7" s="24" t="n">
        <x:v>0.11090802659309722</x:v>
      </x:c>
      <x:c r="AG1497" s="37" t="n">
        <x:v>40</x:v>
      </x:c>
      <x:c r="AH1497" s="37" t="n">
        <x:v>0</x:v>
      </x:c>
      <x:c r="AI1497" s="30" t="n">
        <x:v>46287</x:v>
      </x:c>
      <x:c r="AJ1497" s="37" t="n">
        <x:v>5</x:v>
      </x:c>
      <x:c r="AK1497" s="10" t="str">
        <x:v>кратность</x:v>
      </x:c>
      <x:c r="AL1497" s="32" t="n">
        <x:v>30751.2654920768</x:v>
      </x:c>
      <x:c r="AM1497" s="13" t="str">
        <x:v>Нет ежедневных данных доступности. Запас более 180 дней при среднем спросе</x:v>
      </x:c>
      <x:c r="AN1497" s="13" t="str">
        <x:v>Проверить свободный остаток и установить цену для B2B</x:v>
      </x:c>
      <x:c r="AO1497" s="13" t="str">
        <x:v>Остаток 40; прогноз 90 дней 0.11; избыток 39 шт. Будущие поступления не выставляются на продажу.</x:v>
      </x:c>
      <x:c r="AP1497" s="13" t="str">
        <x:v>["daily_stockout_data_missing", "new_order_lead_time_unknown"]</x:v>
      </x:c>
      <x:c r="AQ1497" s="10" t="str">
        <x:v>SE:300200889_</x:v>
      </x:c>
      <x:c r="AR1497" s="24" t="n">
        <x:v>1</x:v>
      </x:c>
      <x:c r="AS1497" s="24" t="n">
        <x:v>0</x:v>
      </x:c>
      <x:c r="AT1497" s="24" t="n">
        <x:v>0</x:v>
      </x:c>
    </x:row>
    <x:row r="1498" ht="64" customHeight="1">
      <x:c r="A1498" s="11" t="str">
        <x:v>Systeme Electric</x:v>
      </x:c>
      <x:c r="B1498" s="33" t="str">
        <x:v>300200890_</x:v>
      </x:c>
      <x:c r="C1498" s="33" t="str">
        <x:v>GAL000951</x:v>
      </x:c>
      <x:c r="D1498" s="12" t="str">
        <x:v>G107 Выкл. 2 кл 10А механизм "ARTGALLERY" сталь GAL0951 (5)</x:v>
      </x:c>
      <x:c r="E1498" s="11" t="str">
        <x:v>шт</x:v>
      </x:c>
      <x:c r="F1498" s="35" t="n">
        <x:f>MAX(0,ROUNDDOWN((AG1498-AF1498)/AR1498+0.000000001,0)*AR1498)</x:f>
        <x:v>12</x:v>
      </x:c>
      <x:c r="G1498" s="20" t="str">
        <x:f>IF(J1498="Рассчитано",V1498*(1-R1498/100)-W1498-P1498-Q1498,"н/д")</x:f>
        <x:v>н/д</x:v>
      </x:c>
      <x:c r="H1498" s="12" t="str">
        <x:v>Средний</x:v>
      </x:c>
      <x:c r="I1498" s="12" t="str">
        <x:v>Высокий</x:v>
      </x:c>
      <x:c r="J1498" s="12" t="str">
        <x:f>IF(L1498="","Укажите валюту",IF(NOT(ISNUMBER(K1498)),"Укажите объём",IF(K1498&lt;=0,"Укажите объём",IF(K1498&gt;F1498,"Объём выше излишка",IF(COUNT(M1498:O1498)&lt;3,"Нужны цены",IF(COUNT(P1498:R1498)&lt;3,"Нужны расходы",IF(OR(M1498&lt;0,N1498&lt;0,O1498&lt;0,O1498&gt;100,P1498&lt;0,Q1498&lt;0,R1498&lt;0,R1498&gt;100),"Проверьте значения","Рассчитано")))))))</x:f>
        <x:v>Нужны цены</x:v>
      </x:c>
      <x:c r="K1498" s="36" t="n">
        <x:v>12</x:v>
      </x:c>
      <x:c r="L1498" s="19" t="str">
        <x:v>KZT</x:v>
      </x:c>
      <x:c r="M1498" s="22"/>
      <x:c r="N1498" s="22"/>
      <x:c r="O1498" s="28"/>
      <x:c r="P1498" s="22"/>
      <x:c r="Q1498" s="22"/>
      <x:c r="R1498" s="28"/>
      <x:c r="S1498" s="22"/>
      <x:c r="T1498" s="35" t="n">
        <x:f>K1498</x:f>
        <x:v>12</x:v>
      </x:c>
      <x:c r="U1498" s="20" t="str">
        <x:f>IF(J1498="Рассчитано",N1498*(1-O1498/100),"н/д")</x:f>
        <x:v>н/д</x:v>
      </x:c>
      <x:c r="V1498" s="20" t="str">
        <x:f>IF(J1498="Рассчитано",T1498*U1498,"н/д")</x:f>
        <x:v>н/д</x:v>
      </x:c>
      <x:c r="W1498" s="20" t="str">
        <x:f>IF(J1498="Рассчитано",T1498*M1498,"н/д")</x:f>
        <x:v>н/д</x:v>
      </x:c>
      <x:c r="X1498" s="20" t="str">
        <x:f>IF(J1498="Рассчитано",V1498-W1498,"н/д")</x:f>
        <x:v>н/д</x:v>
      </x:c>
      <x:c r="Y1498" s="26" t="str">
        <x:f>IF(J1498="Рассчитано",IF(V1498&gt;0,G1498/V1498,"н/д"),"н/д")</x:f>
        <x:v>н/д</x:v>
      </x:c>
      <x:c r="Z1498" s="20" t="str">
        <x:f>"н/д"</x:f>
        <x:v>н/д</x:v>
      </x:c>
      <x:c r="AA1498" s="20" t="str">
        <x:f>"н/д"</x:f>
        <x:v>н/д</x:v>
      </x:c>
      <x:c r="AB1498" s="20" t="str">
        <x:f>"н/д"</x:f>
        <x:v>н/д</x:v>
      </x:c>
      <x:c r="AC1498" s="20" t="str">
        <x:f>IF(AND(J1498="Рассчитано",T1498&gt;0,R1498&lt;100),(W1498+P1498+Q1498)/(T1498*(1-R1498/100)),"н/д")</x:f>
        <x:v>н/д</x:v>
      </x:c>
      <x:c r="AD1498" s="11" t="str">
        <x:f>IF(ISNUMBER(G1498),IF(G1498&lt;0,"Убыток",IF(G1498=0,"Без прибыли","Прибыль &gt; 0")),"Не оценён")</x:f>
        <x:v>Не оценён</x:v>
      </x:c>
      <x:c r="AE1498" s="12" t="str">
        <x:f>IF(J1498="Рассчитано","Выручка "&amp;TEXT(V1498,"0.00")&amp;" - себестоимость "&amp;TEXT(W1498,"0.00")&amp;" - комиссия "&amp;TEXT(V1498*R1498/100,"0.00")&amp;" - доставка "&amp;TEXT(P1498,"0.00")&amp;" - прочие "&amp;TEXT(Q1498,"0.00")&amp;" = "&amp;TEXT(G1498,"0.00")&amp;" "&amp;L1498,"Введите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8" s="23" t="n">
        <x:v>9.201742794163323</x:v>
      </x:c>
      <x:c r="AG1498" s="35" t="n">
        <x:v>22</x:v>
      </x:c>
      <x:c r="AH1498" s="35" t="n">
        <x:v>0</x:v>
      </x:c>
      <x:c r="AI1498" s="29" t="n">
        <x:v>46287</x:v>
      </x:c>
      <x:c r="AJ1498" s="35" t="n">
        <x:v>5</x:v>
      </x:c>
      <x:c r="AK1498" s="11" t="str">
        <x:v>кратность</x:v>
      </x:c>
      <x:c r="AL1498" s="31" t="n">
        <x:v>203.85368684957032</x:v>
      </x:c>
      <x:c r="AM1498" s="12" t="str">
        <x:v>Нет ежедневных данных доступности. Запас более 180 дней при среднем спросе</x:v>
      </x:c>
      <x:c r="AN1498" s="12" t="str">
        <x:v>Проверить свободный остаток и установить цену для B2B</x:v>
      </x:c>
      <x:c r="AO1498" s="12" t="str">
        <x:v>Остаток 22; прогноз 90 дней 9.20; избыток 12 шт. Будущие поступления не выставляются на продажу.</x:v>
      </x:c>
      <x:c r="AP1498" s="12" t="str">
        <x:v>["daily_stockout_data_missing", "new_order_lead_time_unknown"]</x:v>
      </x:c>
      <x:c r="AQ1498" s="11" t="str">
        <x:v>SE:300200890_</x:v>
      </x:c>
      <x:c r="AR1498" s="23" t="n">
        <x:v>1</x:v>
      </x:c>
      <x:c r="AS1498" s="23" t="n">
        <x:v>0</x:v>
      </x:c>
      <x:c r="AT1498" s="23" t="n">
        <x:v>0</x:v>
      </x:c>
    </x:row>
    <x:row r="1499" ht="64" customHeight="1">
      <x:c r="A1499" s="10" t="str">
        <x:v>Systeme Electric</x:v>
      </x:c>
      <x:c r="B1499" s="34" t="str">
        <x:v>300200892_</x:v>
      </x:c>
      <x:c r="C1499" s="34" t="str">
        <x:v>GAL000986</x:v>
      </x:c>
      <x:c r="D1499" s="13" t="str">
        <x:v>G109 Роз. комп. RJ45 6A механизм "ARTGALLERY" сталь GAL0986 (5)</x:v>
      </x:c>
      <x:c r="E1499" s="10" t="str">
        <x:v>шт</x:v>
      </x:c>
      <x:c r="F1499" s="37" t="n">
        <x:f>MAX(0,ROUNDDOWN((AG1499-AF1499)/AR1499+0.000000001,0)*AR1499)</x:f>
        <x:v>17</x:v>
      </x:c>
      <x:c r="G1499" s="21" t="str">
        <x:f>IF(J1499="Рассчитано",V1499*(1-R1499/100)-W1499-P1499-Q1499,"н/д")</x:f>
        <x:v>н/д</x:v>
      </x:c>
      <x:c r="H1499" s="13" t="str">
        <x:v>Средний</x:v>
      </x:c>
      <x:c r="I1499" s="13" t="str">
        <x:v>Высокий</x:v>
      </x:c>
      <x:c r="J1499" s="13" t="str">
        <x:f>IF(L1499="","Укажите валюту",IF(NOT(ISNUMBER(K1499)),"Укажите объём",IF(K1499&lt;=0,"Укажите объём",IF(K1499&gt;F1499,"Объём выше излишка",IF(COUNT(M1499:O1499)&lt;3,"Нужны цены",IF(COUNT(P1499:R1499)&lt;3,"Нужны расходы",IF(OR(M1499&lt;0,N1499&lt;0,O1499&lt;0,O1499&gt;100,P1499&lt;0,Q1499&lt;0,R1499&lt;0,R1499&gt;100),"Проверьте значения","Рассчитано")))))))</x:f>
        <x:v>Нужны цены</x:v>
      </x:c>
      <x:c r="K1499" s="36" t="n">
        <x:v>17</x:v>
      </x:c>
      <x:c r="L1499" s="19" t="str">
        <x:v>KZT</x:v>
      </x:c>
      <x:c r="M1499" s="22"/>
      <x:c r="N1499" s="22"/>
      <x:c r="O1499" s="28"/>
      <x:c r="P1499" s="22"/>
      <x:c r="Q1499" s="22"/>
      <x:c r="R1499" s="28"/>
      <x:c r="S1499" s="22"/>
      <x:c r="T1499" s="37" t="n">
        <x:f>K1499</x:f>
        <x:v>17</x:v>
      </x:c>
      <x:c r="U1499" s="21" t="str">
        <x:f>IF(J1499="Рассчитано",N1499*(1-O1499/100),"н/д")</x:f>
        <x:v>н/д</x:v>
      </x:c>
      <x:c r="V1499" s="21" t="str">
        <x:f>IF(J1499="Рассчитано",T1499*U1499,"н/д")</x:f>
        <x:v>н/д</x:v>
      </x:c>
      <x:c r="W1499" s="21" t="str">
        <x:f>IF(J1499="Рассчитано",T1499*M1499,"н/д")</x:f>
        <x:v>н/д</x:v>
      </x:c>
      <x:c r="X1499" s="21" t="str">
        <x:f>IF(J1499="Рассчитано",V1499-W1499,"н/д")</x:f>
        <x:v>н/д</x:v>
      </x:c>
      <x:c r="Y1499" s="27" t="str">
        <x:f>IF(J1499="Рассчитано",IF(V1499&gt;0,G1499/V1499,"н/д"),"н/д")</x:f>
        <x:v>н/д</x:v>
      </x:c>
      <x:c r="Z1499" s="21" t="str">
        <x:f>"н/д"</x:f>
        <x:v>н/д</x:v>
      </x:c>
      <x:c r="AA1499" s="21" t="str">
        <x:f>"н/д"</x:f>
        <x:v>н/д</x:v>
      </x:c>
      <x:c r="AB1499" s="21" t="str">
        <x:f>"н/д"</x:f>
        <x:v>н/д</x:v>
      </x:c>
      <x:c r="AC1499" s="21" t="str">
        <x:f>IF(AND(J1499="Рассчитано",T1499&gt;0,R1499&lt;100),(W1499+P1499+Q1499)/(T1499*(1-R1499/100)),"н/д")</x:f>
        <x:v>н/д</x:v>
      </x:c>
      <x:c r="AD1499" s="10" t="str">
        <x:f>IF(ISNUMBER(G1499),IF(G1499&lt;0,"Убыток",IF(G1499=0,"Без прибыли","Прибыль &gt; 0")),"Не оценён")</x:f>
        <x:v>Не оценён</x:v>
      </x:c>
      <x:c r="AE1499" s="13" t="str">
        <x:f>IF(J1499="Рассчитано","Выручка "&amp;TEXT(V1499,"0.00")&amp;" - себестоимость "&amp;TEXT(W1499,"0.00")&amp;" - комиссия "&amp;TEXT(V1499*R1499/100,"0.00")&amp;" - доставка "&amp;TEXT(P1499,"0.00")&amp;" - прочие "&amp;TEXT(Q1499,"0.00")&amp;" = "&amp;TEXT(G1499,"0.00")&amp;" "&amp;L1499,"Введите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9" s="24" t="n">
        <x:v>3.4803991591855907</x:v>
      </x:c>
      <x:c r="AG1499" s="37" t="n">
        <x:v>21</x:v>
      </x:c>
      <x:c r="AH1499" s="37" t="n">
        <x:v>0</x:v>
      </x:c>
      <x:c r="AI1499" s="30" t="n">
        <x:v>46287</x:v>
      </x:c>
      <x:c r="AJ1499" s="37" t="n">
        <x:v>5</x:v>
      </x:c>
      <x:c r="AK1499" s="10" t="str">
        <x:v>кратность</x:v>
      </x:c>
      <x:c r="AL1499" s="32" t="n">
        <x:v>514.4654557888346</x:v>
      </x:c>
      <x:c r="AM1499" s="13" t="str">
        <x:v>Нет ежедневных данных доступности. Запас более 180 дней при среднем спросе</x:v>
      </x:c>
      <x:c r="AN1499" s="13" t="str">
        <x:v>Проверить свободный остаток и установить цену для B2B</x:v>
      </x:c>
      <x:c r="AO1499" s="13" t="str">
        <x:v>Остаток 21; прогноз 90 дней 3.48; избыток 17 шт. Будущие поступления не выставляются на продажу.</x:v>
      </x:c>
      <x:c r="AP1499" s="13" t="str">
        <x:v>["daily_stockout_data_missing", "new_order_lead_time_unknown"]</x:v>
      </x:c>
      <x:c r="AQ1499" s="10" t="str">
        <x:v>SE:300200892_</x:v>
      </x:c>
      <x:c r="AR1499" s="24" t="n">
        <x:v>1</x:v>
      </x:c>
      <x:c r="AS1499" s="24" t="n">
        <x:v>0</x:v>
      </x:c>
      <x:c r="AT1499" s="24" t="n">
        <x:v>0</x:v>
      </x:c>
    </x:row>
    <x:row r="1500" ht="64" customHeight="1">
      <x:c r="A1500" s="11" t="str">
        <x:v>Systeme Electric</x:v>
      </x:c>
      <x:c r="B1500" s="33" t="str">
        <x:v>300200893_</x:v>
      </x:c>
      <x:c r="C1500" s="33" t="str">
        <x:v>GAL000961</x:v>
      </x:c>
      <x:c r="D1500" s="12" t="str">
        <x:v>G110 Переключ. 1 кл механизм "ARTGALLERY" сталь GAL0961 (5)</x:v>
      </x:c>
      <x:c r="E1500" s="11" t="str">
        <x:v>шт</x:v>
      </x:c>
      <x:c r="F1500" s="35" t="n">
        <x:f>MAX(0,ROUNDDOWN((AG1500-AF1500)/AR1500+0.000000001,0)*AR1500)</x:f>
        <x:v>21</x:v>
      </x:c>
      <x:c r="G1500" s="20" t="str">
        <x:f>IF(J1500="Рассчитано",V1500*(1-R1500/100)-W1500-P1500-Q1500,"н/д")</x:f>
        <x:v>н/д</x:v>
      </x:c>
      <x:c r="H1500" s="12" t="str">
        <x:v>Средний</x:v>
      </x:c>
      <x:c r="I1500" s="12" t="str">
        <x:v>Высокий</x:v>
      </x:c>
      <x:c r="J1500" s="12" t="str">
        <x:f>IF(L1500="","Укажите валюту",IF(NOT(ISNUMBER(K1500)),"Укажите объём",IF(K1500&lt;=0,"Укажите объём",IF(K1500&gt;F1500,"Объём выше излишка",IF(COUNT(M1500:O1500)&lt;3,"Нужны цены",IF(COUNT(P1500:R1500)&lt;3,"Нужны расходы",IF(OR(M1500&lt;0,N1500&lt;0,O1500&lt;0,O1500&gt;100,P1500&lt;0,Q1500&lt;0,R1500&lt;0,R1500&gt;100),"Проверьте значения","Рассчитано")))))))</x:f>
        <x:v>Нужны цены</x:v>
      </x:c>
      <x:c r="K1500" s="36" t="n">
        <x:v>21</x:v>
      </x:c>
      <x:c r="L1500" s="19" t="str">
        <x:v>KZT</x:v>
      </x:c>
      <x:c r="M1500" s="22"/>
      <x:c r="N1500" s="22"/>
      <x:c r="O1500" s="28"/>
      <x:c r="P1500" s="22"/>
      <x:c r="Q1500" s="22"/>
      <x:c r="R1500" s="28"/>
      <x:c r="S1500" s="22"/>
      <x:c r="T1500" s="35" t="n">
        <x:f>K1500</x:f>
        <x:v>21</x:v>
      </x:c>
      <x:c r="U1500" s="20" t="str">
        <x:f>IF(J1500="Рассчитано",N1500*(1-O1500/100),"н/д")</x:f>
        <x:v>н/д</x:v>
      </x:c>
      <x:c r="V1500" s="20" t="str">
        <x:f>IF(J1500="Рассчитано",T1500*U1500,"н/д")</x:f>
        <x:v>н/д</x:v>
      </x:c>
      <x:c r="W1500" s="20" t="str">
        <x:f>IF(J1500="Рассчитано",T1500*M1500,"н/д")</x:f>
        <x:v>н/д</x:v>
      </x:c>
      <x:c r="X1500" s="20" t="str">
        <x:f>IF(J1500="Рассчитано",V1500-W1500,"н/д")</x:f>
        <x:v>н/д</x:v>
      </x:c>
      <x:c r="Y1500" s="26" t="str">
        <x:f>IF(J1500="Рассчитано",IF(V1500&gt;0,G1500/V1500,"н/д"),"н/д")</x:f>
        <x:v>н/д</x:v>
      </x:c>
      <x:c r="Z1500" s="20" t="str">
        <x:f>"н/д"</x:f>
        <x:v>н/д</x:v>
      </x:c>
      <x:c r="AA1500" s="20" t="str">
        <x:f>"н/д"</x:f>
        <x:v>н/д</x:v>
      </x:c>
      <x:c r="AB1500" s="20" t="str">
        <x:f>"н/д"</x:f>
        <x:v>н/д</x:v>
      </x:c>
      <x:c r="AC1500" s="20" t="str">
        <x:f>IF(AND(J1500="Рассчитано",T1500&gt;0,R1500&lt;100),(W1500+P1500+Q1500)/(T1500*(1-R1500/100)),"н/д")</x:f>
        <x:v>н/д</x:v>
      </x:c>
      <x:c r="AD1500" s="11" t="str">
        <x:f>IF(ISNUMBER(G1500),IF(G1500&lt;0,"Убыток",IF(G1500=0,"Без прибыли","Прибыль &gt; 0")),"Не оценён")</x:f>
        <x:v>Не оценён</x:v>
      </x:c>
      <x:c r="AE1500" s="12" t="str">
        <x:f>IF(J1500="Рассчитано","Выручка "&amp;TEXT(V1500,"0.00")&amp;" - себестоимость "&amp;TEXT(W1500,"0.00")&amp;" - комиссия "&amp;TEXT(V1500*R1500/100,"0.00")&amp;" - доставка "&amp;TEXT(P1500,"0.00")&amp;" - прочие "&amp;TEXT(Q1500,"0.00")&amp;" = "&amp;TEXT(G1500,"0.00")&amp;" "&amp;L1500,"Введите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0" s="23" t="n">
        <x:v>2.4471696038281863</x:v>
      </x:c>
      <x:c r="AG1500" s="35" t="n">
        <x:v>24</x:v>
      </x:c>
      <x:c r="AH1500" s="35" t="n">
        <x:v>0</x:v>
      </x:c>
      <x:c r="AI1500" s="29" t="n">
        <x:v>46287</x:v>
      </x:c>
      <x:c r="AJ1500" s="35" t="n">
        <x:v>5</x:v>
      </x:c>
      <x:c r="AK1500" s="11" t="str">
        <x:v>кратность</x:v>
      </x:c>
      <x:c r="AL1500" s="31" t="n">
        <x:v>836.205753528012</x:v>
      </x:c>
      <x:c r="AM1500" s="12" t="str">
        <x:v>Нет ежедневных данных доступности. Запас более 180 дней при среднем спросе</x:v>
      </x:c>
      <x:c r="AN1500" s="12" t="str">
        <x:v>Проверить свободный остаток и установить цену для B2B</x:v>
      </x:c>
      <x:c r="AO1500" s="12" t="str">
        <x:v>Остаток 24; прогноз 90 дней 2.45; избыток 21 шт. Будущие поступления не выставляются на продажу.</x:v>
      </x:c>
      <x:c r="AP1500" s="12" t="str">
        <x:v>["daily_stockout_data_missing", "new_order_lead_time_unknown"]</x:v>
      </x:c>
      <x:c r="AQ1500" s="11" t="str">
        <x:v>SE:300200893_</x:v>
      </x:c>
      <x:c r="AR1500" s="23" t="n">
        <x:v>1</x:v>
      </x:c>
      <x:c r="AS1500" s="23" t="n">
        <x:v>0</x:v>
      </x:c>
      <x:c r="AT1500" s="23" t="n">
        <x:v>0</x:v>
      </x:c>
    </x:row>
    <x:row r="1501" ht="64" customHeight="1">
      <x:c r="A1501" s="10" t="str">
        <x:v>Systeme Electric</x:v>
      </x:c>
      <x:c r="B1501" s="34" t="str">
        <x:v>300200894_</x:v>
      </x:c>
      <x:c r="C1501" s="34" t="str">
        <x:v>GAL000971</x:v>
      </x:c>
      <x:c r="D1501" s="13" t="str">
        <x:v>G111 Перекрест. переключ. 1 кл "ARTGALLERY" сталь GAL0971 (5)</x:v>
      </x:c>
      <x:c r="E1501" s="10" t="str">
        <x:v>шт</x:v>
      </x:c>
      <x:c r="F1501" s="37" t="n">
        <x:f>MAX(0,ROUNDDOWN((AG1501-AF1501)/AR1501+0.000000001,0)*AR1501)</x:f>
        <x:v>12</x:v>
      </x:c>
      <x:c r="G1501" s="21" t="str">
        <x:f>IF(J1501="Рассчитано",V1501*(1-R1501/100)-W1501-P1501-Q1501,"н/д")</x:f>
        <x:v>н/д</x:v>
      </x:c>
      <x:c r="H1501" s="13" t="str">
        <x:v>Средний</x:v>
      </x:c>
      <x:c r="I1501" s="13" t="str">
        <x:v>Высокий</x:v>
      </x:c>
      <x:c r="J1501" s="13" t="str">
        <x:f>IF(L1501="","Укажите валюту",IF(NOT(ISNUMBER(K1501)),"Укажите объём",IF(K1501&lt;=0,"Укажите объём",IF(K1501&gt;F1501,"Объём выше излишка",IF(COUNT(M1501:O1501)&lt;3,"Нужны цены",IF(COUNT(P1501:R1501)&lt;3,"Нужны расходы",IF(OR(M1501&lt;0,N1501&lt;0,O1501&lt;0,O1501&gt;100,P1501&lt;0,Q1501&lt;0,R1501&lt;0,R1501&gt;100),"Проверьте значения","Рассчитано")))))))</x:f>
        <x:v>Нужны цены</x:v>
      </x:c>
      <x:c r="K1501" s="36" t="n">
        <x:v>12</x:v>
      </x:c>
      <x:c r="L1501" s="19" t="str">
        <x:v>KZT</x:v>
      </x:c>
      <x:c r="M1501" s="22"/>
      <x:c r="N1501" s="22"/>
      <x:c r="O1501" s="28"/>
      <x:c r="P1501" s="22"/>
      <x:c r="Q1501" s="22"/>
      <x:c r="R1501" s="28"/>
      <x:c r="S1501" s="22"/>
      <x:c r="T1501" s="37" t="n">
        <x:f>K1501</x:f>
        <x:v>12</x:v>
      </x:c>
      <x:c r="U1501" s="21" t="str">
        <x:f>IF(J1501="Рассчитано",N1501*(1-O1501/100),"н/д")</x:f>
        <x:v>н/д</x:v>
      </x:c>
      <x:c r="V1501" s="21" t="str">
        <x:f>IF(J1501="Рассчитано",T1501*U1501,"н/д")</x:f>
        <x:v>н/д</x:v>
      </x:c>
      <x:c r="W1501" s="21" t="str">
        <x:f>IF(J1501="Рассчитано",T1501*M1501,"н/д")</x:f>
        <x:v>н/д</x:v>
      </x:c>
      <x:c r="X1501" s="21" t="str">
        <x:f>IF(J1501="Рассчитано",V1501-W1501,"н/д")</x:f>
        <x:v>н/д</x:v>
      </x:c>
      <x:c r="Y1501" s="27" t="str">
        <x:f>IF(J1501="Рассчитано",IF(V1501&gt;0,G1501/V1501,"н/д"),"н/д")</x:f>
        <x:v>н/д</x:v>
      </x:c>
      <x:c r="Z1501" s="21" t="str">
        <x:f>"н/д"</x:f>
        <x:v>н/д</x:v>
      </x:c>
      <x:c r="AA1501" s="21" t="str">
        <x:f>"н/д"</x:f>
        <x:v>н/д</x:v>
      </x:c>
      <x:c r="AB1501" s="21" t="str">
        <x:f>"н/д"</x:f>
        <x:v>н/д</x:v>
      </x:c>
      <x:c r="AC1501" s="21" t="str">
        <x:f>IF(AND(J1501="Рассчитано",T1501&gt;0,R1501&lt;100),(W1501+P1501+Q1501)/(T1501*(1-R1501/100)),"н/д")</x:f>
        <x:v>н/д</x:v>
      </x:c>
      <x:c r="AD1501" s="10" t="str">
        <x:f>IF(ISNUMBER(G1501),IF(G1501&lt;0,"Убыток",IF(G1501=0,"Без прибыли","Прибыль &gt; 0")),"Не оценён")</x:f>
        <x:v>Не оценён</x:v>
      </x:c>
      <x:c r="AE1501" s="13" t="str">
        <x:f>IF(J1501="Рассчитано","Выручка "&amp;TEXT(V1501,"0.00")&amp;" - себестоимость "&amp;TEXT(W1501,"0.00")&amp;" - комиссия "&amp;TEXT(V1501*R1501/100,"0.00")&amp;" - доставка "&amp;TEXT(P1501,"0.00")&amp;" - прочие "&amp;TEXT(Q1501,"0.00")&amp;" = "&amp;TEXT(G1501,"0.00")&amp;" "&amp;L1501,"Введите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1" s="24" t="n">
        <x:v>0.5272966858980085</x:v>
      </x:c>
      <x:c r="AG1501" s="37" t="n">
        <x:v>13</x:v>
      </x:c>
      <x:c r="AH1501" s="37" t="n">
        <x:v>0</x:v>
      </x:c>
      <x:c r="AI1501" s="30" t="n">
        <x:v>46287</x:v>
      </x:c>
      <x:c r="AJ1501" s="37" t="n">
        <x:v>5</x:v>
      </x:c>
      <x:c r="AK1501" s="10" t="str">
        <x:v>кратность</x:v>
      </x:c>
      <x:c r="AL1501" s="32" t="n">
        <x:v>2102.104441783956</x:v>
      </x:c>
      <x:c r="AM1501" s="13" t="str">
        <x:v>Нет ежедневных данных доступности. Запас более 180 дней при среднем спросе</x:v>
      </x:c>
      <x:c r="AN1501" s="13" t="str">
        <x:v>Проверить свободный остаток и установить цену для B2B</x:v>
      </x:c>
      <x:c r="AO1501" s="13" t="str">
        <x:v>Остаток 13; прогноз 90 дней 0.53; избыток 12 шт. Будущие поступления не выставляются на продажу.</x:v>
      </x:c>
      <x:c r="AP1501" s="13" t="str">
        <x:v>["daily_stockout_data_missing", "new_order_lead_time_unknown"]</x:v>
      </x:c>
      <x:c r="AQ1501" s="10" t="str">
        <x:v>SE:300200894_</x:v>
      </x:c>
      <x:c r="AR1501" s="24" t="n">
        <x:v>1</x:v>
      </x:c>
      <x:c r="AS1501" s="24" t="n">
        <x:v>0</x:v>
      </x:c>
      <x:c r="AT1501" s="24" t="n">
        <x:v>0</x:v>
      </x:c>
    </x:row>
    <x:row r="1502" ht="64" customHeight="1">
      <x:c r="A1502" s="11" t="str">
        <x:v>Systeme Electric</x:v>
      </x:c>
      <x:c r="B1502" s="33" t="str">
        <x:v>300200895_</x:v>
      </x:c>
      <x:c r="C1502" s="33" t="str">
        <x:v>GAL000988</x:v>
      </x:c>
      <x:c r="D1502" s="12" t="str">
        <x:v>G112 Роз. 2-ная комп. RJ45+RJ45 6А механизм "ARTGALLERY" сталь GAL0988 (1)</x:v>
      </x:c>
      <x:c r="E1502" s="11" t="str">
        <x:v>шт</x:v>
      </x:c>
      <x:c r="F1502" s="35" t="n">
        <x:f>MAX(0,ROUNDDOWN((AG1502-AF1502)/AR1502+0.000000001,0)*AR1502)</x:f>
        <x:v>11</x:v>
      </x:c>
      <x:c r="G1502" s="20" t="str">
        <x:f>IF(J1502="Рассчитано",V1502*(1-R1502/100)-W1502-P1502-Q1502,"н/д")</x:f>
        <x:v>н/д</x:v>
      </x:c>
      <x:c r="H1502" s="12" t="str">
        <x:v>Средний</x:v>
      </x:c>
      <x:c r="I1502" s="12" t="str">
        <x:v>Высокий</x:v>
      </x:c>
      <x:c r="J1502" s="12" t="str">
        <x:f>IF(L1502="","Укажите валюту",IF(NOT(ISNUMBER(K1502)),"Укажите объём",IF(K1502&lt;=0,"Укажите объём",IF(K1502&gt;F1502,"Объём выше излишка",IF(COUNT(M1502:O1502)&lt;3,"Нужны цены",IF(COUNT(P1502:R1502)&lt;3,"Нужны расходы",IF(OR(M1502&lt;0,N1502&lt;0,O1502&lt;0,O1502&gt;100,P1502&lt;0,Q1502&lt;0,R1502&lt;0,R1502&gt;100),"Проверьте значения","Рассчитано")))))))</x:f>
        <x:v>Нужны цены</x:v>
      </x:c>
      <x:c r="K1502" s="36" t="n">
        <x:v>11</x:v>
      </x:c>
      <x:c r="L1502" s="19" t="str">
        <x:v>KZT</x:v>
      </x:c>
      <x:c r="M1502" s="22"/>
      <x:c r="N1502" s="22"/>
      <x:c r="O1502" s="28"/>
      <x:c r="P1502" s="22"/>
      <x:c r="Q1502" s="22"/>
      <x:c r="R1502" s="28"/>
      <x:c r="S1502" s="22"/>
      <x:c r="T1502" s="35" t="n">
        <x:f>K1502</x:f>
        <x:v>11</x:v>
      </x:c>
      <x:c r="U1502" s="20" t="str">
        <x:f>IF(J1502="Рассчитано",N1502*(1-O1502/100),"н/д")</x:f>
        <x:v>н/д</x:v>
      </x:c>
      <x:c r="V1502" s="20" t="str">
        <x:f>IF(J1502="Рассчитано",T1502*U1502,"н/д")</x:f>
        <x:v>н/д</x:v>
      </x:c>
      <x:c r="W1502" s="20" t="str">
        <x:f>IF(J1502="Рассчитано",T1502*M1502,"н/д")</x:f>
        <x:v>н/д</x:v>
      </x:c>
      <x:c r="X1502" s="20" t="str">
        <x:f>IF(J1502="Рассчитано",V1502-W1502,"н/д")</x:f>
        <x:v>н/д</x:v>
      </x:c>
      <x:c r="Y1502" s="26" t="str">
        <x:f>IF(J1502="Рассчитано",IF(V1502&gt;0,G1502/V1502,"н/д"),"н/д")</x:f>
        <x:v>н/д</x:v>
      </x:c>
      <x:c r="Z1502" s="20" t="str">
        <x:f>"н/д"</x:f>
        <x:v>н/д</x:v>
      </x:c>
      <x:c r="AA1502" s="20" t="str">
        <x:f>"н/д"</x:f>
        <x:v>н/д</x:v>
      </x:c>
      <x:c r="AB1502" s="20" t="str">
        <x:f>"н/д"</x:f>
        <x:v>н/д</x:v>
      </x:c>
      <x:c r="AC1502" s="20" t="str">
        <x:f>IF(AND(J1502="Рассчитано",T1502&gt;0,R1502&lt;100),(W1502+P1502+Q1502)/(T1502*(1-R1502/100)),"н/д")</x:f>
        <x:v>н/д</x:v>
      </x:c>
      <x:c r="AD1502" s="11" t="str">
        <x:f>IF(ISNUMBER(G1502),IF(G1502&lt;0,"Убыток",IF(G1502=0,"Без прибыли","Прибыль &gt; 0")),"Не оценён")</x:f>
        <x:v>Не оценён</x:v>
      </x:c>
      <x:c r="AE1502" s="12" t="str">
        <x:f>IF(J1502="Рассчитано","Выручка "&amp;TEXT(V1502,"0.00")&amp;" - себестоимость "&amp;TEXT(W1502,"0.00")&amp;" - комиссия "&amp;TEXT(V1502*R1502/100,"0.00")&amp;" - доставка "&amp;TEXT(P1502,"0.00")&amp;" - прочие "&amp;TEXT(Q1502,"0.00")&amp;" = "&amp;TEXT(G1502,"0.00")&amp;" "&amp;L1502,"Введите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2" s="23" t="n">
        <x:v>1.0968612669052673</x:v>
      </x:c>
      <x:c r="AG1502" s="35" t="n">
        <x:v>13</x:v>
      </x:c>
      <x:c r="AH1502" s="35" t="n">
        <x:v>0</x:v>
      </x:c>
      <x:c r="AI1502" s="29" t="n">
        <x:v>46287</x:v>
      </x:c>
      <x:c r="AJ1502" s="35" t="n">
        <x:v>1</x:v>
      </x:c>
      <x:c r="AK1502" s="11" t="str">
        <x:v>кратность</x:v>
      </x:c>
      <x:c r="AL1502" s="31" t="n">
        <x:v>1010.5495918290051</x:v>
      </x:c>
      <x:c r="AM1502" s="12" t="str">
        <x:v>Нет ежедневных данных доступности. Запас более 180 дней при среднем спросе</x:v>
      </x:c>
      <x:c r="AN1502" s="12" t="str">
        <x:v>Проверить свободный остаток и установить цену для B2B</x:v>
      </x:c>
      <x:c r="AO1502" s="12" t="str">
        <x:v>Остаток 13; прогноз 90 дней 1.10; избыток 11 шт. Будущие поступления не выставляются на продажу.</x:v>
      </x:c>
      <x:c r="AP1502" s="12" t="str">
        <x:v>["daily_stockout_data_missing", "new_order_lead_time_unknown"]</x:v>
      </x:c>
      <x:c r="AQ1502" s="11" t="str">
        <x:v>SE:300200895_</x:v>
      </x:c>
      <x:c r="AR1502" s="23" t="n">
        <x:v>1</x:v>
      </x:c>
      <x:c r="AS1502" s="23" t="n">
        <x:v>0</x:v>
      </x:c>
      <x:c r="AT1502" s="23" t="n">
        <x:v>0</x:v>
      </x:c>
    </x:row>
    <x:row r="1503" ht="64" customHeight="1">
      <x:c r="A1503" s="10" t="str">
        <x:v>Systeme Electric</x:v>
      </x:c>
      <x:c r="B1503" s="34" t="str">
        <x:v>300200896_</x:v>
      </x:c>
      <x:c r="C1503" s="34" t="str">
        <x:v>GAL000945</x:v>
      </x:c>
      <x:c r="D1503" s="13" t="str">
        <x:v>G113 Роз. с з/к с/ш 16А механизм "ARTGALLERY" сталь GAL0945 (5)</x:v>
      </x:c>
      <x:c r="E1503" s="10" t="str">
        <x:v>шт</x:v>
      </x:c>
      <x:c r="F1503" s="37" t="n">
        <x:f>MAX(0,ROUNDDOWN((AG1503-AF1503)/AR1503+0.000000001,0)*AR1503)</x:f>
        <x:v>26</x:v>
      </x:c>
      <x:c r="G1503" s="21" t="str">
        <x:f>IF(J1503="Рассчитано",V1503*(1-R1503/100)-W1503-P1503-Q1503,"н/д")</x:f>
        <x:v>н/д</x:v>
      </x:c>
      <x:c r="H1503" s="13" t="str">
        <x:v>Средний</x:v>
      </x:c>
      <x:c r="I1503" s="13" t="str">
        <x:v>Высокий</x:v>
      </x:c>
      <x:c r="J1503" s="13" t="str">
        <x:f>IF(L1503="","Укажите валюту",IF(NOT(ISNUMBER(K1503)),"Укажите объём",IF(K1503&lt;=0,"Укажите объём",IF(K1503&gt;F1503,"Объём выше излишка",IF(COUNT(M1503:O1503)&lt;3,"Нужны цены",IF(COUNT(P1503:R1503)&lt;3,"Нужны расходы",IF(OR(M1503&lt;0,N1503&lt;0,O1503&lt;0,O1503&gt;100,P1503&lt;0,Q1503&lt;0,R1503&lt;0,R1503&gt;100),"Проверьте значения","Рассчитано")))))))</x:f>
        <x:v>Нужны цены</x:v>
      </x:c>
      <x:c r="K1503" s="36" t="n">
        <x:v>26</x:v>
      </x:c>
      <x:c r="L1503" s="19" t="str">
        <x:v>KZT</x:v>
      </x:c>
      <x:c r="M1503" s="22"/>
      <x:c r="N1503" s="22"/>
      <x:c r="O1503" s="28"/>
      <x:c r="P1503" s="22"/>
      <x:c r="Q1503" s="22"/>
      <x:c r="R1503" s="28"/>
      <x:c r="S1503" s="22"/>
      <x:c r="T1503" s="37" t="n">
        <x:f>K1503</x:f>
        <x:v>26</x:v>
      </x:c>
      <x:c r="U1503" s="21" t="str">
        <x:f>IF(J1503="Рассчитано",N1503*(1-O1503/100),"н/д")</x:f>
        <x:v>н/д</x:v>
      </x:c>
      <x:c r="V1503" s="21" t="str">
        <x:f>IF(J1503="Рассчитано",T1503*U1503,"н/д")</x:f>
        <x:v>н/д</x:v>
      </x:c>
      <x:c r="W1503" s="21" t="str">
        <x:f>IF(J1503="Рассчитано",T1503*M1503,"н/д")</x:f>
        <x:v>н/д</x:v>
      </x:c>
      <x:c r="X1503" s="21" t="str">
        <x:f>IF(J1503="Рассчитано",V1503-W1503,"н/д")</x:f>
        <x:v>н/д</x:v>
      </x:c>
      <x:c r="Y1503" s="27" t="str">
        <x:f>IF(J1503="Рассчитано",IF(V1503&gt;0,G1503/V1503,"н/д"),"н/д")</x:f>
        <x:v>н/д</x:v>
      </x:c>
      <x:c r="Z1503" s="21" t="str">
        <x:f>"н/д"</x:f>
        <x:v>н/д</x:v>
      </x:c>
      <x:c r="AA1503" s="21" t="str">
        <x:f>"н/д"</x:f>
        <x:v>н/д</x:v>
      </x:c>
      <x:c r="AB1503" s="21" t="str">
        <x:f>"н/д"</x:f>
        <x:v>н/д</x:v>
      </x:c>
      <x:c r="AC1503" s="21" t="str">
        <x:f>IF(AND(J1503="Рассчитано",T1503&gt;0,R1503&lt;100),(W1503+P1503+Q1503)/(T1503*(1-R1503/100)),"н/д")</x:f>
        <x:v>н/д</x:v>
      </x:c>
      <x:c r="AD1503" s="10" t="str">
        <x:f>IF(ISNUMBER(G1503),IF(G1503&lt;0,"Убыток",IF(G1503=0,"Без прибыли","Прибыль &gt; 0")),"Не оценён")</x:f>
        <x:v>Не оценён</x:v>
      </x:c>
      <x:c r="AE1503" s="13" t="str">
        <x:f>IF(J1503="Рассчитано","Выручка "&amp;TEXT(V1503,"0.00")&amp;" - себестоимость "&amp;TEXT(W1503,"0.00")&amp;" - комиссия "&amp;TEXT(V1503*R1503/100,"0.00")&amp;" - доставка "&amp;TEXT(P1503,"0.00")&amp;" - прочие "&amp;TEXT(Q1503,"0.00")&amp;" = "&amp;TEXT(G1503,"0.00")&amp;" "&amp;L1503,"Введите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3" s="24" t="n">
        <x:v>1.2796714780561445</x:v>
      </x:c>
      <x:c r="AG1503" s="37" t="n">
        <x:v>28</x:v>
      </x:c>
      <x:c r="AH1503" s="37" t="n">
        <x:v>0</x:v>
      </x:c>
      <x:c r="AI1503" s="30" t="n">
        <x:v>46287</x:v>
      </x:c>
      <x:c r="AJ1503" s="37" t="n">
        <x:v>5</x:v>
      </x:c>
      <x:c r="AK1503" s="10" t="str">
        <x:v>кратность</x:v>
      </x:c>
      <x:c r="AL1503" s="32" t="n">
        <x:v>1865.630015684317</x:v>
      </x:c>
      <x:c r="AM1503" s="13" t="str">
        <x:v>Нет ежедневных данных доступности. Запас более 180 дней при среднем спросе</x:v>
      </x:c>
      <x:c r="AN1503" s="13" t="str">
        <x:v>Проверить свободный остаток и установить цену для B2B</x:v>
      </x:c>
      <x:c r="AO1503" s="13" t="str">
        <x:v>Остаток 28; прогноз 90 дней 1.28; избыток 26 шт. Будущие поступления не выставляются на продажу.</x:v>
      </x:c>
      <x:c r="AP1503" s="13" t="str">
        <x:v>["daily_stockout_data_missing", "large_orders_detected", "new_order_lead_time_unknown"]</x:v>
      </x:c>
      <x:c r="AQ1503" s="10" t="str">
        <x:v>SE:300200896_</x:v>
      </x:c>
      <x:c r="AR1503" s="24" t="n">
        <x:v>1</x:v>
      </x:c>
      <x:c r="AS1503" s="24" t="n">
        <x:v>0</x:v>
      </x:c>
      <x:c r="AT1503" s="24" t="n">
        <x:v>0</x:v>
      </x:c>
    </x:row>
    <x:row r="1504" ht="64" customHeight="1">
      <x:c r="A1504" s="11" t="str">
        <x:v>Systeme Electric</x:v>
      </x:c>
      <x:c r="B1504" s="33" t="str">
        <x:v>300200897_</x:v>
      </x:c>
      <x:c r="C1504" s="33" t="str">
        <x:v>GAL000991</x:v>
      </x:c>
      <x:c r="D1504" s="12" t="str">
        <x:v>G114 Роз. TV оконечная механизм "ARTGALLERY" сталь GAL0991 (5)</x:v>
      </x:c>
      <x:c r="E1504" s="11" t="str">
        <x:v>шт</x:v>
      </x:c>
      <x:c r="F1504" s="35" t="n">
        <x:f>MAX(0,ROUNDDOWN((AG1504-AF1504)/AR1504+0.000000001,0)*AR1504)</x:f>
        <x:v>61</x:v>
      </x:c>
      <x:c r="G1504" s="20" t="str">
        <x:f>IF(J1504="Рассчитано",V1504*(1-R1504/100)-W1504-P1504-Q1504,"н/д")</x:f>
        <x:v>н/д</x:v>
      </x:c>
      <x:c r="H1504" s="12" t="str">
        <x:v>Средний</x:v>
      </x:c>
      <x:c r="I1504" s="12" t="str">
        <x:v>Высокий</x:v>
      </x:c>
      <x:c r="J1504" s="12" t="str">
        <x:f>IF(L1504="","Укажите валюту",IF(NOT(ISNUMBER(K1504)),"Укажите объём",IF(K1504&lt;=0,"Укажите объём",IF(K1504&gt;F1504,"Объём выше излишка",IF(COUNT(M1504:O1504)&lt;3,"Нужны цены",IF(COUNT(P1504:R1504)&lt;3,"Нужны расходы",IF(OR(M1504&lt;0,N1504&lt;0,O1504&lt;0,O1504&gt;100,P1504&lt;0,Q1504&lt;0,R1504&lt;0,R1504&gt;100),"Проверьте значения","Рассчитано")))))))</x:f>
        <x:v>Нужны цены</x:v>
      </x:c>
      <x:c r="K1504" s="36" t="n">
        <x:v>61</x:v>
      </x:c>
      <x:c r="L1504" s="19" t="str">
        <x:v>KZT</x:v>
      </x:c>
      <x:c r="M1504" s="22"/>
      <x:c r="N1504" s="22"/>
      <x:c r="O1504" s="28"/>
      <x:c r="P1504" s="22"/>
      <x:c r="Q1504" s="22"/>
      <x:c r="R1504" s="28"/>
      <x:c r="S1504" s="22"/>
      <x:c r="T1504" s="35" t="n">
        <x:f>K1504</x:f>
        <x:v>61</x:v>
      </x:c>
      <x:c r="U1504" s="20" t="str">
        <x:f>IF(J1504="Рассчитано",N1504*(1-O1504/100),"н/д")</x:f>
        <x:v>н/д</x:v>
      </x:c>
      <x:c r="V1504" s="20" t="str">
        <x:f>IF(J1504="Рассчитано",T1504*U1504,"н/д")</x:f>
        <x:v>н/д</x:v>
      </x:c>
      <x:c r="W1504" s="20" t="str">
        <x:f>IF(J1504="Рассчитано",T1504*M1504,"н/д")</x:f>
        <x:v>н/д</x:v>
      </x:c>
      <x:c r="X1504" s="20" t="str">
        <x:f>IF(J1504="Рассчитано",V1504-W1504,"н/д")</x:f>
        <x:v>н/д</x:v>
      </x:c>
      <x:c r="Y1504" s="26" t="str">
        <x:f>IF(J1504="Рассчитано",IF(V1504&gt;0,G1504/V1504,"н/д"),"н/д")</x:f>
        <x:v>н/д</x:v>
      </x:c>
      <x:c r="Z1504" s="20" t="str">
        <x:f>"н/д"</x:f>
        <x:v>н/д</x:v>
      </x:c>
      <x:c r="AA1504" s="20" t="str">
        <x:f>"н/д"</x:f>
        <x:v>н/д</x:v>
      </x:c>
      <x:c r="AB1504" s="20" t="str">
        <x:f>"н/д"</x:f>
        <x:v>н/д</x:v>
      </x:c>
      <x:c r="AC1504" s="20" t="str">
        <x:f>IF(AND(J1504="Рассчитано",T1504&gt;0,R1504&lt;100),(W1504+P1504+Q1504)/(T1504*(1-R1504/100)),"н/д")</x:f>
        <x:v>н/д</x:v>
      </x:c>
      <x:c r="AD1504" s="11" t="str">
        <x:f>IF(ISNUMBER(G1504),IF(G1504&lt;0,"Убыток",IF(G1504=0,"Без прибыли","Прибыль &gt; 0")),"Не оценён")</x:f>
        <x:v>Не оценён</x:v>
      </x:c>
      <x:c r="AE1504" s="12" t="str">
        <x:f>IF(J1504="Рассчитано","Выручка "&amp;TEXT(V1504,"0.00")&amp;" - себестоимость "&amp;TEXT(W1504,"0.00")&amp;" - комиссия "&amp;TEXT(V1504*R1504/100,"0.00")&amp;" - доставка "&amp;TEXT(P1504,"0.00")&amp;" - прочие "&amp;TEXT(Q1504,"0.00")&amp;" = "&amp;TEXT(G1504,"0.00")&amp;" "&amp;L1504,"Введите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4" s="23" t="n">
        <x:v>0.09728630305935798</x:v>
      </x:c>
      <x:c r="AG1504" s="35" t="n">
        <x:v>62</x:v>
      </x:c>
      <x:c r="AH1504" s="35" t="n">
        <x:v>0</x:v>
      </x:c>
      <x:c r="AI1504" s="29" t="n">
        <x:v>46287</x:v>
      </x:c>
      <x:c r="AJ1504" s="35" t="n">
        <x:v>5</x:v>
      </x:c>
      <x:c r="AK1504" s="11" t="str">
        <x:v>кратность</x:v>
      </x:c>
      <x:c r="AL1504" s="31" t="n">
        <x:v>54338.290167865816</x:v>
      </x:c>
      <x:c r="AM1504" s="12" t="str">
        <x:v>Нет ежедневных данных доступности. Запас более 180 дней при среднем спросе</x:v>
      </x:c>
      <x:c r="AN1504" s="12" t="str">
        <x:v>Проверить свободный остаток и установить цену для B2B</x:v>
      </x:c>
      <x:c r="AO1504" s="12" t="str">
        <x:v>Остаток 62; прогноз 90 дней 0.10; избыток 61 шт. Будущие поступления не выставляются на продажу.</x:v>
      </x:c>
      <x:c r="AP1504" s="12" t="str">
        <x:v>["daily_stockout_data_missing", "new_order_lead_time_unknown"]</x:v>
      </x:c>
      <x:c r="AQ1504" s="11" t="str">
        <x:v>SE:300200897_</x:v>
      </x:c>
      <x:c r="AR1504" s="23" t="n">
        <x:v>1</x:v>
      </x:c>
      <x:c r="AS1504" s="23" t="n">
        <x:v>0</x:v>
      </x:c>
      <x:c r="AT1504" s="23" t="n">
        <x:v>0</x:v>
      </x:c>
    </x:row>
    <x:row r="1505" ht="64" customHeight="1">
      <x:c r="A1505" s="10" t="str">
        <x:v>Systeme Electric</x:v>
      </x:c>
      <x:c r="B1505" s="34" t="str">
        <x:v>300200898_</x:v>
      </x:c>
      <x:c r="C1505" s="34" t="str">
        <x:v>GAL000901</x:v>
      </x:c>
      <x:c r="D1505" s="13" t="str">
        <x:v>G115 Рамка 1-ная "ARTGALLERY" сталь GAL0901 (10)</x:v>
      </x:c>
      <x:c r="E1505" s="10" t="str">
        <x:v>шт</x:v>
      </x:c>
      <x:c r="F1505" s="37" t="n">
        <x:f>MAX(0,ROUNDDOWN((AG1505-AF1505)/AR1505+0.000000001,0)*AR1505)</x:f>
        <x:v>36</x:v>
      </x:c>
      <x:c r="G1505" s="21" t="str">
        <x:f>IF(J1505="Рассчитано",V1505*(1-R1505/100)-W1505-P1505-Q1505,"н/д")</x:f>
        <x:v>н/д</x:v>
      </x:c>
      <x:c r="H1505" s="13" t="str">
        <x:v>Средний</x:v>
      </x:c>
      <x:c r="I1505" s="13" t="str">
        <x:v>Средний</x:v>
      </x:c>
      <x:c r="J1505" s="13" t="str">
        <x:f>IF(L1505="","Укажите валюту",IF(NOT(ISNUMBER(K1505)),"Укажите объём",IF(K1505&lt;=0,"Укажите объём",IF(K1505&gt;F1505,"Объём выше излишка",IF(COUNT(M1505:O1505)&lt;3,"Нужны цены",IF(COUNT(P1505:R1505)&lt;3,"Нужны расходы",IF(OR(M1505&lt;0,N1505&lt;0,O1505&lt;0,O1505&gt;100,P1505&lt;0,Q1505&lt;0,R1505&lt;0,R1505&gt;100),"Проверьте значения","Рассчитано")))))))</x:f>
        <x:v>Нужны цены</x:v>
      </x:c>
      <x:c r="K1505" s="36" t="n">
        <x:v>36</x:v>
      </x:c>
      <x:c r="L1505" s="19" t="str">
        <x:v>KZT</x:v>
      </x:c>
      <x:c r="M1505" s="22"/>
      <x:c r="N1505" s="22"/>
      <x:c r="O1505" s="28"/>
      <x:c r="P1505" s="22"/>
      <x:c r="Q1505" s="22"/>
      <x:c r="R1505" s="28"/>
      <x:c r="S1505" s="22"/>
      <x:c r="T1505" s="37" t="n">
        <x:f>K1505</x:f>
        <x:v>36</x:v>
      </x:c>
      <x:c r="U1505" s="21" t="str">
        <x:f>IF(J1505="Рассчитано",N1505*(1-O1505/100),"н/д")</x:f>
        <x:v>н/д</x:v>
      </x:c>
      <x:c r="V1505" s="21" t="str">
        <x:f>IF(J1505="Рассчитано",T1505*U1505,"н/д")</x:f>
        <x:v>н/д</x:v>
      </x:c>
      <x:c r="W1505" s="21" t="str">
        <x:f>IF(J1505="Рассчитано",T1505*M1505,"н/д")</x:f>
        <x:v>н/д</x:v>
      </x:c>
      <x:c r="X1505" s="21" t="str">
        <x:f>IF(J1505="Рассчитано",V1505-W1505,"н/д")</x:f>
        <x:v>н/д</x:v>
      </x:c>
      <x:c r="Y1505" s="27" t="str">
        <x:f>IF(J1505="Рассчитано",IF(V1505&gt;0,G1505/V1505,"н/д"),"н/д")</x:f>
        <x:v>н/д</x:v>
      </x:c>
      <x:c r="Z1505" s="21" t="str">
        <x:f>"н/д"</x:f>
        <x:v>н/д</x:v>
      </x:c>
      <x:c r="AA1505" s="21" t="str">
        <x:f>"н/д"</x:f>
        <x:v>н/д</x:v>
      </x:c>
      <x:c r="AB1505" s="21" t="str">
        <x:f>"н/д"</x:f>
        <x:v>н/д</x:v>
      </x:c>
      <x:c r="AC1505" s="21" t="str">
        <x:f>IF(AND(J1505="Рассчитано",T1505&gt;0,R1505&lt;100),(W1505+P1505+Q1505)/(T1505*(1-R1505/100)),"н/д")</x:f>
        <x:v>н/д</x:v>
      </x:c>
      <x:c r="AD1505" s="10" t="str">
        <x:f>IF(ISNUMBER(G1505),IF(G1505&lt;0,"Убыток",IF(G1505=0,"Без прибыли","Прибыль &gt; 0")),"Не оценён")</x:f>
        <x:v>Не оценён</x:v>
      </x:c>
      <x:c r="AE1505" s="13" t="str">
        <x:f>IF(J1505="Рассчитано","Выручка "&amp;TEXT(V1505,"0.00")&amp;" - себестоимость "&amp;TEXT(W1505,"0.00")&amp;" - комиссия "&amp;TEXT(V1505*R1505/100,"0.00")&amp;" - доставка "&amp;TEXT(P1505,"0.00")&amp;" - прочие "&amp;TEXT(Q1505,"0.00")&amp;" = "&amp;TEXT(G1505,"0.00")&amp;" "&amp;L1505,"Введите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5" s="24" t="n">
        <x:v>51.512640282485314</x:v>
      </x:c>
      <x:c r="AG1505" s="37" t="n">
        <x:v>88</x:v>
      </x:c>
      <x:c r="AH1505" s="37" t="n">
        <x:v>0</x:v>
      </x:c>
      <x:c r="AI1505" s="30" t="n">
        <x:v>46287</x:v>
      </x:c>
      <x:c r="AJ1505" s="37" t="n">
        <x:v>10</x:v>
      </x:c>
      <x:c r="AK1505" s="10" t="str">
        <x:v>кратность</x:v>
      </x:c>
      <x:c r="AL1505" s="32" t="n">
        <x:v>145.65816729603344</x:v>
      </x:c>
      <x:c r="AM1505" s="13" t="str">
        <x:v>Нет ежедневных данных доступности. Запас выше прогноза на 90 дней</x:v>
      </x:c>
      <x:c r="AN1505" s="13" t="str">
        <x:v>Проверить свободный остаток и установить цену для B2B</x:v>
      </x:c>
      <x:c r="AO1505" s="13" t="str">
        <x:v>Остаток 88; прогноз 90 дней 51.51; избыток 36 шт. Будущие поступления не выставляются на продажу.</x:v>
      </x:c>
      <x:c r="AP1505" s="13" t="str">
        <x:v>["daily_stockout_data_missing", "negative_net_sales_clipped_for_forecast", "new_order_lead_time_unknown"]</x:v>
      </x:c>
      <x:c r="AQ1505" s="10" t="str">
        <x:v>SE:300200898_</x:v>
      </x:c>
      <x:c r="AR1505" s="24" t="n">
        <x:v>1</x:v>
      </x:c>
      <x:c r="AS1505" s="24" t="n">
        <x:v>0</x:v>
      </x:c>
      <x:c r="AT1505" s="24" t="n">
        <x:v>0</x:v>
      </x:c>
    </x:row>
    <x:row r="1506" ht="64" customHeight="1">
      <x:c r="A1506" s="11" t="str">
        <x:v>Systeme Electric</x:v>
      </x:c>
      <x:c r="B1506" s="33" t="str">
        <x:v>300200899_</x:v>
      </x:c>
      <x:c r="C1506" s="33" t="str">
        <x:v>GAL000902</x:v>
      </x:c>
      <x:c r="D1506" s="12" t="str">
        <x:v>G116 Рамка 2-ная "ARTGALLERY" сталь GAL0902 (5)</x:v>
      </x:c>
      <x:c r="E1506" s="11" t="str">
        <x:v>шт</x:v>
      </x:c>
      <x:c r="F1506" s="35" t="n">
        <x:f>MAX(0,ROUNDDOWN((AG1506-AF1506)/AR1506+0.000000001,0)*AR1506)</x:f>
        <x:v>16</x:v>
      </x:c>
      <x:c r="G1506" s="20" t="str">
        <x:f>IF(J1506="Рассчитано",V1506*(1-R1506/100)-W1506-P1506-Q1506,"н/д")</x:f>
        <x:v>н/д</x:v>
      </x:c>
      <x:c r="H1506" s="12" t="str">
        <x:v>Средний</x:v>
      </x:c>
      <x:c r="I1506" s="12" t="str">
        <x:v>Средний</x:v>
      </x:c>
      <x:c r="J1506" s="12" t="str">
        <x:f>IF(L1506="","Укажите валюту",IF(NOT(ISNUMBER(K1506)),"Укажите объём",IF(K1506&lt;=0,"Укажите объём",IF(K1506&gt;F1506,"Объём выше излишка",IF(COUNT(M1506:O1506)&lt;3,"Нужны цены",IF(COUNT(P1506:R1506)&lt;3,"Нужны расходы",IF(OR(M1506&lt;0,N1506&lt;0,O1506&lt;0,O1506&gt;100,P1506&lt;0,Q1506&lt;0,R1506&lt;0,R1506&gt;100),"Проверьте значения","Рассчитано")))))))</x:f>
        <x:v>Нужны цены</x:v>
      </x:c>
      <x:c r="K1506" s="36" t="n">
        <x:v>16</x:v>
      </x:c>
      <x:c r="L1506" s="19" t="str">
        <x:v>KZT</x:v>
      </x:c>
      <x:c r="M1506" s="22"/>
      <x:c r="N1506" s="22"/>
      <x:c r="O1506" s="28"/>
      <x:c r="P1506" s="22"/>
      <x:c r="Q1506" s="22"/>
      <x:c r="R1506" s="28"/>
      <x:c r="S1506" s="22"/>
      <x:c r="T1506" s="35" t="n">
        <x:f>K1506</x:f>
        <x:v>16</x:v>
      </x:c>
      <x:c r="U1506" s="20" t="str">
        <x:f>IF(J1506="Рассчитано",N1506*(1-O1506/100),"н/д")</x:f>
        <x:v>н/д</x:v>
      </x:c>
      <x:c r="V1506" s="20" t="str">
        <x:f>IF(J1506="Рассчитано",T1506*U1506,"н/д")</x:f>
        <x:v>н/д</x:v>
      </x:c>
      <x:c r="W1506" s="20" t="str">
        <x:f>IF(J1506="Рассчитано",T1506*M1506,"н/д")</x:f>
        <x:v>н/д</x:v>
      </x:c>
      <x:c r="X1506" s="20" t="str">
        <x:f>IF(J1506="Рассчитано",V1506-W1506,"н/д")</x:f>
        <x:v>н/д</x:v>
      </x:c>
      <x:c r="Y1506" s="26" t="str">
        <x:f>IF(J1506="Рассчитано",IF(V1506&gt;0,G1506/V1506,"н/д"),"н/д")</x:f>
        <x:v>н/д</x:v>
      </x:c>
      <x:c r="Z1506" s="20" t="str">
        <x:f>"н/д"</x:f>
        <x:v>н/д</x:v>
      </x:c>
      <x:c r="AA1506" s="20" t="str">
        <x:f>"н/д"</x:f>
        <x:v>н/д</x:v>
      </x:c>
      <x:c r="AB1506" s="20" t="str">
        <x:f>"н/д"</x:f>
        <x:v>н/д</x:v>
      </x:c>
      <x:c r="AC1506" s="20" t="str">
        <x:f>IF(AND(J1506="Рассчитано",T1506&gt;0,R1506&lt;100),(W1506+P1506+Q1506)/(T1506*(1-R1506/100)),"н/д")</x:f>
        <x:v>н/д</x:v>
      </x:c>
      <x:c r="AD1506" s="11" t="str">
        <x:f>IF(ISNUMBER(G1506),IF(G1506&lt;0,"Убыток",IF(G1506=0,"Без прибыли","Прибыль &gt; 0")),"Не оценён")</x:f>
        <x:v>Не оценён</x:v>
      </x:c>
      <x:c r="AE1506" s="12" t="str">
        <x:f>IF(J1506="Рассчитано","Выручка "&amp;TEXT(V1506,"0.00")&amp;" - себестоимость "&amp;TEXT(W1506,"0.00")&amp;" - комиссия "&amp;TEXT(V1506*R1506/100,"0.00")&amp;" - доставка "&amp;TEXT(P1506,"0.00")&amp;" - прочие "&amp;TEXT(Q1506,"0.00")&amp;" = "&amp;TEXT(G1506,"0.00")&amp;" "&amp;L1506,"Введите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6" s="23" t="n">
        <x:v>30.911763863723095</x:v>
      </x:c>
      <x:c r="AG1506" s="35" t="n">
        <x:v>47</x:v>
      </x:c>
      <x:c r="AH1506" s="35" t="n">
        <x:v>0</x:v>
      </x:c>
      <x:c r="AI1506" s="29" t="n">
        <x:v>46287</x:v>
      </x:c>
      <x:c r="AJ1506" s="35" t="n">
        <x:v>5</x:v>
      </x:c>
      <x:c r="AK1506" s="11" t="str">
        <x:v>кратность</x:v>
      </x:c>
      <x:c r="AL1506" s="31" t="n">
        <x:v>129.64030679558738</x:v>
      </x:c>
      <x:c r="AM1506" s="12" t="str">
        <x:v>Нет ежедневных данных доступности. Запас выше прогноза на 90 дней</x:v>
      </x:c>
      <x:c r="AN1506" s="12" t="str">
        <x:v>Проверить свободный остаток и установить цену для B2B</x:v>
      </x:c>
      <x:c r="AO1506" s="12" t="str">
        <x:v>Остаток 47; прогноз 90 дней 30.91; избыток 16 шт. Будущие поступления не выставляются на продажу.</x:v>
      </x:c>
      <x:c r="AP1506" s="12" t="str">
        <x:v>["daily_stockout_data_missing", "negative_net_sales_clipped_for_forecast", "new_order_lead_time_unknown"]</x:v>
      </x:c>
      <x:c r="AQ1506" s="11" t="str">
        <x:v>SE:300200899_</x:v>
      </x:c>
      <x:c r="AR1506" s="23" t="n">
        <x:v>1</x:v>
      </x:c>
      <x:c r="AS1506" s="23" t="n">
        <x:v>0</x:v>
      </x:c>
      <x:c r="AT1506" s="23" t="n">
        <x:v>0</x:v>
      </x:c>
    </x:row>
    <x:row r="1507" ht="64" customHeight="1">
      <x:c r="A1507" s="10" t="str">
        <x:v>Systeme Electric</x:v>
      </x:c>
      <x:c r="B1507" s="34" t="str">
        <x:v>300200900_</x:v>
      </x:c>
      <x:c r="C1507" s="34" t="str">
        <x:v>GAL000903</x:v>
      </x:c>
      <x:c r="D1507" s="13" t="str">
        <x:v>G117 Рамка 3-ная "ARTGALLERY" сталь GAL0903 (5)</x:v>
      </x:c>
      <x:c r="E1507" s="10" t="str">
        <x:v>шт</x:v>
      </x:c>
      <x:c r="F1507" s="37" t="n">
        <x:f>MAX(0,ROUNDDOWN((AG1507-AF1507)/AR1507+0.000000001,0)*AR1507)</x:f>
        <x:v>23</x:v>
      </x:c>
      <x:c r="G1507" s="21" t="str">
        <x:f>IF(J1507="Рассчитано",V1507*(1-R1507/100)-W1507-P1507-Q1507,"н/д")</x:f>
        <x:v>н/д</x:v>
      </x:c>
      <x:c r="H1507" s="13" t="str">
        <x:v>Средний</x:v>
      </x:c>
      <x:c r="I1507" s="13" t="str">
        <x:v>Высокий</x:v>
      </x:c>
      <x:c r="J1507" s="13" t="str">
        <x:f>IF(L1507="","Укажите валюту",IF(NOT(ISNUMBER(K1507)),"Укажите объём",IF(K1507&lt;=0,"Укажите объём",IF(K1507&gt;F1507,"Объём выше излишка",IF(COUNT(M1507:O1507)&lt;3,"Нужны цены",IF(COUNT(P1507:R1507)&lt;3,"Нужны расходы",IF(OR(M1507&lt;0,N1507&lt;0,O1507&lt;0,O1507&gt;100,P1507&lt;0,Q1507&lt;0,R1507&lt;0,R1507&gt;100),"Проверьте значения","Рассчитано")))))))</x:f>
        <x:v>Нужны цены</x:v>
      </x:c>
      <x:c r="K1507" s="36" t="n">
        <x:v>23</x:v>
      </x:c>
      <x:c r="L1507" s="19" t="str">
        <x:v>KZT</x:v>
      </x:c>
      <x:c r="M1507" s="22"/>
      <x:c r="N1507" s="22"/>
      <x:c r="O1507" s="28"/>
      <x:c r="P1507" s="22"/>
      <x:c r="Q1507" s="22"/>
      <x:c r="R1507" s="28"/>
      <x:c r="S1507" s="22"/>
      <x:c r="T1507" s="37" t="n">
        <x:f>K1507</x:f>
        <x:v>23</x:v>
      </x:c>
      <x:c r="U1507" s="21" t="str">
        <x:f>IF(J1507="Рассчитано",N1507*(1-O1507/100),"н/д")</x:f>
        <x:v>н/д</x:v>
      </x:c>
      <x:c r="V1507" s="21" t="str">
        <x:f>IF(J1507="Рассчитано",T1507*U1507,"н/д")</x:f>
        <x:v>н/д</x:v>
      </x:c>
      <x:c r="W1507" s="21" t="str">
        <x:f>IF(J1507="Рассчитано",T1507*M1507,"н/д")</x:f>
        <x:v>н/д</x:v>
      </x:c>
      <x:c r="X1507" s="21" t="str">
        <x:f>IF(J1507="Рассчитано",V1507-W1507,"н/д")</x:f>
        <x:v>н/д</x:v>
      </x:c>
      <x:c r="Y1507" s="27" t="str">
        <x:f>IF(J1507="Рассчитано",IF(V1507&gt;0,G1507/V1507,"н/д"),"н/д")</x:f>
        <x:v>н/д</x:v>
      </x:c>
      <x:c r="Z1507" s="21" t="str">
        <x:f>"н/д"</x:f>
        <x:v>н/д</x:v>
      </x:c>
      <x:c r="AA1507" s="21" t="str">
        <x:f>"н/д"</x:f>
        <x:v>н/д</x:v>
      </x:c>
      <x:c r="AB1507" s="21" t="str">
        <x:f>"н/д"</x:f>
        <x:v>н/д</x:v>
      </x:c>
      <x:c r="AC1507" s="21" t="str">
        <x:f>IF(AND(J1507="Рассчитано",T1507&gt;0,R1507&lt;100),(W1507+P1507+Q1507)/(T1507*(1-R1507/100)),"н/д")</x:f>
        <x:v>н/д</x:v>
      </x:c>
      <x:c r="AD1507" s="10" t="str">
        <x:f>IF(ISNUMBER(G1507),IF(G1507&lt;0,"Убыток",IF(G1507=0,"Без прибыли","Прибыль &gt; 0")),"Не оценён")</x:f>
        <x:v>Не оценён</x:v>
      </x:c>
      <x:c r="AE1507" s="13" t="str">
        <x:f>IF(J1507="Рассчитано","Выручка "&amp;TEXT(V1507,"0.00")&amp;" - себестоимость "&amp;TEXT(W1507,"0.00")&amp;" - комиссия "&amp;TEXT(V1507*R1507/100,"0.00")&amp;" - доставка "&amp;TEXT(P1507,"0.00")&amp;" - прочие "&amp;TEXT(Q1507,"0.00")&amp;" = "&amp;TEXT(G1507,"0.00")&amp;" "&amp;L1507,"Введите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7" s="24" t="n">
        <x:v>6.787518802473436</x:v>
      </x:c>
      <x:c r="AG1507" s="37" t="n">
        <x:v>30</x:v>
      </x:c>
      <x:c r="AH1507" s="37" t="n">
        <x:v>0</x:v>
      </x:c>
      <x:c r="AI1507" s="30" t="n">
        <x:v>46287</x:v>
      </x:c>
      <x:c r="AJ1507" s="37" t="n">
        <x:v>5</x:v>
      </x:c>
      <x:c r="AK1507" s="10" t="str">
        <x:v>кратность</x:v>
      </x:c>
      <x:c r="AL1507" s="32" t="n">
        <x:v>376.85665449543336</x:v>
      </x:c>
      <x:c r="AM1507" s="13" t="str">
        <x:v>Нет ежедневных данных доступности. Запас более 180 дней при среднем спросе</x:v>
      </x:c>
      <x:c r="AN1507" s="13" t="str">
        <x:v>Проверить свободный остаток и установить цену для B2B</x:v>
      </x:c>
      <x:c r="AO1507" s="13" t="str">
        <x:v>Остаток 30; прогноз 90 дней 6.79; избыток 23 шт. Будущие поступления не выставляются на продажу.</x:v>
      </x:c>
      <x:c r="AP1507" s="13" t="str">
        <x:v>["daily_stockout_data_missing", "negative_net_sales_clipped_for_forecast", "new_order_lead_time_unknown"]</x:v>
      </x:c>
      <x:c r="AQ1507" s="10" t="str">
        <x:v>SE:300200900_</x:v>
      </x:c>
      <x:c r="AR1507" s="24" t="n">
        <x:v>1</x:v>
      </x:c>
      <x:c r="AS1507" s="24" t="n">
        <x:v>0</x:v>
      </x:c>
      <x:c r="AT1507" s="24" t="n">
        <x:v>0</x:v>
      </x:c>
    </x:row>
    <x:row r="1508" ht="64" customHeight="1">
      <x:c r="A1508" s="11" t="str">
        <x:v>Systeme Electric</x:v>
      </x:c>
      <x:c r="B1508" s="33" t="str">
        <x:v>300200901_</x:v>
      </x:c>
      <x:c r="C1508" s="33" t="str">
        <x:v>GAL000904</x:v>
      </x:c>
      <x:c r="D1508" s="12" t="str">
        <x:v>G118 Рамка 4-ная "ARTGALLERY" сталь GAL0904 (5)</x:v>
      </x:c>
      <x:c r="E1508" s="11" t="str">
        <x:v>шт</x:v>
      </x:c>
      <x:c r="F1508" s="35" t="n">
        <x:f>MAX(0,ROUNDDOWN((AG1508-AF1508)/AR1508+0.000000001,0)*AR1508)</x:f>
        <x:v>26</x:v>
      </x:c>
      <x:c r="G1508" s="20" t="str">
        <x:f>IF(J1508="Рассчитано",V1508*(1-R1508/100)-W1508-P1508-Q1508,"н/д")</x:f>
        <x:v>н/д</x:v>
      </x:c>
      <x:c r="H1508" s="12" t="str">
        <x:v>Средний</x:v>
      </x:c>
      <x:c r="I1508" s="12" t="str">
        <x:v>Высокий</x:v>
      </x:c>
      <x:c r="J1508" s="12" t="str">
        <x:f>IF(L1508="","Укажите валюту",IF(NOT(ISNUMBER(K1508)),"Укажите объём",IF(K1508&lt;=0,"Укажите объём",IF(K1508&gt;F1508,"Объём выше излишка",IF(COUNT(M1508:O1508)&lt;3,"Нужны цены",IF(COUNT(P1508:R1508)&lt;3,"Нужны расходы",IF(OR(M1508&lt;0,N1508&lt;0,O1508&lt;0,O1508&gt;100,P1508&lt;0,Q1508&lt;0,R1508&lt;0,R1508&gt;100),"Проверьте значения","Рассчитано")))))))</x:f>
        <x:v>Нужны цены</x:v>
      </x:c>
      <x:c r="K1508" s="36" t="n">
        <x:v>26</x:v>
      </x:c>
      <x:c r="L1508" s="19" t="str">
        <x:v>KZT</x:v>
      </x:c>
      <x:c r="M1508" s="22"/>
      <x:c r="N1508" s="22"/>
      <x:c r="O1508" s="28"/>
      <x:c r="P1508" s="22"/>
      <x:c r="Q1508" s="22"/>
      <x:c r="R1508" s="28"/>
      <x:c r="S1508" s="22"/>
      <x:c r="T1508" s="35" t="n">
        <x:f>K1508</x:f>
        <x:v>26</x:v>
      </x:c>
      <x:c r="U1508" s="20" t="str">
        <x:f>IF(J1508="Рассчитано",N1508*(1-O1508/100),"н/д")</x:f>
        <x:v>н/д</x:v>
      </x:c>
      <x:c r="V1508" s="20" t="str">
        <x:f>IF(J1508="Рассчитано",T1508*U1508,"н/д")</x:f>
        <x:v>н/д</x:v>
      </x:c>
      <x:c r="W1508" s="20" t="str">
        <x:f>IF(J1508="Рассчитано",T1508*M1508,"н/д")</x:f>
        <x:v>н/д</x:v>
      </x:c>
      <x:c r="X1508" s="20" t="str">
        <x:f>IF(J1508="Рассчитано",V1508-W1508,"н/д")</x:f>
        <x:v>н/д</x:v>
      </x:c>
      <x:c r="Y1508" s="26" t="str">
        <x:f>IF(J1508="Рассчитано",IF(V1508&gt;0,G1508/V1508,"н/д"),"н/д")</x:f>
        <x:v>н/д</x:v>
      </x:c>
      <x:c r="Z1508" s="20" t="str">
        <x:f>"н/д"</x:f>
        <x:v>н/д</x:v>
      </x:c>
      <x:c r="AA1508" s="20" t="str">
        <x:f>"н/д"</x:f>
        <x:v>н/д</x:v>
      </x:c>
      <x:c r="AB1508" s="20" t="str">
        <x:f>"н/д"</x:f>
        <x:v>н/д</x:v>
      </x:c>
      <x:c r="AC1508" s="20" t="str">
        <x:f>IF(AND(J1508="Рассчитано",T1508&gt;0,R1508&lt;100),(W1508+P1508+Q1508)/(T1508*(1-R1508/100)),"н/д")</x:f>
        <x:v>н/д</x:v>
      </x:c>
      <x:c r="AD1508" s="11" t="str">
        <x:f>IF(ISNUMBER(G1508),IF(G1508&lt;0,"Убыток",IF(G1508=0,"Без прибыли","Прибыль &gt; 0")),"Не оценён")</x:f>
        <x:v>Не оценён</x:v>
      </x:c>
      <x:c r="AE1508" s="12" t="str">
        <x:f>IF(J1508="Рассчитано","Выручка "&amp;TEXT(V1508,"0.00")&amp;" - себестоимость "&amp;TEXT(W1508,"0.00")&amp;" - комиссия "&amp;TEXT(V1508*R1508/100,"0.00")&amp;" - доставка "&amp;TEXT(P1508,"0.00")&amp;" - прочие "&amp;TEXT(Q1508,"0.00")&amp;" = "&amp;TEXT(G1508,"0.00")&amp;" "&amp;L1508,"Введите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8" s="23" t="n">
        <x:v>0.9643233168430821</x:v>
      </x:c>
      <x:c r="AG1508" s="35" t="n">
        <x:v>27</x:v>
      </x:c>
      <x:c r="AH1508" s="35" t="n">
        <x:v>0</x:v>
      </x:c>
      <x:c r="AI1508" s="29" t="n">
        <x:v>46287</x:v>
      </x:c>
      <x:c r="AJ1508" s="35" t="n">
        <x:v>5</x:v>
      </x:c>
      <x:c r="AK1508" s="11" t="str">
        <x:v>кратность</x:v>
      </x:c>
      <x:c r="AL1508" s="31" t="n">
        <x:v>2387.30042631241</x:v>
      </x:c>
      <x:c r="AM1508" s="12" t="str">
        <x:v>Нет ежедневных данных доступности. Запас более 180 дней при среднем спросе</x:v>
      </x:c>
      <x:c r="AN1508" s="12" t="str">
        <x:v>Проверить свободный остаток и установить цену для B2B</x:v>
      </x:c>
      <x:c r="AO1508" s="12" t="str">
        <x:v>Остаток 27; прогноз 90 дней 0.96; избыток 26 шт. Будущие поступления не выставляются на продажу.</x:v>
      </x:c>
      <x:c r="AP1508" s="12" t="str">
        <x:v>["daily_stockout_data_missing", "new_order_lead_time_unknown"]</x:v>
      </x:c>
      <x:c r="AQ1508" s="11" t="str">
        <x:v>SE:300200901_</x:v>
      </x:c>
      <x:c r="AR1508" s="23" t="n">
        <x:v>1</x:v>
      </x:c>
      <x:c r="AS1508" s="23" t="n">
        <x:v>0</x:v>
      </x:c>
      <x:c r="AT1508" s="23" t="n">
        <x:v>0</x:v>
      </x:c>
    </x:row>
    <x:row r="1509" ht="64" customHeight="1">
      <x:c r="A1509" s="10" t="str">
        <x:v>Systeme Electric</x:v>
      </x:c>
      <x:c r="B1509" s="34" t="str">
        <x:v>300200902_</x:v>
      </x:c>
      <x:c r="C1509" s="34" t="str">
        <x:v>GAL000905</x:v>
      </x:c>
      <x:c r="D1509" s="13" t="str">
        <x:v>G119 Рамка 5-ная "ARTGALLERY" сталь GAL0905 (5)</x:v>
      </x:c>
      <x:c r="E1509" s="10" t="str">
        <x:v>шт</x:v>
      </x:c>
      <x:c r="F1509" s="37" t="n">
        <x:f>MAX(0,ROUNDDOWN((AG1509-AF1509)/AR1509+0.000000001,0)*AR1509)</x:f>
        <x:v>60</x:v>
      </x:c>
      <x:c r="G1509" s="21" t="str">
        <x:f>IF(J1509="Рассчитано",V1509*(1-R1509/100)-W1509-P1509-Q1509,"н/д")</x:f>
        <x:v>н/д</x:v>
      </x:c>
      <x:c r="H1509" s="13" t="str">
        <x:v>Средний</x:v>
      </x:c>
      <x:c r="I1509" s="13" t="str">
        <x:v>Высокий</x:v>
      </x:c>
      <x:c r="J1509" s="13" t="str">
        <x:f>IF(L1509="","Укажите валюту",IF(NOT(ISNUMBER(K1509)),"Укажите объём",IF(K1509&lt;=0,"Укажите объём",IF(K1509&gt;F1509,"Объём выше излишка",IF(COUNT(M1509:O1509)&lt;3,"Нужны цены",IF(COUNT(P1509:R1509)&lt;3,"Нужны расходы",IF(OR(M1509&lt;0,N1509&lt;0,O1509&lt;0,O1509&gt;100,P1509&lt;0,Q1509&lt;0,R1509&lt;0,R1509&gt;100),"Проверьте значения","Рассчитано")))))))</x:f>
        <x:v>Нужны цены</x:v>
      </x:c>
      <x:c r="K1509" s="36" t="n">
        <x:v>60</x:v>
      </x:c>
      <x:c r="L1509" s="19" t="str">
        <x:v>KZT</x:v>
      </x:c>
      <x:c r="M1509" s="22"/>
      <x:c r="N1509" s="22"/>
      <x:c r="O1509" s="28"/>
      <x:c r="P1509" s="22"/>
      <x:c r="Q1509" s="22"/>
      <x:c r="R1509" s="28"/>
      <x:c r="S1509" s="22"/>
      <x:c r="T1509" s="37" t="n">
        <x:f>K1509</x:f>
        <x:v>60</x:v>
      </x:c>
      <x:c r="U1509" s="21" t="str">
        <x:f>IF(J1509="Рассчитано",N1509*(1-O1509/100),"н/д")</x:f>
        <x:v>н/д</x:v>
      </x:c>
      <x:c r="V1509" s="21" t="str">
        <x:f>IF(J1509="Рассчитано",T1509*U1509,"н/д")</x:f>
        <x:v>н/д</x:v>
      </x:c>
      <x:c r="W1509" s="21" t="str">
        <x:f>IF(J1509="Рассчитано",T1509*M1509,"н/д")</x:f>
        <x:v>н/д</x:v>
      </x:c>
      <x:c r="X1509" s="21" t="str">
        <x:f>IF(J1509="Рассчитано",V1509-W1509,"н/д")</x:f>
        <x:v>н/д</x:v>
      </x:c>
      <x:c r="Y1509" s="27" t="str">
        <x:f>IF(J1509="Рассчитано",IF(V1509&gt;0,G1509/V1509,"н/д"),"н/д")</x:f>
        <x:v>н/д</x:v>
      </x:c>
      <x:c r="Z1509" s="21" t="str">
        <x:f>"н/д"</x:f>
        <x:v>н/д</x:v>
      </x:c>
      <x:c r="AA1509" s="21" t="str">
        <x:f>"н/д"</x:f>
        <x:v>н/д</x:v>
      </x:c>
      <x:c r="AB1509" s="21" t="str">
        <x:f>"н/д"</x:f>
        <x:v>н/д</x:v>
      </x:c>
      <x:c r="AC1509" s="21" t="str">
        <x:f>IF(AND(J1509="Рассчитано",T1509&gt;0,R1509&lt;100),(W1509+P1509+Q1509)/(T1509*(1-R1509/100)),"н/д")</x:f>
        <x:v>н/д</x:v>
      </x:c>
      <x:c r="AD1509" s="10" t="str">
        <x:f>IF(ISNUMBER(G1509),IF(G1509&lt;0,"Убыток",IF(G1509=0,"Без прибыли","Прибыль &gt; 0")),"Не оценён")</x:f>
        <x:v>Не оценён</x:v>
      </x:c>
      <x:c r="AE1509" s="13" t="str">
        <x:f>IF(J1509="Рассчитано","Выручка "&amp;TEXT(V1509,"0.00")&amp;" - себестоимость "&amp;TEXT(W1509,"0.00")&amp;" - комиссия "&amp;TEXT(V1509*R1509/100,"0.00")&amp;" - доставка "&amp;TEXT(P1509,"0.00")&amp;" - прочие "&amp;TEXT(Q1509,"0.00")&amp;" = "&amp;TEXT(G1509,"0.00")&amp;" "&amp;L1509,"Введите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9" s="24" t="n">
        <x:v>0.4629067253611127</x:v>
      </x:c>
      <x:c r="AG1509" s="37" t="n">
        <x:v>61</x:v>
      </x:c>
      <x:c r="AH1509" s="37" t="n">
        <x:v>0</x:v>
      </x:c>
      <x:c r="AI1509" s="30" t="n">
        <x:v>46287</x:v>
      </x:c>
      <x:c r="AJ1509" s="37" t="n">
        <x:v>5</x:v>
      </x:c>
      <x:c r="AK1509" s="10" t="str">
        <x:v>кратность</x:v>
      </x:c>
      <x:c r="AL1509" s="32" t="n">
        <x:v>11235.756634701655</x:v>
      </x:c>
      <x:c r="AM1509" s="13" t="str">
        <x:v>Нет ежедневных данных доступности. Запас более 180 дней при среднем спросе</x:v>
      </x:c>
      <x:c r="AN1509" s="13" t="str">
        <x:v>Проверить свободный остаток и установить цену для B2B</x:v>
      </x:c>
      <x:c r="AO1509" s="13" t="str">
        <x:v>Остаток 61; прогноз 90 дней 0.46; избыток 60 шт. Будущие поступления не выставляются на продажу.</x:v>
      </x:c>
      <x:c r="AP1509" s="13" t="str">
        <x:v>["daily_stockout_data_missing", "negative_net_sales_clipped_for_forecast", "new_order_lead_time_unknown"]</x:v>
      </x:c>
      <x:c r="AQ1509" s="10" t="str">
        <x:v>SE:300200902_</x:v>
      </x:c>
      <x:c r="AR1509" s="24" t="n">
        <x:v>1</x:v>
      </x:c>
      <x:c r="AS1509" s="24" t="n">
        <x:v>0</x:v>
      </x:c>
      <x:c r="AT1509" s="24" t="n">
        <x:v>0</x:v>
      </x:c>
    </x:row>
    <x:row r="1510" ht="64" customHeight="1">
      <x:c r="A1510" s="11" t="str">
        <x:v>Systeme Electric</x:v>
      </x:c>
      <x:c r="B1510" s="33" t="str">
        <x:v>300200903_</x:v>
      </x:c>
      <x:c r="C1510" s="33" t="str">
        <x:v>GAL000965</x:v>
      </x:c>
      <x:c r="D1510" s="12" t="str">
        <x:v>G120 Переключ. 2 кл механизм "ARTGALLERY" сталь GAL0965 (5)</x:v>
      </x:c>
      <x:c r="E1510" s="11" t="str">
        <x:v>шт</x:v>
      </x:c>
      <x:c r="F1510" s="35" t="n">
        <x:f>MAX(0,ROUNDDOWN((AG1510-AF1510)/AR1510+0.000000001,0)*AR1510)</x:f>
        <x:v>42</x:v>
      </x:c>
      <x:c r="G1510" s="20" t="str">
        <x:f>IF(J1510="Рассчитано",V1510*(1-R1510/100)-W1510-P1510-Q1510,"н/д")</x:f>
        <x:v>н/д</x:v>
      </x:c>
      <x:c r="H1510" s="12" t="str">
        <x:v>Средний</x:v>
      </x:c>
      <x:c r="I1510" s="12" t="str">
        <x:v>Высокий</x:v>
      </x:c>
      <x:c r="J1510" s="12" t="str">
        <x:f>IF(L1510="","Укажите валюту",IF(NOT(ISNUMBER(K1510)),"Укажите объём",IF(K1510&lt;=0,"Укажите объём",IF(K1510&gt;F1510,"Объём выше излишка",IF(COUNT(M1510:O1510)&lt;3,"Нужны цены",IF(COUNT(P1510:R1510)&lt;3,"Нужны расходы",IF(OR(M1510&lt;0,N1510&lt;0,O1510&lt;0,O1510&gt;100,P1510&lt;0,Q1510&lt;0,R1510&lt;0,R1510&gt;100),"Проверьте значения","Рассчитано")))))))</x:f>
        <x:v>Нужны цены</x:v>
      </x:c>
      <x:c r="K1510" s="36" t="n">
        <x:v>42</x:v>
      </x:c>
      <x:c r="L1510" s="19" t="str">
        <x:v>KZT</x:v>
      </x:c>
      <x:c r="M1510" s="22"/>
      <x:c r="N1510" s="22"/>
      <x:c r="O1510" s="28"/>
      <x:c r="P1510" s="22"/>
      <x:c r="Q1510" s="22"/>
      <x:c r="R1510" s="28"/>
      <x:c r="S1510" s="22"/>
      <x:c r="T1510" s="35" t="n">
        <x:f>K1510</x:f>
        <x:v>42</x:v>
      </x:c>
      <x:c r="U1510" s="20" t="str">
        <x:f>IF(J1510="Рассчитано",N1510*(1-O1510/100),"н/д")</x:f>
        <x:v>н/д</x:v>
      </x:c>
      <x:c r="V1510" s="20" t="str">
        <x:f>IF(J1510="Рассчитано",T1510*U1510,"н/д")</x:f>
        <x:v>н/д</x:v>
      </x:c>
      <x:c r="W1510" s="20" t="str">
        <x:f>IF(J1510="Рассчитано",T1510*M1510,"н/д")</x:f>
        <x:v>н/д</x:v>
      </x:c>
      <x:c r="X1510" s="20" t="str">
        <x:f>IF(J1510="Рассчитано",V1510-W1510,"н/д")</x:f>
        <x:v>н/д</x:v>
      </x:c>
      <x:c r="Y1510" s="26" t="str">
        <x:f>IF(J1510="Рассчитано",IF(V1510&gt;0,G1510/V1510,"н/д"),"н/д")</x:f>
        <x:v>н/д</x:v>
      </x:c>
      <x:c r="Z1510" s="20" t="str">
        <x:f>"н/д"</x:f>
        <x:v>н/д</x:v>
      </x:c>
      <x:c r="AA1510" s="20" t="str">
        <x:f>"н/д"</x:f>
        <x:v>н/д</x:v>
      </x:c>
      <x:c r="AB1510" s="20" t="str">
        <x:f>"н/д"</x:f>
        <x:v>н/д</x:v>
      </x:c>
      <x:c r="AC1510" s="20" t="str">
        <x:f>IF(AND(J1510="Рассчитано",T1510&gt;0,R1510&lt;100),(W1510+P1510+Q1510)/(T1510*(1-R1510/100)),"н/д")</x:f>
        <x:v>н/д</x:v>
      </x:c>
      <x:c r="AD1510" s="11" t="str">
        <x:f>IF(ISNUMBER(G1510),IF(G1510&lt;0,"Убыток",IF(G1510=0,"Без прибыли","Прибыль &gt; 0")),"Не оценён")</x:f>
        <x:v>Не оценён</x:v>
      </x:c>
      <x:c r="AE1510" s="12" t="str">
        <x:f>IF(J1510="Рассчитано","Выручка "&amp;TEXT(V1510,"0.00")&amp;" - себестоимость "&amp;TEXT(W1510,"0.00")&amp;" - комиссия "&amp;TEXT(V1510*R1510/100,"0.00")&amp;" - доставка "&amp;TEXT(P1510,"0.00")&amp;" - прочие "&amp;TEXT(Q1510,"0.00")&amp;" = "&amp;TEXT(G1510,"0.00")&amp;" "&amp;L1510,"Введите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0" s="23" t="n">
        <x:v>0.7047038681274568</x:v>
      </x:c>
      <x:c r="AG1510" s="35" t="n">
        <x:v>43</x:v>
      </x:c>
      <x:c r="AH1510" s="35" t="n">
        <x:v>0</x:v>
      </x:c>
      <x:c r="AI1510" s="29" t="n">
        <x:v>46287</x:v>
      </x:c>
      <x:c r="AJ1510" s="35" t="n">
        <x:v>5</x:v>
      </x:c>
      <x:c r="AK1510" s="11" t="str">
        <x:v>кратность</x:v>
      </x:c>
      <x:c r="AL1510" s="31" t="n">
        <x:v>5202.687965274574</x:v>
      </x:c>
      <x:c r="AM1510" s="12" t="str">
        <x:v>Нет ежедневных данных доступности. Запас более 180 дней при среднем спросе</x:v>
      </x:c>
      <x:c r="AN1510" s="12" t="str">
        <x:v>Проверить свободный остаток и установить цену для B2B</x:v>
      </x:c>
      <x:c r="AO1510" s="12" t="str">
        <x:v>Остаток 43; прогноз 90 дней 0.70; избыток 42 шт. Будущие поступления не выставляются на продажу.</x:v>
      </x:c>
      <x:c r="AP1510" s="12" t="str">
        <x:v>["daily_stockout_data_missing", "new_order_lead_time_unknown"]</x:v>
      </x:c>
      <x:c r="AQ1510" s="11" t="str">
        <x:v>SE:300200903_</x:v>
      </x:c>
      <x:c r="AR1510" s="23" t="n">
        <x:v>1</x:v>
      </x:c>
      <x:c r="AS1510" s="23" t="n">
        <x:v>0</x:v>
      </x:c>
      <x:c r="AT1510" s="23" t="n">
        <x:v>0</x:v>
      </x:c>
    </x:row>
    <x:row r="1511" ht="64" customHeight="1">
      <x:c r="A1511" s="10" t="str">
        <x:v>Systeme Electric</x:v>
      </x:c>
      <x:c r="B1511" s="34" t="str">
        <x:v>300200904_</x:v>
      </x:c>
      <x:c r="C1511" s="34" t="str">
        <x:v>GAL000915</x:v>
      </x:c>
      <x:c r="D1511" s="13" t="str">
        <x:v>G121 Выкл. 1 кл кнопочный 10А механизм "ARTGALLERY" сталь GAL0915 (5)</x:v>
      </x:c>
      <x:c r="E1511" s="10" t="str">
        <x:v>шт</x:v>
      </x:c>
      <x:c r="F1511" s="37" t="n">
        <x:f>MAX(0,ROUNDDOWN((AG1511-AF1511)/AR1511+0.000000001,0)*AR1511)</x:f>
        <x:v>44</x:v>
      </x:c>
      <x:c r="G1511" s="21" t="str">
        <x:f>IF(J1511="Рассчитано",V1511*(1-R1511/100)-W1511-P1511-Q1511,"н/д")</x:f>
        <x:v>н/д</x:v>
      </x:c>
      <x:c r="H1511" s="13" t="str">
        <x:v>Средний</x:v>
      </x:c>
      <x:c r="I1511" s="13" t="str">
        <x:v>Высокий</x:v>
      </x:c>
      <x:c r="J1511" s="13" t="str">
        <x:f>IF(L1511="","Укажите валюту",IF(NOT(ISNUMBER(K1511)),"Укажите объём",IF(K1511&lt;=0,"Укажите объём",IF(K1511&gt;F1511,"Объём выше излишка",IF(COUNT(M1511:O1511)&lt;3,"Нужны цены",IF(COUNT(P1511:R1511)&lt;3,"Нужны расходы",IF(OR(M1511&lt;0,N1511&lt;0,O1511&lt;0,O1511&gt;100,P1511&lt;0,Q1511&lt;0,R1511&lt;0,R1511&gt;100),"Проверьте значения","Рассчитано")))))))</x:f>
        <x:v>Нужны цены</x:v>
      </x:c>
      <x:c r="K1511" s="36" t="n">
        <x:v>44</x:v>
      </x:c>
      <x:c r="L1511" s="19" t="str">
        <x:v>KZT</x:v>
      </x:c>
      <x:c r="M1511" s="22"/>
      <x:c r="N1511" s="22"/>
      <x:c r="O1511" s="28"/>
      <x:c r="P1511" s="22"/>
      <x:c r="Q1511" s="22"/>
      <x:c r="R1511" s="28"/>
      <x:c r="S1511" s="22"/>
      <x:c r="T1511" s="37" t="n">
        <x:f>K1511</x:f>
        <x:v>44</x:v>
      </x:c>
      <x:c r="U1511" s="21" t="str">
        <x:f>IF(J1511="Рассчитано",N1511*(1-O1511/100),"н/д")</x:f>
        <x:v>н/д</x:v>
      </x:c>
      <x:c r="V1511" s="21" t="str">
        <x:f>IF(J1511="Рассчитано",T1511*U1511,"н/д")</x:f>
        <x:v>н/д</x:v>
      </x:c>
      <x:c r="W1511" s="21" t="str">
        <x:f>IF(J1511="Рассчитано",T1511*M1511,"н/д")</x:f>
        <x:v>н/д</x:v>
      </x:c>
      <x:c r="X1511" s="21" t="str">
        <x:f>IF(J1511="Рассчитано",V1511-W1511,"н/д")</x:f>
        <x:v>н/д</x:v>
      </x:c>
      <x:c r="Y1511" s="27" t="str">
        <x:f>IF(J1511="Рассчитано",IF(V1511&gt;0,G1511/V1511,"н/д"),"н/д")</x:f>
        <x:v>н/д</x:v>
      </x:c>
      <x:c r="Z1511" s="21" t="str">
        <x:f>"н/д"</x:f>
        <x:v>н/д</x:v>
      </x:c>
      <x:c r="AA1511" s="21" t="str">
        <x:f>"н/д"</x:f>
        <x:v>н/д</x:v>
      </x:c>
      <x:c r="AB1511" s="21" t="str">
        <x:f>"н/д"</x:f>
        <x:v>н/д</x:v>
      </x:c>
      <x:c r="AC1511" s="21" t="str">
        <x:f>IF(AND(J1511="Рассчитано",T1511&gt;0,R1511&lt;100),(W1511+P1511+Q1511)/(T1511*(1-R1511/100)),"н/д")</x:f>
        <x:v>н/д</x:v>
      </x:c>
      <x:c r="AD1511" s="10" t="str">
        <x:f>IF(ISNUMBER(G1511),IF(G1511&lt;0,"Убыток",IF(G1511=0,"Без прибыли","Прибыль &gt; 0")),"Не оценён")</x:f>
        <x:v>Не оценён</x:v>
      </x:c>
      <x:c r="AE1511" s="13" t="str">
        <x:f>IF(J1511="Рассчитано","Выручка "&amp;TEXT(V1511,"0.00")&amp;" - себестоимость "&amp;TEXT(W1511,"0.00")&amp;" - комиссия "&amp;TEXT(V1511*R1511/100,"0.00")&amp;" - доставка "&amp;TEXT(P1511,"0.00")&amp;" - прочие "&amp;TEXT(Q1511,"0.00")&amp;" = "&amp;TEXT(G1511,"0.00")&amp;" "&amp;L1511,"Введите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1" s="24" t="n">
        <x:v>0.9347645157836056</x:v>
      </x:c>
      <x:c r="AG1511" s="37" t="n">
        <x:v>45</x:v>
      </x:c>
      <x:c r="AH1511" s="37" t="n">
        <x:v>0</x:v>
      </x:c>
      <x:c r="AI1511" s="30" t="n">
        <x:v>46287</x:v>
      </x:c>
      <x:c r="AJ1511" s="37" t="n">
        <x:v>5</x:v>
      </x:c>
      <x:c r="AK1511" s="10" t="str">
        <x:v>кратность</x:v>
      </x:c>
      <x:c r="AL1511" s="32" t="n">
        <x:v>4104.651361440539</x:v>
      </x:c>
      <x:c r="AM1511" s="13" t="str">
        <x:v>Нет ежедневных данных доступности. Запас более 180 дней при среднем спросе</x:v>
      </x:c>
      <x:c r="AN1511" s="13" t="str">
        <x:v>Проверить свободный остаток и установить цену для B2B</x:v>
      </x:c>
      <x:c r="AO1511" s="13" t="str">
        <x:v>Остаток 45; прогноз 90 дней 0.93; избыток 44 шт. Будущие поступления не выставляются на продажу.</x:v>
      </x:c>
      <x:c r="AP1511" s="13" t="str">
        <x:v>["daily_stockout_data_missing", "new_order_lead_time_unknown"]</x:v>
      </x:c>
      <x:c r="AQ1511" s="10" t="str">
        <x:v>SE:300200904_</x:v>
      </x:c>
      <x:c r="AR1511" s="24" t="n">
        <x:v>1</x:v>
      </x:c>
      <x:c r="AS1511" s="24" t="n">
        <x:v>0</x:v>
      </x:c>
      <x:c r="AT1511" s="24" t="n">
        <x:v>0</x:v>
      </x:c>
    </x:row>
    <x:row r="1512" ht="64" customHeight="1">
      <x:c r="A1512" s="11" t="str">
        <x:v>Systeme Electric</x:v>
      </x:c>
      <x:c r="B1512" s="33" t="str">
        <x:v>300200905_</x:v>
      </x:c>
      <x:c r="C1512" s="33" t="str">
        <x:v>GAL000999</x:v>
      </x:c>
      <x:c r="D1512" s="12" t="str">
        <x:v>G122 Вывод кабеля механизм "ARTGALLERY" сталь    GAL0999 (5)</x:v>
      </x:c>
      <x:c r="E1512" s="11" t="str">
        <x:v>шт</x:v>
      </x:c>
      <x:c r="F1512" s="35" t="n">
        <x:f>MAX(0,ROUNDDOWN((AG1512-AF1512)/AR1512+0.000000001,0)*AR1512)</x:f>
        <x:v>34</x:v>
      </x:c>
      <x:c r="G1512" s="20" t="str">
        <x:f>IF(J1512="Рассчитано",V1512*(1-R1512/100)-W1512-P1512-Q1512,"н/д")</x:f>
        <x:v>н/д</x:v>
      </x:c>
      <x:c r="H1512" s="12" t="str">
        <x:v>Средний</x:v>
      </x:c>
      <x:c r="I1512" s="12" t="str">
        <x:v>Высокий</x:v>
      </x:c>
      <x:c r="J1512" s="12" t="str">
        <x:f>IF(L1512="","Укажите валюту",IF(NOT(ISNUMBER(K1512)),"Укажите объём",IF(K1512&lt;=0,"Укажите объём",IF(K1512&gt;F1512,"Объём выше излишка",IF(COUNT(M1512:O1512)&lt;3,"Нужны цены",IF(COUNT(P1512:R1512)&lt;3,"Нужны расходы",IF(OR(M1512&lt;0,N1512&lt;0,O1512&lt;0,O1512&gt;100,P1512&lt;0,Q1512&lt;0,R1512&lt;0,R1512&gt;100),"Проверьте значения","Рассчитано")))))))</x:f>
        <x:v>Нужны цены</x:v>
      </x:c>
      <x:c r="K1512" s="36" t="n">
        <x:v>34</x:v>
      </x:c>
      <x:c r="L1512" s="19" t="str">
        <x:v>KZT</x:v>
      </x:c>
      <x:c r="M1512" s="22"/>
      <x:c r="N1512" s="22"/>
      <x:c r="O1512" s="28"/>
      <x:c r="P1512" s="22"/>
      <x:c r="Q1512" s="22"/>
      <x:c r="R1512" s="28"/>
      <x:c r="S1512" s="22"/>
      <x:c r="T1512" s="35" t="n">
        <x:f>K1512</x:f>
        <x:v>34</x:v>
      </x:c>
      <x:c r="U1512" s="20" t="str">
        <x:f>IF(J1512="Рассчитано",N1512*(1-O1512/100),"н/д")</x:f>
        <x:v>н/д</x:v>
      </x:c>
      <x:c r="V1512" s="20" t="str">
        <x:f>IF(J1512="Рассчитано",T1512*U1512,"н/д")</x:f>
        <x:v>н/д</x:v>
      </x:c>
      <x:c r="W1512" s="20" t="str">
        <x:f>IF(J1512="Рассчитано",T1512*M1512,"н/д")</x:f>
        <x:v>н/д</x:v>
      </x:c>
      <x:c r="X1512" s="20" t="str">
        <x:f>IF(J1512="Рассчитано",V1512-W1512,"н/д")</x:f>
        <x:v>н/д</x:v>
      </x:c>
      <x:c r="Y1512" s="26" t="str">
        <x:f>IF(J1512="Рассчитано",IF(V1512&gt;0,G1512/V1512,"н/д"),"н/д")</x:f>
        <x:v>н/д</x:v>
      </x:c>
      <x:c r="Z1512" s="20" t="str">
        <x:f>"н/д"</x:f>
        <x:v>н/д</x:v>
      </x:c>
      <x:c r="AA1512" s="20" t="str">
        <x:f>"н/д"</x:f>
        <x:v>н/д</x:v>
      </x:c>
      <x:c r="AB1512" s="20" t="str">
        <x:f>"н/д"</x:f>
        <x:v>н/д</x:v>
      </x:c>
      <x:c r="AC1512" s="20" t="str">
        <x:f>IF(AND(J1512="Рассчитано",T1512&gt;0,R1512&lt;100),(W1512+P1512+Q1512)/(T1512*(1-R1512/100)),"н/д")</x:f>
        <x:v>н/д</x:v>
      </x:c>
      <x:c r="AD1512" s="11" t="str">
        <x:f>IF(ISNUMBER(G1512),IF(G1512&lt;0,"Убыток",IF(G1512=0,"Без прибыли","Прибыль &gt; 0")),"Не оценён")</x:f>
        <x:v>Не оценён</x:v>
      </x:c>
      <x:c r="AE1512" s="12" t="str">
        <x:f>IF(J1512="Рассчитано","Выручка "&amp;TEXT(V1512,"0.00")&amp;" - себестоимость "&amp;TEXT(W1512,"0.00")&amp;" - комиссия "&amp;TEXT(V1512*R1512/100,"0.00")&amp;" - доставка "&amp;TEXT(P1512,"0.00")&amp;" - прочие "&amp;TEXT(Q1512,"0.00")&amp;" = "&amp;TEXT(G1512,"0.00")&amp;" "&amp;L1512,"Введите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2" s="23" t="n">
        <x:v>0.4828878149412607</x:v>
      </x:c>
      <x:c r="AG1512" s="35" t="n">
        <x:v>35</x:v>
      </x:c>
      <x:c r="AH1512" s="35" t="n">
        <x:v>0</x:v>
      </x:c>
      <x:c r="AI1512" s="29" t="n">
        <x:v>46287</x:v>
      </x:c>
      <x:c r="AJ1512" s="35" t="n">
        <x:v>5</x:v>
      </x:c>
      <x:c r="AK1512" s="11" t="str">
        <x:v>кратность</x:v>
      </x:c>
      <x:c r="AL1512" s="31" t="n">
        <x:v>6179.990066551645</x:v>
      </x:c>
      <x:c r="AM1512" s="12" t="str">
        <x:v>Нет ежедневных данных доступности. Запас более 180 дней при среднем спросе</x:v>
      </x:c>
      <x:c r="AN1512" s="12" t="str">
        <x:v>Проверить свободный остаток и установить цену для B2B</x:v>
      </x:c>
      <x:c r="AO1512" s="12" t="str">
        <x:v>Остаток 35; прогноз 90 дней 0.48; избыток 34 шт. Будущие поступления не выставляются на продажу.</x:v>
      </x:c>
      <x:c r="AP1512" s="12" t="str">
        <x:v>["daily_stockout_data_missing", "new_order_lead_time_unknown"]</x:v>
      </x:c>
      <x:c r="AQ1512" s="11" t="str">
        <x:v>SE:300200905_</x:v>
      </x:c>
      <x:c r="AR1512" s="23" t="n">
        <x:v>1</x:v>
      </x:c>
      <x:c r="AS1512" s="23" t="n">
        <x:v>0</x:v>
      </x:c>
      <x:c r="AT1512" s="23" t="n">
        <x:v>0</x:v>
      </x:c>
    </x:row>
    <x:row r="1513" ht="64" customHeight="1">
      <x:c r="A1513" s="10" t="str">
        <x:v>Systeme Electric</x:v>
      </x:c>
      <x:c r="B1513" s="34" t="str">
        <x:v>300200906_</x:v>
      </x:c>
      <x:c r="C1513" s="34" t="str">
        <x:v>GAL000989</x:v>
      </x:c>
      <x:c r="D1513" s="13" t="str">
        <x:v>G123 Роз. 2-ная TV комп. RJ45 5Е "ARTGALLERY" сталь GAL0989 (5)</x:v>
      </x:c>
      <x:c r="E1513" s="10" t="str">
        <x:v>шт</x:v>
      </x:c>
      <x:c r="F1513" s="37" t="n">
        <x:f>MAX(0,ROUNDDOWN((AG1513-AF1513)/AR1513+0.000000001,0)*AR1513)</x:f>
        <x:v>47</x:v>
      </x:c>
      <x:c r="G1513" s="21" t="str">
        <x:f>IF(J1513="Рассчитано",V1513*(1-R1513/100)-W1513-P1513-Q1513,"н/д")</x:f>
        <x:v>н/д</x:v>
      </x:c>
      <x:c r="H1513" s="13" t="str">
        <x:v>Средний</x:v>
      </x:c>
      <x:c r="I1513" s="13" t="str">
        <x:v>Высокий</x:v>
      </x:c>
      <x:c r="J1513" s="13" t="str">
        <x:f>IF(L1513="","Укажите валюту",IF(NOT(ISNUMBER(K1513)),"Укажите объём",IF(K1513&lt;=0,"Укажите объём",IF(K1513&gt;F1513,"Объём выше излишка",IF(COUNT(M1513:O1513)&lt;3,"Нужны цены",IF(COUNT(P1513:R1513)&lt;3,"Нужны расходы",IF(OR(M1513&lt;0,N1513&lt;0,O1513&lt;0,O1513&gt;100,P1513&lt;0,Q1513&lt;0,R1513&lt;0,R1513&gt;100),"Проверьте значения","Рассчитано")))))))</x:f>
        <x:v>Нужны цены</x:v>
      </x:c>
      <x:c r="K1513" s="36" t="n">
        <x:v>47</x:v>
      </x:c>
      <x:c r="L1513" s="19" t="str">
        <x:v>KZT</x:v>
      </x:c>
      <x:c r="M1513" s="22"/>
      <x:c r="N1513" s="22"/>
      <x:c r="O1513" s="28"/>
      <x:c r="P1513" s="22"/>
      <x:c r="Q1513" s="22"/>
      <x:c r="R1513" s="28"/>
      <x:c r="S1513" s="22"/>
      <x:c r="T1513" s="37" t="n">
        <x:f>K1513</x:f>
        <x:v>47</x:v>
      </x:c>
      <x:c r="U1513" s="21" t="str">
        <x:f>IF(J1513="Рассчитано",N1513*(1-O1513/100),"н/д")</x:f>
        <x:v>н/д</x:v>
      </x:c>
      <x:c r="V1513" s="21" t="str">
        <x:f>IF(J1513="Рассчитано",T1513*U1513,"н/д")</x:f>
        <x:v>н/д</x:v>
      </x:c>
      <x:c r="W1513" s="21" t="str">
        <x:f>IF(J1513="Рассчитано",T1513*M1513,"н/д")</x:f>
        <x:v>н/д</x:v>
      </x:c>
      <x:c r="X1513" s="21" t="str">
        <x:f>IF(J1513="Рассчитано",V1513-W1513,"н/д")</x:f>
        <x:v>н/д</x:v>
      </x:c>
      <x:c r="Y1513" s="27" t="str">
        <x:f>IF(J1513="Рассчитано",IF(V1513&gt;0,G1513/V1513,"н/д"),"н/д")</x:f>
        <x:v>н/д</x:v>
      </x:c>
      <x:c r="Z1513" s="21" t="str">
        <x:f>"н/д"</x:f>
        <x:v>н/д</x:v>
      </x:c>
      <x:c r="AA1513" s="21" t="str">
        <x:f>"н/д"</x:f>
        <x:v>н/д</x:v>
      </x:c>
      <x:c r="AB1513" s="21" t="str">
        <x:f>"н/д"</x:f>
        <x:v>н/д</x:v>
      </x:c>
      <x:c r="AC1513" s="21" t="str">
        <x:f>IF(AND(J1513="Рассчитано",T1513&gt;0,R1513&lt;100),(W1513+P1513+Q1513)/(T1513*(1-R1513/100)),"н/д")</x:f>
        <x:v>н/д</x:v>
      </x:c>
      <x:c r="AD1513" s="10" t="str">
        <x:f>IF(ISNUMBER(G1513),IF(G1513&lt;0,"Убыток",IF(G1513=0,"Без прибыли","Прибыль &gt; 0")),"Не оценён")</x:f>
        <x:v>Не оценён</x:v>
      </x:c>
      <x:c r="AE1513" s="13" t="str">
        <x:f>IF(J1513="Рассчитано","Выручка "&amp;TEXT(V1513,"0.00")&amp;" - себестоимость "&amp;TEXT(W1513,"0.00")&amp;" - комиссия "&amp;TEXT(V1513*R1513/100,"0.00")&amp;" - доставка "&amp;TEXT(P1513,"0.00")&amp;" - прочие "&amp;TEXT(Q1513,"0.00")&amp;" = "&amp;TEXT(G1513,"0.00")&amp;" "&amp;L1513,"Введите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3" s="24" t="n">
        <x:v>0</x:v>
      </x:c>
      <x:c r="AG1513" s="37" t="n">
        <x:v>47</x:v>
      </x:c>
      <x:c r="AH1513" s="37" t="n">
        <x:v>0</x:v>
      </x:c>
      <x:c r="AI1513" s="30" t="n">
        <x:v>46287</x:v>
      </x:c>
      <x:c r="AJ1513" s="37" t="n">
        <x:v>5</x:v>
      </x:c>
      <x:c r="AK1513" s="10" t="str">
        <x:v>кратность</x:v>
      </x:c>
      <x:c r="AL1513" s="32" t="str">
        <x:v>н/д</x:v>
      </x:c>
      <x:c r="AM1513" s="13" t="str">
        <x:v>Нет ежедневных данных доступности. Нет положительных чистых продаж за 12 месяцев</x:v>
      </x:c>
      <x:c r="AN1513" s="13" t="str">
        <x:v>Проверить свободный остаток и установить цену для B2B</x:v>
      </x:c>
      <x:c r="AO1513" s="13" t="str">
        <x:v>Остаток 47; прогноз 90 дней 0.00; избыток 47 шт. Будущие поступления не выставляются на продажу.</x:v>
      </x:c>
      <x:c r="AP1513" s="13" t="str">
        <x:v>["daily_stockout_data_missing", "new_order_lead_time_unknown"]</x:v>
      </x:c>
      <x:c r="AQ1513" s="10" t="str">
        <x:v>SE:300200906_</x:v>
      </x:c>
      <x:c r="AR1513" s="24" t="n">
        <x:v>1</x:v>
      </x:c>
      <x:c r="AS1513" s="24" t="n">
        <x:v>0</x:v>
      </x:c>
      <x:c r="AT1513" s="24" t="n">
        <x:v>0</x:v>
      </x:c>
    </x:row>
    <x:row r="1514" ht="64" customHeight="1">
      <x:c r="A1514" s="11" t="str">
        <x:v>Systeme Electric</x:v>
      </x:c>
      <x:c r="B1514" s="33" t="str">
        <x:v>300200907_</x:v>
      </x:c>
      <x:c r="C1514" s="33" t="str">
        <x:v>GAL000929</x:v>
      </x:c>
      <x:c r="D1514" s="12" t="str">
        <x:v>G124 Роз. USB A+C 45Вт высокоскор.заряд., механизм "ARTGALLERY" сталь GAL0929 (1)</x:v>
      </x:c>
      <x:c r="E1514" s="11" t="str">
        <x:v>шт</x:v>
      </x:c>
      <x:c r="F1514" s="35" t="n">
        <x:f>MAX(0,ROUNDDOWN((AG1514-AF1514)/AR1514+0.000000001,0)*AR1514)</x:f>
        <x:v>12</x:v>
      </x:c>
      <x:c r="G1514" s="20" t="str">
        <x:f>IF(J1514="Рассчитано",V1514*(1-R1514/100)-W1514-P1514-Q1514,"н/д")</x:f>
        <x:v>н/д</x:v>
      </x:c>
      <x:c r="H1514" s="12" t="str">
        <x:v>Средний</x:v>
      </x:c>
      <x:c r="I1514" s="12" t="str">
        <x:v>Высокий</x:v>
      </x:c>
      <x:c r="J1514" s="12" t="str">
        <x:f>IF(L1514="","Укажите валюту",IF(NOT(ISNUMBER(K1514)),"Укажите объём",IF(K1514&lt;=0,"Укажите объём",IF(K1514&gt;F1514,"Объём выше излишка",IF(COUNT(M1514:O1514)&lt;3,"Нужны цены",IF(COUNT(P1514:R1514)&lt;3,"Нужны расходы",IF(OR(M1514&lt;0,N1514&lt;0,O1514&lt;0,O1514&gt;100,P1514&lt;0,Q1514&lt;0,R1514&lt;0,R1514&gt;100),"Проверьте значения","Рассчитано")))))))</x:f>
        <x:v>Нужны цены</x:v>
      </x:c>
      <x:c r="K1514" s="36" t="n">
        <x:v>12</x:v>
      </x:c>
      <x:c r="L1514" s="19" t="str">
        <x:v>KZT</x:v>
      </x:c>
      <x:c r="M1514" s="22"/>
      <x:c r="N1514" s="22"/>
      <x:c r="O1514" s="28"/>
      <x:c r="P1514" s="22"/>
      <x:c r="Q1514" s="22"/>
      <x:c r="R1514" s="28"/>
      <x:c r="S1514" s="22"/>
      <x:c r="T1514" s="35" t="n">
        <x:f>K1514</x:f>
        <x:v>12</x:v>
      </x:c>
      <x:c r="U1514" s="20" t="str">
        <x:f>IF(J1514="Рассчитано",N1514*(1-O1514/100),"н/д")</x:f>
        <x:v>н/д</x:v>
      </x:c>
      <x:c r="V1514" s="20" t="str">
        <x:f>IF(J1514="Рассчитано",T1514*U1514,"н/д")</x:f>
        <x:v>н/д</x:v>
      </x:c>
      <x:c r="W1514" s="20" t="str">
        <x:f>IF(J1514="Рассчитано",T1514*M1514,"н/д")</x:f>
        <x:v>н/д</x:v>
      </x:c>
      <x:c r="X1514" s="20" t="str">
        <x:f>IF(J1514="Рассчитано",V1514-W1514,"н/д")</x:f>
        <x:v>н/д</x:v>
      </x:c>
      <x:c r="Y1514" s="26" t="str">
        <x:f>IF(J1514="Рассчитано",IF(V1514&gt;0,G1514/V1514,"н/д"),"н/д")</x:f>
        <x:v>н/д</x:v>
      </x:c>
      <x:c r="Z1514" s="20" t="str">
        <x:f>"н/д"</x:f>
        <x:v>н/д</x:v>
      </x:c>
      <x:c r="AA1514" s="20" t="str">
        <x:f>"н/д"</x:f>
        <x:v>н/д</x:v>
      </x:c>
      <x:c r="AB1514" s="20" t="str">
        <x:f>"н/д"</x:f>
        <x:v>н/д</x:v>
      </x:c>
      <x:c r="AC1514" s="20" t="str">
        <x:f>IF(AND(J1514="Рассчитано",T1514&gt;0,R1514&lt;100),(W1514+P1514+Q1514)/(T1514*(1-R1514/100)),"н/д")</x:f>
        <x:v>н/д</x:v>
      </x:c>
      <x:c r="AD1514" s="11" t="str">
        <x:f>IF(ISNUMBER(G1514),IF(G1514&lt;0,"Убыток",IF(G1514=0,"Без прибыли","Прибыль &gt; 0")),"Не оценён")</x:f>
        <x:v>Не оценён</x:v>
      </x:c>
      <x:c r="AE1514" s="12" t="str">
        <x:f>IF(J1514="Рассчитано","Выручка "&amp;TEXT(V1514,"0.00")&amp;" - себестоимость "&amp;TEXT(W1514,"0.00")&amp;" - комиссия "&amp;TEXT(V1514*R1514/100,"0.00")&amp;" - доставка "&amp;TEXT(P1514,"0.00")&amp;" - прочие "&amp;TEXT(Q1514,"0.00")&amp;" = "&amp;TEXT(G1514,"0.00")&amp;" "&amp;L1514,"Введите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4" s="23" t="n">
        <x:v>0</x:v>
      </x:c>
      <x:c r="AG1514" s="35" t="n">
        <x:v>12</x:v>
      </x:c>
      <x:c r="AH1514" s="35" t="n">
        <x:v>0</x:v>
      </x:c>
      <x:c r="AI1514" s="29" t="n">
        <x:v>46287</x:v>
      </x:c>
      <x:c r="AJ1514" s="35" t="n">
        <x:v>1</x:v>
      </x:c>
      <x:c r="AK1514" s="11" t="str">
        <x:v>кратность</x:v>
      </x:c>
      <x:c r="AL1514" s="31" t="str">
        <x:v>н/д</x:v>
      </x:c>
      <x:c r="AM1514" s="12" t="str">
        <x:v>Нет ежедневных данных доступности. Нет положительных чистых продаж за 12 месяцев</x:v>
      </x:c>
      <x:c r="AN1514" s="12" t="str">
        <x:v>Проверить свободный остаток и установить цену для B2B</x:v>
      </x:c>
      <x:c r="AO1514" s="12" t="str">
        <x:v>Остаток 12; прогноз 90 дней 0.00; избыток 12 шт. Будущие поступления не выставляются на продажу.</x:v>
      </x:c>
      <x:c r="AP1514" s="12" t="str">
        <x:v>["daily_stockout_data_missing", "new_order_lead_time_unknown"]</x:v>
      </x:c>
      <x:c r="AQ1514" s="11" t="str">
        <x:v>SE:300200907_</x:v>
      </x:c>
      <x:c r="AR1514" s="23" t="n">
        <x:v>1</x:v>
      </x:c>
      <x:c r="AS1514" s="23" t="n">
        <x:v>0</x:v>
      </x:c>
      <x:c r="AT1514" s="23" t="n">
        <x:v>0</x:v>
      </x:c>
    </x:row>
    <x:row r="1515" ht="64" customHeight="1">
      <x:c r="A1515" s="10" t="str">
        <x:v>Systeme Electric</x:v>
      </x:c>
      <x:c r="B1515" s="34" t="str">
        <x:v>300200908_</x:v>
      </x:c>
      <x:c r="C1515" s="34" t="str">
        <x:v>GAL000923</x:v>
      </x:c>
      <x:c r="D1515" s="13" t="str">
        <x:v>G125 Диммер поворотно-нажимной механизм 400Вт "ARTGALLERY" сталь GAL0923 (1)</x:v>
      </x:c>
      <x:c r="E1515" s="10" t="str">
        <x:v>шт</x:v>
      </x:c>
      <x:c r="F1515" s="37" t="n">
        <x:f>MAX(0,ROUNDDOWN((AG1515-AF1515)/AR1515+0.000000001,0)*AR1515)</x:f>
        <x:v>1</x:v>
      </x:c>
      <x:c r="G1515" s="21" t="str">
        <x:f>IF(J1515="Рассчитано",V1515*(1-R1515/100)-W1515-P1515-Q1515,"н/д")</x:f>
        <x:v>н/д</x:v>
      </x:c>
      <x:c r="H1515" s="13" t="str">
        <x:v>Средний</x:v>
      </x:c>
      <x:c r="I1515" s="13" t="str">
        <x:v>Высокий</x:v>
      </x:c>
      <x:c r="J1515" s="13" t="str">
        <x:f>IF(L1515="","Укажите валюту",IF(NOT(ISNUMBER(K1515)),"Укажите объём",IF(K1515&lt;=0,"Укажите объём",IF(K1515&gt;F1515,"Объём выше излишка",IF(COUNT(M1515:O1515)&lt;3,"Нужны цены",IF(COUNT(P1515:R1515)&lt;3,"Нужны расходы",IF(OR(M1515&lt;0,N1515&lt;0,O1515&lt;0,O1515&gt;100,P1515&lt;0,Q1515&lt;0,R1515&lt;0,R1515&gt;100),"Проверьте значения","Рассчитано")))))))</x:f>
        <x:v>Нужны цены</x:v>
      </x:c>
      <x:c r="K1515" s="36" t="n">
        <x:v>1</x:v>
      </x:c>
      <x:c r="L1515" s="19" t="str">
        <x:v>KZT</x:v>
      </x:c>
      <x:c r="M1515" s="22"/>
      <x:c r="N1515" s="22"/>
      <x:c r="O1515" s="28"/>
      <x:c r="P1515" s="22"/>
      <x:c r="Q1515" s="22"/>
      <x:c r="R1515" s="28"/>
      <x:c r="S1515" s="22"/>
      <x:c r="T1515" s="37" t="n">
        <x:f>K1515</x:f>
        <x:v>1</x:v>
      </x:c>
      <x:c r="U1515" s="21" t="str">
        <x:f>IF(J1515="Рассчитано",N1515*(1-O1515/100),"н/д")</x:f>
        <x:v>н/д</x:v>
      </x:c>
      <x:c r="V1515" s="21" t="str">
        <x:f>IF(J1515="Рассчитано",T1515*U1515,"н/д")</x:f>
        <x:v>н/д</x:v>
      </x:c>
      <x:c r="W1515" s="21" t="str">
        <x:f>IF(J1515="Рассчитано",T1515*M1515,"н/д")</x:f>
        <x:v>н/д</x:v>
      </x:c>
      <x:c r="X1515" s="21" t="str">
        <x:f>IF(J1515="Рассчитано",V1515-W1515,"н/д")</x:f>
        <x:v>н/д</x:v>
      </x:c>
      <x:c r="Y1515" s="27" t="str">
        <x:f>IF(J1515="Рассчитано",IF(V1515&gt;0,G1515/V1515,"н/д"),"н/д")</x:f>
        <x:v>н/д</x:v>
      </x:c>
      <x:c r="Z1515" s="21" t="str">
        <x:f>"н/д"</x:f>
        <x:v>н/д</x:v>
      </x:c>
      <x:c r="AA1515" s="21" t="str">
        <x:f>"н/д"</x:f>
        <x:v>н/д</x:v>
      </x:c>
      <x:c r="AB1515" s="21" t="str">
        <x:f>"н/д"</x:f>
        <x:v>н/д</x:v>
      </x:c>
      <x:c r="AC1515" s="21" t="str">
        <x:f>IF(AND(J1515="Рассчитано",T1515&gt;0,R1515&lt;100),(W1515+P1515+Q1515)/(T1515*(1-R1515/100)),"н/д")</x:f>
        <x:v>н/д</x:v>
      </x:c>
      <x:c r="AD1515" s="10" t="str">
        <x:f>IF(ISNUMBER(G1515),IF(G1515&lt;0,"Убыток",IF(G1515=0,"Без прибыли","Прибыль &gt; 0")),"Не оценён")</x:f>
        <x:v>Не оценён</x:v>
      </x:c>
      <x:c r="AE1515" s="13" t="str">
        <x:f>IF(J1515="Рассчитано","Выручка "&amp;TEXT(V1515,"0.00")&amp;" - себестоимость "&amp;TEXT(W1515,"0.00")&amp;" - комиссия "&amp;TEXT(V1515*R1515/100,"0.00")&amp;" - доставка "&amp;TEXT(P1515,"0.00")&amp;" - прочие "&amp;TEXT(Q1515,"0.00")&amp;" = "&amp;TEXT(G1515,"0.00")&amp;" "&amp;L1515,"Введите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5" s="24" t="n">
        <x:v>1.1532608352901799</x:v>
      </x:c>
      <x:c r="AG1515" s="37" t="n">
        <x:v>3</x:v>
      </x:c>
      <x:c r="AH1515" s="37" t="n">
        <x:v>0</x:v>
      </x:c>
      <x:c r="AI1515" s="30" t="n">
        <x:v>46287</x:v>
      </x:c>
      <x:c r="AJ1515" s="37" t="n">
        <x:v>1</x:v>
      </x:c>
      <x:c r="AK1515" s="10" t="str">
        <x:v>кратность</x:v>
      </x:c>
      <x:c r="AL1515" s="32" t="n">
        <x:v>221.79905446813967</x:v>
      </x:c>
      <x:c r="AM1515" s="13" t="str">
        <x:v>Нет ежедневных данных доступности. Запас более 180 дней при среднем спросе</x:v>
      </x:c>
      <x:c r="AN1515" s="13" t="str">
        <x:v>Проверить свободный остаток и установить цену для B2B</x:v>
      </x:c>
      <x:c r="AO1515" s="13" t="str">
        <x:v>Остаток 3; прогноз 90 дней 1.15; избыток 1 шт. Будущие поступления не выставляются на продажу.</x:v>
      </x:c>
      <x:c r="AP1515" s="13" t="str">
        <x:v>["daily_stockout_data_missing", "new_order_lead_time_unknown"]</x:v>
      </x:c>
      <x:c r="AQ1515" s="10" t="str">
        <x:v>SE:300200908_</x:v>
      </x:c>
      <x:c r="AR1515" s="24" t="n">
        <x:v>1</x:v>
      </x:c>
      <x:c r="AS1515" s="24" t="n">
        <x:v>0</x:v>
      </x:c>
      <x:c r="AT1515" s="24" t="n">
        <x:v>0</x:v>
      </x:c>
    </x:row>
    <x:row r="1516" ht="64" customHeight="1">
      <x:c r="A1516" s="11" t="str">
        <x:v>Systeme Electric</x:v>
      </x:c>
      <x:c r="B1516" s="33" t="str">
        <x:v>300200909_</x:v>
      </x:c>
      <x:c r="C1516" s="33" t="str">
        <x:v>GAL000946</x:v>
      </x:c>
      <x:c r="D1516" s="12" t="str">
        <x:v>G126 Роз. с з/к с/ш с крышкой 16А механизм IP20 "ARTGALLERY" сталь GAL0946 (5)</x:v>
      </x:c>
      <x:c r="E1516" s="11" t="str">
        <x:v>шт</x:v>
      </x:c>
      <x:c r="F1516" s="35" t="n">
        <x:f>MAX(0,ROUNDDOWN((AG1516-AF1516)/AR1516+0.000000001,0)*AR1516)</x:f>
        <x:v>42</x:v>
      </x:c>
      <x:c r="G1516" s="20" t="str">
        <x:f>IF(J1516="Рассчитано",V1516*(1-R1516/100)-W1516-P1516-Q1516,"н/д")</x:f>
        <x:v>н/д</x:v>
      </x:c>
      <x:c r="H1516" s="12" t="str">
        <x:v>Средний</x:v>
      </x:c>
      <x:c r="I1516" s="12" t="str">
        <x:v>Высокий</x:v>
      </x:c>
      <x:c r="J1516" s="12" t="str">
        <x:f>IF(L1516="","Укажите валюту",IF(NOT(ISNUMBER(K1516)),"Укажите объём",IF(K1516&lt;=0,"Укажите объём",IF(K1516&gt;F1516,"Объём выше излишка",IF(COUNT(M1516:O1516)&lt;3,"Нужны цены",IF(COUNT(P1516:R1516)&lt;3,"Нужны расходы",IF(OR(M1516&lt;0,N1516&lt;0,O1516&lt;0,O1516&gt;100,P1516&lt;0,Q1516&lt;0,R1516&lt;0,R1516&gt;100),"Проверьте значения","Рассчитано")))))))</x:f>
        <x:v>Нужны цены</x:v>
      </x:c>
      <x:c r="K1516" s="36" t="n">
        <x:v>42</x:v>
      </x:c>
      <x:c r="L1516" s="19" t="str">
        <x:v>KZT</x:v>
      </x:c>
      <x:c r="M1516" s="22"/>
      <x:c r="N1516" s="22"/>
      <x:c r="O1516" s="28"/>
      <x:c r="P1516" s="22"/>
      <x:c r="Q1516" s="22"/>
      <x:c r="R1516" s="28"/>
      <x:c r="S1516" s="22"/>
      <x:c r="T1516" s="35" t="n">
        <x:f>K1516</x:f>
        <x:v>42</x:v>
      </x:c>
      <x:c r="U1516" s="20" t="str">
        <x:f>IF(J1516="Рассчитано",N1516*(1-O1516/100),"н/д")</x:f>
        <x:v>н/д</x:v>
      </x:c>
      <x:c r="V1516" s="20" t="str">
        <x:f>IF(J1516="Рассчитано",T1516*U1516,"н/д")</x:f>
        <x:v>н/д</x:v>
      </x:c>
      <x:c r="W1516" s="20" t="str">
        <x:f>IF(J1516="Рассчитано",T1516*M1516,"н/д")</x:f>
        <x:v>н/д</x:v>
      </x:c>
      <x:c r="X1516" s="20" t="str">
        <x:f>IF(J1516="Рассчитано",V1516-W1516,"н/д")</x:f>
        <x:v>н/д</x:v>
      </x:c>
      <x:c r="Y1516" s="26" t="str">
        <x:f>IF(J1516="Рассчитано",IF(V1516&gt;0,G1516/V1516,"н/д"),"н/д")</x:f>
        <x:v>н/д</x:v>
      </x:c>
      <x:c r="Z1516" s="20" t="str">
        <x:f>"н/д"</x:f>
        <x:v>н/д</x:v>
      </x:c>
      <x:c r="AA1516" s="20" t="str">
        <x:f>"н/д"</x:f>
        <x:v>н/д</x:v>
      </x:c>
      <x:c r="AB1516" s="20" t="str">
        <x:f>"н/д"</x:f>
        <x:v>н/д</x:v>
      </x:c>
      <x:c r="AC1516" s="20" t="str">
        <x:f>IF(AND(J1516="Рассчитано",T1516&gt;0,R1516&lt;100),(W1516+P1516+Q1516)/(T1516*(1-R1516/100)),"н/д")</x:f>
        <x:v>н/д</x:v>
      </x:c>
      <x:c r="AD1516" s="11" t="str">
        <x:f>IF(ISNUMBER(G1516),IF(G1516&lt;0,"Убыток",IF(G1516=0,"Без прибыли","Прибыль &gt; 0")),"Не оценён")</x:f>
        <x:v>Не оценён</x:v>
      </x:c>
      <x:c r="AE1516" s="12" t="str">
        <x:f>IF(J1516="Рассчитано","Выручка "&amp;TEXT(V1516,"0.00")&amp;" - себестоимость "&amp;TEXT(W1516,"0.00")&amp;" - комиссия "&amp;TEXT(V1516*R1516/100,"0.00")&amp;" - доставка "&amp;TEXT(P1516,"0.00")&amp;" - прочие "&amp;TEXT(Q1516,"0.00")&amp;" = "&amp;TEXT(G1516,"0.00")&amp;" "&amp;L1516,"Введите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6" s="23" t="n">
        <x:v>0.9657756298825214</x:v>
      </x:c>
      <x:c r="AG1516" s="35" t="n">
        <x:v>43</x:v>
      </x:c>
      <x:c r="AH1516" s="35" t="n">
        <x:v>0</x:v>
      </x:c>
      <x:c r="AI1516" s="29" t="n">
        <x:v>46287</x:v>
      </x:c>
      <x:c r="AJ1516" s="35" t="n">
        <x:v>5</x:v>
      </x:c>
      <x:c r="AK1516" s="11" t="str">
        <x:v>кратность</x:v>
      </x:c>
      <x:c r="AL1516" s="31" t="n">
        <x:v>3796.279612310296</x:v>
      </x:c>
      <x:c r="AM1516" s="12" t="str">
        <x:v>Нет ежедневных данных доступности. Запас более 180 дней при среднем спросе</x:v>
      </x:c>
      <x:c r="AN1516" s="12" t="str">
        <x:v>Проверить свободный остаток и установить цену для B2B</x:v>
      </x:c>
      <x:c r="AO1516" s="12" t="str">
        <x:v>Остаток 43; прогноз 90 дней 0.97; избыток 42 шт. Будущие поступления не выставляются на продажу.</x:v>
      </x:c>
      <x:c r="AP1516" s="12" t="str">
        <x:v>["daily_stockout_data_missing", "new_order_lead_time_unknown"]</x:v>
      </x:c>
      <x:c r="AQ1516" s="11" t="str">
        <x:v>SE:300200909_</x:v>
      </x:c>
      <x:c r="AR1516" s="23" t="n">
        <x:v>1</x:v>
      </x:c>
      <x:c r="AS1516" s="23" t="n">
        <x:v>0</x:v>
      </x:c>
      <x:c r="AT1516" s="23" t="n">
        <x:v>0</x:v>
      </x:c>
    </x:row>
    <x:row r="1517" ht="64" customHeight="1">
      <x:c r="A1517" s="10" t="str">
        <x:v>Systeme Electric</x:v>
      </x:c>
      <x:c r="B1517" s="34" t="str">
        <x:v>300200911_</x:v>
      </x:c>
      <x:c r="C1517" s="34" t="str">
        <x:v>GAL000645</x:v>
      </x:c>
      <x:c r="D1517" s="13" t="str">
        <x:v>G128 Роз. с з/к с/ш 16А механизм "ARTGALLERY" мокко GAL0645 (10)</x:v>
      </x:c>
      <x:c r="E1517" s="10" t="str">
        <x:v>шт</x:v>
      </x:c>
      <x:c r="F1517" s="37" t="n">
        <x:f>MAX(0,ROUNDDOWN((AG1517-AF1517)/AR1517+0.000000001,0)*AR1517)</x:f>
        <x:v>40</x:v>
      </x:c>
      <x:c r="G1517" s="21" t="str">
        <x:f>IF(J1517="Рассчитано",V1517*(1-R1517/100)-W1517-P1517-Q1517,"н/д")</x:f>
        <x:v>н/д</x:v>
      </x:c>
      <x:c r="H1517" s="13" t="str">
        <x:v>Средний</x:v>
      </x:c>
      <x:c r="I1517" s="13" t="str">
        <x:v>Высокий</x:v>
      </x:c>
      <x:c r="J1517" s="13" t="str">
        <x:f>IF(L1517="","Укажите валюту",IF(NOT(ISNUMBER(K1517)),"Укажите объём",IF(K1517&lt;=0,"Укажите объём",IF(K1517&gt;F1517,"Объём выше излишка",IF(COUNT(M1517:O1517)&lt;3,"Нужны цены",IF(COUNT(P1517:R1517)&lt;3,"Нужны расходы",IF(OR(M1517&lt;0,N1517&lt;0,O1517&lt;0,O1517&gt;100,P1517&lt;0,Q1517&lt;0,R1517&lt;0,R1517&gt;100),"Проверьте значения","Рассчитано")))))))</x:f>
        <x:v>Нужны цены</x:v>
      </x:c>
      <x:c r="K1517" s="36" t="n">
        <x:v>40</x:v>
      </x:c>
      <x:c r="L1517" s="19" t="str">
        <x:v>KZT</x:v>
      </x:c>
      <x:c r="M1517" s="22"/>
      <x:c r="N1517" s="22"/>
      <x:c r="O1517" s="28"/>
      <x:c r="P1517" s="22"/>
      <x:c r="Q1517" s="22"/>
      <x:c r="R1517" s="28"/>
      <x:c r="S1517" s="22"/>
      <x:c r="T1517" s="37" t="n">
        <x:f>K1517</x:f>
        <x:v>40</x:v>
      </x:c>
      <x:c r="U1517" s="21" t="str">
        <x:f>IF(J1517="Рассчитано",N1517*(1-O1517/100),"н/д")</x:f>
        <x:v>н/д</x:v>
      </x:c>
      <x:c r="V1517" s="21" t="str">
        <x:f>IF(J1517="Рассчитано",T1517*U1517,"н/д")</x:f>
        <x:v>н/д</x:v>
      </x:c>
      <x:c r="W1517" s="21" t="str">
        <x:f>IF(J1517="Рассчитано",T1517*M1517,"н/д")</x:f>
        <x:v>н/д</x:v>
      </x:c>
      <x:c r="X1517" s="21" t="str">
        <x:f>IF(J1517="Рассчитано",V1517-W1517,"н/д")</x:f>
        <x:v>н/д</x:v>
      </x:c>
      <x:c r="Y1517" s="27" t="str">
        <x:f>IF(J1517="Рассчитано",IF(V1517&gt;0,G1517/V1517,"н/д"),"н/д")</x:f>
        <x:v>н/д</x:v>
      </x:c>
      <x:c r="Z1517" s="21" t="str">
        <x:f>"н/д"</x:f>
        <x:v>н/д</x:v>
      </x:c>
      <x:c r="AA1517" s="21" t="str">
        <x:f>"н/д"</x:f>
        <x:v>н/д</x:v>
      </x:c>
      <x:c r="AB1517" s="21" t="str">
        <x:f>"н/д"</x:f>
        <x:v>н/д</x:v>
      </x:c>
      <x:c r="AC1517" s="21" t="str">
        <x:f>IF(AND(J1517="Рассчитано",T1517&gt;0,R1517&lt;100),(W1517+P1517+Q1517)/(T1517*(1-R1517/100)),"н/д")</x:f>
        <x:v>н/д</x:v>
      </x:c>
      <x:c r="AD1517" s="10" t="str">
        <x:f>IF(ISNUMBER(G1517),IF(G1517&lt;0,"Убыток",IF(G1517=0,"Без прибыли","Прибыль &gt; 0")),"Не оценён")</x:f>
        <x:v>Не оценён</x:v>
      </x:c>
      <x:c r="AE1517" s="13" t="str">
        <x:f>IF(J1517="Рассчитано","Выручка "&amp;TEXT(V1517,"0.00")&amp;" - себестоимость "&amp;TEXT(W1517,"0.00")&amp;" - комиссия "&amp;TEXT(V1517*R1517/100,"0.00")&amp;" - доставка "&amp;TEXT(P1517,"0.00")&amp;" - прочие "&amp;TEXT(Q1517,"0.00")&amp;" = "&amp;TEXT(G1517,"0.00")&amp;" "&amp;L1517,"Введите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7" s="24" t="n">
        <x:v>3.0122605220542003</x:v>
      </x:c>
      <x:c r="AG1517" s="37" t="n">
        <x:v>44</x:v>
      </x:c>
      <x:c r="AH1517" s="37" t="n">
        <x:v>0</x:v>
      </x:c>
      <x:c r="AI1517" s="30" t="n">
        <x:v>46287</x:v>
      </x:c>
      <x:c r="AJ1517" s="37" t="n">
        <x:v>10</x:v>
      </x:c>
      <x:c r="AK1517" s="10" t="str">
        <x:v>кратность</x:v>
      </x:c>
      <x:c r="AL1517" s="32" t="n">
        <x:v>1245.449508963759</x:v>
      </x:c>
      <x:c r="AM1517" s="13" t="str">
        <x:v>Нет ежедневных данных доступности. Запас более 180 дней при среднем спросе</x:v>
      </x:c>
      <x:c r="AN1517" s="13" t="str">
        <x:v>Проверить свободный остаток и установить цену для B2B</x:v>
      </x:c>
      <x:c r="AO1517" s="13" t="str">
        <x:v>Остаток 44; прогноз 90 дней 3.01; избыток 40 шт. Будущие поступления не выставляются на продажу.</x:v>
      </x:c>
      <x:c r="AP1517" s="13" t="str">
        <x:v>["daily_stockout_data_missing", "new_order_lead_time_unknown"]</x:v>
      </x:c>
      <x:c r="AQ1517" s="10" t="str">
        <x:v>SE:300200911_</x:v>
      </x:c>
      <x:c r="AR1517" s="24" t="n">
        <x:v>1</x:v>
      </x:c>
      <x:c r="AS1517" s="24" t="n">
        <x:v>0</x:v>
      </x:c>
      <x:c r="AT1517" s="24" t="n">
        <x:v>0</x:v>
      </x:c>
    </x:row>
    <x:row r="1518" ht="64" customHeight="1">
      <x:c r="A1518" s="11" t="str">
        <x:v>Systeme Electric</x:v>
      </x:c>
      <x:c r="B1518" s="33" t="str">
        <x:v>300200913_</x:v>
      </x:c>
      <x:c r="C1518" s="33" t="str">
        <x:v>GAL000613</x:v>
      </x:c>
      <x:c r="D1518" s="12" t="str">
        <x:v>G130 Выкл. 1 кл с инд 10А механизм "ARTGALLERY" мокко GAL0613 (10)</x:v>
      </x:c>
      <x:c r="E1518" s="11" t="str">
        <x:v>шт</x:v>
      </x:c>
      <x:c r="F1518" s="35" t="n">
        <x:f>MAX(0,ROUNDDOWN((AG1518-AF1518)/AR1518+0.000000001,0)*AR1518)</x:f>
        <x:v>92</x:v>
      </x:c>
      <x:c r="G1518" s="20" t="str">
        <x:f>IF(J1518="Рассчитано",V1518*(1-R1518/100)-W1518-P1518-Q1518,"н/д")</x:f>
        <x:v>н/д</x:v>
      </x:c>
      <x:c r="H1518" s="12" t="str">
        <x:v>Средний</x:v>
      </x:c>
      <x:c r="I1518" s="12" t="str">
        <x:v>Высокий</x:v>
      </x:c>
      <x:c r="J1518" s="12" t="str">
        <x:f>IF(L1518="","Укажите валюту",IF(NOT(ISNUMBER(K1518)),"Укажите объём",IF(K1518&lt;=0,"Укажите объём",IF(K1518&gt;F1518,"Объём выше излишка",IF(COUNT(M1518:O1518)&lt;3,"Нужны цены",IF(COUNT(P1518:R1518)&lt;3,"Нужны расходы",IF(OR(M1518&lt;0,N1518&lt;0,O1518&lt;0,O1518&gt;100,P1518&lt;0,Q1518&lt;0,R1518&lt;0,R1518&gt;100),"Проверьте значения","Рассчитано")))))))</x:f>
        <x:v>Нужны цены</x:v>
      </x:c>
      <x:c r="K1518" s="36" t="n">
        <x:v>92</x:v>
      </x:c>
      <x:c r="L1518" s="19" t="str">
        <x:v>KZT</x:v>
      </x:c>
      <x:c r="M1518" s="22"/>
      <x:c r="N1518" s="22"/>
      <x:c r="O1518" s="28"/>
      <x:c r="P1518" s="22"/>
      <x:c r="Q1518" s="22"/>
      <x:c r="R1518" s="28"/>
      <x:c r="S1518" s="22"/>
      <x:c r="T1518" s="35" t="n">
        <x:f>K1518</x:f>
        <x:v>92</x:v>
      </x:c>
      <x:c r="U1518" s="20" t="str">
        <x:f>IF(J1518="Рассчитано",N1518*(1-O1518/100),"н/д")</x:f>
        <x:v>н/д</x:v>
      </x:c>
      <x:c r="V1518" s="20" t="str">
        <x:f>IF(J1518="Рассчитано",T1518*U1518,"н/д")</x:f>
        <x:v>н/д</x:v>
      </x:c>
      <x:c r="W1518" s="20" t="str">
        <x:f>IF(J1518="Рассчитано",T1518*M1518,"н/д")</x:f>
        <x:v>н/д</x:v>
      </x:c>
      <x:c r="X1518" s="20" t="str">
        <x:f>IF(J1518="Рассчитано",V1518-W1518,"н/д")</x:f>
        <x:v>н/д</x:v>
      </x:c>
      <x:c r="Y1518" s="26" t="str">
        <x:f>IF(J1518="Рассчитано",IF(V1518&gt;0,G1518/V1518,"н/д"),"н/д")</x:f>
        <x:v>н/д</x:v>
      </x:c>
      <x:c r="Z1518" s="20" t="str">
        <x:f>"н/д"</x:f>
        <x:v>н/д</x:v>
      </x:c>
      <x:c r="AA1518" s="20" t="str">
        <x:f>"н/д"</x:f>
        <x:v>н/д</x:v>
      </x:c>
      <x:c r="AB1518" s="20" t="str">
        <x:f>"н/д"</x:f>
        <x:v>н/д</x:v>
      </x:c>
      <x:c r="AC1518" s="20" t="str">
        <x:f>IF(AND(J1518="Рассчитано",T1518&gt;0,R1518&lt;100),(W1518+P1518+Q1518)/(T1518*(1-R1518/100)),"н/д")</x:f>
        <x:v>н/д</x:v>
      </x:c>
      <x:c r="AD1518" s="11" t="str">
        <x:f>IF(ISNUMBER(G1518),IF(G1518&lt;0,"Убыток",IF(G1518=0,"Без прибыли","Прибыль &gt; 0")),"Не оценён")</x:f>
        <x:v>Не оценён</x:v>
      </x:c>
      <x:c r="AE1518" s="12" t="str">
        <x:f>IF(J1518="Рассчитано","Выручка "&amp;TEXT(V1518,"0.00")&amp;" - себестоимость "&amp;TEXT(W1518,"0.00")&amp;" - комиссия "&amp;TEXT(V1518*R1518/100,"0.00")&amp;" - доставка "&amp;TEXT(P1518,"0.00")&amp;" - прочие "&amp;TEXT(Q1518,"0.00")&amp;" = "&amp;TEXT(G1518,"0.00")&amp;" "&amp;L1518,"Введите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8" s="23" t="n">
        <x:v>6.489205504673518</x:v>
      </x:c>
      <x:c r="AG1518" s="35" t="n">
        <x:v>99</x:v>
      </x:c>
      <x:c r="AH1518" s="35" t="n">
        <x:v>0</x:v>
      </x:c>
      <x:c r="AI1518" s="29" t="n">
        <x:v>46287</x:v>
      </x:c>
      <x:c r="AJ1518" s="35" t="n">
        <x:v>10</x:v>
      </x:c>
      <x:c r="AK1518" s="11" t="str">
        <x:v>кратность</x:v>
      </x:c>
      <x:c r="AL1518" s="31" t="n">
        <x:v>1300.797357559898</x:v>
      </x:c>
      <x:c r="AM1518" s="12" t="str">
        <x:v>Нет ежедневных данных доступности. Нет положительных чистых продаж за 12 месяцев</x:v>
      </x:c>
      <x:c r="AN1518" s="12" t="str">
        <x:v>Проверить свободный остаток и установить цену для B2B</x:v>
      </x:c>
      <x:c r="AO1518" s="12" t="str">
        <x:v>Остаток 99; прогноз 90 дней 6.49; избыток 92 шт. Будущие поступления не выставляются на продажу.</x:v>
      </x:c>
      <x:c r="AP1518" s="12" t="str">
        <x:v>["daily_stockout_data_missing", "negative_net_sales_clipped_for_forecast", "new_order_lead_time_unknown"]</x:v>
      </x:c>
      <x:c r="AQ1518" s="11" t="str">
        <x:v>SE:300200913_</x:v>
      </x:c>
      <x:c r="AR1518" s="23" t="n">
        <x:v>1</x:v>
      </x:c>
      <x:c r="AS1518" s="23" t="n">
        <x:v>0</x:v>
      </x:c>
      <x:c r="AT1518" s="23" t="n">
        <x:v>0</x:v>
      </x:c>
    </x:row>
    <x:row r="1519" ht="64" customHeight="1">
      <x:c r="A1519" s="10" t="str">
        <x:v>Systeme Electric</x:v>
      </x:c>
      <x:c r="B1519" s="34" t="str">
        <x:v>300200914_</x:v>
      </x:c>
      <x:c r="C1519" s="34" t="str">
        <x:v>GAL000651</x:v>
      </x:c>
      <x:c r="D1519" s="13" t="str">
        <x:v>G131 Выкл. 2 кл 10А механизм "ARTGALLERY" мокко GAL0651 (10)</x:v>
      </x:c>
      <x:c r="E1519" s="10" t="str">
        <x:v>шт</x:v>
      </x:c>
      <x:c r="F1519" s="37" t="n">
        <x:f>MAX(0,ROUNDDOWN((AG1519-AF1519)/AR1519+0.000000001,0)*AR1519)</x:f>
        <x:v>19</x:v>
      </x:c>
      <x:c r="G1519" s="21" t="str">
        <x:f>IF(J1519="Рассчитано",V1519*(1-R1519/100)-W1519-P1519-Q1519,"н/д")</x:f>
        <x:v>н/д</x:v>
      </x:c>
      <x:c r="H1519" s="13" t="str">
        <x:v>Средний</x:v>
      </x:c>
      <x:c r="I1519" s="13" t="str">
        <x:v>Средний</x:v>
      </x:c>
      <x:c r="J1519" s="13" t="str">
        <x:f>IF(L1519="","Укажите валюту",IF(NOT(ISNUMBER(K1519)),"Укажите объём",IF(K1519&lt;=0,"Укажите объём",IF(K1519&gt;F1519,"Объём выше излишка",IF(COUNT(M1519:O1519)&lt;3,"Нужны цены",IF(COUNT(P1519:R1519)&lt;3,"Нужны расходы",IF(OR(M1519&lt;0,N1519&lt;0,O1519&lt;0,O1519&gt;100,P1519&lt;0,Q1519&lt;0,R1519&lt;0,R1519&gt;100),"Проверьте значения","Рассчитано")))))))</x:f>
        <x:v>Нужны цены</x:v>
      </x:c>
      <x:c r="K1519" s="36" t="n">
        <x:v>19</x:v>
      </x:c>
      <x:c r="L1519" s="19" t="str">
        <x:v>KZT</x:v>
      </x:c>
      <x:c r="M1519" s="22"/>
      <x:c r="N1519" s="22"/>
      <x:c r="O1519" s="28"/>
      <x:c r="P1519" s="22"/>
      <x:c r="Q1519" s="22"/>
      <x:c r="R1519" s="28"/>
      <x:c r="S1519" s="22"/>
      <x:c r="T1519" s="37" t="n">
        <x:f>K1519</x:f>
        <x:v>19</x:v>
      </x:c>
      <x:c r="U1519" s="21" t="str">
        <x:f>IF(J1519="Рассчитано",N1519*(1-O1519/100),"н/д")</x:f>
        <x:v>н/д</x:v>
      </x:c>
      <x:c r="V1519" s="21" t="str">
        <x:f>IF(J1519="Рассчитано",T1519*U1519,"н/д")</x:f>
        <x:v>н/д</x:v>
      </x:c>
      <x:c r="W1519" s="21" t="str">
        <x:f>IF(J1519="Рассчитано",T1519*M1519,"н/д")</x:f>
        <x:v>н/д</x:v>
      </x:c>
      <x:c r="X1519" s="21" t="str">
        <x:f>IF(J1519="Рассчитано",V1519-W1519,"н/д")</x:f>
        <x:v>н/д</x:v>
      </x:c>
      <x:c r="Y1519" s="27" t="str">
        <x:f>IF(J1519="Рассчитано",IF(V1519&gt;0,G1519/V1519,"н/д"),"н/д")</x:f>
        <x:v>н/д</x:v>
      </x:c>
      <x:c r="Z1519" s="21" t="str">
        <x:f>"н/д"</x:f>
        <x:v>н/д</x:v>
      </x:c>
      <x:c r="AA1519" s="21" t="str">
        <x:f>"н/д"</x:f>
        <x:v>н/д</x:v>
      </x:c>
      <x:c r="AB1519" s="21" t="str">
        <x:f>"н/д"</x:f>
        <x:v>н/д</x:v>
      </x:c>
      <x:c r="AC1519" s="21" t="str">
        <x:f>IF(AND(J1519="Рассчитано",T1519&gt;0,R1519&lt;100),(W1519+P1519+Q1519)/(T1519*(1-R1519/100)),"н/д")</x:f>
        <x:v>н/д</x:v>
      </x:c>
      <x:c r="AD1519" s="10" t="str">
        <x:f>IF(ISNUMBER(G1519),IF(G1519&lt;0,"Убыток",IF(G1519=0,"Без прибыли","Прибыль &gt; 0")),"Не оценён")</x:f>
        <x:v>Не оценён</x:v>
      </x:c>
      <x:c r="AE1519" s="13" t="str">
        <x:f>IF(J1519="Рассчитано","Выручка "&amp;TEXT(V1519,"0.00")&amp;" - себестоимость "&amp;TEXT(W1519,"0.00")&amp;" - комиссия "&amp;TEXT(V1519*R1519/100,"0.00")&amp;" - доставка "&amp;TEXT(P1519,"0.00")&amp;" - прочие "&amp;TEXT(Q1519,"0.00")&amp;" = "&amp;TEXT(G1519,"0.00")&amp;" "&amp;L1519,"Введите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9" s="24" t="n">
        <x:v>34.20443109780441</x:v>
      </x:c>
      <x:c r="AG1519" s="37" t="n">
        <x:v>54</x:v>
      </x:c>
      <x:c r="AH1519" s="37" t="n">
        <x:v>0</x:v>
      </x:c>
      <x:c r="AI1519" s="30" t="n">
        <x:v>46287</x:v>
      </x:c>
      <x:c r="AJ1519" s="37" t="n">
        <x:v>10</x:v>
      </x:c>
      <x:c r="AK1519" s="10" t="str">
        <x:v>кратность</x:v>
      </x:c>
      <x:c r="AL1519" s="32" t="n">
        <x:v>134.61001346987837</x:v>
      </x:c>
      <x:c r="AM1519" s="13" t="str">
        <x:v>Нет ежедневных данных доступности. Запас выше прогноза на 90 дней</x:v>
      </x:c>
      <x:c r="AN1519" s="13" t="str">
        <x:v>Проверить свободный остаток и установить цену для B2B</x:v>
      </x:c>
      <x:c r="AO1519" s="13" t="str">
        <x:v>Остаток 54; прогноз 90 дней 34.20; избыток 19 шт. Будущие поступления не выставляются на продажу.</x:v>
      </x:c>
      <x:c r="AP1519" s="13" t="str">
        <x:v>["daily_stockout_data_missing", "negative_net_sales_clipped_for_forecast", "new_order_lead_time_unknown"]</x:v>
      </x:c>
      <x:c r="AQ1519" s="10" t="str">
        <x:v>SE:300200914_</x:v>
      </x:c>
      <x:c r="AR1519" s="24" t="n">
        <x:v>1</x:v>
      </x:c>
      <x:c r="AS1519" s="24" t="n">
        <x:v>0</x:v>
      </x:c>
      <x:c r="AT1519" s="24" t="n">
        <x:v>0</x:v>
      </x:c>
    </x:row>
    <x:row r="1520" ht="64" customHeight="1">
      <x:c r="A1520" s="11" t="str">
        <x:v>Systeme Electric</x:v>
      </x:c>
      <x:c r="B1520" s="33" t="str">
        <x:v>300200915_</x:v>
      </x:c>
      <x:c r="C1520" s="33" t="str">
        <x:v>GAL000653</x:v>
      </x:c>
      <x:c r="D1520" s="12" t="str">
        <x:v>G132 Выкл. 2 кл с инд 10А механизм "ARTGALLERY" мокко GAL0653 (10)</x:v>
      </x:c>
      <x:c r="E1520" s="11" t="str">
        <x:v>шт</x:v>
      </x:c>
      <x:c r="F1520" s="35" t="n">
        <x:f>MAX(0,ROUNDDOWN((AG1520-AF1520)/AR1520+0.000000001,0)*AR1520)</x:f>
        <x:v>107</x:v>
      </x:c>
      <x:c r="G1520" s="20" t="str">
        <x:f>IF(J1520="Рассчитано",V1520*(1-R1520/100)-W1520-P1520-Q1520,"н/д")</x:f>
        <x:v>н/д</x:v>
      </x:c>
      <x:c r="H1520" s="12" t="str">
        <x:v>Средний</x:v>
      </x:c>
      <x:c r="I1520" s="12" t="str">
        <x:v>Высокий</x:v>
      </x:c>
      <x:c r="J1520" s="12" t="str">
        <x:f>IF(L1520="","Укажите валюту",IF(NOT(ISNUMBER(K1520)),"Укажите объём",IF(K1520&lt;=0,"Укажите объём",IF(K1520&gt;F1520,"Объём выше излишка",IF(COUNT(M1520:O1520)&lt;3,"Нужны цены",IF(COUNT(P1520:R1520)&lt;3,"Нужны расходы",IF(OR(M1520&lt;0,N1520&lt;0,O1520&lt;0,O1520&gt;100,P1520&lt;0,Q1520&lt;0,R1520&lt;0,R1520&gt;100),"Проверьте значения","Рассчитано")))))))</x:f>
        <x:v>Нужны цены</x:v>
      </x:c>
      <x:c r="K1520" s="36" t="n">
        <x:v>107</x:v>
      </x:c>
      <x:c r="L1520" s="19" t="str">
        <x:v>KZT</x:v>
      </x:c>
      <x:c r="M1520" s="22"/>
      <x:c r="N1520" s="22"/>
      <x:c r="O1520" s="28"/>
      <x:c r="P1520" s="22"/>
      <x:c r="Q1520" s="22"/>
      <x:c r="R1520" s="28"/>
      <x:c r="S1520" s="22"/>
      <x:c r="T1520" s="35" t="n">
        <x:f>K1520</x:f>
        <x:v>107</x:v>
      </x:c>
      <x:c r="U1520" s="20" t="str">
        <x:f>IF(J1520="Рассчитано",N1520*(1-O1520/100),"н/д")</x:f>
        <x:v>н/д</x:v>
      </x:c>
      <x:c r="V1520" s="20" t="str">
        <x:f>IF(J1520="Рассчитано",T1520*U1520,"н/д")</x:f>
        <x:v>н/д</x:v>
      </x:c>
      <x:c r="W1520" s="20" t="str">
        <x:f>IF(J1520="Рассчитано",T1520*M1520,"н/д")</x:f>
        <x:v>н/д</x:v>
      </x:c>
      <x:c r="X1520" s="20" t="str">
        <x:f>IF(J1520="Рассчитано",V1520-W1520,"н/д")</x:f>
        <x:v>н/д</x:v>
      </x:c>
      <x:c r="Y1520" s="26" t="str">
        <x:f>IF(J1520="Рассчитано",IF(V1520&gt;0,G1520/V1520,"н/д"),"н/д")</x:f>
        <x:v>н/д</x:v>
      </x:c>
      <x:c r="Z1520" s="20" t="str">
        <x:f>"н/д"</x:f>
        <x:v>н/д</x:v>
      </x:c>
      <x:c r="AA1520" s="20" t="str">
        <x:f>"н/д"</x:f>
        <x:v>н/д</x:v>
      </x:c>
      <x:c r="AB1520" s="20" t="str">
        <x:f>"н/д"</x:f>
        <x:v>н/д</x:v>
      </x:c>
      <x:c r="AC1520" s="20" t="str">
        <x:f>IF(AND(J1520="Рассчитано",T1520&gt;0,R1520&lt;100),(W1520+P1520+Q1520)/(T1520*(1-R1520/100)),"н/д")</x:f>
        <x:v>н/д</x:v>
      </x:c>
      <x:c r="AD1520" s="11" t="str">
        <x:f>IF(ISNUMBER(G1520),IF(G1520&lt;0,"Убыток",IF(G1520=0,"Без прибыли","Прибыль &gt; 0")),"Не оценён")</x:f>
        <x:v>Не оценён</x:v>
      </x:c>
      <x:c r="AE1520" s="12" t="str">
        <x:f>IF(J1520="Рассчитано","Выручка "&amp;TEXT(V1520,"0.00")&amp;" - себестоимость "&amp;TEXT(W1520,"0.00")&amp;" - комиссия "&amp;TEXT(V1520*R1520/100,"0.00")&amp;" - доставка "&amp;TEXT(P1520,"0.00")&amp;" - прочие "&amp;TEXT(Q1520,"0.00")&amp;" = "&amp;TEXT(G1520,"0.00")&amp;" "&amp;L1520,"Введите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0" s="23" t="n">
        <x:v>0.09494870617427416</x:v>
      </x:c>
      <x:c r="AG1520" s="35" t="n">
        <x:v>108</x:v>
      </x:c>
      <x:c r="AH1520" s="35" t="n">
        <x:v>0</x:v>
      </x:c>
      <x:c r="AI1520" s="29" t="n">
        <x:v>46287</x:v>
      </x:c>
      <x:c r="AJ1520" s="35" t="n">
        <x:v>10</x:v>
      </x:c>
      <x:c r="AK1520" s="11" t="str">
        <x:v>кратность</x:v>
      </x:c>
      <x:c r="AL1520" s="31" t="n">
        <x:v>96984.13209241779</x:v>
      </x:c>
      <x:c r="AM1520" s="12" t="str">
        <x:v>Нет ежедневных данных доступности. Нет положительных чистых продаж за 12 месяцев</x:v>
      </x:c>
      <x:c r="AN1520" s="12" t="str">
        <x:v>Проверить свободный остаток и установить цену для B2B</x:v>
      </x:c>
      <x:c r="AO1520" s="12" t="str">
        <x:v>Остаток 108; прогноз 90 дней 0.09; избыток 107 шт. Будущие поступления не выставляются на продажу.</x:v>
      </x:c>
      <x:c r="AP1520" s="12" t="str">
        <x:v>["daily_stockout_data_missing", "negative_net_sales_clipped_for_forecast", "new_order_lead_time_unknown"]</x:v>
      </x:c>
      <x:c r="AQ1520" s="11" t="str">
        <x:v>SE:300200915_</x:v>
      </x:c>
      <x:c r="AR1520" s="23" t="n">
        <x:v>1</x:v>
      </x:c>
      <x:c r="AS1520" s="23" t="n">
        <x:v>0</x:v>
      </x:c>
      <x:c r="AT1520" s="23" t="n">
        <x:v>0</x:v>
      </x:c>
    </x:row>
    <x:row r="1521" ht="64" customHeight="1">
      <x:c r="A1521" s="10" t="str">
        <x:v>Systeme Electric</x:v>
      </x:c>
      <x:c r="B1521" s="34" t="str">
        <x:v>300200916_</x:v>
      </x:c>
      <x:c r="C1521" s="34" t="str">
        <x:v>GAL000686</x:v>
      </x:c>
      <x:c r="D1521" s="13" t="str">
        <x:v>G133 Роз. комп. RJ45 6A механизм, "ARTGALLERY" мокко GAL0686 (5)</x:v>
      </x:c>
      <x:c r="E1521" s="10" t="str">
        <x:v>шт</x:v>
      </x:c>
      <x:c r="F1521" s="37" t="n">
        <x:f>MAX(0,ROUNDDOWN((AG1521-AF1521)/AR1521+0.000000001,0)*AR1521)</x:f>
        <x:v>19</x:v>
      </x:c>
      <x:c r="G1521" s="21" t="str">
        <x:f>IF(J1521="Рассчитано",V1521*(1-R1521/100)-W1521-P1521-Q1521,"н/д")</x:f>
        <x:v>н/д</x:v>
      </x:c>
      <x:c r="H1521" s="13" t="str">
        <x:v>Средний</x:v>
      </x:c>
      <x:c r="I1521" s="13" t="str">
        <x:v>Высокий</x:v>
      </x:c>
      <x:c r="J1521" s="13" t="str">
        <x:f>IF(L1521="","Укажите валюту",IF(NOT(ISNUMBER(K1521)),"Укажите объём",IF(K1521&lt;=0,"Укажите объём",IF(K1521&gt;F1521,"Объём выше излишка",IF(COUNT(M1521:O1521)&lt;3,"Нужны цены",IF(COUNT(P1521:R1521)&lt;3,"Нужны расходы",IF(OR(M1521&lt;0,N1521&lt;0,O1521&lt;0,O1521&gt;100,P1521&lt;0,Q1521&lt;0,R1521&lt;0,R1521&gt;100),"Проверьте значения","Рассчитано")))))))</x:f>
        <x:v>Нужны цены</x:v>
      </x:c>
      <x:c r="K1521" s="36" t="n">
        <x:v>19</x:v>
      </x:c>
      <x:c r="L1521" s="19" t="str">
        <x:v>KZT</x:v>
      </x:c>
      <x:c r="M1521" s="22"/>
      <x:c r="N1521" s="22"/>
      <x:c r="O1521" s="28"/>
      <x:c r="P1521" s="22"/>
      <x:c r="Q1521" s="22"/>
      <x:c r="R1521" s="28"/>
      <x:c r="S1521" s="22"/>
      <x:c r="T1521" s="37" t="n">
        <x:f>K1521</x:f>
        <x:v>19</x:v>
      </x:c>
      <x:c r="U1521" s="21" t="str">
        <x:f>IF(J1521="Рассчитано",N1521*(1-O1521/100),"н/д")</x:f>
        <x:v>н/д</x:v>
      </x:c>
      <x:c r="V1521" s="21" t="str">
        <x:f>IF(J1521="Рассчитано",T1521*U1521,"н/д")</x:f>
        <x:v>н/д</x:v>
      </x:c>
      <x:c r="W1521" s="21" t="str">
        <x:f>IF(J1521="Рассчитано",T1521*M1521,"н/д")</x:f>
        <x:v>н/д</x:v>
      </x:c>
      <x:c r="X1521" s="21" t="str">
        <x:f>IF(J1521="Рассчитано",V1521-W1521,"н/д")</x:f>
        <x:v>н/д</x:v>
      </x:c>
      <x:c r="Y1521" s="27" t="str">
        <x:f>IF(J1521="Рассчитано",IF(V1521&gt;0,G1521/V1521,"н/д"),"н/д")</x:f>
        <x:v>н/д</x:v>
      </x:c>
      <x:c r="Z1521" s="21" t="str">
        <x:f>"н/д"</x:f>
        <x:v>н/д</x:v>
      </x:c>
      <x:c r="AA1521" s="21" t="str">
        <x:f>"н/д"</x:f>
        <x:v>н/д</x:v>
      </x:c>
      <x:c r="AB1521" s="21" t="str">
        <x:f>"н/д"</x:f>
        <x:v>н/д</x:v>
      </x:c>
      <x:c r="AC1521" s="21" t="str">
        <x:f>IF(AND(J1521="Рассчитано",T1521&gt;0,R1521&lt;100),(W1521+P1521+Q1521)/(T1521*(1-R1521/100)),"н/д")</x:f>
        <x:v>н/д</x:v>
      </x:c>
      <x:c r="AD1521" s="10" t="str">
        <x:f>IF(ISNUMBER(G1521),IF(G1521&lt;0,"Убыток",IF(G1521=0,"Без прибыли","Прибыль &gt; 0")),"Не оценён")</x:f>
        <x:v>Не оценён</x:v>
      </x:c>
      <x:c r="AE1521" s="13" t="str">
        <x:f>IF(J1521="Рассчитано","Выручка "&amp;TEXT(V1521,"0.00")&amp;" - себестоимость "&amp;TEXT(W1521,"0.00")&amp;" - комиссия "&amp;TEXT(V1521*R1521/100,"0.00")&amp;" - доставка "&amp;TEXT(P1521,"0.00")&amp;" - прочие "&amp;TEXT(Q1521,"0.00")&amp;" = "&amp;TEXT(G1521,"0.00")&amp;" "&amp;L1521,"Введите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1" s="24" t="n">
        <x:v>7.102300260804354</x:v>
      </x:c>
      <x:c r="AG1521" s="37" t="n">
        <x:v>27</x:v>
      </x:c>
      <x:c r="AH1521" s="37" t="n">
        <x:v>0</x:v>
      </x:c>
      <x:c r="AI1521" s="30" t="n">
        <x:v>46287</x:v>
      </x:c>
      <x:c r="AJ1521" s="37" t="n">
        <x:v>5</x:v>
      </x:c>
      <x:c r="AK1521" s="10" t="str">
        <x:v>кратность</x:v>
      </x:c>
      <x:c r="AL1521" s="32" t="n">
        <x:v>324.1385721337798</x:v>
      </x:c>
      <x:c r="AM1521" s="13" t="str">
        <x:v>Нет ежедневных данных доступности. Запас более 180 дней при среднем спросе</x:v>
      </x:c>
      <x:c r="AN1521" s="13" t="str">
        <x:v>Проверить свободный остаток и установить цену для B2B</x:v>
      </x:c>
      <x:c r="AO1521" s="13" t="str">
        <x:v>Остаток 27; прогноз 90 дней 7.10; избыток 19 шт. Будущие поступления не выставляются на продажу.</x:v>
      </x:c>
      <x:c r="AP1521" s="13" t="str">
        <x:v>["daily_stockout_data_missing", "negative_net_sales_clipped_for_forecast", "new_order_lead_time_unknown"]</x:v>
      </x:c>
      <x:c r="AQ1521" s="10" t="str">
        <x:v>SE:300200916_</x:v>
      </x:c>
      <x:c r="AR1521" s="24" t="n">
        <x:v>1</x:v>
      </x:c>
      <x:c r="AS1521" s="24" t="n">
        <x:v>0</x:v>
      </x:c>
      <x:c r="AT1521" s="24" t="n">
        <x:v>0</x:v>
      </x:c>
    </x:row>
    <x:row r="1522" ht="64" customHeight="1">
      <x:c r="A1522" s="11" t="str">
        <x:v>Systeme Electric</x:v>
      </x:c>
      <x:c r="B1522" s="33" t="str">
        <x:v>300200917_</x:v>
      </x:c>
      <x:c r="C1522" s="33" t="str">
        <x:v>GAL000661</x:v>
      </x:c>
      <x:c r="D1522" s="12" t="str">
        <x:v>G134 Переключ. 1 кл механизм "ARTGALLERY" мокко GAL0661 (10)</x:v>
      </x:c>
      <x:c r="E1522" s="11" t="str">
        <x:v>шт</x:v>
      </x:c>
      <x:c r="F1522" s="35" t="n">
        <x:f>MAX(0,ROUNDDOWN((AG1522-AF1522)/AR1522+0.000000001,0)*AR1522)</x:f>
        <x:v>27</x:v>
      </x:c>
      <x:c r="G1522" s="20" t="str">
        <x:f>IF(J1522="Рассчитано",V1522*(1-R1522/100)-W1522-P1522-Q1522,"н/д")</x:f>
        <x:v>н/д</x:v>
      </x:c>
      <x:c r="H1522" s="12" t="str">
        <x:v>Средний</x:v>
      </x:c>
      <x:c r="I1522" s="12" t="str">
        <x:v>Высокий</x:v>
      </x:c>
      <x:c r="J1522" s="12" t="str">
        <x:f>IF(L1522="","Укажите валюту",IF(NOT(ISNUMBER(K1522)),"Укажите объём",IF(K1522&lt;=0,"Укажите объём",IF(K1522&gt;F1522,"Объём выше излишка",IF(COUNT(M1522:O1522)&lt;3,"Нужны цены",IF(COUNT(P1522:R1522)&lt;3,"Нужны расходы",IF(OR(M1522&lt;0,N1522&lt;0,O1522&lt;0,O1522&gt;100,P1522&lt;0,Q1522&lt;0,R1522&lt;0,R1522&gt;100),"Проверьте значения","Рассчитано")))))))</x:f>
        <x:v>Нужны цены</x:v>
      </x:c>
      <x:c r="K1522" s="36" t="n">
        <x:v>27</x:v>
      </x:c>
      <x:c r="L1522" s="19" t="str">
        <x:v>KZT</x:v>
      </x:c>
      <x:c r="M1522" s="22"/>
      <x:c r="N1522" s="22"/>
      <x:c r="O1522" s="28"/>
      <x:c r="P1522" s="22"/>
      <x:c r="Q1522" s="22"/>
      <x:c r="R1522" s="28"/>
      <x:c r="S1522" s="22"/>
      <x:c r="T1522" s="35" t="n">
        <x:f>K1522</x:f>
        <x:v>27</x:v>
      </x:c>
      <x:c r="U1522" s="20" t="str">
        <x:f>IF(J1522="Рассчитано",N1522*(1-O1522/100),"н/д")</x:f>
        <x:v>н/д</x:v>
      </x:c>
      <x:c r="V1522" s="20" t="str">
        <x:f>IF(J1522="Рассчитано",T1522*U1522,"н/д")</x:f>
        <x:v>н/д</x:v>
      </x:c>
      <x:c r="W1522" s="20" t="str">
        <x:f>IF(J1522="Рассчитано",T1522*M1522,"н/д")</x:f>
        <x:v>н/д</x:v>
      </x:c>
      <x:c r="X1522" s="20" t="str">
        <x:f>IF(J1522="Рассчитано",V1522-W1522,"н/д")</x:f>
        <x:v>н/д</x:v>
      </x:c>
      <x:c r="Y1522" s="26" t="str">
        <x:f>IF(J1522="Рассчитано",IF(V1522&gt;0,G1522/V1522,"н/д"),"н/д")</x:f>
        <x:v>н/д</x:v>
      </x:c>
      <x:c r="Z1522" s="20" t="str">
        <x:f>"н/д"</x:f>
        <x:v>н/д</x:v>
      </x:c>
      <x:c r="AA1522" s="20" t="str">
        <x:f>"н/д"</x:f>
        <x:v>н/д</x:v>
      </x:c>
      <x:c r="AB1522" s="20" t="str">
        <x:f>"н/д"</x:f>
        <x:v>н/д</x:v>
      </x:c>
      <x:c r="AC1522" s="20" t="str">
        <x:f>IF(AND(J1522="Рассчитано",T1522&gt;0,R1522&lt;100),(W1522+P1522+Q1522)/(T1522*(1-R1522/100)),"н/д")</x:f>
        <x:v>н/д</x:v>
      </x:c>
      <x:c r="AD1522" s="11" t="str">
        <x:f>IF(ISNUMBER(G1522),IF(G1522&lt;0,"Убыток",IF(G1522=0,"Без прибыли","Прибыль &gt; 0")),"Не оценён")</x:f>
        <x:v>Не оценён</x:v>
      </x:c>
      <x:c r="AE1522" s="12" t="str">
        <x:f>IF(J1522="Рассчитано","Выручка "&amp;TEXT(V1522,"0.00")&amp;" - себестоимость "&amp;TEXT(W1522,"0.00")&amp;" - комиссия "&amp;TEXT(V1522*R1522/100,"0.00")&amp;" - доставка "&amp;TEXT(P1522,"0.00")&amp;" - прочие "&amp;TEXT(Q1522,"0.00")&amp;" = "&amp;TEXT(G1522,"0.00")&amp;" "&amp;L1522,"Введите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2" s="23" t="n">
        <x:v>19.876444294616945</x:v>
      </x:c>
      <x:c r="AG1522" s="35" t="n">
        <x:v>47</x:v>
      </x:c>
      <x:c r="AH1522" s="35" t="n">
        <x:v>0</x:v>
      </x:c>
      <x:c r="AI1522" s="29" t="n">
        <x:v>46287</x:v>
      </x:c>
      <x:c r="AJ1522" s="35" t="n">
        <x:v>10</x:v>
      </x:c>
      <x:c r="AK1522" s="11" t="str">
        <x:v>кратность</x:v>
      </x:c>
      <x:c r="AL1522" s="31" t="n">
        <x:v>201.61606832119017</x:v>
      </x:c>
      <x:c r="AM1522" s="12" t="str">
        <x:v>Нет ежедневных данных доступности. Запас более 180 дней при среднем спросе</x:v>
      </x:c>
      <x:c r="AN1522" s="12" t="str">
        <x:v>Проверить свободный остаток и установить цену для B2B</x:v>
      </x:c>
      <x:c r="AO1522" s="12" t="str">
        <x:v>Остаток 47; прогноз 90 дней 19.88; избыток 27 шт. Будущие поступления не выставляются на продажу.</x:v>
      </x:c>
      <x:c r="AP1522" s="12" t="str">
        <x:v>["daily_stockout_data_missing", "negative_net_sales_clipped_for_forecast", "new_order_lead_time_unknown"]</x:v>
      </x:c>
      <x:c r="AQ1522" s="11" t="str">
        <x:v>SE:300200917_</x:v>
      </x:c>
      <x:c r="AR1522" s="23" t="n">
        <x:v>1</x:v>
      </x:c>
      <x:c r="AS1522" s="23" t="n">
        <x:v>0</x:v>
      </x:c>
      <x:c r="AT1522" s="23" t="n">
        <x:v>0</x:v>
      </x:c>
    </x:row>
    <x:row r="1523" ht="64" customHeight="1">
      <x:c r="A1523" s="10" t="str">
        <x:v>Systeme Electric</x:v>
      </x:c>
      <x:c r="B1523" s="34" t="str">
        <x:v>300200918_</x:v>
      </x:c>
      <x:c r="C1523" s="34" t="str">
        <x:v>GAL000671</x:v>
      </x:c>
      <x:c r="D1523" s="13" t="str">
        <x:v>G135 Перекрест. переключ. 1 кл "ARTGALLERY" мокко GAL0671 (5)</x:v>
      </x:c>
      <x:c r="E1523" s="10" t="str">
        <x:v>шт</x:v>
      </x:c>
      <x:c r="F1523" s="37" t="n">
        <x:f>MAX(0,ROUNDDOWN((AG1523-AF1523)/AR1523+0.000000001,0)*AR1523)</x:f>
        <x:v>60</x:v>
      </x:c>
      <x:c r="G1523" s="21" t="str">
        <x:f>IF(J1523="Рассчитано",V1523*(1-R1523/100)-W1523-P1523-Q1523,"н/д")</x:f>
        <x:v>н/д</x:v>
      </x:c>
      <x:c r="H1523" s="13" t="str">
        <x:v>Средний</x:v>
      </x:c>
      <x:c r="I1523" s="13" t="str">
        <x:v>Высокий</x:v>
      </x:c>
      <x:c r="J1523" s="13" t="str">
        <x:f>IF(L1523="","Укажите валюту",IF(NOT(ISNUMBER(K1523)),"Укажите объём",IF(K1523&lt;=0,"Укажите объём",IF(K1523&gt;F1523,"Объём выше излишка",IF(COUNT(M1523:O1523)&lt;3,"Нужны цены",IF(COUNT(P1523:R1523)&lt;3,"Нужны расходы",IF(OR(M1523&lt;0,N1523&lt;0,O1523&lt;0,O1523&gt;100,P1523&lt;0,Q1523&lt;0,R1523&lt;0,R1523&gt;100),"Проверьте значения","Рассчитано")))))))</x:f>
        <x:v>Нужны цены</x:v>
      </x:c>
      <x:c r="K1523" s="36" t="n">
        <x:v>60</x:v>
      </x:c>
      <x:c r="L1523" s="19" t="str">
        <x:v>KZT</x:v>
      </x:c>
      <x:c r="M1523" s="22"/>
      <x:c r="N1523" s="22"/>
      <x:c r="O1523" s="28"/>
      <x:c r="P1523" s="22"/>
      <x:c r="Q1523" s="22"/>
      <x:c r="R1523" s="28"/>
      <x:c r="S1523" s="22"/>
      <x:c r="T1523" s="37" t="n">
        <x:f>K1523</x:f>
        <x:v>60</x:v>
      </x:c>
      <x:c r="U1523" s="21" t="str">
        <x:f>IF(J1523="Рассчитано",N1523*(1-O1523/100),"н/д")</x:f>
        <x:v>н/д</x:v>
      </x:c>
      <x:c r="V1523" s="21" t="str">
        <x:f>IF(J1523="Рассчитано",T1523*U1523,"н/д")</x:f>
        <x:v>н/д</x:v>
      </x:c>
      <x:c r="W1523" s="21" t="str">
        <x:f>IF(J1523="Рассчитано",T1523*M1523,"н/д")</x:f>
        <x:v>н/д</x:v>
      </x:c>
      <x:c r="X1523" s="21" t="str">
        <x:f>IF(J1523="Рассчитано",V1523-W1523,"н/д")</x:f>
        <x:v>н/д</x:v>
      </x:c>
      <x:c r="Y1523" s="27" t="str">
        <x:f>IF(J1523="Рассчитано",IF(V1523&gt;0,G1523/V1523,"н/д"),"н/д")</x:f>
        <x:v>н/д</x:v>
      </x:c>
      <x:c r="Z1523" s="21" t="str">
        <x:f>"н/д"</x:f>
        <x:v>н/д</x:v>
      </x:c>
      <x:c r="AA1523" s="21" t="str">
        <x:f>"н/д"</x:f>
        <x:v>н/д</x:v>
      </x:c>
      <x:c r="AB1523" s="21" t="str">
        <x:f>"н/д"</x:f>
        <x:v>н/д</x:v>
      </x:c>
      <x:c r="AC1523" s="21" t="str">
        <x:f>IF(AND(J1523="Рассчитано",T1523&gt;0,R1523&lt;100),(W1523+P1523+Q1523)/(T1523*(1-R1523/100)),"н/д")</x:f>
        <x:v>н/д</x:v>
      </x:c>
      <x:c r="AD1523" s="10" t="str">
        <x:f>IF(ISNUMBER(G1523),IF(G1523&lt;0,"Убыток",IF(G1523=0,"Без прибыли","Прибыль &gt; 0")),"Не оценён")</x:f>
        <x:v>Не оценён</x:v>
      </x:c>
      <x:c r="AE1523" s="13" t="str">
        <x:f>IF(J1523="Рассчитано","Выручка "&amp;TEXT(V1523,"0.00")&amp;" - себестоимость "&amp;TEXT(W1523,"0.00")&amp;" - комиссия "&amp;TEXT(V1523*R1523/100,"0.00")&amp;" - доставка "&amp;TEXT(P1523,"0.00")&amp;" - прочие "&amp;TEXT(Q1523,"0.00")&amp;" = "&amp;TEXT(G1523,"0.00")&amp;" "&amp;L1523,"Введите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3" s="24" t="n">
        <x:v>3.767062213155116</x:v>
      </x:c>
      <x:c r="AG1523" s="37" t="n">
        <x:v>64</x:v>
      </x:c>
      <x:c r="AH1523" s="37" t="n">
        <x:v>0</x:v>
      </x:c>
      <x:c r="AI1523" s="30" t="n">
        <x:v>46287</x:v>
      </x:c>
      <x:c r="AJ1523" s="37" t="n">
        <x:v>5</x:v>
      </x:c>
      <x:c r="AK1523" s="10" t="str">
        <x:v>кратность</x:v>
      </x:c>
      <x:c r="AL1523" s="32" t="n">
        <x:v>1448.582254492739</x:v>
      </x:c>
      <x:c r="AM1523" s="13" t="str">
        <x:v>Нет ежедневных данных доступности. Запас более 180 дней при среднем спросе</x:v>
      </x:c>
      <x:c r="AN1523" s="13" t="str">
        <x:v>Проверить свободный остаток и установить цену для B2B</x:v>
      </x:c>
      <x:c r="AO1523" s="13" t="str">
        <x:v>Остаток 64; прогноз 90 дней 3.77; избыток 60 шт. Будущие поступления не выставляются на продажу.</x:v>
      </x:c>
      <x:c r="AP1523" s="13" t="str">
        <x:v>["daily_stockout_data_missing", "negative_net_sales_clipped_for_forecast", "new_order_lead_time_unknown"]</x:v>
      </x:c>
      <x:c r="AQ1523" s="10" t="str">
        <x:v>SE:300200918_</x:v>
      </x:c>
      <x:c r="AR1523" s="24" t="n">
        <x:v>1</x:v>
      </x:c>
      <x:c r="AS1523" s="24" t="n">
        <x:v>0</x:v>
      </x:c>
      <x:c r="AT1523" s="24" t="n">
        <x:v>0</x:v>
      </x:c>
    </x:row>
    <x:row r="1524" ht="64" customHeight="1">
      <x:c r="A1524" s="11" t="str">
        <x:v>Systeme Electric</x:v>
      </x:c>
      <x:c r="B1524" s="33" t="str">
        <x:v>300200919_</x:v>
      </x:c>
      <x:c r="C1524" s="33" t="str">
        <x:v>GAL000688</x:v>
      </x:c>
      <x:c r="D1524" s="12" t="str">
        <x:v>G136 Роз. 2-ная комп. RJ45+RJ45 6А механизм "ARTGALLERY" мокко GAL0688 (1)</x:v>
      </x:c>
      <x:c r="E1524" s="11" t="str">
        <x:v>шт</x:v>
      </x:c>
      <x:c r="F1524" s="35" t="n">
        <x:f>MAX(0,ROUNDDOWN((AG1524-AF1524)/AR1524+0.000000001,0)*AR1524)</x:f>
        <x:v>2</x:v>
      </x:c>
      <x:c r="G1524" s="20" t="str">
        <x:f>IF(J1524="Рассчитано",V1524*(1-R1524/100)-W1524-P1524-Q1524,"н/д")</x:f>
        <x:v>н/д</x:v>
      </x:c>
      <x:c r="H1524" s="12" t="str">
        <x:v>Средний</x:v>
      </x:c>
      <x:c r="I1524" s="12" t="str">
        <x:v>Высокий</x:v>
      </x:c>
      <x:c r="J1524" s="12" t="str">
        <x:f>IF(L1524="","Укажите валюту",IF(NOT(ISNUMBER(K1524)),"Укажите объём",IF(K1524&lt;=0,"Укажите объём",IF(K1524&gt;F1524,"Объём выше излишка",IF(COUNT(M1524:O1524)&lt;3,"Нужны цены",IF(COUNT(P1524:R1524)&lt;3,"Нужны расходы",IF(OR(M1524&lt;0,N1524&lt;0,O1524&lt;0,O1524&gt;100,P1524&lt;0,Q1524&lt;0,R1524&lt;0,R1524&gt;100),"Проверьте значения","Рассчитано")))))))</x:f>
        <x:v>Нужны цены</x:v>
      </x:c>
      <x:c r="K1524" s="36" t="n">
        <x:v>2</x:v>
      </x:c>
      <x:c r="L1524" s="19" t="str">
        <x:v>KZT</x:v>
      </x:c>
      <x:c r="M1524" s="22"/>
      <x:c r="N1524" s="22"/>
      <x:c r="O1524" s="28"/>
      <x:c r="P1524" s="22"/>
      <x:c r="Q1524" s="22"/>
      <x:c r="R1524" s="28"/>
      <x:c r="S1524" s="22"/>
      <x:c r="T1524" s="35" t="n">
        <x:f>K1524</x:f>
        <x:v>2</x:v>
      </x:c>
      <x:c r="U1524" s="20" t="str">
        <x:f>IF(J1524="Рассчитано",N1524*(1-O1524/100),"н/д")</x:f>
        <x:v>н/д</x:v>
      </x:c>
      <x:c r="V1524" s="20" t="str">
        <x:f>IF(J1524="Рассчитано",T1524*U1524,"н/д")</x:f>
        <x:v>н/д</x:v>
      </x:c>
      <x:c r="W1524" s="20" t="str">
        <x:f>IF(J1524="Рассчитано",T1524*M1524,"н/д")</x:f>
        <x:v>н/д</x:v>
      </x:c>
      <x:c r="X1524" s="20" t="str">
        <x:f>IF(J1524="Рассчитано",V1524-W1524,"н/д")</x:f>
        <x:v>н/д</x:v>
      </x:c>
      <x:c r="Y1524" s="26" t="str">
        <x:f>IF(J1524="Рассчитано",IF(V1524&gt;0,G1524/V1524,"н/д"),"н/д")</x:f>
        <x:v>н/д</x:v>
      </x:c>
      <x:c r="Z1524" s="20" t="str">
        <x:f>"н/д"</x:f>
        <x:v>н/д</x:v>
      </x:c>
      <x:c r="AA1524" s="20" t="str">
        <x:f>"н/д"</x:f>
        <x:v>н/д</x:v>
      </x:c>
      <x:c r="AB1524" s="20" t="str">
        <x:f>"н/д"</x:f>
        <x:v>н/д</x:v>
      </x:c>
      <x:c r="AC1524" s="20" t="str">
        <x:f>IF(AND(J1524="Рассчитано",T1524&gt;0,R1524&lt;100),(W1524+P1524+Q1524)/(T1524*(1-R1524/100)),"н/д")</x:f>
        <x:v>н/д</x:v>
      </x:c>
      <x:c r="AD1524" s="11" t="str">
        <x:f>IF(ISNUMBER(G1524),IF(G1524&lt;0,"Убыток",IF(G1524=0,"Без прибыли","Прибыль &gt; 0")),"Не оценён")</x:f>
        <x:v>Не оценён</x:v>
      </x:c>
      <x:c r="AE1524" s="12" t="str">
        <x:f>IF(J1524="Рассчитано","Выручка "&amp;TEXT(V1524,"0.00")&amp;" - себестоимость "&amp;TEXT(W1524,"0.00")&amp;" - комиссия "&amp;TEXT(V1524*R1524/100,"0.00")&amp;" - доставка "&amp;TEXT(P1524,"0.00")&amp;" - прочие "&amp;TEXT(Q1524,"0.00")&amp;" = "&amp;TEXT(G1524,"0.00")&amp;" "&amp;L1524,"Введите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4" s="23" t="n">
        <x:v>1.1435322544135231</x:v>
      </x:c>
      <x:c r="AG1524" s="35" t="n">
        <x:v>4</x:v>
      </x:c>
      <x:c r="AH1524" s="35" t="n">
        <x:v>0</x:v>
      </x:c>
      <x:c r="AI1524" s="29" t="n">
        <x:v>46287</x:v>
      </x:c>
      <x:c r="AJ1524" s="35" t="n">
        <x:v>1</x:v>
      </x:c>
      <x:c r="AK1524" s="11" t="str">
        <x:v>кратность</x:v>
      </x:c>
      <x:c r="AL1524" s="31" t="n">
        <x:v>298.24800811725345</x:v>
      </x:c>
      <x:c r="AM1524" s="12" t="str">
        <x:v>Нет ежедневных данных доступности. Запас более 180 дней при среднем спросе</x:v>
      </x:c>
      <x:c r="AN1524" s="12" t="str">
        <x:v>Проверить свободный остаток и установить цену для B2B</x:v>
      </x:c>
      <x:c r="AO1524" s="12" t="str">
        <x:v>Остаток 4; прогноз 90 дней 1.14; избыток 2 шт. Будущие поступления не выставляются на продажу.</x:v>
      </x:c>
      <x:c r="AP1524" s="12" t="str">
        <x:v>["daily_stockout_data_missing", "negative_net_sales_clipped_for_forecast", "new_order_lead_time_unknown"]</x:v>
      </x:c>
      <x:c r="AQ1524" s="11" t="str">
        <x:v>SE:300200919_</x:v>
      </x:c>
      <x:c r="AR1524" s="23" t="n">
        <x:v>1</x:v>
      </x:c>
      <x:c r="AS1524" s="23" t="n">
        <x:v>0</x:v>
      </x:c>
      <x:c r="AT1524" s="23" t="n">
        <x:v>0</x:v>
      </x:c>
    </x:row>
    <x:row r="1525" ht="64" customHeight="1">
      <x:c r="A1525" s="10" t="str">
        <x:v>Systeme Electric</x:v>
      </x:c>
      <x:c r="B1525" s="34" t="str">
        <x:v>300200920_</x:v>
      </x:c>
      <x:c r="C1525" s="34" t="str">
        <x:v>GAL000691</x:v>
      </x:c>
      <x:c r="D1525" s="13" t="str">
        <x:v>G137 Роз. TV оконечная механизм "ARTGALLERY" мокко GAL0691 (5)</x:v>
      </x:c>
      <x:c r="E1525" s="10" t="str">
        <x:v>шт</x:v>
      </x:c>
      <x:c r="F1525" s="37" t="n">
        <x:f>MAX(0,ROUNDDOWN((AG1525-AF1525)/AR1525+0.000000001,0)*AR1525)</x:f>
        <x:v>47</x:v>
      </x:c>
      <x:c r="G1525" s="21" t="str">
        <x:f>IF(J1525="Рассчитано",V1525*(1-R1525/100)-W1525-P1525-Q1525,"н/д")</x:f>
        <x:v>н/д</x:v>
      </x:c>
      <x:c r="H1525" s="13" t="str">
        <x:v>Средний</x:v>
      </x:c>
      <x:c r="I1525" s="13" t="str">
        <x:v>Высокий</x:v>
      </x:c>
      <x:c r="J1525" s="13" t="str">
        <x:f>IF(L1525="","Укажите валюту",IF(NOT(ISNUMBER(K1525)),"Укажите объём",IF(K1525&lt;=0,"Укажите объём",IF(K1525&gt;F1525,"Объём выше излишка",IF(COUNT(M1525:O1525)&lt;3,"Нужны цены",IF(COUNT(P1525:R1525)&lt;3,"Нужны расходы",IF(OR(M1525&lt;0,N1525&lt;0,O1525&lt;0,O1525&gt;100,P1525&lt;0,Q1525&lt;0,R1525&lt;0,R1525&gt;100),"Проверьте значения","Рассчитано")))))))</x:f>
        <x:v>Нужны цены</x:v>
      </x:c>
      <x:c r="K1525" s="36" t="n">
        <x:v>47</x:v>
      </x:c>
      <x:c r="L1525" s="19" t="str">
        <x:v>KZT</x:v>
      </x:c>
      <x:c r="M1525" s="22"/>
      <x:c r="N1525" s="22"/>
      <x:c r="O1525" s="28"/>
      <x:c r="P1525" s="22"/>
      <x:c r="Q1525" s="22"/>
      <x:c r="R1525" s="28"/>
      <x:c r="S1525" s="22"/>
      <x:c r="T1525" s="37" t="n">
        <x:f>K1525</x:f>
        <x:v>47</x:v>
      </x:c>
      <x:c r="U1525" s="21" t="str">
        <x:f>IF(J1525="Рассчитано",N1525*(1-O1525/100),"н/д")</x:f>
        <x:v>н/д</x:v>
      </x:c>
      <x:c r="V1525" s="21" t="str">
        <x:f>IF(J1525="Рассчитано",T1525*U1525,"н/д")</x:f>
        <x:v>н/д</x:v>
      </x:c>
      <x:c r="W1525" s="21" t="str">
        <x:f>IF(J1525="Рассчитано",T1525*M1525,"н/д")</x:f>
        <x:v>н/д</x:v>
      </x:c>
      <x:c r="X1525" s="21" t="str">
        <x:f>IF(J1525="Рассчитано",V1525-W1525,"н/д")</x:f>
        <x:v>н/д</x:v>
      </x:c>
      <x:c r="Y1525" s="27" t="str">
        <x:f>IF(J1525="Рассчитано",IF(V1525&gt;0,G1525/V1525,"н/д"),"н/д")</x:f>
        <x:v>н/д</x:v>
      </x:c>
      <x:c r="Z1525" s="21" t="str">
        <x:f>"н/д"</x:f>
        <x:v>н/д</x:v>
      </x:c>
      <x:c r="AA1525" s="21" t="str">
        <x:f>"н/д"</x:f>
        <x:v>н/д</x:v>
      </x:c>
      <x:c r="AB1525" s="21" t="str">
        <x:f>"н/д"</x:f>
        <x:v>н/д</x:v>
      </x:c>
      <x:c r="AC1525" s="21" t="str">
        <x:f>IF(AND(J1525="Рассчитано",T1525&gt;0,R1525&lt;100),(W1525+P1525+Q1525)/(T1525*(1-R1525/100)),"н/д")</x:f>
        <x:v>н/д</x:v>
      </x:c>
      <x:c r="AD1525" s="10" t="str">
        <x:f>IF(ISNUMBER(G1525),IF(G1525&lt;0,"Убыток",IF(G1525=0,"Без прибыли","Прибыль &gt; 0")),"Не оценён")</x:f>
        <x:v>Не оценён</x:v>
      </x:c>
      <x:c r="AE1525" s="13" t="str">
        <x:f>IF(J1525="Рассчитано","Выручка "&amp;TEXT(V1525,"0.00")&amp;" - себестоимость "&amp;TEXT(W1525,"0.00")&amp;" - комиссия "&amp;TEXT(V1525*R1525/100,"0.00")&amp;" - доставка "&amp;TEXT(P1525,"0.00")&amp;" - прочие "&amp;TEXT(Q1525,"0.00")&amp;" = "&amp;TEXT(G1525,"0.00")&amp;" "&amp;L1525,"Введите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5" s="24" t="n">
        <x:v>1.0950808841795927</x:v>
      </x:c>
      <x:c r="AG1525" s="37" t="n">
        <x:v>49</x:v>
      </x:c>
      <x:c r="AH1525" s="37" t="n">
        <x:v>0</x:v>
      </x:c>
      <x:c r="AI1525" s="30" t="n">
        <x:v>46287</x:v>
      </x:c>
      <x:c r="AJ1525" s="37" t="n">
        <x:v>5</x:v>
      </x:c>
      <x:c r="AK1525" s="10" t="str">
        <x:v>кратность</x:v>
      </x:c>
      <x:c r="AL1525" s="32" t="n">
        <x:v>3815.1872795808717</x:v>
      </x:c>
      <x:c r="AM1525" s="13" t="str">
        <x:v>Нет ежедневных данных доступности. Нет положительных чистых продаж за 12 месяцев</x:v>
      </x:c>
      <x:c r="AN1525" s="13" t="str">
        <x:v>Проверить свободный остаток и установить цену для B2B</x:v>
      </x:c>
      <x:c r="AO1525" s="13" t="str">
        <x:v>Остаток 49; прогноз 90 дней 1.10; избыток 47 шт. Будущие поступления не выставляются на продажу.</x:v>
      </x:c>
      <x:c r="AP1525" s="13" t="str">
        <x:v>["daily_stockout_data_missing", "negative_net_sales_clipped_for_forecast", "new_order_lead_time_unknown"]</x:v>
      </x:c>
      <x:c r="AQ1525" s="10" t="str">
        <x:v>SE:300200920_</x:v>
      </x:c>
      <x:c r="AR1525" s="24" t="n">
        <x:v>1</x:v>
      </x:c>
      <x:c r="AS1525" s="24" t="n">
        <x:v>0</x:v>
      </x:c>
      <x:c r="AT1525" s="24" t="n">
        <x:v>0</x:v>
      </x:c>
    </x:row>
    <x:row r="1526" ht="64" customHeight="1">
      <x:c r="A1526" s="11" t="str">
        <x:v>Systeme Electric</x:v>
      </x:c>
      <x:c r="B1526" s="33" t="str">
        <x:v>300200923_</x:v>
      </x:c>
      <x:c r="C1526" s="33" t="str">
        <x:v>GAL000603</x:v>
      </x:c>
      <x:c r="D1526" s="12" t="str">
        <x:v>G140 Рамка 3-ная "ARTGALLERY" мокко GAL0603 (5)</x:v>
      </x:c>
      <x:c r="E1526" s="11" t="str">
        <x:v>шт</x:v>
      </x:c>
      <x:c r="F1526" s="35" t="n">
        <x:f>MAX(0,ROUNDDOWN((AG1526-AF1526)/AR1526+0.000000001,0)*AR1526)</x:f>
        <x:v>12</x:v>
      </x:c>
      <x:c r="G1526" s="20" t="str">
        <x:f>IF(J1526="Рассчитано",V1526*(1-R1526/100)-W1526-P1526-Q1526,"н/д")</x:f>
        <x:v>н/д</x:v>
      </x:c>
      <x:c r="H1526" s="12" t="str">
        <x:v>Средний</x:v>
      </x:c>
      <x:c r="I1526" s="12" t="str">
        <x:v>Средний</x:v>
      </x:c>
      <x:c r="J1526" s="12" t="str">
        <x:f>IF(L1526="","Укажите валюту",IF(NOT(ISNUMBER(K1526)),"Укажите объём",IF(K1526&lt;=0,"Укажите объём",IF(K1526&gt;F1526,"Объём выше излишка",IF(COUNT(M1526:O1526)&lt;3,"Нужны цены",IF(COUNT(P1526:R1526)&lt;3,"Нужны расходы",IF(OR(M1526&lt;0,N1526&lt;0,O1526&lt;0,O1526&gt;100,P1526&lt;0,Q1526&lt;0,R1526&lt;0,R1526&gt;100),"Проверьте значения","Рассчитано")))))))</x:f>
        <x:v>Нужны цены</x:v>
      </x:c>
      <x:c r="K1526" s="36" t="n">
        <x:v>12</x:v>
      </x:c>
      <x:c r="L1526" s="19" t="str">
        <x:v>KZT</x:v>
      </x:c>
      <x:c r="M1526" s="22"/>
      <x:c r="N1526" s="22"/>
      <x:c r="O1526" s="28"/>
      <x:c r="P1526" s="22"/>
      <x:c r="Q1526" s="22"/>
      <x:c r="R1526" s="28"/>
      <x:c r="S1526" s="22"/>
      <x:c r="T1526" s="35" t="n">
        <x:f>K1526</x:f>
        <x:v>12</x:v>
      </x:c>
      <x:c r="U1526" s="20" t="str">
        <x:f>IF(J1526="Рассчитано",N1526*(1-O1526/100),"н/д")</x:f>
        <x:v>н/д</x:v>
      </x:c>
      <x:c r="V1526" s="20" t="str">
        <x:f>IF(J1526="Рассчитано",T1526*U1526,"н/д")</x:f>
        <x:v>н/д</x:v>
      </x:c>
      <x:c r="W1526" s="20" t="str">
        <x:f>IF(J1526="Рассчитано",T1526*M1526,"н/д")</x:f>
        <x:v>н/д</x:v>
      </x:c>
      <x:c r="X1526" s="20" t="str">
        <x:f>IF(J1526="Рассчитано",V1526-W1526,"н/д")</x:f>
        <x:v>н/д</x:v>
      </x:c>
      <x:c r="Y1526" s="26" t="str">
        <x:f>IF(J1526="Рассчитано",IF(V1526&gt;0,G1526/V1526,"н/д"),"н/д")</x:f>
        <x:v>н/д</x:v>
      </x:c>
      <x:c r="Z1526" s="20" t="str">
        <x:f>"н/д"</x:f>
        <x:v>н/д</x:v>
      </x:c>
      <x:c r="AA1526" s="20" t="str">
        <x:f>"н/д"</x:f>
        <x:v>н/д</x:v>
      </x:c>
      <x:c r="AB1526" s="20" t="str">
        <x:f>"н/д"</x:f>
        <x:v>н/д</x:v>
      </x:c>
      <x:c r="AC1526" s="20" t="str">
        <x:f>IF(AND(J1526="Рассчитано",T1526&gt;0,R1526&lt;100),(W1526+P1526+Q1526)/(T1526*(1-R1526/100)),"н/д")</x:f>
        <x:v>н/д</x:v>
      </x:c>
      <x:c r="AD1526" s="11" t="str">
        <x:f>IF(ISNUMBER(G1526),IF(G1526&lt;0,"Убыток",IF(G1526=0,"Без прибыли","Прибыль &gt; 0")),"Не оценён")</x:f>
        <x:v>Не оценён</x:v>
      </x:c>
      <x:c r="AE1526" s="12" t="str">
        <x:f>IF(J1526="Рассчитано","Выручка "&amp;TEXT(V1526,"0.00")&amp;" - себестоимость "&amp;TEXT(W1526,"0.00")&amp;" - комиссия "&amp;TEXT(V1526*R1526/100,"0.00")&amp;" - доставка "&amp;TEXT(P1526,"0.00")&amp;" - прочие "&amp;TEXT(Q1526,"0.00")&amp;" = "&amp;TEXT(G1526,"0.00")&amp;" "&amp;L1526,"Введите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6" s="23" t="n">
        <x:v>23.593664409321462</x:v>
      </x:c>
      <x:c r="AG1526" s="35" t="n">
        <x:v>36</x:v>
      </x:c>
      <x:c r="AH1526" s="35" t="n">
        <x:v>0</x:v>
      </x:c>
      <x:c r="AI1526" s="29" t="n">
        <x:v>46287</x:v>
      </x:c>
      <x:c r="AJ1526" s="35" t="n">
        <x:v>5</x:v>
      </x:c>
      <x:c r="AK1526" s="11" t="str">
        <x:v>кратность</x:v>
      </x:c>
      <x:c r="AL1526" s="31" t="n">
        <x:v>130.09873755164855</x:v>
      </x:c>
      <x:c r="AM1526" s="12" t="str">
        <x:v>Нет ежедневных данных доступности. Запас выше прогноза на 90 дней</x:v>
      </x:c>
      <x:c r="AN1526" s="12" t="str">
        <x:v>Проверить свободный остаток и установить цену для B2B</x:v>
      </x:c>
      <x:c r="AO1526" s="12" t="str">
        <x:v>Остаток 36; прогноз 90 дней 23.59; избыток 12 шт. Будущие поступления не выставляются на продажу.</x:v>
      </x:c>
      <x:c r="AP1526" s="12" t="str">
        <x:v>["daily_stockout_data_missing", "negative_net_sales_clipped_for_forecast", "new_order_lead_time_unknown"]</x:v>
      </x:c>
      <x:c r="AQ1526" s="11" t="str">
        <x:v>SE:300200923_</x:v>
      </x:c>
      <x:c r="AR1526" s="23" t="n">
        <x:v>1</x:v>
      </x:c>
      <x:c r="AS1526" s="23" t="n">
        <x:v>0</x:v>
      </x:c>
      <x:c r="AT1526" s="23" t="n">
        <x:v>0</x:v>
      </x:c>
    </x:row>
    <x:row r="1527" ht="64" customHeight="1">
      <x:c r="A1527" s="10" t="str">
        <x:v>Systeme Electric</x:v>
      </x:c>
      <x:c r="B1527" s="34" t="str">
        <x:v>300200924_</x:v>
      </x:c>
      <x:c r="C1527" s="34" t="str">
        <x:v>GAL000604</x:v>
      </x:c>
      <x:c r="D1527" s="13" t="str">
        <x:v>G141 Рамка 4-ная "ARTGALLERY" мокко GAL0604 (5)</x:v>
      </x:c>
      <x:c r="E1527" s="10" t="str">
        <x:v>шт</x:v>
      </x:c>
      <x:c r="F1527" s="37" t="n">
        <x:f>MAX(0,ROUNDDOWN((AG1527-AF1527)/AR1527+0.000000001,0)*AR1527)</x:f>
        <x:v>12</x:v>
      </x:c>
      <x:c r="G1527" s="21" t="str">
        <x:f>IF(J1527="Рассчитано",V1527*(1-R1527/100)-W1527-P1527-Q1527,"н/д")</x:f>
        <x:v>н/д</x:v>
      </x:c>
      <x:c r="H1527" s="13" t="str">
        <x:v>Средний</x:v>
      </x:c>
      <x:c r="I1527" s="13" t="str">
        <x:v>Средний</x:v>
      </x:c>
      <x:c r="J1527" s="13" t="str">
        <x:f>IF(L1527="","Укажите валюту",IF(NOT(ISNUMBER(K1527)),"Укажите объём",IF(K1527&lt;=0,"Укажите объём",IF(K1527&gt;F1527,"Объём выше излишка",IF(COUNT(M1527:O1527)&lt;3,"Нужны цены",IF(COUNT(P1527:R1527)&lt;3,"Нужны расходы",IF(OR(M1527&lt;0,N1527&lt;0,O1527&lt;0,O1527&gt;100,P1527&lt;0,Q1527&lt;0,R1527&lt;0,R1527&gt;100),"Проверьте значения","Рассчитано")))))))</x:f>
        <x:v>Нужны цены</x:v>
      </x:c>
      <x:c r="K1527" s="36" t="n">
        <x:v>12</x:v>
      </x:c>
      <x:c r="L1527" s="19" t="str">
        <x:v>KZT</x:v>
      </x:c>
      <x:c r="M1527" s="22"/>
      <x:c r="N1527" s="22"/>
      <x:c r="O1527" s="28"/>
      <x:c r="P1527" s="22"/>
      <x:c r="Q1527" s="22"/>
      <x:c r="R1527" s="28"/>
      <x:c r="S1527" s="22"/>
      <x:c r="T1527" s="37" t="n">
        <x:f>K1527</x:f>
        <x:v>12</x:v>
      </x:c>
      <x:c r="U1527" s="21" t="str">
        <x:f>IF(J1527="Рассчитано",N1527*(1-O1527/100),"н/д")</x:f>
        <x:v>н/д</x:v>
      </x:c>
      <x:c r="V1527" s="21" t="str">
        <x:f>IF(J1527="Рассчитано",T1527*U1527,"н/д")</x:f>
        <x:v>н/д</x:v>
      </x:c>
      <x:c r="W1527" s="21" t="str">
        <x:f>IF(J1527="Рассчитано",T1527*M1527,"н/д")</x:f>
        <x:v>н/д</x:v>
      </x:c>
      <x:c r="X1527" s="21" t="str">
        <x:f>IF(J1527="Рассчитано",V1527-W1527,"н/д")</x:f>
        <x:v>н/д</x:v>
      </x:c>
      <x:c r="Y1527" s="27" t="str">
        <x:f>IF(J1527="Рассчитано",IF(V1527&gt;0,G1527/V1527,"н/д"),"н/д")</x:f>
        <x:v>н/д</x:v>
      </x:c>
      <x:c r="Z1527" s="21" t="str">
        <x:f>"н/д"</x:f>
        <x:v>н/д</x:v>
      </x:c>
      <x:c r="AA1527" s="21" t="str">
        <x:f>"н/д"</x:f>
        <x:v>н/д</x:v>
      </x:c>
      <x:c r="AB1527" s="21" t="str">
        <x:f>"н/д"</x:f>
        <x:v>н/д</x:v>
      </x:c>
      <x:c r="AC1527" s="21" t="str">
        <x:f>IF(AND(J1527="Рассчитано",T1527&gt;0,R1527&lt;100),(W1527+P1527+Q1527)/(T1527*(1-R1527/100)),"н/д")</x:f>
        <x:v>н/д</x:v>
      </x:c>
      <x:c r="AD1527" s="10" t="str">
        <x:f>IF(ISNUMBER(G1527),IF(G1527&lt;0,"Убыток",IF(G1527=0,"Без прибыли","Прибыль &gt; 0")),"Не оценён")</x:f>
        <x:v>Не оценён</x:v>
      </x:c>
      <x:c r="AE1527" s="13" t="str">
        <x:f>IF(J1527="Рассчитано","Выручка "&amp;TEXT(V1527,"0.00")&amp;" - себестоимость "&amp;TEXT(W1527,"0.00")&amp;" - комиссия "&amp;TEXT(V1527*R1527/100,"0.00")&amp;" - доставка "&amp;TEXT(P1527,"0.00")&amp;" - прочие "&amp;TEXT(Q1527,"0.00")&amp;" = "&amp;TEXT(G1527,"0.00")&amp;" "&amp;L1527,"Введите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7" s="24" t="n">
        <x:v>13.427874393036506</x:v>
      </x:c>
      <x:c r="AG1527" s="37" t="n">
        <x:v>26</x:v>
      </x:c>
      <x:c r="AH1527" s="37" t="n">
        <x:v>0</x:v>
      </x:c>
      <x:c r="AI1527" s="30" t="n">
        <x:v>46287</x:v>
      </x:c>
      <x:c r="AJ1527" s="37" t="n">
        <x:v>5</x:v>
      </x:c>
      <x:c r="AK1527" s="10" t="str">
        <x:v>кратность</x:v>
      </x:c>
      <x:c r="AL1527" s="32" t="n">
        <x:v>165.09429163844123</x:v>
      </x:c>
      <x:c r="AM1527" s="13" t="str">
        <x:v>Нет ежедневных данных доступности. Запас выше прогноза на 90 дней</x:v>
      </x:c>
      <x:c r="AN1527" s="13" t="str">
        <x:v>Проверить свободный остаток и установить цену для B2B</x:v>
      </x:c>
      <x:c r="AO1527" s="13" t="str">
        <x:v>Остаток 26; прогноз 90 дней 13.43; избыток 12 шт. Будущие поступления не выставляются на продажу.</x:v>
      </x:c>
      <x:c r="AP1527" s="13" t="str">
        <x:v>["daily_stockout_data_missing", "large_orders_detected", "negative_net_sales_clipped_for_forecast", "new_order_lead_time_unknown"]</x:v>
      </x:c>
      <x:c r="AQ1527" s="10" t="str">
        <x:v>SE:300200924_</x:v>
      </x:c>
      <x:c r="AR1527" s="24" t="n">
        <x:v>1</x:v>
      </x:c>
      <x:c r="AS1527" s="24" t="n">
        <x:v>0</x:v>
      </x:c>
      <x:c r="AT1527" s="24" t="n">
        <x:v>0</x:v>
      </x:c>
    </x:row>
    <x:row r="1528" ht="64" customHeight="1">
      <x:c r="A1528" s="11" t="str">
        <x:v>Systeme Electric</x:v>
      </x:c>
      <x:c r="B1528" s="33" t="str">
        <x:v>300200925_</x:v>
      </x:c>
      <x:c r="C1528" s="33" t="str">
        <x:v>GAL000605</x:v>
      </x:c>
      <x:c r="D1528" s="12" t="str">
        <x:v>G142 Рамка 5-ная "ARTGALLERY" мокко GAL0605 (5)</x:v>
      </x:c>
      <x:c r="E1528" s="11" t="str">
        <x:v>шт</x:v>
      </x:c>
      <x:c r="F1528" s="35" t="n">
        <x:f>MAX(0,ROUNDDOWN((AG1528-AF1528)/AR1528+0.000000001,0)*AR1528)</x:f>
        <x:v>77</x:v>
      </x:c>
      <x:c r="G1528" s="20" t="str">
        <x:f>IF(J1528="Рассчитано",V1528*(1-R1528/100)-W1528-P1528-Q1528,"н/д")</x:f>
        <x:v>н/д</x:v>
      </x:c>
      <x:c r="H1528" s="12" t="str">
        <x:v>Средний</x:v>
      </x:c>
      <x:c r="I1528" s="12" t="str">
        <x:v>Высокий</x:v>
      </x:c>
      <x:c r="J1528" s="12" t="str">
        <x:f>IF(L1528="","Укажите валюту",IF(NOT(ISNUMBER(K1528)),"Укажите объём",IF(K1528&lt;=0,"Укажите объём",IF(K1528&gt;F1528,"Объём выше излишка",IF(COUNT(M1528:O1528)&lt;3,"Нужны цены",IF(COUNT(P1528:R1528)&lt;3,"Нужны расходы",IF(OR(M1528&lt;0,N1528&lt;0,O1528&lt;0,O1528&gt;100,P1528&lt;0,Q1528&lt;0,R1528&lt;0,R1528&gt;100),"Проверьте значения","Рассчитано")))))))</x:f>
        <x:v>Нужны цены</x:v>
      </x:c>
      <x:c r="K1528" s="36" t="n">
        <x:v>77</x:v>
      </x:c>
      <x:c r="L1528" s="19" t="str">
        <x:v>KZT</x:v>
      </x:c>
      <x:c r="M1528" s="22"/>
      <x:c r="N1528" s="22"/>
      <x:c r="O1528" s="28"/>
      <x:c r="P1528" s="22"/>
      <x:c r="Q1528" s="22"/>
      <x:c r="R1528" s="28"/>
      <x:c r="S1528" s="22"/>
      <x:c r="T1528" s="35" t="n">
        <x:f>K1528</x:f>
        <x:v>77</x:v>
      </x:c>
      <x:c r="U1528" s="20" t="str">
        <x:f>IF(J1528="Рассчитано",N1528*(1-O1528/100),"н/д")</x:f>
        <x:v>н/д</x:v>
      </x:c>
      <x:c r="V1528" s="20" t="str">
        <x:f>IF(J1528="Рассчитано",T1528*U1528,"н/д")</x:f>
        <x:v>н/д</x:v>
      </x:c>
      <x:c r="W1528" s="20" t="str">
        <x:f>IF(J1528="Рассчитано",T1528*M1528,"н/д")</x:f>
        <x:v>н/д</x:v>
      </x:c>
      <x:c r="X1528" s="20" t="str">
        <x:f>IF(J1528="Рассчитано",V1528-W1528,"н/д")</x:f>
        <x:v>н/д</x:v>
      </x:c>
      <x:c r="Y1528" s="26" t="str">
        <x:f>IF(J1528="Рассчитано",IF(V1528&gt;0,G1528/V1528,"н/д"),"н/д")</x:f>
        <x:v>н/д</x:v>
      </x:c>
      <x:c r="Z1528" s="20" t="str">
        <x:f>"н/д"</x:f>
        <x:v>н/д</x:v>
      </x:c>
      <x:c r="AA1528" s="20" t="str">
        <x:f>"н/д"</x:f>
        <x:v>н/д</x:v>
      </x:c>
      <x:c r="AB1528" s="20" t="str">
        <x:f>"н/д"</x:f>
        <x:v>н/д</x:v>
      </x:c>
      <x:c r="AC1528" s="20" t="str">
        <x:f>IF(AND(J1528="Рассчитано",T1528&gt;0,R1528&lt;100),(W1528+P1528+Q1528)/(T1528*(1-R1528/100)),"н/д")</x:f>
        <x:v>н/д</x:v>
      </x:c>
      <x:c r="AD1528" s="11" t="str">
        <x:f>IF(ISNUMBER(G1528),IF(G1528&lt;0,"Убыток",IF(G1528=0,"Без прибыли","Прибыль &gt; 0")),"Не оценён")</x:f>
        <x:v>Не оценён</x:v>
      </x:c>
      <x:c r="AE1528" s="12" t="str">
        <x:f>IF(J1528="Рассчитано","Выручка "&amp;TEXT(V1528,"0.00")&amp;" - себестоимость "&amp;TEXT(W1528,"0.00")&amp;" - комиссия "&amp;TEXT(V1528*R1528/100,"0.00")&amp;" - доставка "&amp;TEXT(P1528,"0.00")&amp;" - прочие "&amp;TEXT(Q1528,"0.00")&amp;" = "&amp;TEXT(G1528,"0.00")&amp;" "&amp;L1528,"Введите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8" s="23" t="n">
        <x:v>1.1062073182546892</x:v>
      </x:c>
      <x:c r="AG1528" s="35" t="n">
        <x:v>79</x:v>
      </x:c>
      <x:c r="AH1528" s="35" t="n">
        <x:v>0</x:v>
      </x:c>
      <x:c r="AI1528" s="29" t="n">
        <x:v>46287</x:v>
      </x:c>
      <x:c r="AJ1528" s="35" t="n">
        <x:v>5</x:v>
      </x:c>
      <x:c r="AK1528" s="11" t="str">
        <x:v>кратность</x:v>
      </x:c>
      <x:c r="AL1528" s="31" t="n">
        <x:v>6089.148188141248</x:v>
      </x:c>
      <x:c r="AM1528" s="12" t="str">
        <x:v>Нет ежедневных данных доступности. Нет положительных чистых продаж за 12 месяцев</x:v>
      </x:c>
      <x:c r="AN1528" s="12" t="str">
        <x:v>Проверить свободный остаток и установить цену для B2B</x:v>
      </x:c>
      <x:c r="AO1528" s="12" t="str">
        <x:v>Остаток 79; прогноз 90 дней 1.11; избыток 77 шт. Будущие поступления не выставляются на продажу.</x:v>
      </x:c>
      <x:c r="AP1528" s="12" t="str">
        <x:v>["daily_stockout_data_missing", "negative_net_sales_clipped_for_forecast", "new_order_lead_time_unknown"]</x:v>
      </x:c>
      <x:c r="AQ1528" s="11" t="str">
        <x:v>SE:300200925_</x:v>
      </x:c>
      <x:c r="AR1528" s="23" t="n">
        <x:v>1</x:v>
      </x:c>
      <x:c r="AS1528" s="23" t="n">
        <x:v>0</x:v>
      </x:c>
      <x:c r="AT1528" s="23" t="n">
        <x:v>0</x:v>
      </x:c>
    </x:row>
    <x:row r="1529" ht="64" customHeight="1">
      <x:c r="A1529" s="10" t="str">
        <x:v>Systeme Electric</x:v>
      </x:c>
      <x:c r="B1529" s="34" t="str">
        <x:v>300200927_</x:v>
      </x:c>
      <x:c r="C1529" s="34" t="str">
        <x:v>GAL000615</x:v>
      </x:c>
      <x:c r="D1529" s="13" t="str">
        <x:v>G144 Выкл. 1 кл кнопочный 10А механизм "ARTGALLERY" мокко GAL0615 (5)</x:v>
      </x:c>
      <x:c r="E1529" s="10" t="str">
        <x:v>шт</x:v>
      </x:c>
      <x:c r="F1529" s="37" t="n">
        <x:f>MAX(0,ROUNDDOWN((AG1529-AF1529)/AR1529+0.000000001,0)*AR1529)</x:f>
        <x:v>13</x:v>
      </x:c>
      <x:c r="G1529" s="21" t="str">
        <x:f>IF(J1529="Рассчитано",V1529*(1-R1529/100)-W1529-P1529-Q1529,"н/д")</x:f>
        <x:v>н/д</x:v>
      </x:c>
      <x:c r="H1529" s="13" t="str">
        <x:v>Средний</x:v>
      </x:c>
      <x:c r="I1529" s="13" t="str">
        <x:v>Высокий</x:v>
      </x:c>
      <x:c r="J1529" s="13" t="str">
        <x:f>IF(L1529="","Укажите валюту",IF(NOT(ISNUMBER(K1529)),"Укажите объём",IF(K1529&lt;=0,"Укажите объём",IF(K1529&gt;F1529,"Объём выше излишка",IF(COUNT(M1529:O1529)&lt;3,"Нужны цены",IF(COUNT(P1529:R1529)&lt;3,"Нужны расходы",IF(OR(M1529&lt;0,N1529&lt;0,O1529&lt;0,O1529&gt;100,P1529&lt;0,Q1529&lt;0,R1529&lt;0,R1529&gt;100),"Проверьте значения","Рассчитано")))))))</x:f>
        <x:v>Нужны цены</x:v>
      </x:c>
      <x:c r="K1529" s="36" t="n">
        <x:v>13</x:v>
      </x:c>
      <x:c r="L1529" s="19" t="str">
        <x:v>KZT</x:v>
      </x:c>
      <x:c r="M1529" s="22"/>
      <x:c r="N1529" s="22"/>
      <x:c r="O1529" s="28"/>
      <x:c r="P1529" s="22"/>
      <x:c r="Q1529" s="22"/>
      <x:c r="R1529" s="28"/>
      <x:c r="S1529" s="22"/>
      <x:c r="T1529" s="37" t="n">
        <x:f>K1529</x:f>
        <x:v>13</x:v>
      </x:c>
      <x:c r="U1529" s="21" t="str">
        <x:f>IF(J1529="Рассчитано",N1529*(1-O1529/100),"н/д")</x:f>
        <x:v>н/д</x:v>
      </x:c>
      <x:c r="V1529" s="21" t="str">
        <x:f>IF(J1529="Рассчитано",T1529*U1529,"н/д")</x:f>
        <x:v>н/д</x:v>
      </x:c>
      <x:c r="W1529" s="21" t="str">
        <x:f>IF(J1529="Рассчитано",T1529*M1529,"н/д")</x:f>
        <x:v>н/д</x:v>
      </x:c>
      <x:c r="X1529" s="21" t="str">
        <x:f>IF(J1529="Рассчитано",V1529-W1529,"н/д")</x:f>
        <x:v>н/д</x:v>
      </x:c>
      <x:c r="Y1529" s="27" t="str">
        <x:f>IF(J1529="Рассчитано",IF(V1529&gt;0,G1529/V1529,"н/д"),"н/д")</x:f>
        <x:v>н/д</x:v>
      </x:c>
      <x:c r="Z1529" s="21" t="str">
        <x:f>"н/д"</x:f>
        <x:v>н/д</x:v>
      </x:c>
      <x:c r="AA1529" s="21" t="str">
        <x:f>"н/д"</x:f>
        <x:v>н/д</x:v>
      </x:c>
      <x:c r="AB1529" s="21" t="str">
        <x:f>"н/д"</x:f>
        <x:v>н/д</x:v>
      </x:c>
      <x:c r="AC1529" s="21" t="str">
        <x:f>IF(AND(J1529="Рассчитано",T1529&gt;0,R1529&lt;100),(W1529+P1529+Q1529)/(T1529*(1-R1529/100)),"н/д")</x:f>
        <x:v>н/д</x:v>
      </x:c>
      <x:c r="AD1529" s="10" t="str">
        <x:f>IF(ISNUMBER(G1529),IF(G1529&lt;0,"Убыток",IF(G1529=0,"Без прибыли","Прибыль &gt; 0")),"Не оценён")</x:f>
        <x:v>Не оценён</x:v>
      </x:c>
      <x:c r="AE1529" s="13" t="str">
        <x:f>IF(J1529="Рассчитано","Выручка "&amp;TEXT(V1529,"0.00")&amp;" - себестоимость "&amp;TEXT(W1529,"0.00")&amp;" - комиссия "&amp;TEXT(V1529*R1529/100,"0.00")&amp;" - доставка "&amp;TEXT(P1529,"0.00")&amp;" - прочие "&amp;TEXT(Q1529,"0.00")&amp;" = "&amp;TEXT(G1529,"0.00")&amp;" "&amp;L1529,"Введите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9" s="24" t="n">
        <x:v>4.510246514359341</x:v>
      </x:c>
      <x:c r="AG1529" s="37" t="n">
        <x:v>18</x:v>
      </x:c>
      <x:c r="AH1529" s="37" t="n">
        <x:v>0</x:v>
      </x:c>
      <x:c r="AI1529" s="30" t="n">
        <x:v>46287</x:v>
      </x:c>
      <x:c r="AJ1529" s="37" t="n">
        <x:v>5</x:v>
      </x:c>
      <x:c r="AK1529" s="10" t="str">
        <x:v>кратность</x:v>
      </x:c>
      <x:c r="AL1529" s="32" t="n">
        <x:v>340.2813952738009</x:v>
      </x:c>
      <x:c r="AM1529" s="13" t="str">
        <x:v>Нет ежедневных данных доступности. Запас более 180 дней при среднем спросе</x:v>
      </x:c>
      <x:c r="AN1529" s="13" t="str">
        <x:v>Проверить свободный остаток и установить цену для B2B</x:v>
      </x:c>
      <x:c r="AO1529" s="13" t="str">
        <x:v>Остаток 18; прогноз 90 дней 4.51; избыток 13 шт. Будущие поступления не выставляются на продажу.</x:v>
      </x:c>
      <x:c r="AP1529" s="13" t="str">
        <x:v>["daily_stockout_data_missing", "negative_net_sales_clipped_for_forecast", "new_order_lead_time_unknown"]</x:v>
      </x:c>
      <x:c r="AQ1529" s="10" t="str">
        <x:v>SE:300200927_</x:v>
      </x:c>
      <x:c r="AR1529" s="24" t="n">
        <x:v>1</x:v>
      </x:c>
      <x:c r="AS1529" s="24" t="n">
        <x:v>0</x:v>
      </x:c>
      <x:c r="AT1529" s="24" t="n">
        <x:v>0</x:v>
      </x:c>
    </x:row>
    <x:row r="1530" ht="64" customHeight="1">
      <x:c r="A1530" s="11" t="str">
        <x:v>Systeme Electric</x:v>
      </x:c>
      <x:c r="B1530" s="33" t="str">
        <x:v>300200928_</x:v>
      </x:c>
      <x:c r="C1530" s="33" t="str">
        <x:v>GAL000699</x:v>
      </x:c>
      <x:c r="D1530" s="12" t="str">
        <x:v>G145 Вывод кабеля механизм "ARTGALLERY" мокко GAL0699 (5)</x:v>
      </x:c>
      <x:c r="E1530" s="11" t="str">
        <x:v>шт</x:v>
      </x:c>
      <x:c r="F1530" s="35" t="n">
        <x:f>MAX(0,ROUNDDOWN((AG1530-AF1530)/AR1530+0.000000001,0)*AR1530)</x:f>
        <x:v>26</x:v>
      </x:c>
      <x:c r="G1530" s="20" t="str">
        <x:f>IF(J1530="Рассчитано",V1530*(1-R1530/100)-W1530-P1530-Q1530,"н/д")</x:f>
        <x:v>н/д</x:v>
      </x:c>
      <x:c r="H1530" s="12" t="str">
        <x:v>Средний</x:v>
      </x:c>
      <x:c r="I1530" s="12" t="str">
        <x:v>Высокий</x:v>
      </x:c>
      <x:c r="J1530" s="12" t="str">
        <x:f>IF(L1530="","Укажите валюту",IF(NOT(ISNUMBER(K1530)),"Укажите объём",IF(K1530&lt;=0,"Укажите объём",IF(K1530&gt;F1530,"Объём выше излишка",IF(COUNT(M1530:O1530)&lt;3,"Нужны цены",IF(COUNT(P1530:R1530)&lt;3,"Нужны расходы",IF(OR(M1530&lt;0,N1530&lt;0,O1530&lt;0,O1530&gt;100,P1530&lt;0,Q1530&lt;0,R1530&lt;0,R1530&gt;100),"Проверьте значения","Рассчитано")))))))</x:f>
        <x:v>Нужны цены</x:v>
      </x:c>
      <x:c r="K1530" s="36" t="n">
        <x:v>26</x:v>
      </x:c>
      <x:c r="L1530" s="19" t="str">
        <x:v>KZT</x:v>
      </x:c>
      <x:c r="M1530" s="22"/>
      <x:c r="N1530" s="22"/>
      <x:c r="O1530" s="28"/>
      <x:c r="P1530" s="22"/>
      <x:c r="Q1530" s="22"/>
      <x:c r="R1530" s="28"/>
      <x:c r="S1530" s="22"/>
      <x:c r="T1530" s="35" t="n">
        <x:f>K1530</x:f>
        <x:v>26</x:v>
      </x:c>
      <x:c r="U1530" s="20" t="str">
        <x:f>IF(J1530="Рассчитано",N1530*(1-O1530/100),"н/д")</x:f>
        <x:v>н/д</x:v>
      </x:c>
      <x:c r="V1530" s="20" t="str">
        <x:f>IF(J1530="Рассчитано",T1530*U1530,"н/д")</x:f>
        <x:v>н/д</x:v>
      </x:c>
      <x:c r="W1530" s="20" t="str">
        <x:f>IF(J1530="Рассчитано",T1530*M1530,"н/д")</x:f>
        <x:v>н/д</x:v>
      </x:c>
      <x:c r="X1530" s="20" t="str">
        <x:f>IF(J1530="Рассчитано",V1530-W1530,"н/д")</x:f>
        <x:v>н/д</x:v>
      </x:c>
      <x:c r="Y1530" s="26" t="str">
        <x:f>IF(J1530="Рассчитано",IF(V1530&gt;0,G1530/V1530,"н/д"),"н/д")</x:f>
        <x:v>н/д</x:v>
      </x:c>
      <x:c r="Z1530" s="20" t="str">
        <x:f>"н/д"</x:f>
        <x:v>н/д</x:v>
      </x:c>
      <x:c r="AA1530" s="20" t="str">
        <x:f>"н/д"</x:f>
        <x:v>н/д</x:v>
      </x:c>
      <x:c r="AB1530" s="20" t="str">
        <x:f>"н/д"</x:f>
        <x:v>н/д</x:v>
      </x:c>
      <x:c r="AC1530" s="20" t="str">
        <x:f>IF(AND(J1530="Рассчитано",T1530&gt;0,R1530&lt;100),(W1530+P1530+Q1530)/(T1530*(1-R1530/100)),"н/д")</x:f>
        <x:v>н/д</x:v>
      </x:c>
      <x:c r="AD1530" s="11" t="str">
        <x:f>IF(ISNUMBER(G1530),IF(G1530&lt;0,"Убыток",IF(G1530=0,"Без прибыли","Прибыль &gt; 0")),"Не оценён")</x:f>
        <x:v>Не оценён</x:v>
      </x:c>
      <x:c r="AE1530" s="12" t="str">
        <x:f>IF(J1530="Рассчитано","Выручка "&amp;TEXT(V1530,"0.00")&amp;" - себестоимость "&amp;TEXT(W1530,"0.00")&amp;" - комиссия "&amp;TEXT(V1530*R1530/100,"0.00")&amp;" - доставка "&amp;TEXT(P1530,"0.00")&amp;" - прочие "&amp;TEXT(Q1530,"0.00")&amp;" = "&amp;TEXT(G1530,"0.00")&amp;" "&amp;L1530,"Введите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0" s="23" t="n">
        <x:v>1.4001301238511783</x:v>
      </x:c>
      <x:c r="AG1530" s="35" t="n">
        <x:v>28</x:v>
      </x:c>
      <x:c r="AH1530" s="35" t="n">
        <x:v>0</x:v>
      </x:c>
      <x:c r="AI1530" s="29" t="n">
        <x:v>46287</x:v>
      </x:c>
      <x:c r="AJ1530" s="35" t="n">
        <x:v>5</x:v>
      </x:c>
      <x:c r="AK1530" s="11" t="str">
        <x:v>кратность</x:v>
      </x:c>
      <x:c r="AL1530" s="31" t="n">
        <x:v>1705.1226018264113</x:v>
      </x:c>
      <x:c r="AM1530" s="12" t="str">
        <x:v>Нет ежедневных данных доступности. Нет положительных чистых продаж за 12 месяцев</x:v>
      </x:c>
      <x:c r="AN1530" s="12" t="str">
        <x:v>Проверить свободный остаток и установить цену для B2B</x:v>
      </x:c>
      <x:c r="AO1530" s="12" t="str">
        <x:v>Остаток 28; прогноз 90 дней 1.40; избыток 26 шт. Будущие поступления не выставляются на продажу.</x:v>
      </x:c>
      <x:c r="AP1530" s="12" t="str">
        <x:v>["daily_stockout_data_missing", "negative_net_sales_clipped_for_forecast", "new_order_lead_time_unknown"]</x:v>
      </x:c>
      <x:c r="AQ1530" s="11" t="str">
        <x:v>SE:300200928_</x:v>
      </x:c>
      <x:c r="AR1530" s="23" t="n">
        <x:v>1</x:v>
      </x:c>
      <x:c r="AS1530" s="23" t="n">
        <x:v>0</x:v>
      </x:c>
      <x:c r="AT1530" s="23" t="n">
        <x:v>0</x:v>
      </x:c>
    </x:row>
    <x:row r="1531" ht="64" customHeight="1">
      <x:c r="A1531" s="10" t="str">
        <x:v>Systeme Electric</x:v>
      </x:c>
      <x:c r="B1531" s="34" t="str">
        <x:v>300200929_</x:v>
      </x:c>
      <x:c r="C1531" s="34" t="str">
        <x:v>GAL000689</x:v>
      </x:c>
      <x:c r="D1531" s="13" t="str">
        <x:v>G146 Роз. 2-ная TV комп. RJ45 5Е "ARTGALLERY" мокко GAL0689 (5)</x:v>
      </x:c>
      <x:c r="E1531" s="10" t="str">
        <x:v>шт</x:v>
      </x:c>
      <x:c r="F1531" s="37" t="n">
        <x:f>MAX(0,ROUNDDOWN((AG1531-AF1531)/AR1531+0.000000001,0)*AR1531)</x:f>
        <x:v>43</x:v>
      </x:c>
      <x:c r="G1531" s="21" t="str">
        <x:f>IF(J1531="Рассчитано",V1531*(1-R1531/100)-W1531-P1531-Q1531,"н/д")</x:f>
        <x:v>н/д</x:v>
      </x:c>
      <x:c r="H1531" s="13" t="str">
        <x:v>Средний</x:v>
      </x:c>
      <x:c r="I1531" s="13" t="str">
        <x:v>Высокий</x:v>
      </x:c>
      <x:c r="J1531" s="13" t="str">
        <x:f>IF(L1531="","Укажите валюту",IF(NOT(ISNUMBER(K1531)),"Укажите объём",IF(K1531&lt;=0,"Укажите объём",IF(K1531&gt;F1531,"Объём выше излишка",IF(COUNT(M1531:O1531)&lt;3,"Нужны цены",IF(COUNT(P1531:R1531)&lt;3,"Нужны расходы",IF(OR(M1531&lt;0,N1531&lt;0,O1531&lt;0,O1531&gt;100,P1531&lt;0,Q1531&lt;0,R1531&lt;0,R1531&gt;100),"Проверьте значения","Рассчитано")))))))</x:f>
        <x:v>Нужны цены</x:v>
      </x:c>
      <x:c r="K1531" s="36" t="n">
        <x:v>43</x:v>
      </x:c>
      <x:c r="L1531" s="19" t="str">
        <x:v>KZT</x:v>
      </x:c>
      <x:c r="M1531" s="22"/>
      <x:c r="N1531" s="22"/>
      <x:c r="O1531" s="28"/>
      <x:c r="P1531" s="22"/>
      <x:c r="Q1531" s="22"/>
      <x:c r="R1531" s="28"/>
      <x:c r="S1531" s="22"/>
      <x:c r="T1531" s="37" t="n">
        <x:f>K1531</x:f>
        <x:v>43</x:v>
      </x:c>
      <x:c r="U1531" s="21" t="str">
        <x:f>IF(J1531="Рассчитано",N1531*(1-O1531/100),"н/д")</x:f>
        <x:v>н/д</x:v>
      </x:c>
      <x:c r="V1531" s="21" t="str">
        <x:f>IF(J1531="Рассчитано",T1531*U1531,"н/д")</x:f>
        <x:v>н/д</x:v>
      </x:c>
      <x:c r="W1531" s="21" t="str">
        <x:f>IF(J1531="Рассчитано",T1531*M1531,"н/д")</x:f>
        <x:v>н/д</x:v>
      </x:c>
      <x:c r="X1531" s="21" t="str">
        <x:f>IF(J1531="Рассчитано",V1531-W1531,"н/д")</x:f>
        <x:v>н/д</x:v>
      </x:c>
      <x:c r="Y1531" s="27" t="str">
        <x:f>IF(J1531="Рассчитано",IF(V1531&gt;0,G1531/V1531,"н/д"),"н/д")</x:f>
        <x:v>н/д</x:v>
      </x:c>
      <x:c r="Z1531" s="21" t="str">
        <x:f>"н/д"</x:f>
        <x:v>н/д</x:v>
      </x:c>
      <x:c r="AA1531" s="21" t="str">
        <x:f>"н/д"</x:f>
        <x:v>н/д</x:v>
      </x:c>
      <x:c r="AB1531" s="21" t="str">
        <x:f>"н/д"</x:f>
        <x:v>н/д</x:v>
      </x:c>
      <x:c r="AC1531" s="21" t="str">
        <x:f>IF(AND(J1531="Рассчитано",T1531&gt;0,R1531&lt;100),(W1531+P1531+Q1531)/(T1531*(1-R1531/100)),"н/д")</x:f>
        <x:v>н/д</x:v>
      </x:c>
      <x:c r="AD1531" s="10" t="str">
        <x:f>IF(ISNUMBER(G1531),IF(G1531&lt;0,"Убыток",IF(G1531=0,"Без прибыли","Прибыль &gt; 0")),"Не оценён")</x:f>
        <x:v>Не оценён</x:v>
      </x:c>
      <x:c r="AE1531" s="13" t="str">
        <x:f>IF(J1531="Рассчитано","Выручка "&amp;TEXT(V1531,"0.00")&amp;" - себестоимость "&amp;TEXT(W1531,"0.00")&amp;" - комиссия "&amp;TEXT(V1531*R1531/100,"0.00")&amp;" - доставка "&amp;TEXT(P1531,"0.00")&amp;" - прочие "&amp;TEXT(Q1531,"0.00")&amp;" = "&amp;TEXT(G1531,"0.00")&amp;" "&amp;L1531,"Введите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1" s="24" t="n">
        <x:v>0</x:v>
      </x:c>
      <x:c r="AG1531" s="37" t="n">
        <x:v>43</x:v>
      </x:c>
      <x:c r="AH1531" s="37" t="n">
        <x:v>0</x:v>
      </x:c>
      <x:c r="AI1531" s="30" t="n">
        <x:v>46287</x:v>
      </x:c>
      <x:c r="AJ1531" s="37" t="n">
        <x:v>5</x:v>
      </x:c>
      <x:c r="AK1531" s="10" t="str">
        <x:v>кратность</x:v>
      </x:c>
      <x:c r="AL1531" s="32" t="str">
        <x:v>н/д</x:v>
      </x:c>
      <x:c r="AM1531" s="13" t="str">
        <x:v>Нет ежедневных данных доступности. Нет положительных чистых продаж за 12 месяцев</x:v>
      </x:c>
      <x:c r="AN1531" s="13" t="str">
        <x:v>Проверить свободный остаток и установить цену для B2B</x:v>
      </x:c>
      <x:c r="AO1531" s="13" t="str">
        <x:v>Остаток 43; прогноз 90 дней 0.00; избыток 43 шт. Будущие поступления не выставляются на продажу.</x:v>
      </x:c>
      <x:c r="AP1531" s="13" t="str">
        <x:v>["daily_stockout_data_missing", "negative_net_sales_clipped_for_forecast", "new_order_lead_time_unknown"]</x:v>
      </x:c>
      <x:c r="AQ1531" s="10" t="str">
        <x:v>SE:300200929_</x:v>
      </x:c>
      <x:c r="AR1531" s="24" t="n">
        <x:v>1</x:v>
      </x:c>
      <x:c r="AS1531" s="24" t="n">
        <x:v>0</x:v>
      </x:c>
      <x:c r="AT1531" s="24" t="n">
        <x:v>0</x:v>
      </x:c>
    </x:row>
    <x:row r="1532" ht="64" customHeight="1">
      <x:c r="A1532" s="11" t="str">
        <x:v>Systeme Electric</x:v>
      </x:c>
      <x:c r="B1532" s="33" t="str">
        <x:v>300200930_</x:v>
      </x:c>
      <x:c r="C1532" s="33" t="str">
        <x:v>GAL000629</x:v>
      </x:c>
      <x:c r="D1532" s="12" t="str">
        <x:v>G147 Роз. USB A+C 45Вт высокоскор.заряд., механизм "ARTGALLERY" мокко GAL0629 (1)</x:v>
      </x:c>
      <x:c r="E1532" s="11" t="str">
        <x:v>шт</x:v>
      </x:c>
      <x:c r="F1532" s="35" t="n">
        <x:f>MAX(0,ROUNDDOWN((AG1532-AF1532)/AR1532+0.000000001,0)*AR1532)</x:f>
        <x:v>11</x:v>
      </x:c>
      <x:c r="G1532" s="20" t="str">
        <x:f>IF(J1532="Рассчитано",V1532*(1-R1532/100)-W1532-P1532-Q1532,"н/д")</x:f>
        <x:v>н/д</x:v>
      </x:c>
      <x:c r="H1532" s="12" t="str">
        <x:v>Средний</x:v>
      </x:c>
      <x:c r="I1532" s="12" t="str">
        <x:v>Высокий</x:v>
      </x:c>
      <x:c r="J1532" s="12" t="str">
        <x:f>IF(L1532="","Укажите валюту",IF(NOT(ISNUMBER(K1532)),"Укажите объём",IF(K1532&lt;=0,"Укажите объём",IF(K1532&gt;F1532,"Объём выше излишка",IF(COUNT(M1532:O1532)&lt;3,"Нужны цены",IF(COUNT(P1532:R1532)&lt;3,"Нужны расходы",IF(OR(M1532&lt;0,N1532&lt;0,O1532&lt;0,O1532&gt;100,P1532&lt;0,Q1532&lt;0,R1532&lt;0,R1532&gt;100),"Проверьте значения","Рассчитано")))))))</x:f>
        <x:v>Нужны цены</x:v>
      </x:c>
      <x:c r="K1532" s="36" t="n">
        <x:v>11</x:v>
      </x:c>
      <x:c r="L1532" s="19" t="str">
        <x:v>KZT</x:v>
      </x:c>
      <x:c r="M1532" s="22"/>
      <x:c r="N1532" s="22"/>
      <x:c r="O1532" s="28"/>
      <x:c r="P1532" s="22"/>
      <x:c r="Q1532" s="22"/>
      <x:c r="R1532" s="28"/>
      <x:c r="S1532" s="22"/>
      <x:c r="T1532" s="35" t="n">
        <x:f>K1532</x:f>
        <x:v>11</x:v>
      </x:c>
      <x:c r="U1532" s="20" t="str">
        <x:f>IF(J1532="Рассчитано",N1532*(1-O1532/100),"н/д")</x:f>
        <x:v>н/д</x:v>
      </x:c>
      <x:c r="V1532" s="20" t="str">
        <x:f>IF(J1532="Рассчитано",T1532*U1532,"н/д")</x:f>
        <x:v>н/д</x:v>
      </x:c>
      <x:c r="W1532" s="20" t="str">
        <x:f>IF(J1532="Рассчитано",T1532*M1532,"н/д")</x:f>
        <x:v>н/д</x:v>
      </x:c>
      <x:c r="X1532" s="20" t="str">
        <x:f>IF(J1532="Рассчитано",V1532-W1532,"н/д")</x:f>
        <x:v>н/д</x:v>
      </x:c>
      <x:c r="Y1532" s="26" t="str">
        <x:f>IF(J1532="Рассчитано",IF(V1532&gt;0,G1532/V1532,"н/д"),"н/д")</x:f>
        <x:v>н/д</x:v>
      </x:c>
      <x:c r="Z1532" s="20" t="str">
        <x:f>"н/д"</x:f>
        <x:v>н/д</x:v>
      </x:c>
      <x:c r="AA1532" s="20" t="str">
        <x:f>"н/д"</x:f>
        <x:v>н/д</x:v>
      </x:c>
      <x:c r="AB1532" s="20" t="str">
        <x:f>"н/д"</x:f>
        <x:v>н/д</x:v>
      </x:c>
      <x:c r="AC1532" s="20" t="str">
        <x:f>IF(AND(J1532="Рассчитано",T1532&gt;0,R1532&lt;100),(W1532+P1532+Q1532)/(T1532*(1-R1532/100)),"н/д")</x:f>
        <x:v>н/д</x:v>
      </x:c>
      <x:c r="AD1532" s="11" t="str">
        <x:f>IF(ISNUMBER(G1532),IF(G1532&lt;0,"Убыток",IF(G1532=0,"Без прибыли","Прибыль &gt; 0")),"Не оценён")</x:f>
        <x:v>Не оценён</x:v>
      </x:c>
      <x:c r="AE1532" s="12" t="str">
        <x:f>IF(J1532="Рассчитано","Выручка "&amp;TEXT(V1532,"0.00")&amp;" - себестоимость "&amp;TEXT(W1532,"0.00")&amp;" - комиссия "&amp;TEXT(V1532*R1532/100,"0.00")&amp;" - доставка "&amp;TEXT(P1532,"0.00")&amp;" - прочие "&amp;TEXT(Q1532,"0.00")&amp;" = "&amp;TEXT(G1532,"0.00")&amp;" "&amp;L1532,"Введите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2" s="23" t="n">
        <x:v>5.131971358192735</x:v>
      </x:c>
      <x:c r="AG1532" s="35" t="n">
        <x:v>17</x:v>
      </x:c>
      <x:c r="AH1532" s="35" t="n">
        <x:v>0</x:v>
      </x:c>
      <x:c r="AI1532" s="29" t="n">
        <x:v>46287</x:v>
      </x:c>
      <x:c r="AJ1532" s="35" t="n">
        <x:v>1</x:v>
      </x:c>
      <x:c r="AK1532" s="11" t="str">
        <x:v>кратность</x:v>
      </x:c>
      <x:c r="AL1532" s="31" t="n">
        <x:v>282.4429096524181</x:v>
      </x:c>
      <x:c r="AM1532" s="12" t="str">
        <x:v>Нет ежедневных данных доступности. Запас более 180 дней при среднем спросе</x:v>
      </x:c>
      <x:c r="AN1532" s="12" t="str">
        <x:v>Проверить свободный остаток и установить цену для B2B</x:v>
      </x:c>
      <x:c r="AO1532" s="12" t="str">
        <x:v>Остаток 17; прогноз 90 дней 5.13; избыток 11 шт. Будущие поступления не выставляются на продажу.</x:v>
      </x:c>
      <x:c r="AP1532" s="12" t="str">
        <x:v>["daily_stockout_data_missing", "new_order_lead_time_unknown"]</x:v>
      </x:c>
      <x:c r="AQ1532" s="11" t="str">
        <x:v>SE:300200930_</x:v>
      </x:c>
      <x:c r="AR1532" s="23" t="n">
        <x:v>1</x:v>
      </x:c>
      <x:c r="AS1532" s="23" t="n">
        <x:v>0</x:v>
      </x:c>
      <x:c r="AT1532" s="23" t="n">
        <x:v>0</x:v>
      </x:c>
    </x:row>
    <x:row r="1533" ht="64" customHeight="1">
      <x:c r="A1533" s="10" t="str">
        <x:v>Systeme Electric</x:v>
      </x:c>
      <x:c r="B1533" s="34" t="str">
        <x:v>300200931_</x:v>
      </x:c>
      <x:c r="C1533" s="34" t="str">
        <x:v>GAL000623</x:v>
      </x:c>
      <x:c r="D1533" s="13" t="str">
        <x:v>G148 Диммер поворотно-нажимной механизм 400Вт "ARTGALLERY" мокко GAL0623 (1)</x:v>
      </x:c>
      <x:c r="E1533" s="10" t="str">
        <x:v>шт</x:v>
      </x:c>
      <x:c r="F1533" s="37" t="n">
        <x:f>MAX(0,ROUNDDOWN((AG1533-AF1533)/AR1533+0.000000001,0)*AR1533)</x:f>
        <x:v>1</x:v>
      </x:c>
      <x:c r="G1533" s="21" t="str">
        <x:f>IF(J1533="Рассчитано",V1533*(1-R1533/100)-W1533-P1533-Q1533,"н/д")</x:f>
        <x:v>н/д</x:v>
      </x:c>
      <x:c r="H1533" s="13" t="str">
        <x:v>Средний</x:v>
      </x:c>
      <x:c r="I1533" s="13" t="str">
        <x:v>Средний</x:v>
      </x:c>
      <x:c r="J1533" s="13" t="str">
        <x:f>IF(L1533="","Укажите валюту",IF(NOT(ISNUMBER(K1533)),"Укажите объём",IF(K1533&lt;=0,"Укажите объём",IF(K1533&gt;F1533,"Объём выше излишка",IF(COUNT(M1533:O1533)&lt;3,"Нужны цены",IF(COUNT(P1533:R1533)&lt;3,"Нужны расходы",IF(OR(M1533&lt;0,N1533&lt;0,O1533&lt;0,O1533&gt;100,P1533&lt;0,Q1533&lt;0,R1533&lt;0,R1533&gt;100),"Проверьте значения","Рассчитано")))))))</x:f>
        <x:v>Нужны цены</x:v>
      </x:c>
      <x:c r="K1533" s="36" t="n">
        <x:v>1</x:v>
      </x:c>
      <x:c r="L1533" s="19" t="str">
        <x:v>KZT</x:v>
      </x:c>
      <x:c r="M1533" s="22"/>
      <x:c r="N1533" s="22"/>
      <x:c r="O1533" s="28"/>
      <x:c r="P1533" s="22"/>
      <x:c r="Q1533" s="22"/>
      <x:c r="R1533" s="28"/>
      <x:c r="S1533" s="22"/>
      <x:c r="T1533" s="37" t="n">
        <x:f>K1533</x:f>
        <x:v>1</x:v>
      </x:c>
      <x:c r="U1533" s="21" t="str">
        <x:f>IF(J1533="Рассчитано",N1533*(1-O1533/100),"н/д")</x:f>
        <x:v>н/д</x:v>
      </x:c>
      <x:c r="V1533" s="21" t="str">
        <x:f>IF(J1533="Рассчитано",T1533*U1533,"н/д")</x:f>
        <x:v>н/д</x:v>
      </x:c>
      <x:c r="W1533" s="21" t="str">
        <x:f>IF(J1533="Рассчитано",T1533*M1533,"н/д")</x:f>
        <x:v>н/д</x:v>
      </x:c>
      <x:c r="X1533" s="21" t="str">
        <x:f>IF(J1533="Рассчитано",V1533-W1533,"н/д")</x:f>
        <x:v>н/д</x:v>
      </x:c>
      <x:c r="Y1533" s="27" t="str">
        <x:f>IF(J1533="Рассчитано",IF(V1533&gt;0,G1533/V1533,"н/д"),"н/д")</x:f>
        <x:v>н/д</x:v>
      </x:c>
      <x:c r="Z1533" s="21" t="str">
        <x:f>"н/д"</x:f>
        <x:v>н/д</x:v>
      </x:c>
      <x:c r="AA1533" s="21" t="str">
        <x:f>"н/д"</x:f>
        <x:v>н/д</x:v>
      </x:c>
      <x:c r="AB1533" s="21" t="str">
        <x:f>"н/д"</x:f>
        <x:v>н/д</x:v>
      </x:c>
      <x:c r="AC1533" s="21" t="str">
        <x:f>IF(AND(J1533="Рассчитано",T1533&gt;0,R1533&lt;100),(W1533+P1533+Q1533)/(T1533*(1-R1533/100)),"н/д")</x:f>
        <x:v>н/д</x:v>
      </x:c>
      <x:c r="AD1533" s="10" t="str">
        <x:f>IF(ISNUMBER(G1533),IF(G1533&lt;0,"Убыток",IF(G1533=0,"Без прибыли","Прибыль &gt; 0")),"Не оценён")</x:f>
        <x:v>Не оценён</x:v>
      </x:c>
      <x:c r="AE1533" s="13" t="str">
        <x:f>IF(J1533="Рассчитано","Выручка "&amp;TEXT(V1533,"0.00")&amp;" - себестоимость "&amp;TEXT(W1533,"0.00")&amp;" - комиссия "&amp;TEXT(V1533*R1533/100,"0.00")&amp;" - доставка "&amp;TEXT(P1533,"0.00")&amp;" - прочие "&amp;TEXT(Q1533,"0.00")&amp;" = "&amp;TEXT(G1533,"0.00")&amp;" "&amp;L1533,"Введите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3" s="24" t="n">
        <x:v>3.612242616025881</x:v>
      </x:c>
      <x:c r="AG1533" s="37" t="n">
        <x:v>5</x:v>
      </x:c>
      <x:c r="AH1533" s="37" t="n">
        <x:v>0</x:v>
      </x:c>
      <x:c r="AI1533" s="30" t="n">
        <x:v>46287</x:v>
      </x:c>
      <x:c r="AJ1533" s="37" t="n">
        <x:v>1</x:v>
      </x:c>
      <x:c r="AK1533" s="10" t="str">
        <x:v>кратность</x:v>
      </x:c>
      <x:c r="AL1533" s="32" t="n">
        <x:v>118.02094064209379</x:v>
      </x:c>
      <x:c r="AM1533" s="13" t="str">
        <x:v>Нет ежедневных данных доступности. Запас выше прогноза на 90 дней</x:v>
      </x:c>
      <x:c r="AN1533" s="13" t="str">
        <x:v>Проверить свободный остаток и установить цену для B2B</x:v>
      </x:c>
      <x:c r="AO1533" s="13" t="str">
        <x:v>Остаток 5; прогноз 90 дней 3.61; избыток 1 шт. Будущие поступления не выставляются на продажу.</x:v>
      </x:c>
      <x:c r="AP1533" s="13" t="str">
        <x:v>["daily_stockout_data_missing", "new_order_lead_time_unknown"]</x:v>
      </x:c>
      <x:c r="AQ1533" s="10" t="str">
        <x:v>SE:300200931_</x:v>
      </x:c>
      <x:c r="AR1533" s="24" t="n">
        <x:v>1</x:v>
      </x:c>
      <x:c r="AS1533" s="24" t="n">
        <x:v>0</x:v>
      </x:c>
      <x:c r="AT1533" s="24" t="n">
        <x:v>0</x:v>
      </x:c>
    </x:row>
    <x:row r="1534" ht="64" customHeight="1">
      <x:c r="A1534" s="11" t="str">
        <x:v>Systeme Electric</x:v>
      </x:c>
      <x:c r="B1534" s="33" t="str">
        <x:v>300200932_</x:v>
      </x:c>
      <x:c r="C1534" s="33" t="str">
        <x:v>GAL000646</x:v>
      </x:c>
      <x:c r="D1534" s="12" t="str">
        <x:v>G149 Роз. с з/к с/ш с крышкой 16А механизм IP20 "ARTGALLERY" мокко GAL0646 (10)</x:v>
      </x:c>
      <x:c r="E1534" s="11" t="str">
        <x:v>шт</x:v>
      </x:c>
      <x:c r="F1534" s="35" t="n">
        <x:f>MAX(0,ROUNDDOWN((AG1534-AF1534)/AR1534+0.000000001,0)*AR1534)</x:f>
        <x:v>71</x:v>
      </x:c>
      <x:c r="G1534" s="20" t="str">
        <x:f>IF(J1534="Рассчитано",V1534*(1-R1534/100)-W1534-P1534-Q1534,"н/д")</x:f>
        <x:v>н/д</x:v>
      </x:c>
      <x:c r="H1534" s="12" t="str">
        <x:v>Средний</x:v>
      </x:c>
      <x:c r="I1534" s="12" t="str">
        <x:v>Высокий</x:v>
      </x:c>
      <x:c r="J1534" s="12" t="str">
        <x:f>IF(L1534="","Укажите валюту",IF(NOT(ISNUMBER(K1534)),"Укажите объём",IF(K1534&lt;=0,"Укажите объём",IF(K1534&gt;F1534,"Объём выше излишка",IF(COUNT(M1534:O1534)&lt;3,"Нужны цены",IF(COUNT(P1534:R1534)&lt;3,"Нужны расходы",IF(OR(M1534&lt;0,N1534&lt;0,O1534&lt;0,O1534&gt;100,P1534&lt;0,Q1534&lt;0,R1534&lt;0,R1534&gt;100),"Проверьте значения","Рассчитано")))))))</x:f>
        <x:v>Нужны цены</x:v>
      </x:c>
      <x:c r="K1534" s="36" t="n">
        <x:v>71</x:v>
      </x:c>
      <x:c r="L1534" s="19" t="str">
        <x:v>KZT</x:v>
      </x:c>
      <x:c r="M1534" s="22"/>
      <x:c r="N1534" s="22"/>
      <x:c r="O1534" s="28"/>
      <x:c r="P1534" s="22"/>
      <x:c r="Q1534" s="22"/>
      <x:c r="R1534" s="28"/>
      <x:c r="S1534" s="22"/>
      <x:c r="T1534" s="35" t="n">
        <x:f>K1534</x:f>
        <x:v>71</x:v>
      </x:c>
      <x:c r="U1534" s="20" t="str">
        <x:f>IF(J1534="Рассчитано",N1534*(1-O1534/100),"н/д")</x:f>
        <x:v>н/д</x:v>
      </x:c>
      <x:c r="V1534" s="20" t="str">
        <x:f>IF(J1534="Рассчитано",T1534*U1534,"н/д")</x:f>
        <x:v>н/д</x:v>
      </x:c>
      <x:c r="W1534" s="20" t="str">
        <x:f>IF(J1534="Рассчитано",T1534*M1534,"н/д")</x:f>
        <x:v>н/д</x:v>
      </x:c>
      <x:c r="X1534" s="20" t="str">
        <x:f>IF(J1534="Рассчитано",V1534-W1534,"н/д")</x:f>
        <x:v>н/д</x:v>
      </x:c>
      <x:c r="Y1534" s="26" t="str">
        <x:f>IF(J1534="Рассчитано",IF(V1534&gt;0,G1534/V1534,"н/д"),"н/д")</x:f>
        <x:v>н/д</x:v>
      </x:c>
      <x:c r="Z1534" s="20" t="str">
        <x:f>"н/д"</x:f>
        <x:v>н/д</x:v>
      </x:c>
      <x:c r="AA1534" s="20" t="str">
        <x:f>"н/д"</x:f>
        <x:v>н/д</x:v>
      </x:c>
      <x:c r="AB1534" s="20" t="str">
        <x:f>"н/д"</x:f>
        <x:v>н/д</x:v>
      </x:c>
      <x:c r="AC1534" s="20" t="str">
        <x:f>IF(AND(J1534="Рассчитано",T1534&gt;0,R1534&lt;100),(W1534+P1534+Q1534)/(T1534*(1-R1534/100)),"н/д")</x:f>
        <x:v>н/д</x:v>
      </x:c>
      <x:c r="AD1534" s="11" t="str">
        <x:f>IF(ISNUMBER(G1534),IF(G1534&lt;0,"Убыток",IF(G1534=0,"Без прибыли","Прибыль &gt; 0")),"Не оценён")</x:f>
        <x:v>Не оценён</x:v>
      </x:c>
      <x:c r="AE1534" s="12" t="str">
        <x:f>IF(J1534="Рассчитано","Выручка "&amp;TEXT(V1534,"0.00")&amp;" - себестоимость "&amp;TEXT(W1534,"0.00")&amp;" - комиссия "&amp;TEXT(V1534*R1534/100,"0.00")&amp;" - доставка "&amp;TEXT(P1534,"0.00")&amp;" - прочие "&amp;TEXT(Q1534,"0.00")&amp;" = "&amp;TEXT(G1534,"0.00")&amp;" "&amp;L1534,"Введите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4" s="23" t="n">
        <x:v>0.5269836163753541</x:v>
      </x:c>
      <x:c r="AG1534" s="35" t="n">
        <x:v>72</x:v>
      </x:c>
      <x:c r="AH1534" s="35" t="n">
        <x:v>0</x:v>
      </x:c>
      <x:c r="AI1534" s="29" t="n">
        <x:v>46287</x:v>
      </x:c>
      <x:c r="AJ1534" s="35" t="n">
        <x:v>10</x:v>
      </x:c>
      <x:c r="AK1534" s="11" t="str">
        <x:v>кратность</x:v>
      </x:c>
      <x:c r="AL1534" s="31" t="n">
        <x:v>11649.341112281107</x:v>
      </x:c>
      <x:c r="AM1534" s="12" t="str">
        <x:v>Нет ежедневных данных доступности. Нет положительных чистых продаж за 12 месяцев</x:v>
      </x:c>
      <x:c r="AN1534" s="12" t="str">
        <x:v>Проверить свободный остаток и установить цену для B2B</x:v>
      </x:c>
      <x:c r="AO1534" s="12" t="str">
        <x:v>Остаток 72; прогноз 90 дней 0.53; избыток 71 шт. Будущие поступления не выставляются на продажу.</x:v>
      </x:c>
      <x:c r="AP1534" s="12" t="str">
        <x:v>["daily_stockout_data_missing", "negative_net_sales_clipped_for_forecast", "new_order_lead_time_unknown"]</x:v>
      </x:c>
      <x:c r="AQ1534" s="11" t="str">
        <x:v>SE:300200932_</x:v>
      </x:c>
      <x:c r="AR1534" s="23" t="n">
        <x:v>1</x:v>
      </x:c>
      <x:c r="AS1534" s="23" t="n">
        <x:v>0</x:v>
      </x:c>
      <x:c r="AT1534" s="23" t="n">
        <x:v>0</x:v>
      </x:c>
    </x:row>
    <x:row r="1535" ht="64" customHeight="1">
      <x:c r="A1535" s="10" t="str">
        <x:v>Systeme Electric</x:v>
      </x:c>
      <x:c r="B1535" s="34" t="str">
        <x:v>300200935_</x:v>
      </x:c>
      <x:c r="C1535" s="34" t="str">
        <x:v>GAL001413</x:v>
      </x:c>
      <x:c r="D1535" s="13" t="str">
        <x:v>G152 Выкл. 1 кл с инд 10А механизм "ARTGALLERY" базальт GAL1413 (5)</x:v>
      </x:c>
      <x:c r="E1535" s="10" t="str">
        <x:v>шт</x:v>
      </x:c>
      <x:c r="F1535" s="37" t="n">
        <x:f>MAX(0,ROUNDDOWN((AG1535-AF1535)/AR1535+0.000000001,0)*AR1535)</x:f>
        <x:v>55</x:v>
      </x:c>
      <x:c r="G1535" s="21" t="str">
        <x:f>IF(J1535="Рассчитано",V1535*(1-R1535/100)-W1535-P1535-Q1535,"н/д")</x:f>
        <x:v>н/д</x:v>
      </x:c>
      <x:c r="H1535" s="13" t="str">
        <x:v>Средний</x:v>
      </x:c>
      <x:c r="I1535" s="13" t="str">
        <x:v>Высокий</x:v>
      </x:c>
      <x:c r="J1535" s="13" t="str">
        <x:f>IF(L1535="","Укажите валюту",IF(NOT(ISNUMBER(K1535)),"Укажите объём",IF(K1535&lt;=0,"Укажите объём",IF(K1535&gt;F1535,"Объём выше излишка",IF(COUNT(M1535:O1535)&lt;3,"Нужны цены",IF(COUNT(P1535:R1535)&lt;3,"Нужны расходы",IF(OR(M1535&lt;0,N1535&lt;0,O1535&lt;0,O1535&gt;100,P1535&lt;0,Q1535&lt;0,R1535&lt;0,R1535&gt;100),"Проверьте значения","Рассчитано")))))))</x:f>
        <x:v>Нужны цены</x:v>
      </x:c>
      <x:c r="K1535" s="36" t="n">
        <x:v>55</x:v>
      </x:c>
      <x:c r="L1535" s="19" t="str">
        <x:v>KZT</x:v>
      </x:c>
      <x:c r="M1535" s="22"/>
      <x:c r="N1535" s="22"/>
      <x:c r="O1535" s="28"/>
      <x:c r="P1535" s="22"/>
      <x:c r="Q1535" s="22"/>
      <x:c r="R1535" s="28"/>
      <x:c r="S1535" s="22"/>
      <x:c r="T1535" s="37" t="n">
        <x:f>K1535</x:f>
        <x:v>55</x:v>
      </x:c>
      <x:c r="U1535" s="21" t="str">
        <x:f>IF(J1535="Рассчитано",N1535*(1-O1535/100),"н/д")</x:f>
        <x:v>н/д</x:v>
      </x:c>
      <x:c r="V1535" s="21" t="str">
        <x:f>IF(J1535="Рассчитано",T1535*U1535,"н/д")</x:f>
        <x:v>н/д</x:v>
      </x:c>
      <x:c r="W1535" s="21" t="str">
        <x:f>IF(J1535="Рассчитано",T1535*M1535,"н/д")</x:f>
        <x:v>н/д</x:v>
      </x:c>
      <x:c r="X1535" s="21" t="str">
        <x:f>IF(J1535="Рассчитано",V1535-W1535,"н/д")</x:f>
        <x:v>н/д</x:v>
      </x:c>
      <x:c r="Y1535" s="27" t="str">
        <x:f>IF(J1535="Рассчитано",IF(V1535&gt;0,G1535/V1535,"н/д"),"н/д")</x:f>
        <x:v>н/д</x:v>
      </x:c>
      <x:c r="Z1535" s="21" t="str">
        <x:f>"н/д"</x:f>
        <x:v>н/д</x:v>
      </x:c>
      <x:c r="AA1535" s="21" t="str">
        <x:f>"н/д"</x:f>
        <x:v>н/д</x:v>
      </x:c>
      <x:c r="AB1535" s="21" t="str">
        <x:f>"н/д"</x:f>
        <x:v>н/д</x:v>
      </x:c>
      <x:c r="AC1535" s="21" t="str">
        <x:f>IF(AND(J1535="Рассчитано",T1535&gt;0,R1535&lt;100),(W1535+P1535+Q1535)/(T1535*(1-R1535/100)),"н/д")</x:f>
        <x:v>н/д</x:v>
      </x:c>
      <x:c r="AD1535" s="10" t="str">
        <x:f>IF(ISNUMBER(G1535),IF(G1535&lt;0,"Убыток",IF(G1535=0,"Без прибыли","Прибыль &gt; 0")),"Не оценён")</x:f>
        <x:v>Не оценён</x:v>
      </x:c>
      <x:c r="AE1535" s="13" t="str">
        <x:f>IF(J1535="Рассчитано","Выручка "&amp;TEXT(V1535,"0.00")&amp;" - себестоимость "&amp;TEXT(W1535,"0.00")&amp;" - комиссия "&amp;TEXT(V1535*R1535/100,"0.00")&amp;" - доставка "&amp;TEXT(P1535,"0.00")&amp;" - прочие "&amp;TEXT(Q1535,"0.00")&amp;" = "&amp;TEXT(G1535,"0.00")&amp;" "&amp;L1535,"Введите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5" s="24" t="n">
        <x:v>1.2040808720086271</x:v>
      </x:c>
      <x:c r="AG1535" s="37" t="n">
        <x:v>57</x:v>
      </x:c>
      <x:c r="AH1535" s="37" t="n">
        <x:v>0</x:v>
      </x:c>
      <x:c r="AI1535" s="30" t="n">
        <x:v>46287</x:v>
      </x:c>
      <x:c r="AJ1535" s="37" t="n">
        <x:v>5</x:v>
      </x:c>
      <x:c r="AK1535" s="10" t="str">
        <x:v>кратность</x:v>
      </x:c>
      <x:c r="AL1535" s="32" t="n">
        <x:v>4036.3161699596076</x:v>
      </x:c>
      <x:c r="AM1535" s="13" t="str">
        <x:v>Нет ежедневных данных доступности. Запас более 180 дней при среднем спросе</x:v>
      </x:c>
      <x:c r="AN1535" s="13" t="str">
        <x:v>Проверить свободный остаток и установить цену для B2B</x:v>
      </x:c>
      <x:c r="AO1535" s="13" t="str">
        <x:v>Остаток 57; прогноз 90 дней 1.20; избыток 55 шт. Будущие поступления не выставляются на продажу.</x:v>
      </x:c>
      <x:c r="AP1535" s="13" t="str">
        <x:v>["daily_stockout_data_missing", "new_order_lead_time_unknown"]</x:v>
      </x:c>
      <x:c r="AQ1535" s="10" t="str">
        <x:v>SE:300200935_</x:v>
      </x:c>
      <x:c r="AR1535" s="24" t="n">
        <x:v>1</x:v>
      </x:c>
      <x:c r="AS1535" s="24" t="n">
        <x:v>0</x:v>
      </x:c>
      <x:c r="AT1535" s="24" t="n">
        <x:v>0</x:v>
      </x:c>
    </x:row>
    <x:row r="1536" ht="64" customHeight="1">
      <x:c r="A1536" s="11" t="str">
        <x:v>Systeme Electric</x:v>
      </x:c>
      <x:c r="B1536" s="33" t="str">
        <x:v>300200936_</x:v>
      </x:c>
      <x:c r="C1536" s="33" t="str">
        <x:v>GAL001451</x:v>
      </x:c>
      <x:c r="D1536" s="12" t="str">
        <x:v>G153 Выкл. 2 кл 10А механизм "ARTGALLERY" базальт GAL1451 (5)</x:v>
      </x:c>
      <x:c r="E1536" s="11" t="str">
        <x:v>шт</x:v>
      </x:c>
      <x:c r="F1536" s="35" t="n">
        <x:f>MAX(0,ROUNDDOWN((AG1536-AF1536)/AR1536+0.000000001,0)*AR1536)</x:f>
        <x:v>6</x:v>
      </x:c>
      <x:c r="G1536" s="20" t="str">
        <x:f>IF(J1536="Рассчитано",V1536*(1-R1536/100)-W1536-P1536-Q1536,"н/д")</x:f>
        <x:v>н/д</x:v>
      </x:c>
      <x:c r="H1536" s="12" t="str">
        <x:v>Средний</x:v>
      </x:c>
      <x:c r="I1536" s="12" t="str">
        <x:v>Средний</x:v>
      </x:c>
      <x:c r="J1536" s="12" t="str">
        <x:f>IF(L1536="","Укажите валюту",IF(NOT(ISNUMBER(K1536)),"Укажите объём",IF(K1536&lt;=0,"Укажите объём",IF(K1536&gt;F1536,"Объём выше излишка",IF(COUNT(M1536:O1536)&lt;3,"Нужны цены",IF(COUNT(P1536:R1536)&lt;3,"Нужны расходы",IF(OR(M1536&lt;0,N1536&lt;0,O1536&lt;0,O1536&gt;100,P1536&lt;0,Q1536&lt;0,R1536&lt;0,R1536&gt;100),"Проверьте значения","Рассчитано")))))))</x:f>
        <x:v>Нужны цены</x:v>
      </x:c>
      <x:c r="K1536" s="36" t="n">
        <x:v>6</x:v>
      </x:c>
      <x:c r="L1536" s="19" t="str">
        <x:v>KZT</x:v>
      </x:c>
      <x:c r="M1536" s="22"/>
      <x:c r="N1536" s="22"/>
      <x:c r="O1536" s="28"/>
      <x:c r="P1536" s="22"/>
      <x:c r="Q1536" s="22"/>
      <x:c r="R1536" s="28"/>
      <x:c r="S1536" s="22"/>
      <x:c r="T1536" s="35" t="n">
        <x:f>K1536</x:f>
        <x:v>6</x:v>
      </x:c>
      <x:c r="U1536" s="20" t="str">
        <x:f>IF(J1536="Рассчитано",N1536*(1-O1536/100),"н/д")</x:f>
        <x:v>н/д</x:v>
      </x:c>
      <x:c r="V1536" s="20" t="str">
        <x:f>IF(J1536="Рассчитано",T1536*U1536,"н/д")</x:f>
        <x:v>н/д</x:v>
      </x:c>
      <x:c r="W1536" s="20" t="str">
        <x:f>IF(J1536="Рассчитано",T1536*M1536,"н/д")</x:f>
        <x:v>н/д</x:v>
      </x:c>
      <x:c r="X1536" s="20" t="str">
        <x:f>IF(J1536="Рассчитано",V1536-W1536,"н/д")</x:f>
        <x:v>н/д</x:v>
      </x:c>
      <x:c r="Y1536" s="26" t="str">
        <x:f>IF(J1536="Рассчитано",IF(V1536&gt;0,G1536/V1536,"н/д"),"н/д")</x:f>
        <x:v>н/д</x:v>
      </x:c>
      <x:c r="Z1536" s="20" t="str">
        <x:f>"н/д"</x:f>
        <x:v>н/д</x:v>
      </x:c>
      <x:c r="AA1536" s="20" t="str">
        <x:f>"н/д"</x:f>
        <x:v>н/д</x:v>
      </x:c>
      <x:c r="AB1536" s="20" t="str">
        <x:f>"н/д"</x:f>
        <x:v>н/д</x:v>
      </x:c>
      <x:c r="AC1536" s="20" t="str">
        <x:f>IF(AND(J1536="Рассчитано",T1536&gt;0,R1536&lt;100),(W1536+P1536+Q1536)/(T1536*(1-R1536/100)),"н/д")</x:f>
        <x:v>н/д</x:v>
      </x:c>
      <x:c r="AD1536" s="11" t="str">
        <x:f>IF(ISNUMBER(G1536),IF(G1536&lt;0,"Убыток",IF(G1536=0,"Без прибыли","Прибыль &gt; 0")),"Не оценён")</x:f>
        <x:v>Не оценён</x:v>
      </x:c>
      <x:c r="AE1536" s="12" t="str">
        <x:f>IF(J1536="Рассчитано","Выручка "&amp;TEXT(V1536,"0.00")&amp;" - себестоимость "&amp;TEXT(W1536,"0.00")&amp;" - комиссия "&amp;TEXT(V1536*R1536/100,"0.00")&amp;" - доставка "&amp;TEXT(P1536,"0.00")&amp;" - прочие "&amp;TEXT(Q1536,"0.00")&amp;" = "&amp;TEXT(G1536,"0.00")&amp;" "&amp;L1536,"Введите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6" s="23" t="n">
        <x:v>43.067616688296695</x:v>
      </x:c>
      <x:c r="AG1536" s="35" t="n">
        <x:v>50</x:v>
      </x:c>
      <x:c r="AH1536" s="35" t="n">
        <x:v>0</x:v>
      </x:c>
      <x:c r="AI1536" s="29" t="n">
        <x:v>46287</x:v>
      </x:c>
      <x:c r="AJ1536" s="35" t="n">
        <x:v>5</x:v>
      </x:c>
      <x:c r="AK1536" s="11" t="str">
        <x:v>кратность</x:v>
      </x:c>
      <x:c r="AL1536" s="31" t="n">
        <x:v>98.98859146451929</x:v>
      </x:c>
      <x:c r="AM1536" s="12" t="str">
        <x:v>Детальные и месячные продажи расходятся; Нет ежедневных данных доступности. Запас выше прогноза на 90 дней</x:v>
      </x:c>
      <x:c r="AN1536" s="12" t="str">
        <x:v>Проверить свободный остаток и установить цену для B2B</x:v>
      </x:c>
      <x:c r="AO1536" s="12" t="str">
        <x:v>Остаток 50; прогноз 90 дней 43.07; избыток 6 шт. Будущие поступления не выставляются на продажу.</x:v>
      </x:c>
      <x:c r="AP1536" s="12" t="str">
        <x:v>["daily_stockout_data_missing", "large_orders_detected", "new_order_lead_time_unknown", "transaction_month_mismatch"]</x:v>
      </x:c>
      <x:c r="AQ1536" s="11" t="str">
        <x:v>SE:300200936_</x:v>
      </x:c>
      <x:c r="AR1536" s="23" t="n">
        <x:v>1</x:v>
      </x:c>
      <x:c r="AS1536" s="23" t="n">
        <x:v>0</x:v>
      </x:c>
      <x:c r="AT1536" s="23" t="n">
        <x:v>0</x:v>
      </x:c>
    </x:row>
    <x:row r="1537" ht="64" customHeight="1">
      <x:c r="A1537" s="10" t="str">
        <x:v>Systeme Electric</x:v>
      </x:c>
      <x:c r="B1537" s="34" t="str">
        <x:v>300200937_</x:v>
      </x:c>
      <x:c r="C1537" s="34" t="str">
        <x:v>GAL001453</x:v>
      </x:c>
      <x:c r="D1537" s="13" t="str">
        <x:v>G154 Выкл. 2 кл с инд 10А механизм "ARTGALLERY" базальт GAL1453 (5)</x:v>
      </x:c>
      <x:c r="E1537" s="10" t="str">
        <x:v>шт</x:v>
      </x:c>
      <x:c r="F1537" s="37" t="n">
        <x:f>MAX(0,ROUNDDOWN((AG1537-AF1537)/AR1537+0.000000001,0)*AR1537)</x:f>
        <x:v>68</x:v>
      </x:c>
      <x:c r="G1537" s="21" t="str">
        <x:f>IF(J1537="Рассчитано",V1537*(1-R1537/100)-W1537-P1537-Q1537,"н/д")</x:f>
        <x:v>н/д</x:v>
      </x:c>
      <x:c r="H1537" s="13" t="str">
        <x:v>Средний</x:v>
      </x:c>
      <x:c r="I1537" s="13" t="str">
        <x:v>Высокий</x:v>
      </x:c>
      <x:c r="J1537" s="13" t="str">
        <x:f>IF(L1537="","Укажите валюту",IF(NOT(ISNUMBER(K1537)),"Укажите объём",IF(K1537&lt;=0,"Укажите объём",IF(K1537&gt;F1537,"Объём выше излишка",IF(COUNT(M1537:O1537)&lt;3,"Нужны цены",IF(COUNT(P1537:R1537)&lt;3,"Нужны расходы",IF(OR(M1537&lt;0,N1537&lt;0,O1537&lt;0,O1537&gt;100,P1537&lt;0,Q1537&lt;0,R1537&lt;0,R1537&gt;100),"Проверьте значения","Рассчитано")))))))</x:f>
        <x:v>Нужны цены</x:v>
      </x:c>
      <x:c r="K1537" s="36" t="n">
        <x:v>68</x:v>
      </x:c>
      <x:c r="L1537" s="19" t="str">
        <x:v>KZT</x:v>
      </x:c>
      <x:c r="M1537" s="22"/>
      <x:c r="N1537" s="22"/>
      <x:c r="O1537" s="28"/>
      <x:c r="P1537" s="22"/>
      <x:c r="Q1537" s="22"/>
      <x:c r="R1537" s="28"/>
      <x:c r="S1537" s="22"/>
      <x:c r="T1537" s="37" t="n">
        <x:f>K1537</x:f>
        <x:v>68</x:v>
      </x:c>
      <x:c r="U1537" s="21" t="str">
        <x:f>IF(J1537="Рассчитано",N1537*(1-O1537/100),"н/д")</x:f>
        <x:v>н/д</x:v>
      </x:c>
      <x:c r="V1537" s="21" t="str">
        <x:f>IF(J1537="Рассчитано",T1537*U1537,"н/д")</x:f>
        <x:v>н/д</x:v>
      </x:c>
      <x:c r="W1537" s="21" t="str">
        <x:f>IF(J1537="Рассчитано",T1537*M1537,"н/д")</x:f>
        <x:v>н/д</x:v>
      </x:c>
      <x:c r="X1537" s="21" t="str">
        <x:f>IF(J1537="Рассчитано",V1537-W1537,"н/д")</x:f>
        <x:v>н/д</x:v>
      </x:c>
      <x:c r="Y1537" s="27" t="str">
        <x:f>IF(J1537="Рассчитано",IF(V1537&gt;0,G1537/V1537,"н/д"),"н/д")</x:f>
        <x:v>н/д</x:v>
      </x:c>
      <x:c r="Z1537" s="21" t="str">
        <x:f>"н/д"</x:f>
        <x:v>н/д</x:v>
      </x:c>
      <x:c r="AA1537" s="21" t="str">
        <x:f>"н/д"</x:f>
        <x:v>н/д</x:v>
      </x:c>
      <x:c r="AB1537" s="21" t="str">
        <x:f>"н/д"</x:f>
        <x:v>н/д</x:v>
      </x:c>
      <x:c r="AC1537" s="21" t="str">
        <x:f>IF(AND(J1537="Рассчитано",T1537&gt;0,R1537&lt;100),(W1537+P1537+Q1537)/(T1537*(1-R1537/100)),"н/д")</x:f>
        <x:v>н/д</x:v>
      </x:c>
      <x:c r="AD1537" s="10" t="str">
        <x:f>IF(ISNUMBER(G1537),IF(G1537&lt;0,"Убыток",IF(G1537=0,"Без прибыли","Прибыль &gt; 0")),"Не оценён")</x:f>
        <x:v>Не оценён</x:v>
      </x:c>
      <x:c r="AE1537" s="13" t="str">
        <x:f>IF(J1537="Рассчитано","Выручка "&amp;TEXT(V1537,"0.00")&amp;" - себестоимость "&amp;TEXT(W1537,"0.00")&amp;" - комиссия "&amp;TEXT(V1537*R1537/100,"0.00")&amp;" - доставка "&amp;TEXT(P1537,"0.00")&amp;" - прочие "&amp;TEXT(Q1537,"0.00")&amp;" = "&amp;TEXT(G1537,"0.00")&amp;" "&amp;L1537,"Введите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7" s="24" t="n">
        <x:v>0.6020404360043136</x:v>
      </x:c>
      <x:c r="AG1537" s="37" t="n">
        <x:v>69</x:v>
      </x:c>
      <x:c r="AH1537" s="37" t="n">
        <x:v>0</x:v>
      </x:c>
      <x:c r="AI1537" s="30" t="n">
        <x:v>46287</x:v>
      </x:c>
      <x:c r="AJ1537" s="37" t="n">
        <x:v>5</x:v>
      </x:c>
      <x:c r="AK1537" s="10" t="str">
        <x:v>кратность</x:v>
      </x:c>
      <x:c r="AL1537" s="32" t="n">
        <x:v>9772.133885165365</x:v>
      </x:c>
      <x:c r="AM1537" s="13" t="str">
        <x:v>Нет ежедневных данных доступности. Запас более 180 дней при среднем спросе</x:v>
      </x:c>
      <x:c r="AN1537" s="13" t="str">
        <x:v>Проверить свободный остаток и установить цену для B2B</x:v>
      </x:c>
      <x:c r="AO1537" s="13" t="str">
        <x:v>Остаток 69; прогноз 90 дней 0.60; избыток 68 шт. Будущие поступления не выставляются на продажу.</x:v>
      </x:c>
      <x:c r="AP1537" s="13" t="str">
        <x:v>["daily_stockout_data_missing", "new_order_lead_time_unknown"]</x:v>
      </x:c>
      <x:c r="AQ1537" s="10" t="str">
        <x:v>SE:300200937_</x:v>
      </x:c>
      <x:c r="AR1537" s="24" t="n">
        <x:v>1</x:v>
      </x:c>
      <x:c r="AS1537" s="24" t="n">
        <x:v>0</x:v>
      </x:c>
      <x:c r="AT1537" s="24" t="n">
        <x:v>0</x:v>
      </x:c>
    </x:row>
    <x:row r="1538" ht="64" customHeight="1">
      <x:c r="A1538" s="11" t="str">
        <x:v>Systeme Electric</x:v>
      </x:c>
      <x:c r="B1538" s="33" t="str">
        <x:v>300200938_</x:v>
      </x:c>
      <x:c r="C1538" s="33" t="str">
        <x:v>GAL001486</x:v>
      </x:c>
      <x:c r="D1538" s="12" t="str">
        <x:v>G155 Роз. комп. RJ45 6A механизм "ARTGALLERY" базальт GAL1486 (5)</x:v>
      </x:c>
      <x:c r="E1538" s="11" t="str">
        <x:v>шт</x:v>
      </x:c>
      <x:c r="F1538" s="35" t="n">
        <x:f>MAX(0,ROUNDDOWN((AG1538-AF1538)/AR1538+0.000000001,0)*AR1538)</x:f>
        <x:v>49</x:v>
      </x:c>
      <x:c r="G1538" s="20" t="str">
        <x:f>IF(J1538="Рассчитано",V1538*(1-R1538/100)-W1538-P1538-Q1538,"н/д")</x:f>
        <x:v>н/д</x:v>
      </x:c>
      <x:c r="H1538" s="12" t="str">
        <x:v>Средний</x:v>
      </x:c>
      <x:c r="I1538" s="12" t="str">
        <x:v>Высокий</x:v>
      </x:c>
      <x:c r="J1538" s="12" t="str">
        <x:f>IF(L1538="","Укажите валюту",IF(NOT(ISNUMBER(K1538)),"Укажите объём",IF(K1538&lt;=0,"Укажите объём",IF(K1538&gt;F1538,"Объём выше излишка",IF(COUNT(M1538:O1538)&lt;3,"Нужны цены",IF(COUNT(P1538:R1538)&lt;3,"Нужны расходы",IF(OR(M1538&lt;0,N1538&lt;0,O1538&lt;0,O1538&gt;100,P1538&lt;0,Q1538&lt;0,R1538&lt;0,R1538&gt;100),"Проверьте значения","Рассчитано")))))))</x:f>
        <x:v>Нужны цены</x:v>
      </x:c>
      <x:c r="K1538" s="36" t="n">
        <x:v>49</x:v>
      </x:c>
      <x:c r="L1538" s="19" t="str">
        <x:v>KZT</x:v>
      </x:c>
      <x:c r="M1538" s="22"/>
      <x:c r="N1538" s="22"/>
      <x:c r="O1538" s="28"/>
      <x:c r="P1538" s="22"/>
      <x:c r="Q1538" s="22"/>
      <x:c r="R1538" s="28"/>
      <x:c r="S1538" s="22"/>
      <x:c r="T1538" s="35" t="n">
        <x:f>K1538</x:f>
        <x:v>49</x:v>
      </x:c>
      <x:c r="U1538" s="20" t="str">
        <x:f>IF(J1538="Рассчитано",N1538*(1-O1538/100),"н/д")</x:f>
        <x:v>н/д</x:v>
      </x:c>
      <x:c r="V1538" s="20" t="str">
        <x:f>IF(J1538="Рассчитано",T1538*U1538,"н/д")</x:f>
        <x:v>н/д</x:v>
      </x:c>
      <x:c r="W1538" s="20" t="str">
        <x:f>IF(J1538="Рассчитано",T1538*M1538,"н/д")</x:f>
        <x:v>н/д</x:v>
      </x:c>
      <x:c r="X1538" s="20" t="str">
        <x:f>IF(J1538="Рассчитано",V1538-W1538,"н/д")</x:f>
        <x:v>н/д</x:v>
      </x:c>
      <x:c r="Y1538" s="26" t="str">
        <x:f>IF(J1538="Рассчитано",IF(V1538&gt;0,G1538/V1538,"н/д"),"н/д")</x:f>
        <x:v>н/д</x:v>
      </x:c>
      <x:c r="Z1538" s="20" t="str">
        <x:f>"н/д"</x:f>
        <x:v>н/д</x:v>
      </x:c>
      <x:c r="AA1538" s="20" t="str">
        <x:f>"н/д"</x:f>
        <x:v>н/д</x:v>
      </x:c>
      <x:c r="AB1538" s="20" t="str">
        <x:f>"н/д"</x:f>
        <x:v>н/д</x:v>
      </x:c>
      <x:c r="AC1538" s="20" t="str">
        <x:f>IF(AND(J1538="Рассчитано",T1538&gt;0,R1538&lt;100),(W1538+P1538+Q1538)/(T1538*(1-R1538/100)),"н/д")</x:f>
        <x:v>н/д</x:v>
      </x:c>
      <x:c r="AD1538" s="11" t="str">
        <x:f>IF(ISNUMBER(G1538),IF(G1538&lt;0,"Убыток",IF(G1538=0,"Без прибыли","Прибыль &gt; 0")),"Не оценён")</x:f>
        <x:v>Не оценён</x:v>
      </x:c>
      <x:c r="AE1538" s="12" t="str">
        <x:f>IF(J1538="Рассчитано","Выручка "&amp;TEXT(V1538,"0.00")&amp;" - себестоимость "&amp;TEXT(W1538,"0.00")&amp;" - комиссия "&amp;TEXT(V1538*R1538/100,"0.00")&amp;" - доставка "&amp;TEXT(P1538,"0.00")&amp;" - прочие "&amp;TEXT(Q1538,"0.00")&amp;" = "&amp;TEXT(G1538,"0.00")&amp;" "&amp;L1538,"Введите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8" s="23" t="n">
        <x:v>20.65540767752512</x:v>
      </x:c>
      <x:c r="AG1538" s="35" t="n">
        <x:v>70</x:v>
      </x:c>
      <x:c r="AH1538" s="35" t="n">
        <x:v>0</x:v>
      </x:c>
      <x:c r="AI1538" s="29" t="n">
        <x:v>46287</x:v>
      </x:c>
      <x:c r="AJ1538" s="35" t="n">
        <x:v>5</x:v>
      </x:c>
      <x:c r="AK1538" s="11" t="str">
        <x:v>кратность</x:v>
      </x:c>
      <x:c r="AL1538" s="31" t="n">
        <x:v>288.95502293502847</x:v>
      </x:c>
      <x:c r="AM1538" s="12" t="str">
        <x:v>Нет ежедневных данных доступности. Запас более 180 дней при среднем спросе</x:v>
      </x:c>
      <x:c r="AN1538" s="12" t="str">
        <x:v>Проверить свободный остаток и установить цену для B2B</x:v>
      </x:c>
      <x:c r="AO1538" s="12" t="str">
        <x:v>Остаток 70; прогноз 90 дней 20.66; избыток 49 шт. Будущие поступления не выставляются на продажу.</x:v>
      </x:c>
      <x:c r="AP1538" s="12" t="str">
        <x:v>["daily_stockout_data_missing", "new_order_lead_time_unknown"]</x:v>
      </x:c>
      <x:c r="AQ1538" s="11" t="str">
        <x:v>SE:300200938_</x:v>
      </x:c>
      <x:c r="AR1538" s="23" t="n">
        <x:v>1</x:v>
      </x:c>
      <x:c r="AS1538" s="23" t="n">
        <x:v>0</x:v>
      </x:c>
      <x:c r="AT1538" s="23" t="n">
        <x:v>0</x:v>
      </x:c>
    </x:row>
    <x:row r="1539" ht="64" customHeight="1">
      <x:c r="A1539" s="10" t="str">
        <x:v>Systeme Electric</x:v>
      </x:c>
      <x:c r="B1539" s="34" t="str">
        <x:v>300200939_</x:v>
      </x:c>
      <x:c r="C1539" s="34" t="str">
        <x:v>GAL001461</x:v>
      </x:c>
      <x:c r="D1539" s="13" t="str">
        <x:v>G156 Переключ. 1 кл механизм "ARTGALLERY" базальт GAL1461 (5)</x:v>
      </x:c>
      <x:c r="E1539" s="10" t="str">
        <x:v>шт</x:v>
      </x:c>
      <x:c r="F1539" s="37" t="n">
        <x:f>MAX(0,ROUNDDOWN((AG1539-AF1539)/AR1539+0.000000001,0)*AR1539)</x:f>
        <x:v>5</x:v>
      </x:c>
      <x:c r="G1539" s="21" t="str">
        <x:f>IF(J1539="Рассчитано",V1539*(1-R1539/100)-W1539-P1539-Q1539,"н/д")</x:f>
        <x:v>н/д</x:v>
      </x:c>
      <x:c r="H1539" s="13" t="str">
        <x:v>Средний</x:v>
      </x:c>
      <x:c r="I1539" s="13" t="str">
        <x:v>Средний</x:v>
      </x:c>
      <x:c r="J1539" s="13" t="str">
        <x:f>IF(L1539="","Укажите валюту",IF(NOT(ISNUMBER(K1539)),"Укажите объём",IF(K1539&lt;=0,"Укажите объём",IF(K1539&gt;F1539,"Объём выше излишка",IF(COUNT(M1539:O1539)&lt;3,"Нужны цены",IF(COUNT(P1539:R1539)&lt;3,"Нужны расходы",IF(OR(M1539&lt;0,N1539&lt;0,O1539&lt;0,O1539&gt;100,P1539&lt;0,Q1539&lt;0,R1539&lt;0,R1539&gt;100),"Проверьте значения","Рассчитано")))))))</x:f>
        <x:v>Нужны цены</x:v>
      </x:c>
      <x:c r="K1539" s="36" t="n">
        <x:v>5</x:v>
      </x:c>
      <x:c r="L1539" s="19" t="str">
        <x:v>KZT</x:v>
      </x:c>
      <x:c r="M1539" s="22"/>
      <x:c r="N1539" s="22"/>
      <x:c r="O1539" s="28"/>
      <x:c r="P1539" s="22"/>
      <x:c r="Q1539" s="22"/>
      <x:c r="R1539" s="28"/>
      <x:c r="S1539" s="22"/>
      <x:c r="T1539" s="37" t="n">
        <x:f>K1539</x:f>
        <x:v>5</x:v>
      </x:c>
      <x:c r="U1539" s="21" t="str">
        <x:f>IF(J1539="Рассчитано",N1539*(1-O1539/100),"н/д")</x:f>
        <x:v>н/д</x:v>
      </x:c>
      <x:c r="V1539" s="21" t="str">
        <x:f>IF(J1539="Рассчитано",T1539*U1539,"н/д")</x:f>
        <x:v>н/д</x:v>
      </x:c>
      <x:c r="W1539" s="21" t="str">
        <x:f>IF(J1539="Рассчитано",T1539*M1539,"н/д")</x:f>
        <x:v>н/д</x:v>
      </x:c>
      <x:c r="X1539" s="21" t="str">
        <x:f>IF(J1539="Рассчитано",V1539-W1539,"н/д")</x:f>
        <x:v>н/д</x:v>
      </x:c>
      <x:c r="Y1539" s="27" t="str">
        <x:f>IF(J1539="Рассчитано",IF(V1539&gt;0,G1539/V1539,"н/д"),"н/д")</x:f>
        <x:v>н/д</x:v>
      </x:c>
      <x:c r="Z1539" s="21" t="str">
        <x:f>"н/д"</x:f>
        <x:v>н/д</x:v>
      </x:c>
      <x:c r="AA1539" s="21" t="str">
        <x:f>"н/д"</x:f>
        <x:v>н/д</x:v>
      </x:c>
      <x:c r="AB1539" s="21" t="str">
        <x:f>"н/д"</x:f>
        <x:v>н/д</x:v>
      </x:c>
      <x:c r="AC1539" s="21" t="str">
        <x:f>IF(AND(J1539="Рассчитано",T1539&gt;0,R1539&lt;100),(W1539+P1539+Q1539)/(T1539*(1-R1539/100)),"н/д")</x:f>
        <x:v>н/д</x:v>
      </x:c>
      <x:c r="AD1539" s="10" t="str">
        <x:f>IF(ISNUMBER(G1539),IF(G1539&lt;0,"Убыток",IF(G1539=0,"Без прибыли","Прибыль &gt; 0")),"Не оценён")</x:f>
        <x:v>Не оценён</x:v>
      </x:c>
      <x:c r="AE1539" s="13" t="str">
        <x:f>IF(J1539="Рассчитано","Выручка "&amp;TEXT(V1539,"0.00")&amp;" - себестоимость "&amp;TEXT(W1539,"0.00")&amp;" - комиссия "&amp;TEXT(V1539*R1539/100,"0.00")&amp;" - доставка "&amp;TEXT(P1539,"0.00")&amp;" - прочие "&amp;TEXT(Q1539,"0.00")&amp;" = "&amp;TEXT(G1539,"0.00")&amp;" "&amp;L1539,"Введите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9" s="24" t="n">
        <x:v>27.560099073079886</x:v>
      </x:c>
      <x:c r="AG1539" s="37" t="n">
        <x:v>33</x:v>
      </x:c>
      <x:c r="AH1539" s="37" t="n">
        <x:v>0</x:v>
      </x:c>
      <x:c r="AI1539" s="30" t="n">
        <x:v>46287</x:v>
      </x:c>
      <x:c r="AJ1539" s="37" t="n">
        <x:v>5</x:v>
      </x:c>
      <x:c r="AK1539" s="10" t="str">
        <x:v>кратность</x:v>
      </x:c>
      <x:c r="AL1539" s="32" t="n">
        <x:v>102.09374732603423</x:v>
      </x:c>
      <x:c r="AM1539" s="13" t="str">
        <x:v>Нет ежедневных данных доступности. Запас выше прогноза на 90 дней</x:v>
      </x:c>
      <x:c r="AN1539" s="13" t="str">
        <x:v>Проверить свободный остаток и установить цену для B2B</x:v>
      </x:c>
      <x:c r="AO1539" s="13" t="str">
        <x:v>Остаток 33; прогноз 90 дней 27.56; избыток 5 шт. Будущие поступления не выставляются на продажу.</x:v>
      </x:c>
      <x:c r="AP1539" s="13" t="str">
        <x:v>["daily_stockout_data_missing", "new_order_lead_time_unknown"]</x:v>
      </x:c>
      <x:c r="AQ1539" s="10" t="str">
        <x:v>SE:300200939_</x:v>
      </x:c>
      <x:c r="AR1539" s="24" t="n">
        <x:v>1</x:v>
      </x:c>
      <x:c r="AS1539" s="24" t="n">
        <x:v>0</x:v>
      </x:c>
      <x:c r="AT1539" s="24" t="n">
        <x:v>0</x:v>
      </x:c>
    </x:row>
    <x:row r="1540" ht="64" customHeight="1">
      <x:c r="A1540" s="11" t="str">
        <x:v>Systeme Electric</x:v>
      </x:c>
      <x:c r="B1540" s="33" t="str">
        <x:v>300200940_</x:v>
      </x:c>
      <x:c r="C1540" s="33" t="str">
        <x:v>GAL001471</x:v>
      </x:c>
      <x:c r="D1540" s="12" t="str">
        <x:v>G157 Перекрест. переключ. 1 кл "ARTGALLERY" базальт GAL1471 (5)</x:v>
      </x:c>
      <x:c r="E1540" s="11" t="str">
        <x:v>шт</x:v>
      </x:c>
      <x:c r="F1540" s="35" t="n">
        <x:f>MAX(0,ROUNDDOWN((AG1540-AF1540)/AR1540+0.000000001,0)*AR1540)</x:f>
        <x:v>18</x:v>
      </x:c>
      <x:c r="G1540" s="20" t="str">
        <x:f>IF(J1540="Рассчитано",V1540*(1-R1540/100)-W1540-P1540-Q1540,"н/д")</x:f>
        <x:v>н/д</x:v>
      </x:c>
      <x:c r="H1540" s="12" t="str">
        <x:v>Средний</x:v>
      </x:c>
      <x:c r="I1540" s="12" t="str">
        <x:v>Высокий</x:v>
      </x:c>
      <x:c r="J1540" s="12" t="str">
        <x:f>IF(L1540="","Укажите валюту",IF(NOT(ISNUMBER(K1540)),"Укажите объём",IF(K1540&lt;=0,"Укажите объём",IF(K1540&gt;F1540,"Объём выше излишка",IF(COUNT(M1540:O1540)&lt;3,"Нужны цены",IF(COUNT(P1540:R1540)&lt;3,"Нужны расходы",IF(OR(M1540&lt;0,N1540&lt;0,O1540&lt;0,O1540&gt;100,P1540&lt;0,Q1540&lt;0,R1540&lt;0,R1540&gt;100),"Проверьте значения","Рассчитано")))))))</x:f>
        <x:v>Нужны цены</x:v>
      </x:c>
      <x:c r="K1540" s="36" t="n">
        <x:v>18</x:v>
      </x:c>
      <x:c r="L1540" s="19" t="str">
        <x:v>KZT</x:v>
      </x:c>
      <x:c r="M1540" s="22"/>
      <x:c r="N1540" s="22"/>
      <x:c r="O1540" s="28"/>
      <x:c r="P1540" s="22"/>
      <x:c r="Q1540" s="22"/>
      <x:c r="R1540" s="28"/>
      <x:c r="S1540" s="22"/>
      <x:c r="T1540" s="35" t="n">
        <x:f>K1540</x:f>
        <x:v>18</x:v>
      </x:c>
      <x:c r="U1540" s="20" t="str">
        <x:f>IF(J1540="Рассчитано",N1540*(1-O1540/100),"н/д")</x:f>
        <x:v>н/д</x:v>
      </x:c>
      <x:c r="V1540" s="20" t="str">
        <x:f>IF(J1540="Рассчитано",T1540*U1540,"н/д")</x:f>
        <x:v>н/д</x:v>
      </x:c>
      <x:c r="W1540" s="20" t="str">
        <x:f>IF(J1540="Рассчитано",T1540*M1540,"н/д")</x:f>
        <x:v>н/д</x:v>
      </x:c>
      <x:c r="X1540" s="20" t="str">
        <x:f>IF(J1540="Рассчитано",V1540-W1540,"н/д")</x:f>
        <x:v>н/д</x:v>
      </x:c>
      <x:c r="Y1540" s="26" t="str">
        <x:f>IF(J1540="Рассчитано",IF(V1540&gt;0,G1540/V1540,"н/д"),"н/д")</x:f>
        <x:v>н/д</x:v>
      </x:c>
      <x:c r="Z1540" s="20" t="str">
        <x:f>"н/д"</x:f>
        <x:v>н/д</x:v>
      </x:c>
      <x:c r="AA1540" s="20" t="str">
        <x:f>"н/д"</x:f>
        <x:v>н/д</x:v>
      </x:c>
      <x:c r="AB1540" s="20" t="str">
        <x:f>"н/д"</x:f>
        <x:v>н/д</x:v>
      </x:c>
      <x:c r="AC1540" s="20" t="str">
        <x:f>IF(AND(J1540="Рассчитано",T1540&gt;0,R1540&lt;100),(W1540+P1540+Q1540)/(T1540*(1-R1540/100)),"н/д")</x:f>
        <x:v>н/д</x:v>
      </x:c>
      <x:c r="AD1540" s="11" t="str">
        <x:f>IF(ISNUMBER(G1540),IF(G1540&lt;0,"Убыток",IF(G1540=0,"Без прибыли","Прибыль &gt; 0")),"Не оценён")</x:f>
        <x:v>Не оценён</x:v>
      </x:c>
      <x:c r="AE1540" s="12" t="str">
        <x:f>IF(J1540="Рассчитано","Выручка "&amp;TEXT(V1540,"0.00")&amp;" - себестоимость "&amp;TEXT(W1540,"0.00")&amp;" - комиссия "&amp;TEXT(V1540*R1540/100,"0.00")&amp;" - доставка "&amp;TEXT(P1540,"0.00")&amp;" - прочие "&amp;TEXT(Q1540,"0.00")&amp;" = "&amp;TEXT(G1540,"0.00")&amp;" "&amp;L1540,"Введите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0" s="23" t="n">
        <x:v>5.052474406540212</x:v>
      </x:c>
      <x:c r="AG1540" s="35" t="n">
        <x:v>24</x:v>
      </x:c>
      <x:c r="AH1540" s="35" t="n">
        <x:v>0</x:v>
      </x:c>
      <x:c r="AI1540" s="29" t="n">
        <x:v>46287</x:v>
      </x:c>
      <x:c r="AJ1540" s="35" t="n">
        <x:v>5</x:v>
      </x:c>
      <x:c r="AK1540" s="11" t="str">
        <x:v>кратность</x:v>
      </x:c>
      <x:c r="AL1540" s="31" t="n">
        <x:v>405.0168566774132</x:v>
      </x:c>
      <x:c r="AM1540" s="12" t="str">
        <x:v>Нет ежедневных данных доступности. Запас более 180 дней при среднем спросе</x:v>
      </x:c>
      <x:c r="AN1540" s="12" t="str">
        <x:v>Проверить свободный остаток и установить цену для B2B</x:v>
      </x:c>
      <x:c r="AO1540" s="12" t="str">
        <x:v>Остаток 24; прогноз 90 дней 5.05; избыток 18 шт. Будущие поступления не выставляются на продажу.</x:v>
      </x:c>
      <x:c r="AP1540" s="12" t="str">
        <x:v>["daily_stockout_data_missing", "new_order_lead_time_unknown"]</x:v>
      </x:c>
      <x:c r="AQ1540" s="11" t="str">
        <x:v>SE:300200940_</x:v>
      </x:c>
      <x:c r="AR1540" s="23" t="n">
        <x:v>1</x:v>
      </x:c>
      <x:c r="AS1540" s="23" t="n">
        <x:v>0</x:v>
      </x:c>
      <x:c r="AT1540" s="23" t="n">
        <x:v>0</x:v>
      </x:c>
    </x:row>
    <x:row r="1541" ht="64" customHeight="1">
      <x:c r="A1541" s="10" t="str">
        <x:v>Systeme Electric</x:v>
      </x:c>
      <x:c r="B1541" s="34" t="str">
        <x:v>300200941_</x:v>
      </x:c>
      <x:c r="C1541" s="34" t="str">
        <x:v>GAL001488</x:v>
      </x:c>
      <x:c r="D1541" s="13" t="str">
        <x:v>G158 Роз. 2-ная комп. RJ45+RJ45 6A механизм "ARTGALLERY" базальт GAL1488 (1)</x:v>
      </x:c>
      <x:c r="E1541" s="10" t="str">
        <x:v>шт</x:v>
      </x:c>
      <x:c r="F1541" s="37" t="n">
        <x:f>MAX(0,ROUNDDOWN((AG1541-AF1541)/AR1541+0.000000001,0)*AR1541)</x:f>
        <x:v>2</x:v>
      </x:c>
      <x:c r="G1541" s="21" t="str">
        <x:f>IF(J1541="Рассчитано",V1541*(1-R1541/100)-W1541-P1541-Q1541,"н/д")</x:f>
        <x:v>н/д</x:v>
      </x:c>
      <x:c r="H1541" s="13" t="str">
        <x:v>Средний</x:v>
      </x:c>
      <x:c r="I1541" s="13" t="str">
        <x:v>Средний</x:v>
      </x:c>
      <x:c r="J1541" s="13" t="str">
        <x:f>IF(L1541="","Укажите валюту",IF(NOT(ISNUMBER(K1541)),"Укажите объём",IF(K1541&lt;=0,"Укажите объём",IF(K1541&gt;F1541,"Объём выше излишка",IF(COUNT(M1541:O1541)&lt;3,"Нужны цены",IF(COUNT(P1541:R1541)&lt;3,"Нужны расходы",IF(OR(M1541&lt;0,N1541&lt;0,O1541&lt;0,O1541&gt;100,P1541&lt;0,Q1541&lt;0,R1541&lt;0,R1541&gt;100),"Проверьте значения","Рассчитано")))))))</x:f>
        <x:v>Нужны цены</x:v>
      </x:c>
      <x:c r="K1541" s="36" t="n">
        <x:v>2</x:v>
      </x:c>
      <x:c r="L1541" s="19" t="str">
        <x:v>KZT</x:v>
      </x:c>
      <x:c r="M1541" s="22"/>
      <x:c r="N1541" s="22"/>
      <x:c r="O1541" s="28"/>
      <x:c r="P1541" s="22"/>
      <x:c r="Q1541" s="22"/>
      <x:c r="R1541" s="28"/>
      <x:c r="S1541" s="22"/>
      <x:c r="T1541" s="37" t="n">
        <x:f>K1541</x:f>
        <x:v>2</x:v>
      </x:c>
      <x:c r="U1541" s="21" t="str">
        <x:f>IF(J1541="Рассчитано",N1541*(1-O1541/100),"н/д")</x:f>
        <x:v>н/д</x:v>
      </x:c>
      <x:c r="V1541" s="21" t="str">
        <x:f>IF(J1541="Рассчитано",T1541*U1541,"н/д")</x:f>
        <x:v>н/д</x:v>
      </x:c>
      <x:c r="W1541" s="21" t="str">
        <x:f>IF(J1541="Рассчитано",T1541*M1541,"н/д")</x:f>
        <x:v>н/д</x:v>
      </x:c>
      <x:c r="X1541" s="21" t="str">
        <x:f>IF(J1541="Рассчитано",V1541-W1541,"н/д")</x:f>
        <x:v>н/д</x:v>
      </x:c>
      <x:c r="Y1541" s="27" t="str">
        <x:f>IF(J1541="Рассчитано",IF(V1541&gt;0,G1541/V1541,"н/д"),"н/д")</x:f>
        <x:v>н/д</x:v>
      </x:c>
      <x:c r="Z1541" s="21" t="str">
        <x:f>"н/д"</x:f>
        <x:v>н/д</x:v>
      </x:c>
      <x:c r="AA1541" s="21" t="str">
        <x:f>"н/д"</x:f>
        <x:v>н/д</x:v>
      </x:c>
      <x:c r="AB1541" s="21" t="str">
        <x:f>"н/д"</x:f>
        <x:v>н/д</x:v>
      </x:c>
      <x:c r="AC1541" s="21" t="str">
        <x:f>IF(AND(J1541="Рассчитано",T1541&gt;0,R1541&lt;100),(W1541+P1541+Q1541)/(T1541*(1-R1541/100)),"н/д")</x:f>
        <x:v>н/д</x:v>
      </x:c>
      <x:c r="AD1541" s="10" t="str">
        <x:f>IF(ISNUMBER(G1541),IF(G1541&lt;0,"Убыток",IF(G1541=0,"Без прибыли","Прибыль &gt; 0")),"Не оценён")</x:f>
        <x:v>Не оценён</x:v>
      </x:c>
      <x:c r="AE1541" s="13" t="str">
        <x:f>IF(J1541="Рассчитано","Выручка "&amp;TEXT(V1541,"0.00")&amp;" - себестоимость "&amp;TEXT(W1541,"0.00")&amp;" - комиссия "&amp;TEXT(V1541*R1541/100,"0.00")&amp;" - доставка "&amp;TEXT(P1541,"0.00")&amp;" - прочие "&amp;TEXT(Q1541,"0.00")&amp;" = "&amp;TEXT(G1541,"0.00")&amp;" "&amp;L1541,"Введите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1" s="24" t="n">
        <x:v>3.2555918894274476</x:v>
      </x:c>
      <x:c r="AG1541" s="37" t="n">
        <x:v>6</x:v>
      </x:c>
      <x:c r="AH1541" s="37" t="n">
        <x:v>0</x:v>
      </x:c>
      <x:c r="AI1541" s="30" t="n">
        <x:v>46287</x:v>
      </x:c>
      <x:c r="AJ1541" s="37" t="n">
        <x:v>1</x:v>
      </x:c>
      <x:c r="AK1541" s="10" t="str">
        <x:v>кратность</x:v>
      </x:c>
      <x:c r="AL1541" s="32" t="n">
        <x:v>157.1401892560216</x:v>
      </x:c>
      <x:c r="AM1541" s="13" t="str">
        <x:v>Нет ежедневных данных доступности. Запас выше прогноза на 90 дней</x:v>
      </x:c>
      <x:c r="AN1541" s="13" t="str">
        <x:v>Проверить свободный остаток и установить цену для B2B</x:v>
      </x:c>
      <x:c r="AO1541" s="13" t="str">
        <x:v>Остаток 6; прогноз 90 дней 3.26; избыток 2 шт. Будущие поступления не выставляются на продажу.</x:v>
      </x:c>
      <x:c r="AP1541" s="13" t="str">
        <x:v>["daily_stockout_data_missing", "new_order_lead_time_unknown"]</x:v>
      </x:c>
      <x:c r="AQ1541" s="10" t="str">
        <x:v>SE:300200941_</x:v>
      </x:c>
      <x:c r="AR1541" s="24" t="n">
        <x:v>1</x:v>
      </x:c>
      <x:c r="AS1541" s="24" t="n">
        <x:v>0</x:v>
      </x:c>
      <x:c r="AT1541" s="24" t="n">
        <x:v>0</x:v>
      </x:c>
    </x:row>
    <x:row r="1542" ht="64" customHeight="1">
      <x:c r="A1542" s="11" t="str">
        <x:v>Systeme Electric</x:v>
      </x:c>
      <x:c r="B1542" s="33" t="str">
        <x:v>300200943_</x:v>
      </x:c>
      <x:c r="C1542" s="33" t="str">
        <x:v>GAL001446</x:v>
      </x:c>
      <x:c r="D1542" s="12" t="str">
        <x:v>G160 Роз. с з/к с/ш с крышкой 16А механизм IP20 "ARTGALLERY" базальт GAL1446 (5)</x:v>
      </x:c>
      <x:c r="E1542" s="11" t="str">
        <x:v>шт</x:v>
      </x:c>
      <x:c r="F1542" s="35" t="n">
        <x:f>MAX(0,ROUNDDOWN((AG1542-AF1542)/AR1542+0.000000001,0)*AR1542)</x:f>
        <x:v>5</x:v>
      </x:c>
      <x:c r="G1542" s="20" t="str">
        <x:f>IF(J1542="Рассчитано",V1542*(1-R1542/100)-W1542-P1542-Q1542,"н/д")</x:f>
        <x:v>н/д</x:v>
      </x:c>
      <x:c r="H1542" s="12" t="str">
        <x:v>Средний</x:v>
      </x:c>
      <x:c r="I1542" s="12" t="str">
        <x:v>Средний</x:v>
      </x:c>
      <x:c r="J1542" s="12" t="str">
        <x:f>IF(L1542="","Укажите валюту",IF(NOT(ISNUMBER(K1542)),"Укажите объём",IF(K1542&lt;=0,"Укажите объём",IF(K1542&gt;F1542,"Объём выше излишка",IF(COUNT(M1542:O1542)&lt;3,"Нужны цены",IF(COUNT(P1542:R1542)&lt;3,"Нужны расходы",IF(OR(M1542&lt;0,N1542&lt;0,O1542&lt;0,O1542&gt;100,P1542&lt;0,Q1542&lt;0,R1542&lt;0,R1542&gt;100),"Проверьте значения","Рассчитано")))))))</x:f>
        <x:v>Нужны цены</x:v>
      </x:c>
      <x:c r="K1542" s="36" t="n">
        <x:v>5</x:v>
      </x:c>
      <x:c r="L1542" s="19" t="str">
        <x:v>KZT</x:v>
      </x:c>
      <x:c r="M1542" s="22"/>
      <x:c r="N1542" s="22"/>
      <x:c r="O1542" s="28"/>
      <x:c r="P1542" s="22"/>
      <x:c r="Q1542" s="22"/>
      <x:c r="R1542" s="28"/>
      <x:c r="S1542" s="22"/>
      <x:c r="T1542" s="35" t="n">
        <x:f>K1542</x:f>
        <x:v>5</x:v>
      </x:c>
      <x:c r="U1542" s="20" t="str">
        <x:f>IF(J1542="Рассчитано",N1542*(1-O1542/100),"н/д")</x:f>
        <x:v>н/д</x:v>
      </x:c>
      <x:c r="V1542" s="20" t="str">
        <x:f>IF(J1542="Рассчитано",T1542*U1542,"н/д")</x:f>
        <x:v>н/д</x:v>
      </x:c>
      <x:c r="W1542" s="20" t="str">
        <x:f>IF(J1542="Рассчитано",T1542*M1542,"н/д")</x:f>
        <x:v>н/д</x:v>
      </x:c>
      <x:c r="X1542" s="20" t="str">
        <x:f>IF(J1542="Рассчитано",V1542-W1542,"н/д")</x:f>
        <x:v>н/д</x:v>
      </x:c>
      <x:c r="Y1542" s="26" t="str">
        <x:f>IF(J1542="Рассчитано",IF(V1542&gt;0,G1542/V1542,"н/д"),"н/д")</x:f>
        <x:v>н/д</x:v>
      </x:c>
      <x:c r="Z1542" s="20" t="str">
        <x:f>"н/д"</x:f>
        <x:v>н/д</x:v>
      </x:c>
      <x:c r="AA1542" s="20" t="str">
        <x:f>"н/д"</x:f>
        <x:v>н/д</x:v>
      </x:c>
      <x:c r="AB1542" s="20" t="str">
        <x:f>"н/д"</x:f>
        <x:v>н/д</x:v>
      </x:c>
      <x:c r="AC1542" s="20" t="str">
        <x:f>IF(AND(J1542="Рассчитано",T1542&gt;0,R1542&lt;100),(W1542+P1542+Q1542)/(T1542*(1-R1542/100)),"н/д")</x:f>
        <x:v>н/д</x:v>
      </x:c>
      <x:c r="AD1542" s="11" t="str">
        <x:f>IF(ISNUMBER(G1542),IF(G1542&lt;0,"Убыток",IF(G1542=0,"Без прибыли","Прибыль &gt; 0")),"Не оценён")</x:f>
        <x:v>Не оценён</x:v>
      </x:c>
      <x:c r="AE1542" s="12" t="str">
        <x:f>IF(J1542="Рассчитано","Выручка "&amp;TEXT(V1542,"0.00")&amp;" - себестоимость "&amp;TEXT(W1542,"0.00")&amp;" - комиссия "&amp;TEXT(V1542*R1542/100,"0.00")&amp;" - доставка "&amp;TEXT(P1542,"0.00")&amp;" - прочие "&amp;TEXT(Q1542,"0.00")&amp;" = "&amp;TEXT(G1542,"0.00")&amp;" "&amp;L1542,"Введите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2" s="23" t="n">
        <x:v>9.969037740695828</x:v>
      </x:c>
      <x:c r="AG1542" s="35" t="n">
        <x:v>15</x:v>
      </x:c>
      <x:c r="AH1542" s="35" t="n">
        <x:v>0</x:v>
      </x:c>
      <x:c r="AI1542" s="29" t="n">
        <x:v>46287</x:v>
      </x:c>
      <x:c r="AJ1542" s="35" t="n">
        <x:v>5</x:v>
      </x:c>
      <x:c r="AK1542" s="11" t="str">
        <x:v>кратность</x:v>
      </x:c>
      <x:c r="AL1542" s="31" t="n">
        <x:v>128.2933064734515</x:v>
      </x:c>
      <x:c r="AM1542" s="12" t="str">
        <x:v>Нет ежедневных данных доступности. Запас выше прогноза на 90 дней</x:v>
      </x:c>
      <x:c r="AN1542" s="12" t="str">
        <x:v>Проверить свободный остаток и установить цену для B2B</x:v>
      </x:c>
      <x:c r="AO1542" s="12" t="str">
        <x:v>Остаток 15; прогноз 90 дней 9.97; избыток 5 шт. Будущие поступления не выставляются на продажу.</x:v>
      </x:c>
      <x:c r="AP1542" s="12" t="str">
        <x:v>["daily_stockout_data_missing", "new_order_lead_time_unknown"]</x:v>
      </x:c>
      <x:c r="AQ1542" s="11" t="str">
        <x:v>SE:300200943_</x:v>
      </x:c>
      <x:c r="AR1542" s="23" t="n">
        <x:v>1</x:v>
      </x:c>
      <x:c r="AS1542" s="23" t="n">
        <x:v>0</x:v>
      </x:c>
      <x:c r="AT1542" s="23" t="n">
        <x:v>0</x:v>
      </x:c>
    </x:row>
    <x:row r="1543" ht="64" customHeight="1">
      <x:c r="A1543" s="10" t="str">
        <x:v>Systeme Electric</x:v>
      </x:c>
      <x:c r="B1543" s="34" t="str">
        <x:v>300200944_</x:v>
      </x:c>
      <x:c r="C1543" s="34" t="str">
        <x:v>GAL001491</x:v>
      </x:c>
      <x:c r="D1543" s="13" t="str">
        <x:v>G161 Роз. TV оконечная 1DB механизм "ARTGALLERY" базальт GAL1491 (5)</x:v>
      </x:c>
      <x:c r="E1543" s="10" t="str">
        <x:v>шт</x:v>
      </x:c>
      <x:c r="F1543" s="37" t="n">
        <x:f>MAX(0,ROUNDDOWN((AG1543-AF1543)/AR1543+0.000000001,0)*AR1543)</x:f>
        <x:v>54</x:v>
      </x:c>
      <x:c r="G1543" s="21" t="str">
        <x:f>IF(J1543="Рассчитано",V1543*(1-R1543/100)-W1543-P1543-Q1543,"н/д")</x:f>
        <x:v>н/д</x:v>
      </x:c>
      <x:c r="H1543" s="13" t="str">
        <x:v>Средний</x:v>
      </x:c>
      <x:c r="I1543" s="13" t="str">
        <x:v>Высокий</x:v>
      </x:c>
      <x:c r="J1543" s="13" t="str">
        <x:f>IF(L1543="","Укажите валюту",IF(NOT(ISNUMBER(K1543)),"Укажите объём",IF(K1543&lt;=0,"Укажите объём",IF(K1543&gt;F1543,"Объём выше излишка",IF(COUNT(M1543:O1543)&lt;3,"Нужны цены",IF(COUNT(P1543:R1543)&lt;3,"Нужны расходы",IF(OR(M1543&lt;0,N1543&lt;0,O1543&lt;0,O1543&gt;100,P1543&lt;0,Q1543&lt;0,R1543&lt;0,R1543&gt;100),"Проверьте значения","Рассчитано")))))))</x:f>
        <x:v>Нужны цены</x:v>
      </x:c>
      <x:c r="K1543" s="36" t="n">
        <x:v>54</x:v>
      </x:c>
      <x:c r="L1543" s="19" t="str">
        <x:v>KZT</x:v>
      </x:c>
      <x:c r="M1543" s="22"/>
      <x:c r="N1543" s="22"/>
      <x:c r="O1543" s="28"/>
      <x:c r="P1543" s="22"/>
      <x:c r="Q1543" s="22"/>
      <x:c r="R1543" s="28"/>
      <x:c r="S1543" s="22"/>
      <x:c r="T1543" s="37" t="n">
        <x:f>K1543</x:f>
        <x:v>54</x:v>
      </x:c>
      <x:c r="U1543" s="21" t="str">
        <x:f>IF(J1543="Рассчитано",N1543*(1-O1543/100),"н/д")</x:f>
        <x:v>н/д</x:v>
      </x:c>
      <x:c r="V1543" s="21" t="str">
        <x:f>IF(J1543="Рассчитано",T1543*U1543,"н/д")</x:f>
        <x:v>н/д</x:v>
      </x:c>
      <x:c r="W1543" s="21" t="str">
        <x:f>IF(J1543="Рассчитано",T1543*M1543,"н/д")</x:f>
        <x:v>н/д</x:v>
      </x:c>
      <x:c r="X1543" s="21" t="str">
        <x:f>IF(J1543="Рассчитано",V1543-W1543,"н/д")</x:f>
        <x:v>н/д</x:v>
      </x:c>
      <x:c r="Y1543" s="27" t="str">
        <x:f>IF(J1543="Рассчитано",IF(V1543&gt;0,G1543/V1543,"н/д"),"н/д")</x:f>
        <x:v>н/д</x:v>
      </x:c>
      <x:c r="Z1543" s="21" t="str">
        <x:f>"н/д"</x:f>
        <x:v>н/д</x:v>
      </x:c>
      <x:c r="AA1543" s="21" t="str">
        <x:f>"н/д"</x:f>
        <x:v>н/д</x:v>
      </x:c>
      <x:c r="AB1543" s="21" t="str">
        <x:f>"н/д"</x:f>
        <x:v>н/д</x:v>
      </x:c>
      <x:c r="AC1543" s="21" t="str">
        <x:f>IF(AND(J1543="Рассчитано",T1543&gt;0,R1543&lt;100),(W1543+P1543+Q1543)/(T1543*(1-R1543/100)),"н/д")</x:f>
        <x:v>н/д</x:v>
      </x:c>
      <x:c r="AD1543" s="10" t="str">
        <x:f>IF(ISNUMBER(G1543),IF(G1543&lt;0,"Убыток",IF(G1543=0,"Без прибыли","Прибыль &gt; 0")),"Не оценён")</x:f>
        <x:v>Не оценён</x:v>
      </x:c>
      <x:c r="AE1543" s="13" t="str">
        <x:f>IF(J1543="Рассчитано","Выручка "&amp;TEXT(V1543,"0.00")&amp;" - себестоимость "&amp;TEXT(W1543,"0.00")&amp;" - комиссия "&amp;TEXT(V1543*R1543/100,"0.00")&amp;" - доставка "&amp;TEXT(P1543,"0.00")&amp;" - прочие "&amp;TEXT(Q1543,"0.00")&amp;" = "&amp;TEXT(G1543,"0.00")&amp;" "&amp;L1543,"Введите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3" s="24" t="n">
        <x:v>1.072881157854218</x:v>
      </x:c>
      <x:c r="AG1543" s="37" t="n">
        <x:v>56</x:v>
      </x:c>
      <x:c r="AH1543" s="37" t="n">
        <x:v>0</x:v>
      </x:c>
      <x:c r="AI1543" s="30" t="n">
        <x:v>46287</x:v>
      </x:c>
      <x:c r="AJ1543" s="37" t="n">
        <x:v>5</x:v>
      </x:c>
      <x:c r="AK1543" s="10" t="str">
        <x:v>кратность</x:v>
      </x:c>
      <x:c r="AL1543" s="32" t="n">
        <x:v>4450.4342390568</x:v>
      </x:c>
      <x:c r="AM1543" s="13" t="str">
        <x:v>Нет ежедневных данных доступности. Запас более 180 дней при среднем спросе</x:v>
      </x:c>
      <x:c r="AN1543" s="13" t="str">
        <x:v>Проверить свободный остаток и установить цену для B2B</x:v>
      </x:c>
      <x:c r="AO1543" s="13" t="str">
        <x:v>Остаток 56; прогноз 90 дней 1.07; избыток 54 шт. Будущие поступления не выставляются на продажу.</x:v>
      </x:c>
      <x:c r="AP1543" s="13" t="str">
        <x:v>["daily_stockout_data_missing", "new_order_lead_time_unknown"]</x:v>
      </x:c>
      <x:c r="AQ1543" s="10" t="str">
        <x:v>SE:300200944_</x:v>
      </x:c>
      <x:c r="AR1543" s="24" t="n">
        <x:v>1</x:v>
      </x:c>
      <x:c r="AS1543" s="24" t="n">
        <x:v>0</x:v>
      </x:c>
      <x:c r="AT1543" s="24" t="n">
        <x:v>0</x:v>
      </x:c>
    </x:row>
    <x:row r="1544" ht="64" customHeight="1">
      <x:c r="A1544" s="11" t="str">
        <x:v>Systeme Electric</x:v>
      </x:c>
      <x:c r="B1544" s="33" t="str">
        <x:v>300200949_</x:v>
      </x:c>
      <x:c r="C1544" s="33" t="str">
        <x:v>GAL001405</x:v>
      </x:c>
      <x:c r="D1544" s="12" t="str">
        <x:v>G166 Рамка 5-ная "ARTGALLERY" базальт GAL1405 (5)</x:v>
      </x:c>
      <x:c r="E1544" s="11" t="str">
        <x:v>шт</x:v>
      </x:c>
      <x:c r="F1544" s="35" t="n">
        <x:f>MAX(0,ROUNDDOWN((AG1544-AF1544)/AR1544+0.000000001,0)*AR1544)</x:f>
        <x:v>35</x:v>
      </x:c>
      <x:c r="G1544" s="20" t="str">
        <x:f>IF(J1544="Рассчитано",V1544*(1-R1544/100)-W1544-P1544-Q1544,"н/д")</x:f>
        <x:v>н/д</x:v>
      </x:c>
      <x:c r="H1544" s="12" t="str">
        <x:v>Средний</x:v>
      </x:c>
      <x:c r="I1544" s="12" t="str">
        <x:v>Высокий</x:v>
      </x:c>
      <x:c r="J1544" s="12" t="str">
        <x:f>IF(L1544="","Укажите валюту",IF(NOT(ISNUMBER(K1544)),"Укажите объём",IF(K1544&lt;=0,"Укажите объём",IF(K1544&gt;F1544,"Объём выше излишка",IF(COUNT(M1544:O1544)&lt;3,"Нужны цены",IF(COUNT(P1544:R1544)&lt;3,"Нужны расходы",IF(OR(M1544&lt;0,N1544&lt;0,O1544&lt;0,O1544&gt;100,P1544&lt;0,Q1544&lt;0,R1544&lt;0,R1544&gt;100),"Проверьте значения","Рассчитано")))))))</x:f>
        <x:v>Нужны цены</x:v>
      </x:c>
      <x:c r="K1544" s="36" t="n">
        <x:v>35</x:v>
      </x:c>
      <x:c r="L1544" s="19" t="str">
        <x:v>KZT</x:v>
      </x:c>
      <x:c r="M1544" s="22"/>
      <x:c r="N1544" s="22"/>
      <x:c r="O1544" s="28"/>
      <x:c r="P1544" s="22"/>
      <x:c r="Q1544" s="22"/>
      <x:c r="R1544" s="28"/>
      <x:c r="S1544" s="22"/>
      <x:c r="T1544" s="35" t="n">
        <x:f>K1544</x:f>
        <x:v>35</x:v>
      </x:c>
      <x:c r="U1544" s="20" t="str">
        <x:f>IF(J1544="Рассчитано",N1544*(1-O1544/100),"н/д")</x:f>
        <x:v>н/д</x:v>
      </x:c>
      <x:c r="V1544" s="20" t="str">
        <x:f>IF(J1544="Рассчитано",T1544*U1544,"н/д")</x:f>
        <x:v>н/д</x:v>
      </x:c>
      <x:c r="W1544" s="20" t="str">
        <x:f>IF(J1544="Рассчитано",T1544*M1544,"н/д")</x:f>
        <x:v>н/д</x:v>
      </x:c>
      <x:c r="X1544" s="20" t="str">
        <x:f>IF(J1544="Рассчитано",V1544-W1544,"н/д")</x:f>
        <x:v>н/д</x:v>
      </x:c>
      <x:c r="Y1544" s="26" t="str">
        <x:f>IF(J1544="Рассчитано",IF(V1544&gt;0,G1544/V1544,"н/д"),"н/д")</x:f>
        <x:v>н/д</x:v>
      </x:c>
      <x:c r="Z1544" s="20" t="str">
        <x:f>"н/д"</x:f>
        <x:v>н/д</x:v>
      </x:c>
      <x:c r="AA1544" s="20" t="str">
        <x:f>"н/д"</x:f>
        <x:v>н/д</x:v>
      </x:c>
      <x:c r="AB1544" s="20" t="str">
        <x:f>"н/д"</x:f>
        <x:v>н/д</x:v>
      </x:c>
      <x:c r="AC1544" s="20" t="str">
        <x:f>IF(AND(J1544="Рассчитано",T1544&gt;0,R1544&lt;100),(W1544+P1544+Q1544)/(T1544*(1-R1544/100)),"н/д")</x:f>
        <x:v>н/д</x:v>
      </x:c>
      <x:c r="AD1544" s="11" t="str">
        <x:f>IF(ISNUMBER(G1544),IF(G1544&lt;0,"Убыток",IF(G1544=0,"Без прибыли","Прибыль &gt; 0")),"Не оценён")</x:f>
        <x:v>Не оценён</x:v>
      </x:c>
      <x:c r="AE1544" s="12" t="str">
        <x:f>IF(J1544="Рассчитано","Выручка "&amp;TEXT(V1544,"0.00")&amp;" - себестоимость "&amp;TEXT(W1544,"0.00")&amp;" - комиссия "&amp;TEXT(V1544*R1544/100,"0.00")&amp;" - доставка "&amp;TEXT(P1544,"0.00")&amp;" - прочие "&amp;TEXT(Q1544,"0.00")&amp;" = "&amp;TEXT(G1544,"0.00")&amp;" "&amp;L1544,"Введите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4" s="23" t="n">
        <x:v>5.501580856112021</x:v>
      </x:c>
      <x:c r="AG1544" s="35" t="n">
        <x:v>41</x:v>
      </x:c>
      <x:c r="AH1544" s="35" t="n">
        <x:v>0</x:v>
      </x:c>
      <x:c r="AI1544" s="29" t="n">
        <x:v>46287</x:v>
      </x:c>
      <x:c r="AJ1544" s="35" t="n">
        <x:v>5</x:v>
      </x:c>
      <x:c r="AK1544" s="11" t="str">
        <x:v>кратность</x:v>
      </x:c>
      <x:c r="AL1544" s="31" t="n">
        <x:v>635.4221298696556</x:v>
      </x:c>
      <x:c r="AM1544" s="12" t="str">
        <x:v>Детальные и месячные продажи расходятся; Нет ежедневных данных доступности. Запас более 180 дней при среднем спросе</x:v>
      </x:c>
      <x:c r="AN1544" s="12" t="str">
        <x:v>Проверить свободный остаток и установить цену для B2B</x:v>
      </x:c>
      <x:c r="AO1544" s="12" t="str">
        <x:v>Остаток 41; прогноз 90 дней 5.50; избыток 35 шт. Будущие поступления не выставляются на продажу.</x:v>
      </x:c>
      <x:c r="AP1544" s="12" t="str">
        <x:v>["daily_stockout_data_missing", "large_orders_detected", "new_order_lead_time_unknown", "transaction_month_mismatch"]</x:v>
      </x:c>
      <x:c r="AQ1544" s="11" t="str">
        <x:v>SE:300200949_</x:v>
      </x:c>
      <x:c r="AR1544" s="23" t="n">
        <x:v>1</x:v>
      </x:c>
      <x:c r="AS1544" s="23" t="n">
        <x:v>0</x:v>
      </x:c>
      <x:c r="AT1544" s="23" t="n">
        <x:v>0</x:v>
      </x:c>
    </x:row>
    <x:row r="1545" ht="64" customHeight="1">
      <x:c r="A1545" s="10" t="str">
        <x:v>Systeme Electric</x:v>
      </x:c>
      <x:c r="B1545" s="34" t="str">
        <x:v>300200950_</x:v>
      </x:c>
      <x:c r="C1545" s="34" t="str">
        <x:v>GAL001465</x:v>
      </x:c>
      <x:c r="D1545" s="13" t="str">
        <x:v>G167 Переключ. 2 кл механизм "ARTGALLERY" базальт GAL1465 (5)</x:v>
      </x:c>
      <x:c r="E1545" s="10" t="str">
        <x:v>шт</x:v>
      </x:c>
      <x:c r="F1545" s="37" t="n">
        <x:f>MAX(0,ROUNDDOWN((AG1545-AF1545)/AR1545+0.000000001,0)*AR1545)</x:f>
        <x:v>12</x:v>
      </x:c>
      <x:c r="G1545" s="21" t="str">
        <x:f>IF(J1545="Рассчитано",V1545*(1-R1545/100)-W1545-P1545-Q1545,"н/д")</x:f>
        <x:v>н/д</x:v>
      </x:c>
      <x:c r="H1545" s="13" t="str">
        <x:v>Средний</x:v>
      </x:c>
      <x:c r="I1545" s="13" t="str">
        <x:v>Средний</x:v>
      </x:c>
      <x:c r="J1545" s="13" t="str">
        <x:f>IF(L1545="","Укажите валюту",IF(NOT(ISNUMBER(K1545)),"Укажите объём",IF(K1545&lt;=0,"Укажите объём",IF(K1545&gt;F1545,"Объём выше излишка",IF(COUNT(M1545:O1545)&lt;3,"Нужны цены",IF(COUNT(P1545:R1545)&lt;3,"Нужны расходы",IF(OR(M1545&lt;0,N1545&lt;0,O1545&lt;0,O1545&gt;100,P1545&lt;0,Q1545&lt;0,R1545&lt;0,R1545&gt;100),"Проверьте значения","Рассчитано")))))))</x:f>
        <x:v>Нужны цены</x:v>
      </x:c>
      <x:c r="K1545" s="36" t="n">
        <x:v>12</x:v>
      </x:c>
      <x:c r="L1545" s="19" t="str">
        <x:v>KZT</x:v>
      </x:c>
      <x:c r="M1545" s="22"/>
      <x:c r="N1545" s="22"/>
      <x:c r="O1545" s="28"/>
      <x:c r="P1545" s="22"/>
      <x:c r="Q1545" s="22"/>
      <x:c r="R1545" s="28"/>
      <x:c r="S1545" s="22"/>
      <x:c r="T1545" s="37" t="n">
        <x:f>K1545</x:f>
        <x:v>12</x:v>
      </x:c>
      <x:c r="U1545" s="21" t="str">
        <x:f>IF(J1545="Рассчитано",N1545*(1-O1545/100),"н/д")</x:f>
        <x:v>н/д</x:v>
      </x:c>
      <x:c r="V1545" s="21" t="str">
        <x:f>IF(J1545="Рассчитано",T1545*U1545,"н/д")</x:f>
        <x:v>н/д</x:v>
      </x:c>
      <x:c r="W1545" s="21" t="str">
        <x:f>IF(J1545="Рассчитано",T1545*M1545,"н/д")</x:f>
        <x:v>н/д</x:v>
      </x:c>
      <x:c r="X1545" s="21" t="str">
        <x:f>IF(J1545="Рассчитано",V1545-W1545,"н/д")</x:f>
        <x:v>н/д</x:v>
      </x:c>
      <x:c r="Y1545" s="27" t="str">
        <x:f>IF(J1545="Рассчитано",IF(V1545&gt;0,G1545/V1545,"н/д"),"н/д")</x:f>
        <x:v>н/д</x:v>
      </x:c>
      <x:c r="Z1545" s="21" t="str">
        <x:f>"н/д"</x:f>
        <x:v>н/д</x:v>
      </x:c>
      <x:c r="AA1545" s="21" t="str">
        <x:f>"н/д"</x:f>
        <x:v>н/д</x:v>
      </x:c>
      <x:c r="AB1545" s="21" t="str">
        <x:f>"н/д"</x:f>
        <x:v>н/д</x:v>
      </x:c>
      <x:c r="AC1545" s="21" t="str">
        <x:f>IF(AND(J1545="Рассчитано",T1545&gt;0,R1545&lt;100),(W1545+P1545+Q1545)/(T1545*(1-R1545/100)),"н/д")</x:f>
        <x:v>н/д</x:v>
      </x:c>
      <x:c r="AD1545" s="10" t="str">
        <x:f>IF(ISNUMBER(G1545),IF(G1545&lt;0,"Убыток",IF(G1545=0,"Без прибыли","Прибыль &gt; 0")),"Не оценён")</x:f>
        <x:v>Не оценён</x:v>
      </x:c>
      <x:c r="AE1545" s="13" t="str">
        <x:f>IF(J1545="Рассчитано","Выручка "&amp;TEXT(V1545,"0.00")&amp;" - себестоимость "&amp;TEXT(W1545,"0.00")&amp;" - комиссия "&amp;TEXT(V1545*R1545/100,"0.00")&amp;" - доставка "&amp;TEXT(P1545,"0.00")&amp;" - прочие "&amp;TEXT(Q1545,"0.00")&amp;" = "&amp;TEXT(G1545,"0.00")&amp;" "&amp;L1545,"Введите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5" s="24" t="n">
        <x:v>16.363815268219877</x:v>
      </x:c>
      <x:c r="AG1545" s="37" t="n">
        <x:v>29</x:v>
      </x:c>
      <x:c r="AH1545" s="37" t="n">
        <x:v>0</x:v>
      </x:c>
      <x:c r="AI1545" s="30" t="n">
        <x:v>46287</x:v>
      </x:c>
      <x:c r="AJ1545" s="37" t="n">
        <x:v>5</x:v>
      </x:c>
      <x:c r="AK1545" s="10" t="str">
        <x:v>кратность</x:v>
      </x:c>
      <x:c r="AL1545" s="32" t="n">
        <x:v>151.10519969954453</x:v>
      </x:c>
      <x:c r="AM1545" s="13" t="str">
        <x:v>Нет ежедневных данных доступности. Запас выше прогноза на 90 дней</x:v>
      </x:c>
      <x:c r="AN1545" s="13" t="str">
        <x:v>Проверить свободный остаток и установить цену для B2B</x:v>
      </x:c>
      <x:c r="AO1545" s="13" t="str">
        <x:v>Остаток 29; прогноз 90 дней 16.36; избыток 12 шт. Будущие поступления не выставляются на продажу.</x:v>
      </x:c>
      <x:c r="AP1545" s="13" t="str">
        <x:v>["daily_stockout_data_missing", "new_order_lead_time_unknown"]</x:v>
      </x:c>
      <x:c r="AQ1545" s="10" t="str">
        <x:v>SE:300200950_</x:v>
      </x:c>
      <x:c r="AR1545" s="24" t="n">
        <x:v>1</x:v>
      </x:c>
      <x:c r="AS1545" s="24" t="n">
        <x:v>0</x:v>
      </x:c>
      <x:c r="AT1545" s="24" t="n">
        <x:v>0</x:v>
      </x:c>
    </x:row>
    <x:row r="1546" ht="64" customHeight="1">
      <x:c r="A1546" s="11" t="str">
        <x:v>Systeme Electric</x:v>
      </x:c>
      <x:c r="B1546" s="33" t="str">
        <x:v>300200951_</x:v>
      </x:c>
      <x:c r="C1546" s="33" t="str">
        <x:v>GAL001423</x:v>
      </x:c>
      <x:c r="D1546" s="12" t="str">
        <x:v>G168 Диммер поворотно-нажимной механизм 400Вт "ARTGALLERY" базальт GAL1423 (1)</x:v>
      </x:c>
      <x:c r="E1546" s="11" t="str">
        <x:v>шт</x:v>
      </x:c>
      <x:c r="F1546" s="35" t="n">
        <x:f>MAX(0,ROUNDDOWN((AG1546-AF1546)/AR1546+0.000000001,0)*AR1546)</x:f>
        <x:v>2</x:v>
      </x:c>
      <x:c r="G1546" s="20" t="str">
        <x:f>IF(J1546="Рассчитано",V1546*(1-R1546/100)-W1546-P1546-Q1546,"н/д")</x:f>
        <x:v>н/д</x:v>
      </x:c>
      <x:c r="H1546" s="12" t="str">
        <x:v>Средний</x:v>
      </x:c>
      <x:c r="I1546" s="12" t="str">
        <x:v>Высокий</x:v>
      </x:c>
      <x:c r="J1546" s="12" t="str">
        <x:f>IF(L1546="","Укажите валюту",IF(NOT(ISNUMBER(K1546)),"Укажите объём",IF(K1546&lt;=0,"Укажите объём",IF(K1546&gt;F1546,"Объём выше излишка",IF(COUNT(M1546:O1546)&lt;3,"Нужны цены",IF(COUNT(P1546:R1546)&lt;3,"Нужны расходы",IF(OR(M1546&lt;0,N1546&lt;0,O1546&lt;0,O1546&gt;100,P1546&lt;0,Q1546&lt;0,R1546&lt;0,R1546&gt;100),"Проверьте значения","Рассчитано")))))))</x:f>
        <x:v>Нужны цены</x:v>
      </x:c>
      <x:c r="K1546" s="36" t="n">
        <x:v>2</x:v>
      </x:c>
      <x:c r="L1546" s="19" t="str">
        <x:v>KZT</x:v>
      </x:c>
      <x:c r="M1546" s="22"/>
      <x:c r="N1546" s="22"/>
      <x:c r="O1546" s="28"/>
      <x:c r="P1546" s="22"/>
      <x:c r="Q1546" s="22"/>
      <x:c r="R1546" s="28"/>
      <x:c r="S1546" s="22"/>
      <x:c r="T1546" s="35" t="n">
        <x:f>K1546</x:f>
        <x:v>2</x:v>
      </x:c>
      <x:c r="U1546" s="20" t="str">
        <x:f>IF(J1546="Рассчитано",N1546*(1-O1546/100),"н/д")</x:f>
        <x:v>н/д</x:v>
      </x:c>
      <x:c r="V1546" s="20" t="str">
        <x:f>IF(J1546="Рассчитано",T1546*U1546,"н/д")</x:f>
        <x:v>н/д</x:v>
      </x:c>
      <x:c r="W1546" s="20" t="str">
        <x:f>IF(J1546="Рассчитано",T1546*M1546,"н/д")</x:f>
        <x:v>н/д</x:v>
      </x:c>
      <x:c r="X1546" s="20" t="str">
        <x:f>IF(J1546="Рассчитано",V1546-W1546,"н/д")</x:f>
        <x:v>н/д</x:v>
      </x:c>
      <x:c r="Y1546" s="26" t="str">
        <x:f>IF(J1546="Рассчитано",IF(V1546&gt;0,G1546/V1546,"н/д"),"н/д")</x:f>
        <x:v>н/д</x:v>
      </x:c>
      <x:c r="Z1546" s="20" t="str">
        <x:f>"н/д"</x:f>
        <x:v>н/д</x:v>
      </x:c>
      <x:c r="AA1546" s="20" t="str">
        <x:f>"н/д"</x:f>
        <x:v>н/д</x:v>
      </x:c>
      <x:c r="AB1546" s="20" t="str">
        <x:f>"н/д"</x:f>
        <x:v>н/д</x:v>
      </x:c>
      <x:c r="AC1546" s="20" t="str">
        <x:f>IF(AND(J1546="Рассчитано",T1546&gt;0,R1546&lt;100),(W1546+P1546+Q1546)/(T1546*(1-R1546/100)),"н/д")</x:f>
        <x:v>н/д</x:v>
      </x:c>
      <x:c r="AD1546" s="11" t="str">
        <x:f>IF(ISNUMBER(G1546),IF(G1546&lt;0,"Убыток",IF(G1546=0,"Без прибыли","Прибыль &gt; 0")),"Не оценён")</x:f>
        <x:v>Не оценён</x:v>
      </x:c>
      <x:c r="AE1546" s="12" t="str">
        <x:f>IF(J1546="Рассчитано","Выручка "&amp;TEXT(V1546,"0.00")&amp;" - себестоимость "&amp;TEXT(W1546,"0.00")&amp;" - комиссия "&amp;TEXT(V1546*R1546/100,"0.00")&amp;" - доставка "&amp;TEXT(P1546,"0.00")&amp;" - прочие "&amp;TEXT(Q1546,"0.00")&amp;" = "&amp;TEXT(G1546,"0.00")&amp;" "&amp;L1546,"Введите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6" s="23" t="n">
        <x:v>0.712839542303495</x:v>
      </x:c>
      <x:c r="AG1546" s="35" t="n">
        <x:v>3</x:v>
      </x:c>
      <x:c r="AH1546" s="35" t="n">
        <x:v>0</x:v>
      </x:c>
      <x:c r="AI1546" s="29" t="n">
        <x:v>46287</x:v>
      </x:c>
      <x:c r="AJ1546" s="35" t="n">
        <x:v>1</x:v>
      </x:c>
      <x:c r="AK1546" s="11" t="str">
        <x:v>кратность</x:v>
      </x:c>
      <x:c r="AL1546" s="31" t="n">
        <x:v>358.8355410194047</x:v>
      </x:c>
      <x:c r="AM1546" s="12" t="str">
        <x:v>Нет ежедневных данных доступности. Запас более 180 дней при среднем спросе</x:v>
      </x:c>
      <x:c r="AN1546" s="12" t="str">
        <x:v>Проверить свободный остаток и установить цену для B2B</x:v>
      </x:c>
      <x:c r="AO1546" s="12" t="str">
        <x:v>Остаток 3; прогноз 90 дней 0.71; избыток 2 шт. Будущие поступления не выставляются на продажу.</x:v>
      </x:c>
      <x:c r="AP1546" s="12" t="str">
        <x:v>["daily_stockout_data_missing", "new_order_lead_time_unknown"]</x:v>
      </x:c>
      <x:c r="AQ1546" s="11" t="str">
        <x:v>SE:300200951_</x:v>
      </x:c>
      <x:c r="AR1546" s="23" t="n">
        <x:v>1</x:v>
      </x:c>
      <x:c r="AS1546" s="23" t="n">
        <x:v>0</x:v>
      </x:c>
      <x:c r="AT1546" s="23" t="n">
        <x:v>0</x:v>
      </x:c>
    </x:row>
    <x:row r="1547" ht="64" customHeight="1">
      <x:c r="A1547" s="10" t="str">
        <x:v>Systeme Electric</x:v>
      </x:c>
      <x:c r="B1547" s="34" t="str">
        <x:v>300200952_</x:v>
      </x:c>
      <x:c r="C1547" s="34" t="str">
        <x:v>GAL001415</x:v>
      </x:c>
      <x:c r="D1547" s="13" t="str">
        <x:v>G169 Выкл. 1 кл кнопочный 10А механизм "ARTGALLERY" базальт GAL1415 (5)</x:v>
      </x:c>
      <x:c r="E1547" s="10" t="str">
        <x:v>шт</x:v>
      </x:c>
      <x:c r="F1547" s="37" t="n">
        <x:f>MAX(0,ROUNDDOWN((AG1547-AF1547)/AR1547+0.000000001,0)*AR1547)</x:f>
        <x:v>25</x:v>
      </x:c>
      <x:c r="G1547" s="21" t="str">
        <x:f>IF(J1547="Рассчитано",V1547*(1-R1547/100)-W1547-P1547-Q1547,"н/д")</x:f>
        <x:v>н/д</x:v>
      </x:c>
      <x:c r="H1547" s="13" t="str">
        <x:v>Средний</x:v>
      </x:c>
      <x:c r="I1547" s="13" t="str">
        <x:v>Высокий</x:v>
      </x:c>
      <x:c r="J1547" s="13" t="str">
        <x:f>IF(L1547="","Укажите валюту",IF(NOT(ISNUMBER(K1547)),"Укажите объём",IF(K1547&lt;=0,"Укажите объём",IF(K1547&gt;F1547,"Объём выше излишка",IF(COUNT(M1547:O1547)&lt;3,"Нужны цены",IF(COUNT(P1547:R1547)&lt;3,"Нужны расходы",IF(OR(M1547&lt;0,N1547&lt;0,O1547&lt;0,O1547&gt;100,P1547&lt;0,Q1547&lt;0,R1547&lt;0,R1547&gt;100),"Проверьте значения","Рассчитано")))))))</x:f>
        <x:v>Нужны цены</x:v>
      </x:c>
      <x:c r="K1547" s="36" t="n">
        <x:v>25</x:v>
      </x:c>
      <x:c r="L1547" s="19" t="str">
        <x:v>KZT</x:v>
      </x:c>
      <x:c r="M1547" s="22"/>
      <x:c r="N1547" s="22"/>
      <x:c r="O1547" s="28"/>
      <x:c r="P1547" s="22"/>
      <x:c r="Q1547" s="22"/>
      <x:c r="R1547" s="28"/>
      <x:c r="S1547" s="22"/>
      <x:c r="T1547" s="37" t="n">
        <x:f>K1547</x:f>
        <x:v>25</x:v>
      </x:c>
      <x:c r="U1547" s="21" t="str">
        <x:f>IF(J1547="Рассчитано",N1547*(1-O1547/100),"н/д")</x:f>
        <x:v>н/д</x:v>
      </x:c>
      <x:c r="V1547" s="21" t="str">
        <x:f>IF(J1547="Рассчитано",T1547*U1547,"н/д")</x:f>
        <x:v>н/д</x:v>
      </x:c>
      <x:c r="W1547" s="21" t="str">
        <x:f>IF(J1547="Рассчитано",T1547*M1547,"н/д")</x:f>
        <x:v>н/д</x:v>
      </x:c>
      <x:c r="X1547" s="21" t="str">
        <x:f>IF(J1547="Рассчитано",V1547-W1547,"н/д")</x:f>
        <x:v>н/д</x:v>
      </x:c>
      <x:c r="Y1547" s="27" t="str">
        <x:f>IF(J1547="Рассчитано",IF(V1547&gt;0,G1547/V1547,"н/д"),"н/д")</x:f>
        <x:v>н/д</x:v>
      </x:c>
      <x:c r="Z1547" s="21" t="str">
        <x:f>"н/д"</x:f>
        <x:v>н/д</x:v>
      </x:c>
      <x:c r="AA1547" s="21" t="str">
        <x:f>"н/д"</x:f>
        <x:v>н/д</x:v>
      </x:c>
      <x:c r="AB1547" s="21" t="str">
        <x:f>"н/д"</x:f>
        <x:v>н/д</x:v>
      </x:c>
      <x:c r="AC1547" s="21" t="str">
        <x:f>IF(AND(J1547="Рассчитано",T1547&gt;0,R1547&lt;100),(W1547+P1547+Q1547)/(T1547*(1-R1547/100)),"н/д")</x:f>
        <x:v>н/д</x:v>
      </x:c>
      <x:c r="AD1547" s="10" t="str">
        <x:f>IF(ISNUMBER(G1547),IF(G1547&lt;0,"Убыток",IF(G1547=0,"Без прибыли","Прибыль &gt; 0")),"Не оценён")</x:f>
        <x:v>Не оценён</x:v>
      </x:c>
      <x:c r="AE1547" s="13" t="str">
        <x:f>IF(J1547="Рассчитано","Выручка "&amp;TEXT(V1547,"0.00")&amp;" - себестоимость "&amp;TEXT(W1547,"0.00")&amp;" - комиссия "&amp;TEXT(V1547*R1547/100,"0.00")&amp;" - доставка "&amp;TEXT(P1547,"0.00")&amp;" - прочие "&amp;TEXT(Q1547,"0.00")&amp;" = "&amp;TEXT(G1547,"0.00")&amp;" "&amp;L1547,"Введите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7" s="24" t="n">
        <x:v>1.3198473639020991</x:v>
      </x:c>
      <x:c r="AG1547" s="37" t="n">
        <x:v>27</x:v>
      </x:c>
      <x:c r="AH1547" s="37" t="n">
        <x:v>0</x:v>
      </x:c>
      <x:c r="AI1547" s="30" t="n">
        <x:v>46287</x:v>
      </x:c>
      <x:c r="AJ1547" s="37" t="n">
        <x:v>5</x:v>
      </x:c>
      <x:c r="AK1547" s="10" t="str">
        <x:v>кратность</x:v>
      </x:c>
      <x:c r="AL1547" s="32" t="n">
        <x:v>1744.239166108038</x:v>
      </x:c>
      <x:c r="AM1547" s="13" t="str">
        <x:v>Нет ежедневных данных доступности. Запас более 180 дней при среднем спросе</x:v>
      </x:c>
      <x:c r="AN1547" s="13" t="str">
        <x:v>Проверить свободный остаток и установить цену для B2B</x:v>
      </x:c>
      <x:c r="AO1547" s="13" t="str">
        <x:v>Остаток 27; прогноз 90 дней 1.32; избыток 25 шт. Будущие поступления не выставляются на продажу.</x:v>
      </x:c>
      <x:c r="AP1547" s="13" t="str">
        <x:v>["daily_stockout_data_missing", "new_order_lead_time_unknown"]</x:v>
      </x:c>
      <x:c r="AQ1547" s="10" t="str">
        <x:v>SE:300200952_</x:v>
      </x:c>
      <x:c r="AR1547" s="24" t="n">
        <x:v>1</x:v>
      </x:c>
      <x:c r="AS1547" s="24" t="n">
        <x:v>0</x:v>
      </x:c>
      <x:c r="AT1547" s="24" t="n">
        <x:v>0</x:v>
      </x:c>
    </x:row>
    <x:row r="1548" ht="64" customHeight="1">
      <x:c r="A1548" s="11" t="str">
        <x:v>Systeme Electric</x:v>
      </x:c>
      <x:c r="B1548" s="33" t="str">
        <x:v>300200953_</x:v>
      </x:c>
      <x:c r="C1548" s="33" t="str">
        <x:v>GAL001499</x:v>
      </x:c>
      <x:c r="D1548" s="12" t="str">
        <x:v>G170 Вывод кабеля механизм "ARTGALLERY" базальт GAL1499 (5)</x:v>
      </x:c>
      <x:c r="E1548" s="11" t="str">
        <x:v>шт</x:v>
      </x:c>
      <x:c r="F1548" s="35" t="n">
        <x:f>MAX(0,ROUNDDOWN((AG1548-AF1548)/AR1548+0.000000001,0)*AR1548)</x:f>
        <x:v>5</x:v>
      </x:c>
      <x:c r="G1548" s="20" t="str">
        <x:f>IF(J1548="Рассчитано",V1548*(1-R1548/100)-W1548-P1548-Q1548,"н/д")</x:f>
        <x:v>н/д</x:v>
      </x:c>
      <x:c r="H1548" s="12" t="str">
        <x:v>Средний</x:v>
      </x:c>
      <x:c r="I1548" s="12" t="str">
        <x:v>Средний</x:v>
      </x:c>
      <x:c r="J1548" s="12" t="str">
        <x:f>IF(L1548="","Укажите валюту",IF(NOT(ISNUMBER(K1548)),"Укажите объём",IF(K1548&lt;=0,"Укажите объём",IF(K1548&gt;F1548,"Объём выше излишка",IF(COUNT(M1548:O1548)&lt;3,"Нужны цены",IF(COUNT(P1548:R1548)&lt;3,"Нужны расходы",IF(OR(M1548&lt;0,N1548&lt;0,O1548&lt;0,O1548&gt;100,P1548&lt;0,Q1548&lt;0,R1548&lt;0,R1548&gt;100),"Проверьте значения","Рассчитано")))))))</x:f>
        <x:v>Нужны цены</x:v>
      </x:c>
      <x:c r="K1548" s="36" t="n">
        <x:v>5</x:v>
      </x:c>
      <x:c r="L1548" s="19" t="str">
        <x:v>KZT</x:v>
      </x:c>
      <x:c r="M1548" s="22"/>
      <x:c r="N1548" s="22"/>
      <x:c r="O1548" s="28"/>
      <x:c r="P1548" s="22"/>
      <x:c r="Q1548" s="22"/>
      <x:c r="R1548" s="28"/>
      <x:c r="S1548" s="22"/>
      <x:c r="T1548" s="35" t="n">
        <x:f>K1548</x:f>
        <x:v>5</x:v>
      </x:c>
      <x:c r="U1548" s="20" t="str">
        <x:f>IF(J1548="Рассчитано",N1548*(1-O1548/100),"н/д")</x:f>
        <x:v>н/д</x:v>
      </x:c>
      <x:c r="V1548" s="20" t="str">
        <x:f>IF(J1548="Рассчитано",T1548*U1548,"н/д")</x:f>
        <x:v>н/д</x:v>
      </x:c>
      <x:c r="W1548" s="20" t="str">
        <x:f>IF(J1548="Рассчитано",T1548*M1548,"н/д")</x:f>
        <x:v>н/д</x:v>
      </x:c>
      <x:c r="X1548" s="20" t="str">
        <x:f>IF(J1548="Рассчитано",V1548-W1548,"н/д")</x:f>
        <x:v>н/д</x:v>
      </x:c>
      <x:c r="Y1548" s="26" t="str">
        <x:f>IF(J1548="Рассчитано",IF(V1548&gt;0,G1548/V1548,"н/д"),"н/д")</x:f>
        <x:v>н/д</x:v>
      </x:c>
      <x:c r="Z1548" s="20" t="str">
        <x:f>"н/д"</x:f>
        <x:v>н/д</x:v>
      </x:c>
      <x:c r="AA1548" s="20" t="str">
        <x:f>"н/д"</x:f>
        <x:v>н/д</x:v>
      </x:c>
      <x:c r="AB1548" s="20" t="str">
        <x:f>"н/д"</x:f>
        <x:v>н/д</x:v>
      </x:c>
      <x:c r="AC1548" s="20" t="str">
        <x:f>IF(AND(J1548="Рассчитано",T1548&gt;0,R1548&lt;100),(W1548+P1548+Q1548)/(T1548*(1-R1548/100)),"н/д")</x:f>
        <x:v>н/д</x:v>
      </x:c>
      <x:c r="AD1548" s="11" t="str">
        <x:f>IF(ISNUMBER(G1548),IF(G1548&lt;0,"Убыток",IF(G1548=0,"Без прибыли","Прибыль &gt; 0")),"Не оценён")</x:f>
        <x:v>Не оценён</x:v>
      </x:c>
      <x:c r="AE1548" s="12" t="str">
        <x:f>IF(J1548="Рассчитано","Выручка "&amp;TEXT(V1548,"0.00")&amp;" - себестоимость "&amp;TEXT(W1548,"0.00")&amp;" - комиссия "&amp;TEXT(V1548*R1548/100,"0.00")&amp;" - доставка "&amp;TEXT(P1548,"0.00")&amp;" - прочие "&amp;TEXT(Q1548,"0.00")&amp;" = "&amp;TEXT(G1548,"0.00")&amp;" "&amp;L1548,"Введите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8" s="23" t="n">
        <x:v>4.99403377962556</x:v>
      </x:c>
      <x:c r="AG1548" s="35" t="n">
        <x:v>10</x:v>
      </x:c>
      <x:c r="AH1548" s="35" t="n">
        <x:v>0</x:v>
      </x:c>
      <x:c r="AI1548" s="29" t="n">
        <x:v>46287</x:v>
      </x:c>
      <x:c r="AJ1548" s="35" t="n">
        <x:v>5</x:v>
      </x:c>
      <x:c r="AK1548" s="11" t="str">
        <x:v>кратность</x:v>
      </x:c>
      <x:c r="AL1548" s="31" t="n">
        <x:v>170.73183329680916</x:v>
      </x:c>
      <x:c r="AM1548" s="12" t="str">
        <x:v>Нет ежедневных данных доступности. Запас выше прогноза на 90 дней</x:v>
      </x:c>
      <x:c r="AN1548" s="12" t="str">
        <x:v>Проверить свободный остаток и установить цену для B2B</x:v>
      </x:c>
      <x:c r="AO1548" s="12" t="str">
        <x:v>Остаток 10; прогноз 90 дней 4.99; избыток 5 шт. Будущие поступления не выставляются на продажу.</x:v>
      </x:c>
      <x:c r="AP1548" s="12" t="str">
        <x:v>["daily_stockout_data_missing", "new_order_lead_time_unknown"]</x:v>
      </x:c>
      <x:c r="AQ1548" s="11" t="str">
        <x:v>SE:300200953_</x:v>
      </x:c>
      <x:c r="AR1548" s="23" t="n">
        <x:v>1</x:v>
      </x:c>
      <x:c r="AS1548" s="23" t="n">
        <x:v>0</x:v>
      </x:c>
      <x:c r="AT1548" s="23" t="n">
        <x:v>0</x:v>
      </x:c>
    </x:row>
    <x:row r="1549" ht="64" customHeight="1">
      <x:c r="A1549" s="10" t="str">
        <x:v>Systeme Electric</x:v>
      </x:c>
      <x:c r="B1549" s="34" t="str">
        <x:v>300200954_</x:v>
      </x:c>
      <x:c r="C1549" s="34" t="str">
        <x:v>GAL001489</x:v>
      </x:c>
      <x:c r="D1549" s="13" t="str">
        <x:v>G171 Роз. 2-ная TV комп. RJ45 5Е "ARTGALLERY" базальт GAL1489 (5)</x:v>
      </x:c>
      <x:c r="E1549" s="10" t="str">
        <x:v>шт</x:v>
      </x:c>
      <x:c r="F1549" s="37" t="n">
        <x:f>MAX(0,ROUNDDOWN((AG1549-AF1549)/AR1549+0.000000001,0)*AR1549)</x:f>
        <x:v>19</x:v>
      </x:c>
      <x:c r="G1549" s="21" t="str">
        <x:f>IF(J1549="Рассчитано",V1549*(1-R1549/100)-W1549-P1549-Q1549,"н/д")</x:f>
        <x:v>н/д</x:v>
      </x:c>
      <x:c r="H1549" s="13" t="str">
        <x:v>Средний</x:v>
      </x:c>
      <x:c r="I1549" s="13" t="str">
        <x:v>Высокий</x:v>
      </x:c>
      <x:c r="J1549" s="13" t="str">
        <x:f>IF(L1549="","Укажите валюту",IF(NOT(ISNUMBER(K1549)),"Укажите объём",IF(K1549&lt;=0,"Укажите объём",IF(K1549&gt;F1549,"Объём выше излишка",IF(COUNT(M1549:O1549)&lt;3,"Нужны цены",IF(COUNT(P1549:R1549)&lt;3,"Нужны расходы",IF(OR(M1549&lt;0,N1549&lt;0,O1549&lt;0,O1549&gt;100,P1549&lt;0,Q1549&lt;0,R1549&lt;0,R1549&gt;100),"Проверьте значения","Рассчитано")))))))</x:f>
        <x:v>Нужны цены</x:v>
      </x:c>
      <x:c r="K1549" s="36" t="n">
        <x:v>19</x:v>
      </x:c>
      <x:c r="L1549" s="19" t="str">
        <x:v>KZT</x:v>
      </x:c>
      <x:c r="M1549" s="22"/>
      <x:c r="N1549" s="22"/>
      <x:c r="O1549" s="28"/>
      <x:c r="P1549" s="22"/>
      <x:c r="Q1549" s="22"/>
      <x:c r="R1549" s="28"/>
      <x:c r="S1549" s="22"/>
      <x:c r="T1549" s="37" t="n">
        <x:f>K1549</x:f>
        <x:v>19</x:v>
      </x:c>
      <x:c r="U1549" s="21" t="str">
        <x:f>IF(J1549="Рассчитано",N1549*(1-O1549/100),"н/д")</x:f>
        <x:v>н/д</x:v>
      </x:c>
      <x:c r="V1549" s="21" t="str">
        <x:f>IF(J1549="Рассчитано",T1549*U1549,"н/д")</x:f>
        <x:v>н/д</x:v>
      </x:c>
      <x:c r="W1549" s="21" t="str">
        <x:f>IF(J1549="Рассчитано",T1549*M1549,"н/д")</x:f>
        <x:v>н/д</x:v>
      </x:c>
      <x:c r="X1549" s="21" t="str">
        <x:f>IF(J1549="Рассчитано",V1549-W1549,"н/д")</x:f>
        <x:v>н/д</x:v>
      </x:c>
      <x:c r="Y1549" s="27" t="str">
        <x:f>IF(J1549="Рассчитано",IF(V1549&gt;0,G1549/V1549,"н/д"),"н/д")</x:f>
        <x:v>н/д</x:v>
      </x:c>
      <x:c r="Z1549" s="21" t="str">
        <x:f>"н/д"</x:f>
        <x:v>н/д</x:v>
      </x:c>
      <x:c r="AA1549" s="21" t="str">
        <x:f>"н/д"</x:f>
        <x:v>н/д</x:v>
      </x:c>
      <x:c r="AB1549" s="21" t="str">
        <x:f>"н/д"</x:f>
        <x:v>н/д</x:v>
      </x:c>
      <x:c r="AC1549" s="21" t="str">
        <x:f>IF(AND(J1549="Рассчитано",T1549&gt;0,R1549&lt;100),(W1549+P1549+Q1549)/(T1549*(1-R1549/100)),"н/д")</x:f>
        <x:v>н/д</x:v>
      </x:c>
      <x:c r="AD1549" s="10" t="str">
        <x:f>IF(ISNUMBER(G1549),IF(G1549&lt;0,"Убыток",IF(G1549=0,"Без прибыли","Прибыль &gt; 0")),"Не оценён")</x:f>
        <x:v>Не оценён</x:v>
      </x:c>
      <x:c r="AE1549" s="13" t="str">
        <x:f>IF(J1549="Рассчитано","Выручка "&amp;TEXT(V1549,"0.00")&amp;" - себестоимость "&amp;TEXT(W1549,"0.00")&amp;" - комиссия "&amp;TEXT(V1549*R1549/100,"0.00")&amp;" - доставка "&amp;TEXT(P1549,"0.00")&amp;" - прочие "&amp;TEXT(Q1549,"0.00")&amp;" = "&amp;TEXT(G1549,"0.00")&amp;" "&amp;L1549,"Введите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9" s="24" t="n">
        <x:v>0.7077038196779517</x:v>
      </x:c>
      <x:c r="AG1549" s="37" t="n">
        <x:v>20</x:v>
      </x:c>
      <x:c r="AH1549" s="37" t="n">
        <x:v>0</x:v>
      </x:c>
      <x:c r="AI1549" s="30" t="n">
        <x:v>46287</x:v>
      </x:c>
      <x:c r="AJ1549" s="37" t="n">
        <x:v>5</x:v>
      </x:c>
      <x:c r="AK1549" s="10" t="str">
        <x:v>кратность</x:v>
      </x:c>
      <x:c r="AL1549" s="32" t="n">
        <x:v>2409.597119681132</x:v>
      </x:c>
      <x:c r="AM1549" s="13" t="str">
        <x:v>Нет ежедневных данных доступности. Запас более 180 дней при среднем спросе</x:v>
      </x:c>
      <x:c r="AN1549" s="13" t="str">
        <x:v>Проверить свободный остаток и установить цену для B2B</x:v>
      </x:c>
      <x:c r="AO1549" s="13" t="str">
        <x:v>Остаток 20; прогноз 90 дней 0.71; избыток 19 шт. Будущие поступления не выставляются на продажу.</x:v>
      </x:c>
      <x:c r="AP1549" s="13" t="str">
        <x:v>["daily_stockout_data_missing", "new_order_lead_time_unknown"]</x:v>
      </x:c>
      <x:c r="AQ1549" s="10" t="str">
        <x:v>SE:300200954_</x:v>
      </x:c>
      <x:c r="AR1549" s="24" t="n">
        <x:v>1</x:v>
      </x:c>
      <x:c r="AS1549" s="24" t="n">
        <x:v>0</x:v>
      </x:c>
      <x:c r="AT1549" s="24" t="n">
        <x:v>0</x:v>
      </x:c>
    </x:row>
    <x:row r="1550" ht="64" customHeight="1">
      <x:c r="A1550" s="11" t="str">
        <x:v>Systeme Electric</x:v>
      </x:c>
      <x:c r="B1550" s="33" t="str">
        <x:v>300200955_</x:v>
      </x:c>
      <x:c r="C1550" s="33" t="str">
        <x:v>GAL001429</x:v>
      </x:c>
      <x:c r="D1550" s="12" t="str">
        <x:v>G172 Роз. USB A+C 45Вт высокоскор.заряд., механизм "ARTGALLERY" базальт GAL1429 (1)</x:v>
      </x:c>
      <x:c r="E1550" s="11" t="str">
        <x:v>шт</x:v>
      </x:c>
      <x:c r="F1550" s="35" t="n">
        <x:f>MAX(0,ROUNDDOWN((AG1550-AF1550)/AR1550+0.000000001,0)*AR1550)</x:f>
        <x:v>13</x:v>
      </x:c>
      <x:c r="G1550" s="20" t="str">
        <x:f>IF(J1550="Рассчитано",V1550*(1-R1550/100)-W1550-P1550-Q1550,"н/д")</x:f>
        <x:v>н/д</x:v>
      </x:c>
      <x:c r="H1550" s="12" t="str">
        <x:v>Средний</x:v>
      </x:c>
      <x:c r="I1550" s="12" t="str">
        <x:v>Высокий</x:v>
      </x:c>
      <x:c r="J1550" s="12" t="str">
        <x:f>IF(L1550="","Укажите валюту",IF(NOT(ISNUMBER(K1550)),"Укажите объём",IF(K1550&lt;=0,"Укажите объём",IF(K1550&gt;F1550,"Объём выше излишка",IF(COUNT(M1550:O1550)&lt;3,"Нужны цены",IF(COUNT(P1550:R1550)&lt;3,"Нужны расходы",IF(OR(M1550&lt;0,N1550&lt;0,O1550&lt;0,O1550&gt;100,P1550&lt;0,Q1550&lt;0,R1550&lt;0,R1550&gt;100),"Проверьте значения","Рассчитано")))))))</x:f>
        <x:v>Нужны цены</x:v>
      </x:c>
      <x:c r="K1550" s="36" t="n">
        <x:v>13</x:v>
      </x:c>
      <x:c r="L1550" s="19" t="str">
        <x:v>KZT</x:v>
      </x:c>
      <x:c r="M1550" s="22"/>
      <x:c r="N1550" s="22"/>
      <x:c r="O1550" s="28"/>
      <x:c r="P1550" s="22"/>
      <x:c r="Q1550" s="22"/>
      <x:c r="R1550" s="28"/>
      <x:c r="S1550" s="22"/>
      <x:c r="T1550" s="35" t="n">
        <x:f>K1550</x:f>
        <x:v>13</x:v>
      </x:c>
      <x:c r="U1550" s="20" t="str">
        <x:f>IF(J1550="Рассчитано",N1550*(1-O1550/100),"н/д")</x:f>
        <x:v>н/д</x:v>
      </x:c>
      <x:c r="V1550" s="20" t="str">
        <x:f>IF(J1550="Рассчитано",T1550*U1550,"н/д")</x:f>
        <x:v>н/д</x:v>
      </x:c>
      <x:c r="W1550" s="20" t="str">
        <x:f>IF(J1550="Рассчитано",T1550*M1550,"н/д")</x:f>
        <x:v>н/д</x:v>
      </x:c>
      <x:c r="X1550" s="20" t="str">
        <x:f>IF(J1550="Рассчитано",V1550-W1550,"н/д")</x:f>
        <x:v>н/д</x:v>
      </x:c>
      <x:c r="Y1550" s="26" t="str">
        <x:f>IF(J1550="Рассчитано",IF(V1550&gt;0,G1550/V1550,"н/д"),"н/д")</x:f>
        <x:v>н/д</x:v>
      </x:c>
      <x:c r="Z1550" s="20" t="str">
        <x:f>"н/д"</x:f>
        <x:v>н/д</x:v>
      </x:c>
      <x:c r="AA1550" s="20" t="str">
        <x:f>"н/д"</x:f>
        <x:v>н/д</x:v>
      </x:c>
      <x:c r="AB1550" s="20" t="str">
        <x:f>"н/д"</x:f>
        <x:v>н/д</x:v>
      </x:c>
      <x:c r="AC1550" s="20" t="str">
        <x:f>IF(AND(J1550="Рассчитано",T1550&gt;0,R1550&lt;100),(W1550+P1550+Q1550)/(T1550*(1-R1550/100)),"н/д")</x:f>
        <x:v>н/д</x:v>
      </x:c>
      <x:c r="AD1550" s="11" t="str">
        <x:f>IF(ISNUMBER(G1550),IF(G1550&lt;0,"Убыток",IF(G1550=0,"Без прибыли","Прибыль &gt; 0")),"Не оценён")</x:f>
        <x:v>Не оценён</x:v>
      </x:c>
      <x:c r="AE1550" s="12" t="str">
        <x:f>IF(J1550="Рассчитано","Выручка "&amp;TEXT(V1550,"0.00")&amp;" - себестоимость "&amp;TEXT(W1550,"0.00")&amp;" - комиссия "&amp;TEXT(V1550*R1550/100,"0.00")&amp;" - доставка "&amp;TEXT(P1550,"0.00")&amp;" - прочие "&amp;TEXT(Q1550,"0.00")&amp;" = "&amp;TEXT(G1550,"0.00")&amp;" "&amp;L1550,"Введите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0" s="23" t="n">
        <x:v>1.2040808720086271</x:v>
      </x:c>
      <x:c r="AG1550" s="35" t="n">
        <x:v>15</x:v>
      </x:c>
      <x:c r="AH1550" s="35" t="n">
        <x:v>0</x:v>
      </x:c>
      <x:c r="AI1550" s="29" t="n">
        <x:v>46287</x:v>
      </x:c>
      <x:c r="AJ1550" s="35" t="n">
        <x:v>1</x:v>
      </x:c>
      <x:c r="AK1550" s="11" t="str">
        <x:v>кратность</x:v>
      </x:c>
      <x:c r="AL1550" s="31" t="n">
        <x:v>1062.1884657788441</x:v>
      </x:c>
      <x:c r="AM1550" s="12" t="str">
        <x:v>Нет ежедневных данных доступности. Запас более 180 дней при среднем спросе</x:v>
      </x:c>
      <x:c r="AN1550" s="12" t="str">
        <x:v>Проверить свободный остаток и установить цену для B2B</x:v>
      </x:c>
      <x:c r="AO1550" s="12" t="str">
        <x:v>Остаток 15; прогноз 90 дней 1.20; избыток 13 шт. Будущие поступления не выставляются на продажу.</x:v>
      </x:c>
      <x:c r="AP1550" s="12" t="str">
        <x:v>["daily_stockout_data_missing", "new_order_lead_time_unknown"]</x:v>
      </x:c>
      <x:c r="AQ1550" s="11" t="str">
        <x:v>SE:300200955_</x:v>
      </x:c>
      <x:c r="AR1550" s="23" t="n">
        <x:v>1</x:v>
      </x:c>
      <x:c r="AS1550" s="23" t="n">
        <x:v>0</x:v>
      </x:c>
      <x:c r="AT1550" s="23" t="n">
        <x:v>0</x:v>
      </x:c>
    </x:row>
    <x:row r="1551" ht="64" customHeight="1">
      <x:c r="A1551" s="10" t="str">
        <x:v>Systeme Electric</x:v>
      </x:c>
      <x:c r="B1551" s="34" t="str">
        <x:v>300200968_</x:v>
      </x:c>
      <x:c r="C1551" s="34" t="str">
        <x:v>BLNRA010116</x:v>
      </x:c>
      <x:c r="D1551" s="13" t="str">
        <x:v>B009 Роз. о/у с з/к без ш/т 16А 250В "BLANCA" антрацит BLNRA010116 (12)</x:v>
      </x:c>
      <x:c r="E1551" s="10" t="str">
        <x:v>шт</x:v>
      </x:c>
      <x:c r="F1551" s="37" t="n">
        <x:f>MAX(0,ROUNDDOWN((AG1551-AF1551)/AR1551+0.000000001,0)*AR1551)</x:f>
        <x:v>3</x:v>
      </x:c>
      <x:c r="G1551" s="21" t="str">
        <x:f>IF(J1551="Рассчитано",V1551*(1-R1551/100)-W1551-P1551-Q1551,"н/д")</x:f>
        <x:v>н/д</x:v>
      </x:c>
      <x:c r="H1551" s="13" t="str">
        <x:v>Средний</x:v>
      </x:c>
      <x:c r="I1551" s="13" t="str">
        <x:v>Средний</x:v>
      </x:c>
      <x:c r="J1551" s="13" t="str">
        <x:f>IF(L1551="","Укажите валюту",IF(NOT(ISNUMBER(K1551)),"Укажите объём",IF(K1551&lt;=0,"Укажите объём",IF(K1551&gt;F1551,"Объём выше излишка",IF(COUNT(M1551:O1551)&lt;3,"Нужны цены",IF(COUNT(P1551:R1551)&lt;3,"Нужны расходы",IF(OR(M1551&lt;0,N1551&lt;0,O1551&lt;0,O1551&gt;100,P1551&lt;0,Q1551&lt;0,R1551&lt;0,R1551&gt;100),"Проверьте значения","Рассчитано")))))))</x:f>
        <x:v>Нужны цены</x:v>
      </x:c>
      <x:c r="K1551" s="36" t="n">
        <x:v>3</x:v>
      </x:c>
      <x:c r="L1551" s="19" t="str">
        <x:v>KZT</x:v>
      </x:c>
      <x:c r="M1551" s="22"/>
      <x:c r="N1551" s="22"/>
      <x:c r="O1551" s="28"/>
      <x:c r="P1551" s="22"/>
      <x:c r="Q1551" s="22"/>
      <x:c r="R1551" s="28"/>
      <x:c r="S1551" s="22"/>
      <x:c r="T1551" s="37" t="n">
        <x:f>K1551</x:f>
        <x:v>3</x:v>
      </x:c>
      <x:c r="U1551" s="21" t="str">
        <x:f>IF(J1551="Рассчитано",N1551*(1-O1551/100),"н/д")</x:f>
        <x:v>н/д</x:v>
      </x:c>
      <x:c r="V1551" s="21" t="str">
        <x:f>IF(J1551="Рассчитано",T1551*U1551,"н/д")</x:f>
        <x:v>н/д</x:v>
      </x:c>
      <x:c r="W1551" s="21" t="str">
        <x:f>IF(J1551="Рассчитано",T1551*M1551,"н/д")</x:f>
        <x:v>н/д</x:v>
      </x:c>
      <x:c r="X1551" s="21" t="str">
        <x:f>IF(J1551="Рассчитано",V1551-W1551,"н/д")</x:f>
        <x:v>н/д</x:v>
      </x:c>
      <x:c r="Y1551" s="27" t="str">
        <x:f>IF(J1551="Рассчитано",IF(V1551&gt;0,G1551/V1551,"н/д"),"н/д")</x:f>
        <x:v>н/д</x:v>
      </x:c>
      <x:c r="Z1551" s="21" t="str">
        <x:f>"н/д"</x:f>
        <x:v>н/д</x:v>
      </x:c>
      <x:c r="AA1551" s="21" t="str">
        <x:f>"н/д"</x:f>
        <x:v>н/д</x:v>
      </x:c>
      <x:c r="AB1551" s="21" t="str">
        <x:f>"н/д"</x:f>
        <x:v>н/д</x:v>
      </x:c>
      <x:c r="AC1551" s="21" t="str">
        <x:f>IF(AND(J1551="Рассчитано",T1551&gt;0,R1551&lt;100),(W1551+P1551+Q1551)/(T1551*(1-R1551/100)),"н/д")</x:f>
        <x:v>н/д</x:v>
      </x:c>
      <x:c r="AD1551" s="10" t="str">
        <x:f>IF(ISNUMBER(G1551),IF(G1551&lt;0,"Убыток",IF(G1551=0,"Без прибыли","Прибыль &gt; 0")),"Не оценён")</x:f>
        <x:v>Не оценён</x:v>
      </x:c>
      <x:c r="AE1551" s="13" t="str">
        <x:f>IF(J1551="Рассчитано","Выручка "&amp;TEXT(V1551,"0.00")&amp;" - себестоимость "&amp;TEXT(W1551,"0.00")&amp;" - комиссия "&amp;TEXT(V1551*R1551/100,"0.00")&amp;" - доставка "&amp;TEXT(P1551,"0.00")&amp;" - прочие "&amp;TEXT(Q1551,"0.00")&amp;" = "&amp;TEXT(G1551,"0.00")&amp;" "&amp;L1551,"Введите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1" s="24" t="n">
        <x:v>182.98090841952708</x:v>
      </x:c>
      <x:c r="AG1551" s="37" t="n">
        <x:v>186</x:v>
      </x:c>
      <x:c r="AH1551" s="37" t="n">
        <x:v>0</x:v>
      </x:c>
      <x:c r="AI1551" s="30" t="n">
        <x:v>46287</x:v>
      </x:c>
      <x:c r="AJ1551" s="37" t="n">
        <x:v>12</x:v>
      </x:c>
      <x:c r="AK1551" s="10" t="str">
        <x:v>кратность</x:v>
      </x:c>
      <x:c r="AL1551" s="32" t="n">
        <x:v>86.67086764393018</x:v>
      </x:c>
      <x:c r="AM1551" s="13" t="str">
        <x:v>Детальные и месячные продажи расходятся; Нет ежедневных данных доступности. Запас выше прогноза на 90 дней</x:v>
      </x:c>
      <x:c r="AN1551" s="13" t="str">
        <x:v>Проверить свободный остаток и установить цену для B2B</x:v>
      </x:c>
      <x:c r="AO1551" s="13" t="str">
        <x:v>Остаток 186; прогноз 90 дней 182.98; избыток 3 шт. Будущие поступления не выставляются на продажу.</x:v>
      </x:c>
      <x:c r="AP1551" s="13" t="str">
        <x:v>["daily_stockout_data_missing", "large_orders_detected", "new_order_lead_time_unknown", "transaction_month_mismatch"]</x:v>
      </x:c>
      <x:c r="AQ1551" s="10" t="str">
        <x:v>SE:300200968_</x:v>
      </x:c>
      <x:c r="AR1551" s="24" t="n">
        <x:v>1</x:v>
      </x:c>
      <x:c r="AS1551" s="24" t="n">
        <x:v>0</x:v>
      </x:c>
      <x:c r="AT1551" s="24" t="n">
        <x:v>0</x:v>
      </x:c>
    </x:row>
    <x:row r="1552" ht="64" customHeight="1">
      <x:c r="A1552" s="11" t="str">
        <x:v>Systeme Electric</x:v>
      </x:c>
      <x:c r="B1552" s="33" t="str">
        <x:v>300201148_</x:v>
      </x:c>
      <x:c r="C1552" s="33" t="str">
        <x:v>BLNVA101006</x:v>
      </x:c>
      <x:c r="D1552" s="12" t="str">
        <x:v>B001 Выкл 1кл о/у  10А 250B"BLANCA" антрацит BLNVA101006 (15)</x:v>
      </x:c>
      <x:c r="E1552" s="11" t="str">
        <x:v>шт</x:v>
      </x:c>
      <x:c r="F1552" s="35" t="n">
        <x:f>MAX(0,ROUNDDOWN((AG1552-AF1552)/AR1552+0.000000001,0)*AR1552)</x:f>
        <x:v>181</x:v>
      </x:c>
      <x:c r="G1552" s="20" t="str">
        <x:f>IF(J1552="Рассчитано",V1552*(1-R1552/100)-W1552-P1552-Q1552,"н/д")</x:f>
        <x:v>н/д</x:v>
      </x:c>
      <x:c r="H1552" s="12" t="str">
        <x:v>Средний</x:v>
      </x:c>
      <x:c r="I1552" s="12" t="str">
        <x:v>Высокий</x:v>
      </x:c>
      <x:c r="J1552" s="12" t="str">
        <x:f>IF(L1552="","Укажите валюту",IF(NOT(ISNUMBER(K1552)),"Укажите объём",IF(K1552&lt;=0,"Укажите объём",IF(K1552&gt;F1552,"Объём выше излишка",IF(COUNT(M1552:O1552)&lt;3,"Нужны цены",IF(COUNT(P1552:R1552)&lt;3,"Нужны расходы",IF(OR(M1552&lt;0,N1552&lt;0,O1552&lt;0,O1552&gt;100,P1552&lt;0,Q1552&lt;0,R1552&lt;0,R1552&gt;100),"Проверьте значения","Рассчитано")))))))</x:f>
        <x:v>Нужны цены</x:v>
      </x:c>
      <x:c r="K1552" s="36" t="n">
        <x:v>181</x:v>
      </x:c>
      <x:c r="L1552" s="19" t="str">
        <x:v>KZT</x:v>
      </x:c>
      <x:c r="M1552" s="22"/>
      <x:c r="N1552" s="22"/>
      <x:c r="O1552" s="28"/>
      <x:c r="P1552" s="22"/>
      <x:c r="Q1552" s="22"/>
      <x:c r="R1552" s="28"/>
      <x:c r="S1552" s="22"/>
      <x:c r="T1552" s="35" t="n">
        <x:f>K1552</x:f>
        <x:v>181</x:v>
      </x:c>
      <x:c r="U1552" s="20" t="str">
        <x:f>IF(J1552="Рассчитано",N1552*(1-O1552/100),"н/д")</x:f>
        <x:v>н/д</x:v>
      </x:c>
      <x:c r="V1552" s="20" t="str">
        <x:f>IF(J1552="Рассчитано",T1552*U1552,"н/д")</x:f>
        <x:v>н/д</x:v>
      </x:c>
      <x:c r="W1552" s="20" t="str">
        <x:f>IF(J1552="Рассчитано",T1552*M1552,"н/д")</x:f>
        <x:v>н/д</x:v>
      </x:c>
      <x:c r="X1552" s="20" t="str">
        <x:f>IF(J1552="Рассчитано",V1552-W1552,"н/д")</x:f>
        <x:v>н/д</x:v>
      </x:c>
      <x:c r="Y1552" s="26" t="str">
        <x:f>IF(J1552="Рассчитано",IF(V1552&gt;0,G1552/V1552,"н/д"),"н/д")</x:f>
        <x:v>н/д</x:v>
      </x:c>
      <x:c r="Z1552" s="20" t="str">
        <x:f>"н/д"</x:f>
        <x:v>н/д</x:v>
      </x:c>
      <x:c r="AA1552" s="20" t="str">
        <x:f>"н/д"</x:f>
        <x:v>н/д</x:v>
      </x:c>
      <x:c r="AB1552" s="20" t="str">
        <x:f>"н/д"</x:f>
        <x:v>н/д</x:v>
      </x:c>
      <x:c r="AC1552" s="20" t="str">
        <x:f>IF(AND(J1552="Рассчитано",T1552&gt;0,R1552&lt;100),(W1552+P1552+Q1552)/(T1552*(1-R1552/100)),"н/д")</x:f>
        <x:v>н/д</x:v>
      </x:c>
      <x:c r="AD1552" s="11" t="str">
        <x:f>IF(ISNUMBER(G1552),IF(G1552&lt;0,"Убыток",IF(G1552=0,"Без прибыли","Прибыль &gt; 0")),"Не оценён")</x:f>
        <x:v>Не оценён</x:v>
      </x:c>
      <x:c r="AE1552" s="12" t="str">
        <x:f>IF(J1552="Рассчитано","Выручка "&amp;TEXT(V1552,"0.00")&amp;" - себестоимость "&amp;TEXT(W1552,"0.00")&amp;" - комиссия "&amp;TEXT(V1552*R1552/100,"0.00")&amp;" - доставка "&amp;TEXT(P1552,"0.00")&amp;" - прочие "&amp;TEXT(Q1552,"0.00")&amp;" = "&amp;TEXT(G1552,"0.00")&amp;" "&amp;L1552,"Введите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2" s="23" t="n">
        <x:v>133.98144982452095</x:v>
      </x:c>
      <x:c r="AG1552" s="35" t="n">
        <x:v>315</x:v>
      </x:c>
      <x:c r="AH1552" s="35" t="n">
        <x:v>0</x:v>
      </x:c>
      <x:c r="AI1552" s="29" t="n">
        <x:v>46287</x:v>
      </x:c>
      <x:c r="AJ1552" s="35" t="n">
        <x:v>15</x:v>
      </x:c>
      <x:c r="AK1552" s="11" t="str">
        <x:v>кратность</x:v>
      </x:c>
      <x:c r="AL1552" s="31" t="n">
        <x:v>200.46190820848167</x:v>
      </x:c>
      <x:c r="AM1552" s="12" t="str">
        <x:v>Детальные и месячные продажи расходятся; Нет ежедневных данных доступности. Запас более 180 дней при среднем спросе</x:v>
      </x:c>
      <x:c r="AN1552" s="12" t="str">
        <x:v>Проверить свободный остаток и установить цену для B2B</x:v>
      </x:c>
      <x:c r="AO1552" s="12" t="str">
        <x:v>Остаток 315; прогноз 90 дней 133.98; избыток 181 шт. Будущие поступления не выставляются на продажу.</x:v>
      </x:c>
      <x:c r="AP1552" s="12" t="str">
        <x:v>["daily_stockout_data_missing", "large_orders_detected", "new_order_lead_time_unknown", "transaction_month_mismatch"]</x:v>
      </x:c>
      <x:c r="AQ1552" s="11" t="str">
        <x:v>SE:300201148_</x:v>
      </x:c>
      <x:c r="AR1552" s="23" t="n">
        <x:v>1</x:v>
      </x:c>
      <x:c r="AS1552" s="23" t="n">
        <x:v>0</x:v>
      </x:c>
      <x:c r="AT1552" s="23" t="n">
        <x:v>0</x:v>
      </x:c>
    </x:row>
    <x:row r="1553" ht="64" customHeight="1">
      <x:c r="A1553" s="10" t="str">
        <x:v>Systeme Electric</x:v>
      </x:c>
      <x:c r="B1553" s="34" t="str">
        <x:v>300201151_</x:v>
      </x:c>
      <x:c r="C1553" s="34" t="str">
        <x:v>BLNRA000216</x:v>
      </x:c>
      <x:c r="D1553" s="13" t="str">
        <x:v>B004 Роз. 2-ная о/у без з/к без ш/т 16А 250В "BLANCA" антрацит BLNRA000216 (10)</x:v>
      </x:c>
      <x:c r="E1553" s="10" t="str">
        <x:v>шт</x:v>
      </x:c>
      <x:c r="F1553" s="37" t="n">
        <x:f>MAX(0,ROUNDDOWN((AG1553-AF1553)/AR1553+0.000000001,0)*AR1553)</x:f>
        <x:v>15</x:v>
      </x:c>
      <x:c r="G1553" s="21" t="str">
        <x:f>IF(J1553="Рассчитано",V1553*(1-R1553/100)-W1553-P1553-Q1553,"н/д")</x:f>
        <x:v>н/д</x:v>
      </x:c>
      <x:c r="H1553" s="13" t="str">
        <x:v>Средний</x:v>
      </x:c>
      <x:c r="I1553" s="13" t="str">
        <x:v>Средний</x:v>
      </x:c>
      <x:c r="J1553" s="13" t="str">
        <x:f>IF(L1553="","Укажите валюту",IF(NOT(ISNUMBER(K1553)),"Укажите объём",IF(K1553&lt;=0,"Укажите объём",IF(K1553&gt;F1553,"Объём выше излишка",IF(COUNT(M1553:O1553)&lt;3,"Нужны цены",IF(COUNT(P1553:R1553)&lt;3,"Нужны расходы",IF(OR(M1553&lt;0,N1553&lt;0,O1553&lt;0,O1553&gt;100,P1553&lt;0,Q1553&lt;0,R1553&lt;0,R1553&gt;100),"Проверьте значения","Рассчитано")))))))</x:f>
        <x:v>Нужны цены</x:v>
      </x:c>
      <x:c r="K1553" s="36" t="n">
        <x:v>15</x:v>
      </x:c>
      <x:c r="L1553" s="19" t="str">
        <x:v>KZT</x:v>
      </x:c>
      <x:c r="M1553" s="22"/>
      <x:c r="N1553" s="22"/>
      <x:c r="O1553" s="28"/>
      <x:c r="P1553" s="22"/>
      <x:c r="Q1553" s="22"/>
      <x:c r="R1553" s="28"/>
      <x:c r="S1553" s="22"/>
      <x:c r="T1553" s="37" t="n">
        <x:f>K1553</x:f>
        <x:v>15</x:v>
      </x:c>
      <x:c r="U1553" s="21" t="str">
        <x:f>IF(J1553="Рассчитано",N1553*(1-O1553/100),"н/д")</x:f>
        <x:v>н/д</x:v>
      </x:c>
      <x:c r="V1553" s="21" t="str">
        <x:f>IF(J1553="Рассчитано",T1553*U1553,"н/д")</x:f>
        <x:v>н/д</x:v>
      </x:c>
      <x:c r="W1553" s="21" t="str">
        <x:f>IF(J1553="Рассчитано",T1553*M1553,"н/д")</x:f>
        <x:v>н/д</x:v>
      </x:c>
      <x:c r="X1553" s="21" t="str">
        <x:f>IF(J1553="Рассчитано",V1553-W1553,"н/д")</x:f>
        <x:v>н/д</x:v>
      </x:c>
      <x:c r="Y1553" s="27" t="str">
        <x:f>IF(J1553="Рассчитано",IF(V1553&gt;0,G1553/V1553,"н/д"),"н/д")</x:f>
        <x:v>н/д</x:v>
      </x:c>
      <x:c r="Z1553" s="21" t="str">
        <x:f>"н/д"</x:f>
        <x:v>н/д</x:v>
      </x:c>
      <x:c r="AA1553" s="21" t="str">
        <x:f>"н/д"</x:f>
        <x:v>н/д</x:v>
      </x:c>
      <x:c r="AB1553" s="21" t="str">
        <x:f>"н/д"</x:f>
        <x:v>н/д</x:v>
      </x:c>
      <x:c r="AC1553" s="21" t="str">
        <x:f>IF(AND(J1553="Рассчитано",T1553&gt;0,R1553&lt;100),(W1553+P1553+Q1553)/(T1553*(1-R1553/100)),"н/д")</x:f>
        <x:v>н/д</x:v>
      </x:c>
      <x:c r="AD1553" s="10" t="str">
        <x:f>IF(ISNUMBER(G1553),IF(G1553&lt;0,"Убыток",IF(G1553=0,"Без прибыли","Прибыль &gt; 0")),"Не оценён")</x:f>
        <x:v>Не оценён</x:v>
      </x:c>
      <x:c r="AE1553" s="13" t="str">
        <x:f>IF(J1553="Рассчитано","Выручка "&amp;TEXT(V1553,"0.00")&amp;" - себестоимость "&amp;TEXT(W1553,"0.00")&amp;" - комиссия "&amp;TEXT(V1553*R1553/100,"0.00")&amp;" - доставка "&amp;TEXT(P1553,"0.00")&amp;" - прочие "&amp;TEXT(Q1553,"0.00")&amp;" = "&amp;TEXT(G1553,"0.00")&amp;" "&amp;L1553,"Введите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3" s="24" t="n">
        <x:v>56.13901069299176</x:v>
      </x:c>
      <x:c r="AG1553" s="37" t="n">
        <x:v>72</x:v>
      </x:c>
      <x:c r="AH1553" s="37" t="n">
        <x:v>0</x:v>
      </x:c>
      <x:c r="AI1553" s="30" t="n">
        <x:v>46287</x:v>
      </x:c>
      <x:c r="AJ1553" s="37" t="n">
        <x:v>10</x:v>
      </x:c>
      <x:c r="AK1553" s="10" t="str">
        <x:v>кратность</x:v>
      </x:c>
      <x:c r="AL1553" s="32" t="n">
        <x:v>109.35376010297882</x:v>
      </x:c>
      <x:c r="AM1553" s="13" t="str">
        <x:v>Детальные и месячные продажи расходятся; Нет ежедневных данных доступности. Запас выше прогноза на 90 дней</x:v>
      </x:c>
      <x:c r="AN1553" s="13" t="str">
        <x:v>Проверить свободный остаток и установить цену для B2B</x:v>
      </x:c>
      <x:c r="AO1553" s="13" t="str">
        <x:v>Остаток 72; прогноз 90 дней 56.14; избыток 15 шт. Будущие поступления не выставляются на продажу.</x:v>
      </x:c>
      <x:c r="AP1553" s="13" t="str">
        <x:v>["daily_stockout_data_missing", "large_orders_detected", "new_order_lead_time_unknown", "transaction_month_mismatch"]</x:v>
      </x:c>
      <x:c r="AQ1553" s="10" t="str">
        <x:v>SE:300201151_</x:v>
      </x:c>
      <x:c r="AR1553" s="24" t="n">
        <x:v>1</x:v>
      </x:c>
      <x:c r="AS1553" s="24" t="n">
        <x:v>0</x:v>
      </x:c>
      <x:c r="AT1553" s="24" t="n">
        <x:v>0</x:v>
      </x:c>
    </x:row>
    <x:row r="1554" ht="64" customHeight="1">
      <x:c r="A1554" s="11" t="str">
        <x:v>Systeme Electric</x:v>
      </x:c>
      <x:c r="B1554" s="33" t="str">
        <x:v>300201153_</x:v>
      </x:c>
      <x:c r="C1554" s="33" t="str">
        <x:v>BLNRA010316</x:v>
      </x:c>
      <x:c r="D1554" s="12" t="str">
        <x:v>B006 Роз. 3-ная о/у с  з/к без ш/т 16А 250В "BLANCA" антрацит BLNRA010316 (5)</x:v>
      </x:c>
      <x:c r="E1554" s="11" t="str">
        <x:v>шт</x:v>
      </x:c>
      <x:c r="F1554" s="35" t="n">
        <x:f>MAX(0,ROUNDDOWN((AG1554-AF1554)/AR1554+0.000000001,0)*AR1554)</x:f>
        <x:v>69</x:v>
      </x:c>
      <x:c r="G1554" s="20" t="str">
        <x:f>IF(J1554="Рассчитано",V1554*(1-R1554/100)-W1554-P1554-Q1554,"н/д")</x:f>
        <x:v>н/д</x:v>
      </x:c>
      <x:c r="H1554" s="12" t="str">
        <x:v>Средний</x:v>
      </x:c>
      <x:c r="I1554" s="12" t="str">
        <x:v>Средний</x:v>
      </x:c>
      <x:c r="J1554" s="12" t="str">
        <x:f>IF(L1554="","Укажите валюту",IF(NOT(ISNUMBER(K1554)),"Укажите объём",IF(K1554&lt;=0,"Укажите объём",IF(K1554&gt;F1554,"Объём выше излишка",IF(COUNT(M1554:O1554)&lt;3,"Нужны цены",IF(COUNT(P1554:R1554)&lt;3,"Нужны расходы",IF(OR(M1554&lt;0,N1554&lt;0,O1554&lt;0,O1554&gt;100,P1554&lt;0,Q1554&lt;0,R1554&lt;0,R1554&gt;100),"Проверьте значения","Рассчитано")))))))</x:f>
        <x:v>Нужны цены</x:v>
      </x:c>
      <x:c r="K1554" s="36" t="n">
        <x:v>69</x:v>
      </x:c>
      <x:c r="L1554" s="19" t="str">
        <x:v>KZT</x:v>
      </x:c>
      <x:c r="M1554" s="22"/>
      <x:c r="N1554" s="22"/>
      <x:c r="O1554" s="28"/>
      <x:c r="P1554" s="22"/>
      <x:c r="Q1554" s="22"/>
      <x:c r="R1554" s="28"/>
      <x:c r="S1554" s="22"/>
      <x:c r="T1554" s="35" t="n">
        <x:f>K1554</x:f>
        <x:v>69</x:v>
      </x:c>
      <x:c r="U1554" s="20" t="str">
        <x:f>IF(J1554="Рассчитано",N1554*(1-O1554/100),"н/д")</x:f>
        <x:v>н/д</x:v>
      </x:c>
      <x:c r="V1554" s="20" t="str">
        <x:f>IF(J1554="Рассчитано",T1554*U1554,"н/д")</x:f>
        <x:v>н/д</x:v>
      </x:c>
      <x:c r="W1554" s="20" t="str">
        <x:f>IF(J1554="Рассчитано",T1554*M1554,"н/д")</x:f>
        <x:v>н/д</x:v>
      </x:c>
      <x:c r="X1554" s="20" t="str">
        <x:f>IF(J1554="Рассчитано",V1554-W1554,"н/д")</x:f>
        <x:v>н/д</x:v>
      </x:c>
      <x:c r="Y1554" s="26" t="str">
        <x:f>IF(J1554="Рассчитано",IF(V1554&gt;0,G1554/V1554,"н/д"),"н/д")</x:f>
        <x:v>н/д</x:v>
      </x:c>
      <x:c r="Z1554" s="20" t="str">
        <x:f>"н/д"</x:f>
        <x:v>н/д</x:v>
      </x:c>
      <x:c r="AA1554" s="20" t="str">
        <x:f>"н/д"</x:f>
        <x:v>н/д</x:v>
      </x:c>
      <x:c r="AB1554" s="20" t="str">
        <x:f>"н/д"</x:f>
        <x:v>н/д</x:v>
      </x:c>
      <x:c r="AC1554" s="20" t="str">
        <x:f>IF(AND(J1554="Рассчитано",T1554&gt;0,R1554&lt;100),(W1554+P1554+Q1554)/(T1554*(1-R1554/100)),"н/д")</x:f>
        <x:v>н/д</x:v>
      </x:c>
      <x:c r="AD1554" s="11" t="str">
        <x:f>IF(ISNUMBER(G1554),IF(G1554&lt;0,"Убыток",IF(G1554=0,"Без прибыли","Прибыль &gt; 0")),"Не оценён")</x:f>
        <x:v>Не оценён</x:v>
      </x:c>
      <x:c r="AE1554" s="12" t="str">
        <x:f>IF(J1554="Рассчитано","Выручка "&amp;TEXT(V1554,"0.00")&amp;" - себестоимость "&amp;TEXT(W1554,"0.00")&amp;" - комиссия "&amp;TEXT(V1554*R1554/100,"0.00")&amp;" - доставка "&amp;TEXT(P1554,"0.00")&amp;" - прочие "&amp;TEXT(Q1554,"0.00")&amp;" = "&amp;TEXT(G1554,"0.00")&amp;" "&amp;L1554,"Введите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4" s="23" t="n">
        <x:v>148.97581432455962</x:v>
      </x:c>
      <x:c r="AG1554" s="35" t="n">
        <x:v>218</x:v>
      </x:c>
      <x:c r="AH1554" s="35" t="n">
        <x:v>0</x:v>
      </x:c>
      <x:c r="AI1554" s="29" t="n">
        <x:v>46287</x:v>
      </x:c>
      <x:c r="AJ1554" s="35" t="n">
        <x:v>5</x:v>
      </x:c>
      <x:c r="AK1554" s="11" t="str">
        <x:v>кратность</x:v>
      </x:c>
      <x:c r="AL1554" s="31" t="n">
        <x:v>124.7690030495373</x:v>
      </x:c>
      <x:c r="AM1554" s="12" t="str">
        <x:v>Детальные и месячные продажи расходятся; Нет ежедневных данных доступности. Запас выше прогноза на 90 дней</x:v>
      </x:c>
      <x:c r="AN1554" s="12" t="str">
        <x:v>Проверить свободный остаток и установить цену для B2B</x:v>
      </x:c>
      <x:c r="AO1554" s="12" t="str">
        <x:v>Остаток 218; прогноз 90 дней 148.98; избыток 69 шт. Будущие поступления не выставляются на продажу.</x:v>
      </x:c>
      <x:c r="AP1554" s="12" t="str">
        <x:v>["daily_stockout_data_missing", "large_orders_detected", "new_order_lead_time_unknown", "transaction_month_mismatch"]</x:v>
      </x:c>
      <x:c r="AQ1554" s="11" t="str">
        <x:v>SE:300201153_</x:v>
      </x:c>
      <x:c r="AR1554" s="23" t="n">
        <x:v>1</x:v>
      </x:c>
      <x:c r="AS1554" s="23" t="n">
        <x:v>0</x:v>
      </x:c>
      <x:c r="AT1554" s="23" t="n">
        <x:v>0</x:v>
      </x:c>
    </x:row>
    <x:row r="1555" ht="64" customHeight="1">
      <x:c r="A1555" s="10" t="str">
        <x:v>Systeme Electric</x:v>
      </x:c>
      <x:c r="B1555" s="34" t="str">
        <x:v>300201154_</x:v>
      </x:c>
      <x:c r="C1555" s="34" t="str">
        <x:v>BLNRA000416</x:v>
      </x:c>
      <x:c r="D1555" s="13" t="str">
        <x:v>B007 Роз. 4-ная о/у без  з/к без ш/т 16А 250В "BLANCA" антрацит BLNRA000416 (5)</x:v>
      </x:c>
      <x:c r="E1555" s="10" t="str">
        <x:v>шт</x:v>
      </x:c>
      <x:c r="F1555" s="37" t="n">
        <x:f>MAX(0,ROUNDDOWN((AG1555-AF1555)/AR1555+0.000000001,0)*AR1555)</x:f>
        <x:v>33</x:v>
      </x:c>
      <x:c r="G1555" s="21" t="str">
        <x:f>IF(J1555="Рассчитано",V1555*(1-R1555/100)-W1555-P1555-Q1555,"н/д")</x:f>
        <x:v>н/д</x:v>
      </x:c>
      <x:c r="H1555" s="13" t="str">
        <x:v>Средний</x:v>
      </x:c>
      <x:c r="I1555" s="13" t="str">
        <x:v>Средний</x:v>
      </x:c>
      <x:c r="J1555" s="13" t="str">
        <x:f>IF(L1555="","Укажите валюту",IF(NOT(ISNUMBER(K1555)),"Укажите объём",IF(K1555&lt;=0,"Укажите объём",IF(K1555&gt;F1555,"Объём выше излишка",IF(COUNT(M1555:O1555)&lt;3,"Нужны цены",IF(COUNT(P1555:R1555)&lt;3,"Нужны расходы",IF(OR(M1555&lt;0,N1555&lt;0,O1555&lt;0,O1555&gt;100,P1555&lt;0,Q1555&lt;0,R1555&lt;0,R1555&gt;100),"Проверьте значения","Рассчитано")))))))</x:f>
        <x:v>Нужны цены</x:v>
      </x:c>
      <x:c r="K1555" s="36" t="n">
        <x:v>33</x:v>
      </x:c>
      <x:c r="L1555" s="19" t="str">
        <x:v>KZT</x:v>
      </x:c>
      <x:c r="M1555" s="22"/>
      <x:c r="N1555" s="22"/>
      <x:c r="O1555" s="28"/>
      <x:c r="P1555" s="22"/>
      <x:c r="Q1555" s="22"/>
      <x:c r="R1555" s="28"/>
      <x:c r="S1555" s="22"/>
      <x:c r="T1555" s="37" t="n">
        <x:f>K1555</x:f>
        <x:v>33</x:v>
      </x:c>
      <x:c r="U1555" s="21" t="str">
        <x:f>IF(J1555="Рассчитано",N1555*(1-O1555/100),"н/д")</x:f>
        <x:v>н/д</x:v>
      </x:c>
      <x:c r="V1555" s="21" t="str">
        <x:f>IF(J1555="Рассчитано",T1555*U1555,"н/д")</x:f>
        <x:v>н/д</x:v>
      </x:c>
      <x:c r="W1555" s="21" t="str">
        <x:f>IF(J1555="Рассчитано",T1555*M1555,"н/д")</x:f>
        <x:v>н/д</x:v>
      </x:c>
      <x:c r="X1555" s="21" t="str">
        <x:f>IF(J1555="Рассчитано",V1555-W1555,"н/д")</x:f>
        <x:v>н/д</x:v>
      </x:c>
      <x:c r="Y1555" s="27" t="str">
        <x:f>IF(J1555="Рассчитано",IF(V1555&gt;0,G1555/V1555,"н/д"),"н/д")</x:f>
        <x:v>н/д</x:v>
      </x:c>
      <x:c r="Z1555" s="21" t="str">
        <x:f>"н/д"</x:f>
        <x:v>н/д</x:v>
      </x:c>
      <x:c r="AA1555" s="21" t="str">
        <x:f>"н/д"</x:f>
        <x:v>н/д</x:v>
      </x:c>
      <x:c r="AB1555" s="21" t="str">
        <x:f>"н/д"</x:f>
        <x:v>н/д</x:v>
      </x:c>
      <x:c r="AC1555" s="21" t="str">
        <x:f>IF(AND(J1555="Рассчитано",T1555&gt;0,R1555&lt;100),(W1555+P1555+Q1555)/(T1555*(1-R1555/100)),"н/д")</x:f>
        <x:v>н/д</x:v>
      </x:c>
      <x:c r="AD1555" s="10" t="str">
        <x:f>IF(ISNUMBER(G1555),IF(G1555&lt;0,"Убыток",IF(G1555=0,"Без прибыли","Прибыль &gt; 0")),"Не оценён")</x:f>
        <x:v>Не оценён</x:v>
      </x:c>
      <x:c r="AE1555" s="13" t="str">
        <x:f>IF(J1555="Рассчитано","Выручка "&amp;TEXT(V1555,"0.00")&amp;" - себестоимость "&amp;TEXT(W1555,"0.00")&amp;" - комиссия "&amp;TEXT(V1555*R1555/100,"0.00")&amp;" - доставка "&amp;TEXT(P1555,"0.00")&amp;" - прочие "&amp;TEXT(Q1555,"0.00")&amp;" = "&amp;TEXT(G1555,"0.00")&amp;" "&amp;L1555,"Введите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5" s="24" t="n">
        <x:v>35.12538814028806</x:v>
      </x:c>
      <x:c r="AG1555" s="37" t="n">
        <x:v>69</x:v>
      </x:c>
      <x:c r="AH1555" s="37" t="n">
        <x:v>0</x:v>
      </x:c>
      <x:c r="AI1555" s="30" t="n">
        <x:v>46287</x:v>
      </x:c>
      <x:c r="AJ1555" s="37" t="n">
        <x:v>5</x:v>
      </x:c>
      <x:c r="AK1555" s="10" t="str">
        <x:v>кратность</x:v>
      </x:c>
      <x:c r="AL1555" s="32" t="n">
        <x:v>167.4919497379035</x:v>
      </x:c>
      <x:c r="AM1555" s="13" t="str">
        <x:v>Нет ежедневных данных доступности. Запас выше прогноза на 90 дней</x:v>
      </x:c>
      <x:c r="AN1555" s="13" t="str">
        <x:v>Проверить свободный остаток и установить цену для B2B</x:v>
      </x:c>
      <x:c r="AO1555" s="13" t="str">
        <x:v>Остаток 69; прогноз 90 дней 35.13; избыток 33 шт. Будущие поступления не выставляются на продажу.</x:v>
      </x:c>
      <x:c r="AP1555" s="13" t="str">
        <x:v>["daily_stockout_data_missing", "new_order_lead_time_unknown"]</x:v>
      </x:c>
      <x:c r="AQ1555" s="10" t="str">
        <x:v>SE:300201154_</x:v>
      </x:c>
      <x:c r="AR1555" s="24" t="n">
        <x:v>1</x:v>
      </x:c>
      <x:c r="AS1555" s="24" t="n">
        <x:v>0</x:v>
      </x:c>
      <x:c r="AT1555" s="24" t="n">
        <x:v>0</x:v>
      </x:c>
    </x:row>
    <x:row r="1556" ht="64" customHeight="1">
      <x:c r="A1556" s="11" t="str">
        <x:v>Systeme Electric</x:v>
      </x:c>
      <x:c r="B1556" s="33" t="str">
        <x:v>300201155_</x:v>
      </x:c>
      <x:c r="C1556" s="33" t="str">
        <x:v>BLNRA011416</x:v>
      </x:c>
      <x:c r="D1556" s="12" t="str">
        <x:v>B008 Роз. 4-ная о/у с  з/к со ш/т 16А 250В "BLANCA" антрацит BLNRA011416 (4)</x:v>
      </x:c>
      <x:c r="E1556" s="11" t="str">
        <x:v>шт</x:v>
      </x:c>
      <x:c r="F1556" s="35" t="n">
        <x:f>MAX(0,ROUNDDOWN((AG1556-AF1556)/AR1556+0.000000001,0)*AR1556)</x:f>
        <x:v>386</x:v>
      </x:c>
      <x:c r="G1556" s="20" t="str">
        <x:f>IF(J1556="Рассчитано",V1556*(1-R1556/100)-W1556-P1556-Q1556,"н/д")</x:f>
        <x:v>н/д</x:v>
      </x:c>
      <x:c r="H1556" s="12" t="str">
        <x:v>Средний</x:v>
      </x:c>
      <x:c r="I1556" s="12" t="str">
        <x:v>Высокий</x:v>
      </x:c>
      <x:c r="J1556" s="12" t="str">
        <x:f>IF(L1556="","Укажите валюту",IF(NOT(ISNUMBER(K1556)),"Укажите объём",IF(K1556&lt;=0,"Укажите объём",IF(K1556&gt;F1556,"Объём выше излишка",IF(COUNT(M1556:O1556)&lt;3,"Нужны цены",IF(COUNT(P1556:R1556)&lt;3,"Нужны расходы",IF(OR(M1556&lt;0,N1556&lt;0,O1556&lt;0,O1556&gt;100,P1556&lt;0,Q1556&lt;0,R1556&lt;0,R1556&gt;100),"Проверьте значения","Рассчитано")))))))</x:f>
        <x:v>Нужны цены</x:v>
      </x:c>
      <x:c r="K1556" s="36" t="n">
        <x:v>386</x:v>
      </x:c>
      <x:c r="L1556" s="19" t="str">
        <x:v>KZT</x:v>
      </x:c>
      <x:c r="M1556" s="22"/>
      <x:c r="N1556" s="22"/>
      <x:c r="O1556" s="28"/>
      <x:c r="P1556" s="22"/>
      <x:c r="Q1556" s="22"/>
      <x:c r="R1556" s="28"/>
      <x:c r="S1556" s="22"/>
      <x:c r="T1556" s="35" t="n">
        <x:f>K1556</x:f>
        <x:v>386</x:v>
      </x:c>
      <x:c r="U1556" s="20" t="str">
        <x:f>IF(J1556="Рассчитано",N1556*(1-O1556/100),"н/д")</x:f>
        <x:v>н/д</x:v>
      </x:c>
      <x:c r="V1556" s="20" t="str">
        <x:f>IF(J1556="Рассчитано",T1556*U1556,"н/д")</x:f>
        <x:v>н/д</x:v>
      </x:c>
      <x:c r="W1556" s="20" t="str">
        <x:f>IF(J1556="Рассчитано",T1556*M1556,"н/д")</x:f>
        <x:v>н/д</x:v>
      </x:c>
      <x:c r="X1556" s="20" t="str">
        <x:f>IF(J1556="Рассчитано",V1556-W1556,"н/д")</x:f>
        <x:v>н/д</x:v>
      </x:c>
      <x:c r="Y1556" s="26" t="str">
        <x:f>IF(J1556="Рассчитано",IF(V1556&gt;0,G1556/V1556,"н/д"),"н/д")</x:f>
        <x:v>н/д</x:v>
      </x:c>
      <x:c r="Z1556" s="20" t="str">
        <x:f>"н/д"</x:f>
        <x:v>н/д</x:v>
      </x:c>
      <x:c r="AA1556" s="20" t="str">
        <x:f>"н/д"</x:f>
        <x:v>н/д</x:v>
      </x:c>
      <x:c r="AB1556" s="20" t="str">
        <x:f>"н/д"</x:f>
        <x:v>н/д</x:v>
      </x:c>
      <x:c r="AC1556" s="20" t="str">
        <x:f>IF(AND(J1556="Рассчитано",T1556&gt;0,R1556&lt;100),(W1556+P1556+Q1556)/(T1556*(1-R1556/100)),"н/д")</x:f>
        <x:v>н/д</x:v>
      </x:c>
      <x:c r="AD1556" s="11" t="str">
        <x:f>IF(ISNUMBER(G1556),IF(G1556&lt;0,"Убыток",IF(G1556=0,"Без прибыли","Прибыль &gt; 0")),"Не оценён")</x:f>
        <x:v>Не оценён</x:v>
      </x:c>
      <x:c r="AE1556" s="12" t="str">
        <x:f>IF(J1556="Рассчитано","Выручка "&amp;TEXT(V1556,"0.00")&amp;" - себестоимость "&amp;TEXT(W1556,"0.00")&amp;" - комиссия "&amp;TEXT(V1556*R1556/100,"0.00")&amp;" - доставка "&amp;TEXT(P1556,"0.00")&amp;" - прочие "&amp;TEXT(Q1556,"0.00")&amp;" = "&amp;TEXT(G1556,"0.00")&amp;" "&amp;L1556,"Введите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6" s="23" t="n">
        <x:v>82.06814316908891</x:v>
      </x:c>
      <x:c r="AG1556" s="35" t="n">
        <x:v>469</x:v>
      </x:c>
      <x:c r="AH1556" s="35" t="n">
        <x:v>0</x:v>
      </x:c>
      <x:c r="AI1556" s="29" t="n">
        <x:v>46287</x:v>
      </x:c>
      <x:c r="AJ1556" s="35" t="n">
        <x:v>4</x:v>
      </x:c>
      <x:c r="AK1556" s="11" t="str">
        <x:v>кратность</x:v>
      </x:c>
      <x:c r="AL1556" s="31" t="n">
        <x:v>487.26387499950005</x:v>
      </x:c>
      <x:c r="AM1556" s="12" t="str">
        <x:v>Детальные и месячные продажи расходятся; Нет ежедневных данных доступности. Запас более 180 дней при среднем спросе</x:v>
      </x:c>
      <x:c r="AN1556" s="12" t="str">
        <x:v>Проверить свободный остаток и установить цену для B2B</x:v>
      </x:c>
      <x:c r="AO1556" s="12" t="str">
        <x:v>Остаток 469; прогноз 90 дней 82.07; избыток 386 шт. Будущие поступления не выставляются на продажу.</x:v>
      </x:c>
      <x:c r="AP1556" s="12" t="str">
        <x:v>["daily_stockout_data_missing", "large_orders_detected", "new_order_lead_time_unknown", "transaction_month_mismatch"]</x:v>
      </x:c>
      <x:c r="AQ1556" s="11" t="str">
        <x:v>SE:300201155_</x:v>
      </x:c>
      <x:c r="AR1556" s="23" t="n">
        <x:v>1</x:v>
      </x:c>
      <x:c r="AS1556" s="23" t="n">
        <x:v>0</x:v>
      </x:c>
      <x:c r="AT1556" s="23" t="n">
        <x:v>0</x:v>
      </x:c>
    </x:row>
    <x:row r="1557" ht="64" customHeight="1">
      <x:c r="A1557" s="10" t="str">
        <x:v>Systeme Electric</x:v>
      </x:c>
      <x:c r="B1557" s="34" t="str">
        <x:v>ATN000389</x:v>
      </x:c>
      <x:c r="C1557" s="34" t="str">
        <x:v>ATN000389</x:v>
      </x:c>
      <x:c r="D1557" s="13" t="str">
        <x:v>РОЗЕТКА двойная комп+ТВ, RJ45+TV, кат.5E, механизм"ATLAS" алюминий ATN389 !!!</x:v>
      </x:c>
      <x:c r="E1557" s="10" t="str">
        <x:v>шт</x:v>
      </x:c>
      <x:c r="F1557" s="37" t="n">
        <x:f>MAX(0,ROUNDDOWN((AG1557-AF1557)/AR1557+0.000000001,0)*AR1557)</x:f>
        <x:v>19</x:v>
      </x:c>
      <x:c r="G1557" s="21" t="str">
        <x:f>IF(J1557="Рассчитано",V1557*(1-R1557/100)-W1557-P1557-Q1557,"н/д")</x:f>
        <x:v>н/д</x:v>
      </x:c>
      <x:c r="H1557" s="13" t="str">
        <x:v>Высокий</x:v>
      </x:c>
      <x:c r="I1557" s="13" t="str">
        <x:v>Высокий</x:v>
      </x:c>
      <x:c r="J1557" s="13" t="str">
        <x:f>IF(L1557="","Укажите валюту",IF(NOT(ISNUMBER(K1557)),"Укажите объём",IF(K1557&lt;=0,"Укажите объём",IF(K1557&gt;F1557,"Объём выше излишка",IF(COUNT(M1557:O1557)&lt;3,"Нужны цены",IF(COUNT(P1557:R1557)&lt;3,"Нужны расходы",IF(OR(M1557&lt;0,N1557&lt;0,O1557&lt;0,O1557&gt;100,P1557&lt;0,Q1557&lt;0,R1557&lt;0,R1557&gt;100),"Проверьте значения","Рассчитано")))))))</x:f>
        <x:v>Нужны цены</x:v>
      </x:c>
      <x:c r="K1557" s="36" t="n">
        <x:v>19</x:v>
      </x:c>
      <x:c r="L1557" s="19" t="str">
        <x:v>KZT</x:v>
      </x:c>
      <x:c r="M1557" s="22"/>
      <x:c r="N1557" s="22"/>
      <x:c r="O1557" s="28"/>
      <x:c r="P1557" s="22"/>
      <x:c r="Q1557" s="22"/>
      <x:c r="R1557" s="28"/>
      <x:c r="S1557" s="22"/>
      <x:c r="T1557" s="37" t="n">
        <x:f>K1557</x:f>
        <x:v>19</x:v>
      </x:c>
      <x:c r="U1557" s="21" t="str">
        <x:f>IF(J1557="Рассчитано",N1557*(1-O1557/100),"н/д")</x:f>
        <x:v>н/д</x:v>
      </x:c>
      <x:c r="V1557" s="21" t="str">
        <x:f>IF(J1557="Рассчитано",T1557*U1557,"н/д")</x:f>
        <x:v>н/д</x:v>
      </x:c>
      <x:c r="W1557" s="21" t="str">
        <x:f>IF(J1557="Рассчитано",T1557*M1557,"н/д")</x:f>
        <x:v>н/д</x:v>
      </x:c>
      <x:c r="X1557" s="21" t="str">
        <x:f>IF(J1557="Рассчитано",V1557-W1557,"н/д")</x:f>
        <x:v>н/д</x:v>
      </x:c>
      <x:c r="Y1557" s="27" t="str">
        <x:f>IF(J1557="Рассчитано",IF(V1557&gt;0,G1557/V1557,"н/д"),"н/д")</x:f>
        <x:v>н/д</x:v>
      </x:c>
      <x:c r="Z1557" s="21" t="str">
        <x:f>"н/д"</x:f>
        <x:v>н/д</x:v>
      </x:c>
      <x:c r="AA1557" s="21" t="str">
        <x:f>"н/д"</x:f>
        <x:v>н/д</x:v>
      </x:c>
      <x:c r="AB1557" s="21" t="str">
        <x:f>"н/д"</x:f>
        <x:v>н/д</x:v>
      </x:c>
      <x:c r="AC1557" s="21" t="str">
        <x:f>IF(AND(J1557="Рассчитано",T1557&gt;0,R1557&lt;100),(W1557+P1557+Q1557)/(T1557*(1-R1557/100)),"н/д")</x:f>
        <x:v>н/д</x:v>
      </x:c>
      <x:c r="AD1557" s="10" t="str">
        <x:f>IF(ISNUMBER(G1557),IF(G1557&lt;0,"Убыток",IF(G1557=0,"Без прибыли","Прибыль &gt; 0")),"Не оценён")</x:f>
        <x:v>Не оценён</x:v>
      </x:c>
      <x:c r="AE1557" s="13" t="str">
        <x:f>IF(J1557="Рассчитано","Выручка "&amp;TEXT(V1557,"0.00")&amp;" - себестоимость "&amp;TEXT(W1557,"0.00")&amp;" - комиссия "&amp;TEXT(V1557*R1557/100,"0.00")&amp;" - доставка "&amp;TEXT(P1557,"0.00")&amp;" - прочие "&amp;TEXT(Q1557,"0.00")&amp;" = "&amp;TEXT(G1557,"0.00")&amp;" "&amp;L1557,"Введите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7" s="24" t="n">
        <x:v>0</x:v>
      </x:c>
      <x:c r="AG1557" s="37" t="n">
        <x:v>19</x:v>
      </x:c>
      <x:c r="AH1557" s="37" t="n">
        <x:v>0</x:v>
      </x:c>
      <x:c r="AI1557" s="30" t="n">
        <x:v>46266</x:v>
      </x:c>
      <x:c r="AJ1557" s="37" t="n">
        <x:v>5</x:v>
      </x:c>
      <x:c r="AK1557" s="10" t="str">
        <x:v>кратность</x:v>
      </x:c>
      <x:c r="AL1557" s="32" t="str">
        <x:v>н/д</x:v>
      </x:c>
      <x:c r="AM1557" s="13" t="str">
        <x:v>Остаток на начало сентября; Резервы неизвестны; Нет ежедневных данных доступности. Нет положительных чистых продаж за 12 месяцев</x:v>
      </x:c>
      <x:c r="AN1557" s="13" t="str">
        <x:v>Проверить свободный остаток и установить цену для B2B</x:v>
      </x:c>
      <x:c r="AO1557" s="13" t="str">
        <x:v>Остаток 19; прогноз 90 дней 0.00; избыток 19 шт. Будущие поступления не выставляются на продажу. Остаток на начало сентября: требуется актуализация.</x:v>
      </x:c>
      <x:c r="AP1557" s="13" t="str">
        <x:v>["category_missing", "daily_stockout_data_missing", "monthly_balance_date_assumed", "new_order_lead_time_unknown", "reservations_unknown", "stale_stock"]</x:v>
      </x:c>
      <x:c r="AQ1557" s="10" t="str">
        <x:v>SE:ATN000389</x:v>
      </x:c>
      <x:c r="AR1557" s="24" t="n">
        <x:v>1</x:v>
      </x:c>
      <x:c r="AS1557" s="24" t="n">
        <x:v>0</x:v>
      </x:c>
      <x:c r="AT1557" s="24" t="n">
        <x:v>0</x:v>
      </x:c>
    </x:row>
    <x:row r="1558" ht="64" customHeight="1">
      <x:c r="A1558" s="11" t="str">
        <x:v>Systeme Electric</x:v>
      </x:c>
      <x:c r="B1558" s="33" t="str">
        <x:v>ATN000446</x:v>
      </x:c>
      <x:c r="C1558" s="33" t="str">
        <x:v>ATN000446</x:v>
      </x:c>
      <x:c r="D1558" s="12" t="str">
        <x:v>Роз. с з/к  со з/ш с крышкой 16А IP20 механизм жемчуг ATLASDESIGN</x:v>
      </x:c>
      <x:c r="E1558" s="11" t="str">
        <x:v>шт</x:v>
      </x:c>
      <x:c r="F1558" s="35" t="n">
        <x:f>MAX(0,ROUNDDOWN((AG1558-AF1558)/AR1558+0.000000001,0)*AR1558)</x:f>
        <x:v>10</x:v>
      </x:c>
      <x:c r="G1558" s="20" t="str">
        <x:f>IF(J1558="Рассчитано",V1558*(1-R1558/100)-W1558-P1558-Q1558,"н/д")</x:f>
        <x:v>н/д</x:v>
      </x:c>
      <x:c r="H1558" s="12" t="str">
        <x:v>Средний</x:v>
      </x:c>
      <x:c r="I1558" s="12" t="str">
        <x:v>Высокий</x:v>
      </x:c>
      <x:c r="J1558" s="12" t="str">
        <x:f>IF(L1558="","Укажите валюту",IF(NOT(ISNUMBER(K1558)),"Укажите объём",IF(K1558&lt;=0,"Укажите объём",IF(K1558&gt;F1558,"Объём выше излишка",IF(COUNT(M1558:O1558)&lt;3,"Нужны цены",IF(COUNT(P1558:R1558)&lt;3,"Нужны расходы",IF(OR(M1558&lt;0,N1558&lt;0,O1558&lt;0,O1558&gt;100,P1558&lt;0,Q1558&lt;0,R1558&lt;0,R1558&gt;100),"Проверьте значения","Рассчитано")))))))</x:f>
        <x:v>Нужны цены</x:v>
      </x:c>
      <x:c r="K1558" s="36" t="n">
        <x:v>10</x:v>
      </x:c>
      <x:c r="L1558" s="19" t="str">
        <x:v>KZT</x:v>
      </x:c>
      <x:c r="M1558" s="22"/>
      <x:c r="N1558" s="22"/>
      <x:c r="O1558" s="28"/>
      <x:c r="P1558" s="22"/>
      <x:c r="Q1558" s="22"/>
      <x:c r="R1558" s="28"/>
      <x:c r="S1558" s="22"/>
      <x:c r="T1558" s="35" t="n">
        <x:f>K1558</x:f>
        <x:v>10</x:v>
      </x:c>
      <x:c r="U1558" s="20" t="str">
        <x:f>IF(J1558="Рассчитано",N1558*(1-O1558/100),"н/д")</x:f>
        <x:v>н/д</x:v>
      </x:c>
      <x:c r="V1558" s="20" t="str">
        <x:f>IF(J1558="Рассчитано",T1558*U1558,"н/д")</x:f>
        <x:v>н/д</x:v>
      </x:c>
      <x:c r="W1558" s="20" t="str">
        <x:f>IF(J1558="Рассчитано",T1558*M1558,"н/д")</x:f>
        <x:v>н/д</x:v>
      </x:c>
      <x:c r="X1558" s="20" t="str">
        <x:f>IF(J1558="Рассчитано",V1558-W1558,"н/д")</x:f>
        <x:v>н/д</x:v>
      </x:c>
      <x:c r="Y1558" s="26" t="str">
        <x:f>IF(J1558="Рассчитано",IF(V1558&gt;0,G1558/V1558,"н/д"),"н/д")</x:f>
        <x:v>н/д</x:v>
      </x:c>
      <x:c r="Z1558" s="20" t="str">
        <x:f>"н/д"</x:f>
        <x:v>н/д</x:v>
      </x:c>
      <x:c r="AA1558" s="20" t="str">
        <x:f>"н/д"</x:f>
        <x:v>н/д</x:v>
      </x:c>
      <x:c r="AB1558" s="20" t="str">
        <x:f>"н/д"</x:f>
        <x:v>н/д</x:v>
      </x:c>
      <x:c r="AC1558" s="20" t="str">
        <x:f>IF(AND(J1558="Рассчитано",T1558&gt;0,R1558&lt;100),(W1558+P1558+Q1558)/(T1558*(1-R1558/100)),"н/д")</x:f>
        <x:v>н/д</x:v>
      </x:c>
      <x:c r="AD1558" s="11" t="str">
        <x:f>IF(ISNUMBER(G1558),IF(G1558&lt;0,"Убыток",IF(G1558=0,"Без прибыли","Прибыль &gt; 0")),"Не оценён")</x:f>
        <x:v>Не оценён</x:v>
      </x:c>
      <x:c r="AE1558" s="12" t="str">
        <x:f>IF(J1558="Рассчитано","Выручка "&amp;TEXT(V1558,"0.00")&amp;" - себестоимость "&amp;TEXT(W1558,"0.00")&amp;" - комиссия "&amp;TEXT(V1558*R1558/100,"0.00")&amp;" - доставка "&amp;TEXT(P1558,"0.00")&amp;" - прочие "&amp;TEXT(Q1558,"0.00")&amp;" = "&amp;TEXT(G1558,"0.00")&amp;" "&amp;L1558,"Введите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8" s="23" t="n">
        <x:v>5.720885160266939</x:v>
      </x:c>
      <x:c r="AG1558" s="35" t="n">
        <x:v>16</x:v>
      </x:c>
      <x:c r="AH1558" s="35" t="n">
        <x:v>0</x:v>
      </x:c>
      <x:c r="AI1558" s="29" t="n">
        <x:v>46287</x:v>
      </x:c>
      <x:c r="AJ1558" s="35" t="n">
        <x:v>10</x:v>
      </x:c>
      <x:c r="AK1558" s="11" t="str">
        <x:v>кратность</x:v>
      </x:c>
      <x:c r="AL1558" s="31" t="n">
        <x:v>238.4639492261725</x:v>
      </x:c>
      <x:c r="AM1558" s="12" t="str">
        <x:v>Нет ежедневных данных доступности. Запас более 180 дней при среднем спросе</x:v>
      </x:c>
      <x:c r="AN1558" s="12" t="str">
        <x:v>Проверить свободный остаток и установить цену для B2B</x:v>
      </x:c>
      <x:c r="AO1558" s="12" t="str">
        <x:v>Остаток 16; прогноз 90 дней 5.72; избыток 10 шт. Будущие поступления не выставляются на продажу.</x:v>
      </x:c>
      <x:c r="AP1558" s="12" t="str">
        <x:v>["daily_stockout_data_missing", "new_order_lead_time_unknown"]</x:v>
      </x:c>
      <x:c r="AQ1558" s="11" t="str">
        <x:v>SE:ATN000446</x:v>
      </x:c>
      <x:c r="AR1558" s="23" t="n">
        <x:v>1</x:v>
      </x:c>
      <x:c r="AS1558" s="23" t="n">
        <x:v>0</x:v>
      </x:c>
      <x:c r="AT1558" s="23" t="n">
        <x:v>0</x:v>
      </x:c>
    </x:row>
    <x:row r="1559" ht="64" customHeight="1">
      <x:c r="A1559" s="10" t="str">
        <x:v>Systeme Electric</x:v>
      </x:c>
      <x:c r="B1559" s="34" t="str">
        <x:v>ATN001232</x:v>
      </x:c>
      <x:c r="C1559" s="34" t="str">
        <x:v>ATN001232</x:v>
      </x:c>
      <x:c r="D1559" s="13" t="str">
        <x:v>ATLASDESIGN РОЗЕТКА 16А с 2 USB A+C, 5В/2,4А/3,0А, 2х5В/1,5А, механизм, ПЕСОЧНЫЙ !!!</x:v>
      </x:c>
      <x:c r="E1559" s="10" t="str">
        <x:v>шт</x:v>
      </x:c>
      <x:c r="F1559" s="37" t="n">
        <x:f>MAX(0,ROUNDDOWN((AG1559-AF1559)/AR1559+0.000000001,0)*AR1559)</x:f>
        <x:v>5</x:v>
      </x:c>
      <x:c r="G1559" s="21" t="str">
        <x:f>IF(J1559="Рассчитано",V1559*(1-R1559/100)-W1559-P1559-Q1559,"н/д")</x:f>
        <x:v>н/д</x:v>
      </x:c>
      <x:c r="H1559" s="13" t="str">
        <x:v>Высокий</x:v>
      </x:c>
      <x:c r="I1559" s="13" t="str">
        <x:v>Высокий</x:v>
      </x:c>
      <x:c r="J1559" s="13" t="str">
        <x:f>IF(L1559="","Укажите валюту",IF(NOT(ISNUMBER(K1559)),"Укажите объём",IF(K1559&lt;=0,"Укажите объём",IF(K1559&gt;F1559,"Объём выше излишка",IF(COUNT(M1559:O1559)&lt;3,"Нужны цены",IF(COUNT(P1559:R1559)&lt;3,"Нужны расходы",IF(OR(M1559&lt;0,N1559&lt;0,O1559&lt;0,O1559&gt;100,P1559&lt;0,Q1559&lt;0,R1559&lt;0,R1559&gt;100),"Проверьте значения","Рассчитано")))))))</x:f>
        <x:v>Нужны цены</x:v>
      </x:c>
      <x:c r="K1559" s="36" t="n">
        <x:v>5</x:v>
      </x:c>
      <x:c r="L1559" s="19" t="str">
        <x:v>KZT</x:v>
      </x:c>
      <x:c r="M1559" s="22"/>
      <x:c r="N1559" s="22"/>
      <x:c r="O1559" s="28"/>
      <x:c r="P1559" s="22"/>
      <x:c r="Q1559" s="22"/>
      <x:c r="R1559" s="28"/>
      <x:c r="S1559" s="22"/>
      <x:c r="T1559" s="37" t="n">
        <x:f>K1559</x:f>
        <x:v>5</x:v>
      </x:c>
      <x:c r="U1559" s="21" t="str">
        <x:f>IF(J1559="Рассчитано",N1559*(1-O1559/100),"н/д")</x:f>
        <x:v>н/д</x:v>
      </x:c>
      <x:c r="V1559" s="21" t="str">
        <x:f>IF(J1559="Рассчитано",T1559*U1559,"н/д")</x:f>
        <x:v>н/д</x:v>
      </x:c>
      <x:c r="W1559" s="21" t="str">
        <x:f>IF(J1559="Рассчитано",T1559*M1559,"н/д")</x:f>
        <x:v>н/д</x:v>
      </x:c>
      <x:c r="X1559" s="21" t="str">
        <x:f>IF(J1559="Рассчитано",V1559-W1559,"н/д")</x:f>
        <x:v>н/д</x:v>
      </x:c>
      <x:c r="Y1559" s="27" t="str">
        <x:f>IF(J1559="Рассчитано",IF(V1559&gt;0,G1559/V1559,"н/д"),"н/д")</x:f>
        <x:v>н/д</x:v>
      </x:c>
      <x:c r="Z1559" s="21" t="str">
        <x:f>"н/д"</x:f>
        <x:v>н/д</x:v>
      </x:c>
      <x:c r="AA1559" s="21" t="str">
        <x:f>"н/д"</x:f>
        <x:v>н/д</x:v>
      </x:c>
      <x:c r="AB1559" s="21" t="str">
        <x:f>"н/д"</x:f>
        <x:v>н/д</x:v>
      </x:c>
      <x:c r="AC1559" s="21" t="str">
        <x:f>IF(AND(J1559="Рассчитано",T1559&gt;0,R1559&lt;100),(W1559+P1559+Q1559)/(T1559*(1-R1559/100)),"н/д")</x:f>
        <x:v>н/д</x:v>
      </x:c>
      <x:c r="AD1559" s="10" t="str">
        <x:f>IF(ISNUMBER(G1559),IF(G1559&lt;0,"Убыток",IF(G1559=0,"Без прибыли","Прибыль &gt; 0")),"Не оценён")</x:f>
        <x:v>Не оценён</x:v>
      </x:c>
      <x:c r="AE1559" s="13" t="str">
        <x:f>IF(J1559="Рассчитано","Выручка "&amp;TEXT(V1559,"0.00")&amp;" - себестоимость "&amp;TEXT(W1559,"0.00")&amp;" - комиссия "&amp;TEXT(V1559*R1559/100,"0.00")&amp;" - доставка "&amp;TEXT(P1559,"0.00")&amp;" - прочие "&amp;TEXT(Q1559,"0.00")&amp;" = "&amp;TEXT(G1559,"0.00")&amp;" "&amp;L1559,"Введите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9" s="24" t="n">
        <x:v>0.9214418134984672</x:v>
      </x:c>
      <x:c r="AG1559" s="37" t="n">
        <x:v>6</x:v>
      </x:c>
      <x:c r="AH1559" s="37" t="n">
        <x:v>0</x:v>
      </x:c>
      <x:c r="AI1559" s="30" t="n">
        <x:v>46266</x:v>
      </x:c>
      <x:c r="AJ1559" s="37" t="n">
        <x:v>1</x:v>
      </x:c>
      <x:c r="AK1559" s="10" t="str">
        <x:v>кратность</x:v>
      </x:c>
      <x:c r="AL1559" s="32" t="n">
        <x:v>555.1998163645832</x:v>
      </x:c>
      <x:c r="AM1559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559" s="13" t="str">
        <x:v>Проверить свободный остаток и установить цену для B2B</x:v>
      </x:c>
      <x:c r="AO1559" s="13" t="str">
        <x:v>Остаток 6; прогноз 90 дней 0.92; избыток 5 шт. Будущие поступления не выставляются на продажу. Остаток на начало сентября: требуется актуализация.</x:v>
      </x:c>
      <x:c r="AP1559" s="13" t="str">
        <x:v>["category_missing", "daily_stockout_data_missing", "monthly_balance_date_assumed", "new_order_lead_time_unknown", "reservations_unknown", "stale_stock"]</x:v>
      </x:c>
      <x:c r="AQ1559" s="10" t="str">
        <x:v>SE:ATN001232</x:v>
      </x:c>
      <x:c r="AR1559" s="24" t="n">
        <x:v>1</x:v>
      </x:c>
      <x:c r="AS1559" s="24" t="n">
        <x:v>0</x:v>
      </x:c>
      <x:c r="AT1559" s="24" t="n">
        <x:v>0</x:v>
      </x:c>
    </x:row>
    <x:row r="1560" ht="64" customHeight="1">
      <x:c r="A1560" s="11" t="str">
        <x:v>Systeme Electric</x:v>
      </x:c>
      <x:c r="B1560" s="33" t="str">
        <x:v>ATN540115</x:v>
      </x:c>
      <x:c r="C1560" s="33" t="str">
        <x:v>ATN540115</x:v>
      </x:c>
      <x:c r="D1560" s="12" t="str">
        <x:v>AtlasDesign PROFI IP54 О/У 1-клавишный кнопочный ВЫКЛЮЧАТЕЛЬ 10 АХ, БЕЛЫЙ !!!</x:v>
      </x:c>
      <x:c r="E1560" s="11" t="str">
        <x:v>шт</x:v>
      </x:c>
      <x:c r="F1560" s="35" t="n">
        <x:f>MAX(0,ROUNDDOWN((AG1560-AF1560)/AR1560+0.000000001,0)*AR1560)</x:f>
        <x:v>6</x:v>
      </x:c>
      <x:c r="G1560" s="20" t="str">
        <x:f>IF(J1560="Рассчитано",V1560*(1-R1560/100)-W1560-P1560-Q1560,"н/д")</x:f>
        <x:v>н/д</x:v>
      </x:c>
      <x:c r="H1560" s="12" t="str">
        <x:v>Высокий</x:v>
      </x:c>
      <x:c r="I1560" s="12" t="str">
        <x:v>Высокий</x:v>
      </x:c>
      <x:c r="J1560" s="12" t="str">
        <x:f>IF(L1560="","Укажите валюту",IF(NOT(ISNUMBER(K1560)),"Укажите объём",IF(K1560&lt;=0,"Укажите объём",IF(K1560&gt;F1560,"Объём выше излишка",IF(COUNT(M1560:O1560)&lt;3,"Нужны цены",IF(COUNT(P1560:R1560)&lt;3,"Нужны расходы",IF(OR(M1560&lt;0,N1560&lt;0,O1560&lt;0,O1560&gt;100,P1560&lt;0,Q1560&lt;0,R1560&lt;0,R1560&gt;100),"Проверьте значения","Рассчитано")))))))</x:f>
        <x:v>Нужны цены</x:v>
      </x:c>
      <x:c r="K1560" s="36" t="n">
        <x:v>6</x:v>
      </x:c>
      <x:c r="L1560" s="19" t="str">
        <x:v>KZT</x:v>
      </x:c>
      <x:c r="M1560" s="22"/>
      <x:c r="N1560" s="22"/>
      <x:c r="O1560" s="28"/>
      <x:c r="P1560" s="22"/>
      <x:c r="Q1560" s="22"/>
      <x:c r="R1560" s="28"/>
      <x:c r="S1560" s="22"/>
      <x:c r="T1560" s="35" t="n">
        <x:f>K1560</x:f>
        <x:v>6</x:v>
      </x:c>
      <x:c r="U1560" s="20" t="str">
        <x:f>IF(J1560="Рассчитано",N1560*(1-O1560/100),"н/д")</x:f>
        <x:v>н/д</x:v>
      </x:c>
      <x:c r="V1560" s="20" t="str">
        <x:f>IF(J1560="Рассчитано",T1560*U1560,"н/д")</x:f>
        <x:v>н/д</x:v>
      </x:c>
      <x:c r="W1560" s="20" t="str">
        <x:f>IF(J1560="Рассчитано",T1560*M1560,"н/д")</x:f>
        <x:v>н/д</x:v>
      </x:c>
      <x:c r="X1560" s="20" t="str">
        <x:f>IF(J1560="Рассчитано",V1560-W1560,"н/д")</x:f>
        <x:v>н/д</x:v>
      </x:c>
      <x:c r="Y1560" s="26" t="str">
        <x:f>IF(J1560="Рассчитано",IF(V1560&gt;0,G1560/V1560,"н/д"),"н/д")</x:f>
        <x:v>н/д</x:v>
      </x:c>
      <x:c r="Z1560" s="20" t="str">
        <x:f>"н/д"</x:f>
        <x:v>н/д</x:v>
      </x:c>
      <x:c r="AA1560" s="20" t="str">
        <x:f>"н/д"</x:f>
        <x:v>н/д</x:v>
      </x:c>
      <x:c r="AB1560" s="20" t="str">
        <x:f>"н/д"</x:f>
        <x:v>н/д</x:v>
      </x:c>
      <x:c r="AC1560" s="20" t="str">
        <x:f>IF(AND(J1560="Рассчитано",T1560&gt;0,R1560&lt;100),(W1560+P1560+Q1560)/(T1560*(1-R1560/100)),"н/д")</x:f>
        <x:v>н/д</x:v>
      </x:c>
      <x:c r="AD1560" s="11" t="str">
        <x:f>IF(ISNUMBER(G1560),IF(G1560&lt;0,"Убыток",IF(G1560=0,"Без прибыли","Прибыль &gt; 0")),"Не оценён")</x:f>
        <x:v>Не оценён</x:v>
      </x:c>
      <x:c r="AE1560" s="12" t="str">
        <x:f>IF(J1560="Рассчитано","Выручка "&amp;TEXT(V1560,"0.00")&amp;" - себестоимость "&amp;TEXT(W1560,"0.00")&amp;" - комиссия "&amp;TEXT(V1560*R1560/100,"0.00")&amp;" - доставка "&amp;TEXT(P1560,"0.00")&amp;" - прочие "&amp;TEXT(Q1560,"0.00")&amp;" = "&amp;TEXT(G1560,"0.00")&amp;" "&amp;L1560,"Введите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60" s="23" t="n">
        <x:v>0.383898839242517</x:v>
      </x:c>
      <x:c r="AG1560" s="35" t="n">
        <x:v>7</x:v>
      </x:c>
      <x:c r="AH1560" s="35" t="n">
        <x:v>0</x:v>
      </x:c>
      <x:c r="AI1560" s="29" t="n">
        <x:v>46266</x:v>
      </x:c>
      <x:c r="AJ1560" s="35" t="n">
        <x:v>12</x:v>
      </x:c>
      <x:c r="AK1560" s="11" t="str">
        <x:v>кратность</x:v>
      </x:c>
      <x:c r="AL1560" s="31" t="n">
        <x:v>1554.702225973972</x:v>
      </x:c>
      <x:c r="AM1560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560" s="12" t="str">
        <x:v>Проверить свободный остаток и установить цену для B2B</x:v>
      </x:c>
      <x:c r="AO1560" s="12" t="str">
        <x:v>Остаток 7; прогноз 90 дней 0.38; избыток 6 шт. Будущие поступления не выставляются на продажу. Остаток на начало сентября: требуется актуализация.</x:v>
      </x:c>
      <x:c r="AP1560" s="12" t="str">
        <x:v>["category_missing", "daily_stockout_data_missing", "monthly_balance_date_assumed", "new_order_lead_time_unknown", "reservations_unknown", "stale_stock"]</x:v>
      </x:c>
      <x:c r="AQ1560" s="11" t="str">
        <x:v>SE:ATN540115</x:v>
      </x:c>
      <x:c r="AR1560" s="23" t="n">
        <x:v>1</x:v>
      </x:c>
      <x:c r="AS1560" s="23" t="n">
        <x:v>0</x:v>
      </x:c>
      <x:c r="AT1560" s="23" t="n">
        <x:v>0</x:v>
      </x:c>
    </x:row>
    <x:row r="1561" ht="64" customHeight="1">
      <x:c r="A1561" s="10" t="str">
        <x:v>Systeme Electric</x:v>
      </x:c>
      <x:c r="B1561" s="34" t="str">
        <x:v>ATN544015</x:v>
      </x:c>
      <x:c r="C1561" s="34" t="str">
        <x:v>ATN544015</x:v>
      </x:c>
      <x:c r="D1561" s="13" t="str">
        <x:v>AtlasDesign PROFI IP54 О/У 1-клавишный кнопочный ВЫКЛЮЧАТЕЛЬ 10 АХ, АНТРАЦИТ !!!</x:v>
      </x:c>
      <x:c r="E1561" s="10" t="str">
        <x:v>шт</x:v>
      </x:c>
      <x:c r="F1561" s="37" t="n">
        <x:f>MAX(0,ROUNDDOWN((AG1561-AF1561)/AR1561+0.000000001,0)*AR1561)</x:f>
        <x:v>17</x:v>
      </x:c>
      <x:c r="G1561" s="21" t="str">
        <x:f>IF(J1561="Рассчитано",V1561*(1-R1561/100)-W1561-P1561-Q1561,"н/д")</x:f>
        <x:v>н/д</x:v>
      </x:c>
      <x:c r="H1561" s="13" t="str">
        <x:v>Высокий</x:v>
      </x:c>
      <x:c r="I1561" s="13" t="str">
        <x:v>Высокий</x:v>
      </x:c>
      <x:c r="J1561" s="13" t="str">
        <x:f>IF(L1561="","Укажите валюту",IF(NOT(ISNUMBER(K1561)),"Укажите объём",IF(K1561&lt;=0,"Укажите объём",IF(K1561&gt;F1561,"Объём выше излишка",IF(COUNT(M1561:O1561)&lt;3,"Нужны цены",IF(COUNT(P1561:R1561)&lt;3,"Нужны расходы",IF(OR(M1561&lt;0,N1561&lt;0,O1561&lt;0,O1561&gt;100,P1561&lt;0,Q1561&lt;0,R1561&lt;0,R1561&gt;100),"Проверьте значения","Рассчитано")))))))</x:f>
        <x:v>Нужны цены</x:v>
      </x:c>
      <x:c r="K1561" s="36" t="n">
        <x:v>17</x:v>
      </x:c>
      <x:c r="L1561" s="19" t="str">
        <x:v>KZT</x:v>
      </x:c>
      <x:c r="M1561" s="22"/>
      <x:c r="N1561" s="22"/>
      <x:c r="O1561" s="28"/>
      <x:c r="P1561" s="22"/>
      <x:c r="Q1561" s="22"/>
      <x:c r="R1561" s="28"/>
      <x:c r="S1561" s="22"/>
      <x:c r="T1561" s="37" t="n">
        <x:f>K1561</x:f>
        <x:v>17</x:v>
      </x:c>
      <x:c r="U1561" s="21" t="str">
        <x:f>IF(J1561="Рассчитано",N1561*(1-O1561/100),"н/д")</x:f>
        <x:v>н/д</x:v>
      </x:c>
      <x:c r="V1561" s="21" t="str">
        <x:f>IF(J1561="Рассчитано",T1561*U1561,"н/д")</x:f>
        <x:v>н/д</x:v>
      </x:c>
      <x:c r="W1561" s="21" t="str">
        <x:f>IF(J1561="Рассчитано",T1561*M1561,"н/д")</x:f>
        <x:v>н/д</x:v>
      </x:c>
      <x:c r="X1561" s="21" t="str">
        <x:f>IF(J1561="Рассчитано",V1561-W1561,"н/д")</x:f>
        <x:v>н/д</x:v>
      </x:c>
      <x:c r="Y1561" s="27" t="str">
        <x:f>IF(J1561="Рассчитано",IF(V1561&gt;0,G1561/V1561,"н/д"),"н/д")</x:f>
        <x:v>н/д</x:v>
      </x:c>
      <x:c r="Z1561" s="21" t="str">
        <x:f>"н/д"</x:f>
        <x:v>н/д</x:v>
      </x:c>
      <x:c r="AA1561" s="21" t="str">
        <x:f>"н/д"</x:f>
        <x:v>н/д</x:v>
      </x:c>
      <x:c r="AB1561" s="21" t="str">
        <x:f>"н/д"</x:f>
        <x:v>н/д</x:v>
      </x:c>
      <x:c r="AC1561" s="21" t="str">
        <x:f>IF(AND(J1561="Рассчитано",T1561&gt;0,R1561&lt;100),(W1561+P1561+Q1561)/(T1561*(1-R1561/100)),"н/д")</x:f>
        <x:v>н/д</x:v>
      </x:c>
      <x:c r="AD1561" s="10" t="str">
        <x:f>IF(ISNUMBER(G1561),IF(G1561&lt;0,"Убыток",IF(G1561=0,"Без прибыли","Прибыль &gt; 0")),"Не оценён")</x:f>
        <x:v>Не оценён</x:v>
      </x:c>
      <x:c r="AE1561" s="13" t="str">
        <x:f>IF(J1561="Рассчитано","Выручка "&amp;TEXT(V1561,"0.00")&amp;" - себестоимость "&amp;TEXT(W1561,"0.00")&amp;" - комиссия "&amp;TEXT(V1561*R1561/100,"0.00")&amp;" - доставка "&amp;TEXT(P1561,"0.00")&amp;" - прочие "&amp;TEXT(Q1561,"0.00")&amp;" = "&amp;TEXT(G1561,"0.00")&amp;" "&amp;L1561,"Введите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61" s="24" t="n">
        <x:v>0.864945626467635</x:v>
      </x:c>
      <x:c r="AG1561" s="37" t="n">
        <x:v>18</x:v>
      </x:c>
      <x:c r="AH1561" s="37" t="n">
        <x:v>0</x:v>
      </x:c>
      <x:c r="AI1561" s="30" t="n">
        <x:v>46266</x:v>
      </x:c>
      <x:c r="AJ1561" s="37" t="n">
        <x:v>12</x:v>
      </x:c>
      <x:c r="AK1561" s="10" t="str">
        <x:v>кратность</x:v>
      </x:c>
      <x:c r="AL1561" s="32" t="n">
        <x:v>1774.3924357451158</x:v>
      </x:c>
      <x:c r="AM1561" s="13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561" s="13" t="str">
        <x:v>Проверить свободный остаток и установить цену для B2B</x:v>
      </x:c>
      <x:c r="AO1561" s="13" t="str">
        <x:v>Остаток 18; прогноз 90 дней 0.86; избыток 17 шт. Будущие поступления не выставляются на продажу. Остаток на начало сентября: требуется актуализация.</x:v>
      </x:c>
      <x:c r="AP1561" s="13" t="str">
        <x:v>["category_missing", "daily_stockout_data_missing", "monthly_balance_date_assumed", "new_order_lead_time_unknown", "reservations_unknown", "stale_stock"]</x:v>
      </x:c>
      <x:c r="AQ1561" s="10" t="str">
        <x:v>SE:ATN544015</x:v>
      </x:c>
      <x:c r="AR1561" s="24" t="n">
        <x:v>1</x:v>
      </x:c>
      <x:c r="AS1561" s="24" t="n">
        <x:v>0</x:v>
      </x:c>
      <x:c r="AT1561" s="24" t="n">
        <x:v>0</x:v>
      </x:c>
    </x:row>
    <x:row r="1562" ht="64" customHeight="1">
      <x:c r="A1562" s="11" t="str">
        <x:v>Systeme Electric</x:v>
      </x:c>
      <x:c r="B1562" s="33" t="str">
        <x:v>щщщ0116254</x:v>
      </x:c>
      <x:c r="C1562" s="33" t="str">
        <x:v>GSL000151</x:v>
      </x:c>
      <x:c r="D1562" s="12" t="str">
        <x:v>GLOSSA 2-клавишный ВЫКЛЮЧАТЕЛЬ, сх.5, 10АХ, механизм, БЕЛЫЙ</x:v>
      </x:c>
      <x:c r="E1562" s="11" t="str">
        <x:v>шт</x:v>
      </x:c>
      <x:c r="F1562" s="35" t="n">
        <x:f>MAX(0,ROUNDDOWN((AG1562-AF1562)/AR1562+0.000000001,0)*AR1562)</x:f>
        <x:v>33</x:v>
      </x:c>
      <x:c r="G1562" s="20" t="str">
        <x:f>IF(J1562="Рассчитано",V1562*(1-R1562/100)-W1562-P1562-Q1562,"н/д")</x:f>
        <x:v>н/д</x:v>
      </x:c>
      <x:c r="H1562" s="12" t="str">
        <x:v>Высокий</x:v>
      </x:c>
      <x:c r="I1562" s="12" t="str">
        <x:v>Высокий</x:v>
      </x:c>
      <x:c r="J1562" s="12" t="str">
        <x:f>IF(L1562="","Укажите валюту",IF(NOT(ISNUMBER(K1562)),"Укажите объём",IF(K1562&lt;=0,"Укажите объём",IF(K1562&gt;F1562,"Объём выше излишка",IF(COUNT(M1562:O1562)&lt;3,"Нужны цены",IF(COUNT(P1562:R1562)&lt;3,"Нужны расходы",IF(OR(M1562&lt;0,N1562&lt;0,O1562&lt;0,O1562&gt;100,P1562&lt;0,Q1562&lt;0,R1562&lt;0,R1562&gt;100),"Проверьте значения","Рассчитано")))))))</x:f>
        <x:v>Нужны цены</x:v>
      </x:c>
      <x:c r="K1562" s="36" t="n">
        <x:v>33</x:v>
      </x:c>
      <x:c r="L1562" s="19" t="str">
        <x:v>KZT</x:v>
      </x:c>
      <x:c r="M1562" s="22"/>
      <x:c r="N1562" s="22"/>
      <x:c r="O1562" s="28"/>
      <x:c r="P1562" s="22"/>
      <x:c r="Q1562" s="22"/>
      <x:c r="R1562" s="28"/>
      <x:c r="S1562" s="22"/>
      <x:c r="T1562" s="35" t="n">
        <x:f>K1562</x:f>
        <x:v>33</x:v>
      </x:c>
      <x:c r="U1562" s="20" t="str">
        <x:f>IF(J1562="Рассчитано",N1562*(1-O1562/100),"н/д")</x:f>
        <x:v>н/д</x:v>
      </x:c>
      <x:c r="V1562" s="20" t="str">
        <x:f>IF(J1562="Рассчитано",T1562*U1562,"н/д")</x:f>
        <x:v>н/д</x:v>
      </x:c>
      <x:c r="W1562" s="20" t="str">
        <x:f>IF(J1562="Рассчитано",T1562*M1562,"н/д")</x:f>
        <x:v>н/д</x:v>
      </x:c>
      <x:c r="X1562" s="20" t="str">
        <x:f>IF(J1562="Рассчитано",V1562-W1562,"н/д")</x:f>
        <x:v>н/д</x:v>
      </x:c>
      <x:c r="Y1562" s="26" t="str">
        <x:f>IF(J1562="Рассчитано",IF(V1562&gt;0,G1562/V1562,"н/д"),"н/д")</x:f>
        <x:v>н/д</x:v>
      </x:c>
      <x:c r="Z1562" s="20" t="str">
        <x:f>"н/д"</x:f>
        <x:v>н/д</x:v>
      </x:c>
      <x:c r="AA1562" s="20" t="str">
        <x:f>"н/д"</x:f>
        <x:v>н/д</x:v>
      </x:c>
      <x:c r="AB1562" s="20" t="str">
        <x:f>"н/д"</x:f>
        <x:v>н/д</x:v>
      </x:c>
      <x:c r="AC1562" s="20" t="str">
        <x:f>IF(AND(J1562="Рассчитано",T1562&gt;0,R1562&lt;100),(W1562+P1562+Q1562)/(T1562*(1-R1562/100)),"н/д")</x:f>
        <x:v>н/д</x:v>
      </x:c>
      <x:c r="AD1562" s="11" t="str">
        <x:f>IF(ISNUMBER(G1562),IF(G1562&lt;0,"Убыток",IF(G1562=0,"Без прибыли","Прибыль &gt; 0")),"Не оценён")</x:f>
        <x:v>Не оценён</x:v>
      </x:c>
      <x:c r="AE1562" s="12" t="str">
        <x:f>IF(J1562="Рассчитано","Выручка "&amp;TEXT(V1562,"0.00")&amp;" - себестоимость "&amp;TEXT(W1562,"0.00")&amp;" - комиссия "&amp;TEXT(V1562*R1562/100,"0.00")&amp;" - доставка "&amp;TEXT(P1562,"0.00")&amp;" - прочие "&amp;TEXT(Q1562,"0.00")&amp;" = "&amp;TEXT(G1562,"0.00")&amp;" "&amp;L1562,"Введите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62" s="23" t="n">
        <x:v>1.6905123873054138</x:v>
      </x:c>
      <x:c r="AG1562" s="35" t="n">
        <x:v>35</x:v>
      </x:c>
      <x:c r="AH1562" s="35" t="n">
        <x:v>0</x:v>
      </x:c>
      <x:c r="AI1562" s="29" t="n">
        <x:v>46266</x:v>
      </x:c>
      <x:c r="AJ1562" s="35" t="n">
        <x:v>20</x:v>
      </x:c>
      <x:c r="AK1562" s="11" t="str">
        <x:v>кратность</x:v>
      </x:c>
      <x:c r="AL1562" s="31" t="n">
        <x:v>1765.2883954033257</x:v>
      </x:c>
      <x:c r="AM1562" s="12" t="str">
        <x:v>Остаток на начало сентября; Резервы неизвестны; Нет ежедневных данных доступности. Запас более 180 дней при среднем спросе</x:v>
      </x:c>
      <x:c r="AN1562" s="12" t="str">
        <x:v>Проверить свободный остаток и установить цену для B2B</x:v>
      </x:c>
      <x:c r="AO1562" s="12" t="str">
        <x:v>Остаток 35; прогноз 90 дней 1.69; избыток 33 шт. Будущие поступления не выставляются на продажу. Остаток на начало сентября: требуется актуализация.</x:v>
      </x:c>
      <x:c r="AP1562" s="12" t="str">
        <x:v>["category_missing", "daily_stockout_data_missing", "monthly_balance_date_assumed", "negative_net_sales_clipped_for_forecast", "new_order_lead_time_unknown", "reservations_unknown", "stale_stock"]</x:v>
      </x:c>
      <x:c r="AQ1562" s="11" t="str">
        <x:v>SE:щщщ0116254</x:v>
      </x:c>
      <x:c r="AR1562" s="23" t="n">
        <x:v>1</x:v>
      </x:c>
      <x:c r="AS1562" s="23" t="n">
        <x:v>0</x:v>
      </x:c>
      <x:c r="AT1562" s="23" t="n">
        <x:v>0</x:v>
      </x:c>
    </x:row>
  </x:sheetData>
  <x:conditionalFormatting sqref="H8:H1562">
    <x:cfRule type="containsText" dxfId="0" priority="1" operator="containsText" text="Критический"/>
    <x:cfRule type="containsText" dxfId="1" priority="2" operator="containsText" text="Высокий"/>
    <x:cfRule type="containsText" dxfId="2" priority="3" operator="containsText" text="Средний"/>
  </x:conditionalFormatting>
  <x:conditionalFormatting sqref="I8:I1562">
    <x:cfRule type="containsText" dxfId="3" priority="4" operator="containsText" text="Критический"/>
    <x:cfRule type="containsText" dxfId="4" priority="5" operator="containsText" text="Высокий"/>
    <x:cfRule type="containsText" dxfId="5" priority="6" operator="containsText" text="Средний"/>
  </x:conditionalFormatting>
  <x:conditionalFormatting sqref="G8:G1562">
    <x:cfRule type="cellIs" dxfId="6" priority="7" operator="lessThan">
      <x:formula>0</x:formula>
    </x:cfRule>
  </x:conditionalFormatting>
  <x:dataValidations count="8">
    <x:dataValidation type="decimal" operator="greaterThanOrEqual" sqref="K8:K1562">
      <x:formula1>0</x:formula1>
    </x:dataValidation>
    <x:dataValidation type="decimal" operator="greaterThanOrEqual" sqref="M8:M1562">
      <x:formula1>0</x:formula1>
    </x:dataValidation>
    <x:dataValidation type="decimal" operator="greaterThanOrEqual" sqref="N8:N1562">
      <x:formula1>0</x:formula1>
    </x:dataValidation>
    <x:dataValidation type="decimal" operator="greaterThanOrEqual" sqref="P8:P1562">
      <x:formula1>0</x:formula1>
    </x:dataValidation>
    <x:dataValidation type="decimal" operator="greaterThanOrEqual" sqref="Q8:Q1562">
      <x:formula1>0</x:formula1>
    </x:dataValidation>
    <x:dataValidation type="decimal" operator="greaterThanOrEqual" sqref="S8:S1562">
      <x:formula1>0</x:formula1>
    </x:dataValidation>
    <x:dataValidation type="decimal" operator="between" sqref="O8:O1562">
      <x:formula1>0</x:formula1>
      <x:formula2>100</x:formula2>
    </x:dataValidation>
    <x:dataValidation type="decimal" operator="between" sqref="R8:R1562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9fdad3905484337"/>
  </x:tableParts>
</x:worksheet>
</file>

<file path=xl/worksheets/sheet3.xml><?xml version="1.0" encoding="utf-8"?>
<x:worksheet xmlns:x="http://schemas.openxmlformats.org/spreadsheetml/2006/main">
  <x:sheetPr>
    <x:tabColor rgb="FFA66622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23" hidden="0" customWidth="1"/>
    <x:col min="4" max="4" width="62" hidden="0" customWidth="1"/>
    <x:col min="5" max="5" width="6" hidden="0" customWidth="1"/>
    <x:col min="6" max="6" width="15" hidden="0" customWidth="1"/>
    <x:col min="7" max="7" width="21" hidden="0" customWidth="1"/>
    <x:col min="8" max="8" width="15" hidden="0" customWidth="1"/>
    <x:col min="9" max="9" width="17" hidden="0" customWidth="1"/>
    <x:col min="10" max="10" width="21" hidden="0" customWidth="1"/>
    <x:col min="11" max="11" width="16" hidden="0" customWidth="1"/>
    <x:col min="12" max="12" width="10" hidden="0" customWidth="1"/>
    <x:col min="13" max="13" width="19" hidden="0" customWidth="1"/>
    <x:col min="14" max="14" width="19" hidden="0" customWidth="1"/>
    <x:col min="15" max="15" width="15" hidden="0" customWidth="1"/>
    <x:col min="16" max="16" width="17" hidden="0" customWidth="1"/>
    <x:col min="17" max="17" width="18" hidden="0" customWidth="1"/>
    <x:col min="18" max="18" width="14" hidden="0" customWidth="1"/>
    <x:col min="19" max="19" width="20" hidden="0" customWidth="1"/>
    <x:col min="20" max="20" width="16" hidden="0" customWidth="1"/>
    <x:col min="21" max="21" width="19" hidden="0" customWidth="1"/>
    <x:col min="22" max="22" width="20" hidden="0" customWidth="1"/>
    <x:col min="23" max="23" width="20" hidden="0" customWidth="1"/>
    <x:col min="24" max="24" width="20" hidden="0" customWidth="1"/>
    <x:col min="25" max="25" width="14" hidden="0" customWidth="1"/>
    <x:col min="26" max="26" width="20" hidden="0" customWidth="1"/>
    <x:col min="27" max="27" width="21" hidden="0" customWidth="1"/>
    <x:col min="28" max="28" width="21" hidden="0" customWidth="1"/>
    <x:col min="29" max="29" width="22" hidden="0" customWidth="1"/>
    <x:col min="30" max="30" width="20" hidden="0" customWidth="1"/>
    <x:col min="31" max="31" width="95" hidden="0" customWidth="1"/>
    <x:col min="32" max="32" width="18" hidden="0" customWidth="1"/>
    <x:col min="33" max="33" width="16" hidden="0" customWidth="1"/>
    <x:col min="34" max="34" width="17" hidden="0" customWidth="1"/>
    <x:col min="35" max="35" width="15" hidden="0" customWidth="1"/>
    <x:col min="36" max="36" width="12" hidden="0" customWidth="1"/>
    <x:col min="37" max="37" width="14" hidden="0" customWidth="1"/>
    <x:col min="38" max="38" width="20" hidden="0" customWidth="1"/>
    <x:col min="39" max="39" width="85" hidden="0" customWidth="1"/>
    <x:col min="40" max="40" width="55" hidden="0" customWidth="1"/>
    <x:col min="41" max="41" width="95" hidden="0" customWidth="1"/>
    <x:col min="42" max="42" width="85" hidden="0" customWidth="1"/>
    <x:col min="43" max="43" width="25" hidden="0" customWidth="1"/>
    <x:col min="44" max="44" width="14" hidden="0" customWidth="1"/>
    <x:col min="45" max="45" width="17" hidden="0" customWidth="1"/>
    <x:col min="46" max="46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</x:row>
    <x:row r="2" ht="30" customHeight="1">
      <x:c r="A2" s="38" t="str">
        <x:v>Дефицит · 30 дней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</x:row>
    <x:row r="4">
      <x:c r="A4" s="4" t="str">
        <x:v>Расчёт запасов на 22.09.2026. Жёлтые поля справа — ввод цен и расходов. Прибыль обновляется автоматически.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</x:row>
    <x:row r="5">
      <x:c r="A5" s="4" t="str">
        <x:v>Пустое поле означает «неизвестно». Если скидки или расходов нет, введите 0. Прибыль — до неучтённых общих расходов и налогов.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</x:row>
    <x:row r="7" ht="44" customHeight="1">
      <x:c r="A7" s="42" t="str">
        <x:v>Бренд</x:v>
      </x:c>
      <x:c r="B7" s="42" t="str">
        <x:v>Код 1С</x:v>
      </x:c>
      <x:c r="C7" s="42" t="str">
        <x:v>Артикул</x:v>
      </x:c>
      <x:c r="D7" s="42" t="str">
        <x:v>Наименование</x:v>
      </x:c>
      <x:c r="E7" s="42" t="str">
        <x:v>Ед.</x:v>
      </x:c>
      <x:c r="F7" s="42" t="str">
        <x:v>Рекомендовано</x:v>
      </x:c>
      <x:c r="G7" s="42" t="str">
        <x:v>Потенциальная прибыль</x:v>
      </x:c>
      <x:c r="H7" s="42" t="str">
        <x:v>Риск данных</x:v>
      </x:c>
      <x:c r="I7" s="42" t="str">
        <x:v>Риск запаса</x:v>
      </x:c>
      <x:c r="J7" s="42" t="str">
        <x:v>Статус расчёта</x:v>
      </x:c>
      <x:c r="K7" s="9" t="str">
        <x:v>Объём сделки</x:v>
      </x:c>
      <x:c r="L7" s="9" t="str">
        <x:v>Валюта</x:v>
      </x:c>
      <x:c r="M7" s="9" t="str">
        <x:v>Себестоимость / закупка за ед.</x:v>
      </x:c>
      <x:c r="N7" s="9" t="str">
        <x:v>Цена продажи до скидки</x:v>
      </x:c>
      <x:c r="O7" s="9" t="str">
        <x:v>Скидка продажи, %</x:v>
      </x:c>
      <x:c r="P7" s="9" t="str">
        <x:v>Доставка, всего</x:v>
      </x:c>
      <x:c r="Q7" s="9" t="str">
        <x:v>Прочие расходы, всего</x:v>
      </x:c>
      <x:c r="R7" s="9" t="str">
        <x:v>Комиссия, %</x:v>
      </x:c>
      <x:c r="S7" s="9" t="str">
        <x:v>Обычная цена закупки</x:v>
      </x:c>
      <x:c r="T7" s="42" t="str">
        <x:v>Продажи к расчёту</x:v>
      </x:c>
      <x:c r="U7" s="42" t="str">
        <x:v>Цена после скидки</x:v>
      </x:c>
      <x:c r="V7" s="42" t="str">
        <x:v>Выручка</x:v>
      </x:c>
      <x:c r="W7" s="42" t="str">
        <x:v>Себестоимость проданного</x:v>
      </x:c>
      <x:c r="X7" s="42" t="str">
        <x:v>Валовая прибыль</x:v>
      </x:c>
      <x:c r="Y7" s="42" t="str">
        <x:v>Маржа сделки</x:v>
      </x:c>
      <x:c r="Z7" s="42" t="str">
        <x:v>Бюджет закупки</x:v>
      </x:c>
      <x:c r="AA7" s="42" t="str">
        <x:v>Остаток MOQ в деньгах</x:v>
      </x:c>
      <x:c r="AB7" s="42" t="str">
        <x:v>Экономия цены закупки</x:v>
      </x:c>
      <x:c r="AC7" s="42" t="str">
        <x:v>Мин. цена после скидки</x:v>
      </x:c>
      <x:c r="AD7" s="42" t="str">
        <x:v>Финансовый результат</x:v>
      </x:c>
      <x:c r="AE7" s="42" t="str">
        <x:v>Расчёт прибыли</x:v>
      </x:c>
      <x:c r="AF7" s="42" t="str">
        <x:v>Прогноз на горизонт</x:v>
      </x:c>
      <x:c r="AG7" s="42" t="str">
        <x:v>Остаток</x:v>
      </x:c>
      <x:c r="AH7" s="42" t="str">
        <x:v>В пути 30 дней</x:v>
      </x:c>
      <x:c r="AI7" s="42" t="str">
        <x:v>Дата остатка</x:v>
      </x:c>
      <x:c r="AJ7" s="42" t="str">
        <x:v>MOQ</x:v>
      </x:c>
      <x:c r="AK7" s="42" t="str">
        <x:v>Правило MOQ</x:v>
      </x:c>
      <x:c r="AL7" s="42" t="str">
        <x:v>Запас без поступлений, дн.</x:v>
      </x:c>
      <x:c r="AM7" s="42" t="str">
        <x:v>Причины риска</x:v>
      </x:c>
      <x:c r="AN7" s="42" t="str">
        <x:v>Действие менеджера</x:v>
      </x:c>
      <x:c r="AO7" s="42" t="str">
        <x:v>Расчёт количества</x:v>
      </x:c>
      <x:c r="AP7" s="42" t="str">
        <x:v>Флаги данных</x:v>
      </x:c>
      <x:c r="AQ7" s="42" t="str">
        <x:v>ID товара</x:v>
      </x:c>
      <x:c r="AR7" s="42" t="str">
        <x:v>Шаг единицы</x:v>
      </x:c>
      <x:c r="AS7" s="42" t="str">
        <x:v>Нехватка до MOQ</x:v>
      </x:c>
      <x:c r="AT7" s="42" t="str">
        <x:v>Лимит продаж 30 дней</x:v>
      </x:c>
    </x:row>
    <x:row r="8" ht="64" customHeight="1">
      <x:c r="A8" s="11" t="str">
        <x:v>IEK</x:v>
      </x:c>
      <x:c r="B8" s="33" t="str">
        <x:v>010300016_</x:v>
      </x:c>
      <x:c r="C8" s="33" t="str">
        <x:v>MDV10-2-032-030</x:v>
      </x:c>
      <x:c r="D8" s="12" t="str">
        <x:v>УЗО ВД1 63 (2ф) 32А 30мА IEK  (1/48)</x:v>
      </x:c>
      <x:c r="E8" s="11" t="str">
        <x:v>шт</x:v>
      </x:c>
      <x:c r="F8" s="35" t="n">
        <x:f>IF(AS8&gt;0,MAX(AS8,AJ8),0)</x:f>
        <x:v>73</x:v>
      </x:c>
      <x:c r="G8" s="20" t="str">
        <x:f>IF(J8="Рассчитано",V8*(1-R8/100)-W8-P8-Q8,"н/д")</x:f>
        <x:v>н/д</x:v>
      </x:c>
      <x:c r="H8" s="12" t="str">
        <x:v>Высокий</x:v>
      </x:c>
      <x:c r="I8" s="12" t="str">
        <x:v>Высокий</x:v>
      </x:c>
      <x:c r="J8" s="12" t="str">
        <x:f>IF(L8="","Укажите валюту",IF(NOT(ISNUMBER(K8)),"Укажите объём",IF(K8&lt;=0,"Укажите объём",IF(COUNT(M8:O8)&lt;3,"Нужны цены",IF(COUNT(P8:R8)&lt;3,"Нужны расходы",IF(OR(M8&lt;0,N8&lt;0,O8&lt;0,O8&gt;100,P8&lt;0,Q8&lt;0,R8&lt;0,R8&gt;100),"Проверьте значения","Рассчитано"))))))</x:f>
        <x:v>Нужны цены</x:v>
      </x:c>
      <x:c r="K8" s="36" t="n">
        <x:v>73</x:v>
      </x:c>
      <x:c r="L8" s="19" t="str">
        <x:v>KZT</x:v>
      </x:c>
      <x:c r="M8" s="22"/>
      <x:c r="N8" s="22"/>
      <x:c r="O8" s="28"/>
      <x:c r="P8" s="22"/>
      <x:c r="Q8" s="22"/>
      <x:c r="R8" s="28"/>
      <x:c r="S8" s="22"/>
      <x:c r="T8" s="35" t="n">
        <x:f>MIN(K8,AT8)</x:f>
        <x:v>72.0438850545106</x:v>
      </x:c>
      <x:c r="U8" s="20" t="str">
        <x:f>IF(J8="Рассчитано",N8*(1-O8/100),"н/д")</x:f>
        <x:v>н/д</x:v>
      </x:c>
      <x:c r="V8" s="20" t="str">
        <x:f>IF(J8="Рассчитано",T8*U8,"н/д")</x:f>
        <x:v>н/д</x:v>
      </x:c>
      <x:c r="W8" s="20" t="str">
        <x:f>IF(J8="Рассчитано",T8*M8,"н/д")</x:f>
        <x:v>н/д</x:v>
      </x:c>
      <x:c r="X8" s="20" t="str">
        <x:f>IF(J8="Рассчитано",V8-W8,"н/д")</x:f>
        <x:v>н/д</x:v>
      </x:c>
      <x:c r="Y8" s="26" t="str">
        <x:f>IF(J8="Рассчитано",IF(V8&gt;0,G8/V8,"н/д"),"н/д")</x:f>
        <x:v>н/д</x:v>
      </x:c>
      <x:c r="Z8" s="20" t="str">
        <x:f>IF(J8="Рассчитано",K8*M8,"н/д")</x:f>
        <x:v>н/д</x:v>
      </x:c>
      <x:c r="AA8" s="20" t="str">
        <x:f>IF(J8="Рассчитано",(K8-T8)*M8,"н/д")</x:f>
        <x:v>н/д</x:v>
      </x:c>
      <x:c r="AB8" s="20" t="str">
        <x:f>IF(AND(J8="Рассчитано",ISNUMBER(S8)),K8*(S8-M8),"н/д")</x:f>
        <x:v>н/д</x:v>
      </x:c>
      <x:c r="AC8" s="20" t="str">
        <x:f>IF(AND(J8="Рассчитано",T8&gt;0,R8&lt;100),(W8+P8+Q8)/(T8*(1-R8/100)),"н/д")</x:f>
        <x:v>н/д</x:v>
      </x:c>
      <x:c r="AD8" s="11" t="str">
        <x:f>IF(ISNUMBER(G8),IF(G8&lt;0,"Убыток",IF(G8=0,"Без прибыли","Прибыль &gt; 0")),"Не оценён")</x:f>
        <x:v>Не оценён</x:v>
      </x:c>
      <x:c r="AE8" s="12" t="str">
        <x:f>IF(J8="Рассчитано","Выручка "&amp;TEXT(V8,"0.00")&amp;" - себестоимость "&amp;TEXT(W8,"0.00")&amp;" - комиссия "&amp;TEXT(V8*R8/100,"0.00")&amp;" - доставка "&amp;TEXT(P8,"0.00")&amp;" - прочие "&amp;TEXT(Q8,"0.00")&amp;" = "&amp;TEXT(G8,"0.00")&amp;" "&amp;L8,"Введите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" s="23" t="n">
        <x:v>101.0438850545106</x:v>
      </x:c>
      <x:c r="AG8" s="35" t="n">
        <x:v>29</x:v>
      </x:c>
      <x:c r="AH8" s="35" t="n">
        <x:v>0</x:v>
      </x:c>
      <x:c r="AI8" s="29" t="n">
        <x:v>46266</x:v>
      </x:c>
      <x:c r="AJ8" s="35" t="n">
        <x:v>1</x:v>
      </x:c>
      <x:c r="AK8" s="11" t="str">
        <x:v>минимум</x:v>
      </x:c>
      <x:c r="AL8" s="31" t="n">
        <x:v>8.610120241622313</x:v>
      </x:c>
      <x:c r="AM8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8.6 дн. без поступлений</x:v>
      </x:c>
      <x:c r="AN8" s="12" t="str">
        <x:v>Подтвердить наличие, срок и цену закупки</x:v>
      </x:c>
      <x:c r="AO8" s="12" t="str">
        <x:v>Прогноз 30 дней 101.04; остаток 29; поступления в срок 0; нехватка 73; заказ с учётом MOQ 73 шт. Остаток на начало сентября: требуется актуализация.</x:v>
      </x:c>
      <x:c r="AP8" s="12" t="str">
        <x:v>["category_missing", "daily_stockout_data_missing", "large_orders_detected", "new_order_lead_time_unknown", "reservations_unknown", "stale_stock", "transaction_month_mismatch"]</x:v>
      </x:c>
      <x:c r="AQ8" s="11" t="str">
        <x:v>IEK:010300016_</x:v>
      </x:c>
      <x:c r="AR8" s="23" t="n">
        <x:v>1</x:v>
      </x:c>
      <x:c r="AS8" s="23" t="n">
        <x:f>MAX(0,ROUNDUP(MAX(0,AF8-AG8-AH8)/AR8-0.000000001,0)*AR8)</x:f>
        <x:v>73</x:v>
      </x:c>
      <x:c r="AT8" s="23" t="n">
        <x:v>72.0438850545106</x:v>
      </x:c>
    </x:row>
    <x:row r="9" ht="64" customHeight="1">
      <x:c r="A9" s="10" t="str">
        <x:v>IEK</x:v>
      </x:c>
      <x:c r="B9" s="34" t="str">
        <x:v>010300017_</x:v>
      </x:c>
      <x:c r="C9" s="34" t="str">
        <x:v>MDV10-2-040-030</x:v>
      </x:c>
      <x:c r="D9" s="13" t="str">
        <x:v>УЗО ВД1 63 (2ф) 40А 30мА  IEK  (1/48)</x:v>
      </x:c>
      <x:c r="E9" s="10" t="str">
        <x:v>шт</x:v>
      </x:c>
      <x:c r="F9" s="37" t="n">
        <x:f>IF(AS9&gt;0,MAX(AS9,AJ9),0)</x:f>
        <x:v>103</x:v>
      </x:c>
      <x:c r="G9" s="21" t="str">
        <x:f>IF(J9="Рассчитано",V9*(1-R9/100)-W9-P9-Q9,"н/д")</x:f>
        <x:v>н/д</x:v>
      </x:c>
      <x:c r="H9" s="13" t="str">
        <x:v>Высокий</x:v>
      </x:c>
      <x:c r="I9" s="13" t="str">
        <x:v>Критический</x:v>
      </x:c>
      <x:c r="J9" s="13" t="str">
        <x:f>IF(L9="","Укажите валюту",IF(NOT(ISNUMBER(K9)),"Укажите объём",IF(K9&lt;=0,"Укажите объём",IF(COUNT(M9:O9)&lt;3,"Нужны цены",IF(COUNT(P9:R9)&lt;3,"Нужны расходы",IF(OR(M9&lt;0,N9&lt;0,O9&lt;0,O9&gt;100,P9&lt;0,Q9&lt;0,R9&lt;0,R9&gt;100),"Проверьте значения","Рассчитано"))))))</x:f>
        <x:v>Нужны цены</x:v>
      </x:c>
      <x:c r="K9" s="36" t="n">
        <x:v>103</x:v>
      </x:c>
      <x:c r="L9" s="19" t="str">
        <x:v>KZT</x:v>
      </x:c>
      <x:c r="M9" s="22"/>
      <x:c r="N9" s="22"/>
      <x:c r="O9" s="28"/>
      <x:c r="P9" s="22"/>
      <x:c r="Q9" s="22"/>
      <x:c r="R9" s="28"/>
      <x:c r="S9" s="22"/>
      <x:c r="T9" s="37" t="n">
        <x:f>MIN(K9,AT9)</x:f>
        <x:v>102.20570322096337</x:v>
      </x:c>
      <x:c r="U9" s="21" t="str">
        <x:f>IF(J9="Рассчитано",N9*(1-O9/100),"н/д")</x:f>
        <x:v>н/д</x:v>
      </x:c>
      <x:c r="V9" s="21" t="str">
        <x:f>IF(J9="Рассчитано",T9*U9,"н/д")</x:f>
        <x:v>н/д</x:v>
      </x:c>
      <x:c r="W9" s="21" t="str">
        <x:f>IF(J9="Рассчитано",T9*M9,"н/д")</x:f>
        <x:v>н/д</x:v>
      </x:c>
      <x:c r="X9" s="21" t="str">
        <x:f>IF(J9="Рассчитано",V9-W9,"н/д")</x:f>
        <x:v>н/д</x:v>
      </x:c>
      <x:c r="Y9" s="27" t="str">
        <x:f>IF(J9="Рассчитано",IF(V9&gt;0,G9/V9,"н/д"),"н/д")</x:f>
        <x:v>н/д</x:v>
      </x:c>
      <x:c r="Z9" s="21" t="str">
        <x:f>IF(J9="Рассчитано",K9*M9,"н/д")</x:f>
        <x:v>н/д</x:v>
      </x:c>
      <x:c r="AA9" s="21" t="str">
        <x:f>IF(J9="Рассчитано",(K9-T9)*M9,"н/д")</x:f>
        <x:v>н/д</x:v>
      </x:c>
      <x:c r="AB9" s="21" t="str">
        <x:f>IF(AND(J9="Рассчитано",ISNUMBER(S9)),K9*(S9-M9),"н/д")</x:f>
        <x:v>н/д</x:v>
      </x:c>
      <x:c r="AC9" s="21" t="str">
        <x:f>IF(AND(J9="Рассчитано",T9&gt;0,R9&lt;100),(W9+P9+Q9)/(T9*(1-R9/100)),"н/д")</x:f>
        <x:v>н/д</x:v>
      </x:c>
      <x:c r="AD9" s="10" t="str">
        <x:f>IF(ISNUMBER(G9),IF(G9&lt;0,"Убыток",IF(G9=0,"Без прибыли","Прибыль &gt; 0")),"Не оценён")</x:f>
        <x:v>Не оценён</x:v>
      </x:c>
      <x:c r="AE9" s="13" t="str">
        <x:f>IF(J9="Рассчитано","Выручка "&amp;TEXT(V9,"0.00")&amp;" - себестоимость "&amp;TEXT(W9,"0.00")&amp;" - комиссия "&amp;TEXT(V9*R9/100,"0.00")&amp;" - доставка "&amp;TEXT(P9,"0.00")&amp;" - прочие "&amp;TEXT(Q9,"0.00")&amp;" = "&amp;TEXT(G9,"0.00")&amp;" "&amp;L9,"Введите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" s="24" t="n">
        <x:v>107.20570322096337</x:v>
      </x:c>
      <x:c r="AG9" s="37" t="n">
        <x:v>5</x:v>
      </x:c>
      <x:c r="AH9" s="37" t="n">
        <x:v>0</x:v>
      </x:c>
      <x:c r="AI9" s="30" t="n">
        <x:v>46266</x:v>
      </x:c>
      <x:c r="AJ9" s="37" t="n">
        <x:v>1</x:v>
      </x:c>
      <x:c r="AK9" s="10" t="str">
        <x:v>минимум</x:v>
      </x:c>
      <x:c r="AL9" s="32" t="n">
        <x:v>1.3991792926429727</x:v>
      </x:c>
      <x:c r="AM9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1.4 дн. без поступлений</x:v>
      </x:c>
      <x:c r="AN9" s="13" t="str">
        <x:v>Подтвердить наличие, срок и цену закупки</x:v>
      </x:c>
      <x:c r="AO9" s="13" t="str">
        <x:v>Прогноз 30 дней 107.21; остаток 5; поступления в срок 0; нехватка 103; заказ с учётом MOQ 103 шт. Остаток на начало сентября: требуется актуализация.</x:v>
      </x:c>
      <x:c r="AP9" s="13" t="str">
        <x:v>["category_missing", "daily_stockout_data_missing", "large_orders_detected", "new_order_lead_time_unknown", "reservations_unknown", "stale_stock", "transaction_month_mismatch"]</x:v>
      </x:c>
      <x:c r="AQ9" s="10" t="str">
        <x:v>IEK:010300017_</x:v>
      </x:c>
      <x:c r="AR9" s="24" t="n">
        <x:v>1</x:v>
      </x:c>
      <x:c r="AS9" s="24" t="n">
        <x:f>MAX(0,ROUNDUP(MAX(0,AF9-AG9-AH9)/AR9-0.000000001,0)*AR9)</x:f>
        <x:v>103</x:v>
      </x:c>
      <x:c r="AT9" s="24" t="n">
        <x:v>102.20570322096337</x:v>
      </x:c>
    </x:row>
    <x:row r="10" ht="64" customHeight="1">
      <x:c r="A10" s="11" t="str">
        <x:v>IEK</x:v>
      </x:c>
      <x:c r="B10" s="33" t="str">
        <x:v>010300053_</x:v>
      </x:c>
      <x:c r="C10" s="33" t="str">
        <x:v>MAD22-5-025-C-30</x:v>
      </x:c>
      <x:c r="D10" s="12" t="str">
        <x:v>УЗО АВДТ 32  25А IEK  (6/60)</x:v>
      </x:c>
      <x:c r="E10" s="11" t="str">
        <x:v>шт</x:v>
      </x:c>
      <x:c r="F10" s="35" t="n">
        <x:f>IF(AS10&gt;0,MAX(AS10,AJ10),0)</x:f>
        <x:v>26</x:v>
      </x:c>
      <x:c r="G10" s="20" t="str">
        <x:f>IF(J10="Рассчитано",V10*(1-R10/100)-W10-P10-Q10,"н/д")</x:f>
        <x:v>н/д</x:v>
      </x:c>
      <x:c r="H10" s="12" t="str">
        <x:v>Высокий</x:v>
      </x:c>
      <x:c r="I10" s="12" t="str">
        <x:v>Средний</x:v>
      </x:c>
      <x:c r="J10" s="12" t="str">
        <x:f>IF(L10="","Укажите валюту",IF(NOT(ISNUMBER(K10)),"Укажите объём",IF(K10&lt;=0,"Укажите объём",IF(COUNT(M10:O10)&lt;3,"Нужны цены",IF(COUNT(P10:R10)&lt;3,"Нужны расходы",IF(OR(M10&lt;0,N10&lt;0,O10&lt;0,O10&gt;100,P10&lt;0,Q10&lt;0,R10&lt;0,R10&gt;100),"Проверьте значения","Рассчитано"))))))</x:f>
        <x:v>Нужны цены</x:v>
      </x:c>
      <x:c r="K10" s="36" t="n">
        <x:v>26</x:v>
      </x:c>
      <x:c r="L10" s="19" t="str">
        <x:v>KZT</x:v>
      </x:c>
      <x:c r="M10" s="22"/>
      <x:c r="N10" s="22"/>
      <x:c r="O10" s="28"/>
      <x:c r="P10" s="22"/>
      <x:c r="Q10" s="22"/>
      <x:c r="R10" s="28"/>
      <x:c r="S10" s="22"/>
      <x:c r="T10" s="35" t="n">
        <x:f>MIN(K10,AT10)</x:f>
        <x:v>25.020498358103623</x:v>
      </x:c>
      <x:c r="U10" s="20" t="str">
        <x:f>IF(J10="Рассчитано",N10*(1-O10/100),"н/д")</x:f>
        <x:v>н/д</x:v>
      </x:c>
      <x:c r="V10" s="20" t="str">
        <x:f>IF(J10="Рассчитано",T10*U10,"н/д")</x:f>
        <x:v>н/д</x:v>
      </x:c>
      <x:c r="W10" s="20" t="str">
        <x:f>IF(J10="Рассчитано",T10*M10,"н/д")</x:f>
        <x:v>н/д</x:v>
      </x:c>
      <x:c r="X10" s="20" t="str">
        <x:f>IF(J10="Рассчитано",V10-W10,"н/д")</x:f>
        <x:v>н/д</x:v>
      </x:c>
      <x:c r="Y10" s="26" t="str">
        <x:f>IF(J10="Рассчитано",IF(V10&gt;0,G10/V10,"н/д"),"н/д")</x:f>
        <x:v>н/д</x:v>
      </x:c>
      <x:c r="Z10" s="20" t="str">
        <x:f>IF(J10="Рассчитано",K10*M10,"н/д")</x:f>
        <x:v>н/д</x:v>
      </x:c>
      <x:c r="AA10" s="20" t="str">
        <x:f>IF(J10="Рассчитано",(K10-T10)*M10,"н/д")</x:f>
        <x:v>н/д</x:v>
      </x:c>
      <x:c r="AB10" s="20" t="str">
        <x:f>IF(AND(J10="Рассчитано",ISNUMBER(S10)),K10*(S10-M10),"н/д")</x:f>
        <x:v>н/д</x:v>
      </x:c>
      <x:c r="AC10" s="20" t="str">
        <x:f>IF(AND(J10="Рассчитано",T10&gt;0,R10&lt;100),(W10+P10+Q10)/(T10*(1-R10/100)),"н/д")</x:f>
        <x:v>н/д</x:v>
      </x:c>
      <x:c r="AD10" s="11" t="str">
        <x:f>IF(ISNUMBER(G10),IF(G10&lt;0,"Убыток",IF(G10=0,"Без прибыли","Прибыль &gt; 0")),"Не оценён")</x:f>
        <x:v>Не оценён</x:v>
      </x:c>
      <x:c r="AE10" s="12" t="str">
        <x:f>IF(J10="Рассчитано","Выручка "&amp;TEXT(V10,"0.00")&amp;" - себестоимость "&amp;TEXT(W10,"0.00")&amp;" - комиссия "&amp;TEXT(V10*R10/100,"0.00")&amp;" - доставка "&amp;TEXT(P10,"0.00")&amp;" - прочие "&amp;TEXT(Q10,"0.00")&amp;" = "&amp;TEXT(G10,"0.00")&amp;" "&amp;L10,"Введите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" s="23" t="n">
        <x:v>1007.0204983581036</x:v>
      </x:c>
      <x:c r="AG10" s="35" t="n">
        <x:v>982</x:v>
      </x:c>
      <x:c r="AH10" s="35" t="n">
        <x:v>0</x:v>
      </x:c>
      <x:c r="AI10" s="29" t="n">
        <x:v>46266</x:v>
      </x:c>
      <x:c r="AJ10" s="35" t="n">
        <x:v>1</x:v>
      </x:c>
      <x:c r="AK10" s="11" t="str">
        <x:v>минимум</x:v>
      </x:c>
      <x:c r="AL10" s="31" t="n">
        <x:v>29.25461800234757</x:v>
      </x:c>
      <x:c r="AM10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29.3 дн. без поступлений</x:v>
      </x:c>
      <x:c r="AN10" s="12" t="str">
        <x:v>Подтвердить наличие, срок и цену закупки</x:v>
      </x:c>
      <x:c r="AO10" s="12" t="str">
        <x:v>Прогноз 30 дней 1007.02; остаток 982; поступления в срок 0; нехватка 26; заказ с учётом MOQ 26 шт. Остаток на начало сентября: требуется актуализация.</x:v>
      </x:c>
      <x:c r="AP10" s="12" t="str">
        <x:v>["category_missing", "daily_stockout_data_missing", "large_orders_detected", "new_order_lead_time_unknown", "reservations_unknown", "stale_stock", "transaction_month_mismatch"]</x:v>
      </x:c>
      <x:c r="AQ10" s="11" t="str">
        <x:v>IEK:010300053_</x:v>
      </x:c>
      <x:c r="AR10" s="23" t="n">
        <x:v>1</x:v>
      </x:c>
      <x:c r="AS10" s="23" t="n">
        <x:f>MAX(0,ROUNDUP(MAX(0,AF10-AG10-AH10)/AR10-0.000000001,0)*AR10)</x:f>
        <x:v>26</x:v>
      </x:c>
      <x:c r="AT10" s="23" t="n">
        <x:v>25.020498358103623</x:v>
      </x:c>
    </x:row>
    <x:row r="11" ht="64" customHeight="1">
      <x:c r="A11" s="10" t="str">
        <x:v>IEK</x:v>
      </x:c>
      <x:c r="B11" s="34" t="str">
        <x:v>010300074_</x:v>
      </x:c>
      <x:c r="C11" s="34" t="str">
        <x:v>MAD22-5-010-C-30</x:v>
      </x:c>
      <x:c r="D11" s="13" t="str">
        <x:v>УЗО АВДТ 32  10А IEK  (6/60)</x:v>
      </x:c>
      <x:c r="E11" s="10" t="str">
        <x:v>шт</x:v>
      </x:c>
      <x:c r="F11" s="37" t="n">
        <x:f>IF(AS11&gt;0,MAX(AS11,AJ11),0)</x:f>
        <x:v>3</x:v>
      </x:c>
      <x:c r="G11" s="21" t="str">
        <x:f>IF(J11="Рассчитано",V11*(1-R11/100)-W11-P11-Q11,"н/д")</x:f>
        <x:v>н/д</x:v>
      </x:c>
      <x:c r="H11" s="13" t="str">
        <x:v>Высокий</x:v>
      </x:c>
      <x:c r="I11" s="13" t="str">
        <x:v>Средний</x:v>
      </x:c>
      <x:c r="J11" s="13" t="str">
        <x:f>IF(L11="","Укажите валюту",IF(NOT(ISNUMBER(K11)),"Укажите объём",IF(K11&lt;=0,"Укажите объём",IF(COUNT(M11:O11)&lt;3,"Нужны цены",IF(COUNT(P11:R11)&lt;3,"Нужны расходы",IF(OR(M11&lt;0,N11&lt;0,O11&lt;0,O11&gt;100,P11&lt;0,Q11&lt;0,R11&lt;0,R11&gt;100),"Проверьте значения","Рассчитано"))))))</x:f>
        <x:v>Нужны цены</x:v>
      </x:c>
      <x:c r="K11" s="36" t="n">
        <x:v>3</x:v>
      </x:c>
      <x:c r="L11" s="19" t="str">
        <x:v>KZT</x:v>
      </x:c>
      <x:c r="M11" s="22"/>
      <x:c r="N11" s="22"/>
      <x:c r="O11" s="28"/>
      <x:c r="P11" s="22"/>
      <x:c r="Q11" s="22"/>
      <x:c r="R11" s="28"/>
      <x:c r="S11" s="22"/>
      <x:c r="T11" s="37" t="n">
        <x:f>MIN(K11,AT11)</x:f>
        <x:v>2.255406652085142</x:v>
      </x:c>
      <x:c r="U11" s="21" t="str">
        <x:f>IF(J11="Рассчитано",N11*(1-O11/100),"н/д")</x:f>
        <x:v>н/д</x:v>
      </x:c>
      <x:c r="V11" s="21" t="str">
        <x:f>IF(J11="Рассчитано",T11*U11,"н/д")</x:f>
        <x:v>н/д</x:v>
      </x:c>
      <x:c r="W11" s="21" t="str">
        <x:f>IF(J11="Рассчитано",T11*M11,"н/д")</x:f>
        <x:v>н/д</x:v>
      </x:c>
      <x:c r="X11" s="21" t="str">
        <x:f>IF(J11="Рассчитано",V11-W11,"н/д")</x:f>
        <x:v>н/д</x:v>
      </x:c>
      <x:c r="Y11" s="27" t="str">
        <x:f>IF(J11="Рассчитано",IF(V11&gt;0,G11/V11,"н/д"),"н/д")</x:f>
        <x:v>н/д</x:v>
      </x:c>
      <x:c r="Z11" s="21" t="str">
        <x:f>IF(J11="Рассчитано",K11*M11,"н/д")</x:f>
        <x:v>н/д</x:v>
      </x:c>
      <x:c r="AA11" s="21" t="str">
        <x:f>IF(J11="Рассчитано",(K11-T11)*M11,"н/д")</x:f>
        <x:v>н/д</x:v>
      </x:c>
      <x:c r="AB11" s="21" t="str">
        <x:f>IF(AND(J11="Рассчитано",ISNUMBER(S11)),K11*(S11-M11),"н/д")</x:f>
        <x:v>н/д</x:v>
      </x:c>
      <x:c r="AC11" s="21" t="str">
        <x:f>IF(AND(J11="Рассчитано",T11&gt;0,R11&lt;100),(W11+P11+Q11)/(T11*(1-R11/100)),"н/д")</x:f>
        <x:v>н/д</x:v>
      </x:c>
      <x:c r="AD11" s="10" t="str">
        <x:f>IF(ISNUMBER(G11),IF(G11&lt;0,"Убыток",IF(G11=0,"Без прибыли","Прибыль &gt; 0")),"Не оценён")</x:f>
        <x:v>Не оценён</x:v>
      </x:c>
      <x:c r="AE11" s="13" t="str">
        <x:f>IF(J11="Рассчитано","Выручка "&amp;TEXT(V11,"0.00")&amp;" - себестоимость "&amp;TEXT(W11,"0.00")&amp;" - комиссия "&amp;TEXT(V11*R11/100,"0.00")&amp;" - доставка "&amp;TEXT(P11,"0.00")&amp;" - прочие "&amp;TEXT(Q11,"0.00")&amp;" = "&amp;TEXT(G11,"0.00")&amp;" "&amp;L11,"Введите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" s="24" t="n">
        <x:v>105.25540665208514</x:v>
      </x:c>
      <x:c r="AG11" s="37" t="n">
        <x:v>103</x:v>
      </x:c>
      <x:c r="AH11" s="37" t="n">
        <x:v>0</x:v>
      </x:c>
      <x:c r="AI11" s="30" t="n">
        <x:v>46266</x:v>
      </x:c>
      <x:c r="AJ11" s="37" t="n">
        <x:v>1</x:v>
      </x:c>
      <x:c r="AK11" s="10" t="str">
        <x:v>минимум</x:v>
      </x:c>
      <x:c r="AL11" s="32" t="n">
        <x:v>29.357161767602047</x:v>
      </x:c>
      <x:c r="AM11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29.4 дн. без поступлений</x:v>
      </x:c>
      <x:c r="AN11" s="13" t="str">
        <x:v>Подтвердить наличие, срок и цену закупки</x:v>
      </x:c>
      <x:c r="AO11" s="13" t="str">
        <x:v>Прогноз 30 дней 105.26; остаток 103; поступления в срок 0; нехватка 3; заказ с учётом MOQ 3 шт. Остаток на начало сентября: требуется актуализация.</x:v>
      </x:c>
      <x:c r="AP11" s="13" t="str">
        <x:v>["category_missing", "daily_stockout_data_missing", "large_orders_detected", "new_order_lead_time_unknown", "reservations_unknown", "stale_stock", "transaction_month_mismatch"]</x:v>
      </x:c>
      <x:c r="AQ11" s="10" t="str">
        <x:v>IEK:010300074_</x:v>
      </x:c>
      <x:c r="AR11" s="24" t="n">
        <x:v>1</x:v>
      </x:c>
      <x:c r="AS11" s="24" t="n">
        <x:f>MAX(0,ROUNDUP(MAX(0,AF11-AG11-AH11)/AR11-0.000000001,0)*AR11)</x:f>
        <x:v>3</x:v>
      </x:c>
      <x:c r="AT11" s="24" t="n">
        <x:v>2.255406652085142</x:v>
      </x:c>
    </x:row>
    <x:row r="12" ht="64" customHeight="1">
      <x:c r="A12" s="11" t="str">
        <x:v>IEK</x:v>
      </x:c>
      <x:c r="B12" s="33" t="str">
        <x:v>010300127_</x:v>
      </x:c>
      <x:c r="C12" s="33"/>
      <x:c r="D12" s="12" t="str">
        <x:v>УЗО АД 12  (2ф) 50А 300мА IEK (4/32) !!!</x:v>
      </x:c>
      <x:c r="E12" s="11" t="str">
        <x:v>шт</x:v>
      </x:c>
      <x:c r="F12" s="35" t="n">
        <x:f>AS12</x:f>
        <x:v>1</x:v>
      </x:c>
      <x:c r="G12" s="20" t="str">
        <x:f>IF(J12="Рассчитано",V12*(1-R12/100)-W12-P12-Q12,"н/д")</x:f>
        <x:v>н/д</x:v>
      </x:c>
      <x:c r="H12" s="12" t="str">
        <x:v>Высокий</x:v>
      </x:c>
      <x:c r="I12" s="12" t="str">
        <x:v>Критический</x:v>
      </x:c>
      <x:c r="J12" s="12" t="str">
        <x:f>IF(L12="","Укажите валюту",IF(NOT(ISNUMBER(K12)),"Укажите объём",IF(K12&lt;=0,"Укажите объём",IF(COUNT(M12:O12)&lt;3,"Нужны цены",IF(COUNT(P12:R12)&lt;3,"Нужны расходы",IF(OR(M12&lt;0,N12&lt;0,O12&lt;0,O12&gt;100,P12&lt;0,Q12&lt;0,R12&lt;0,R12&gt;100),"Проверьте значения","Рассчитано"))))))</x:f>
        <x:v>Нужны цены</x:v>
      </x:c>
      <x:c r="K12" s="36" t="n">
        <x:v>1</x:v>
      </x:c>
      <x:c r="L12" s="19" t="str">
        <x:v>KZT</x:v>
      </x:c>
      <x:c r="M12" s="22"/>
      <x:c r="N12" s="22"/>
      <x:c r="O12" s="28"/>
      <x:c r="P12" s="22"/>
      <x:c r="Q12" s="22"/>
      <x:c r="R12" s="28"/>
      <x:c r="S12" s="22"/>
      <x:c r="T12" s="35" t="n">
        <x:f>MIN(K12,AT12)</x:f>
        <x:v>0.04592496846673876</x:v>
      </x:c>
      <x:c r="U12" s="20" t="str">
        <x:f>IF(J12="Рассчитано",N12*(1-O12/100),"н/д")</x:f>
        <x:v>н/д</x:v>
      </x:c>
      <x:c r="V12" s="20" t="str">
        <x:f>IF(J12="Рассчитано",T12*U12,"н/д")</x:f>
        <x:v>н/д</x:v>
      </x:c>
      <x:c r="W12" s="20" t="str">
        <x:f>IF(J12="Рассчитано",T12*M12,"н/д")</x:f>
        <x:v>н/д</x:v>
      </x:c>
      <x:c r="X12" s="20" t="str">
        <x:f>IF(J12="Рассчитано",V12-W12,"н/д")</x:f>
        <x:v>н/д</x:v>
      </x:c>
      <x:c r="Y12" s="26" t="str">
        <x:f>IF(J12="Рассчитано",IF(V12&gt;0,G12/V12,"н/д"),"н/д")</x:f>
        <x:v>н/д</x:v>
      </x:c>
      <x:c r="Z12" s="20" t="str">
        <x:f>IF(J12="Рассчитано",K12*M12,"н/д")</x:f>
        <x:v>н/д</x:v>
      </x:c>
      <x:c r="AA12" s="20" t="str">
        <x:f>IF(J12="Рассчитано",(K12-T12)*M12,"н/д")</x:f>
        <x:v>н/д</x:v>
      </x:c>
      <x:c r="AB12" s="20" t="str">
        <x:f>IF(AND(J12="Рассчитано",ISNUMBER(S12)),K12*(S12-M12),"н/д")</x:f>
        <x:v>н/д</x:v>
      </x:c>
      <x:c r="AC12" s="20" t="str">
        <x:f>IF(AND(J12="Рассчитано",T12&gt;0,R12&lt;100),(W12+P12+Q12)/(T12*(1-R12/100)),"н/д")</x:f>
        <x:v>н/д</x:v>
      </x:c>
      <x:c r="AD12" s="11" t="str">
        <x:f>IF(ISNUMBER(G12),IF(G12&lt;0,"Убыток",IF(G12=0,"Без прибыли","Прибыль &gt; 0")),"Не оценён")</x:f>
        <x:v>Не оценён</x:v>
      </x:c>
      <x:c r="AE12" s="12" t="str">
        <x:f>IF(J12="Рассчитано","Выручка "&amp;TEXT(V12,"0.00")&amp;" - себестоимость "&amp;TEXT(W12,"0.00")&amp;" - комиссия "&amp;TEXT(V12*R12/100,"0.00")&amp;" - доставка "&amp;TEXT(P12,"0.00")&amp;" - прочие "&amp;TEXT(Q12,"0.00")&amp;" = "&amp;TEXT(G12,"0.00")&amp;" "&amp;L12,"Введите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" s="23" t="n">
        <x:v>0.04592496846673876</x:v>
      </x:c>
      <x:c r="AG12" s="35" t="n">
        <x:v>0</x:v>
      </x:c>
      <x:c r="AH12" s="35" t="n">
        <x:v>0</x:v>
      </x:c>
      <x:c r="AI12" s="29" t="n">
        <x:v>46266</x:v>
      </x:c>
      <x:c r="AJ12" s="35"/>
      <x:c r="AK12" s="11" t="str">
        <x:v>неизвестно</x:v>
      </x:c>
      <x:c r="AL12" s="31" t="n">
        <x:v>0</x:v>
      </x:c>
      <x:c r="AM12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2" s="12" t="str">
        <x:v>Подтвердить наличие, срок и цену закупки</x:v>
      </x:c>
      <x:c r="AO12" s="12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12" s="12" t="str">
        <x:v>["blank_stock_assumed_zero", "category_missing", "daily_stockout_data_missing", "moq_missing", "new_order_lead_time_unknown", "reservations_unknown", "stale_stock", "supplier_sku_missing"]</x:v>
      </x:c>
      <x:c r="AQ12" s="11" t="str">
        <x:v>IEK:010300127_</x:v>
      </x:c>
      <x:c r="AR12" s="23" t="n">
        <x:v>1</x:v>
      </x:c>
      <x:c r="AS12" s="23" t="n">
        <x:f>MAX(0,ROUNDUP(MAX(0,AF12-AG12-AH12)/AR12-0.000000001,0)*AR12)</x:f>
        <x:v>1</x:v>
      </x:c>
      <x:c r="AT12" s="23" t="n">
        <x:v>0.04592496846673876</x:v>
      </x:c>
    </x:row>
    <x:row r="13" ht="64" customHeight="1">
      <x:c r="A13" s="10" t="str">
        <x:v>IEK</x:v>
      </x:c>
      <x:c r="B13" s="34" t="str">
        <x:v>010300144_</x:v>
      </x:c>
      <x:c r="C13" s="34"/>
      <x:c r="D13" s="13" t="str">
        <x:v>УЗО АД 14  (4ф) 63А 100мА IEK !</x:v>
      </x:c>
      <x:c r="E13" s="10" t="str">
        <x:v>шт</x:v>
      </x:c>
      <x:c r="F13" s="37" t="n">
        <x:f>AS13</x:f>
        <x:v>1</x:v>
      </x:c>
      <x:c r="G13" s="21" t="str">
        <x:f>IF(J13="Рассчитано",V13*(1-R13/100)-W13-P13-Q13,"н/д")</x:f>
        <x:v>н/д</x:v>
      </x:c>
      <x:c r="H13" s="13" t="str">
        <x:v>Высокий</x:v>
      </x:c>
      <x:c r="I13" s="13" t="str">
        <x:v>Критический</x:v>
      </x:c>
      <x:c r="J13" s="13" t="str">
        <x:f>IF(L13="","Укажите валюту",IF(NOT(ISNUMBER(K13)),"Укажите объём",IF(K13&lt;=0,"Укажите объём",IF(COUNT(M13:O13)&lt;3,"Нужны цены",IF(COUNT(P13:R13)&lt;3,"Нужны расходы",IF(OR(M13&lt;0,N13&lt;0,O13&lt;0,O13&gt;100,P13&lt;0,Q13&lt;0,R13&lt;0,R13&gt;100),"Проверьте значения","Рассчитано"))))))</x:f>
        <x:v>Нужны цены</x:v>
      </x:c>
      <x:c r="K13" s="36" t="n">
        <x:v>1</x:v>
      </x:c>
      <x:c r="L13" s="19" t="str">
        <x:v>KZT</x:v>
      </x:c>
      <x:c r="M13" s="22"/>
      <x:c r="N13" s="22"/>
      <x:c r="O13" s="28"/>
      <x:c r="P13" s="22"/>
      <x:c r="Q13" s="22"/>
      <x:c r="R13" s="28"/>
      <x:c r="S13" s="22"/>
      <x:c r="T13" s="37" t="n">
        <x:f>MIN(K13,AT13)</x:f>
        <x:v>0.04632573163699292</x:v>
      </x:c>
      <x:c r="U13" s="21" t="str">
        <x:f>IF(J13="Рассчитано",N13*(1-O13/100),"н/д")</x:f>
        <x:v>н/д</x:v>
      </x:c>
      <x:c r="V13" s="21" t="str">
        <x:f>IF(J13="Рассчитано",T13*U13,"н/д")</x:f>
        <x:v>н/д</x:v>
      </x:c>
      <x:c r="W13" s="21" t="str">
        <x:f>IF(J13="Рассчитано",T13*M13,"н/д")</x:f>
        <x:v>н/д</x:v>
      </x:c>
      <x:c r="X13" s="21" t="str">
        <x:f>IF(J13="Рассчитано",V13-W13,"н/д")</x:f>
        <x:v>н/д</x:v>
      </x:c>
      <x:c r="Y13" s="27" t="str">
        <x:f>IF(J13="Рассчитано",IF(V13&gt;0,G13/V13,"н/д"),"н/д")</x:f>
        <x:v>н/д</x:v>
      </x:c>
      <x:c r="Z13" s="21" t="str">
        <x:f>IF(J13="Рассчитано",K13*M13,"н/д")</x:f>
        <x:v>н/д</x:v>
      </x:c>
      <x:c r="AA13" s="21" t="str">
        <x:f>IF(J13="Рассчитано",(K13-T13)*M13,"н/д")</x:f>
        <x:v>н/д</x:v>
      </x:c>
      <x:c r="AB13" s="21" t="str">
        <x:f>IF(AND(J13="Рассчитано",ISNUMBER(S13)),K13*(S13-M13),"н/д")</x:f>
        <x:v>н/д</x:v>
      </x:c>
      <x:c r="AC13" s="21" t="str">
        <x:f>IF(AND(J13="Рассчитано",T13&gt;0,R13&lt;100),(W13+P13+Q13)/(T13*(1-R13/100)),"н/д")</x:f>
        <x:v>н/д</x:v>
      </x:c>
      <x:c r="AD13" s="10" t="str">
        <x:f>IF(ISNUMBER(G13),IF(G13&lt;0,"Убыток",IF(G13=0,"Без прибыли","Прибыль &gt; 0")),"Не оценён")</x:f>
        <x:v>Не оценён</x:v>
      </x:c>
      <x:c r="AE13" s="13" t="str">
        <x:f>IF(J13="Рассчитано","Выручка "&amp;TEXT(V13,"0.00")&amp;" - себестоимость "&amp;TEXT(W13,"0.00")&amp;" - комиссия "&amp;TEXT(V13*R13/100,"0.00")&amp;" - доставка "&amp;TEXT(P13,"0.00")&amp;" - прочие "&amp;TEXT(Q13,"0.00")&amp;" = "&amp;TEXT(G13,"0.00")&amp;" "&amp;L13,"Введите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" s="24" t="n">
        <x:v>0.04632573163699292</x:v>
      </x:c>
      <x:c r="AG13" s="37" t="n">
        <x:v>0</x:v>
      </x:c>
      <x:c r="AH13" s="37" t="n">
        <x:v>0</x:v>
      </x:c>
      <x:c r="AI13" s="30" t="n">
        <x:v>46266</x:v>
      </x:c>
      <x:c r="AJ13" s="37"/>
      <x:c r="AK13" s="10" t="str">
        <x:v>неизвестно</x:v>
      </x:c>
      <x:c r="AL13" s="32" t="n">
        <x:v>0</x:v>
      </x:c>
      <x:c r="AM13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3" s="13" t="str">
        <x:v>Подтвердить наличие, срок и цену закупки</x:v>
      </x:c>
      <x:c r="AO13" s="13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13" s="13" t="str">
        <x:v>["blank_stock_assumed_zero", "category_missing", "daily_stockout_data_missing", "moq_missing", "new_order_lead_time_unknown", "reservations_unknown", "stale_stock", "supplier_sku_missing"]</x:v>
      </x:c>
      <x:c r="AQ13" s="10" t="str">
        <x:v>IEK:010300144_</x:v>
      </x:c>
      <x:c r="AR13" s="24" t="n">
        <x:v>1</x:v>
      </x:c>
      <x:c r="AS13" s="24" t="n">
        <x:f>MAX(0,ROUNDUP(MAX(0,AF13-AG13-AH13)/AR13-0.000000001,0)*AR13)</x:f>
        <x:v>1</x:v>
      </x:c>
      <x:c r="AT13" s="24" t="n">
        <x:v>0.04632573163699292</x:v>
      </x:c>
    </x:row>
    <x:row r="14" ht="64" customHeight="1">
      <x:c r="A14" s="11" t="str">
        <x:v>IEK</x:v>
      </x:c>
      <x:c r="B14" s="33" t="str">
        <x:v>010300150_</x:v>
      </x:c>
      <x:c r="C14" s="33"/>
      <x:c r="D14" s="12" t="str">
        <x:v>УЗО АД 12  (2ф) 40А 300мА IEK (4/32) !!!</x:v>
      </x:c>
      <x:c r="E14" s="11" t="str">
        <x:v>шт</x:v>
      </x:c>
      <x:c r="F14" s="35" t="n">
        <x:f>AS14</x:f>
        <x:v>2</x:v>
      </x:c>
      <x:c r="G14" s="20" t="str">
        <x:f>IF(J14="Рассчитано",V14*(1-R14/100)-W14-P14-Q14,"н/д")</x:f>
        <x:v>н/д</x:v>
      </x:c>
      <x:c r="H14" s="12" t="str">
        <x:v>Высокий</x:v>
      </x:c>
      <x:c r="I14" s="12" t="str">
        <x:v>Критический</x:v>
      </x:c>
      <x:c r="J14" s="12" t="str">
        <x:f>IF(L14="","Укажите валюту",IF(NOT(ISNUMBER(K14)),"Укажите объём",IF(K14&lt;=0,"Укажите объём",IF(COUNT(M14:O14)&lt;3,"Нужны цены",IF(COUNT(P14:R14)&lt;3,"Нужны расходы",IF(OR(M14&lt;0,N14&lt;0,O14&lt;0,O14&gt;100,P14&lt;0,Q14&lt;0,R14&lt;0,R14&gt;100),"Проверьте значения","Рассчитано"))))))</x:f>
        <x:v>Нужны цены</x:v>
      </x:c>
      <x:c r="K14" s="36" t="n">
        <x:v>2</x:v>
      </x:c>
      <x:c r="L14" s="19" t="str">
        <x:v>KZT</x:v>
      </x:c>
      <x:c r="M14" s="22"/>
      <x:c r="N14" s="22"/>
      <x:c r="O14" s="28"/>
      <x:c r="P14" s="22"/>
      <x:c r="Q14" s="22"/>
      <x:c r="R14" s="28"/>
      <x:c r="S14" s="22"/>
      <x:c r="T14" s="35" t="n">
        <x:f>MIN(K14,AT14)</x:f>
        <x:v>1.1905845093513747</x:v>
      </x:c>
      <x:c r="U14" s="20" t="str">
        <x:f>IF(J14="Рассчитано",N14*(1-O14/100),"н/д")</x:f>
        <x:v>н/д</x:v>
      </x:c>
      <x:c r="V14" s="20" t="str">
        <x:f>IF(J14="Рассчитано",T14*U14,"н/д")</x:f>
        <x:v>н/д</x:v>
      </x:c>
      <x:c r="W14" s="20" t="str">
        <x:f>IF(J14="Рассчитано",T14*M14,"н/д")</x:f>
        <x:v>н/д</x:v>
      </x:c>
      <x:c r="X14" s="20" t="str">
        <x:f>IF(J14="Рассчитано",V14-W14,"н/д")</x:f>
        <x:v>н/д</x:v>
      </x:c>
      <x:c r="Y14" s="26" t="str">
        <x:f>IF(J14="Рассчитано",IF(V14&gt;0,G14/V14,"н/д"),"н/д")</x:f>
        <x:v>н/д</x:v>
      </x:c>
      <x:c r="Z14" s="20" t="str">
        <x:f>IF(J14="Рассчитано",K14*M14,"н/д")</x:f>
        <x:v>н/д</x:v>
      </x:c>
      <x:c r="AA14" s="20" t="str">
        <x:f>IF(J14="Рассчитано",(K14-T14)*M14,"н/д")</x:f>
        <x:v>н/д</x:v>
      </x:c>
      <x:c r="AB14" s="20" t="str">
        <x:f>IF(AND(J14="Рассчитано",ISNUMBER(S14)),K14*(S14-M14),"н/д")</x:f>
        <x:v>н/д</x:v>
      </x:c>
      <x:c r="AC14" s="20" t="str">
        <x:f>IF(AND(J14="Рассчитано",T14&gt;0,R14&lt;100),(W14+P14+Q14)/(T14*(1-R14/100)),"н/д")</x:f>
        <x:v>н/д</x:v>
      </x:c>
      <x:c r="AD14" s="11" t="str">
        <x:f>IF(ISNUMBER(G14),IF(G14&lt;0,"Убыток",IF(G14=0,"Без прибыли","Прибыль &gt; 0")),"Не оценён")</x:f>
        <x:v>Не оценён</x:v>
      </x:c>
      <x:c r="AE14" s="12" t="str">
        <x:f>IF(J14="Рассчитано","Выручка "&amp;TEXT(V14,"0.00")&amp;" - себестоимость "&amp;TEXT(W14,"0.00")&amp;" - комиссия "&amp;TEXT(V14*R14/100,"0.00")&amp;" - доставка "&amp;TEXT(P14,"0.00")&amp;" - прочие "&amp;TEXT(Q14,"0.00")&amp;" = "&amp;TEXT(G14,"0.00")&amp;" "&amp;L14,"Введите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" s="23" t="n">
        <x:v>1.1905845093513747</x:v>
      </x:c>
      <x:c r="AG14" s="35" t="n">
        <x:v>0</x:v>
      </x:c>
      <x:c r="AH14" s="35" t="n">
        <x:v>0</x:v>
      </x:c>
      <x:c r="AI14" s="29" t="n">
        <x:v>46266</x:v>
      </x:c>
      <x:c r="AJ14" s="35"/>
      <x:c r="AK14" s="11" t="str">
        <x:v>неизвестно</x:v>
      </x:c>
      <x:c r="AL14" s="31" t="n">
        <x:v>0</x:v>
      </x:c>
      <x:c r="AM14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14" s="12" t="str">
        <x:v>Подтвердить наличие, срок и цену закупки</x:v>
      </x:c>
      <x:c r="AO14" s="12" t="str">
        <x:v>Прогноз 30 дней 1.19; остаток 0; поступления в срок 0; нехватка 2; заказ с учётом MOQ 2 шт. Остаток на начало сентября: требуется актуализация.</x:v>
      </x:c>
      <x:c r="AP14" s="12" t="str">
        <x:v>["blank_stock_assumed_zero", "category_missing", "daily_stockout_data_missing", "moq_missing", "new_order_lead_time_unknown", "reservations_unknown", "stale_stock", "stockout_proxy_used", "supplier_sku_missing"]</x:v>
      </x:c>
      <x:c r="AQ14" s="11" t="str">
        <x:v>IEK:010300150_</x:v>
      </x:c>
      <x:c r="AR14" s="23" t="n">
        <x:v>1</x:v>
      </x:c>
      <x:c r="AS14" s="23" t="n">
        <x:f>MAX(0,ROUNDUP(MAX(0,AF14-AG14-AH14)/AR14-0.000000001,0)*AR14)</x:f>
        <x:v>2</x:v>
      </x:c>
      <x:c r="AT14" s="23" t="n">
        <x:v>1.1905845093513747</x:v>
      </x:c>
    </x:row>
    <x:row r="15" ht="64" customHeight="1">
      <x:c r="A15" s="10" t="str">
        <x:v>IEK</x:v>
      </x:c>
      <x:c r="B15" s="34" t="str">
        <x:v>010400842_</x:v>
      </x:c>
      <x:c r="C15" s="34"/>
      <x:c r="D15" s="13" t="str">
        <x:v>Реле напряжения и тока РНТ-д однофазное 36мм 63А IEK</x:v>
      </x:c>
      <x:c r="E15" s="10" t="str">
        <x:v>шт</x:v>
      </x:c>
      <x:c r="F15" s="37" t="n">
        <x:f>AS15</x:f>
        <x:v>1</x:v>
      </x:c>
      <x:c r="G15" s="21" t="str">
        <x:f>IF(J15="Рассчитано",V15*(1-R15/100)-W15-P15-Q15,"н/д")</x:f>
        <x:v>н/д</x:v>
      </x:c>
      <x:c r="H15" s="13" t="str">
        <x:v>Высокий</x:v>
      </x:c>
      <x:c r="I15" s="13" t="str">
        <x:v>Критический</x:v>
      </x:c>
      <x:c r="J15" s="13" t="str">
        <x:f>IF(L15="","Укажите валюту",IF(NOT(ISNUMBER(K15)),"Укажите объём",IF(K15&lt;=0,"Укажите объём",IF(COUNT(M15:O15)&lt;3,"Нужны цены",IF(COUNT(P15:R15)&lt;3,"Нужны расходы",IF(OR(M15&lt;0,N15&lt;0,O15&lt;0,O15&gt;100,P15&lt;0,Q15&lt;0,R15&lt;0,R15&gt;100),"Проверьте значения","Рассчитано"))))))</x:f>
        <x:v>Нужны цены</x:v>
      </x:c>
      <x:c r="K15" s="36" t="n">
        <x:v>1</x:v>
      </x:c>
      <x:c r="L15" s="19" t="str">
        <x:v>KZT</x:v>
      </x:c>
      <x:c r="M15" s="22"/>
      <x:c r="N15" s="22"/>
      <x:c r="O15" s="28"/>
      <x:c r="P15" s="22"/>
      <x:c r="Q15" s="22"/>
      <x:c r="R15" s="28"/>
      <x:c r="S15" s="22"/>
      <x:c r="T15" s="37" t="n">
        <x:f>MIN(K15,AT15)</x:f>
        <x:v>0.07590897093921535</x:v>
      </x:c>
      <x:c r="U15" s="21" t="str">
        <x:f>IF(J15="Рассчитано",N15*(1-O15/100),"н/д")</x:f>
        <x:v>н/д</x:v>
      </x:c>
      <x:c r="V15" s="21" t="str">
        <x:f>IF(J15="Рассчитано",T15*U15,"н/д")</x:f>
        <x:v>н/д</x:v>
      </x:c>
      <x:c r="W15" s="21" t="str">
        <x:f>IF(J15="Рассчитано",T15*M15,"н/д")</x:f>
        <x:v>н/д</x:v>
      </x:c>
      <x:c r="X15" s="21" t="str">
        <x:f>IF(J15="Рассчитано",V15-W15,"н/д")</x:f>
        <x:v>н/д</x:v>
      </x:c>
      <x:c r="Y15" s="27" t="str">
        <x:f>IF(J15="Рассчитано",IF(V15&gt;0,G15/V15,"н/д"),"н/д")</x:f>
        <x:v>н/д</x:v>
      </x:c>
      <x:c r="Z15" s="21" t="str">
        <x:f>IF(J15="Рассчитано",K15*M15,"н/д")</x:f>
        <x:v>н/д</x:v>
      </x:c>
      <x:c r="AA15" s="21" t="str">
        <x:f>IF(J15="Рассчитано",(K15-T15)*M15,"н/д")</x:f>
        <x:v>н/д</x:v>
      </x:c>
      <x:c r="AB15" s="21" t="str">
        <x:f>IF(AND(J15="Рассчитано",ISNUMBER(S15)),K15*(S15-M15),"н/д")</x:f>
        <x:v>н/д</x:v>
      </x:c>
      <x:c r="AC15" s="21" t="str">
        <x:f>IF(AND(J15="Рассчитано",T15&gt;0,R15&lt;100),(W15+P15+Q15)/(T15*(1-R15/100)),"н/д")</x:f>
        <x:v>н/д</x:v>
      </x:c>
      <x:c r="AD15" s="10" t="str">
        <x:f>IF(ISNUMBER(G15),IF(G15&lt;0,"Убыток",IF(G15=0,"Без прибыли","Прибыль &gt; 0")),"Не оценён")</x:f>
        <x:v>Не оценён</x:v>
      </x:c>
      <x:c r="AE15" s="13" t="str">
        <x:f>IF(J15="Рассчитано","Выручка "&amp;TEXT(V15,"0.00")&amp;" - себестоимость "&amp;TEXT(W15,"0.00")&amp;" - комиссия "&amp;TEXT(V15*R15/100,"0.00")&amp;" - доставка "&amp;TEXT(P15,"0.00")&amp;" - прочие "&amp;TEXT(Q15,"0.00")&amp;" = "&amp;TEXT(G15,"0.00")&amp;" "&amp;L15,"Введите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" s="24" t="n">
        <x:v>0.07590897093921535</x:v>
      </x:c>
      <x:c r="AG15" s="37" t="n">
        <x:v>0</x:v>
      </x:c>
      <x:c r="AH15" s="37" t="n">
        <x:v>0</x:v>
      </x:c>
      <x:c r="AI15" s="30" t="n">
        <x:v>46266</x:v>
      </x:c>
      <x:c r="AJ15" s="37"/>
      <x:c r="AK15" s="10" t="str">
        <x:v>неизвестно</x:v>
      </x:c>
      <x:c r="AL15" s="32" t="n">
        <x:v>0</x:v>
      </x:c>
      <x:c r="AM15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5" s="13" t="str">
        <x:v>Подтвердить наличие, срок и цену закупки</x:v>
      </x:c>
      <x:c r="AO15" s="13" t="str">
        <x:v>Прогноз 30 дней 0.08; остаток 0; поступления в срок 0; нехватка 1; заказ с учётом MOQ 1 шт. Остаток на начало сентября: требуется актуализация.</x:v>
      </x:c>
      <x:c r="AP15" s="13" t="str">
        <x:v>["blank_stock_assumed_zero", "category_missing", "daily_stockout_data_missing", "moq_missing", "new_order_lead_time_unknown", "reservations_unknown", "stale_stock", "supplier_sku_missing"]</x:v>
      </x:c>
      <x:c r="AQ15" s="10" t="str">
        <x:v>IEK:010400842_</x:v>
      </x:c>
      <x:c r="AR15" s="24" t="n">
        <x:v>1</x:v>
      </x:c>
      <x:c r="AS15" s="24" t="n">
        <x:f>MAX(0,ROUNDUP(MAX(0,AF15-AG15-AH15)/AR15-0.000000001,0)*AR15)</x:f>
        <x:v>1</x:v>
      </x:c>
      <x:c r="AT15" s="24" t="n">
        <x:v>0.07590897093921535</x:v>
      </x:c>
    </x:row>
    <x:row r="16" ht="64" customHeight="1">
      <x:c r="A16" s="11" t="str">
        <x:v>IEK</x:v>
      </x:c>
      <x:c r="B16" s="33" t="str">
        <x:v>010400850_</x:v>
      </x:c>
      <x:c r="C16" s="33" t="str">
        <x:v>IVC31-1-63</x:v>
      </x:c>
      <x:c r="D16" s="12" t="str">
        <x:v>Реле напряжения и тока РНТ-д однофазное 54мм 63А IEK</x:v>
      </x:c>
      <x:c r="E16" s="11" t="str">
        <x:v>шт</x:v>
      </x:c>
      <x:c r="F16" s="35" t="n">
        <x:f>IF(AS16&gt;0,MAX(AS16,AJ16),0)</x:f>
        <x:v>2</x:v>
      </x:c>
      <x:c r="G16" s="20" t="str">
        <x:f>IF(J16="Рассчитано",V16*(1-R16/100)-W16-P16-Q16,"н/д")</x:f>
        <x:v>н/д</x:v>
      </x:c>
      <x:c r="H16" s="12" t="str">
        <x:v>Высокий</x:v>
      </x:c>
      <x:c r="I16" s="12" t="str">
        <x:v>Критический</x:v>
      </x:c>
      <x:c r="J16" s="12" t="str">
        <x:f>IF(L16="","Укажите валюту",IF(NOT(ISNUMBER(K16)),"Укажите объём",IF(K16&lt;=0,"Укажите объём",IF(COUNT(M16:O16)&lt;3,"Нужны цены",IF(COUNT(P16:R16)&lt;3,"Нужны расходы",IF(OR(M16&lt;0,N16&lt;0,O16&lt;0,O16&gt;100,P16&lt;0,Q16&lt;0,R16&lt;0,R16&gt;100),"Проверьте значения","Рассчитано"))))))</x:f>
        <x:v>Нужны цены</x:v>
      </x:c>
      <x:c r="K16" s="36" t="n">
        <x:v>2</x:v>
      </x:c>
      <x:c r="L16" s="19" t="str">
        <x:v>KZT</x:v>
      </x:c>
      <x:c r="M16" s="22"/>
      <x:c r="N16" s="22"/>
      <x:c r="O16" s="28"/>
      <x:c r="P16" s="22"/>
      <x:c r="Q16" s="22"/>
      <x:c r="R16" s="28"/>
      <x:c r="S16" s="22"/>
      <x:c r="T16" s="35" t="n">
        <x:f>MIN(K16,AT16)</x:f>
        <x:v>1.7890759241135168</x:v>
      </x:c>
      <x:c r="U16" s="20" t="str">
        <x:f>IF(J16="Рассчитано",N16*(1-O16/100),"н/д")</x:f>
        <x:v>н/д</x:v>
      </x:c>
      <x:c r="V16" s="20" t="str">
        <x:f>IF(J16="Рассчитано",T16*U16,"н/д")</x:f>
        <x:v>н/д</x:v>
      </x:c>
      <x:c r="W16" s="20" t="str">
        <x:f>IF(J16="Рассчитано",T16*M16,"н/д")</x:f>
        <x:v>н/д</x:v>
      </x:c>
      <x:c r="X16" s="20" t="str">
        <x:f>IF(J16="Рассчитано",V16-W16,"н/д")</x:f>
        <x:v>н/д</x:v>
      </x:c>
      <x:c r="Y16" s="26" t="str">
        <x:f>IF(J16="Рассчитано",IF(V16&gt;0,G16/V16,"н/д"),"н/д")</x:f>
        <x:v>н/д</x:v>
      </x:c>
      <x:c r="Z16" s="20" t="str">
        <x:f>IF(J16="Рассчитано",K16*M16,"н/д")</x:f>
        <x:v>н/д</x:v>
      </x:c>
      <x:c r="AA16" s="20" t="str">
        <x:f>IF(J16="Рассчитано",(K16-T16)*M16,"н/д")</x:f>
        <x:v>н/д</x:v>
      </x:c>
      <x:c r="AB16" s="20" t="str">
        <x:f>IF(AND(J16="Рассчитано",ISNUMBER(S16)),K16*(S16-M16),"н/д")</x:f>
        <x:v>н/д</x:v>
      </x:c>
      <x:c r="AC16" s="20" t="str">
        <x:f>IF(AND(J16="Рассчитано",T16&gt;0,R16&lt;100),(W16+P16+Q16)/(T16*(1-R16/100)),"н/д")</x:f>
        <x:v>н/д</x:v>
      </x:c>
      <x:c r="AD16" s="11" t="str">
        <x:f>IF(ISNUMBER(G16),IF(G16&lt;0,"Убыток",IF(G16=0,"Без прибыли","Прибыль &gt; 0")),"Не оценён")</x:f>
        <x:v>Не оценён</x:v>
      </x:c>
      <x:c r="AE16" s="12" t="str">
        <x:f>IF(J16="Рассчитано","Выручка "&amp;TEXT(V16,"0.00")&amp;" - себестоимость "&amp;TEXT(W16,"0.00")&amp;" - комиссия "&amp;TEXT(V16*R16/100,"0.00")&amp;" - доставка "&amp;TEXT(P16,"0.00")&amp;" - прочие "&amp;TEXT(Q16,"0.00")&amp;" = "&amp;TEXT(G16,"0.00")&amp;" "&amp;L16,"Введите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" s="23" t="n">
        <x:v>6.789075924113517</x:v>
      </x:c>
      <x:c r="AG16" s="35" t="n">
        <x:v>1</x:v>
      </x:c>
      <x:c r="AH16" s="35" t="n">
        <x:v>4</x:v>
      </x:c>
      <x:c r="AI16" s="29" t="n">
        <x:v>46266</x:v>
      </x:c>
      <x:c r="AJ16" s="35" t="n">
        <x:v>1</x:v>
      </x:c>
      <x:c r="AK16" s="11" t="str">
        <x:v>минимум</x:v>
      </x:c>
      <x:c r="AL16" s="31" t="n">
        <x:v>4.4188635294894345</x:v>
      </x:c>
      <x:c r="AM16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4.4 дн. без поступлений</x:v>
      </x:c>
      <x:c r="AN16" s="12" t="str">
        <x:v>Подтвердить наличие, срок и цену закупки</x:v>
      </x:c>
      <x:c r="AO16" s="12" t="str">
        <x:v>Прогноз 30 дней 6.79; остаток 1; поступления в срок 4; нехватка 2; заказ с учётом MOQ 2 шт. Остаток на начало сентября: требуется актуализация.</x:v>
      </x:c>
      <x:c r="AP16" s="12" t="str">
        <x:v>["category_missing", "daily_stockout_data_missing", "large_orders_detected", "new_order_lead_time_unknown", "reservations_unknown", "stale_stock", "transaction_month_mismatch"]</x:v>
      </x:c>
      <x:c r="AQ16" s="11" t="str">
        <x:v>IEK:010400850_</x:v>
      </x:c>
      <x:c r="AR16" s="23" t="n">
        <x:v>1</x:v>
      </x:c>
      <x:c r="AS16" s="23" t="n">
        <x:f>MAX(0,ROUNDUP(MAX(0,AF16-AG16-AH16)/AR16-0.000000001,0)*AR16)</x:f>
        <x:v>2</x:v>
      </x:c>
      <x:c r="AT16" s="23" t="n">
        <x:v>1.7890759241135168</x:v>
      </x:c>
    </x:row>
    <x:row r="17" ht="64" customHeight="1">
      <x:c r="A17" s="10" t="str">
        <x:v>IEK</x:v>
      </x:c>
      <x:c r="B17" s="34" t="str">
        <x:v>010400854_</x:v>
      </x:c>
      <x:c r="C17" s="34" t="str">
        <x:v>IVC21-1-50</x:v>
      </x:c>
      <x:c r="D17" s="13" t="str">
        <x:v>Реле напряжения и тока РНТ-д однофазное 36мм 50А IEK</x:v>
      </x:c>
      <x:c r="E17" s="10" t="str">
        <x:v>шт</x:v>
      </x:c>
      <x:c r="F17" s="37" t="n">
        <x:f>IF(AS17&gt;0,MAX(AS17,AJ17),0)</x:f>
        <x:v>25</x:v>
      </x:c>
      <x:c r="G17" s="21" t="str">
        <x:f>IF(J17="Рассчитано",V17*(1-R17/100)-W17-P17-Q17,"н/д")</x:f>
        <x:v>н/д</x:v>
      </x:c>
      <x:c r="H17" s="13" t="str">
        <x:v>Высокий</x:v>
      </x:c>
      <x:c r="I17" s="13" t="str">
        <x:v>Критический</x:v>
      </x:c>
      <x:c r="J17" s="13" t="str">
        <x:f>IF(L17="","Укажите валюту",IF(NOT(ISNUMBER(K17)),"Укажите объём",IF(K17&lt;=0,"Укажите объём",IF(COUNT(M17:O17)&lt;3,"Нужны цены",IF(COUNT(P17:R17)&lt;3,"Нужны расходы",IF(OR(M17&lt;0,N17&lt;0,O17&lt;0,O17&gt;100,P17&lt;0,Q17&lt;0,R17&lt;0,R17&gt;100),"Проверьте значения","Рассчитано"))))))</x:f>
        <x:v>Нужны цены</x:v>
      </x:c>
      <x:c r="K17" s="36" t="n">
        <x:v>25</x:v>
      </x:c>
      <x:c r="L17" s="19" t="str">
        <x:v>KZT</x:v>
      </x:c>
      <x:c r="M17" s="22"/>
      <x:c r="N17" s="22"/>
      <x:c r="O17" s="28"/>
      <x:c r="P17" s="22"/>
      <x:c r="Q17" s="22"/>
      <x:c r="R17" s="28"/>
      <x:c r="S17" s="22"/>
      <x:c r="T17" s="37" t="n">
        <x:f>MIN(K17,AT17)</x:f>
        <x:v>24.366589180698053</x:v>
      </x:c>
      <x:c r="U17" s="21" t="str">
        <x:f>IF(J17="Рассчитано",N17*(1-O17/100),"н/д")</x:f>
        <x:v>н/д</x:v>
      </x:c>
      <x:c r="V17" s="21" t="str">
        <x:f>IF(J17="Рассчитано",T17*U17,"н/д")</x:f>
        <x:v>н/д</x:v>
      </x:c>
      <x:c r="W17" s="21" t="str">
        <x:f>IF(J17="Рассчитано",T17*M17,"н/д")</x:f>
        <x:v>н/д</x:v>
      </x:c>
      <x:c r="X17" s="21" t="str">
        <x:f>IF(J17="Рассчитано",V17-W17,"н/д")</x:f>
        <x:v>н/д</x:v>
      </x:c>
      <x:c r="Y17" s="27" t="str">
        <x:f>IF(J17="Рассчитано",IF(V17&gt;0,G17/V17,"н/д"),"н/д")</x:f>
        <x:v>н/д</x:v>
      </x:c>
      <x:c r="Z17" s="21" t="str">
        <x:f>IF(J17="Рассчитано",K17*M17,"н/д")</x:f>
        <x:v>н/д</x:v>
      </x:c>
      <x:c r="AA17" s="21" t="str">
        <x:f>IF(J17="Рассчитано",(K17-T17)*M17,"н/д")</x:f>
        <x:v>н/д</x:v>
      </x:c>
      <x:c r="AB17" s="21" t="str">
        <x:f>IF(AND(J17="Рассчитано",ISNUMBER(S17)),K17*(S17-M17),"н/д")</x:f>
        <x:v>н/д</x:v>
      </x:c>
      <x:c r="AC17" s="21" t="str">
        <x:f>IF(AND(J17="Рассчитано",T17&gt;0,R17&lt;100),(W17+P17+Q17)/(T17*(1-R17/100)),"н/д")</x:f>
        <x:v>н/д</x:v>
      </x:c>
      <x:c r="AD17" s="10" t="str">
        <x:f>IF(ISNUMBER(G17),IF(G17&lt;0,"Убыток",IF(G17=0,"Без прибыли","Прибыль &gt; 0")),"Не оценён")</x:f>
        <x:v>Не оценён</x:v>
      </x:c>
      <x:c r="AE17" s="13" t="str">
        <x:f>IF(J17="Рассчитано","Выручка "&amp;TEXT(V17,"0.00")&amp;" - себестоимость "&amp;TEXT(W17,"0.00")&amp;" - комиссия "&amp;TEXT(V17*R17/100,"0.00")&amp;" - доставка "&amp;TEXT(P17,"0.00")&amp;" - прочие "&amp;TEXT(Q17,"0.00")&amp;" = "&amp;TEXT(G17,"0.00")&amp;" "&amp;L17,"Введите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" s="24" t="n">
        <x:v>24.366589180698053</x:v>
      </x:c>
      <x:c r="AG17" s="37" t="n">
        <x:v>0</x:v>
      </x:c>
      <x:c r="AH17" s="37" t="n">
        <x:v>0</x:v>
      </x:c>
      <x:c r="AI17" s="30" t="n">
        <x:v>46266</x:v>
      </x:c>
      <x:c r="AJ17" s="37" t="n">
        <x:v>1</x:v>
      </x:c>
      <x:c r="AK17" s="10" t="str">
        <x:v>минимум</x:v>
      </x:c>
      <x:c r="AL17" s="32" t="n">
        <x:v>0</x:v>
      </x:c>
      <x:c r="AM17" s="13" t="str">
        <x:v>Остаток на начало сентября; Резервы неизвестны; Нет ежедневных данных доступности. Нет запаса</x:v>
      </x:c>
      <x:c r="AN17" s="13" t="str">
        <x:v>Подтвердить наличие, срок и цену закупки</x:v>
      </x:c>
      <x:c r="AO17" s="13" t="str">
        <x:v>Прогноз 30 дней 24.37; остаток 0; поступления в срок 0; нехватка 25; заказ с учётом MOQ 25 шт. Остаток на начало сентября: требуется актуализация.</x:v>
      </x:c>
      <x:c r="AP17" s="13" t="str">
        <x:v>["blank_stock_assumed_zero", "category_missing", "daily_stockout_data_missing", "large_orders_detected", "new_order_lead_time_unknown", "reservations_unknown", "stale_stock"]</x:v>
      </x:c>
      <x:c r="AQ17" s="10" t="str">
        <x:v>IEK:010400854_</x:v>
      </x:c>
      <x:c r="AR17" s="24" t="n">
        <x:v>1</x:v>
      </x:c>
      <x:c r="AS17" s="24" t="n">
        <x:f>MAX(0,ROUNDUP(MAX(0,AF17-AG17-AH17)/AR17-0.000000001,0)*AR17)</x:f>
        <x:v>25</x:v>
      </x:c>
      <x:c r="AT17" s="24" t="n">
        <x:v>24.366589180698053</x:v>
      </x:c>
    </x:row>
    <x:row r="18" ht="64" customHeight="1">
      <x:c r="A18" s="11" t="str">
        <x:v>IEK</x:v>
      </x:c>
      <x:c r="B18" s="33" t="str">
        <x:v>010400867_</x:v>
      </x:c>
      <x:c r="C18" s="33" t="str">
        <x:v>IVR21-1-40</x:v>
      </x:c>
      <x:c r="D18" s="12" t="str">
        <x:v>Реле напряжения РН-д однофазное 36мм 40А IEK</x:v>
      </x:c>
      <x:c r="E18" s="11" t="str">
        <x:v>шт</x:v>
      </x:c>
      <x:c r="F18" s="35" t="n">
        <x:f>IF(AS18&gt;0,MAX(AS18,AJ18),0)</x:f>
        <x:v>6</x:v>
      </x:c>
      <x:c r="G18" s="20" t="str">
        <x:f>IF(J18="Рассчитано",V18*(1-R18/100)-W18-P18-Q18,"н/д")</x:f>
        <x:v>н/д</x:v>
      </x:c>
      <x:c r="H18" s="12" t="str">
        <x:v>Высокий</x:v>
      </x:c>
      <x:c r="I18" s="12" t="str">
        <x:v>Средний</x:v>
      </x:c>
      <x:c r="J18" s="12" t="str">
        <x:f>IF(L18="","Укажите валюту",IF(NOT(ISNUMBER(K18)),"Укажите объём",IF(K18&lt;=0,"Укажите объём",IF(COUNT(M18:O18)&lt;3,"Нужны цены",IF(COUNT(P18:R18)&lt;3,"Нужны расходы",IF(OR(M18&lt;0,N18&lt;0,O18&lt;0,O18&gt;100,P18&lt;0,Q18&lt;0,R18&lt;0,R18&gt;100),"Проверьте значения","Рассчитано"))))))</x:f>
        <x:v>Нужны цены</x:v>
      </x:c>
      <x:c r="K18" s="36" t="n">
        <x:v>6</x:v>
      </x:c>
      <x:c r="L18" s="19" t="str">
        <x:v>KZT</x:v>
      </x:c>
      <x:c r="M18" s="22"/>
      <x:c r="N18" s="22"/>
      <x:c r="O18" s="28"/>
      <x:c r="P18" s="22"/>
      <x:c r="Q18" s="22"/>
      <x:c r="R18" s="28"/>
      <x:c r="S18" s="22"/>
      <x:c r="T18" s="35" t="n">
        <x:f>MIN(K18,AT18)</x:f>
        <x:v>5.24553735431622</x:v>
      </x:c>
      <x:c r="U18" s="20" t="str">
        <x:f>IF(J18="Рассчитано",N18*(1-O18/100),"н/д")</x:f>
        <x:v>н/д</x:v>
      </x:c>
      <x:c r="V18" s="20" t="str">
        <x:f>IF(J18="Рассчитано",T18*U18,"н/д")</x:f>
        <x:v>н/д</x:v>
      </x:c>
      <x:c r="W18" s="20" t="str">
        <x:f>IF(J18="Рассчитано",T18*M18,"н/д")</x:f>
        <x:v>н/д</x:v>
      </x:c>
      <x:c r="X18" s="20" t="str">
        <x:f>IF(J18="Рассчитано",V18-W18,"н/д")</x:f>
        <x:v>н/д</x:v>
      </x:c>
      <x:c r="Y18" s="26" t="str">
        <x:f>IF(J18="Рассчитано",IF(V18&gt;0,G18/V18,"н/д"),"н/д")</x:f>
        <x:v>н/д</x:v>
      </x:c>
      <x:c r="Z18" s="20" t="str">
        <x:f>IF(J18="Рассчитано",K18*M18,"н/д")</x:f>
        <x:v>н/д</x:v>
      </x:c>
      <x:c r="AA18" s="20" t="str">
        <x:f>IF(J18="Рассчитано",(K18-T18)*M18,"н/д")</x:f>
        <x:v>н/д</x:v>
      </x:c>
      <x:c r="AB18" s="20" t="str">
        <x:f>IF(AND(J18="Рассчитано",ISNUMBER(S18)),K18*(S18-M18),"н/д")</x:f>
        <x:v>н/д</x:v>
      </x:c>
      <x:c r="AC18" s="20" t="str">
        <x:f>IF(AND(J18="Рассчитано",T18&gt;0,R18&lt;100),(W18+P18+Q18)/(T18*(1-R18/100)),"н/д")</x:f>
        <x:v>н/д</x:v>
      </x:c>
      <x:c r="AD18" s="11" t="str">
        <x:f>IF(ISNUMBER(G18),IF(G18&lt;0,"Убыток",IF(G18=0,"Без прибыли","Прибыль &gt; 0")),"Не оценён")</x:f>
        <x:v>Не оценён</x:v>
      </x:c>
      <x:c r="AE18" s="12" t="str">
        <x:f>IF(J18="Рассчитано","Выручка "&amp;TEXT(V18,"0.00")&amp;" - себестоимость "&amp;TEXT(W18,"0.00")&amp;" - комиссия "&amp;TEXT(V18*R18/100,"0.00")&amp;" - доставка "&amp;TEXT(P18,"0.00")&amp;" - прочие "&amp;TEXT(Q18,"0.00")&amp;" = "&amp;TEXT(G18,"0.00")&amp;" "&amp;L18,"Введите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" s="23" t="n">
        <x:v>22.24553735431622</x:v>
      </x:c>
      <x:c r="AG18" s="35" t="n">
        <x:v>17</x:v>
      </x:c>
      <x:c r="AH18" s="35" t="n">
        <x:v>0</x:v>
      </x:c>
      <x:c r="AI18" s="29" t="n">
        <x:v>46266</x:v>
      </x:c>
      <x:c r="AJ18" s="35" t="n">
        <x:v>1</x:v>
      </x:c>
      <x:c r="AK18" s="11" t="str">
        <x:v>минимум</x:v>
      </x:c>
      <x:c r="AL18" s="31" t="n">
        <x:v>22.925946533768336</x:v>
      </x:c>
      <x:c r="AM18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22.9 дн. без поступлений</x:v>
      </x:c>
      <x:c r="AN18" s="12" t="str">
        <x:v>Подтвердить наличие, срок и цену закупки</x:v>
      </x:c>
      <x:c r="AO18" s="12" t="str">
        <x:v>Прогноз 30 дней 22.25; остаток 17; поступления в срок 0; нехватка 6; заказ с учётом MOQ 6 шт. Остаток на начало сентября: требуется актуализация.</x:v>
      </x:c>
      <x:c r="AP18" s="12" t="str">
        <x:v>["category_missing", "daily_stockout_data_missing", "large_orders_detected", "new_order_lead_time_unknown", "reservations_unknown", "stale_stock", "transaction_month_mismatch"]</x:v>
      </x:c>
      <x:c r="AQ18" s="11" t="str">
        <x:v>IEK:010400867_</x:v>
      </x:c>
      <x:c r="AR18" s="23" t="n">
        <x:v>1</x:v>
      </x:c>
      <x:c r="AS18" s="23" t="n">
        <x:f>MAX(0,ROUNDUP(MAX(0,AF18-AG18-AH18)/AR18-0.000000001,0)*AR18)</x:f>
        <x:v>6</x:v>
      </x:c>
      <x:c r="AT18" s="23" t="n">
        <x:v>5.24553735431622</x:v>
      </x:c>
    </x:row>
    <x:row r="19" ht="64" customHeight="1">
      <x:c r="A19" s="10" t="str">
        <x:v>IEK</x:v>
      </x:c>
      <x:c r="B19" s="34" t="str">
        <x:v>010400925_</x:v>
      </x:c>
      <x:c r="C19" s="34" t="str">
        <x:v>IVC21-1-25</x:v>
      </x:c>
      <x:c r="D19" s="13" t="str">
        <x:v>Реле напряжения и тока РНТ-д однофазное 36мм 25А IEK</x:v>
      </x:c>
      <x:c r="E19" s="10" t="str">
        <x:v>шт</x:v>
      </x:c>
      <x:c r="F19" s="37" t="n">
        <x:f>IF(AS19&gt;0,MAX(AS19,AJ19),0)</x:f>
        <x:v>3</x:v>
      </x:c>
      <x:c r="G19" s="21" t="str">
        <x:f>IF(J19="Рассчитано",V19*(1-R19/100)-W19-P19-Q19,"н/д")</x:f>
        <x:v>н/д</x:v>
      </x:c>
      <x:c r="H19" s="13" t="str">
        <x:v>Высокий</x:v>
      </x:c>
      <x:c r="I19" s="13" t="str">
        <x:v>Критический</x:v>
      </x:c>
      <x:c r="J19" s="13" t="str">
        <x:f>IF(L19="","Укажите валюту",IF(NOT(ISNUMBER(K19)),"Укажите объём",IF(K19&lt;=0,"Укажите объём",IF(COUNT(M19:O19)&lt;3,"Нужны цены",IF(COUNT(P19:R19)&lt;3,"Нужны расходы",IF(OR(M19&lt;0,N19&lt;0,O19&lt;0,O19&gt;100,P19&lt;0,Q19&lt;0,R19&lt;0,R19&gt;100),"Проверьте значения","Рассчитано"))))))</x:f>
        <x:v>Нужны цены</x:v>
      </x:c>
      <x:c r="K19" s="36" t="n">
        <x:v>3</x:v>
      </x:c>
      <x:c r="L19" s="19" t="str">
        <x:v>KZT</x:v>
      </x:c>
      <x:c r="M19" s="22"/>
      <x:c r="N19" s="22"/>
      <x:c r="O19" s="28"/>
      <x:c r="P19" s="22"/>
      <x:c r="Q19" s="22"/>
      <x:c r="R19" s="28"/>
      <x:c r="S19" s="22"/>
      <x:c r="T19" s="37" t="n">
        <x:f>MIN(K19,AT19)</x:f>
        <x:v>2.341319404343148</x:v>
      </x:c>
      <x:c r="U19" s="21" t="str">
        <x:f>IF(J19="Рассчитано",N19*(1-O19/100),"н/д")</x:f>
        <x:v>н/д</x:v>
      </x:c>
      <x:c r="V19" s="21" t="str">
        <x:f>IF(J19="Рассчитано",T19*U19,"н/д")</x:f>
        <x:v>н/д</x:v>
      </x:c>
      <x:c r="W19" s="21" t="str">
        <x:f>IF(J19="Рассчитано",T19*M19,"н/д")</x:f>
        <x:v>н/д</x:v>
      </x:c>
      <x:c r="X19" s="21" t="str">
        <x:f>IF(J19="Рассчитано",V19-W19,"н/д")</x:f>
        <x:v>н/д</x:v>
      </x:c>
      <x:c r="Y19" s="27" t="str">
        <x:f>IF(J19="Рассчитано",IF(V19&gt;0,G19/V19,"н/д"),"н/д")</x:f>
        <x:v>н/д</x:v>
      </x:c>
      <x:c r="Z19" s="21" t="str">
        <x:f>IF(J19="Рассчитано",K19*M19,"н/д")</x:f>
        <x:v>н/д</x:v>
      </x:c>
      <x:c r="AA19" s="21" t="str">
        <x:f>IF(J19="Рассчитано",(K19-T19)*M19,"н/д")</x:f>
        <x:v>н/д</x:v>
      </x:c>
      <x:c r="AB19" s="21" t="str">
        <x:f>IF(AND(J19="Рассчитано",ISNUMBER(S19)),K19*(S19-M19),"н/д")</x:f>
        <x:v>н/д</x:v>
      </x:c>
      <x:c r="AC19" s="21" t="str">
        <x:f>IF(AND(J19="Рассчитано",T19&gt;0,R19&lt;100),(W19+P19+Q19)/(T19*(1-R19/100)),"н/д")</x:f>
        <x:v>н/д</x:v>
      </x:c>
      <x:c r="AD19" s="10" t="str">
        <x:f>IF(ISNUMBER(G19),IF(G19&lt;0,"Убыток",IF(G19=0,"Без прибыли","Прибыль &gt; 0")),"Не оценён")</x:f>
        <x:v>Не оценён</x:v>
      </x:c>
      <x:c r="AE19" s="13" t="str">
        <x:f>IF(J19="Рассчитано","Выручка "&amp;TEXT(V19,"0.00")&amp;" - себестоимость "&amp;TEXT(W19,"0.00")&amp;" - комиссия "&amp;TEXT(V19*R19/100,"0.00")&amp;" - доставка "&amp;TEXT(P19,"0.00")&amp;" - прочие "&amp;TEXT(Q19,"0.00")&amp;" = "&amp;TEXT(G19,"0.00")&amp;" "&amp;L19,"Введите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" s="24" t="n">
        <x:v>14.341319404343148</x:v>
      </x:c>
      <x:c r="AG19" s="37" t="n">
        <x:v>1</x:v>
      </x:c>
      <x:c r="AH19" s="37" t="n">
        <x:v>11</x:v>
      </x:c>
      <x:c r="AI19" s="30" t="n">
        <x:v>46266</x:v>
      </x:c>
      <x:c r="AJ19" s="37" t="n">
        <x:v>1</x:v>
      </x:c>
      <x:c r="AK19" s="10" t="str">
        <x:v>минимум</x:v>
      </x:c>
      <x:c r="AL19" s="32" t="n">
        <x:v>2.091857740154281</x:v>
      </x:c>
      <x:c r="AM19" s="13" t="str">
        <x:v>Остаток на начало сентября; Резервы неизвестны; Нет ежедневных данных доступности. Запаса примерно на 2.1 дн. без поступлений</x:v>
      </x:c>
      <x:c r="AN19" s="13" t="str">
        <x:v>Подтвердить наличие, срок и цену закупки</x:v>
      </x:c>
      <x:c r="AO19" s="13" t="str">
        <x:v>Прогноз 30 дней 14.34; остаток 1; поступления в срок 11; нехватка 3; заказ с учётом MOQ 3 шт. Остаток на начало сентября: требуется актуализация.</x:v>
      </x:c>
      <x:c r="AP19" s="13" t="str">
        <x:v>["category_missing", "daily_stockout_data_missing", "new_order_lead_time_unknown", "reservations_unknown", "stale_stock"]</x:v>
      </x:c>
      <x:c r="AQ19" s="10" t="str">
        <x:v>IEK:010400925_</x:v>
      </x:c>
      <x:c r="AR19" s="24" t="n">
        <x:v>1</x:v>
      </x:c>
      <x:c r="AS19" s="24" t="n">
        <x:f>MAX(0,ROUNDUP(MAX(0,AF19-AG19-AH19)/AR19-0.000000001,0)*AR19)</x:f>
        <x:v>3</x:v>
      </x:c>
      <x:c r="AT19" s="24" t="n">
        <x:v>2.341319404343148</x:v>
      </x:c>
    </x:row>
    <x:row r="20" ht="64" customHeight="1">
      <x:c r="A20" s="11" t="str">
        <x:v>IEK</x:v>
      </x:c>
      <x:c r="B20" s="33" t="str">
        <x:v>010400928_</x:v>
      </x:c>
      <x:c r="C20" s="33" t="str">
        <x:v>IVC31-1-50</x:v>
      </x:c>
      <x:c r="D20" s="12" t="str">
        <x:v>Реле напряжения и тока РНТ-д однофазное 54мм 50А IEK</x:v>
      </x:c>
      <x:c r="E20" s="11" t="str">
        <x:v>шт</x:v>
      </x:c>
      <x:c r="F20" s="35" t="n">
        <x:f>IF(AS20&gt;0,MAX(AS20,AJ20),0)</x:f>
        <x:v>7</x:v>
      </x:c>
      <x:c r="G20" s="20" t="str">
        <x:f>IF(J20="Рассчитано",V20*(1-R20/100)-W20-P20-Q20,"н/д")</x:f>
        <x:v>н/д</x:v>
      </x:c>
      <x:c r="H20" s="12" t="str">
        <x:v>Высокий</x:v>
      </x:c>
      <x:c r="I20" s="12" t="str">
        <x:v>Критический</x:v>
      </x:c>
      <x:c r="J20" s="12" t="str">
        <x:f>IF(L20="","Укажите валюту",IF(NOT(ISNUMBER(K20)),"Укажите объём",IF(K20&lt;=0,"Укажите объём",IF(COUNT(M20:O20)&lt;3,"Нужны цены",IF(COUNT(P20:R20)&lt;3,"Нужны расходы",IF(OR(M20&lt;0,N20&lt;0,O20&lt;0,O20&gt;100,P20&lt;0,Q20&lt;0,R20&lt;0,R20&gt;100),"Проверьте значения","Рассчитано"))))))</x:f>
        <x:v>Нужны цены</x:v>
      </x:c>
      <x:c r="K20" s="36" t="n">
        <x:v>7</x:v>
      </x:c>
      <x:c r="L20" s="19" t="str">
        <x:v>KZT</x:v>
      </x:c>
      <x:c r="M20" s="22"/>
      <x:c r="N20" s="22"/>
      <x:c r="O20" s="28"/>
      <x:c r="P20" s="22"/>
      <x:c r="Q20" s="22"/>
      <x:c r="R20" s="28"/>
      <x:c r="S20" s="22"/>
      <x:c r="T20" s="35" t="n">
        <x:f>MIN(K20,AT20)</x:f>
        <x:v>6.491538380895622</x:v>
      </x:c>
      <x:c r="U20" s="20" t="str">
        <x:f>IF(J20="Рассчитано",N20*(1-O20/100),"н/д")</x:f>
        <x:v>н/д</x:v>
      </x:c>
      <x:c r="V20" s="20" t="str">
        <x:f>IF(J20="Рассчитано",T20*U20,"н/д")</x:f>
        <x:v>н/д</x:v>
      </x:c>
      <x:c r="W20" s="20" t="str">
        <x:f>IF(J20="Рассчитано",T20*M20,"н/д")</x:f>
        <x:v>н/д</x:v>
      </x:c>
      <x:c r="X20" s="20" t="str">
        <x:f>IF(J20="Рассчитано",V20-W20,"н/д")</x:f>
        <x:v>н/д</x:v>
      </x:c>
      <x:c r="Y20" s="26" t="str">
        <x:f>IF(J20="Рассчитано",IF(V20&gt;0,G20/V20,"н/д"),"н/д")</x:f>
        <x:v>н/д</x:v>
      </x:c>
      <x:c r="Z20" s="20" t="str">
        <x:f>IF(J20="Рассчитано",K20*M20,"н/д")</x:f>
        <x:v>н/д</x:v>
      </x:c>
      <x:c r="AA20" s="20" t="str">
        <x:f>IF(J20="Рассчитано",(K20-T20)*M20,"н/д")</x:f>
        <x:v>н/д</x:v>
      </x:c>
      <x:c r="AB20" s="20" t="str">
        <x:f>IF(AND(J20="Рассчитано",ISNUMBER(S20)),K20*(S20-M20),"н/д")</x:f>
        <x:v>н/д</x:v>
      </x:c>
      <x:c r="AC20" s="20" t="str">
        <x:f>IF(AND(J20="Рассчитано",T20&gt;0,R20&lt;100),(W20+P20+Q20)/(T20*(1-R20/100)),"н/д")</x:f>
        <x:v>н/д</x:v>
      </x:c>
      <x:c r="AD20" s="11" t="str">
        <x:f>IF(ISNUMBER(G20),IF(G20&lt;0,"Убыток",IF(G20=0,"Без прибыли","Прибыль &gt; 0")),"Не оценён")</x:f>
        <x:v>Не оценён</x:v>
      </x:c>
      <x:c r="AE20" s="12" t="str">
        <x:f>IF(J20="Рассчитано","Выручка "&amp;TEXT(V20,"0.00")&amp;" - себестоимость "&amp;TEXT(W20,"0.00")&amp;" - комиссия "&amp;TEXT(V20*R20/100,"0.00")&amp;" - доставка "&amp;TEXT(P20,"0.00")&amp;" - прочие "&amp;TEXT(Q20,"0.00")&amp;" = "&amp;TEXT(G20,"0.00")&amp;" "&amp;L20,"Введите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" s="23" t="n">
        <x:v>6.491538380895622</x:v>
      </x:c>
      <x:c r="AG20" s="35" t="n">
        <x:v>0</x:v>
      </x:c>
      <x:c r="AH20" s="35" t="n">
        <x:v>0</x:v>
      </x:c>
      <x:c r="AI20" s="29" t="n">
        <x:v>46266</x:v>
      </x:c>
      <x:c r="AJ20" s="35" t="n">
        <x:v>1</x:v>
      </x:c>
      <x:c r="AK20" s="11" t="str">
        <x:v>минимум</x:v>
      </x:c>
      <x:c r="AL20" s="31" t="n">
        <x:v>0</x:v>
      </x:c>
      <x:c r="AM2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0" s="12" t="str">
        <x:v>Подтвердить наличие, срок и цену закупки</x:v>
      </x:c>
      <x:c r="AO20" s="12" t="str">
        <x:v>Прогноз 30 дней 6.49; остаток 0; поступления в срок 0; нехватка 7; заказ с учётом MOQ 7 шт. Остаток на начало сентября: требуется актуализация.</x:v>
      </x:c>
      <x:c r="AP20" s="12" t="str">
        <x:v>["blank_stock_assumed_zero", "category_missing", "daily_stockout_data_missing", "new_order_lead_time_unknown", "reservations_unknown", "stale_stock", "stockout_proxy_used"]</x:v>
      </x:c>
      <x:c r="AQ20" s="11" t="str">
        <x:v>IEK:010400928_</x:v>
      </x:c>
      <x:c r="AR20" s="23" t="n">
        <x:v>1</x:v>
      </x:c>
      <x:c r="AS20" s="23" t="n">
        <x:f>MAX(0,ROUNDUP(MAX(0,AF20-AG20-AH20)/AR20-0.000000001,0)*AR20)</x:f>
        <x:v>7</x:v>
      </x:c>
      <x:c r="AT20" s="23" t="n">
        <x:v>6.491538380895622</x:v>
      </x:c>
    </x:row>
    <x:row r="21" ht="64" customHeight="1">
      <x:c r="A21" s="10" t="str">
        <x:v>IEK</x:v>
      </x:c>
      <x:c r="B21" s="34" t="str">
        <x:v>010400929_</x:v>
      </x:c>
      <x:c r="C21" s="34" t="str">
        <x:v>IVR21-1-25</x:v>
      </x:c>
      <x:c r="D21" s="13" t="str">
        <x:v>Реле напряжения РН-д однофазное 36мм 25А IEK</x:v>
      </x:c>
      <x:c r="E21" s="10" t="str">
        <x:v>шт</x:v>
      </x:c>
      <x:c r="F21" s="37" t="n">
        <x:f>IF(AS21&gt;0,MAX(AS21,AJ21),0)</x:f>
        <x:v>5</x:v>
      </x:c>
      <x:c r="G21" s="21" t="str">
        <x:f>IF(J21="Рассчитано",V21*(1-R21/100)-W21-P21-Q21,"н/д")</x:f>
        <x:v>н/д</x:v>
      </x:c>
      <x:c r="H21" s="13" t="str">
        <x:v>Высокий</x:v>
      </x:c>
      <x:c r="I21" s="13" t="str">
        <x:v>Критический</x:v>
      </x:c>
      <x:c r="J21" s="13" t="str">
        <x:f>IF(L21="","Укажите валюту",IF(NOT(ISNUMBER(K21)),"Укажите объём",IF(K21&lt;=0,"Укажите объём",IF(COUNT(M21:O21)&lt;3,"Нужны цены",IF(COUNT(P21:R21)&lt;3,"Нужны расходы",IF(OR(M21&lt;0,N21&lt;0,O21&lt;0,O21&gt;100,P21&lt;0,Q21&lt;0,R21&lt;0,R21&gt;100),"Проверьте значения","Рассчитано"))))))</x:f>
        <x:v>Нужны цены</x:v>
      </x:c>
      <x:c r="K21" s="36" t="n">
        <x:v>5</x:v>
      </x:c>
      <x:c r="L21" s="19" t="str">
        <x:v>KZT</x:v>
      </x:c>
      <x:c r="M21" s="22"/>
      <x:c r="N21" s="22"/>
      <x:c r="O21" s="28"/>
      <x:c r="P21" s="22"/>
      <x:c r="Q21" s="22"/>
      <x:c r="R21" s="28"/>
      <x:c r="S21" s="22"/>
      <x:c r="T21" s="37" t="n">
        <x:f>MIN(K21,AT21)</x:f>
        <x:v>4.026908011986292</x:v>
      </x:c>
      <x:c r="U21" s="21" t="str">
        <x:f>IF(J21="Рассчитано",N21*(1-O21/100),"н/д")</x:f>
        <x:v>н/д</x:v>
      </x:c>
      <x:c r="V21" s="21" t="str">
        <x:f>IF(J21="Рассчитано",T21*U21,"н/д")</x:f>
        <x:v>н/д</x:v>
      </x:c>
      <x:c r="W21" s="21" t="str">
        <x:f>IF(J21="Рассчитано",T21*M21,"н/д")</x:f>
        <x:v>н/д</x:v>
      </x:c>
      <x:c r="X21" s="21" t="str">
        <x:f>IF(J21="Рассчитано",V21-W21,"н/д")</x:f>
        <x:v>н/д</x:v>
      </x:c>
      <x:c r="Y21" s="27" t="str">
        <x:f>IF(J21="Рассчитано",IF(V21&gt;0,G21/V21,"н/д"),"н/д")</x:f>
        <x:v>н/д</x:v>
      </x:c>
      <x:c r="Z21" s="21" t="str">
        <x:f>IF(J21="Рассчитано",K21*M21,"н/д")</x:f>
        <x:v>н/д</x:v>
      </x:c>
      <x:c r="AA21" s="21" t="str">
        <x:f>IF(J21="Рассчитано",(K21-T21)*M21,"н/д")</x:f>
        <x:v>н/д</x:v>
      </x:c>
      <x:c r="AB21" s="21" t="str">
        <x:f>IF(AND(J21="Рассчитано",ISNUMBER(S21)),K21*(S21-M21),"н/д")</x:f>
        <x:v>н/д</x:v>
      </x:c>
      <x:c r="AC21" s="21" t="str">
        <x:f>IF(AND(J21="Рассчитано",T21&gt;0,R21&lt;100),(W21+P21+Q21)/(T21*(1-R21/100)),"н/д")</x:f>
        <x:v>н/д</x:v>
      </x:c>
      <x:c r="AD21" s="10" t="str">
        <x:f>IF(ISNUMBER(G21),IF(G21&lt;0,"Убыток",IF(G21=0,"Без прибыли","Прибыль &gt; 0")),"Не оценён")</x:f>
        <x:v>Не оценён</x:v>
      </x:c>
      <x:c r="AE21" s="13" t="str">
        <x:f>IF(J21="Рассчитано","Выручка "&amp;TEXT(V21,"0.00")&amp;" - себестоимость "&amp;TEXT(W21,"0.00")&amp;" - комиссия "&amp;TEXT(V21*R21/100,"0.00")&amp;" - доставка "&amp;TEXT(P21,"0.00")&amp;" - прочие "&amp;TEXT(Q21,"0.00")&amp;" = "&amp;TEXT(G21,"0.00")&amp;" "&amp;L21,"Введите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" s="24" t="n">
        <x:v>9.026908011986292</x:v>
      </x:c>
      <x:c r="AG21" s="37" t="n">
        <x:v>0</x:v>
      </x:c>
      <x:c r="AH21" s="37" t="n">
        <x:v>5</x:v>
      </x:c>
      <x:c r="AI21" s="30" t="n">
        <x:v>46266</x:v>
      </x:c>
      <x:c r="AJ21" s="37" t="n">
        <x:v>1</x:v>
      </x:c>
      <x:c r="AK21" s="10" t="str">
        <x:v>минимум</x:v>
      </x:c>
      <x:c r="AL21" s="32" t="n">
        <x:v>0</x:v>
      </x:c>
      <x:c r="AM21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1" s="13" t="str">
        <x:v>Подтвердить наличие, срок и цену закупки</x:v>
      </x:c>
      <x:c r="AO21" s="13" t="str">
        <x:v>Прогноз 30 дней 9.03; остаток 0; поступления в срок 5; нехватка 5; заказ с учётом MOQ 5 шт. Остаток на начало сентября: требуется актуализация.</x:v>
      </x:c>
      <x:c r="AP21" s="13" t="str">
        <x:v>["blank_stock_assumed_zero", "category_missing", "daily_stockout_data_missing", "new_order_lead_time_unknown", "reservations_unknown", "stale_stock", "stockout_proxy_used"]</x:v>
      </x:c>
      <x:c r="AQ21" s="10" t="str">
        <x:v>IEK:010400929_</x:v>
      </x:c>
      <x:c r="AR21" s="24" t="n">
        <x:v>1</x:v>
      </x:c>
      <x:c r="AS21" s="24" t="n">
        <x:f>MAX(0,ROUNDUP(MAX(0,AF21-AG21-AH21)/AR21-0.000000001,0)*AR21)</x:f>
        <x:v>5</x:v>
      </x:c>
      <x:c r="AT21" s="24" t="n">
        <x:v>4.026908011986292</x:v>
      </x:c>
    </x:row>
    <x:row r="22" ht="64" customHeight="1">
      <x:c r="A22" s="11" t="str">
        <x:v>IEK</x:v>
      </x:c>
      <x:c r="B22" s="33" t="str">
        <x:v>010400932_</x:v>
      </x:c>
      <x:c r="C22" s="33" t="str">
        <x:v>IVR31-1-40</x:v>
      </x:c>
      <x:c r="D22" s="12" t="str">
        <x:v>Реле напряжения РН-д однофазное 54мм 40А IEK</x:v>
      </x:c>
      <x:c r="E22" s="11" t="str">
        <x:v>шт</x:v>
      </x:c>
      <x:c r="F22" s="35" t="n">
        <x:f>IF(AS22&gt;0,MAX(AS22,AJ22),0)</x:f>
        <x:v>1</x:v>
      </x:c>
      <x:c r="G22" s="20" t="str">
        <x:f>IF(J22="Рассчитано",V22*(1-R22/100)-W22-P22-Q22,"н/д")</x:f>
        <x:v>н/д</x:v>
      </x:c>
      <x:c r="H22" s="12" t="str">
        <x:v>Высокий</x:v>
      </x:c>
      <x:c r="I22" s="12" t="str">
        <x:v>Средний</x:v>
      </x:c>
      <x:c r="J22" s="12" t="str">
        <x:f>IF(L22="","Укажите валюту",IF(NOT(ISNUMBER(K22)),"Укажите объём",IF(K22&lt;=0,"Укажите объём",IF(COUNT(M22:O22)&lt;3,"Нужны цены",IF(COUNT(P22:R22)&lt;3,"Нужны расходы",IF(OR(M22&lt;0,N22&lt;0,O22&lt;0,O22&gt;100,P22&lt;0,Q22&lt;0,R22&lt;0,R22&gt;100),"Проверьте значения","Рассчитано"))))))</x:f>
        <x:v>Нужны цены</x:v>
      </x:c>
      <x:c r="K22" s="36" t="n">
        <x:v>1</x:v>
      </x:c>
      <x:c r="L22" s="19" t="str">
        <x:v>KZT</x:v>
      </x:c>
      <x:c r="M22" s="22"/>
      <x:c r="N22" s="22"/>
      <x:c r="O22" s="28"/>
      <x:c r="P22" s="22"/>
      <x:c r="Q22" s="22"/>
      <x:c r="R22" s="28"/>
      <x:c r="S22" s="22"/>
      <x:c r="T22" s="35" t="n">
        <x:f>MIN(K22,AT22)</x:f>
        <x:v>0.5944947511873901</x:v>
      </x:c>
      <x:c r="U22" s="20" t="str">
        <x:f>IF(J22="Рассчитано",N22*(1-O22/100),"н/д")</x:f>
        <x:v>н/д</x:v>
      </x:c>
      <x:c r="V22" s="20" t="str">
        <x:f>IF(J22="Рассчитано",T22*U22,"н/д")</x:f>
        <x:v>н/д</x:v>
      </x:c>
      <x:c r="W22" s="20" t="str">
        <x:f>IF(J22="Рассчитано",T22*M22,"н/д")</x:f>
        <x:v>н/д</x:v>
      </x:c>
      <x:c r="X22" s="20" t="str">
        <x:f>IF(J22="Рассчитано",V22-W22,"н/д")</x:f>
        <x:v>н/д</x:v>
      </x:c>
      <x:c r="Y22" s="26" t="str">
        <x:f>IF(J22="Рассчитано",IF(V22&gt;0,G22/V22,"н/д"),"н/д")</x:f>
        <x:v>н/д</x:v>
      </x:c>
      <x:c r="Z22" s="20" t="str">
        <x:f>IF(J22="Рассчитано",K22*M22,"н/д")</x:f>
        <x:v>н/д</x:v>
      </x:c>
      <x:c r="AA22" s="20" t="str">
        <x:f>IF(J22="Рассчитано",(K22-T22)*M22,"н/д")</x:f>
        <x:v>н/д</x:v>
      </x:c>
      <x:c r="AB22" s="20" t="str">
        <x:f>IF(AND(J22="Рассчитано",ISNUMBER(S22)),K22*(S22-M22),"н/д")</x:f>
        <x:v>н/д</x:v>
      </x:c>
      <x:c r="AC22" s="20" t="str">
        <x:f>IF(AND(J22="Рассчитано",T22&gt;0,R22&lt;100),(W22+P22+Q22)/(T22*(1-R22/100)),"н/д")</x:f>
        <x:v>н/д</x:v>
      </x:c>
      <x:c r="AD22" s="11" t="str">
        <x:f>IF(ISNUMBER(G22),IF(G22&lt;0,"Убыток",IF(G22=0,"Без прибыли","Прибыль &gt; 0")),"Не оценён")</x:f>
        <x:v>Не оценён</x:v>
      </x:c>
      <x:c r="AE22" s="12" t="str">
        <x:f>IF(J22="Рассчитано","Выручка "&amp;TEXT(V22,"0.00")&amp;" - себестоимость "&amp;TEXT(W22,"0.00")&amp;" - комиссия "&amp;TEXT(V22*R22/100,"0.00")&amp;" - доставка "&amp;TEXT(P22,"0.00")&amp;" - прочие "&amp;TEXT(Q22,"0.00")&amp;" = "&amp;TEXT(G22,"0.00")&amp;" "&amp;L22,"Введите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" s="23" t="n">
        <x:v>2.59449475118739</x:v>
      </x:c>
      <x:c r="AG22" s="35" t="n">
        <x:v>2</x:v>
      </x:c>
      <x:c r="AH22" s="35" t="n">
        <x:v>0</x:v>
      </x:c>
      <x:c r="AI22" s="29" t="n">
        <x:v>46266</x:v>
      </x:c>
      <x:c r="AJ22" s="35" t="n">
        <x:v>1</x:v>
      </x:c>
      <x:c r="AK22" s="11" t="str">
        <x:v>минимум</x:v>
      </x:c>
      <x:c r="AL22" s="31" t="n">
        <x:v>23.12588991461268</x:v>
      </x:c>
      <x:c r="AM22" s="12" t="str">
        <x:v>Остаток на начало сентября; Резервы неизвестны; Stockout оценён по месячным снимкам; Нет ежедневных данных доступности. Запаса примерно на 23.1 дн. без поступлений</x:v>
      </x:c>
      <x:c r="AN22" s="12" t="str">
        <x:v>Подтвердить наличие, срок и цену закупки</x:v>
      </x:c>
      <x:c r="AO22" s="12" t="str">
        <x:v>Прогноз 30 дней 2.59; остаток 2; поступления в срок 0; нехватка 1; заказ с учётом MOQ 1 шт. Остаток на начало сентября: требуется актуализация.</x:v>
      </x:c>
      <x:c r="AP22" s="12" t="str">
        <x:v>["category_missing", "daily_stockout_data_missing", "new_order_lead_time_unknown", "reservations_unknown", "stale_stock", "stockout_proxy_used"]</x:v>
      </x:c>
      <x:c r="AQ22" s="11" t="str">
        <x:v>IEK:010400932_</x:v>
      </x:c>
      <x:c r="AR22" s="23" t="n">
        <x:v>1</x:v>
      </x:c>
      <x:c r="AS22" s="23" t="n">
        <x:f>MAX(0,ROUNDUP(MAX(0,AF22-AG22-AH22)/AR22-0.000000001,0)*AR22)</x:f>
        <x:v>1</x:v>
      </x:c>
      <x:c r="AT22" s="23" t="n">
        <x:v>0.5944947511873901</x:v>
      </x:c>
    </x:row>
    <x:row r="23" ht="64" customHeight="1">
      <x:c r="A23" s="10" t="str">
        <x:v>IEK</x:v>
      </x:c>
      <x:c r="B23" s="34" t="str">
        <x:v>010400934_</x:v>
      </x:c>
      <x:c r="C23" s="34" t="str">
        <x:v>IVR31-1-63</x:v>
      </x:c>
      <x:c r="D23" s="13" t="str">
        <x:v>Реле напряжения РН-д однофазное 54мм 63А IEK</x:v>
      </x:c>
      <x:c r="E23" s="10" t="str">
        <x:v>шт</x:v>
      </x:c>
      <x:c r="F23" s="37" t="n">
        <x:f>IF(AS23&gt;0,MAX(AS23,AJ23),0)</x:f>
        <x:v>20</x:v>
      </x:c>
      <x:c r="G23" s="21" t="str">
        <x:f>IF(J23="Рассчитано",V23*(1-R23/100)-W23-P23-Q23,"н/д")</x:f>
        <x:v>н/д</x:v>
      </x:c>
      <x:c r="H23" s="13" t="str">
        <x:v>Высокий</x:v>
      </x:c>
      <x:c r="I23" s="13" t="str">
        <x:v>Критический</x:v>
      </x:c>
      <x:c r="J23" s="13" t="str">
        <x:f>IF(L23="","Укажите валюту",IF(NOT(ISNUMBER(K23)),"Укажите объём",IF(K23&lt;=0,"Укажите объём",IF(COUNT(M23:O23)&lt;3,"Нужны цены",IF(COUNT(P23:R23)&lt;3,"Нужны расходы",IF(OR(M23&lt;0,N23&lt;0,O23&lt;0,O23&gt;100,P23&lt;0,Q23&lt;0,R23&lt;0,R23&gt;100),"Проверьте значения","Рассчитано"))))))</x:f>
        <x:v>Нужны цены</x:v>
      </x:c>
      <x:c r="K23" s="36" t="n">
        <x:v>20</x:v>
      </x:c>
      <x:c r="L23" s="19" t="str">
        <x:v>KZT</x:v>
      </x:c>
      <x:c r="M23" s="22"/>
      <x:c r="N23" s="22"/>
      <x:c r="O23" s="28"/>
      <x:c r="P23" s="22"/>
      <x:c r="Q23" s="22"/>
      <x:c r="R23" s="28"/>
      <x:c r="S23" s="22"/>
      <x:c r="T23" s="37" t="n">
        <x:f>MIN(K23,AT23)</x:f>
        <x:v>19.360480027622195</x:v>
      </x:c>
      <x:c r="U23" s="21" t="str">
        <x:f>IF(J23="Рассчитано",N23*(1-O23/100),"н/д")</x:f>
        <x:v>н/д</x:v>
      </x:c>
      <x:c r="V23" s="21" t="str">
        <x:f>IF(J23="Рассчитано",T23*U23,"н/д")</x:f>
        <x:v>н/д</x:v>
      </x:c>
      <x:c r="W23" s="21" t="str">
        <x:f>IF(J23="Рассчитано",T23*M23,"н/д")</x:f>
        <x:v>н/д</x:v>
      </x:c>
      <x:c r="X23" s="21" t="str">
        <x:f>IF(J23="Рассчитано",V23-W23,"н/д")</x:f>
        <x:v>н/д</x:v>
      </x:c>
      <x:c r="Y23" s="27" t="str">
        <x:f>IF(J23="Рассчитано",IF(V23&gt;0,G23/V23,"н/д"),"н/д")</x:f>
        <x:v>н/д</x:v>
      </x:c>
      <x:c r="Z23" s="21" t="str">
        <x:f>IF(J23="Рассчитано",K23*M23,"н/д")</x:f>
        <x:v>н/д</x:v>
      </x:c>
      <x:c r="AA23" s="21" t="str">
        <x:f>IF(J23="Рассчитано",(K23-T23)*M23,"н/д")</x:f>
        <x:v>н/д</x:v>
      </x:c>
      <x:c r="AB23" s="21" t="str">
        <x:f>IF(AND(J23="Рассчитано",ISNUMBER(S23)),K23*(S23-M23),"н/д")</x:f>
        <x:v>н/д</x:v>
      </x:c>
      <x:c r="AC23" s="21" t="str">
        <x:f>IF(AND(J23="Рассчитано",T23&gt;0,R23&lt;100),(W23+P23+Q23)/(T23*(1-R23/100)),"н/д")</x:f>
        <x:v>н/д</x:v>
      </x:c>
      <x:c r="AD23" s="10" t="str">
        <x:f>IF(ISNUMBER(G23),IF(G23&lt;0,"Убыток",IF(G23=0,"Без прибыли","Прибыль &gt; 0")),"Не оценён")</x:f>
        <x:v>Не оценён</x:v>
      </x:c>
      <x:c r="AE23" s="13" t="str">
        <x:f>IF(J23="Рассчитано","Выручка "&amp;TEXT(V23,"0.00")&amp;" - себестоимость "&amp;TEXT(W23,"0.00")&amp;" - комиссия "&amp;TEXT(V23*R23/100,"0.00")&amp;" - доставка "&amp;TEXT(P23,"0.00")&amp;" - прочие "&amp;TEXT(Q23,"0.00")&amp;" = "&amp;TEXT(G23,"0.00")&amp;" "&amp;L23,"Введите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" s="24" t="n">
        <x:v>19.360480027622195</x:v>
      </x:c>
      <x:c r="AG23" s="37" t="n">
        <x:v>0</x:v>
      </x:c>
      <x:c r="AH23" s="37" t="n">
        <x:v>0</x:v>
      </x:c>
      <x:c r="AI23" s="30" t="n">
        <x:v>46266</x:v>
      </x:c>
      <x:c r="AJ23" s="37" t="n">
        <x:v>1</x:v>
      </x:c>
      <x:c r="AK23" s="10" t="str">
        <x:v>минимум</x:v>
      </x:c>
      <x:c r="AL23" s="32" t="n">
        <x:v>0</x:v>
      </x:c>
      <x:c r="AM23" s="13" t="str">
        <x:v>Остаток на начало сентября; Резервы неизвестны; Нет ежедневных данных доступности. Нет запаса</x:v>
      </x:c>
      <x:c r="AN23" s="13" t="str">
        <x:v>Подтвердить наличие, срок и цену закупки</x:v>
      </x:c>
      <x:c r="AO23" s="13" t="str">
        <x:v>Прогноз 30 дней 19.36; остаток 0; поступления в срок 0; нехватка 20; заказ с учётом MOQ 20 шт. Остаток на начало сентября: требуется актуализация.</x:v>
      </x:c>
      <x:c r="AP23" s="13" t="str">
        <x:v>["blank_stock_assumed_zero", "category_missing", "daily_stockout_data_missing", "large_orders_detected", "negative_net_sales_clipped_for_forecast", "new_order_lead_time_unknown", "reservations_unknown", "stale_stock"]</x:v>
      </x:c>
      <x:c r="AQ23" s="10" t="str">
        <x:v>IEK:010400934_</x:v>
      </x:c>
      <x:c r="AR23" s="24" t="n">
        <x:v>1</x:v>
      </x:c>
      <x:c r="AS23" s="24" t="n">
        <x:f>MAX(0,ROUNDUP(MAX(0,AF23-AG23-AH23)/AR23-0.000000001,0)*AR23)</x:f>
        <x:v>20</x:v>
      </x:c>
      <x:c r="AT23" s="24" t="n">
        <x:v>19.360480027622195</x:v>
      </x:c>
    </x:row>
    <x:row r="24" ht="64" customHeight="1">
      <x:c r="A24" s="11" t="str">
        <x:v>IEK</x:v>
      </x:c>
      <x:c r="B24" s="33" t="str">
        <x:v>010400953_</x:v>
      </x:c>
      <x:c r="C24" s="33" t="str">
        <x:v>KKV12-P122-1-67</x:v>
      </x:c>
      <x:c r="D24" s="12" t="str">
        <x:v>Выкл. конц. C6N-122 толк. с наж. рол. IP67 IEK</x:v>
      </x:c>
      <x:c r="E24" s="11" t="str">
        <x:v>шт</x:v>
      </x:c>
      <x:c r="F24" s="35" t="n">
        <x:f>IF(AS24&gt;0,MAX(AS24,AJ24),0)</x:f>
        <x:v>3</x:v>
      </x:c>
      <x:c r="G24" s="20" t="str">
        <x:f>IF(J24="Рассчитано",V24*(1-R24/100)-W24-P24-Q24,"н/д")</x:f>
        <x:v>н/д</x:v>
      </x:c>
      <x:c r="H24" s="12" t="str">
        <x:v>Высокий</x:v>
      </x:c>
      <x:c r="I24" s="12" t="str">
        <x:v>Критический</x:v>
      </x:c>
      <x:c r="J24" s="12" t="str">
        <x:f>IF(L24="","Укажите валюту",IF(NOT(ISNUMBER(K24)),"Укажите объём",IF(K24&lt;=0,"Укажите объём",IF(COUNT(M24:O24)&lt;3,"Нужны цены",IF(COUNT(P24:R24)&lt;3,"Нужны расходы",IF(OR(M24&lt;0,N24&lt;0,O24&lt;0,O24&gt;100,P24&lt;0,Q24&lt;0,R24&lt;0,R24&gt;100),"Проверьте значения","Рассчитано"))))))</x:f>
        <x:v>Нужны цены</x:v>
      </x:c>
      <x:c r="K24" s="36" t="n">
        <x:v>3</x:v>
      </x:c>
      <x:c r="L24" s="19" t="str">
        <x:v>KZT</x:v>
      </x:c>
      <x:c r="M24" s="22"/>
      <x:c r="N24" s="22"/>
      <x:c r="O24" s="28"/>
      <x:c r="P24" s="22"/>
      <x:c r="Q24" s="22"/>
      <x:c r="R24" s="28"/>
      <x:c r="S24" s="22"/>
      <x:c r="T24" s="35" t="n">
        <x:f>MIN(K24,AT24)</x:f>
        <x:v>2.0954802712171325</x:v>
      </x:c>
      <x:c r="U24" s="20" t="str">
        <x:f>IF(J24="Рассчитано",N24*(1-O24/100),"н/д")</x:f>
        <x:v>н/д</x:v>
      </x:c>
      <x:c r="V24" s="20" t="str">
        <x:f>IF(J24="Рассчитано",T24*U24,"н/д")</x:f>
        <x:v>н/д</x:v>
      </x:c>
      <x:c r="W24" s="20" t="str">
        <x:f>IF(J24="Рассчитано",T24*M24,"н/д")</x:f>
        <x:v>н/д</x:v>
      </x:c>
      <x:c r="X24" s="20" t="str">
        <x:f>IF(J24="Рассчитано",V24-W24,"н/д")</x:f>
        <x:v>н/д</x:v>
      </x:c>
      <x:c r="Y24" s="26" t="str">
        <x:f>IF(J24="Рассчитано",IF(V24&gt;0,G24/V24,"н/д"),"н/д")</x:f>
        <x:v>н/д</x:v>
      </x:c>
      <x:c r="Z24" s="20" t="str">
        <x:f>IF(J24="Рассчитано",K24*M24,"н/д")</x:f>
        <x:v>н/д</x:v>
      </x:c>
      <x:c r="AA24" s="20" t="str">
        <x:f>IF(J24="Рассчитано",(K24-T24)*M24,"н/д")</x:f>
        <x:v>н/д</x:v>
      </x:c>
      <x:c r="AB24" s="20" t="str">
        <x:f>IF(AND(J24="Рассчитано",ISNUMBER(S24)),K24*(S24-M24),"н/д")</x:f>
        <x:v>н/д</x:v>
      </x:c>
      <x:c r="AC24" s="20" t="str">
        <x:f>IF(AND(J24="Рассчитано",T24&gt;0,R24&lt;100),(W24+P24+Q24)/(T24*(1-R24/100)),"н/д")</x:f>
        <x:v>н/д</x:v>
      </x:c>
      <x:c r="AD24" s="11" t="str">
        <x:f>IF(ISNUMBER(G24),IF(G24&lt;0,"Убыток",IF(G24=0,"Без прибыли","Прибыль &gt; 0")),"Не оценён")</x:f>
        <x:v>Не оценён</x:v>
      </x:c>
      <x:c r="AE24" s="12" t="str">
        <x:f>IF(J24="Рассчитано","Выручка "&amp;TEXT(V24,"0.00")&amp;" - себестоимость "&amp;TEXT(W24,"0.00")&amp;" - комиссия "&amp;TEXT(V24*R24/100,"0.00")&amp;" - доставка "&amp;TEXT(P24,"0.00")&amp;" - прочие "&amp;TEXT(Q24,"0.00")&amp;" = "&amp;TEXT(G24,"0.00")&amp;" "&amp;L24,"Введите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" s="23" t="n">
        <x:v>2.0954802712171325</x:v>
      </x:c>
      <x:c r="AG24" s="35" t="n">
        <x:v>0</x:v>
      </x:c>
      <x:c r="AH24" s="35" t="n">
        <x:v>0</x:v>
      </x:c>
      <x:c r="AI24" s="29" t="n">
        <x:v>46266</x:v>
      </x:c>
      <x:c r="AJ24" s="35" t="n">
        <x:v>1</x:v>
      </x:c>
      <x:c r="AK24" s="11" t="str">
        <x:v>минимум</x:v>
      </x:c>
      <x:c r="AL24" s="31" t="n">
        <x:v>0</x:v>
      </x:c>
      <x:c r="AM24" s="12" t="str">
        <x:v>Остаток на начало сентября; Резервы неизвестны; Нет ежедневных данных доступности. Нет запаса</x:v>
      </x:c>
      <x:c r="AN24" s="12" t="str">
        <x:v>Подтвердить наличие, срок и цену закупки</x:v>
      </x:c>
      <x:c r="AO24" s="12" t="str">
        <x:v>Прогноз 30 дней 2.10; остаток 0; поступления в срок 0; нехватка 3; заказ с учётом MOQ 3 шт. Остаток на начало сентября: требуется актуализация.</x:v>
      </x:c>
      <x:c r="AP24" s="12" t="str">
        <x:v>["blank_stock_assumed_zero", "category_missing", "daily_stockout_data_missing", "new_order_lead_time_unknown", "reservations_unknown", "stale_stock"]</x:v>
      </x:c>
      <x:c r="AQ24" s="11" t="str">
        <x:v>IEK:010400953_</x:v>
      </x:c>
      <x:c r="AR24" s="23" t="n">
        <x:v>1</x:v>
      </x:c>
      <x:c r="AS24" s="23" t="n">
        <x:f>MAX(0,ROUNDUP(MAX(0,AF24-AG24-AH24)/AR24-0.000000001,0)*AR24)</x:f>
        <x:v>3</x:v>
      </x:c>
      <x:c r="AT24" s="23" t="n">
        <x:v>2.0954802712171325</x:v>
      </x:c>
    </x:row>
    <x:row r="25" ht="64" customHeight="1">
      <x:c r="A25" s="10" t="str">
        <x:v>IEK</x:v>
      </x:c>
      <x:c r="B25" s="34" t="str">
        <x:v>010500029_</x:v>
      </x:c>
      <x:c r="C25" s="34"/>
      <x:c r="D25" s="13" t="str">
        <x:v>Выкл. нагрузки ВН-32 (2ф)  32А IEK (120) !!!</x:v>
      </x:c>
      <x:c r="E25" s="10" t="str">
        <x:v>шт</x:v>
      </x:c>
      <x:c r="F25" s="37" t="n">
        <x:f>AS25</x:f>
        <x:v>1</x:v>
      </x:c>
      <x:c r="G25" s="21" t="str">
        <x:f>IF(J25="Рассчитано",V25*(1-R25/100)-W25-P25-Q25,"н/д")</x:f>
        <x:v>н/д</x:v>
      </x:c>
      <x:c r="H25" s="13" t="str">
        <x:v>Высокий</x:v>
      </x:c>
      <x:c r="I25" s="13" t="str">
        <x:v>Критический</x:v>
      </x:c>
      <x:c r="J25" s="13" t="str">
        <x:f>IF(L25="","Укажите валюту",IF(NOT(ISNUMBER(K25)),"Укажите объём",IF(K25&lt;=0,"Укажите объём",IF(COUNT(M25:O25)&lt;3,"Нужны цены",IF(COUNT(P25:R25)&lt;3,"Нужны расходы",IF(OR(M25&lt;0,N25&lt;0,O25&lt;0,O25&gt;100,P25&lt;0,Q25&lt;0,R25&lt;0,R25&gt;100),"Проверьте значения","Рассчитано"))))))</x:f>
        <x:v>Нужны цены</x:v>
      </x:c>
      <x:c r="K25" s="36" t="n">
        <x:v>1</x:v>
      </x:c>
      <x:c r="L25" s="19" t="str">
        <x:v>KZT</x:v>
      </x:c>
      <x:c r="M25" s="22"/>
      <x:c r="N25" s="22"/>
      <x:c r="O25" s="28"/>
      <x:c r="P25" s="22"/>
      <x:c r="Q25" s="22"/>
      <x:c r="R25" s="28"/>
      <x:c r="S25" s="22"/>
      <x:c r="T25" s="37" t="n">
        <x:f>MIN(K25,AT25)</x:f>
        <x:v>0.09834298950572885</x:v>
      </x:c>
      <x:c r="U25" s="21" t="str">
        <x:f>IF(J25="Рассчитано",N25*(1-O25/100),"н/д")</x:f>
        <x:v>н/д</x:v>
      </x:c>
      <x:c r="V25" s="21" t="str">
        <x:f>IF(J25="Рассчитано",T25*U25,"н/д")</x:f>
        <x:v>н/д</x:v>
      </x:c>
      <x:c r="W25" s="21" t="str">
        <x:f>IF(J25="Рассчитано",T25*M25,"н/д")</x:f>
        <x:v>н/д</x:v>
      </x:c>
      <x:c r="X25" s="21" t="str">
        <x:f>IF(J25="Рассчитано",V25-W25,"н/д")</x:f>
        <x:v>н/д</x:v>
      </x:c>
      <x:c r="Y25" s="27" t="str">
        <x:f>IF(J25="Рассчитано",IF(V25&gt;0,G25/V25,"н/д"),"н/д")</x:f>
        <x:v>н/д</x:v>
      </x:c>
      <x:c r="Z25" s="21" t="str">
        <x:f>IF(J25="Рассчитано",K25*M25,"н/д")</x:f>
        <x:v>н/д</x:v>
      </x:c>
      <x:c r="AA25" s="21" t="str">
        <x:f>IF(J25="Рассчитано",(K25-T25)*M25,"н/д")</x:f>
        <x:v>н/д</x:v>
      </x:c>
      <x:c r="AB25" s="21" t="str">
        <x:f>IF(AND(J25="Рассчитано",ISNUMBER(S25)),K25*(S25-M25),"н/д")</x:f>
        <x:v>н/д</x:v>
      </x:c>
      <x:c r="AC25" s="21" t="str">
        <x:f>IF(AND(J25="Рассчитано",T25&gt;0,R25&lt;100),(W25+P25+Q25)/(T25*(1-R25/100)),"н/д")</x:f>
        <x:v>н/д</x:v>
      </x:c>
      <x:c r="AD25" s="10" t="str">
        <x:f>IF(ISNUMBER(G25),IF(G25&lt;0,"Убыток",IF(G25=0,"Без прибыли","Прибыль &gt; 0")),"Не оценён")</x:f>
        <x:v>Не оценён</x:v>
      </x:c>
      <x:c r="AE25" s="13" t="str">
        <x:f>IF(J25="Рассчитано","Выручка "&amp;TEXT(V25,"0.00")&amp;" - себестоимость "&amp;TEXT(W25,"0.00")&amp;" - комиссия "&amp;TEXT(V25*R25/100,"0.00")&amp;" - доставка "&amp;TEXT(P25,"0.00")&amp;" - прочие "&amp;TEXT(Q25,"0.00")&amp;" = "&amp;TEXT(G25,"0.00")&amp;" "&amp;L25,"Введите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" s="24" t="n">
        <x:v>0.09834298950572885</x:v>
      </x:c>
      <x:c r="AG25" s="37" t="n">
        <x:v>0</x:v>
      </x:c>
      <x:c r="AH25" s="37" t="n">
        <x:v>0</x:v>
      </x:c>
      <x:c r="AI25" s="30" t="n">
        <x:v>46266</x:v>
      </x:c>
      <x:c r="AJ25" s="37"/>
      <x:c r="AK25" s="10" t="str">
        <x:v>неизвестно</x:v>
      </x:c>
      <x:c r="AL25" s="32" t="n">
        <x:v>0</x:v>
      </x:c>
      <x:c r="AM25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5" s="13" t="str">
        <x:v>Подтвердить наличие, срок и цену закупки</x:v>
      </x:c>
      <x:c r="AO25" s="13" t="str">
        <x:v>Прогноз 30 дней 0.10; остаток 0; поступления в срок 0; нехватка 1; заказ с учётом MOQ 1 шт. Остаток на начало сентября: требуется актуализация.</x:v>
      </x:c>
      <x:c r="AP25" s="13" t="str">
        <x:v>["blank_stock_assumed_zero", "category_missing", "daily_stockout_data_missing", "moq_missing", "new_order_lead_time_unknown", "reservations_unknown", "stale_stock", "supplier_sku_missing"]</x:v>
      </x:c>
      <x:c r="AQ25" s="10" t="str">
        <x:v>IEK:010500029_</x:v>
      </x:c>
      <x:c r="AR25" s="24" t="n">
        <x:v>1</x:v>
      </x:c>
      <x:c r="AS25" s="24" t="n">
        <x:f>MAX(0,ROUNDUP(MAX(0,AF25-AG25-AH25)/AR25-0.000000001,0)*AR25)</x:f>
        <x:v>1</x:v>
      </x:c>
      <x:c r="AT25" s="24" t="n">
        <x:v>0.09834298950572885</x:v>
      </x:c>
    </x:row>
    <x:row r="26" ht="64" customHeight="1">
      <x:c r="A26" s="11" t="str">
        <x:v>IEK</x:v>
      </x:c>
      <x:c r="B26" s="33" t="str">
        <x:v>010500031_</x:v>
      </x:c>
      <x:c r="C26" s="33"/>
      <x:c r="D26" s="12" t="str">
        <x:v>Выкл. нагрузки ВН-32 (2ф)  63А IEK (120) !!!</x:v>
      </x:c>
      <x:c r="E26" s="11" t="str">
        <x:v>шт</x:v>
      </x:c>
      <x:c r="F26" s="35" t="n">
        <x:f>AS26</x:f>
        <x:v>3</x:v>
      </x:c>
      <x:c r="G26" s="20" t="str">
        <x:f>IF(J26="Рассчитано",V26*(1-R26/100)-W26-P26-Q26,"н/д")</x:f>
        <x:v>н/д</x:v>
      </x:c>
      <x:c r="H26" s="12" t="str">
        <x:v>Высокий</x:v>
      </x:c>
      <x:c r="I26" s="12" t="str">
        <x:v>Критический</x:v>
      </x:c>
      <x:c r="J26" s="12" t="str">
        <x:f>IF(L26="","Укажите валюту",IF(NOT(ISNUMBER(K26)),"Укажите объём",IF(K26&lt;=0,"Укажите объём",IF(COUNT(M26:O26)&lt;3,"Нужны цены",IF(COUNT(P26:R26)&lt;3,"Нужны расходы",IF(OR(M26&lt;0,N26&lt;0,O26&lt;0,O26&gt;100,P26&lt;0,Q26&lt;0,R26&lt;0,R26&gt;100),"Проверьте значения","Рассчитано"))))))</x:f>
        <x:v>Нужны цены</x:v>
      </x:c>
      <x:c r="K26" s="36" t="n">
        <x:v>3</x:v>
      </x:c>
      <x:c r="L26" s="19" t="str">
        <x:v>KZT</x:v>
      </x:c>
      <x:c r="M26" s="22"/>
      <x:c r="N26" s="22"/>
      <x:c r="O26" s="28"/>
      <x:c r="P26" s="22"/>
      <x:c r="Q26" s="22"/>
      <x:c r="R26" s="28"/>
      <x:c r="S26" s="22"/>
      <x:c r="T26" s="35" t="n">
        <x:f>MIN(K26,AT26)</x:f>
        <x:v>2.6378756791656492</x:v>
      </x:c>
      <x:c r="U26" s="20" t="str">
        <x:f>IF(J26="Рассчитано",N26*(1-O26/100),"н/д")</x:f>
        <x:v>н/д</x:v>
      </x:c>
      <x:c r="V26" s="20" t="str">
        <x:f>IF(J26="Рассчитано",T26*U26,"н/д")</x:f>
        <x:v>н/д</x:v>
      </x:c>
      <x:c r="W26" s="20" t="str">
        <x:f>IF(J26="Рассчитано",T26*M26,"н/д")</x:f>
        <x:v>н/д</x:v>
      </x:c>
      <x:c r="X26" s="20" t="str">
        <x:f>IF(J26="Рассчитано",V26-W26,"н/д")</x:f>
        <x:v>н/д</x:v>
      </x:c>
      <x:c r="Y26" s="26" t="str">
        <x:f>IF(J26="Рассчитано",IF(V26&gt;0,G26/V26,"н/д"),"н/д")</x:f>
        <x:v>н/д</x:v>
      </x:c>
      <x:c r="Z26" s="20" t="str">
        <x:f>IF(J26="Рассчитано",K26*M26,"н/д")</x:f>
        <x:v>н/д</x:v>
      </x:c>
      <x:c r="AA26" s="20" t="str">
        <x:f>IF(J26="Рассчитано",(K26-T26)*M26,"н/д")</x:f>
        <x:v>н/д</x:v>
      </x:c>
      <x:c r="AB26" s="20" t="str">
        <x:f>IF(AND(J26="Рассчитано",ISNUMBER(S26)),K26*(S26-M26),"н/д")</x:f>
        <x:v>н/д</x:v>
      </x:c>
      <x:c r="AC26" s="20" t="str">
        <x:f>IF(AND(J26="Рассчитано",T26&gt;0,R26&lt;100),(W26+P26+Q26)/(T26*(1-R26/100)),"н/д")</x:f>
        <x:v>н/д</x:v>
      </x:c>
      <x:c r="AD26" s="11" t="str">
        <x:f>IF(ISNUMBER(G26),IF(G26&lt;0,"Убыток",IF(G26=0,"Без прибыли","Прибыль &gt; 0")),"Не оценён")</x:f>
        <x:v>Не оценён</x:v>
      </x:c>
      <x:c r="AE26" s="12" t="str">
        <x:f>IF(J26="Рассчитано","Выручка "&amp;TEXT(V26,"0.00")&amp;" - себестоимость "&amp;TEXT(W26,"0.00")&amp;" - комиссия "&amp;TEXT(V26*R26/100,"0.00")&amp;" - доставка "&amp;TEXT(P26,"0.00")&amp;" - прочие "&amp;TEXT(Q26,"0.00")&amp;" = "&amp;TEXT(G26,"0.00")&amp;" "&amp;L26,"Введите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" s="23" t="n">
        <x:v>2.6378756791656492</x:v>
      </x:c>
      <x:c r="AG26" s="35" t="n">
        <x:v>0</x:v>
      </x:c>
      <x:c r="AH26" s="35" t="n">
        <x:v>0</x:v>
      </x:c>
      <x:c r="AI26" s="29" t="n">
        <x:v>46266</x:v>
      </x:c>
      <x:c r="AJ26" s="35"/>
      <x:c r="AK26" s="11" t="str">
        <x:v>неизвестно</x:v>
      </x:c>
      <x:c r="AL26" s="31" t="n">
        <x:v>0</x:v>
      </x:c>
      <x:c r="AM26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6" s="12" t="str">
        <x:v>Подтвердить наличие, срок и цену закупки</x:v>
      </x:c>
      <x:c r="AO26" s="12" t="str">
        <x:v>Прогноз 30 дней 2.64; остаток 0; поступления в срок 0; нехватка 3; заказ с учётом MOQ 3 шт. Остаток на начало сентября: требуется актуализация.</x:v>
      </x:c>
      <x:c r="AP26" s="12" t="str">
        <x:v>["blank_stock_assumed_zero", "category_missing", "daily_stockout_data_missing", "moq_missing", "new_order_lead_time_unknown", "reservations_unknown", "stale_stock", "supplier_sku_missing"]</x:v>
      </x:c>
      <x:c r="AQ26" s="11" t="str">
        <x:v>IEK:010500031_</x:v>
      </x:c>
      <x:c r="AR26" s="23" t="n">
        <x:v>1</x:v>
      </x:c>
      <x:c r="AS26" s="23" t="n">
        <x:f>MAX(0,ROUNDUP(MAX(0,AF26-AG26-AH26)/AR26-0.000000001,0)*AR26)</x:f>
        <x:v>3</x:v>
      </x:c>
      <x:c r="AT26" s="23" t="n">
        <x:v>2.6378756791656492</x:v>
      </x:c>
    </x:row>
    <x:row r="27" ht="64" customHeight="1">
      <x:c r="A27" s="10" t="str">
        <x:v>IEK</x:v>
      </x:c>
      <x:c r="B27" s="34" t="str">
        <x:v>010500092_</x:v>
      </x:c>
      <x:c r="C27" s="34" t="str">
        <x:v>MVA20-4-025-C</x:v>
      </x:c>
      <x:c r="D27" s="13" t="str">
        <x:v>ВА47-29 (4ф) 25А IEK (3/36)</x:v>
      </x:c>
      <x:c r="E27" s="10" t="str">
        <x:v>шт</x:v>
      </x:c>
      <x:c r="F27" s="37" t="n">
        <x:f>IF(AS27&gt;0,MAX(AS27,AJ27),0)</x:f>
        <x:v>12</x:v>
      </x:c>
      <x:c r="G27" s="21" t="str">
        <x:f>IF(J27="Рассчитано",V27*(1-R27/100)-W27-P27-Q27,"н/д")</x:f>
        <x:v>н/д</x:v>
      </x:c>
      <x:c r="H27" s="13" t="str">
        <x:v>Высокий</x:v>
      </x:c>
      <x:c r="I27" s="13" t="str">
        <x:v>Критический</x:v>
      </x:c>
      <x:c r="J27" s="13" t="str">
        <x:f>IF(L27="","Укажите валюту",IF(NOT(ISNUMBER(K27)),"Укажите объём",IF(K27&lt;=0,"Укажите объём",IF(COUNT(M27:O27)&lt;3,"Нужны цены",IF(COUNT(P27:R27)&lt;3,"Нужны расходы",IF(OR(M27&lt;0,N27&lt;0,O27&lt;0,O27&gt;100,P27&lt;0,Q27&lt;0,R27&lt;0,R27&gt;100),"Проверьте значения","Рассчитано"))))))</x:f>
        <x:v>Нужны цены</x:v>
      </x:c>
      <x:c r="K27" s="36" t="n">
        <x:v>12</x:v>
      </x:c>
      <x:c r="L27" s="19" t="str">
        <x:v>KZT</x:v>
      </x:c>
      <x:c r="M27" s="22"/>
      <x:c r="N27" s="22"/>
      <x:c r="O27" s="28"/>
      <x:c r="P27" s="22"/>
      <x:c r="Q27" s="22"/>
      <x:c r="R27" s="28"/>
      <x:c r="S27" s="22"/>
      <x:c r="T27" s="37" t="n">
        <x:f>MIN(K27,AT27)</x:f>
        <x:v>11.702513904805109</x:v>
      </x:c>
      <x:c r="U27" s="21" t="str">
        <x:f>IF(J27="Рассчитано",N27*(1-O27/100),"н/д")</x:f>
        <x:v>н/д</x:v>
      </x:c>
      <x:c r="V27" s="21" t="str">
        <x:f>IF(J27="Рассчитано",T27*U27,"н/д")</x:f>
        <x:v>н/д</x:v>
      </x:c>
      <x:c r="W27" s="21" t="str">
        <x:f>IF(J27="Рассчитано",T27*M27,"н/д")</x:f>
        <x:v>н/д</x:v>
      </x:c>
      <x:c r="X27" s="21" t="str">
        <x:f>IF(J27="Рассчитано",V27-W27,"н/д")</x:f>
        <x:v>н/д</x:v>
      </x:c>
      <x:c r="Y27" s="27" t="str">
        <x:f>IF(J27="Рассчитано",IF(V27&gt;0,G27/V27,"н/д"),"н/д")</x:f>
        <x:v>н/д</x:v>
      </x:c>
      <x:c r="Z27" s="21" t="str">
        <x:f>IF(J27="Рассчитано",K27*M27,"н/д")</x:f>
        <x:v>н/д</x:v>
      </x:c>
      <x:c r="AA27" s="21" t="str">
        <x:f>IF(J27="Рассчитано",(K27-T27)*M27,"н/д")</x:f>
        <x:v>н/д</x:v>
      </x:c>
      <x:c r="AB27" s="21" t="str">
        <x:f>IF(AND(J27="Рассчитано",ISNUMBER(S27)),K27*(S27-M27),"н/д")</x:f>
        <x:v>н/д</x:v>
      </x:c>
      <x:c r="AC27" s="21" t="str">
        <x:f>IF(AND(J27="Рассчитано",T27&gt;0,R27&lt;100),(W27+P27+Q27)/(T27*(1-R27/100)),"н/д")</x:f>
        <x:v>н/д</x:v>
      </x:c>
      <x:c r="AD27" s="10" t="str">
        <x:f>IF(ISNUMBER(G27),IF(G27&lt;0,"Убыток",IF(G27=0,"Без прибыли","Прибыль &gt; 0")),"Не оценён")</x:f>
        <x:v>Не оценён</x:v>
      </x:c>
      <x:c r="AE27" s="13" t="str">
        <x:f>IF(J27="Рассчитано","Выручка "&amp;TEXT(V27,"0.00")&amp;" - себестоимость "&amp;TEXT(W27,"0.00")&amp;" - комиссия "&amp;TEXT(V27*R27/100,"0.00")&amp;" - доставка "&amp;TEXT(P27,"0.00")&amp;" - прочие "&amp;TEXT(Q27,"0.00")&amp;" = "&amp;TEXT(G27,"0.00")&amp;" "&amp;L27,"Введите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" s="24" t="n">
        <x:v>11.702513904805109</x:v>
      </x:c>
      <x:c r="AG27" s="37" t="n">
        <x:v>0</x:v>
      </x:c>
      <x:c r="AH27" s="37" t="n">
        <x:v>0</x:v>
      </x:c>
      <x:c r="AI27" s="30" t="n">
        <x:v>46266</x:v>
      </x:c>
      <x:c r="AJ27" s="37" t="n">
        <x:v>3</x:v>
      </x:c>
      <x:c r="AK27" s="10" t="str">
        <x:v>минимум</x:v>
      </x:c>
      <x:c r="AL27" s="32" t="n">
        <x:v>0</x:v>
      </x:c>
      <x:c r="AM27" s="13" t="str">
        <x:v>Остаток на начало сентября; Резервы неизвестны; Детальные и месячные продажи расходятся; Нет ежедневных данных доступности. Нет запаса</x:v>
      </x:c>
      <x:c r="AN27" s="13" t="str">
        <x:v>Подтвердить наличие, срок и цену закупки</x:v>
      </x:c>
      <x:c r="AO27" s="13" t="str">
        <x:v>Прогноз 30 дней 11.70; остаток 0; поступления в срок 0; нехватка 12; заказ с учётом MOQ 12 шт. Остаток на начало сентября: требуется актуализация.</x:v>
      </x:c>
      <x:c r="AP27" s="13" t="str">
        <x:v>["blank_stock_assumed_zero", "category_missing", "daily_stockout_data_missing", "large_orders_detected", "new_order_lead_time_unknown", "reservations_unknown", "stale_stock", "transaction_month_mismatch"]</x:v>
      </x:c>
      <x:c r="AQ27" s="10" t="str">
        <x:v>IEK:010500092_</x:v>
      </x:c>
      <x:c r="AR27" s="24" t="n">
        <x:v>1</x:v>
      </x:c>
      <x:c r="AS27" s="24" t="n">
        <x:f>MAX(0,ROUNDUP(MAX(0,AF27-AG27-AH27)/AR27-0.000000001,0)*AR27)</x:f>
        <x:v>12</x:v>
      </x:c>
      <x:c r="AT27" s="24" t="n">
        <x:v>11.702513904805109</x:v>
      </x:c>
    </x:row>
    <x:row r="28" ht="64" customHeight="1">
      <x:c r="A28" s="11" t="str">
        <x:v>IEK</x:v>
      </x:c>
      <x:c r="B28" s="33" t="str">
        <x:v>010500095_</x:v>
      </x:c>
      <x:c r="C28" s="33" t="str">
        <x:v>MVA20-4-063-C</x:v>
      </x:c>
      <x:c r="D28" s="12" t="str">
        <x:v>ВА47-29 (4ф) 63А IEK (3/36)</x:v>
      </x:c>
      <x:c r="E28" s="11" t="str">
        <x:v>шт</x:v>
      </x:c>
      <x:c r="F28" s="35" t="n">
        <x:f>IF(AS28&gt;0,MAX(AS28,AJ28),0)</x:f>
        <x:v>11</x:v>
      </x:c>
      <x:c r="G28" s="20" t="str">
        <x:f>IF(J28="Рассчитано",V28*(1-R28/100)-W28-P28-Q28,"н/д")</x:f>
        <x:v>н/д</x:v>
      </x:c>
      <x:c r="H28" s="12" t="str">
        <x:v>Высокий</x:v>
      </x:c>
      <x:c r="I28" s="12" t="str">
        <x:v>Средний</x:v>
      </x:c>
      <x:c r="J28" s="12" t="str">
        <x:f>IF(L28="","Укажите валюту",IF(NOT(ISNUMBER(K28)),"Укажите объём",IF(K28&lt;=0,"Укажите объём",IF(COUNT(M28:O28)&lt;3,"Нужны цены",IF(COUNT(P28:R28)&lt;3,"Нужны расходы",IF(OR(M28&lt;0,N28&lt;0,O28&lt;0,O28&gt;100,P28&lt;0,Q28&lt;0,R28&lt;0,R28&gt;100),"Проверьте значения","Рассчитано"))))))</x:f>
        <x:v>Нужны цены</x:v>
      </x:c>
      <x:c r="K28" s="36" t="n">
        <x:v>11</x:v>
      </x:c>
      <x:c r="L28" s="19" t="str">
        <x:v>KZT</x:v>
      </x:c>
      <x:c r="M28" s="22"/>
      <x:c r="N28" s="22"/>
      <x:c r="O28" s="28"/>
      <x:c r="P28" s="22"/>
      <x:c r="Q28" s="22"/>
      <x:c r="R28" s="28"/>
      <x:c r="S28" s="22"/>
      <x:c r="T28" s="35" t="n">
        <x:f>MIN(K28,AT28)</x:f>
        <x:v>10.810842932599265</x:v>
      </x:c>
      <x:c r="U28" s="20" t="str">
        <x:f>IF(J28="Рассчитано",N28*(1-O28/100),"н/д")</x:f>
        <x:v>н/д</x:v>
      </x:c>
      <x:c r="V28" s="20" t="str">
        <x:f>IF(J28="Рассчитано",T28*U28,"н/д")</x:f>
        <x:v>н/д</x:v>
      </x:c>
      <x:c r="W28" s="20" t="str">
        <x:f>IF(J28="Рассчитано",T28*M28,"н/д")</x:f>
        <x:v>н/д</x:v>
      </x:c>
      <x:c r="X28" s="20" t="str">
        <x:f>IF(J28="Рассчитано",V28-W28,"н/д")</x:f>
        <x:v>н/д</x:v>
      </x:c>
      <x:c r="Y28" s="26" t="str">
        <x:f>IF(J28="Рассчитано",IF(V28&gt;0,G28/V28,"н/д"),"н/д")</x:f>
        <x:v>н/д</x:v>
      </x:c>
      <x:c r="Z28" s="20" t="str">
        <x:f>IF(J28="Рассчитано",K28*M28,"н/д")</x:f>
        <x:v>н/д</x:v>
      </x:c>
      <x:c r="AA28" s="20" t="str">
        <x:f>IF(J28="Рассчитано",(K28-T28)*M28,"н/д")</x:f>
        <x:v>н/д</x:v>
      </x:c>
      <x:c r="AB28" s="20" t="str">
        <x:f>IF(AND(J28="Рассчитано",ISNUMBER(S28)),K28*(S28-M28),"н/д")</x:f>
        <x:v>н/д</x:v>
      </x:c>
      <x:c r="AC28" s="20" t="str">
        <x:f>IF(AND(J28="Рассчитано",T28&gt;0,R28&lt;100),(W28+P28+Q28)/(T28*(1-R28/100)),"н/д")</x:f>
        <x:v>н/д</x:v>
      </x:c>
      <x:c r="AD28" s="11" t="str">
        <x:f>IF(ISNUMBER(G28),IF(G28&lt;0,"Убыток",IF(G28=0,"Без прибыли","Прибыль &gt; 0")),"Не оценён")</x:f>
        <x:v>Не оценён</x:v>
      </x:c>
      <x:c r="AE28" s="12" t="str">
        <x:f>IF(J28="Рассчитано","Выручка "&amp;TEXT(V28,"0.00")&amp;" - себестоимость "&amp;TEXT(W28,"0.00")&amp;" - комиссия "&amp;TEXT(V28*R28/100,"0.00")&amp;" - доставка "&amp;TEXT(P28,"0.00")&amp;" - прочие "&amp;TEXT(Q28,"0.00")&amp;" = "&amp;TEXT(G28,"0.00")&amp;" "&amp;L28,"Введите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" s="23" t="n">
        <x:v>32.810842932599265</x:v>
      </x:c>
      <x:c r="AG28" s="35" t="n">
        <x:v>22</x:v>
      </x:c>
      <x:c r="AH28" s="35" t="n">
        <x:v>0</x:v>
      </x:c>
      <x:c r="AI28" s="29" t="n">
        <x:v>46266</x:v>
      </x:c>
      <x:c r="AJ28" s="35" t="n">
        <x:v>3</x:v>
      </x:c>
      <x:c r="AK28" s="11" t="str">
        <x:v>минимум</x:v>
      </x:c>
      <x:c r="AL28" s="31" t="n">
        <x:v>20.115301559176217</x:v>
      </x:c>
      <x:c r="AM28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20.1 дн. без поступлений</x:v>
      </x:c>
      <x:c r="AN28" s="12" t="str">
        <x:v>Подтвердить наличие, срок и цену закупки</x:v>
      </x:c>
      <x:c r="AO28" s="12" t="str">
        <x:v>Прогноз 30 дней 32.81; остаток 22; поступления в срок 0; нехватка 11; заказ с учётом MOQ 11 шт. Остаток на начало сентября: требуется актуализация.</x:v>
      </x:c>
      <x:c r="AP28" s="12" t="str">
        <x:v>["category_missing", "daily_stockout_data_missing", "large_orders_detected", "new_order_lead_time_unknown", "reservations_unknown", "stale_stock", "transaction_month_mismatch"]</x:v>
      </x:c>
      <x:c r="AQ28" s="11" t="str">
        <x:v>IEK:010500095_</x:v>
      </x:c>
      <x:c r="AR28" s="23" t="n">
        <x:v>1</x:v>
      </x:c>
      <x:c r="AS28" s="23" t="n">
        <x:f>MAX(0,ROUNDUP(MAX(0,AF28-AG28-AH28)/AR28-0.000000001,0)*AR28)</x:f>
        <x:v>11</x:v>
      </x:c>
      <x:c r="AT28" s="23" t="n">
        <x:v>10.810842932599265</x:v>
      </x:c>
    </x:row>
    <x:row r="29" ht="64" customHeight="1">
      <x:c r="A29" s="10" t="str">
        <x:v>IEK</x:v>
      </x:c>
      <x:c r="B29" s="34" t="str">
        <x:v>010500101_</x:v>
      </x:c>
      <x:c r="C29" s="34" t="str">
        <x:v>MNV10-3-025</x:v>
      </x:c>
      <x:c r="D29" s="13" t="str">
        <x:v>Выкл. нагрузки ВН-32 (3ф)  25А IEK (4/80) !!!</x:v>
      </x:c>
      <x:c r="E29" s="10" t="str">
        <x:v>шт</x:v>
      </x:c>
      <x:c r="F29" s="37" t="n">
        <x:f>AS29</x:f>
        <x:v>16</x:v>
      </x:c>
      <x:c r="G29" s="21" t="str">
        <x:f>IF(J29="Рассчитано",V29*(1-R29/100)-W29-P29-Q29,"н/д")</x:f>
        <x:v>н/д</x:v>
      </x:c>
      <x:c r="H29" s="13" t="str">
        <x:v>Высокий</x:v>
      </x:c>
      <x:c r="I29" s="13" t="str">
        <x:v>Критический</x:v>
      </x:c>
      <x:c r="J29" s="13" t="str">
        <x:f>IF(L29="","Укажите валюту",IF(NOT(ISNUMBER(K29)),"Укажите объём",IF(K29&lt;=0,"Укажите объём",IF(COUNT(M29:O29)&lt;3,"Нужны цены",IF(COUNT(P29:R29)&lt;3,"Нужны расходы",IF(OR(M29&lt;0,N29&lt;0,O29&lt;0,O29&gt;100,P29&lt;0,Q29&lt;0,R29&lt;0,R29&gt;100),"Проверьте значения","Рассчитано"))))))</x:f>
        <x:v>Нужны цены</x:v>
      </x:c>
      <x:c r="K29" s="36" t="n">
        <x:v>16</x:v>
      </x:c>
      <x:c r="L29" s="19" t="str">
        <x:v>KZT</x:v>
      </x:c>
      <x:c r="M29" s="22"/>
      <x:c r="N29" s="22"/>
      <x:c r="O29" s="28"/>
      <x:c r="P29" s="22"/>
      <x:c r="Q29" s="22"/>
      <x:c r="R29" s="28"/>
      <x:c r="S29" s="22"/>
      <x:c r="T29" s="37" t="n">
        <x:f>MIN(K29,AT29)</x:f>
        <x:v>15.643785439205587</x:v>
      </x:c>
      <x:c r="U29" s="21" t="str">
        <x:f>IF(J29="Рассчитано",N29*(1-O29/100),"н/д")</x:f>
        <x:v>н/д</x:v>
      </x:c>
      <x:c r="V29" s="21" t="str">
        <x:f>IF(J29="Рассчитано",T29*U29,"н/д")</x:f>
        <x:v>н/д</x:v>
      </x:c>
      <x:c r="W29" s="21" t="str">
        <x:f>IF(J29="Рассчитано",T29*M29,"н/д")</x:f>
        <x:v>н/д</x:v>
      </x:c>
      <x:c r="X29" s="21" t="str">
        <x:f>IF(J29="Рассчитано",V29-W29,"н/д")</x:f>
        <x:v>н/д</x:v>
      </x:c>
      <x:c r="Y29" s="27" t="str">
        <x:f>IF(J29="Рассчитано",IF(V29&gt;0,G29/V29,"н/д"),"н/д")</x:f>
        <x:v>н/д</x:v>
      </x:c>
      <x:c r="Z29" s="21" t="str">
        <x:f>IF(J29="Рассчитано",K29*M29,"н/д")</x:f>
        <x:v>н/д</x:v>
      </x:c>
      <x:c r="AA29" s="21" t="str">
        <x:f>IF(J29="Рассчитано",(K29-T29)*M29,"н/д")</x:f>
        <x:v>н/д</x:v>
      </x:c>
      <x:c r="AB29" s="21" t="str">
        <x:f>IF(AND(J29="Рассчитано",ISNUMBER(S29)),K29*(S29-M29),"н/д")</x:f>
        <x:v>н/д</x:v>
      </x:c>
      <x:c r="AC29" s="21" t="str">
        <x:f>IF(AND(J29="Рассчитано",T29&gt;0,R29&lt;100),(W29+P29+Q29)/(T29*(1-R29/100)),"н/д")</x:f>
        <x:v>н/д</x:v>
      </x:c>
      <x:c r="AD29" s="10" t="str">
        <x:f>IF(ISNUMBER(G29),IF(G29&lt;0,"Убыток",IF(G29=0,"Без прибыли","Прибыль &gt; 0")),"Не оценён")</x:f>
        <x:v>Не оценён</x:v>
      </x:c>
      <x:c r="AE29" s="13" t="str">
        <x:f>IF(J29="Рассчитано","Выручка "&amp;TEXT(V29,"0.00")&amp;" - себестоимость "&amp;TEXT(W29,"0.00")&amp;" - комиссия "&amp;TEXT(V29*R29/100,"0.00")&amp;" - доставка "&amp;TEXT(P29,"0.00")&amp;" - прочие "&amp;TEXT(Q29,"0.00")&amp;" = "&amp;TEXT(G29,"0.00")&amp;" "&amp;L29,"Введите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" s="24" t="n">
        <x:v>16.643785439205587</x:v>
      </x:c>
      <x:c r="AG29" s="37" t="n">
        <x:v>1</x:v>
      </x:c>
      <x:c r="AH29" s="37" t="n">
        <x:v>0</x:v>
      </x:c>
      <x:c r="AI29" s="30" t="n">
        <x:v>46266</x:v>
      </x:c>
      <x:c r="AJ29" s="37"/>
      <x:c r="AK29" s="10" t="str">
        <x:v>неизвестно</x:v>
      </x:c>
      <x:c r="AL29" s="32" t="n">
        <x:v>1.8024745698375157</x:v>
      </x:c>
      <x:c r="AM29" s="13" t="str">
        <x:v>Остаток на начало сентября; Резервы неизвестны; Stockout оценён по месячным снимкам; Нет ежедневных данных доступности. Запаса примерно на 1.8 дн. без поступлений</x:v>
      </x:c>
      <x:c r="AN29" s="13" t="str">
        <x:v>Подтвердить наличие, срок и цену закупки</x:v>
      </x:c>
      <x:c r="AO29" s="13" t="str">
        <x:v>Прогноз 30 дней 16.64; остаток 1; поступления в срок 0; нехватка 16; заказ с учётом MOQ 16 шт. Остаток на начало сентября: требуется актуализация.</x:v>
      </x:c>
      <x:c r="AP29" s="13" t="str">
        <x:v>["category_missing", "daily_stockout_data_missing", "moq_missing", "new_order_lead_time_unknown", "reservations_unknown", "stale_stock", "stockout_proxy_used"]</x:v>
      </x:c>
      <x:c r="AQ29" s="10" t="str">
        <x:v>IEK:010500101_</x:v>
      </x:c>
      <x:c r="AR29" s="24" t="n">
        <x:v>1</x:v>
      </x:c>
      <x:c r="AS29" s="24" t="n">
        <x:f>MAX(0,ROUNDUP(MAX(0,AF29-AG29-AH29)/AR29-0.000000001,0)*AR29)</x:f>
        <x:v>16</x:v>
      </x:c>
      <x:c r="AT29" s="24" t="n">
        <x:v>15.643785439205587</x:v>
      </x:c>
    </x:row>
    <x:row r="30" ht="64" customHeight="1">
      <x:c r="A30" s="11" t="str">
        <x:v>IEK</x:v>
      </x:c>
      <x:c r="B30" s="33" t="str">
        <x:v>010500188_</x:v>
      </x:c>
      <x:c r="C30" s="33"/>
      <x:c r="D30" s="12" t="str">
        <x:v>BA 47-60M (1ф) 16А 6кА B IEK E-PRO</x:v>
      </x:c>
      <x:c r="E30" s="11" t="str">
        <x:v>шт</x:v>
      </x:c>
      <x:c r="F30" s="35" t="n">
        <x:f>AS30</x:f>
        <x:v>15</x:v>
      </x:c>
      <x:c r="G30" s="20" t="str">
        <x:f>IF(J30="Рассчитано",V30*(1-R30/100)-W30-P30-Q30,"н/д")</x:f>
        <x:v>н/д</x:v>
      </x:c>
      <x:c r="H30" s="12" t="str">
        <x:v>Высокий</x:v>
      </x:c>
      <x:c r="I30" s="12" t="str">
        <x:v>Критический</x:v>
      </x:c>
      <x:c r="J30" s="12" t="str">
        <x:f>IF(L30="","Укажите валюту",IF(NOT(ISNUMBER(K30)),"Укажите объём",IF(K30&lt;=0,"Укажите объём",IF(COUNT(M30:O30)&lt;3,"Нужны цены",IF(COUNT(P30:R30)&lt;3,"Нужны расходы",IF(OR(M30&lt;0,N30&lt;0,O30&lt;0,O30&gt;100,P30&lt;0,Q30&lt;0,R30&lt;0,R30&gt;100),"Проверьте значения","Рассчитано"))))))</x:f>
        <x:v>Нужны цены</x:v>
      </x:c>
      <x:c r="K30" s="36" t="n">
        <x:v>15</x:v>
      </x:c>
      <x:c r="L30" s="19" t="str">
        <x:v>KZT</x:v>
      </x:c>
      <x:c r="M30" s="22"/>
      <x:c r="N30" s="22"/>
      <x:c r="O30" s="28"/>
      <x:c r="P30" s="22"/>
      <x:c r="Q30" s="22"/>
      <x:c r="R30" s="28"/>
      <x:c r="S30" s="22"/>
      <x:c r="T30" s="35" t="n">
        <x:f>MIN(K30,AT30)</x:f>
        <x:v>14.733703869676384</x:v>
      </x:c>
      <x:c r="U30" s="20" t="str">
        <x:f>IF(J30="Рассчитано",N30*(1-O30/100),"н/д")</x:f>
        <x:v>н/д</x:v>
      </x:c>
      <x:c r="V30" s="20" t="str">
        <x:f>IF(J30="Рассчитано",T30*U30,"н/д")</x:f>
        <x:v>н/д</x:v>
      </x:c>
      <x:c r="W30" s="20" t="str">
        <x:f>IF(J30="Рассчитано",T30*M30,"н/д")</x:f>
        <x:v>н/д</x:v>
      </x:c>
      <x:c r="X30" s="20" t="str">
        <x:f>IF(J30="Рассчитано",V30-W30,"н/д")</x:f>
        <x:v>н/д</x:v>
      </x:c>
      <x:c r="Y30" s="26" t="str">
        <x:f>IF(J30="Рассчитано",IF(V30&gt;0,G30/V30,"н/д"),"н/д")</x:f>
        <x:v>н/д</x:v>
      </x:c>
      <x:c r="Z30" s="20" t="str">
        <x:f>IF(J30="Рассчитано",K30*M30,"н/д")</x:f>
        <x:v>н/д</x:v>
      </x:c>
      <x:c r="AA30" s="20" t="str">
        <x:f>IF(J30="Рассчитано",(K30-T30)*M30,"н/д")</x:f>
        <x:v>н/д</x:v>
      </x:c>
      <x:c r="AB30" s="20" t="str">
        <x:f>IF(AND(J30="Рассчитано",ISNUMBER(S30)),K30*(S30-M30),"н/д")</x:f>
        <x:v>н/д</x:v>
      </x:c>
      <x:c r="AC30" s="20" t="str">
        <x:f>IF(AND(J30="Рассчитано",T30&gt;0,R30&lt;100),(W30+P30+Q30)/(T30*(1-R30/100)),"н/д")</x:f>
        <x:v>н/д</x:v>
      </x:c>
      <x:c r="AD30" s="11" t="str">
        <x:f>IF(ISNUMBER(G30),IF(G30&lt;0,"Убыток",IF(G30=0,"Без прибыли","Прибыль &gt; 0")),"Не оценён")</x:f>
        <x:v>Не оценён</x:v>
      </x:c>
      <x:c r="AE30" s="12" t="str">
        <x:f>IF(J30="Рассчитано","Выручка "&amp;TEXT(V30,"0.00")&amp;" - себестоимость "&amp;TEXT(W30,"0.00")&amp;" - комиссия "&amp;TEXT(V30*R30/100,"0.00")&amp;" - доставка "&amp;TEXT(P30,"0.00")&amp;" - прочие "&amp;TEXT(Q30,"0.00")&amp;" = "&amp;TEXT(G30,"0.00")&amp;" "&amp;L30,"Введите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" s="23" t="n">
        <x:v>14.733703869676384</x:v>
      </x:c>
      <x:c r="AG30" s="35" t="n">
        <x:v>0</x:v>
      </x:c>
      <x:c r="AH30" s="35" t="n">
        <x:v>0</x:v>
      </x:c>
      <x:c r="AI30" s="29" t="n">
        <x:v>46266</x:v>
      </x:c>
      <x:c r="AJ30" s="35"/>
      <x:c r="AK30" s="11" t="str">
        <x:v>неизвестно</x:v>
      </x:c>
      <x:c r="AL30" s="31" t="n">
        <x:v>0</x:v>
      </x:c>
      <x:c r="AM30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30" s="12" t="str">
        <x:v>Подтвердить наличие, срок и цену закупки</x:v>
      </x:c>
      <x:c r="AO30" s="12" t="str">
        <x:v>Прогноз 30 дней 14.73; остаток 0; поступления в срок 0; нехватка 15; заказ с учётом MOQ 15 шт. Остаток на начало сентября: требуется актуализация.</x:v>
      </x:c>
      <x:c r="AP30" s="12" t="str">
        <x:v>["blank_stock_assumed_zero", "category_missing", "daily_stockout_data_missing", "moq_missing", "new_order_lead_time_unknown", "reservations_unknown", "stale_stock", "stockout_proxy_used", "supplier_sku_missing"]</x:v>
      </x:c>
      <x:c r="AQ30" s="11" t="str">
        <x:v>IEK:010500188_</x:v>
      </x:c>
      <x:c r="AR30" s="23" t="n">
        <x:v>1</x:v>
      </x:c>
      <x:c r="AS30" s="23" t="n">
        <x:f>MAX(0,ROUNDUP(MAX(0,AF30-AG30-AH30)/AR30-0.000000001,0)*AR30)</x:f>
        <x:v>15</x:v>
      </x:c>
      <x:c r="AT30" s="23" t="n">
        <x:v>14.733703869676384</x:v>
      </x:c>
    </x:row>
    <x:row r="31" ht="64" customHeight="1">
      <x:c r="A31" s="10" t="str">
        <x:v>IEK</x:v>
      </x:c>
      <x:c r="B31" s="34" t="str">
        <x:v>010700071_</x:v>
      </x:c>
      <x:c r="C31" s="34"/>
      <x:c r="D31" s="13" t="str">
        <x:v>ВА47-29 (3ф) 40А IEK (4/48) В !!!</x:v>
      </x:c>
      <x:c r="E31" s="10" t="str">
        <x:v>шт</x:v>
      </x:c>
      <x:c r="F31" s="37" t="n">
        <x:f>AS31</x:f>
        <x:v>2</x:v>
      </x:c>
      <x:c r="G31" s="21" t="str">
        <x:f>IF(J31="Рассчитано",V31*(1-R31/100)-W31-P31-Q31,"н/д")</x:f>
        <x:v>н/д</x:v>
      </x:c>
      <x:c r="H31" s="13" t="str">
        <x:v>Высокий</x:v>
      </x:c>
      <x:c r="I31" s="13" t="str">
        <x:v>Критический</x:v>
      </x:c>
      <x:c r="J31" s="13" t="str">
        <x:f>IF(L31="","Укажите валюту",IF(NOT(ISNUMBER(K31)),"Укажите объём",IF(K31&lt;=0,"Укажите объём",IF(COUNT(M31:O31)&lt;3,"Нужны цены",IF(COUNT(P31:R31)&lt;3,"Нужны расходы",IF(OR(M31&lt;0,N31&lt;0,O31&lt;0,O31&gt;100,P31&lt;0,Q31&lt;0,R31&lt;0,R31&gt;100),"Проверьте значения","Рассчитано"))))))</x:f>
        <x:v>Нужны цены</x:v>
      </x:c>
      <x:c r="K31" s="36" t="n">
        <x:v>2</x:v>
      </x:c>
      <x:c r="L31" s="19" t="str">
        <x:v>KZT</x:v>
      </x:c>
      <x:c r="M31" s="22"/>
      <x:c r="N31" s="22"/>
      <x:c r="O31" s="28"/>
      <x:c r="P31" s="22"/>
      <x:c r="Q31" s="22"/>
      <x:c r="R31" s="28"/>
      <x:c r="S31" s="22"/>
      <x:c r="T31" s="37" t="n">
        <x:f>MIN(K31,AT31)</x:f>
        <x:v>1.5710853208005033</x:v>
      </x:c>
      <x:c r="U31" s="21" t="str">
        <x:f>IF(J31="Рассчитано",N31*(1-O31/100),"н/д")</x:f>
        <x:v>н/д</x:v>
      </x:c>
      <x:c r="V31" s="21" t="str">
        <x:f>IF(J31="Рассчитано",T31*U31,"н/д")</x:f>
        <x:v>н/д</x:v>
      </x:c>
      <x:c r="W31" s="21" t="str">
        <x:f>IF(J31="Рассчитано",T31*M31,"н/д")</x:f>
        <x:v>н/д</x:v>
      </x:c>
      <x:c r="X31" s="21" t="str">
        <x:f>IF(J31="Рассчитано",V31-W31,"н/д")</x:f>
        <x:v>н/д</x:v>
      </x:c>
      <x:c r="Y31" s="27" t="str">
        <x:f>IF(J31="Рассчитано",IF(V31&gt;0,G31/V31,"н/д"),"н/д")</x:f>
        <x:v>н/д</x:v>
      </x:c>
      <x:c r="Z31" s="21" t="str">
        <x:f>IF(J31="Рассчитано",K31*M31,"н/д")</x:f>
        <x:v>н/д</x:v>
      </x:c>
      <x:c r="AA31" s="21" t="str">
        <x:f>IF(J31="Рассчитано",(K31-T31)*M31,"н/д")</x:f>
        <x:v>н/д</x:v>
      </x:c>
      <x:c r="AB31" s="21" t="str">
        <x:f>IF(AND(J31="Рассчитано",ISNUMBER(S31)),K31*(S31-M31),"н/д")</x:f>
        <x:v>н/д</x:v>
      </x:c>
      <x:c r="AC31" s="21" t="str">
        <x:f>IF(AND(J31="Рассчитано",T31&gt;0,R31&lt;100),(W31+P31+Q31)/(T31*(1-R31/100)),"н/д")</x:f>
        <x:v>н/д</x:v>
      </x:c>
      <x:c r="AD31" s="10" t="str">
        <x:f>IF(ISNUMBER(G31),IF(G31&lt;0,"Убыток",IF(G31=0,"Без прибыли","Прибыль &gt; 0")),"Не оценён")</x:f>
        <x:v>Не оценён</x:v>
      </x:c>
      <x:c r="AE31" s="13" t="str">
        <x:f>IF(J31="Рассчитано","Выручка "&amp;TEXT(V31,"0.00")&amp;" - себестоимость "&amp;TEXT(W31,"0.00")&amp;" - комиссия "&amp;TEXT(V31*R31/100,"0.00")&amp;" - доставка "&amp;TEXT(P31,"0.00")&amp;" - прочие "&amp;TEXT(Q31,"0.00")&amp;" = "&amp;TEXT(G31,"0.00")&amp;" "&amp;L31,"Введите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" s="24" t="n">
        <x:v>1.5710853208005033</x:v>
      </x:c>
      <x:c r="AG31" s="37" t="n">
        <x:v>0</x:v>
      </x:c>
      <x:c r="AH31" s="37" t="n">
        <x:v>0</x:v>
      </x:c>
      <x:c r="AI31" s="30" t="n">
        <x:v>46266</x:v>
      </x:c>
      <x:c r="AJ31" s="37"/>
      <x:c r="AK31" s="10" t="str">
        <x:v>неизвестно</x:v>
      </x:c>
      <x:c r="AL31" s="32" t="n">
        <x:v>0</x:v>
      </x:c>
      <x:c r="AM31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1" s="13" t="str">
        <x:v>Подтвердить наличие, срок и цену закупки</x:v>
      </x:c>
      <x:c r="AO31" s="13" t="str">
        <x:v>Прогноз 30 дней 1.57; остаток 0; поступления в срок 0; нехватка 2; заказ с учётом MOQ 2 шт. Остаток на начало сентября: требуется актуализация.</x:v>
      </x:c>
      <x:c r="AP31" s="13" t="str">
        <x:v>["blank_stock_assumed_zero", "category_missing", "daily_stockout_data_missing", "moq_missing", "new_order_lead_time_unknown", "reservations_unknown", "stale_stock", "supplier_sku_missing"]</x:v>
      </x:c>
      <x:c r="AQ31" s="10" t="str">
        <x:v>IEK:010700071_</x:v>
      </x:c>
      <x:c r="AR31" s="24" t="n">
        <x:v>1</x:v>
      </x:c>
      <x:c r="AS31" s="24" t="n">
        <x:f>MAX(0,ROUNDUP(MAX(0,AF31-AG31-AH31)/AR31-0.000000001,0)*AR31)</x:f>
        <x:v>2</x:v>
      </x:c>
      <x:c r="AT31" s="24" t="n">
        <x:v>1.5710853208005033</x:v>
      </x:c>
    </x:row>
    <x:row r="32" ht="64" customHeight="1">
      <x:c r="A32" s="11" t="str">
        <x:v>IEK</x:v>
      </x:c>
      <x:c r="B32" s="33" t="str">
        <x:v>010700118_</x:v>
      </x:c>
      <x:c r="C32" s="33"/>
      <x:c r="D32" s="12" t="str">
        <x:v>BA 47-100 (1ф) 100А IEK (4/40) E-PRO</x:v>
      </x:c>
      <x:c r="E32" s="11" t="str">
        <x:v>шт</x:v>
      </x:c>
      <x:c r="F32" s="35" t="n">
        <x:f>AS32</x:f>
        <x:v>5</x:v>
      </x:c>
      <x:c r="G32" s="20" t="str">
        <x:f>IF(J32="Рассчитано",V32*(1-R32/100)-W32-P32-Q32,"н/д")</x:f>
        <x:v>н/д</x:v>
      </x:c>
      <x:c r="H32" s="12" t="str">
        <x:v>Высокий</x:v>
      </x:c>
      <x:c r="I32" s="12" t="str">
        <x:v>Критический</x:v>
      </x:c>
      <x:c r="J32" s="12" t="str">
        <x:f>IF(L32="","Укажите валюту",IF(NOT(ISNUMBER(K32)),"Укажите объём",IF(K32&lt;=0,"Укажите объём",IF(COUNT(M32:O32)&lt;3,"Нужны цены",IF(COUNT(P32:R32)&lt;3,"Нужны расходы",IF(OR(M32&lt;0,N32&lt;0,O32&lt;0,O32&gt;100,P32&lt;0,Q32&lt;0,R32&lt;0,R32&gt;100),"Проверьте значения","Рассчитано"))))))</x:f>
        <x:v>Нужны цены</x:v>
      </x:c>
      <x:c r="K32" s="36" t="n">
        <x:v>5</x:v>
      </x:c>
      <x:c r="L32" s="19" t="str">
        <x:v>KZT</x:v>
      </x:c>
      <x:c r="M32" s="22"/>
      <x:c r="N32" s="22"/>
      <x:c r="O32" s="28"/>
      <x:c r="P32" s="22"/>
      <x:c r="Q32" s="22"/>
      <x:c r="R32" s="28"/>
      <x:c r="S32" s="22"/>
      <x:c r="T32" s="35" t="n">
        <x:f>MIN(K32,AT32)</x:f>
        <x:v>4.6710126922821145</x:v>
      </x:c>
      <x:c r="U32" s="20" t="str">
        <x:f>IF(J32="Рассчитано",N32*(1-O32/100),"н/д")</x:f>
        <x:v>н/д</x:v>
      </x:c>
      <x:c r="V32" s="20" t="str">
        <x:f>IF(J32="Рассчитано",T32*U32,"н/д")</x:f>
        <x:v>н/д</x:v>
      </x:c>
      <x:c r="W32" s="20" t="str">
        <x:f>IF(J32="Рассчитано",T32*M32,"н/д")</x:f>
        <x:v>н/д</x:v>
      </x:c>
      <x:c r="X32" s="20" t="str">
        <x:f>IF(J32="Рассчитано",V32-W32,"н/д")</x:f>
        <x:v>н/д</x:v>
      </x:c>
      <x:c r="Y32" s="26" t="str">
        <x:f>IF(J32="Рассчитано",IF(V32&gt;0,G32/V32,"н/д"),"н/д")</x:f>
        <x:v>н/д</x:v>
      </x:c>
      <x:c r="Z32" s="20" t="str">
        <x:f>IF(J32="Рассчитано",K32*M32,"н/д")</x:f>
        <x:v>н/д</x:v>
      </x:c>
      <x:c r="AA32" s="20" t="str">
        <x:f>IF(J32="Рассчитано",(K32-T32)*M32,"н/д")</x:f>
        <x:v>н/д</x:v>
      </x:c>
      <x:c r="AB32" s="20" t="str">
        <x:f>IF(AND(J32="Рассчитано",ISNUMBER(S32)),K32*(S32-M32),"н/д")</x:f>
        <x:v>н/д</x:v>
      </x:c>
      <x:c r="AC32" s="20" t="str">
        <x:f>IF(AND(J32="Рассчитано",T32&gt;0,R32&lt;100),(W32+P32+Q32)/(T32*(1-R32/100)),"н/д")</x:f>
        <x:v>н/д</x:v>
      </x:c>
      <x:c r="AD32" s="11" t="str">
        <x:f>IF(ISNUMBER(G32),IF(G32&lt;0,"Убыток",IF(G32=0,"Без прибыли","Прибыль &gt; 0")),"Не оценён")</x:f>
        <x:v>Не оценён</x:v>
      </x:c>
      <x:c r="AE32" s="12" t="str">
        <x:f>IF(J32="Рассчитано","Выручка "&amp;TEXT(V32,"0.00")&amp;" - себестоимость "&amp;TEXT(W32,"0.00")&amp;" - комиссия "&amp;TEXT(V32*R32/100,"0.00")&amp;" - доставка "&amp;TEXT(P32,"0.00")&amp;" - прочие "&amp;TEXT(Q32,"0.00")&amp;" = "&amp;TEXT(G32,"0.00")&amp;" "&amp;L32,"Введите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" s="23" t="n">
        <x:v>4.6710126922821145</x:v>
      </x:c>
      <x:c r="AG32" s="35" t="n">
        <x:v>0</x:v>
      </x:c>
      <x:c r="AH32" s="35" t="n">
        <x:v>0</x:v>
      </x:c>
      <x:c r="AI32" s="29" t="n">
        <x:v>46266</x:v>
      </x:c>
      <x:c r="AJ32" s="35"/>
      <x:c r="AK32" s="11" t="str">
        <x:v>неизвестно</x:v>
      </x:c>
      <x:c r="AL32" s="31" t="n">
        <x:v>0</x:v>
      </x:c>
      <x:c r="AM32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32" s="12" t="str">
        <x:v>Подтвердить наличие, срок и цену закупки</x:v>
      </x:c>
      <x:c r="AO32" s="12" t="str">
        <x:v>Прогноз 30 дней 4.67; остаток 0; поступления в срок 0; нехватка 5; заказ с учётом MOQ 5 шт. Остаток на начало сентября: требуется актуализация.</x:v>
      </x:c>
      <x:c r="AP32" s="12" t="str">
        <x:v>["blank_stock_assumed_zero", "category_missing", "daily_stockout_data_missing", "moq_missing", "new_order_lead_time_unknown", "reservations_unknown", "stale_stock", "stockout_proxy_used", "supplier_sku_missing"]</x:v>
      </x:c>
      <x:c r="AQ32" s="11" t="str">
        <x:v>IEK:010700118_</x:v>
      </x:c>
      <x:c r="AR32" s="23" t="n">
        <x:v>1</x:v>
      </x:c>
      <x:c r="AS32" s="23" t="n">
        <x:f>MAX(0,ROUNDUP(MAX(0,AF32-AG32-AH32)/AR32-0.000000001,0)*AR32)</x:f>
        <x:v>5</x:v>
      </x:c>
      <x:c r="AT32" s="23" t="n">
        <x:v>4.6710126922821145</x:v>
      </x:c>
    </x:row>
    <x:row r="33" ht="64" customHeight="1">
      <x:c r="A33" s="10" t="str">
        <x:v>IEK</x:v>
      </x:c>
      <x:c r="B33" s="34" t="str">
        <x:v>010700152_</x:v>
      </x:c>
      <x:c r="C33" s="34" t="str">
        <x:v>AR-M06N-3-C010</x:v>
      </x:c>
      <x:c r="D33" s="13" t="str">
        <x:v>ARMAT (3ф) 10А C IEK (1)</x:v>
      </x:c>
      <x:c r="E33" s="10" t="str">
        <x:v>шт</x:v>
      </x:c>
      <x:c r="F33" s="37" t="n">
        <x:f>IF(AS33&gt;0,MAX(AS33,AJ33),0)</x:f>
        <x:v>2</x:v>
      </x:c>
      <x:c r="G33" s="21" t="str">
        <x:f>IF(J33="Рассчитано",V33*(1-R33/100)-W33-P33-Q33,"н/д")</x:f>
        <x:v>н/д</x:v>
      </x:c>
      <x:c r="H33" s="13" t="str">
        <x:v>Высокий</x:v>
      </x:c>
      <x:c r="I33" s="13" t="str">
        <x:v>Средний</x:v>
      </x:c>
      <x:c r="J33" s="13" t="str">
        <x:f>IF(L33="","Укажите валюту",IF(NOT(ISNUMBER(K33)),"Укажите объём",IF(K33&lt;=0,"Укажите объём",IF(COUNT(M33:O33)&lt;3,"Нужны цены",IF(COUNT(P33:R33)&lt;3,"Нужны расходы",IF(OR(M33&lt;0,N33&lt;0,O33&lt;0,O33&gt;100,P33&lt;0,Q33&lt;0,R33&lt;0,R33&gt;100),"Проверьте значения","Рассчитано"))))))</x:f>
        <x:v>Нужны цены</x:v>
      </x:c>
      <x:c r="K33" s="36" t="n">
        <x:v>2</x:v>
      </x:c>
      <x:c r="L33" s="19" t="str">
        <x:v>KZT</x:v>
      </x:c>
      <x:c r="M33" s="22"/>
      <x:c r="N33" s="22"/>
      <x:c r="O33" s="28"/>
      <x:c r="P33" s="22"/>
      <x:c r="Q33" s="22"/>
      <x:c r="R33" s="28"/>
      <x:c r="S33" s="22"/>
      <x:c r="T33" s="37" t="n">
        <x:f>MIN(K33,AT33)</x:f>
        <x:v>1.8793991958413763</x:v>
      </x:c>
      <x:c r="U33" s="21" t="str">
        <x:f>IF(J33="Рассчитано",N33*(1-O33/100),"н/д")</x:f>
        <x:v>н/д</x:v>
      </x:c>
      <x:c r="V33" s="21" t="str">
        <x:f>IF(J33="Рассчитано",T33*U33,"н/д")</x:f>
        <x:v>н/д</x:v>
      </x:c>
      <x:c r="W33" s="21" t="str">
        <x:f>IF(J33="Рассчитано",T33*M33,"н/д")</x:f>
        <x:v>н/д</x:v>
      </x:c>
      <x:c r="X33" s="21" t="str">
        <x:f>IF(J33="Рассчитано",V33-W33,"н/д")</x:f>
        <x:v>н/д</x:v>
      </x:c>
      <x:c r="Y33" s="27" t="str">
        <x:f>IF(J33="Рассчитано",IF(V33&gt;0,G33/V33,"н/д"),"н/д")</x:f>
        <x:v>н/д</x:v>
      </x:c>
      <x:c r="Z33" s="21" t="str">
        <x:f>IF(J33="Рассчитано",K33*M33,"н/д")</x:f>
        <x:v>н/д</x:v>
      </x:c>
      <x:c r="AA33" s="21" t="str">
        <x:f>IF(J33="Рассчитано",(K33-T33)*M33,"н/д")</x:f>
        <x:v>н/д</x:v>
      </x:c>
      <x:c r="AB33" s="21" t="str">
        <x:f>IF(AND(J33="Рассчитано",ISNUMBER(S33)),K33*(S33-M33),"н/д")</x:f>
        <x:v>н/д</x:v>
      </x:c>
      <x:c r="AC33" s="21" t="str">
        <x:f>IF(AND(J33="Рассчитано",T33&gt;0,R33&lt;100),(W33+P33+Q33)/(T33*(1-R33/100)),"н/д")</x:f>
        <x:v>н/д</x:v>
      </x:c>
      <x:c r="AD33" s="10" t="str">
        <x:f>IF(ISNUMBER(G33),IF(G33&lt;0,"Убыток",IF(G33=0,"Без прибыли","Прибыль &gt; 0")),"Не оценён")</x:f>
        <x:v>Не оценён</x:v>
      </x:c>
      <x:c r="AE33" s="13" t="str">
        <x:f>IF(J33="Рассчитано","Выручка "&amp;TEXT(V33,"0.00")&amp;" - себестоимость "&amp;TEXT(W33,"0.00")&amp;" - комиссия "&amp;TEXT(V33*R33/100,"0.00")&amp;" - доставка "&amp;TEXT(P33,"0.00")&amp;" - прочие "&amp;TEXT(Q33,"0.00")&amp;" = "&amp;TEXT(G33,"0.00")&amp;" "&amp;L33,"Введите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" s="24" t="n">
        <x:v>22.879399195841376</x:v>
      </x:c>
      <x:c r="AG33" s="37" t="n">
        <x:v>21</x:v>
      </x:c>
      <x:c r="AH33" s="37" t="n">
        <x:v>0</x:v>
      </x:c>
      <x:c r="AI33" s="30" t="n">
        <x:v>46266</x:v>
      </x:c>
      <x:c r="AJ33" s="37" t="n">
        <x:v>1</x:v>
      </x:c>
      <x:c r="AK33" s="10" t="str">
        <x:v>минимум</x:v>
      </x:c>
      <x:c r="AL33" s="32" t="n">
        <x:v>27.535688092478868</x:v>
      </x:c>
      <x:c r="AM33" s="13" t="str">
        <x:v>Остаток на начало сентября; Резервы неизвестны; Нет ежедневных данных доступности. Запаса примерно на 27.5 дн. без поступлений</x:v>
      </x:c>
      <x:c r="AN33" s="13" t="str">
        <x:v>Подтвердить наличие, срок и цену закупки</x:v>
      </x:c>
      <x:c r="AO33" s="13" t="str">
        <x:v>Прогноз 30 дней 22.88; остаток 21; поступления в срок 0; нехватка 2; заказ с учётом MOQ 2 шт. Остаток на начало сентября: требуется актуализация.</x:v>
      </x:c>
      <x:c r="AP33" s="13" t="str">
        <x:v>["category_missing", "daily_stockout_data_missing", "new_order_lead_time_unknown", "reservations_unknown", "stale_stock"]</x:v>
      </x:c>
      <x:c r="AQ33" s="10" t="str">
        <x:v>IEK:010700152_</x:v>
      </x:c>
      <x:c r="AR33" s="24" t="n">
        <x:v>1</x:v>
      </x:c>
      <x:c r="AS33" s="24" t="n">
        <x:f>MAX(0,ROUNDUP(MAX(0,AF33-AG33-AH33)/AR33-0.000000001,0)*AR33)</x:f>
        <x:v>2</x:v>
      </x:c>
      <x:c r="AT33" s="24" t="n">
        <x:v>1.8793991958413763</x:v>
      </x:c>
    </x:row>
    <x:row r="34" ht="64" customHeight="1">
      <x:c r="A34" s="11" t="str">
        <x:v>IEK</x:v>
      </x:c>
      <x:c r="B34" s="33" t="str">
        <x:v>010700170_</x:v>
      </x:c>
      <x:c r="C34" s="33" t="str">
        <x:v>AR-B06S-1N-C20C030</x:v>
      </x:c>
      <x:c r="D34" s="12" t="str">
        <x:v>УЗО АВДТ 1P+NP 20 А 30мА ARMAT IEK (12)</x:v>
      </x:c>
      <x:c r="E34" s="11" t="str">
        <x:v>шт</x:v>
      </x:c>
      <x:c r="F34" s="35" t="n">
        <x:f>IF(AS34&gt;0,MAX(AS34,AJ34),0)</x:f>
        <x:v>12</x:v>
      </x:c>
      <x:c r="G34" s="20" t="str">
        <x:f>IF(J34="Рассчитано",V34*(1-R34/100)-W34-P34-Q34,"н/д")</x:f>
        <x:v>н/д</x:v>
      </x:c>
      <x:c r="H34" s="12" t="str">
        <x:v>Высокий</x:v>
      </x:c>
      <x:c r="I34" s="12" t="str">
        <x:v>Средний</x:v>
      </x:c>
      <x:c r="J34" s="12" t="str">
        <x:f>IF(L34="","Укажите валюту",IF(NOT(ISNUMBER(K34)),"Укажите объём",IF(K34&lt;=0,"Укажите объём",IF(COUNT(M34:O34)&lt;3,"Нужны цены",IF(COUNT(P34:R34)&lt;3,"Нужны расходы",IF(OR(M34&lt;0,N34&lt;0,O34&lt;0,O34&gt;100,P34&lt;0,Q34&lt;0,R34&lt;0,R34&gt;100),"Проверьте значения","Рассчитано"))))))</x:f>
        <x:v>Нужны цены</x:v>
      </x:c>
      <x:c r="K34" s="36" t="n">
        <x:v>12</x:v>
      </x:c>
      <x:c r="L34" s="19" t="str">
        <x:v>KZT</x:v>
      </x:c>
      <x:c r="M34" s="22"/>
      <x:c r="N34" s="22"/>
      <x:c r="O34" s="28"/>
      <x:c r="P34" s="22"/>
      <x:c r="Q34" s="22"/>
      <x:c r="R34" s="28"/>
      <x:c r="S34" s="22"/>
      <x:c r="T34" s="35" t="n">
        <x:f>MIN(K34,AT34)</x:f>
        <x:v>3.4628987805508427</x:v>
      </x:c>
      <x:c r="U34" s="20" t="str">
        <x:f>IF(J34="Рассчитано",N34*(1-O34/100),"н/д")</x:f>
        <x:v>н/д</x:v>
      </x:c>
      <x:c r="V34" s="20" t="str">
        <x:f>IF(J34="Рассчитано",T34*U34,"н/д")</x:f>
        <x:v>н/д</x:v>
      </x:c>
      <x:c r="W34" s="20" t="str">
        <x:f>IF(J34="Рассчитано",T34*M34,"н/д")</x:f>
        <x:v>н/д</x:v>
      </x:c>
      <x:c r="X34" s="20" t="str">
        <x:f>IF(J34="Рассчитано",V34-W34,"н/д")</x:f>
        <x:v>н/д</x:v>
      </x:c>
      <x:c r="Y34" s="26" t="str">
        <x:f>IF(J34="Рассчитано",IF(V34&gt;0,G34/V34,"н/д"),"н/д")</x:f>
        <x:v>н/д</x:v>
      </x:c>
      <x:c r="Z34" s="20" t="str">
        <x:f>IF(J34="Рассчитано",K34*M34,"н/д")</x:f>
        <x:v>н/д</x:v>
      </x:c>
      <x:c r="AA34" s="20" t="str">
        <x:f>IF(J34="Рассчитано",(K34-T34)*M34,"н/д")</x:f>
        <x:v>н/д</x:v>
      </x:c>
      <x:c r="AB34" s="20" t="str">
        <x:f>IF(AND(J34="Рассчитано",ISNUMBER(S34)),K34*(S34-M34),"н/д")</x:f>
        <x:v>н/д</x:v>
      </x:c>
      <x:c r="AC34" s="20" t="str">
        <x:f>IF(AND(J34="Рассчитано",T34&gt;0,R34&lt;100),(W34+P34+Q34)/(T34*(1-R34/100)),"н/д")</x:f>
        <x:v>н/д</x:v>
      </x:c>
      <x:c r="AD34" s="11" t="str">
        <x:f>IF(ISNUMBER(G34),IF(G34&lt;0,"Убыток",IF(G34=0,"Без прибыли","Прибыль &gt; 0")),"Не оценён")</x:f>
        <x:v>Не оценён</x:v>
      </x:c>
      <x:c r="AE34" s="12" t="str">
        <x:f>IF(J34="Рассчитано","Выручка "&amp;TEXT(V34,"0.00")&amp;" - себестоимость "&amp;TEXT(W34,"0.00")&amp;" - комиссия "&amp;TEXT(V34*R34/100,"0.00")&amp;" - доставка "&amp;TEXT(P34,"0.00")&amp;" - прочие "&amp;TEXT(Q34,"0.00")&amp;" = "&amp;TEXT(G34,"0.00")&amp;" "&amp;L34,"Введите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" s="23" t="n">
        <x:v>12.462898780550843</x:v>
      </x:c>
      <x:c r="AG34" s="35" t="n">
        <x:v>9</x:v>
      </x:c>
      <x:c r="AH34" s="35" t="n">
        <x:v>0</x:v>
      </x:c>
      <x:c r="AI34" s="29" t="n">
        <x:v>46266</x:v>
      </x:c>
      <x:c r="AJ34" s="35" t="n">
        <x:v>12</x:v>
      </x:c>
      <x:c r="AK34" s="11" t="str">
        <x:v>минимум</x:v>
      </x:c>
      <x:c r="AL34" s="31" t="n">
        <x:v>21.66430176110813</x:v>
      </x:c>
      <x:c r="AM34" s="12" t="str">
        <x:v>Остаток на начало сентября; Резервы неизвестны; Нет ежедневных данных доступности. Запаса примерно на 21.7 дн. без поступлений</x:v>
      </x:c>
      <x:c r="AN34" s="12" t="str">
        <x:v>Подтвердить наличие, срок и цену закупки</x:v>
      </x:c>
      <x:c r="AO34" s="12" t="str">
        <x:v>Прогноз 30 дней 12.46; остаток 9; поступления в срок 0; нехватка 4; заказ с учётом MOQ 12 шт. Остаток на начало сентября: требуется актуализация.</x:v>
      </x:c>
      <x:c r="AP34" s="12" t="str">
        <x:v>["category_missing", "daily_stockout_data_missing", "negative_net_sales_clipped_for_forecast", "new_order_lead_time_unknown", "reservations_unknown", "stale_stock"]</x:v>
      </x:c>
      <x:c r="AQ34" s="11" t="str">
        <x:v>IEK:010700170_</x:v>
      </x:c>
      <x:c r="AR34" s="23" t="n">
        <x:v>1</x:v>
      </x:c>
      <x:c r="AS34" s="23" t="n">
        <x:f>MAX(0,ROUNDUP(MAX(0,AF34-AG34-AH34)/AR34-0.000000001,0)*AR34)</x:f>
        <x:v>4</x:v>
      </x:c>
      <x:c r="AT34" s="23" t="n">
        <x:v>3.4628987805508427</x:v>
      </x:c>
    </x:row>
    <x:row r="35" ht="64" customHeight="1">
      <x:c r="A35" s="10" t="str">
        <x:v>IEK</x:v>
      </x:c>
      <x:c r="B35" s="34" t="str">
        <x:v>010800019_</x:v>
      </x:c>
      <x:c r="C35" s="34"/>
      <x:c r="D35" s="13" t="str">
        <x:v>ВА 88-40 (3ф) 400А IEK (1/4) E-PRO</x:v>
      </x:c>
      <x:c r="E35" s="10" t="str">
        <x:v>шт</x:v>
      </x:c>
      <x:c r="F35" s="37" t="n">
        <x:f>AS35</x:f>
        <x:v>4</x:v>
      </x:c>
      <x:c r="G35" s="21" t="str">
        <x:f>IF(J35="Рассчитано",V35*(1-R35/100)-W35-P35-Q35,"н/д")</x:f>
        <x:v>н/д</x:v>
      </x:c>
      <x:c r="H35" s="13" t="str">
        <x:v>Высокий</x:v>
      </x:c>
      <x:c r="I35" s="13" t="str">
        <x:v>Критический</x:v>
      </x:c>
      <x:c r="J35" s="13" t="str">
        <x:f>IF(L35="","Укажите валюту",IF(NOT(ISNUMBER(K35)),"Укажите объём",IF(K35&lt;=0,"Укажите объём",IF(COUNT(M35:O35)&lt;3,"Нужны цены",IF(COUNT(P35:R35)&lt;3,"Нужны расходы",IF(OR(M35&lt;0,N35&lt;0,O35&lt;0,O35&gt;100,P35&lt;0,Q35&lt;0,R35&lt;0,R35&gt;100),"Проверьте значения","Рассчитано"))))))</x:f>
        <x:v>Нужны цены</x:v>
      </x:c>
      <x:c r="K35" s="36" t="n">
        <x:v>4</x:v>
      </x:c>
      <x:c r="L35" s="19" t="str">
        <x:v>KZT</x:v>
      </x:c>
      <x:c r="M35" s="22"/>
      <x:c r="N35" s="22"/>
      <x:c r="O35" s="28"/>
      <x:c r="P35" s="22"/>
      <x:c r="Q35" s="22"/>
      <x:c r="R35" s="28"/>
      <x:c r="S35" s="22"/>
      <x:c r="T35" s="37" t="n">
        <x:f>MIN(K35,AT35)</x:f>
        <x:v>3.1043791326964976</x:v>
      </x:c>
      <x:c r="U35" s="21" t="str">
        <x:f>IF(J35="Рассчитано",N35*(1-O35/100),"н/д")</x:f>
        <x:v>н/д</x:v>
      </x:c>
      <x:c r="V35" s="21" t="str">
        <x:f>IF(J35="Рассчитано",T35*U35,"н/д")</x:f>
        <x:v>н/д</x:v>
      </x:c>
      <x:c r="W35" s="21" t="str">
        <x:f>IF(J35="Рассчитано",T35*M35,"н/д")</x:f>
        <x:v>н/д</x:v>
      </x:c>
      <x:c r="X35" s="21" t="str">
        <x:f>IF(J35="Рассчитано",V35-W35,"н/д")</x:f>
        <x:v>н/д</x:v>
      </x:c>
      <x:c r="Y35" s="27" t="str">
        <x:f>IF(J35="Рассчитано",IF(V35&gt;0,G35/V35,"н/д"),"н/д")</x:f>
        <x:v>н/д</x:v>
      </x:c>
      <x:c r="Z35" s="21" t="str">
        <x:f>IF(J35="Рассчитано",K35*M35,"н/д")</x:f>
        <x:v>н/д</x:v>
      </x:c>
      <x:c r="AA35" s="21" t="str">
        <x:f>IF(J35="Рассчитано",(K35-T35)*M35,"н/д")</x:f>
        <x:v>н/д</x:v>
      </x:c>
      <x:c r="AB35" s="21" t="str">
        <x:f>IF(AND(J35="Рассчитано",ISNUMBER(S35)),K35*(S35-M35),"н/д")</x:f>
        <x:v>н/д</x:v>
      </x:c>
      <x:c r="AC35" s="21" t="str">
        <x:f>IF(AND(J35="Рассчитано",T35&gt;0,R35&lt;100),(W35+P35+Q35)/(T35*(1-R35/100)),"н/д")</x:f>
        <x:v>н/д</x:v>
      </x:c>
      <x:c r="AD35" s="10" t="str">
        <x:f>IF(ISNUMBER(G35),IF(G35&lt;0,"Убыток",IF(G35=0,"Без прибыли","Прибыль &gt; 0")),"Не оценён")</x:f>
        <x:v>Не оценён</x:v>
      </x:c>
      <x:c r="AE35" s="13" t="str">
        <x:f>IF(J35="Рассчитано","Выручка "&amp;TEXT(V35,"0.00")&amp;" - себестоимость "&amp;TEXT(W35,"0.00")&amp;" - комиссия "&amp;TEXT(V35*R35/100,"0.00")&amp;" - доставка "&amp;TEXT(P35,"0.00")&amp;" - прочие "&amp;TEXT(Q35,"0.00")&amp;" = "&amp;TEXT(G35,"0.00")&amp;" "&amp;L35,"Введите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" s="24" t="n">
        <x:v>3.1043791326964976</x:v>
      </x:c>
      <x:c r="AG35" s="37" t="n">
        <x:v>0</x:v>
      </x:c>
      <x:c r="AH35" s="37" t="n">
        <x:v>0</x:v>
      </x:c>
      <x:c r="AI35" s="30" t="n">
        <x:v>46266</x:v>
      </x:c>
      <x:c r="AJ35" s="37"/>
      <x:c r="AK35" s="10" t="str">
        <x:v>неизвестно</x:v>
      </x:c>
      <x:c r="AL35" s="32" t="n">
        <x:v>0</x:v>
      </x:c>
      <x:c r="AM35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5" s="13" t="str">
        <x:v>Подтвердить наличие, срок и цену закупки</x:v>
      </x:c>
      <x:c r="AO35" s="13" t="str">
        <x:v>Прогноз 30 дней 3.10; остаток 0; поступления в срок 0; нехватка 4; заказ с учётом MOQ 4 шт. Остаток на начало сентября: требуется актуализация.</x:v>
      </x:c>
      <x:c r="AP35" s="13" t="str">
        <x:v>["blank_stock_assumed_zero", "category_missing", "daily_stockout_data_missing", "moq_missing", "new_order_lead_time_unknown", "reservations_unknown", "stale_stock", "supplier_sku_missing"]</x:v>
      </x:c>
      <x:c r="AQ35" s="10" t="str">
        <x:v>IEK:010800019_</x:v>
      </x:c>
      <x:c r="AR35" s="24" t="n">
        <x:v>1</x:v>
      </x:c>
      <x:c r="AS35" s="24" t="n">
        <x:f>MAX(0,ROUNDUP(MAX(0,AF35-AG35-AH35)/AR35-0.000000001,0)*AR35)</x:f>
        <x:v>4</x:v>
      </x:c>
      <x:c r="AT35" s="24" t="n">
        <x:v>3.1043791326964976</x:v>
      </x:c>
    </x:row>
    <x:row r="36" ht="64" customHeight="1">
      <x:c r="A36" s="11" t="str">
        <x:v>IEK</x:v>
      </x:c>
      <x:c r="B36" s="33" t="str">
        <x:v>010800030_</x:v>
      </x:c>
      <x:c r="C36" s="33" t="str">
        <x:v>SVA50-3-0500</x:v>
      </x:c>
      <x:c r="D36" s="12" t="str">
        <x:v>ВА 88-40 (3ф) 500А IEK (1/2)</x:v>
      </x:c>
      <x:c r="E36" s="11" t="str">
        <x:v>шт</x:v>
      </x:c>
      <x:c r="F36" s="35" t="n">
        <x:f>IF(AS36&gt;0,MAX(AS36,AJ36),0)</x:f>
        <x:v>4</x:v>
      </x:c>
      <x:c r="G36" s="20" t="str">
        <x:f>IF(J36="Рассчитано",V36*(1-R36/100)-W36-P36-Q36,"н/д")</x:f>
        <x:v>н/д</x:v>
      </x:c>
      <x:c r="H36" s="12" t="str">
        <x:v>Высокий</x:v>
      </x:c>
      <x:c r="I36" s="12" t="str">
        <x:v>Средний</x:v>
      </x:c>
      <x:c r="J36" s="12" t="str">
        <x:f>IF(L36="","Укажите валюту",IF(NOT(ISNUMBER(K36)),"Укажите объём",IF(K36&lt;=0,"Укажите объём",IF(COUNT(M36:O36)&lt;3,"Нужны цены",IF(COUNT(P36:R36)&lt;3,"Нужны расходы",IF(OR(M36&lt;0,N36&lt;0,O36&lt;0,O36&gt;100,P36&lt;0,Q36&lt;0,R36&lt;0,R36&gt;100),"Проверьте значения","Рассчитано"))))))</x:f>
        <x:v>Нужны цены</x:v>
      </x:c>
      <x:c r="K36" s="36" t="n">
        <x:v>4</x:v>
      </x:c>
      <x:c r="L36" s="19" t="str">
        <x:v>KZT</x:v>
      </x:c>
      <x:c r="M36" s="22"/>
      <x:c r="N36" s="22"/>
      <x:c r="O36" s="28"/>
      <x:c r="P36" s="22"/>
      <x:c r="Q36" s="22"/>
      <x:c r="R36" s="28"/>
      <x:c r="S36" s="22"/>
      <x:c r="T36" s="35" t="n">
        <x:f>MIN(K36,AT36)</x:f>
        <x:v>3.351918653309321</x:v>
      </x:c>
      <x:c r="U36" s="20" t="str">
        <x:f>IF(J36="Рассчитано",N36*(1-O36/100),"н/д")</x:f>
        <x:v>н/д</x:v>
      </x:c>
      <x:c r="V36" s="20" t="str">
        <x:f>IF(J36="Рассчитано",T36*U36,"н/д")</x:f>
        <x:v>н/д</x:v>
      </x:c>
      <x:c r="W36" s="20" t="str">
        <x:f>IF(J36="Рассчитано",T36*M36,"н/д")</x:f>
        <x:v>н/д</x:v>
      </x:c>
      <x:c r="X36" s="20" t="str">
        <x:f>IF(J36="Рассчитано",V36-W36,"н/д")</x:f>
        <x:v>н/д</x:v>
      </x:c>
      <x:c r="Y36" s="26" t="str">
        <x:f>IF(J36="Рассчитано",IF(V36&gt;0,G36/V36,"н/д"),"н/д")</x:f>
        <x:v>н/д</x:v>
      </x:c>
      <x:c r="Z36" s="20" t="str">
        <x:f>IF(J36="Рассчитано",K36*M36,"н/д")</x:f>
        <x:v>н/д</x:v>
      </x:c>
      <x:c r="AA36" s="20" t="str">
        <x:f>IF(J36="Рассчитано",(K36-T36)*M36,"н/д")</x:f>
        <x:v>н/д</x:v>
      </x:c>
      <x:c r="AB36" s="20" t="str">
        <x:f>IF(AND(J36="Рассчитано",ISNUMBER(S36)),K36*(S36-M36),"н/д")</x:f>
        <x:v>н/д</x:v>
      </x:c>
      <x:c r="AC36" s="20" t="str">
        <x:f>IF(AND(J36="Рассчитано",T36&gt;0,R36&lt;100),(W36+P36+Q36)/(T36*(1-R36/100)),"н/д")</x:f>
        <x:v>н/д</x:v>
      </x:c>
      <x:c r="AD36" s="11" t="str">
        <x:f>IF(ISNUMBER(G36),IF(G36&lt;0,"Убыток",IF(G36=0,"Без прибыли","Прибыль &gt; 0")),"Не оценён")</x:f>
        <x:v>Не оценён</x:v>
      </x:c>
      <x:c r="AE36" s="12" t="str">
        <x:f>IF(J36="Рассчитано","Выручка "&amp;TEXT(V36,"0.00")&amp;" - себестоимость "&amp;TEXT(W36,"0.00")&amp;" - комиссия "&amp;TEXT(V36*R36/100,"0.00")&amp;" - доставка "&amp;TEXT(P36,"0.00")&amp;" - прочие "&amp;TEXT(Q36,"0.00")&amp;" = "&amp;TEXT(G36,"0.00")&amp;" "&amp;L36,"Введите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" s="23" t="n">
        <x:v>6.351918653309321</x:v>
      </x:c>
      <x:c r="AG36" s="35" t="n">
        <x:v>3</x:v>
      </x:c>
      <x:c r="AH36" s="35" t="n">
        <x:v>0</x:v>
      </x:c>
      <x:c r="AI36" s="29" t="n">
        <x:v>46266</x:v>
      </x:c>
      <x:c r="AJ36" s="35" t="n">
        <x:v>1</x:v>
      </x:c>
      <x:c r="AK36" s="11" t="str">
        <x:v>минимум</x:v>
      </x:c>
      <x:c r="AL36" s="31" t="n">
        <x:v>14.16894719725518</x:v>
      </x:c>
      <x:c r="AM36" s="12" t="str">
        <x:v>Остаток на начало сентября; Резервы неизвестны; Нет ежедневных данных доступности. Запаса примерно на 14.2 дн. без поступлений</x:v>
      </x:c>
      <x:c r="AN36" s="12" t="str">
        <x:v>Подтвердить наличие, срок и цену закупки</x:v>
      </x:c>
      <x:c r="AO36" s="12" t="str">
        <x:v>Прогноз 30 дней 6.35; остаток 3; поступления в срок 0; нехватка 4; заказ с учётом MOQ 4 шт. Остаток на начало сентября: требуется актуализация.</x:v>
      </x:c>
      <x:c r="AP36" s="12" t="str">
        <x:v>["category_missing", "daily_stockout_data_missing", "new_order_lead_time_unknown", "reservations_unknown", "stale_stock"]</x:v>
      </x:c>
      <x:c r="AQ36" s="11" t="str">
        <x:v>IEK:010800030_</x:v>
      </x:c>
      <x:c r="AR36" s="23" t="n">
        <x:v>1</x:v>
      </x:c>
      <x:c r="AS36" s="23" t="n">
        <x:f>MAX(0,ROUNDUP(MAX(0,AF36-AG36-AH36)/AR36-0.000000001,0)*AR36)</x:f>
        <x:v>4</x:v>
      </x:c>
      <x:c r="AT36" s="23" t="n">
        <x:v>3.351918653309321</x:v>
      </x:c>
    </x:row>
    <x:row r="37" ht="64" customHeight="1">
      <x:c r="A37" s="10" t="str">
        <x:v>IEK</x:v>
      </x:c>
      <x:c r="B37" s="34" t="str">
        <x:v>010800051_</x:v>
      </x:c>
      <x:c r="C37" s="34" t="str">
        <x:v>SVA10D-RN</x:v>
      </x:c>
      <x:c r="D37" s="13" t="str">
        <x:v>Расцепитель независимый РМ-125/160 (PH-32/33) IEK (20/480) !!!</x:v>
      </x:c>
      <x:c r="E37" s="10" t="str">
        <x:v>шт</x:v>
      </x:c>
      <x:c r="F37" s="37" t="n">
        <x:f>AS37</x:f>
        <x:v>5</x:v>
      </x:c>
      <x:c r="G37" s="21" t="str">
        <x:f>IF(J37="Рассчитано",V37*(1-R37/100)-W37-P37-Q37,"н/д")</x:f>
        <x:v>н/д</x:v>
      </x:c>
      <x:c r="H37" s="13" t="str">
        <x:v>Высокий</x:v>
      </x:c>
      <x:c r="I37" s="13" t="str">
        <x:v>Критический</x:v>
      </x:c>
      <x:c r="J37" s="13" t="str">
        <x:f>IF(L37="","Укажите валюту",IF(NOT(ISNUMBER(K37)),"Укажите объём",IF(K37&lt;=0,"Укажите объём",IF(COUNT(M37:O37)&lt;3,"Нужны цены",IF(COUNT(P37:R37)&lt;3,"Нужны расходы",IF(OR(M37&lt;0,N37&lt;0,O37&lt;0,O37&gt;100,P37&lt;0,Q37&lt;0,R37&lt;0,R37&gt;100),"Проверьте значения","Рассчитано"))))))</x:f>
        <x:v>Нужны цены</x:v>
      </x:c>
      <x:c r="K37" s="36" t="n">
        <x:v>5</x:v>
      </x:c>
      <x:c r="L37" s="19" t="str">
        <x:v>KZT</x:v>
      </x:c>
      <x:c r="M37" s="22"/>
      <x:c r="N37" s="22"/>
      <x:c r="O37" s="28"/>
      <x:c r="P37" s="22"/>
      <x:c r="Q37" s="22"/>
      <x:c r="R37" s="28"/>
      <x:c r="S37" s="22"/>
      <x:c r="T37" s="37" t="n">
        <x:f>MIN(K37,AT37)</x:f>
        <x:v>4.082533393880801</x:v>
      </x:c>
      <x:c r="U37" s="21" t="str">
        <x:f>IF(J37="Рассчитано",N37*(1-O37/100),"н/д")</x:f>
        <x:v>н/д</x:v>
      </x:c>
      <x:c r="V37" s="21" t="str">
        <x:f>IF(J37="Рассчитано",T37*U37,"н/д")</x:f>
        <x:v>н/д</x:v>
      </x:c>
      <x:c r="W37" s="21" t="str">
        <x:f>IF(J37="Рассчитано",T37*M37,"н/д")</x:f>
        <x:v>н/д</x:v>
      </x:c>
      <x:c r="X37" s="21" t="str">
        <x:f>IF(J37="Рассчитано",V37-W37,"н/д")</x:f>
        <x:v>н/д</x:v>
      </x:c>
      <x:c r="Y37" s="27" t="str">
        <x:f>IF(J37="Рассчитано",IF(V37&gt;0,G37/V37,"н/д"),"н/д")</x:f>
        <x:v>н/д</x:v>
      </x:c>
      <x:c r="Z37" s="21" t="str">
        <x:f>IF(J37="Рассчитано",K37*M37,"н/д")</x:f>
        <x:v>н/д</x:v>
      </x:c>
      <x:c r="AA37" s="21" t="str">
        <x:f>IF(J37="Рассчитано",(K37-T37)*M37,"н/д")</x:f>
        <x:v>н/д</x:v>
      </x:c>
      <x:c r="AB37" s="21" t="str">
        <x:f>IF(AND(J37="Рассчитано",ISNUMBER(S37)),K37*(S37-M37),"н/д")</x:f>
        <x:v>н/д</x:v>
      </x:c>
      <x:c r="AC37" s="21" t="str">
        <x:f>IF(AND(J37="Рассчитано",T37&gt;0,R37&lt;100),(W37+P37+Q37)/(T37*(1-R37/100)),"н/д")</x:f>
        <x:v>н/д</x:v>
      </x:c>
      <x:c r="AD37" s="10" t="str">
        <x:f>IF(ISNUMBER(G37),IF(G37&lt;0,"Убыток",IF(G37=0,"Без прибыли","Прибыль &gt; 0")),"Не оценён")</x:f>
        <x:v>Не оценён</x:v>
      </x:c>
      <x:c r="AE37" s="13" t="str">
        <x:f>IF(J37="Рассчитано","Выручка "&amp;TEXT(V37,"0.00")&amp;" - себестоимость "&amp;TEXT(W37,"0.00")&amp;" - комиссия "&amp;TEXT(V37*R37/100,"0.00")&amp;" - доставка "&amp;TEXT(P37,"0.00")&amp;" - прочие "&amp;TEXT(Q37,"0.00")&amp;" = "&amp;TEXT(G37,"0.00")&amp;" "&amp;L37,"Введите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" s="24" t="n">
        <x:v>4.082533393880801</x:v>
      </x:c>
      <x:c r="AG37" s="37" t="n">
        <x:v>0</x:v>
      </x:c>
      <x:c r="AH37" s="37" t="n">
        <x:v>0</x:v>
      </x:c>
      <x:c r="AI37" s="30" t="n">
        <x:v>46266</x:v>
      </x:c>
      <x:c r="AJ37" s="37"/>
      <x:c r="AK37" s="10" t="str">
        <x:v>неизвестно</x:v>
      </x:c>
      <x:c r="AL37" s="32" t="n">
        <x:v>0</x:v>
      </x:c>
      <x:c r="AM37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37" s="13" t="str">
        <x:v>Подтвердить наличие, срок и цену закупки</x:v>
      </x:c>
      <x:c r="AO37" s="13" t="str">
        <x:v>Прогноз 30 дней 4.08; остаток 0; поступления в срок 0; нехватка 5; заказ с учётом MOQ 5 шт. Остаток на начало сентября: требуется актуализация.</x:v>
      </x:c>
      <x:c r="AP37" s="13" t="str">
        <x:v>["blank_stock_assumed_zero", "category_missing", "daily_stockout_data_missing", "moq_missing", "new_order_lead_time_unknown", "reservations_unknown", "stale_stock", "stockout_proxy_used"]</x:v>
      </x:c>
      <x:c r="AQ37" s="10" t="str">
        <x:v>IEK:010800051_</x:v>
      </x:c>
      <x:c r="AR37" s="24" t="n">
        <x:v>1</x:v>
      </x:c>
      <x:c r="AS37" s="24" t="n">
        <x:f>MAX(0,ROUNDUP(MAX(0,AF37-AG37-AH37)/AR37-0.000000001,0)*AR37)</x:f>
        <x:v>5</x:v>
      </x:c>
      <x:c r="AT37" s="24" t="n">
        <x:v>4.082533393880801</x:v>
      </x:c>
    </x:row>
    <x:row r="38" ht="64" customHeight="1">
      <x:c r="A38" s="11" t="str">
        <x:v>IEK</x:v>
      </x:c>
      <x:c r="B38" s="33" t="str">
        <x:v>010800052_</x:v>
      </x:c>
      <x:c r="C38" s="33"/>
      <x:c r="D38" s="12" t="str">
        <x:v>Расцепитель независимый РН-250/400  ( РН-35/37 ) IEK !!!</x:v>
      </x:c>
      <x:c r="E38" s="11" t="str">
        <x:v>шт</x:v>
      </x:c>
      <x:c r="F38" s="35" t="n">
        <x:f>AS38</x:f>
        <x:v>1</x:v>
      </x:c>
      <x:c r="G38" s="20" t="str">
        <x:f>IF(J38="Рассчитано",V38*(1-R38/100)-W38-P38-Q38,"н/д")</x:f>
        <x:v>н/д</x:v>
      </x:c>
      <x:c r="H38" s="12" t="str">
        <x:v>Высокий</x:v>
      </x:c>
      <x:c r="I38" s="12" t="str">
        <x:v>Критический</x:v>
      </x:c>
      <x:c r="J38" s="12" t="str">
        <x:f>IF(L38="","Укажите валюту",IF(NOT(ISNUMBER(K38)),"Укажите объём",IF(K38&lt;=0,"Укажите объём",IF(COUNT(M38:O38)&lt;3,"Нужны цены",IF(COUNT(P38:R38)&lt;3,"Нужны расходы",IF(OR(M38&lt;0,N38&lt;0,O38&lt;0,O38&gt;100,P38&lt;0,Q38&lt;0,R38&lt;0,R38&gt;100),"Проверьте значения","Рассчитано"))))))</x:f>
        <x:v>Нужны цены</x:v>
      </x:c>
      <x:c r="K38" s="36" t="n">
        <x:v>1</x:v>
      </x:c>
      <x:c r="L38" s="19" t="str">
        <x:v>KZT</x:v>
      </x:c>
      <x:c r="M38" s="22"/>
      <x:c r="N38" s="22"/>
      <x:c r="O38" s="28"/>
      <x:c r="P38" s="22"/>
      <x:c r="Q38" s="22"/>
      <x:c r="R38" s="28"/>
      <x:c r="S38" s="22"/>
      <x:c r="T38" s="35" t="n">
        <x:f>MIN(K38,AT38)</x:f>
        <x:v>0.06960368702609994</x:v>
      </x:c>
      <x:c r="U38" s="20" t="str">
        <x:f>IF(J38="Рассчитано",N38*(1-O38/100),"н/д")</x:f>
        <x:v>н/д</x:v>
      </x:c>
      <x:c r="V38" s="20" t="str">
        <x:f>IF(J38="Рассчитано",T38*U38,"н/д")</x:f>
        <x:v>н/д</x:v>
      </x:c>
      <x:c r="W38" s="20" t="str">
        <x:f>IF(J38="Рассчитано",T38*M38,"н/д")</x:f>
        <x:v>н/д</x:v>
      </x:c>
      <x:c r="X38" s="20" t="str">
        <x:f>IF(J38="Рассчитано",V38-W38,"н/д")</x:f>
        <x:v>н/д</x:v>
      </x:c>
      <x:c r="Y38" s="26" t="str">
        <x:f>IF(J38="Рассчитано",IF(V38&gt;0,G38/V38,"н/д"),"н/д")</x:f>
        <x:v>н/д</x:v>
      </x:c>
      <x:c r="Z38" s="20" t="str">
        <x:f>IF(J38="Рассчитано",K38*M38,"н/д")</x:f>
        <x:v>н/д</x:v>
      </x:c>
      <x:c r="AA38" s="20" t="str">
        <x:f>IF(J38="Рассчитано",(K38-T38)*M38,"н/д")</x:f>
        <x:v>н/д</x:v>
      </x:c>
      <x:c r="AB38" s="20" t="str">
        <x:f>IF(AND(J38="Рассчитано",ISNUMBER(S38)),K38*(S38-M38),"н/д")</x:f>
        <x:v>н/д</x:v>
      </x:c>
      <x:c r="AC38" s="20" t="str">
        <x:f>IF(AND(J38="Рассчитано",T38&gt;0,R38&lt;100),(W38+P38+Q38)/(T38*(1-R38/100)),"н/д")</x:f>
        <x:v>н/д</x:v>
      </x:c>
      <x:c r="AD38" s="11" t="str">
        <x:f>IF(ISNUMBER(G38),IF(G38&lt;0,"Убыток",IF(G38=0,"Без прибыли","Прибыль &gt; 0")),"Не оценён")</x:f>
        <x:v>Не оценён</x:v>
      </x:c>
      <x:c r="AE38" s="12" t="str">
        <x:f>IF(J38="Рассчитано","Выручка "&amp;TEXT(V38,"0.00")&amp;" - себестоимость "&amp;TEXT(W38,"0.00")&amp;" - комиссия "&amp;TEXT(V38*R38/100,"0.00")&amp;" - доставка "&amp;TEXT(P38,"0.00")&amp;" - прочие "&amp;TEXT(Q38,"0.00")&amp;" = "&amp;TEXT(G38,"0.00")&amp;" "&amp;L38,"Введите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8" s="23" t="n">
        <x:v>0.06960368702609994</x:v>
      </x:c>
      <x:c r="AG38" s="35" t="n">
        <x:v>0</x:v>
      </x:c>
      <x:c r="AH38" s="35" t="n">
        <x:v>0</x:v>
      </x:c>
      <x:c r="AI38" s="29" t="n">
        <x:v>46266</x:v>
      </x:c>
      <x:c r="AJ38" s="35"/>
      <x:c r="AK38" s="11" t="str">
        <x:v>неизвестно</x:v>
      </x:c>
      <x:c r="AL38" s="31" t="n">
        <x:v>0</x:v>
      </x:c>
      <x:c r="AM38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8" s="12" t="str">
        <x:v>Подтвердить наличие, срок и цену закупки</x:v>
      </x:c>
      <x:c r="AO38" s="12" t="str">
        <x:v>Прогноз 30 дней 0.07; остаток 0; поступления в срок 0; нехватка 1; заказ с учётом MOQ 1 шт. Остаток на начало сентября: требуется актуализация.</x:v>
      </x:c>
      <x:c r="AP38" s="12" t="str">
        <x:v>["blank_stock_assumed_zero", "category_missing", "daily_stockout_data_missing", "moq_missing", "new_order_lead_time_unknown", "reservations_unknown", "stale_stock", "supplier_sku_missing"]</x:v>
      </x:c>
      <x:c r="AQ38" s="11" t="str">
        <x:v>IEK:010800052_</x:v>
      </x:c>
      <x:c r="AR38" s="23" t="n">
        <x:v>1</x:v>
      </x:c>
      <x:c r="AS38" s="23" t="n">
        <x:f>MAX(0,ROUNDUP(MAX(0,AF38-AG38-AH38)/AR38-0.000000001,0)*AR38)</x:f>
        <x:v>1</x:v>
      </x:c>
      <x:c r="AT38" s="23" t="n">
        <x:v>0.06960368702609994</x:v>
      </x:c>
    </x:row>
    <x:row r="39" ht="64" customHeight="1">
      <x:c r="A39" s="10" t="str">
        <x:v>IEK</x:v>
      </x:c>
      <x:c r="B39" s="34" t="str">
        <x:v>010800106_</x:v>
      </x:c>
      <x:c r="C39" s="34"/>
      <x:c r="D39" s="13" t="str">
        <x:v>ВА 88-35 (3ф)  80 А  35кА  IEK</x:v>
      </x:c>
      <x:c r="E39" s="10" t="str">
        <x:v>шт</x:v>
      </x:c>
      <x:c r="F39" s="37" t="n">
        <x:f>AS39</x:f>
        <x:v>1</x:v>
      </x:c>
      <x:c r="G39" s="21" t="str">
        <x:f>IF(J39="Рассчитано",V39*(1-R39/100)-W39-P39-Q39,"н/д")</x:f>
        <x:v>н/д</x:v>
      </x:c>
      <x:c r="H39" s="13" t="str">
        <x:v>Высокий</x:v>
      </x:c>
      <x:c r="I39" s="13" t="str">
        <x:v>Критический</x:v>
      </x:c>
      <x:c r="J39" s="13" t="str">
        <x:f>IF(L39="","Укажите валюту",IF(NOT(ISNUMBER(K39)),"Укажите объём",IF(K39&lt;=0,"Укажите объём",IF(COUNT(M39:O39)&lt;3,"Нужны цены",IF(COUNT(P39:R39)&lt;3,"Нужны расходы",IF(OR(M39&lt;0,N39&lt;0,O39&lt;0,O39&gt;100,P39&lt;0,Q39&lt;0,R39&lt;0,R39&gt;100),"Проверьте значения","Рассчитано"))))))</x:f>
        <x:v>Нужны цены</x:v>
      </x:c>
      <x:c r="K39" s="36" t="n">
        <x:v>1</x:v>
      </x:c>
      <x:c r="L39" s="19" t="str">
        <x:v>KZT</x:v>
      </x:c>
      <x:c r="M39" s="22"/>
      <x:c r="N39" s="22"/>
      <x:c r="O39" s="28"/>
      <x:c r="P39" s="22"/>
      <x:c r="Q39" s="22"/>
      <x:c r="R39" s="28"/>
      <x:c r="S39" s="22"/>
      <x:c r="T39" s="37" t="n">
        <x:f>MIN(K39,AT39)</x:f>
        <x:v>0.13897719491097874</x:v>
      </x:c>
      <x:c r="U39" s="21" t="str">
        <x:f>IF(J39="Рассчитано",N39*(1-O39/100),"н/д")</x:f>
        <x:v>н/д</x:v>
      </x:c>
      <x:c r="V39" s="21" t="str">
        <x:f>IF(J39="Рассчитано",T39*U39,"н/д")</x:f>
        <x:v>н/д</x:v>
      </x:c>
      <x:c r="W39" s="21" t="str">
        <x:f>IF(J39="Рассчитано",T39*M39,"н/д")</x:f>
        <x:v>н/д</x:v>
      </x:c>
      <x:c r="X39" s="21" t="str">
        <x:f>IF(J39="Рассчитано",V39-W39,"н/д")</x:f>
        <x:v>н/д</x:v>
      </x:c>
      <x:c r="Y39" s="27" t="str">
        <x:f>IF(J39="Рассчитано",IF(V39&gt;0,G39/V39,"н/д"),"н/д")</x:f>
        <x:v>н/д</x:v>
      </x:c>
      <x:c r="Z39" s="21" t="str">
        <x:f>IF(J39="Рассчитано",K39*M39,"н/д")</x:f>
        <x:v>н/д</x:v>
      </x:c>
      <x:c r="AA39" s="21" t="str">
        <x:f>IF(J39="Рассчитано",(K39-T39)*M39,"н/д")</x:f>
        <x:v>н/д</x:v>
      </x:c>
      <x:c r="AB39" s="21" t="str">
        <x:f>IF(AND(J39="Рассчитано",ISNUMBER(S39)),K39*(S39-M39),"н/д")</x:f>
        <x:v>н/д</x:v>
      </x:c>
      <x:c r="AC39" s="21" t="str">
        <x:f>IF(AND(J39="Рассчитано",T39&gt;0,R39&lt;100),(W39+P39+Q39)/(T39*(1-R39/100)),"н/д")</x:f>
        <x:v>н/д</x:v>
      </x:c>
      <x:c r="AD39" s="10" t="str">
        <x:f>IF(ISNUMBER(G39),IF(G39&lt;0,"Убыток",IF(G39=0,"Без прибыли","Прибыль &gt; 0")),"Не оценён")</x:f>
        <x:v>Не оценён</x:v>
      </x:c>
      <x:c r="AE39" s="13" t="str">
        <x:f>IF(J39="Рассчитано","Выручка "&amp;TEXT(V39,"0.00")&amp;" - себестоимость "&amp;TEXT(W39,"0.00")&amp;" - комиссия "&amp;TEXT(V39*R39/100,"0.00")&amp;" - доставка "&amp;TEXT(P39,"0.00")&amp;" - прочие "&amp;TEXT(Q39,"0.00")&amp;" = "&amp;TEXT(G39,"0.00")&amp;" "&amp;L39,"Введите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9" s="24" t="n">
        <x:v>0.13897719491097874</x:v>
      </x:c>
      <x:c r="AG39" s="37" t="n">
        <x:v>0</x:v>
      </x:c>
      <x:c r="AH39" s="37" t="n">
        <x:v>0</x:v>
      </x:c>
      <x:c r="AI39" s="30" t="n">
        <x:v>46266</x:v>
      </x:c>
      <x:c r="AJ39" s="37"/>
      <x:c r="AK39" s="10" t="str">
        <x:v>неизвестно</x:v>
      </x:c>
      <x:c r="AL39" s="32" t="n">
        <x:v>0</x:v>
      </x:c>
      <x:c r="AM39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9" s="13" t="str">
        <x:v>Подтвердить наличие, срок и цену закупки</x:v>
      </x:c>
      <x:c r="AO39" s="13" t="str">
        <x:v>Прогноз 30 дней 0.14; остаток 0; поступления в срок 0; нехватка 1; заказ с учётом MOQ 1 шт. Остаток на начало сентября: требуется актуализация.</x:v>
      </x:c>
      <x:c r="AP39" s="13" t="str">
        <x:v>["blank_stock_assumed_zero", "category_missing", "daily_stockout_data_missing", "moq_missing", "new_order_lead_time_unknown", "reservations_unknown", "stale_stock", "supplier_sku_missing"]</x:v>
      </x:c>
      <x:c r="AQ39" s="10" t="str">
        <x:v>IEK:010800106_</x:v>
      </x:c>
      <x:c r="AR39" s="24" t="n">
        <x:v>1</x:v>
      </x:c>
      <x:c r="AS39" s="24" t="n">
        <x:f>MAX(0,ROUNDUP(MAX(0,AF39-AG39-AH39)/AR39-0.000000001,0)*AR39)</x:f>
        <x:v>1</x:v>
      </x:c>
      <x:c r="AT39" s="24" t="n">
        <x:v>0.13897719491097874</x:v>
      </x:c>
    </x:row>
    <x:row r="40" ht="64" customHeight="1">
      <x:c r="A40" s="11" t="str">
        <x:v>IEK</x:v>
      </x:c>
      <x:c r="B40" s="33" t="str">
        <x:v>010800258_</x:v>
      </x:c>
      <x:c r="C40" s="33" t="str">
        <x:v>SVA30-3-0160-02</x:v>
      </x:c>
      <x:c r="D40" s="12" t="str">
        <x:v>ВА 88-35 (3ф) 160А  690В MASTER IEK!!!</x:v>
      </x:c>
      <x:c r="E40" s="11" t="str">
        <x:v>шт</x:v>
      </x:c>
      <x:c r="F40" s="35" t="n">
        <x:f>AS40</x:f>
        <x:v>1</x:v>
      </x:c>
      <x:c r="G40" s="20" t="str">
        <x:f>IF(J40="Рассчитано",V40*(1-R40/100)-W40-P40-Q40,"н/д")</x:f>
        <x:v>н/д</x:v>
      </x:c>
      <x:c r="H40" s="12" t="str">
        <x:v>Высокий</x:v>
      </x:c>
      <x:c r="I40" s="12" t="str">
        <x:v>Критический</x:v>
      </x:c>
      <x:c r="J40" s="12" t="str">
        <x:f>IF(L40="","Укажите валюту",IF(NOT(ISNUMBER(K40)),"Укажите объём",IF(K40&lt;=0,"Укажите объём",IF(COUNT(M40:O40)&lt;3,"Нужны цены",IF(COUNT(P40:R40)&lt;3,"Нужны расходы",IF(OR(M40&lt;0,N40&lt;0,O40&lt;0,O40&gt;100,P40&lt;0,Q40&lt;0,R40&lt;0,R40&gt;100),"Проверьте значения","Рассчитано"))))))</x:f>
        <x:v>Нужны цены</x:v>
      </x:c>
      <x:c r="K40" s="36" t="n">
        <x:v>1</x:v>
      </x:c>
      <x:c r="L40" s="19" t="str">
        <x:v>KZT</x:v>
      </x:c>
      <x:c r="M40" s="22"/>
      <x:c r="N40" s="22"/>
      <x:c r="O40" s="28"/>
      <x:c r="P40" s="22"/>
      <x:c r="Q40" s="22"/>
      <x:c r="R40" s="28"/>
      <x:c r="S40" s="22"/>
      <x:c r="T40" s="35" t="n">
        <x:f>MIN(K40,AT40)</x:f>
        <x:v>0.8747342972920935</x:v>
      </x:c>
      <x:c r="U40" s="20" t="str">
        <x:f>IF(J40="Рассчитано",N40*(1-O40/100),"н/д")</x:f>
        <x:v>н/д</x:v>
      </x:c>
      <x:c r="V40" s="20" t="str">
        <x:f>IF(J40="Рассчитано",T40*U40,"н/д")</x:f>
        <x:v>н/д</x:v>
      </x:c>
      <x:c r="W40" s="20" t="str">
        <x:f>IF(J40="Рассчитано",T40*M40,"н/д")</x:f>
        <x:v>н/д</x:v>
      </x:c>
      <x:c r="X40" s="20" t="str">
        <x:f>IF(J40="Рассчитано",V40-W40,"н/д")</x:f>
        <x:v>н/д</x:v>
      </x:c>
      <x:c r="Y40" s="26" t="str">
        <x:f>IF(J40="Рассчитано",IF(V40&gt;0,G40/V40,"н/д"),"н/д")</x:f>
        <x:v>н/д</x:v>
      </x:c>
      <x:c r="Z40" s="20" t="str">
        <x:f>IF(J40="Рассчитано",K40*M40,"н/д")</x:f>
        <x:v>н/д</x:v>
      </x:c>
      <x:c r="AA40" s="20" t="str">
        <x:f>IF(J40="Рассчитано",(K40-T40)*M40,"н/д")</x:f>
        <x:v>н/д</x:v>
      </x:c>
      <x:c r="AB40" s="20" t="str">
        <x:f>IF(AND(J40="Рассчитано",ISNUMBER(S40)),K40*(S40-M40),"н/д")</x:f>
        <x:v>н/д</x:v>
      </x:c>
      <x:c r="AC40" s="20" t="str">
        <x:f>IF(AND(J40="Рассчитано",T40&gt;0,R40&lt;100),(W40+P40+Q40)/(T40*(1-R40/100)),"н/д")</x:f>
        <x:v>н/д</x:v>
      </x:c>
      <x:c r="AD40" s="11" t="str">
        <x:f>IF(ISNUMBER(G40),IF(G40&lt;0,"Убыток",IF(G40=0,"Без прибыли","Прибыль &gt; 0")),"Не оценён")</x:f>
        <x:v>Не оценён</x:v>
      </x:c>
      <x:c r="AE40" s="12" t="str">
        <x:f>IF(J40="Рассчитано","Выручка "&amp;TEXT(V40,"0.00")&amp;" - себестоимость "&amp;TEXT(W40,"0.00")&amp;" - комиссия "&amp;TEXT(V40*R40/100,"0.00")&amp;" - доставка "&amp;TEXT(P40,"0.00")&amp;" - прочие "&amp;TEXT(Q40,"0.00")&amp;" = "&amp;TEXT(G40,"0.00")&amp;" "&amp;L40,"Введите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0" s="23" t="n">
        <x:v>0.8747342972920935</x:v>
      </x:c>
      <x:c r="AG40" s="35" t="n">
        <x:v>0</x:v>
      </x:c>
      <x:c r="AH40" s="35" t="n">
        <x:v>0</x:v>
      </x:c>
      <x:c r="AI40" s="29" t="n">
        <x:v>46266</x:v>
      </x:c>
      <x:c r="AJ40" s="35"/>
      <x:c r="AK40" s="11" t="str">
        <x:v>неизвестно</x:v>
      </x:c>
      <x:c r="AL40" s="31" t="n">
        <x:v>0</x:v>
      </x:c>
      <x:c r="AM4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40" s="12" t="str">
        <x:v>Подтвердить наличие, срок и цену закупки</x:v>
      </x:c>
      <x:c r="AO40" s="12" t="str">
        <x:v>Прогноз 30 дней 0.87; остаток 0; поступления в срок 0; нехватка 1; заказ с учётом MOQ 1 шт. Остаток на начало сентября: требуется актуализация.</x:v>
      </x:c>
      <x:c r="AP40" s="12" t="str">
        <x:v>["blank_stock_assumed_zero", "category_missing", "daily_stockout_data_missing", "moq_missing", "new_order_lead_time_unknown", "reservations_unknown", "stale_stock", "stockout_proxy_used"]</x:v>
      </x:c>
      <x:c r="AQ40" s="11" t="str">
        <x:v>IEK:010800258_</x:v>
      </x:c>
      <x:c r="AR40" s="23" t="n">
        <x:v>1</x:v>
      </x:c>
      <x:c r="AS40" s="23" t="n">
        <x:f>MAX(0,ROUNDUP(MAX(0,AF40-AG40-AH40)/AR40-0.000000001,0)*AR40)</x:f>
        <x:v>1</x:v>
      </x:c>
      <x:c r="AT40" s="23" t="n">
        <x:v>0.8747342972920935</x:v>
      </x:c>
    </x:row>
    <x:row r="41" ht="64" customHeight="1">
      <x:c r="A41" s="10" t="str">
        <x:v>IEK</x:v>
      </x:c>
      <x:c r="B41" s="34" t="str">
        <x:v>011100062_</x:v>
      </x:c>
      <x:c r="C41" s="34" t="str">
        <x:v>IVS10-1-03000</x:v>
      </x:c>
      <x:c r="D41" s="13" t="str">
        <x:v>Стабилизатор СНИ  3 кВА (1ф) IEK (1)</x:v>
      </x:c>
      <x:c r="E41" s="10" t="str">
        <x:v>шт</x:v>
      </x:c>
      <x:c r="F41" s="37" t="n">
        <x:f>AS41</x:f>
        <x:v>1</x:v>
      </x:c>
      <x:c r="G41" s="21" t="str">
        <x:f>IF(J41="Рассчитано",V41*(1-R41/100)-W41-P41-Q41,"н/д")</x:f>
        <x:v>н/д</x:v>
      </x:c>
      <x:c r="H41" s="13" t="str">
        <x:v>Высокий</x:v>
      </x:c>
      <x:c r="I41" s="13" t="str">
        <x:v>Критический</x:v>
      </x:c>
      <x:c r="J41" s="13" t="str">
        <x:f>IF(L41="","Укажите валюту",IF(NOT(ISNUMBER(K41)),"Укажите объём",IF(K41&lt;=0,"Укажите объём",IF(COUNT(M41:O41)&lt;3,"Нужны цены",IF(COUNT(P41:R41)&lt;3,"Нужны расходы",IF(OR(M41&lt;0,N41&lt;0,O41&lt;0,O41&gt;100,P41&lt;0,Q41&lt;0,R41&lt;0,R41&gt;100),"Проверьте значения","Рассчитано"))))))</x:f>
        <x:v>Нужны цены</x:v>
      </x:c>
      <x:c r="K41" s="36" t="n">
        <x:v>1</x:v>
      </x:c>
      <x:c r="L41" s="19" t="str">
        <x:v>KZT</x:v>
      </x:c>
      <x:c r="M41" s="22"/>
      <x:c r="N41" s="22"/>
      <x:c r="O41" s="28"/>
      <x:c r="P41" s="22"/>
      <x:c r="Q41" s="22"/>
      <x:c r="R41" s="28"/>
      <x:c r="S41" s="22"/>
      <x:c r="T41" s="37" t="n">
        <x:f>MIN(K41,AT41)</x:f>
        <x:v>0.037954485469607675</x:v>
      </x:c>
      <x:c r="U41" s="21" t="str">
        <x:f>IF(J41="Рассчитано",N41*(1-O41/100),"н/д")</x:f>
        <x:v>н/д</x:v>
      </x:c>
      <x:c r="V41" s="21" t="str">
        <x:f>IF(J41="Рассчитано",T41*U41,"н/д")</x:f>
        <x:v>н/д</x:v>
      </x:c>
      <x:c r="W41" s="21" t="str">
        <x:f>IF(J41="Рассчитано",T41*M41,"н/д")</x:f>
        <x:v>н/д</x:v>
      </x:c>
      <x:c r="X41" s="21" t="str">
        <x:f>IF(J41="Рассчитано",V41-W41,"н/д")</x:f>
        <x:v>н/д</x:v>
      </x:c>
      <x:c r="Y41" s="27" t="str">
        <x:f>IF(J41="Рассчитано",IF(V41&gt;0,G41/V41,"н/д"),"н/д")</x:f>
        <x:v>н/д</x:v>
      </x:c>
      <x:c r="Z41" s="21" t="str">
        <x:f>IF(J41="Рассчитано",K41*M41,"н/д")</x:f>
        <x:v>н/д</x:v>
      </x:c>
      <x:c r="AA41" s="21" t="str">
        <x:f>IF(J41="Рассчитано",(K41-T41)*M41,"н/д")</x:f>
        <x:v>н/д</x:v>
      </x:c>
      <x:c r="AB41" s="21" t="str">
        <x:f>IF(AND(J41="Рассчитано",ISNUMBER(S41)),K41*(S41-M41),"н/д")</x:f>
        <x:v>н/д</x:v>
      </x:c>
      <x:c r="AC41" s="21" t="str">
        <x:f>IF(AND(J41="Рассчитано",T41&gt;0,R41&lt;100),(W41+P41+Q41)/(T41*(1-R41/100)),"н/д")</x:f>
        <x:v>н/д</x:v>
      </x:c>
      <x:c r="AD41" s="10" t="str">
        <x:f>IF(ISNUMBER(G41),IF(G41&lt;0,"Убыток",IF(G41=0,"Без прибыли","Прибыль &gt; 0")),"Не оценён")</x:f>
        <x:v>Не оценён</x:v>
      </x:c>
      <x:c r="AE41" s="13" t="str">
        <x:f>IF(J41="Рассчитано","Выручка "&amp;TEXT(V41,"0.00")&amp;" - себестоимость "&amp;TEXT(W41,"0.00")&amp;" - комиссия "&amp;TEXT(V41*R41/100,"0.00")&amp;" - доставка "&amp;TEXT(P41,"0.00")&amp;" - прочие "&amp;TEXT(Q41,"0.00")&amp;" = "&amp;TEXT(G41,"0.00")&amp;" "&amp;L41,"Введите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1" s="24" t="n">
        <x:v>0.037954485469607675</x:v>
      </x:c>
      <x:c r="AG41" s="37" t="n">
        <x:v>0</x:v>
      </x:c>
      <x:c r="AH41" s="37" t="n">
        <x:v>0</x:v>
      </x:c>
      <x:c r="AI41" s="30" t="n">
        <x:v>46266</x:v>
      </x:c>
      <x:c r="AJ41" s="37"/>
      <x:c r="AK41" s="10" t="str">
        <x:v>неизвестно</x:v>
      </x:c>
      <x:c r="AL41" s="32" t="n">
        <x:v>0</x:v>
      </x:c>
      <x:c r="AM41" s="13" t="str">
        <x:v>Остаток на начало сентября; Резервы неизвестны; Нет ежедневных данных доступности. Нет запаса</x:v>
      </x:c>
      <x:c r="AN41" s="13" t="str">
        <x:v>Подтвердить наличие, срок и цену закупки</x:v>
      </x:c>
      <x:c r="AO41" s="13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41" s="13" t="str">
        <x:v>["blank_stock_assumed_zero", "category_missing", "daily_stockout_data_missing", "moq_missing", "new_order_lead_time_unknown", "reservations_unknown", "stale_stock"]</x:v>
      </x:c>
      <x:c r="AQ41" s="10" t="str">
        <x:v>IEK:011100062_</x:v>
      </x:c>
      <x:c r="AR41" s="24" t="n">
        <x:v>1</x:v>
      </x:c>
      <x:c r="AS41" s="24" t="n">
        <x:f>MAX(0,ROUNDUP(MAX(0,AF41-AG41-AH41)/AR41-0.000000001,0)*AR41)</x:f>
        <x:v>1</x:v>
      </x:c>
      <x:c r="AT41" s="24" t="n">
        <x:v>0.037954485469607675</x:v>
      </x:c>
    </x:row>
    <x:row r="42" ht="64" customHeight="1">
      <x:c r="A42" s="11" t="str">
        <x:v>IEK</x:v>
      </x:c>
      <x:c r="B42" s="33" t="str">
        <x:v>011100065_</x:v>
      </x:c>
      <x:c r="C42" s="33" t="str">
        <x:v>IVS10-1-05000</x:v>
      </x:c>
      <x:c r="D42" s="12" t="str">
        <x:v>Стабилизатор СНИ  5 кВА (1ф) IEK (1)</x:v>
      </x:c>
      <x:c r="E42" s="11" t="str">
        <x:v>шт</x:v>
      </x:c>
      <x:c r="F42" s="35" t="n">
        <x:f>AS42</x:f>
        <x:v>1</x:v>
      </x:c>
      <x:c r="G42" s="20" t="str">
        <x:f>IF(J42="Рассчитано",V42*(1-R42/100)-W42-P42-Q42,"н/д")</x:f>
        <x:v>н/д</x:v>
      </x:c>
      <x:c r="H42" s="12" t="str">
        <x:v>Высокий</x:v>
      </x:c>
      <x:c r="I42" s="12" t="str">
        <x:v>Критический</x:v>
      </x:c>
      <x:c r="J42" s="12" t="str">
        <x:f>IF(L42="","Укажите валюту",IF(NOT(ISNUMBER(K42)),"Укажите объём",IF(K42&lt;=0,"Укажите объём",IF(COUNT(M42:O42)&lt;3,"Нужны цены",IF(COUNT(P42:R42)&lt;3,"Нужны расходы",IF(OR(M42&lt;0,N42&lt;0,O42&lt;0,O42&gt;100,P42&lt;0,Q42&lt;0,R42&lt;0,R42&gt;100),"Проверьте значения","Рассчитано"))))))</x:f>
        <x:v>Нужны цены</x:v>
      </x:c>
      <x:c r="K42" s="36" t="n">
        <x:v>1</x:v>
      </x:c>
      <x:c r="L42" s="19" t="str">
        <x:v>KZT</x:v>
      </x:c>
      <x:c r="M42" s="22"/>
      <x:c r="N42" s="22"/>
      <x:c r="O42" s="28"/>
      <x:c r="P42" s="22"/>
      <x:c r="Q42" s="22"/>
      <x:c r="R42" s="28"/>
      <x:c r="S42" s="22"/>
      <x:c r="T42" s="35" t="n">
        <x:f>MIN(K42,AT42)</x:f>
        <x:v>0.07809630463333232</x:v>
      </x:c>
      <x:c r="U42" s="20" t="str">
        <x:f>IF(J42="Рассчитано",N42*(1-O42/100),"н/д")</x:f>
        <x:v>н/д</x:v>
      </x:c>
      <x:c r="V42" s="20" t="str">
        <x:f>IF(J42="Рассчитано",T42*U42,"н/д")</x:f>
        <x:v>н/д</x:v>
      </x:c>
      <x:c r="W42" s="20" t="str">
        <x:f>IF(J42="Рассчитано",T42*M42,"н/д")</x:f>
        <x:v>н/д</x:v>
      </x:c>
      <x:c r="X42" s="20" t="str">
        <x:f>IF(J42="Рассчитано",V42-W42,"н/д")</x:f>
        <x:v>н/д</x:v>
      </x:c>
      <x:c r="Y42" s="26" t="str">
        <x:f>IF(J42="Рассчитано",IF(V42&gt;0,G42/V42,"н/д"),"н/д")</x:f>
        <x:v>н/д</x:v>
      </x:c>
      <x:c r="Z42" s="20" t="str">
        <x:f>IF(J42="Рассчитано",K42*M42,"н/д")</x:f>
        <x:v>н/д</x:v>
      </x:c>
      <x:c r="AA42" s="20" t="str">
        <x:f>IF(J42="Рассчитано",(K42-T42)*M42,"н/д")</x:f>
        <x:v>н/д</x:v>
      </x:c>
      <x:c r="AB42" s="20" t="str">
        <x:f>IF(AND(J42="Рассчитано",ISNUMBER(S42)),K42*(S42-M42),"н/д")</x:f>
        <x:v>н/д</x:v>
      </x:c>
      <x:c r="AC42" s="20" t="str">
        <x:f>IF(AND(J42="Рассчитано",T42&gt;0,R42&lt;100),(W42+P42+Q42)/(T42*(1-R42/100)),"н/д")</x:f>
        <x:v>н/д</x:v>
      </x:c>
      <x:c r="AD42" s="11" t="str">
        <x:f>IF(ISNUMBER(G42),IF(G42&lt;0,"Убыток",IF(G42=0,"Без прибыли","Прибыль &gt; 0")),"Не оценён")</x:f>
        <x:v>Не оценён</x:v>
      </x:c>
      <x:c r="AE42" s="12" t="str">
        <x:f>IF(J42="Рассчитано","Выручка "&amp;TEXT(V42,"0.00")&amp;" - себестоимость "&amp;TEXT(W42,"0.00")&amp;" - комиссия "&amp;TEXT(V42*R42/100,"0.00")&amp;" - доставка "&amp;TEXT(P42,"0.00")&amp;" - прочие "&amp;TEXT(Q42,"0.00")&amp;" = "&amp;TEXT(G42,"0.00")&amp;" "&amp;L42,"Введите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2" s="23" t="n">
        <x:v>0.07809630463333232</x:v>
      </x:c>
      <x:c r="AG42" s="35" t="n">
        <x:v>0</x:v>
      </x:c>
      <x:c r="AH42" s="35" t="n">
        <x:v>0</x:v>
      </x:c>
      <x:c r="AI42" s="29" t="n">
        <x:v>46266</x:v>
      </x:c>
      <x:c r="AJ42" s="35"/>
      <x:c r="AK42" s="11" t="str">
        <x:v>неизвестно</x:v>
      </x:c>
      <x:c r="AL42" s="31" t="n">
        <x:v>0</x:v>
      </x:c>
      <x:c r="AM42" s="12" t="str">
        <x:v>Остаток на начало сентября; Резервы неизвестны; Нет ежедневных данных доступности. Нет запаса</x:v>
      </x:c>
      <x:c r="AN42" s="12" t="str">
        <x:v>Подтвердить наличие, срок и цену закупки</x:v>
      </x:c>
      <x:c r="AO42" s="12" t="str">
        <x:v>Прогноз 30 дней 0.08; остаток 0; поступления в срок 0; нехватка 1; заказ с учётом MOQ 1 шт. Остаток на начало сентября: требуется актуализация.</x:v>
      </x:c>
      <x:c r="AP42" s="12" t="str">
        <x:v>["blank_stock_assumed_zero", "category_missing", "daily_stockout_data_missing", "moq_missing", "new_order_lead_time_unknown", "reservations_unknown", "stale_stock"]</x:v>
      </x:c>
      <x:c r="AQ42" s="11" t="str">
        <x:v>IEK:011100065_</x:v>
      </x:c>
      <x:c r="AR42" s="23" t="n">
        <x:v>1</x:v>
      </x:c>
      <x:c r="AS42" s="23" t="n">
        <x:f>MAX(0,ROUNDUP(MAX(0,AF42-AG42-AH42)/AR42-0.000000001,0)*AR42)</x:f>
        <x:v>1</x:v>
      </x:c>
      <x:c r="AT42" s="23" t="n">
        <x:v>0.07809630463333232</x:v>
      </x:c>
    </x:row>
    <x:row r="43" ht="64" customHeight="1">
      <x:c r="A43" s="10" t="str">
        <x:v>IEK</x:v>
      </x:c>
      <x:c r="B43" s="34" t="str">
        <x:v>011100067_</x:v>
      </x:c>
      <x:c r="C43" s="34" t="str">
        <x:v>IVS10-3-03000</x:v>
      </x:c>
      <x:c r="D43" s="13" t="str">
        <x:v>Стабилизатор СНИ  3 кВА (3ф) IEK (1)</x:v>
      </x:c>
      <x:c r="E43" s="10" t="str">
        <x:v>шт</x:v>
      </x:c>
      <x:c r="F43" s="37" t="n">
        <x:f>AS43</x:f>
        <x:v>1</x:v>
      </x:c>
      <x:c r="G43" s="21" t="str">
        <x:f>IF(J43="Рассчитано",V43*(1-R43/100)-W43-P43-Q43,"н/д")</x:f>
        <x:v>н/д</x:v>
      </x:c>
      <x:c r="H43" s="13" t="str">
        <x:v>Высокий</x:v>
      </x:c>
      <x:c r="I43" s="13" t="str">
        <x:v>Критический</x:v>
      </x:c>
      <x:c r="J43" s="13" t="str">
        <x:f>IF(L43="","Укажите валюту",IF(NOT(ISNUMBER(K43)),"Укажите объём",IF(K43&lt;=0,"Укажите объём",IF(COUNT(M43:O43)&lt;3,"Нужны цены",IF(COUNT(P43:R43)&lt;3,"Нужны расходы",IF(OR(M43&lt;0,N43&lt;0,O43&lt;0,O43&gt;100,P43&lt;0,Q43&lt;0,R43&lt;0,R43&gt;100),"Проверьте значения","Рассчитано"))))))</x:f>
        <x:v>Нужны цены</x:v>
      </x:c>
      <x:c r="K43" s="36" t="n">
        <x:v>1</x:v>
      </x:c>
      <x:c r="L43" s="19" t="str">
        <x:v>KZT</x:v>
      </x:c>
      <x:c r="M43" s="22"/>
      <x:c r="N43" s="22"/>
      <x:c r="O43" s="28"/>
      <x:c r="P43" s="22"/>
      <x:c r="Q43" s="22"/>
      <x:c r="R43" s="28"/>
      <x:c r="S43" s="22"/>
      <x:c r="T43" s="37" t="n">
        <x:f>MIN(K43,AT43)</x:f>
        <x:v>0.03480184351304997</x:v>
      </x:c>
      <x:c r="U43" s="21" t="str">
        <x:f>IF(J43="Рассчитано",N43*(1-O43/100),"н/д")</x:f>
        <x:v>н/д</x:v>
      </x:c>
      <x:c r="V43" s="21" t="str">
        <x:f>IF(J43="Рассчитано",T43*U43,"н/д")</x:f>
        <x:v>н/д</x:v>
      </x:c>
      <x:c r="W43" s="21" t="str">
        <x:f>IF(J43="Рассчитано",T43*M43,"н/д")</x:f>
        <x:v>н/д</x:v>
      </x:c>
      <x:c r="X43" s="21" t="str">
        <x:f>IF(J43="Рассчитано",V43-W43,"н/д")</x:f>
        <x:v>н/д</x:v>
      </x:c>
      <x:c r="Y43" s="27" t="str">
        <x:f>IF(J43="Рассчитано",IF(V43&gt;0,G43/V43,"н/д"),"н/д")</x:f>
        <x:v>н/д</x:v>
      </x:c>
      <x:c r="Z43" s="21" t="str">
        <x:f>IF(J43="Рассчитано",K43*M43,"н/д")</x:f>
        <x:v>н/д</x:v>
      </x:c>
      <x:c r="AA43" s="21" t="str">
        <x:f>IF(J43="Рассчитано",(K43-T43)*M43,"н/д")</x:f>
        <x:v>н/д</x:v>
      </x:c>
      <x:c r="AB43" s="21" t="str">
        <x:f>IF(AND(J43="Рассчитано",ISNUMBER(S43)),K43*(S43-M43),"н/д")</x:f>
        <x:v>н/д</x:v>
      </x:c>
      <x:c r="AC43" s="21" t="str">
        <x:f>IF(AND(J43="Рассчитано",T43&gt;0,R43&lt;100),(W43+P43+Q43)/(T43*(1-R43/100)),"н/д")</x:f>
        <x:v>н/д</x:v>
      </x:c>
      <x:c r="AD43" s="10" t="str">
        <x:f>IF(ISNUMBER(G43),IF(G43&lt;0,"Убыток",IF(G43=0,"Без прибыли","Прибыль &gt; 0")),"Не оценён")</x:f>
        <x:v>Не оценён</x:v>
      </x:c>
      <x:c r="AE43" s="13" t="str">
        <x:f>IF(J43="Рассчитано","Выручка "&amp;TEXT(V43,"0.00")&amp;" - себестоимость "&amp;TEXT(W43,"0.00")&amp;" - комиссия "&amp;TEXT(V43*R43/100,"0.00")&amp;" - доставка "&amp;TEXT(P43,"0.00")&amp;" - прочие "&amp;TEXT(Q43,"0.00")&amp;" = "&amp;TEXT(G43,"0.00")&amp;" "&amp;L43,"Введите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3" s="24" t="n">
        <x:v>0.03480184351304997</x:v>
      </x:c>
      <x:c r="AG43" s="37" t="n">
        <x:v>0</x:v>
      </x:c>
      <x:c r="AH43" s="37" t="n">
        <x:v>0</x:v>
      </x:c>
      <x:c r="AI43" s="30" t="n">
        <x:v>46266</x:v>
      </x:c>
      <x:c r="AJ43" s="37"/>
      <x:c r="AK43" s="10" t="str">
        <x:v>неизвестно</x:v>
      </x:c>
      <x:c r="AL43" s="32" t="n">
        <x:v>0</x:v>
      </x:c>
      <x:c r="AM43" s="13" t="str">
        <x:v>Остаток на начало сентября; Резервы неизвестны; Нет ежедневных данных доступности. Нет запаса</x:v>
      </x:c>
      <x:c r="AN43" s="13" t="str">
        <x:v>Подтвердить наличие, срок и цену закупки</x:v>
      </x:c>
      <x:c r="AO43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43" s="13" t="str">
        <x:v>["blank_stock_assumed_zero", "category_missing", "daily_stockout_data_missing", "moq_missing", "new_order_lead_time_unknown", "reservations_unknown", "stale_stock"]</x:v>
      </x:c>
      <x:c r="AQ43" s="10" t="str">
        <x:v>IEK:011100067_</x:v>
      </x:c>
      <x:c r="AR43" s="24" t="n">
        <x:v>1</x:v>
      </x:c>
      <x:c r="AS43" s="24" t="n">
        <x:f>MAX(0,ROUNDUP(MAX(0,AF43-AG43-AH43)/AR43-0.000000001,0)*AR43)</x:f>
        <x:v>1</x:v>
      </x:c>
      <x:c r="AT43" s="24" t="n">
        <x:v>0.03480184351304997</x:v>
      </x:c>
    </x:row>
    <x:row r="44" ht="64" customHeight="1">
      <x:c r="A44" s="11" t="str">
        <x:v>IEK</x:v>
      </x:c>
      <x:c r="B44" s="33" t="str">
        <x:v>011100068_</x:v>
      </x:c>
      <x:c r="C44" s="33" t="str">
        <x:v>IVS10-3-15000</x:v>
      </x:c>
      <x:c r="D44" s="12" t="str">
        <x:v>Стабилизатор СНИ 15 кВА (3ф) IEK (1)</x:v>
      </x:c>
      <x:c r="E44" s="11" t="str">
        <x:v>шт</x:v>
      </x:c>
      <x:c r="F44" s="35" t="n">
        <x:f>AS44</x:f>
        <x:v>1</x:v>
      </x:c>
      <x:c r="G44" s="20" t="str">
        <x:f>IF(J44="Рассчитано",V44*(1-R44/100)-W44-P44-Q44,"н/д")</x:f>
        <x:v>н/д</x:v>
      </x:c>
      <x:c r="H44" s="12" t="str">
        <x:v>Высокий</x:v>
      </x:c>
      <x:c r="I44" s="12" t="str">
        <x:v>Критический</x:v>
      </x:c>
      <x:c r="J44" s="12" t="str">
        <x:f>IF(L44="","Укажите валюту",IF(NOT(ISNUMBER(K44)),"Укажите объём",IF(K44&lt;=0,"Укажите объём",IF(COUNT(M44:O44)&lt;3,"Нужны цены",IF(COUNT(P44:R44)&lt;3,"Нужны расходы",IF(OR(M44&lt;0,N44&lt;0,O44&lt;0,O44&gt;100,P44&lt;0,Q44&lt;0,R44&lt;0,R44&gt;100),"Проверьте значения","Рассчитано"))))))</x:f>
        <x:v>Нужны цены</x:v>
      </x:c>
      <x:c r="K44" s="36" t="n">
        <x:v>1</x:v>
      </x:c>
      <x:c r="L44" s="19" t="str">
        <x:v>KZT</x:v>
      </x:c>
      <x:c r="M44" s="22"/>
      <x:c r="N44" s="22"/>
      <x:c r="O44" s="28"/>
      <x:c r="P44" s="22"/>
      <x:c r="Q44" s="22"/>
      <x:c r="R44" s="28"/>
      <x:c r="S44" s="22"/>
      <x:c r="T44" s="35" t="n">
        <x:f>MIN(K44,AT44)</x:f>
        <x:v>0.07360145410698135</x:v>
      </x:c>
      <x:c r="U44" s="20" t="str">
        <x:f>IF(J44="Рассчитано",N44*(1-O44/100),"н/д")</x:f>
        <x:v>н/д</x:v>
      </x:c>
      <x:c r="V44" s="20" t="str">
        <x:f>IF(J44="Рассчитано",T44*U44,"н/д")</x:f>
        <x:v>н/д</x:v>
      </x:c>
      <x:c r="W44" s="20" t="str">
        <x:f>IF(J44="Рассчитано",T44*M44,"н/д")</x:f>
        <x:v>н/д</x:v>
      </x:c>
      <x:c r="X44" s="20" t="str">
        <x:f>IF(J44="Рассчитано",V44-W44,"н/д")</x:f>
        <x:v>н/д</x:v>
      </x:c>
      <x:c r="Y44" s="26" t="str">
        <x:f>IF(J44="Рассчитано",IF(V44&gt;0,G44/V44,"н/д"),"н/д")</x:f>
        <x:v>н/д</x:v>
      </x:c>
      <x:c r="Z44" s="20" t="str">
        <x:f>IF(J44="Рассчитано",K44*M44,"н/д")</x:f>
        <x:v>н/д</x:v>
      </x:c>
      <x:c r="AA44" s="20" t="str">
        <x:f>IF(J44="Рассчитано",(K44-T44)*M44,"н/д")</x:f>
        <x:v>н/д</x:v>
      </x:c>
      <x:c r="AB44" s="20" t="str">
        <x:f>IF(AND(J44="Рассчитано",ISNUMBER(S44)),K44*(S44-M44),"н/д")</x:f>
        <x:v>н/д</x:v>
      </x:c>
      <x:c r="AC44" s="20" t="str">
        <x:f>IF(AND(J44="Рассчитано",T44&gt;0,R44&lt;100),(W44+P44+Q44)/(T44*(1-R44/100)),"н/д")</x:f>
        <x:v>н/д</x:v>
      </x:c>
      <x:c r="AD44" s="11" t="str">
        <x:f>IF(ISNUMBER(G44),IF(G44&lt;0,"Убыток",IF(G44=0,"Без прибыли","Прибыль &gt; 0")),"Не оценён")</x:f>
        <x:v>Не оценён</x:v>
      </x:c>
      <x:c r="AE44" s="12" t="str">
        <x:f>IF(J44="Рассчитано","Выручка "&amp;TEXT(V44,"0.00")&amp;" - себестоимость "&amp;TEXT(W44,"0.00")&amp;" - комиссия "&amp;TEXT(V44*R44/100,"0.00")&amp;" - доставка "&amp;TEXT(P44,"0.00")&amp;" - прочие "&amp;TEXT(Q44,"0.00")&amp;" = "&amp;TEXT(G44,"0.00")&amp;" "&amp;L44,"Введите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4" s="23" t="n">
        <x:v>0.07360145410698135</x:v>
      </x:c>
      <x:c r="AG44" s="35" t="n">
        <x:v>0</x:v>
      </x:c>
      <x:c r="AH44" s="35" t="n">
        <x:v>0</x:v>
      </x:c>
      <x:c r="AI44" s="29" t="n">
        <x:v>46266</x:v>
      </x:c>
      <x:c r="AJ44" s="35"/>
      <x:c r="AK44" s="11" t="str">
        <x:v>неизвестно</x:v>
      </x:c>
      <x:c r="AL44" s="31" t="n">
        <x:v>0</x:v>
      </x:c>
      <x:c r="AM44" s="12" t="str">
        <x:v>Остаток на начало сентября; Резервы неизвестны; Нет ежедневных данных доступности. Нет запаса</x:v>
      </x:c>
      <x:c r="AN44" s="12" t="str">
        <x:v>Подтвердить наличие, срок и цену закупки</x:v>
      </x:c>
      <x:c r="AO44" s="12" t="str">
        <x:v>Прогноз 30 дней 0.07; остаток 0; поступления в срок 0; нехватка 1; заказ с учётом MOQ 1 шт. Остаток на начало сентября: требуется актуализация.</x:v>
      </x:c>
      <x:c r="AP44" s="12" t="str">
        <x:v>["blank_stock_assumed_zero", "category_missing", "daily_stockout_data_missing", "moq_missing", "new_order_lead_time_unknown", "reservations_unknown", "stale_stock"]</x:v>
      </x:c>
      <x:c r="AQ44" s="11" t="str">
        <x:v>IEK:011100068_</x:v>
      </x:c>
      <x:c r="AR44" s="23" t="n">
        <x:v>1</x:v>
      </x:c>
      <x:c r="AS44" s="23" t="n">
        <x:f>MAX(0,ROUNDUP(MAX(0,AF44-AG44-AH44)/AR44-0.000000001,0)*AR44)</x:f>
        <x:v>1</x:v>
      </x:c>
      <x:c r="AT44" s="23" t="n">
        <x:v>0.07360145410698135</x:v>
      </x:c>
    </x:row>
    <x:row r="45" ht="64" customHeight="1">
      <x:c r="A45" s="10" t="str">
        <x:v>IEK</x:v>
      </x:c>
      <x:c r="B45" s="34" t="str">
        <x:v>011100069_</x:v>
      </x:c>
      <x:c r="C45" s="34" t="str">
        <x:v>IVS10-3-20000</x:v>
      </x:c>
      <x:c r="D45" s="13" t="str">
        <x:v>Стабилизатор СНИ 20 кВА (3ф) IEK (1)</x:v>
      </x:c>
      <x:c r="E45" s="10" t="str">
        <x:v>шт</x:v>
      </x:c>
      <x:c r="F45" s="37" t="n">
        <x:f>AS45</x:f>
        <x:v>1</x:v>
      </x:c>
      <x:c r="G45" s="21" t="str">
        <x:f>IF(J45="Рассчитано",V45*(1-R45/100)-W45-P45-Q45,"н/д")</x:f>
        <x:v>н/д</x:v>
      </x:c>
      <x:c r="H45" s="13" t="str">
        <x:v>Высокий</x:v>
      </x:c>
      <x:c r="I45" s="13" t="str">
        <x:v>Критический</x:v>
      </x:c>
      <x:c r="J45" s="13" t="str">
        <x:f>IF(L45="","Укажите валюту",IF(NOT(ISNUMBER(K45)),"Укажите объём",IF(K45&lt;=0,"Укажите объём",IF(COUNT(M45:O45)&lt;3,"Нужны цены",IF(COUNT(P45:R45)&lt;3,"Нужны расходы",IF(OR(M45&lt;0,N45&lt;0,O45&lt;0,O45&gt;100,P45&lt;0,Q45&lt;0,R45&lt;0,R45&gt;100),"Проверьте значения","Рассчитано"))))))</x:f>
        <x:v>Нужны цены</x:v>
      </x:c>
      <x:c r="K45" s="36" t="n">
        <x:v>1</x:v>
      </x:c>
      <x:c r="L45" s="19" t="str">
        <x:v>KZT</x:v>
      </x:c>
      <x:c r="M45" s="22"/>
      <x:c r="N45" s="22"/>
      <x:c r="O45" s="28"/>
      <x:c r="P45" s="22"/>
      <x:c r="Q45" s="22"/>
      <x:c r="R45" s="28"/>
      <x:c r="S45" s="22"/>
      <x:c r="T45" s="37" t="n">
        <x:f>MIN(K45,AT45)</x:f>
        <x:v>0.039081323040488704</x:v>
      </x:c>
      <x:c r="U45" s="21" t="str">
        <x:f>IF(J45="Рассчитано",N45*(1-O45/100),"н/д")</x:f>
        <x:v>н/д</x:v>
      </x:c>
      <x:c r="V45" s="21" t="str">
        <x:f>IF(J45="Рассчитано",T45*U45,"н/д")</x:f>
        <x:v>н/д</x:v>
      </x:c>
      <x:c r="W45" s="21" t="str">
        <x:f>IF(J45="Рассчитано",T45*M45,"н/д")</x:f>
        <x:v>н/д</x:v>
      </x:c>
      <x:c r="X45" s="21" t="str">
        <x:f>IF(J45="Рассчитано",V45-W45,"н/д")</x:f>
        <x:v>н/д</x:v>
      </x:c>
      <x:c r="Y45" s="27" t="str">
        <x:f>IF(J45="Рассчитано",IF(V45&gt;0,G45/V45,"н/д"),"н/д")</x:f>
        <x:v>н/д</x:v>
      </x:c>
      <x:c r="Z45" s="21" t="str">
        <x:f>IF(J45="Рассчитано",K45*M45,"н/д")</x:f>
        <x:v>н/д</x:v>
      </x:c>
      <x:c r="AA45" s="21" t="str">
        <x:f>IF(J45="Рассчитано",(K45-T45)*M45,"н/д")</x:f>
        <x:v>н/д</x:v>
      </x:c>
      <x:c r="AB45" s="21" t="str">
        <x:f>IF(AND(J45="Рассчитано",ISNUMBER(S45)),K45*(S45-M45),"н/д")</x:f>
        <x:v>н/д</x:v>
      </x:c>
      <x:c r="AC45" s="21" t="str">
        <x:f>IF(AND(J45="Рассчитано",T45&gt;0,R45&lt;100),(W45+P45+Q45)/(T45*(1-R45/100)),"н/д")</x:f>
        <x:v>н/д</x:v>
      </x:c>
      <x:c r="AD45" s="10" t="str">
        <x:f>IF(ISNUMBER(G45),IF(G45&lt;0,"Убыток",IF(G45=0,"Без прибыли","Прибыль &gt; 0")),"Не оценён")</x:f>
        <x:v>Не оценён</x:v>
      </x:c>
      <x:c r="AE45" s="13" t="str">
        <x:f>IF(J45="Рассчитано","Выручка "&amp;TEXT(V45,"0.00")&amp;" - себестоимость "&amp;TEXT(W45,"0.00")&amp;" - комиссия "&amp;TEXT(V45*R45/100,"0.00")&amp;" - доставка "&amp;TEXT(P45,"0.00")&amp;" - прочие "&amp;TEXT(Q45,"0.00")&amp;" = "&amp;TEXT(G45,"0.00")&amp;" "&amp;L45,"Введите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5" s="24" t="n">
        <x:v>0.039081323040488704</x:v>
      </x:c>
      <x:c r="AG45" s="37" t="n">
        <x:v>0</x:v>
      </x:c>
      <x:c r="AH45" s="37" t="n">
        <x:v>0</x:v>
      </x:c>
      <x:c r="AI45" s="30" t="n">
        <x:v>46266</x:v>
      </x:c>
      <x:c r="AJ45" s="37"/>
      <x:c r="AK45" s="10" t="str">
        <x:v>неизвестно</x:v>
      </x:c>
      <x:c r="AL45" s="32" t="n">
        <x:v>0</x:v>
      </x:c>
      <x:c r="AM45" s="13" t="str">
        <x:v>Остаток на начало сентября; Резервы неизвестны; Нет ежедневных данных доступности. Нет запаса</x:v>
      </x:c>
      <x:c r="AN45" s="13" t="str">
        <x:v>Подтвердить наличие, срок и цену закупки</x:v>
      </x:c>
      <x:c r="AO45" s="13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45" s="13" t="str">
        <x:v>["blank_stock_assumed_zero", "category_missing", "daily_stockout_data_missing", "moq_missing", "new_order_lead_time_unknown", "reservations_unknown", "stale_stock"]</x:v>
      </x:c>
      <x:c r="AQ45" s="10" t="str">
        <x:v>IEK:011100069_</x:v>
      </x:c>
      <x:c r="AR45" s="24" t="n">
        <x:v>1</x:v>
      </x:c>
      <x:c r="AS45" s="24" t="n">
        <x:f>MAX(0,ROUNDUP(MAX(0,AF45-AG45-AH45)/AR45-0.000000001,0)*AR45)</x:f>
        <x:v>1</x:v>
      </x:c>
      <x:c r="AT45" s="24" t="n">
        <x:v>0.039081323040488704</x:v>
      </x:c>
    </x:row>
    <x:row r="46" ht="64" customHeight="1">
      <x:c r="A46" s="11" t="str">
        <x:v>IEK</x:v>
      </x:c>
      <x:c r="B46" s="33" t="str">
        <x:v>011100098_</x:v>
      </x:c>
      <x:c r="C46" s="33" t="str">
        <x:v>IVS20-1-01500</x:v>
      </x:c>
      <x:c r="D46" s="12" t="str">
        <x:v>Стаб электрон СНР 1-0-1,5 кВА (1ф) переносной IEK (4)</x:v>
      </x:c>
      <x:c r="E46" s="11" t="str">
        <x:v>шт</x:v>
      </x:c>
      <x:c r="F46" s="35" t="n">
        <x:f>AS46</x:f>
        <x:v>1</x:v>
      </x:c>
      <x:c r="G46" s="20" t="str">
        <x:f>IF(J46="Рассчитано",V46*(1-R46/100)-W46-P46-Q46,"н/д")</x:f>
        <x:v>н/д</x:v>
      </x:c>
      <x:c r="H46" s="12" t="str">
        <x:v>Высокий</x:v>
      </x:c>
      <x:c r="I46" s="12" t="str">
        <x:v>Критический</x:v>
      </x:c>
      <x:c r="J46" s="12" t="str">
        <x:f>IF(L46="","Укажите валюту",IF(NOT(ISNUMBER(K46)),"Укажите объём",IF(K46&lt;=0,"Укажите объём",IF(COUNT(M46:O46)&lt;3,"Нужны цены",IF(COUNT(P46:R46)&lt;3,"Нужны расходы",IF(OR(M46&lt;0,N46&lt;0,O46&lt;0,O46&gt;100,P46&lt;0,Q46&lt;0,R46&lt;0,R46&gt;100),"Проверьте значения","Рассчитано"))))))</x:f>
        <x:v>Нужны цены</x:v>
      </x:c>
      <x:c r="K46" s="36" t="n">
        <x:v>1</x:v>
      </x:c>
      <x:c r="L46" s="19" t="str">
        <x:v>KZT</x:v>
      </x:c>
      <x:c r="M46" s="22"/>
      <x:c r="N46" s="22"/>
      <x:c r="O46" s="28"/>
      <x:c r="P46" s="22"/>
      <x:c r="Q46" s="22"/>
      <x:c r="R46" s="28"/>
      <x:c r="S46" s="22"/>
      <x:c r="T46" s="35" t="n">
        <x:f>MIN(K46,AT46)</x:f>
        <x:v>0.035646968637373676</x:v>
      </x:c>
      <x:c r="U46" s="20" t="str">
        <x:f>IF(J46="Рассчитано",N46*(1-O46/100),"н/д")</x:f>
        <x:v>н/д</x:v>
      </x:c>
      <x:c r="V46" s="20" t="str">
        <x:f>IF(J46="Рассчитано",T46*U46,"н/д")</x:f>
        <x:v>н/д</x:v>
      </x:c>
      <x:c r="W46" s="20" t="str">
        <x:f>IF(J46="Рассчитано",T46*M46,"н/д")</x:f>
        <x:v>н/д</x:v>
      </x:c>
      <x:c r="X46" s="20" t="str">
        <x:f>IF(J46="Рассчитано",V46-W46,"н/д")</x:f>
        <x:v>н/д</x:v>
      </x:c>
      <x:c r="Y46" s="26" t="str">
        <x:f>IF(J46="Рассчитано",IF(V46&gt;0,G46/V46,"н/д"),"н/д")</x:f>
        <x:v>н/д</x:v>
      </x:c>
      <x:c r="Z46" s="20" t="str">
        <x:f>IF(J46="Рассчитано",K46*M46,"н/д")</x:f>
        <x:v>н/д</x:v>
      </x:c>
      <x:c r="AA46" s="20" t="str">
        <x:f>IF(J46="Рассчитано",(K46-T46)*M46,"н/д")</x:f>
        <x:v>н/д</x:v>
      </x:c>
      <x:c r="AB46" s="20" t="str">
        <x:f>IF(AND(J46="Рассчитано",ISNUMBER(S46)),K46*(S46-M46),"н/д")</x:f>
        <x:v>н/д</x:v>
      </x:c>
      <x:c r="AC46" s="20" t="str">
        <x:f>IF(AND(J46="Рассчитано",T46&gt;0,R46&lt;100),(W46+P46+Q46)/(T46*(1-R46/100)),"н/д")</x:f>
        <x:v>н/д</x:v>
      </x:c>
      <x:c r="AD46" s="11" t="str">
        <x:f>IF(ISNUMBER(G46),IF(G46&lt;0,"Убыток",IF(G46=0,"Без прибыли","Прибыль &gt; 0")),"Не оценён")</x:f>
        <x:v>Не оценён</x:v>
      </x:c>
      <x:c r="AE46" s="12" t="str">
        <x:f>IF(J46="Рассчитано","Выручка "&amp;TEXT(V46,"0.00")&amp;" - себестоимость "&amp;TEXT(W46,"0.00")&amp;" - комиссия "&amp;TEXT(V46*R46/100,"0.00")&amp;" - доставка "&amp;TEXT(P46,"0.00")&amp;" - прочие "&amp;TEXT(Q46,"0.00")&amp;" = "&amp;TEXT(G46,"0.00")&amp;" "&amp;L46,"Введите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6" s="23" t="n">
        <x:v>0.035646968637373676</x:v>
      </x:c>
      <x:c r="AG46" s="35" t="n">
        <x:v>0</x:v>
      </x:c>
      <x:c r="AH46" s="35" t="n">
        <x:v>0</x:v>
      </x:c>
      <x:c r="AI46" s="29" t="n">
        <x:v>46266</x:v>
      </x:c>
      <x:c r="AJ46" s="35"/>
      <x:c r="AK46" s="11" t="str">
        <x:v>неизвестно</x:v>
      </x:c>
      <x:c r="AL46" s="31" t="n">
        <x:v>0</x:v>
      </x:c>
      <x:c r="AM46" s="12" t="str">
        <x:v>Остаток на начало сентября; Резервы неизвестны; Нет ежедневных данных доступности. Нет запаса</x:v>
      </x:c>
      <x:c r="AN46" s="12" t="str">
        <x:v>Подтвердить наличие, срок и цену закупки</x:v>
      </x:c>
      <x:c r="AO46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46" s="12" t="str">
        <x:v>["blank_stock_assumed_zero", "category_missing", "daily_stockout_data_missing", "moq_missing", "new_order_lead_time_unknown", "reservations_unknown", "stale_stock"]</x:v>
      </x:c>
      <x:c r="AQ46" s="11" t="str">
        <x:v>IEK:011100098_</x:v>
      </x:c>
      <x:c r="AR46" s="23" t="n">
        <x:v>1</x:v>
      </x:c>
      <x:c r="AS46" s="23" t="n">
        <x:f>MAX(0,ROUNDUP(MAX(0,AF46-AG46-AH46)/AR46-0.000000001,0)*AR46)</x:f>
        <x:v>1</x:v>
      </x:c>
      <x:c r="AT46" s="23" t="n">
        <x:v>0.035646968637373676</x:v>
      </x:c>
    </x:row>
    <x:row r="47" ht="64" customHeight="1">
      <x:c r="A47" s="10" t="str">
        <x:v>IEK</x:v>
      </x:c>
      <x:c r="B47" s="34" t="str">
        <x:v>011100354_</x:v>
      </x:c>
      <x:c r="C47" s="34"/>
      <x:c r="D47" s="13" t="str">
        <x:v>Стабилизатор напряжения серии HOME 0,5 кВА (СНР1-0-0,5) IEK E-PRO</x:v>
      </x:c>
      <x:c r="E47" s="10" t="str">
        <x:v>шт</x:v>
      </x:c>
      <x:c r="F47" s="37" t="n">
        <x:f>AS47</x:f>
        <x:v>1</x:v>
      </x:c>
      <x:c r="G47" s="21" t="str">
        <x:f>IF(J47="Рассчитано",V47*(1-R47/100)-W47-P47-Q47,"н/д")</x:f>
        <x:v>н/д</x:v>
      </x:c>
      <x:c r="H47" s="13" t="str">
        <x:v>Высокий</x:v>
      </x:c>
      <x:c r="I47" s="13" t="str">
        <x:v>Критический</x:v>
      </x:c>
      <x:c r="J47" s="13" t="str">
        <x:f>IF(L47="","Укажите валюту",IF(NOT(ISNUMBER(K47)),"Укажите объём",IF(K47&lt;=0,"Укажите объём",IF(COUNT(M47:O47)&lt;3,"Нужны цены",IF(COUNT(P47:R47)&lt;3,"Нужны расходы",IF(OR(M47&lt;0,N47&lt;0,O47&lt;0,O47&gt;100,P47&lt;0,Q47&lt;0,R47&lt;0,R47&gt;100),"Проверьте значения","Рассчитано"))))))</x:f>
        <x:v>Нужны цены</x:v>
      </x:c>
      <x:c r="K47" s="36" t="n">
        <x:v>1</x:v>
      </x:c>
      <x:c r="L47" s="19" t="str">
        <x:v>KZT</x:v>
      </x:c>
      <x:c r="M47" s="22"/>
      <x:c r="N47" s="22"/>
      <x:c r="O47" s="28"/>
      <x:c r="P47" s="22"/>
      <x:c r="Q47" s="22"/>
      <x:c r="R47" s="28"/>
      <x:c r="S47" s="22"/>
      <x:c r="T47" s="37" t="n">
        <x:f>MIN(K47,AT47)</x:f>
        <x:v>0.037954485469607675</x:v>
      </x:c>
      <x:c r="U47" s="21" t="str">
        <x:f>IF(J47="Рассчитано",N47*(1-O47/100),"н/д")</x:f>
        <x:v>н/д</x:v>
      </x:c>
      <x:c r="V47" s="21" t="str">
        <x:f>IF(J47="Рассчитано",T47*U47,"н/д")</x:f>
        <x:v>н/д</x:v>
      </x:c>
      <x:c r="W47" s="21" t="str">
        <x:f>IF(J47="Рассчитано",T47*M47,"н/д")</x:f>
        <x:v>н/д</x:v>
      </x:c>
      <x:c r="X47" s="21" t="str">
        <x:f>IF(J47="Рассчитано",V47-W47,"н/д")</x:f>
        <x:v>н/д</x:v>
      </x:c>
      <x:c r="Y47" s="27" t="str">
        <x:f>IF(J47="Рассчитано",IF(V47&gt;0,G47/V47,"н/д"),"н/д")</x:f>
        <x:v>н/д</x:v>
      </x:c>
      <x:c r="Z47" s="21" t="str">
        <x:f>IF(J47="Рассчитано",K47*M47,"н/д")</x:f>
        <x:v>н/д</x:v>
      </x:c>
      <x:c r="AA47" s="21" t="str">
        <x:f>IF(J47="Рассчитано",(K47-T47)*M47,"н/д")</x:f>
        <x:v>н/д</x:v>
      </x:c>
      <x:c r="AB47" s="21" t="str">
        <x:f>IF(AND(J47="Рассчитано",ISNUMBER(S47)),K47*(S47-M47),"н/д")</x:f>
        <x:v>н/д</x:v>
      </x:c>
      <x:c r="AC47" s="21" t="str">
        <x:f>IF(AND(J47="Рассчитано",T47&gt;0,R47&lt;100),(W47+P47+Q47)/(T47*(1-R47/100)),"н/д")</x:f>
        <x:v>н/д</x:v>
      </x:c>
      <x:c r="AD47" s="10" t="str">
        <x:f>IF(ISNUMBER(G47),IF(G47&lt;0,"Убыток",IF(G47=0,"Без прибыли","Прибыль &gt; 0")),"Не оценён")</x:f>
        <x:v>Не оценён</x:v>
      </x:c>
      <x:c r="AE47" s="13" t="str">
        <x:f>IF(J47="Рассчитано","Выручка "&amp;TEXT(V47,"0.00")&amp;" - себестоимость "&amp;TEXT(W47,"0.00")&amp;" - комиссия "&amp;TEXT(V47*R47/100,"0.00")&amp;" - доставка "&amp;TEXT(P47,"0.00")&amp;" - прочие "&amp;TEXT(Q47,"0.00")&amp;" = "&amp;TEXT(G47,"0.00")&amp;" "&amp;L47,"Введите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7" s="24" t="n">
        <x:v>0.037954485469607675</x:v>
      </x:c>
      <x:c r="AG47" s="37" t="n">
        <x:v>0</x:v>
      </x:c>
      <x:c r="AH47" s="37" t="n">
        <x:v>0</x:v>
      </x:c>
      <x:c r="AI47" s="30" t="n">
        <x:v>46266</x:v>
      </x:c>
      <x:c r="AJ47" s="37"/>
      <x:c r="AK47" s="10" t="str">
        <x:v>неизвестно</x:v>
      </x:c>
      <x:c r="AL47" s="32" t="n">
        <x:v>0</x:v>
      </x:c>
      <x:c r="AM47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47" s="13" t="str">
        <x:v>Подтвердить наличие, срок и цену закупки</x:v>
      </x:c>
      <x:c r="AO47" s="13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47" s="13" t="str">
        <x:v>["blank_stock_assumed_zero", "category_missing", "daily_stockout_data_missing", "moq_missing", "negative_net_sales_clipped_for_forecast", "new_order_lead_time_unknown", "reservations_unknown", "stale_stock", "supplier_sku_missing"]</x:v>
      </x:c>
      <x:c r="AQ47" s="10" t="str">
        <x:v>IEK:011100354_</x:v>
      </x:c>
      <x:c r="AR47" s="24" t="n">
        <x:v>1</x:v>
      </x:c>
      <x:c r="AS47" s="24" t="n">
        <x:f>MAX(0,ROUNDUP(MAX(0,AF47-AG47-AH47)/AR47-0.000000001,0)*AR47)</x:f>
        <x:v>1</x:v>
      </x:c>
      <x:c r="AT47" s="24" t="n">
        <x:v>0.037954485469607675</x:v>
      </x:c>
    </x:row>
    <x:row r="48" ht="64" customHeight="1">
      <x:c r="A48" s="11" t="str">
        <x:v>IEK</x:v>
      </x:c>
      <x:c r="B48" s="33" t="str">
        <x:v>020300080_</x:v>
      </x:c>
      <x:c r="C48" s="33"/>
      <x:c r="D48" s="12" t="str">
        <x:v>Распред. блок на DIN-рейку РБД-250А IEK</x:v>
      </x:c>
      <x:c r="E48" s="11" t="str">
        <x:v>шт</x:v>
      </x:c>
      <x:c r="F48" s="35" t="n">
        <x:f>AS48</x:f>
        <x:v>7</x:v>
      </x:c>
      <x:c r="G48" s="20" t="str">
        <x:f>IF(J48="Рассчитано",V48*(1-R48/100)-W48-P48-Q48,"н/д")</x:f>
        <x:v>н/д</x:v>
      </x:c>
      <x:c r="H48" s="12" t="str">
        <x:v>Высокий</x:v>
      </x:c>
      <x:c r="I48" s="12" t="str">
        <x:v>Критический</x:v>
      </x:c>
      <x:c r="J48" s="12" t="str">
        <x:f>IF(L48="","Укажите валюту",IF(NOT(ISNUMBER(K48)),"Укажите объём",IF(K48&lt;=0,"Укажите объём",IF(COUNT(M48:O48)&lt;3,"Нужны цены",IF(COUNT(P48:R48)&lt;3,"Нужны расходы",IF(OR(M48&lt;0,N48&lt;0,O48&lt;0,O48&gt;100,P48&lt;0,Q48&lt;0,R48&lt;0,R48&gt;100),"Проверьте значения","Рассчитано"))))))</x:f>
        <x:v>Нужны цены</x:v>
      </x:c>
      <x:c r="K48" s="36" t="n">
        <x:v>7</x:v>
      </x:c>
      <x:c r="L48" s="19" t="str">
        <x:v>KZT</x:v>
      </x:c>
      <x:c r="M48" s="22"/>
      <x:c r="N48" s="22"/>
      <x:c r="O48" s="28"/>
      <x:c r="P48" s="22"/>
      <x:c r="Q48" s="22"/>
      <x:c r="R48" s="28"/>
      <x:c r="S48" s="22"/>
      <x:c r="T48" s="35" t="n">
        <x:f>MIN(K48,AT48)</x:f>
        <x:v>6.8476458218591185</x:v>
      </x:c>
      <x:c r="U48" s="20" t="str">
        <x:f>IF(J48="Рассчитано",N48*(1-O48/100),"н/д")</x:f>
        <x:v>н/д</x:v>
      </x:c>
      <x:c r="V48" s="20" t="str">
        <x:f>IF(J48="Рассчитано",T48*U48,"н/д")</x:f>
        <x:v>н/д</x:v>
      </x:c>
      <x:c r="W48" s="20" t="str">
        <x:f>IF(J48="Рассчитано",T48*M48,"н/д")</x:f>
        <x:v>н/д</x:v>
      </x:c>
      <x:c r="X48" s="20" t="str">
        <x:f>IF(J48="Рассчитано",V48-W48,"н/д")</x:f>
        <x:v>н/д</x:v>
      </x:c>
      <x:c r="Y48" s="26" t="str">
        <x:f>IF(J48="Рассчитано",IF(V48&gt;0,G48/V48,"н/д"),"н/д")</x:f>
        <x:v>н/д</x:v>
      </x:c>
      <x:c r="Z48" s="20" t="str">
        <x:f>IF(J48="Рассчитано",K48*M48,"н/д")</x:f>
        <x:v>н/д</x:v>
      </x:c>
      <x:c r="AA48" s="20" t="str">
        <x:f>IF(J48="Рассчитано",(K48-T48)*M48,"н/д")</x:f>
        <x:v>н/д</x:v>
      </x:c>
      <x:c r="AB48" s="20" t="str">
        <x:f>IF(AND(J48="Рассчитано",ISNUMBER(S48)),K48*(S48-M48),"н/д")</x:f>
        <x:v>н/д</x:v>
      </x:c>
      <x:c r="AC48" s="20" t="str">
        <x:f>IF(AND(J48="Рассчитано",T48&gt;0,R48&lt;100),(W48+P48+Q48)/(T48*(1-R48/100)),"н/д")</x:f>
        <x:v>н/д</x:v>
      </x:c>
      <x:c r="AD48" s="11" t="str">
        <x:f>IF(ISNUMBER(G48),IF(G48&lt;0,"Убыток",IF(G48=0,"Без прибыли","Прибыль &gt; 0")),"Не оценён")</x:f>
        <x:v>Не оценён</x:v>
      </x:c>
      <x:c r="AE48" s="12" t="str">
        <x:f>IF(J48="Рассчитано","Выручка "&amp;TEXT(V48,"0.00")&amp;" - себестоимость "&amp;TEXT(W48,"0.00")&amp;" - комиссия "&amp;TEXT(V48*R48/100,"0.00")&amp;" - доставка "&amp;TEXT(P48,"0.00")&amp;" - прочие "&amp;TEXT(Q48,"0.00")&amp;" = "&amp;TEXT(G48,"0.00")&amp;" "&amp;L48,"Введите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8" s="23" t="n">
        <x:v>7.8476458218591185</x:v>
      </x:c>
      <x:c r="AG48" s="35" t="n">
        <x:v>1</x:v>
      </x:c>
      <x:c r="AH48" s="35" t="n">
        <x:v>0</x:v>
      </x:c>
      <x:c r="AI48" s="29" t="n">
        <x:v>46266</x:v>
      </x:c>
      <x:c r="AJ48" s="35"/>
      <x:c r="AK48" s="11" t="str">
        <x:v>неизвестно</x:v>
      </x:c>
      <x:c r="AL48" s="31" t="n">
        <x:v>3.822802491472909</x:v>
      </x:c>
      <x:c r="AM48" s="12" t="str">
        <x:v>Остаток на начало сентября; Резервы неизвестны; Нет артикула производителя; Нет ежедневных данных доступности. Запаса примерно на 3.8 дн. без поступлений</x:v>
      </x:c>
      <x:c r="AN48" s="12" t="str">
        <x:v>Подтвердить наличие, срок и цену закупки</x:v>
      </x:c>
      <x:c r="AO48" s="12" t="str">
        <x:v>Прогноз 30 дней 7.85; остаток 1; поступления в срок 0; нехватка 7; заказ с учётом MOQ 7 шт. Остаток на начало сентября: требуется актуализация.</x:v>
      </x:c>
      <x:c r="AP48" s="12" t="str">
        <x:v>["category_missing", "daily_stockout_data_missing", "moq_missing", "new_order_lead_time_unknown", "reservations_unknown", "stale_stock", "supplier_sku_missing"]</x:v>
      </x:c>
      <x:c r="AQ48" s="11" t="str">
        <x:v>IEK:020300080_</x:v>
      </x:c>
      <x:c r="AR48" s="23" t="n">
        <x:v>1</x:v>
      </x:c>
      <x:c r="AS48" s="23" t="n">
        <x:f>MAX(0,ROUNDUP(MAX(0,AF48-AG48-AH48)/AR48-0.000000001,0)*AR48)</x:f>
        <x:v>7</x:v>
      </x:c>
      <x:c r="AT48" s="23" t="n">
        <x:v>6.8476458218591185</x:v>
      </x:c>
    </x:row>
    <x:row r="49" ht="64" customHeight="1">
      <x:c r="A49" s="10" t="str">
        <x:v>IEK</x:v>
      </x:c>
      <x:c r="B49" s="34" t="str">
        <x:v>020300082_</x:v>
      </x:c>
      <x:c r="C49" s="34"/>
      <x:c r="D49" s="13" t="str">
        <x:v>Распред. блок на DIN-рейку РБД- 80А IEK</x:v>
      </x:c>
      <x:c r="E49" s="10" t="str">
        <x:v>шт</x:v>
      </x:c>
      <x:c r="F49" s="37" t="n">
        <x:f>AS49</x:f>
        <x:v>1</x:v>
      </x:c>
      <x:c r="G49" s="21" t="str">
        <x:f>IF(J49="Рассчитано",V49*(1-R49/100)-W49-P49-Q49,"н/д")</x:f>
        <x:v>н/д</x:v>
      </x:c>
      <x:c r="H49" s="13" t="str">
        <x:v>Высокий</x:v>
      </x:c>
      <x:c r="I49" s="13" t="str">
        <x:v>Критический</x:v>
      </x:c>
      <x:c r="J49" s="13" t="str">
        <x:f>IF(L49="","Укажите валюту",IF(NOT(ISNUMBER(K49)),"Укажите объём",IF(K49&lt;=0,"Укажите объём",IF(COUNT(M49:O49)&lt;3,"Нужны цены",IF(COUNT(P49:R49)&lt;3,"Нужны расходы",IF(OR(M49&lt;0,N49&lt;0,O49&lt;0,O49&gt;100,P49&lt;0,Q49&lt;0,R49&lt;0,R49&gt;100),"Проверьте значения","Рассчитано"))))))</x:f>
        <x:v>Нужны цены</x:v>
      </x:c>
      <x:c r="K49" s="36" t="n">
        <x:v>1</x:v>
      </x:c>
      <x:c r="L49" s="19" t="str">
        <x:v>KZT</x:v>
      </x:c>
      <x:c r="M49" s="22"/>
      <x:c r="N49" s="22"/>
      <x:c r="O49" s="28"/>
      <x:c r="P49" s="22"/>
      <x:c r="Q49" s="22"/>
      <x:c r="R49" s="28"/>
      <x:c r="S49" s="22"/>
      <x:c r="T49" s="37" t="n">
        <x:f>MIN(K49,AT49)</x:f>
        <x:v>0.07129393727474735</x:v>
      </x:c>
      <x:c r="U49" s="21" t="str">
        <x:f>IF(J49="Рассчитано",N49*(1-O49/100),"н/д")</x:f>
        <x:v>н/д</x:v>
      </x:c>
      <x:c r="V49" s="21" t="str">
        <x:f>IF(J49="Рассчитано",T49*U49,"н/д")</x:f>
        <x:v>н/д</x:v>
      </x:c>
      <x:c r="W49" s="21" t="str">
        <x:f>IF(J49="Рассчитано",T49*M49,"н/д")</x:f>
        <x:v>н/д</x:v>
      </x:c>
      <x:c r="X49" s="21" t="str">
        <x:f>IF(J49="Рассчитано",V49-W49,"н/д")</x:f>
        <x:v>н/д</x:v>
      </x:c>
      <x:c r="Y49" s="27" t="str">
        <x:f>IF(J49="Рассчитано",IF(V49&gt;0,G49/V49,"н/д"),"н/д")</x:f>
        <x:v>н/д</x:v>
      </x:c>
      <x:c r="Z49" s="21" t="str">
        <x:f>IF(J49="Рассчитано",K49*M49,"н/д")</x:f>
        <x:v>н/д</x:v>
      </x:c>
      <x:c r="AA49" s="21" t="str">
        <x:f>IF(J49="Рассчитано",(K49-T49)*M49,"н/д")</x:f>
        <x:v>н/д</x:v>
      </x:c>
      <x:c r="AB49" s="21" t="str">
        <x:f>IF(AND(J49="Рассчитано",ISNUMBER(S49)),K49*(S49-M49),"н/д")</x:f>
        <x:v>н/д</x:v>
      </x:c>
      <x:c r="AC49" s="21" t="str">
        <x:f>IF(AND(J49="Рассчитано",T49&gt;0,R49&lt;100),(W49+P49+Q49)/(T49*(1-R49/100)),"н/д")</x:f>
        <x:v>н/д</x:v>
      </x:c>
      <x:c r="AD49" s="10" t="str">
        <x:f>IF(ISNUMBER(G49),IF(G49&lt;0,"Убыток",IF(G49=0,"Без прибыли","Прибыль &gt; 0")),"Не оценён")</x:f>
        <x:v>Не оценён</x:v>
      </x:c>
      <x:c r="AE49" s="13" t="str">
        <x:f>IF(J49="Рассчитано","Выручка "&amp;TEXT(V49,"0.00")&amp;" - себестоимость "&amp;TEXT(W49,"0.00")&amp;" - комиссия "&amp;TEXT(V49*R49/100,"0.00")&amp;" - доставка "&amp;TEXT(P49,"0.00")&amp;" - прочие "&amp;TEXT(Q49,"0.00")&amp;" = "&amp;TEXT(G49,"0.00")&amp;" "&amp;L49,"Введите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49" s="24" t="n">
        <x:v>0.07129393727474735</x:v>
      </x:c>
      <x:c r="AG49" s="37" t="n">
        <x:v>0</x:v>
      </x:c>
      <x:c r="AH49" s="37" t="n">
        <x:v>0</x:v>
      </x:c>
      <x:c r="AI49" s="30" t="n">
        <x:v>46266</x:v>
      </x:c>
      <x:c r="AJ49" s="37"/>
      <x:c r="AK49" s="10" t="str">
        <x:v>неизвестно</x:v>
      </x:c>
      <x:c r="AL49" s="32" t="n">
        <x:v>0</x:v>
      </x:c>
      <x:c r="AM49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49" s="13" t="str">
        <x:v>Подтвердить наличие, срок и цену закупки</x:v>
      </x:c>
      <x:c r="AO49" s="13" t="str">
        <x:v>Прогноз 30 дней 0.07; остаток 0; поступления в срок 0; нехватка 1; заказ с учётом MOQ 1 шт. Остаток на начало сентября: требуется актуализация.</x:v>
      </x:c>
      <x:c r="AP49" s="13" t="str">
        <x:v>["blank_stock_assumed_zero", "category_missing", "daily_stockout_data_missing", "moq_missing", "new_order_lead_time_unknown", "reservations_unknown", "stale_stock", "supplier_sku_missing"]</x:v>
      </x:c>
      <x:c r="AQ49" s="10" t="str">
        <x:v>IEK:020300082_</x:v>
      </x:c>
      <x:c r="AR49" s="24" t="n">
        <x:v>1</x:v>
      </x:c>
      <x:c r="AS49" s="24" t="n">
        <x:f>MAX(0,ROUNDUP(MAX(0,AF49-AG49-AH49)/AR49-0.000000001,0)*AR49)</x:f>
        <x:v>1</x:v>
      </x:c>
      <x:c r="AT49" s="24" t="n">
        <x:v>0.07129393727474735</x:v>
      </x:c>
    </x:row>
    <x:row r="50" ht="64" customHeight="1">
      <x:c r="A50" s="11" t="str">
        <x:v>IEK</x:v>
      </x:c>
      <x:c r="B50" s="33" t="str">
        <x:v>020300088_</x:v>
      </x:c>
      <x:c r="C50" s="33"/>
      <x:c r="D50" s="12" t="str">
        <x:v>Распред. блок на DIN-рейку РБД-160А IEK</x:v>
      </x:c>
      <x:c r="E50" s="11" t="str">
        <x:v>шт</x:v>
      </x:c>
      <x:c r="F50" s="35" t="n">
        <x:f>AS50</x:f>
        <x:v>3</x:v>
      </x:c>
      <x:c r="G50" s="20" t="str">
        <x:f>IF(J50="Рассчитано",V50*(1-R50/100)-W50-P50-Q50,"н/д")</x:f>
        <x:v>н/д</x:v>
      </x:c>
      <x:c r="H50" s="12" t="str">
        <x:v>Высокий</x:v>
      </x:c>
      <x:c r="I50" s="12" t="str">
        <x:v>Критический</x:v>
      </x:c>
      <x:c r="J50" s="12" t="str">
        <x:f>IF(L50="","Укажите валюту",IF(NOT(ISNUMBER(K50)),"Укажите объём",IF(K50&lt;=0,"Укажите объём",IF(COUNT(M50:O50)&lt;3,"Нужны цены",IF(COUNT(P50:R50)&lt;3,"Нужны расходы",IF(OR(M50&lt;0,N50&lt;0,O50&lt;0,O50&gt;100,P50&lt;0,Q50&lt;0,R50&lt;0,R50&gt;100),"Проверьте значения","Рассчитано"))))))</x:f>
        <x:v>Нужны цены</x:v>
      </x:c>
      <x:c r="K50" s="36" t="n">
        <x:v>3</x:v>
      </x:c>
      <x:c r="L50" s="19" t="str">
        <x:v>KZT</x:v>
      </x:c>
      <x:c r="M50" s="22"/>
      <x:c r="N50" s="22"/>
      <x:c r="O50" s="28"/>
      <x:c r="P50" s="22"/>
      <x:c r="Q50" s="22"/>
      <x:c r="R50" s="28"/>
      <x:c r="S50" s="22"/>
      <x:c r="T50" s="35" t="n">
        <x:f>MIN(K50,AT50)</x:f>
        <x:v>2.002464068242689</x:v>
      </x:c>
      <x:c r="U50" s="20" t="str">
        <x:f>IF(J50="Рассчитано",N50*(1-O50/100),"н/д")</x:f>
        <x:v>н/д</x:v>
      </x:c>
      <x:c r="V50" s="20" t="str">
        <x:f>IF(J50="Рассчитано",T50*U50,"н/д")</x:f>
        <x:v>н/д</x:v>
      </x:c>
      <x:c r="W50" s="20" t="str">
        <x:f>IF(J50="Рассчитано",T50*M50,"н/д")</x:f>
        <x:v>н/д</x:v>
      </x:c>
      <x:c r="X50" s="20" t="str">
        <x:f>IF(J50="Рассчитано",V50-W50,"н/д")</x:f>
        <x:v>н/д</x:v>
      </x:c>
      <x:c r="Y50" s="26" t="str">
        <x:f>IF(J50="Рассчитано",IF(V50&gt;0,G50/V50,"н/д"),"н/д")</x:f>
        <x:v>н/д</x:v>
      </x:c>
      <x:c r="Z50" s="20" t="str">
        <x:f>IF(J50="Рассчитано",K50*M50,"н/д")</x:f>
        <x:v>н/д</x:v>
      </x:c>
      <x:c r="AA50" s="20" t="str">
        <x:f>IF(J50="Рассчитано",(K50-T50)*M50,"н/д")</x:f>
        <x:v>н/д</x:v>
      </x:c>
      <x:c r="AB50" s="20" t="str">
        <x:f>IF(AND(J50="Рассчитано",ISNUMBER(S50)),K50*(S50-M50),"н/д")</x:f>
        <x:v>н/д</x:v>
      </x:c>
      <x:c r="AC50" s="20" t="str">
        <x:f>IF(AND(J50="Рассчитано",T50&gt;0,R50&lt;100),(W50+P50+Q50)/(T50*(1-R50/100)),"н/д")</x:f>
        <x:v>н/д</x:v>
      </x:c>
      <x:c r="AD50" s="11" t="str">
        <x:f>IF(ISNUMBER(G50),IF(G50&lt;0,"Убыток",IF(G50=0,"Без прибыли","Прибыль &gt; 0")),"Не оценён")</x:f>
        <x:v>Не оценён</x:v>
      </x:c>
      <x:c r="AE50" s="12" t="str">
        <x:f>IF(J50="Рассчитано","Выручка "&amp;TEXT(V50,"0.00")&amp;" - себестоимость "&amp;TEXT(W50,"0.00")&amp;" - комиссия "&amp;TEXT(V50*R50/100,"0.00")&amp;" - доставка "&amp;TEXT(P50,"0.00")&amp;" - прочие "&amp;TEXT(Q50,"0.00")&amp;" = "&amp;TEXT(G50,"0.00")&amp;" "&amp;L50,"Введите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0" s="23" t="n">
        <x:v>2.002464068242689</x:v>
      </x:c>
      <x:c r="AG50" s="35" t="n">
        <x:v>0</x:v>
      </x:c>
      <x:c r="AH50" s="35" t="n">
        <x:v>0</x:v>
      </x:c>
      <x:c r="AI50" s="29" t="n">
        <x:v>46266</x:v>
      </x:c>
      <x:c r="AJ50" s="35"/>
      <x:c r="AK50" s="11" t="str">
        <x:v>неизвестно</x:v>
      </x:c>
      <x:c r="AL50" s="31" t="n">
        <x:v>0</x:v>
      </x:c>
      <x:c r="AM50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50" s="12" t="str">
        <x:v>Подтвердить наличие, срок и цену закупки</x:v>
      </x:c>
      <x:c r="AO50" s="12" t="str">
        <x:v>Прогноз 30 дней 2.00; остаток 0; поступления в срок 0; нехватка 3; заказ с учётом MOQ 3 шт. Остаток на начало сентября: требуется актуализация.</x:v>
      </x:c>
      <x:c r="AP50" s="12" t="str">
        <x:v>["blank_stock_assumed_zero", "category_missing", "daily_stockout_data_missing", "moq_missing", "new_order_lead_time_unknown", "reservations_unknown", "stale_stock", "stockout_proxy_used", "supplier_sku_missing"]</x:v>
      </x:c>
      <x:c r="AQ50" s="11" t="str">
        <x:v>IEK:020300088_</x:v>
      </x:c>
      <x:c r="AR50" s="23" t="n">
        <x:v>1</x:v>
      </x:c>
      <x:c r="AS50" s="23" t="n">
        <x:f>MAX(0,ROUNDUP(MAX(0,AF50-AG50-AH50)/AR50-0.000000001,0)*AR50)</x:f>
        <x:v>3</x:v>
      </x:c>
      <x:c r="AT50" s="23" t="n">
        <x:v>2.002464068242689</x:v>
      </x:c>
    </x:row>
    <x:row r="51" ht="64" customHeight="1">
      <x:c r="A51" s="10" t="str">
        <x:v>IEK</x:v>
      </x:c>
      <x:c r="B51" s="34" t="str">
        <x:v>030200453_</x:v>
      </x:c>
      <x:c r="C51" s="34" t="str">
        <x:v>BR-K10-1-K01</x:v>
      </x:c>
      <x:c r="D51" s="13" t="str">
        <x:v>Роз. комп. RJ45 кат.5E б/рамки "BRITE" белый (1/100)</x:v>
      </x:c>
      <x:c r="E51" s="10" t="str">
        <x:v>шт</x:v>
      </x:c>
      <x:c r="F51" s="37" t="n">
        <x:f>IF(AS51&gt;0,MAX(AS51,AJ51),0)</x:f>
        <x:v>126</x:v>
      </x:c>
      <x:c r="G51" s="21" t="str">
        <x:f>IF(J51="Рассчитано",V51*(1-R51/100)-W51-P51-Q51,"н/д")</x:f>
        <x:v>н/д</x:v>
      </x:c>
      <x:c r="H51" s="13" t="str">
        <x:v>Высокий</x:v>
      </x:c>
      <x:c r="I51" s="13" t="str">
        <x:v>Критический</x:v>
      </x:c>
      <x:c r="J51" s="13" t="str">
        <x:f>IF(L51="","Укажите валюту",IF(NOT(ISNUMBER(K51)),"Укажите объём",IF(K51&lt;=0,"Укажите объём",IF(COUNT(M51:O51)&lt;3,"Нужны цены",IF(COUNT(P51:R51)&lt;3,"Нужны расходы",IF(OR(M51&lt;0,N51&lt;0,O51&lt;0,O51&gt;100,P51&lt;0,Q51&lt;0,R51&lt;0,R51&gt;100),"Проверьте значения","Рассчитано"))))))</x:f>
        <x:v>Нужны цены</x:v>
      </x:c>
      <x:c r="K51" s="36" t="n">
        <x:v>126</x:v>
      </x:c>
      <x:c r="L51" s="19" t="str">
        <x:v>KZT</x:v>
      </x:c>
      <x:c r="M51" s="22"/>
      <x:c r="N51" s="22"/>
      <x:c r="O51" s="28"/>
      <x:c r="P51" s="22"/>
      <x:c r="Q51" s="22"/>
      <x:c r="R51" s="28"/>
      <x:c r="S51" s="22"/>
      <x:c r="T51" s="37" t="n">
        <x:f>MIN(K51,AT51)</x:f>
        <x:v>125.924431522627</x:v>
      </x:c>
      <x:c r="U51" s="21" t="str">
        <x:f>IF(J51="Рассчитано",N51*(1-O51/100),"н/д")</x:f>
        <x:v>н/д</x:v>
      </x:c>
      <x:c r="V51" s="21" t="str">
        <x:f>IF(J51="Рассчитано",T51*U51,"н/д")</x:f>
        <x:v>н/д</x:v>
      </x:c>
      <x:c r="W51" s="21" t="str">
        <x:f>IF(J51="Рассчитано",T51*M51,"н/д")</x:f>
        <x:v>н/д</x:v>
      </x:c>
      <x:c r="X51" s="21" t="str">
        <x:f>IF(J51="Рассчитано",V51-W51,"н/д")</x:f>
        <x:v>н/д</x:v>
      </x:c>
      <x:c r="Y51" s="27" t="str">
        <x:f>IF(J51="Рассчитано",IF(V51&gt;0,G51/V51,"н/д"),"н/д")</x:f>
        <x:v>н/д</x:v>
      </x:c>
      <x:c r="Z51" s="21" t="str">
        <x:f>IF(J51="Рассчитано",K51*M51,"н/д")</x:f>
        <x:v>н/д</x:v>
      </x:c>
      <x:c r="AA51" s="21" t="str">
        <x:f>IF(J51="Рассчитано",(K51-T51)*M51,"н/д")</x:f>
        <x:v>н/д</x:v>
      </x:c>
      <x:c r="AB51" s="21" t="str">
        <x:f>IF(AND(J51="Рассчитано",ISNUMBER(S51)),K51*(S51-M51),"н/д")</x:f>
        <x:v>н/д</x:v>
      </x:c>
      <x:c r="AC51" s="21" t="str">
        <x:f>IF(AND(J51="Рассчитано",T51&gt;0,R51&lt;100),(W51+P51+Q51)/(T51*(1-R51/100)),"н/д")</x:f>
        <x:v>н/д</x:v>
      </x:c>
      <x:c r="AD51" s="10" t="str">
        <x:f>IF(ISNUMBER(G51),IF(G51&lt;0,"Убыток",IF(G51=0,"Без прибыли","Прибыль &gt; 0")),"Не оценён")</x:f>
        <x:v>Не оценён</x:v>
      </x:c>
      <x:c r="AE51" s="13" t="str">
        <x:f>IF(J51="Рассчитано","Выручка "&amp;TEXT(V51,"0.00")&amp;" - себестоимость "&amp;TEXT(W51,"0.00")&amp;" - комиссия "&amp;TEXT(V51*R51/100,"0.00")&amp;" - доставка "&amp;TEXT(P51,"0.00")&amp;" - прочие "&amp;TEXT(Q51,"0.00")&amp;" = "&amp;TEXT(G51,"0.00")&amp;" "&amp;L51,"Введите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1" s="24" t="n">
        <x:v>155.924431522627</x:v>
      </x:c>
      <x:c r="AG51" s="37" t="n">
        <x:v>30</x:v>
      </x:c>
      <x:c r="AH51" s="37" t="n">
        <x:v>0</x:v>
      </x:c>
      <x:c r="AI51" s="30" t="n">
        <x:v>46266</x:v>
      </x:c>
      <x:c r="AJ51" s="37" t="n">
        <x:v>1</x:v>
      </x:c>
      <x:c r="AK51" s="10" t="str">
        <x:v>минимум</x:v>
      </x:c>
      <x:c r="AL51" s="32" t="n">
        <x:v>5.7720268158835415</x:v>
      </x:c>
      <x:c r="AM51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5.8 дн. без поступлений</x:v>
      </x:c>
      <x:c r="AN51" s="13" t="str">
        <x:v>Подтвердить наличие, срок и цену закупки</x:v>
      </x:c>
      <x:c r="AO51" s="13" t="str">
        <x:v>Прогноз 30 дней 155.92; остаток 30; поступления в срок 0; нехватка 126; заказ с учётом MOQ 126 шт. Остаток на начало сентября: требуется актуализация.</x:v>
      </x:c>
      <x:c r="AP51" s="13" t="str">
        <x:v>["category_missing", "daily_stockout_data_missing", "large_orders_detected", "new_order_lead_time_unknown", "reservations_unknown", "stale_stock", "transaction_month_mismatch"]</x:v>
      </x:c>
      <x:c r="AQ51" s="10" t="str">
        <x:v>IEK:030200453_</x:v>
      </x:c>
      <x:c r="AR51" s="24" t="n">
        <x:v>1</x:v>
      </x:c>
      <x:c r="AS51" s="24" t="n">
        <x:f>MAX(0,ROUNDUP(MAX(0,AF51-AG51-AH51)/AR51-0.000000001,0)*AR51)</x:f>
        <x:v>126</x:v>
      </x:c>
      <x:c r="AT51" s="24" t="n">
        <x:v>125.924431522627</x:v>
      </x:c>
    </x:row>
    <x:row r="52" ht="64" customHeight="1">
      <x:c r="A52" s="11" t="str">
        <x:v>IEK</x:v>
      </x:c>
      <x:c r="B52" s="33" t="str">
        <x:v>030200459_</x:v>
      </x:c>
      <x:c r="C52" s="33" t="str">
        <x:v>BR-K20-1-K01</x:v>
      </x:c>
      <x:c r="D52" s="12" t="str">
        <x:v>Роз. комп. 2-ая RJ45 кат.5E б/рамки "BRITE" белый (1/100)</x:v>
      </x:c>
      <x:c r="E52" s="11" t="str">
        <x:v>шт</x:v>
      </x:c>
      <x:c r="F52" s="35" t="n">
        <x:f>IF(AS52&gt;0,MAX(AS52,AJ52),0)</x:f>
        <x:v>219</x:v>
      </x:c>
      <x:c r="G52" s="20" t="str">
        <x:f>IF(J52="Рассчитано",V52*(1-R52/100)-W52-P52-Q52,"н/д")</x:f>
        <x:v>н/д</x:v>
      </x:c>
      <x:c r="H52" s="12" t="str">
        <x:v>Высокий</x:v>
      </x:c>
      <x:c r="I52" s="12" t="str">
        <x:v>Критический</x:v>
      </x:c>
      <x:c r="J52" s="12" t="str">
        <x:f>IF(L52="","Укажите валюту",IF(NOT(ISNUMBER(K52)),"Укажите объём",IF(K52&lt;=0,"Укажите объём",IF(COUNT(M52:O52)&lt;3,"Нужны цены",IF(COUNT(P52:R52)&lt;3,"Нужны расходы",IF(OR(M52&lt;0,N52&lt;0,O52&lt;0,O52&gt;100,P52&lt;0,Q52&lt;0,R52&lt;0,R52&gt;100),"Проверьте значения","Рассчитано"))))))</x:f>
        <x:v>Нужны цены</x:v>
      </x:c>
      <x:c r="K52" s="36" t="n">
        <x:v>219</x:v>
      </x:c>
      <x:c r="L52" s="19" t="str">
        <x:v>KZT</x:v>
      </x:c>
      <x:c r="M52" s="22"/>
      <x:c r="N52" s="22"/>
      <x:c r="O52" s="28"/>
      <x:c r="P52" s="22"/>
      <x:c r="Q52" s="22"/>
      <x:c r="R52" s="28"/>
      <x:c r="S52" s="22"/>
      <x:c r="T52" s="35" t="n">
        <x:f>MIN(K52,AT52)</x:f>
        <x:v>218.9437472243614</x:v>
      </x:c>
      <x:c r="U52" s="20" t="str">
        <x:f>IF(J52="Рассчитано",N52*(1-O52/100),"н/д")</x:f>
        <x:v>н/д</x:v>
      </x:c>
      <x:c r="V52" s="20" t="str">
        <x:f>IF(J52="Рассчитано",T52*U52,"н/д")</x:f>
        <x:v>н/д</x:v>
      </x:c>
      <x:c r="W52" s="20" t="str">
        <x:f>IF(J52="Рассчитано",T52*M52,"н/д")</x:f>
        <x:v>н/д</x:v>
      </x:c>
      <x:c r="X52" s="20" t="str">
        <x:f>IF(J52="Рассчитано",V52-W52,"н/д")</x:f>
        <x:v>н/д</x:v>
      </x:c>
      <x:c r="Y52" s="26" t="str">
        <x:f>IF(J52="Рассчитано",IF(V52&gt;0,G52/V52,"н/д"),"н/д")</x:f>
        <x:v>н/д</x:v>
      </x:c>
      <x:c r="Z52" s="20" t="str">
        <x:f>IF(J52="Рассчитано",K52*M52,"н/д")</x:f>
        <x:v>н/д</x:v>
      </x:c>
      <x:c r="AA52" s="20" t="str">
        <x:f>IF(J52="Рассчитано",(K52-T52)*M52,"н/д")</x:f>
        <x:v>н/д</x:v>
      </x:c>
      <x:c r="AB52" s="20" t="str">
        <x:f>IF(AND(J52="Рассчитано",ISNUMBER(S52)),K52*(S52-M52),"н/д")</x:f>
        <x:v>н/д</x:v>
      </x:c>
      <x:c r="AC52" s="20" t="str">
        <x:f>IF(AND(J52="Рассчитано",T52&gt;0,R52&lt;100),(W52+P52+Q52)/(T52*(1-R52/100)),"н/д")</x:f>
        <x:v>н/д</x:v>
      </x:c>
      <x:c r="AD52" s="11" t="str">
        <x:f>IF(ISNUMBER(G52),IF(G52&lt;0,"Убыток",IF(G52=0,"Без прибыли","Прибыль &gt; 0")),"Не оценён")</x:f>
        <x:v>Не оценён</x:v>
      </x:c>
      <x:c r="AE52" s="12" t="str">
        <x:f>IF(J52="Рассчитано","Выручка "&amp;TEXT(V52,"0.00")&amp;" - себестоимость "&amp;TEXT(W52,"0.00")&amp;" - комиссия "&amp;TEXT(V52*R52/100,"0.00")&amp;" - доставка "&amp;TEXT(P52,"0.00")&amp;" - прочие "&amp;TEXT(Q52,"0.00")&amp;" = "&amp;TEXT(G52,"0.00")&amp;" "&amp;L52,"Введите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2" s="23" t="n">
        <x:v>218.9437472243614</x:v>
      </x:c>
      <x:c r="AG52" s="35" t="n">
        <x:v>0</x:v>
      </x:c>
      <x:c r="AH52" s="35" t="n">
        <x:v>0</x:v>
      </x:c>
      <x:c r="AI52" s="29" t="n">
        <x:v>46266</x:v>
      </x:c>
      <x:c r="AJ52" s="35" t="n">
        <x:v>1</x:v>
      </x:c>
      <x:c r="AK52" s="11" t="str">
        <x:v>минимум</x:v>
      </x:c>
      <x:c r="AL52" s="31" t="n">
        <x:v>0</x:v>
      </x:c>
      <x:c r="AM52" s="12" t="str">
        <x:v>Остаток на начало сентября; Резервы неизвестны; Детальные и месячные продажи расходятся; Нет ежедневных данных доступности. Нет запаса</x:v>
      </x:c>
      <x:c r="AN52" s="12" t="str">
        <x:v>Подтвердить наличие, срок и цену закупки</x:v>
      </x:c>
      <x:c r="AO52" s="12" t="str">
        <x:v>Прогноз 30 дней 218.94; остаток 0; поступления в срок 0; нехватка 219; заказ с учётом MOQ 219 шт. Остаток на начало сентября: требуется актуализация.</x:v>
      </x:c>
      <x:c r="AP52" s="12" t="str">
        <x:v>["blank_stock_assumed_zero", "category_missing", "daily_stockout_data_missing", "large_orders_detected", "new_order_lead_time_unknown", "reservations_unknown", "stale_stock", "transaction_month_mismatch"]</x:v>
      </x:c>
      <x:c r="AQ52" s="11" t="str">
        <x:v>IEK:030200459_</x:v>
      </x:c>
      <x:c r="AR52" s="23" t="n">
        <x:v>1</x:v>
      </x:c>
      <x:c r="AS52" s="23" t="n">
        <x:f>MAX(0,ROUNDUP(MAX(0,AF52-AG52-AH52)/AR52-0.000000001,0)*AR52)</x:f>
        <x:v>219</x:v>
      </x:c>
      <x:c r="AT52" s="23" t="n">
        <x:v>218.9437472243614</x:v>
      </x:c>
    </x:row>
    <x:row r="53" ht="64" customHeight="1">
      <x:c r="A53" s="10" t="str">
        <x:v>IEK</x:v>
      </x:c>
      <x:c r="B53" s="34" t="str">
        <x:v>030200497_</x:v>
      </x:c>
      <x:c r="C53" s="34" t="str">
        <x:v>BR-M42-K02</x:v>
      </x:c>
      <x:c r="D53" s="13" t="str">
        <x:v>Рамка 4-мест. "BRITE" черный (1/100)</x:v>
      </x:c>
      <x:c r="E53" s="10" t="str">
        <x:v>шт</x:v>
      </x:c>
      <x:c r="F53" s="37" t="n">
        <x:f>IF(AS53&gt;0,MAX(AS53,AJ53),0)</x:f>
        <x:v>18</x:v>
      </x:c>
      <x:c r="G53" s="21" t="str">
        <x:f>IF(J53="Рассчитано",V53*(1-R53/100)-W53-P53-Q53,"н/д")</x:f>
        <x:v>н/д</x:v>
      </x:c>
      <x:c r="H53" s="13" t="str">
        <x:v>Высокий</x:v>
      </x:c>
      <x:c r="I53" s="13" t="str">
        <x:v>Средний</x:v>
      </x:c>
      <x:c r="J53" s="13" t="str">
        <x:f>IF(L53="","Укажите валюту",IF(NOT(ISNUMBER(K53)),"Укажите объём",IF(K53&lt;=0,"Укажите объём",IF(COUNT(M53:O53)&lt;3,"Нужны цены",IF(COUNT(P53:R53)&lt;3,"Нужны расходы",IF(OR(M53&lt;0,N53&lt;0,O53&lt;0,O53&gt;100,P53&lt;0,Q53&lt;0,R53&lt;0,R53&gt;100),"Проверьте значения","Рассчитано"))))))</x:f>
        <x:v>Нужны цены</x:v>
      </x:c>
      <x:c r="K53" s="36" t="n">
        <x:v>18</x:v>
      </x:c>
      <x:c r="L53" s="19" t="str">
        <x:v>KZT</x:v>
      </x:c>
      <x:c r="M53" s="22"/>
      <x:c r="N53" s="22"/>
      <x:c r="O53" s="28"/>
      <x:c r="P53" s="22"/>
      <x:c r="Q53" s="22"/>
      <x:c r="R53" s="28"/>
      <x:c r="S53" s="22"/>
      <x:c r="T53" s="37" t="n">
        <x:f>MIN(K53,AT53)</x:f>
        <x:v>17.662487113504397</x:v>
      </x:c>
      <x:c r="U53" s="21" t="str">
        <x:f>IF(J53="Рассчитано",N53*(1-O53/100),"н/д")</x:f>
        <x:v>н/д</x:v>
      </x:c>
      <x:c r="V53" s="21" t="str">
        <x:f>IF(J53="Рассчитано",T53*U53,"н/д")</x:f>
        <x:v>н/д</x:v>
      </x:c>
      <x:c r="W53" s="21" t="str">
        <x:f>IF(J53="Рассчитано",T53*M53,"н/д")</x:f>
        <x:v>н/д</x:v>
      </x:c>
      <x:c r="X53" s="21" t="str">
        <x:f>IF(J53="Рассчитано",V53-W53,"н/д")</x:f>
        <x:v>н/д</x:v>
      </x:c>
      <x:c r="Y53" s="27" t="str">
        <x:f>IF(J53="Рассчитано",IF(V53&gt;0,G53/V53,"н/д"),"н/д")</x:f>
        <x:v>н/д</x:v>
      </x:c>
      <x:c r="Z53" s="21" t="str">
        <x:f>IF(J53="Рассчитано",K53*M53,"н/д")</x:f>
        <x:v>н/д</x:v>
      </x:c>
      <x:c r="AA53" s="21" t="str">
        <x:f>IF(J53="Рассчитано",(K53-T53)*M53,"н/д")</x:f>
        <x:v>н/д</x:v>
      </x:c>
      <x:c r="AB53" s="21" t="str">
        <x:f>IF(AND(J53="Рассчитано",ISNUMBER(S53)),K53*(S53-M53),"н/д")</x:f>
        <x:v>н/д</x:v>
      </x:c>
      <x:c r="AC53" s="21" t="str">
        <x:f>IF(AND(J53="Рассчитано",T53&gt;0,R53&lt;100),(W53+P53+Q53)/(T53*(1-R53/100)),"н/д")</x:f>
        <x:v>н/д</x:v>
      </x:c>
      <x:c r="AD53" s="10" t="str">
        <x:f>IF(ISNUMBER(G53),IF(G53&lt;0,"Убыток",IF(G53=0,"Без прибыли","Прибыль &gt; 0")),"Не оценён")</x:f>
        <x:v>Не оценён</x:v>
      </x:c>
      <x:c r="AE53" s="13" t="str">
        <x:f>IF(J53="Рассчитано","Выручка "&amp;TEXT(V53,"0.00")&amp;" - себестоимость "&amp;TEXT(W53,"0.00")&amp;" - комиссия "&amp;TEXT(V53*R53/100,"0.00")&amp;" - доставка "&amp;TEXT(P53,"0.00")&amp;" - прочие "&amp;TEXT(Q53,"0.00")&amp;" = "&amp;TEXT(G53,"0.00")&amp;" "&amp;L53,"Введите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3" s="24" t="n">
        <x:v>84.6624871135044</x:v>
      </x:c>
      <x:c r="AG53" s="37" t="n">
        <x:v>67</x:v>
      </x:c>
      <x:c r="AH53" s="37" t="n">
        <x:v>0</x:v>
      </x:c>
      <x:c r="AI53" s="30" t="n">
        <x:v>46266</x:v>
      </x:c>
      <x:c r="AJ53" s="37" t="n">
        <x:v>1</x:v>
      </x:c>
      <x:c r="AK53" s="10" t="str">
        <x:v>минимум</x:v>
      </x:c>
      <x:c r="AL53" s="32" t="n">
        <x:v>23.741329466322608</x:v>
      </x:c>
      <x:c r="AM53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23.7 дн. без поступлений</x:v>
      </x:c>
      <x:c r="AN53" s="13" t="str">
        <x:v>Подтвердить наличие, срок и цену закупки</x:v>
      </x:c>
      <x:c r="AO53" s="13" t="str">
        <x:v>Прогноз 30 дней 84.66; остаток 67; поступления в срок 0; нехватка 18; заказ с учётом MOQ 18 шт. Остаток на начало сентября: требуется актуализация.</x:v>
      </x:c>
      <x:c r="AP53" s="13" t="str">
        <x:v>["category_missing", "daily_stockout_data_missing", "large_orders_detected", "new_order_lead_time_unknown", "reservations_unknown", "stale_stock", "transaction_month_mismatch"]</x:v>
      </x:c>
      <x:c r="AQ53" s="10" t="str">
        <x:v>IEK:030200497_</x:v>
      </x:c>
      <x:c r="AR53" s="24" t="n">
        <x:v>1</x:v>
      </x:c>
      <x:c r="AS53" s="24" t="n">
        <x:f>MAX(0,ROUNDUP(MAX(0,AF53-AG53-AH53)/AR53-0.000000001,0)*AR53)</x:f>
        <x:v>18</x:v>
      </x:c>
      <x:c r="AT53" s="24" t="n">
        <x:v>17.662487113504397</x:v>
      </x:c>
    </x:row>
    <x:row r="54" ht="64" customHeight="1">
      <x:c r="A54" s="11" t="str">
        <x:v>IEK</x:v>
      </x:c>
      <x:c r="B54" s="33" t="str">
        <x:v>030200501_</x:v>
      </x:c>
      <x:c r="C54" s="33" t="str">
        <x:v>BR-V10-1-10-K46</x:v>
      </x:c>
      <x:c r="D54" s="12" t="str">
        <x:v>Выкл 1-кл. с инд. 10А б/рамки "BRITE" сталь (1/100)</x:v>
      </x:c>
      <x:c r="E54" s="11" t="str">
        <x:v>шт</x:v>
      </x:c>
      <x:c r="F54" s="35" t="n">
        <x:f>IF(AS54&gt;0,MAX(AS54,AJ54),0)</x:f>
        <x:v>7</x:v>
      </x:c>
      <x:c r="G54" s="20" t="str">
        <x:f>IF(J54="Рассчитано",V54*(1-R54/100)-W54-P54-Q54,"н/д")</x:f>
        <x:v>н/д</x:v>
      </x:c>
      <x:c r="H54" s="12" t="str">
        <x:v>Высокий</x:v>
      </x:c>
      <x:c r="I54" s="12" t="str">
        <x:v>Средний</x:v>
      </x:c>
      <x:c r="J54" s="12" t="str">
        <x:f>IF(L54="","Укажите валюту",IF(NOT(ISNUMBER(K54)),"Укажите объём",IF(K54&lt;=0,"Укажите объём",IF(COUNT(M54:O54)&lt;3,"Нужны цены",IF(COUNT(P54:R54)&lt;3,"Нужны расходы",IF(OR(M54&lt;0,N54&lt;0,O54&lt;0,O54&gt;100,P54&lt;0,Q54&lt;0,R54&lt;0,R54&gt;100),"Проверьте значения","Рассчитано"))))))</x:f>
        <x:v>Нужны цены</x:v>
      </x:c>
      <x:c r="K54" s="36" t="n">
        <x:v>7</x:v>
      </x:c>
      <x:c r="L54" s="19" t="str">
        <x:v>KZT</x:v>
      </x:c>
      <x:c r="M54" s="22"/>
      <x:c r="N54" s="22"/>
      <x:c r="O54" s="28"/>
      <x:c r="P54" s="22"/>
      <x:c r="Q54" s="22"/>
      <x:c r="R54" s="28"/>
      <x:c r="S54" s="22"/>
      <x:c r="T54" s="35" t="n">
        <x:f>MIN(K54,AT54)</x:f>
        <x:v>6.753343379453936</x:v>
      </x:c>
      <x:c r="U54" s="20" t="str">
        <x:f>IF(J54="Рассчитано",N54*(1-O54/100),"н/д")</x:f>
        <x:v>н/д</x:v>
      </x:c>
      <x:c r="V54" s="20" t="str">
        <x:f>IF(J54="Рассчитано",T54*U54,"н/д")</x:f>
        <x:v>н/д</x:v>
      </x:c>
      <x:c r="W54" s="20" t="str">
        <x:f>IF(J54="Рассчитано",T54*M54,"н/д")</x:f>
        <x:v>н/д</x:v>
      </x:c>
      <x:c r="X54" s="20" t="str">
        <x:f>IF(J54="Рассчитано",V54-W54,"н/д")</x:f>
        <x:v>н/д</x:v>
      </x:c>
      <x:c r="Y54" s="26" t="str">
        <x:f>IF(J54="Рассчитано",IF(V54&gt;0,G54/V54,"н/д"),"н/д")</x:f>
        <x:v>н/д</x:v>
      </x:c>
      <x:c r="Z54" s="20" t="str">
        <x:f>IF(J54="Рассчитано",K54*M54,"н/д")</x:f>
        <x:v>н/д</x:v>
      </x:c>
      <x:c r="AA54" s="20" t="str">
        <x:f>IF(J54="Рассчитано",(K54-T54)*M54,"н/д")</x:f>
        <x:v>н/д</x:v>
      </x:c>
      <x:c r="AB54" s="20" t="str">
        <x:f>IF(AND(J54="Рассчитано",ISNUMBER(S54)),K54*(S54-M54),"н/д")</x:f>
        <x:v>н/д</x:v>
      </x:c>
      <x:c r="AC54" s="20" t="str">
        <x:f>IF(AND(J54="Рассчитано",T54&gt;0,R54&lt;100),(W54+P54+Q54)/(T54*(1-R54/100)),"н/д")</x:f>
        <x:v>н/д</x:v>
      </x:c>
      <x:c r="AD54" s="11" t="str">
        <x:f>IF(ISNUMBER(G54),IF(G54&lt;0,"Убыток",IF(G54=0,"Без прибыли","Прибыль &gt; 0")),"Не оценён")</x:f>
        <x:v>Не оценён</x:v>
      </x:c>
      <x:c r="AE54" s="12" t="str">
        <x:f>IF(J54="Рассчитано","Выручка "&amp;TEXT(V54,"0.00")&amp;" - себестоимость "&amp;TEXT(W54,"0.00")&amp;" - комиссия "&amp;TEXT(V54*R54/100,"0.00")&amp;" - доставка "&amp;TEXT(P54,"0.00")&amp;" - прочие "&amp;TEXT(Q54,"0.00")&amp;" = "&amp;TEXT(G54,"0.00")&amp;" "&amp;L54,"Введите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4" s="23" t="n">
        <x:v>12.753343379453936</x:v>
      </x:c>
      <x:c r="AG54" s="35" t="n">
        <x:v>6</x:v>
      </x:c>
      <x:c r="AH54" s="35" t="n">
        <x:v>0</x:v>
      </x:c>
      <x:c r="AI54" s="29" t="n">
        <x:v>46266</x:v>
      </x:c>
      <x:c r="AJ54" s="35" t="n">
        <x:v>1</x:v>
      </x:c>
      <x:c r="AK54" s="11" t="str">
        <x:v>минимум</x:v>
      </x:c>
      <x:c r="AL54" s="31" t="n">
        <x:v>14.113946017480094</x:v>
      </x:c>
      <x:c r="AM54" s="12" t="str">
        <x:v>Остаток на начало сентября; Резервы неизвестны; Нет ежедневных данных доступности. Запаса примерно на 14.1 дн. без поступлений</x:v>
      </x:c>
      <x:c r="AN54" s="12" t="str">
        <x:v>Подтвердить наличие, срок и цену закупки</x:v>
      </x:c>
      <x:c r="AO54" s="12" t="str">
        <x:v>Прогноз 30 дней 12.75; остаток 6; поступления в срок 0; нехватка 7; заказ с учётом MOQ 7 шт. Остаток на начало сентября: требуется актуализация.</x:v>
      </x:c>
      <x:c r="AP54" s="12" t="str">
        <x:v>["category_missing", "daily_stockout_data_missing", "negative_net_sales_clipped_for_forecast", "new_order_lead_time_unknown", "reservations_unknown", "stale_stock"]</x:v>
      </x:c>
      <x:c r="AQ54" s="11" t="str">
        <x:v>IEK:030200501_</x:v>
      </x:c>
      <x:c r="AR54" s="23" t="n">
        <x:v>1</x:v>
      </x:c>
      <x:c r="AS54" s="23" t="n">
        <x:f>MAX(0,ROUNDUP(MAX(0,AF54-AG54-AH54)/AR54-0.000000001,0)*AR54)</x:f>
        <x:v>7</x:v>
      </x:c>
      <x:c r="AT54" s="23" t="n">
        <x:v>6.753343379453936</x:v>
      </x:c>
    </x:row>
    <x:row r="55" ht="64" customHeight="1">
      <x:c r="A55" s="10" t="str">
        <x:v>IEK</x:v>
      </x:c>
      <x:c r="B55" s="34" t="str">
        <x:v>030200504_</x:v>
      </x:c>
      <x:c r="C55" s="34" t="str">
        <x:v>BR-K10-1-K46</x:v>
      </x:c>
      <x:c r="D55" s="13" t="str">
        <x:v>Роз. комп. RJ45 кат.5E б/рамки "BRITE" сталь (1/100)</x:v>
      </x:c>
      <x:c r="E55" s="10" t="str">
        <x:v>шт</x:v>
      </x:c>
      <x:c r="F55" s="37" t="n">
        <x:f>IF(AS55&gt;0,MAX(AS55,AJ55),0)</x:f>
        <x:v>18</x:v>
      </x:c>
      <x:c r="G55" s="21" t="str">
        <x:f>IF(J55="Рассчитано",V55*(1-R55/100)-W55-P55-Q55,"н/д")</x:f>
        <x:v>н/д</x:v>
      </x:c>
      <x:c r="H55" s="13" t="str">
        <x:v>Высокий</x:v>
      </x:c>
      <x:c r="I55" s="13" t="str">
        <x:v>Критический</x:v>
      </x:c>
      <x:c r="J55" s="13" t="str">
        <x:f>IF(L55="","Укажите валюту",IF(NOT(ISNUMBER(K55)),"Укажите объём",IF(K55&lt;=0,"Укажите объём",IF(COUNT(M55:O55)&lt;3,"Нужны цены",IF(COUNT(P55:R55)&lt;3,"Нужны расходы",IF(OR(M55&lt;0,N55&lt;0,O55&lt;0,O55&gt;100,P55&lt;0,Q55&lt;0,R55&lt;0,R55&gt;100),"Проверьте значения","Рассчитано"))))))</x:f>
        <x:v>Нужны цены</x:v>
      </x:c>
      <x:c r="K55" s="36" t="n">
        <x:v>18</x:v>
      </x:c>
      <x:c r="L55" s="19" t="str">
        <x:v>KZT</x:v>
      </x:c>
      <x:c r="M55" s="22"/>
      <x:c r="N55" s="22"/>
      <x:c r="O55" s="28"/>
      <x:c r="P55" s="22"/>
      <x:c r="Q55" s="22"/>
      <x:c r="R55" s="28"/>
      <x:c r="S55" s="22"/>
      <x:c r="T55" s="37" t="n">
        <x:f>MIN(K55,AT55)</x:f>
        <x:v>17.653540096939523</x:v>
      </x:c>
      <x:c r="U55" s="21" t="str">
        <x:f>IF(J55="Рассчитано",N55*(1-O55/100),"н/д")</x:f>
        <x:v>н/д</x:v>
      </x:c>
      <x:c r="V55" s="21" t="str">
        <x:f>IF(J55="Рассчитано",T55*U55,"н/д")</x:f>
        <x:v>н/д</x:v>
      </x:c>
      <x:c r="W55" s="21" t="str">
        <x:f>IF(J55="Рассчитано",T55*M55,"н/д")</x:f>
        <x:v>н/д</x:v>
      </x:c>
      <x:c r="X55" s="21" t="str">
        <x:f>IF(J55="Рассчитано",V55-W55,"н/д")</x:f>
        <x:v>н/д</x:v>
      </x:c>
      <x:c r="Y55" s="27" t="str">
        <x:f>IF(J55="Рассчитано",IF(V55&gt;0,G55/V55,"н/д"),"н/д")</x:f>
        <x:v>н/д</x:v>
      </x:c>
      <x:c r="Z55" s="21" t="str">
        <x:f>IF(J55="Рассчитано",K55*M55,"н/д")</x:f>
        <x:v>н/д</x:v>
      </x:c>
      <x:c r="AA55" s="21" t="str">
        <x:f>IF(J55="Рассчитано",(K55-T55)*M55,"н/д")</x:f>
        <x:v>н/д</x:v>
      </x:c>
      <x:c r="AB55" s="21" t="str">
        <x:f>IF(AND(J55="Рассчитано",ISNUMBER(S55)),K55*(S55-M55),"н/д")</x:f>
        <x:v>н/д</x:v>
      </x:c>
      <x:c r="AC55" s="21" t="str">
        <x:f>IF(AND(J55="Рассчитано",T55&gt;0,R55&lt;100),(W55+P55+Q55)/(T55*(1-R55/100)),"н/д")</x:f>
        <x:v>н/д</x:v>
      </x:c>
      <x:c r="AD55" s="10" t="str">
        <x:f>IF(ISNUMBER(G55),IF(G55&lt;0,"Убыток",IF(G55=0,"Без прибыли","Прибыль &gt; 0")),"Не оценён")</x:f>
        <x:v>Не оценён</x:v>
      </x:c>
      <x:c r="AE55" s="13" t="str">
        <x:f>IF(J55="Рассчитано","Выручка "&amp;TEXT(V55,"0.00")&amp;" - себестоимость "&amp;TEXT(W55,"0.00")&amp;" - комиссия "&amp;TEXT(V55*R55/100,"0.00")&amp;" - доставка "&amp;TEXT(P55,"0.00")&amp;" - прочие "&amp;TEXT(Q55,"0.00")&amp;" = "&amp;TEXT(G55,"0.00")&amp;" "&amp;L55,"Введите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5" s="24" t="n">
        <x:v>17.653540096939523</x:v>
      </x:c>
      <x:c r="AG55" s="37" t="n">
        <x:v>0</x:v>
      </x:c>
      <x:c r="AH55" s="37" t="n">
        <x:v>0</x:v>
      </x:c>
      <x:c r="AI55" s="30" t="n">
        <x:v>46266</x:v>
      </x:c>
      <x:c r="AJ55" s="37" t="n">
        <x:v>1</x:v>
      </x:c>
      <x:c r="AK55" s="10" t="str">
        <x:v>минимум</x:v>
      </x:c>
      <x:c r="AL55" s="32" t="n">
        <x:v>0</x:v>
      </x:c>
      <x:c r="AM55" s="13" t="str">
        <x:v>Остаток на начало сентября; Резервы неизвестны; Нет ежедневных данных доступности. Нет запаса</x:v>
      </x:c>
      <x:c r="AN55" s="13" t="str">
        <x:v>Подтвердить наличие, срок и цену закупки</x:v>
      </x:c>
      <x:c r="AO55" s="13" t="str">
        <x:v>Прогноз 30 дней 17.65; остаток 0; поступления в срок 0; нехватка 18; заказ с учётом MOQ 18 шт. Остаток на начало сентября: требуется актуализация.</x:v>
      </x:c>
      <x:c r="AP55" s="13" t="str">
        <x:v>["blank_stock_assumed_zero", "category_missing", "daily_stockout_data_missing", "large_orders_detected", "negative_net_sales_clipped_for_forecast", "new_order_lead_time_unknown", "reservations_unknown", "stale_stock"]</x:v>
      </x:c>
      <x:c r="AQ55" s="10" t="str">
        <x:v>IEK:030200504_</x:v>
      </x:c>
      <x:c r="AR55" s="24" t="n">
        <x:v>1</x:v>
      </x:c>
      <x:c r="AS55" s="24" t="n">
        <x:f>MAX(0,ROUNDUP(MAX(0,AF55-AG55-AH55)/AR55-0.000000001,0)*AR55)</x:f>
        <x:v>18</x:v>
      </x:c>
      <x:c r="AT55" s="24" t="n">
        <x:v>17.653540096939523</x:v>
      </x:c>
    </x:row>
    <x:row r="56" ht="64" customHeight="1">
      <x:c r="A56" s="11" t="str">
        <x:v>IEK</x:v>
      </x:c>
      <x:c r="B56" s="33" t="str">
        <x:v>030200512_</x:v>
      </x:c>
      <x:c r="C56" s="33" t="str">
        <x:v>BR-V22-0-10-K46</x:v>
      </x:c>
      <x:c r="D56" s="12" t="str">
        <x:v>Выкл 2-кл. прох. 10А б/рамки "BRITE" сталь (1/100)</x:v>
      </x:c>
      <x:c r="E56" s="11" t="str">
        <x:v>шт</x:v>
      </x:c>
      <x:c r="F56" s="35" t="n">
        <x:f>IF(AS56&gt;0,MAX(AS56,AJ56),0)</x:f>
        <x:v>12</x:v>
      </x:c>
      <x:c r="G56" s="20" t="str">
        <x:f>IF(J56="Рассчитано",V56*(1-R56/100)-W56-P56-Q56,"н/д")</x:f>
        <x:v>н/д</x:v>
      </x:c>
      <x:c r="H56" s="12" t="str">
        <x:v>Высокий</x:v>
      </x:c>
      <x:c r="I56" s="12" t="str">
        <x:v>Высокий</x:v>
      </x:c>
      <x:c r="J56" s="12" t="str">
        <x:f>IF(L56="","Укажите валюту",IF(NOT(ISNUMBER(K56)),"Укажите объём",IF(K56&lt;=0,"Укажите объём",IF(COUNT(M56:O56)&lt;3,"Нужны цены",IF(COUNT(P56:R56)&lt;3,"Нужны расходы",IF(OR(M56&lt;0,N56&lt;0,O56&lt;0,O56&gt;100,P56&lt;0,Q56&lt;0,R56&lt;0,R56&gt;100),"Проверьте значения","Рассчитано"))))))</x:f>
        <x:v>Нужны цены</x:v>
      </x:c>
      <x:c r="K56" s="36" t="n">
        <x:v>12</x:v>
      </x:c>
      <x:c r="L56" s="19" t="str">
        <x:v>KZT</x:v>
      </x:c>
      <x:c r="M56" s="22"/>
      <x:c r="N56" s="22"/>
      <x:c r="O56" s="28"/>
      <x:c r="P56" s="22"/>
      <x:c r="Q56" s="22"/>
      <x:c r="R56" s="28"/>
      <x:c r="S56" s="22"/>
      <x:c r="T56" s="35" t="n">
        <x:f>MIN(K56,AT56)</x:f>
        <x:v>11.636344749615063</x:v>
      </x:c>
      <x:c r="U56" s="20" t="str">
        <x:f>IF(J56="Рассчитано",N56*(1-O56/100),"н/д")</x:f>
        <x:v>н/д</x:v>
      </x:c>
      <x:c r="V56" s="20" t="str">
        <x:f>IF(J56="Рассчитано",T56*U56,"н/д")</x:f>
        <x:v>н/д</x:v>
      </x:c>
      <x:c r="W56" s="20" t="str">
        <x:f>IF(J56="Рассчитано",T56*M56,"н/д")</x:f>
        <x:v>н/д</x:v>
      </x:c>
      <x:c r="X56" s="20" t="str">
        <x:f>IF(J56="Рассчитано",V56-W56,"н/д")</x:f>
        <x:v>н/д</x:v>
      </x:c>
      <x:c r="Y56" s="26" t="str">
        <x:f>IF(J56="Рассчитано",IF(V56&gt;0,G56/V56,"н/д"),"н/д")</x:f>
        <x:v>н/д</x:v>
      </x:c>
      <x:c r="Z56" s="20" t="str">
        <x:f>IF(J56="Рассчитано",K56*M56,"н/д")</x:f>
        <x:v>н/д</x:v>
      </x:c>
      <x:c r="AA56" s="20" t="str">
        <x:f>IF(J56="Рассчитано",(K56-T56)*M56,"н/д")</x:f>
        <x:v>н/д</x:v>
      </x:c>
      <x:c r="AB56" s="20" t="str">
        <x:f>IF(AND(J56="Рассчитано",ISNUMBER(S56)),K56*(S56-M56),"н/д")</x:f>
        <x:v>н/д</x:v>
      </x:c>
      <x:c r="AC56" s="20" t="str">
        <x:f>IF(AND(J56="Рассчитано",T56&gt;0,R56&lt;100),(W56+P56+Q56)/(T56*(1-R56/100)),"н/д")</x:f>
        <x:v>н/д</x:v>
      </x:c>
      <x:c r="AD56" s="11" t="str">
        <x:f>IF(ISNUMBER(G56),IF(G56&lt;0,"Убыток",IF(G56=0,"Без прибыли","Прибыль &gt; 0")),"Не оценён")</x:f>
        <x:v>Не оценён</x:v>
      </x:c>
      <x:c r="AE56" s="12" t="str">
        <x:f>IF(J56="Рассчитано","Выручка "&amp;TEXT(V56,"0.00")&amp;" - себестоимость "&amp;TEXT(W56,"0.00")&amp;" - комиссия "&amp;TEXT(V56*R56/100,"0.00")&amp;" - доставка "&amp;TEXT(P56,"0.00")&amp;" - прочие "&amp;TEXT(Q56,"0.00")&amp;" = "&amp;TEXT(G56,"0.00")&amp;" "&amp;L56,"Введите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6" s="23" t="n">
        <x:v>17.636344749615063</x:v>
      </x:c>
      <x:c r="AG56" s="35" t="n">
        <x:v>6</x:v>
      </x:c>
      <x:c r="AH56" s="35" t="n">
        <x:v>0</x:v>
      </x:c>
      <x:c r="AI56" s="29" t="n">
        <x:v>46266</x:v>
      </x:c>
      <x:c r="AJ56" s="35" t="n">
        <x:v>1</x:v>
      </x:c>
      <x:c r="AK56" s="11" t="str">
        <x:v>минимум</x:v>
      </x:c>
      <x:c r="AL56" s="31" t="n">
        <x:v>10.2061964968069</x:v>
      </x:c>
      <x:c r="AM56" s="12" t="str">
        <x:v>Остаток на начало сентября; Резервы неизвестны; Нет ежедневных данных доступности. Запаса примерно на 10.2 дн. без поступлений</x:v>
      </x:c>
      <x:c r="AN56" s="12" t="str">
        <x:v>Подтвердить наличие, срок и цену закупки</x:v>
      </x:c>
      <x:c r="AO56" s="12" t="str">
        <x:v>Прогноз 30 дней 17.64; остаток 6; поступления в срок 0; нехватка 12; заказ с учётом MOQ 12 шт. Остаток на начало сентября: требуется актуализация.</x:v>
      </x:c>
      <x:c r="AP56" s="12" t="str">
        <x:v>["category_missing", "daily_stockout_data_missing", "negative_net_sales_clipped_for_forecast", "new_order_lead_time_unknown", "reservations_unknown", "stale_stock"]</x:v>
      </x:c>
      <x:c r="AQ56" s="11" t="str">
        <x:v>IEK:030200512_</x:v>
      </x:c>
      <x:c r="AR56" s="23" t="n">
        <x:v>1</x:v>
      </x:c>
      <x:c r="AS56" s="23" t="n">
        <x:f>MAX(0,ROUNDUP(MAX(0,AF56-AG56-AH56)/AR56-0.000000001,0)*AR56)</x:f>
        <x:v>12</x:v>
      </x:c>
      <x:c r="AT56" s="23" t="n">
        <x:v>11.636344749615063</x:v>
      </x:c>
    </x:row>
    <x:row r="57" ht="64" customHeight="1">
      <x:c r="A57" s="10" t="str">
        <x:v>IEK</x:v>
      </x:c>
      <x:c r="B57" s="34" t="str">
        <x:v>030200525_</x:v>
      </x:c>
      <x:c r="C57" s="34" t="str">
        <x:v>BR-R11-16-K37</x:v>
      </x:c>
      <x:c r="D57" s="13" t="str">
        <x:v>Роз. с з/к без з/ш 16А б/рамки "BRITE"  шампань (1/100)</x:v>
      </x:c>
      <x:c r="E57" s="10" t="str">
        <x:v>шт</x:v>
      </x:c>
      <x:c r="F57" s="37" t="n">
        <x:f>IF(AS57&gt;0,MAX(AS57,AJ57),0)</x:f>
        <x:v>116</x:v>
      </x:c>
      <x:c r="G57" s="21" t="str">
        <x:f>IF(J57="Рассчитано",V57*(1-R57/100)-W57-P57-Q57,"н/д")</x:f>
        <x:v>н/д</x:v>
      </x:c>
      <x:c r="H57" s="13" t="str">
        <x:v>Высокий</x:v>
      </x:c>
      <x:c r="I57" s="13" t="str">
        <x:v>Высокий</x:v>
      </x:c>
      <x:c r="J57" s="13" t="str">
        <x:f>IF(L57="","Укажите валюту",IF(NOT(ISNUMBER(K57)),"Укажите объём",IF(K57&lt;=0,"Укажите объём",IF(COUNT(M57:O57)&lt;3,"Нужны цены",IF(COUNT(P57:R57)&lt;3,"Нужны расходы",IF(OR(M57&lt;0,N57&lt;0,O57&lt;0,O57&gt;100,P57&lt;0,Q57&lt;0,R57&lt;0,R57&gt;100),"Проверьте значения","Рассчитано"))))))</x:f>
        <x:v>Нужны цены</x:v>
      </x:c>
      <x:c r="K57" s="36" t="n">
        <x:v>116</x:v>
      </x:c>
      <x:c r="L57" s="19" t="str">
        <x:v>KZT</x:v>
      </x:c>
      <x:c r="M57" s="22"/>
      <x:c r="N57" s="22"/>
      <x:c r="O57" s="28"/>
      <x:c r="P57" s="22"/>
      <x:c r="Q57" s="22"/>
      <x:c r="R57" s="28"/>
      <x:c r="S57" s="22"/>
      <x:c r="T57" s="37" t="n">
        <x:f>MIN(K57,AT57)</x:f>
        <x:v>115.96707477996009</x:v>
      </x:c>
      <x:c r="U57" s="21" t="str">
        <x:f>IF(J57="Рассчитано",N57*(1-O57/100),"н/д")</x:f>
        <x:v>н/д</x:v>
      </x:c>
      <x:c r="V57" s="21" t="str">
        <x:f>IF(J57="Рассчитано",T57*U57,"н/д")</x:f>
        <x:v>н/д</x:v>
      </x:c>
      <x:c r="W57" s="21" t="str">
        <x:f>IF(J57="Рассчитано",T57*M57,"н/д")</x:f>
        <x:v>н/д</x:v>
      </x:c>
      <x:c r="X57" s="21" t="str">
        <x:f>IF(J57="Рассчитано",V57-W57,"н/д")</x:f>
        <x:v>н/д</x:v>
      </x:c>
      <x:c r="Y57" s="27" t="str">
        <x:f>IF(J57="Рассчитано",IF(V57&gt;0,G57/V57,"н/д"),"н/д")</x:f>
        <x:v>н/д</x:v>
      </x:c>
      <x:c r="Z57" s="21" t="str">
        <x:f>IF(J57="Рассчитано",K57*M57,"н/д")</x:f>
        <x:v>н/д</x:v>
      </x:c>
      <x:c r="AA57" s="21" t="str">
        <x:f>IF(J57="Рассчитано",(K57-T57)*M57,"н/д")</x:f>
        <x:v>н/д</x:v>
      </x:c>
      <x:c r="AB57" s="21" t="str">
        <x:f>IF(AND(J57="Рассчитано",ISNUMBER(S57)),K57*(S57-M57),"н/д")</x:f>
        <x:v>н/д</x:v>
      </x:c>
      <x:c r="AC57" s="21" t="str">
        <x:f>IF(AND(J57="Рассчитано",T57&gt;0,R57&lt;100),(W57+P57+Q57)/(T57*(1-R57/100)),"н/д")</x:f>
        <x:v>н/д</x:v>
      </x:c>
      <x:c r="AD57" s="10" t="str">
        <x:f>IF(ISNUMBER(G57),IF(G57&lt;0,"Убыток",IF(G57=0,"Без прибыли","Прибыль &gt; 0")),"Не оценён")</x:f>
        <x:v>Не оценён</x:v>
      </x:c>
      <x:c r="AE57" s="13" t="str">
        <x:f>IF(J57="Рассчитано","Выручка "&amp;TEXT(V57,"0.00")&amp;" - себестоимость "&amp;TEXT(W57,"0.00")&amp;" - комиссия "&amp;TEXT(V57*R57/100,"0.00")&amp;" - доставка "&amp;TEXT(P57,"0.00")&amp;" - прочие "&amp;TEXT(Q57,"0.00")&amp;" = "&amp;TEXT(G57,"0.00")&amp;" "&amp;L57,"Введите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7" s="24" t="n">
        <x:v>153.9670747799601</x:v>
      </x:c>
      <x:c r="AG57" s="37" t="n">
        <x:v>38</x:v>
      </x:c>
      <x:c r="AH57" s="37" t="n">
        <x:v>0</x:v>
      </x:c>
      <x:c r="AI57" s="30" t="n">
        <x:v>46266</x:v>
      </x:c>
      <x:c r="AJ57" s="37" t="n">
        <x:v>1</x:v>
      </x:c>
      <x:c r="AK57" s="10" t="str">
        <x:v>минимум</x:v>
      </x:c>
      <x:c r="AL57" s="32" t="n">
        <x:v>7.404180417334129</x:v>
      </x:c>
      <x:c r="AM57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7.4 дн. без поступлений</x:v>
      </x:c>
      <x:c r="AN57" s="13" t="str">
        <x:v>Подтвердить наличие, срок и цену закупки</x:v>
      </x:c>
      <x:c r="AO57" s="13" t="str">
        <x:v>Прогноз 30 дней 153.97; остаток 38; поступления в срок 0; нехватка 116; заказ с учётом MOQ 116 шт. Остаток на начало сентября: требуется актуализация.</x:v>
      </x:c>
      <x:c r="AP57" s="13" t="str">
        <x:v>["category_missing", "daily_stockout_data_missing", "large_orders_detected", "new_order_lead_time_unknown", "reservations_unknown", "stale_stock", "transaction_month_mismatch"]</x:v>
      </x:c>
      <x:c r="AQ57" s="10" t="str">
        <x:v>IEK:030200525_</x:v>
      </x:c>
      <x:c r="AR57" s="24" t="n">
        <x:v>1</x:v>
      </x:c>
      <x:c r="AS57" s="24" t="n">
        <x:f>MAX(0,ROUNDUP(MAX(0,AF57-AG57-AH57)/AR57-0.000000001,0)*AR57)</x:f>
        <x:v>116</x:v>
      </x:c>
      <x:c r="AT57" s="24" t="n">
        <x:v>115.96707477996009</x:v>
      </x:c>
    </x:row>
    <x:row r="58" ht="64" customHeight="1">
      <x:c r="A58" s="11" t="str">
        <x:v>IEK</x:v>
      </x:c>
      <x:c r="B58" s="33" t="str">
        <x:v>030200527_</x:v>
      </x:c>
      <x:c r="C58" s="33" t="str">
        <x:v>BR-R10-10-K47</x:v>
      </x:c>
      <x:c r="D58" s="12" t="str">
        <x:v>Роз. без з/к 10А б/рамки "BRITE" алюминий (1/100)</x:v>
      </x:c>
      <x:c r="E58" s="11" t="str">
        <x:v>шт</x:v>
      </x:c>
      <x:c r="F58" s="35" t="n">
        <x:f>IF(AS58&gt;0,MAX(AS58,AJ58),0)</x:f>
        <x:v>2</x:v>
      </x:c>
      <x:c r="G58" s="20" t="str">
        <x:f>IF(J58="Рассчитано",V58*(1-R58/100)-W58-P58-Q58,"н/д")</x:f>
        <x:v>н/д</x:v>
      </x:c>
      <x:c r="H58" s="12" t="str">
        <x:v>Высокий</x:v>
      </x:c>
      <x:c r="I58" s="12" t="str">
        <x:v>Средний</x:v>
      </x:c>
      <x:c r="J58" s="12" t="str">
        <x:f>IF(L58="","Укажите валюту",IF(NOT(ISNUMBER(K58)),"Укажите объём",IF(K58&lt;=0,"Укажите объём",IF(COUNT(M58:O58)&lt;3,"Нужны цены",IF(COUNT(P58:R58)&lt;3,"Нужны расходы",IF(OR(M58&lt;0,N58&lt;0,O58&lt;0,O58&gt;100,P58&lt;0,Q58&lt;0,R58&lt;0,R58&gt;100),"Проверьте значения","Рассчитано"))))))</x:f>
        <x:v>Нужны цены</x:v>
      </x:c>
      <x:c r="K58" s="36" t="n">
        <x:v>2</x:v>
      </x:c>
      <x:c r="L58" s="19" t="str">
        <x:v>KZT</x:v>
      </x:c>
      <x:c r="M58" s="22"/>
      <x:c r="N58" s="22"/>
      <x:c r="O58" s="28"/>
      <x:c r="P58" s="22"/>
      <x:c r="Q58" s="22"/>
      <x:c r="R58" s="28"/>
      <x:c r="S58" s="22"/>
      <x:c r="T58" s="35" t="n">
        <x:f>MIN(K58,AT58)</x:f>
        <x:v>1.7649189701298589</x:v>
      </x:c>
      <x:c r="U58" s="20" t="str">
        <x:f>IF(J58="Рассчитано",N58*(1-O58/100),"н/д")</x:f>
        <x:v>н/д</x:v>
      </x:c>
      <x:c r="V58" s="20" t="str">
        <x:f>IF(J58="Рассчитано",T58*U58,"н/д")</x:f>
        <x:v>н/д</x:v>
      </x:c>
      <x:c r="W58" s="20" t="str">
        <x:f>IF(J58="Рассчитано",T58*M58,"н/д")</x:f>
        <x:v>н/д</x:v>
      </x:c>
      <x:c r="X58" s="20" t="str">
        <x:f>IF(J58="Рассчитано",V58-W58,"н/д")</x:f>
        <x:v>н/д</x:v>
      </x:c>
      <x:c r="Y58" s="26" t="str">
        <x:f>IF(J58="Рассчитано",IF(V58&gt;0,G58/V58,"н/д"),"н/д")</x:f>
        <x:v>н/д</x:v>
      </x:c>
      <x:c r="Z58" s="20" t="str">
        <x:f>IF(J58="Рассчитано",K58*M58,"н/д")</x:f>
        <x:v>н/д</x:v>
      </x:c>
      <x:c r="AA58" s="20" t="str">
        <x:f>IF(J58="Рассчитано",(K58-T58)*M58,"н/д")</x:f>
        <x:v>н/д</x:v>
      </x:c>
      <x:c r="AB58" s="20" t="str">
        <x:f>IF(AND(J58="Рассчитано",ISNUMBER(S58)),K58*(S58-M58),"н/д")</x:f>
        <x:v>н/д</x:v>
      </x:c>
      <x:c r="AC58" s="20" t="str">
        <x:f>IF(AND(J58="Рассчитано",T58&gt;0,R58&lt;100),(W58+P58+Q58)/(T58*(1-R58/100)),"н/д")</x:f>
        <x:v>н/д</x:v>
      </x:c>
      <x:c r="AD58" s="11" t="str">
        <x:f>IF(ISNUMBER(G58),IF(G58&lt;0,"Убыток",IF(G58=0,"Без прибыли","Прибыль &gt; 0")),"Не оценён")</x:f>
        <x:v>Не оценён</x:v>
      </x:c>
      <x:c r="AE58" s="12" t="str">
        <x:f>IF(J58="Рассчитано","Выручка "&amp;TEXT(V58,"0.00")&amp;" - себестоимость "&amp;TEXT(W58,"0.00")&amp;" - комиссия "&amp;TEXT(V58*R58/100,"0.00")&amp;" - доставка "&amp;TEXT(P58,"0.00")&amp;" - прочие "&amp;TEXT(Q58,"0.00")&amp;" = "&amp;TEXT(G58,"0.00")&amp;" "&amp;L58,"Введите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8" s="23" t="n">
        <x:v>12.764918970129859</x:v>
      </x:c>
      <x:c r="AG58" s="35" t="n">
        <x:v>11</x:v>
      </x:c>
      <x:c r="AH58" s="35" t="n">
        <x:v>0</x:v>
      </x:c>
      <x:c r="AI58" s="29" t="n">
        <x:v>46266</x:v>
      </x:c>
      <x:c r="AJ58" s="35" t="n">
        <x:v>1</x:v>
      </x:c>
      <x:c r="AK58" s="11" t="str">
        <x:v>минимум</x:v>
      </x:c>
      <x:c r="AL58" s="31" t="n">
        <x:v>25.852102999807986</x:v>
      </x:c>
      <x:c r="AM58" s="12" t="str">
        <x:v>Остаток на начало сентября; Резервы неизвестны; Нет ежедневных данных доступности. Запаса примерно на 25.9 дн. без поступлений</x:v>
      </x:c>
      <x:c r="AN58" s="12" t="str">
        <x:v>Подтвердить наличие, срок и цену закупки</x:v>
      </x:c>
      <x:c r="AO58" s="12" t="str">
        <x:v>Прогноз 30 дней 12.76; остаток 11; поступления в срок 0; нехватка 2; заказ с учётом MOQ 2 шт. Остаток на начало сентября: требуется актуализация.</x:v>
      </x:c>
      <x:c r="AP58" s="12" t="str">
        <x:v>["category_missing", "daily_stockout_data_missing", "negative_net_sales_clipped_for_forecast", "new_order_lead_time_unknown", "reservations_unknown", "stale_stock"]</x:v>
      </x:c>
      <x:c r="AQ58" s="11" t="str">
        <x:v>IEK:030200527_</x:v>
      </x:c>
      <x:c r="AR58" s="23" t="n">
        <x:v>1</x:v>
      </x:c>
      <x:c r="AS58" s="23" t="n">
        <x:f>MAX(0,ROUNDUP(MAX(0,AF58-AG58-AH58)/AR58-0.000000001,0)*AR58)</x:f>
        <x:v>2</x:v>
      </x:c>
      <x:c r="AT58" s="23" t="n">
        <x:v>1.7649189701298589</x:v>
      </x:c>
    </x:row>
    <x:row r="59" ht="64" customHeight="1">
      <x:c r="A59" s="10" t="str">
        <x:v>IEK</x:v>
      </x:c>
      <x:c r="B59" s="34" t="str">
        <x:v>030200550_</x:v>
      </x:c>
      <x:c r="C59" s="34" t="str">
        <x:v>BR-R14-16-K35</x:v>
      </x:c>
      <x:c r="D59" s="13" t="str">
        <x:v>Роз. с с/з з/ш 16А б/рамки "BRITE" маренго (1/100)</x:v>
      </x:c>
      <x:c r="E59" s="10" t="str">
        <x:v>шт</x:v>
      </x:c>
      <x:c r="F59" s="37" t="n">
        <x:f>AS59</x:f>
        <x:v>8</x:v>
      </x:c>
      <x:c r="G59" s="21" t="str">
        <x:f>IF(J59="Рассчитано",V59*(1-R59/100)-W59-P59-Q59,"н/д")</x:f>
        <x:v>н/д</x:v>
      </x:c>
      <x:c r="H59" s="13" t="str">
        <x:v>Высокий</x:v>
      </x:c>
      <x:c r="I59" s="13" t="str">
        <x:v>Критический</x:v>
      </x:c>
      <x:c r="J59" s="13" t="str">
        <x:f>IF(L59="","Укажите валюту",IF(NOT(ISNUMBER(K59)),"Укажите объём",IF(K59&lt;=0,"Укажите объём",IF(COUNT(M59:O59)&lt;3,"Нужны цены",IF(COUNT(P59:R59)&lt;3,"Нужны расходы",IF(OR(M59&lt;0,N59&lt;0,O59&lt;0,O59&gt;100,P59&lt;0,Q59&lt;0,R59&lt;0,R59&gt;100),"Проверьте значения","Рассчитано"))))))</x:f>
        <x:v>Нужны цены</x:v>
      </x:c>
      <x:c r="K59" s="36" t="n">
        <x:v>8</x:v>
      </x:c>
      <x:c r="L59" s="19" t="str">
        <x:v>KZT</x:v>
      </x:c>
      <x:c r="M59" s="22"/>
      <x:c r="N59" s="22"/>
      <x:c r="O59" s="28"/>
      <x:c r="P59" s="22"/>
      <x:c r="Q59" s="22"/>
      <x:c r="R59" s="28"/>
      <x:c r="S59" s="22"/>
      <x:c r="T59" s="37" t="n">
        <x:f>MIN(K59,AT59)</x:f>
        <x:v>7.532800435933609</x:v>
      </x:c>
      <x:c r="U59" s="21" t="str">
        <x:f>IF(J59="Рассчитано",N59*(1-O59/100),"н/д")</x:f>
        <x:v>н/д</x:v>
      </x:c>
      <x:c r="V59" s="21" t="str">
        <x:f>IF(J59="Рассчитано",T59*U59,"н/д")</x:f>
        <x:v>н/д</x:v>
      </x:c>
      <x:c r="W59" s="21" t="str">
        <x:f>IF(J59="Рассчитано",T59*M59,"н/д")</x:f>
        <x:v>н/д</x:v>
      </x:c>
      <x:c r="X59" s="21" t="str">
        <x:f>IF(J59="Рассчитано",V59-W59,"н/д")</x:f>
        <x:v>н/д</x:v>
      </x:c>
      <x:c r="Y59" s="27" t="str">
        <x:f>IF(J59="Рассчитано",IF(V59&gt;0,G59/V59,"н/д"),"н/д")</x:f>
        <x:v>н/д</x:v>
      </x:c>
      <x:c r="Z59" s="21" t="str">
        <x:f>IF(J59="Рассчитано",K59*M59,"н/д")</x:f>
        <x:v>н/д</x:v>
      </x:c>
      <x:c r="AA59" s="21" t="str">
        <x:f>IF(J59="Рассчитано",(K59-T59)*M59,"н/д")</x:f>
        <x:v>н/д</x:v>
      </x:c>
      <x:c r="AB59" s="21" t="str">
        <x:f>IF(AND(J59="Рассчитано",ISNUMBER(S59)),K59*(S59-M59),"н/д")</x:f>
        <x:v>н/д</x:v>
      </x:c>
      <x:c r="AC59" s="21" t="str">
        <x:f>IF(AND(J59="Рассчитано",T59&gt;0,R59&lt;100),(W59+P59+Q59)/(T59*(1-R59/100)),"н/д")</x:f>
        <x:v>н/д</x:v>
      </x:c>
      <x:c r="AD59" s="10" t="str">
        <x:f>IF(ISNUMBER(G59),IF(G59&lt;0,"Убыток",IF(G59=0,"Без прибыли","Прибыль &gt; 0")),"Не оценён")</x:f>
        <x:v>Не оценён</x:v>
      </x:c>
      <x:c r="AE59" s="13" t="str">
        <x:f>IF(J59="Рассчитано","Выручка "&amp;TEXT(V59,"0.00")&amp;" - себестоимость "&amp;TEXT(W59,"0.00")&amp;" - комиссия "&amp;TEXT(V59*R59/100,"0.00")&amp;" - доставка "&amp;TEXT(P59,"0.00")&amp;" - прочие "&amp;TEXT(Q59,"0.00")&amp;" = "&amp;TEXT(G59,"0.00")&amp;" "&amp;L59,"Введите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59" s="24" t="n">
        <x:v>7.532800435933609</x:v>
      </x:c>
      <x:c r="AG59" s="37" t="n">
        <x:v>0</x:v>
      </x:c>
      <x:c r="AH59" s="37" t="n">
        <x:v>0</x:v>
      </x:c>
      <x:c r="AI59" s="30" t="n">
        <x:v>46266</x:v>
      </x:c>
      <x:c r="AJ59" s="37"/>
      <x:c r="AK59" s="10" t="str">
        <x:v>неизвестно</x:v>
      </x:c>
      <x:c r="AL59" s="32" t="n">
        <x:v>0</x:v>
      </x:c>
      <x:c r="AM59" s="13" t="str">
        <x:v>Остаток на начало сентября; Резервы неизвестны; Нет ежедневных данных доступности. Нет запаса</x:v>
      </x:c>
      <x:c r="AN59" s="13" t="str">
        <x:v>Подтвердить наличие, срок и цену закупки</x:v>
      </x:c>
      <x:c r="AO59" s="13" t="str">
        <x:v>Прогноз 30 дней 7.53; остаток 0; поступления в срок 0; нехватка 8; заказ с учётом MOQ 8 шт. Остаток на начало сентября: требуется актуализация.</x:v>
      </x:c>
      <x:c r="AP59" s="13" t="str">
        <x:v>["blank_stock_assumed_zero", "category_missing", "daily_stockout_data_missing", "moq_missing", "new_order_lead_time_unknown", "reservations_unknown", "stale_stock"]</x:v>
      </x:c>
      <x:c r="AQ59" s="10" t="str">
        <x:v>IEK:030200550_</x:v>
      </x:c>
      <x:c r="AR59" s="24" t="n">
        <x:v>1</x:v>
      </x:c>
      <x:c r="AS59" s="24" t="n">
        <x:f>MAX(0,ROUNDUP(MAX(0,AF59-AG59-AH59)/AR59-0.000000001,0)*AR59)</x:f>
        <x:v>8</x:v>
      </x:c>
      <x:c r="AT59" s="24" t="n">
        <x:v>7.532800435933609</x:v>
      </x:c>
    </x:row>
    <x:row r="60" ht="64" customHeight="1">
      <x:c r="A60" s="11" t="str">
        <x:v>IEK</x:v>
      </x:c>
      <x:c r="B60" s="33" t="str">
        <x:v>030200551_</x:v>
      </x:c>
      <x:c r="C60" s="33" t="str">
        <x:v>BR-V10-0-10-K35</x:v>
      </x:c>
      <x:c r="D60" s="12" t="str">
        <x:v>Выкл 1-кл. 10А б/рамки "BRITE" маренго (1/100)</x:v>
      </x:c>
      <x:c r="E60" s="11" t="str">
        <x:v>шт</x:v>
      </x:c>
      <x:c r="F60" s="35" t="n">
        <x:f>AS60</x:f>
        <x:v>5</x:v>
      </x:c>
      <x:c r="G60" s="20" t="str">
        <x:f>IF(J60="Рассчитано",V60*(1-R60/100)-W60-P60-Q60,"н/д")</x:f>
        <x:v>н/д</x:v>
      </x:c>
      <x:c r="H60" s="12" t="str">
        <x:v>Высокий</x:v>
      </x:c>
      <x:c r="I60" s="12" t="str">
        <x:v>Высокий</x:v>
      </x:c>
      <x:c r="J60" s="12" t="str">
        <x:f>IF(L60="","Укажите валюту",IF(NOT(ISNUMBER(K60)),"Укажите объём",IF(K60&lt;=0,"Укажите объём",IF(COUNT(M60:O60)&lt;3,"Нужны цены",IF(COUNT(P60:R60)&lt;3,"Нужны расходы",IF(OR(M60&lt;0,N60&lt;0,O60&lt;0,O60&gt;100,P60&lt;0,Q60&lt;0,R60&lt;0,R60&gt;100),"Проверьте значения","Рассчитано"))))))</x:f>
        <x:v>Нужны цены</x:v>
      </x:c>
      <x:c r="K60" s="36" t="n">
        <x:v>5</x:v>
      </x:c>
      <x:c r="L60" s="19" t="str">
        <x:v>KZT</x:v>
      </x:c>
      <x:c r="M60" s="22"/>
      <x:c r="N60" s="22"/>
      <x:c r="O60" s="28"/>
      <x:c r="P60" s="22"/>
      <x:c r="Q60" s="22"/>
      <x:c r="R60" s="28"/>
      <x:c r="S60" s="22"/>
      <x:c r="T60" s="35" t="n">
        <x:f>MIN(K60,AT60)</x:f>
        <x:v>4.977451269656248</x:v>
      </x:c>
      <x:c r="U60" s="20" t="str">
        <x:f>IF(J60="Рассчитано",N60*(1-O60/100),"н/д")</x:f>
        <x:v>н/д</x:v>
      </x:c>
      <x:c r="V60" s="20" t="str">
        <x:f>IF(J60="Рассчитано",T60*U60,"н/д")</x:f>
        <x:v>н/д</x:v>
      </x:c>
      <x:c r="W60" s="20" t="str">
        <x:f>IF(J60="Рассчитано",T60*M60,"н/д")</x:f>
        <x:v>н/д</x:v>
      </x:c>
      <x:c r="X60" s="20" t="str">
        <x:f>IF(J60="Рассчитано",V60-W60,"н/д")</x:f>
        <x:v>н/д</x:v>
      </x:c>
      <x:c r="Y60" s="26" t="str">
        <x:f>IF(J60="Рассчитано",IF(V60&gt;0,G60/V60,"н/д"),"н/д")</x:f>
        <x:v>н/д</x:v>
      </x:c>
      <x:c r="Z60" s="20" t="str">
        <x:f>IF(J60="Рассчитано",K60*M60,"н/д")</x:f>
        <x:v>н/д</x:v>
      </x:c>
      <x:c r="AA60" s="20" t="str">
        <x:f>IF(J60="Рассчитано",(K60-T60)*M60,"н/д")</x:f>
        <x:v>н/д</x:v>
      </x:c>
      <x:c r="AB60" s="20" t="str">
        <x:f>IF(AND(J60="Рассчитано",ISNUMBER(S60)),K60*(S60-M60),"н/д")</x:f>
        <x:v>н/д</x:v>
      </x:c>
      <x:c r="AC60" s="20" t="str">
        <x:f>IF(AND(J60="Рассчитано",T60&gt;0,R60&lt;100),(W60+P60+Q60)/(T60*(1-R60/100)),"н/д")</x:f>
        <x:v>н/д</x:v>
      </x:c>
      <x:c r="AD60" s="11" t="str">
        <x:f>IF(ISNUMBER(G60),IF(G60&lt;0,"Убыток",IF(G60=0,"Без прибыли","Прибыль &gt; 0")),"Не оценён")</x:f>
        <x:v>Не оценён</x:v>
      </x:c>
      <x:c r="AE60" s="12" t="str">
        <x:f>IF(J60="Рассчитано","Выручка "&amp;TEXT(V60,"0.00")&amp;" - себестоимость "&amp;TEXT(W60,"0.00")&amp;" - комиссия "&amp;TEXT(V60*R60/100,"0.00")&amp;" - доставка "&amp;TEXT(P60,"0.00")&amp;" - прочие "&amp;TEXT(Q60,"0.00")&amp;" = "&amp;TEXT(G60,"0.00")&amp;" "&amp;L60,"Введите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0" s="23" t="n">
        <x:v>6.977451269656248</x:v>
      </x:c>
      <x:c r="AG60" s="35" t="n">
        <x:v>2</x:v>
      </x:c>
      <x:c r="AH60" s="35" t="n">
        <x:v>0</x:v>
      </x:c>
      <x:c r="AI60" s="29" t="n">
        <x:v>46266</x:v>
      </x:c>
      <x:c r="AJ60" s="35"/>
      <x:c r="AK60" s="11" t="str">
        <x:v>неизвестно</x:v>
      </x:c>
      <x:c r="AL60" s="31" t="n">
        <x:v>8.599128489930102</x:v>
      </x:c>
      <x:c r="AM60" s="12" t="str">
        <x:v>Остаток на начало сентября; Резервы неизвестны; Stockout оценён по месячным снимкам; Нет ежедневных данных доступности. Запаса примерно на 8.6 дн. без поступлений</x:v>
      </x:c>
      <x:c r="AN60" s="12" t="str">
        <x:v>Подтвердить наличие, срок и цену закупки</x:v>
      </x:c>
      <x:c r="AO60" s="12" t="str">
        <x:v>Прогноз 30 дней 6.98; остаток 2; поступления в срок 0; нехватка 5; заказ с учётом MOQ 5 шт. Остаток на начало сентября: требуется актуализация.</x:v>
      </x:c>
      <x:c r="AP60" s="12" t="str">
        <x:v>["category_missing", "daily_stockout_data_missing", "moq_missing", "new_order_lead_time_unknown", "reservations_unknown", "stale_stock", "stockout_proxy_used"]</x:v>
      </x:c>
      <x:c r="AQ60" s="11" t="str">
        <x:v>IEK:030200551_</x:v>
      </x:c>
      <x:c r="AR60" s="23" t="n">
        <x:v>1</x:v>
      </x:c>
      <x:c r="AS60" s="23" t="n">
        <x:f>MAX(0,ROUNDUP(MAX(0,AF60-AG60-AH60)/AR60-0.000000001,0)*AR60)</x:f>
        <x:v>5</x:v>
      </x:c>
      <x:c r="AT60" s="23" t="n">
        <x:v>4.977451269656248</x:v>
      </x:c>
    </x:row>
    <x:row r="61" ht="64" customHeight="1">
      <x:c r="A61" s="10" t="str">
        <x:v>IEK</x:v>
      </x:c>
      <x:c r="B61" s="34" t="str">
        <x:v>030200553_</x:v>
      </x:c>
      <x:c r="C61" s="34" t="str">
        <x:v>BR-V20-0-10-K35</x:v>
      </x:c>
      <x:c r="D61" s="13" t="str">
        <x:v>Выкл 2-кл. 10А б/рамки "BRITE" маренго (1/100)</x:v>
      </x:c>
      <x:c r="E61" s="10" t="str">
        <x:v>шт</x:v>
      </x:c>
      <x:c r="F61" s="37" t="n">
        <x:f>AS61</x:f>
        <x:v>5</x:v>
      </x:c>
      <x:c r="G61" s="21" t="str">
        <x:f>IF(J61="Рассчитано",V61*(1-R61/100)-W61-P61-Q61,"н/д")</x:f>
        <x:v>н/д</x:v>
      </x:c>
      <x:c r="H61" s="13" t="str">
        <x:v>Высокий</x:v>
      </x:c>
      <x:c r="I61" s="13" t="str">
        <x:v>Критический</x:v>
      </x:c>
      <x:c r="J61" s="13" t="str">
        <x:f>IF(L61="","Укажите валюту",IF(NOT(ISNUMBER(K61)),"Укажите объём",IF(K61&lt;=0,"Укажите объём",IF(COUNT(M61:O61)&lt;3,"Нужны цены",IF(COUNT(P61:R61)&lt;3,"Нужны расходы",IF(OR(M61&lt;0,N61&lt;0,O61&lt;0,O61&gt;100,P61&lt;0,Q61&lt;0,R61&lt;0,R61&gt;100),"Проверьте значения","Рассчитано"))))))</x:f>
        <x:v>Нужны цены</x:v>
      </x:c>
      <x:c r="K61" s="36" t="n">
        <x:v>5</x:v>
      </x:c>
      <x:c r="L61" s="19" t="str">
        <x:v>KZT</x:v>
      </x:c>
      <x:c r="M61" s="22"/>
      <x:c r="N61" s="22"/>
      <x:c r="O61" s="28"/>
      <x:c r="P61" s="22"/>
      <x:c r="Q61" s="22"/>
      <x:c r="R61" s="28"/>
      <x:c r="S61" s="22"/>
      <x:c r="T61" s="37" t="n">
        <x:f>MIN(K61,AT61)</x:f>
        <x:v>4.505504632889001</x:v>
      </x:c>
      <x:c r="U61" s="21" t="str">
        <x:f>IF(J61="Рассчитано",N61*(1-O61/100),"н/д")</x:f>
        <x:v>н/д</x:v>
      </x:c>
      <x:c r="V61" s="21" t="str">
        <x:f>IF(J61="Рассчитано",T61*U61,"н/д")</x:f>
        <x:v>н/д</x:v>
      </x:c>
      <x:c r="W61" s="21" t="str">
        <x:f>IF(J61="Рассчитано",T61*M61,"н/д")</x:f>
        <x:v>н/д</x:v>
      </x:c>
      <x:c r="X61" s="21" t="str">
        <x:f>IF(J61="Рассчитано",V61-W61,"н/д")</x:f>
        <x:v>н/д</x:v>
      </x:c>
      <x:c r="Y61" s="27" t="str">
        <x:f>IF(J61="Рассчитано",IF(V61&gt;0,G61/V61,"н/д"),"н/д")</x:f>
        <x:v>н/д</x:v>
      </x:c>
      <x:c r="Z61" s="21" t="str">
        <x:f>IF(J61="Рассчитано",K61*M61,"н/д")</x:f>
        <x:v>н/д</x:v>
      </x:c>
      <x:c r="AA61" s="21" t="str">
        <x:f>IF(J61="Рассчитано",(K61-T61)*M61,"н/д")</x:f>
        <x:v>н/д</x:v>
      </x:c>
      <x:c r="AB61" s="21" t="str">
        <x:f>IF(AND(J61="Рассчитано",ISNUMBER(S61)),K61*(S61-M61),"н/д")</x:f>
        <x:v>н/д</x:v>
      </x:c>
      <x:c r="AC61" s="21" t="str">
        <x:f>IF(AND(J61="Рассчитано",T61&gt;0,R61&lt;100),(W61+P61+Q61)/(T61*(1-R61/100)),"н/д")</x:f>
        <x:v>н/д</x:v>
      </x:c>
      <x:c r="AD61" s="10" t="str">
        <x:f>IF(ISNUMBER(G61),IF(G61&lt;0,"Убыток",IF(G61=0,"Без прибыли","Прибыль &gt; 0")),"Не оценён")</x:f>
        <x:v>Не оценён</x:v>
      </x:c>
      <x:c r="AE61" s="13" t="str">
        <x:f>IF(J61="Рассчитано","Выручка "&amp;TEXT(V61,"0.00")&amp;" - себестоимость "&amp;TEXT(W61,"0.00")&amp;" - комиссия "&amp;TEXT(V61*R61/100,"0.00")&amp;" - доставка "&amp;TEXT(P61,"0.00")&amp;" - прочие "&amp;TEXT(Q61,"0.00")&amp;" = "&amp;TEXT(G61,"0.00")&amp;" "&amp;L61,"Введите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1" s="24" t="n">
        <x:v>5.505504632889001</x:v>
      </x:c>
      <x:c r="AG61" s="37" t="n">
        <x:v>1</x:v>
      </x:c>
      <x:c r="AH61" s="37" t="n">
        <x:v>0</x:v>
      </x:c>
      <x:c r="AI61" s="30" t="n">
        <x:v>46266</x:v>
      </x:c>
      <x:c r="AJ61" s="37"/>
      <x:c r="AK61" s="10" t="str">
        <x:v>неизвестно</x:v>
      </x:c>
      <x:c r="AL61" s="32" t="n">
        <x:v>5.449091772765899</x:v>
      </x:c>
      <x:c r="AM61" s="13" t="str">
        <x:v>Остаток на начало сентября; Резервы неизвестны; Нет ежедневных данных доступности. Запаса примерно на 5.4 дн. без поступлений</x:v>
      </x:c>
      <x:c r="AN61" s="13" t="str">
        <x:v>Подтвердить наличие, срок и цену закупки</x:v>
      </x:c>
      <x:c r="AO61" s="13" t="str">
        <x:v>Прогноз 30 дней 5.51; остаток 1; поступления в срок 0; нехватка 5; заказ с учётом MOQ 5 шт. Остаток на начало сентября: требуется актуализация.</x:v>
      </x:c>
      <x:c r="AP61" s="13" t="str">
        <x:v>["category_missing", "daily_stockout_data_missing", "moq_missing", "new_order_lead_time_unknown", "reservations_unknown", "stale_stock"]</x:v>
      </x:c>
      <x:c r="AQ61" s="10" t="str">
        <x:v>IEK:030200553_</x:v>
      </x:c>
      <x:c r="AR61" s="24" t="n">
        <x:v>1</x:v>
      </x:c>
      <x:c r="AS61" s="24" t="n">
        <x:f>MAX(0,ROUNDUP(MAX(0,AF61-AG61-AH61)/AR61-0.000000001,0)*AR61)</x:f>
        <x:v>5</x:v>
      </x:c>
      <x:c r="AT61" s="24" t="n">
        <x:v>4.505504632889001</x:v>
      </x:c>
    </x:row>
    <x:row r="62" ht="64" customHeight="1">
      <x:c r="A62" s="11" t="str">
        <x:v>IEK</x:v>
      </x:c>
      <x:c r="B62" s="33" t="str">
        <x:v>030200559_</x:v>
      </x:c>
      <x:c r="C62" s="33" t="str">
        <x:v>BR-M12-K35</x:v>
      </x:c>
      <x:c r="D62" s="12" t="str">
        <x:v>Рамка 1-мест. "BRITE" маренго (1/100)</x:v>
      </x:c>
      <x:c r="E62" s="11" t="str">
        <x:v>шт</x:v>
      </x:c>
      <x:c r="F62" s="35" t="n">
        <x:f>AS62</x:f>
        <x:v>15</x:v>
      </x:c>
      <x:c r="G62" s="20" t="str">
        <x:f>IF(J62="Рассчитано",V62*(1-R62/100)-W62-P62-Q62,"н/д")</x:f>
        <x:v>н/д</x:v>
      </x:c>
      <x:c r="H62" s="12" t="str">
        <x:v>Высокий</x:v>
      </x:c>
      <x:c r="I62" s="12" t="str">
        <x:v>Критический</x:v>
      </x:c>
      <x:c r="J62" s="12" t="str">
        <x:f>IF(L62="","Укажите валюту",IF(NOT(ISNUMBER(K62)),"Укажите объём",IF(K62&lt;=0,"Укажите объём",IF(COUNT(M62:O62)&lt;3,"Нужны цены",IF(COUNT(P62:R62)&lt;3,"Нужны расходы",IF(OR(M62&lt;0,N62&lt;0,O62&lt;0,O62&gt;100,P62&lt;0,Q62&lt;0,R62&lt;0,R62&gt;100),"Проверьте значения","Рассчитано"))))))</x:f>
        <x:v>Нужны цены</x:v>
      </x:c>
      <x:c r="K62" s="36" t="n">
        <x:v>15</x:v>
      </x:c>
      <x:c r="L62" s="19" t="str">
        <x:v>KZT</x:v>
      </x:c>
      <x:c r="M62" s="22"/>
      <x:c r="N62" s="22"/>
      <x:c r="O62" s="28"/>
      <x:c r="P62" s="22"/>
      <x:c r="Q62" s="22"/>
      <x:c r="R62" s="28"/>
      <x:c r="S62" s="22"/>
      <x:c r="T62" s="35" t="n">
        <x:f>MIN(K62,AT62)</x:f>
        <x:v>14.039149914473507</x:v>
      </x:c>
      <x:c r="U62" s="20" t="str">
        <x:f>IF(J62="Рассчитано",N62*(1-O62/100),"н/д")</x:f>
        <x:v>н/д</x:v>
      </x:c>
      <x:c r="V62" s="20" t="str">
        <x:f>IF(J62="Рассчитано",T62*U62,"н/д")</x:f>
        <x:v>н/д</x:v>
      </x:c>
      <x:c r="W62" s="20" t="str">
        <x:f>IF(J62="Рассчитано",T62*M62,"н/д")</x:f>
        <x:v>н/д</x:v>
      </x:c>
      <x:c r="X62" s="20" t="str">
        <x:f>IF(J62="Рассчитано",V62-W62,"н/д")</x:f>
        <x:v>н/д</x:v>
      </x:c>
      <x:c r="Y62" s="26" t="str">
        <x:f>IF(J62="Рассчитано",IF(V62&gt;0,G62/V62,"н/д"),"н/д")</x:f>
        <x:v>н/д</x:v>
      </x:c>
      <x:c r="Z62" s="20" t="str">
        <x:f>IF(J62="Рассчитано",K62*M62,"н/д")</x:f>
        <x:v>н/д</x:v>
      </x:c>
      <x:c r="AA62" s="20" t="str">
        <x:f>IF(J62="Рассчитано",(K62-T62)*M62,"н/д")</x:f>
        <x:v>н/д</x:v>
      </x:c>
      <x:c r="AB62" s="20" t="str">
        <x:f>IF(AND(J62="Рассчитано",ISNUMBER(S62)),K62*(S62-M62),"н/д")</x:f>
        <x:v>н/д</x:v>
      </x:c>
      <x:c r="AC62" s="20" t="str">
        <x:f>IF(AND(J62="Рассчитано",T62&gt;0,R62&lt;100),(W62+P62+Q62)/(T62*(1-R62/100)),"н/д")</x:f>
        <x:v>н/д</x:v>
      </x:c>
      <x:c r="AD62" s="11" t="str">
        <x:f>IF(ISNUMBER(G62),IF(G62&lt;0,"Убыток",IF(G62=0,"Без прибыли","Прибыль &gt; 0")),"Не оценён")</x:f>
        <x:v>Не оценён</x:v>
      </x:c>
      <x:c r="AE62" s="12" t="str">
        <x:f>IF(J62="Рассчитано","Выручка "&amp;TEXT(V62,"0.00")&amp;" - себестоимость "&amp;TEXT(W62,"0.00")&amp;" - комиссия "&amp;TEXT(V62*R62/100,"0.00")&amp;" - доставка "&amp;TEXT(P62,"0.00")&amp;" - прочие "&amp;TEXT(Q62,"0.00")&amp;" = "&amp;TEXT(G62,"0.00")&amp;" "&amp;L62,"Введите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2" s="23" t="n">
        <x:v>15.039149914473507</x:v>
      </x:c>
      <x:c r="AG62" s="35" t="n">
        <x:v>1</x:v>
      </x:c>
      <x:c r="AH62" s="35" t="n">
        <x:v>0</x:v>
      </x:c>
      <x:c r="AI62" s="29" t="n">
        <x:v>46266</x:v>
      </x:c>
      <x:c r="AJ62" s="35"/>
      <x:c r="AK62" s="11" t="str">
        <x:v>неизвестно</x:v>
      </x:c>
      <x:c r="AL62" s="31" t="n">
        <x:v>1.994793600077644</x:v>
      </x:c>
      <x:c r="AM62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2.0 дн. без поступлений</x:v>
      </x:c>
      <x:c r="AN62" s="12" t="str">
        <x:v>Подтвердить наличие, срок и цену закупки</x:v>
      </x:c>
      <x:c r="AO62" s="12" t="str">
        <x:v>Прогноз 30 дней 15.04; остаток 1; поступления в срок 0; нехватка 15; заказ с учётом MOQ 15 шт. Остаток на начало сентября: требуется актуализация.</x:v>
      </x:c>
      <x:c r="AP62" s="12" t="str">
        <x:v>["category_missing", "daily_stockout_data_missing", "large_orders_detected", "moq_missing", "negative_net_sales_clipped_for_forecast", "new_order_lead_time_unknown", "reservations_unknown", "stale_stock", "transaction_month_mismatch"]</x:v>
      </x:c>
      <x:c r="AQ62" s="11" t="str">
        <x:v>IEK:030200559_</x:v>
      </x:c>
      <x:c r="AR62" s="23" t="n">
        <x:v>1</x:v>
      </x:c>
      <x:c r="AS62" s="23" t="n">
        <x:f>MAX(0,ROUNDUP(MAX(0,AF62-AG62-AH62)/AR62-0.000000001,0)*AR62)</x:f>
        <x:v>15</x:v>
      </x:c>
      <x:c r="AT62" s="23" t="n">
        <x:v>14.039149914473507</x:v>
      </x:c>
    </x:row>
    <x:row r="63" ht="64" customHeight="1">
      <x:c r="A63" s="10" t="str">
        <x:v>IEK</x:v>
      </x:c>
      <x:c r="B63" s="34" t="str">
        <x:v>030200560_</x:v>
      </x:c>
      <x:c r="C63" s="34" t="str">
        <x:v>BR-M22-K35</x:v>
      </x:c>
      <x:c r="D63" s="13" t="str">
        <x:v>Рамка 2-мест. "BRITE" маренго (1/100)</x:v>
      </x:c>
      <x:c r="E63" s="10" t="str">
        <x:v>шт</x:v>
      </x:c>
      <x:c r="F63" s="37" t="n">
        <x:f>AS63</x:f>
        <x:v>12</x:v>
      </x:c>
      <x:c r="G63" s="21" t="str">
        <x:f>IF(J63="Рассчитано",V63*(1-R63/100)-W63-P63-Q63,"н/д")</x:f>
        <x:v>н/д</x:v>
      </x:c>
      <x:c r="H63" s="13" t="str">
        <x:v>Высокий</x:v>
      </x:c>
      <x:c r="I63" s="13" t="str">
        <x:v>Критический</x:v>
      </x:c>
      <x:c r="J63" s="13" t="str">
        <x:f>IF(L63="","Укажите валюту",IF(NOT(ISNUMBER(K63)),"Укажите объём",IF(K63&lt;=0,"Укажите объём",IF(COUNT(M63:O63)&lt;3,"Нужны цены",IF(COUNT(P63:R63)&lt;3,"Нужны расходы",IF(OR(M63&lt;0,N63&lt;0,O63&lt;0,O63&gt;100,P63&lt;0,Q63&lt;0,R63&lt;0,R63&gt;100),"Проверьте значения","Рассчитано"))))))</x:f>
        <x:v>Нужны цены</x:v>
      </x:c>
      <x:c r="K63" s="36" t="n">
        <x:v>12</x:v>
      </x:c>
      <x:c r="L63" s="19" t="str">
        <x:v>KZT</x:v>
      </x:c>
      <x:c r="M63" s="22"/>
      <x:c r="N63" s="22"/>
      <x:c r="O63" s="28"/>
      <x:c r="P63" s="22"/>
      <x:c r="Q63" s="22"/>
      <x:c r="R63" s="28"/>
      <x:c r="S63" s="22"/>
      <x:c r="T63" s="37" t="n">
        <x:f>MIN(K63,AT63)</x:f>
        <x:v>11.953909412243783</x:v>
      </x:c>
      <x:c r="U63" s="21" t="str">
        <x:f>IF(J63="Рассчитано",N63*(1-O63/100),"н/д")</x:f>
        <x:v>н/д</x:v>
      </x:c>
      <x:c r="V63" s="21" t="str">
        <x:f>IF(J63="Рассчитано",T63*U63,"н/д")</x:f>
        <x:v>н/д</x:v>
      </x:c>
      <x:c r="W63" s="21" t="str">
        <x:f>IF(J63="Рассчитано",T63*M63,"н/д")</x:f>
        <x:v>н/д</x:v>
      </x:c>
      <x:c r="X63" s="21" t="str">
        <x:f>IF(J63="Рассчитано",V63-W63,"н/д")</x:f>
        <x:v>н/д</x:v>
      </x:c>
      <x:c r="Y63" s="27" t="str">
        <x:f>IF(J63="Рассчитано",IF(V63&gt;0,G63/V63,"н/д"),"н/д")</x:f>
        <x:v>н/д</x:v>
      </x:c>
      <x:c r="Z63" s="21" t="str">
        <x:f>IF(J63="Рассчитано",K63*M63,"н/д")</x:f>
        <x:v>н/д</x:v>
      </x:c>
      <x:c r="AA63" s="21" t="str">
        <x:f>IF(J63="Рассчитано",(K63-T63)*M63,"н/д")</x:f>
        <x:v>н/д</x:v>
      </x:c>
      <x:c r="AB63" s="21" t="str">
        <x:f>IF(AND(J63="Рассчитано",ISNUMBER(S63)),K63*(S63-M63),"н/д")</x:f>
        <x:v>н/д</x:v>
      </x:c>
      <x:c r="AC63" s="21" t="str">
        <x:f>IF(AND(J63="Рассчитано",T63&gt;0,R63&lt;100),(W63+P63+Q63)/(T63*(1-R63/100)),"н/д")</x:f>
        <x:v>н/д</x:v>
      </x:c>
      <x:c r="AD63" s="10" t="str">
        <x:f>IF(ISNUMBER(G63),IF(G63&lt;0,"Убыток",IF(G63=0,"Без прибыли","Прибыль &gt; 0")),"Не оценён")</x:f>
        <x:v>Не оценён</x:v>
      </x:c>
      <x:c r="AE63" s="13" t="str">
        <x:f>IF(J63="Рассчитано","Выручка "&amp;TEXT(V63,"0.00")&amp;" - себестоимость "&amp;TEXT(W63,"0.00")&amp;" - комиссия "&amp;TEXT(V63*R63/100,"0.00")&amp;" - доставка "&amp;TEXT(P63,"0.00")&amp;" - прочие "&amp;TEXT(Q63,"0.00")&amp;" = "&amp;TEXT(G63,"0.00")&amp;" "&amp;L63,"Введите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3" s="24" t="n">
        <x:v>11.953909412243783</x:v>
      </x:c>
      <x:c r="AG63" s="37" t="n">
        <x:v>0</x:v>
      </x:c>
      <x:c r="AH63" s="37" t="n">
        <x:v>0</x:v>
      </x:c>
      <x:c r="AI63" s="30" t="n">
        <x:v>46266</x:v>
      </x:c>
      <x:c r="AJ63" s="37"/>
      <x:c r="AK63" s="10" t="str">
        <x:v>неизвестно</x:v>
      </x:c>
      <x:c r="AL63" s="32" t="n">
        <x:v>0</x:v>
      </x:c>
      <x:c r="AM63" s="13" t="str">
        <x:v>Остаток на начало сентября; Резервы неизвестны; Детальные и месячные продажи расходятся; Stockout оценён по месячным снимкам; Нет ежедневных данных доступности. Нет запаса</x:v>
      </x:c>
      <x:c r="AN63" s="13" t="str">
        <x:v>Подтвердить наличие, срок и цену закупки</x:v>
      </x:c>
      <x:c r="AO63" s="13" t="str">
        <x:v>Прогноз 30 дней 11.95; остаток 0; поступления в срок 0; нехватка 12; заказ с учётом MOQ 12 шт. Остаток на начало сентября: требуется актуализация.</x:v>
      </x:c>
      <x:c r="AP63" s="13" t="str">
        <x:v>["blank_stock_assumed_zero", "category_missing", "daily_stockout_data_missing", "large_orders_detected", "moq_missing", "negative_net_sales_clipped_for_forecast", "new_order_lead_time_unknown", "reservations_unknown", "stale_stock", "stockout_proxy_used", "transaction_month_mismatch"]</x:v>
      </x:c>
      <x:c r="AQ63" s="10" t="str">
        <x:v>IEK:030200560_</x:v>
      </x:c>
      <x:c r="AR63" s="24" t="n">
        <x:v>1</x:v>
      </x:c>
      <x:c r="AS63" s="24" t="n">
        <x:f>MAX(0,ROUNDUP(MAX(0,AF63-AG63-AH63)/AR63-0.000000001,0)*AR63)</x:f>
        <x:v>12</x:v>
      </x:c>
      <x:c r="AT63" s="24" t="n">
        <x:v>11.953909412243783</x:v>
      </x:c>
    </x:row>
    <x:row r="64" ht="64" customHeight="1">
      <x:c r="A64" s="11" t="str">
        <x:v>IEK</x:v>
      </x:c>
      <x:c r="B64" s="33" t="str">
        <x:v>030200565_</x:v>
      </x:c>
      <x:c r="C64" s="33" t="str">
        <x:v>BR-R11-16-K35</x:v>
      </x:c>
      <x:c r="D64" s="12" t="str">
        <x:v>Роз. 1-мест. с/з 16А б/рамки "BRITE" маренго (1/100)</x:v>
      </x:c>
      <x:c r="E64" s="11" t="str">
        <x:v>шт</x:v>
      </x:c>
      <x:c r="F64" s="35" t="n">
        <x:f>AS64</x:f>
        <x:v>26</x:v>
      </x:c>
      <x:c r="G64" s="20" t="str">
        <x:f>IF(J64="Рассчитано",V64*(1-R64/100)-W64-P64-Q64,"н/д")</x:f>
        <x:v>н/д</x:v>
      </x:c>
      <x:c r="H64" s="12" t="str">
        <x:v>Высокий</x:v>
      </x:c>
      <x:c r="I64" s="12" t="str">
        <x:v>Критический</x:v>
      </x:c>
      <x:c r="J64" s="12" t="str">
        <x:f>IF(L64="","Укажите валюту",IF(NOT(ISNUMBER(K64)),"Укажите объём",IF(K64&lt;=0,"Укажите объём",IF(COUNT(M64:O64)&lt;3,"Нужны цены",IF(COUNT(P64:R64)&lt;3,"Нужны расходы",IF(OR(M64&lt;0,N64&lt;0,O64&lt;0,O64&gt;100,P64&lt;0,Q64&lt;0,R64&lt;0,R64&gt;100),"Проверьте значения","Рассчитано"))))))</x:f>
        <x:v>Нужны цены</x:v>
      </x:c>
      <x:c r="K64" s="36" t="n">
        <x:v>26</x:v>
      </x:c>
      <x:c r="L64" s="19" t="str">
        <x:v>KZT</x:v>
      </x:c>
      <x:c r="M64" s="22"/>
      <x:c r="N64" s="22"/>
      <x:c r="O64" s="28"/>
      <x:c r="P64" s="22"/>
      <x:c r="Q64" s="22"/>
      <x:c r="R64" s="28"/>
      <x:c r="S64" s="22"/>
      <x:c r="T64" s="35" t="n">
        <x:f>MIN(K64,AT64)</x:f>
        <x:v>25.32721661270205</x:v>
      </x:c>
      <x:c r="U64" s="20" t="str">
        <x:f>IF(J64="Рассчитано",N64*(1-O64/100),"н/д")</x:f>
        <x:v>н/д</x:v>
      </x:c>
      <x:c r="V64" s="20" t="str">
        <x:f>IF(J64="Рассчитано",T64*U64,"н/д")</x:f>
        <x:v>н/д</x:v>
      </x:c>
      <x:c r="W64" s="20" t="str">
        <x:f>IF(J64="Рассчитано",T64*M64,"н/д")</x:f>
        <x:v>н/д</x:v>
      </x:c>
      <x:c r="X64" s="20" t="str">
        <x:f>IF(J64="Рассчитано",V64-W64,"н/д")</x:f>
        <x:v>н/д</x:v>
      </x:c>
      <x:c r="Y64" s="26" t="str">
        <x:f>IF(J64="Рассчитано",IF(V64&gt;0,G64/V64,"н/д"),"н/д")</x:f>
        <x:v>н/д</x:v>
      </x:c>
      <x:c r="Z64" s="20" t="str">
        <x:f>IF(J64="Рассчитано",K64*M64,"н/д")</x:f>
        <x:v>н/д</x:v>
      </x:c>
      <x:c r="AA64" s="20" t="str">
        <x:f>IF(J64="Рассчитано",(K64-T64)*M64,"н/д")</x:f>
        <x:v>н/д</x:v>
      </x:c>
      <x:c r="AB64" s="20" t="str">
        <x:f>IF(AND(J64="Рассчитано",ISNUMBER(S64)),K64*(S64-M64),"н/д")</x:f>
        <x:v>н/д</x:v>
      </x:c>
      <x:c r="AC64" s="20" t="str">
        <x:f>IF(AND(J64="Рассчитано",T64&gt;0,R64&lt;100),(W64+P64+Q64)/(T64*(1-R64/100)),"н/д")</x:f>
        <x:v>н/д</x:v>
      </x:c>
      <x:c r="AD64" s="11" t="str">
        <x:f>IF(ISNUMBER(G64),IF(G64&lt;0,"Убыток",IF(G64=0,"Без прибыли","Прибыль &gt; 0")),"Не оценён")</x:f>
        <x:v>Не оценён</x:v>
      </x:c>
      <x:c r="AE64" s="12" t="str">
        <x:f>IF(J64="Рассчитано","Выручка "&amp;TEXT(V64,"0.00")&amp;" - себестоимость "&amp;TEXT(W64,"0.00")&amp;" - комиссия "&amp;TEXT(V64*R64/100,"0.00")&amp;" - доставка "&amp;TEXT(P64,"0.00")&amp;" - прочие "&amp;TEXT(Q64,"0.00")&amp;" = "&amp;TEXT(G64,"0.00")&amp;" "&amp;L64,"Введите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4" s="23" t="n">
        <x:v>25.32721661270205</x:v>
      </x:c>
      <x:c r="AG64" s="35" t="n">
        <x:v>0</x:v>
      </x:c>
      <x:c r="AH64" s="35" t="n">
        <x:v>0</x:v>
      </x:c>
      <x:c r="AI64" s="29" t="n">
        <x:v>46266</x:v>
      </x:c>
      <x:c r="AJ64" s="35"/>
      <x:c r="AK64" s="11" t="str">
        <x:v>неизвестно</x:v>
      </x:c>
      <x:c r="AL64" s="31" t="n">
        <x:v>0</x:v>
      </x:c>
      <x:c r="AM64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64" s="12" t="str">
        <x:v>Подтвердить наличие, срок и цену закупки</x:v>
      </x:c>
      <x:c r="AO64" s="12" t="str">
        <x:v>Прогноз 30 дней 25.33; остаток 0; поступления в срок 0; нехватка 26; заказ с учётом MOQ 26 шт. Остаток на начало сентября: требуется актуализация.</x:v>
      </x:c>
      <x:c r="AP64" s="12" t="str">
        <x:v>["blank_stock_assumed_zero", "category_missing", "daily_stockout_data_missing", "moq_missing", "negative_net_sales_clipped_for_forecast", "new_order_lead_time_unknown", "reservations_unknown", "stale_stock", "stockout_proxy_used"]</x:v>
      </x:c>
      <x:c r="AQ64" s="11" t="str">
        <x:v>IEK:030200565_</x:v>
      </x:c>
      <x:c r="AR64" s="23" t="n">
        <x:v>1</x:v>
      </x:c>
      <x:c r="AS64" s="23" t="n">
        <x:f>MAX(0,ROUNDUP(MAX(0,AF64-AG64-AH64)/AR64-0.000000001,0)*AR64)</x:f>
        <x:v>26</x:v>
      </x:c>
      <x:c r="AT64" s="23" t="n">
        <x:v>25.32721661270205</x:v>
      </x:c>
    </x:row>
    <x:row r="65" ht="64" customHeight="1">
      <x:c r="A65" s="10" t="str">
        <x:v>IEK</x:v>
      </x:c>
      <x:c r="B65" s="34" t="str">
        <x:v>030200810_</x:v>
      </x:c>
      <x:c r="C65" s="34" t="str">
        <x:v>BR-R14-16-K45</x:v>
      </x:c>
      <x:c r="D65" s="13" t="str">
        <x:v>Роз. с з/к 16А б/рамки "BRITE" темная бронза (1/100)</x:v>
      </x:c>
      <x:c r="E65" s="10" t="str">
        <x:v>шт</x:v>
      </x:c>
      <x:c r="F65" s="37" t="n">
        <x:f>IF(AS65&gt;0,MAX(AS65,AJ65),0)</x:f>
        <x:v>13</x:v>
      </x:c>
      <x:c r="G65" s="21" t="str">
        <x:f>IF(J65="Рассчитано",V65*(1-R65/100)-W65-P65-Q65,"н/д")</x:f>
        <x:v>н/д</x:v>
      </x:c>
      <x:c r="H65" s="13" t="str">
        <x:v>Высокий</x:v>
      </x:c>
      <x:c r="I65" s="13" t="str">
        <x:v>Средний</x:v>
      </x:c>
      <x:c r="J65" s="13" t="str">
        <x:f>IF(L65="","Укажите валюту",IF(NOT(ISNUMBER(K65)),"Укажите объём",IF(K65&lt;=0,"Укажите объём",IF(COUNT(M65:O65)&lt;3,"Нужны цены",IF(COUNT(P65:R65)&lt;3,"Нужны расходы",IF(OR(M65&lt;0,N65&lt;0,O65&lt;0,O65&gt;100,P65&lt;0,Q65&lt;0,R65&lt;0,R65&gt;100),"Проверьте значения","Рассчитано"))))))</x:f>
        <x:v>Нужны цены</x:v>
      </x:c>
      <x:c r="K65" s="36" t="n">
        <x:v>13</x:v>
      </x:c>
      <x:c r="L65" s="19" t="str">
        <x:v>KZT</x:v>
      </x:c>
      <x:c r="M65" s="22"/>
      <x:c r="N65" s="22"/>
      <x:c r="O65" s="28"/>
      <x:c r="P65" s="22"/>
      <x:c r="Q65" s="22"/>
      <x:c r="R65" s="28"/>
      <x:c r="S65" s="22"/>
      <x:c r="T65" s="37" t="n">
        <x:f>MIN(K65,AT65)</x:f>
        <x:v>12.002843082058178</x:v>
      </x:c>
      <x:c r="U65" s="21" t="str">
        <x:f>IF(J65="Рассчитано",N65*(1-O65/100),"н/д")</x:f>
        <x:v>н/д</x:v>
      </x:c>
      <x:c r="V65" s="21" t="str">
        <x:f>IF(J65="Рассчитано",T65*U65,"н/д")</x:f>
        <x:v>н/д</x:v>
      </x:c>
      <x:c r="W65" s="21" t="str">
        <x:f>IF(J65="Рассчитано",T65*M65,"н/д")</x:f>
        <x:v>н/д</x:v>
      </x:c>
      <x:c r="X65" s="21" t="str">
        <x:f>IF(J65="Рассчитано",V65-W65,"н/д")</x:f>
        <x:v>н/д</x:v>
      </x:c>
      <x:c r="Y65" s="27" t="str">
        <x:f>IF(J65="Рассчитано",IF(V65&gt;0,G65/V65,"н/д"),"н/д")</x:f>
        <x:v>н/д</x:v>
      </x:c>
      <x:c r="Z65" s="21" t="str">
        <x:f>IF(J65="Рассчитано",K65*M65,"н/д")</x:f>
        <x:v>н/д</x:v>
      </x:c>
      <x:c r="AA65" s="21" t="str">
        <x:f>IF(J65="Рассчитано",(K65-T65)*M65,"н/д")</x:f>
        <x:v>н/д</x:v>
      </x:c>
      <x:c r="AB65" s="21" t="str">
        <x:f>IF(AND(J65="Рассчитано",ISNUMBER(S65)),K65*(S65-M65),"н/д")</x:f>
        <x:v>н/д</x:v>
      </x:c>
      <x:c r="AC65" s="21" t="str">
        <x:f>IF(AND(J65="Рассчитано",T65&gt;0,R65&lt;100),(W65+P65+Q65)/(T65*(1-R65/100)),"н/д")</x:f>
        <x:v>н/д</x:v>
      </x:c>
      <x:c r="AD65" s="10" t="str">
        <x:f>IF(ISNUMBER(G65),IF(G65&lt;0,"Убыток",IF(G65=0,"Без прибыли","Прибыль &gt; 0")),"Не оценён")</x:f>
        <x:v>Не оценён</x:v>
      </x:c>
      <x:c r="AE65" s="13" t="str">
        <x:f>IF(J65="Рассчитано","Выручка "&amp;TEXT(V65,"0.00")&amp;" - себестоимость "&amp;TEXT(W65,"0.00")&amp;" - комиссия "&amp;TEXT(V65*R65/100,"0.00")&amp;" - доставка "&amp;TEXT(P65,"0.00")&amp;" - прочие "&amp;TEXT(Q65,"0.00")&amp;" = "&amp;TEXT(G65,"0.00")&amp;" "&amp;L65,"Введите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5" s="24" t="n">
        <x:v>65.00284308205818</x:v>
      </x:c>
      <x:c r="AG65" s="37" t="n">
        <x:v>53</x:v>
      </x:c>
      <x:c r="AH65" s="37" t="n">
        <x:v>0</x:v>
      </x:c>
      <x:c r="AI65" s="30" t="n">
        <x:v>46266</x:v>
      </x:c>
      <x:c r="AJ65" s="37" t="n">
        <x:v>1</x:v>
      </x:c>
      <x:c r="AK65" s="10" t="str">
        <x:v>минимум</x:v>
      </x:c>
      <x:c r="AL65" s="32" t="n">
        <x:v>24.4604685673951</x:v>
      </x:c>
      <x:c r="AM65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24.5 дн. без поступлений</x:v>
      </x:c>
      <x:c r="AN65" s="13" t="str">
        <x:v>Подтвердить наличие, срок и цену закупки</x:v>
      </x:c>
      <x:c r="AO65" s="13" t="str">
        <x:v>Прогноз 30 дней 65.00; остаток 53; поступления в срок 0; нехватка 13; заказ с учётом MOQ 13 шт. Остаток на начало сентября: требуется актуализация.</x:v>
      </x:c>
      <x:c r="AP65" s="13" t="str">
        <x:v>["category_missing", "daily_stockout_data_missing", "large_orders_detected", "new_order_lead_time_unknown", "reservations_unknown", "stale_stock", "transaction_month_mismatch"]</x:v>
      </x:c>
      <x:c r="AQ65" s="10" t="str">
        <x:v>IEK:030200810_</x:v>
      </x:c>
      <x:c r="AR65" s="24" t="n">
        <x:v>1</x:v>
      </x:c>
      <x:c r="AS65" s="24" t="n">
        <x:f>MAX(0,ROUNDUP(MAX(0,AF65-AG65-AH65)/AR65-0.000000001,0)*AR65)</x:f>
        <x:v>13</x:v>
      </x:c>
      <x:c r="AT65" s="24" t="n">
        <x:v>12.002843082058178</x:v>
      </x:c>
    </x:row>
    <x:row r="66" ht="64" customHeight="1">
      <x:c r="A66" s="11" t="str">
        <x:v>IEK</x:v>
      </x:c>
      <x:c r="B66" s="33" t="str">
        <x:v>030200821_</x:v>
      </x:c>
      <x:c r="C66" s="33" t="str">
        <x:v>BR-M32-K45</x:v>
      </x:c>
      <x:c r="D66" s="12" t="str">
        <x:v>Рамка 3-мест. "BRITE" темная бронза (1/100)</x:v>
      </x:c>
      <x:c r="E66" s="11" t="str">
        <x:v>шт</x:v>
      </x:c>
      <x:c r="F66" s="35" t="n">
        <x:f>IF(AS66&gt;0,MAX(AS66,AJ66),0)</x:f>
        <x:v>11</x:v>
      </x:c>
      <x:c r="G66" s="20" t="str">
        <x:f>IF(J66="Рассчитано",V66*(1-R66/100)-W66-P66-Q66,"н/д")</x:f>
        <x:v>н/д</x:v>
      </x:c>
      <x:c r="H66" s="12" t="str">
        <x:v>Высокий</x:v>
      </x:c>
      <x:c r="I66" s="12" t="str">
        <x:v>Высокий</x:v>
      </x:c>
      <x:c r="J66" s="12" t="str">
        <x:f>IF(L66="","Укажите валюту",IF(NOT(ISNUMBER(K66)),"Укажите объём",IF(K66&lt;=0,"Укажите объём",IF(COUNT(M66:O66)&lt;3,"Нужны цены",IF(COUNT(P66:R66)&lt;3,"Нужны расходы",IF(OR(M66&lt;0,N66&lt;0,O66&lt;0,O66&gt;100,P66&lt;0,Q66&lt;0,R66&lt;0,R66&gt;100),"Проверьте значения","Рассчитано"))))))</x:f>
        <x:v>Нужны цены</x:v>
      </x:c>
      <x:c r="K66" s="36" t="n">
        <x:v>11</x:v>
      </x:c>
      <x:c r="L66" s="19" t="str">
        <x:v>KZT</x:v>
      </x:c>
      <x:c r="M66" s="22"/>
      <x:c r="N66" s="22"/>
      <x:c r="O66" s="28"/>
      <x:c r="P66" s="22"/>
      <x:c r="Q66" s="22"/>
      <x:c r="R66" s="28"/>
      <x:c r="S66" s="22"/>
      <x:c r="T66" s="35" t="n">
        <x:f>MIN(K66,AT66)</x:f>
        <x:v>10.237204124317866</x:v>
      </x:c>
      <x:c r="U66" s="20" t="str">
        <x:f>IF(J66="Рассчитано",N66*(1-O66/100),"н/д")</x:f>
        <x:v>н/д</x:v>
      </x:c>
      <x:c r="V66" s="20" t="str">
        <x:f>IF(J66="Рассчитано",T66*U66,"н/д")</x:f>
        <x:v>н/д</x:v>
      </x:c>
      <x:c r="W66" s="20" t="str">
        <x:f>IF(J66="Рассчитано",T66*M66,"н/д")</x:f>
        <x:v>н/д</x:v>
      </x:c>
      <x:c r="X66" s="20" t="str">
        <x:f>IF(J66="Рассчитано",V66-W66,"н/д")</x:f>
        <x:v>н/д</x:v>
      </x:c>
      <x:c r="Y66" s="26" t="str">
        <x:f>IF(J66="Рассчитано",IF(V66&gt;0,G66/V66,"н/д"),"н/д")</x:f>
        <x:v>н/д</x:v>
      </x:c>
      <x:c r="Z66" s="20" t="str">
        <x:f>IF(J66="Рассчитано",K66*M66,"н/д")</x:f>
        <x:v>н/д</x:v>
      </x:c>
      <x:c r="AA66" s="20" t="str">
        <x:f>IF(J66="Рассчитано",(K66-T66)*M66,"н/д")</x:f>
        <x:v>н/д</x:v>
      </x:c>
      <x:c r="AB66" s="20" t="str">
        <x:f>IF(AND(J66="Рассчитано",ISNUMBER(S66)),K66*(S66-M66),"н/д")</x:f>
        <x:v>н/д</x:v>
      </x:c>
      <x:c r="AC66" s="20" t="str">
        <x:f>IF(AND(J66="Рассчитано",T66&gt;0,R66&lt;100),(W66+P66+Q66)/(T66*(1-R66/100)),"н/д")</x:f>
        <x:v>н/д</x:v>
      </x:c>
      <x:c r="AD66" s="11" t="str">
        <x:f>IF(ISNUMBER(G66),IF(G66&lt;0,"Убыток",IF(G66=0,"Без прибыли","Прибыль &gt; 0")),"Не оценён")</x:f>
        <x:v>Не оценён</x:v>
      </x:c>
      <x:c r="AE66" s="12" t="str">
        <x:f>IF(J66="Рассчитано","Выручка "&amp;TEXT(V66,"0.00")&amp;" - себестоимость "&amp;TEXT(W66,"0.00")&amp;" - комиссия "&amp;TEXT(V66*R66/100,"0.00")&amp;" - доставка "&amp;TEXT(P66,"0.00")&amp;" - прочие "&amp;TEXT(Q66,"0.00")&amp;" = "&amp;TEXT(G66,"0.00")&amp;" "&amp;L66,"Введите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6" s="23" t="n">
        <x:v>14.237204124317866</x:v>
      </x:c>
      <x:c r="AG66" s="35" t="n">
        <x:v>4</x:v>
      </x:c>
      <x:c r="AH66" s="35" t="n">
        <x:v>0</x:v>
      </x:c>
      <x:c r="AI66" s="29" t="n">
        <x:v>46266</x:v>
      </x:c>
      <x:c r="AJ66" s="35" t="n">
        <x:v>1</x:v>
      </x:c>
      <x:c r="AK66" s="11" t="str">
        <x:v>минимум</x:v>
      </x:c>
      <x:c r="AL66" s="31" t="n">
        <x:v>8.428621164111423</x:v>
      </x:c>
      <x:c r="AM66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8.4 дн. без поступлений</x:v>
      </x:c>
      <x:c r="AN66" s="12" t="str">
        <x:v>Подтвердить наличие, срок и цену закупки</x:v>
      </x:c>
      <x:c r="AO66" s="12" t="str">
        <x:v>Прогноз 30 дней 14.24; остаток 4; поступления в срок 0; нехватка 11; заказ с учётом MOQ 11 шт. Остаток на начало сентября: требуется актуализация.</x:v>
      </x:c>
      <x:c r="AP66" s="12" t="str">
        <x:v>["category_missing", "daily_stockout_data_missing", "large_orders_detected", "new_order_lead_time_unknown", "reservations_unknown", "stale_stock", "transaction_month_mismatch"]</x:v>
      </x:c>
      <x:c r="AQ66" s="11" t="str">
        <x:v>IEK:030200821_</x:v>
      </x:c>
      <x:c r="AR66" s="23" t="n">
        <x:v>1</x:v>
      </x:c>
      <x:c r="AS66" s="23" t="n">
        <x:f>MAX(0,ROUNDUP(MAX(0,AF66-AG66-AH66)/AR66-0.000000001,0)*AR66)</x:f>
        <x:v>11</x:v>
      </x:c>
      <x:c r="AT66" s="23" t="n">
        <x:v>10.237204124317866</x:v>
      </x:c>
    </x:row>
    <x:row r="67" ht="64" customHeight="1">
      <x:c r="A67" s="10" t="str">
        <x:v>IEK</x:v>
      </x:c>
      <x:c r="B67" s="34" t="str">
        <x:v>030200835_</x:v>
      </x:c>
      <x:c r="C67" s="34" t="str">
        <x:v>BR-R24-16-K10-F</x:v>
      </x:c>
      <x:c r="D67" s="13" t="str">
        <x:v>Роз. 2-я с з/к/ш 16А в сб. "BRITE" бежевый (1/100)</x:v>
      </x:c>
      <x:c r="E67" s="10" t="str">
        <x:v>шт</x:v>
      </x:c>
      <x:c r="F67" s="37" t="n">
        <x:f>IF(AS67&gt;0,MAX(AS67,AJ67),0)</x:f>
        <x:v>9</x:v>
      </x:c>
      <x:c r="G67" s="21" t="str">
        <x:f>IF(J67="Рассчитано",V67*(1-R67/100)-W67-P67-Q67,"н/д")</x:f>
        <x:v>н/д</x:v>
      </x:c>
      <x:c r="H67" s="13" t="str">
        <x:v>Высокий</x:v>
      </x:c>
      <x:c r="I67" s="13" t="str">
        <x:v>Критический</x:v>
      </x:c>
      <x:c r="J67" s="13" t="str">
        <x:f>IF(L67="","Укажите валюту",IF(NOT(ISNUMBER(K67)),"Укажите объём",IF(K67&lt;=0,"Укажите объём",IF(COUNT(M67:O67)&lt;3,"Нужны цены",IF(COUNT(P67:R67)&lt;3,"Нужны расходы",IF(OR(M67&lt;0,N67&lt;0,O67&lt;0,O67&gt;100,P67&lt;0,Q67&lt;0,R67&lt;0,R67&gt;100),"Проверьте значения","Рассчитано"))))))</x:f>
        <x:v>Нужны цены</x:v>
      </x:c>
      <x:c r="K67" s="36" t="n">
        <x:v>9</x:v>
      </x:c>
      <x:c r="L67" s="19" t="str">
        <x:v>KZT</x:v>
      </x:c>
      <x:c r="M67" s="22"/>
      <x:c r="N67" s="22"/>
      <x:c r="O67" s="28"/>
      <x:c r="P67" s="22"/>
      <x:c r="Q67" s="22"/>
      <x:c r="R67" s="28"/>
      <x:c r="S67" s="22"/>
      <x:c r="T67" s="37" t="n">
        <x:f>MIN(K67,AT67)</x:f>
        <x:v>8.112302042606359</x:v>
      </x:c>
      <x:c r="U67" s="21" t="str">
        <x:f>IF(J67="Рассчитано",N67*(1-O67/100),"н/д")</x:f>
        <x:v>н/д</x:v>
      </x:c>
      <x:c r="V67" s="21" t="str">
        <x:f>IF(J67="Рассчитано",T67*U67,"н/д")</x:f>
        <x:v>н/д</x:v>
      </x:c>
      <x:c r="W67" s="21" t="str">
        <x:f>IF(J67="Рассчитано",T67*M67,"н/д")</x:f>
        <x:v>н/д</x:v>
      </x:c>
      <x:c r="X67" s="21" t="str">
        <x:f>IF(J67="Рассчитано",V67-W67,"н/д")</x:f>
        <x:v>н/д</x:v>
      </x:c>
      <x:c r="Y67" s="27" t="str">
        <x:f>IF(J67="Рассчитано",IF(V67&gt;0,G67/V67,"н/д"),"н/д")</x:f>
        <x:v>н/д</x:v>
      </x:c>
      <x:c r="Z67" s="21" t="str">
        <x:f>IF(J67="Рассчитано",K67*M67,"н/д")</x:f>
        <x:v>н/д</x:v>
      </x:c>
      <x:c r="AA67" s="21" t="str">
        <x:f>IF(J67="Рассчитано",(K67-T67)*M67,"н/д")</x:f>
        <x:v>н/д</x:v>
      </x:c>
      <x:c r="AB67" s="21" t="str">
        <x:f>IF(AND(J67="Рассчитано",ISNUMBER(S67)),K67*(S67-M67),"н/д")</x:f>
        <x:v>н/д</x:v>
      </x:c>
      <x:c r="AC67" s="21" t="str">
        <x:f>IF(AND(J67="Рассчитано",T67&gt;0,R67&lt;100),(W67+P67+Q67)/(T67*(1-R67/100)),"н/д")</x:f>
        <x:v>н/д</x:v>
      </x:c>
      <x:c r="AD67" s="10" t="str">
        <x:f>IF(ISNUMBER(G67),IF(G67&lt;0,"Убыток",IF(G67=0,"Без прибыли","Прибыль &gt; 0")),"Не оценён")</x:f>
        <x:v>Не оценён</x:v>
      </x:c>
      <x:c r="AE67" s="13" t="str">
        <x:f>IF(J67="Рассчитано","Выручка "&amp;TEXT(V67,"0.00")&amp;" - себестоимость "&amp;TEXT(W67,"0.00")&amp;" - комиссия "&amp;TEXT(V67*R67/100,"0.00")&amp;" - доставка "&amp;TEXT(P67,"0.00")&amp;" - прочие "&amp;TEXT(Q67,"0.00")&amp;" = "&amp;TEXT(G67,"0.00")&amp;" "&amp;L67,"Введите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7" s="24" t="n">
        <x:v>8.112302042606359</x:v>
      </x:c>
      <x:c r="AG67" s="37" t="n">
        <x:v>0</x:v>
      </x:c>
      <x:c r="AH67" s="37" t="n">
        <x:v>0</x:v>
      </x:c>
      <x:c r="AI67" s="30" t="n">
        <x:v>46266</x:v>
      </x:c>
      <x:c r="AJ67" s="37" t="n">
        <x:v>1</x:v>
      </x:c>
      <x:c r="AK67" s="10" t="str">
        <x:v>минимум</x:v>
      </x:c>
      <x:c r="AL67" s="32" t="n">
        <x:v>0</x:v>
      </x:c>
      <x:c r="AM67" s="13" t="str">
        <x:v>Остаток на начало сентября; Резервы неизвестны; Нет ежедневных данных доступности. Нет запаса</x:v>
      </x:c>
      <x:c r="AN67" s="13" t="str">
        <x:v>Подтвердить наличие, срок и цену закупки</x:v>
      </x:c>
      <x:c r="AO67" s="13" t="str">
        <x:v>Прогноз 30 дней 8.11; остаток 0; поступления в срок 0; нехватка 9; заказ с учётом MOQ 9 шт. Остаток на начало сентября: требуется актуализация.</x:v>
      </x:c>
      <x:c r="AP67" s="13" t="str">
        <x:v>["blank_stock_assumed_zero", "category_missing", "daily_stockout_data_missing", "new_order_lead_time_unknown", "reservations_unknown", "stale_stock"]</x:v>
      </x:c>
      <x:c r="AQ67" s="10" t="str">
        <x:v>IEK:030200835_</x:v>
      </x:c>
      <x:c r="AR67" s="24" t="n">
        <x:v>1</x:v>
      </x:c>
      <x:c r="AS67" s="24" t="n">
        <x:f>MAX(0,ROUNDUP(MAX(0,AF67-AG67-AH67)/AR67-0.000000001,0)*AR67)</x:f>
        <x:v>9</x:v>
      </x:c>
      <x:c r="AT67" s="24" t="n">
        <x:v>8.112302042606359</x:v>
      </x:c>
    </x:row>
    <x:row r="68" ht="64" customHeight="1">
      <x:c r="A68" s="11" t="str">
        <x:v>IEK</x:v>
      </x:c>
      <x:c r="B68" s="33" t="str">
        <x:v>030200862_</x:v>
      </x:c>
      <x:c r="C68" s="33" t="str">
        <x:v>BR-M42-G-K02</x:v>
      </x:c>
      <x:c r="D68" s="12" t="str">
        <x:v>Рамка 4-мест. "BRITE" стекло черный (1/50)</x:v>
      </x:c>
      <x:c r="E68" s="11" t="str">
        <x:v>шт</x:v>
      </x:c>
      <x:c r="F68" s="35" t="n">
        <x:f>IF(AS68&gt;0,MAX(AS68,AJ68),0)</x:f>
        <x:v>1</x:v>
      </x:c>
      <x:c r="G68" s="20" t="str">
        <x:f>IF(J68="Рассчитано",V68*(1-R68/100)-W68-P68-Q68,"н/д")</x:f>
        <x:v>н/д</x:v>
      </x:c>
      <x:c r="H68" s="12" t="str">
        <x:v>Высокий</x:v>
      </x:c>
      <x:c r="I68" s="12" t="str">
        <x:v>Критический</x:v>
      </x:c>
      <x:c r="J68" s="12" t="str">
        <x:f>IF(L68="","Укажите валюту",IF(NOT(ISNUMBER(K68)),"Укажите объём",IF(K68&lt;=0,"Укажите объём",IF(COUNT(M68:O68)&lt;3,"Нужны цены",IF(COUNT(P68:R68)&lt;3,"Нужны расходы",IF(OR(M68&lt;0,N68&lt;0,O68&lt;0,O68&gt;100,P68&lt;0,Q68&lt;0,R68&lt;0,R68&gt;100),"Проверьте значения","Рассчитано"))))))</x:f>
        <x:v>Нужны цены</x:v>
      </x:c>
      <x:c r="K68" s="36" t="n">
        <x:v>1</x:v>
      </x:c>
      <x:c r="L68" s="19" t="str">
        <x:v>KZT</x:v>
      </x:c>
      <x:c r="M68" s="22"/>
      <x:c r="N68" s="22"/>
      <x:c r="O68" s="28"/>
      <x:c r="P68" s="22"/>
      <x:c r="Q68" s="22"/>
      <x:c r="R68" s="28"/>
      <x:c r="S68" s="22"/>
      <x:c r="T68" s="35" t="n">
        <x:f>MIN(K68,AT68)</x:f>
        <x:v>0.1098668776296718</x:v>
      </x:c>
      <x:c r="U68" s="20" t="str">
        <x:f>IF(J68="Рассчитано",N68*(1-O68/100),"н/д")</x:f>
        <x:v>н/д</x:v>
      </x:c>
      <x:c r="V68" s="20" t="str">
        <x:f>IF(J68="Рассчитано",T68*U68,"н/д")</x:f>
        <x:v>н/д</x:v>
      </x:c>
      <x:c r="W68" s="20" t="str">
        <x:f>IF(J68="Рассчитано",T68*M68,"н/д")</x:f>
        <x:v>н/д</x:v>
      </x:c>
      <x:c r="X68" s="20" t="str">
        <x:f>IF(J68="Рассчитано",V68-W68,"н/д")</x:f>
        <x:v>н/д</x:v>
      </x:c>
      <x:c r="Y68" s="26" t="str">
        <x:f>IF(J68="Рассчитано",IF(V68&gt;0,G68/V68,"н/д"),"н/д")</x:f>
        <x:v>н/д</x:v>
      </x:c>
      <x:c r="Z68" s="20" t="str">
        <x:f>IF(J68="Рассчитано",K68*M68,"н/д")</x:f>
        <x:v>н/д</x:v>
      </x:c>
      <x:c r="AA68" s="20" t="str">
        <x:f>IF(J68="Рассчитано",(K68-T68)*M68,"н/д")</x:f>
        <x:v>н/д</x:v>
      </x:c>
      <x:c r="AB68" s="20" t="str">
        <x:f>IF(AND(J68="Рассчитано",ISNUMBER(S68)),K68*(S68-M68),"н/д")</x:f>
        <x:v>н/д</x:v>
      </x:c>
      <x:c r="AC68" s="20" t="str">
        <x:f>IF(AND(J68="Рассчитано",T68&gt;0,R68&lt;100),(W68+P68+Q68)/(T68*(1-R68/100)),"н/д")</x:f>
        <x:v>н/д</x:v>
      </x:c>
      <x:c r="AD68" s="11" t="str">
        <x:f>IF(ISNUMBER(G68),IF(G68&lt;0,"Убыток",IF(G68=0,"Без прибыли","Прибыль &gt; 0")),"Не оценён")</x:f>
        <x:v>Не оценён</x:v>
      </x:c>
      <x:c r="AE68" s="12" t="str">
        <x:f>IF(J68="Рассчитано","Выручка "&amp;TEXT(V68,"0.00")&amp;" - себестоимость "&amp;TEXT(W68,"0.00")&amp;" - комиссия "&amp;TEXT(V68*R68/100,"0.00")&amp;" - доставка "&amp;TEXT(P68,"0.00")&amp;" - прочие "&amp;TEXT(Q68,"0.00")&amp;" = "&amp;TEXT(G68,"0.00")&amp;" "&amp;L68,"Введите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8" s="23" t="n">
        <x:v>0.1098668776296718</x:v>
      </x:c>
      <x:c r="AG68" s="35" t="n">
        <x:v>0</x:v>
      </x:c>
      <x:c r="AH68" s="35" t="n">
        <x:v>0</x:v>
      </x:c>
      <x:c r="AI68" s="29" t="n">
        <x:v>46266</x:v>
      </x:c>
      <x:c r="AJ68" s="35" t="n">
        <x:v>1</x:v>
      </x:c>
      <x:c r="AK68" s="11" t="str">
        <x:v>минимум</x:v>
      </x:c>
      <x:c r="AL68" s="31" t="n">
        <x:v>0</x:v>
      </x:c>
      <x:c r="AM68" s="12" t="str">
        <x:v>Остаток на начало сентября; Резервы неизвестны; Нет ежедневных данных доступности. Нет запаса</x:v>
      </x:c>
      <x:c r="AN68" s="12" t="str">
        <x:v>Подтвердить наличие, срок и цену закупки</x:v>
      </x:c>
      <x:c r="AO68" s="12" t="str">
        <x:v>Прогноз 30 дней 0.11; остаток 0; поступления в срок 0; нехватка 1; заказ с учётом MOQ 1 шт. Остаток на начало сентября: требуется актуализация.</x:v>
      </x:c>
      <x:c r="AP68" s="12" t="str">
        <x:v>["blank_stock_assumed_zero", "category_missing", "daily_stockout_data_missing", "negative_net_sales_clipped_for_forecast", "new_order_lead_time_unknown", "reservations_unknown", "stale_stock"]</x:v>
      </x:c>
      <x:c r="AQ68" s="11" t="str">
        <x:v>IEK:030200862_</x:v>
      </x:c>
      <x:c r="AR68" s="23" t="n">
        <x:v>1</x:v>
      </x:c>
      <x:c r="AS68" s="23" t="n">
        <x:f>MAX(0,ROUNDUP(MAX(0,AF68-AG68-AH68)/AR68-0.000000001,0)*AR68)</x:f>
        <x:v>1</x:v>
      </x:c>
      <x:c r="AT68" s="23" t="n">
        <x:v>0.1098668776296718</x:v>
      </x:c>
    </x:row>
    <x:row r="69" ht="64" customHeight="1">
      <x:c r="A69" s="10" t="str">
        <x:v>IEK</x:v>
      </x:c>
      <x:c r="B69" s="34" t="str">
        <x:v>030200879_</x:v>
      </x:c>
      <x:c r="C69" s="34" t="str">
        <x:v>BR-K20-1-K46</x:v>
      </x:c>
      <x:c r="D69" s="13" t="str">
        <x:v>Роз 2-ая комп. RJ45 кат.5E "BRITE" сталь (1/100)</x:v>
      </x:c>
      <x:c r="E69" s="10" t="str">
        <x:v>шт</x:v>
      </x:c>
      <x:c r="F69" s="37" t="n">
        <x:f>IF(AS69&gt;0,MAX(AS69,AJ69),0)</x:f>
        <x:v>6</x:v>
      </x:c>
      <x:c r="G69" s="21" t="str">
        <x:f>IF(J69="Рассчитано",V69*(1-R69/100)-W69-P69-Q69,"н/д")</x:f>
        <x:v>н/д</x:v>
      </x:c>
      <x:c r="H69" s="13" t="str">
        <x:v>Высокий</x:v>
      </x:c>
      <x:c r="I69" s="13" t="str">
        <x:v>Критический</x:v>
      </x:c>
      <x:c r="J69" s="13" t="str">
        <x:f>IF(L69="","Укажите валюту",IF(NOT(ISNUMBER(K69)),"Укажите объём",IF(K69&lt;=0,"Укажите объём",IF(COUNT(M69:O69)&lt;3,"Нужны цены",IF(COUNT(P69:R69)&lt;3,"Нужны расходы",IF(OR(M69&lt;0,N69&lt;0,O69&lt;0,O69&gt;100,P69&lt;0,Q69&lt;0,R69&lt;0,R69&gt;100),"Проверьте значения","Рассчитано"))))))</x:f>
        <x:v>Нужны цены</x:v>
      </x:c>
      <x:c r="K69" s="36" t="n">
        <x:v>6</x:v>
      </x:c>
      <x:c r="L69" s="19" t="str">
        <x:v>KZT</x:v>
      </x:c>
      <x:c r="M69" s="22"/>
      <x:c r="N69" s="22"/>
      <x:c r="O69" s="28"/>
      <x:c r="P69" s="22"/>
      <x:c r="Q69" s="22"/>
      <x:c r="R69" s="28"/>
      <x:c r="S69" s="22"/>
      <x:c r="T69" s="37" t="n">
        <x:f>MIN(K69,AT69)</x:f>
        <x:v>5.079893126230636</x:v>
      </x:c>
      <x:c r="U69" s="21" t="str">
        <x:f>IF(J69="Рассчитано",N69*(1-O69/100),"н/д")</x:f>
        <x:v>н/д</x:v>
      </x:c>
      <x:c r="V69" s="21" t="str">
        <x:f>IF(J69="Рассчитано",T69*U69,"н/д")</x:f>
        <x:v>н/д</x:v>
      </x:c>
      <x:c r="W69" s="21" t="str">
        <x:f>IF(J69="Рассчитано",T69*M69,"н/д")</x:f>
        <x:v>н/д</x:v>
      </x:c>
      <x:c r="X69" s="21" t="str">
        <x:f>IF(J69="Рассчитано",V69-W69,"н/д")</x:f>
        <x:v>н/д</x:v>
      </x:c>
      <x:c r="Y69" s="27" t="str">
        <x:f>IF(J69="Рассчитано",IF(V69&gt;0,G69/V69,"н/д"),"н/д")</x:f>
        <x:v>н/д</x:v>
      </x:c>
      <x:c r="Z69" s="21" t="str">
        <x:f>IF(J69="Рассчитано",K69*M69,"н/д")</x:f>
        <x:v>н/д</x:v>
      </x:c>
      <x:c r="AA69" s="21" t="str">
        <x:f>IF(J69="Рассчитано",(K69-T69)*M69,"н/д")</x:f>
        <x:v>н/д</x:v>
      </x:c>
      <x:c r="AB69" s="21" t="str">
        <x:f>IF(AND(J69="Рассчитано",ISNUMBER(S69)),K69*(S69-M69),"н/д")</x:f>
        <x:v>н/д</x:v>
      </x:c>
      <x:c r="AC69" s="21" t="str">
        <x:f>IF(AND(J69="Рассчитано",T69&gt;0,R69&lt;100),(W69+P69+Q69)/(T69*(1-R69/100)),"н/д")</x:f>
        <x:v>н/д</x:v>
      </x:c>
      <x:c r="AD69" s="10" t="str">
        <x:f>IF(ISNUMBER(G69),IF(G69&lt;0,"Убыток",IF(G69=0,"Без прибыли","Прибыль &gt; 0")),"Не оценён")</x:f>
        <x:v>Не оценён</x:v>
      </x:c>
      <x:c r="AE69" s="13" t="str">
        <x:f>IF(J69="Рассчитано","Выручка "&amp;TEXT(V69,"0.00")&amp;" - себестоимость "&amp;TEXT(W69,"0.00")&amp;" - комиссия "&amp;TEXT(V69*R69/100,"0.00")&amp;" - доставка "&amp;TEXT(P69,"0.00")&amp;" - прочие "&amp;TEXT(Q69,"0.00")&amp;" = "&amp;TEXT(G69,"0.00")&amp;" "&amp;L69,"Введите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69" s="24" t="n">
        <x:v>5.079893126230636</x:v>
      </x:c>
      <x:c r="AG69" s="37" t="n">
        <x:v>0</x:v>
      </x:c>
      <x:c r="AH69" s="37" t="n">
        <x:v>0</x:v>
      </x:c>
      <x:c r="AI69" s="30" t="n">
        <x:v>46266</x:v>
      </x:c>
      <x:c r="AJ69" s="37" t="n">
        <x:v>1</x:v>
      </x:c>
      <x:c r="AK69" s="10" t="str">
        <x:v>минимум</x:v>
      </x:c>
      <x:c r="AL69" s="32" t="n">
        <x:v>0</x:v>
      </x:c>
      <x:c r="AM69" s="13" t="str">
        <x:v>Остаток на начало сентября; Резервы неизвестны; Нет ежедневных данных доступности. Нет запаса</x:v>
      </x:c>
      <x:c r="AN69" s="13" t="str">
        <x:v>Подтвердить наличие, срок и цену закупки</x:v>
      </x:c>
      <x:c r="AO69" s="13" t="str">
        <x:v>Прогноз 30 дней 5.08; остаток 0; поступления в срок 0; нехватка 6; заказ с учётом MOQ 6 шт. Остаток на начало сентября: требуется актуализация.</x:v>
      </x:c>
      <x:c r="AP69" s="13" t="str">
        <x:v>["blank_stock_assumed_zero", "category_missing", "daily_stockout_data_missing", "negative_net_sales_clipped_for_forecast", "new_order_lead_time_unknown", "reservations_unknown", "stale_stock"]</x:v>
      </x:c>
      <x:c r="AQ69" s="10" t="str">
        <x:v>IEK:030200879_</x:v>
      </x:c>
      <x:c r="AR69" s="24" t="n">
        <x:v>1</x:v>
      </x:c>
      <x:c r="AS69" s="24" t="n">
        <x:f>MAX(0,ROUNDUP(MAX(0,AF69-AG69-AH69)/AR69-0.000000001,0)*AR69)</x:f>
        <x:v>6</x:v>
      </x:c>
      <x:c r="AT69" s="24" t="n">
        <x:v>5.079893126230636</x:v>
      </x:c>
    </x:row>
    <x:row r="70" ht="64" customHeight="1">
      <x:c r="A70" s="11" t="str">
        <x:v>IEK</x:v>
      </x:c>
      <x:c r="B70" s="33" t="str">
        <x:v>030200893_</x:v>
      </x:c>
      <x:c r="C70" s="33" t="str">
        <x:v>BR-M22-G-K03</x:v>
      </x:c>
      <x:c r="D70" s="12" t="str">
        <x:v>Рамка 2-мест. "BRITE" стекло серый (1/100)</x:v>
      </x:c>
      <x:c r="E70" s="11" t="str">
        <x:v>шт</x:v>
      </x:c>
      <x:c r="F70" s="35" t="n">
        <x:f>IF(AS70&gt;0,MAX(AS70,AJ70),0)</x:f>
        <x:v>1</x:v>
      </x:c>
      <x:c r="G70" s="20" t="str">
        <x:f>IF(J70="Рассчитано",V70*(1-R70/100)-W70-P70-Q70,"н/д")</x:f>
        <x:v>н/д</x:v>
      </x:c>
      <x:c r="H70" s="12" t="str">
        <x:v>Высокий</x:v>
      </x:c>
      <x:c r="I70" s="12" t="str">
        <x:v>Средний</x:v>
      </x:c>
      <x:c r="J70" s="12" t="str">
        <x:f>IF(L70="","Укажите валюту",IF(NOT(ISNUMBER(K70)),"Укажите объём",IF(K70&lt;=0,"Укажите объём",IF(COUNT(M70:O70)&lt;3,"Нужны цены",IF(COUNT(P70:R70)&lt;3,"Нужны расходы",IF(OR(M70&lt;0,N70&lt;0,O70&lt;0,O70&gt;100,P70&lt;0,Q70&lt;0,R70&lt;0,R70&gt;100),"Проверьте значения","Рассчитано"))))))</x:f>
        <x:v>Нужны цены</x:v>
      </x:c>
      <x:c r="K70" s="36" t="n">
        <x:v>1</x:v>
      </x:c>
      <x:c r="L70" s="19" t="str">
        <x:v>KZT</x:v>
      </x:c>
      <x:c r="M70" s="22"/>
      <x:c r="N70" s="22"/>
      <x:c r="O70" s="28"/>
      <x:c r="P70" s="22"/>
      <x:c r="Q70" s="22"/>
      <x:c r="R70" s="28"/>
      <x:c r="S70" s="22"/>
      <x:c r="T70" s="35" t="n">
        <x:f>MIN(K70,AT70)</x:f>
        <x:v>0.9784848812958877</x:v>
      </x:c>
      <x:c r="U70" s="20" t="str">
        <x:f>IF(J70="Рассчитано",N70*(1-O70/100),"н/д")</x:f>
        <x:v>н/д</x:v>
      </x:c>
      <x:c r="V70" s="20" t="str">
        <x:f>IF(J70="Рассчитано",T70*U70,"н/д")</x:f>
        <x:v>н/д</x:v>
      </x:c>
      <x:c r="W70" s="20" t="str">
        <x:f>IF(J70="Рассчитано",T70*M70,"н/д")</x:f>
        <x:v>н/д</x:v>
      </x:c>
      <x:c r="X70" s="20" t="str">
        <x:f>IF(J70="Рассчитано",V70-W70,"н/д")</x:f>
        <x:v>н/д</x:v>
      </x:c>
      <x:c r="Y70" s="26" t="str">
        <x:f>IF(J70="Рассчитано",IF(V70&gt;0,G70/V70,"н/д"),"н/д")</x:f>
        <x:v>н/д</x:v>
      </x:c>
      <x:c r="Z70" s="20" t="str">
        <x:f>IF(J70="Рассчитано",K70*M70,"н/д")</x:f>
        <x:v>н/д</x:v>
      </x:c>
      <x:c r="AA70" s="20" t="str">
        <x:f>IF(J70="Рассчитано",(K70-T70)*M70,"н/д")</x:f>
        <x:v>н/д</x:v>
      </x:c>
      <x:c r="AB70" s="20" t="str">
        <x:f>IF(AND(J70="Рассчитано",ISNUMBER(S70)),K70*(S70-M70),"н/д")</x:f>
        <x:v>н/д</x:v>
      </x:c>
      <x:c r="AC70" s="20" t="str">
        <x:f>IF(AND(J70="Рассчитано",T70&gt;0,R70&lt;100),(W70+P70+Q70)/(T70*(1-R70/100)),"н/д")</x:f>
        <x:v>н/д</x:v>
      </x:c>
      <x:c r="AD70" s="11" t="str">
        <x:f>IF(ISNUMBER(G70),IF(G70&lt;0,"Убыток",IF(G70=0,"Без прибыли","Прибыль &gt; 0")),"Не оценён")</x:f>
        <x:v>Не оценён</x:v>
      </x:c>
      <x:c r="AE70" s="12" t="str">
        <x:f>IF(J70="Рассчитано","Выручка "&amp;TEXT(V70,"0.00")&amp;" - себестоимость "&amp;TEXT(W70,"0.00")&amp;" - комиссия "&amp;TEXT(V70*R70/100,"0.00")&amp;" - доставка "&amp;TEXT(P70,"0.00")&amp;" - прочие "&amp;TEXT(Q70,"0.00")&amp;" = "&amp;TEXT(G70,"0.00")&amp;" "&amp;L70,"Введите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0" s="23" t="n">
        <x:v>12.978484881295888</x:v>
      </x:c>
      <x:c r="AG70" s="35" t="n">
        <x:v>12</x:v>
      </x:c>
      <x:c r="AH70" s="35" t="n">
        <x:v>0</x:v>
      </x:c>
      <x:c r="AI70" s="29" t="n">
        <x:v>46266</x:v>
      </x:c>
      <x:c r="AJ70" s="35" t="n">
        <x:v>1</x:v>
      </x:c>
      <x:c r="AK70" s="11" t="str">
        <x:v>минимум</x:v>
      </x:c>
      <x:c r="AL70" s="31" t="n">
        <x:v>27.738214690901145</x:v>
      </x:c>
      <x:c r="AM70" s="12" t="str">
        <x:v>Остаток на начало сентября; Резервы неизвестны; Нет ежедневных данных доступности. Запаса примерно на 27.7 дн. без поступлений</x:v>
      </x:c>
      <x:c r="AN70" s="12" t="str">
        <x:v>Подтвердить наличие, срок и цену закупки</x:v>
      </x:c>
      <x:c r="AO70" s="12" t="str">
        <x:v>Прогноз 30 дней 12.98; остаток 12; поступления в срок 0; нехватка 1; заказ с учётом MOQ 1 шт. Остаток на начало сентября: требуется актуализация.</x:v>
      </x:c>
      <x:c r="AP70" s="12" t="str">
        <x:v>["category_missing", "daily_stockout_data_missing", "negative_net_sales_clipped_for_forecast", "new_order_lead_time_unknown", "reservations_unknown", "stale_stock"]</x:v>
      </x:c>
      <x:c r="AQ70" s="11" t="str">
        <x:v>IEK:030200893_</x:v>
      </x:c>
      <x:c r="AR70" s="23" t="n">
        <x:v>1</x:v>
      </x:c>
      <x:c r="AS70" s="23" t="n">
        <x:f>MAX(0,ROUNDUP(MAX(0,AF70-AG70-AH70)/AR70-0.000000001,0)*AR70)</x:f>
        <x:v>1</x:v>
      </x:c>
      <x:c r="AT70" s="23" t="n">
        <x:v>0.9784848812958877</x:v>
      </x:c>
    </x:row>
    <x:row r="71" ht="64" customHeight="1">
      <x:c r="A71" s="10" t="str">
        <x:v>IEK</x:v>
      </x:c>
      <x:c r="B71" s="34" t="str">
        <x:v>030200924_</x:v>
      </x:c>
      <x:c r="C71" s="34" t="str">
        <x:v>BR-R16-16-K46</x:v>
      </x:c>
      <x:c r="D71" s="13" t="str">
        <x:v>Роз. с з/к с з/ш с кр. 16А IP20 б/рамки "BRITE" сталь (1/100)</x:v>
      </x:c>
      <x:c r="E71" s="10" t="str">
        <x:v>шт</x:v>
      </x:c>
      <x:c r="F71" s="37" t="n">
        <x:f>IF(AS71&gt;0,MAX(AS71,AJ71),0)</x:f>
        <x:v>7</x:v>
      </x:c>
      <x:c r="G71" s="21" t="str">
        <x:f>IF(J71="Рассчитано",V71*(1-R71/100)-W71-P71-Q71,"н/д")</x:f>
        <x:v>н/д</x:v>
      </x:c>
      <x:c r="H71" s="13" t="str">
        <x:v>Высокий</x:v>
      </x:c>
      <x:c r="I71" s="13" t="str">
        <x:v>Высокий</x:v>
      </x:c>
      <x:c r="J71" s="13" t="str">
        <x:f>IF(L71="","Укажите валюту",IF(NOT(ISNUMBER(K71)),"Укажите объём",IF(K71&lt;=0,"Укажите объём",IF(COUNT(M71:O71)&lt;3,"Нужны цены",IF(COUNT(P71:R71)&lt;3,"Нужны расходы",IF(OR(M71&lt;0,N71&lt;0,O71&lt;0,O71&gt;100,P71&lt;0,Q71&lt;0,R71&lt;0,R71&gt;100),"Проверьте значения","Рассчитано"))))))</x:f>
        <x:v>Нужны цены</x:v>
      </x:c>
      <x:c r="K71" s="36" t="n">
        <x:v>7</x:v>
      </x:c>
      <x:c r="L71" s="19" t="str">
        <x:v>KZT</x:v>
      </x:c>
      <x:c r="M71" s="22"/>
      <x:c r="N71" s="22"/>
      <x:c r="O71" s="28"/>
      <x:c r="P71" s="22"/>
      <x:c r="Q71" s="22"/>
      <x:c r="R71" s="28"/>
      <x:c r="S71" s="22"/>
      <x:c r="T71" s="37" t="n">
        <x:f>MIN(K71,AT71)</x:f>
        <x:v>6.812458761576421</x:v>
      </x:c>
      <x:c r="U71" s="21" t="str">
        <x:f>IF(J71="Рассчитано",N71*(1-O71/100),"н/д")</x:f>
        <x:v>н/д</x:v>
      </x:c>
      <x:c r="V71" s="21" t="str">
        <x:f>IF(J71="Рассчитано",T71*U71,"н/д")</x:f>
        <x:v>н/д</x:v>
      </x:c>
      <x:c r="W71" s="21" t="str">
        <x:f>IF(J71="Рассчитано",T71*M71,"н/д")</x:f>
        <x:v>н/д</x:v>
      </x:c>
      <x:c r="X71" s="21" t="str">
        <x:f>IF(J71="Рассчитано",V71-W71,"н/д")</x:f>
        <x:v>н/д</x:v>
      </x:c>
      <x:c r="Y71" s="27" t="str">
        <x:f>IF(J71="Рассчитано",IF(V71&gt;0,G71/V71,"н/д"),"н/д")</x:f>
        <x:v>н/д</x:v>
      </x:c>
      <x:c r="Z71" s="21" t="str">
        <x:f>IF(J71="Рассчитано",K71*M71,"н/д")</x:f>
        <x:v>н/д</x:v>
      </x:c>
      <x:c r="AA71" s="21" t="str">
        <x:f>IF(J71="Рассчитано",(K71-T71)*M71,"н/д")</x:f>
        <x:v>н/д</x:v>
      </x:c>
      <x:c r="AB71" s="21" t="str">
        <x:f>IF(AND(J71="Рассчитано",ISNUMBER(S71)),K71*(S71-M71),"н/д")</x:f>
        <x:v>н/д</x:v>
      </x:c>
      <x:c r="AC71" s="21" t="str">
        <x:f>IF(AND(J71="Рассчитано",T71&gt;0,R71&lt;100),(W71+P71+Q71)/(T71*(1-R71/100)),"н/д")</x:f>
        <x:v>н/д</x:v>
      </x:c>
      <x:c r="AD71" s="10" t="str">
        <x:f>IF(ISNUMBER(G71),IF(G71&lt;0,"Убыток",IF(G71=0,"Без прибыли","Прибыль &gt; 0")),"Не оценён")</x:f>
        <x:v>Не оценён</x:v>
      </x:c>
      <x:c r="AE71" s="13" t="str">
        <x:f>IF(J71="Рассчитано","Выручка "&amp;TEXT(V71,"0.00")&amp;" - себестоимость "&amp;TEXT(W71,"0.00")&amp;" - комиссия "&amp;TEXT(V71*R71/100,"0.00")&amp;" - доставка "&amp;TEXT(P71,"0.00")&amp;" - прочие "&amp;TEXT(Q71,"0.00")&amp;" = "&amp;TEXT(G71,"0.00")&amp;" "&amp;L71,"Введите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1" s="24" t="n">
        <x:v>9.812458761576421</x:v>
      </x:c>
      <x:c r="AG71" s="37" t="n">
        <x:v>3</x:v>
      </x:c>
      <x:c r="AH71" s="37" t="n">
        <x:v>0</x:v>
      </x:c>
      <x:c r="AI71" s="30" t="n">
        <x:v>46266</x:v>
      </x:c>
      <x:c r="AJ71" s="37" t="n">
        <x:v>1</x:v>
      </x:c>
      <x:c r="AK71" s="10" t="str">
        <x:v>минимум</x:v>
      </x:c>
      <x:c r="AL71" s="32" t="n">
        <x:v>9.172013068979364</x:v>
      </x:c>
      <x:c r="AM71" s="13" t="str">
        <x:v>Остаток на начало сентября; Резервы неизвестны; Нет ежедневных данных доступности. Запаса примерно на 9.2 дн. без поступлений</x:v>
      </x:c>
      <x:c r="AN71" s="13" t="str">
        <x:v>Подтвердить наличие, срок и цену закупки</x:v>
      </x:c>
      <x:c r="AO71" s="13" t="str">
        <x:v>Прогноз 30 дней 9.81; остаток 3; поступления в срок 0; нехватка 7; заказ с учётом MOQ 7 шт. Остаток на начало сентября: требуется актуализация.</x:v>
      </x:c>
      <x:c r="AP71" s="13" t="str">
        <x:v>["category_missing", "daily_stockout_data_missing", "negative_net_sales_clipped_for_forecast", "new_order_lead_time_unknown", "reservations_unknown", "stale_stock"]</x:v>
      </x:c>
      <x:c r="AQ71" s="10" t="str">
        <x:v>IEK:030200924_</x:v>
      </x:c>
      <x:c r="AR71" s="24" t="n">
        <x:v>1</x:v>
      </x:c>
      <x:c r="AS71" s="24" t="n">
        <x:f>MAX(0,ROUNDUP(MAX(0,AF71-AG71-AH71)/AR71-0.000000001,0)*AR71)</x:f>
        <x:v>7</x:v>
      </x:c>
      <x:c r="AT71" s="24" t="n">
        <x:v>6.812458761576421</x:v>
      </x:c>
    </x:row>
    <x:row r="72" ht="64" customHeight="1">
      <x:c r="A72" s="11" t="str">
        <x:v>IEK</x:v>
      </x:c>
      <x:c r="B72" s="33" t="str">
        <x:v>030200939_</x:v>
      </x:c>
      <x:c r="C72" s="33" t="str">
        <x:v>BR-H10-K46</x:v>
      </x:c>
      <x:c r="D72" s="12" t="str">
        <x:v>Роз. HDMI б/рамки "BRITE" сталь (1/100)</x:v>
      </x:c>
      <x:c r="E72" s="11" t="str">
        <x:v>шт</x:v>
      </x:c>
      <x:c r="F72" s="35" t="n">
        <x:f>IF(AS72&gt;0,MAX(AS72,AJ72),0)</x:f>
        <x:v>1</x:v>
      </x:c>
      <x:c r="G72" s="20" t="str">
        <x:f>IF(J72="Рассчитано",V72*(1-R72/100)-W72-P72-Q72,"н/д")</x:f>
        <x:v>н/д</x:v>
      </x:c>
      <x:c r="H72" s="12" t="str">
        <x:v>Высокий</x:v>
      </x:c>
      <x:c r="I72" s="12" t="str">
        <x:v>Средний</x:v>
      </x:c>
      <x:c r="J72" s="12" t="str">
        <x:f>IF(L72="","Укажите валюту",IF(NOT(ISNUMBER(K72)),"Укажите объём",IF(K72&lt;=0,"Укажите объём",IF(COUNT(M72:O72)&lt;3,"Нужны цены",IF(COUNT(P72:R72)&lt;3,"Нужны расходы",IF(OR(M72&lt;0,N72&lt;0,O72&lt;0,O72&gt;100,P72&lt;0,Q72&lt;0,R72&lt;0,R72&gt;100),"Проверьте значения","Рассчитано"))))))</x:f>
        <x:v>Нужны цены</x:v>
      </x:c>
      <x:c r="K72" s="36" t="n">
        <x:v>1</x:v>
      </x:c>
      <x:c r="L72" s="19" t="str">
        <x:v>KZT</x:v>
      </x:c>
      <x:c r="M72" s="22"/>
      <x:c r="N72" s="22"/>
      <x:c r="O72" s="28"/>
      <x:c r="P72" s="22"/>
      <x:c r="Q72" s="22"/>
      <x:c r="R72" s="28"/>
      <x:c r="S72" s="22"/>
      <x:c r="T72" s="35" t="n">
        <x:f>MIN(K72,AT72)</x:f>
        <x:v>0.6586427672846571</x:v>
      </x:c>
      <x:c r="U72" s="20" t="str">
        <x:f>IF(J72="Рассчитано",N72*(1-O72/100),"н/д")</x:f>
        <x:v>н/д</x:v>
      </x:c>
      <x:c r="V72" s="20" t="str">
        <x:f>IF(J72="Рассчитано",T72*U72,"н/д")</x:f>
        <x:v>н/д</x:v>
      </x:c>
      <x:c r="W72" s="20" t="str">
        <x:f>IF(J72="Рассчитано",T72*M72,"н/д")</x:f>
        <x:v>н/д</x:v>
      </x:c>
      <x:c r="X72" s="20" t="str">
        <x:f>IF(J72="Рассчитано",V72-W72,"н/д")</x:f>
        <x:v>н/д</x:v>
      </x:c>
      <x:c r="Y72" s="26" t="str">
        <x:f>IF(J72="Рассчитано",IF(V72&gt;0,G72/V72,"н/д"),"н/д")</x:f>
        <x:v>н/д</x:v>
      </x:c>
      <x:c r="Z72" s="20" t="str">
        <x:f>IF(J72="Рассчитано",K72*M72,"н/д")</x:f>
        <x:v>н/д</x:v>
      </x:c>
      <x:c r="AA72" s="20" t="str">
        <x:f>IF(J72="Рассчитано",(K72-T72)*M72,"н/д")</x:f>
        <x:v>н/д</x:v>
      </x:c>
      <x:c r="AB72" s="20" t="str">
        <x:f>IF(AND(J72="Рассчитано",ISNUMBER(S72)),K72*(S72-M72),"н/д")</x:f>
        <x:v>н/д</x:v>
      </x:c>
      <x:c r="AC72" s="20" t="str">
        <x:f>IF(AND(J72="Рассчитано",T72&gt;0,R72&lt;100),(W72+P72+Q72)/(T72*(1-R72/100)),"н/д")</x:f>
        <x:v>н/д</x:v>
      </x:c>
      <x:c r="AD72" s="11" t="str">
        <x:f>IF(ISNUMBER(G72),IF(G72&lt;0,"Убыток",IF(G72=0,"Без прибыли","Прибыль &gt; 0")),"Не оценён")</x:f>
        <x:v>Не оценён</x:v>
      </x:c>
      <x:c r="AE72" s="12" t="str">
        <x:f>IF(J72="Рассчитано","Выручка "&amp;TEXT(V72,"0.00")&amp;" - себестоимость "&amp;TEXT(W72,"0.00")&amp;" - комиссия "&amp;TEXT(V72*R72/100,"0.00")&amp;" - доставка "&amp;TEXT(P72,"0.00")&amp;" - прочие "&amp;TEXT(Q72,"0.00")&amp;" = "&amp;TEXT(G72,"0.00")&amp;" "&amp;L72,"Введите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2" s="23" t="n">
        <x:v>2.658642767284657</x:v>
      </x:c>
      <x:c r="AG72" s="35" t="n">
        <x:v>2</x:v>
      </x:c>
      <x:c r="AH72" s="35" t="n">
        <x:v>0</x:v>
      </x:c>
      <x:c r="AI72" s="29" t="n">
        <x:v>46266</x:v>
      </x:c>
      <x:c r="AJ72" s="35" t="n">
        <x:v>1</x:v>
      </x:c>
      <x:c r="AK72" s="11" t="str">
        <x:v>минимум</x:v>
      </x:c>
      <x:c r="AL72" s="31" t="n">
        <x:v>22.567905977559974</x:v>
      </x:c>
      <x:c r="AM72" s="12" t="str">
        <x:v>Остаток на начало сентября; Резервы неизвестны; Нет ежедневных данных доступности. Запаса примерно на 22.6 дн. без поступлений</x:v>
      </x:c>
      <x:c r="AN72" s="12" t="str">
        <x:v>Подтвердить наличие, срок и цену закупки</x:v>
      </x:c>
      <x:c r="AO72" s="12" t="str">
        <x:v>Прогноз 30 дней 2.66; остаток 2; поступления в срок 0; нехватка 1; заказ с учётом MOQ 1 шт. Остаток на начало сентября: требуется актуализация.</x:v>
      </x:c>
      <x:c r="AP72" s="12" t="str">
        <x:v>["category_missing", "daily_stockout_data_missing", "new_order_lead_time_unknown", "reservations_unknown", "stale_stock"]</x:v>
      </x:c>
      <x:c r="AQ72" s="11" t="str">
        <x:v>IEK:030200939_</x:v>
      </x:c>
      <x:c r="AR72" s="23" t="n">
        <x:v>1</x:v>
      </x:c>
      <x:c r="AS72" s="23" t="n">
        <x:f>MAX(0,ROUNDUP(MAX(0,AF72-AG72-AH72)/AR72-0.000000001,0)*AR72)</x:f>
        <x:v>1</x:v>
      </x:c>
      <x:c r="AT72" s="23" t="n">
        <x:v>0.6586427672846571</x:v>
      </x:c>
    </x:row>
    <x:row r="73" ht="64" customHeight="1">
      <x:c r="A73" s="10" t="str">
        <x:v>IEK</x:v>
      </x:c>
      <x:c r="B73" s="34" t="str">
        <x:v>030200956_</x:v>
      </x:c>
      <x:c r="C73" s="34" t="str">
        <x:v>BR-RT11-K01</x:v>
      </x:c>
      <x:c r="D73" s="13" t="str">
        <x:v>Термостат с инд. "BRITE" белый (1/80)</x:v>
      </x:c>
      <x:c r="E73" s="10" t="str">
        <x:v>шт</x:v>
      </x:c>
      <x:c r="F73" s="37" t="n">
        <x:f>IF(AS73&gt;0,MAX(AS73,AJ73),0)</x:f>
        <x:v>6</x:v>
      </x:c>
      <x:c r="G73" s="21" t="str">
        <x:f>IF(J73="Рассчитано",V73*(1-R73/100)-W73-P73-Q73,"н/д")</x:f>
        <x:v>н/д</x:v>
      </x:c>
      <x:c r="H73" s="13" t="str">
        <x:v>Высокий</x:v>
      </x:c>
      <x:c r="I73" s="13" t="str">
        <x:v>Критический</x:v>
      </x:c>
      <x:c r="J73" s="13" t="str">
        <x:f>IF(L73="","Укажите валюту",IF(NOT(ISNUMBER(K73)),"Укажите объём",IF(K73&lt;=0,"Укажите объём",IF(COUNT(M73:O73)&lt;3,"Нужны цены",IF(COUNT(P73:R73)&lt;3,"Нужны расходы",IF(OR(M73&lt;0,N73&lt;0,O73&lt;0,O73&gt;100,P73&lt;0,Q73&lt;0,R73&lt;0,R73&gt;100),"Проверьте значения","Рассчитано"))))))</x:f>
        <x:v>Нужны цены</x:v>
      </x:c>
      <x:c r="K73" s="36" t="n">
        <x:v>6</x:v>
      </x:c>
      <x:c r="L73" s="19" t="str">
        <x:v>KZT</x:v>
      </x:c>
      <x:c r="M73" s="22"/>
      <x:c r="N73" s="22"/>
      <x:c r="O73" s="28"/>
      <x:c r="P73" s="22"/>
      <x:c r="Q73" s="22"/>
      <x:c r="R73" s="28"/>
      <x:c r="S73" s="22"/>
      <x:c r="T73" s="37" t="n">
        <x:f>MIN(K73,AT73)</x:f>
        <x:v>5.435786092204487</x:v>
      </x:c>
      <x:c r="U73" s="21" t="str">
        <x:f>IF(J73="Рассчитано",N73*(1-O73/100),"н/д")</x:f>
        <x:v>н/д</x:v>
      </x:c>
      <x:c r="V73" s="21" t="str">
        <x:f>IF(J73="Рассчитано",T73*U73,"н/д")</x:f>
        <x:v>н/д</x:v>
      </x:c>
      <x:c r="W73" s="21" t="str">
        <x:f>IF(J73="Рассчитано",T73*M73,"н/д")</x:f>
        <x:v>н/д</x:v>
      </x:c>
      <x:c r="X73" s="21" t="str">
        <x:f>IF(J73="Рассчитано",V73-W73,"н/д")</x:f>
        <x:v>н/д</x:v>
      </x:c>
      <x:c r="Y73" s="27" t="str">
        <x:f>IF(J73="Рассчитано",IF(V73&gt;0,G73/V73,"н/д"),"н/д")</x:f>
        <x:v>н/д</x:v>
      </x:c>
      <x:c r="Z73" s="21" t="str">
        <x:f>IF(J73="Рассчитано",K73*M73,"н/д")</x:f>
        <x:v>н/д</x:v>
      </x:c>
      <x:c r="AA73" s="21" t="str">
        <x:f>IF(J73="Рассчитано",(K73-T73)*M73,"н/д")</x:f>
        <x:v>н/д</x:v>
      </x:c>
      <x:c r="AB73" s="21" t="str">
        <x:f>IF(AND(J73="Рассчитано",ISNUMBER(S73)),K73*(S73-M73),"н/д")</x:f>
        <x:v>н/д</x:v>
      </x:c>
      <x:c r="AC73" s="21" t="str">
        <x:f>IF(AND(J73="Рассчитано",T73&gt;0,R73&lt;100),(W73+P73+Q73)/(T73*(1-R73/100)),"н/д")</x:f>
        <x:v>н/д</x:v>
      </x:c>
      <x:c r="AD73" s="10" t="str">
        <x:f>IF(ISNUMBER(G73),IF(G73&lt;0,"Убыток",IF(G73=0,"Без прибыли","Прибыль &gt; 0")),"Не оценён")</x:f>
        <x:v>Не оценён</x:v>
      </x:c>
      <x:c r="AE73" s="13" t="str">
        <x:f>IF(J73="Рассчитано","Выручка "&amp;TEXT(V73,"0.00")&amp;" - себестоимость "&amp;TEXT(W73,"0.00")&amp;" - комиссия "&amp;TEXT(V73*R73/100,"0.00")&amp;" - доставка "&amp;TEXT(P73,"0.00")&amp;" - прочие "&amp;TEXT(Q73,"0.00")&amp;" = "&amp;TEXT(G73,"0.00")&amp;" "&amp;L73,"Введите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3" s="24" t="n">
        <x:v>5.435786092204487</x:v>
      </x:c>
      <x:c r="AG73" s="37" t="n">
        <x:v>0</x:v>
      </x:c>
      <x:c r="AH73" s="37" t="n">
        <x:v>0</x:v>
      </x:c>
      <x:c r="AI73" s="30" t="n">
        <x:v>46266</x:v>
      </x:c>
      <x:c r="AJ73" s="37" t="n">
        <x:v>1</x:v>
      </x:c>
      <x:c r="AK73" s="10" t="str">
        <x:v>минимум</x:v>
      </x:c>
      <x:c r="AL73" s="32" t="n">
        <x:v>0</x:v>
      </x:c>
      <x:c r="AM73" s="13" t="str">
        <x:v>Остаток на начало сентября; Резервы неизвестны; Нет ежедневных данных доступности. Нет запаса</x:v>
      </x:c>
      <x:c r="AN73" s="13" t="str">
        <x:v>Подтвердить наличие, срок и цену закупки</x:v>
      </x:c>
      <x:c r="AO73" s="13" t="str">
        <x:v>Прогноз 30 дней 5.44; остаток 0; поступления в срок 0; нехватка 6; заказ с учётом MOQ 6 шт. Остаток на начало сентября: требуется актуализация.</x:v>
      </x:c>
      <x:c r="AP73" s="13" t="str">
        <x:v>["blank_stock_assumed_zero", "category_missing", "daily_stockout_data_missing", "negative_net_sales_clipped_for_forecast", "new_order_lead_time_unknown", "reservations_unknown", "stale_stock"]</x:v>
      </x:c>
      <x:c r="AQ73" s="10" t="str">
        <x:v>IEK:030200956_</x:v>
      </x:c>
      <x:c r="AR73" s="24" t="n">
        <x:v>1</x:v>
      </x:c>
      <x:c r="AS73" s="24" t="n">
        <x:f>MAX(0,ROUNDUP(MAX(0,AF73-AG73-AH73)/AR73-0.000000001,0)*AR73)</x:f>
        <x:v>6</x:v>
      </x:c>
      <x:c r="AT73" s="24" t="n">
        <x:v>5.435786092204487</x:v>
      </x:c>
    </x:row>
    <x:row r="74" ht="64" customHeight="1">
      <x:c r="A74" s="11" t="str">
        <x:v>IEK</x:v>
      </x:c>
      <x:c r="B74" s="33" t="str">
        <x:v>030200970_</x:v>
      </x:c>
      <x:c r="C74" s="33" t="str">
        <x:v>BR-V14-0-10-K01</x:v>
      </x:c>
      <x:c r="D74" s="12" t="str">
        <x:v>Выкл. 1-кл. самовозвратн. 10А "BRITE" белый (1/100)</x:v>
      </x:c>
      <x:c r="E74" s="11" t="str">
        <x:v>шт</x:v>
      </x:c>
      <x:c r="F74" s="35" t="n">
        <x:f>IF(AS74&gt;0,MAX(AS74,AJ74),0)</x:f>
        <x:v>51</x:v>
      </x:c>
      <x:c r="G74" s="20" t="str">
        <x:f>IF(J74="Рассчитано",V74*(1-R74/100)-W74-P74-Q74,"н/д")</x:f>
        <x:v>н/д</x:v>
      </x:c>
      <x:c r="H74" s="12" t="str">
        <x:v>Высокий</x:v>
      </x:c>
      <x:c r="I74" s="12" t="str">
        <x:v>Критический</x:v>
      </x:c>
      <x:c r="J74" s="12" t="str">
        <x:f>IF(L74="","Укажите валюту",IF(NOT(ISNUMBER(K74)),"Укажите объём",IF(K74&lt;=0,"Укажите объём",IF(COUNT(M74:O74)&lt;3,"Нужны цены",IF(COUNT(P74:R74)&lt;3,"Нужны расходы",IF(OR(M74&lt;0,N74&lt;0,O74&lt;0,O74&gt;100,P74&lt;0,Q74&lt;0,R74&lt;0,R74&gt;100),"Проверьте значения","Рассчитано"))))))</x:f>
        <x:v>Нужны цены</x:v>
      </x:c>
      <x:c r="K74" s="36" t="n">
        <x:v>51</x:v>
      </x:c>
      <x:c r="L74" s="19" t="str">
        <x:v>KZT</x:v>
      </x:c>
      <x:c r="M74" s="22"/>
      <x:c r="N74" s="22"/>
      <x:c r="O74" s="28"/>
      <x:c r="P74" s="22"/>
      <x:c r="Q74" s="22"/>
      <x:c r="R74" s="28"/>
      <x:c r="S74" s="22"/>
      <x:c r="T74" s="35" t="n">
        <x:f>MIN(K74,AT74)</x:f>
        <x:v>50.983445384017095</x:v>
      </x:c>
      <x:c r="U74" s="20" t="str">
        <x:f>IF(J74="Рассчитано",N74*(1-O74/100),"н/д")</x:f>
        <x:v>н/д</x:v>
      </x:c>
      <x:c r="V74" s="20" t="str">
        <x:f>IF(J74="Рассчитано",T74*U74,"н/д")</x:f>
        <x:v>н/д</x:v>
      </x:c>
      <x:c r="W74" s="20" t="str">
        <x:f>IF(J74="Рассчитано",T74*M74,"н/д")</x:f>
        <x:v>н/д</x:v>
      </x:c>
      <x:c r="X74" s="20" t="str">
        <x:f>IF(J74="Рассчитано",V74-W74,"н/д")</x:f>
        <x:v>н/д</x:v>
      </x:c>
      <x:c r="Y74" s="26" t="str">
        <x:f>IF(J74="Рассчитано",IF(V74&gt;0,G74/V74,"н/д"),"н/д")</x:f>
        <x:v>н/д</x:v>
      </x:c>
      <x:c r="Z74" s="20" t="str">
        <x:f>IF(J74="Рассчитано",K74*M74,"н/д")</x:f>
        <x:v>н/д</x:v>
      </x:c>
      <x:c r="AA74" s="20" t="str">
        <x:f>IF(J74="Рассчитано",(K74-T74)*M74,"н/д")</x:f>
        <x:v>н/д</x:v>
      </x:c>
      <x:c r="AB74" s="20" t="str">
        <x:f>IF(AND(J74="Рассчитано",ISNUMBER(S74)),K74*(S74-M74),"н/д")</x:f>
        <x:v>н/д</x:v>
      </x:c>
      <x:c r="AC74" s="20" t="str">
        <x:f>IF(AND(J74="Рассчитано",T74&gt;0,R74&lt;100),(W74+P74+Q74)/(T74*(1-R74/100)),"н/д")</x:f>
        <x:v>н/д</x:v>
      </x:c>
      <x:c r="AD74" s="11" t="str">
        <x:f>IF(ISNUMBER(G74),IF(G74&lt;0,"Убыток",IF(G74=0,"Без прибыли","Прибыль &gt; 0")),"Не оценён")</x:f>
        <x:v>Не оценён</x:v>
      </x:c>
      <x:c r="AE74" s="12" t="str">
        <x:f>IF(J74="Рассчитано","Выручка "&amp;TEXT(V74,"0.00")&amp;" - себестоимость "&amp;TEXT(W74,"0.00")&amp;" - комиссия "&amp;TEXT(V74*R74/100,"0.00")&amp;" - доставка "&amp;TEXT(P74,"0.00")&amp;" - прочие "&amp;TEXT(Q74,"0.00")&amp;" = "&amp;TEXT(G74,"0.00")&amp;" "&amp;L74,"Введите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4" s="23" t="n">
        <x:v>50.983445384017095</x:v>
      </x:c>
      <x:c r="AG74" s="35" t="n">
        <x:v>0</x:v>
      </x:c>
      <x:c r="AH74" s="35" t="n">
        <x:v>0</x:v>
      </x:c>
      <x:c r="AI74" s="29" t="n">
        <x:v>46266</x:v>
      </x:c>
      <x:c r="AJ74" s="35" t="n">
        <x:v>1</x:v>
      </x:c>
      <x:c r="AK74" s="11" t="str">
        <x:v>минимум</x:v>
      </x:c>
      <x:c r="AL74" s="31" t="n">
        <x:v>0</x:v>
      </x:c>
      <x:c r="AM74" s="12" t="str">
        <x:v>Остаток на начало сентября; Резервы неизвестны; Нет ежедневных данных доступности. Нет запаса</x:v>
      </x:c>
      <x:c r="AN74" s="12" t="str">
        <x:v>Подтвердить наличие, срок и цену закупки</x:v>
      </x:c>
      <x:c r="AO74" s="12" t="str">
        <x:v>Прогноз 30 дней 50.98; остаток 0; поступления в срок 0; нехватка 51; заказ с учётом MOQ 51 шт. Остаток на начало сентября: требуется актуализация.</x:v>
      </x:c>
      <x:c r="AP74" s="12" t="str">
        <x:v>["blank_stock_assumed_zero", "category_missing", "daily_stockout_data_missing", "negative_net_sales_clipped_for_forecast", "new_order_lead_time_unknown", "reservations_unknown", "stale_stock"]</x:v>
      </x:c>
      <x:c r="AQ74" s="11" t="str">
        <x:v>IEK:030200970_</x:v>
      </x:c>
      <x:c r="AR74" s="23" t="n">
        <x:v>1</x:v>
      </x:c>
      <x:c r="AS74" s="23" t="n">
        <x:f>MAX(0,ROUNDUP(MAX(0,AF74-AG74-AH74)/AR74-0.000000001,0)*AR74)</x:f>
        <x:v>51</x:v>
      </x:c>
      <x:c r="AT74" s="23" t="n">
        <x:v>50.983445384017095</x:v>
      </x:c>
    </x:row>
    <x:row r="75" ht="64" customHeight="1">
      <x:c r="A75" s="10" t="str">
        <x:v>IEK</x:v>
      </x:c>
      <x:c r="B75" s="34" t="str">
        <x:v>030200972_</x:v>
      </x:c>
      <x:c r="C75" s="34" t="str">
        <x:v>BR-V14-0-10-K53</x:v>
      </x:c>
      <x:c r="D75" s="13" t="str">
        <x:v>Выкл. 1-кл. самовозвратн. 10А "BRITE" графит (1/100)</x:v>
      </x:c>
      <x:c r="E75" s="10" t="str">
        <x:v>шт</x:v>
      </x:c>
      <x:c r="F75" s="37" t="n">
        <x:f>IF(AS75&gt;0,MAX(AS75,AJ75),0)</x:f>
        <x:v>2</x:v>
      </x:c>
      <x:c r="G75" s="21" t="str">
        <x:f>IF(J75="Рассчитано",V75*(1-R75/100)-W75-P75-Q75,"н/д")</x:f>
        <x:v>н/д</x:v>
      </x:c>
      <x:c r="H75" s="13" t="str">
        <x:v>Высокий</x:v>
      </x:c>
      <x:c r="I75" s="13" t="str">
        <x:v>Критический</x:v>
      </x:c>
      <x:c r="J75" s="13" t="str">
        <x:f>IF(L75="","Укажите валюту",IF(NOT(ISNUMBER(K75)),"Укажите объём",IF(K75&lt;=0,"Укажите объём",IF(COUNT(M75:O75)&lt;3,"Нужны цены",IF(COUNT(P75:R75)&lt;3,"Нужны расходы",IF(OR(M75&lt;0,N75&lt;0,O75&lt;0,O75&gt;100,P75&lt;0,Q75&lt;0,R75&lt;0,R75&gt;100),"Проверьте значения","Рассчитано"))))))</x:f>
        <x:v>Нужны цены</x:v>
      </x:c>
      <x:c r="K75" s="36" t="n">
        <x:v>2</x:v>
      </x:c>
      <x:c r="L75" s="19" t="str">
        <x:v>KZT</x:v>
      </x:c>
      <x:c r="M75" s="22"/>
      <x:c r="N75" s="22"/>
      <x:c r="O75" s="28"/>
      <x:c r="P75" s="22"/>
      <x:c r="Q75" s="22"/>
      <x:c r="R75" s="28"/>
      <x:c r="S75" s="22"/>
      <x:c r="T75" s="37" t="n">
        <x:f>MIN(K75,AT75)</x:f>
        <x:v>1.0306760107701596</x:v>
      </x:c>
      <x:c r="U75" s="21" t="str">
        <x:f>IF(J75="Рассчитано",N75*(1-O75/100),"н/д")</x:f>
        <x:v>н/д</x:v>
      </x:c>
      <x:c r="V75" s="21" t="str">
        <x:f>IF(J75="Рассчитано",T75*U75,"н/д")</x:f>
        <x:v>н/д</x:v>
      </x:c>
      <x:c r="W75" s="21" t="str">
        <x:f>IF(J75="Рассчитано",T75*M75,"н/д")</x:f>
        <x:v>н/д</x:v>
      </x:c>
      <x:c r="X75" s="21" t="str">
        <x:f>IF(J75="Рассчитано",V75-W75,"н/д")</x:f>
        <x:v>н/д</x:v>
      </x:c>
      <x:c r="Y75" s="27" t="str">
        <x:f>IF(J75="Рассчитано",IF(V75&gt;0,G75/V75,"н/д"),"н/д")</x:f>
        <x:v>н/д</x:v>
      </x:c>
      <x:c r="Z75" s="21" t="str">
        <x:f>IF(J75="Рассчитано",K75*M75,"н/д")</x:f>
        <x:v>н/д</x:v>
      </x:c>
      <x:c r="AA75" s="21" t="str">
        <x:f>IF(J75="Рассчитано",(K75-T75)*M75,"н/д")</x:f>
        <x:v>н/д</x:v>
      </x:c>
      <x:c r="AB75" s="21" t="str">
        <x:f>IF(AND(J75="Рассчитано",ISNUMBER(S75)),K75*(S75-M75),"н/д")</x:f>
        <x:v>н/д</x:v>
      </x:c>
      <x:c r="AC75" s="21" t="str">
        <x:f>IF(AND(J75="Рассчитано",T75&gt;0,R75&lt;100),(W75+P75+Q75)/(T75*(1-R75/100)),"н/д")</x:f>
        <x:v>н/д</x:v>
      </x:c>
      <x:c r="AD75" s="10" t="str">
        <x:f>IF(ISNUMBER(G75),IF(G75&lt;0,"Убыток",IF(G75=0,"Без прибыли","Прибыль &gt; 0")),"Не оценён")</x:f>
        <x:v>Не оценён</x:v>
      </x:c>
      <x:c r="AE75" s="13" t="str">
        <x:f>IF(J75="Рассчитано","Выручка "&amp;TEXT(V75,"0.00")&amp;" - себестоимость "&amp;TEXT(W75,"0.00")&amp;" - комиссия "&amp;TEXT(V75*R75/100,"0.00")&amp;" - доставка "&amp;TEXT(P75,"0.00")&amp;" - прочие "&amp;TEXT(Q75,"0.00")&amp;" = "&amp;TEXT(G75,"0.00")&amp;" "&amp;L75,"Введите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5" s="24" t="n">
        <x:v>1.0306760107701596</x:v>
      </x:c>
      <x:c r="AG75" s="37" t="n">
        <x:v>0</x:v>
      </x:c>
      <x:c r="AH75" s="37" t="n">
        <x:v>0</x:v>
      </x:c>
      <x:c r="AI75" s="30" t="n">
        <x:v>46266</x:v>
      </x:c>
      <x:c r="AJ75" s="37" t="n">
        <x:v>1</x:v>
      </x:c>
      <x:c r="AK75" s="10" t="str">
        <x:v>минимум</x:v>
      </x:c>
      <x:c r="AL75" s="32" t="n">
        <x:v>0</x:v>
      </x:c>
      <x:c r="AM75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75" s="13" t="str">
        <x:v>Подтвердить наличие, срок и цену закупки</x:v>
      </x:c>
      <x:c r="AO75" s="13" t="str">
        <x:v>Прогноз 30 дней 1.03; остаток 0; поступления в срок 0; нехватка 2; заказ с учётом MOQ 2 шт. Остаток на начало сентября: требуется актуализация.</x:v>
      </x:c>
      <x:c r="AP75" s="13" t="str">
        <x:v>["blank_stock_assumed_zero", "category_missing", "daily_stockout_data_missing", "new_order_lead_time_unknown", "reservations_unknown", "stale_stock", "stockout_proxy_used"]</x:v>
      </x:c>
      <x:c r="AQ75" s="10" t="str">
        <x:v>IEK:030200972_</x:v>
      </x:c>
      <x:c r="AR75" s="24" t="n">
        <x:v>1</x:v>
      </x:c>
      <x:c r="AS75" s="24" t="n">
        <x:f>MAX(0,ROUNDUP(MAX(0,AF75-AG75-AH75)/AR75-0.000000001,0)*AR75)</x:f>
        <x:v>2</x:v>
      </x:c>
      <x:c r="AT75" s="24" t="n">
        <x:v>1.0306760107701596</x:v>
      </x:c>
    </x:row>
    <x:row r="76" ht="64" customHeight="1">
      <x:c r="A76" s="11" t="str">
        <x:v>IEK</x:v>
      </x:c>
      <x:c r="B76" s="33" t="str">
        <x:v>030201095_</x:v>
      </x:c>
      <x:c r="C76" s="33" t="str">
        <x:v>BR-M12-M-01-K47</x:v>
      </x:c>
      <x:c r="D76" s="12" t="str">
        <x:v>Рамка 1-мест. "BRITE"  металл алюм. RE  IEK  (1/100)</x:v>
      </x:c>
      <x:c r="E76" s="11" t="str">
        <x:v>шт</x:v>
      </x:c>
      <x:c r="F76" s="35" t="n">
        <x:f>IF(AS76&gt;0,MAX(AS76,AJ76),0)</x:f>
        <x:v>3</x:v>
      </x:c>
      <x:c r="G76" s="20" t="str">
        <x:f>IF(J76="Рассчитано",V76*(1-R76/100)-W76-P76-Q76,"н/д")</x:f>
        <x:v>н/д</x:v>
      </x:c>
      <x:c r="H76" s="12" t="str">
        <x:v>Высокий</x:v>
      </x:c>
      <x:c r="I76" s="12" t="str">
        <x:v>Высокий</x:v>
      </x:c>
      <x:c r="J76" s="12" t="str">
        <x:f>IF(L76="","Укажите валюту",IF(NOT(ISNUMBER(K76)),"Укажите объём",IF(K76&lt;=0,"Укажите объём",IF(COUNT(M76:O76)&lt;3,"Нужны цены",IF(COUNT(P76:R76)&lt;3,"Нужны расходы",IF(OR(M76&lt;0,N76&lt;0,O76&lt;0,O76&gt;100,P76&lt;0,Q76&lt;0,R76&lt;0,R76&gt;100),"Проверьте значения","Рассчитано"))))))</x:f>
        <x:v>Нужны цены</x:v>
      </x:c>
      <x:c r="K76" s="36" t="n">
        <x:v>3</x:v>
      </x:c>
      <x:c r="L76" s="19" t="str">
        <x:v>KZT</x:v>
      </x:c>
      <x:c r="M76" s="22"/>
      <x:c r="N76" s="22"/>
      <x:c r="O76" s="28"/>
      <x:c r="P76" s="22"/>
      <x:c r="Q76" s="22"/>
      <x:c r="R76" s="28"/>
      <x:c r="S76" s="22"/>
      <x:c r="T76" s="35" t="n">
        <x:f>MIN(K76,AT76)</x:f>
        <x:v>2.0731305678395135</x:v>
      </x:c>
      <x:c r="U76" s="20" t="str">
        <x:f>IF(J76="Рассчитано",N76*(1-O76/100),"н/д")</x:f>
        <x:v>н/д</x:v>
      </x:c>
      <x:c r="V76" s="20" t="str">
        <x:f>IF(J76="Рассчитано",T76*U76,"н/д")</x:f>
        <x:v>н/д</x:v>
      </x:c>
      <x:c r="W76" s="20" t="str">
        <x:f>IF(J76="Рассчитано",T76*M76,"н/д")</x:f>
        <x:v>н/д</x:v>
      </x:c>
      <x:c r="X76" s="20" t="str">
        <x:f>IF(J76="Рассчитано",V76-W76,"н/д")</x:f>
        <x:v>н/д</x:v>
      </x:c>
      <x:c r="Y76" s="26" t="str">
        <x:f>IF(J76="Рассчитано",IF(V76&gt;0,G76/V76,"н/д"),"н/д")</x:f>
        <x:v>н/д</x:v>
      </x:c>
      <x:c r="Z76" s="20" t="str">
        <x:f>IF(J76="Рассчитано",K76*M76,"н/д")</x:f>
        <x:v>н/д</x:v>
      </x:c>
      <x:c r="AA76" s="20" t="str">
        <x:f>IF(J76="Рассчитано",(K76-T76)*M76,"н/д")</x:f>
        <x:v>н/д</x:v>
      </x:c>
      <x:c r="AB76" s="20" t="str">
        <x:f>IF(AND(J76="Рассчитано",ISNUMBER(S76)),K76*(S76-M76),"н/д")</x:f>
        <x:v>н/д</x:v>
      </x:c>
      <x:c r="AC76" s="20" t="str">
        <x:f>IF(AND(J76="Рассчитано",T76&gt;0,R76&lt;100),(W76+P76+Q76)/(T76*(1-R76/100)),"н/д")</x:f>
        <x:v>н/д</x:v>
      </x:c>
      <x:c r="AD76" s="11" t="str">
        <x:f>IF(ISNUMBER(G76),IF(G76&lt;0,"Убыток",IF(G76=0,"Без прибыли","Прибыль &gt; 0")),"Не оценён")</x:f>
        <x:v>Не оценён</x:v>
      </x:c>
      <x:c r="AE76" s="12" t="str">
        <x:f>IF(J76="Рассчитано","Выручка "&amp;TEXT(V76,"0.00")&amp;" - себестоимость "&amp;TEXT(W76,"0.00")&amp;" - комиссия "&amp;TEXT(V76*R76/100,"0.00")&amp;" - доставка "&amp;TEXT(P76,"0.00")&amp;" - прочие "&amp;TEXT(Q76,"0.00")&amp;" = "&amp;TEXT(G76,"0.00")&amp;" "&amp;L76,"Введите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6" s="23" t="n">
        <x:v>3.0731305678395135</x:v>
      </x:c>
      <x:c r="AG76" s="35" t="n">
        <x:v>1</x:v>
      </x:c>
      <x:c r="AH76" s="35" t="n">
        <x:v>0</x:v>
      </x:c>
      <x:c r="AI76" s="29" t="n">
        <x:v>46266</x:v>
      </x:c>
      <x:c r="AJ76" s="35" t="n">
        <x:v>1</x:v>
      </x:c>
      <x:c r="AK76" s="11" t="str">
        <x:v>минимум</x:v>
      </x:c>
      <x:c r="AL76" s="31" t="n">
        <x:v>9.76203234380983</x:v>
      </x:c>
      <x:c r="AM76" s="12" t="str">
        <x:v>Остаток на начало сентября; Резервы неизвестны; Нет ежедневных данных доступности. Запаса примерно на 9.8 дн. без поступлений</x:v>
      </x:c>
      <x:c r="AN76" s="12" t="str">
        <x:v>Подтвердить наличие, срок и цену закупки</x:v>
      </x:c>
      <x:c r="AO76" s="12" t="str">
        <x:v>Прогноз 30 дней 3.07; остаток 1; поступления в срок 0; нехватка 3; заказ с учётом MOQ 3 шт. Остаток на начало сентября: требуется актуализация.</x:v>
      </x:c>
      <x:c r="AP76" s="12" t="str">
        <x:v>["category_missing", "daily_stockout_data_missing", "new_order_lead_time_unknown", "reservations_unknown", "stale_stock"]</x:v>
      </x:c>
      <x:c r="AQ76" s="11" t="str">
        <x:v>IEK:030201095_</x:v>
      </x:c>
      <x:c r="AR76" s="23" t="n">
        <x:v>1</x:v>
      </x:c>
      <x:c r="AS76" s="23" t="n">
        <x:f>MAX(0,ROUNDUP(MAX(0,AF76-AG76-AH76)/AR76-0.000000001,0)*AR76)</x:f>
        <x:v>3</x:v>
      </x:c>
      <x:c r="AT76" s="23" t="n">
        <x:v>2.0731305678395135</x:v>
      </x:c>
    </x:row>
    <x:row r="77" ht="64" customHeight="1">
      <x:c r="A77" s="10" t="str">
        <x:v>IEK</x:v>
      </x:c>
      <x:c r="B77" s="34" t="str">
        <x:v>030201462_</x:v>
      </x:c>
      <x:c r="C77" s="34" t="str">
        <x:v>TS-R16-16-55-K53</x:v>
      </x:c>
      <x:c r="D77" s="13" t="str">
        <x:v>Розетка 1-я о/у з/к c крышкой графит IP55 TORS IEK (1/60)</x:v>
      </x:c>
      <x:c r="E77" s="10" t="str">
        <x:v>шт</x:v>
      </x:c>
      <x:c r="F77" s="37" t="n">
        <x:f>IF(AS77&gt;0,MAX(AS77,AJ77),0)</x:f>
        <x:v>57</x:v>
      </x:c>
      <x:c r="G77" s="21" t="str">
        <x:f>IF(J77="Рассчитано",V77*(1-R77/100)-W77-P77-Q77,"н/д")</x:f>
        <x:v>н/д</x:v>
      </x:c>
      <x:c r="H77" s="13" t="str">
        <x:v>Высокий</x:v>
      </x:c>
      <x:c r="I77" s="13" t="str">
        <x:v>Критический</x:v>
      </x:c>
      <x:c r="J77" s="13" t="str">
        <x:f>IF(L77="","Укажите валюту",IF(NOT(ISNUMBER(K77)),"Укажите объём",IF(K77&lt;=0,"Укажите объём",IF(COUNT(M77:O77)&lt;3,"Нужны цены",IF(COUNT(P77:R77)&lt;3,"Нужны расходы",IF(OR(M77&lt;0,N77&lt;0,O77&lt;0,O77&gt;100,P77&lt;0,Q77&lt;0,R77&lt;0,R77&gt;100),"Проверьте значения","Рассчитано"))))))</x:f>
        <x:v>Нужны цены</x:v>
      </x:c>
      <x:c r="K77" s="36" t="n">
        <x:v>57</x:v>
      </x:c>
      <x:c r="L77" s="19" t="str">
        <x:v>KZT</x:v>
      </x:c>
      <x:c r="M77" s="22"/>
      <x:c r="N77" s="22"/>
      <x:c r="O77" s="28"/>
      <x:c r="P77" s="22"/>
      <x:c r="Q77" s="22"/>
      <x:c r="R77" s="28"/>
      <x:c r="S77" s="22"/>
      <x:c r="T77" s="37" t="n">
        <x:f>MIN(K77,AT77)</x:f>
        <x:v>56.09438287742277</x:v>
      </x:c>
      <x:c r="U77" s="21" t="str">
        <x:f>IF(J77="Рассчитано",N77*(1-O77/100),"н/д")</x:f>
        <x:v>н/д</x:v>
      </x:c>
      <x:c r="V77" s="21" t="str">
        <x:f>IF(J77="Рассчитано",T77*U77,"н/д")</x:f>
        <x:v>н/д</x:v>
      </x:c>
      <x:c r="W77" s="21" t="str">
        <x:f>IF(J77="Рассчитано",T77*M77,"н/д")</x:f>
        <x:v>н/д</x:v>
      </x:c>
      <x:c r="X77" s="21" t="str">
        <x:f>IF(J77="Рассчитано",V77-W77,"н/д")</x:f>
        <x:v>н/д</x:v>
      </x:c>
      <x:c r="Y77" s="27" t="str">
        <x:f>IF(J77="Рассчитано",IF(V77&gt;0,G77/V77,"н/д"),"н/д")</x:f>
        <x:v>н/д</x:v>
      </x:c>
      <x:c r="Z77" s="21" t="str">
        <x:f>IF(J77="Рассчитано",K77*M77,"н/д")</x:f>
        <x:v>н/д</x:v>
      </x:c>
      <x:c r="AA77" s="21" t="str">
        <x:f>IF(J77="Рассчитано",(K77-T77)*M77,"н/д")</x:f>
        <x:v>н/д</x:v>
      </x:c>
      <x:c r="AB77" s="21" t="str">
        <x:f>IF(AND(J77="Рассчитано",ISNUMBER(S77)),K77*(S77-M77),"н/д")</x:f>
        <x:v>н/д</x:v>
      </x:c>
      <x:c r="AC77" s="21" t="str">
        <x:f>IF(AND(J77="Рассчитано",T77&gt;0,R77&lt;100),(W77+P77+Q77)/(T77*(1-R77/100)),"н/д")</x:f>
        <x:v>н/д</x:v>
      </x:c>
      <x:c r="AD77" s="10" t="str">
        <x:f>IF(ISNUMBER(G77),IF(G77&lt;0,"Убыток",IF(G77=0,"Без прибыли","Прибыль &gt; 0")),"Не оценён")</x:f>
        <x:v>Не оценён</x:v>
      </x:c>
      <x:c r="AE77" s="13" t="str">
        <x:f>IF(J77="Рассчитано","Выручка "&amp;TEXT(V77,"0.00")&amp;" - себестоимость "&amp;TEXT(W77,"0.00")&amp;" - комиссия "&amp;TEXT(V77*R77/100,"0.00")&amp;" - доставка "&amp;TEXT(P77,"0.00")&amp;" - прочие "&amp;TEXT(Q77,"0.00")&amp;" = "&amp;TEXT(G77,"0.00")&amp;" "&amp;L77,"Введите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7" s="24" t="n">
        <x:v>57.09438287742277</x:v>
      </x:c>
      <x:c r="AG77" s="37" t="n">
        <x:v>1</x:v>
      </x:c>
      <x:c r="AH77" s="37" t="n">
        <x:v>0</x:v>
      </x:c>
      <x:c r="AI77" s="30" t="n">
        <x:v>46266</x:v>
      </x:c>
      <x:c r="AJ77" s="37" t="n">
        <x:v>1</x:v>
      </x:c>
      <x:c r="AK77" s="10" t="str">
        <x:v>минимум</x:v>
      </x:c>
      <x:c r="AL77" s="32" t="n">
        <x:v>0.5254457354308861</x:v>
      </x:c>
      <x:c r="AM77" s="13" t="str">
        <x:v>Остаток на начало сентября; Резервы неизвестны; Stockout оценён по месячным снимкам; Нет ежедневных данных доступности. Запаса примерно на 0.5 дн. без поступлений</x:v>
      </x:c>
      <x:c r="AN77" s="13" t="str">
        <x:v>Подтвердить наличие, срок и цену закупки</x:v>
      </x:c>
      <x:c r="AO77" s="13" t="str">
        <x:v>Прогноз 30 дней 57.09; остаток 1; поступления в срок 0; нехватка 57; заказ с учётом MOQ 57 шт. Остаток на начало сентября: требуется актуализация.</x:v>
      </x:c>
      <x:c r="AP77" s="13" t="str">
        <x:v>["category_missing", "daily_stockout_data_missing", "new_order_lead_time_unknown", "reservations_unknown", "stale_stock", "stockout_proxy_used"]</x:v>
      </x:c>
      <x:c r="AQ77" s="10" t="str">
        <x:v>IEK:030201462_</x:v>
      </x:c>
      <x:c r="AR77" s="24" t="n">
        <x:v>1</x:v>
      </x:c>
      <x:c r="AS77" s="24" t="n">
        <x:f>MAX(0,ROUNDUP(MAX(0,AF77-AG77-AH77)/AR77-0.000000001,0)*AR77)</x:f>
        <x:v>57</x:v>
      </x:c>
      <x:c r="AT77" s="24" t="n">
        <x:v>56.09438287742277</x:v>
      </x:c>
    </x:row>
    <x:row r="78" ht="64" customHeight="1">
      <x:c r="A78" s="11" t="str">
        <x:v>IEK</x:v>
      </x:c>
      <x:c r="B78" s="33" t="str">
        <x:v>080800024_</x:v>
      </x:c>
      <x:c r="C78" s="33" t="str">
        <x:v>BLS30-ALTE-K06</x:v>
      </x:c>
      <x:c r="D78" s="12" t="str">
        <x:v>Индикатор AL-22TE Ø22мм (зеленый неон) IEK (10/300)</x:v>
      </x:c>
      <x:c r="E78" s="11" t="str">
        <x:v>шт</x:v>
      </x:c>
      <x:c r="F78" s="35" t="n">
        <x:f>IF(AS78&gt;0,MAX(AS78,AJ78),0)</x:f>
        <x:v>10</x:v>
      </x:c>
      <x:c r="G78" s="20" t="str">
        <x:f>IF(J78="Рассчитано",V78*(1-R78/100)-W78-P78-Q78,"н/д")</x:f>
        <x:v>н/д</x:v>
      </x:c>
      <x:c r="H78" s="12" t="str">
        <x:v>Высокий</x:v>
      </x:c>
      <x:c r="I78" s="12" t="str">
        <x:v>Средний</x:v>
      </x:c>
      <x:c r="J78" s="12" t="str">
        <x:f>IF(L78="","Укажите валюту",IF(NOT(ISNUMBER(K78)),"Укажите объём",IF(K78&lt;=0,"Укажите объём",IF(COUNT(M78:O78)&lt;3,"Нужны цены",IF(COUNT(P78:R78)&lt;3,"Нужны расходы",IF(OR(M78&lt;0,N78&lt;0,O78&lt;0,O78&gt;100,P78&lt;0,Q78&lt;0,R78&lt;0,R78&gt;100),"Проверьте значения","Рассчитано"))))))</x:f>
        <x:v>Нужны цены</x:v>
      </x:c>
      <x:c r="K78" s="36" t="n">
        <x:v>10</x:v>
      </x:c>
      <x:c r="L78" s="19" t="str">
        <x:v>KZT</x:v>
      </x:c>
      <x:c r="M78" s="22"/>
      <x:c r="N78" s="22"/>
      <x:c r="O78" s="28"/>
      <x:c r="P78" s="22"/>
      <x:c r="Q78" s="22"/>
      <x:c r="R78" s="28"/>
      <x:c r="S78" s="22"/>
      <x:c r="T78" s="35" t="n">
        <x:f>MIN(K78,AT78)</x:f>
        <x:v>0.6333970134675864</x:v>
      </x:c>
      <x:c r="U78" s="20" t="str">
        <x:f>IF(J78="Рассчитано",N78*(1-O78/100),"н/д")</x:f>
        <x:v>н/д</x:v>
      </x:c>
      <x:c r="V78" s="20" t="str">
        <x:f>IF(J78="Рассчитано",T78*U78,"н/д")</x:f>
        <x:v>н/д</x:v>
      </x:c>
      <x:c r="W78" s="20" t="str">
        <x:f>IF(J78="Рассчитано",T78*M78,"н/д")</x:f>
        <x:v>н/д</x:v>
      </x:c>
      <x:c r="X78" s="20" t="str">
        <x:f>IF(J78="Рассчитано",V78-W78,"н/д")</x:f>
        <x:v>н/д</x:v>
      </x:c>
      <x:c r="Y78" s="26" t="str">
        <x:f>IF(J78="Рассчитано",IF(V78&gt;0,G78/V78,"н/д"),"н/д")</x:f>
        <x:v>н/д</x:v>
      </x:c>
      <x:c r="Z78" s="20" t="str">
        <x:f>IF(J78="Рассчитано",K78*M78,"н/д")</x:f>
        <x:v>н/д</x:v>
      </x:c>
      <x:c r="AA78" s="20" t="str">
        <x:f>IF(J78="Рассчитано",(K78-T78)*M78,"н/д")</x:f>
        <x:v>н/д</x:v>
      </x:c>
      <x:c r="AB78" s="20" t="str">
        <x:f>IF(AND(J78="Рассчитано",ISNUMBER(S78)),K78*(S78-M78),"н/д")</x:f>
        <x:v>н/д</x:v>
      </x:c>
      <x:c r="AC78" s="20" t="str">
        <x:f>IF(AND(J78="Рассчитано",T78&gt;0,R78&lt;100),(W78+P78+Q78)/(T78*(1-R78/100)),"н/д")</x:f>
        <x:v>н/д</x:v>
      </x:c>
      <x:c r="AD78" s="11" t="str">
        <x:f>IF(ISNUMBER(G78),IF(G78&lt;0,"Убыток",IF(G78=0,"Без прибыли","Прибыль &gt; 0")),"Не оценён")</x:f>
        <x:v>Не оценён</x:v>
      </x:c>
      <x:c r="AE78" s="12" t="str">
        <x:f>IF(J78="Рассчитано","Выручка "&amp;TEXT(V78,"0.00")&amp;" - себестоимость "&amp;TEXT(W78,"0.00")&amp;" - комиссия "&amp;TEXT(V78*R78/100,"0.00")&amp;" - доставка "&amp;TEXT(P78,"0.00")&amp;" - прочие "&amp;TEXT(Q78,"0.00")&amp;" = "&amp;TEXT(G78,"0.00")&amp;" "&amp;L78,"Введите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8" s="23" t="n">
        <x:v>1.6333970134675864</x:v>
      </x:c>
      <x:c r="AG78" s="35" t="n">
        <x:v>1</x:v>
      </x:c>
      <x:c r="AH78" s="35" t="n">
        <x:v>0</x:v>
      </x:c>
      <x:c r="AI78" s="29" t="n">
        <x:v>46266</x:v>
      </x:c>
      <x:c r="AJ78" s="35" t="n">
        <x:v>10</x:v>
      </x:c>
      <x:c r="AK78" s="11" t="str">
        <x:v>минимум</x:v>
      </x:c>
      <x:c r="AL78" s="31" t="n">
        <x:v>18.366630863559692</x:v>
      </x:c>
      <x:c r="AM78" s="12" t="str">
        <x:v>Остаток на начало сентября; Резервы неизвестны; Нет ежедневных данных доступности. Запаса примерно на 18.4 дн. без поступлений</x:v>
      </x:c>
      <x:c r="AN78" s="12" t="str">
        <x:v>Подтвердить наличие, срок и цену закупки</x:v>
      </x:c>
      <x:c r="AO78" s="12" t="str">
        <x:v>Прогноз 30 дней 1.63; остаток 1; поступления в срок 0; нехватка 1; заказ с учётом MOQ 10 шт. Остаток на начало сентября: требуется актуализация.</x:v>
      </x:c>
      <x:c r="AP78" s="12" t="str">
        <x:v>["category_missing", "daily_stockout_data_missing", "new_order_lead_time_unknown", "reservations_unknown", "stale_stock"]</x:v>
      </x:c>
      <x:c r="AQ78" s="11" t="str">
        <x:v>IEK:080800024_</x:v>
      </x:c>
      <x:c r="AR78" s="23" t="n">
        <x:v>1</x:v>
      </x:c>
      <x:c r="AS78" s="23" t="n">
        <x:f>MAX(0,ROUNDUP(MAX(0,AF78-AG78-AH78)/AR78-0.000000001,0)*AR78)</x:f>
        <x:v>1</x:v>
      </x:c>
      <x:c r="AT78" s="23" t="n">
        <x:v>0.6333970134675864</x:v>
      </x:c>
    </x:row>
    <x:row r="79" ht="64" customHeight="1">
      <x:c r="A79" s="10" t="str">
        <x:v>IEK</x:v>
      </x:c>
      <x:c r="B79" s="34" t="str">
        <x:v>080800137_</x:v>
      </x:c>
      <x:c r="C79" s="34" t="str">
        <x:v>LSR5-1-120-65-2-10-S0</x:v>
      </x:c>
      <x:c r="D79" s="13" t="str">
        <x:v>Светодиодная лента "Неон" (лента LED 10м LSR5-2835WW120-8-IP65-220В - 3000K+ драйвер) IEK</x:v>
      </x:c>
      <x:c r="E79" s="10" t="str">
        <x:v>шт</x:v>
      </x:c>
      <x:c r="F79" s="37" t="n">
        <x:f>IF(AS79&gt;0,MAX(AS79,AJ79),0)</x:f>
        <x:v>1</x:v>
      </x:c>
      <x:c r="G79" s="21" t="str">
        <x:f>IF(J79="Рассчитано",V79*(1-R79/100)-W79-P79-Q79,"н/д")</x:f>
        <x:v>н/д</x:v>
      </x:c>
      <x:c r="H79" s="13" t="str">
        <x:v>Высокий</x:v>
      </x:c>
      <x:c r="I79" s="13" t="str">
        <x:v>Критический</x:v>
      </x:c>
      <x:c r="J79" s="13" t="str">
        <x:f>IF(L79="","Укажите валюту",IF(NOT(ISNUMBER(K79)),"Укажите объём",IF(K79&lt;=0,"Укажите объём",IF(COUNT(M79:O79)&lt;3,"Нужны цены",IF(COUNT(P79:R79)&lt;3,"Нужны расходы",IF(OR(M79&lt;0,N79&lt;0,O79&lt;0,O79&gt;100,P79&lt;0,Q79&lt;0,R79&lt;0,R79&gt;100),"Проверьте значения","Рассчитано"))))))</x:f>
        <x:v>Нужны цены</x:v>
      </x:c>
      <x:c r="K79" s="36" t="n">
        <x:v>1</x:v>
      </x:c>
      <x:c r="L79" s="19" t="str">
        <x:v>KZT</x:v>
      </x:c>
      <x:c r="M79" s="22"/>
      <x:c r="N79" s="22"/>
      <x:c r="O79" s="28"/>
      <x:c r="P79" s="22"/>
      <x:c r="Q79" s="22"/>
      <x:c r="R79" s="28"/>
      <x:c r="S79" s="22"/>
      <x:c r="T79" s="37" t="n">
        <x:f>MIN(K79,AT79)</x:f>
        <x:v>0.0842802171066006</x:v>
      </x:c>
      <x:c r="U79" s="21" t="str">
        <x:f>IF(J79="Рассчитано",N79*(1-O79/100),"н/д")</x:f>
        <x:v>н/д</x:v>
      </x:c>
      <x:c r="V79" s="21" t="str">
        <x:f>IF(J79="Рассчитано",T79*U79,"н/д")</x:f>
        <x:v>н/д</x:v>
      </x:c>
      <x:c r="W79" s="21" t="str">
        <x:f>IF(J79="Рассчитано",T79*M79,"н/д")</x:f>
        <x:v>н/д</x:v>
      </x:c>
      <x:c r="X79" s="21" t="str">
        <x:f>IF(J79="Рассчитано",V79-W79,"н/д")</x:f>
        <x:v>н/д</x:v>
      </x:c>
      <x:c r="Y79" s="27" t="str">
        <x:f>IF(J79="Рассчитано",IF(V79&gt;0,G79/V79,"н/д"),"н/д")</x:f>
        <x:v>н/д</x:v>
      </x:c>
      <x:c r="Z79" s="21" t="str">
        <x:f>IF(J79="Рассчитано",K79*M79,"н/д")</x:f>
        <x:v>н/д</x:v>
      </x:c>
      <x:c r="AA79" s="21" t="str">
        <x:f>IF(J79="Рассчитано",(K79-T79)*M79,"н/д")</x:f>
        <x:v>н/д</x:v>
      </x:c>
      <x:c r="AB79" s="21" t="str">
        <x:f>IF(AND(J79="Рассчитано",ISNUMBER(S79)),K79*(S79-M79),"н/д")</x:f>
        <x:v>н/д</x:v>
      </x:c>
      <x:c r="AC79" s="21" t="str">
        <x:f>IF(AND(J79="Рассчитано",T79&gt;0,R79&lt;100),(W79+P79+Q79)/(T79*(1-R79/100)),"н/д")</x:f>
        <x:v>н/д</x:v>
      </x:c>
      <x:c r="AD79" s="10" t="str">
        <x:f>IF(ISNUMBER(G79),IF(G79&lt;0,"Убыток",IF(G79=0,"Без прибыли","Прибыль &gt; 0")),"Не оценён")</x:f>
        <x:v>Не оценён</x:v>
      </x:c>
      <x:c r="AE79" s="13" t="str">
        <x:f>IF(J79="Рассчитано","Выручка "&amp;TEXT(V79,"0.00")&amp;" - себестоимость "&amp;TEXT(W79,"0.00")&amp;" - комиссия "&amp;TEXT(V79*R79/100,"0.00")&amp;" - доставка "&amp;TEXT(P79,"0.00")&amp;" - прочие "&amp;TEXT(Q79,"0.00")&amp;" = "&amp;TEXT(G79,"0.00")&amp;" "&amp;L79,"Введите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79" s="24" t="n">
        <x:v>0.0842802171066006</x:v>
      </x:c>
      <x:c r="AG79" s="37" t="n">
        <x:v>0</x:v>
      </x:c>
      <x:c r="AH79" s="37" t="n">
        <x:v>0</x:v>
      </x:c>
      <x:c r="AI79" s="30" t="n">
        <x:v>46266</x:v>
      </x:c>
      <x:c r="AJ79" s="37" t="n">
        <x:v>1</x:v>
      </x:c>
      <x:c r="AK79" s="10" t="str">
        <x:v>минимум</x:v>
      </x:c>
      <x:c r="AL79" s="32" t="n">
        <x:v>0</x:v>
      </x:c>
      <x:c r="AM79" s="13" t="str">
        <x:v>Остаток на начало сентября; Резервы неизвестны; Нет ежедневных данных доступности. Нет запаса</x:v>
      </x:c>
      <x:c r="AN79" s="13" t="str">
        <x:v>Подтвердить наличие, срок и цену закупки</x:v>
      </x:c>
      <x:c r="AO79" s="13" t="str">
        <x:v>Прогноз 30 дней 0.08; остаток 0; поступления в срок 0; нехватка 1; заказ с учётом MOQ 1 шт. Остаток на начало сентября: требуется актуализация.</x:v>
      </x:c>
      <x:c r="AP79" s="13" t="str">
        <x:v>["blank_stock_assumed_zero", "category_missing", "daily_stockout_data_missing", "new_order_lead_time_unknown", "reservations_unknown", "stale_stock"]</x:v>
      </x:c>
      <x:c r="AQ79" s="10" t="str">
        <x:v>IEK:080800137_</x:v>
      </x:c>
      <x:c r="AR79" s="24" t="n">
        <x:v>1</x:v>
      </x:c>
      <x:c r="AS79" s="24" t="n">
        <x:f>MAX(0,ROUNDUP(MAX(0,AF79-AG79-AH79)/AR79-0.000000001,0)*AR79)</x:f>
        <x:v>1</x:v>
      </x:c>
      <x:c r="AT79" s="24" t="n">
        <x:v>0.0842802171066006</x:v>
      </x:c>
    </x:row>
    <x:row r="80" ht="64" customHeight="1">
      <x:c r="A80" s="11" t="str">
        <x:v>IEK</x:v>
      </x:c>
      <x:c r="B80" s="33" t="str">
        <x:v>080800140_</x:v>
      </x:c>
      <x:c r="C80" s="33" t="str">
        <x:v>LSR5-RGB-060-65-2-05-S0</x:v>
      </x:c>
      <x:c r="D80" s="12" t="str">
        <x:v>Светодиодная лента "Неон" LED 5м LSR5-5050RGB60-8-IP65-220В+драйвер IEK</x:v>
      </x:c>
      <x:c r="E80" s="11" t="str">
        <x:v>шт</x:v>
      </x:c>
      <x:c r="F80" s="35" t="n">
        <x:f>IF(AS80&gt;0,MAX(AS80,AJ80),0)</x:f>
        <x:v>1</x:v>
      </x:c>
      <x:c r="G80" s="20" t="str">
        <x:f>IF(J80="Рассчитано",V80*(1-R80/100)-W80-P80-Q80,"н/д")</x:f>
        <x:v>н/д</x:v>
      </x:c>
      <x:c r="H80" s="12" t="str">
        <x:v>Высокий</x:v>
      </x:c>
      <x:c r="I80" s="12" t="str">
        <x:v>Критический</x:v>
      </x:c>
      <x:c r="J80" s="12" t="str">
        <x:f>IF(L80="","Укажите валюту",IF(NOT(ISNUMBER(K80)),"Укажите объём",IF(K80&lt;=0,"Укажите объём",IF(COUNT(M80:O80)&lt;3,"Нужны цены",IF(COUNT(P80:R80)&lt;3,"Нужны расходы",IF(OR(M80&lt;0,N80&lt;0,O80&lt;0,O80&gt;100,P80&lt;0,Q80&lt;0,R80&lt;0,R80&gt;100),"Проверьте значения","Рассчитано"))))))</x:f>
        <x:v>Нужны цены</x:v>
      </x:c>
      <x:c r="K80" s="36" t="n">
        <x:v>1</x:v>
      </x:c>
      <x:c r="L80" s="19" t="str">
        <x:v>KZT</x:v>
      </x:c>
      <x:c r="M80" s="22"/>
      <x:c r="N80" s="22"/>
      <x:c r="O80" s="28"/>
      <x:c r="P80" s="22"/>
      <x:c r="Q80" s="22"/>
      <x:c r="R80" s="28"/>
      <x:c r="S80" s="22"/>
      <x:c r="T80" s="35" t="n">
        <x:f>MIN(K80,AT80)</x:f>
        <x:v>0.035646968637373676</x:v>
      </x:c>
      <x:c r="U80" s="20" t="str">
        <x:f>IF(J80="Рассчитано",N80*(1-O80/100),"н/д")</x:f>
        <x:v>н/д</x:v>
      </x:c>
      <x:c r="V80" s="20" t="str">
        <x:f>IF(J80="Рассчитано",T80*U80,"н/д")</x:f>
        <x:v>н/д</x:v>
      </x:c>
      <x:c r="W80" s="20" t="str">
        <x:f>IF(J80="Рассчитано",T80*M80,"н/д")</x:f>
        <x:v>н/д</x:v>
      </x:c>
      <x:c r="X80" s="20" t="str">
        <x:f>IF(J80="Рассчитано",V80-W80,"н/д")</x:f>
        <x:v>н/д</x:v>
      </x:c>
      <x:c r="Y80" s="26" t="str">
        <x:f>IF(J80="Рассчитано",IF(V80&gt;0,G80/V80,"н/д"),"н/д")</x:f>
        <x:v>н/д</x:v>
      </x:c>
      <x:c r="Z80" s="20" t="str">
        <x:f>IF(J80="Рассчитано",K80*M80,"н/д")</x:f>
        <x:v>н/д</x:v>
      </x:c>
      <x:c r="AA80" s="20" t="str">
        <x:f>IF(J80="Рассчитано",(K80-T80)*M80,"н/д")</x:f>
        <x:v>н/д</x:v>
      </x:c>
      <x:c r="AB80" s="20" t="str">
        <x:f>IF(AND(J80="Рассчитано",ISNUMBER(S80)),K80*(S80-M80),"н/д")</x:f>
        <x:v>н/д</x:v>
      </x:c>
      <x:c r="AC80" s="20" t="str">
        <x:f>IF(AND(J80="Рассчитано",T80&gt;0,R80&lt;100),(W80+P80+Q80)/(T80*(1-R80/100)),"н/д")</x:f>
        <x:v>н/д</x:v>
      </x:c>
      <x:c r="AD80" s="11" t="str">
        <x:f>IF(ISNUMBER(G80),IF(G80&lt;0,"Убыток",IF(G80=0,"Без прибыли","Прибыль &gt; 0")),"Не оценён")</x:f>
        <x:v>Не оценён</x:v>
      </x:c>
      <x:c r="AE80" s="12" t="str">
        <x:f>IF(J80="Рассчитано","Выручка "&amp;TEXT(V80,"0.00")&amp;" - себестоимость "&amp;TEXT(W80,"0.00")&amp;" - комиссия "&amp;TEXT(V80*R80/100,"0.00")&amp;" - доставка "&amp;TEXT(P80,"0.00")&amp;" - прочие "&amp;TEXT(Q80,"0.00")&amp;" = "&amp;TEXT(G80,"0.00")&amp;" "&amp;L80,"Введите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0" s="23" t="n">
        <x:v>0.035646968637373676</x:v>
      </x:c>
      <x:c r="AG80" s="35" t="n">
        <x:v>0</x:v>
      </x:c>
      <x:c r="AH80" s="35" t="n">
        <x:v>0</x:v>
      </x:c>
      <x:c r="AI80" s="29" t="n">
        <x:v>46266</x:v>
      </x:c>
      <x:c r="AJ80" s="35" t="n">
        <x:v>1</x:v>
      </x:c>
      <x:c r="AK80" s="11" t="str">
        <x:v>минимум</x:v>
      </x:c>
      <x:c r="AL80" s="31" t="n">
        <x:v>0</x:v>
      </x:c>
      <x:c r="AM80" s="12" t="str">
        <x:v>Остаток на начало сентября; Резервы неизвестны; Нет ежедневных данных доступности. Нет запаса</x:v>
      </x:c>
      <x:c r="AN80" s="12" t="str">
        <x:v>Подтвердить наличие, срок и цену закупки</x:v>
      </x:c>
      <x:c r="AO80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80" s="12" t="str">
        <x:v>["blank_stock_assumed_zero", "category_missing", "daily_stockout_data_missing", "new_order_lead_time_unknown", "reservations_unknown", "stale_stock"]</x:v>
      </x:c>
      <x:c r="AQ80" s="11" t="str">
        <x:v>IEK:080800140_</x:v>
      </x:c>
      <x:c r="AR80" s="23" t="n">
        <x:v>1</x:v>
      </x:c>
      <x:c r="AS80" s="23" t="n">
        <x:f>MAX(0,ROUNDUP(MAX(0,AF80-AG80-AH80)/AR80-0.000000001,0)*AR80)</x:f>
        <x:v>1</x:v>
      </x:c>
      <x:c r="AT80" s="23" t="n">
        <x:v>0.035646968637373676</x:v>
      </x:c>
    </x:row>
    <x:row r="81" ht="64" customHeight="1">
      <x:c r="A81" s="10" t="str">
        <x:v>IEK</x:v>
      </x:c>
      <x:c r="B81" s="34" t="str">
        <x:v>081100278_</x:v>
      </x:c>
      <x:c r="C81" s="34" t="str">
        <x:v>LLE-A60-11-230-40-E27</x:v>
      </x:c>
      <x:c r="D81" s="13" t="str">
        <x:v>LED A60 "ECO" 11w 230v 4000K E27 IEK(1)</x:v>
      </x:c>
      <x:c r="E81" s="10" t="str">
        <x:v>шт</x:v>
      </x:c>
      <x:c r="F81" s="37" t="n">
        <x:f>IF(AS81&gt;0,MAX(AS81,AJ81),0)</x:f>
        <x:v>10</x:v>
      </x:c>
      <x:c r="G81" s="21" t="str">
        <x:f>IF(J81="Рассчитано",V81*(1-R81/100)-W81-P81-Q81,"н/д")</x:f>
        <x:v>н/д</x:v>
      </x:c>
      <x:c r="H81" s="13" t="str">
        <x:v>Высокий</x:v>
      </x:c>
      <x:c r="I81" s="13" t="str">
        <x:v>Высокий</x:v>
      </x:c>
      <x:c r="J81" s="13" t="str">
        <x:f>IF(L81="","Укажите валюту",IF(NOT(ISNUMBER(K81)),"Укажите объём",IF(K81&lt;=0,"Укажите объём",IF(COUNT(M81:O81)&lt;3,"Нужны цены",IF(COUNT(P81:R81)&lt;3,"Нужны расходы",IF(OR(M81&lt;0,N81&lt;0,O81&lt;0,O81&gt;100,P81&lt;0,Q81&lt;0,R81&lt;0,R81&gt;100),"Проверьте значения","Рассчитано"))))))</x:f>
        <x:v>Нужны цены</x:v>
      </x:c>
      <x:c r="K81" s="36" t="n">
        <x:v>10</x:v>
      </x:c>
      <x:c r="L81" s="19" t="str">
        <x:v>KZT</x:v>
      </x:c>
      <x:c r="M81" s="22"/>
      <x:c r="N81" s="22"/>
      <x:c r="O81" s="28"/>
      <x:c r="P81" s="22"/>
      <x:c r="Q81" s="22"/>
      <x:c r="R81" s="28"/>
      <x:c r="S81" s="22"/>
      <x:c r="T81" s="37" t="n">
        <x:f>MIN(K81,AT81)</x:f>
        <x:v>3.4674154524258034</x:v>
      </x:c>
      <x:c r="U81" s="21" t="str">
        <x:f>IF(J81="Рассчитано",N81*(1-O81/100),"н/д")</x:f>
        <x:v>н/д</x:v>
      </x:c>
      <x:c r="V81" s="21" t="str">
        <x:f>IF(J81="Рассчитано",T81*U81,"н/д")</x:f>
        <x:v>н/д</x:v>
      </x:c>
      <x:c r="W81" s="21" t="str">
        <x:f>IF(J81="Рассчитано",T81*M81,"н/д")</x:f>
        <x:v>н/д</x:v>
      </x:c>
      <x:c r="X81" s="21" t="str">
        <x:f>IF(J81="Рассчитано",V81-W81,"н/д")</x:f>
        <x:v>н/д</x:v>
      </x:c>
      <x:c r="Y81" s="27" t="str">
        <x:f>IF(J81="Рассчитано",IF(V81&gt;0,G81/V81,"н/д"),"н/д")</x:f>
        <x:v>н/д</x:v>
      </x:c>
      <x:c r="Z81" s="21" t="str">
        <x:f>IF(J81="Рассчитано",K81*M81,"н/д")</x:f>
        <x:v>н/д</x:v>
      </x:c>
      <x:c r="AA81" s="21" t="str">
        <x:f>IF(J81="Рассчитано",(K81-T81)*M81,"н/д")</x:f>
        <x:v>н/д</x:v>
      </x:c>
      <x:c r="AB81" s="21" t="str">
        <x:f>IF(AND(J81="Рассчитано",ISNUMBER(S81)),K81*(S81-M81),"н/д")</x:f>
        <x:v>н/д</x:v>
      </x:c>
      <x:c r="AC81" s="21" t="str">
        <x:f>IF(AND(J81="Рассчитано",T81&gt;0,R81&lt;100),(W81+P81+Q81)/(T81*(1-R81/100)),"н/д")</x:f>
        <x:v>н/д</x:v>
      </x:c>
      <x:c r="AD81" s="10" t="str">
        <x:f>IF(ISNUMBER(G81),IF(G81&lt;0,"Убыток",IF(G81=0,"Без прибыли","Прибыль &gt; 0")),"Не оценён")</x:f>
        <x:v>Не оценён</x:v>
      </x:c>
      <x:c r="AE81" s="13" t="str">
        <x:f>IF(J81="Рассчитано","Выручка "&amp;TEXT(V81,"0.00")&amp;" - себестоимость "&amp;TEXT(W81,"0.00")&amp;" - комиссия "&amp;TEXT(V81*R81/100,"0.00")&amp;" - доставка "&amp;TEXT(P81,"0.00")&amp;" - прочие "&amp;TEXT(Q81,"0.00")&amp;" = "&amp;TEXT(G81,"0.00")&amp;" "&amp;L81,"Введите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1" s="24" t="n">
        <x:v>6.467415452425803</x:v>
      </x:c>
      <x:c r="AG81" s="37" t="n">
        <x:v>3</x:v>
      </x:c>
      <x:c r="AH81" s="37" t="n">
        <x:v>0</x:v>
      </x:c>
      <x:c r="AI81" s="30" t="n">
        <x:v>46266</x:v>
      </x:c>
      <x:c r="AJ81" s="37" t="n">
        <x:v>10</x:v>
      </x:c>
      <x:c r="AK81" s="10" t="str">
        <x:v>минимум</x:v>
      </x:c>
      <x:c r="AL81" s="32" t="n">
        <x:v>13.915914427028609</x:v>
      </x:c>
      <x:c r="AM81" s="13" t="str">
        <x:v>Остаток на начало сентября; Резервы неизвестны; Нет ежедневных данных доступности. Запаса примерно на 13.9 дн. без поступлений</x:v>
      </x:c>
      <x:c r="AN81" s="13" t="str">
        <x:v>Подтвердить наличие, срок и цену закупки</x:v>
      </x:c>
      <x:c r="AO81" s="13" t="str">
        <x:v>Прогноз 30 дней 6.47; остаток 3; поступления в срок 0; нехватка 4; заказ с учётом MOQ 10 шт. Остаток на начало сентября: требуется актуализация.</x:v>
      </x:c>
      <x:c r="AP81" s="13" t="str">
        <x:v>["category_missing", "daily_stockout_data_missing", "new_order_lead_time_unknown", "reservations_unknown", "stale_stock"]</x:v>
      </x:c>
      <x:c r="AQ81" s="10" t="str">
        <x:v>IEK:081100278_</x:v>
      </x:c>
      <x:c r="AR81" s="24" t="n">
        <x:v>1</x:v>
      </x:c>
      <x:c r="AS81" s="24" t="n">
        <x:f>MAX(0,ROUNDUP(MAX(0,AF81-AG81-AH81)/AR81-0.000000001,0)*AR81)</x:f>
        <x:v>4</x:v>
      </x:c>
      <x:c r="AT81" s="24" t="n">
        <x:v>3.4674154524258034</x:v>
      </x:c>
    </x:row>
    <x:row r="82" ht="64" customHeight="1">
      <x:c r="A82" s="11" t="str">
        <x:v>IEK</x:v>
      </x:c>
      <x:c r="B82" s="33" t="str">
        <x:v>081100375_</x:v>
      </x:c>
      <x:c r="C82" s="33" t="str">
        <x:v>LPDO601-100-65-K02</x:v>
      </x:c>
      <x:c r="D82" s="12" t="str">
        <x:v>LED ПРОЖЕКТОР СДО 06-100 100W 8000Lm 6500K IP65 IEK</x:v>
      </x:c>
      <x:c r="E82" s="11" t="str">
        <x:v>шт</x:v>
      </x:c>
      <x:c r="F82" s="35" t="n">
        <x:f>AS82</x:f>
        <x:v>1</x:v>
      </x:c>
      <x:c r="G82" s="20" t="str">
        <x:f>IF(J82="Рассчитано",V82*(1-R82/100)-W82-P82-Q82,"н/д")</x:f>
        <x:v>н/д</x:v>
      </x:c>
      <x:c r="H82" s="12" t="str">
        <x:v>Высокий</x:v>
      </x:c>
      <x:c r="I82" s="12" t="str">
        <x:v>Критический</x:v>
      </x:c>
      <x:c r="J82" s="12" t="str">
        <x:f>IF(L82="","Укажите валюту",IF(NOT(ISNUMBER(K82)),"Укажите объём",IF(K82&lt;=0,"Укажите объём",IF(COUNT(M82:O82)&lt;3,"Нужны цены",IF(COUNT(P82:R82)&lt;3,"Нужны расходы",IF(OR(M82&lt;0,N82&lt;0,O82&lt;0,O82&gt;100,P82&lt;0,Q82&lt;0,R82&lt;0,R82&gt;100),"Проверьте значения","Рассчитано"))))))</x:f>
        <x:v>Нужны цены</x:v>
      </x:c>
      <x:c r="K82" s="36" t="n">
        <x:v>1</x:v>
      </x:c>
      <x:c r="L82" s="19" t="str">
        <x:v>KZT</x:v>
      </x:c>
      <x:c r="M82" s="22"/>
      <x:c r="N82" s="22"/>
      <x:c r="O82" s="28"/>
      <x:c r="P82" s="22"/>
      <x:c r="Q82" s="22"/>
      <x:c r="R82" s="28"/>
      <x:c r="S82" s="22"/>
      <x:c r="T82" s="35" t="n">
        <x:f>MIN(K82,AT82)</x:f>
        <x:v>0.035646968637373676</x:v>
      </x:c>
      <x:c r="U82" s="20" t="str">
        <x:f>IF(J82="Рассчитано",N82*(1-O82/100),"н/д")</x:f>
        <x:v>н/д</x:v>
      </x:c>
      <x:c r="V82" s="20" t="str">
        <x:f>IF(J82="Рассчитано",T82*U82,"н/д")</x:f>
        <x:v>н/д</x:v>
      </x:c>
      <x:c r="W82" s="20" t="str">
        <x:f>IF(J82="Рассчитано",T82*M82,"н/д")</x:f>
        <x:v>н/д</x:v>
      </x:c>
      <x:c r="X82" s="20" t="str">
        <x:f>IF(J82="Рассчитано",V82-W82,"н/д")</x:f>
        <x:v>н/д</x:v>
      </x:c>
      <x:c r="Y82" s="26" t="str">
        <x:f>IF(J82="Рассчитано",IF(V82&gt;0,G82/V82,"н/д"),"н/д")</x:f>
        <x:v>н/д</x:v>
      </x:c>
      <x:c r="Z82" s="20" t="str">
        <x:f>IF(J82="Рассчитано",K82*M82,"н/д")</x:f>
        <x:v>н/д</x:v>
      </x:c>
      <x:c r="AA82" s="20" t="str">
        <x:f>IF(J82="Рассчитано",(K82-T82)*M82,"н/д")</x:f>
        <x:v>н/д</x:v>
      </x:c>
      <x:c r="AB82" s="20" t="str">
        <x:f>IF(AND(J82="Рассчитано",ISNUMBER(S82)),K82*(S82-M82),"н/д")</x:f>
        <x:v>н/д</x:v>
      </x:c>
      <x:c r="AC82" s="20" t="str">
        <x:f>IF(AND(J82="Рассчитано",T82&gt;0,R82&lt;100),(W82+P82+Q82)/(T82*(1-R82/100)),"н/д")</x:f>
        <x:v>н/д</x:v>
      </x:c>
      <x:c r="AD82" s="11" t="str">
        <x:f>IF(ISNUMBER(G82),IF(G82&lt;0,"Убыток",IF(G82=0,"Без прибыли","Прибыль &gt; 0")),"Не оценён")</x:f>
        <x:v>Не оценён</x:v>
      </x:c>
      <x:c r="AE82" s="12" t="str">
        <x:f>IF(J82="Рассчитано","Выручка "&amp;TEXT(V82,"0.00")&amp;" - себестоимость "&amp;TEXT(W82,"0.00")&amp;" - комиссия "&amp;TEXT(V82*R82/100,"0.00")&amp;" - доставка "&amp;TEXT(P82,"0.00")&amp;" - прочие "&amp;TEXT(Q82,"0.00")&amp;" = "&amp;TEXT(G82,"0.00")&amp;" "&amp;L82,"Введите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2" s="23" t="n">
        <x:v>0.035646968637373676</x:v>
      </x:c>
      <x:c r="AG82" s="35" t="n">
        <x:v>0</x:v>
      </x:c>
      <x:c r="AH82" s="35" t="n">
        <x:v>0</x:v>
      </x:c>
      <x:c r="AI82" s="29" t="n">
        <x:v>46266</x:v>
      </x:c>
      <x:c r="AJ82" s="35"/>
      <x:c r="AK82" s="11" t="str">
        <x:v>неизвестно</x:v>
      </x:c>
      <x:c r="AL82" s="31" t="n">
        <x:v>0</x:v>
      </x:c>
      <x:c r="AM82" s="12" t="str">
        <x:v>Остаток на начало сентября; Резервы неизвестны; Нет ежедневных данных доступности. Нет запаса</x:v>
      </x:c>
      <x:c r="AN82" s="12" t="str">
        <x:v>Подтвердить наличие, срок и цену закупки</x:v>
      </x:c>
      <x:c r="AO82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82" s="12" t="str">
        <x:v>["blank_stock_assumed_zero", "category_missing", "daily_stockout_data_missing", "moq_missing", "new_order_lead_time_unknown", "reservations_unknown", "stale_stock"]</x:v>
      </x:c>
      <x:c r="AQ82" s="11" t="str">
        <x:v>IEK:081100375_</x:v>
      </x:c>
      <x:c r="AR82" s="23" t="n">
        <x:v>1</x:v>
      </x:c>
      <x:c r="AS82" s="23" t="n">
        <x:f>MAX(0,ROUNDUP(MAX(0,AF82-AG82-AH82)/AR82-0.000000001,0)*AR82)</x:f>
        <x:v>1</x:v>
      </x:c>
      <x:c r="AT82" s="23" t="n">
        <x:v>0.035646968637373676</x:v>
      </x:c>
    </x:row>
    <x:row r="83" ht="64" customHeight="1">
      <x:c r="A83" s="10" t="str">
        <x:v>IEK</x:v>
      </x:c>
      <x:c r="B83" s="34" t="str">
        <x:v>081100392_</x:v>
      </x:c>
      <x:c r="C83" s="34" t="str">
        <x:v>LLE-T8-18-230-40-G13</x:v>
      </x:c>
      <x:c r="D83" s="13" t="str">
        <x:v>LED Лампа T8  18w 230v 4000K G13  IEK (20)</x:v>
      </x:c>
      <x:c r="E83" s="10" t="str">
        <x:v>шт</x:v>
      </x:c>
      <x:c r="F83" s="37" t="n">
        <x:f>AS83</x:f>
        <x:v>16</x:v>
      </x:c>
      <x:c r="G83" s="21" t="str">
        <x:f>IF(J83="Рассчитано",V83*(1-R83/100)-W83-P83-Q83,"н/д")</x:f>
        <x:v>н/д</x:v>
      </x:c>
      <x:c r="H83" s="13" t="str">
        <x:v>Высокий</x:v>
      </x:c>
      <x:c r="I83" s="13" t="str">
        <x:v>Критический</x:v>
      </x:c>
      <x:c r="J83" s="13" t="str">
        <x:f>IF(L83="","Укажите валюту",IF(NOT(ISNUMBER(K83)),"Укажите объём",IF(K83&lt;=0,"Укажите объём",IF(COUNT(M83:O83)&lt;3,"Нужны цены",IF(COUNT(P83:R83)&lt;3,"Нужны расходы",IF(OR(M83&lt;0,N83&lt;0,O83&lt;0,O83&gt;100,P83&lt;0,Q83&lt;0,R83&lt;0,R83&gt;100),"Проверьте значения","Рассчитано"))))))</x:f>
        <x:v>Нужны цены</x:v>
      </x:c>
      <x:c r="K83" s="36" t="n">
        <x:v>16</x:v>
      </x:c>
      <x:c r="L83" s="19" t="str">
        <x:v>KZT</x:v>
      </x:c>
      <x:c r="M83" s="22"/>
      <x:c r="N83" s="22"/>
      <x:c r="O83" s="28"/>
      <x:c r="P83" s="22"/>
      <x:c r="Q83" s="22"/>
      <x:c r="R83" s="28"/>
      <x:c r="S83" s="22"/>
      <x:c r="T83" s="37" t="n">
        <x:f>MIN(K83,AT83)</x:f>
        <x:v>15.765094205600167</x:v>
      </x:c>
      <x:c r="U83" s="21" t="str">
        <x:f>IF(J83="Рассчитано",N83*(1-O83/100),"н/д")</x:f>
        <x:v>н/д</x:v>
      </x:c>
      <x:c r="V83" s="21" t="str">
        <x:f>IF(J83="Рассчитано",T83*U83,"н/д")</x:f>
        <x:v>н/д</x:v>
      </x:c>
      <x:c r="W83" s="21" t="str">
        <x:f>IF(J83="Рассчитано",T83*M83,"н/д")</x:f>
        <x:v>н/д</x:v>
      </x:c>
      <x:c r="X83" s="21" t="str">
        <x:f>IF(J83="Рассчитано",V83-W83,"н/д")</x:f>
        <x:v>н/д</x:v>
      </x:c>
      <x:c r="Y83" s="27" t="str">
        <x:f>IF(J83="Рассчитано",IF(V83&gt;0,G83/V83,"н/д"),"н/д")</x:f>
        <x:v>н/д</x:v>
      </x:c>
      <x:c r="Z83" s="21" t="str">
        <x:f>IF(J83="Рассчитано",K83*M83,"н/д")</x:f>
        <x:v>н/д</x:v>
      </x:c>
      <x:c r="AA83" s="21" t="str">
        <x:f>IF(J83="Рассчитано",(K83-T83)*M83,"н/д")</x:f>
        <x:v>н/д</x:v>
      </x:c>
      <x:c r="AB83" s="21" t="str">
        <x:f>IF(AND(J83="Рассчитано",ISNUMBER(S83)),K83*(S83-M83),"н/д")</x:f>
        <x:v>н/д</x:v>
      </x:c>
      <x:c r="AC83" s="21" t="str">
        <x:f>IF(AND(J83="Рассчитано",T83&gt;0,R83&lt;100),(W83+P83+Q83)/(T83*(1-R83/100)),"н/д")</x:f>
        <x:v>н/д</x:v>
      </x:c>
      <x:c r="AD83" s="10" t="str">
        <x:f>IF(ISNUMBER(G83),IF(G83&lt;0,"Убыток",IF(G83=0,"Без прибыли","Прибыль &gt; 0")),"Не оценён")</x:f>
        <x:v>Не оценён</x:v>
      </x:c>
      <x:c r="AE83" s="13" t="str">
        <x:f>IF(J83="Рассчитано","Выручка "&amp;TEXT(V83,"0.00")&amp;" - себестоимость "&amp;TEXT(W83,"0.00")&amp;" - комиссия "&amp;TEXT(V83*R83/100,"0.00")&amp;" - доставка "&amp;TEXT(P83,"0.00")&amp;" - прочие "&amp;TEXT(Q83,"0.00")&amp;" = "&amp;TEXT(G83,"0.00")&amp;" "&amp;L83,"Введите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3" s="24" t="n">
        <x:v>16.765094205600167</x:v>
      </x:c>
      <x:c r="AG83" s="37" t="n">
        <x:v>1</x:v>
      </x:c>
      <x:c r="AH83" s="37" t="n">
        <x:v>0</x:v>
      </x:c>
      <x:c r="AI83" s="30" t="n">
        <x:v>46266</x:v>
      </x:c>
      <x:c r="AJ83" s="37"/>
      <x:c r="AK83" s="10" t="str">
        <x:v>неизвестно</x:v>
      </x:c>
      <x:c r="AL83" s="32" t="n">
        <x:v>1.7894322353392371</x:v>
      </x:c>
      <x:c r="AM83" s="13" t="str">
        <x:v>Остаток на начало сентября; Резервы неизвестны; Нет ежедневных данных доступности. Запаса примерно на 1.8 дн. без поступлений</x:v>
      </x:c>
      <x:c r="AN83" s="13" t="str">
        <x:v>Подтвердить наличие, срок и цену закупки</x:v>
      </x:c>
      <x:c r="AO83" s="13" t="str">
        <x:v>Прогноз 30 дней 16.77; остаток 1; поступления в срок 0; нехватка 16; заказ с учётом MOQ 16 шт. Остаток на начало сентября: требуется актуализация.</x:v>
      </x:c>
      <x:c r="AP83" s="13" t="str">
        <x:v>["category_missing", "daily_stockout_data_missing", "moq_missing", "new_order_lead_time_unknown", "reservations_unknown", "stale_stock"]</x:v>
      </x:c>
      <x:c r="AQ83" s="10" t="str">
        <x:v>IEK:081100392_</x:v>
      </x:c>
      <x:c r="AR83" s="24" t="n">
        <x:v>1</x:v>
      </x:c>
      <x:c r="AS83" s="24" t="n">
        <x:f>MAX(0,ROUNDUP(MAX(0,AF83-AG83-AH83)/AR83-0.000000001,0)*AR83)</x:f>
        <x:v>16</x:v>
      </x:c>
      <x:c r="AT83" s="24" t="n">
        <x:v>15.765094205600167</x:v>
      </x:c>
    </x:row>
    <x:row r="84" ht="64" customHeight="1">
      <x:c r="A84" s="11" t="str">
        <x:v>IEK</x:v>
      </x:c>
      <x:c r="B84" s="33" t="str">
        <x:v>081100604_</x:v>
      </x:c>
      <x:c r="C84" s="33" t="str">
        <x:v>LPDO601-150-65-K02</x:v>
      </x:c>
      <x:c r="D84" s="12" t="str">
        <x:v>LED ПРОЖЕКТОР СДО 06-150 150W 12000Lm 6500K IP65 IEK</x:v>
      </x:c>
      <x:c r="E84" s="11" t="str">
        <x:v>шт</x:v>
      </x:c>
      <x:c r="F84" s="35" t="n">
        <x:f>AS84</x:f>
        <x:v>1</x:v>
      </x:c>
      <x:c r="G84" s="20" t="str">
        <x:f>IF(J84="Рассчитано",V84*(1-R84/100)-W84-P84-Q84,"н/д")</x:f>
        <x:v>н/д</x:v>
      </x:c>
      <x:c r="H84" s="12" t="str">
        <x:v>Высокий</x:v>
      </x:c>
      <x:c r="I84" s="12" t="str">
        <x:v>Критический</x:v>
      </x:c>
      <x:c r="J84" s="12" t="str">
        <x:f>IF(L84="","Укажите валюту",IF(NOT(ISNUMBER(K84)),"Укажите объём",IF(K84&lt;=0,"Укажите объём",IF(COUNT(M84:O84)&lt;3,"Нужны цены",IF(COUNT(P84:R84)&lt;3,"Нужны расходы",IF(OR(M84&lt;0,N84&lt;0,O84&lt;0,O84&gt;100,P84&lt;0,Q84&lt;0,R84&lt;0,R84&gt;100),"Проверьте значения","Рассчитано"))))))</x:f>
        <x:v>Нужны цены</x:v>
      </x:c>
      <x:c r="K84" s="36" t="n">
        <x:v>1</x:v>
      </x:c>
      <x:c r="L84" s="19" t="str">
        <x:v>KZT</x:v>
      </x:c>
      <x:c r="M84" s="22"/>
      <x:c r="N84" s="22"/>
      <x:c r="O84" s="28"/>
      <x:c r="P84" s="22"/>
      <x:c r="Q84" s="22"/>
      <x:c r="R84" s="28"/>
      <x:c r="S84" s="22"/>
      <x:c r="T84" s="35" t="n">
        <x:f>MIN(K84,AT84)</x:f>
        <x:v>0.23283114124634793</x:v>
      </x:c>
      <x:c r="U84" s="20" t="str">
        <x:f>IF(J84="Рассчитано",N84*(1-O84/100),"н/д")</x:f>
        <x:v>н/д</x:v>
      </x:c>
      <x:c r="V84" s="20" t="str">
        <x:f>IF(J84="Рассчитано",T84*U84,"н/д")</x:f>
        <x:v>н/д</x:v>
      </x:c>
      <x:c r="W84" s="20" t="str">
        <x:f>IF(J84="Рассчитано",T84*M84,"н/д")</x:f>
        <x:v>н/д</x:v>
      </x:c>
      <x:c r="X84" s="20" t="str">
        <x:f>IF(J84="Рассчитано",V84-W84,"н/д")</x:f>
        <x:v>н/д</x:v>
      </x:c>
      <x:c r="Y84" s="26" t="str">
        <x:f>IF(J84="Рассчитано",IF(V84&gt;0,G84/V84,"н/д"),"н/д")</x:f>
        <x:v>н/д</x:v>
      </x:c>
      <x:c r="Z84" s="20" t="str">
        <x:f>IF(J84="Рассчитано",K84*M84,"н/д")</x:f>
        <x:v>н/д</x:v>
      </x:c>
      <x:c r="AA84" s="20" t="str">
        <x:f>IF(J84="Рассчитано",(K84-T84)*M84,"н/д")</x:f>
        <x:v>н/д</x:v>
      </x:c>
      <x:c r="AB84" s="20" t="str">
        <x:f>IF(AND(J84="Рассчитано",ISNUMBER(S84)),K84*(S84-M84),"н/д")</x:f>
        <x:v>н/д</x:v>
      </x:c>
      <x:c r="AC84" s="20" t="str">
        <x:f>IF(AND(J84="Рассчитано",T84&gt;0,R84&lt;100),(W84+P84+Q84)/(T84*(1-R84/100)),"н/д")</x:f>
        <x:v>н/д</x:v>
      </x:c>
      <x:c r="AD84" s="11" t="str">
        <x:f>IF(ISNUMBER(G84),IF(G84&lt;0,"Убыток",IF(G84=0,"Без прибыли","Прибыль &gt; 0")),"Не оценён")</x:f>
        <x:v>Не оценён</x:v>
      </x:c>
      <x:c r="AE84" s="12" t="str">
        <x:f>IF(J84="Рассчитано","Выручка "&amp;TEXT(V84,"0.00")&amp;" - себестоимость "&amp;TEXT(W84,"0.00")&amp;" - комиссия "&amp;TEXT(V84*R84/100,"0.00")&amp;" - доставка "&amp;TEXT(P84,"0.00")&amp;" - прочие "&amp;TEXT(Q84,"0.00")&amp;" = "&amp;TEXT(G84,"0.00")&amp;" "&amp;L84,"Введите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4" s="23" t="n">
        <x:v>0.23283114124634793</x:v>
      </x:c>
      <x:c r="AG84" s="35" t="n">
        <x:v>0</x:v>
      </x:c>
      <x:c r="AH84" s="35" t="n">
        <x:v>0</x:v>
      </x:c>
      <x:c r="AI84" s="29" t="n">
        <x:v>46266</x:v>
      </x:c>
      <x:c r="AJ84" s="35"/>
      <x:c r="AK84" s="11" t="str">
        <x:v>неизвестно</x:v>
      </x:c>
      <x:c r="AL84" s="31" t="n">
        <x:v>0</x:v>
      </x:c>
      <x:c r="AM84" s="12" t="str">
        <x:v>Остаток на начало сентября; Резервы неизвестны; Нет ежедневных данных доступности. Нет запаса</x:v>
      </x:c>
      <x:c r="AN84" s="12" t="str">
        <x:v>Подтвердить наличие, срок и цену закупки</x:v>
      </x:c>
      <x:c r="AO84" s="12" t="str">
        <x:v>Прогноз 30 дней 0.23; остаток 0; поступления в срок 0; нехватка 1; заказ с учётом MOQ 1 шт. Остаток на начало сентября: требуется актуализация.</x:v>
      </x:c>
      <x:c r="AP84" s="12" t="str">
        <x:v>["blank_stock_assumed_zero", "category_missing", "daily_stockout_data_missing", "moq_missing", "new_order_lead_time_unknown", "reservations_unknown", "stale_stock"]</x:v>
      </x:c>
      <x:c r="AQ84" s="11" t="str">
        <x:v>IEK:081100604_</x:v>
      </x:c>
      <x:c r="AR84" s="23" t="n">
        <x:v>1</x:v>
      </x:c>
      <x:c r="AS84" s="23" t="n">
        <x:f>MAX(0,ROUNDUP(MAX(0,AF84-AG84-AH84)/AR84-0.000000001,0)*AR84)</x:f>
        <x:v>1</x:v>
      </x:c>
      <x:c r="AT84" s="23" t="n">
        <x:v>0.23283114124634793</x:v>
      </x:c>
    </x:row>
    <x:row r="85" ht="64" customHeight="1">
      <x:c r="A85" s="10" t="str">
        <x:v>IEK</x:v>
      </x:c>
      <x:c r="B85" s="34" t="str">
        <x:v>081100702_</x:v>
      </x:c>
      <x:c r="C85" s="34" t="str">
        <x:v>LLF-A60-11-230-30-E27-CLG</x:v>
      </x:c>
      <x:c r="D85" s="13" t="str">
        <x:v>Лампа филаментная LED A60 шар золото 11Вт 230В 2700К E27 серия 360° IEK</x:v>
      </x:c>
      <x:c r="E85" s="10" t="str">
        <x:v>шт</x:v>
      </x:c>
      <x:c r="F85" s="37" t="n">
        <x:f>IF(AS85&gt;0,MAX(AS85,AJ85),0)</x:f>
        <x:v>10</x:v>
      </x:c>
      <x:c r="G85" s="21" t="str">
        <x:f>IF(J85="Рассчитано",V85*(1-R85/100)-W85-P85-Q85,"н/д")</x:f>
        <x:v>н/д</x:v>
      </x:c>
      <x:c r="H85" s="13" t="str">
        <x:v>Высокий</x:v>
      </x:c>
      <x:c r="I85" s="13" t="str">
        <x:v>Высокий</x:v>
      </x:c>
      <x:c r="J85" s="13" t="str">
        <x:f>IF(L85="","Укажите валюту",IF(NOT(ISNUMBER(K85)),"Укажите объём",IF(K85&lt;=0,"Укажите объём",IF(COUNT(M85:O85)&lt;3,"Нужны цены",IF(COUNT(P85:R85)&lt;3,"Нужны расходы",IF(OR(M85&lt;0,N85&lt;0,O85&lt;0,O85&gt;100,P85&lt;0,Q85&lt;0,R85&lt;0,R85&gt;100),"Проверьте значения","Рассчитано"))))))</x:f>
        <x:v>Нужны цены</x:v>
      </x:c>
      <x:c r="K85" s="36" t="n">
        <x:v>10</x:v>
      </x:c>
      <x:c r="L85" s="19" t="str">
        <x:v>KZT</x:v>
      </x:c>
      <x:c r="M85" s="22"/>
      <x:c r="N85" s="22"/>
      <x:c r="O85" s="28"/>
      <x:c r="P85" s="22"/>
      <x:c r="Q85" s="22"/>
      <x:c r="R85" s="28"/>
      <x:c r="S85" s="22"/>
      <x:c r="T85" s="37" t="n">
        <x:f>MIN(K85,AT85)</x:f>
        <x:v>3.5982574585072324</x:v>
      </x:c>
      <x:c r="U85" s="21" t="str">
        <x:f>IF(J85="Рассчитано",N85*(1-O85/100),"н/д")</x:f>
        <x:v>н/д</x:v>
      </x:c>
      <x:c r="V85" s="21" t="str">
        <x:f>IF(J85="Рассчитано",T85*U85,"н/д")</x:f>
        <x:v>н/д</x:v>
      </x:c>
      <x:c r="W85" s="21" t="str">
        <x:f>IF(J85="Рассчитано",T85*M85,"н/д")</x:f>
        <x:v>н/д</x:v>
      </x:c>
      <x:c r="X85" s="21" t="str">
        <x:f>IF(J85="Рассчитано",V85-W85,"н/д")</x:f>
        <x:v>н/д</x:v>
      </x:c>
      <x:c r="Y85" s="27" t="str">
        <x:f>IF(J85="Рассчитано",IF(V85&gt;0,G85/V85,"н/д"),"н/д")</x:f>
        <x:v>н/д</x:v>
      </x:c>
      <x:c r="Z85" s="21" t="str">
        <x:f>IF(J85="Рассчитано",K85*M85,"н/д")</x:f>
        <x:v>н/д</x:v>
      </x:c>
      <x:c r="AA85" s="21" t="str">
        <x:f>IF(J85="Рассчитано",(K85-T85)*M85,"н/д")</x:f>
        <x:v>н/д</x:v>
      </x:c>
      <x:c r="AB85" s="21" t="str">
        <x:f>IF(AND(J85="Рассчитано",ISNUMBER(S85)),K85*(S85-M85),"н/д")</x:f>
        <x:v>н/д</x:v>
      </x:c>
      <x:c r="AC85" s="21" t="str">
        <x:f>IF(AND(J85="Рассчитано",T85&gt;0,R85&lt;100),(W85+P85+Q85)/(T85*(1-R85/100)),"н/д")</x:f>
        <x:v>н/д</x:v>
      </x:c>
      <x:c r="AD85" s="10" t="str">
        <x:f>IF(ISNUMBER(G85),IF(G85&lt;0,"Убыток",IF(G85=0,"Без прибыли","Прибыль &gt; 0")),"Не оценён")</x:f>
        <x:v>Не оценён</x:v>
      </x:c>
      <x:c r="AE85" s="13" t="str">
        <x:f>IF(J85="Рассчитано","Выручка "&amp;TEXT(V85,"0.00")&amp;" - себестоимость "&amp;TEXT(W85,"0.00")&amp;" - комиссия "&amp;TEXT(V85*R85/100,"0.00")&amp;" - доставка "&amp;TEXT(P85,"0.00")&amp;" - прочие "&amp;TEXT(Q85,"0.00")&amp;" = "&amp;TEXT(G85,"0.00")&amp;" "&amp;L85,"Введите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5" s="24" t="n">
        <x:v>6.598257458507232</x:v>
      </x:c>
      <x:c r="AG85" s="37" t="n">
        <x:v>3</x:v>
      </x:c>
      <x:c r="AH85" s="37" t="n">
        <x:v>0</x:v>
      </x:c>
      <x:c r="AI85" s="30" t="n">
        <x:v>46266</x:v>
      </x:c>
      <x:c r="AJ85" s="37" t="n">
        <x:v>10</x:v>
      </x:c>
      <x:c r="AK85" s="10" t="str">
        <x:v>минимум</x:v>
      </x:c>
      <x:c r="AL85" s="32" t="n">
        <x:v>13.63996487950946</x:v>
      </x:c>
      <x:c r="AM85" s="13" t="str">
        <x:v>Остаток на начало сентября; Резервы неизвестны; Нет ежедневных данных доступности. Запаса примерно на 13.6 дн. без поступлений</x:v>
      </x:c>
      <x:c r="AN85" s="13" t="str">
        <x:v>Подтвердить наличие, срок и цену закупки</x:v>
      </x:c>
      <x:c r="AO85" s="13" t="str">
        <x:v>Прогноз 30 дней 6.60; остаток 3; поступления в срок 0; нехватка 4; заказ с учётом MOQ 10 шт. Остаток на начало сентября: требуется актуализация.</x:v>
      </x:c>
      <x:c r="AP85" s="13" t="str">
        <x:v>["category_missing", "daily_stockout_data_missing", "negative_net_sales_clipped_for_forecast", "new_order_lead_time_unknown", "reservations_unknown", "stale_stock"]</x:v>
      </x:c>
      <x:c r="AQ85" s="10" t="str">
        <x:v>IEK:081100702_</x:v>
      </x:c>
      <x:c r="AR85" s="24" t="n">
        <x:v>1</x:v>
      </x:c>
      <x:c r="AS85" s="24" t="n">
        <x:f>MAX(0,ROUNDUP(MAX(0,AF85-AG85-AH85)/AR85-0.000000001,0)*AR85)</x:f>
        <x:v>4</x:v>
      </x:c>
      <x:c r="AT85" s="24" t="n">
        <x:v>3.5982574585072324</x:v>
      </x:c>
    </x:row>
    <x:row r="86" ht="64" customHeight="1">
      <x:c r="A86" s="11" t="str">
        <x:v>IEK</x:v>
      </x:c>
      <x:c r="B86" s="33" t="str">
        <x:v>081100719_</x:v>
      </x:c>
      <x:c r="C86" s="33" t="str">
        <x:v>LLF-CT35-7-230-30-E14-CL</x:v>
      </x:c>
      <x:c r="D86" s="12" t="str">
        <x:v>Лампа филаментная LED CT35 свеча вит. 7Вт 230В 3000К E14 серия 360° IEK</x:v>
      </x:c>
      <x:c r="E86" s="11" t="str">
        <x:v>шт</x:v>
      </x:c>
      <x:c r="F86" s="35" t="n">
        <x:f>AS86</x:f>
        <x:v>2</x:v>
      </x:c>
      <x:c r="G86" s="20" t="str">
        <x:f>IF(J86="Рассчитано",V86*(1-R86/100)-W86-P86-Q86,"н/д")</x:f>
        <x:v>н/д</x:v>
      </x:c>
      <x:c r="H86" s="12" t="str">
        <x:v>Высокий</x:v>
      </x:c>
      <x:c r="I86" s="12" t="str">
        <x:v>Средний</x:v>
      </x:c>
      <x:c r="J86" s="12" t="str">
        <x:f>IF(L86="","Укажите валюту",IF(NOT(ISNUMBER(K86)),"Укажите объём",IF(K86&lt;=0,"Укажите объём",IF(COUNT(M86:O86)&lt;3,"Нужны цены",IF(COUNT(P86:R86)&lt;3,"Нужны расходы",IF(OR(M86&lt;0,N86&lt;0,O86&lt;0,O86&gt;100,P86&lt;0,Q86&lt;0,R86&lt;0,R86&gt;100),"Проверьте значения","Рассчитано"))))))</x:f>
        <x:v>Нужны цены</x:v>
      </x:c>
      <x:c r="K86" s="36" t="n">
        <x:v>2</x:v>
      </x:c>
      <x:c r="L86" s="19" t="str">
        <x:v>KZT</x:v>
      </x:c>
      <x:c r="M86" s="22"/>
      <x:c r="N86" s="22"/>
      <x:c r="O86" s="28"/>
      <x:c r="P86" s="22"/>
      <x:c r="Q86" s="22"/>
      <x:c r="R86" s="28"/>
      <x:c r="S86" s="22"/>
      <x:c r="T86" s="35" t="n">
        <x:f>MIN(K86,AT86)</x:f>
        <x:v>1.7362509460616802</x:v>
      </x:c>
      <x:c r="U86" s="20" t="str">
        <x:f>IF(J86="Рассчитано",N86*(1-O86/100),"н/д")</x:f>
        <x:v>н/д</x:v>
      </x:c>
      <x:c r="V86" s="20" t="str">
        <x:f>IF(J86="Рассчитано",T86*U86,"н/д")</x:f>
        <x:v>н/д</x:v>
      </x:c>
      <x:c r="W86" s="20" t="str">
        <x:f>IF(J86="Рассчитано",T86*M86,"н/д")</x:f>
        <x:v>н/д</x:v>
      </x:c>
      <x:c r="X86" s="20" t="str">
        <x:f>IF(J86="Рассчитано",V86-W86,"н/д")</x:f>
        <x:v>н/д</x:v>
      </x:c>
      <x:c r="Y86" s="26" t="str">
        <x:f>IF(J86="Рассчитано",IF(V86&gt;0,G86/V86,"н/д"),"н/д")</x:f>
        <x:v>н/д</x:v>
      </x:c>
      <x:c r="Z86" s="20" t="str">
        <x:f>IF(J86="Рассчитано",K86*M86,"н/д")</x:f>
        <x:v>н/д</x:v>
      </x:c>
      <x:c r="AA86" s="20" t="str">
        <x:f>IF(J86="Рассчитано",(K86-T86)*M86,"н/д")</x:f>
        <x:v>н/д</x:v>
      </x:c>
      <x:c r="AB86" s="20" t="str">
        <x:f>IF(AND(J86="Рассчитано",ISNUMBER(S86)),K86*(S86-M86),"н/д")</x:f>
        <x:v>н/д</x:v>
      </x:c>
      <x:c r="AC86" s="20" t="str">
        <x:f>IF(AND(J86="Рассчитано",T86&gt;0,R86&lt;100),(W86+P86+Q86)/(T86*(1-R86/100)),"н/д")</x:f>
        <x:v>н/д</x:v>
      </x:c>
      <x:c r="AD86" s="11" t="str">
        <x:f>IF(ISNUMBER(G86),IF(G86&lt;0,"Убыток",IF(G86=0,"Без прибыли","Прибыль &gt; 0")),"Не оценён")</x:f>
        <x:v>Не оценён</x:v>
      </x:c>
      <x:c r="AE86" s="12" t="str">
        <x:f>IF(J86="Рассчитано","Выручка "&amp;TEXT(V86,"0.00")&amp;" - себестоимость "&amp;TEXT(W86,"0.00")&amp;" - комиссия "&amp;TEXT(V86*R86/100,"0.00")&amp;" - доставка "&amp;TEXT(P86,"0.00")&amp;" - прочие "&amp;TEXT(Q86,"0.00")&amp;" = "&amp;TEXT(G86,"0.00")&amp;" "&amp;L86,"Введите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6" s="23" t="n">
        <x:v>3.73625094606168</x:v>
      </x:c>
      <x:c r="AG86" s="35" t="n">
        <x:v>2</x:v>
      </x:c>
      <x:c r="AH86" s="35" t="n">
        <x:v>0</x:v>
      </x:c>
      <x:c r="AI86" s="29" t="n">
        <x:v>46266</x:v>
      </x:c>
      <x:c r="AJ86" s="35"/>
      <x:c r="AK86" s="11" t="str">
        <x:v>минимум</x:v>
      </x:c>
      <x:c r="AL86" s="31" t="n">
        <x:v>16.05887850312758</x:v>
      </x:c>
      <x:c r="AM86" s="12" t="str">
        <x:v>Остаток на начало сентября; Резервы неизвестны; Нет ежедневных данных доступности. Запаса примерно на 16.1 дн. без поступлений</x:v>
      </x:c>
      <x:c r="AN86" s="12" t="str">
        <x:v>Подтвердить наличие, срок и цену закупки</x:v>
      </x:c>
      <x:c r="AO86" s="12" t="str">
        <x:v>Прогноз 30 дней 3.74; остаток 2; поступления в срок 0; нехватка 2; заказ с учётом MOQ 2 шт. Остаток на начало сентября: требуется актуализация.</x:v>
      </x:c>
      <x:c r="AP86" s="12" t="str">
        <x:v>["category_missing", "daily_stockout_data_missing", "moq_missing", "new_order_lead_time_unknown", "reservations_unknown", "stale_stock"]</x:v>
      </x:c>
      <x:c r="AQ86" s="11" t="str">
        <x:v>IEK:081100719_</x:v>
      </x:c>
      <x:c r="AR86" s="23" t="n">
        <x:v>1</x:v>
      </x:c>
      <x:c r="AS86" s="23" t="n">
        <x:f>MAX(0,ROUNDUP(MAX(0,AF86-AG86-AH86)/AR86-0.000000001,0)*AR86)</x:f>
        <x:v>2</x:v>
      </x:c>
      <x:c r="AT86" s="23" t="n">
        <x:v>1.7362509460616802</x:v>
      </x:c>
    </x:row>
    <x:row r="87" ht="64" customHeight="1">
      <x:c r="A87" s="10" t="str">
        <x:v>IEK</x:v>
      </x:c>
      <x:c r="B87" s="34" t="str">
        <x:v>081100749_</x:v>
      </x:c>
      <x:c r="C87" s="34" t="str">
        <x:v>LUVB0-GX53-1-K01</x:v>
      </x:c>
      <x:c r="D87" s="13" t="str">
        <x:v>Светильник встраиваемый под лампу GX53 белый IEK</x:v>
      </x:c>
      <x:c r="E87" s="10" t="str">
        <x:v>шт</x:v>
      </x:c>
      <x:c r="F87" s="37" t="n">
        <x:f>IF(AS87&gt;0,MAX(AS87,AJ87),0)</x:f>
        <x:v>62</x:v>
      </x:c>
      <x:c r="G87" s="21" t="str">
        <x:f>IF(J87="Рассчитано",V87*(1-R87/100)-W87-P87-Q87,"н/д")</x:f>
        <x:v>н/д</x:v>
      </x:c>
      <x:c r="H87" s="13" t="str">
        <x:v>Высокий</x:v>
      </x:c>
      <x:c r="I87" s="13" t="str">
        <x:v>Средний</x:v>
      </x:c>
      <x:c r="J87" s="13" t="str">
        <x:f>IF(L87="","Укажите валюту",IF(NOT(ISNUMBER(K87)),"Укажите объём",IF(K87&lt;=0,"Укажите объём",IF(COUNT(M87:O87)&lt;3,"Нужны цены",IF(COUNT(P87:R87)&lt;3,"Нужны расходы",IF(OR(M87&lt;0,N87&lt;0,O87&lt;0,O87&gt;100,P87&lt;0,Q87&lt;0,R87&lt;0,R87&gt;100),"Проверьте значения","Рассчитано"))))))</x:f>
        <x:v>Нужны цены</x:v>
      </x:c>
      <x:c r="K87" s="36" t="n">
        <x:v>62</x:v>
      </x:c>
      <x:c r="L87" s="19" t="str">
        <x:v>KZT</x:v>
      </x:c>
      <x:c r="M87" s="22"/>
      <x:c r="N87" s="22"/>
      <x:c r="O87" s="28"/>
      <x:c r="P87" s="22"/>
      <x:c r="Q87" s="22"/>
      <x:c r="R87" s="28"/>
      <x:c r="S87" s="22"/>
      <x:c r="T87" s="37" t="n">
        <x:f>MIN(K87,AT87)</x:f>
        <x:v>61.587163165181664</x:v>
      </x:c>
      <x:c r="U87" s="21" t="str">
        <x:f>IF(J87="Рассчитано",N87*(1-O87/100),"н/д")</x:f>
        <x:v>н/д</x:v>
      </x:c>
      <x:c r="V87" s="21" t="str">
        <x:f>IF(J87="Рассчитано",T87*U87,"н/д")</x:f>
        <x:v>н/д</x:v>
      </x:c>
      <x:c r="W87" s="21" t="str">
        <x:f>IF(J87="Рассчитано",T87*M87,"н/д")</x:f>
        <x:v>н/д</x:v>
      </x:c>
      <x:c r="X87" s="21" t="str">
        <x:f>IF(J87="Рассчитано",V87-W87,"н/д")</x:f>
        <x:v>н/д</x:v>
      </x:c>
      <x:c r="Y87" s="27" t="str">
        <x:f>IF(J87="Рассчитано",IF(V87&gt;0,G87/V87,"н/д"),"н/д")</x:f>
        <x:v>н/д</x:v>
      </x:c>
      <x:c r="Z87" s="21" t="str">
        <x:f>IF(J87="Рассчитано",K87*M87,"н/д")</x:f>
        <x:v>н/д</x:v>
      </x:c>
      <x:c r="AA87" s="21" t="str">
        <x:f>IF(J87="Рассчитано",(K87-T87)*M87,"н/д")</x:f>
        <x:v>н/д</x:v>
      </x:c>
      <x:c r="AB87" s="21" t="str">
        <x:f>IF(AND(J87="Рассчитано",ISNUMBER(S87)),K87*(S87-M87),"н/д")</x:f>
        <x:v>н/д</x:v>
      </x:c>
      <x:c r="AC87" s="21" t="str">
        <x:f>IF(AND(J87="Рассчитано",T87&gt;0,R87&lt;100),(W87+P87+Q87)/(T87*(1-R87/100)),"н/д")</x:f>
        <x:v>н/д</x:v>
      </x:c>
      <x:c r="AD87" s="10" t="str">
        <x:f>IF(ISNUMBER(G87),IF(G87&lt;0,"Убыток",IF(G87=0,"Без прибыли","Прибыль &gt; 0")),"Не оценён")</x:f>
        <x:v>Не оценён</x:v>
      </x:c>
      <x:c r="AE87" s="13" t="str">
        <x:f>IF(J87="Рассчитано","Выручка "&amp;TEXT(V87,"0.00")&amp;" - себестоимость "&amp;TEXT(W87,"0.00")&amp;" - комиссия "&amp;TEXT(V87*R87/100,"0.00")&amp;" - доставка "&amp;TEXT(P87,"0.00")&amp;" - прочие "&amp;TEXT(Q87,"0.00")&amp;" = "&amp;TEXT(G87,"0.00")&amp;" "&amp;L87,"Введите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7" s="24" t="n">
        <x:v>152.58716316518166</x:v>
      </x:c>
      <x:c r="AG87" s="37" t="n">
        <x:v>91</x:v>
      </x:c>
      <x:c r="AH87" s="37" t="n">
        <x:v>0</x:v>
      </x:c>
      <x:c r="AI87" s="30" t="n">
        <x:v>46266</x:v>
      </x:c>
      <x:c r="AJ87" s="37" t="n">
        <x:v>10</x:v>
      </x:c>
      <x:c r="AK87" s="10" t="str">
        <x:v>минимум</x:v>
      </x:c>
      <x:c r="AL87" s="32" t="n">
        <x:v>17.89141329696697</x:v>
      </x:c>
      <x:c r="AM87" s="13" t="str">
        <x:v>Остаток на начало сентября; Резервы неизвестны; Нет ежедневных данных доступности. Запаса примерно на 17.9 дн. без поступлений</x:v>
      </x:c>
      <x:c r="AN87" s="13" t="str">
        <x:v>Подтвердить наличие, срок и цену закупки</x:v>
      </x:c>
      <x:c r="AO87" s="13" t="str">
        <x:v>Прогноз 30 дней 152.59; остаток 91; поступления в срок 0; нехватка 62; заказ с учётом MOQ 62 шт. Остаток на начало сентября: требуется актуализация.</x:v>
      </x:c>
      <x:c r="AP87" s="13" t="str">
        <x:v>["category_missing", "daily_stockout_data_missing", "large_orders_detected", "negative_net_sales_clipped_for_forecast", "new_order_lead_time_unknown", "reservations_unknown", "stale_stock"]</x:v>
      </x:c>
      <x:c r="AQ87" s="10" t="str">
        <x:v>IEK:081100749_</x:v>
      </x:c>
      <x:c r="AR87" s="24" t="n">
        <x:v>1</x:v>
      </x:c>
      <x:c r="AS87" s="24" t="n">
        <x:f>MAX(0,ROUNDUP(MAX(0,AF87-AG87-AH87)/AR87-0.000000001,0)*AR87)</x:f>
        <x:v>62</x:v>
      </x:c>
      <x:c r="AT87" s="24" t="n">
        <x:v>61.587163165181664</x:v>
      </x:c>
    </x:row>
    <x:row r="88" ht="64" customHeight="1">
      <x:c r="A88" s="11" t="str">
        <x:v>IEK</x:v>
      </x:c>
      <x:c r="B88" s="33" t="str">
        <x:v>081100769_</x:v>
      </x:c>
      <x:c r="C88" s="33" t="str">
        <x:v>LDPA0-5030-3H-K01</x:v>
      </x:c>
      <x:c r="D88" s="12" t="str">
        <x:v>Светильник аварийный ДПА 5030-3, NI-CD, пост.,3ч,IP20, IEK</x:v>
      </x:c>
      <x:c r="E88" s="11" t="str">
        <x:v>шт</x:v>
      </x:c>
      <x:c r="F88" s="35" t="n">
        <x:f>IF(AS88&gt;0,MAX(AS88,AJ88),0)</x:f>
        <x:v>25</x:v>
      </x:c>
      <x:c r="G88" s="20" t="str">
        <x:f>IF(J88="Рассчитано",V88*(1-R88/100)-W88-P88-Q88,"н/д")</x:f>
        <x:v>н/д</x:v>
      </x:c>
      <x:c r="H88" s="12" t="str">
        <x:v>Высокий</x:v>
      </x:c>
      <x:c r="I88" s="12" t="str">
        <x:v>Критический</x:v>
      </x:c>
      <x:c r="J88" s="12" t="str">
        <x:f>IF(L88="","Укажите валюту",IF(NOT(ISNUMBER(K88)),"Укажите объём",IF(K88&lt;=0,"Укажите объём",IF(COUNT(M88:O88)&lt;3,"Нужны цены",IF(COUNT(P88:R88)&lt;3,"Нужны расходы",IF(OR(M88&lt;0,N88&lt;0,O88&lt;0,O88&gt;100,P88&lt;0,Q88&lt;0,R88&lt;0,R88&gt;100),"Проверьте значения","Рассчитано"))))))</x:f>
        <x:v>Нужны цены</x:v>
      </x:c>
      <x:c r="K88" s="36" t="n">
        <x:v>25</x:v>
      </x:c>
      <x:c r="L88" s="19" t="str">
        <x:v>KZT</x:v>
      </x:c>
      <x:c r="M88" s="22"/>
      <x:c r="N88" s="22"/>
      <x:c r="O88" s="28"/>
      <x:c r="P88" s="22"/>
      <x:c r="Q88" s="22"/>
      <x:c r="R88" s="28"/>
      <x:c r="S88" s="22"/>
      <x:c r="T88" s="35" t="n">
        <x:f>MIN(K88,AT88)</x:f>
        <x:v>24.46355108017743</x:v>
      </x:c>
      <x:c r="U88" s="20" t="str">
        <x:f>IF(J88="Рассчитано",N88*(1-O88/100),"н/д")</x:f>
        <x:v>н/д</x:v>
      </x:c>
      <x:c r="V88" s="20" t="str">
        <x:f>IF(J88="Рассчитано",T88*U88,"н/д")</x:f>
        <x:v>н/д</x:v>
      </x:c>
      <x:c r="W88" s="20" t="str">
        <x:f>IF(J88="Рассчитано",T88*M88,"н/д")</x:f>
        <x:v>н/д</x:v>
      </x:c>
      <x:c r="X88" s="20" t="str">
        <x:f>IF(J88="Рассчитано",V88-W88,"н/д")</x:f>
        <x:v>н/д</x:v>
      </x:c>
      <x:c r="Y88" s="26" t="str">
        <x:f>IF(J88="Рассчитано",IF(V88&gt;0,G88/V88,"н/д"),"н/д")</x:f>
        <x:v>н/д</x:v>
      </x:c>
      <x:c r="Z88" s="20" t="str">
        <x:f>IF(J88="Рассчитано",K88*M88,"н/д")</x:f>
        <x:v>н/д</x:v>
      </x:c>
      <x:c r="AA88" s="20" t="str">
        <x:f>IF(J88="Рассчитано",(K88-T88)*M88,"н/д")</x:f>
        <x:v>н/д</x:v>
      </x:c>
      <x:c r="AB88" s="20" t="str">
        <x:f>IF(AND(J88="Рассчитано",ISNUMBER(S88)),K88*(S88-M88),"н/д")</x:f>
        <x:v>н/д</x:v>
      </x:c>
      <x:c r="AC88" s="20" t="str">
        <x:f>IF(AND(J88="Рассчитано",T88&gt;0,R88&lt;100),(W88+P88+Q88)/(T88*(1-R88/100)),"н/д")</x:f>
        <x:v>н/д</x:v>
      </x:c>
      <x:c r="AD88" s="11" t="str">
        <x:f>IF(ISNUMBER(G88),IF(G88&lt;0,"Убыток",IF(G88=0,"Без прибыли","Прибыль &gt; 0")),"Не оценён")</x:f>
        <x:v>Не оценён</x:v>
      </x:c>
      <x:c r="AE88" s="12" t="str">
        <x:f>IF(J88="Рассчитано","Выручка "&amp;TEXT(V88,"0.00")&amp;" - себестоимость "&amp;TEXT(W88,"0.00")&amp;" - комиссия "&amp;TEXT(V88*R88/100,"0.00")&amp;" - доставка "&amp;TEXT(P88,"0.00")&amp;" - прочие "&amp;TEXT(Q88,"0.00")&amp;" = "&amp;TEXT(G88,"0.00")&amp;" "&amp;L88,"Введите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8" s="23" t="n">
        <x:v>24.46355108017743</x:v>
      </x:c>
      <x:c r="AG88" s="35" t="n">
        <x:v>0</x:v>
      </x:c>
      <x:c r="AH88" s="35" t="n">
        <x:v>0</x:v>
      </x:c>
      <x:c r="AI88" s="29" t="n">
        <x:v>46266</x:v>
      </x:c>
      <x:c r="AJ88" s="35" t="n">
        <x:v>1</x:v>
      </x:c>
      <x:c r="AK88" s="11" t="str">
        <x:v>минимум</x:v>
      </x:c>
      <x:c r="AL88" s="31" t="n">
        <x:v>0</x:v>
      </x:c>
      <x:c r="AM88" s="12" t="str">
        <x:v>Остаток на начало сентября; Резервы неизвестны; Нет ежедневных данных доступности. Нет запаса</x:v>
      </x:c>
      <x:c r="AN88" s="12" t="str">
        <x:v>Подтвердить наличие, срок и цену закупки</x:v>
      </x:c>
      <x:c r="AO88" s="12" t="str">
        <x:v>Прогноз 30 дней 24.46; остаток 0; поступления в срок 0; нехватка 25; заказ с учётом MOQ 25 шт. Остаток на начало сентября: требуется актуализация.</x:v>
      </x:c>
      <x:c r="AP88" s="12" t="str">
        <x:v>["blank_stock_assumed_zero", "category_missing", "daily_stockout_data_missing", "negative_net_sales_clipped_for_forecast", "new_order_lead_time_unknown", "reservations_unknown", "stale_stock"]</x:v>
      </x:c>
      <x:c r="AQ88" s="11" t="str">
        <x:v>IEK:081100769_</x:v>
      </x:c>
      <x:c r="AR88" s="23" t="n">
        <x:v>1</x:v>
      </x:c>
      <x:c r="AS88" s="23" t="n">
        <x:f>MAX(0,ROUNDUP(MAX(0,AF88-AG88-AH88)/AR88-0.000000001,0)*AR88)</x:f>
        <x:v>25</x:v>
      </x:c>
      <x:c r="AT88" s="23" t="n">
        <x:v>24.46355108017743</x:v>
      </x:c>
    </x:row>
    <x:row r="89" ht="64" customHeight="1">
      <x:c r="A89" s="10" t="str">
        <x:v>IEK</x:v>
      </x:c>
      <x:c r="B89" s="34" t="str">
        <x:v>081100772_</x:v>
      </x:c>
      <x:c r="C89" s="34" t="str">
        <x:v>LDD11-022-2000-001</x:v>
      </x:c>
      <x:c r="D89" s="13" t="str">
        <x:v>Датчик движения ДД 022 белый 2000Вт 360гр 4мх20м IP20 IEK</x:v>
      </x:c>
      <x:c r="E89" s="10" t="str">
        <x:v>шт</x:v>
      </x:c>
      <x:c r="F89" s="37" t="n">
        <x:f>IF(AS89&gt;0,MAX(AS89,AJ89),0)</x:f>
        <x:v>3</x:v>
      </x:c>
      <x:c r="G89" s="21" t="str">
        <x:f>IF(J89="Рассчитано",V89*(1-R89/100)-W89-P89-Q89,"н/д")</x:f>
        <x:v>н/д</x:v>
      </x:c>
      <x:c r="H89" s="13" t="str">
        <x:v>Высокий</x:v>
      </x:c>
      <x:c r="I89" s="13" t="str">
        <x:v>Критический</x:v>
      </x:c>
      <x:c r="J89" s="13" t="str">
        <x:f>IF(L89="","Укажите валюту",IF(NOT(ISNUMBER(K89)),"Укажите объём",IF(K89&lt;=0,"Укажите объём",IF(COUNT(M89:O89)&lt;3,"Нужны цены",IF(COUNT(P89:R89)&lt;3,"Нужны расходы",IF(OR(M89&lt;0,N89&lt;0,O89&lt;0,O89&gt;100,P89&lt;0,Q89&lt;0,R89&lt;0,R89&gt;100),"Проверьте значения","Рассчитано"))))))</x:f>
        <x:v>Нужны цены</x:v>
      </x:c>
      <x:c r="K89" s="36" t="n">
        <x:v>3</x:v>
      </x:c>
      <x:c r="L89" s="19" t="str">
        <x:v>KZT</x:v>
      </x:c>
      <x:c r="M89" s="22"/>
      <x:c r="N89" s="22"/>
      <x:c r="O89" s="28"/>
      <x:c r="P89" s="22"/>
      <x:c r="Q89" s="22"/>
      <x:c r="R89" s="28"/>
      <x:c r="S89" s="22"/>
      <x:c r="T89" s="37" t="n">
        <x:f>MIN(K89,AT89)</x:f>
        <x:v>2.4932391976918566</x:v>
      </x:c>
      <x:c r="U89" s="21" t="str">
        <x:f>IF(J89="Рассчитано",N89*(1-O89/100),"н/д")</x:f>
        <x:v>н/д</x:v>
      </x:c>
      <x:c r="V89" s="21" t="str">
        <x:f>IF(J89="Рассчитано",T89*U89,"н/д")</x:f>
        <x:v>н/д</x:v>
      </x:c>
      <x:c r="W89" s="21" t="str">
        <x:f>IF(J89="Рассчитано",T89*M89,"н/д")</x:f>
        <x:v>н/д</x:v>
      </x:c>
      <x:c r="X89" s="21" t="str">
        <x:f>IF(J89="Рассчитано",V89-W89,"н/д")</x:f>
        <x:v>н/д</x:v>
      </x:c>
      <x:c r="Y89" s="27" t="str">
        <x:f>IF(J89="Рассчитано",IF(V89&gt;0,G89/V89,"н/д"),"н/д")</x:f>
        <x:v>н/д</x:v>
      </x:c>
      <x:c r="Z89" s="21" t="str">
        <x:f>IF(J89="Рассчитано",K89*M89,"н/д")</x:f>
        <x:v>н/д</x:v>
      </x:c>
      <x:c r="AA89" s="21" t="str">
        <x:f>IF(J89="Рассчитано",(K89-T89)*M89,"н/д")</x:f>
        <x:v>н/д</x:v>
      </x:c>
      <x:c r="AB89" s="21" t="str">
        <x:f>IF(AND(J89="Рассчитано",ISNUMBER(S89)),K89*(S89-M89),"н/д")</x:f>
        <x:v>н/д</x:v>
      </x:c>
      <x:c r="AC89" s="21" t="str">
        <x:f>IF(AND(J89="Рассчитано",T89&gt;0,R89&lt;100),(W89+P89+Q89)/(T89*(1-R89/100)),"н/д")</x:f>
        <x:v>н/д</x:v>
      </x:c>
      <x:c r="AD89" s="10" t="str">
        <x:f>IF(ISNUMBER(G89),IF(G89&lt;0,"Убыток",IF(G89=0,"Без прибыли","Прибыль &gt; 0")),"Не оценён")</x:f>
        <x:v>Не оценён</x:v>
      </x:c>
      <x:c r="AE89" s="13" t="str">
        <x:f>IF(J89="Рассчитано","Выручка "&amp;TEXT(V89,"0.00")&amp;" - себестоимость "&amp;TEXT(W89,"0.00")&amp;" - комиссия "&amp;TEXT(V89*R89/100,"0.00")&amp;" - доставка "&amp;TEXT(P89,"0.00")&amp;" - прочие "&amp;TEXT(Q89,"0.00")&amp;" = "&amp;TEXT(G89,"0.00")&amp;" "&amp;L89,"Введите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89" s="24" t="n">
        <x:v>2.4932391976918566</x:v>
      </x:c>
      <x:c r="AG89" s="37" t="n">
        <x:v>0</x:v>
      </x:c>
      <x:c r="AH89" s="37" t="n">
        <x:v>0</x:v>
      </x:c>
      <x:c r="AI89" s="30" t="n">
        <x:v>46266</x:v>
      </x:c>
      <x:c r="AJ89" s="37" t="n">
        <x:v>1</x:v>
      </x:c>
      <x:c r="AK89" s="10" t="str">
        <x:v>минимум</x:v>
      </x:c>
      <x:c r="AL89" s="32" t="n">
        <x:v>0</x:v>
      </x:c>
      <x:c r="AM89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89" s="13" t="str">
        <x:v>Подтвердить наличие, срок и цену закупки</x:v>
      </x:c>
      <x:c r="AO89" s="13" t="str">
        <x:v>Прогноз 30 дней 2.49; остаток 0; поступления в срок 0; нехватка 3; заказ с учётом MOQ 3 шт. Остаток на начало сентября: требуется актуализация.</x:v>
      </x:c>
      <x:c r="AP89" s="13" t="str">
        <x:v>["blank_stock_assumed_zero", "category_missing", "daily_stockout_data_missing", "new_order_lead_time_unknown", "reservations_unknown", "stale_stock", "stockout_proxy_used"]</x:v>
      </x:c>
      <x:c r="AQ89" s="10" t="str">
        <x:v>IEK:081100772_</x:v>
      </x:c>
      <x:c r="AR89" s="24" t="n">
        <x:v>1</x:v>
      </x:c>
      <x:c r="AS89" s="24" t="n">
        <x:f>MAX(0,ROUNDUP(MAX(0,AF89-AG89-AH89)/AR89-0.000000001,0)*AR89)</x:f>
        <x:v>3</x:v>
      </x:c>
      <x:c r="AT89" s="24" t="n">
        <x:v>2.4932391976918566</x:v>
      </x:c>
    </x:row>
    <x:row r="90" ht="64" customHeight="1">
      <x:c r="A90" s="11" t="str">
        <x:v>IEK</x:v>
      </x:c>
      <x:c r="B90" s="33" t="str">
        <x:v>081100774_</x:v>
      </x:c>
      <x:c r="C90" s="33" t="str">
        <x:v>LDD11-201-1200-001</x:v>
      </x:c>
      <x:c r="D90" s="12" t="str">
        <x:v>Датчик движения ДД 201 белый, 1200Вт, 360 гр.,6М,IP20,IEK</x:v>
      </x:c>
      <x:c r="E90" s="11" t="str">
        <x:v>шт</x:v>
      </x:c>
      <x:c r="F90" s="35" t="n">
        <x:f>IF(AS90&gt;0,MAX(AS90,AJ90),0)</x:f>
        <x:v>1</x:v>
      </x:c>
      <x:c r="G90" s="20" t="str">
        <x:f>IF(J90="Рассчитано",V90*(1-R90/100)-W90-P90-Q90,"н/д")</x:f>
        <x:v>н/д</x:v>
      </x:c>
      <x:c r="H90" s="12" t="str">
        <x:v>Высокий</x:v>
      </x:c>
      <x:c r="I90" s="12" t="str">
        <x:v>Средний</x:v>
      </x:c>
      <x:c r="J90" s="12" t="str">
        <x:f>IF(L90="","Укажите валюту",IF(NOT(ISNUMBER(K90)),"Укажите объём",IF(K90&lt;=0,"Укажите объём",IF(COUNT(M90:O90)&lt;3,"Нужны цены",IF(COUNT(P90:R90)&lt;3,"Нужны расходы",IF(OR(M90&lt;0,N90&lt;0,O90&lt;0,O90&gt;100,P90&lt;0,Q90&lt;0,R90&lt;0,R90&gt;100),"Проверьте значения","Рассчитано"))))))</x:f>
        <x:v>Нужны цены</x:v>
      </x:c>
      <x:c r="K90" s="36" t="n">
        <x:v>1</x:v>
      </x:c>
      <x:c r="L90" s="19" t="str">
        <x:v>KZT</x:v>
      </x:c>
      <x:c r="M90" s="22"/>
      <x:c r="N90" s="22"/>
      <x:c r="O90" s="28"/>
      <x:c r="P90" s="22"/>
      <x:c r="Q90" s="22"/>
      <x:c r="R90" s="28"/>
      <x:c r="S90" s="22"/>
      <x:c r="T90" s="35" t="n">
        <x:f>MIN(K90,AT90)</x:f>
        <x:v>0.9196431285801028</x:v>
      </x:c>
      <x:c r="U90" s="20" t="str">
        <x:f>IF(J90="Рассчитано",N90*(1-O90/100),"н/д")</x:f>
        <x:v>н/д</x:v>
      </x:c>
      <x:c r="V90" s="20" t="str">
        <x:f>IF(J90="Рассчитано",T90*U90,"н/д")</x:f>
        <x:v>н/д</x:v>
      </x:c>
      <x:c r="W90" s="20" t="str">
        <x:f>IF(J90="Рассчитано",T90*M90,"н/д")</x:f>
        <x:v>н/д</x:v>
      </x:c>
      <x:c r="X90" s="20" t="str">
        <x:f>IF(J90="Рассчитано",V90-W90,"н/д")</x:f>
        <x:v>н/д</x:v>
      </x:c>
      <x:c r="Y90" s="26" t="str">
        <x:f>IF(J90="Рассчитано",IF(V90&gt;0,G90/V90,"н/д"),"н/д")</x:f>
        <x:v>н/д</x:v>
      </x:c>
      <x:c r="Z90" s="20" t="str">
        <x:f>IF(J90="Рассчитано",K90*M90,"н/д")</x:f>
        <x:v>н/д</x:v>
      </x:c>
      <x:c r="AA90" s="20" t="str">
        <x:f>IF(J90="Рассчитано",(K90-T90)*M90,"н/д")</x:f>
        <x:v>н/д</x:v>
      </x:c>
      <x:c r="AB90" s="20" t="str">
        <x:f>IF(AND(J90="Рассчитано",ISNUMBER(S90)),K90*(S90-M90),"н/д")</x:f>
        <x:v>н/д</x:v>
      </x:c>
      <x:c r="AC90" s="20" t="str">
        <x:f>IF(AND(J90="Рассчитано",T90&gt;0,R90&lt;100),(W90+P90+Q90)/(T90*(1-R90/100)),"н/д")</x:f>
        <x:v>н/д</x:v>
      </x:c>
      <x:c r="AD90" s="11" t="str">
        <x:f>IF(ISNUMBER(G90),IF(G90&lt;0,"Убыток",IF(G90=0,"Без прибыли","Прибыль &gt; 0")),"Не оценён")</x:f>
        <x:v>Не оценён</x:v>
      </x:c>
      <x:c r="AE90" s="12" t="str">
        <x:f>IF(J90="Рассчитано","Выручка "&amp;TEXT(V90,"0.00")&amp;" - себестоимость "&amp;TEXT(W90,"0.00")&amp;" - комиссия "&amp;TEXT(V90*R90/100,"0.00")&amp;" - доставка "&amp;TEXT(P90,"0.00")&amp;" - прочие "&amp;TEXT(Q90,"0.00")&amp;" = "&amp;TEXT(G90,"0.00")&amp;" "&amp;L90,"Введите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0" s="23" t="n">
        <x:v>4.919643128580103</x:v>
      </x:c>
      <x:c r="AG90" s="35" t="n">
        <x:v>4</x:v>
      </x:c>
      <x:c r="AH90" s="35" t="n">
        <x:v>0</x:v>
      </x:c>
      <x:c r="AI90" s="29" t="n">
        <x:v>46266</x:v>
      </x:c>
      <x:c r="AJ90" s="35" t="n">
        <x:v>1</x:v>
      </x:c>
      <x:c r="AK90" s="11" t="str">
        <x:v>минимум</x:v>
      </x:c>
      <x:c r="AL90" s="31" t="n">
        <x:v>24.39201317324701</x:v>
      </x:c>
      <x:c r="AM90" s="12" t="str">
        <x:v>Остаток на начало сентября; Резервы неизвестны; Stockout оценён по месячным снимкам; Нет ежедневных данных доступности. Запаса примерно на 24.4 дн. без поступлений</x:v>
      </x:c>
      <x:c r="AN90" s="12" t="str">
        <x:v>Подтвердить наличие, срок и цену закупки</x:v>
      </x:c>
      <x:c r="AO90" s="12" t="str">
        <x:v>Прогноз 30 дней 4.92; остаток 4; поступления в срок 0; нехватка 1; заказ с учётом MOQ 1 шт. Остаток на начало сентября: требуется актуализация.</x:v>
      </x:c>
      <x:c r="AP90" s="12" t="str">
        <x:v>["category_missing", "daily_stockout_data_missing", "new_order_lead_time_unknown", "reservations_unknown", "stale_stock", "stockout_proxy_used"]</x:v>
      </x:c>
      <x:c r="AQ90" s="11" t="str">
        <x:v>IEK:081100774_</x:v>
      </x:c>
      <x:c r="AR90" s="23" t="n">
        <x:v>1</x:v>
      </x:c>
      <x:c r="AS90" s="23" t="n">
        <x:f>MAX(0,ROUNDUP(MAX(0,AF90-AG90-AH90)/AR90-0.000000001,0)*AR90)</x:f>
        <x:v>1</x:v>
      </x:c>
      <x:c r="AT90" s="23" t="n">
        <x:v>0.9196431285801028</x:v>
      </x:c>
    </x:row>
    <x:row r="91" ht="64" customHeight="1">
      <x:c r="A91" s="10" t="str">
        <x:v>IEK</x:v>
      </x:c>
      <x:c r="B91" s="34" t="str">
        <x:v>120100308_</x:v>
      </x:c>
      <x:c r="C91" s="34" t="str">
        <x:v>MKK21-40-40</x:v>
      </x:c>
      <x:c r="D91" s="13" t="str">
        <x:v>Контактор КМ 40-40М AC/DC IEK E-PRO</x:v>
      </x:c>
      <x:c r="E91" s="10" t="str">
        <x:v>шт</x:v>
      </x:c>
      <x:c r="F91" s="37" t="n">
        <x:f>IF(AS91&gt;0,MAX(AS91,AJ91),0)</x:f>
        <x:v>17</x:v>
      </x:c>
      <x:c r="G91" s="21" t="str">
        <x:f>IF(J91="Рассчитано",V91*(1-R91/100)-W91-P91-Q91,"н/д")</x:f>
        <x:v>н/д</x:v>
      </x:c>
      <x:c r="H91" s="13" t="str">
        <x:v>Высокий</x:v>
      </x:c>
      <x:c r="I91" s="13" t="str">
        <x:v>Критический</x:v>
      </x:c>
      <x:c r="J91" s="13" t="str">
        <x:f>IF(L91="","Укажите валюту",IF(NOT(ISNUMBER(K91)),"Укажите объём",IF(K91&lt;=0,"Укажите объём",IF(COUNT(M91:O91)&lt;3,"Нужны цены",IF(COUNT(P91:R91)&lt;3,"Нужны расходы",IF(OR(M91&lt;0,N91&lt;0,O91&lt;0,O91&gt;100,P91&lt;0,Q91&lt;0,R91&lt;0,R91&gt;100),"Проверьте значения","Рассчитано"))))))</x:f>
        <x:v>Нужны цены</x:v>
      </x:c>
      <x:c r="K91" s="36" t="n">
        <x:v>17</x:v>
      </x:c>
      <x:c r="L91" s="19" t="str">
        <x:v>KZT</x:v>
      </x:c>
      <x:c r="M91" s="22"/>
      <x:c r="N91" s="22"/>
      <x:c r="O91" s="28"/>
      <x:c r="P91" s="22"/>
      <x:c r="Q91" s="22"/>
      <x:c r="R91" s="28"/>
      <x:c r="S91" s="22"/>
      <x:c r="T91" s="37" t="n">
        <x:f>MIN(K91,AT91)</x:f>
        <x:v>16.072756307291503</x:v>
      </x:c>
      <x:c r="U91" s="21" t="str">
        <x:f>IF(J91="Рассчитано",N91*(1-O91/100),"н/д")</x:f>
        <x:v>н/д</x:v>
      </x:c>
      <x:c r="V91" s="21" t="str">
        <x:f>IF(J91="Рассчитано",T91*U91,"н/д")</x:f>
        <x:v>н/д</x:v>
      </x:c>
      <x:c r="W91" s="21" t="str">
        <x:f>IF(J91="Рассчитано",T91*M91,"н/д")</x:f>
        <x:v>н/д</x:v>
      </x:c>
      <x:c r="X91" s="21" t="str">
        <x:f>IF(J91="Рассчитано",V91-W91,"н/д")</x:f>
        <x:v>н/д</x:v>
      </x:c>
      <x:c r="Y91" s="27" t="str">
        <x:f>IF(J91="Рассчитано",IF(V91&gt;0,G91/V91,"н/д"),"н/д")</x:f>
        <x:v>н/д</x:v>
      </x:c>
      <x:c r="Z91" s="21" t="str">
        <x:f>IF(J91="Рассчитано",K91*M91,"н/д")</x:f>
        <x:v>н/д</x:v>
      </x:c>
      <x:c r="AA91" s="21" t="str">
        <x:f>IF(J91="Рассчитано",(K91-T91)*M91,"н/д")</x:f>
        <x:v>н/д</x:v>
      </x:c>
      <x:c r="AB91" s="21" t="str">
        <x:f>IF(AND(J91="Рассчитано",ISNUMBER(S91)),K91*(S91-M91),"н/д")</x:f>
        <x:v>н/д</x:v>
      </x:c>
      <x:c r="AC91" s="21" t="str">
        <x:f>IF(AND(J91="Рассчитано",T91&gt;0,R91&lt;100),(W91+P91+Q91)/(T91*(1-R91/100)),"н/д")</x:f>
        <x:v>н/д</x:v>
      </x:c>
      <x:c r="AD91" s="10" t="str">
        <x:f>IF(ISNUMBER(G91),IF(G91&lt;0,"Убыток",IF(G91=0,"Без прибыли","Прибыль &gt; 0")),"Не оценён")</x:f>
        <x:v>Не оценён</x:v>
      </x:c>
      <x:c r="AE91" s="13" t="str">
        <x:f>IF(J91="Рассчитано","Выручка "&amp;TEXT(V91,"0.00")&amp;" - себестоимость "&amp;TEXT(W91,"0.00")&amp;" - комиссия "&amp;TEXT(V91*R91/100,"0.00")&amp;" - доставка "&amp;TEXT(P91,"0.00")&amp;" - прочие "&amp;TEXT(Q91,"0.00")&amp;" = "&amp;TEXT(G91,"0.00")&amp;" "&amp;L91,"Введите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1" s="24" t="n">
        <x:v>17.072756307291503</x:v>
      </x:c>
      <x:c r="AG91" s="37" t="n">
        <x:v>1</x:v>
      </x:c>
      <x:c r="AH91" s="37" t="n">
        <x:v>0</x:v>
      </x:c>
      <x:c r="AI91" s="30" t="n">
        <x:v>46266</x:v>
      </x:c>
      <x:c r="AJ91" s="37" t="n">
        <x:v>1</x:v>
      </x:c>
      <x:c r="AK91" s="10" t="str">
        <x:v>минимум</x:v>
      </x:c>
      <x:c r="AL91" s="32" t="n">
        <x:v>1.757185510062454</x:v>
      </x:c>
      <x:c r="AM91" s="13" t="str">
        <x:v>Остаток на начало сентября; Резервы неизвестны; Детальные и месячные продажи расходятся; Stockout оценён по месячным снимкам; Нет ежедневных данных доступности. Запаса примерно на 1.8 дн. без поступлений</x:v>
      </x:c>
      <x:c r="AN91" s="13" t="str">
        <x:v>Подтвердить наличие, срок и цену закупки</x:v>
      </x:c>
      <x:c r="AO91" s="13" t="str">
        <x:v>Прогноз 30 дней 17.07; остаток 1; поступления в срок 0; нехватка 17; заказ с учётом MOQ 17 шт. Остаток на начало сентября: требуется актуализация.</x:v>
      </x:c>
      <x:c r="AP91" s="13" t="str">
        <x:v>["category_missing", "daily_stockout_data_missing", "large_orders_detected", "negative_net_sales_clipped_for_forecast", "new_order_lead_time_unknown", "reservations_unknown", "stale_stock", "stockout_proxy_used", "transaction_month_mismatch"]</x:v>
      </x:c>
      <x:c r="AQ91" s="10" t="str">
        <x:v>IEK:120100308_</x:v>
      </x:c>
      <x:c r="AR91" s="24" t="n">
        <x:v>1</x:v>
      </x:c>
      <x:c r="AS91" s="24" t="n">
        <x:f>MAX(0,ROUNDUP(MAX(0,AF91-AG91-AH91)/AR91-0.000000001,0)*AR91)</x:f>
        <x:v>17</x:v>
      </x:c>
      <x:c r="AT91" s="24" t="n">
        <x:v>16.072756307291503</x:v>
      </x:c>
    </x:row>
    <x:row r="92" ht="64" customHeight="1">
      <x:c r="A92" s="11" t="str">
        <x:v>IEK</x:v>
      </x:c>
      <x:c r="B92" s="33" t="str">
        <x:v>130200015_</x:v>
      </x:c>
      <x:c r="C92" s="33" t="str">
        <x:v>YNS21-3-063</x:v>
      </x:c>
      <x:c r="D92" s="12" t="str">
        <x:v>Шина соединительная PIN (штырь) 3ф  63А (1м) IEK (10)</x:v>
      </x:c>
      <x:c r="E92" s="11" t="str">
        <x:v>м</x:v>
      </x:c>
      <x:c r="F92" s="23" t="n">
        <x:f>IF(AS92&gt;0,MAX(AS92,AJ92),0)</x:f>
        <x:v>15.148</x:v>
      </x:c>
      <x:c r="G92" s="20" t="str">
        <x:f>IF(J92="Рассчитано",V92*(1-R92/100)-W92-P92-Q92,"н/д")</x:f>
        <x:v>н/д</x:v>
      </x:c>
      <x:c r="H92" s="12" t="str">
        <x:v>Высокий</x:v>
      </x:c>
      <x:c r="I92" s="12" t="str">
        <x:v>Высокий</x:v>
      </x:c>
      <x:c r="J92" s="12" t="str">
        <x:f>IF(L92="","Укажите валюту",IF(NOT(ISNUMBER(K92)),"Укажите объём",IF(K92&lt;=0,"Укажите объём",IF(COUNT(M92:O92)&lt;3,"Нужны цены",IF(COUNT(P92:R92)&lt;3,"Нужны расходы",IF(OR(M92&lt;0,N92&lt;0,O92&lt;0,O92&gt;100,P92&lt;0,Q92&lt;0,R92&lt;0,R92&gt;100),"Проверьте значения","Рассчитано"))))))</x:f>
        <x:v>Нужны цены</x:v>
      </x:c>
      <x:c r="K92" s="25" t="n">
        <x:v>15.148</x:v>
      </x:c>
      <x:c r="L92" s="19" t="str">
        <x:v>KZT</x:v>
      </x:c>
      <x:c r="M92" s="22"/>
      <x:c r="N92" s="22"/>
      <x:c r="O92" s="28"/>
      <x:c r="P92" s="22"/>
      <x:c r="Q92" s="22"/>
      <x:c r="R92" s="28"/>
      <x:c r="S92" s="22"/>
      <x:c r="T92" s="23" t="n">
        <x:f>MIN(K92,AT92)</x:f>
        <x:v>15.147343324644496</x:v>
      </x:c>
      <x:c r="U92" s="20" t="str">
        <x:f>IF(J92="Рассчитано",N92*(1-O92/100),"н/д")</x:f>
        <x:v>н/д</x:v>
      </x:c>
      <x:c r="V92" s="20" t="str">
        <x:f>IF(J92="Рассчитано",T92*U92,"н/д")</x:f>
        <x:v>н/д</x:v>
      </x:c>
      <x:c r="W92" s="20" t="str">
        <x:f>IF(J92="Рассчитано",T92*M92,"н/д")</x:f>
        <x:v>н/д</x:v>
      </x:c>
      <x:c r="X92" s="20" t="str">
        <x:f>IF(J92="Рассчитано",V92-W92,"н/д")</x:f>
        <x:v>н/д</x:v>
      </x:c>
      <x:c r="Y92" s="26" t="str">
        <x:f>IF(J92="Рассчитано",IF(V92&gt;0,G92/V92,"н/д"),"н/д")</x:f>
        <x:v>н/д</x:v>
      </x:c>
      <x:c r="Z92" s="20" t="str">
        <x:f>IF(J92="Рассчитано",K92*M92,"н/д")</x:f>
        <x:v>н/д</x:v>
      </x:c>
      <x:c r="AA92" s="20" t="str">
        <x:f>IF(J92="Рассчитано",(K92-T92)*M92,"н/д")</x:f>
        <x:v>н/д</x:v>
      </x:c>
      <x:c r="AB92" s="20" t="str">
        <x:f>IF(AND(J92="Рассчитано",ISNUMBER(S92)),K92*(S92-M92),"н/д")</x:f>
        <x:v>н/д</x:v>
      </x:c>
      <x:c r="AC92" s="20" t="str">
        <x:f>IF(AND(J92="Рассчитано",T92&gt;0,R92&lt;100),(W92+P92+Q92)/(T92*(1-R92/100)),"н/д")</x:f>
        <x:v>н/д</x:v>
      </x:c>
      <x:c r="AD92" s="11" t="str">
        <x:f>IF(ISNUMBER(G92),IF(G92&lt;0,"Убыток",IF(G92=0,"Без прибыли","Прибыль &gt; 0")),"Не оценён")</x:f>
        <x:v>Не оценён</x:v>
      </x:c>
      <x:c r="AE92" s="12" t="str">
        <x:f>IF(J92="Рассчитано","Выручка "&amp;TEXT(V92,"0.00")&amp;" - себестоимость "&amp;TEXT(W92,"0.00")&amp;" - комиссия "&amp;TEXT(V92*R92/100,"0.00")&amp;" - доставка "&amp;TEXT(P92,"0.00")&amp;" - прочие "&amp;TEXT(Q92,"0.00")&amp;" = "&amp;TEXT(G92,"0.00")&amp;" "&amp;L92,"Введите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2" s="23" t="n">
        <x:v>138.3473433246445</x:v>
      </x:c>
      <x:c r="AG92" s="23" t="n">
        <x:v>43.2</x:v>
      </x:c>
      <x:c r="AH92" s="23" t="n">
        <x:v>80</x:v>
      </x:c>
      <x:c r="AI92" s="29" t="n">
        <x:v>46266</x:v>
      </x:c>
      <x:c r="AJ92" s="23" t="n">
        <x:v>10</x:v>
      </x:c>
      <x:c r="AK92" s="11" t="str">
        <x:v>минимум</x:v>
      </x:c>
      <x:c r="AL92" s="31" t="n">
        <x:v>9.367725963185425</x:v>
      </x:c>
      <x:c r="AM92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9.4 дн. без поступлений</x:v>
      </x:c>
      <x:c r="AN92" s="12" t="str">
        <x:v>Подтвердить наличие, срок и цену закупки</x:v>
      </x:c>
      <x:c r="AO92" s="12" t="str">
        <x:v>Прогноз 30 дней 138.35; остаток 43.2; поступления в срок 80; нехватка 15.148; заказ с учётом MOQ 15.148 м. Остаток на начало сентября: требуется актуализация.</x:v>
      </x:c>
      <x:c r="AP92" s="12" t="str">
        <x:v>["category_missing", "daily_stockout_data_missing", "large_orders_detected", "new_order_lead_time_unknown", "reservations_unknown", "stale_stock", "transaction_month_mismatch"]</x:v>
      </x:c>
      <x:c r="AQ92" s="11" t="str">
        <x:v>IEK:130200015_</x:v>
      </x:c>
      <x:c r="AR92" s="23" t="n">
        <x:v>0.001</x:v>
      </x:c>
      <x:c r="AS92" s="23" t="n">
        <x:f>MAX(0,ROUNDUP(MAX(0,AF92-AG92-AH92)/AR92-0.000000001,0)*AR92)</x:f>
        <x:v>15.148</x:v>
      </x:c>
      <x:c r="AT92" s="23" t="n">
        <x:v>15.147343324644496</x:v>
      </x:c>
    </x:row>
    <x:row r="93" ht="64" customHeight="1">
      <x:c r="A93" s="10" t="str">
        <x:v>IEK</x:v>
      </x:c>
      <x:c r="B93" s="34" t="str">
        <x:v>130200032_</x:v>
      </x:c>
      <x:c r="C93" s="34" t="str">
        <x:v>MRD10-16</x:v>
      </x:c>
      <x:c r="D93" s="13" t="str">
        <x:v>Розетка на дин-рейку РАр10-3-ОП с заземлением IEK</x:v>
      </x:c>
      <x:c r="E93" s="10" t="str">
        <x:v>шт</x:v>
      </x:c>
      <x:c r="F93" s="37" t="n">
        <x:f>IF(AS93&gt;0,MAX(AS93,AJ93),0)</x:f>
        <x:v>66</x:v>
      </x:c>
      <x:c r="G93" s="21" t="str">
        <x:f>IF(J93="Рассчитано",V93*(1-R93/100)-W93-P93-Q93,"н/д")</x:f>
        <x:v>н/д</x:v>
      </x:c>
      <x:c r="H93" s="13" t="str">
        <x:v>Высокий</x:v>
      </x:c>
      <x:c r="I93" s="13" t="str">
        <x:v>Критический</x:v>
      </x:c>
      <x:c r="J93" s="13" t="str">
        <x:f>IF(L93="","Укажите валюту",IF(NOT(ISNUMBER(K93)),"Укажите объём",IF(K93&lt;=0,"Укажите объём",IF(COUNT(M93:O93)&lt;3,"Нужны цены",IF(COUNT(P93:R93)&lt;3,"Нужны расходы",IF(OR(M93&lt;0,N93&lt;0,O93&lt;0,O93&gt;100,P93&lt;0,Q93&lt;0,R93&lt;0,R93&gt;100),"Проверьте значения","Рассчитано"))))))</x:f>
        <x:v>Нужны цены</x:v>
      </x:c>
      <x:c r="K93" s="36" t="n">
        <x:v>66</x:v>
      </x:c>
      <x:c r="L93" s="19" t="str">
        <x:v>KZT</x:v>
      </x:c>
      <x:c r="M93" s="22"/>
      <x:c r="N93" s="22"/>
      <x:c r="O93" s="28"/>
      <x:c r="P93" s="22"/>
      <x:c r="Q93" s="22"/>
      <x:c r="R93" s="28"/>
      <x:c r="S93" s="22"/>
      <x:c r="T93" s="37" t="n">
        <x:f>MIN(K93,AT93)</x:f>
        <x:v>65.37906113948097</x:v>
      </x:c>
      <x:c r="U93" s="21" t="str">
        <x:f>IF(J93="Рассчитано",N93*(1-O93/100),"н/д")</x:f>
        <x:v>н/д</x:v>
      </x:c>
      <x:c r="V93" s="21" t="str">
        <x:f>IF(J93="Рассчитано",T93*U93,"н/д")</x:f>
        <x:v>н/д</x:v>
      </x:c>
      <x:c r="W93" s="21" t="str">
        <x:f>IF(J93="Рассчитано",T93*M93,"н/д")</x:f>
        <x:v>н/д</x:v>
      </x:c>
      <x:c r="X93" s="21" t="str">
        <x:f>IF(J93="Рассчитано",V93-W93,"н/д")</x:f>
        <x:v>н/д</x:v>
      </x:c>
      <x:c r="Y93" s="27" t="str">
        <x:f>IF(J93="Рассчитано",IF(V93&gt;0,G93/V93,"н/д"),"н/д")</x:f>
        <x:v>н/д</x:v>
      </x:c>
      <x:c r="Z93" s="21" t="str">
        <x:f>IF(J93="Рассчитано",K93*M93,"н/д")</x:f>
        <x:v>н/д</x:v>
      </x:c>
      <x:c r="AA93" s="21" t="str">
        <x:f>IF(J93="Рассчитано",(K93-T93)*M93,"н/д")</x:f>
        <x:v>н/д</x:v>
      </x:c>
      <x:c r="AB93" s="21" t="str">
        <x:f>IF(AND(J93="Рассчитано",ISNUMBER(S93)),K93*(S93-M93),"н/д")</x:f>
        <x:v>н/д</x:v>
      </x:c>
      <x:c r="AC93" s="21" t="str">
        <x:f>IF(AND(J93="Рассчитано",T93&gt;0,R93&lt;100),(W93+P93+Q93)/(T93*(1-R93/100)),"н/д")</x:f>
        <x:v>н/д</x:v>
      </x:c>
      <x:c r="AD93" s="10" t="str">
        <x:f>IF(ISNUMBER(G93),IF(G93&lt;0,"Убыток",IF(G93=0,"Без прибыли","Прибыль &gt; 0")),"Не оценён")</x:f>
        <x:v>Не оценён</x:v>
      </x:c>
      <x:c r="AE93" s="13" t="str">
        <x:f>IF(J93="Рассчитано","Выручка "&amp;TEXT(V93,"0.00")&amp;" - себестоимость "&amp;TEXT(W93,"0.00")&amp;" - комиссия "&amp;TEXT(V93*R93/100,"0.00")&amp;" - доставка "&amp;TEXT(P93,"0.00")&amp;" - прочие "&amp;TEXT(Q93,"0.00")&amp;" = "&amp;TEXT(G93,"0.00")&amp;" "&amp;L93,"Введите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3" s="24" t="n">
        <x:v>65.37906113948097</x:v>
      </x:c>
      <x:c r="AG93" s="37" t="n">
        <x:v>0</x:v>
      </x:c>
      <x:c r="AH93" s="37" t="n">
        <x:v>0</x:v>
      </x:c>
      <x:c r="AI93" s="30" t="n">
        <x:v>46266</x:v>
      </x:c>
      <x:c r="AJ93" s="37" t="n">
        <x:v>5</x:v>
      </x:c>
      <x:c r="AK93" s="10" t="str">
        <x:v>минимум</x:v>
      </x:c>
      <x:c r="AL93" s="32" t="n">
        <x:v>0</x:v>
      </x:c>
      <x:c r="AM93" s="13" t="str">
        <x:v>Остаток на начало сентября; Резервы неизвестны; Детальные и месячные продажи расходятся; Stockout оценён по месячным снимкам; Нет ежедневных данных доступности. Нет запаса</x:v>
      </x:c>
      <x:c r="AN93" s="13" t="str">
        <x:v>Подтвердить наличие, срок и цену закупки</x:v>
      </x:c>
      <x:c r="AO93" s="13" t="str">
        <x:v>Прогноз 30 дней 65.38; остаток 0; поступления в срок 0; нехватка 66; заказ с учётом MOQ 66 шт. Остаток на начало сентября: требуется актуализация.</x:v>
      </x:c>
      <x:c r="AP93" s="13" t="str">
        <x:v>["blank_stock_assumed_zero", "category_missing", "daily_stockout_data_missing", "large_orders_detected", "new_order_lead_time_unknown", "reservations_unknown", "stale_stock", "stockout_proxy_used", "transaction_month_mismatch"]</x:v>
      </x:c>
      <x:c r="AQ93" s="10" t="str">
        <x:v>IEK:130200032_</x:v>
      </x:c>
      <x:c r="AR93" s="24" t="n">
        <x:v>1</x:v>
      </x:c>
      <x:c r="AS93" s="24" t="n">
        <x:f>MAX(0,ROUNDUP(MAX(0,AF93-AG93-AH93)/AR93-0.000000001,0)*AR93)</x:f>
        <x:v>66</x:v>
      </x:c>
      <x:c r="AT93" s="24" t="n">
        <x:v>65.37906113948097</x:v>
      </x:c>
    </x:row>
    <x:row r="94" ht="64" customHeight="1">
      <x:c r="A94" s="11" t="str">
        <x:v>IEK</x:v>
      </x:c>
      <x:c r="B94" s="33" t="str">
        <x:v>130200034_</x:v>
      </x:c>
      <x:c r="C94" s="33" t="str">
        <x:v>YDN10-0060</x:v>
      </x:c>
      <x:c r="D94" s="12" t="str">
        <x:v>DIN-рейка  (60см) IEK (20)</x:v>
      </x:c>
      <x:c r="E94" s="11" t="str">
        <x:v>шт</x:v>
      </x:c>
      <x:c r="F94" s="35" t="n">
        <x:f>AS94</x:f>
        <x:v>1</x:v>
      </x:c>
      <x:c r="G94" s="20" t="str">
        <x:f>IF(J94="Рассчитано",V94*(1-R94/100)-W94-P94-Q94,"н/д")</x:f>
        <x:v>н/д</x:v>
      </x:c>
      <x:c r="H94" s="12" t="str">
        <x:v>Высокий</x:v>
      </x:c>
      <x:c r="I94" s="12" t="str">
        <x:v>Критический</x:v>
      </x:c>
      <x:c r="J94" s="12" t="str">
        <x:f>IF(L94="","Укажите валюту",IF(NOT(ISNUMBER(K94)),"Укажите объём",IF(K94&lt;=0,"Укажите объём",IF(COUNT(M94:O94)&lt;3,"Нужны цены",IF(COUNT(P94:R94)&lt;3,"Нужны расходы",IF(OR(M94&lt;0,N94&lt;0,O94&lt;0,O94&gt;100,P94&lt;0,Q94&lt;0,R94&lt;0,R94&gt;100),"Проверьте значения","Рассчитано"))))))</x:f>
        <x:v>Нужны цены</x:v>
      </x:c>
      <x:c r="K94" s="36" t="n">
        <x:v>1</x:v>
      </x:c>
      <x:c r="L94" s="19" t="str">
        <x:v>KZT</x:v>
      </x:c>
      <x:c r="M94" s="22"/>
      <x:c r="N94" s="22"/>
      <x:c r="O94" s="28"/>
      <x:c r="P94" s="22"/>
      <x:c r="Q94" s="22"/>
      <x:c r="R94" s="28"/>
      <x:c r="S94" s="22"/>
      <x:c r="T94" s="35" t="n">
        <x:f>MIN(K94,AT94)</x:f>
        <x:v>0.06960368702609994</x:v>
      </x:c>
      <x:c r="U94" s="20" t="str">
        <x:f>IF(J94="Рассчитано",N94*(1-O94/100),"н/д")</x:f>
        <x:v>н/д</x:v>
      </x:c>
      <x:c r="V94" s="20" t="str">
        <x:f>IF(J94="Рассчитано",T94*U94,"н/д")</x:f>
        <x:v>н/д</x:v>
      </x:c>
      <x:c r="W94" s="20" t="str">
        <x:f>IF(J94="Рассчитано",T94*M94,"н/д")</x:f>
        <x:v>н/д</x:v>
      </x:c>
      <x:c r="X94" s="20" t="str">
        <x:f>IF(J94="Рассчитано",V94-W94,"н/д")</x:f>
        <x:v>н/д</x:v>
      </x:c>
      <x:c r="Y94" s="26" t="str">
        <x:f>IF(J94="Рассчитано",IF(V94&gt;0,G94/V94,"н/д"),"н/д")</x:f>
        <x:v>н/д</x:v>
      </x:c>
      <x:c r="Z94" s="20" t="str">
        <x:f>IF(J94="Рассчитано",K94*M94,"н/д")</x:f>
        <x:v>н/д</x:v>
      </x:c>
      <x:c r="AA94" s="20" t="str">
        <x:f>IF(J94="Рассчитано",(K94-T94)*M94,"н/д")</x:f>
        <x:v>н/д</x:v>
      </x:c>
      <x:c r="AB94" s="20" t="str">
        <x:f>IF(AND(J94="Рассчитано",ISNUMBER(S94)),K94*(S94-M94),"н/д")</x:f>
        <x:v>н/д</x:v>
      </x:c>
      <x:c r="AC94" s="20" t="str">
        <x:f>IF(AND(J94="Рассчитано",T94&gt;0,R94&lt;100),(W94+P94+Q94)/(T94*(1-R94/100)),"н/д")</x:f>
        <x:v>н/д</x:v>
      </x:c>
      <x:c r="AD94" s="11" t="str">
        <x:f>IF(ISNUMBER(G94),IF(G94&lt;0,"Убыток",IF(G94=0,"Без прибыли","Прибыль &gt; 0")),"Не оценён")</x:f>
        <x:v>Не оценён</x:v>
      </x:c>
      <x:c r="AE94" s="12" t="str">
        <x:f>IF(J94="Рассчитано","Выручка "&amp;TEXT(V94,"0.00")&amp;" - себестоимость "&amp;TEXT(W94,"0.00")&amp;" - комиссия "&amp;TEXT(V94*R94/100,"0.00")&amp;" - доставка "&amp;TEXT(P94,"0.00")&amp;" - прочие "&amp;TEXT(Q94,"0.00")&amp;" = "&amp;TEXT(G94,"0.00")&amp;" "&amp;L94,"Введите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4" s="23" t="n">
        <x:v>0.06960368702609994</x:v>
      </x:c>
      <x:c r="AG94" s="35" t="n">
        <x:v>0</x:v>
      </x:c>
      <x:c r="AH94" s="35" t="n">
        <x:v>0</x:v>
      </x:c>
      <x:c r="AI94" s="29" t="n">
        <x:v>46266</x:v>
      </x:c>
      <x:c r="AJ94" s="35"/>
      <x:c r="AK94" s="11" t="str">
        <x:v>неизвестно</x:v>
      </x:c>
      <x:c r="AL94" s="31" t="n">
        <x:v>0</x:v>
      </x:c>
      <x:c r="AM94" s="12" t="str">
        <x:v>Остаток на начало сентября; Резервы неизвестны; Нет ежедневных данных доступности. Нет запаса</x:v>
      </x:c>
      <x:c r="AN94" s="12" t="str">
        <x:v>Подтвердить наличие, срок и цену закупки</x:v>
      </x:c>
      <x:c r="AO94" s="12" t="str">
        <x:v>Прогноз 30 дней 0.07; остаток 0; поступления в срок 0; нехватка 1; заказ с учётом MOQ 1 шт. Остаток на начало сентября: требуется актуализация.</x:v>
      </x:c>
      <x:c r="AP94" s="12" t="str">
        <x:v>["blank_stock_assumed_zero", "category_missing", "daily_stockout_data_missing", "moq_missing", "new_order_lead_time_unknown", "reservations_unknown", "stale_stock"]</x:v>
      </x:c>
      <x:c r="AQ94" s="11" t="str">
        <x:v>IEK:130200034_</x:v>
      </x:c>
      <x:c r="AR94" s="23" t="n">
        <x:v>1</x:v>
      </x:c>
      <x:c r="AS94" s="23" t="n">
        <x:f>MAX(0,ROUNDUP(MAX(0,AF94-AG94-AH94)/AR94-0.000000001,0)*AR94)</x:f>
        <x:v>1</x:v>
      </x:c>
      <x:c r="AT94" s="23" t="n">
        <x:v>0.06960368702609994</x:v>
      </x:c>
    </x:row>
    <x:row r="95" ht="64" customHeight="1">
      <x:c r="A95" s="10" t="str">
        <x:v>IEK</x:v>
      </x:c>
      <x:c r="B95" s="34" t="str">
        <x:v>130200085_</x:v>
      </x:c>
      <x:c r="C95" s="34" t="str">
        <x:v>MBD10-11-K51</x:v>
      </x:c>
      <x:c r="D95" s="13" t="str">
        <x:v>Кнопка управления модульная КМУ-11 IEK (12/144)</x:v>
      </x:c>
      <x:c r="E95" s="10" t="str">
        <x:v>шт</x:v>
      </x:c>
      <x:c r="F95" s="37" t="n">
        <x:f>IF(AS95&gt;0,MAX(AS95,AJ95),0)</x:f>
        <x:v>12</x:v>
      </x:c>
      <x:c r="G95" s="21" t="str">
        <x:f>IF(J95="Рассчитано",V95*(1-R95/100)-W95-P95-Q95,"н/д")</x:f>
        <x:v>н/д</x:v>
      </x:c>
      <x:c r="H95" s="13" t="str">
        <x:v>Высокий</x:v>
      </x:c>
      <x:c r="I95" s="13" t="str">
        <x:v>Критический</x:v>
      </x:c>
      <x:c r="J95" s="13" t="str">
        <x:f>IF(L95="","Укажите валюту",IF(NOT(ISNUMBER(K95)),"Укажите объём",IF(K95&lt;=0,"Укажите объём",IF(COUNT(M95:O95)&lt;3,"Нужны цены",IF(COUNT(P95:R95)&lt;3,"Нужны расходы",IF(OR(M95&lt;0,N95&lt;0,O95&lt;0,O95&gt;100,P95&lt;0,Q95&lt;0,R95&lt;0,R95&gt;100),"Проверьте значения","Рассчитано"))))))</x:f>
        <x:v>Нужны цены</x:v>
      </x:c>
      <x:c r="K95" s="36" t="n">
        <x:v>12</x:v>
      </x:c>
      <x:c r="L95" s="19" t="str">
        <x:v>KZT</x:v>
      </x:c>
      <x:c r="M95" s="22"/>
      <x:c r="N95" s="22"/>
      <x:c r="O95" s="28"/>
      <x:c r="P95" s="22"/>
      <x:c r="Q95" s="22"/>
      <x:c r="R95" s="28"/>
      <x:c r="S95" s="22"/>
      <x:c r="T95" s="37" t="n">
        <x:f>MIN(K95,AT95)</x:f>
        <x:v>6.746814355895043</x:v>
      </x:c>
      <x:c r="U95" s="21" t="str">
        <x:f>IF(J95="Рассчитано",N95*(1-O95/100),"н/д")</x:f>
        <x:v>н/д</x:v>
      </x:c>
      <x:c r="V95" s="21" t="str">
        <x:f>IF(J95="Рассчитано",T95*U95,"н/д")</x:f>
        <x:v>н/д</x:v>
      </x:c>
      <x:c r="W95" s="21" t="str">
        <x:f>IF(J95="Рассчитано",T95*M95,"н/д")</x:f>
        <x:v>н/д</x:v>
      </x:c>
      <x:c r="X95" s="21" t="str">
        <x:f>IF(J95="Рассчитано",V95-W95,"н/д")</x:f>
        <x:v>н/д</x:v>
      </x:c>
      <x:c r="Y95" s="27" t="str">
        <x:f>IF(J95="Рассчитано",IF(V95&gt;0,G95/V95,"н/д"),"н/д")</x:f>
        <x:v>н/д</x:v>
      </x:c>
      <x:c r="Z95" s="21" t="str">
        <x:f>IF(J95="Рассчитано",K95*M95,"н/д")</x:f>
        <x:v>н/д</x:v>
      </x:c>
      <x:c r="AA95" s="21" t="str">
        <x:f>IF(J95="Рассчитано",(K95-T95)*M95,"н/д")</x:f>
        <x:v>н/д</x:v>
      </x:c>
      <x:c r="AB95" s="21" t="str">
        <x:f>IF(AND(J95="Рассчитано",ISNUMBER(S95)),K95*(S95-M95),"н/д")</x:f>
        <x:v>н/д</x:v>
      </x:c>
      <x:c r="AC95" s="21" t="str">
        <x:f>IF(AND(J95="Рассчитано",T95&gt;0,R95&lt;100),(W95+P95+Q95)/(T95*(1-R95/100)),"н/д")</x:f>
        <x:v>н/д</x:v>
      </x:c>
      <x:c r="AD95" s="10" t="str">
        <x:f>IF(ISNUMBER(G95),IF(G95&lt;0,"Убыток",IF(G95=0,"Без прибыли","Прибыль &gt; 0")),"Не оценён")</x:f>
        <x:v>Не оценён</x:v>
      </x:c>
      <x:c r="AE95" s="13" t="str">
        <x:f>IF(J95="Рассчитано","Выручка "&amp;TEXT(V95,"0.00")&amp;" - себестоимость "&amp;TEXT(W95,"0.00")&amp;" - комиссия "&amp;TEXT(V95*R95/100,"0.00")&amp;" - доставка "&amp;TEXT(P95,"0.00")&amp;" - прочие "&amp;TEXT(Q95,"0.00")&amp;" = "&amp;TEXT(G95,"0.00")&amp;" "&amp;L95,"Введите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5" s="24" t="n">
        <x:v>6.746814355895043</x:v>
      </x:c>
      <x:c r="AG95" s="37" t="n">
        <x:v>0</x:v>
      </x:c>
      <x:c r="AH95" s="37" t="n">
        <x:v>0</x:v>
      </x:c>
      <x:c r="AI95" s="30" t="n">
        <x:v>46266</x:v>
      </x:c>
      <x:c r="AJ95" s="37" t="n">
        <x:v>12</x:v>
      </x:c>
      <x:c r="AK95" s="10" t="str">
        <x:v>минимум</x:v>
      </x:c>
      <x:c r="AL95" s="32" t="n">
        <x:v>0</x:v>
      </x:c>
      <x:c r="AM95" s="13" t="str">
        <x:v>Остаток на начало сентября; Резервы неизвестны; Нет ежедневных данных доступности. Нет запаса</x:v>
      </x:c>
      <x:c r="AN95" s="13" t="str">
        <x:v>Подтвердить наличие, срок и цену закупки</x:v>
      </x:c>
      <x:c r="AO95" s="13" t="str">
        <x:v>Прогноз 30 дней 6.75; остаток 0; поступления в срок 0; нехватка 7; заказ с учётом MOQ 12 шт. Остаток на начало сентября: требуется актуализация.</x:v>
      </x:c>
      <x:c r="AP95" s="13" t="str">
        <x:v>["blank_stock_assumed_zero", "category_missing", "daily_stockout_data_missing", "new_order_lead_time_unknown", "reservations_unknown", "stale_stock"]</x:v>
      </x:c>
      <x:c r="AQ95" s="10" t="str">
        <x:v>IEK:130200085_</x:v>
      </x:c>
      <x:c r="AR95" s="24" t="n">
        <x:v>1</x:v>
      </x:c>
      <x:c r="AS95" s="24" t="n">
        <x:f>MAX(0,ROUNDUP(MAX(0,AF95-AG95-AH95)/AR95-0.000000001,0)*AR95)</x:f>
        <x:v>7</x:v>
      </x:c>
      <x:c r="AT95" s="24" t="n">
        <x:v>6.746814355895043</x:v>
      </x:c>
    </x:row>
    <x:row r="96" ht="64" customHeight="1">
      <x:c r="A96" s="11" t="str">
        <x:v>IEK</x:v>
      </x:c>
      <x:c r="B96" s="33" t="str">
        <x:v>130200121_</x:v>
      </x:c>
      <x:c r="C96" s="33" t="str">
        <x:v>YNN10-812-8DP-K07</x:v>
      </x:c>
      <x:c r="D96" s="12" t="str">
        <x:v>Шина "N" нулевая 8х12мм комб с изол "Стойка" ШНИ  8 КС IEK (20)</x:v>
      </x:c>
      <x:c r="E96" s="11" t="str">
        <x:v>шт</x:v>
      </x:c>
      <x:c r="F96" s="35" t="n">
        <x:f>IF(AS96&gt;0,MAX(AS96,AJ96),0)</x:f>
        <x:v>56</x:v>
      </x:c>
      <x:c r="G96" s="20" t="str">
        <x:f>IF(J96="Рассчитано",V96*(1-R96/100)-W96-P96-Q96,"н/д")</x:f>
        <x:v>н/д</x:v>
      </x:c>
      <x:c r="H96" s="12" t="str">
        <x:v>Высокий</x:v>
      </x:c>
      <x:c r="I96" s="12" t="str">
        <x:v>Критический</x:v>
      </x:c>
      <x:c r="J96" s="12" t="str">
        <x:f>IF(L96="","Укажите валюту",IF(NOT(ISNUMBER(K96)),"Укажите объём",IF(K96&lt;=0,"Укажите объём",IF(COUNT(M96:O96)&lt;3,"Нужны цены",IF(COUNT(P96:R96)&lt;3,"Нужны расходы",IF(OR(M96&lt;0,N96&lt;0,O96&lt;0,O96&gt;100,P96&lt;0,Q96&lt;0,R96&lt;0,R96&gt;100),"Проверьте значения","Рассчитано"))))))</x:f>
        <x:v>Нужны цены</x:v>
      </x:c>
      <x:c r="K96" s="36" t="n">
        <x:v>56</x:v>
      </x:c>
      <x:c r="L96" s="19" t="str">
        <x:v>KZT</x:v>
      </x:c>
      <x:c r="M96" s="22"/>
      <x:c r="N96" s="22"/>
      <x:c r="O96" s="28"/>
      <x:c r="P96" s="22"/>
      <x:c r="Q96" s="22"/>
      <x:c r="R96" s="28"/>
      <x:c r="S96" s="22"/>
      <x:c r="T96" s="35" t="n">
        <x:f>MIN(K96,AT96)</x:f>
        <x:v>55.57907880672291</x:v>
      </x:c>
      <x:c r="U96" s="20" t="str">
        <x:f>IF(J96="Рассчитано",N96*(1-O96/100),"н/д")</x:f>
        <x:v>н/д</x:v>
      </x:c>
      <x:c r="V96" s="20" t="str">
        <x:f>IF(J96="Рассчитано",T96*U96,"н/д")</x:f>
        <x:v>н/д</x:v>
      </x:c>
      <x:c r="W96" s="20" t="str">
        <x:f>IF(J96="Рассчитано",T96*M96,"н/д")</x:f>
        <x:v>н/д</x:v>
      </x:c>
      <x:c r="X96" s="20" t="str">
        <x:f>IF(J96="Рассчитано",V96-W96,"н/д")</x:f>
        <x:v>н/д</x:v>
      </x:c>
      <x:c r="Y96" s="26" t="str">
        <x:f>IF(J96="Рассчитано",IF(V96&gt;0,G96/V96,"н/д"),"н/д")</x:f>
        <x:v>н/д</x:v>
      </x:c>
      <x:c r="Z96" s="20" t="str">
        <x:f>IF(J96="Рассчитано",K96*M96,"н/д")</x:f>
        <x:v>н/д</x:v>
      </x:c>
      <x:c r="AA96" s="20" t="str">
        <x:f>IF(J96="Рассчитано",(K96-T96)*M96,"н/д")</x:f>
        <x:v>н/д</x:v>
      </x:c>
      <x:c r="AB96" s="20" t="str">
        <x:f>IF(AND(J96="Рассчитано",ISNUMBER(S96)),K96*(S96-M96),"н/д")</x:f>
        <x:v>н/д</x:v>
      </x:c>
      <x:c r="AC96" s="20" t="str">
        <x:f>IF(AND(J96="Рассчитано",T96&gt;0,R96&lt;100),(W96+P96+Q96)/(T96*(1-R96/100)),"н/д")</x:f>
        <x:v>н/д</x:v>
      </x:c>
      <x:c r="AD96" s="11" t="str">
        <x:f>IF(ISNUMBER(G96),IF(G96&lt;0,"Убыток",IF(G96=0,"Без прибыли","Прибыль &gt; 0")),"Не оценён")</x:f>
        <x:v>Не оценён</x:v>
      </x:c>
      <x:c r="AE96" s="12" t="str">
        <x:f>IF(J96="Рассчитано","Выручка "&amp;TEXT(V96,"0.00")&amp;" - себестоимость "&amp;TEXT(W96,"0.00")&amp;" - комиссия "&amp;TEXT(V96*R96/100,"0.00")&amp;" - доставка "&amp;TEXT(P96,"0.00")&amp;" - прочие "&amp;TEXT(Q96,"0.00")&amp;" = "&amp;TEXT(G96,"0.00")&amp;" "&amp;L96,"Введите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6" s="23" t="n">
        <x:v>62.57907880672291</x:v>
      </x:c>
      <x:c r="AG96" s="35" t="n">
        <x:v>7</x:v>
      </x:c>
      <x:c r="AH96" s="35" t="n">
        <x:v>0</x:v>
      </x:c>
      <x:c r="AI96" s="29" t="n">
        <x:v>46266</x:v>
      </x:c>
      <x:c r="AJ96" s="35" t="n">
        <x:v>20</x:v>
      </x:c>
      <x:c r="AK96" s="11" t="str">
        <x:v>минимум</x:v>
      </x:c>
      <x:c r="AL96" s="31" t="n">
        <x:v>3.3557540955275225</x:v>
      </x:c>
      <x:c r="AM96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3.4 дн. без поступлений</x:v>
      </x:c>
      <x:c r="AN96" s="12" t="str">
        <x:v>Подтвердить наличие, срок и цену закупки</x:v>
      </x:c>
      <x:c r="AO96" s="12" t="str">
        <x:v>Прогноз 30 дней 62.58; остаток 7; поступления в срок 0; нехватка 56; заказ с учётом MOQ 56 шт. Остаток на начало сентября: требуется актуализация.</x:v>
      </x:c>
      <x:c r="AP96" s="12" t="str">
        <x:v>["category_missing", "daily_stockout_data_missing", "large_orders_detected", "new_order_lead_time_unknown", "reservations_unknown", "stale_stock", "transaction_month_mismatch"]</x:v>
      </x:c>
      <x:c r="AQ96" s="11" t="str">
        <x:v>IEK:130200121_</x:v>
      </x:c>
      <x:c r="AR96" s="23" t="n">
        <x:v>1</x:v>
      </x:c>
      <x:c r="AS96" s="23" t="n">
        <x:f>MAX(0,ROUNDUP(MAX(0,AF96-AG96-AH96)/AR96-0.000000001,0)*AR96)</x:f>
        <x:v>56</x:v>
      </x:c>
      <x:c r="AT96" s="23" t="n">
        <x:v>55.57907880672291</x:v>
      </x:c>
    </x:row>
    <x:row r="97" ht="64" customHeight="1">
      <x:c r="A97" s="10" t="str">
        <x:v>IEK</x:v>
      </x:c>
      <x:c r="B97" s="34" t="str">
        <x:v>130200122_</x:v>
      </x:c>
      <x:c r="C97" s="34" t="str">
        <x:v>YNN10-812-10DP-K07</x:v>
      </x:c>
      <x:c r="D97" s="13" t="str">
        <x:v>Шина "N" нулевая 8х12мм комб с изол "Стойка" ШНИ 10 КС IEK (20)</x:v>
      </x:c>
      <x:c r="E97" s="10" t="str">
        <x:v>шт</x:v>
      </x:c>
      <x:c r="F97" s="37" t="n">
        <x:f>IF(AS97&gt;0,MAX(AS97,AJ97),0)</x:f>
        <x:v>76</x:v>
      </x:c>
      <x:c r="G97" s="21" t="str">
        <x:f>IF(J97="Рассчитано",V97*(1-R97/100)-W97-P97-Q97,"н/д")</x:f>
        <x:v>н/д</x:v>
      </x:c>
      <x:c r="H97" s="13" t="str">
        <x:v>Высокий</x:v>
      </x:c>
      <x:c r="I97" s="13" t="str">
        <x:v>Критический</x:v>
      </x:c>
      <x:c r="J97" s="13" t="str">
        <x:f>IF(L97="","Укажите валюту",IF(NOT(ISNUMBER(K97)),"Укажите объём",IF(K97&lt;=0,"Укажите объём",IF(COUNT(M97:O97)&lt;3,"Нужны цены",IF(COUNT(P97:R97)&lt;3,"Нужны расходы",IF(OR(M97&lt;0,N97&lt;0,O97&lt;0,O97&gt;100,P97&lt;0,Q97&lt;0,R97&lt;0,R97&gt;100),"Проверьте значения","Рассчитано"))))))</x:f>
        <x:v>Нужны цены</x:v>
      </x:c>
      <x:c r="K97" s="36" t="n">
        <x:v>76</x:v>
      </x:c>
      <x:c r="L97" s="19" t="str">
        <x:v>KZT</x:v>
      </x:c>
      <x:c r="M97" s="22"/>
      <x:c r="N97" s="22"/>
      <x:c r="O97" s="28"/>
      <x:c r="P97" s="22"/>
      <x:c r="Q97" s="22"/>
      <x:c r="R97" s="28"/>
      <x:c r="S97" s="22"/>
      <x:c r="T97" s="37" t="n">
        <x:f>MIN(K97,AT97)</x:f>
        <x:v>75.97917940890918</x:v>
      </x:c>
      <x:c r="U97" s="21" t="str">
        <x:f>IF(J97="Рассчитано",N97*(1-O97/100),"н/д")</x:f>
        <x:v>н/д</x:v>
      </x:c>
      <x:c r="V97" s="21" t="str">
        <x:f>IF(J97="Рассчитано",T97*U97,"н/д")</x:f>
        <x:v>н/д</x:v>
      </x:c>
      <x:c r="W97" s="21" t="str">
        <x:f>IF(J97="Рассчитано",T97*M97,"н/д")</x:f>
        <x:v>н/д</x:v>
      </x:c>
      <x:c r="X97" s="21" t="str">
        <x:f>IF(J97="Рассчитано",V97-W97,"н/д")</x:f>
        <x:v>н/д</x:v>
      </x:c>
      <x:c r="Y97" s="27" t="str">
        <x:f>IF(J97="Рассчитано",IF(V97&gt;0,G97/V97,"н/д"),"н/д")</x:f>
        <x:v>н/д</x:v>
      </x:c>
      <x:c r="Z97" s="21" t="str">
        <x:f>IF(J97="Рассчитано",K97*M97,"н/д")</x:f>
        <x:v>н/д</x:v>
      </x:c>
      <x:c r="AA97" s="21" t="str">
        <x:f>IF(J97="Рассчитано",(K97-T97)*M97,"н/д")</x:f>
        <x:v>н/д</x:v>
      </x:c>
      <x:c r="AB97" s="21" t="str">
        <x:f>IF(AND(J97="Рассчитано",ISNUMBER(S97)),K97*(S97-M97),"н/д")</x:f>
        <x:v>н/д</x:v>
      </x:c>
      <x:c r="AC97" s="21" t="str">
        <x:f>IF(AND(J97="Рассчитано",T97&gt;0,R97&lt;100),(W97+P97+Q97)/(T97*(1-R97/100)),"н/д")</x:f>
        <x:v>н/д</x:v>
      </x:c>
      <x:c r="AD97" s="10" t="str">
        <x:f>IF(ISNUMBER(G97),IF(G97&lt;0,"Убыток",IF(G97=0,"Без прибыли","Прибыль &gt; 0")),"Не оценён")</x:f>
        <x:v>Не оценён</x:v>
      </x:c>
      <x:c r="AE97" s="13" t="str">
        <x:f>IF(J97="Рассчитано","Выручка "&amp;TEXT(V97,"0.00")&amp;" - себестоимость "&amp;TEXT(W97,"0.00")&amp;" - комиссия "&amp;TEXT(V97*R97/100,"0.00")&amp;" - доставка "&amp;TEXT(P97,"0.00")&amp;" - прочие "&amp;TEXT(Q97,"0.00")&amp;" = "&amp;TEXT(G97,"0.00")&amp;" "&amp;L97,"Введите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7" s="24" t="n">
        <x:v>213.97917940890918</x:v>
      </x:c>
      <x:c r="AG97" s="37" t="n">
        <x:v>18</x:v>
      </x:c>
      <x:c r="AH97" s="37" t="n">
        <x:v>120</x:v>
      </x:c>
      <x:c r="AI97" s="30" t="n">
        <x:v>46266</x:v>
      </x:c>
      <x:c r="AJ97" s="37" t="n">
        <x:v>20</x:v>
      </x:c>
      <x:c r="AK97" s="10" t="str">
        <x:v>минимум</x:v>
      </x:c>
      <x:c r="AL97" s="32" t="n">
        <x:v>2.523610014262522</x:v>
      </x:c>
      <x:c r="AM97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2.5 дн. без поступлений</x:v>
      </x:c>
      <x:c r="AN97" s="13" t="str">
        <x:v>Подтвердить наличие, срок и цену закупки</x:v>
      </x:c>
      <x:c r="AO97" s="13" t="str">
        <x:v>Прогноз 30 дней 213.98; остаток 18; поступления в срок 120; нехватка 76; заказ с учётом MOQ 76 шт. Остаток на начало сентября: требуется актуализация.</x:v>
      </x:c>
      <x:c r="AP97" s="13" t="str">
        <x:v>["category_missing", "daily_stockout_data_missing", "large_orders_detected", "new_order_lead_time_unknown", "reservations_unknown", "stale_stock", "transaction_month_mismatch"]</x:v>
      </x:c>
      <x:c r="AQ97" s="10" t="str">
        <x:v>IEK:130200122_</x:v>
      </x:c>
      <x:c r="AR97" s="24" t="n">
        <x:v>1</x:v>
      </x:c>
      <x:c r="AS97" s="24" t="n">
        <x:f>MAX(0,ROUNDUP(MAX(0,AF97-AG97-AH97)/AR97-0.000000001,0)*AR97)</x:f>
        <x:v>76</x:v>
      </x:c>
      <x:c r="AT97" s="24" t="n">
        <x:v>75.97917940890918</x:v>
      </x:c>
    </x:row>
    <x:row r="98" ht="64" customHeight="1">
      <x:c r="A98" s="11" t="str">
        <x:v>IEK</x:v>
      </x:c>
      <x:c r="B98" s="33" t="str">
        <x:v>130200125_</x:v>
      </x:c>
      <x:c r="C98" s="33" t="str">
        <x:v>YNN10-69-12P-K07</x:v>
      </x:c>
      <x:c r="D98" s="12" t="str">
        <x:v>Шина "N" нулевая 6х9мм комб с изол "Стойка" ШНИ 12С IEK (20)</x:v>
      </x:c>
      <x:c r="E98" s="11" t="str">
        <x:v>шт</x:v>
      </x:c>
      <x:c r="F98" s="35" t="n">
        <x:f>IF(AS98&gt;0,MAX(AS98,AJ98),0)</x:f>
        <x:v>10</x:v>
      </x:c>
      <x:c r="G98" s="20" t="str">
        <x:f>IF(J98="Рассчитано",V98*(1-R98/100)-W98-P98-Q98,"н/д")</x:f>
        <x:v>н/д</x:v>
      </x:c>
      <x:c r="H98" s="12" t="str">
        <x:v>Высокий</x:v>
      </x:c>
      <x:c r="I98" s="12" t="str">
        <x:v>Критический</x:v>
      </x:c>
      <x:c r="J98" s="12" t="str">
        <x:f>IF(L98="","Укажите валюту",IF(NOT(ISNUMBER(K98)),"Укажите объём",IF(K98&lt;=0,"Укажите объём",IF(COUNT(M98:O98)&lt;3,"Нужны цены",IF(COUNT(P98:R98)&lt;3,"Нужны расходы",IF(OR(M98&lt;0,N98&lt;0,O98&lt;0,O98&gt;100,P98&lt;0,Q98&lt;0,R98&lt;0,R98&gt;100),"Проверьте значения","Рассчитано"))))))</x:f>
        <x:v>Нужны цены</x:v>
      </x:c>
      <x:c r="K98" s="36" t="n">
        <x:v>10</x:v>
      </x:c>
      <x:c r="L98" s="19" t="str">
        <x:v>KZT</x:v>
      </x:c>
      <x:c r="M98" s="22"/>
      <x:c r="N98" s="22"/>
      <x:c r="O98" s="28"/>
      <x:c r="P98" s="22"/>
      <x:c r="Q98" s="22"/>
      <x:c r="R98" s="28"/>
      <x:c r="S98" s="22"/>
      <x:c r="T98" s="35" t="n">
        <x:f>MIN(K98,AT98)</x:f>
        <x:v>2.0375531456621268</x:v>
      </x:c>
      <x:c r="U98" s="20" t="str">
        <x:f>IF(J98="Рассчитано",N98*(1-O98/100),"н/д")</x:f>
        <x:v>н/д</x:v>
      </x:c>
      <x:c r="V98" s="20" t="str">
        <x:f>IF(J98="Рассчитано",T98*U98,"н/д")</x:f>
        <x:v>н/д</x:v>
      </x:c>
      <x:c r="W98" s="20" t="str">
        <x:f>IF(J98="Рассчитано",T98*M98,"н/д")</x:f>
        <x:v>н/д</x:v>
      </x:c>
      <x:c r="X98" s="20" t="str">
        <x:f>IF(J98="Рассчитано",V98-W98,"н/д")</x:f>
        <x:v>н/д</x:v>
      </x:c>
      <x:c r="Y98" s="26" t="str">
        <x:f>IF(J98="Рассчитано",IF(V98&gt;0,G98/V98,"н/д"),"н/д")</x:f>
        <x:v>н/д</x:v>
      </x:c>
      <x:c r="Z98" s="20" t="str">
        <x:f>IF(J98="Рассчитано",K98*M98,"н/д")</x:f>
        <x:v>н/д</x:v>
      </x:c>
      <x:c r="AA98" s="20" t="str">
        <x:f>IF(J98="Рассчитано",(K98-T98)*M98,"н/д")</x:f>
        <x:v>н/д</x:v>
      </x:c>
      <x:c r="AB98" s="20" t="str">
        <x:f>IF(AND(J98="Рассчитано",ISNUMBER(S98)),K98*(S98-M98),"н/д")</x:f>
        <x:v>н/д</x:v>
      </x:c>
      <x:c r="AC98" s="20" t="str">
        <x:f>IF(AND(J98="Рассчитано",T98&gt;0,R98&lt;100),(W98+P98+Q98)/(T98*(1-R98/100)),"н/д")</x:f>
        <x:v>н/д</x:v>
      </x:c>
      <x:c r="AD98" s="11" t="str">
        <x:f>IF(ISNUMBER(G98),IF(G98&lt;0,"Убыток",IF(G98=0,"Без прибыли","Прибыль &gt; 0")),"Не оценён")</x:f>
        <x:v>Не оценён</x:v>
      </x:c>
      <x:c r="AE98" s="12" t="str">
        <x:f>IF(J98="Рассчитано","Выручка "&amp;TEXT(V98,"0.00")&amp;" - себестоимость "&amp;TEXT(W98,"0.00")&amp;" - комиссия "&amp;TEXT(V98*R98/100,"0.00")&amp;" - доставка "&amp;TEXT(P98,"0.00")&amp;" - прочие "&amp;TEXT(Q98,"0.00")&amp;" = "&amp;TEXT(G98,"0.00")&amp;" "&amp;L98,"Введите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8" s="23" t="n">
        <x:v>28.037553145662127</x:v>
      </x:c>
      <x:c r="AG98" s="35" t="n">
        <x:v>6</x:v>
      </x:c>
      <x:c r="AH98" s="35" t="n">
        <x:v>20</x:v>
      </x:c>
      <x:c r="AI98" s="29" t="n">
        <x:v>46266</x:v>
      </x:c>
      <x:c r="AJ98" s="35" t="n">
        <x:v>10</x:v>
      </x:c>
      <x:c r="AK98" s="11" t="str">
        <x:v>минимум</x:v>
      </x:c>
      <x:c r="AL98" s="31" t="n">
        <x:v>6.419961080942221</x:v>
      </x:c>
      <x:c r="AM98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6.4 дн. без поступлений</x:v>
      </x:c>
      <x:c r="AN98" s="12" t="str">
        <x:v>Подтвердить наличие, срок и цену закупки</x:v>
      </x:c>
      <x:c r="AO98" s="12" t="str">
        <x:v>Прогноз 30 дней 28.04; остаток 6; поступления в срок 20; нехватка 3; заказ с учётом MOQ 10 шт. Остаток на начало сентября: требуется актуализация.</x:v>
      </x:c>
      <x:c r="AP98" s="12" t="str">
        <x:v>["category_missing", "daily_stockout_data_missing", "large_orders_detected", "new_order_lead_time_unknown", "reservations_unknown", "stale_stock", "transaction_month_mismatch"]</x:v>
      </x:c>
      <x:c r="AQ98" s="11" t="str">
        <x:v>IEK:130200125_</x:v>
      </x:c>
      <x:c r="AR98" s="23" t="n">
        <x:v>1</x:v>
      </x:c>
      <x:c r="AS98" s="23" t="n">
        <x:f>MAX(0,ROUNDUP(MAX(0,AF98-AG98-AH98)/AR98-0.000000001,0)*AR98)</x:f>
        <x:v>3</x:v>
      </x:c>
      <x:c r="AT98" s="23" t="n">
        <x:v>2.0375531456621268</x:v>
      </x:c>
    </x:row>
    <x:row r="99" ht="64" customHeight="1">
      <x:c r="A99" s="10" t="str">
        <x:v>IEK</x:v>
      </x:c>
      <x:c r="B99" s="34" t="str">
        <x:v>130200154_</x:v>
      </x:c>
      <x:c r="C99" s="34" t="str">
        <x:v>YNS21-3-063-22-12</x:v>
      </x:c>
      <x:c r="D99" s="13" t="str">
        <x:v>Шина соединительная PIN (штырь) 3ф  63А (22см) IEK (10)</x:v>
      </x:c>
      <x:c r="E99" s="10" t="str">
        <x:v>шт</x:v>
      </x:c>
      <x:c r="F99" s="37" t="n">
        <x:f>IF(AS99&gt;0,MAX(AS99,AJ99),0)</x:f>
        <x:v>10</x:v>
      </x:c>
      <x:c r="G99" s="21" t="str">
        <x:f>IF(J99="Рассчитано",V99*(1-R99/100)-W99-P99-Q99,"н/д")</x:f>
        <x:v>н/д</x:v>
      </x:c>
      <x:c r="H99" s="13" t="str">
        <x:v>Высокий</x:v>
      </x:c>
      <x:c r="I99" s="13" t="str">
        <x:v>Средний</x:v>
      </x:c>
      <x:c r="J99" s="13" t="str">
        <x:f>IF(L99="","Укажите валюту",IF(NOT(ISNUMBER(K99)),"Укажите объём",IF(K99&lt;=0,"Укажите объём",IF(COUNT(M99:O99)&lt;3,"Нужны цены",IF(COUNT(P99:R99)&lt;3,"Нужны расходы",IF(OR(M99&lt;0,N99&lt;0,O99&lt;0,O99&gt;100,P99&lt;0,Q99&lt;0,R99&lt;0,R99&gt;100),"Проверьте значения","Рассчитано"))))))</x:f>
        <x:v>Нужны цены</x:v>
      </x:c>
      <x:c r="K99" s="36" t="n">
        <x:v>10</x:v>
      </x:c>
      <x:c r="L99" s="19" t="str">
        <x:v>KZT</x:v>
      </x:c>
      <x:c r="M99" s="22"/>
      <x:c r="N99" s="22"/>
      <x:c r="O99" s="28"/>
      <x:c r="P99" s="22"/>
      <x:c r="Q99" s="22"/>
      <x:c r="R99" s="28"/>
      <x:c r="S99" s="22"/>
      <x:c r="T99" s="37" t="n">
        <x:f>MIN(K99,AT99)</x:f>
        <x:v>9.265814383445118</x:v>
      </x:c>
      <x:c r="U99" s="21" t="str">
        <x:f>IF(J99="Рассчитано",N99*(1-O99/100),"н/д")</x:f>
        <x:v>н/д</x:v>
      </x:c>
      <x:c r="V99" s="21" t="str">
        <x:f>IF(J99="Рассчитано",T99*U99,"н/д")</x:f>
        <x:v>н/д</x:v>
      </x:c>
      <x:c r="W99" s="21" t="str">
        <x:f>IF(J99="Рассчитано",T99*M99,"н/д")</x:f>
        <x:v>н/д</x:v>
      </x:c>
      <x:c r="X99" s="21" t="str">
        <x:f>IF(J99="Рассчитано",V99-W99,"н/д")</x:f>
        <x:v>н/д</x:v>
      </x:c>
      <x:c r="Y99" s="27" t="str">
        <x:f>IF(J99="Рассчитано",IF(V99&gt;0,G99/V99,"н/д"),"н/д")</x:f>
        <x:v>н/д</x:v>
      </x:c>
      <x:c r="Z99" s="21" t="str">
        <x:f>IF(J99="Рассчитано",K99*M99,"н/д")</x:f>
        <x:v>н/д</x:v>
      </x:c>
      <x:c r="AA99" s="21" t="str">
        <x:f>IF(J99="Рассчитано",(K99-T99)*M99,"н/д")</x:f>
        <x:v>н/д</x:v>
      </x:c>
      <x:c r="AB99" s="21" t="str">
        <x:f>IF(AND(J99="Рассчитано",ISNUMBER(S99)),K99*(S99-M99),"н/д")</x:f>
        <x:v>н/д</x:v>
      </x:c>
      <x:c r="AC99" s="21" t="str">
        <x:f>IF(AND(J99="Рассчитано",T99&gt;0,R99&lt;100),(W99+P99+Q99)/(T99*(1-R99/100)),"н/д")</x:f>
        <x:v>н/д</x:v>
      </x:c>
      <x:c r="AD99" s="10" t="str">
        <x:f>IF(ISNUMBER(G99),IF(G99&lt;0,"Убыток",IF(G99=0,"Без прибыли","Прибыль &gt; 0")),"Не оценён")</x:f>
        <x:v>Не оценён</x:v>
      </x:c>
      <x:c r="AE99" s="13" t="str">
        <x:f>IF(J99="Рассчитано","Выручка "&amp;TEXT(V99,"0.00")&amp;" - себестоимость "&amp;TEXT(W99,"0.00")&amp;" - комиссия "&amp;TEXT(V99*R99/100,"0.00")&amp;" - доставка "&amp;TEXT(P99,"0.00")&amp;" - прочие "&amp;TEXT(Q99,"0.00")&amp;" = "&amp;TEXT(G99,"0.00")&amp;" "&amp;L99,"Введите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99" s="24" t="n">
        <x:v>24.265814383445118</x:v>
      </x:c>
      <x:c r="AG99" s="37" t="n">
        <x:v>15</x:v>
      </x:c>
      <x:c r="AH99" s="37" t="n">
        <x:v>0</x:v>
      </x:c>
      <x:c r="AI99" s="30" t="n">
        <x:v>46266</x:v>
      </x:c>
      <x:c r="AJ99" s="37" t="n">
        <x:v>10</x:v>
      </x:c>
      <x:c r="AK99" s="10" t="str">
        <x:v>минимум</x:v>
      </x:c>
      <x:c r="AL99" s="32" t="n">
        <x:v>18.544607359520718</x:v>
      </x:c>
      <x:c r="AM99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18.5 дн. без поступлений</x:v>
      </x:c>
      <x:c r="AN99" s="13" t="str">
        <x:v>Подтвердить наличие, срок и цену закупки</x:v>
      </x:c>
      <x:c r="AO99" s="13" t="str">
        <x:v>Прогноз 30 дней 24.27; остаток 15; поступления в срок 0; нехватка 10; заказ с учётом MOQ 10 шт. Остаток на начало сентября: требуется актуализация.</x:v>
      </x:c>
      <x:c r="AP99" s="13" t="str">
        <x:v>["category_missing", "daily_stockout_data_missing", "large_orders_detected", "new_order_lead_time_unknown", "reservations_unknown", "stale_stock", "transaction_month_mismatch"]</x:v>
      </x:c>
      <x:c r="AQ99" s="10" t="str">
        <x:v>IEK:130200154_</x:v>
      </x:c>
      <x:c r="AR99" s="24" t="n">
        <x:v>1</x:v>
      </x:c>
      <x:c r="AS99" s="24" t="n">
        <x:f>MAX(0,ROUNDUP(MAX(0,AF99-AG99-AH99)/AR99-0.000000001,0)*AR99)</x:f>
        <x:v>10</x:v>
      </x:c>
      <x:c r="AT99" s="24" t="n">
        <x:v>9.265814383445118</x:v>
      </x:c>
    </x:row>
    <x:row r="100" ht="64" customHeight="1">
      <x:c r="A100" s="11" t="str">
        <x:v>IEK</x:v>
      </x:c>
      <x:c r="B100" s="33" t="str">
        <x:v>130200300_</x:v>
      </x:c>
      <x:c r="C100" s="33" t="str">
        <x:v>LDD11-026-2000-001</x:v>
      </x:c>
      <x:c r="D100" s="12" t="str">
        <x:v>Датчик движения ДД 026 белый,до 2000 Вт,дальность 6 м IP20 IEK  (50)</x:v>
      </x:c>
      <x:c r="E100" s="11" t="str">
        <x:v>шт</x:v>
      </x:c>
      <x:c r="F100" s="35" t="n">
        <x:f>IF(AS100&gt;0,MAX(AS100,AJ100),0)</x:f>
        <x:v>8</x:v>
      </x:c>
      <x:c r="G100" s="20" t="str">
        <x:f>IF(J100="Рассчитано",V100*(1-R100/100)-W100-P100-Q100,"н/д")</x:f>
        <x:v>н/д</x:v>
      </x:c>
      <x:c r="H100" s="12" t="str">
        <x:v>Высокий</x:v>
      </x:c>
      <x:c r="I100" s="12" t="str">
        <x:v>Критический</x:v>
      </x:c>
      <x:c r="J100" s="12" t="str">
        <x:f>IF(L100="","Укажите валюту",IF(NOT(ISNUMBER(K100)),"Укажите объём",IF(K100&lt;=0,"Укажите объём",IF(COUNT(M100:O100)&lt;3,"Нужны цены",IF(COUNT(P100:R100)&lt;3,"Нужны расходы",IF(OR(M100&lt;0,N100&lt;0,O100&lt;0,O100&gt;100,P100&lt;0,Q100&lt;0,R100&lt;0,R100&gt;100),"Проверьте значения","Рассчитано"))))))</x:f>
        <x:v>Нужны цены</x:v>
      </x:c>
      <x:c r="K100" s="36" t="n">
        <x:v>8</x:v>
      </x:c>
      <x:c r="L100" s="19" t="str">
        <x:v>KZT</x:v>
      </x:c>
      <x:c r="M100" s="22"/>
      <x:c r="N100" s="22"/>
      <x:c r="O100" s="28"/>
      <x:c r="P100" s="22"/>
      <x:c r="Q100" s="22"/>
      <x:c r="R100" s="28"/>
      <x:c r="S100" s="22"/>
      <x:c r="T100" s="35" t="n">
        <x:f>MIN(K100,AT100)</x:f>
        <x:v>7.548185723441969</x:v>
      </x:c>
      <x:c r="U100" s="20" t="str">
        <x:f>IF(J100="Рассчитано",N100*(1-O100/100),"н/д")</x:f>
        <x:v>н/д</x:v>
      </x:c>
      <x:c r="V100" s="20" t="str">
        <x:f>IF(J100="Рассчитано",T100*U100,"н/д")</x:f>
        <x:v>н/д</x:v>
      </x:c>
      <x:c r="W100" s="20" t="str">
        <x:f>IF(J100="Рассчитано",T100*M100,"н/д")</x:f>
        <x:v>н/д</x:v>
      </x:c>
      <x:c r="X100" s="20" t="str">
        <x:f>IF(J100="Рассчитано",V100-W100,"н/д")</x:f>
        <x:v>н/д</x:v>
      </x:c>
      <x:c r="Y100" s="26" t="str">
        <x:f>IF(J100="Рассчитано",IF(V100&gt;0,G100/V100,"н/д"),"н/д")</x:f>
        <x:v>н/д</x:v>
      </x:c>
      <x:c r="Z100" s="20" t="str">
        <x:f>IF(J100="Рассчитано",K100*M100,"н/д")</x:f>
        <x:v>н/д</x:v>
      </x:c>
      <x:c r="AA100" s="20" t="str">
        <x:f>IF(J100="Рассчитано",(K100-T100)*M100,"н/д")</x:f>
        <x:v>н/д</x:v>
      </x:c>
      <x:c r="AB100" s="20" t="str">
        <x:f>IF(AND(J100="Рассчитано",ISNUMBER(S100)),K100*(S100-M100),"н/д")</x:f>
        <x:v>н/д</x:v>
      </x:c>
      <x:c r="AC100" s="20" t="str">
        <x:f>IF(AND(J100="Рассчитано",T100&gt;0,R100&lt;100),(W100+P100+Q100)/(T100*(1-R100/100)),"н/д")</x:f>
        <x:v>н/д</x:v>
      </x:c>
      <x:c r="AD100" s="11" t="str">
        <x:f>IF(ISNUMBER(G100),IF(G100&lt;0,"Убыток",IF(G100=0,"Без прибыли","Прибыль &gt; 0")),"Не оценён")</x:f>
        <x:v>Не оценён</x:v>
      </x:c>
      <x:c r="AE100" s="12" t="str">
        <x:f>IF(J100="Рассчитано","Выручка "&amp;TEXT(V100,"0.00")&amp;" - себестоимость "&amp;TEXT(W100,"0.00")&amp;" - комиссия "&amp;TEXT(V100*R100/100,"0.00")&amp;" - доставка "&amp;TEXT(P100,"0.00")&amp;" - прочие "&amp;TEXT(Q100,"0.00")&amp;" = "&amp;TEXT(G100,"0.00")&amp;" "&amp;L100,"Введите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0" s="23" t="n">
        <x:v>7.548185723441969</x:v>
      </x:c>
      <x:c r="AG100" s="35" t="n">
        <x:v>0</x:v>
      </x:c>
      <x:c r="AH100" s="35" t="n">
        <x:v>0</x:v>
      </x:c>
      <x:c r="AI100" s="29" t="n">
        <x:v>46266</x:v>
      </x:c>
      <x:c r="AJ100" s="35" t="n">
        <x:v>1</x:v>
      </x:c>
      <x:c r="AK100" s="11" t="str">
        <x:v>минимум</x:v>
      </x:c>
      <x:c r="AL100" s="31" t="n">
        <x:v>0</x:v>
      </x:c>
      <x:c r="AM10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00" s="12" t="str">
        <x:v>Подтвердить наличие, срок и цену закупки</x:v>
      </x:c>
      <x:c r="AO100" s="12" t="str">
        <x:v>Прогноз 30 дней 7.55; остаток 0; поступления в срок 0; нехватка 8; заказ с учётом MOQ 8 шт. Остаток на начало сентября: требуется актуализация.</x:v>
      </x:c>
      <x:c r="AP100" s="12" t="str">
        <x:v>["blank_stock_assumed_zero", "category_missing", "daily_stockout_data_missing", "new_order_lead_time_unknown", "reservations_unknown", "stale_stock", "stockout_proxy_used"]</x:v>
      </x:c>
      <x:c r="AQ100" s="11" t="str">
        <x:v>IEK:130200300_</x:v>
      </x:c>
      <x:c r="AR100" s="23" t="n">
        <x:v>1</x:v>
      </x:c>
      <x:c r="AS100" s="23" t="n">
        <x:f>MAX(0,ROUNDUP(MAX(0,AF100-AG100-AH100)/AR100-0.000000001,0)*AR100)</x:f>
        <x:v>8</x:v>
      </x:c>
      <x:c r="AT100" s="23" t="n">
        <x:v>7.548185723441969</x:v>
      </x:c>
    </x:row>
    <x:row r="101" ht="64" customHeight="1">
      <x:c r="A101" s="10" t="str">
        <x:v>IEK</x:v>
      </x:c>
      <x:c r="B101" s="34" t="str">
        <x:v>130200302_</x:v>
      </x:c>
      <x:c r="C101" s="34" t="str">
        <x:v>LDD11-401-800-001</x:v>
      </x:c>
      <x:c r="D101" s="13" t="str">
        <x:v>Датчик движения ДД 401 белый,до 800 Вт,дальность 8 м IP20 IEK (50)</x:v>
      </x:c>
      <x:c r="E101" s="10" t="str">
        <x:v>шт</x:v>
      </x:c>
      <x:c r="F101" s="37" t="n">
        <x:f>IF(AS101&gt;0,MAX(AS101,AJ101),0)</x:f>
        <x:v>2</x:v>
      </x:c>
      <x:c r="G101" s="21" t="str">
        <x:f>IF(J101="Рассчитано",V101*(1-R101/100)-W101-P101-Q101,"н/д")</x:f>
        <x:v>н/д</x:v>
      </x:c>
      <x:c r="H101" s="13" t="str">
        <x:v>Высокий</x:v>
      </x:c>
      <x:c r="I101" s="13" t="str">
        <x:v>Критический</x:v>
      </x:c>
      <x:c r="J101" s="13" t="str">
        <x:f>IF(L101="","Укажите валюту",IF(NOT(ISNUMBER(K101)),"Укажите объём",IF(K101&lt;=0,"Укажите объём",IF(COUNT(M101:O101)&lt;3,"Нужны цены",IF(COUNT(P101:R101)&lt;3,"Нужны расходы",IF(OR(M101&lt;0,N101&lt;0,O101&lt;0,O101&gt;100,P101&lt;0,Q101&lt;0,R101&lt;0,R101&gt;100),"Проверьте значения","Рассчитано"))))))</x:f>
        <x:v>Нужны цены</x:v>
      </x:c>
      <x:c r="K101" s="36" t="n">
        <x:v>2</x:v>
      </x:c>
      <x:c r="L101" s="19" t="str">
        <x:v>KZT</x:v>
      </x:c>
      <x:c r="M101" s="22"/>
      <x:c r="N101" s="22"/>
      <x:c r="O101" s="28"/>
      <x:c r="P101" s="22"/>
      <x:c r="Q101" s="22"/>
      <x:c r="R101" s="28"/>
      <x:c r="S101" s="22"/>
      <x:c r="T101" s="37" t="n">
        <x:f>MIN(K101,AT101)</x:f>
        <x:v>1.318194728330374</x:v>
      </x:c>
      <x:c r="U101" s="21" t="str">
        <x:f>IF(J101="Рассчитано",N101*(1-O101/100),"н/д")</x:f>
        <x:v>н/д</x:v>
      </x:c>
      <x:c r="V101" s="21" t="str">
        <x:f>IF(J101="Рассчитано",T101*U101,"н/д")</x:f>
        <x:v>н/д</x:v>
      </x:c>
      <x:c r="W101" s="21" t="str">
        <x:f>IF(J101="Рассчитано",T101*M101,"н/д")</x:f>
        <x:v>н/д</x:v>
      </x:c>
      <x:c r="X101" s="21" t="str">
        <x:f>IF(J101="Рассчитано",V101-W101,"н/д")</x:f>
        <x:v>н/д</x:v>
      </x:c>
      <x:c r="Y101" s="27" t="str">
        <x:f>IF(J101="Рассчитано",IF(V101&gt;0,G101/V101,"н/д"),"н/д")</x:f>
        <x:v>н/д</x:v>
      </x:c>
      <x:c r="Z101" s="21" t="str">
        <x:f>IF(J101="Рассчитано",K101*M101,"н/д")</x:f>
        <x:v>н/д</x:v>
      </x:c>
      <x:c r="AA101" s="21" t="str">
        <x:f>IF(J101="Рассчитано",(K101-T101)*M101,"н/д")</x:f>
        <x:v>н/д</x:v>
      </x:c>
      <x:c r="AB101" s="21" t="str">
        <x:f>IF(AND(J101="Рассчитано",ISNUMBER(S101)),K101*(S101-M101),"н/д")</x:f>
        <x:v>н/д</x:v>
      </x:c>
      <x:c r="AC101" s="21" t="str">
        <x:f>IF(AND(J101="Рассчитано",T101&gt;0,R101&lt;100),(W101+P101+Q101)/(T101*(1-R101/100)),"н/д")</x:f>
        <x:v>н/д</x:v>
      </x:c>
      <x:c r="AD101" s="10" t="str">
        <x:f>IF(ISNUMBER(G101),IF(G101&lt;0,"Убыток",IF(G101=0,"Без прибыли","Прибыль &gt; 0")),"Не оценён")</x:f>
        <x:v>Не оценён</x:v>
      </x:c>
      <x:c r="AE101" s="13" t="str">
        <x:f>IF(J101="Рассчитано","Выручка "&amp;TEXT(V101,"0.00")&amp;" - себестоимость "&amp;TEXT(W101,"0.00")&amp;" - комиссия "&amp;TEXT(V101*R101/100,"0.00")&amp;" - доставка "&amp;TEXT(P101,"0.00")&amp;" - прочие "&amp;TEXT(Q101,"0.00")&amp;" = "&amp;TEXT(G101,"0.00")&amp;" "&amp;L101,"Введите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1" s="24" t="n">
        <x:v>1.318194728330374</x:v>
      </x:c>
      <x:c r="AG101" s="37" t="n">
        <x:v>0</x:v>
      </x:c>
      <x:c r="AH101" s="37" t="n">
        <x:v>0</x:v>
      </x:c>
      <x:c r="AI101" s="30" t="n">
        <x:v>46266</x:v>
      </x:c>
      <x:c r="AJ101" s="37" t="n">
        <x:v>1</x:v>
      </x:c>
      <x:c r="AK101" s="10" t="str">
        <x:v>минимум</x:v>
      </x:c>
      <x:c r="AL101" s="32" t="n">
        <x:v>0</x:v>
      </x:c>
      <x:c r="AM101" s="13" t="str">
        <x:v>Остаток на начало сентября; Резервы неизвестны; Нет ежедневных данных доступности. Нет запаса</x:v>
      </x:c>
      <x:c r="AN101" s="13" t="str">
        <x:v>Подтвердить наличие, срок и цену закупки</x:v>
      </x:c>
      <x:c r="AO101" s="13" t="str">
        <x:v>Прогноз 30 дней 1.32; остаток 0; поступления в срок 0; нехватка 2; заказ с учётом MOQ 2 шт. Остаток на начало сентября: требуется актуализация.</x:v>
      </x:c>
      <x:c r="AP101" s="13" t="str">
        <x:v>["blank_stock_assumed_zero", "category_missing", "daily_stockout_data_missing", "new_order_lead_time_unknown", "reservations_unknown", "stale_stock"]</x:v>
      </x:c>
      <x:c r="AQ101" s="10" t="str">
        <x:v>IEK:130200302_</x:v>
      </x:c>
      <x:c r="AR101" s="24" t="n">
        <x:v>1</x:v>
      </x:c>
      <x:c r="AS101" s="24" t="n">
        <x:f>MAX(0,ROUNDUP(MAX(0,AF101-AG101-AH101)/AR101-0.000000001,0)*AR101)</x:f>
        <x:v>2</x:v>
      </x:c>
      <x:c r="AT101" s="24" t="n">
        <x:v>1.318194728330374</x:v>
      </x:c>
    </x:row>
    <x:row r="102" ht="64" customHeight="1">
      <x:c r="A102" s="11" t="str">
        <x:v>IEK</x:v>
      </x:c>
      <x:c r="B102" s="33" t="str">
        <x:v>130200420_</x:v>
      </x:c>
      <x:c r="C102" s="33" t="str">
        <x:v>A2L5-LN10-K4-160</x:v>
      </x:c>
      <x:c r="D102" s="12" t="str">
        <x:v>Тонкогубцы 160мм K4 ARMA2L 5 IEK (1)</x:v>
      </x:c>
      <x:c r="E102" s="11" t="str">
        <x:v>шт</x:v>
      </x:c>
      <x:c r="F102" s="35" t="n">
        <x:f>IF(AS102&gt;0,MAX(AS102,AJ102),0)</x:f>
        <x:v>1</x:v>
      </x:c>
      <x:c r="G102" s="20" t="str">
        <x:f>IF(J102="Рассчитано",V102*(1-R102/100)-W102-P102-Q102,"н/д")</x:f>
        <x:v>н/д</x:v>
      </x:c>
      <x:c r="H102" s="12" t="str">
        <x:v>Высокий</x:v>
      </x:c>
      <x:c r="I102" s="12" t="str">
        <x:v>Средний</x:v>
      </x:c>
      <x:c r="J102" s="12" t="str">
        <x:f>IF(L102="","Укажите валюту",IF(NOT(ISNUMBER(K102)),"Укажите объём",IF(K102&lt;=0,"Укажите объём",IF(COUNT(M102:O102)&lt;3,"Нужны цены",IF(COUNT(P102:R102)&lt;3,"Нужны расходы",IF(OR(M102&lt;0,N102&lt;0,O102&lt;0,O102&gt;100,P102&lt;0,Q102&lt;0,R102&lt;0,R102&gt;100),"Проверьте значения","Рассчитано"))))))</x:f>
        <x:v>Нужны цены</x:v>
      </x:c>
      <x:c r="K102" s="36" t="n">
        <x:v>1</x:v>
      </x:c>
      <x:c r="L102" s="19" t="str">
        <x:v>KZT</x:v>
      </x:c>
      <x:c r="M102" s="22"/>
      <x:c r="N102" s="22"/>
      <x:c r="O102" s="28"/>
      <x:c r="P102" s="22"/>
      <x:c r="Q102" s="22"/>
      <x:c r="R102" s="28"/>
      <x:c r="S102" s="22"/>
      <x:c r="T102" s="35" t="n">
        <x:f>MIN(K102,AT102)</x:f>
        <x:v>0.5019105184235022</x:v>
      </x:c>
      <x:c r="U102" s="20" t="str">
        <x:f>IF(J102="Рассчитано",N102*(1-O102/100),"н/д")</x:f>
        <x:v>н/д</x:v>
      </x:c>
      <x:c r="V102" s="20" t="str">
        <x:f>IF(J102="Рассчитано",T102*U102,"н/д")</x:f>
        <x:v>н/д</x:v>
      </x:c>
      <x:c r="W102" s="20" t="str">
        <x:f>IF(J102="Рассчитано",T102*M102,"н/д")</x:f>
        <x:v>н/д</x:v>
      </x:c>
      <x:c r="X102" s="20" t="str">
        <x:f>IF(J102="Рассчитано",V102-W102,"н/д")</x:f>
        <x:v>н/д</x:v>
      </x:c>
      <x:c r="Y102" s="26" t="str">
        <x:f>IF(J102="Рассчитано",IF(V102&gt;0,G102/V102,"н/д"),"н/д")</x:f>
        <x:v>н/д</x:v>
      </x:c>
      <x:c r="Z102" s="20" t="str">
        <x:f>IF(J102="Рассчитано",K102*M102,"н/д")</x:f>
        <x:v>н/д</x:v>
      </x:c>
      <x:c r="AA102" s="20" t="str">
        <x:f>IF(J102="Рассчитано",(K102-T102)*M102,"н/д")</x:f>
        <x:v>н/д</x:v>
      </x:c>
      <x:c r="AB102" s="20" t="str">
        <x:f>IF(AND(J102="Рассчитано",ISNUMBER(S102)),K102*(S102-M102),"н/д")</x:f>
        <x:v>н/д</x:v>
      </x:c>
      <x:c r="AC102" s="20" t="str">
        <x:f>IF(AND(J102="Рассчитано",T102&gt;0,R102&lt;100),(W102+P102+Q102)/(T102*(1-R102/100)),"н/д")</x:f>
        <x:v>н/д</x:v>
      </x:c>
      <x:c r="AD102" s="11" t="str">
        <x:f>IF(ISNUMBER(G102),IF(G102&lt;0,"Убыток",IF(G102=0,"Без прибыли","Прибыль &gt; 0")),"Не оценён")</x:f>
        <x:v>Не оценён</x:v>
      </x:c>
      <x:c r="AE102" s="12" t="str">
        <x:f>IF(J102="Рассчитано","Выручка "&amp;TEXT(V102,"0.00")&amp;" - себестоимость "&amp;TEXT(W102,"0.00")&amp;" - комиссия "&amp;TEXT(V102*R102/100,"0.00")&amp;" - доставка "&amp;TEXT(P102,"0.00")&amp;" - прочие "&amp;TEXT(Q102,"0.00")&amp;" = "&amp;TEXT(G102,"0.00")&amp;" "&amp;L102,"Введите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2" s="23" t="n">
        <x:v>1.5019105184235022</x:v>
      </x:c>
      <x:c r="AG102" s="35" t="n">
        <x:v>1</x:v>
      </x:c>
      <x:c r="AH102" s="35" t="n">
        <x:v>0</x:v>
      </x:c>
      <x:c r="AI102" s="29" t="n">
        <x:v>46266</x:v>
      </x:c>
      <x:c r="AJ102" s="35" t="n">
        <x:v>1</x:v>
      </x:c>
      <x:c r="AK102" s="11" t="str">
        <x:v>минимум</x:v>
      </x:c>
      <x:c r="AL102" s="31" t="n">
        <x:v>19.97455882490912</x:v>
      </x:c>
      <x:c r="AM102" s="12" t="str">
        <x:v>Остаток на начало сентября; Резервы неизвестны; Нет ежедневных данных доступности. Запаса примерно на 20.0 дн. без поступлений</x:v>
      </x:c>
      <x:c r="AN102" s="12" t="str">
        <x:v>Подтвердить наличие, срок и цену закупки</x:v>
      </x:c>
      <x:c r="AO102" s="12" t="str">
        <x:v>Прогноз 30 дней 1.50; остаток 1; поступления в срок 0; нехватка 1; заказ с учётом MOQ 1 шт. Остаток на начало сентября: требуется актуализация.</x:v>
      </x:c>
      <x:c r="AP102" s="12" t="str">
        <x:v>["category_missing", "daily_stockout_data_missing", "new_order_lead_time_unknown", "reservations_unknown", "stale_stock"]</x:v>
      </x:c>
      <x:c r="AQ102" s="11" t="str">
        <x:v>IEK:130200420_</x:v>
      </x:c>
      <x:c r="AR102" s="23" t="n">
        <x:v>1</x:v>
      </x:c>
      <x:c r="AS102" s="23" t="n">
        <x:f>MAX(0,ROUNDUP(MAX(0,AF102-AG102-AH102)/AR102-0.000000001,0)*AR102)</x:f>
        <x:v>1</x:v>
      </x:c>
      <x:c r="AT102" s="23" t="n">
        <x:v>0.5019105184235022</x:v>
      </x:c>
    </x:row>
    <x:row r="103" ht="64" customHeight="1">
      <x:c r="A103" s="10" t="str">
        <x:v>IEK</x:v>
      </x:c>
      <x:c r="B103" s="34" t="str">
        <x:v>130200421_</x:v>
      </x:c>
      <x:c r="C103" s="34" t="str">
        <x:v>A2L5-LN10-K4-200</x:v>
      </x:c>
      <x:c r="D103" s="13" t="str">
        <x:v>Тонкогубцы 200мм K4 ARMA2L 5 IEK (1)</x:v>
      </x:c>
      <x:c r="E103" s="10" t="str">
        <x:v>шт</x:v>
      </x:c>
      <x:c r="F103" s="37" t="n">
        <x:f>IF(AS103&gt;0,MAX(AS103,AJ103),0)</x:f>
        <x:v>2</x:v>
      </x:c>
      <x:c r="G103" s="21" t="str">
        <x:f>IF(J103="Рассчитано",V103*(1-R103/100)-W103-P103-Q103,"н/д")</x:f>
        <x:v>н/д</x:v>
      </x:c>
      <x:c r="H103" s="13" t="str">
        <x:v>Высокий</x:v>
      </x:c>
      <x:c r="I103" s="13" t="str">
        <x:v>Критический</x:v>
      </x:c>
      <x:c r="J103" s="13" t="str">
        <x:f>IF(L103="","Укажите валюту",IF(NOT(ISNUMBER(K103)),"Укажите объём",IF(K103&lt;=0,"Укажите объём",IF(COUNT(M103:O103)&lt;3,"Нужны цены",IF(COUNT(P103:R103)&lt;3,"Нужны расходы",IF(OR(M103&lt;0,N103&lt;0,O103&lt;0,O103&gt;100,P103&lt;0,Q103&lt;0,R103&lt;0,R103&gt;100),"Проверьте значения","Рассчитано"))))))</x:f>
        <x:v>Нужны цены</x:v>
      </x:c>
      <x:c r="K103" s="36" t="n">
        <x:v>2</x:v>
      </x:c>
      <x:c r="L103" s="19" t="str">
        <x:v>KZT</x:v>
      </x:c>
      <x:c r="M103" s="22"/>
      <x:c r="N103" s="22"/>
      <x:c r="O103" s="28"/>
      <x:c r="P103" s="22"/>
      <x:c r="Q103" s="22"/>
      <x:c r="R103" s="28"/>
      <x:c r="S103" s="22"/>
      <x:c r="T103" s="37" t="n">
        <x:f>MIN(K103,AT103)</x:f>
        <x:v>1.7154980454552282</x:v>
      </x:c>
      <x:c r="U103" s="21" t="str">
        <x:f>IF(J103="Рассчитано",N103*(1-O103/100),"н/д")</x:f>
        <x:v>н/д</x:v>
      </x:c>
      <x:c r="V103" s="21" t="str">
        <x:f>IF(J103="Рассчитано",T103*U103,"н/д")</x:f>
        <x:v>н/д</x:v>
      </x:c>
      <x:c r="W103" s="21" t="str">
        <x:f>IF(J103="Рассчитано",T103*M103,"н/д")</x:f>
        <x:v>н/д</x:v>
      </x:c>
      <x:c r="X103" s="21" t="str">
        <x:f>IF(J103="Рассчитано",V103-W103,"н/д")</x:f>
        <x:v>н/д</x:v>
      </x:c>
      <x:c r="Y103" s="27" t="str">
        <x:f>IF(J103="Рассчитано",IF(V103&gt;0,G103/V103,"н/д"),"н/д")</x:f>
        <x:v>н/д</x:v>
      </x:c>
      <x:c r="Z103" s="21" t="str">
        <x:f>IF(J103="Рассчитано",K103*M103,"н/д")</x:f>
        <x:v>н/д</x:v>
      </x:c>
      <x:c r="AA103" s="21" t="str">
        <x:f>IF(J103="Рассчитано",(K103-T103)*M103,"н/д")</x:f>
        <x:v>н/д</x:v>
      </x:c>
      <x:c r="AB103" s="21" t="str">
        <x:f>IF(AND(J103="Рассчитано",ISNUMBER(S103)),K103*(S103-M103),"н/д")</x:f>
        <x:v>н/д</x:v>
      </x:c>
      <x:c r="AC103" s="21" t="str">
        <x:f>IF(AND(J103="Рассчитано",T103&gt;0,R103&lt;100),(W103+P103+Q103)/(T103*(1-R103/100)),"н/д")</x:f>
        <x:v>н/д</x:v>
      </x:c>
      <x:c r="AD103" s="10" t="str">
        <x:f>IF(ISNUMBER(G103),IF(G103&lt;0,"Убыток",IF(G103=0,"Без прибыли","Прибыль &gt; 0")),"Не оценён")</x:f>
        <x:v>Не оценён</x:v>
      </x:c>
      <x:c r="AE103" s="13" t="str">
        <x:f>IF(J103="Рассчитано","Выручка "&amp;TEXT(V103,"0.00")&amp;" - себестоимость "&amp;TEXT(W103,"0.00")&amp;" - комиссия "&amp;TEXT(V103*R103/100,"0.00")&amp;" - доставка "&amp;TEXT(P103,"0.00")&amp;" - прочие "&amp;TEXT(Q103,"0.00")&amp;" = "&amp;TEXT(G103,"0.00")&amp;" "&amp;L103,"Введите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3" s="24" t="n">
        <x:v>1.7154980454552282</x:v>
      </x:c>
      <x:c r="AG103" s="37" t="n">
        <x:v>0</x:v>
      </x:c>
      <x:c r="AH103" s="37" t="n">
        <x:v>0</x:v>
      </x:c>
      <x:c r="AI103" s="30" t="n">
        <x:v>46266</x:v>
      </x:c>
      <x:c r="AJ103" s="37" t="n">
        <x:v>1</x:v>
      </x:c>
      <x:c r="AK103" s="10" t="str">
        <x:v>минимум</x:v>
      </x:c>
      <x:c r="AL103" s="32" t="n">
        <x:v>0</x:v>
      </x:c>
      <x:c r="AM103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03" s="13" t="str">
        <x:v>Подтвердить наличие, срок и цену закупки</x:v>
      </x:c>
      <x:c r="AO103" s="13" t="str">
        <x:v>Прогноз 30 дней 1.72; остаток 0; поступления в срок 0; нехватка 2; заказ с учётом MOQ 2 шт. Остаток на начало сентября: требуется актуализация.</x:v>
      </x:c>
      <x:c r="AP103" s="13" t="str">
        <x:v>["blank_stock_assumed_zero", "category_missing", "daily_stockout_data_missing", "new_order_lead_time_unknown", "reservations_unknown", "stale_stock", "stockout_proxy_used"]</x:v>
      </x:c>
      <x:c r="AQ103" s="10" t="str">
        <x:v>IEK:130200421_</x:v>
      </x:c>
      <x:c r="AR103" s="24" t="n">
        <x:v>1</x:v>
      </x:c>
      <x:c r="AS103" s="24" t="n">
        <x:f>MAX(0,ROUNDUP(MAX(0,AF103-AG103-AH103)/AR103-0.000000001,0)*AR103)</x:f>
        <x:v>2</x:v>
      </x:c>
      <x:c r="AT103" s="24" t="n">
        <x:v>1.7154980454552282</x:v>
      </x:c>
    </x:row>
    <x:row r="104" ht="64" customHeight="1">
      <x:c r="A104" s="11" t="str">
        <x:v>IEK</x:v>
      </x:c>
      <x:c r="B104" s="33" t="str">
        <x:v>130200422_</x:v>
      </x:c>
      <x:c r="C104" s="33" t="str">
        <x:v>A2L5-PC10-K4-160</x:v>
      </x:c>
      <x:c r="D104" s="12" t="str">
        <x:v>Бокорезы 160мм K4 ARMA2L 5 IEK (1)</x:v>
      </x:c>
      <x:c r="E104" s="11" t="str">
        <x:v>шт</x:v>
      </x:c>
      <x:c r="F104" s="35" t="n">
        <x:f>IF(AS104&gt;0,MAX(AS104,AJ104),0)</x:f>
        <x:v>2</x:v>
      </x:c>
      <x:c r="G104" s="20" t="str">
        <x:f>IF(J104="Рассчитано",V104*(1-R104/100)-W104-P104-Q104,"н/д")</x:f>
        <x:v>н/д</x:v>
      </x:c>
      <x:c r="H104" s="12" t="str">
        <x:v>Высокий</x:v>
      </x:c>
      <x:c r="I104" s="12" t="str">
        <x:v>Высокий</x:v>
      </x:c>
      <x:c r="J104" s="12" t="str">
        <x:f>IF(L104="","Укажите валюту",IF(NOT(ISNUMBER(K104)),"Укажите объём",IF(K104&lt;=0,"Укажите объём",IF(COUNT(M104:O104)&lt;3,"Нужны цены",IF(COUNT(P104:R104)&lt;3,"Нужны расходы",IF(OR(M104&lt;0,N104&lt;0,O104&lt;0,O104&gt;100,P104&lt;0,Q104&lt;0,R104&lt;0,R104&gt;100),"Проверьте значения","Рассчитано"))))))</x:f>
        <x:v>Нужны цены</x:v>
      </x:c>
      <x:c r="K104" s="36" t="n">
        <x:v>2</x:v>
      </x:c>
      <x:c r="L104" s="19" t="str">
        <x:v>KZT</x:v>
      </x:c>
      <x:c r="M104" s="22"/>
      <x:c r="N104" s="22"/>
      <x:c r="O104" s="28"/>
      <x:c r="P104" s="22"/>
      <x:c r="Q104" s="22"/>
      <x:c r="R104" s="28"/>
      <x:c r="S104" s="22"/>
      <x:c r="T104" s="35" t="n">
        <x:f>MIN(K104,AT104)</x:f>
        <x:v>1.971304399118877</x:v>
      </x:c>
      <x:c r="U104" s="20" t="str">
        <x:f>IF(J104="Рассчитано",N104*(1-O104/100),"н/д")</x:f>
        <x:v>н/д</x:v>
      </x:c>
      <x:c r="V104" s="20" t="str">
        <x:f>IF(J104="Рассчитано",T104*U104,"н/д")</x:f>
        <x:v>н/д</x:v>
      </x:c>
      <x:c r="W104" s="20" t="str">
        <x:f>IF(J104="Рассчитано",T104*M104,"н/д")</x:f>
        <x:v>н/д</x:v>
      </x:c>
      <x:c r="X104" s="20" t="str">
        <x:f>IF(J104="Рассчитано",V104-W104,"н/д")</x:f>
        <x:v>н/д</x:v>
      </x:c>
      <x:c r="Y104" s="26" t="str">
        <x:f>IF(J104="Рассчитано",IF(V104&gt;0,G104/V104,"н/д"),"н/д")</x:f>
        <x:v>н/д</x:v>
      </x:c>
      <x:c r="Z104" s="20" t="str">
        <x:f>IF(J104="Рассчитано",K104*M104,"н/д")</x:f>
        <x:v>н/д</x:v>
      </x:c>
      <x:c r="AA104" s="20" t="str">
        <x:f>IF(J104="Рассчитано",(K104-T104)*M104,"н/д")</x:f>
        <x:v>н/д</x:v>
      </x:c>
      <x:c r="AB104" s="20" t="str">
        <x:f>IF(AND(J104="Рассчитано",ISNUMBER(S104)),K104*(S104-M104),"н/д")</x:f>
        <x:v>н/д</x:v>
      </x:c>
      <x:c r="AC104" s="20" t="str">
        <x:f>IF(AND(J104="Рассчитано",T104&gt;0,R104&lt;100),(W104+P104+Q104)/(T104*(1-R104/100)),"н/д")</x:f>
        <x:v>н/д</x:v>
      </x:c>
      <x:c r="AD104" s="11" t="str">
        <x:f>IF(ISNUMBER(G104),IF(G104&lt;0,"Убыток",IF(G104=0,"Без прибыли","Прибыль &gt; 0")),"Не оценён")</x:f>
        <x:v>Не оценён</x:v>
      </x:c>
      <x:c r="AE104" s="12" t="str">
        <x:f>IF(J104="Рассчитано","Выручка "&amp;TEXT(V104,"0.00")&amp;" - себестоимость "&amp;TEXT(W104,"0.00")&amp;" - комиссия "&amp;TEXT(V104*R104/100,"0.00")&amp;" - доставка "&amp;TEXT(P104,"0.00")&amp;" - прочие "&amp;TEXT(Q104,"0.00")&amp;" = "&amp;TEXT(G104,"0.00")&amp;" "&amp;L104,"Введите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4" s="23" t="n">
        <x:v>2.971304399118877</x:v>
      </x:c>
      <x:c r="AG104" s="35" t="n">
        <x:v>1</x:v>
      </x:c>
      <x:c r="AH104" s="35" t="n">
        <x:v>0</x:v>
      </x:c>
      <x:c r="AI104" s="29" t="n">
        <x:v>46266</x:v>
      </x:c>
      <x:c r="AJ104" s="35" t="n">
        <x:v>1</x:v>
      </x:c>
      <x:c r="AK104" s="11" t="str">
        <x:v>минимум</x:v>
      </x:c>
      <x:c r="AL104" s="31" t="n">
        <x:v>10.096575769516017</x:v>
      </x:c>
      <x:c r="AM104" s="12" t="str">
        <x:v>Остаток на начало сентября; Резервы неизвестны; Нет ежедневных данных доступности. Запаса примерно на 10.1 дн. без поступлений</x:v>
      </x:c>
      <x:c r="AN104" s="12" t="str">
        <x:v>Подтвердить наличие, срок и цену закупки</x:v>
      </x:c>
      <x:c r="AO104" s="12" t="str">
        <x:v>Прогноз 30 дней 2.97; остаток 1; поступления в срок 0; нехватка 2; заказ с учётом MOQ 2 шт. Остаток на начало сентября: требуется актуализация.</x:v>
      </x:c>
      <x:c r="AP104" s="12" t="str">
        <x:v>["category_missing", "daily_stockout_data_missing", "new_order_lead_time_unknown", "reservations_unknown", "stale_stock"]</x:v>
      </x:c>
      <x:c r="AQ104" s="11" t="str">
        <x:v>IEK:130200422_</x:v>
      </x:c>
      <x:c r="AR104" s="23" t="n">
        <x:v>1</x:v>
      </x:c>
      <x:c r="AS104" s="23" t="n">
        <x:f>MAX(0,ROUNDUP(MAX(0,AF104-AG104-AH104)/AR104-0.000000001,0)*AR104)</x:f>
        <x:v>2</x:v>
      </x:c>
      <x:c r="AT104" s="23" t="n">
        <x:v>1.971304399118877</x:v>
      </x:c>
    </x:row>
    <x:row r="105" ht="64" customHeight="1">
      <x:c r="A105" s="10" t="str">
        <x:v>IEK</x:v>
      </x:c>
      <x:c r="B105" s="34" t="str">
        <x:v>130200431_</x:v>
      </x:c>
      <x:c r="C105" s="34" t="str">
        <x:v>A2L5-DM11-01</x:v>
      </x:c>
      <x:c r="D105" s="13" t="str">
        <x:v>Мультиметр  цифровой DM1A ARMA2L IEK (40) NEW</x:v>
      </x:c>
      <x:c r="E105" s="10" t="str">
        <x:v>шт</x:v>
      </x:c>
      <x:c r="F105" s="37" t="n">
        <x:f>IF(AS105&gt;0,MAX(AS105,AJ105),0)</x:f>
        <x:v>1</x:v>
      </x:c>
      <x:c r="G105" s="21" t="str">
        <x:f>IF(J105="Рассчитано",V105*(1-R105/100)-W105-P105-Q105,"н/д")</x:f>
        <x:v>н/д</x:v>
      </x:c>
      <x:c r="H105" s="13" t="str">
        <x:v>Высокий</x:v>
      </x:c>
      <x:c r="I105" s="13" t="str">
        <x:v>Средний</x:v>
      </x:c>
      <x:c r="J105" s="13" t="str">
        <x:f>IF(L105="","Укажите валюту",IF(NOT(ISNUMBER(K105)),"Укажите объём",IF(K105&lt;=0,"Укажите объём",IF(COUNT(M105:O105)&lt;3,"Нужны цены",IF(COUNT(P105:R105)&lt;3,"Нужны расходы",IF(OR(M105&lt;0,N105&lt;0,O105&lt;0,O105&gt;100,P105&lt;0,Q105&lt;0,R105&lt;0,R105&gt;100),"Проверьте значения","Рассчитано"))))))</x:f>
        <x:v>Нужны цены</x:v>
      </x:c>
      <x:c r="K105" s="36" t="n">
        <x:v>1</x:v>
      </x:c>
      <x:c r="L105" s="19" t="str">
        <x:v>KZT</x:v>
      </x:c>
      <x:c r="M105" s="22"/>
      <x:c r="N105" s="22"/>
      <x:c r="O105" s="28"/>
      <x:c r="P105" s="22"/>
      <x:c r="Q105" s="22"/>
      <x:c r="R105" s="28"/>
      <x:c r="S105" s="22"/>
      <x:c r="T105" s="37" t="n">
        <x:f>MIN(K105,AT105)</x:f>
        <x:v>0.5948610511686152</x:v>
      </x:c>
      <x:c r="U105" s="21" t="str">
        <x:f>IF(J105="Рассчитано",N105*(1-O105/100),"н/д")</x:f>
        <x:v>н/д</x:v>
      </x:c>
      <x:c r="V105" s="21" t="str">
        <x:f>IF(J105="Рассчитано",T105*U105,"н/д")</x:f>
        <x:v>н/д</x:v>
      </x:c>
      <x:c r="W105" s="21" t="str">
        <x:f>IF(J105="Рассчитано",T105*M105,"н/д")</x:f>
        <x:v>н/д</x:v>
      </x:c>
      <x:c r="X105" s="21" t="str">
        <x:f>IF(J105="Рассчитано",V105-W105,"н/д")</x:f>
        <x:v>н/д</x:v>
      </x:c>
      <x:c r="Y105" s="27" t="str">
        <x:f>IF(J105="Рассчитано",IF(V105&gt;0,G105/V105,"н/д"),"н/д")</x:f>
        <x:v>н/д</x:v>
      </x:c>
      <x:c r="Z105" s="21" t="str">
        <x:f>IF(J105="Рассчитано",K105*M105,"н/д")</x:f>
        <x:v>н/д</x:v>
      </x:c>
      <x:c r="AA105" s="21" t="str">
        <x:f>IF(J105="Рассчитано",(K105-T105)*M105,"н/д")</x:f>
        <x:v>н/д</x:v>
      </x:c>
      <x:c r="AB105" s="21" t="str">
        <x:f>IF(AND(J105="Рассчитано",ISNUMBER(S105)),K105*(S105-M105),"н/д")</x:f>
        <x:v>н/д</x:v>
      </x:c>
      <x:c r="AC105" s="21" t="str">
        <x:f>IF(AND(J105="Рассчитано",T105&gt;0,R105&lt;100),(W105+P105+Q105)/(T105*(1-R105/100)),"н/д")</x:f>
        <x:v>н/д</x:v>
      </x:c>
      <x:c r="AD105" s="10" t="str">
        <x:f>IF(ISNUMBER(G105),IF(G105&lt;0,"Убыток",IF(G105=0,"Без прибыли","Прибыль &gt; 0")),"Не оценён")</x:f>
        <x:v>Не оценён</x:v>
      </x:c>
      <x:c r="AE105" s="13" t="str">
        <x:f>IF(J105="Рассчитано","Выручка "&amp;TEXT(V105,"0.00")&amp;" - себестоимость "&amp;TEXT(W105,"0.00")&amp;" - комиссия "&amp;TEXT(V105*R105/100,"0.00")&amp;" - доставка "&amp;TEXT(P105,"0.00")&amp;" - прочие "&amp;TEXT(Q105,"0.00")&amp;" = "&amp;TEXT(G105,"0.00")&amp;" "&amp;L105,"Введите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5" s="24" t="n">
        <x:v>1.5948610511686152</x:v>
      </x:c>
      <x:c r="AG105" s="37" t="n">
        <x:v>1</x:v>
      </x:c>
      <x:c r="AH105" s="37" t="n">
        <x:v>0</x:v>
      </x:c>
      <x:c r="AI105" s="30" t="n">
        <x:v>46266</x:v>
      </x:c>
      <x:c r="AJ105" s="37" t="n">
        <x:v>1</x:v>
      </x:c>
      <x:c r="AK105" s="10" t="str">
        <x:v>минимум</x:v>
      </x:c>
      <x:c r="AL105" s="32" t="n">
        <x:v>18.8104161036586</x:v>
      </x:c>
      <x:c r="AM105" s="13" t="str">
        <x:v>Остаток на начало сентября; Резервы неизвестны; Нет ежедневных данных доступности. Запаса примерно на 18.8 дн. без поступлений</x:v>
      </x:c>
      <x:c r="AN105" s="13" t="str">
        <x:v>Подтвердить наличие, срок и цену закупки</x:v>
      </x:c>
      <x:c r="AO105" s="13" t="str">
        <x:v>Прогноз 30 дней 1.59; остаток 1; поступления в срок 0; нехватка 1; заказ с учётом MOQ 1 шт. Остаток на начало сентября: требуется актуализация.</x:v>
      </x:c>
      <x:c r="AP105" s="13" t="str">
        <x:v>["category_missing", "daily_stockout_data_missing", "new_order_lead_time_unknown", "reservations_unknown", "stale_stock"]</x:v>
      </x:c>
      <x:c r="AQ105" s="10" t="str">
        <x:v>IEK:130200431_</x:v>
      </x:c>
      <x:c r="AR105" s="24" t="n">
        <x:v>1</x:v>
      </x:c>
      <x:c r="AS105" s="24" t="n">
        <x:f>MAX(0,ROUNDUP(MAX(0,AF105-AG105-AH105)/AR105-0.000000001,0)*AR105)</x:f>
        <x:v>1</x:v>
      </x:c>
      <x:c r="AT105" s="24" t="n">
        <x:v>0.5948610511686152</x:v>
      </x:c>
    </x:row>
    <x:row r="106" ht="64" customHeight="1">
      <x:c r="A106" s="11" t="str">
        <x:v>IEK</x:v>
      </x:c>
      <x:c r="B106" s="33" t="str">
        <x:v>130200435_</x:v>
      </x:c>
      <x:c r="C106" s="33" t="str">
        <x:v>A2L5-DM15-01</x:v>
      </x:c>
      <x:c r="D106" s="12" t="str">
        <x:v>Мультиметр цифровой  цифровой DM1E IEK ARMA2L 5 IEK (40) NEW</x:v>
      </x:c>
      <x:c r="E106" s="11" t="str">
        <x:v>шт</x:v>
      </x:c>
      <x:c r="F106" s="35" t="n">
        <x:f>IF(AS106&gt;0,MAX(AS106,AJ106),0)</x:f>
        <x:v>9</x:v>
      </x:c>
      <x:c r="G106" s="20" t="str">
        <x:f>IF(J106="Рассчитано",V106*(1-R106/100)-W106-P106-Q106,"н/д")</x:f>
        <x:v>н/д</x:v>
      </x:c>
      <x:c r="H106" s="12" t="str">
        <x:v>Высокий</x:v>
      </x:c>
      <x:c r="I106" s="12" t="str">
        <x:v>Критический</x:v>
      </x:c>
      <x:c r="J106" s="12" t="str">
        <x:f>IF(L106="","Укажите валюту",IF(NOT(ISNUMBER(K106)),"Укажите объём",IF(K106&lt;=0,"Укажите объём",IF(COUNT(M106:O106)&lt;3,"Нужны цены",IF(COUNT(P106:R106)&lt;3,"Нужны расходы",IF(OR(M106&lt;0,N106&lt;0,O106&lt;0,O106&gt;100,P106&lt;0,Q106&lt;0,R106&lt;0,R106&gt;100),"Проверьте значения","Рассчитано"))))))</x:f>
        <x:v>Нужны цены</x:v>
      </x:c>
      <x:c r="K106" s="36" t="n">
        <x:v>9</x:v>
      </x:c>
      <x:c r="L106" s="19" t="str">
        <x:v>KZT</x:v>
      </x:c>
      <x:c r="M106" s="22"/>
      <x:c r="N106" s="22"/>
      <x:c r="O106" s="28"/>
      <x:c r="P106" s="22"/>
      <x:c r="Q106" s="22"/>
      <x:c r="R106" s="28"/>
      <x:c r="S106" s="22"/>
      <x:c r="T106" s="35" t="n">
        <x:f>MIN(K106,AT106)</x:f>
        <x:v>8.396634730812986</x:v>
      </x:c>
      <x:c r="U106" s="20" t="str">
        <x:f>IF(J106="Рассчитано",N106*(1-O106/100),"н/д")</x:f>
        <x:v>н/д</x:v>
      </x:c>
      <x:c r="V106" s="20" t="str">
        <x:f>IF(J106="Рассчитано",T106*U106,"н/д")</x:f>
        <x:v>н/д</x:v>
      </x:c>
      <x:c r="W106" s="20" t="str">
        <x:f>IF(J106="Рассчитано",T106*M106,"н/д")</x:f>
        <x:v>н/д</x:v>
      </x:c>
      <x:c r="X106" s="20" t="str">
        <x:f>IF(J106="Рассчитано",V106-W106,"н/д")</x:f>
        <x:v>н/д</x:v>
      </x:c>
      <x:c r="Y106" s="26" t="str">
        <x:f>IF(J106="Рассчитано",IF(V106&gt;0,G106/V106,"н/д"),"н/д")</x:f>
        <x:v>н/д</x:v>
      </x:c>
      <x:c r="Z106" s="20" t="str">
        <x:f>IF(J106="Рассчитано",K106*M106,"н/д")</x:f>
        <x:v>н/д</x:v>
      </x:c>
      <x:c r="AA106" s="20" t="str">
        <x:f>IF(J106="Рассчитано",(K106-T106)*M106,"н/д")</x:f>
        <x:v>н/д</x:v>
      </x:c>
      <x:c r="AB106" s="20" t="str">
        <x:f>IF(AND(J106="Рассчитано",ISNUMBER(S106)),K106*(S106-M106),"н/д")</x:f>
        <x:v>н/д</x:v>
      </x:c>
      <x:c r="AC106" s="20" t="str">
        <x:f>IF(AND(J106="Рассчитано",T106&gt;0,R106&lt;100),(W106+P106+Q106)/(T106*(1-R106/100)),"н/д")</x:f>
        <x:v>н/д</x:v>
      </x:c>
      <x:c r="AD106" s="11" t="str">
        <x:f>IF(ISNUMBER(G106),IF(G106&lt;0,"Убыток",IF(G106=0,"Без прибыли","Прибыль &gt; 0")),"Не оценён")</x:f>
        <x:v>Не оценён</x:v>
      </x:c>
      <x:c r="AE106" s="12" t="str">
        <x:f>IF(J106="Рассчитано","Выручка "&amp;TEXT(V106,"0.00")&amp;" - себестоимость "&amp;TEXT(W106,"0.00")&amp;" - комиссия "&amp;TEXT(V106*R106/100,"0.00")&amp;" - доставка "&amp;TEXT(P106,"0.00")&amp;" - прочие "&amp;TEXT(Q106,"0.00")&amp;" = "&amp;TEXT(G106,"0.00")&amp;" "&amp;L106,"Введите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6" s="23" t="n">
        <x:v>8.396634730812986</x:v>
      </x:c>
      <x:c r="AG106" s="35" t="n">
        <x:v>0</x:v>
      </x:c>
      <x:c r="AH106" s="35" t="n">
        <x:v>0</x:v>
      </x:c>
      <x:c r="AI106" s="29" t="n">
        <x:v>46266</x:v>
      </x:c>
      <x:c r="AJ106" s="35" t="n">
        <x:v>1</x:v>
      </x:c>
      <x:c r="AK106" s="11" t="str">
        <x:v>минимум</x:v>
      </x:c>
      <x:c r="AL106" s="31" t="n">
        <x:v>0</x:v>
      </x:c>
      <x:c r="AM106" s="12" t="str">
        <x:v>Остаток на начало сентября; Резервы неизвестны; Нет ежедневных данных доступности. Нет запаса</x:v>
      </x:c>
      <x:c r="AN106" s="12" t="str">
        <x:v>Подтвердить наличие, срок и цену закупки</x:v>
      </x:c>
      <x:c r="AO106" s="12" t="str">
        <x:v>Прогноз 30 дней 8.40; остаток 0; поступления в срок 0; нехватка 9; заказ с учётом MOQ 9 шт. Остаток на начало сентября: требуется актуализация.</x:v>
      </x:c>
      <x:c r="AP106" s="12" t="str">
        <x:v>["blank_stock_assumed_zero", "category_missing", "daily_stockout_data_missing", "new_order_lead_time_unknown", "reservations_unknown", "stale_stock"]</x:v>
      </x:c>
      <x:c r="AQ106" s="11" t="str">
        <x:v>IEK:130200435_</x:v>
      </x:c>
      <x:c r="AR106" s="23" t="n">
        <x:v>1</x:v>
      </x:c>
      <x:c r="AS106" s="23" t="n">
        <x:f>MAX(0,ROUNDUP(MAX(0,AF106-AG106-AH106)/AR106-0.000000001,0)*AR106)</x:f>
        <x:v>9</x:v>
      </x:c>
      <x:c r="AT106" s="23" t="n">
        <x:v>8.396634730812986</x:v>
      </x:c>
    </x:row>
    <x:row r="107" ht="64" customHeight="1">
      <x:c r="A107" s="10" t="str">
        <x:v>IEK</x:v>
      </x:c>
      <x:c r="B107" s="34" t="str">
        <x:v>130200443_</x:v>
      </x:c>
      <x:c r="C107" s="34" t="str">
        <x:v>A2L5-IT12-02</x:v>
      </x:c>
      <x:c r="D107" s="13" t="str">
        <x:v>Пирометр инфракрасный IT2B ARMA2L 5 IEK (40) NEW</x:v>
      </x:c>
      <x:c r="E107" s="10" t="str">
        <x:v>шт</x:v>
      </x:c>
      <x:c r="F107" s="37" t="n">
        <x:f>IF(AS107&gt;0,MAX(AS107,AJ107),0)</x:f>
        <x:v>2</x:v>
      </x:c>
      <x:c r="G107" s="21" t="str">
        <x:f>IF(J107="Рассчитано",V107*(1-R107/100)-W107-P107-Q107,"н/д")</x:f>
        <x:v>н/д</x:v>
      </x:c>
      <x:c r="H107" s="13" t="str">
        <x:v>Высокий</x:v>
      </x:c>
      <x:c r="I107" s="13" t="str">
        <x:v>Критический</x:v>
      </x:c>
      <x:c r="J107" s="13" t="str">
        <x:f>IF(L107="","Укажите валюту",IF(NOT(ISNUMBER(K107)),"Укажите объём",IF(K107&lt;=0,"Укажите объём",IF(COUNT(M107:O107)&lt;3,"Нужны цены",IF(COUNT(P107:R107)&lt;3,"Нужны расходы",IF(OR(M107&lt;0,N107&lt;0,O107&lt;0,O107&gt;100,P107&lt;0,Q107&lt;0,R107&lt;0,R107&gt;100),"Проверьте значения","Рассчитано"))))))</x:f>
        <x:v>Нужны цены</x:v>
      </x:c>
      <x:c r="K107" s="36" t="n">
        <x:v>2</x:v>
      </x:c>
      <x:c r="L107" s="19" t="str">
        <x:v>KZT</x:v>
      </x:c>
      <x:c r="M107" s="22"/>
      <x:c r="N107" s="22"/>
      <x:c r="O107" s="28"/>
      <x:c r="P107" s="22"/>
      <x:c r="Q107" s="22"/>
      <x:c r="R107" s="28"/>
      <x:c r="S107" s="22"/>
      <x:c r="T107" s="37" t="n">
        <x:f>MIN(K107,AT107)</x:f>
        <x:v>1.0080763407902449</x:v>
      </x:c>
      <x:c r="U107" s="21" t="str">
        <x:f>IF(J107="Рассчитано",N107*(1-O107/100),"н/д")</x:f>
        <x:v>н/д</x:v>
      </x:c>
      <x:c r="V107" s="21" t="str">
        <x:f>IF(J107="Рассчитано",T107*U107,"н/д")</x:f>
        <x:v>н/д</x:v>
      </x:c>
      <x:c r="W107" s="21" t="str">
        <x:f>IF(J107="Рассчитано",T107*M107,"н/д")</x:f>
        <x:v>н/д</x:v>
      </x:c>
      <x:c r="X107" s="21" t="str">
        <x:f>IF(J107="Рассчитано",V107-W107,"н/д")</x:f>
        <x:v>н/д</x:v>
      </x:c>
      <x:c r="Y107" s="27" t="str">
        <x:f>IF(J107="Рассчитано",IF(V107&gt;0,G107/V107,"н/д"),"н/д")</x:f>
        <x:v>н/д</x:v>
      </x:c>
      <x:c r="Z107" s="21" t="str">
        <x:f>IF(J107="Рассчитано",K107*M107,"н/д")</x:f>
        <x:v>н/д</x:v>
      </x:c>
      <x:c r="AA107" s="21" t="str">
        <x:f>IF(J107="Рассчитано",(K107-T107)*M107,"н/д")</x:f>
        <x:v>н/д</x:v>
      </x:c>
      <x:c r="AB107" s="21" t="str">
        <x:f>IF(AND(J107="Рассчитано",ISNUMBER(S107)),K107*(S107-M107),"н/д")</x:f>
        <x:v>н/д</x:v>
      </x:c>
      <x:c r="AC107" s="21" t="str">
        <x:f>IF(AND(J107="Рассчитано",T107&gt;0,R107&lt;100),(W107+P107+Q107)/(T107*(1-R107/100)),"н/д")</x:f>
        <x:v>н/д</x:v>
      </x:c>
      <x:c r="AD107" s="10" t="str">
        <x:f>IF(ISNUMBER(G107),IF(G107&lt;0,"Убыток",IF(G107=0,"Без прибыли","Прибыль &gt; 0")),"Не оценён")</x:f>
        <x:v>Не оценён</x:v>
      </x:c>
      <x:c r="AE107" s="13" t="str">
        <x:f>IF(J107="Рассчитано","Выручка "&amp;TEXT(V107,"0.00")&amp;" - себестоимость "&amp;TEXT(W107,"0.00")&amp;" - комиссия "&amp;TEXT(V107*R107/100,"0.00")&amp;" - доставка "&amp;TEXT(P107,"0.00")&amp;" - прочие "&amp;TEXT(Q107,"0.00")&amp;" = "&amp;TEXT(G107,"0.00")&amp;" "&amp;L107,"Введите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7" s="24" t="n">
        <x:v>1.0080763407902449</x:v>
      </x:c>
      <x:c r="AG107" s="37" t="n">
        <x:v>0</x:v>
      </x:c>
      <x:c r="AH107" s="37" t="n">
        <x:v>0</x:v>
      </x:c>
      <x:c r="AI107" s="30" t="n">
        <x:v>46266</x:v>
      </x:c>
      <x:c r="AJ107" s="37" t="n">
        <x:v>1</x:v>
      </x:c>
      <x:c r="AK107" s="10" t="str">
        <x:v>минимум</x:v>
      </x:c>
      <x:c r="AL107" s="32" t="n">
        <x:v>0</x:v>
      </x:c>
      <x:c r="AM107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07" s="13" t="str">
        <x:v>Подтвердить наличие, срок и цену закупки</x:v>
      </x:c>
      <x:c r="AO107" s="13" t="str">
        <x:v>Прогноз 30 дней 1.01; остаток 0; поступления в срок 0; нехватка 2; заказ с учётом MOQ 2 шт. Остаток на начало сентября: требуется актуализация.</x:v>
      </x:c>
      <x:c r="AP107" s="13" t="str">
        <x:v>["blank_stock_assumed_zero", "category_missing", "daily_stockout_data_missing", "new_order_lead_time_unknown", "reservations_unknown", "stale_stock", "stockout_proxy_used"]</x:v>
      </x:c>
      <x:c r="AQ107" s="10" t="str">
        <x:v>IEK:130200443_</x:v>
      </x:c>
      <x:c r="AR107" s="24" t="n">
        <x:v>1</x:v>
      </x:c>
      <x:c r="AS107" s="24" t="n">
        <x:f>MAX(0,ROUNDUP(MAX(0,AF107-AG107-AH107)/AR107-0.000000001,0)*AR107)</x:f>
        <x:v>2</x:v>
      </x:c>
      <x:c r="AT107" s="24" t="n">
        <x:v>1.0080763407902449</x:v>
      </x:c>
    </x:row>
    <x:row r="108" ht="64" customHeight="1">
      <x:c r="A108" s="11" t="str">
        <x:v>IEK</x:v>
      </x:c>
      <x:c r="B108" s="33" t="str">
        <x:v>130200491_</x:v>
      </x:c>
      <x:c r="C108" s="33" t="str">
        <x:v>A2L5-NS50-T2-14</x:v>
      </x:c>
      <x:c r="D108" s="12" t="str">
        <x:v>ARMA2L 5 Отвертка динамометрическая с жалами SLIM 14шт IEK</x:v>
      </x:c>
      <x:c r="E108" s="11" t="str">
        <x:v>шт</x:v>
      </x:c>
      <x:c r="F108" s="35" t="n">
        <x:f>IF(AS108&gt;0,MAX(AS108,AJ108),0)</x:f>
        <x:v>2</x:v>
      </x:c>
      <x:c r="G108" s="20" t="str">
        <x:f>IF(J108="Рассчитано",V108*(1-R108/100)-W108-P108-Q108,"н/д")</x:f>
        <x:v>н/д</x:v>
      </x:c>
      <x:c r="H108" s="12" t="str">
        <x:v>Высокий</x:v>
      </x:c>
      <x:c r="I108" s="12" t="str">
        <x:v>Критический</x:v>
      </x:c>
      <x:c r="J108" s="12" t="str">
        <x:f>IF(L108="","Укажите валюту",IF(NOT(ISNUMBER(K108)),"Укажите объём",IF(K108&lt;=0,"Укажите объём",IF(COUNT(M108:O108)&lt;3,"Нужны цены",IF(COUNT(P108:R108)&lt;3,"Нужны расходы",IF(OR(M108&lt;0,N108&lt;0,O108&lt;0,O108&gt;100,P108&lt;0,Q108&lt;0,R108&lt;0,R108&gt;100),"Проверьте значения","Рассчитано"))))))</x:f>
        <x:v>Нужны цены</x:v>
      </x:c>
      <x:c r="K108" s="36" t="n">
        <x:v>2</x:v>
      </x:c>
      <x:c r="L108" s="19" t="str">
        <x:v>KZT</x:v>
      </x:c>
      <x:c r="M108" s="22"/>
      <x:c r="N108" s="22"/>
      <x:c r="O108" s="28"/>
      <x:c r="P108" s="22"/>
      <x:c r="Q108" s="22"/>
      <x:c r="R108" s="28"/>
      <x:c r="S108" s="22"/>
      <x:c r="T108" s="35" t="n">
        <x:f>MIN(K108,AT108)</x:f>
        <x:v>1.499971689297225</x:v>
      </x:c>
      <x:c r="U108" s="20" t="str">
        <x:f>IF(J108="Рассчитано",N108*(1-O108/100),"н/д")</x:f>
        <x:v>н/д</x:v>
      </x:c>
      <x:c r="V108" s="20" t="str">
        <x:f>IF(J108="Рассчитано",T108*U108,"н/д")</x:f>
        <x:v>н/д</x:v>
      </x:c>
      <x:c r="W108" s="20" t="str">
        <x:f>IF(J108="Рассчитано",T108*M108,"н/д")</x:f>
        <x:v>н/д</x:v>
      </x:c>
      <x:c r="X108" s="20" t="str">
        <x:f>IF(J108="Рассчитано",V108-W108,"н/д")</x:f>
        <x:v>н/д</x:v>
      </x:c>
      <x:c r="Y108" s="26" t="str">
        <x:f>IF(J108="Рассчитано",IF(V108&gt;0,G108/V108,"н/д"),"н/д")</x:f>
        <x:v>н/д</x:v>
      </x:c>
      <x:c r="Z108" s="20" t="str">
        <x:f>IF(J108="Рассчитано",K108*M108,"н/д")</x:f>
        <x:v>н/д</x:v>
      </x:c>
      <x:c r="AA108" s="20" t="str">
        <x:f>IF(J108="Рассчитано",(K108-T108)*M108,"н/д")</x:f>
        <x:v>н/д</x:v>
      </x:c>
      <x:c r="AB108" s="20" t="str">
        <x:f>IF(AND(J108="Рассчитано",ISNUMBER(S108)),K108*(S108-M108),"н/д")</x:f>
        <x:v>н/д</x:v>
      </x:c>
      <x:c r="AC108" s="20" t="str">
        <x:f>IF(AND(J108="Рассчитано",T108&gt;0,R108&lt;100),(W108+P108+Q108)/(T108*(1-R108/100)),"н/д")</x:f>
        <x:v>н/д</x:v>
      </x:c>
      <x:c r="AD108" s="11" t="str">
        <x:f>IF(ISNUMBER(G108),IF(G108&lt;0,"Убыток",IF(G108=0,"Без прибыли","Прибыль &gt; 0")),"Не оценён")</x:f>
        <x:v>Не оценён</x:v>
      </x:c>
      <x:c r="AE108" s="12" t="str">
        <x:f>IF(J108="Рассчитано","Выручка "&amp;TEXT(V108,"0.00")&amp;" - себестоимость "&amp;TEXT(W108,"0.00")&amp;" - комиссия "&amp;TEXT(V108*R108/100,"0.00")&amp;" - доставка "&amp;TEXT(P108,"0.00")&amp;" - прочие "&amp;TEXT(Q108,"0.00")&amp;" = "&amp;TEXT(G108,"0.00")&amp;" "&amp;L108,"Введите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8" s="23" t="n">
        <x:v>1.499971689297225</x:v>
      </x:c>
      <x:c r="AG108" s="35" t="n">
        <x:v>0</x:v>
      </x:c>
      <x:c r="AH108" s="35" t="n">
        <x:v>0</x:v>
      </x:c>
      <x:c r="AI108" s="29" t="n">
        <x:v>46266</x:v>
      </x:c>
      <x:c r="AJ108" s="35" t="n">
        <x:v>1</x:v>
      </x:c>
      <x:c r="AK108" s="11" t="str">
        <x:v>минимум</x:v>
      </x:c>
      <x:c r="AL108" s="31" t="n">
        <x:v>0</x:v>
      </x:c>
      <x:c r="AM108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08" s="12" t="str">
        <x:v>Подтвердить наличие, срок и цену закупки</x:v>
      </x:c>
      <x:c r="AO108" s="12" t="str">
        <x:v>Прогноз 30 дней 1.50; остаток 0; поступления в срок 0; нехватка 2; заказ с учётом MOQ 2 шт. Остаток на начало сентября: требуется актуализация.</x:v>
      </x:c>
      <x:c r="AP108" s="12" t="str">
        <x:v>["blank_stock_assumed_zero", "category_missing", "daily_stockout_data_missing", "new_order_lead_time_unknown", "reservations_unknown", "stale_stock", "stockout_proxy_used"]</x:v>
      </x:c>
      <x:c r="AQ108" s="11" t="str">
        <x:v>IEK:130200491_</x:v>
      </x:c>
      <x:c r="AR108" s="23" t="n">
        <x:v>1</x:v>
      </x:c>
      <x:c r="AS108" s="23" t="n">
        <x:f>MAX(0,ROUNDUP(MAX(0,AF108-AG108-AH108)/AR108-0.000000001,0)*AR108)</x:f>
        <x:v>2</x:v>
      </x:c>
      <x:c r="AT108" s="23" t="n">
        <x:v>1.499971689297225</x:v>
      </x:c>
    </x:row>
    <x:row r="109" ht="64" customHeight="1">
      <x:c r="A109" s="10" t="str">
        <x:v>IEK</x:v>
      </x:c>
      <x:c r="B109" s="34" t="str">
        <x:v>130300021_</x:v>
      </x:c>
      <x:c r="C109" s="34" t="str">
        <x:v>BBT30-ABLFS-K06</x:v>
      </x:c>
      <x:c r="D109" s="13" t="str">
        <x:v>Кнопка ABLFS-22 (зеленый неон) IEK (10/200)</x:v>
      </x:c>
      <x:c r="E109" s="10" t="str">
        <x:v>шт</x:v>
      </x:c>
      <x:c r="F109" s="37" t="n">
        <x:f>IF(AS109&gt;0,MAX(AS109,AJ109),0)</x:f>
        <x:v>22</x:v>
      </x:c>
      <x:c r="G109" s="21" t="str">
        <x:f>IF(J109="Рассчитано",V109*(1-R109/100)-W109-P109-Q109,"н/д")</x:f>
        <x:v>н/д</x:v>
      </x:c>
      <x:c r="H109" s="13" t="str">
        <x:v>Высокий</x:v>
      </x:c>
      <x:c r="I109" s="13" t="str">
        <x:v>Критический</x:v>
      </x:c>
      <x:c r="J109" s="13" t="str">
        <x:f>IF(L109="","Укажите валюту",IF(NOT(ISNUMBER(K109)),"Укажите объём",IF(K109&lt;=0,"Укажите объём",IF(COUNT(M109:O109)&lt;3,"Нужны цены",IF(COUNT(P109:R109)&lt;3,"Нужны расходы",IF(OR(M109&lt;0,N109&lt;0,O109&lt;0,O109&gt;100,P109&lt;0,Q109&lt;0,R109&lt;0,R109&gt;100),"Проверьте значения","Рассчитано"))))))</x:f>
        <x:v>Нужны цены</x:v>
      </x:c>
      <x:c r="K109" s="36" t="n">
        <x:v>22</x:v>
      </x:c>
      <x:c r="L109" s="19" t="str">
        <x:v>KZT</x:v>
      </x:c>
      <x:c r="M109" s="22"/>
      <x:c r="N109" s="22"/>
      <x:c r="O109" s="28"/>
      <x:c r="P109" s="22"/>
      <x:c r="Q109" s="22"/>
      <x:c r="R109" s="28"/>
      <x:c r="S109" s="22"/>
      <x:c r="T109" s="37" t="n">
        <x:f>MIN(K109,AT109)</x:f>
        <x:v>21.94851091082118</x:v>
      </x:c>
      <x:c r="U109" s="21" t="str">
        <x:f>IF(J109="Рассчитано",N109*(1-O109/100),"н/д")</x:f>
        <x:v>н/д</x:v>
      </x:c>
      <x:c r="V109" s="21" t="str">
        <x:f>IF(J109="Рассчитано",T109*U109,"н/д")</x:f>
        <x:v>н/д</x:v>
      </x:c>
      <x:c r="W109" s="21" t="str">
        <x:f>IF(J109="Рассчитано",T109*M109,"н/д")</x:f>
        <x:v>н/д</x:v>
      </x:c>
      <x:c r="X109" s="21" t="str">
        <x:f>IF(J109="Рассчитано",V109-W109,"н/д")</x:f>
        <x:v>н/д</x:v>
      </x:c>
      <x:c r="Y109" s="27" t="str">
        <x:f>IF(J109="Рассчитано",IF(V109&gt;0,G109/V109,"н/д"),"н/д")</x:f>
        <x:v>н/д</x:v>
      </x:c>
      <x:c r="Z109" s="21" t="str">
        <x:f>IF(J109="Рассчитано",K109*M109,"н/д")</x:f>
        <x:v>н/д</x:v>
      </x:c>
      <x:c r="AA109" s="21" t="str">
        <x:f>IF(J109="Рассчитано",(K109-T109)*M109,"н/д")</x:f>
        <x:v>н/д</x:v>
      </x:c>
      <x:c r="AB109" s="21" t="str">
        <x:f>IF(AND(J109="Рассчитано",ISNUMBER(S109)),K109*(S109-M109),"н/д")</x:f>
        <x:v>н/д</x:v>
      </x:c>
      <x:c r="AC109" s="21" t="str">
        <x:f>IF(AND(J109="Рассчитано",T109&gt;0,R109&lt;100),(W109+P109+Q109)/(T109*(1-R109/100)),"н/д")</x:f>
        <x:v>н/д</x:v>
      </x:c>
      <x:c r="AD109" s="10" t="str">
        <x:f>IF(ISNUMBER(G109),IF(G109&lt;0,"Убыток",IF(G109=0,"Без прибыли","Прибыль &gt; 0")),"Не оценён")</x:f>
        <x:v>Не оценён</x:v>
      </x:c>
      <x:c r="AE109" s="13" t="str">
        <x:f>IF(J109="Рассчитано","Выручка "&amp;TEXT(V109,"0.00")&amp;" - себестоимость "&amp;TEXT(W109,"0.00")&amp;" - комиссия "&amp;TEXT(V109*R109/100,"0.00")&amp;" - доставка "&amp;TEXT(P109,"0.00")&amp;" - прочие "&amp;TEXT(Q109,"0.00")&amp;" = "&amp;TEXT(G109,"0.00")&amp;" "&amp;L109,"Введите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09" s="24" t="n">
        <x:v>24.94851091082118</x:v>
      </x:c>
      <x:c r="AG109" s="37" t="n">
        <x:v>3</x:v>
      </x:c>
      <x:c r="AH109" s="37" t="n">
        <x:v>0</x:v>
      </x:c>
      <x:c r="AI109" s="30" t="n">
        <x:v>46266</x:v>
      </x:c>
      <x:c r="AJ109" s="37" t="n">
        <x:v>10</x:v>
      </x:c>
      <x:c r="AK109" s="10" t="str">
        <x:v>минимум</x:v>
      </x:c>
      <x:c r="AL109" s="32" t="n">
        <x:v>3.6074297308447116</x:v>
      </x:c>
      <x:c r="AM109" s="13" t="str">
        <x:v>Остаток на начало сентября; Резервы неизвестны; Stockout оценён по месячным снимкам; Нет ежедневных данных доступности. Запаса примерно на 3.6 дн. без поступлений</x:v>
      </x:c>
      <x:c r="AN109" s="13" t="str">
        <x:v>Подтвердить наличие, срок и цену закупки</x:v>
      </x:c>
      <x:c r="AO109" s="13" t="str">
        <x:v>Прогноз 30 дней 24.95; остаток 3; поступления в срок 0; нехватка 22; заказ с учётом MOQ 22 шт. Остаток на начало сентября: требуется актуализация.</x:v>
      </x:c>
      <x:c r="AP109" s="13" t="str">
        <x:v>["category_missing", "daily_stockout_data_missing", "large_orders_detected", "new_order_lead_time_unknown", "reservations_unknown", "stale_stock", "stockout_proxy_used"]</x:v>
      </x:c>
      <x:c r="AQ109" s="10" t="str">
        <x:v>IEK:130300021_</x:v>
      </x:c>
      <x:c r="AR109" s="24" t="n">
        <x:v>1</x:v>
      </x:c>
      <x:c r="AS109" s="24" t="n">
        <x:f>MAX(0,ROUNDUP(MAX(0,AF109-AG109-AH109)/AR109-0.000000001,0)*AR109)</x:f>
        <x:v>22</x:v>
      </x:c>
      <x:c r="AT109" s="24" t="n">
        <x:v>21.94851091082118</x:v>
      </x:c>
    </x:row>
    <x:row r="110" ht="64" customHeight="1">
      <x:c r="A110" s="11" t="str">
        <x:v>IEK</x:v>
      </x:c>
      <x:c r="B110" s="33" t="str">
        <x:v>130300033_</x:v>
      </x:c>
      <x:c r="C110" s="33" t="str">
        <x:v>TKL20-006-016</x:v>
      </x:c>
      <x:c r="D110" s="12" t="str">
        <x:v>Клещи обжимн КО-6Е 6-16мм IEK (40)</x:v>
      </x:c>
      <x:c r="E110" s="11" t="str">
        <x:v>шт</x:v>
      </x:c>
      <x:c r="F110" s="35" t="n">
        <x:f>IF(AS110&gt;0,MAX(AS110,AJ110),0)</x:f>
        <x:v>2</x:v>
      </x:c>
      <x:c r="G110" s="20" t="str">
        <x:f>IF(J110="Рассчитано",V110*(1-R110/100)-W110-P110-Q110,"н/д")</x:f>
        <x:v>н/д</x:v>
      </x:c>
      <x:c r="H110" s="12" t="str">
        <x:v>Высокий</x:v>
      </x:c>
      <x:c r="I110" s="12" t="str">
        <x:v>Высокий</x:v>
      </x:c>
      <x:c r="J110" s="12" t="str">
        <x:f>IF(L110="","Укажите валюту",IF(NOT(ISNUMBER(K110)),"Укажите объём",IF(K110&lt;=0,"Укажите объём",IF(COUNT(M110:O110)&lt;3,"Нужны цены",IF(COUNT(P110:R110)&lt;3,"Нужны расходы",IF(OR(M110&lt;0,N110&lt;0,O110&lt;0,O110&gt;100,P110&lt;0,Q110&lt;0,R110&lt;0,R110&gt;100),"Проверьте значения","Рассчитано"))))))</x:f>
        <x:v>Нужны цены</x:v>
      </x:c>
      <x:c r="K110" s="36" t="n">
        <x:v>2</x:v>
      </x:c>
      <x:c r="L110" s="19" t="str">
        <x:v>KZT</x:v>
      </x:c>
      <x:c r="M110" s="22"/>
      <x:c r="N110" s="22"/>
      <x:c r="O110" s="28"/>
      <x:c r="P110" s="22"/>
      <x:c r="Q110" s="22"/>
      <x:c r="R110" s="28"/>
      <x:c r="S110" s="22"/>
      <x:c r="T110" s="35" t="n">
        <x:f>MIN(K110,AT110)</x:f>
        <x:v>1.7238323472168386</x:v>
      </x:c>
      <x:c r="U110" s="20" t="str">
        <x:f>IF(J110="Рассчитано",N110*(1-O110/100),"н/д")</x:f>
        <x:v>н/д</x:v>
      </x:c>
      <x:c r="V110" s="20" t="str">
        <x:f>IF(J110="Рассчитано",T110*U110,"н/д")</x:f>
        <x:v>н/д</x:v>
      </x:c>
      <x:c r="W110" s="20" t="str">
        <x:f>IF(J110="Рассчитано",T110*M110,"н/д")</x:f>
        <x:v>н/д</x:v>
      </x:c>
      <x:c r="X110" s="20" t="str">
        <x:f>IF(J110="Рассчитано",V110-W110,"н/д")</x:f>
        <x:v>н/д</x:v>
      </x:c>
      <x:c r="Y110" s="26" t="str">
        <x:f>IF(J110="Рассчитано",IF(V110&gt;0,G110/V110,"н/д"),"н/д")</x:f>
        <x:v>н/д</x:v>
      </x:c>
      <x:c r="Z110" s="20" t="str">
        <x:f>IF(J110="Рассчитано",K110*M110,"н/д")</x:f>
        <x:v>н/д</x:v>
      </x:c>
      <x:c r="AA110" s="20" t="str">
        <x:f>IF(J110="Рассчитано",(K110-T110)*M110,"н/д")</x:f>
        <x:v>н/д</x:v>
      </x:c>
      <x:c r="AB110" s="20" t="str">
        <x:f>IF(AND(J110="Рассчитано",ISNUMBER(S110)),K110*(S110-M110),"н/д")</x:f>
        <x:v>н/д</x:v>
      </x:c>
      <x:c r="AC110" s="20" t="str">
        <x:f>IF(AND(J110="Рассчитано",T110&gt;0,R110&lt;100),(W110+P110+Q110)/(T110*(1-R110/100)),"н/д")</x:f>
        <x:v>н/д</x:v>
      </x:c>
      <x:c r="AD110" s="11" t="str">
        <x:f>IF(ISNUMBER(G110),IF(G110&lt;0,"Убыток",IF(G110=0,"Без прибыли","Прибыль &gt; 0")),"Не оценён")</x:f>
        <x:v>Не оценён</x:v>
      </x:c>
      <x:c r="AE110" s="12" t="str">
        <x:f>IF(J110="Рассчитано","Выручка "&amp;TEXT(V110,"0.00")&amp;" - себестоимость "&amp;TEXT(W110,"0.00")&amp;" - комиссия "&amp;TEXT(V110*R110/100,"0.00")&amp;" - доставка "&amp;TEXT(P110,"0.00")&amp;" - прочие "&amp;TEXT(Q110,"0.00")&amp;" = "&amp;TEXT(G110,"0.00")&amp;" "&amp;L110,"Введите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0" s="23" t="n">
        <x:v>2.7238323472168386</x:v>
      </x:c>
      <x:c r="AG110" s="35" t="n">
        <x:v>1</x:v>
      </x:c>
      <x:c r="AH110" s="35" t="n">
        <x:v>0</x:v>
      </x:c>
      <x:c r="AI110" s="29" t="n">
        <x:v>46266</x:v>
      </x:c>
      <x:c r="AJ110" s="35" t="n">
        <x:v>1</x:v>
      </x:c>
      <x:c r="AK110" s="11" t="str">
        <x:v>минимум</x:v>
      </x:c>
      <x:c r="AL110" s="31" t="n">
        <x:v>11.013893726114768</x:v>
      </x:c>
      <x:c r="AM110" s="12" t="str">
        <x:v>Остаток на начало сентября; Резервы неизвестны; Нет ежедневных данных доступности. Запаса примерно на 11.0 дн. без поступлений</x:v>
      </x:c>
      <x:c r="AN110" s="12" t="str">
        <x:v>Подтвердить наличие, срок и цену закупки</x:v>
      </x:c>
      <x:c r="AO110" s="12" t="str">
        <x:v>Прогноз 30 дней 2.72; остаток 1; поступления в срок 0; нехватка 2; заказ с учётом MOQ 2 шт. Остаток на начало сентября: требуется актуализация.</x:v>
      </x:c>
      <x:c r="AP110" s="12" t="str">
        <x:v>["category_missing", "daily_stockout_data_missing", "new_order_lead_time_unknown", "reservations_unknown", "stale_stock"]</x:v>
      </x:c>
      <x:c r="AQ110" s="11" t="str">
        <x:v>IEK:130300033_</x:v>
      </x:c>
      <x:c r="AR110" s="23" t="n">
        <x:v>1</x:v>
      </x:c>
      <x:c r="AS110" s="23" t="n">
        <x:f>MAX(0,ROUNDUP(MAX(0,AF110-AG110-AH110)/AR110-0.000000001,0)*AR110)</x:f>
        <x:v>2</x:v>
      </x:c>
      <x:c r="AT110" s="23" t="n">
        <x:v>1.7238323472168386</x:v>
      </x:c>
    </x:row>
    <x:row r="111" ht="64" customHeight="1">
      <x:c r="A111" s="10" t="str">
        <x:v>IEK</x:v>
      </x:c>
      <x:c r="B111" s="34" t="str">
        <x:v>130300039_</x:v>
      </x:c>
      <x:c r="C111" s="34" t="str">
        <x:v>YZN10-010-K03</x:v>
      </x:c>
      <x:c r="D111" s="13" t="str">
        <x:v>ЗНИ 10мм ² (70А) серый  IEK (40)</x:v>
      </x:c>
      <x:c r="E111" s="10" t="str">
        <x:v>шт</x:v>
      </x:c>
      <x:c r="F111" s="37" t="n">
        <x:f>AS111</x:f>
        <x:v>13</x:v>
      </x:c>
      <x:c r="G111" s="21" t="str">
        <x:f>IF(J111="Рассчитано",V111*(1-R111/100)-W111-P111-Q111,"н/д")</x:f>
        <x:v>н/д</x:v>
      </x:c>
      <x:c r="H111" s="13" t="str">
        <x:v>Высокий</x:v>
      </x:c>
      <x:c r="I111" s="13" t="str">
        <x:v>Критический</x:v>
      </x:c>
      <x:c r="J111" s="13" t="str">
        <x:f>IF(L111="","Укажите валюту",IF(NOT(ISNUMBER(K111)),"Укажите объём",IF(K111&lt;=0,"Укажите объём",IF(COUNT(M111:O111)&lt;3,"Нужны цены",IF(COUNT(P111:R111)&lt;3,"Нужны расходы",IF(OR(M111&lt;0,N111&lt;0,O111&lt;0,O111&gt;100,P111&lt;0,Q111&lt;0,R111&lt;0,R111&gt;100),"Проверьте значения","Рассчитано"))))))</x:f>
        <x:v>Нужны цены</x:v>
      </x:c>
      <x:c r="K111" s="36" t="n">
        <x:v>13</x:v>
      </x:c>
      <x:c r="L111" s="19" t="str">
        <x:v>KZT</x:v>
      </x:c>
      <x:c r="M111" s="22"/>
      <x:c r="N111" s="22"/>
      <x:c r="O111" s="28"/>
      <x:c r="P111" s="22"/>
      <x:c r="Q111" s="22"/>
      <x:c r="R111" s="28"/>
      <x:c r="S111" s="22"/>
      <x:c r="T111" s="37" t="n">
        <x:f>MIN(K111,AT111)</x:f>
        <x:v>12.06642211957429</x:v>
      </x:c>
      <x:c r="U111" s="21" t="str">
        <x:f>IF(J111="Рассчитано",N111*(1-O111/100),"н/д")</x:f>
        <x:v>н/д</x:v>
      </x:c>
      <x:c r="V111" s="21" t="str">
        <x:f>IF(J111="Рассчитано",T111*U111,"н/д")</x:f>
        <x:v>н/д</x:v>
      </x:c>
      <x:c r="W111" s="21" t="str">
        <x:f>IF(J111="Рассчитано",T111*M111,"н/д")</x:f>
        <x:v>н/д</x:v>
      </x:c>
      <x:c r="X111" s="21" t="str">
        <x:f>IF(J111="Рассчитано",V111-W111,"н/д")</x:f>
        <x:v>н/д</x:v>
      </x:c>
      <x:c r="Y111" s="27" t="str">
        <x:f>IF(J111="Рассчитано",IF(V111&gt;0,G111/V111,"н/д"),"н/д")</x:f>
        <x:v>н/д</x:v>
      </x:c>
      <x:c r="Z111" s="21" t="str">
        <x:f>IF(J111="Рассчитано",K111*M111,"н/д")</x:f>
        <x:v>н/д</x:v>
      </x:c>
      <x:c r="AA111" s="21" t="str">
        <x:f>IF(J111="Рассчитано",(K111-T111)*M111,"н/д")</x:f>
        <x:v>н/д</x:v>
      </x:c>
      <x:c r="AB111" s="21" t="str">
        <x:f>IF(AND(J111="Рассчитано",ISNUMBER(S111)),K111*(S111-M111),"н/д")</x:f>
        <x:v>н/д</x:v>
      </x:c>
      <x:c r="AC111" s="21" t="str">
        <x:f>IF(AND(J111="Рассчитано",T111&gt;0,R111&lt;100),(W111+P111+Q111)/(T111*(1-R111/100)),"н/д")</x:f>
        <x:v>н/д</x:v>
      </x:c>
      <x:c r="AD111" s="10" t="str">
        <x:f>IF(ISNUMBER(G111),IF(G111&lt;0,"Убыток",IF(G111=0,"Без прибыли","Прибыль &gt; 0")),"Не оценён")</x:f>
        <x:v>Не оценён</x:v>
      </x:c>
      <x:c r="AE111" s="13" t="str">
        <x:f>IF(J111="Рассчитано","Выручка "&amp;TEXT(V111,"0.00")&amp;" - себестоимость "&amp;TEXT(W111,"0.00")&amp;" - комиссия "&amp;TEXT(V111*R111/100,"0.00")&amp;" - доставка "&amp;TEXT(P111,"0.00")&amp;" - прочие "&amp;TEXT(Q111,"0.00")&amp;" = "&amp;TEXT(G111,"0.00")&amp;" "&amp;L111,"Введите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1" s="24" t="n">
        <x:v>12.06642211957429</x:v>
      </x:c>
      <x:c r="AG111" s="37" t="n">
        <x:v>0</x:v>
      </x:c>
      <x:c r="AH111" s="37" t="n">
        <x:v>0</x:v>
      </x:c>
      <x:c r="AI111" s="30" t="n">
        <x:v>46266</x:v>
      </x:c>
      <x:c r="AJ111" s="37"/>
      <x:c r="AK111" s="10" t="str">
        <x:v>неизвестно</x:v>
      </x:c>
      <x:c r="AL111" s="32" t="n">
        <x:v>0</x:v>
      </x:c>
      <x:c r="AM111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11" s="13" t="str">
        <x:v>Подтвердить наличие, срок и цену закупки</x:v>
      </x:c>
      <x:c r="AO111" s="13" t="str">
        <x:v>Прогноз 30 дней 12.07; остаток 0; поступления в срок 0; нехватка 13; заказ с учётом MOQ 13 шт. Остаток на начало сентября: требуется актуализация.</x:v>
      </x:c>
      <x:c r="AP111" s="13" t="str">
        <x:v>["blank_stock_assumed_zero", "category_missing", "daily_stockout_data_missing", "moq_missing", "new_order_lead_time_unknown", "reservations_unknown", "stale_stock", "stockout_proxy_used"]</x:v>
      </x:c>
      <x:c r="AQ111" s="10" t="str">
        <x:v>IEK:130300039_</x:v>
      </x:c>
      <x:c r="AR111" s="24" t="n">
        <x:v>1</x:v>
      </x:c>
      <x:c r="AS111" s="24" t="n">
        <x:f>MAX(0,ROUNDUP(MAX(0,AF111-AG111-AH111)/AR111-0.000000001,0)*AR111)</x:f>
        <x:v>13</x:v>
      </x:c>
      <x:c r="AT111" s="24" t="n">
        <x:v>12.06642211957429</x:v>
      </x:c>
    </x:row>
    <x:row r="112" ht="64" customHeight="1">
      <x:c r="A112" s="11" t="str">
        <x:v>IEK</x:v>
      </x:c>
      <x:c r="B112" s="33" t="str">
        <x:v>130300084_</x:v>
      </x:c>
      <x:c r="C112" s="33" t="str">
        <x:v>MZD10-230</x:v>
      </x:c>
      <x:c r="D112" s="12" t="str">
        <x:v>Звонок ЗД-47 на DIN-рейку IEK (12/240)</x:v>
      </x:c>
      <x:c r="E112" s="11" t="str">
        <x:v>шт</x:v>
      </x:c>
      <x:c r="F112" s="35" t="n">
        <x:f>IF(AS112&gt;0,MAX(AS112,AJ112),0)</x:f>
        <x:v>12</x:v>
      </x:c>
      <x:c r="G112" s="20" t="str">
        <x:f>IF(J112="Рассчитано",V112*(1-R112/100)-W112-P112-Q112,"н/д")</x:f>
        <x:v>н/д</x:v>
      </x:c>
      <x:c r="H112" s="12" t="str">
        <x:v>Высокий</x:v>
      </x:c>
      <x:c r="I112" s="12" t="str">
        <x:v>Критический</x:v>
      </x:c>
      <x:c r="J112" s="12" t="str">
        <x:f>IF(L112="","Укажите валюту",IF(NOT(ISNUMBER(K112)),"Укажите объём",IF(K112&lt;=0,"Укажите объём",IF(COUNT(M112:O112)&lt;3,"Нужны цены",IF(COUNT(P112:R112)&lt;3,"Нужны расходы",IF(OR(M112&lt;0,N112&lt;0,O112&lt;0,O112&gt;100,P112&lt;0,Q112&lt;0,R112&lt;0,R112&gt;100),"Проверьте значения","Рассчитано"))))))</x:f>
        <x:v>Нужны цены</x:v>
      </x:c>
      <x:c r="K112" s="36" t="n">
        <x:v>12</x:v>
      </x:c>
      <x:c r="L112" s="19" t="str">
        <x:v>KZT</x:v>
      </x:c>
      <x:c r="M112" s="22"/>
      <x:c r="N112" s="22"/>
      <x:c r="O112" s="28"/>
      <x:c r="P112" s="22"/>
      <x:c r="Q112" s="22"/>
      <x:c r="R112" s="28"/>
      <x:c r="S112" s="22"/>
      <x:c r="T112" s="35" t="n">
        <x:f>MIN(K112,AT112)</x:f>
        <x:v>10.127071004891611</x:v>
      </x:c>
      <x:c r="U112" s="20" t="str">
        <x:f>IF(J112="Рассчитано",N112*(1-O112/100),"н/д")</x:f>
        <x:v>н/д</x:v>
      </x:c>
      <x:c r="V112" s="20" t="str">
        <x:f>IF(J112="Рассчитано",T112*U112,"н/д")</x:f>
        <x:v>н/д</x:v>
      </x:c>
      <x:c r="W112" s="20" t="str">
        <x:f>IF(J112="Рассчитано",T112*M112,"н/д")</x:f>
        <x:v>н/д</x:v>
      </x:c>
      <x:c r="X112" s="20" t="str">
        <x:f>IF(J112="Рассчитано",V112-W112,"н/д")</x:f>
        <x:v>н/д</x:v>
      </x:c>
      <x:c r="Y112" s="26" t="str">
        <x:f>IF(J112="Рассчитано",IF(V112&gt;0,G112/V112,"н/д"),"н/д")</x:f>
        <x:v>н/д</x:v>
      </x:c>
      <x:c r="Z112" s="20" t="str">
        <x:f>IF(J112="Рассчитано",K112*M112,"н/д")</x:f>
        <x:v>н/д</x:v>
      </x:c>
      <x:c r="AA112" s="20" t="str">
        <x:f>IF(J112="Рассчитано",(K112-T112)*M112,"н/д")</x:f>
        <x:v>н/д</x:v>
      </x:c>
      <x:c r="AB112" s="20" t="str">
        <x:f>IF(AND(J112="Рассчитано",ISNUMBER(S112)),K112*(S112-M112),"н/д")</x:f>
        <x:v>н/д</x:v>
      </x:c>
      <x:c r="AC112" s="20" t="str">
        <x:f>IF(AND(J112="Рассчитано",T112&gt;0,R112&lt;100),(W112+P112+Q112)/(T112*(1-R112/100)),"н/д")</x:f>
        <x:v>н/д</x:v>
      </x:c>
      <x:c r="AD112" s="11" t="str">
        <x:f>IF(ISNUMBER(G112),IF(G112&lt;0,"Убыток",IF(G112=0,"Без прибыли","Прибыль &gt; 0")),"Не оценён")</x:f>
        <x:v>Не оценён</x:v>
      </x:c>
      <x:c r="AE112" s="12" t="str">
        <x:f>IF(J112="Рассчитано","Выручка "&amp;TEXT(V112,"0.00")&amp;" - себестоимость "&amp;TEXT(W112,"0.00")&amp;" - комиссия "&amp;TEXT(V112*R112/100,"0.00")&amp;" - доставка "&amp;TEXT(P112,"0.00")&amp;" - прочие "&amp;TEXT(Q112,"0.00")&amp;" = "&amp;TEXT(G112,"0.00")&amp;" "&amp;L112,"Введите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2" s="23" t="n">
        <x:v>10.127071004891611</x:v>
      </x:c>
      <x:c r="AG112" s="35" t="n">
        <x:v>0</x:v>
      </x:c>
      <x:c r="AH112" s="35" t="n">
        <x:v>0</x:v>
      </x:c>
      <x:c r="AI112" s="29" t="n">
        <x:v>46266</x:v>
      </x:c>
      <x:c r="AJ112" s="35" t="n">
        <x:v>12</x:v>
      </x:c>
      <x:c r="AK112" s="11" t="str">
        <x:v>минимум</x:v>
      </x:c>
      <x:c r="AL112" s="31" t="n">
        <x:v>0</x:v>
      </x:c>
      <x:c r="AM112" s="12" t="str">
        <x:v>Остаток на начало сентября; Резервы неизвестны; Нет ежедневных данных доступности. Нет запаса</x:v>
      </x:c>
      <x:c r="AN112" s="12" t="str">
        <x:v>Подтвердить наличие, срок и цену закупки</x:v>
      </x:c>
      <x:c r="AO112" s="12" t="str">
        <x:v>Прогноз 30 дней 10.13; остаток 0; поступления в срок 0; нехватка 11; заказ с учётом MOQ 12 шт. Остаток на начало сентября: требуется актуализация.</x:v>
      </x:c>
      <x:c r="AP112" s="12" t="str">
        <x:v>["blank_stock_assumed_zero", "category_missing", "daily_stockout_data_missing", "large_orders_detected", "new_order_lead_time_unknown", "reservations_unknown", "stale_stock"]</x:v>
      </x:c>
      <x:c r="AQ112" s="11" t="str">
        <x:v>IEK:130300084_</x:v>
      </x:c>
      <x:c r="AR112" s="23" t="n">
        <x:v>1</x:v>
      </x:c>
      <x:c r="AS112" s="23" t="n">
        <x:f>MAX(0,ROUNDUP(MAX(0,AF112-AG112-AH112)/AR112-0.000000001,0)*AR112)</x:f>
        <x:v>11</x:v>
      </x:c>
      <x:c r="AT112" s="23" t="n">
        <x:v>10.127071004891611</x:v>
      </x:c>
    </x:row>
    <x:row r="113" ht="64" customHeight="1">
      <x:c r="A113" s="10" t="str">
        <x:v>IEK</x:v>
      </x:c>
      <x:c r="B113" s="34" t="str">
        <x:v>130300105_</x:v>
      </x:c>
      <x:c r="C113" s="34" t="str">
        <x:v>UZV3-150-35</x:v>
      </x:c>
      <x:c r="D113" s="13" t="str">
        <x:v>ЗВИ 150 ПВХ (16-35мм ² 150А) 12 пар IEK (10)</x:v>
      </x:c>
      <x:c r="E113" s="10" t="str">
        <x:v>шт</x:v>
      </x:c>
      <x:c r="F113" s="37" t="n">
        <x:f>AS113</x:f>
        <x:v>1</x:v>
      </x:c>
      <x:c r="G113" s="21" t="str">
        <x:f>IF(J113="Рассчитано",V113*(1-R113/100)-W113-P113-Q113,"н/д")</x:f>
        <x:v>н/д</x:v>
      </x:c>
      <x:c r="H113" s="13" t="str">
        <x:v>Высокий</x:v>
      </x:c>
      <x:c r="I113" s="13" t="str">
        <x:v>Критический</x:v>
      </x:c>
      <x:c r="J113" s="13" t="str">
        <x:f>IF(L113="","Укажите валюту",IF(NOT(ISNUMBER(K113)),"Укажите объём",IF(K113&lt;=0,"Укажите объём",IF(COUNT(M113:O113)&lt;3,"Нужны цены",IF(COUNT(P113:R113)&lt;3,"Нужны расходы",IF(OR(M113&lt;0,N113&lt;0,O113&lt;0,O113&gt;100,P113&lt;0,Q113&lt;0,R113&lt;0,R113&gt;100),"Проверьте значения","Рассчитано"))))))</x:f>
        <x:v>Нужны цены</x:v>
      </x:c>
      <x:c r="K113" s="36" t="n">
        <x:v>1</x:v>
      </x:c>
      <x:c r="L113" s="19" t="str">
        <x:v>KZT</x:v>
      </x:c>
      <x:c r="M113" s="22"/>
      <x:c r="N113" s="22"/>
      <x:c r="O113" s="28"/>
      <x:c r="P113" s="22"/>
      <x:c r="Q113" s="22"/>
      <x:c r="R113" s="28"/>
      <x:c r="S113" s="22"/>
      <x:c r="T113" s="37" t="n">
        <x:f>MIN(K113,AT113)</x:f>
        <x:v>0.38124687595607304</x:v>
      </x:c>
      <x:c r="U113" s="21" t="str">
        <x:f>IF(J113="Рассчитано",N113*(1-O113/100),"н/д")</x:f>
        <x:v>н/д</x:v>
      </x:c>
      <x:c r="V113" s="21" t="str">
        <x:f>IF(J113="Рассчитано",T113*U113,"н/д")</x:f>
        <x:v>н/д</x:v>
      </x:c>
      <x:c r="W113" s="21" t="str">
        <x:f>IF(J113="Рассчитано",T113*M113,"н/д")</x:f>
        <x:v>н/д</x:v>
      </x:c>
      <x:c r="X113" s="21" t="str">
        <x:f>IF(J113="Рассчитано",V113-W113,"н/д")</x:f>
        <x:v>н/д</x:v>
      </x:c>
      <x:c r="Y113" s="27" t="str">
        <x:f>IF(J113="Рассчитано",IF(V113&gt;0,G113/V113,"н/д"),"н/д")</x:f>
        <x:v>н/д</x:v>
      </x:c>
      <x:c r="Z113" s="21" t="str">
        <x:f>IF(J113="Рассчитано",K113*M113,"н/д")</x:f>
        <x:v>н/д</x:v>
      </x:c>
      <x:c r="AA113" s="21" t="str">
        <x:f>IF(J113="Рассчитано",(K113-T113)*M113,"н/д")</x:f>
        <x:v>н/д</x:v>
      </x:c>
      <x:c r="AB113" s="21" t="str">
        <x:f>IF(AND(J113="Рассчитано",ISNUMBER(S113)),K113*(S113-M113),"н/д")</x:f>
        <x:v>н/д</x:v>
      </x:c>
      <x:c r="AC113" s="21" t="str">
        <x:f>IF(AND(J113="Рассчитано",T113&gt;0,R113&lt;100),(W113+P113+Q113)/(T113*(1-R113/100)),"н/д")</x:f>
        <x:v>н/д</x:v>
      </x:c>
      <x:c r="AD113" s="10" t="str">
        <x:f>IF(ISNUMBER(G113),IF(G113&lt;0,"Убыток",IF(G113=0,"Без прибыли","Прибыль &gt; 0")),"Не оценён")</x:f>
        <x:v>Не оценён</x:v>
      </x:c>
      <x:c r="AE113" s="13" t="str">
        <x:f>IF(J113="Рассчитано","Выручка "&amp;TEXT(V113,"0.00")&amp;" - себестоимость "&amp;TEXT(W113,"0.00")&amp;" - комиссия "&amp;TEXT(V113*R113/100,"0.00")&amp;" - доставка "&amp;TEXT(P113,"0.00")&amp;" - прочие "&amp;TEXT(Q113,"0.00")&amp;" = "&amp;TEXT(G113,"0.00")&amp;" "&amp;L113,"Введите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3" s="24" t="n">
        <x:v>0.38124687595607304</x:v>
      </x:c>
      <x:c r="AG113" s="37" t="n">
        <x:v>0</x:v>
      </x:c>
      <x:c r="AH113" s="37" t="n">
        <x:v>0</x:v>
      </x:c>
      <x:c r="AI113" s="30" t="n">
        <x:v>46266</x:v>
      </x:c>
      <x:c r="AJ113" s="37"/>
      <x:c r="AK113" s="10" t="str">
        <x:v>неизвестно</x:v>
      </x:c>
      <x:c r="AL113" s="32" t="n">
        <x:v>0</x:v>
      </x:c>
      <x:c r="AM113" s="13" t="str">
        <x:v>Остаток на начало сентября; Резервы неизвестны; Нет ежедневных данных доступности. Нет запаса</x:v>
      </x:c>
      <x:c r="AN113" s="13" t="str">
        <x:v>Подтвердить наличие, срок и цену закупки</x:v>
      </x:c>
      <x:c r="AO113" s="13" t="str">
        <x:v>Прогноз 30 дней 0.38; остаток 0; поступления в срок 0; нехватка 1; заказ с учётом MOQ 1 шт. Остаток на начало сентября: требуется актуализация.</x:v>
      </x:c>
      <x:c r="AP113" s="13" t="str">
        <x:v>["blank_stock_assumed_zero", "category_missing", "daily_stockout_data_missing", "moq_missing", "new_order_lead_time_unknown", "reservations_unknown", "stale_stock"]</x:v>
      </x:c>
      <x:c r="AQ113" s="10" t="str">
        <x:v>IEK:130300105_</x:v>
      </x:c>
      <x:c r="AR113" s="24" t="n">
        <x:v>1</x:v>
      </x:c>
      <x:c r="AS113" s="24" t="n">
        <x:f>MAX(0,ROUNDUP(MAX(0,AF113-AG113-AH113)/AR113-0.000000001,0)*AR113)</x:f>
        <x:v>1</x:v>
      </x:c>
      <x:c r="AT113" s="24" t="n">
        <x:v>0.38124687595607304</x:v>
      </x:c>
    </x:row>
    <x:row r="114" ht="64" customHeight="1">
      <x:c r="A114" s="11" t="str">
        <x:v>IEK</x:v>
      </x:c>
      <x:c r="B114" s="33" t="str">
        <x:v>130300143_</x:v>
      </x:c>
      <x:c r="C114" s="33" t="str">
        <x:v>YZN10D-ZGL-010-K03</x:v>
      </x:c>
      <x:c r="D114" s="12" t="str">
        <x:v>Заглушка для ЗНИ-10мм ² серый IEK * (1000)</x:v>
      </x:c>
      <x:c r="E114" s="11" t="str">
        <x:v>шт</x:v>
      </x:c>
      <x:c r="F114" s="35" t="n">
        <x:f>AS114</x:f>
        <x:v>5</x:v>
      </x:c>
      <x:c r="G114" s="20" t="str">
        <x:f>IF(J114="Рассчитано",V114*(1-R114/100)-W114-P114-Q114,"н/д")</x:f>
        <x:v>н/д</x:v>
      </x:c>
      <x:c r="H114" s="12" t="str">
        <x:v>Высокий</x:v>
      </x:c>
      <x:c r="I114" s="12" t="str">
        <x:v>Критический</x:v>
      </x:c>
      <x:c r="J114" s="12" t="str">
        <x:f>IF(L114="","Укажите валюту",IF(NOT(ISNUMBER(K114)),"Укажите объём",IF(K114&lt;=0,"Укажите объём",IF(COUNT(M114:O114)&lt;3,"Нужны цены",IF(COUNT(P114:R114)&lt;3,"Нужны расходы",IF(OR(M114&lt;0,N114&lt;0,O114&lt;0,O114&gt;100,P114&lt;0,Q114&lt;0,R114&lt;0,R114&gt;100),"Проверьте значения","Рассчитано"))))))</x:f>
        <x:v>Нужны цены</x:v>
      </x:c>
      <x:c r="K114" s="36" t="n">
        <x:v>5</x:v>
      </x:c>
      <x:c r="L114" s="19" t="str">
        <x:v>KZT</x:v>
      </x:c>
      <x:c r="M114" s="22"/>
      <x:c r="N114" s="22"/>
      <x:c r="O114" s="28"/>
      <x:c r="P114" s="22"/>
      <x:c r="Q114" s="22"/>
      <x:c r="R114" s="28"/>
      <x:c r="S114" s="22"/>
      <x:c r="T114" s="35" t="n">
        <x:f>MIN(K114,AT114)</x:f>
        <x:v>4.2776362364848435</x:v>
      </x:c>
      <x:c r="U114" s="20" t="str">
        <x:f>IF(J114="Рассчитано",N114*(1-O114/100),"н/д")</x:f>
        <x:v>н/д</x:v>
      </x:c>
      <x:c r="V114" s="20" t="str">
        <x:f>IF(J114="Рассчитано",T114*U114,"н/д")</x:f>
        <x:v>н/д</x:v>
      </x:c>
      <x:c r="W114" s="20" t="str">
        <x:f>IF(J114="Рассчитано",T114*M114,"н/д")</x:f>
        <x:v>н/д</x:v>
      </x:c>
      <x:c r="X114" s="20" t="str">
        <x:f>IF(J114="Рассчитано",V114-W114,"н/д")</x:f>
        <x:v>н/д</x:v>
      </x:c>
      <x:c r="Y114" s="26" t="str">
        <x:f>IF(J114="Рассчитано",IF(V114&gt;0,G114/V114,"н/д"),"н/д")</x:f>
        <x:v>н/д</x:v>
      </x:c>
      <x:c r="Z114" s="20" t="str">
        <x:f>IF(J114="Рассчитано",K114*M114,"н/д")</x:f>
        <x:v>н/д</x:v>
      </x:c>
      <x:c r="AA114" s="20" t="str">
        <x:f>IF(J114="Рассчитано",(K114-T114)*M114,"н/д")</x:f>
        <x:v>н/д</x:v>
      </x:c>
      <x:c r="AB114" s="20" t="str">
        <x:f>IF(AND(J114="Рассчитано",ISNUMBER(S114)),K114*(S114-M114),"н/д")</x:f>
        <x:v>н/д</x:v>
      </x:c>
      <x:c r="AC114" s="20" t="str">
        <x:f>IF(AND(J114="Рассчитано",T114&gt;0,R114&lt;100),(W114+P114+Q114)/(T114*(1-R114/100)),"н/д")</x:f>
        <x:v>н/д</x:v>
      </x:c>
      <x:c r="AD114" s="11" t="str">
        <x:f>IF(ISNUMBER(G114),IF(G114&lt;0,"Убыток",IF(G114=0,"Без прибыли","Прибыль &gt; 0")),"Не оценён")</x:f>
        <x:v>Не оценён</x:v>
      </x:c>
      <x:c r="AE114" s="12" t="str">
        <x:f>IF(J114="Рассчитано","Выручка "&amp;TEXT(V114,"0.00")&amp;" - себестоимость "&amp;TEXT(W114,"0.00")&amp;" - комиссия "&amp;TEXT(V114*R114/100,"0.00")&amp;" - доставка "&amp;TEXT(P114,"0.00")&amp;" - прочие "&amp;TEXT(Q114,"0.00")&amp;" = "&amp;TEXT(G114,"0.00")&amp;" "&amp;L114,"Введите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4" s="23" t="n">
        <x:v>4.2776362364848435</x:v>
      </x:c>
      <x:c r="AG114" s="35" t="n">
        <x:v>0</x:v>
      </x:c>
      <x:c r="AH114" s="35" t="n">
        <x:v>0</x:v>
      </x:c>
      <x:c r="AI114" s="29" t="n">
        <x:v>46266</x:v>
      </x:c>
      <x:c r="AJ114" s="35"/>
      <x:c r="AK114" s="11" t="str">
        <x:v>неизвестно</x:v>
      </x:c>
      <x:c r="AL114" s="31" t="n">
        <x:v>0</x:v>
      </x:c>
      <x:c r="AM114" s="12" t="str">
        <x:v>Остаток на начало сентября; Резервы неизвестны; Нет ежедневных данных доступности. Нет запаса</x:v>
      </x:c>
      <x:c r="AN114" s="12" t="str">
        <x:v>Подтвердить наличие, срок и цену закупки</x:v>
      </x:c>
      <x:c r="AO114" s="12" t="str">
        <x:v>Прогноз 30 дней 4.28; остаток 0; поступления в срок 0; нехватка 5; заказ с учётом MOQ 5 шт. Остаток на начало сентября: требуется актуализация.</x:v>
      </x:c>
      <x:c r="AP114" s="12" t="str">
        <x:v>["blank_stock_assumed_zero", "category_missing", "daily_stockout_data_missing", "moq_missing", "new_order_lead_time_unknown", "reservations_unknown", "stale_stock"]</x:v>
      </x:c>
      <x:c r="AQ114" s="11" t="str">
        <x:v>IEK:130300143_</x:v>
      </x:c>
      <x:c r="AR114" s="23" t="n">
        <x:v>1</x:v>
      </x:c>
      <x:c r="AS114" s="23" t="n">
        <x:f>MAX(0,ROUNDUP(MAX(0,AF114-AG114-AH114)/AR114-0.000000001,0)*AR114)</x:f>
        <x:v>5</x:v>
      </x:c>
      <x:c r="AT114" s="23" t="n">
        <x:v>4.2776362364848435</x:v>
      </x:c>
    </x:row>
    <x:row r="115" ht="64" customHeight="1">
      <x:c r="A115" s="10" t="str">
        <x:v>IEK</x:v>
      </x:c>
      <x:c r="B115" s="34" t="str">
        <x:v>130300291_</x:v>
      </x:c>
      <x:c r="C115" s="34" t="str">
        <x:v>TLK10-240</x:v>
      </x:c>
      <x:c r="D115" s="13" t="str">
        <x:v>Ножницы (секторные)  для резки кабеля НС-240 (до 240мм) IEK</x:v>
      </x:c>
      <x:c r="E115" s="10" t="str">
        <x:v>шт</x:v>
      </x:c>
      <x:c r="F115" s="37" t="n">
        <x:f>IF(AS115&gt;0,MAX(AS115,AJ115),0)</x:f>
        <x:v>4</x:v>
      </x:c>
      <x:c r="G115" s="21" t="str">
        <x:f>IF(J115="Рассчитано",V115*(1-R115/100)-W115-P115-Q115,"н/д")</x:f>
        <x:v>н/д</x:v>
      </x:c>
      <x:c r="H115" s="13" t="str">
        <x:v>Высокий</x:v>
      </x:c>
      <x:c r="I115" s="13" t="str">
        <x:v>Критический</x:v>
      </x:c>
      <x:c r="J115" s="13" t="str">
        <x:f>IF(L115="","Укажите валюту",IF(NOT(ISNUMBER(K115)),"Укажите объём",IF(K115&lt;=0,"Укажите объём",IF(COUNT(M115:O115)&lt;3,"Нужны цены",IF(COUNT(P115:R115)&lt;3,"Нужны расходы",IF(OR(M115&lt;0,N115&lt;0,O115&lt;0,O115&gt;100,P115&lt;0,Q115&lt;0,R115&lt;0,R115&gt;100),"Проверьте значения","Рассчитано"))))))</x:f>
        <x:v>Нужны цены</x:v>
      </x:c>
      <x:c r="K115" s="36" t="n">
        <x:v>4</x:v>
      </x:c>
      <x:c r="L115" s="19" t="str">
        <x:v>KZT</x:v>
      </x:c>
      <x:c r="M115" s="22"/>
      <x:c r="N115" s="22"/>
      <x:c r="O115" s="28"/>
      <x:c r="P115" s="22"/>
      <x:c r="Q115" s="22"/>
      <x:c r="R115" s="28"/>
      <x:c r="S115" s="22"/>
      <x:c r="T115" s="37" t="n">
        <x:f>MIN(K115,AT115)</x:f>
        <x:v>3.7016054986652707</x:v>
      </x:c>
      <x:c r="U115" s="21" t="str">
        <x:f>IF(J115="Рассчитано",N115*(1-O115/100),"н/д")</x:f>
        <x:v>н/д</x:v>
      </x:c>
      <x:c r="V115" s="21" t="str">
        <x:f>IF(J115="Рассчитано",T115*U115,"н/д")</x:f>
        <x:v>н/д</x:v>
      </x:c>
      <x:c r="W115" s="21" t="str">
        <x:f>IF(J115="Рассчитано",T115*M115,"н/д")</x:f>
        <x:v>н/д</x:v>
      </x:c>
      <x:c r="X115" s="21" t="str">
        <x:f>IF(J115="Рассчитано",V115-W115,"н/д")</x:f>
        <x:v>н/д</x:v>
      </x:c>
      <x:c r="Y115" s="27" t="str">
        <x:f>IF(J115="Рассчитано",IF(V115&gt;0,G115/V115,"н/д"),"н/д")</x:f>
        <x:v>н/д</x:v>
      </x:c>
      <x:c r="Z115" s="21" t="str">
        <x:f>IF(J115="Рассчитано",K115*M115,"н/д")</x:f>
        <x:v>н/д</x:v>
      </x:c>
      <x:c r="AA115" s="21" t="str">
        <x:f>IF(J115="Рассчитано",(K115-T115)*M115,"н/д")</x:f>
        <x:v>н/д</x:v>
      </x:c>
      <x:c r="AB115" s="21" t="str">
        <x:f>IF(AND(J115="Рассчитано",ISNUMBER(S115)),K115*(S115-M115),"н/д")</x:f>
        <x:v>н/д</x:v>
      </x:c>
      <x:c r="AC115" s="21" t="str">
        <x:f>IF(AND(J115="Рассчитано",T115&gt;0,R115&lt;100),(W115+P115+Q115)/(T115*(1-R115/100)),"н/д")</x:f>
        <x:v>н/д</x:v>
      </x:c>
      <x:c r="AD115" s="10" t="str">
        <x:f>IF(ISNUMBER(G115),IF(G115&lt;0,"Убыток",IF(G115=0,"Без прибыли","Прибыль &gt; 0")),"Не оценён")</x:f>
        <x:v>Не оценён</x:v>
      </x:c>
      <x:c r="AE115" s="13" t="str">
        <x:f>IF(J115="Рассчитано","Выручка "&amp;TEXT(V115,"0.00")&amp;" - себестоимость "&amp;TEXT(W115,"0.00")&amp;" - комиссия "&amp;TEXT(V115*R115/100,"0.00")&amp;" - доставка "&amp;TEXT(P115,"0.00")&amp;" - прочие "&amp;TEXT(Q115,"0.00")&amp;" = "&amp;TEXT(G115,"0.00")&amp;" "&amp;L115,"Введите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5" s="24" t="n">
        <x:v>3.7016054986652707</x:v>
      </x:c>
      <x:c r="AG115" s="37" t="n">
        <x:v>0</x:v>
      </x:c>
      <x:c r="AH115" s="37" t="n">
        <x:v>0</x:v>
      </x:c>
      <x:c r="AI115" s="30" t="n">
        <x:v>46266</x:v>
      </x:c>
      <x:c r="AJ115" s="37" t="n">
        <x:v>1</x:v>
      </x:c>
      <x:c r="AK115" s="10" t="str">
        <x:v>минимум</x:v>
      </x:c>
      <x:c r="AL115" s="32" t="n">
        <x:v>0</x:v>
      </x:c>
      <x:c r="AM115" s="13" t="str">
        <x:v>Остаток на начало сентября; Резервы неизвестны; Нет ежедневных данных доступности. Нет запаса</x:v>
      </x:c>
      <x:c r="AN115" s="13" t="str">
        <x:v>Подтвердить наличие, срок и цену закупки</x:v>
      </x:c>
      <x:c r="AO115" s="13" t="str">
        <x:v>Прогноз 30 дней 3.70; остаток 0; поступления в срок 0; нехватка 4; заказ с учётом MOQ 4 шт. Остаток на начало сентября: требуется актуализация.</x:v>
      </x:c>
      <x:c r="AP115" s="13" t="str">
        <x:v>["blank_stock_assumed_zero", "category_missing", "daily_stockout_data_missing", "new_order_lead_time_unknown", "reservations_unknown", "stale_stock"]</x:v>
      </x:c>
      <x:c r="AQ115" s="10" t="str">
        <x:v>IEK:130300291_</x:v>
      </x:c>
      <x:c r="AR115" s="24" t="n">
        <x:v>1</x:v>
      </x:c>
      <x:c r="AS115" s="24" t="n">
        <x:f>MAX(0,ROUNDUP(MAX(0,AF115-AG115-AH115)/AR115-0.000000001,0)*AR115)</x:f>
        <x:v>4</x:v>
      </x:c>
      <x:c r="AT115" s="24" t="n">
        <x:v>3.7016054986652707</x:v>
      </x:c>
    </x:row>
    <x:row r="116" ht="64" customHeight="1">
      <x:c r="A116" s="11" t="str">
        <x:v>IEK</x:v>
      </x:c>
      <x:c r="B116" s="33" t="str">
        <x:v>130300293_</x:v>
      </x:c>
      <x:c r="C116" s="33" t="str">
        <x:v>TFS-D3</x:v>
      </x:c>
      <x:c r="D116" s="12" t="str">
        <x:v>Автоматический стриппер АС 0,018-2,5 IEK</x:v>
      </x:c>
      <x:c r="E116" s="11" t="str">
        <x:v>шт</x:v>
      </x:c>
      <x:c r="F116" s="35" t="n">
        <x:f>AS116</x:f>
        <x:v>1</x:v>
      </x:c>
      <x:c r="G116" s="20" t="str">
        <x:f>IF(J116="Рассчитано",V116*(1-R116/100)-W116-P116-Q116,"н/д")</x:f>
        <x:v>н/д</x:v>
      </x:c>
      <x:c r="H116" s="12" t="str">
        <x:v>Высокий</x:v>
      </x:c>
      <x:c r="I116" s="12" t="str">
        <x:v>Критический</x:v>
      </x:c>
      <x:c r="J116" s="12" t="str">
        <x:f>IF(L116="","Укажите валюту",IF(NOT(ISNUMBER(K116)),"Укажите объём",IF(K116&lt;=0,"Укажите объём",IF(COUNT(M116:O116)&lt;3,"Нужны цены",IF(COUNT(P116:R116)&lt;3,"Нужны расходы",IF(OR(M116&lt;0,N116&lt;0,O116&lt;0,O116&gt;100,P116&lt;0,Q116&lt;0,R116&lt;0,R116&gt;100),"Проверьте значения","Рассчитано"))))))</x:f>
        <x:v>Нужны цены</x:v>
      </x:c>
      <x:c r="K116" s="36" t="n">
        <x:v>1</x:v>
      </x:c>
      <x:c r="L116" s="19" t="str">
        <x:v>KZT</x:v>
      </x:c>
      <x:c r="M116" s="22"/>
      <x:c r="N116" s="22"/>
      <x:c r="O116" s="28"/>
      <x:c r="P116" s="22"/>
      <x:c r="Q116" s="22"/>
      <x:c r="R116" s="28"/>
      <x:c r="S116" s="22"/>
      <x:c r="T116" s="35" t="n">
        <x:f>MIN(K116,AT116)</x:f>
        <x:v>0.04032764487248222</x:v>
      </x:c>
      <x:c r="U116" s="20" t="str">
        <x:f>IF(J116="Рассчитано",N116*(1-O116/100),"н/д")</x:f>
        <x:v>н/д</x:v>
      </x:c>
      <x:c r="V116" s="20" t="str">
        <x:f>IF(J116="Рассчитано",T116*U116,"н/д")</x:f>
        <x:v>н/д</x:v>
      </x:c>
      <x:c r="W116" s="20" t="str">
        <x:f>IF(J116="Рассчитано",T116*M116,"н/д")</x:f>
        <x:v>н/д</x:v>
      </x:c>
      <x:c r="X116" s="20" t="str">
        <x:f>IF(J116="Рассчитано",V116-W116,"н/д")</x:f>
        <x:v>н/д</x:v>
      </x:c>
      <x:c r="Y116" s="26" t="str">
        <x:f>IF(J116="Рассчитано",IF(V116&gt;0,G116/V116,"н/д"),"н/д")</x:f>
        <x:v>н/д</x:v>
      </x:c>
      <x:c r="Z116" s="20" t="str">
        <x:f>IF(J116="Рассчитано",K116*M116,"н/д")</x:f>
        <x:v>н/д</x:v>
      </x:c>
      <x:c r="AA116" s="20" t="str">
        <x:f>IF(J116="Рассчитано",(K116-T116)*M116,"н/д")</x:f>
        <x:v>н/д</x:v>
      </x:c>
      <x:c r="AB116" s="20" t="str">
        <x:f>IF(AND(J116="Рассчитано",ISNUMBER(S116)),K116*(S116-M116),"н/д")</x:f>
        <x:v>н/д</x:v>
      </x:c>
      <x:c r="AC116" s="20" t="str">
        <x:f>IF(AND(J116="Рассчитано",T116&gt;0,R116&lt;100),(W116+P116+Q116)/(T116*(1-R116/100)),"н/д")</x:f>
        <x:v>н/д</x:v>
      </x:c>
      <x:c r="AD116" s="11" t="str">
        <x:f>IF(ISNUMBER(G116),IF(G116&lt;0,"Убыток",IF(G116=0,"Без прибыли","Прибыль &gt; 0")),"Не оценён")</x:f>
        <x:v>Не оценён</x:v>
      </x:c>
      <x:c r="AE116" s="12" t="str">
        <x:f>IF(J116="Рассчитано","Выручка "&amp;TEXT(V116,"0.00")&amp;" - себестоимость "&amp;TEXT(W116,"0.00")&amp;" - комиссия "&amp;TEXT(V116*R116/100,"0.00")&amp;" - доставка "&amp;TEXT(P116,"0.00")&amp;" - прочие "&amp;TEXT(Q116,"0.00")&amp;" = "&amp;TEXT(G116,"0.00")&amp;" "&amp;L116,"Введите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6" s="23" t="n">
        <x:v>0.04032764487248222</x:v>
      </x:c>
      <x:c r="AG116" s="35" t="n">
        <x:v>0</x:v>
      </x:c>
      <x:c r="AH116" s="35" t="n">
        <x:v>0</x:v>
      </x:c>
      <x:c r="AI116" s="29" t="n">
        <x:v>46266</x:v>
      </x:c>
      <x:c r="AJ116" s="35"/>
      <x:c r="AK116" s="11" t="str">
        <x:v>минимум</x:v>
      </x:c>
      <x:c r="AL116" s="31" t="n">
        <x:v>0</x:v>
      </x:c>
      <x:c r="AM116" s="12" t="str">
        <x:v>Остаток на начало сентября; Резервы неизвестны; Нет ежедневных данных доступности. Нет запаса</x:v>
      </x:c>
      <x:c r="AN116" s="12" t="str">
        <x:v>Подтвердить наличие, срок и цену закупки</x:v>
      </x:c>
      <x:c r="AO116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116" s="12" t="str">
        <x:v>["blank_stock_assumed_zero", "category_missing", "daily_stockout_data_missing", "moq_missing", "new_order_lead_time_unknown", "reservations_unknown", "stale_stock"]</x:v>
      </x:c>
      <x:c r="AQ116" s="11" t="str">
        <x:v>IEK:130300293_</x:v>
      </x:c>
      <x:c r="AR116" s="23" t="n">
        <x:v>1</x:v>
      </x:c>
      <x:c r="AS116" s="23" t="n">
        <x:f>MAX(0,ROUNDUP(MAX(0,AF116-AG116-AH116)/AR116-0.000000001,0)*AR116)</x:f>
        <x:v>1</x:v>
      </x:c>
      <x:c r="AT116" s="23" t="n">
        <x:v>0.04032764487248222</x:v>
      </x:c>
    </x:row>
    <x:row r="117" ht="64" customHeight="1">
      <x:c r="A117" s="10" t="str">
        <x:v>IEK</x:v>
      </x:c>
      <x:c r="B117" s="34" t="str">
        <x:v>130300302_</x:v>
      </x:c>
      <x:c r="C117" s="34" t="str">
        <x:v>MTA20-16</x:v>
      </x:c>
      <x:c r="D117" s="13" t="str">
        <x:v>Таймер ТЭМ 181 аналоговый 16А 230В на DIN-рейку IEK (100)</x:v>
      </x:c>
      <x:c r="E117" s="10" t="str">
        <x:v>шт</x:v>
      </x:c>
      <x:c r="F117" s="37" t="n">
        <x:f>IF(AS117&gt;0,MAX(AS117,AJ117),0)</x:f>
        <x:v>21</x:v>
      </x:c>
      <x:c r="G117" s="21" t="str">
        <x:f>IF(J117="Рассчитано",V117*(1-R117/100)-W117-P117-Q117,"н/д")</x:f>
        <x:v>н/д</x:v>
      </x:c>
      <x:c r="H117" s="13" t="str">
        <x:v>Высокий</x:v>
      </x:c>
      <x:c r="I117" s="13" t="str">
        <x:v>Высокий</x:v>
      </x:c>
      <x:c r="J117" s="13" t="str">
        <x:f>IF(L117="","Укажите валюту",IF(NOT(ISNUMBER(K117)),"Укажите объём",IF(K117&lt;=0,"Укажите объём",IF(COUNT(M117:O117)&lt;3,"Нужны цены",IF(COUNT(P117:R117)&lt;3,"Нужны расходы",IF(OR(M117&lt;0,N117&lt;0,O117&lt;0,O117&gt;100,P117&lt;0,Q117&lt;0,R117&lt;0,R117&gt;100),"Проверьте значения","Рассчитано"))))))</x:f>
        <x:v>Нужны цены</x:v>
      </x:c>
      <x:c r="K117" s="36" t="n">
        <x:v>21</x:v>
      </x:c>
      <x:c r="L117" s="19" t="str">
        <x:v>KZT</x:v>
      </x:c>
      <x:c r="M117" s="22"/>
      <x:c r="N117" s="22"/>
      <x:c r="O117" s="28"/>
      <x:c r="P117" s="22"/>
      <x:c r="Q117" s="22"/>
      <x:c r="R117" s="28"/>
      <x:c r="S117" s="22"/>
      <x:c r="T117" s="37" t="n">
        <x:f>MIN(K117,AT117)</x:f>
        <x:v>20.064370080914948</x:v>
      </x:c>
      <x:c r="U117" s="21" t="str">
        <x:f>IF(J117="Рассчитано",N117*(1-O117/100),"н/д")</x:f>
        <x:v>н/д</x:v>
      </x:c>
      <x:c r="V117" s="21" t="str">
        <x:f>IF(J117="Рассчитано",T117*U117,"н/д")</x:f>
        <x:v>н/д</x:v>
      </x:c>
      <x:c r="W117" s="21" t="str">
        <x:f>IF(J117="Рассчитано",T117*M117,"н/д")</x:f>
        <x:v>н/д</x:v>
      </x:c>
      <x:c r="X117" s="21" t="str">
        <x:f>IF(J117="Рассчитано",V117-W117,"н/д")</x:f>
        <x:v>н/д</x:v>
      </x:c>
      <x:c r="Y117" s="27" t="str">
        <x:f>IF(J117="Рассчитано",IF(V117&gt;0,G117/V117,"н/д"),"н/д")</x:f>
        <x:v>н/д</x:v>
      </x:c>
      <x:c r="Z117" s="21" t="str">
        <x:f>IF(J117="Рассчитано",K117*M117,"н/д")</x:f>
        <x:v>н/д</x:v>
      </x:c>
      <x:c r="AA117" s="21" t="str">
        <x:f>IF(J117="Рассчитано",(K117-T117)*M117,"н/д")</x:f>
        <x:v>н/д</x:v>
      </x:c>
      <x:c r="AB117" s="21" t="str">
        <x:f>IF(AND(J117="Рассчитано",ISNUMBER(S117)),K117*(S117-M117),"н/д")</x:f>
        <x:v>н/д</x:v>
      </x:c>
      <x:c r="AC117" s="21" t="str">
        <x:f>IF(AND(J117="Рассчитано",T117&gt;0,R117&lt;100),(W117+P117+Q117)/(T117*(1-R117/100)),"н/д")</x:f>
        <x:v>н/д</x:v>
      </x:c>
      <x:c r="AD117" s="10" t="str">
        <x:f>IF(ISNUMBER(G117),IF(G117&lt;0,"Убыток",IF(G117=0,"Без прибыли","Прибыль &gt; 0")),"Не оценён")</x:f>
        <x:v>Не оценён</x:v>
      </x:c>
      <x:c r="AE117" s="13" t="str">
        <x:f>IF(J117="Рассчитано","Выручка "&amp;TEXT(V117,"0.00")&amp;" - себестоимость "&amp;TEXT(W117,"0.00")&amp;" - комиссия "&amp;TEXT(V117*R117/100,"0.00")&amp;" - доставка "&amp;TEXT(P117,"0.00")&amp;" - прочие "&amp;TEXT(Q117,"0.00")&amp;" = "&amp;TEXT(G117,"0.00")&amp;" "&amp;L117,"Введите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7" s="24" t="n">
        <x:v>32.06437008091495</x:v>
      </x:c>
      <x:c r="AG117" s="37" t="n">
        <x:v>12</x:v>
      </x:c>
      <x:c r="AH117" s="37" t="n">
        <x:v>0</x:v>
      </x:c>
      <x:c r="AI117" s="30" t="n">
        <x:v>46266</x:v>
      </x:c>
      <x:c r="AJ117" s="37" t="n">
        <x:v>1</x:v>
      </x:c>
      <x:c r="AK117" s="10" t="str">
        <x:v>минимум</x:v>
      </x:c>
      <x:c r="AL117" s="32" t="n">
        <x:v>11.227415323972817</x:v>
      </x:c>
      <x:c r="AM117" s="13" t="str">
        <x:v>Остаток на начало сентября; Резервы неизвестны; Нет ежедневных данных доступности. Запаса примерно на 11.2 дн. без поступлений</x:v>
      </x:c>
      <x:c r="AN117" s="13" t="str">
        <x:v>Подтвердить наличие, срок и цену закупки</x:v>
      </x:c>
      <x:c r="AO117" s="13" t="str">
        <x:v>Прогноз 30 дней 32.06; остаток 12; поступления в срок 0; нехватка 21; заказ с учётом MOQ 21 шт. Остаток на начало сентября: требуется актуализация.</x:v>
      </x:c>
      <x:c r="AP117" s="13" t="str">
        <x:v>["category_missing", "daily_stockout_data_missing", "large_orders_detected", "new_order_lead_time_unknown", "reservations_unknown", "stale_stock"]</x:v>
      </x:c>
      <x:c r="AQ117" s="10" t="str">
        <x:v>IEK:130300302_</x:v>
      </x:c>
      <x:c r="AR117" s="24" t="n">
        <x:v>1</x:v>
      </x:c>
      <x:c r="AS117" s="24" t="n">
        <x:f>MAX(0,ROUNDUP(MAX(0,AF117-AG117-AH117)/AR117-0.000000001,0)*AR117)</x:f>
        <x:v>21</x:v>
      </x:c>
      <x:c r="AT117" s="24" t="n">
        <x:v>20.064370080914948</x:v>
      </x:c>
    </x:row>
    <x:row r="118" ht="64" customHeight="1">
      <x:c r="A118" s="11" t="str">
        <x:v>IEK</x:v>
      </x:c>
      <x:c r="B118" s="33" t="str">
        <x:v>130300605_</x:v>
      </x:c>
      <x:c r="C118" s="33" t="str">
        <x:v>UZV4-010-06-2</x:v>
      </x:c>
      <x:c r="D118" s="12" t="str">
        <x:v>ЗВИ  10 ПВХ (2,5-6мм ² 10А) 12 пар (2 шт/блистер) IEK (50)</x:v>
      </x:c>
      <x:c r="E118" s="11" t="str">
        <x:v>упак</x:v>
      </x:c>
      <x:c r="F118" s="35" t="n">
        <x:f>AS118</x:f>
        <x:v>1</x:v>
      </x:c>
      <x:c r="G118" s="20" t="str">
        <x:f>IF(J118="Рассчитано",V118*(1-R118/100)-W118-P118-Q118,"н/д")</x:f>
        <x:v>н/д</x:v>
      </x:c>
      <x:c r="H118" s="12" t="str">
        <x:v>Высокий</x:v>
      </x:c>
      <x:c r="I118" s="12" t="str">
        <x:v>Критический</x:v>
      </x:c>
      <x:c r="J118" s="12" t="str">
        <x:f>IF(L118="","Укажите валюту",IF(NOT(ISNUMBER(K118)),"Укажите объём",IF(K118&lt;=0,"Укажите объём",IF(COUNT(M118:O118)&lt;3,"Нужны цены",IF(COUNT(P118:R118)&lt;3,"Нужны расходы",IF(OR(M118&lt;0,N118&lt;0,O118&lt;0,O118&gt;100,P118&lt;0,Q118&lt;0,R118&lt;0,R118&gt;100),"Проверьте значения","Рассчитано"))))))</x:f>
        <x:v>Нужны цены</x:v>
      </x:c>
      <x:c r="K118" s="36" t="n">
        <x:v>1</x:v>
      </x:c>
      <x:c r="L118" s="19" t="str">
        <x:v>KZT</x:v>
      </x:c>
      <x:c r="M118" s="22"/>
      <x:c r="N118" s="22"/>
      <x:c r="O118" s="28"/>
      <x:c r="P118" s="22"/>
      <x:c r="Q118" s="22"/>
      <x:c r="R118" s="28"/>
      <x:c r="S118" s="22"/>
      <x:c r="T118" s="35" t="n">
        <x:f>MIN(K118,AT118)</x:f>
        <x:v>0.44360409359730457</x:v>
      </x:c>
      <x:c r="U118" s="20" t="str">
        <x:f>IF(J118="Рассчитано",N118*(1-O118/100),"н/д")</x:f>
        <x:v>н/д</x:v>
      </x:c>
      <x:c r="V118" s="20" t="str">
        <x:f>IF(J118="Рассчитано",T118*U118,"н/д")</x:f>
        <x:v>н/д</x:v>
      </x:c>
      <x:c r="W118" s="20" t="str">
        <x:f>IF(J118="Рассчитано",T118*M118,"н/д")</x:f>
        <x:v>н/д</x:v>
      </x:c>
      <x:c r="X118" s="20" t="str">
        <x:f>IF(J118="Рассчитано",V118-W118,"н/д")</x:f>
        <x:v>н/д</x:v>
      </x:c>
      <x:c r="Y118" s="26" t="str">
        <x:f>IF(J118="Рассчитано",IF(V118&gt;0,G118/V118,"н/д"),"н/д")</x:f>
        <x:v>н/д</x:v>
      </x:c>
      <x:c r="Z118" s="20" t="str">
        <x:f>IF(J118="Рассчитано",K118*M118,"н/д")</x:f>
        <x:v>н/д</x:v>
      </x:c>
      <x:c r="AA118" s="20" t="str">
        <x:f>IF(J118="Рассчитано",(K118-T118)*M118,"н/д")</x:f>
        <x:v>н/д</x:v>
      </x:c>
      <x:c r="AB118" s="20" t="str">
        <x:f>IF(AND(J118="Рассчитано",ISNUMBER(S118)),K118*(S118-M118),"н/д")</x:f>
        <x:v>н/д</x:v>
      </x:c>
      <x:c r="AC118" s="20" t="str">
        <x:f>IF(AND(J118="Рассчитано",T118&gt;0,R118&lt;100),(W118+P118+Q118)/(T118*(1-R118/100)),"н/д")</x:f>
        <x:v>н/д</x:v>
      </x:c>
      <x:c r="AD118" s="11" t="str">
        <x:f>IF(ISNUMBER(G118),IF(G118&lt;0,"Убыток",IF(G118=0,"Без прибыли","Прибыль &gt; 0")),"Не оценён")</x:f>
        <x:v>Не оценён</x:v>
      </x:c>
      <x:c r="AE118" s="12" t="str">
        <x:f>IF(J118="Рассчитано","Выручка "&amp;TEXT(V118,"0.00")&amp;" - себестоимость "&amp;TEXT(W118,"0.00")&amp;" - комиссия "&amp;TEXT(V118*R118/100,"0.00")&amp;" - доставка "&amp;TEXT(P118,"0.00")&amp;" - прочие "&amp;TEXT(Q118,"0.00")&amp;" = "&amp;TEXT(G118,"0.00")&amp;" "&amp;L118,"Введите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8" s="23" t="n">
        <x:v>0.44360409359730457</x:v>
      </x:c>
      <x:c r="AG118" s="35" t="n">
        <x:v>0</x:v>
      </x:c>
      <x:c r="AH118" s="35" t="n">
        <x:v>0</x:v>
      </x:c>
      <x:c r="AI118" s="29" t="n">
        <x:v>46266</x:v>
      </x:c>
      <x:c r="AJ118" s="35"/>
      <x:c r="AK118" s="11" t="str">
        <x:v>неизвестно</x:v>
      </x:c>
      <x:c r="AL118" s="31" t="n">
        <x:v>0</x:v>
      </x:c>
      <x:c r="AM118" s="12" t="str">
        <x:v>Остаток на начало сентября; Резервы неизвестны; Нет ежедневных данных доступности. Нет запаса</x:v>
      </x:c>
      <x:c r="AN118" s="12" t="str">
        <x:v>Подтвердить наличие, срок и цену закупки</x:v>
      </x:c>
      <x:c r="AO118" s="12" t="str">
        <x:v>Прогноз 30 дней 0.44; остаток 0; поступления в срок 0; нехватка 1; заказ с учётом MOQ 1 упак. Остаток на начало сентября: требуется актуализация.</x:v>
      </x:c>
      <x:c r="AP118" s="12" t="str">
        <x:v>["blank_stock_assumed_zero", "category_missing", "daily_stockout_data_missing", "moq_missing", "new_order_lead_time_unknown", "reservations_unknown", "stale_stock"]</x:v>
      </x:c>
      <x:c r="AQ118" s="11" t="str">
        <x:v>IEK:130300605_</x:v>
      </x:c>
      <x:c r="AR118" s="23" t="n">
        <x:v>1</x:v>
      </x:c>
      <x:c r="AS118" s="23" t="n">
        <x:f>MAX(0,ROUNDUP(MAX(0,AF118-AG118-AH118)/AR118-0.000000001,0)*AR118)</x:f>
        <x:v>1</x:v>
      </x:c>
      <x:c r="AT118" s="23" t="n">
        <x:v>0.44360409359730457</x:v>
      </x:c>
    </x:row>
    <x:row r="119" ht="64" customHeight="1">
      <x:c r="A119" s="10" t="str">
        <x:v>IEK</x:v>
      </x:c>
      <x:c r="B119" s="34" t="str">
        <x:v>130300608_</x:v>
      </x:c>
      <x:c r="C119" s="34" t="str">
        <x:v>UZA-11-D01-D10</x:v>
      </x:c>
      <x:c r="D119" s="13" t="str">
        <x:v>ЗОИ 16-70/1,5-10 IEK (35) (140)</x:v>
      </x:c>
      <x:c r="E119" s="10" t="str">
        <x:v>шт</x:v>
      </x:c>
      <x:c r="F119" s="37" t="n">
        <x:f>IF(AS119&gt;0,MAX(AS119,AJ119),0)</x:f>
        <x:v>402</x:v>
      </x:c>
      <x:c r="G119" s="21" t="str">
        <x:f>IF(J119="Рассчитано",V119*(1-R119/100)-W119-P119-Q119,"н/д")</x:f>
        <x:v>н/д</x:v>
      </x:c>
      <x:c r="H119" s="13" t="str">
        <x:v>Высокий</x:v>
      </x:c>
      <x:c r="I119" s="13" t="str">
        <x:v>Критический</x:v>
      </x:c>
      <x:c r="J119" s="13" t="str">
        <x:f>IF(L119="","Укажите валюту",IF(NOT(ISNUMBER(K119)),"Укажите объём",IF(K119&lt;=0,"Укажите объём",IF(COUNT(M119:O119)&lt;3,"Нужны цены",IF(COUNT(P119:R119)&lt;3,"Нужны расходы",IF(OR(M119&lt;0,N119&lt;0,O119&lt;0,O119&gt;100,P119&lt;0,Q119&lt;0,R119&lt;0,R119&gt;100),"Проверьте значения","Рассчитано"))))))</x:f>
        <x:v>Нужны цены</x:v>
      </x:c>
      <x:c r="K119" s="36" t="n">
        <x:v>402</x:v>
      </x:c>
      <x:c r="L119" s="19" t="str">
        <x:v>KZT</x:v>
      </x:c>
      <x:c r="M119" s="22"/>
      <x:c r="N119" s="22"/>
      <x:c r="O119" s="28"/>
      <x:c r="P119" s="22"/>
      <x:c r="Q119" s="22"/>
      <x:c r="R119" s="28"/>
      <x:c r="S119" s="22"/>
      <x:c r="T119" s="37" t="n">
        <x:f>MIN(K119,AT119)</x:f>
        <x:v>401.2773748521478</x:v>
      </x:c>
      <x:c r="U119" s="21" t="str">
        <x:f>IF(J119="Рассчитано",N119*(1-O119/100),"н/д")</x:f>
        <x:v>н/д</x:v>
      </x:c>
      <x:c r="V119" s="21" t="str">
        <x:f>IF(J119="Рассчитано",T119*U119,"н/д")</x:f>
        <x:v>н/д</x:v>
      </x:c>
      <x:c r="W119" s="21" t="str">
        <x:f>IF(J119="Рассчитано",T119*M119,"н/д")</x:f>
        <x:v>н/д</x:v>
      </x:c>
      <x:c r="X119" s="21" t="str">
        <x:f>IF(J119="Рассчитано",V119-W119,"н/д")</x:f>
        <x:v>н/д</x:v>
      </x:c>
      <x:c r="Y119" s="27" t="str">
        <x:f>IF(J119="Рассчитано",IF(V119&gt;0,G119/V119,"н/д"),"н/д")</x:f>
        <x:v>н/д</x:v>
      </x:c>
      <x:c r="Z119" s="21" t="str">
        <x:f>IF(J119="Рассчитано",K119*M119,"н/д")</x:f>
        <x:v>н/д</x:v>
      </x:c>
      <x:c r="AA119" s="21" t="str">
        <x:f>IF(J119="Рассчитано",(K119-T119)*M119,"н/д")</x:f>
        <x:v>н/д</x:v>
      </x:c>
      <x:c r="AB119" s="21" t="str">
        <x:f>IF(AND(J119="Рассчитано",ISNUMBER(S119)),K119*(S119-M119),"н/д")</x:f>
        <x:v>н/д</x:v>
      </x:c>
      <x:c r="AC119" s="21" t="str">
        <x:f>IF(AND(J119="Рассчитано",T119&gt;0,R119&lt;100),(W119+P119+Q119)/(T119*(1-R119/100)),"н/д")</x:f>
        <x:v>н/д</x:v>
      </x:c>
      <x:c r="AD119" s="10" t="str">
        <x:f>IF(ISNUMBER(G119),IF(G119&lt;0,"Убыток",IF(G119=0,"Без прибыли","Прибыль &gt; 0")),"Не оценён")</x:f>
        <x:v>Не оценён</x:v>
      </x:c>
      <x:c r="AE119" s="13" t="str">
        <x:f>IF(J119="Рассчитано","Выручка "&amp;TEXT(V119,"0.00")&amp;" - себестоимость "&amp;TEXT(W119,"0.00")&amp;" - комиссия "&amp;TEXT(V119*R119/100,"0.00")&amp;" - доставка "&amp;TEXT(P119,"0.00")&amp;" - прочие "&amp;TEXT(Q119,"0.00")&amp;" = "&amp;TEXT(G119,"0.00")&amp;" "&amp;L119,"Введите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19" s="24" t="n">
        <x:v>401.2773748521478</x:v>
      </x:c>
      <x:c r="AG119" s="37" t="n">
        <x:v>0</x:v>
      </x:c>
      <x:c r="AH119" s="37" t="n">
        <x:v>0</x:v>
      </x:c>
      <x:c r="AI119" s="30" t="n">
        <x:v>46266</x:v>
      </x:c>
      <x:c r="AJ119" s="37" t="n">
        <x:v>35</x:v>
      </x:c>
      <x:c r="AK119" s="10" t="str">
        <x:v>минимум</x:v>
      </x:c>
      <x:c r="AL119" s="32" t="n">
        <x:v>0</x:v>
      </x:c>
      <x:c r="AM119" s="13" t="str">
        <x:v>Остаток на начало сентября; Резервы неизвестны; Нет ежедневных данных доступности. Нет запаса</x:v>
      </x:c>
      <x:c r="AN119" s="13" t="str">
        <x:v>Подтвердить наличие, срок и цену закупки</x:v>
      </x:c>
      <x:c r="AO119" s="13" t="str">
        <x:v>Прогноз 30 дней 401.28; остаток 0; поступления в срок 0; нехватка 402; заказ с учётом MOQ 402 шт. Остаток на начало сентября: требуется актуализация.</x:v>
      </x:c>
      <x:c r="AP119" s="13" t="str">
        <x:v>["blank_stock_assumed_zero", "category_missing", "daily_stockout_data_missing", "large_orders_detected", "negative_net_sales_clipped_for_forecast", "new_order_lead_time_unknown", "reservations_unknown", "stale_stock"]</x:v>
      </x:c>
      <x:c r="AQ119" s="10" t="str">
        <x:v>IEK:130300608_</x:v>
      </x:c>
      <x:c r="AR119" s="24" t="n">
        <x:v>1</x:v>
      </x:c>
      <x:c r="AS119" s="24" t="n">
        <x:f>MAX(0,ROUNDUP(MAX(0,AF119-AG119-AH119)/AR119-0.000000001,0)*AR119)</x:f>
        <x:v>402</x:v>
      </x:c>
      <x:c r="AT119" s="24" t="n">
        <x:v>401.2773748521478</x:v>
      </x:c>
    </x:row>
    <x:row r="120" ht="64" customHeight="1">
      <x:c r="A120" s="11" t="str">
        <x:v>IEK</x:v>
      </x:c>
      <x:c r="B120" s="33" t="str">
        <x:v>130300764_</x:v>
      </x:c>
      <x:c r="C120" s="33" t="str">
        <x:v>LDD11-301MB-1200-001</x:v>
      </x:c>
      <x:c r="D120" s="12" t="str">
        <x:v>Датчик движения МВ 301 белый,1200 Вт, 360гр. дальность 8 м IP20 IEK (50)</x:v>
      </x:c>
      <x:c r="E120" s="11" t="str">
        <x:v>шт</x:v>
      </x:c>
      <x:c r="F120" s="35" t="n">
        <x:f>IF(AS120&gt;0,MAX(AS120,AJ120),0)</x:f>
        <x:v>22</x:v>
      </x:c>
      <x:c r="G120" s="20" t="str">
        <x:f>IF(J120="Рассчитано",V120*(1-R120/100)-W120-P120-Q120,"н/д")</x:f>
        <x:v>н/д</x:v>
      </x:c>
      <x:c r="H120" s="12" t="str">
        <x:v>Высокий</x:v>
      </x:c>
      <x:c r="I120" s="12" t="str">
        <x:v>Критический</x:v>
      </x:c>
      <x:c r="J120" s="12" t="str">
        <x:f>IF(L120="","Укажите валюту",IF(NOT(ISNUMBER(K120)),"Укажите объём",IF(K120&lt;=0,"Укажите объём",IF(COUNT(M120:O120)&lt;3,"Нужны цены",IF(COUNT(P120:R120)&lt;3,"Нужны расходы",IF(OR(M120&lt;0,N120&lt;0,O120&lt;0,O120&gt;100,P120&lt;0,Q120&lt;0,R120&lt;0,R120&gt;100),"Проверьте значения","Рассчитано"))))))</x:f>
        <x:v>Нужны цены</x:v>
      </x:c>
      <x:c r="K120" s="36" t="n">
        <x:v>22</x:v>
      </x:c>
      <x:c r="L120" s="19" t="str">
        <x:v>KZT</x:v>
      </x:c>
      <x:c r="M120" s="22"/>
      <x:c r="N120" s="22"/>
      <x:c r="O120" s="28"/>
      <x:c r="P120" s="22"/>
      <x:c r="Q120" s="22"/>
      <x:c r="R120" s="28"/>
      <x:c r="S120" s="22"/>
      <x:c r="T120" s="35" t="n">
        <x:f>MIN(K120,AT120)</x:f>
        <x:v>21.756918310935646</x:v>
      </x:c>
      <x:c r="U120" s="20" t="str">
        <x:f>IF(J120="Рассчитано",N120*(1-O120/100),"н/д")</x:f>
        <x:v>н/д</x:v>
      </x:c>
      <x:c r="V120" s="20" t="str">
        <x:f>IF(J120="Рассчитано",T120*U120,"н/д")</x:f>
        <x:v>н/д</x:v>
      </x:c>
      <x:c r="W120" s="20" t="str">
        <x:f>IF(J120="Рассчитано",T120*M120,"н/д")</x:f>
        <x:v>н/д</x:v>
      </x:c>
      <x:c r="X120" s="20" t="str">
        <x:f>IF(J120="Рассчитано",V120-W120,"н/д")</x:f>
        <x:v>н/д</x:v>
      </x:c>
      <x:c r="Y120" s="26" t="str">
        <x:f>IF(J120="Рассчитано",IF(V120&gt;0,G120/V120,"н/д"),"н/д")</x:f>
        <x:v>н/д</x:v>
      </x:c>
      <x:c r="Z120" s="20" t="str">
        <x:f>IF(J120="Рассчитано",K120*M120,"н/д")</x:f>
        <x:v>н/д</x:v>
      </x:c>
      <x:c r="AA120" s="20" t="str">
        <x:f>IF(J120="Рассчитано",(K120-T120)*M120,"н/д")</x:f>
        <x:v>н/д</x:v>
      </x:c>
      <x:c r="AB120" s="20" t="str">
        <x:f>IF(AND(J120="Рассчитано",ISNUMBER(S120)),K120*(S120-M120),"н/д")</x:f>
        <x:v>н/д</x:v>
      </x:c>
      <x:c r="AC120" s="20" t="str">
        <x:f>IF(AND(J120="Рассчитано",T120&gt;0,R120&lt;100),(W120+P120+Q120)/(T120*(1-R120/100)),"н/д")</x:f>
        <x:v>н/д</x:v>
      </x:c>
      <x:c r="AD120" s="11" t="str">
        <x:f>IF(ISNUMBER(G120),IF(G120&lt;0,"Убыток",IF(G120=0,"Без прибыли","Прибыль &gt; 0")),"Не оценён")</x:f>
        <x:v>Не оценён</x:v>
      </x:c>
      <x:c r="AE120" s="12" t="str">
        <x:f>IF(J120="Рассчитано","Выручка "&amp;TEXT(V120,"0.00")&amp;" - себестоимость "&amp;TEXT(W120,"0.00")&amp;" - комиссия "&amp;TEXT(V120*R120/100,"0.00")&amp;" - доставка "&amp;TEXT(P120,"0.00")&amp;" - прочие "&amp;TEXT(Q120,"0.00")&amp;" = "&amp;TEXT(G120,"0.00")&amp;" "&amp;L120,"Введите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0" s="23" t="n">
        <x:v>21.756918310935646</x:v>
      </x:c>
      <x:c r="AG120" s="35" t="n">
        <x:v>0</x:v>
      </x:c>
      <x:c r="AH120" s="35" t="n">
        <x:v>0</x:v>
      </x:c>
      <x:c r="AI120" s="29" t="n">
        <x:v>46266</x:v>
      </x:c>
      <x:c r="AJ120" s="35" t="n">
        <x:v>1</x:v>
      </x:c>
      <x:c r="AK120" s="11" t="str">
        <x:v>минимум</x:v>
      </x:c>
      <x:c r="AL120" s="31" t="n">
        <x:v>0</x:v>
      </x:c>
      <x:c r="AM12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20" s="12" t="str">
        <x:v>Подтвердить наличие, срок и цену закупки</x:v>
      </x:c>
      <x:c r="AO120" s="12" t="str">
        <x:v>Прогноз 30 дней 21.76; остаток 0; поступления в срок 0; нехватка 22; заказ с учётом MOQ 22 шт. Остаток на начало сентября: требуется актуализация.</x:v>
      </x:c>
      <x:c r="AP120" s="12" t="str">
        <x:v>["blank_stock_assumed_zero", "category_missing", "daily_stockout_data_missing", "new_order_lead_time_unknown", "reservations_unknown", "stale_stock", "stockout_proxy_used"]</x:v>
      </x:c>
      <x:c r="AQ120" s="11" t="str">
        <x:v>IEK:130300764_</x:v>
      </x:c>
      <x:c r="AR120" s="23" t="n">
        <x:v>1</x:v>
      </x:c>
      <x:c r="AS120" s="23" t="n">
        <x:f>MAX(0,ROUNDUP(MAX(0,AF120-AG120-AH120)/AR120-0.000000001,0)*AR120)</x:f>
        <x:v>22</x:v>
      </x:c>
      <x:c r="AT120" s="23" t="n">
        <x:v>21.756918310935646</x:v>
      </x:c>
    </x:row>
    <x:row r="121" ht="64" customHeight="1">
      <x:c r="A121" s="10" t="str">
        <x:v>IEK</x:v>
      </x:c>
      <x:c r="B121" s="34" t="str">
        <x:v>130300779_</x:v>
      </x:c>
      <x:c r="C121" s="34" t="str">
        <x:v>CTG12-063-K04-050-R</x:v>
      </x:c>
      <x:c r="D121" s="13" t="str">
        <x:v>Трубы гибкая двустенная красная (с протяжкой)   Ø63 IEK (50)</x:v>
      </x:c>
      <x:c r="E121" s="10" t="str">
        <x:v>м</x:v>
      </x:c>
      <x:c r="F121" s="24" t="n">
        <x:f>IF(AS121&gt;0,MAX(AS121,AJ121),0)</x:f>
        <x:v>4108.769</x:v>
      </x:c>
      <x:c r="G121" s="21" t="str">
        <x:f>IF(J121="Рассчитано",V121*(1-R121/100)-W121-P121-Q121,"н/д")</x:f>
        <x:v>н/д</x:v>
      </x:c>
      <x:c r="H121" s="13" t="str">
        <x:v>Высокий</x:v>
      </x:c>
      <x:c r="I121" s="13" t="str">
        <x:v>Критический</x:v>
      </x:c>
      <x:c r="J121" s="13" t="str">
        <x:f>IF(L121="","Укажите валюту",IF(NOT(ISNUMBER(K121)),"Укажите объём",IF(K121&lt;=0,"Укажите объём",IF(COUNT(M121:O121)&lt;3,"Нужны цены",IF(COUNT(P121:R121)&lt;3,"Нужны расходы",IF(OR(M121&lt;0,N121&lt;0,O121&lt;0,O121&gt;100,P121&lt;0,Q121&lt;0,R121&lt;0,R121&gt;100),"Проверьте значения","Рассчитано"))))))</x:f>
        <x:v>Нужны цены</x:v>
      </x:c>
      <x:c r="K121" s="25" t="n">
        <x:v>4108.769</x:v>
      </x:c>
      <x:c r="L121" s="19" t="str">
        <x:v>KZT</x:v>
      </x:c>
      <x:c r="M121" s="22"/>
      <x:c r="N121" s="22"/>
      <x:c r="O121" s="28"/>
      <x:c r="P121" s="22"/>
      <x:c r="Q121" s="22"/>
      <x:c r="R121" s="28"/>
      <x:c r="S121" s="22"/>
      <x:c r="T121" s="24" t="n">
        <x:f>MIN(K121,AT121)</x:f>
        <x:v>4108.768951909017</x:v>
      </x:c>
      <x:c r="U121" s="21" t="str">
        <x:f>IF(J121="Рассчитано",N121*(1-O121/100),"н/д")</x:f>
        <x:v>н/д</x:v>
      </x:c>
      <x:c r="V121" s="21" t="str">
        <x:f>IF(J121="Рассчитано",T121*U121,"н/д")</x:f>
        <x:v>н/д</x:v>
      </x:c>
      <x:c r="W121" s="21" t="str">
        <x:f>IF(J121="Рассчитано",T121*M121,"н/д")</x:f>
        <x:v>н/д</x:v>
      </x:c>
      <x:c r="X121" s="21" t="str">
        <x:f>IF(J121="Рассчитано",V121-W121,"н/д")</x:f>
        <x:v>н/д</x:v>
      </x:c>
      <x:c r="Y121" s="27" t="str">
        <x:f>IF(J121="Рассчитано",IF(V121&gt;0,G121/V121,"н/д"),"н/д")</x:f>
        <x:v>н/д</x:v>
      </x:c>
      <x:c r="Z121" s="21" t="str">
        <x:f>IF(J121="Рассчитано",K121*M121,"н/д")</x:f>
        <x:v>н/д</x:v>
      </x:c>
      <x:c r="AA121" s="21" t="str">
        <x:f>IF(J121="Рассчитано",(K121-T121)*M121,"н/д")</x:f>
        <x:v>н/д</x:v>
      </x:c>
      <x:c r="AB121" s="21" t="str">
        <x:f>IF(AND(J121="Рассчитано",ISNUMBER(S121)),K121*(S121-M121),"н/д")</x:f>
        <x:v>н/д</x:v>
      </x:c>
      <x:c r="AC121" s="21" t="str">
        <x:f>IF(AND(J121="Рассчитано",T121&gt;0,R121&lt;100),(W121+P121+Q121)/(T121*(1-R121/100)),"н/д")</x:f>
        <x:v>н/д</x:v>
      </x:c>
      <x:c r="AD121" s="10" t="str">
        <x:f>IF(ISNUMBER(G121),IF(G121&lt;0,"Убыток",IF(G121=0,"Без прибыли","Прибыль &gt; 0")),"Не оценён")</x:f>
        <x:v>Не оценён</x:v>
      </x:c>
      <x:c r="AE121" s="13" t="str">
        <x:f>IF(J121="Рассчитано","Выручка "&amp;TEXT(V121,"0.00")&amp;" - себестоимость "&amp;TEXT(W121,"0.00")&amp;" - комиссия "&amp;TEXT(V121*R121/100,"0.00")&amp;" - доставка "&amp;TEXT(P121,"0.00")&amp;" - прочие "&amp;TEXT(Q121,"0.00")&amp;" = "&amp;TEXT(G121,"0.00")&amp;" "&amp;L121,"Введите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1" s="24" t="n">
        <x:v>6172.768951909017</x:v>
      </x:c>
      <x:c r="AG121" s="24" t="n">
        <x:v>64</x:v>
      </x:c>
      <x:c r="AH121" s="24" t="n">
        <x:v>2000</x:v>
      </x:c>
      <x:c r="AI121" s="30" t="n">
        <x:v>46266</x:v>
      </x:c>
      <x:c r="AJ121" s="24" t="n">
        <x:v>50</x:v>
      </x:c>
      <x:c r="AK121" s="10" t="str">
        <x:v>минимум</x:v>
      </x:c>
      <x:c r="AL121" s="32" t="n">
        <x:v>0.3110435551627463</x:v>
      </x:c>
      <x:c r="AM121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0.3 дн. без поступлений</x:v>
      </x:c>
      <x:c r="AN121" s="13" t="str">
        <x:v>Подтвердить наличие, срок и цену закупки</x:v>
      </x:c>
      <x:c r="AO121" s="13" t="str">
        <x:v>Прогноз 30 дней 6172.77; остаток 64; поступления в срок 2000; нехватка 4108.77; заказ с учётом MOQ 4108.77 м. Остаток на начало сентября: требуется актуализация.</x:v>
      </x:c>
      <x:c r="AP121" s="13" t="str">
        <x:v>["category_missing", "daily_stockout_data_missing", "large_orders_detected", "new_order_lead_time_unknown", "reservations_unknown", "stale_stock", "transaction_month_mismatch"]</x:v>
      </x:c>
      <x:c r="AQ121" s="10" t="str">
        <x:v>IEK:130300779_</x:v>
      </x:c>
      <x:c r="AR121" s="24" t="n">
        <x:v>0.001</x:v>
      </x:c>
      <x:c r="AS121" s="24" t="n">
        <x:f>MAX(0,ROUNDUP(MAX(0,AF121-AG121-AH121)/AR121-0.000000001,0)*AR121)</x:f>
        <x:v>4108.769</x:v>
      </x:c>
      <x:c r="AT121" s="24" t="n">
        <x:v>4108.768951909017</x:v>
      </x:c>
    </x:row>
    <x:row r="122" ht="64" customHeight="1">
      <x:c r="A122" s="11" t="str">
        <x:v>IEK</x:v>
      </x:c>
      <x:c r="B122" s="33" t="str">
        <x:v>130300791_</x:v>
      </x:c>
      <x:c r="C122" s="33" t="str">
        <x:v>CTG12-040-K04-050-R</x:v>
      </x:c>
      <x:c r="D122" s="12" t="str">
        <x:v>Трубы гибкая двустенная красная (с протяжкой)   Ø40 IEK (50)</x:v>
      </x:c>
      <x:c r="E122" s="11" t="str">
        <x:v>м</x:v>
      </x:c>
      <x:c r="F122" s="23" t="n">
        <x:f>IF(AS122&gt;0,MAX(AS122,AJ122),0)</x:f>
        <x:v>6832.2</x:v>
      </x:c>
      <x:c r="G122" s="20" t="str">
        <x:f>IF(J122="Рассчитано",V122*(1-R122/100)-W122-P122-Q122,"н/д")</x:f>
        <x:v>н/д</x:v>
      </x:c>
      <x:c r="H122" s="12" t="str">
        <x:v>Высокий</x:v>
      </x:c>
      <x:c r="I122" s="12" t="str">
        <x:v>Критический</x:v>
      </x:c>
      <x:c r="J122" s="12" t="str">
        <x:f>IF(L122="","Укажите валюту",IF(NOT(ISNUMBER(K122)),"Укажите объём",IF(K122&lt;=0,"Укажите объём",IF(COUNT(M122:O122)&lt;3,"Нужны цены",IF(COUNT(P122:R122)&lt;3,"Нужны расходы",IF(OR(M122&lt;0,N122&lt;0,O122&lt;0,O122&gt;100,P122&lt;0,Q122&lt;0,R122&lt;0,R122&gt;100),"Проверьте значения","Рассчитано"))))))</x:f>
        <x:v>Нужны цены</x:v>
      </x:c>
      <x:c r="K122" s="25" t="n">
        <x:v>6832.2</x:v>
      </x:c>
      <x:c r="L122" s="19" t="str">
        <x:v>KZT</x:v>
      </x:c>
      <x:c r="M122" s="22"/>
      <x:c r="N122" s="22"/>
      <x:c r="O122" s="28"/>
      <x:c r="P122" s="22"/>
      <x:c r="Q122" s="22"/>
      <x:c r="R122" s="28"/>
      <x:c r="S122" s="22"/>
      <x:c r="T122" s="23" t="n">
        <x:f>MIN(K122,AT122)</x:f>
        <x:v>6832.199361480894</x:v>
      </x:c>
      <x:c r="U122" s="20" t="str">
        <x:f>IF(J122="Рассчитано",N122*(1-O122/100),"н/д")</x:f>
        <x:v>н/д</x:v>
      </x:c>
      <x:c r="V122" s="20" t="str">
        <x:f>IF(J122="Рассчитано",T122*U122,"н/д")</x:f>
        <x:v>н/д</x:v>
      </x:c>
      <x:c r="W122" s="20" t="str">
        <x:f>IF(J122="Рассчитано",T122*M122,"н/д")</x:f>
        <x:v>н/д</x:v>
      </x:c>
      <x:c r="X122" s="20" t="str">
        <x:f>IF(J122="Рассчитано",V122-W122,"н/д")</x:f>
        <x:v>н/д</x:v>
      </x:c>
      <x:c r="Y122" s="26" t="str">
        <x:f>IF(J122="Рассчитано",IF(V122&gt;0,G122/V122,"н/д"),"н/д")</x:f>
        <x:v>н/д</x:v>
      </x:c>
      <x:c r="Z122" s="20" t="str">
        <x:f>IF(J122="Рассчитано",K122*M122,"н/д")</x:f>
        <x:v>н/д</x:v>
      </x:c>
      <x:c r="AA122" s="20" t="str">
        <x:f>IF(J122="Рассчитано",(K122-T122)*M122,"н/д")</x:f>
        <x:v>н/д</x:v>
      </x:c>
      <x:c r="AB122" s="20" t="str">
        <x:f>IF(AND(J122="Рассчитано",ISNUMBER(S122)),K122*(S122-M122),"н/д")</x:f>
        <x:v>н/д</x:v>
      </x:c>
      <x:c r="AC122" s="20" t="str">
        <x:f>IF(AND(J122="Рассчитано",T122&gt;0,R122&lt;100),(W122+P122+Q122)/(T122*(1-R122/100)),"н/д")</x:f>
        <x:v>н/д</x:v>
      </x:c>
      <x:c r="AD122" s="11" t="str">
        <x:f>IF(ISNUMBER(G122),IF(G122&lt;0,"Убыток",IF(G122=0,"Без прибыли","Прибыль &gt; 0")),"Не оценён")</x:f>
        <x:v>Не оценён</x:v>
      </x:c>
      <x:c r="AE122" s="12" t="str">
        <x:f>IF(J122="Рассчитано","Выручка "&amp;TEXT(V122,"0.00")&amp;" - себестоимость "&amp;TEXT(W122,"0.00")&amp;" - комиссия "&amp;TEXT(V122*R122/100,"0.00")&amp;" - доставка "&amp;TEXT(P122,"0.00")&amp;" - прочие "&amp;TEXT(Q122,"0.00")&amp;" = "&amp;TEXT(G122,"0.00")&amp;" "&amp;L122,"Введите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2" s="23" t="n">
        <x:v>6834.199361480894</x:v>
      </x:c>
      <x:c r="AG122" s="23" t="n">
        <x:v>2</x:v>
      </x:c>
      <x:c r="AH122" s="23" t="n">
        <x:v>0</x:v>
      </x:c>
      <x:c r="AI122" s="29" t="n">
        <x:v>46266</x:v>
      </x:c>
      <x:c r="AJ122" s="23" t="n">
        <x:v>50</x:v>
      </x:c>
      <x:c r="AK122" s="11" t="str">
        <x:v>минимум</x:v>
      </x:c>
      <x:c r="AL122" s="31" t="n">
        <x:v>0.008779375143513325</x:v>
      </x:c>
      <x:c r="AM122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0.0 дн. без поступлений</x:v>
      </x:c>
      <x:c r="AN122" s="12" t="str">
        <x:v>Подтвердить наличие, срок и цену закупки</x:v>
      </x:c>
      <x:c r="AO122" s="12" t="str">
        <x:v>Прогноз 30 дней 6834.20; остаток 2; поступления в срок 0; нехватка 6832.2; заказ с учётом MOQ 6832.2 м. Остаток на начало сентября: требуется актуализация.</x:v>
      </x:c>
      <x:c r="AP122" s="12" t="str">
        <x:v>["category_missing", "daily_stockout_data_missing", "large_orders_detected", "new_order_lead_time_unknown", "reservations_unknown", "stale_stock", "transaction_month_mismatch"]</x:v>
      </x:c>
      <x:c r="AQ122" s="11" t="str">
        <x:v>IEK:130300791_</x:v>
      </x:c>
      <x:c r="AR122" s="23" t="n">
        <x:v>0.001</x:v>
      </x:c>
      <x:c r="AS122" s="23" t="n">
        <x:f>MAX(0,ROUNDUP(MAX(0,AF122-AG122-AH122)/AR122-0.000000001,0)*AR122)</x:f>
        <x:v>6832.2</x:v>
      </x:c>
      <x:c r="AT122" s="23" t="n">
        <x:v>6832.199361480894</x:v>
      </x:c>
    </x:row>
    <x:row r="123" ht="64" customHeight="1">
      <x:c r="A123" s="10" t="str">
        <x:v>IEK</x:v>
      </x:c>
      <x:c r="B123" s="34" t="str">
        <x:v>130300792_</x:v>
      </x:c>
      <x:c r="C123" s="34" t="str">
        <x:v>CTG12-050-K04-050-R</x:v>
      </x:c>
      <x:c r="D123" s="13" t="str">
        <x:v>Трубы гибкая двустенная красная (с протяжкой)   Ø50 IEK (50)</x:v>
      </x:c>
      <x:c r="E123" s="10" t="str">
        <x:v>м</x:v>
      </x:c>
      <x:c r="F123" s="24" t="n">
        <x:f>IF(AS123&gt;0,MAX(AS123,AJ123),0)</x:f>
        <x:v>845.397</x:v>
      </x:c>
      <x:c r="G123" s="21" t="str">
        <x:f>IF(J123="Рассчитано",V123*(1-R123/100)-W123-P123-Q123,"н/д")</x:f>
        <x:v>н/д</x:v>
      </x:c>
      <x:c r="H123" s="13" t="str">
        <x:v>Высокий</x:v>
      </x:c>
      <x:c r="I123" s="13" t="str">
        <x:v>Средний</x:v>
      </x:c>
      <x:c r="J123" s="13" t="str">
        <x:f>IF(L123="","Укажите валюту",IF(NOT(ISNUMBER(K123)),"Укажите объём",IF(K123&lt;=0,"Укажите объём",IF(COUNT(M123:O123)&lt;3,"Нужны цены",IF(COUNT(P123:R123)&lt;3,"Нужны расходы",IF(OR(M123&lt;0,N123&lt;0,O123&lt;0,O123&gt;100,P123&lt;0,Q123&lt;0,R123&lt;0,R123&gt;100),"Проверьте значения","Рассчитано"))))))</x:f>
        <x:v>Нужны цены</x:v>
      </x:c>
      <x:c r="K123" s="25" t="n">
        <x:v>845.397</x:v>
      </x:c>
      <x:c r="L123" s="19" t="str">
        <x:v>KZT</x:v>
      </x:c>
      <x:c r="M123" s="22"/>
      <x:c r="N123" s="22"/>
      <x:c r="O123" s="28"/>
      <x:c r="P123" s="22"/>
      <x:c r="Q123" s="22"/>
      <x:c r="R123" s="28"/>
      <x:c r="S123" s="22"/>
      <x:c r="T123" s="24" t="n">
        <x:f>MIN(K123,AT123)</x:f>
        <x:v>845.3961672893574</x:v>
      </x:c>
      <x:c r="U123" s="21" t="str">
        <x:f>IF(J123="Рассчитано",N123*(1-O123/100),"н/д")</x:f>
        <x:v>н/д</x:v>
      </x:c>
      <x:c r="V123" s="21" t="str">
        <x:f>IF(J123="Рассчитано",T123*U123,"н/д")</x:f>
        <x:v>н/д</x:v>
      </x:c>
      <x:c r="W123" s="21" t="str">
        <x:f>IF(J123="Рассчитано",T123*M123,"н/д")</x:f>
        <x:v>н/д</x:v>
      </x:c>
      <x:c r="X123" s="21" t="str">
        <x:f>IF(J123="Рассчитано",V123-W123,"н/д")</x:f>
        <x:v>н/д</x:v>
      </x:c>
      <x:c r="Y123" s="27" t="str">
        <x:f>IF(J123="Рассчитано",IF(V123&gt;0,G123/V123,"н/д"),"н/д")</x:f>
        <x:v>н/д</x:v>
      </x:c>
      <x:c r="Z123" s="21" t="str">
        <x:f>IF(J123="Рассчитано",K123*M123,"н/д")</x:f>
        <x:v>н/д</x:v>
      </x:c>
      <x:c r="AA123" s="21" t="str">
        <x:f>IF(J123="Рассчитано",(K123-T123)*M123,"н/д")</x:f>
        <x:v>н/д</x:v>
      </x:c>
      <x:c r="AB123" s="21" t="str">
        <x:f>IF(AND(J123="Рассчитано",ISNUMBER(S123)),K123*(S123-M123),"н/д")</x:f>
        <x:v>н/д</x:v>
      </x:c>
      <x:c r="AC123" s="21" t="str">
        <x:f>IF(AND(J123="Рассчитано",T123&gt;0,R123&lt;100),(W123+P123+Q123)/(T123*(1-R123/100)),"н/д")</x:f>
        <x:v>н/д</x:v>
      </x:c>
      <x:c r="AD123" s="10" t="str">
        <x:f>IF(ISNUMBER(G123),IF(G123&lt;0,"Убыток",IF(G123=0,"Без прибыли","Прибыль &gt; 0")),"Не оценён")</x:f>
        <x:v>Не оценён</x:v>
      </x:c>
      <x:c r="AE123" s="13" t="str">
        <x:f>IF(J123="Рассчитано","Выручка "&amp;TEXT(V123,"0.00")&amp;" - себестоимость "&amp;TEXT(W123,"0.00")&amp;" - комиссия "&amp;TEXT(V123*R123/100,"0.00")&amp;" - доставка "&amp;TEXT(P123,"0.00")&amp;" - прочие "&amp;TEXT(Q123,"0.00")&amp;" = "&amp;TEXT(G123,"0.00")&amp;" "&amp;L123,"Введите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3" s="24" t="n">
        <x:v>8075.396167289357</x:v>
      </x:c>
      <x:c r="AG123" s="24" t="n">
        <x:v>7230</x:v>
      </x:c>
      <x:c r="AH123" s="24" t="n">
        <x:v>0</x:v>
      </x:c>
      <x:c r="AI123" s="30" t="n">
        <x:v>46266</x:v>
      </x:c>
      <x:c r="AJ123" s="24" t="n">
        <x:v>50</x:v>
      </x:c>
      <x:c r="AK123" s="10" t="str">
        <x:v>минимум</x:v>
      </x:c>
      <x:c r="AL123" s="32" t="n">
        <x:v>26.859363368274987</x:v>
      </x:c>
      <x:c r="AM123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26.9 дн. без поступлений</x:v>
      </x:c>
      <x:c r="AN123" s="13" t="str">
        <x:v>Подтвердить наличие, срок и цену закупки</x:v>
      </x:c>
      <x:c r="AO123" s="13" t="str">
        <x:v>Прогноз 30 дней 8075.40; остаток 7230; поступления в срок 0; нехватка 845.397; заказ с учётом MOQ 845.397 м. Остаток на начало сентября: требуется актуализация.</x:v>
      </x:c>
      <x:c r="AP123" s="13" t="str">
        <x:v>["category_missing", "daily_stockout_data_missing", "large_orders_detected", "new_order_lead_time_unknown", "reservations_unknown", "stale_stock", "transaction_month_mismatch"]</x:v>
      </x:c>
      <x:c r="AQ123" s="10" t="str">
        <x:v>IEK:130300792_</x:v>
      </x:c>
      <x:c r="AR123" s="24" t="n">
        <x:v>0.001</x:v>
      </x:c>
      <x:c r="AS123" s="24" t="n">
        <x:f>MAX(0,ROUNDUP(MAX(0,AF123-AG123-AH123)/AR123-0.000000001,0)*AR123)</x:f>
        <x:v>845.397</x:v>
      </x:c>
      <x:c r="AT123" s="24" t="n">
        <x:v>845.3961672893574</x:v>
      </x:c>
    </x:row>
    <x:row r="124" ht="64" customHeight="1">
      <x:c r="A124" s="11" t="str">
        <x:v>IEK</x:v>
      </x:c>
      <x:c r="B124" s="33" t="str">
        <x:v>130300985_</x:v>
      </x:c>
      <x:c r="C124" s="33" t="str">
        <x:v>IPA10-6-0400-E</x:v>
      </x:c>
      <x:c r="D124" s="12" t="str">
        <x:v>Амперметр Э47  400/5А кл. точн. 1,5 72х72 IEK (1/100)</x:v>
      </x:c>
      <x:c r="E124" s="11" t="str">
        <x:v>шт</x:v>
      </x:c>
      <x:c r="F124" s="35" t="n">
        <x:f>IF(AS124&gt;0,MAX(AS124,AJ124),0)</x:f>
        <x:v>4</x:v>
      </x:c>
      <x:c r="G124" s="20" t="str">
        <x:f>IF(J124="Рассчитано",V124*(1-R124/100)-W124-P124-Q124,"н/д")</x:f>
        <x:v>н/д</x:v>
      </x:c>
      <x:c r="H124" s="12" t="str">
        <x:v>Высокий</x:v>
      </x:c>
      <x:c r="I124" s="12" t="str">
        <x:v>Средний</x:v>
      </x:c>
      <x:c r="J124" s="12" t="str">
        <x:f>IF(L124="","Укажите валюту",IF(NOT(ISNUMBER(K124)),"Укажите объём",IF(K124&lt;=0,"Укажите объём",IF(COUNT(M124:O124)&lt;3,"Нужны цены",IF(COUNT(P124:R124)&lt;3,"Нужны расходы",IF(OR(M124&lt;0,N124&lt;0,O124&lt;0,O124&gt;100,P124&lt;0,Q124&lt;0,R124&lt;0,R124&gt;100),"Проверьте значения","Рассчитано"))))))</x:f>
        <x:v>Нужны цены</x:v>
      </x:c>
      <x:c r="K124" s="36" t="n">
        <x:v>4</x:v>
      </x:c>
      <x:c r="L124" s="19" t="str">
        <x:v>KZT</x:v>
      </x:c>
      <x:c r="M124" s="22"/>
      <x:c r="N124" s="22"/>
      <x:c r="O124" s="28"/>
      <x:c r="P124" s="22"/>
      <x:c r="Q124" s="22"/>
      <x:c r="R124" s="28"/>
      <x:c r="S124" s="22"/>
      <x:c r="T124" s="35" t="n">
        <x:f>MIN(K124,AT124)</x:f>
        <x:v>3.290528943449499</x:v>
      </x:c>
      <x:c r="U124" s="20" t="str">
        <x:f>IF(J124="Рассчитано",N124*(1-O124/100),"н/д")</x:f>
        <x:v>н/д</x:v>
      </x:c>
      <x:c r="V124" s="20" t="str">
        <x:f>IF(J124="Рассчитано",T124*U124,"н/д")</x:f>
        <x:v>н/д</x:v>
      </x:c>
      <x:c r="W124" s="20" t="str">
        <x:f>IF(J124="Рассчитано",T124*M124,"н/д")</x:f>
        <x:v>н/д</x:v>
      </x:c>
      <x:c r="X124" s="20" t="str">
        <x:f>IF(J124="Рассчитано",V124-W124,"н/д")</x:f>
        <x:v>н/д</x:v>
      </x:c>
      <x:c r="Y124" s="26" t="str">
        <x:f>IF(J124="Рассчитано",IF(V124&gt;0,G124/V124,"н/д"),"н/д")</x:f>
        <x:v>н/д</x:v>
      </x:c>
      <x:c r="Z124" s="20" t="str">
        <x:f>IF(J124="Рассчитано",K124*M124,"н/д")</x:f>
        <x:v>н/д</x:v>
      </x:c>
      <x:c r="AA124" s="20" t="str">
        <x:f>IF(J124="Рассчитано",(K124-T124)*M124,"н/д")</x:f>
        <x:v>н/д</x:v>
      </x:c>
      <x:c r="AB124" s="20" t="str">
        <x:f>IF(AND(J124="Рассчитано",ISNUMBER(S124)),K124*(S124-M124),"н/д")</x:f>
        <x:v>н/д</x:v>
      </x:c>
      <x:c r="AC124" s="20" t="str">
        <x:f>IF(AND(J124="Рассчитано",T124&gt;0,R124&lt;100),(W124+P124+Q124)/(T124*(1-R124/100)),"н/д")</x:f>
        <x:v>н/д</x:v>
      </x:c>
      <x:c r="AD124" s="11" t="str">
        <x:f>IF(ISNUMBER(G124),IF(G124&lt;0,"Убыток",IF(G124=0,"Без прибыли","Прибыль &gt; 0")),"Не оценён")</x:f>
        <x:v>Не оценён</x:v>
      </x:c>
      <x:c r="AE124" s="12" t="str">
        <x:f>IF(J124="Рассчитано","Выручка "&amp;TEXT(V124,"0.00")&amp;" - себестоимость "&amp;TEXT(W124,"0.00")&amp;" - комиссия "&amp;TEXT(V124*R124/100,"0.00")&amp;" - доставка "&amp;TEXT(P124,"0.00")&amp;" - прочие "&amp;TEXT(Q124,"0.00")&amp;" = "&amp;TEXT(G124,"0.00")&amp;" "&amp;L124,"Введите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4" s="23" t="n">
        <x:v>6.290528943449499</x:v>
      </x:c>
      <x:c r="AG124" s="35" t="n">
        <x:v>3</x:v>
      </x:c>
      <x:c r="AH124" s="35" t="n">
        <x:v>0</x:v>
      </x:c>
      <x:c r="AI124" s="29" t="n">
        <x:v>46266</x:v>
      </x:c>
      <x:c r="AJ124" s="35" t="n">
        <x:v>1</x:v>
      </x:c>
      <x:c r="AK124" s="11" t="str">
        <x:v>минимум</x:v>
      </x:c>
      <x:c r="AL124" s="31" t="n">
        <x:v>14.30722293929185</x:v>
      </x:c>
      <x:c r="AM124" s="12" t="str">
        <x:v>Остаток на начало сентября; Резервы неизвестны; Нет ежедневных данных доступности. Запаса примерно на 14.3 дн. без поступлений</x:v>
      </x:c>
      <x:c r="AN124" s="12" t="str">
        <x:v>Подтвердить наличие, срок и цену закупки</x:v>
      </x:c>
      <x:c r="AO124" s="12" t="str">
        <x:v>Прогноз 30 дней 6.29; остаток 3; поступления в срок 0; нехватка 4; заказ с учётом MOQ 4 шт. Остаток на начало сентября: требуется актуализация.</x:v>
      </x:c>
      <x:c r="AP124" s="12" t="str">
        <x:v>["category_missing", "daily_stockout_data_missing", "new_order_lead_time_unknown", "reservations_unknown", "stale_stock"]</x:v>
      </x:c>
      <x:c r="AQ124" s="11" t="str">
        <x:v>IEK:130300985_</x:v>
      </x:c>
      <x:c r="AR124" s="23" t="n">
        <x:v>1</x:v>
      </x:c>
      <x:c r="AS124" s="23" t="n">
        <x:f>MAX(0,ROUNDUP(MAX(0,AF124-AG124-AH124)/AR124-0.000000001,0)*AR124)</x:f>
        <x:v>4</x:v>
      </x:c>
      <x:c r="AT124" s="23" t="n">
        <x:v>3.290528943449499</x:v>
      </x:c>
    </x:row>
    <x:row r="125" ht="64" customHeight="1">
      <x:c r="A125" s="10" t="str">
        <x:v>IEK</x:v>
      </x:c>
      <x:c r="B125" s="34" t="str">
        <x:v>130301099_</x:v>
      </x:c>
      <x:c r="C125" s="34" t="str">
        <x:v>TLK10-765</x:v>
      </x:c>
      <x:c r="D125" s="13" t="str">
        <x:v>Ножницы (секторные) для резки кабеля  НС-765 (до 400мм) IEK</x:v>
      </x:c>
      <x:c r="E125" s="10" t="str">
        <x:v>шт</x:v>
      </x:c>
      <x:c r="F125" s="37" t="n">
        <x:f>IF(AS125&gt;0,MAX(AS125,AJ125),0)</x:f>
        <x:v>1</x:v>
      </x:c>
      <x:c r="G125" s="21" t="str">
        <x:f>IF(J125="Рассчитано",V125*(1-R125/100)-W125-P125-Q125,"н/д")</x:f>
        <x:v>н/д</x:v>
      </x:c>
      <x:c r="H125" s="13" t="str">
        <x:v>Высокий</x:v>
      </x:c>
      <x:c r="I125" s="13" t="str">
        <x:v>Критический</x:v>
      </x:c>
      <x:c r="J125" s="13" t="str">
        <x:f>IF(L125="","Укажите валюту",IF(NOT(ISNUMBER(K125)),"Укажите объём",IF(K125&lt;=0,"Укажите объём",IF(COUNT(M125:O125)&lt;3,"Нужны цены",IF(COUNT(P125:R125)&lt;3,"Нужны расходы",IF(OR(M125&lt;0,N125&lt;0,O125&lt;0,O125&gt;100,P125&lt;0,Q125&lt;0,R125&lt;0,R125&gt;100),"Проверьте значения","Рассчитано"))))))</x:f>
        <x:v>Нужны цены</x:v>
      </x:c>
      <x:c r="K125" s="36" t="n">
        <x:v>1</x:v>
      </x:c>
      <x:c r="L125" s="19" t="str">
        <x:v>KZT</x:v>
      </x:c>
      <x:c r="M125" s="22"/>
      <x:c r="N125" s="22"/>
      <x:c r="O125" s="28"/>
      <x:c r="P125" s="22"/>
      <x:c r="Q125" s="22"/>
      <x:c r="R125" s="28"/>
      <x:c r="S125" s="22"/>
      <x:c r="T125" s="37" t="n">
        <x:f>MIN(K125,AT125)</x:f>
        <x:v>0.7537432710017752</x:v>
      </x:c>
      <x:c r="U125" s="21" t="str">
        <x:f>IF(J125="Рассчитано",N125*(1-O125/100),"н/д")</x:f>
        <x:v>н/д</x:v>
      </x:c>
      <x:c r="V125" s="21" t="str">
        <x:f>IF(J125="Рассчитано",T125*U125,"н/д")</x:f>
        <x:v>н/д</x:v>
      </x:c>
      <x:c r="W125" s="21" t="str">
        <x:f>IF(J125="Рассчитано",T125*M125,"н/д")</x:f>
        <x:v>н/д</x:v>
      </x:c>
      <x:c r="X125" s="21" t="str">
        <x:f>IF(J125="Рассчитано",V125-W125,"н/д")</x:f>
        <x:v>н/д</x:v>
      </x:c>
      <x:c r="Y125" s="27" t="str">
        <x:f>IF(J125="Рассчитано",IF(V125&gt;0,G125/V125,"н/д"),"н/д")</x:f>
        <x:v>н/д</x:v>
      </x:c>
      <x:c r="Z125" s="21" t="str">
        <x:f>IF(J125="Рассчитано",K125*M125,"н/д")</x:f>
        <x:v>н/д</x:v>
      </x:c>
      <x:c r="AA125" s="21" t="str">
        <x:f>IF(J125="Рассчитано",(K125-T125)*M125,"н/д")</x:f>
        <x:v>н/д</x:v>
      </x:c>
      <x:c r="AB125" s="21" t="str">
        <x:f>IF(AND(J125="Рассчитано",ISNUMBER(S125)),K125*(S125-M125),"н/д")</x:f>
        <x:v>н/д</x:v>
      </x:c>
      <x:c r="AC125" s="21" t="str">
        <x:f>IF(AND(J125="Рассчитано",T125&gt;0,R125&lt;100),(W125+P125+Q125)/(T125*(1-R125/100)),"н/д")</x:f>
        <x:v>н/д</x:v>
      </x:c>
      <x:c r="AD125" s="10" t="str">
        <x:f>IF(ISNUMBER(G125),IF(G125&lt;0,"Убыток",IF(G125=0,"Без прибыли","Прибыль &gt; 0")),"Не оценён")</x:f>
        <x:v>Не оценён</x:v>
      </x:c>
      <x:c r="AE125" s="13" t="str">
        <x:f>IF(J125="Рассчитано","Выручка "&amp;TEXT(V125,"0.00")&amp;" - себестоимость "&amp;TEXT(W125,"0.00")&amp;" - комиссия "&amp;TEXT(V125*R125/100,"0.00")&amp;" - доставка "&amp;TEXT(P125,"0.00")&amp;" - прочие "&amp;TEXT(Q125,"0.00")&amp;" = "&amp;TEXT(G125,"0.00")&amp;" "&amp;L125,"Введите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5" s="24" t="n">
        <x:v>0.7537432710017752</x:v>
      </x:c>
      <x:c r="AG125" s="37" t="n">
        <x:v>0</x:v>
      </x:c>
      <x:c r="AH125" s="37" t="n">
        <x:v>0</x:v>
      </x:c>
      <x:c r="AI125" s="30" t="n">
        <x:v>46266</x:v>
      </x:c>
      <x:c r="AJ125" s="37" t="n">
        <x:v>1</x:v>
      </x:c>
      <x:c r="AK125" s="10" t="str">
        <x:v>минимум</x:v>
      </x:c>
      <x:c r="AL125" s="32" t="n">
        <x:v>0</x:v>
      </x:c>
      <x:c r="AM125" s="13" t="str">
        <x:v>Остаток на начало сентября; Резервы неизвестны; Нет ежедневных данных доступности. Нет запаса</x:v>
      </x:c>
      <x:c r="AN125" s="13" t="str">
        <x:v>Подтвердить наличие, срок и цену закупки</x:v>
      </x:c>
      <x:c r="AO125" s="13" t="str">
        <x:v>Прогноз 30 дней 0.75; остаток 0; поступления в срок 0; нехватка 1; заказ с учётом MOQ 1 шт. Остаток на начало сентября: требуется актуализация.</x:v>
      </x:c>
      <x:c r="AP125" s="13" t="str">
        <x:v>["blank_stock_assumed_zero", "category_missing", "daily_stockout_data_missing", "negative_net_sales_clipped_for_forecast", "new_order_lead_time_unknown", "reservations_unknown", "stale_stock"]</x:v>
      </x:c>
      <x:c r="AQ125" s="10" t="str">
        <x:v>IEK:130301099_</x:v>
      </x:c>
      <x:c r="AR125" s="24" t="n">
        <x:v>1</x:v>
      </x:c>
      <x:c r="AS125" s="24" t="n">
        <x:f>MAX(0,ROUNDUP(MAX(0,AF125-AG125-AH125)/AR125-0.000000001,0)*AR125)</x:f>
        <x:v>1</x:v>
      </x:c>
      <x:c r="AT125" s="24" t="n">
        <x:v>0.7537432710017752</x:v>
      </x:c>
    </x:row>
    <x:row r="126" ht="64" customHeight="1">
      <x:c r="A126" s="11" t="str">
        <x:v>IEK</x:v>
      </x:c>
      <x:c r="B126" s="33" t="str">
        <x:v>130301100_</x:v>
      </x:c>
      <x:c r="C126" s="33" t="str">
        <x:v>UZA-11-D25-D95-ECLN</x:v>
      </x:c>
      <x:c r="D126" s="12" t="str">
        <x:v>ЗОИ 25-95/25-95 IEK (18)</x:v>
      </x:c>
      <x:c r="E126" s="11" t="str">
        <x:v>шт</x:v>
      </x:c>
      <x:c r="F126" s="35" t="n">
        <x:f>IF(AS126&gt;0,MAX(AS126,AJ126),0)</x:f>
        <x:v>141</x:v>
      </x:c>
      <x:c r="G126" s="20" t="str">
        <x:f>IF(J126="Рассчитано",V126*(1-R126/100)-W126-P126-Q126,"н/д")</x:f>
        <x:v>н/д</x:v>
      </x:c>
      <x:c r="H126" s="12" t="str">
        <x:v>Высокий</x:v>
      </x:c>
      <x:c r="I126" s="12" t="str">
        <x:v>Критический</x:v>
      </x:c>
      <x:c r="J126" s="12" t="str">
        <x:f>IF(L126="","Укажите валюту",IF(NOT(ISNUMBER(K126)),"Укажите объём",IF(K126&lt;=0,"Укажите объём",IF(COUNT(M126:O126)&lt;3,"Нужны цены",IF(COUNT(P126:R126)&lt;3,"Нужны расходы",IF(OR(M126&lt;0,N126&lt;0,O126&lt;0,O126&gt;100,P126&lt;0,Q126&lt;0,R126&lt;0,R126&gt;100),"Проверьте значения","Рассчитано"))))))</x:f>
        <x:v>Нужны цены</x:v>
      </x:c>
      <x:c r="K126" s="36" t="n">
        <x:v>141</x:v>
      </x:c>
      <x:c r="L126" s="19" t="str">
        <x:v>KZT</x:v>
      </x:c>
      <x:c r="M126" s="22"/>
      <x:c r="N126" s="22"/>
      <x:c r="O126" s="28"/>
      <x:c r="P126" s="22"/>
      <x:c r="Q126" s="22"/>
      <x:c r="R126" s="28"/>
      <x:c r="S126" s="22"/>
      <x:c r="T126" s="35" t="n">
        <x:f>MIN(K126,AT126)</x:f>
        <x:v>140.29004909662052</x:v>
      </x:c>
      <x:c r="U126" s="20" t="str">
        <x:f>IF(J126="Рассчитано",N126*(1-O126/100),"н/д")</x:f>
        <x:v>н/д</x:v>
      </x:c>
      <x:c r="V126" s="20" t="str">
        <x:f>IF(J126="Рассчитано",T126*U126,"н/д")</x:f>
        <x:v>н/д</x:v>
      </x:c>
      <x:c r="W126" s="20" t="str">
        <x:f>IF(J126="Рассчитано",T126*M126,"н/д")</x:f>
        <x:v>н/д</x:v>
      </x:c>
      <x:c r="X126" s="20" t="str">
        <x:f>IF(J126="Рассчитано",V126-W126,"н/д")</x:f>
        <x:v>н/д</x:v>
      </x:c>
      <x:c r="Y126" s="26" t="str">
        <x:f>IF(J126="Рассчитано",IF(V126&gt;0,G126/V126,"н/д"),"н/д")</x:f>
        <x:v>н/д</x:v>
      </x:c>
      <x:c r="Z126" s="20" t="str">
        <x:f>IF(J126="Рассчитано",K126*M126,"н/д")</x:f>
        <x:v>н/д</x:v>
      </x:c>
      <x:c r="AA126" s="20" t="str">
        <x:f>IF(J126="Рассчитано",(K126-T126)*M126,"н/д")</x:f>
        <x:v>н/д</x:v>
      </x:c>
      <x:c r="AB126" s="20" t="str">
        <x:f>IF(AND(J126="Рассчитано",ISNUMBER(S126)),K126*(S126-M126),"н/д")</x:f>
        <x:v>н/д</x:v>
      </x:c>
      <x:c r="AC126" s="20" t="str">
        <x:f>IF(AND(J126="Рассчитано",T126&gt;0,R126&lt;100),(W126+P126+Q126)/(T126*(1-R126/100)),"н/д")</x:f>
        <x:v>н/д</x:v>
      </x:c>
      <x:c r="AD126" s="11" t="str">
        <x:f>IF(ISNUMBER(G126),IF(G126&lt;0,"Убыток",IF(G126=0,"Без прибыли","Прибыль &gt; 0")),"Не оценён")</x:f>
        <x:v>Не оценён</x:v>
      </x:c>
      <x:c r="AE126" s="12" t="str">
        <x:f>IF(J126="Рассчитано","Выручка "&amp;TEXT(V126,"0.00")&amp;" - себестоимость "&amp;TEXT(W126,"0.00")&amp;" - комиссия "&amp;TEXT(V126*R126/100,"0.00")&amp;" - доставка "&amp;TEXT(P126,"0.00")&amp;" - прочие "&amp;TEXT(Q126,"0.00")&amp;" = "&amp;TEXT(G126,"0.00")&amp;" "&amp;L126,"Введите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6" s="23" t="n">
        <x:v>174.29004909662052</x:v>
      </x:c>
      <x:c r="AG126" s="35" t="n">
        <x:v>34</x:v>
      </x:c>
      <x:c r="AH126" s="35" t="n">
        <x:v>0</x:v>
      </x:c>
      <x:c r="AI126" s="29" t="n">
        <x:v>46266</x:v>
      </x:c>
      <x:c r="AJ126" s="35" t="n">
        <x:v>18</x:v>
      </x:c>
      <x:c r="AK126" s="11" t="str">
        <x:v>минимум</x:v>
      </x:c>
      <x:c r="AL126" s="31" t="n">
        <x:v>5.85231345843816</x:v>
      </x:c>
      <x:c r="AM126" s="12" t="str">
        <x:v>Остаток на начало сентября; Резервы неизвестны; Нет ежедневных данных доступности. Запаса примерно на 5.9 дн. без поступлений</x:v>
      </x:c>
      <x:c r="AN126" s="12" t="str">
        <x:v>Подтвердить наличие, срок и цену закупки</x:v>
      </x:c>
      <x:c r="AO126" s="12" t="str">
        <x:v>Прогноз 30 дней 174.29; остаток 34; поступления в срок 0; нехватка 141; заказ с учётом MOQ 141 шт. Остаток на начало сентября: требуется актуализация.</x:v>
      </x:c>
      <x:c r="AP126" s="12" t="str">
        <x:v>["category_missing", "daily_stockout_data_missing", "new_order_lead_time_unknown", "reservations_unknown", "stale_stock"]</x:v>
      </x:c>
      <x:c r="AQ126" s="11" t="str">
        <x:v>IEK:130301100_</x:v>
      </x:c>
      <x:c r="AR126" s="23" t="n">
        <x:v>1</x:v>
      </x:c>
      <x:c r="AS126" s="23" t="n">
        <x:f>MAX(0,ROUNDUP(MAX(0,AF126-AG126-AH126)/AR126-0.000000001,0)*AR126)</x:f>
        <x:v>141</x:v>
      </x:c>
      <x:c r="AT126" s="23" t="n">
        <x:v>140.29004909662052</x:v>
      </x:c>
    </x:row>
    <x:row r="127" ht="64" customHeight="1">
      <x:c r="A127" s="10" t="str">
        <x:v>IEK</x:v>
      </x:c>
      <x:c r="B127" s="34" t="str">
        <x:v>130301101_</x:v>
      </x:c>
      <x:c r="C127" s="34" t="str">
        <x:v>UZA-11-D02-D35-ECLN</x:v>
      </x:c>
      <x:c r="D127" s="13" t="str">
        <x:v>ЗОИ 16-95/2,5-35 IEK (18) (72)</x:v>
      </x:c>
      <x:c r="E127" s="10" t="str">
        <x:v>шт</x:v>
      </x:c>
      <x:c r="F127" s="37" t="n">
        <x:f>IF(AS127&gt;0,MAX(AS127,AJ127),0)</x:f>
        <x:v>556</x:v>
      </x:c>
      <x:c r="G127" s="21" t="str">
        <x:f>IF(J127="Рассчитано",V127*(1-R127/100)-W127-P127-Q127,"н/д")</x:f>
        <x:v>н/д</x:v>
      </x:c>
      <x:c r="H127" s="13" t="str">
        <x:v>Высокий</x:v>
      </x:c>
      <x:c r="I127" s="13" t="str">
        <x:v>Высокий</x:v>
      </x:c>
      <x:c r="J127" s="13" t="str">
        <x:f>IF(L127="","Укажите валюту",IF(NOT(ISNUMBER(K127)),"Укажите объём",IF(K127&lt;=0,"Укажите объём",IF(COUNT(M127:O127)&lt;3,"Нужны цены",IF(COUNT(P127:R127)&lt;3,"Нужны расходы",IF(OR(M127&lt;0,N127&lt;0,O127&lt;0,O127&gt;100,P127&lt;0,Q127&lt;0,R127&lt;0,R127&gt;100),"Проверьте значения","Рассчитано"))))))</x:f>
        <x:v>Нужны цены</x:v>
      </x:c>
      <x:c r="K127" s="36" t="n">
        <x:v>556</x:v>
      </x:c>
      <x:c r="L127" s="19" t="str">
        <x:v>KZT</x:v>
      </x:c>
      <x:c r="M127" s="22"/>
      <x:c r="N127" s="22"/>
      <x:c r="O127" s="28"/>
      <x:c r="P127" s="22"/>
      <x:c r="Q127" s="22"/>
      <x:c r="R127" s="28"/>
      <x:c r="S127" s="22"/>
      <x:c r="T127" s="37" t="n">
        <x:f>MIN(K127,AT127)</x:f>
        <x:v>555.6758836964739</x:v>
      </x:c>
      <x:c r="U127" s="21" t="str">
        <x:f>IF(J127="Рассчитано",N127*(1-O127/100),"н/д")</x:f>
        <x:v>н/д</x:v>
      </x:c>
      <x:c r="V127" s="21" t="str">
        <x:f>IF(J127="Рассчитано",T127*U127,"н/д")</x:f>
        <x:v>н/д</x:v>
      </x:c>
      <x:c r="W127" s="21" t="str">
        <x:f>IF(J127="Рассчитано",T127*M127,"н/д")</x:f>
        <x:v>н/д</x:v>
      </x:c>
      <x:c r="X127" s="21" t="str">
        <x:f>IF(J127="Рассчитано",V127-W127,"н/д")</x:f>
        <x:v>н/д</x:v>
      </x:c>
      <x:c r="Y127" s="27" t="str">
        <x:f>IF(J127="Рассчитано",IF(V127&gt;0,G127/V127,"н/д"),"н/д")</x:f>
        <x:v>н/д</x:v>
      </x:c>
      <x:c r="Z127" s="21" t="str">
        <x:f>IF(J127="Рассчитано",K127*M127,"н/д")</x:f>
        <x:v>н/д</x:v>
      </x:c>
      <x:c r="AA127" s="21" t="str">
        <x:f>IF(J127="Рассчитано",(K127-T127)*M127,"н/д")</x:f>
        <x:v>н/д</x:v>
      </x:c>
      <x:c r="AB127" s="21" t="str">
        <x:f>IF(AND(J127="Рассчитано",ISNUMBER(S127)),K127*(S127-M127),"н/д")</x:f>
        <x:v>н/д</x:v>
      </x:c>
      <x:c r="AC127" s="21" t="str">
        <x:f>IF(AND(J127="Рассчитано",T127&gt;0,R127&lt;100),(W127+P127+Q127)/(T127*(1-R127/100)),"н/д")</x:f>
        <x:v>н/д</x:v>
      </x:c>
      <x:c r="AD127" s="10" t="str">
        <x:f>IF(ISNUMBER(G127),IF(G127&lt;0,"Убыток",IF(G127=0,"Без прибыли","Прибыль &gt; 0")),"Не оценён")</x:f>
        <x:v>Не оценён</x:v>
      </x:c>
      <x:c r="AE127" s="13" t="str">
        <x:f>IF(J127="Рассчитано","Выручка "&amp;TEXT(V127,"0.00")&amp;" - себестоимость "&amp;TEXT(W127,"0.00")&amp;" - комиссия "&amp;TEXT(V127*R127/100,"0.00")&amp;" - доставка "&amp;TEXT(P127,"0.00")&amp;" - прочие "&amp;TEXT(Q127,"0.00")&amp;" = "&amp;TEXT(G127,"0.00")&amp;" "&amp;L127,"Введите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7" s="24" t="n">
        <x:v>1306.6758836964739</x:v>
      </x:c>
      <x:c r="AG127" s="37" t="n">
        <x:v>401</x:v>
      </x:c>
      <x:c r="AH127" s="37" t="n">
        <x:v>350</x:v>
      </x:c>
      <x:c r="AI127" s="30" t="n">
        <x:v>46266</x:v>
      </x:c>
      <x:c r="AJ127" s="37" t="n">
        <x:v>35</x:v>
      </x:c>
      <x:c r="AK127" s="10" t="str">
        <x:v>минимум</x:v>
      </x:c>
      <x:c r="AL127" s="32" t="n">
        <x:v>9.20656771131963</x:v>
      </x:c>
      <x:c r="AM127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9.2 дн. без поступлений</x:v>
      </x:c>
      <x:c r="AN127" s="13" t="str">
        <x:v>Подтвердить наличие, срок и цену закупки</x:v>
      </x:c>
      <x:c r="AO127" s="13" t="str">
        <x:v>Прогноз 30 дней 1306.68; остаток 401; поступления в срок 350; нехватка 556; заказ с учётом MOQ 556 шт. Остаток на начало сентября: требуется актуализация.</x:v>
      </x:c>
      <x:c r="AP127" s="13" t="str">
        <x:v>["category_missing", "daily_stockout_data_missing", "large_orders_detected", "new_order_lead_time_unknown", "reservations_unknown", "stale_stock", "transaction_month_mismatch"]</x:v>
      </x:c>
      <x:c r="AQ127" s="10" t="str">
        <x:v>IEK:130301101_</x:v>
      </x:c>
      <x:c r="AR127" s="24" t="n">
        <x:v>1</x:v>
      </x:c>
      <x:c r="AS127" s="24" t="n">
        <x:f>MAX(0,ROUNDUP(MAX(0,AF127-AG127-AH127)/AR127-0.000000001,0)*AR127)</x:f>
        <x:v>556</x:v>
      </x:c>
      <x:c r="AT127" s="24" t="n">
        <x:v>555.6758836964739</x:v>
      </x:c>
    </x:row>
    <x:row r="128" ht="64" customHeight="1">
      <x:c r="A128" s="11" t="str">
        <x:v>IEK</x:v>
      </x:c>
      <x:c r="B128" s="33" t="str">
        <x:v>130301232_</x:v>
      </x:c>
      <x:c r="C128" s="33" t="str">
        <x:v>CTG12-160-K04-035-R</x:v>
      </x:c>
      <x:c r="D128" s="12" t="str">
        <x:v>Трубы гибкая двустенная красная (с протяжкой)  Ø160  IEK (35)</x:v>
      </x:c>
      <x:c r="E128" s="11" t="str">
        <x:v>м</x:v>
      </x:c>
      <x:c r="F128" s="23" t="n">
        <x:f>IF(AS128&gt;0,MAX(AS128,AJ128),0)</x:f>
        <x:v>481.095</x:v>
      </x:c>
      <x:c r="G128" s="20" t="str">
        <x:f>IF(J128="Рассчитано",V128*(1-R128/100)-W128-P128-Q128,"н/д")</x:f>
        <x:v>н/д</x:v>
      </x:c>
      <x:c r="H128" s="12" t="str">
        <x:v>Высокий</x:v>
      </x:c>
      <x:c r="I128" s="12" t="str">
        <x:v>Критический</x:v>
      </x:c>
      <x:c r="J128" s="12" t="str">
        <x:f>IF(L128="","Укажите валюту",IF(NOT(ISNUMBER(K128)),"Укажите объём",IF(K128&lt;=0,"Укажите объём",IF(COUNT(M128:O128)&lt;3,"Нужны цены",IF(COUNT(P128:R128)&lt;3,"Нужны расходы",IF(OR(M128&lt;0,N128&lt;0,O128&lt;0,O128&gt;100,P128&lt;0,Q128&lt;0,R128&lt;0,R128&gt;100),"Проверьте значения","Рассчитано"))))))</x:f>
        <x:v>Нужны цены</x:v>
      </x:c>
      <x:c r="K128" s="25" t="n">
        <x:v>481.095</x:v>
      </x:c>
      <x:c r="L128" s="19" t="str">
        <x:v>KZT</x:v>
      </x:c>
      <x:c r="M128" s="22"/>
      <x:c r="N128" s="22"/>
      <x:c r="O128" s="28"/>
      <x:c r="P128" s="22"/>
      <x:c r="Q128" s="22"/>
      <x:c r="R128" s="28"/>
      <x:c r="S128" s="22"/>
      <x:c r="T128" s="23" t="n">
        <x:f>MIN(K128,AT128)</x:f>
        <x:v>481.094373449081</x:v>
      </x:c>
      <x:c r="U128" s="20" t="str">
        <x:f>IF(J128="Рассчитано",N128*(1-O128/100),"н/д")</x:f>
        <x:v>н/д</x:v>
      </x:c>
      <x:c r="V128" s="20" t="str">
        <x:f>IF(J128="Рассчитано",T128*U128,"н/д")</x:f>
        <x:v>н/д</x:v>
      </x:c>
      <x:c r="W128" s="20" t="str">
        <x:f>IF(J128="Рассчитано",T128*M128,"н/д")</x:f>
        <x:v>н/д</x:v>
      </x:c>
      <x:c r="X128" s="20" t="str">
        <x:f>IF(J128="Рассчитано",V128-W128,"н/д")</x:f>
        <x:v>н/д</x:v>
      </x:c>
      <x:c r="Y128" s="26" t="str">
        <x:f>IF(J128="Рассчитано",IF(V128&gt;0,G128/V128,"н/д"),"н/д")</x:f>
        <x:v>н/д</x:v>
      </x:c>
      <x:c r="Z128" s="20" t="str">
        <x:f>IF(J128="Рассчитано",K128*M128,"н/д")</x:f>
        <x:v>н/д</x:v>
      </x:c>
      <x:c r="AA128" s="20" t="str">
        <x:f>IF(J128="Рассчитано",(K128-T128)*M128,"н/д")</x:f>
        <x:v>н/д</x:v>
      </x:c>
      <x:c r="AB128" s="20" t="str">
        <x:f>IF(AND(J128="Рассчитано",ISNUMBER(S128)),K128*(S128-M128),"н/д")</x:f>
        <x:v>н/д</x:v>
      </x:c>
      <x:c r="AC128" s="20" t="str">
        <x:f>IF(AND(J128="Рассчитано",T128&gt;0,R128&lt;100),(W128+P128+Q128)/(T128*(1-R128/100)),"н/д")</x:f>
        <x:v>н/д</x:v>
      </x:c>
      <x:c r="AD128" s="11" t="str">
        <x:f>IF(ISNUMBER(G128),IF(G128&lt;0,"Убыток",IF(G128=0,"Без прибыли","Прибыль &gt; 0")),"Не оценён")</x:f>
        <x:v>Не оценён</x:v>
      </x:c>
      <x:c r="AE128" s="12" t="str">
        <x:f>IF(J128="Рассчитано","Выручка "&amp;TEXT(V128,"0.00")&amp;" - себестоимость "&amp;TEXT(W128,"0.00")&amp;" - комиссия "&amp;TEXT(V128*R128/100,"0.00")&amp;" - доставка "&amp;TEXT(P128,"0.00")&amp;" - прочие "&amp;TEXT(Q128,"0.00")&amp;" = "&amp;TEXT(G128,"0.00")&amp;" "&amp;L128,"Введите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8" s="23" t="n">
        <x:v>486.094373449081</x:v>
      </x:c>
      <x:c r="AG128" s="23" t="n">
        <x:v>5</x:v>
      </x:c>
      <x:c r="AH128" s="23" t="n">
        <x:v>0</x:v>
      </x:c>
      <x:c r="AI128" s="29" t="n">
        <x:v>46266</x:v>
      </x:c>
      <x:c r="AJ128" s="23" t="n">
        <x:v>35</x:v>
      </x:c>
      <x:c r="AK128" s="11" t="str">
        <x:v>минимум</x:v>
      </x:c>
      <x:c r="AL128" s="31" t="n">
        <x:v>0.3085820535952217</x:v>
      </x:c>
      <x:c r="AM128" s="12" t="str">
        <x:v>Остаток на начало сентября; Резервы неизвестны; Нет ежедневных данных доступности. Запаса примерно на 0.3 дн. без поступлений</x:v>
      </x:c>
      <x:c r="AN128" s="12" t="str">
        <x:v>Подтвердить наличие, срок и цену закупки</x:v>
      </x:c>
      <x:c r="AO128" s="12" t="str">
        <x:v>Прогноз 30 дней 486.09; остаток 5; поступления в срок 0; нехватка 481.095; заказ с учётом MOQ 481.095 м. Остаток на начало сентября: требуется актуализация.</x:v>
      </x:c>
      <x:c r="AP128" s="12" t="str">
        <x:v>["category_missing", "daily_stockout_data_missing", "large_orders_detected", "new_order_lead_time_unknown", "reservations_unknown", "stale_stock"]</x:v>
      </x:c>
      <x:c r="AQ128" s="11" t="str">
        <x:v>IEK:130301232_</x:v>
      </x:c>
      <x:c r="AR128" s="23" t="n">
        <x:v>0.001</x:v>
      </x:c>
      <x:c r="AS128" s="23" t="n">
        <x:f>MAX(0,ROUNDUP(MAX(0,AF128-AG128-AH128)/AR128-0.000000001,0)*AR128)</x:f>
        <x:v>481.095</x:v>
      </x:c>
      <x:c r="AT128" s="23" t="n">
        <x:v>481.094373449081</x:v>
      </x:c>
    </x:row>
    <x:row r="129" ht="64" customHeight="1">
      <x:c r="A129" s="10" t="str">
        <x:v>IEK</x:v>
      </x:c>
      <x:c r="B129" s="34" t="str">
        <x:v>130301257_</x:v>
      </x:c>
      <x:c r="C129" s="34" t="str">
        <x:v>TFS10-1-10</x:v>
      </x:c>
      <x:c r="D129" s="13" t="str">
        <x:v>Автоматический стриппер  MASTER АС 0,03-10 IEK</x:v>
      </x:c>
      <x:c r="E129" s="10" t="str">
        <x:v>шт</x:v>
      </x:c>
      <x:c r="F129" s="37" t="n">
        <x:f>IF(AS129&gt;0,MAX(AS129,AJ129),0)</x:f>
        <x:v>1</x:v>
      </x:c>
      <x:c r="G129" s="21" t="str">
        <x:f>IF(J129="Рассчитано",V129*(1-R129/100)-W129-P129-Q129,"н/д")</x:f>
        <x:v>н/д</x:v>
      </x:c>
      <x:c r="H129" s="13" t="str">
        <x:v>Высокий</x:v>
      </x:c>
      <x:c r="I129" s="13" t="str">
        <x:v>Средний</x:v>
      </x:c>
      <x:c r="J129" s="13" t="str">
        <x:f>IF(L129="","Укажите валюту",IF(NOT(ISNUMBER(K129)),"Укажите объём",IF(K129&lt;=0,"Укажите объём",IF(COUNT(M129:O129)&lt;3,"Нужны цены",IF(COUNT(P129:R129)&lt;3,"Нужны расходы",IF(OR(M129&lt;0,N129&lt;0,O129&lt;0,O129&gt;100,P129&lt;0,Q129&lt;0,R129&lt;0,R129&gt;100),"Проверьте значения","Рассчитано"))))))</x:f>
        <x:v>Нужны цены</x:v>
      </x:c>
      <x:c r="K129" s="36" t="n">
        <x:v>1</x:v>
      </x:c>
      <x:c r="L129" s="19" t="str">
        <x:v>KZT</x:v>
      </x:c>
      <x:c r="M129" s="22"/>
      <x:c r="N129" s="22"/>
      <x:c r="O129" s="28"/>
      <x:c r="P129" s="22"/>
      <x:c r="Q129" s="22"/>
      <x:c r="R129" s="28"/>
      <x:c r="S129" s="22"/>
      <x:c r="T129" s="37" t="n">
        <x:f>MIN(K129,AT129)</x:f>
        <x:v>0.18886903998921234</x:v>
      </x:c>
      <x:c r="U129" s="21" t="str">
        <x:f>IF(J129="Рассчитано",N129*(1-O129/100),"н/д")</x:f>
        <x:v>н/д</x:v>
      </x:c>
      <x:c r="V129" s="21" t="str">
        <x:f>IF(J129="Рассчитано",T129*U129,"н/д")</x:f>
        <x:v>н/д</x:v>
      </x:c>
      <x:c r="W129" s="21" t="str">
        <x:f>IF(J129="Рассчитано",T129*M129,"н/д")</x:f>
        <x:v>н/д</x:v>
      </x:c>
      <x:c r="X129" s="21" t="str">
        <x:f>IF(J129="Рассчитано",V129-W129,"н/д")</x:f>
        <x:v>н/д</x:v>
      </x:c>
      <x:c r="Y129" s="27" t="str">
        <x:f>IF(J129="Рассчитано",IF(V129&gt;0,G129/V129,"н/д"),"н/д")</x:f>
        <x:v>н/д</x:v>
      </x:c>
      <x:c r="Z129" s="21" t="str">
        <x:f>IF(J129="Рассчитано",K129*M129,"н/д")</x:f>
        <x:v>н/д</x:v>
      </x:c>
      <x:c r="AA129" s="21" t="str">
        <x:f>IF(J129="Рассчитано",(K129-T129)*M129,"н/д")</x:f>
        <x:v>н/д</x:v>
      </x:c>
      <x:c r="AB129" s="21" t="str">
        <x:f>IF(AND(J129="Рассчитано",ISNUMBER(S129)),K129*(S129-M129),"н/д")</x:f>
        <x:v>н/д</x:v>
      </x:c>
      <x:c r="AC129" s="21" t="str">
        <x:f>IF(AND(J129="Рассчитано",T129&gt;0,R129&lt;100),(W129+P129+Q129)/(T129*(1-R129/100)),"н/д")</x:f>
        <x:v>н/д</x:v>
      </x:c>
      <x:c r="AD129" s="10" t="str">
        <x:f>IF(ISNUMBER(G129),IF(G129&lt;0,"Убыток",IF(G129=0,"Без прибыли","Прибыль &gt; 0")),"Не оценён")</x:f>
        <x:v>Не оценён</x:v>
      </x:c>
      <x:c r="AE129" s="13" t="str">
        <x:f>IF(J129="Рассчитано","Выручка "&amp;TEXT(V129,"0.00")&amp;" - себестоимость "&amp;TEXT(W129,"0.00")&amp;" - комиссия "&amp;TEXT(V129*R129/100,"0.00")&amp;" - доставка "&amp;TEXT(P129,"0.00")&amp;" - прочие "&amp;TEXT(Q129,"0.00")&amp;" = "&amp;TEXT(G129,"0.00")&amp;" "&amp;L129,"Введите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29" s="24" t="n">
        <x:v>10.188869039989212</x:v>
      </x:c>
      <x:c r="AG129" s="37" t="n">
        <x:v>5</x:v>
      </x:c>
      <x:c r="AH129" s="37" t="n">
        <x:v>5</x:v>
      </x:c>
      <x:c r="AI129" s="30" t="n">
        <x:v>46266</x:v>
      </x:c>
      <x:c r="AJ129" s="37" t="n">
        <x:v>1</x:v>
      </x:c>
      <x:c r="AK129" s="10" t="str">
        <x:v>минимум</x:v>
      </x:c>
      <x:c r="AL129" s="32" t="n">
        <x:v>14.721947981790805</x:v>
      </x:c>
      <x:c r="AM129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14.7 дн. без поступлений</x:v>
      </x:c>
      <x:c r="AN129" s="13" t="str">
        <x:v>Подтвердить наличие, срок и цену закупки</x:v>
      </x:c>
      <x:c r="AO129" s="13" t="str">
        <x:v>Прогноз 30 дней 10.19; остаток 5; поступления в срок 5; нехватка 1; заказ с учётом MOQ 1 шт. Остаток на начало сентября: требуется актуализация.</x:v>
      </x:c>
      <x:c r="AP129" s="13" t="str">
        <x:v>["category_missing", "daily_stockout_data_missing", "large_orders_detected", "new_order_lead_time_unknown", "reservations_unknown", "stale_stock", "transaction_month_mismatch"]</x:v>
      </x:c>
      <x:c r="AQ129" s="10" t="str">
        <x:v>IEK:130301257_</x:v>
      </x:c>
      <x:c r="AR129" s="24" t="n">
        <x:v>1</x:v>
      </x:c>
      <x:c r="AS129" s="24" t="n">
        <x:f>MAX(0,ROUNDUP(MAX(0,AF129-AG129-AH129)/AR129-0.000000001,0)*AR129)</x:f>
        <x:v>1</x:v>
      </x:c>
      <x:c r="AT129" s="24" t="n">
        <x:v>0.18886903998921234</x:v>
      </x:c>
    </x:row>
    <x:row r="130" ht="64" customHeight="1">
      <x:c r="A130" s="11" t="str">
        <x:v>IEK</x:v>
      </x:c>
      <x:c r="B130" s="33" t="str">
        <x:v>130301625_</x:v>
      </x:c>
      <x:c r="C130" s="33" t="str">
        <x:v>YCT10-00-K07-070</x:v>
      </x:c>
      <x:c r="D130" s="12" t="str">
        <x:v>Колодка клеммная CTS  70мм2 синяя IEK</x:v>
      </x:c>
      <x:c r="E130" s="11" t="str">
        <x:v>шт</x:v>
      </x:c>
      <x:c r="F130" s="35" t="n">
        <x:f>IF(AS130&gt;0,MAX(AS130,AJ130),0)</x:f>
        <x:v>20</x:v>
      </x:c>
      <x:c r="G130" s="20" t="str">
        <x:f>IF(J130="Рассчитано",V130*(1-R130/100)-W130-P130-Q130,"н/д")</x:f>
        <x:v>н/д</x:v>
      </x:c>
      <x:c r="H130" s="12" t="str">
        <x:v>Высокий</x:v>
      </x:c>
      <x:c r="I130" s="12" t="str">
        <x:v>Критический</x:v>
      </x:c>
      <x:c r="J130" s="12" t="str">
        <x:f>IF(L130="","Укажите валюту",IF(NOT(ISNUMBER(K130)),"Укажите объём",IF(K130&lt;=0,"Укажите объём",IF(COUNT(M130:O130)&lt;3,"Нужны цены",IF(COUNT(P130:R130)&lt;3,"Нужны расходы",IF(OR(M130&lt;0,N130&lt;0,O130&lt;0,O130&gt;100,P130&lt;0,Q130&lt;0,R130&lt;0,R130&gt;100),"Проверьте значения","Рассчитано"))))))</x:f>
        <x:v>Нужны цены</x:v>
      </x:c>
      <x:c r="K130" s="36" t="n">
        <x:v>20</x:v>
      </x:c>
      <x:c r="L130" s="19" t="str">
        <x:v>KZT</x:v>
      </x:c>
      <x:c r="M130" s="22"/>
      <x:c r="N130" s="22"/>
      <x:c r="O130" s="28"/>
      <x:c r="P130" s="22"/>
      <x:c r="Q130" s="22"/>
      <x:c r="R130" s="28"/>
      <x:c r="S130" s="22"/>
      <x:c r="T130" s="35" t="n">
        <x:f>MIN(K130,AT130)</x:f>
        <x:v>3.9523949614718665</x:v>
      </x:c>
      <x:c r="U130" s="20" t="str">
        <x:f>IF(J130="Рассчитано",N130*(1-O130/100),"н/д")</x:f>
        <x:v>н/д</x:v>
      </x:c>
      <x:c r="V130" s="20" t="str">
        <x:f>IF(J130="Рассчитано",T130*U130,"н/д")</x:f>
        <x:v>н/д</x:v>
      </x:c>
      <x:c r="W130" s="20" t="str">
        <x:f>IF(J130="Рассчитано",T130*M130,"н/д")</x:f>
        <x:v>н/д</x:v>
      </x:c>
      <x:c r="X130" s="20" t="str">
        <x:f>IF(J130="Рассчитано",V130-W130,"н/д")</x:f>
        <x:v>н/д</x:v>
      </x:c>
      <x:c r="Y130" s="26" t="str">
        <x:f>IF(J130="Рассчитано",IF(V130&gt;0,G130/V130,"н/д"),"н/д")</x:f>
        <x:v>н/д</x:v>
      </x:c>
      <x:c r="Z130" s="20" t="str">
        <x:f>IF(J130="Рассчитано",K130*M130,"н/д")</x:f>
        <x:v>н/д</x:v>
      </x:c>
      <x:c r="AA130" s="20" t="str">
        <x:f>IF(J130="Рассчитано",(K130-T130)*M130,"н/д")</x:f>
        <x:v>н/д</x:v>
      </x:c>
      <x:c r="AB130" s="20" t="str">
        <x:f>IF(AND(J130="Рассчитано",ISNUMBER(S130)),K130*(S130-M130),"н/д")</x:f>
        <x:v>н/д</x:v>
      </x:c>
      <x:c r="AC130" s="20" t="str">
        <x:f>IF(AND(J130="Рассчитано",T130&gt;0,R130&lt;100),(W130+P130+Q130)/(T130*(1-R130/100)),"н/д")</x:f>
        <x:v>н/д</x:v>
      </x:c>
      <x:c r="AD130" s="11" t="str">
        <x:f>IF(ISNUMBER(G130),IF(G130&lt;0,"Убыток",IF(G130=0,"Без прибыли","Прибыль &gt; 0")),"Не оценён")</x:f>
        <x:v>Не оценён</x:v>
      </x:c>
      <x:c r="AE130" s="12" t="str">
        <x:f>IF(J130="Рассчитано","Выручка "&amp;TEXT(V130,"0.00")&amp;" - себестоимость "&amp;TEXT(W130,"0.00")&amp;" - комиссия "&amp;TEXT(V130*R130/100,"0.00")&amp;" - доставка "&amp;TEXT(P130,"0.00")&amp;" - прочие "&amp;TEXT(Q130,"0.00")&amp;" = "&amp;TEXT(G130,"0.00")&amp;" "&amp;L130,"Введите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0" s="23" t="n">
        <x:v>4.9523949614718665</x:v>
      </x:c>
      <x:c r="AG130" s="35" t="n">
        <x:v>1</x:v>
      </x:c>
      <x:c r="AH130" s="35" t="n">
        <x:v>0</x:v>
      </x:c>
      <x:c r="AI130" s="29" t="n">
        <x:v>46266</x:v>
      </x:c>
      <x:c r="AJ130" s="35" t="n">
        <x:v>20</x:v>
      </x:c>
      <x:c r="AK130" s="11" t="str">
        <x:v>минимум</x:v>
      </x:c>
      <x:c r="AL130" s="31" t="n">
        <x:v>6.057675171990707</x:v>
      </x:c>
      <x:c r="AM130" s="12" t="str">
        <x:v>Остаток на начало сентября; Резервы неизвестны; Нет ежедневных данных доступности. Запаса примерно на 6.1 дн. без поступлений</x:v>
      </x:c>
      <x:c r="AN130" s="12" t="str">
        <x:v>Подтвердить наличие, срок и цену закупки</x:v>
      </x:c>
      <x:c r="AO130" s="12" t="str">
        <x:v>Прогноз 30 дней 4.95; остаток 1; поступления в срок 0; нехватка 4; заказ с учётом MOQ 20 шт. Остаток на начало сентября: требуется актуализация.</x:v>
      </x:c>
      <x:c r="AP130" s="12" t="str">
        <x:v>["category_missing", "daily_stockout_data_missing", "new_order_lead_time_unknown", "reservations_unknown", "stale_stock"]</x:v>
      </x:c>
      <x:c r="AQ130" s="11" t="str">
        <x:v>IEK:130301625_</x:v>
      </x:c>
      <x:c r="AR130" s="23" t="n">
        <x:v>1</x:v>
      </x:c>
      <x:c r="AS130" s="23" t="n">
        <x:f>MAX(0,ROUNDUP(MAX(0,AF130-AG130-AH130)/AR130-0.000000001,0)*AR130)</x:f>
        <x:v>4</x:v>
      </x:c>
      <x:c r="AT130" s="23" t="n">
        <x:v>3.9523949614718665</x:v>
      </x:c>
    </x:row>
    <x:row r="131" ht="64" customHeight="1">
      <x:c r="A131" s="10" t="str">
        <x:v>IEK</x:v>
      </x:c>
      <x:c r="B131" s="34" t="str">
        <x:v>130301632_</x:v>
      </x:c>
      <x:c r="C131" s="34" t="str">
        <x:v>YCT13-00-3-K03-002</x:v>
      </x:c>
      <x:c r="D131" s="13" t="str">
        <x:v>Колодка клеммная CTS-ML 3 ур. 2,5мм2 серая IEK</x:v>
      </x:c>
      <x:c r="E131" s="10" t="str">
        <x:v>шт</x:v>
      </x:c>
      <x:c r="F131" s="37" t="n">
        <x:f>IF(AS131&gt;0,MAX(AS131,AJ131),0)</x:f>
        <x:v>50</x:v>
      </x:c>
      <x:c r="G131" s="21" t="str">
        <x:f>IF(J131="Рассчитано",V131*(1-R131/100)-W131-P131-Q131,"н/д")</x:f>
        <x:v>н/д</x:v>
      </x:c>
      <x:c r="H131" s="13" t="str">
        <x:v>Высокий</x:v>
      </x:c>
      <x:c r="I131" s="13" t="str">
        <x:v>Средний</x:v>
      </x:c>
      <x:c r="J131" s="13" t="str">
        <x:f>IF(L131="","Укажите валюту",IF(NOT(ISNUMBER(K131)),"Укажите объём",IF(K131&lt;=0,"Укажите объём",IF(COUNT(M131:O131)&lt;3,"Нужны цены",IF(COUNT(P131:R131)&lt;3,"Нужны расходы",IF(OR(M131&lt;0,N131&lt;0,O131&lt;0,O131&gt;100,P131&lt;0,Q131&lt;0,R131&lt;0,R131&gt;100),"Проверьте значения","Рассчитано"))))))</x:f>
        <x:v>Нужны цены</x:v>
      </x:c>
      <x:c r="K131" s="36" t="n">
        <x:v>50</x:v>
      </x:c>
      <x:c r="L131" s="19" t="str">
        <x:v>KZT</x:v>
      </x:c>
      <x:c r="M131" s="22"/>
      <x:c r="N131" s="22"/>
      <x:c r="O131" s="28"/>
      <x:c r="P131" s="22"/>
      <x:c r="Q131" s="22"/>
      <x:c r="R131" s="28"/>
      <x:c r="S131" s="22"/>
      <x:c r="T131" s="37" t="n">
        <x:f>MIN(K131,AT131)</x:f>
        <x:v>5.399536201530021</x:v>
      </x:c>
      <x:c r="U131" s="21" t="str">
        <x:f>IF(J131="Рассчитано",N131*(1-O131/100),"н/д")</x:f>
        <x:v>н/д</x:v>
      </x:c>
      <x:c r="V131" s="21" t="str">
        <x:f>IF(J131="Рассчитано",T131*U131,"н/д")</x:f>
        <x:v>н/д</x:v>
      </x:c>
      <x:c r="W131" s="21" t="str">
        <x:f>IF(J131="Рассчитано",T131*M131,"н/д")</x:f>
        <x:v>н/д</x:v>
      </x:c>
      <x:c r="X131" s="21" t="str">
        <x:f>IF(J131="Рассчитано",V131-W131,"н/д")</x:f>
        <x:v>н/д</x:v>
      </x:c>
      <x:c r="Y131" s="27" t="str">
        <x:f>IF(J131="Рассчитано",IF(V131&gt;0,G131/V131,"н/д"),"н/д")</x:f>
        <x:v>н/д</x:v>
      </x:c>
      <x:c r="Z131" s="21" t="str">
        <x:f>IF(J131="Рассчитано",K131*M131,"н/д")</x:f>
        <x:v>н/д</x:v>
      </x:c>
      <x:c r="AA131" s="21" t="str">
        <x:f>IF(J131="Рассчитано",(K131-T131)*M131,"н/д")</x:f>
        <x:v>н/д</x:v>
      </x:c>
      <x:c r="AB131" s="21" t="str">
        <x:f>IF(AND(J131="Рассчитано",ISNUMBER(S131)),K131*(S131-M131),"н/д")</x:f>
        <x:v>н/д</x:v>
      </x:c>
      <x:c r="AC131" s="21" t="str">
        <x:f>IF(AND(J131="Рассчитано",T131&gt;0,R131&lt;100),(W131+P131+Q131)/(T131*(1-R131/100)),"н/д")</x:f>
        <x:v>н/д</x:v>
      </x:c>
      <x:c r="AD131" s="10" t="str">
        <x:f>IF(ISNUMBER(G131),IF(G131&lt;0,"Убыток",IF(G131=0,"Без прибыли","Прибыль &gt; 0")),"Не оценён")</x:f>
        <x:v>Не оценён</x:v>
      </x:c>
      <x:c r="AE131" s="13" t="str">
        <x:f>IF(J131="Рассчитано","Выручка "&amp;TEXT(V131,"0.00")&amp;" - себестоимость "&amp;TEXT(W131,"0.00")&amp;" - комиссия "&amp;TEXT(V131*R131/100,"0.00")&amp;" - доставка "&amp;TEXT(P131,"0.00")&amp;" - прочие "&amp;TEXT(Q131,"0.00")&amp;" = "&amp;TEXT(G131,"0.00")&amp;" "&amp;L131,"Введите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1" s="24" t="n">
        <x:v>15.39953620153002</x:v>
      </x:c>
      <x:c r="AG131" s="37" t="n">
        <x:v>10</x:v>
      </x:c>
      <x:c r="AH131" s="37" t="n">
        <x:v>0</x:v>
      </x:c>
      <x:c r="AI131" s="30" t="n">
        <x:v>46266</x:v>
      </x:c>
      <x:c r="AJ131" s="37" t="n">
        <x:v>50</x:v>
      </x:c>
      <x:c r="AK131" s="10" t="str">
        <x:v>минимум</x:v>
      </x:c>
      <x:c r="AL131" s="32" t="n">
        <x:v>19.481106188782068</x:v>
      </x:c>
      <x:c r="AM131" s="13" t="str">
        <x:v>Остаток на начало сентября; Резервы неизвестны; Stockout оценён по месячным снимкам; Нет ежедневных данных доступности. Запаса примерно на 19.5 дн. без поступлений</x:v>
      </x:c>
      <x:c r="AN131" s="13" t="str">
        <x:v>Подтвердить наличие, срок и цену закупки</x:v>
      </x:c>
      <x:c r="AO131" s="13" t="str">
        <x:v>Прогноз 30 дней 15.40; остаток 10; поступления в срок 0; нехватка 6; заказ с учётом MOQ 50 шт. Остаток на начало сентября: требуется актуализация.</x:v>
      </x:c>
      <x:c r="AP131" s="13" t="str">
        <x:v>["category_missing", "daily_stockout_data_missing", "new_order_lead_time_unknown", "reservations_unknown", "stale_stock", "stockout_proxy_used"]</x:v>
      </x:c>
      <x:c r="AQ131" s="10" t="str">
        <x:v>IEK:130301632_</x:v>
      </x:c>
      <x:c r="AR131" s="24" t="n">
        <x:v>1</x:v>
      </x:c>
      <x:c r="AS131" s="24" t="n">
        <x:f>MAX(0,ROUNDUP(MAX(0,AF131-AG131-AH131)/AR131-0.000000001,0)*AR131)</x:f>
        <x:v>6</x:v>
      </x:c>
      <x:c r="AT131" s="24" t="n">
        <x:v>5.399536201530021</x:v>
      </x:c>
    </x:row>
    <x:row r="132" ht="64" customHeight="1">
      <x:c r="A132" s="11" t="str">
        <x:v>IEK</x:v>
      </x:c>
      <x:c r="B132" s="33" t="str">
        <x:v>130301634_</x:v>
      </x:c>
      <x:c r="C132" s="33" t="str">
        <x:v>YCT20-00-K03-001</x:v>
      </x:c>
      <x:c r="D132" s="12" t="str">
        <x:v>Колодка клеммная CP 1,5мм2 серая IEK</x:v>
      </x:c>
      <x:c r="E132" s="11" t="str">
        <x:v>шт</x:v>
      </x:c>
      <x:c r="F132" s="35" t="n">
        <x:f>IF(AS132&gt;0,MAX(AS132,AJ132),0)</x:f>
        <x:v>100</x:v>
      </x:c>
      <x:c r="G132" s="20" t="str">
        <x:f>IF(J132="Рассчитано",V132*(1-R132/100)-W132-P132-Q132,"н/д")</x:f>
        <x:v>н/д</x:v>
      </x:c>
      <x:c r="H132" s="12" t="str">
        <x:v>Высокий</x:v>
      </x:c>
      <x:c r="I132" s="12" t="str">
        <x:v>Критический</x:v>
      </x:c>
      <x:c r="J132" s="12" t="str">
        <x:f>IF(L132="","Укажите валюту",IF(NOT(ISNUMBER(K132)),"Укажите объём",IF(K132&lt;=0,"Укажите объём",IF(COUNT(M132:O132)&lt;3,"Нужны цены",IF(COUNT(P132:R132)&lt;3,"Нужны расходы",IF(OR(M132&lt;0,N132&lt;0,O132&lt;0,O132&gt;100,P132&lt;0,Q132&lt;0,R132&lt;0,R132&gt;100),"Проверьте значения","Рассчитано"))))))</x:f>
        <x:v>Нужны цены</x:v>
      </x:c>
      <x:c r="K132" s="36" t="n">
        <x:v>100</x:v>
      </x:c>
      <x:c r="L132" s="19" t="str">
        <x:v>KZT</x:v>
      </x:c>
      <x:c r="M132" s="22"/>
      <x:c r="N132" s="22"/>
      <x:c r="O132" s="28"/>
      <x:c r="P132" s="22"/>
      <x:c r="Q132" s="22"/>
      <x:c r="R132" s="28"/>
      <x:c r="S132" s="22"/>
      <x:c r="T132" s="35" t="n">
        <x:f>MIN(K132,AT132)</x:f>
        <x:v>40.94147131512335</x:v>
      </x:c>
      <x:c r="U132" s="20" t="str">
        <x:f>IF(J132="Рассчитано",N132*(1-O132/100),"н/д")</x:f>
        <x:v>н/д</x:v>
      </x:c>
      <x:c r="V132" s="20" t="str">
        <x:f>IF(J132="Рассчитано",T132*U132,"н/д")</x:f>
        <x:v>н/д</x:v>
      </x:c>
      <x:c r="W132" s="20" t="str">
        <x:f>IF(J132="Рассчитано",T132*M132,"н/д")</x:f>
        <x:v>н/д</x:v>
      </x:c>
      <x:c r="X132" s="20" t="str">
        <x:f>IF(J132="Рассчитано",V132-W132,"н/д")</x:f>
        <x:v>н/д</x:v>
      </x:c>
      <x:c r="Y132" s="26" t="str">
        <x:f>IF(J132="Рассчитано",IF(V132&gt;0,G132/V132,"н/д"),"н/д")</x:f>
        <x:v>н/д</x:v>
      </x:c>
      <x:c r="Z132" s="20" t="str">
        <x:f>IF(J132="Рассчитано",K132*M132,"н/д")</x:f>
        <x:v>н/д</x:v>
      </x:c>
      <x:c r="AA132" s="20" t="str">
        <x:f>IF(J132="Рассчитано",(K132-T132)*M132,"н/д")</x:f>
        <x:v>н/д</x:v>
      </x:c>
      <x:c r="AB132" s="20" t="str">
        <x:f>IF(AND(J132="Рассчитано",ISNUMBER(S132)),K132*(S132-M132),"н/д")</x:f>
        <x:v>н/д</x:v>
      </x:c>
      <x:c r="AC132" s="20" t="str">
        <x:f>IF(AND(J132="Рассчитано",T132&gt;0,R132&lt;100),(W132+P132+Q132)/(T132*(1-R132/100)),"н/д")</x:f>
        <x:v>н/д</x:v>
      </x:c>
      <x:c r="AD132" s="11" t="str">
        <x:f>IF(ISNUMBER(G132),IF(G132&lt;0,"Убыток",IF(G132=0,"Без прибыли","Прибыль &gt; 0")),"Не оценён")</x:f>
        <x:v>Не оценён</x:v>
      </x:c>
      <x:c r="AE132" s="12" t="str">
        <x:f>IF(J132="Рассчитано","Выручка "&amp;TEXT(V132,"0.00")&amp;" - себестоимость "&amp;TEXT(W132,"0.00")&amp;" - комиссия "&amp;TEXT(V132*R132/100,"0.00")&amp;" - доставка "&amp;TEXT(P132,"0.00")&amp;" - прочие "&amp;TEXT(Q132,"0.00")&amp;" = "&amp;TEXT(G132,"0.00")&amp;" "&amp;L132,"Введите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2" s="23" t="n">
        <x:v>40.94147131512335</x:v>
      </x:c>
      <x:c r="AG132" s="35" t="n">
        <x:v>0</x:v>
      </x:c>
      <x:c r="AH132" s="35" t="n">
        <x:v>0</x:v>
      </x:c>
      <x:c r="AI132" s="29" t="n">
        <x:v>46266</x:v>
      </x:c>
      <x:c r="AJ132" s="35" t="n">
        <x:v>100</x:v>
      </x:c>
      <x:c r="AK132" s="11" t="str">
        <x:v>минимум</x:v>
      </x:c>
      <x:c r="AL132" s="31" t="n">
        <x:v>0</x:v>
      </x:c>
      <x:c r="AM132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32" s="12" t="str">
        <x:v>Подтвердить наличие, срок и цену закупки</x:v>
      </x:c>
      <x:c r="AO132" s="12" t="str">
        <x:v>Прогноз 30 дней 40.94; остаток 0; поступления в срок 0; нехватка 41; заказ с учётом MOQ 100 шт. Остаток на начало сентября: требуется актуализация.</x:v>
      </x:c>
      <x:c r="AP132" s="12" t="str">
        <x:v>["blank_stock_assumed_zero", "category_missing", "daily_stockout_data_missing", "new_order_lead_time_unknown", "reservations_unknown", "stale_stock", "stockout_proxy_used"]</x:v>
      </x:c>
      <x:c r="AQ132" s="11" t="str">
        <x:v>IEK:130301634_</x:v>
      </x:c>
      <x:c r="AR132" s="23" t="n">
        <x:v>1</x:v>
      </x:c>
      <x:c r="AS132" s="23" t="n">
        <x:f>MAX(0,ROUNDUP(MAX(0,AF132-AG132-AH132)/AR132-0.000000001,0)*AR132)</x:f>
        <x:v>41</x:v>
      </x:c>
      <x:c r="AT132" s="23" t="n">
        <x:v>40.94147131512335</x:v>
      </x:c>
    </x:row>
    <x:row r="133" ht="64" customHeight="1">
      <x:c r="A133" s="10" t="str">
        <x:v>IEK</x:v>
      </x:c>
      <x:c r="B133" s="34" t="str">
        <x:v>130301635_</x:v>
      </x:c>
      <x:c r="C133" s="34" t="str">
        <x:v>YCT20-00-K03-002</x:v>
      </x:c>
      <x:c r="D133" s="13" t="str">
        <x:v>Колодка клеммная CP 2,5мм2 серая IEK</x:v>
      </x:c>
      <x:c r="E133" s="10" t="str">
        <x:v>шт</x:v>
      </x:c>
      <x:c r="F133" s="37" t="n">
        <x:f>IF(AS133&gt;0,MAX(AS133,AJ133),0)</x:f>
        <x:v>100</x:v>
      </x:c>
      <x:c r="G133" s="21" t="str">
        <x:f>IF(J133="Рассчитано",V133*(1-R133/100)-W133-P133-Q133,"н/д")</x:f>
        <x:v>н/д</x:v>
      </x:c>
      <x:c r="H133" s="13" t="str">
        <x:v>Высокий</x:v>
      </x:c>
      <x:c r="I133" s="13" t="str">
        <x:v>Средний</x:v>
      </x:c>
      <x:c r="J133" s="13" t="str">
        <x:f>IF(L133="","Укажите валюту",IF(NOT(ISNUMBER(K133)),"Укажите объём",IF(K133&lt;=0,"Укажите объём",IF(COUNT(M133:O133)&lt;3,"Нужны цены",IF(COUNT(P133:R133)&lt;3,"Нужны расходы",IF(OR(M133&lt;0,N133&lt;0,O133&lt;0,O133&gt;100,P133&lt;0,Q133&lt;0,R133&lt;0,R133&gt;100),"Проверьте значения","Рассчитано"))))))</x:f>
        <x:v>Нужны цены</x:v>
      </x:c>
      <x:c r="K133" s="36" t="n">
        <x:v>100</x:v>
      </x:c>
      <x:c r="L133" s="19" t="str">
        <x:v>KZT</x:v>
      </x:c>
      <x:c r="M133" s="22"/>
      <x:c r="N133" s="22"/>
      <x:c r="O133" s="28"/>
      <x:c r="P133" s="22"/>
      <x:c r="Q133" s="22"/>
      <x:c r="R133" s="28"/>
      <x:c r="S133" s="22"/>
      <x:c r="T133" s="37" t="n">
        <x:f>MIN(K133,AT133)</x:f>
        <x:v>24.625542543638247</x:v>
      </x:c>
      <x:c r="U133" s="21" t="str">
        <x:f>IF(J133="Рассчитано",N133*(1-O133/100),"н/д")</x:f>
        <x:v>н/д</x:v>
      </x:c>
      <x:c r="V133" s="21" t="str">
        <x:f>IF(J133="Рассчитано",T133*U133,"н/д")</x:f>
        <x:v>н/д</x:v>
      </x:c>
      <x:c r="W133" s="21" t="str">
        <x:f>IF(J133="Рассчитано",T133*M133,"н/д")</x:f>
        <x:v>н/д</x:v>
      </x:c>
      <x:c r="X133" s="21" t="str">
        <x:f>IF(J133="Рассчитано",V133-W133,"н/д")</x:f>
        <x:v>н/д</x:v>
      </x:c>
      <x:c r="Y133" s="27" t="str">
        <x:f>IF(J133="Рассчитано",IF(V133&gt;0,G133/V133,"н/д"),"н/д")</x:f>
        <x:v>н/д</x:v>
      </x:c>
      <x:c r="Z133" s="21" t="str">
        <x:f>IF(J133="Рассчитано",K133*M133,"н/д")</x:f>
        <x:v>н/д</x:v>
      </x:c>
      <x:c r="AA133" s="21" t="str">
        <x:f>IF(J133="Рассчитано",(K133-T133)*M133,"н/д")</x:f>
        <x:v>н/д</x:v>
      </x:c>
      <x:c r="AB133" s="21" t="str">
        <x:f>IF(AND(J133="Рассчитано",ISNUMBER(S133)),K133*(S133-M133),"н/д")</x:f>
        <x:v>н/д</x:v>
      </x:c>
      <x:c r="AC133" s="21" t="str">
        <x:f>IF(AND(J133="Рассчитано",T133&gt;0,R133&lt;100),(W133+P133+Q133)/(T133*(1-R133/100)),"н/д")</x:f>
        <x:v>н/д</x:v>
      </x:c>
      <x:c r="AD133" s="10" t="str">
        <x:f>IF(ISNUMBER(G133),IF(G133&lt;0,"Убыток",IF(G133=0,"Без прибыли","Прибыль &gt; 0")),"Не оценён")</x:f>
        <x:v>Не оценён</x:v>
      </x:c>
      <x:c r="AE133" s="13" t="str">
        <x:f>IF(J133="Рассчитано","Выручка "&amp;TEXT(V133,"0.00")&amp;" - себестоимость "&amp;TEXT(W133,"0.00")&amp;" - комиссия "&amp;TEXT(V133*R133/100,"0.00")&amp;" - доставка "&amp;TEXT(P133,"0.00")&amp;" - прочие "&amp;TEXT(Q133,"0.00")&amp;" = "&amp;TEXT(G133,"0.00")&amp;" "&amp;L133,"Введите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3" s="24" t="n">
        <x:v>113.62554254363825</x:v>
      </x:c>
      <x:c r="AG133" s="37" t="n">
        <x:v>89</x:v>
      </x:c>
      <x:c r="AH133" s="37" t="n">
        <x:v>0</x:v>
      </x:c>
      <x:c r="AI133" s="30" t="n">
        <x:v>46266</x:v>
      </x:c>
      <x:c r="AJ133" s="37" t="n">
        <x:v>100</x:v>
      </x:c>
      <x:c r="AK133" s="10" t="str">
        <x:v>минимум</x:v>
      </x:c>
      <x:c r="AL133" s="32" t="n">
        <x:v>23.498237634153238</x:v>
      </x:c>
      <x:c r="AM133" s="13" t="str">
        <x:v>Остаток на начало сентября; Резервы неизвестны; Нет ежедневных данных доступности. Запаса примерно на 23.5 дн. без поступлений</x:v>
      </x:c>
      <x:c r="AN133" s="13" t="str">
        <x:v>Подтвердить наличие, срок и цену закупки</x:v>
      </x:c>
      <x:c r="AO133" s="13" t="str">
        <x:v>Прогноз 30 дней 113.63; остаток 89; поступления в срок 0; нехватка 25; заказ с учётом MOQ 100 шт. Остаток на начало сентября: требуется актуализация.</x:v>
      </x:c>
      <x:c r="AP133" s="13" t="str">
        <x:v>["category_missing", "daily_stockout_data_missing", "new_order_lead_time_unknown", "reservations_unknown", "stale_stock"]</x:v>
      </x:c>
      <x:c r="AQ133" s="10" t="str">
        <x:v>IEK:130301635_</x:v>
      </x:c>
      <x:c r="AR133" s="24" t="n">
        <x:v>1</x:v>
      </x:c>
      <x:c r="AS133" s="24" t="n">
        <x:f>MAX(0,ROUNDUP(MAX(0,AF133-AG133-AH133)/AR133-0.000000001,0)*AR133)</x:f>
        <x:v>25</x:v>
      </x:c>
      <x:c r="AT133" s="24" t="n">
        <x:v>24.625542543638247</x:v>
      </x:c>
    </x:row>
    <x:row r="134" ht="64" customHeight="1">
      <x:c r="A134" s="11" t="str">
        <x:v>IEK</x:v>
      </x:c>
      <x:c r="B134" s="33" t="str">
        <x:v>130301636_</x:v>
      </x:c>
      <x:c r="C134" s="33" t="str">
        <x:v>YCT20-00-K03-004</x:v>
      </x:c>
      <x:c r="D134" s="12" t="str">
        <x:v>Колодка клеммная CP 4мм2 серая IEK</x:v>
      </x:c>
      <x:c r="E134" s="11" t="str">
        <x:v>шт</x:v>
      </x:c>
      <x:c r="F134" s="35" t="n">
        <x:f>IF(AS134&gt;0,MAX(AS134,AJ134),0)</x:f>
        <x:v>100</x:v>
      </x:c>
      <x:c r="G134" s="20" t="str">
        <x:f>IF(J134="Рассчитано",V134*(1-R134/100)-W134-P134-Q134,"н/д")</x:f>
        <x:v>н/д</x:v>
      </x:c>
      <x:c r="H134" s="12" t="str">
        <x:v>Высокий</x:v>
      </x:c>
      <x:c r="I134" s="12" t="str">
        <x:v>Критический</x:v>
      </x:c>
      <x:c r="J134" s="12" t="str">
        <x:f>IF(L134="","Укажите валюту",IF(NOT(ISNUMBER(K134)),"Укажите объём",IF(K134&lt;=0,"Укажите объём",IF(COUNT(M134:O134)&lt;3,"Нужны цены",IF(COUNT(P134:R134)&lt;3,"Нужны расходы",IF(OR(M134&lt;0,N134&lt;0,O134&lt;0,O134&gt;100,P134&lt;0,Q134&lt;0,R134&lt;0,R134&gt;100),"Проверьте значения","Рассчитано"))))))</x:f>
        <x:v>Нужны цены</x:v>
      </x:c>
      <x:c r="K134" s="36" t="n">
        <x:v>100</x:v>
      </x:c>
      <x:c r="L134" s="19" t="str">
        <x:v>KZT</x:v>
      </x:c>
      <x:c r="M134" s="22"/>
      <x:c r="N134" s="22"/>
      <x:c r="O134" s="28"/>
      <x:c r="P134" s="22"/>
      <x:c r="Q134" s="22"/>
      <x:c r="R134" s="28"/>
      <x:c r="S134" s="22"/>
      <x:c r="T134" s="35" t="n">
        <x:f>MIN(K134,AT134)</x:f>
        <x:v>25.564042233653353</x:v>
      </x:c>
      <x:c r="U134" s="20" t="str">
        <x:f>IF(J134="Рассчитано",N134*(1-O134/100),"н/д")</x:f>
        <x:v>н/д</x:v>
      </x:c>
      <x:c r="V134" s="20" t="str">
        <x:f>IF(J134="Рассчитано",T134*U134,"н/д")</x:f>
        <x:v>н/д</x:v>
      </x:c>
      <x:c r="W134" s="20" t="str">
        <x:f>IF(J134="Рассчитано",T134*M134,"н/д")</x:f>
        <x:v>н/д</x:v>
      </x:c>
      <x:c r="X134" s="20" t="str">
        <x:f>IF(J134="Рассчитано",V134-W134,"н/д")</x:f>
        <x:v>н/д</x:v>
      </x:c>
      <x:c r="Y134" s="26" t="str">
        <x:f>IF(J134="Рассчитано",IF(V134&gt;0,G134/V134,"н/д"),"н/д")</x:f>
        <x:v>н/д</x:v>
      </x:c>
      <x:c r="Z134" s="20" t="str">
        <x:f>IF(J134="Рассчитано",K134*M134,"н/д")</x:f>
        <x:v>н/д</x:v>
      </x:c>
      <x:c r="AA134" s="20" t="str">
        <x:f>IF(J134="Рассчитано",(K134-T134)*M134,"н/д")</x:f>
        <x:v>н/д</x:v>
      </x:c>
      <x:c r="AB134" s="20" t="str">
        <x:f>IF(AND(J134="Рассчитано",ISNUMBER(S134)),K134*(S134-M134),"н/д")</x:f>
        <x:v>н/д</x:v>
      </x:c>
      <x:c r="AC134" s="20" t="str">
        <x:f>IF(AND(J134="Рассчитано",T134&gt;0,R134&lt;100),(W134+P134+Q134)/(T134*(1-R134/100)),"н/д")</x:f>
        <x:v>н/д</x:v>
      </x:c>
      <x:c r="AD134" s="11" t="str">
        <x:f>IF(ISNUMBER(G134),IF(G134&lt;0,"Убыток",IF(G134=0,"Без прибыли","Прибыль &gt; 0")),"Не оценён")</x:f>
        <x:v>Не оценён</x:v>
      </x:c>
      <x:c r="AE134" s="12" t="str">
        <x:f>IF(J134="Рассчитано","Выручка "&amp;TEXT(V134,"0.00")&amp;" - себестоимость "&amp;TEXT(W134,"0.00")&amp;" - комиссия "&amp;TEXT(V134*R134/100,"0.00")&amp;" - доставка "&amp;TEXT(P134,"0.00")&amp;" - прочие "&amp;TEXT(Q134,"0.00")&amp;" = "&amp;TEXT(G134,"0.00")&amp;" "&amp;L134,"Введите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4" s="23" t="n">
        <x:v>31.564042233653353</x:v>
      </x:c>
      <x:c r="AG134" s="35" t="n">
        <x:v>6</x:v>
      </x:c>
      <x:c r="AH134" s="35" t="n">
        <x:v>0</x:v>
      </x:c>
      <x:c r="AI134" s="29" t="n">
        <x:v>46266</x:v>
      </x:c>
      <x:c r="AJ134" s="35" t="n">
        <x:v>100</x:v>
      </x:c>
      <x:c r="AK134" s="11" t="str">
        <x:v>минимум</x:v>
      </x:c>
      <x:c r="AL134" s="31" t="n">
        <x:v>5.702691647272139</x:v>
      </x:c>
      <x:c r="AM134" s="12" t="str">
        <x:v>Остаток на начало сентября; Резервы неизвестны; Нет ежедневных данных доступности. Запаса примерно на 5.7 дн. без поступлений</x:v>
      </x:c>
      <x:c r="AN134" s="12" t="str">
        <x:v>Подтвердить наличие, срок и цену закупки</x:v>
      </x:c>
      <x:c r="AO134" s="12" t="str">
        <x:v>Прогноз 30 дней 31.56; остаток 6; поступления в срок 0; нехватка 26; заказ с учётом MOQ 100 шт. Остаток на начало сентября: требуется актуализация.</x:v>
      </x:c>
      <x:c r="AP134" s="12" t="str">
        <x:v>["category_missing", "daily_stockout_data_missing", "new_order_lead_time_unknown", "reservations_unknown", "stale_stock"]</x:v>
      </x:c>
      <x:c r="AQ134" s="11" t="str">
        <x:v>IEK:130301636_</x:v>
      </x:c>
      <x:c r="AR134" s="23" t="n">
        <x:v>1</x:v>
      </x:c>
      <x:c r="AS134" s="23" t="n">
        <x:f>MAX(0,ROUNDUP(MAX(0,AF134-AG134-AH134)/AR134-0.000000001,0)*AR134)</x:f>
        <x:v>26</x:v>
      </x:c>
      <x:c r="AT134" s="23" t="n">
        <x:v>25.564042233653353</x:v>
      </x:c>
    </x:row>
    <x:row r="135" ht="64" customHeight="1">
      <x:c r="A135" s="10" t="str">
        <x:v>IEK</x:v>
      </x:c>
      <x:c r="B135" s="34" t="str">
        <x:v>130301669_</x:v>
      </x:c>
      <x:c r="C135" s="34" t="str">
        <x:v>YZN14-050-K03</x:v>
      </x:c>
      <x:c r="D135" s="13" t="str">
        <x:v>Клемма вводная силовая КВС 6-50 кв.мм. 3-рядная серая IEK</x:v>
      </x:c>
      <x:c r="E135" s="10" t="str">
        <x:v>шт</x:v>
      </x:c>
      <x:c r="F135" s="37" t="n">
        <x:f>IF(AS135&gt;0,MAX(AS135,AJ135),0)</x:f>
        <x:v>8</x:v>
      </x:c>
      <x:c r="G135" s="21" t="str">
        <x:f>IF(J135="Рассчитано",V135*(1-R135/100)-W135-P135-Q135,"н/д")</x:f>
        <x:v>н/д</x:v>
      </x:c>
      <x:c r="H135" s="13" t="str">
        <x:v>Высокий</x:v>
      </x:c>
      <x:c r="I135" s="13" t="str">
        <x:v>Критический</x:v>
      </x:c>
      <x:c r="J135" s="13" t="str">
        <x:f>IF(L135="","Укажите валюту",IF(NOT(ISNUMBER(K135)),"Укажите объём",IF(K135&lt;=0,"Укажите объём",IF(COUNT(M135:O135)&lt;3,"Нужны цены",IF(COUNT(P135:R135)&lt;3,"Нужны расходы",IF(OR(M135&lt;0,N135&lt;0,O135&lt;0,O135&gt;100,P135&lt;0,Q135&lt;0,R135&lt;0,R135&gt;100),"Проверьте значения","Рассчитано"))))))</x:f>
        <x:v>Нужны цены</x:v>
      </x:c>
      <x:c r="K135" s="36" t="n">
        <x:v>8</x:v>
      </x:c>
      <x:c r="L135" s="19" t="str">
        <x:v>KZT</x:v>
      </x:c>
      <x:c r="M135" s="22"/>
      <x:c r="N135" s="22"/>
      <x:c r="O135" s="28"/>
      <x:c r="P135" s="22"/>
      <x:c r="Q135" s="22"/>
      <x:c r="R135" s="28"/>
      <x:c r="S135" s="22"/>
      <x:c r="T135" s="37" t="n">
        <x:f>MIN(K135,AT135)</x:f>
        <x:v>2.257730278324728</x:v>
      </x:c>
      <x:c r="U135" s="21" t="str">
        <x:f>IF(J135="Рассчитано",N135*(1-O135/100),"н/д")</x:f>
        <x:v>н/д</x:v>
      </x:c>
      <x:c r="V135" s="21" t="str">
        <x:f>IF(J135="Рассчитано",T135*U135,"н/д")</x:f>
        <x:v>н/д</x:v>
      </x:c>
      <x:c r="W135" s="21" t="str">
        <x:f>IF(J135="Рассчитано",T135*M135,"н/д")</x:f>
        <x:v>н/д</x:v>
      </x:c>
      <x:c r="X135" s="21" t="str">
        <x:f>IF(J135="Рассчитано",V135-W135,"н/д")</x:f>
        <x:v>н/д</x:v>
      </x:c>
      <x:c r="Y135" s="27" t="str">
        <x:f>IF(J135="Рассчитано",IF(V135&gt;0,G135/V135,"н/д"),"н/д")</x:f>
        <x:v>н/д</x:v>
      </x:c>
      <x:c r="Z135" s="21" t="str">
        <x:f>IF(J135="Рассчитано",K135*M135,"н/д")</x:f>
        <x:v>н/д</x:v>
      </x:c>
      <x:c r="AA135" s="21" t="str">
        <x:f>IF(J135="Рассчитано",(K135-T135)*M135,"н/д")</x:f>
        <x:v>н/д</x:v>
      </x:c>
      <x:c r="AB135" s="21" t="str">
        <x:f>IF(AND(J135="Рассчитано",ISNUMBER(S135)),K135*(S135-M135),"н/д")</x:f>
        <x:v>н/д</x:v>
      </x:c>
      <x:c r="AC135" s="21" t="str">
        <x:f>IF(AND(J135="Рассчитано",T135&gt;0,R135&lt;100),(W135+P135+Q135)/(T135*(1-R135/100)),"н/д")</x:f>
        <x:v>н/д</x:v>
      </x:c>
      <x:c r="AD135" s="10" t="str">
        <x:f>IF(ISNUMBER(G135),IF(G135&lt;0,"Убыток",IF(G135=0,"Без прибыли","Прибыль &gt; 0")),"Не оценён")</x:f>
        <x:v>Не оценён</x:v>
      </x:c>
      <x:c r="AE135" s="13" t="str">
        <x:f>IF(J135="Рассчитано","Выручка "&amp;TEXT(V135,"0.00")&amp;" - себестоимость "&amp;TEXT(W135,"0.00")&amp;" - комиссия "&amp;TEXT(V135*R135/100,"0.00")&amp;" - доставка "&amp;TEXT(P135,"0.00")&amp;" - прочие "&amp;TEXT(Q135,"0.00")&amp;" = "&amp;TEXT(G135,"0.00")&amp;" "&amp;L135,"Введите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5" s="24" t="n">
        <x:v>2.257730278324728</x:v>
      </x:c>
      <x:c r="AG135" s="37" t="n">
        <x:v>0</x:v>
      </x:c>
      <x:c r="AH135" s="37" t="n">
        <x:v>0</x:v>
      </x:c>
      <x:c r="AI135" s="30" t="n">
        <x:v>46266</x:v>
      </x:c>
      <x:c r="AJ135" s="37" t="n">
        <x:v>8</x:v>
      </x:c>
      <x:c r="AK135" s="10" t="str">
        <x:v>минимум</x:v>
      </x:c>
      <x:c r="AL135" s="32" t="n">
        <x:v>0</x:v>
      </x:c>
      <x:c r="AM135" s="13" t="str">
        <x:v>Остаток на начало сентября; Резервы неизвестны; Нет ежедневных данных доступности. Нет запаса</x:v>
      </x:c>
      <x:c r="AN135" s="13" t="str">
        <x:v>Подтвердить наличие, срок и цену закупки</x:v>
      </x:c>
      <x:c r="AO135" s="13" t="str">
        <x:v>Прогноз 30 дней 2.26; остаток 0; поступления в срок 0; нехватка 3; заказ с учётом MOQ 8 шт. Остаток на начало сентября: требуется актуализация.</x:v>
      </x:c>
      <x:c r="AP135" s="13" t="str">
        <x:v>["blank_stock_assumed_zero", "category_missing", "daily_stockout_data_missing", "new_order_lead_time_unknown", "reservations_unknown", "stale_stock"]</x:v>
      </x:c>
      <x:c r="AQ135" s="10" t="str">
        <x:v>IEK:130301669_</x:v>
      </x:c>
      <x:c r="AR135" s="24" t="n">
        <x:v>1</x:v>
      </x:c>
      <x:c r="AS135" s="24" t="n">
        <x:f>MAX(0,ROUNDUP(MAX(0,AF135-AG135-AH135)/AR135-0.000000001,0)*AR135)</x:f>
        <x:v>3</x:v>
      </x:c>
      <x:c r="AT135" s="24" t="n">
        <x:v>2.257730278324728</x:v>
      </x:c>
    </x:row>
    <x:row r="136" ht="64" customHeight="1">
      <x:c r="A136" s="11" t="str">
        <x:v>IEK</x:v>
      </x:c>
      <x:c r="B136" s="33" t="str">
        <x:v>130301675_</x:v>
      </x:c>
      <x:c r="C136" s="33" t="str">
        <x:v>YZN41-06-001-K02</x:v>
      </x:c>
      <x:c r="D136" s="12" t="str">
        <x:v>Блок зажимов БЗН ТВ-1506 1,5 мм2 15А 6 пар IEK</x:v>
      </x:c>
      <x:c r="E136" s="11" t="str">
        <x:v>шт</x:v>
      </x:c>
      <x:c r="F136" s="35" t="n">
        <x:f>IF(AS136&gt;0,MAX(AS136,AJ136),0)</x:f>
        <x:v>100</x:v>
      </x:c>
      <x:c r="G136" s="20" t="str">
        <x:f>IF(J136="Рассчитано",V136*(1-R136/100)-W136-P136-Q136,"н/д")</x:f>
        <x:v>н/д</x:v>
      </x:c>
      <x:c r="H136" s="12" t="str">
        <x:v>Высокий</x:v>
      </x:c>
      <x:c r="I136" s="12" t="str">
        <x:v>Высокий</x:v>
      </x:c>
      <x:c r="J136" s="12" t="str">
        <x:f>IF(L136="","Укажите валюту",IF(NOT(ISNUMBER(K136)),"Укажите объём",IF(K136&lt;=0,"Укажите объём",IF(COUNT(M136:O136)&lt;3,"Нужны цены",IF(COUNT(P136:R136)&lt;3,"Нужны расходы",IF(OR(M136&lt;0,N136&lt;0,O136&lt;0,O136&gt;100,P136&lt;0,Q136&lt;0,R136&lt;0,R136&gt;100),"Проверьте значения","Рассчитано"))))))</x:f>
        <x:v>Нужны цены</x:v>
      </x:c>
      <x:c r="K136" s="36" t="n">
        <x:v>100</x:v>
      </x:c>
      <x:c r="L136" s="19" t="str">
        <x:v>KZT</x:v>
      </x:c>
      <x:c r="M136" s="22"/>
      <x:c r="N136" s="22"/>
      <x:c r="O136" s="28"/>
      <x:c r="P136" s="22"/>
      <x:c r="Q136" s="22"/>
      <x:c r="R136" s="28"/>
      <x:c r="S136" s="22"/>
      <x:c r="T136" s="35" t="n">
        <x:f>MIN(K136,AT136)</x:f>
        <x:v>11.05299611961236</x:v>
      </x:c>
      <x:c r="U136" s="20" t="str">
        <x:f>IF(J136="Рассчитано",N136*(1-O136/100),"н/д")</x:f>
        <x:v>н/д</x:v>
      </x:c>
      <x:c r="V136" s="20" t="str">
        <x:f>IF(J136="Рассчитано",T136*U136,"н/д")</x:f>
        <x:v>н/д</x:v>
      </x:c>
      <x:c r="W136" s="20" t="str">
        <x:f>IF(J136="Рассчитано",T136*M136,"н/д")</x:f>
        <x:v>н/д</x:v>
      </x:c>
      <x:c r="X136" s="20" t="str">
        <x:f>IF(J136="Рассчитано",V136-W136,"н/д")</x:f>
        <x:v>н/д</x:v>
      </x:c>
      <x:c r="Y136" s="26" t="str">
        <x:f>IF(J136="Рассчитано",IF(V136&gt;0,G136/V136,"н/д"),"н/д")</x:f>
        <x:v>н/д</x:v>
      </x:c>
      <x:c r="Z136" s="20" t="str">
        <x:f>IF(J136="Рассчитано",K136*M136,"н/д")</x:f>
        <x:v>н/д</x:v>
      </x:c>
      <x:c r="AA136" s="20" t="str">
        <x:f>IF(J136="Рассчитано",(K136-T136)*M136,"н/д")</x:f>
        <x:v>н/д</x:v>
      </x:c>
      <x:c r="AB136" s="20" t="str">
        <x:f>IF(AND(J136="Рассчитано",ISNUMBER(S136)),K136*(S136-M136),"н/д")</x:f>
        <x:v>н/д</x:v>
      </x:c>
      <x:c r="AC136" s="20" t="str">
        <x:f>IF(AND(J136="Рассчитано",T136&gt;0,R136&lt;100),(W136+P136+Q136)/(T136*(1-R136/100)),"н/д")</x:f>
        <x:v>н/д</x:v>
      </x:c>
      <x:c r="AD136" s="11" t="str">
        <x:f>IF(ISNUMBER(G136),IF(G136&lt;0,"Убыток",IF(G136=0,"Без прибыли","Прибыль &gt; 0")),"Не оценён")</x:f>
        <x:v>Не оценён</x:v>
      </x:c>
      <x:c r="AE136" s="12" t="str">
        <x:f>IF(J136="Рассчитано","Выручка "&amp;TEXT(V136,"0.00")&amp;" - себестоимость "&amp;TEXT(W136,"0.00")&amp;" - комиссия "&amp;TEXT(V136*R136/100,"0.00")&amp;" - доставка "&amp;TEXT(P136,"0.00")&amp;" - прочие "&amp;TEXT(Q136,"0.00")&amp;" = "&amp;TEXT(G136,"0.00")&amp;" "&amp;L136,"Введите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6" s="23" t="n">
        <x:v>20.05299611961236</x:v>
      </x:c>
      <x:c r="AG136" s="35" t="n">
        <x:v>9</x:v>
      </x:c>
      <x:c r="AH136" s="35" t="n">
        <x:v>0</x:v>
      </x:c>
      <x:c r="AI136" s="29" t="n">
        <x:v>46266</x:v>
      </x:c>
      <x:c r="AJ136" s="35" t="n">
        <x:v>100</x:v>
      </x:c>
      <x:c r="AK136" s="11" t="str">
        <x:v>минимум</x:v>
      </x:c>
      <x:c r="AL136" s="31" t="n">
        <x:v>13.464322158619124</x:v>
      </x:c>
      <x:c r="AM136" s="12" t="str">
        <x:v>Остаток на начало сентября; Резервы неизвестны; Stockout оценён по месячным снимкам; Нет ежедневных данных доступности. Запаса примерно на 13.5 дн. без поступлений</x:v>
      </x:c>
      <x:c r="AN136" s="12" t="str">
        <x:v>Подтвердить наличие, срок и цену закупки</x:v>
      </x:c>
      <x:c r="AO136" s="12" t="str">
        <x:v>Прогноз 30 дней 20.05; остаток 9; поступления в срок 0; нехватка 12; заказ с учётом MOQ 100 шт. Остаток на начало сентября: требуется актуализация.</x:v>
      </x:c>
      <x:c r="AP136" s="12" t="str">
        <x:v>["category_missing", "daily_stockout_data_missing", "new_order_lead_time_unknown", "reservations_unknown", "stale_stock", "stockout_proxy_used"]</x:v>
      </x:c>
      <x:c r="AQ136" s="11" t="str">
        <x:v>IEK:130301675_</x:v>
      </x:c>
      <x:c r="AR136" s="23" t="n">
        <x:v>1</x:v>
      </x:c>
      <x:c r="AS136" s="23" t="n">
        <x:f>MAX(0,ROUNDUP(MAX(0,AF136-AG136-AH136)/AR136-0.000000001,0)*AR136)</x:f>
        <x:v>12</x:v>
      </x:c>
      <x:c r="AT136" s="23" t="n">
        <x:v>11.05299611961236</x:v>
      </x:c>
    </x:row>
    <x:row r="137" ht="64" customHeight="1">
      <x:c r="A137" s="10" t="str">
        <x:v>IEK</x:v>
      </x:c>
      <x:c r="B137" s="34" t="str">
        <x:v>130301682_</x:v>
      </x:c>
      <x:c r="C137" s="34" t="str">
        <x:v>YZN43-10-002-K02</x:v>
      </x:c>
      <x:c r="D137" s="13" t="str">
        <x:v>Блок зажимов БЗН TK-020 2,5 мм2 20А на DIN-рейку 10 пар IEK</x:v>
      </x:c>
      <x:c r="E137" s="10" t="str">
        <x:v>шт</x:v>
      </x:c>
      <x:c r="F137" s="37" t="n">
        <x:f>IF(AS137&gt;0,MAX(AS137,AJ137),0)</x:f>
        <x:v>1</x:v>
      </x:c>
      <x:c r="G137" s="21" t="str">
        <x:f>IF(J137="Рассчитано",V137*(1-R137/100)-W137-P137-Q137,"н/д")</x:f>
        <x:v>н/д</x:v>
      </x:c>
      <x:c r="H137" s="13" t="str">
        <x:v>Высокий</x:v>
      </x:c>
      <x:c r="I137" s="13" t="str">
        <x:v>Критический</x:v>
      </x:c>
      <x:c r="J137" s="13" t="str">
        <x:f>IF(L137="","Укажите валюту",IF(NOT(ISNUMBER(K137)),"Укажите объём",IF(K137&lt;=0,"Укажите объём",IF(COUNT(M137:O137)&lt;3,"Нужны цены",IF(COUNT(P137:R137)&lt;3,"Нужны расходы",IF(OR(M137&lt;0,N137&lt;0,O137&lt;0,O137&gt;100,P137&lt;0,Q137&lt;0,R137&lt;0,R137&gt;100),"Проверьте значения","Рассчитано"))))))</x:f>
        <x:v>Нужны цены</x:v>
      </x:c>
      <x:c r="K137" s="36" t="n">
        <x:v>1</x:v>
      </x:c>
      <x:c r="L137" s="19" t="str">
        <x:v>KZT</x:v>
      </x:c>
      <x:c r="M137" s="22"/>
      <x:c r="N137" s="22"/>
      <x:c r="O137" s="28"/>
      <x:c r="P137" s="22"/>
      <x:c r="Q137" s="22"/>
      <x:c r="R137" s="28"/>
      <x:c r="S137" s="22"/>
      <x:c r="T137" s="37" t="n">
        <x:f>MIN(K137,AT137)</x:f>
        <x:v>0.7244364664287299</x:v>
      </x:c>
      <x:c r="U137" s="21" t="str">
        <x:f>IF(J137="Рассчитано",N137*(1-O137/100),"н/д")</x:f>
        <x:v>н/д</x:v>
      </x:c>
      <x:c r="V137" s="21" t="str">
        <x:f>IF(J137="Рассчитано",T137*U137,"н/д")</x:f>
        <x:v>н/д</x:v>
      </x:c>
      <x:c r="W137" s="21" t="str">
        <x:f>IF(J137="Рассчитано",T137*M137,"н/д")</x:f>
        <x:v>н/д</x:v>
      </x:c>
      <x:c r="X137" s="21" t="str">
        <x:f>IF(J137="Рассчитано",V137-W137,"н/д")</x:f>
        <x:v>н/д</x:v>
      </x:c>
      <x:c r="Y137" s="27" t="str">
        <x:f>IF(J137="Рассчитано",IF(V137&gt;0,G137/V137,"н/д"),"н/д")</x:f>
        <x:v>н/д</x:v>
      </x:c>
      <x:c r="Z137" s="21" t="str">
        <x:f>IF(J137="Рассчитано",K137*M137,"н/д")</x:f>
        <x:v>н/д</x:v>
      </x:c>
      <x:c r="AA137" s="21" t="str">
        <x:f>IF(J137="Рассчитано",(K137-T137)*M137,"н/д")</x:f>
        <x:v>н/д</x:v>
      </x:c>
      <x:c r="AB137" s="21" t="str">
        <x:f>IF(AND(J137="Рассчитано",ISNUMBER(S137)),K137*(S137-M137),"н/д")</x:f>
        <x:v>н/д</x:v>
      </x:c>
      <x:c r="AC137" s="21" t="str">
        <x:f>IF(AND(J137="Рассчитано",T137&gt;0,R137&lt;100),(W137+P137+Q137)/(T137*(1-R137/100)),"н/д")</x:f>
        <x:v>н/д</x:v>
      </x:c>
      <x:c r="AD137" s="10" t="str">
        <x:f>IF(ISNUMBER(G137),IF(G137&lt;0,"Убыток",IF(G137=0,"Без прибыли","Прибыль &gt; 0")),"Не оценён")</x:f>
        <x:v>Не оценён</x:v>
      </x:c>
      <x:c r="AE137" s="13" t="str">
        <x:f>IF(J137="Рассчитано","Выручка "&amp;TEXT(V137,"0.00")&amp;" - себестоимость "&amp;TEXT(W137,"0.00")&amp;" - комиссия "&amp;TEXT(V137*R137/100,"0.00")&amp;" - доставка "&amp;TEXT(P137,"0.00")&amp;" - прочие "&amp;TEXT(Q137,"0.00")&amp;" = "&amp;TEXT(G137,"0.00")&amp;" "&amp;L137,"Введите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7" s="24" t="n">
        <x:v>0.7244364664287299</x:v>
      </x:c>
      <x:c r="AG137" s="37" t="n">
        <x:v>0</x:v>
      </x:c>
      <x:c r="AH137" s="37" t="n">
        <x:v>0</x:v>
      </x:c>
      <x:c r="AI137" s="30" t="n">
        <x:v>46266</x:v>
      </x:c>
      <x:c r="AJ137" s="37" t="n">
        <x:v>1</x:v>
      </x:c>
      <x:c r="AK137" s="10" t="str">
        <x:v>минимум</x:v>
      </x:c>
      <x:c r="AL137" s="32" t="n">
        <x:v>0</x:v>
      </x:c>
      <x:c r="AM137" s="13" t="str">
        <x:v>Остаток на начало сентября; Резервы неизвестны; Нет ежедневных данных доступности. Нет запаса</x:v>
      </x:c>
      <x:c r="AN137" s="13" t="str">
        <x:v>Подтвердить наличие, срок и цену закупки</x:v>
      </x:c>
      <x:c r="AO137" s="13" t="str">
        <x:v>Прогноз 30 дней 0.72; остаток 0; поступления в срок 0; нехватка 1; заказ с учётом MOQ 1 шт. Остаток на начало сентября: требуется актуализация.</x:v>
      </x:c>
      <x:c r="AP137" s="13" t="str">
        <x:v>["blank_stock_assumed_zero", "category_missing", "daily_stockout_data_missing", "new_order_lead_time_unknown", "reservations_unknown", "stale_stock"]</x:v>
      </x:c>
      <x:c r="AQ137" s="10" t="str">
        <x:v>IEK:130301682_</x:v>
      </x:c>
      <x:c r="AR137" s="24" t="n">
        <x:v>1</x:v>
      </x:c>
      <x:c r="AS137" s="24" t="n">
        <x:f>MAX(0,ROUNDUP(MAX(0,AF137-AG137-AH137)/AR137-0.000000001,0)*AR137)</x:f>
        <x:v>1</x:v>
      </x:c>
      <x:c r="AT137" s="24" t="n">
        <x:v>0.7244364664287299</x:v>
      </x:c>
    </x:row>
    <x:row r="138" ht="64" customHeight="1">
      <x:c r="A138" s="11" t="str">
        <x:v>IEK</x:v>
      </x:c>
      <x:c r="B138" s="33" t="str">
        <x:v>130301715_</x:v>
      </x:c>
      <x:c r="C138" s="33" t="str">
        <x:v>YCT22-00-3-K03-002-ZGL</x:v>
      </x:c>
      <x:c r="D138" s="12" t="str">
        <x:v>Заглушка для CP-MC 3 вывода 2,5мм2 серая ИЭК</x:v>
      </x:c>
      <x:c r="E138" s="11" t="str">
        <x:v>шт</x:v>
      </x:c>
      <x:c r="F138" s="35" t="n">
        <x:f>IF(AS138&gt;0,MAX(AS138,AJ138),0)</x:f>
        <x:v>50</x:v>
      </x:c>
      <x:c r="G138" s="20" t="str">
        <x:f>IF(J138="Рассчитано",V138*(1-R138/100)-W138-P138-Q138,"н/д")</x:f>
        <x:v>н/д</x:v>
      </x:c>
      <x:c r="H138" s="12" t="str">
        <x:v>Высокий</x:v>
      </x:c>
      <x:c r="I138" s="12" t="str">
        <x:v>Средний</x:v>
      </x:c>
      <x:c r="J138" s="12" t="str">
        <x:f>IF(L138="","Укажите валюту",IF(NOT(ISNUMBER(K138)),"Укажите объём",IF(K138&lt;=0,"Укажите объём",IF(COUNT(M138:O138)&lt;3,"Нужны цены",IF(COUNT(P138:R138)&lt;3,"Нужны расходы",IF(OR(M138&lt;0,N138&lt;0,O138&lt;0,O138&gt;100,P138&lt;0,Q138&lt;0,R138&lt;0,R138&gt;100),"Проверьте значения","Рассчитано"))))))</x:f>
        <x:v>Нужны цены</x:v>
      </x:c>
      <x:c r="K138" s="36" t="n">
        <x:v>50</x:v>
      </x:c>
      <x:c r="L138" s="19" t="str">
        <x:v>KZT</x:v>
      </x:c>
      <x:c r="M138" s="22"/>
      <x:c r="N138" s="22"/>
      <x:c r="O138" s="28"/>
      <x:c r="P138" s="22"/>
      <x:c r="Q138" s="22"/>
      <x:c r="R138" s="28"/>
      <x:c r="S138" s="22"/>
      <x:c r="T138" s="35" t="n">
        <x:f>MIN(K138,AT138)</x:f>
        <x:v>1.8197606095109897</x:v>
      </x:c>
      <x:c r="U138" s="20" t="str">
        <x:f>IF(J138="Рассчитано",N138*(1-O138/100),"н/д")</x:f>
        <x:v>н/д</x:v>
      </x:c>
      <x:c r="V138" s="20" t="str">
        <x:f>IF(J138="Рассчитано",T138*U138,"н/д")</x:f>
        <x:v>н/д</x:v>
      </x:c>
      <x:c r="W138" s="20" t="str">
        <x:f>IF(J138="Рассчитано",T138*M138,"н/д")</x:f>
        <x:v>н/д</x:v>
      </x:c>
      <x:c r="X138" s="20" t="str">
        <x:f>IF(J138="Рассчитано",V138-W138,"н/д")</x:f>
        <x:v>н/д</x:v>
      </x:c>
      <x:c r="Y138" s="26" t="str">
        <x:f>IF(J138="Рассчитано",IF(V138&gt;0,G138/V138,"н/д"),"н/д")</x:f>
        <x:v>н/д</x:v>
      </x:c>
      <x:c r="Z138" s="20" t="str">
        <x:f>IF(J138="Рассчитано",K138*M138,"н/д")</x:f>
        <x:v>н/д</x:v>
      </x:c>
      <x:c r="AA138" s="20" t="str">
        <x:f>IF(J138="Рассчитано",(K138-T138)*M138,"н/д")</x:f>
        <x:v>н/д</x:v>
      </x:c>
      <x:c r="AB138" s="20" t="str">
        <x:f>IF(AND(J138="Рассчитано",ISNUMBER(S138)),K138*(S138-M138),"н/д")</x:f>
        <x:v>н/д</x:v>
      </x:c>
      <x:c r="AC138" s="20" t="str">
        <x:f>IF(AND(J138="Рассчитано",T138&gt;0,R138&lt;100),(W138+P138+Q138)/(T138*(1-R138/100)),"н/д")</x:f>
        <x:v>н/д</x:v>
      </x:c>
      <x:c r="AD138" s="11" t="str">
        <x:f>IF(ISNUMBER(G138),IF(G138&lt;0,"Убыток",IF(G138=0,"Без прибыли","Прибыль &gt; 0")),"Не оценён")</x:f>
        <x:v>Не оценён</x:v>
      </x:c>
      <x:c r="AE138" s="12" t="str">
        <x:f>IF(J138="Рассчитано","Выручка "&amp;TEXT(V138,"0.00")&amp;" - себестоимость "&amp;TEXT(W138,"0.00")&amp;" - комиссия "&amp;TEXT(V138*R138/100,"0.00")&amp;" - доставка "&amp;TEXT(P138,"0.00")&amp;" - прочие "&amp;TEXT(Q138,"0.00")&amp;" = "&amp;TEXT(G138,"0.00")&amp;" "&amp;L138,"Введите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8" s="23" t="n">
        <x:v>3.8197606095109897</x:v>
      </x:c>
      <x:c r="AG138" s="35" t="n">
        <x:v>2</x:v>
      </x:c>
      <x:c r="AH138" s="35" t="n">
        <x:v>0</x:v>
      </x:c>
      <x:c r="AI138" s="29" t="n">
        <x:v>46266</x:v>
      </x:c>
      <x:c r="AJ138" s="35" t="n">
        <x:v>50</x:v>
      </x:c>
      <x:c r="AK138" s="11" t="str">
        <x:v>минимум</x:v>
      </x:c>
      <x:c r="AL138" s="31" t="n">
        <x:v>15.707790653320883</x:v>
      </x:c>
      <x:c r="AM138" s="12" t="str">
        <x:v>Остаток на начало сентября; Резервы неизвестны; Нет ежедневных данных доступности. Запаса примерно на 15.7 дн. без поступлений</x:v>
      </x:c>
      <x:c r="AN138" s="12" t="str">
        <x:v>Подтвердить наличие, срок и цену закупки</x:v>
      </x:c>
      <x:c r="AO138" s="12" t="str">
        <x:v>Прогноз 30 дней 3.82; остаток 2; поступления в срок 0; нехватка 2; заказ с учётом MOQ 50 шт. Остаток на начало сентября: требуется актуализация.</x:v>
      </x:c>
      <x:c r="AP138" s="12" t="str">
        <x:v>["category_missing", "daily_stockout_data_missing", "new_order_lead_time_unknown", "reservations_unknown", "stale_stock"]</x:v>
      </x:c>
      <x:c r="AQ138" s="11" t="str">
        <x:v>IEK:130301715_</x:v>
      </x:c>
      <x:c r="AR138" s="23" t="n">
        <x:v>1</x:v>
      </x:c>
      <x:c r="AS138" s="23" t="n">
        <x:f>MAX(0,ROUNDUP(MAX(0,AF138-AG138-AH138)/AR138-0.000000001,0)*AR138)</x:f>
        <x:v>2</x:v>
      </x:c>
      <x:c r="AT138" s="23" t="n">
        <x:v>1.8197606095109897</x:v>
      </x:c>
    </x:row>
    <x:row r="139" ht="64" customHeight="1">
      <x:c r="A139" s="10" t="str">
        <x:v>IEK</x:v>
      </x:c>
      <x:c r="B139" s="34" t="str">
        <x:v>130301736_</x:v>
      </x:c>
      <x:c r="C139" s="34" t="str">
        <x:v>YCT20-00-K03-002-EC-3P</x:v>
      </x:c>
      <x:c r="D139" s="13" t="str">
        <x:v>Перемычка гребенчатая для CP 2,5мм2 3PIN ИЭК</x:v>
      </x:c>
      <x:c r="E139" s="10" t="str">
        <x:v>шт</x:v>
      </x:c>
      <x:c r="F139" s="37" t="n">
        <x:f>IF(AS139&gt;0,MAX(AS139,AJ139),0)</x:f>
        <x:v>50</x:v>
      </x:c>
      <x:c r="G139" s="21" t="str">
        <x:f>IF(J139="Рассчитано",V139*(1-R139/100)-W139-P139-Q139,"н/д")</x:f>
        <x:v>н/д</x:v>
      </x:c>
      <x:c r="H139" s="13" t="str">
        <x:v>Высокий</x:v>
      </x:c>
      <x:c r="I139" s="13" t="str">
        <x:v>Критический</x:v>
      </x:c>
      <x:c r="J139" s="13" t="str">
        <x:f>IF(L139="","Укажите валюту",IF(NOT(ISNUMBER(K139)),"Укажите объём",IF(K139&lt;=0,"Укажите объём",IF(COUNT(M139:O139)&lt;3,"Нужны цены",IF(COUNT(P139:R139)&lt;3,"Нужны расходы",IF(OR(M139&lt;0,N139&lt;0,O139&lt;0,O139&gt;100,P139&lt;0,Q139&lt;0,R139&lt;0,R139&gt;100),"Проверьте значения","Рассчитано"))))))</x:f>
        <x:v>Нужны цены</x:v>
      </x:c>
      <x:c r="K139" s="36" t="n">
        <x:v>50</x:v>
      </x:c>
      <x:c r="L139" s="19" t="str">
        <x:v>KZT</x:v>
      </x:c>
      <x:c r="M139" s="22"/>
      <x:c r="N139" s="22"/>
      <x:c r="O139" s="28"/>
      <x:c r="P139" s="22"/>
      <x:c r="Q139" s="22"/>
      <x:c r="R139" s="28"/>
      <x:c r="S139" s="22"/>
      <x:c r="T139" s="37" t="n">
        <x:f>MIN(K139,AT139)</x:f>
        <x:v>5.361704159470327</x:v>
      </x:c>
      <x:c r="U139" s="21" t="str">
        <x:f>IF(J139="Рассчитано",N139*(1-O139/100),"н/д")</x:f>
        <x:v>н/д</x:v>
      </x:c>
      <x:c r="V139" s="21" t="str">
        <x:f>IF(J139="Рассчитано",T139*U139,"н/д")</x:f>
        <x:v>н/д</x:v>
      </x:c>
      <x:c r="W139" s="21" t="str">
        <x:f>IF(J139="Рассчитано",T139*M139,"н/д")</x:f>
        <x:v>н/д</x:v>
      </x:c>
      <x:c r="X139" s="21" t="str">
        <x:f>IF(J139="Рассчитано",V139-W139,"н/д")</x:f>
        <x:v>н/д</x:v>
      </x:c>
      <x:c r="Y139" s="27" t="str">
        <x:f>IF(J139="Рассчитано",IF(V139&gt;0,G139/V139,"н/д"),"н/д")</x:f>
        <x:v>н/д</x:v>
      </x:c>
      <x:c r="Z139" s="21" t="str">
        <x:f>IF(J139="Рассчитано",K139*M139,"н/д")</x:f>
        <x:v>н/д</x:v>
      </x:c>
      <x:c r="AA139" s="21" t="str">
        <x:f>IF(J139="Рассчитано",(K139-T139)*M139,"н/д")</x:f>
        <x:v>н/д</x:v>
      </x:c>
      <x:c r="AB139" s="21" t="str">
        <x:f>IF(AND(J139="Рассчитано",ISNUMBER(S139)),K139*(S139-M139),"н/д")</x:f>
        <x:v>н/д</x:v>
      </x:c>
      <x:c r="AC139" s="21" t="str">
        <x:f>IF(AND(J139="Рассчитано",T139&gt;0,R139&lt;100),(W139+P139+Q139)/(T139*(1-R139/100)),"н/д")</x:f>
        <x:v>н/д</x:v>
      </x:c>
      <x:c r="AD139" s="10" t="str">
        <x:f>IF(ISNUMBER(G139),IF(G139&lt;0,"Убыток",IF(G139=0,"Без прибыли","Прибыль &gt; 0")),"Не оценён")</x:f>
        <x:v>Не оценён</x:v>
      </x:c>
      <x:c r="AE139" s="13" t="str">
        <x:f>IF(J139="Рассчитано","Выручка "&amp;TEXT(V139,"0.00")&amp;" - себестоимость "&amp;TEXT(W139,"0.00")&amp;" - комиссия "&amp;TEXT(V139*R139/100,"0.00")&amp;" - доставка "&amp;TEXT(P139,"0.00")&amp;" - прочие "&amp;TEXT(Q139,"0.00")&amp;" = "&amp;TEXT(G139,"0.00")&amp;" "&amp;L139,"Введите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39" s="24" t="n">
        <x:v>5.361704159470327</x:v>
      </x:c>
      <x:c r="AG139" s="37" t="n">
        <x:v>0</x:v>
      </x:c>
      <x:c r="AH139" s="37" t="n">
        <x:v>0</x:v>
      </x:c>
      <x:c r="AI139" s="30" t="n">
        <x:v>46266</x:v>
      </x:c>
      <x:c r="AJ139" s="37" t="n">
        <x:v>50</x:v>
      </x:c>
      <x:c r="AK139" s="10" t="str">
        <x:v>минимум</x:v>
      </x:c>
      <x:c r="AL139" s="32" t="n">
        <x:v>0</x:v>
      </x:c>
      <x:c r="AM139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39" s="13" t="str">
        <x:v>Подтвердить наличие, срок и цену закупки</x:v>
      </x:c>
      <x:c r="AO139" s="13" t="str">
        <x:v>Прогноз 30 дней 5.36; остаток 0; поступления в срок 0; нехватка 6; заказ с учётом MOQ 50 шт. Остаток на начало сентября: требуется актуализация.</x:v>
      </x:c>
      <x:c r="AP139" s="13" t="str">
        <x:v>["blank_stock_assumed_zero", "category_missing", "daily_stockout_data_missing", "new_order_lead_time_unknown", "reservations_unknown", "stale_stock", "stockout_proxy_used"]</x:v>
      </x:c>
      <x:c r="AQ139" s="10" t="str">
        <x:v>IEK:130301736_</x:v>
      </x:c>
      <x:c r="AR139" s="24" t="n">
        <x:v>1</x:v>
      </x:c>
      <x:c r="AS139" s="24" t="n">
        <x:f>MAX(0,ROUNDUP(MAX(0,AF139-AG139-AH139)/AR139-0.000000001,0)*AR139)</x:f>
        <x:v>6</x:v>
      </x:c>
      <x:c r="AT139" s="24" t="n">
        <x:v>5.361704159470327</x:v>
      </x:c>
    </x:row>
    <x:row r="140" ht="64" customHeight="1">
      <x:c r="A140" s="11" t="str">
        <x:v>IEK</x:v>
      </x:c>
      <x:c r="B140" s="33" t="str">
        <x:v>130400154_</x:v>
      </x:c>
      <x:c r="C140" s="33" t="str">
        <x:v>YIS11-4-40-B</x:v>
      </x:c>
      <x:c r="D140" s="12" t="str">
        <x:v>Изолятор ступенчатый ИС4-40 (М8) силовой с болтом IEK</x:v>
      </x:c>
      <x:c r="E140" s="11" t="str">
        <x:v>шт</x:v>
      </x:c>
      <x:c r="F140" s="35" t="n">
        <x:f>IF(AS140&gt;0,MAX(AS140,AJ140),0)</x:f>
        <x:v>2</x:v>
      </x:c>
      <x:c r="G140" s="20" t="str">
        <x:f>IF(J140="Рассчитано",V140*(1-R140/100)-W140-P140-Q140,"н/д")</x:f>
        <x:v>н/д</x:v>
      </x:c>
      <x:c r="H140" s="12" t="str">
        <x:v>Высокий</x:v>
      </x:c>
      <x:c r="I140" s="12" t="str">
        <x:v>Критический</x:v>
      </x:c>
      <x:c r="J140" s="12" t="str">
        <x:f>IF(L140="","Укажите валюту",IF(NOT(ISNUMBER(K140)),"Укажите объём",IF(K140&lt;=0,"Укажите объём",IF(COUNT(M140:O140)&lt;3,"Нужны цены",IF(COUNT(P140:R140)&lt;3,"Нужны расходы",IF(OR(M140&lt;0,N140&lt;0,O140&lt;0,O140&gt;100,P140&lt;0,Q140&lt;0,R140&lt;0,R140&gt;100),"Проверьте значения","Рассчитано"))))))</x:f>
        <x:v>Нужны цены</x:v>
      </x:c>
      <x:c r="K140" s="36" t="n">
        <x:v>2</x:v>
      </x:c>
      <x:c r="L140" s="19" t="str">
        <x:v>KZT</x:v>
      </x:c>
      <x:c r="M140" s="22"/>
      <x:c r="N140" s="22"/>
      <x:c r="O140" s="28"/>
      <x:c r="P140" s="22"/>
      <x:c r="Q140" s="22"/>
      <x:c r="R140" s="28"/>
      <x:c r="S140" s="22"/>
      <x:c r="T140" s="35" t="n">
        <x:f>MIN(K140,AT140)</x:f>
        <x:v>1.0440779346526166</x:v>
      </x:c>
      <x:c r="U140" s="20" t="str">
        <x:f>IF(J140="Рассчитано",N140*(1-O140/100),"н/д")</x:f>
        <x:v>н/д</x:v>
      </x:c>
      <x:c r="V140" s="20" t="str">
        <x:f>IF(J140="Рассчитано",T140*U140,"н/д")</x:f>
        <x:v>н/д</x:v>
      </x:c>
      <x:c r="W140" s="20" t="str">
        <x:f>IF(J140="Рассчитано",T140*M140,"н/д")</x:f>
        <x:v>н/д</x:v>
      </x:c>
      <x:c r="X140" s="20" t="str">
        <x:f>IF(J140="Рассчитано",V140-W140,"н/д")</x:f>
        <x:v>н/д</x:v>
      </x:c>
      <x:c r="Y140" s="26" t="str">
        <x:f>IF(J140="Рассчитано",IF(V140&gt;0,G140/V140,"н/д"),"н/д")</x:f>
        <x:v>н/д</x:v>
      </x:c>
      <x:c r="Z140" s="20" t="str">
        <x:f>IF(J140="Рассчитано",K140*M140,"н/д")</x:f>
        <x:v>н/д</x:v>
      </x:c>
      <x:c r="AA140" s="20" t="str">
        <x:f>IF(J140="Рассчитано",(K140-T140)*M140,"н/д")</x:f>
        <x:v>н/д</x:v>
      </x:c>
      <x:c r="AB140" s="20" t="str">
        <x:f>IF(AND(J140="Рассчитано",ISNUMBER(S140)),K140*(S140-M140),"н/д")</x:f>
        <x:v>н/д</x:v>
      </x:c>
      <x:c r="AC140" s="20" t="str">
        <x:f>IF(AND(J140="Рассчитано",T140&gt;0,R140&lt;100),(W140+P140+Q140)/(T140*(1-R140/100)),"н/д")</x:f>
        <x:v>н/д</x:v>
      </x:c>
      <x:c r="AD140" s="11" t="str">
        <x:f>IF(ISNUMBER(G140),IF(G140&lt;0,"Убыток",IF(G140=0,"Без прибыли","Прибыль &gt; 0")),"Не оценён")</x:f>
        <x:v>Не оценён</x:v>
      </x:c>
      <x:c r="AE140" s="12" t="str">
        <x:f>IF(J140="Рассчитано","Выручка "&amp;TEXT(V140,"0.00")&amp;" - себестоимость "&amp;TEXT(W140,"0.00")&amp;" - комиссия "&amp;TEXT(V140*R140/100,"0.00")&amp;" - доставка "&amp;TEXT(P140,"0.00")&amp;" - прочие "&amp;TEXT(Q140,"0.00")&amp;" = "&amp;TEXT(G140,"0.00")&amp;" "&amp;L140,"Введите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0" s="23" t="n">
        <x:v>1.0440779346526166</x:v>
      </x:c>
      <x:c r="AG140" s="35" t="n">
        <x:v>0</x:v>
      </x:c>
      <x:c r="AH140" s="35" t="n">
        <x:v>0</x:v>
      </x:c>
      <x:c r="AI140" s="29" t="n">
        <x:v>46266</x:v>
      </x:c>
      <x:c r="AJ140" s="35" t="n">
        <x:v>2</x:v>
      </x:c>
      <x:c r="AK140" s="11" t="str">
        <x:v>минимум</x:v>
      </x:c>
      <x:c r="AL140" s="31" t="n">
        <x:v>0</x:v>
      </x:c>
      <x:c r="AM140" s="12" t="str">
        <x:v>Остаток на начало сентября; Резервы неизвестны; Нет ежедневных данных доступности. Нет запаса</x:v>
      </x:c>
      <x:c r="AN140" s="12" t="str">
        <x:v>Подтвердить наличие, срок и цену закупки</x:v>
      </x:c>
      <x:c r="AO140" s="12" t="str">
        <x:v>Прогноз 30 дней 1.04; остаток 0; поступления в срок 0; нехватка 2; заказ с учётом MOQ 2 шт. Остаток на начало сентября: требуется актуализация.</x:v>
      </x:c>
      <x:c r="AP140" s="12" t="str">
        <x:v>["blank_stock_assumed_zero", "category_missing", "daily_stockout_data_missing", "new_order_lead_time_unknown", "reservations_unknown", "stale_stock"]</x:v>
      </x:c>
      <x:c r="AQ140" s="11" t="str">
        <x:v>IEK:130400154_</x:v>
      </x:c>
      <x:c r="AR140" s="23" t="n">
        <x:v>1</x:v>
      </x:c>
      <x:c r="AS140" s="23" t="n">
        <x:f>MAX(0,ROUNDUP(MAX(0,AF140-AG140-AH140)/AR140-0.000000001,0)*AR140)</x:f>
        <x:v>2</x:v>
      </x:c>
      <x:c r="AT140" s="23" t="n">
        <x:v>1.0440779346526166</x:v>
      </x:c>
    </x:row>
    <x:row r="141" ht="64" customHeight="1">
      <x:c r="A141" s="10" t="str">
        <x:v>IEK</x:v>
      </x:c>
      <x:c r="B141" s="34" t="str">
        <x:v>130500002_</x:v>
      </x:c>
      <x:c r="C141" s="34" t="str">
        <x:v>YIS11-30-08</x:v>
      </x:c>
      <x:c r="D141" s="13" t="str">
        <x:v>Изолятор SM30 IEK (10)</x:v>
      </x:c>
      <x:c r="E141" s="10" t="str">
        <x:v>шт</x:v>
      </x:c>
      <x:c r="F141" s="37" t="n">
        <x:f>AS141</x:f>
        <x:v>1</x:v>
      </x:c>
      <x:c r="G141" s="21" t="str">
        <x:f>IF(J141="Рассчитано",V141*(1-R141/100)-W141-P141-Q141,"н/д")</x:f>
        <x:v>н/д</x:v>
      </x:c>
      <x:c r="H141" s="13" t="str">
        <x:v>Высокий</x:v>
      </x:c>
      <x:c r="I141" s="13" t="str">
        <x:v>Критический</x:v>
      </x:c>
      <x:c r="J141" s="13" t="str">
        <x:f>IF(L141="","Укажите валюту",IF(NOT(ISNUMBER(K141)),"Укажите объём",IF(K141&lt;=0,"Укажите объём",IF(COUNT(M141:O141)&lt;3,"Нужны цены",IF(COUNT(P141:R141)&lt;3,"Нужны расходы",IF(OR(M141&lt;0,N141&lt;0,O141&lt;0,O141&gt;100,P141&lt;0,Q141&lt;0,R141&lt;0,R141&gt;100),"Проверьте значения","Рассчитано"))))))</x:f>
        <x:v>Нужны цены</x:v>
      </x:c>
      <x:c r="K141" s="36" t="n">
        <x:v>1</x:v>
      </x:c>
      <x:c r="L141" s="19" t="str">
        <x:v>KZT</x:v>
      </x:c>
      <x:c r="M141" s="22"/>
      <x:c r="N141" s="22"/>
      <x:c r="O141" s="28"/>
      <x:c r="P141" s="22"/>
      <x:c r="Q141" s="22"/>
      <x:c r="R141" s="28"/>
      <x:c r="S141" s="22"/>
      <x:c r="T141" s="37" t="n">
        <x:f>MIN(K141,AT141)</x:f>
        <x:v>0.1425878745494947</x:v>
      </x:c>
      <x:c r="U141" s="21" t="str">
        <x:f>IF(J141="Рассчитано",N141*(1-O141/100),"н/д")</x:f>
        <x:v>н/д</x:v>
      </x:c>
      <x:c r="V141" s="21" t="str">
        <x:f>IF(J141="Рассчитано",T141*U141,"н/д")</x:f>
        <x:v>н/д</x:v>
      </x:c>
      <x:c r="W141" s="21" t="str">
        <x:f>IF(J141="Рассчитано",T141*M141,"н/д")</x:f>
        <x:v>н/д</x:v>
      </x:c>
      <x:c r="X141" s="21" t="str">
        <x:f>IF(J141="Рассчитано",V141-W141,"н/д")</x:f>
        <x:v>н/д</x:v>
      </x:c>
      <x:c r="Y141" s="27" t="str">
        <x:f>IF(J141="Рассчитано",IF(V141&gt;0,G141/V141,"н/д"),"н/д")</x:f>
        <x:v>н/д</x:v>
      </x:c>
      <x:c r="Z141" s="21" t="str">
        <x:f>IF(J141="Рассчитано",K141*M141,"н/д")</x:f>
        <x:v>н/д</x:v>
      </x:c>
      <x:c r="AA141" s="21" t="str">
        <x:f>IF(J141="Рассчитано",(K141-T141)*M141,"н/д")</x:f>
        <x:v>н/д</x:v>
      </x:c>
      <x:c r="AB141" s="21" t="str">
        <x:f>IF(AND(J141="Рассчитано",ISNUMBER(S141)),K141*(S141-M141),"н/д")</x:f>
        <x:v>н/д</x:v>
      </x:c>
      <x:c r="AC141" s="21" t="str">
        <x:f>IF(AND(J141="Рассчитано",T141&gt;0,R141&lt;100),(W141+P141+Q141)/(T141*(1-R141/100)),"н/д")</x:f>
        <x:v>н/д</x:v>
      </x:c>
      <x:c r="AD141" s="10" t="str">
        <x:f>IF(ISNUMBER(G141),IF(G141&lt;0,"Убыток",IF(G141=0,"Без прибыли","Прибыль &gt; 0")),"Не оценён")</x:f>
        <x:v>Не оценён</x:v>
      </x:c>
      <x:c r="AE141" s="13" t="str">
        <x:f>IF(J141="Рассчитано","Выручка "&amp;TEXT(V141,"0.00")&amp;" - себестоимость "&amp;TEXT(W141,"0.00")&amp;" - комиссия "&amp;TEXT(V141*R141/100,"0.00")&amp;" - доставка "&amp;TEXT(P141,"0.00")&amp;" - прочие "&amp;TEXT(Q141,"0.00")&amp;" = "&amp;TEXT(G141,"0.00")&amp;" "&amp;L141,"Введите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1" s="24" t="n">
        <x:v>0.1425878745494947</x:v>
      </x:c>
      <x:c r="AG141" s="37" t="n">
        <x:v>0</x:v>
      </x:c>
      <x:c r="AH141" s="37" t="n">
        <x:v>0</x:v>
      </x:c>
      <x:c r="AI141" s="30" t="n">
        <x:v>46266</x:v>
      </x:c>
      <x:c r="AJ141" s="37"/>
      <x:c r="AK141" s="10" t="str">
        <x:v>неизвестно</x:v>
      </x:c>
      <x:c r="AL141" s="32" t="n">
        <x:v>0</x:v>
      </x:c>
      <x:c r="AM141" s="13" t="str">
        <x:v>Остаток на начало сентября; Резервы неизвестны; Нет ежедневных данных доступности. Нет запаса</x:v>
      </x:c>
      <x:c r="AN141" s="13" t="str">
        <x:v>Подтвердить наличие, срок и цену закупки</x:v>
      </x:c>
      <x:c r="AO141" s="13" t="str">
        <x:v>Прогноз 30 дней 0.14; остаток 0; поступления в срок 0; нехватка 1; заказ с учётом MOQ 1 шт. Остаток на начало сентября: требуется актуализация.</x:v>
      </x:c>
      <x:c r="AP141" s="13" t="str">
        <x:v>["blank_stock_assumed_zero", "category_missing", "daily_stockout_data_missing", "moq_missing", "new_order_lead_time_unknown", "reservations_unknown", "stale_stock"]</x:v>
      </x:c>
      <x:c r="AQ141" s="10" t="str">
        <x:v>IEK:130500002_</x:v>
      </x:c>
      <x:c r="AR141" s="24" t="n">
        <x:v>1</x:v>
      </x:c>
      <x:c r="AS141" s="24" t="n">
        <x:f>MAX(0,ROUNDUP(MAX(0,AF141-AG141-AH141)/AR141-0.000000001,0)*AR141)</x:f>
        <x:v>1</x:v>
      </x:c>
      <x:c r="AT141" s="24" t="n">
        <x:v>0.1425878745494947</x:v>
      </x:c>
    </x:row>
    <x:row r="142" ht="64" customHeight="1">
      <x:c r="A142" s="11" t="str">
        <x:v>IEK</x:v>
      </x:c>
      <x:c r="B142" s="33" t="str">
        <x:v>130500005_</x:v>
      </x:c>
      <x:c r="C142" s="33" t="str">
        <x:v>YIS11-76-25</x:v>
      </x:c>
      <x:c r="D142" s="12" t="str">
        <x:v>Изолятор SM76 IEK (10)</x:v>
      </x:c>
      <x:c r="E142" s="11" t="str">
        <x:v>шт</x:v>
      </x:c>
      <x:c r="F142" s="35" t="n">
        <x:f>AS142</x:f>
        <x:v>1</x:v>
      </x:c>
      <x:c r="G142" s="20" t="str">
        <x:f>IF(J142="Рассчитано",V142*(1-R142/100)-W142-P142-Q142,"н/д")</x:f>
        <x:v>н/д</x:v>
      </x:c>
      <x:c r="H142" s="12" t="str">
        <x:v>Высокий</x:v>
      </x:c>
      <x:c r="I142" s="12" t="str">
        <x:v>Критический</x:v>
      </x:c>
      <x:c r="J142" s="12" t="str">
        <x:f>IF(L142="","Укажите валюту",IF(NOT(ISNUMBER(K142)),"Укажите объём",IF(K142&lt;=0,"Укажите объём",IF(COUNT(M142:O142)&lt;3,"Нужны цены",IF(COUNT(P142:R142)&lt;3,"Нужны расходы",IF(OR(M142&lt;0,N142&lt;0,O142&lt;0,O142&gt;100,P142&lt;0,Q142&lt;0,R142&lt;0,R142&gt;100),"Проверьте значения","Рассчитано"))))))</x:f>
        <x:v>Нужны цены</x:v>
      </x:c>
      <x:c r="K142" s="36" t="n">
        <x:v>1</x:v>
      </x:c>
      <x:c r="L142" s="19" t="str">
        <x:v>KZT</x:v>
      </x:c>
      <x:c r="M142" s="22"/>
      <x:c r="N142" s="22"/>
      <x:c r="O142" s="28"/>
      <x:c r="P142" s="22"/>
      <x:c r="Q142" s="22"/>
      <x:c r="R142" s="28"/>
      <x:c r="S142" s="22"/>
      <x:c r="T142" s="35" t="n">
        <x:f>MIN(K142,AT142)</x:f>
        <x:v>0.5495111588297334</x:v>
      </x:c>
      <x:c r="U142" s="20" t="str">
        <x:f>IF(J142="Рассчитано",N142*(1-O142/100),"н/д")</x:f>
        <x:v>н/д</x:v>
      </x:c>
      <x:c r="V142" s="20" t="str">
        <x:f>IF(J142="Рассчитано",T142*U142,"н/д")</x:f>
        <x:v>н/д</x:v>
      </x:c>
      <x:c r="W142" s="20" t="str">
        <x:f>IF(J142="Рассчитано",T142*M142,"н/д")</x:f>
        <x:v>н/д</x:v>
      </x:c>
      <x:c r="X142" s="20" t="str">
        <x:f>IF(J142="Рассчитано",V142-W142,"н/д")</x:f>
        <x:v>н/д</x:v>
      </x:c>
      <x:c r="Y142" s="26" t="str">
        <x:f>IF(J142="Рассчитано",IF(V142&gt;0,G142/V142,"н/д"),"н/д")</x:f>
        <x:v>н/д</x:v>
      </x:c>
      <x:c r="Z142" s="20" t="str">
        <x:f>IF(J142="Рассчитано",K142*M142,"н/д")</x:f>
        <x:v>н/д</x:v>
      </x:c>
      <x:c r="AA142" s="20" t="str">
        <x:f>IF(J142="Рассчитано",(K142-T142)*M142,"н/д")</x:f>
        <x:v>н/д</x:v>
      </x:c>
      <x:c r="AB142" s="20" t="str">
        <x:f>IF(AND(J142="Рассчитано",ISNUMBER(S142)),K142*(S142-M142),"н/д")</x:f>
        <x:v>н/д</x:v>
      </x:c>
      <x:c r="AC142" s="20" t="str">
        <x:f>IF(AND(J142="Рассчитано",T142&gt;0,R142&lt;100),(W142+P142+Q142)/(T142*(1-R142/100)),"н/д")</x:f>
        <x:v>н/д</x:v>
      </x:c>
      <x:c r="AD142" s="11" t="str">
        <x:f>IF(ISNUMBER(G142),IF(G142&lt;0,"Убыток",IF(G142=0,"Без прибыли","Прибыль &gt; 0")),"Не оценён")</x:f>
        <x:v>Не оценён</x:v>
      </x:c>
      <x:c r="AE142" s="12" t="str">
        <x:f>IF(J142="Рассчитано","Выручка "&amp;TEXT(V142,"0.00")&amp;" - себестоимость "&amp;TEXT(W142,"0.00")&amp;" - комиссия "&amp;TEXT(V142*R142/100,"0.00")&amp;" - доставка "&amp;TEXT(P142,"0.00")&amp;" - прочие "&amp;TEXT(Q142,"0.00")&amp;" = "&amp;TEXT(G142,"0.00")&amp;" "&amp;L142,"Введите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2" s="23" t="n">
        <x:v>0.5495111588297334</x:v>
      </x:c>
      <x:c r="AG142" s="35" t="n">
        <x:v>0</x:v>
      </x:c>
      <x:c r="AH142" s="35" t="n">
        <x:v>0</x:v>
      </x:c>
      <x:c r="AI142" s="29" t="n">
        <x:v>46266</x:v>
      </x:c>
      <x:c r="AJ142" s="35"/>
      <x:c r="AK142" s="11" t="str">
        <x:v>неизвестно</x:v>
      </x:c>
      <x:c r="AL142" s="31" t="n">
        <x:v>0</x:v>
      </x:c>
      <x:c r="AM142" s="12" t="str">
        <x:v>Остаток на начало сентября; Резервы неизвестны; Нет ежедневных данных доступности. Нет запаса</x:v>
      </x:c>
      <x:c r="AN142" s="12" t="str">
        <x:v>Подтвердить наличие, срок и цену закупки</x:v>
      </x:c>
      <x:c r="AO142" s="12" t="str">
        <x:v>Прогноз 30 дней 0.55; остаток 0; поступления в срок 0; нехватка 1; заказ с учётом MOQ 1 шт. Остаток на начало сентября: требуется актуализация.</x:v>
      </x:c>
      <x:c r="AP142" s="12" t="str">
        <x:v>["blank_stock_assumed_zero", "category_missing", "daily_stockout_data_missing", "moq_missing", "new_order_lead_time_unknown", "reservations_unknown", "stale_stock"]</x:v>
      </x:c>
      <x:c r="AQ142" s="11" t="str">
        <x:v>IEK:130500005_</x:v>
      </x:c>
      <x:c r="AR142" s="23" t="n">
        <x:v>1</x:v>
      </x:c>
      <x:c r="AS142" s="23" t="n">
        <x:f>MAX(0,ROUNDUP(MAX(0,AF142-AG142-AH142)/AR142-0.000000001,0)*AR142)</x:f>
        <x:v>1</x:v>
      </x:c>
      <x:c r="AT142" s="23" t="n">
        <x:v>0.5495111588297334</x:v>
      </x:c>
    </x:row>
    <x:row r="143" ht="64" customHeight="1">
      <x:c r="A143" s="10" t="str">
        <x:v>IEK</x:v>
      </x:c>
      <x:c r="B143" s="34" t="str">
        <x:v>130500010_</x:v>
      </x:c>
      <x:c r="C143" s="34" t="str">
        <x:v>YSA20-14-16-54-K41</x:v>
      </x:c>
      <x:c r="D143" s="13" t="str">
        <x:v>Сальник PG 16 (9-13мм) IEK (20)</x:v>
      </x:c>
      <x:c r="E143" s="10" t="str">
        <x:v>шт</x:v>
      </x:c>
      <x:c r="F143" s="37" t="n">
        <x:f>AS143</x:f>
        <x:v>2</x:v>
      </x:c>
      <x:c r="G143" s="21" t="str">
        <x:f>IF(J143="Рассчитано",V143*(1-R143/100)-W143-P143-Q143,"н/д")</x:f>
        <x:v>н/д</x:v>
      </x:c>
      <x:c r="H143" s="13" t="str">
        <x:v>Высокий</x:v>
      </x:c>
      <x:c r="I143" s="13" t="str">
        <x:v>Критический</x:v>
      </x:c>
      <x:c r="J143" s="13" t="str">
        <x:f>IF(L143="","Укажите валюту",IF(NOT(ISNUMBER(K143)),"Укажите объём",IF(K143&lt;=0,"Укажите объём",IF(COUNT(M143:O143)&lt;3,"Нужны цены",IF(COUNT(P143:R143)&lt;3,"Нужны расходы",IF(OR(M143&lt;0,N143&lt;0,O143&lt;0,O143&gt;100,P143&lt;0,Q143&lt;0,R143&lt;0,R143&gt;100),"Проверьте значения","Рассчитано"))))))</x:f>
        <x:v>Нужны цены</x:v>
      </x:c>
      <x:c r="K143" s="36" t="n">
        <x:v>2</x:v>
      </x:c>
      <x:c r="L143" s="19" t="str">
        <x:v>KZT</x:v>
      </x:c>
      <x:c r="M143" s="22"/>
      <x:c r="N143" s="22"/>
      <x:c r="O143" s="28"/>
      <x:c r="P143" s="22"/>
      <x:c r="Q143" s="22"/>
      <x:c r="R143" s="28"/>
      <x:c r="S143" s="22"/>
      <x:c r="T143" s="37" t="n">
        <x:f>MIN(K143,AT143)</x:f>
        <x:v>1.2477217555870328</x:v>
      </x:c>
      <x:c r="U143" s="21" t="str">
        <x:f>IF(J143="Рассчитано",N143*(1-O143/100),"н/д")</x:f>
        <x:v>н/д</x:v>
      </x:c>
      <x:c r="V143" s="21" t="str">
        <x:f>IF(J143="Рассчитано",T143*U143,"н/д")</x:f>
        <x:v>н/д</x:v>
      </x:c>
      <x:c r="W143" s="21" t="str">
        <x:f>IF(J143="Рассчитано",T143*M143,"н/д")</x:f>
        <x:v>н/д</x:v>
      </x:c>
      <x:c r="X143" s="21" t="str">
        <x:f>IF(J143="Рассчитано",V143-W143,"н/д")</x:f>
        <x:v>н/д</x:v>
      </x:c>
      <x:c r="Y143" s="27" t="str">
        <x:f>IF(J143="Рассчитано",IF(V143&gt;0,G143/V143,"н/д"),"н/д")</x:f>
        <x:v>н/д</x:v>
      </x:c>
      <x:c r="Z143" s="21" t="str">
        <x:f>IF(J143="Рассчитано",K143*M143,"н/д")</x:f>
        <x:v>н/д</x:v>
      </x:c>
      <x:c r="AA143" s="21" t="str">
        <x:f>IF(J143="Рассчитано",(K143-T143)*M143,"н/д")</x:f>
        <x:v>н/д</x:v>
      </x:c>
      <x:c r="AB143" s="21" t="str">
        <x:f>IF(AND(J143="Рассчитано",ISNUMBER(S143)),K143*(S143-M143),"н/д")</x:f>
        <x:v>н/д</x:v>
      </x:c>
      <x:c r="AC143" s="21" t="str">
        <x:f>IF(AND(J143="Рассчитано",T143&gt;0,R143&lt;100),(W143+P143+Q143)/(T143*(1-R143/100)),"н/д")</x:f>
        <x:v>н/д</x:v>
      </x:c>
      <x:c r="AD143" s="10" t="str">
        <x:f>IF(ISNUMBER(G143),IF(G143&lt;0,"Убыток",IF(G143=0,"Без прибыли","Прибыль &gt; 0")),"Не оценён")</x:f>
        <x:v>Не оценён</x:v>
      </x:c>
      <x:c r="AE143" s="13" t="str">
        <x:f>IF(J143="Рассчитано","Выручка "&amp;TEXT(V143,"0.00")&amp;" - себестоимость "&amp;TEXT(W143,"0.00")&amp;" - комиссия "&amp;TEXT(V143*R143/100,"0.00")&amp;" - доставка "&amp;TEXT(P143,"0.00")&amp;" - прочие "&amp;TEXT(Q143,"0.00")&amp;" = "&amp;TEXT(G143,"0.00")&amp;" "&amp;L143,"Введите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3" s="24" t="n">
        <x:v>1.2477217555870328</x:v>
      </x:c>
      <x:c r="AG143" s="37" t="n">
        <x:v>0</x:v>
      </x:c>
      <x:c r="AH143" s="37" t="n">
        <x:v>0</x:v>
      </x:c>
      <x:c r="AI143" s="30" t="n">
        <x:v>46266</x:v>
      </x:c>
      <x:c r="AJ143" s="37"/>
      <x:c r="AK143" s="10" t="str">
        <x:v>неизвестно</x:v>
      </x:c>
      <x:c r="AL143" s="32" t="n">
        <x:v>0</x:v>
      </x:c>
      <x:c r="AM143" s="13" t="str">
        <x:v>Остаток на начало сентября; Резервы неизвестны; Нет ежедневных данных доступности. Нет запаса</x:v>
      </x:c>
      <x:c r="AN143" s="13" t="str">
        <x:v>Подтвердить наличие, срок и цену закупки</x:v>
      </x:c>
      <x:c r="AO143" s="13" t="str">
        <x:v>Прогноз 30 дней 1.25; остаток 0; поступления в срок 0; нехватка 2; заказ с учётом MOQ 2 шт. Остаток на начало сентября: требуется актуализация.</x:v>
      </x:c>
      <x:c r="AP143" s="13" t="str">
        <x:v>["blank_stock_assumed_zero", "category_missing", "daily_stockout_data_missing", "moq_missing", "new_order_lead_time_unknown", "reservations_unknown", "stale_stock"]</x:v>
      </x:c>
      <x:c r="AQ143" s="10" t="str">
        <x:v>IEK:130500010_</x:v>
      </x:c>
      <x:c r="AR143" s="24" t="n">
        <x:v>1</x:v>
      </x:c>
      <x:c r="AS143" s="24" t="n">
        <x:f>MAX(0,ROUNDUP(MAX(0,AF143-AG143-AH143)/AR143-0.000000001,0)*AR143)</x:f>
        <x:v>2</x:v>
      </x:c>
      <x:c r="AT143" s="24" t="n">
        <x:v>1.2477217555870328</x:v>
      </x:c>
    </x:row>
    <x:row r="144" ht="64" customHeight="1">
      <x:c r="A144" s="11" t="str">
        <x:v>IEK</x:v>
      </x:c>
      <x:c r="B144" s="33" t="str">
        <x:v>130500011_</x:v>
      </x:c>
      <x:c r="C144" s="33" t="str">
        <x:v>YSA20-18-21-54-K41</x:v>
      </x:c>
      <x:c r="D144" s="12" t="str">
        <x:v>Сальник PG 21 (15-18мм) IEK (20)</x:v>
      </x:c>
      <x:c r="E144" s="11" t="str">
        <x:v>шт</x:v>
      </x:c>
      <x:c r="F144" s="35" t="n">
        <x:f>AS144</x:f>
        <x:v>2</x:v>
      </x:c>
      <x:c r="G144" s="20" t="str">
        <x:f>IF(J144="Рассчитано",V144*(1-R144/100)-W144-P144-Q144,"н/д")</x:f>
        <x:v>н/д</x:v>
      </x:c>
      <x:c r="H144" s="12" t="str">
        <x:v>Высокий</x:v>
      </x:c>
      <x:c r="I144" s="12" t="str">
        <x:v>Критический</x:v>
      </x:c>
      <x:c r="J144" s="12" t="str">
        <x:f>IF(L144="","Укажите валюту",IF(NOT(ISNUMBER(K144)),"Укажите объём",IF(K144&lt;=0,"Укажите объём",IF(COUNT(M144:O144)&lt;3,"Нужны цены",IF(COUNT(P144:R144)&lt;3,"Нужны расходы",IF(OR(M144&lt;0,N144&lt;0,O144&lt;0,O144&gt;100,P144&lt;0,Q144&lt;0,R144&lt;0,R144&gt;100),"Проверьте значения","Рассчитано"))))))</x:f>
        <x:v>Нужны цены</x:v>
      </x:c>
      <x:c r="K144" s="36" t="n">
        <x:v>2</x:v>
      </x:c>
      <x:c r="L144" s="19" t="str">
        <x:v>KZT</x:v>
      </x:c>
      <x:c r="M144" s="22"/>
      <x:c r="N144" s="22"/>
      <x:c r="O144" s="28"/>
      <x:c r="P144" s="22"/>
      <x:c r="Q144" s="22"/>
      <x:c r="R144" s="28"/>
      <x:c r="S144" s="22"/>
      <x:c r="T144" s="35" t="n">
        <x:f>MIN(K144,AT144)</x:f>
        <x:v>1.4110814239529534</x:v>
      </x:c>
      <x:c r="U144" s="20" t="str">
        <x:f>IF(J144="Рассчитано",N144*(1-O144/100),"н/д")</x:f>
        <x:v>н/д</x:v>
      </x:c>
      <x:c r="V144" s="20" t="str">
        <x:f>IF(J144="Рассчитано",T144*U144,"н/д")</x:f>
        <x:v>н/д</x:v>
      </x:c>
      <x:c r="W144" s="20" t="str">
        <x:f>IF(J144="Рассчитано",T144*M144,"н/д")</x:f>
        <x:v>н/д</x:v>
      </x:c>
      <x:c r="X144" s="20" t="str">
        <x:f>IF(J144="Рассчитано",V144-W144,"н/д")</x:f>
        <x:v>н/д</x:v>
      </x:c>
      <x:c r="Y144" s="26" t="str">
        <x:f>IF(J144="Рассчитано",IF(V144&gt;0,G144/V144,"н/д"),"н/д")</x:f>
        <x:v>н/д</x:v>
      </x:c>
      <x:c r="Z144" s="20" t="str">
        <x:f>IF(J144="Рассчитано",K144*M144,"н/д")</x:f>
        <x:v>н/д</x:v>
      </x:c>
      <x:c r="AA144" s="20" t="str">
        <x:f>IF(J144="Рассчитано",(K144-T144)*M144,"н/д")</x:f>
        <x:v>н/д</x:v>
      </x:c>
      <x:c r="AB144" s="20" t="str">
        <x:f>IF(AND(J144="Рассчитано",ISNUMBER(S144)),K144*(S144-M144),"н/д")</x:f>
        <x:v>н/д</x:v>
      </x:c>
      <x:c r="AC144" s="20" t="str">
        <x:f>IF(AND(J144="Рассчитано",T144&gt;0,R144&lt;100),(W144+P144+Q144)/(T144*(1-R144/100)),"н/д")</x:f>
        <x:v>н/д</x:v>
      </x:c>
      <x:c r="AD144" s="11" t="str">
        <x:f>IF(ISNUMBER(G144),IF(G144&lt;0,"Убыток",IF(G144=0,"Без прибыли","Прибыль &gt; 0")),"Не оценён")</x:f>
        <x:v>Не оценён</x:v>
      </x:c>
      <x:c r="AE144" s="12" t="str">
        <x:f>IF(J144="Рассчитано","Выручка "&amp;TEXT(V144,"0.00")&amp;" - себестоимость "&amp;TEXT(W144,"0.00")&amp;" - комиссия "&amp;TEXT(V144*R144/100,"0.00")&amp;" - доставка "&amp;TEXT(P144,"0.00")&amp;" - прочие "&amp;TEXT(Q144,"0.00")&amp;" = "&amp;TEXT(G144,"0.00")&amp;" "&amp;L144,"Введите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4" s="23" t="n">
        <x:v>1.4110814239529534</x:v>
      </x:c>
      <x:c r="AG144" s="35" t="n">
        <x:v>0</x:v>
      </x:c>
      <x:c r="AH144" s="35" t="n">
        <x:v>0</x:v>
      </x:c>
      <x:c r="AI144" s="29" t="n">
        <x:v>46266</x:v>
      </x:c>
      <x:c r="AJ144" s="35"/>
      <x:c r="AK144" s="11" t="str">
        <x:v>неизвестно</x:v>
      </x:c>
      <x:c r="AL144" s="31" t="n">
        <x:v>0</x:v>
      </x:c>
      <x:c r="AM144" s="12" t="str">
        <x:v>Остаток на начало сентября; Резервы неизвестны; Нет ежедневных данных доступности. Нет запаса</x:v>
      </x:c>
      <x:c r="AN144" s="12" t="str">
        <x:v>Подтвердить наличие, срок и цену закупки</x:v>
      </x:c>
      <x:c r="AO144" s="12" t="str">
        <x:v>Прогноз 30 дней 1.41; остаток 0; поступления в срок 0; нехватка 2; заказ с учётом MOQ 2 шт. Остаток на начало сентября: требуется актуализация.</x:v>
      </x:c>
      <x:c r="AP144" s="12" t="str">
        <x:v>["blank_stock_assumed_zero", "category_missing", "daily_stockout_data_missing", "moq_missing", "new_order_lead_time_unknown", "reservations_unknown", "stale_stock"]</x:v>
      </x:c>
      <x:c r="AQ144" s="11" t="str">
        <x:v>IEK:130500011_</x:v>
      </x:c>
      <x:c r="AR144" s="23" t="n">
        <x:v>1</x:v>
      </x:c>
      <x:c r="AS144" s="23" t="n">
        <x:f>MAX(0,ROUNDUP(MAX(0,AF144-AG144-AH144)/AR144-0.000000001,0)*AR144)</x:f>
        <x:v>2</x:v>
      </x:c>
      <x:c r="AT144" s="23" t="n">
        <x:v>1.4110814239529534</x:v>
      </x:c>
    </x:row>
    <x:row r="145" ht="64" customHeight="1">
      <x:c r="A145" s="10" t="str">
        <x:v>IEK</x:v>
      </x:c>
      <x:c r="B145" s="34" t="str">
        <x:v>130600060_</x:v>
      </x:c>
      <x:c r="C145" s="34"/>
      <x:c r="D145" s="13" t="str">
        <x:v>Разъем РРМ78/3(PYF11A) для РЭК78/3(MY3) модульный IEK E-PRO</x:v>
      </x:c>
      <x:c r="E145" s="10" t="str">
        <x:v>шт</x:v>
      </x:c>
      <x:c r="F145" s="37" t="n">
        <x:f>AS145</x:f>
        <x:v>3</x:v>
      </x:c>
      <x:c r="G145" s="21" t="str">
        <x:f>IF(J145="Рассчитано",V145*(1-R145/100)-W145-P145-Q145,"н/д")</x:f>
        <x:v>н/д</x:v>
      </x:c>
      <x:c r="H145" s="13" t="str">
        <x:v>Высокий</x:v>
      </x:c>
      <x:c r="I145" s="13" t="str">
        <x:v>Критический</x:v>
      </x:c>
      <x:c r="J145" s="13" t="str">
        <x:f>IF(L145="","Укажите валюту",IF(NOT(ISNUMBER(K145)),"Укажите объём",IF(K145&lt;=0,"Укажите объём",IF(COUNT(M145:O145)&lt;3,"Нужны цены",IF(COUNT(P145:R145)&lt;3,"Нужны расходы",IF(OR(M145&lt;0,N145&lt;0,O145&lt;0,O145&gt;100,P145&lt;0,Q145&lt;0,R145&lt;0,R145&gt;100),"Проверьте значения","Рассчитано"))))))</x:f>
        <x:v>Нужны цены</x:v>
      </x:c>
      <x:c r="K145" s="36" t="n">
        <x:v>3</x:v>
      </x:c>
      <x:c r="L145" s="19" t="str">
        <x:v>KZT</x:v>
      </x:c>
      <x:c r="M145" s="22"/>
      <x:c r="N145" s="22"/>
      <x:c r="O145" s="28"/>
      <x:c r="P145" s="22"/>
      <x:c r="Q145" s="22"/>
      <x:c r="R145" s="28"/>
      <x:c r="S145" s="22"/>
      <x:c r="T145" s="37" t="n">
        <x:f>MIN(K145,AT145)</x:f>
        <x:v>2.162799502717333</x:v>
      </x:c>
      <x:c r="U145" s="21" t="str">
        <x:f>IF(J145="Рассчитано",N145*(1-O145/100),"н/д")</x:f>
        <x:v>н/д</x:v>
      </x:c>
      <x:c r="V145" s="21" t="str">
        <x:f>IF(J145="Рассчитано",T145*U145,"н/д")</x:f>
        <x:v>н/д</x:v>
      </x:c>
      <x:c r="W145" s="21" t="str">
        <x:f>IF(J145="Рассчитано",T145*M145,"н/д")</x:f>
        <x:v>н/д</x:v>
      </x:c>
      <x:c r="X145" s="21" t="str">
        <x:f>IF(J145="Рассчитано",V145-W145,"н/д")</x:f>
        <x:v>н/д</x:v>
      </x:c>
      <x:c r="Y145" s="27" t="str">
        <x:f>IF(J145="Рассчитано",IF(V145&gt;0,G145/V145,"н/д"),"н/д")</x:f>
        <x:v>н/д</x:v>
      </x:c>
      <x:c r="Z145" s="21" t="str">
        <x:f>IF(J145="Рассчитано",K145*M145,"н/д")</x:f>
        <x:v>н/д</x:v>
      </x:c>
      <x:c r="AA145" s="21" t="str">
        <x:f>IF(J145="Рассчитано",(K145-T145)*M145,"н/д")</x:f>
        <x:v>н/д</x:v>
      </x:c>
      <x:c r="AB145" s="21" t="str">
        <x:f>IF(AND(J145="Рассчитано",ISNUMBER(S145)),K145*(S145-M145),"н/д")</x:f>
        <x:v>н/д</x:v>
      </x:c>
      <x:c r="AC145" s="21" t="str">
        <x:f>IF(AND(J145="Рассчитано",T145&gt;0,R145&lt;100),(W145+P145+Q145)/(T145*(1-R145/100)),"н/д")</x:f>
        <x:v>н/д</x:v>
      </x:c>
      <x:c r="AD145" s="10" t="str">
        <x:f>IF(ISNUMBER(G145),IF(G145&lt;0,"Убыток",IF(G145=0,"Без прибыли","Прибыль &gt; 0")),"Не оценён")</x:f>
        <x:v>Не оценён</x:v>
      </x:c>
      <x:c r="AE145" s="13" t="str">
        <x:f>IF(J145="Рассчитано","Выручка "&amp;TEXT(V145,"0.00")&amp;" - себестоимость "&amp;TEXT(W145,"0.00")&amp;" - комиссия "&amp;TEXT(V145*R145/100,"0.00")&amp;" - доставка "&amp;TEXT(P145,"0.00")&amp;" - прочие "&amp;TEXT(Q145,"0.00")&amp;" = "&amp;TEXT(G145,"0.00")&amp;" "&amp;L145,"Введите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5" s="24" t="n">
        <x:v>2.162799502717333</x:v>
      </x:c>
      <x:c r="AG145" s="37" t="n">
        <x:v>0</x:v>
      </x:c>
      <x:c r="AH145" s="37" t="n">
        <x:v>0</x:v>
      </x:c>
      <x:c r="AI145" s="30" t="n">
        <x:v>46266</x:v>
      </x:c>
      <x:c r="AJ145" s="37"/>
      <x:c r="AK145" s="10" t="str">
        <x:v>неизвестно</x:v>
      </x:c>
      <x:c r="AL145" s="32" t="n">
        <x:v>0</x:v>
      </x:c>
      <x:c r="AM145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45" s="13" t="str">
        <x:v>Подтвердить наличие, срок и цену закупки</x:v>
      </x:c>
      <x:c r="AO145" s="13" t="str">
        <x:v>Прогноз 30 дней 2.16; остаток 0; поступления в срок 0; нехватка 3; заказ с учётом MOQ 3 шт. Остаток на начало сентября: требуется актуализация.</x:v>
      </x:c>
      <x:c r="AP145" s="13" t="str">
        <x:v>["blank_stock_assumed_zero", "category_missing", "daily_stockout_data_missing", "large_orders_detected", "moq_missing", "new_order_lead_time_unknown", "reservations_unknown", "stale_stock", "supplier_sku_missing"]</x:v>
      </x:c>
      <x:c r="AQ145" s="10" t="str">
        <x:v>IEK:130600060_</x:v>
      </x:c>
      <x:c r="AR145" s="24" t="n">
        <x:v>1</x:v>
      </x:c>
      <x:c r="AS145" s="24" t="n">
        <x:f>MAX(0,ROUNDUP(MAX(0,AF145-AG145-AH145)/AR145-0.000000001,0)*AR145)</x:f>
        <x:v>3</x:v>
      </x:c>
      <x:c r="AT145" s="24" t="n">
        <x:v>2.162799502717333</x:v>
      </x:c>
    </x:row>
    <x:row r="146" ht="64" customHeight="1">
      <x:c r="A146" s="11" t="str">
        <x:v>IEK</x:v>
      </x:c>
      <x:c r="B146" s="33" t="str">
        <x:v>130600077_</x:v>
      </x:c>
      <x:c r="C146" s="33"/>
      <x:c r="D146" s="12" t="str">
        <x:v>Тепловое реле РТИ-1303 (0,25-0,4А) IEK !!!</x:v>
      </x:c>
      <x:c r="E146" s="11" t="str">
        <x:v>шт</x:v>
      </x:c>
      <x:c r="F146" s="35" t="n">
        <x:f>AS146</x:f>
        <x:v>1</x:v>
      </x:c>
      <x:c r="G146" s="20" t="str">
        <x:f>IF(J146="Рассчитано",V146*(1-R146/100)-W146-P146-Q146,"н/д")</x:f>
        <x:v>н/д</x:v>
      </x:c>
      <x:c r="H146" s="12" t="str">
        <x:v>Высокий</x:v>
      </x:c>
      <x:c r="I146" s="12" t="str">
        <x:v>Критический</x:v>
      </x:c>
      <x:c r="J146" s="12" t="str">
        <x:f>IF(L146="","Укажите валюту",IF(NOT(ISNUMBER(K146)),"Укажите объём",IF(K146&lt;=0,"Укажите объём",IF(COUNT(M146:O146)&lt;3,"Нужны цены",IF(COUNT(P146:R146)&lt;3,"Нужны расходы",IF(OR(M146&lt;0,N146&lt;0,O146&lt;0,O146&gt;100,P146&lt;0,Q146&lt;0,R146&lt;0,R146&gt;100),"Проверьте значения","Рассчитано"))))))</x:f>
        <x:v>Нужны цены</x:v>
      </x:c>
      <x:c r="K146" s="36" t="n">
        <x:v>1</x:v>
      </x:c>
      <x:c r="L146" s="19" t="str">
        <x:v>KZT</x:v>
      </x:c>
      <x:c r="M146" s="22"/>
      <x:c r="N146" s="22"/>
      <x:c r="O146" s="28"/>
      <x:c r="P146" s="22"/>
      <x:c r="Q146" s="22"/>
      <x:c r="R146" s="28"/>
      <x:c r="S146" s="22"/>
      <x:c r="T146" s="35" t="n">
        <x:f>MIN(K146,AT146)</x:f>
        <x:v>0.039081323040488704</x:v>
      </x:c>
      <x:c r="U146" s="20" t="str">
        <x:f>IF(J146="Рассчитано",N146*(1-O146/100),"н/д")</x:f>
        <x:v>н/д</x:v>
      </x:c>
      <x:c r="V146" s="20" t="str">
        <x:f>IF(J146="Рассчитано",T146*U146,"н/д")</x:f>
        <x:v>н/д</x:v>
      </x:c>
      <x:c r="W146" s="20" t="str">
        <x:f>IF(J146="Рассчитано",T146*M146,"н/д")</x:f>
        <x:v>н/д</x:v>
      </x:c>
      <x:c r="X146" s="20" t="str">
        <x:f>IF(J146="Рассчитано",V146-W146,"н/д")</x:f>
        <x:v>н/д</x:v>
      </x:c>
      <x:c r="Y146" s="26" t="str">
        <x:f>IF(J146="Рассчитано",IF(V146&gt;0,G146/V146,"н/д"),"н/д")</x:f>
        <x:v>н/д</x:v>
      </x:c>
      <x:c r="Z146" s="20" t="str">
        <x:f>IF(J146="Рассчитано",K146*M146,"н/д")</x:f>
        <x:v>н/д</x:v>
      </x:c>
      <x:c r="AA146" s="20" t="str">
        <x:f>IF(J146="Рассчитано",(K146-T146)*M146,"н/д")</x:f>
        <x:v>н/д</x:v>
      </x:c>
      <x:c r="AB146" s="20" t="str">
        <x:f>IF(AND(J146="Рассчитано",ISNUMBER(S146)),K146*(S146-M146),"н/д")</x:f>
        <x:v>н/д</x:v>
      </x:c>
      <x:c r="AC146" s="20" t="str">
        <x:f>IF(AND(J146="Рассчитано",T146&gt;0,R146&lt;100),(W146+P146+Q146)/(T146*(1-R146/100)),"н/д")</x:f>
        <x:v>н/д</x:v>
      </x:c>
      <x:c r="AD146" s="11" t="str">
        <x:f>IF(ISNUMBER(G146),IF(G146&lt;0,"Убыток",IF(G146=0,"Без прибыли","Прибыль &gt; 0")),"Не оценён")</x:f>
        <x:v>Не оценён</x:v>
      </x:c>
      <x:c r="AE146" s="12" t="str">
        <x:f>IF(J146="Рассчитано","Выручка "&amp;TEXT(V146,"0.00")&amp;" - себестоимость "&amp;TEXT(W146,"0.00")&amp;" - комиссия "&amp;TEXT(V146*R146/100,"0.00")&amp;" - доставка "&amp;TEXT(P146,"0.00")&amp;" - прочие "&amp;TEXT(Q146,"0.00")&amp;" = "&amp;TEXT(G146,"0.00")&amp;" "&amp;L146,"Введите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6" s="23" t="n">
        <x:v>0.039081323040488704</x:v>
      </x:c>
      <x:c r="AG146" s="35" t="n">
        <x:v>0</x:v>
      </x:c>
      <x:c r="AH146" s="35" t="n">
        <x:v>0</x:v>
      </x:c>
      <x:c r="AI146" s="29" t="n">
        <x:v>46266</x:v>
      </x:c>
      <x:c r="AJ146" s="35"/>
      <x:c r="AK146" s="11" t="str">
        <x:v>неизвестно</x:v>
      </x:c>
      <x:c r="AL146" s="31" t="n">
        <x:v>0</x:v>
      </x:c>
      <x:c r="AM146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46" s="12" t="str">
        <x:v>Подтвердить наличие, срок и цену закупки</x:v>
      </x:c>
      <x:c r="AO146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146" s="12" t="str">
        <x:v>["blank_stock_assumed_zero", "category_missing", "daily_stockout_data_missing", "moq_missing", "new_order_lead_time_unknown", "reservations_unknown", "stale_stock", "supplier_sku_missing"]</x:v>
      </x:c>
      <x:c r="AQ146" s="11" t="str">
        <x:v>IEK:130600077_</x:v>
      </x:c>
      <x:c r="AR146" s="23" t="n">
        <x:v>1</x:v>
      </x:c>
      <x:c r="AS146" s="23" t="n">
        <x:f>MAX(0,ROUNDUP(MAX(0,AF146-AG146-AH146)/AR146-0.000000001,0)*AR146)</x:f>
        <x:v>1</x:v>
      </x:c>
      <x:c r="AT146" s="23" t="n">
        <x:v>0.039081323040488704</x:v>
      </x:c>
    </x:row>
    <x:row r="147" ht="64" customHeight="1">
      <x:c r="A147" s="10" t="str">
        <x:v>IEK</x:v>
      </x:c>
      <x:c r="B147" s="34" t="str">
        <x:v>130600124_</x:v>
      </x:c>
      <x:c r="C147" s="34" t="str">
        <x:v>ORT-2T-ACDC12-240V</x:v>
      </x:c>
      <x:c r="D147" s="13" t="str">
        <x:v>Реле времени ORT 2 конт. 2 уст. 12-240В AC/DC ИЭК ORT-2T-ACDC12-240V NEW</x:v>
      </x:c>
      <x:c r="E147" s="10" t="str">
        <x:v>шт</x:v>
      </x:c>
      <x:c r="F147" s="37" t="n">
        <x:f>IF(AS147&gt;0,MAX(AS147,AJ147),0)</x:f>
        <x:v>1</x:v>
      </x:c>
      <x:c r="G147" s="21" t="str">
        <x:f>IF(J147="Рассчитано",V147*(1-R147/100)-W147-P147-Q147,"н/д")</x:f>
        <x:v>н/д</x:v>
      </x:c>
      <x:c r="H147" s="13" t="str">
        <x:v>Высокий</x:v>
      </x:c>
      <x:c r="I147" s="13" t="str">
        <x:v>Критический</x:v>
      </x:c>
      <x:c r="J147" s="13" t="str">
        <x:f>IF(L147="","Укажите валюту",IF(NOT(ISNUMBER(K147)),"Укажите объём",IF(K147&lt;=0,"Укажите объём",IF(COUNT(M147:O147)&lt;3,"Нужны цены",IF(COUNT(P147:R147)&lt;3,"Нужны расходы",IF(OR(M147&lt;0,N147&lt;0,O147&lt;0,O147&gt;100,P147&lt;0,Q147&lt;0,R147&lt;0,R147&gt;100),"Проверьте значения","Рассчитано"))))))</x:f>
        <x:v>Нужны цены</x:v>
      </x:c>
      <x:c r="K147" s="36" t="n">
        <x:v>1</x:v>
      </x:c>
      <x:c r="L147" s="19" t="str">
        <x:v>KZT</x:v>
      </x:c>
      <x:c r="M147" s="22"/>
      <x:c r="N147" s="22"/>
      <x:c r="O147" s="28"/>
      <x:c r="P147" s="22"/>
      <x:c r="Q147" s="22"/>
      <x:c r="R147" s="28"/>
      <x:c r="S147" s="22"/>
      <x:c r="T147" s="37" t="n">
        <x:f>MIN(K147,AT147)</x:f>
        <x:v>0.06657241650938941</x:v>
      </x:c>
      <x:c r="U147" s="21" t="str">
        <x:f>IF(J147="Рассчитано",N147*(1-O147/100),"н/д")</x:f>
        <x:v>н/д</x:v>
      </x:c>
      <x:c r="V147" s="21" t="str">
        <x:f>IF(J147="Рассчитано",T147*U147,"н/д")</x:f>
        <x:v>н/д</x:v>
      </x:c>
      <x:c r="W147" s="21" t="str">
        <x:f>IF(J147="Рассчитано",T147*M147,"н/д")</x:f>
        <x:v>н/д</x:v>
      </x:c>
      <x:c r="X147" s="21" t="str">
        <x:f>IF(J147="Рассчитано",V147-W147,"н/д")</x:f>
        <x:v>н/д</x:v>
      </x:c>
      <x:c r="Y147" s="27" t="str">
        <x:f>IF(J147="Рассчитано",IF(V147&gt;0,G147/V147,"н/д"),"н/д")</x:f>
        <x:v>н/д</x:v>
      </x:c>
      <x:c r="Z147" s="21" t="str">
        <x:f>IF(J147="Рассчитано",K147*M147,"н/д")</x:f>
        <x:v>н/д</x:v>
      </x:c>
      <x:c r="AA147" s="21" t="str">
        <x:f>IF(J147="Рассчитано",(K147-T147)*M147,"н/д")</x:f>
        <x:v>н/д</x:v>
      </x:c>
      <x:c r="AB147" s="21" t="str">
        <x:f>IF(AND(J147="Рассчитано",ISNUMBER(S147)),K147*(S147-M147),"н/д")</x:f>
        <x:v>н/д</x:v>
      </x:c>
      <x:c r="AC147" s="21" t="str">
        <x:f>IF(AND(J147="Рассчитано",T147&gt;0,R147&lt;100),(W147+P147+Q147)/(T147*(1-R147/100)),"н/д")</x:f>
        <x:v>н/д</x:v>
      </x:c>
      <x:c r="AD147" s="10" t="str">
        <x:f>IF(ISNUMBER(G147),IF(G147&lt;0,"Убыток",IF(G147=0,"Без прибыли","Прибыль &gt; 0")),"Не оценён")</x:f>
        <x:v>Не оценён</x:v>
      </x:c>
      <x:c r="AE147" s="13" t="str">
        <x:f>IF(J147="Рассчитано","Выручка "&amp;TEXT(V147,"0.00")&amp;" - себестоимость "&amp;TEXT(W147,"0.00")&amp;" - комиссия "&amp;TEXT(V147*R147/100,"0.00")&amp;" - доставка "&amp;TEXT(P147,"0.00")&amp;" - прочие "&amp;TEXT(Q147,"0.00")&amp;" = "&amp;TEXT(G147,"0.00")&amp;" "&amp;L147,"Введите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7" s="24" t="n">
        <x:v>0.06657241650938941</x:v>
      </x:c>
      <x:c r="AG147" s="37" t="n">
        <x:v>0</x:v>
      </x:c>
      <x:c r="AH147" s="37" t="n">
        <x:v>0</x:v>
      </x:c>
      <x:c r="AI147" s="30" t="n">
        <x:v>46266</x:v>
      </x:c>
      <x:c r="AJ147" s="37" t="n">
        <x:v>1</x:v>
      </x:c>
      <x:c r="AK147" s="10" t="str">
        <x:v>минимум</x:v>
      </x:c>
      <x:c r="AL147" s="32" t="n">
        <x:v>0</x:v>
      </x:c>
      <x:c r="AM147" s="13" t="str">
        <x:v>Остаток на начало сентября; Резервы неизвестны; Нет ежедневных данных доступности. Нет запаса</x:v>
      </x:c>
      <x:c r="AN147" s="13" t="str">
        <x:v>Подтвердить наличие, срок и цену закупки</x:v>
      </x:c>
      <x:c r="AO147" s="13" t="str">
        <x:v>Прогноз 30 дней 0.07; остаток 0; поступления в срок 0; нехватка 1; заказ с учётом MOQ 1 шт. Остаток на начало сентября: требуется актуализация.</x:v>
      </x:c>
      <x:c r="AP147" s="13" t="str">
        <x:v>["blank_stock_assumed_zero", "category_missing", "daily_stockout_data_missing", "new_order_lead_time_unknown", "reservations_unknown", "stale_stock"]</x:v>
      </x:c>
      <x:c r="AQ147" s="10" t="str">
        <x:v>IEK:130600124_</x:v>
      </x:c>
      <x:c r="AR147" s="24" t="n">
        <x:v>1</x:v>
      </x:c>
      <x:c r="AS147" s="24" t="n">
        <x:f>MAX(0,ROUNDUP(MAX(0,AF147-AG147-AH147)/AR147-0.000000001,0)*AR147)</x:f>
        <x:v>1</x:v>
      </x:c>
      <x:c r="AT147" s="24" t="n">
        <x:v>0.06657241650938941</x:v>
      </x:c>
    </x:row>
    <x:row r="148" ht="64" customHeight="1">
      <x:c r="A148" s="11" t="str">
        <x:v>IEK</x:v>
      </x:c>
      <x:c r="B148" s="33" t="str">
        <x:v>130600132_</x:v>
      </x:c>
      <x:c r="C148" s="33"/>
      <x:c r="D148" s="12" t="str">
        <x:v>Реле циклическое ORT 2 конт. 12-240В AC/DC IEK ORT-S2-ACDC12-240V NEW</x:v>
      </x:c>
      <x:c r="E148" s="11" t="str">
        <x:v>шт</x:v>
      </x:c>
      <x:c r="F148" s="35" t="n">
        <x:f>AS148</x:f>
        <x:v>1</x:v>
      </x:c>
      <x:c r="G148" s="20" t="str">
        <x:f>IF(J148="Рассчитано",V148*(1-R148/100)-W148-P148-Q148,"н/д")</x:f>
        <x:v>н/д</x:v>
      </x:c>
      <x:c r="H148" s="12" t="str">
        <x:v>Высокий</x:v>
      </x:c>
      <x:c r="I148" s="12" t="str">
        <x:v>Критический</x:v>
      </x:c>
      <x:c r="J148" s="12" t="str">
        <x:f>IF(L148="","Укажите валюту",IF(NOT(ISNUMBER(K148)),"Укажите объём",IF(K148&lt;=0,"Укажите объём",IF(COUNT(M148:O148)&lt;3,"Нужны цены",IF(COUNT(P148:R148)&lt;3,"Нужны расходы",IF(OR(M148&lt;0,N148&lt;0,O148&lt;0,O148&gt;100,P148&lt;0,Q148&lt;0,R148&lt;0,R148&gt;100),"Проверьте значения","Рассчитано"))))))</x:f>
        <x:v>Нужны цены</x:v>
      </x:c>
      <x:c r="K148" s="36" t="n">
        <x:v>1</x:v>
      </x:c>
      <x:c r="L148" s="19" t="str">
        <x:v>KZT</x:v>
      </x:c>
      <x:c r="M148" s="22"/>
      <x:c r="N148" s="22"/>
      <x:c r="O148" s="28"/>
      <x:c r="P148" s="22"/>
      <x:c r="Q148" s="22"/>
      <x:c r="R148" s="28"/>
      <x:c r="S148" s="22"/>
      <x:c r="T148" s="35" t="n">
        <x:f>MIN(K148,AT148)</x:f>
        <x:v>0.03480184351304997</x:v>
      </x:c>
      <x:c r="U148" s="20" t="str">
        <x:f>IF(J148="Рассчитано",N148*(1-O148/100),"н/д")</x:f>
        <x:v>н/д</x:v>
      </x:c>
      <x:c r="V148" s="20" t="str">
        <x:f>IF(J148="Рассчитано",T148*U148,"н/д")</x:f>
        <x:v>н/д</x:v>
      </x:c>
      <x:c r="W148" s="20" t="str">
        <x:f>IF(J148="Рассчитано",T148*M148,"н/д")</x:f>
        <x:v>н/д</x:v>
      </x:c>
      <x:c r="X148" s="20" t="str">
        <x:f>IF(J148="Рассчитано",V148-W148,"н/д")</x:f>
        <x:v>н/д</x:v>
      </x:c>
      <x:c r="Y148" s="26" t="str">
        <x:f>IF(J148="Рассчитано",IF(V148&gt;0,G148/V148,"н/д"),"н/д")</x:f>
        <x:v>н/д</x:v>
      </x:c>
      <x:c r="Z148" s="20" t="str">
        <x:f>IF(J148="Рассчитано",K148*M148,"н/д")</x:f>
        <x:v>н/д</x:v>
      </x:c>
      <x:c r="AA148" s="20" t="str">
        <x:f>IF(J148="Рассчитано",(K148-T148)*M148,"н/д")</x:f>
        <x:v>н/д</x:v>
      </x:c>
      <x:c r="AB148" s="20" t="str">
        <x:f>IF(AND(J148="Рассчитано",ISNUMBER(S148)),K148*(S148-M148),"н/д")</x:f>
        <x:v>н/д</x:v>
      </x:c>
      <x:c r="AC148" s="20" t="str">
        <x:f>IF(AND(J148="Рассчитано",T148&gt;0,R148&lt;100),(W148+P148+Q148)/(T148*(1-R148/100)),"н/д")</x:f>
        <x:v>н/д</x:v>
      </x:c>
      <x:c r="AD148" s="11" t="str">
        <x:f>IF(ISNUMBER(G148),IF(G148&lt;0,"Убыток",IF(G148=0,"Без прибыли","Прибыль &gt; 0")),"Не оценён")</x:f>
        <x:v>Не оценён</x:v>
      </x:c>
      <x:c r="AE148" s="12" t="str">
        <x:f>IF(J148="Рассчитано","Выручка "&amp;TEXT(V148,"0.00")&amp;" - себестоимость "&amp;TEXT(W148,"0.00")&amp;" - комиссия "&amp;TEXT(V148*R148/100,"0.00")&amp;" - доставка "&amp;TEXT(P148,"0.00")&amp;" - прочие "&amp;TEXT(Q148,"0.00")&amp;" = "&amp;TEXT(G148,"0.00")&amp;" "&amp;L148,"Введите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8" s="23" t="n">
        <x:v>0.03480184351304997</x:v>
      </x:c>
      <x:c r="AG148" s="35" t="n">
        <x:v>0</x:v>
      </x:c>
      <x:c r="AH148" s="35" t="n">
        <x:v>0</x:v>
      </x:c>
      <x:c r="AI148" s="29" t="n">
        <x:v>46266</x:v>
      </x:c>
      <x:c r="AJ148" s="35"/>
      <x:c r="AK148" s="11" t="str">
        <x:v>неизвестно</x:v>
      </x:c>
      <x:c r="AL148" s="31" t="n">
        <x:v>0</x:v>
      </x:c>
      <x:c r="AM148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48" s="12" t="str">
        <x:v>Подтвердить наличие, срок и цену закупки</x:v>
      </x:c>
      <x:c r="AO148" s="12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148" s="12" t="str">
        <x:v>["blank_stock_assumed_zero", "category_missing", "daily_stockout_data_missing", "moq_missing", "new_order_lead_time_unknown", "reservations_unknown", "stale_stock", "supplier_sku_missing"]</x:v>
      </x:c>
      <x:c r="AQ148" s="11" t="str">
        <x:v>IEK:130600132_</x:v>
      </x:c>
      <x:c r="AR148" s="23" t="n">
        <x:v>1</x:v>
      </x:c>
      <x:c r="AS148" s="23" t="n">
        <x:f>MAX(0,ROUNDUP(MAX(0,AF148-AG148-AH148)/AR148-0.000000001,0)*AR148)</x:f>
        <x:v>1</x:v>
      </x:c>
      <x:c r="AT148" s="23" t="n">
        <x:v>0.03480184351304997</x:v>
      </x:c>
    </x:row>
    <x:row r="149" ht="64" customHeight="1">
      <x:c r="A149" s="10" t="str">
        <x:v>IEK</x:v>
      </x:c>
      <x:c r="B149" s="34" t="str">
        <x:v>130600148_</x:v>
      </x:c>
      <x:c r="C149" s="34" t="str">
        <x:v>OIR-308-AC230V</x:v>
      </x:c>
      <x:c r="D149" s="13" t="str">
        <x:v>Реле промежут. OIR 3 конт. 8А 230В AC ИЭК OIR-308-AC230V NEW</x:v>
      </x:c>
      <x:c r="E149" s="10" t="str">
        <x:v>шт</x:v>
      </x:c>
      <x:c r="F149" s="37" t="n">
        <x:f>IF(AS149&gt;0,MAX(AS149,AJ149),0)</x:f>
        <x:v>1</x:v>
      </x:c>
      <x:c r="G149" s="21" t="str">
        <x:f>IF(J149="Рассчитано",V149*(1-R149/100)-W149-P149-Q149,"н/д")</x:f>
        <x:v>н/д</x:v>
      </x:c>
      <x:c r="H149" s="13" t="str">
        <x:v>Высокий</x:v>
      </x:c>
      <x:c r="I149" s="13" t="str">
        <x:v>Критический</x:v>
      </x:c>
      <x:c r="J149" s="13" t="str">
        <x:f>IF(L149="","Укажите валюту",IF(NOT(ISNUMBER(K149)),"Укажите объём",IF(K149&lt;=0,"Укажите объём",IF(COUNT(M149:O149)&lt;3,"Нужны цены",IF(COUNT(P149:R149)&lt;3,"Нужны расходы",IF(OR(M149&lt;0,N149&lt;0,O149&lt;0,O149&gt;100,P149&lt;0,Q149&lt;0,R149&lt;0,R149&gt;100),"Проверьте значения","Рассчитано"))))))</x:f>
        <x:v>Нужны цены</x:v>
      </x:c>
      <x:c r="K149" s="36" t="n">
        <x:v>1</x:v>
      </x:c>
      <x:c r="L149" s="19" t="str">
        <x:v>KZT</x:v>
      </x:c>
      <x:c r="M149" s="22"/>
      <x:c r="N149" s="22"/>
      <x:c r="O149" s="28"/>
      <x:c r="P149" s="22"/>
      <x:c r="Q149" s="22"/>
      <x:c r="R149" s="28"/>
      <x:c r="S149" s="22"/>
      <x:c r="T149" s="37" t="n">
        <x:f>MIN(K149,AT149)</x:f>
        <x:v>0.035646968637373676</x:v>
      </x:c>
      <x:c r="U149" s="21" t="str">
        <x:f>IF(J149="Рассчитано",N149*(1-O149/100),"н/д")</x:f>
        <x:v>н/д</x:v>
      </x:c>
      <x:c r="V149" s="21" t="str">
        <x:f>IF(J149="Рассчитано",T149*U149,"н/д")</x:f>
        <x:v>н/д</x:v>
      </x:c>
      <x:c r="W149" s="21" t="str">
        <x:f>IF(J149="Рассчитано",T149*M149,"н/д")</x:f>
        <x:v>н/д</x:v>
      </x:c>
      <x:c r="X149" s="21" t="str">
        <x:f>IF(J149="Рассчитано",V149-W149,"н/д")</x:f>
        <x:v>н/д</x:v>
      </x:c>
      <x:c r="Y149" s="27" t="str">
        <x:f>IF(J149="Рассчитано",IF(V149&gt;0,G149/V149,"н/д"),"н/д")</x:f>
        <x:v>н/д</x:v>
      </x:c>
      <x:c r="Z149" s="21" t="str">
        <x:f>IF(J149="Рассчитано",K149*M149,"н/д")</x:f>
        <x:v>н/д</x:v>
      </x:c>
      <x:c r="AA149" s="21" t="str">
        <x:f>IF(J149="Рассчитано",(K149-T149)*M149,"н/д")</x:f>
        <x:v>н/д</x:v>
      </x:c>
      <x:c r="AB149" s="21" t="str">
        <x:f>IF(AND(J149="Рассчитано",ISNUMBER(S149)),K149*(S149-M149),"н/д")</x:f>
        <x:v>н/д</x:v>
      </x:c>
      <x:c r="AC149" s="21" t="str">
        <x:f>IF(AND(J149="Рассчитано",T149&gt;0,R149&lt;100),(W149+P149+Q149)/(T149*(1-R149/100)),"н/д")</x:f>
        <x:v>н/д</x:v>
      </x:c>
      <x:c r="AD149" s="10" t="str">
        <x:f>IF(ISNUMBER(G149),IF(G149&lt;0,"Убыток",IF(G149=0,"Без прибыли","Прибыль &gt; 0")),"Не оценён")</x:f>
        <x:v>Не оценён</x:v>
      </x:c>
      <x:c r="AE149" s="13" t="str">
        <x:f>IF(J149="Рассчитано","Выручка "&amp;TEXT(V149,"0.00")&amp;" - себестоимость "&amp;TEXT(W149,"0.00")&amp;" - комиссия "&amp;TEXT(V149*R149/100,"0.00")&amp;" - доставка "&amp;TEXT(P149,"0.00")&amp;" - прочие "&amp;TEXT(Q149,"0.00")&amp;" = "&amp;TEXT(G149,"0.00")&amp;" "&amp;L149,"Введите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49" s="24" t="n">
        <x:v>0.035646968637373676</x:v>
      </x:c>
      <x:c r="AG149" s="37" t="n">
        <x:v>0</x:v>
      </x:c>
      <x:c r="AH149" s="37" t="n">
        <x:v>0</x:v>
      </x:c>
      <x:c r="AI149" s="30" t="n">
        <x:v>46266</x:v>
      </x:c>
      <x:c r="AJ149" s="37" t="n">
        <x:v>1</x:v>
      </x:c>
      <x:c r="AK149" s="10" t="str">
        <x:v>минимум</x:v>
      </x:c>
      <x:c r="AL149" s="32" t="n">
        <x:v>0</x:v>
      </x:c>
      <x:c r="AM149" s="13" t="str">
        <x:v>Остаток на начало сентября; Резервы неизвестны; Нет ежедневных данных доступности. Нет запаса</x:v>
      </x:c>
      <x:c r="AN149" s="13" t="str">
        <x:v>Подтвердить наличие, срок и цену закупки</x:v>
      </x:c>
      <x:c r="AO149" s="13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149" s="13" t="str">
        <x:v>["blank_stock_assumed_zero", "category_missing", "daily_stockout_data_missing", "new_order_lead_time_unknown", "reservations_unknown", "stale_stock"]</x:v>
      </x:c>
      <x:c r="AQ149" s="10" t="str">
        <x:v>IEK:130600148_</x:v>
      </x:c>
      <x:c r="AR149" s="24" t="n">
        <x:v>1</x:v>
      </x:c>
      <x:c r="AS149" s="24" t="n">
        <x:f>MAX(0,ROUNDUP(MAX(0,AF149-AG149-AH149)/AR149-0.000000001,0)*AR149)</x:f>
        <x:v>1</x:v>
      </x:c>
      <x:c r="AT149" s="24" t="n">
        <x:v>0.035646968637373676</x:v>
      </x:c>
    </x:row>
    <x:row r="150" ht="64" customHeight="1">
      <x:c r="A150" s="11" t="str">
        <x:v>IEK</x:v>
      </x:c>
      <x:c r="B150" s="33" t="str">
        <x:v>130600154_</x:v>
      </x:c>
      <x:c r="C150" s="33" t="str">
        <x:v>YCE-TNO-00-60</x:v>
      </x:c>
      <x:c r="D150" s="12" t="str">
        <x:v>Термостат от 0 до 60 °C NO IEK (200) NEW</x:v>
      </x:c>
      <x:c r="E150" s="11" t="str">
        <x:v>шт</x:v>
      </x:c>
      <x:c r="F150" s="35" t="n">
        <x:f>IF(AS150&gt;0,MAX(AS150,AJ150),0)</x:f>
        <x:v>17</x:v>
      </x:c>
      <x:c r="G150" s="20" t="str">
        <x:f>IF(J150="Рассчитано",V150*(1-R150/100)-W150-P150-Q150,"н/д")</x:f>
        <x:v>н/д</x:v>
      </x:c>
      <x:c r="H150" s="12" t="str">
        <x:v>Высокий</x:v>
      </x:c>
      <x:c r="I150" s="12" t="str">
        <x:v>Критический</x:v>
      </x:c>
      <x:c r="J150" s="12" t="str">
        <x:f>IF(L150="","Укажите валюту",IF(NOT(ISNUMBER(K150)),"Укажите объём",IF(K150&lt;=0,"Укажите объём",IF(COUNT(M150:O150)&lt;3,"Нужны цены",IF(COUNT(P150:R150)&lt;3,"Нужны расходы",IF(OR(M150&lt;0,N150&lt;0,O150&lt;0,O150&gt;100,P150&lt;0,Q150&lt;0,R150&lt;0,R150&gt;100),"Проверьте значения","Рассчитано"))))))</x:f>
        <x:v>Нужны цены</x:v>
      </x:c>
      <x:c r="K150" s="36" t="n">
        <x:v>17</x:v>
      </x:c>
      <x:c r="L150" s="19" t="str">
        <x:v>KZT</x:v>
      </x:c>
      <x:c r="M150" s="22"/>
      <x:c r="N150" s="22"/>
      <x:c r="O150" s="28"/>
      <x:c r="P150" s="22"/>
      <x:c r="Q150" s="22"/>
      <x:c r="R150" s="28"/>
      <x:c r="S150" s="22"/>
      <x:c r="T150" s="35" t="n">
        <x:f>MIN(K150,AT150)</x:f>
        <x:v>16.025598661971063</x:v>
      </x:c>
      <x:c r="U150" s="20" t="str">
        <x:f>IF(J150="Рассчитано",N150*(1-O150/100),"н/д")</x:f>
        <x:v>н/д</x:v>
      </x:c>
      <x:c r="V150" s="20" t="str">
        <x:f>IF(J150="Рассчитано",T150*U150,"н/д")</x:f>
        <x:v>н/д</x:v>
      </x:c>
      <x:c r="W150" s="20" t="str">
        <x:f>IF(J150="Рассчитано",T150*M150,"н/д")</x:f>
        <x:v>н/д</x:v>
      </x:c>
      <x:c r="X150" s="20" t="str">
        <x:f>IF(J150="Рассчитано",V150-W150,"н/д")</x:f>
        <x:v>н/д</x:v>
      </x:c>
      <x:c r="Y150" s="26" t="str">
        <x:f>IF(J150="Рассчитано",IF(V150&gt;0,G150/V150,"н/д"),"н/д")</x:f>
        <x:v>н/д</x:v>
      </x:c>
      <x:c r="Z150" s="20" t="str">
        <x:f>IF(J150="Рассчитано",K150*M150,"н/д")</x:f>
        <x:v>н/д</x:v>
      </x:c>
      <x:c r="AA150" s="20" t="str">
        <x:f>IF(J150="Рассчитано",(K150-T150)*M150,"н/д")</x:f>
        <x:v>н/д</x:v>
      </x:c>
      <x:c r="AB150" s="20" t="str">
        <x:f>IF(AND(J150="Рассчитано",ISNUMBER(S150)),K150*(S150-M150),"н/д")</x:f>
        <x:v>н/д</x:v>
      </x:c>
      <x:c r="AC150" s="20" t="str">
        <x:f>IF(AND(J150="Рассчитано",T150&gt;0,R150&lt;100),(W150+P150+Q150)/(T150*(1-R150/100)),"н/д")</x:f>
        <x:v>н/д</x:v>
      </x:c>
      <x:c r="AD150" s="11" t="str">
        <x:f>IF(ISNUMBER(G150),IF(G150&lt;0,"Убыток",IF(G150=0,"Без прибыли","Прибыль &gt; 0")),"Не оценён")</x:f>
        <x:v>Не оценён</x:v>
      </x:c>
      <x:c r="AE150" s="12" t="str">
        <x:f>IF(J150="Рассчитано","Выручка "&amp;TEXT(V150,"0.00")&amp;" - себестоимость "&amp;TEXT(W150,"0.00")&amp;" - комиссия "&amp;TEXT(V150*R150/100,"0.00")&amp;" - доставка "&amp;TEXT(P150,"0.00")&amp;" - прочие "&amp;TEXT(Q150,"0.00")&amp;" = "&amp;TEXT(G150,"0.00")&amp;" "&amp;L150,"Введите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0" s="23" t="n">
        <x:v>19.025598661971063</x:v>
      </x:c>
      <x:c r="AG150" s="35" t="n">
        <x:v>3</x:v>
      </x:c>
      <x:c r="AH150" s="35" t="n">
        <x:v>0</x:v>
      </x:c>
      <x:c r="AI150" s="29" t="n">
        <x:v>46266</x:v>
      </x:c>
      <x:c r="AJ150" s="35" t="n">
        <x:v>10</x:v>
      </x:c>
      <x:c r="AK150" s="11" t="str">
        <x:v>минимум</x:v>
      </x:c>
      <x:c r="AL150" s="31" t="n">
        <x:v>4.730468754178795</x:v>
      </x:c>
      <x:c r="AM150" s="12" t="str">
        <x:v>Остаток на начало сентября; Резервы неизвестны; Нет ежедневных данных доступности. Запаса примерно на 4.7 дн. без поступлений</x:v>
      </x:c>
      <x:c r="AN150" s="12" t="str">
        <x:v>Подтвердить наличие, срок и цену закупки</x:v>
      </x:c>
      <x:c r="AO150" s="12" t="str">
        <x:v>Прогноз 30 дней 19.03; остаток 3; поступления в срок 0; нехватка 17; заказ с учётом MOQ 17 шт. Остаток на начало сентября: требуется актуализация.</x:v>
      </x:c>
      <x:c r="AP150" s="12" t="str">
        <x:v>["category_missing", "daily_stockout_data_missing", "large_orders_detected", "new_order_lead_time_unknown", "reservations_unknown", "stale_stock"]</x:v>
      </x:c>
      <x:c r="AQ150" s="11" t="str">
        <x:v>IEK:130600154_</x:v>
      </x:c>
      <x:c r="AR150" s="23" t="n">
        <x:v>1</x:v>
      </x:c>
      <x:c r="AS150" s="23" t="n">
        <x:f>MAX(0,ROUNDUP(MAX(0,AF150-AG150-AH150)/AR150-0.000000001,0)*AR150)</x:f>
        <x:v>17</x:v>
      </x:c>
      <x:c r="AT150" s="23" t="n">
        <x:v>16.025598661971063</x:v>
      </x:c>
    </x:row>
    <x:row r="151" ht="64" customHeight="1">
      <x:c r="A151" s="10" t="str">
        <x:v>IEK</x:v>
      </x:c>
      <x:c r="B151" s="34" t="str">
        <x:v>130600203_</x:v>
      </x:c>
      <x:c r="C151" s="34" t="str">
        <x:v>ORL-01-ACDC24-240V</x:v>
      </x:c>
      <x:c r="D151" s="13" t="str">
        <x:v>Реле уровня ORL 24-240В AC/DC ИЭК ORL-01-ACDC24-240V NEW</x:v>
      </x:c>
      <x:c r="E151" s="10" t="str">
        <x:v>шт</x:v>
      </x:c>
      <x:c r="F151" s="37" t="n">
        <x:f>IF(AS151&gt;0,MAX(AS151,AJ151),0)</x:f>
        <x:v>1</x:v>
      </x:c>
      <x:c r="G151" s="21" t="str">
        <x:f>IF(J151="Рассчитано",V151*(1-R151/100)-W151-P151-Q151,"н/д")</x:f>
        <x:v>н/д</x:v>
      </x:c>
      <x:c r="H151" s="13" t="str">
        <x:v>Высокий</x:v>
      </x:c>
      <x:c r="I151" s="13" t="str">
        <x:v>Критический</x:v>
      </x:c>
      <x:c r="J151" s="13" t="str">
        <x:f>IF(L151="","Укажите валюту",IF(NOT(ISNUMBER(K151)),"Укажите объём",IF(K151&lt;=0,"Укажите объём",IF(COUNT(M151:O151)&lt;3,"Нужны цены",IF(COUNT(P151:R151)&lt;3,"Нужны расходы",IF(OR(M151&lt;0,N151&lt;0,O151&lt;0,O151&gt;100,P151&lt;0,Q151&lt;0,R151&lt;0,R151&gt;100),"Проверьте значения","Рассчитано"))))))</x:f>
        <x:v>Нужны цены</x:v>
      </x:c>
      <x:c r="K151" s="36" t="n">
        <x:v>1</x:v>
      </x:c>
      <x:c r="L151" s="19" t="str">
        <x:v>KZT</x:v>
      </x:c>
      <x:c r="M151" s="22"/>
      <x:c r="N151" s="22"/>
      <x:c r="O151" s="28"/>
      <x:c r="P151" s="22"/>
      <x:c r="Q151" s="22"/>
      <x:c r="R151" s="28"/>
      <x:c r="S151" s="22"/>
      <x:c r="T151" s="37" t="n">
        <x:f>MIN(K151,AT151)</x:f>
        <x:v>0.07816264608097741</x:v>
      </x:c>
      <x:c r="U151" s="21" t="str">
        <x:f>IF(J151="Рассчитано",N151*(1-O151/100),"н/д")</x:f>
        <x:v>н/д</x:v>
      </x:c>
      <x:c r="V151" s="21" t="str">
        <x:f>IF(J151="Рассчитано",T151*U151,"н/д")</x:f>
        <x:v>н/д</x:v>
      </x:c>
      <x:c r="W151" s="21" t="str">
        <x:f>IF(J151="Рассчитано",T151*M151,"н/д")</x:f>
        <x:v>н/д</x:v>
      </x:c>
      <x:c r="X151" s="21" t="str">
        <x:f>IF(J151="Рассчитано",V151-W151,"н/д")</x:f>
        <x:v>н/д</x:v>
      </x:c>
      <x:c r="Y151" s="27" t="str">
        <x:f>IF(J151="Рассчитано",IF(V151&gt;0,G151/V151,"н/д"),"н/д")</x:f>
        <x:v>н/д</x:v>
      </x:c>
      <x:c r="Z151" s="21" t="str">
        <x:f>IF(J151="Рассчитано",K151*M151,"н/д")</x:f>
        <x:v>н/д</x:v>
      </x:c>
      <x:c r="AA151" s="21" t="str">
        <x:f>IF(J151="Рассчитано",(K151-T151)*M151,"н/д")</x:f>
        <x:v>н/д</x:v>
      </x:c>
      <x:c r="AB151" s="21" t="str">
        <x:f>IF(AND(J151="Рассчитано",ISNUMBER(S151)),K151*(S151-M151),"н/д")</x:f>
        <x:v>н/д</x:v>
      </x:c>
      <x:c r="AC151" s="21" t="str">
        <x:f>IF(AND(J151="Рассчитано",T151&gt;0,R151&lt;100),(W151+P151+Q151)/(T151*(1-R151/100)),"н/д")</x:f>
        <x:v>н/д</x:v>
      </x:c>
      <x:c r="AD151" s="10" t="str">
        <x:f>IF(ISNUMBER(G151),IF(G151&lt;0,"Убыток",IF(G151=0,"Без прибыли","Прибыль &gt; 0")),"Не оценён")</x:f>
        <x:v>Не оценён</x:v>
      </x:c>
      <x:c r="AE151" s="13" t="str">
        <x:f>IF(J151="Рассчитано","Выручка "&amp;TEXT(V151,"0.00")&amp;" - себестоимость "&amp;TEXT(W151,"0.00")&amp;" - комиссия "&amp;TEXT(V151*R151/100,"0.00")&amp;" - доставка "&amp;TEXT(P151,"0.00")&amp;" - прочие "&amp;TEXT(Q151,"0.00")&amp;" = "&amp;TEXT(G151,"0.00")&amp;" "&amp;L151,"Введите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1" s="24" t="n">
        <x:v>0.07816264608097741</x:v>
      </x:c>
      <x:c r="AG151" s="37" t="n">
        <x:v>0</x:v>
      </x:c>
      <x:c r="AH151" s="37" t="n">
        <x:v>0</x:v>
      </x:c>
      <x:c r="AI151" s="30" t="n">
        <x:v>46266</x:v>
      </x:c>
      <x:c r="AJ151" s="37" t="n">
        <x:v>1</x:v>
      </x:c>
      <x:c r="AK151" s="10" t="str">
        <x:v>минимум</x:v>
      </x:c>
      <x:c r="AL151" s="32" t="n">
        <x:v>0</x:v>
      </x:c>
      <x:c r="AM151" s="13" t="str">
        <x:v>Остаток на начало сентября; Резервы неизвестны; Нет ежедневных данных доступности. Нет запаса</x:v>
      </x:c>
      <x:c r="AN151" s="13" t="str">
        <x:v>Подтвердить наличие, срок и цену закупки</x:v>
      </x:c>
      <x:c r="AO151" s="13" t="str">
        <x:v>Прогноз 30 дней 0.08; остаток 0; поступления в срок 0; нехватка 1; заказ с учётом MOQ 1 шт. Остаток на начало сентября: требуется актуализация.</x:v>
      </x:c>
      <x:c r="AP151" s="13" t="str">
        <x:v>["blank_stock_assumed_zero", "category_missing", "daily_stockout_data_missing", "new_order_lead_time_unknown", "reservations_unknown", "stale_stock"]</x:v>
      </x:c>
      <x:c r="AQ151" s="10" t="str">
        <x:v>IEK:130600203_</x:v>
      </x:c>
      <x:c r="AR151" s="24" t="n">
        <x:v>1</x:v>
      </x:c>
      <x:c r="AS151" s="24" t="n">
        <x:f>MAX(0,ROUNDUP(MAX(0,AF151-AG151-AH151)/AR151-0.000000001,0)*AR151)</x:f>
        <x:v>1</x:v>
      </x:c>
      <x:c r="AT151" s="24" t="n">
        <x:v>0.07816264608097741</x:v>
      </x:c>
    </x:row>
    <x:row r="152" ht="64" customHeight="1">
      <x:c r="A152" s="11" t="str">
        <x:v>IEK</x:v>
      </x:c>
      <x:c r="B152" s="33" t="str">
        <x:v>130600205_</x:v>
      </x:c>
      <x:c r="C152" s="33"/>
      <x:c r="D152" s="12" t="str">
        <x:v>Реле общ. назнач. OGR-1 2C 24В DC с LED и тест. кнопкой ONI OGR-1-2C-DC24V-L-B NEW</x:v>
      </x:c>
      <x:c r="E152" s="11" t="str">
        <x:v>шт</x:v>
      </x:c>
      <x:c r="F152" s="35" t="n">
        <x:f>AS152</x:f>
        <x:v>27</x:v>
      </x:c>
      <x:c r="G152" s="20" t="str">
        <x:f>IF(J152="Рассчитано",V152*(1-R152/100)-W152-P152-Q152,"н/д")</x:f>
        <x:v>н/д</x:v>
      </x:c>
      <x:c r="H152" s="12" t="str">
        <x:v>Высокий</x:v>
      </x:c>
      <x:c r="I152" s="12" t="str">
        <x:v>Критический</x:v>
      </x:c>
      <x:c r="J152" s="12" t="str">
        <x:f>IF(L152="","Укажите валюту",IF(NOT(ISNUMBER(K152)),"Укажите объём",IF(K152&lt;=0,"Укажите объём",IF(COUNT(M152:O152)&lt;3,"Нужны цены",IF(COUNT(P152:R152)&lt;3,"Нужны расходы",IF(OR(M152&lt;0,N152&lt;0,O152&lt;0,O152&gt;100,P152&lt;0,Q152&lt;0,R152&lt;0,R152&gt;100),"Проверьте значения","Рассчитано"))))))</x:f>
        <x:v>Нужны цены</x:v>
      </x:c>
      <x:c r="K152" s="36" t="n">
        <x:v>27</x:v>
      </x:c>
      <x:c r="L152" s="19" t="str">
        <x:v>KZT</x:v>
      </x:c>
      <x:c r="M152" s="22"/>
      <x:c r="N152" s="22"/>
      <x:c r="O152" s="28"/>
      <x:c r="P152" s="22"/>
      <x:c r="Q152" s="22"/>
      <x:c r="R152" s="28"/>
      <x:c r="S152" s="22"/>
      <x:c r="T152" s="35" t="n">
        <x:f>MIN(K152,AT152)</x:f>
        <x:v>26.431903829725382</x:v>
      </x:c>
      <x:c r="U152" s="20" t="str">
        <x:f>IF(J152="Рассчитано",N152*(1-O152/100),"н/д")</x:f>
        <x:v>н/д</x:v>
      </x:c>
      <x:c r="V152" s="20" t="str">
        <x:f>IF(J152="Рассчитано",T152*U152,"н/д")</x:f>
        <x:v>н/д</x:v>
      </x:c>
      <x:c r="W152" s="20" t="str">
        <x:f>IF(J152="Рассчитано",T152*M152,"н/д")</x:f>
        <x:v>н/д</x:v>
      </x:c>
      <x:c r="X152" s="20" t="str">
        <x:f>IF(J152="Рассчитано",V152-W152,"н/д")</x:f>
        <x:v>н/д</x:v>
      </x:c>
      <x:c r="Y152" s="26" t="str">
        <x:f>IF(J152="Рассчитано",IF(V152&gt;0,G152/V152,"н/д"),"н/д")</x:f>
        <x:v>н/д</x:v>
      </x:c>
      <x:c r="Z152" s="20" t="str">
        <x:f>IF(J152="Рассчитано",K152*M152,"н/д")</x:f>
        <x:v>н/д</x:v>
      </x:c>
      <x:c r="AA152" s="20" t="str">
        <x:f>IF(J152="Рассчитано",(K152-T152)*M152,"н/д")</x:f>
        <x:v>н/д</x:v>
      </x:c>
      <x:c r="AB152" s="20" t="str">
        <x:f>IF(AND(J152="Рассчитано",ISNUMBER(S152)),K152*(S152-M152),"н/д")</x:f>
        <x:v>н/д</x:v>
      </x:c>
      <x:c r="AC152" s="20" t="str">
        <x:f>IF(AND(J152="Рассчитано",T152&gt;0,R152&lt;100),(W152+P152+Q152)/(T152*(1-R152/100)),"н/д")</x:f>
        <x:v>н/д</x:v>
      </x:c>
      <x:c r="AD152" s="11" t="str">
        <x:f>IF(ISNUMBER(G152),IF(G152&lt;0,"Убыток",IF(G152=0,"Без прибыли","Прибыль &gt; 0")),"Не оценён")</x:f>
        <x:v>Не оценён</x:v>
      </x:c>
      <x:c r="AE152" s="12" t="str">
        <x:f>IF(J152="Рассчитано","Выручка "&amp;TEXT(V152,"0.00")&amp;" - себестоимость "&amp;TEXT(W152,"0.00")&amp;" - комиссия "&amp;TEXT(V152*R152/100,"0.00")&amp;" - доставка "&amp;TEXT(P152,"0.00")&amp;" - прочие "&amp;TEXT(Q152,"0.00")&amp;" = "&amp;TEXT(G152,"0.00")&amp;" "&amp;L152,"Введите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2" s="23" t="n">
        <x:v>26.431903829725382</x:v>
      </x:c>
      <x:c r="AG152" s="35" t="n">
        <x:v>0</x:v>
      </x:c>
      <x:c r="AH152" s="35" t="n">
        <x:v>0</x:v>
      </x:c>
      <x:c r="AI152" s="29" t="n">
        <x:v>46266</x:v>
      </x:c>
      <x:c r="AJ152" s="35"/>
      <x:c r="AK152" s="11" t="str">
        <x:v>неизвестно</x:v>
      </x:c>
      <x:c r="AL152" s="31" t="n">
        <x:v>0</x:v>
      </x:c>
      <x:c r="AM152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152" s="12" t="str">
        <x:v>Подтвердить наличие, срок и цену закупки</x:v>
      </x:c>
      <x:c r="AO152" s="12" t="str">
        <x:v>Прогноз 30 дней 26.43; остаток 0; поступления в срок 0; нехватка 27; заказ с учётом MOQ 27 шт. Остаток на начало сентября: требуется актуализация.</x:v>
      </x:c>
      <x:c r="AP152" s="12" t="str">
        <x:v>["blank_stock_assumed_zero", "category_missing", "daily_stockout_data_missing", "moq_missing", "new_order_lead_time_unknown", "reservations_unknown", "stale_stock", "stockout_proxy_used", "supplier_sku_missing"]</x:v>
      </x:c>
      <x:c r="AQ152" s="11" t="str">
        <x:v>IEK:130600205_</x:v>
      </x:c>
      <x:c r="AR152" s="23" t="n">
        <x:v>1</x:v>
      </x:c>
      <x:c r="AS152" s="23" t="n">
        <x:f>MAX(0,ROUNDUP(MAX(0,AF152-AG152-AH152)/AR152-0.000000001,0)*AR152)</x:f>
        <x:v>27</x:v>
      </x:c>
      <x:c r="AT152" s="23" t="n">
        <x:v>26.431903829725382</x:v>
      </x:c>
    </x:row>
    <x:row r="153" ht="64" customHeight="1">
      <x:c r="A153" s="10" t="str">
        <x:v>IEK</x:v>
      </x:c>
      <x:c r="B153" s="34" t="str">
        <x:v>130600208_</x:v>
      </x:c>
      <x:c r="C153" s="34"/>
      <x:c r="D153" s="13" t="str">
        <x:v>Розетка ORS-G-2-2 для реле OGR-2 2C ONI ORS-G-2-2-G NEW</x:v>
      </x:c>
      <x:c r="E153" s="10" t="str">
        <x:v>шт</x:v>
      </x:c>
      <x:c r="F153" s="37" t="n">
        <x:f>AS153</x:f>
        <x:v>1</x:v>
      </x:c>
      <x:c r="G153" s="21" t="str">
        <x:f>IF(J153="Рассчитано",V153*(1-R153/100)-W153-P153-Q153,"н/д")</x:f>
        <x:v>н/д</x:v>
      </x:c>
      <x:c r="H153" s="13" t="str">
        <x:v>Высокий</x:v>
      </x:c>
      <x:c r="I153" s="13" t="str">
        <x:v>Критический</x:v>
      </x:c>
      <x:c r="J153" s="13" t="str">
        <x:f>IF(L153="","Укажите валюту",IF(NOT(ISNUMBER(K153)),"Укажите объём",IF(K153&lt;=0,"Укажите объём",IF(COUNT(M153:O153)&lt;3,"Нужны цены",IF(COUNT(P153:R153)&lt;3,"Нужны расходы",IF(OR(M153&lt;0,N153&lt;0,O153&lt;0,O153&gt;100,P153&lt;0,Q153&lt;0,R153&lt;0,R153&gt;100),"Проверьте значения","Рассчитано"))))))</x:f>
        <x:v>Нужны цены</x:v>
      </x:c>
      <x:c r="K153" s="36" t="n">
        <x:v>1</x:v>
      </x:c>
      <x:c r="L153" s="19" t="str">
        <x:v>KZT</x:v>
      </x:c>
      <x:c r="M153" s="22"/>
      <x:c r="N153" s="22"/>
      <x:c r="O153" s="28"/>
      <x:c r="P153" s="22"/>
      <x:c r="Q153" s="22"/>
      <x:c r="R153" s="28"/>
      <x:c r="S153" s="22"/>
      <x:c r="T153" s="37" t="n">
        <x:f>MIN(K153,AT153)</x:f>
        <x:v>0.46566228249269587</x:v>
      </x:c>
      <x:c r="U153" s="21" t="str">
        <x:f>IF(J153="Рассчитано",N153*(1-O153/100),"н/д")</x:f>
        <x:v>н/д</x:v>
      </x:c>
      <x:c r="V153" s="21" t="str">
        <x:f>IF(J153="Рассчитано",T153*U153,"н/д")</x:f>
        <x:v>н/д</x:v>
      </x:c>
      <x:c r="W153" s="21" t="str">
        <x:f>IF(J153="Рассчитано",T153*M153,"н/д")</x:f>
        <x:v>н/д</x:v>
      </x:c>
      <x:c r="X153" s="21" t="str">
        <x:f>IF(J153="Рассчитано",V153-W153,"н/д")</x:f>
        <x:v>н/д</x:v>
      </x:c>
      <x:c r="Y153" s="27" t="str">
        <x:f>IF(J153="Рассчитано",IF(V153&gt;0,G153/V153,"н/д"),"н/д")</x:f>
        <x:v>н/д</x:v>
      </x:c>
      <x:c r="Z153" s="21" t="str">
        <x:f>IF(J153="Рассчитано",K153*M153,"н/д")</x:f>
        <x:v>н/д</x:v>
      </x:c>
      <x:c r="AA153" s="21" t="str">
        <x:f>IF(J153="Рассчитано",(K153-T153)*M153,"н/д")</x:f>
        <x:v>н/д</x:v>
      </x:c>
      <x:c r="AB153" s="21" t="str">
        <x:f>IF(AND(J153="Рассчитано",ISNUMBER(S153)),K153*(S153-M153),"н/д")</x:f>
        <x:v>н/д</x:v>
      </x:c>
      <x:c r="AC153" s="21" t="str">
        <x:f>IF(AND(J153="Рассчитано",T153&gt;0,R153&lt;100),(W153+P153+Q153)/(T153*(1-R153/100)),"н/д")</x:f>
        <x:v>н/д</x:v>
      </x:c>
      <x:c r="AD153" s="10" t="str">
        <x:f>IF(ISNUMBER(G153),IF(G153&lt;0,"Убыток",IF(G153=0,"Без прибыли","Прибыль &gt; 0")),"Не оценён")</x:f>
        <x:v>Не оценён</x:v>
      </x:c>
      <x:c r="AE153" s="13" t="str">
        <x:f>IF(J153="Рассчитано","Выручка "&amp;TEXT(V153,"0.00")&amp;" - себестоимость "&amp;TEXT(W153,"0.00")&amp;" - комиссия "&amp;TEXT(V153*R153/100,"0.00")&amp;" - доставка "&amp;TEXT(P153,"0.00")&amp;" - прочие "&amp;TEXT(Q153,"0.00")&amp;" = "&amp;TEXT(G153,"0.00")&amp;" "&amp;L153,"Введите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3" s="24" t="n">
        <x:v>0.46566228249269587</x:v>
      </x:c>
      <x:c r="AG153" s="37" t="n">
        <x:v>0</x:v>
      </x:c>
      <x:c r="AH153" s="37" t="n">
        <x:v>0</x:v>
      </x:c>
      <x:c r="AI153" s="30" t="n">
        <x:v>46266</x:v>
      </x:c>
      <x:c r="AJ153" s="37"/>
      <x:c r="AK153" s="10" t="str">
        <x:v>неизвестно</x:v>
      </x:c>
      <x:c r="AL153" s="32" t="n">
        <x:v>0</x:v>
      </x:c>
      <x:c r="AM153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53" s="13" t="str">
        <x:v>Подтвердить наличие, срок и цену закупки</x:v>
      </x:c>
      <x:c r="AO153" s="13" t="str">
        <x:v>Прогноз 30 дней 0.47; остаток 0; поступления в срок 0; нехватка 1; заказ с учётом MOQ 1 шт. Остаток на начало сентября: требуется актуализация.</x:v>
      </x:c>
      <x:c r="AP153" s="13" t="str">
        <x:v>["blank_stock_assumed_zero", "category_missing", "daily_stockout_data_missing", "moq_missing", "new_order_lead_time_unknown", "reservations_unknown", "stale_stock", "supplier_sku_missing"]</x:v>
      </x:c>
      <x:c r="AQ153" s="10" t="str">
        <x:v>IEK:130600208_</x:v>
      </x:c>
      <x:c r="AR153" s="24" t="n">
        <x:v>1</x:v>
      </x:c>
      <x:c r="AS153" s="24" t="n">
        <x:f>MAX(0,ROUNDUP(MAX(0,AF153-AG153-AH153)/AR153-0.000000001,0)*AR153)</x:f>
        <x:v>1</x:v>
      </x:c>
      <x:c r="AT153" s="24" t="n">
        <x:v>0.46566228249269587</x:v>
      </x:c>
    </x:row>
    <x:row r="154" ht="64" customHeight="1">
      <x:c r="A154" s="11" t="str">
        <x:v>IEK</x:v>
      </x:c>
      <x:c r="B154" s="33" t="str">
        <x:v>130600210_</x:v>
      </x:c>
      <x:c r="C154" s="33" t="str">
        <x:v>ORM-1-2C-DC24V-L-B</x:v>
      </x:c>
      <x:c r="D154" s="12" t="str">
        <x:v>Реле интерфейсное ORM-1 2C 24В DC с LED и тест. кнопкой ONI ORM-1-2C-DC24V-L-B NEW</x:v>
      </x:c>
      <x:c r="E154" s="11" t="str">
        <x:v>шт</x:v>
      </x:c>
      <x:c r="F154" s="35" t="n">
        <x:f>IF(AS154&gt;0,MAX(AS154,AJ154),0)</x:f>
        <x:v>20</x:v>
      </x:c>
      <x:c r="G154" s="20" t="str">
        <x:f>IF(J154="Рассчитано",V154*(1-R154/100)-W154-P154-Q154,"н/д")</x:f>
        <x:v>н/д</x:v>
      </x:c>
      <x:c r="H154" s="12" t="str">
        <x:v>Высокий</x:v>
      </x:c>
      <x:c r="I154" s="12" t="str">
        <x:v>Критический</x:v>
      </x:c>
      <x:c r="J154" s="12" t="str">
        <x:f>IF(L154="","Укажите валюту",IF(NOT(ISNUMBER(K154)),"Укажите объём",IF(K154&lt;=0,"Укажите объём",IF(COUNT(M154:O154)&lt;3,"Нужны цены",IF(COUNT(P154:R154)&lt;3,"Нужны расходы",IF(OR(M154&lt;0,N154&lt;0,O154&lt;0,O154&gt;100,P154&lt;0,Q154&lt;0,R154&lt;0,R154&gt;100),"Проверьте значения","Рассчитано"))))))</x:f>
        <x:v>Нужны цены</x:v>
      </x:c>
      <x:c r="K154" s="36" t="n">
        <x:v>20</x:v>
      </x:c>
      <x:c r="L154" s="19" t="str">
        <x:v>KZT</x:v>
      </x:c>
      <x:c r="M154" s="22"/>
      <x:c r="N154" s="22"/>
      <x:c r="O154" s="28"/>
      <x:c r="P154" s="22"/>
      <x:c r="Q154" s="22"/>
      <x:c r="R154" s="28"/>
      <x:c r="S154" s="22"/>
      <x:c r="T154" s="35" t="n">
        <x:f>MIN(K154,AT154)</x:f>
        <x:v>0.07816264608097741</x:v>
      </x:c>
      <x:c r="U154" s="20" t="str">
        <x:f>IF(J154="Рассчитано",N154*(1-O154/100),"н/д")</x:f>
        <x:v>н/д</x:v>
      </x:c>
      <x:c r="V154" s="20" t="str">
        <x:f>IF(J154="Рассчитано",T154*U154,"н/д")</x:f>
        <x:v>н/д</x:v>
      </x:c>
      <x:c r="W154" s="20" t="str">
        <x:f>IF(J154="Рассчитано",T154*M154,"н/д")</x:f>
        <x:v>н/д</x:v>
      </x:c>
      <x:c r="X154" s="20" t="str">
        <x:f>IF(J154="Рассчитано",V154-W154,"н/д")</x:f>
        <x:v>н/д</x:v>
      </x:c>
      <x:c r="Y154" s="26" t="str">
        <x:f>IF(J154="Рассчитано",IF(V154&gt;0,G154/V154,"н/д"),"н/д")</x:f>
        <x:v>н/д</x:v>
      </x:c>
      <x:c r="Z154" s="20" t="str">
        <x:f>IF(J154="Рассчитано",K154*M154,"н/д")</x:f>
        <x:v>н/д</x:v>
      </x:c>
      <x:c r="AA154" s="20" t="str">
        <x:f>IF(J154="Рассчитано",(K154-T154)*M154,"н/д")</x:f>
        <x:v>н/д</x:v>
      </x:c>
      <x:c r="AB154" s="20" t="str">
        <x:f>IF(AND(J154="Рассчитано",ISNUMBER(S154)),K154*(S154-M154),"н/д")</x:f>
        <x:v>н/д</x:v>
      </x:c>
      <x:c r="AC154" s="20" t="str">
        <x:f>IF(AND(J154="Рассчитано",T154&gt;0,R154&lt;100),(W154+P154+Q154)/(T154*(1-R154/100)),"н/д")</x:f>
        <x:v>н/д</x:v>
      </x:c>
      <x:c r="AD154" s="11" t="str">
        <x:f>IF(ISNUMBER(G154),IF(G154&lt;0,"Убыток",IF(G154=0,"Без прибыли","Прибыль &gt; 0")),"Не оценён")</x:f>
        <x:v>Не оценён</x:v>
      </x:c>
      <x:c r="AE154" s="12" t="str">
        <x:f>IF(J154="Рассчитано","Выручка "&amp;TEXT(V154,"0.00")&amp;" - себестоимость "&amp;TEXT(W154,"0.00")&amp;" - комиссия "&amp;TEXT(V154*R154/100,"0.00")&amp;" - доставка "&amp;TEXT(P154,"0.00")&amp;" - прочие "&amp;TEXT(Q154,"0.00")&amp;" = "&amp;TEXT(G154,"0.00")&amp;" "&amp;L154,"Введите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4" s="23" t="n">
        <x:v>0.07816264608097741</x:v>
      </x:c>
      <x:c r="AG154" s="35" t="n">
        <x:v>0</x:v>
      </x:c>
      <x:c r="AH154" s="35" t="n">
        <x:v>0</x:v>
      </x:c>
      <x:c r="AI154" s="29" t="n">
        <x:v>46266</x:v>
      </x:c>
      <x:c r="AJ154" s="35" t="n">
        <x:v>20</x:v>
      </x:c>
      <x:c r="AK154" s="11" t="str">
        <x:v>минимум</x:v>
      </x:c>
      <x:c r="AL154" s="31" t="n">
        <x:v>0</x:v>
      </x:c>
      <x:c r="AM154" s="12" t="str">
        <x:v>Остаток на начало сентября; Резервы неизвестны; Нет ежедневных данных доступности. Нет запаса</x:v>
      </x:c>
      <x:c r="AN154" s="12" t="str">
        <x:v>Подтвердить наличие, срок и цену закупки</x:v>
      </x:c>
      <x:c r="AO154" s="12" t="str">
        <x:v>Прогноз 30 дней 0.08; остаток 0; поступления в срок 0; нехватка 1; заказ с учётом MOQ 20 шт. Остаток на начало сентября: требуется актуализация.</x:v>
      </x:c>
      <x:c r="AP154" s="12" t="str">
        <x:v>["blank_stock_assumed_zero", "category_missing", "daily_stockout_data_missing", "new_order_lead_time_unknown", "reservations_unknown", "stale_stock"]</x:v>
      </x:c>
      <x:c r="AQ154" s="11" t="str">
        <x:v>IEK:130600210_</x:v>
      </x:c>
      <x:c r="AR154" s="23" t="n">
        <x:v>1</x:v>
      </x:c>
      <x:c r="AS154" s="23" t="n">
        <x:f>MAX(0,ROUNDUP(MAX(0,AF154-AG154-AH154)/AR154-0.000000001,0)*AR154)</x:f>
        <x:v>1</x:v>
      </x:c>
      <x:c r="AT154" s="23" t="n">
        <x:v>0.07816264608097741</x:v>
      </x:c>
    </x:row>
    <x:row r="155" ht="64" customHeight="1">
      <x:c r="A155" s="10" t="str">
        <x:v>IEK</x:v>
      </x:c>
      <x:c r="B155" s="34" t="str">
        <x:v>130600212_</x:v>
      </x:c>
      <x:c r="C155" s="34"/>
      <x:c r="D155" s="13" t="str">
        <x:v>Реле общ. назнач. OGR-2 4C 24В DC ONI OGR-2-4C-DC24V NEW</x:v>
      </x:c>
      <x:c r="E155" s="10" t="str">
        <x:v>шт</x:v>
      </x:c>
      <x:c r="F155" s="37" t="n">
        <x:f>AS155</x:f>
        <x:v>2</x:v>
      </x:c>
      <x:c r="G155" s="21" t="str">
        <x:f>IF(J155="Рассчитано",V155*(1-R155/100)-W155-P155-Q155,"н/д")</x:f>
        <x:v>н/д</x:v>
      </x:c>
      <x:c r="H155" s="13" t="str">
        <x:v>Высокий</x:v>
      </x:c>
      <x:c r="I155" s="13" t="str">
        <x:v>Критический</x:v>
      </x:c>
      <x:c r="J155" s="13" t="str">
        <x:f>IF(L155="","Укажите валюту",IF(NOT(ISNUMBER(K155)),"Укажите объём",IF(K155&lt;=0,"Укажите объём",IF(COUNT(M155:O155)&lt;3,"Нужны цены",IF(COUNT(P155:R155)&lt;3,"Нужны расходы",IF(OR(M155&lt;0,N155&lt;0,O155&lt;0,O155&gt;100,P155&lt;0,Q155&lt;0,R155&lt;0,R155&gt;100),"Проверьте значения","Рассчитано"))))))</x:f>
        <x:v>Нужны цены</x:v>
      </x:c>
      <x:c r="K155" s="36" t="n">
        <x:v>2</x:v>
      </x:c>
      <x:c r="L155" s="19" t="str">
        <x:v>KZT</x:v>
      </x:c>
      <x:c r="M155" s="22"/>
      <x:c r="N155" s="22"/>
      <x:c r="O155" s="28"/>
      <x:c r="P155" s="22"/>
      <x:c r="Q155" s="22"/>
      <x:c r="R155" s="28"/>
      <x:c r="S155" s="22"/>
      <x:c r="T155" s="37" t="n">
        <x:f>MIN(K155,AT155)</x:f>
        <x:v>1.4236315039642298</x:v>
      </x:c>
      <x:c r="U155" s="21" t="str">
        <x:f>IF(J155="Рассчитано",N155*(1-O155/100),"н/д")</x:f>
        <x:v>н/д</x:v>
      </x:c>
      <x:c r="V155" s="21" t="str">
        <x:f>IF(J155="Рассчитано",T155*U155,"н/д")</x:f>
        <x:v>н/д</x:v>
      </x:c>
      <x:c r="W155" s="21" t="str">
        <x:f>IF(J155="Рассчитано",T155*M155,"н/д")</x:f>
        <x:v>н/д</x:v>
      </x:c>
      <x:c r="X155" s="21" t="str">
        <x:f>IF(J155="Рассчитано",V155-W155,"н/д")</x:f>
        <x:v>н/д</x:v>
      </x:c>
      <x:c r="Y155" s="27" t="str">
        <x:f>IF(J155="Рассчитано",IF(V155&gt;0,G155/V155,"н/д"),"н/д")</x:f>
        <x:v>н/д</x:v>
      </x:c>
      <x:c r="Z155" s="21" t="str">
        <x:f>IF(J155="Рассчитано",K155*M155,"н/д")</x:f>
        <x:v>н/д</x:v>
      </x:c>
      <x:c r="AA155" s="21" t="str">
        <x:f>IF(J155="Рассчитано",(K155-T155)*M155,"н/д")</x:f>
        <x:v>н/д</x:v>
      </x:c>
      <x:c r="AB155" s="21" t="str">
        <x:f>IF(AND(J155="Рассчитано",ISNUMBER(S155)),K155*(S155-M155),"н/д")</x:f>
        <x:v>н/д</x:v>
      </x:c>
      <x:c r="AC155" s="21" t="str">
        <x:f>IF(AND(J155="Рассчитано",T155&gt;0,R155&lt;100),(W155+P155+Q155)/(T155*(1-R155/100)),"н/д")</x:f>
        <x:v>н/д</x:v>
      </x:c>
      <x:c r="AD155" s="10" t="str">
        <x:f>IF(ISNUMBER(G155),IF(G155&lt;0,"Убыток",IF(G155=0,"Без прибыли","Прибыль &gt; 0")),"Не оценён")</x:f>
        <x:v>Не оценён</x:v>
      </x:c>
      <x:c r="AE155" s="13" t="str">
        <x:f>IF(J155="Рассчитано","Выручка "&amp;TEXT(V155,"0.00")&amp;" - себестоимость "&amp;TEXT(W155,"0.00")&amp;" - комиссия "&amp;TEXT(V155*R155/100,"0.00")&amp;" - доставка "&amp;TEXT(P155,"0.00")&amp;" - прочие "&amp;TEXT(Q155,"0.00")&amp;" = "&amp;TEXT(G155,"0.00")&amp;" "&amp;L155,"Введите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5" s="24" t="n">
        <x:v>1.4236315039642298</x:v>
      </x:c>
      <x:c r="AG155" s="37" t="n">
        <x:v>0</x:v>
      </x:c>
      <x:c r="AH155" s="37" t="n">
        <x:v>0</x:v>
      </x:c>
      <x:c r="AI155" s="30" t="n">
        <x:v>46266</x:v>
      </x:c>
      <x:c r="AJ155" s="37"/>
      <x:c r="AK155" s="10" t="str">
        <x:v>неизвестно</x:v>
      </x:c>
      <x:c r="AL155" s="32" t="n">
        <x:v>0</x:v>
      </x:c>
      <x:c r="AM155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55" s="13" t="str">
        <x:v>Подтвердить наличие, срок и цену закупки</x:v>
      </x:c>
      <x:c r="AO155" s="13" t="str">
        <x:v>Прогноз 30 дней 1.42; остаток 0; поступления в срок 0; нехватка 2; заказ с учётом MOQ 2 шт. Остаток на начало сентября: требуется актуализация.</x:v>
      </x:c>
      <x:c r="AP155" s="13" t="str">
        <x:v>["blank_stock_assumed_zero", "category_missing", "daily_stockout_data_missing", "moq_missing", "new_order_lead_time_unknown", "reservations_unknown", "stale_stock", "supplier_sku_missing"]</x:v>
      </x:c>
      <x:c r="AQ155" s="10" t="str">
        <x:v>IEK:130600212_</x:v>
      </x:c>
      <x:c r="AR155" s="24" t="n">
        <x:v>1</x:v>
      </x:c>
      <x:c r="AS155" s="24" t="n">
        <x:f>MAX(0,ROUNDUP(MAX(0,AF155-AG155-AH155)/AR155-0.000000001,0)*AR155)</x:f>
        <x:v>2</x:v>
      </x:c>
      <x:c r="AT155" s="24" t="n">
        <x:v>1.4236315039642298</x:v>
      </x:c>
    </x:row>
    <x:row r="156" ht="64" customHeight="1">
      <x:c r="A156" s="11" t="str">
        <x:v>IEK</x:v>
      </x:c>
      <x:c r="B156" s="33" t="str">
        <x:v>130600213_</x:v>
      </x:c>
      <x:c r="C156" s="33"/>
      <x:c r="D156" s="12" t="str">
        <x:v>Реле общ. назнач. OGR-2 4C 220В AC ONI OGR-2-4C-AC220V NEW</x:v>
      </x:c>
      <x:c r="E156" s="11" t="str">
        <x:v>шт</x:v>
      </x:c>
      <x:c r="F156" s="35" t="n">
        <x:f>AS156</x:f>
        <x:v>1</x:v>
      </x:c>
      <x:c r="G156" s="20" t="str">
        <x:f>IF(J156="Рассчитано",V156*(1-R156/100)-W156-P156-Q156,"н/д")</x:f>
        <x:v>н/д</x:v>
      </x:c>
      <x:c r="H156" s="12" t="str">
        <x:v>Высокий</x:v>
      </x:c>
      <x:c r="I156" s="12" t="str">
        <x:v>Критический</x:v>
      </x:c>
      <x:c r="J156" s="12" t="str">
        <x:f>IF(L156="","Укажите валюту",IF(NOT(ISNUMBER(K156)),"Укажите объём",IF(K156&lt;=0,"Укажите объём",IF(COUNT(M156:O156)&lt;3,"Нужны цены",IF(COUNT(P156:R156)&lt;3,"Нужны расходы",IF(OR(M156&lt;0,N156&lt;0,O156&lt;0,O156&gt;100,P156&lt;0,Q156&lt;0,R156&lt;0,R156&gt;100),"Проверьте значения","Рассчитано"))))))</x:f>
        <x:v>Нужны цены</x:v>
      </x:c>
      <x:c r="K156" s="36" t="n">
        <x:v>1</x:v>
      </x:c>
      <x:c r="L156" s="19" t="str">
        <x:v>KZT</x:v>
      </x:c>
      <x:c r="M156" s="22"/>
      <x:c r="N156" s="22"/>
      <x:c r="O156" s="28"/>
      <x:c r="P156" s="22"/>
      <x:c r="Q156" s="22"/>
      <x:c r="R156" s="28"/>
      <x:c r="S156" s="22"/>
      <x:c r="T156" s="35" t="n">
        <x:f>MIN(K156,AT156)</x:f>
        <x:v>0.05128797309719172</x:v>
      </x:c>
      <x:c r="U156" s="20" t="str">
        <x:f>IF(J156="Рассчитано",N156*(1-O156/100),"н/д")</x:f>
        <x:v>н/д</x:v>
      </x:c>
      <x:c r="V156" s="20" t="str">
        <x:f>IF(J156="Рассчитано",T156*U156,"н/д")</x:f>
        <x:v>н/д</x:v>
      </x:c>
      <x:c r="W156" s="20" t="str">
        <x:f>IF(J156="Рассчитано",T156*M156,"н/д")</x:f>
        <x:v>н/д</x:v>
      </x:c>
      <x:c r="X156" s="20" t="str">
        <x:f>IF(J156="Рассчитано",V156-W156,"н/д")</x:f>
        <x:v>н/д</x:v>
      </x:c>
      <x:c r="Y156" s="26" t="str">
        <x:f>IF(J156="Рассчитано",IF(V156&gt;0,G156/V156,"н/д"),"н/д")</x:f>
        <x:v>н/д</x:v>
      </x:c>
      <x:c r="Z156" s="20" t="str">
        <x:f>IF(J156="Рассчитано",K156*M156,"н/д")</x:f>
        <x:v>н/д</x:v>
      </x:c>
      <x:c r="AA156" s="20" t="str">
        <x:f>IF(J156="Рассчитано",(K156-T156)*M156,"н/д")</x:f>
        <x:v>н/д</x:v>
      </x:c>
      <x:c r="AB156" s="20" t="str">
        <x:f>IF(AND(J156="Рассчитано",ISNUMBER(S156)),K156*(S156-M156),"н/д")</x:f>
        <x:v>н/д</x:v>
      </x:c>
      <x:c r="AC156" s="20" t="str">
        <x:f>IF(AND(J156="Рассчитано",T156&gt;0,R156&lt;100),(W156+P156+Q156)/(T156*(1-R156/100)),"н/д")</x:f>
        <x:v>н/д</x:v>
      </x:c>
      <x:c r="AD156" s="11" t="str">
        <x:f>IF(ISNUMBER(G156),IF(G156&lt;0,"Убыток",IF(G156=0,"Без прибыли","Прибыль &gt; 0")),"Не оценён")</x:f>
        <x:v>Не оценён</x:v>
      </x:c>
      <x:c r="AE156" s="12" t="str">
        <x:f>IF(J156="Рассчитано","Выручка "&amp;TEXT(V156,"0.00")&amp;" - себестоимость "&amp;TEXT(W156,"0.00")&amp;" - комиссия "&amp;TEXT(V156*R156/100,"0.00")&amp;" - доставка "&amp;TEXT(P156,"0.00")&amp;" - прочие "&amp;TEXT(Q156,"0.00")&amp;" = "&amp;TEXT(G156,"0.00")&amp;" "&amp;L156,"Введите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6" s="23" t="n">
        <x:v>0.05128797309719172</x:v>
      </x:c>
      <x:c r="AG156" s="35" t="n">
        <x:v>0</x:v>
      </x:c>
      <x:c r="AH156" s="35" t="n">
        <x:v>0</x:v>
      </x:c>
      <x:c r="AI156" s="29" t="n">
        <x:v>46266</x:v>
      </x:c>
      <x:c r="AJ156" s="35"/>
      <x:c r="AK156" s="11" t="str">
        <x:v>неизвестно</x:v>
      </x:c>
      <x:c r="AL156" s="31" t="n">
        <x:v>0</x:v>
      </x:c>
      <x:c r="AM156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56" s="12" t="str">
        <x:v>Подтвердить наличие, срок и цену закупки</x:v>
      </x:c>
      <x:c r="AO156" s="12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156" s="12" t="str">
        <x:v>["blank_stock_assumed_zero", "category_missing", "daily_stockout_data_missing", "moq_missing", "new_order_lead_time_unknown", "reservations_unknown", "stale_stock", "supplier_sku_missing"]</x:v>
      </x:c>
      <x:c r="AQ156" s="11" t="str">
        <x:v>IEK:130600213_</x:v>
      </x:c>
      <x:c r="AR156" s="23" t="n">
        <x:v>1</x:v>
      </x:c>
      <x:c r="AS156" s="23" t="n">
        <x:f>MAX(0,ROUNDUP(MAX(0,AF156-AG156-AH156)/AR156-0.000000001,0)*AR156)</x:f>
        <x:v>1</x:v>
      </x:c>
      <x:c r="AT156" s="23" t="n">
        <x:v>0.05128797309719172</x:v>
      </x:c>
    </x:row>
    <x:row r="157" ht="64" customHeight="1">
      <x:c r="A157" s="10" t="str">
        <x:v>IEK</x:v>
      </x:c>
      <x:c r="B157" s="34" t="str">
        <x:v>130600214_</x:v>
      </x:c>
      <x:c r="C157" s="34"/>
      <x:c r="D157" s="13" t="str">
        <x:v>Реле общ. назнач. OGR-2 2C 24В DC ONI OGR-2-2C-DC24V NEW</x:v>
      </x:c>
      <x:c r="E157" s="10" t="str">
        <x:v>шт</x:v>
      </x:c>
      <x:c r="F157" s="37" t="n">
        <x:f>AS157</x:f>
        <x:v>1</x:v>
      </x:c>
      <x:c r="G157" s="21" t="str">
        <x:f>IF(J157="Рассчитано",V157*(1-R157/100)-W157-P157-Q157,"н/д")</x:f>
        <x:v>н/д</x:v>
      </x:c>
      <x:c r="H157" s="13" t="str">
        <x:v>Высокий</x:v>
      </x:c>
      <x:c r="I157" s="13" t="str">
        <x:v>Критический</x:v>
      </x:c>
      <x:c r="J157" s="13" t="str">
        <x:f>IF(L157="","Укажите валюту",IF(NOT(ISNUMBER(K157)),"Укажите объём",IF(K157&lt;=0,"Укажите объём",IF(COUNT(M157:O157)&lt;3,"Нужны цены",IF(COUNT(P157:R157)&lt;3,"Нужны расходы",IF(OR(M157&lt;0,N157&lt;0,O157&lt;0,O157&gt;100,P157&lt;0,Q157&lt;0,R157&lt;0,R157&gt;100),"Проверьте значения","Рассчитано"))))))</x:f>
        <x:v>Нужны цены</x:v>
      </x:c>
      <x:c r="K157" s="36" t="n">
        <x:v>1</x:v>
      </x:c>
      <x:c r="L157" s="19" t="str">
        <x:v>KZT</x:v>
      </x:c>
      <x:c r="M157" s="22"/>
      <x:c r="N157" s="22"/>
      <x:c r="O157" s="28"/>
      <x:c r="P157" s="22"/>
      <x:c r="Q157" s="22"/>
      <x:c r="R157" s="28"/>
      <x:c r="S157" s="22"/>
      <x:c r="T157" s="37" t="n">
        <x:f>MIN(K157,AT157)</x:f>
        <x:v>0.32428012145895047</x:v>
      </x:c>
      <x:c r="U157" s="21" t="str">
        <x:f>IF(J157="Рассчитано",N157*(1-O157/100),"н/д")</x:f>
        <x:v>н/д</x:v>
      </x:c>
      <x:c r="V157" s="21" t="str">
        <x:f>IF(J157="Рассчитано",T157*U157,"н/д")</x:f>
        <x:v>н/д</x:v>
      </x:c>
      <x:c r="W157" s="21" t="str">
        <x:f>IF(J157="Рассчитано",T157*M157,"н/д")</x:f>
        <x:v>н/д</x:v>
      </x:c>
      <x:c r="X157" s="21" t="str">
        <x:f>IF(J157="Рассчитано",V157-W157,"н/д")</x:f>
        <x:v>н/д</x:v>
      </x:c>
      <x:c r="Y157" s="27" t="str">
        <x:f>IF(J157="Рассчитано",IF(V157&gt;0,G157/V157,"н/д"),"н/д")</x:f>
        <x:v>н/д</x:v>
      </x:c>
      <x:c r="Z157" s="21" t="str">
        <x:f>IF(J157="Рассчитано",K157*M157,"н/д")</x:f>
        <x:v>н/д</x:v>
      </x:c>
      <x:c r="AA157" s="21" t="str">
        <x:f>IF(J157="Рассчитано",(K157-T157)*M157,"н/д")</x:f>
        <x:v>н/д</x:v>
      </x:c>
      <x:c r="AB157" s="21" t="str">
        <x:f>IF(AND(J157="Рассчитано",ISNUMBER(S157)),K157*(S157-M157),"н/д")</x:f>
        <x:v>н/д</x:v>
      </x:c>
      <x:c r="AC157" s="21" t="str">
        <x:f>IF(AND(J157="Рассчитано",T157&gt;0,R157&lt;100),(W157+P157+Q157)/(T157*(1-R157/100)),"н/д")</x:f>
        <x:v>н/д</x:v>
      </x:c>
      <x:c r="AD157" s="10" t="str">
        <x:f>IF(ISNUMBER(G157),IF(G157&lt;0,"Убыток",IF(G157=0,"Без прибыли","Прибыль &gt; 0")),"Не оценён")</x:f>
        <x:v>Не оценён</x:v>
      </x:c>
      <x:c r="AE157" s="13" t="str">
        <x:f>IF(J157="Рассчитано","Выручка "&amp;TEXT(V157,"0.00")&amp;" - себестоимость "&amp;TEXT(W157,"0.00")&amp;" - комиссия "&amp;TEXT(V157*R157/100,"0.00")&amp;" - доставка "&amp;TEXT(P157,"0.00")&amp;" - прочие "&amp;TEXT(Q157,"0.00")&amp;" = "&amp;TEXT(G157,"0.00")&amp;" "&amp;L157,"Введите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7" s="24" t="n">
        <x:v>0.32428012145895047</x:v>
      </x:c>
      <x:c r="AG157" s="37" t="n">
        <x:v>0</x:v>
      </x:c>
      <x:c r="AH157" s="37" t="n">
        <x:v>0</x:v>
      </x:c>
      <x:c r="AI157" s="30" t="n">
        <x:v>46266</x:v>
      </x:c>
      <x:c r="AJ157" s="37"/>
      <x:c r="AK157" s="10" t="str">
        <x:v>неизвестно</x:v>
      </x:c>
      <x:c r="AL157" s="32" t="n">
        <x:v>0</x:v>
      </x:c>
      <x:c r="AM157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57" s="13" t="str">
        <x:v>Подтвердить наличие, срок и цену закупки</x:v>
      </x:c>
      <x:c r="AO157" s="13" t="str">
        <x:v>Прогноз 30 дней 0.32; остаток 0; поступления в срок 0; нехватка 1; заказ с учётом MOQ 1 шт. Остаток на начало сентября: требуется актуализация.</x:v>
      </x:c>
      <x:c r="AP157" s="13" t="str">
        <x:v>["blank_stock_assumed_zero", "category_missing", "daily_stockout_data_missing", "moq_missing", "new_order_lead_time_unknown", "reservations_unknown", "stale_stock", "supplier_sku_missing"]</x:v>
      </x:c>
      <x:c r="AQ157" s="10" t="str">
        <x:v>IEK:130600214_</x:v>
      </x:c>
      <x:c r="AR157" s="24" t="n">
        <x:v>1</x:v>
      </x:c>
      <x:c r="AS157" s="24" t="n">
        <x:f>MAX(0,ROUNDUP(MAX(0,AF157-AG157-AH157)/AR157-0.000000001,0)*AR157)</x:f>
        <x:v>1</x:v>
      </x:c>
      <x:c r="AT157" s="24" t="n">
        <x:v>0.32428012145895047</x:v>
      </x:c>
    </x:row>
    <x:row r="158" ht="64" customHeight="1">
      <x:c r="A158" s="11" t="str">
        <x:v>IEK</x:v>
      </x:c>
      <x:c r="B158" s="33" t="str">
        <x:v>130600216_</x:v>
      </x:c>
      <x:c r="C158" s="33" t="str">
        <x:v>OIR-316-ACDC24V</x:v>
      </x:c>
      <x:c r="D158" s="12" t="str">
        <x:v>Реле промежут. OIR 3 конт. 16А 24В AC/DC ИЭК OIR-316-ACDC24V NEW</x:v>
      </x:c>
      <x:c r="E158" s="11" t="str">
        <x:v>шт</x:v>
      </x:c>
      <x:c r="F158" s="35" t="n">
        <x:f>IF(AS158&gt;0,MAX(AS158,AJ158),0)</x:f>
        <x:v>1</x:v>
      </x:c>
      <x:c r="G158" s="20" t="str">
        <x:f>IF(J158="Рассчитано",V158*(1-R158/100)-W158-P158-Q158,"н/д")</x:f>
        <x:v>н/д</x:v>
      </x:c>
      <x:c r="H158" s="12" t="str">
        <x:v>Высокий</x:v>
      </x:c>
      <x:c r="I158" s="12" t="str">
        <x:v>Критический</x:v>
      </x:c>
      <x:c r="J158" s="12" t="str">
        <x:f>IF(L158="","Укажите валюту",IF(NOT(ISNUMBER(K158)),"Укажите объём",IF(K158&lt;=0,"Укажите объём",IF(COUNT(M158:O158)&lt;3,"Нужны цены",IF(COUNT(P158:R158)&lt;3,"Нужны расходы",IF(OR(M158&lt;0,N158&lt;0,O158&lt;0,O158&gt;100,P158&lt;0,Q158&lt;0,R158&lt;0,R158&gt;100),"Проверьте значения","Рассчитано"))))))</x:f>
        <x:v>Нужны цены</x:v>
      </x:c>
      <x:c r="K158" s="36" t="n">
        <x:v>1</x:v>
      </x:c>
      <x:c r="L158" s="19" t="str">
        <x:v>KZT</x:v>
      </x:c>
      <x:c r="M158" s="22"/>
      <x:c r="N158" s="22"/>
      <x:c r="O158" s="28"/>
      <x:c r="P158" s="22"/>
      <x:c r="Q158" s="22"/>
      <x:c r="R158" s="28"/>
      <x:c r="S158" s="22"/>
      <x:c r="T158" s="35" t="n">
        <x:f>MIN(K158,AT158)</x:f>
        <x:v>0.037954485469607675</x:v>
      </x:c>
      <x:c r="U158" s="20" t="str">
        <x:f>IF(J158="Рассчитано",N158*(1-O158/100),"н/д")</x:f>
        <x:v>н/д</x:v>
      </x:c>
      <x:c r="V158" s="20" t="str">
        <x:f>IF(J158="Рассчитано",T158*U158,"н/д")</x:f>
        <x:v>н/д</x:v>
      </x:c>
      <x:c r="W158" s="20" t="str">
        <x:f>IF(J158="Рассчитано",T158*M158,"н/д")</x:f>
        <x:v>н/д</x:v>
      </x:c>
      <x:c r="X158" s="20" t="str">
        <x:f>IF(J158="Рассчитано",V158-W158,"н/д")</x:f>
        <x:v>н/д</x:v>
      </x:c>
      <x:c r="Y158" s="26" t="str">
        <x:f>IF(J158="Рассчитано",IF(V158&gt;0,G158/V158,"н/д"),"н/д")</x:f>
        <x:v>н/д</x:v>
      </x:c>
      <x:c r="Z158" s="20" t="str">
        <x:f>IF(J158="Рассчитано",K158*M158,"н/д")</x:f>
        <x:v>н/д</x:v>
      </x:c>
      <x:c r="AA158" s="20" t="str">
        <x:f>IF(J158="Рассчитано",(K158-T158)*M158,"н/д")</x:f>
        <x:v>н/д</x:v>
      </x:c>
      <x:c r="AB158" s="20" t="str">
        <x:f>IF(AND(J158="Рассчитано",ISNUMBER(S158)),K158*(S158-M158),"н/д")</x:f>
        <x:v>н/д</x:v>
      </x:c>
      <x:c r="AC158" s="20" t="str">
        <x:f>IF(AND(J158="Рассчитано",T158&gt;0,R158&lt;100),(W158+P158+Q158)/(T158*(1-R158/100)),"н/д")</x:f>
        <x:v>н/д</x:v>
      </x:c>
      <x:c r="AD158" s="11" t="str">
        <x:f>IF(ISNUMBER(G158),IF(G158&lt;0,"Убыток",IF(G158=0,"Без прибыли","Прибыль &gt; 0")),"Не оценён")</x:f>
        <x:v>Не оценён</x:v>
      </x:c>
      <x:c r="AE158" s="12" t="str">
        <x:f>IF(J158="Рассчитано","Выручка "&amp;TEXT(V158,"0.00")&amp;" - себестоимость "&amp;TEXT(W158,"0.00")&amp;" - комиссия "&amp;TEXT(V158*R158/100,"0.00")&amp;" - доставка "&amp;TEXT(P158,"0.00")&amp;" - прочие "&amp;TEXT(Q158,"0.00")&amp;" = "&amp;TEXT(G158,"0.00")&amp;" "&amp;L158,"Введите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8" s="23" t="n">
        <x:v>0.037954485469607675</x:v>
      </x:c>
      <x:c r="AG158" s="35" t="n">
        <x:v>0</x:v>
      </x:c>
      <x:c r="AH158" s="35" t="n">
        <x:v>0</x:v>
      </x:c>
      <x:c r="AI158" s="29" t="n">
        <x:v>46266</x:v>
      </x:c>
      <x:c r="AJ158" s="35" t="n">
        <x:v>1</x:v>
      </x:c>
      <x:c r="AK158" s="11" t="str">
        <x:v>минимум</x:v>
      </x:c>
      <x:c r="AL158" s="31" t="n">
        <x:v>0</x:v>
      </x:c>
      <x:c r="AM158" s="12" t="str">
        <x:v>Остаток на начало сентября; Резервы неизвестны; Нет ежедневных данных доступности. Нет запаса</x:v>
      </x:c>
      <x:c r="AN158" s="12" t="str">
        <x:v>Подтвердить наличие, срок и цену закупки</x:v>
      </x:c>
      <x:c r="AO158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158" s="12" t="str">
        <x:v>["blank_stock_assumed_zero", "category_missing", "daily_stockout_data_missing", "new_order_lead_time_unknown", "reservations_unknown", "stale_stock"]</x:v>
      </x:c>
      <x:c r="AQ158" s="11" t="str">
        <x:v>IEK:130600216_</x:v>
      </x:c>
      <x:c r="AR158" s="23" t="n">
        <x:v>1</x:v>
      </x:c>
      <x:c r="AS158" s="23" t="n">
        <x:f>MAX(0,ROUNDUP(MAX(0,AF158-AG158-AH158)/AR158-0.000000001,0)*AR158)</x:f>
        <x:v>1</x:v>
      </x:c>
      <x:c r="AT158" s="23" t="n">
        <x:v>0.037954485469607675</x:v>
      </x:c>
    </x:row>
    <x:row r="159" ht="64" customHeight="1">
      <x:c r="A159" s="10" t="str">
        <x:v>IEK</x:v>
      </x:c>
      <x:c r="B159" s="34" t="str">
        <x:v>130600223_</x:v>
      </x:c>
      <x:c r="C159" s="34" t="str">
        <x:v>ORF-08D-220-460VAC</x:v>
      </x:c>
      <x:c r="D159" s="13" t="str">
        <x:v>Реле фаз ORF-08D 3ф. 2 конт. 220-460В AC ONI ORF-08D-220-460VAC NEW</x:v>
      </x:c>
      <x:c r="E159" s="10" t="str">
        <x:v>шт</x:v>
      </x:c>
      <x:c r="F159" s="37" t="n">
        <x:f>IF(AS159&gt;0,MAX(AS159,AJ159),0)</x:f>
        <x:v>1</x:v>
      </x:c>
      <x:c r="G159" s="21" t="str">
        <x:f>IF(J159="Рассчитано",V159*(1-R159/100)-W159-P159-Q159,"н/д")</x:f>
        <x:v>н/д</x:v>
      </x:c>
      <x:c r="H159" s="13" t="str">
        <x:v>Высокий</x:v>
      </x:c>
      <x:c r="I159" s="13" t="str">
        <x:v>Критический</x:v>
      </x:c>
      <x:c r="J159" s="13" t="str">
        <x:f>IF(L159="","Укажите валюту",IF(NOT(ISNUMBER(K159)),"Укажите объём",IF(K159&lt;=0,"Укажите объём",IF(COUNT(M159:O159)&lt;3,"Нужны цены",IF(COUNT(P159:R159)&lt;3,"Нужны расходы",IF(OR(M159&lt;0,N159&lt;0,O159&lt;0,O159&gt;100,P159&lt;0,Q159&lt;0,R159&lt;0,R159&gt;100),"Проверьте значения","Рассчитано"))))))</x:f>
        <x:v>Нужны цены</x:v>
      </x:c>
      <x:c r="K159" s="36" t="n">
        <x:v>1</x:v>
      </x:c>
      <x:c r="L159" s="19" t="str">
        <x:v>KZT</x:v>
      </x:c>
      <x:c r="M159" s="22"/>
      <x:c r="N159" s="22"/>
      <x:c r="O159" s="28"/>
      <x:c r="P159" s="22"/>
      <x:c r="Q159" s="22"/>
      <x:c r="R159" s="28"/>
      <x:c r="S159" s="22"/>
      <x:c r="T159" s="37" t="n">
        <x:f>MIN(K159,AT159)</x:f>
        <x:v>0.04592496846673876</x:v>
      </x:c>
      <x:c r="U159" s="21" t="str">
        <x:f>IF(J159="Рассчитано",N159*(1-O159/100),"н/д")</x:f>
        <x:v>н/д</x:v>
      </x:c>
      <x:c r="V159" s="21" t="str">
        <x:f>IF(J159="Рассчитано",T159*U159,"н/д")</x:f>
        <x:v>н/д</x:v>
      </x:c>
      <x:c r="W159" s="21" t="str">
        <x:f>IF(J159="Рассчитано",T159*M159,"н/д")</x:f>
        <x:v>н/д</x:v>
      </x:c>
      <x:c r="X159" s="21" t="str">
        <x:f>IF(J159="Рассчитано",V159-W159,"н/д")</x:f>
        <x:v>н/д</x:v>
      </x:c>
      <x:c r="Y159" s="27" t="str">
        <x:f>IF(J159="Рассчитано",IF(V159&gt;0,G159/V159,"н/д"),"н/д")</x:f>
        <x:v>н/д</x:v>
      </x:c>
      <x:c r="Z159" s="21" t="str">
        <x:f>IF(J159="Рассчитано",K159*M159,"н/д")</x:f>
        <x:v>н/д</x:v>
      </x:c>
      <x:c r="AA159" s="21" t="str">
        <x:f>IF(J159="Рассчитано",(K159-T159)*M159,"н/д")</x:f>
        <x:v>н/д</x:v>
      </x:c>
      <x:c r="AB159" s="21" t="str">
        <x:f>IF(AND(J159="Рассчитано",ISNUMBER(S159)),K159*(S159-M159),"н/д")</x:f>
        <x:v>н/д</x:v>
      </x:c>
      <x:c r="AC159" s="21" t="str">
        <x:f>IF(AND(J159="Рассчитано",T159&gt;0,R159&lt;100),(W159+P159+Q159)/(T159*(1-R159/100)),"н/д")</x:f>
        <x:v>н/д</x:v>
      </x:c>
      <x:c r="AD159" s="10" t="str">
        <x:f>IF(ISNUMBER(G159),IF(G159&lt;0,"Убыток",IF(G159=0,"Без прибыли","Прибыль &gt; 0")),"Не оценён")</x:f>
        <x:v>Не оценён</x:v>
      </x:c>
      <x:c r="AE159" s="13" t="str">
        <x:f>IF(J159="Рассчитано","Выручка "&amp;TEXT(V159,"0.00")&amp;" - себестоимость "&amp;TEXT(W159,"0.00")&amp;" - комиссия "&amp;TEXT(V159*R159/100,"0.00")&amp;" - доставка "&amp;TEXT(P159,"0.00")&amp;" - прочие "&amp;TEXT(Q159,"0.00")&amp;" = "&amp;TEXT(G159,"0.00")&amp;" "&amp;L159,"Введите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59" s="24" t="n">
        <x:v>0.04592496846673876</x:v>
      </x:c>
      <x:c r="AG159" s="37" t="n">
        <x:v>0</x:v>
      </x:c>
      <x:c r="AH159" s="37" t="n">
        <x:v>0</x:v>
      </x:c>
      <x:c r="AI159" s="30" t="n">
        <x:v>46266</x:v>
      </x:c>
      <x:c r="AJ159" s="37" t="n">
        <x:v>1</x:v>
      </x:c>
      <x:c r="AK159" s="10" t="str">
        <x:v>минимум</x:v>
      </x:c>
      <x:c r="AL159" s="32" t="n">
        <x:v>0</x:v>
      </x:c>
      <x:c r="AM159" s="13" t="str">
        <x:v>Остаток на начало сентября; Резервы неизвестны; Нет ежедневных данных доступности. Нет запаса</x:v>
      </x:c>
      <x:c r="AN159" s="13" t="str">
        <x:v>Подтвердить наличие, срок и цену закупки</x:v>
      </x:c>
      <x:c r="AO159" s="13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159" s="13" t="str">
        <x:v>["blank_stock_assumed_zero", "category_missing", "daily_stockout_data_missing", "new_order_lead_time_unknown", "reservations_unknown", "stale_stock"]</x:v>
      </x:c>
      <x:c r="AQ159" s="10" t="str">
        <x:v>IEK:130600223_</x:v>
      </x:c>
      <x:c r="AR159" s="24" t="n">
        <x:v>1</x:v>
      </x:c>
      <x:c r="AS159" s="24" t="n">
        <x:f>MAX(0,ROUNDUP(MAX(0,AF159-AG159-AH159)/AR159-0.000000001,0)*AR159)</x:f>
        <x:v>1</x:v>
      </x:c>
      <x:c r="AT159" s="24" t="n">
        <x:v>0.04592496846673876</x:v>
      </x:c>
    </x:row>
    <x:row r="160" ht="64" customHeight="1">
      <x:c r="A160" s="11" t="str">
        <x:v>IEK</x:v>
      </x:c>
      <x:c r="B160" s="33" t="str">
        <x:v>130600224_</x:v>
      </x:c>
      <x:c r="C160" s="33" t="str">
        <x:v>ORF-08D-127-265VAC</x:v>
      </x:c>
      <x:c r="D160" s="12" t="str">
        <x:v>Реле фаз ORF-08D 3ф. 2 конт. 127-265В AC с контр. нейтр. ONI ORF-08D-127-265VAC NEW</x:v>
      </x:c>
      <x:c r="E160" s="11" t="str">
        <x:v>шт</x:v>
      </x:c>
      <x:c r="F160" s="35" t="n">
        <x:f>IF(AS160&gt;0,MAX(AS160,AJ160),0)</x:f>
        <x:v>1</x:v>
      </x:c>
      <x:c r="G160" s="20" t="str">
        <x:f>IF(J160="Рассчитано",V160*(1-R160/100)-W160-P160-Q160,"н/д")</x:f>
        <x:v>н/д</x:v>
      </x:c>
      <x:c r="H160" s="12" t="str">
        <x:v>Высокий</x:v>
      </x:c>
      <x:c r="I160" s="12" t="str">
        <x:v>Критический</x:v>
      </x:c>
      <x:c r="J160" s="12" t="str">
        <x:f>IF(L160="","Укажите валюту",IF(NOT(ISNUMBER(K160)),"Укажите объём",IF(K160&lt;=0,"Укажите объём",IF(COUNT(M160:O160)&lt;3,"Нужны цены",IF(COUNT(P160:R160)&lt;3,"Нужны расходы",IF(OR(M160&lt;0,N160&lt;0,O160&lt;0,O160&gt;100,P160&lt;0,Q160&lt;0,R160&lt;0,R160&gt;100),"Проверьте значения","Рассчитано"))))))</x:f>
        <x:v>Нужны цены</x:v>
      </x:c>
      <x:c r="K160" s="36" t="n">
        <x:v>1</x:v>
      </x:c>
      <x:c r="L160" s="19" t="str">
        <x:v>KZT</x:v>
      </x:c>
      <x:c r="M160" s="22"/>
      <x:c r="N160" s="22"/>
      <x:c r="O160" s="28"/>
      <x:c r="P160" s="22"/>
      <x:c r="Q160" s="22"/>
      <x:c r="R160" s="28"/>
      <x:c r="S160" s="22"/>
      <x:c r="T160" s="35" t="n">
        <x:f>MIN(K160,AT160)</x:f>
        <x:v>0.04592496846673876</x:v>
      </x:c>
      <x:c r="U160" s="20" t="str">
        <x:f>IF(J160="Рассчитано",N160*(1-O160/100),"н/д")</x:f>
        <x:v>н/д</x:v>
      </x:c>
      <x:c r="V160" s="20" t="str">
        <x:f>IF(J160="Рассчитано",T160*U160,"н/д")</x:f>
        <x:v>н/д</x:v>
      </x:c>
      <x:c r="W160" s="20" t="str">
        <x:f>IF(J160="Рассчитано",T160*M160,"н/д")</x:f>
        <x:v>н/д</x:v>
      </x:c>
      <x:c r="X160" s="20" t="str">
        <x:f>IF(J160="Рассчитано",V160-W160,"н/д")</x:f>
        <x:v>н/д</x:v>
      </x:c>
      <x:c r="Y160" s="26" t="str">
        <x:f>IF(J160="Рассчитано",IF(V160&gt;0,G160/V160,"н/д"),"н/д")</x:f>
        <x:v>н/д</x:v>
      </x:c>
      <x:c r="Z160" s="20" t="str">
        <x:f>IF(J160="Рассчитано",K160*M160,"н/д")</x:f>
        <x:v>н/д</x:v>
      </x:c>
      <x:c r="AA160" s="20" t="str">
        <x:f>IF(J160="Рассчитано",(K160-T160)*M160,"н/д")</x:f>
        <x:v>н/д</x:v>
      </x:c>
      <x:c r="AB160" s="20" t="str">
        <x:f>IF(AND(J160="Рассчитано",ISNUMBER(S160)),K160*(S160-M160),"н/д")</x:f>
        <x:v>н/д</x:v>
      </x:c>
      <x:c r="AC160" s="20" t="str">
        <x:f>IF(AND(J160="Рассчитано",T160&gt;0,R160&lt;100),(W160+P160+Q160)/(T160*(1-R160/100)),"н/д")</x:f>
        <x:v>н/д</x:v>
      </x:c>
      <x:c r="AD160" s="11" t="str">
        <x:f>IF(ISNUMBER(G160),IF(G160&lt;0,"Убыток",IF(G160=0,"Без прибыли","Прибыль &gt; 0")),"Не оценён")</x:f>
        <x:v>Не оценён</x:v>
      </x:c>
      <x:c r="AE160" s="12" t="str">
        <x:f>IF(J160="Рассчитано","Выручка "&amp;TEXT(V160,"0.00")&amp;" - себестоимость "&amp;TEXT(W160,"0.00")&amp;" - комиссия "&amp;TEXT(V160*R160/100,"0.00")&amp;" - доставка "&amp;TEXT(P160,"0.00")&amp;" - прочие "&amp;TEXT(Q160,"0.00")&amp;" = "&amp;TEXT(G160,"0.00")&amp;" "&amp;L160,"Введите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0" s="23" t="n">
        <x:v>0.04592496846673876</x:v>
      </x:c>
      <x:c r="AG160" s="35" t="n">
        <x:v>0</x:v>
      </x:c>
      <x:c r="AH160" s="35" t="n">
        <x:v>0</x:v>
      </x:c>
      <x:c r="AI160" s="29" t="n">
        <x:v>46266</x:v>
      </x:c>
      <x:c r="AJ160" s="35" t="n">
        <x:v>1</x:v>
      </x:c>
      <x:c r="AK160" s="11" t="str">
        <x:v>минимум</x:v>
      </x:c>
      <x:c r="AL160" s="31" t="n">
        <x:v>0</x:v>
      </x:c>
      <x:c r="AM160" s="12" t="str">
        <x:v>Остаток на начало сентября; Резервы неизвестны; Нет ежедневных данных доступности. Нет запаса</x:v>
      </x:c>
      <x:c r="AN160" s="12" t="str">
        <x:v>Подтвердить наличие, срок и цену закупки</x:v>
      </x:c>
      <x:c r="AO160" s="12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160" s="12" t="str">
        <x:v>["blank_stock_assumed_zero", "category_missing", "daily_stockout_data_missing", "new_order_lead_time_unknown", "reservations_unknown", "stale_stock"]</x:v>
      </x:c>
      <x:c r="AQ160" s="11" t="str">
        <x:v>IEK:130600224_</x:v>
      </x:c>
      <x:c r="AR160" s="23" t="n">
        <x:v>1</x:v>
      </x:c>
      <x:c r="AS160" s="23" t="n">
        <x:f>MAX(0,ROUNDUP(MAX(0,AF160-AG160-AH160)/AR160-0.000000001,0)*AR160)</x:f>
        <x:v>1</x:v>
      </x:c>
      <x:c r="AT160" s="23" t="n">
        <x:v>0.04592496846673876</x:v>
      </x:c>
    </x:row>
    <x:row r="161" ht="64" customHeight="1">
      <x:c r="A161" s="10" t="str">
        <x:v>IEK</x:v>
      </x:c>
      <x:c r="B161" s="34" t="str">
        <x:v>130600229_</x:v>
      </x:c>
      <x:c r="C161" s="34"/>
      <x:c r="D161" s="13" t="str">
        <x:v>Реле задержки выключения ORT 1 конт. 12-240В AC/DC IEK  ORT-B1-ACDC12-240V NEW</x:v>
      </x:c>
      <x:c r="E161" s="10" t="str">
        <x:v>шт</x:v>
      </x:c>
      <x:c r="F161" s="37" t="n">
        <x:f>AS161</x:f>
        <x:v>1</x:v>
      </x:c>
      <x:c r="G161" s="21" t="str">
        <x:f>IF(J161="Рассчитано",V161*(1-R161/100)-W161-P161-Q161,"н/д")</x:f>
        <x:v>н/д</x:v>
      </x:c>
      <x:c r="H161" s="13" t="str">
        <x:v>Высокий</x:v>
      </x:c>
      <x:c r="I161" s="13" t="str">
        <x:v>Критический</x:v>
      </x:c>
      <x:c r="J161" s="13" t="str">
        <x:f>IF(L161="","Укажите валюту",IF(NOT(ISNUMBER(K161)),"Укажите объём",IF(K161&lt;=0,"Укажите объём",IF(COUNT(M161:O161)&lt;3,"Нужны цены",IF(COUNT(P161:R161)&lt;3,"Нужны расходы",IF(OR(M161&lt;0,N161&lt;0,O161&lt;0,O161&gt;100,P161&lt;0,Q161&lt;0,R161&lt;0,R161&gt;100),"Проверьте значения","Рассчитано"))))))</x:f>
        <x:v>Нужны цены</x:v>
      </x:c>
      <x:c r="K161" s="36" t="n">
        <x:v>1</x:v>
      </x:c>
      <x:c r="L161" s="19" t="str">
        <x:v>KZT</x:v>
      </x:c>
      <x:c r="M161" s="22"/>
      <x:c r="N161" s="22"/>
      <x:c r="O161" s="28"/>
      <x:c r="P161" s="22"/>
      <x:c r="Q161" s="22"/>
      <x:c r="R161" s="28"/>
      <x:c r="S161" s="22"/>
      <x:c r="T161" s="37" t="n">
        <x:f>MIN(K161,AT161)</x:f>
        <x:v>0.03177057299633944</x:v>
      </x:c>
      <x:c r="U161" s="21" t="str">
        <x:f>IF(J161="Рассчитано",N161*(1-O161/100),"н/д")</x:f>
        <x:v>н/д</x:v>
      </x:c>
      <x:c r="V161" s="21" t="str">
        <x:f>IF(J161="Рассчитано",T161*U161,"н/д")</x:f>
        <x:v>н/д</x:v>
      </x:c>
      <x:c r="W161" s="21" t="str">
        <x:f>IF(J161="Рассчитано",T161*M161,"н/д")</x:f>
        <x:v>н/д</x:v>
      </x:c>
      <x:c r="X161" s="21" t="str">
        <x:f>IF(J161="Рассчитано",V161-W161,"н/д")</x:f>
        <x:v>н/д</x:v>
      </x:c>
      <x:c r="Y161" s="27" t="str">
        <x:f>IF(J161="Рассчитано",IF(V161&gt;0,G161/V161,"н/д"),"н/д")</x:f>
        <x:v>н/д</x:v>
      </x:c>
      <x:c r="Z161" s="21" t="str">
        <x:f>IF(J161="Рассчитано",K161*M161,"н/д")</x:f>
        <x:v>н/д</x:v>
      </x:c>
      <x:c r="AA161" s="21" t="str">
        <x:f>IF(J161="Рассчитано",(K161-T161)*M161,"н/д")</x:f>
        <x:v>н/д</x:v>
      </x:c>
      <x:c r="AB161" s="21" t="str">
        <x:f>IF(AND(J161="Рассчитано",ISNUMBER(S161)),K161*(S161-M161),"н/д")</x:f>
        <x:v>н/д</x:v>
      </x:c>
      <x:c r="AC161" s="21" t="str">
        <x:f>IF(AND(J161="Рассчитано",T161&gt;0,R161&lt;100),(W161+P161+Q161)/(T161*(1-R161/100)),"н/д")</x:f>
        <x:v>н/д</x:v>
      </x:c>
      <x:c r="AD161" s="10" t="str">
        <x:f>IF(ISNUMBER(G161),IF(G161&lt;0,"Убыток",IF(G161=0,"Без прибыли","Прибыль &gt; 0")),"Не оценён")</x:f>
        <x:v>Не оценён</x:v>
      </x:c>
      <x:c r="AE161" s="13" t="str">
        <x:f>IF(J161="Рассчитано","Выручка "&amp;TEXT(V161,"0.00")&amp;" - себестоимость "&amp;TEXT(W161,"0.00")&amp;" - комиссия "&amp;TEXT(V161*R161/100,"0.00")&amp;" - доставка "&amp;TEXT(P161,"0.00")&amp;" - прочие "&amp;TEXT(Q161,"0.00")&amp;" = "&amp;TEXT(G161,"0.00")&amp;" "&amp;L161,"Введите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1" s="24" t="n">
        <x:v>0.03177057299633944</x:v>
      </x:c>
      <x:c r="AG161" s="37" t="n">
        <x:v>0</x:v>
      </x:c>
      <x:c r="AH161" s="37" t="n">
        <x:v>0</x:v>
      </x:c>
      <x:c r="AI161" s="30" t="n">
        <x:v>46266</x:v>
      </x:c>
      <x:c r="AJ161" s="37"/>
      <x:c r="AK161" s="10" t="str">
        <x:v>неизвестно</x:v>
      </x:c>
      <x:c r="AL161" s="32" t="n">
        <x:v>0</x:v>
      </x:c>
      <x:c r="AM161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61" s="13" t="str">
        <x:v>Подтвердить наличие, срок и цену закупки</x:v>
      </x:c>
      <x:c r="AO161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161" s="13" t="str">
        <x:v>["blank_stock_assumed_zero", "category_missing", "daily_stockout_data_missing", "moq_missing", "new_order_lead_time_unknown", "reservations_unknown", "stale_stock", "supplier_sku_missing"]</x:v>
      </x:c>
      <x:c r="AQ161" s="10" t="str">
        <x:v>IEK:130600229_</x:v>
      </x:c>
      <x:c r="AR161" s="24" t="n">
        <x:v>1</x:v>
      </x:c>
      <x:c r="AS161" s="24" t="n">
        <x:f>MAX(0,ROUNDUP(MAX(0,AF161-AG161-AH161)/AR161-0.000000001,0)*AR161)</x:f>
        <x:v>1</x:v>
      </x:c>
      <x:c r="AT161" s="24" t="n">
        <x:v>0.03177057299633944</x:v>
      </x:c>
    </x:row>
    <x:row r="162" ht="64" customHeight="1">
      <x:c r="A162" s="11" t="str">
        <x:v>IEK</x:v>
      </x:c>
      <x:c r="B162" s="33" t="str">
        <x:v>130600236_</x:v>
      </x:c>
      <x:c r="C162" s="33"/>
      <x:c r="D162" s="12" t="str">
        <x:v>Преобр. давл. PPT10 0,5% 0-16Бар 0-10В G1/2 DIN43650 ONI PPT-G-ST-016-0-10-2-2 NEW</x:v>
      </x:c>
      <x:c r="E162" s="11" t="str">
        <x:v>шт</x:v>
      </x:c>
      <x:c r="F162" s="35" t="n">
        <x:f>AS162</x:f>
        <x:v>1</x:v>
      </x:c>
      <x:c r="G162" s="20" t="str">
        <x:f>IF(J162="Рассчитано",V162*(1-R162/100)-W162-P162-Q162,"н/д")</x:f>
        <x:v>н/д</x:v>
      </x:c>
      <x:c r="H162" s="12" t="str">
        <x:v>Высокий</x:v>
      </x:c>
      <x:c r="I162" s="12" t="str">
        <x:v>Критический</x:v>
      </x:c>
      <x:c r="J162" s="12" t="str">
        <x:f>IF(L162="","Укажите валюту",IF(NOT(ISNUMBER(K162)),"Укажите объём",IF(K162&lt;=0,"Укажите объём",IF(COUNT(M162:O162)&lt;3,"Нужны цены",IF(COUNT(P162:R162)&lt;3,"Нужны расходы",IF(OR(M162&lt;0,N162&lt;0,O162&lt;0,O162&gt;100,P162&lt;0,Q162&lt;0,R162&lt;0,R162&gt;100),"Проверьте значения","Рассчитано"))))))</x:f>
        <x:v>Нужны цены</x:v>
      </x:c>
      <x:c r="K162" s="36" t="n">
        <x:v>1</x:v>
      </x:c>
      <x:c r="L162" s="19" t="str">
        <x:v>KZT</x:v>
      </x:c>
      <x:c r="M162" s="22"/>
      <x:c r="N162" s="22"/>
      <x:c r="O162" s="28"/>
      <x:c r="P162" s="22"/>
      <x:c r="Q162" s="22"/>
      <x:c r="R162" s="28"/>
      <x:c r="S162" s="22"/>
      <x:c r="T162" s="35" t="n">
        <x:f>MIN(K162,AT162)</x:f>
        <x:v>0.10525065566347361</x:v>
      </x:c>
      <x:c r="U162" s="20" t="str">
        <x:f>IF(J162="Рассчитано",N162*(1-O162/100),"н/д")</x:f>
        <x:v>н/д</x:v>
      </x:c>
      <x:c r="V162" s="20" t="str">
        <x:f>IF(J162="Рассчитано",T162*U162,"н/д")</x:f>
        <x:v>н/д</x:v>
      </x:c>
      <x:c r="W162" s="20" t="str">
        <x:f>IF(J162="Рассчитано",T162*M162,"н/д")</x:f>
        <x:v>н/д</x:v>
      </x:c>
      <x:c r="X162" s="20" t="str">
        <x:f>IF(J162="Рассчитано",V162-W162,"н/д")</x:f>
        <x:v>н/д</x:v>
      </x:c>
      <x:c r="Y162" s="26" t="str">
        <x:f>IF(J162="Рассчитано",IF(V162&gt;0,G162/V162,"н/д"),"н/д")</x:f>
        <x:v>н/д</x:v>
      </x:c>
      <x:c r="Z162" s="20" t="str">
        <x:f>IF(J162="Рассчитано",K162*M162,"н/д")</x:f>
        <x:v>н/д</x:v>
      </x:c>
      <x:c r="AA162" s="20" t="str">
        <x:f>IF(J162="Рассчитано",(K162-T162)*M162,"н/д")</x:f>
        <x:v>н/д</x:v>
      </x:c>
      <x:c r="AB162" s="20" t="str">
        <x:f>IF(AND(J162="Рассчитано",ISNUMBER(S162)),K162*(S162-M162),"н/д")</x:f>
        <x:v>н/д</x:v>
      </x:c>
      <x:c r="AC162" s="20" t="str">
        <x:f>IF(AND(J162="Рассчитано",T162&gt;0,R162&lt;100),(W162+P162+Q162)/(T162*(1-R162/100)),"н/д")</x:f>
        <x:v>н/д</x:v>
      </x:c>
      <x:c r="AD162" s="11" t="str">
        <x:f>IF(ISNUMBER(G162),IF(G162&lt;0,"Убыток",IF(G162=0,"Без прибыли","Прибыль &gt; 0")),"Не оценён")</x:f>
        <x:v>Не оценён</x:v>
      </x:c>
      <x:c r="AE162" s="12" t="str">
        <x:f>IF(J162="Рассчитано","Выручка "&amp;TEXT(V162,"0.00")&amp;" - себестоимость "&amp;TEXT(W162,"0.00")&amp;" - комиссия "&amp;TEXT(V162*R162/100,"0.00")&amp;" - доставка "&amp;TEXT(P162,"0.00")&amp;" - прочие "&amp;TEXT(Q162,"0.00")&amp;" = "&amp;TEXT(G162,"0.00")&amp;" "&amp;L162,"Введите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2" s="23" t="n">
        <x:v>0.10525065566347361</x:v>
      </x:c>
      <x:c r="AG162" s="35" t="n">
        <x:v>0</x:v>
      </x:c>
      <x:c r="AH162" s="35" t="n">
        <x:v>0</x:v>
      </x:c>
      <x:c r="AI162" s="29" t="n">
        <x:v>46266</x:v>
      </x:c>
      <x:c r="AJ162" s="35"/>
      <x:c r="AK162" s="11" t="str">
        <x:v>неизвестно</x:v>
      </x:c>
      <x:c r="AL162" s="31" t="n">
        <x:v>0</x:v>
      </x:c>
      <x:c r="AM162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62" s="12" t="str">
        <x:v>Подтвердить наличие, срок и цену закупки</x:v>
      </x:c>
      <x:c r="AO162" s="12" t="str">
        <x:v>Прогноз 30 дней 0.11; остаток 0; поступления в срок 0; нехватка 1; заказ с учётом MOQ 1 шт. Остаток на начало сентября: требуется актуализация.</x:v>
      </x:c>
      <x:c r="AP162" s="12" t="str">
        <x:v>["blank_stock_assumed_zero", "category_missing", "daily_stockout_data_missing", "moq_missing", "new_order_lead_time_unknown", "reservations_unknown", "stale_stock", "supplier_sku_missing"]</x:v>
      </x:c>
      <x:c r="AQ162" s="11" t="str">
        <x:v>IEK:130600236_</x:v>
      </x:c>
      <x:c r="AR162" s="23" t="n">
        <x:v>1</x:v>
      </x:c>
      <x:c r="AS162" s="23" t="n">
        <x:f>MAX(0,ROUNDUP(MAX(0,AF162-AG162-AH162)/AR162-0.000000001,0)*AR162)</x:f>
        <x:v>1</x:v>
      </x:c>
      <x:c r="AT162" s="23" t="n">
        <x:v>0.10525065566347361</x:v>
      </x:c>
    </x:row>
    <x:row r="163" ht="64" customHeight="1">
      <x:c r="A163" s="10" t="str">
        <x:v>IEK</x:v>
      </x:c>
      <x:c r="B163" s="34" t="str">
        <x:v>130600242_</x:v>
      </x:c>
      <x:c r="C163" s="34"/>
      <x:c r="D163" s="13" t="str">
        <x:v>УПП SFB 3Ф 380В 30кВт 60A Uупр 110-220В Modbus ONI SFB-33-30-A-10 NEW</x:v>
      </x:c>
      <x:c r="E163" s="10" t="str">
        <x:v>шт</x:v>
      </x:c>
      <x:c r="F163" s="37" t="n">
        <x:f>AS163</x:f>
        <x:v>1</x:v>
      </x:c>
      <x:c r="G163" s="21" t="str">
        <x:f>IF(J163="Рассчитано",V163*(1-R163/100)-W163-P163-Q163,"н/д")</x:f>
        <x:v>н/д</x:v>
      </x:c>
      <x:c r="H163" s="13" t="str">
        <x:v>Высокий</x:v>
      </x:c>
      <x:c r="I163" s="13" t="str">
        <x:v>Критический</x:v>
      </x:c>
      <x:c r="J163" s="13" t="str">
        <x:f>IF(L163="","Укажите валюту",IF(NOT(ISNUMBER(K163)),"Укажите объём",IF(K163&lt;=0,"Укажите объём",IF(COUNT(M163:O163)&lt;3,"Нужны цены",IF(COUNT(P163:R163)&lt;3,"Нужны расходы",IF(OR(M163&lt;0,N163&lt;0,O163&lt;0,O163&gt;100,P163&lt;0,Q163&lt;0,R163&lt;0,R163&gt;100),"Проверьте значения","Рассчитано"))))))</x:f>
        <x:v>Нужны цены</x:v>
      </x:c>
      <x:c r="K163" s="36" t="n">
        <x:v>1</x:v>
      </x:c>
      <x:c r="L163" s="19" t="str">
        <x:v>KZT</x:v>
      </x:c>
      <x:c r="M163" s="22"/>
      <x:c r="N163" s="22"/>
      <x:c r="O163" s="28"/>
      <x:c r="P163" s="22"/>
      <x:c r="Q163" s="22"/>
      <x:c r="R163" s="28"/>
      <x:c r="S163" s="22"/>
      <x:c r="T163" s="37" t="n">
        <x:f>MIN(K163,AT163)</x:f>
        <x:v>0.03480184351304997</x:v>
      </x:c>
      <x:c r="U163" s="21" t="str">
        <x:f>IF(J163="Рассчитано",N163*(1-O163/100),"н/д")</x:f>
        <x:v>н/д</x:v>
      </x:c>
      <x:c r="V163" s="21" t="str">
        <x:f>IF(J163="Рассчитано",T163*U163,"н/д")</x:f>
        <x:v>н/д</x:v>
      </x:c>
      <x:c r="W163" s="21" t="str">
        <x:f>IF(J163="Рассчитано",T163*M163,"н/д")</x:f>
        <x:v>н/д</x:v>
      </x:c>
      <x:c r="X163" s="21" t="str">
        <x:f>IF(J163="Рассчитано",V163-W163,"н/д")</x:f>
        <x:v>н/д</x:v>
      </x:c>
      <x:c r="Y163" s="27" t="str">
        <x:f>IF(J163="Рассчитано",IF(V163&gt;0,G163/V163,"н/д"),"н/д")</x:f>
        <x:v>н/д</x:v>
      </x:c>
      <x:c r="Z163" s="21" t="str">
        <x:f>IF(J163="Рассчитано",K163*M163,"н/д")</x:f>
        <x:v>н/д</x:v>
      </x:c>
      <x:c r="AA163" s="21" t="str">
        <x:f>IF(J163="Рассчитано",(K163-T163)*M163,"н/д")</x:f>
        <x:v>н/д</x:v>
      </x:c>
      <x:c r="AB163" s="21" t="str">
        <x:f>IF(AND(J163="Рассчитано",ISNUMBER(S163)),K163*(S163-M163),"н/д")</x:f>
        <x:v>н/д</x:v>
      </x:c>
      <x:c r="AC163" s="21" t="str">
        <x:f>IF(AND(J163="Рассчитано",T163&gt;0,R163&lt;100),(W163+P163+Q163)/(T163*(1-R163/100)),"н/д")</x:f>
        <x:v>н/д</x:v>
      </x:c>
      <x:c r="AD163" s="10" t="str">
        <x:f>IF(ISNUMBER(G163),IF(G163&lt;0,"Убыток",IF(G163=0,"Без прибыли","Прибыль &gt; 0")),"Не оценён")</x:f>
        <x:v>Не оценён</x:v>
      </x:c>
      <x:c r="AE163" s="13" t="str">
        <x:f>IF(J163="Рассчитано","Выручка "&amp;TEXT(V163,"0.00")&amp;" - себестоимость "&amp;TEXT(W163,"0.00")&amp;" - комиссия "&amp;TEXT(V163*R163/100,"0.00")&amp;" - доставка "&amp;TEXT(P163,"0.00")&amp;" - прочие "&amp;TEXT(Q163,"0.00")&amp;" = "&amp;TEXT(G163,"0.00")&amp;" "&amp;L163,"Введите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3" s="24" t="n">
        <x:v>0.03480184351304997</x:v>
      </x:c>
      <x:c r="AG163" s="37" t="n">
        <x:v>0</x:v>
      </x:c>
      <x:c r="AH163" s="37" t="n">
        <x:v>0</x:v>
      </x:c>
      <x:c r="AI163" s="30" t="n">
        <x:v>46266</x:v>
      </x:c>
      <x:c r="AJ163" s="37"/>
      <x:c r="AK163" s="10" t="str">
        <x:v>неизвестно</x:v>
      </x:c>
      <x:c r="AL163" s="32" t="n">
        <x:v>0</x:v>
      </x:c>
      <x:c r="AM163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63" s="13" t="str">
        <x:v>Подтвердить наличие, срок и цену закупки</x:v>
      </x:c>
      <x:c r="AO163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163" s="13" t="str">
        <x:v>["blank_stock_assumed_zero", "category_missing", "daily_stockout_data_missing", "moq_missing", "new_order_lead_time_unknown", "reservations_unknown", "stale_stock", "supplier_sku_missing"]</x:v>
      </x:c>
      <x:c r="AQ163" s="10" t="str">
        <x:v>IEK:130600242_</x:v>
      </x:c>
      <x:c r="AR163" s="24" t="n">
        <x:v>1</x:v>
      </x:c>
      <x:c r="AS163" s="24" t="n">
        <x:f>MAX(0,ROUNDUP(MAX(0,AF163-AG163-AH163)/AR163-0.000000001,0)*AR163)</x:f>
        <x:v>1</x:v>
      </x:c>
      <x:c r="AT163" s="24" t="n">
        <x:v>0.03480184351304997</x:v>
      </x:c>
    </x:row>
    <x:row r="164" ht="64" customHeight="1">
      <x:c r="A164" s="11" t="str">
        <x:v>IEK</x:v>
      </x:c>
      <x:c r="B164" s="33" t="str">
        <x:v>130600244_</x:v>
      </x:c>
      <x:c r="C164" s="33"/>
      <x:c r="D164" s="12" t="str">
        <x:v>УПП SFB 3Ф 380В 22кВт 45A Uупр 110-220В ONI SFB-33-22-A-00 NEW</x:v>
      </x:c>
      <x:c r="E164" s="11" t="str">
        <x:v>шт</x:v>
      </x:c>
      <x:c r="F164" s="35" t="n">
        <x:f>AS164</x:f>
        <x:v>1</x:v>
      </x:c>
      <x:c r="G164" s="20" t="str">
        <x:f>IF(J164="Рассчитано",V164*(1-R164/100)-W164-P164-Q164,"н/д")</x:f>
        <x:v>н/д</x:v>
      </x:c>
      <x:c r="H164" s="12" t="str">
        <x:v>Высокий</x:v>
      </x:c>
      <x:c r="I164" s="12" t="str">
        <x:v>Критический</x:v>
      </x:c>
      <x:c r="J164" s="12" t="str">
        <x:f>IF(L164="","Укажите валюту",IF(NOT(ISNUMBER(K164)),"Укажите объём",IF(K164&lt;=0,"Укажите объём",IF(COUNT(M164:O164)&lt;3,"Нужны цены",IF(COUNT(P164:R164)&lt;3,"Нужны расходы",IF(OR(M164&lt;0,N164&lt;0,O164&lt;0,O164&gt;100,P164&lt;0,Q164&lt;0,R164&lt;0,R164&gt;100),"Проверьте значения","Рассчитано"))))))</x:f>
        <x:v>Нужны цены</x:v>
      </x:c>
      <x:c r="K164" s="36" t="n">
        <x:v>1</x:v>
      </x:c>
      <x:c r="L164" s="19" t="str">
        <x:v>KZT</x:v>
      </x:c>
      <x:c r="M164" s="22"/>
      <x:c r="N164" s="22"/>
      <x:c r="O164" s="28"/>
      <x:c r="P164" s="22"/>
      <x:c r="Q164" s="22"/>
      <x:c r="R164" s="28"/>
      <x:c r="S164" s="22"/>
      <x:c r="T164" s="35" t="n">
        <x:f>MIN(K164,AT164)</x:f>
        <x:v>0.2414788221429101</x:v>
      </x:c>
      <x:c r="U164" s="20" t="str">
        <x:f>IF(J164="Рассчитано",N164*(1-O164/100),"н/д")</x:f>
        <x:v>н/д</x:v>
      </x:c>
      <x:c r="V164" s="20" t="str">
        <x:f>IF(J164="Рассчитано",T164*U164,"н/д")</x:f>
        <x:v>н/д</x:v>
      </x:c>
      <x:c r="W164" s="20" t="str">
        <x:f>IF(J164="Рассчитано",T164*M164,"н/д")</x:f>
        <x:v>н/д</x:v>
      </x:c>
      <x:c r="X164" s="20" t="str">
        <x:f>IF(J164="Рассчитано",V164-W164,"н/д")</x:f>
        <x:v>н/д</x:v>
      </x:c>
      <x:c r="Y164" s="26" t="str">
        <x:f>IF(J164="Рассчитано",IF(V164&gt;0,G164/V164,"н/д"),"н/д")</x:f>
        <x:v>н/д</x:v>
      </x:c>
      <x:c r="Z164" s="20" t="str">
        <x:f>IF(J164="Рассчитано",K164*M164,"н/д")</x:f>
        <x:v>н/д</x:v>
      </x:c>
      <x:c r="AA164" s="20" t="str">
        <x:f>IF(J164="Рассчитано",(K164-T164)*M164,"н/д")</x:f>
        <x:v>н/д</x:v>
      </x:c>
      <x:c r="AB164" s="20" t="str">
        <x:f>IF(AND(J164="Рассчитано",ISNUMBER(S164)),K164*(S164-M164),"н/д")</x:f>
        <x:v>н/д</x:v>
      </x:c>
      <x:c r="AC164" s="20" t="str">
        <x:f>IF(AND(J164="Рассчитано",T164&gt;0,R164&lt;100),(W164+P164+Q164)/(T164*(1-R164/100)),"н/д")</x:f>
        <x:v>н/д</x:v>
      </x:c>
      <x:c r="AD164" s="11" t="str">
        <x:f>IF(ISNUMBER(G164),IF(G164&lt;0,"Убыток",IF(G164=0,"Без прибыли","Прибыль &gt; 0")),"Не оценён")</x:f>
        <x:v>Не оценён</x:v>
      </x:c>
      <x:c r="AE164" s="12" t="str">
        <x:f>IF(J164="Рассчитано","Выручка "&amp;TEXT(V164,"0.00")&amp;" - себестоимость "&amp;TEXT(W164,"0.00")&amp;" - комиссия "&amp;TEXT(V164*R164/100,"0.00")&amp;" - доставка "&amp;TEXT(P164,"0.00")&amp;" - прочие "&amp;TEXT(Q164,"0.00")&amp;" = "&amp;TEXT(G164,"0.00")&amp;" "&amp;L164,"Введите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4" s="23" t="n">
        <x:v>0.2414788221429101</x:v>
      </x:c>
      <x:c r="AG164" s="35" t="n">
        <x:v>0</x:v>
      </x:c>
      <x:c r="AH164" s="35" t="n">
        <x:v>0</x:v>
      </x:c>
      <x:c r="AI164" s="29" t="n">
        <x:v>46266</x:v>
      </x:c>
      <x:c r="AJ164" s="35"/>
      <x:c r="AK164" s="11" t="str">
        <x:v>неизвестно</x:v>
      </x:c>
      <x:c r="AL164" s="31" t="n">
        <x:v>0</x:v>
      </x:c>
      <x:c r="AM164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64" s="12" t="str">
        <x:v>Подтвердить наличие, срок и цену закупки</x:v>
      </x:c>
      <x:c r="AO164" s="12" t="str">
        <x:v>Прогноз 30 дней 0.24; остаток 0; поступления в срок 0; нехватка 1; заказ с учётом MOQ 1 шт. Остаток на начало сентября: требуется актуализация.</x:v>
      </x:c>
      <x:c r="AP164" s="12" t="str">
        <x:v>["blank_stock_assumed_zero", "category_missing", "daily_stockout_data_missing", "moq_missing", "new_order_lead_time_unknown", "reservations_unknown", "stale_stock", "supplier_sku_missing"]</x:v>
      </x:c>
      <x:c r="AQ164" s="11" t="str">
        <x:v>IEK:130600244_</x:v>
      </x:c>
      <x:c r="AR164" s="23" t="n">
        <x:v>1</x:v>
      </x:c>
      <x:c r="AS164" s="23" t="n">
        <x:f>MAX(0,ROUNDUP(MAX(0,AF164-AG164-AH164)/AR164-0.000000001,0)*AR164)</x:f>
        <x:v>1</x:v>
      </x:c>
      <x:c r="AT164" s="23" t="n">
        <x:v>0.2414788221429101</x:v>
      </x:c>
    </x:row>
    <x:row r="165" ht="64" customHeight="1">
      <x:c r="A165" s="10" t="str">
        <x:v>IEK</x:v>
      </x:c>
      <x:c r="B165" s="34" t="str">
        <x:v>130600255_</x:v>
      </x:c>
      <x:c r="C165" s="34" t="str">
        <x:v>A150-33-37NT</x:v>
      </x:c>
      <x:c r="D165" s="13" t="str">
        <x:v>Преобраз. частоты A150 380В 3Ф  3,7кВт 10А встр. торм ONI A150-33-37NT NEW(12) NEW</x:v>
      </x:c>
      <x:c r="E165" s="10" t="str">
        <x:v>шт</x:v>
      </x:c>
      <x:c r="F165" s="37" t="n">
        <x:f>AS165</x:f>
        <x:v>1</x:v>
      </x:c>
      <x:c r="G165" s="21" t="str">
        <x:f>IF(J165="Рассчитано",V165*(1-R165/100)-W165-P165-Q165,"н/д")</x:f>
        <x:v>н/д</x:v>
      </x:c>
      <x:c r="H165" s="13" t="str">
        <x:v>Высокий</x:v>
      </x:c>
      <x:c r="I165" s="13" t="str">
        <x:v>Критический</x:v>
      </x:c>
      <x:c r="J165" s="13" t="str">
        <x:f>IF(L165="","Укажите валюту",IF(NOT(ISNUMBER(K165)),"Укажите объём",IF(K165&lt;=0,"Укажите объём",IF(COUNT(M165:O165)&lt;3,"Нужны цены",IF(COUNT(P165:R165)&lt;3,"Нужны расходы",IF(OR(M165&lt;0,N165&lt;0,O165&lt;0,O165&gt;100,P165&lt;0,Q165&lt;0,R165&lt;0,R165&gt;100),"Проверьте значения","Рассчитано"))))))</x:f>
        <x:v>Нужны цены</x:v>
      </x:c>
      <x:c r="K165" s="36" t="n">
        <x:v>1</x:v>
      </x:c>
      <x:c r="L165" s="19" t="str">
        <x:v>KZT</x:v>
      </x:c>
      <x:c r="M165" s="22"/>
      <x:c r="N165" s="22"/>
      <x:c r="O165" s="28"/>
      <x:c r="P165" s="22"/>
      <x:c r="Q165" s="22"/>
      <x:c r="R165" s="28"/>
      <x:c r="S165" s="22"/>
      <x:c r="T165" s="37" t="n">
        <x:f>MIN(K165,AT165)</x:f>
        <x:v>0.26325839552084723</x:v>
      </x:c>
      <x:c r="U165" s="21" t="str">
        <x:f>IF(J165="Рассчитано",N165*(1-O165/100),"н/д")</x:f>
        <x:v>н/д</x:v>
      </x:c>
      <x:c r="V165" s="21" t="str">
        <x:f>IF(J165="Рассчитано",T165*U165,"н/д")</x:f>
        <x:v>н/д</x:v>
      </x:c>
      <x:c r="W165" s="21" t="str">
        <x:f>IF(J165="Рассчитано",T165*M165,"н/д")</x:f>
        <x:v>н/д</x:v>
      </x:c>
      <x:c r="X165" s="21" t="str">
        <x:f>IF(J165="Рассчитано",V165-W165,"н/д")</x:f>
        <x:v>н/д</x:v>
      </x:c>
      <x:c r="Y165" s="27" t="str">
        <x:f>IF(J165="Рассчитано",IF(V165&gt;0,G165/V165,"н/д"),"н/д")</x:f>
        <x:v>н/д</x:v>
      </x:c>
      <x:c r="Z165" s="21" t="str">
        <x:f>IF(J165="Рассчитано",K165*M165,"н/д")</x:f>
        <x:v>н/д</x:v>
      </x:c>
      <x:c r="AA165" s="21" t="str">
        <x:f>IF(J165="Рассчитано",(K165-T165)*M165,"н/д")</x:f>
        <x:v>н/д</x:v>
      </x:c>
      <x:c r="AB165" s="21" t="str">
        <x:f>IF(AND(J165="Рассчитано",ISNUMBER(S165)),K165*(S165-M165),"н/д")</x:f>
        <x:v>н/д</x:v>
      </x:c>
      <x:c r="AC165" s="21" t="str">
        <x:f>IF(AND(J165="Рассчитано",T165&gt;0,R165&lt;100),(W165+P165+Q165)/(T165*(1-R165/100)),"н/д")</x:f>
        <x:v>н/д</x:v>
      </x:c>
      <x:c r="AD165" s="10" t="str">
        <x:f>IF(ISNUMBER(G165),IF(G165&lt;0,"Убыток",IF(G165=0,"Без прибыли","Прибыль &gt; 0")),"Не оценён")</x:f>
        <x:v>Не оценён</x:v>
      </x:c>
      <x:c r="AE165" s="13" t="str">
        <x:f>IF(J165="Рассчитано","Выручка "&amp;TEXT(V165,"0.00")&amp;" - себестоимость "&amp;TEXT(W165,"0.00")&amp;" - комиссия "&amp;TEXT(V165*R165/100,"0.00")&amp;" - доставка "&amp;TEXT(P165,"0.00")&amp;" - прочие "&amp;TEXT(Q165,"0.00")&amp;" = "&amp;TEXT(G165,"0.00")&amp;" "&amp;L165,"Введите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5" s="24" t="n">
        <x:v>0.26325839552084723</x:v>
      </x:c>
      <x:c r="AG165" s="37" t="n">
        <x:v>0</x:v>
      </x:c>
      <x:c r="AH165" s="37" t="n">
        <x:v>0</x:v>
      </x:c>
      <x:c r="AI165" s="30" t="n">
        <x:v>46266</x:v>
      </x:c>
      <x:c r="AJ165" s="37"/>
      <x:c r="AK165" s="10" t="str">
        <x:v>неизвестно</x:v>
      </x:c>
      <x:c r="AL165" s="32" t="n">
        <x:v>0</x:v>
      </x:c>
      <x:c r="AM165" s="13" t="str">
        <x:v>Остаток на начало сентября; Резервы неизвестны; Нет ежедневных данных доступности. Нет запаса</x:v>
      </x:c>
      <x:c r="AN165" s="13" t="str">
        <x:v>Подтвердить наличие, срок и цену закупки</x:v>
      </x:c>
      <x:c r="AO165" s="13" t="str">
        <x:v>Прогноз 30 дней 0.26; остаток 0; поступления в срок 0; нехватка 1; заказ с учётом MOQ 1 шт. Остаток на начало сентября: требуется актуализация.</x:v>
      </x:c>
      <x:c r="AP165" s="13" t="str">
        <x:v>["blank_stock_assumed_zero", "category_missing", "daily_stockout_data_missing", "moq_missing", "new_order_lead_time_unknown", "reservations_unknown", "stale_stock"]</x:v>
      </x:c>
      <x:c r="AQ165" s="10" t="str">
        <x:v>IEK:130600255_</x:v>
      </x:c>
      <x:c r="AR165" s="24" t="n">
        <x:v>1</x:v>
      </x:c>
      <x:c r="AS165" s="24" t="n">
        <x:f>MAX(0,ROUNDUP(MAX(0,AF165-AG165-AH165)/AR165-0.000000001,0)*AR165)</x:f>
        <x:v>1</x:v>
      </x:c>
      <x:c r="AT165" s="24" t="n">
        <x:v>0.26325839552084723</x:v>
      </x:c>
    </x:row>
    <x:row r="166" ht="64" customHeight="1">
      <x:c r="A166" s="11" t="str">
        <x:v>IEK</x:v>
      </x:c>
      <x:c r="B166" s="33" t="str">
        <x:v>130600256_</x:v>
      </x:c>
      <x:c r="C166" s="33" t="str">
        <x:v>A150-33-22NT</x:v>
      </x:c>
      <x:c r="D166" s="12" t="str">
        <x:v>Преобраз. частоты A150 380В 3Ф  2,2кВт 6А встр. торм ONI A150-33-22NT NEW (12) NEW</x:v>
      </x:c>
      <x:c r="E166" s="11" t="str">
        <x:v>шт</x:v>
      </x:c>
      <x:c r="F166" s="35" t="n">
        <x:f>AS166</x:f>
        <x:v>1</x:v>
      </x:c>
      <x:c r="G166" s="20" t="str">
        <x:f>IF(J166="Рассчитано",V166*(1-R166/100)-W166-P166-Q166,"н/д")</x:f>
        <x:v>н/д</x:v>
      </x:c>
      <x:c r="H166" s="12" t="str">
        <x:v>Высокий</x:v>
      </x:c>
      <x:c r="I166" s="12" t="str">
        <x:v>Критический</x:v>
      </x:c>
      <x:c r="J166" s="12" t="str">
        <x:f>IF(L166="","Укажите валюту",IF(NOT(ISNUMBER(K166)),"Укажите объём",IF(K166&lt;=0,"Укажите объём",IF(COUNT(M166:O166)&lt;3,"Нужны цены",IF(COUNT(P166:R166)&lt;3,"Нужны расходы",IF(OR(M166&lt;0,N166&lt;0,O166&lt;0,O166&gt;100,P166&lt;0,Q166&lt;0,R166&lt;0,R166&gt;100),"Проверьте значения","Рассчитано"))))))</x:f>
        <x:v>Нужны цены</x:v>
      </x:c>
      <x:c r="K166" s="36" t="n">
        <x:v>1</x:v>
      </x:c>
      <x:c r="L166" s="19" t="str">
        <x:v>KZT</x:v>
      </x:c>
      <x:c r="M166" s="22"/>
      <x:c r="N166" s="22"/>
      <x:c r="O166" s="28"/>
      <x:c r="P166" s="22"/>
      <x:c r="Q166" s="22"/>
      <x:c r="R166" s="28"/>
      <x:c r="S166" s="22"/>
      <x:c r="T166" s="35" t="n">
        <x:f>MIN(K166,AT166)</x:f>
        <x:v>0.21368387633943167</x:v>
      </x:c>
      <x:c r="U166" s="20" t="str">
        <x:f>IF(J166="Рассчитано",N166*(1-O166/100),"н/д")</x:f>
        <x:v>н/д</x:v>
      </x:c>
      <x:c r="V166" s="20" t="str">
        <x:f>IF(J166="Рассчитано",T166*U166,"н/д")</x:f>
        <x:v>н/д</x:v>
      </x:c>
      <x:c r="W166" s="20" t="str">
        <x:f>IF(J166="Рассчитано",T166*M166,"н/д")</x:f>
        <x:v>н/д</x:v>
      </x:c>
      <x:c r="X166" s="20" t="str">
        <x:f>IF(J166="Рассчитано",V166-W166,"н/д")</x:f>
        <x:v>н/д</x:v>
      </x:c>
      <x:c r="Y166" s="26" t="str">
        <x:f>IF(J166="Рассчитано",IF(V166&gt;0,G166/V166,"н/д"),"н/д")</x:f>
        <x:v>н/д</x:v>
      </x:c>
      <x:c r="Z166" s="20" t="str">
        <x:f>IF(J166="Рассчитано",K166*M166,"н/д")</x:f>
        <x:v>н/д</x:v>
      </x:c>
      <x:c r="AA166" s="20" t="str">
        <x:f>IF(J166="Рассчитано",(K166-T166)*M166,"н/д")</x:f>
        <x:v>н/д</x:v>
      </x:c>
      <x:c r="AB166" s="20" t="str">
        <x:f>IF(AND(J166="Рассчитано",ISNUMBER(S166)),K166*(S166-M166),"н/д")</x:f>
        <x:v>н/д</x:v>
      </x:c>
      <x:c r="AC166" s="20" t="str">
        <x:f>IF(AND(J166="Рассчитано",T166&gt;0,R166&lt;100),(W166+P166+Q166)/(T166*(1-R166/100)),"н/д")</x:f>
        <x:v>н/д</x:v>
      </x:c>
      <x:c r="AD166" s="11" t="str">
        <x:f>IF(ISNUMBER(G166),IF(G166&lt;0,"Убыток",IF(G166=0,"Без прибыли","Прибыль &gt; 0")),"Не оценён")</x:f>
        <x:v>Не оценён</x:v>
      </x:c>
      <x:c r="AE166" s="12" t="str">
        <x:f>IF(J166="Рассчитано","Выручка "&amp;TEXT(V166,"0.00")&amp;" - себестоимость "&amp;TEXT(W166,"0.00")&amp;" - комиссия "&amp;TEXT(V166*R166/100,"0.00")&amp;" - доставка "&amp;TEXT(P166,"0.00")&amp;" - прочие "&amp;TEXT(Q166,"0.00")&amp;" = "&amp;TEXT(G166,"0.00")&amp;" "&amp;L166,"Введите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6" s="23" t="n">
        <x:v>0.21368387633943167</x:v>
      </x:c>
      <x:c r="AG166" s="35" t="n">
        <x:v>0</x:v>
      </x:c>
      <x:c r="AH166" s="35" t="n">
        <x:v>0</x:v>
      </x:c>
      <x:c r="AI166" s="29" t="n">
        <x:v>46266</x:v>
      </x:c>
      <x:c r="AJ166" s="35"/>
      <x:c r="AK166" s="11" t="str">
        <x:v>неизвестно</x:v>
      </x:c>
      <x:c r="AL166" s="31" t="n">
        <x:v>0</x:v>
      </x:c>
      <x:c r="AM166" s="12" t="str">
        <x:v>Остаток на начало сентября; Резервы неизвестны; Нет ежедневных данных доступности. Нет запаса</x:v>
      </x:c>
      <x:c r="AN166" s="12" t="str">
        <x:v>Подтвердить наличие, срок и цену закупки</x:v>
      </x:c>
      <x:c r="AO166" s="12" t="str">
        <x:v>Прогноз 30 дней 0.21; остаток 0; поступления в срок 0; нехватка 1; заказ с учётом MOQ 1 шт. Остаток на начало сентября: требуется актуализация.</x:v>
      </x:c>
      <x:c r="AP166" s="12" t="str">
        <x:v>["blank_stock_assumed_zero", "category_missing", "daily_stockout_data_missing", "moq_missing", "new_order_lead_time_unknown", "reservations_unknown", "stale_stock"]</x:v>
      </x:c>
      <x:c r="AQ166" s="11" t="str">
        <x:v>IEK:130600256_</x:v>
      </x:c>
      <x:c r="AR166" s="23" t="n">
        <x:v>1</x:v>
      </x:c>
      <x:c r="AS166" s="23" t="n">
        <x:f>MAX(0,ROUNDUP(MAX(0,AF166-AG166-AH166)/AR166-0.000000001,0)*AR166)</x:f>
        <x:v>1</x:v>
      </x:c>
      <x:c r="AT166" s="23" t="n">
        <x:v>0.21368387633943167</x:v>
      </x:c>
    </x:row>
    <x:row r="167" ht="64" customHeight="1">
      <x:c r="A167" s="10" t="str">
        <x:v>IEK</x:v>
      </x:c>
      <x:c r="B167" s="34" t="str">
        <x:v>130600261_</x:v>
      </x:c>
      <x:c r="C167" s="34"/>
      <x:c r="D167" s="13" t="str">
        <x:v>Блок питания OPS 220В AC/24В DC 30Вт ONI OPS-DC24-030B NEW</x:v>
      </x:c>
      <x:c r="E167" s="10" t="str">
        <x:v>шт</x:v>
      </x:c>
      <x:c r="F167" s="37" t="n">
        <x:f>AS167</x:f>
        <x:v>3</x:v>
      </x:c>
      <x:c r="G167" s="21" t="str">
        <x:f>IF(J167="Рассчитано",V167*(1-R167/100)-W167-P167-Q167,"н/д")</x:f>
        <x:v>н/д</x:v>
      </x:c>
      <x:c r="H167" s="13" t="str">
        <x:v>Высокий</x:v>
      </x:c>
      <x:c r="I167" s="13" t="str">
        <x:v>Критический</x:v>
      </x:c>
      <x:c r="J167" s="13" t="str">
        <x:f>IF(L167="","Укажите валюту",IF(NOT(ISNUMBER(K167)),"Укажите объём",IF(K167&lt;=0,"Укажите объём",IF(COUNT(M167:O167)&lt;3,"Нужны цены",IF(COUNT(P167:R167)&lt;3,"Нужны расходы",IF(OR(M167&lt;0,N167&lt;0,O167&lt;0,O167&gt;100,P167&lt;0,Q167&lt;0,R167&lt;0,R167&gt;100),"Проверьте значения","Рассчитано"))))))</x:f>
        <x:v>Нужны цены</x:v>
      </x:c>
      <x:c r="K167" s="36" t="n">
        <x:v>3</x:v>
      </x:c>
      <x:c r="L167" s="19" t="str">
        <x:v>KZT</x:v>
      </x:c>
      <x:c r="M167" s="22"/>
      <x:c r="N167" s="22"/>
      <x:c r="O167" s="28"/>
      <x:c r="P167" s="22"/>
      <x:c r="Q167" s="22"/>
      <x:c r="R167" s="28"/>
      <x:c r="S167" s="22"/>
      <x:c r="T167" s="37" t="n">
        <x:f>MIN(K167,AT167)</x:f>
        <x:v>2.4060825179895584</x:v>
      </x:c>
      <x:c r="U167" s="21" t="str">
        <x:f>IF(J167="Рассчитано",N167*(1-O167/100),"н/д")</x:f>
        <x:v>н/д</x:v>
      </x:c>
      <x:c r="V167" s="21" t="str">
        <x:f>IF(J167="Рассчитано",T167*U167,"н/д")</x:f>
        <x:v>н/д</x:v>
      </x:c>
      <x:c r="W167" s="21" t="str">
        <x:f>IF(J167="Рассчитано",T167*M167,"н/д")</x:f>
        <x:v>н/д</x:v>
      </x:c>
      <x:c r="X167" s="21" t="str">
        <x:f>IF(J167="Рассчитано",V167-W167,"н/д")</x:f>
        <x:v>н/д</x:v>
      </x:c>
      <x:c r="Y167" s="27" t="str">
        <x:f>IF(J167="Рассчитано",IF(V167&gt;0,G167/V167,"н/д"),"н/д")</x:f>
        <x:v>н/д</x:v>
      </x:c>
      <x:c r="Z167" s="21" t="str">
        <x:f>IF(J167="Рассчитано",K167*M167,"н/д")</x:f>
        <x:v>н/д</x:v>
      </x:c>
      <x:c r="AA167" s="21" t="str">
        <x:f>IF(J167="Рассчитано",(K167-T167)*M167,"н/д")</x:f>
        <x:v>н/д</x:v>
      </x:c>
      <x:c r="AB167" s="21" t="str">
        <x:f>IF(AND(J167="Рассчитано",ISNUMBER(S167)),K167*(S167-M167),"н/д")</x:f>
        <x:v>н/д</x:v>
      </x:c>
      <x:c r="AC167" s="21" t="str">
        <x:f>IF(AND(J167="Рассчитано",T167&gt;0,R167&lt;100),(W167+P167+Q167)/(T167*(1-R167/100)),"н/д")</x:f>
        <x:v>н/д</x:v>
      </x:c>
      <x:c r="AD167" s="10" t="str">
        <x:f>IF(ISNUMBER(G167),IF(G167&lt;0,"Убыток",IF(G167=0,"Без прибыли","Прибыль &gt; 0")),"Не оценён")</x:f>
        <x:v>Не оценён</x:v>
      </x:c>
      <x:c r="AE167" s="13" t="str">
        <x:f>IF(J167="Рассчитано","Выручка "&amp;TEXT(V167,"0.00")&amp;" - себестоимость "&amp;TEXT(W167,"0.00")&amp;" - комиссия "&amp;TEXT(V167*R167/100,"0.00")&amp;" - доставка "&amp;TEXT(P167,"0.00")&amp;" - прочие "&amp;TEXT(Q167,"0.00")&amp;" = "&amp;TEXT(G167,"0.00")&amp;" "&amp;L167,"Введите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7" s="24" t="n">
        <x:v>2.4060825179895584</x:v>
      </x:c>
      <x:c r="AG167" s="37" t="n">
        <x:v>0</x:v>
      </x:c>
      <x:c r="AH167" s="37" t="n">
        <x:v>0</x:v>
      </x:c>
      <x:c r="AI167" s="30" t="n">
        <x:v>46266</x:v>
      </x:c>
      <x:c r="AJ167" s="37"/>
      <x:c r="AK167" s="10" t="str">
        <x:v>неизвестно</x:v>
      </x:c>
      <x:c r="AL167" s="32" t="n">
        <x:v>0</x:v>
      </x:c>
      <x:c r="AM167" s="13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167" s="13" t="str">
        <x:v>Подтвердить наличие, срок и цену закупки</x:v>
      </x:c>
      <x:c r="AO167" s="13" t="str">
        <x:v>Прогноз 30 дней 2.41; остаток 0; поступления в срок 0; нехватка 3; заказ с учётом MOQ 3 шт. Остаток на начало сентября: требуется актуализация.</x:v>
      </x:c>
      <x:c r="AP167" s="13" t="str">
        <x:v>["blank_stock_assumed_zero", "category_missing", "daily_stockout_data_missing", "moq_missing", "new_order_lead_time_unknown", "reservations_unknown", "stale_stock", "stockout_proxy_used", "supplier_sku_missing"]</x:v>
      </x:c>
      <x:c r="AQ167" s="10" t="str">
        <x:v>IEK:130600261_</x:v>
      </x:c>
      <x:c r="AR167" s="24" t="n">
        <x:v>1</x:v>
      </x:c>
      <x:c r="AS167" s="24" t="n">
        <x:f>MAX(0,ROUNDUP(MAX(0,AF167-AG167-AH167)/AR167-0.000000001,0)*AR167)</x:f>
        <x:v>3</x:v>
      </x:c>
      <x:c r="AT167" s="24" t="n">
        <x:v>2.4060825179895584</x:v>
      </x:c>
    </x:row>
    <x:row r="168" ht="64" customHeight="1">
      <x:c r="A168" s="11" t="str">
        <x:v>IEK</x:v>
      </x:c>
      <x:c r="B168" s="33" t="str">
        <x:v>130900013_</x:v>
      </x:c>
      <x:c r="C168" s="33" t="str">
        <x:v>KVK20-10-3</x:v>
      </x:c>
      <x:c r="D168" s="12" t="str">
        <x:v>ВКИ-216 3Р 10А 230\400В IP40 IEK (10/120)</x:v>
      </x:c>
      <x:c r="E168" s="11" t="str">
        <x:v>шт</x:v>
      </x:c>
      <x:c r="F168" s="35" t="n">
        <x:f>IF(AS168&gt;0,MAX(AS168,AJ168),0)</x:f>
        <x:v>10</x:v>
      </x:c>
      <x:c r="G168" s="20" t="str">
        <x:f>IF(J168="Рассчитано",V168*(1-R168/100)-W168-P168-Q168,"н/д")</x:f>
        <x:v>н/д</x:v>
      </x:c>
      <x:c r="H168" s="12" t="str">
        <x:v>Высокий</x:v>
      </x:c>
      <x:c r="I168" s="12" t="str">
        <x:v>Высокий</x:v>
      </x:c>
      <x:c r="J168" s="12" t="str">
        <x:f>IF(L168="","Укажите валюту",IF(NOT(ISNUMBER(K168)),"Укажите объём",IF(K168&lt;=0,"Укажите объём",IF(COUNT(M168:O168)&lt;3,"Нужны цены",IF(COUNT(P168:R168)&lt;3,"Нужны расходы",IF(OR(M168&lt;0,N168&lt;0,O168&lt;0,O168&gt;100,P168&lt;0,Q168&lt;0,R168&lt;0,R168&gt;100),"Проверьте значения","Рассчитано"))))))</x:f>
        <x:v>Нужны цены</x:v>
      </x:c>
      <x:c r="K168" s="36" t="n">
        <x:v>10</x:v>
      </x:c>
      <x:c r="L168" s="19" t="str">
        <x:v>KZT</x:v>
      </x:c>
      <x:c r="M168" s="22"/>
      <x:c r="N168" s="22"/>
      <x:c r="O168" s="28"/>
      <x:c r="P168" s="22"/>
      <x:c r="Q168" s="22"/>
      <x:c r="R168" s="28"/>
      <x:c r="S168" s="22"/>
      <x:c r="T168" s="35" t="n">
        <x:f>MIN(K168,AT168)</x:f>
        <x:v>5.089081280522919</x:v>
      </x:c>
      <x:c r="U168" s="20" t="str">
        <x:f>IF(J168="Рассчитано",N168*(1-O168/100),"н/д")</x:f>
        <x:v>н/д</x:v>
      </x:c>
      <x:c r="V168" s="20" t="str">
        <x:f>IF(J168="Рассчитано",T168*U168,"н/д")</x:f>
        <x:v>н/д</x:v>
      </x:c>
      <x:c r="W168" s="20" t="str">
        <x:f>IF(J168="Рассчитано",T168*M168,"н/д")</x:f>
        <x:v>н/д</x:v>
      </x:c>
      <x:c r="X168" s="20" t="str">
        <x:f>IF(J168="Рассчитано",V168-W168,"н/д")</x:f>
        <x:v>н/д</x:v>
      </x:c>
      <x:c r="Y168" s="26" t="str">
        <x:f>IF(J168="Рассчитано",IF(V168&gt;0,G168/V168,"н/д"),"н/д")</x:f>
        <x:v>н/д</x:v>
      </x:c>
      <x:c r="Z168" s="20" t="str">
        <x:f>IF(J168="Рассчитано",K168*M168,"н/д")</x:f>
        <x:v>н/д</x:v>
      </x:c>
      <x:c r="AA168" s="20" t="str">
        <x:f>IF(J168="Рассчитано",(K168-T168)*M168,"н/д")</x:f>
        <x:v>н/д</x:v>
      </x:c>
      <x:c r="AB168" s="20" t="str">
        <x:f>IF(AND(J168="Рассчитано",ISNUMBER(S168)),K168*(S168-M168),"н/д")</x:f>
        <x:v>н/д</x:v>
      </x:c>
      <x:c r="AC168" s="20" t="str">
        <x:f>IF(AND(J168="Рассчитано",T168&gt;0,R168&lt;100),(W168+P168+Q168)/(T168*(1-R168/100)),"н/д")</x:f>
        <x:v>н/д</x:v>
      </x:c>
      <x:c r="AD168" s="11" t="str">
        <x:f>IF(ISNUMBER(G168),IF(G168&lt;0,"Убыток",IF(G168=0,"Без прибыли","Прибыль &gt; 0")),"Не оценён")</x:f>
        <x:v>Не оценён</x:v>
      </x:c>
      <x:c r="AE168" s="12" t="str">
        <x:f>IF(J168="Рассчитано","Выручка "&amp;TEXT(V168,"0.00")&amp;" - себестоимость "&amp;TEXT(W168,"0.00")&amp;" - комиссия "&amp;TEXT(V168*R168/100,"0.00")&amp;" - доставка "&amp;TEXT(P168,"0.00")&amp;" - прочие "&amp;TEXT(Q168,"0.00")&amp;" = "&amp;TEXT(G168,"0.00")&amp;" "&amp;L168,"Введите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8" s="23" t="n">
        <x:v>8.089081280522919</x:v>
      </x:c>
      <x:c r="AG168" s="35" t="n">
        <x:v>3</x:v>
      </x:c>
      <x:c r="AH168" s="35" t="n">
        <x:v>0</x:v>
      </x:c>
      <x:c r="AI168" s="29" t="n">
        <x:v>46266</x:v>
      </x:c>
      <x:c r="AJ168" s="35" t="n">
        <x:v>10</x:v>
      </x:c>
      <x:c r="AK168" s="11" t="str">
        <x:v>минимум</x:v>
      </x:c>
      <x:c r="AL168" s="31" t="n">
        <x:v>11.126108995431178</x:v>
      </x:c>
      <x:c r="AM168" s="12" t="str">
        <x:v>Остаток на начало сентября; Резервы неизвестны; Нет ежедневных данных доступности. Запаса примерно на 11.1 дн. без поступлений</x:v>
      </x:c>
      <x:c r="AN168" s="12" t="str">
        <x:v>Подтвердить наличие, срок и цену закупки</x:v>
      </x:c>
      <x:c r="AO168" s="12" t="str">
        <x:v>Прогноз 30 дней 8.09; остаток 3; поступления в срок 0; нехватка 6; заказ с учётом MOQ 10 шт. Остаток на начало сентября: требуется актуализация.</x:v>
      </x:c>
      <x:c r="AP168" s="12" t="str">
        <x:v>["category_missing", "daily_stockout_data_missing", "new_order_lead_time_unknown", "reservations_unknown", "stale_stock"]</x:v>
      </x:c>
      <x:c r="AQ168" s="11" t="str">
        <x:v>IEK:130900013_</x:v>
      </x:c>
      <x:c r="AR168" s="23" t="n">
        <x:v>1</x:v>
      </x:c>
      <x:c r="AS168" s="23" t="n">
        <x:f>MAX(0,ROUNDUP(MAX(0,AF168-AG168-AH168)/AR168-0.000000001,0)*AR168)</x:f>
        <x:v>6</x:v>
      </x:c>
      <x:c r="AT168" s="23" t="n">
        <x:v>5.089081280522919</x:v>
      </x:c>
    </x:row>
    <x:row r="169" ht="64" customHeight="1">
      <x:c r="A169" s="10" t="str">
        <x:v>IEK</x:v>
      </x:c>
      <x:c r="B169" s="34" t="str">
        <x:v>150100723_</x:v>
      </x:c>
      <x:c r="C169" s="34" t="str">
        <x:v>UDRS-D8-100-K02</x:v>
      </x:c>
      <x:c r="D169" s="13" t="str">
        <x:v>ТУТ  8/4 черная IEK (100)</x:v>
      </x:c>
      <x:c r="E169" s="10" t="str">
        <x:v>м</x:v>
      </x:c>
      <x:c r="F169" s="24" t="n">
        <x:f>AS169</x:f>
        <x:v>1.447</x:v>
      </x:c>
      <x:c r="G169" s="21" t="str">
        <x:f>IF(J169="Рассчитано",V169*(1-R169/100)-W169-P169-Q169,"н/д")</x:f>
        <x:v>н/д</x:v>
      </x:c>
      <x:c r="H169" s="13" t="str">
        <x:v>Высокий</x:v>
      </x:c>
      <x:c r="I169" s="13" t="str">
        <x:v>Высокий</x:v>
      </x:c>
      <x:c r="J169" s="13" t="str">
        <x:f>IF(L169="","Укажите валюту",IF(NOT(ISNUMBER(K169)),"Укажите объём",IF(K169&lt;=0,"Укажите объём",IF(COUNT(M169:O169)&lt;3,"Нужны цены",IF(COUNT(P169:R169)&lt;3,"Нужны расходы",IF(OR(M169&lt;0,N169&lt;0,O169&lt;0,O169&gt;100,P169&lt;0,Q169&lt;0,R169&lt;0,R169&gt;100),"Проверьте значения","Рассчитано"))))))</x:f>
        <x:v>Нужны цены</x:v>
      </x:c>
      <x:c r="K169" s="25" t="n">
        <x:v>1.447</x:v>
      </x:c>
      <x:c r="L169" s="19" t="str">
        <x:v>KZT</x:v>
      </x:c>
      <x:c r="M169" s="22"/>
      <x:c r="N169" s="22"/>
      <x:c r="O169" s="28"/>
      <x:c r="P169" s="22"/>
      <x:c r="Q169" s="22"/>
      <x:c r="R169" s="28"/>
      <x:c r="S169" s="22"/>
      <x:c r="T169" s="24" t="n">
        <x:f>MIN(K169,AT169)</x:f>
        <x:v>1.4464031578001353</x:v>
      </x:c>
      <x:c r="U169" s="21" t="str">
        <x:f>IF(J169="Рассчитано",N169*(1-O169/100),"н/д")</x:f>
        <x:v>н/д</x:v>
      </x:c>
      <x:c r="V169" s="21" t="str">
        <x:f>IF(J169="Рассчитано",T169*U169,"н/д")</x:f>
        <x:v>н/д</x:v>
      </x:c>
      <x:c r="W169" s="21" t="str">
        <x:f>IF(J169="Рассчитано",T169*M169,"н/д")</x:f>
        <x:v>н/д</x:v>
      </x:c>
      <x:c r="X169" s="21" t="str">
        <x:f>IF(J169="Рассчитано",V169-W169,"н/д")</x:f>
        <x:v>н/д</x:v>
      </x:c>
      <x:c r="Y169" s="27" t="str">
        <x:f>IF(J169="Рассчитано",IF(V169&gt;0,G169/V169,"н/д"),"н/д")</x:f>
        <x:v>н/д</x:v>
      </x:c>
      <x:c r="Z169" s="21" t="str">
        <x:f>IF(J169="Рассчитано",K169*M169,"н/д")</x:f>
        <x:v>н/д</x:v>
      </x:c>
      <x:c r="AA169" s="21" t="str">
        <x:f>IF(J169="Рассчитано",(K169-T169)*M169,"н/д")</x:f>
        <x:v>н/д</x:v>
      </x:c>
      <x:c r="AB169" s="21" t="str">
        <x:f>IF(AND(J169="Рассчитано",ISNUMBER(S169)),K169*(S169-M169),"н/д")</x:f>
        <x:v>н/д</x:v>
      </x:c>
      <x:c r="AC169" s="21" t="str">
        <x:f>IF(AND(J169="Рассчитано",T169&gt;0,R169&lt;100),(W169+P169+Q169)/(T169*(1-R169/100)),"н/д")</x:f>
        <x:v>н/д</x:v>
      </x:c>
      <x:c r="AD169" s="10" t="str">
        <x:f>IF(ISNUMBER(G169),IF(G169&lt;0,"Убыток",IF(G169=0,"Без прибыли","Прибыль &gt; 0")),"Не оценён")</x:f>
        <x:v>Не оценён</x:v>
      </x:c>
      <x:c r="AE169" s="13" t="str">
        <x:f>IF(J169="Рассчитано","Выручка "&amp;TEXT(V169,"0.00")&amp;" - себестоимость "&amp;TEXT(W169,"0.00")&amp;" - комиссия "&amp;TEXT(V169*R169/100,"0.00")&amp;" - доставка "&amp;TEXT(P169,"0.00")&amp;" - прочие "&amp;TEXT(Q169,"0.00")&amp;" = "&amp;TEXT(G169,"0.00")&amp;" "&amp;L169,"Введите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69" s="24" t="n">
        <x:v>2.4464031578001353</x:v>
      </x:c>
      <x:c r="AG169" s="24" t="n">
        <x:v>1</x:v>
      </x:c>
      <x:c r="AH169" s="24" t="n">
        <x:v>0</x:v>
      </x:c>
      <x:c r="AI169" s="30" t="n">
        <x:v>46266</x:v>
      </x:c>
      <x:c r="AJ169" s="24"/>
      <x:c r="AK169" s="10" t="str">
        <x:v>неизвестно</x:v>
      </x:c>
      <x:c r="AL169" s="32" t="n">
        <x:v>12.262901110288267</x:v>
      </x:c>
      <x:c r="AM169" s="13" t="str">
        <x:v>Остаток на начало сентября; Резервы неизвестны; Stockout оценён по месячным снимкам; Нет ежедневных данных доступности. Запаса примерно на 12.3 дн. без поступлений</x:v>
      </x:c>
      <x:c r="AN169" s="13" t="str">
        <x:v>Подтвердить наличие, срок и цену закупки</x:v>
      </x:c>
      <x:c r="AO169" s="13" t="str">
        <x:v>Прогноз 30 дней 2.45; остаток 1; поступления в срок 0; нехватка 1.447; заказ с учётом MOQ 1.447 м. Остаток на начало сентября: требуется актуализация.</x:v>
      </x:c>
      <x:c r="AP169" s="13" t="str">
        <x:v>["category_missing", "daily_stockout_data_missing", "moq_missing", "new_order_lead_time_unknown", "reservations_unknown", "stale_stock", "stockout_proxy_used"]</x:v>
      </x:c>
      <x:c r="AQ169" s="10" t="str">
        <x:v>IEK:150100723_</x:v>
      </x:c>
      <x:c r="AR169" s="24" t="n">
        <x:v>0.001</x:v>
      </x:c>
      <x:c r="AS169" s="24" t="n">
        <x:f>MAX(0,ROUNDUP(MAX(0,AF169-AG169-AH169)/AR169-0.000000001,0)*AR169)</x:f>
        <x:v>1.447</x:v>
      </x:c>
      <x:c r="AT169" s="24" t="n">
        <x:v>1.4464031578001353</x:v>
      </x:c>
    </x:row>
    <x:row r="170" ht="64" customHeight="1">
      <x:c r="A170" s="11" t="str">
        <x:v>IEK</x:v>
      </x:c>
      <x:c r="B170" s="33" t="str">
        <x:v>150100854_</x:v>
      </x:c>
      <x:c r="C170" s="33" t="str">
        <x:v>UDRS-D2-1-K02</x:v>
      </x:c>
      <x:c r="D170" s="12" t="str">
        <x:v>ТУТ  2/1 черная IEK (1)</x:v>
      </x:c>
      <x:c r="E170" s="11" t="str">
        <x:v>м</x:v>
      </x:c>
      <x:c r="F170" s="23" t="n">
        <x:f>AS170</x:f>
        <x:v>1.7830000000000001</x:v>
      </x:c>
      <x:c r="G170" s="20" t="str">
        <x:f>IF(J170="Рассчитано",V170*(1-R170/100)-W170-P170-Q170,"н/д")</x:f>
        <x:v>н/д</x:v>
      </x:c>
      <x:c r="H170" s="12" t="str">
        <x:v>Высокий</x:v>
      </x:c>
      <x:c r="I170" s="12" t="str">
        <x:v>Критический</x:v>
      </x:c>
      <x:c r="J170" s="12" t="str">
        <x:f>IF(L170="","Укажите валюту",IF(NOT(ISNUMBER(K170)),"Укажите объём",IF(K170&lt;=0,"Укажите объём",IF(COUNT(M170:O170)&lt;3,"Нужны цены",IF(COUNT(P170:R170)&lt;3,"Нужны расходы",IF(OR(M170&lt;0,N170&lt;0,O170&lt;0,O170&gt;100,P170&lt;0,Q170&lt;0,R170&lt;0,R170&gt;100),"Проверьте значения","Рассчитано"))))))</x:f>
        <x:v>Нужны цены</x:v>
      </x:c>
      <x:c r="K170" s="25" t="n">
        <x:v>1.7830000000000001</x:v>
      </x:c>
      <x:c r="L170" s="19" t="str">
        <x:v>KZT</x:v>
      </x:c>
      <x:c r="M170" s="22"/>
      <x:c r="N170" s="22"/>
      <x:c r="O170" s="28"/>
      <x:c r="P170" s="22"/>
      <x:c r="Q170" s="22"/>
      <x:c r="R170" s="28"/>
      <x:c r="S170" s="22"/>
      <x:c r="T170" s="23" t="n">
        <x:f>MIN(K170,AT170)</x:f>
        <x:v>1.7822543038044416</x:v>
      </x:c>
      <x:c r="U170" s="20" t="str">
        <x:f>IF(J170="Рассчитано",N170*(1-O170/100),"н/д")</x:f>
        <x:v>н/д</x:v>
      </x:c>
      <x:c r="V170" s="20" t="str">
        <x:f>IF(J170="Рассчитано",T170*U170,"н/д")</x:f>
        <x:v>н/д</x:v>
      </x:c>
      <x:c r="W170" s="20" t="str">
        <x:f>IF(J170="Рассчитано",T170*M170,"н/д")</x:f>
        <x:v>н/д</x:v>
      </x:c>
      <x:c r="X170" s="20" t="str">
        <x:f>IF(J170="Рассчитано",V170-W170,"н/д")</x:f>
        <x:v>н/д</x:v>
      </x:c>
      <x:c r="Y170" s="26" t="str">
        <x:f>IF(J170="Рассчитано",IF(V170&gt;0,G170/V170,"н/д"),"н/д")</x:f>
        <x:v>н/д</x:v>
      </x:c>
      <x:c r="Z170" s="20" t="str">
        <x:f>IF(J170="Рассчитано",K170*M170,"н/д")</x:f>
        <x:v>н/д</x:v>
      </x:c>
      <x:c r="AA170" s="20" t="str">
        <x:f>IF(J170="Рассчитано",(K170-T170)*M170,"н/д")</x:f>
        <x:v>н/д</x:v>
      </x:c>
      <x:c r="AB170" s="20" t="str">
        <x:f>IF(AND(J170="Рассчитано",ISNUMBER(S170)),K170*(S170-M170),"н/д")</x:f>
        <x:v>н/д</x:v>
      </x:c>
      <x:c r="AC170" s="20" t="str">
        <x:f>IF(AND(J170="Рассчитано",T170&gt;0,R170&lt;100),(W170+P170+Q170)/(T170*(1-R170/100)),"н/д")</x:f>
        <x:v>н/д</x:v>
      </x:c>
      <x:c r="AD170" s="11" t="str">
        <x:f>IF(ISNUMBER(G170),IF(G170&lt;0,"Убыток",IF(G170=0,"Без прибыли","Прибыль &gt; 0")),"Не оценён")</x:f>
        <x:v>Не оценён</x:v>
      </x:c>
      <x:c r="AE170" s="12" t="str">
        <x:f>IF(J170="Рассчитано","Выручка "&amp;TEXT(V170,"0.00")&amp;" - себестоимость "&amp;TEXT(W170,"0.00")&amp;" - комиссия "&amp;TEXT(V170*R170/100,"0.00")&amp;" - доставка "&amp;TEXT(P170,"0.00")&amp;" - прочие "&amp;TEXT(Q170,"0.00")&amp;" = "&amp;TEXT(G170,"0.00")&amp;" "&amp;L170,"Введите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0" s="23" t="n">
        <x:v>1.7822543038044416</x:v>
      </x:c>
      <x:c r="AG170" s="23" t="n">
        <x:v>0</x:v>
      </x:c>
      <x:c r="AH170" s="23" t="n">
        <x:v>0</x:v>
      </x:c>
      <x:c r="AI170" s="29" t="n">
        <x:v>46266</x:v>
      </x:c>
      <x:c r="AJ170" s="23"/>
      <x:c r="AK170" s="11" t="str">
        <x:v>неизвестно</x:v>
      </x:c>
      <x:c r="AL170" s="31" t="n">
        <x:v>0</x:v>
      </x:c>
      <x:c r="AM17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70" s="12" t="str">
        <x:v>Подтвердить наличие, срок и цену закупки</x:v>
      </x:c>
      <x:c r="AO170" s="12" t="str">
        <x:v>Прогноз 30 дней 1.78; остаток 0; поступления в срок 0; нехватка 1.783; заказ с учётом MOQ 1.783 м. Остаток на начало сентября: требуется актуализация.</x:v>
      </x:c>
      <x:c r="AP170" s="12" t="str">
        <x:v>["blank_stock_assumed_zero", "category_missing", "daily_stockout_data_missing", "moq_missing", "new_order_lead_time_unknown", "reservations_unknown", "stale_stock", "stockout_proxy_used"]</x:v>
      </x:c>
      <x:c r="AQ170" s="11" t="str">
        <x:v>IEK:150100854_</x:v>
      </x:c>
      <x:c r="AR170" s="23" t="n">
        <x:v>0.001</x:v>
      </x:c>
      <x:c r="AS170" s="23" t="n">
        <x:f>MAX(0,ROUNDUP(MAX(0,AF170-AG170-AH170)/AR170-0.000000001,0)*AR170)</x:f>
        <x:v>1.7830000000000001</x:v>
      </x:c>
      <x:c r="AT170" s="23" t="n">
        <x:v>1.7822543038044416</x:v>
      </x:c>
    </x:row>
    <x:row r="171" ht="64" customHeight="1">
      <x:c r="A171" s="10" t="str">
        <x:v>IEK</x:v>
      </x:c>
      <x:c r="B171" s="34" t="str">
        <x:v>150100961_</x:v>
      </x:c>
      <x:c r="C171" s="34" t="str">
        <x:v>UDRS-D6-100-K02</x:v>
      </x:c>
      <x:c r="D171" s="13" t="str">
        <x:v>ТУТ  6/3 черная IEK (200)</x:v>
      </x:c>
      <x:c r="E171" s="10" t="str">
        <x:v>м</x:v>
      </x:c>
      <x:c r="F171" s="24" t="n">
        <x:f>AS171</x:f>
        <x:v>0.509</x:v>
      </x:c>
      <x:c r="G171" s="21" t="str">
        <x:f>IF(J171="Рассчитано",V171*(1-R171/100)-W171-P171-Q171,"н/д")</x:f>
        <x:v>н/д</x:v>
      </x:c>
      <x:c r="H171" s="13" t="str">
        <x:v>Высокий</x:v>
      </x:c>
      <x:c r="I171" s="13" t="str">
        <x:v>Критический</x:v>
      </x:c>
      <x:c r="J171" s="13" t="str">
        <x:f>IF(L171="","Укажите валюту",IF(NOT(ISNUMBER(K171)),"Укажите объём",IF(K171&lt;=0,"Укажите объём",IF(COUNT(M171:O171)&lt;3,"Нужны цены",IF(COUNT(P171:R171)&lt;3,"Нужны расходы",IF(OR(M171&lt;0,N171&lt;0,O171&lt;0,O171&gt;100,P171&lt;0,Q171&lt;0,R171&lt;0,R171&gt;100),"Проверьте значения","Рассчитано"))))))</x:f>
        <x:v>Нужны цены</x:v>
      </x:c>
      <x:c r="K171" s="25" t="n">
        <x:v>0.509</x:v>
      </x:c>
      <x:c r="L171" s="19" t="str">
        <x:v>KZT</x:v>
      </x:c>
      <x:c r="M171" s="22"/>
      <x:c r="N171" s="22"/>
      <x:c r="O171" s="28"/>
      <x:c r="P171" s="22"/>
      <x:c r="Q171" s="22"/>
      <x:c r="R171" s="28"/>
      <x:c r="S171" s="22"/>
      <x:c r="T171" s="24" t="n">
        <x:f>MIN(K171,AT171)</x:f>
        <x:v>0.5080454875481488</x:v>
      </x:c>
      <x:c r="U171" s="21" t="str">
        <x:f>IF(J171="Рассчитано",N171*(1-O171/100),"н/д")</x:f>
        <x:v>н/д</x:v>
      </x:c>
      <x:c r="V171" s="21" t="str">
        <x:f>IF(J171="Рассчитано",T171*U171,"н/д")</x:f>
        <x:v>н/д</x:v>
      </x:c>
      <x:c r="W171" s="21" t="str">
        <x:f>IF(J171="Рассчитано",T171*M171,"н/д")</x:f>
        <x:v>н/д</x:v>
      </x:c>
      <x:c r="X171" s="21" t="str">
        <x:f>IF(J171="Рассчитано",V171-W171,"н/д")</x:f>
        <x:v>н/д</x:v>
      </x:c>
      <x:c r="Y171" s="27" t="str">
        <x:f>IF(J171="Рассчитано",IF(V171&gt;0,G171/V171,"н/д"),"н/д")</x:f>
        <x:v>н/д</x:v>
      </x:c>
      <x:c r="Z171" s="21" t="str">
        <x:f>IF(J171="Рассчитано",K171*M171,"н/д")</x:f>
        <x:v>н/д</x:v>
      </x:c>
      <x:c r="AA171" s="21" t="str">
        <x:f>IF(J171="Рассчитано",(K171-T171)*M171,"н/д")</x:f>
        <x:v>н/д</x:v>
      </x:c>
      <x:c r="AB171" s="21" t="str">
        <x:f>IF(AND(J171="Рассчитано",ISNUMBER(S171)),K171*(S171-M171),"н/д")</x:f>
        <x:v>н/д</x:v>
      </x:c>
      <x:c r="AC171" s="21" t="str">
        <x:f>IF(AND(J171="Рассчитано",T171&gt;0,R171&lt;100),(W171+P171+Q171)/(T171*(1-R171/100)),"н/д")</x:f>
        <x:v>н/д</x:v>
      </x:c>
      <x:c r="AD171" s="10" t="str">
        <x:f>IF(ISNUMBER(G171),IF(G171&lt;0,"Убыток",IF(G171=0,"Без прибыли","Прибыль &gt; 0")),"Не оценён")</x:f>
        <x:v>Не оценён</x:v>
      </x:c>
      <x:c r="AE171" s="13" t="str">
        <x:f>IF(J171="Рассчитано","Выручка "&amp;TEXT(V171,"0.00")&amp;" - себестоимость "&amp;TEXT(W171,"0.00")&amp;" - комиссия "&amp;TEXT(V171*R171/100,"0.00")&amp;" - доставка "&amp;TEXT(P171,"0.00")&amp;" - прочие "&amp;TEXT(Q171,"0.00")&amp;" = "&amp;TEXT(G171,"0.00")&amp;" "&amp;L171,"Введите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1" s="24" t="n">
        <x:v>0.5080454875481488</x:v>
      </x:c>
      <x:c r="AG171" s="24" t="n">
        <x:v>0</x:v>
      </x:c>
      <x:c r="AH171" s="24" t="n">
        <x:v>0</x:v>
      </x:c>
      <x:c r="AI171" s="30" t="n">
        <x:v>46266</x:v>
      </x:c>
      <x:c r="AJ171" s="24"/>
      <x:c r="AK171" s="10" t="str">
        <x:v>неизвестно</x:v>
      </x:c>
      <x:c r="AL171" s="32" t="n">
        <x:v>0</x:v>
      </x:c>
      <x:c r="AM171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71" s="13" t="str">
        <x:v>Подтвердить наличие, срок и цену закупки</x:v>
      </x:c>
      <x:c r="AO171" s="13" t="str">
        <x:v>Прогноз 30 дней 0.51; остаток 0; поступления в срок 0; нехватка 0.509; заказ с учётом MOQ 0.509 м. Остаток на начало сентября: требуется актуализация.</x:v>
      </x:c>
      <x:c r="AP171" s="13" t="str">
        <x:v>["blank_stock_assumed_zero", "category_missing", "daily_stockout_data_missing", "moq_missing", "new_order_lead_time_unknown", "reservations_unknown", "stale_stock", "stockout_proxy_used"]</x:v>
      </x:c>
      <x:c r="AQ171" s="10" t="str">
        <x:v>IEK:150100961_</x:v>
      </x:c>
      <x:c r="AR171" s="24" t="n">
        <x:v>0.001</x:v>
      </x:c>
      <x:c r="AS171" s="24" t="n">
        <x:f>MAX(0,ROUNDUP(MAX(0,AF171-AG171-AH171)/AR171-0.000000001,0)*AR171)</x:f>
        <x:v>0.509</x:v>
      </x:c>
      <x:c r="AT171" s="24" t="n">
        <x:v>0.5080454875481488</x:v>
      </x:c>
    </x:row>
    <x:row r="172" ht="64" customHeight="1">
      <x:c r="A172" s="11" t="str">
        <x:v>IEK</x:v>
      </x:c>
      <x:c r="B172" s="33" t="str">
        <x:v>150101188_</x:v>
      </x:c>
      <x:c r="C172" s="33" t="str">
        <x:v>LT-UBU0-5107-GU10-1-K01</x:v>
      </x:c>
      <x:c r="D172" s="12" t="str">
        <x:v>Светильник уличный 5107 настенный GU10 IP65 белый IEK</x:v>
      </x:c>
      <x:c r="E172" s="11" t="str">
        <x:v>шт</x:v>
      </x:c>
      <x:c r="F172" s="35" t="n">
        <x:f>IF(AS172&gt;0,MAX(AS172,AJ172),0)</x:f>
        <x:v>1</x:v>
      </x:c>
      <x:c r="G172" s="20" t="str">
        <x:f>IF(J172="Рассчитано",V172*(1-R172/100)-W172-P172-Q172,"н/д")</x:f>
        <x:v>н/д</x:v>
      </x:c>
      <x:c r="H172" s="12" t="str">
        <x:v>Высокий</x:v>
      </x:c>
      <x:c r="I172" s="12" t="str">
        <x:v>Критический</x:v>
      </x:c>
      <x:c r="J172" s="12" t="str">
        <x:f>IF(L172="","Укажите валюту",IF(NOT(ISNUMBER(K172)),"Укажите объём",IF(K172&lt;=0,"Укажите объём",IF(COUNT(M172:O172)&lt;3,"Нужны цены",IF(COUNT(P172:R172)&lt;3,"Нужны расходы",IF(OR(M172&lt;0,N172&lt;0,O172&lt;0,O172&gt;100,P172&lt;0,Q172&lt;0,R172&lt;0,R172&gt;100),"Проверьте значения","Рассчитано"))))))</x:f>
        <x:v>Нужны цены</x:v>
      </x:c>
      <x:c r="K172" s="36" t="n">
        <x:v>1</x:v>
      </x:c>
      <x:c r="L172" s="19" t="str">
        <x:v>KZT</x:v>
      </x:c>
      <x:c r="M172" s="22"/>
      <x:c r="N172" s="22"/>
      <x:c r="O172" s="28"/>
      <x:c r="P172" s="22"/>
      <x:c r="Q172" s="22"/>
      <x:c r="R172" s="28"/>
      <x:c r="S172" s="22"/>
      <x:c r="T172" s="35" t="n">
        <x:f>MIN(K172,AT172)</x:f>
        <x:v>0.03480184351304997</x:v>
      </x:c>
      <x:c r="U172" s="20" t="str">
        <x:f>IF(J172="Рассчитано",N172*(1-O172/100),"н/д")</x:f>
        <x:v>н/д</x:v>
      </x:c>
      <x:c r="V172" s="20" t="str">
        <x:f>IF(J172="Рассчитано",T172*U172,"н/д")</x:f>
        <x:v>н/д</x:v>
      </x:c>
      <x:c r="W172" s="20" t="str">
        <x:f>IF(J172="Рассчитано",T172*M172,"н/д")</x:f>
        <x:v>н/д</x:v>
      </x:c>
      <x:c r="X172" s="20" t="str">
        <x:f>IF(J172="Рассчитано",V172-W172,"н/д")</x:f>
        <x:v>н/д</x:v>
      </x:c>
      <x:c r="Y172" s="26" t="str">
        <x:f>IF(J172="Рассчитано",IF(V172&gt;0,G172/V172,"н/д"),"н/д")</x:f>
        <x:v>н/д</x:v>
      </x:c>
      <x:c r="Z172" s="20" t="str">
        <x:f>IF(J172="Рассчитано",K172*M172,"н/д")</x:f>
        <x:v>н/д</x:v>
      </x:c>
      <x:c r="AA172" s="20" t="str">
        <x:f>IF(J172="Рассчитано",(K172-T172)*M172,"н/д")</x:f>
        <x:v>н/д</x:v>
      </x:c>
      <x:c r="AB172" s="20" t="str">
        <x:f>IF(AND(J172="Рассчитано",ISNUMBER(S172)),K172*(S172-M172),"н/д")</x:f>
        <x:v>н/д</x:v>
      </x:c>
      <x:c r="AC172" s="20" t="str">
        <x:f>IF(AND(J172="Рассчитано",T172&gt;0,R172&lt;100),(W172+P172+Q172)/(T172*(1-R172/100)),"н/д")</x:f>
        <x:v>н/д</x:v>
      </x:c>
      <x:c r="AD172" s="11" t="str">
        <x:f>IF(ISNUMBER(G172),IF(G172&lt;0,"Убыток",IF(G172=0,"Без прибыли","Прибыль &gt; 0")),"Не оценён")</x:f>
        <x:v>Не оценён</x:v>
      </x:c>
      <x:c r="AE172" s="12" t="str">
        <x:f>IF(J172="Рассчитано","Выручка "&amp;TEXT(V172,"0.00")&amp;" - себестоимость "&amp;TEXT(W172,"0.00")&amp;" - комиссия "&amp;TEXT(V172*R172/100,"0.00")&amp;" - доставка "&amp;TEXT(P172,"0.00")&amp;" - прочие "&amp;TEXT(Q172,"0.00")&amp;" = "&amp;TEXT(G172,"0.00")&amp;" "&amp;L172,"Введите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2" s="23" t="n">
        <x:v>0.03480184351304997</x:v>
      </x:c>
      <x:c r="AG172" s="35" t="n">
        <x:v>0</x:v>
      </x:c>
      <x:c r="AH172" s="35" t="n">
        <x:v>0</x:v>
      </x:c>
      <x:c r="AI172" s="29" t="n">
        <x:v>46266</x:v>
      </x:c>
      <x:c r="AJ172" s="35" t="n">
        <x:v>1</x:v>
      </x:c>
      <x:c r="AK172" s="11" t="str">
        <x:v>минимум</x:v>
      </x:c>
      <x:c r="AL172" s="31" t="n">
        <x:v>0</x:v>
      </x:c>
      <x:c r="AM172" s="12" t="str">
        <x:v>Остаток на начало сентября; Резервы неизвестны; Нет ежедневных данных доступности. Нет запаса</x:v>
      </x:c>
      <x:c r="AN172" s="12" t="str">
        <x:v>Подтвердить наличие, срок и цену закупки</x:v>
      </x:c>
      <x:c r="AO172" s="12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172" s="12" t="str">
        <x:v>["blank_stock_assumed_zero", "category_missing", "daily_stockout_data_missing", "new_order_lead_time_unknown", "reservations_unknown", "stale_stock"]</x:v>
      </x:c>
      <x:c r="AQ172" s="11" t="str">
        <x:v>IEK:150101188_</x:v>
      </x:c>
      <x:c r="AR172" s="23" t="n">
        <x:v>1</x:v>
      </x:c>
      <x:c r="AS172" s="23" t="n">
        <x:f>MAX(0,ROUNDUP(MAX(0,AF172-AG172-AH172)/AR172-0.000000001,0)*AR172)</x:f>
        <x:v>1</x:v>
      </x:c>
      <x:c r="AT172" s="23" t="n">
        <x:v>0.03480184351304997</x:v>
      </x:c>
    </x:row>
    <x:row r="173" ht="64" customHeight="1">
      <x:c r="A173" s="10" t="str">
        <x:v>IEK</x:v>
      </x:c>
      <x:c r="B173" s="34" t="str">
        <x:v>150101194_</x:v>
      </x:c>
      <x:c r="C173" s="34" t="str">
        <x:v>LT-UBU0-5220-GU10-1-K01</x:v>
      </x:c>
      <x:c r="D173" s="13" t="str">
        <x:v>Светильник уличный 5220 настенный GU10 IP65 белый IEK</x:v>
      </x:c>
      <x:c r="E173" s="10" t="str">
        <x:v>шт</x:v>
      </x:c>
      <x:c r="F173" s="37" t="n">
        <x:f>IF(AS173&gt;0,MAX(AS173,AJ173),0)</x:f>
        <x:v>1</x:v>
      </x:c>
      <x:c r="G173" s="21" t="str">
        <x:f>IF(J173="Рассчитано",V173*(1-R173/100)-W173-P173-Q173,"н/д")</x:f>
        <x:v>н/д</x:v>
      </x:c>
      <x:c r="H173" s="13" t="str">
        <x:v>Высокий</x:v>
      </x:c>
      <x:c r="I173" s="13" t="str">
        <x:v>Критический</x:v>
      </x:c>
      <x:c r="J173" s="13" t="str">
        <x:f>IF(L173="","Укажите валюту",IF(NOT(ISNUMBER(K173)),"Укажите объём",IF(K173&lt;=0,"Укажите объём",IF(COUNT(M173:O173)&lt;3,"Нужны цены",IF(COUNT(P173:R173)&lt;3,"Нужны расходы",IF(OR(M173&lt;0,N173&lt;0,O173&lt;0,O173&gt;100,P173&lt;0,Q173&lt;0,R173&lt;0,R173&gt;100),"Проверьте значения","Рассчитано"))))))</x:f>
        <x:v>Нужны цены</x:v>
      </x:c>
      <x:c r="K173" s="36" t="n">
        <x:v>1</x:v>
      </x:c>
      <x:c r="L173" s="19" t="str">
        <x:v>KZT</x:v>
      </x:c>
      <x:c r="M173" s="22"/>
      <x:c r="N173" s="22"/>
      <x:c r="O173" s="28"/>
      <x:c r="P173" s="22"/>
      <x:c r="Q173" s="22"/>
      <x:c r="R173" s="28"/>
      <x:c r="S173" s="22"/>
      <x:c r="T173" s="37" t="n">
        <x:f>MIN(K173,AT173)</x:f>
        <x:v>0.03480184351304997</x:v>
      </x:c>
      <x:c r="U173" s="21" t="str">
        <x:f>IF(J173="Рассчитано",N173*(1-O173/100),"н/д")</x:f>
        <x:v>н/д</x:v>
      </x:c>
      <x:c r="V173" s="21" t="str">
        <x:f>IF(J173="Рассчитано",T173*U173,"н/д")</x:f>
        <x:v>н/д</x:v>
      </x:c>
      <x:c r="W173" s="21" t="str">
        <x:f>IF(J173="Рассчитано",T173*M173,"н/д")</x:f>
        <x:v>н/д</x:v>
      </x:c>
      <x:c r="X173" s="21" t="str">
        <x:f>IF(J173="Рассчитано",V173-W173,"н/д")</x:f>
        <x:v>н/д</x:v>
      </x:c>
      <x:c r="Y173" s="27" t="str">
        <x:f>IF(J173="Рассчитано",IF(V173&gt;0,G173/V173,"н/д"),"н/д")</x:f>
        <x:v>н/д</x:v>
      </x:c>
      <x:c r="Z173" s="21" t="str">
        <x:f>IF(J173="Рассчитано",K173*M173,"н/д")</x:f>
        <x:v>н/д</x:v>
      </x:c>
      <x:c r="AA173" s="21" t="str">
        <x:f>IF(J173="Рассчитано",(K173-T173)*M173,"н/д")</x:f>
        <x:v>н/д</x:v>
      </x:c>
      <x:c r="AB173" s="21" t="str">
        <x:f>IF(AND(J173="Рассчитано",ISNUMBER(S173)),K173*(S173-M173),"н/д")</x:f>
        <x:v>н/д</x:v>
      </x:c>
      <x:c r="AC173" s="21" t="str">
        <x:f>IF(AND(J173="Рассчитано",T173&gt;0,R173&lt;100),(W173+P173+Q173)/(T173*(1-R173/100)),"н/д")</x:f>
        <x:v>н/д</x:v>
      </x:c>
      <x:c r="AD173" s="10" t="str">
        <x:f>IF(ISNUMBER(G173),IF(G173&lt;0,"Убыток",IF(G173=0,"Без прибыли","Прибыль &gt; 0")),"Не оценён")</x:f>
        <x:v>Не оценён</x:v>
      </x:c>
      <x:c r="AE173" s="13" t="str">
        <x:f>IF(J173="Рассчитано","Выручка "&amp;TEXT(V173,"0.00")&amp;" - себестоимость "&amp;TEXT(W173,"0.00")&amp;" - комиссия "&amp;TEXT(V173*R173/100,"0.00")&amp;" - доставка "&amp;TEXT(P173,"0.00")&amp;" - прочие "&amp;TEXT(Q173,"0.00")&amp;" = "&amp;TEXT(G173,"0.00")&amp;" "&amp;L173,"Введите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3" s="24" t="n">
        <x:v>0.03480184351304997</x:v>
      </x:c>
      <x:c r="AG173" s="37" t="n">
        <x:v>0</x:v>
      </x:c>
      <x:c r="AH173" s="37" t="n">
        <x:v>0</x:v>
      </x:c>
      <x:c r="AI173" s="30" t="n">
        <x:v>46266</x:v>
      </x:c>
      <x:c r="AJ173" s="37" t="n">
        <x:v>1</x:v>
      </x:c>
      <x:c r="AK173" s="10" t="str">
        <x:v>минимум</x:v>
      </x:c>
      <x:c r="AL173" s="32" t="n">
        <x:v>0</x:v>
      </x:c>
      <x:c r="AM173" s="13" t="str">
        <x:v>Остаток на начало сентября; Резервы неизвестны; Нет ежедневных данных доступности. Нет запаса</x:v>
      </x:c>
      <x:c r="AN173" s="13" t="str">
        <x:v>Подтвердить наличие, срок и цену закупки</x:v>
      </x:c>
      <x:c r="AO173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173" s="13" t="str">
        <x:v>["blank_stock_assumed_zero", "category_missing", "daily_stockout_data_missing", "new_order_lead_time_unknown", "reservations_unknown", "stale_stock"]</x:v>
      </x:c>
      <x:c r="AQ173" s="10" t="str">
        <x:v>IEK:150101194_</x:v>
      </x:c>
      <x:c r="AR173" s="24" t="n">
        <x:v>1</x:v>
      </x:c>
      <x:c r="AS173" s="24" t="n">
        <x:f>MAX(0,ROUNDUP(MAX(0,AF173-AG173-AH173)/AR173-0.000000001,0)*AR173)</x:f>
        <x:v>1</x:v>
      </x:c>
      <x:c r="AT173" s="24" t="n">
        <x:v>0.03480184351304997</x:v>
      </x:c>
    </x:row>
    <x:row r="174" ht="64" customHeight="1">
      <x:c r="A174" s="11" t="str">
        <x:v>IEK</x:v>
      </x:c>
      <x:c r="B174" s="33" t="str">
        <x:v>150101197_</x:v>
      </x:c>
      <x:c r="C174" s="33" t="str">
        <x:v>LT-UBU0-5221-GU10-2-K01</x:v>
      </x:c>
      <x:c r="D174" s="12" t="str">
        <x:v>Светильник уличный 5221 настенный 2хGU10 IP65 белый IEK</x:v>
      </x:c>
      <x:c r="E174" s="11" t="str">
        <x:v>шт</x:v>
      </x:c>
      <x:c r="F174" s="35" t="n">
        <x:f>IF(AS174&gt;0,MAX(AS174,AJ174),0)</x:f>
        <x:v>1</x:v>
      </x:c>
      <x:c r="G174" s="20" t="str">
        <x:f>IF(J174="Рассчитано",V174*(1-R174/100)-W174-P174-Q174,"н/д")</x:f>
        <x:v>н/д</x:v>
      </x:c>
      <x:c r="H174" s="12" t="str">
        <x:v>Высокий</x:v>
      </x:c>
      <x:c r="I174" s="12" t="str">
        <x:v>Критический</x:v>
      </x:c>
      <x:c r="J174" s="12" t="str">
        <x:f>IF(L174="","Укажите валюту",IF(NOT(ISNUMBER(K174)),"Укажите объём",IF(K174&lt;=0,"Укажите объём",IF(COUNT(M174:O174)&lt;3,"Нужны цены",IF(COUNT(P174:R174)&lt;3,"Нужны расходы",IF(OR(M174&lt;0,N174&lt;0,O174&lt;0,O174&gt;100,P174&lt;0,Q174&lt;0,R174&lt;0,R174&gt;100),"Проверьте значения","Рассчитано"))))))</x:f>
        <x:v>Нужны цены</x:v>
      </x:c>
      <x:c r="K174" s="36" t="n">
        <x:v>1</x:v>
      </x:c>
      <x:c r="L174" s="19" t="str">
        <x:v>KZT</x:v>
      </x:c>
      <x:c r="M174" s="22"/>
      <x:c r="N174" s="22"/>
      <x:c r="O174" s="28"/>
      <x:c r="P174" s="22"/>
      <x:c r="Q174" s="22"/>
      <x:c r="R174" s="28"/>
      <x:c r="S174" s="22"/>
      <x:c r="T174" s="35" t="n">
        <x:f>MIN(K174,AT174)</x:f>
        <x:v>0.10440553053914996</x:v>
      </x:c>
      <x:c r="U174" s="20" t="str">
        <x:f>IF(J174="Рассчитано",N174*(1-O174/100),"н/д")</x:f>
        <x:v>н/д</x:v>
      </x:c>
      <x:c r="V174" s="20" t="str">
        <x:f>IF(J174="Рассчитано",T174*U174,"н/д")</x:f>
        <x:v>н/д</x:v>
      </x:c>
      <x:c r="W174" s="20" t="str">
        <x:f>IF(J174="Рассчитано",T174*M174,"н/д")</x:f>
        <x:v>н/д</x:v>
      </x:c>
      <x:c r="X174" s="20" t="str">
        <x:f>IF(J174="Рассчитано",V174-W174,"н/д")</x:f>
        <x:v>н/д</x:v>
      </x:c>
      <x:c r="Y174" s="26" t="str">
        <x:f>IF(J174="Рассчитано",IF(V174&gt;0,G174/V174,"н/д"),"н/д")</x:f>
        <x:v>н/д</x:v>
      </x:c>
      <x:c r="Z174" s="20" t="str">
        <x:f>IF(J174="Рассчитано",K174*M174,"н/д")</x:f>
        <x:v>н/д</x:v>
      </x:c>
      <x:c r="AA174" s="20" t="str">
        <x:f>IF(J174="Рассчитано",(K174-T174)*M174,"н/д")</x:f>
        <x:v>н/д</x:v>
      </x:c>
      <x:c r="AB174" s="20" t="str">
        <x:f>IF(AND(J174="Рассчитано",ISNUMBER(S174)),K174*(S174-M174),"н/д")</x:f>
        <x:v>н/д</x:v>
      </x:c>
      <x:c r="AC174" s="20" t="str">
        <x:f>IF(AND(J174="Рассчитано",T174&gt;0,R174&lt;100),(W174+P174+Q174)/(T174*(1-R174/100)),"н/д")</x:f>
        <x:v>н/д</x:v>
      </x:c>
      <x:c r="AD174" s="11" t="str">
        <x:f>IF(ISNUMBER(G174),IF(G174&lt;0,"Убыток",IF(G174=0,"Без прибыли","Прибыль &gt; 0")),"Не оценён")</x:f>
        <x:v>Не оценён</x:v>
      </x:c>
      <x:c r="AE174" s="12" t="str">
        <x:f>IF(J174="Рассчитано","Выручка "&amp;TEXT(V174,"0.00")&amp;" - себестоимость "&amp;TEXT(W174,"0.00")&amp;" - комиссия "&amp;TEXT(V174*R174/100,"0.00")&amp;" - доставка "&amp;TEXT(P174,"0.00")&amp;" - прочие "&amp;TEXT(Q174,"0.00")&amp;" = "&amp;TEXT(G174,"0.00")&amp;" "&amp;L174,"Введите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4" s="23" t="n">
        <x:v>0.10440553053914996</x:v>
      </x:c>
      <x:c r="AG174" s="35" t="n">
        <x:v>0</x:v>
      </x:c>
      <x:c r="AH174" s="35" t="n">
        <x:v>0</x:v>
      </x:c>
      <x:c r="AI174" s="29" t="n">
        <x:v>46266</x:v>
      </x:c>
      <x:c r="AJ174" s="35" t="n">
        <x:v>1</x:v>
      </x:c>
      <x:c r="AK174" s="11" t="str">
        <x:v>минимум</x:v>
      </x:c>
      <x:c r="AL174" s="31" t="n">
        <x:v>0</x:v>
      </x:c>
      <x:c r="AM174" s="12" t="str">
        <x:v>Остаток на начало сентября; Резервы неизвестны; Нет ежедневных данных доступности. Нет запаса</x:v>
      </x:c>
      <x:c r="AN174" s="12" t="str">
        <x:v>Подтвердить наличие, срок и цену закупки</x:v>
      </x:c>
      <x:c r="AO174" s="12" t="str">
        <x:v>Прогноз 30 дней 0.10; остаток 0; поступления в срок 0; нехватка 1; заказ с учётом MOQ 1 шт. Остаток на начало сентября: требуется актуализация.</x:v>
      </x:c>
      <x:c r="AP174" s="12" t="str">
        <x:v>["blank_stock_assumed_zero", "category_missing", "daily_stockout_data_missing", "new_order_lead_time_unknown", "reservations_unknown", "stale_stock"]</x:v>
      </x:c>
      <x:c r="AQ174" s="11" t="str">
        <x:v>IEK:150101197_</x:v>
      </x:c>
      <x:c r="AR174" s="23" t="n">
        <x:v>1</x:v>
      </x:c>
      <x:c r="AS174" s="23" t="n">
        <x:f>MAX(0,ROUNDUP(MAX(0,AF174-AG174-AH174)/AR174-0.000000001,0)*AR174)</x:f>
        <x:v>1</x:v>
      </x:c>
      <x:c r="AT174" s="23" t="n">
        <x:v>0.10440553053914996</x:v>
      </x:c>
    </x:row>
    <x:row r="175" ht="64" customHeight="1">
      <x:c r="A175" s="10" t="str">
        <x:v>IEK</x:v>
      </x:c>
      <x:c r="B175" s="34" t="str">
        <x:v>150101213_</x:v>
      </x:c>
      <x:c r="C175" s="34"/>
      <x:c r="D175" s="13" t="str">
        <x:v>Патрон подвесной GU5.3 со шнуром керамика IEK  E-PRO</x:v>
      </x:c>
      <x:c r="E175" s="10" t="str">
        <x:v>шт</x:v>
      </x:c>
      <x:c r="F175" s="37" t="n">
        <x:f>AS175</x:f>
        <x:v>79</x:v>
      </x:c>
      <x:c r="G175" s="21" t="str">
        <x:f>IF(J175="Рассчитано",V175*(1-R175/100)-W175-P175-Q175,"н/д")</x:f>
        <x:v>н/д</x:v>
      </x:c>
      <x:c r="H175" s="13" t="str">
        <x:v>Высокий</x:v>
      </x:c>
      <x:c r="I175" s="13" t="str">
        <x:v>Критический</x:v>
      </x:c>
      <x:c r="J175" s="13" t="str">
        <x:f>IF(L175="","Укажите валюту",IF(NOT(ISNUMBER(K175)),"Укажите объём",IF(K175&lt;=0,"Укажите объём",IF(COUNT(M175:O175)&lt;3,"Нужны цены",IF(COUNT(P175:R175)&lt;3,"Нужны расходы",IF(OR(M175&lt;0,N175&lt;0,O175&lt;0,O175&gt;100,P175&lt;0,Q175&lt;0,R175&lt;0,R175&gt;100),"Проверьте значения","Рассчитано"))))))</x:f>
        <x:v>Нужны цены</x:v>
      </x:c>
      <x:c r="K175" s="36" t="n">
        <x:v>79</x:v>
      </x:c>
      <x:c r="L175" s="19" t="str">
        <x:v>KZT</x:v>
      </x:c>
      <x:c r="M175" s="22"/>
      <x:c r="N175" s="22"/>
      <x:c r="O175" s="28"/>
      <x:c r="P175" s="22"/>
      <x:c r="Q175" s="22"/>
      <x:c r="R175" s="28"/>
      <x:c r="S175" s="22"/>
      <x:c r="T175" s="37" t="n">
        <x:f>MIN(K175,AT175)</x:f>
        <x:v>78.34368731204141</x:v>
      </x:c>
      <x:c r="U175" s="21" t="str">
        <x:f>IF(J175="Рассчитано",N175*(1-O175/100),"н/д")</x:f>
        <x:v>н/д</x:v>
      </x:c>
      <x:c r="V175" s="21" t="str">
        <x:f>IF(J175="Рассчитано",T175*U175,"н/д")</x:f>
        <x:v>н/д</x:v>
      </x:c>
      <x:c r="W175" s="21" t="str">
        <x:f>IF(J175="Рассчитано",T175*M175,"н/д")</x:f>
        <x:v>н/д</x:v>
      </x:c>
      <x:c r="X175" s="21" t="str">
        <x:f>IF(J175="Рассчитано",V175-W175,"н/д")</x:f>
        <x:v>н/д</x:v>
      </x:c>
      <x:c r="Y175" s="27" t="str">
        <x:f>IF(J175="Рассчитано",IF(V175&gt;0,G175/V175,"н/д"),"н/д")</x:f>
        <x:v>н/д</x:v>
      </x:c>
      <x:c r="Z175" s="21" t="str">
        <x:f>IF(J175="Рассчитано",K175*M175,"н/д")</x:f>
        <x:v>н/д</x:v>
      </x:c>
      <x:c r="AA175" s="21" t="str">
        <x:f>IF(J175="Рассчитано",(K175-T175)*M175,"н/д")</x:f>
        <x:v>н/д</x:v>
      </x:c>
      <x:c r="AB175" s="21" t="str">
        <x:f>IF(AND(J175="Рассчитано",ISNUMBER(S175)),K175*(S175-M175),"н/д")</x:f>
        <x:v>н/д</x:v>
      </x:c>
      <x:c r="AC175" s="21" t="str">
        <x:f>IF(AND(J175="Рассчитано",T175&gt;0,R175&lt;100),(W175+P175+Q175)/(T175*(1-R175/100)),"н/д")</x:f>
        <x:v>н/д</x:v>
      </x:c>
      <x:c r="AD175" s="10" t="str">
        <x:f>IF(ISNUMBER(G175),IF(G175&lt;0,"Убыток",IF(G175=0,"Без прибыли","Прибыль &gt; 0")),"Не оценён")</x:f>
        <x:v>Не оценён</x:v>
      </x:c>
      <x:c r="AE175" s="13" t="str">
        <x:f>IF(J175="Рассчитано","Выручка "&amp;TEXT(V175,"0.00")&amp;" - себестоимость "&amp;TEXT(W175,"0.00")&amp;" - комиссия "&amp;TEXT(V175*R175/100,"0.00")&amp;" - доставка "&amp;TEXT(P175,"0.00")&amp;" - прочие "&amp;TEXT(Q175,"0.00")&amp;" = "&amp;TEXT(G175,"0.00")&amp;" "&amp;L175,"Введите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5" s="24" t="n">
        <x:v>78.34368731204141</x:v>
      </x:c>
      <x:c r="AG175" s="37" t="n">
        <x:v>0</x:v>
      </x:c>
      <x:c r="AH175" s="37" t="n">
        <x:v>0</x:v>
      </x:c>
      <x:c r="AI175" s="30" t="n">
        <x:v>46266</x:v>
      </x:c>
      <x:c r="AJ175" s="37"/>
      <x:c r="AK175" s="10" t="str">
        <x:v>неизвестно</x:v>
      </x:c>
      <x:c r="AL175" s="32" t="n">
        <x:v>0</x:v>
      </x:c>
      <x:c r="AM175" s="13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175" s="13" t="str">
        <x:v>Подтвердить наличие, срок и цену закупки</x:v>
      </x:c>
      <x:c r="AO175" s="13" t="str">
        <x:v>Прогноз 30 дней 78.34; остаток 0; поступления в срок 0; нехватка 79; заказ с учётом MOQ 79 шт. Остаток на начало сентября: требуется актуализация.</x:v>
      </x:c>
      <x:c r="AP175" s="13" t="str">
        <x:v>["blank_stock_assumed_zero", "category_missing", "daily_stockout_data_missing", "moq_missing", "new_order_lead_time_unknown", "reservations_unknown", "stale_stock", "stockout_proxy_used", "supplier_sku_missing"]</x:v>
      </x:c>
      <x:c r="AQ175" s="10" t="str">
        <x:v>IEK:150101213_</x:v>
      </x:c>
      <x:c r="AR175" s="24" t="n">
        <x:v>1</x:v>
      </x:c>
      <x:c r="AS175" s="24" t="n">
        <x:f>MAX(0,ROUNDUP(MAX(0,AF175-AG175-AH175)/AR175-0.000000001,0)*AR175)</x:f>
        <x:v>79</x:v>
      </x:c>
      <x:c r="AT175" s="24" t="n">
        <x:v>78.34368731204141</x:v>
      </x:c>
    </x:row>
    <x:row r="176" ht="64" customHeight="1">
      <x:c r="A176" s="11" t="str">
        <x:v>IEK</x:v>
      </x:c>
      <x:c r="B176" s="33" t="str">
        <x:v>151000083_</x:v>
      </x:c>
      <x:c r="C176" s="33" t="str">
        <x:v>LNPP0-1402-1-060-K01</x:v>
      </x:c>
      <x:c r="D176" s="12" t="str">
        <x:v>НПП 1402-60  бел/овал с реш. IP54 IEK(12) !!!</x:v>
      </x:c>
      <x:c r="E176" s="11" t="str">
        <x:v>шт</x:v>
      </x:c>
      <x:c r="F176" s="35" t="n">
        <x:f>AS176</x:f>
        <x:v>1</x:v>
      </x:c>
      <x:c r="G176" s="20" t="str">
        <x:f>IF(J176="Рассчитано",V176*(1-R176/100)-W176-P176-Q176,"н/д")</x:f>
        <x:v>н/д</x:v>
      </x:c>
      <x:c r="H176" s="12" t="str">
        <x:v>Высокий</x:v>
      </x:c>
      <x:c r="I176" s="12" t="str">
        <x:v>Критический</x:v>
      </x:c>
      <x:c r="J176" s="12" t="str">
        <x:f>IF(L176="","Укажите валюту",IF(NOT(ISNUMBER(K176)),"Укажите объём",IF(K176&lt;=0,"Укажите объём",IF(COUNT(M176:O176)&lt;3,"Нужны цены",IF(COUNT(P176:R176)&lt;3,"Нужны расходы",IF(OR(M176&lt;0,N176&lt;0,O176&lt;0,O176&gt;100,P176&lt;0,Q176&lt;0,R176&lt;0,R176&gt;100),"Проверьте значения","Рассчитано"))))))</x:f>
        <x:v>Нужны цены</x:v>
      </x:c>
      <x:c r="K176" s="36" t="n">
        <x:v>1</x:v>
      </x:c>
      <x:c r="L176" s="19" t="str">
        <x:v>KZT</x:v>
      </x:c>
      <x:c r="M176" s="22"/>
      <x:c r="N176" s="22"/>
      <x:c r="O176" s="28"/>
      <x:c r="P176" s="22"/>
      <x:c r="Q176" s="22"/>
      <x:c r="R176" s="28"/>
      <x:c r="S176" s="22"/>
      <x:c r="T176" s="35" t="n">
        <x:f>MIN(K176,AT176)</x:f>
        <x:v>0.9107638072095648</x:v>
      </x:c>
      <x:c r="U176" s="20" t="str">
        <x:f>IF(J176="Рассчитано",N176*(1-O176/100),"н/д")</x:f>
        <x:v>н/д</x:v>
      </x:c>
      <x:c r="V176" s="20" t="str">
        <x:f>IF(J176="Рассчитано",T176*U176,"н/д")</x:f>
        <x:v>н/д</x:v>
      </x:c>
      <x:c r="W176" s="20" t="str">
        <x:f>IF(J176="Рассчитано",T176*M176,"н/д")</x:f>
        <x:v>н/д</x:v>
      </x:c>
      <x:c r="X176" s="20" t="str">
        <x:f>IF(J176="Рассчитано",V176-W176,"н/д")</x:f>
        <x:v>н/д</x:v>
      </x:c>
      <x:c r="Y176" s="26" t="str">
        <x:f>IF(J176="Рассчитано",IF(V176&gt;0,G176/V176,"н/д"),"н/д")</x:f>
        <x:v>н/д</x:v>
      </x:c>
      <x:c r="Z176" s="20" t="str">
        <x:f>IF(J176="Рассчитано",K176*M176,"н/д")</x:f>
        <x:v>н/д</x:v>
      </x:c>
      <x:c r="AA176" s="20" t="str">
        <x:f>IF(J176="Рассчитано",(K176-T176)*M176,"н/д")</x:f>
        <x:v>н/д</x:v>
      </x:c>
      <x:c r="AB176" s="20" t="str">
        <x:f>IF(AND(J176="Рассчитано",ISNUMBER(S176)),K176*(S176-M176),"н/д")</x:f>
        <x:v>н/д</x:v>
      </x:c>
      <x:c r="AC176" s="20" t="str">
        <x:f>IF(AND(J176="Рассчитано",T176&gt;0,R176&lt;100),(W176+P176+Q176)/(T176*(1-R176/100)),"н/д")</x:f>
        <x:v>н/д</x:v>
      </x:c>
      <x:c r="AD176" s="11" t="str">
        <x:f>IF(ISNUMBER(G176),IF(G176&lt;0,"Убыток",IF(G176=0,"Без прибыли","Прибыль &gt; 0")),"Не оценён")</x:f>
        <x:v>Не оценён</x:v>
      </x:c>
      <x:c r="AE176" s="12" t="str">
        <x:f>IF(J176="Рассчитано","Выручка "&amp;TEXT(V176,"0.00")&amp;" - себестоимость "&amp;TEXT(W176,"0.00")&amp;" - комиссия "&amp;TEXT(V176*R176/100,"0.00")&amp;" - доставка "&amp;TEXT(P176,"0.00")&amp;" - прочие "&amp;TEXT(Q176,"0.00")&amp;" = "&amp;TEXT(G176,"0.00")&amp;" "&amp;L176,"Введите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6" s="23" t="n">
        <x:v>0.9107638072095648</x:v>
      </x:c>
      <x:c r="AG176" s="35" t="n">
        <x:v>0</x:v>
      </x:c>
      <x:c r="AH176" s="35" t="n">
        <x:v>0</x:v>
      </x:c>
      <x:c r="AI176" s="29" t="n">
        <x:v>46266</x:v>
      </x:c>
      <x:c r="AJ176" s="35"/>
      <x:c r="AK176" s="11" t="str">
        <x:v>неизвестно</x:v>
      </x:c>
      <x:c r="AL176" s="31" t="n">
        <x:v>0</x:v>
      </x:c>
      <x:c r="AM176" s="12" t="str">
        <x:v>Остаток на начало сентября; Резервы неизвестны; Нет ежедневных данных доступности. Нет запаса</x:v>
      </x:c>
      <x:c r="AN176" s="12" t="str">
        <x:v>Подтвердить наличие, срок и цену закупки</x:v>
      </x:c>
      <x:c r="AO176" s="12" t="str">
        <x:v>Прогноз 30 дней 0.91; остаток 0; поступления в срок 0; нехватка 1; заказ с учётом MOQ 1 шт. Остаток на начало сентября: требуется актуализация.</x:v>
      </x:c>
      <x:c r="AP176" s="12" t="str">
        <x:v>["blank_stock_assumed_zero", "category_missing", "daily_stockout_data_missing", "moq_missing", "new_order_lead_time_unknown", "reservations_unknown", "stale_stock"]</x:v>
      </x:c>
      <x:c r="AQ176" s="11" t="str">
        <x:v>IEK:151000083_</x:v>
      </x:c>
      <x:c r="AR176" s="23" t="n">
        <x:v>1</x:v>
      </x:c>
      <x:c r="AS176" s="23" t="n">
        <x:f>MAX(0,ROUNDUP(MAX(0,AF176-AG176-AH176)/AR176-0.000000001,0)*AR176)</x:f>
        <x:v>1</x:v>
      </x:c>
      <x:c r="AT176" s="23" t="n">
        <x:v>0.9107638072095648</x:v>
      </x:c>
    </x:row>
    <x:row r="177" ht="64" customHeight="1">
      <x:c r="A177" s="10" t="str">
        <x:v>IEK</x:v>
      </x:c>
      <x:c r="B177" s="34" t="str">
        <x:v>151000175_</x:v>
      </x:c>
      <x:c r="C177" s="34" t="str">
        <x:v>WSP20-10-K09</x:v>
      </x:c>
      <x:c r="D177" s="13" t="str">
        <x:v>Переноска УП-1Р 10м. плоск. вилка IEK</x:v>
      </x:c>
      <x:c r="E177" s="10" t="str">
        <x:v>шт</x:v>
      </x:c>
      <x:c r="F177" s="37" t="n">
        <x:f>IF(AS177&gt;0,MAX(AS177,AJ177),0)</x:f>
        <x:v>9</x:v>
      </x:c>
      <x:c r="G177" s="21" t="str">
        <x:f>IF(J177="Рассчитано",V177*(1-R177/100)-W177-P177-Q177,"н/д")</x:f>
        <x:v>н/д</x:v>
      </x:c>
      <x:c r="H177" s="13" t="str">
        <x:v>Высокий</x:v>
      </x:c>
      <x:c r="I177" s="13" t="str">
        <x:v>Критический</x:v>
      </x:c>
      <x:c r="J177" s="13" t="str">
        <x:f>IF(L177="","Укажите валюту",IF(NOT(ISNUMBER(K177)),"Укажите объём",IF(K177&lt;=0,"Укажите объём",IF(COUNT(M177:O177)&lt;3,"Нужны цены",IF(COUNT(P177:R177)&lt;3,"Нужны расходы",IF(OR(M177&lt;0,N177&lt;0,O177&lt;0,O177&gt;100,P177&lt;0,Q177&lt;0,R177&lt;0,R177&gt;100),"Проверьте значения","Рассчитано"))))))</x:f>
        <x:v>Нужны цены</x:v>
      </x:c>
      <x:c r="K177" s="36" t="n">
        <x:v>9</x:v>
      </x:c>
      <x:c r="L177" s="19" t="str">
        <x:v>KZT</x:v>
      </x:c>
      <x:c r="M177" s="22"/>
      <x:c r="N177" s="22"/>
      <x:c r="O177" s="28"/>
      <x:c r="P177" s="22"/>
      <x:c r="Q177" s="22"/>
      <x:c r="R177" s="28"/>
      <x:c r="S177" s="22"/>
      <x:c r="T177" s="37" t="n">
        <x:f>MIN(K177,AT177)</x:f>
        <x:v>8.913039893635334</x:v>
      </x:c>
      <x:c r="U177" s="21" t="str">
        <x:f>IF(J177="Рассчитано",N177*(1-O177/100),"н/д")</x:f>
        <x:v>н/д</x:v>
      </x:c>
      <x:c r="V177" s="21" t="str">
        <x:f>IF(J177="Рассчитано",T177*U177,"н/д")</x:f>
        <x:v>н/д</x:v>
      </x:c>
      <x:c r="W177" s="21" t="str">
        <x:f>IF(J177="Рассчитано",T177*M177,"н/д")</x:f>
        <x:v>н/д</x:v>
      </x:c>
      <x:c r="X177" s="21" t="str">
        <x:f>IF(J177="Рассчитано",V177-W177,"н/д")</x:f>
        <x:v>н/д</x:v>
      </x:c>
      <x:c r="Y177" s="27" t="str">
        <x:f>IF(J177="Рассчитано",IF(V177&gt;0,G177/V177,"н/д"),"н/д")</x:f>
        <x:v>н/д</x:v>
      </x:c>
      <x:c r="Z177" s="21" t="str">
        <x:f>IF(J177="Рассчитано",K177*M177,"н/д")</x:f>
        <x:v>н/д</x:v>
      </x:c>
      <x:c r="AA177" s="21" t="str">
        <x:f>IF(J177="Рассчитано",(K177-T177)*M177,"н/д")</x:f>
        <x:v>н/д</x:v>
      </x:c>
      <x:c r="AB177" s="21" t="str">
        <x:f>IF(AND(J177="Рассчитано",ISNUMBER(S177)),K177*(S177-M177),"н/д")</x:f>
        <x:v>н/д</x:v>
      </x:c>
      <x:c r="AC177" s="21" t="str">
        <x:f>IF(AND(J177="Рассчитано",T177&gt;0,R177&lt;100),(W177+P177+Q177)/(T177*(1-R177/100)),"н/д")</x:f>
        <x:v>н/д</x:v>
      </x:c>
      <x:c r="AD177" s="10" t="str">
        <x:f>IF(ISNUMBER(G177),IF(G177&lt;0,"Убыток",IF(G177=0,"Без прибыли","Прибыль &gt; 0")),"Не оценён")</x:f>
        <x:v>Не оценён</x:v>
      </x:c>
      <x:c r="AE177" s="13" t="str">
        <x:f>IF(J177="Рассчитано","Выручка "&amp;TEXT(V177,"0.00")&amp;" - себестоимость "&amp;TEXT(W177,"0.00")&amp;" - комиссия "&amp;TEXT(V177*R177/100,"0.00")&amp;" - доставка "&amp;TEXT(P177,"0.00")&amp;" - прочие "&amp;TEXT(Q177,"0.00")&amp;" = "&amp;TEXT(G177,"0.00")&amp;" "&amp;L177,"Введите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7" s="24" t="n">
        <x:v>9.913039893635334</x:v>
      </x:c>
      <x:c r="AG177" s="37" t="n">
        <x:v>1</x:v>
      </x:c>
      <x:c r="AH177" s="37" t="n">
        <x:v>0</x:v>
      </x:c>
      <x:c r="AI177" s="30" t="n">
        <x:v>46266</x:v>
      </x:c>
      <x:c r="AJ177" s="37" t="n">
        <x:v>1</x:v>
      </x:c>
      <x:c r="AK177" s="10" t="str">
        <x:v>минимум</x:v>
      </x:c>
      <x:c r="AL177" s="32" t="n">
        <x:v>3.026316883810938</x:v>
      </x:c>
      <x:c r="AM177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3.0 дн. без поступлений</x:v>
      </x:c>
      <x:c r="AN177" s="13" t="str">
        <x:v>Подтвердить наличие, срок и цену закупки</x:v>
      </x:c>
      <x:c r="AO177" s="13" t="str">
        <x:v>Прогноз 30 дней 9.91; остаток 1; поступления в срок 0; нехватка 9; заказ с учётом MOQ 9 шт. Остаток на начало сентября: требуется актуализация.</x:v>
      </x:c>
      <x:c r="AP177" s="13" t="str">
        <x:v>["category_missing", "daily_stockout_data_missing", "large_orders_detected", "new_order_lead_time_unknown", "reservations_unknown", "stale_stock", "transaction_month_mismatch"]</x:v>
      </x:c>
      <x:c r="AQ177" s="10" t="str">
        <x:v>IEK:151000175_</x:v>
      </x:c>
      <x:c r="AR177" s="24" t="n">
        <x:v>1</x:v>
      </x:c>
      <x:c r="AS177" s="24" t="n">
        <x:f>MAX(0,ROUNDUP(MAX(0,AF177-AG177-AH177)/AR177-0.000000001,0)*AR177)</x:f>
        <x:v>9</x:v>
      </x:c>
      <x:c r="AT177" s="24" t="n">
        <x:v>8.913039893635334</x:v>
      </x:c>
    </x:row>
    <x:row r="178" ht="64" customHeight="1">
      <x:c r="A178" s="11" t="str">
        <x:v>IEK</x:v>
      </x:c>
      <x:c r="B178" s="33" t="str">
        <x:v>151000734_</x:v>
      </x:c>
      <x:c r="C178" s="33" t="str">
        <x:v>TSC-1SL-375</x:v>
      </x:c>
      <x:c r="D178" s="12" t="str">
        <x:v>Отвертка Master 3х75мм IEK (12)</x:v>
      </x:c>
      <x:c r="E178" s="11" t="str">
        <x:v>шт</x:v>
      </x:c>
      <x:c r="F178" s="35" t="n">
        <x:f>AS178</x:f>
        <x:v>1</x:v>
      </x:c>
      <x:c r="G178" s="20" t="str">
        <x:f>IF(J178="Рассчитано",V178*(1-R178/100)-W178-P178-Q178,"н/д")</x:f>
        <x:v>н/д</x:v>
      </x:c>
      <x:c r="H178" s="12" t="str">
        <x:v>Высокий</x:v>
      </x:c>
      <x:c r="I178" s="12" t="str">
        <x:v>Критический</x:v>
      </x:c>
      <x:c r="J178" s="12" t="str">
        <x:f>IF(L178="","Укажите валюту",IF(NOT(ISNUMBER(K178)),"Укажите объём",IF(K178&lt;=0,"Укажите объём",IF(COUNT(M178:O178)&lt;3,"Нужны цены",IF(COUNT(P178:R178)&lt;3,"Нужны расходы",IF(OR(M178&lt;0,N178&lt;0,O178&lt;0,O178&gt;100,P178&lt;0,Q178&lt;0,R178&lt;0,R178&gt;100),"Проверьте значения","Рассчитано"))))))</x:f>
        <x:v>Нужны цены</x:v>
      </x:c>
      <x:c r="K178" s="36" t="n">
        <x:v>1</x:v>
      </x:c>
      <x:c r="L178" s="19" t="str">
        <x:v>KZT</x:v>
      </x:c>
      <x:c r="M178" s="22"/>
      <x:c r="N178" s="22"/>
      <x:c r="O178" s="28"/>
      <x:c r="P178" s="22"/>
      <x:c r="Q178" s="22"/>
      <x:c r="R178" s="28"/>
      <x:c r="S178" s="22"/>
      <x:c r="T178" s="35" t="n">
        <x:f>MIN(K178,AT178)</x:f>
        <x:v>0.282216284790591</x:v>
      </x:c>
      <x:c r="U178" s="20" t="str">
        <x:f>IF(J178="Рассчитано",N178*(1-O178/100),"н/д")</x:f>
        <x:v>н/д</x:v>
      </x:c>
      <x:c r="V178" s="20" t="str">
        <x:f>IF(J178="Рассчитано",T178*U178,"н/д")</x:f>
        <x:v>н/д</x:v>
      </x:c>
      <x:c r="W178" s="20" t="str">
        <x:f>IF(J178="Рассчитано",T178*M178,"н/д")</x:f>
        <x:v>н/д</x:v>
      </x:c>
      <x:c r="X178" s="20" t="str">
        <x:f>IF(J178="Рассчитано",V178-W178,"н/д")</x:f>
        <x:v>н/д</x:v>
      </x:c>
      <x:c r="Y178" s="26" t="str">
        <x:f>IF(J178="Рассчитано",IF(V178&gt;0,G178/V178,"н/д"),"н/д")</x:f>
        <x:v>н/д</x:v>
      </x:c>
      <x:c r="Z178" s="20" t="str">
        <x:f>IF(J178="Рассчитано",K178*M178,"н/д")</x:f>
        <x:v>н/д</x:v>
      </x:c>
      <x:c r="AA178" s="20" t="str">
        <x:f>IF(J178="Рассчитано",(K178-T178)*M178,"н/д")</x:f>
        <x:v>н/д</x:v>
      </x:c>
      <x:c r="AB178" s="20" t="str">
        <x:f>IF(AND(J178="Рассчитано",ISNUMBER(S178)),K178*(S178-M178),"н/д")</x:f>
        <x:v>н/д</x:v>
      </x:c>
      <x:c r="AC178" s="20" t="str">
        <x:f>IF(AND(J178="Рассчитано",T178&gt;0,R178&lt;100),(W178+P178+Q178)/(T178*(1-R178/100)),"н/д")</x:f>
        <x:v>н/д</x:v>
      </x:c>
      <x:c r="AD178" s="11" t="str">
        <x:f>IF(ISNUMBER(G178),IF(G178&lt;0,"Убыток",IF(G178=0,"Без прибыли","Прибыль &gt; 0")),"Не оценён")</x:f>
        <x:v>Не оценён</x:v>
      </x:c>
      <x:c r="AE178" s="12" t="str">
        <x:f>IF(J178="Рассчитано","Выручка "&amp;TEXT(V178,"0.00")&amp;" - себестоимость "&amp;TEXT(W178,"0.00")&amp;" - комиссия "&amp;TEXT(V178*R178/100,"0.00")&amp;" - доставка "&amp;TEXT(P178,"0.00")&amp;" - прочие "&amp;TEXT(Q178,"0.00")&amp;" = "&amp;TEXT(G178,"0.00")&amp;" "&amp;L178,"Введите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8" s="23" t="n">
        <x:v>0.282216284790591</x:v>
      </x:c>
      <x:c r="AG178" s="35" t="n">
        <x:v>0</x:v>
      </x:c>
      <x:c r="AH178" s="35" t="n">
        <x:v>0</x:v>
      </x:c>
      <x:c r="AI178" s="29" t="n">
        <x:v>46266</x:v>
      </x:c>
      <x:c r="AJ178" s="35"/>
      <x:c r="AK178" s="11" t="str">
        <x:v>неизвестно</x:v>
      </x:c>
      <x:c r="AL178" s="31" t="n">
        <x:v>0</x:v>
      </x:c>
      <x:c r="AM178" s="12" t="str">
        <x:v>Остаток на начало сентября; Резервы неизвестны; Нет ежедневных данных доступности. Нет запаса</x:v>
      </x:c>
      <x:c r="AN178" s="12" t="str">
        <x:v>Подтвердить наличие, срок и цену закупки</x:v>
      </x:c>
      <x:c r="AO178" s="12" t="str">
        <x:v>Прогноз 30 дней 0.28; остаток 0; поступления в срок 0; нехватка 1; заказ с учётом MOQ 1 шт. Остаток на начало сентября: требуется актуализация.</x:v>
      </x:c>
      <x:c r="AP178" s="12" t="str">
        <x:v>["blank_stock_assumed_zero", "category_missing", "daily_stockout_data_missing", "moq_missing", "new_order_lead_time_unknown", "reservations_unknown", "stale_stock"]</x:v>
      </x:c>
      <x:c r="AQ178" s="11" t="str">
        <x:v>IEK:151000734_</x:v>
      </x:c>
      <x:c r="AR178" s="23" t="n">
        <x:v>1</x:v>
      </x:c>
      <x:c r="AS178" s="23" t="n">
        <x:f>MAX(0,ROUNDUP(MAX(0,AF178-AG178-AH178)/AR178-0.000000001,0)*AR178)</x:f>
        <x:v>1</x:v>
      </x:c>
      <x:c r="AT178" s="23" t="n">
        <x:v>0.282216284790591</x:v>
      </x:c>
    </x:row>
    <x:row r="179" ht="64" customHeight="1">
      <x:c r="A179" s="10" t="str">
        <x:v>IEK</x:v>
      </x:c>
      <x:c r="B179" s="34" t="str">
        <x:v>151300042_</x:v>
      </x:c>
      <x:c r="C179" s="34"/>
      <x:c r="D179" s="13" t="str">
        <x:v>LED A60 "Шар" 11w 230v 6500К E27 IEK</x:v>
      </x:c>
      <x:c r="E179" s="10" t="str">
        <x:v>шт</x:v>
      </x:c>
      <x:c r="F179" s="37" t="n">
        <x:f>AS179</x:f>
        <x:v>1</x:v>
      </x:c>
      <x:c r="G179" s="21" t="str">
        <x:f>IF(J179="Рассчитано",V179*(1-R179/100)-W179-P179-Q179,"н/д")</x:f>
        <x:v>н/д</x:v>
      </x:c>
      <x:c r="H179" s="13" t="str">
        <x:v>Высокий</x:v>
      </x:c>
      <x:c r="I179" s="13" t="str">
        <x:v>Критический</x:v>
      </x:c>
      <x:c r="J179" s="13" t="str">
        <x:f>IF(L179="","Укажите валюту",IF(NOT(ISNUMBER(K179)),"Укажите объём",IF(K179&lt;=0,"Укажите объём",IF(COUNT(M179:O179)&lt;3,"Нужны цены",IF(COUNT(P179:R179)&lt;3,"Нужны расходы",IF(OR(M179&lt;0,N179&lt;0,O179&lt;0,O179&gt;100,P179&lt;0,Q179&lt;0,R179&lt;0,R179&gt;100),"Проверьте значения","Рассчитано"))))))</x:f>
        <x:v>Нужны цены</x:v>
      </x:c>
      <x:c r="K179" s="36" t="n">
        <x:v>1</x:v>
      </x:c>
      <x:c r="L179" s="19" t="str">
        <x:v>KZT</x:v>
      </x:c>
      <x:c r="M179" s="22"/>
      <x:c r="N179" s="22"/>
      <x:c r="O179" s="28"/>
      <x:c r="P179" s="22"/>
      <x:c r="Q179" s="22"/>
      <x:c r="R179" s="28"/>
      <x:c r="S179" s="22"/>
      <x:c r="T179" s="37" t="n">
        <x:f>MIN(K179,AT179)</x:f>
        <x:v>0.07590897093921535</x:v>
      </x:c>
      <x:c r="U179" s="21" t="str">
        <x:f>IF(J179="Рассчитано",N179*(1-O179/100),"н/д")</x:f>
        <x:v>н/д</x:v>
      </x:c>
      <x:c r="V179" s="21" t="str">
        <x:f>IF(J179="Рассчитано",T179*U179,"н/д")</x:f>
        <x:v>н/д</x:v>
      </x:c>
      <x:c r="W179" s="21" t="str">
        <x:f>IF(J179="Рассчитано",T179*M179,"н/д")</x:f>
        <x:v>н/д</x:v>
      </x:c>
      <x:c r="X179" s="21" t="str">
        <x:f>IF(J179="Рассчитано",V179-W179,"н/д")</x:f>
        <x:v>н/д</x:v>
      </x:c>
      <x:c r="Y179" s="27" t="str">
        <x:f>IF(J179="Рассчитано",IF(V179&gt;0,G179/V179,"н/д"),"н/д")</x:f>
        <x:v>н/д</x:v>
      </x:c>
      <x:c r="Z179" s="21" t="str">
        <x:f>IF(J179="Рассчитано",K179*M179,"н/д")</x:f>
        <x:v>н/д</x:v>
      </x:c>
      <x:c r="AA179" s="21" t="str">
        <x:f>IF(J179="Рассчитано",(K179-T179)*M179,"н/д")</x:f>
        <x:v>н/д</x:v>
      </x:c>
      <x:c r="AB179" s="21" t="str">
        <x:f>IF(AND(J179="Рассчитано",ISNUMBER(S179)),K179*(S179-M179),"н/д")</x:f>
        <x:v>н/д</x:v>
      </x:c>
      <x:c r="AC179" s="21" t="str">
        <x:f>IF(AND(J179="Рассчитано",T179&gt;0,R179&lt;100),(W179+P179+Q179)/(T179*(1-R179/100)),"н/д")</x:f>
        <x:v>н/д</x:v>
      </x:c>
      <x:c r="AD179" s="10" t="str">
        <x:f>IF(ISNUMBER(G179),IF(G179&lt;0,"Убыток",IF(G179=0,"Без прибыли","Прибыль &gt; 0")),"Не оценён")</x:f>
        <x:v>Не оценён</x:v>
      </x:c>
      <x:c r="AE179" s="13" t="str">
        <x:f>IF(J179="Рассчитано","Выручка "&amp;TEXT(V179,"0.00")&amp;" - себестоимость "&amp;TEXT(W179,"0.00")&amp;" - комиссия "&amp;TEXT(V179*R179/100,"0.00")&amp;" - доставка "&amp;TEXT(P179,"0.00")&amp;" - прочие "&amp;TEXT(Q179,"0.00")&amp;" = "&amp;TEXT(G179,"0.00")&amp;" "&amp;L179,"Введите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79" s="24" t="n">
        <x:v>0.07590897093921535</x:v>
      </x:c>
      <x:c r="AG179" s="37" t="n">
        <x:v>0</x:v>
      </x:c>
      <x:c r="AH179" s="37" t="n">
        <x:v>0</x:v>
      </x:c>
      <x:c r="AI179" s="30" t="n">
        <x:v>46266</x:v>
      </x:c>
      <x:c r="AJ179" s="37"/>
      <x:c r="AK179" s="10" t="str">
        <x:v>неизвестно</x:v>
      </x:c>
      <x:c r="AL179" s="32" t="n">
        <x:v>0</x:v>
      </x:c>
      <x:c r="AM179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179" s="13" t="str">
        <x:v>Подтвердить наличие, срок и цену закупки</x:v>
      </x:c>
      <x:c r="AO179" s="13" t="str">
        <x:v>Прогноз 30 дней 0.08; остаток 0; поступления в срок 0; нехватка 1; заказ с учётом MOQ 1 шт. Остаток на начало сентября: требуется актуализация.</x:v>
      </x:c>
      <x:c r="AP179" s="13" t="str">
        <x:v>["blank_stock_assumed_zero", "category_missing", "daily_stockout_data_missing", "moq_missing", "new_order_lead_time_unknown", "reservations_unknown", "stale_stock", "supplier_sku_missing"]</x:v>
      </x:c>
      <x:c r="AQ179" s="10" t="str">
        <x:v>IEK:151300042_</x:v>
      </x:c>
      <x:c r="AR179" s="24" t="n">
        <x:v>1</x:v>
      </x:c>
      <x:c r="AS179" s="24" t="n">
        <x:f>MAX(0,ROUNDUP(MAX(0,AF179-AG179-AH179)/AR179-0.000000001,0)*AR179)</x:f>
        <x:v>1</x:v>
      </x:c>
      <x:c r="AT179" s="24" t="n">
        <x:v>0.07590897093921535</x:v>
      </x:c>
    </x:row>
    <x:row r="180" ht="64" customHeight="1">
      <x:c r="A180" s="11" t="str">
        <x:v>IEK</x:v>
      </x:c>
      <x:c r="B180" s="33" t="str">
        <x:v>200400015_</x:v>
      </x:c>
      <x:c r="C180" s="33" t="str">
        <x:v>EAK10-K01-DM</x:v>
      </x:c>
      <x:c r="D180" s="12" t="str">
        <x:v>I10 розетка TV КВАРТА РТВ 10-КБ (200)</x:v>
      </x:c>
      <x:c r="E180" s="11" t="str">
        <x:v>шт</x:v>
      </x:c>
      <x:c r="F180" s="35" t="n">
        <x:f>IF(AS180&gt;0,MAX(AS180,AJ180),0)</x:f>
        <x:v>10</x:v>
      </x:c>
      <x:c r="G180" s="20" t="str">
        <x:f>IF(J180="Рассчитано",V180*(1-R180/100)-W180-P180-Q180,"н/д")</x:f>
        <x:v>н/д</x:v>
      </x:c>
      <x:c r="H180" s="12" t="str">
        <x:v>Высокий</x:v>
      </x:c>
      <x:c r="I180" s="12" t="str">
        <x:v>Критический</x:v>
      </x:c>
      <x:c r="J180" s="12" t="str">
        <x:f>IF(L180="","Укажите валюту",IF(NOT(ISNUMBER(K180)),"Укажите объём",IF(K180&lt;=0,"Укажите объём",IF(COUNT(M180:O180)&lt;3,"Нужны цены",IF(COUNT(P180:R180)&lt;3,"Нужны расходы",IF(OR(M180&lt;0,N180&lt;0,O180&lt;0,O180&gt;100,P180&lt;0,Q180&lt;0,R180&lt;0,R180&gt;100),"Проверьте значения","Рассчитано"))))))</x:f>
        <x:v>Нужны цены</x:v>
      </x:c>
      <x:c r="K180" s="36" t="n">
        <x:v>10</x:v>
      </x:c>
      <x:c r="L180" s="19" t="str">
        <x:v>KZT</x:v>
      </x:c>
      <x:c r="M180" s="22"/>
      <x:c r="N180" s="22"/>
      <x:c r="O180" s="28"/>
      <x:c r="P180" s="22"/>
      <x:c r="Q180" s="22"/>
      <x:c r="R180" s="28"/>
      <x:c r="S180" s="22"/>
      <x:c r="T180" s="35" t="n">
        <x:f>MIN(K180,AT180)</x:f>
        <x:v>0.4829576442858202</x:v>
      </x:c>
      <x:c r="U180" s="20" t="str">
        <x:f>IF(J180="Рассчитано",N180*(1-O180/100),"н/д")</x:f>
        <x:v>н/д</x:v>
      </x:c>
      <x:c r="V180" s="20" t="str">
        <x:f>IF(J180="Рассчитано",T180*U180,"н/д")</x:f>
        <x:v>н/д</x:v>
      </x:c>
      <x:c r="W180" s="20" t="str">
        <x:f>IF(J180="Рассчитано",T180*M180,"н/д")</x:f>
        <x:v>н/д</x:v>
      </x:c>
      <x:c r="X180" s="20" t="str">
        <x:f>IF(J180="Рассчитано",V180-W180,"н/д")</x:f>
        <x:v>н/д</x:v>
      </x:c>
      <x:c r="Y180" s="26" t="str">
        <x:f>IF(J180="Рассчитано",IF(V180&gt;0,G180/V180,"н/д"),"н/д")</x:f>
        <x:v>н/д</x:v>
      </x:c>
      <x:c r="Z180" s="20" t="str">
        <x:f>IF(J180="Рассчитано",K180*M180,"н/д")</x:f>
        <x:v>н/д</x:v>
      </x:c>
      <x:c r="AA180" s="20" t="str">
        <x:f>IF(J180="Рассчитано",(K180-T180)*M180,"н/д")</x:f>
        <x:v>н/д</x:v>
      </x:c>
      <x:c r="AB180" s="20" t="str">
        <x:f>IF(AND(J180="Рассчитано",ISNUMBER(S180)),K180*(S180-M180),"н/д")</x:f>
        <x:v>н/д</x:v>
      </x:c>
      <x:c r="AC180" s="20" t="str">
        <x:f>IF(AND(J180="Рассчитано",T180&gt;0,R180&lt;100),(W180+P180+Q180)/(T180*(1-R180/100)),"н/д")</x:f>
        <x:v>н/д</x:v>
      </x:c>
      <x:c r="AD180" s="11" t="str">
        <x:f>IF(ISNUMBER(G180),IF(G180&lt;0,"Убыток",IF(G180=0,"Без прибыли","Прибыль &gt; 0")),"Не оценён")</x:f>
        <x:v>Не оценён</x:v>
      </x:c>
      <x:c r="AE180" s="12" t="str">
        <x:f>IF(J180="Рассчитано","Выручка "&amp;TEXT(V180,"0.00")&amp;" - себестоимость "&amp;TEXT(W180,"0.00")&amp;" - комиссия "&amp;TEXT(V180*R180/100,"0.00")&amp;" - доставка "&amp;TEXT(P180,"0.00")&amp;" - прочие "&amp;TEXT(Q180,"0.00")&amp;" = "&amp;TEXT(G180,"0.00")&amp;" "&amp;L180,"Введите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0" s="23" t="n">
        <x:v>0.4829576442858202</x:v>
      </x:c>
      <x:c r="AG180" s="35" t="n">
        <x:v>0</x:v>
      </x:c>
      <x:c r="AH180" s="35" t="n">
        <x:v>0</x:v>
      </x:c>
      <x:c r="AI180" s="29" t="n">
        <x:v>46266</x:v>
      </x:c>
      <x:c r="AJ180" s="35" t="n">
        <x:v>10</x:v>
      </x:c>
      <x:c r="AK180" s="11" t="str">
        <x:v>минимум</x:v>
      </x:c>
      <x:c r="AL180" s="31" t="n">
        <x:v>0</x:v>
      </x:c>
      <x:c r="AM180" s="12" t="str">
        <x:v>Остаток на начало сентября; Резервы неизвестны; Нет ежедневных данных доступности. Нет запаса</x:v>
      </x:c>
      <x:c r="AN180" s="12" t="str">
        <x:v>Подтвердить наличие, срок и цену закупки</x:v>
      </x:c>
      <x:c r="AO180" s="12" t="str">
        <x:v>Прогноз 30 дней 0.48; остаток 0; поступления в срок 0; нехватка 1; заказ с учётом MOQ 10 шт. Остаток на начало сентября: требуется актуализация.</x:v>
      </x:c>
      <x:c r="AP180" s="12" t="str">
        <x:v>["blank_stock_assumed_zero", "category_missing", "daily_stockout_data_missing", "new_order_lead_time_unknown", "reservations_unknown", "stale_stock"]</x:v>
      </x:c>
      <x:c r="AQ180" s="11" t="str">
        <x:v>IEK:200400015_</x:v>
      </x:c>
      <x:c r="AR180" s="23" t="n">
        <x:v>1</x:v>
      </x:c>
      <x:c r="AS180" s="23" t="n">
        <x:f>MAX(0,ROUNDUP(MAX(0,AF180-AG180-AH180)/AR180-0.000000001,0)*AR180)</x:f>
        <x:v>1</x:v>
      </x:c>
      <x:c r="AT180" s="23" t="n">
        <x:v>0.4829576442858202</x:v>
      </x:c>
    </x:row>
    <x:row r="181" ht="64" customHeight="1">
      <x:c r="A181" s="10" t="str">
        <x:v>IEK</x:v>
      </x:c>
      <x:c r="B181" s="34" t="str">
        <x:v>200400019_</x:v>
      </x:c>
      <x:c r="C181" s="34" t="str">
        <x:v>EVO10-K01-10-DC</x:v>
      </x:c>
      <x:c r="D181" s="13" t="str">
        <x:v>I18 выкл. 1кл. о/у 10А ОКТАВА ВС 20-1-0-ОБ (36/432)</x:v>
      </x:c>
      <x:c r="E181" s="10" t="str">
        <x:v>шт</x:v>
      </x:c>
      <x:c r="F181" s="37" t="n">
        <x:f>IF(AS181&gt;0,MAX(AS181,AJ181),0)</x:f>
        <x:v>94</x:v>
      </x:c>
      <x:c r="G181" s="21" t="str">
        <x:f>IF(J181="Рассчитано",V181*(1-R181/100)-W181-P181-Q181,"н/д")</x:f>
        <x:v>н/д</x:v>
      </x:c>
      <x:c r="H181" s="13" t="str">
        <x:v>Высокий</x:v>
      </x:c>
      <x:c r="I181" s="13" t="str">
        <x:v>Средний</x:v>
      </x:c>
      <x:c r="J181" s="13" t="str">
        <x:f>IF(L181="","Укажите валюту",IF(NOT(ISNUMBER(K181)),"Укажите объём",IF(K181&lt;=0,"Укажите объём",IF(COUNT(M181:O181)&lt;3,"Нужны цены",IF(COUNT(P181:R181)&lt;3,"Нужны расходы",IF(OR(M181&lt;0,N181&lt;0,O181&lt;0,O181&gt;100,P181&lt;0,Q181&lt;0,R181&lt;0,R181&gt;100),"Проверьте значения","Рассчитано"))))))</x:f>
        <x:v>Нужны цены</x:v>
      </x:c>
      <x:c r="K181" s="36" t="n">
        <x:v>94</x:v>
      </x:c>
      <x:c r="L181" s="19" t="str">
        <x:v>KZT</x:v>
      </x:c>
      <x:c r="M181" s="22"/>
      <x:c r="N181" s="22"/>
      <x:c r="O181" s="28"/>
      <x:c r="P181" s="22"/>
      <x:c r="Q181" s="22"/>
      <x:c r="R181" s="28"/>
      <x:c r="S181" s="22"/>
      <x:c r="T181" s="37" t="n">
        <x:f>MIN(K181,AT181)</x:f>
        <x:v>93.81172117985159</x:v>
      </x:c>
      <x:c r="U181" s="21" t="str">
        <x:f>IF(J181="Рассчитано",N181*(1-O181/100),"н/д")</x:f>
        <x:v>н/д</x:v>
      </x:c>
      <x:c r="V181" s="21" t="str">
        <x:f>IF(J181="Рассчитано",T181*U181,"н/д")</x:f>
        <x:v>н/д</x:v>
      </x:c>
      <x:c r="W181" s="21" t="str">
        <x:f>IF(J181="Рассчитано",T181*M181,"н/д")</x:f>
        <x:v>н/д</x:v>
      </x:c>
      <x:c r="X181" s="21" t="str">
        <x:f>IF(J181="Рассчитано",V181-W181,"н/д")</x:f>
        <x:v>н/д</x:v>
      </x:c>
      <x:c r="Y181" s="27" t="str">
        <x:f>IF(J181="Рассчитано",IF(V181&gt;0,G181/V181,"н/д"),"н/д")</x:f>
        <x:v>н/д</x:v>
      </x:c>
      <x:c r="Z181" s="21" t="str">
        <x:f>IF(J181="Рассчитано",K181*M181,"н/д")</x:f>
        <x:v>н/д</x:v>
      </x:c>
      <x:c r="AA181" s="21" t="str">
        <x:f>IF(J181="Рассчитано",(K181-T181)*M181,"н/д")</x:f>
        <x:v>н/д</x:v>
      </x:c>
      <x:c r="AB181" s="21" t="str">
        <x:f>IF(AND(J181="Рассчитано",ISNUMBER(S181)),K181*(S181-M181),"н/д")</x:f>
        <x:v>н/д</x:v>
      </x:c>
      <x:c r="AC181" s="21" t="str">
        <x:f>IF(AND(J181="Рассчитано",T181&gt;0,R181&lt;100),(W181+P181+Q181)/(T181*(1-R181/100)),"н/д")</x:f>
        <x:v>н/д</x:v>
      </x:c>
      <x:c r="AD181" s="10" t="str">
        <x:f>IF(ISNUMBER(G181),IF(G181&lt;0,"Убыток",IF(G181=0,"Без прибыли","Прибыль &gt; 0")),"Не оценён")</x:f>
        <x:v>Не оценён</x:v>
      </x:c>
      <x:c r="AE181" s="13" t="str">
        <x:f>IF(J181="Рассчитано","Выручка "&amp;TEXT(V181,"0.00")&amp;" - себестоимость "&amp;TEXT(W181,"0.00")&amp;" - комиссия "&amp;TEXT(V181*R181/100,"0.00")&amp;" - доставка "&amp;TEXT(P181,"0.00")&amp;" - прочие "&amp;TEXT(Q181,"0.00")&amp;" = "&amp;TEXT(G181,"0.00")&amp;" "&amp;L181,"Введите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1" s="24" t="n">
        <x:v>287.8117211798516</x:v>
      </x:c>
      <x:c r="AG181" s="37" t="n">
        <x:v>194</x:v>
      </x:c>
      <x:c r="AH181" s="37" t="n">
        <x:v>0</x:v>
      </x:c>
      <x:c r="AI181" s="30" t="n">
        <x:v>46266</x:v>
      </x:c>
      <x:c r="AJ181" s="37" t="n">
        <x:v>36</x:v>
      </x:c>
      <x:c r="AK181" s="10" t="str">
        <x:v>минимум</x:v>
      </x:c>
      <x:c r="AL181" s="32" t="n">
        <x:v>20.221553090824685</x:v>
      </x:c>
      <x:c r="AM181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20.2 дн. без поступлений</x:v>
      </x:c>
      <x:c r="AN181" s="13" t="str">
        <x:v>Подтвердить наличие, срок и цену закупки</x:v>
      </x:c>
      <x:c r="AO181" s="13" t="str">
        <x:v>Прогноз 30 дней 287.81; остаток 194; поступления в срок 0; нехватка 94; заказ с учётом MOQ 94 шт. Остаток на начало сентября: требуется актуализация.</x:v>
      </x:c>
      <x:c r="AP181" s="13" t="str">
        <x:v>["category_missing", "daily_stockout_data_missing", "large_orders_detected", "new_order_lead_time_unknown", "reservations_unknown", "stale_stock", "transaction_month_mismatch"]</x:v>
      </x:c>
      <x:c r="AQ181" s="10" t="str">
        <x:v>IEK:200400019_</x:v>
      </x:c>
      <x:c r="AR181" s="24" t="n">
        <x:v>1</x:v>
      </x:c>
      <x:c r="AS181" s="24" t="n">
        <x:f>MAX(0,ROUNDUP(MAX(0,AF181-AG181-AH181)/AR181-0.000000001,0)*AR181)</x:f>
        <x:v>94</x:v>
      </x:c>
      <x:c r="AT181" s="24" t="n">
        <x:v>93.81172117985159</x:v>
      </x:c>
    </x:row>
    <x:row r="182" ht="64" customHeight="1">
      <x:c r="A182" s="11" t="str">
        <x:v>IEK</x:v>
      </x:c>
      <x:c r="B182" s="33" t="str">
        <x:v>200400024_</x:v>
      </x:c>
      <x:c r="C182" s="33" t="str">
        <x:v>ERO11-K01-16-DC</x:v>
      </x:c>
      <x:c r="D182" s="12" t="str">
        <x:v>I23 роз. о/у з/к 16А ОКТАВА РС 20-3-0-ОБ (30/360)</x:v>
      </x:c>
      <x:c r="E182" s="11" t="str">
        <x:v>шт</x:v>
      </x:c>
      <x:c r="F182" s="35" t="n">
        <x:f>IF(AS182&gt;0,MAX(AS182,AJ182),0)</x:f>
        <x:v>98</x:v>
      </x:c>
      <x:c r="G182" s="20" t="str">
        <x:f>IF(J182="Рассчитано",V182*(1-R182/100)-W182-P182-Q182,"н/д")</x:f>
        <x:v>н/д</x:v>
      </x:c>
      <x:c r="H182" s="12" t="str">
        <x:v>Высокий</x:v>
      </x:c>
      <x:c r="I182" s="12" t="str">
        <x:v>Высокий</x:v>
      </x:c>
      <x:c r="J182" s="12" t="str">
        <x:f>IF(L182="","Укажите валюту",IF(NOT(ISNUMBER(K182)),"Укажите объём",IF(K182&lt;=0,"Укажите объём",IF(COUNT(M182:O182)&lt;3,"Нужны цены",IF(COUNT(P182:R182)&lt;3,"Нужны расходы",IF(OR(M182&lt;0,N182&lt;0,O182&lt;0,O182&gt;100,P182&lt;0,Q182&lt;0,R182&lt;0,R182&gt;100),"Проверьте значения","Рассчитано"))))))</x:f>
        <x:v>Нужны цены</x:v>
      </x:c>
      <x:c r="K182" s="36" t="n">
        <x:v>98</x:v>
      </x:c>
      <x:c r="L182" s="19" t="str">
        <x:v>KZT</x:v>
      </x:c>
      <x:c r="M182" s="22"/>
      <x:c r="N182" s="22"/>
      <x:c r="O182" s="28"/>
      <x:c r="P182" s="22"/>
      <x:c r="Q182" s="22"/>
      <x:c r="R182" s="28"/>
      <x:c r="S182" s="22"/>
      <x:c r="T182" s="35" t="n">
        <x:f>MIN(K182,AT182)</x:f>
        <x:v>97.16175583633006</x:v>
      </x:c>
      <x:c r="U182" s="20" t="str">
        <x:f>IF(J182="Рассчитано",N182*(1-O182/100),"н/д")</x:f>
        <x:v>н/д</x:v>
      </x:c>
      <x:c r="V182" s="20" t="str">
        <x:f>IF(J182="Рассчитано",T182*U182,"н/д")</x:f>
        <x:v>н/д</x:v>
      </x:c>
      <x:c r="W182" s="20" t="str">
        <x:f>IF(J182="Рассчитано",T182*M182,"н/д")</x:f>
        <x:v>н/д</x:v>
      </x:c>
      <x:c r="X182" s="20" t="str">
        <x:f>IF(J182="Рассчитано",V182-W182,"н/д")</x:f>
        <x:v>н/д</x:v>
      </x:c>
      <x:c r="Y182" s="26" t="str">
        <x:f>IF(J182="Рассчитано",IF(V182&gt;0,G182/V182,"н/д"),"н/д")</x:f>
        <x:v>н/д</x:v>
      </x:c>
      <x:c r="Z182" s="20" t="str">
        <x:f>IF(J182="Рассчитано",K182*M182,"н/д")</x:f>
        <x:v>н/д</x:v>
      </x:c>
      <x:c r="AA182" s="20" t="str">
        <x:f>IF(J182="Рассчитано",(K182-T182)*M182,"н/д")</x:f>
        <x:v>н/д</x:v>
      </x:c>
      <x:c r="AB182" s="20" t="str">
        <x:f>IF(AND(J182="Рассчитано",ISNUMBER(S182)),K182*(S182-M182),"н/д")</x:f>
        <x:v>н/д</x:v>
      </x:c>
      <x:c r="AC182" s="20" t="str">
        <x:f>IF(AND(J182="Рассчитано",T182&gt;0,R182&lt;100),(W182+P182+Q182)/(T182*(1-R182/100)),"н/д")</x:f>
        <x:v>н/д</x:v>
      </x:c>
      <x:c r="AD182" s="11" t="str">
        <x:f>IF(ISNUMBER(G182),IF(G182&lt;0,"Убыток",IF(G182=0,"Без прибыли","Прибыль &gt; 0")),"Не оценён")</x:f>
        <x:v>Не оценён</x:v>
      </x:c>
      <x:c r="AE182" s="12" t="str">
        <x:f>IF(J182="Рассчитано","Выручка "&amp;TEXT(V182,"0.00")&amp;" - себестоимость "&amp;TEXT(W182,"0.00")&amp;" - комиссия "&amp;TEXT(V182*R182/100,"0.00")&amp;" - доставка "&amp;TEXT(P182,"0.00")&amp;" - прочие "&amp;TEXT(Q182,"0.00")&amp;" = "&amp;TEXT(G182,"0.00")&amp;" "&amp;L182,"Введите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2" s="23" t="n">
        <x:v>138.16175583633006</x:v>
      </x:c>
      <x:c r="AG182" s="35" t="n">
        <x:v>41</x:v>
      </x:c>
      <x:c r="AH182" s="35" t="n">
        <x:v>0</x:v>
      </x:c>
      <x:c r="AI182" s="29" t="n">
        <x:v>46266</x:v>
      </x:c>
      <x:c r="AJ182" s="35" t="n">
        <x:v>30</x:v>
      </x:c>
      <x:c r="AK182" s="11" t="str">
        <x:v>минимум</x:v>
      </x:c>
      <x:c r="AL182" s="31" t="n">
        <x:v>8.902608341610028</x:v>
      </x:c>
      <x:c r="AM182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8.9 дн. без поступлений</x:v>
      </x:c>
      <x:c r="AN182" s="12" t="str">
        <x:v>Подтвердить наличие, срок и цену закупки</x:v>
      </x:c>
      <x:c r="AO182" s="12" t="str">
        <x:v>Прогноз 30 дней 138.16; остаток 41; поступления в срок 0; нехватка 98; заказ с учётом MOQ 98 шт. Остаток на начало сентября: требуется актуализация.</x:v>
      </x:c>
      <x:c r="AP182" s="12" t="str">
        <x:v>["category_missing", "daily_stockout_data_missing", "large_orders_detected", "new_order_lead_time_unknown", "reservations_unknown", "stale_stock", "transaction_month_mismatch"]</x:v>
      </x:c>
      <x:c r="AQ182" s="11" t="str">
        <x:v>IEK:200400024_</x:v>
      </x:c>
      <x:c r="AR182" s="23" t="n">
        <x:v>1</x:v>
      </x:c>
      <x:c r="AS182" s="23" t="n">
        <x:f>MAX(0,ROUNDUP(MAX(0,AF182-AG182-AH182)/AR182-0.000000001,0)*AR182)</x:f>
        <x:v>98</x:v>
      </x:c>
      <x:c r="AT182" s="23" t="n">
        <x:v>97.16175583633006</x:v>
      </x:c>
    </x:row>
    <x:row r="183" ht="64" customHeight="1">
      <x:c r="A183" s="10" t="str">
        <x:v>IEK</x:v>
      </x:c>
      <x:c r="B183" s="34" t="str">
        <x:v>200400028_</x:v>
      </x:c>
      <x:c r="C183" s="34" t="str">
        <x:v>ERMP22-K03-16-54-EC</x:v>
      </x:c>
      <x:c r="D183" s="13" t="str">
        <x:v>I29 роз 2-я з/к о/у дымчатый IP54 ГЕРМЕС IEK РСб22-3-ГПБд  (5/50)</x:v>
      </x:c>
      <x:c r="E183" s="10" t="str">
        <x:v>шт</x:v>
      </x:c>
      <x:c r="F183" s="37" t="n">
        <x:f>IF(AS183&gt;0,MAX(AS183,AJ183),0)</x:f>
        <x:v>9</x:v>
      </x:c>
      <x:c r="G183" s="21" t="str">
        <x:f>IF(J183="Рассчитано",V183*(1-R183/100)-W183-P183-Q183,"н/д")</x:f>
        <x:v>н/д</x:v>
      </x:c>
      <x:c r="H183" s="13" t="str">
        <x:v>Высокий</x:v>
      </x:c>
      <x:c r="I183" s="13" t="str">
        <x:v>Средний</x:v>
      </x:c>
      <x:c r="J183" s="13" t="str">
        <x:f>IF(L183="","Укажите валюту",IF(NOT(ISNUMBER(K183)),"Укажите объём",IF(K183&lt;=0,"Укажите объём",IF(COUNT(M183:O183)&lt;3,"Нужны цены",IF(COUNT(P183:R183)&lt;3,"Нужны расходы",IF(OR(M183&lt;0,N183&lt;0,O183&lt;0,O183&gt;100,P183&lt;0,Q183&lt;0,R183&lt;0,R183&gt;100),"Проверьте значения","Рассчитано"))))))</x:f>
        <x:v>Нужны цены</x:v>
      </x:c>
      <x:c r="K183" s="36" t="n">
        <x:v>9</x:v>
      </x:c>
      <x:c r="L183" s="19" t="str">
        <x:v>KZT</x:v>
      </x:c>
      <x:c r="M183" s="22"/>
      <x:c r="N183" s="22"/>
      <x:c r="O183" s="28"/>
      <x:c r="P183" s="22"/>
      <x:c r="Q183" s="22"/>
      <x:c r="R183" s="28"/>
      <x:c r="S183" s="22"/>
      <x:c r="T183" s="37" t="n">
        <x:f>MIN(K183,AT183)</x:f>
        <x:v>8.512548704170342</x:v>
      </x:c>
      <x:c r="U183" s="21" t="str">
        <x:f>IF(J183="Рассчитано",N183*(1-O183/100),"н/д")</x:f>
        <x:v>н/д</x:v>
      </x:c>
      <x:c r="V183" s="21" t="str">
        <x:f>IF(J183="Рассчитано",T183*U183,"н/д")</x:f>
        <x:v>н/д</x:v>
      </x:c>
      <x:c r="W183" s="21" t="str">
        <x:f>IF(J183="Рассчитано",T183*M183,"н/д")</x:f>
        <x:v>н/д</x:v>
      </x:c>
      <x:c r="X183" s="21" t="str">
        <x:f>IF(J183="Рассчитано",V183-W183,"н/д")</x:f>
        <x:v>н/д</x:v>
      </x:c>
      <x:c r="Y183" s="27" t="str">
        <x:f>IF(J183="Рассчитано",IF(V183&gt;0,G183/V183,"н/д"),"н/д")</x:f>
        <x:v>н/д</x:v>
      </x:c>
      <x:c r="Z183" s="21" t="str">
        <x:f>IF(J183="Рассчитано",K183*M183,"н/д")</x:f>
        <x:v>н/д</x:v>
      </x:c>
      <x:c r="AA183" s="21" t="str">
        <x:f>IF(J183="Рассчитано",(K183-T183)*M183,"н/д")</x:f>
        <x:v>н/д</x:v>
      </x:c>
      <x:c r="AB183" s="21" t="str">
        <x:f>IF(AND(J183="Рассчитано",ISNUMBER(S183)),K183*(S183-M183),"н/д")</x:f>
        <x:v>н/д</x:v>
      </x:c>
      <x:c r="AC183" s="21" t="str">
        <x:f>IF(AND(J183="Рассчитано",T183&gt;0,R183&lt;100),(W183+P183+Q183)/(T183*(1-R183/100)),"н/д")</x:f>
        <x:v>н/д</x:v>
      </x:c>
      <x:c r="AD183" s="10" t="str">
        <x:f>IF(ISNUMBER(G183),IF(G183&lt;0,"Убыток",IF(G183=0,"Без прибыли","Прибыль &gt; 0")),"Не оценён")</x:f>
        <x:v>Не оценён</x:v>
      </x:c>
      <x:c r="AE183" s="13" t="str">
        <x:f>IF(J183="Рассчитано","Выручка "&amp;TEXT(V183,"0.00")&amp;" - себестоимость "&amp;TEXT(W183,"0.00")&amp;" - комиссия "&amp;TEXT(V183*R183/100,"0.00")&amp;" - доставка "&amp;TEXT(P183,"0.00")&amp;" - прочие "&amp;TEXT(Q183,"0.00")&amp;" = "&amp;TEXT(G183,"0.00")&amp;" "&amp;L183,"Введите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3" s="24" t="n">
        <x:v>379.51254870417034</x:v>
      </x:c>
      <x:c r="AG183" s="37" t="n">
        <x:v>271</x:v>
      </x:c>
      <x:c r="AH183" s="37" t="n">
        <x:v>100</x:v>
      </x:c>
      <x:c r="AI183" s="30" t="n">
        <x:v>46266</x:v>
      </x:c>
      <x:c r="AJ183" s="37" t="n">
        <x:v>5</x:v>
      </x:c>
      <x:c r="AK183" s="10" t="str">
        <x:v>минимум</x:v>
      </x:c>
      <x:c r="AL183" s="32" t="n">
        <x:v>21.42221654530145</x:v>
      </x:c>
      <x:c r="AM183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21.4 дн. без поступлений</x:v>
      </x:c>
      <x:c r="AN183" s="13" t="str">
        <x:v>Подтвердить наличие, срок и цену закупки</x:v>
      </x:c>
      <x:c r="AO183" s="13" t="str">
        <x:v>Прогноз 30 дней 379.51; остаток 271; поступления в срок 100; нехватка 9; заказ с учётом MOQ 9 шт. Остаток на начало сентября: требуется актуализация.</x:v>
      </x:c>
      <x:c r="AP183" s="13" t="str">
        <x:v>["category_missing", "daily_stockout_data_missing", "large_orders_detected", "new_order_lead_time_unknown", "reservations_unknown", "stale_stock", "transaction_month_mismatch"]</x:v>
      </x:c>
      <x:c r="AQ183" s="10" t="str">
        <x:v>IEK:200400028_</x:v>
      </x:c>
      <x:c r="AR183" s="24" t="n">
        <x:v>1</x:v>
      </x:c>
      <x:c r="AS183" s="24" t="n">
        <x:f>MAX(0,ROUNDUP(MAX(0,AF183-AG183-AH183)/AR183-0.000000001,0)*AR183)</x:f>
        <x:v>9</x:v>
      </x:c>
      <x:c r="AT183" s="24" t="n">
        <x:v>8.512548704170342</x:v>
      </x:c>
    </x:row>
    <x:row r="184" ht="64" customHeight="1">
      <x:c r="A184" s="11" t="str">
        <x:v>IEK</x:v>
      </x:c>
      <x:c r="B184" s="33" t="str">
        <x:v>200400029_</x:v>
      </x:c>
      <x:c r="C184" s="33" t="str">
        <x:v>EVMP10-K01-10-54-EC</x:v>
      </x:c>
      <x:c r="D184" s="12" t="str">
        <x:v>I26 выкл 1кл о/у белый IP54 ГЕРМЕС IEK ВС20-1-0-ГПБ  (10/100)</x:v>
      </x:c>
      <x:c r="E184" s="11" t="str">
        <x:v>шт</x:v>
      </x:c>
      <x:c r="F184" s="35" t="n">
        <x:f>IF(AS184&gt;0,MAX(AS184,AJ184),0)</x:f>
        <x:v>56</x:v>
      </x:c>
      <x:c r="G184" s="20" t="str">
        <x:f>IF(J184="Рассчитано",V184*(1-R184/100)-W184-P184-Q184,"н/д")</x:f>
        <x:v>н/д</x:v>
      </x:c>
      <x:c r="H184" s="12" t="str">
        <x:v>Высокий</x:v>
      </x:c>
      <x:c r="I184" s="12" t="str">
        <x:v>Средний</x:v>
      </x:c>
      <x:c r="J184" s="12" t="str">
        <x:f>IF(L184="","Укажите валюту",IF(NOT(ISNUMBER(K184)),"Укажите объём",IF(K184&lt;=0,"Укажите объём",IF(COUNT(M184:O184)&lt;3,"Нужны цены",IF(COUNT(P184:R184)&lt;3,"Нужны расходы",IF(OR(M184&lt;0,N184&lt;0,O184&lt;0,O184&gt;100,P184&lt;0,Q184&lt;0,R184&lt;0,R184&gt;100),"Проверьте значения","Рассчитано"))))))</x:f>
        <x:v>Нужны цены</x:v>
      </x:c>
      <x:c r="K184" s="36" t="n">
        <x:v>56</x:v>
      </x:c>
      <x:c r="L184" s="19" t="str">
        <x:v>KZT</x:v>
      </x:c>
      <x:c r="M184" s="22"/>
      <x:c r="N184" s="22"/>
      <x:c r="O184" s="28"/>
      <x:c r="P184" s="22"/>
      <x:c r="Q184" s="22"/>
      <x:c r="R184" s="28"/>
      <x:c r="S184" s="22"/>
      <x:c r="T184" s="35" t="n">
        <x:f>MIN(K184,AT184)</x:f>
        <x:v>55.04727469294693</x:v>
      </x:c>
      <x:c r="U184" s="20" t="str">
        <x:f>IF(J184="Рассчитано",N184*(1-O184/100),"н/д")</x:f>
        <x:v>н/д</x:v>
      </x:c>
      <x:c r="V184" s="20" t="str">
        <x:f>IF(J184="Рассчитано",T184*U184,"н/д")</x:f>
        <x:v>н/д</x:v>
      </x:c>
      <x:c r="W184" s="20" t="str">
        <x:f>IF(J184="Рассчитано",T184*M184,"н/д")</x:f>
        <x:v>н/д</x:v>
      </x:c>
      <x:c r="X184" s="20" t="str">
        <x:f>IF(J184="Рассчитано",V184-W184,"н/д")</x:f>
        <x:v>н/д</x:v>
      </x:c>
      <x:c r="Y184" s="26" t="str">
        <x:f>IF(J184="Рассчитано",IF(V184&gt;0,G184/V184,"н/д"),"н/д")</x:f>
        <x:v>н/д</x:v>
      </x:c>
      <x:c r="Z184" s="20" t="str">
        <x:f>IF(J184="Рассчитано",K184*M184,"н/д")</x:f>
        <x:v>н/д</x:v>
      </x:c>
      <x:c r="AA184" s="20" t="str">
        <x:f>IF(J184="Рассчитано",(K184-T184)*M184,"н/д")</x:f>
        <x:v>н/д</x:v>
      </x:c>
      <x:c r="AB184" s="20" t="str">
        <x:f>IF(AND(J184="Рассчитано",ISNUMBER(S184)),K184*(S184-M184),"н/д")</x:f>
        <x:v>н/д</x:v>
      </x:c>
      <x:c r="AC184" s="20" t="str">
        <x:f>IF(AND(J184="Рассчитано",T184&gt;0,R184&lt;100),(W184+P184+Q184)/(T184*(1-R184/100)),"н/д")</x:f>
        <x:v>н/д</x:v>
      </x:c>
      <x:c r="AD184" s="11" t="str">
        <x:f>IF(ISNUMBER(G184),IF(G184&lt;0,"Убыток",IF(G184=0,"Без прибыли","Прибыль &gt; 0")),"Не оценён")</x:f>
        <x:v>Не оценён</x:v>
      </x:c>
      <x:c r="AE184" s="12" t="str">
        <x:f>IF(J184="Рассчитано","Выручка "&amp;TEXT(V184,"0.00")&amp;" - себестоимость "&amp;TEXT(W184,"0.00")&amp;" - комиссия "&amp;TEXT(V184*R184/100,"0.00")&amp;" - доставка "&amp;TEXT(P184,"0.00")&amp;" - прочие "&amp;TEXT(Q184,"0.00")&amp;" = "&amp;TEXT(G184,"0.00")&amp;" "&amp;L184,"Введите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4" s="23" t="n">
        <x:v>146.04727469294693</x:v>
      </x:c>
      <x:c r="AG184" s="35" t="n">
        <x:v>91</x:v>
      </x:c>
      <x:c r="AH184" s="35" t="n">
        <x:v>0</x:v>
      </x:c>
      <x:c r="AI184" s="29" t="n">
        <x:v>46266</x:v>
      </x:c>
      <x:c r="AJ184" s="35" t="n">
        <x:v>10</x:v>
      </x:c>
      <x:c r="AK184" s="11" t="str">
        <x:v>минимум</x:v>
      </x:c>
      <x:c r="AL184" s="31" t="n">
        <x:v>18.69257749409986</x:v>
      </x:c>
      <x:c r="AM184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18.7 дн. без поступлений</x:v>
      </x:c>
      <x:c r="AN184" s="12" t="str">
        <x:v>Подтвердить наличие, срок и цену закупки</x:v>
      </x:c>
      <x:c r="AO184" s="12" t="str">
        <x:v>Прогноз 30 дней 146.05; остаток 91; поступления в срок 0; нехватка 56; заказ с учётом MOQ 56 шт. Остаток на начало сентября: требуется актуализация.</x:v>
      </x:c>
      <x:c r="AP184" s="12" t="str">
        <x:v>["category_missing", "daily_stockout_data_missing", "large_orders_detected", "new_order_lead_time_unknown", "reservations_unknown", "stale_stock", "transaction_month_mismatch"]</x:v>
      </x:c>
      <x:c r="AQ184" s="11" t="str">
        <x:v>IEK:200400029_</x:v>
      </x:c>
      <x:c r="AR184" s="23" t="n">
        <x:v>1</x:v>
      </x:c>
      <x:c r="AS184" s="23" t="n">
        <x:f>MAX(0,ROUNDUP(MAX(0,AF184-AG184-AH184)/AR184-0.000000001,0)*AR184)</x:f>
        <x:v>56</x:v>
      </x:c>
      <x:c r="AT184" s="23" t="n">
        <x:v>55.04727469294693</x:v>
      </x:c>
    </x:row>
    <x:row r="185" ht="64" customHeight="1">
      <x:c r="A185" s="10" t="str">
        <x:v>IEK</x:v>
      </x:c>
      <x:c r="B185" s="34" t="str">
        <x:v>200400050_</x:v>
      </x:c>
      <x:c r="C185" s="34" t="str">
        <x:v>KMM11-006-230-10</x:v>
      </x:c>
      <x:c r="D185" s="13" t="str">
        <x:v>Миниконтактор МКИ-10610 6А 230В IEK (1/100)</x:v>
      </x:c>
      <x:c r="E185" s="10" t="str">
        <x:v>шт</x:v>
      </x:c>
      <x:c r="F185" s="37" t="n">
        <x:f>IF(AS185&gt;0,MAX(AS185,AJ185),0)</x:f>
        <x:v>3</x:v>
      </x:c>
      <x:c r="G185" s="21" t="str">
        <x:f>IF(J185="Рассчитано",V185*(1-R185/100)-W185-P185-Q185,"н/д")</x:f>
        <x:v>н/д</x:v>
      </x:c>
      <x:c r="H185" s="13" t="str">
        <x:v>Высокий</x:v>
      </x:c>
      <x:c r="I185" s="13" t="str">
        <x:v>Средний</x:v>
      </x:c>
      <x:c r="J185" s="13" t="str">
        <x:f>IF(L185="","Укажите валюту",IF(NOT(ISNUMBER(K185)),"Укажите объём",IF(K185&lt;=0,"Укажите объём",IF(COUNT(M185:O185)&lt;3,"Нужны цены",IF(COUNT(P185:R185)&lt;3,"Нужны расходы",IF(OR(M185&lt;0,N185&lt;0,O185&lt;0,O185&gt;100,P185&lt;0,Q185&lt;0,R185&lt;0,R185&gt;100),"Проверьте значения","Рассчитано"))))))</x:f>
        <x:v>Нужны цены</x:v>
      </x:c>
      <x:c r="K185" s="36" t="n">
        <x:v>3</x:v>
      </x:c>
      <x:c r="L185" s="19" t="str">
        <x:v>KZT</x:v>
      </x:c>
      <x:c r="M185" s="22"/>
      <x:c r="N185" s="22"/>
      <x:c r="O185" s="28"/>
      <x:c r="P185" s="22"/>
      <x:c r="Q185" s="22"/>
      <x:c r="R185" s="28"/>
      <x:c r="S185" s="22"/>
      <x:c r="T185" s="37" t="n">
        <x:f>MIN(K185,AT185)</x:f>
        <x:v>2.8718199982832164</x:v>
      </x:c>
      <x:c r="U185" s="21" t="str">
        <x:f>IF(J185="Рассчитано",N185*(1-O185/100),"н/д")</x:f>
        <x:v>н/д</x:v>
      </x:c>
      <x:c r="V185" s="21" t="str">
        <x:f>IF(J185="Рассчитано",T185*U185,"н/д")</x:f>
        <x:v>н/д</x:v>
      </x:c>
      <x:c r="W185" s="21" t="str">
        <x:f>IF(J185="Рассчитано",T185*M185,"н/д")</x:f>
        <x:v>н/д</x:v>
      </x:c>
      <x:c r="X185" s="21" t="str">
        <x:f>IF(J185="Рассчитано",V185-W185,"н/д")</x:f>
        <x:v>н/д</x:v>
      </x:c>
      <x:c r="Y185" s="27" t="str">
        <x:f>IF(J185="Рассчитано",IF(V185&gt;0,G185/V185,"н/д"),"н/д")</x:f>
        <x:v>н/д</x:v>
      </x:c>
      <x:c r="Z185" s="21" t="str">
        <x:f>IF(J185="Рассчитано",K185*M185,"н/д")</x:f>
        <x:v>н/д</x:v>
      </x:c>
      <x:c r="AA185" s="21" t="str">
        <x:f>IF(J185="Рассчитано",(K185-T185)*M185,"н/д")</x:f>
        <x:v>н/д</x:v>
      </x:c>
      <x:c r="AB185" s="21" t="str">
        <x:f>IF(AND(J185="Рассчитано",ISNUMBER(S185)),K185*(S185-M185),"н/д")</x:f>
        <x:v>н/д</x:v>
      </x:c>
      <x:c r="AC185" s="21" t="str">
        <x:f>IF(AND(J185="Рассчитано",T185&gt;0,R185&lt;100),(W185+P185+Q185)/(T185*(1-R185/100)),"н/д")</x:f>
        <x:v>н/д</x:v>
      </x:c>
      <x:c r="AD185" s="10" t="str">
        <x:f>IF(ISNUMBER(G185),IF(G185&lt;0,"Убыток",IF(G185=0,"Без прибыли","Прибыль &gt; 0")),"Не оценён")</x:f>
        <x:v>Не оценён</x:v>
      </x:c>
      <x:c r="AE185" s="13" t="str">
        <x:f>IF(J185="Рассчитано","Выручка "&amp;TEXT(V185,"0.00")&amp;" - себестоимость "&amp;TEXT(W185,"0.00")&amp;" - комиссия "&amp;TEXT(V185*R185/100,"0.00")&amp;" - доставка "&amp;TEXT(P185,"0.00")&amp;" - прочие "&amp;TEXT(Q185,"0.00")&amp;" = "&amp;TEXT(G185,"0.00")&amp;" "&amp;L185,"Введите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5" s="24" t="n">
        <x:v>7.871819998283216</x:v>
      </x:c>
      <x:c r="AG185" s="37" t="n">
        <x:v>5</x:v>
      </x:c>
      <x:c r="AH185" s="37" t="n">
        <x:v>0</x:v>
      </x:c>
      <x:c r="AI185" s="30" t="n">
        <x:v>46266</x:v>
      </x:c>
      <x:c r="AJ185" s="37" t="n">
        <x:v>1</x:v>
      </x:c>
      <x:c r="AK185" s="10" t="str">
        <x:v>минимум</x:v>
      </x:c>
      <x:c r="AL185" s="32" t="n">
        <x:v>19.05531376895227</x:v>
      </x:c>
      <x:c r="AM185" s="13" t="str">
        <x:v>Остаток на начало сентября; Резервы неизвестны; Нет ежедневных данных доступности. Запаса примерно на 19.1 дн. без поступлений</x:v>
      </x:c>
      <x:c r="AN185" s="13" t="str">
        <x:v>Подтвердить наличие, срок и цену закупки</x:v>
      </x:c>
      <x:c r="AO185" s="13" t="str">
        <x:v>Прогноз 30 дней 7.87; остаток 5; поступления в срок 0; нехватка 3; заказ с учётом MOQ 3 шт. Остаток на начало сентября: требуется актуализация.</x:v>
      </x:c>
      <x:c r="AP185" s="13" t="str">
        <x:v>["category_missing", "daily_stockout_data_missing", "new_order_lead_time_unknown", "reservations_unknown", "stale_stock"]</x:v>
      </x:c>
      <x:c r="AQ185" s="10" t="str">
        <x:v>IEK:200400050_</x:v>
      </x:c>
      <x:c r="AR185" s="24" t="n">
        <x:v>1</x:v>
      </x:c>
      <x:c r="AS185" s="24" t="n">
        <x:f>MAX(0,ROUNDUP(MAX(0,AF185-AG185-AH185)/AR185-0.000000001,0)*AR185)</x:f>
        <x:v>3</x:v>
      </x:c>
      <x:c r="AT185" s="24" t="n">
        <x:v>2.8718199982832164</x:v>
      </x:c>
    </x:row>
    <x:row r="186" ht="64" customHeight="1">
      <x:c r="A186" s="11" t="str">
        <x:v>IEK</x:v>
      </x:c>
      <x:c r="B186" s="33" t="str">
        <x:v>201000017_</x:v>
      </x:c>
      <x:c r="C186" s="33" t="str">
        <x:v>CNT-A310D33V15-18TELZ</x:v>
      </x:c>
      <x:c r="D186" s="12" t="str">
        <x:v>Преобраз. частоты CONTROL-A310 380В 3Ф  15-18,5кВт 32-37A IEK NEW</x:v>
      </x:c>
      <x:c r="E186" s="11" t="str">
        <x:v>шт</x:v>
      </x:c>
      <x:c r="F186" s="35" t="n">
        <x:f>AS186</x:f>
        <x:v>1</x:v>
      </x:c>
      <x:c r="G186" s="20" t="str">
        <x:f>IF(J186="Рассчитано",V186*(1-R186/100)-W186-P186-Q186,"н/д")</x:f>
        <x:v>н/д</x:v>
      </x:c>
      <x:c r="H186" s="12" t="str">
        <x:v>Высокий</x:v>
      </x:c>
      <x:c r="I186" s="12" t="str">
        <x:v>Критический</x:v>
      </x:c>
      <x:c r="J186" s="12" t="str">
        <x:f>IF(L186="","Укажите валюту",IF(NOT(ISNUMBER(K186)),"Укажите объём",IF(K186&lt;=0,"Укажите объём",IF(COUNT(M186:O186)&lt;3,"Нужны цены",IF(COUNT(P186:R186)&lt;3,"Нужны расходы",IF(OR(M186&lt;0,N186&lt;0,O186&lt;0,O186&gt;100,P186&lt;0,Q186&lt;0,R186&lt;0,R186&gt;100),"Проверьте значения","Рассчитано"))))))</x:f>
        <x:v>Нужны цены</x:v>
      </x:c>
      <x:c r="K186" s="36" t="n">
        <x:v>1</x:v>
      </x:c>
      <x:c r="L186" s="19" t="str">
        <x:v>KZT</x:v>
      </x:c>
      <x:c r="M186" s="22"/>
      <x:c r="N186" s="22"/>
      <x:c r="O186" s="28"/>
      <x:c r="P186" s="22"/>
      <x:c r="Q186" s="22"/>
      <x:c r="R186" s="28"/>
      <x:c r="S186" s="22"/>
      <x:c r="T186" s="35" t="n">
        <x:f>MIN(K186,AT186)</x:f>
        <x:v>0.03480184351304997</x:v>
      </x:c>
      <x:c r="U186" s="20" t="str">
        <x:f>IF(J186="Рассчитано",N186*(1-O186/100),"н/д")</x:f>
        <x:v>н/д</x:v>
      </x:c>
      <x:c r="V186" s="20" t="str">
        <x:f>IF(J186="Рассчитано",T186*U186,"н/д")</x:f>
        <x:v>н/д</x:v>
      </x:c>
      <x:c r="W186" s="20" t="str">
        <x:f>IF(J186="Рассчитано",T186*M186,"н/д")</x:f>
        <x:v>н/д</x:v>
      </x:c>
      <x:c r="X186" s="20" t="str">
        <x:f>IF(J186="Рассчитано",V186-W186,"н/д")</x:f>
        <x:v>н/д</x:v>
      </x:c>
      <x:c r="Y186" s="26" t="str">
        <x:f>IF(J186="Рассчитано",IF(V186&gt;0,G186/V186,"н/д"),"н/д")</x:f>
        <x:v>н/д</x:v>
      </x:c>
      <x:c r="Z186" s="20" t="str">
        <x:f>IF(J186="Рассчитано",K186*M186,"н/д")</x:f>
        <x:v>н/д</x:v>
      </x:c>
      <x:c r="AA186" s="20" t="str">
        <x:f>IF(J186="Рассчитано",(K186-T186)*M186,"н/д")</x:f>
        <x:v>н/д</x:v>
      </x:c>
      <x:c r="AB186" s="20" t="str">
        <x:f>IF(AND(J186="Рассчитано",ISNUMBER(S186)),K186*(S186-M186),"н/д")</x:f>
        <x:v>н/д</x:v>
      </x:c>
      <x:c r="AC186" s="20" t="str">
        <x:f>IF(AND(J186="Рассчитано",T186&gt;0,R186&lt;100),(W186+P186+Q186)/(T186*(1-R186/100)),"н/д")</x:f>
        <x:v>н/д</x:v>
      </x:c>
      <x:c r="AD186" s="11" t="str">
        <x:f>IF(ISNUMBER(G186),IF(G186&lt;0,"Убыток",IF(G186=0,"Без прибыли","Прибыль &gt; 0")),"Не оценён")</x:f>
        <x:v>Не оценён</x:v>
      </x:c>
      <x:c r="AE186" s="12" t="str">
        <x:f>IF(J186="Рассчитано","Выручка "&amp;TEXT(V186,"0.00")&amp;" - себестоимость "&amp;TEXT(W186,"0.00")&amp;" - комиссия "&amp;TEXT(V186*R186/100,"0.00")&amp;" - доставка "&amp;TEXT(P186,"0.00")&amp;" - прочие "&amp;TEXT(Q186,"0.00")&amp;" = "&amp;TEXT(G186,"0.00")&amp;" "&amp;L186,"Введите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6" s="23" t="n">
        <x:v>0.03480184351304997</x:v>
      </x:c>
      <x:c r="AG186" s="35" t="n">
        <x:v>0</x:v>
      </x:c>
      <x:c r="AH186" s="35" t="n">
        <x:v>0</x:v>
      </x:c>
      <x:c r="AI186" s="29" t="n">
        <x:v>46266</x:v>
      </x:c>
      <x:c r="AJ186" s="35"/>
      <x:c r="AK186" s="11" t="str">
        <x:v>неизвестно</x:v>
      </x:c>
      <x:c r="AL186" s="31" t="n">
        <x:v>0</x:v>
      </x:c>
      <x:c r="AM186" s="12" t="str">
        <x:v>Остаток на начало сентября; Резервы неизвестны; Нет ежедневных данных доступности. Нет запаса</x:v>
      </x:c>
      <x:c r="AN186" s="12" t="str">
        <x:v>Подтвердить наличие, срок и цену закупки</x:v>
      </x:c>
      <x:c r="AO186" s="12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186" s="12" t="str">
        <x:v>["blank_stock_assumed_zero", "category_missing", "daily_stockout_data_missing", "moq_missing", "new_order_lead_time_unknown", "reservations_unknown", "stale_stock"]</x:v>
      </x:c>
      <x:c r="AQ186" s="11" t="str">
        <x:v>IEK:201000017_</x:v>
      </x:c>
      <x:c r="AR186" s="23" t="n">
        <x:v>1</x:v>
      </x:c>
      <x:c r="AS186" s="23" t="n">
        <x:f>MAX(0,ROUNDUP(MAX(0,AF186-AG186-AH186)/AR186-0.000000001,0)*AR186)</x:f>
        <x:v>1</x:v>
      </x:c>
      <x:c r="AT186" s="23" t="n">
        <x:v>0.03480184351304997</x:v>
      </x:c>
    </x:row>
    <x:row r="187" ht="64" customHeight="1">
      <x:c r="A187" s="10" t="str">
        <x:v>IEK</x:v>
      </x:c>
      <x:c r="B187" s="34" t="str">
        <x:v>201000020_</x:v>
      </x:c>
      <x:c r="C187" s="34" t="str">
        <x:v>CNT-A310D33V37-45TE</x:v>
      </x:c>
      <x:c r="D187" s="13" t="str">
        <x:v>Преобраз. частоты CONTROL-A310 380В 3Ф  37-45кВт 75-90А IEK (1) NEW</x:v>
      </x:c>
      <x:c r="E187" s="10" t="str">
        <x:v>шт</x:v>
      </x:c>
      <x:c r="F187" s="37" t="n">
        <x:f>AS187</x:f>
        <x:v>1</x:v>
      </x:c>
      <x:c r="G187" s="21" t="str">
        <x:f>IF(J187="Рассчитано",V187*(1-R187/100)-W187-P187-Q187,"н/д")</x:f>
        <x:v>н/д</x:v>
      </x:c>
      <x:c r="H187" s="13" t="str">
        <x:v>Высокий</x:v>
      </x:c>
      <x:c r="I187" s="13" t="str">
        <x:v>Критический</x:v>
      </x:c>
      <x:c r="J187" s="13" t="str">
        <x:f>IF(L187="","Укажите валюту",IF(NOT(ISNUMBER(K187)),"Укажите объём",IF(K187&lt;=0,"Укажите объём",IF(COUNT(M187:O187)&lt;3,"Нужны цены",IF(COUNT(P187:R187)&lt;3,"Нужны расходы",IF(OR(M187&lt;0,N187&lt;0,O187&lt;0,O187&gt;100,P187&lt;0,Q187&lt;0,R187&lt;0,R187&gt;100),"Проверьте значения","Рассчитано"))))))</x:f>
        <x:v>Нужны цены</x:v>
      </x:c>
      <x:c r="K187" s="36" t="n">
        <x:v>1</x:v>
      </x:c>
      <x:c r="L187" s="19" t="str">
        <x:v>KZT</x:v>
      </x:c>
      <x:c r="M187" s="22"/>
      <x:c r="N187" s="22"/>
      <x:c r="O187" s="28"/>
      <x:c r="P187" s="22"/>
      <x:c r="Q187" s="22"/>
      <x:c r="R187" s="28"/>
      <x:c r="S187" s="22"/>
      <x:c r="T187" s="37" t="n">
        <x:f>MIN(K187,AT187)</x:f>
        <x:v>0.04592496846673876</x:v>
      </x:c>
      <x:c r="U187" s="21" t="str">
        <x:f>IF(J187="Рассчитано",N187*(1-O187/100),"н/д")</x:f>
        <x:v>н/д</x:v>
      </x:c>
      <x:c r="V187" s="21" t="str">
        <x:f>IF(J187="Рассчитано",T187*U187,"н/д")</x:f>
        <x:v>н/д</x:v>
      </x:c>
      <x:c r="W187" s="21" t="str">
        <x:f>IF(J187="Рассчитано",T187*M187,"н/д")</x:f>
        <x:v>н/д</x:v>
      </x:c>
      <x:c r="X187" s="21" t="str">
        <x:f>IF(J187="Рассчитано",V187-W187,"н/д")</x:f>
        <x:v>н/д</x:v>
      </x:c>
      <x:c r="Y187" s="27" t="str">
        <x:f>IF(J187="Рассчитано",IF(V187&gt;0,G187/V187,"н/д"),"н/д")</x:f>
        <x:v>н/д</x:v>
      </x:c>
      <x:c r="Z187" s="21" t="str">
        <x:f>IF(J187="Рассчитано",K187*M187,"н/д")</x:f>
        <x:v>н/д</x:v>
      </x:c>
      <x:c r="AA187" s="21" t="str">
        <x:f>IF(J187="Рассчитано",(K187-T187)*M187,"н/д")</x:f>
        <x:v>н/д</x:v>
      </x:c>
      <x:c r="AB187" s="21" t="str">
        <x:f>IF(AND(J187="Рассчитано",ISNUMBER(S187)),K187*(S187-M187),"н/д")</x:f>
        <x:v>н/д</x:v>
      </x:c>
      <x:c r="AC187" s="21" t="str">
        <x:f>IF(AND(J187="Рассчитано",T187&gt;0,R187&lt;100),(W187+P187+Q187)/(T187*(1-R187/100)),"н/д")</x:f>
        <x:v>н/д</x:v>
      </x:c>
      <x:c r="AD187" s="10" t="str">
        <x:f>IF(ISNUMBER(G187),IF(G187&lt;0,"Убыток",IF(G187=0,"Без прибыли","Прибыль &gt; 0")),"Не оценён")</x:f>
        <x:v>Не оценён</x:v>
      </x:c>
      <x:c r="AE187" s="13" t="str">
        <x:f>IF(J187="Рассчитано","Выручка "&amp;TEXT(V187,"0.00")&amp;" - себестоимость "&amp;TEXT(W187,"0.00")&amp;" - комиссия "&amp;TEXT(V187*R187/100,"0.00")&amp;" - доставка "&amp;TEXT(P187,"0.00")&amp;" - прочие "&amp;TEXT(Q187,"0.00")&amp;" = "&amp;TEXT(G187,"0.00")&amp;" "&amp;L187,"Введите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7" s="24" t="n">
        <x:v>0.04592496846673876</x:v>
      </x:c>
      <x:c r="AG187" s="37" t="n">
        <x:v>0</x:v>
      </x:c>
      <x:c r="AH187" s="37" t="n">
        <x:v>0</x:v>
      </x:c>
      <x:c r="AI187" s="30" t="n">
        <x:v>46266</x:v>
      </x:c>
      <x:c r="AJ187" s="37"/>
      <x:c r="AK187" s="10" t="str">
        <x:v>неизвестно</x:v>
      </x:c>
      <x:c r="AL187" s="32" t="n">
        <x:v>0</x:v>
      </x:c>
      <x:c r="AM187" s="13" t="str">
        <x:v>Остаток на начало сентября; Резервы неизвестны; Нет ежедневных данных доступности. Нет запаса</x:v>
      </x:c>
      <x:c r="AN187" s="13" t="str">
        <x:v>Подтвердить наличие, срок и цену закупки</x:v>
      </x:c>
      <x:c r="AO187" s="13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187" s="13" t="str">
        <x:v>["blank_stock_assumed_zero", "category_missing", "daily_stockout_data_missing", "moq_missing", "new_order_lead_time_unknown", "reservations_unknown", "stale_stock"]</x:v>
      </x:c>
      <x:c r="AQ187" s="10" t="str">
        <x:v>IEK:201000020_</x:v>
      </x:c>
      <x:c r="AR187" s="24" t="n">
        <x:v>1</x:v>
      </x:c>
      <x:c r="AS187" s="24" t="n">
        <x:f>MAX(0,ROUNDUP(MAX(0,AF187-AG187-AH187)/AR187-0.000000001,0)*AR187)</x:f>
        <x:v>1</x:v>
      </x:c>
      <x:c r="AT187" s="24" t="n">
        <x:v>0.04592496846673876</x:v>
      </x:c>
    </x:row>
    <x:row r="188" ht="64" customHeight="1">
      <x:c r="A188" s="11" t="str">
        <x:v>IEK</x:v>
      </x:c>
      <x:c r="B188" s="33" t="str">
        <x:v>240100012_</x:v>
      </x:c>
      <x:c r="C188" s="33" t="str">
        <x:v>UHH31-D048-500-100</x:v>
      </x:c>
      <x:c r="D188" s="12" t="str">
        <x:v>Хомут 4,8х500 IEK (100)</x:v>
      </x:c>
      <x:c r="E188" s="11" t="str">
        <x:v>упак</x:v>
      </x:c>
      <x:c r="F188" s="35" t="n">
        <x:f>IF(AS188&gt;0,MAX(AS188,AJ188),0)</x:f>
        <x:v>10</x:v>
      </x:c>
      <x:c r="G188" s="20" t="str">
        <x:f>IF(J188="Рассчитано",V188*(1-R188/100)-W188-P188-Q188,"н/д")</x:f>
        <x:v>н/д</x:v>
      </x:c>
      <x:c r="H188" s="12" t="str">
        <x:v>Высокий</x:v>
      </x:c>
      <x:c r="I188" s="12" t="str">
        <x:v>Критический</x:v>
      </x:c>
      <x:c r="J188" s="12" t="str">
        <x:f>IF(L188="","Укажите валюту",IF(NOT(ISNUMBER(K188)),"Укажите объём",IF(K188&lt;=0,"Укажите объём",IF(COUNT(M188:O188)&lt;3,"Нужны цены",IF(COUNT(P188:R188)&lt;3,"Нужны расходы",IF(OR(M188&lt;0,N188&lt;0,O188&lt;0,O188&gt;100,P188&lt;0,Q188&lt;0,R188&lt;0,R188&gt;100),"Проверьте значения","Рассчитано"))))))</x:f>
        <x:v>Нужны цены</x:v>
      </x:c>
      <x:c r="K188" s="36" t="n">
        <x:v>10</x:v>
      </x:c>
      <x:c r="L188" s="19" t="str">
        <x:v>KZT</x:v>
      </x:c>
      <x:c r="M188" s="22"/>
      <x:c r="N188" s="22"/>
      <x:c r="O188" s="28"/>
      <x:c r="P188" s="22"/>
      <x:c r="Q188" s="22"/>
      <x:c r="R188" s="28"/>
      <x:c r="S188" s="22"/>
      <x:c r="T188" s="35" t="n">
        <x:f>MIN(K188,AT188)</x:f>
        <x:v>9.00956139163739</x:v>
      </x:c>
      <x:c r="U188" s="20" t="str">
        <x:f>IF(J188="Рассчитано",N188*(1-O188/100),"н/д")</x:f>
        <x:v>н/д</x:v>
      </x:c>
      <x:c r="V188" s="20" t="str">
        <x:f>IF(J188="Рассчитано",T188*U188,"н/д")</x:f>
        <x:v>н/д</x:v>
      </x:c>
      <x:c r="W188" s="20" t="str">
        <x:f>IF(J188="Рассчитано",T188*M188,"н/д")</x:f>
        <x:v>н/д</x:v>
      </x:c>
      <x:c r="X188" s="20" t="str">
        <x:f>IF(J188="Рассчитано",V188-W188,"н/д")</x:f>
        <x:v>н/д</x:v>
      </x:c>
      <x:c r="Y188" s="26" t="str">
        <x:f>IF(J188="Рассчитано",IF(V188&gt;0,G188/V188,"н/д"),"н/д")</x:f>
        <x:v>н/д</x:v>
      </x:c>
      <x:c r="Z188" s="20" t="str">
        <x:f>IF(J188="Рассчитано",K188*M188,"н/д")</x:f>
        <x:v>н/д</x:v>
      </x:c>
      <x:c r="AA188" s="20" t="str">
        <x:f>IF(J188="Рассчитано",(K188-T188)*M188,"н/д")</x:f>
        <x:v>н/д</x:v>
      </x:c>
      <x:c r="AB188" s="20" t="str">
        <x:f>IF(AND(J188="Рассчитано",ISNUMBER(S188)),K188*(S188-M188),"н/д")</x:f>
        <x:v>н/д</x:v>
      </x:c>
      <x:c r="AC188" s="20" t="str">
        <x:f>IF(AND(J188="Рассчитано",T188&gt;0,R188&lt;100),(W188+P188+Q188)/(T188*(1-R188/100)),"н/д")</x:f>
        <x:v>н/д</x:v>
      </x:c>
      <x:c r="AD188" s="11" t="str">
        <x:f>IF(ISNUMBER(G188),IF(G188&lt;0,"Убыток",IF(G188=0,"Без прибыли","Прибыль &gt; 0")),"Не оценён")</x:f>
        <x:v>Не оценён</x:v>
      </x:c>
      <x:c r="AE188" s="12" t="str">
        <x:f>IF(J188="Рассчитано","Выручка "&amp;TEXT(V188,"0.00")&amp;" - себестоимость "&amp;TEXT(W188,"0.00")&amp;" - комиссия "&amp;TEXT(V188*R188/100,"0.00")&amp;" - доставка "&amp;TEXT(P188,"0.00")&amp;" - прочие "&amp;TEXT(Q188,"0.00")&amp;" = "&amp;TEXT(G188,"0.00")&amp;" "&amp;L188,"Введите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8" s="23" t="n">
        <x:v>10.00956139163739</x:v>
      </x:c>
      <x:c r="AG188" s="35" t="n">
        <x:v>1</x:v>
      </x:c>
      <x:c r="AH188" s="35" t="n">
        <x:v>0</x:v>
      </x:c>
      <x:c r="AI188" s="29" t="n">
        <x:v>46266</x:v>
      </x:c>
      <x:c r="AJ188" s="35" t="n">
        <x:v>10</x:v>
      </x:c>
      <x:c r="AK188" s="11" t="str">
        <x:v>минимум</x:v>
      </x:c>
      <x:c r="AL188" s="31" t="n">
        <x:v>2.997134322495276</x:v>
      </x:c>
      <x:c r="AM188" s="12" t="str">
        <x:v>Остаток на начало сентября; Резервы неизвестны; Stockout оценён по месячным снимкам; Нет ежедневных данных доступности. Запаса примерно на 3.0 дн. без поступлений</x:v>
      </x:c>
      <x:c r="AN188" s="12" t="str">
        <x:v>Подтвердить наличие, срок и цену закупки</x:v>
      </x:c>
      <x:c r="AO188" s="12" t="str">
        <x:v>Прогноз 30 дней 10.01; остаток 1; поступления в срок 0; нехватка 10; заказ с учётом MOQ 10 упак. Остаток на начало сентября: требуется актуализация.</x:v>
      </x:c>
      <x:c r="AP188" s="12" t="str">
        <x:v>["category_missing", "daily_stockout_data_missing", "new_order_lead_time_unknown", "reservations_unknown", "stale_stock", "stockout_proxy_used"]</x:v>
      </x:c>
      <x:c r="AQ188" s="11" t="str">
        <x:v>IEK:240100012_</x:v>
      </x:c>
      <x:c r="AR188" s="23" t="n">
        <x:v>1</x:v>
      </x:c>
      <x:c r="AS188" s="23" t="n">
        <x:f>MAX(0,ROUNDUP(MAX(0,AF188-AG188-AH188)/AR188-0.000000001,0)*AR188)</x:f>
        <x:v>10</x:v>
      </x:c>
      <x:c r="AT188" s="23" t="n">
        <x:v>9.00956139163739</x:v>
      </x:c>
    </x:row>
    <x:row r="189" ht="64" customHeight="1">
      <x:c r="A189" s="10" t="str">
        <x:v>IEK</x:v>
      </x:c>
      <x:c r="B189" s="34" t="str">
        <x:v>240100093_</x:v>
      </x:c>
      <x:c r="C189" s="34" t="str">
        <x:v>UHH32-D036-350-100</x:v>
      </x:c>
      <x:c r="D189" s="13" t="str">
        <x:v>Хомут 3,6х350 черные IEK (100)</x:v>
      </x:c>
      <x:c r="E189" s="10" t="str">
        <x:v>упак</x:v>
      </x:c>
      <x:c r="F189" s="37" t="n">
        <x:f>IF(AS189&gt;0,MAX(AS189,AJ189),0)</x:f>
        <x:v>29</x:v>
      </x:c>
      <x:c r="G189" s="21" t="str">
        <x:f>IF(J189="Рассчитано",V189*(1-R189/100)-W189-P189-Q189,"н/д")</x:f>
        <x:v>н/д</x:v>
      </x:c>
      <x:c r="H189" s="13" t="str">
        <x:v>Высокий</x:v>
      </x:c>
      <x:c r="I189" s="13" t="str">
        <x:v>Критический</x:v>
      </x:c>
      <x:c r="J189" s="13" t="str">
        <x:f>IF(L189="","Укажите валюту",IF(NOT(ISNUMBER(K189)),"Укажите объём",IF(K189&lt;=0,"Укажите объём",IF(COUNT(M189:O189)&lt;3,"Нужны цены",IF(COUNT(P189:R189)&lt;3,"Нужны расходы",IF(OR(M189&lt;0,N189&lt;0,O189&lt;0,O189&gt;100,P189&lt;0,Q189&lt;0,R189&lt;0,R189&gt;100),"Проверьте значения","Рассчитано"))))))</x:f>
        <x:v>Нужны цены</x:v>
      </x:c>
      <x:c r="K189" s="36" t="n">
        <x:v>29</x:v>
      </x:c>
      <x:c r="L189" s="19" t="str">
        <x:v>KZT</x:v>
      </x:c>
      <x:c r="M189" s="22"/>
      <x:c r="N189" s="22"/>
      <x:c r="O189" s="28"/>
      <x:c r="P189" s="22"/>
      <x:c r="Q189" s="22"/>
      <x:c r="R189" s="28"/>
      <x:c r="S189" s="22"/>
      <x:c r="T189" s="37" t="n">
        <x:f>MIN(K189,AT189)</x:f>
        <x:v>28.934421541819184</x:v>
      </x:c>
      <x:c r="U189" s="21" t="str">
        <x:f>IF(J189="Рассчитано",N189*(1-O189/100),"н/д")</x:f>
        <x:v>н/д</x:v>
      </x:c>
      <x:c r="V189" s="21" t="str">
        <x:f>IF(J189="Рассчитано",T189*U189,"н/д")</x:f>
        <x:v>н/д</x:v>
      </x:c>
      <x:c r="W189" s="21" t="str">
        <x:f>IF(J189="Рассчитано",T189*M189,"н/д")</x:f>
        <x:v>н/д</x:v>
      </x:c>
      <x:c r="X189" s="21" t="str">
        <x:f>IF(J189="Рассчитано",V189-W189,"н/д")</x:f>
        <x:v>н/д</x:v>
      </x:c>
      <x:c r="Y189" s="27" t="str">
        <x:f>IF(J189="Рассчитано",IF(V189&gt;0,G189/V189,"н/д"),"н/д")</x:f>
        <x:v>н/д</x:v>
      </x:c>
      <x:c r="Z189" s="21" t="str">
        <x:f>IF(J189="Рассчитано",K189*M189,"н/д")</x:f>
        <x:v>н/д</x:v>
      </x:c>
      <x:c r="AA189" s="21" t="str">
        <x:f>IF(J189="Рассчитано",(K189-T189)*M189,"н/д")</x:f>
        <x:v>н/д</x:v>
      </x:c>
      <x:c r="AB189" s="21" t="str">
        <x:f>IF(AND(J189="Рассчитано",ISNUMBER(S189)),K189*(S189-M189),"н/д")</x:f>
        <x:v>н/д</x:v>
      </x:c>
      <x:c r="AC189" s="21" t="str">
        <x:f>IF(AND(J189="Рассчитано",T189&gt;0,R189&lt;100),(W189+P189+Q189)/(T189*(1-R189/100)),"н/д")</x:f>
        <x:v>н/д</x:v>
      </x:c>
      <x:c r="AD189" s="10" t="str">
        <x:f>IF(ISNUMBER(G189),IF(G189&lt;0,"Убыток",IF(G189=0,"Без прибыли","Прибыль &gt; 0")),"Не оценён")</x:f>
        <x:v>Не оценён</x:v>
      </x:c>
      <x:c r="AE189" s="13" t="str">
        <x:f>IF(J189="Рассчитано","Выручка "&amp;TEXT(V189,"0.00")&amp;" - себестоимость "&amp;TEXT(W189,"0.00")&amp;" - комиссия "&amp;TEXT(V189*R189/100,"0.00")&amp;" - доставка "&amp;TEXT(P189,"0.00")&amp;" - прочие "&amp;TEXT(Q189,"0.00")&amp;" = "&amp;TEXT(G189,"0.00")&amp;" "&amp;L189,"Введите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89" s="24" t="n">
        <x:v>30.934421541819184</x:v>
      </x:c>
      <x:c r="AG189" s="37" t="n">
        <x:v>2</x:v>
      </x:c>
      <x:c r="AH189" s="37" t="n">
        <x:v>0</x:v>
      </x:c>
      <x:c r="AI189" s="30" t="n">
        <x:v>46266</x:v>
      </x:c>
      <x:c r="AJ189" s="37" t="n">
        <x:v>20</x:v>
      </x:c>
      <x:c r="AK189" s="10" t="str">
        <x:v>минимум</x:v>
      </x:c>
      <x:c r="AL189" s="32" t="n">
        <x:v>1.9395869393868592</x:v>
      </x:c>
      <x:c r="AM189" s="13" t="str">
        <x:v>Остаток на начало сентября; Резервы неизвестны; Нет ежедневных данных доступности. Запаса примерно на 1.9 дн. без поступлений</x:v>
      </x:c>
      <x:c r="AN189" s="13" t="str">
        <x:v>Подтвердить наличие, срок и цену закупки</x:v>
      </x:c>
      <x:c r="AO189" s="13" t="str">
        <x:v>Прогноз 30 дней 30.93; остаток 2; поступления в срок 0; нехватка 29; заказ с учётом MOQ 29 упак. Остаток на начало сентября: требуется актуализация.</x:v>
      </x:c>
      <x:c r="AP189" s="13" t="str">
        <x:v>["category_missing", "daily_stockout_data_missing", "new_order_lead_time_unknown", "reservations_unknown", "stale_stock"]</x:v>
      </x:c>
      <x:c r="AQ189" s="10" t="str">
        <x:v>IEK:240100093_</x:v>
      </x:c>
      <x:c r="AR189" s="24" t="n">
        <x:v>1</x:v>
      </x:c>
      <x:c r="AS189" s="24" t="n">
        <x:f>MAX(0,ROUNDUP(MAX(0,AF189-AG189-AH189)/AR189-0.000000001,0)*AR189)</x:f>
        <x:v>29</x:v>
      </x:c>
      <x:c r="AT189" s="24" t="n">
        <x:v>28.934421541819184</x:v>
      </x:c>
    </x:row>
    <x:row r="190" ht="64" customHeight="1">
      <x:c r="A190" s="11" t="str">
        <x:v>IEK</x:v>
      </x:c>
      <x:c r="B190" s="33" t="str">
        <x:v>240100097_</x:v>
      </x:c>
      <x:c r="C190" s="33" t="str">
        <x:v>UHP31-30-100</x:v>
      </x:c>
      <x:c r="D190" s="12" t="str">
        <x:v>Площадка (самоклеющаяся) черная 30х30 IEK (100)</x:v>
      </x:c>
      <x:c r="E190" s="11" t="str">
        <x:v>упак</x:v>
      </x:c>
      <x:c r="F190" s="35" t="n">
        <x:f>IF(AS190&gt;0,MAX(AS190,AJ190),0)</x:f>
        <x:v>5</x:v>
      </x:c>
      <x:c r="G190" s="20" t="str">
        <x:f>IF(J190="Рассчитано",V190*(1-R190/100)-W190-P190-Q190,"н/д")</x:f>
        <x:v>н/д</x:v>
      </x:c>
      <x:c r="H190" s="12" t="str">
        <x:v>Высокий</x:v>
      </x:c>
      <x:c r="I190" s="12" t="str">
        <x:v>Высокий</x:v>
      </x:c>
      <x:c r="J190" s="12" t="str">
        <x:f>IF(L190="","Укажите валюту",IF(NOT(ISNUMBER(K190)),"Укажите объём",IF(K190&lt;=0,"Укажите объём",IF(COUNT(M190:O190)&lt;3,"Нужны цены",IF(COUNT(P190:R190)&lt;3,"Нужны расходы",IF(OR(M190&lt;0,N190&lt;0,O190&lt;0,O190&gt;100,P190&lt;0,Q190&lt;0,R190&lt;0,R190&gt;100),"Проверьте значения","Рассчитано"))))))</x:f>
        <x:v>Нужны цены</x:v>
      </x:c>
      <x:c r="K190" s="36" t="n">
        <x:v>5</x:v>
      </x:c>
      <x:c r="L190" s="19" t="str">
        <x:v>KZT</x:v>
      </x:c>
      <x:c r="M190" s="22"/>
      <x:c r="N190" s="22"/>
      <x:c r="O190" s="28"/>
      <x:c r="P190" s="22"/>
      <x:c r="Q190" s="22"/>
      <x:c r="R190" s="28"/>
      <x:c r="S190" s="22"/>
      <x:c r="T190" s="35" t="n">
        <x:f>MIN(K190,AT190)</x:f>
        <x:v>1.6542967174839194</x:v>
      </x:c>
      <x:c r="U190" s="20" t="str">
        <x:f>IF(J190="Рассчитано",N190*(1-O190/100),"н/д")</x:f>
        <x:v>н/д</x:v>
      </x:c>
      <x:c r="V190" s="20" t="str">
        <x:f>IF(J190="Рассчитано",T190*U190,"н/д")</x:f>
        <x:v>н/д</x:v>
      </x:c>
      <x:c r="W190" s="20" t="str">
        <x:f>IF(J190="Рассчитано",T190*M190,"н/д")</x:f>
        <x:v>н/д</x:v>
      </x:c>
      <x:c r="X190" s="20" t="str">
        <x:f>IF(J190="Рассчитано",V190-W190,"н/д")</x:f>
        <x:v>н/д</x:v>
      </x:c>
      <x:c r="Y190" s="26" t="str">
        <x:f>IF(J190="Рассчитано",IF(V190&gt;0,G190/V190,"н/д"),"н/д")</x:f>
        <x:v>н/д</x:v>
      </x:c>
      <x:c r="Z190" s="20" t="str">
        <x:f>IF(J190="Рассчитано",K190*M190,"н/д")</x:f>
        <x:v>н/д</x:v>
      </x:c>
      <x:c r="AA190" s="20" t="str">
        <x:f>IF(J190="Рассчитано",(K190-T190)*M190,"н/д")</x:f>
        <x:v>н/д</x:v>
      </x:c>
      <x:c r="AB190" s="20" t="str">
        <x:f>IF(AND(J190="Рассчитано",ISNUMBER(S190)),K190*(S190-M190),"н/д")</x:f>
        <x:v>н/д</x:v>
      </x:c>
      <x:c r="AC190" s="20" t="str">
        <x:f>IF(AND(J190="Рассчитано",T190&gt;0,R190&lt;100),(W190+P190+Q190)/(T190*(1-R190/100)),"н/д")</x:f>
        <x:v>н/д</x:v>
      </x:c>
      <x:c r="AD190" s="11" t="str">
        <x:f>IF(ISNUMBER(G190),IF(G190&lt;0,"Убыток",IF(G190=0,"Без прибыли","Прибыль &gt; 0")),"Не оценён")</x:f>
        <x:v>Не оценён</x:v>
      </x:c>
      <x:c r="AE190" s="12" t="str">
        <x:f>IF(J190="Рассчитано","Выручка "&amp;TEXT(V190,"0.00")&amp;" - себестоимость "&amp;TEXT(W190,"0.00")&amp;" - комиссия "&amp;TEXT(V190*R190/100,"0.00")&amp;" - доставка "&amp;TEXT(P190,"0.00")&amp;" - прочие "&amp;TEXT(Q190,"0.00")&amp;" = "&amp;TEXT(G190,"0.00")&amp;" "&amp;L190,"Введите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0" s="23" t="n">
        <x:v>2.6542967174839194</x:v>
      </x:c>
      <x:c r="AG190" s="35" t="n">
        <x:v>1</x:v>
      </x:c>
      <x:c r="AH190" s="35" t="n">
        <x:v>0</x:v>
      </x:c>
      <x:c r="AI190" s="29" t="n">
        <x:v>46266</x:v>
      </x:c>
      <x:c r="AJ190" s="35" t="n">
        <x:v>5</x:v>
      </x:c>
      <x:c r="AK190" s="11" t="str">
        <x:v>минимум</x:v>
      </x:c>
      <x:c r="AL190" s="31" t="n">
        <x:v>11.302428926799797</x:v>
      </x:c>
      <x:c r="AM190" s="12" t="str">
        <x:v>Остаток на начало сентября; Резервы неизвестны; Нет ежедневных данных доступности. Запаса примерно на 11.3 дн. без поступлений</x:v>
      </x:c>
      <x:c r="AN190" s="12" t="str">
        <x:v>Подтвердить наличие, срок и цену закупки</x:v>
      </x:c>
      <x:c r="AO190" s="12" t="str">
        <x:v>Прогноз 30 дней 2.65; остаток 1; поступления в срок 0; нехватка 2; заказ с учётом MOQ 5 упак. Остаток на начало сентября: требуется актуализация.</x:v>
      </x:c>
      <x:c r="AP190" s="12" t="str">
        <x:v>["category_missing", "daily_stockout_data_missing", "new_order_lead_time_unknown", "reservations_unknown", "stale_stock"]</x:v>
      </x:c>
      <x:c r="AQ190" s="11" t="str">
        <x:v>IEK:240100097_</x:v>
      </x:c>
      <x:c r="AR190" s="23" t="n">
        <x:v>1</x:v>
      </x:c>
      <x:c r="AS190" s="23" t="n">
        <x:f>MAX(0,ROUNDUP(MAX(0,AF190-AG190-AH190)/AR190-0.000000001,0)*AR190)</x:f>
        <x:v>2</x:v>
      </x:c>
      <x:c r="AT190" s="23" t="n">
        <x:v>1.6542967174839194</x:v>
      </x:c>
    </x:row>
    <x:row r="191" ht="64" customHeight="1">
      <x:c r="A191" s="10" t="str">
        <x:v>IEK</x:v>
      </x:c>
      <x:c r="B191" s="34" t="str">
        <x:v>240200017_</x:v>
      </x:c>
      <x:c r="C191" s="34" t="str">
        <x:v>USK11-16-100</x:v>
      </x:c>
      <x:c r="D191" s="13" t="str">
        <x:v>Круглая скоба 16мм IEK (100)</x:v>
      </x:c>
      <x:c r="E191" s="10" t="str">
        <x:v>упак</x:v>
      </x:c>
      <x:c r="F191" s="37" t="n">
        <x:f>AS191</x:f>
        <x:v>1</x:v>
      </x:c>
      <x:c r="G191" s="21" t="str">
        <x:f>IF(J191="Рассчитано",V191*(1-R191/100)-W191-P191-Q191,"н/д")</x:f>
        <x:v>н/д</x:v>
      </x:c>
      <x:c r="H191" s="13" t="str">
        <x:v>Высокий</x:v>
      </x:c>
      <x:c r="I191" s="13" t="str">
        <x:v>Критический</x:v>
      </x:c>
      <x:c r="J191" s="13" t="str">
        <x:f>IF(L191="","Укажите валюту",IF(NOT(ISNUMBER(K191)),"Укажите объём",IF(K191&lt;=0,"Укажите объём",IF(COUNT(M191:O191)&lt;3,"Нужны цены",IF(COUNT(P191:R191)&lt;3,"Нужны расходы",IF(OR(M191&lt;0,N191&lt;0,O191&lt;0,O191&gt;100,P191&lt;0,Q191&lt;0,R191&lt;0,R191&gt;100),"Проверьте значения","Рассчитано"))))))</x:f>
        <x:v>Нужны цены</x:v>
      </x:c>
      <x:c r="K191" s="36" t="n">
        <x:v>1</x:v>
      </x:c>
      <x:c r="L191" s="19" t="str">
        <x:v>KZT</x:v>
      </x:c>
      <x:c r="M191" s="22"/>
      <x:c r="N191" s="22"/>
      <x:c r="O191" s="28"/>
      <x:c r="P191" s="22"/>
      <x:c r="Q191" s="22"/>
      <x:c r="R191" s="28"/>
      <x:c r="S191" s="22"/>
      <x:c r="T191" s="37" t="n">
        <x:f>MIN(K191,AT191)</x:f>
        <x:v>0.10137426002243945</x:v>
      </x:c>
      <x:c r="U191" s="21" t="str">
        <x:f>IF(J191="Рассчитано",N191*(1-O191/100),"н/д")</x:f>
        <x:v>н/д</x:v>
      </x:c>
      <x:c r="V191" s="21" t="str">
        <x:f>IF(J191="Рассчитано",T191*U191,"н/д")</x:f>
        <x:v>н/д</x:v>
      </x:c>
      <x:c r="W191" s="21" t="str">
        <x:f>IF(J191="Рассчитано",T191*M191,"н/д")</x:f>
        <x:v>н/д</x:v>
      </x:c>
      <x:c r="X191" s="21" t="str">
        <x:f>IF(J191="Рассчитано",V191-W191,"н/д")</x:f>
        <x:v>н/д</x:v>
      </x:c>
      <x:c r="Y191" s="27" t="str">
        <x:f>IF(J191="Рассчитано",IF(V191&gt;0,G191/V191,"н/д"),"н/д")</x:f>
        <x:v>н/д</x:v>
      </x:c>
      <x:c r="Z191" s="21" t="str">
        <x:f>IF(J191="Рассчитано",K191*M191,"н/д")</x:f>
        <x:v>н/д</x:v>
      </x:c>
      <x:c r="AA191" s="21" t="str">
        <x:f>IF(J191="Рассчитано",(K191-T191)*M191,"н/д")</x:f>
        <x:v>н/д</x:v>
      </x:c>
      <x:c r="AB191" s="21" t="str">
        <x:f>IF(AND(J191="Рассчитано",ISNUMBER(S191)),K191*(S191-M191),"н/д")</x:f>
        <x:v>н/д</x:v>
      </x:c>
      <x:c r="AC191" s="21" t="str">
        <x:f>IF(AND(J191="Рассчитано",T191&gt;0,R191&lt;100),(W191+P191+Q191)/(T191*(1-R191/100)),"н/д")</x:f>
        <x:v>н/д</x:v>
      </x:c>
      <x:c r="AD191" s="10" t="str">
        <x:f>IF(ISNUMBER(G191),IF(G191&lt;0,"Убыток",IF(G191=0,"Без прибыли","Прибыль &gt; 0")),"Не оценён")</x:f>
        <x:v>Не оценён</x:v>
      </x:c>
      <x:c r="AE191" s="13" t="str">
        <x:f>IF(J191="Рассчитано","Выручка "&amp;TEXT(V191,"0.00")&amp;" - себестоимость "&amp;TEXT(W191,"0.00")&amp;" - комиссия "&amp;TEXT(V191*R191/100,"0.00")&amp;" - доставка "&amp;TEXT(P191,"0.00")&amp;" - прочие "&amp;TEXT(Q191,"0.00")&amp;" = "&amp;TEXT(G191,"0.00")&amp;" "&amp;L191,"Введите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1" s="24" t="n">
        <x:v>0.10137426002243945</x:v>
      </x:c>
      <x:c r="AG191" s="37" t="n">
        <x:v>0</x:v>
      </x:c>
      <x:c r="AH191" s="37" t="n">
        <x:v>0</x:v>
      </x:c>
      <x:c r="AI191" s="30" t="n">
        <x:v>46266</x:v>
      </x:c>
      <x:c r="AJ191" s="37"/>
      <x:c r="AK191" s="10" t="str">
        <x:v>неизвестно</x:v>
      </x:c>
      <x:c r="AL191" s="32" t="n">
        <x:v>0</x:v>
      </x:c>
      <x:c r="AM191" s="13" t="str">
        <x:v>Остаток на начало сентября; Резервы неизвестны; Нет ежедневных данных доступности. Нет запаса</x:v>
      </x:c>
      <x:c r="AN191" s="13" t="str">
        <x:v>Подтвердить наличие, срок и цену закупки</x:v>
      </x:c>
      <x:c r="AO191" s="13" t="str">
        <x:v>Прогноз 30 дней 0.10; остаток 0; поступления в срок 0; нехватка 1; заказ с учётом MOQ 1 упак. Остаток на начало сентября: требуется актуализация.</x:v>
      </x:c>
      <x:c r="AP191" s="13" t="str">
        <x:v>["blank_stock_assumed_zero", "category_missing", "daily_stockout_data_missing", "moq_missing", "new_order_lead_time_unknown", "reservations_unknown", "stale_stock"]</x:v>
      </x:c>
      <x:c r="AQ191" s="10" t="str">
        <x:v>IEK:240200017_</x:v>
      </x:c>
      <x:c r="AR191" s="24" t="n">
        <x:v>1</x:v>
      </x:c>
      <x:c r="AS191" s="24" t="n">
        <x:f>MAX(0,ROUNDUP(MAX(0,AF191-AG191-AH191)/AR191-0.000000001,0)*AR191)</x:f>
        <x:v>1</x:v>
      </x:c>
      <x:c r="AT191" s="24" t="n">
        <x:v>0.10137426002243945</x:v>
      </x:c>
    </x:row>
    <x:row r="192" ht="64" customHeight="1">
      <x:c r="A192" s="11" t="str">
        <x:v>IEK</x:v>
      </x:c>
      <x:c r="B192" s="33" t="str">
        <x:v>240300019_</x:v>
      </x:c>
      <x:c r="C192" s="33" t="str">
        <x:v>UMK10-6</x:v>
      </x:c>
      <x:c r="D192" s="12" t="str">
        <x:v>Маркер МК1-2,5мм символ "6" 1000шт\ролл IEK</x:v>
      </x:c>
      <x:c r="E192" s="11" t="str">
        <x:v>упак</x:v>
      </x:c>
      <x:c r="F192" s="35" t="n">
        <x:f>IF(AS192&gt;0,MAX(AS192,AJ192),0)</x:f>
        <x:v>1</x:v>
      </x:c>
      <x:c r="G192" s="20" t="str">
        <x:f>IF(J192="Рассчитано",V192*(1-R192/100)-W192-P192-Q192,"н/д")</x:f>
        <x:v>н/д</x:v>
      </x:c>
      <x:c r="H192" s="12" t="str">
        <x:v>Высокий</x:v>
      </x:c>
      <x:c r="I192" s="12" t="str">
        <x:v>Критический</x:v>
      </x:c>
      <x:c r="J192" s="12" t="str">
        <x:f>IF(L192="","Укажите валюту",IF(NOT(ISNUMBER(K192)),"Укажите объём",IF(K192&lt;=0,"Укажите объём",IF(COUNT(M192:O192)&lt;3,"Нужны цены",IF(COUNT(P192:R192)&lt;3,"Нужны расходы",IF(OR(M192&lt;0,N192&lt;0,O192&lt;0,O192&gt;100,P192&lt;0,Q192&lt;0,R192&lt;0,R192&gt;100),"Проверьте значения","Рассчитано"))))))</x:f>
        <x:v>Нужны цены</x:v>
      </x:c>
      <x:c r="K192" s="36" t="n">
        <x:v>1</x:v>
      </x:c>
      <x:c r="L192" s="19" t="str">
        <x:v>KZT</x:v>
      </x:c>
      <x:c r="M192" s="22"/>
      <x:c r="N192" s="22"/>
      <x:c r="O192" s="28"/>
      <x:c r="P192" s="22"/>
      <x:c r="Q192" s="22"/>
      <x:c r="R192" s="28"/>
      <x:c r="S192" s="22"/>
      <x:c r="T192" s="35" t="n">
        <x:f>MIN(K192,AT192)</x:f>
        <x:v>0.08112757515004289</x:v>
      </x:c>
      <x:c r="U192" s="20" t="str">
        <x:f>IF(J192="Рассчитано",N192*(1-O192/100),"н/д")</x:f>
        <x:v>н/д</x:v>
      </x:c>
      <x:c r="V192" s="20" t="str">
        <x:f>IF(J192="Рассчитано",T192*U192,"н/д")</x:f>
        <x:v>н/д</x:v>
      </x:c>
      <x:c r="W192" s="20" t="str">
        <x:f>IF(J192="Рассчитано",T192*M192,"н/д")</x:f>
        <x:v>н/д</x:v>
      </x:c>
      <x:c r="X192" s="20" t="str">
        <x:f>IF(J192="Рассчитано",V192-W192,"н/д")</x:f>
        <x:v>н/д</x:v>
      </x:c>
      <x:c r="Y192" s="26" t="str">
        <x:f>IF(J192="Рассчитано",IF(V192&gt;0,G192/V192,"н/д"),"н/д")</x:f>
        <x:v>н/д</x:v>
      </x:c>
      <x:c r="Z192" s="20" t="str">
        <x:f>IF(J192="Рассчитано",K192*M192,"н/д")</x:f>
        <x:v>н/д</x:v>
      </x:c>
      <x:c r="AA192" s="20" t="str">
        <x:f>IF(J192="Рассчитано",(K192-T192)*M192,"н/д")</x:f>
        <x:v>н/д</x:v>
      </x:c>
      <x:c r="AB192" s="20" t="str">
        <x:f>IF(AND(J192="Рассчитано",ISNUMBER(S192)),K192*(S192-M192),"н/д")</x:f>
        <x:v>н/д</x:v>
      </x:c>
      <x:c r="AC192" s="20" t="str">
        <x:f>IF(AND(J192="Рассчитано",T192&gt;0,R192&lt;100),(W192+P192+Q192)/(T192*(1-R192/100)),"н/д")</x:f>
        <x:v>н/д</x:v>
      </x:c>
      <x:c r="AD192" s="11" t="str">
        <x:f>IF(ISNUMBER(G192),IF(G192&lt;0,"Убыток",IF(G192=0,"Без прибыли","Прибыль &gt; 0")),"Не оценён")</x:f>
        <x:v>Не оценён</x:v>
      </x:c>
      <x:c r="AE192" s="12" t="str">
        <x:f>IF(J192="Рассчитано","Выручка "&amp;TEXT(V192,"0.00")&amp;" - себестоимость "&amp;TEXT(W192,"0.00")&amp;" - комиссия "&amp;TEXT(V192*R192/100,"0.00")&amp;" - доставка "&amp;TEXT(P192,"0.00")&amp;" - прочие "&amp;TEXT(Q192,"0.00")&amp;" = "&amp;TEXT(G192,"0.00")&amp;" "&amp;L192,"Введите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2" s="23" t="n">
        <x:v>0.08112757515004289</x:v>
      </x:c>
      <x:c r="AG192" s="35" t="n">
        <x:v>0</x:v>
      </x:c>
      <x:c r="AH192" s="35" t="n">
        <x:v>0</x:v>
      </x:c>
      <x:c r="AI192" s="29" t="n">
        <x:v>46266</x:v>
      </x:c>
      <x:c r="AJ192" s="35" t="n">
        <x:v>1</x:v>
      </x:c>
      <x:c r="AK192" s="11" t="str">
        <x:v>минимум</x:v>
      </x:c>
      <x:c r="AL192" s="31" t="n">
        <x:v>0</x:v>
      </x:c>
      <x:c r="AM192" s="12" t="str">
        <x:v>Остаток на начало сентября; Резервы неизвестны; Нет ежедневных данных доступности. Нет запаса</x:v>
      </x:c>
      <x:c r="AN192" s="12" t="str">
        <x:v>Подтвердить наличие, срок и цену закупки</x:v>
      </x:c>
      <x:c r="AO192" s="12" t="str">
        <x:v>Прогноз 30 дней 0.08; остаток 0; поступления в срок 0; нехватка 1; заказ с учётом MOQ 1 упак. Остаток на начало сентября: требуется актуализация.</x:v>
      </x:c>
      <x:c r="AP192" s="12" t="str">
        <x:v>["blank_stock_assumed_zero", "category_missing", "daily_stockout_data_missing", "new_order_lead_time_unknown", "reservations_unknown", "stale_stock"]</x:v>
      </x:c>
      <x:c r="AQ192" s="11" t="str">
        <x:v>IEK:240300019_</x:v>
      </x:c>
      <x:c r="AR192" s="23" t="n">
        <x:v>1</x:v>
      </x:c>
      <x:c r="AS192" s="23" t="n">
        <x:f>MAX(0,ROUNDUP(MAX(0,AF192-AG192-AH192)/AR192-0.000000001,0)*AR192)</x:f>
        <x:v>1</x:v>
      </x:c>
      <x:c r="AT192" s="23" t="n">
        <x:v>0.08112757515004289</x:v>
      </x:c>
    </x:row>
    <x:row r="193" ht="64" customHeight="1">
      <x:c r="A193" s="10" t="str">
        <x:v>IEK</x:v>
      </x:c>
      <x:c r="B193" s="34" t="str">
        <x:v>250200016_</x:v>
      </x:c>
      <x:c r="C193" s="34" t="str">
        <x:v>MKM14-N-24-31-Z</x:v>
      </x:c>
      <x:c r="D193" s="13" t="str">
        <x:v>ЩРН-24 (395x210x120) IEK</x:v>
      </x:c>
      <x:c r="E193" s="10" t="str">
        <x:v>шт</x:v>
      </x:c>
      <x:c r="F193" s="37" t="n">
        <x:f>IF(AS193&gt;0,MAX(AS193,AJ193),0)</x:f>
        <x:v>10</x:v>
      </x:c>
      <x:c r="G193" s="21" t="str">
        <x:f>IF(J193="Рассчитано",V193*(1-R193/100)-W193-P193-Q193,"н/д")</x:f>
        <x:v>н/д</x:v>
      </x:c>
      <x:c r="H193" s="13" t="str">
        <x:v>Высокий</x:v>
      </x:c>
      <x:c r="I193" s="13" t="str">
        <x:v>Критический</x:v>
      </x:c>
      <x:c r="J193" s="13" t="str">
        <x:f>IF(L193="","Укажите валюту",IF(NOT(ISNUMBER(K193)),"Укажите объём",IF(K193&lt;=0,"Укажите объём",IF(COUNT(M193:O193)&lt;3,"Нужны цены",IF(COUNT(P193:R193)&lt;3,"Нужны расходы",IF(OR(M193&lt;0,N193&lt;0,O193&lt;0,O193&gt;100,P193&lt;0,Q193&lt;0,R193&lt;0,R193&gt;100),"Проверьте значения","Рассчитано"))))))</x:f>
        <x:v>Нужны цены</x:v>
      </x:c>
      <x:c r="K193" s="36" t="n">
        <x:v>10</x:v>
      </x:c>
      <x:c r="L193" s="19" t="str">
        <x:v>KZT</x:v>
      </x:c>
      <x:c r="M193" s="22"/>
      <x:c r="N193" s="22"/>
      <x:c r="O193" s="28"/>
      <x:c r="P193" s="22"/>
      <x:c r="Q193" s="22"/>
      <x:c r="R193" s="28"/>
      <x:c r="S193" s="22"/>
      <x:c r="T193" s="37" t="n">
        <x:f>MIN(K193,AT193)</x:f>
        <x:v>9.284492972173243</x:v>
      </x:c>
      <x:c r="U193" s="21" t="str">
        <x:f>IF(J193="Рассчитано",N193*(1-O193/100),"н/д")</x:f>
        <x:v>н/д</x:v>
      </x:c>
      <x:c r="V193" s="21" t="str">
        <x:f>IF(J193="Рассчитано",T193*U193,"н/д")</x:f>
        <x:v>н/д</x:v>
      </x:c>
      <x:c r="W193" s="21" t="str">
        <x:f>IF(J193="Рассчитано",T193*M193,"н/д")</x:f>
        <x:v>н/д</x:v>
      </x:c>
      <x:c r="X193" s="21" t="str">
        <x:f>IF(J193="Рассчитано",V193-W193,"н/д")</x:f>
        <x:v>н/д</x:v>
      </x:c>
      <x:c r="Y193" s="27" t="str">
        <x:f>IF(J193="Рассчитано",IF(V193&gt;0,G193/V193,"н/д"),"н/д")</x:f>
        <x:v>н/д</x:v>
      </x:c>
      <x:c r="Z193" s="21" t="str">
        <x:f>IF(J193="Рассчитано",K193*M193,"н/д")</x:f>
        <x:v>н/д</x:v>
      </x:c>
      <x:c r="AA193" s="21" t="str">
        <x:f>IF(J193="Рассчитано",(K193-T193)*M193,"н/д")</x:f>
        <x:v>н/д</x:v>
      </x:c>
      <x:c r="AB193" s="21" t="str">
        <x:f>IF(AND(J193="Рассчитано",ISNUMBER(S193)),K193*(S193-M193),"н/д")</x:f>
        <x:v>н/д</x:v>
      </x:c>
      <x:c r="AC193" s="21" t="str">
        <x:f>IF(AND(J193="Рассчитано",T193&gt;0,R193&lt;100),(W193+P193+Q193)/(T193*(1-R193/100)),"н/д")</x:f>
        <x:v>н/д</x:v>
      </x:c>
      <x:c r="AD193" s="10" t="str">
        <x:f>IF(ISNUMBER(G193),IF(G193&lt;0,"Убыток",IF(G193=0,"Без прибыли","Прибыль &gt; 0")),"Не оценён")</x:f>
        <x:v>Не оценён</x:v>
      </x:c>
      <x:c r="AE193" s="13" t="str">
        <x:f>IF(J193="Рассчитано","Выручка "&amp;TEXT(V193,"0.00")&amp;" - себестоимость "&amp;TEXT(W193,"0.00")&amp;" - комиссия "&amp;TEXT(V193*R193/100,"0.00")&amp;" - доставка "&amp;TEXT(P193,"0.00")&amp;" - прочие "&amp;TEXT(Q193,"0.00")&amp;" = "&amp;TEXT(G193,"0.00")&amp;" "&amp;L193,"Введите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3" s="24" t="n">
        <x:v>11.284492972173243</x:v>
      </x:c>
      <x:c r="AG193" s="37" t="n">
        <x:v>2</x:v>
      </x:c>
      <x:c r="AH193" s="37" t="n">
        <x:v>0</x:v>
      </x:c>
      <x:c r="AI193" s="30" t="n">
        <x:v>46266</x:v>
      </x:c>
      <x:c r="AJ193" s="37" t="n">
        <x:v>1</x:v>
      </x:c>
      <x:c r="AK193" s="10" t="str">
        <x:v>минимум</x:v>
      </x:c>
      <x:c r="AL193" s="32" t="n">
        <x:v>5.317031092841808</x:v>
      </x:c>
      <x:c r="AM193" s="13" t="str">
        <x:v>Остаток на начало сентября; Резервы неизвестны; Нет ежедневных данных доступности. Запаса примерно на 5.3 дн. без поступлений</x:v>
      </x:c>
      <x:c r="AN193" s="13" t="str">
        <x:v>Подтвердить наличие, срок и цену закупки</x:v>
      </x:c>
      <x:c r="AO193" s="13" t="str">
        <x:v>Прогноз 30 дней 11.28; остаток 2; поступления в срок 0; нехватка 10; заказ с учётом MOQ 10 шт. Остаток на начало сентября: требуется актуализация.</x:v>
      </x:c>
      <x:c r="AP193" s="13" t="str">
        <x:v>["category_missing", "daily_stockout_data_missing", "large_orders_detected", "new_order_lead_time_unknown", "reservations_unknown", "stale_stock"]</x:v>
      </x:c>
      <x:c r="AQ193" s="10" t="str">
        <x:v>IEK:250200016_</x:v>
      </x:c>
      <x:c r="AR193" s="24" t="n">
        <x:v>1</x:v>
      </x:c>
      <x:c r="AS193" s="24" t="n">
        <x:f>MAX(0,ROUNDUP(MAX(0,AF193-AG193-AH193)/AR193-0.000000001,0)*AR193)</x:f>
        <x:v>10</x:v>
      </x:c>
      <x:c r="AT193" s="24" t="n">
        <x:v>9.284492972173243</x:v>
      </x:c>
    </x:row>
    <x:row r="194" ht="64" customHeight="1">
      <x:c r="A194" s="11" t="str">
        <x:v>IEK</x:v>
      </x:c>
      <x:c r="B194" s="33" t="str">
        <x:v>250200060_</x:v>
      </x:c>
      <x:c r="C194" s="33" t="str">
        <x:v>MKM51-N-04-54</x:v>
      </x:c>
      <x:c r="D194" s="12" t="str">
        <x:v>ЩУ-1ф/1-1 IP54 2двери (310x300x150) IEK</x:v>
      </x:c>
      <x:c r="E194" s="11" t="str">
        <x:v>шт</x:v>
      </x:c>
      <x:c r="F194" s="35" t="n">
        <x:f>IF(AS194&gt;0,MAX(AS194,AJ194),0)</x:f>
        <x:v>1</x:v>
      </x:c>
      <x:c r="G194" s="20" t="str">
        <x:f>IF(J194="Рассчитано",V194*(1-R194/100)-W194-P194-Q194,"н/д")</x:f>
        <x:v>н/д</x:v>
      </x:c>
      <x:c r="H194" s="12" t="str">
        <x:v>Высокий</x:v>
      </x:c>
      <x:c r="I194" s="12" t="str">
        <x:v>Критический</x:v>
      </x:c>
      <x:c r="J194" s="12" t="str">
        <x:f>IF(L194="","Укажите валюту",IF(NOT(ISNUMBER(K194)),"Укажите объём",IF(K194&lt;=0,"Укажите объём",IF(COUNT(M194:O194)&lt;3,"Нужны цены",IF(COUNT(P194:R194)&lt;3,"Нужны расходы",IF(OR(M194&lt;0,N194&lt;0,O194&lt;0,O194&gt;100,P194&lt;0,Q194&lt;0,R194&lt;0,R194&gt;100),"Проверьте значения","Рассчитано"))))))</x:f>
        <x:v>Нужны цены</x:v>
      </x:c>
      <x:c r="K194" s="36" t="n">
        <x:v>1</x:v>
      </x:c>
      <x:c r="L194" s="19" t="str">
        <x:v>KZT</x:v>
      </x:c>
      <x:c r="M194" s="22"/>
      <x:c r="N194" s="22"/>
      <x:c r="O194" s="28"/>
      <x:c r="P194" s="22"/>
      <x:c r="Q194" s="22"/>
      <x:c r="R194" s="28"/>
      <x:c r="S194" s="22"/>
      <x:c r="T194" s="35" t="n">
        <x:f>MIN(K194,AT194)</x:f>
        <x:v>0.380058847500702</x:v>
      </x:c>
      <x:c r="U194" s="20" t="str">
        <x:f>IF(J194="Рассчитано",N194*(1-O194/100),"н/д")</x:f>
        <x:v>н/д</x:v>
      </x:c>
      <x:c r="V194" s="20" t="str">
        <x:f>IF(J194="Рассчитано",T194*U194,"н/д")</x:f>
        <x:v>н/д</x:v>
      </x:c>
      <x:c r="W194" s="20" t="str">
        <x:f>IF(J194="Рассчитано",T194*M194,"н/д")</x:f>
        <x:v>н/д</x:v>
      </x:c>
      <x:c r="X194" s="20" t="str">
        <x:f>IF(J194="Рассчитано",V194-W194,"н/д")</x:f>
        <x:v>н/д</x:v>
      </x:c>
      <x:c r="Y194" s="26" t="str">
        <x:f>IF(J194="Рассчитано",IF(V194&gt;0,G194/V194,"н/д"),"н/д")</x:f>
        <x:v>н/д</x:v>
      </x:c>
      <x:c r="Z194" s="20" t="str">
        <x:f>IF(J194="Рассчитано",K194*M194,"н/д")</x:f>
        <x:v>н/д</x:v>
      </x:c>
      <x:c r="AA194" s="20" t="str">
        <x:f>IF(J194="Рассчитано",(K194-T194)*M194,"н/д")</x:f>
        <x:v>н/д</x:v>
      </x:c>
      <x:c r="AB194" s="20" t="str">
        <x:f>IF(AND(J194="Рассчитано",ISNUMBER(S194)),K194*(S194-M194),"н/д")</x:f>
        <x:v>н/д</x:v>
      </x:c>
      <x:c r="AC194" s="20" t="str">
        <x:f>IF(AND(J194="Рассчитано",T194&gt;0,R194&lt;100),(W194+P194+Q194)/(T194*(1-R194/100)),"н/д")</x:f>
        <x:v>н/д</x:v>
      </x:c>
      <x:c r="AD194" s="11" t="str">
        <x:f>IF(ISNUMBER(G194),IF(G194&lt;0,"Убыток",IF(G194=0,"Без прибыли","Прибыль &gt; 0")),"Не оценён")</x:f>
        <x:v>Не оценён</x:v>
      </x:c>
      <x:c r="AE194" s="12" t="str">
        <x:f>IF(J194="Рассчитано","Выручка "&amp;TEXT(V194,"0.00")&amp;" - себестоимость "&amp;TEXT(W194,"0.00")&amp;" - комиссия "&amp;TEXT(V194*R194/100,"0.00")&amp;" - доставка "&amp;TEXT(P194,"0.00")&amp;" - прочие "&amp;TEXT(Q194,"0.00")&amp;" = "&amp;TEXT(G194,"0.00")&amp;" "&amp;L194,"Введите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4" s="23" t="n">
        <x:v>0.380058847500702</x:v>
      </x:c>
      <x:c r="AG194" s="35" t="n">
        <x:v>0</x:v>
      </x:c>
      <x:c r="AH194" s="35" t="n">
        <x:v>0</x:v>
      </x:c>
      <x:c r="AI194" s="29" t="n">
        <x:v>46266</x:v>
      </x:c>
      <x:c r="AJ194" s="35" t="n">
        <x:v>1</x:v>
      </x:c>
      <x:c r="AK194" s="11" t="str">
        <x:v>минимум</x:v>
      </x:c>
      <x:c r="AL194" s="31" t="n">
        <x:v>0</x:v>
      </x:c>
      <x:c r="AM194" s="12" t="str">
        <x:v>Остаток на начало сентября; Резервы неизвестны; Нет ежедневных данных доступности. Нет запаса</x:v>
      </x:c>
      <x:c r="AN194" s="12" t="str">
        <x:v>Подтвердить наличие, срок и цену закупки</x:v>
      </x:c>
      <x:c r="AO194" s="12" t="str">
        <x:v>Прогноз 30 дней 0.38; остаток 0; поступления в срок 0; нехватка 1; заказ с учётом MOQ 1 шт. Остаток на начало сентября: требуется актуализация.</x:v>
      </x:c>
      <x:c r="AP194" s="12" t="str">
        <x:v>["blank_stock_assumed_zero", "category_missing", "daily_stockout_data_missing", "new_order_lead_time_unknown", "reservations_unknown", "stale_stock"]</x:v>
      </x:c>
      <x:c r="AQ194" s="11" t="str">
        <x:v>IEK:250200060_</x:v>
      </x:c>
      <x:c r="AR194" s="23" t="n">
        <x:v>1</x:v>
      </x:c>
      <x:c r="AS194" s="23" t="n">
        <x:f>MAX(0,ROUNDUP(MAX(0,AF194-AG194-AH194)/AR194-0.000000001,0)*AR194)</x:f>
        <x:v>1</x:v>
      </x:c>
      <x:c r="AT194" s="23" t="n">
        <x:v>0.380058847500702</x:v>
      </x:c>
    </x:row>
    <x:row r="195" ht="64" customHeight="1">
      <x:c r="A195" s="10" t="str">
        <x:v>IEK</x:v>
      </x:c>
      <x:c r="B195" s="34" t="str">
        <x:v>250600063_</x:v>
      </x:c>
      <x:c r="C195" s="34" t="str">
        <x:v>YKM41-03-31-L</x:v>
      </x:c>
      <x:c r="D195" s="13" t="str">
        <x:v>ЩМП-3 IP 31 (650х500х150) LIGHT IEK !</x:v>
      </x:c>
      <x:c r="E195" s="10" t="str">
        <x:v>шт</x:v>
      </x:c>
      <x:c r="F195" s="37" t="n">
        <x:f>AS195</x:f>
        <x:v>1</x:v>
      </x:c>
      <x:c r="G195" s="21" t="str">
        <x:f>IF(J195="Рассчитано",V195*(1-R195/100)-W195-P195-Q195,"н/д")</x:f>
        <x:v>н/д</x:v>
      </x:c>
      <x:c r="H195" s="13" t="str">
        <x:v>Высокий</x:v>
      </x:c>
      <x:c r="I195" s="13" t="str">
        <x:v>Критический</x:v>
      </x:c>
      <x:c r="J195" s="13" t="str">
        <x:f>IF(L195="","Укажите валюту",IF(NOT(ISNUMBER(K195)),"Укажите объём",IF(K195&lt;=0,"Укажите объём",IF(COUNT(M195:O195)&lt;3,"Нужны цены",IF(COUNT(P195:R195)&lt;3,"Нужны расходы",IF(OR(M195&lt;0,N195&lt;0,O195&lt;0,O195&gt;100,P195&lt;0,Q195&lt;0,R195&lt;0,R195&gt;100),"Проверьте значения","Рассчитано"))))))</x:f>
        <x:v>Нужны цены</x:v>
      </x:c>
      <x:c r="K195" s="36" t="n">
        <x:v>1</x:v>
      </x:c>
      <x:c r="L195" s="19" t="str">
        <x:v>KZT</x:v>
      </x:c>
      <x:c r="M195" s="22"/>
      <x:c r="N195" s="22"/>
      <x:c r="O195" s="28"/>
      <x:c r="P195" s="22"/>
      <x:c r="Q195" s="22"/>
      <x:c r="R195" s="28"/>
      <x:c r="S195" s="22"/>
      <x:c r="T195" s="37" t="n">
        <x:f>MIN(K195,AT195)</x:f>
        <x:v>0.6611626720255975</x:v>
      </x:c>
      <x:c r="U195" s="21" t="str">
        <x:f>IF(J195="Рассчитано",N195*(1-O195/100),"н/д")</x:f>
        <x:v>н/д</x:v>
      </x:c>
      <x:c r="V195" s="21" t="str">
        <x:f>IF(J195="Рассчитано",T195*U195,"н/д")</x:f>
        <x:v>н/д</x:v>
      </x:c>
      <x:c r="W195" s="21" t="str">
        <x:f>IF(J195="Рассчитано",T195*M195,"н/д")</x:f>
        <x:v>н/д</x:v>
      </x:c>
      <x:c r="X195" s="21" t="str">
        <x:f>IF(J195="Рассчитано",V195-W195,"н/д")</x:f>
        <x:v>н/д</x:v>
      </x:c>
      <x:c r="Y195" s="27" t="str">
        <x:f>IF(J195="Рассчитано",IF(V195&gt;0,G195/V195,"н/д"),"н/д")</x:f>
        <x:v>н/д</x:v>
      </x:c>
      <x:c r="Z195" s="21" t="str">
        <x:f>IF(J195="Рассчитано",K195*M195,"н/д")</x:f>
        <x:v>н/д</x:v>
      </x:c>
      <x:c r="AA195" s="21" t="str">
        <x:f>IF(J195="Рассчитано",(K195-T195)*M195,"н/д")</x:f>
        <x:v>н/д</x:v>
      </x:c>
      <x:c r="AB195" s="21" t="str">
        <x:f>IF(AND(J195="Рассчитано",ISNUMBER(S195)),K195*(S195-M195),"н/д")</x:f>
        <x:v>н/д</x:v>
      </x:c>
      <x:c r="AC195" s="21" t="str">
        <x:f>IF(AND(J195="Рассчитано",T195&gt;0,R195&lt;100),(W195+P195+Q195)/(T195*(1-R195/100)),"н/д")</x:f>
        <x:v>н/д</x:v>
      </x:c>
      <x:c r="AD195" s="10" t="str">
        <x:f>IF(ISNUMBER(G195),IF(G195&lt;0,"Убыток",IF(G195=0,"Без прибыли","Прибыль &gt; 0")),"Не оценён")</x:f>
        <x:v>Не оценён</x:v>
      </x:c>
      <x:c r="AE195" s="13" t="str">
        <x:f>IF(J195="Рассчитано","Выручка "&amp;TEXT(V195,"0.00")&amp;" - себестоимость "&amp;TEXT(W195,"0.00")&amp;" - комиссия "&amp;TEXT(V195*R195/100,"0.00")&amp;" - доставка "&amp;TEXT(P195,"0.00")&amp;" - прочие "&amp;TEXT(Q195,"0.00")&amp;" = "&amp;TEXT(G195,"0.00")&amp;" "&amp;L195,"Введите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5" s="24" t="n">
        <x:v>0.6611626720255975</x:v>
      </x:c>
      <x:c r="AG195" s="37" t="n">
        <x:v>0</x:v>
      </x:c>
      <x:c r="AH195" s="37" t="n">
        <x:v>0</x:v>
      </x:c>
      <x:c r="AI195" s="30" t="n">
        <x:v>46266</x:v>
      </x:c>
      <x:c r="AJ195" s="37"/>
      <x:c r="AK195" s="10" t="str">
        <x:v>неизвестно</x:v>
      </x:c>
      <x:c r="AL195" s="32" t="n">
        <x:v>0</x:v>
      </x:c>
      <x:c r="AM195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95" s="13" t="str">
        <x:v>Подтвердить наличие, срок и цену закупки</x:v>
      </x:c>
      <x:c r="AO195" s="13" t="str">
        <x:v>Прогноз 30 дней 0.66; остаток 0; поступления в срок 0; нехватка 1; заказ с учётом MOQ 1 шт. Остаток на начало сентября: требуется актуализация.</x:v>
      </x:c>
      <x:c r="AP195" s="13" t="str">
        <x:v>["blank_stock_assumed_zero", "category_missing", "daily_stockout_data_missing", "moq_missing", "new_order_lead_time_unknown", "reservations_unknown", "stale_stock", "stockout_proxy_used"]</x:v>
      </x:c>
      <x:c r="AQ195" s="10" t="str">
        <x:v>IEK:250600063_</x:v>
      </x:c>
      <x:c r="AR195" s="24" t="n">
        <x:v>1</x:v>
      </x:c>
      <x:c r="AS195" s="24" t="n">
        <x:f>MAX(0,ROUNDUP(MAX(0,AF195-AG195-AH195)/AR195-0.000000001,0)*AR195)</x:f>
        <x:v>1</x:v>
      </x:c>
      <x:c r="AT195" s="24" t="n">
        <x:v>0.6611626720255975</x:v>
      </x:c>
    </x:row>
    <x:row r="196" ht="64" customHeight="1">
      <x:c r="A196" s="11" t="str">
        <x:v>IEK</x:v>
      </x:c>
      <x:c r="B196" s="33" t="str">
        <x:v>250600087_</x:v>
      </x:c>
      <x:c r="C196" s="33" t="str">
        <x:v>MKP31-N-02-30-252</x:v>
      </x:c>
      <x:c r="D196" s="12" t="str">
        <x:v>Бокс КМПн 1/2 для 1-2-х авт.выкл н/у IEK (252)</x:v>
      </x:c>
      <x:c r="E196" s="11" t="str">
        <x:v>шт</x:v>
      </x:c>
      <x:c r="F196" s="35" t="n">
        <x:f>IF(AS196&gt;0,MAX(AS196,AJ196),0)</x:f>
        <x:v>1096</x:v>
      </x:c>
      <x:c r="G196" s="20" t="str">
        <x:f>IF(J196="Рассчитано",V196*(1-R196/100)-W196-P196-Q196,"н/д")</x:f>
        <x:v>н/д</x:v>
      </x:c>
      <x:c r="H196" s="12" t="str">
        <x:v>Высокий</x:v>
      </x:c>
      <x:c r="I196" s="12" t="str">
        <x:v>Критический</x:v>
      </x:c>
      <x:c r="J196" s="12" t="str">
        <x:f>IF(L196="","Укажите валюту",IF(NOT(ISNUMBER(K196)),"Укажите объём",IF(K196&lt;=0,"Укажите объём",IF(COUNT(M196:O196)&lt;3,"Нужны цены",IF(COUNT(P196:R196)&lt;3,"Нужны расходы",IF(OR(M196&lt;0,N196&lt;0,O196&lt;0,O196&gt;100,P196&lt;0,Q196&lt;0,R196&lt;0,R196&gt;100),"Проверьте значения","Рассчитано"))))))</x:f>
        <x:v>Нужны цены</x:v>
      </x:c>
      <x:c r="K196" s="36" t="n">
        <x:v>1096</x:v>
      </x:c>
      <x:c r="L196" s="19" t="str">
        <x:v>KZT</x:v>
      </x:c>
      <x:c r="M196" s="22"/>
      <x:c r="N196" s="22"/>
      <x:c r="O196" s="28"/>
      <x:c r="P196" s="22"/>
      <x:c r="Q196" s="22"/>
      <x:c r="R196" s="28"/>
      <x:c r="S196" s="22"/>
      <x:c r="T196" s="35" t="n">
        <x:f>MIN(K196,AT196)</x:f>
        <x:v>1095.7291558782683</x:v>
      </x:c>
      <x:c r="U196" s="20" t="str">
        <x:f>IF(J196="Рассчитано",N196*(1-O196/100),"н/д")</x:f>
        <x:v>н/д</x:v>
      </x:c>
      <x:c r="V196" s="20" t="str">
        <x:f>IF(J196="Рассчитано",T196*U196,"н/д")</x:f>
        <x:v>н/д</x:v>
      </x:c>
      <x:c r="W196" s="20" t="str">
        <x:f>IF(J196="Рассчитано",T196*M196,"н/д")</x:f>
        <x:v>н/д</x:v>
      </x:c>
      <x:c r="X196" s="20" t="str">
        <x:f>IF(J196="Рассчитано",V196-W196,"н/д")</x:f>
        <x:v>н/д</x:v>
      </x:c>
      <x:c r="Y196" s="26" t="str">
        <x:f>IF(J196="Рассчитано",IF(V196&gt;0,G196/V196,"н/д"),"н/д")</x:f>
        <x:v>н/д</x:v>
      </x:c>
      <x:c r="Z196" s="20" t="str">
        <x:f>IF(J196="Рассчитано",K196*M196,"н/д")</x:f>
        <x:v>н/д</x:v>
      </x:c>
      <x:c r="AA196" s="20" t="str">
        <x:f>IF(J196="Рассчитано",(K196-T196)*M196,"н/д")</x:f>
        <x:v>н/д</x:v>
      </x:c>
      <x:c r="AB196" s="20" t="str">
        <x:f>IF(AND(J196="Рассчитано",ISNUMBER(S196)),K196*(S196-M196),"н/д")</x:f>
        <x:v>н/д</x:v>
      </x:c>
      <x:c r="AC196" s="20" t="str">
        <x:f>IF(AND(J196="Рассчитано",T196&gt;0,R196&lt;100),(W196+P196+Q196)/(T196*(1-R196/100)),"н/д")</x:f>
        <x:v>н/д</x:v>
      </x:c>
      <x:c r="AD196" s="11" t="str">
        <x:f>IF(ISNUMBER(G196),IF(G196&lt;0,"Убыток",IF(G196=0,"Без прибыли","Прибыль &gt; 0")),"Не оценён")</x:f>
        <x:v>Не оценён</x:v>
      </x:c>
      <x:c r="AE196" s="12" t="str">
        <x:f>IF(J196="Рассчитано","Выручка "&amp;TEXT(V196,"0.00")&amp;" - себестоимость "&amp;TEXT(W196,"0.00")&amp;" - комиссия "&amp;TEXT(V196*R196/100,"0.00")&amp;" - доставка "&amp;TEXT(P196,"0.00")&amp;" - прочие "&amp;TEXT(Q196,"0.00")&amp;" = "&amp;TEXT(G196,"0.00")&amp;" "&amp;L196,"Введите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6" s="23" t="n">
        <x:v>1123.7291558782683</x:v>
      </x:c>
      <x:c r="AG196" s="35" t="n">
        <x:v>28</x:v>
      </x:c>
      <x:c r="AH196" s="35" t="n">
        <x:v>0</x:v>
      </x:c>
      <x:c r="AI196" s="29" t="n">
        <x:v>46266</x:v>
      </x:c>
      <x:c r="AJ196" s="35" t="n">
        <x:v>252</x:v>
      </x:c>
      <x:c r="AK196" s="11" t="str">
        <x:v>минимум</x:v>
      </x:c>
      <x:c r="AL196" s="31" t="n">
        <x:v>0.7475110845045972</x:v>
      </x:c>
      <x:c r="AM196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0.7 дн. без поступлений</x:v>
      </x:c>
      <x:c r="AN196" s="12" t="str">
        <x:v>Подтвердить наличие, срок и цену закупки</x:v>
      </x:c>
      <x:c r="AO196" s="12" t="str">
        <x:v>Прогноз 30 дней 1123.73; остаток 28; поступления в срок 0; нехватка 1096; заказ с учётом MOQ 1096 шт. Остаток на начало сентября: требуется актуализация.</x:v>
      </x:c>
      <x:c r="AP196" s="12" t="str">
        <x:v>["category_missing", "daily_stockout_data_missing", "large_orders_detected", "new_order_lead_time_unknown", "reservations_unknown", "stale_stock", "transaction_month_mismatch"]</x:v>
      </x:c>
      <x:c r="AQ196" s="11" t="str">
        <x:v>IEK:250600087_</x:v>
      </x:c>
      <x:c r="AR196" s="23" t="n">
        <x:v>1</x:v>
      </x:c>
      <x:c r="AS196" s="23" t="n">
        <x:f>MAX(0,ROUNDUP(MAX(0,AF196-AG196-AH196)/AR196-0.000000001,0)*AR196)</x:f>
        <x:v>1096</x:v>
      </x:c>
      <x:c r="AT196" s="23" t="n">
        <x:v>1095.7291558782683</x:v>
      </x:c>
    </x:row>
    <x:row r="197" ht="64" customHeight="1">
      <x:c r="A197" s="10" t="str">
        <x:v>IEK</x:v>
      </x:c>
      <x:c r="B197" s="34" t="str">
        <x:v>250600116_</x:v>
      </x:c>
      <x:c r="C197" s="34" t="str">
        <x:v>MKP82-N-09-41-20</x:v>
      </x:c>
      <x:c r="D197" s="13" t="str">
        <x:v>ЩРН-П  9 PRIME IEK (20) !!!</x:v>
      </x:c>
      <x:c r="E197" s="10" t="str">
        <x:v>шт</x:v>
      </x:c>
      <x:c r="F197" s="37" t="n">
        <x:f>AS197</x:f>
        <x:v>1</x:v>
      </x:c>
      <x:c r="G197" s="21" t="str">
        <x:f>IF(J197="Рассчитано",V197*(1-R197/100)-W197-P197-Q197,"н/д")</x:f>
        <x:v>н/д</x:v>
      </x:c>
      <x:c r="H197" s="13" t="str">
        <x:v>Высокий</x:v>
      </x:c>
      <x:c r="I197" s="13" t="str">
        <x:v>Критический</x:v>
      </x:c>
      <x:c r="J197" s="13" t="str">
        <x:f>IF(L197="","Укажите валюту",IF(NOT(ISNUMBER(K197)),"Укажите объём",IF(K197&lt;=0,"Укажите объём",IF(COUNT(M197:O197)&lt;3,"Нужны цены",IF(COUNT(P197:R197)&lt;3,"Нужны расходы",IF(OR(M197&lt;0,N197&lt;0,O197&lt;0,O197&gt;100,P197&lt;0,Q197&lt;0,R197&lt;0,R197&gt;100),"Проверьте значения","Рассчитано"))))))</x:f>
        <x:v>Нужны цены</x:v>
      </x:c>
      <x:c r="K197" s="36" t="n">
        <x:v>1</x:v>
      </x:c>
      <x:c r="L197" s="19" t="str">
        <x:v>KZT</x:v>
      </x:c>
      <x:c r="M197" s="22"/>
      <x:c r="N197" s="22"/>
      <x:c r="O197" s="28"/>
      <x:c r="P197" s="22"/>
      <x:c r="Q197" s="22"/>
      <x:c r="R197" s="28"/>
      <x:c r="S197" s="22"/>
      <x:c r="T197" s="37" t="n">
        <x:f>MIN(K197,AT197)</x:f>
        <x:v>0.7289946113087641</x:v>
      </x:c>
      <x:c r="U197" s="21" t="str">
        <x:f>IF(J197="Рассчитано",N197*(1-O197/100),"н/д")</x:f>
        <x:v>н/д</x:v>
      </x:c>
      <x:c r="V197" s="21" t="str">
        <x:f>IF(J197="Рассчитано",T197*U197,"н/д")</x:f>
        <x:v>н/д</x:v>
      </x:c>
      <x:c r="W197" s="21" t="str">
        <x:f>IF(J197="Рассчитано",T197*M197,"н/д")</x:f>
        <x:v>н/д</x:v>
      </x:c>
      <x:c r="X197" s="21" t="str">
        <x:f>IF(J197="Рассчитано",V197-W197,"н/д")</x:f>
        <x:v>н/д</x:v>
      </x:c>
      <x:c r="Y197" s="27" t="str">
        <x:f>IF(J197="Рассчитано",IF(V197&gt;0,G197/V197,"н/д"),"н/д")</x:f>
        <x:v>н/д</x:v>
      </x:c>
      <x:c r="Z197" s="21" t="str">
        <x:f>IF(J197="Рассчитано",K197*M197,"н/д")</x:f>
        <x:v>н/д</x:v>
      </x:c>
      <x:c r="AA197" s="21" t="str">
        <x:f>IF(J197="Рассчитано",(K197-T197)*M197,"н/д")</x:f>
        <x:v>н/д</x:v>
      </x:c>
      <x:c r="AB197" s="21" t="str">
        <x:f>IF(AND(J197="Рассчитано",ISNUMBER(S197)),K197*(S197-M197),"н/д")</x:f>
        <x:v>н/д</x:v>
      </x:c>
      <x:c r="AC197" s="21" t="str">
        <x:f>IF(AND(J197="Рассчитано",T197&gt;0,R197&lt;100),(W197+P197+Q197)/(T197*(1-R197/100)),"н/д")</x:f>
        <x:v>н/д</x:v>
      </x:c>
      <x:c r="AD197" s="10" t="str">
        <x:f>IF(ISNUMBER(G197),IF(G197&lt;0,"Убыток",IF(G197=0,"Без прибыли","Прибыль &gt; 0")),"Не оценён")</x:f>
        <x:v>Не оценён</x:v>
      </x:c>
      <x:c r="AE197" s="13" t="str">
        <x:f>IF(J197="Рассчитано","Выручка "&amp;TEXT(V197,"0.00")&amp;" - себестоимость "&amp;TEXT(W197,"0.00")&amp;" - комиссия "&amp;TEXT(V197*R197/100,"0.00")&amp;" - доставка "&amp;TEXT(P197,"0.00")&amp;" - прочие "&amp;TEXT(Q197,"0.00")&amp;" = "&amp;TEXT(G197,"0.00")&amp;" "&amp;L197,"Введите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7" s="24" t="n">
        <x:v>0.7289946113087641</x:v>
      </x:c>
      <x:c r="AG197" s="37" t="n">
        <x:v>0</x:v>
      </x:c>
      <x:c r="AH197" s="37" t="n">
        <x:v>0</x:v>
      </x:c>
      <x:c r="AI197" s="30" t="n">
        <x:v>46266</x:v>
      </x:c>
      <x:c r="AJ197" s="37"/>
      <x:c r="AK197" s="10" t="str">
        <x:v>неизвестно</x:v>
      </x:c>
      <x:c r="AL197" s="32" t="n">
        <x:v>0</x:v>
      </x:c>
      <x:c r="AM197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197" s="13" t="str">
        <x:v>Подтвердить наличие, срок и цену закупки</x:v>
      </x:c>
      <x:c r="AO197" s="13" t="str">
        <x:v>Прогноз 30 дней 0.73; остаток 0; поступления в срок 0; нехватка 1; заказ с учётом MOQ 1 шт. Остаток на начало сентября: требуется актуализация.</x:v>
      </x:c>
      <x:c r="AP197" s="13" t="str">
        <x:v>["blank_stock_assumed_zero", "category_missing", "daily_stockout_data_missing", "moq_missing", "new_order_lead_time_unknown", "reservations_unknown", "stale_stock", "stockout_proxy_used"]</x:v>
      </x:c>
      <x:c r="AQ197" s="10" t="str">
        <x:v>IEK:250600116_</x:v>
      </x:c>
      <x:c r="AR197" s="24" t="n">
        <x:v>1</x:v>
      </x:c>
      <x:c r="AS197" s="24" t="n">
        <x:f>MAX(0,ROUNDUP(MAX(0,AF197-AG197-AH197)/AR197-0.000000001,0)*AR197)</x:f>
        <x:v>1</x:v>
      </x:c>
      <x:c r="AT197" s="24" t="n">
        <x:v>0.7289946113087641</x:v>
      </x:c>
    </x:row>
    <x:row r="198" ht="64" customHeight="1">
      <x:c r="A198" s="11" t="str">
        <x:v>IEK</x:v>
      </x:c>
      <x:c r="B198" s="33" t="str">
        <x:v>250600176_</x:v>
      </x:c>
      <x:c r="C198" s="33" t="str">
        <x:v>MKP12-N-12-41-G</x:v>
      </x:c>
      <x:c r="D198" s="12" t="str">
        <x:v>ЩРН-П 12 модулей навесн. пластик IP41 GENERICA (10)</x:v>
      </x:c>
      <x:c r="E198" s="11" t="str">
        <x:v>шт</x:v>
      </x:c>
      <x:c r="F198" s="35" t="n">
        <x:f>AS198</x:f>
        <x:v>1</x:v>
      </x:c>
      <x:c r="G198" s="20" t="str">
        <x:f>IF(J198="Рассчитано",V198*(1-R198/100)-W198-P198-Q198,"н/д")</x:f>
        <x:v>н/д</x:v>
      </x:c>
      <x:c r="H198" s="12" t="str">
        <x:v>Высокий</x:v>
      </x:c>
      <x:c r="I198" s="12" t="str">
        <x:v>Критический</x:v>
      </x:c>
      <x:c r="J198" s="12" t="str">
        <x:f>IF(L198="","Укажите валюту",IF(NOT(ISNUMBER(K198)),"Укажите объём",IF(K198&lt;=0,"Укажите объём",IF(COUNT(M198:O198)&lt;3,"Нужны цены",IF(COUNT(P198:R198)&lt;3,"Нужны расходы",IF(OR(M198&lt;0,N198&lt;0,O198&lt;0,O198&gt;100,P198&lt;0,Q198&lt;0,R198&lt;0,R198&gt;100),"Проверьте значения","Рассчитано"))))))</x:f>
        <x:v>Нужны цены</x:v>
      </x:c>
      <x:c r="K198" s="36" t="n">
        <x:v>1</x:v>
      </x:c>
      <x:c r="L198" s="19" t="str">
        <x:v>KZT</x:v>
      </x:c>
      <x:c r="M198" s="22"/>
      <x:c r="N198" s="22"/>
      <x:c r="O198" s="28"/>
      <x:c r="P198" s="22"/>
      <x:c r="Q198" s="22"/>
      <x:c r="R198" s="28"/>
      <x:c r="S198" s="22"/>
      <x:c r="T198" s="35" t="n">
        <x:f>MIN(K198,AT198)</x:f>
        <x:v>0.039081323040488704</x:v>
      </x:c>
      <x:c r="U198" s="20" t="str">
        <x:f>IF(J198="Рассчитано",N198*(1-O198/100),"н/д")</x:f>
        <x:v>н/д</x:v>
      </x:c>
      <x:c r="V198" s="20" t="str">
        <x:f>IF(J198="Рассчитано",T198*U198,"н/д")</x:f>
        <x:v>н/д</x:v>
      </x:c>
      <x:c r="W198" s="20" t="str">
        <x:f>IF(J198="Рассчитано",T198*M198,"н/д")</x:f>
        <x:v>н/д</x:v>
      </x:c>
      <x:c r="X198" s="20" t="str">
        <x:f>IF(J198="Рассчитано",V198-W198,"н/д")</x:f>
        <x:v>н/д</x:v>
      </x:c>
      <x:c r="Y198" s="26" t="str">
        <x:f>IF(J198="Рассчитано",IF(V198&gt;0,G198/V198,"н/д"),"н/д")</x:f>
        <x:v>н/д</x:v>
      </x:c>
      <x:c r="Z198" s="20" t="str">
        <x:f>IF(J198="Рассчитано",K198*M198,"н/д")</x:f>
        <x:v>н/д</x:v>
      </x:c>
      <x:c r="AA198" s="20" t="str">
        <x:f>IF(J198="Рассчитано",(K198-T198)*M198,"н/д")</x:f>
        <x:v>н/д</x:v>
      </x:c>
      <x:c r="AB198" s="20" t="str">
        <x:f>IF(AND(J198="Рассчитано",ISNUMBER(S198)),K198*(S198-M198),"н/д")</x:f>
        <x:v>н/д</x:v>
      </x:c>
      <x:c r="AC198" s="20" t="str">
        <x:f>IF(AND(J198="Рассчитано",T198&gt;0,R198&lt;100),(W198+P198+Q198)/(T198*(1-R198/100)),"н/д")</x:f>
        <x:v>н/д</x:v>
      </x:c>
      <x:c r="AD198" s="11" t="str">
        <x:f>IF(ISNUMBER(G198),IF(G198&lt;0,"Убыток",IF(G198=0,"Без прибыли","Прибыль &gt; 0")),"Не оценён")</x:f>
        <x:v>Не оценён</x:v>
      </x:c>
      <x:c r="AE198" s="12" t="str">
        <x:f>IF(J198="Рассчитано","Выручка "&amp;TEXT(V198,"0.00")&amp;" - себестоимость "&amp;TEXT(W198,"0.00")&amp;" - комиссия "&amp;TEXT(V198*R198/100,"0.00")&amp;" - доставка "&amp;TEXT(P198,"0.00")&amp;" - прочие "&amp;TEXT(Q198,"0.00")&amp;" = "&amp;TEXT(G198,"0.00")&amp;" "&amp;L198,"Введите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8" s="23" t="n">
        <x:v>0.039081323040488704</x:v>
      </x:c>
      <x:c r="AG198" s="35" t="n">
        <x:v>0</x:v>
      </x:c>
      <x:c r="AH198" s="35" t="n">
        <x:v>0</x:v>
      </x:c>
      <x:c r="AI198" s="29" t="n">
        <x:v>46266</x:v>
      </x:c>
      <x:c r="AJ198" s="35"/>
      <x:c r="AK198" s="11" t="str">
        <x:v>неизвестно</x:v>
      </x:c>
      <x:c r="AL198" s="31" t="n">
        <x:v>0</x:v>
      </x:c>
      <x:c r="AM198" s="12" t="str">
        <x:v>Остаток на начало сентября; Резервы неизвестны; Нет ежедневных данных доступности. Нет запаса</x:v>
      </x:c>
      <x:c r="AN198" s="12" t="str">
        <x:v>Подтвердить наличие, срок и цену закупки</x:v>
      </x:c>
      <x:c r="AO198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198" s="12" t="str">
        <x:v>["blank_stock_assumed_zero", "category_missing", "daily_stockout_data_missing", "moq_missing", "new_order_lead_time_unknown", "reservations_unknown", "stale_stock"]</x:v>
      </x:c>
      <x:c r="AQ198" s="11" t="str">
        <x:v>IEK:250600176_</x:v>
      </x:c>
      <x:c r="AR198" s="23" t="n">
        <x:v>1</x:v>
      </x:c>
      <x:c r="AS198" s="23" t="n">
        <x:f>MAX(0,ROUNDUP(MAX(0,AF198-AG198-AH198)/AR198-0.000000001,0)*AR198)</x:f>
        <x:v>1</x:v>
      </x:c>
      <x:c r="AT198" s="23" t="n">
        <x:v>0.039081323040488704</x:v>
      </x:c>
    </x:row>
    <x:row r="199" ht="64" customHeight="1">
      <x:c r="A199" s="10" t="str">
        <x:v>IEK</x:v>
      </x:c>
      <x:c r="B199" s="34" t="str">
        <x:v>250600177_</x:v>
      </x:c>
      <x:c r="C199" s="34" t="str">
        <x:v>MKP12-N-18-41-G</x:v>
      </x:c>
      <x:c r="D199" s="13" t="str">
        <x:v>ЩРН-П 18 модулей навесн. пластик IP41 GENERICA (10)</x:v>
      </x:c>
      <x:c r="E199" s="10" t="str">
        <x:v>шт</x:v>
      </x:c>
      <x:c r="F199" s="37" t="n">
        <x:f>AS199</x:f>
        <x:v>4</x:v>
      </x:c>
      <x:c r="G199" s="21" t="str">
        <x:f>IF(J199="Рассчитано",V199*(1-R199/100)-W199-P199-Q199,"н/д")</x:f>
        <x:v>н/д</x:v>
      </x:c>
      <x:c r="H199" s="13" t="str">
        <x:v>Высокий</x:v>
      </x:c>
      <x:c r="I199" s="13" t="str">
        <x:v>Высокий</x:v>
      </x:c>
      <x:c r="J199" s="13" t="str">
        <x:f>IF(L199="","Укажите валюту",IF(NOT(ISNUMBER(K199)),"Укажите объём",IF(K199&lt;=0,"Укажите объём",IF(COUNT(M199:O199)&lt;3,"Нужны цены",IF(COUNT(P199:R199)&lt;3,"Нужны расходы",IF(OR(M199&lt;0,N199&lt;0,O199&lt;0,O199&gt;100,P199&lt;0,Q199&lt;0,R199&lt;0,R199&gt;100),"Проверьте значения","Рассчитано"))))))</x:f>
        <x:v>Нужны цены</x:v>
      </x:c>
      <x:c r="K199" s="36" t="n">
        <x:v>4</x:v>
      </x:c>
      <x:c r="L199" s="19" t="str">
        <x:v>KZT</x:v>
      </x:c>
      <x:c r="M199" s="22"/>
      <x:c r="N199" s="22"/>
      <x:c r="O199" s="28"/>
      <x:c r="P199" s="22"/>
      <x:c r="Q199" s="22"/>
      <x:c r="R199" s="28"/>
      <x:c r="S199" s="22"/>
      <x:c r="T199" s="37" t="n">
        <x:f>MIN(K199,AT199)</x:f>
        <x:v>3.0725332533984133</x:v>
      </x:c>
      <x:c r="U199" s="21" t="str">
        <x:f>IF(J199="Рассчитано",N199*(1-O199/100),"н/д")</x:f>
        <x:v>н/д</x:v>
      </x:c>
      <x:c r="V199" s="21" t="str">
        <x:f>IF(J199="Рассчитано",T199*U199,"н/д")</x:f>
        <x:v>н/д</x:v>
      </x:c>
      <x:c r="W199" s="21" t="str">
        <x:f>IF(J199="Рассчитано",T199*M199,"н/д")</x:f>
        <x:v>н/д</x:v>
      </x:c>
      <x:c r="X199" s="21" t="str">
        <x:f>IF(J199="Рассчитано",V199-W199,"н/д")</x:f>
        <x:v>н/д</x:v>
      </x:c>
      <x:c r="Y199" s="27" t="str">
        <x:f>IF(J199="Рассчитано",IF(V199&gt;0,G199/V199,"н/д"),"н/д")</x:f>
        <x:v>н/д</x:v>
      </x:c>
      <x:c r="Z199" s="21" t="str">
        <x:f>IF(J199="Рассчитано",K199*M199,"н/д")</x:f>
        <x:v>н/д</x:v>
      </x:c>
      <x:c r="AA199" s="21" t="str">
        <x:f>IF(J199="Рассчитано",(K199-T199)*M199,"н/д")</x:f>
        <x:v>н/д</x:v>
      </x:c>
      <x:c r="AB199" s="21" t="str">
        <x:f>IF(AND(J199="Рассчитано",ISNUMBER(S199)),K199*(S199-M199),"н/д")</x:f>
        <x:v>н/д</x:v>
      </x:c>
      <x:c r="AC199" s="21" t="str">
        <x:f>IF(AND(J199="Рассчитано",T199&gt;0,R199&lt;100),(W199+P199+Q199)/(T199*(1-R199/100)),"н/д")</x:f>
        <x:v>н/д</x:v>
      </x:c>
      <x:c r="AD199" s="10" t="str">
        <x:f>IF(ISNUMBER(G199),IF(G199&lt;0,"Убыток",IF(G199=0,"Без прибыли","Прибыль &gt; 0")),"Не оценён")</x:f>
        <x:v>Не оценён</x:v>
      </x:c>
      <x:c r="AE199" s="13" t="str">
        <x:f>IF(J199="Рассчитано","Выручка "&amp;TEXT(V199,"0.00")&amp;" - себестоимость "&amp;TEXT(W199,"0.00")&amp;" - комиссия "&amp;TEXT(V199*R199/100,"0.00")&amp;" - доставка "&amp;TEXT(P199,"0.00")&amp;" - прочие "&amp;TEXT(Q199,"0.00")&amp;" = "&amp;TEXT(G199,"0.00")&amp;" "&amp;L199,"Введите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199" s="24" t="n">
        <x:v>4.072533253398413</x:v>
      </x:c>
      <x:c r="AG199" s="37" t="n">
        <x:v>1</x:v>
      </x:c>
      <x:c r="AH199" s="37" t="n">
        <x:v>0</x:v>
      </x:c>
      <x:c r="AI199" s="30" t="n">
        <x:v>46266</x:v>
      </x:c>
      <x:c r="AJ199" s="37"/>
      <x:c r="AK199" s="10" t="str">
        <x:v>неизвестно</x:v>
      </x:c>
      <x:c r="AL199" s="32" t="n">
        <x:v>7.366422355168212</x:v>
      </x:c>
      <x:c r="AM199" s="13" t="str">
        <x:v>Остаток на начало сентября; Резервы неизвестны; Нет ежедневных данных доступности. Запаса примерно на 7.4 дн. без поступлений</x:v>
      </x:c>
      <x:c r="AN199" s="13" t="str">
        <x:v>Подтвердить наличие, срок и цену закупки</x:v>
      </x:c>
      <x:c r="AO199" s="13" t="str">
        <x:v>Прогноз 30 дней 4.07; остаток 1; поступления в срок 0; нехватка 4; заказ с учётом MOQ 4 шт. Остаток на начало сентября: требуется актуализация.</x:v>
      </x:c>
      <x:c r="AP199" s="13" t="str">
        <x:v>["category_missing", "daily_stockout_data_missing", "large_orders_detected", "moq_missing", "new_order_lead_time_unknown", "reservations_unknown", "stale_stock"]</x:v>
      </x:c>
      <x:c r="AQ199" s="10" t="str">
        <x:v>IEK:250600177_</x:v>
      </x:c>
      <x:c r="AR199" s="24" t="n">
        <x:v>1</x:v>
      </x:c>
      <x:c r="AS199" s="24" t="n">
        <x:f>MAX(0,ROUNDUP(MAX(0,AF199-AG199-AH199)/AR199-0.000000001,0)*AR199)</x:f>
        <x:v>4</x:v>
      </x:c>
      <x:c r="AT199" s="24" t="n">
        <x:v>3.0725332533984133</x:v>
      </x:c>
    </x:row>
    <x:row r="200" ht="64" customHeight="1">
      <x:c r="A200" s="11" t="str">
        <x:v>IEK</x:v>
      </x:c>
      <x:c r="B200" s="33" t="str">
        <x:v>250600178_</x:v>
      </x:c>
      <x:c r="C200" s="33" t="str">
        <x:v>MKP12-N-24-41-G</x:v>
      </x:c>
      <x:c r="D200" s="12" t="str">
        <x:v>ЩРН-П 24 модуля навесн. пластик IP41 GENERICA (10)</x:v>
      </x:c>
      <x:c r="E200" s="11" t="str">
        <x:v>шт</x:v>
      </x:c>
      <x:c r="F200" s="35" t="n">
        <x:f>AS200</x:f>
        <x:v>2</x:v>
      </x:c>
      <x:c r="G200" s="20" t="str">
        <x:f>IF(J200="Рассчитано",V200*(1-R200/100)-W200-P200-Q200,"н/д")</x:f>
        <x:v>н/д</x:v>
      </x:c>
      <x:c r="H200" s="12" t="str">
        <x:v>Высокий</x:v>
      </x:c>
      <x:c r="I200" s="12" t="str">
        <x:v>Критический</x:v>
      </x:c>
      <x:c r="J200" s="12" t="str">
        <x:f>IF(L200="","Укажите валюту",IF(NOT(ISNUMBER(K200)),"Укажите объём",IF(K200&lt;=0,"Укажите объём",IF(COUNT(M200:O200)&lt;3,"Нужны цены",IF(COUNT(P200:R200)&lt;3,"Нужны расходы",IF(OR(M200&lt;0,N200&lt;0,O200&lt;0,O200&gt;100,P200&lt;0,Q200&lt;0,R200&lt;0,R200&gt;100),"Проверьте значения","Рассчитано"))))))</x:f>
        <x:v>Нужны цены</x:v>
      </x:c>
      <x:c r="K200" s="36" t="n">
        <x:v>2</x:v>
      </x:c>
      <x:c r="L200" s="19" t="str">
        <x:v>KZT</x:v>
      </x:c>
      <x:c r="M200" s="22"/>
      <x:c r="N200" s="22"/>
      <x:c r="O200" s="28"/>
      <x:c r="P200" s="22"/>
      <x:c r="Q200" s="22"/>
      <x:c r="R200" s="28"/>
      <x:c r="S200" s="22"/>
      <x:c r="T200" s="35" t="n">
        <x:f>MIN(K200,AT200)</x:f>
        <x:v>1.315596104551404</x:v>
      </x:c>
      <x:c r="U200" s="20" t="str">
        <x:f>IF(J200="Рассчитано",N200*(1-O200/100),"н/д")</x:f>
        <x:v>н/д</x:v>
      </x:c>
      <x:c r="V200" s="20" t="str">
        <x:f>IF(J200="Рассчитано",T200*U200,"н/д")</x:f>
        <x:v>н/д</x:v>
      </x:c>
      <x:c r="W200" s="20" t="str">
        <x:f>IF(J200="Рассчитано",T200*M200,"н/д")</x:f>
        <x:v>н/д</x:v>
      </x:c>
      <x:c r="X200" s="20" t="str">
        <x:f>IF(J200="Рассчитано",V200-W200,"н/д")</x:f>
        <x:v>н/д</x:v>
      </x:c>
      <x:c r="Y200" s="26" t="str">
        <x:f>IF(J200="Рассчитано",IF(V200&gt;0,G200/V200,"н/д"),"н/д")</x:f>
        <x:v>н/д</x:v>
      </x:c>
      <x:c r="Z200" s="20" t="str">
        <x:f>IF(J200="Рассчитано",K200*M200,"н/д")</x:f>
        <x:v>н/д</x:v>
      </x:c>
      <x:c r="AA200" s="20" t="str">
        <x:f>IF(J200="Рассчитано",(K200-T200)*M200,"н/д")</x:f>
        <x:v>н/д</x:v>
      </x:c>
      <x:c r="AB200" s="20" t="str">
        <x:f>IF(AND(J200="Рассчитано",ISNUMBER(S200)),K200*(S200-M200),"н/д")</x:f>
        <x:v>н/д</x:v>
      </x:c>
      <x:c r="AC200" s="20" t="str">
        <x:f>IF(AND(J200="Рассчитано",T200&gt;0,R200&lt;100),(W200+P200+Q200)/(T200*(1-R200/100)),"н/д")</x:f>
        <x:v>н/д</x:v>
      </x:c>
      <x:c r="AD200" s="11" t="str">
        <x:f>IF(ISNUMBER(G200),IF(G200&lt;0,"Убыток",IF(G200=0,"Без прибыли","Прибыль &gt; 0")),"Не оценён")</x:f>
        <x:v>Не оценён</x:v>
      </x:c>
      <x:c r="AE200" s="12" t="str">
        <x:f>IF(J200="Рассчитано","Выручка "&amp;TEXT(V200,"0.00")&amp;" - себестоимость "&amp;TEXT(W200,"0.00")&amp;" - комиссия "&amp;TEXT(V200*R200/100,"0.00")&amp;" - доставка "&amp;TEXT(P200,"0.00")&amp;" - прочие "&amp;TEXT(Q200,"0.00")&amp;" = "&amp;TEXT(G200,"0.00")&amp;" "&amp;L200,"Введите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0" s="23" t="n">
        <x:v>1.315596104551404</x:v>
      </x:c>
      <x:c r="AG200" s="35" t="n">
        <x:v>0</x:v>
      </x:c>
      <x:c r="AH200" s="35" t="n">
        <x:v>0</x:v>
      </x:c>
      <x:c r="AI200" s="29" t="n">
        <x:v>46266</x:v>
      </x:c>
      <x:c r="AJ200" s="35"/>
      <x:c r="AK200" s="11" t="str">
        <x:v>неизвестно</x:v>
      </x:c>
      <x:c r="AL200" s="31" t="n">
        <x:v>0</x:v>
      </x:c>
      <x:c r="AM20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00" s="12" t="str">
        <x:v>Подтвердить наличие, срок и цену закупки</x:v>
      </x:c>
      <x:c r="AO200" s="12" t="str">
        <x:v>Прогноз 30 дней 1.32; остаток 0; поступления в срок 0; нехватка 2; заказ с учётом MOQ 2 шт. Остаток на начало сентября: требуется актуализация.</x:v>
      </x:c>
      <x:c r="AP200" s="12" t="str">
        <x:v>["blank_stock_assumed_zero", "category_missing", "daily_stockout_data_missing", "moq_missing", "new_order_lead_time_unknown", "reservations_unknown", "stale_stock", "stockout_proxy_used"]</x:v>
      </x:c>
      <x:c r="AQ200" s="11" t="str">
        <x:v>IEK:250600178_</x:v>
      </x:c>
      <x:c r="AR200" s="23" t="n">
        <x:v>1</x:v>
      </x:c>
      <x:c r="AS200" s="23" t="n">
        <x:f>MAX(0,ROUNDUP(MAX(0,AF200-AG200-AH200)/AR200-0.000000001,0)*AR200)</x:f>
        <x:v>2</x:v>
      </x:c>
      <x:c r="AT200" s="23" t="n">
        <x:v>1.315596104551404</x:v>
      </x:c>
    </x:row>
    <x:row r="201" ht="64" customHeight="1">
      <x:c r="A201" s="10" t="str">
        <x:v>IEK</x:v>
      </x:c>
      <x:c r="B201" s="34" t="str">
        <x:v>250600179_</x:v>
      </x:c>
      <x:c r="C201" s="34" t="str">
        <x:v>MKP12-N-36-41-G</x:v>
      </x:c>
      <x:c r="D201" s="13" t="str">
        <x:v>ЩРН-П 36 модулей навесн. пластик IP41 GENERICA (5)</x:v>
      </x:c>
      <x:c r="E201" s="10" t="str">
        <x:v>шт</x:v>
      </x:c>
      <x:c r="F201" s="37" t="n">
        <x:f>AS201</x:f>
        <x:v>1</x:v>
      </x:c>
      <x:c r="G201" s="21" t="str">
        <x:f>IF(J201="Рассчитано",V201*(1-R201/100)-W201-P201-Q201,"н/д")</x:f>
        <x:v>н/д</x:v>
      </x:c>
      <x:c r="H201" s="13" t="str">
        <x:v>Высокий</x:v>
      </x:c>
      <x:c r="I201" s="13" t="str">
        <x:v>Критический</x:v>
      </x:c>
      <x:c r="J201" s="13" t="str">
        <x:f>IF(L201="","Укажите валюту",IF(NOT(ISNUMBER(K201)),"Укажите объём",IF(K201&lt;=0,"Укажите объём",IF(COUNT(M201:O201)&lt;3,"Нужны цены",IF(COUNT(P201:R201)&lt;3,"Нужны расходы",IF(OR(M201&lt;0,N201&lt;0,O201&lt;0,O201&gt;100,P201&lt;0,Q201&lt;0,R201&lt;0,R201&gt;100),"Проверьте значения","Рассчитано"))))))</x:f>
        <x:v>Нужны цены</x:v>
      </x:c>
      <x:c r="K201" s="36" t="n">
        <x:v>1</x:v>
      </x:c>
      <x:c r="L201" s="19" t="str">
        <x:v>KZT</x:v>
      </x:c>
      <x:c r="M201" s="22"/>
      <x:c r="N201" s="22"/>
      <x:c r="O201" s="28"/>
      <x:c r="P201" s="22"/>
      <x:c r="Q201" s="22"/>
      <x:c r="R201" s="28"/>
      <x:c r="S201" s="22"/>
      <x:c r="T201" s="37" t="n">
        <x:f>MIN(K201,AT201)</x:f>
        <x:v>0.08112757515004289</x:v>
      </x:c>
      <x:c r="U201" s="21" t="str">
        <x:f>IF(J201="Рассчитано",N201*(1-O201/100),"н/д")</x:f>
        <x:v>н/д</x:v>
      </x:c>
      <x:c r="V201" s="21" t="str">
        <x:f>IF(J201="Рассчитано",T201*U201,"н/д")</x:f>
        <x:v>н/д</x:v>
      </x:c>
      <x:c r="W201" s="21" t="str">
        <x:f>IF(J201="Рассчитано",T201*M201,"н/д")</x:f>
        <x:v>н/д</x:v>
      </x:c>
      <x:c r="X201" s="21" t="str">
        <x:f>IF(J201="Рассчитано",V201-W201,"н/д")</x:f>
        <x:v>н/д</x:v>
      </x:c>
      <x:c r="Y201" s="27" t="str">
        <x:f>IF(J201="Рассчитано",IF(V201&gt;0,G201/V201,"н/д"),"н/д")</x:f>
        <x:v>н/д</x:v>
      </x:c>
      <x:c r="Z201" s="21" t="str">
        <x:f>IF(J201="Рассчитано",K201*M201,"н/д")</x:f>
        <x:v>н/д</x:v>
      </x:c>
      <x:c r="AA201" s="21" t="str">
        <x:f>IF(J201="Рассчитано",(K201-T201)*M201,"н/д")</x:f>
        <x:v>н/д</x:v>
      </x:c>
      <x:c r="AB201" s="21" t="str">
        <x:f>IF(AND(J201="Рассчитано",ISNUMBER(S201)),K201*(S201-M201),"н/д")</x:f>
        <x:v>н/д</x:v>
      </x:c>
      <x:c r="AC201" s="21" t="str">
        <x:f>IF(AND(J201="Рассчитано",T201&gt;0,R201&lt;100),(W201+P201+Q201)/(T201*(1-R201/100)),"н/д")</x:f>
        <x:v>н/д</x:v>
      </x:c>
      <x:c r="AD201" s="10" t="str">
        <x:f>IF(ISNUMBER(G201),IF(G201&lt;0,"Убыток",IF(G201=0,"Без прибыли","Прибыль &gt; 0")),"Не оценён")</x:f>
        <x:v>Не оценён</x:v>
      </x:c>
      <x:c r="AE201" s="13" t="str">
        <x:f>IF(J201="Рассчитано","Выручка "&amp;TEXT(V201,"0.00")&amp;" - себестоимость "&amp;TEXT(W201,"0.00")&amp;" - комиссия "&amp;TEXT(V201*R201/100,"0.00")&amp;" - доставка "&amp;TEXT(P201,"0.00")&amp;" - прочие "&amp;TEXT(Q201,"0.00")&amp;" = "&amp;TEXT(G201,"0.00")&amp;" "&amp;L201,"Введите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1" s="24" t="n">
        <x:v>0.08112757515004289</x:v>
      </x:c>
      <x:c r="AG201" s="37" t="n">
        <x:v>0</x:v>
      </x:c>
      <x:c r="AH201" s="37" t="n">
        <x:v>0</x:v>
      </x:c>
      <x:c r="AI201" s="30" t="n">
        <x:v>46266</x:v>
      </x:c>
      <x:c r="AJ201" s="37"/>
      <x:c r="AK201" s="10" t="str">
        <x:v>неизвестно</x:v>
      </x:c>
      <x:c r="AL201" s="32" t="n">
        <x:v>0</x:v>
      </x:c>
      <x:c r="AM201" s="13" t="str">
        <x:v>Остаток на начало сентября; Резервы неизвестны; Нет ежедневных данных доступности. Нет запаса</x:v>
      </x:c>
      <x:c r="AN201" s="13" t="str">
        <x:v>Подтвердить наличие, срок и цену закупки</x:v>
      </x:c>
      <x:c r="AO201" s="13" t="str">
        <x:v>Прогноз 30 дней 0.08; остаток 0; поступления в срок 0; нехватка 1; заказ с учётом MOQ 1 шт. Остаток на начало сентября: требуется актуализация.</x:v>
      </x:c>
      <x:c r="AP201" s="13" t="str">
        <x:v>["blank_stock_assumed_zero", "category_missing", "daily_stockout_data_missing", "moq_missing", "new_order_lead_time_unknown", "reservations_unknown", "stale_stock"]</x:v>
      </x:c>
      <x:c r="AQ201" s="10" t="str">
        <x:v>IEK:250600179_</x:v>
      </x:c>
      <x:c r="AR201" s="24" t="n">
        <x:v>1</x:v>
      </x:c>
      <x:c r="AS201" s="24" t="n">
        <x:f>MAX(0,ROUNDUP(MAX(0,AF201-AG201-AH201)/AR201-0.000000001,0)*AR201)</x:f>
        <x:v>1</x:v>
      </x:c>
      <x:c r="AT201" s="24" t="n">
        <x:v>0.08112757515004289</x:v>
      </x:c>
    </x:row>
    <x:row r="202" ht="64" customHeight="1">
      <x:c r="A202" s="11" t="str">
        <x:v>IEK</x:v>
      </x:c>
      <x:c r="B202" s="33" t="str">
        <x:v>250600185_</x:v>
      </x:c>
      <x:c r="C202" s="33" t="str">
        <x:v>MKP12-V-24-41-G</x:v>
      </x:c>
      <x:c r="D202" s="12" t="str">
        <x:v>ЩРВ-П 24 модуля встр. пластик IP41 GENERICA (10)</x:v>
      </x:c>
      <x:c r="E202" s="11" t="str">
        <x:v>шт</x:v>
      </x:c>
      <x:c r="F202" s="35" t="n">
        <x:f>AS202</x:f>
        <x:v>1</x:v>
      </x:c>
      <x:c r="G202" s="20" t="str">
        <x:f>IF(J202="Рассчитано",V202*(1-R202/100)-W202-P202-Q202,"н/д")</x:f>
        <x:v>н/д</x:v>
      </x:c>
      <x:c r="H202" s="12" t="str">
        <x:v>Высокий</x:v>
      </x:c>
      <x:c r="I202" s="12" t="str">
        <x:v>Критический</x:v>
      </x:c>
      <x:c r="J202" s="12" t="str">
        <x:f>IF(L202="","Укажите валюту",IF(NOT(ISNUMBER(K202)),"Укажите объём",IF(K202&lt;=0,"Укажите объём",IF(COUNT(M202:O202)&lt;3,"Нужны цены",IF(COUNT(P202:R202)&lt;3,"Нужны расходы",IF(OR(M202&lt;0,N202&lt;0,O202&lt;0,O202&gt;100,P202&lt;0,Q202&lt;0,R202&lt;0,R202&gt;100),"Проверьте значения","Рассчитано"))))))</x:f>
        <x:v>Нужны цены</x:v>
      </x:c>
      <x:c r="K202" s="36" t="n">
        <x:v>1</x:v>
      </x:c>
      <x:c r="L202" s="19" t="str">
        <x:v>KZT</x:v>
      </x:c>
      <x:c r="M202" s="22"/>
      <x:c r="N202" s="22"/>
      <x:c r="O202" s="28"/>
      <x:c r="P202" s="22"/>
      <x:c r="Q202" s="22"/>
      <x:c r="R202" s="28"/>
      <x:c r="S202" s="22"/>
      <x:c r="T202" s="35" t="n">
        <x:f>MIN(K202,AT202)</x:f>
        <x:v>0.1879629395028049</x:v>
      </x:c>
      <x:c r="U202" s="20" t="str">
        <x:f>IF(J202="Рассчитано",N202*(1-O202/100),"н/д")</x:f>
        <x:v>н/д</x:v>
      </x:c>
      <x:c r="V202" s="20" t="str">
        <x:f>IF(J202="Рассчитано",T202*U202,"н/д")</x:f>
        <x:v>н/д</x:v>
      </x:c>
      <x:c r="W202" s="20" t="str">
        <x:f>IF(J202="Рассчитано",T202*M202,"н/д")</x:f>
        <x:v>н/д</x:v>
      </x:c>
      <x:c r="X202" s="20" t="str">
        <x:f>IF(J202="Рассчитано",V202-W202,"н/д")</x:f>
        <x:v>н/д</x:v>
      </x:c>
      <x:c r="Y202" s="26" t="str">
        <x:f>IF(J202="Рассчитано",IF(V202&gt;0,G202/V202,"н/д"),"н/д")</x:f>
        <x:v>н/д</x:v>
      </x:c>
      <x:c r="Z202" s="20" t="str">
        <x:f>IF(J202="Рассчитано",K202*M202,"н/д")</x:f>
        <x:v>н/д</x:v>
      </x:c>
      <x:c r="AA202" s="20" t="str">
        <x:f>IF(J202="Рассчитано",(K202-T202)*M202,"н/д")</x:f>
        <x:v>н/д</x:v>
      </x:c>
      <x:c r="AB202" s="20" t="str">
        <x:f>IF(AND(J202="Рассчитано",ISNUMBER(S202)),K202*(S202-M202),"н/д")</x:f>
        <x:v>н/д</x:v>
      </x:c>
      <x:c r="AC202" s="20" t="str">
        <x:f>IF(AND(J202="Рассчитано",T202&gt;0,R202&lt;100),(W202+P202+Q202)/(T202*(1-R202/100)),"н/д")</x:f>
        <x:v>н/д</x:v>
      </x:c>
      <x:c r="AD202" s="11" t="str">
        <x:f>IF(ISNUMBER(G202),IF(G202&lt;0,"Убыток",IF(G202=0,"Без прибыли","Прибыль &gt; 0")),"Не оценён")</x:f>
        <x:v>Не оценён</x:v>
      </x:c>
      <x:c r="AE202" s="12" t="str">
        <x:f>IF(J202="Рассчитано","Выручка "&amp;TEXT(V202,"0.00")&amp;" - себестоимость "&amp;TEXT(W202,"0.00")&amp;" - комиссия "&amp;TEXT(V202*R202/100,"0.00")&amp;" - доставка "&amp;TEXT(P202,"0.00")&amp;" - прочие "&amp;TEXT(Q202,"0.00")&amp;" = "&amp;TEXT(G202,"0.00")&amp;" "&amp;L202,"Введите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2" s="23" t="n">
        <x:v>0.1879629395028049</x:v>
      </x:c>
      <x:c r="AG202" s="35" t="n">
        <x:v>0</x:v>
      </x:c>
      <x:c r="AH202" s="35" t="n">
        <x:v>0</x:v>
      </x:c>
      <x:c r="AI202" s="29" t="n">
        <x:v>46266</x:v>
      </x:c>
      <x:c r="AJ202" s="35"/>
      <x:c r="AK202" s="11" t="str">
        <x:v>неизвестно</x:v>
      </x:c>
      <x:c r="AL202" s="31" t="n">
        <x:v>0</x:v>
      </x:c>
      <x:c r="AM202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02" s="12" t="str">
        <x:v>Подтвердить наличие, срок и цену закупки</x:v>
      </x:c>
      <x:c r="AO202" s="12" t="str">
        <x:v>Прогноз 30 дней 0.19; остаток 0; поступления в срок 0; нехватка 1; заказ с учётом MOQ 1 шт. Остаток на начало сентября: требуется актуализация.</x:v>
      </x:c>
      <x:c r="AP202" s="12" t="str">
        <x:v>["blank_stock_assumed_zero", "category_missing", "daily_stockout_data_missing", "large_orders_detected", "moq_missing", "negative_net_sales_clipped_for_forecast", "new_order_lead_time_unknown", "reservations_unknown", "stale_stock", "stockout_proxy_used"]</x:v>
      </x:c>
      <x:c r="AQ202" s="11" t="str">
        <x:v>IEK:250600185_</x:v>
      </x:c>
      <x:c r="AR202" s="23" t="n">
        <x:v>1</x:v>
      </x:c>
      <x:c r="AS202" s="23" t="n">
        <x:f>MAX(0,ROUNDUP(MAX(0,AF202-AG202-AH202)/AR202-0.000000001,0)*AR202)</x:f>
        <x:v>1</x:v>
      </x:c>
      <x:c r="AT202" s="23" t="n">
        <x:v>0.1879629395028049</x:v>
      </x:c>
    </x:row>
    <x:row r="203" ht="64" customHeight="1">
      <x:c r="A203" s="10" t="str">
        <x:v>IEK</x:v>
      </x:c>
      <x:c r="B203" s="34" t="str">
        <x:v>250600291_</x:v>
      </x:c>
      <x:c r="C203" s="34" t="str">
        <x:v>TI5-10-N-050-040-025-66</x:v>
      </x:c>
      <x:c r="D203" s="13" t="str">
        <x:v>ЩМП 50х40х25 IP66  TITAN 5 IEK</x:v>
      </x:c>
      <x:c r="E203" s="10" t="str">
        <x:v>шт</x:v>
      </x:c>
      <x:c r="F203" s="37" t="n">
        <x:f>IF(AS203&gt;0,MAX(AS203,AJ203),0)</x:f>
        <x:v>2</x:v>
      </x:c>
      <x:c r="G203" s="21" t="str">
        <x:f>IF(J203="Рассчитано",V203*(1-R203/100)-W203-P203-Q203,"н/д")</x:f>
        <x:v>н/д</x:v>
      </x:c>
      <x:c r="H203" s="13" t="str">
        <x:v>Высокий</x:v>
      </x:c>
      <x:c r="I203" s="13" t="str">
        <x:v>Критический</x:v>
      </x:c>
      <x:c r="J203" s="13" t="str">
        <x:f>IF(L203="","Укажите валюту",IF(NOT(ISNUMBER(K203)),"Укажите объём",IF(K203&lt;=0,"Укажите объём",IF(COUNT(M203:O203)&lt;3,"Нужны цены",IF(COUNT(P203:R203)&lt;3,"Нужны расходы",IF(OR(M203&lt;0,N203&lt;0,O203&lt;0,O203&gt;100,P203&lt;0,Q203&lt;0,R203&lt;0,R203&gt;100),"Проверьте значения","Рассчитано"))))))</x:f>
        <x:v>Нужны цены</x:v>
      </x:c>
      <x:c r="K203" s="36" t="n">
        <x:v>2</x:v>
      </x:c>
      <x:c r="L203" s="19" t="str">
        <x:v>KZT</x:v>
      </x:c>
      <x:c r="M203" s="22"/>
      <x:c r="N203" s="22"/>
      <x:c r="O203" s="28"/>
      <x:c r="P203" s="22"/>
      <x:c r="Q203" s="22"/>
      <x:c r="R203" s="28"/>
      <x:c r="S203" s="22"/>
      <x:c r="T203" s="37" t="n">
        <x:f>MIN(K203,AT203)</x:f>
        <x:v>1.3210402855862622</x:v>
      </x:c>
      <x:c r="U203" s="21" t="str">
        <x:f>IF(J203="Рассчитано",N203*(1-O203/100),"н/д")</x:f>
        <x:v>н/д</x:v>
      </x:c>
      <x:c r="V203" s="21" t="str">
        <x:f>IF(J203="Рассчитано",T203*U203,"н/д")</x:f>
        <x:v>н/д</x:v>
      </x:c>
      <x:c r="W203" s="21" t="str">
        <x:f>IF(J203="Рассчитано",T203*M203,"н/д")</x:f>
        <x:v>н/д</x:v>
      </x:c>
      <x:c r="X203" s="21" t="str">
        <x:f>IF(J203="Рассчитано",V203-W203,"н/д")</x:f>
        <x:v>н/д</x:v>
      </x:c>
      <x:c r="Y203" s="27" t="str">
        <x:f>IF(J203="Рассчитано",IF(V203&gt;0,G203/V203,"н/д"),"н/д")</x:f>
        <x:v>н/д</x:v>
      </x:c>
      <x:c r="Z203" s="21" t="str">
        <x:f>IF(J203="Рассчитано",K203*M203,"н/д")</x:f>
        <x:v>н/д</x:v>
      </x:c>
      <x:c r="AA203" s="21" t="str">
        <x:f>IF(J203="Рассчитано",(K203-T203)*M203,"н/д")</x:f>
        <x:v>н/д</x:v>
      </x:c>
      <x:c r="AB203" s="21" t="str">
        <x:f>IF(AND(J203="Рассчитано",ISNUMBER(S203)),K203*(S203-M203),"н/д")</x:f>
        <x:v>н/д</x:v>
      </x:c>
      <x:c r="AC203" s="21" t="str">
        <x:f>IF(AND(J203="Рассчитано",T203&gt;0,R203&lt;100),(W203+P203+Q203)/(T203*(1-R203/100)),"н/д")</x:f>
        <x:v>н/д</x:v>
      </x:c>
      <x:c r="AD203" s="10" t="str">
        <x:f>IF(ISNUMBER(G203),IF(G203&lt;0,"Убыток",IF(G203=0,"Без прибыли","Прибыль &gt; 0")),"Не оценён")</x:f>
        <x:v>Не оценён</x:v>
      </x:c>
      <x:c r="AE203" s="13" t="str">
        <x:f>IF(J203="Рассчитано","Выручка "&amp;TEXT(V203,"0.00")&amp;" - себестоимость "&amp;TEXT(W203,"0.00")&amp;" - комиссия "&amp;TEXT(V203*R203/100,"0.00")&amp;" - доставка "&amp;TEXT(P203,"0.00")&amp;" - прочие "&amp;TEXT(Q203,"0.00")&amp;" = "&amp;TEXT(G203,"0.00")&amp;" "&amp;L203,"Введите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3" s="24" t="n">
        <x:v>1.3210402855862622</x:v>
      </x:c>
      <x:c r="AG203" s="37" t="n">
        <x:v>0</x:v>
      </x:c>
      <x:c r="AH203" s="37" t="n">
        <x:v>0</x:v>
      </x:c>
      <x:c r="AI203" s="30" t="n">
        <x:v>46266</x:v>
      </x:c>
      <x:c r="AJ203" s="37" t="n">
        <x:v>1</x:v>
      </x:c>
      <x:c r="AK203" s="10" t="str">
        <x:v>минимум</x:v>
      </x:c>
      <x:c r="AL203" s="32" t="n">
        <x:v>0</x:v>
      </x:c>
      <x:c r="AM203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03" s="13" t="str">
        <x:v>Подтвердить наличие, срок и цену закупки</x:v>
      </x:c>
      <x:c r="AO203" s="13" t="str">
        <x:v>Прогноз 30 дней 1.32; остаток 0; поступления в срок 0; нехватка 2; заказ с учётом MOQ 2 шт. Остаток на начало сентября: требуется актуализация.</x:v>
      </x:c>
      <x:c r="AP203" s="13" t="str">
        <x:v>["blank_stock_assumed_zero", "category_missing", "daily_stockout_data_missing", "new_order_lead_time_unknown", "reservations_unknown", "stale_stock", "stockout_proxy_used"]</x:v>
      </x:c>
      <x:c r="AQ203" s="10" t="str">
        <x:v>IEK:250600291_</x:v>
      </x:c>
      <x:c r="AR203" s="24" t="n">
        <x:v>1</x:v>
      </x:c>
      <x:c r="AS203" s="24" t="n">
        <x:f>MAX(0,ROUNDUP(MAX(0,AF203-AG203-AH203)/AR203-0.000000001,0)*AR203)</x:f>
        <x:v>2</x:v>
      </x:c>
      <x:c r="AT203" s="24" t="n">
        <x:v>1.3210402855862622</x:v>
      </x:c>
    </x:row>
    <x:row r="204" ht="64" customHeight="1">
      <x:c r="A204" s="11" t="str">
        <x:v>IEK</x:v>
      </x:c>
      <x:c r="B204" s="33" t="str">
        <x:v>251000053_</x:v>
      </x:c>
      <x:c r="C204" s="33" t="str">
        <x:v>MKM14-V-72-30-T</x:v>
      </x:c>
      <x:c r="D204" s="12" t="str">
        <x:v>ЩРВ-72 (540x600x120) IEK</x:v>
      </x:c>
      <x:c r="E204" s="11" t="str">
        <x:v>шт</x:v>
      </x:c>
      <x:c r="F204" s="35" t="n">
        <x:f>IF(AS204&gt;0,MAX(AS204,AJ204),0)</x:f>
        <x:v>2</x:v>
      </x:c>
      <x:c r="G204" s="20" t="str">
        <x:f>IF(J204="Рассчитано",V204*(1-R204/100)-W204-P204-Q204,"н/д")</x:f>
        <x:v>н/д</x:v>
      </x:c>
      <x:c r="H204" s="12" t="str">
        <x:v>Высокий</x:v>
      </x:c>
      <x:c r="I204" s="12" t="str">
        <x:v>Высокий</x:v>
      </x:c>
      <x:c r="J204" s="12" t="str">
        <x:f>IF(L204="","Укажите валюту",IF(NOT(ISNUMBER(K204)),"Укажите объём",IF(K204&lt;=0,"Укажите объём",IF(COUNT(M204:O204)&lt;3,"Нужны цены",IF(COUNT(P204:R204)&lt;3,"Нужны расходы",IF(OR(M204&lt;0,N204&lt;0,O204&lt;0,O204&gt;100,P204&lt;0,Q204&lt;0,R204&lt;0,R204&gt;100),"Проверьте значения","Рассчитано"))))))</x:f>
        <x:v>Нужны цены</x:v>
      </x:c>
      <x:c r="K204" s="36" t="n">
        <x:v>2</x:v>
      </x:c>
      <x:c r="L204" s="19" t="str">
        <x:v>KZT</x:v>
      </x:c>
      <x:c r="M204" s="22"/>
      <x:c r="N204" s="22"/>
      <x:c r="O204" s="28"/>
      <x:c r="P204" s="22"/>
      <x:c r="Q204" s="22"/>
      <x:c r="R204" s="28"/>
      <x:c r="S204" s="22"/>
      <x:c r="T204" s="35" t="n">
        <x:f>MIN(K204,AT204)</x:f>
        <x:v>1.225271546462845</x:v>
      </x:c>
      <x:c r="U204" s="20" t="str">
        <x:f>IF(J204="Рассчитано",N204*(1-O204/100),"н/д")</x:f>
        <x:v>н/д</x:v>
      </x:c>
      <x:c r="V204" s="20" t="str">
        <x:f>IF(J204="Рассчитано",T204*U204,"н/д")</x:f>
        <x:v>н/д</x:v>
      </x:c>
      <x:c r="W204" s="20" t="str">
        <x:f>IF(J204="Рассчитано",T204*M204,"н/д")</x:f>
        <x:v>н/д</x:v>
      </x:c>
      <x:c r="X204" s="20" t="str">
        <x:f>IF(J204="Рассчитано",V204-W204,"н/д")</x:f>
        <x:v>н/д</x:v>
      </x:c>
      <x:c r="Y204" s="26" t="str">
        <x:f>IF(J204="Рассчитано",IF(V204&gt;0,G204/V204,"н/д"),"н/д")</x:f>
        <x:v>н/д</x:v>
      </x:c>
      <x:c r="Z204" s="20" t="str">
        <x:f>IF(J204="Рассчитано",K204*M204,"н/д")</x:f>
        <x:v>н/д</x:v>
      </x:c>
      <x:c r="AA204" s="20" t="str">
        <x:f>IF(J204="Рассчитано",(K204-T204)*M204,"н/д")</x:f>
        <x:v>н/д</x:v>
      </x:c>
      <x:c r="AB204" s="20" t="str">
        <x:f>IF(AND(J204="Рассчитано",ISNUMBER(S204)),K204*(S204-M204),"н/д")</x:f>
        <x:v>н/д</x:v>
      </x:c>
      <x:c r="AC204" s="20" t="str">
        <x:f>IF(AND(J204="Рассчитано",T204&gt;0,R204&lt;100),(W204+P204+Q204)/(T204*(1-R204/100)),"н/д")</x:f>
        <x:v>н/д</x:v>
      </x:c>
      <x:c r="AD204" s="11" t="str">
        <x:f>IF(ISNUMBER(G204),IF(G204&lt;0,"Убыток",IF(G204=0,"Без прибыли","Прибыль &gt; 0")),"Не оценён")</x:f>
        <x:v>Не оценён</x:v>
      </x:c>
      <x:c r="AE204" s="12" t="str">
        <x:f>IF(J204="Рассчитано","Выручка "&amp;TEXT(V204,"0.00")&amp;" - себестоимость "&amp;TEXT(W204,"0.00")&amp;" - комиссия "&amp;TEXT(V204*R204/100,"0.00")&amp;" - доставка "&amp;TEXT(P204,"0.00")&amp;" - прочие "&amp;TEXT(Q204,"0.00")&amp;" = "&amp;TEXT(G204,"0.00")&amp;" "&amp;L204,"Введите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4" s="23" t="n">
        <x:v>2.225271546462845</x:v>
      </x:c>
      <x:c r="AG204" s="35" t="n">
        <x:v>1</x:v>
      </x:c>
      <x:c r="AH204" s="35" t="n">
        <x:v>0</x:v>
      </x:c>
      <x:c r="AI204" s="29" t="n">
        <x:v>46266</x:v>
      </x:c>
      <x:c r="AJ204" s="35" t="n">
        <x:v>1</x:v>
      </x:c>
      <x:c r="AK204" s="11" t="str">
        <x:v>минимум</x:v>
      </x:c>
      <x:c r="AL204" s="31" t="n">
        <x:v>13.481500739847304</x:v>
      </x:c>
      <x:c r="AM204" s="12" t="str">
        <x:v>Остаток на начало сентября; Резервы неизвестны; Нет ежедневных данных доступности. Запаса примерно на 13.5 дн. без поступлений</x:v>
      </x:c>
      <x:c r="AN204" s="12" t="str">
        <x:v>Подтвердить наличие, срок и цену закупки</x:v>
      </x:c>
      <x:c r="AO204" s="12" t="str">
        <x:v>Прогноз 30 дней 2.23; остаток 1; поступления в срок 0; нехватка 2; заказ с учётом MOQ 2 шт. Остаток на начало сентября: требуется актуализация.</x:v>
      </x:c>
      <x:c r="AP204" s="12" t="str">
        <x:v>["category_missing", "daily_stockout_data_missing", "new_order_lead_time_unknown", "reservations_unknown", "stale_stock"]</x:v>
      </x:c>
      <x:c r="AQ204" s="11" t="str">
        <x:v>IEK:251000053_</x:v>
      </x:c>
      <x:c r="AR204" s="23" t="n">
        <x:v>1</x:v>
      </x:c>
      <x:c r="AS204" s="23" t="n">
        <x:f>MAX(0,ROUNDUP(MAX(0,AF204-AG204-AH204)/AR204-0.000000001,0)*AR204)</x:f>
        <x:v>2</x:v>
      </x:c>
      <x:c r="AT204" s="23" t="n">
        <x:v>1.225271546462845</x:v>
      </x:c>
    </x:row>
    <x:row r="205" ht="64" customHeight="1">
      <x:c r="A205" s="10" t="str">
        <x:v>IEK</x:v>
      </x:c>
      <x:c r="B205" s="34" t="str">
        <x:v>251400023_</x:v>
      </x:c>
      <x:c r="C205" s="34" t="str">
        <x:v>TF5-KP72-N-12-65-K03-K02</x:v>
      </x:c>
      <x:c r="D205" s="13" t="str">
        <x:v>КМПн-12  черн. прозр. дверь IP65 TEKFOR IEK</x:v>
      </x:c>
      <x:c r="E205" s="10" t="str">
        <x:v>шт</x:v>
      </x:c>
      <x:c r="F205" s="37" t="n">
        <x:f>AS205</x:f>
        <x:v>3</x:v>
      </x:c>
      <x:c r="G205" s="21" t="str">
        <x:f>IF(J205="Рассчитано",V205*(1-R205/100)-W205-P205-Q205,"н/д")</x:f>
        <x:v>н/д</x:v>
      </x:c>
      <x:c r="H205" s="13" t="str">
        <x:v>Высокий</x:v>
      </x:c>
      <x:c r="I205" s="13" t="str">
        <x:v>Высокий</x:v>
      </x:c>
      <x:c r="J205" s="13" t="str">
        <x:f>IF(L205="","Укажите валюту",IF(NOT(ISNUMBER(K205)),"Укажите объём",IF(K205&lt;=0,"Укажите объём",IF(COUNT(M205:O205)&lt;3,"Нужны цены",IF(COUNT(P205:R205)&lt;3,"Нужны расходы",IF(OR(M205&lt;0,N205&lt;0,O205&lt;0,O205&gt;100,P205&lt;0,Q205&lt;0,R205&lt;0,R205&gt;100),"Проверьте значения","Рассчитано"))))))</x:f>
        <x:v>Нужны цены</x:v>
      </x:c>
      <x:c r="K205" s="36" t="n">
        <x:v>3</x:v>
      </x:c>
      <x:c r="L205" s="19" t="str">
        <x:v>KZT</x:v>
      </x:c>
      <x:c r="M205" s="22"/>
      <x:c r="N205" s="22"/>
      <x:c r="O205" s="28"/>
      <x:c r="P205" s="22"/>
      <x:c r="Q205" s="22"/>
      <x:c r="R205" s="28"/>
      <x:c r="S205" s="22"/>
      <x:c r="T205" s="37" t="n">
        <x:f>MIN(K205,AT205)</x:f>
        <x:v>2.855860768136142</x:v>
      </x:c>
      <x:c r="U205" s="21" t="str">
        <x:f>IF(J205="Рассчитано",N205*(1-O205/100),"н/д")</x:f>
        <x:v>н/д</x:v>
      </x:c>
      <x:c r="V205" s="21" t="str">
        <x:f>IF(J205="Рассчитано",T205*U205,"н/д")</x:f>
        <x:v>н/д</x:v>
      </x:c>
      <x:c r="W205" s="21" t="str">
        <x:f>IF(J205="Рассчитано",T205*M205,"н/д")</x:f>
        <x:v>н/д</x:v>
      </x:c>
      <x:c r="X205" s="21" t="str">
        <x:f>IF(J205="Рассчитано",V205-W205,"н/д")</x:f>
        <x:v>н/д</x:v>
      </x:c>
      <x:c r="Y205" s="27" t="str">
        <x:f>IF(J205="Рассчитано",IF(V205&gt;0,G205/V205,"н/д"),"н/д")</x:f>
        <x:v>н/д</x:v>
      </x:c>
      <x:c r="Z205" s="21" t="str">
        <x:f>IF(J205="Рассчитано",K205*M205,"н/д")</x:f>
        <x:v>н/д</x:v>
      </x:c>
      <x:c r="AA205" s="21" t="str">
        <x:f>IF(J205="Рассчитано",(K205-T205)*M205,"н/д")</x:f>
        <x:v>н/д</x:v>
      </x:c>
      <x:c r="AB205" s="21" t="str">
        <x:f>IF(AND(J205="Рассчитано",ISNUMBER(S205)),K205*(S205-M205),"н/д")</x:f>
        <x:v>н/д</x:v>
      </x:c>
      <x:c r="AC205" s="21" t="str">
        <x:f>IF(AND(J205="Рассчитано",T205&gt;0,R205&lt;100),(W205+P205+Q205)/(T205*(1-R205/100)),"н/д")</x:f>
        <x:v>н/д</x:v>
      </x:c>
      <x:c r="AD205" s="10" t="str">
        <x:f>IF(ISNUMBER(G205),IF(G205&lt;0,"Убыток",IF(G205=0,"Без прибыли","Прибыль &gt; 0")),"Не оценён")</x:f>
        <x:v>Не оценён</x:v>
      </x:c>
      <x:c r="AE205" s="13" t="str">
        <x:f>IF(J205="Рассчитано","Выручка "&amp;TEXT(V205,"0.00")&amp;" - себестоимость "&amp;TEXT(W205,"0.00")&amp;" - комиссия "&amp;TEXT(V205*R205/100,"0.00")&amp;" - доставка "&amp;TEXT(P205,"0.00")&amp;" - прочие "&amp;TEXT(Q205,"0.00")&amp;" = "&amp;TEXT(G205,"0.00")&amp;" "&amp;L205,"Введите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5" s="24" t="n">
        <x:v>3.855860768136142</x:v>
      </x:c>
      <x:c r="AG205" s="37" t="n">
        <x:v>1</x:v>
      </x:c>
      <x:c r="AH205" s="37" t="n">
        <x:v>0</x:v>
      </x:c>
      <x:c r="AI205" s="30" t="n">
        <x:v>46266</x:v>
      </x:c>
      <x:c r="AJ205" s="37"/>
      <x:c r="AK205" s="10" t="str">
        <x:v>неизвестно</x:v>
      </x:c>
      <x:c r="AL205" s="32" t="n">
        <x:v>7.780363919753641</x:v>
      </x:c>
      <x:c r="AM205" s="13" t="str">
        <x:v>Остаток на начало сентября; Резервы неизвестны; Нет ежедневных данных доступности. Запаса примерно на 7.8 дн. без поступлений</x:v>
      </x:c>
      <x:c r="AN205" s="13" t="str">
        <x:v>Подтвердить наличие, срок и цену закупки</x:v>
      </x:c>
      <x:c r="AO205" s="13" t="str">
        <x:v>Прогноз 30 дней 3.86; остаток 1; поступления в срок 0; нехватка 3; заказ с учётом MOQ 3 шт. Остаток на начало сентября: требуется актуализация.</x:v>
      </x:c>
      <x:c r="AP205" s="13" t="str">
        <x:v>["category_missing", "daily_stockout_data_missing", "moq_missing", "new_order_lead_time_unknown", "reservations_unknown", "stale_stock"]</x:v>
      </x:c>
      <x:c r="AQ205" s="10" t="str">
        <x:v>IEK:251400023_</x:v>
      </x:c>
      <x:c r="AR205" s="24" t="n">
        <x:v>1</x:v>
      </x:c>
      <x:c r="AS205" s="24" t="n">
        <x:f>MAX(0,ROUNDUP(MAX(0,AF205-AG205-AH205)/AR205-0.000000001,0)*AR205)</x:f>
        <x:v>3</x:v>
      </x:c>
      <x:c r="AT205" s="24" t="n">
        <x:v>2.855860768136142</x:v>
      </x:c>
    </x:row>
    <x:row r="206" ht="64" customHeight="1">
      <x:c r="A206" s="11" t="str">
        <x:v>IEK</x:v>
      </x:c>
      <x:c r="B206" s="33" t="str">
        <x:v>251400032_</x:v>
      </x:c>
      <x:c r="C206" s="33" t="str">
        <x:v>TF5-KP13-N-12-41-K01-K01</x:v>
      </x:c>
      <x:c r="D206" s="12" t="str">
        <x:v>ЩРН-П 12 бел. дверь IP41 TEKFOR IEK</x:v>
      </x:c>
      <x:c r="E206" s="11" t="str">
        <x:v>шт</x:v>
      </x:c>
      <x:c r="F206" s="35" t="n">
        <x:f>IF(AS206&gt;0,MAX(AS206,AJ206),0)</x:f>
        <x:v>2</x:v>
      </x:c>
      <x:c r="G206" s="20" t="str">
        <x:f>IF(J206="Рассчитано",V206*(1-R206/100)-W206-P206-Q206,"н/д")</x:f>
        <x:v>н/д</x:v>
      </x:c>
      <x:c r="H206" s="12" t="str">
        <x:v>Высокий</x:v>
      </x:c>
      <x:c r="I206" s="12" t="str">
        <x:v>Средний</x:v>
      </x:c>
      <x:c r="J206" s="12" t="str">
        <x:f>IF(L206="","Укажите валюту",IF(NOT(ISNUMBER(K206)),"Укажите объём",IF(K206&lt;=0,"Укажите объём",IF(COUNT(M206:O206)&lt;3,"Нужны цены",IF(COUNT(P206:R206)&lt;3,"Нужны расходы",IF(OR(M206&lt;0,N206&lt;0,O206&lt;0,O206&gt;100,P206&lt;0,Q206&lt;0,R206&lt;0,R206&gt;100),"Проверьте значения","Рассчитано"))))))</x:f>
        <x:v>Нужны цены</x:v>
      </x:c>
      <x:c r="K206" s="36" t="n">
        <x:v>2</x:v>
      </x:c>
      <x:c r="L206" s="19" t="str">
        <x:v>KZT</x:v>
      </x:c>
      <x:c r="M206" s="22"/>
      <x:c r="N206" s="22"/>
      <x:c r="O206" s="28"/>
      <x:c r="P206" s="22"/>
      <x:c r="Q206" s="22"/>
      <x:c r="R206" s="28"/>
      <x:c r="S206" s="22"/>
      <x:c r="T206" s="35" t="n">
        <x:f>MIN(K206,AT206)</x:f>
        <x:v>1.5717085887076259</x:v>
      </x:c>
      <x:c r="U206" s="20" t="str">
        <x:f>IF(J206="Рассчитано",N206*(1-O206/100),"н/д")</x:f>
        <x:v>н/д</x:v>
      </x:c>
      <x:c r="V206" s="20" t="str">
        <x:f>IF(J206="Рассчитано",T206*U206,"н/д")</x:f>
        <x:v>н/д</x:v>
      </x:c>
      <x:c r="W206" s="20" t="str">
        <x:f>IF(J206="Рассчитано",T206*M206,"н/д")</x:f>
        <x:v>н/д</x:v>
      </x:c>
      <x:c r="X206" s="20" t="str">
        <x:f>IF(J206="Рассчитано",V206-W206,"н/д")</x:f>
        <x:v>н/д</x:v>
      </x:c>
      <x:c r="Y206" s="26" t="str">
        <x:f>IF(J206="Рассчитано",IF(V206&gt;0,G206/V206,"н/д"),"н/д")</x:f>
        <x:v>н/д</x:v>
      </x:c>
      <x:c r="Z206" s="20" t="str">
        <x:f>IF(J206="Рассчитано",K206*M206,"н/д")</x:f>
        <x:v>н/д</x:v>
      </x:c>
      <x:c r="AA206" s="20" t="str">
        <x:f>IF(J206="Рассчитано",(K206-T206)*M206,"н/д")</x:f>
        <x:v>н/д</x:v>
      </x:c>
      <x:c r="AB206" s="20" t="str">
        <x:f>IF(AND(J206="Рассчитано",ISNUMBER(S206)),K206*(S206-M206),"н/д")</x:f>
        <x:v>н/д</x:v>
      </x:c>
      <x:c r="AC206" s="20" t="str">
        <x:f>IF(AND(J206="Рассчитано",T206&gt;0,R206&lt;100),(W206+P206+Q206)/(T206*(1-R206/100)),"н/д")</x:f>
        <x:v>н/д</x:v>
      </x:c>
      <x:c r="AD206" s="11" t="str">
        <x:f>IF(ISNUMBER(G206),IF(G206&lt;0,"Убыток",IF(G206=0,"Без прибыли","Прибыль &gt; 0")),"Не оценён")</x:f>
        <x:v>Не оценён</x:v>
      </x:c>
      <x:c r="AE206" s="12" t="str">
        <x:f>IF(J206="Рассчитано","Выручка "&amp;TEXT(V206,"0.00")&amp;" - себестоимость "&amp;TEXT(W206,"0.00")&amp;" - комиссия "&amp;TEXT(V206*R206/100,"0.00")&amp;" - доставка "&amp;TEXT(P206,"0.00")&amp;" - прочие "&amp;TEXT(Q206,"0.00")&amp;" = "&amp;TEXT(G206,"0.00")&amp;" "&amp;L206,"Введите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6" s="23" t="n">
        <x:v>5.571708588707626</x:v>
      </x:c>
      <x:c r="AG206" s="35" t="n">
        <x:v>4</x:v>
      </x:c>
      <x:c r="AH206" s="35" t="n">
        <x:v>0</x:v>
      </x:c>
      <x:c r="AI206" s="29" t="n">
        <x:v>46266</x:v>
      </x:c>
      <x:c r="AJ206" s="35" t="n">
        <x:v>1</x:v>
      </x:c>
      <x:c r="AK206" s="11" t="str">
        <x:v>минимум</x:v>
      </x:c>
      <x:c r="AL206" s="31" t="n">
        <x:v>21.537379080307275</x:v>
      </x:c>
      <x:c r="AM206" s="12" t="str">
        <x:v>Остаток на начало сентября; Резервы неизвестны; Нет ежедневных данных доступности. Запаса примерно на 21.5 дн. без поступлений</x:v>
      </x:c>
      <x:c r="AN206" s="12" t="str">
        <x:v>Подтвердить наличие, срок и цену закупки</x:v>
      </x:c>
      <x:c r="AO206" s="12" t="str">
        <x:v>Прогноз 30 дней 5.57; остаток 4; поступления в срок 0; нехватка 2; заказ с учётом MOQ 2 шт. Остаток на начало сентября: требуется актуализация.</x:v>
      </x:c>
      <x:c r="AP206" s="12" t="str">
        <x:v>["category_missing", "daily_stockout_data_missing", "large_orders_detected", "new_order_lead_time_unknown", "reservations_unknown", "stale_stock"]</x:v>
      </x:c>
      <x:c r="AQ206" s="11" t="str">
        <x:v>IEK:251400032_</x:v>
      </x:c>
      <x:c r="AR206" s="23" t="n">
        <x:v>1</x:v>
      </x:c>
      <x:c r="AS206" s="23" t="n">
        <x:f>MAX(0,ROUNDUP(MAX(0,AF206-AG206-AH206)/AR206-0.000000001,0)*AR206)</x:f>
        <x:v>2</x:v>
      </x:c>
      <x:c r="AT206" s="23" t="n">
        <x:v>1.5717085887076259</x:v>
      </x:c>
    </x:row>
    <x:row r="207" ht="64" customHeight="1">
      <x:c r="A207" s="10" t="str">
        <x:v>IEK</x:v>
      </x:c>
      <x:c r="B207" s="34" t="str">
        <x:v>251400052_</x:v>
      </x:c>
      <x:c r="C207" s="34" t="str">
        <x:v>UIC-KP12-N-18-41-K01</x:v>
      </x:c>
      <x:c r="D207" s="13" t="str">
        <x:v>ЩРН-П 18  черн. пр. дв. IP41 UNION Compact IEK</x:v>
      </x:c>
      <x:c r="E207" s="10" t="str">
        <x:v>шт</x:v>
      </x:c>
      <x:c r="F207" s="37" t="n">
        <x:f>IF(AS207&gt;0,MAX(AS207,AJ207),0)</x:f>
        <x:v>9</x:v>
      </x:c>
      <x:c r="G207" s="21" t="str">
        <x:f>IF(J207="Рассчитано",V207*(1-R207/100)-W207-P207-Q207,"н/д")</x:f>
        <x:v>н/д</x:v>
      </x:c>
      <x:c r="H207" s="13" t="str">
        <x:v>Высокий</x:v>
      </x:c>
      <x:c r="I207" s="13" t="str">
        <x:v>Критический</x:v>
      </x:c>
      <x:c r="J207" s="13" t="str">
        <x:f>IF(L207="","Укажите валюту",IF(NOT(ISNUMBER(K207)),"Укажите объём",IF(K207&lt;=0,"Укажите объём",IF(COUNT(M207:O207)&lt;3,"Нужны цены",IF(COUNT(P207:R207)&lt;3,"Нужны расходы",IF(OR(M207&lt;0,N207&lt;0,O207&lt;0,O207&gt;100,P207&lt;0,Q207&lt;0,R207&lt;0,R207&gt;100),"Проверьте значения","Рассчитано"))))))</x:f>
        <x:v>Нужны цены</x:v>
      </x:c>
      <x:c r="K207" s="36" t="n">
        <x:v>9</x:v>
      </x:c>
      <x:c r="L207" s="19" t="str">
        <x:v>KZT</x:v>
      </x:c>
      <x:c r="M207" s="22"/>
      <x:c r="N207" s="22"/>
      <x:c r="O207" s="28"/>
      <x:c r="P207" s="22"/>
      <x:c r="Q207" s="22"/>
      <x:c r="R207" s="28"/>
      <x:c r="S207" s="22"/>
      <x:c r="T207" s="37" t="n">
        <x:f>MIN(K207,AT207)</x:f>
        <x:v>8.897174321241913</x:v>
      </x:c>
      <x:c r="U207" s="21" t="str">
        <x:f>IF(J207="Рассчитано",N207*(1-O207/100),"н/д")</x:f>
        <x:v>н/д</x:v>
      </x:c>
      <x:c r="V207" s="21" t="str">
        <x:f>IF(J207="Рассчитано",T207*U207,"н/д")</x:f>
        <x:v>н/д</x:v>
      </x:c>
      <x:c r="W207" s="21" t="str">
        <x:f>IF(J207="Рассчитано",T207*M207,"н/д")</x:f>
        <x:v>н/д</x:v>
      </x:c>
      <x:c r="X207" s="21" t="str">
        <x:f>IF(J207="Рассчитано",V207-W207,"н/д")</x:f>
        <x:v>н/д</x:v>
      </x:c>
      <x:c r="Y207" s="27" t="str">
        <x:f>IF(J207="Рассчитано",IF(V207&gt;0,G207/V207,"н/д"),"н/д")</x:f>
        <x:v>н/д</x:v>
      </x:c>
      <x:c r="Z207" s="21" t="str">
        <x:f>IF(J207="Рассчитано",K207*M207,"н/д")</x:f>
        <x:v>н/д</x:v>
      </x:c>
      <x:c r="AA207" s="21" t="str">
        <x:f>IF(J207="Рассчитано",(K207-T207)*M207,"н/д")</x:f>
        <x:v>н/д</x:v>
      </x:c>
      <x:c r="AB207" s="21" t="str">
        <x:f>IF(AND(J207="Рассчитано",ISNUMBER(S207)),K207*(S207-M207),"н/д")</x:f>
        <x:v>н/д</x:v>
      </x:c>
      <x:c r="AC207" s="21" t="str">
        <x:f>IF(AND(J207="Рассчитано",T207&gt;0,R207&lt;100),(W207+P207+Q207)/(T207*(1-R207/100)),"н/д")</x:f>
        <x:v>н/д</x:v>
      </x:c>
      <x:c r="AD207" s="10" t="str">
        <x:f>IF(ISNUMBER(G207),IF(G207&lt;0,"Убыток",IF(G207=0,"Без прибыли","Прибыль &gt; 0")),"Не оценён")</x:f>
        <x:v>Не оценён</x:v>
      </x:c>
      <x:c r="AE207" s="13" t="str">
        <x:f>IF(J207="Рассчитано","Выручка "&amp;TEXT(V207,"0.00")&amp;" - себестоимость "&amp;TEXT(W207,"0.00")&amp;" - комиссия "&amp;TEXT(V207*R207/100,"0.00")&amp;" - доставка "&amp;TEXT(P207,"0.00")&amp;" - прочие "&amp;TEXT(Q207,"0.00")&amp;" = "&amp;TEXT(G207,"0.00")&amp;" "&amp;L207,"Введите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7" s="24" t="n">
        <x:v>8.897174321241913</x:v>
      </x:c>
      <x:c r="AG207" s="37" t="n">
        <x:v>0</x:v>
      </x:c>
      <x:c r="AH207" s="37" t="n">
        <x:v>0</x:v>
      </x:c>
      <x:c r="AI207" s="30" t="n">
        <x:v>46266</x:v>
      </x:c>
      <x:c r="AJ207" s="37" t="n">
        <x:v>4</x:v>
      </x:c>
      <x:c r="AK207" s="10" t="str">
        <x:v>минимум</x:v>
      </x:c>
      <x:c r="AL207" s="32" t="n">
        <x:v>0</x:v>
      </x:c>
      <x:c r="AM207" s="13" t="str">
        <x:v>Остаток на начало сентября; Резервы неизвестны; Нет ежедневных данных доступности. Нет запаса</x:v>
      </x:c>
      <x:c r="AN207" s="13" t="str">
        <x:v>Подтвердить наличие, срок и цену закупки</x:v>
      </x:c>
      <x:c r="AO207" s="13" t="str">
        <x:v>Прогноз 30 дней 8.90; остаток 0; поступления в срок 0; нехватка 9; заказ с учётом MOQ 9 шт. Остаток на начало сентября: требуется актуализация.</x:v>
      </x:c>
      <x:c r="AP207" s="13" t="str">
        <x:v>["blank_stock_assumed_zero", "category_missing", "daily_stockout_data_missing", "large_orders_detected", "new_order_lead_time_unknown", "reservations_unknown", "stale_stock"]</x:v>
      </x:c>
      <x:c r="AQ207" s="10" t="str">
        <x:v>IEK:251400052_</x:v>
      </x:c>
      <x:c r="AR207" s="24" t="n">
        <x:v>1</x:v>
      </x:c>
      <x:c r="AS207" s="24" t="n">
        <x:f>MAX(0,ROUNDUP(MAX(0,AF207-AG207-AH207)/AR207-0.000000001,0)*AR207)</x:f>
        <x:v>9</x:v>
      </x:c>
      <x:c r="AT207" s="24" t="n">
        <x:v>8.897174321241913</x:v>
      </x:c>
    </x:row>
    <x:row r="208" ht="64" customHeight="1">
      <x:c r="A208" s="11" t="str">
        <x:v>IEK</x:v>
      </x:c>
      <x:c r="B208" s="33" t="str">
        <x:v>251400061_</x:v>
      </x:c>
      <x:c r="C208" s="33" t="str">
        <x:v>UIC-KP13-N-18-41-K01</x:v>
      </x:c>
      <x:c r="D208" s="12" t="str">
        <x:v>ЩРН-П 18  бел. дв. IP41 UNION Compact IEK</x:v>
      </x:c>
      <x:c r="E208" s="11" t="str">
        <x:v>шт</x:v>
      </x:c>
      <x:c r="F208" s="35" t="n">
        <x:f>IF(AS208&gt;0,MAX(AS208,AJ208),0)</x:f>
        <x:v>4</x:v>
      </x:c>
      <x:c r="G208" s="20" t="str">
        <x:f>IF(J208="Рассчитано",V208*(1-R208/100)-W208-P208-Q208,"н/д")</x:f>
        <x:v>н/д</x:v>
      </x:c>
      <x:c r="H208" s="12" t="str">
        <x:v>Высокий</x:v>
      </x:c>
      <x:c r="I208" s="12" t="str">
        <x:v>Критический</x:v>
      </x:c>
      <x:c r="J208" s="12" t="str">
        <x:f>IF(L208="","Укажите валюту",IF(NOT(ISNUMBER(K208)),"Укажите объём",IF(K208&lt;=0,"Укажите объём",IF(COUNT(M208:O208)&lt;3,"Нужны цены",IF(COUNT(P208:R208)&lt;3,"Нужны расходы",IF(OR(M208&lt;0,N208&lt;0,O208&lt;0,O208&gt;100,P208&lt;0,Q208&lt;0,R208&lt;0,R208&gt;100),"Проверьте значения","Рассчитано"))))))</x:f>
        <x:v>Нужны цены</x:v>
      </x:c>
      <x:c r="K208" s="36" t="n">
        <x:v>4</x:v>
      </x:c>
      <x:c r="L208" s="19" t="str">
        <x:v>KZT</x:v>
      </x:c>
      <x:c r="M208" s="22"/>
      <x:c r="N208" s="22"/>
      <x:c r="O208" s="28"/>
      <x:c r="P208" s="22"/>
      <x:c r="Q208" s="22"/>
      <x:c r="R208" s="28"/>
      <x:c r="S208" s="22"/>
      <x:c r="T208" s="35" t="n">
        <x:f>MIN(K208,AT208)</x:f>
        <x:v>0.27915687288334073</x:v>
      </x:c>
      <x:c r="U208" s="20" t="str">
        <x:f>IF(J208="Рассчитано",N208*(1-O208/100),"н/д")</x:f>
        <x:v>н/д</x:v>
      </x:c>
      <x:c r="V208" s="20" t="str">
        <x:f>IF(J208="Рассчитано",T208*U208,"н/д")</x:f>
        <x:v>н/д</x:v>
      </x:c>
      <x:c r="W208" s="20" t="str">
        <x:f>IF(J208="Рассчитано",T208*M208,"н/д")</x:f>
        <x:v>н/д</x:v>
      </x:c>
      <x:c r="X208" s="20" t="str">
        <x:f>IF(J208="Рассчитано",V208-W208,"н/д")</x:f>
        <x:v>н/д</x:v>
      </x:c>
      <x:c r="Y208" s="26" t="str">
        <x:f>IF(J208="Рассчитано",IF(V208&gt;0,G208/V208,"н/д"),"н/д")</x:f>
        <x:v>н/д</x:v>
      </x:c>
      <x:c r="Z208" s="20" t="str">
        <x:f>IF(J208="Рассчитано",K208*M208,"н/д")</x:f>
        <x:v>н/д</x:v>
      </x:c>
      <x:c r="AA208" s="20" t="str">
        <x:f>IF(J208="Рассчитано",(K208-T208)*M208,"н/д")</x:f>
        <x:v>н/д</x:v>
      </x:c>
      <x:c r="AB208" s="20" t="str">
        <x:f>IF(AND(J208="Рассчитано",ISNUMBER(S208)),K208*(S208-M208),"н/д")</x:f>
        <x:v>н/д</x:v>
      </x:c>
      <x:c r="AC208" s="20" t="str">
        <x:f>IF(AND(J208="Рассчитано",T208&gt;0,R208&lt;100),(W208+P208+Q208)/(T208*(1-R208/100)),"н/д")</x:f>
        <x:v>н/д</x:v>
      </x:c>
      <x:c r="AD208" s="11" t="str">
        <x:f>IF(ISNUMBER(G208),IF(G208&lt;0,"Убыток",IF(G208=0,"Без прибыли","Прибыль &gt; 0")),"Не оценён")</x:f>
        <x:v>Не оценён</x:v>
      </x:c>
      <x:c r="AE208" s="12" t="str">
        <x:f>IF(J208="Рассчитано","Выручка "&amp;TEXT(V208,"0.00")&amp;" - себестоимость "&amp;TEXT(W208,"0.00")&amp;" - комиссия "&amp;TEXT(V208*R208/100,"0.00")&amp;" - доставка "&amp;TEXT(P208,"0.00")&amp;" - прочие "&amp;TEXT(Q208,"0.00")&amp;" = "&amp;TEXT(G208,"0.00")&amp;" "&amp;L208,"Введите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8" s="23" t="n">
        <x:v>0.27915687288334073</x:v>
      </x:c>
      <x:c r="AG208" s="35" t="n">
        <x:v>0</x:v>
      </x:c>
      <x:c r="AH208" s="35" t="n">
        <x:v>0</x:v>
      </x:c>
      <x:c r="AI208" s="29" t="n">
        <x:v>46266</x:v>
      </x:c>
      <x:c r="AJ208" s="35" t="n">
        <x:v>4</x:v>
      </x:c>
      <x:c r="AK208" s="11" t="str">
        <x:v>минимум</x:v>
      </x:c>
      <x:c r="AL208" s="31" t="n">
        <x:v>0</x:v>
      </x:c>
      <x:c r="AM208" s="12" t="str">
        <x:v>Остаток на начало сентября; Резервы неизвестны; Нет ежедневных данных доступности. Нет запаса</x:v>
      </x:c>
      <x:c r="AN208" s="12" t="str">
        <x:v>Подтвердить наличие, срок и цену закупки</x:v>
      </x:c>
      <x:c r="AO208" s="12" t="str">
        <x:v>Прогноз 30 дней 0.28; остаток 0; поступления в срок 0; нехватка 1; заказ с учётом MOQ 4 шт. Остаток на начало сентября: требуется актуализация.</x:v>
      </x:c>
      <x:c r="AP208" s="12" t="str">
        <x:v>["blank_stock_assumed_zero", "category_missing", "daily_stockout_data_missing", "new_order_lead_time_unknown", "reservations_unknown", "stale_stock"]</x:v>
      </x:c>
      <x:c r="AQ208" s="11" t="str">
        <x:v>IEK:251400061_</x:v>
      </x:c>
      <x:c r="AR208" s="23" t="n">
        <x:v>1</x:v>
      </x:c>
      <x:c r="AS208" s="23" t="n">
        <x:f>MAX(0,ROUNDUP(MAX(0,AF208-AG208-AH208)/AR208-0.000000001,0)*AR208)</x:f>
        <x:v>1</x:v>
      </x:c>
      <x:c r="AT208" s="23" t="n">
        <x:v>0.27915687288334073</x:v>
      </x:c>
    </x:row>
    <x:row r="209" ht="64" customHeight="1">
      <x:c r="A209" s="10" t="str">
        <x:v>IEK</x:v>
      </x:c>
      <x:c r="B209" s="34" t="str">
        <x:v>251400085_</x:v>
      </x:c>
      <x:c r="C209" s="34" t="str">
        <x:v>TI5-50-V-2X072-31-7035</x:v>
      </x:c>
      <x:c r="D209" s="13" t="str">
        <x:v>ЩРВ 144 (2х72мод) 1005х625х130 IP31 TITAN 5 IEK</x:v>
      </x:c>
      <x:c r="E209" s="10" t="str">
        <x:v>шт</x:v>
      </x:c>
      <x:c r="F209" s="37" t="n">
        <x:f>IF(AS209&gt;0,MAX(AS209,AJ209),0)</x:f>
        <x:v>1</x:v>
      </x:c>
      <x:c r="G209" s="21" t="str">
        <x:f>IF(J209="Рассчитано",V209*(1-R209/100)-W209-P209-Q209,"н/д")</x:f>
        <x:v>н/д</x:v>
      </x:c>
      <x:c r="H209" s="13" t="str">
        <x:v>Высокий</x:v>
      </x:c>
      <x:c r="I209" s="13" t="str">
        <x:v>Критический</x:v>
      </x:c>
      <x:c r="J209" s="13" t="str">
        <x:f>IF(L209="","Укажите валюту",IF(NOT(ISNUMBER(K209)),"Укажите объём",IF(K209&lt;=0,"Укажите объём",IF(COUNT(M209:O209)&lt;3,"Нужны цены",IF(COUNT(P209:R209)&lt;3,"Нужны расходы",IF(OR(M209&lt;0,N209&lt;0,O209&lt;0,O209&gt;100,P209&lt;0,Q209&lt;0,R209&lt;0,R209&gt;100),"Проверьте значения","Рассчитано"))))))</x:f>
        <x:v>Нужны цены</x:v>
      </x:c>
      <x:c r="K209" s="36" t="n">
        <x:v>1</x:v>
      </x:c>
      <x:c r="L209" s="19" t="str">
        <x:v>KZT</x:v>
      </x:c>
      <x:c r="M209" s="22"/>
      <x:c r="N209" s="22"/>
      <x:c r="O209" s="28"/>
      <x:c r="P209" s="22"/>
      <x:c r="Q209" s="22"/>
      <x:c r="R209" s="28"/>
      <x:c r="S209" s="22"/>
      <x:c r="T209" s="37" t="n">
        <x:f>MIN(K209,AT209)</x:f>
        <x:v>0.7963419954424107</x:v>
      </x:c>
      <x:c r="U209" s="21" t="str">
        <x:f>IF(J209="Рассчитано",N209*(1-O209/100),"н/д")</x:f>
        <x:v>н/д</x:v>
      </x:c>
      <x:c r="V209" s="21" t="str">
        <x:f>IF(J209="Рассчитано",T209*U209,"н/д")</x:f>
        <x:v>н/д</x:v>
      </x:c>
      <x:c r="W209" s="21" t="str">
        <x:f>IF(J209="Рассчитано",T209*M209,"н/д")</x:f>
        <x:v>н/д</x:v>
      </x:c>
      <x:c r="X209" s="21" t="str">
        <x:f>IF(J209="Рассчитано",V209-W209,"н/д")</x:f>
        <x:v>н/д</x:v>
      </x:c>
      <x:c r="Y209" s="27" t="str">
        <x:f>IF(J209="Рассчитано",IF(V209&gt;0,G209/V209,"н/д"),"н/д")</x:f>
        <x:v>н/д</x:v>
      </x:c>
      <x:c r="Z209" s="21" t="str">
        <x:f>IF(J209="Рассчитано",K209*M209,"н/д")</x:f>
        <x:v>н/д</x:v>
      </x:c>
      <x:c r="AA209" s="21" t="str">
        <x:f>IF(J209="Рассчитано",(K209-T209)*M209,"н/д")</x:f>
        <x:v>н/д</x:v>
      </x:c>
      <x:c r="AB209" s="21" t="str">
        <x:f>IF(AND(J209="Рассчитано",ISNUMBER(S209)),K209*(S209-M209),"н/д")</x:f>
        <x:v>н/д</x:v>
      </x:c>
      <x:c r="AC209" s="21" t="str">
        <x:f>IF(AND(J209="Рассчитано",T209&gt;0,R209&lt;100),(W209+P209+Q209)/(T209*(1-R209/100)),"н/д")</x:f>
        <x:v>н/д</x:v>
      </x:c>
      <x:c r="AD209" s="10" t="str">
        <x:f>IF(ISNUMBER(G209),IF(G209&lt;0,"Убыток",IF(G209=0,"Без прибыли","Прибыль &gt; 0")),"Не оценён")</x:f>
        <x:v>Не оценён</x:v>
      </x:c>
      <x:c r="AE209" s="13" t="str">
        <x:f>IF(J209="Рассчитано","Выручка "&amp;TEXT(V209,"0.00")&amp;" - себестоимость "&amp;TEXT(W209,"0.00")&amp;" - комиссия "&amp;TEXT(V209*R209/100,"0.00")&amp;" - доставка "&amp;TEXT(P209,"0.00")&amp;" - прочие "&amp;TEXT(Q209,"0.00")&amp;" = "&amp;TEXT(G209,"0.00")&amp;" "&amp;L209,"Введите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09" s="24" t="n">
        <x:v>0.7963419954424107</x:v>
      </x:c>
      <x:c r="AG209" s="37" t="n">
        <x:v>0</x:v>
      </x:c>
      <x:c r="AH209" s="37" t="n">
        <x:v>0</x:v>
      </x:c>
      <x:c r="AI209" s="30" t="n">
        <x:v>46266</x:v>
      </x:c>
      <x:c r="AJ209" s="37" t="n">
        <x:v>1</x:v>
      </x:c>
      <x:c r="AK209" s="10" t="str">
        <x:v>минимум</x:v>
      </x:c>
      <x:c r="AL209" s="32" t="n">
        <x:v>0</x:v>
      </x:c>
      <x:c r="AM209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09" s="13" t="str">
        <x:v>Подтвердить наличие, срок и цену закупки</x:v>
      </x:c>
      <x:c r="AO209" s="13" t="str">
        <x:v>Прогноз 30 дней 0.80; остаток 0; поступления в срок 0; нехватка 1; заказ с учётом MOQ 1 шт. Остаток на начало сентября: требуется актуализация.</x:v>
      </x:c>
      <x:c r="AP209" s="13" t="str">
        <x:v>["blank_stock_assumed_zero", "category_missing", "daily_stockout_data_missing", "new_order_lead_time_unknown", "reservations_unknown", "stale_stock", "stockout_proxy_used"]</x:v>
      </x:c>
      <x:c r="AQ209" s="10" t="str">
        <x:v>IEK:251400085_</x:v>
      </x:c>
      <x:c r="AR209" s="24" t="n">
        <x:v>1</x:v>
      </x:c>
      <x:c r="AS209" s="24" t="n">
        <x:f>MAX(0,ROUNDUP(MAX(0,AF209-AG209-AH209)/AR209-0.000000001,0)*AR209)</x:f>
        <x:v>1</x:v>
      </x:c>
      <x:c r="AT209" s="24" t="n">
        <x:v>0.7963419954424107</x:v>
      </x:c>
    </x:row>
    <x:row r="210" ht="64" customHeight="1">
      <x:c r="A210" s="11" t="str">
        <x:v>IEK</x:v>
      </x:c>
      <x:c r="B210" s="33" t="str">
        <x:v>251400109_</x:v>
      </x:c>
      <x:c r="C210" s="33" t="str">
        <x:v>TI5-10-N-050-060-020-66</x:v>
      </x:c>
      <x:c r="D210" s="12" t="str">
        <x:v>ЩМП 50х60х20 IP66  TITAN 5 IEK</x:v>
      </x:c>
      <x:c r="E210" s="11" t="str">
        <x:v>шт</x:v>
      </x:c>
      <x:c r="F210" s="35" t="n">
        <x:f>IF(AS210&gt;0,MAX(AS210,AJ210),0)</x:f>
        <x:v>2</x:v>
      </x:c>
      <x:c r="G210" s="20" t="str">
        <x:f>IF(J210="Рассчитано",V210*(1-R210/100)-W210-P210-Q210,"н/д")</x:f>
        <x:v>н/д</x:v>
      </x:c>
      <x:c r="H210" s="12" t="str">
        <x:v>Высокий</x:v>
      </x:c>
      <x:c r="I210" s="12" t="str">
        <x:v>Критический</x:v>
      </x:c>
      <x:c r="J210" s="12" t="str">
        <x:f>IF(L210="","Укажите валюту",IF(NOT(ISNUMBER(K210)),"Укажите объём",IF(K210&lt;=0,"Укажите объём",IF(COUNT(M210:O210)&lt;3,"Нужны цены",IF(COUNT(P210:R210)&lt;3,"Нужны расходы",IF(OR(M210&lt;0,N210&lt;0,O210&lt;0,O210&gt;100,P210&lt;0,Q210&lt;0,R210&lt;0,R210&gt;100),"Проверьте значения","Рассчитано"))))))</x:f>
        <x:v>Нужны цены</x:v>
      </x:c>
      <x:c r="K210" s="36" t="n">
        <x:v>2</x:v>
      </x:c>
      <x:c r="L210" s="19" t="str">
        <x:v>KZT</x:v>
      </x:c>
      <x:c r="M210" s="22"/>
      <x:c r="N210" s="22"/>
      <x:c r="O210" s="28"/>
      <x:c r="P210" s="22"/>
      <x:c r="Q210" s="22"/>
      <x:c r="R210" s="28"/>
      <x:c r="S210" s="22"/>
      <x:c r="T210" s="35" t="n">
        <x:f>MIN(K210,AT210)</x:f>
        <x:v>1.0431649297409529</x:v>
      </x:c>
      <x:c r="U210" s="20" t="str">
        <x:f>IF(J210="Рассчитано",N210*(1-O210/100),"н/д")</x:f>
        <x:v>н/д</x:v>
      </x:c>
      <x:c r="V210" s="20" t="str">
        <x:f>IF(J210="Рассчитано",T210*U210,"н/д")</x:f>
        <x:v>н/д</x:v>
      </x:c>
      <x:c r="W210" s="20" t="str">
        <x:f>IF(J210="Рассчитано",T210*M210,"н/д")</x:f>
        <x:v>н/д</x:v>
      </x:c>
      <x:c r="X210" s="20" t="str">
        <x:f>IF(J210="Рассчитано",V210-W210,"н/д")</x:f>
        <x:v>н/д</x:v>
      </x:c>
      <x:c r="Y210" s="26" t="str">
        <x:f>IF(J210="Рассчитано",IF(V210&gt;0,G210/V210,"н/д"),"н/д")</x:f>
        <x:v>н/д</x:v>
      </x:c>
      <x:c r="Z210" s="20" t="str">
        <x:f>IF(J210="Рассчитано",K210*M210,"н/д")</x:f>
        <x:v>н/д</x:v>
      </x:c>
      <x:c r="AA210" s="20" t="str">
        <x:f>IF(J210="Рассчитано",(K210-T210)*M210,"н/д")</x:f>
        <x:v>н/д</x:v>
      </x:c>
      <x:c r="AB210" s="20" t="str">
        <x:f>IF(AND(J210="Рассчитано",ISNUMBER(S210)),K210*(S210-M210),"н/д")</x:f>
        <x:v>н/д</x:v>
      </x:c>
      <x:c r="AC210" s="20" t="str">
        <x:f>IF(AND(J210="Рассчитано",T210&gt;0,R210&lt;100),(W210+P210+Q210)/(T210*(1-R210/100)),"н/д")</x:f>
        <x:v>н/д</x:v>
      </x:c>
      <x:c r="AD210" s="11" t="str">
        <x:f>IF(ISNUMBER(G210),IF(G210&lt;0,"Убыток",IF(G210=0,"Без прибыли","Прибыль &gt; 0")),"Не оценён")</x:f>
        <x:v>Не оценён</x:v>
      </x:c>
      <x:c r="AE210" s="12" t="str">
        <x:f>IF(J210="Рассчитано","Выручка "&amp;TEXT(V210,"0.00")&amp;" - себестоимость "&amp;TEXT(W210,"0.00")&amp;" - комиссия "&amp;TEXT(V210*R210/100,"0.00")&amp;" - доставка "&amp;TEXT(P210,"0.00")&amp;" - прочие "&amp;TEXT(Q210,"0.00")&amp;" = "&amp;TEXT(G210,"0.00")&amp;" "&amp;L210,"Введите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0" s="23" t="n">
        <x:v>1.0431649297409529</x:v>
      </x:c>
      <x:c r="AG210" s="35" t="n">
        <x:v>0</x:v>
      </x:c>
      <x:c r="AH210" s="35" t="n">
        <x:v>0</x:v>
      </x:c>
      <x:c r="AI210" s="29" t="n">
        <x:v>46266</x:v>
      </x:c>
      <x:c r="AJ210" s="35" t="n">
        <x:v>1</x:v>
      </x:c>
      <x:c r="AK210" s="11" t="str">
        <x:v>минимум</x:v>
      </x:c>
      <x:c r="AL210" s="31" t="n">
        <x:v>0</x:v>
      </x:c>
      <x:c r="AM210" s="12" t="str">
        <x:v>Остаток на начало сентября; Резервы неизвестны; Нет ежедневных данных доступности. Нет запаса</x:v>
      </x:c>
      <x:c r="AN210" s="12" t="str">
        <x:v>Подтвердить наличие, срок и цену закупки</x:v>
      </x:c>
      <x:c r="AO210" s="12" t="str">
        <x:v>Прогноз 30 дней 1.04; остаток 0; поступления в срок 0; нехватка 2; заказ с учётом MOQ 2 шт. Остаток на начало сентября: требуется актуализация.</x:v>
      </x:c>
      <x:c r="AP210" s="12" t="str">
        <x:v>["blank_stock_assumed_zero", "category_missing", "daily_stockout_data_missing", "new_order_lead_time_unknown", "reservations_unknown", "stale_stock"]</x:v>
      </x:c>
      <x:c r="AQ210" s="11" t="str">
        <x:v>IEK:251400109_</x:v>
      </x:c>
      <x:c r="AR210" s="23" t="n">
        <x:v>1</x:v>
      </x:c>
      <x:c r="AS210" s="23" t="n">
        <x:f>MAX(0,ROUNDUP(MAX(0,AF210-AG210-AH210)/AR210-0.000000001,0)*AR210)</x:f>
        <x:v>2</x:v>
      </x:c>
      <x:c r="AT210" s="23" t="n">
        <x:v>1.0431649297409529</x:v>
      </x:c>
    </x:row>
    <x:row r="211" ht="64" customHeight="1">
      <x:c r="A211" s="10" t="str">
        <x:v>IEK</x:v>
      </x:c>
      <x:c r="B211" s="34" t="str">
        <x:v>251400111_</x:v>
      </x:c>
      <x:c r="C211" s="34" t="str">
        <x:v>TI5-10-N-060-040-020-66</x:v>
      </x:c>
      <x:c r="D211" s="13" t="str">
        <x:v>ЩМП 60х40х20 IP66  TITAN 5 IEK</x:v>
      </x:c>
      <x:c r="E211" s="10" t="str">
        <x:v>шт</x:v>
      </x:c>
      <x:c r="F211" s="37" t="n">
        <x:f>IF(AS211&gt;0,MAX(AS211,AJ211),0)</x:f>
        <x:v>1</x:v>
      </x:c>
      <x:c r="G211" s="21" t="str">
        <x:f>IF(J211="Рассчитано",V211*(1-R211/100)-W211-P211-Q211,"н/д")</x:f>
        <x:v>н/д</x:v>
      </x:c>
      <x:c r="H211" s="13" t="str">
        <x:v>Высокий</x:v>
      </x:c>
      <x:c r="I211" s="13" t="str">
        <x:v>Средний</x:v>
      </x:c>
      <x:c r="J211" s="13" t="str">
        <x:f>IF(L211="","Укажите валюту",IF(NOT(ISNUMBER(K211)),"Укажите объём",IF(K211&lt;=0,"Укажите объём",IF(COUNT(M211:O211)&lt;3,"Нужны цены",IF(COUNT(P211:R211)&lt;3,"Нужны расходы",IF(OR(M211&lt;0,N211&lt;0,O211&lt;0,O211&gt;100,P211&lt;0,Q211&lt;0,R211&lt;0,R211&gt;100),"Проверьте значения","Рассчитано"))))))</x:f>
        <x:v>Нужны цены</x:v>
      </x:c>
      <x:c r="K211" s="36" t="n">
        <x:v>1</x:v>
      </x:c>
      <x:c r="L211" s="19" t="str">
        <x:v>KZT</x:v>
      </x:c>
      <x:c r="M211" s="22"/>
      <x:c r="N211" s="22"/>
      <x:c r="O211" s="28"/>
      <x:c r="P211" s="22"/>
      <x:c r="Q211" s="22"/>
      <x:c r="R211" s="28"/>
      <x:c r="S211" s="22"/>
      <x:c r="T211" s="37" t="n">
        <x:f>MIN(K211,AT211)</x:f>
        <x:v>0.8634417860746573</x:v>
      </x:c>
      <x:c r="U211" s="21" t="str">
        <x:f>IF(J211="Рассчитано",N211*(1-O211/100),"н/д")</x:f>
        <x:v>н/д</x:v>
      </x:c>
      <x:c r="V211" s="21" t="str">
        <x:f>IF(J211="Рассчитано",T211*U211,"н/д")</x:f>
        <x:v>н/д</x:v>
      </x:c>
      <x:c r="W211" s="21" t="str">
        <x:f>IF(J211="Рассчитано",T211*M211,"н/д")</x:f>
        <x:v>н/д</x:v>
      </x:c>
      <x:c r="X211" s="21" t="str">
        <x:f>IF(J211="Рассчитано",V211-W211,"н/д")</x:f>
        <x:v>н/д</x:v>
      </x:c>
      <x:c r="Y211" s="27" t="str">
        <x:f>IF(J211="Рассчитано",IF(V211&gt;0,G211/V211,"н/д"),"н/д")</x:f>
        <x:v>н/д</x:v>
      </x:c>
      <x:c r="Z211" s="21" t="str">
        <x:f>IF(J211="Рассчитано",K211*M211,"н/д")</x:f>
        <x:v>н/д</x:v>
      </x:c>
      <x:c r="AA211" s="21" t="str">
        <x:f>IF(J211="Рассчитано",(K211-T211)*M211,"н/д")</x:f>
        <x:v>н/д</x:v>
      </x:c>
      <x:c r="AB211" s="21" t="str">
        <x:f>IF(AND(J211="Рассчитано",ISNUMBER(S211)),K211*(S211-M211),"н/д")</x:f>
        <x:v>н/д</x:v>
      </x:c>
      <x:c r="AC211" s="21" t="str">
        <x:f>IF(AND(J211="Рассчитано",T211&gt;0,R211&lt;100),(W211+P211+Q211)/(T211*(1-R211/100)),"н/д")</x:f>
        <x:v>н/д</x:v>
      </x:c>
      <x:c r="AD211" s="10" t="str">
        <x:f>IF(ISNUMBER(G211),IF(G211&lt;0,"Убыток",IF(G211=0,"Без прибыли","Прибыль &gt; 0")),"Не оценён")</x:f>
        <x:v>Не оценён</x:v>
      </x:c>
      <x:c r="AE211" s="13" t="str">
        <x:f>IF(J211="Рассчитано","Выручка "&amp;TEXT(V211,"0.00")&amp;" - себестоимость "&amp;TEXT(W211,"0.00")&amp;" - комиссия "&amp;TEXT(V211*R211/100,"0.00")&amp;" - доставка "&amp;TEXT(P211,"0.00")&amp;" - прочие "&amp;TEXT(Q211,"0.00")&amp;" = "&amp;TEXT(G211,"0.00")&amp;" "&amp;L211,"Введите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1" s="24" t="n">
        <x:v>1.8634417860746573</x:v>
      </x:c>
      <x:c r="AG211" s="37" t="n">
        <x:v>1</x:v>
      </x:c>
      <x:c r="AH211" s="37" t="n">
        <x:v>0</x:v>
      </x:c>
      <x:c r="AI211" s="30" t="n">
        <x:v>46266</x:v>
      </x:c>
      <x:c r="AJ211" s="37" t="n">
        <x:v>1</x:v>
      </x:c>
      <x:c r="AK211" s="10" t="str">
        <x:v>минимум</x:v>
      </x:c>
      <x:c r="AL211" s="32" t="n">
        <x:v>16.099241856755313</x:v>
      </x:c>
      <x:c r="AM211" s="13" t="str">
        <x:v>Остаток на начало сентября; Резервы неизвестны; Нет ежедневных данных доступности. Запаса примерно на 16.1 дн. без поступлений</x:v>
      </x:c>
      <x:c r="AN211" s="13" t="str">
        <x:v>Подтвердить наличие, срок и цену закупки</x:v>
      </x:c>
      <x:c r="AO211" s="13" t="str">
        <x:v>Прогноз 30 дней 1.86; остаток 1; поступления в срок 0; нехватка 1; заказ с учётом MOQ 1 шт. Остаток на начало сентября: требуется актуализация.</x:v>
      </x:c>
      <x:c r="AP211" s="13" t="str">
        <x:v>["category_missing", "daily_stockout_data_missing", "new_order_lead_time_unknown", "reservations_unknown", "stale_stock"]</x:v>
      </x:c>
      <x:c r="AQ211" s="10" t="str">
        <x:v>IEK:251400111_</x:v>
      </x:c>
      <x:c r="AR211" s="24" t="n">
        <x:v>1</x:v>
      </x:c>
      <x:c r="AS211" s="24" t="n">
        <x:f>MAX(0,ROUNDUP(MAX(0,AF211-AG211-AH211)/AR211-0.000000001,0)*AR211)</x:f>
        <x:v>1</x:v>
      </x:c>
      <x:c r="AT211" s="24" t="n">
        <x:v>0.8634417860746573</x:v>
      </x:c>
    </x:row>
    <x:row r="212" ht="64" customHeight="1">
      <x:c r="A212" s="11" t="str">
        <x:v>IEK</x:v>
      </x:c>
      <x:c r="B212" s="33" t="str">
        <x:v>251400125_</x:v>
      </x:c>
      <x:c r="C212" s="33" t="str">
        <x:v>TI5-10-N-080-080-040-66</x:v>
      </x:c>
      <x:c r="D212" s="12" t="str">
        <x:v>ЩМП  800х800х400 IP66  TITAN 5 IEK</x:v>
      </x:c>
      <x:c r="E212" s="11" t="str">
        <x:v>шт</x:v>
      </x:c>
      <x:c r="F212" s="35" t="n">
        <x:f>AS212</x:f>
        <x:v>1</x:v>
      </x:c>
      <x:c r="G212" s="20" t="str">
        <x:f>IF(J212="Рассчитано",V212*(1-R212/100)-W212-P212-Q212,"н/д")</x:f>
        <x:v>н/д</x:v>
      </x:c>
      <x:c r="H212" s="12" t="str">
        <x:v>Высокий</x:v>
      </x:c>
      <x:c r="I212" s="12" t="str">
        <x:v>Критический</x:v>
      </x:c>
      <x:c r="J212" s="12" t="str">
        <x:f>IF(L212="","Укажите валюту",IF(NOT(ISNUMBER(K212)),"Укажите объём",IF(K212&lt;=0,"Укажите объём",IF(COUNT(M212:O212)&lt;3,"Нужны цены",IF(COUNT(P212:R212)&lt;3,"Нужны расходы",IF(OR(M212&lt;0,N212&lt;0,O212&lt;0,O212&gt;100,P212&lt;0,Q212&lt;0,R212&lt;0,R212&gt;100),"Проверьте значения","Рассчитано"))))))</x:f>
        <x:v>Нужны цены</x:v>
      </x:c>
      <x:c r="K212" s="36" t="n">
        <x:v>1</x:v>
      </x:c>
      <x:c r="L212" s="19" t="str">
        <x:v>KZT</x:v>
      </x:c>
      <x:c r="M212" s="22"/>
      <x:c r="N212" s="22"/>
      <x:c r="O212" s="28"/>
      <x:c r="P212" s="22"/>
      <x:c r="Q212" s="22"/>
      <x:c r="R212" s="28"/>
      <x:c r="S212" s="22"/>
      <x:c r="T212" s="35" t="n">
        <x:f>MIN(K212,AT212)</x:f>
        <x:v>0.06354114599267888</x:v>
      </x:c>
      <x:c r="U212" s="20" t="str">
        <x:f>IF(J212="Рассчитано",N212*(1-O212/100),"н/д")</x:f>
        <x:v>н/д</x:v>
      </x:c>
      <x:c r="V212" s="20" t="str">
        <x:f>IF(J212="Рассчитано",T212*U212,"н/д")</x:f>
        <x:v>н/д</x:v>
      </x:c>
      <x:c r="W212" s="20" t="str">
        <x:f>IF(J212="Рассчитано",T212*M212,"н/д")</x:f>
        <x:v>н/д</x:v>
      </x:c>
      <x:c r="X212" s="20" t="str">
        <x:f>IF(J212="Рассчитано",V212-W212,"н/д")</x:f>
        <x:v>н/д</x:v>
      </x:c>
      <x:c r="Y212" s="26" t="str">
        <x:f>IF(J212="Рассчитано",IF(V212&gt;0,G212/V212,"н/д"),"н/д")</x:f>
        <x:v>н/д</x:v>
      </x:c>
      <x:c r="Z212" s="20" t="str">
        <x:f>IF(J212="Рассчитано",K212*M212,"н/д")</x:f>
        <x:v>н/д</x:v>
      </x:c>
      <x:c r="AA212" s="20" t="str">
        <x:f>IF(J212="Рассчитано",(K212-T212)*M212,"н/д")</x:f>
        <x:v>н/д</x:v>
      </x:c>
      <x:c r="AB212" s="20" t="str">
        <x:f>IF(AND(J212="Рассчитано",ISNUMBER(S212)),K212*(S212-M212),"н/д")</x:f>
        <x:v>н/д</x:v>
      </x:c>
      <x:c r="AC212" s="20" t="str">
        <x:f>IF(AND(J212="Рассчитано",T212&gt;0,R212&lt;100),(W212+P212+Q212)/(T212*(1-R212/100)),"н/д")</x:f>
        <x:v>н/д</x:v>
      </x:c>
      <x:c r="AD212" s="11" t="str">
        <x:f>IF(ISNUMBER(G212),IF(G212&lt;0,"Убыток",IF(G212=0,"Без прибыли","Прибыль &gt; 0")),"Не оценён")</x:f>
        <x:v>Не оценён</x:v>
      </x:c>
      <x:c r="AE212" s="12" t="str">
        <x:f>IF(J212="Рассчитано","Выручка "&amp;TEXT(V212,"0.00")&amp;" - себестоимость "&amp;TEXT(W212,"0.00")&amp;" - комиссия "&amp;TEXT(V212*R212/100,"0.00")&amp;" - доставка "&amp;TEXT(P212,"0.00")&amp;" - прочие "&amp;TEXT(Q212,"0.00")&amp;" = "&amp;TEXT(G212,"0.00")&amp;" "&amp;L212,"Введите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2" s="23" t="n">
        <x:v>0.06354114599267888</x:v>
      </x:c>
      <x:c r="AG212" s="35" t="n">
        <x:v>0</x:v>
      </x:c>
      <x:c r="AH212" s="35" t="n">
        <x:v>0</x:v>
      </x:c>
      <x:c r="AI212" s="29" t="n">
        <x:v>46266</x:v>
      </x:c>
      <x:c r="AJ212" s="35"/>
      <x:c r="AK212" s="11" t="str">
        <x:v>неизвестно</x:v>
      </x:c>
      <x:c r="AL212" s="31" t="n">
        <x:v>0</x:v>
      </x:c>
      <x:c r="AM212" s="12" t="str">
        <x:v>Остаток на начало сентября; Резервы неизвестны; Нет ежедневных данных доступности. Нет запаса</x:v>
      </x:c>
      <x:c r="AN212" s="12" t="str">
        <x:v>Подтвердить наличие, срок и цену закупки</x:v>
      </x:c>
      <x:c r="AO212" s="12" t="str">
        <x:v>Прогноз 30 дней 0.06; остаток 0; поступления в срок 0; нехватка 1; заказ с учётом MOQ 1 шт. Остаток на начало сентября: требуется актуализация.</x:v>
      </x:c>
      <x:c r="AP212" s="12" t="str">
        <x:v>["blank_stock_assumed_zero", "category_missing", "daily_stockout_data_missing", "moq_missing", "new_order_lead_time_unknown", "reservations_unknown", "stale_stock"]</x:v>
      </x:c>
      <x:c r="AQ212" s="11" t="str">
        <x:v>IEK:251400125_</x:v>
      </x:c>
      <x:c r="AR212" s="23" t="n">
        <x:v>1</x:v>
      </x:c>
      <x:c r="AS212" s="23" t="n">
        <x:f>MAX(0,ROUNDUP(MAX(0,AF212-AG212-AH212)/AR212-0.000000001,0)*AR212)</x:f>
        <x:v>1</x:v>
      </x:c>
      <x:c r="AT212" s="23" t="n">
        <x:v>0.06354114599267888</x:v>
      </x:c>
    </x:row>
    <x:row r="213" ht="64" customHeight="1">
      <x:c r="A213" s="10" t="str">
        <x:v>IEK</x:v>
      </x:c>
      <x:c r="B213" s="34" t="str">
        <x:v>251400128_</x:v>
      </x:c>
      <x:c r="C213" s="34" t="str">
        <x:v>TI5-10-N-100-060-040-66</x:v>
      </x:c>
      <x:c r="D213" s="13" t="str">
        <x:v>ЩМП 100х60х40 IP66  TITAN 5 IEK</x:v>
      </x:c>
      <x:c r="E213" s="10" t="str">
        <x:v>шт</x:v>
      </x:c>
      <x:c r="F213" s="37" t="n">
        <x:f>IF(AS213&gt;0,MAX(AS213,AJ213),0)</x:f>
        <x:v>1</x:v>
      </x:c>
      <x:c r="G213" s="21" t="str">
        <x:f>IF(J213="Рассчитано",V213*(1-R213/100)-W213-P213-Q213,"н/д")</x:f>
        <x:v>н/д</x:v>
      </x:c>
      <x:c r="H213" s="13" t="str">
        <x:v>Высокий</x:v>
      </x:c>
      <x:c r="I213" s="13" t="str">
        <x:v>Критический</x:v>
      </x:c>
      <x:c r="J213" s="13" t="str">
        <x:f>IF(L213="","Укажите валюту",IF(NOT(ISNUMBER(K213)),"Укажите объём",IF(K213&lt;=0,"Укажите объём",IF(COUNT(M213:O213)&lt;3,"Нужны цены",IF(COUNT(P213:R213)&lt;3,"Нужны расходы",IF(OR(M213&lt;0,N213&lt;0,O213&lt;0,O213&gt;100,P213&lt;0,Q213&lt;0,R213&lt;0,R213&gt;100),"Проверьте значения","Рассчитано"))))))</x:f>
        <x:v>Нужны цены</x:v>
      </x:c>
      <x:c r="K213" s="36" t="n">
        <x:v>1</x:v>
      </x:c>
      <x:c r="L213" s="19" t="str">
        <x:v>KZT</x:v>
      </x:c>
      <x:c r="M213" s="22"/>
      <x:c r="N213" s="22"/>
      <x:c r="O213" s="28"/>
      <x:c r="P213" s="22"/>
      <x:c r="Q213" s="22"/>
      <x:c r="R213" s="28"/>
      <x:c r="S213" s="22"/>
      <x:c r="T213" s="37" t="n">
        <x:f>MIN(K213,AT213)</x:f>
        <x:v>0.4829576442858202</x:v>
      </x:c>
      <x:c r="U213" s="21" t="str">
        <x:f>IF(J213="Рассчитано",N213*(1-O213/100),"н/д")</x:f>
        <x:v>н/д</x:v>
      </x:c>
      <x:c r="V213" s="21" t="str">
        <x:f>IF(J213="Рассчитано",T213*U213,"н/д")</x:f>
        <x:v>н/д</x:v>
      </x:c>
      <x:c r="W213" s="21" t="str">
        <x:f>IF(J213="Рассчитано",T213*M213,"н/д")</x:f>
        <x:v>н/д</x:v>
      </x:c>
      <x:c r="X213" s="21" t="str">
        <x:f>IF(J213="Рассчитано",V213-W213,"н/д")</x:f>
        <x:v>н/д</x:v>
      </x:c>
      <x:c r="Y213" s="27" t="str">
        <x:f>IF(J213="Рассчитано",IF(V213&gt;0,G213/V213,"н/д"),"н/д")</x:f>
        <x:v>н/д</x:v>
      </x:c>
      <x:c r="Z213" s="21" t="str">
        <x:f>IF(J213="Рассчитано",K213*M213,"н/д")</x:f>
        <x:v>н/д</x:v>
      </x:c>
      <x:c r="AA213" s="21" t="str">
        <x:f>IF(J213="Рассчитано",(K213-T213)*M213,"н/д")</x:f>
        <x:v>н/д</x:v>
      </x:c>
      <x:c r="AB213" s="21" t="str">
        <x:f>IF(AND(J213="Рассчитано",ISNUMBER(S213)),K213*(S213-M213),"н/д")</x:f>
        <x:v>н/д</x:v>
      </x:c>
      <x:c r="AC213" s="21" t="str">
        <x:f>IF(AND(J213="Рассчитано",T213&gt;0,R213&lt;100),(W213+P213+Q213)/(T213*(1-R213/100)),"н/д")</x:f>
        <x:v>н/д</x:v>
      </x:c>
      <x:c r="AD213" s="10" t="str">
        <x:f>IF(ISNUMBER(G213),IF(G213&lt;0,"Убыток",IF(G213=0,"Без прибыли","Прибыль &gt; 0")),"Не оценён")</x:f>
        <x:v>Не оценён</x:v>
      </x:c>
      <x:c r="AE213" s="13" t="str">
        <x:f>IF(J213="Рассчитано","Выручка "&amp;TEXT(V213,"0.00")&amp;" - себестоимость "&amp;TEXT(W213,"0.00")&amp;" - комиссия "&amp;TEXT(V213*R213/100,"0.00")&amp;" - доставка "&amp;TEXT(P213,"0.00")&amp;" - прочие "&amp;TEXT(Q213,"0.00")&amp;" = "&amp;TEXT(G213,"0.00")&amp;" "&amp;L213,"Введите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3" s="24" t="n">
        <x:v>0.4829576442858202</x:v>
      </x:c>
      <x:c r="AG213" s="37" t="n">
        <x:v>0</x:v>
      </x:c>
      <x:c r="AH213" s="37" t="n">
        <x:v>0</x:v>
      </x:c>
      <x:c r="AI213" s="30" t="n">
        <x:v>46266</x:v>
      </x:c>
      <x:c r="AJ213" s="37" t="n">
        <x:v>1</x:v>
      </x:c>
      <x:c r="AK213" s="10" t="str">
        <x:v>минимум</x:v>
      </x:c>
      <x:c r="AL213" s="32" t="n">
        <x:v>0</x:v>
      </x:c>
      <x:c r="AM213" s="13" t="str">
        <x:v>Остаток на начало сентября; Резервы неизвестны; Нет ежедневных данных доступности. Нет запаса</x:v>
      </x:c>
      <x:c r="AN213" s="13" t="str">
        <x:v>Подтвердить наличие, срок и цену закупки</x:v>
      </x:c>
      <x:c r="AO213" s="13" t="str">
        <x:v>Прогноз 30 дней 0.48; остаток 0; поступления в срок 0; нехватка 1; заказ с учётом MOQ 1 шт. Остаток на начало сентября: требуется актуализация.</x:v>
      </x:c>
      <x:c r="AP213" s="13" t="str">
        <x:v>["blank_stock_assumed_zero", "category_missing", "daily_stockout_data_missing", "new_order_lead_time_unknown", "reservations_unknown", "stale_stock"]</x:v>
      </x:c>
      <x:c r="AQ213" s="10" t="str">
        <x:v>IEK:251400128_</x:v>
      </x:c>
      <x:c r="AR213" s="24" t="n">
        <x:v>1</x:v>
      </x:c>
      <x:c r="AS213" s="24" t="n">
        <x:f>MAX(0,ROUNDUP(MAX(0,AF213-AG213-AH213)/AR213-0.000000001,0)*AR213)</x:f>
        <x:v>1</x:v>
      </x:c>
      <x:c r="AT213" s="24" t="n">
        <x:v>0.4829576442858202</x:v>
      </x:c>
    </x:row>
    <x:row r="214" ht="64" customHeight="1">
      <x:c r="A214" s="11" t="str">
        <x:v>IEK</x:v>
      </x:c>
      <x:c r="B214" s="33" t="str">
        <x:v>251400136_</x:v>
      </x:c>
      <x:c r="C214" s="33" t="str">
        <x:v>TI5-10-N-140-080-030-66</x:v>
      </x:c>
      <x:c r="D214" s="12" t="str">
        <x:v>ЩМП 140х80х30 IP66  TITAN 5 IEK</x:v>
      </x:c>
      <x:c r="E214" s="11" t="str">
        <x:v>шт</x:v>
      </x:c>
      <x:c r="F214" s="35" t="n">
        <x:f>IF(AS214&gt;0,MAX(AS214,AJ214),0)</x:f>
        <x:v>2</x:v>
      </x:c>
      <x:c r="G214" s="20" t="str">
        <x:f>IF(J214="Рассчитано",V214*(1-R214/100)-W214-P214-Q214,"н/д")</x:f>
        <x:v>н/д</x:v>
      </x:c>
      <x:c r="H214" s="12" t="str">
        <x:v>Высокий</x:v>
      </x:c>
      <x:c r="I214" s="12" t="str">
        <x:v>Критический</x:v>
      </x:c>
      <x:c r="J214" s="12" t="str">
        <x:f>IF(L214="","Укажите валюту",IF(NOT(ISNUMBER(K214)),"Укажите объём",IF(K214&lt;=0,"Укажите объём",IF(COUNT(M214:O214)&lt;3,"Нужны цены",IF(COUNT(P214:R214)&lt;3,"Нужны расходы",IF(OR(M214&lt;0,N214&lt;0,O214&lt;0,O214&gt;100,P214&lt;0,Q214&lt;0,R214&lt;0,R214&gt;100),"Проверьте значения","Рассчитано"))))))</x:f>
        <x:v>Нужны цены</x:v>
      </x:c>
      <x:c r="K214" s="36" t="n">
        <x:v>2</x:v>
      </x:c>
      <x:c r="L214" s="19" t="str">
        <x:v>KZT</x:v>
      </x:c>
      <x:c r="M214" s="22"/>
      <x:c r="N214" s="22"/>
      <x:c r="O214" s="28"/>
      <x:c r="P214" s="22"/>
      <x:c r="Q214" s="22"/>
      <x:c r="R214" s="28"/>
      <x:c r="S214" s="22"/>
      <x:c r="T214" s="35" t="n">
        <x:f>MIN(K214,AT214)</x:f>
        <x:v>1.1810454341491516</x:v>
      </x:c>
      <x:c r="U214" s="20" t="str">
        <x:f>IF(J214="Рассчитано",N214*(1-O214/100),"н/д")</x:f>
        <x:v>н/д</x:v>
      </x:c>
      <x:c r="V214" s="20" t="str">
        <x:f>IF(J214="Рассчитано",T214*U214,"н/д")</x:f>
        <x:v>н/д</x:v>
      </x:c>
      <x:c r="W214" s="20" t="str">
        <x:f>IF(J214="Рассчитано",T214*M214,"н/д")</x:f>
        <x:v>н/д</x:v>
      </x:c>
      <x:c r="X214" s="20" t="str">
        <x:f>IF(J214="Рассчитано",V214-W214,"н/д")</x:f>
        <x:v>н/д</x:v>
      </x:c>
      <x:c r="Y214" s="26" t="str">
        <x:f>IF(J214="Рассчитано",IF(V214&gt;0,G214/V214,"н/д"),"н/д")</x:f>
        <x:v>н/д</x:v>
      </x:c>
      <x:c r="Z214" s="20" t="str">
        <x:f>IF(J214="Рассчитано",K214*M214,"н/д")</x:f>
        <x:v>н/д</x:v>
      </x:c>
      <x:c r="AA214" s="20" t="str">
        <x:f>IF(J214="Рассчитано",(K214-T214)*M214,"н/д")</x:f>
        <x:v>н/д</x:v>
      </x:c>
      <x:c r="AB214" s="20" t="str">
        <x:f>IF(AND(J214="Рассчитано",ISNUMBER(S214)),K214*(S214-M214),"н/д")</x:f>
        <x:v>н/д</x:v>
      </x:c>
      <x:c r="AC214" s="20" t="str">
        <x:f>IF(AND(J214="Рассчитано",T214&gt;0,R214&lt;100),(W214+P214+Q214)/(T214*(1-R214/100)),"н/д")</x:f>
        <x:v>н/д</x:v>
      </x:c>
      <x:c r="AD214" s="11" t="str">
        <x:f>IF(ISNUMBER(G214),IF(G214&lt;0,"Убыток",IF(G214=0,"Без прибыли","Прибыль &gt; 0")),"Не оценён")</x:f>
        <x:v>Не оценён</x:v>
      </x:c>
      <x:c r="AE214" s="12" t="str">
        <x:f>IF(J214="Рассчитано","Выручка "&amp;TEXT(V214,"0.00")&amp;" - себестоимость "&amp;TEXT(W214,"0.00")&amp;" - комиссия "&amp;TEXT(V214*R214/100,"0.00")&amp;" - доставка "&amp;TEXT(P214,"0.00")&amp;" - прочие "&amp;TEXT(Q214,"0.00")&amp;" = "&amp;TEXT(G214,"0.00")&amp;" "&amp;L214,"Введите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4" s="23" t="n">
        <x:v>1.1810454341491516</x:v>
      </x:c>
      <x:c r="AG214" s="35" t="n">
        <x:v>0</x:v>
      </x:c>
      <x:c r="AH214" s="35" t="n">
        <x:v>0</x:v>
      </x:c>
      <x:c r="AI214" s="29" t="n">
        <x:v>46266</x:v>
      </x:c>
      <x:c r="AJ214" s="35" t="n">
        <x:v>1</x:v>
      </x:c>
      <x:c r="AK214" s="11" t="str">
        <x:v>минимум</x:v>
      </x:c>
      <x:c r="AL214" s="31" t="n">
        <x:v>0</x:v>
      </x:c>
      <x:c r="AM214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14" s="12" t="str">
        <x:v>Подтвердить наличие, срок и цену закупки</x:v>
      </x:c>
      <x:c r="AO214" s="12" t="str">
        <x:v>Прогноз 30 дней 1.18; остаток 0; поступления в срок 0; нехватка 2; заказ с учётом MOQ 2 шт. Остаток на начало сентября: требуется актуализация.</x:v>
      </x:c>
      <x:c r="AP214" s="12" t="str">
        <x:v>["blank_stock_assumed_zero", "category_missing", "daily_stockout_data_missing", "new_order_lead_time_unknown", "reservations_unknown", "stale_stock", "stockout_proxy_used"]</x:v>
      </x:c>
      <x:c r="AQ214" s="11" t="str">
        <x:v>IEK:251400136_</x:v>
      </x:c>
      <x:c r="AR214" s="23" t="n">
        <x:v>1</x:v>
      </x:c>
      <x:c r="AS214" s="23" t="n">
        <x:f>MAX(0,ROUNDUP(MAX(0,AF214-AG214-AH214)/AR214-0.000000001,0)*AR214)</x:f>
        <x:v>2</x:v>
      </x:c>
      <x:c r="AT214" s="23" t="n">
        <x:v>1.1810454341491516</x:v>
      </x:c>
    </x:row>
    <x:row r="215" ht="64" customHeight="1">
      <x:c r="A215" s="10" t="str">
        <x:v>IEK</x:v>
      </x:c>
      <x:c r="B215" s="34" t="str">
        <x:v>251400137_</x:v>
      </x:c>
      <x:c r="C215" s="34" t="str">
        <x:v>KR5-KP12-N-12-41</x:v>
      </x:c>
      <x:c r="D215" s="13" t="str">
        <x:v>ЩРН-П 12 прозр. дверь IP40 KREPTA 5 IEK</x:v>
      </x:c>
      <x:c r="E215" s="10" t="str">
        <x:v>шт</x:v>
      </x:c>
      <x:c r="F215" s="37" t="n">
        <x:f>AS215</x:f>
        <x:v>1</x:v>
      </x:c>
      <x:c r="G215" s="21" t="str">
        <x:f>IF(J215="Рассчитано",V215*(1-R215/100)-W215-P215-Q215,"н/д")</x:f>
        <x:v>н/д</x:v>
      </x:c>
      <x:c r="H215" s="13" t="str">
        <x:v>Высокий</x:v>
      </x:c>
      <x:c r="I215" s="13" t="str">
        <x:v>Критический</x:v>
      </x:c>
      <x:c r="J215" s="13" t="str">
        <x:f>IF(L215="","Укажите валюту",IF(NOT(ISNUMBER(K215)),"Укажите объём",IF(K215&lt;=0,"Укажите объём",IF(COUNT(M215:O215)&lt;3,"Нужны цены",IF(COUNT(P215:R215)&lt;3,"Нужны расходы",IF(OR(M215&lt;0,N215&lt;0,O215&lt;0,O215&gt;100,P215&lt;0,Q215&lt;0,R215&lt;0,R215&gt;100),"Проверьте значения","Рассчитано"))))))</x:f>
        <x:v>Нужны цены</x:v>
      </x:c>
      <x:c r="K215" s="36" t="n">
        <x:v>1</x:v>
      </x:c>
      <x:c r="L215" s="19" t="str">
        <x:v>KZT</x:v>
      </x:c>
      <x:c r="M215" s="22"/>
      <x:c r="N215" s="22"/>
      <x:c r="O215" s="28"/>
      <x:c r="P215" s="22"/>
      <x:c r="Q215" s="22"/>
      <x:c r="R215" s="28"/>
      <x:c r="S215" s="22"/>
      <x:c r="T215" s="37" t="n">
        <x:f>MIN(K215,AT215)</x:f>
        <x:v>0.03177057299633944</x:v>
      </x:c>
      <x:c r="U215" s="21" t="str">
        <x:f>IF(J215="Рассчитано",N215*(1-O215/100),"н/д")</x:f>
        <x:v>н/д</x:v>
      </x:c>
      <x:c r="V215" s="21" t="str">
        <x:f>IF(J215="Рассчитано",T215*U215,"н/д")</x:f>
        <x:v>н/д</x:v>
      </x:c>
      <x:c r="W215" s="21" t="str">
        <x:f>IF(J215="Рассчитано",T215*M215,"н/д")</x:f>
        <x:v>н/д</x:v>
      </x:c>
      <x:c r="X215" s="21" t="str">
        <x:f>IF(J215="Рассчитано",V215-W215,"н/д")</x:f>
        <x:v>н/д</x:v>
      </x:c>
      <x:c r="Y215" s="27" t="str">
        <x:f>IF(J215="Рассчитано",IF(V215&gt;0,G215/V215,"н/д"),"н/д")</x:f>
        <x:v>н/д</x:v>
      </x:c>
      <x:c r="Z215" s="21" t="str">
        <x:f>IF(J215="Рассчитано",K215*M215,"н/д")</x:f>
        <x:v>н/д</x:v>
      </x:c>
      <x:c r="AA215" s="21" t="str">
        <x:f>IF(J215="Рассчитано",(K215-T215)*M215,"н/д")</x:f>
        <x:v>н/д</x:v>
      </x:c>
      <x:c r="AB215" s="21" t="str">
        <x:f>IF(AND(J215="Рассчитано",ISNUMBER(S215)),K215*(S215-M215),"н/д")</x:f>
        <x:v>н/д</x:v>
      </x:c>
      <x:c r="AC215" s="21" t="str">
        <x:f>IF(AND(J215="Рассчитано",T215&gt;0,R215&lt;100),(W215+P215+Q215)/(T215*(1-R215/100)),"н/д")</x:f>
        <x:v>н/д</x:v>
      </x:c>
      <x:c r="AD215" s="10" t="str">
        <x:f>IF(ISNUMBER(G215),IF(G215&lt;0,"Убыток",IF(G215=0,"Без прибыли","Прибыль &gt; 0")),"Не оценён")</x:f>
        <x:v>Не оценён</x:v>
      </x:c>
      <x:c r="AE215" s="13" t="str">
        <x:f>IF(J215="Рассчитано","Выручка "&amp;TEXT(V215,"0.00")&amp;" - себестоимость "&amp;TEXT(W215,"0.00")&amp;" - комиссия "&amp;TEXT(V215*R215/100,"0.00")&amp;" - доставка "&amp;TEXT(P215,"0.00")&amp;" - прочие "&amp;TEXT(Q215,"0.00")&amp;" = "&amp;TEXT(G215,"0.00")&amp;" "&amp;L215,"Введите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5" s="24" t="n">
        <x:v>0.03177057299633944</x:v>
      </x:c>
      <x:c r="AG215" s="37" t="n">
        <x:v>0</x:v>
      </x:c>
      <x:c r="AH215" s="37" t="n">
        <x:v>0</x:v>
      </x:c>
      <x:c r="AI215" s="30" t="n">
        <x:v>46266</x:v>
      </x:c>
      <x:c r="AJ215" s="37"/>
      <x:c r="AK215" s="10" t="str">
        <x:v>неизвестно</x:v>
      </x:c>
      <x:c r="AL215" s="32" t="n">
        <x:v>0</x:v>
      </x:c>
      <x:c r="AM215" s="13" t="str">
        <x:v>Остаток на начало сентября; Резервы неизвестны; Нет ежедневных данных доступности. Нет запаса</x:v>
      </x:c>
      <x:c r="AN215" s="13" t="str">
        <x:v>Подтвердить наличие, срок и цену закупки</x:v>
      </x:c>
      <x:c r="AO215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215" s="13" t="str">
        <x:v>["blank_stock_assumed_zero", "category_missing", "daily_stockout_data_missing", "moq_missing", "new_order_lead_time_unknown", "reservations_unknown", "stale_stock"]</x:v>
      </x:c>
      <x:c r="AQ215" s="10" t="str">
        <x:v>IEK:251400137_</x:v>
      </x:c>
      <x:c r="AR215" s="24" t="n">
        <x:v>1</x:v>
      </x:c>
      <x:c r="AS215" s="24" t="n">
        <x:f>MAX(0,ROUNDUP(MAX(0,AF215-AG215-AH215)/AR215-0.000000001,0)*AR215)</x:f>
        <x:v>1</x:v>
      </x:c>
      <x:c r="AT215" s="24" t="n">
        <x:v>0.03177057299633944</x:v>
      </x:c>
    </x:row>
    <x:row r="216" ht="64" customHeight="1">
      <x:c r="A216" s="11" t="str">
        <x:v>IEK</x:v>
      </x:c>
      <x:c r="B216" s="33" t="str">
        <x:v>251400139_</x:v>
      </x:c>
      <x:c r="C216" s="33" t="str">
        <x:v>KR5-KP12-V-24-41</x:v>
      </x:c>
      <x:c r="D216" s="12" t="str">
        <x:v>ЩРВ-П 24 прозр. дверь IP40 KREPTA 5 IEK</x:v>
      </x:c>
      <x:c r="E216" s="11" t="str">
        <x:v>шт</x:v>
      </x:c>
      <x:c r="F216" s="35" t="n">
        <x:f>AS216</x:f>
        <x:v>1</x:v>
      </x:c>
      <x:c r="G216" s="20" t="str">
        <x:f>IF(J216="Рассчитано",V216*(1-R216/100)-W216-P216-Q216,"н/д")</x:f>
        <x:v>н/д</x:v>
      </x:c>
      <x:c r="H216" s="12" t="str">
        <x:v>Высокий</x:v>
      </x:c>
      <x:c r="I216" s="12" t="str">
        <x:v>Критический</x:v>
      </x:c>
      <x:c r="J216" s="12" t="str">
        <x:f>IF(L216="","Укажите валюту",IF(NOT(ISNUMBER(K216)),"Укажите объём",IF(K216&lt;=0,"Укажите объём",IF(COUNT(M216:O216)&lt;3,"Нужны цены",IF(COUNT(P216:R216)&lt;3,"Нужны расходы",IF(OR(M216&lt;0,N216&lt;0,O216&lt;0,O216&gt;100,P216&lt;0,Q216&lt;0,R216&lt;0,R216&gt;100),"Проверьте значения","Рассчитано"))))))</x:f>
        <x:v>Нужны цены</x:v>
      </x:c>
      <x:c r="K216" s="36" t="n">
        <x:v>1</x:v>
      </x:c>
      <x:c r="L216" s="19" t="str">
        <x:v>KZT</x:v>
      </x:c>
      <x:c r="M216" s="22"/>
      <x:c r="N216" s="22"/>
      <x:c r="O216" s="28"/>
      <x:c r="P216" s="22"/>
      <x:c r="Q216" s="22"/>
      <x:c r="R216" s="28"/>
      <x:c r="S216" s="22"/>
      <x:c r="T216" s="35" t="n">
        <x:f>MIN(K216,AT216)</x:f>
        <x:v>0.03480184351304997</x:v>
      </x:c>
      <x:c r="U216" s="20" t="str">
        <x:f>IF(J216="Рассчитано",N216*(1-O216/100),"н/д")</x:f>
        <x:v>н/д</x:v>
      </x:c>
      <x:c r="V216" s="20" t="str">
        <x:f>IF(J216="Рассчитано",T216*U216,"н/д")</x:f>
        <x:v>н/д</x:v>
      </x:c>
      <x:c r="W216" s="20" t="str">
        <x:f>IF(J216="Рассчитано",T216*M216,"н/д")</x:f>
        <x:v>н/д</x:v>
      </x:c>
      <x:c r="X216" s="20" t="str">
        <x:f>IF(J216="Рассчитано",V216-W216,"н/д")</x:f>
        <x:v>н/д</x:v>
      </x:c>
      <x:c r="Y216" s="26" t="str">
        <x:f>IF(J216="Рассчитано",IF(V216&gt;0,G216/V216,"н/д"),"н/д")</x:f>
        <x:v>н/д</x:v>
      </x:c>
      <x:c r="Z216" s="20" t="str">
        <x:f>IF(J216="Рассчитано",K216*M216,"н/д")</x:f>
        <x:v>н/д</x:v>
      </x:c>
      <x:c r="AA216" s="20" t="str">
        <x:f>IF(J216="Рассчитано",(K216-T216)*M216,"н/д")</x:f>
        <x:v>н/д</x:v>
      </x:c>
      <x:c r="AB216" s="20" t="str">
        <x:f>IF(AND(J216="Рассчитано",ISNUMBER(S216)),K216*(S216-M216),"н/д")</x:f>
        <x:v>н/д</x:v>
      </x:c>
      <x:c r="AC216" s="20" t="str">
        <x:f>IF(AND(J216="Рассчитано",T216&gt;0,R216&lt;100),(W216+P216+Q216)/(T216*(1-R216/100)),"н/д")</x:f>
        <x:v>н/д</x:v>
      </x:c>
      <x:c r="AD216" s="11" t="str">
        <x:f>IF(ISNUMBER(G216),IF(G216&lt;0,"Убыток",IF(G216=0,"Без прибыли","Прибыль &gt; 0")),"Не оценён")</x:f>
        <x:v>Не оценён</x:v>
      </x:c>
      <x:c r="AE216" s="12" t="str">
        <x:f>IF(J216="Рассчитано","Выручка "&amp;TEXT(V216,"0.00")&amp;" - себестоимость "&amp;TEXT(W216,"0.00")&amp;" - комиссия "&amp;TEXT(V216*R216/100,"0.00")&amp;" - доставка "&amp;TEXT(P216,"0.00")&amp;" - прочие "&amp;TEXT(Q216,"0.00")&amp;" = "&amp;TEXT(G216,"0.00")&amp;" "&amp;L216,"Введите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6" s="23" t="n">
        <x:v>0.03480184351304997</x:v>
      </x:c>
      <x:c r="AG216" s="35" t="n">
        <x:v>0</x:v>
      </x:c>
      <x:c r="AH216" s="35" t="n">
        <x:v>0</x:v>
      </x:c>
      <x:c r="AI216" s="29" t="n">
        <x:v>46266</x:v>
      </x:c>
      <x:c r="AJ216" s="35"/>
      <x:c r="AK216" s="11" t="str">
        <x:v>неизвестно</x:v>
      </x:c>
      <x:c r="AL216" s="31" t="n">
        <x:v>0</x:v>
      </x:c>
      <x:c r="AM216" s="12" t="str">
        <x:v>Остаток на начало сентября; Резервы неизвестны; Нет ежедневных данных доступности. Нет запаса</x:v>
      </x:c>
      <x:c r="AN216" s="12" t="str">
        <x:v>Подтвердить наличие, срок и цену закупки</x:v>
      </x:c>
      <x:c r="AO216" s="12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216" s="12" t="str">
        <x:v>["blank_stock_assumed_zero", "category_missing", "daily_stockout_data_missing", "moq_missing", "new_order_lead_time_unknown", "reservations_unknown", "stale_stock"]</x:v>
      </x:c>
      <x:c r="AQ216" s="11" t="str">
        <x:v>IEK:251400139_</x:v>
      </x:c>
      <x:c r="AR216" s="23" t="n">
        <x:v>1</x:v>
      </x:c>
      <x:c r="AS216" s="23" t="n">
        <x:f>MAX(0,ROUNDUP(MAX(0,AF216-AG216-AH216)/AR216-0.000000001,0)*AR216)</x:f>
        <x:v>1</x:v>
      </x:c>
      <x:c r="AT216" s="23" t="n">
        <x:v>0.03480184351304997</x:v>
      </x:c>
    </x:row>
    <x:row r="217" ht="64" customHeight="1">
      <x:c r="A217" s="10" t="str">
        <x:v>IEK</x:v>
      </x:c>
      <x:c r="B217" s="34" t="str">
        <x:v>260100138_</x:v>
      </x:c>
      <x:c r="C217" s="34" t="str">
        <x:v>UNP40-006-04-04</x:v>
      </x:c>
      <x:c r="D217" s="13" t="str">
        <x:v>Наконечник медно-луженный JG -   6  IEK (600)</x:v>
      </x:c>
      <x:c r="E217" s="10" t="str">
        <x:v>шт</x:v>
      </x:c>
      <x:c r="F217" s="37" t="n">
        <x:f>IF(AS217&gt;0,MAX(AS217,AJ217),0)</x:f>
        <x:v>600</x:v>
      </x:c>
      <x:c r="G217" s="21" t="str">
        <x:f>IF(J217="Рассчитано",V217*(1-R217/100)-W217-P217-Q217,"н/д")</x:f>
        <x:v>н/д</x:v>
      </x:c>
      <x:c r="H217" s="13" t="str">
        <x:v>Высокий</x:v>
      </x:c>
      <x:c r="I217" s="13" t="str">
        <x:v>Средний</x:v>
      </x:c>
      <x:c r="J217" s="13" t="str">
        <x:f>IF(L217="","Укажите валюту",IF(NOT(ISNUMBER(K217)),"Укажите объём",IF(K217&lt;=0,"Укажите объём",IF(COUNT(M217:O217)&lt;3,"Нужны цены",IF(COUNT(P217:R217)&lt;3,"Нужны расходы",IF(OR(M217&lt;0,N217&lt;0,O217&lt;0,O217&gt;100,P217&lt;0,Q217&lt;0,R217&lt;0,R217&gt;100),"Проверьте значения","Рассчитано"))))))</x:f>
        <x:v>Нужны цены</x:v>
      </x:c>
      <x:c r="K217" s="36" t="n">
        <x:v>600</x:v>
      </x:c>
      <x:c r="L217" s="19" t="str">
        <x:v>KZT</x:v>
      </x:c>
      <x:c r="M217" s="22"/>
      <x:c r="N217" s="22"/>
      <x:c r="O217" s="28"/>
      <x:c r="P217" s="22"/>
      <x:c r="Q217" s="22"/>
      <x:c r="R217" s="28"/>
      <x:c r="S217" s="22"/>
      <x:c r="T217" s="37" t="n">
        <x:f>MIN(K217,AT217)</x:f>
        <x:v>215.3945425241668</x:v>
      </x:c>
      <x:c r="U217" s="21" t="str">
        <x:f>IF(J217="Рассчитано",N217*(1-O217/100),"н/д")</x:f>
        <x:v>н/д</x:v>
      </x:c>
      <x:c r="V217" s="21" t="str">
        <x:f>IF(J217="Рассчитано",T217*U217,"н/д")</x:f>
        <x:v>н/д</x:v>
      </x:c>
      <x:c r="W217" s="21" t="str">
        <x:f>IF(J217="Рассчитано",T217*M217,"н/д")</x:f>
        <x:v>н/д</x:v>
      </x:c>
      <x:c r="X217" s="21" t="str">
        <x:f>IF(J217="Рассчитано",V217-W217,"н/д")</x:f>
        <x:v>н/д</x:v>
      </x:c>
      <x:c r="Y217" s="27" t="str">
        <x:f>IF(J217="Рассчитано",IF(V217&gt;0,G217/V217,"н/д"),"н/д")</x:f>
        <x:v>н/д</x:v>
      </x:c>
      <x:c r="Z217" s="21" t="str">
        <x:f>IF(J217="Рассчитано",K217*M217,"н/д")</x:f>
        <x:v>н/д</x:v>
      </x:c>
      <x:c r="AA217" s="21" t="str">
        <x:f>IF(J217="Рассчитано",(K217-T217)*M217,"н/д")</x:f>
        <x:v>н/д</x:v>
      </x:c>
      <x:c r="AB217" s="21" t="str">
        <x:f>IF(AND(J217="Рассчитано",ISNUMBER(S217)),K217*(S217-M217),"н/д")</x:f>
        <x:v>н/д</x:v>
      </x:c>
      <x:c r="AC217" s="21" t="str">
        <x:f>IF(AND(J217="Рассчитано",T217&gt;0,R217&lt;100),(W217+P217+Q217)/(T217*(1-R217/100)),"н/д")</x:f>
        <x:v>н/д</x:v>
      </x:c>
      <x:c r="AD217" s="10" t="str">
        <x:f>IF(ISNUMBER(G217),IF(G217&lt;0,"Убыток",IF(G217=0,"Без прибыли","Прибыль &gt; 0")),"Не оценён")</x:f>
        <x:v>Не оценён</x:v>
      </x:c>
      <x:c r="AE217" s="13" t="str">
        <x:f>IF(J217="Рассчитано","Выручка "&amp;TEXT(V217,"0.00")&amp;" - себестоимость "&amp;TEXT(W217,"0.00")&amp;" - комиссия "&amp;TEXT(V217*R217/100,"0.00")&amp;" - доставка "&amp;TEXT(P217,"0.00")&amp;" - прочие "&amp;TEXT(Q217,"0.00")&amp;" = "&amp;TEXT(G217,"0.00")&amp;" "&amp;L217,"Введите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7" s="24" t="n">
        <x:v>1686.3945425241668</x:v>
      </x:c>
      <x:c r="AG217" s="37" t="n">
        <x:v>1471</x:v>
      </x:c>
      <x:c r="AH217" s="37" t="n">
        <x:v>0</x:v>
      </x:c>
      <x:c r="AI217" s="30" t="n">
        <x:v>46266</x:v>
      </x:c>
      <x:c r="AJ217" s="37" t="n">
        <x:v>600</x:v>
      </x:c>
      <x:c r="AK217" s="10" t="str">
        <x:v>минимум</x:v>
      </x:c>
      <x:c r="AL217" s="32" t="n">
        <x:v>26.168253565353076</x:v>
      </x:c>
      <x:c r="AM217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26.2 дн. без поступлений</x:v>
      </x:c>
      <x:c r="AN217" s="13" t="str">
        <x:v>Подтвердить наличие, срок и цену закупки</x:v>
      </x:c>
      <x:c r="AO217" s="13" t="str">
        <x:v>Прогноз 30 дней 1686.39; остаток 1471; поступления в срок 0; нехватка 216; заказ с учётом MOQ 600 шт. Остаток на начало сентября: требуется актуализация.</x:v>
      </x:c>
      <x:c r="AP217" s="13" t="str">
        <x:v>["category_missing", "daily_stockout_data_missing", "large_orders_detected", "new_order_lead_time_unknown", "reservations_unknown", "stale_stock", "transaction_month_mismatch"]</x:v>
      </x:c>
      <x:c r="AQ217" s="10" t="str">
        <x:v>IEK:260100138_</x:v>
      </x:c>
      <x:c r="AR217" s="24" t="n">
        <x:v>1</x:v>
      </x:c>
      <x:c r="AS217" s="24" t="n">
        <x:f>MAX(0,ROUNDUP(MAX(0,AF217-AG217-AH217)/AR217-0.000000001,0)*AR217)</x:f>
        <x:v>216</x:v>
      </x:c>
      <x:c r="AT217" s="24" t="n">
        <x:v>215.3945425241668</x:v>
      </x:c>
    </x:row>
    <x:row r="218" ht="64" customHeight="1">
      <x:c r="A218" s="11" t="str">
        <x:v>IEK</x:v>
      </x:c>
      <x:c r="B218" s="33" t="str">
        <x:v>270300002_</x:v>
      </x:c>
      <x:c r="C218" s="33" t="str">
        <x:v>MTT12-024-0250</x:v>
      </x:c>
      <x:c r="D218" s="12" t="str">
        <x:v>Ящик  ЯТП(укп) 220/24 IEK  (1)</x:v>
      </x:c>
      <x:c r="E218" s="11" t="str">
        <x:v>шт</x:v>
      </x:c>
      <x:c r="F218" s="35" t="n">
        <x:f>IF(AS218&gt;0,MAX(AS218,AJ218),0)</x:f>
        <x:v>4</x:v>
      </x:c>
      <x:c r="G218" s="20" t="str">
        <x:f>IF(J218="Рассчитано",V218*(1-R218/100)-W218-P218-Q218,"н/д")</x:f>
        <x:v>н/д</x:v>
      </x:c>
      <x:c r="H218" s="12" t="str">
        <x:v>Высокий</x:v>
      </x:c>
      <x:c r="I218" s="12" t="str">
        <x:v>Высокий</x:v>
      </x:c>
      <x:c r="J218" s="12" t="str">
        <x:f>IF(L218="","Укажите валюту",IF(NOT(ISNUMBER(K218)),"Укажите объём",IF(K218&lt;=0,"Укажите объём",IF(COUNT(M218:O218)&lt;3,"Нужны цены",IF(COUNT(P218:R218)&lt;3,"Нужны расходы",IF(OR(M218&lt;0,N218&lt;0,O218&lt;0,O218&gt;100,P218&lt;0,Q218&lt;0,R218&lt;0,R218&gt;100),"Проверьте значения","Рассчитано"))))))</x:f>
        <x:v>Нужны цены</x:v>
      </x:c>
      <x:c r="K218" s="36" t="n">
        <x:v>4</x:v>
      </x:c>
      <x:c r="L218" s="19" t="str">
        <x:v>KZT</x:v>
      </x:c>
      <x:c r="M218" s="22"/>
      <x:c r="N218" s="22"/>
      <x:c r="O218" s="28"/>
      <x:c r="P218" s="22"/>
      <x:c r="Q218" s="22"/>
      <x:c r="R218" s="28"/>
      <x:c r="S218" s="22"/>
      <x:c r="T218" s="35" t="n">
        <x:f>MIN(K218,AT218)</x:f>
        <x:v>3.849218141714454</x:v>
      </x:c>
      <x:c r="U218" s="20" t="str">
        <x:f>IF(J218="Рассчитано",N218*(1-O218/100),"н/д")</x:f>
        <x:v>н/д</x:v>
      </x:c>
      <x:c r="V218" s="20" t="str">
        <x:f>IF(J218="Рассчитано",T218*U218,"н/д")</x:f>
        <x:v>н/д</x:v>
      </x:c>
      <x:c r="W218" s="20" t="str">
        <x:f>IF(J218="Рассчитано",T218*M218,"н/д")</x:f>
        <x:v>н/д</x:v>
      </x:c>
      <x:c r="X218" s="20" t="str">
        <x:f>IF(J218="Рассчитано",V218-W218,"н/д")</x:f>
        <x:v>н/д</x:v>
      </x:c>
      <x:c r="Y218" s="26" t="str">
        <x:f>IF(J218="Рассчитано",IF(V218&gt;0,G218/V218,"н/д"),"н/д")</x:f>
        <x:v>н/д</x:v>
      </x:c>
      <x:c r="Z218" s="20" t="str">
        <x:f>IF(J218="Рассчитано",K218*M218,"н/д")</x:f>
        <x:v>н/д</x:v>
      </x:c>
      <x:c r="AA218" s="20" t="str">
        <x:f>IF(J218="Рассчитано",(K218-T218)*M218,"н/д")</x:f>
        <x:v>н/д</x:v>
      </x:c>
      <x:c r="AB218" s="20" t="str">
        <x:f>IF(AND(J218="Рассчитано",ISNUMBER(S218)),K218*(S218-M218),"н/д")</x:f>
        <x:v>н/д</x:v>
      </x:c>
      <x:c r="AC218" s="20" t="str">
        <x:f>IF(AND(J218="Рассчитано",T218&gt;0,R218&lt;100),(W218+P218+Q218)/(T218*(1-R218/100)),"н/д")</x:f>
        <x:v>н/д</x:v>
      </x:c>
      <x:c r="AD218" s="11" t="str">
        <x:f>IF(ISNUMBER(G218),IF(G218&lt;0,"Убыток",IF(G218=0,"Без прибыли","Прибыль &gt; 0")),"Не оценён")</x:f>
        <x:v>Не оценён</x:v>
      </x:c>
      <x:c r="AE218" s="12" t="str">
        <x:f>IF(J218="Рассчитано","Выручка "&amp;TEXT(V218,"0.00")&amp;" - себестоимость "&amp;TEXT(W218,"0.00")&amp;" - комиссия "&amp;TEXT(V218*R218/100,"0.00")&amp;" - доставка "&amp;TEXT(P218,"0.00")&amp;" - прочие "&amp;TEXT(Q218,"0.00")&amp;" = "&amp;TEXT(G218,"0.00")&amp;" "&amp;L218,"Введите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8" s="23" t="n">
        <x:v>5.849218141714454</x:v>
      </x:c>
      <x:c r="AG218" s="35" t="n">
        <x:v>2</x:v>
      </x:c>
      <x:c r="AH218" s="35" t="n">
        <x:v>0</x:v>
      </x:c>
      <x:c r="AI218" s="29" t="n">
        <x:v>46266</x:v>
      </x:c>
      <x:c r="AJ218" s="35" t="n">
        <x:v>1</x:v>
      </x:c>
      <x:c r="AK218" s="11" t="str">
        <x:v>минимум</x:v>
      </x:c>
      <x:c r="AL218" s="31" t="n">
        <x:v>10.25778121901494</x:v>
      </x:c>
      <x:c r="AM218" s="12" t="str">
        <x:v>Остаток на начало сентября; Резервы неизвестны; Нет ежедневных данных доступности. Запаса примерно на 10.3 дн. без поступлений</x:v>
      </x:c>
      <x:c r="AN218" s="12" t="str">
        <x:v>Подтвердить наличие, срок и цену закупки</x:v>
      </x:c>
      <x:c r="AO218" s="12" t="str">
        <x:v>Прогноз 30 дней 5.85; остаток 2; поступления в срок 0; нехватка 4; заказ с учётом MOQ 4 шт. Остаток на начало сентября: требуется актуализация.</x:v>
      </x:c>
      <x:c r="AP218" s="12" t="str">
        <x:v>["category_missing", "daily_stockout_data_missing", "new_order_lead_time_unknown", "reservations_unknown", "stale_stock"]</x:v>
      </x:c>
      <x:c r="AQ218" s="11" t="str">
        <x:v>IEK:270300002_</x:v>
      </x:c>
      <x:c r="AR218" s="23" t="n">
        <x:v>1</x:v>
      </x:c>
      <x:c r="AS218" s="23" t="n">
        <x:f>MAX(0,ROUNDUP(MAX(0,AF218-AG218-AH218)/AR218-0.000000001,0)*AR218)</x:f>
        <x:v>4</x:v>
      </x:c>
      <x:c r="AT218" s="23" t="n">
        <x:v>3.849218141714454</x:v>
      </x:c>
    </x:row>
    <x:row r="219" ht="64" customHeight="1">
      <x:c r="A219" s="10" t="str">
        <x:v>IEK</x:v>
      </x:c>
      <x:c r="B219" s="34" t="str">
        <x:v>270300078_</x:v>
      </x:c>
      <x:c r="C219" s="34" t="str">
        <x:v>CKM50-025-025-1-K03</x:v>
      </x:c>
      <x:c r="D219" s="13" t="str">
        <x:v>Кабель.канал перф.  25х25 ИМПАКТ IEK (100)</x:v>
      </x:c>
      <x:c r="E219" s="10" t="str">
        <x:v>м</x:v>
      </x:c>
      <x:c r="F219" s="24" t="n">
        <x:f>IF(AS219&gt;0,MAX(AS219,AJ219),0)</x:f>
        <x:v>100</x:v>
      </x:c>
      <x:c r="G219" s="21" t="str">
        <x:f>IF(J219="Рассчитано",V219*(1-R219/100)-W219-P219-Q219,"н/д")</x:f>
        <x:v>н/д</x:v>
      </x:c>
      <x:c r="H219" s="13" t="str">
        <x:v>Высокий</x:v>
      </x:c>
      <x:c r="I219" s="13" t="str">
        <x:v>Высокий</x:v>
      </x:c>
      <x:c r="J219" s="13" t="str">
        <x:f>IF(L219="","Укажите валюту",IF(NOT(ISNUMBER(K219)),"Укажите объём",IF(K219&lt;=0,"Укажите объём",IF(COUNT(M219:O219)&lt;3,"Нужны цены",IF(COUNT(P219:R219)&lt;3,"Нужны расходы",IF(OR(M219&lt;0,N219&lt;0,O219&lt;0,O219&gt;100,P219&lt;0,Q219&lt;0,R219&lt;0,R219&gt;100),"Проверьте значения","Рассчитано"))))))</x:f>
        <x:v>Нужны цены</x:v>
      </x:c>
      <x:c r="K219" s="25" t="n">
        <x:v>100</x:v>
      </x:c>
      <x:c r="L219" s="19" t="str">
        <x:v>KZT</x:v>
      </x:c>
      <x:c r="M219" s="22"/>
      <x:c r="N219" s="22"/>
      <x:c r="O219" s="28"/>
      <x:c r="P219" s="22"/>
      <x:c r="Q219" s="22"/>
      <x:c r="R219" s="28"/>
      <x:c r="S219" s="22"/>
      <x:c r="T219" s="24" t="n">
        <x:f>MIN(K219,AT219)</x:f>
        <x:v>49.38394088942859</x:v>
      </x:c>
      <x:c r="U219" s="21" t="str">
        <x:f>IF(J219="Рассчитано",N219*(1-O219/100),"н/д")</x:f>
        <x:v>н/д</x:v>
      </x:c>
      <x:c r="V219" s="21" t="str">
        <x:f>IF(J219="Рассчитано",T219*U219,"н/д")</x:f>
        <x:v>н/д</x:v>
      </x:c>
      <x:c r="W219" s="21" t="str">
        <x:f>IF(J219="Рассчитано",T219*M219,"н/д")</x:f>
        <x:v>н/д</x:v>
      </x:c>
      <x:c r="X219" s="21" t="str">
        <x:f>IF(J219="Рассчитано",V219-W219,"н/д")</x:f>
        <x:v>н/д</x:v>
      </x:c>
      <x:c r="Y219" s="27" t="str">
        <x:f>IF(J219="Рассчитано",IF(V219&gt;0,G219/V219,"н/д"),"н/д")</x:f>
        <x:v>н/д</x:v>
      </x:c>
      <x:c r="Z219" s="21" t="str">
        <x:f>IF(J219="Рассчитано",K219*M219,"н/д")</x:f>
        <x:v>н/д</x:v>
      </x:c>
      <x:c r="AA219" s="21" t="str">
        <x:f>IF(J219="Рассчитано",(K219-T219)*M219,"н/д")</x:f>
        <x:v>н/д</x:v>
      </x:c>
      <x:c r="AB219" s="21" t="str">
        <x:f>IF(AND(J219="Рассчитано",ISNUMBER(S219)),K219*(S219-M219),"н/д")</x:f>
        <x:v>н/д</x:v>
      </x:c>
      <x:c r="AC219" s="21" t="str">
        <x:f>IF(AND(J219="Рассчитано",T219&gt;0,R219&lt;100),(W219+P219+Q219)/(T219*(1-R219/100)),"н/д")</x:f>
        <x:v>н/д</x:v>
      </x:c>
      <x:c r="AD219" s="10" t="str">
        <x:f>IF(ISNUMBER(G219),IF(G219&lt;0,"Убыток",IF(G219=0,"Без прибыли","Прибыль &gt; 0")),"Не оценён")</x:f>
        <x:v>Не оценён</x:v>
      </x:c>
      <x:c r="AE219" s="13" t="str">
        <x:f>IF(J219="Рассчитано","Выручка "&amp;TEXT(V219,"0.00")&amp;" - себестоимость "&amp;TEXT(W219,"0.00")&amp;" - комиссия "&amp;TEXT(V219*R219/100,"0.00")&amp;" - доставка "&amp;TEXT(P219,"0.00")&amp;" - прочие "&amp;TEXT(Q219,"0.00")&amp;" = "&amp;TEXT(G219,"0.00")&amp;" "&amp;L219,"Введите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19" s="24" t="n">
        <x:v>75.38394088942859</x:v>
      </x:c>
      <x:c r="AG219" s="24" t="n">
        <x:v>26</x:v>
      </x:c>
      <x:c r="AH219" s="24" t="n">
        <x:v>0</x:v>
      </x:c>
      <x:c r="AI219" s="30" t="n">
        <x:v>46266</x:v>
      </x:c>
      <x:c r="AJ219" s="24" t="n">
        <x:v>100</x:v>
      </x:c>
      <x:c r="AK219" s="10" t="str">
        <x:v>минимум</x:v>
      </x:c>
      <x:c r="AL219" s="32" t="n">
        <x:v>10.347031354384693</x:v>
      </x:c>
      <x:c r="AM219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10.3 дн. без поступлений</x:v>
      </x:c>
      <x:c r="AN219" s="13" t="str">
        <x:v>Подтвердить наличие, срок и цену закупки</x:v>
      </x:c>
      <x:c r="AO219" s="13" t="str">
        <x:v>Прогноз 30 дней 75.38; остаток 26; поступления в срок 0; нехватка 49.384; заказ с учётом MOQ 100 м. Остаток на начало сентября: требуется актуализация.</x:v>
      </x:c>
      <x:c r="AP219" s="13" t="str">
        <x:v>["category_missing", "daily_stockout_data_missing", "large_orders_detected", "new_order_lead_time_unknown", "reservations_unknown", "stale_stock", "transaction_month_mismatch"]</x:v>
      </x:c>
      <x:c r="AQ219" s="10" t="str">
        <x:v>IEK:270300078_</x:v>
      </x:c>
      <x:c r="AR219" s="24" t="n">
        <x:v>0.001</x:v>
      </x:c>
      <x:c r="AS219" s="24" t="n">
        <x:f>MAX(0,ROUNDUP(MAX(0,AF219-AG219-AH219)/AR219-0.000000001,0)*AR219)</x:f>
        <x:v>49.384</x:v>
      </x:c>
      <x:c r="AT219" s="24" t="n">
        <x:v>49.38394088942859</x:v>
      </x:c>
    </x:row>
    <x:row r="220" ht="64" customHeight="1">
      <x:c r="A220" s="11" t="str">
        <x:v>IEK</x:v>
      </x:c>
      <x:c r="B220" s="33" t="str">
        <x:v>270300099_</x:v>
      </x:c>
      <x:c r="C220" s="33" t="str">
        <x:v>ITT10-2-05-0100</x:v>
      </x:c>
      <x:c r="D220" s="12" t="str">
        <x:v>Трансформатор тока ТТИ-А  100/5А  5ВА  класс 0,5  IEK</x:v>
      </x:c>
      <x:c r="E220" s="11" t="str">
        <x:v>шт</x:v>
      </x:c>
      <x:c r="F220" s="35" t="n">
        <x:f>IF(AS220&gt;0,MAX(AS220,AJ220),0)</x:f>
        <x:v>4</x:v>
      </x:c>
      <x:c r="G220" s="20" t="str">
        <x:f>IF(J220="Рассчитано",V220*(1-R220/100)-W220-P220-Q220,"н/д")</x:f>
        <x:v>н/д</x:v>
      </x:c>
      <x:c r="H220" s="12" t="str">
        <x:v>Высокий</x:v>
      </x:c>
      <x:c r="I220" s="12" t="str">
        <x:v>Критический</x:v>
      </x:c>
      <x:c r="J220" s="12" t="str">
        <x:f>IF(L220="","Укажите валюту",IF(NOT(ISNUMBER(K220)),"Укажите объём",IF(K220&lt;=0,"Укажите объём",IF(COUNT(M220:O220)&lt;3,"Нужны цены",IF(COUNT(P220:R220)&lt;3,"Нужны расходы",IF(OR(M220&lt;0,N220&lt;0,O220&lt;0,O220&gt;100,P220&lt;0,Q220&lt;0,R220&lt;0,R220&gt;100),"Проверьте значения","Рассчитано"))))))</x:f>
        <x:v>Нужны цены</x:v>
      </x:c>
      <x:c r="K220" s="36" t="n">
        <x:v>4</x:v>
      </x:c>
      <x:c r="L220" s="19" t="str">
        <x:v>KZT</x:v>
      </x:c>
      <x:c r="M220" s="22"/>
      <x:c r="N220" s="22"/>
      <x:c r="O220" s="28"/>
      <x:c r="P220" s="22"/>
      <x:c r="Q220" s="22"/>
      <x:c r="R220" s="28"/>
      <x:c r="S220" s="22"/>
      <x:c r="T220" s="35" t="n">
        <x:f>MIN(K220,AT220)</x:f>
        <x:v>3.448119777016636</x:v>
      </x:c>
      <x:c r="U220" s="20" t="str">
        <x:f>IF(J220="Рассчитано",N220*(1-O220/100),"н/д")</x:f>
        <x:v>н/д</x:v>
      </x:c>
      <x:c r="V220" s="20" t="str">
        <x:f>IF(J220="Рассчитано",T220*U220,"н/д")</x:f>
        <x:v>н/д</x:v>
      </x:c>
      <x:c r="W220" s="20" t="str">
        <x:f>IF(J220="Рассчитано",T220*M220,"н/д")</x:f>
        <x:v>н/д</x:v>
      </x:c>
      <x:c r="X220" s="20" t="str">
        <x:f>IF(J220="Рассчитано",V220-W220,"н/д")</x:f>
        <x:v>н/д</x:v>
      </x:c>
      <x:c r="Y220" s="26" t="str">
        <x:f>IF(J220="Рассчитано",IF(V220&gt;0,G220/V220,"н/д"),"н/д")</x:f>
        <x:v>н/д</x:v>
      </x:c>
      <x:c r="Z220" s="20" t="str">
        <x:f>IF(J220="Рассчитано",K220*M220,"н/д")</x:f>
        <x:v>н/д</x:v>
      </x:c>
      <x:c r="AA220" s="20" t="str">
        <x:f>IF(J220="Рассчитано",(K220-T220)*M220,"н/д")</x:f>
        <x:v>н/д</x:v>
      </x:c>
      <x:c r="AB220" s="20" t="str">
        <x:f>IF(AND(J220="Рассчитано",ISNUMBER(S220)),K220*(S220-M220),"н/д")</x:f>
        <x:v>н/д</x:v>
      </x:c>
      <x:c r="AC220" s="20" t="str">
        <x:f>IF(AND(J220="Рассчитано",T220&gt;0,R220&lt;100),(W220+P220+Q220)/(T220*(1-R220/100)),"н/д")</x:f>
        <x:v>н/д</x:v>
      </x:c>
      <x:c r="AD220" s="11" t="str">
        <x:f>IF(ISNUMBER(G220),IF(G220&lt;0,"Убыток",IF(G220=0,"Без прибыли","Прибыль &gt; 0")),"Не оценён")</x:f>
        <x:v>Не оценён</x:v>
      </x:c>
      <x:c r="AE220" s="12" t="str">
        <x:f>IF(J220="Рассчитано","Выручка "&amp;TEXT(V220,"0.00")&amp;" - себестоимость "&amp;TEXT(W220,"0.00")&amp;" - комиссия "&amp;TEXT(V220*R220/100,"0.00")&amp;" - доставка "&amp;TEXT(P220,"0.00")&amp;" - прочие "&amp;TEXT(Q220,"0.00")&amp;" = "&amp;TEXT(G220,"0.00")&amp;" "&amp;L220,"Введите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0" s="23" t="n">
        <x:v>3.448119777016636</x:v>
      </x:c>
      <x:c r="AG220" s="35" t="n">
        <x:v>0</x:v>
      </x:c>
      <x:c r="AH220" s="35" t="n">
        <x:v>0</x:v>
      </x:c>
      <x:c r="AI220" s="29" t="n">
        <x:v>46266</x:v>
      </x:c>
      <x:c r="AJ220" s="35" t="n">
        <x:v>1</x:v>
      </x:c>
      <x:c r="AK220" s="11" t="str">
        <x:v>минимум</x:v>
      </x:c>
      <x:c r="AL220" s="31" t="n">
        <x:v>0</x:v>
      </x:c>
      <x:c r="AM22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20" s="12" t="str">
        <x:v>Подтвердить наличие, срок и цену закупки</x:v>
      </x:c>
      <x:c r="AO220" s="12" t="str">
        <x:v>Прогноз 30 дней 3.45; остаток 0; поступления в срок 0; нехватка 4; заказ с учётом MOQ 4 шт. Остаток на начало сентября: требуется актуализация.</x:v>
      </x:c>
      <x:c r="AP220" s="12" t="str">
        <x:v>["blank_stock_assumed_zero", "category_missing", "daily_stockout_data_missing", "new_order_lead_time_unknown", "reservations_unknown", "stale_stock", "stockout_proxy_used"]</x:v>
      </x:c>
      <x:c r="AQ220" s="11" t="str">
        <x:v>IEK:270300099_</x:v>
      </x:c>
      <x:c r="AR220" s="23" t="n">
        <x:v>1</x:v>
      </x:c>
      <x:c r="AS220" s="23" t="n">
        <x:f>MAX(0,ROUNDUP(MAX(0,AF220-AG220-AH220)/AR220-0.000000001,0)*AR220)</x:f>
        <x:v>4</x:v>
      </x:c>
      <x:c r="AT220" s="23" t="n">
        <x:v>3.448119777016636</x:v>
      </x:c>
    </x:row>
    <x:row r="221" ht="64" customHeight="1">
      <x:c r="A221" s="10" t="str">
        <x:v>IEK</x:v>
      </x:c>
      <x:c r="B221" s="34" t="str">
        <x:v>270300100_</x:v>
      </x:c>
      <x:c r="C221" s="34" t="str">
        <x:v>ITT10-2-05-0150</x:v>
      </x:c>
      <x:c r="D221" s="13" t="str">
        <x:v>Трансформатор тока ТТИ-А  150/5А  5ВА  класс 0,5  IEK</x:v>
      </x:c>
      <x:c r="E221" s="10" t="str">
        <x:v>шт</x:v>
      </x:c>
      <x:c r="F221" s="37" t="n">
        <x:f>IF(AS221&gt;0,MAX(AS221,AJ221),0)</x:f>
        <x:v>7</x:v>
      </x:c>
      <x:c r="G221" s="21" t="str">
        <x:f>IF(J221="Рассчитано",V221*(1-R221/100)-W221-P221-Q221,"н/д")</x:f>
        <x:v>н/д</x:v>
      </x:c>
      <x:c r="H221" s="13" t="str">
        <x:v>Высокий</x:v>
      </x:c>
      <x:c r="I221" s="13" t="str">
        <x:v>Критический</x:v>
      </x:c>
      <x:c r="J221" s="13" t="str">
        <x:f>IF(L221="","Укажите валюту",IF(NOT(ISNUMBER(K221)),"Укажите объём",IF(K221&lt;=0,"Укажите объём",IF(COUNT(M221:O221)&lt;3,"Нужны цены",IF(COUNT(P221:R221)&lt;3,"Нужны расходы",IF(OR(M221&lt;0,N221&lt;0,O221&lt;0,O221&gt;100,P221&lt;0,Q221&lt;0,R221&lt;0,R221&gt;100),"Проверьте значения","Рассчитано"))))))</x:f>
        <x:v>Нужны цены</x:v>
      </x:c>
      <x:c r="K221" s="36" t="n">
        <x:v>7</x:v>
      </x:c>
      <x:c r="L221" s="19" t="str">
        <x:v>KZT</x:v>
      </x:c>
      <x:c r="M221" s="22"/>
      <x:c r="N221" s="22"/>
      <x:c r="O221" s="28"/>
      <x:c r="P221" s="22"/>
      <x:c r="Q221" s="22"/>
      <x:c r="R221" s="28"/>
      <x:c r="S221" s="22"/>
      <x:c r="T221" s="37" t="n">
        <x:f>MIN(K221,AT221)</x:f>
        <x:v>6.612696467227213</x:v>
      </x:c>
      <x:c r="U221" s="21" t="str">
        <x:f>IF(J221="Рассчитано",N221*(1-O221/100),"н/д")</x:f>
        <x:v>н/д</x:v>
      </x:c>
      <x:c r="V221" s="21" t="str">
        <x:f>IF(J221="Рассчитано",T221*U221,"н/д")</x:f>
        <x:v>н/д</x:v>
      </x:c>
      <x:c r="W221" s="21" t="str">
        <x:f>IF(J221="Рассчитано",T221*M221,"н/д")</x:f>
        <x:v>н/д</x:v>
      </x:c>
      <x:c r="X221" s="21" t="str">
        <x:f>IF(J221="Рассчитано",V221-W221,"н/д")</x:f>
        <x:v>н/д</x:v>
      </x:c>
      <x:c r="Y221" s="27" t="str">
        <x:f>IF(J221="Рассчитано",IF(V221&gt;0,G221/V221,"н/д"),"н/д")</x:f>
        <x:v>н/д</x:v>
      </x:c>
      <x:c r="Z221" s="21" t="str">
        <x:f>IF(J221="Рассчитано",K221*M221,"н/д")</x:f>
        <x:v>н/д</x:v>
      </x:c>
      <x:c r="AA221" s="21" t="str">
        <x:f>IF(J221="Рассчитано",(K221-T221)*M221,"н/д")</x:f>
        <x:v>н/д</x:v>
      </x:c>
      <x:c r="AB221" s="21" t="str">
        <x:f>IF(AND(J221="Рассчитано",ISNUMBER(S221)),K221*(S221-M221),"н/д")</x:f>
        <x:v>н/д</x:v>
      </x:c>
      <x:c r="AC221" s="21" t="str">
        <x:f>IF(AND(J221="Рассчитано",T221&gt;0,R221&lt;100),(W221+P221+Q221)/(T221*(1-R221/100)),"н/д")</x:f>
        <x:v>н/д</x:v>
      </x:c>
      <x:c r="AD221" s="10" t="str">
        <x:f>IF(ISNUMBER(G221),IF(G221&lt;0,"Убыток",IF(G221=0,"Без прибыли","Прибыль &gt; 0")),"Не оценён")</x:f>
        <x:v>Не оценён</x:v>
      </x:c>
      <x:c r="AE221" s="13" t="str">
        <x:f>IF(J221="Рассчитано","Выручка "&amp;TEXT(V221,"0.00")&amp;" - себестоимость "&amp;TEXT(W221,"0.00")&amp;" - комиссия "&amp;TEXT(V221*R221/100,"0.00")&amp;" - доставка "&amp;TEXT(P221,"0.00")&amp;" - прочие "&amp;TEXT(Q221,"0.00")&amp;" = "&amp;TEXT(G221,"0.00")&amp;" "&amp;L221,"Введите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1" s="24" t="n">
        <x:v>8.612696467227213</x:v>
      </x:c>
      <x:c r="AG221" s="37" t="n">
        <x:v>2</x:v>
      </x:c>
      <x:c r="AH221" s="37" t="n">
        <x:v>0</x:v>
      </x:c>
      <x:c r="AI221" s="30" t="n">
        <x:v>46266</x:v>
      </x:c>
      <x:c r="AJ221" s="37" t="n">
        <x:v>1</x:v>
      </x:c>
      <x:c r="AK221" s="10" t="str">
        <x:v>минимум</x:v>
      </x:c>
      <x:c r="AL221" s="32" t="n">
        <x:v>6.9664593694100665</x:v>
      </x:c>
      <x:c r="AM221" s="13" t="str">
        <x:v>Остаток на начало сентября; Резервы неизвестны; Нет ежедневных данных доступности. Запаса примерно на 7.0 дн. без поступлений</x:v>
      </x:c>
      <x:c r="AN221" s="13" t="str">
        <x:v>Подтвердить наличие, срок и цену закупки</x:v>
      </x:c>
      <x:c r="AO221" s="13" t="str">
        <x:v>Прогноз 30 дней 8.61; остаток 2; поступления в срок 0; нехватка 7; заказ с учётом MOQ 7 шт. Остаток на начало сентября: требуется актуализация.</x:v>
      </x:c>
      <x:c r="AP221" s="13" t="str">
        <x:v>["category_missing", "daily_stockout_data_missing", "new_order_lead_time_unknown", "reservations_unknown", "stale_stock"]</x:v>
      </x:c>
      <x:c r="AQ221" s="10" t="str">
        <x:v>IEK:270300100_</x:v>
      </x:c>
      <x:c r="AR221" s="24" t="n">
        <x:v>1</x:v>
      </x:c>
      <x:c r="AS221" s="24" t="n">
        <x:f>MAX(0,ROUNDUP(MAX(0,AF221-AG221-AH221)/AR221-0.000000001,0)*AR221)</x:f>
        <x:v>7</x:v>
      </x:c>
      <x:c r="AT221" s="24" t="n">
        <x:v>6.612696467227213</x:v>
      </x:c>
    </x:row>
    <x:row r="222" ht="64" customHeight="1">
      <x:c r="A222" s="11" t="str">
        <x:v>IEK</x:v>
      </x:c>
      <x:c r="B222" s="33" t="str">
        <x:v>270300105_</x:v>
      </x:c>
      <x:c r="C222" s="33" t="str">
        <x:v>CKM50-040-060-1-K03</x:v>
      </x:c>
      <x:c r="D222" s="12" t="str">
        <x:v>Кабель.канал перф.  40х60 ИМПАКТ IEK (24)</x:v>
      </x:c>
      <x:c r="E222" s="11" t="str">
        <x:v>м</x:v>
      </x:c>
      <x:c r="F222" s="23" t="n">
        <x:f>IF(AS222&gt;0,MAX(AS222,AJ222),0)</x:f>
        <x:v>146.468</x:v>
      </x:c>
      <x:c r="G222" s="20" t="str">
        <x:f>IF(J222="Рассчитано",V222*(1-R222/100)-W222-P222-Q222,"н/д")</x:f>
        <x:v>н/д</x:v>
      </x:c>
      <x:c r="H222" s="12" t="str">
        <x:v>Высокий</x:v>
      </x:c>
      <x:c r="I222" s="12" t="str">
        <x:v>Критический</x:v>
      </x:c>
      <x:c r="J222" s="12" t="str">
        <x:f>IF(L222="","Укажите валюту",IF(NOT(ISNUMBER(K222)),"Укажите объём",IF(K222&lt;=0,"Укажите объём",IF(COUNT(M222:O222)&lt;3,"Нужны цены",IF(COUNT(P222:R222)&lt;3,"Нужны расходы",IF(OR(M222&lt;0,N222&lt;0,O222&lt;0,O222&gt;100,P222&lt;0,Q222&lt;0,R222&lt;0,R222&gt;100),"Проверьте значения","Рассчитано"))))))</x:f>
        <x:v>Нужны цены</x:v>
      </x:c>
      <x:c r="K222" s="25" t="n">
        <x:v>146.468</x:v>
      </x:c>
      <x:c r="L222" s="19" t="str">
        <x:v>KZT</x:v>
      </x:c>
      <x:c r="M222" s="22"/>
      <x:c r="N222" s="22"/>
      <x:c r="O222" s="28"/>
      <x:c r="P222" s="22"/>
      <x:c r="Q222" s="22"/>
      <x:c r="R222" s="28"/>
      <x:c r="S222" s="22"/>
      <x:c r="T222" s="23" t="n">
        <x:f>MIN(K222,AT222)</x:f>
        <x:v>146.46705654097508</x:v>
      </x:c>
      <x:c r="U222" s="20" t="str">
        <x:f>IF(J222="Рассчитано",N222*(1-O222/100),"н/д")</x:f>
        <x:v>н/д</x:v>
      </x:c>
      <x:c r="V222" s="20" t="str">
        <x:f>IF(J222="Рассчитано",T222*U222,"н/д")</x:f>
        <x:v>н/д</x:v>
      </x:c>
      <x:c r="W222" s="20" t="str">
        <x:f>IF(J222="Рассчитано",T222*M222,"н/д")</x:f>
        <x:v>н/д</x:v>
      </x:c>
      <x:c r="X222" s="20" t="str">
        <x:f>IF(J222="Рассчитано",V222-W222,"н/д")</x:f>
        <x:v>н/д</x:v>
      </x:c>
      <x:c r="Y222" s="26" t="str">
        <x:f>IF(J222="Рассчитано",IF(V222&gt;0,G222/V222,"н/д"),"н/д")</x:f>
        <x:v>н/д</x:v>
      </x:c>
      <x:c r="Z222" s="20" t="str">
        <x:f>IF(J222="Рассчитано",K222*M222,"н/д")</x:f>
        <x:v>н/д</x:v>
      </x:c>
      <x:c r="AA222" s="20" t="str">
        <x:f>IF(J222="Рассчитано",(K222-T222)*M222,"н/д")</x:f>
        <x:v>н/д</x:v>
      </x:c>
      <x:c r="AB222" s="20" t="str">
        <x:f>IF(AND(J222="Рассчитано",ISNUMBER(S222)),K222*(S222-M222),"н/д")</x:f>
        <x:v>н/д</x:v>
      </x:c>
      <x:c r="AC222" s="20" t="str">
        <x:f>IF(AND(J222="Рассчитано",T222&gt;0,R222&lt;100),(W222+P222+Q222)/(T222*(1-R222/100)),"н/д")</x:f>
        <x:v>н/д</x:v>
      </x:c>
      <x:c r="AD222" s="11" t="str">
        <x:f>IF(ISNUMBER(G222),IF(G222&lt;0,"Убыток",IF(G222=0,"Без прибыли","Прибыль &gt; 0")),"Не оценён")</x:f>
        <x:v>Не оценён</x:v>
      </x:c>
      <x:c r="AE222" s="12" t="str">
        <x:f>IF(J222="Рассчитано","Выручка "&amp;TEXT(V222,"0.00")&amp;" - себестоимость "&amp;TEXT(W222,"0.00")&amp;" - комиссия "&amp;TEXT(V222*R222/100,"0.00")&amp;" - доставка "&amp;TEXT(P222,"0.00")&amp;" - прочие "&amp;TEXT(Q222,"0.00")&amp;" = "&amp;TEXT(G222,"0.00")&amp;" "&amp;L222,"Введите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2" s="23" t="n">
        <x:v>146.46705654097508</x:v>
      </x:c>
      <x:c r="AG222" s="23" t="n">
        <x:v>0</x:v>
      </x:c>
      <x:c r="AH222" s="23" t="n">
        <x:v>0</x:v>
      </x:c>
      <x:c r="AI222" s="29" t="n">
        <x:v>46266</x:v>
      </x:c>
      <x:c r="AJ222" s="23" t="n">
        <x:v>24</x:v>
      </x:c>
      <x:c r="AK222" s="11" t="str">
        <x:v>минимум</x:v>
      </x:c>
      <x:c r="AL222" s="31" t="n">
        <x:v>0</x:v>
      </x:c>
      <x:c r="AM222" s="12" t="str">
        <x:v>Остаток на начало сентября; Резервы неизвестны; Детальные и месячные продажи расходятся; Stockout оценён по месячным снимкам; Нет ежедневных данных доступности. Нет запаса</x:v>
      </x:c>
      <x:c r="AN222" s="12" t="str">
        <x:v>Подтвердить наличие, срок и цену закупки</x:v>
      </x:c>
      <x:c r="AO222" s="12" t="str">
        <x:v>Прогноз 30 дней 146.47; остаток 0; поступления в срок 0; нехватка 146.468; заказ с учётом MOQ 146.468 м. Остаток на начало сентября: требуется актуализация.</x:v>
      </x:c>
      <x:c r="AP222" s="12" t="str">
        <x:v>["blank_stock_assumed_zero", "category_missing", "daily_stockout_data_missing", "large_orders_detected", "new_order_lead_time_unknown", "reservations_unknown", "stale_stock", "stockout_proxy_used", "transaction_month_mismatch"]</x:v>
      </x:c>
      <x:c r="AQ222" s="11" t="str">
        <x:v>IEK:270300105_</x:v>
      </x:c>
      <x:c r="AR222" s="23" t="n">
        <x:v>0.001</x:v>
      </x:c>
      <x:c r="AS222" s="23" t="n">
        <x:f>MAX(0,ROUNDUP(MAX(0,AF222-AG222-AH222)/AR222-0.000000001,0)*AR222)</x:f>
        <x:v>146.468</x:v>
      </x:c>
      <x:c r="AT222" s="23" t="n">
        <x:v>146.46705654097508</x:v>
      </x:c>
    </x:row>
    <x:row r="223" ht="64" customHeight="1">
      <x:c r="A223" s="10" t="str">
        <x:v>IEK</x:v>
      </x:c>
      <x:c r="B223" s="34" t="str">
        <x:v>270300113_</x:v>
      </x:c>
      <x:c r="C223" s="34"/>
      <x:c r="D223" s="13" t="str">
        <x:v>Трансформатор тока ТТИ-А  300/5А  5ВА  класс 0,5 IEK (36) !!!</x:v>
      </x:c>
      <x:c r="E223" s="10" t="str">
        <x:v>шт</x:v>
      </x:c>
      <x:c r="F223" s="37" t="n">
        <x:f>AS223</x:f>
        <x:v>1</x:v>
      </x:c>
      <x:c r="G223" s="21" t="str">
        <x:f>IF(J223="Рассчитано",V223*(1-R223/100)-W223-P223-Q223,"н/д")</x:f>
        <x:v>н/д</x:v>
      </x:c>
      <x:c r="H223" s="13" t="str">
        <x:v>Высокий</x:v>
      </x:c>
      <x:c r="I223" s="13" t="str">
        <x:v>Критический</x:v>
      </x:c>
      <x:c r="J223" s="13" t="str">
        <x:f>IF(L223="","Укажите валюту",IF(NOT(ISNUMBER(K223)),"Укажите объём",IF(K223&lt;=0,"Укажите объём",IF(COUNT(M223:O223)&lt;3,"Нужны цены",IF(COUNT(P223:R223)&lt;3,"Нужны расходы",IF(OR(M223&lt;0,N223&lt;0,O223&lt;0,O223&gt;100,P223&lt;0,Q223&lt;0,R223&lt;0,R223&gt;100),"Проверьте значения","Рассчитано"))))))</x:f>
        <x:v>Нужны цены</x:v>
      </x:c>
      <x:c r="K223" s="36" t="n">
        <x:v>1</x:v>
      </x:c>
      <x:c r="L223" s="19" t="str">
        <x:v>KZT</x:v>
      </x:c>
      <x:c r="M223" s="22"/>
      <x:c r="N223" s="22"/>
      <x:c r="O223" s="28"/>
      <x:c r="P223" s="22"/>
      <x:c r="Q223" s="22"/>
      <x:c r="R223" s="28"/>
      <x:c r="S223" s="22"/>
      <x:c r="T223" s="37" t="n">
        <x:f>MIN(K223,AT223)</x:f>
        <x:v>0.4277636236484841</x:v>
      </x:c>
      <x:c r="U223" s="21" t="str">
        <x:f>IF(J223="Рассчитано",N223*(1-O223/100),"н/д")</x:f>
        <x:v>н/д</x:v>
      </x:c>
      <x:c r="V223" s="21" t="str">
        <x:f>IF(J223="Рассчитано",T223*U223,"н/д")</x:f>
        <x:v>н/д</x:v>
      </x:c>
      <x:c r="W223" s="21" t="str">
        <x:f>IF(J223="Рассчитано",T223*M223,"н/д")</x:f>
        <x:v>н/д</x:v>
      </x:c>
      <x:c r="X223" s="21" t="str">
        <x:f>IF(J223="Рассчитано",V223-W223,"н/д")</x:f>
        <x:v>н/д</x:v>
      </x:c>
      <x:c r="Y223" s="27" t="str">
        <x:f>IF(J223="Рассчитано",IF(V223&gt;0,G223/V223,"н/д"),"н/д")</x:f>
        <x:v>н/д</x:v>
      </x:c>
      <x:c r="Z223" s="21" t="str">
        <x:f>IF(J223="Рассчитано",K223*M223,"н/д")</x:f>
        <x:v>н/д</x:v>
      </x:c>
      <x:c r="AA223" s="21" t="str">
        <x:f>IF(J223="Рассчитано",(K223-T223)*M223,"н/д")</x:f>
        <x:v>н/д</x:v>
      </x:c>
      <x:c r="AB223" s="21" t="str">
        <x:f>IF(AND(J223="Рассчитано",ISNUMBER(S223)),K223*(S223-M223),"н/д")</x:f>
        <x:v>н/д</x:v>
      </x:c>
      <x:c r="AC223" s="21" t="str">
        <x:f>IF(AND(J223="Рассчитано",T223&gt;0,R223&lt;100),(W223+P223+Q223)/(T223*(1-R223/100)),"н/д")</x:f>
        <x:v>н/д</x:v>
      </x:c>
      <x:c r="AD223" s="10" t="str">
        <x:f>IF(ISNUMBER(G223),IF(G223&lt;0,"Убыток",IF(G223=0,"Без прибыли","Прибыль &gt; 0")),"Не оценён")</x:f>
        <x:v>Не оценён</x:v>
      </x:c>
      <x:c r="AE223" s="13" t="str">
        <x:f>IF(J223="Рассчитано","Выручка "&amp;TEXT(V223,"0.00")&amp;" - себестоимость "&amp;TEXT(W223,"0.00")&amp;" - комиссия "&amp;TEXT(V223*R223/100,"0.00")&amp;" - доставка "&amp;TEXT(P223,"0.00")&amp;" - прочие "&amp;TEXT(Q223,"0.00")&amp;" = "&amp;TEXT(G223,"0.00")&amp;" "&amp;L223,"Введите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3" s="24" t="n">
        <x:v>0.4277636236484841</x:v>
      </x:c>
      <x:c r="AG223" s="37" t="n">
        <x:v>0</x:v>
      </x:c>
      <x:c r="AH223" s="37" t="n">
        <x:v>0</x:v>
      </x:c>
      <x:c r="AI223" s="30" t="n">
        <x:v>46266</x:v>
      </x:c>
      <x:c r="AJ223" s="37"/>
      <x:c r="AK223" s="10" t="str">
        <x:v>неизвестно</x:v>
      </x:c>
      <x:c r="AL223" s="32" t="n">
        <x:v>0</x:v>
      </x:c>
      <x:c r="AM223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23" s="13" t="str">
        <x:v>Подтвердить наличие, срок и цену закупки</x:v>
      </x:c>
      <x:c r="AO223" s="13" t="str">
        <x:v>Прогноз 30 дней 0.43; остаток 0; поступления в срок 0; нехватка 1; заказ с учётом MOQ 1 шт. Остаток на начало сентября: требуется актуализация.</x:v>
      </x:c>
      <x:c r="AP223" s="13" t="str">
        <x:v>["blank_stock_assumed_zero", "category_missing", "daily_stockout_data_missing", "moq_missing", "negative_net_sales_clipped_for_forecast", "new_order_lead_time_unknown", "reservations_unknown", "stale_stock", "supplier_sku_missing"]</x:v>
      </x:c>
      <x:c r="AQ223" s="10" t="str">
        <x:v>IEK:270300113_</x:v>
      </x:c>
      <x:c r="AR223" s="24" t="n">
        <x:v>1</x:v>
      </x:c>
      <x:c r="AS223" s="24" t="n">
        <x:f>MAX(0,ROUNDUP(MAX(0,AF223-AG223-AH223)/AR223-0.000000001,0)*AR223)</x:f>
        <x:v>1</x:v>
      </x:c>
      <x:c r="AT223" s="24" t="n">
        <x:v>0.4277636236484841</x:v>
      </x:c>
    </x:row>
    <x:row r="224" ht="64" customHeight="1">
      <x:c r="A224" s="11" t="str">
        <x:v>IEK</x:v>
      </x:c>
      <x:c r="B224" s="33" t="str">
        <x:v>270300134_</x:v>
      </x:c>
      <x:c r="C224" s="33" t="str">
        <x:v>BCS13-025-2</x:v>
      </x:c>
      <x:c r="D224" s="12" t="str">
        <x:v>Переключатель кулачковый ПКП25-33 /О 25А"1-0-2"3Р/400В  IEK</x:v>
      </x:c>
      <x:c r="E224" s="11" t="str">
        <x:v>шт</x:v>
      </x:c>
      <x:c r="F224" s="35" t="n">
        <x:f>AS224</x:f>
        <x:v>1</x:v>
      </x:c>
      <x:c r="G224" s="20" t="str">
        <x:f>IF(J224="Рассчитано",V224*(1-R224/100)-W224-P224-Q224,"н/д")</x:f>
        <x:v>н/д</x:v>
      </x:c>
      <x:c r="H224" s="12" t="str">
        <x:v>Высокий</x:v>
      </x:c>
      <x:c r="I224" s="12" t="str">
        <x:v>Критический</x:v>
      </x:c>
      <x:c r="J224" s="12" t="str">
        <x:f>IF(L224="","Укажите валюту",IF(NOT(ISNUMBER(K224)),"Укажите объём",IF(K224&lt;=0,"Укажите объём",IF(COUNT(M224:O224)&lt;3,"Нужны цены",IF(COUNT(P224:R224)&lt;3,"Нужны расходы",IF(OR(M224&lt;0,N224&lt;0,O224&lt;0,O224&gt;100,P224&lt;0,Q224&lt;0,R224&lt;0,R224&gt;100),"Проверьте значения","Рассчитано"))))))</x:f>
        <x:v>Нужны цены</x:v>
      </x:c>
      <x:c r="K224" s="36" t="n">
        <x:v>1</x:v>
      </x:c>
      <x:c r="L224" s="19" t="str">
        <x:v>KZT</x:v>
      </x:c>
      <x:c r="M224" s="22"/>
      <x:c r="N224" s="22"/>
      <x:c r="O224" s="28"/>
      <x:c r="P224" s="22"/>
      <x:c r="Q224" s="22"/>
      <x:c r="R224" s="28"/>
      <x:c r="S224" s="22"/>
      <x:c r="T224" s="35" t="n">
        <x:f>MIN(K224,AT224)</x:f>
        <x:v>0.2657937708938183</x:v>
      </x:c>
      <x:c r="U224" s="20" t="str">
        <x:f>IF(J224="Рассчитано",N224*(1-O224/100),"н/д")</x:f>
        <x:v>н/д</x:v>
      </x:c>
      <x:c r="V224" s="20" t="str">
        <x:f>IF(J224="Рассчитано",T224*U224,"н/д")</x:f>
        <x:v>н/д</x:v>
      </x:c>
      <x:c r="W224" s="20" t="str">
        <x:f>IF(J224="Рассчитано",T224*M224,"н/д")</x:f>
        <x:v>н/д</x:v>
      </x:c>
      <x:c r="X224" s="20" t="str">
        <x:f>IF(J224="Рассчитано",V224-W224,"н/д")</x:f>
        <x:v>н/д</x:v>
      </x:c>
      <x:c r="Y224" s="26" t="str">
        <x:f>IF(J224="Рассчитано",IF(V224&gt;0,G224/V224,"н/д"),"н/д")</x:f>
        <x:v>н/д</x:v>
      </x:c>
      <x:c r="Z224" s="20" t="str">
        <x:f>IF(J224="Рассчитано",K224*M224,"н/д")</x:f>
        <x:v>н/д</x:v>
      </x:c>
      <x:c r="AA224" s="20" t="str">
        <x:f>IF(J224="Рассчитано",(K224-T224)*M224,"н/д")</x:f>
        <x:v>н/д</x:v>
      </x:c>
      <x:c r="AB224" s="20" t="str">
        <x:f>IF(AND(J224="Рассчитано",ISNUMBER(S224)),K224*(S224-M224),"н/д")</x:f>
        <x:v>н/д</x:v>
      </x:c>
      <x:c r="AC224" s="20" t="str">
        <x:f>IF(AND(J224="Рассчитано",T224&gt;0,R224&lt;100),(W224+P224+Q224)/(T224*(1-R224/100)),"н/д")</x:f>
        <x:v>н/д</x:v>
      </x:c>
      <x:c r="AD224" s="11" t="str">
        <x:f>IF(ISNUMBER(G224),IF(G224&lt;0,"Убыток",IF(G224=0,"Без прибыли","Прибыль &gt; 0")),"Не оценён")</x:f>
        <x:v>Не оценён</x:v>
      </x:c>
      <x:c r="AE224" s="12" t="str">
        <x:f>IF(J224="Рассчитано","Выручка "&amp;TEXT(V224,"0.00")&amp;" - себестоимость "&amp;TEXT(W224,"0.00")&amp;" - комиссия "&amp;TEXT(V224*R224/100,"0.00")&amp;" - доставка "&amp;TEXT(P224,"0.00")&amp;" - прочие "&amp;TEXT(Q224,"0.00")&amp;" = "&amp;TEXT(G224,"0.00")&amp;" "&amp;L224,"Введите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4" s="23" t="n">
        <x:v>0.2657937708938183</x:v>
      </x:c>
      <x:c r="AG224" s="35" t="n">
        <x:v>0</x:v>
      </x:c>
      <x:c r="AH224" s="35" t="n">
        <x:v>0</x:v>
      </x:c>
      <x:c r="AI224" s="29" t="n">
        <x:v>46266</x:v>
      </x:c>
      <x:c r="AJ224" s="35"/>
      <x:c r="AK224" s="11" t="str">
        <x:v>минимум</x:v>
      </x:c>
      <x:c r="AL224" s="31" t="n">
        <x:v>0</x:v>
      </x:c>
      <x:c r="AM224" s="12" t="str">
        <x:v>Остаток на начало сентября; Резервы неизвестны; Нет ежедневных данных доступности. Нет запаса</x:v>
      </x:c>
      <x:c r="AN224" s="12" t="str">
        <x:v>Подтвердить наличие, срок и цену закупки</x:v>
      </x:c>
      <x:c r="AO224" s="12" t="str">
        <x:v>Прогноз 30 дней 0.27; остаток 0; поступления в срок 0; нехватка 1; заказ с учётом MOQ 1 шт. Остаток на начало сентября: требуется актуализация.</x:v>
      </x:c>
      <x:c r="AP224" s="12" t="str">
        <x:v>["blank_stock_assumed_zero", "category_missing", "daily_stockout_data_missing", "moq_missing", "new_order_lead_time_unknown", "reservations_unknown", "stale_stock"]</x:v>
      </x:c>
      <x:c r="AQ224" s="11" t="str">
        <x:v>IEK:270300134_</x:v>
      </x:c>
      <x:c r="AR224" s="23" t="n">
        <x:v>1</x:v>
      </x:c>
      <x:c r="AS224" s="23" t="n">
        <x:f>MAX(0,ROUNDUP(MAX(0,AF224-AG224-AH224)/AR224-0.000000001,0)*AR224)</x:f>
        <x:v>1</x:v>
      </x:c>
      <x:c r="AT224" s="23" t="n">
        <x:v>0.2657937708938183</x:v>
      </x:c>
    </x:row>
    <x:row r="225" ht="64" customHeight="1">
      <x:c r="A225" s="10" t="str">
        <x:v>IEK</x:v>
      </x:c>
      <x:c r="B225" s="34" t="str">
        <x:v>270300150_</x:v>
      </x:c>
      <x:c r="C225" s="34" t="str">
        <x:v>CKM50-060-060-1-K03</x:v>
      </x:c>
      <x:c r="D225" s="13" t="str">
        <x:v>Кабель.канал перф.  60х60 ИМПАКТ IEK (16)</x:v>
      </x:c>
      <x:c r="E225" s="10" t="str">
        <x:v>м</x:v>
      </x:c>
      <x:c r="F225" s="24" t="n">
        <x:f>IF(AS225&gt;0,MAX(AS225,AJ225),0)</x:f>
        <x:v>16</x:v>
      </x:c>
      <x:c r="G225" s="21" t="str">
        <x:f>IF(J225="Рассчитано",V225*(1-R225/100)-W225-P225-Q225,"н/д")</x:f>
        <x:v>н/д</x:v>
      </x:c>
      <x:c r="H225" s="13" t="str">
        <x:v>Высокий</x:v>
      </x:c>
      <x:c r="I225" s="13" t="str">
        <x:v>Средний</x:v>
      </x:c>
      <x:c r="J225" s="13" t="str">
        <x:f>IF(L225="","Укажите валюту",IF(NOT(ISNUMBER(K225)),"Укажите объём",IF(K225&lt;=0,"Укажите объём",IF(COUNT(M225:O225)&lt;3,"Нужны цены",IF(COUNT(P225:R225)&lt;3,"Нужны расходы",IF(OR(M225&lt;0,N225&lt;0,O225&lt;0,O225&gt;100,P225&lt;0,Q225&lt;0,R225&lt;0,R225&gt;100),"Проверьте значения","Рассчитано"))))))</x:f>
        <x:v>Нужны цены</x:v>
      </x:c>
      <x:c r="K225" s="25" t="n">
        <x:v>16</x:v>
      </x:c>
      <x:c r="L225" s="19" t="str">
        <x:v>KZT</x:v>
      </x:c>
      <x:c r="M225" s="22"/>
      <x:c r="N225" s="22"/>
      <x:c r="O225" s="28"/>
      <x:c r="P225" s="22"/>
      <x:c r="Q225" s="22"/>
      <x:c r="R225" s="28"/>
      <x:c r="S225" s="22"/>
      <x:c r="T225" s="24" t="n">
        <x:f>MIN(K225,AT225)</x:f>
        <x:v>6.620400698656738</x:v>
      </x:c>
      <x:c r="U225" s="21" t="str">
        <x:f>IF(J225="Рассчитано",N225*(1-O225/100),"н/д")</x:f>
        <x:v>н/д</x:v>
      </x:c>
      <x:c r="V225" s="21" t="str">
        <x:f>IF(J225="Рассчитано",T225*U225,"н/д")</x:f>
        <x:v>н/д</x:v>
      </x:c>
      <x:c r="W225" s="21" t="str">
        <x:f>IF(J225="Рассчитано",T225*M225,"н/д")</x:f>
        <x:v>н/д</x:v>
      </x:c>
      <x:c r="X225" s="21" t="str">
        <x:f>IF(J225="Рассчитано",V225-W225,"н/д")</x:f>
        <x:v>н/д</x:v>
      </x:c>
      <x:c r="Y225" s="27" t="str">
        <x:f>IF(J225="Рассчитано",IF(V225&gt;0,G225/V225,"н/д"),"н/д")</x:f>
        <x:v>н/д</x:v>
      </x:c>
      <x:c r="Z225" s="21" t="str">
        <x:f>IF(J225="Рассчитано",K225*M225,"н/д")</x:f>
        <x:v>н/д</x:v>
      </x:c>
      <x:c r="AA225" s="21" t="str">
        <x:f>IF(J225="Рассчитано",(K225-T225)*M225,"н/д")</x:f>
        <x:v>н/д</x:v>
      </x:c>
      <x:c r="AB225" s="21" t="str">
        <x:f>IF(AND(J225="Рассчитано",ISNUMBER(S225)),K225*(S225-M225),"н/д")</x:f>
        <x:v>н/д</x:v>
      </x:c>
      <x:c r="AC225" s="21" t="str">
        <x:f>IF(AND(J225="Рассчитано",T225&gt;0,R225&lt;100),(W225+P225+Q225)/(T225*(1-R225/100)),"н/д")</x:f>
        <x:v>н/д</x:v>
      </x:c>
      <x:c r="AD225" s="10" t="str">
        <x:f>IF(ISNUMBER(G225),IF(G225&lt;0,"Убыток",IF(G225=0,"Без прибыли","Прибыль &gt; 0")),"Не оценён")</x:f>
        <x:v>Не оценён</x:v>
      </x:c>
      <x:c r="AE225" s="13" t="str">
        <x:f>IF(J225="Рассчитано","Выручка "&amp;TEXT(V225,"0.00")&amp;" - себестоимость "&amp;TEXT(W225,"0.00")&amp;" - комиссия "&amp;TEXT(V225*R225/100,"0.00")&amp;" - доставка "&amp;TEXT(P225,"0.00")&amp;" - прочие "&amp;TEXT(Q225,"0.00")&amp;" = "&amp;TEXT(G225,"0.00")&amp;" "&amp;L225,"Введите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5" s="24" t="n">
        <x:v>74.62040069865674</x:v>
      </x:c>
      <x:c r="AG225" s="24" t="n">
        <x:v>68</x:v>
      </x:c>
      <x:c r="AH225" s="24" t="n">
        <x:v>0</x:v>
      </x:c>
      <x:c r="AI225" s="30" t="n">
        <x:v>46266</x:v>
      </x:c>
      <x:c r="AJ225" s="24" t="n">
        <x:v>16</x:v>
      </x:c>
      <x:c r="AK225" s="10" t="str">
        <x:v>минимум</x:v>
      </x:c>
      <x:c r="AL225" s="32" t="n">
        <x:v>27.33836834029119</x:v>
      </x:c>
      <x:c r="AM225" s="13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27.3 дн. без поступлений</x:v>
      </x:c>
      <x:c r="AN225" s="13" t="str">
        <x:v>Подтвердить наличие, срок и цену закупки</x:v>
      </x:c>
      <x:c r="AO225" s="13" t="str">
        <x:v>Прогноз 30 дней 74.62; остаток 68; поступления в срок 0; нехватка 6.621; заказ с учётом MOQ 16 м. Остаток на начало сентября: требуется актуализация.</x:v>
      </x:c>
      <x:c r="AP225" s="13" t="str">
        <x:v>["category_missing", "daily_stockout_data_missing", "large_orders_detected", "new_order_lead_time_unknown", "reservations_unknown", "stale_stock", "transaction_month_mismatch"]</x:v>
      </x:c>
      <x:c r="AQ225" s="10" t="str">
        <x:v>IEK:270300150_</x:v>
      </x:c>
      <x:c r="AR225" s="24" t="n">
        <x:v>0.001</x:v>
      </x:c>
      <x:c r="AS225" s="24" t="n">
        <x:f>MAX(0,ROUNDUP(MAX(0,AF225-AG225-AH225)/AR225-0.000000001,0)*AR225)</x:f>
        <x:v>6.621</x:v>
      </x:c>
      <x:c r="AT225" s="24" t="n">
        <x:v>6.620400698656738</x:v>
      </x:c>
    </x:row>
    <x:row r="226" ht="64" customHeight="1">
      <x:c r="A226" s="11" t="str">
        <x:v>IEK</x:v>
      </x:c>
      <x:c r="B226" s="33" t="str">
        <x:v>270300151_</x:v>
      </x:c>
      <x:c r="C226" s="33" t="str">
        <x:v>CKM50-080-060-1-K03</x:v>
      </x:c>
      <x:c r="D226" s="12" t="str">
        <x:v>Кабель-канал перф.  80х60 ИМПАКТ IEK (16)</x:v>
      </x:c>
      <x:c r="E226" s="11" t="str">
        <x:v>м</x:v>
      </x:c>
      <x:c r="F226" s="23" t="n">
        <x:f>IF(AS226&gt;0,MAX(AS226,AJ226),0)</x:f>
        <x:v>44.64</x:v>
      </x:c>
      <x:c r="G226" s="20" t="str">
        <x:f>IF(J226="Рассчитано",V226*(1-R226/100)-W226-P226-Q226,"н/д")</x:f>
        <x:v>н/д</x:v>
      </x:c>
      <x:c r="H226" s="12" t="str">
        <x:v>Высокий</x:v>
      </x:c>
      <x:c r="I226" s="12" t="str">
        <x:v>Критический</x:v>
      </x:c>
      <x:c r="J226" s="12" t="str">
        <x:f>IF(L226="","Укажите валюту",IF(NOT(ISNUMBER(K226)),"Укажите объём",IF(K226&lt;=0,"Укажите объём",IF(COUNT(M226:O226)&lt;3,"Нужны цены",IF(COUNT(P226:R226)&lt;3,"Нужны расходы",IF(OR(M226&lt;0,N226&lt;0,O226&lt;0,O226&gt;100,P226&lt;0,Q226&lt;0,R226&lt;0,R226&gt;100),"Проверьте значения","Рассчитано"))))))</x:f>
        <x:v>Нужны цены</x:v>
      </x:c>
      <x:c r="K226" s="25" t="n">
        <x:v>44.64</x:v>
      </x:c>
      <x:c r="L226" s="19" t="str">
        <x:v>KZT</x:v>
      </x:c>
      <x:c r="M226" s="22"/>
      <x:c r="N226" s="22"/>
      <x:c r="O226" s="28"/>
      <x:c r="P226" s="22"/>
      <x:c r="Q226" s="22"/>
      <x:c r="R226" s="28"/>
      <x:c r="S226" s="22"/>
      <x:c r="T226" s="23" t="n">
        <x:f>MIN(K226,AT226)</x:f>
        <x:v>44.63945229864591</x:v>
      </x:c>
      <x:c r="U226" s="20" t="str">
        <x:f>IF(J226="Рассчитано",N226*(1-O226/100),"н/д")</x:f>
        <x:v>н/д</x:v>
      </x:c>
      <x:c r="V226" s="20" t="str">
        <x:f>IF(J226="Рассчитано",T226*U226,"н/д")</x:f>
        <x:v>н/д</x:v>
      </x:c>
      <x:c r="W226" s="20" t="str">
        <x:f>IF(J226="Рассчитано",T226*M226,"н/д")</x:f>
        <x:v>н/д</x:v>
      </x:c>
      <x:c r="X226" s="20" t="str">
        <x:f>IF(J226="Рассчитано",V226-W226,"н/д")</x:f>
        <x:v>н/д</x:v>
      </x:c>
      <x:c r="Y226" s="26" t="str">
        <x:f>IF(J226="Рассчитано",IF(V226&gt;0,G226/V226,"н/д"),"н/д")</x:f>
        <x:v>н/д</x:v>
      </x:c>
      <x:c r="Z226" s="20" t="str">
        <x:f>IF(J226="Рассчитано",K226*M226,"н/д")</x:f>
        <x:v>н/д</x:v>
      </x:c>
      <x:c r="AA226" s="20" t="str">
        <x:f>IF(J226="Рассчитано",(K226-T226)*M226,"н/д")</x:f>
        <x:v>н/д</x:v>
      </x:c>
      <x:c r="AB226" s="20" t="str">
        <x:f>IF(AND(J226="Рассчитано",ISNUMBER(S226)),K226*(S226-M226),"н/д")</x:f>
        <x:v>н/д</x:v>
      </x:c>
      <x:c r="AC226" s="20" t="str">
        <x:f>IF(AND(J226="Рассчитано",T226&gt;0,R226&lt;100),(W226+P226+Q226)/(T226*(1-R226/100)),"н/д")</x:f>
        <x:v>н/д</x:v>
      </x:c>
      <x:c r="AD226" s="11" t="str">
        <x:f>IF(ISNUMBER(G226),IF(G226&lt;0,"Убыток",IF(G226=0,"Без прибыли","Прибыль &gt; 0")),"Не оценён")</x:f>
        <x:v>Не оценён</x:v>
      </x:c>
      <x:c r="AE226" s="12" t="str">
        <x:f>IF(J226="Рассчитано","Выручка "&amp;TEXT(V226,"0.00")&amp;" - себестоимость "&amp;TEXT(W226,"0.00")&amp;" - комиссия "&amp;TEXT(V226*R226/100,"0.00")&amp;" - доставка "&amp;TEXT(P226,"0.00")&amp;" - прочие "&amp;TEXT(Q226,"0.00")&amp;" = "&amp;TEXT(G226,"0.00")&amp;" "&amp;L226,"Введите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6" s="23" t="n">
        <x:v>44.63945229864591</x:v>
      </x:c>
      <x:c r="AG226" s="23" t="n">
        <x:v>0</x:v>
      </x:c>
      <x:c r="AH226" s="23" t="n">
        <x:v>0</x:v>
      </x:c>
      <x:c r="AI226" s="29" t="n">
        <x:v>46266</x:v>
      </x:c>
      <x:c r="AJ226" s="23" t="n">
        <x:v>16</x:v>
      </x:c>
      <x:c r="AK226" s="11" t="str">
        <x:v>минимум</x:v>
      </x:c>
      <x:c r="AL226" s="31" t="n">
        <x:v>0</x:v>
      </x:c>
      <x:c r="AM226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26" s="12" t="str">
        <x:v>Подтвердить наличие, срок и цену закупки</x:v>
      </x:c>
      <x:c r="AO226" s="12" t="str">
        <x:v>Прогноз 30 дней 44.64; остаток 0; поступления в срок 0; нехватка 44.64; заказ с учётом MOQ 44.64 м. Остаток на начало сентября: требуется актуализация.</x:v>
      </x:c>
      <x:c r="AP226" s="12" t="str">
        <x:v>["blank_stock_assumed_zero", "category_missing", "daily_stockout_data_missing", "negative_net_sales_clipped_for_forecast", "new_order_lead_time_unknown", "reservations_unknown", "stale_stock", "stockout_proxy_used"]</x:v>
      </x:c>
      <x:c r="AQ226" s="11" t="str">
        <x:v>IEK:270300151_</x:v>
      </x:c>
      <x:c r="AR226" s="23" t="n">
        <x:v>0.001</x:v>
      </x:c>
      <x:c r="AS226" s="23" t="n">
        <x:f>MAX(0,ROUNDUP(MAX(0,AF226-AG226-AH226)/AR226-0.000000001,0)*AR226)</x:f>
        <x:v>44.64</x:v>
      </x:c>
      <x:c r="AT226" s="23" t="n">
        <x:v>44.63945229864591</x:v>
      </x:c>
    </x:row>
    <x:row r="227" ht="64" customHeight="1">
      <x:c r="A227" s="10" t="str">
        <x:v>IEK</x:v>
      </x:c>
      <x:c r="B227" s="34" t="str">
        <x:v>270300153_</x:v>
      </x:c>
      <x:c r="C227" s="34" t="str">
        <x:v>CKM50-100-060-1-K03</x:v>
      </x:c>
      <x:c r="D227" s="13" t="str">
        <x:v>Кабель-канал перф. 100х60 ИМПАКТ IEK (12)</x:v>
      </x:c>
      <x:c r="E227" s="10" t="str">
        <x:v>м</x:v>
      </x:c>
      <x:c r="F227" s="24" t="n">
        <x:f>IF(AS227&gt;0,MAX(AS227,AJ227),0)</x:f>
        <x:v>23.598</x:v>
      </x:c>
      <x:c r="G227" s="21" t="str">
        <x:f>IF(J227="Рассчитано",V227*(1-R227/100)-W227-P227-Q227,"н/д")</x:f>
        <x:v>н/д</x:v>
      </x:c>
      <x:c r="H227" s="13" t="str">
        <x:v>Высокий</x:v>
      </x:c>
      <x:c r="I227" s="13" t="str">
        <x:v>Высокий</x:v>
      </x:c>
      <x:c r="J227" s="13" t="str">
        <x:f>IF(L227="","Укажите валюту",IF(NOT(ISNUMBER(K227)),"Укажите объём",IF(K227&lt;=0,"Укажите объём",IF(COUNT(M227:O227)&lt;3,"Нужны цены",IF(COUNT(P227:R227)&lt;3,"Нужны расходы",IF(OR(M227&lt;0,N227&lt;0,O227&lt;0,O227&gt;100,P227&lt;0,Q227&lt;0,R227&lt;0,R227&gt;100),"Проверьте значения","Рассчитано"))))))</x:f>
        <x:v>Нужны цены</x:v>
      </x:c>
      <x:c r="K227" s="25" t="n">
        <x:v>23.598</x:v>
      </x:c>
      <x:c r="L227" s="19" t="str">
        <x:v>KZT</x:v>
      </x:c>
      <x:c r="M227" s="22"/>
      <x:c r="N227" s="22"/>
      <x:c r="O227" s="28"/>
      <x:c r="P227" s="22"/>
      <x:c r="Q227" s="22"/>
      <x:c r="R227" s="28"/>
      <x:c r="S227" s="22"/>
      <x:c r="T227" s="24" t="n">
        <x:f>MIN(K227,AT227)</x:f>
        <x:v>23.597941789951875</x:v>
      </x:c>
      <x:c r="U227" s="21" t="str">
        <x:f>IF(J227="Рассчитано",N227*(1-O227/100),"н/д")</x:f>
        <x:v>н/д</x:v>
      </x:c>
      <x:c r="V227" s="21" t="str">
        <x:f>IF(J227="Рассчитано",T227*U227,"н/д")</x:f>
        <x:v>н/д</x:v>
      </x:c>
      <x:c r="W227" s="21" t="str">
        <x:f>IF(J227="Рассчитано",T227*M227,"н/д")</x:f>
        <x:v>н/д</x:v>
      </x:c>
      <x:c r="X227" s="21" t="str">
        <x:f>IF(J227="Рассчитано",V227-W227,"н/д")</x:f>
        <x:v>н/д</x:v>
      </x:c>
      <x:c r="Y227" s="27" t="str">
        <x:f>IF(J227="Рассчитано",IF(V227&gt;0,G227/V227,"н/д"),"н/д")</x:f>
        <x:v>н/д</x:v>
      </x:c>
      <x:c r="Z227" s="21" t="str">
        <x:f>IF(J227="Рассчитано",K227*M227,"н/д")</x:f>
        <x:v>н/д</x:v>
      </x:c>
      <x:c r="AA227" s="21" t="str">
        <x:f>IF(J227="Рассчитано",(K227-T227)*M227,"н/д")</x:f>
        <x:v>н/д</x:v>
      </x:c>
      <x:c r="AB227" s="21" t="str">
        <x:f>IF(AND(J227="Рассчитано",ISNUMBER(S227)),K227*(S227-M227),"н/д")</x:f>
        <x:v>н/д</x:v>
      </x:c>
      <x:c r="AC227" s="21" t="str">
        <x:f>IF(AND(J227="Рассчитано",T227&gt;0,R227&lt;100),(W227+P227+Q227)/(T227*(1-R227/100)),"н/д")</x:f>
        <x:v>н/д</x:v>
      </x:c>
      <x:c r="AD227" s="10" t="str">
        <x:f>IF(ISNUMBER(G227),IF(G227&lt;0,"Убыток",IF(G227=0,"Без прибыли","Прибыль &gt; 0")),"Не оценён")</x:f>
        <x:v>Не оценён</x:v>
      </x:c>
      <x:c r="AE227" s="13" t="str">
        <x:f>IF(J227="Рассчитано","Выручка "&amp;TEXT(V227,"0.00")&amp;" - себестоимость "&amp;TEXT(W227,"0.00")&amp;" - комиссия "&amp;TEXT(V227*R227/100,"0.00")&amp;" - доставка "&amp;TEXT(P227,"0.00")&amp;" - прочие "&amp;TEXT(Q227,"0.00")&amp;" = "&amp;TEXT(G227,"0.00")&amp;" "&amp;L227,"Введите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7" s="24" t="n">
        <x:v>33.597941789951875</x:v>
      </x:c>
      <x:c r="AG227" s="24" t="n">
        <x:v>10</x:v>
      </x:c>
      <x:c r="AH227" s="24" t="n">
        <x:v>0</x:v>
      </x:c>
      <x:c r="AI227" s="30" t="n">
        <x:v>46266</x:v>
      </x:c>
      <x:c r="AJ227" s="24" t="n">
        <x:v>12</x:v>
      </x:c>
      <x:c r="AK227" s="10" t="str">
        <x:v>минимум</x:v>
      </x:c>
      <x:c r="AL227" s="32" t="n">
        <x:v>8.929118392892772</x:v>
      </x:c>
      <x:c r="AM227" s="13" t="str">
        <x:v>Остаток на начало сентября; Резервы неизвестны; Нет ежедневных данных доступности. Запаса примерно на 8.9 дн. без поступлений</x:v>
      </x:c>
      <x:c r="AN227" s="13" t="str">
        <x:v>Подтвердить наличие, срок и цену закупки</x:v>
      </x:c>
      <x:c r="AO227" s="13" t="str">
        <x:v>Прогноз 30 дней 33.60; остаток 10; поступления в срок 0; нехватка 23.598; заказ с учётом MOQ 23.598 м. Остаток на начало сентября: требуется актуализация.</x:v>
      </x:c>
      <x:c r="AP227" s="13" t="str">
        <x:v>["category_missing", "daily_stockout_data_missing", "large_orders_detected", "new_order_lead_time_unknown", "reservations_unknown", "stale_stock"]</x:v>
      </x:c>
      <x:c r="AQ227" s="10" t="str">
        <x:v>IEK:270300153_</x:v>
      </x:c>
      <x:c r="AR227" s="24" t="n">
        <x:v>0.001</x:v>
      </x:c>
      <x:c r="AS227" s="24" t="n">
        <x:f>MAX(0,ROUNDUP(MAX(0,AF227-AG227-AH227)/AR227-0.000000001,0)*AR227)</x:f>
        <x:v>23.598</x:v>
      </x:c>
      <x:c r="AT227" s="24" t="n">
        <x:v>23.597941789951875</x:v>
      </x:c>
    </x:row>
    <x:row r="228" ht="64" customHeight="1">
      <x:c r="A228" s="11" t="str">
        <x:v>IEK</x:v>
      </x:c>
      <x:c r="B228" s="33" t="str">
        <x:v>270300200_</x:v>
      </x:c>
      <x:c r="C228" s="33" t="str">
        <x:v>CKM50-060-040-1-K03</x:v>
      </x:c>
      <x:c r="D228" s="12" t="str">
        <x:v>Кабель-канал перф.  60х40 ИМПАКТ IEK (24)</x:v>
      </x:c>
      <x:c r="E228" s="11" t="str">
        <x:v>м</x:v>
      </x:c>
      <x:c r="F228" s="23" t="n">
        <x:f>IF(AS228&gt;0,MAX(AS228,AJ228),0)</x:f>
        <x:v>74.528</x:v>
      </x:c>
      <x:c r="G228" s="20" t="str">
        <x:f>IF(J228="Рассчитано",V228*(1-R228/100)-W228-P228-Q228,"н/д")</x:f>
        <x:v>н/д</x:v>
      </x:c>
      <x:c r="H228" s="12" t="str">
        <x:v>Высокий</x:v>
      </x:c>
      <x:c r="I228" s="12" t="str">
        <x:v>Критический</x:v>
      </x:c>
      <x:c r="J228" s="12" t="str">
        <x:f>IF(L228="","Укажите валюту",IF(NOT(ISNUMBER(K228)),"Укажите объём",IF(K228&lt;=0,"Укажите объём",IF(COUNT(M228:O228)&lt;3,"Нужны цены",IF(COUNT(P228:R228)&lt;3,"Нужны расходы",IF(OR(M228&lt;0,N228&lt;0,O228&lt;0,O228&gt;100,P228&lt;0,Q228&lt;0,R228&lt;0,R228&gt;100),"Проверьте значения","Рассчитано"))))))</x:f>
        <x:v>Нужны цены</x:v>
      </x:c>
      <x:c r="K228" s="25" t="n">
        <x:v>74.528</x:v>
      </x:c>
      <x:c r="L228" s="19" t="str">
        <x:v>KZT</x:v>
      </x:c>
      <x:c r="M228" s="22"/>
      <x:c r="N228" s="22"/>
      <x:c r="O228" s="28"/>
      <x:c r="P228" s="22"/>
      <x:c r="Q228" s="22"/>
      <x:c r="R228" s="28"/>
      <x:c r="S228" s="22"/>
      <x:c r="T228" s="23" t="n">
        <x:f>MIN(K228,AT228)</x:f>
        <x:v>74.52755443494748</x:v>
      </x:c>
      <x:c r="U228" s="20" t="str">
        <x:f>IF(J228="Рассчитано",N228*(1-O228/100),"н/д")</x:f>
        <x:v>н/д</x:v>
      </x:c>
      <x:c r="V228" s="20" t="str">
        <x:f>IF(J228="Рассчитано",T228*U228,"н/д")</x:f>
        <x:v>н/д</x:v>
      </x:c>
      <x:c r="W228" s="20" t="str">
        <x:f>IF(J228="Рассчитано",T228*M228,"н/д")</x:f>
        <x:v>н/д</x:v>
      </x:c>
      <x:c r="X228" s="20" t="str">
        <x:f>IF(J228="Рассчитано",V228-W228,"н/д")</x:f>
        <x:v>н/д</x:v>
      </x:c>
      <x:c r="Y228" s="26" t="str">
        <x:f>IF(J228="Рассчитано",IF(V228&gt;0,G228/V228,"н/д"),"н/д")</x:f>
        <x:v>н/д</x:v>
      </x:c>
      <x:c r="Z228" s="20" t="str">
        <x:f>IF(J228="Рассчитано",K228*M228,"н/д")</x:f>
        <x:v>н/д</x:v>
      </x:c>
      <x:c r="AA228" s="20" t="str">
        <x:f>IF(J228="Рассчитано",(K228-T228)*M228,"н/д")</x:f>
        <x:v>н/д</x:v>
      </x:c>
      <x:c r="AB228" s="20" t="str">
        <x:f>IF(AND(J228="Рассчитано",ISNUMBER(S228)),K228*(S228-M228),"н/д")</x:f>
        <x:v>н/д</x:v>
      </x:c>
      <x:c r="AC228" s="20" t="str">
        <x:f>IF(AND(J228="Рассчитано",T228&gt;0,R228&lt;100),(W228+P228+Q228)/(T228*(1-R228/100)),"н/д")</x:f>
        <x:v>н/д</x:v>
      </x:c>
      <x:c r="AD228" s="11" t="str">
        <x:f>IF(ISNUMBER(G228),IF(G228&lt;0,"Убыток",IF(G228=0,"Без прибыли","Прибыль &gt; 0")),"Не оценён")</x:f>
        <x:v>Не оценён</x:v>
      </x:c>
      <x:c r="AE228" s="12" t="str">
        <x:f>IF(J228="Рассчитано","Выручка "&amp;TEXT(V228,"0.00")&amp;" - себестоимость "&amp;TEXT(W228,"0.00")&amp;" - комиссия "&amp;TEXT(V228*R228/100,"0.00")&amp;" - доставка "&amp;TEXT(P228,"0.00")&amp;" - прочие "&amp;TEXT(Q228,"0.00")&amp;" = "&amp;TEXT(G228,"0.00")&amp;" "&amp;L228,"Введите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8" s="23" t="n">
        <x:v>82.52755443494748</x:v>
      </x:c>
      <x:c r="AG228" s="23" t="n">
        <x:v>8</x:v>
      </x:c>
      <x:c r="AH228" s="23" t="n">
        <x:v>0</x:v>
      </x:c>
      <x:c r="AI228" s="29" t="n">
        <x:v>46266</x:v>
      </x:c>
      <x:c r="AJ228" s="23" t="n">
        <x:v>24</x:v>
      </x:c>
      <x:c r="AK228" s="11" t="str">
        <x:v>минимум</x:v>
      </x:c>
      <x:c r="AL228" s="31" t="n">
        <x:v>2.908119617056877</x:v>
      </x:c>
      <x:c r="AM228" s="12" t="str">
        <x:v>Остаток на начало сентября; Резервы неизвестны; Нет ежедневных данных доступности. Запаса примерно на 2.9 дн. без поступлений</x:v>
      </x:c>
      <x:c r="AN228" s="12" t="str">
        <x:v>Подтвердить наличие, срок и цену закупки</x:v>
      </x:c>
      <x:c r="AO228" s="12" t="str">
        <x:v>Прогноз 30 дней 82.53; остаток 8; поступления в срок 0; нехватка 74.528; заказ с учётом MOQ 74.528 м. Остаток на начало сентября: требуется актуализация.</x:v>
      </x:c>
      <x:c r="AP228" s="12" t="str">
        <x:v>["category_missing", "daily_stockout_data_missing", "large_orders_detected", "new_order_lead_time_unknown", "reservations_unknown", "stale_stock"]</x:v>
      </x:c>
      <x:c r="AQ228" s="11" t="str">
        <x:v>IEK:270300200_</x:v>
      </x:c>
      <x:c r="AR228" s="23" t="n">
        <x:v>0.001</x:v>
      </x:c>
      <x:c r="AS228" s="23" t="n">
        <x:f>MAX(0,ROUNDUP(MAX(0,AF228-AG228-AH228)/AR228-0.000000001,0)*AR228)</x:f>
        <x:v>74.528</x:v>
      </x:c>
      <x:c r="AT228" s="23" t="n">
        <x:v>74.52755443494748</x:v>
      </x:c>
    </x:row>
    <x:row r="229" ht="64" customHeight="1">
      <x:c r="A229" s="10" t="str">
        <x:v>IEK</x:v>
      </x:c>
      <x:c r="B229" s="34" t="str">
        <x:v>270300286_</x:v>
      </x:c>
      <x:c r="C229" s="34" t="str">
        <x:v>YVR10-024-55</x:v>
      </x:c>
      <x:c r="D229" s="13" t="str">
        <x:v>Вентилятор с фильтром ВФИ 24 м3/час IP55 IEK (30) NEW</x:v>
      </x:c>
      <x:c r="E229" s="10" t="str">
        <x:v>шт</x:v>
      </x:c>
      <x:c r="F229" s="37" t="n">
        <x:f>IF(AS229&gt;0,MAX(AS229,AJ229),0)</x:f>
        <x:v>2</x:v>
      </x:c>
      <x:c r="G229" s="21" t="str">
        <x:f>IF(J229="Рассчитано",V229*(1-R229/100)-W229-P229-Q229,"н/д")</x:f>
        <x:v>н/д</x:v>
      </x:c>
      <x:c r="H229" s="13" t="str">
        <x:v>Высокий</x:v>
      </x:c>
      <x:c r="I229" s="13" t="str">
        <x:v>Средний</x:v>
      </x:c>
      <x:c r="J229" s="13" t="str">
        <x:f>IF(L229="","Укажите валюту",IF(NOT(ISNUMBER(K229)),"Укажите объём",IF(K229&lt;=0,"Укажите объём",IF(COUNT(M229:O229)&lt;3,"Нужны цены",IF(COUNT(P229:R229)&lt;3,"Нужны расходы",IF(OR(M229&lt;0,N229&lt;0,O229&lt;0,O229&gt;100,P229&lt;0,Q229&lt;0,R229&lt;0,R229&gt;100),"Проверьте значения","Рассчитано"))))))</x:f>
        <x:v>Нужны цены</x:v>
      </x:c>
      <x:c r="K229" s="36" t="n">
        <x:v>2</x:v>
      </x:c>
      <x:c r="L229" s="19" t="str">
        <x:v>KZT</x:v>
      </x:c>
      <x:c r="M229" s="22"/>
      <x:c r="N229" s="22"/>
      <x:c r="O229" s="28"/>
      <x:c r="P229" s="22"/>
      <x:c r="Q229" s="22"/>
      <x:c r="R229" s="28"/>
      <x:c r="S229" s="22"/>
      <x:c r="T229" s="37" t="n">
        <x:f>MIN(K229,AT229)</x:f>
        <x:v>1.966278271335014</x:v>
      </x:c>
      <x:c r="U229" s="21" t="str">
        <x:f>IF(J229="Рассчитано",N229*(1-O229/100),"н/д")</x:f>
        <x:v>н/д</x:v>
      </x:c>
      <x:c r="V229" s="21" t="str">
        <x:f>IF(J229="Рассчитано",T229*U229,"н/д")</x:f>
        <x:v>н/д</x:v>
      </x:c>
      <x:c r="W229" s="21" t="str">
        <x:f>IF(J229="Рассчитано",T229*M229,"н/д")</x:f>
        <x:v>н/д</x:v>
      </x:c>
      <x:c r="X229" s="21" t="str">
        <x:f>IF(J229="Рассчитано",V229-W229,"н/д")</x:f>
        <x:v>н/д</x:v>
      </x:c>
      <x:c r="Y229" s="27" t="str">
        <x:f>IF(J229="Рассчитано",IF(V229&gt;0,G229/V229,"н/д"),"н/д")</x:f>
        <x:v>н/д</x:v>
      </x:c>
      <x:c r="Z229" s="21" t="str">
        <x:f>IF(J229="Рассчитано",K229*M229,"н/д")</x:f>
        <x:v>н/д</x:v>
      </x:c>
      <x:c r="AA229" s="21" t="str">
        <x:f>IF(J229="Рассчитано",(K229-T229)*M229,"н/д")</x:f>
        <x:v>н/д</x:v>
      </x:c>
      <x:c r="AB229" s="21" t="str">
        <x:f>IF(AND(J229="Рассчитано",ISNUMBER(S229)),K229*(S229-M229),"н/д")</x:f>
        <x:v>н/д</x:v>
      </x:c>
      <x:c r="AC229" s="21" t="str">
        <x:f>IF(AND(J229="Рассчитано",T229&gt;0,R229&lt;100),(W229+P229+Q229)/(T229*(1-R229/100)),"н/д")</x:f>
        <x:v>н/д</x:v>
      </x:c>
      <x:c r="AD229" s="10" t="str">
        <x:f>IF(ISNUMBER(G229),IF(G229&lt;0,"Убыток",IF(G229=0,"Без прибыли","Прибыль &gt; 0")),"Не оценён")</x:f>
        <x:v>Не оценён</x:v>
      </x:c>
      <x:c r="AE229" s="13" t="str">
        <x:f>IF(J229="Рассчитано","Выручка "&amp;TEXT(V229,"0.00")&amp;" - себестоимость "&amp;TEXT(W229,"0.00")&amp;" - комиссия "&amp;TEXT(V229*R229/100,"0.00")&amp;" - доставка "&amp;TEXT(P229,"0.00")&amp;" - прочие "&amp;TEXT(Q229,"0.00")&amp;" = "&amp;TEXT(G229,"0.00")&amp;" "&amp;L229,"Введите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29" s="24" t="n">
        <x:v>4.966278271335014</x:v>
      </x:c>
      <x:c r="AG229" s="37" t="n">
        <x:v>3</x:v>
      </x:c>
      <x:c r="AH229" s="37" t="n">
        <x:v>0</x:v>
      </x:c>
      <x:c r="AI229" s="30" t="n">
        <x:v>46266</x:v>
      </x:c>
      <x:c r="AJ229" s="37" t="n">
        <x:v>1</x:v>
      </x:c>
      <x:c r="AK229" s="10" t="str">
        <x:v>минимум</x:v>
      </x:c>
      <x:c r="AL229" s="32" t="n">
        <x:v>18.1222225342211</x:v>
      </x:c>
      <x:c r="AM229" s="13" t="str">
        <x:v>Остаток на начало сентября; Резервы неизвестны; Stockout оценён по месячным снимкам; Нет ежедневных данных доступности. Запаса примерно на 18.1 дн. без поступлений</x:v>
      </x:c>
      <x:c r="AN229" s="13" t="str">
        <x:v>Подтвердить наличие, срок и цену закупки</x:v>
      </x:c>
      <x:c r="AO229" s="13" t="str">
        <x:v>Прогноз 30 дней 4.97; остаток 3; поступления в срок 0; нехватка 2; заказ с учётом MOQ 2 шт. Остаток на начало сентября: требуется актуализация.</x:v>
      </x:c>
      <x:c r="AP229" s="13" t="str">
        <x:v>["category_missing", "daily_stockout_data_missing", "new_order_lead_time_unknown", "reservations_unknown", "stale_stock", "stockout_proxy_used"]</x:v>
      </x:c>
      <x:c r="AQ229" s="10" t="str">
        <x:v>IEK:270300286_</x:v>
      </x:c>
      <x:c r="AR229" s="24" t="n">
        <x:v>1</x:v>
      </x:c>
      <x:c r="AS229" s="24" t="n">
        <x:f>MAX(0,ROUNDUP(MAX(0,AF229-AG229-AH229)/AR229-0.000000001,0)*AR229)</x:f>
        <x:v>2</x:v>
      </x:c>
      <x:c r="AT229" s="24" t="n">
        <x:v>1.966278271335014</x:v>
      </x:c>
    </x:row>
    <x:row r="230" ht="64" customHeight="1">
      <x:c r="A230" s="11" t="str">
        <x:v>IEK</x:v>
      </x:c>
      <x:c r="B230" s="33" t="str">
        <x:v>270300289_</x:v>
      </x:c>
      <x:c r="C230" s="33" t="str">
        <x:v>YVR10-200-55</x:v>
      </x:c>
      <x:c r="D230" s="12" t="str">
        <x:v>Вентилятор с фильтром ВФИ 200 м3/час IP55 IEK (10) NEW</x:v>
      </x:c>
      <x:c r="E230" s="11" t="str">
        <x:v>шт</x:v>
      </x:c>
      <x:c r="F230" s="35" t="n">
        <x:f>IF(AS230&gt;0,MAX(AS230,AJ230),0)</x:f>
        <x:v>4</x:v>
      </x:c>
      <x:c r="G230" s="20" t="str">
        <x:f>IF(J230="Рассчитано",V230*(1-R230/100)-W230-P230-Q230,"н/д")</x:f>
        <x:v>н/д</x:v>
      </x:c>
      <x:c r="H230" s="12" t="str">
        <x:v>Высокий</x:v>
      </x:c>
      <x:c r="I230" s="12" t="str">
        <x:v>Критический</x:v>
      </x:c>
      <x:c r="J230" s="12" t="str">
        <x:f>IF(L230="","Укажите валюту",IF(NOT(ISNUMBER(K230)),"Укажите объём",IF(K230&lt;=0,"Укажите объём",IF(COUNT(M230:O230)&lt;3,"Нужны цены",IF(COUNT(P230:R230)&lt;3,"Нужны расходы",IF(OR(M230&lt;0,N230&lt;0,O230&lt;0,O230&gt;100,P230&lt;0,Q230&lt;0,R230&lt;0,R230&gt;100),"Проверьте значения","Рассчитано"))))))</x:f>
        <x:v>Нужны цены</x:v>
      </x:c>
      <x:c r="K230" s="36" t="n">
        <x:v>4</x:v>
      </x:c>
      <x:c r="L230" s="19" t="str">
        <x:v>KZT</x:v>
      </x:c>
      <x:c r="M230" s="22"/>
      <x:c r="N230" s="22"/>
      <x:c r="O230" s="28"/>
      <x:c r="P230" s="22"/>
      <x:c r="Q230" s="22"/>
      <x:c r="R230" s="28"/>
      <x:c r="S230" s="22"/>
      <x:c r="T230" s="35" t="n">
        <x:f>MIN(K230,AT230)</x:f>
        <x:v>3.734166115516576</x:v>
      </x:c>
      <x:c r="U230" s="20" t="str">
        <x:f>IF(J230="Рассчитано",N230*(1-O230/100),"н/д")</x:f>
        <x:v>н/д</x:v>
      </x:c>
      <x:c r="V230" s="20" t="str">
        <x:f>IF(J230="Рассчитано",T230*U230,"н/д")</x:f>
        <x:v>н/д</x:v>
      </x:c>
      <x:c r="W230" s="20" t="str">
        <x:f>IF(J230="Рассчитано",T230*M230,"н/д")</x:f>
        <x:v>н/д</x:v>
      </x:c>
      <x:c r="X230" s="20" t="str">
        <x:f>IF(J230="Рассчитано",V230-W230,"н/д")</x:f>
        <x:v>н/д</x:v>
      </x:c>
      <x:c r="Y230" s="26" t="str">
        <x:f>IF(J230="Рассчитано",IF(V230&gt;0,G230/V230,"н/д"),"н/д")</x:f>
        <x:v>н/д</x:v>
      </x:c>
      <x:c r="Z230" s="20" t="str">
        <x:f>IF(J230="Рассчитано",K230*M230,"н/д")</x:f>
        <x:v>н/д</x:v>
      </x:c>
      <x:c r="AA230" s="20" t="str">
        <x:f>IF(J230="Рассчитано",(K230-T230)*M230,"н/д")</x:f>
        <x:v>н/д</x:v>
      </x:c>
      <x:c r="AB230" s="20" t="str">
        <x:f>IF(AND(J230="Рассчитано",ISNUMBER(S230)),K230*(S230-M230),"н/д")</x:f>
        <x:v>н/д</x:v>
      </x:c>
      <x:c r="AC230" s="20" t="str">
        <x:f>IF(AND(J230="Рассчитано",T230&gt;0,R230&lt;100),(W230+P230+Q230)/(T230*(1-R230/100)),"н/д")</x:f>
        <x:v>н/д</x:v>
      </x:c>
      <x:c r="AD230" s="11" t="str">
        <x:f>IF(ISNUMBER(G230),IF(G230&lt;0,"Убыток",IF(G230=0,"Без прибыли","Прибыль &gt; 0")),"Не оценён")</x:f>
        <x:v>Не оценён</x:v>
      </x:c>
      <x:c r="AE230" s="12" t="str">
        <x:f>IF(J230="Рассчитано","Выручка "&amp;TEXT(V230,"0.00")&amp;" - себестоимость "&amp;TEXT(W230,"0.00")&amp;" - комиссия "&amp;TEXT(V230*R230/100,"0.00")&amp;" - доставка "&amp;TEXT(P230,"0.00")&amp;" - прочие "&amp;TEXT(Q230,"0.00")&amp;" = "&amp;TEXT(G230,"0.00")&amp;" "&amp;L230,"Введите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0" s="23" t="n">
        <x:v>3.734166115516576</x:v>
      </x:c>
      <x:c r="AG230" s="35" t="n">
        <x:v>0</x:v>
      </x:c>
      <x:c r="AH230" s="35" t="n">
        <x:v>0</x:v>
      </x:c>
      <x:c r="AI230" s="29" t="n">
        <x:v>46266</x:v>
      </x:c>
      <x:c r="AJ230" s="35" t="n">
        <x:v>1</x:v>
      </x:c>
      <x:c r="AK230" s="11" t="str">
        <x:v>минимум</x:v>
      </x:c>
      <x:c r="AL230" s="31" t="n">
        <x:v>0</x:v>
      </x:c>
      <x:c r="AM230" s="12" t="str">
        <x:v>Остаток на начало сентября; Резервы неизвестны; Нет ежедневных данных доступности. Нет запаса</x:v>
      </x:c>
      <x:c r="AN230" s="12" t="str">
        <x:v>Подтвердить наличие, срок и цену закупки</x:v>
      </x:c>
      <x:c r="AO230" s="12" t="str">
        <x:v>Прогноз 30 дней 3.73; остаток 0; поступления в срок 0; нехватка 4; заказ с учётом MOQ 4 шт. Остаток на начало сентября: требуется актуализация.</x:v>
      </x:c>
      <x:c r="AP230" s="12" t="str">
        <x:v>["blank_stock_assumed_zero", "category_missing", "daily_stockout_data_missing", "new_order_lead_time_unknown", "reservations_unknown", "stale_stock"]</x:v>
      </x:c>
      <x:c r="AQ230" s="11" t="str">
        <x:v>IEK:270300289_</x:v>
      </x:c>
      <x:c r="AR230" s="23" t="n">
        <x:v>1</x:v>
      </x:c>
      <x:c r="AS230" s="23" t="n">
        <x:f>MAX(0,ROUNDUP(MAX(0,AF230-AG230-AH230)/AR230-0.000000001,0)*AR230)</x:f>
        <x:v>4</x:v>
      </x:c>
      <x:c r="AT230" s="23" t="n">
        <x:v>3.734166115516576</x:v>
      </x:c>
    </x:row>
    <x:row r="231" ht="64" customHeight="1">
      <x:c r="A231" s="10" t="str">
        <x:v>IEK</x:v>
      </x:c>
      <x:c r="B231" s="34" t="str">
        <x:v>270300304_</x:v>
      </x:c>
      <x:c r="C231" s="34" t="str">
        <x:v>YTT21-00-60-NO-NC</x:v>
      </x:c>
      <x:c r="D231" s="13" t="str">
        <x:v>Термостат УККт от -20 до +60°C NO/NC IEK (100) NEW</x:v>
      </x:c>
      <x:c r="E231" s="10" t="str">
        <x:v>шт</x:v>
      </x:c>
      <x:c r="F231" s="37" t="n">
        <x:f>IF(AS231&gt;0,MAX(AS231,AJ231),0)</x:f>
        <x:v>1</x:v>
      </x:c>
      <x:c r="G231" s="21" t="str">
        <x:f>IF(J231="Рассчитано",V231*(1-R231/100)-W231-P231-Q231,"н/д")</x:f>
        <x:v>н/д</x:v>
      </x:c>
      <x:c r="H231" s="13" t="str">
        <x:v>Высокий</x:v>
      </x:c>
      <x:c r="I231" s="13" t="str">
        <x:v>Критический</x:v>
      </x:c>
      <x:c r="J231" s="13" t="str">
        <x:f>IF(L231="","Укажите валюту",IF(NOT(ISNUMBER(K231)),"Укажите объём",IF(K231&lt;=0,"Укажите объём",IF(COUNT(M231:O231)&lt;3,"Нужны цены",IF(COUNT(P231:R231)&lt;3,"Нужны расходы",IF(OR(M231&lt;0,N231&lt;0,O231&lt;0,O231&gt;100,P231&lt;0,Q231&lt;0,R231&lt;0,R231&gt;100),"Проверьте значения","Рассчитано"))))))</x:f>
        <x:v>Нужны цены</x:v>
      </x:c>
      <x:c r="K231" s="36" t="n">
        <x:v>1</x:v>
      </x:c>
      <x:c r="L231" s="19" t="str">
        <x:v>KZT</x:v>
      </x:c>
      <x:c r="M231" s="22"/>
      <x:c r="N231" s="22"/>
      <x:c r="O231" s="28"/>
      <x:c r="P231" s="22"/>
      <x:c r="Q231" s="22"/>
      <x:c r="R231" s="28"/>
      <x:c r="S231" s="22"/>
      <x:c r="T231" s="37" t="n">
        <x:f>MIN(K231,AT231)</x:f>
        <x:v>0.06354114599267888</x:v>
      </x:c>
      <x:c r="U231" s="21" t="str">
        <x:f>IF(J231="Рассчитано",N231*(1-O231/100),"н/д")</x:f>
        <x:v>н/д</x:v>
      </x:c>
      <x:c r="V231" s="21" t="str">
        <x:f>IF(J231="Рассчитано",T231*U231,"н/д")</x:f>
        <x:v>н/д</x:v>
      </x:c>
      <x:c r="W231" s="21" t="str">
        <x:f>IF(J231="Рассчитано",T231*M231,"н/д")</x:f>
        <x:v>н/д</x:v>
      </x:c>
      <x:c r="X231" s="21" t="str">
        <x:f>IF(J231="Рассчитано",V231-W231,"н/д")</x:f>
        <x:v>н/д</x:v>
      </x:c>
      <x:c r="Y231" s="27" t="str">
        <x:f>IF(J231="Рассчитано",IF(V231&gt;0,G231/V231,"н/д"),"н/д")</x:f>
        <x:v>н/д</x:v>
      </x:c>
      <x:c r="Z231" s="21" t="str">
        <x:f>IF(J231="Рассчитано",K231*M231,"н/д")</x:f>
        <x:v>н/д</x:v>
      </x:c>
      <x:c r="AA231" s="21" t="str">
        <x:f>IF(J231="Рассчитано",(K231-T231)*M231,"н/д")</x:f>
        <x:v>н/д</x:v>
      </x:c>
      <x:c r="AB231" s="21" t="str">
        <x:f>IF(AND(J231="Рассчитано",ISNUMBER(S231)),K231*(S231-M231),"н/д")</x:f>
        <x:v>н/д</x:v>
      </x:c>
      <x:c r="AC231" s="21" t="str">
        <x:f>IF(AND(J231="Рассчитано",T231&gt;0,R231&lt;100),(W231+P231+Q231)/(T231*(1-R231/100)),"н/д")</x:f>
        <x:v>н/д</x:v>
      </x:c>
      <x:c r="AD231" s="10" t="str">
        <x:f>IF(ISNUMBER(G231),IF(G231&lt;0,"Убыток",IF(G231=0,"Без прибыли","Прибыль &gt; 0")),"Не оценён")</x:f>
        <x:v>Не оценён</x:v>
      </x:c>
      <x:c r="AE231" s="13" t="str">
        <x:f>IF(J231="Рассчитано","Выручка "&amp;TEXT(V231,"0.00")&amp;" - себестоимость "&amp;TEXT(W231,"0.00")&amp;" - комиссия "&amp;TEXT(V231*R231/100,"0.00")&amp;" - доставка "&amp;TEXT(P231,"0.00")&amp;" - прочие "&amp;TEXT(Q231,"0.00")&amp;" = "&amp;TEXT(G231,"0.00")&amp;" "&amp;L231,"Введите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1" s="24" t="n">
        <x:v>0.06354114599267888</x:v>
      </x:c>
      <x:c r="AG231" s="37" t="n">
        <x:v>0</x:v>
      </x:c>
      <x:c r="AH231" s="37" t="n">
        <x:v>0</x:v>
      </x:c>
      <x:c r="AI231" s="30" t="n">
        <x:v>46266</x:v>
      </x:c>
      <x:c r="AJ231" s="37" t="n">
        <x:v>1</x:v>
      </x:c>
      <x:c r="AK231" s="10" t="str">
        <x:v>минимум</x:v>
      </x:c>
      <x:c r="AL231" s="32" t="n">
        <x:v>0</x:v>
      </x:c>
      <x:c r="AM231" s="13" t="str">
        <x:v>Остаток на начало сентября; Резервы неизвестны; Нет ежедневных данных доступности. Нет запаса</x:v>
      </x:c>
      <x:c r="AN231" s="13" t="str">
        <x:v>Подтвердить наличие, срок и цену закупки</x:v>
      </x:c>
      <x:c r="AO231" s="13" t="str">
        <x:v>Прогноз 30 дней 0.06; остаток 0; поступления в срок 0; нехватка 1; заказ с учётом MOQ 1 шт. Остаток на начало сентября: требуется актуализация.</x:v>
      </x:c>
      <x:c r="AP231" s="13" t="str">
        <x:v>["blank_stock_assumed_zero", "category_missing", "daily_stockout_data_missing", "new_order_lead_time_unknown", "reservations_unknown", "stale_stock"]</x:v>
      </x:c>
      <x:c r="AQ231" s="10" t="str">
        <x:v>IEK:270300304_</x:v>
      </x:c>
      <x:c r="AR231" s="24" t="n">
        <x:v>1</x:v>
      </x:c>
      <x:c r="AS231" s="24" t="n">
        <x:f>MAX(0,ROUNDUP(MAX(0,AF231-AG231-AH231)/AR231-0.000000001,0)*AR231)</x:f>
        <x:v>1</x:v>
      </x:c>
      <x:c r="AT231" s="24" t="n">
        <x:v>0.06354114599267888</x:v>
      </x:c>
    </x:row>
    <x:row r="232" ht="64" customHeight="1">
      <x:c r="A232" s="11" t="str">
        <x:v>IEK</x:v>
      </x:c>
      <x:c r="B232" s="33" t="str">
        <x:v>270400043_</x:v>
      </x:c>
      <x:c r="C232" s="33" t="str">
        <x:v>MPR10-4-063</x:v>
      </x:c>
      <x:c r="D232" s="12" t="str">
        <x:v>Выключатель-разъединитель трехпозиционный ВРТ-63 4P 63А IEK</x:v>
      </x:c>
      <x:c r="E232" s="11" t="str">
        <x:v>шт</x:v>
      </x:c>
      <x:c r="F232" s="35" t="n">
        <x:f>IF(AS232&gt;0,MAX(AS232,AJ232),0)</x:f>
        <x:v>8</x:v>
      </x:c>
      <x:c r="G232" s="20" t="str">
        <x:f>IF(J232="Рассчитано",V232*(1-R232/100)-W232-P232-Q232,"н/д")</x:f>
        <x:v>н/д</x:v>
      </x:c>
      <x:c r="H232" s="12" t="str">
        <x:v>Высокий</x:v>
      </x:c>
      <x:c r="I232" s="12" t="str">
        <x:v>Критический</x:v>
      </x:c>
      <x:c r="J232" s="12" t="str">
        <x:f>IF(L232="","Укажите валюту",IF(NOT(ISNUMBER(K232)),"Укажите объём",IF(K232&lt;=0,"Укажите объём",IF(COUNT(M232:O232)&lt;3,"Нужны цены",IF(COUNT(P232:R232)&lt;3,"Нужны расходы",IF(OR(M232&lt;0,N232&lt;0,O232&lt;0,O232&gt;100,P232&lt;0,Q232&lt;0,R232&lt;0,R232&gt;100),"Проверьте значения","Рассчитано"))))))</x:f>
        <x:v>Нужны цены</x:v>
      </x:c>
      <x:c r="K232" s="36" t="n">
        <x:v>8</x:v>
      </x:c>
      <x:c r="L232" s="19" t="str">
        <x:v>KZT</x:v>
      </x:c>
      <x:c r="M232" s="22"/>
      <x:c r="N232" s="22"/>
      <x:c r="O232" s="28"/>
      <x:c r="P232" s="22"/>
      <x:c r="Q232" s="22"/>
      <x:c r="R232" s="28"/>
      <x:c r="S232" s="22"/>
      <x:c r="T232" s="35" t="n">
        <x:f>MIN(K232,AT232)</x:f>
        <x:v>7.937469589195636</x:v>
      </x:c>
      <x:c r="U232" s="20" t="str">
        <x:f>IF(J232="Рассчитано",N232*(1-O232/100),"н/д")</x:f>
        <x:v>н/д</x:v>
      </x:c>
      <x:c r="V232" s="20" t="str">
        <x:f>IF(J232="Рассчитано",T232*U232,"н/д")</x:f>
        <x:v>н/д</x:v>
      </x:c>
      <x:c r="W232" s="20" t="str">
        <x:f>IF(J232="Рассчитано",T232*M232,"н/д")</x:f>
        <x:v>н/д</x:v>
      </x:c>
      <x:c r="X232" s="20" t="str">
        <x:f>IF(J232="Рассчитано",V232-W232,"н/д")</x:f>
        <x:v>н/д</x:v>
      </x:c>
      <x:c r="Y232" s="26" t="str">
        <x:f>IF(J232="Рассчитано",IF(V232&gt;0,G232/V232,"н/д"),"н/д")</x:f>
        <x:v>н/д</x:v>
      </x:c>
      <x:c r="Z232" s="20" t="str">
        <x:f>IF(J232="Рассчитано",K232*M232,"н/д")</x:f>
        <x:v>н/д</x:v>
      </x:c>
      <x:c r="AA232" s="20" t="str">
        <x:f>IF(J232="Рассчитано",(K232-T232)*M232,"н/д")</x:f>
        <x:v>н/д</x:v>
      </x:c>
      <x:c r="AB232" s="20" t="str">
        <x:f>IF(AND(J232="Рассчитано",ISNUMBER(S232)),K232*(S232-M232),"н/д")</x:f>
        <x:v>н/д</x:v>
      </x:c>
      <x:c r="AC232" s="20" t="str">
        <x:f>IF(AND(J232="Рассчитано",T232&gt;0,R232&lt;100),(W232+P232+Q232)/(T232*(1-R232/100)),"н/д")</x:f>
        <x:v>н/д</x:v>
      </x:c>
      <x:c r="AD232" s="11" t="str">
        <x:f>IF(ISNUMBER(G232),IF(G232&lt;0,"Убыток",IF(G232=0,"Без прибыли","Прибыль &gt; 0")),"Не оценён")</x:f>
        <x:v>Не оценён</x:v>
      </x:c>
      <x:c r="AE232" s="12" t="str">
        <x:f>IF(J232="Рассчитано","Выручка "&amp;TEXT(V232,"0.00")&amp;" - себестоимость "&amp;TEXT(W232,"0.00")&amp;" - комиссия "&amp;TEXT(V232*R232/100,"0.00")&amp;" - доставка "&amp;TEXT(P232,"0.00")&amp;" - прочие "&amp;TEXT(Q232,"0.00")&amp;" = "&amp;TEXT(G232,"0.00")&amp;" "&amp;L232,"Введите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2" s="23" t="n">
        <x:v>7.937469589195636</x:v>
      </x:c>
      <x:c r="AG232" s="35" t="n">
        <x:v>0</x:v>
      </x:c>
      <x:c r="AH232" s="35" t="n">
        <x:v>0</x:v>
      </x:c>
      <x:c r="AI232" s="29" t="n">
        <x:v>46266</x:v>
      </x:c>
      <x:c r="AJ232" s="35" t="n">
        <x:v>3</x:v>
      </x:c>
      <x:c r="AK232" s="11" t="str">
        <x:v>минимум</x:v>
      </x:c>
      <x:c r="AL232" s="31" t="n">
        <x:v>0</x:v>
      </x:c>
      <x:c r="AM232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32" s="12" t="str">
        <x:v>Подтвердить наличие, срок и цену закупки</x:v>
      </x:c>
      <x:c r="AO232" s="12" t="str">
        <x:v>Прогноз 30 дней 7.94; остаток 0; поступления в срок 0; нехватка 8; заказ с учётом MOQ 8 шт. Остаток на начало сентября: требуется актуализация.</x:v>
      </x:c>
      <x:c r="AP232" s="12" t="str">
        <x:v>["blank_stock_assumed_zero", "category_missing", "daily_stockout_data_missing", "new_order_lead_time_unknown", "reservations_unknown", "stale_stock", "stockout_proxy_used"]</x:v>
      </x:c>
      <x:c r="AQ232" s="11" t="str">
        <x:v>IEK:270400043_</x:v>
      </x:c>
      <x:c r="AR232" s="23" t="n">
        <x:v>1</x:v>
      </x:c>
      <x:c r="AS232" s="23" t="n">
        <x:f>MAX(0,ROUNDUP(MAX(0,AF232-AG232-AH232)/AR232-0.000000001,0)*AR232)</x:f>
        <x:v>8</x:v>
      </x:c>
      <x:c r="AT232" s="23" t="n">
        <x:v>7.937469589195636</x:v>
      </x:c>
    </x:row>
    <x:row r="233" ht="64" customHeight="1">
      <x:c r="A233" s="10" t="str">
        <x:v>IEK</x:v>
      </x:c>
      <x:c r="B233" s="34" t="str">
        <x:v>280100003_</x:v>
      </x:c>
      <x:c r="C233" s="34" t="str">
        <x:v>CKK10-012-012-1-K01</x:v>
      </x:c>
      <x:c r="D233" s="13" t="str">
        <x:v>Кабель-канал 12х12 белый ЭЛЕКОР IEK (120)</x:v>
      </x:c>
      <x:c r="E233" s="10" t="str">
        <x:v>м</x:v>
      </x:c>
      <x:c r="F233" s="24" t="n">
        <x:f>IF(AS233&gt;0,MAX(AS233,AJ233),0)</x:f>
        <x:v>120</x:v>
      </x:c>
      <x:c r="G233" s="21" t="str">
        <x:f>IF(J233="Рассчитано",V233*(1-R233/100)-W233-P233-Q233,"н/д")</x:f>
        <x:v>н/д</x:v>
      </x:c>
      <x:c r="H233" s="13" t="str">
        <x:v>Высокий</x:v>
      </x:c>
      <x:c r="I233" s="13" t="str">
        <x:v>Средний</x:v>
      </x:c>
      <x:c r="J233" s="13" t="str">
        <x:f>IF(L233="","Укажите валюту",IF(NOT(ISNUMBER(K233)),"Укажите объём",IF(K233&lt;=0,"Укажите объём",IF(COUNT(M233:O233)&lt;3,"Нужны цены",IF(COUNT(P233:R233)&lt;3,"Нужны расходы",IF(OR(M233&lt;0,N233&lt;0,O233&lt;0,O233&gt;100,P233&lt;0,Q233&lt;0,R233&lt;0,R233&gt;100),"Проверьте значения","Рассчитано"))))))</x:f>
        <x:v>Нужны цены</x:v>
      </x:c>
      <x:c r="K233" s="25" t="n">
        <x:v>120</x:v>
      </x:c>
      <x:c r="L233" s="19" t="str">
        <x:v>KZT</x:v>
      </x:c>
      <x:c r="M233" s="22"/>
      <x:c r="N233" s="22"/>
      <x:c r="O233" s="28"/>
      <x:c r="P233" s="22"/>
      <x:c r="Q233" s="22"/>
      <x:c r="R233" s="28"/>
      <x:c r="S233" s="22"/>
      <x:c r="T233" s="24" t="n">
        <x:f>MIN(K233,AT233)</x:f>
        <x:v>11.943279997442339</x:v>
      </x:c>
      <x:c r="U233" s="21" t="str">
        <x:f>IF(J233="Рассчитано",N233*(1-O233/100),"н/д")</x:f>
        <x:v>н/д</x:v>
      </x:c>
      <x:c r="V233" s="21" t="str">
        <x:f>IF(J233="Рассчитано",T233*U233,"н/д")</x:f>
        <x:v>н/д</x:v>
      </x:c>
      <x:c r="W233" s="21" t="str">
        <x:f>IF(J233="Рассчитано",T233*M233,"н/д")</x:f>
        <x:v>н/д</x:v>
      </x:c>
      <x:c r="X233" s="21" t="str">
        <x:f>IF(J233="Рассчитано",V233-W233,"н/д")</x:f>
        <x:v>н/д</x:v>
      </x:c>
      <x:c r="Y233" s="27" t="str">
        <x:f>IF(J233="Рассчитано",IF(V233&gt;0,G233/V233,"н/д"),"н/д")</x:f>
        <x:v>н/д</x:v>
      </x:c>
      <x:c r="Z233" s="21" t="str">
        <x:f>IF(J233="Рассчитано",K233*M233,"н/д")</x:f>
        <x:v>н/д</x:v>
      </x:c>
      <x:c r="AA233" s="21" t="str">
        <x:f>IF(J233="Рассчитано",(K233-T233)*M233,"н/д")</x:f>
        <x:v>н/д</x:v>
      </x:c>
      <x:c r="AB233" s="21" t="str">
        <x:f>IF(AND(J233="Рассчитано",ISNUMBER(S233)),K233*(S233-M233),"н/д")</x:f>
        <x:v>н/д</x:v>
      </x:c>
      <x:c r="AC233" s="21" t="str">
        <x:f>IF(AND(J233="Рассчитано",T233&gt;0,R233&lt;100),(W233+P233+Q233)/(T233*(1-R233/100)),"н/д")</x:f>
        <x:v>н/д</x:v>
      </x:c>
      <x:c r="AD233" s="10" t="str">
        <x:f>IF(ISNUMBER(G233),IF(G233&lt;0,"Убыток",IF(G233=0,"Без прибыли","Прибыль &gt; 0")),"Не оценён")</x:f>
        <x:v>Не оценён</x:v>
      </x:c>
      <x:c r="AE233" s="13" t="str">
        <x:f>IF(J233="Рассчитано","Выручка "&amp;TEXT(V233,"0.00")&amp;" - себестоимость "&amp;TEXT(W233,"0.00")&amp;" - комиссия "&amp;TEXT(V233*R233/100,"0.00")&amp;" - доставка "&amp;TEXT(P233,"0.00")&amp;" - прочие "&amp;TEXT(Q233,"0.00")&amp;" = "&amp;TEXT(G233,"0.00")&amp;" "&amp;L233,"Введите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3" s="24" t="n">
        <x:v>47.94327999744234</x:v>
      </x:c>
      <x:c r="AG233" s="24" t="n">
        <x:v>36</x:v>
      </x:c>
      <x:c r="AH233" s="24" t="n">
        <x:v>0</x:v>
      </x:c>
      <x:c r="AI233" s="30" t="n">
        <x:v>46266</x:v>
      </x:c>
      <x:c r="AJ233" s="24" t="n">
        <x:v>120</x:v>
      </x:c>
      <x:c r="AK233" s="10" t="str">
        <x:v>минимум</x:v>
      </x:c>
      <x:c r="AL233" s="32" t="n">
        <x:v>22.526618955933248</x:v>
      </x:c>
      <x:c r="AM233" s="13" t="str">
        <x:v>Остаток на начало сентября; Резервы неизвестны; Нет ежедневных данных доступности. Запаса примерно на 22.5 дн. без поступлений</x:v>
      </x:c>
      <x:c r="AN233" s="13" t="str">
        <x:v>Подтвердить наличие, срок и цену закупки</x:v>
      </x:c>
      <x:c r="AO233" s="13" t="str">
        <x:v>Прогноз 30 дней 47.94; остаток 36; поступления в срок 0; нехватка 11.944; заказ с учётом MOQ 120 м. Остаток на начало сентября: требуется актуализация.</x:v>
      </x:c>
      <x:c r="AP233" s="13" t="str">
        <x:v>["category_missing", "daily_stockout_data_missing", "new_order_lead_time_unknown", "reservations_unknown", "stale_stock"]</x:v>
      </x:c>
      <x:c r="AQ233" s="10" t="str">
        <x:v>IEK:280100003_</x:v>
      </x:c>
      <x:c r="AR233" s="24" t="n">
        <x:v>0.001</x:v>
      </x:c>
      <x:c r="AS233" s="24" t="n">
        <x:f>MAX(0,ROUNDUP(MAX(0,AF233-AG233-AH233)/AR233-0.000000001,0)*AR233)</x:f>
        <x:v>11.944</x:v>
      </x:c>
      <x:c r="AT233" s="24" t="n">
        <x:v>11.943279997442339</x:v>
      </x:c>
    </x:row>
    <x:row r="234" ht="64" customHeight="1">
      <x:c r="A234" s="11" t="str">
        <x:v>IEK</x:v>
      </x:c>
      <x:c r="B234" s="33" t="str">
        <x:v>280100011_</x:v>
      </x:c>
      <x:c r="C234" s="33" t="str">
        <x:v>CKK10-040-040-1-K01-024</x:v>
      </x:c>
      <x:c r="D234" s="12" t="str">
        <x:v>Кабель-канал 40х40 белый ЭЛЕКОР IEK (24)</x:v>
      </x:c>
      <x:c r="E234" s="11" t="str">
        <x:v>м</x:v>
      </x:c>
      <x:c r="F234" s="23" t="n">
        <x:f>IF(AS234&gt;0,MAX(AS234,AJ234),0)</x:f>
        <x:v>72.978</x:v>
      </x:c>
      <x:c r="G234" s="20" t="str">
        <x:f>IF(J234="Рассчитано",V234*(1-R234/100)-W234-P234-Q234,"н/д")</x:f>
        <x:v>н/д</x:v>
      </x:c>
      <x:c r="H234" s="12" t="str">
        <x:v>Высокий</x:v>
      </x:c>
      <x:c r="I234" s="12" t="str">
        <x:v>Критический</x:v>
      </x:c>
      <x:c r="J234" s="12" t="str">
        <x:f>IF(L234="","Укажите валюту",IF(NOT(ISNUMBER(K234)),"Укажите объём",IF(K234&lt;=0,"Укажите объём",IF(COUNT(M234:O234)&lt;3,"Нужны цены",IF(COUNT(P234:R234)&lt;3,"Нужны расходы",IF(OR(M234&lt;0,N234&lt;0,O234&lt;0,O234&gt;100,P234&lt;0,Q234&lt;0,R234&lt;0,R234&gt;100),"Проверьте значения","Рассчитано"))))))</x:f>
        <x:v>Нужны цены</x:v>
      </x:c>
      <x:c r="K234" s="25" t="n">
        <x:v>72.978</x:v>
      </x:c>
      <x:c r="L234" s="19" t="str">
        <x:v>KZT</x:v>
      </x:c>
      <x:c r="M234" s="22"/>
      <x:c r="N234" s="22"/>
      <x:c r="O234" s="28"/>
      <x:c r="P234" s="22"/>
      <x:c r="Q234" s="22"/>
      <x:c r="R234" s="28"/>
      <x:c r="S234" s="22"/>
      <x:c r="T234" s="23" t="n">
        <x:f>MIN(K234,AT234)</x:f>
        <x:v>72.97729227299135</x:v>
      </x:c>
      <x:c r="U234" s="20" t="str">
        <x:f>IF(J234="Рассчитано",N234*(1-O234/100),"н/д")</x:f>
        <x:v>н/д</x:v>
      </x:c>
      <x:c r="V234" s="20" t="str">
        <x:f>IF(J234="Рассчитано",T234*U234,"н/д")</x:f>
        <x:v>н/д</x:v>
      </x:c>
      <x:c r="W234" s="20" t="str">
        <x:f>IF(J234="Рассчитано",T234*M234,"н/д")</x:f>
        <x:v>н/д</x:v>
      </x:c>
      <x:c r="X234" s="20" t="str">
        <x:f>IF(J234="Рассчитано",V234-W234,"н/д")</x:f>
        <x:v>н/д</x:v>
      </x:c>
      <x:c r="Y234" s="26" t="str">
        <x:f>IF(J234="Рассчитано",IF(V234&gt;0,G234/V234,"н/д"),"н/д")</x:f>
        <x:v>н/д</x:v>
      </x:c>
      <x:c r="Z234" s="20" t="str">
        <x:f>IF(J234="Рассчитано",K234*M234,"н/д")</x:f>
        <x:v>н/д</x:v>
      </x:c>
      <x:c r="AA234" s="20" t="str">
        <x:f>IF(J234="Рассчитано",(K234-T234)*M234,"н/д")</x:f>
        <x:v>н/д</x:v>
      </x:c>
      <x:c r="AB234" s="20" t="str">
        <x:f>IF(AND(J234="Рассчитано",ISNUMBER(S234)),K234*(S234-M234),"н/д")</x:f>
        <x:v>н/д</x:v>
      </x:c>
      <x:c r="AC234" s="20" t="str">
        <x:f>IF(AND(J234="Рассчитано",T234&gt;0,R234&lt;100),(W234+P234+Q234)/(T234*(1-R234/100)),"н/д")</x:f>
        <x:v>н/д</x:v>
      </x:c>
      <x:c r="AD234" s="11" t="str">
        <x:f>IF(ISNUMBER(G234),IF(G234&lt;0,"Убыток",IF(G234=0,"Без прибыли","Прибыль &gt; 0")),"Не оценён")</x:f>
        <x:v>Не оценён</x:v>
      </x:c>
      <x:c r="AE234" s="12" t="str">
        <x:f>IF(J234="Рассчитано","Выручка "&amp;TEXT(V234,"0.00")&amp;" - себестоимость "&amp;TEXT(W234,"0.00")&amp;" - комиссия "&amp;TEXT(V234*R234/100,"0.00")&amp;" - доставка "&amp;TEXT(P234,"0.00")&amp;" - прочие "&amp;TEXT(Q234,"0.00")&amp;" = "&amp;TEXT(G234,"0.00")&amp;" "&amp;L234,"Введите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4" s="23" t="n">
        <x:v>155.97729227299135</x:v>
      </x:c>
      <x:c r="AG234" s="23" t="n">
        <x:v>11</x:v>
      </x:c>
      <x:c r="AH234" s="23" t="n">
        <x:v>72</x:v>
      </x:c>
      <x:c r="AI234" s="29" t="n">
        <x:v>46266</x:v>
      </x:c>
      <x:c r="AJ234" s="23" t="n">
        <x:v>24</x:v>
      </x:c>
      <x:c r="AK234" s="11" t="str">
        <x:v>минимум</x:v>
      </x:c>
      <x:c r="AL234" s="31" t="n">
        <x:v>2.1156925805740636</x:v>
      </x:c>
      <x:c r="AM234" s="12" t="str">
        <x:v>Остаток на начало сентября; Резервы неизвестны; Детальные и месячные продажи расходятся; Нет ежедневных данных доступности. Запаса примерно на 2.1 дн. без поступлений</x:v>
      </x:c>
      <x:c r="AN234" s="12" t="str">
        <x:v>Подтвердить наличие, срок и цену закупки</x:v>
      </x:c>
      <x:c r="AO234" s="12" t="str">
        <x:v>Прогноз 30 дней 155.98; остаток 11; поступления в срок 72; нехватка 72.978; заказ с учётом MOQ 72.978 м. Остаток на начало сентября: требуется актуализация.</x:v>
      </x:c>
      <x:c r="AP234" s="12" t="str">
        <x:v>["category_missing", "daily_stockout_data_missing", "large_orders_detected", "new_order_lead_time_unknown", "reservations_unknown", "stale_stock", "transaction_month_mismatch"]</x:v>
      </x:c>
      <x:c r="AQ234" s="11" t="str">
        <x:v>IEK:280100011_</x:v>
      </x:c>
      <x:c r="AR234" s="23" t="n">
        <x:v>0.001</x:v>
      </x:c>
      <x:c r="AS234" s="23" t="n">
        <x:f>MAX(0,ROUNDUP(MAX(0,AF234-AG234-AH234)/AR234-0.000000001,0)*AR234)</x:f>
        <x:v>72.978</x:v>
      </x:c>
      <x:c r="AT234" s="23" t="n">
        <x:v>72.97729227299135</x:v>
      </x:c>
    </x:row>
    <x:row r="235" ht="64" customHeight="1">
      <x:c r="A235" s="10" t="str">
        <x:v>IEK</x:v>
      </x:c>
      <x:c r="B235" s="34" t="str">
        <x:v>280100130_</x:v>
      </x:c>
      <x:c r="C235" s="34" t="str">
        <x:v>CKK-40D-RI2-K01</x:v>
      </x:c>
      <x:c r="D235" s="13" t="str">
        <x:v>Розетка информационная RJ-45 UTP кат.5е,2 модуль РКИ-20-00-П ПРАЙМЕР (100)</x:v>
      </x:c>
      <x:c r="E235" s="10" t="str">
        <x:v>шт</x:v>
      </x:c>
      <x:c r="F235" s="37" t="n">
        <x:f>IF(AS235&gt;0,MAX(AS235,AJ235),0)</x:f>
        <x:v>16</x:v>
      </x:c>
      <x:c r="G235" s="21" t="str">
        <x:f>IF(J235="Рассчитано",V235*(1-R235/100)-W235-P235-Q235,"н/д")</x:f>
        <x:v>н/д</x:v>
      </x:c>
      <x:c r="H235" s="13" t="str">
        <x:v>Высокий</x:v>
      </x:c>
      <x:c r="I235" s="13" t="str">
        <x:v>Средний</x:v>
      </x:c>
      <x:c r="J235" s="13" t="str">
        <x:f>IF(L235="","Укажите валюту",IF(NOT(ISNUMBER(K235)),"Укажите объём",IF(K235&lt;=0,"Укажите объём",IF(COUNT(M235:O235)&lt;3,"Нужны цены",IF(COUNT(P235:R235)&lt;3,"Нужны расходы",IF(OR(M235&lt;0,N235&lt;0,O235&lt;0,O235&gt;100,P235&lt;0,Q235&lt;0,R235&lt;0,R235&gt;100),"Проверьте значения","Рассчитано"))))))</x:f>
        <x:v>Нужны цены</x:v>
      </x:c>
      <x:c r="K235" s="36" t="n">
        <x:v>16</x:v>
      </x:c>
      <x:c r="L235" s="19" t="str">
        <x:v>KZT</x:v>
      </x:c>
      <x:c r="M235" s="22"/>
      <x:c r="N235" s="22"/>
      <x:c r="O235" s="28"/>
      <x:c r="P235" s="22"/>
      <x:c r="Q235" s="22"/>
      <x:c r="R235" s="28"/>
      <x:c r="S235" s="22"/>
      <x:c r="T235" s="37" t="n">
        <x:f>MIN(K235,AT235)</x:f>
        <x:v>15.329167221109145</x:v>
      </x:c>
      <x:c r="U235" s="21" t="str">
        <x:f>IF(J235="Рассчитано",N235*(1-O235/100),"н/д")</x:f>
        <x:v>н/д</x:v>
      </x:c>
      <x:c r="V235" s="21" t="str">
        <x:f>IF(J235="Рассчитано",T235*U235,"н/д")</x:f>
        <x:v>н/д</x:v>
      </x:c>
      <x:c r="W235" s="21" t="str">
        <x:f>IF(J235="Рассчитано",T235*M235,"н/д")</x:f>
        <x:v>н/д</x:v>
      </x:c>
      <x:c r="X235" s="21" t="str">
        <x:f>IF(J235="Рассчитано",V235-W235,"н/д")</x:f>
        <x:v>н/д</x:v>
      </x:c>
      <x:c r="Y235" s="27" t="str">
        <x:f>IF(J235="Рассчитано",IF(V235&gt;0,G235/V235,"н/д"),"н/д")</x:f>
        <x:v>н/д</x:v>
      </x:c>
      <x:c r="Z235" s="21" t="str">
        <x:f>IF(J235="Рассчитано",K235*M235,"н/д")</x:f>
        <x:v>н/д</x:v>
      </x:c>
      <x:c r="AA235" s="21" t="str">
        <x:f>IF(J235="Рассчитано",(K235-T235)*M235,"н/д")</x:f>
        <x:v>н/д</x:v>
      </x:c>
      <x:c r="AB235" s="21" t="str">
        <x:f>IF(AND(J235="Рассчитано",ISNUMBER(S235)),K235*(S235-M235),"н/д")</x:f>
        <x:v>н/д</x:v>
      </x:c>
      <x:c r="AC235" s="21" t="str">
        <x:f>IF(AND(J235="Рассчитано",T235&gt;0,R235&lt;100),(W235+P235+Q235)/(T235*(1-R235/100)),"н/д")</x:f>
        <x:v>н/д</x:v>
      </x:c>
      <x:c r="AD235" s="10" t="str">
        <x:f>IF(ISNUMBER(G235),IF(G235&lt;0,"Убыток",IF(G235=0,"Без прибыли","Прибыль &gt; 0")),"Не оценён")</x:f>
        <x:v>Не оценён</x:v>
      </x:c>
      <x:c r="AE235" s="13" t="str">
        <x:f>IF(J235="Рассчитано","Выручка "&amp;TEXT(V235,"0.00")&amp;" - себестоимость "&amp;TEXT(W235,"0.00")&amp;" - комиссия "&amp;TEXT(V235*R235/100,"0.00")&amp;" - доставка "&amp;TEXT(P235,"0.00")&amp;" - прочие "&amp;TEXT(Q235,"0.00")&amp;" = "&amp;TEXT(G235,"0.00")&amp;" "&amp;L235,"Введите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5" s="24" t="n">
        <x:v>51.329167221109145</x:v>
      </x:c>
      <x:c r="AG235" s="37" t="n">
        <x:v>36</x:v>
      </x:c>
      <x:c r="AH235" s="37" t="n">
        <x:v>0</x:v>
      </x:c>
      <x:c r="AI235" s="30" t="n">
        <x:v>46266</x:v>
      </x:c>
      <x:c r="AJ235" s="37" t="n">
        <x:v>10</x:v>
      </x:c>
      <x:c r="AK235" s="10" t="str">
        <x:v>минимум</x:v>
      </x:c>
      <x:c r="AL235" s="32" t="n">
        <x:v>21.0406686581864</x:v>
      </x:c>
      <x:c r="AM235" s="13" t="str">
        <x:v>Остаток на начало сентября; Резервы неизвестны; Нет ежедневных данных доступности. Запаса примерно на 21.0 дн. без поступлений</x:v>
      </x:c>
      <x:c r="AN235" s="13" t="str">
        <x:v>Подтвердить наличие, срок и цену закупки</x:v>
      </x:c>
      <x:c r="AO235" s="13" t="str">
        <x:v>Прогноз 30 дней 51.33; остаток 36; поступления в срок 0; нехватка 16; заказ с учётом MOQ 16 шт. Остаток на начало сентября: требуется актуализация.</x:v>
      </x:c>
      <x:c r="AP235" s="13" t="str">
        <x:v>["category_missing", "daily_stockout_data_missing", "new_order_lead_time_unknown", "reservations_unknown", "stale_stock"]</x:v>
      </x:c>
      <x:c r="AQ235" s="10" t="str">
        <x:v>IEK:280100130_</x:v>
      </x:c>
      <x:c r="AR235" s="24" t="n">
        <x:v>1</x:v>
      </x:c>
      <x:c r="AS235" s="24" t="n">
        <x:f>MAX(0,ROUNDUP(MAX(0,AF235-AG235-AH235)/AR235-0.000000001,0)*AR235)</x:f>
        <x:v>16</x:v>
      </x:c>
      <x:c r="AT235" s="24" t="n">
        <x:v>15.329167221109145</x:v>
      </x:c>
    </x:row>
    <x:row r="236" ht="64" customHeight="1">
      <x:c r="A236" s="11" t="str">
        <x:v>IEK</x:v>
      </x:c>
      <x:c r="B236" s="33" t="str">
        <x:v>280100336_</x:v>
      </x:c>
      <x:c r="C236" s="33" t="str">
        <x:v>EL-KK10-016-016-1-K02</x:v>
      </x:c>
      <x:c r="D236" s="12" t="str">
        <x:v>Кабель-канал 16х16 черный ЭЛЕКОР IEK (84м)</x:v>
      </x:c>
      <x:c r="E236" s="11" t="str">
        <x:v>м</x:v>
      </x:c>
      <x:c r="F236" s="23" t="n">
        <x:f>IF(AS236&gt;0,MAX(AS236,AJ236),0)</x:f>
        <x:v>84</x:v>
      </x:c>
      <x:c r="G236" s="20" t="str">
        <x:f>IF(J236="Рассчитано",V236*(1-R236/100)-W236-P236-Q236,"н/д")</x:f>
        <x:v>н/д</x:v>
      </x:c>
      <x:c r="H236" s="12" t="str">
        <x:v>Высокий</x:v>
      </x:c>
      <x:c r="I236" s="12" t="str">
        <x:v>Критический</x:v>
      </x:c>
      <x:c r="J236" s="12" t="str">
        <x:f>IF(L236="","Укажите валюту",IF(NOT(ISNUMBER(K236)),"Укажите объём",IF(K236&lt;=0,"Укажите объём",IF(COUNT(M236:O236)&lt;3,"Нужны цены",IF(COUNT(P236:R236)&lt;3,"Нужны расходы",IF(OR(M236&lt;0,N236&lt;0,O236&lt;0,O236&gt;100,P236&lt;0,Q236&lt;0,R236&lt;0,R236&gt;100),"Проверьте значения","Рассчитано"))))))</x:f>
        <x:v>Нужны цены</x:v>
      </x:c>
      <x:c r="K236" s="25" t="n">
        <x:v>84</x:v>
      </x:c>
      <x:c r="L236" s="19" t="str">
        <x:v>KZT</x:v>
      </x:c>
      <x:c r="M236" s="22"/>
      <x:c r="N236" s="22"/>
      <x:c r="O236" s="28"/>
      <x:c r="P236" s="22"/>
      <x:c r="Q236" s="22"/>
      <x:c r="R236" s="28"/>
      <x:c r="S236" s="22"/>
      <x:c r="T236" s="23" t="n">
        <x:f>MIN(K236,AT236)</x:f>
        <x:v>37.71209777095085</x:v>
      </x:c>
      <x:c r="U236" s="20" t="str">
        <x:f>IF(J236="Рассчитано",N236*(1-O236/100),"н/д")</x:f>
        <x:v>н/д</x:v>
      </x:c>
      <x:c r="V236" s="20" t="str">
        <x:f>IF(J236="Рассчитано",T236*U236,"н/д")</x:f>
        <x:v>н/д</x:v>
      </x:c>
      <x:c r="W236" s="20" t="str">
        <x:f>IF(J236="Рассчитано",T236*M236,"н/д")</x:f>
        <x:v>н/д</x:v>
      </x:c>
      <x:c r="X236" s="20" t="str">
        <x:f>IF(J236="Рассчитано",V236-W236,"н/д")</x:f>
        <x:v>н/д</x:v>
      </x:c>
      <x:c r="Y236" s="26" t="str">
        <x:f>IF(J236="Рассчитано",IF(V236&gt;0,G236/V236,"н/д"),"н/д")</x:f>
        <x:v>н/д</x:v>
      </x:c>
      <x:c r="Z236" s="20" t="str">
        <x:f>IF(J236="Рассчитано",K236*M236,"н/д")</x:f>
        <x:v>н/д</x:v>
      </x:c>
      <x:c r="AA236" s="20" t="str">
        <x:f>IF(J236="Рассчитано",(K236-T236)*M236,"н/д")</x:f>
        <x:v>н/д</x:v>
      </x:c>
      <x:c r="AB236" s="20" t="str">
        <x:f>IF(AND(J236="Рассчитано",ISNUMBER(S236)),K236*(S236-M236),"н/д")</x:f>
        <x:v>н/д</x:v>
      </x:c>
      <x:c r="AC236" s="20" t="str">
        <x:f>IF(AND(J236="Рассчитано",T236&gt;0,R236&lt;100),(W236+P236+Q236)/(T236*(1-R236/100)),"н/д")</x:f>
        <x:v>н/д</x:v>
      </x:c>
      <x:c r="AD236" s="11" t="str">
        <x:f>IF(ISNUMBER(G236),IF(G236&lt;0,"Убыток",IF(G236=0,"Без прибыли","Прибыль &gt; 0")),"Не оценён")</x:f>
        <x:v>Не оценён</x:v>
      </x:c>
      <x:c r="AE236" s="12" t="str">
        <x:f>IF(J236="Рассчитано","Выручка "&amp;TEXT(V236,"0.00")&amp;" - себестоимость "&amp;TEXT(W236,"0.00")&amp;" - комиссия "&amp;TEXT(V236*R236/100,"0.00")&amp;" - доставка "&amp;TEXT(P236,"0.00")&amp;" - прочие "&amp;TEXT(Q236,"0.00")&amp;" = "&amp;TEXT(G236,"0.00")&amp;" "&amp;L236,"Введите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6" s="23" t="n">
        <x:v>43.71209777095085</x:v>
      </x:c>
      <x:c r="AG236" s="23" t="n">
        <x:v>6</x:v>
      </x:c>
      <x:c r="AH236" s="23" t="n">
        <x:v>0</x:v>
      </x:c>
      <x:c r="AI236" s="29" t="n">
        <x:v>46266</x:v>
      </x:c>
      <x:c r="AJ236" s="23" t="n">
        <x:v>84</x:v>
      </x:c>
      <x:c r="AK236" s="11" t="str">
        <x:v>минимум</x:v>
      </x:c>
      <x:c r="AL236" s="31" t="n">
        <x:v>4.117853161456372</x:v>
      </x:c>
      <x:c r="AM236" s="12" t="str">
        <x:v>Остаток на начало сентября; Резервы неизвестны; Нет ежедневных данных доступности. Запаса примерно на 4.1 дн. без поступлений</x:v>
      </x:c>
      <x:c r="AN236" s="12" t="str">
        <x:v>Подтвердить наличие, срок и цену закупки</x:v>
      </x:c>
      <x:c r="AO236" s="12" t="str">
        <x:v>Прогноз 30 дней 43.71; остаток 6; поступления в срок 0; нехватка 37.713; заказ с учётом MOQ 84 м. Остаток на начало сентября: требуется актуализация.</x:v>
      </x:c>
      <x:c r="AP236" s="12" t="str">
        <x:v>["category_missing", "daily_stockout_data_missing", "new_order_lead_time_unknown", "reservations_unknown", "stale_stock"]</x:v>
      </x:c>
      <x:c r="AQ236" s="11" t="str">
        <x:v>IEK:280100336_</x:v>
      </x:c>
      <x:c r="AR236" s="23" t="n">
        <x:v>0.001</x:v>
      </x:c>
      <x:c r="AS236" s="23" t="n">
        <x:f>MAX(0,ROUNDUP(MAX(0,AF236-AG236-AH236)/AR236-0.000000001,0)*AR236)</x:f>
        <x:v>37.713</x:v>
      </x:c>
      <x:c r="AT236" s="23" t="n">
        <x:v>37.71209777095085</x:v>
      </x:c>
    </x:row>
    <x:row r="237" ht="64" customHeight="1">
      <x:c r="A237" s="10" t="str">
        <x:v>IEK</x:v>
      </x:c>
      <x:c r="B237" s="34" t="str">
        <x:v>280100340_</x:v>
      </x:c>
      <x:c r="C237" s="34" t="str">
        <x:v>CKK10-015-010-1-K24</x:v>
      </x:c>
      <x:c r="D237" s="13" t="str">
        <x:v>Кабель-канал 15х10 дуб ЭЛЕКОР IEK (144)</x:v>
      </x:c>
      <x:c r="E237" s="10" t="str">
        <x:v>м</x:v>
      </x:c>
      <x:c r="F237" s="24" t="n">
        <x:f>IF(AS237&gt;0,MAX(AS237,AJ237),0)</x:f>
        <x:v>144</x:v>
      </x:c>
      <x:c r="G237" s="21" t="str">
        <x:f>IF(J237="Рассчитано",V237*(1-R237/100)-W237-P237-Q237,"н/д")</x:f>
        <x:v>н/д</x:v>
      </x:c>
      <x:c r="H237" s="13" t="str">
        <x:v>Высокий</x:v>
      </x:c>
      <x:c r="I237" s="13" t="str">
        <x:v>Критический</x:v>
      </x:c>
      <x:c r="J237" s="13" t="str">
        <x:f>IF(L237="","Укажите валюту",IF(NOT(ISNUMBER(K237)),"Укажите объём",IF(K237&lt;=0,"Укажите объём",IF(COUNT(M237:O237)&lt;3,"Нужны цены",IF(COUNT(P237:R237)&lt;3,"Нужны расходы",IF(OR(M237&lt;0,N237&lt;0,O237&lt;0,O237&gt;100,P237&lt;0,Q237&lt;0,R237&lt;0,R237&gt;100),"Проверьте значения","Рассчитано"))))))</x:f>
        <x:v>Нужны цены</x:v>
      </x:c>
      <x:c r="K237" s="25" t="n">
        <x:v>144</x:v>
      </x:c>
      <x:c r="L237" s="19" t="str">
        <x:v>KZT</x:v>
      </x:c>
      <x:c r="M237" s="22"/>
      <x:c r="N237" s="22"/>
      <x:c r="O237" s="28"/>
      <x:c r="P237" s="22"/>
      <x:c r="Q237" s="22"/>
      <x:c r="R237" s="28"/>
      <x:c r="S237" s="22"/>
      <x:c r="T237" s="24" t="n">
        <x:f>MIN(K237,AT237)</x:f>
        <x:v>42.77231096213391</x:v>
      </x:c>
      <x:c r="U237" s="21" t="str">
        <x:f>IF(J237="Рассчитано",N237*(1-O237/100),"н/д")</x:f>
        <x:v>н/д</x:v>
      </x:c>
      <x:c r="V237" s="21" t="str">
        <x:f>IF(J237="Рассчитано",T237*U237,"н/д")</x:f>
        <x:v>н/д</x:v>
      </x:c>
      <x:c r="W237" s="21" t="str">
        <x:f>IF(J237="Рассчитано",T237*M237,"н/д")</x:f>
        <x:v>н/д</x:v>
      </x:c>
      <x:c r="X237" s="21" t="str">
        <x:f>IF(J237="Рассчитано",V237-W237,"н/д")</x:f>
        <x:v>н/д</x:v>
      </x:c>
      <x:c r="Y237" s="27" t="str">
        <x:f>IF(J237="Рассчитано",IF(V237&gt;0,G237/V237,"н/д"),"н/д")</x:f>
        <x:v>н/д</x:v>
      </x:c>
      <x:c r="Z237" s="21" t="str">
        <x:f>IF(J237="Рассчитано",K237*M237,"н/д")</x:f>
        <x:v>н/д</x:v>
      </x:c>
      <x:c r="AA237" s="21" t="str">
        <x:f>IF(J237="Рассчитано",(K237-T237)*M237,"н/д")</x:f>
        <x:v>н/д</x:v>
      </x:c>
      <x:c r="AB237" s="21" t="str">
        <x:f>IF(AND(J237="Рассчитано",ISNUMBER(S237)),K237*(S237-M237),"н/д")</x:f>
        <x:v>н/д</x:v>
      </x:c>
      <x:c r="AC237" s="21" t="str">
        <x:f>IF(AND(J237="Рассчитано",T237&gt;0,R237&lt;100),(W237+P237+Q237)/(T237*(1-R237/100)),"н/д")</x:f>
        <x:v>н/д</x:v>
      </x:c>
      <x:c r="AD237" s="10" t="str">
        <x:f>IF(ISNUMBER(G237),IF(G237&lt;0,"Убыток",IF(G237=0,"Без прибыли","Прибыль &gt; 0")),"Не оценён")</x:f>
        <x:v>Не оценён</x:v>
      </x:c>
      <x:c r="AE237" s="13" t="str">
        <x:f>IF(J237="Рассчитано","Выручка "&amp;TEXT(V237,"0.00")&amp;" - себестоимость "&amp;TEXT(W237,"0.00")&amp;" - комиссия "&amp;TEXT(V237*R237/100,"0.00")&amp;" - доставка "&amp;TEXT(P237,"0.00")&amp;" - прочие "&amp;TEXT(Q237,"0.00")&amp;" = "&amp;TEXT(G237,"0.00")&amp;" "&amp;L237,"Введите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7" s="24" t="n">
        <x:v>42.77231096213391</x:v>
      </x:c>
      <x:c r="AG237" s="24" t="n">
        <x:v>0</x:v>
      </x:c>
      <x:c r="AH237" s="24" t="n">
        <x:v>0</x:v>
      </x:c>
      <x:c r="AI237" s="30" t="n">
        <x:v>46266</x:v>
      </x:c>
      <x:c r="AJ237" s="24" t="n">
        <x:v>144</x:v>
      </x:c>
      <x:c r="AK237" s="10" t="str">
        <x:v>минимум</x:v>
      </x:c>
      <x:c r="AL237" s="32" t="n">
        <x:v>0</x:v>
      </x:c>
      <x:c r="AM237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37" s="13" t="str">
        <x:v>Подтвердить наличие, срок и цену закупки</x:v>
      </x:c>
      <x:c r="AO237" s="13" t="str">
        <x:v>Прогноз 30 дней 42.77; остаток 0; поступления в срок 0; нехватка 42.773; заказ с учётом MOQ 144 м. Остаток на начало сентября: требуется актуализация.</x:v>
      </x:c>
      <x:c r="AP237" s="13" t="str">
        <x:v>["blank_stock_assumed_zero", "category_missing", "daily_stockout_data_missing", "new_order_lead_time_unknown", "reservations_unknown", "stale_stock", "stockout_proxy_used"]</x:v>
      </x:c>
      <x:c r="AQ237" s="10" t="str">
        <x:v>IEK:280100340_</x:v>
      </x:c>
      <x:c r="AR237" s="24" t="n">
        <x:v>0.001</x:v>
      </x:c>
      <x:c r="AS237" s="24" t="n">
        <x:f>MAX(0,ROUNDUP(MAX(0,AF237-AG237-AH237)/AR237-0.000000001,0)*AR237)</x:f>
        <x:v>42.773</x:v>
      </x:c>
      <x:c r="AT237" s="24" t="n">
        <x:v>42.77231096213391</x:v>
      </x:c>
    </x:row>
    <x:row r="238" ht="64" customHeight="1">
      <x:c r="A238" s="11" t="str">
        <x:v>IEK</x:v>
      </x:c>
      <x:c r="B238" s="33" t="str">
        <x:v>280100352_</x:v>
      </x:c>
      <x:c r="C238" s="33" t="str">
        <x:v>EL-KK10D-V-040-025-K11</x:v>
      </x:c>
      <x:c r="D238" s="12" t="str">
        <x:v>Угол внутренний КМВ 40х25 дуб ЭЛЕКОР IEK (4шт/компл)</x:v>
      </x:c>
      <x:c r="E238" s="11" t="str">
        <x:v>шт</x:v>
      </x:c>
      <x:c r="F238" s="35" t="n">
        <x:f>AS238</x:f>
        <x:v>1</x:v>
      </x:c>
      <x:c r="G238" s="20" t="str">
        <x:f>IF(J238="Рассчитано",V238*(1-R238/100)-W238-P238-Q238,"н/д")</x:f>
        <x:v>н/д</x:v>
      </x:c>
      <x:c r="H238" s="12" t="str">
        <x:v>Высокий</x:v>
      </x:c>
      <x:c r="I238" s="12" t="str">
        <x:v>Критический</x:v>
      </x:c>
      <x:c r="J238" s="12" t="str">
        <x:f>IF(L238="","Укажите валюту",IF(NOT(ISNUMBER(K238)),"Укажите объём",IF(K238&lt;=0,"Укажите объём",IF(COUNT(M238:O238)&lt;3,"Нужны цены",IF(COUNT(P238:R238)&lt;3,"Нужны расходы",IF(OR(M238&lt;0,N238&lt;0,O238&lt;0,O238&gt;100,P238&lt;0,Q238&lt;0,R238&lt;0,R238&gt;100),"Проверьте значения","Рассчитано"))))))</x:f>
        <x:v>Нужны цены</x:v>
      </x:c>
      <x:c r="K238" s="36" t="n">
        <x:v>1</x:v>
      </x:c>
      <x:c r="L238" s="19" t="str">
        <x:v>KZT</x:v>
      </x:c>
      <x:c r="M238" s="22"/>
      <x:c r="N238" s="22"/>
      <x:c r="O238" s="28"/>
      <x:c r="P238" s="22"/>
      <x:c r="Q238" s="22"/>
      <x:c r="R238" s="28"/>
      <x:c r="S238" s="22"/>
      <x:c r="T238" s="35" t="n">
        <x:f>MIN(K238,AT238)</x:f>
        <x:v>0.15632529216195482</x:v>
      </x:c>
      <x:c r="U238" s="20" t="str">
        <x:f>IF(J238="Рассчитано",N238*(1-O238/100),"н/д")</x:f>
        <x:v>н/д</x:v>
      </x:c>
      <x:c r="V238" s="20" t="str">
        <x:f>IF(J238="Рассчитано",T238*U238,"н/д")</x:f>
        <x:v>н/д</x:v>
      </x:c>
      <x:c r="W238" s="20" t="str">
        <x:f>IF(J238="Рассчитано",T238*M238,"н/д")</x:f>
        <x:v>н/д</x:v>
      </x:c>
      <x:c r="X238" s="20" t="str">
        <x:f>IF(J238="Рассчитано",V238-W238,"н/д")</x:f>
        <x:v>н/д</x:v>
      </x:c>
      <x:c r="Y238" s="26" t="str">
        <x:f>IF(J238="Рассчитано",IF(V238&gt;0,G238/V238,"н/д"),"н/д")</x:f>
        <x:v>н/д</x:v>
      </x:c>
      <x:c r="Z238" s="20" t="str">
        <x:f>IF(J238="Рассчитано",K238*M238,"н/д")</x:f>
        <x:v>н/д</x:v>
      </x:c>
      <x:c r="AA238" s="20" t="str">
        <x:f>IF(J238="Рассчитано",(K238-T238)*M238,"н/д")</x:f>
        <x:v>н/д</x:v>
      </x:c>
      <x:c r="AB238" s="20" t="str">
        <x:f>IF(AND(J238="Рассчитано",ISNUMBER(S238)),K238*(S238-M238),"н/д")</x:f>
        <x:v>н/д</x:v>
      </x:c>
      <x:c r="AC238" s="20" t="str">
        <x:f>IF(AND(J238="Рассчитано",T238&gt;0,R238&lt;100),(W238+P238+Q238)/(T238*(1-R238/100)),"н/д")</x:f>
        <x:v>н/д</x:v>
      </x:c>
      <x:c r="AD238" s="11" t="str">
        <x:f>IF(ISNUMBER(G238),IF(G238&lt;0,"Убыток",IF(G238=0,"Без прибыли","Прибыль &gt; 0")),"Не оценён")</x:f>
        <x:v>Не оценён</x:v>
      </x:c>
      <x:c r="AE238" s="12" t="str">
        <x:f>IF(J238="Рассчитано","Выручка "&amp;TEXT(V238,"0.00")&amp;" - себестоимость "&amp;TEXT(W238,"0.00")&amp;" - комиссия "&amp;TEXT(V238*R238/100,"0.00")&amp;" - доставка "&amp;TEXT(P238,"0.00")&amp;" - прочие "&amp;TEXT(Q238,"0.00")&amp;" = "&amp;TEXT(G238,"0.00")&amp;" "&amp;L238,"Введите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8" s="23" t="n">
        <x:v>0.15632529216195482</x:v>
      </x:c>
      <x:c r="AG238" s="35" t="n">
        <x:v>0</x:v>
      </x:c>
      <x:c r="AH238" s="35" t="n">
        <x:v>0</x:v>
      </x:c>
      <x:c r="AI238" s="29" t="n">
        <x:v>46266</x:v>
      </x:c>
      <x:c r="AJ238" s="35"/>
      <x:c r="AK238" s="11" t="str">
        <x:v>неизвестно</x:v>
      </x:c>
      <x:c r="AL238" s="31" t="n">
        <x:v>0</x:v>
      </x:c>
      <x:c r="AM238" s="12" t="str">
        <x:v>Остаток на начало сентября; Резервы неизвестны; Нет ежедневных данных доступности. Нет запаса</x:v>
      </x:c>
      <x:c r="AN238" s="12" t="str">
        <x:v>Подтвердить наличие, срок и цену закупки</x:v>
      </x:c>
      <x:c r="AO238" s="12" t="str">
        <x:v>Прогноз 30 дней 0.16; остаток 0; поступления в срок 0; нехватка 1; заказ с учётом MOQ 1 шт. Остаток на начало сентября: требуется актуализация.</x:v>
      </x:c>
      <x:c r="AP238" s="12" t="str">
        <x:v>["blank_stock_assumed_zero", "category_missing", "daily_stockout_data_missing", "moq_missing", "new_order_lead_time_unknown", "reservations_unknown", "stale_stock"]</x:v>
      </x:c>
      <x:c r="AQ238" s="11" t="str">
        <x:v>IEK:280100352_</x:v>
      </x:c>
      <x:c r="AR238" s="23" t="n">
        <x:v>1</x:v>
      </x:c>
      <x:c r="AS238" s="23" t="n">
        <x:f>MAX(0,ROUNDUP(MAX(0,AF238-AG238-AH238)/AR238-0.000000001,0)*AR238)</x:f>
        <x:v>1</x:v>
      </x:c>
      <x:c r="AT238" s="23" t="n">
        <x:v>0.15632529216195482</x:v>
      </x:c>
    </x:row>
    <x:row r="239" ht="64" customHeight="1">
      <x:c r="A239" s="10" t="str">
        <x:v>IEK</x:v>
      </x:c>
      <x:c r="B239" s="34" t="str">
        <x:v>280100356_</x:v>
      </x:c>
      <x:c r="C239" s="34" t="str">
        <x:v>EL-KK10D-Z-040-025-K11</x:v>
      </x:c>
      <x:c r="D239" s="13" t="str">
        <x:v>Заглушка КМЗ 40х25 дуб ЭЛЕКОР IEK (4шт/компл)</x:v>
      </x:c>
      <x:c r="E239" s="10" t="str">
        <x:v>шт</x:v>
      </x:c>
      <x:c r="F239" s="37" t="n">
        <x:f>AS239</x:f>
        <x:v>1</x:v>
      </x:c>
      <x:c r="G239" s="21" t="str">
        <x:f>IF(J239="Рассчитано",V239*(1-R239/100)-W239-P239-Q239,"н/д")</x:f>
        <x:v>н/д</x:v>
      </x:c>
      <x:c r="H239" s="13" t="str">
        <x:v>Высокий</x:v>
      </x:c>
      <x:c r="I239" s="13" t="str">
        <x:v>Критический</x:v>
      </x:c>
      <x:c r="J239" s="13" t="str">
        <x:f>IF(L239="","Укажите валюту",IF(NOT(ISNUMBER(K239)),"Укажите объём",IF(K239&lt;=0,"Укажите объём",IF(COUNT(M239:O239)&lt;3,"Нужны цены",IF(COUNT(P239:R239)&lt;3,"Нужны расходы",IF(OR(M239&lt;0,N239&lt;0,O239&lt;0,O239&gt;100,P239&lt;0,Q239&lt;0,R239&lt;0,R239&gt;100),"Проверьте значения","Рассчитано"))))))</x:f>
        <x:v>Нужны цены</x:v>
      </x:c>
      <x:c r="K239" s="36" t="n">
        <x:v>1</x:v>
      </x:c>
      <x:c r="L239" s="19" t="str">
        <x:v>KZT</x:v>
      </x:c>
      <x:c r="M239" s="22"/>
      <x:c r="N239" s="22"/>
      <x:c r="O239" s="28"/>
      <x:c r="P239" s="22"/>
      <x:c r="Q239" s="22"/>
      <x:c r="R239" s="28"/>
      <x:c r="S239" s="22"/>
      <x:c r="T239" s="37" t="n">
        <x:f>MIN(K239,AT239)</x:f>
        <x:v>0.31265058432390963</x:v>
      </x:c>
      <x:c r="U239" s="21" t="str">
        <x:f>IF(J239="Рассчитано",N239*(1-O239/100),"н/д")</x:f>
        <x:v>н/д</x:v>
      </x:c>
      <x:c r="V239" s="21" t="str">
        <x:f>IF(J239="Рассчитано",T239*U239,"н/д")</x:f>
        <x:v>н/д</x:v>
      </x:c>
      <x:c r="W239" s="21" t="str">
        <x:f>IF(J239="Рассчитано",T239*M239,"н/д")</x:f>
        <x:v>н/д</x:v>
      </x:c>
      <x:c r="X239" s="21" t="str">
        <x:f>IF(J239="Рассчитано",V239-W239,"н/д")</x:f>
        <x:v>н/д</x:v>
      </x:c>
      <x:c r="Y239" s="27" t="str">
        <x:f>IF(J239="Рассчитано",IF(V239&gt;0,G239/V239,"н/д"),"н/д")</x:f>
        <x:v>н/д</x:v>
      </x:c>
      <x:c r="Z239" s="21" t="str">
        <x:f>IF(J239="Рассчитано",K239*M239,"н/д")</x:f>
        <x:v>н/д</x:v>
      </x:c>
      <x:c r="AA239" s="21" t="str">
        <x:f>IF(J239="Рассчитано",(K239-T239)*M239,"н/д")</x:f>
        <x:v>н/д</x:v>
      </x:c>
      <x:c r="AB239" s="21" t="str">
        <x:f>IF(AND(J239="Рассчитано",ISNUMBER(S239)),K239*(S239-M239),"н/д")</x:f>
        <x:v>н/д</x:v>
      </x:c>
      <x:c r="AC239" s="21" t="str">
        <x:f>IF(AND(J239="Рассчитано",T239&gt;0,R239&lt;100),(W239+P239+Q239)/(T239*(1-R239/100)),"н/д")</x:f>
        <x:v>н/д</x:v>
      </x:c>
      <x:c r="AD239" s="10" t="str">
        <x:f>IF(ISNUMBER(G239),IF(G239&lt;0,"Убыток",IF(G239=0,"Без прибыли","Прибыль &gt; 0")),"Не оценён")</x:f>
        <x:v>Не оценён</x:v>
      </x:c>
      <x:c r="AE239" s="13" t="str">
        <x:f>IF(J239="Рассчитано","Выручка "&amp;TEXT(V239,"0.00")&amp;" - себестоимость "&amp;TEXT(W239,"0.00")&amp;" - комиссия "&amp;TEXT(V239*R239/100,"0.00")&amp;" - доставка "&amp;TEXT(P239,"0.00")&amp;" - прочие "&amp;TEXT(Q239,"0.00")&amp;" = "&amp;TEXT(G239,"0.00")&amp;" "&amp;L239,"Введите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39" s="24" t="n">
        <x:v>0.31265058432390963</x:v>
      </x:c>
      <x:c r="AG239" s="37" t="n">
        <x:v>0</x:v>
      </x:c>
      <x:c r="AH239" s="37" t="n">
        <x:v>0</x:v>
      </x:c>
      <x:c r="AI239" s="30" t="n">
        <x:v>46266</x:v>
      </x:c>
      <x:c r="AJ239" s="37"/>
      <x:c r="AK239" s="10" t="str">
        <x:v>неизвестно</x:v>
      </x:c>
      <x:c r="AL239" s="32" t="n">
        <x:v>0</x:v>
      </x:c>
      <x:c r="AM239" s="13" t="str">
        <x:v>Остаток на начало сентября; Резервы неизвестны; Нет ежедневных данных доступности. Нет запаса</x:v>
      </x:c>
      <x:c r="AN239" s="13" t="str">
        <x:v>Подтвердить наличие, срок и цену закупки</x:v>
      </x:c>
      <x:c r="AO239" s="13" t="str">
        <x:v>Прогноз 30 дней 0.31; остаток 0; поступления в срок 0; нехватка 1; заказ с учётом MOQ 1 шт. Остаток на начало сентября: требуется актуализация.</x:v>
      </x:c>
      <x:c r="AP239" s="13" t="str">
        <x:v>["blank_stock_assumed_zero", "category_missing", "daily_stockout_data_missing", "moq_missing", "new_order_lead_time_unknown", "reservations_unknown", "stale_stock"]</x:v>
      </x:c>
      <x:c r="AQ239" s="10" t="str">
        <x:v>IEK:280100356_</x:v>
      </x:c>
      <x:c r="AR239" s="24" t="n">
        <x:v>1</x:v>
      </x:c>
      <x:c r="AS239" s="24" t="n">
        <x:f>MAX(0,ROUNDUP(MAX(0,AF239-AG239-AH239)/AR239-0.000000001,0)*AR239)</x:f>
        <x:v>1</x:v>
      </x:c>
      <x:c r="AT239" s="24" t="n">
        <x:v>0.31265058432390963</x:v>
      </x:c>
    </x:row>
    <x:row r="240" ht="64" customHeight="1">
      <x:c r="A240" s="11" t="str">
        <x:v>IEK</x:v>
      </x:c>
      <x:c r="B240" s="33" t="str">
        <x:v>280100358_</x:v>
      </x:c>
      <x:c r="C240" s="33" t="str">
        <x:v>EL-KK10D-P-025-016-K11</x:v>
      </x:c>
      <x:c r="D240" s="12" t="str">
        <x:v>Поворот 90град КМП 25х16 дуб ЭЛЕКОР IEK (4шт/компл)</x:v>
      </x:c>
      <x:c r="E240" s="11" t="str">
        <x:v>шт</x:v>
      </x:c>
      <x:c r="F240" s="35" t="n">
        <x:f>AS240</x:f>
        <x:v>1</x:v>
      </x:c>
      <x:c r="G240" s="20" t="str">
        <x:f>IF(J240="Рассчитано",V240*(1-R240/100)-W240-P240-Q240,"н/д")</x:f>
        <x:v>н/д</x:v>
      </x:c>
      <x:c r="H240" s="12" t="str">
        <x:v>Высокий</x:v>
      </x:c>
      <x:c r="I240" s="12" t="str">
        <x:v>Критический</x:v>
      </x:c>
      <x:c r="J240" s="12" t="str">
        <x:f>IF(L240="","Укажите валюту",IF(NOT(ISNUMBER(K240)),"Укажите объём",IF(K240&lt;=0,"Укажите объём",IF(COUNT(M240:O240)&lt;3,"Нужны цены",IF(COUNT(P240:R240)&lt;3,"Нужны расходы",IF(OR(M240&lt;0,N240&lt;0,O240&lt;0,O240&gt;100,P240&lt;0,Q240&lt;0,R240&lt;0,R240&gt;100),"Проверьте значения","Рассчитано"))))))</x:f>
        <x:v>Нужны цены</x:v>
      </x:c>
      <x:c r="K240" s="36" t="n">
        <x:v>1</x:v>
      </x:c>
      <x:c r="L240" s="19" t="str">
        <x:v>KZT</x:v>
      </x:c>
      <x:c r="M240" s="22"/>
      <x:c r="N240" s="22"/>
      <x:c r="O240" s="28"/>
      <x:c r="P240" s="22"/>
      <x:c r="Q240" s="22"/>
      <x:c r="R240" s="28"/>
      <x:c r="S240" s="22"/>
      <x:c r="T240" s="35" t="n">
        <x:f>MIN(K240,AT240)</x:f>
        <x:v>0.16131057948992888</x:v>
      </x:c>
      <x:c r="U240" s="20" t="str">
        <x:f>IF(J240="Рассчитано",N240*(1-O240/100),"н/д")</x:f>
        <x:v>н/д</x:v>
      </x:c>
      <x:c r="V240" s="20" t="str">
        <x:f>IF(J240="Рассчитано",T240*U240,"н/д")</x:f>
        <x:v>н/д</x:v>
      </x:c>
      <x:c r="W240" s="20" t="str">
        <x:f>IF(J240="Рассчитано",T240*M240,"н/д")</x:f>
        <x:v>н/д</x:v>
      </x:c>
      <x:c r="X240" s="20" t="str">
        <x:f>IF(J240="Рассчитано",V240-W240,"н/д")</x:f>
        <x:v>н/д</x:v>
      </x:c>
      <x:c r="Y240" s="26" t="str">
        <x:f>IF(J240="Рассчитано",IF(V240&gt;0,G240/V240,"н/д"),"н/д")</x:f>
        <x:v>н/д</x:v>
      </x:c>
      <x:c r="Z240" s="20" t="str">
        <x:f>IF(J240="Рассчитано",K240*M240,"н/д")</x:f>
        <x:v>н/д</x:v>
      </x:c>
      <x:c r="AA240" s="20" t="str">
        <x:f>IF(J240="Рассчитано",(K240-T240)*M240,"н/д")</x:f>
        <x:v>н/д</x:v>
      </x:c>
      <x:c r="AB240" s="20" t="str">
        <x:f>IF(AND(J240="Рассчитано",ISNUMBER(S240)),K240*(S240-M240),"н/д")</x:f>
        <x:v>н/д</x:v>
      </x:c>
      <x:c r="AC240" s="20" t="str">
        <x:f>IF(AND(J240="Рассчитано",T240&gt;0,R240&lt;100),(W240+P240+Q240)/(T240*(1-R240/100)),"н/д")</x:f>
        <x:v>н/д</x:v>
      </x:c>
      <x:c r="AD240" s="11" t="str">
        <x:f>IF(ISNUMBER(G240),IF(G240&lt;0,"Убыток",IF(G240=0,"Без прибыли","Прибыль &gt; 0")),"Не оценён")</x:f>
        <x:v>Не оценён</x:v>
      </x:c>
      <x:c r="AE240" s="12" t="str">
        <x:f>IF(J240="Рассчитано","Выручка "&amp;TEXT(V240,"0.00")&amp;" - себестоимость "&amp;TEXT(W240,"0.00")&amp;" - комиссия "&amp;TEXT(V240*R240/100,"0.00")&amp;" - доставка "&amp;TEXT(P240,"0.00")&amp;" - прочие "&amp;TEXT(Q240,"0.00")&amp;" = "&amp;TEXT(G240,"0.00")&amp;" "&amp;L240,"Введите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0" s="23" t="n">
        <x:v>0.16131057948992888</x:v>
      </x:c>
      <x:c r="AG240" s="35" t="n">
        <x:v>0</x:v>
      </x:c>
      <x:c r="AH240" s="35" t="n">
        <x:v>0</x:v>
      </x:c>
      <x:c r="AI240" s="29" t="n">
        <x:v>46266</x:v>
      </x:c>
      <x:c r="AJ240" s="35"/>
      <x:c r="AK240" s="11" t="str">
        <x:v>неизвестно</x:v>
      </x:c>
      <x:c r="AL240" s="31" t="n">
        <x:v>0</x:v>
      </x:c>
      <x:c r="AM240" s="12" t="str">
        <x:v>Остаток на начало сентября; Резервы неизвестны; Нет ежедневных данных доступности. Нет запаса</x:v>
      </x:c>
      <x:c r="AN240" s="12" t="str">
        <x:v>Подтвердить наличие, срок и цену закупки</x:v>
      </x:c>
      <x:c r="AO240" s="12" t="str">
        <x:v>Прогноз 30 дней 0.16; остаток 0; поступления в срок 0; нехватка 1; заказ с учётом MOQ 1 шт. Остаток на начало сентября: требуется актуализация.</x:v>
      </x:c>
      <x:c r="AP240" s="12" t="str">
        <x:v>["blank_stock_assumed_zero", "category_missing", "daily_stockout_data_missing", "moq_missing", "new_order_lead_time_unknown", "reservations_unknown", "stale_stock"]</x:v>
      </x:c>
      <x:c r="AQ240" s="11" t="str">
        <x:v>IEK:280100358_</x:v>
      </x:c>
      <x:c r="AR240" s="23" t="n">
        <x:v>1</x:v>
      </x:c>
      <x:c r="AS240" s="23" t="n">
        <x:f>MAX(0,ROUNDUP(MAX(0,AF240-AG240-AH240)/AR240-0.000000001,0)*AR240)</x:f>
        <x:v>1</x:v>
      </x:c>
      <x:c r="AT240" s="23" t="n">
        <x:v>0.16131057948992888</x:v>
      </x:c>
    </x:row>
    <x:row r="241" ht="64" customHeight="1">
      <x:c r="A241" s="10" t="str">
        <x:v>IEK</x:v>
      </x:c>
      <x:c r="B241" s="34" t="str">
        <x:v>280100360_</x:v>
      </x:c>
      <x:c r="C241" s="34" t="str">
        <x:v>EL-KK10D-P-040-025-K11</x:v>
      </x:c>
      <x:c r="D241" s="13" t="str">
        <x:v>Поворот 90град КМП 40х25 дуб ЭЛЕКОР IEK (4шт/компл)</x:v>
      </x:c>
      <x:c r="E241" s="10" t="str">
        <x:v>шт</x:v>
      </x:c>
      <x:c r="F241" s="37" t="n">
        <x:f>AS241</x:f>
        <x:v>10</x:v>
      </x:c>
      <x:c r="G241" s="21" t="str">
        <x:f>IF(J241="Рассчитано",V241*(1-R241/100)-W241-P241-Q241,"н/д")</x:f>
        <x:v>н/д</x:v>
      </x:c>
      <x:c r="H241" s="13" t="str">
        <x:v>Высокий</x:v>
      </x:c>
      <x:c r="I241" s="13" t="str">
        <x:v>Критический</x:v>
      </x:c>
      <x:c r="J241" s="13" t="str">
        <x:f>IF(L241="","Укажите валюту",IF(NOT(ISNUMBER(K241)),"Укажите объём",IF(K241&lt;=0,"Укажите объём",IF(COUNT(M241:O241)&lt;3,"Нужны цены",IF(COUNT(P241:R241)&lt;3,"Нужны расходы",IF(OR(M241&lt;0,N241&lt;0,O241&lt;0,O241&gt;100,P241&lt;0,Q241&lt;0,R241&lt;0,R241&gt;100),"Проверьте значения","Рассчитано"))))))</x:f>
        <x:v>Нужны цены</x:v>
      </x:c>
      <x:c r="K241" s="36" t="n">
        <x:v>10</x:v>
      </x:c>
      <x:c r="L241" s="19" t="str">
        <x:v>KZT</x:v>
      </x:c>
      <x:c r="M241" s="22"/>
      <x:c r="N241" s="22"/>
      <x:c r="O241" s="28"/>
      <x:c r="P241" s="22"/>
      <x:c r="Q241" s="22"/>
      <x:c r="R241" s="28"/>
      <x:c r="S241" s="22"/>
      <x:c r="T241" s="37" t="n">
        <x:f>MIN(K241,AT241)</x:f>
        <x:v>9.504786720915728</x:v>
      </x:c>
      <x:c r="U241" s="21" t="str">
        <x:f>IF(J241="Рассчитано",N241*(1-O241/100),"н/д")</x:f>
        <x:v>н/д</x:v>
      </x:c>
      <x:c r="V241" s="21" t="str">
        <x:f>IF(J241="Рассчитано",T241*U241,"н/д")</x:f>
        <x:v>н/д</x:v>
      </x:c>
      <x:c r="W241" s="21" t="str">
        <x:f>IF(J241="Рассчитано",T241*M241,"н/д")</x:f>
        <x:v>н/д</x:v>
      </x:c>
      <x:c r="X241" s="21" t="str">
        <x:f>IF(J241="Рассчитано",V241-W241,"н/д")</x:f>
        <x:v>н/д</x:v>
      </x:c>
      <x:c r="Y241" s="27" t="str">
        <x:f>IF(J241="Рассчитано",IF(V241&gt;0,G241/V241,"н/д"),"н/д")</x:f>
        <x:v>н/д</x:v>
      </x:c>
      <x:c r="Z241" s="21" t="str">
        <x:f>IF(J241="Рассчитано",K241*M241,"н/д")</x:f>
        <x:v>н/д</x:v>
      </x:c>
      <x:c r="AA241" s="21" t="str">
        <x:f>IF(J241="Рассчитано",(K241-T241)*M241,"н/д")</x:f>
        <x:v>н/д</x:v>
      </x:c>
      <x:c r="AB241" s="21" t="str">
        <x:f>IF(AND(J241="Рассчитано",ISNUMBER(S241)),K241*(S241-M241),"н/д")</x:f>
        <x:v>н/д</x:v>
      </x:c>
      <x:c r="AC241" s="21" t="str">
        <x:f>IF(AND(J241="Рассчитано",T241&gt;0,R241&lt;100),(W241+P241+Q241)/(T241*(1-R241/100)),"н/д")</x:f>
        <x:v>н/д</x:v>
      </x:c>
      <x:c r="AD241" s="10" t="str">
        <x:f>IF(ISNUMBER(G241),IF(G241&lt;0,"Убыток",IF(G241=0,"Без прибыли","Прибыль &gt; 0")),"Не оценён")</x:f>
        <x:v>Не оценён</x:v>
      </x:c>
      <x:c r="AE241" s="13" t="str">
        <x:f>IF(J241="Рассчитано","Выручка "&amp;TEXT(V241,"0.00")&amp;" - себестоимость "&amp;TEXT(W241,"0.00")&amp;" - комиссия "&amp;TEXT(V241*R241/100,"0.00")&amp;" - доставка "&amp;TEXT(P241,"0.00")&amp;" - прочие "&amp;TEXT(Q241,"0.00")&amp;" = "&amp;TEXT(G241,"0.00")&amp;" "&amp;L241,"Введите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1" s="24" t="n">
        <x:v>9.504786720915728</x:v>
      </x:c>
      <x:c r="AG241" s="37" t="n">
        <x:v>0</x:v>
      </x:c>
      <x:c r="AH241" s="37" t="n">
        <x:v>0</x:v>
      </x:c>
      <x:c r="AI241" s="30" t="n">
        <x:v>46266</x:v>
      </x:c>
      <x:c r="AJ241" s="37"/>
      <x:c r="AK241" s="10" t="str">
        <x:v>неизвестно</x:v>
      </x:c>
      <x:c r="AL241" s="32" t="n">
        <x:v>0</x:v>
      </x:c>
      <x:c r="AM241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41" s="13" t="str">
        <x:v>Подтвердить наличие, срок и цену закупки</x:v>
      </x:c>
      <x:c r="AO241" s="13" t="str">
        <x:v>Прогноз 30 дней 9.50; остаток 0; поступления в срок 0; нехватка 10; заказ с учётом MOQ 10 шт. Остаток на начало сентября: требуется актуализация.</x:v>
      </x:c>
      <x:c r="AP241" s="13" t="str">
        <x:v>["blank_stock_assumed_zero", "category_missing", "daily_stockout_data_missing", "moq_missing", "new_order_lead_time_unknown", "reservations_unknown", "stale_stock", "stockout_proxy_used"]</x:v>
      </x:c>
      <x:c r="AQ241" s="10" t="str">
        <x:v>IEK:280100360_</x:v>
      </x:c>
      <x:c r="AR241" s="24" t="n">
        <x:v>1</x:v>
      </x:c>
      <x:c r="AS241" s="24" t="n">
        <x:f>MAX(0,ROUNDUP(MAX(0,AF241-AG241-AH241)/AR241-0.000000001,0)*AR241)</x:f>
        <x:v>10</x:v>
      </x:c>
      <x:c r="AT241" s="24" t="n">
        <x:v>9.504786720915728</x:v>
      </x:c>
    </x:row>
    <x:row r="242" ht="64" customHeight="1">
      <x:c r="A242" s="11" t="str">
        <x:v>IEK</x:v>
      </x:c>
      <x:c r="B242" s="33" t="str">
        <x:v>280100362_</x:v>
      </x:c>
      <x:c r="C242" s="33" t="str">
        <x:v>EL-KK10D-S-025-016-K11</x:v>
      </x:c>
      <x:c r="D242" s="12" t="str">
        <x:v>Соединитель на стык КМС 25х16 дуб ЭЛЕКОР IEK (4шт/компл)</x:v>
      </x:c>
      <x:c r="E242" s="11" t="str">
        <x:v>шт</x:v>
      </x:c>
      <x:c r="F242" s="35" t="n">
        <x:f>AS242</x:f>
        <x:v>1</x:v>
      </x:c>
      <x:c r="G242" s="20" t="str">
        <x:f>IF(J242="Рассчитано",V242*(1-R242/100)-W242-P242-Q242,"н/д")</x:f>
        <x:v>н/д</x:v>
      </x:c>
      <x:c r="H242" s="12" t="str">
        <x:v>Высокий</x:v>
      </x:c>
      <x:c r="I242" s="12" t="str">
        <x:v>Критический</x:v>
      </x:c>
      <x:c r="J242" s="12" t="str">
        <x:f>IF(L242="","Укажите валюту",IF(NOT(ISNUMBER(K242)),"Укажите объём",IF(K242&lt;=0,"Укажите объём",IF(COUNT(M242:O242)&lt;3,"Нужны цены",IF(COUNT(P242:R242)&lt;3,"Нужны расходы",IF(OR(M242&lt;0,N242&lt;0,O242&lt;0,O242&gt;100,P242&lt;0,Q242&lt;0,R242&lt;0,R242&gt;100),"Проверьте значения","Рассчитано"))))))</x:f>
        <x:v>Нужны цены</x:v>
      </x:c>
      <x:c r="K242" s="36" t="n">
        <x:v>1</x:v>
      </x:c>
      <x:c r="L242" s="19" t="str">
        <x:v>KZT</x:v>
      </x:c>
      <x:c r="M242" s="22"/>
      <x:c r="N242" s="22"/>
      <x:c r="O242" s="28"/>
      <x:c r="P242" s="22"/>
      <x:c r="Q242" s="22"/>
      <x:c r="R242" s="28"/>
      <x:c r="S242" s="22"/>
      <x:c r="T242" s="35" t="n">
        <x:f>MIN(K242,AT242)</x:f>
        <x:v>0.16131057948992888</x:v>
      </x:c>
      <x:c r="U242" s="20" t="str">
        <x:f>IF(J242="Рассчитано",N242*(1-O242/100),"н/д")</x:f>
        <x:v>н/д</x:v>
      </x:c>
      <x:c r="V242" s="20" t="str">
        <x:f>IF(J242="Рассчитано",T242*U242,"н/д")</x:f>
        <x:v>н/д</x:v>
      </x:c>
      <x:c r="W242" s="20" t="str">
        <x:f>IF(J242="Рассчитано",T242*M242,"н/д")</x:f>
        <x:v>н/д</x:v>
      </x:c>
      <x:c r="X242" s="20" t="str">
        <x:f>IF(J242="Рассчитано",V242-W242,"н/д")</x:f>
        <x:v>н/д</x:v>
      </x:c>
      <x:c r="Y242" s="26" t="str">
        <x:f>IF(J242="Рассчитано",IF(V242&gt;0,G242/V242,"н/д"),"н/д")</x:f>
        <x:v>н/д</x:v>
      </x:c>
      <x:c r="Z242" s="20" t="str">
        <x:f>IF(J242="Рассчитано",K242*M242,"н/д")</x:f>
        <x:v>н/д</x:v>
      </x:c>
      <x:c r="AA242" s="20" t="str">
        <x:f>IF(J242="Рассчитано",(K242-T242)*M242,"н/д")</x:f>
        <x:v>н/д</x:v>
      </x:c>
      <x:c r="AB242" s="20" t="str">
        <x:f>IF(AND(J242="Рассчитано",ISNUMBER(S242)),K242*(S242-M242),"н/д")</x:f>
        <x:v>н/д</x:v>
      </x:c>
      <x:c r="AC242" s="20" t="str">
        <x:f>IF(AND(J242="Рассчитано",T242&gt;0,R242&lt;100),(W242+P242+Q242)/(T242*(1-R242/100)),"н/д")</x:f>
        <x:v>н/д</x:v>
      </x:c>
      <x:c r="AD242" s="11" t="str">
        <x:f>IF(ISNUMBER(G242),IF(G242&lt;0,"Убыток",IF(G242=0,"Без прибыли","Прибыль &gt; 0")),"Не оценён")</x:f>
        <x:v>Не оценён</x:v>
      </x:c>
      <x:c r="AE242" s="12" t="str">
        <x:f>IF(J242="Рассчитано","Выручка "&amp;TEXT(V242,"0.00")&amp;" - себестоимость "&amp;TEXT(W242,"0.00")&amp;" - комиссия "&amp;TEXT(V242*R242/100,"0.00")&amp;" - доставка "&amp;TEXT(P242,"0.00")&amp;" - прочие "&amp;TEXT(Q242,"0.00")&amp;" = "&amp;TEXT(G242,"0.00")&amp;" "&amp;L242,"Введите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2" s="23" t="n">
        <x:v>0.16131057948992888</x:v>
      </x:c>
      <x:c r="AG242" s="35" t="n">
        <x:v>0</x:v>
      </x:c>
      <x:c r="AH242" s="35" t="n">
        <x:v>0</x:v>
      </x:c>
      <x:c r="AI242" s="29" t="n">
        <x:v>46266</x:v>
      </x:c>
      <x:c r="AJ242" s="35"/>
      <x:c r="AK242" s="11" t="str">
        <x:v>неизвестно</x:v>
      </x:c>
      <x:c r="AL242" s="31" t="n">
        <x:v>0</x:v>
      </x:c>
      <x:c r="AM242" s="12" t="str">
        <x:v>Остаток на начало сентября; Резервы неизвестны; Нет ежедневных данных доступности. Нет запаса</x:v>
      </x:c>
      <x:c r="AN242" s="12" t="str">
        <x:v>Подтвердить наличие, срок и цену закупки</x:v>
      </x:c>
      <x:c r="AO242" s="12" t="str">
        <x:v>Прогноз 30 дней 0.16; остаток 0; поступления в срок 0; нехватка 1; заказ с учётом MOQ 1 шт. Остаток на начало сентября: требуется актуализация.</x:v>
      </x:c>
      <x:c r="AP242" s="12" t="str">
        <x:v>["blank_stock_assumed_zero", "category_missing", "daily_stockout_data_missing", "moq_missing", "new_order_lead_time_unknown", "reservations_unknown", "stale_stock"]</x:v>
      </x:c>
      <x:c r="AQ242" s="11" t="str">
        <x:v>IEK:280100362_</x:v>
      </x:c>
      <x:c r="AR242" s="23" t="n">
        <x:v>1</x:v>
      </x:c>
      <x:c r="AS242" s="23" t="n">
        <x:f>MAX(0,ROUNDUP(MAX(0,AF242-AG242-AH242)/AR242-0.000000001,0)*AR242)</x:f>
        <x:v>1</x:v>
      </x:c>
      <x:c r="AT242" s="23" t="n">
        <x:v>0.16131057948992888</x:v>
      </x:c>
    </x:row>
    <x:row r="243" ht="64" customHeight="1">
      <x:c r="A243" s="10" t="str">
        <x:v>IEK</x:v>
      </x:c>
      <x:c r="B243" s="34" t="str">
        <x:v>280100376_</x:v>
      </x:c>
      <x:c r="C243" s="34" t="str">
        <x:v>CKK10-020-010-1-K34</x:v>
      </x:c>
      <x:c r="D243" s="13" t="str">
        <x:v>Кабель-канал 20х10 сосна ЭЛЕКОР IEK (96)</x:v>
      </x:c>
      <x:c r="E243" s="10" t="str">
        <x:v>м</x:v>
      </x:c>
      <x:c r="F243" s="24" t="n">
        <x:f>IF(AS243&gt;0,MAX(AS243,AJ243),0)</x:f>
        <x:v>96</x:v>
      </x:c>
      <x:c r="G243" s="21" t="str">
        <x:f>IF(J243="Рассчитано",V243*(1-R243/100)-W243-P243-Q243,"н/д")</x:f>
        <x:v>н/д</x:v>
      </x:c>
      <x:c r="H243" s="13" t="str">
        <x:v>Высокий</x:v>
      </x:c>
      <x:c r="I243" s="13" t="str">
        <x:v>Критический</x:v>
      </x:c>
      <x:c r="J243" s="13" t="str">
        <x:f>IF(L243="","Укажите валюту",IF(NOT(ISNUMBER(K243)),"Укажите объём",IF(K243&lt;=0,"Укажите объём",IF(COUNT(M243:O243)&lt;3,"Нужны цены",IF(COUNT(P243:R243)&lt;3,"Нужны расходы",IF(OR(M243&lt;0,N243&lt;0,O243&lt;0,O243&gt;100,P243&lt;0,Q243&lt;0,R243&lt;0,R243&gt;100),"Проверьте значения","Рассчитано"))))))</x:f>
        <x:v>Нужны цены</x:v>
      </x:c>
      <x:c r="K243" s="25" t="n">
        <x:v>96</x:v>
      </x:c>
      <x:c r="L243" s="19" t="str">
        <x:v>KZT</x:v>
      </x:c>
      <x:c r="M243" s="22"/>
      <x:c r="N243" s="22"/>
      <x:c r="O243" s="28"/>
      <x:c r="P243" s="22"/>
      <x:c r="Q243" s="22"/>
      <x:c r="R243" s="28"/>
      <x:c r="S243" s="22"/>
      <x:c r="T243" s="24" t="n">
        <x:f>MIN(K243,AT243)</x:f>
        <x:v>22.188547818497202</x:v>
      </x:c>
      <x:c r="U243" s="21" t="str">
        <x:f>IF(J243="Рассчитано",N243*(1-O243/100),"н/д")</x:f>
        <x:v>н/д</x:v>
      </x:c>
      <x:c r="V243" s="21" t="str">
        <x:f>IF(J243="Рассчитано",T243*U243,"н/д")</x:f>
        <x:v>н/д</x:v>
      </x:c>
      <x:c r="W243" s="21" t="str">
        <x:f>IF(J243="Рассчитано",T243*M243,"н/д")</x:f>
        <x:v>н/д</x:v>
      </x:c>
      <x:c r="X243" s="21" t="str">
        <x:f>IF(J243="Рассчитано",V243-W243,"н/д")</x:f>
        <x:v>н/д</x:v>
      </x:c>
      <x:c r="Y243" s="27" t="str">
        <x:f>IF(J243="Рассчитано",IF(V243&gt;0,G243/V243,"н/д"),"н/д")</x:f>
        <x:v>н/д</x:v>
      </x:c>
      <x:c r="Z243" s="21" t="str">
        <x:f>IF(J243="Рассчитано",K243*M243,"н/д")</x:f>
        <x:v>н/д</x:v>
      </x:c>
      <x:c r="AA243" s="21" t="str">
        <x:f>IF(J243="Рассчитано",(K243-T243)*M243,"н/д")</x:f>
        <x:v>н/д</x:v>
      </x:c>
      <x:c r="AB243" s="21" t="str">
        <x:f>IF(AND(J243="Рассчитано",ISNUMBER(S243)),K243*(S243-M243),"н/д")</x:f>
        <x:v>н/д</x:v>
      </x:c>
      <x:c r="AC243" s="21" t="str">
        <x:f>IF(AND(J243="Рассчитано",T243&gt;0,R243&lt;100),(W243+P243+Q243)/(T243*(1-R243/100)),"н/д")</x:f>
        <x:v>н/д</x:v>
      </x:c>
      <x:c r="AD243" s="10" t="str">
        <x:f>IF(ISNUMBER(G243),IF(G243&lt;0,"Убыток",IF(G243=0,"Без прибыли","Прибыль &gt; 0")),"Не оценён")</x:f>
        <x:v>Не оценён</x:v>
      </x:c>
      <x:c r="AE243" s="13" t="str">
        <x:f>IF(J243="Рассчитано","Выручка "&amp;TEXT(V243,"0.00")&amp;" - себестоимость "&amp;TEXT(W243,"0.00")&amp;" - комиссия "&amp;TEXT(V243*R243/100,"0.00")&amp;" - доставка "&amp;TEXT(P243,"0.00")&amp;" - прочие "&amp;TEXT(Q243,"0.00")&amp;" = "&amp;TEXT(G243,"0.00")&amp;" "&amp;L243,"Введите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3" s="24" t="n">
        <x:v>22.188547818497202</x:v>
      </x:c>
      <x:c r="AG243" s="24" t="n">
        <x:v>0</x:v>
      </x:c>
      <x:c r="AH243" s="24" t="n">
        <x:v>0</x:v>
      </x:c>
      <x:c r="AI243" s="30" t="n">
        <x:v>46266</x:v>
      </x:c>
      <x:c r="AJ243" s="24" t="n">
        <x:v>96</x:v>
      </x:c>
      <x:c r="AK243" s="10" t="str">
        <x:v>минимум</x:v>
      </x:c>
      <x:c r="AL243" s="32" t="n">
        <x:v>0</x:v>
      </x:c>
      <x:c r="AM243" s="13" t="str">
        <x:v>Остаток на начало сентября; Резервы неизвестны; Нет ежедневных данных доступности. Нет запаса</x:v>
      </x:c>
      <x:c r="AN243" s="13" t="str">
        <x:v>Подтвердить наличие, срок и цену закупки</x:v>
      </x:c>
      <x:c r="AO243" s="13" t="str">
        <x:v>Прогноз 30 дней 22.19; остаток 0; поступления в срок 0; нехватка 22.189; заказ с учётом MOQ 96 м. Остаток на начало сентября: требуется актуализация.</x:v>
      </x:c>
      <x:c r="AP243" s="13" t="str">
        <x:v>["blank_stock_assumed_zero", "category_missing", "daily_stockout_data_missing", "new_order_lead_time_unknown", "reservations_unknown", "stale_stock"]</x:v>
      </x:c>
      <x:c r="AQ243" s="10" t="str">
        <x:v>IEK:280100376_</x:v>
      </x:c>
      <x:c r="AR243" s="24" t="n">
        <x:v>0.001</x:v>
      </x:c>
      <x:c r="AS243" s="24" t="n">
        <x:f>MAX(0,ROUNDUP(MAX(0,AF243-AG243-AH243)/AR243-0.000000001,0)*AR243)</x:f>
        <x:v>22.189</x:v>
      </x:c>
      <x:c r="AT243" s="24" t="n">
        <x:v>22.188547818497202</x:v>
      </x:c>
    </x:row>
    <x:row r="244" ht="64" customHeight="1">
      <x:c r="A244" s="11" t="str">
        <x:v>IEK</x:v>
      </x:c>
      <x:c r="B244" s="33" t="str">
        <x:v>280100411_</x:v>
      </x:c>
      <x:c r="C244" s="33" t="str">
        <x:v>EL-KK10-025-025-1-K02</x:v>
      </x:c>
      <x:c r="D244" s="12" t="str">
        <x:v>Кабель-канал 25х25 черный ЭЛЕКОР IEK (32)</x:v>
      </x:c>
      <x:c r="E244" s="11" t="str">
        <x:v>м</x:v>
      </x:c>
      <x:c r="F244" s="23" t="n">
        <x:f>IF(AS244&gt;0,MAX(AS244,AJ244),0)</x:f>
        <x:v>32</x:v>
      </x:c>
      <x:c r="G244" s="20" t="str">
        <x:f>IF(J244="Рассчитано",V244*(1-R244/100)-W244-P244-Q244,"н/д")</x:f>
        <x:v>н/д</x:v>
      </x:c>
      <x:c r="H244" s="12" t="str">
        <x:v>Высокий</x:v>
      </x:c>
      <x:c r="I244" s="12" t="str">
        <x:v>Средний</x:v>
      </x:c>
      <x:c r="J244" s="12" t="str">
        <x:f>IF(L244="","Укажите валюту",IF(NOT(ISNUMBER(K244)),"Укажите объём",IF(K244&lt;=0,"Укажите объём",IF(COUNT(M244:O244)&lt;3,"Нужны цены",IF(COUNT(P244:R244)&lt;3,"Нужны расходы",IF(OR(M244&lt;0,N244&lt;0,O244&lt;0,O244&gt;100,P244&lt;0,Q244&lt;0,R244&lt;0,R244&gt;100),"Проверьте значения","Рассчитано"))))))</x:f>
        <x:v>Нужны цены</x:v>
      </x:c>
      <x:c r="K244" s="25" t="n">
        <x:v>32</x:v>
      </x:c>
      <x:c r="L244" s="19" t="str">
        <x:v>KZT</x:v>
      </x:c>
      <x:c r="M244" s="22"/>
      <x:c r="N244" s="22"/>
      <x:c r="O244" s="28"/>
      <x:c r="P244" s="22"/>
      <x:c r="Q244" s="22"/>
      <x:c r="R244" s="28"/>
      <x:c r="S244" s="22"/>
      <x:c r="T244" s="23" t="n">
        <x:f>MIN(K244,AT244)</x:f>
        <x:v>0.45442145051787897</x:v>
      </x:c>
      <x:c r="U244" s="20" t="str">
        <x:f>IF(J244="Рассчитано",N244*(1-O244/100),"н/д")</x:f>
        <x:v>н/д</x:v>
      </x:c>
      <x:c r="V244" s="20" t="str">
        <x:f>IF(J244="Рассчитано",T244*U244,"н/д")</x:f>
        <x:v>н/д</x:v>
      </x:c>
      <x:c r="W244" s="20" t="str">
        <x:f>IF(J244="Рассчитано",T244*M244,"н/д")</x:f>
        <x:v>н/д</x:v>
      </x:c>
      <x:c r="X244" s="20" t="str">
        <x:f>IF(J244="Рассчитано",V244-W244,"н/д")</x:f>
        <x:v>н/д</x:v>
      </x:c>
      <x:c r="Y244" s="26" t="str">
        <x:f>IF(J244="Рассчитано",IF(V244&gt;0,G244/V244,"н/д"),"н/д")</x:f>
        <x:v>н/д</x:v>
      </x:c>
      <x:c r="Z244" s="20" t="str">
        <x:f>IF(J244="Рассчитано",K244*M244,"н/д")</x:f>
        <x:v>н/д</x:v>
      </x:c>
      <x:c r="AA244" s="20" t="str">
        <x:f>IF(J244="Рассчитано",(K244-T244)*M244,"н/д")</x:f>
        <x:v>н/д</x:v>
      </x:c>
      <x:c r="AB244" s="20" t="str">
        <x:f>IF(AND(J244="Рассчитано",ISNUMBER(S244)),K244*(S244-M244),"н/д")</x:f>
        <x:v>н/д</x:v>
      </x:c>
      <x:c r="AC244" s="20" t="str">
        <x:f>IF(AND(J244="Рассчитано",T244&gt;0,R244&lt;100),(W244+P244+Q244)/(T244*(1-R244/100)),"н/д")</x:f>
        <x:v>н/д</x:v>
      </x:c>
      <x:c r="AD244" s="11" t="str">
        <x:f>IF(ISNUMBER(G244),IF(G244&lt;0,"Убыток",IF(G244=0,"Без прибыли","Прибыль &gt; 0")),"Не оценён")</x:f>
        <x:v>Не оценён</x:v>
      </x:c>
      <x:c r="AE244" s="12" t="str">
        <x:f>IF(J244="Рассчитано","Выручка "&amp;TEXT(V244,"0.00")&amp;" - себестоимость "&amp;TEXT(W244,"0.00")&amp;" - комиссия "&amp;TEXT(V244*R244/100,"0.00")&amp;" - доставка "&amp;TEXT(P244,"0.00")&amp;" - прочие "&amp;TEXT(Q244,"0.00")&amp;" = "&amp;TEXT(G244,"0.00")&amp;" "&amp;L244,"Введите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4" s="23" t="n">
        <x:v>2.454421450517879</x:v>
      </x:c>
      <x:c r="AG244" s="23" t="n">
        <x:v>2</x:v>
      </x:c>
      <x:c r="AH244" s="23" t="n">
        <x:v>0</x:v>
      </x:c>
      <x:c r="AI244" s="29" t="n">
        <x:v>46266</x:v>
      </x:c>
      <x:c r="AJ244" s="23" t="n">
        <x:v>32</x:v>
      </x:c>
      <x:c r="AK244" s="11" t="str">
        <x:v>минимум</x:v>
      </x:c>
      <x:c r="AL244" s="31" t="n">
        <x:v>24.445679444066176</x:v>
      </x:c>
      <x:c r="AM244" s="12" t="str">
        <x:v>Остаток на начало сентября; Резервы неизвестны; Нет ежедневных данных доступности. Запаса примерно на 24.4 дн. без поступлений</x:v>
      </x:c>
      <x:c r="AN244" s="12" t="str">
        <x:v>Подтвердить наличие, срок и цену закупки</x:v>
      </x:c>
      <x:c r="AO244" s="12" t="str">
        <x:v>Прогноз 30 дней 2.45; остаток 2; поступления в срок 0; нехватка 0.455; заказ с учётом MOQ 32 м. Остаток на начало сентября: требуется актуализация.</x:v>
      </x:c>
      <x:c r="AP244" s="12" t="str">
        <x:v>["category_missing", "daily_stockout_data_missing", "new_order_lead_time_unknown", "reservations_unknown", "stale_stock"]</x:v>
      </x:c>
      <x:c r="AQ244" s="11" t="str">
        <x:v>IEK:280100411_</x:v>
      </x:c>
      <x:c r="AR244" s="23" t="n">
        <x:v>0.001</x:v>
      </x:c>
      <x:c r="AS244" s="23" t="n">
        <x:f>MAX(0,ROUNDUP(MAX(0,AF244-AG244-AH244)/AR244-0.000000001,0)*AR244)</x:f>
        <x:v>0.455</x:v>
      </x:c>
      <x:c r="AT244" s="23" t="n">
        <x:v>0.45442145051787897</x:v>
      </x:c>
    </x:row>
    <x:row r="245" ht="64" customHeight="1">
      <x:c r="A245" s="10" t="str">
        <x:v>IEK</x:v>
      </x:c>
      <x:c r="B245" s="34" t="str">
        <x:v>280100433_</x:v>
      </x:c>
      <x:c r="C245" s="34" t="str">
        <x:v>EL-KK10D-V-100-060-K02</x:v>
      </x:c>
      <x:c r="D245" s="13" t="str">
        <x:v>Угол внутренний КМВ 100х60 черный ЭЛЕКОР IEK (2шт/компл)</x:v>
      </x:c>
      <x:c r="E245" s="10" t="str">
        <x:v>шт</x:v>
      </x:c>
      <x:c r="F245" s="37" t="n">
        <x:f>AS245</x:f>
        <x:v>3</x:v>
      </x:c>
      <x:c r="G245" s="21" t="str">
        <x:f>IF(J245="Рассчитано",V245*(1-R245/100)-W245-P245-Q245,"н/д")</x:f>
        <x:v>н/д</x:v>
      </x:c>
      <x:c r="H245" s="13" t="str">
        <x:v>Высокий</x:v>
      </x:c>
      <x:c r="I245" s="13" t="str">
        <x:v>Критический</x:v>
      </x:c>
      <x:c r="J245" s="13" t="str">
        <x:f>IF(L245="","Укажите валюту",IF(NOT(ISNUMBER(K245)),"Укажите объём",IF(K245&lt;=0,"Укажите объём",IF(COUNT(M245:O245)&lt;3,"Нужны цены",IF(COUNT(P245:R245)&lt;3,"Нужны расходы",IF(OR(M245&lt;0,N245&lt;0,O245&lt;0,O245&gt;100,P245&lt;0,Q245&lt;0,R245&lt;0,R245&gt;100),"Проверьте значения","Рассчитано"))))))</x:f>
        <x:v>Нужны цены</x:v>
      </x:c>
      <x:c r="K245" s="36" t="n">
        <x:v>3</x:v>
      </x:c>
      <x:c r="L245" s="19" t="str">
        <x:v>KZT</x:v>
      </x:c>
      <x:c r="M245" s="22"/>
      <x:c r="N245" s="22"/>
      <x:c r="O245" s="28"/>
      <x:c r="P245" s="22"/>
      <x:c r="Q245" s="22"/>
      <x:c r="R245" s="28"/>
      <x:c r="S245" s="22"/>
      <x:c r="T245" s="37" t="n">
        <x:f>MIN(K245,AT245)</x:f>
        <x:v>2.489755161990805</x:v>
      </x:c>
      <x:c r="U245" s="21" t="str">
        <x:f>IF(J245="Рассчитано",N245*(1-O245/100),"н/д")</x:f>
        <x:v>н/д</x:v>
      </x:c>
      <x:c r="V245" s="21" t="str">
        <x:f>IF(J245="Рассчитано",T245*U245,"н/д")</x:f>
        <x:v>н/д</x:v>
      </x:c>
      <x:c r="W245" s="21" t="str">
        <x:f>IF(J245="Рассчитано",T245*M245,"н/д")</x:f>
        <x:v>н/д</x:v>
      </x:c>
      <x:c r="X245" s="21" t="str">
        <x:f>IF(J245="Рассчитано",V245-W245,"н/д")</x:f>
        <x:v>н/д</x:v>
      </x:c>
      <x:c r="Y245" s="27" t="str">
        <x:f>IF(J245="Рассчитано",IF(V245&gt;0,G245/V245,"н/д"),"н/д")</x:f>
        <x:v>н/д</x:v>
      </x:c>
      <x:c r="Z245" s="21" t="str">
        <x:f>IF(J245="Рассчитано",K245*M245,"н/д")</x:f>
        <x:v>н/д</x:v>
      </x:c>
      <x:c r="AA245" s="21" t="str">
        <x:f>IF(J245="Рассчитано",(K245-T245)*M245,"н/д")</x:f>
        <x:v>н/д</x:v>
      </x:c>
      <x:c r="AB245" s="21" t="str">
        <x:f>IF(AND(J245="Рассчитано",ISNUMBER(S245)),K245*(S245-M245),"н/д")</x:f>
        <x:v>н/д</x:v>
      </x:c>
      <x:c r="AC245" s="21" t="str">
        <x:f>IF(AND(J245="Рассчитано",T245&gt;0,R245&lt;100),(W245+P245+Q245)/(T245*(1-R245/100)),"н/д")</x:f>
        <x:v>н/д</x:v>
      </x:c>
      <x:c r="AD245" s="10" t="str">
        <x:f>IF(ISNUMBER(G245),IF(G245&lt;0,"Убыток",IF(G245=0,"Без прибыли","Прибыль &gt; 0")),"Не оценён")</x:f>
        <x:v>Не оценён</x:v>
      </x:c>
      <x:c r="AE245" s="13" t="str">
        <x:f>IF(J245="Рассчитано","Выручка "&amp;TEXT(V245,"0.00")&amp;" - себестоимость "&amp;TEXT(W245,"0.00")&amp;" - комиссия "&amp;TEXT(V245*R245/100,"0.00")&amp;" - доставка "&amp;TEXT(P245,"0.00")&amp;" - прочие "&amp;TEXT(Q245,"0.00")&amp;" = "&amp;TEXT(G245,"0.00")&amp;" "&amp;L245,"Введите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5" s="24" t="n">
        <x:v>2.489755161990805</x:v>
      </x:c>
      <x:c r="AG245" s="37" t="n">
        <x:v>0</x:v>
      </x:c>
      <x:c r="AH245" s="37" t="n">
        <x:v>0</x:v>
      </x:c>
      <x:c r="AI245" s="30" t="n">
        <x:v>46266</x:v>
      </x:c>
      <x:c r="AJ245" s="37"/>
      <x:c r="AK245" s="10" t="str">
        <x:v>неизвестно</x:v>
      </x:c>
      <x:c r="AL245" s="32" t="n">
        <x:v>0</x:v>
      </x:c>
      <x:c r="AM245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45" s="13" t="str">
        <x:v>Подтвердить наличие, срок и цену закупки</x:v>
      </x:c>
      <x:c r="AO245" s="13" t="str">
        <x:v>Прогноз 30 дней 2.49; остаток 0; поступления в срок 0; нехватка 3; заказ с учётом MOQ 3 шт. Остаток на начало сентября: требуется актуализация.</x:v>
      </x:c>
      <x:c r="AP245" s="13" t="str">
        <x:v>["blank_stock_assumed_zero", "category_missing", "daily_stockout_data_missing", "moq_missing", "new_order_lead_time_unknown", "reservations_unknown", "stale_stock", "stockout_proxy_used"]</x:v>
      </x:c>
      <x:c r="AQ245" s="10" t="str">
        <x:v>IEK:280100433_</x:v>
      </x:c>
      <x:c r="AR245" s="24" t="n">
        <x:v>1</x:v>
      </x:c>
      <x:c r="AS245" s="24" t="n">
        <x:f>MAX(0,ROUNDUP(MAX(0,AF245-AG245-AH245)/AR245-0.000000001,0)*AR245)</x:f>
        <x:v>3</x:v>
      </x:c>
      <x:c r="AT245" s="24" t="n">
        <x:v>2.489755161990805</x:v>
      </x:c>
    </x:row>
    <x:row r="246" ht="64" customHeight="1">
      <x:c r="A246" s="11" t="str">
        <x:v>IEK</x:v>
      </x:c>
      <x:c r="B246" s="33" t="str">
        <x:v>280100441_</x:v>
      </x:c>
      <x:c r="C246" s="33" t="str">
        <x:v>EL-KK10D-P-015-010-K02</x:v>
      </x:c>
      <x:c r="D246" s="12" t="str">
        <x:v>Поворот 90град КМП 15х10 черный ЭЛЕКОР IEK (4шт/компл)</x:v>
      </x:c>
      <x:c r="E246" s="11" t="str">
        <x:v>шт</x:v>
      </x:c>
      <x:c r="F246" s="35" t="n">
        <x:f>AS246</x:f>
        <x:v>1</x:v>
      </x:c>
      <x:c r="G246" s="20" t="str">
        <x:f>IF(J246="Рассчитано",V246*(1-R246/100)-W246-P246-Q246,"н/д")</x:f>
        <x:v>н/д</x:v>
      </x:c>
      <x:c r="H246" s="12" t="str">
        <x:v>Высокий</x:v>
      </x:c>
      <x:c r="I246" s="12" t="str">
        <x:v>Критический</x:v>
      </x:c>
      <x:c r="J246" s="12" t="str">
        <x:f>IF(L246="","Укажите валюту",IF(NOT(ISNUMBER(K246)),"Укажите объём",IF(K246&lt;=0,"Укажите объём",IF(COUNT(M246:O246)&lt;3,"Нужны цены",IF(COUNT(P246:R246)&lt;3,"Нужны расходы",IF(OR(M246&lt;0,N246&lt;0,O246&lt;0,O246&gt;100,P246&lt;0,Q246&lt;0,R246&lt;0,R246&gt;100),"Проверьте значения","Рассчитано"))))))</x:f>
        <x:v>Нужны цены</x:v>
      </x:c>
      <x:c r="K246" s="36" t="n">
        <x:v>1</x:v>
      </x:c>
      <x:c r="L246" s="19" t="str">
        <x:v>KZT</x:v>
      </x:c>
      <x:c r="M246" s="22"/>
      <x:c r="N246" s="22"/>
      <x:c r="O246" s="28"/>
      <x:c r="P246" s="22"/>
      <x:c r="Q246" s="22"/>
      <x:c r="R246" s="28"/>
      <x:c r="S246" s="22"/>
      <x:c r="T246" s="35" t="n">
        <x:f>MIN(K246,AT246)</x:f>
        <x:v>0.15632529216195482</x:v>
      </x:c>
      <x:c r="U246" s="20" t="str">
        <x:f>IF(J246="Рассчитано",N246*(1-O246/100),"н/д")</x:f>
        <x:v>н/д</x:v>
      </x:c>
      <x:c r="V246" s="20" t="str">
        <x:f>IF(J246="Рассчитано",T246*U246,"н/д")</x:f>
        <x:v>н/д</x:v>
      </x:c>
      <x:c r="W246" s="20" t="str">
        <x:f>IF(J246="Рассчитано",T246*M246,"н/д")</x:f>
        <x:v>н/д</x:v>
      </x:c>
      <x:c r="X246" s="20" t="str">
        <x:f>IF(J246="Рассчитано",V246-W246,"н/д")</x:f>
        <x:v>н/д</x:v>
      </x:c>
      <x:c r="Y246" s="26" t="str">
        <x:f>IF(J246="Рассчитано",IF(V246&gt;0,G246/V246,"н/д"),"н/д")</x:f>
        <x:v>н/д</x:v>
      </x:c>
      <x:c r="Z246" s="20" t="str">
        <x:f>IF(J246="Рассчитано",K246*M246,"н/д")</x:f>
        <x:v>н/д</x:v>
      </x:c>
      <x:c r="AA246" s="20" t="str">
        <x:f>IF(J246="Рассчитано",(K246-T246)*M246,"н/д")</x:f>
        <x:v>н/д</x:v>
      </x:c>
      <x:c r="AB246" s="20" t="str">
        <x:f>IF(AND(J246="Рассчитано",ISNUMBER(S246)),K246*(S246-M246),"н/д")</x:f>
        <x:v>н/д</x:v>
      </x:c>
      <x:c r="AC246" s="20" t="str">
        <x:f>IF(AND(J246="Рассчитано",T246&gt;0,R246&lt;100),(W246+P246+Q246)/(T246*(1-R246/100)),"н/д")</x:f>
        <x:v>н/д</x:v>
      </x:c>
      <x:c r="AD246" s="11" t="str">
        <x:f>IF(ISNUMBER(G246),IF(G246&lt;0,"Убыток",IF(G246=0,"Без прибыли","Прибыль &gt; 0")),"Не оценён")</x:f>
        <x:v>Не оценён</x:v>
      </x:c>
      <x:c r="AE246" s="12" t="str">
        <x:f>IF(J246="Рассчитано","Выручка "&amp;TEXT(V246,"0.00")&amp;" - себестоимость "&amp;TEXT(W246,"0.00")&amp;" - комиссия "&amp;TEXT(V246*R246/100,"0.00")&amp;" - доставка "&amp;TEXT(P246,"0.00")&amp;" - прочие "&amp;TEXT(Q246,"0.00")&amp;" = "&amp;TEXT(G246,"0.00")&amp;" "&amp;L246,"Введите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6" s="23" t="n">
        <x:v>0.15632529216195482</x:v>
      </x:c>
      <x:c r="AG246" s="35" t="n">
        <x:v>0</x:v>
      </x:c>
      <x:c r="AH246" s="35" t="n">
        <x:v>0</x:v>
      </x:c>
      <x:c r="AI246" s="29" t="n">
        <x:v>46266</x:v>
      </x:c>
      <x:c r="AJ246" s="35"/>
      <x:c r="AK246" s="11" t="str">
        <x:v>неизвестно</x:v>
      </x:c>
      <x:c r="AL246" s="31" t="n">
        <x:v>0</x:v>
      </x:c>
      <x:c r="AM246" s="12" t="str">
        <x:v>Остаток на начало сентября; Резервы неизвестны; Нет ежедневных данных доступности. Нет запаса</x:v>
      </x:c>
      <x:c r="AN246" s="12" t="str">
        <x:v>Подтвердить наличие, срок и цену закупки</x:v>
      </x:c>
      <x:c r="AO246" s="12" t="str">
        <x:v>Прогноз 30 дней 0.16; остаток 0; поступления в срок 0; нехватка 1; заказ с учётом MOQ 1 шт. Остаток на начало сентября: требуется актуализация.</x:v>
      </x:c>
      <x:c r="AP246" s="12" t="str">
        <x:v>["blank_stock_assumed_zero", "category_missing", "daily_stockout_data_missing", "moq_missing", "new_order_lead_time_unknown", "reservations_unknown", "stale_stock"]</x:v>
      </x:c>
      <x:c r="AQ246" s="11" t="str">
        <x:v>IEK:280100441_</x:v>
      </x:c>
      <x:c r="AR246" s="23" t="n">
        <x:v>1</x:v>
      </x:c>
      <x:c r="AS246" s="23" t="n">
        <x:f>MAX(0,ROUNDUP(MAX(0,AF246-AG246-AH246)/AR246-0.000000001,0)*AR246)</x:f>
        <x:v>1</x:v>
      </x:c>
      <x:c r="AT246" s="23" t="n">
        <x:v>0.15632529216195482</x:v>
      </x:c>
    </x:row>
    <x:row r="247" ht="64" customHeight="1">
      <x:c r="A247" s="10" t="str">
        <x:v>IEK</x:v>
      </x:c>
      <x:c r="B247" s="34" t="str">
        <x:v>280100442_</x:v>
      </x:c>
      <x:c r="C247" s="34" t="str">
        <x:v>EL-KK10D-P-016-016-K02</x:v>
      </x:c>
      <x:c r="D247" s="13" t="str">
        <x:v>Поворот 90град КМП 16х16 черный ЭЛЕКОР IEK (4шт/компл)</x:v>
      </x:c>
      <x:c r="E247" s="10" t="str">
        <x:v>шт</x:v>
      </x:c>
      <x:c r="F247" s="37" t="n">
        <x:f>AS247</x:f>
        <x:v>1</x:v>
      </x:c>
      <x:c r="G247" s="21" t="str">
        <x:f>IF(J247="Рассчитано",V247*(1-R247/100)-W247-P247-Q247,"н/д")</x:f>
        <x:v>н/д</x:v>
      </x:c>
      <x:c r="H247" s="13" t="str">
        <x:v>Высокий</x:v>
      </x:c>
      <x:c r="I247" s="13" t="str">
        <x:v>Критический</x:v>
      </x:c>
      <x:c r="J247" s="13" t="str">
        <x:f>IF(L247="","Укажите валюту",IF(NOT(ISNUMBER(K247)),"Укажите объём",IF(K247&lt;=0,"Укажите объём",IF(COUNT(M247:O247)&lt;3,"Нужны цены",IF(COUNT(P247:R247)&lt;3,"Нужны расходы",IF(OR(M247&lt;0,N247&lt;0,O247&lt;0,O247&gt;100,P247&lt;0,Q247&lt;0,R247&lt;0,R247&gt;100),"Проверьте значения","Рассчитано"))))))</x:f>
        <x:v>Нужны цены</x:v>
      </x:c>
      <x:c r="K247" s="36" t="n">
        <x:v>1</x:v>
      </x:c>
      <x:c r="L247" s="19" t="str">
        <x:v>KZT</x:v>
      </x:c>
      <x:c r="M247" s="22"/>
      <x:c r="N247" s="22"/>
      <x:c r="O247" s="28"/>
      <x:c r="P247" s="22"/>
      <x:c r="Q247" s="22"/>
      <x:c r="R247" s="28"/>
      <x:c r="S247" s="22"/>
      <x:c r="T247" s="37" t="n">
        <x:f>MIN(K247,AT247)</x:f>
        <x:v>0.20515189238876688</x:v>
      </x:c>
      <x:c r="U247" s="21" t="str">
        <x:f>IF(J247="Рассчитано",N247*(1-O247/100),"н/д")</x:f>
        <x:v>н/д</x:v>
      </x:c>
      <x:c r="V247" s="21" t="str">
        <x:f>IF(J247="Рассчитано",T247*U247,"н/д")</x:f>
        <x:v>н/д</x:v>
      </x:c>
      <x:c r="W247" s="21" t="str">
        <x:f>IF(J247="Рассчитано",T247*M247,"н/д")</x:f>
        <x:v>н/д</x:v>
      </x:c>
      <x:c r="X247" s="21" t="str">
        <x:f>IF(J247="Рассчитано",V247-W247,"н/д")</x:f>
        <x:v>н/д</x:v>
      </x:c>
      <x:c r="Y247" s="27" t="str">
        <x:f>IF(J247="Рассчитано",IF(V247&gt;0,G247/V247,"н/д"),"н/д")</x:f>
        <x:v>н/д</x:v>
      </x:c>
      <x:c r="Z247" s="21" t="str">
        <x:f>IF(J247="Рассчитано",K247*M247,"н/д")</x:f>
        <x:v>н/д</x:v>
      </x:c>
      <x:c r="AA247" s="21" t="str">
        <x:f>IF(J247="Рассчитано",(K247-T247)*M247,"н/д")</x:f>
        <x:v>н/д</x:v>
      </x:c>
      <x:c r="AB247" s="21" t="str">
        <x:f>IF(AND(J247="Рассчитано",ISNUMBER(S247)),K247*(S247-M247),"н/д")</x:f>
        <x:v>н/д</x:v>
      </x:c>
      <x:c r="AC247" s="21" t="str">
        <x:f>IF(AND(J247="Рассчитано",T247&gt;0,R247&lt;100),(W247+P247+Q247)/(T247*(1-R247/100)),"н/д")</x:f>
        <x:v>н/д</x:v>
      </x:c>
      <x:c r="AD247" s="10" t="str">
        <x:f>IF(ISNUMBER(G247),IF(G247&lt;0,"Убыток",IF(G247=0,"Без прибыли","Прибыль &gt; 0")),"Не оценён")</x:f>
        <x:v>Не оценён</x:v>
      </x:c>
      <x:c r="AE247" s="13" t="str">
        <x:f>IF(J247="Рассчитано","Выручка "&amp;TEXT(V247,"0.00")&amp;" - себестоимость "&amp;TEXT(W247,"0.00")&amp;" - комиссия "&amp;TEXT(V247*R247/100,"0.00")&amp;" - доставка "&amp;TEXT(P247,"0.00")&amp;" - прочие "&amp;TEXT(Q247,"0.00")&amp;" = "&amp;TEXT(G247,"0.00")&amp;" "&amp;L247,"Введите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7" s="24" t="n">
        <x:v>0.20515189238876688</x:v>
      </x:c>
      <x:c r="AG247" s="37" t="n">
        <x:v>0</x:v>
      </x:c>
      <x:c r="AH247" s="37" t="n">
        <x:v>0</x:v>
      </x:c>
      <x:c r="AI247" s="30" t="n">
        <x:v>46266</x:v>
      </x:c>
      <x:c r="AJ247" s="37"/>
      <x:c r="AK247" s="10" t="str">
        <x:v>неизвестно</x:v>
      </x:c>
      <x:c r="AL247" s="32" t="n">
        <x:v>0</x:v>
      </x:c>
      <x:c r="AM247" s="13" t="str">
        <x:v>Остаток на начало сентября; Резервы неизвестны; Нет ежедневных данных доступности. Нет запаса</x:v>
      </x:c>
      <x:c r="AN247" s="13" t="str">
        <x:v>Подтвердить наличие, срок и цену закупки</x:v>
      </x:c>
      <x:c r="AO247" s="13" t="str">
        <x:v>Прогноз 30 дней 0.21; остаток 0; поступления в срок 0; нехватка 1; заказ с учётом MOQ 1 шт. Остаток на начало сентября: требуется актуализация.</x:v>
      </x:c>
      <x:c r="AP247" s="13" t="str">
        <x:v>["blank_stock_assumed_zero", "category_missing", "daily_stockout_data_missing", "moq_missing", "new_order_lead_time_unknown", "reservations_unknown", "stale_stock"]</x:v>
      </x:c>
      <x:c r="AQ247" s="10" t="str">
        <x:v>IEK:280100442_</x:v>
      </x:c>
      <x:c r="AR247" s="24" t="n">
        <x:v>1</x:v>
      </x:c>
      <x:c r="AS247" s="24" t="n">
        <x:f>MAX(0,ROUNDUP(MAX(0,AF247-AG247-AH247)/AR247-0.000000001,0)*AR247)</x:f>
        <x:v>1</x:v>
      </x:c>
      <x:c r="AT247" s="24" t="n">
        <x:v>0.20515189238876688</x:v>
      </x:c>
    </x:row>
    <x:row r="248" ht="64" customHeight="1">
      <x:c r="A248" s="11" t="str">
        <x:v>IEK</x:v>
      </x:c>
      <x:c r="B248" s="33" t="str">
        <x:v>280100444_</x:v>
      </x:c>
      <x:c r="C248" s="33" t="str">
        <x:v>EL-KK10D-P-025-016-K02</x:v>
      </x:c>
      <x:c r="D248" s="12" t="str">
        <x:v>Поворот 90град КМП 25х16 черный ЭЛЕКОР IEK (4шт/компл)</x:v>
      </x:c>
      <x:c r="E248" s="11" t="str">
        <x:v>шт</x:v>
      </x:c>
      <x:c r="F248" s="35" t="n">
        <x:f>AS248</x:f>
        <x:v>4</x:v>
      </x:c>
      <x:c r="G248" s="20" t="str">
        <x:f>IF(J248="Рассчитано",V248*(1-R248/100)-W248-P248-Q248,"н/д")</x:f>
        <x:v>н/д</x:v>
      </x:c>
      <x:c r="H248" s="12" t="str">
        <x:v>Высокий</x:v>
      </x:c>
      <x:c r="I248" s="12" t="str">
        <x:v>Критический</x:v>
      </x:c>
      <x:c r="J248" s="12" t="str">
        <x:f>IF(L248="","Укажите валюту",IF(NOT(ISNUMBER(K248)),"Укажите объём",IF(K248&lt;=0,"Укажите объём",IF(COUNT(M248:O248)&lt;3,"Нужны цены",IF(COUNT(P248:R248)&lt;3,"Нужны расходы",IF(OR(M248&lt;0,N248&lt;0,O248&lt;0,O248&gt;100,P248&lt;0,Q248&lt;0,R248&lt;0,R248&gt;100),"Проверьте значения","Рассчитано"))))))</x:f>
        <x:v>Нужны цены</x:v>
      </x:c>
      <x:c r="K248" s="36" t="n">
        <x:v>4</x:v>
      </x:c>
      <x:c r="L248" s="19" t="str">
        <x:v>KZT</x:v>
      </x:c>
      <x:c r="M248" s="22"/>
      <x:c r="N248" s="22"/>
      <x:c r="O248" s="28"/>
      <x:c r="P248" s="22"/>
      <x:c r="Q248" s="22"/>
      <x:c r="R248" s="28"/>
      <x:c r="S248" s="22"/>
      <x:c r="T248" s="35" t="n">
        <x:f>MIN(K248,AT248)</x:f>
        <x:v>3.3669145784562686</x:v>
      </x:c>
      <x:c r="U248" s="20" t="str">
        <x:f>IF(J248="Рассчитано",N248*(1-O248/100),"н/д")</x:f>
        <x:v>н/д</x:v>
      </x:c>
      <x:c r="V248" s="20" t="str">
        <x:f>IF(J248="Рассчитано",T248*U248,"н/д")</x:f>
        <x:v>н/д</x:v>
      </x:c>
      <x:c r="W248" s="20" t="str">
        <x:f>IF(J248="Рассчитано",T248*M248,"н/д")</x:f>
        <x:v>н/д</x:v>
      </x:c>
      <x:c r="X248" s="20" t="str">
        <x:f>IF(J248="Рассчитано",V248-W248,"н/д")</x:f>
        <x:v>н/д</x:v>
      </x:c>
      <x:c r="Y248" s="26" t="str">
        <x:f>IF(J248="Рассчитано",IF(V248&gt;0,G248/V248,"н/д"),"н/д")</x:f>
        <x:v>н/д</x:v>
      </x:c>
      <x:c r="Z248" s="20" t="str">
        <x:f>IF(J248="Рассчитано",K248*M248,"н/д")</x:f>
        <x:v>н/д</x:v>
      </x:c>
      <x:c r="AA248" s="20" t="str">
        <x:f>IF(J248="Рассчитано",(K248-T248)*M248,"н/д")</x:f>
        <x:v>н/д</x:v>
      </x:c>
      <x:c r="AB248" s="20" t="str">
        <x:f>IF(AND(J248="Рассчитано",ISNUMBER(S248)),K248*(S248-M248),"н/д")</x:f>
        <x:v>н/д</x:v>
      </x:c>
      <x:c r="AC248" s="20" t="str">
        <x:f>IF(AND(J248="Рассчитано",T248&gt;0,R248&lt;100),(W248+P248+Q248)/(T248*(1-R248/100)),"н/д")</x:f>
        <x:v>н/д</x:v>
      </x:c>
      <x:c r="AD248" s="11" t="str">
        <x:f>IF(ISNUMBER(G248),IF(G248&lt;0,"Убыток",IF(G248=0,"Без прибыли","Прибыль &gt; 0")),"Не оценён")</x:f>
        <x:v>Не оценён</x:v>
      </x:c>
      <x:c r="AE248" s="12" t="str">
        <x:f>IF(J248="Рассчитано","Выручка "&amp;TEXT(V248,"0.00")&amp;" - себестоимость "&amp;TEXT(W248,"0.00")&amp;" - комиссия "&amp;TEXT(V248*R248/100,"0.00")&amp;" - доставка "&amp;TEXT(P248,"0.00")&amp;" - прочие "&amp;TEXT(Q248,"0.00")&amp;" = "&amp;TEXT(G248,"0.00")&amp;" "&amp;L248,"Введите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8" s="23" t="n">
        <x:v>3.3669145784562686</x:v>
      </x:c>
      <x:c r="AG248" s="35" t="n">
        <x:v>0</x:v>
      </x:c>
      <x:c r="AH248" s="35" t="n">
        <x:v>0</x:v>
      </x:c>
      <x:c r="AI248" s="29" t="n">
        <x:v>46266</x:v>
      </x:c>
      <x:c r="AJ248" s="35"/>
      <x:c r="AK248" s="11" t="str">
        <x:v>неизвестно</x:v>
      </x:c>
      <x:c r="AL248" s="31" t="n">
        <x:v>0</x:v>
      </x:c>
      <x:c r="AM248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48" s="12" t="str">
        <x:v>Подтвердить наличие, срок и цену закупки</x:v>
      </x:c>
      <x:c r="AO248" s="12" t="str">
        <x:v>Прогноз 30 дней 3.37; остаток 0; поступления в срок 0; нехватка 4; заказ с учётом MOQ 4 шт. Остаток на начало сентября: требуется актуализация.</x:v>
      </x:c>
      <x:c r="AP248" s="12" t="str">
        <x:v>["blank_stock_assumed_zero", "category_missing", "daily_stockout_data_missing", "moq_missing", "new_order_lead_time_unknown", "reservations_unknown", "stale_stock", "stockout_proxy_used"]</x:v>
      </x:c>
      <x:c r="AQ248" s="11" t="str">
        <x:v>IEK:280100444_</x:v>
      </x:c>
      <x:c r="AR248" s="23" t="n">
        <x:v>1</x:v>
      </x:c>
      <x:c r="AS248" s="23" t="n">
        <x:f>MAX(0,ROUNDUP(MAX(0,AF248-AG248-AH248)/AR248-0.000000001,0)*AR248)</x:f>
        <x:v>4</x:v>
      </x:c>
      <x:c r="AT248" s="23" t="n">
        <x:v>3.3669145784562686</x:v>
      </x:c>
    </x:row>
    <x:row r="249" ht="64" customHeight="1">
      <x:c r="A249" s="10" t="str">
        <x:v>IEK</x:v>
      </x:c>
      <x:c r="B249" s="34" t="str">
        <x:v>280100447_</x:v>
      </x:c>
      <x:c r="C249" s="34" t="str">
        <x:v>EL-KK10D-P-100-060-K02</x:v>
      </x:c>
      <x:c r="D249" s="13" t="str">
        <x:v>Поворот 90град КМП 100х60 черный ЭЛЕКОР IEK (2шт/компл)</x:v>
      </x:c>
      <x:c r="E249" s="10" t="str">
        <x:v>шт</x:v>
      </x:c>
      <x:c r="F249" s="37" t="n">
        <x:f>AS249</x:f>
        <x:v>1</x:v>
      </x:c>
      <x:c r="G249" s="21" t="str">
        <x:f>IF(J249="Рассчитано",V249*(1-R249/100)-W249-P249-Q249,"н/д")</x:f>
        <x:v>н/д</x:v>
      </x:c>
      <x:c r="H249" s="13" t="str">
        <x:v>Высокий</x:v>
      </x:c>
      <x:c r="I249" s="13" t="str">
        <x:v>Критический</x:v>
      </x:c>
      <x:c r="J249" s="13" t="str">
        <x:f>IF(L249="","Укажите валюту",IF(NOT(ISNUMBER(K249)),"Укажите объём",IF(K249&lt;=0,"Укажите объём",IF(COUNT(M249:O249)&lt;3,"Нужны цены",IF(COUNT(P249:R249)&lt;3,"Нужны расходы",IF(OR(M249&lt;0,N249&lt;0,O249&lt;0,O249&gt;100,P249&lt;0,Q249&lt;0,R249&lt;0,R249&gt;100),"Проверьте значения","Рассчитано"))))))</x:f>
        <x:v>Нужны цены</x:v>
      </x:c>
      <x:c r="K249" s="36" t="n">
        <x:v>1</x:v>
      </x:c>
      <x:c r="L249" s="19" t="str">
        <x:v>KZT</x:v>
      </x:c>
      <x:c r="M249" s="22"/>
      <x:c r="N249" s="22"/>
      <x:c r="O249" s="28"/>
      <x:c r="P249" s="22"/>
      <x:c r="Q249" s="22"/>
      <x:c r="R249" s="28"/>
      <x:c r="S249" s="22"/>
      <x:c r="T249" s="37" t="n">
        <x:f>MIN(K249,AT249)</x:f>
        <x:v>0.035646968637373676</x:v>
      </x:c>
      <x:c r="U249" s="21" t="str">
        <x:f>IF(J249="Рассчитано",N249*(1-O249/100),"н/д")</x:f>
        <x:v>н/д</x:v>
      </x:c>
      <x:c r="V249" s="21" t="str">
        <x:f>IF(J249="Рассчитано",T249*U249,"н/д")</x:f>
        <x:v>н/д</x:v>
      </x:c>
      <x:c r="W249" s="21" t="str">
        <x:f>IF(J249="Рассчитано",T249*M249,"н/д")</x:f>
        <x:v>н/д</x:v>
      </x:c>
      <x:c r="X249" s="21" t="str">
        <x:f>IF(J249="Рассчитано",V249-W249,"н/д")</x:f>
        <x:v>н/д</x:v>
      </x:c>
      <x:c r="Y249" s="27" t="str">
        <x:f>IF(J249="Рассчитано",IF(V249&gt;0,G249/V249,"н/д"),"н/д")</x:f>
        <x:v>н/д</x:v>
      </x:c>
      <x:c r="Z249" s="21" t="str">
        <x:f>IF(J249="Рассчитано",K249*M249,"н/д")</x:f>
        <x:v>н/д</x:v>
      </x:c>
      <x:c r="AA249" s="21" t="str">
        <x:f>IF(J249="Рассчитано",(K249-T249)*M249,"н/д")</x:f>
        <x:v>н/д</x:v>
      </x:c>
      <x:c r="AB249" s="21" t="str">
        <x:f>IF(AND(J249="Рассчитано",ISNUMBER(S249)),K249*(S249-M249),"н/д")</x:f>
        <x:v>н/д</x:v>
      </x:c>
      <x:c r="AC249" s="21" t="str">
        <x:f>IF(AND(J249="Рассчитано",T249&gt;0,R249&lt;100),(W249+P249+Q249)/(T249*(1-R249/100)),"н/д")</x:f>
        <x:v>н/д</x:v>
      </x:c>
      <x:c r="AD249" s="10" t="str">
        <x:f>IF(ISNUMBER(G249),IF(G249&lt;0,"Убыток",IF(G249=0,"Без прибыли","Прибыль &gt; 0")),"Не оценён")</x:f>
        <x:v>Не оценён</x:v>
      </x:c>
      <x:c r="AE249" s="13" t="str">
        <x:f>IF(J249="Рассчитано","Выручка "&amp;TEXT(V249,"0.00")&amp;" - себестоимость "&amp;TEXT(W249,"0.00")&amp;" - комиссия "&amp;TEXT(V249*R249/100,"0.00")&amp;" - доставка "&amp;TEXT(P249,"0.00")&amp;" - прочие "&amp;TEXT(Q249,"0.00")&amp;" = "&amp;TEXT(G249,"0.00")&amp;" "&amp;L249,"Введите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49" s="24" t="n">
        <x:v>0.035646968637373676</x:v>
      </x:c>
      <x:c r="AG249" s="37" t="n">
        <x:v>0</x:v>
      </x:c>
      <x:c r="AH249" s="37" t="n">
        <x:v>0</x:v>
      </x:c>
      <x:c r="AI249" s="30" t="n">
        <x:v>46266</x:v>
      </x:c>
      <x:c r="AJ249" s="37"/>
      <x:c r="AK249" s="10" t="str">
        <x:v>неизвестно</x:v>
      </x:c>
      <x:c r="AL249" s="32" t="n">
        <x:v>0</x:v>
      </x:c>
      <x:c r="AM249" s="13" t="str">
        <x:v>Остаток на начало сентября; Резервы неизвестны; Нет ежедневных данных доступности. Нет запаса</x:v>
      </x:c>
      <x:c r="AN249" s="13" t="str">
        <x:v>Подтвердить наличие, срок и цену закупки</x:v>
      </x:c>
      <x:c r="AO249" s="13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249" s="13" t="str">
        <x:v>["blank_stock_assumed_zero", "category_missing", "daily_stockout_data_missing", "moq_missing", "new_order_lead_time_unknown", "reservations_unknown", "stale_stock"]</x:v>
      </x:c>
      <x:c r="AQ249" s="10" t="str">
        <x:v>IEK:280100447_</x:v>
      </x:c>
      <x:c r="AR249" s="24" t="n">
        <x:v>1</x:v>
      </x:c>
      <x:c r="AS249" s="24" t="n">
        <x:f>MAX(0,ROUNDUP(MAX(0,AF249-AG249-AH249)/AR249-0.000000001,0)*AR249)</x:f>
        <x:v>1</x:v>
      </x:c>
      <x:c r="AT249" s="24" t="n">
        <x:v>0.035646968637373676</x:v>
      </x:c>
    </x:row>
    <x:row r="250" ht="64" customHeight="1">
      <x:c r="A250" s="11" t="str">
        <x:v>IEK</x:v>
      </x:c>
      <x:c r="B250" s="33" t="str">
        <x:v>280200038_</x:v>
      </x:c>
      <x:c r="C250" s="33" t="str">
        <x:v>CKMP10D-V-016-016-K01</x:v>
      </x:c>
      <x:c r="D250" s="12" t="str">
        <x:v>Внутренний угол КМВ 16х16 Белый ЭЛЕКОР IEK (4)</x:v>
      </x:c>
      <x:c r="E250" s="11" t="str">
        <x:v>шт</x:v>
      </x:c>
      <x:c r="F250" s="35" t="n">
        <x:f>IF(AS250&gt;0,MAX(AS250,AJ250),0)</x:f>
        <x:v>3</x:v>
      </x:c>
      <x:c r="G250" s="20" t="str">
        <x:f>IF(J250="Рассчитано",V250*(1-R250/100)-W250-P250-Q250,"н/д")</x:f>
        <x:v>н/д</x:v>
      </x:c>
      <x:c r="H250" s="12" t="str">
        <x:v>Высокий</x:v>
      </x:c>
      <x:c r="I250" s="12" t="str">
        <x:v>Средний</x:v>
      </x:c>
      <x:c r="J250" s="12" t="str">
        <x:f>IF(L250="","Укажите валюту",IF(NOT(ISNUMBER(K250)),"Укажите объём",IF(K250&lt;=0,"Укажите объём",IF(COUNT(M250:O250)&lt;3,"Нужны цены",IF(COUNT(P250:R250)&lt;3,"Нужны расходы",IF(OR(M250&lt;0,N250&lt;0,O250&lt;0,O250&gt;100,P250&lt;0,Q250&lt;0,R250&lt;0,R250&gt;100),"Проверьте значения","Рассчитано"))))))</x:f>
        <x:v>Нужны цены</x:v>
      </x:c>
      <x:c r="K250" s="36" t="n">
        <x:v>3</x:v>
      </x:c>
      <x:c r="L250" s="19" t="str">
        <x:v>KZT</x:v>
      </x:c>
      <x:c r="M250" s="22"/>
      <x:c r="N250" s="22"/>
      <x:c r="O250" s="28"/>
      <x:c r="P250" s="22"/>
      <x:c r="Q250" s="22"/>
      <x:c r="R250" s="28"/>
      <x:c r="S250" s="22"/>
      <x:c r="T250" s="35" t="n">
        <x:f>MIN(K250,AT250)</x:f>
        <x:v>2.3170656152362596</x:v>
      </x:c>
      <x:c r="U250" s="20" t="str">
        <x:f>IF(J250="Рассчитано",N250*(1-O250/100),"н/д")</x:f>
        <x:v>н/д</x:v>
      </x:c>
      <x:c r="V250" s="20" t="str">
        <x:f>IF(J250="Рассчитано",T250*U250,"н/д")</x:f>
        <x:v>н/д</x:v>
      </x:c>
      <x:c r="W250" s="20" t="str">
        <x:f>IF(J250="Рассчитано",T250*M250,"н/д")</x:f>
        <x:v>н/д</x:v>
      </x:c>
      <x:c r="X250" s="20" t="str">
        <x:f>IF(J250="Рассчитано",V250-W250,"н/д")</x:f>
        <x:v>н/д</x:v>
      </x:c>
      <x:c r="Y250" s="26" t="str">
        <x:f>IF(J250="Рассчитано",IF(V250&gt;0,G250/V250,"н/д"),"н/д")</x:f>
        <x:v>н/д</x:v>
      </x:c>
      <x:c r="Z250" s="20" t="str">
        <x:f>IF(J250="Рассчитано",K250*M250,"н/д")</x:f>
        <x:v>н/д</x:v>
      </x:c>
      <x:c r="AA250" s="20" t="str">
        <x:f>IF(J250="Рассчитано",(K250-T250)*M250,"н/д")</x:f>
        <x:v>н/д</x:v>
      </x:c>
      <x:c r="AB250" s="20" t="str">
        <x:f>IF(AND(J250="Рассчитано",ISNUMBER(S250)),K250*(S250-M250),"н/д")</x:f>
        <x:v>н/д</x:v>
      </x:c>
      <x:c r="AC250" s="20" t="str">
        <x:f>IF(AND(J250="Рассчитано",T250&gt;0,R250&lt;100),(W250+P250+Q250)/(T250*(1-R250/100)),"н/д")</x:f>
        <x:v>н/д</x:v>
      </x:c>
      <x:c r="AD250" s="11" t="str">
        <x:f>IF(ISNUMBER(G250),IF(G250&lt;0,"Убыток",IF(G250=0,"Без прибыли","Прибыль &gt; 0")),"Не оценён")</x:f>
        <x:v>Не оценён</x:v>
      </x:c>
      <x:c r="AE250" s="12" t="str">
        <x:f>IF(J250="Рассчитано","Выручка "&amp;TEXT(V250,"0.00")&amp;" - себестоимость "&amp;TEXT(W250,"0.00")&amp;" - комиссия "&amp;TEXT(V250*R250/100,"0.00")&amp;" - доставка "&amp;TEXT(P250,"0.00")&amp;" - прочие "&amp;TEXT(Q250,"0.00")&amp;" = "&amp;TEXT(G250,"0.00")&amp;" "&amp;L250,"Введите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0" s="23" t="n">
        <x:v>39.31706561523626</x:v>
      </x:c>
      <x:c r="AG250" s="35" t="n">
        <x:v>37</x:v>
      </x:c>
      <x:c r="AH250" s="35" t="n">
        <x:v>0</x:v>
      </x:c>
      <x:c r="AI250" s="29" t="n">
        <x:v>46266</x:v>
      </x:c>
      <x:c r="AJ250" s="35" t="n">
        <x:v>1</x:v>
      </x:c>
      <x:c r="AK250" s="11" t="str">
        <x:v>минимум</x:v>
      </x:c>
      <x:c r="AL250" s="31" t="n">
        <x:v>28.232015350856948</x:v>
      </x:c>
      <x:c r="AM250" s="12" t="str">
        <x:v>Остаток на начало сентября; Резервы неизвестны; Нет ежедневных данных доступности. Запаса примерно на 28.2 дн. без поступлений</x:v>
      </x:c>
      <x:c r="AN250" s="12" t="str">
        <x:v>Подтвердить наличие, срок и цену закупки</x:v>
      </x:c>
      <x:c r="AO250" s="12" t="str">
        <x:v>Прогноз 30 дней 39.32; остаток 37; поступления в срок 0; нехватка 3; заказ с учётом MOQ 3 шт. Остаток на начало сентября: требуется актуализация.</x:v>
      </x:c>
      <x:c r="AP250" s="12" t="str">
        <x:v>["category_missing", "daily_stockout_data_missing", "new_order_lead_time_unknown", "reservations_unknown", "stale_stock"]</x:v>
      </x:c>
      <x:c r="AQ250" s="11" t="str">
        <x:v>IEK:280200038_</x:v>
      </x:c>
      <x:c r="AR250" s="23" t="n">
        <x:v>1</x:v>
      </x:c>
      <x:c r="AS250" s="23" t="n">
        <x:f>MAX(0,ROUNDUP(MAX(0,AF250-AG250-AH250)/AR250-0.000000001,0)*AR250)</x:f>
        <x:v>3</x:v>
      </x:c>
      <x:c r="AT250" s="23" t="n">
        <x:v>2.3170656152362596</x:v>
      </x:c>
    </x:row>
    <x:row r="251" ht="64" customHeight="1">
      <x:c r="A251" s="10" t="str">
        <x:v>IEK</x:v>
      </x:c>
      <x:c r="B251" s="34" t="str">
        <x:v>280200042_</x:v>
      </x:c>
      <x:c r="C251" s="34" t="str">
        <x:v>CKMP10D-V-060-040-K01</x:v>
      </x:c>
      <x:c r="D251" s="13" t="str">
        <x:v>Внутренний угол КМВ 60х40 Белый ЭЛЕКОР IEK (4)</x:v>
      </x:c>
      <x:c r="E251" s="10" t="str">
        <x:v>шт</x:v>
      </x:c>
      <x:c r="F251" s="37" t="n">
        <x:f>IF(AS251&gt;0,MAX(AS251,AJ251),0)</x:f>
        <x:v>45</x:v>
      </x:c>
      <x:c r="G251" s="21" t="str">
        <x:f>IF(J251="Рассчитано",V251*(1-R251/100)-W251-P251-Q251,"н/д")</x:f>
        <x:v>н/д</x:v>
      </x:c>
      <x:c r="H251" s="13" t="str">
        <x:v>Высокий</x:v>
      </x:c>
      <x:c r="I251" s="13" t="str">
        <x:v>Высокий</x:v>
      </x:c>
      <x:c r="J251" s="13" t="str">
        <x:f>IF(L251="","Укажите валюту",IF(NOT(ISNUMBER(K251)),"Укажите объём",IF(K251&lt;=0,"Укажите объём",IF(COUNT(M251:O251)&lt;3,"Нужны цены",IF(COUNT(P251:R251)&lt;3,"Нужны расходы",IF(OR(M251&lt;0,N251&lt;0,O251&lt;0,O251&gt;100,P251&lt;0,Q251&lt;0,R251&lt;0,R251&gt;100),"Проверьте значения","Рассчитано"))))))</x:f>
        <x:v>Нужны цены</x:v>
      </x:c>
      <x:c r="K251" s="36" t="n">
        <x:v>45</x:v>
      </x:c>
      <x:c r="L251" s="19" t="str">
        <x:v>KZT</x:v>
      </x:c>
      <x:c r="M251" s="22"/>
      <x:c r="N251" s="22"/>
      <x:c r="O251" s="28"/>
      <x:c r="P251" s="22"/>
      <x:c r="Q251" s="22"/>
      <x:c r="R251" s="28"/>
      <x:c r="S251" s="22"/>
      <x:c r="T251" s="37" t="n">
        <x:f>MIN(K251,AT251)</x:f>
        <x:v>44.548467441348606</x:v>
      </x:c>
      <x:c r="U251" s="21" t="str">
        <x:f>IF(J251="Рассчитано",N251*(1-O251/100),"н/д")</x:f>
        <x:v>н/д</x:v>
      </x:c>
      <x:c r="V251" s="21" t="str">
        <x:f>IF(J251="Рассчитано",T251*U251,"н/д")</x:f>
        <x:v>н/д</x:v>
      </x:c>
      <x:c r="W251" s="21" t="str">
        <x:f>IF(J251="Рассчитано",T251*M251,"н/д")</x:f>
        <x:v>н/д</x:v>
      </x:c>
      <x:c r="X251" s="21" t="str">
        <x:f>IF(J251="Рассчитано",V251-W251,"н/д")</x:f>
        <x:v>н/д</x:v>
      </x:c>
      <x:c r="Y251" s="27" t="str">
        <x:f>IF(J251="Рассчитано",IF(V251&gt;0,G251/V251,"н/д"),"н/д")</x:f>
        <x:v>н/д</x:v>
      </x:c>
      <x:c r="Z251" s="21" t="str">
        <x:f>IF(J251="Рассчитано",K251*M251,"н/д")</x:f>
        <x:v>н/д</x:v>
      </x:c>
      <x:c r="AA251" s="21" t="str">
        <x:f>IF(J251="Рассчитано",(K251-T251)*M251,"н/д")</x:f>
        <x:v>н/д</x:v>
      </x:c>
      <x:c r="AB251" s="21" t="str">
        <x:f>IF(AND(J251="Рассчитано",ISNUMBER(S251)),K251*(S251-M251),"н/д")</x:f>
        <x:v>н/д</x:v>
      </x:c>
      <x:c r="AC251" s="21" t="str">
        <x:f>IF(AND(J251="Рассчитано",T251&gt;0,R251&lt;100),(W251+P251+Q251)/(T251*(1-R251/100)),"н/д")</x:f>
        <x:v>н/д</x:v>
      </x:c>
      <x:c r="AD251" s="10" t="str">
        <x:f>IF(ISNUMBER(G251),IF(G251&lt;0,"Убыток",IF(G251=0,"Без прибыли","Прибыль &gt; 0")),"Не оценён")</x:f>
        <x:v>Не оценён</x:v>
      </x:c>
      <x:c r="AE251" s="13" t="str">
        <x:f>IF(J251="Рассчитано","Выручка "&amp;TEXT(V251,"0.00")&amp;" - себестоимость "&amp;TEXT(W251,"0.00")&amp;" - комиссия "&amp;TEXT(V251*R251/100,"0.00")&amp;" - доставка "&amp;TEXT(P251,"0.00")&amp;" - прочие "&amp;TEXT(Q251,"0.00")&amp;" = "&amp;TEXT(G251,"0.00")&amp;" "&amp;L251,"Введите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1" s="24" t="n">
        <x:v>116.5484674413486</x:v>
      </x:c>
      <x:c r="AG251" s="37" t="n">
        <x:v>52</x:v>
      </x:c>
      <x:c r="AH251" s="37" t="n">
        <x:v>20</x:v>
      </x:c>
      <x:c r="AI251" s="30" t="n">
        <x:v>46266</x:v>
      </x:c>
      <x:c r="AJ251" s="37" t="n">
        <x:v>1</x:v>
      </x:c>
      <x:c r="AK251" s="10" t="str">
        <x:v>минимум</x:v>
      </x:c>
      <x:c r="AL251" s="32" t="n">
        <x:v>13.38498938894283</x:v>
      </x:c>
      <x:c r="AM251" s="13" t="str">
        <x:v>Остаток на начало сентября; Резервы неизвестны; Нет ежедневных данных доступности. Запаса примерно на 13.4 дн. без поступлений</x:v>
      </x:c>
      <x:c r="AN251" s="13" t="str">
        <x:v>Подтвердить наличие, срок и цену закупки</x:v>
      </x:c>
      <x:c r="AO251" s="13" t="str">
        <x:v>Прогноз 30 дней 116.55; остаток 52; поступления в срок 20; нехватка 45; заказ с учётом MOQ 45 шт. Остаток на начало сентября: требуется актуализация.</x:v>
      </x:c>
      <x:c r="AP251" s="13" t="str">
        <x:v>["category_missing", "daily_stockout_data_missing", "large_orders_detected", "new_order_lead_time_unknown", "reservations_unknown", "stale_stock"]</x:v>
      </x:c>
      <x:c r="AQ251" s="10" t="str">
        <x:v>IEK:280200042_</x:v>
      </x:c>
      <x:c r="AR251" s="24" t="n">
        <x:v>1</x:v>
      </x:c>
      <x:c r="AS251" s="24" t="n">
        <x:f>MAX(0,ROUNDUP(MAX(0,AF251-AG251-AH251)/AR251-0.000000001,0)*AR251)</x:f>
        <x:v>45</x:v>
      </x:c>
      <x:c r="AT251" s="24" t="n">
        <x:v>44.548467441348606</x:v>
      </x:c>
    </x:row>
    <x:row r="252" ht="64" customHeight="1">
      <x:c r="A252" s="11" t="str">
        <x:v>IEK</x:v>
      </x:c>
      <x:c r="B252" s="33" t="str">
        <x:v>280200046_</x:v>
      </x:c>
      <x:c r="C252" s="33" t="str">
        <x:v>CKMP10D-Z-016-016-K01</x:v>
      </x:c>
      <x:c r="D252" s="12" t="str">
        <x:v>Заглушка КМЗ 16х16 Белый ЭЛЕКОР IEK (4)</x:v>
      </x:c>
      <x:c r="E252" s="11" t="str">
        <x:v>шт</x:v>
      </x:c>
      <x:c r="F252" s="35" t="n">
        <x:f>IF(AS252&gt;0,MAX(AS252,AJ252),0)</x:f>
        <x:v>8</x:v>
      </x:c>
      <x:c r="G252" s="20" t="str">
        <x:f>IF(J252="Рассчитано",V252*(1-R252/100)-W252-P252-Q252,"н/д")</x:f>
        <x:v>н/д</x:v>
      </x:c>
      <x:c r="H252" s="12" t="str">
        <x:v>Высокий</x:v>
      </x:c>
      <x:c r="I252" s="12" t="str">
        <x:v>Критический</x:v>
      </x:c>
      <x:c r="J252" s="12" t="str">
        <x:f>IF(L252="","Укажите валюту",IF(NOT(ISNUMBER(K252)),"Укажите объём",IF(K252&lt;=0,"Укажите объём",IF(COUNT(M252:O252)&lt;3,"Нужны цены",IF(COUNT(P252:R252)&lt;3,"Нужны расходы",IF(OR(M252&lt;0,N252&lt;0,O252&lt;0,O252&gt;100,P252&lt;0,Q252&lt;0,R252&lt;0,R252&gt;100),"Проверьте значения","Рассчитано"))))))</x:f>
        <x:v>Нужны цены</x:v>
      </x:c>
      <x:c r="K252" s="36" t="n">
        <x:v>8</x:v>
      </x:c>
      <x:c r="L252" s="19" t="str">
        <x:v>KZT</x:v>
      </x:c>
      <x:c r="M252" s="22"/>
      <x:c r="N252" s="22"/>
      <x:c r="O252" s="28"/>
      <x:c r="P252" s="22"/>
      <x:c r="Q252" s="22"/>
      <x:c r="R252" s="28"/>
      <x:c r="S252" s="22"/>
      <x:c r="T252" s="35" t="n">
        <x:f>MIN(K252,AT252)</x:f>
        <x:v>7.5900853226048035</x:v>
      </x:c>
      <x:c r="U252" s="20" t="str">
        <x:f>IF(J252="Рассчитано",N252*(1-O252/100),"н/д")</x:f>
        <x:v>н/д</x:v>
      </x:c>
      <x:c r="V252" s="20" t="str">
        <x:f>IF(J252="Рассчитано",T252*U252,"н/д")</x:f>
        <x:v>н/д</x:v>
      </x:c>
      <x:c r="W252" s="20" t="str">
        <x:f>IF(J252="Рассчитано",T252*M252,"н/д")</x:f>
        <x:v>н/д</x:v>
      </x:c>
      <x:c r="X252" s="20" t="str">
        <x:f>IF(J252="Рассчитано",V252-W252,"н/д")</x:f>
        <x:v>н/д</x:v>
      </x:c>
      <x:c r="Y252" s="26" t="str">
        <x:f>IF(J252="Рассчитано",IF(V252&gt;0,G252/V252,"н/д"),"н/д")</x:f>
        <x:v>н/д</x:v>
      </x:c>
      <x:c r="Z252" s="20" t="str">
        <x:f>IF(J252="Рассчитано",K252*M252,"н/д")</x:f>
        <x:v>н/д</x:v>
      </x:c>
      <x:c r="AA252" s="20" t="str">
        <x:f>IF(J252="Рассчитано",(K252-T252)*M252,"н/д")</x:f>
        <x:v>н/д</x:v>
      </x:c>
      <x:c r="AB252" s="20" t="str">
        <x:f>IF(AND(J252="Рассчитано",ISNUMBER(S252)),K252*(S252-M252),"н/д")</x:f>
        <x:v>н/д</x:v>
      </x:c>
      <x:c r="AC252" s="20" t="str">
        <x:f>IF(AND(J252="Рассчитано",T252&gt;0,R252&lt;100),(W252+P252+Q252)/(T252*(1-R252/100)),"н/д")</x:f>
        <x:v>н/д</x:v>
      </x:c>
      <x:c r="AD252" s="11" t="str">
        <x:f>IF(ISNUMBER(G252),IF(G252&lt;0,"Убыток",IF(G252=0,"Без прибыли","Прибыль &gt; 0")),"Не оценён")</x:f>
        <x:v>Не оценён</x:v>
      </x:c>
      <x:c r="AE252" s="12" t="str">
        <x:f>IF(J252="Рассчитано","Выручка "&amp;TEXT(V252,"0.00")&amp;" - себестоимость "&amp;TEXT(W252,"0.00")&amp;" - комиссия "&amp;TEXT(V252*R252/100,"0.00")&amp;" - доставка "&amp;TEXT(P252,"0.00")&amp;" - прочие "&amp;TEXT(Q252,"0.00")&amp;" = "&amp;TEXT(G252,"0.00")&amp;" "&amp;L252,"Введите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2" s="23" t="n">
        <x:v>7.5900853226048035</x:v>
      </x:c>
      <x:c r="AG252" s="35" t="n">
        <x:v>0</x:v>
      </x:c>
      <x:c r="AH252" s="35" t="n">
        <x:v>0</x:v>
      </x:c>
      <x:c r="AI252" s="29" t="n">
        <x:v>46266</x:v>
      </x:c>
      <x:c r="AJ252" s="35" t="n">
        <x:v>1</x:v>
      </x:c>
      <x:c r="AK252" s="11" t="str">
        <x:v>минимум</x:v>
      </x:c>
      <x:c r="AL252" s="31" t="n">
        <x:v>0</x:v>
      </x:c>
      <x:c r="AM252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52" s="12" t="str">
        <x:v>Подтвердить наличие, срок и цену закупки</x:v>
      </x:c>
      <x:c r="AO252" s="12" t="str">
        <x:v>Прогноз 30 дней 7.59; остаток 0; поступления в срок 0; нехватка 8; заказ с учётом MOQ 8 шт. Остаток на начало сентября: требуется актуализация.</x:v>
      </x:c>
      <x:c r="AP252" s="12" t="str">
        <x:v>["blank_stock_assumed_zero", "category_missing", "daily_stockout_data_missing", "new_order_lead_time_unknown", "reservations_unknown", "stale_stock", "stockout_proxy_used"]</x:v>
      </x:c>
      <x:c r="AQ252" s="11" t="str">
        <x:v>IEK:280200046_</x:v>
      </x:c>
      <x:c r="AR252" s="23" t="n">
        <x:v>1</x:v>
      </x:c>
      <x:c r="AS252" s="23" t="n">
        <x:f>MAX(0,ROUNDUP(MAX(0,AF252-AG252-AH252)/AR252-0.000000001,0)*AR252)</x:f>
        <x:v>8</x:v>
      </x:c>
      <x:c r="AT252" s="23" t="n">
        <x:v>7.5900853226048035</x:v>
      </x:c>
    </x:row>
    <x:row r="253" ht="64" customHeight="1">
      <x:c r="A253" s="10" t="str">
        <x:v>IEK</x:v>
      </x:c>
      <x:c r="B253" s="34" t="str">
        <x:v>280200049_</x:v>
      </x:c>
      <x:c r="C253" s="34" t="str">
        <x:v>CKMP10D-Z-060-040-K01</x:v>
      </x:c>
      <x:c r="D253" s="13" t="str">
        <x:v>Заглушка КМЗ 60х40 Белый ЭЛЕКОР IEK (4)</x:v>
      </x:c>
      <x:c r="E253" s="10" t="str">
        <x:v>шт</x:v>
      </x:c>
      <x:c r="F253" s="37" t="n">
        <x:f>IF(AS253&gt;0,MAX(AS253,AJ253),0)</x:f>
        <x:v>66</x:v>
      </x:c>
      <x:c r="G253" s="21" t="str">
        <x:f>IF(J253="Рассчитано",V253*(1-R253/100)-W253-P253-Q253,"н/д")</x:f>
        <x:v>н/д</x:v>
      </x:c>
      <x:c r="H253" s="13" t="str">
        <x:v>Высокий</x:v>
      </x:c>
      <x:c r="I253" s="13" t="str">
        <x:v>Высокий</x:v>
      </x:c>
      <x:c r="J253" s="13" t="str">
        <x:f>IF(L253="","Укажите валюту",IF(NOT(ISNUMBER(K253)),"Укажите объём",IF(K253&lt;=0,"Укажите объём",IF(COUNT(M253:O253)&lt;3,"Нужны цены",IF(COUNT(P253:R253)&lt;3,"Нужны расходы",IF(OR(M253&lt;0,N253&lt;0,O253&lt;0,O253&gt;100,P253&lt;0,Q253&lt;0,R253&lt;0,R253&gt;100),"Проверьте значения","Рассчитано"))))))</x:f>
        <x:v>Нужны цены</x:v>
      </x:c>
      <x:c r="K253" s="36" t="n">
        <x:v>66</x:v>
      </x:c>
      <x:c r="L253" s="19" t="str">
        <x:v>KZT</x:v>
      </x:c>
      <x:c r="M253" s="22"/>
      <x:c r="N253" s="22"/>
      <x:c r="O253" s="28"/>
      <x:c r="P253" s="22"/>
      <x:c r="Q253" s="22"/>
      <x:c r="R253" s="28"/>
      <x:c r="S253" s="22"/>
      <x:c r="T253" s="37" t="n">
        <x:f>MIN(K253,AT253)</x:f>
        <x:v>65.82979061723196</x:v>
      </x:c>
      <x:c r="U253" s="21" t="str">
        <x:f>IF(J253="Рассчитано",N253*(1-O253/100),"н/д")</x:f>
        <x:v>н/д</x:v>
      </x:c>
      <x:c r="V253" s="21" t="str">
        <x:f>IF(J253="Рассчитано",T253*U253,"н/д")</x:f>
        <x:v>н/д</x:v>
      </x:c>
      <x:c r="W253" s="21" t="str">
        <x:f>IF(J253="Рассчитано",T253*M253,"н/д")</x:f>
        <x:v>н/д</x:v>
      </x:c>
      <x:c r="X253" s="21" t="str">
        <x:f>IF(J253="Рассчитано",V253-W253,"н/д")</x:f>
        <x:v>н/д</x:v>
      </x:c>
      <x:c r="Y253" s="27" t="str">
        <x:f>IF(J253="Рассчитано",IF(V253&gt;0,G253/V253,"н/д"),"н/д")</x:f>
        <x:v>н/д</x:v>
      </x:c>
      <x:c r="Z253" s="21" t="str">
        <x:f>IF(J253="Рассчитано",K253*M253,"н/д")</x:f>
        <x:v>н/д</x:v>
      </x:c>
      <x:c r="AA253" s="21" t="str">
        <x:f>IF(J253="Рассчитано",(K253-T253)*M253,"н/д")</x:f>
        <x:v>н/д</x:v>
      </x:c>
      <x:c r="AB253" s="21" t="str">
        <x:f>IF(AND(J253="Рассчитано",ISNUMBER(S253)),K253*(S253-M253),"н/д")</x:f>
        <x:v>н/д</x:v>
      </x:c>
      <x:c r="AC253" s="21" t="str">
        <x:f>IF(AND(J253="Рассчитано",T253&gt;0,R253&lt;100),(W253+P253+Q253)/(T253*(1-R253/100)),"н/д")</x:f>
        <x:v>н/д</x:v>
      </x:c>
      <x:c r="AD253" s="10" t="str">
        <x:f>IF(ISNUMBER(G253),IF(G253&lt;0,"Убыток",IF(G253=0,"Без прибыли","Прибыль &gt; 0")),"Не оценён")</x:f>
        <x:v>Не оценён</x:v>
      </x:c>
      <x:c r="AE253" s="13" t="str">
        <x:f>IF(J253="Рассчитано","Выручка "&amp;TEXT(V253,"0.00")&amp;" - себестоимость "&amp;TEXT(W253,"0.00")&amp;" - комиссия "&amp;TEXT(V253*R253/100,"0.00")&amp;" - доставка "&amp;TEXT(P253,"0.00")&amp;" - прочие "&amp;TEXT(Q253,"0.00")&amp;" = "&amp;TEXT(G253,"0.00")&amp;" "&amp;L253,"Введите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3" s="24" t="n">
        <x:v>123.82979061723196</x:v>
      </x:c>
      <x:c r="AG253" s="37" t="n">
        <x:v>43</x:v>
      </x:c>
      <x:c r="AH253" s="37" t="n">
        <x:v>15</x:v>
      </x:c>
      <x:c r="AI253" s="30" t="n">
        <x:v>46266</x:v>
      </x:c>
      <x:c r="AJ253" s="37" t="n">
        <x:v>1</x:v>
      </x:c>
      <x:c r="AK253" s="10" t="str">
        <x:v>минимум</x:v>
      </x:c>
      <x:c r="AL253" s="32" t="n">
        <x:v>10.41752548857565</x:v>
      </x:c>
      <x:c r="AM253" s="13" t="str">
        <x:v>Остаток на начало сентября; Резервы неизвестны; Нет ежедневных данных доступности. Запаса примерно на 10.4 дн. без поступлений</x:v>
      </x:c>
      <x:c r="AN253" s="13" t="str">
        <x:v>Подтвердить наличие, срок и цену закупки</x:v>
      </x:c>
      <x:c r="AO253" s="13" t="str">
        <x:v>Прогноз 30 дней 123.83; остаток 43; поступления в срок 15; нехватка 66; заказ с учётом MOQ 66 шт. Остаток на начало сентября: требуется актуализация.</x:v>
      </x:c>
      <x:c r="AP253" s="13" t="str">
        <x:v>["category_missing", "daily_stockout_data_missing", "new_order_lead_time_unknown", "reservations_unknown", "stale_stock"]</x:v>
      </x:c>
      <x:c r="AQ253" s="10" t="str">
        <x:v>IEK:280200049_</x:v>
      </x:c>
      <x:c r="AR253" s="24" t="n">
        <x:v>1</x:v>
      </x:c>
      <x:c r="AS253" s="24" t="n">
        <x:f>MAX(0,ROUNDUP(MAX(0,AF253-AG253-AH253)/AR253-0.000000001,0)*AR253)</x:f>
        <x:v>66</x:v>
      </x:c>
      <x:c r="AT253" s="24" t="n">
        <x:v>65.82979061723196</x:v>
      </x:c>
    </x:row>
    <x:row r="254" ht="64" customHeight="1">
      <x:c r="A254" s="11" t="str">
        <x:v>IEK</x:v>
      </x:c>
      <x:c r="B254" s="33" t="str">
        <x:v>280200051_</x:v>
      </x:c>
      <x:c r="C254" s="33" t="str">
        <x:v>CKMP10D-P-100-060-K01</x:v>
      </x:c>
      <x:c r="D254" s="12" t="str">
        <x:v>Поворот 90° КМП 100х60 Белый ЭЛЕКОР IEK (2)</x:v>
      </x:c>
      <x:c r="E254" s="11" t="str">
        <x:v>шт</x:v>
      </x:c>
      <x:c r="F254" s="35" t="n">
        <x:f>IF(AS254&gt;0,MAX(AS254,AJ254),0)</x:f>
        <x:v>13</x:v>
      </x:c>
      <x:c r="G254" s="20" t="str">
        <x:f>IF(J254="Рассчитано",V254*(1-R254/100)-W254-P254-Q254,"н/д")</x:f>
        <x:v>н/д</x:v>
      </x:c>
      <x:c r="H254" s="12" t="str">
        <x:v>Высокий</x:v>
      </x:c>
      <x:c r="I254" s="12" t="str">
        <x:v>Высокий</x:v>
      </x:c>
      <x:c r="J254" s="12" t="str">
        <x:f>IF(L254="","Укажите валюту",IF(NOT(ISNUMBER(K254)),"Укажите объём",IF(K254&lt;=0,"Укажите объём",IF(COUNT(M254:O254)&lt;3,"Нужны цены",IF(COUNT(P254:R254)&lt;3,"Нужны расходы",IF(OR(M254&lt;0,N254&lt;0,O254&lt;0,O254&gt;100,P254&lt;0,Q254&lt;0,R254&lt;0,R254&gt;100),"Проверьте значения","Рассчитано"))))))</x:f>
        <x:v>Нужны цены</x:v>
      </x:c>
      <x:c r="K254" s="36" t="n">
        <x:v>13</x:v>
      </x:c>
      <x:c r="L254" s="19" t="str">
        <x:v>KZT</x:v>
      </x:c>
      <x:c r="M254" s="22"/>
      <x:c r="N254" s="22"/>
      <x:c r="O254" s="28"/>
      <x:c r="P254" s="22"/>
      <x:c r="Q254" s="22"/>
      <x:c r="R254" s="28"/>
      <x:c r="S254" s="22"/>
      <x:c r="T254" s="35" t="n">
        <x:f>MIN(K254,AT254)</x:f>
        <x:v>12.554451792866317</x:v>
      </x:c>
      <x:c r="U254" s="20" t="str">
        <x:f>IF(J254="Рассчитано",N254*(1-O254/100),"н/д")</x:f>
        <x:v>н/д</x:v>
      </x:c>
      <x:c r="V254" s="20" t="str">
        <x:f>IF(J254="Рассчитано",T254*U254,"н/д")</x:f>
        <x:v>н/д</x:v>
      </x:c>
      <x:c r="W254" s="20" t="str">
        <x:f>IF(J254="Рассчитано",T254*M254,"н/д")</x:f>
        <x:v>н/д</x:v>
      </x:c>
      <x:c r="X254" s="20" t="str">
        <x:f>IF(J254="Рассчитано",V254-W254,"н/д")</x:f>
        <x:v>н/д</x:v>
      </x:c>
      <x:c r="Y254" s="26" t="str">
        <x:f>IF(J254="Рассчитано",IF(V254&gt;0,G254/V254,"н/д"),"н/д")</x:f>
        <x:v>н/д</x:v>
      </x:c>
      <x:c r="Z254" s="20" t="str">
        <x:f>IF(J254="Рассчитано",K254*M254,"н/д")</x:f>
        <x:v>н/д</x:v>
      </x:c>
      <x:c r="AA254" s="20" t="str">
        <x:f>IF(J254="Рассчитано",(K254-T254)*M254,"н/д")</x:f>
        <x:v>н/д</x:v>
      </x:c>
      <x:c r="AB254" s="20" t="str">
        <x:f>IF(AND(J254="Рассчитано",ISNUMBER(S254)),K254*(S254-M254),"н/д")</x:f>
        <x:v>н/д</x:v>
      </x:c>
      <x:c r="AC254" s="20" t="str">
        <x:f>IF(AND(J254="Рассчитано",T254&gt;0,R254&lt;100),(W254+P254+Q254)/(T254*(1-R254/100)),"н/д")</x:f>
        <x:v>н/д</x:v>
      </x:c>
      <x:c r="AD254" s="11" t="str">
        <x:f>IF(ISNUMBER(G254),IF(G254&lt;0,"Убыток",IF(G254=0,"Без прибыли","Прибыль &gt; 0")),"Не оценён")</x:f>
        <x:v>Не оценён</x:v>
      </x:c>
      <x:c r="AE254" s="12" t="str">
        <x:f>IF(J254="Рассчитано","Выручка "&amp;TEXT(V254,"0.00")&amp;" - себестоимость "&amp;TEXT(W254,"0.00")&amp;" - комиссия "&amp;TEXT(V254*R254/100,"0.00")&amp;" - доставка "&amp;TEXT(P254,"0.00")&amp;" - прочие "&amp;TEXT(Q254,"0.00")&amp;" = "&amp;TEXT(G254,"0.00")&amp;" "&amp;L254,"Введите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4" s="23" t="n">
        <x:v>20.554451792866317</x:v>
      </x:c>
      <x:c r="AG254" s="35" t="n">
        <x:v>8</x:v>
      </x:c>
      <x:c r="AH254" s="35" t="n">
        <x:v>0</x:v>
      </x:c>
      <x:c r="AI254" s="29" t="n">
        <x:v>46266</x:v>
      </x:c>
      <x:c r="AJ254" s="35" t="n">
        <x:v>4</x:v>
      </x:c>
      <x:c r="AK254" s="11" t="str">
        <x:v>минимум</x:v>
      </x:c>
      <x:c r="AL254" s="31" t="n">
        <x:v>11.676302652999729</x:v>
      </x:c>
      <x:c r="AM254" s="12" t="str">
        <x:v>Остаток на начало сентября; Резервы неизвестны; Нет ежедневных данных доступности. Запаса примерно на 11.7 дн. без поступлений</x:v>
      </x:c>
      <x:c r="AN254" s="12" t="str">
        <x:v>Подтвердить наличие, срок и цену закупки</x:v>
      </x:c>
      <x:c r="AO254" s="12" t="str">
        <x:v>Прогноз 30 дней 20.55; остаток 8; поступления в срок 0; нехватка 13; заказ с учётом MOQ 13 шт. Остаток на начало сентября: требуется актуализация.</x:v>
      </x:c>
      <x:c r="AP254" s="12" t="str">
        <x:v>["category_missing", "daily_stockout_data_missing", "large_orders_detected", "new_order_lead_time_unknown", "reservations_unknown", "stale_stock"]</x:v>
      </x:c>
      <x:c r="AQ254" s="11" t="str">
        <x:v>IEK:280200051_</x:v>
      </x:c>
      <x:c r="AR254" s="23" t="n">
        <x:v>1</x:v>
      </x:c>
      <x:c r="AS254" s="23" t="n">
        <x:f>MAX(0,ROUNDUP(MAX(0,AF254-AG254-AH254)/AR254-0.000000001,0)*AR254)</x:f>
        <x:v>13</x:v>
      </x:c>
      <x:c r="AT254" s="23" t="n">
        <x:v>12.554451792866317</x:v>
      </x:c>
    </x:row>
    <x:row r="255" ht="64" customHeight="1">
      <x:c r="A255" s="10" t="str">
        <x:v>IEK</x:v>
      </x:c>
      <x:c r="B255" s="34" t="str">
        <x:v>280200053_</x:v>
      </x:c>
      <x:c r="C255" s="34" t="str">
        <x:v>CKMP10D-P-016-016-K01</x:v>
      </x:c>
      <x:c r="D255" s="13" t="str">
        <x:v>Поворот 90° КМП 16х16 Белый ЭЛЕКОР IEK (4)</x:v>
      </x:c>
      <x:c r="E255" s="10" t="str">
        <x:v>шт</x:v>
      </x:c>
      <x:c r="F255" s="37" t="n">
        <x:f>IF(AS255&gt;0,MAX(AS255,AJ255),0)</x:f>
        <x:v>9</x:v>
      </x:c>
      <x:c r="G255" s="21" t="str">
        <x:f>IF(J255="Рассчитано",V255*(1-R255/100)-W255-P255-Q255,"н/д")</x:f>
        <x:v>н/д</x:v>
      </x:c>
      <x:c r="H255" s="13" t="str">
        <x:v>Высокий</x:v>
      </x:c>
      <x:c r="I255" s="13" t="str">
        <x:v>Средний</x:v>
      </x:c>
      <x:c r="J255" s="13" t="str">
        <x:f>IF(L255="","Укажите валюту",IF(NOT(ISNUMBER(K255)),"Укажите объём",IF(K255&lt;=0,"Укажите объём",IF(COUNT(M255:O255)&lt;3,"Нужны цены",IF(COUNT(P255:R255)&lt;3,"Нужны расходы",IF(OR(M255&lt;0,N255&lt;0,O255&lt;0,O255&gt;100,P255&lt;0,Q255&lt;0,R255&lt;0,R255&gt;100),"Проверьте значения","Рассчитано"))))))</x:f>
        <x:v>Нужны цены</x:v>
      </x:c>
      <x:c r="K255" s="36" t="n">
        <x:v>9</x:v>
      </x:c>
      <x:c r="L255" s="19" t="str">
        <x:v>KZT</x:v>
      </x:c>
      <x:c r="M255" s="22"/>
      <x:c r="N255" s="22"/>
      <x:c r="O255" s="28"/>
      <x:c r="P255" s="22"/>
      <x:c r="Q255" s="22"/>
      <x:c r="R255" s="28"/>
      <x:c r="S255" s="22"/>
      <x:c r="T255" s="37" t="n">
        <x:f>MIN(K255,AT255)</x:f>
        <x:v>8.581692709826925</x:v>
      </x:c>
      <x:c r="U255" s="21" t="str">
        <x:f>IF(J255="Рассчитано",N255*(1-O255/100),"н/д")</x:f>
        <x:v>н/д</x:v>
      </x:c>
      <x:c r="V255" s="21" t="str">
        <x:f>IF(J255="Рассчитано",T255*U255,"н/д")</x:f>
        <x:v>н/д</x:v>
      </x:c>
      <x:c r="W255" s="21" t="str">
        <x:f>IF(J255="Рассчитано",T255*M255,"н/д")</x:f>
        <x:v>н/д</x:v>
      </x:c>
      <x:c r="X255" s="21" t="str">
        <x:f>IF(J255="Рассчитано",V255-W255,"н/д")</x:f>
        <x:v>н/д</x:v>
      </x:c>
      <x:c r="Y255" s="27" t="str">
        <x:f>IF(J255="Рассчитано",IF(V255&gt;0,G255/V255,"н/д"),"н/д")</x:f>
        <x:v>н/д</x:v>
      </x:c>
      <x:c r="Z255" s="21" t="str">
        <x:f>IF(J255="Рассчитано",K255*M255,"н/д")</x:f>
        <x:v>н/д</x:v>
      </x:c>
      <x:c r="AA255" s="21" t="str">
        <x:f>IF(J255="Рассчитано",(K255-T255)*M255,"н/д")</x:f>
        <x:v>н/д</x:v>
      </x:c>
      <x:c r="AB255" s="21" t="str">
        <x:f>IF(AND(J255="Рассчитано",ISNUMBER(S255)),K255*(S255-M255),"н/д")</x:f>
        <x:v>н/д</x:v>
      </x:c>
      <x:c r="AC255" s="21" t="str">
        <x:f>IF(AND(J255="Рассчитано",T255&gt;0,R255&lt;100),(W255+P255+Q255)/(T255*(1-R255/100)),"н/д")</x:f>
        <x:v>н/д</x:v>
      </x:c>
      <x:c r="AD255" s="10" t="str">
        <x:f>IF(ISNUMBER(G255),IF(G255&lt;0,"Убыток",IF(G255=0,"Без прибыли","Прибыль &gt; 0")),"Не оценён")</x:f>
        <x:v>Не оценён</x:v>
      </x:c>
      <x:c r="AE255" s="13" t="str">
        <x:f>IF(J255="Рассчитано","Выручка "&amp;TEXT(V255,"0.00")&amp;" - себестоимость "&amp;TEXT(W255,"0.00")&amp;" - комиссия "&amp;TEXT(V255*R255/100,"0.00")&amp;" - доставка "&amp;TEXT(P255,"0.00")&amp;" - прочие "&amp;TEXT(Q255,"0.00")&amp;" = "&amp;TEXT(G255,"0.00")&amp;" "&amp;L255,"Введите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5" s="24" t="n">
        <x:v>44.581692709826925</x:v>
      </x:c>
      <x:c r="AG255" s="37" t="n">
        <x:v>36</x:v>
      </x:c>
      <x:c r="AH255" s="37" t="n">
        <x:v>0</x:v>
      </x:c>
      <x:c r="AI255" s="30" t="n">
        <x:v>46266</x:v>
      </x:c>
      <x:c r="AJ255" s="37" t="n">
        <x:v>1</x:v>
      </x:c>
      <x:c r="AK255" s="10" t="str">
        <x:v>минимум</x:v>
      </x:c>
      <x:c r="AL255" s="32" t="n">
        <x:v>24.225190528980093</x:v>
      </x:c>
      <x:c r="AM255" s="13" t="str">
        <x:v>Остаток на начало сентября; Резервы неизвестны; Нет ежедневных данных доступности. Запаса примерно на 24.2 дн. без поступлений</x:v>
      </x:c>
      <x:c r="AN255" s="13" t="str">
        <x:v>Подтвердить наличие, срок и цену закупки</x:v>
      </x:c>
      <x:c r="AO255" s="13" t="str">
        <x:v>Прогноз 30 дней 44.58; остаток 36; поступления в срок 0; нехватка 9; заказ с учётом MOQ 9 шт. Остаток на начало сентября: требуется актуализация.</x:v>
      </x:c>
      <x:c r="AP255" s="13" t="str">
        <x:v>["category_missing", "daily_stockout_data_missing", "new_order_lead_time_unknown", "reservations_unknown", "stale_stock"]</x:v>
      </x:c>
      <x:c r="AQ255" s="10" t="str">
        <x:v>IEK:280200053_</x:v>
      </x:c>
      <x:c r="AR255" s="24" t="n">
        <x:v>1</x:v>
      </x:c>
      <x:c r="AS255" s="24" t="n">
        <x:f>MAX(0,ROUNDUP(MAX(0,AF255-AG255-AH255)/AR255-0.000000001,0)*AR255)</x:f>
        <x:v>9</x:v>
      </x:c>
      <x:c r="AT255" s="24" t="n">
        <x:v>8.581692709826925</x:v>
      </x:c>
    </x:row>
    <x:row r="256" ht="64" customHeight="1">
      <x:c r="A256" s="11" t="str">
        <x:v>IEK</x:v>
      </x:c>
      <x:c r="B256" s="33" t="str">
        <x:v>280200065_</x:v>
      </x:c>
      <x:c r="C256" s="33" t="str">
        <x:v>CKMP10D-S-060-040-K01</x:v>
      </x:c>
      <x:c r="D256" s="12" t="str">
        <x:v>Соединитель на стык КМС 60х40 Белый ЭЛЕКОР IEK (4)</x:v>
      </x:c>
      <x:c r="E256" s="11" t="str">
        <x:v>шт</x:v>
      </x:c>
      <x:c r="F256" s="35" t="n">
        <x:f>IF(AS256&gt;0,MAX(AS256,AJ256),0)</x:f>
        <x:v>20</x:v>
      </x:c>
      <x:c r="G256" s="20" t="str">
        <x:f>IF(J256="Рассчитано",V256*(1-R256/100)-W256-P256-Q256,"н/д")</x:f>
        <x:v>н/д</x:v>
      </x:c>
      <x:c r="H256" s="12" t="str">
        <x:v>Высокий</x:v>
      </x:c>
      <x:c r="I256" s="12" t="str">
        <x:v>Критический</x:v>
      </x:c>
      <x:c r="J256" s="12" t="str">
        <x:f>IF(L256="","Укажите валюту",IF(NOT(ISNUMBER(K256)),"Укажите объём",IF(K256&lt;=0,"Укажите объём",IF(COUNT(M256:O256)&lt;3,"Нужны цены",IF(COUNT(P256:R256)&lt;3,"Нужны расходы",IF(OR(M256&lt;0,N256&lt;0,O256&lt;0,O256&gt;100,P256&lt;0,Q256&lt;0,R256&lt;0,R256&gt;100),"Проверьте значения","Рассчитано"))))))</x:f>
        <x:v>Нужны цены</x:v>
      </x:c>
      <x:c r="K256" s="36" t="n">
        <x:v>20</x:v>
      </x:c>
      <x:c r="L256" s="19" t="str">
        <x:v>KZT</x:v>
      </x:c>
      <x:c r="M256" s="22"/>
      <x:c r="N256" s="22"/>
      <x:c r="O256" s="28"/>
      <x:c r="P256" s="22"/>
      <x:c r="Q256" s="22"/>
      <x:c r="R256" s="28"/>
      <x:c r="S256" s="22"/>
      <x:c r="T256" s="35" t="n">
        <x:f>MIN(K256,AT256)</x:f>
        <x:v>19.261367742607618</x:v>
      </x:c>
      <x:c r="U256" s="20" t="str">
        <x:f>IF(J256="Рассчитано",N256*(1-O256/100),"н/д")</x:f>
        <x:v>н/д</x:v>
      </x:c>
      <x:c r="V256" s="20" t="str">
        <x:f>IF(J256="Рассчитано",T256*U256,"н/д")</x:f>
        <x:v>н/д</x:v>
      </x:c>
      <x:c r="W256" s="20" t="str">
        <x:f>IF(J256="Рассчитано",T256*M256,"н/д")</x:f>
        <x:v>н/д</x:v>
      </x:c>
      <x:c r="X256" s="20" t="str">
        <x:f>IF(J256="Рассчитано",V256-W256,"н/д")</x:f>
        <x:v>н/д</x:v>
      </x:c>
      <x:c r="Y256" s="26" t="str">
        <x:f>IF(J256="Рассчитано",IF(V256&gt;0,G256/V256,"н/д"),"н/д")</x:f>
        <x:v>н/д</x:v>
      </x:c>
      <x:c r="Z256" s="20" t="str">
        <x:f>IF(J256="Рассчитано",K256*M256,"н/д")</x:f>
        <x:v>н/д</x:v>
      </x:c>
      <x:c r="AA256" s="20" t="str">
        <x:f>IF(J256="Рассчитано",(K256-T256)*M256,"н/д")</x:f>
        <x:v>н/д</x:v>
      </x:c>
      <x:c r="AB256" s="20" t="str">
        <x:f>IF(AND(J256="Рассчитано",ISNUMBER(S256)),K256*(S256-M256),"н/д")</x:f>
        <x:v>н/д</x:v>
      </x:c>
      <x:c r="AC256" s="20" t="str">
        <x:f>IF(AND(J256="Рассчитано",T256&gt;0,R256&lt;100),(W256+P256+Q256)/(T256*(1-R256/100)),"н/д")</x:f>
        <x:v>н/д</x:v>
      </x:c>
      <x:c r="AD256" s="11" t="str">
        <x:f>IF(ISNUMBER(G256),IF(G256&lt;0,"Убыток",IF(G256=0,"Без прибыли","Прибыль &gt; 0")),"Не оценён")</x:f>
        <x:v>Не оценён</x:v>
      </x:c>
      <x:c r="AE256" s="12" t="str">
        <x:f>IF(J256="Рассчитано","Выручка "&amp;TEXT(V256,"0.00")&amp;" - себестоимость "&amp;TEXT(W256,"0.00")&amp;" - комиссия "&amp;TEXT(V256*R256/100,"0.00")&amp;" - доставка "&amp;TEXT(P256,"0.00")&amp;" - прочие "&amp;TEXT(Q256,"0.00")&amp;" = "&amp;TEXT(G256,"0.00")&amp;" "&amp;L256,"Введите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6" s="23" t="n">
        <x:v>59.26136774260762</x:v>
      </x:c>
      <x:c r="AG256" s="35" t="n">
        <x:v>10</x:v>
      </x:c>
      <x:c r="AH256" s="35" t="n">
        <x:v>30</x:v>
      </x:c>
      <x:c r="AI256" s="29" t="n">
        <x:v>46266</x:v>
      </x:c>
      <x:c r="AJ256" s="35" t="n">
        <x:v>1</x:v>
      </x:c>
      <x:c r="AK256" s="11" t="str">
        <x:v>минимум</x:v>
      </x:c>
      <x:c r="AL256" s="31" t="n">
        <x:v>5.062319879335262</x:v>
      </x:c>
      <x:c r="AM256" s="12" t="str">
        <x:v>Остаток на начало сентября; Резервы неизвестны; Stockout оценён по месячным снимкам; Нет ежедневных данных доступности. Запаса примерно на 5.1 дн. без поступлений</x:v>
      </x:c>
      <x:c r="AN256" s="12" t="str">
        <x:v>Подтвердить наличие, срок и цену закупки</x:v>
      </x:c>
      <x:c r="AO256" s="12" t="str">
        <x:v>Прогноз 30 дней 59.26; остаток 10; поступления в срок 30; нехватка 20; заказ с учётом MOQ 20 шт. Остаток на начало сентября: требуется актуализация.</x:v>
      </x:c>
      <x:c r="AP256" s="12" t="str">
        <x:v>["category_missing", "daily_stockout_data_missing", "new_order_lead_time_unknown", "reservations_unknown", "stale_stock", "stockout_proxy_used"]</x:v>
      </x:c>
      <x:c r="AQ256" s="11" t="str">
        <x:v>IEK:280200065_</x:v>
      </x:c>
      <x:c r="AR256" s="23" t="n">
        <x:v>1</x:v>
      </x:c>
      <x:c r="AS256" s="23" t="n">
        <x:f>MAX(0,ROUNDUP(MAX(0,AF256-AG256-AH256)/AR256-0.000000001,0)*AR256)</x:f>
        <x:v>20</x:v>
      </x:c>
      <x:c r="AT256" s="23" t="n">
        <x:v>19.261367742607618</x:v>
      </x:c>
    </x:row>
    <x:row r="257" ht="64" customHeight="1">
      <x:c r="A257" s="10" t="str">
        <x:v>IEK</x:v>
      </x:c>
      <x:c r="B257" s="34" t="str">
        <x:v>280200067_</x:v>
      </x:c>
      <x:c r="C257" s="34" t="str">
        <x:v>CKMP10D-T-100-060-K01</x:v>
      </x:c>
      <x:c r="D257" s="13" t="str">
        <x:v>Т-образный угол КМТ 100х60 Белый ЭЛЕКОР IEK (2)</x:v>
      </x:c>
      <x:c r="E257" s="10" t="str">
        <x:v>шт</x:v>
      </x:c>
      <x:c r="F257" s="37" t="n">
        <x:f>IF(AS257&gt;0,MAX(AS257,AJ257),0)</x:f>
        <x:v>9</x:v>
      </x:c>
      <x:c r="G257" s="21" t="str">
        <x:f>IF(J257="Рассчитано",V257*(1-R257/100)-W257-P257-Q257,"н/д")</x:f>
        <x:v>н/д</x:v>
      </x:c>
      <x:c r="H257" s="13" t="str">
        <x:v>Высокий</x:v>
      </x:c>
      <x:c r="I257" s="13" t="str">
        <x:v>Высокий</x:v>
      </x:c>
      <x:c r="J257" s="13" t="str">
        <x:f>IF(L257="","Укажите валюту",IF(NOT(ISNUMBER(K257)),"Укажите объём",IF(K257&lt;=0,"Укажите объём",IF(COUNT(M257:O257)&lt;3,"Нужны цены",IF(COUNT(P257:R257)&lt;3,"Нужны расходы",IF(OR(M257&lt;0,N257&lt;0,O257&lt;0,O257&gt;100,P257&lt;0,Q257&lt;0,R257&lt;0,R257&gt;100),"Проверьте значения","Рассчитано"))))))</x:f>
        <x:v>Нужны цены</x:v>
      </x:c>
      <x:c r="K257" s="36" t="n">
        <x:v>9</x:v>
      </x:c>
      <x:c r="L257" s="19" t="str">
        <x:v>KZT</x:v>
      </x:c>
      <x:c r="M257" s="22"/>
      <x:c r="N257" s="22"/>
      <x:c r="O257" s="28"/>
      <x:c r="P257" s="22"/>
      <x:c r="Q257" s="22"/>
      <x:c r="R257" s="28"/>
      <x:c r="S257" s="22"/>
      <x:c r="T257" s="37" t="n">
        <x:f>MIN(K257,AT257)</x:f>
        <x:v>8.96423184488505</x:v>
      </x:c>
      <x:c r="U257" s="21" t="str">
        <x:f>IF(J257="Рассчитано",N257*(1-O257/100),"н/д")</x:f>
        <x:v>н/д</x:v>
      </x:c>
      <x:c r="V257" s="21" t="str">
        <x:f>IF(J257="Рассчитано",T257*U257,"н/д")</x:f>
        <x:v>н/д</x:v>
      </x:c>
      <x:c r="W257" s="21" t="str">
        <x:f>IF(J257="Рассчитано",T257*M257,"н/д")</x:f>
        <x:v>н/д</x:v>
      </x:c>
      <x:c r="X257" s="21" t="str">
        <x:f>IF(J257="Рассчитано",V257-W257,"н/д")</x:f>
        <x:v>н/д</x:v>
      </x:c>
      <x:c r="Y257" s="27" t="str">
        <x:f>IF(J257="Рассчитано",IF(V257&gt;0,G257/V257,"н/д"),"н/д")</x:f>
        <x:v>н/д</x:v>
      </x:c>
      <x:c r="Z257" s="21" t="str">
        <x:f>IF(J257="Рассчитано",K257*M257,"н/д")</x:f>
        <x:v>н/д</x:v>
      </x:c>
      <x:c r="AA257" s="21" t="str">
        <x:f>IF(J257="Рассчитано",(K257-T257)*M257,"н/д")</x:f>
        <x:v>н/д</x:v>
      </x:c>
      <x:c r="AB257" s="21" t="str">
        <x:f>IF(AND(J257="Рассчитано",ISNUMBER(S257)),K257*(S257-M257),"н/д")</x:f>
        <x:v>н/д</x:v>
      </x:c>
      <x:c r="AC257" s="21" t="str">
        <x:f>IF(AND(J257="Рассчитано",T257&gt;0,R257&lt;100),(W257+P257+Q257)/(T257*(1-R257/100)),"н/д")</x:f>
        <x:v>н/д</x:v>
      </x:c>
      <x:c r="AD257" s="10" t="str">
        <x:f>IF(ISNUMBER(G257),IF(G257&lt;0,"Убыток",IF(G257=0,"Без прибыли","Прибыль &gt; 0")),"Не оценён")</x:f>
        <x:v>Не оценён</x:v>
      </x:c>
      <x:c r="AE257" s="13" t="str">
        <x:f>IF(J257="Рассчитано","Выручка "&amp;TEXT(V257,"0.00")&amp;" - себестоимость "&amp;TEXT(W257,"0.00")&amp;" - комиссия "&amp;TEXT(V257*R257/100,"0.00")&amp;" - доставка "&amp;TEXT(P257,"0.00")&amp;" - прочие "&amp;TEXT(Q257,"0.00")&amp;" = "&amp;TEXT(G257,"0.00")&amp;" "&amp;L257,"Введите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7" s="24" t="n">
        <x:v>11.96423184488505</x:v>
      </x:c>
      <x:c r="AG257" s="37" t="n">
        <x:v>3</x:v>
      </x:c>
      <x:c r="AH257" s="37" t="n">
        <x:v>0</x:v>
      </x:c>
      <x:c r="AI257" s="30" t="n">
        <x:v>46266</x:v>
      </x:c>
      <x:c r="AJ257" s="37" t="n">
        <x:v>4</x:v>
      </x:c>
      <x:c r="AK257" s="10" t="str">
        <x:v>минимум</x:v>
      </x:c>
      <x:c r="AL257" s="32" t="n">
        <x:v>7.522421929534641</x:v>
      </x:c>
      <x:c r="AM257" s="13" t="str">
        <x:v>Остаток на начало сентября; Резервы неизвестны; Нет ежедневных данных доступности. Запаса примерно на 7.5 дн. без поступлений</x:v>
      </x:c>
      <x:c r="AN257" s="13" t="str">
        <x:v>Подтвердить наличие, срок и цену закупки</x:v>
      </x:c>
      <x:c r="AO257" s="13" t="str">
        <x:v>Прогноз 30 дней 11.96; остаток 3; поступления в срок 0; нехватка 9; заказ с учётом MOQ 9 шт. Остаток на начало сентября: требуется актуализация.</x:v>
      </x:c>
      <x:c r="AP257" s="13" t="str">
        <x:v>["category_missing", "daily_stockout_data_missing", "large_orders_detected", "new_order_lead_time_unknown", "reservations_unknown", "stale_stock"]</x:v>
      </x:c>
      <x:c r="AQ257" s="10" t="str">
        <x:v>IEK:280200067_</x:v>
      </x:c>
      <x:c r="AR257" s="24" t="n">
        <x:v>1</x:v>
      </x:c>
      <x:c r="AS257" s="24" t="n">
        <x:f>MAX(0,ROUNDUP(MAX(0,AF257-AG257-AH257)/AR257-0.000000001,0)*AR257)</x:f>
        <x:v>9</x:v>
      </x:c>
      <x:c r="AT257" s="24" t="n">
        <x:v>8.96423184488505</x:v>
      </x:c>
    </x:row>
    <x:row r="258" ht="64" customHeight="1">
      <x:c r="A258" s="11" t="str">
        <x:v>IEK</x:v>
      </x:c>
      <x:c r="B258" s="33" t="str">
        <x:v>280200073_</x:v>
      </x:c>
      <x:c r="C258" s="33" t="str">
        <x:v>CKMP10D-T-060-040-K01</x:v>
      </x:c>
      <x:c r="D258" s="12" t="str">
        <x:v>Т-образный угол КМТ 60х40 Белый ЭЛЕКОР IEK (4)</x:v>
      </x:c>
      <x:c r="E258" s="11" t="str">
        <x:v>шт</x:v>
      </x:c>
      <x:c r="F258" s="35" t="n">
        <x:f>IF(AS258&gt;0,MAX(AS258,AJ258),0)</x:f>
        <x:v>16</x:v>
      </x:c>
      <x:c r="G258" s="20" t="str">
        <x:f>IF(J258="Рассчитано",V258*(1-R258/100)-W258-P258-Q258,"н/д")</x:f>
        <x:v>н/д</x:v>
      </x:c>
      <x:c r="H258" s="12" t="str">
        <x:v>Высокий</x:v>
      </x:c>
      <x:c r="I258" s="12" t="str">
        <x:v>Средний</x:v>
      </x:c>
      <x:c r="J258" s="12" t="str">
        <x:f>IF(L258="","Укажите валюту",IF(NOT(ISNUMBER(K258)),"Укажите объём",IF(K258&lt;=0,"Укажите объём",IF(COUNT(M258:O258)&lt;3,"Нужны цены",IF(COUNT(P258:R258)&lt;3,"Нужны расходы",IF(OR(M258&lt;0,N258&lt;0,O258&lt;0,O258&gt;100,P258&lt;0,Q258&lt;0,R258&lt;0,R258&gt;100),"Проверьте значения","Рассчитано"))))))</x:f>
        <x:v>Нужны цены</x:v>
      </x:c>
      <x:c r="K258" s="36" t="n">
        <x:v>16</x:v>
      </x:c>
      <x:c r="L258" s="19" t="str">
        <x:v>KZT</x:v>
      </x:c>
      <x:c r="M258" s="22"/>
      <x:c r="N258" s="22"/>
      <x:c r="O258" s="28"/>
      <x:c r="P258" s="22"/>
      <x:c r="Q258" s="22"/>
      <x:c r="R258" s="28"/>
      <x:c r="S258" s="22"/>
      <x:c r="T258" s="35" t="n">
        <x:f>MIN(K258,AT258)</x:f>
        <x:v>15.098818281452829</x:v>
      </x:c>
      <x:c r="U258" s="20" t="str">
        <x:f>IF(J258="Рассчитано",N258*(1-O258/100),"н/д")</x:f>
        <x:v>н/д</x:v>
      </x:c>
      <x:c r="V258" s="20" t="str">
        <x:f>IF(J258="Рассчитано",T258*U258,"н/д")</x:f>
        <x:v>н/д</x:v>
      </x:c>
      <x:c r="W258" s="20" t="str">
        <x:f>IF(J258="Рассчитано",T258*M258,"н/д")</x:f>
        <x:v>н/д</x:v>
      </x:c>
      <x:c r="X258" s="20" t="str">
        <x:f>IF(J258="Рассчитано",V258-W258,"н/д")</x:f>
        <x:v>н/д</x:v>
      </x:c>
      <x:c r="Y258" s="26" t="str">
        <x:f>IF(J258="Рассчитано",IF(V258&gt;0,G258/V258,"н/д"),"н/д")</x:f>
        <x:v>н/д</x:v>
      </x:c>
      <x:c r="Z258" s="20" t="str">
        <x:f>IF(J258="Рассчитано",K258*M258,"н/д")</x:f>
        <x:v>н/д</x:v>
      </x:c>
      <x:c r="AA258" s="20" t="str">
        <x:f>IF(J258="Рассчитано",(K258-T258)*M258,"н/д")</x:f>
        <x:v>н/д</x:v>
      </x:c>
      <x:c r="AB258" s="20" t="str">
        <x:f>IF(AND(J258="Рассчитано",ISNUMBER(S258)),K258*(S258-M258),"н/д")</x:f>
        <x:v>н/д</x:v>
      </x:c>
      <x:c r="AC258" s="20" t="str">
        <x:f>IF(AND(J258="Рассчитано",T258&gt;0,R258&lt;100),(W258+P258+Q258)/(T258*(1-R258/100)),"н/д")</x:f>
        <x:v>н/д</x:v>
      </x:c>
      <x:c r="AD258" s="11" t="str">
        <x:f>IF(ISNUMBER(G258),IF(G258&lt;0,"Убыток",IF(G258=0,"Без прибыли","Прибыль &gt; 0")),"Не оценён")</x:f>
        <x:v>Не оценён</x:v>
      </x:c>
      <x:c r="AE258" s="12" t="str">
        <x:f>IF(J258="Рассчитано","Выручка "&amp;TEXT(V258,"0.00")&amp;" - себестоимость "&amp;TEXT(W258,"0.00")&amp;" - комиссия "&amp;TEXT(V258*R258/100,"0.00")&amp;" - доставка "&amp;TEXT(P258,"0.00")&amp;" - прочие "&amp;TEXT(Q258,"0.00")&amp;" = "&amp;TEXT(G258,"0.00")&amp;" "&amp;L258,"Введите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8" s="23" t="n">
        <x:v>32.09881828145283</x:v>
      </x:c>
      <x:c r="AG258" s="35" t="n">
        <x:v>17</x:v>
      </x:c>
      <x:c r="AH258" s="35" t="n">
        <x:v>0</x:v>
      </x:c>
      <x:c r="AI258" s="29" t="n">
        <x:v>46266</x:v>
      </x:c>
      <x:c r="AJ258" s="35" t="n">
        <x:v>1</x:v>
      </x:c>
      <x:c r="AK258" s="11" t="str">
        <x:v>минимум</x:v>
      </x:c>
      <x:c r="AL258" s="31" t="n">
        <x:v>15.888435378777963</x:v>
      </x:c>
      <x:c r="AM258" s="12" t="str">
        <x:v>Остаток на начало сентября; Резервы неизвестны; Нет ежедневных данных доступности. Запаса примерно на 15.9 дн. без поступлений</x:v>
      </x:c>
      <x:c r="AN258" s="12" t="str">
        <x:v>Подтвердить наличие, срок и цену закупки</x:v>
      </x:c>
      <x:c r="AO258" s="12" t="str">
        <x:v>Прогноз 30 дней 32.10; остаток 17; поступления в срок 0; нехватка 16; заказ с учётом MOQ 16 шт. Остаток на начало сентября: требуется актуализация.</x:v>
      </x:c>
      <x:c r="AP258" s="12" t="str">
        <x:v>["category_missing", "daily_stockout_data_missing", "large_orders_detected", "negative_net_sales_clipped_for_forecast", "new_order_lead_time_unknown", "reservations_unknown", "stale_stock"]</x:v>
      </x:c>
      <x:c r="AQ258" s="11" t="str">
        <x:v>IEK:280200073_</x:v>
      </x:c>
      <x:c r="AR258" s="23" t="n">
        <x:v>1</x:v>
      </x:c>
      <x:c r="AS258" s="23" t="n">
        <x:f>MAX(0,ROUNDUP(MAX(0,AF258-AG258-AH258)/AR258-0.000000001,0)*AR258)</x:f>
        <x:v>16</x:v>
      </x:c>
      <x:c r="AT258" s="23" t="n">
        <x:v>15.098818281452829</x:v>
      </x:c>
    </x:row>
    <x:row r="259" ht="64" customHeight="1">
      <x:c r="A259" s="10" t="str">
        <x:v>IEK</x:v>
      </x:c>
      <x:c r="B259" s="34" t="str">
        <x:v>280300017_</x:v>
      </x:c>
      <x:c r="C259" s="34" t="str">
        <x:v>CLP1S-050</x:v>
      </x:c>
      <x:c r="D259" s="13" t="str">
        <x:v>Пластина соединительная  h 50 IEK (2)</x:v>
      </x:c>
      <x:c r="E259" s="10" t="str">
        <x:v>шт</x:v>
      </x:c>
      <x:c r="F259" s="37" t="n">
        <x:f>AS259</x:f>
        <x:v>54</x:v>
      </x:c>
      <x:c r="G259" s="21" t="str">
        <x:f>IF(J259="Рассчитано",V259*(1-R259/100)-W259-P259-Q259,"н/д")</x:f>
        <x:v>н/д</x:v>
      </x:c>
      <x:c r="H259" s="13" t="str">
        <x:v>Высокий</x:v>
      </x:c>
      <x:c r="I259" s="13" t="str">
        <x:v>Критический</x:v>
      </x:c>
      <x:c r="J259" s="13" t="str">
        <x:f>IF(L259="","Укажите валюту",IF(NOT(ISNUMBER(K259)),"Укажите объём",IF(K259&lt;=0,"Укажите объём",IF(COUNT(M259:O259)&lt;3,"Нужны цены",IF(COUNT(P259:R259)&lt;3,"Нужны расходы",IF(OR(M259&lt;0,N259&lt;0,O259&lt;0,O259&gt;100,P259&lt;0,Q259&lt;0,R259&lt;0,R259&gt;100),"Проверьте значения","Рассчитано"))))))</x:f>
        <x:v>Нужны цены</x:v>
      </x:c>
      <x:c r="K259" s="36" t="n">
        <x:v>54</x:v>
      </x:c>
      <x:c r="L259" s="19" t="str">
        <x:v>KZT</x:v>
      </x:c>
      <x:c r="M259" s="22"/>
      <x:c r="N259" s="22"/>
      <x:c r="O259" s="28"/>
      <x:c r="P259" s="22"/>
      <x:c r="Q259" s="22"/>
      <x:c r="R259" s="28"/>
      <x:c r="S259" s="22"/>
      <x:c r="T259" s="37" t="n">
        <x:f>MIN(K259,AT259)</x:f>
        <x:v>53.01562623847418</x:v>
      </x:c>
      <x:c r="U259" s="21" t="str">
        <x:f>IF(J259="Рассчитано",N259*(1-O259/100),"н/д")</x:f>
        <x:v>н/д</x:v>
      </x:c>
      <x:c r="V259" s="21" t="str">
        <x:f>IF(J259="Рассчитано",T259*U259,"н/д")</x:f>
        <x:v>н/д</x:v>
      </x:c>
      <x:c r="W259" s="21" t="str">
        <x:f>IF(J259="Рассчитано",T259*M259,"н/д")</x:f>
        <x:v>н/д</x:v>
      </x:c>
      <x:c r="X259" s="21" t="str">
        <x:f>IF(J259="Рассчитано",V259-W259,"н/д")</x:f>
        <x:v>н/д</x:v>
      </x:c>
      <x:c r="Y259" s="27" t="str">
        <x:f>IF(J259="Рассчитано",IF(V259&gt;0,G259/V259,"н/д"),"н/д")</x:f>
        <x:v>н/д</x:v>
      </x:c>
      <x:c r="Z259" s="21" t="str">
        <x:f>IF(J259="Рассчитано",K259*M259,"н/д")</x:f>
        <x:v>н/д</x:v>
      </x:c>
      <x:c r="AA259" s="21" t="str">
        <x:f>IF(J259="Рассчитано",(K259-T259)*M259,"н/д")</x:f>
        <x:v>н/д</x:v>
      </x:c>
      <x:c r="AB259" s="21" t="str">
        <x:f>IF(AND(J259="Рассчитано",ISNUMBER(S259)),K259*(S259-M259),"н/д")</x:f>
        <x:v>н/д</x:v>
      </x:c>
      <x:c r="AC259" s="21" t="str">
        <x:f>IF(AND(J259="Рассчитано",T259&gt;0,R259&lt;100),(W259+P259+Q259)/(T259*(1-R259/100)),"н/д")</x:f>
        <x:v>н/д</x:v>
      </x:c>
      <x:c r="AD259" s="10" t="str">
        <x:f>IF(ISNUMBER(G259),IF(G259&lt;0,"Убыток",IF(G259=0,"Без прибыли","Прибыль &gt; 0")),"Не оценён")</x:f>
        <x:v>Не оценён</x:v>
      </x:c>
      <x:c r="AE259" s="13" t="str">
        <x:f>IF(J259="Рассчитано","Выручка "&amp;TEXT(V259,"0.00")&amp;" - себестоимость "&amp;TEXT(W259,"0.00")&amp;" - комиссия "&amp;TEXT(V259*R259/100,"0.00")&amp;" - доставка "&amp;TEXT(P259,"0.00")&amp;" - прочие "&amp;TEXT(Q259,"0.00")&amp;" = "&amp;TEXT(G259,"0.00")&amp;" "&amp;L259,"Введите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59" s="24" t="n">
        <x:v>53.01562623847418</x:v>
      </x:c>
      <x:c r="AG259" s="37" t="n">
        <x:v>0</x:v>
      </x:c>
      <x:c r="AH259" s="37" t="n">
        <x:v>0</x:v>
      </x:c>
      <x:c r="AI259" s="30" t="n">
        <x:v>46266</x:v>
      </x:c>
      <x:c r="AJ259" s="37"/>
      <x:c r="AK259" s="10" t="str">
        <x:v>минимум</x:v>
      </x:c>
      <x:c r="AL259" s="32" t="n">
        <x:v>0</x:v>
      </x:c>
      <x:c r="AM259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59" s="13" t="str">
        <x:v>Подтвердить наличие, срок и цену закупки</x:v>
      </x:c>
      <x:c r="AO259" s="13" t="str">
        <x:v>Прогноз 30 дней 53.02; остаток 0; поступления в срок 0; нехватка 54; заказ с учётом MOQ 54 шт. Остаток на начало сентября: требуется актуализация.</x:v>
      </x:c>
      <x:c r="AP259" s="13" t="str">
        <x:v>["blank_stock_assumed_zero", "category_missing", "daily_stockout_data_missing", "large_orders_detected", "moq_missing", "new_order_lead_time_unknown", "reservations_unknown", "stale_stock", "stockout_proxy_used"]</x:v>
      </x:c>
      <x:c r="AQ259" s="10" t="str">
        <x:v>IEK:280300017_</x:v>
      </x:c>
      <x:c r="AR259" s="24" t="n">
        <x:v>1</x:v>
      </x:c>
      <x:c r="AS259" s="24" t="n">
        <x:f>MAX(0,ROUNDUP(MAX(0,AF259-AG259-AH259)/AR259-0.000000001,0)*AR259)</x:f>
        <x:v>54</x:v>
      </x:c>
      <x:c r="AT259" s="24" t="n">
        <x:v>53.01562623847418</x:v>
      </x:c>
    </x:row>
    <x:row r="260" ht="64" customHeight="1">
      <x:c r="A260" s="11" t="str">
        <x:v>IEK</x:v>
      </x:c>
      <x:c r="B260" s="33" t="str">
        <x:v>280300020_</x:v>
      </x:c>
      <x:c r="C260" s="33" t="str">
        <x:v>CLP1N-050-100</x:v>
      </x:c>
      <x:c r="D260" s="12" t="str">
        <x:v>Поворот 90º вертикальный внешний  50х100 IEK</x:v>
      </x:c>
      <x:c r="E260" s="11" t="str">
        <x:v>шт</x:v>
      </x:c>
      <x:c r="F260" s="35" t="n">
        <x:f>IF(AS260&gt;0,MAX(AS260,AJ260),0)</x:f>
        <x:v>5</x:v>
      </x:c>
      <x:c r="G260" s="20" t="str">
        <x:f>IF(J260="Рассчитано",V260*(1-R260/100)-W260-P260-Q260,"н/д")</x:f>
        <x:v>н/д</x:v>
      </x:c>
      <x:c r="H260" s="12" t="str">
        <x:v>Высокий</x:v>
      </x:c>
      <x:c r="I260" s="12" t="str">
        <x:v>Критический</x:v>
      </x:c>
      <x:c r="J260" s="12" t="str">
        <x:f>IF(L260="","Укажите валюту",IF(NOT(ISNUMBER(K260)),"Укажите объём",IF(K260&lt;=0,"Укажите объём",IF(COUNT(M260:O260)&lt;3,"Нужны цены",IF(COUNT(P260:R260)&lt;3,"Нужны расходы",IF(OR(M260&lt;0,N260&lt;0,O260&lt;0,O260&gt;100,P260&lt;0,Q260&lt;0,R260&lt;0,R260&gt;100),"Проверьте значения","Рассчитано"))))))</x:f>
        <x:v>Нужны цены</x:v>
      </x:c>
      <x:c r="K260" s="36" t="n">
        <x:v>5</x:v>
      </x:c>
      <x:c r="L260" s="19" t="str">
        <x:v>KZT</x:v>
      </x:c>
      <x:c r="M260" s="22"/>
      <x:c r="N260" s="22"/>
      <x:c r="O260" s="28"/>
      <x:c r="P260" s="22"/>
      <x:c r="Q260" s="22"/>
      <x:c r="R260" s="28"/>
      <x:c r="S260" s="22"/>
      <x:c r="T260" s="35" t="n">
        <x:f>MIN(K260,AT260)</x:f>
        <x:v>4.0021963875591124</x:v>
      </x:c>
      <x:c r="U260" s="20" t="str">
        <x:f>IF(J260="Рассчитано",N260*(1-O260/100),"н/д")</x:f>
        <x:v>н/д</x:v>
      </x:c>
      <x:c r="V260" s="20" t="str">
        <x:f>IF(J260="Рассчитано",T260*U260,"н/д")</x:f>
        <x:v>н/д</x:v>
      </x:c>
      <x:c r="W260" s="20" t="str">
        <x:f>IF(J260="Рассчитано",T260*M260,"н/д")</x:f>
        <x:v>н/д</x:v>
      </x:c>
      <x:c r="X260" s="20" t="str">
        <x:f>IF(J260="Рассчитано",V260-W260,"н/д")</x:f>
        <x:v>н/д</x:v>
      </x:c>
      <x:c r="Y260" s="26" t="str">
        <x:f>IF(J260="Рассчитано",IF(V260&gt;0,G260/V260,"н/д"),"н/д")</x:f>
        <x:v>н/д</x:v>
      </x:c>
      <x:c r="Z260" s="20" t="str">
        <x:f>IF(J260="Рассчитано",K260*M260,"н/д")</x:f>
        <x:v>н/д</x:v>
      </x:c>
      <x:c r="AA260" s="20" t="str">
        <x:f>IF(J260="Рассчитано",(K260-T260)*M260,"н/д")</x:f>
        <x:v>н/д</x:v>
      </x:c>
      <x:c r="AB260" s="20" t="str">
        <x:f>IF(AND(J260="Рассчитано",ISNUMBER(S260)),K260*(S260-M260),"н/д")</x:f>
        <x:v>н/д</x:v>
      </x:c>
      <x:c r="AC260" s="20" t="str">
        <x:f>IF(AND(J260="Рассчитано",T260&gt;0,R260&lt;100),(W260+P260+Q260)/(T260*(1-R260/100)),"н/д")</x:f>
        <x:v>н/д</x:v>
      </x:c>
      <x:c r="AD260" s="11" t="str">
        <x:f>IF(ISNUMBER(G260),IF(G260&lt;0,"Убыток",IF(G260=0,"Без прибыли","Прибыль &gt; 0")),"Не оценён")</x:f>
        <x:v>Не оценён</x:v>
      </x:c>
      <x:c r="AE260" s="12" t="str">
        <x:f>IF(J260="Рассчитано","Выручка "&amp;TEXT(V260,"0.00")&amp;" - себестоимость "&amp;TEXT(W260,"0.00")&amp;" - комиссия "&amp;TEXT(V260*R260/100,"0.00")&amp;" - доставка "&amp;TEXT(P260,"0.00")&amp;" - прочие "&amp;TEXT(Q260,"0.00")&amp;" = "&amp;TEXT(G260,"0.00")&amp;" "&amp;L260,"Введите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0" s="23" t="n">
        <x:v>4.0021963875591124</x:v>
      </x:c>
      <x:c r="AG260" s="35" t="n">
        <x:v>0</x:v>
      </x:c>
      <x:c r="AH260" s="35" t="n">
        <x:v>0</x:v>
      </x:c>
      <x:c r="AI260" s="29" t="n">
        <x:v>46266</x:v>
      </x:c>
      <x:c r="AJ260" s="35" t="n">
        <x:v>1</x:v>
      </x:c>
      <x:c r="AK260" s="11" t="str">
        <x:v>минимум</x:v>
      </x:c>
      <x:c r="AL260" s="31" t="n">
        <x:v>0</x:v>
      </x:c>
      <x:c r="AM26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60" s="12" t="str">
        <x:v>Подтвердить наличие, срок и цену закупки</x:v>
      </x:c>
      <x:c r="AO260" s="12" t="str">
        <x:v>Прогноз 30 дней 4.00; остаток 0; поступления в срок 0; нехватка 5; заказ с учётом MOQ 5 шт. Остаток на начало сентября: требуется актуализация.</x:v>
      </x:c>
      <x:c r="AP260" s="12" t="str">
        <x:v>["blank_stock_assumed_zero", "category_missing", "daily_stockout_data_missing", "new_order_lead_time_unknown", "reservations_unknown", "stale_stock", "stockout_proxy_used"]</x:v>
      </x:c>
      <x:c r="AQ260" s="11" t="str">
        <x:v>IEK:280300020_</x:v>
      </x:c>
      <x:c r="AR260" s="23" t="n">
        <x:v>1</x:v>
      </x:c>
      <x:c r="AS260" s="23" t="n">
        <x:f>MAX(0,ROUNDUP(MAX(0,AF260-AG260-AH260)/AR260-0.000000001,0)*AR260)</x:f>
        <x:v>5</x:v>
      </x:c>
      <x:c r="AT260" s="23" t="n">
        <x:v>4.0021963875591124</x:v>
      </x:c>
    </x:row>
    <x:row r="261" ht="64" customHeight="1">
      <x:c r="A261" s="10" t="str">
        <x:v>IEK</x:v>
      </x:c>
      <x:c r="B261" s="34" t="str">
        <x:v>280300048_</x:v>
      </x:c>
      <x:c r="C261" s="34" t="str">
        <x:v>CLP1S-100</x:v>
      </x:c>
      <x:c r="D261" s="13" t="str">
        <x:v>Пластина соединительная h 100 IEK (2)</x:v>
      </x:c>
      <x:c r="E261" s="10" t="str">
        <x:v>шт</x:v>
      </x:c>
      <x:c r="F261" s="37" t="n">
        <x:f>AS261</x:f>
        <x:v>34</x:v>
      </x:c>
      <x:c r="G261" s="21" t="str">
        <x:f>IF(J261="Рассчитано",V261*(1-R261/100)-W261-P261-Q261,"н/д")</x:f>
        <x:v>н/д</x:v>
      </x:c>
      <x:c r="H261" s="13" t="str">
        <x:v>Высокий</x:v>
      </x:c>
      <x:c r="I261" s="13" t="str">
        <x:v>Критический</x:v>
      </x:c>
      <x:c r="J261" s="13" t="str">
        <x:f>IF(L261="","Укажите валюту",IF(NOT(ISNUMBER(K261)),"Укажите объём",IF(K261&lt;=0,"Укажите объём",IF(COUNT(M261:O261)&lt;3,"Нужны цены",IF(COUNT(P261:R261)&lt;3,"Нужны расходы",IF(OR(M261&lt;0,N261&lt;0,O261&lt;0,O261&gt;100,P261&lt;0,Q261&lt;0,R261&lt;0,R261&gt;100),"Проверьте значения","Рассчитано"))))))</x:f>
        <x:v>Нужны цены</x:v>
      </x:c>
      <x:c r="K261" s="36" t="n">
        <x:v>34</x:v>
      </x:c>
      <x:c r="L261" s="19" t="str">
        <x:v>KZT</x:v>
      </x:c>
      <x:c r="M261" s="22"/>
      <x:c r="N261" s="22"/>
      <x:c r="O261" s="28"/>
      <x:c r="P261" s="22"/>
      <x:c r="Q261" s="22"/>
      <x:c r="R261" s="28"/>
      <x:c r="S261" s="22"/>
      <x:c r="T261" s="37" t="n">
        <x:f>MIN(K261,AT261)</x:f>
        <x:v>33.35552644093534</x:v>
      </x:c>
      <x:c r="U261" s="21" t="str">
        <x:f>IF(J261="Рассчитано",N261*(1-O261/100),"н/д")</x:f>
        <x:v>н/д</x:v>
      </x:c>
      <x:c r="V261" s="21" t="str">
        <x:f>IF(J261="Рассчитано",T261*U261,"н/д")</x:f>
        <x:v>н/д</x:v>
      </x:c>
      <x:c r="W261" s="21" t="str">
        <x:f>IF(J261="Рассчитано",T261*M261,"н/д")</x:f>
        <x:v>н/д</x:v>
      </x:c>
      <x:c r="X261" s="21" t="str">
        <x:f>IF(J261="Рассчитано",V261-W261,"н/д")</x:f>
        <x:v>н/д</x:v>
      </x:c>
      <x:c r="Y261" s="27" t="str">
        <x:f>IF(J261="Рассчитано",IF(V261&gt;0,G261/V261,"н/д"),"н/д")</x:f>
        <x:v>н/д</x:v>
      </x:c>
      <x:c r="Z261" s="21" t="str">
        <x:f>IF(J261="Рассчитано",K261*M261,"н/д")</x:f>
        <x:v>н/д</x:v>
      </x:c>
      <x:c r="AA261" s="21" t="str">
        <x:f>IF(J261="Рассчитано",(K261-T261)*M261,"н/д")</x:f>
        <x:v>н/д</x:v>
      </x:c>
      <x:c r="AB261" s="21" t="str">
        <x:f>IF(AND(J261="Рассчитано",ISNUMBER(S261)),K261*(S261-M261),"н/д")</x:f>
        <x:v>н/д</x:v>
      </x:c>
      <x:c r="AC261" s="21" t="str">
        <x:f>IF(AND(J261="Рассчитано",T261&gt;0,R261&lt;100),(W261+P261+Q261)/(T261*(1-R261/100)),"н/д")</x:f>
        <x:v>н/д</x:v>
      </x:c>
      <x:c r="AD261" s="10" t="str">
        <x:f>IF(ISNUMBER(G261),IF(G261&lt;0,"Убыток",IF(G261=0,"Без прибыли","Прибыль &gt; 0")),"Не оценён")</x:f>
        <x:v>Не оценён</x:v>
      </x:c>
      <x:c r="AE261" s="13" t="str">
        <x:f>IF(J261="Рассчитано","Выручка "&amp;TEXT(V261,"0.00")&amp;" - себестоимость "&amp;TEXT(W261,"0.00")&amp;" - комиссия "&amp;TEXT(V261*R261/100,"0.00")&amp;" - доставка "&amp;TEXT(P261,"0.00")&amp;" - прочие "&amp;TEXT(Q261,"0.00")&amp;" = "&amp;TEXT(G261,"0.00")&amp;" "&amp;L261,"Введите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1" s="24" t="n">
        <x:v>33.35552644093534</x:v>
      </x:c>
      <x:c r="AG261" s="37" t="n">
        <x:v>0</x:v>
      </x:c>
      <x:c r="AH261" s="37" t="n">
        <x:v>0</x:v>
      </x:c>
      <x:c r="AI261" s="30" t="n">
        <x:v>46266</x:v>
      </x:c>
      <x:c r="AJ261" s="37"/>
      <x:c r="AK261" s="10" t="str">
        <x:v>минимум</x:v>
      </x:c>
      <x:c r="AL261" s="32" t="n">
        <x:v>0</x:v>
      </x:c>
      <x:c r="AM261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61" s="13" t="str">
        <x:v>Подтвердить наличие, срок и цену закупки</x:v>
      </x:c>
      <x:c r="AO261" s="13" t="str">
        <x:v>Прогноз 30 дней 33.36; остаток 0; поступления в срок 0; нехватка 34; заказ с учётом MOQ 34 шт. Остаток на начало сентября: требуется актуализация.</x:v>
      </x:c>
      <x:c r="AP261" s="13" t="str">
        <x:v>["blank_stock_assumed_zero", "category_missing", "daily_stockout_data_missing", "moq_missing", "new_order_lead_time_unknown", "reservations_unknown", "stale_stock", "stockout_proxy_used"]</x:v>
      </x:c>
      <x:c r="AQ261" s="10" t="str">
        <x:v>IEK:280300048_</x:v>
      </x:c>
      <x:c r="AR261" s="24" t="n">
        <x:v>1</x:v>
      </x:c>
      <x:c r="AS261" s="24" t="n">
        <x:f>MAX(0,ROUNDUP(MAX(0,AF261-AG261-AH261)/AR261-0.000000001,0)*AR261)</x:f>
        <x:v>34</x:v>
      </x:c>
      <x:c r="AT261" s="24" t="n">
        <x:v>33.35552644093534</x:v>
      </x:c>
    </x:row>
    <x:row r="262" ht="64" customHeight="1">
      <x:c r="A262" s="11" t="str">
        <x:v>IEK</x:v>
      </x:c>
      <x:c r="B262" s="33" t="str">
        <x:v>280300056_</x:v>
      </x:c>
      <x:c r="C262" s="33" t="str">
        <x:v>CLP1V-050-100</x:v>
      </x:c>
      <x:c r="D262" s="12" t="str">
        <x:v>Поворот 90º вертикальный внутренний  50х100 IEK</x:v>
      </x:c>
      <x:c r="E262" s="11" t="str">
        <x:v>шт</x:v>
      </x:c>
      <x:c r="F262" s="35" t="n">
        <x:f>IF(AS262&gt;0,MAX(AS262,AJ262),0)</x:f>
        <x:v>2</x:v>
      </x:c>
      <x:c r="G262" s="20" t="str">
        <x:f>IF(J262="Рассчитано",V262*(1-R262/100)-W262-P262-Q262,"н/д")</x:f>
        <x:v>н/д</x:v>
      </x:c>
      <x:c r="H262" s="12" t="str">
        <x:v>Высокий</x:v>
      </x:c>
      <x:c r="I262" s="12" t="str">
        <x:v>Средний</x:v>
      </x:c>
      <x:c r="J262" s="12" t="str">
        <x:f>IF(L262="","Укажите валюту",IF(NOT(ISNUMBER(K262)),"Укажите объём",IF(K262&lt;=0,"Укажите объём",IF(COUNT(M262:O262)&lt;3,"Нужны цены",IF(COUNT(P262:R262)&lt;3,"Нужны расходы",IF(OR(M262&lt;0,N262&lt;0,O262&lt;0,O262&gt;100,P262&lt;0,Q262&lt;0,R262&lt;0,R262&gt;100),"Проверьте значения","Рассчитано"))))))</x:f>
        <x:v>Нужны цены</x:v>
      </x:c>
      <x:c r="K262" s="36" t="n">
        <x:v>2</x:v>
      </x:c>
      <x:c r="L262" s="19" t="str">
        <x:v>KZT</x:v>
      </x:c>
      <x:c r="M262" s="22"/>
      <x:c r="N262" s="22"/>
      <x:c r="O262" s="28"/>
      <x:c r="P262" s="22"/>
      <x:c r="Q262" s="22"/>
      <x:c r="R262" s="28"/>
      <x:c r="S262" s="22"/>
      <x:c r="T262" s="35" t="n">
        <x:f>MIN(K262,AT262)</x:f>
        <x:v>1.5295018149985409</x:v>
      </x:c>
      <x:c r="U262" s="20" t="str">
        <x:f>IF(J262="Рассчитано",N262*(1-O262/100),"н/д")</x:f>
        <x:v>н/д</x:v>
      </x:c>
      <x:c r="V262" s="20" t="str">
        <x:f>IF(J262="Рассчитано",T262*U262,"н/д")</x:f>
        <x:v>н/д</x:v>
      </x:c>
      <x:c r="W262" s="20" t="str">
        <x:f>IF(J262="Рассчитано",T262*M262,"н/д")</x:f>
        <x:v>н/д</x:v>
      </x:c>
      <x:c r="X262" s="20" t="str">
        <x:f>IF(J262="Рассчитано",V262-W262,"н/д")</x:f>
        <x:v>н/д</x:v>
      </x:c>
      <x:c r="Y262" s="26" t="str">
        <x:f>IF(J262="Рассчитано",IF(V262&gt;0,G262/V262,"н/д"),"н/д")</x:f>
        <x:v>н/д</x:v>
      </x:c>
      <x:c r="Z262" s="20" t="str">
        <x:f>IF(J262="Рассчитано",K262*M262,"н/д")</x:f>
        <x:v>н/д</x:v>
      </x:c>
      <x:c r="AA262" s="20" t="str">
        <x:f>IF(J262="Рассчитано",(K262-T262)*M262,"н/д")</x:f>
        <x:v>н/д</x:v>
      </x:c>
      <x:c r="AB262" s="20" t="str">
        <x:f>IF(AND(J262="Рассчитано",ISNUMBER(S262)),K262*(S262-M262),"н/д")</x:f>
        <x:v>н/д</x:v>
      </x:c>
      <x:c r="AC262" s="20" t="str">
        <x:f>IF(AND(J262="Рассчитано",T262&gt;0,R262&lt;100),(W262+P262+Q262)/(T262*(1-R262/100)),"н/д")</x:f>
        <x:v>н/д</x:v>
      </x:c>
      <x:c r="AD262" s="11" t="str">
        <x:f>IF(ISNUMBER(G262),IF(G262&lt;0,"Убыток",IF(G262=0,"Без прибыли","Прибыль &gt; 0")),"Не оценён")</x:f>
        <x:v>Не оценён</x:v>
      </x:c>
      <x:c r="AE262" s="12" t="str">
        <x:f>IF(J262="Рассчитано","Выручка "&amp;TEXT(V262,"0.00")&amp;" - себестоимость "&amp;TEXT(W262,"0.00")&amp;" - комиссия "&amp;TEXT(V262*R262/100,"0.00")&amp;" - доставка "&amp;TEXT(P262,"0.00")&amp;" - прочие "&amp;TEXT(Q262,"0.00")&amp;" = "&amp;TEXT(G262,"0.00")&amp;" "&amp;L262,"Введите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2" s="23" t="n">
        <x:v>3.529501814998541</x:v>
      </x:c>
      <x:c r="AG262" s="35" t="n">
        <x:v>2</x:v>
      </x:c>
      <x:c r="AH262" s="35" t="n">
        <x:v>0</x:v>
      </x:c>
      <x:c r="AI262" s="29" t="n">
        <x:v>46266</x:v>
      </x:c>
      <x:c r="AJ262" s="35" t="n">
        <x:v>1</x:v>
      </x:c>
      <x:c r="AK262" s="11" t="str">
        <x:v>минимум</x:v>
      </x:c>
      <x:c r="AL262" s="31" t="n">
        <x:v>16.999566268823354</x:v>
      </x:c>
      <x:c r="AM262" s="12" t="str">
        <x:v>Остаток на начало сентября; Резервы неизвестны; Stockout оценён по месячным снимкам; Нет ежедневных данных доступности. Запаса примерно на 17.0 дн. без поступлений</x:v>
      </x:c>
      <x:c r="AN262" s="12" t="str">
        <x:v>Подтвердить наличие, срок и цену закупки</x:v>
      </x:c>
      <x:c r="AO262" s="12" t="str">
        <x:v>Прогноз 30 дней 3.53; остаток 2; поступления в срок 0; нехватка 2; заказ с учётом MOQ 2 шт. Остаток на начало сентября: требуется актуализация.</x:v>
      </x:c>
      <x:c r="AP262" s="12" t="str">
        <x:v>["category_missing", "daily_stockout_data_missing", "large_orders_detected", "negative_net_sales_clipped_for_forecast", "new_order_lead_time_unknown", "reservations_unknown", "stale_stock", "stockout_proxy_used"]</x:v>
      </x:c>
      <x:c r="AQ262" s="11" t="str">
        <x:v>IEK:280300056_</x:v>
      </x:c>
      <x:c r="AR262" s="23" t="n">
        <x:v>1</x:v>
      </x:c>
      <x:c r="AS262" s="23" t="n">
        <x:f>MAX(0,ROUNDUP(MAX(0,AF262-AG262-AH262)/AR262-0.000000001,0)*AR262)</x:f>
        <x:v>2</x:v>
      </x:c>
      <x:c r="AT262" s="23" t="n">
        <x:v>1.5295018149985409</x:v>
      </x:c>
    </x:row>
    <x:row r="263" ht="64" customHeight="1">
      <x:c r="A263" s="10" t="str">
        <x:v>IEK</x:v>
      </x:c>
      <x:c r="B263" s="34" t="str">
        <x:v>280300071_</x:v>
      </x:c>
      <x:c r="C263" s="34" t="str">
        <x:v>CLP2P-050-050</x:v>
      </x:c>
      <x:c r="D263" s="13" t="str">
        <x:v>Поворот 90º   50х50 IEK</x:v>
      </x:c>
      <x:c r="E263" s="10" t="str">
        <x:v>шт</x:v>
      </x:c>
      <x:c r="F263" s="37" t="n">
        <x:f>IF(AS263&gt;0,MAX(AS263,AJ263),0)</x:f>
        <x:v>1</x:v>
      </x:c>
      <x:c r="G263" s="21" t="str">
        <x:f>IF(J263="Рассчитано",V263*(1-R263/100)-W263-P263-Q263,"н/д")</x:f>
        <x:v>н/д</x:v>
      </x:c>
      <x:c r="H263" s="13" t="str">
        <x:v>Высокий</x:v>
      </x:c>
      <x:c r="I263" s="13" t="str">
        <x:v>Средний</x:v>
      </x:c>
      <x:c r="J263" s="13" t="str">
        <x:f>IF(L263="","Укажите валюту",IF(NOT(ISNUMBER(K263)),"Укажите объём",IF(K263&lt;=0,"Укажите объём",IF(COUNT(M263:O263)&lt;3,"Нужны цены",IF(COUNT(P263:R263)&lt;3,"Нужны расходы",IF(OR(M263&lt;0,N263&lt;0,O263&lt;0,O263&gt;100,P263&lt;0,Q263&lt;0,R263&lt;0,R263&gt;100),"Проверьте значения","Рассчитано"))))))</x:f>
        <x:v>Нужны цены</x:v>
      </x:c>
      <x:c r="K263" s="36" t="n">
        <x:v>1</x:v>
      </x:c>
      <x:c r="L263" s="19" t="str">
        <x:v>KZT</x:v>
      </x:c>
      <x:c r="M263" s="22"/>
      <x:c r="N263" s="22"/>
      <x:c r="O263" s="28"/>
      <x:c r="P263" s="22"/>
      <x:c r="Q263" s="22"/>
      <x:c r="R263" s="28"/>
      <x:c r="S263" s="22"/>
      <x:c r="T263" s="37" t="n">
        <x:f>MIN(K263,AT263)</x:f>
        <x:v>0.12176100326347905</x:v>
      </x:c>
      <x:c r="U263" s="21" t="str">
        <x:f>IF(J263="Рассчитано",N263*(1-O263/100),"н/д")</x:f>
        <x:v>н/д</x:v>
      </x:c>
      <x:c r="V263" s="21" t="str">
        <x:f>IF(J263="Рассчитано",T263*U263,"н/д")</x:f>
        <x:v>н/д</x:v>
      </x:c>
      <x:c r="W263" s="21" t="str">
        <x:f>IF(J263="Рассчитано",T263*M263,"н/д")</x:f>
        <x:v>н/д</x:v>
      </x:c>
      <x:c r="X263" s="21" t="str">
        <x:f>IF(J263="Рассчитано",V263-W263,"н/д")</x:f>
        <x:v>н/д</x:v>
      </x:c>
      <x:c r="Y263" s="27" t="str">
        <x:f>IF(J263="Рассчитано",IF(V263&gt;0,G263/V263,"н/д"),"н/д")</x:f>
        <x:v>н/д</x:v>
      </x:c>
      <x:c r="Z263" s="21" t="str">
        <x:f>IF(J263="Рассчитано",K263*M263,"н/д")</x:f>
        <x:v>н/д</x:v>
      </x:c>
      <x:c r="AA263" s="21" t="str">
        <x:f>IF(J263="Рассчитано",(K263-T263)*M263,"н/д")</x:f>
        <x:v>н/д</x:v>
      </x:c>
      <x:c r="AB263" s="21" t="str">
        <x:f>IF(AND(J263="Рассчитано",ISNUMBER(S263)),K263*(S263-M263),"н/д")</x:f>
        <x:v>н/д</x:v>
      </x:c>
      <x:c r="AC263" s="21" t="str">
        <x:f>IF(AND(J263="Рассчитано",T263&gt;0,R263&lt;100),(W263+P263+Q263)/(T263*(1-R263/100)),"н/д")</x:f>
        <x:v>н/д</x:v>
      </x:c>
      <x:c r="AD263" s="10" t="str">
        <x:f>IF(ISNUMBER(G263),IF(G263&lt;0,"Убыток",IF(G263=0,"Без прибыли","Прибыль &gt; 0")),"Не оценён")</x:f>
        <x:v>Не оценён</x:v>
      </x:c>
      <x:c r="AE263" s="13" t="str">
        <x:f>IF(J263="Рассчитано","Выручка "&amp;TEXT(V263,"0.00")&amp;" - себестоимость "&amp;TEXT(W263,"0.00")&amp;" - комиссия "&amp;TEXT(V263*R263/100,"0.00")&amp;" - доставка "&amp;TEXT(P263,"0.00")&amp;" - прочие "&amp;TEXT(Q263,"0.00")&amp;" = "&amp;TEXT(G263,"0.00")&amp;" "&amp;L263,"Введите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3" s="24" t="n">
        <x:v>2.121761003263479</x:v>
      </x:c>
      <x:c r="AG263" s="37" t="n">
        <x:v>2</x:v>
      </x:c>
      <x:c r="AH263" s="37" t="n">
        <x:v>0</x:v>
      </x:c>
      <x:c r="AI263" s="30" t="n">
        <x:v>46266</x:v>
      </x:c>
      <x:c r="AJ263" s="37" t="n">
        <x:v>1</x:v>
      </x:c>
      <x:c r="AK263" s="10" t="str">
        <x:v>минимум</x:v>
      </x:c>
      <x:c r="AL263" s="32" t="n">
        <x:v>28.278397004994456</x:v>
      </x:c>
      <x:c r="AM263" s="13" t="str">
        <x:v>Остаток на начало сентября; Резервы неизвестны; Нет ежедневных данных доступности. Запаса примерно на 28.3 дн. без поступлений</x:v>
      </x:c>
      <x:c r="AN263" s="13" t="str">
        <x:v>Подтвердить наличие, срок и цену закупки</x:v>
      </x:c>
      <x:c r="AO263" s="13" t="str">
        <x:v>Прогноз 30 дней 2.12; остаток 2; поступления в срок 0; нехватка 1; заказ с учётом MOQ 1 шт. Остаток на начало сентября: требуется актуализация.</x:v>
      </x:c>
      <x:c r="AP263" s="13" t="str">
        <x:v>["category_missing", "daily_stockout_data_missing", "new_order_lead_time_unknown", "reservations_unknown", "stale_stock"]</x:v>
      </x:c>
      <x:c r="AQ263" s="10" t="str">
        <x:v>IEK:280300071_</x:v>
      </x:c>
      <x:c r="AR263" s="24" t="n">
        <x:v>1</x:v>
      </x:c>
      <x:c r="AS263" s="24" t="n">
        <x:f>MAX(0,ROUNDUP(MAX(0,AF263-AG263-AH263)/AR263-0.000000001,0)*AR263)</x:f>
        <x:v>1</x:v>
      </x:c>
      <x:c r="AT263" s="24" t="n">
        <x:v>0.12176100326347905</x:v>
      </x:c>
    </x:row>
    <x:row r="264" ht="64" customHeight="1">
      <x:c r="A264" s="11" t="str">
        <x:v>IEK</x:v>
      </x:c>
      <x:c r="B264" s="33" t="str">
        <x:v>280300072_</x:v>
      </x:c>
      <x:c r="C264" s="33" t="str">
        <x:v>CLP2P-050-100</x:v>
      </x:c>
      <x:c r="D264" s="12" t="str">
        <x:v>Поворот 90º  50х100 IEK</x:v>
      </x:c>
      <x:c r="E264" s="11" t="str">
        <x:v>шт</x:v>
      </x:c>
      <x:c r="F264" s="35" t="n">
        <x:f>IF(AS264&gt;0,MAX(AS264,AJ264),0)</x:f>
        <x:v>9</x:v>
      </x:c>
      <x:c r="G264" s="20" t="str">
        <x:f>IF(J264="Рассчитано",V264*(1-R264/100)-W264-P264-Q264,"н/д")</x:f>
        <x:v>н/д</x:v>
      </x:c>
      <x:c r="H264" s="12" t="str">
        <x:v>Высокий</x:v>
      </x:c>
      <x:c r="I264" s="12" t="str">
        <x:v>Критический</x:v>
      </x:c>
      <x:c r="J264" s="12" t="str">
        <x:f>IF(L264="","Укажите валюту",IF(NOT(ISNUMBER(K264)),"Укажите объём",IF(K264&lt;=0,"Укажите объём",IF(COUNT(M264:O264)&lt;3,"Нужны цены",IF(COUNT(P264:R264)&lt;3,"Нужны расходы",IF(OR(M264&lt;0,N264&lt;0,O264&lt;0,O264&gt;100,P264&lt;0,Q264&lt;0,R264&lt;0,R264&gt;100),"Проверьте значения","Рассчитано"))))))</x:f>
        <x:v>Нужны цены</x:v>
      </x:c>
      <x:c r="K264" s="36" t="n">
        <x:v>9</x:v>
      </x:c>
      <x:c r="L264" s="19" t="str">
        <x:v>KZT</x:v>
      </x:c>
      <x:c r="M264" s="22"/>
      <x:c r="N264" s="22"/>
      <x:c r="O264" s="28"/>
      <x:c r="P264" s="22"/>
      <x:c r="Q264" s="22"/>
      <x:c r="R264" s="28"/>
      <x:c r="S264" s="22"/>
      <x:c r="T264" s="35" t="n">
        <x:f>MIN(K264,AT264)</x:f>
        <x:v>8.25502819258604</x:v>
      </x:c>
      <x:c r="U264" s="20" t="str">
        <x:f>IF(J264="Рассчитано",N264*(1-O264/100),"н/д")</x:f>
        <x:v>н/д</x:v>
      </x:c>
      <x:c r="V264" s="20" t="str">
        <x:f>IF(J264="Рассчитано",T264*U264,"н/д")</x:f>
        <x:v>н/д</x:v>
      </x:c>
      <x:c r="W264" s="20" t="str">
        <x:f>IF(J264="Рассчитано",T264*M264,"н/д")</x:f>
        <x:v>н/д</x:v>
      </x:c>
      <x:c r="X264" s="20" t="str">
        <x:f>IF(J264="Рассчитано",V264-W264,"н/д")</x:f>
        <x:v>н/д</x:v>
      </x:c>
      <x:c r="Y264" s="26" t="str">
        <x:f>IF(J264="Рассчитано",IF(V264&gt;0,G264/V264,"н/д"),"н/д")</x:f>
        <x:v>н/д</x:v>
      </x:c>
      <x:c r="Z264" s="20" t="str">
        <x:f>IF(J264="Рассчитано",K264*M264,"н/д")</x:f>
        <x:v>н/д</x:v>
      </x:c>
      <x:c r="AA264" s="20" t="str">
        <x:f>IF(J264="Рассчитано",(K264-T264)*M264,"н/д")</x:f>
        <x:v>н/д</x:v>
      </x:c>
      <x:c r="AB264" s="20" t="str">
        <x:f>IF(AND(J264="Рассчитано",ISNUMBER(S264)),K264*(S264-M264),"н/д")</x:f>
        <x:v>н/д</x:v>
      </x:c>
      <x:c r="AC264" s="20" t="str">
        <x:f>IF(AND(J264="Рассчитано",T264&gt;0,R264&lt;100),(W264+P264+Q264)/(T264*(1-R264/100)),"н/д")</x:f>
        <x:v>н/д</x:v>
      </x:c>
      <x:c r="AD264" s="11" t="str">
        <x:f>IF(ISNUMBER(G264),IF(G264&lt;0,"Убыток",IF(G264=0,"Без прибыли","Прибыль &gt; 0")),"Не оценён")</x:f>
        <x:v>Не оценён</x:v>
      </x:c>
      <x:c r="AE264" s="12" t="str">
        <x:f>IF(J264="Рассчитано","Выручка "&amp;TEXT(V264,"0.00")&amp;" - себестоимость "&amp;TEXT(W264,"0.00")&amp;" - комиссия "&amp;TEXT(V264*R264/100,"0.00")&amp;" - доставка "&amp;TEXT(P264,"0.00")&amp;" - прочие "&amp;TEXT(Q264,"0.00")&amp;" = "&amp;TEXT(G264,"0.00")&amp;" "&amp;L264,"Введите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4" s="23" t="n">
        <x:v>8.25502819258604</x:v>
      </x:c>
      <x:c r="AG264" s="35" t="n">
        <x:v>0</x:v>
      </x:c>
      <x:c r="AH264" s="35" t="n">
        <x:v>0</x:v>
      </x:c>
      <x:c r="AI264" s="29" t="n">
        <x:v>46266</x:v>
      </x:c>
      <x:c r="AJ264" s="35" t="n">
        <x:v>1</x:v>
      </x:c>
      <x:c r="AK264" s="11" t="str">
        <x:v>минимум</x:v>
      </x:c>
      <x:c r="AL264" s="31" t="n">
        <x:v>0</x:v>
      </x:c>
      <x:c r="AM264" s="12" t="str">
        <x:v>Остаток на начало сентября; Резервы неизвестны; Нет ежедневных данных доступности. Нет запаса</x:v>
      </x:c>
      <x:c r="AN264" s="12" t="str">
        <x:v>Подтвердить наличие, срок и цену закупки</x:v>
      </x:c>
      <x:c r="AO264" s="12" t="str">
        <x:v>Прогноз 30 дней 8.26; остаток 0; поступления в срок 0; нехватка 9; заказ с учётом MOQ 9 шт. Остаток на начало сентября: требуется актуализация.</x:v>
      </x:c>
      <x:c r="AP264" s="12" t="str">
        <x:v>["blank_stock_assumed_zero", "category_missing", "daily_stockout_data_missing", "new_order_lead_time_unknown", "reservations_unknown", "stale_stock"]</x:v>
      </x:c>
      <x:c r="AQ264" s="11" t="str">
        <x:v>IEK:280300072_</x:v>
      </x:c>
      <x:c r="AR264" s="23" t="n">
        <x:v>1</x:v>
      </x:c>
      <x:c r="AS264" s="23" t="n">
        <x:f>MAX(0,ROUNDUP(MAX(0,AF264-AG264-AH264)/AR264-0.000000001,0)*AR264)</x:f>
        <x:v>9</x:v>
      </x:c>
      <x:c r="AT264" s="23" t="n">
        <x:v>8.25502819258604</x:v>
      </x:c>
    </x:row>
    <x:row r="265" ht="64" customHeight="1">
      <x:c r="A265" s="10" t="str">
        <x:v>IEK</x:v>
      </x:c>
      <x:c r="B265" s="34" t="str">
        <x:v>280300073_</x:v>
      </x:c>
      <x:c r="C265" s="34" t="str">
        <x:v>CLP2P-050-200</x:v>
      </x:c>
      <x:c r="D265" s="13" t="str">
        <x:v>Поворот 90º  50х200 IEK</x:v>
      </x:c>
      <x:c r="E265" s="10" t="str">
        <x:v>шт</x:v>
      </x:c>
      <x:c r="F265" s="37" t="n">
        <x:f>IF(AS265&gt;0,MAX(AS265,AJ265),0)</x:f>
        <x:v>2</x:v>
      </x:c>
      <x:c r="G265" s="21" t="str">
        <x:f>IF(J265="Рассчитано",V265*(1-R265/100)-W265-P265-Q265,"н/д")</x:f>
        <x:v>н/д</x:v>
      </x:c>
      <x:c r="H265" s="13" t="str">
        <x:v>Высокий</x:v>
      </x:c>
      <x:c r="I265" s="13" t="str">
        <x:v>Средний</x:v>
      </x:c>
      <x:c r="J265" s="13" t="str">
        <x:f>IF(L265="","Укажите валюту",IF(NOT(ISNUMBER(K265)),"Укажите объём",IF(K265&lt;=0,"Укажите объём",IF(COUNT(M265:O265)&lt;3,"Нужны цены",IF(COUNT(P265:R265)&lt;3,"Нужны расходы",IF(OR(M265&lt;0,N265&lt;0,O265&lt;0,O265&gt;100,P265&lt;0,Q265&lt;0,R265&lt;0,R265&gt;100),"Проверьте значения","Рассчитано"))))))</x:f>
        <x:v>Нужны цены</x:v>
      </x:c>
      <x:c r="K265" s="36" t="n">
        <x:v>2</x:v>
      </x:c>
      <x:c r="L265" s="19" t="str">
        <x:v>KZT</x:v>
      </x:c>
      <x:c r="M265" s="22"/>
      <x:c r="N265" s="22"/>
      <x:c r="O265" s="28"/>
      <x:c r="P265" s="22"/>
      <x:c r="Q265" s="22"/>
      <x:c r="R265" s="28"/>
      <x:c r="S265" s="22"/>
      <x:c r="T265" s="37" t="n">
        <x:f>MIN(K265,AT265)</x:f>
        <x:v>1.0643706625437588</x:v>
      </x:c>
      <x:c r="U265" s="21" t="str">
        <x:f>IF(J265="Рассчитано",N265*(1-O265/100),"н/д")</x:f>
        <x:v>н/д</x:v>
      </x:c>
      <x:c r="V265" s="21" t="str">
        <x:f>IF(J265="Рассчитано",T265*U265,"н/д")</x:f>
        <x:v>н/д</x:v>
      </x:c>
      <x:c r="W265" s="21" t="str">
        <x:f>IF(J265="Рассчитано",T265*M265,"н/д")</x:f>
        <x:v>н/д</x:v>
      </x:c>
      <x:c r="X265" s="21" t="str">
        <x:f>IF(J265="Рассчитано",V265-W265,"н/д")</x:f>
        <x:v>н/д</x:v>
      </x:c>
      <x:c r="Y265" s="27" t="str">
        <x:f>IF(J265="Рассчитано",IF(V265&gt;0,G265/V265,"н/д"),"н/д")</x:f>
        <x:v>н/д</x:v>
      </x:c>
      <x:c r="Z265" s="21" t="str">
        <x:f>IF(J265="Рассчитано",K265*M265,"н/д")</x:f>
        <x:v>н/д</x:v>
      </x:c>
      <x:c r="AA265" s="21" t="str">
        <x:f>IF(J265="Рассчитано",(K265-T265)*M265,"н/д")</x:f>
        <x:v>н/д</x:v>
      </x:c>
      <x:c r="AB265" s="21" t="str">
        <x:f>IF(AND(J265="Рассчитано",ISNUMBER(S265)),K265*(S265-M265),"н/д")</x:f>
        <x:v>н/д</x:v>
      </x:c>
      <x:c r="AC265" s="21" t="str">
        <x:f>IF(AND(J265="Рассчитано",T265&gt;0,R265&lt;100),(W265+P265+Q265)/(T265*(1-R265/100)),"н/д")</x:f>
        <x:v>н/д</x:v>
      </x:c>
      <x:c r="AD265" s="10" t="str">
        <x:f>IF(ISNUMBER(G265),IF(G265&lt;0,"Убыток",IF(G265=0,"Без прибыли","Прибыль &gt; 0")),"Не оценён")</x:f>
        <x:v>Не оценён</x:v>
      </x:c>
      <x:c r="AE265" s="13" t="str">
        <x:f>IF(J265="Рассчитано","Выручка "&amp;TEXT(V265,"0.00")&amp;" - себестоимость "&amp;TEXT(W265,"0.00")&amp;" - комиссия "&amp;TEXT(V265*R265/100,"0.00")&amp;" - доставка "&amp;TEXT(P265,"0.00")&amp;" - прочие "&amp;TEXT(Q265,"0.00")&amp;" = "&amp;TEXT(G265,"0.00")&amp;" "&amp;L265,"Введите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5" s="24" t="n">
        <x:v>13.064370662543759</x:v>
      </x:c>
      <x:c r="AG265" s="37" t="n">
        <x:v>12</x:v>
      </x:c>
      <x:c r="AH265" s="37" t="n">
        <x:v>0</x:v>
      </x:c>
      <x:c r="AI265" s="30" t="n">
        <x:v>46266</x:v>
      </x:c>
      <x:c r="AJ265" s="37" t="n">
        <x:v>1</x:v>
      </x:c>
      <x:c r="AK265" s="10" t="str">
        <x:v>минимум</x:v>
      </x:c>
      <x:c r="AL265" s="32" t="n">
        <x:v>27.555862375532488</x:v>
      </x:c>
      <x:c r="AM265" s="13" t="str">
        <x:v>Остаток на начало сентября; Резервы неизвестны; Нет ежедневных данных доступности. Запаса примерно на 27.6 дн. без поступлений</x:v>
      </x:c>
      <x:c r="AN265" s="13" t="str">
        <x:v>Подтвердить наличие, срок и цену закупки</x:v>
      </x:c>
      <x:c r="AO265" s="13" t="str">
        <x:v>Прогноз 30 дней 13.06; остаток 12; поступления в срок 0; нехватка 2; заказ с учётом MOQ 2 шт. Остаток на начало сентября: требуется актуализация.</x:v>
      </x:c>
      <x:c r="AP265" s="13" t="str">
        <x:v>["category_missing", "daily_stockout_data_missing", "large_orders_detected", "new_order_lead_time_unknown", "reservations_unknown", "stale_stock"]</x:v>
      </x:c>
      <x:c r="AQ265" s="10" t="str">
        <x:v>IEK:280300073_</x:v>
      </x:c>
      <x:c r="AR265" s="24" t="n">
        <x:v>1</x:v>
      </x:c>
      <x:c r="AS265" s="24" t="n">
        <x:f>MAX(0,ROUNDUP(MAX(0,AF265-AG265-AH265)/AR265-0.000000001,0)*AR265)</x:f>
        <x:v>2</x:v>
      </x:c>
      <x:c r="AT265" s="24" t="n">
        <x:v>1.0643706625437588</x:v>
      </x:c>
    </x:row>
    <x:row r="266" ht="64" customHeight="1">
      <x:c r="A266" s="11" t="str">
        <x:v>IEK</x:v>
      </x:c>
      <x:c r="B266" s="33" t="str">
        <x:v>280300078_</x:v>
      </x:c>
      <x:c r="C266" s="33" t="str">
        <x:v>CLP2P-100-200</x:v>
      </x:c>
      <x:c r="D266" s="12" t="str">
        <x:v>Поворот 90º 100х200 IEK!!!</x:v>
      </x:c>
      <x:c r="E266" s="11" t="str">
        <x:v>шт</x:v>
      </x:c>
      <x:c r="F266" s="35" t="n">
        <x:f>AS266</x:f>
        <x:v>1</x:v>
      </x:c>
      <x:c r="G266" s="20" t="str">
        <x:f>IF(J266="Рассчитано",V266*(1-R266/100)-W266-P266-Q266,"н/д")</x:f>
        <x:v>н/д</x:v>
      </x:c>
      <x:c r="H266" s="12" t="str">
        <x:v>Высокий</x:v>
      </x:c>
      <x:c r="I266" s="12" t="str">
        <x:v>Критический</x:v>
      </x:c>
      <x:c r="J266" s="12" t="str">
        <x:f>IF(L266="","Укажите валюту",IF(NOT(ISNUMBER(K266)),"Укажите объём",IF(K266&lt;=0,"Укажите объём",IF(COUNT(M266:O266)&lt;3,"Нужны цены",IF(COUNT(P266:R266)&lt;3,"Нужны расходы",IF(OR(M266&lt;0,N266&lt;0,O266&lt;0,O266&gt;100,P266&lt;0,Q266&lt;0,R266&lt;0,R266&gt;100),"Проверьте значения","Рассчитано"))))))</x:f>
        <x:v>Нужны цены</x:v>
      </x:c>
      <x:c r="K266" s="36" t="n">
        <x:v>1</x:v>
      </x:c>
      <x:c r="L266" s="19" t="str">
        <x:v>KZT</x:v>
      </x:c>
      <x:c r="M266" s="22"/>
      <x:c r="N266" s="22"/>
      <x:c r="O266" s="28"/>
      <x:c r="P266" s="22"/>
      <x:c r="Q266" s="22"/>
      <x:c r="R266" s="28"/>
      <x:c r="S266" s="22"/>
      <x:c r="T266" s="35" t="n">
        <x:f>MIN(K266,AT266)</x:f>
        <x:v>0.09265146327398584</x:v>
      </x:c>
      <x:c r="U266" s="20" t="str">
        <x:f>IF(J266="Рассчитано",N266*(1-O266/100),"н/д")</x:f>
        <x:v>н/д</x:v>
      </x:c>
      <x:c r="V266" s="20" t="str">
        <x:f>IF(J266="Рассчитано",T266*U266,"н/д")</x:f>
        <x:v>н/д</x:v>
      </x:c>
      <x:c r="W266" s="20" t="str">
        <x:f>IF(J266="Рассчитано",T266*M266,"н/д")</x:f>
        <x:v>н/д</x:v>
      </x:c>
      <x:c r="X266" s="20" t="str">
        <x:f>IF(J266="Рассчитано",V266-W266,"н/д")</x:f>
        <x:v>н/д</x:v>
      </x:c>
      <x:c r="Y266" s="26" t="str">
        <x:f>IF(J266="Рассчитано",IF(V266&gt;0,G266/V266,"н/д"),"н/д")</x:f>
        <x:v>н/д</x:v>
      </x:c>
      <x:c r="Z266" s="20" t="str">
        <x:f>IF(J266="Рассчитано",K266*M266,"н/д")</x:f>
        <x:v>н/д</x:v>
      </x:c>
      <x:c r="AA266" s="20" t="str">
        <x:f>IF(J266="Рассчитано",(K266-T266)*M266,"н/д")</x:f>
        <x:v>н/д</x:v>
      </x:c>
      <x:c r="AB266" s="20" t="str">
        <x:f>IF(AND(J266="Рассчитано",ISNUMBER(S266)),K266*(S266-M266),"н/д")</x:f>
        <x:v>н/д</x:v>
      </x:c>
      <x:c r="AC266" s="20" t="str">
        <x:f>IF(AND(J266="Рассчитано",T266&gt;0,R266&lt;100),(W266+P266+Q266)/(T266*(1-R266/100)),"н/д")</x:f>
        <x:v>н/д</x:v>
      </x:c>
      <x:c r="AD266" s="11" t="str">
        <x:f>IF(ISNUMBER(G266),IF(G266&lt;0,"Убыток",IF(G266=0,"Без прибыли","Прибыль &gt; 0")),"Не оценён")</x:f>
        <x:v>Не оценён</x:v>
      </x:c>
      <x:c r="AE266" s="12" t="str">
        <x:f>IF(J266="Рассчитано","Выручка "&amp;TEXT(V266,"0.00")&amp;" - себестоимость "&amp;TEXT(W266,"0.00")&amp;" - комиссия "&amp;TEXT(V266*R266/100,"0.00")&amp;" - доставка "&amp;TEXT(P266,"0.00")&amp;" - прочие "&amp;TEXT(Q266,"0.00")&amp;" = "&amp;TEXT(G266,"0.00")&amp;" "&amp;L266,"Введите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6" s="23" t="n">
        <x:v>0.09265146327398584</x:v>
      </x:c>
      <x:c r="AG266" s="35" t="n">
        <x:v>0</x:v>
      </x:c>
      <x:c r="AH266" s="35" t="n">
        <x:v>0</x:v>
      </x:c>
      <x:c r="AI266" s="29" t="n">
        <x:v>46266</x:v>
      </x:c>
      <x:c r="AJ266" s="35"/>
      <x:c r="AK266" s="11" t="str">
        <x:v>неизвестно</x:v>
      </x:c>
      <x:c r="AL266" s="31" t="n">
        <x:v>0</x:v>
      </x:c>
      <x:c r="AM266" s="12" t="str">
        <x:v>Остаток на начало сентября; Резервы неизвестны; Нет ежедневных данных доступности. Нет запаса</x:v>
      </x:c>
      <x:c r="AN266" s="12" t="str">
        <x:v>Подтвердить наличие, срок и цену закупки</x:v>
      </x:c>
      <x:c r="AO266" s="12" t="str">
        <x:v>Прогноз 30 дней 0.09; остаток 0; поступления в срок 0; нехватка 1; заказ с учётом MOQ 1 шт. Остаток на начало сентября: требуется актуализация.</x:v>
      </x:c>
      <x:c r="AP266" s="12" t="str">
        <x:v>["blank_stock_assumed_zero", "category_missing", "daily_stockout_data_missing", "moq_missing", "new_order_lead_time_unknown", "reservations_unknown", "stale_stock"]</x:v>
      </x:c>
      <x:c r="AQ266" s="11" t="str">
        <x:v>IEK:280300078_</x:v>
      </x:c>
      <x:c r="AR266" s="23" t="n">
        <x:v>1</x:v>
      </x:c>
      <x:c r="AS266" s="23" t="n">
        <x:f>MAX(0,ROUNDUP(MAX(0,AF266-AG266-AH266)/AR266-0.000000001,0)*AR266)</x:f>
        <x:v>1</x:v>
      </x:c>
      <x:c r="AT266" s="23" t="n">
        <x:v>0.09265146327398584</x:v>
      </x:c>
    </x:row>
    <x:row r="267" ht="64" customHeight="1">
      <x:c r="A267" s="10" t="str">
        <x:v>IEK</x:v>
      </x:c>
      <x:c r="B267" s="34" t="str">
        <x:v>280300181_</x:v>
      </x:c>
      <x:c r="C267" s="34" t="str">
        <x:v>UKO10-150-110-070-K41-44</x:v>
      </x:c>
      <x:c r="D267" s="13" t="str">
        <x:v>Распределительная  коробка о/у  с сальниками 150х110х70 IP44 КМ41241 IEK (30)</x:v>
      </x:c>
      <x:c r="E267" s="10" t="str">
        <x:v>шт</x:v>
      </x:c>
      <x:c r="F267" s="37" t="n">
        <x:f>AS267</x:f>
        <x:v>11</x:v>
      </x:c>
      <x:c r="G267" s="21" t="str">
        <x:f>IF(J267="Рассчитано",V267*(1-R267/100)-W267-P267-Q267,"н/д")</x:f>
        <x:v>н/д</x:v>
      </x:c>
      <x:c r="H267" s="13" t="str">
        <x:v>Высокий</x:v>
      </x:c>
      <x:c r="I267" s="13" t="str">
        <x:v>Средний</x:v>
      </x:c>
      <x:c r="J267" s="13" t="str">
        <x:f>IF(L267="","Укажите валюту",IF(NOT(ISNUMBER(K267)),"Укажите объём",IF(K267&lt;=0,"Укажите объём",IF(COUNT(M267:O267)&lt;3,"Нужны цены",IF(COUNT(P267:R267)&lt;3,"Нужны расходы",IF(OR(M267&lt;0,N267&lt;0,O267&lt;0,O267&gt;100,P267&lt;0,Q267&lt;0,R267&lt;0,R267&gt;100),"Проверьте значения","Рассчитано"))))))</x:f>
        <x:v>Нужны цены</x:v>
      </x:c>
      <x:c r="K267" s="36" t="n">
        <x:v>11</x:v>
      </x:c>
      <x:c r="L267" s="19" t="str">
        <x:v>KZT</x:v>
      </x:c>
      <x:c r="M267" s="22"/>
      <x:c r="N267" s="22"/>
      <x:c r="O267" s="28"/>
      <x:c r="P267" s="22"/>
      <x:c r="Q267" s="22"/>
      <x:c r="R267" s="28"/>
      <x:c r="S267" s="22"/>
      <x:c r="T267" s="37" t="n">
        <x:f>MIN(K267,AT267)</x:f>
        <x:v>10.099870936093943</x:v>
      </x:c>
      <x:c r="U267" s="21" t="str">
        <x:f>IF(J267="Рассчитано",N267*(1-O267/100),"н/д")</x:f>
        <x:v>н/д</x:v>
      </x:c>
      <x:c r="V267" s="21" t="str">
        <x:f>IF(J267="Рассчитано",T267*U267,"н/д")</x:f>
        <x:v>н/д</x:v>
      </x:c>
      <x:c r="W267" s="21" t="str">
        <x:f>IF(J267="Рассчитано",T267*M267,"н/д")</x:f>
        <x:v>н/д</x:v>
      </x:c>
      <x:c r="X267" s="21" t="str">
        <x:f>IF(J267="Рассчитано",V267-W267,"н/д")</x:f>
        <x:v>н/д</x:v>
      </x:c>
      <x:c r="Y267" s="27" t="str">
        <x:f>IF(J267="Рассчитано",IF(V267&gt;0,G267/V267,"н/д"),"н/д")</x:f>
        <x:v>н/д</x:v>
      </x:c>
      <x:c r="Z267" s="21" t="str">
        <x:f>IF(J267="Рассчитано",K267*M267,"н/д")</x:f>
        <x:v>н/д</x:v>
      </x:c>
      <x:c r="AA267" s="21" t="str">
        <x:f>IF(J267="Рассчитано",(K267-T267)*M267,"н/д")</x:f>
        <x:v>н/д</x:v>
      </x:c>
      <x:c r="AB267" s="21" t="str">
        <x:f>IF(AND(J267="Рассчитано",ISNUMBER(S267)),K267*(S267-M267),"н/д")</x:f>
        <x:v>н/д</x:v>
      </x:c>
      <x:c r="AC267" s="21" t="str">
        <x:f>IF(AND(J267="Рассчитано",T267&gt;0,R267&lt;100),(W267+P267+Q267)/(T267*(1-R267/100)),"н/д")</x:f>
        <x:v>н/д</x:v>
      </x:c>
      <x:c r="AD267" s="10" t="str">
        <x:f>IF(ISNUMBER(G267),IF(G267&lt;0,"Убыток",IF(G267=0,"Без прибыли","Прибыль &gt; 0")),"Не оценён")</x:f>
        <x:v>Не оценён</x:v>
      </x:c>
      <x:c r="AE267" s="13" t="str">
        <x:f>IF(J267="Рассчитано","Выручка "&amp;TEXT(V267,"0.00")&amp;" - себестоимость "&amp;TEXT(W267,"0.00")&amp;" - комиссия "&amp;TEXT(V267*R267/100,"0.00")&amp;" - доставка "&amp;TEXT(P267,"0.00")&amp;" - прочие "&amp;TEXT(Q267,"0.00")&amp;" = "&amp;TEXT(G267,"0.00")&amp;" "&amp;L267,"Введите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7" s="24" t="n">
        <x:v>40.09987093609394</x:v>
      </x:c>
      <x:c r="AG267" s="37" t="n">
        <x:v>30</x:v>
      </x:c>
      <x:c r="AH267" s="37" t="n">
        <x:v>0</x:v>
      </x:c>
      <x:c r="AI267" s="30" t="n">
        <x:v>46266</x:v>
      </x:c>
      <x:c r="AJ267" s="37"/>
      <x:c r="AK267" s="10" t="str">
        <x:v>неизвестно</x:v>
      </x:c>
      <x:c r="AL267" s="32" t="n">
        <x:v>22.443962511358333</x:v>
      </x:c>
      <x:c r="AM267" s="13" t="str">
        <x:v>Остаток на начало сентября; Резервы неизвестны; Нет ежедневных данных доступности. Запаса примерно на 22.4 дн. без поступлений</x:v>
      </x:c>
      <x:c r="AN267" s="13" t="str">
        <x:v>Подтвердить наличие, срок и цену закупки</x:v>
      </x:c>
      <x:c r="AO267" s="13" t="str">
        <x:v>Прогноз 30 дней 40.10; остаток 30; поступления в срок 0; нехватка 11; заказ с учётом MOQ 11 шт. Остаток на начало сентября: требуется актуализация.</x:v>
      </x:c>
      <x:c r="AP267" s="13" t="str">
        <x:v>["category_missing", "daily_stockout_data_missing", "moq_missing", "new_order_lead_time_unknown", "reservations_unknown", "stale_stock"]</x:v>
      </x:c>
      <x:c r="AQ267" s="10" t="str">
        <x:v>IEK:280300181_</x:v>
      </x:c>
      <x:c r="AR267" s="24" t="n">
        <x:v>1</x:v>
      </x:c>
      <x:c r="AS267" s="24" t="n">
        <x:f>MAX(0,ROUNDUP(MAX(0,AF267-AG267-AH267)/AR267-0.000000001,0)*AR267)</x:f>
        <x:v>11</x:v>
      </x:c>
      <x:c r="AT267" s="24" t="n">
        <x:v>10.099870936093943</x:v>
      </x:c>
    </x:row>
    <x:row r="268" ht="64" customHeight="1">
      <x:c r="A268" s="11" t="str">
        <x:v>IEK</x:v>
      </x:c>
      <x:c r="B268" s="33" t="str">
        <x:v>280300232_</x:v>
      </x:c>
      <x:c r="C268" s="33" t="str">
        <x:v>EVS10-K03-10-54-DC</x:v>
      </x:c>
      <x:c r="D268" s="12" t="str">
        <x:v>I30 Выкл 1кл о/у серый IP54 ФОРС IEK ВС20-1-0-ФСр (10/100)</x:v>
      </x:c>
      <x:c r="E268" s="11" t="str">
        <x:v>шт</x:v>
      </x:c>
      <x:c r="F268" s="35" t="n">
        <x:f>AS268</x:f>
        <x:v>2</x:v>
      </x:c>
      <x:c r="G268" s="20" t="str">
        <x:f>IF(J268="Рассчитано",V268*(1-R268/100)-W268-P268-Q268,"н/д")</x:f>
        <x:v>н/д</x:v>
      </x:c>
      <x:c r="H268" s="12" t="str">
        <x:v>Высокий</x:v>
      </x:c>
      <x:c r="I268" s="12" t="str">
        <x:v>Критический</x:v>
      </x:c>
      <x:c r="J268" s="12" t="str">
        <x:f>IF(L268="","Укажите валюту",IF(NOT(ISNUMBER(K268)),"Укажите объём",IF(K268&lt;=0,"Укажите объём",IF(COUNT(M268:O268)&lt;3,"Нужны цены",IF(COUNT(P268:R268)&lt;3,"Нужны расходы",IF(OR(M268&lt;0,N268&lt;0,O268&lt;0,O268&gt;100,P268&lt;0,Q268&lt;0,R268&lt;0,R268&gt;100),"Проверьте значения","Рассчитано"))))))</x:f>
        <x:v>Нужны цены</x:v>
      </x:c>
      <x:c r="K268" s="36" t="n">
        <x:v>2</x:v>
      </x:c>
      <x:c r="L268" s="19" t="str">
        <x:v>KZT</x:v>
      </x:c>
      <x:c r="M268" s="22"/>
      <x:c r="N268" s="22"/>
      <x:c r="O268" s="28"/>
      <x:c r="P268" s="22"/>
      <x:c r="Q268" s="22"/>
      <x:c r="R268" s="28"/>
      <x:c r="S268" s="22"/>
      <x:c r="T268" s="35" t="n">
        <x:f>MIN(K268,AT268)</x:f>
        <x:v>1.8246960434322328</x:v>
      </x:c>
      <x:c r="U268" s="20" t="str">
        <x:f>IF(J268="Рассчитано",N268*(1-O268/100),"н/д")</x:f>
        <x:v>н/д</x:v>
      </x:c>
      <x:c r="V268" s="20" t="str">
        <x:f>IF(J268="Рассчитано",T268*U268,"н/д")</x:f>
        <x:v>н/д</x:v>
      </x:c>
      <x:c r="W268" s="20" t="str">
        <x:f>IF(J268="Рассчитано",T268*M268,"н/д")</x:f>
        <x:v>н/д</x:v>
      </x:c>
      <x:c r="X268" s="20" t="str">
        <x:f>IF(J268="Рассчитано",V268-W268,"н/д")</x:f>
        <x:v>н/д</x:v>
      </x:c>
      <x:c r="Y268" s="26" t="str">
        <x:f>IF(J268="Рассчитано",IF(V268&gt;0,G268/V268,"н/д"),"н/д")</x:f>
        <x:v>н/д</x:v>
      </x:c>
      <x:c r="Z268" s="20" t="str">
        <x:f>IF(J268="Рассчитано",K268*M268,"н/д")</x:f>
        <x:v>н/д</x:v>
      </x:c>
      <x:c r="AA268" s="20" t="str">
        <x:f>IF(J268="Рассчитано",(K268-T268)*M268,"н/д")</x:f>
        <x:v>н/д</x:v>
      </x:c>
      <x:c r="AB268" s="20" t="str">
        <x:f>IF(AND(J268="Рассчитано",ISNUMBER(S268)),K268*(S268-M268),"н/д")</x:f>
        <x:v>н/д</x:v>
      </x:c>
      <x:c r="AC268" s="20" t="str">
        <x:f>IF(AND(J268="Рассчитано",T268&gt;0,R268&lt;100),(W268+P268+Q268)/(T268*(1-R268/100)),"н/д")</x:f>
        <x:v>н/д</x:v>
      </x:c>
      <x:c r="AD268" s="11" t="str">
        <x:f>IF(ISNUMBER(G268),IF(G268&lt;0,"Убыток",IF(G268=0,"Без прибыли","Прибыль &gt; 0")),"Не оценён")</x:f>
        <x:v>Не оценён</x:v>
      </x:c>
      <x:c r="AE268" s="12" t="str">
        <x:f>IF(J268="Рассчитано","Выручка "&amp;TEXT(V268,"0.00")&amp;" - себестоимость "&amp;TEXT(W268,"0.00")&amp;" - комиссия "&amp;TEXT(V268*R268/100,"0.00")&amp;" - доставка "&amp;TEXT(P268,"0.00")&amp;" - прочие "&amp;TEXT(Q268,"0.00")&amp;" = "&amp;TEXT(G268,"0.00")&amp;" "&amp;L268,"Введите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8" s="23" t="n">
        <x:v>1.8246960434322328</x:v>
      </x:c>
      <x:c r="AG268" s="35" t="n">
        <x:v>0</x:v>
      </x:c>
      <x:c r="AH268" s="35" t="n">
        <x:v>0</x:v>
      </x:c>
      <x:c r="AI268" s="29" t="n">
        <x:v>46266</x:v>
      </x:c>
      <x:c r="AJ268" s="35"/>
      <x:c r="AK268" s="11" t="str">
        <x:v>неизвестно</x:v>
      </x:c>
      <x:c r="AL268" s="31" t="n">
        <x:v>0</x:v>
      </x:c>
      <x:c r="AM268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68" s="12" t="str">
        <x:v>Подтвердить наличие, срок и цену закупки</x:v>
      </x:c>
      <x:c r="AO268" s="12" t="str">
        <x:v>Прогноз 30 дней 1.82; остаток 0; поступления в срок 0; нехватка 2; заказ с учётом MOQ 2 шт. Остаток на начало сентября: требуется актуализация.</x:v>
      </x:c>
      <x:c r="AP268" s="12" t="str">
        <x:v>["blank_stock_assumed_zero", "category_missing", "daily_stockout_data_missing", "moq_missing", "negative_net_sales_clipped_for_forecast", "new_order_lead_time_unknown", "reservations_unknown", "stale_stock", "stockout_proxy_used"]</x:v>
      </x:c>
      <x:c r="AQ268" s="11" t="str">
        <x:v>IEK:280300232_</x:v>
      </x:c>
      <x:c r="AR268" s="23" t="n">
        <x:v>1</x:v>
      </x:c>
      <x:c r="AS268" s="23" t="n">
        <x:f>MAX(0,ROUNDUP(MAX(0,AF268-AG268-AH268)/AR268-0.000000001,0)*AR268)</x:f>
        <x:v>2</x:v>
      </x:c>
      <x:c r="AT268" s="23" t="n">
        <x:v>1.8246960434322328</x:v>
      </x:c>
    </x:row>
    <x:row r="269" ht="64" customHeight="1">
      <x:c r="A269" s="10" t="str">
        <x:v>IEK</x:v>
      </x:c>
      <x:c r="B269" s="34" t="str">
        <x:v>280300235_</x:v>
      </x:c>
      <x:c r="C269" s="34" t="str">
        <x:v>EVS20-K03-10-54-DC</x:v>
      </x:c>
      <x:c r="D269" s="13" t="str">
        <x:v>I31 Выкл 2кл о/у серый IP54 ФОРС IEK ВС20-2-0-ФСр (10/100)</x:v>
      </x:c>
      <x:c r="E269" s="10" t="str">
        <x:v>шт</x:v>
      </x:c>
      <x:c r="F269" s="37" t="n">
        <x:f>AS269</x:f>
        <x:v>4</x:v>
      </x:c>
      <x:c r="G269" s="21" t="str">
        <x:f>IF(J269="Рассчитано",V269*(1-R269/100)-W269-P269-Q269,"н/д")</x:f>
        <x:v>н/д</x:v>
      </x:c>
      <x:c r="H269" s="13" t="str">
        <x:v>Высокий</x:v>
      </x:c>
      <x:c r="I269" s="13" t="str">
        <x:v>Критический</x:v>
      </x:c>
      <x:c r="J269" s="13" t="str">
        <x:f>IF(L269="","Укажите валюту",IF(NOT(ISNUMBER(K269)),"Укажите объём",IF(K269&lt;=0,"Укажите объём",IF(COUNT(M269:O269)&lt;3,"Нужны цены",IF(COUNT(P269:R269)&lt;3,"Нужны расходы",IF(OR(M269&lt;0,N269&lt;0,O269&lt;0,O269&gt;100,P269&lt;0,Q269&lt;0,R269&lt;0,R269&gt;100),"Проверьте значения","Рассчитано"))))))</x:f>
        <x:v>Нужны цены</x:v>
      </x:c>
      <x:c r="K269" s="36" t="n">
        <x:v>4</x:v>
      </x:c>
      <x:c r="L269" s="19" t="str">
        <x:v>KZT</x:v>
      </x:c>
      <x:c r="M269" s="22"/>
      <x:c r="N269" s="22"/>
      <x:c r="O269" s="28"/>
      <x:c r="P269" s="22"/>
      <x:c r="Q269" s="22"/>
      <x:c r="R269" s="28"/>
      <x:c r="S269" s="22"/>
      <x:c r="T269" s="37" t="n">
        <x:f>MIN(K269,AT269)</x:f>
        <x:v>3.540933231147789</x:v>
      </x:c>
      <x:c r="U269" s="21" t="str">
        <x:f>IF(J269="Рассчитано",N269*(1-O269/100),"н/д")</x:f>
        <x:v>н/д</x:v>
      </x:c>
      <x:c r="V269" s="21" t="str">
        <x:f>IF(J269="Рассчитано",T269*U269,"н/д")</x:f>
        <x:v>н/д</x:v>
      </x:c>
      <x:c r="W269" s="21" t="str">
        <x:f>IF(J269="Рассчитано",T269*M269,"н/д")</x:f>
        <x:v>н/д</x:v>
      </x:c>
      <x:c r="X269" s="21" t="str">
        <x:f>IF(J269="Рассчитано",V269-W269,"н/д")</x:f>
        <x:v>н/д</x:v>
      </x:c>
      <x:c r="Y269" s="27" t="str">
        <x:f>IF(J269="Рассчитано",IF(V269&gt;0,G269/V269,"н/д"),"н/д")</x:f>
        <x:v>н/д</x:v>
      </x:c>
      <x:c r="Z269" s="21" t="str">
        <x:f>IF(J269="Рассчитано",K269*M269,"н/д")</x:f>
        <x:v>н/д</x:v>
      </x:c>
      <x:c r="AA269" s="21" t="str">
        <x:f>IF(J269="Рассчитано",(K269-T269)*M269,"н/д")</x:f>
        <x:v>н/д</x:v>
      </x:c>
      <x:c r="AB269" s="21" t="str">
        <x:f>IF(AND(J269="Рассчитано",ISNUMBER(S269)),K269*(S269-M269),"н/д")</x:f>
        <x:v>н/д</x:v>
      </x:c>
      <x:c r="AC269" s="21" t="str">
        <x:f>IF(AND(J269="Рассчитано",T269&gt;0,R269&lt;100),(W269+P269+Q269)/(T269*(1-R269/100)),"н/д")</x:f>
        <x:v>н/д</x:v>
      </x:c>
      <x:c r="AD269" s="10" t="str">
        <x:f>IF(ISNUMBER(G269),IF(G269&lt;0,"Убыток",IF(G269=0,"Без прибыли","Прибыль &gt; 0")),"Не оценён")</x:f>
        <x:v>Не оценён</x:v>
      </x:c>
      <x:c r="AE269" s="13" t="str">
        <x:f>IF(J269="Рассчитано","Выручка "&amp;TEXT(V269,"0.00")&amp;" - себестоимость "&amp;TEXT(W269,"0.00")&amp;" - комиссия "&amp;TEXT(V269*R269/100,"0.00")&amp;" - доставка "&amp;TEXT(P269,"0.00")&amp;" - прочие "&amp;TEXT(Q269,"0.00")&amp;" = "&amp;TEXT(G269,"0.00")&amp;" "&amp;L269,"Введите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69" s="24" t="n">
        <x:v>3.540933231147789</x:v>
      </x:c>
      <x:c r="AG269" s="37" t="n">
        <x:v>0</x:v>
      </x:c>
      <x:c r="AH269" s="37" t="n">
        <x:v>0</x:v>
      </x:c>
      <x:c r="AI269" s="30" t="n">
        <x:v>46266</x:v>
      </x:c>
      <x:c r="AJ269" s="37"/>
      <x:c r="AK269" s="10" t="str">
        <x:v>неизвестно</x:v>
      </x:c>
      <x:c r="AL269" s="32" t="n">
        <x:v>0</x:v>
      </x:c>
      <x:c r="AM269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69" s="13" t="str">
        <x:v>Подтвердить наличие, срок и цену закупки</x:v>
      </x:c>
      <x:c r="AO269" s="13" t="str">
        <x:v>Прогноз 30 дней 3.54; остаток 0; поступления в срок 0; нехватка 4; заказ с учётом MOQ 4 шт. Остаток на начало сентября: требуется актуализация.</x:v>
      </x:c>
      <x:c r="AP269" s="13" t="str">
        <x:v>["blank_stock_assumed_zero", "category_missing", "daily_stockout_data_missing", "moq_missing", "new_order_lead_time_unknown", "reservations_unknown", "stale_stock", "stockout_proxy_used"]</x:v>
      </x:c>
      <x:c r="AQ269" s="10" t="str">
        <x:v>IEK:280300235_</x:v>
      </x:c>
      <x:c r="AR269" s="24" t="n">
        <x:v>1</x:v>
      </x:c>
      <x:c r="AS269" s="24" t="n">
        <x:f>MAX(0,ROUNDUP(MAX(0,AF269-AG269-AH269)/AR269-0.000000001,0)*AR269)</x:f>
        <x:v>4</x:v>
      </x:c>
      <x:c r="AT269" s="24" t="n">
        <x:v>3.540933231147789</x:v>
      </x:c>
    </x:row>
    <x:row r="270" ht="64" customHeight="1">
      <x:c r="A270" s="11" t="str">
        <x:v>IEK</x:v>
      </x:c>
      <x:c r="B270" s="33" t="str">
        <x:v>280300236_</x:v>
      </x:c>
      <x:c r="C270" s="33" t="str">
        <x:v>ERS12-K03-16-54-DC</x:v>
      </x:c>
      <x:c r="D270" s="12" t="str">
        <x:v>I32 Роз з/к о/у серый IP54 ФОРС IEK РСб20-3-ФСр (10/100)</x:v>
      </x:c>
      <x:c r="E270" s="11" t="str">
        <x:v>шт</x:v>
      </x:c>
      <x:c r="F270" s="35" t="n">
        <x:f>AS270</x:f>
        <x:v>3</x:v>
      </x:c>
      <x:c r="G270" s="20" t="str">
        <x:f>IF(J270="Рассчитано",V270*(1-R270/100)-W270-P270-Q270,"н/д")</x:f>
        <x:v>н/д</x:v>
      </x:c>
      <x:c r="H270" s="12" t="str">
        <x:v>Высокий</x:v>
      </x:c>
      <x:c r="I270" s="12" t="str">
        <x:v>Критический</x:v>
      </x:c>
      <x:c r="J270" s="12" t="str">
        <x:f>IF(L270="","Укажите валюту",IF(NOT(ISNUMBER(K270)),"Укажите объём",IF(K270&lt;=0,"Укажите объём",IF(COUNT(M270:O270)&lt;3,"Нужны цены",IF(COUNT(P270:R270)&lt;3,"Нужны расходы",IF(OR(M270&lt;0,N270&lt;0,O270&lt;0,O270&gt;100,P270&lt;0,Q270&lt;0,R270&lt;0,R270&gt;100),"Проверьте значения","Рассчитано"))))))</x:f>
        <x:v>Нужны цены</x:v>
      </x:c>
      <x:c r="K270" s="36" t="n">
        <x:v>3</x:v>
      </x:c>
      <x:c r="L270" s="19" t="str">
        <x:v>KZT</x:v>
      </x:c>
      <x:c r="M270" s="22"/>
      <x:c r="N270" s="22"/>
      <x:c r="O270" s="28"/>
      <x:c r="P270" s="22"/>
      <x:c r="Q270" s="22"/>
      <x:c r="R270" s="28"/>
      <x:c r="S270" s="22"/>
      <x:c r="T270" s="35" t="n">
        <x:f>MIN(K270,AT270)</x:f>
        <x:v>2.8439791400375065</x:v>
      </x:c>
      <x:c r="U270" s="20" t="str">
        <x:f>IF(J270="Рассчитано",N270*(1-O270/100),"н/д")</x:f>
        <x:v>н/д</x:v>
      </x:c>
      <x:c r="V270" s="20" t="str">
        <x:f>IF(J270="Рассчитано",T270*U270,"н/д")</x:f>
        <x:v>н/д</x:v>
      </x:c>
      <x:c r="W270" s="20" t="str">
        <x:f>IF(J270="Рассчитано",T270*M270,"н/д")</x:f>
        <x:v>н/д</x:v>
      </x:c>
      <x:c r="X270" s="20" t="str">
        <x:f>IF(J270="Рассчитано",V270-W270,"н/д")</x:f>
        <x:v>н/д</x:v>
      </x:c>
      <x:c r="Y270" s="26" t="str">
        <x:f>IF(J270="Рассчитано",IF(V270&gt;0,G270/V270,"н/д"),"н/д")</x:f>
        <x:v>н/д</x:v>
      </x:c>
      <x:c r="Z270" s="20" t="str">
        <x:f>IF(J270="Рассчитано",K270*M270,"н/д")</x:f>
        <x:v>н/д</x:v>
      </x:c>
      <x:c r="AA270" s="20" t="str">
        <x:f>IF(J270="Рассчитано",(K270-T270)*M270,"н/д")</x:f>
        <x:v>н/д</x:v>
      </x:c>
      <x:c r="AB270" s="20" t="str">
        <x:f>IF(AND(J270="Рассчитано",ISNUMBER(S270)),K270*(S270-M270),"н/д")</x:f>
        <x:v>н/д</x:v>
      </x:c>
      <x:c r="AC270" s="20" t="str">
        <x:f>IF(AND(J270="Рассчитано",T270&gt;0,R270&lt;100),(W270+P270+Q270)/(T270*(1-R270/100)),"н/д")</x:f>
        <x:v>н/д</x:v>
      </x:c>
      <x:c r="AD270" s="11" t="str">
        <x:f>IF(ISNUMBER(G270),IF(G270&lt;0,"Убыток",IF(G270=0,"Без прибыли","Прибыль &gt; 0")),"Не оценён")</x:f>
        <x:v>Не оценён</x:v>
      </x:c>
      <x:c r="AE270" s="12" t="str">
        <x:f>IF(J270="Рассчитано","Выручка "&amp;TEXT(V270,"0.00")&amp;" - себестоимость "&amp;TEXT(W270,"0.00")&amp;" - комиссия "&amp;TEXT(V270*R270/100,"0.00")&amp;" - доставка "&amp;TEXT(P270,"0.00")&amp;" - прочие "&amp;TEXT(Q270,"0.00")&amp;" = "&amp;TEXT(G270,"0.00")&amp;" "&amp;L270,"Введите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0" s="23" t="n">
        <x:v>2.8439791400375065</x:v>
      </x:c>
      <x:c r="AG270" s="35" t="n">
        <x:v>0</x:v>
      </x:c>
      <x:c r="AH270" s="35" t="n">
        <x:v>0</x:v>
      </x:c>
      <x:c r="AI270" s="29" t="n">
        <x:v>46266</x:v>
      </x:c>
      <x:c r="AJ270" s="35"/>
      <x:c r="AK270" s="11" t="str">
        <x:v>неизвестно</x:v>
      </x:c>
      <x:c r="AL270" s="31" t="n">
        <x:v>0</x:v>
      </x:c>
      <x:c r="AM27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70" s="12" t="str">
        <x:v>Подтвердить наличие, срок и цену закупки</x:v>
      </x:c>
      <x:c r="AO270" s="12" t="str">
        <x:v>Прогноз 30 дней 2.84; остаток 0; поступления в срок 0; нехватка 3; заказ с учётом MOQ 3 шт. Остаток на начало сентября: требуется актуализация.</x:v>
      </x:c>
      <x:c r="AP270" s="12" t="str">
        <x:v>["blank_stock_assumed_zero", "category_missing", "daily_stockout_data_missing", "large_orders_detected", "moq_missing", "negative_net_sales_clipped_for_forecast", "new_order_lead_time_unknown", "reservations_unknown", "stale_stock", "stockout_proxy_used"]</x:v>
      </x:c>
      <x:c r="AQ270" s="11" t="str">
        <x:v>IEK:280300236_</x:v>
      </x:c>
      <x:c r="AR270" s="23" t="n">
        <x:v>1</x:v>
      </x:c>
      <x:c r="AS270" s="23" t="n">
        <x:f>MAX(0,ROUNDUP(MAX(0,AF270-AG270-AH270)/AR270-0.000000001,0)*AR270)</x:f>
        <x:v>3</x:v>
      </x:c>
      <x:c r="AT270" s="23" t="n">
        <x:v>2.8439791400375065</x:v>
      </x:c>
    </x:row>
    <x:row r="271" ht="64" customHeight="1">
      <x:c r="A271" s="10" t="str">
        <x:v>IEK</x:v>
      </x:c>
      <x:c r="B271" s="34" t="str">
        <x:v>280300237_</x:v>
      </x:c>
      <x:c r="C271" s="34" t="str">
        <x:v>ERS22-K03-16-54-DC</x:v>
      </x:c>
      <x:c r="D271" s="13" t="str">
        <x:v>I33 Роз 2-я з/к о/у серый IP54 ФОРС IEK РСб22-3-ФСр (5/60)</x:v>
      </x:c>
      <x:c r="E271" s="10" t="str">
        <x:v>шт</x:v>
      </x:c>
      <x:c r="F271" s="37" t="n">
        <x:f>AS271</x:f>
        <x:v>12</x:v>
      </x:c>
      <x:c r="G271" s="21" t="str">
        <x:f>IF(J271="Рассчитано",V271*(1-R271/100)-W271-P271-Q271,"н/д")</x:f>
        <x:v>н/д</x:v>
      </x:c>
      <x:c r="H271" s="13" t="str">
        <x:v>Высокий</x:v>
      </x:c>
      <x:c r="I271" s="13" t="str">
        <x:v>Критический</x:v>
      </x:c>
      <x:c r="J271" s="13" t="str">
        <x:f>IF(L271="","Укажите валюту",IF(NOT(ISNUMBER(K271)),"Укажите объём",IF(K271&lt;=0,"Укажите объём",IF(COUNT(M271:O271)&lt;3,"Нужны цены",IF(COUNT(P271:R271)&lt;3,"Нужны расходы",IF(OR(M271&lt;0,N271&lt;0,O271&lt;0,O271&gt;100,P271&lt;0,Q271&lt;0,R271&lt;0,R271&gt;100),"Проверьте значения","Рассчитано"))))))</x:f>
        <x:v>Нужны цены</x:v>
      </x:c>
      <x:c r="K271" s="36" t="n">
        <x:v>12</x:v>
      </x:c>
      <x:c r="L271" s="19" t="str">
        <x:v>KZT</x:v>
      </x:c>
      <x:c r="M271" s="22"/>
      <x:c r="N271" s="22"/>
      <x:c r="O271" s="28"/>
      <x:c r="P271" s="22"/>
      <x:c r="Q271" s="22"/>
      <x:c r="R271" s="28"/>
      <x:c r="S271" s="22"/>
      <x:c r="T271" s="37" t="n">
        <x:f>MIN(K271,AT271)</x:f>
        <x:v>11.05659966600152</x:v>
      </x:c>
      <x:c r="U271" s="21" t="str">
        <x:f>IF(J271="Рассчитано",N271*(1-O271/100),"н/д")</x:f>
        <x:v>н/д</x:v>
      </x:c>
      <x:c r="V271" s="21" t="str">
        <x:f>IF(J271="Рассчитано",T271*U271,"н/д")</x:f>
        <x:v>н/д</x:v>
      </x:c>
      <x:c r="W271" s="21" t="str">
        <x:f>IF(J271="Рассчитано",T271*M271,"н/д")</x:f>
        <x:v>н/д</x:v>
      </x:c>
      <x:c r="X271" s="21" t="str">
        <x:f>IF(J271="Рассчитано",V271-W271,"н/д")</x:f>
        <x:v>н/д</x:v>
      </x:c>
      <x:c r="Y271" s="27" t="str">
        <x:f>IF(J271="Рассчитано",IF(V271&gt;0,G271/V271,"н/д"),"н/д")</x:f>
        <x:v>н/д</x:v>
      </x:c>
      <x:c r="Z271" s="21" t="str">
        <x:f>IF(J271="Рассчитано",K271*M271,"н/д")</x:f>
        <x:v>н/д</x:v>
      </x:c>
      <x:c r="AA271" s="21" t="str">
        <x:f>IF(J271="Рассчитано",(K271-T271)*M271,"н/д")</x:f>
        <x:v>н/д</x:v>
      </x:c>
      <x:c r="AB271" s="21" t="str">
        <x:f>IF(AND(J271="Рассчитано",ISNUMBER(S271)),K271*(S271-M271),"н/д")</x:f>
        <x:v>н/д</x:v>
      </x:c>
      <x:c r="AC271" s="21" t="str">
        <x:f>IF(AND(J271="Рассчитано",T271&gt;0,R271&lt;100),(W271+P271+Q271)/(T271*(1-R271/100)),"н/д")</x:f>
        <x:v>н/д</x:v>
      </x:c>
      <x:c r="AD271" s="10" t="str">
        <x:f>IF(ISNUMBER(G271),IF(G271&lt;0,"Убыток",IF(G271=0,"Без прибыли","Прибыль &gt; 0")),"Не оценён")</x:f>
        <x:v>Не оценён</x:v>
      </x:c>
      <x:c r="AE271" s="13" t="str">
        <x:f>IF(J271="Рассчитано","Выручка "&amp;TEXT(V271,"0.00")&amp;" - себестоимость "&amp;TEXT(W271,"0.00")&amp;" - комиссия "&amp;TEXT(V271*R271/100,"0.00")&amp;" - доставка "&amp;TEXT(P271,"0.00")&amp;" - прочие "&amp;TEXT(Q271,"0.00")&amp;" = "&amp;TEXT(G271,"0.00")&amp;" "&amp;L271,"Введите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1" s="24" t="n">
        <x:v>13.05659966600152</x:v>
      </x:c>
      <x:c r="AG271" s="37" t="n">
        <x:v>2</x:v>
      </x:c>
      <x:c r="AH271" s="37" t="n">
        <x:v>0</x:v>
      </x:c>
      <x:c r="AI271" s="30" t="n">
        <x:v>46266</x:v>
      </x:c>
      <x:c r="AJ271" s="37"/>
      <x:c r="AK271" s="10" t="str">
        <x:v>неизвестно</x:v>
      </x:c>
      <x:c r="AL271" s="32" t="n">
        <x:v>4.595377168240506</x:v>
      </x:c>
      <x:c r="AM271" s="13" t="str">
        <x:v>Остаток на начало сентября; Резервы неизвестны; Stockout оценён по месячным снимкам; Нет ежедневных данных доступности. Запаса примерно на 4.6 дн. без поступлений</x:v>
      </x:c>
      <x:c r="AN271" s="13" t="str">
        <x:v>Подтвердить наличие, срок и цену закупки</x:v>
      </x:c>
      <x:c r="AO271" s="13" t="str">
        <x:v>Прогноз 30 дней 13.06; остаток 2; поступления в срок 0; нехватка 12; заказ с учётом MOQ 12 шт. Остаток на начало сентября: требуется актуализация.</x:v>
      </x:c>
      <x:c r="AP271" s="13" t="str">
        <x:v>["category_missing", "daily_stockout_data_missing", "moq_missing", "new_order_lead_time_unknown", "reservations_unknown", "stale_stock", "stockout_proxy_used"]</x:v>
      </x:c>
      <x:c r="AQ271" s="10" t="str">
        <x:v>IEK:280300237_</x:v>
      </x:c>
      <x:c r="AR271" s="24" t="n">
        <x:v>1</x:v>
      </x:c>
      <x:c r="AS271" s="24" t="n">
        <x:f>MAX(0,ROUNDUP(MAX(0,AF271-AG271-AH271)/AR271-0.000000001,0)*AR271)</x:f>
        <x:v>12</x:v>
      </x:c>
      <x:c r="AT271" s="24" t="n">
        <x:v>11.05659966600152</x:v>
      </x:c>
    </x:row>
    <x:row r="272" ht="64" customHeight="1">
      <x:c r="A272" s="11" t="str">
        <x:v>IEK</x:v>
      </x:c>
      <x:c r="B272" s="33" t="str">
        <x:v>280300289_</x:v>
      </x:c>
      <x:c r="C272" s="33" t="str">
        <x:v>CLP1K-150-1</x:v>
      </x:c>
      <x:c r="D272" s="12" t="str">
        <x:v>Крышка на лоток осн. 150 мм. IEK (6)</x:v>
      </x:c>
      <x:c r="E272" s="11" t="str">
        <x:v>м</x:v>
      </x:c>
      <x:c r="F272" s="23" t="n">
        <x:f>IF(AS272&gt;0,MAX(AS272,AJ272),0)</x:f>
        <x:v>54.383</x:v>
      </x:c>
      <x:c r="G272" s="20" t="str">
        <x:f>IF(J272="Рассчитано",V272*(1-R272/100)-W272-P272-Q272,"н/д")</x:f>
        <x:v>н/д</x:v>
      </x:c>
      <x:c r="H272" s="12" t="str">
        <x:v>Высокий</x:v>
      </x:c>
      <x:c r="I272" s="12" t="str">
        <x:v>Критический</x:v>
      </x:c>
      <x:c r="J272" s="12" t="str">
        <x:f>IF(L272="","Укажите валюту",IF(NOT(ISNUMBER(K272)),"Укажите объём",IF(K272&lt;=0,"Укажите объём",IF(COUNT(M272:O272)&lt;3,"Нужны цены",IF(COUNT(P272:R272)&lt;3,"Нужны расходы",IF(OR(M272&lt;0,N272&lt;0,O272&lt;0,O272&gt;100,P272&lt;0,Q272&lt;0,R272&lt;0,R272&gt;100),"Проверьте значения","Рассчитано"))))))</x:f>
        <x:v>Нужны цены</x:v>
      </x:c>
      <x:c r="K272" s="25" t="n">
        <x:v>54.383</x:v>
      </x:c>
      <x:c r="L272" s="19" t="str">
        <x:v>KZT</x:v>
      </x:c>
      <x:c r="M272" s="22"/>
      <x:c r="N272" s="22"/>
      <x:c r="O272" s="28"/>
      <x:c r="P272" s="22"/>
      <x:c r="Q272" s="22"/>
      <x:c r="R272" s="28"/>
      <x:c r="S272" s="22"/>
      <x:c r="T272" s="23" t="n">
        <x:f>MIN(K272,AT272)</x:f>
        <x:v>54.38213199347715</x:v>
      </x:c>
      <x:c r="U272" s="20" t="str">
        <x:f>IF(J272="Рассчитано",N272*(1-O272/100),"н/д")</x:f>
        <x:v>н/д</x:v>
      </x:c>
      <x:c r="V272" s="20" t="str">
        <x:f>IF(J272="Рассчитано",T272*U272,"н/д")</x:f>
        <x:v>н/д</x:v>
      </x:c>
      <x:c r="W272" s="20" t="str">
        <x:f>IF(J272="Рассчитано",T272*M272,"н/д")</x:f>
        <x:v>н/д</x:v>
      </x:c>
      <x:c r="X272" s="20" t="str">
        <x:f>IF(J272="Рассчитано",V272-W272,"н/д")</x:f>
        <x:v>н/д</x:v>
      </x:c>
      <x:c r="Y272" s="26" t="str">
        <x:f>IF(J272="Рассчитано",IF(V272&gt;0,G272/V272,"н/д"),"н/д")</x:f>
        <x:v>н/д</x:v>
      </x:c>
      <x:c r="Z272" s="20" t="str">
        <x:f>IF(J272="Рассчитано",K272*M272,"н/д")</x:f>
        <x:v>н/д</x:v>
      </x:c>
      <x:c r="AA272" s="20" t="str">
        <x:f>IF(J272="Рассчитано",(K272-T272)*M272,"н/д")</x:f>
        <x:v>н/д</x:v>
      </x:c>
      <x:c r="AB272" s="20" t="str">
        <x:f>IF(AND(J272="Рассчитано",ISNUMBER(S272)),K272*(S272-M272),"н/д")</x:f>
        <x:v>н/д</x:v>
      </x:c>
      <x:c r="AC272" s="20" t="str">
        <x:f>IF(AND(J272="Рассчитано",T272&gt;0,R272&lt;100),(W272+P272+Q272)/(T272*(1-R272/100)),"н/д")</x:f>
        <x:v>н/д</x:v>
      </x:c>
      <x:c r="AD272" s="11" t="str">
        <x:f>IF(ISNUMBER(G272),IF(G272&lt;0,"Убыток",IF(G272=0,"Без прибыли","Прибыль &gt; 0")),"Не оценён")</x:f>
        <x:v>Не оценён</x:v>
      </x:c>
      <x:c r="AE272" s="12" t="str">
        <x:f>IF(J272="Рассчитано","Выручка "&amp;TEXT(V272,"0.00")&amp;" - себестоимость "&amp;TEXT(W272,"0.00")&amp;" - комиссия "&amp;TEXT(V272*R272/100,"0.00")&amp;" - доставка "&amp;TEXT(P272,"0.00")&amp;" - прочие "&amp;TEXT(Q272,"0.00")&amp;" = "&amp;TEXT(G272,"0.00")&amp;" "&amp;L272,"Введите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2" s="23" t="n">
        <x:v>54.38213199347715</x:v>
      </x:c>
      <x:c r="AG272" s="23" t="n">
        <x:v>0</x:v>
      </x:c>
      <x:c r="AH272" s="23" t="n">
        <x:v>0</x:v>
      </x:c>
      <x:c r="AI272" s="29" t="n">
        <x:v>46266</x:v>
      </x:c>
      <x:c r="AJ272" s="23" t="n">
        <x:v>6</x:v>
      </x:c>
      <x:c r="AK272" s="11" t="str">
        <x:v>минимум</x:v>
      </x:c>
      <x:c r="AL272" s="31" t="n">
        <x:v>0</x:v>
      </x:c>
      <x:c r="AM272" s="12" t="str">
        <x:v>Остаток на начало сентября; Резервы неизвестны; Нет ежедневных данных доступности. Нет запаса</x:v>
      </x:c>
      <x:c r="AN272" s="12" t="str">
        <x:v>Подтвердить наличие, срок и цену закупки</x:v>
      </x:c>
      <x:c r="AO272" s="12" t="str">
        <x:v>Прогноз 30 дней 54.38; остаток 0; поступления в срок 0; нехватка 54.383; заказ с учётом MOQ 54.383 м. Остаток на начало сентября: требуется актуализация.</x:v>
      </x:c>
      <x:c r="AP272" s="12" t="str">
        <x:v>["blank_stock_assumed_zero", "category_missing", "daily_stockout_data_missing", "large_orders_detected", "new_order_lead_time_unknown", "reservations_unknown", "stale_stock"]</x:v>
      </x:c>
      <x:c r="AQ272" s="11" t="str">
        <x:v>IEK:280300289_</x:v>
      </x:c>
      <x:c r="AR272" s="23" t="n">
        <x:v>0.001</x:v>
      </x:c>
      <x:c r="AS272" s="23" t="n">
        <x:f>MAX(0,ROUNDUP(MAX(0,AF272-AG272-AH272)/AR272-0.000000001,0)*AR272)</x:f>
        <x:v>54.383</x:v>
      </x:c>
      <x:c r="AT272" s="23" t="n">
        <x:v>54.38213199347715</x:v>
      </x:c>
    </x:row>
    <x:row r="273" ht="64" customHeight="1">
      <x:c r="A273" s="10" t="str">
        <x:v>IEK</x:v>
      </x:c>
      <x:c r="B273" s="34" t="str">
        <x:v>280300295_</x:v>
      </x:c>
      <x:c r="C273" s="34" t="str">
        <x:v>MKP31-N-04-30-135</x:v>
      </x:c>
      <x:c r="D273" s="13" t="str">
        <x:v>Бокс КМПн 1/4 для 4-х авт.выкл н/у IEK (135)</x:v>
      </x:c>
      <x:c r="E273" s="10" t="str">
        <x:v>шт</x:v>
      </x:c>
      <x:c r="F273" s="37" t="n">
        <x:f>IF(AS273&gt;0,MAX(AS273,AJ273),0)</x:f>
        <x:v>135</x:v>
      </x:c>
      <x:c r="G273" s="21" t="str">
        <x:f>IF(J273="Рассчитано",V273*(1-R273/100)-W273-P273-Q273,"н/д")</x:f>
        <x:v>н/д</x:v>
      </x:c>
      <x:c r="H273" s="13" t="str">
        <x:v>Высокий</x:v>
      </x:c>
      <x:c r="I273" s="13" t="str">
        <x:v>Критический</x:v>
      </x:c>
      <x:c r="J273" s="13" t="str">
        <x:f>IF(L273="","Укажите валюту",IF(NOT(ISNUMBER(K273)),"Укажите объём",IF(K273&lt;=0,"Укажите объём",IF(COUNT(M273:O273)&lt;3,"Нужны цены",IF(COUNT(P273:R273)&lt;3,"Нужны расходы",IF(OR(M273&lt;0,N273&lt;0,O273&lt;0,O273&gt;100,P273&lt;0,Q273&lt;0,R273&lt;0,R273&gt;100),"Проверьте значения","Рассчитано"))))))</x:f>
        <x:v>Нужны цены</x:v>
      </x:c>
      <x:c r="K273" s="36" t="n">
        <x:v>135</x:v>
      </x:c>
      <x:c r="L273" s="19" t="str">
        <x:v>KZT</x:v>
      </x:c>
      <x:c r="M273" s="22"/>
      <x:c r="N273" s="22"/>
      <x:c r="O273" s="28"/>
      <x:c r="P273" s="22"/>
      <x:c r="Q273" s="22"/>
      <x:c r="R273" s="28"/>
      <x:c r="S273" s="22"/>
      <x:c r="T273" s="37" t="n">
        <x:f>MIN(K273,AT273)</x:f>
        <x:v>106.39047151712546</x:v>
      </x:c>
      <x:c r="U273" s="21" t="str">
        <x:f>IF(J273="Рассчитано",N273*(1-O273/100),"н/д")</x:f>
        <x:v>н/д</x:v>
      </x:c>
      <x:c r="V273" s="21" t="str">
        <x:f>IF(J273="Рассчитано",T273*U273,"н/д")</x:f>
        <x:v>н/д</x:v>
      </x:c>
      <x:c r="W273" s="21" t="str">
        <x:f>IF(J273="Рассчитано",T273*M273,"н/д")</x:f>
        <x:v>н/д</x:v>
      </x:c>
      <x:c r="X273" s="21" t="str">
        <x:f>IF(J273="Рассчитано",V273-W273,"н/д")</x:f>
        <x:v>н/д</x:v>
      </x:c>
      <x:c r="Y273" s="27" t="str">
        <x:f>IF(J273="Рассчитано",IF(V273&gt;0,G273/V273,"н/д"),"н/д")</x:f>
        <x:v>н/д</x:v>
      </x:c>
      <x:c r="Z273" s="21" t="str">
        <x:f>IF(J273="Рассчитано",K273*M273,"н/д")</x:f>
        <x:v>н/д</x:v>
      </x:c>
      <x:c r="AA273" s="21" t="str">
        <x:f>IF(J273="Рассчитано",(K273-T273)*M273,"н/д")</x:f>
        <x:v>н/д</x:v>
      </x:c>
      <x:c r="AB273" s="21" t="str">
        <x:f>IF(AND(J273="Рассчитано",ISNUMBER(S273)),K273*(S273-M273),"н/д")</x:f>
        <x:v>н/д</x:v>
      </x:c>
      <x:c r="AC273" s="21" t="str">
        <x:f>IF(AND(J273="Рассчитано",T273&gt;0,R273&lt;100),(W273+P273+Q273)/(T273*(1-R273/100)),"н/д")</x:f>
        <x:v>н/д</x:v>
      </x:c>
      <x:c r="AD273" s="10" t="str">
        <x:f>IF(ISNUMBER(G273),IF(G273&lt;0,"Убыток",IF(G273=0,"Без прибыли","Прибыль &gt; 0")),"Не оценён")</x:f>
        <x:v>Не оценён</x:v>
      </x:c>
      <x:c r="AE273" s="13" t="str">
        <x:f>IF(J273="Рассчитано","Выручка "&amp;TEXT(V273,"0.00")&amp;" - себестоимость "&amp;TEXT(W273,"0.00")&amp;" - комиссия "&amp;TEXT(V273*R273/100,"0.00")&amp;" - доставка "&amp;TEXT(P273,"0.00")&amp;" - прочие "&amp;TEXT(Q273,"0.00")&amp;" = "&amp;TEXT(G273,"0.00")&amp;" "&amp;L273,"Введите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3" s="24" t="n">
        <x:v>108.39047151712546</x:v>
      </x:c>
      <x:c r="AG273" s="37" t="n">
        <x:v>2</x:v>
      </x:c>
      <x:c r="AH273" s="37" t="n">
        <x:v>0</x:v>
      </x:c>
      <x:c r="AI273" s="30" t="n">
        <x:v>46266</x:v>
      </x:c>
      <x:c r="AJ273" s="37" t="n">
        <x:v>135</x:v>
      </x:c>
      <x:c r="AK273" s="10" t="str">
        <x:v>минимум</x:v>
      </x:c>
      <x:c r="AL273" s="32" t="n">
        <x:v>0.5535541930963934</x:v>
      </x:c>
      <x:c r="AM273" s="13" t="str">
        <x:v>Остаток на начало сентября; Резервы неизвестны; Нет ежедневных данных доступности. Запаса примерно на 0.6 дн. без поступлений</x:v>
      </x:c>
      <x:c r="AN273" s="13" t="str">
        <x:v>Подтвердить наличие, срок и цену закупки</x:v>
      </x:c>
      <x:c r="AO273" s="13" t="str">
        <x:v>Прогноз 30 дней 108.39; остаток 2; поступления в срок 0; нехватка 107; заказ с учётом MOQ 135 шт. Остаток на начало сентября: требуется актуализация.</x:v>
      </x:c>
      <x:c r="AP273" s="13" t="str">
        <x:v>["category_missing", "daily_stockout_data_missing", "large_orders_detected", "new_order_lead_time_unknown", "reservations_unknown", "stale_stock"]</x:v>
      </x:c>
      <x:c r="AQ273" s="10" t="str">
        <x:v>IEK:280300295_</x:v>
      </x:c>
      <x:c r="AR273" s="24" t="n">
        <x:v>1</x:v>
      </x:c>
      <x:c r="AS273" s="24" t="n">
        <x:f>MAX(0,ROUNDUP(MAX(0,AF273-AG273-AH273)/AR273-0.000000001,0)*AR273)</x:f>
        <x:v>107</x:v>
      </x:c>
      <x:c r="AT273" s="24" t="n">
        <x:v>106.39047151712546</x:v>
      </x:c>
    </x:row>
    <x:row r="274" ht="64" customHeight="1">
      <x:c r="A274" s="11" t="str">
        <x:v>IEK</x:v>
      </x:c>
      <x:c r="B274" s="33" t="str">
        <x:v>280300590_</x:v>
      </x:c>
      <x:c r="C274" s="33" t="str">
        <x:v>YKM40-01-31-G</x:v>
      </x:c>
      <x:c r="D274" s="12" t="str">
        <x:v>ЩМП- 1 IP 31 (395х310х220) GENERICA</x:v>
      </x:c>
      <x:c r="E274" s="11" t="str">
        <x:v>шт</x:v>
      </x:c>
      <x:c r="F274" s="35" t="n">
        <x:f>AS274</x:f>
        <x:v>1</x:v>
      </x:c>
      <x:c r="G274" s="20" t="str">
        <x:f>IF(J274="Рассчитано",V274*(1-R274/100)-W274-P274-Q274,"н/д")</x:f>
        <x:v>н/д</x:v>
      </x:c>
      <x:c r="H274" s="12" t="str">
        <x:v>Высокий</x:v>
      </x:c>
      <x:c r="I274" s="12" t="str">
        <x:v>Критический</x:v>
      </x:c>
      <x:c r="J274" s="12" t="str">
        <x:f>IF(L274="","Укажите валюту",IF(NOT(ISNUMBER(K274)),"Укажите объём",IF(K274&lt;=0,"Укажите объём",IF(COUNT(M274:O274)&lt;3,"Нужны цены",IF(COUNT(P274:R274)&lt;3,"Нужны расходы",IF(OR(M274&lt;0,N274&lt;0,O274&lt;0,O274&gt;100,P274&lt;0,Q274&lt;0,R274&lt;0,R274&gt;100),"Проверьте значения","Рассчитано"))))))</x:f>
        <x:v>Нужны цены</x:v>
      </x:c>
      <x:c r="K274" s="36" t="n">
        <x:v>1</x:v>
      </x:c>
      <x:c r="L274" s="19" t="str">
        <x:v>KZT</x:v>
      </x:c>
      <x:c r="M274" s="22"/>
      <x:c r="N274" s="22"/>
      <x:c r="O274" s="28"/>
      <x:c r="P274" s="22"/>
      <x:c r="Q274" s="22"/>
      <x:c r="R274" s="28"/>
      <x:c r="S274" s="22"/>
      <x:c r="T274" s="35" t="n">
        <x:f>MIN(K274,AT274)</x:f>
        <x:v>0.22772691281764607</x:v>
      </x:c>
      <x:c r="U274" s="20" t="str">
        <x:f>IF(J274="Рассчитано",N274*(1-O274/100),"н/д")</x:f>
        <x:v>н/д</x:v>
      </x:c>
      <x:c r="V274" s="20" t="str">
        <x:f>IF(J274="Рассчитано",T274*U274,"н/д")</x:f>
        <x:v>н/д</x:v>
      </x:c>
      <x:c r="W274" s="20" t="str">
        <x:f>IF(J274="Рассчитано",T274*M274,"н/д")</x:f>
        <x:v>н/д</x:v>
      </x:c>
      <x:c r="X274" s="20" t="str">
        <x:f>IF(J274="Рассчитано",V274-W274,"н/д")</x:f>
        <x:v>н/д</x:v>
      </x:c>
      <x:c r="Y274" s="26" t="str">
        <x:f>IF(J274="Рассчитано",IF(V274&gt;0,G274/V274,"н/д"),"н/д")</x:f>
        <x:v>н/д</x:v>
      </x:c>
      <x:c r="Z274" s="20" t="str">
        <x:f>IF(J274="Рассчитано",K274*M274,"н/д")</x:f>
        <x:v>н/д</x:v>
      </x:c>
      <x:c r="AA274" s="20" t="str">
        <x:f>IF(J274="Рассчитано",(K274-T274)*M274,"н/д")</x:f>
        <x:v>н/д</x:v>
      </x:c>
      <x:c r="AB274" s="20" t="str">
        <x:f>IF(AND(J274="Рассчитано",ISNUMBER(S274)),K274*(S274-M274),"н/д")</x:f>
        <x:v>н/д</x:v>
      </x:c>
      <x:c r="AC274" s="20" t="str">
        <x:f>IF(AND(J274="Рассчитано",T274&gt;0,R274&lt;100),(W274+P274+Q274)/(T274*(1-R274/100)),"н/д")</x:f>
        <x:v>н/д</x:v>
      </x:c>
      <x:c r="AD274" s="11" t="str">
        <x:f>IF(ISNUMBER(G274),IF(G274&lt;0,"Убыток",IF(G274=0,"Без прибыли","Прибыль &gt; 0")),"Не оценён")</x:f>
        <x:v>Не оценён</x:v>
      </x:c>
      <x:c r="AE274" s="12" t="str">
        <x:f>IF(J274="Рассчитано","Выручка "&amp;TEXT(V274,"0.00")&amp;" - себестоимость "&amp;TEXT(W274,"0.00")&amp;" - комиссия "&amp;TEXT(V274*R274/100,"0.00")&amp;" - доставка "&amp;TEXT(P274,"0.00")&amp;" - прочие "&amp;TEXT(Q274,"0.00")&amp;" = "&amp;TEXT(G274,"0.00")&amp;" "&amp;L274,"Введите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4" s="23" t="n">
        <x:v>0.22772691281764607</x:v>
      </x:c>
      <x:c r="AG274" s="35" t="n">
        <x:v>0</x:v>
      </x:c>
      <x:c r="AH274" s="35" t="n">
        <x:v>0</x:v>
      </x:c>
      <x:c r="AI274" s="29" t="n">
        <x:v>46266</x:v>
      </x:c>
      <x:c r="AJ274" s="35"/>
      <x:c r="AK274" s="11" t="str">
        <x:v>неизвестно</x:v>
      </x:c>
      <x:c r="AL274" s="31" t="n">
        <x:v>0</x:v>
      </x:c>
      <x:c r="AM274" s="12" t="str">
        <x:v>Остаток на начало сентября; Резервы неизвестны; Нет ежедневных данных доступности. Нет запаса</x:v>
      </x:c>
      <x:c r="AN274" s="12" t="str">
        <x:v>Подтвердить наличие, срок и цену закупки</x:v>
      </x:c>
      <x:c r="AO274" s="12" t="str">
        <x:v>Прогноз 30 дней 0.23; остаток 0; поступления в срок 0; нехватка 1; заказ с учётом MOQ 1 шт. Остаток на начало сентября: требуется актуализация.</x:v>
      </x:c>
      <x:c r="AP274" s="12" t="str">
        <x:v>["blank_stock_assumed_zero", "category_missing", "daily_stockout_data_missing", "moq_missing", "new_order_lead_time_unknown", "reservations_unknown", "stale_stock"]</x:v>
      </x:c>
      <x:c r="AQ274" s="11" t="str">
        <x:v>IEK:280300590_</x:v>
      </x:c>
      <x:c r="AR274" s="23" t="n">
        <x:v>1</x:v>
      </x:c>
      <x:c r="AS274" s="23" t="n">
        <x:f>MAX(0,ROUNDUP(MAX(0,AF274-AG274-AH274)/AR274-0.000000001,0)*AR274)</x:f>
        <x:v>1</x:v>
      </x:c>
      <x:c r="AT274" s="23" t="n">
        <x:v>0.22772691281764607</x:v>
      </x:c>
    </x:row>
    <x:row r="275" ht="64" customHeight="1">
      <x:c r="A275" s="10" t="str">
        <x:v>IEK</x:v>
      </x:c>
      <x:c r="B275" s="34" t="str">
        <x:v>280300591_</x:v>
      </x:c>
      <x:c r="C275" s="34" t="str">
        <x:v>YKM40-02-31-G</x:v>
      </x:c>
      <x:c r="D275" s="13" t="str">
        <x:v>ЩМП- 2 IP 31 (500х400х220) GENERICA</x:v>
      </x:c>
      <x:c r="E275" s="10" t="str">
        <x:v>шт</x:v>
      </x:c>
      <x:c r="F275" s="37" t="n">
        <x:f>AS275</x:f>
        <x:v>1</x:v>
      </x:c>
      <x:c r="G275" s="21" t="str">
        <x:f>IF(J275="Рассчитано",V275*(1-R275/100)-W275-P275-Q275,"н/д")</x:f>
        <x:v>н/д</x:v>
      </x:c>
      <x:c r="H275" s="13" t="str">
        <x:v>Высокий</x:v>
      </x:c>
      <x:c r="I275" s="13" t="str">
        <x:v>Критический</x:v>
      </x:c>
      <x:c r="J275" s="13" t="str">
        <x:f>IF(L275="","Укажите валюту",IF(NOT(ISNUMBER(K275)),"Укажите объём",IF(K275&lt;=0,"Укажите объём",IF(COUNT(M275:O275)&lt;3,"Нужны цены",IF(COUNT(P275:R275)&lt;3,"Нужны расходы",IF(OR(M275&lt;0,N275&lt;0,O275&lt;0,O275&gt;100,P275&lt;0,Q275&lt;0,R275&lt;0,R275&gt;100),"Проверьте значения","Рассчитано"))))))</x:f>
        <x:v>Нужны цены</x:v>
      </x:c>
      <x:c r="K275" s="36" t="n">
        <x:v>1</x:v>
      </x:c>
      <x:c r="L275" s="19" t="str">
        <x:v>KZT</x:v>
      </x:c>
      <x:c r="M275" s="22"/>
      <x:c r="N275" s="22"/>
      <x:c r="O275" s="28"/>
      <x:c r="P275" s="22"/>
      <x:c r="Q275" s="22"/>
      <x:c r="R275" s="28"/>
      <x:c r="S275" s="22"/>
      <x:c r="T275" s="37" t="n">
        <x:f>MIN(K275,AT275)</x:f>
        <x:v>0.03177057299633944</x:v>
      </x:c>
      <x:c r="U275" s="21" t="str">
        <x:f>IF(J275="Рассчитано",N275*(1-O275/100),"н/д")</x:f>
        <x:v>н/д</x:v>
      </x:c>
      <x:c r="V275" s="21" t="str">
        <x:f>IF(J275="Рассчитано",T275*U275,"н/д")</x:f>
        <x:v>н/д</x:v>
      </x:c>
      <x:c r="W275" s="21" t="str">
        <x:f>IF(J275="Рассчитано",T275*M275,"н/д")</x:f>
        <x:v>н/д</x:v>
      </x:c>
      <x:c r="X275" s="21" t="str">
        <x:f>IF(J275="Рассчитано",V275-W275,"н/д")</x:f>
        <x:v>н/д</x:v>
      </x:c>
      <x:c r="Y275" s="27" t="str">
        <x:f>IF(J275="Рассчитано",IF(V275&gt;0,G275/V275,"н/д"),"н/д")</x:f>
        <x:v>н/д</x:v>
      </x:c>
      <x:c r="Z275" s="21" t="str">
        <x:f>IF(J275="Рассчитано",K275*M275,"н/д")</x:f>
        <x:v>н/д</x:v>
      </x:c>
      <x:c r="AA275" s="21" t="str">
        <x:f>IF(J275="Рассчитано",(K275-T275)*M275,"н/д")</x:f>
        <x:v>н/д</x:v>
      </x:c>
      <x:c r="AB275" s="21" t="str">
        <x:f>IF(AND(J275="Рассчитано",ISNUMBER(S275)),K275*(S275-M275),"н/д")</x:f>
        <x:v>н/д</x:v>
      </x:c>
      <x:c r="AC275" s="21" t="str">
        <x:f>IF(AND(J275="Рассчитано",T275&gt;0,R275&lt;100),(W275+P275+Q275)/(T275*(1-R275/100)),"н/д")</x:f>
        <x:v>н/д</x:v>
      </x:c>
      <x:c r="AD275" s="10" t="str">
        <x:f>IF(ISNUMBER(G275),IF(G275&lt;0,"Убыток",IF(G275=0,"Без прибыли","Прибыль &gt; 0")),"Не оценён")</x:f>
        <x:v>Не оценён</x:v>
      </x:c>
      <x:c r="AE275" s="13" t="str">
        <x:f>IF(J275="Рассчитано","Выручка "&amp;TEXT(V275,"0.00")&amp;" - себестоимость "&amp;TEXT(W275,"0.00")&amp;" - комиссия "&amp;TEXT(V275*R275/100,"0.00")&amp;" - доставка "&amp;TEXT(P275,"0.00")&amp;" - прочие "&amp;TEXT(Q275,"0.00")&amp;" = "&amp;TEXT(G275,"0.00")&amp;" "&amp;L275,"Введите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5" s="24" t="n">
        <x:v>0.03177057299633944</x:v>
      </x:c>
      <x:c r="AG275" s="37" t="n">
        <x:v>0</x:v>
      </x:c>
      <x:c r="AH275" s="37" t="n">
        <x:v>0</x:v>
      </x:c>
      <x:c r="AI275" s="30" t="n">
        <x:v>46266</x:v>
      </x:c>
      <x:c r="AJ275" s="37"/>
      <x:c r="AK275" s="10" t="str">
        <x:v>неизвестно</x:v>
      </x:c>
      <x:c r="AL275" s="32" t="n">
        <x:v>0</x:v>
      </x:c>
      <x:c r="AM275" s="13" t="str">
        <x:v>Остаток на начало сентября; Резервы неизвестны; Нет ежедневных данных доступности. Нет запаса</x:v>
      </x:c>
      <x:c r="AN275" s="13" t="str">
        <x:v>Подтвердить наличие, срок и цену закупки</x:v>
      </x:c>
      <x:c r="AO275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275" s="13" t="str">
        <x:v>["blank_stock_assumed_zero", "category_missing", "daily_stockout_data_missing", "moq_missing", "new_order_lead_time_unknown", "reservations_unknown", "stale_stock"]</x:v>
      </x:c>
      <x:c r="AQ275" s="10" t="str">
        <x:v>IEK:280300591_</x:v>
      </x:c>
      <x:c r="AR275" s="24" t="n">
        <x:v>1</x:v>
      </x:c>
      <x:c r="AS275" s="24" t="n">
        <x:f>MAX(0,ROUNDUP(MAX(0,AF275-AG275-AH275)/AR275-0.000000001,0)*AR275)</x:f>
        <x:v>1</x:v>
      </x:c>
      <x:c r="AT275" s="24" t="n">
        <x:v>0.03177057299633944</x:v>
      </x:c>
    </x:row>
    <x:row r="276" ht="64" customHeight="1">
      <x:c r="A276" s="11" t="str">
        <x:v>IEK</x:v>
      </x:c>
      <x:c r="B276" s="33" t="str">
        <x:v>280300685_</x:v>
      </x:c>
      <x:c r="C276" s="33"/>
      <x:c r="D276" s="12" t="str">
        <x:v>Распределительная  коробка о/у  с сальниками 190х140х120 IP55 КМ41246 IEK (12) E-PRO</x:v>
      </x:c>
      <x:c r="E276" s="11" t="str">
        <x:v>шт</x:v>
      </x:c>
      <x:c r="F276" s="35" t="n">
        <x:f>AS276</x:f>
        <x:v>3</x:v>
      </x:c>
      <x:c r="G276" s="20" t="str">
        <x:f>IF(J276="Рассчитано",V276*(1-R276/100)-W276-P276-Q276,"н/д")</x:f>
        <x:v>н/д</x:v>
      </x:c>
      <x:c r="H276" s="12" t="str">
        <x:v>Высокий</x:v>
      </x:c>
      <x:c r="I276" s="12" t="str">
        <x:v>Критический</x:v>
      </x:c>
      <x:c r="J276" s="12" t="str">
        <x:f>IF(L276="","Укажите валюту",IF(NOT(ISNUMBER(K276)),"Укажите объём",IF(K276&lt;=0,"Укажите объём",IF(COUNT(M276:O276)&lt;3,"Нужны цены",IF(COUNT(P276:R276)&lt;3,"Нужны расходы",IF(OR(M276&lt;0,N276&lt;0,O276&lt;0,O276&gt;100,P276&lt;0,Q276&lt;0,R276&lt;0,R276&gt;100),"Проверьте значения","Рассчитано"))))))</x:f>
        <x:v>Нужны цены</x:v>
      </x:c>
      <x:c r="K276" s="36" t="n">
        <x:v>3</x:v>
      </x:c>
      <x:c r="L276" s="19" t="str">
        <x:v>KZT</x:v>
      </x:c>
      <x:c r="M276" s="22"/>
      <x:c r="N276" s="22"/>
      <x:c r="O276" s="28"/>
      <x:c r="P276" s="22"/>
      <x:c r="Q276" s="22"/>
      <x:c r="R276" s="28"/>
      <x:c r="S276" s="22"/>
      <x:c r="T276" s="35" t="n">
        <x:f>MIN(K276,AT276)</x:f>
        <x:v>2.1216664985257045</x:v>
      </x:c>
      <x:c r="U276" s="20" t="str">
        <x:f>IF(J276="Рассчитано",N276*(1-O276/100),"н/д")</x:f>
        <x:v>н/д</x:v>
      </x:c>
      <x:c r="V276" s="20" t="str">
        <x:f>IF(J276="Рассчитано",T276*U276,"н/д")</x:f>
        <x:v>н/д</x:v>
      </x:c>
      <x:c r="W276" s="20" t="str">
        <x:f>IF(J276="Рассчитано",T276*M276,"н/д")</x:f>
        <x:v>н/д</x:v>
      </x:c>
      <x:c r="X276" s="20" t="str">
        <x:f>IF(J276="Рассчитано",V276-W276,"н/д")</x:f>
        <x:v>н/д</x:v>
      </x:c>
      <x:c r="Y276" s="26" t="str">
        <x:f>IF(J276="Рассчитано",IF(V276&gt;0,G276/V276,"н/д"),"н/д")</x:f>
        <x:v>н/д</x:v>
      </x:c>
      <x:c r="Z276" s="20" t="str">
        <x:f>IF(J276="Рассчитано",K276*M276,"н/д")</x:f>
        <x:v>н/д</x:v>
      </x:c>
      <x:c r="AA276" s="20" t="str">
        <x:f>IF(J276="Рассчитано",(K276-T276)*M276,"н/д")</x:f>
        <x:v>н/д</x:v>
      </x:c>
      <x:c r="AB276" s="20" t="str">
        <x:f>IF(AND(J276="Рассчитано",ISNUMBER(S276)),K276*(S276-M276),"н/д")</x:f>
        <x:v>н/д</x:v>
      </x:c>
      <x:c r="AC276" s="20" t="str">
        <x:f>IF(AND(J276="Рассчитано",T276&gt;0,R276&lt;100),(W276+P276+Q276)/(T276*(1-R276/100)),"н/д")</x:f>
        <x:v>н/д</x:v>
      </x:c>
      <x:c r="AD276" s="11" t="str">
        <x:f>IF(ISNUMBER(G276),IF(G276&lt;0,"Убыток",IF(G276=0,"Без прибыли","Прибыль &gt; 0")),"Не оценён")</x:f>
        <x:v>Не оценён</x:v>
      </x:c>
      <x:c r="AE276" s="12" t="str">
        <x:f>IF(J276="Рассчитано","Выручка "&amp;TEXT(V276,"0.00")&amp;" - себестоимость "&amp;TEXT(W276,"0.00")&amp;" - комиссия "&amp;TEXT(V276*R276/100,"0.00")&amp;" - доставка "&amp;TEXT(P276,"0.00")&amp;" - прочие "&amp;TEXT(Q276,"0.00")&amp;" = "&amp;TEXT(G276,"0.00")&amp;" "&amp;L276,"Введите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6" s="23" t="n">
        <x:v>2.1216664985257045</x:v>
      </x:c>
      <x:c r="AG276" s="35" t="n">
        <x:v>0</x:v>
      </x:c>
      <x:c r="AH276" s="35" t="n">
        <x:v>0</x:v>
      </x:c>
      <x:c r="AI276" s="29" t="n">
        <x:v>46266</x:v>
      </x:c>
      <x:c r="AJ276" s="35"/>
      <x:c r="AK276" s="11" t="str">
        <x:v>неизвестно</x:v>
      </x:c>
      <x:c r="AL276" s="31" t="n">
        <x:v>0</x:v>
      </x:c>
      <x:c r="AM276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276" s="12" t="str">
        <x:v>Подтвердить наличие, срок и цену закупки</x:v>
      </x:c>
      <x:c r="AO276" s="12" t="str">
        <x:v>Прогноз 30 дней 2.12; остаток 0; поступления в срок 0; нехватка 3; заказ с учётом MOQ 3 шт. Остаток на начало сентября: требуется актуализация.</x:v>
      </x:c>
      <x:c r="AP276" s="12" t="str">
        <x:v>["blank_stock_assumed_zero", "category_missing", "daily_stockout_data_missing", "moq_missing", "new_order_lead_time_unknown", "reservations_unknown", "stale_stock", "stockout_proxy_used", "supplier_sku_missing"]</x:v>
      </x:c>
      <x:c r="AQ276" s="11" t="str">
        <x:v>IEK:280300685_</x:v>
      </x:c>
      <x:c r="AR276" s="23" t="n">
        <x:v>1</x:v>
      </x:c>
      <x:c r="AS276" s="23" t="n">
        <x:f>MAX(0,ROUNDUP(MAX(0,AF276-AG276-AH276)/AR276-0.000000001,0)*AR276)</x:f>
        <x:v>3</x:v>
      </x:c>
      <x:c r="AT276" s="23" t="n">
        <x:v>2.1216664985257045</x:v>
      </x:c>
    </x:row>
    <x:row r="277" ht="64" customHeight="1">
      <x:c r="A277" s="10" t="str">
        <x:v>IEK</x:v>
      </x:c>
      <x:c r="B277" s="34" t="str">
        <x:v>280300741_</x:v>
      </x:c>
      <x:c r="C277" s="34" t="str">
        <x:v>CLP1S-41-21-20-15</x:v>
      </x:c>
      <x:c r="D277" s="13" t="str">
        <x:v>STRUT-профиль перфорированный  41х21х2000-1,5 IEK</x:v>
      </x:c>
      <x:c r="E277" s="10" t="str">
        <x:v>шт</x:v>
      </x:c>
      <x:c r="F277" s="37" t="n">
        <x:f>IF(AS277&gt;0,MAX(AS277,AJ277),0)</x:f>
        <x:v>13</x:v>
      </x:c>
      <x:c r="G277" s="21" t="str">
        <x:f>IF(J277="Рассчитано",V277*(1-R277/100)-W277-P277-Q277,"н/д")</x:f>
        <x:v>н/д</x:v>
      </x:c>
      <x:c r="H277" s="13" t="str">
        <x:v>Высокий</x:v>
      </x:c>
      <x:c r="I277" s="13" t="str">
        <x:v>Критический</x:v>
      </x:c>
      <x:c r="J277" s="13" t="str">
        <x:f>IF(L277="","Укажите валюту",IF(NOT(ISNUMBER(K277)),"Укажите объём",IF(K277&lt;=0,"Укажите объём",IF(COUNT(M277:O277)&lt;3,"Нужны цены",IF(COUNT(P277:R277)&lt;3,"Нужны расходы",IF(OR(M277&lt;0,N277&lt;0,O277&lt;0,O277&gt;100,P277&lt;0,Q277&lt;0,R277&lt;0,R277&gt;100),"Проверьте значения","Рассчитано"))))))</x:f>
        <x:v>Нужны цены</x:v>
      </x:c>
      <x:c r="K277" s="36" t="n">
        <x:v>13</x:v>
      </x:c>
      <x:c r="L277" s="19" t="str">
        <x:v>KZT</x:v>
      </x:c>
      <x:c r="M277" s="22"/>
      <x:c r="N277" s="22"/>
      <x:c r="O277" s="28"/>
      <x:c r="P277" s="22"/>
      <x:c r="Q277" s="22"/>
      <x:c r="R277" s="28"/>
      <x:c r="S277" s="22"/>
      <x:c r="T277" s="37" t="n">
        <x:f>MIN(K277,AT277)</x:f>
        <x:v>12.895500656875493</x:v>
      </x:c>
      <x:c r="U277" s="21" t="str">
        <x:f>IF(J277="Рассчитано",N277*(1-O277/100),"н/д")</x:f>
        <x:v>н/д</x:v>
      </x:c>
      <x:c r="V277" s="21" t="str">
        <x:f>IF(J277="Рассчитано",T277*U277,"н/д")</x:f>
        <x:v>н/д</x:v>
      </x:c>
      <x:c r="W277" s="21" t="str">
        <x:f>IF(J277="Рассчитано",T277*M277,"н/д")</x:f>
        <x:v>н/д</x:v>
      </x:c>
      <x:c r="X277" s="21" t="str">
        <x:f>IF(J277="Рассчитано",V277-W277,"н/д")</x:f>
        <x:v>н/д</x:v>
      </x:c>
      <x:c r="Y277" s="27" t="str">
        <x:f>IF(J277="Рассчитано",IF(V277&gt;0,G277/V277,"н/д"),"н/д")</x:f>
        <x:v>н/д</x:v>
      </x:c>
      <x:c r="Z277" s="21" t="str">
        <x:f>IF(J277="Рассчитано",K277*M277,"н/д")</x:f>
        <x:v>н/д</x:v>
      </x:c>
      <x:c r="AA277" s="21" t="str">
        <x:f>IF(J277="Рассчитано",(K277-T277)*M277,"н/д")</x:f>
        <x:v>н/д</x:v>
      </x:c>
      <x:c r="AB277" s="21" t="str">
        <x:f>IF(AND(J277="Рассчитано",ISNUMBER(S277)),K277*(S277-M277),"н/д")</x:f>
        <x:v>н/д</x:v>
      </x:c>
      <x:c r="AC277" s="21" t="str">
        <x:f>IF(AND(J277="Рассчитано",T277&gt;0,R277&lt;100),(W277+P277+Q277)/(T277*(1-R277/100)),"н/д")</x:f>
        <x:v>н/д</x:v>
      </x:c>
      <x:c r="AD277" s="10" t="str">
        <x:f>IF(ISNUMBER(G277),IF(G277&lt;0,"Убыток",IF(G277=0,"Без прибыли","Прибыль &gt; 0")),"Не оценён")</x:f>
        <x:v>Не оценён</x:v>
      </x:c>
      <x:c r="AE277" s="13" t="str">
        <x:f>IF(J277="Рассчитано","Выручка "&amp;TEXT(V277,"0.00")&amp;" - себестоимость "&amp;TEXT(W277,"0.00")&amp;" - комиссия "&amp;TEXT(V277*R277/100,"0.00")&amp;" - доставка "&amp;TEXT(P277,"0.00")&amp;" - прочие "&amp;TEXT(Q277,"0.00")&amp;" = "&amp;TEXT(G277,"0.00")&amp;" "&amp;L277,"Введите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7" s="24" t="n">
        <x:v>13.895500656875493</x:v>
      </x:c>
      <x:c r="AG277" s="37" t="n">
        <x:v>1</x:v>
      </x:c>
      <x:c r="AH277" s="37" t="n">
        <x:v>0</x:v>
      </x:c>
      <x:c r="AI277" s="30" t="n">
        <x:v>46266</x:v>
      </x:c>
      <x:c r="AJ277" s="37" t="n">
        <x:v>2</x:v>
      </x:c>
      <x:c r="AK277" s="10" t="str">
        <x:v>минимум</x:v>
      </x:c>
      <x:c r="AL277" s="32" t="n">
        <x:v>2.158972227111227</x:v>
      </x:c>
      <x:c r="AM277" s="13" t="str">
        <x:v>Остаток на начало сентября; Резервы неизвестны; Нет ежедневных данных доступности. Запаса примерно на 2.2 дн. без поступлений</x:v>
      </x:c>
      <x:c r="AN277" s="13" t="str">
        <x:v>Подтвердить наличие, срок и цену закупки</x:v>
      </x:c>
      <x:c r="AO277" s="13" t="str">
        <x:v>Прогноз 30 дней 13.90; остаток 1; поступления в срок 0; нехватка 13; заказ с учётом MOQ 13 шт. Остаток на начало сентября: требуется актуализация.</x:v>
      </x:c>
      <x:c r="AP277" s="13" t="str">
        <x:v>["category_missing", "daily_stockout_data_missing", "negative_net_sales_clipped_for_forecast", "new_order_lead_time_unknown", "reservations_unknown", "stale_stock"]</x:v>
      </x:c>
      <x:c r="AQ277" s="10" t="str">
        <x:v>IEK:280300741_</x:v>
      </x:c>
      <x:c r="AR277" s="24" t="n">
        <x:v>1</x:v>
      </x:c>
      <x:c r="AS277" s="24" t="n">
        <x:f>MAX(0,ROUNDUP(MAX(0,AF277-AG277-AH277)/AR277-0.000000001,0)*AR277)</x:f>
        <x:v>13</x:v>
      </x:c>
      <x:c r="AT277" s="24" t="n">
        <x:v>12.895500656875493</x:v>
      </x:c>
    </x:row>
    <x:row r="278" ht="64" customHeight="1">
      <x:c r="A278" s="11" t="str">
        <x:v>IEK</x:v>
      </x:c>
      <x:c r="B278" s="33" t="str">
        <x:v>280301023_</x:v>
      </x:c>
      <x:c r="C278" s="33" t="str">
        <x:v>ZKZ11-14-020-06</x:v>
      </x:c>
      <x:c r="D278" s="12" t="str">
        <x:v>Комплект заземления 6/20 б/м оц. сталь HDZ IEK</x:v>
      </x:c>
      <x:c r="E278" s="11" t="str">
        <x:v>шт</x:v>
      </x:c>
      <x:c r="F278" s="35" t="n">
        <x:f>IF(AS278&gt;0,MAX(AS278,AJ278),0)</x:f>
        <x:v>2</x:v>
      </x:c>
      <x:c r="G278" s="20" t="str">
        <x:f>IF(J278="Рассчитано",V278*(1-R278/100)-W278-P278-Q278,"н/д")</x:f>
        <x:v>н/д</x:v>
      </x:c>
      <x:c r="H278" s="12" t="str">
        <x:v>Высокий</x:v>
      </x:c>
      <x:c r="I278" s="12" t="str">
        <x:v>Критический</x:v>
      </x:c>
      <x:c r="J278" s="12" t="str">
        <x:f>IF(L278="","Укажите валюту",IF(NOT(ISNUMBER(K278)),"Укажите объём",IF(K278&lt;=0,"Укажите объём",IF(COUNT(M278:O278)&lt;3,"Нужны цены",IF(COUNT(P278:R278)&lt;3,"Нужны расходы",IF(OR(M278&lt;0,N278&lt;0,O278&lt;0,O278&gt;100,P278&lt;0,Q278&lt;0,R278&lt;0,R278&gt;100),"Проверьте значения","Рассчитано"))))))</x:f>
        <x:v>Нужны цены</x:v>
      </x:c>
      <x:c r="K278" s="36" t="n">
        <x:v>2</x:v>
      </x:c>
      <x:c r="L278" s="19" t="str">
        <x:v>KZT</x:v>
      </x:c>
      <x:c r="M278" s="22"/>
      <x:c r="N278" s="22"/>
      <x:c r="O278" s="28"/>
      <x:c r="P278" s="22"/>
      <x:c r="Q278" s="22"/>
      <x:c r="R278" s="28"/>
      <x:c r="S278" s="22"/>
      <x:c r="T278" s="35" t="n">
        <x:f>MIN(K278,AT278)</x:f>
        <x:v>1.0859447902714767</x:v>
      </x:c>
      <x:c r="U278" s="20" t="str">
        <x:f>IF(J278="Рассчитано",N278*(1-O278/100),"н/д")</x:f>
        <x:v>н/д</x:v>
      </x:c>
      <x:c r="V278" s="20" t="str">
        <x:f>IF(J278="Рассчитано",T278*U278,"н/д")</x:f>
        <x:v>н/д</x:v>
      </x:c>
      <x:c r="W278" s="20" t="str">
        <x:f>IF(J278="Рассчитано",T278*M278,"н/д")</x:f>
        <x:v>н/д</x:v>
      </x:c>
      <x:c r="X278" s="20" t="str">
        <x:f>IF(J278="Рассчитано",V278-W278,"н/д")</x:f>
        <x:v>н/д</x:v>
      </x:c>
      <x:c r="Y278" s="26" t="str">
        <x:f>IF(J278="Рассчитано",IF(V278&gt;0,G278/V278,"н/д"),"н/д")</x:f>
        <x:v>н/д</x:v>
      </x:c>
      <x:c r="Z278" s="20" t="str">
        <x:f>IF(J278="Рассчитано",K278*M278,"н/д")</x:f>
        <x:v>н/д</x:v>
      </x:c>
      <x:c r="AA278" s="20" t="str">
        <x:f>IF(J278="Рассчитано",(K278-T278)*M278,"н/д")</x:f>
        <x:v>н/д</x:v>
      </x:c>
      <x:c r="AB278" s="20" t="str">
        <x:f>IF(AND(J278="Рассчитано",ISNUMBER(S278)),K278*(S278-M278),"н/д")</x:f>
        <x:v>н/д</x:v>
      </x:c>
      <x:c r="AC278" s="20" t="str">
        <x:f>IF(AND(J278="Рассчитано",T278&gt;0,R278&lt;100),(W278+P278+Q278)/(T278*(1-R278/100)),"н/д")</x:f>
        <x:v>н/д</x:v>
      </x:c>
      <x:c r="AD278" s="11" t="str">
        <x:f>IF(ISNUMBER(G278),IF(G278&lt;0,"Убыток",IF(G278=0,"Без прибыли","Прибыль &gt; 0")),"Не оценён")</x:f>
        <x:v>Не оценён</x:v>
      </x:c>
      <x:c r="AE278" s="12" t="str">
        <x:f>IF(J278="Рассчитано","Выручка "&amp;TEXT(V278,"0.00")&amp;" - себестоимость "&amp;TEXT(W278,"0.00")&amp;" - комиссия "&amp;TEXT(V278*R278/100,"0.00")&amp;" - доставка "&amp;TEXT(P278,"0.00")&amp;" - прочие "&amp;TEXT(Q278,"0.00")&amp;" = "&amp;TEXT(G278,"0.00")&amp;" "&amp;L278,"Введите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8" s="23" t="n">
        <x:v>1.0859447902714767</x:v>
      </x:c>
      <x:c r="AG278" s="35" t="n">
        <x:v>0</x:v>
      </x:c>
      <x:c r="AH278" s="35" t="n">
        <x:v>0</x:v>
      </x:c>
      <x:c r="AI278" s="29" t="n">
        <x:v>46266</x:v>
      </x:c>
      <x:c r="AJ278" s="35" t="n">
        <x:v>1</x:v>
      </x:c>
      <x:c r="AK278" s="11" t="str">
        <x:v>минимум</x:v>
      </x:c>
      <x:c r="AL278" s="31" t="n">
        <x:v>0</x:v>
      </x:c>
      <x:c r="AM278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78" s="12" t="str">
        <x:v>Подтвердить наличие, срок и цену закупки</x:v>
      </x:c>
      <x:c r="AO278" s="12" t="str">
        <x:v>Прогноз 30 дней 1.09; остаток 0; поступления в срок 0; нехватка 2; заказ с учётом MOQ 2 шт. Остаток на начало сентября: требуется актуализация.</x:v>
      </x:c>
      <x:c r="AP278" s="12" t="str">
        <x:v>["blank_stock_assumed_zero", "category_missing", "daily_stockout_data_missing", "new_order_lead_time_unknown", "reservations_unknown", "stale_stock", "stockout_proxy_used"]</x:v>
      </x:c>
      <x:c r="AQ278" s="11" t="str">
        <x:v>IEK:280301023_</x:v>
      </x:c>
      <x:c r="AR278" s="23" t="n">
        <x:v>1</x:v>
      </x:c>
      <x:c r="AS278" s="23" t="n">
        <x:f>MAX(0,ROUNDUP(MAX(0,AF278-AG278-AH278)/AR278-0.000000001,0)*AR278)</x:f>
        <x:v>2</x:v>
      </x:c>
      <x:c r="AT278" s="23" t="n">
        <x:v>1.0859447902714767</x:v>
      </x:c>
    </x:row>
    <x:row r="279" ht="64" customHeight="1">
      <x:c r="A279" s="10" t="str">
        <x:v>IEK</x:v>
      </x:c>
      <x:c r="B279" s="34" t="str">
        <x:v>280301024_</x:v>
      </x:c>
      <x:c r="C279" s="34" t="str">
        <x:v>ZKZ11-14-020-09</x:v>
      </x:c>
      <x:c r="D279" s="13" t="str">
        <x:v>Комплект заземления 9/20 б/м оц. сталь HDZ IEK</x:v>
      </x:c>
      <x:c r="E279" s="10" t="str">
        <x:v>шт</x:v>
      </x:c>
      <x:c r="F279" s="37" t="n">
        <x:f>IF(AS279&gt;0,MAX(AS279,AJ279),0)</x:f>
        <x:v>1</x:v>
      </x:c>
      <x:c r="G279" s="21" t="str">
        <x:f>IF(J279="Рассчитано",V279*(1-R279/100)-W279-P279-Q279,"н/д")</x:f>
        <x:v>н/д</x:v>
      </x:c>
      <x:c r="H279" s="13" t="str">
        <x:v>Высокий</x:v>
      </x:c>
      <x:c r="I279" s="13" t="str">
        <x:v>Критический</x:v>
      </x:c>
      <x:c r="J279" s="13" t="str">
        <x:f>IF(L279="","Укажите валюту",IF(NOT(ISNUMBER(K279)),"Укажите объём",IF(K279&lt;=0,"Укажите объём",IF(COUNT(M279:O279)&lt;3,"Нужны цены",IF(COUNT(P279:R279)&lt;3,"Нужны расходы",IF(OR(M279&lt;0,N279&lt;0,O279&lt;0,O279&gt;100,P279&lt;0,Q279&lt;0,R279&lt;0,R279&gt;100),"Проверьте значения","Рассчитано"))))))</x:f>
        <x:v>Нужны цены</x:v>
      </x:c>
      <x:c r="K279" s="36" t="n">
        <x:v>1</x:v>
      </x:c>
      <x:c r="L279" s="19" t="str">
        <x:v>KZT</x:v>
      </x:c>
      <x:c r="M279" s="22"/>
      <x:c r="N279" s="22"/>
      <x:c r="O279" s="28"/>
      <x:c r="P279" s="22"/>
      <x:c r="Q279" s="22"/>
      <x:c r="R279" s="28"/>
      <x:c r="S279" s="22"/>
      <x:c r="T279" s="37" t="n">
        <x:f>MIN(K279,AT279)</x:f>
        <x:v>0.09834298950572885</x:v>
      </x:c>
      <x:c r="U279" s="21" t="str">
        <x:f>IF(J279="Рассчитано",N279*(1-O279/100),"н/д")</x:f>
        <x:v>н/д</x:v>
      </x:c>
      <x:c r="V279" s="21" t="str">
        <x:f>IF(J279="Рассчитано",T279*U279,"н/д")</x:f>
        <x:v>н/д</x:v>
      </x:c>
      <x:c r="W279" s="21" t="str">
        <x:f>IF(J279="Рассчитано",T279*M279,"н/д")</x:f>
        <x:v>н/д</x:v>
      </x:c>
      <x:c r="X279" s="21" t="str">
        <x:f>IF(J279="Рассчитано",V279-W279,"н/д")</x:f>
        <x:v>н/д</x:v>
      </x:c>
      <x:c r="Y279" s="27" t="str">
        <x:f>IF(J279="Рассчитано",IF(V279&gt;0,G279/V279,"н/д"),"н/д")</x:f>
        <x:v>н/д</x:v>
      </x:c>
      <x:c r="Z279" s="21" t="str">
        <x:f>IF(J279="Рассчитано",K279*M279,"н/д")</x:f>
        <x:v>н/д</x:v>
      </x:c>
      <x:c r="AA279" s="21" t="str">
        <x:f>IF(J279="Рассчитано",(K279-T279)*M279,"н/д")</x:f>
        <x:v>н/д</x:v>
      </x:c>
      <x:c r="AB279" s="21" t="str">
        <x:f>IF(AND(J279="Рассчитано",ISNUMBER(S279)),K279*(S279-M279),"н/д")</x:f>
        <x:v>н/д</x:v>
      </x:c>
      <x:c r="AC279" s="21" t="str">
        <x:f>IF(AND(J279="Рассчитано",T279&gt;0,R279&lt;100),(W279+P279+Q279)/(T279*(1-R279/100)),"н/д")</x:f>
        <x:v>н/д</x:v>
      </x:c>
      <x:c r="AD279" s="10" t="str">
        <x:f>IF(ISNUMBER(G279),IF(G279&lt;0,"Убыток",IF(G279=0,"Без прибыли","Прибыль &gt; 0")),"Не оценён")</x:f>
        <x:v>Не оценён</x:v>
      </x:c>
      <x:c r="AE279" s="13" t="str">
        <x:f>IF(J279="Рассчитано","Выручка "&amp;TEXT(V279,"0.00")&amp;" - себестоимость "&amp;TEXT(W279,"0.00")&amp;" - комиссия "&amp;TEXT(V279*R279/100,"0.00")&amp;" - доставка "&amp;TEXT(P279,"0.00")&amp;" - прочие "&amp;TEXT(Q279,"0.00")&amp;" = "&amp;TEXT(G279,"0.00")&amp;" "&amp;L279,"Введите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79" s="24" t="n">
        <x:v>0.09834298950572885</x:v>
      </x:c>
      <x:c r="AG279" s="37" t="n">
        <x:v>0</x:v>
      </x:c>
      <x:c r="AH279" s="37" t="n">
        <x:v>0</x:v>
      </x:c>
      <x:c r="AI279" s="30" t="n">
        <x:v>46266</x:v>
      </x:c>
      <x:c r="AJ279" s="37" t="n">
        <x:v>1</x:v>
      </x:c>
      <x:c r="AK279" s="10" t="str">
        <x:v>минимум</x:v>
      </x:c>
      <x:c r="AL279" s="32" t="n">
        <x:v>0</x:v>
      </x:c>
      <x:c r="AM279" s="13" t="str">
        <x:v>Остаток на начало сентября; Резервы неизвестны; Нет ежедневных данных доступности. Нет запаса</x:v>
      </x:c>
      <x:c r="AN279" s="13" t="str">
        <x:v>Подтвердить наличие, срок и цену закупки</x:v>
      </x:c>
      <x:c r="AO279" s="13" t="str">
        <x:v>Прогноз 30 дней 0.10; остаток 0; поступления в срок 0; нехватка 1; заказ с учётом MOQ 1 шт. Остаток на начало сентября: требуется актуализация.</x:v>
      </x:c>
      <x:c r="AP279" s="13" t="str">
        <x:v>["blank_stock_assumed_zero", "category_missing", "daily_stockout_data_missing", "new_order_lead_time_unknown", "reservations_unknown", "stale_stock"]</x:v>
      </x:c>
      <x:c r="AQ279" s="10" t="str">
        <x:v>IEK:280301024_</x:v>
      </x:c>
      <x:c r="AR279" s="24" t="n">
        <x:v>1</x:v>
      </x:c>
      <x:c r="AS279" s="24" t="n">
        <x:f>MAX(0,ROUNDUP(MAX(0,AF279-AG279-AH279)/AR279-0.000000001,0)*AR279)</x:f>
        <x:v>1</x:v>
      </x:c>
      <x:c r="AT279" s="24" t="n">
        <x:v>0.09834298950572885</x:v>
      </x:c>
    </x:row>
    <x:row r="280" ht="64" customHeight="1">
      <x:c r="A280" s="11" t="str">
        <x:v>IEK</x:v>
      </x:c>
      <x:c r="B280" s="33" t="str">
        <x:v>290100002_</x:v>
      </x:c>
      <x:c r="C280" s="33" t="str">
        <x:v>WYP10-16-03-05-Z-N</x:v>
      </x:c>
      <x:c r="D280" s="12" t="str">
        <x:v>У03 (3места 2р+ре.5метров) IEK</x:v>
      </x:c>
      <x:c r="E280" s="11" t="str">
        <x:v>шт</x:v>
      </x:c>
      <x:c r="F280" s="35" t="n">
        <x:f>AS280</x:f>
        <x:v>1</x:v>
      </x:c>
      <x:c r="G280" s="20" t="str">
        <x:f>IF(J280="Рассчитано",V280*(1-R280/100)-W280-P280-Q280,"н/д")</x:f>
        <x:v>н/д</x:v>
      </x:c>
      <x:c r="H280" s="12" t="str">
        <x:v>Высокий</x:v>
      </x:c>
      <x:c r="I280" s="12" t="str">
        <x:v>Критический</x:v>
      </x:c>
      <x:c r="J280" s="12" t="str">
        <x:f>IF(L280="","Укажите валюту",IF(NOT(ISNUMBER(K280)),"Укажите объём",IF(K280&lt;=0,"Укажите объём",IF(COUNT(M280:O280)&lt;3,"Нужны цены",IF(COUNT(P280:R280)&lt;3,"Нужны расходы",IF(OR(M280&lt;0,N280&lt;0,O280&lt;0,O280&gt;100,P280&lt;0,Q280&lt;0,R280&lt;0,R280&gt;100),"Проверьте значения","Рассчитано"))))))</x:f>
        <x:v>Нужны цены</x:v>
      </x:c>
      <x:c r="K280" s="36" t="n">
        <x:v>1</x:v>
      </x:c>
      <x:c r="L280" s="19" t="str">
        <x:v>KZT</x:v>
      </x:c>
      <x:c r="M280" s="22"/>
      <x:c r="N280" s="22"/>
      <x:c r="O280" s="28"/>
      <x:c r="P280" s="22"/>
      <x:c r="Q280" s="22"/>
      <x:c r="R280" s="28"/>
      <x:c r="S280" s="22"/>
      <x:c r="T280" s="35" t="n">
        <x:f>MIN(K280,AT280)</x:f>
        <x:v>0.09265146327398584</x:v>
      </x:c>
      <x:c r="U280" s="20" t="str">
        <x:f>IF(J280="Рассчитано",N280*(1-O280/100),"н/д")</x:f>
        <x:v>н/д</x:v>
      </x:c>
      <x:c r="V280" s="20" t="str">
        <x:f>IF(J280="Рассчитано",T280*U280,"н/д")</x:f>
        <x:v>н/д</x:v>
      </x:c>
      <x:c r="W280" s="20" t="str">
        <x:f>IF(J280="Рассчитано",T280*M280,"н/д")</x:f>
        <x:v>н/д</x:v>
      </x:c>
      <x:c r="X280" s="20" t="str">
        <x:f>IF(J280="Рассчитано",V280-W280,"н/д")</x:f>
        <x:v>н/д</x:v>
      </x:c>
      <x:c r="Y280" s="26" t="str">
        <x:f>IF(J280="Рассчитано",IF(V280&gt;0,G280/V280,"н/д"),"н/д")</x:f>
        <x:v>н/д</x:v>
      </x:c>
      <x:c r="Z280" s="20" t="str">
        <x:f>IF(J280="Рассчитано",K280*M280,"н/д")</x:f>
        <x:v>н/д</x:v>
      </x:c>
      <x:c r="AA280" s="20" t="str">
        <x:f>IF(J280="Рассчитано",(K280-T280)*M280,"н/д")</x:f>
        <x:v>н/д</x:v>
      </x:c>
      <x:c r="AB280" s="20" t="str">
        <x:f>IF(AND(J280="Рассчитано",ISNUMBER(S280)),K280*(S280-M280),"н/д")</x:f>
        <x:v>н/д</x:v>
      </x:c>
      <x:c r="AC280" s="20" t="str">
        <x:f>IF(AND(J280="Рассчитано",T280&gt;0,R280&lt;100),(W280+P280+Q280)/(T280*(1-R280/100)),"н/д")</x:f>
        <x:v>н/д</x:v>
      </x:c>
      <x:c r="AD280" s="11" t="str">
        <x:f>IF(ISNUMBER(G280),IF(G280&lt;0,"Убыток",IF(G280=0,"Без прибыли","Прибыль &gt; 0")),"Не оценён")</x:f>
        <x:v>Не оценён</x:v>
      </x:c>
      <x:c r="AE280" s="12" t="str">
        <x:f>IF(J280="Рассчитано","Выручка "&amp;TEXT(V280,"0.00")&amp;" - себестоимость "&amp;TEXT(W280,"0.00")&amp;" - комиссия "&amp;TEXT(V280*R280/100,"0.00")&amp;" - доставка "&amp;TEXT(P280,"0.00")&amp;" - прочие "&amp;TEXT(Q280,"0.00")&amp;" = "&amp;TEXT(G280,"0.00")&amp;" "&amp;L280,"Введите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0" s="23" t="n">
        <x:v>0.09265146327398584</x:v>
      </x:c>
      <x:c r="AG280" s="35" t="n">
        <x:v>0</x:v>
      </x:c>
      <x:c r="AH280" s="35" t="n">
        <x:v>0</x:v>
      </x:c>
      <x:c r="AI280" s="29" t="n">
        <x:v>46266</x:v>
      </x:c>
      <x:c r="AJ280" s="35"/>
      <x:c r="AK280" s="11" t="str">
        <x:v>неизвестно</x:v>
      </x:c>
      <x:c r="AL280" s="31" t="n">
        <x:v>0</x:v>
      </x:c>
      <x:c r="AM280" s="12" t="str">
        <x:v>Остаток на начало сентября; Резервы неизвестны; Нет ежедневных данных доступности. Нет запаса</x:v>
      </x:c>
      <x:c r="AN280" s="12" t="str">
        <x:v>Подтвердить наличие, срок и цену закупки</x:v>
      </x:c>
      <x:c r="AO280" s="12" t="str">
        <x:v>Прогноз 30 дней 0.09; остаток 0; поступления в срок 0; нехватка 1; заказ с учётом MOQ 1 шт. Остаток на начало сентября: требуется актуализация.</x:v>
      </x:c>
      <x:c r="AP280" s="12" t="str">
        <x:v>["blank_stock_assumed_zero", "category_missing", "daily_stockout_data_missing", "moq_missing", "new_order_lead_time_unknown", "reservations_unknown", "stale_stock"]</x:v>
      </x:c>
      <x:c r="AQ280" s="11" t="str">
        <x:v>IEK:290100002_</x:v>
      </x:c>
      <x:c r="AR280" s="23" t="n">
        <x:v>1</x:v>
      </x:c>
      <x:c r="AS280" s="23" t="n">
        <x:f>MAX(0,ROUNDUP(MAX(0,AF280-AG280-AH280)/AR280-0.000000001,0)*AR280)</x:f>
        <x:v>1</x:v>
      </x:c>
      <x:c r="AT280" s="23" t="n">
        <x:v>0.09265146327398584</x:v>
      </x:c>
    </x:row>
    <x:row r="281" ht="64" customHeight="1">
      <x:c r="A281" s="10" t="str">
        <x:v>IEK</x:v>
      </x:c>
      <x:c r="B281" s="34" t="str">
        <x:v>290100003_</x:v>
      </x:c>
      <x:c r="C281" s="34" t="str">
        <x:v>WYP10-16-03-03-ZK-N</x:v>
      </x:c>
      <x:c r="D281" s="13" t="str">
        <x:v>У03К-выкл (3места/3метра ) IEK</x:v>
      </x:c>
      <x:c r="E281" s="10" t="str">
        <x:v>шт</x:v>
      </x:c>
      <x:c r="F281" s="37" t="n">
        <x:f>AS281</x:f>
        <x:v>1</x:v>
      </x:c>
      <x:c r="G281" s="21" t="str">
        <x:f>IF(J281="Рассчитано",V281*(1-R281/100)-W281-P281-Q281,"н/д")</x:f>
        <x:v>н/д</x:v>
      </x:c>
      <x:c r="H281" s="13" t="str">
        <x:v>Высокий</x:v>
      </x:c>
      <x:c r="I281" s="13" t="str">
        <x:v>Критический</x:v>
      </x:c>
      <x:c r="J281" s="13" t="str">
        <x:f>IF(L281="","Укажите валюту",IF(NOT(ISNUMBER(K281)),"Укажите объём",IF(K281&lt;=0,"Укажите объём",IF(COUNT(M281:O281)&lt;3,"Нужны цены",IF(COUNT(P281:R281)&lt;3,"Нужны расходы",IF(OR(M281&lt;0,N281&lt;0,O281&lt;0,O281&gt;100,P281&lt;0,Q281&lt;0,R281&lt;0,R281&gt;100),"Проверьте значения","Рассчитано"))))))</x:f>
        <x:v>Нужны цены</x:v>
      </x:c>
      <x:c r="K281" s="36" t="n">
        <x:v>1</x:v>
      </x:c>
      <x:c r="L281" s="19" t="str">
        <x:v>KZT</x:v>
      </x:c>
      <x:c r="M281" s="22"/>
      <x:c r="N281" s="22"/>
      <x:c r="O281" s="28"/>
      <x:c r="P281" s="22"/>
      <x:c r="Q281" s="22"/>
      <x:c r="R281" s="28"/>
      <x:c r="S281" s="22"/>
      <x:c r="T281" s="37" t="n">
        <x:f>MIN(K281,AT281)</x:f>
        <x:v>0.05128797309719172</x:v>
      </x:c>
      <x:c r="U281" s="21" t="str">
        <x:f>IF(J281="Рассчитано",N281*(1-O281/100),"н/д")</x:f>
        <x:v>н/д</x:v>
      </x:c>
      <x:c r="V281" s="21" t="str">
        <x:f>IF(J281="Рассчитано",T281*U281,"н/д")</x:f>
        <x:v>н/д</x:v>
      </x:c>
      <x:c r="W281" s="21" t="str">
        <x:f>IF(J281="Рассчитано",T281*M281,"н/д")</x:f>
        <x:v>н/д</x:v>
      </x:c>
      <x:c r="X281" s="21" t="str">
        <x:f>IF(J281="Рассчитано",V281-W281,"н/д")</x:f>
        <x:v>н/д</x:v>
      </x:c>
      <x:c r="Y281" s="27" t="str">
        <x:f>IF(J281="Рассчитано",IF(V281&gt;0,G281/V281,"н/д"),"н/д")</x:f>
        <x:v>н/д</x:v>
      </x:c>
      <x:c r="Z281" s="21" t="str">
        <x:f>IF(J281="Рассчитано",K281*M281,"н/д")</x:f>
        <x:v>н/д</x:v>
      </x:c>
      <x:c r="AA281" s="21" t="str">
        <x:f>IF(J281="Рассчитано",(K281-T281)*M281,"н/д")</x:f>
        <x:v>н/д</x:v>
      </x:c>
      <x:c r="AB281" s="21" t="str">
        <x:f>IF(AND(J281="Рассчитано",ISNUMBER(S281)),K281*(S281-M281),"н/д")</x:f>
        <x:v>н/д</x:v>
      </x:c>
      <x:c r="AC281" s="21" t="str">
        <x:f>IF(AND(J281="Рассчитано",T281&gt;0,R281&lt;100),(W281+P281+Q281)/(T281*(1-R281/100)),"н/д")</x:f>
        <x:v>н/д</x:v>
      </x:c>
      <x:c r="AD281" s="10" t="str">
        <x:f>IF(ISNUMBER(G281),IF(G281&lt;0,"Убыток",IF(G281=0,"Без прибыли","Прибыль &gt; 0")),"Не оценён")</x:f>
        <x:v>Не оценён</x:v>
      </x:c>
      <x:c r="AE281" s="13" t="str">
        <x:f>IF(J281="Рассчитано","Выручка "&amp;TEXT(V281,"0.00")&amp;" - себестоимость "&amp;TEXT(W281,"0.00")&amp;" - комиссия "&amp;TEXT(V281*R281/100,"0.00")&amp;" - доставка "&amp;TEXT(P281,"0.00")&amp;" - прочие "&amp;TEXT(Q281,"0.00")&amp;" = "&amp;TEXT(G281,"0.00")&amp;" "&amp;L281,"Введите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1" s="24" t="n">
        <x:v>0.05128797309719172</x:v>
      </x:c>
      <x:c r="AG281" s="37" t="n">
        <x:v>0</x:v>
      </x:c>
      <x:c r="AH281" s="37" t="n">
        <x:v>0</x:v>
      </x:c>
      <x:c r="AI281" s="30" t="n">
        <x:v>46266</x:v>
      </x:c>
      <x:c r="AJ281" s="37"/>
      <x:c r="AK281" s="10" t="str">
        <x:v>неизвестно</x:v>
      </x:c>
      <x:c r="AL281" s="32" t="n">
        <x:v>0</x:v>
      </x:c>
      <x:c r="AM281" s="13" t="str">
        <x:v>Остаток на начало сентября; Резервы неизвестны; Нет ежедневных данных доступности. Нет запаса</x:v>
      </x:c>
      <x:c r="AN281" s="13" t="str">
        <x:v>Подтвердить наличие, срок и цену закупки</x:v>
      </x:c>
      <x:c r="AO281" s="13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281" s="13" t="str">
        <x:v>["blank_stock_assumed_zero", "category_missing", "daily_stockout_data_missing", "moq_missing", "new_order_lead_time_unknown", "reservations_unknown", "stale_stock"]</x:v>
      </x:c>
      <x:c r="AQ281" s="10" t="str">
        <x:v>IEK:290100003_</x:v>
      </x:c>
      <x:c r="AR281" s="24" t="n">
        <x:v>1</x:v>
      </x:c>
      <x:c r="AS281" s="24" t="n">
        <x:f>MAX(0,ROUNDUP(MAX(0,AF281-AG281-AH281)/AR281-0.000000001,0)*AR281)</x:f>
        <x:v>1</x:v>
      </x:c>
      <x:c r="AT281" s="24" t="n">
        <x:v>0.05128797309719172</x:v>
      </x:c>
    </x:row>
    <x:row r="282" ht="64" customHeight="1">
      <x:c r="A282" s="11" t="str">
        <x:v>IEK</x:v>
      </x:c>
      <x:c r="B282" s="33" t="str">
        <x:v>290100010_</x:v>
      </x:c>
      <x:c r="C282" s="33" t="str">
        <x:v>WYP10-16-03-05-ZK-N</x:v>
      </x:c>
      <x:c r="D282" s="12" t="str">
        <x:v>У03К-выкл (3места/5метров ) IEK</x:v>
      </x:c>
      <x:c r="E282" s="11" t="str">
        <x:v>шт</x:v>
      </x:c>
      <x:c r="F282" s="35" t="n">
        <x:f>AS282</x:f>
        <x:v>1</x:v>
      </x:c>
      <x:c r="G282" s="20" t="str">
        <x:f>IF(J282="Рассчитано",V282*(1-R282/100)-W282-P282-Q282,"н/д")</x:f>
        <x:v>н/д</x:v>
      </x:c>
      <x:c r="H282" s="12" t="str">
        <x:v>Высокий</x:v>
      </x:c>
      <x:c r="I282" s="12" t="str">
        <x:v>Критический</x:v>
      </x:c>
      <x:c r="J282" s="12" t="str">
        <x:f>IF(L282="","Укажите валюту",IF(NOT(ISNUMBER(K282)),"Укажите объём",IF(K282&lt;=0,"Укажите объём",IF(COUNT(M282:O282)&lt;3,"Нужны цены",IF(COUNT(P282:R282)&lt;3,"Нужны расходы",IF(OR(M282&lt;0,N282&lt;0,O282&lt;0,O282&gt;100,P282&lt;0,Q282&lt;0,R282&lt;0,R282&gt;100),"Проверьте значения","Рассчитано"))))))</x:f>
        <x:v>Нужны цены</x:v>
      </x:c>
      <x:c r="K282" s="36" t="n">
        <x:v>1</x:v>
      </x:c>
      <x:c r="L282" s="19" t="str">
        <x:v>KZT</x:v>
      </x:c>
      <x:c r="M282" s="22"/>
      <x:c r="N282" s="22"/>
      <x:c r="O282" s="28"/>
      <x:c r="P282" s="22"/>
      <x:c r="Q282" s="22"/>
      <x:c r="R282" s="28"/>
      <x:c r="S282" s="22"/>
      <x:c r="T282" s="35" t="n">
        <x:f>MIN(K282,AT282)</x:f>
        <x:v>0.04632573163699292</x:v>
      </x:c>
      <x:c r="U282" s="20" t="str">
        <x:f>IF(J282="Рассчитано",N282*(1-O282/100),"н/д")</x:f>
        <x:v>н/д</x:v>
      </x:c>
      <x:c r="V282" s="20" t="str">
        <x:f>IF(J282="Рассчитано",T282*U282,"н/д")</x:f>
        <x:v>н/д</x:v>
      </x:c>
      <x:c r="W282" s="20" t="str">
        <x:f>IF(J282="Рассчитано",T282*M282,"н/д")</x:f>
        <x:v>н/д</x:v>
      </x:c>
      <x:c r="X282" s="20" t="str">
        <x:f>IF(J282="Рассчитано",V282-W282,"н/д")</x:f>
        <x:v>н/д</x:v>
      </x:c>
      <x:c r="Y282" s="26" t="str">
        <x:f>IF(J282="Рассчитано",IF(V282&gt;0,G282/V282,"н/д"),"н/д")</x:f>
        <x:v>н/д</x:v>
      </x:c>
      <x:c r="Z282" s="20" t="str">
        <x:f>IF(J282="Рассчитано",K282*M282,"н/д")</x:f>
        <x:v>н/д</x:v>
      </x:c>
      <x:c r="AA282" s="20" t="str">
        <x:f>IF(J282="Рассчитано",(K282-T282)*M282,"н/д")</x:f>
        <x:v>н/д</x:v>
      </x:c>
      <x:c r="AB282" s="20" t="str">
        <x:f>IF(AND(J282="Рассчитано",ISNUMBER(S282)),K282*(S282-M282),"н/д")</x:f>
        <x:v>н/д</x:v>
      </x:c>
      <x:c r="AC282" s="20" t="str">
        <x:f>IF(AND(J282="Рассчитано",T282&gt;0,R282&lt;100),(W282+P282+Q282)/(T282*(1-R282/100)),"н/д")</x:f>
        <x:v>н/д</x:v>
      </x:c>
      <x:c r="AD282" s="11" t="str">
        <x:f>IF(ISNUMBER(G282),IF(G282&lt;0,"Убыток",IF(G282=0,"Без прибыли","Прибыль &gt; 0")),"Не оценён")</x:f>
        <x:v>Не оценён</x:v>
      </x:c>
      <x:c r="AE282" s="12" t="str">
        <x:f>IF(J282="Рассчитано","Выручка "&amp;TEXT(V282,"0.00")&amp;" - себестоимость "&amp;TEXT(W282,"0.00")&amp;" - комиссия "&amp;TEXT(V282*R282/100,"0.00")&amp;" - доставка "&amp;TEXT(P282,"0.00")&amp;" - прочие "&amp;TEXT(Q282,"0.00")&amp;" = "&amp;TEXT(G282,"0.00")&amp;" "&amp;L282,"Введите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2" s="23" t="n">
        <x:v>0.04632573163699292</x:v>
      </x:c>
      <x:c r="AG282" s="35" t="n">
        <x:v>0</x:v>
      </x:c>
      <x:c r="AH282" s="35" t="n">
        <x:v>0</x:v>
      </x:c>
      <x:c r="AI282" s="29" t="n">
        <x:v>46266</x:v>
      </x:c>
      <x:c r="AJ282" s="35"/>
      <x:c r="AK282" s="11" t="str">
        <x:v>неизвестно</x:v>
      </x:c>
      <x:c r="AL282" s="31" t="n">
        <x:v>0</x:v>
      </x:c>
      <x:c r="AM282" s="12" t="str">
        <x:v>Остаток на начало сентября; Резервы неизвестны; Нет ежедневных данных доступности. Нет запаса</x:v>
      </x:c>
      <x:c r="AN282" s="12" t="str">
        <x:v>Подтвердить наличие, срок и цену закупки</x:v>
      </x:c>
      <x:c r="AO282" s="12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282" s="12" t="str">
        <x:v>["blank_stock_assumed_zero", "category_missing", "daily_stockout_data_missing", "moq_missing", "new_order_lead_time_unknown", "reservations_unknown", "stale_stock"]</x:v>
      </x:c>
      <x:c r="AQ282" s="11" t="str">
        <x:v>IEK:290100010_</x:v>
      </x:c>
      <x:c r="AR282" s="23" t="n">
        <x:v>1</x:v>
      </x:c>
      <x:c r="AS282" s="23" t="n">
        <x:f>MAX(0,ROUNDUP(MAX(0,AF282-AG282-AH282)/AR282-0.000000001,0)*AR282)</x:f>
        <x:v>1</x:v>
      </x:c>
      <x:c r="AT282" s="23" t="n">
        <x:v>0.04632573163699292</x:v>
      </x:c>
    </x:row>
    <x:row r="283" ht="64" customHeight="1">
      <x:c r="A283" s="10" t="str">
        <x:v>IEK</x:v>
      </x:c>
      <x:c r="B283" s="34" t="str">
        <x:v>290100011_</x:v>
      </x:c>
      <x:c r="C283" s="34" t="str">
        <x:v>WYP10-16-04-05-Z-N</x:v>
      </x:c>
      <x:c r="D283" s="13" t="str">
        <x:v>У04 (4места 2р+ре.5метров) IEK</x:v>
      </x:c>
      <x:c r="E283" s="10" t="str">
        <x:v>шт</x:v>
      </x:c>
      <x:c r="F283" s="37" t="n">
        <x:f>AS283</x:f>
        <x:v>1</x:v>
      </x:c>
      <x:c r="G283" s="21" t="str">
        <x:f>IF(J283="Рассчитано",V283*(1-R283/100)-W283-P283-Q283,"н/д")</x:f>
        <x:v>н/д</x:v>
      </x:c>
      <x:c r="H283" s="13" t="str">
        <x:v>Высокий</x:v>
      </x:c>
      <x:c r="I283" s="13" t="str">
        <x:v>Критический</x:v>
      </x:c>
      <x:c r="J283" s="13" t="str">
        <x:f>IF(L283="","Укажите валюту",IF(NOT(ISNUMBER(K283)),"Укажите объём",IF(K283&lt;=0,"Укажите объём",IF(COUNT(M283:O283)&lt;3,"Нужны цены",IF(COUNT(P283:R283)&lt;3,"Нужны расходы",IF(OR(M283&lt;0,N283&lt;0,O283&lt;0,O283&gt;100,P283&lt;0,Q283&lt;0,R283&lt;0,R283&gt;100),"Проверьте значения","Рассчитано"))))))</x:f>
        <x:v>Нужны цены</x:v>
      </x:c>
      <x:c r="K283" s="36" t="n">
        <x:v>1</x:v>
      </x:c>
      <x:c r="L283" s="19" t="str">
        <x:v>KZT</x:v>
      </x:c>
      <x:c r="M283" s="22"/>
      <x:c r="N283" s="22"/>
      <x:c r="O283" s="28"/>
      <x:c r="P283" s="22"/>
      <x:c r="Q283" s="22"/>
      <x:c r="R283" s="28"/>
      <x:c r="S283" s="22"/>
      <x:c r="T283" s="37" t="n">
        <x:f>MIN(K283,AT283)</x:f>
        <x:v>0.13897719491097874</x:v>
      </x:c>
      <x:c r="U283" s="21" t="str">
        <x:f>IF(J283="Рассчитано",N283*(1-O283/100),"н/д")</x:f>
        <x:v>н/д</x:v>
      </x:c>
      <x:c r="V283" s="21" t="str">
        <x:f>IF(J283="Рассчитано",T283*U283,"н/д")</x:f>
        <x:v>н/д</x:v>
      </x:c>
      <x:c r="W283" s="21" t="str">
        <x:f>IF(J283="Рассчитано",T283*M283,"н/д")</x:f>
        <x:v>н/д</x:v>
      </x:c>
      <x:c r="X283" s="21" t="str">
        <x:f>IF(J283="Рассчитано",V283-W283,"н/д")</x:f>
        <x:v>н/д</x:v>
      </x:c>
      <x:c r="Y283" s="27" t="str">
        <x:f>IF(J283="Рассчитано",IF(V283&gt;0,G283/V283,"н/д"),"н/д")</x:f>
        <x:v>н/д</x:v>
      </x:c>
      <x:c r="Z283" s="21" t="str">
        <x:f>IF(J283="Рассчитано",K283*M283,"н/д")</x:f>
        <x:v>н/д</x:v>
      </x:c>
      <x:c r="AA283" s="21" t="str">
        <x:f>IF(J283="Рассчитано",(K283-T283)*M283,"н/д")</x:f>
        <x:v>н/д</x:v>
      </x:c>
      <x:c r="AB283" s="21" t="str">
        <x:f>IF(AND(J283="Рассчитано",ISNUMBER(S283)),K283*(S283-M283),"н/д")</x:f>
        <x:v>н/д</x:v>
      </x:c>
      <x:c r="AC283" s="21" t="str">
        <x:f>IF(AND(J283="Рассчитано",T283&gt;0,R283&lt;100),(W283+P283+Q283)/(T283*(1-R283/100)),"н/д")</x:f>
        <x:v>н/д</x:v>
      </x:c>
      <x:c r="AD283" s="10" t="str">
        <x:f>IF(ISNUMBER(G283),IF(G283&lt;0,"Убыток",IF(G283=0,"Без прибыли","Прибыль &gt; 0")),"Не оценён")</x:f>
        <x:v>Не оценён</x:v>
      </x:c>
      <x:c r="AE283" s="13" t="str">
        <x:f>IF(J283="Рассчитано","Выручка "&amp;TEXT(V283,"0.00")&amp;" - себестоимость "&amp;TEXT(W283,"0.00")&amp;" - комиссия "&amp;TEXT(V283*R283/100,"0.00")&amp;" - доставка "&amp;TEXT(P283,"0.00")&amp;" - прочие "&amp;TEXT(Q283,"0.00")&amp;" = "&amp;TEXT(G283,"0.00")&amp;" "&amp;L283,"Введите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3" s="24" t="n">
        <x:v>0.13897719491097874</x:v>
      </x:c>
      <x:c r="AG283" s="37" t="n">
        <x:v>0</x:v>
      </x:c>
      <x:c r="AH283" s="37" t="n">
        <x:v>0</x:v>
      </x:c>
      <x:c r="AI283" s="30" t="n">
        <x:v>46266</x:v>
      </x:c>
      <x:c r="AJ283" s="37"/>
      <x:c r="AK283" s="10" t="str">
        <x:v>неизвестно</x:v>
      </x:c>
      <x:c r="AL283" s="32" t="n">
        <x:v>0</x:v>
      </x:c>
      <x:c r="AM283" s="13" t="str">
        <x:v>Остаток на начало сентября; Резервы неизвестны; Нет ежедневных данных доступности. Нет запаса</x:v>
      </x:c>
      <x:c r="AN283" s="13" t="str">
        <x:v>Подтвердить наличие, срок и цену закупки</x:v>
      </x:c>
      <x:c r="AO283" s="13" t="str">
        <x:v>Прогноз 30 дней 0.14; остаток 0; поступления в срок 0; нехватка 1; заказ с учётом MOQ 1 шт. Остаток на начало сентября: требуется актуализация.</x:v>
      </x:c>
      <x:c r="AP283" s="13" t="str">
        <x:v>["blank_stock_assumed_zero", "category_missing", "daily_stockout_data_missing", "moq_missing", "new_order_lead_time_unknown", "reservations_unknown", "stale_stock"]</x:v>
      </x:c>
      <x:c r="AQ283" s="10" t="str">
        <x:v>IEK:290100011_</x:v>
      </x:c>
      <x:c r="AR283" s="24" t="n">
        <x:v>1</x:v>
      </x:c>
      <x:c r="AS283" s="24" t="n">
        <x:f>MAX(0,ROUNDUP(MAX(0,AF283-AG283-AH283)/AR283-0.000000001,0)*AR283)</x:f>
        <x:v>1</x:v>
      </x:c>
      <x:c r="AT283" s="24" t="n">
        <x:v>0.13897719491097874</x:v>
      </x:c>
    </x:row>
    <x:row r="284" ht="64" customHeight="1">
      <x:c r="A284" s="11" t="str">
        <x:v>IEK</x:v>
      </x:c>
      <x:c r="B284" s="33" t="str">
        <x:v>290100013_</x:v>
      </x:c>
      <x:c r="C284" s="33" t="str">
        <x:v>WYP10-16-04-03-ZK-N</x:v>
      </x:c>
      <x:c r="D284" s="12" t="str">
        <x:v>У04К-выкл (4места  .3метра ) IEK</x:v>
      </x:c>
      <x:c r="E284" s="11" t="str">
        <x:v>шт</x:v>
      </x:c>
      <x:c r="F284" s="35" t="n">
        <x:f>AS284</x:f>
        <x:v>2</x:v>
      </x:c>
      <x:c r="G284" s="20" t="str">
        <x:f>IF(J284="Рассчитано",V284*(1-R284/100)-W284-P284-Q284,"н/д")</x:f>
        <x:v>н/д</x:v>
      </x:c>
      <x:c r="H284" s="12" t="str">
        <x:v>Высокий</x:v>
      </x:c>
      <x:c r="I284" s="12" t="str">
        <x:v>Критический</x:v>
      </x:c>
      <x:c r="J284" s="12" t="str">
        <x:f>IF(L284="","Укажите валюту",IF(NOT(ISNUMBER(K284)),"Укажите объём",IF(K284&lt;=0,"Укажите объём",IF(COUNT(M284:O284)&lt;3,"Нужны цены",IF(COUNT(P284:R284)&lt;3,"Нужны расходы",IF(OR(M284&lt;0,N284&lt;0,O284&lt;0,O284&gt;100,P284&lt;0,Q284&lt;0,R284&lt;0,R284&gt;100),"Проверьте значения","Рассчитано"))))))</x:f>
        <x:v>Нужны цены</x:v>
      </x:c>
      <x:c r="K284" s="36" t="n">
        <x:v>2</x:v>
      </x:c>
      <x:c r="L284" s="19" t="str">
        <x:v>KZT</x:v>
      </x:c>
      <x:c r="M284" s="22"/>
      <x:c r="N284" s="22"/>
      <x:c r="O284" s="28"/>
      <x:c r="P284" s="22"/>
      <x:c r="Q284" s="22"/>
      <x:c r="R284" s="28"/>
      <x:c r="S284" s="22"/>
      <x:c r="T284" s="35" t="n">
        <x:f>MIN(K284,AT284)</x:f>
        <x:v>1.0449655911903535</x:v>
      </x:c>
      <x:c r="U284" s="20" t="str">
        <x:f>IF(J284="Рассчитано",N284*(1-O284/100),"н/д")</x:f>
        <x:v>н/д</x:v>
      </x:c>
      <x:c r="V284" s="20" t="str">
        <x:f>IF(J284="Рассчитано",T284*U284,"н/д")</x:f>
        <x:v>н/д</x:v>
      </x:c>
      <x:c r="W284" s="20" t="str">
        <x:f>IF(J284="Рассчитано",T284*M284,"н/д")</x:f>
        <x:v>н/д</x:v>
      </x:c>
      <x:c r="X284" s="20" t="str">
        <x:f>IF(J284="Рассчитано",V284-W284,"н/д")</x:f>
        <x:v>н/д</x:v>
      </x:c>
      <x:c r="Y284" s="26" t="str">
        <x:f>IF(J284="Рассчитано",IF(V284&gt;0,G284/V284,"н/д"),"н/д")</x:f>
        <x:v>н/д</x:v>
      </x:c>
      <x:c r="Z284" s="20" t="str">
        <x:f>IF(J284="Рассчитано",K284*M284,"н/д")</x:f>
        <x:v>н/д</x:v>
      </x:c>
      <x:c r="AA284" s="20" t="str">
        <x:f>IF(J284="Рассчитано",(K284-T284)*M284,"н/д")</x:f>
        <x:v>н/д</x:v>
      </x:c>
      <x:c r="AB284" s="20" t="str">
        <x:f>IF(AND(J284="Рассчитано",ISNUMBER(S284)),K284*(S284-M284),"н/д")</x:f>
        <x:v>н/д</x:v>
      </x:c>
      <x:c r="AC284" s="20" t="str">
        <x:f>IF(AND(J284="Рассчитано",T284&gt;0,R284&lt;100),(W284+P284+Q284)/(T284*(1-R284/100)),"н/д")</x:f>
        <x:v>н/д</x:v>
      </x:c>
      <x:c r="AD284" s="11" t="str">
        <x:f>IF(ISNUMBER(G284),IF(G284&lt;0,"Убыток",IF(G284=0,"Без прибыли","Прибыль &gt; 0")),"Не оценён")</x:f>
        <x:v>Не оценён</x:v>
      </x:c>
      <x:c r="AE284" s="12" t="str">
        <x:f>IF(J284="Рассчитано","Выручка "&amp;TEXT(V284,"0.00")&amp;" - себестоимость "&amp;TEXT(W284,"0.00")&amp;" - комиссия "&amp;TEXT(V284*R284/100,"0.00")&amp;" - доставка "&amp;TEXT(P284,"0.00")&amp;" - прочие "&amp;TEXT(Q284,"0.00")&amp;" = "&amp;TEXT(G284,"0.00")&amp;" "&amp;L284,"Введите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4" s="23" t="n">
        <x:v>1.0449655911903535</x:v>
      </x:c>
      <x:c r="AG284" s="35" t="n">
        <x:v>0</x:v>
      </x:c>
      <x:c r="AH284" s="35" t="n">
        <x:v>0</x:v>
      </x:c>
      <x:c r="AI284" s="29" t="n">
        <x:v>46266</x:v>
      </x:c>
      <x:c r="AJ284" s="35"/>
      <x:c r="AK284" s="11" t="str">
        <x:v>неизвестно</x:v>
      </x:c>
      <x:c r="AL284" s="31" t="n">
        <x:v>0</x:v>
      </x:c>
      <x:c r="AM284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284" s="12" t="str">
        <x:v>Подтвердить наличие, срок и цену закупки</x:v>
      </x:c>
      <x:c r="AO284" s="12" t="str">
        <x:v>Прогноз 30 дней 1.04; остаток 0; поступления в срок 0; нехватка 2; заказ с учётом MOQ 2 шт. Остаток на начало сентября: требуется актуализация.</x:v>
      </x:c>
      <x:c r="AP284" s="12" t="str">
        <x:v>["blank_stock_assumed_zero", "category_missing", "daily_stockout_data_missing", "moq_missing", "new_order_lead_time_unknown", "reservations_unknown", "stale_stock", "stockout_proxy_used"]</x:v>
      </x:c>
      <x:c r="AQ284" s="11" t="str">
        <x:v>IEK:290100013_</x:v>
      </x:c>
      <x:c r="AR284" s="23" t="n">
        <x:v>1</x:v>
      </x:c>
      <x:c r="AS284" s="23" t="n">
        <x:f>MAX(0,ROUNDUP(MAX(0,AF284-AG284-AH284)/AR284-0.000000001,0)*AR284)</x:f>
        <x:v>2</x:v>
      </x:c>
      <x:c r="AT284" s="23" t="n">
        <x:v>1.0449655911903535</x:v>
      </x:c>
    </x:row>
    <x:row r="285" ht="64" customHeight="1">
      <x:c r="A285" s="10" t="str">
        <x:v>IEK</x:v>
      </x:c>
      <x:c r="B285" s="34" t="str">
        <x:v>290100014_</x:v>
      </x:c>
      <x:c r="C285" s="34" t="str">
        <x:v>WYP10-16-04-05-ZK-N</x:v>
      </x:c>
      <x:c r="D285" s="13" t="str">
        <x:v>У04К-выкл (4места  .5метра ) IEK</x:v>
      </x:c>
      <x:c r="E285" s="10" t="str">
        <x:v>шт</x:v>
      </x:c>
      <x:c r="F285" s="37" t="n">
        <x:f>AS285</x:f>
        <x:v>1</x:v>
      </x:c>
      <x:c r="G285" s="21" t="str">
        <x:f>IF(J285="Рассчитано",V285*(1-R285/100)-W285-P285-Q285,"н/д")</x:f>
        <x:v>н/д</x:v>
      </x:c>
      <x:c r="H285" s="13" t="str">
        <x:v>Высокий</x:v>
      </x:c>
      <x:c r="I285" s="13" t="str">
        <x:v>Критический</x:v>
      </x:c>
      <x:c r="J285" s="13" t="str">
        <x:f>IF(L285="","Укажите валюту",IF(NOT(ISNUMBER(K285)),"Укажите объём",IF(K285&lt;=0,"Укажите объём",IF(COUNT(M285:O285)&lt;3,"Нужны цены",IF(COUNT(P285:R285)&lt;3,"Нужны расходы",IF(OR(M285&lt;0,N285&lt;0,O285&lt;0,O285&gt;100,P285&lt;0,Q285&lt;0,R285&lt;0,R285&gt;100),"Проверьте значения","Рассчитано"))))))</x:f>
        <x:v>Нужны цены</x:v>
      </x:c>
      <x:c r="K285" s="36" t="n">
        <x:v>1</x:v>
      </x:c>
      <x:c r="L285" s="19" t="str">
        <x:v>KZT</x:v>
      </x:c>
      <x:c r="M285" s="22"/>
      <x:c r="N285" s="22"/>
      <x:c r="O285" s="28"/>
      <x:c r="P285" s="22"/>
      <x:c r="Q285" s="22"/>
      <x:c r="R285" s="28"/>
      <x:c r="S285" s="22"/>
      <x:c r="T285" s="37" t="n">
        <x:f>MIN(K285,AT285)</x:f>
        <x:v>0.03480184351304997</x:v>
      </x:c>
      <x:c r="U285" s="21" t="str">
        <x:f>IF(J285="Рассчитано",N285*(1-O285/100),"н/д")</x:f>
        <x:v>н/д</x:v>
      </x:c>
      <x:c r="V285" s="21" t="str">
        <x:f>IF(J285="Рассчитано",T285*U285,"н/д")</x:f>
        <x:v>н/д</x:v>
      </x:c>
      <x:c r="W285" s="21" t="str">
        <x:f>IF(J285="Рассчитано",T285*M285,"н/д")</x:f>
        <x:v>н/д</x:v>
      </x:c>
      <x:c r="X285" s="21" t="str">
        <x:f>IF(J285="Рассчитано",V285-W285,"н/д")</x:f>
        <x:v>н/д</x:v>
      </x:c>
      <x:c r="Y285" s="27" t="str">
        <x:f>IF(J285="Рассчитано",IF(V285&gt;0,G285/V285,"н/д"),"н/д")</x:f>
        <x:v>н/д</x:v>
      </x:c>
      <x:c r="Z285" s="21" t="str">
        <x:f>IF(J285="Рассчитано",K285*M285,"н/д")</x:f>
        <x:v>н/д</x:v>
      </x:c>
      <x:c r="AA285" s="21" t="str">
        <x:f>IF(J285="Рассчитано",(K285-T285)*M285,"н/д")</x:f>
        <x:v>н/д</x:v>
      </x:c>
      <x:c r="AB285" s="21" t="str">
        <x:f>IF(AND(J285="Рассчитано",ISNUMBER(S285)),K285*(S285-M285),"н/д")</x:f>
        <x:v>н/д</x:v>
      </x:c>
      <x:c r="AC285" s="21" t="str">
        <x:f>IF(AND(J285="Рассчитано",T285&gt;0,R285&lt;100),(W285+P285+Q285)/(T285*(1-R285/100)),"н/д")</x:f>
        <x:v>н/д</x:v>
      </x:c>
      <x:c r="AD285" s="10" t="str">
        <x:f>IF(ISNUMBER(G285),IF(G285&lt;0,"Убыток",IF(G285=0,"Без прибыли","Прибыль &gt; 0")),"Не оценён")</x:f>
        <x:v>Не оценён</x:v>
      </x:c>
      <x:c r="AE285" s="13" t="str">
        <x:f>IF(J285="Рассчитано","Выручка "&amp;TEXT(V285,"0.00")&amp;" - себестоимость "&amp;TEXT(W285,"0.00")&amp;" - комиссия "&amp;TEXT(V285*R285/100,"0.00")&amp;" - доставка "&amp;TEXT(P285,"0.00")&amp;" - прочие "&amp;TEXT(Q285,"0.00")&amp;" = "&amp;TEXT(G285,"0.00")&amp;" "&amp;L285,"Введите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5" s="24" t="n">
        <x:v>0.03480184351304997</x:v>
      </x:c>
      <x:c r="AG285" s="37" t="n">
        <x:v>0</x:v>
      </x:c>
      <x:c r="AH285" s="37" t="n">
        <x:v>0</x:v>
      </x:c>
      <x:c r="AI285" s="30" t="n">
        <x:v>46266</x:v>
      </x:c>
      <x:c r="AJ285" s="37"/>
      <x:c r="AK285" s="10" t="str">
        <x:v>неизвестно</x:v>
      </x:c>
      <x:c r="AL285" s="32" t="n">
        <x:v>0</x:v>
      </x:c>
      <x:c r="AM285" s="13" t="str">
        <x:v>Остаток на начало сентября; Резервы неизвестны; Нет ежедневных данных доступности. Нет запаса</x:v>
      </x:c>
      <x:c r="AN285" s="13" t="str">
        <x:v>Подтвердить наличие, срок и цену закупки</x:v>
      </x:c>
      <x:c r="AO285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285" s="13" t="str">
        <x:v>["blank_stock_assumed_zero", "category_missing", "daily_stockout_data_missing", "moq_missing", "new_order_lead_time_unknown", "reservations_unknown", "stale_stock"]</x:v>
      </x:c>
      <x:c r="AQ285" s="10" t="str">
        <x:v>IEK:290100014_</x:v>
      </x:c>
      <x:c r="AR285" s="24" t="n">
        <x:v>1</x:v>
      </x:c>
      <x:c r="AS285" s="24" t="n">
        <x:f>MAX(0,ROUNDUP(MAX(0,AF285-AG285-AH285)/AR285-0.000000001,0)*AR285)</x:f>
        <x:v>1</x:v>
      </x:c>
      <x:c r="AT285" s="24" t="n">
        <x:v>0.03480184351304997</x:v>
      </x:c>
    </x:row>
    <x:row r="286" ht="64" customHeight="1">
      <x:c r="A286" s="11" t="str">
        <x:v>IEK</x:v>
      </x:c>
      <x:c r="B286" s="33" t="str">
        <x:v>290100035_</x:v>
      </x:c>
      <x:c r="C286" s="33"/>
      <x:c r="D286" s="12" t="str">
        <x:v>ВА 88-33 (3ф)  16А IEK (1/16) !!!</x:v>
      </x:c>
      <x:c r="E286" s="11" t="str">
        <x:v>шт</x:v>
      </x:c>
      <x:c r="F286" s="35" t="n">
        <x:f>AS286</x:f>
        <x:v>1</x:v>
      </x:c>
      <x:c r="G286" s="20" t="str">
        <x:f>IF(J286="Рассчитано",V286*(1-R286/100)-W286-P286-Q286,"н/д")</x:f>
        <x:v>н/д</x:v>
      </x:c>
      <x:c r="H286" s="12" t="str">
        <x:v>Высокий</x:v>
      </x:c>
      <x:c r="I286" s="12" t="str">
        <x:v>Критический</x:v>
      </x:c>
      <x:c r="J286" s="12" t="str">
        <x:f>IF(L286="","Укажите валюту",IF(NOT(ISNUMBER(K286)),"Укажите объём",IF(K286&lt;=0,"Укажите объём",IF(COUNT(M286:O286)&lt;3,"Нужны цены",IF(COUNT(P286:R286)&lt;3,"Нужны расходы",IF(OR(M286&lt;0,N286&lt;0,O286&lt;0,O286&gt;100,P286&lt;0,Q286&lt;0,R286&lt;0,R286&gt;100),"Проверьте значения","Рассчитано"))))))</x:f>
        <x:v>Нужны цены</x:v>
      </x:c>
      <x:c r="K286" s="36" t="n">
        <x:v>1</x:v>
      </x:c>
      <x:c r="L286" s="19" t="str">
        <x:v>KZT</x:v>
      </x:c>
      <x:c r="M286" s="22"/>
      <x:c r="N286" s="22"/>
      <x:c r="O286" s="28"/>
      <x:c r="P286" s="22"/>
      <x:c r="Q286" s="22"/>
      <x:c r="R286" s="28"/>
      <x:c r="S286" s="22"/>
      <x:c r="T286" s="35" t="n">
        <x:f>MIN(K286,AT286)</x:f>
        <x:v>0.5862198456073304</x:v>
      </x:c>
      <x:c r="U286" s="20" t="str">
        <x:f>IF(J286="Рассчитано",N286*(1-O286/100),"н/д")</x:f>
        <x:v>н/д</x:v>
      </x:c>
      <x:c r="V286" s="20" t="str">
        <x:f>IF(J286="Рассчитано",T286*U286,"н/д")</x:f>
        <x:v>н/д</x:v>
      </x:c>
      <x:c r="W286" s="20" t="str">
        <x:f>IF(J286="Рассчитано",T286*M286,"н/д")</x:f>
        <x:v>н/д</x:v>
      </x:c>
      <x:c r="X286" s="20" t="str">
        <x:f>IF(J286="Рассчитано",V286-W286,"н/д")</x:f>
        <x:v>н/д</x:v>
      </x:c>
      <x:c r="Y286" s="26" t="str">
        <x:f>IF(J286="Рассчитано",IF(V286&gt;0,G286/V286,"н/д"),"н/д")</x:f>
        <x:v>н/д</x:v>
      </x:c>
      <x:c r="Z286" s="20" t="str">
        <x:f>IF(J286="Рассчитано",K286*M286,"н/д")</x:f>
        <x:v>н/д</x:v>
      </x:c>
      <x:c r="AA286" s="20" t="str">
        <x:f>IF(J286="Рассчитано",(K286-T286)*M286,"н/д")</x:f>
        <x:v>н/д</x:v>
      </x:c>
      <x:c r="AB286" s="20" t="str">
        <x:f>IF(AND(J286="Рассчитано",ISNUMBER(S286)),K286*(S286-M286),"н/д")</x:f>
        <x:v>н/д</x:v>
      </x:c>
      <x:c r="AC286" s="20" t="str">
        <x:f>IF(AND(J286="Рассчитано",T286&gt;0,R286&lt;100),(W286+P286+Q286)/(T286*(1-R286/100)),"н/д")</x:f>
        <x:v>н/д</x:v>
      </x:c>
      <x:c r="AD286" s="11" t="str">
        <x:f>IF(ISNUMBER(G286),IF(G286&lt;0,"Убыток",IF(G286=0,"Без прибыли","Прибыль &gt; 0")),"Не оценён")</x:f>
        <x:v>Не оценён</x:v>
      </x:c>
      <x:c r="AE286" s="12" t="str">
        <x:f>IF(J286="Рассчитано","Выручка "&amp;TEXT(V286,"0.00")&amp;" - себестоимость "&amp;TEXT(W286,"0.00")&amp;" - комиссия "&amp;TEXT(V286*R286/100,"0.00")&amp;" - доставка "&amp;TEXT(P286,"0.00")&amp;" - прочие "&amp;TEXT(Q286,"0.00")&amp;" = "&amp;TEXT(G286,"0.00")&amp;" "&amp;L286,"Введите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6" s="23" t="n">
        <x:v>0.5862198456073304</x:v>
      </x:c>
      <x:c r="AG286" s="35" t="n">
        <x:v>0</x:v>
      </x:c>
      <x:c r="AH286" s="35" t="n">
        <x:v>0</x:v>
      </x:c>
      <x:c r="AI286" s="29" t="n">
        <x:v>46266</x:v>
      </x:c>
      <x:c r="AJ286" s="35"/>
      <x:c r="AK286" s="11" t="str">
        <x:v>неизвестно</x:v>
      </x:c>
      <x:c r="AL286" s="31" t="n">
        <x:v>0</x:v>
      </x:c>
      <x:c r="AM286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86" s="12" t="str">
        <x:v>Подтвердить наличие, срок и цену закупки</x:v>
      </x:c>
      <x:c r="AO286" s="12" t="str">
        <x:v>Прогноз 30 дней 0.59; остаток 0; поступления в срок 0; нехватка 1; заказ с учётом MOQ 1 шт. Остаток на начало сентября: требуется актуализация.</x:v>
      </x:c>
      <x:c r="AP286" s="12" t="str">
        <x:v>["blank_stock_assumed_zero", "category_missing", "daily_stockout_data_missing", "moq_missing", "new_order_lead_time_unknown", "reservations_unknown", "stale_stock", "supplier_sku_missing"]</x:v>
      </x:c>
      <x:c r="AQ286" s="11" t="str">
        <x:v>IEK:290100035_</x:v>
      </x:c>
      <x:c r="AR286" s="23" t="n">
        <x:v>1</x:v>
      </x:c>
      <x:c r="AS286" s="23" t="n">
        <x:f>MAX(0,ROUNDUP(MAX(0,AF286-AG286-AH286)/AR286-0.000000001,0)*AR286)</x:f>
        <x:v>1</x:v>
      </x:c>
      <x:c r="AT286" s="23" t="n">
        <x:v>0.5862198456073304</x:v>
      </x:c>
    </x:row>
    <x:row r="287" ht="64" customHeight="1">
      <x:c r="A287" s="10" t="str">
        <x:v>IEK</x:v>
      </x:c>
      <x:c r="B287" s="34" t="str">
        <x:v>290100137_</x:v>
      </x:c>
      <x:c r="C287" s="34" t="str">
        <x:v>WYP10-16-04-05-Z-K02</x:v>
      </x:c>
      <x:c r="D287" s="13" t="str">
        <x:v>У04 (4места/5метров) чер. IEK</x:v>
      </x:c>
      <x:c r="E287" s="10" t="str">
        <x:v>шт</x:v>
      </x:c>
      <x:c r="F287" s="37" t="n">
        <x:f>IF(AS287&gt;0,MAX(AS287,AJ287),0)</x:f>
        <x:v>1</x:v>
      </x:c>
      <x:c r="G287" s="21" t="str">
        <x:f>IF(J287="Рассчитано",V287*(1-R287/100)-W287-P287-Q287,"н/д")</x:f>
        <x:v>н/д</x:v>
      </x:c>
      <x:c r="H287" s="13" t="str">
        <x:v>Высокий</x:v>
      </x:c>
      <x:c r="I287" s="13" t="str">
        <x:v>Критический</x:v>
      </x:c>
      <x:c r="J287" s="13" t="str">
        <x:f>IF(L287="","Укажите валюту",IF(NOT(ISNUMBER(K287)),"Укажите объём",IF(K287&lt;=0,"Укажите объём",IF(COUNT(M287:O287)&lt;3,"Нужны цены",IF(COUNT(P287:R287)&lt;3,"Нужны расходы",IF(OR(M287&lt;0,N287&lt;0,O287&lt;0,O287&gt;100,P287&lt;0,Q287&lt;0,R287&lt;0,R287&gt;100),"Проверьте значения","Рассчитано"))))))</x:f>
        <x:v>Нужны цены</x:v>
      </x:c>
      <x:c r="K287" s="36" t="n">
        <x:v>1</x:v>
      </x:c>
      <x:c r="L287" s="19" t="str">
        <x:v>KZT</x:v>
      </x:c>
      <x:c r="M287" s="22"/>
      <x:c r="N287" s="22"/>
      <x:c r="O287" s="28"/>
      <x:c r="P287" s="22"/>
      <x:c r="Q287" s="22"/>
      <x:c r="R287" s="28"/>
      <x:c r="S287" s="22"/>
      <x:c r="T287" s="37" t="n">
        <x:f>MIN(K287,AT287)</x:f>
        <x:v>0.27628066565595993</x:v>
      </x:c>
      <x:c r="U287" s="21" t="str">
        <x:f>IF(J287="Рассчитано",N287*(1-O287/100),"н/д")</x:f>
        <x:v>н/д</x:v>
      </x:c>
      <x:c r="V287" s="21" t="str">
        <x:f>IF(J287="Рассчитано",T287*U287,"н/д")</x:f>
        <x:v>н/д</x:v>
      </x:c>
      <x:c r="W287" s="21" t="str">
        <x:f>IF(J287="Рассчитано",T287*M287,"н/д")</x:f>
        <x:v>н/д</x:v>
      </x:c>
      <x:c r="X287" s="21" t="str">
        <x:f>IF(J287="Рассчитано",V287-W287,"н/д")</x:f>
        <x:v>н/д</x:v>
      </x:c>
      <x:c r="Y287" s="27" t="str">
        <x:f>IF(J287="Рассчитано",IF(V287&gt;0,G287/V287,"н/д"),"н/д")</x:f>
        <x:v>н/д</x:v>
      </x:c>
      <x:c r="Z287" s="21" t="str">
        <x:f>IF(J287="Рассчитано",K287*M287,"н/д")</x:f>
        <x:v>н/д</x:v>
      </x:c>
      <x:c r="AA287" s="21" t="str">
        <x:f>IF(J287="Рассчитано",(K287-T287)*M287,"н/д")</x:f>
        <x:v>н/д</x:v>
      </x:c>
      <x:c r="AB287" s="21" t="str">
        <x:f>IF(AND(J287="Рассчитано",ISNUMBER(S287)),K287*(S287-M287),"н/д")</x:f>
        <x:v>н/д</x:v>
      </x:c>
      <x:c r="AC287" s="21" t="str">
        <x:f>IF(AND(J287="Рассчитано",T287&gt;0,R287&lt;100),(W287+P287+Q287)/(T287*(1-R287/100)),"н/д")</x:f>
        <x:v>н/д</x:v>
      </x:c>
      <x:c r="AD287" s="10" t="str">
        <x:f>IF(ISNUMBER(G287),IF(G287&lt;0,"Убыток",IF(G287=0,"Без прибыли","Прибыль &gt; 0")),"Не оценён")</x:f>
        <x:v>Не оценён</x:v>
      </x:c>
      <x:c r="AE287" s="13" t="str">
        <x:f>IF(J287="Рассчитано","Выручка "&amp;TEXT(V287,"0.00")&amp;" - себестоимость "&amp;TEXT(W287,"0.00")&amp;" - комиссия "&amp;TEXT(V287*R287/100,"0.00")&amp;" - доставка "&amp;TEXT(P287,"0.00")&amp;" - прочие "&amp;TEXT(Q287,"0.00")&amp;" = "&amp;TEXT(G287,"0.00")&amp;" "&amp;L287,"Введите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7" s="24" t="n">
        <x:v>0.27628066565595993</x:v>
      </x:c>
      <x:c r="AG287" s="37" t="n">
        <x:v>0</x:v>
      </x:c>
      <x:c r="AH287" s="37" t="n">
        <x:v>0</x:v>
      </x:c>
      <x:c r="AI287" s="30" t="n">
        <x:v>46266</x:v>
      </x:c>
      <x:c r="AJ287" s="37" t="n">
        <x:v>1</x:v>
      </x:c>
      <x:c r="AK287" s="10" t="str">
        <x:v>минимум</x:v>
      </x:c>
      <x:c r="AL287" s="32" t="n">
        <x:v>0</x:v>
      </x:c>
      <x:c r="AM287" s="13" t="str">
        <x:v>Остаток на начало сентября; Резервы неизвестны; Нет ежедневных данных доступности. Нет запаса</x:v>
      </x:c>
      <x:c r="AN287" s="13" t="str">
        <x:v>Подтвердить наличие, срок и цену закупки</x:v>
      </x:c>
      <x:c r="AO287" s="13" t="str">
        <x:v>Прогноз 30 дней 0.28; остаток 0; поступления в срок 0; нехватка 1; заказ с учётом MOQ 1 шт. Остаток на начало сентября: требуется актуализация.</x:v>
      </x:c>
      <x:c r="AP287" s="13" t="str">
        <x:v>["blank_stock_assumed_zero", "category_missing", "daily_stockout_data_missing", "new_order_lead_time_unknown", "reservations_unknown", "stale_stock"]</x:v>
      </x:c>
      <x:c r="AQ287" s="10" t="str">
        <x:v>IEK:290100137_</x:v>
      </x:c>
      <x:c r="AR287" s="24" t="n">
        <x:v>1</x:v>
      </x:c>
      <x:c r="AS287" s="24" t="n">
        <x:f>MAX(0,ROUNDUP(MAX(0,AF287-AG287-AH287)/AR287-0.000000001,0)*AR287)</x:f>
        <x:v>1</x:v>
      </x:c>
      <x:c r="AT287" s="24" t="n">
        <x:v>0.27628066565595993</x:v>
      </x:c>
    </x:row>
    <x:row r="288" ht="64" customHeight="1">
      <x:c r="A288" s="11" t="str">
        <x:v>IEK</x:v>
      </x:c>
      <x:c r="B288" s="33" t="str">
        <x:v>290100147_</x:v>
      </x:c>
      <x:c r="C288" s="33" t="str">
        <x:v>WFP10-16-05-05-ZK-K02</x:v>
      </x:c>
      <x:c r="D288" s="12" t="str">
        <x:v>СФ-05К-вык (5 мест/5м.) черный IEK</x:v>
      </x:c>
      <x:c r="E288" s="11" t="str">
        <x:v>шт</x:v>
      </x:c>
      <x:c r="F288" s="35" t="n">
        <x:f>IF(AS288&gt;0,MAX(AS288,AJ288),0)</x:f>
        <x:v>5</x:v>
      </x:c>
      <x:c r="G288" s="20" t="str">
        <x:f>IF(J288="Рассчитано",V288*(1-R288/100)-W288-P288-Q288,"н/д")</x:f>
        <x:v>н/д</x:v>
      </x:c>
      <x:c r="H288" s="12" t="str">
        <x:v>Высокий</x:v>
      </x:c>
      <x:c r="I288" s="12" t="str">
        <x:v>Средний</x:v>
      </x:c>
      <x:c r="J288" s="12" t="str">
        <x:f>IF(L288="","Укажите валюту",IF(NOT(ISNUMBER(K288)),"Укажите объём",IF(K288&lt;=0,"Укажите объём",IF(COUNT(M288:O288)&lt;3,"Нужны цены",IF(COUNT(P288:R288)&lt;3,"Нужны расходы",IF(OR(M288&lt;0,N288&lt;0,O288&lt;0,O288&gt;100,P288&lt;0,Q288&lt;0,R288&lt;0,R288&gt;100),"Проверьте значения","Рассчитано"))))))</x:f>
        <x:v>Нужны цены</x:v>
      </x:c>
      <x:c r="K288" s="36" t="n">
        <x:v>5</x:v>
      </x:c>
      <x:c r="L288" s="19" t="str">
        <x:v>KZT</x:v>
      </x:c>
      <x:c r="M288" s="22"/>
      <x:c r="N288" s="22"/>
      <x:c r="O288" s="28"/>
      <x:c r="P288" s="22"/>
      <x:c r="Q288" s="22"/>
      <x:c r="R288" s="28"/>
      <x:c r="S288" s="22"/>
      <x:c r="T288" s="35" t="n">
        <x:f>MIN(K288,AT288)</x:f>
        <x:v>2.239137328501723</x:v>
      </x:c>
      <x:c r="U288" s="20" t="str">
        <x:f>IF(J288="Рассчитано",N288*(1-O288/100),"н/д")</x:f>
        <x:v>н/д</x:v>
      </x:c>
      <x:c r="V288" s="20" t="str">
        <x:f>IF(J288="Рассчитано",T288*U288,"н/д")</x:f>
        <x:v>н/д</x:v>
      </x:c>
      <x:c r="W288" s="20" t="str">
        <x:f>IF(J288="Рассчитано",T288*M288,"н/д")</x:f>
        <x:v>н/д</x:v>
      </x:c>
      <x:c r="X288" s="20" t="str">
        <x:f>IF(J288="Рассчитано",V288-W288,"н/д")</x:f>
        <x:v>н/д</x:v>
      </x:c>
      <x:c r="Y288" s="26" t="str">
        <x:f>IF(J288="Рассчитано",IF(V288&gt;0,G288/V288,"н/д"),"н/д")</x:f>
        <x:v>н/д</x:v>
      </x:c>
      <x:c r="Z288" s="20" t="str">
        <x:f>IF(J288="Рассчитано",K288*M288,"н/д")</x:f>
        <x:v>н/д</x:v>
      </x:c>
      <x:c r="AA288" s="20" t="str">
        <x:f>IF(J288="Рассчитано",(K288-T288)*M288,"н/д")</x:f>
        <x:v>н/д</x:v>
      </x:c>
      <x:c r="AB288" s="20" t="str">
        <x:f>IF(AND(J288="Рассчитано",ISNUMBER(S288)),K288*(S288-M288),"н/д")</x:f>
        <x:v>н/д</x:v>
      </x:c>
      <x:c r="AC288" s="20" t="str">
        <x:f>IF(AND(J288="Рассчитано",T288&gt;0,R288&lt;100),(W288+P288+Q288)/(T288*(1-R288/100)),"н/д")</x:f>
        <x:v>н/д</x:v>
      </x:c>
      <x:c r="AD288" s="11" t="str">
        <x:f>IF(ISNUMBER(G288),IF(G288&lt;0,"Убыток",IF(G288=0,"Без прибыли","Прибыль &gt; 0")),"Не оценён")</x:f>
        <x:v>Не оценён</x:v>
      </x:c>
      <x:c r="AE288" s="12" t="str">
        <x:f>IF(J288="Рассчитано","Выручка "&amp;TEXT(V288,"0.00")&amp;" - себестоимость "&amp;TEXT(W288,"0.00")&amp;" - комиссия "&amp;TEXT(V288*R288/100,"0.00")&amp;" - доставка "&amp;TEXT(P288,"0.00")&amp;" - прочие "&amp;TEXT(Q288,"0.00")&amp;" = "&amp;TEXT(G288,"0.00")&amp;" "&amp;L288,"Введите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8" s="23" t="n">
        <x:v>8.239137328501723</x:v>
      </x:c>
      <x:c r="AG288" s="35" t="n">
        <x:v>6</x:v>
      </x:c>
      <x:c r="AH288" s="35" t="n">
        <x:v>0</x:v>
      </x:c>
      <x:c r="AI288" s="29" t="n">
        <x:v>46266</x:v>
      </x:c>
      <x:c r="AJ288" s="35" t="n">
        <x:v>5</x:v>
      </x:c>
      <x:c r="AK288" s="11" t="str">
        <x:v>минимум</x:v>
      </x:c>
      <x:c r="AL288" s="31" t="n">
        <x:v>21.846947419764973</x:v>
      </x:c>
      <x:c r="AM288" s="12" t="str">
        <x:v>Остаток на начало сентября; Резервы неизвестны; Нет ежедневных данных доступности. Запаса примерно на 21.8 дн. без поступлений</x:v>
      </x:c>
      <x:c r="AN288" s="12" t="str">
        <x:v>Подтвердить наличие, срок и цену закупки</x:v>
      </x:c>
      <x:c r="AO288" s="12" t="str">
        <x:v>Прогноз 30 дней 8.24; остаток 6; поступления в срок 0; нехватка 3; заказ с учётом MOQ 5 шт. Остаток на начало сентября: требуется актуализация.</x:v>
      </x:c>
      <x:c r="AP288" s="12" t="str">
        <x:v>["category_missing", "daily_stockout_data_missing", "new_order_lead_time_unknown", "reservations_unknown", "stale_stock"]</x:v>
      </x:c>
      <x:c r="AQ288" s="11" t="str">
        <x:v>IEK:290100147_</x:v>
      </x:c>
      <x:c r="AR288" s="23" t="n">
        <x:v>1</x:v>
      </x:c>
      <x:c r="AS288" s="23" t="n">
        <x:f>MAX(0,ROUNDUP(MAX(0,AF288-AG288-AH288)/AR288-0.000000001,0)*AR288)</x:f>
        <x:v>3</x:v>
      </x:c>
      <x:c r="AT288" s="23" t="n">
        <x:v>2.239137328501723</x:v>
      </x:c>
    </x:row>
    <x:row r="289" ht="64" customHeight="1">
      <x:c r="A289" s="10" t="str">
        <x:v>IEK</x:v>
      </x:c>
      <x:c r="B289" s="34" t="str">
        <x:v>290200126_</x:v>
      </x:c>
      <x:c r="C289" s="34" t="str">
        <x:v>TW-KP27-16-01-15-02</x:v>
      </x:c>
      <x:c r="D289" s="13" t="str">
        <x:v>Катушка УК15 1мест. 2P+PE/15м+2м 3х1,5мм2 автосм.TWIST IEK</x:v>
      </x:c>
      <x:c r="E289" s="10" t="str">
        <x:v>шт</x:v>
      </x:c>
      <x:c r="F289" s="37" t="n">
        <x:f>IF(AS289&gt;0,MAX(AS289,AJ289),0)</x:f>
        <x:v>1</x:v>
      </x:c>
      <x:c r="G289" s="21" t="str">
        <x:f>IF(J289="Рассчитано",V289*(1-R289/100)-W289-P289-Q289,"н/д")</x:f>
        <x:v>н/д</x:v>
      </x:c>
      <x:c r="H289" s="13" t="str">
        <x:v>Высокий</x:v>
      </x:c>
      <x:c r="I289" s="13" t="str">
        <x:v>Критический</x:v>
      </x:c>
      <x:c r="J289" s="13" t="str">
        <x:f>IF(L289="","Укажите валюту",IF(NOT(ISNUMBER(K289)),"Укажите объём",IF(K289&lt;=0,"Укажите объём",IF(COUNT(M289:O289)&lt;3,"Нужны цены",IF(COUNT(P289:R289)&lt;3,"Нужны расходы",IF(OR(M289&lt;0,N289&lt;0,O289&lt;0,O289&gt;100,P289&lt;0,Q289&lt;0,R289&lt;0,R289&gt;100),"Проверьте значения","Рассчитано"))))))</x:f>
        <x:v>Нужны цены</x:v>
      </x:c>
      <x:c r="K289" s="36" t="n">
        <x:v>1</x:v>
      </x:c>
      <x:c r="L289" s="19" t="str">
        <x:v>KZT</x:v>
      </x:c>
      <x:c r="M289" s="22"/>
      <x:c r="N289" s="22"/>
      <x:c r="O289" s="28"/>
      <x:c r="P289" s="22"/>
      <x:c r="Q289" s="22"/>
      <x:c r="R289" s="28"/>
      <x:c r="S289" s="22"/>
      <x:c r="T289" s="37" t="n">
        <x:f>MIN(K289,AT289)</x:f>
        <x:v>0.10993321907731692</x:v>
      </x:c>
      <x:c r="U289" s="21" t="str">
        <x:f>IF(J289="Рассчитано",N289*(1-O289/100),"н/д")</x:f>
        <x:v>н/д</x:v>
      </x:c>
      <x:c r="V289" s="21" t="str">
        <x:f>IF(J289="Рассчитано",T289*U289,"н/д")</x:f>
        <x:v>н/д</x:v>
      </x:c>
      <x:c r="W289" s="21" t="str">
        <x:f>IF(J289="Рассчитано",T289*M289,"н/д")</x:f>
        <x:v>н/д</x:v>
      </x:c>
      <x:c r="X289" s="21" t="str">
        <x:f>IF(J289="Рассчитано",V289-W289,"н/д")</x:f>
        <x:v>н/д</x:v>
      </x:c>
      <x:c r="Y289" s="27" t="str">
        <x:f>IF(J289="Рассчитано",IF(V289&gt;0,G289/V289,"н/д"),"н/д")</x:f>
        <x:v>н/д</x:v>
      </x:c>
      <x:c r="Z289" s="21" t="str">
        <x:f>IF(J289="Рассчитано",K289*M289,"н/д")</x:f>
        <x:v>н/д</x:v>
      </x:c>
      <x:c r="AA289" s="21" t="str">
        <x:f>IF(J289="Рассчитано",(K289-T289)*M289,"н/д")</x:f>
        <x:v>н/д</x:v>
      </x:c>
      <x:c r="AB289" s="21" t="str">
        <x:f>IF(AND(J289="Рассчитано",ISNUMBER(S289)),K289*(S289-M289),"н/д")</x:f>
        <x:v>н/д</x:v>
      </x:c>
      <x:c r="AC289" s="21" t="str">
        <x:f>IF(AND(J289="Рассчитано",T289&gt;0,R289&lt;100),(W289+P289+Q289)/(T289*(1-R289/100)),"н/д")</x:f>
        <x:v>н/д</x:v>
      </x:c>
      <x:c r="AD289" s="10" t="str">
        <x:f>IF(ISNUMBER(G289),IF(G289&lt;0,"Убыток",IF(G289=0,"Без прибыли","Прибыль &gt; 0")),"Не оценён")</x:f>
        <x:v>Не оценён</x:v>
      </x:c>
      <x:c r="AE289" s="13" t="str">
        <x:f>IF(J289="Рассчитано","Выручка "&amp;TEXT(V289,"0.00")&amp;" - себестоимость "&amp;TEXT(W289,"0.00")&amp;" - комиссия "&amp;TEXT(V289*R289/100,"0.00")&amp;" - доставка "&amp;TEXT(P289,"0.00")&amp;" - прочие "&amp;TEXT(Q289,"0.00")&amp;" = "&amp;TEXT(G289,"0.00")&amp;" "&amp;L289,"Введите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89" s="24" t="n">
        <x:v>0.10993321907731692</x:v>
      </x:c>
      <x:c r="AG289" s="37" t="n">
        <x:v>0</x:v>
      </x:c>
      <x:c r="AH289" s="37" t="n">
        <x:v>0</x:v>
      </x:c>
      <x:c r="AI289" s="30" t="n">
        <x:v>46266</x:v>
      </x:c>
      <x:c r="AJ289" s="37" t="n">
        <x:v>1</x:v>
      </x:c>
      <x:c r="AK289" s="10" t="str">
        <x:v>минимум</x:v>
      </x:c>
      <x:c r="AL289" s="32" t="n">
        <x:v>0</x:v>
      </x:c>
      <x:c r="AM289" s="13" t="str">
        <x:v>Остаток на начало сентября; Резервы неизвестны; Нет ежедневных данных доступности. Нет запаса</x:v>
      </x:c>
      <x:c r="AN289" s="13" t="str">
        <x:v>Подтвердить наличие, срок и цену закупки</x:v>
      </x:c>
      <x:c r="AO289" s="13" t="str">
        <x:v>Прогноз 30 дней 0.11; остаток 0; поступления в срок 0; нехватка 1; заказ с учётом MOQ 1 шт. Остаток на начало сентября: требуется актуализация.</x:v>
      </x:c>
      <x:c r="AP289" s="13" t="str">
        <x:v>["blank_stock_assumed_zero", "category_missing", "daily_stockout_data_missing", "new_order_lead_time_unknown", "reservations_unknown", "stale_stock"]</x:v>
      </x:c>
      <x:c r="AQ289" s="10" t="str">
        <x:v>IEK:290200126_</x:v>
      </x:c>
      <x:c r="AR289" s="24" t="n">
        <x:v>1</x:v>
      </x:c>
      <x:c r="AS289" s="24" t="n">
        <x:f>MAX(0,ROUNDUP(MAX(0,AF289-AG289-AH289)/AR289-0.000000001,0)*AR289)</x:f>
        <x:v>1</x:v>
      </x:c>
      <x:c r="AT289" s="24" t="n">
        <x:v>0.10993321907731692</x:v>
      </x:c>
    </x:row>
    <x:row r="290" ht="64" customHeight="1">
      <x:c r="A290" s="11" t="str">
        <x:v>IEK</x:v>
      </x:c>
      <x:c r="B290" s="33" t="str">
        <x:v>290200127_</x:v>
      </x:c>
      <x:c r="C290" s="33" t="str">
        <x:v>TW-KP27-16-01-25-02</x:v>
      </x:c>
      <x:c r="D290" s="12" t="str">
        <x:v>Катушка УК25 1мест. 2P+PE/25м+2м 3х1,5мм2 автосм. TWIST IEK</x:v>
      </x:c>
      <x:c r="E290" s="11" t="str">
        <x:v>шт</x:v>
      </x:c>
      <x:c r="F290" s="35" t="n">
        <x:f>IF(AS290&gt;0,MAX(AS290,AJ290),0)</x:f>
        <x:v>2</x:v>
      </x:c>
      <x:c r="G290" s="20" t="str">
        <x:f>IF(J290="Рассчитано",V290*(1-R290/100)-W290-P290-Q290,"н/д")</x:f>
        <x:v>н/д</x:v>
      </x:c>
      <x:c r="H290" s="12" t="str">
        <x:v>Высокий</x:v>
      </x:c>
      <x:c r="I290" s="12" t="str">
        <x:v>Критический</x:v>
      </x:c>
      <x:c r="J290" s="12" t="str">
        <x:f>IF(L290="","Укажите валюту",IF(NOT(ISNUMBER(K290)),"Укажите объём",IF(K290&lt;=0,"Укажите объём",IF(COUNT(M290:O290)&lt;3,"Нужны цены",IF(COUNT(P290:R290)&lt;3,"Нужны расходы",IF(OR(M290&lt;0,N290&lt;0,O290&lt;0,O290&gt;100,P290&lt;0,Q290&lt;0,R290&lt;0,R290&gt;100),"Проверьте значения","Рассчитано"))))))</x:f>
        <x:v>Нужны цены</x:v>
      </x:c>
      <x:c r="K290" s="36" t="n">
        <x:v>2</x:v>
      </x:c>
      <x:c r="L290" s="19" t="str">
        <x:v>KZT</x:v>
      </x:c>
      <x:c r="M290" s="22"/>
      <x:c r="N290" s="22"/>
      <x:c r="O290" s="28"/>
      <x:c r="P290" s="22"/>
      <x:c r="Q290" s="22"/>
      <x:c r="R290" s="28"/>
      <x:c r="S290" s="22"/>
      <x:c r="T290" s="35" t="n">
        <x:f>MIN(K290,AT290)</x:f>
        <x:v>1.7898907331932896</x:v>
      </x:c>
      <x:c r="U290" s="20" t="str">
        <x:f>IF(J290="Рассчитано",N290*(1-O290/100),"н/д")</x:f>
        <x:v>н/д</x:v>
      </x:c>
      <x:c r="V290" s="20" t="str">
        <x:f>IF(J290="Рассчитано",T290*U290,"н/д")</x:f>
        <x:v>н/д</x:v>
      </x:c>
      <x:c r="W290" s="20" t="str">
        <x:f>IF(J290="Рассчитано",T290*M290,"н/д")</x:f>
        <x:v>н/д</x:v>
      </x:c>
      <x:c r="X290" s="20" t="str">
        <x:f>IF(J290="Рассчитано",V290-W290,"н/д")</x:f>
        <x:v>н/д</x:v>
      </x:c>
      <x:c r="Y290" s="26" t="str">
        <x:f>IF(J290="Рассчитано",IF(V290&gt;0,G290/V290,"н/д"),"н/д")</x:f>
        <x:v>н/д</x:v>
      </x:c>
      <x:c r="Z290" s="20" t="str">
        <x:f>IF(J290="Рассчитано",K290*M290,"н/д")</x:f>
        <x:v>н/д</x:v>
      </x:c>
      <x:c r="AA290" s="20" t="str">
        <x:f>IF(J290="Рассчитано",(K290-T290)*M290,"н/д")</x:f>
        <x:v>н/д</x:v>
      </x:c>
      <x:c r="AB290" s="20" t="str">
        <x:f>IF(AND(J290="Рассчитано",ISNUMBER(S290)),K290*(S290-M290),"н/д")</x:f>
        <x:v>н/д</x:v>
      </x:c>
      <x:c r="AC290" s="20" t="str">
        <x:f>IF(AND(J290="Рассчитано",T290&gt;0,R290&lt;100),(W290+P290+Q290)/(T290*(1-R290/100)),"н/д")</x:f>
        <x:v>н/д</x:v>
      </x:c>
      <x:c r="AD290" s="11" t="str">
        <x:f>IF(ISNUMBER(G290),IF(G290&lt;0,"Убыток",IF(G290=0,"Без прибыли","Прибыль &gt; 0")),"Не оценён")</x:f>
        <x:v>Не оценён</x:v>
      </x:c>
      <x:c r="AE290" s="12" t="str">
        <x:f>IF(J290="Рассчитано","Выручка "&amp;TEXT(V290,"0.00")&amp;" - себестоимость "&amp;TEXT(W290,"0.00")&amp;" - комиссия "&amp;TEXT(V290*R290/100,"0.00")&amp;" - доставка "&amp;TEXT(P290,"0.00")&amp;" - прочие "&amp;TEXT(Q290,"0.00")&amp;" = "&amp;TEXT(G290,"0.00")&amp;" "&amp;L290,"Введите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0" s="23" t="n">
        <x:v>1.7898907331932896</x:v>
      </x:c>
      <x:c r="AG290" s="35" t="n">
        <x:v>0</x:v>
      </x:c>
      <x:c r="AH290" s="35" t="n">
        <x:v>0</x:v>
      </x:c>
      <x:c r="AI290" s="29" t="n">
        <x:v>46266</x:v>
      </x:c>
      <x:c r="AJ290" s="35" t="n">
        <x:v>1</x:v>
      </x:c>
      <x:c r="AK290" s="11" t="str">
        <x:v>минимум</x:v>
      </x:c>
      <x:c r="AL290" s="31" t="n">
        <x:v>0</x:v>
      </x:c>
      <x:c r="AM290" s="12" t="str">
        <x:v>Остаток на начало сентября; Резервы неизвестны; Нет ежедневных данных доступности. Нет запаса</x:v>
      </x:c>
      <x:c r="AN290" s="12" t="str">
        <x:v>Подтвердить наличие, срок и цену закупки</x:v>
      </x:c>
      <x:c r="AO290" s="12" t="str">
        <x:v>Прогноз 30 дней 1.79; остаток 0; поступления в срок 0; нехватка 2; заказ с учётом MOQ 2 шт. Остаток на начало сентября: требуется актуализация.</x:v>
      </x:c>
      <x:c r="AP290" s="12" t="str">
        <x:v>["blank_stock_assumed_zero", "category_missing", "daily_stockout_data_missing", "new_order_lead_time_unknown", "reservations_unknown", "stale_stock"]</x:v>
      </x:c>
      <x:c r="AQ290" s="11" t="str">
        <x:v>IEK:290200127_</x:v>
      </x:c>
      <x:c r="AR290" s="23" t="n">
        <x:v>1</x:v>
      </x:c>
      <x:c r="AS290" s="23" t="n">
        <x:f>MAX(0,ROUNDUP(MAX(0,AF290-AG290-AH290)/AR290-0.000000001,0)*AR290)</x:f>
        <x:v>2</x:v>
      </x:c>
      <x:c r="AT290" s="23" t="n">
        <x:v>1.7898907331932896</x:v>
      </x:c>
    </x:row>
    <x:row r="291" ht="64" customHeight="1">
      <x:c r="A291" s="10" t="str">
        <x:v>IEK</x:v>
      </x:c>
      <x:c r="B291" s="34" t="str">
        <x:v>290200128_</x:v>
      </x:c>
      <x:c r="C291" s="34" t="str">
        <x:v>TW-KP27-16-04-10</x:v>
      </x:c>
      <x:c r="D291" s="13" t="str">
        <x:v>Катушка УК10 4мест. 2P+PE/10м 3х1,5мм2 автосм. TWIST IEK</x:v>
      </x:c>
      <x:c r="E291" s="10" t="str">
        <x:v>шт</x:v>
      </x:c>
      <x:c r="F291" s="37" t="n">
        <x:f>AS291</x:f>
        <x:v>1</x:v>
      </x:c>
      <x:c r="G291" s="21" t="str">
        <x:f>IF(J291="Рассчитано",V291*(1-R291/100)-W291-P291-Q291,"н/д")</x:f>
        <x:v>н/д</x:v>
      </x:c>
      <x:c r="H291" s="13" t="str">
        <x:v>Высокий</x:v>
      </x:c>
      <x:c r="I291" s="13" t="str">
        <x:v>Критический</x:v>
      </x:c>
      <x:c r="J291" s="13" t="str">
        <x:f>IF(L291="","Укажите валюту",IF(NOT(ISNUMBER(K291)),"Укажите объём",IF(K291&lt;=0,"Укажите объём",IF(COUNT(M291:O291)&lt;3,"Нужны цены",IF(COUNT(P291:R291)&lt;3,"Нужны расходы",IF(OR(M291&lt;0,N291&lt;0,O291&lt;0,O291&gt;100,P291&lt;0,Q291&lt;0,R291&lt;0,R291&gt;100),"Проверьте значения","Рассчитано"))))))</x:f>
        <x:v>Нужны цены</x:v>
      </x:c>
      <x:c r="K291" s="36" t="n">
        <x:v>1</x:v>
      </x:c>
      <x:c r="L291" s="19" t="str">
        <x:v>KZT</x:v>
      </x:c>
      <x:c r="M291" s="22"/>
      <x:c r="N291" s="22"/>
      <x:c r="O291" s="28"/>
      <x:c r="P291" s="22"/>
      <x:c r="Q291" s="22"/>
      <x:c r="R291" s="28"/>
      <x:c r="S291" s="22"/>
      <x:c r="T291" s="37" t="n">
        <x:f>MIN(K291,AT291)</x:f>
        <x:v>0.035646968637373676</x:v>
      </x:c>
      <x:c r="U291" s="21" t="str">
        <x:f>IF(J291="Рассчитано",N291*(1-O291/100),"н/д")</x:f>
        <x:v>н/д</x:v>
      </x:c>
      <x:c r="V291" s="21" t="str">
        <x:f>IF(J291="Рассчитано",T291*U291,"н/д")</x:f>
        <x:v>н/д</x:v>
      </x:c>
      <x:c r="W291" s="21" t="str">
        <x:f>IF(J291="Рассчитано",T291*M291,"н/д")</x:f>
        <x:v>н/д</x:v>
      </x:c>
      <x:c r="X291" s="21" t="str">
        <x:f>IF(J291="Рассчитано",V291-W291,"н/д")</x:f>
        <x:v>н/д</x:v>
      </x:c>
      <x:c r="Y291" s="27" t="str">
        <x:f>IF(J291="Рассчитано",IF(V291&gt;0,G291/V291,"н/д"),"н/д")</x:f>
        <x:v>н/д</x:v>
      </x:c>
      <x:c r="Z291" s="21" t="str">
        <x:f>IF(J291="Рассчитано",K291*M291,"н/д")</x:f>
        <x:v>н/д</x:v>
      </x:c>
      <x:c r="AA291" s="21" t="str">
        <x:f>IF(J291="Рассчитано",(K291-T291)*M291,"н/д")</x:f>
        <x:v>н/д</x:v>
      </x:c>
      <x:c r="AB291" s="21" t="str">
        <x:f>IF(AND(J291="Рассчитано",ISNUMBER(S291)),K291*(S291-M291),"н/д")</x:f>
        <x:v>н/д</x:v>
      </x:c>
      <x:c r="AC291" s="21" t="str">
        <x:f>IF(AND(J291="Рассчитано",T291&gt;0,R291&lt;100),(W291+P291+Q291)/(T291*(1-R291/100)),"н/д")</x:f>
        <x:v>н/д</x:v>
      </x:c>
      <x:c r="AD291" s="10" t="str">
        <x:f>IF(ISNUMBER(G291),IF(G291&lt;0,"Убыток",IF(G291=0,"Без прибыли","Прибыль &gt; 0")),"Не оценён")</x:f>
        <x:v>Не оценён</x:v>
      </x:c>
      <x:c r="AE291" s="13" t="str">
        <x:f>IF(J291="Рассчитано","Выручка "&amp;TEXT(V291,"0.00")&amp;" - себестоимость "&amp;TEXT(W291,"0.00")&amp;" - комиссия "&amp;TEXT(V291*R291/100,"0.00")&amp;" - доставка "&amp;TEXT(P291,"0.00")&amp;" - прочие "&amp;TEXT(Q291,"0.00")&amp;" = "&amp;TEXT(G291,"0.00")&amp;" "&amp;L291,"Введите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1" s="24" t="n">
        <x:v>0.035646968637373676</x:v>
      </x:c>
      <x:c r="AG291" s="37" t="n">
        <x:v>0</x:v>
      </x:c>
      <x:c r="AH291" s="37" t="n">
        <x:v>0</x:v>
      </x:c>
      <x:c r="AI291" s="30" t="n">
        <x:v>46266</x:v>
      </x:c>
      <x:c r="AJ291" s="37"/>
      <x:c r="AK291" s="10" t="str">
        <x:v>неизвестно</x:v>
      </x:c>
      <x:c r="AL291" s="32" t="n">
        <x:v>0</x:v>
      </x:c>
      <x:c r="AM291" s="13" t="str">
        <x:v>Остаток на начало сентября; Резервы неизвестны; Нет ежедневных данных доступности. Нет запаса</x:v>
      </x:c>
      <x:c r="AN291" s="13" t="str">
        <x:v>Подтвердить наличие, срок и цену закупки</x:v>
      </x:c>
      <x:c r="AO291" s="13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291" s="13" t="str">
        <x:v>["blank_stock_assumed_zero", "category_missing", "daily_stockout_data_missing", "moq_missing", "new_order_lead_time_unknown", "reservations_unknown", "stale_stock"]</x:v>
      </x:c>
      <x:c r="AQ291" s="10" t="str">
        <x:v>IEK:290200128_</x:v>
      </x:c>
      <x:c r="AR291" s="24" t="n">
        <x:v>1</x:v>
      </x:c>
      <x:c r="AS291" s="24" t="n">
        <x:f>MAX(0,ROUNDUP(MAX(0,AF291-AG291-AH291)/AR291-0.000000001,0)*AR291)</x:f>
        <x:v>1</x:v>
      </x:c>
      <x:c r="AT291" s="24" t="n">
        <x:v>0.035646968637373676</x:v>
      </x:c>
    </x:row>
    <x:row r="292" ht="64" customHeight="1">
      <x:c r="A292" s="11" t="str">
        <x:v>IEK</x:v>
      </x:c>
      <x:c r="B292" s="33" t="str">
        <x:v>290200130_</x:v>
      </x:c>
      <x:c r="C292" s="33" t="str">
        <x:v>TW-KP27-16-04-15-44</x:v>
      </x:c>
      <x:c r="D292" s="12" t="str">
        <x:v>Катушка УК15 2P+PE/15м 3х1,5мм2 КГ автосм. IP44 TWIST IEK</x:v>
      </x:c>
      <x:c r="E292" s="11" t="str">
        <x:v>шт</x:v>
      </x:c>
      <x:c r="F292" s="35" t="n">
        <x:f>AS292</x:f>
        <x:v>2</x:v>
      </x:c>
      <x:c r="G292" s="20" t="str">
        <x:f>IF(J292="Рассчитано",V292*(1-R292/100)-W292-P292-Q292,"н/д")</x:f>
        <x:v>н/д</x:v>
      </x:c>
      <x:c r="H292" s="12" t="str">
        <x:v>Высокий</x:v>
      </x:c>
      <x:c r="I292" s="12" t="str">
        <x:v>Критический</x:v>
      </x:c>
      <x:c r="J292" s="12" t="str">
        <x:f>IF(L292="","Укажите валюту",IF(NOT(ISNUMBER(K292)),"Укажите объём",IF(K292&lt;=0,"Укажите объём",IF(COUNT(M292:O292)&lt;3,"Нужны цены",IF(COUNT(P292:R292)&lt;3,"Нужны расходы",IF(OR(M292&lt;0,N292&lt;0,O292&lt;0,O292&gt;100,P292&lt;0,Q292&lt;0,R292&lt;0,R292&gt;100),"Проверьте значения","Рассчитано"))))))</x:f>
        <x:v>Нужны цены</x:v>
      </x:c>
      <x:c r="K292" s="36" t="n">
        <x:v>2</x:v>
      </x:c>
      <x:c r="L292" s="19" t="str">
        <x:v>KZT</x:v>
      </x:c>
      <x:c r="M292" s="22"/>
      <x:c r="N292" s="22"/>
      <x:c r="O292" s="28"/>
      <x:c r="P292" s="22"/>
      <x:c r="Q292" s="22"/>
      <x:c r="R292" s="28"/>
      <x:c r="S292" s="22"/>
      <x:c r="T292" s="35" t="n">
        <x:f>MIN(K292,AT292)</x:f>
        <x:v>1.0853446993366096</x:v>
      </x:c>
      <x:c r="U292" s="20" t="str">
        <x:f>IF(J292="Рассчитано",N292*(1-O292/100),"н/д")</x:f>
        <x:v>н/д</x:v>
      </x:c>
      <x:c r="V292" s="20" t="str">
        <x:f>IF(J292="Рассчитано",T292*U292,"н/д")</x:f>
        <x:v>н/д</x:v>
      </x:c>
      <x:c r="W292" s="20" t="str">
        <x:f>IF(J292="Рассчитано",T292*M292,"н/д")</x:f>
        <x:v>н/д</x:v>
      </x:c>
      <x:c r="X292" s="20" t="str">
        <x:f>IF(J292="Рассчитано",V292-W292,"н/д")</x:f>
        <x:v>н/д</x:v>
      </x:c>
      <x:c r="Y292" s="26" t="str">
        <x:f>IF(J292="Рассчитано",IF(V292&gt;0,G292/V292,"н/д"),"н/д")</x:f>
        <x:v>н/д</x:v>
      </x:c>
      <x:c r="Z292" s="20" t="str">
        <x:f>IF(J292="Рассчитано",K292*M292,"н/д")</x:f>
        <x:v>н/д</x:v>
      </x:c>
      <x:c r="AA292" s="20" t="str">
        <x:f>IF(J292="Рассчитано",(K292-T292)*M292,"н/д")</x:f>
        <x:v>н/д</x:v>
      </x:c>
      <x:c r="AB292" s="20" t="str">
        <x:f>IF(AND(J292="Рассчитано",ISNUMBER(S292)),K292*(S292-M292),"н/д")</x:f>
        <x:v>н/д</x:v>
      </x:c>
      <x:c r="AC292" s="20" t="str">
        <x:f>IF(AND(J292="Рассчитано",T292&gt;0,R292&lt;100),(W292+P292+Q292)/(T292*(1-R292/100)),"н/д")</x:f>
        <x:v>н/д</x:v>
      </x:c>
      <x:c r="AD292" s="11" t="str">
        <x:f>IF(ISNUMBER(G292),IF(G292&lt;0,"Убыток",IF(G292=0,"Без прибыли","Прибыль &gt; 0")),"Не оценён")</x:f>
        <x:v>Не оценён</x:v>
      </x:c>
      <x:c r="AE292" s="12" t="str">
        <x:f>IF(J292="Рассчитано","Выручка "&amp;TEXT(V292,"0.00")&amp;" - себестоимость "&amp;TEXT(W292,"0.00")&amp;" - комиссия "&amp;TEXT(V292*R292/100,"0.00")&amp;" - доставка "&amp;TEXT(P292,"0.00")&amp;" - прочие "&amp;TEXT(Q292,"0.00")&amp;" = "&amp;TEXT(G292,"0.00")&amp;" "&amp;L292,"Введите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2" s="23" t="n">
        <x:v>1.0853446993366096</x:v>
      </x:c>
      <x:c r="AG292" s="35" t="n">
        <x:v>0</x:v>
      </x:c>
      <x:c r="AH292" s="35" t="n">
        <x:v>0</x:v>
      </x:c>
      <x:c r="AI292" s="29" t="n">
        <x:v>46266</x:v>
      </x:c>
      <x:c r="AJ292" s="35"/>
      <x:c r="AK292" s="11" t="str">
        <x:v>неизвестно</x:v>
      </x:c>
      <x:c r="AL292" s="31" t="n">
        <x:v>0</x:v>
      </x:c>
      <x:c r="AM292" s="12" t="str">
        <x:v>Остаток на начало сентября; Резервы неизвестны; Нет ежедневных данных доступности. Нет запаса</x:v>
      </x:c>
      <x:c r="AN292" s="12" t="str">
        <x:v>Подтвердить наличие, срок и цену закупки</x:v>
      </x:c>
      <x:c r="AO292" s="12" t="str">
        <x:v>Прогноз 30 дней 1.09; остаток 0; поступления в срок 0; нехватка 2; заказ с учётом MOQ 2 шт. Остаток на начало сентября: требуется актуализация.</x:v>
      </x:c>
      <x:c r="AP292" s="12" t="str">
        <x:v>["blank_stock_assumed_zero", "category_missing", "daily_stockout_data_missing", "moq_missing", "new_order_lead_time_unknown", "reservations_unknown", "stale_stock"]</x:v>
      </x:c>
      <x:c r="AQ292" s="11" t="str">
        <x:v>IEK:290200130_</x:v>
      </x:c>
      <x:c r="AR292" s="23" t="n">
        <x:v>1</x:v>
      </x:c>
      <x:c r="AS292" s="23" t="n">
        <x:f>MAX(0,ROUNDUP(MAX(0,AF292-AG292-AH292)/AR292-0.000000001,0)*AR292)</x:f>
        <x:v>2</x:v>
      </x:c>
      <x:c r="AT292" s="23" t="n">
        <x:v>1.0853446993366096</x:v>
      </x:c>
    </x:row>
    <x:row r="293" ht="64" customHeight="1">
      <x:c r="A293" s="10" t="str">
        <x:v>IEK</x:v>
      </x:c>
      <x:c r="B293" s="34" t="str">
        <x:v>A650-33E055TM</x:v>
      </x:c>
      <x:c r="C293" s="34"/>
      <x:c r="D293" s="13" t="str">
        <x:v>Преобразователь частоты A650 380В 3Ф 5,5кВт 13А M ONI</x:v>
      </x:c>
      <x:c r="E293" s="10" t="str">
        <x:v>шт</x:v>
      </x:c>
      <x:c r="F293" s="37" t="n">
        <x:f>AS293</x:f>
        <x:v>1</x:v>
      </x:c>
      <x:c r="G293" s="21" t="str">
        <x:f>IF(J293="Рассчитано",V293*(1-R293/100)-W293-P293-Q293,"н/д")</x:f>
        <x:v>н/д</x:v>
      </x:c>
      <x:c r="H293" s="13" t="str">
        <x:v>Высокий</x:v>
      </x:c>
      <x:c r="I293" s="13" t="str">
        <x:v>Критический</x:v>
      </x:c>
      <x:c r="J293" s="13" t="str">
        <x:f>IF(L293="","Укажите валюту",IF(NOT(ISNUMBER(K293)),"Укажите объём",IF(K293&lt;=0,"Укажите объём",IF(COUNT(M293:O293)&lt;3,"Нужны цены",IF(COUNT(P293:R293)&lt;3,"Нужны расходы",IF(OR(M293&lt;0,N293&lt;0,O293&lt;0,O293&gt;100,P293&lt;0,Q293&lt;0,R293&lt;0,R293&gt;100),"Проверьте значения","Рассчитано"))))))</x:f>
        <x:v>Нужны цены</x:v>
      </x:c>
      <x:c r="K293" s="36" t="n">
        <x:v>1</x:v>
      </x:c>
      <x:c r="L293" s="19" t="str">
        <x:v>KZT</x:v>
      </x:c>
      <x:c r="M293" s="22"/>
      <x:c r="N293" s="22"/>
      <x:c r="O293" s="28"/>
      <x:c r="P293" s="22"/>
      <x:c r="Q293" s="22"/>
      <x:c r="R293" s="28"/>
      <x:c r="S293" s="22"/>
      <x:c r="T293" s="37" t="n">
        <x:f>MIN(K293,AT293)</x:f>
        <x:v>0.03177057299633944</x:v>
      </x:c>
      <x:c r="U293" s="21" t="str">
        <x:f>IF(J293="Рассчитано",N293*(1-O293/100),"н/д")</x:f>
        <x:v>н/д</x:v>
      </x:c>
      <x:c r="V293" s="21" t="str">
        <x:f>IF(J293="Рассчитано",T293*U293,"н/д")</x:f>
        <x:v>н/д</x:v>
      </x:c>
      <x:c r="W293" s="21" t="str">
        <x:f>IF(J293="Рассчитано",T293*M293,"н/д")</x:f>
        <x:v>н/д</x:v>
      </x:c>
      <x:c r="X293" s="21" t="str">
        <x:f>IF(J293="Рассчитано",V293-W293,"н/д")</x:f>
        <x:v>н/д</x:v>
      </x:c>
      <x:c r="Y293" s="27" t="str">
        <x:f>IF(J293="Рассчитано",IF(V293&gt;0,G293/V293,"н/д"),"н/д")</x:f>
        <x:v>н/д</x:v>
      </x:c>
      <x:c r="Z293" s="21" t="str">
        <x:f>IF(J293="Рассчитано",K293*M293,"н/д")</x:f>
        <x:v>н/д</x:v>
      </x:c>
      <x:c r="AA293" s="21" t="str">
        <x:f>IF(J293="Рассчитано",(K293-T293)*M293,"н/д")</x:f>
        <x:v>н/д</x:v>
      </x:c>
      <x:c r="AB293" s="21" t="str">
        <x:f>IF(AND(J293="Рассчитано",ISNUMBER(S293)),K293*(S293-M293),"н/д")</x:f>
        <x:v>н/д</x:v>
      </x:c>
      <x:c r="AC293" s="21" t="str">
        <x:f>IF(AND(J293="Рассчитано",T293&gt;0,R293&lt;100),(W293+P293+Q293)/(T293*(1-R293/100)),"н/д")</x:f>
        <x:v>н/д</x:v>
      </x:c>
      <x:c r="AD293" s="10" t="str">
        <x:f>IF(ISNUMBER(G293),IF(G293&lt;0,"Убыток",IF(G293=0,"Без прибыли","Прибыль &gt; 0")),"Не оценён")</x:f>
        <x:v>Не оценён</x:v>
      </x:c>
      <x:c r="AE293" s="13" t="str">
        <x:f>IF(J293="Рассчитано","Выручка "&amp;TEXT(V293,"0.00")&amp;" - себестоимость "&amp;TEXT(W293,"0.00")&amp;" - комиссия "&amp;TEXT(V293*R293/100,"0.00")&amp;" - доставка "&amp;TEXT(P293,"0.00")&amp;" - прочие "&amp;TEXT(Q293,"0.00")&amp;" = "&amp;TEXT(G293,"0.00")&amp;" "&amp;L293,"Введите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3" s="24" t="n">
        <x:v>0.03177057299633944</x:v>
      </x:c>
      <x:c r="AG293" s="37" t="n">
        <x:v>0</x:v>
      </x:c>
      <x:c r="AH293" s="37" t="n">
        <x:v>0</x:v>
      </x:c>
      <x:c r="AI293" s="30" t="n">
        <x:v>46266</x:v>
      </x:c>
      <x:c r="AJ293" s="37"/>
      <x:c r="AK293" s="10" t="str">
        <x:v>неизвестно</x:v>
      </x:c>
      <x:c r="AL293" s="32" t="n">
        <x:v>0</x:v>
      </x:c>
      <x:c r="AM293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93" s="13" t="str">
        <x:v>Подтвердить наличие, срок и цену закупки</x:v>
      </x:c>
      <x:c r="AO293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293" s="13" t="str">
        <x:v>["blank_stock_assumed_zero", "category_missing", "daily_stockout_data_missing", "moq_missing", "new_order_lead_time_unknown", "reservations_unknown", "stale_stock", "supplier_sku_missing"]</x:v>
      </x:c>
      <x:c r="AQ293" s="10" t="str">
        <x:v>IEK:A650-33E055TM</x:v>
      </x:c>
      <x:c r="AR293" s="24" t="n">
        <x:v>1</x:v>
      </x:c>
      <x:c r="AS293" s="24" t="n">
        <x:f>MAX(0,ROUNDUP(MAX(0,AF293-AG293-AH293)/AR293-0.000000001,0)*AR293)</x:f>
        <x:v>1</x:v>
      </x:c>
      <x:c r="AT293" s="24" t="n">
        <x:v>0.03177057299633944</x:v>
      </x:c>
    </x:row>
    <x:row r="294" ht="64" customHeight="1">
      <x:c r="A294" s="11" t="str">
        <x:v>IEK</x:v>
      </x:c>
      <x:c r="B294" s="33" t="str">
        <x:v>AR-KMR10-040-20-230</x:v>
      </x:c>
      <x:c r="C294" s="33"/>
      <x:c r="D294" s="12" t="str">
        <x:v>ARMAT Контактор модульный KMR 40А 230В AC 2НО IEK</x:v>
      </x:c>
      <x:c r="E294" s="11" t="str">
        <x:v>шт</x:v>
      </x:c>
      <x:c r="F294" s="35" t="n">
        <x:f>AS294</x:f>
        <x:v>1</x:v>
      </x:c>
      <x:c r="G294" s="20" t="str">
        <x:f>IF(J294="Рассчитано",V294*(1-R294/100)-W294-P294-Q294,"н/д")</x:f>
        <x:v>н/д</x:v>
      </x:c>
      <x:c r="H294" s="12" t="str">
        <x:v>Высокий</x:v>
      </x:c>
      <x:c r="I294" s="12" t="str">
        <x:v>Критический</x:v>
      </x:c>
      <x:c r="J294" s="12" t="str">
        <x:f>IF(L294="","Укажите валюту",IF(NOT(ISNUMBER(K294)),"Укажите объём",IF(K294&lt;=0,"Укажите объём",IF(COUNT(M294:O294)&lt;3,"Нужны цены",IF(COUNT(P294:R294)&lt;3,"Нужны расходы",IF(OR(M294&lt;0,N294&lt;0,O294&lt;0,O294&gt;100,P294&lt;0,Q294&lt;0,R294&lt;0,R294&gt;100),"Проверьте значения","Рассчитано"))))))</x:f>
        <x:v>Нужны цены</x:v>
      </x:c>
      <x:c r="K294" s="36" t="n">
        <x:v>1</x:v>
      </x:c>
      <x:c r="L294" s="19" t="str">
        <x:v>KZT</x:v>
      </x:c>
      <x:c r="M294" s="22"/>
      <x:c r="N294" s="22"/>
      <x:c r="O294" s="28"/>
      <x:c r="P294" s="22"/>
      <x:c r="Q294" s="22"/>
      <x:c r="R294" s="28"/>
      <x:c r="S294" s="22"/>
      <x:c r="T294" s="35" t="n">
        <x:f>MIN(K294,AT294)</x:f>
        <x:v>0.11386345640882303</x:v>
      </x:c>
      <x:c r="U294" s="20" t="str">
        <x:f>IF(J294="Рассчитано",N294*(1-O294/100),"н/д")</x:f>
        <x:v>н/д</x:v>
      </x:c>
      <x:c r="V294" s="20" t="str">
        <x:f>IF(J294="Рассчитано",T294*U294,"н/д")</x:f>
        <x:v>н/д</x:v>
      </x:c>
      <x:c r="W294" s="20" t="str">
        <x:f>IF(J294="Рассчитано",T294*M294,"н/д")</x:f>
        <x:v>н/д</x:v>
      </x:c>
      <x:c r="X294" s="20" t="str">
        <x:f>IF(J294="Рассчитано",V294-W294,"н/д")</x:f>
        <x:v>н/д</x:v>
      </x:c>
      <x:c r="Y294" s="26" t="str">
        <x:f>IF(J294="Рассчитано",IF(V294&gt;0,G294/V294,"н/д"),"н/д")</x:f>
        <x:v>н/д</x:v>
      </x:c>
      <x:c r="Z294" s="20" t="str">
        <x:f>IF(J294="Рассчитано",K294*M294,"н/д")</x:f>
        <x:v>н/д</x:v>
      </x:c>
      <x:c r="AA294" s="20" t="str">
        <x:f>IF(J294="Рассчитано",(K294-T294)*M294,"н/д")</x:f>
        <x:v>н/д</x:v>
      </x:c>
      <x:c r="AB294" s="20" t="str">
        <x:f>IF(AND(J294="Рассчитано",ISNUMBER(S294)),K294*(S294-M294),"н/д")</x:f>
        <x:v>н/д</x:v>
      </x:c>
      <x:c r="AC294" s="20" t="str">
        <x:f>IF(AND(J294="Рассчитано",T294&gt;0,R294&lt;100),(W294+P294+Q294)/(T294*(1-R294/100)),"н/д")</x:f>
        <x:v>н/д</x:v>
      </x:c>
      <x:c r="AD294" s="11" t="str">
        <x:f>IF(ISNUMBER(G294),IF(G294&lt;0,"Убыток",IF(G294=0,"Без прибыли","Прибыль &gt; 0")),"Не оценён")</x:f>
        <x:v>Не оценён</x:v>
      </x:c>
      <x:c r="AE294" s="12" t="str">
        <x:f>IF(J294="Рассчитано","Выручка "&amp;TEXT(V294,"0.00")&amp;" - себестоимость "&amp;TEXT(W294,"0.00")&amp;" - комиссия "&amp;TEXT(V294*R294/100,"0.00")&amp;" - доставка "&amp;TEXT(P294,"0.00")&amp;" - прочие "&amp;TEXT(Q294,"0.00")&amp;" = "&amp;TEXT(G294,"0.00")&amp;" "&amp;L294,"Введите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4" s="23" t="n">
        <x:v>0.11386345640882303</x:v>
      </x:c>
      <x:c r="AG294" s="35" t="n">
        <x:v>0</x:v>
      </x:c>
      <x:c r="AH294" s="35" t="n">
        <x:v>0</x:v>
      </x:c>
      <x:c r="AI294" s="29" t="n">
        <x:v>46266</x:v>
      </x:c>
      <x:c r="AJ294" s="35"/>
      <x:c r="AK294" s="11" t="str">
        <x:v>неизвестно</x:v>
      </x:c>
      <x:c r="AL294" s="31" t="n">
        <x:v>0</x:v>
      </x:c>
      <x:c r="AM294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94" s="12" t="str">
        <x:v>Подтвердить наличие, срок и цену закупки</x:v>
      </x:c>
      <x:c r="AO294" s="12" t="str">
        <x:v>Прогноз 30 дней 0.11; остаток 0; поступления в срок 0; нехватка 1; заказ с учётом MOQ 1 шт. Остаток на начало сентября: требуется актуализация.</x:v>
      </x:c>
      <x:c r="AP294" s="12" t="str">
        <x:v>["blank_stock_assumed_zero", "category_missing", "daily_stockout_data_missing", "moq_missing", "new_order_lead_time_unknown", "reservations_unknown", "stale_stock", "supplier_sku_missing"]</x:v>
      </x:c>
      <x:c r="AQ294" s="11" t="str">
        <x:v>IEK:AR-KMR10-040-20-230</x:v>
      </x:c>
      <x:c r="AR294" s="23" t="n">
        <x:v>1</x:v>
      </x:c>
      <x:c r="AS294" s="23" t="n">
        <x:f>MAX(0,ROUNDUP(MAX(0,AF294-AG294-AH294)/AR294-0.000000001,0)*AR294)</x:f>
        <x:v>1</x:v>
      </x:c>
      <x:c r="AT294" s="23" t="n">
        <x:v>0.11386345640882303</x:v>
      </x:c>
    </x:row>
    <x:row r="295" ht="64" customHeight="1">
      <x:c r="A295" s="10" t="str">
        <x:v>IEK</x:v>
      </x:c>
      <x:c r="B295" s="34" t="str">
        <x:v>AR-KMR10-040-40-230</x:v>
      </x:c>
      <x:c r="C295" s="34"/>
      <x:c r="D295" s="13" t="str">
        <x:v>ARMAT Контактор модульный KMR 40А 230В AC 4НО IEK</x:v>
      </x:c>
      <x:c r="E295" s="10" t="str">
        <x:v>шт</x:v>
      </x:c>
      <x:c r="F295" s="37" t="n">
        <x:f>AS295</x:f>
        <x:v>1</x:v>
      </x:c>
      <x:c r="G295" s="21" t="str">
        <x:f>IF(J295="Рассчитано",V295*(1-R295/100)-W295-P295-Q295,"н/д")</x:f>
        <x:v>н/д</x:v>
      </x:c>
      <x:c r="H295" s="13" t="str">
        <x:v>Высокий</x:v>
      </x:c>
      <x:c r="I295" s="13" t="str">
        <x:v>Критический</x:v>
      </x:c>
      <x:c r="J295" s="13" t="str">
        <x:f>IF(L295="","Укажите валюту",IF(NOT(ISNUMBER(K295)),"Укажите объём",IF(K295&lt;=0,"Укажите объём",IF(COUNT(M295:O295)&lt;3,"Нужны цены",IF(COUNT(P295:R295)&lt;3,"Нужны расходы",IF(OR(M295&lt;0,N295&lt;0,O295&lt;0,O295&gt;100,P295&lt;0,Q295&lt;0,R295&lt;0,R295&gt;100),"Проверьте значения","Рассчитано"))))))</x:f>
        <x:v>Нужны цены</x:v>
      </x:c>
      <x:c r="K295" s="36" t="n">
        <x:v>1</x:v>
      </x:c>
      <x:c r="L295" s="19" t="str">
        <x:v>KZT</x:v>
      </x:c>
      <x:c r="M295" s="22"/>
      <x:c r="N295" s="22"/>
      <x:c r="O295" s="28"/>
      <x:c r="P295" s="22"/>
      <x:c r="Q295" s="22"/>
      <x:c r="R295" s="28"/>
      <x:c r="S295" s="22"/>
      <x:c r="T295" s="37" t="n">
        <x:f>MIN(K295,AT295)</x:f>
        <x:v>0.08387945393634653</x:v>
      </x:c>
      <x:c r="U295" s="21" t="str">
        <x:f>IF(J295="Рассчитано",N295*(1-O295/100),"н/д")</x:f>
        <x:v>н/д</x:v>
      </x:c>
      <x:c r="V295" s="21" t="str">
        <x:f>IF(J295="Рассчитано",T295*U295,"н/д")</x:f>
        <x:v>н/д</x:v>
      </x:c>
      <x:c r="W295" s="21" t="str">
        <x:f>IF(J295="Рассчитано",T295*M295,"н/д")</x:f>
        <x:v>н/д</x:v>
      </x:c>
      <x:c r="X295" s="21" t="str">
        <x:f>IF(J295="Рассчитано",V295-W295,"н/д")</x:f>
        <x:v>н/д</x:v>
      </x:c>
      <x:c r="Y295" s="27" t="str">
        <x:f>IF(J295="Рассчитано",IF(V295&gt;0,G295/V295,"н/д"),"н/д")</x:f>
        <x:v>н/д</x:v>
      </x:c>
      <x:c r="Z295" s="21" t="str">
        <x:f>IF(J295="Рассчитано",K295*M295,"н/д")</x:f>
        <x:v>н/д</x:v>
      </x:c>
      <x:c r="AA295" s="21" t="str">
        <x:f>IF(J295="Рассчитано",(K295-T295)*M295,"н/д")</x:f>
        <x:v>н/д</x:v>
      </x:c>
      <x:c r="AB295" s="21" t="str">
        <x:f>IF(AND(J295="Рассчитано",ISNUMBER(S295)),K295*(S295-M295),"н/д")</x:f>
        <x:v>н/д</x:v>
      </x:c>
      <x:c r="AC295" s="21" t="str">
        <x:f>IF(AND(J295="Рассчитано",T295&gt;0,R295&lt;100),(W295+P295+Q295)/(T295*(1-R295/100)),"н/д")</x:f>
        <x:v>н/д</x:v>
      </x:c>
      <x:c r="AD295" s="10" t="str">
        <x:f>IF(ISNUMBER(G295),IF(G295&lt;0,"Убыток",IF(G295=0,"Без прибыли","Прибыль &gt; 0")),"Не оценён")</x:f>
        <x:v>Не оценён</x:v>
      </x:c>
      <x:c r="AE295" s="13" t="str">
        <x:f>IF(J295="Рассчитано","Выручка "&amp;TEXT(V295,"0.00")&amp;" - себестоимость "&amp;TEXT(W295,"0.00")&amp;" - комиссия "&amp;TEXT(V295*R295/100,"0.00")&amp;" - доставка "&amp;TEXT(P295,"0.00")&amp;" - прочие "&amp;TEXT(Q295,"0.00")&amp;" = "&amp;TEXT(G295,"0.00")&amp;" "&amp;L295,"Введите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5" s="24" t="n">
        <x:v>0.08387945393634653</x:v>
      </x:c>
      <x:c r="AG295" s="37" t="n">
        <x:v>0</x:v>
      </x:c>
      <x:c r="AH295" s="37" t="n">
        <x:v>0</x:v>
      </x:c>
      <x:c r="AI295" s="30" t="n">
        <x:v>46266</x:v>
      </x:c>
      <x:c r="AJ295" s="37"/>
      <x:c r="AK295" s="10" t="str">
        <x:v>неизвестно</x:v>
      </x:c>
      <x:c r="AL295" s="32" t="n">
        <x:v>0</x:v>
      </x:c>
      <x:c r="AM295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95" s="13" t="str">
        <x:v>Подтвердить наличие, срок и цену закупки</x:v>
      </x:c>
      <x:c r="AO295" s="13" t="str">
        <x:v>Прогноз 30 дней 0.08; остаток 0; поступления в срок 0; нехватка 1; заказ с учётом MOQ 1 шт. Остаток на начало сентября: требуется актуализация.</x:v>
      </x:c>
      <x:c r="AP295" s="13" t="str">
        <x:v>["blank_stock_assumed_zero", "category_missing", "daily_stockout_data_missing", "moq_missing", "new_order_lead_time_unknown", "reservations_unknown", "stale_stock", "supplier_sku_missing"]</x:v>
      </x:c>
      <x:c r="AQ295" s="10" t="str">
        <x:v>IEK:AR-KMR10-040-40-230</x:v>
      </x:c>
      <x:c r="AR295" s="24" t="n">
        <x:v>1</x:v>
      </x:c>
      <x:c r="AS295" s="24" t="n">
        <x:f>MAX(0,ROUNDUP(MAX(0,AF295-AG295-AH295)/AR295-0.000000001,0)*AR295)</x:f>
        <x:v>1</x:v>
      </x:c>
      <x:c r="AT295" s="24" t="n">
        <x:v>0.08387945393634653</x:v>
      </x:c>
    </x:row>
    <x:row r="296" ht="64" customHeight="1">
      <x:c r="A296" s="11" t="str">
        <x:v>IEK</x:v>
      </x:c>
      <x:c r="B296" s="33" t="str">
        <x:v>AR-KMR10-063-22-230</x:v>
      </x:c>
      <x:c r="C296" s="33"/>
      <x:c r="D296" s="12" t="str">
        <x:v>ARMAT Контактор модульный KMR 63А 230В AC 2НО 2НЗ IEK</x:v>
      </x:c>
      <x:c r="E296" s="11" t="str">
        <x:v>шт</x:v>
      </x:c>
      <x:c r="F296" s="35" t="n">
        <x:f>AS296</x:f>
        <x:v>1</x:v>
      </x:c>
      <x:c r="G296" s="20" t="str">
        <x:f>IF(J296="Рассчитано",V296*(1-R296/100)-W296-P296-Q296,"н/д")</x:f>
        <x:v>н/д</x:v>
      </x:c>
      <x:c r="H296" s="12" t="str">
        <x:v>Высокий</x:v>
      </x:c>
      <x:c r="I296" s="12" t="str">
        <x:v>Критический</x:v>
      </x:c>
      <x:c r="J296" s="12" t="str">
        <x:f>IF(L296="","Укажите валюту",IF(NOT(ISNUMBER(K296)),"Укажите объём",IF(K296&lt;=0,"Укажите объём",IF(COUNT(M296:O296)&lt;3,"Нужны цены",IF(COUNT(P296:R296)&lt;3,"Нужны расходы",IF(OR(M296&lt;0,N296&lt;0,O296&lt;0,O296&gt;100,P296&lt;0,Q296&lt;0,R296&lt;0,R296&gt;100),"Проверьте значения","Рассчитано"))))))</x:f>
        <x:v>Нужны цены</x:v>
      </x:c>
      <x:c r="K296" s="36" t="n">
        <x:v>1</x:v>
      </x:c>
      <x:c r="L296" s="19" t="str">
        <x:v>KZT</x:v>
      </x:c>
      <x:c r="M296" s="22"/>
      <x:c r="N296" s="22"/>
      <x:c r="O296" s="28"/>
      <x:c r="P296" s="22"/>
      <x:c r="Q296" s="22"/>
      <x:c r="R296" s="28"/>
      <x:c r="S296" s="22"/>
      <x:c r="T296" s="35" t="n">
        <x:f>MIN(K296,AT296)</x:f>
        <x:v>0.06354114599267888</x:v>
      </x:c>
      <x:c r="U296" s="20" t="str">
        <x:f>IF(J296="Рассчитано",N296*(1-O296/100),"н/д")</x:f>
        <x:v>н/д</x:v>
      </x:c>
      <x:c r="V296" s="20" t="str">
        <x:f>IF(J296="Рассчитано",T296*U296,"н/д")</x:f>
        <x:v>н/д</x:v>
      </x:c>
      <x:c r="W296" s="20" t="str">
        <x:f>IF(J296="Рассчитано",T296*M296,"н/д")</x:f>
        <x:v>н/д</x:v>
      </x:c>
      <x:c r="X296" s="20" t="str">
        <x:f>IF(J296="Рассчитано",V296-W296,"н/д")</x:f>
        <x:v>н/д</x:v>
      </x:c>
      <x:c r="Y296" s="26" t="str">
        <x:f>IF(J296="Рассчитано",IF(V296&gt;0,G296/V296,"н/д"),"н/д")</x:f>
        <x:v>н/д</x:v>
      </x:c>
      <x:c r="Z296" s="20" t="str">
        <x:f>IF(J296="Рассчитано",K296*M296,"н/д")</x:f>
        <x:v>н/д</x:v>
      </x:c>
      <x:c r="AA296" s="20" t="str">
        <x:f>IF(J296="Рассчитано",(K296-T296)*M296,"н/д")</x:f>
        <x:v>н/д</x:v>
      </x:c>
      <x:c r="AB296" s="20" t="str">
        <x:f>IF(AND(J296="Рассчитано",ISNUMBER(S296)),K296*(S296-M296),"н/д")</x:f>
        <x:v>н/д</x:v>
      </x:c>
      <x:c r="AC296" s="20" t="str">
        <x:f>IF(AND(J296="Рассчитано",T296&gt;0,R296&lt;100),(W296+P296+Q296)/(T296*(1-R296/100)),"н/д")</x:f>
        <x:v>н/д</x:v>
      </x:c>
      <x:c r="AD296" s="11" t="str">
        <x:f>IF(ISNUMBER(G296),IF(G296&lt;0,"Убыток",IF(G296=0,"Без прибыли","Прибыль &gt; 0")),"Не оценён")</x:f>
        <x:v>Не оценён</x:v>
      </x:c>
      <x:c r="AE296" s="12" t="str">
        <x:f>IF(J296="Рассчитано","Выручка "&amp;TEXT(V296,"0.00")&amp;" - себестоимость "&amp;TEXT(W296,"0.00")&amp;" - комиссия "&amp;TEXT(V296*R296/100,"0.00")&amp;" - доставка "&amp;TEXT(P296,"0.00")&amp;" - прочие "&amp;TEXT(Q296,"0.00")&amp;" = "&amp;TEXT(G296,"0.00")&amp;" "&amp;L296,"Введите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6" s="23" t="n">
        <x:v>0.06354114599267888</x:v>
      </x:c>
      <x:c r="AG296" s="35" t="n">
        <x:v>0</x:v>
      </x:c>
      <x:c r="AH296" s="35" t="n">
        <x:v>0</x:v>
      </x:c>
      <x:c r="AI296" s="29" t="n">
        <x:v>46266</x:v>
      </x:c>
      <x:c r="AJ296" s="35"/>
      <x:c r="AK296" s="11" t="str">
        <x:v>неизвестно</x:v>
      </x:c>
      <x:c r="AL296" s="31" t="n">
        <x:v>0</x:v>
      </x:c>
      <x:c r="AM296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96" s="12" t="str">
        <x:v>Подтвердить наличие, срок и цену закупки</x:v>
      </x:c>
      <x:c r="AO296" s="12" t="str">
        <x:v>Прогноз 30 дней 0.06; остаток 0; поступления в срок 0; нехватка 1; заказ с учётом MOQ 1 шт. Остаток на начало сентября: требуется актуализация.</x:v>
      </x:c>
      <x:c r="AP296" s="12" t="str">
        <x:v>["blank_stock_assumed_zero", "category_missing", "daily_stockout_data_missing", "moq_missing", "new_order_lead_time_unknown", "reservations_unknown", "stale_stock", "supplier_sku_missing"]</x:v>
      </x:c>
      <x:c r="AQ296" s="11" t="str">
        <x:v>IEK:AR-KMR10-063-22-230</x:v>
      </x:c>
      <x:c r="AR296" s="23" t="n">
        <x:v>1</x:v>
      </x:c>
      <x:c r="AS296" s="23" t="n">
        <x:f>MAX(0,ROUNDUP(MAX(0,AF296-AG296-AH296)/AR296-0.000000001,0)*AR296)</x:f>
        <x:v>1</x:v>
      </x:c>
      <x:c r="AT296" s="23" t="n">
        <x:v>0.06354114599267888</x:v>
      </x:c>
    </x:row>
    <x:row r="297" ht="64" customHeight="1">
      <x:c r="A297" s="10" t="str">
        <x:v>IEK</x:v>
      </x:c>
      <x:c r="B297" s="34" t="str">
        <x:v>AR-M06N-4-C025</x:v>
      </x:c>
      <x:c r="C297" s="34" t="str">
        <x:v>AR-M06N-4-C025</x:v>
      </x:c>
      <x:c r="D297" s="13" t="str">
        <x:v>ARMAT Автоматический выключатель M06N 4P C 25А IEK</x:v>
      </x:c>
      <x:c r="E297" s="10" t="str">
        <x:v>шт</x:v>
      </x:c>
      <x:c r="F297" s="37" t="n">
        <x:f>IF(AS297&gt;0,MAX(AS297,AJ297),0)</x:f>
        <x:v>1</x:v>
      </x:c>
      <x:c r="G297" s="21" t="str">
        <x:f>IF(J297="Рассчитано",V297*(1-R297/100)-W297-P297-Q297,"н/д")</x:f>
        <x:v>н/д</x:v>
      </x:c>
      <x:c r="H297" s="13" t="str">
        <x:v>Высокий</x:v>
      </x:c>
      <x:c r="I297" s="13" t="str">
        <x:v>Критический</x:v>
      </x:c>
      <x:c r="J297" s="13" t="str">
        <x:f>IF(L297="","Укажите валюту",IF(NOT(ISNUMBER(K297)),"Укажите объём",IF(K297&lt;=0,"Укажите объём",IF(COUNT(M297:O297)&lt;3,"Нужны цены",IF(COUNT(P297:R297)&lt;3,"Нужны расходы",IF(OR(M297&lt;0,N297&lt;0,O297&lt;0,O297&gt;100,P297&lt;0,Q297&lt;0,R297&lt;0,R297&gt;100),"Проверьте значения","Рассчитано"))))))</x:f>
        <x:v>Нужны цены</x:v>
      </x:c>
      <x:c r="K297" s="36" t="n">
        <x:v>1</x:v>
      </x:c>
      <x:c r="L297" s="19" t="str">
        <x:v>KZT</x:v>
      </x:c>
      <x:c r="M297" s="22"/>
      <x:c r="N297" s="22"/>
      <x:c r="O297" s="28"/>
      <x:c r="P297" s="22"/>
      <x:c r="Q297" s="22"/>
      <x:c r="R297" s="28"/>
      <x:c r="S297" s="22"/>
      <x:c r="T297" s="37" t="n">
        <x:f>MIN(K297,AT297)</x:f>
        <x:v>0.037954485469607675</x:v>
      </x:c>
      <x:c r="U297" s="21" t="str">
        <x:f>IF(J297="Рассчитано",N297*(1-O297/100),"н/д")</x:f>
        <x:v>н/д</x:v>
      </x:c>
      <x:c r="V297" s="21" t="str">
        <x:f>IF(J297="Рассчитано",T297*U297,"н/д")</x:f>
        <x:v>н/д</x:v>
      </x:c>
      <x:c r="W297" s="21" t="str">
        <x:f>IF(J297="Рассчитано",T297*M297,"н/д")</x:f>
        <x:v>н/д</x:v>
      </x:c>
      <x:c r="X297" s="21" t="str">
        <x:f>IF(J297="Рассчитано",V297-W297,"н/д")</x:f>
        <x:v>н/д</x:v>
      </x:c>
      <x:c r="Y297" s="27" t="str">
        <x:f>IF(J297="Рассчитано",IF(V297&gt;0,G297/V297,"н/д"),"н/д")</x:f>
        <x:v>н/д</x:v>
      </x:c>
      <x:c r="Z297" s="21" t="str">
        <x:f>IF(J297="Рассчитано",K297*M297,"н/д")</x:f>
        <x:v>н/д</x:v>
      </x:c>
      <x:c r="AA297" s="21" t="str">
        <x:f>IF(J297="Рассчитано",(K297-T297)*M297,"н/д")</x:f>
        <x:v>н/д</x:v>
      </x:c>
      <x:c r="AB297" s="21" t="str">
        <x:f>IF(AND(J297="Рассчитано",ISNUMBER(S297)),K297*(S297-M297),"н/д")</x:f>
        <x:v>н/д</x:v>
      </x:c>
      <x:c r="AC297" s="21" t="str">
        <x:f>IF(AND(J297="Рассчитано",T297&gt;0,R297&lt;100),(W297+P297+Q297)/(T297*(1-R297/100)),"н/д")</x:f>
        <x:v>н/д</x:v>
      </x:c>
      <x:c r="AD297" s="10" t="str">
        <x:f>IF(ISNUMBER(G297),IF(G297&lt;0,"Убыток",IF(G297=0,"Без прибыли","Прибыль &gt; 0")),"Не оценён")</x:f>
        <x:v>Не оценён</x:v>
      </x:c>
      <x:c r="AE297" s="13" t="str">
        <x:f>IF(J297="Рассчитано","Выручка "&amp;TEXT(V297,"0.00")&amp;" - себестоимость "&amp;TEXT(W297,"0.00")&amp;" - комиссия "&amp;TEXT(V297*R297/100,"0.00")&amp;" - доставка "&amp;TEXT(P297,"0.00")&amp;" - прочие "&amp;TEXT(Q297,"0.00")&amp;" = "&amp;TEXT(G297,"0.00")&amp;" "&amp;L297,"Введите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7" s="24" t="n">
        <x:v>0.037954485469607675</x:v>
      </x:c>
      <x:c r="AG297" s="37" t="n">
        <x:v>0</x:v>
      </x:c>
      <x:c r="AH297" s="37" t="n">
        <x:v>0</x:v>
      </x:c>
      <x:c r="AI297" s="30" t="n">
        <x:v>46266</x:v>
      </x:c>
      <x:c r="AJ297" s="37" t="n">
        <x:v>1</x:v>
      </x:c>
      <x:c r="AK297" s="10" t="str">
        <x:v>минимум</x:v>
      </x:c>
      <x:c r="AL297" s="32" t="n">
        <x:v>0</x:v>
      </x:c>
      <x:c r="AM297" s="13" t="str">
        <x:v>Остаток на начало сентября; Резервы неизвестны; Нет ежедневных данных доступности. Нет запаса</x:v>
      </x:c>
      <x:c r="AN297" s="13" t="str">
        <x:v>Подтвердить наличие, срок и цену закупки</x:v>
      </x:c>
      <x:c r="AO297" s="13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297" s="13" t="str">
        <x:v>["blank_stock_assumed_zero", "category_missing", "daily_stockout_data_missing", "new_order_lead_time_unknown", "reservations_unknown", "stale_stock"]</x:v>
      </x:c>
      <x:c r="AQ297" s="10" t="str">
        <x:v>IEK:AR-M06N-4-C025</x:v>
      </x:c>
      <x:c r="AR297" s="24" t="n">
        <x:v>1</x:v>
      </x:c>
      <x:c r="AS297" s="24" t="n">
        <x:f>MAX(0,ROUNDUP(MAX(0,AF297-AG297-AH297)/AR297-0.000000001,0)*AR297)</x:f>
        <x:v>1</x:v>
      </x:c>
      <x:c r="AT297" s="24" t="n">
        <x:v>0.037954485469607675</x:v>
      </x:c>
    </x:row>
    <x:row r="298" ht="64" customHeight="1">
      <x:c r="A298" s="11" t="str">
        <x:v>IEK</x:v>
      </x:c>
      <x:c r="B298" s="33" t="str">
        <x:v>BR-M12-G-31-K96</x:v>
      </x:c>
      <x:c r="C298" s="33"/>
      <x:c r="D298" s="12" t="str">
        <x:v>BRITE Рамка 1-местная РУ-1-2-БрП стекло персиковый матовый IEK</x:v>
      </x:c>
      <x:c r="E298" s="11" t="str">
        <x:v>шт</x:v>
      </x:c>
      <x:c r="F298" s="35" t="n">
        <x:f>AS298</x:f>
        <x:v>1</x:v>
      </x:c>
      <x:c r="G298" s="20" t="str">
        <x:f>IF(J298="Рассчитано",V298*(1-R298/100)-W298-P298-Q298,"н/д")</x:f>
        <x:v>н/д</x:v>
      </x:c>
      <x:c r="H298" s="12" t="str">
        <x:v>Высокий</x:v>
      </x:c>
      <x:c r="I298" s="12" t="str">
        <x:v>Критический</x:v>
      </x:c>
      <x:c r="J298" s="12" t="str">
        <x:f>IF(L298="","Укажите валюту",IF(NOT(ISNUMBER(K298)),"Укажите объём",IF(K298&lt;=0,"Укажите объём",IF(COUNT(M298:O298)&lt;3,"Нужны цены",IF(COUNT(P298:R298)&lt;3,"Нужны расходы",IF(OR(M298&lt;0,N298&lt;0,O298&lt;0,O298&gt;100,P298&lt;0,Q298&lt;0,R298&lt;0,R298&gt;100),"Проверьте значения","Рассчитано"))))))</x:f>
        <x:v>Нужны цены</x:v>
      </x:c>
      <x:c r="K298" s="36" t="n">
        <x:v>1</x:v>
      </x:c>
      <x:c r="L298" s="19" t="str">
        <x:v>KZT</x:v>
      </x:c>
      <x:c r="M298" s="22"/>
      <x:c r="N298" s="22"/>
      <x:c r="O298" s="28"/>
      <x:c r="P298" s="22"/>
      <x:c r="Q298" s="22"/>
      <x:c r="R298" s="28"/>
      <x:c r="S298" s="22"/>
      <x:c r="T298" s="35" t="n">
        <x:f>MIN(K298,AT298)</x:f>
        <x:v>0.44360409359730457</x:v>
      </x:c>
      <x:c r="U298" s="20" t="str">
        <x:f>IF(J298="Рассчитано",N298*(1-O298/100),"н/д")</x:f>
        <x:v>н/д</x:v>
      </x:c>
      <x:c r="V298" s="20" t="str">
        <x:f>IF(J298="Рассчитано",T298*U298,"н/д")</x:f>
        <x:v>н/д</x:v>
      </x:c>
      <x:c r="W298" s="20" t="str">
        <x:f>IF(J298="Рассчитано",T298*M298,"н/д")</x:f>
        <x:v>н/д</x:v>
      </x:c>
      <x:c r="X298" s="20" t="str">
        <x:f>IF(J298="Рассчитано",V298-W298,"н/д")</x:f>
        <x:v>н/д</x:v>
      </x:c>
      <x:c r="Y298" s="26" t="str">
        <x:f>IF(J298="Рассчитано",IF(V298&gt;0,G298/V298,"н/д"),"н/д")</x:f>
        <x:v>н/д</x:v>
      </x:c>
      <x:c r="Z298" s="20" t="str">
        <x:f>IF(J298="Рассчитано",K298*M298,"н/д")</x:f>
        <x:v>н/д</x:v>
      </x:c>
      <x:c r="AA298" s="20" t="str">
        <x:f>IF(J298="Рассчитано",(K298-T298)*M298,"н/д")</x:f>
        <x:v>н/д</x:v>
      </x:c>
      <x:c r="AB298" s="20" t="str">
        <x:f>IF(AND(J298="Рассчитано",ISNUMBER(S298)),K298*(S298-M298),"н/д")</x:f>
        <x:v>н/д</x:v>
      </x:c>
      <x:c r="AC298" s="20" t="str">
        <x:f>IF(AND(J298="Рассчитано",T298&gt;0,R298&lt;100),(W298+P298+Q298)/(T298*(1-R298/100)),"н/д")</x:f>
        <x:v>н/д</x:v>
      </x:c>
      <x:c r="AD298" s="11" t="str">
        <x:f>IF(ISNUMBER(G298),IF(G298&lt;0,"Убыток",IF(G298=0,"Без прибыли","Прибыль &gt; 0")),"Не оценён")</x:f>
        <x:v>Не оценён</x:v>
      </x:c>
      <x:c r="AE298" s="12" t="str">
        <x:f>IF(J298="Рассчитано","Выручка "&amp;TEXT(V298,"0.00")&amp;" - себестоимость "&amp;TEXT(W298,"0.00")&amp;" - комиссия "&amp;TEXT(V298*R298/100,"0.00")&amp;" - доставка "&amp;TEXT(P298,"0.00")&amp;" - прочие "&amp;TEXT(Q298,"0.00")&amp;" = "&amp;TEXT(G298,"0.00")&amp;" "&amp;L298,"Введите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8" s="23" t="n">
        <x:v>0.44360409359730457</x:v>
      </x:c>
      <x:c r="AG298" s="35" t="n">
        <x:v>0</x:v>
      </x:c>
      <x:c r="AH298" s="35" t="n">
        <x:v>0</x:v>
      </x:c>
      <x:c r="AI298" s="29" t="n">
        <x:v>46266</x:v>
      </x:c>
      <x:c r="AJ298" s="35"/>
      <x:c r="AK298" s="11" t="str">
        <x:v>неизвестно</x:v>
      </x:c>
      <x:c r="AL298" s="31" t="n">
        <x:v>0</x:v>
      </x:c>
      <x:c r="AM298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98" s="12" t="str">
        <x:v>Подтвердить наличие, срок и цену закупки</x:v>
      </x:c>
      <x:c r="AO298" s="12" t="str">
        <x:v>Прогноз 30 дней 0.44; остаток 0; поступления в срок 0; нехватка 1; заказ с учётом MOQ 1 шт. Остаток на начало сентября: требуется актуализация.</x:v>
      </x:c>
      <x:c r="AP298" s="12" t="str">
        <x:v>["blank_stock_assumed_zero", "category_missing", "daily_stockout_data_missing", "moq_missing", "new_order_lead_time_unknown", "reservations_unknown", "stale_stock", "supplier_sku_missing"]</x:v>
      </x:c>
      <x:c r="AQ298" s="11" t="str">
        <x:v>IEK:BR-M12-G-31-K96</x:v>
      </x:c>
      <x:c r="AR298" s="23" t="n">
        <x:v>1</x:v>
      </x:c>
      <x:c r="AS298" s="23" t="n">
        <x:f>MAX(0,ROUNDUP(MAX(0,AF298-AG298-AH298)/AR298-0.000000001,0)*AR298)</x:f>
        <x:v>1</x:v>
      </x:c>
      <x:c r="AT298" s="23" t="n">
        <x:v>0.44360409359730457</x:v>
      </x:c>
    </x:row>
    <x:row r="299" ht="64" customHeight="1">
      <x:c r="A299" s="10" t="str">
        <x:v>IEK</x:v>
      </x:c>
      <x:c r="B299" s="34" t="str">
        <x:v>BR-M12-G-41-K06</x:v>
      </x:c>
      <x:c r="C299" s="34"/>
      <x:c r="D299" s="13" t="str">
        <x:v>BRITE Рамка 1-местная РУ-1-2-Бр стекло эко грин RE IEK</x:v>
      </x:c>
      <x:c r="E299" s="10" t="str">
        <x:v>шт</x:v>
      </x:c>
      <x:c r="F299" s="37" t="n">
        <x:f>AS299</x:f>
        <x:v>1</x:v>
      </x:c>
      <x:c r="G299" s="21" t="str">
        <x:f>IF(J299="Рассчитано",V299*(1-R299/100)-W299-P299-Q299,"н/д")</x:f>
        <x:v>н/д</x:v>
      </x:c>
      <x:c r="H299" s="13" t="str">
        <x:v>Высокий</x:v>
      </x:c>
      <x:c r="I299" s="13" t="str">
        <x:v>Критический</x:v>
      </x:c>
      <x:c r="J299" s="13" t="str">
        <x:f>IF(L299="","Укажите валюту",IF(NOT(ISNUMBER(K299)),"Укажите объём",IF(K299&lt;=0,"Укажите объём",IF(COUNT(M299:O299)&lt;3,"Нужны цены",IF(COUNT(P299:R299)&lt;3,"Нужны расходы",IF(OR(M299&lt;0,N299&lt;0,O299&lt;0,O299&gt;100,P299&lt;0,Q299&lt;0,R299&lt;0,R299&gt;100),"Проверьте значения","Рассчитано"))))))</x:f>
        <x:v>Нужны цены</x:v>
      </x:c>
      <x:c r="K299" s="36" t="n">
        <x:v>1</x:v>
      </x:c>
      <x:c r="L299" s="19" t="str">
        <x:v>KZT</x:v>
      </x:c>
      <x:c r="M299" s="22"/>
      <x:c r="N299" s="22"/>
      <x:c r="O299" s="28"/>
      <x:c r="P299" s="22"/>
      <x:c r="Q299" s="22"/>
      <x:c r="R299" s="28"/>
      <x:c r="S299" s="22"/>
      <x:c r="T299" s="37" t="n">
        <x:f>MIN(K299,AT299)</x:f>
        <x:v>0.13897719491097874</x:v>
      </x:c>
      <x:c r="U299" s="21" t="str">
        <x:f>IF(J299="Рассчитано",N299*(1-O299/100),"н/д")</x:f>
        <x:v>н/д</x:v>
      </x:c>
      <x:c r="V299" s="21" t="str">
        <x:f>IF(J299="Рассчитано",T299*U299,"н/д")</x:f>
        <x:v>н/д</x:v>
      </x:c>
      <x:c r="W299" s="21" t="str">
        <x:f>IF(J299="Рассчитано",T299*M299,"н/д")</x:f>
        <x:v>н/д</x:v>
      </x:c>
      <x:c r="X299" s="21" t="str">
        <x:f>IF(J299="Рассчитано",V299-W299,"н/д")</x:f>
        <x:v>н/д</x:v>
      </x:c>
      <x:c r="Y299" s="27" t="str">
        <x:f>IF(J299="Рассчитано",IF(V299&gt;0,G299/V299,"н/д"),"н/д")</x:f>
        <x:v>н/д</x:v>
      </x:c>
      <x:c r="Z299" s="21" t="str">
        <x:f>IF(J299="Рассчитано",K299*M299,"н/д")</x:f>
        <x:v>н/д</x:v>
      </x:c>
      <x:c r="AA299" s="21" t="str">
        <x:f>IF(J299="Рассчитано",(K299-T299)*M299,"н/д")</x:f>
        <x:v>н/д</x:v>
      </x:c>
      <x:c r="AB299" s="21" t="str">
        <x:f>IF(AND(J299="Рассчитано",ISNUMBER(S299)),K299*(S299-M299),"н/д")</x:f>
        <x:v>н/д</x:v>
      </x:c>
      <x:c r="AC299" s="21" t="str">
        <x:f>IF(AND(J299="Рассчитано",T299&gt;0,R299&lt;100),(W299+P299+Q299)/(T299*(1-R299/100)),"н/д")</x:f>
        <x:v>н/д</x:v>
      </x:c>
      <x:c r="AD299" s="10" t="str">
        <x:f>IF(ISNUMBER(G299),IF(G299&lt;0,"Убыток",IF(G299=0,"Без прибыли","Прибыль &gt; 0")),"Не оценён")</x:f>
        <x:v>Не оценён</x:v>
      </x:c>
      <x:c r="AE299" s="13" t="str">
        <x:f>IF(J299="Рассчитано","Выручка "&amp;TEXT(V299,"0.00")&amp;" - себестоимость "&amp;TEXT(W299,"0.00")&amp;" - комиссия "&amp;TEXT(V299*R299/100,"0.00")&amp;" - доставка "&amp;TEXT(P299,"0.00")&amp;" - прочие "&amp;TEXT(Q299,"0.00")&amp;" = "&amp;TEXT(G299,"0.00")&amp;" "&amp;L299,"Введите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299" s="24" t="n">
        <x:v>0.13897719491097874</x:v>
      </x:c>
      <x:c r="AG299" s="37" t="n">
        <x:v>0</x:v>
      </x:c>
      <x:c r="AH299" s="37" t="n">
        <x:v>0</x:v>
      </x:c>
      <x:c r="AI299" s="30" t="n">
        <x:v>46266</x:v>
      </x:c>
      <x:c r="AJ299" s="37"/>
      <x:c r="AK299" s="10" t="str">
        <x:v>неизвестно</x:v>
      </x:c>
      <x:c r="AL299" s="32" t="n">
        <x:v>0</x:v>
      </x:c>
      <x:c r="AM299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299" s="13" t="str">
        <x:v>Подтвердить наличие, срок и цену закупки</x:v>
      </x:c>
      <x:c r="AO299" s="13" t="str">
        <x:v>Прогноз 30 дней 0.14; остаток 0; поступления в срок 0; нехватка 1; заказ с учётом MOQ 1 шт. Остаток на начало сентября: требуется актуализация.</x:v>
      </x:c>
      <x:c r="AP299" s="13" t="str">
        <x:v>["blank_stock_assumed_zero", "category_missing", "daily_stockout_data_missing", "moq_missing", "new_order_lead_time_unknown", "reservations_unknown", "stale_stock", "supplier_sku_missing"]</x:v>
      </x:c>
      <x:c r="AQ299" s="10" t="str">
        <x:v>IEK:BR-M12-G-41-K06</x:v>
      </x:c>
      <x:c r="AR299" s="24" t="n">
        <x:v>1</x:v>
      </x:c>
      <x:c r="AS299" s="24" t="n">
        <x:f>MAX(0,ROUNDUP(MAX(0,AF299-AG299-AH299)/AR299-0.000000001,0)*AR299)</x:f>
        <x:v>1</x:v>
      </x:c>
      <x:c r="AT299" s="24" t="n">
        <x:v>0.13897719491097874</x:v>
      </x:c>
    </x:row>
    <x:row r="300" ht="64" customHeight="1">
      <x:c r="A300" s="11" t="str">
        <x:v>IEK</x:v>
      </x:c>
      <x:c r="B300" s="33" t="str">
        <x:v>BR-M22-G-31-K96</x:v>
      </x:c>
      <x:c r="C300" s="33"/>
      <x:c r="D300" s="12" t="str">
        <x:v>BRITE Рамка 2-местная РУ-2-2-БрП стекло персиковый матовый IEK</x:v>
      </x:c>
      <x:c r="E300" s="11" t="str">
        <x:v>шт</x:v>
      </x:c>
      <x:c r="F300" s="35" t="n">
        <x:f>AS300</x:f>
        <x:v>1</x:v>
      </x:c>
      <x:c r="G300" s="20" t="str">
        <x:f>IF(J300="Рассчитано",V300*(1-R300/100)-W300-P300-Q300,"н/д")</x:f>
        <x:v>н/д</x:v>
      </x:c>
      <x:c r="H300" s="12" t="str">
        <x:v>Высокий</x:v>
      </x:c>
      <x:c r="I300" s="12" t="str">
        <x:v>Критический</x:v>
      </x:c>
      <x:c r="J300" s="12" t="str">
        <x:f>IF(L300="","Укажите валюту",IF(NOT(ISNUMBER(K300)),"Укажите объём",IF(K300&lt;=0,"Укажите объём",IF(COUNT(M300:O300)&lt;3,"Нужны цены",IF(COUNT(P300:R300)&lt;3,"Нужны расходы",IF(OR(M300&lt;0,N300&lt;0,O300&lt;0,O300&gt;100,P300&lt;0,Q300&lt;0,R300&lt;0,R300&gt;100),"Проверьте значения","Рассчитано"))))))</x:f>
        <x:v>Нужны цены</x:v>
      </x:c>
      <x:c r="K300" s="36" t="n">
        <x:v>1</x:v>
      </x:c>
      <x:c r="L300" s="19" t="str">
        <x:v>KZT</x:v>
      </x:c>
      <x:c r="M300" s="22"/>
      <x:c r="N300" s="22"/>
      <x:c r="O300" s="28"/>
      <x:c r="P300" s="22"/>
      <x:c r="Q300" s="22"/>
      <x:c r="R300" s="28"/>
      <x:c r="S300" s="22"/>
      <x:c r="T300" s="35" t="n">
        <x:f>MIN(K300,AT300)</x:f>
        <x:v>0.04032764487248222</x:v>
      </x:c>
      <x:c r="U300" s="20" t="str">
        <x:f>IF(J300="Рассчитано",N300*(1-O300/100),"н/д")</x:f>
        <x:v>н/д</x:v>
      </x:c>
      <x:c r="V300" s="20" t="str">
        <x:f>IF(J300="Рассчитано",T300*U300,"н/д")</x:f>
        <x:v>н/д</x:v>
      </x:c>
      <x:c r="W300" s="20" t="str">
        <x:f>IF(J300="Рассчитано",T300*M300,"н/д")</x:f>
        <x:v>н/д</x:v>
      </x:c>
      <x:c r="X300" s="20" t="str">
        <x:f>IF(J300="Рассчитано",V300-W300,"н/д")</x:f>
        <x:v>н/д</x:v>
      </x:c>
      <x:c r="Y300" s="26" t="str">
        <x:f>IF(J300="Рассчитано",IF(V300&gt;0,G300/V300,"н/д"),"н/д")</x:f>
        <x:v>н/д</x:v>
      </x:c>
      <x:c r="Z300" s="20" t="str">
        <x:f>IF(J300="Рассчитано",K300*M300,"н/д")</x:f>
        <x:v>н/д</x:v>
      </x:c>
      <x:c r="AA300" s="20" t="str">
        <x:f>IF(J300="Рассчитано",(K300-T300)*M300,"н/д")</x:f>
        <x:v>н/д</x:v>
      </x:c>
      <x:c r="AB300" s="20" t="str">
        <x:f>IF(AND(J300="Рассчитано",ISNUMBER(S300)),K300*(S300-M300),"н/д")</x:f>
        <x:v>н/д</x:v>
      </x:c>
      <x:c r="AC300" s="20" t="str">
        <x:f>IF(AND(J300="Рассчитано",T300&gt;0,R300&lt;100),(W300+P300+Q300)/(T300*(1-R300/100)),"н/д")</x:f>
        <x:v>н/д</x:v>
      </x:c>
      <x:c r="AD300" s="11" t="str">
        <x:f>IF(ISNUMBER(G300),IF(G300&lt;0,"Убыток",IF(G300=0,"Без прибыли","Прибыль &gt; 0")),"Не оценён")</x:f>
        <x:v>Не оценён</x:v>
      </x:c>
      <x:c r="AE300" s="12" t="str">
        <x:f>IF(J300="Рассчитано","Выручка "&amp;TEXT(V300,"0.00")&amp;" - себестоимость "&amp;TEXT(W300,"0.00")&amp;" - комиссия "&amp;TEXT(V300*R300/100,"0.00")&amp;" - доставка "&amp;TEXT(P300,"0.00")&amp;" - прочие "&amp;TEXT(Q300,"0.00")&amp;" = "&amp;TEXT(G300,"0.00")&amp;" "&amp;L300,"Введите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0" s="23" t="n">
        <x:v>0.04032764487248222</x:v>
      </x:c>
      <x:c r="AG300" s="35" t="n">
        <x:v>0</x:v>
      </x:c>
      <x:c r="AH300" s="35" t="n">
        <x:v>0</x:v>
      </x:c>
      <x:c r="AI300" s="29" t="n">
        <x:v>46266</x:v>
      </x:c>
      <x:c r="AJ300" s="35"/>
      <x:c r="AK300" s="11" t="str">
        <x:v>неизвестно</x:v>
      </x:c>
      <x:c r="AL300" s="31" t="n">
        <x:v>0</x:v>
      </x:c>
      <x:c r="AM300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00" s="12" t="str">
        <x:v>Подтвердить наличие, срок и цену закупки</x:v>
      </x:c>
      <x:c r="AO300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300" s="12" t="str">
        <x:v>["blank_stock_assumed_zero", "category_missing", "daily_stockout_data_missing", "moq_missing", "new_order_lead_time_unknown", "reservations_unknown", "stale_stock", "supplier_sku_missing"]</x:v>
      </x:c>
      <x:c r="AQ300" s="11" t="str">
        <x:v>IEK:BR-M22-G-31-K96</x:v>
      </x:c>
      <x:c r="AR300" s="23" t="n">
        <x:v>1</x:v>
      </x:c>
      <x:c r="AS300" s="23" t="n">
        <x:f>MAX(0,ROUNDUP(MAX(0,AF300-AG300-AH300)/AR300-0.000000001,0)*AR300)</x:f>
        <x:v>1</x:v>
      </x:c>
      <x:c r="AT300" s="23" t="n">
        <x:v>0.04032764487248222</x:v>
      </x:c>
    </x:row>
    <x:row r="301" ht="64" customHeight="1">
      <x:c r="A301" s="10" t="str">
        <x:v>IEK</x:v>
      </x:c>
      <x:c r="B301" s="34" t="str">
        <x:v>BR-RT11-K10</x:v>
      </x:c>
      <x:c r="C301" s="34" t="str">
        <x:v>BR-RT11-K10</x:v>
      </x:c>
      <x:c r="D301" s="13" t="str">
        <x:v>BRITE Термостат электронный с инд. ТС10-1-БрКр беж. IEK</x:v>
      </x:c>
      <x:c r="E301" s="10" t="str">
        <x:v>шт</x:v>
      </x:c>
      <x:c r="F301" s="37" t="n">
        <x:f>IF(AS301&gt;0,MAX(AS301,AJ301),0)</x:f>
        <x:v>1</x:v>
      </x:c>
      <x:c r="G301" s="21" t="str">
        <x:f>IF(J301="Рассчитано",V301*(1-R301/100)-W301-P301-Q301,"н/д")</x:f>
        <x:v>н/д</x:v>
      </x:c>
      <x:c r="H301" s="13" t="str">
        <x:v>Высокий</x:v>
      </x:c>
      <x:c r="I301" s="13" t="str">
        <x:v>Критический</x:v>
      </x:c>
      <x:c r="J301" s="13" t="str">
        <x:f>IF(L301="","Укажите валюту",IF(NOT(ISNUMBER(K301)),"Укажите объём",IF(K301&lt;=0,"Укажите объём",IF(COUNT(M301:O301)&lt;3,"Нужны цены",IF(COUNT(P301:R301)&lt;3,"Нужны расходы",IF(OR(M301&lt;0,N301&lt;0,O301&lt;0,O301&gt;100,P301&lt;0,Q301&lt;0,R301&lt;0,R301&gt;100),"Проверьте значения","Рассчитано"))))))</x:f>
        <x:v>Нужны цены</x:v>
      </x:c>
      <x:c r="K301" s="36" t="n">
        <x:v>1</x:v>
      </x:c>
      <x:c r="L301" s="19" t="str">
        <x:v>KZT</x:v>
      </x:c>
      <x:c r="M301" s="22"/>
      <x:c r="N301" s="22"/>
      <x:c r="O301" s="28"/>
      <x:c r="P301" s="22"/>
      <x:c r="Q301" s="22"/>
      <x:c r="R301" s="28"/>
      <x:c r="S301" s="22"/>
      <x:c r="T301" s="37" t="n">
        <x:f>MIN(K301,AT301)</x:f>
        <x:v>0.9718447619546897</x:v>
      </x:c>
      <x:c r="U301" s="21" t="str">
        <x:f>IF(J301="Рассчитано",N301*(1-O301/100),"н/д")</x:f>
        <x:v>н/д</x:v>
      </x:c>
      <x:c r="V301" s="21" t="str">
        <x:f>IF(J301="Рассчитано",T301*U301,"н/д")</x:f>
        <x:v>н/д</x:v>
      </x:c>
      <x:c r="W301" s="21" t="str">
        <x:f>IF(J301="Рассчитано",T301*M301,"н/д")</x:f>
        <x:v>н/д</x:v>
      </x:c>
      <x:c r="X301" s="21" t="str">
        <x:f>IF(J301="Рассчитано",V301-W301,"н/д")</x:f>
        <x:v>н/д</x:v>
      </x:c>
      <x:c r="Y301" s="27" t="str">
        <x:f>IF(J301="Рассчитано",IF(V301&gt;0,G301/V301,"н/д"),"н/д")</x:f>
        <x:v>н/д</x:v>
      </x:c>
      <x:c r="Z301" s="21" t="str">
        <x:f>IF(J301="Рассчитано",K301*M301,"н/д")</x:f>
        <x:v>н/д</x:v>
      </x:c>
      <x:c r="AA301" s="21" t="str">
        <x:f>IF(J301="Рассчитано",(K301-T301)*M301,"н/д")</x:f>
        <x:v>н/д</x:v>
      </x:c>
      <x:c r="AB301" s="21" t="str">
        <x:f>IF(AND(J301="Рассчитано",ISNUMBER(S301)),K301*(S301-M301),"н/д")</x:f>
        <x:v>н/д</x:v>
      </x:c>
      <x:c r="AC301" s="21" t="str">
        <x:f>IF(AND(J301="Рассчитано",T301&gt;0,R301&lt;100),(W301+P301+Q301)/(T301*(1-R301/100)),"н/д")</x:f>
        <x:v>н/д</x:v>
      </x:c>
      <x:c r="AD301" s="10" t="str">
        <x:f>IF(ISNUMBER(G301),IF(G301&lt;0,"Убыток",IF(G301=0,"Без прибыли","Прибыль &gt; 0")),"Не оценён")</x:f>
        <x:v>Не оценён</x:v>
      </x:c>
      <x:c r="AE301" s="13" t="str">
        <x:f>IF(J301="Рассчитано","Выручка "&amp;TEXT(V301,"0.00")&amp;" - себестоимость "&amp;TEXT(W301,"0.00")&amp;" - комиссия "&amp;TEXT(V301*R301/100,"0.00")&amp;" - доставка "&amp;TEXT(P301,"0.00")&amp;" - прочие "&amp;TEXT(Q301,"0.00")&amp;" = "&amp;TEXT(G301,"0.00")&amp;" "&amp;L301,"Введите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1" s="24" t="n">
        <x:v>0.9718447619546897</x:v>
      </x:c>
      <x:c r="AG301" s="37" t="n">
        <x:v>0</x:v>
      </x:c>
      <x:c r="AH301" s="37" t="n">
        <x:v>0</x:v>
      </x:c>
      <x:c r="AI301" s="30" t="n">
        <x:v>46266</x:v>
      </x:c>
      <x:c r="AJ301" s="37" t="n">
        <x:v>1</x:v>
      </x:c>
      <x:c r="AK301" s="10" t="str">
        <x:v>минимум</x:v>
      </x:c>
      <x:c r="AL301" s="32" t="n">
        <x:v>0</x:v>
      </x:c>
      <x:c r="AM301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301" s="13" t="str">
        <x:v>Подтвердить наличие, срок и цену закупки</x:v>
      </x:c>
      <x:c r="AO301" s="13" t="str">
        <x:v>Прогноз 30 дней 0.97; остаток 0; поступления в срок 0; нехватка 1; заказ с учётом MOQ 1 шт. Остаток на начало сентября: требуется актуализация.</x:v>
      </x:c>
      <x:c r="AP301" s="13" t="str">
        <x:v>["blank_stock_assumed_zero", "category_missing", "daily_stockout_data_missing", "new_order_lead_time_unknown", "reservations_unknown", "stale_stock", "stockout_proxy_used"]</x:v>
      </x:c>
      <x:c r="AQ301" s="10" t="str">
        <x:v>IEK:BR-RT11-K10</x:v>
      </x:c>
      <x:c r="AR301" s="24" t="n">
        <x:v>1</x:v>
      </x:c>
      <x:c r="AS301" s="24" t="n">
        <x:f>MAX(0,ROUNDUP(MAX(0,AF301-AG301-AH301)/AR301-0.000000001,0)*AR301)</x:f>
        <x:v>1</x:v>
      </x:c>
      <x:c r="AT301" s="24" t="n">
        <x:v>0.9718447619546897</x:v>
      </x:c>
    </x:row>
    <x:row r="302" ht="64" customHeight="1">
      <x:c r="A302" s="11" t="str">
        <x:v>IEK</x:v>
      </x:c>
      <x:c r="B302" s="33" t="str">
        <x:v>BR-U21-D31-K37</x:v>
      </x:c>
      <x:c r="C302" s="33" t="str">
        <x:v>BR-U21-D31-K37</x:v>
      </x:c>
      <x:c r="D302" s="12" t="str">
        <x:v>BRITE Розетка USB A+A 5В 3,1А РЮ10-1-БрШ шампань IEK</x:v>
      </x:c>
      <x:c r="E302" s="11" t="str">
        <x:v>шт</x:v>
      </x:c>
      <x:c r="F302" s="35" t="n">
        <x:f>IF(AS302&gt;0,MAX(AS302,AJ302),0)</x:f>
        <x:v>1</x:v>
      </x:c>
      <x:c r="G302" s="20" t="str">
        <x:f>IF(J302="Рассчитано",V302*(1-R302/100)-W302-P302-Q302,"н/д")</x:f>
        <x:v>н/д</x:v>
      </x:c>
      <x:c r="H302" s="12" t="str">
        <x:v>Высокий</x:v>
      </x:c>
      <x:c r="I302" s="12" t="str">
        <x:v>Критический</x:v>
      </x:c>
      <x:c r="J302" s="12" t="str">
        <x:f>IF(L302="","Укажите валюту",IF(NOT(ISNUMBER(K302)),"Укажите объём",IF(K302&lt;=0,"Укажите объём",IF(COUNT(M302:O302)&lt;3,"Нужны цены",IF(COUNT(P302:R302)&lt;3,"Нужны расходы",IF(OR(M302&lt;0,N302&lt;0,O302&lt;0,O302&gt;100,P302&lt;0,Q302&lt;0,R302&lt;0,R302&gt;100),"Проверьте значения","Рассчитано"))))))</x:f>
        <x:v>Нужны цены</x:v>
      </x:c>
      <x:c r="K302" s="36" t="n">
        <x:v>1</x:v>
      </x:c>
      <x:c r="L302" s="19" t="str">
        <x:v>KZT</x:v>
      </x:c>
      <x:c r="M302" s="22"/>
      <x:c r="N302" s="22"/>
      <x:c r="O302" s="28"/>
      <x:c r="P302" s="22"/>
      <x:c r="Q302" s="22"/>
      <x:c r="R302" s="28"/>
      <x:c r="S302" s="22"/>
      <x:c r="T302" s="35" t="n">
        <x:f>MIN(K302,AT302)</x:f>
        <x:v>0.6103575380479207</x:v>
      </x:c>
      <x:c r="U302" s="20" t="str">
        <x:f>IF(J302="Рассчитано",N302*(1-O302/100),"н/д")</x:f>
        <x:v>н/д</x:v>
      </x:c>
      <x:c r="V302" s="20" t="str">
        <x:f>IF(J302="Рассчитано",T302*U302,"н/д")</x:f>
        <x:v>н/д</x:v>
      </x:c>
      <x:c r="W302" s="20" t="str">
        <x:f>IF(J302="Рассчитано",T302*M302,"н/д")</x:f>
        <x:v>н/д</x:v>
      </x:c>
      <x:c r="X302" s="20" t="str">
        <x:f>IF(J302="Рассчитано",V302-W302,"н/д")</x:f>
        <x:v>н/д</x:v>
      </x:c>
      <x:c r="Y302" s="26" t="str">
        <x:f>IF(J302="Рассчитано",IF(V302&gt;0,G302/V302,"н/д"),"н/д")</x:f>
        <x:v>н/д</x:v>
      </x:c>
      <x:c r="Z302" s="20" t="str">
        <x:f>IF(J302="Рассчитано",K302*M302,"н/д")</x:f>
        <x:v>н/д</x:v>
      </x:c>
      <x:c r="AA302" s="20" t="str">
        <x:f>IF(J302="Рассчитано",(K302-T302)*M302,"н/д")</x:f>
        <x:v>н/д</x:v>
      </x:c>
      <x:c r="AB302" s="20" t="str">
        <x:f>IF(AND(J302="Рассчитано",ISNUMBER(S302)),K302*(S302-M302),"н/д")</x:f>
        <x:v>н/д</x:v>
      </x:c>
      <x:c r="AC302" s="20" t="str">
        <x:f>IF(AND(J302="Рассчитано",T302&gt;0,R302&lt;100),(W302+P302+Q302)/(T302*(1-R302/100)),"н/д")</x:f>
        <x:v>н/д</x:v>
      </x:c>
      <x:c r="AD302" s="11" t="str">
        <x:f>IF(ISNUMBER(G302),IF(G302&lt;0,"Убыток",IF(G302=0,"Без прибыли","Прибыль &gt; 0")),"Не оценён")</x:f>
        <x:v>Не оценён</x:v>
      </x:c>
      <x:c r="AE302" s="12" t="str">
        <x:f>IF(J302="Рассчитано","Выручка "&amp;TEXT(V302,"0.00")&amp;" - себестоимость "&amp;TEXT(W302,"0.00")&amp;" - комиссия "&amp;TEXT(V302*R302/100,"0.00")&amp;" - доставка "&amp;TEXT(P302,"0.00")&amp;" - прочие "&amp;TEXT(Q302,"0.00")&amp;" = "&amp;TEXT(G302,"0.00")&amp;" "&amp;L302,"Введите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2" s="23" t="n">
        <x:v>0.6103575380479207</x:v>
      </x:c>
      <x:c r="AG302" s="35" t="n">
        <x:v>0</x:v>
      </x:c>
      <x:c r="AH302" s="35" t="n">
        <x:v>0</x:v>
      </x:c>
      <x:c r="AI302" s="29" t="n">
        <x:v>46266</x:v>
      </x:c>
      <x:c r="AJ302" s="35" t="n">
        <x:v>1</x:v>
      </x:c>
      <x:c r="AK302" s="11" t="str">
        <x:v>минимум</x:v>
      </x:c>
      <x:c r="AL302" s="31" t="n">
        <x:v>0</x:v>
      </x:c>
      <x:c r="AM302" s="12" t="str">
        <x:v>Остаток на начало сентября; Резервы неизвестны; Нет ежедневных данных доступности. Нет запаса</x:v>
      </x:c>
      <x:c r="AN302" s="12" t="str">
        <x:v>Подтвердить наличие, срок и цену закупки</x:v>
      </x:c>
      <x:c r="AO302" s="12" t="str">
        <x:v>Прогноз 30 дней 0.61; остаток 0; поступления в срок 0; нехватка 1; заказ с учётом MOQ 1 шт. Остаток на начало сентября: требуется актуализация.</x:v>
      </x:c>
      <x:c r="AP302" s="12" t="str">
        <x:v>["blank_stock_assumed_zero", "category_missing", "daily_stockout_data_missing", "new_order_lead_time_unknown", "reservations_unknown", "stale_stock"]</x:v>
      </x:c>
      <x:c r="AQ302" s="11" t="str">
        <x:v>IEK:BR-U21-D31-K37</x:v>
      </x:c>
      <x:c r="AR302" s="23" t="n">
        <x:v>1</x:v>
      </x:c>
      <x:c r="AS302" s="23" t="n">
        <x:f>MAX(0,ROUNDUP(MAX(0,AF302-AG302-AH302)/AR302-0.000000001,0)*AR302)</x:f>
        <x:v>1</x:v>
      </x:c>
      <x:c r="AT302" s="23" t="n">
        <x:v>0.6103575380479207</x:v>
      </x:c>
    </x:row>
    <x:row r="303" ht="64" customHeight="1">
      <x:c r="A303" s="10" t="str">
        <x:v>IEK</x:v>
      </x:c>
      <x:c r="B303" s="34" t="str">
        <x:v>CKK10-025-016-1-K28_</x:v>
      </x:c>
      <x:c r="C303" s="34"/>
      <x:c r="D303" s="13" t="str">
        <x:v>Кабель-канал 25х16 ольха ЭЛЕКОР IEK (за штуку) (50)</x:v>
      </x:c>
      <x:c r="E303" s="10" t="str">
        <x:v>м</x:v>
      </x:c>
      <x:c r="F303" s="24" t="n">
        <x:f>AS303</x:f>
        <x:v>0.404</x:v>
      </x:c>
      <x:c r="G303" s="21" t="str">
        <x:f>IF(J303="Рассчитано",V303*(1-R303/100)-W303-P303-Q303,"н/д")</x:f>
        <x:v>н/д</x:v>
      </x:c>
      <x:c r="H303" s="13" t="str">
        <x:v>Высокий</x:v>
      </x:c>
      <x:c r="I303" s="13" t="str">
        <x:v>Критический</x:v>
      </x:c>
      <x:c r="J303" s="13" t="str">
        <x:f>IF(L303="","Укажите валюту",IF(NOT(ISNUMBER(K303)),"Укажите объём",IF(K303&lt;=0,"Укажите объём",IF(COUNT(M303:O303)&lt;3,"Нужны цены",IF(COUNT(P303:R303)&lt;3,"Нужны расходы",IF(OR(M303&lt;0,N303&lt;0,O303&lt;0,O303&gt;100,P303&lt;0,Q303&lt;0,R303&lt;0,R303&gt;100),"Проверьте значения","Рассчитано"))))))</x:f>
        <x:v>Нужны цены</x:v>
      </x:c>
      <x:c r="K303" s="25" t="n">
        <x:v>0.404</x:v>
      </x:c>
      <x:c r="L303" s="19" t="str">
        <x:v>KZT</x:v>
      </x:c>
      <x:c r="M303" s="22"/>
      <x:c r="N303" s="22"/>
      <x:c r="O303" s="28"/>
      <x:c r="P303" s="22"/>
      <x:c r="Q303" s="22"/>
      <x:c r="R303" s="28"/>
      <x:c r="S303" s="22"/>
      <x:c r="T303" s="24" t="n">
        <x:f>MIN(K303,AT303)</x:f>
        <x:v>0.40327644872482193</x:v>
      </x:c>
      <x:c r="U303" s="21" t="str">
        <x:f>IF(J303="Рассчитано",N303*(1-O303/100),"н/д")</x:f>
        <x:v>н/д</x:v>
      </x:c>
      <x:c r="V303" s="21" t="str">
        <x:f>IF(J303="Рассчитано",T303*U303,"н/д")</x:f>
        <x:v>н/д</x:v>
      </x:c>
      <x:c r="W303" s="21" t="str">
        <x:f>IF(J303="Рассчитано",T303*M303,"н/д")</x:f>
        <x:v>н/д</x:v>
      </x:c>
      <x:c r="X303" s="21" t="str">
        <x:f>IF(J303="Рассчитано",V303-W303,"н/д")</x:f>
        <x:v>н/д</x:v>
      </x:c>
      <x:c r="Y303" s="27" t="str">
        <x:f>IF(J303="Рассчитано",IF(V303&gt;0,G303/V303,"н/д"),"н/д")</x:f>
        <x:v>н/д</x:v>
      </x:c>
      <x:c r="Z303" s="21" t="str">
        <x:f>IF(J303="Рассчитано",K303*M303,"н/д")</x:f>
        <x:v>н/д</x:v>
      </x:c>
      <x:c r="AA303" s="21" t="str">
        <x:f>IF(J303="Рассчитано",(K303-T303)*M303,"н/д")</x:f>
        <x:v>н/д</x:v>
      </x:c>
      <x:c r="AB303" s="21" t="str">
        <x:f>IF(AND(J303="Рассчитано",ISNUMBER(S303)),K303*(S303-M303),"н/д")</x:f>
        <x:v>н/д</x:v>
      </x:c>
      <x:c r="AC303" s="21" t="str">
        <x:f>IF(AND(J303="Рассчитано",T303&gt;0,R303&lt;100),(W303+P303+Q303)/(T303*(1-R303/100)),"н/д")</x:f>
        <x:v>н/д</x:v>
      </x:c>
      <x:c r="AD303" s="10" t="str">
        <x:f>IF(ISNUMBER(G303),IF(G303&lt;0,"Убыток",IF(G303=0,"Без прибыли","Прибыль &gt; 0")),"Не оценён")</x:f>
        <x:v>Не оценён</x:v>
      </x:c>
      <x:c r="AE303" s="13" t="str">
        <x:f>IF(J303="Рассчитано","Выручка "&amp;TEXT(V303,"0.00")&amp;" - себестоимость "&amp;TEXT(W303,"0.00")&amp;" - комиссия "&amp;TEXT(V303*R303/100,"0.00")&amp;" - доставка "&amp;TEXT(P303,"0.00")&amp;" - прочие "&amp;TEXT(Q303,"0.00")&amp;" = "&amp;TEXT(G303,"0.00")&amp;" "&amp;L303,"Введите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3" s="24" t="n">
        <x:v>0.40327644872482193</x:v>
      </x:c>
      <x:c r="AG303" s="24" t="n">
        <x:v>0</x:v>
      </x:c>
      <x:c r="AH303" s="24" t="n">
        <x:v>0</x:v>
      </x:c>
      <x:c r="AI303" s="30" t="n">
        <x:v>46266</x:v>
      </x:c>
      <x:c r="AJ303" s="24"/>
      <x:c r="AK303" s="10" t="str">
        <x:v>неизвестно</x:v>
      </x:c>
      <x:c r="AL303" s="32" t="n">
        <x:v>0</x:v>
      </x:c>
      <x:c r="AM303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03" s="13" t="str">
        <x:v>Подтвердить наличие, срок и цену закупки</x:v>
      </x:c>
      <x:c r="AO303" s="13" t="str">
        <x:v>Прогноз 30 дней 0.40; остаток 0; поступления в срок 0; нехватка 0.404; заказ с учётом MOQ 0.404 м. Остаток на начало сентября: требуется актуализация.</x:v>
      </x:c>
      <x:c r="AP303" s="13" t="str">
        <x:v>["blank_stock_assumed_zero", "category_missing", "daily_stockout_data_missing", "moq_missing", "new_order_lead_time_unknown", "reservations_unknown", "stale_stock", "supplier_sku_missing"]</x:v>
      </x:c>
      <x:c r="AQ303" s="10" t="str">
        <x:v>IEK:CKK10-025-016-1-K28_</x:v>
      </x:c>
      <x:c r="AR303" s="24" t="n">
        <x:v>0.001</x:v>
      </x:c>
      <x:c r="AS303" s="24" t="n">
        <x:f>MAX(0,ROUNDUP(MAX(0,AF303-AG303-AH303)/AR303-0.000000001,0)*AR303)</x:f>
        <x:v>0.404</x:v>
      </x:c>
      <x:c r="AT303" s="24" t="n">
        <x:v>0.40327644872482193</x:v>
      </x:c>
    </x:row>
    <x:row r="304" ht="64" customHeight="1">
      <x:c r="A304" s="11" t="str">
        <x:v>IEK</x:v>
      </x:c>
      <x:c r="B304" s="33" t="str">
        <x:v>EPP14-04-01-K01</x:v>
      </x:c>
      <x:c r="C304" s="33"/>
      <x:c r="D304" s="12" t="str">
        <x:v>Ппл27-04-К51 Патрон подвесной с шнуром, пластик, Е27, белый (50 шт), стикер на изделии, IEK E-PRO</x:v>
      </x:c>
      <x:c r="E304" s="11" t="str">
        <x:v>шт</x:v>
      </x:c>
      <x:c r="F304" s="35" t="n">
        <x:f>AS304</x:f>
        <x:v>90</x:v>
      </x:c>
      <x:c r="G304" s="20" t="str">
        <x:f>IF(J304="Рассчитано",V304*(1-R304/100)-W304-P304-Q304,"н/д")</x:f>
        <x:v>н/д</x:v>
      </x:c>
      <x:c r="H304" s="12" t="str">
        <x:v>Высокий</x:v>
      </x:c>
      <x:c r="I304" s="12" t="str">
        <x:v>Критический</x:v>
      </x:c>
      <x:c r="J304" s="12" t="str">
        <x:f>IF(L304="","Укажите валюту",IF(NOT(ISNUMBER(K304)),"Укажите объём",IF(K304&lt;=0,"Укажите объём",IF(COUNT(M304:O304)&lt;3,"Нужны цены",IF(COUNT(P304:R304)&lt;3,"Нужны расходы",IF(OR(M304&lt;0,N304&lt;0,O304&lt;0,O304&gt;100,P304&lt;0,Q304&lt;0,R304&lt;0,R304&gt;100),"Проверьте значения","Рассчитано"))))))</x:f>
        <x:v>Нужны цены</x:v>
      </x:c>
      <x:c r="K304" s="36" t="n">
        <x:v>90</x:v>
      </x:c>
      <x:c r="L304" s="19" t="str">
        <x:v>KZT</x:v>
      </x:c>
      <x:c r="M304" s="22"/>
      <x:c r="N304" s="22"/>
      <x:c r="O304" s="28"/>
      <x:c r="P304" s="22"/>
      <x:c r="Q304" s="22"/>
      <x:c r="R304" s="28"/>
      <x:c r="S304" s="22"/>
      <x:c r="T304" s="35" t="n">
        <x:f>MIN(K304,AT304)</x:f>
        <x:v>89.20734259913554</x:v>
      </x:c>
      <x:c r="U304" s="20" t="str">
        <x:f>IF(J304="Рассчитано",N304*(1-O304/100),"н/д")</x:f>
        <x:v>н/д</x:v>
      </x:c>
      <x:c r="V304" s="20" t="str">
        <x:f>IF(J304="Рассчитано",T304*U304,"н/д")</x:f>
        <x:v>н/д</x:v>
      </x:c>
      <x:c r="W304" s="20" t="str">
        <x:f>IF(J304="Рассчитано",T304*M304,"н/д")</x:f>
        <x:v>н/д</x:v>
      </x:c>
      <x:c r="X304" s="20" t="str">
        <x:f>IF(J304="Рассчитано",V304-W304,"н/д")</x:f>
        <x:v>н/д</x:v>
      </x:c>
      <x:c r="Y304" s="26" t="str">
        <x:f>IF(J304="Рассчитано",IF(V304&gt;0,G304/V304,"н/д"),"н/д")</x:f>
        <x:v>н/д</x:v>
      </x:c>
      <x:c r="Z304" s="20" t="str">
        <x:f>IF(J304="Рассчитано",K304*M304,"н/д")</x:f>
        <x:v>н/д</x:v>
      </x:c>
      <x:c r="AA304" s="20" t="str">
        <x:f>IF(J304="Рассчитано",(K304-T304)*M304,"н/д")</x:f>
        <x:v>н/д</x:v>
      </x:c>
      <x:c r="AB304" s="20" t="str">
        <x:f>IF(AND(J304="Рассчитано",ISNUMBER(S304)),K304*(S304-M304),"н/д")</x:f>
        <x:v>н/д</x:v>
      </x:c>
      <x:c r="AC304" s="20" t="str">
        <x:f>IF(AND(J304="Рассчитано",T304&gt;0,R304&lt;100),(W304+P304+Q304)/(T304*(1-R304/100)),"н/д")</x:f>
        <x:v>н/д</x:v>
      </x:c>
      <x:c r="AD304" s="11" t="str">
        <x:f>IF(ISNUMBER(G304),IF(G304&lt;0,"Убыток",IF(G304=0,"Без прибыли","Прибыль &gt; 0")),"Не оценён")</x:f>
        <x:v>Не оценён</x:v>
      </x:c>
      <x:c r="AE304" s="12" t="str">
        <x:f>IF(J304="Рассчитано","Выручка "&amp;TEXT(V304,"0.00")&amp;" - себестоимость "&amp;TEXT(W304,"0.00")&amp;" - комиссия "&amp;TEXT(V304*R304/100,"0.00")&amp;" - доставка "&amp;TEXT(P304,"0.00")&amp;" - прочие "&amp;TEXT(Q304,"0.00")&amp;" = "&amp;TEXT(G304,"0.00")&amp;" "&amp;L304,"Введите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4" s="23" t="n">
        <x:v>89.20734259913554</x:v>
      </x:c>
      <x:c r="AG304" s="35" t="n">
        <x:v>0</x:v>
      </x:c>
      <x:c r="AH304" s="35" t="n">
        <x:v>0</x:v>
      </x:c>
      <x:c r="AI304" s="29" t="n">
        <x:v>46266</x:v>
      </x:c>
      <x:c r="AJ304" s="35"/>
      <x:c r="AK304" s="11" t="str">
        <x:v>неизвестно</x:v>
      </x:c>
      <x:c r="AL304" s="31" t="n">
        <x:v>0</x:v>
      </x:c>
      <x:c r="AM304" s="12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Нет запаса</x:v>
      </x:c>
      <x:c r="AN304" s="12" t="str">
        <x:v>Подтвердить наличие, срок и цену закупки</x:v>
      </x:c>
      <x:c r="AO304" s="12" t="str">
        <x:v>Прогноз 30 дней 89.21; остаток 0; поступления в срок 0; нехватка 90; заказ с учётом MOQ 90 шт. Остаток на начало сентября: требуется актуализация.</x:v>
      </x:c>
      <x:c r="AP304" s="12" t="str">
        <x:v>["blank_stock_assumed_zero", "category_missing", "daily_stockout_data_missing", "moq_missing", "new_order_lead_time_unknown", "reservations_unknown", "stale_stock", "stockout_proxy_used", "supplier_sku_missing"]</x:v>
      </x:c>
      <x:c r="AQ304" s="11" t="str">
        <x:v>IEK:EPP14-04-01-K01</x:v>
      </x:c>
      <x:c r="AR304" s="23" t="n">
        <x:v>1</x:v>
      </x:c>
      <x:c r="AS304" s="23" t="n">
        <x:f>MAX(0,ROUNDUP(MAX(0,AF304-AG304-AH304)/AR304-0.000000001,0)*AR304)</x:f>
        <x:v>90</x:v>
      </x:c>
      <x:c r="AT304" s="23" t="n">
        <x:v>89.20734259913554</x:v>
      </x:c>
    </x:row>
    <x:row r="305" ht="64" customHeight="1">
      <x:c r="A305" s="10" t="str">
        <x:v>IEK</x:v>
      </x:c>
      <x:c r="B305" s="34" t="str">
        <x:v>EPP14-04-01-K02</x:v>
      </x:c>
      <x:c r="C305" s="34"/>
      <x:c r="D305" s="13" t="str">
        <x:v>Ппл27-04-К52 Патрон подвесной с шнуром, пластик, Е27, черный (50 шт), стикер на изделии, IEK E-PRO</x:v>
      </x:c>
      <x:c r="E305" s="10" t="str">
        <x:v>шт</x:v>
      </x:c>
      <x:c r="F305" s="37" t="n">
        <x:f>AS305</x:f>
        <x:v>58</x:v>
      </x:c>
      <x:c r="G305" s="21" t="str">
        <x:f>IF(J305="Рассчитано",V305*(1-R305/100)-W305-P305-Q305,"н/д")</x:f>
        <x:v>н/д</x:v>
      </x:c>
      <x:c r="H305" s="13" t="str">
        <x:v>Высокий</x:v>
      </x:c>
      <x:c r="I305" s="13" t="str">
        <x:v>Критический</x:v>
      </x:c>
      <x:c r="J305" s="13" t="str">
        <x:f>IF(L305="","Укажите валюту",IF(NOT(ISNUMBER(K305)),"Укажите объём",IF(K305&lt;=0,"Укажите объём",IF(COUNT(M305:O305)&lt;3,"Нужны цены",IF(COUNT(P305:R305)&lt;3,"Нужны расходы",IF(OR(M305&lt;0,N305&lt;0,O305&lt;0,O305&gt;100,P305&lt;0,Q305&lt;0,R305&lt;0,R305&gt;100),"Проверьте значения","Рассчитано"))))))</x:f>
        <x:v>Нужны цены</x:v>
      </x:c>
      <x:c r="K305" s="36" t="n">
        <x:v>58</x:v>
      </x:c>
      <x:c r="L305" s="19" t="str">
        <x:v>KZT</x:v>
      </x:c>
      <x:c r="M305" s="22"/>
      <x:c r="N305" s="22"/>
      <x:c r="O305" s="28"/>
      <x:c r="P305" s="22"/>
      <x:c r="Q305" s="22"/>
      <x:c r="R305" s="28"/>
      <x:c r="S305" s="22"/>
      <x:c r="T305" s="37" t="n">
        <x:f>MIN(K305,AT305)</x:f>
        <x:v>57.47866298003345</x:v>
      </x:c>
      <x:c r="U305" s="21" t="str">
        <x:f>IF(J305="Рассчитано",N305*(1-O305/100),"н/д")</x:f>
        <x:v>н/д</x:v>
      </x:c>
      <x:c r="V305" s="21" t="str">
        <x:f>IF(J305="Рассчитано",T305*U305,"н/д")</x:f>
        <x:v>н/д</x:v>
      </x:c>
      <x:c r="W305" s="21" t="str">
        <x:f>IF(J305="Рассчитано",T305*M305,"н/д")</x:f>
        <x:v>н/д</x:v>
      </x:c>
      <x:c r="X305" s="21" t="str">
        <x:f>IF(J305="Рассчитано",V305-W305,"н/д")</x:f>
        <x:v>н/д</x:v>
      </x:c>
      <x:c r="Y305" s="27" t="str">
        <x:f>IF(J305="Рассчитано",IF(V305&gt;0,G305/V305,"н/д"),"н/д")</x:f>
        <x:v>н/д</x:v>
      </x:c>
      <x:c r="Z305" s="21" t="str">
        <x:f>IF(J305="Рассчитано",K305*M305,"н/д")</x:f>
        <x:v>н/д</x:v>
      </x:c>
      <x:c r="AA305" s="21" t="str">
        <x:f>IF(J305="Рассчитано",(K305-T305)*M305,"н/д")</x:f>
        <x:v>н/д</x:v>
      </x:c>
      <x:c r="AB305" s="21" t="str">
        <x:f>IF(AND(J305="Рассчитано",ISNUMBER(S305)),K305*(S305-M305),"н/д")</x:f>
        <x:v>н/д</x:v>
      </x:c>
      <x:c r="AC305" s="21" t="str">
        <x:f>IF(AND(J305="Рассчитано",T305&gt;0,R305&lt;100),(W305+P305+Q305)/(T305*(1-R305/100)),"н/д")</x:f>
        <x:v>н/д</x:v>
      </x:c>
      <x:c r="AD305" s="10" t="str">
        <x:f>IF(ISNUMBER(G305),IF(G305&lt;0,"Убыток",IF(G305=0,"Без прибыли","Прибыль &gt; 0")),"Не оценён")</x:f>
        <x:v>Не оценён</x:v>
      </x:c>
      <x:c r="AE305" s="13" t="str">
        <x:f>IF(J305="Рассчитано","Выручка "&amp;TEXT(V305,"0.00")&amp;" - себестоимость "&amp;TEXT(W305,"0.00")&amp;" - комиссия "&amp;TEXT(V305*R305/100,"0.00")&amp;" - доставка "&amp;TEXT(P305,"0.00")&amp;" - прочие "&amp;TEXT(Q305,"0.00")&amp;" = "&amp;TEXT(G305,"0.00")&amp;" "&amp;L305,"Введите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5" s="24" t="n">
        <x:v>64.47866298003345</x:v>
      </x:c>
      <x:c r="AG305" s="37" t="n">
        <x:v>7</x:v>
      </x:c>
      <x:c r="AH305" s="37" t="n">
        <x:v>0</x:v>
      </x:c>
      <x:c r="AI305" s="30" t="n">
        <x:v>46266</x:v>
      </x:c>
      <x:c r="AJ305" s="37"/>
      <x:c r="AK305" s="10" t="str">
        <x:v>неизвестно</x:v>
      </x:c>
      <x:c r="AL305" s="32" t="n">
        <x:v>3.256891354354368</x:v>
      </x:c>
      <x:c r="AM305" s="13" t="str">
        <x:v>Остаток на начало сентября; Резервы неизвестны; Нет артикула производителя; Stockout оценён по месячным снимкам; Нет ежедневных данных доступности. Запаса примерно на 3.3 дн. без поступлений</x:v>
      </x:c>
      <x:c r="AN305" s="13" t="str">
        <x:v>Подтвердить наличие, срок и цену закупки</x:v>
      </x:c>
      <x:c r="AO305" s="13" t="str">
        <x:v>Прогноз 30 дней 64.48; остаток 7; поступления в срок 0; нехватка 58; заказ с учётом MOQ 58 шт. Остаток на начало сентября: требуется актуализация.</x:v>
      </x:c>
      <x:c r="AP305" s="13" t="str">
        <x:v>["category_missing", "daily_stockout_data_missing", "moq_missing", "new_order_lead_time_unknown", "reservations_unknown", "stale_stock", "stockout_proxy_used", "supplier_sku_missing"]</x:v>
      </x:c>
      <x:c r="AQ305" s="10" t="str">
        <x:v>IEK:EPP14-04-01-K02</x:v>
      </x:c>
      <x:c r="AR305" s="24" t="n">
        <x:v>1</x:v>
      </x:c>
      <x:c r="AS305" s="24" t="n">
        <x:f>MAX(0,ROUNDUP(MAX(0,AF305-AG305-AH305)/AR305-0.000000001,0)*AR305)</x:f>
        <x:v>58</x:v>
      </x:c>
      <x:c r="AT305" s="24" t="n">
        <x:v>57.47866298003345</x:v>
      </x:c>
    </x:row>
    <x:row r="306" ht="64" customHeight="1">
      <x:c r="A306" s="11" t="str">
        <x:v>IEK</x:v>
      </x:c>
      <x:c r="B306" s="33" t="str">
        <x:v>MPR10-4-050</x:v>
      </x:c>
      <x:c r="C306" s="33"/>
      <x:c r="D306" s="12" t="str">
        <x:v>Выключатель-разъединитель трехпозиционный ВРТ-63 4P 50А IEK</x:v>
      </x:c>
      <x:c r="E306" s="11" t="str">
        <x:v>шт</x:v>
      </x:c>
      <x:c r="F306" s="35" t="n">
        <x:f>AS306</x:f>
        <x:v>1</x:v>
      </x:c>
      <x:c r="G306" s="20" t="str">
        <x:f>IF(J306="Рассчитано",V306*(1-R306/100)-W306-P306-Q306,"н/д")</x:f>
        <x:v>н/д</x:v>
      </x:c>
      <x:c r="H306" s="12" t="str">
        <x:v>Высокий</x:v>
      </x:c>
      <x:c r="I306" s="12" t="str">
        <x:v>Критический</x:v>
      </x:c>
      <x:c r="J306" s="12" t="str">
        <x:f>IF(L306="","Укажите валюту",IF(NOT(ISNUMBER(K306)),"Укажите объём",IF(K306&lt;=0,"Укажите объём",IF(COUNT(M306:O306)&lt;3,"Нужны цены",IF(COUNT(P306:R306)&lt;3,"Нужны расходы",IF(OR(M306&lt;0,N306&lt;0,O306&lt;0,O306&gt;100,P306&lt;0,Q306&lt;0,R306&lt;0,R306&gt;100),"Проверьте значения","Рассчитано"))))))</x:f>
        <x:v>Нужны цены</x:v>
      </x:c>
      <x:c r="K306" s="36" t="n">
        <x:v>1</x:v>
      </x:c>
      <x:c r="L306" s="19" t="str">
        <x:v>KZT</x:v>
      </x:c>
      <x:c r="M306" s="22"/>
      <x:c r="N306" s="22"/>
      <x:c r="O306" s="28"/>
      <x:c r="P306" s="22"/>
      <x:c r="Q306" s="22"/>
      <x:c r="R306" s="28"/>
      <x:c r="S306" s="22"/>
      <x:c r="T306" s="35" t="n">
        <x:f>MIN(K306,AT306)</x:f>
        <x:v>0.03177057299633944</x:v>
      </x:c>
      <x:c r="U306" s="20" t="str">
        <x:f>IF(J306="Рассчитано",N306*(1-O306/100),"н/д")</x:f>
        <x:v>н/д</x:v>
      </x:c>
      <x:c r="V306" s="20" t="str">
        <x:f>IF(J306="Рассчитано",T306*U306,"н/д")</x:f>
        <x:v>н/д</x:v>
      </x:c>
      <x:c r="W306" s="20" t="str">
        <x:f>IF(J306="Рассчитано",T306*M306,"н/д")</x:f>
        <x:v>н/д</x:v>
      </x:c>
      <x:c r="X306" s="20" t="str">
        <x:f>IF(J306="Рассчитано",V306-W306,"н/д")</x:f>
        <x:v>н/д</x:v>
      </x:c>
      <x:c r="Y306" s="26" t="str">
        <x:f>IF(J306="Рассчитано",IF(V306&gt;0,G306/V306,"н/д"),"н/д")</x:f>
        <x:v>н/д</x:v>
      </x:c>
      <x:c r="Z306" s="20" t="str">
        <x:f>IF(J306="Рассчитано",K306*M306,"н/д")</x:f>
        <x:v>н/д</x:v>
      </x:c>
      <x:c r="AA306" s="20" t="str">
        <x:f>IF(J306="Рассчитано",(K306-T306)*M306,"н/д")</x:f>
        <x:v>н/д</x:v>
      </x:c>
      <x:c r="AB306" s="20" t="str">
        <x:f>IF(AND(J306="Рассчитано",ISNUMBER(S306)),K306*(S306-M306),"н/д")</x:f>
        <x:v>н/д</x:v>
      </x:c>
      <x:c r="AC306" s="20" t="str">
        <x:f>IF(AND(J306="Рассчитано",T306&gt;0,R306&lt;100),(W306+P306+Q306)/(T306*(1-R306/100)),"н/д")</x:f>
        <x:v>н/д</x:v>
      </x:c>
      <x:c r="AD306" s="11" t="str">
        <x:f>IF(ISNUMBER(G306),IF(G306&lt;0,"Убыток",IF(G306=0,"Без прибыли","Прибыль &gt; 0")),"Не оценён")</x:f>
        <x:v>Не оценён</x:v>
      </x:c>
      <x:c r="AE306" s="12" t="str">
        <x:f>IF(J306="Рассчитано","Выручка "&amp;TEXT(V306,"0.00")&amp;" - себестоимость "&amp;TEXT(W306,"0.00")&amp;" - комиссия "&amp;TEXT(V306*R306/100,"0.00")&amp;" - доставка "&amp;TEXT(P306,"0.00")&amp;" - прочие "&amp;TEXT(Q306,"0.00")&amp;" = "&amp;TEXT(G306,"0.00")&amp;" "&amp;L306,"Введите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6" s="23" t="n">
        <x:v>0.03177057299633944</x:v>
      </x:c>
      <x:c r="AG306" s="35" t="n">
        <x:v>0</x:v>
      </x:c>
      <x:c r="AH306" s="35" t="n">
        <x:v>0</x:v>
      </x:c>
      <x:c r="AI306" s="29" t="n">
        <x:v>46266</x:v>
      </x:c>
      <x:c r="AJ306" s="35"/>
      <x:c r="AK306" s="11" t="str">
        <x:v>неизвестно</x:v>
      </x:c>
      <x:c r="AL306" s="31" t="n">
        <x:v>0</x:v>
      </x:c>
      <x:c r="AM306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06" s="12" t="str">
        <x:v>Подтвердить наличие, срок и цену закупки</x:v>
      </x:c>
      <x:c r="AO306" s="12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306" s="12" t="str">
        <x:v>["blank_stock_assumed_zero", "category_missing", "daily_stockout_data_missing", "moq_missing", "new_order_lead_time_unknown", "reservations_unknown", "stale_stock", "supplier_sku_missing"]</x:v>
      </x:c>
      <x:c r="AQ306" s="11" t="str">
        <x:v>IEK:MPR10-4-050</x:v>
      </x:c>
      <x:c r="AR306" s="23" t="n">
        <x:v>1</x:v>
      </x:c>
      <x:c r="AS306" s="23" t="n">
        <x:f>MAX(0,ROUNDUP(MAX(0,AF306-AG306-AH306)/AR306-0.000000001,0)*AR306)</x:f>
        <x:v>1</x:v>
      </x:c>
      <x:c r="AT306" s="23" t="n">
        <x:v>0.03177057299633944</x:v>
      </x:c>
    </x:row>
    <x:row r="307" ht="64" customHeight="1">
      <x:c r="A307" s="10" t="str">
        <x:v>IEK</x:v>
      </x:c>
      <x:c r="B307" s="34" t="str">
        <x:v>ORI-01-5</x:v>
      </x:c>
      <x:c r="C307" s="34"/>
      <x:c r="D307" s="13" t="str">
        <x:v>Реле контроля тока ORI 0,5-5А 24-240В AC/24В DC IEK</x:v>
      </x:c>
      <x:c r="E307" s="10" t="str">
        <x:v>шт</x:v>
      </x:c>
      <x:c r="F307" s="37" t="n">
        <x:f>AS307</x:f>
        <x:v>1</x:v>
      </x:c>
      <x:c r="G307" s="21" t="str">
        <x:f>IF(J307="Рассчитано",V307*(1-R307/100)-W307-P307-Q307,"н/д")</x:f>
        <x:v>н/д</x:v>
      </x:c>
      <x:c r="H307" s="13" t="str">
        <x:v>Высокий</x:v>
      </x:c>
      <x:c r="I307" s="13" t="str">
        <x:v>Критический</x:v>
      </x:c>
      <x:c r="J307" s="13" t="str">
        <x:f>IF(L307="","Укажите валюту",IF(NOT(ISNUMBER(K307)),"Укажите объём",IF(K307&lt;=0,"Укажите объём",IF(COUNT(M307:O307)&lt;3,"Нужны цены",IF(COUNT(P307:R307)&lt;3,"Нужны расходы",IF(OR(M307&lt;0,N307&lt;0,O307&lt;0,O307&gt;100,P307&lt;0,Q307&lt;0,R307&lt;0,R307&gt;100),"Проверьте значения","Рассчитано"))))))</x:f>
        <x:v>Нужны цены</x:v>
      </x:c>
      <x:c r="K307" s="36" t="n">
        <x:v>1</x:v>
      </x:c>
      <x:c r="L307" s="19" t="str">
        <x:v>KZT</x:v>
      </x:c>
      <x:c r="M307" s="22"/>
      <x:c r="N307" s="22"/>
      <x:c r="O307" s="28"/>
      <x:c r="P307" s="22"/>
      <x:c r="Q307" s="22"/>
      <x:c r="R307" s="28"/>
      <x:c r="S307" s="22"/>
      <x:c r="T307" s="37" t="n">
        <x:f>MIN(K307,AT307)</x:f>
        <x:v>0.8700460878262493</x:v>
      </x:c>
      <x:c r="U307" s="21" t="str">
        <x:f>IF(J307="Рассчитано",N307*(1-O307/100),"н/д")</x:f>
        <x:v>н/д</x:v>
      </x:c>
      <x:c r="V307" s="21" t="str">
        <x:f>IF(J307="Рассчитано",T307*U307,"н/д")</x:f>
        <x:v>н/д</x:v>
      </x:c>
      <x:c r="W307" s="21" t="str">
        <x:f>IF(J307="Рассчитано",T307*M307,"н/д")</x:f>
        <x:v>н/д</x:v>
      </x:c>
      <x:c r="X307" s="21" t="str">
        <x:f>IF(J307="Рассчитано",V307-W307,"н/д")</x:f>
        <x:v>н/д</x:v>
      </x:c>
      <x:c r="Y307" s="27" t="str">
        <x:f>IF(J307="Рассчитано",IF(V307&gt;0,G307/V307,"н/д"),"н/д")</x:f>
        <x:v>н/д</x:v>
      </x:c>
      <x:c r="Z307" s="21" t="str">
        <x:f>IF(J307="Рассчитано",K307*M307,"н/д")</x:f>
        <x:v>н/д</x:v>
      </x:c>
      <x:c r="AA307" s="21" t="str">
        <x:f>IF(J307="Рассчитано",(K307-T307)*M307,"н/д")</x:f>
        <x:v>н/д</x:v>
      </x:c>
      <x:c r="AB307" s="21" t="str">
        <x:f>IF(AND(J307="Рассчитано",ISNUMBER(S307)),K307*(S307-M307),"н/д")</x:f>
        <x:v>н/д</x:v>
      </x:c>
      <x:c r="AC307" s="21" t="str">
        <x:f>IF(AND(J307="Рассчитано",T307&gt;0,R307&lt;100),(W307+P307+Q307)/(T307*(1-R307/100)),"н/д")</x:f>
        <x:v>н/д</x:v>
      </x:c>
      <x:c r="AD307" s="10" t="str">
        <x:f>IF(ISNUMBER(G307),IF(G307&lt;0,"Убыток",IF(G307=0,"Без прибыли","Прибыль &gt; 0")),"Не оценён")</x:f>
        <x:v>Не оценён</x:v>
      </x:c>
      <x:c r="AE307" s="13" t="str">
        <x:f>IF(J307="Рассчитано","Выручка "&amp;TEXT(V307,"0.00")&amp;" - себестоимость "&amp;TEXT(W307,"0.00")&amp;" - комиссия "&amp;TEXT(V307*R307/100,"0.00")&amp;" - доставка "&amp;TEXT(P307,"0.00")&amp;" - прочие "&amp;TEXT(Q307,"0.00")&amp;" = "&amp;TEXT(G307,"0.00")&amp;" "&amp;L307,"Введите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7" s="24" t="n">
        <x:v>0.8700460878262493</x:v>
      </x:c>
      <x:c r="AG307" s="37" t="n">
        <x:v>0</x:v>
      </x:c>
      <x:c r="AH307" s="37" t="n">
        <x:v>0</x:v>
      </x:c>
      <x:c r="AI307" s="30" t="n">
        <x:v>46266</x:v>
      </x:c>
      <x:c r="AJ307" s="37"/>
      <x:c r="AK307" s="10" t="str">
        <x:v>неизвестно</x:v>
      </x:c>
      <x:c r="AL307" s="32" t="n">
        <x:v>0</x:v>
      </x:c>
      <x:c r="AM307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07" s="13" t="str">
        <x:v>Подтвердить наличие, срок и цену закупки</x:v>
      </x:c>
      <x:c r="AO307" s="13" t="str">
        <x:v>Прогноз 30 дней 0.87; остаток 0; поступления в срок 0; нехватка 1; заказ с учётом MOQ 1 шт. Остаток на начало сентября: требуется актуализация.</x:v>
      </x:c>
      <x:c r="AP307" s="13" t="str">
        <x:v>["blank_stock_assumed_zero", "category_missing", "daily_stockout_data_missing", "moq_missing", "new_order_lead_time_unknown", "reservations_unknown", "stale_stock", "supplier_sku_missing"]</x:v>
      </x:c>
      <x:c r="AQ307" s="10" t="str">
        <x:v>IEK:ORI-01-5</x:v>
      </x:c>
      <x:c r="AR307" s="24" t="n">
        <x:v>1</x:v>
      </x:c>
      <x:c r="AS307" s="24" t="n">
        <x:f>MAX(0,ROUNDUP(MAX(0,AF307-AG307-AH307)/AR307-0.000000001,0)*AR307)</x:f>
        <x:v>1</x:v>
      </x:c>
      <x:c r="AT307" s="24" t="n">
        <x:v>0.8700460878262493</x:v>
      </x:c>
    </x:row>
    <x:row r="308" ht="64" customHeight="1">
      <x:c r="A308" s="11" t="str">
        <x:v>IEK</x:v>
      </x:c>
      <x:c r="B308" s="33" t="str">
        <x:v>RRP10-4-10-220A-LED</x:v>
      </x:c>
      <x:c r="C308" s="33"/>
      <x:c r="D308" s="12" t="str">
        <x:v>Реле РЭК77/4(LY4) с индикацией 10А 230В AC IEK</x:v>
      </x:c>
      <x:c r="E308" s="11" t="str">
        <x:v>шт</x:v>
      </x:c>
      <x:c r="F308" s="35" t="n">
        <x:f>AS308</x:f>
        <x:v>1</x:v>
      </x:c>
      <x:c r="G308" s="20" t="str">
        <x:f>IF(J308="Рассчитано",V308*(1-R308/100)-W308-P308-Q308,"н/д")</x:f>
        <x:v>н/д</x:v>
      </x:c>
      <x:c r="H308" s="12" t="str">
        <x:v>Высокий</x:v>
      </x:c>
      <x:c r="I308" s="12" t="str">
        <x:v>Критический</x:v>
      </x:c>
      <x:c r="J308" s="12" t="str">
        <x:f>IF(L308="","Укажите валюту",IF(NOT(ISNUMBER(K308)),"Укажите объём",IF(K308&lt;=0,"Укажите объём",IF(COUNT(M308:O308)&lt;3,"Нужны цены",IF(COUNT(P308:R308)&lt;3,"Нужны расходы",IF(OR(M308&lt;0,N308&lt;0,O308&lt;0,O308&gt;100,P308&lt;0,Q308&lt;0,R308&lt;0,R308&gt;100),"Проверьте значения","Рассчитано"))))))</x:f>
        <x:v>Нужны цены</x:v>
      </x:c>
      <x:c r="K308" s="36" t="n">
        <x:v>1</x:v>
      </x:c>
      <x:c r="L308" s="19" t="str">
        <x:v>KZT</x:v>
      </x:c>
      <x:c r="M308" s="22"/>
      <x:c r="N308" s="22"/>
      <x:c r="O308" s="28"/>
      <x:c r="P308" s="22"/>
      <x:c r="Q308" s="22"/>
      <x:c r="R308" s="28"/>
      <x:c r="S308" s="22"/>
      <x:c r="T308" s="35" t="n">
        <x:f>MIN(K308,AT308)</x:f>
        <x:v>0.8065528974496439</x:v>
      </x:c>
      <x:c r="U308" s="20" t="str">
        <x:f>IF(J308="Рассчитано",N308*(1-O308/100),"н/д")</x:f>
        <x:v>н/д</x:v>
      </x:c>
      <x:c r="V308" s="20" t="str">
        <x:f>IF(J308="Рассчитано",T308*U308,"н/д")</x:f>
        <x:v>н/д</x:v>
      </x:c>
      <x:c r="W308" s="20" t="str">
        <x:f>IF(J308="Рассчитано",T308*M308,"н/д")</x:f>
        <x:v>н/д</x:v>
      </x:c>
      <x:c r="X308" s="20" t="str">
        <x:f>IF(J308="Рассчитано",V308-W308,"н/д")</x:f>
        <x:v>н/д</x:v>
      </x:c>
      <x:c r="Y308" s="26" t="str">
        <x:f>IF(J308="Рассчитано",IF(V308&gt;0,G308/V308,"н/д"),"н/д")</x:f>
        <x:v>н/д</x:v>
      </x:c>
      <x:c r="Z308" s="20" t="str">
        <x:f>IF(J308="Рассчитано",K308*M308,"н/д")</x:f>
        <x:v>н/д</x:v>
      </x:c>
      <x:c r="AA308" s="20" t="str">
        <x:f>IF(J308="Рассчитано",(K308-T308)*M308,"н/д")</x:f>
        <x:v>н/д</x:v>
      </x:c>
      <x:c r="AB308" s="20" t="str">
        <x:f>IF(AND(J308="Рассчитано",ISNUMBER(S308)),K308*(S308-M308),"н/д")</x:f>
        <x:v>н/д</x:v>
      </x:c>
      <x:c r="AC308" s="20" t="str">
        <x:f>IF(AND(J308="Рассчитано",T308&gt;0,R308&lt;100),(W308+P308+Q308)/(T308*(1-R308/100)),"н/д")</x:f>
        <x:v>н/д</x:v>
      </x:c>
      <x:c r="AD308" s="11" t="str">
        <x:f>IF(ISNUMBER(G308),IF(G308&lt;0,"Убыток",IF(G308=0,"Без прибыли","Прибыль &gt; 0")),"Не оценён")</x:f>
        <x:v>Не оценён</x:v>
      </x:c>
      <x:c r="AE308" s="12" t="str">
        <x:f>IF(J308="Рассчитано","Выручка "&amp;TEXT(V308,"0.00")&amp;" - себестоимость "&amp;TEXT(W308,"0.00")&amp;" - комиссия "&amp;TEXT(V308*R308/100,"0.00")&amp;" - доставка "&amp;TEXT(P308,"0.00")&amp;" - прочие "&amp;TEXT(Q308,"0.00")&amp;" = "&amp;TEXT(G308,"0.00")&amp;" "&amp;L308,"Введите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8" s="23" t="n">
        <x:v>0.8065528974496439</x:v>
      </x:c>
      <x:c r="AG308" s="35" t="n">
        <x:v>0</x:v>
      </x:c>
      <x:c r="AH308" s="35" t="n">
        <x:v>0</x:v>
      </x:c>
      <x:c r="AI308" s="29" t="n">
        <x:v>46266</x:v>
      </x:c>
      <x:c r="AJ308" s="35"/>
      <x:c r="AK308" s="11" t="str">
        <x:v>неизвестно</x:v>
      </x:c>
      <x:c r="AL308" s="31" t="n">
        <x:v>0</x:v>
      </x:c>
      <x:c r="AM308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08" s="12" t="str">
        <x:v>Подтвердить наличие, срок и цену закупки</x:v>
      </x:c>
      <x:c r="AO308" s="12" t="str">
        <x:v>Прогноз 30 дней 0.81; остаток 0; поступления в срок 0; нехватка 1; заказ с учётом MOQ 1 шт. Остаток на начало сентября: требуется актуализация.</x:v>
      </x:c>
      <x:c r="AP308" s="12" t="str">
        <x:v>["blank_stock_assumed_zero", "category_missing", "daily_stockout_data_missing", "moq_missing", "new_order_lead_time_unknown", "reservations_unknown", "stale_stock", "supplier_sku_missing"]</x:v>
      </x:c>
      <x:c r="AQ308" s="11" t="str">
        <x:v>IEK:RRP10-4-10-220A-LED</x:v>
      </x:c>
      <x:c r="AR308" s="23" t="n">
        <x:v>1</x:v>
      </x:c>
      <x:c r="AS308" s="23" t="n">
        <x:f>MAX(0,ROUNDUP(MAX(0,AF308-AG308-AH308)/AR308-0.000000001,0)*AR308)</x:f>
        <x:v>1</x:v>
      </x:c>
      <x:c r="AT308" s="23" t="n">
        <x:v>0.8065528974496439</x:v>
      </x:c>
    </x:row>
    <x:row r="309" ht="64" customHeight="1">
      <x:c r="A309" s="10" t="str">
        <x:v>IEK</x:v>
      </x:c>
      <x:c r="B309" s="34" t="str">
        <x:v>WYP53-16-05-03-ZK</x:v>
      </x:c>
      <x:c r="C309" s="34"/>
      <x:c r="D309" s="13" t="str">
        <x:v>Удлинитель У05В 5 мест 2P+PE/3м 3х1,5мм2 16А/250В UNO IEK E-PRO</x:v>
      </x:c>
      <x:c r="E309" s="10" t="str">
        <x:v>шт</x:v>
      </x:c>
      <x:c r="F309" s="37" t="n">
        <x:f>AS309</x:f>
        <x:v>1</x:v>
      </x:c>
      <x:c r="G309" s="21" t="str">
        <x:f>IF(J309="Рассчитано",V309*(1-R309/100)-W309-P309-Q309,"н/д")</x:f>
        <x:v>н/д</x:v>
      </x:c>
      <x:c r="H309" s="13" t="str">
        <x:v>Высокий</x:v>
      </x:c>
      <x:c r="I309" s="13" t="str">
        <x:v>Критический</x:v>
      </x:c>
      <x:c r="J309" s="13" t="str">
        <x:f>IF(L309="","Укажите валюту",IF(NOT(ISNUMBER(K309)),"Укажите объём",IF(K309&lt;=0,"Укажите объём",IF(COUNT(M309:O309)&lt;3,"Нужны цены",IF(COUNT(P309:R309)&lt;3,"Нужны расходы",IF(OR(M309&lt;0,N309&lt;0,O309&lt;0,O309&gt;100,P309&lt;0,Q309&lt;0,R309&lt;0,R309&gt;100),"Проверьте значения","Рассчитано"))))))</x:f>
        <x:v>Нужны цены</x:v>
      </x:c>
      <x:c r="K309" s="36" t="n">
        <x:v>1</x:v>
      </x:c>
      <x:c r="L309" s="19" t="str">
        <x:v>KZT</x:v>
      </x:c>
      <x:c r="M309" s="22"/>
      <x:c r="N309" s="22"/>
      <x:c r="O309" s="28"/>
      <x:c r="P309" s="22"/>
      <x:c r="Q309" s="22"/>
      <x:c r="R309" s="28"/>
      <x:c r="S309" s="22"/>
      <x:c r="T309" s="37" t="n">
        <x:f>MIN(K309,AT309)</x:f>
        <x:v>0.04592496846673876</x:v>
      </x:c>
      <x:c r="U309" s="21" t="str">
        <x:f>IF(J309="Рассчитано",N309*(1-O309/100),"н/д")</x:f>
        <x:v>н/д</x:v>
      </x:c>
      <x:c r="V309" s="21" t="str">
        <x:f>IF(J309="Рассчитано",T309*U309,"н/д")</x:f>
        <x:v>н/д</x:v>
      </x:c>
      <x:c r="W309" s="21" t="str">
        <x:f>IF(J309="Рассчитано",T309*M309,"н/д")</x:f>
        <x:v>н/д</x:v>
      </x:c>
      <x:c r="X309" s="21" t="str">
        <x:f>IF(J309="Рассчитано",V309-W309,"н/д")</x:f>
        <x:v>н/д</x:v>
      </x:c>
      <x:c r="Y309" s="27" t="str">
        <x:f>IF(J309="Рассчитано",IF(V309&gt;0,G309/V309,"н/д"),"н/д")</x:f>
        <x:v>н/д</x:v>
      </x:c>
      <x:c r="Z309" s="21" t="str">
        <x:f>IF(J309="Рассчитано",K309*M309,"н/д")</x:f>
        <x:v>н/д</x:v>
      </x:c>
      <x:c r="AA309" s="21" t="str">
        <x:f>IF(J309="Рассчитано",(K309-T309)*M309,"н/д")</x:f>
        <x:v>н/д</x:v>
      </x:c>
      <x:c r="AB309" s="21" t="str">
        <x:f>IF(AND(J309="Рассчитано",ISNUMBER(S309)),K309*(S309-M309),"н/д")</x:f>
        <x:v>н/д</x:v>
      </x:c>
      <x:c r="AC309" s="21" t="str">
        <x:f>IF(AND(J309="Рассчитано",T309&gt;0,R309&lt;100),(W309+P309+Q309)/(T309*(1-R309/100)),"н/д")</x:f>
        <x:v>н/д</x:v>
      </x:c>
      <x:c r="AD309" s="10" t="str">
        <x:f>IF(ISNUMBER(G309),IF(G309&lt;0,"Убыток",IF(G309=0,"Без прибыли","Прибыль &gt; 0")),"Не оценён")</x:f>
        <x:v>Не оценён</x:v>
      </x:c>
      <x:c r="AE309" s="13" t="str">
        <x:f>IF(J309="Рассчитано","Выручка "&amp;TEXT(V309,"0.00")&amp;" - себестоимость "&amp;TEXT(W309,"0.00")&amp;" - комиссия "&amp;TEXT(V309*R309/100,"0.00")&amp;" - доставка "&amp;TEXT(P309,"0.00")&amp;" - прочие "&amp;TEXT(Q309,"0.00")&amp;" = "&amp;TEXT(G309,"0.00")&amp;" "&amp;L309,"Введите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09" s="24" t="n">
        <x:v>0.04592496846673876</x:v>
      </x:c>
      <x:c r="AG309" s="37" t="n">
        <x:v>0</x:v>
      </x:c>
      <x:c r="AH309" s="37" t="n">
        <x:v>0</x:v>
      </x:c>
      <x:c r="AI309" s="30" t="n">
        <x:v>46266</x:v>
      </x:c>
      <x:c r="AJ309" s="37"/>
      <x:c r="AK309" s="10" t="str">
        <x:v>неизвестно</x:v>
      </x:c>
      <x:c r="AL309" s="32" t="n">
        <x:v>0</x:v>
      </x:c>
      <x:c r="AM309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09" s="13" t="str">
        <x:v>Подтвердить наличие, срок и цену закупки</x:v>
      </x:c>
      <x:c r="AO309" s="13" t="str">
        <x:v>Прогноз 30 дней 0.05; остаток 0; поступления в срок 0; нехватка 1; заказ с учётом MOQ 1 шт. Остаток на начало сентября: требуется актуализация.</x:v>
      </x:c>
      <x:c r="AP309" s="13" t="str">
        <x:v>["blank_stock_assumed_zero", "category_missing", "daily_stockout_data_missing", "moq_missing", "new_order_lead_time_unknown", "reservations_unknown", "stale_stock", "supplier_sku_missing"]</x:v>
      </x:c>
      <x:c r="AQ309" s="10" t="str">
        <x:v>IEK:WYP53-16-05-03-ZK</x:v>
      </x:c>
      <x:c r="AR309" s="24" t="n">
        <x:v>1</x:v>
      </x:c>
      <x:c r="AS309" s="24" t="n">
        <x:f>MAX(0,ROUNDUP(MAX(0,AF309-AG309-AH309)/AR309-0.000000001,0)*AR309)</x:f>
        <x:v>1</x:v>
      </x:c>
      <x:c r="AT309" s="24" t="n">
        <x:v>0.04592496846673876</x:v>
      </x:c>
    </x:row>
    <x:row r="310" ht="64" customHeight="1">
      <x:c r="A310" s="11" t="str">
        <x:v>IEK</x:v>
      </x:c>
      <x:c r="B310" s="33" t="str">
        <x:v>ст-9951436</x:v>
      </x:c>
      <x:c r="C310" s="33"/>
      <x:c r="D310" s="12" t="str">
        <x:v>Трансформатор тока ТТИ-А  800\5А 5ВА кл.т.0,5 IEK (36) !!!</x:v>
      </x:c>
      <x:c r="E310" s="11" t="str">
        <x:v>шт</x:v>
      </x:c>
      <x:c r="F310" s="35" t="n">
        <x:f>AS310</x:f>
        <x:v>1</x:v>
      </x:c>
      <x:c r="G310" s="20" t="str">
        <x:f>IF(J310="Рассчитано",V310*(1-R310/100)-W310-P310-Q310,"н/д")</x:f>
        <x:v>н/д</x:v>
      </x:c>
      <x:c r="H310" s="12" t="str">
        <x:v>Высокий</x:v>
      </x:c>
      <x:c r="I310" s="12" t="str">
        <x:v>Критический</x:v>
      </x:c>
      <x:c r="J310" s="12" t="str">
        <x:f>IF(L310="","Укажите валюту",IF(NOT(ISNUMBER(K310)),"Укажите объём",IF(K310&lt;=0,"Укажите объём",IF(COUNT(M310:O310)&lt;3,"Нужны цены",IF(COUNT(P310:R310)&lt;3,"Нужны расходы",IF(OR(M310&lt;0,N310&lt;0,O310&lt;0,O310&gt;100,P310&lt;0,Q310&lt;0,R310&lt;0,R310&gt;100),"Проверьте значения","Рассчитано"))))))</x:f>
        <x:v>Нужны цены</x:v>
      </x:c>
      <x:c r="K310" s="36" t="n">
        <x:v>1</x:v>
      </x:c>
      <x:c r="L310" s="19" t="str">
        <x:v>KZT</x:v>
      </x:c>
      <x:c r="M310" s="22"/>
      <x:c r="N310" s="22"/>
      <x:c r="O310" s="28"/>
      <x:c r="P310" s="22"/>
      <x:c r="Q310" s="22"/>
      <x:c r="R310" s="28"/>
      <x:c r="S310" s="22"/>
      <x:c r="T310" s="35" t="n">
        <x:f>MIN(K310,AT310)</x:f>
        <x:v>0.2253884651565965</x:v>
      </x:c>
      <x:c r="U310" s="20" t="str">
        <x:f>IF(J310="Рассчитано",N310*(1-O310/100),"н/д")</x:f>
        <x:v>н/д</x:v>
      </x:c>
      <x:c r="V310" s="20" t="str">
        <x:f>IF(J310="Рассчитано",T310*U310,"н/д")</x:f>
        <x:v>н/д</x:v>
      </x:c>
      <x:c r="W310" s="20" t="str">
        <x:f>IF(J310="Рассчитано",T310*M310,"н/д")</x:f>
        <x:v>н/д</x:v>
      </x:c>
      <x:c r="X310" s="20" t="str">
        <x:f>IF(J310="Рассчитано",V310-W310,"н/д")</x:f>
        <x:v>н/д</x:v>
      </x:c>
      <x:c r="Y310" s="26" t="str">
        <x:f>IF(J310="Рассчитано",IF(V310&gt;0,G310/V310,"н/д"),"н/д")</x:f>
        <x:v>н/д</x:v>
      </x:c>
      <x:c r="Z310" s="20" t="str">
        <x:f>IF(J310="Рассчитано",K310*M310,"н/д")</x:f>
        <x:v>н/д</x:v>
      </x:c>
      <x:c r="AA310" s="20" t="str">
        <x:f>IF(J310="Рассчитано",(K310-T310)*M310,"н/д")</x:f>
        <x:v>н/д</x:v>
      </x:c>
      <x:c r="AB310" s="20" t="str">
        <x:f>IF(AND(J310="Рассчитано",ISNUMBER(S310)),K310*(S310-M310),"н/д")</x:f>
        <x:v>н/д</x:v>
      </x:c>
      <x:c r="AC310" s="20" t="str">
        <x:f>IF(AND(J310="Рассчитано",T310&gt;0,R310&lt;100),(W310+P310+Q310)/(T310*(1-R310/100)),"н/д")</x:f>
        <x:v>н/д</x:v>
      </x:c>
      <x:c r="AD310" s="11" t="str">
        <x:f>IF(ISNUMBER(G310),IF(G310&lt;0,"Убыток",IF(G310=0,"Без прибыли","Прибыль &gt; 0")),"Не оценён")</x:f>
        <x:v>Не оценён</x:v>
      </x:c>
      <x:c r="AE310" s="12" t="str">
        <x:f>IF(J310="Рассчитано","Выручка "&amp;TEXT(V310,"0.00")&amp;" - себестоимость "&amp;TEXT(W310,"0.00")&amp;" - комиссия "&amp;TEXT(V310*R310/100,"0.00")&amp;" - доставка "&amp;TEXT(P310,"0.00")&amp;" - прочие "&amp;TEXT(Q310,"0.00")&amp;" = "&amp;TEXT(G310,"0.00")&amp;" "&amp;L310,"Введите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0" s="23" t="n">
        <x:v>0.2253884651565965</x:v>
      </x:c>
      <x:c r="AG310" s="35" t="n">
        <x:v>0</x:v>
      </x:c>
      <x:c r="AH310" s="35" t="n">
        <x:v>0</x:v>
      </x:c>
      <x:c r="AI310" s="29" t="n">
        <x:v>46266</x:v>
      </x:c>
      <x:c r="AJ310" s="35"/>
      <x:c r="AK310" s="11" t="str">
        <x:v>неизвестно</x:v>
      </x:c>
      <x:c r="AL310" s="31" t="n">
        <x:v>0</x:v>
      </x:c>
      <x:c r="AM310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10" s="12" t="str">
        <x:v>Подтвердить наличие, срок и цену закупки</x:v>
      </x:c>
      <x:c r="AO310" s="12" t="str">
        <x:v>Прогноз 30 дней 0.23; остаток 0; поступления в срок 0; нехватка 1; заказ с учётом MOQ 1 шт. Остаток на начало сентября: требуется актуализация.</x:v>
      </x:c>
      <x:c r="AP310" s="12" t="str">
        <x:v>["blank_stock_assumed_zero", "category_missing", "daily_stockout_data_missing", "moq_missing", "new_order_lead_time_unknown", "reservations_unknown", "stale_stock", "supplier_sku_missing"]</x:v>
      </x:c>
      <x:c r="AQ310" s="11" t="str">
        <x:v>IEK:ст-9951436</x:v>
      </x:c>
      <x:c r="AR310" s="23" t="n">
        <x:v>1</x:v>
      </x:c>
      <x:c r="AS310" s="23" t="n">
        <x:f>MAX(0,ROUNDUP(MAX(0,AF310-AG310-AH310)/AR310-0.000000001,0)*AR310)</x:f>
        <x:v>1</x:v>
      </x:c>
      <x:c r="AT310" s="23" t="n">
        <x:v>0.2253884651565965</x:v>
      </x:c>
    </x:row>
    <x:row r="311" ht="64" customHeight="1">
      <x:c r="A311" s="10" t="str">
        <x:v>IEK</x:v>
      </x:c>
      <x:c r="B311" s="34" t="str">
        <x:v>ст-9951480</x:v>
      </x:c>
      <x:c r="C311" s="34"/>
      <x:c r="D311" s="13" t="str">
        <x:v>Контактор КМИп-10910 09А 24В/АС3 1НО IEK !!!</x:v>
      </x:c>
      <x:c r="E311" s="10" t="str">
        <x:v>шт</x:v>
      </x:c>
      <x:c r="F311" s="37" t="n">
        <x:f>AS311</x:f>
        <x:v>1</x:v>
      </x:c>
      <x:c r="G311" s="21" t="str">
        <x:f>IF(J311="Рассчитано",V311*(1-R311/100)-W311-P311-Q311,"н/д")</x:f>
        <x:v>н/д</x:v>
      </x:c>
      <x:c r="H311" s="13" t="str">
        <x:v>Высокий</x:v>
      </x:c>
      <x:c r="I311" s="13" t="str">
        <x:v>Критический</x:v>
      </x:c>
      <x:c r="J311" s="13" t="str">
        <x:f>IF(L311="","Укажите валюту",IF(NOT(ISNUMBER(K311)),"Укажите объём",IF(K311&lt;=0,"Укажите объём",IF(COUNT(M311:O311)&lt;3,"Нужны цены",IF(COUNT(P311:R311)&lt;3,"Нужны расходы",IF(OR(M311&lt;0,N311&lt;0,O311&lt;0,O311&gt;100,P311&lt;0,Q311&lt;0,R311&lt;0,R311&gt;100),"Проверьте значения","Рассчитано"))))))</x:f>
        <x:v>Нужны цены</x:v>
      </x:c>
      <x:c r="K311" s="36" t="n">
        <x:v>1</x:v>
      </x:c>
      <x:c r="L311" s="19" t="str">
        <x:v>KZT</x:v>
      </x:c>
      <x:c r="M311" s="22"/>
      <x:c r="N311" s="22"/>
      <x:c r="O311" s="28"/>
      <x:c r="P311" s="22"/>
      <x:c r="Q311" s="22"/>
      <x:c r="R311" s="28"/>
      <x:c r="S311" s="22"/>
      <x:c r="T311" s="37" t="n">
        <x:f>MIN(K311,AT311)</x:f>
        <x:v>0.282216284790591</x:v>
      </x:c>
      <x:c r="U311" s="21" t="str">
        <x:f>IF(J311="Рассчитано",N311*(1-O311/100),"н/д")</x:f>
        <x:v>н/д</x:v>
      </x:c>
      <x:c r="V311" s="21" t="str">
        <x:f>IF(J311="Рассчитано",T311*U311,"н/д")</x:f>
        <x:v>н/д</x:v>
      </x:c>
      <x:c r="W311" s="21" t="str">
        <x:f>IF(J311="Рассчитано",T311*M311,"н/д")</x:f>
        <x:v>н/д</x:v>
      </x:c>
      <x:c r="X311" s="21" t="str">
        <x:f>IF(J311="Рассчитано",V311-W311,"н/д")</x:f>
        <x:v>н/д</x:v>
      </x:c>
      <x:c r="Y311" s="27" t="str">
        <x:f>IF(J311="Рассчитано",IF(V311&gt;0,G311/V311,"н/д"),"н/д")</x:f>
        <x:v>н/д</x:v>
      </x:c>
      <x:c r="Z311" s="21" t="str">
        <x:f>IF(J311="Рассчитано",K311*M311,"н/д")</x:f>
        <x:v>н/д</x:v>
      </x:c>
      <x:c r="AA311" s="21" t="str">
        <x:f>IF(J311="Рассчитано",(K311-T311)*M311,"н/д")</x:f>
        <x:v>н/д</x:v>
      </x:c>
      <x:c r="AB311" s="21" t="str">
        <x:f>IF(AND(J311="Рассчитано",ISNUMBER(S311)),K311*(S311-M311),"н/д")</x:f>
        <x:v>н/д</x:v>
      </x:c>
      <x:c r="AC311" s="21" t="str">
        <x:f>IF(AND(J311="Рассчитано",T311&gt;0,R311&lt;100),(W311+P311+Q311)/(T311*(1-R311/100)),"н/д")</x:f>
        <x:v>н/д</x:v>
      </x:c>
      <x:c r="AD311" s="10" t="str">
        <x:f>IF(ISNUMBER(G311),IF(G311&lt;0,"Убыток",IF(G311=0,"Без прибыли","Прибыль &gt; 0")),"Не оценён")</x:f>
        <x:v>Не оценён</x:v>
      </x:c>
      <x:c r="AE311" s="13" t="str">
        <x:f>IF(J311="Рассчитано","Выручка "&amp;TEXT(V311,"0.00")&amp;" - себестоимость "&amp;TEXT(W311,"0.00")&amp;" - комиссия "&amp;TEXT(V311*R311/100,"0.00")&amp;" - доставка "&amp;TEXT(P311,"0.00")&amp;" - прочие "&amp;TEXT(Q311,"0.00")&amp;" = "&amp;TEXT(G311,"0.00")&amp;" "&amp;L311,"Введите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1" s="24" t="n">
        <x:v>0.282216284790591</x:v>
      </x:c>
      <x:c r="AG311" s="37" t="n">
        <x:v>0</x:v>
      </x:c>
      <x:c r="AH311" s="37" t="n">
        <x:v>0</x:v>
      </x:c>
      <x:c r="AI311" s="30" t="n">
        <x:v>46266</x:v>
      </x:c>
      <x:c r="AJ311" s="37"/>
      <x:c r="AK311" s="10" t="str">
        <x:v>неизвестно</x:v>
      </x:c>
      <x:c r="AL311" s="32" t="n">
        <x:v>0</x:v>
      </x:c>
      <x:c r="AM311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11" s="13" t="str">
        <x:v>Подтвердить наличие, срок и цену закупки</x:v>
      </x:c>
      <x:c r="AO311" s="13" t="str">
        <x:v>Прогноз 30 дней 0.28; остаток 0; поступления в срок 0; нехватка 1; заказ с учётом MOQ 1 шт. Остаток на начало сентября: требуется актуализация.</x:v>
      </x:c>
      <x:c r="AP311" s="13" t="str">
        <x:v>["blank_stock_assumed_zero", "category_missing", "daily_stockout_data_missing", "moq_missing", "new_order_lead_time_unknown", "reservations_unknown", "stale_stock", "supplier_sku_missing"]</x:v>
      </x:c>
      <x:c r="AQ311" s="10" t="str">
        <x:v>IEK:ст-9951480</x:v>
      </x:c>
      <x:c r="AR311" s="24" t="n">
        <x:v>1</x:v>
      </x:c>
      <x:c r="AS311" s="24" t="n">
        <x:f>MAX(0,ROUNDUP(MAX(0,AF311-AG311-AH311)/AR311-0.000000001,0)*AR311)</x:f>
        <x:v>1</x:v>
      </x:c>
      <x:c r="AT311" s="24" t="n">
        <x:v>0.282216284790591</x:v>
      </x:c>
    </x:row>
    <x:row r="312" ht="64" customHeight="1">
      <x:c r="A312" s="11" t="str">
        <x:v>IEK</x:v>
      </x:c>
      <x:c r="B312" s="33" t="str">
        <x:v>ст-9952711</x:v>
      </x:c>
      <x:c r="C312" s="33"/>
      <x:c r="D312" s="12" t="str">
        <x:v>ВА47-29 (4ф) 10А IEK (36) !!!</x:v>
      </x:c>
      <x:c r="E312" s="11" t="str">
        <x:v>шт</x:v>
      </x:c>
      <x:c r="F312" s="35" t="n">
        <x:f>AS312</x:f>
        <x:v>89</x:v>
      </x:c>
      <x:c r="G312" s="20" t="str">
        <x:f>IF(J312="Рассчитано",V312*(1-R312/100)-W312-P312-Q312,"н/д")</x:f>
        <x:v>н/д</x:v>
      </x:c>
      <x:c r="H312" s="12" t="str">
        <x:v>Высокий</x:v>
      </x:c>
      <x:c r="I312" s="12" t="str">
        <x:v>Критический</x:v>
      </x:c>
      <x:c r="J312" s="12" t="str">
        <x:f>IF(L312="","Укажите валюту",IF(NOT(ISNUMBER(K312)),"Укажите объём",IF(K312&lt;=0,"Укажите объём",IF(COUNT(M312:O312)&lt;3,"Нужны цены",IF(COUNT(P312:R312)&lt;3,"Нужны расходы",IF(OR(M312&lt;0,N312&lt;0,O312&lt;0,O312&gt;100,P312&lt;0,Q312&lt;0,R312&lt;0,R312&gt;100),"Проверьте значения","Рассчитано"))))))</x:f>
        <x:v>Нужны цены</x:v>
      </x:c>
      <x:c r="K312" s="36" t="n">
        <x:v>89</x:v>
      </x:c>
      <x:c r="L312" s="19" t="str">
        <x:v>KZT</x:v>
      </x:c>
      <x:c r="M312" s="22"/>
      <x:c r="N312" s="22"/>
      <x:c r="O312" s="28"/>
      <x:c r="P312" s="22"/>
      <x:c r="Q312" s="22"/>
      <x:c r="R312" s="28"/>
      <x:c r="S312" s="22"/>
      <x:c r="T312" s="35" t="n">
        <x:f>MIN(K312,AT312)</x:f>
        <x:v>88.89812970903616</x:v>
      </x:c>
      <x:c r="U312" s="20" t="str">
        <x:f>IF(J312="Рассчитано",N312*(1-O312/100),"н/д")</x:f>
        <x:v>н/д</x:v>
      </x:c>
      <x:c r="V312" s="20" t="str">
        <x:f>IF(J312="Рассчитано",T312*U312,"н/д")</x:f>
        <x:v>н/д</x:v>
      </x:c>
      <x:c r="W312" s="20" t="str">
        <x:f>IF(J312="Рассчитано",T312*M312,"н/д")</x:f>
        <x:v>н/д</x:v>
      </x:c>
      <x:c r="X312" s="20" t="str">
        <x:f>IF(J312="Рассчитано",V312-W312,"н/д")</x:f>
        <x:v>н/д</x:v>
      </x:c>
      <x:c r="Y312" s="26" t="str">
        <x:f>IF(J312="Рассчитано",IF(V312&gt;0,G312/V312,"н/д"),"н/д")</x:f>
        <x:v>н/д</x:v>
      </x:c>
      <x:c r="Z312" s="20" t="str">
        <x:f>IF(J312="Рассчитано",K312*M312,"н/д")</x:f>
        <x:v>н/д</x:v>
      </x:c>
      <x:c r="AA312" s="20" t="str">
        <x:f>IF(J312="Рассчитано",(K312-T312)*M312,"н/д")</x:f>
        <x:v>н/д</x:v>
      </x:c>
      <x:c r="AB312" s="20" t="str">
        <x:f>IF(AND(J312="Рассчитано",ISNUMBER(S312)),K312*(S312-M312),"н/д")</x:f>
        <x:v>н/д</x:v>
      </x:c>
      <x:c r="AC312" s="20" t="str">
        <x:f>IF(AND(J312="Рассчитано",T312&gt;0,R312&lt;100),(W312+P312+Q312)/(T312*(1-R312/100)),"н/д")</x:f>
        <x:v>н/д</x:v>
      </x:c>
      <x:c r="AD312" s="11" t="str">
        <x:f>IF(ISNUMBER(G312),IF(G312&lt;0,"Убыток",IF(G312=0,"Без прибыли","Прибыль &gt; 0")),"Не оценён")</x:f>
        <x:v>Не оценён</x:v>
      </x:c>
      <x:c r="AE312" s="12" t="str">
        <x:f>IF(J312="Рассчитано","Выручка "&amp;TEXT(V312,"0.00")&amp;" - себестоимость "&amp;TEXT(W312,"0.00")&amp;" - комиссия "&amp;TEXT(V312*R312/100,"0.00")&amp;" - доставка "&amp;TEXT(P312,"0.00")&amp;" - прочие "&amp;TEXT(Q312,"0.00")&amp;" = "&amp;TEXT(G312,"0.00")&amp;" "&amp;L312,"Введите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2" s="23" t="n">
        <x:v>88.89812970903616</x:v>
      </x:c>
      <x:c r="AG312" s="35" t="n">
        <x:v>0</x:v>
      </x:c>
      <x:c r="AH312" s="35" t="n">
        <x:v>0</x:v>
      </x:c>
      <x:c r="AI312" s="29" t="n">
        <x:v>46266</x:v>
      </x:c>
      <x:c r="AJ312" s="35"/>
      <x:c r="AK312" s="11" t="str">
        <x:v>неизвестно</x:v>
      </x:c>
      <x:c r="AL312" s="31" t="n">
        <x:v>0</x:v>
      </x:c>
      <x:c r="AM312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12" s="12" t="str">
        <x:v>Подтвердить наличие, срок и цену закупки</x:v>
      </x:c>
      <x:c r="AO312" s="12" t="str">
        <x:v>Прогноз 30 дней 88.90; остаток 0; поступления в срок 0; нехватка 89; заказ с учётом MOQ 89 шт. Остаток на начало сентября: требуется актуализация.</x:v>
      </x:c>
      <x:c r="AP312" s="12" t="str">
        <x:v>["blank_stock_assumed_zero", "category_missing", "daily_stockout_data_missing", "moq_missing", "new_order_lead_time_unknown", "reservations_unknown", "stale_stock", "supplier_sku_missing"]</x:v>
      </x:c>
      <x:c r="AQ312" s="11" t="str">
        <x:v>IEK:ст-9952711</x:v>
      </x:c>
      <x:c r="AR312" s="23" t="n">
        <x:v>1</x:v>
      </x:c>
      <x:c r="AS312" s="23" t="n">
        <x:f>MAX(0,ROUNDUP(MAX(0,AF312-AG312-AH312)/AR312-0.000000001,0)*AR312)</x:f>
        <x:v>89</x:v>
      </x:c>
      <x:c r="AT312" s="23" t="n">
        <x:v>88.89812970903616</x:v>
      </x:c>
    </x:row>
    <x:row r="313" ht="64" customHeight="1">
      <x:c r="A313" s="10" t="str">
        <x:v>IEK</x:v>
      </x:c>
      <x:c r="B313" s="34" t="str">
        <x:v>ст-9953236</x:v>
      </x:c>
      <x:c r="C313" s="34"/>
      <x:c r="D313" s="13" t="str">
        <x:v>Индикатор AD-22DS (LED) Ø22мм (зеленый) 12В IEK !!!</x:v>
      </x:c>
      <x:c r="E313" s="10" t="str">
        <x:v>шт</x:v>
      </x:c>
      <x:c r="F313" s="37" t="n">
        <x:f>AS313</x:f>
        <x:v>1</x:v>
      </x:c>
      <x:c r="G313" s="21" t="str">
        <x:f>IF(J313="Рассчитано",V313*(1-R313/100)-W313-P313-Q313,"н/д")</x:f>
        <x:v>н/д</x:v>
      </x:c>
      <x:c r="H313" s="13" t="str">
        <x:v>Высокий</x:v>
      </x:c>
      <x:c r="I313" s="13" t="str">
        <x:v>Критический</x:v>
      </x:c>
      <x:c r="J313" s="13" t="str">
        <x:f>IF(L313="","Укажите валюту",IF(NOT(ISNUMBER(K313)),"Укажите объём",IF(K313&lt;=0,"Укажите объём",IF(COUNT(M313:O313)&lt;3,"Нужны цены",IF(COUNT(P313:R313)&lt;3,"Нужны расходы",IF(OR(M313&lt;0,N313&lt;0,O313&lt;0,O313&gt;100,P313&lt;0,Q313&lt;0,R313&lt;0,R313&gt;100),"Проверьте значения","Рассчитано"))))))</x:f>
        <x:v>Нужны цены</x:v>
      </x:c>
      <x:c r="K313" s="36" t="n">
        <x:v>1</x:v>
      </x:c>
      <x:c r="L313" s="19" t="str">
        <x:v>KZT</x:v>
      </x:c>
      <x:c r="M313" s="22"/>
      <x:c r="N313" s="22"/>
      <x:c r="O313" s="28"/>
      <x:c r="P313" s="22"/>
      <x:c r="Q313" s="22"/>
      <x:c r="R313" s="28"/>
      <x:c r="S313" s="22"/>
      <x:c r="T313" s="37" t="n">
        <x:f>MIN(K313,AT313)</x:f>
        <x:v>0.03177057299633944</x:v>
      </x:c>
      <x:c r="U313" s="21" t="str">
        <x:f>IF(J313="Рассчитано",N313*(1-O313/100),"н/д")</x:f>
        <x:v>н/д</x:v>
      </x:c>
      <x:c r="V313" s="21" t="str">
        <x:f>IF(J313="Рассчитано",T313*U313,"н/д")</x:f>
        <x:v>н/д</x:v>
      </x:c>
      <x:c r="W313" s="21" t="str">
        <x:f>IF(J313="Рассчитано",T313*M313,"н/д")</x:f>
        <x:v>н/д</x:v>
      </x:c>
      <x:c r="X313" s="21" t="str">
        <x:f>IF(J313="Рассчитано",V313-W313,"н/д")</x:f>
        <x:v>н/д</x:v>
      </x:c>
      <x:c r="Y313" s="27" t="str">
        <x:f>IF(J313="Рассчитано",IF(V313&gt;0,G313/V313,"н/д"),"н/д")</x:f>
        <x:v>н/д</x:v>
      </x:c>
      <x:c r="Z313" s="21" t="str">
        <x:f>IF(J313="Рассчитано",K313*M313,"н/д")</x:f>
        <x:v>н/д</x:v>
      </x:c>
      <x:c r="AA313" s="21" t="str">
        <x:f>IF(J313="Рассчитано",(K313-T313)*M313,"н/д")</x:f>
        <x:v>н/д</x:v>
      </x:c>
      <x:c r="AB313" s="21" t="str">
        <x:f>IF(AND(J313="Рассчитано",ISNUMBER(S313)),K313*(S313-M313),"н/д")</x:f>
        <x:v>н/д</x:v>
      </x:c>
      <x:c r="AC313" s="21" t="str">
        <x:f>IF(AND(J313="Рассчитано",T313&gt;0,R313&lt;100),(W313+P313+Q313)/(T313*(1-R313/100)),"н/д")</x:f>
        <x:v>н/д</x:v>
      </x:c>
      <x:c r="AD313" s="10" t="str">
        <x:f>IF(ISNUMBER(G313),IF(G313&lt;0,"Убыток",IF(G313=0,"Без прибыли","Прибыль &gt; 0")),"Не оценён")</x:f>
        <x:v>Не оценён</x:v>
      </x:c>
      <x:c r="AE313" s="13" t="str">
        <x:f>IF(J313="Рассчитано","Выручка "&amp;TEXT(V313,"0.00")&amp;" - себестоимость "&amp;TEXT(W313,"0.00")&amp;" - комиссия "&amp;TEXT(V313*R313/100,"0.00")&amp;" - доставка "&amp;TEXT(P313,"0.00")&amp;" - прочие "&amp;TEXT(Q313,"0.00")&amp;" = "&amp;TEXT(G313,"0.00")&amp;" "&amp;L313,"Введите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3" s="24" t="n">
        <x:v>0.03177057299633944</x:v>
      </x:c>
      <x:c r="AG313" s="37" t="n">
        <x:v>0</x:v>
      </x:c>
      <x:c r="AH313" s="37" t="n">
        <x:v>0</x:v>
      </x:c>
      <x:c r="AI313" s="30" t="n">
        <x:v>46266</x:v>
      </x:c>
      <x:c r="AJ313" s="37"/>
      <x:c r="AK313" s="10" t="str">
        <x:v>неизвестно</x:v>
      </x:c>
      <x:c r="AL313" s="32" t="n">
        <x:v>0</x:v>
      </x:c>
      <x:c r="AM313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13" s="13" t="str">
        <x:v>Подтвердить наличие, срок и цену закупки</x:v>
      </x:c>
      <x:c r="AO313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313" s="13" t="str">
        <x:v>["blank_stock_assumed_zero", "category_missing", "daily_stockout_data_missing", "moq_missing", "new_order_lead_time_unknown", "reservations_unknown", "stale_stock", "supplier_sku_missing"]</x:v>
      </x:c>
      <x:c r="AQ313" s="10" t="str">
        <x:v>IEK:ст-9953236</x:v>
      </x:c>
      <x:c r="AR313" s="24" t="n">
        <x:v>1</x:v>
      </x:c>
      <x:c r="AS313" s="24" t="n">
        <x:f>MAX(0,ROUNDUP(MAX(0,AF313-AG313-AH313)/AR313-0.000000001,0)*AR313)</x:f>
        <x:v>1</x:v>
      </x:c>
      <x:c r="AT313" s="24" t="n">
        <x:v>0.03177057299633944</x:v>
      </x:c>
    </x:row>
    <x:row r="314" ht="64" customHeight="1">
      <x:c r="A314" s="11" t="str">
        <x:v>IEK</x:v>
      </x:c>
      <x:c r="B314" s="33" t="str">
        <x:v>ст-9953405</x:v>
      </x:c>
      <x:c r="C314" s="33"/>
      <x:c r="D314" s="12" t="str">
        <x:v>Тепловое реле РТИ-5375 (120-150А) IEK (100)</x:v>
      </x:c>
      <x:c r="E314" s="11" t="str">
        <x:v>шт</x:v>
      </x:c>
      <x:c r="F314" s="35" t="n">
        <x:f>AS314</x:f>
        <x:v>1</x:v>
      </x:c>
      <x:c r="G314" s="20" t="str">
        <x:f>IF(J314="Рассчитано",V314*(1-R314/100)-W314-P314-Q314,"н/д")</x:f>
        <x:v>н/д</x:v>
      </x:c>
      <x:c r="H314" s="12" t="str">
        <x:v>Высокий</x:v>
      </x:c>
      <x:c r="I314" s="12" t="str">
        <x:v>Критический</x:v>
      </x:c>
      <x:c r="J314" s="12" t="str">
        <x:f>IF(L314="","Укажите валюту",IF(NOT(ISNUMBER(K314)),"Укажите объём",IF(K314&lt;=0,"Укажите объём",IF(COUNT(M314:O314)&lt;3,"Нужны цены",IF(COUNT(P314:R314)&lt;3,"Нужны расходы",IF(OR(M314&lt;0,N314&lt;0,O314&lt;0,O314&gt;100,P314&lt;0,Q314&lt;0,R314&lt;0,R314&gt;100),"Проверьте значения","Рассчитано"))))))</x:f>
        <x:v>Нужны цены</x:v>
      </x:c>
      <x:c r="K314" s="36" t="n">
        <x:v>1</x:v>
      </x:c>
      <x:c r="L314" s="19" t="str">
        <x:v>KZT</x:v>
      </x:c>
      <x:c r="M314" s="22"/>
      <x:c r="N314" s="22"/>
      <x:c r="O314" s="28"/>
      <x:c r="P314" s="22"/>
      <x:c r="Q314" s="22"/>
      <x:c r="R314" s="28"/>
      <x:c r="S314" s="22"/>
      <x:c r="T314" s="35" t="n">
        <x:f>MIN(K314,AT314)</x:f>
        <x:v>0.039081323040488704</x:v>
      </x:c>
      <x:c r="U314" s="20" t="str">
        <x:f>IF(J314="Рассчитано",N314*(1-O314/100),"н/д")</x:f>
        <x:v>н/д</x:v>
      </x:c>
      <x:c r="V314" s="20" t="str">
        <x:f>IF(J314="Рассчитано",T314*U314,"н/д")</x:f>
        <x:v>н/д</x:v>
      </x:c>
      <x:c r="W314" s="20" t="str">
        <x:f>IF(J314="Рассчитано",T314*M314,"н/д")</x:f>
        <x:v>н/д</x:v>
      </x:c>
      <x:c r="X314" s="20" t="str">
        <x:f>IF(J314="Рассчитано",V314-W314,"н/д")</x:f>
        <x:v>н/д</x:v>
      </x:c>
      <x:c r="Y314" s="26" t="str">
        <x:f>IF(J314="Рассчитано",IF(V314&gt;0,G314/V314,"н/д"),"н/д")</x:f>
        <x:v>н/д</x:v>
      </x:c>
      <x:c r="Z314" s="20" t="str">
        <x:f>IF(J314="Рассчитано",K314*M314,"н/д")</x:f>
        <x:v>н/д</x:v>
      </x:c>
      <x:c r="AA314" s="20" t="str">
        <x:f>IF(J314="Рассчитано",(K314-T314)*M314,"н/д")</x:f>
        <x:v>н/д</x:v>
      </x:c>
      <x:c r="AB314" s="20" t="str">
        <x:f>IF(AND(J314="Рассчитано",ISNUMBER(S314)),K314*(S314-M314),"н/д")</x:f>
        <x:v>н/д</x:v>
      </x:c>
      <x:c r="AC314" s="20" t="str">
        <x:f>IF(AND(J314="Рассчитано",T314&gt;0,R314&lt;100),(W314+P314+Q314)/(T314*(1-R314/100)),"н/д")</x:f>
        <x:v>н/д</x:v>
      </x:c>
      <x:c r="AD314" s="11" t="str">
        <x:f>IF(ISNUMBER(G314),IF(G314&lt;0,"Убыток",IF(G314=0,"Без прибыли","Прибыль &gt; 0")),"Не оценён")</x:f>
        <x:v>Не оценён</x:v>
      </x:c>
      <x:c r="AE314" s="12" t="str">
        <x:f>IF(J314="Рассчитано","Выручка "&amp;TEXT(V314,"0.00")&amp;" - себестоимость "&amp;TEXT(W314,"0.00")&amp;" - комиссия "&amp;TEXT(V314*R314/100,"0.00")&amp;" - доставка "&amp;TEXT(P314,"0.00")&amp;" - прочие "&amp;TEXT(Q314,"0.00")&amp;" = "&amp;TEXT(G314,"0.00")&amp;" "&amp;L314,"Введите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4" s="23" t="n">
        <x:v>0.039081323040488704</x:v>
      </x:c>
      <x:c r="AG314" s="35" t="n">
        <x:v>0</x:v>
      </x:c>
      <x:c r="AH314" s="35" t="n">
        <x:v>0</x:v>
      </x:c>
      <x:c r="AI314" s="29" t="n">
        <x:v>46266</x:v>
      </x:c>
      <x:c r="AJ314" s="35"/>
      <x:c r="AK314" s="11" t="str">
        <x:v>неизвестно</x:v>
      </x:c>
      <x:c r="AL314" s="31" t="n">
        <x:v>0</x:v>
      </x:c>
      <x:c r="AM314" s="12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14" s="12" t="str">
        <x:v>Подтвердить наличие, срок и цену закупки</x:v>
      </x:c>
      <x:c r="AO314" s="12" t="str">
        <x:v>Прогноз 30 дней 0.04; остаток 0; поступления в срок 0; нехватка 1; заказ с учётом MOQ 1 шт. Остаток на начало сентября: требуется актуализация.</x:v>
      </x:c>
      <x:c r="AP314" s="12" t="str">
        <x:v>["blank_stock_assumed_zero", "category_missing", "daily_stockout_data_missing", "moq_missing", "new_order_lead_time_unknown", "reservations_unknown", "stale_stock", "supplier_sku_missing"]</x:v>
      </x:c>
      <x:c r="AQ314" s="11" t="str">
        <x:v>IEK:ст-9953405</x:v>
      </x:c>
      <x:c r="AR314" s="23" t="n">
        <x:v>1</x:v>
      </x:c>
      <x:c r="AS314" s="23" t="n">
        <x:f>MAX(0,ROUNDUP(MAX(0,AF314-AG314-AH314)/AR314-0.000000001,0)*AR314)</x:f>
        <x:v>1</x:v>
      </x:c>
      <x:c r="AT314" s="23" t="n">
        <x:v>0.039081323040488704</x:v>
      </x:c>
    </x:row>
    <x:row r="315" ht="64" customHeight="1">
      <x:c r="A315" s="10" t="str">
        <x:v>IEK</x:v>
      </x:c>
      <x:c r="B315" s="34" t="str">
        <x:v>щт-0001952</x:v>
      </x:c>
      <x:c r="C315" s="34"/>
      <x:c r="D315" s="13" t="str">
        <x:v>Ящик управления ЯУ 7</x:v>
      </x:c>
      <x:c r="E315" s="10" t="str">
        <x:v>шт</x:v>
      </x:c>
      <x:c r="F315" s="37" t="n">
        <x:f>AS315</x:f>
        <x:v>1</x:v>
      </x:c>
      <x:c r="G315" s="21" t="str">
        <x:f>IF(J315="Рассчитано",V315*(1-R315/100)-W315-P315-Q315,"н/д")</x:f>
        <x:v>н/д</x:v>
      </x:c>
      <x:c r="H315" s="13" t="str">
        <x:v>Высокий</x:v>
      </x:c>
      <x:c r="I315" s="13" t="str">
        <x:v>Критический</x:v>
      </x:c>
      <x:c r="J315" s="13" t="str">
        <x:f>IF(L315="","Укажите валюту",IF(NOT(ISNUMBER(K315)),"Укажите объём",IF(K315&lt;=0,"Укажите объём",IF(COUNT(M315:O315)&lt;3,"Нужны цены",IF(COUNT(P315:R315)&lt;3,"Нужны расходы",IF(OR(M315&lt;0,N315&lt;0,O315&lt;0,O315&gt;100,P315&lt;0,Q315&lt;0,R315&lt;0,R315&gt;100),"Проверьте значения","Рассчитано"))))))</x:f>
        <x:v>Нужны цены</x:v>
      </x:c>
      <x:c r="K315" s="36" t="n">
        <x:v>1</x:v>
      </x:c>
      <x:c r="L315" s="19" t="str">
        <x:v>KZT</x:v>
      </x:c>
      <x:c r="M315" s="22"/>
      <x:c r="N315" s="22"/>
      <x:c r="O315" s="28"/>
      <x:c r="P315" s="22"/>
      <x:c r="Q315" s="22"/>
      <x:c r="R315" s="28"/>
      <x:c r="S315" s="22"/>
      <x:c r="T315" s="37" t="n">
        <x:f>MIN(K315,AT315)</x:f>
        <x:v>0.2414788221429101</x:v>
      </x:c>
      <x:c r="U315" s="21" t="str">
        <x:f>IF(J315="Рассчитано",N315*(1-O315/100),"н/д")</x:f>
        <x:v>н/д</x:v>
      </x:c>
      <x:c r="V315" s="21" t="str">
        <x:f>IF(J315="Рассчитано",T315*U315,"н/д")</x:f>
        <x:v>н/д</x:v>
      </x:c>
      <x:c r="W315" s="21" t="str">
        <x:f>IF(J315="Рассчитано",T315*M315,"н/д")</x:f>
        <x:v>н/д</x:v>
      </x:c>
      <x:c r="X315" s="21" t="str">
        <x:f>IF(J315="Рассчитано",V315-W315,"н/д")</x:f>
        <x:v>н/д</x:v>
      </x:c>
      <x:c r="Y315" s="27" t="str">
        <x:f>IF(J315="Рассчитано",IF(V315&gt;0,G315/V315,"н/д"),"н/д")</x:f>
        <x:v>н/д</x:v>
      </x:c>
      <x:c r="Z315" s="21" t="str">
        <x:f>IF(J315="Рассчитано",K315*M315,"н/д")</x:f>
        <x:v>н/д</x:v>
      </x:c>
      <x:c r="AA315" s="21" t="str">
        <x:f>IF(J315="Рассчитано",(K315-T315)*M315,"н/д")</x:f>
        <x:v>н/д</x:v>
      </x:c>
      <x:c r="AB315" s="21" t="str">
        <x:f>IF(AND(J315="Рассчитано",ISNUMBER(S315)),K315*(S315-M315),"н/д")</x:f>
        <x:v>н/д</x:v>
      </x:c>
      <x:c r="AC315" s="21" t="str">
        <x:f>IF(AND(J315="Рассчитано",T315&gt;0,R315&lt;100),(W315+P315+Q315)/(T315*(1-R315/100)),"н/д")</x:f>
        <x:v>н/д</x:v>
      </x:c>
      <x:c r="AD315" s="10" t="str">
        <x:f>IF(ISNUMBER(G315),IF(G315&lt;0,"Убыток",IF(G315=0,"Без прибыли","Прибыль &gt; 0")),"Не оценён")</x:f>
        <x:v>Не оценён</x:v>
      </x:c>
      <x:c r="AE315" s="13" t="str">
        <x:f>IF(J315="Рассчитано","Выручка "&amp;TEXT(V315,"0.00")&amp;" - себестоимость "&amp;TEXT(W315,"0.00")&amp;" - комиссия "&amp;TEXT(V315*R315/100,"0.00")&amp;" - доставка "&amp;TEXT(P315,"0.00")&amp;" - прочие "&amp;TEXT(Q315,"0.00")&amp;" = "&amp;TEXT(G315,"0.00")&amp;" "&amp;L315,"Введите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5" s="24" t="n">
        <x:v>0.2414788221429101</x:v>
      </x:c>
      <x:c r="AG315" s="37" t="n">
        <x:v>0</x:v>
      </x:c>
      <x:c r="AH315" s="37" t="n">
        <x:v>0</x:v>
      </x:c>
      <x:c r="AI315" s="30" t="n">
        <x:v>46266</x:v>
      </x:c>
      <x:c r="AJ315" s="37"/>
      <x:c r="AK315" s="10" t="str">
        <x:v>неизвестно</x:v>
      </x:c>
      <x:c r="AL315" s="32" t="n">
        <x:v>0</x:v>
      </x:c>
      <x:c r="AM315" s="13" t="str">
        <x:v>Остаток на начало сентября; Резервы неизвестны; Нет артикула производителя; Нет ежедневных данных доступности. Нет запаса</x:v>
      </x:c>
      <x:c r="AN315" s="13" t="str">
        <x:v>Подтвердить наличие, срок и цену закупки</x:v>
      </x:c>
      <x:c r="AO315" s="13" t="str">
        <x:v>Прогноз 30 дней 0.24; остаток 0; поступления в срок 0; нехватка 1; заказ с учётом MOQ 1 шт. Остаток на начало сентября: требуется актуализация.</x:v>
      </x:c>
      <x:c r="AP315" s="13" t="str">
        <x:v>["blank_stock_assumed_zero", "category_missing", "daily_stockout_data_missing", "moq_missing", "new_order_lead_time_unknown", "reservations_unknown", "stale_stock", "supplier_sku_missing"]</x:v>
      </x:c>
      <x:c r="AQ315" s="10" t="str">
        <x:v>IEK:щт-0001952</x:v>
      </x:c>
      <x:c r="AR315" s="24" t="n">
        <x:v>1</x:v>
      </x:c>
      <x:c r="AS315" s="24" t="n">
        <x:f>MAX(0,ROUNDUP(MAX(0,AF315-AG315-AH315)/AR315-0.000000001,0)*AR315)</x:f>
        <x:v>1</x:v>
      </x:c>
      <x:c r="AT315" s="24" t="n">
        <x:v>0.2414788221429101</x:v>
      </x:c>
    </x:row>
    <x:row r="316" ht="64" customHeight="1">
      <x:c r="A316" s="11" t="str">
        <x:v>IEK</x:v>
      </x:c>
      <x:c r="B316" s="33" t="str">
        <x:v>ярп40227</x:v>
      </x:c>
      <x:c r="C316" s="33" t="str">
        <x:v>SVA30-3-0200-02</x:v>
      </x:c>
      <x:c r="D316" s="12" t="str">
        <x:v>ВА 88-35 (3ф) 200А 690В MASTER IEK</x:v>
      </x:c>
      <x:c r="E316" s="11" t="str">
        <x:v>шт</x:v>
      </x:c>
      <x:c r="F316" s="35" t="n">
        <x:f>AS316</x:f>
        <x:v>1</x:v>
      </x:c>
      <x:c r="G316" s="20" t="str">
        <x:f>IF(J316="Рассчитано",V316*(1-R316/100)-W316-P316-Q316,"н/д")</x:f>
        <x:v>н/д</x:v>
      </x:c>
      <x:c r="H316" s="12" t="str">
        <x:v>Высокий</x:v>
      </x:c>
      <x:c r="I316" s="12" t="str">
        <x:v>Критический</x:v>
      </x:c>
      <x:c r="J316" s="12" t="str">
        <x:f>IF(L316="","Укажите валюту",IF(NOT(ISNUMBER(K316)),"Укажите объём",IF(K316&lt;=0,"Укажите объём",IF(COUNT(M316:O316)&lt;3,"Нужны цены",IF(COUNT(P316:R316)&lt;3,"Нужны расходы",IF(OR(M316&lt;0,N316&lt;0,O316&lt;0,O316&gt;100,P316&lt;0,Q316&lt;0,R316&lt;0,R316&gt;100),"Проверьте значения","Рассчитано"))))))</x:f>
        <x:v>Нужны цены</x:v>
      </x:c>
      <x:c r="K316" s="36" t="n">
        <x:v>1</x:v>
      </x:c>
      <x:c r="L316" s="19" t="str">
        <x:v>KZT</x:v>
      </x:c>
      <x:c r="M316" s="22"/>
      <x:c r="N316" s="22"/>
      <x:c r="O316" s="28"/>
      <x:c r="P316" s="22"/>
      <x:c r="Q316" s="22"/>
      <x:c r="R316" s="28"/>
      <x:c r="S316" s="22"/>
      <x:c r="T316" s="35" t="n">
        <x:f>MIN(K316,AT316)</x:f>
        <x:v>0.06960368702609994</x:v>
      </x:c>
      <x:c r="U316" s="20" t="str">
        <x:f>IF(J316="Рассчитано",N316*(1-O316/100),"н/д")</x:f>
        <x:v>н/д</x:v>
      </x:c>
      <x:c r="V316" s="20" t="str">
        <x:f>IF(J316="Рассчитано",T316*U316,"н/д")</x:f>
        <x:v>н/д</x:v>
      </x:c>
      <x:c r="W316" s="20" t="str">
        <x:f>IF(J316="Рассчитано",T316*M316,"н/д")</x:f>
        <x:v>н/д</x:v>
      </x:c>
      <x:c r="X316" s="20" t="str">
        <x:f>IF(J316="Рассчитано",V316-W316,"н/д")</x:f>
        <x:v>н/д</x:v>
      </x:c>
      <x:c r="Y316" s="26" t="str">
        <x:f>IF(J316="Рассчитано",IF(V316&gt;0,G316/V316,"н/д"),"н/д")</x:f>
        <x:v>н/д</x:v>
      </x:c>
      <x:c r="Z316" s="20" t="str">
        <x:f>IF(J316="Рассчитано",K316*M316,"н/д")</x:f>
        <x:v>н/д</x:v>
      </x:c>
      <x:c r="AA316" s="20" t="str">
        <x:f>IF(J316="Рассчитано",(K316-T316)*M316,"н/д")</x:f>
        <x:v>н/д</x:v>
      </x:c>
      <x:c r="AB316" s="20" t="str">
        <x:f>IF(AND(J316="Рассчитано",ISNUMBER(S316)),K316*(S316-M316),"н/д")</x:f>
        <x:v>н/д</x:v>
      </x:c>
      <x:c r="AC316" s="20" t="str">
        <x:f>IF(AND(J316="Рассчитано",T316&gt;0,R316&lt;100),(W316+P316+Q316)/(T316*(1-R316/100)),"н/д")</x:f>
        <x:v>н/д</x:v>
      </x:c>
      <x:c r="AD316" s="11" t="str">
        <x:f>IF(ISNUMBER(G316),IF(G316&lt;0,"Убыток",IF(G316=0,"Без прибыли","Прибыль &gt; 0")),"Не оценён")</x:f>
        <x:v>Не оценён</x:v>
      </x:c>
      <x:c r="AE316" s="12" t="str">
        <x:f>IF(J316="Рассчитано","Выручка "&amp;TEXT(V316,"0.00")&amp;" - себестоимость "&amp;TEXT(W316,"0.00")&amp;" - комиссия "&amp;TEXT(V316*R316/100,"0.00")&amp;" - доставка "&amp;TEXT(P316,"0.00")&amp;" - прочие "&amp;TEXT(Q316,"0.00")&amp;" = "&amp;TEXT(G316,"0.00")&amp;" "&amp;L316,"Введите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6" s="23" t="n">
        <x:v>0.06960368702609994</x:v>
      </x:c>
      <x:c r="AG316" s="35" t="n">
        <x:v>0</x:v>
      </x:c>
      <x:c r="AH316" s="35" t="n">
        <x:v>0</x:v>
      </x:c>
      <x:c r="AI316" s="29" t="n">
        <x:v>46266</x:v>
      </x:c>
      <x:c r="AJ316" s="35"/>
      <x:c r="AK316" s="11" t="str">
        <x:v>неизвестно</x:v>
      </x:c>
      <x:c r="AL316" s="31" t="n">
        <x:v>0</x:v>
      </x:c>
      <x:c r="AM316" s="12" t="str">
        <x:v>Остаток на начало сентября; Резервы неизвестны; Нет ежедневных данных доступности. Нет запаса</x:v>
      </x:c>
      <x:c r="AN316" s="12" t="str">
        <x:v>Подтвердить наличие, срок и цену закупки</x:v>
      </x:c>
      <x:c r="AO316" s="12" t="str">
        <x:v>Прогноз 30 дней 0.07; остаток 0; поступления в срок 0; нехватка 1; заказ с учётом MOQ 1 шт. Остаток на начало сентября: требуется актуализация.</x:v>
      </x:c>
      <x:c r="AP316" s="12" t="str">
        <x:v>["blank_stock_assumed_zero", "category_missing", "daily_stockout_data_missing", "moq_missing", "new_order_lead_time_unknown", "reservations_unknown", "stale_stock"]</x:v>
      </x:c>
      <x:c r="AQ316" s="11" t="str">
        <x:v>IEK:ярп40227</x:v>
      </x:c>
      <x:c r="AR316" s="23" t="n">
        <x:v>1</x:v>
      </x:c>
      <x:c r="AS316" s="23" t="n">
        <x:f>MAX(0,ROUNDUP(MAX(0,AF316-AG316-AH316)/AR316-0.000000001,0)*AR316)</x:f>
        <x:v>1</x:v>
      </x:c>
      <x:c r="AT316" s="23" t="n">
        <x:v>0.06960368702609994</x:v>
      </x:c>
    </x:row>
    <x:row r="317" ht="64" customHeight="1">
      <x:c r="A317" s="10" t="str">
        <x:v>IEK</x:v>
      </x:c>
      <x:c r="B317" s="34" t="str">
        <x:v>ярп40255</x:v>
      </x:c>
      <x:c r="C317" s="34" t="str">
        <x:v>ERA12-K03-16-54</x:v>
      </x:c>
      <x:c r="D317" s="13" t="str">
        <x:v>Розетка 1-ая з/к о/у 16А IP54 AQUATIC РСш12-2-А IEK</x:v>
      </x:c>
      <x:c r="E317" s="10" t="str">
        <x:v>шт</x:v>
      </x:c>
      <x:c r="F317" s="37" t="n">
        <x:f>IF(AS317&gt;0,MAX(AS317,AJ317),0)</x:f>
        <x:v>19</x:v>
      </x:c>
      <x:c r="G317" s="21" t="str">
        <x:f>IF(J317="Рассчитано",V317*(1-R317/100)-W317-P317-Q317,"н/д")</x:f>
        <x:v>н/д</x:v>
      </x:c>
      <x:c r="H317" s="13" t="str">
        <x:v>Высокий</x:v>
      </x:c>
      <x:c r="I317" s="13" t="str">
        <x:v>Критический</x:v>
      </x:c>
      <x:c r="J317" s="13" t="str">
        <x:f>IF(L317="","Укажите валюту",IF(NOT(ISNUMBER(K317)),"Укажите объём",IF(K317&lt;=0,"Укажите объём",IF(COUNT(M317:O317)&lt;3,"Нужны цены",IF(COUNT(P317:R317)&lt;3,"Нужны расходы",IF(OR(M317&lt;0,N317&lt;0,O317&lt;0,O317&gt;100,P317&lt;0,Q317&lt;0,R317&lt;0,R317&gt;100),"Проверьте значения","Рассчитано"))))))</x:f>
        <x:v>Нужны цены</x:v>
      </x:c>
      <x:c r="K317" s="36" t="n">
        <x:v>19</x:v>
      </x:c>
      <x:c r="L317" s="19" t="str">
        <x:v>KZT</x:v>
      </x:c>
      <x:c r="M317" s="22"/>
      <x:c r="N317" s="22"/>
      <x:c r="O317" s="28"/>
      <x:c r="P317" s="22"/>
      <x:c r="Q317" s="22"/>
      <x:c r="R317" s="28"/>
      <x:c r="S317" s="22"/>
      <x:c r="T317" s="37" t="n">
        <x:f>MIN(K317,AT317)</x:f>
        <x:v>18.433215530200748</x:v>
      </x:c>
      <x:c r="U317" s="21" t="str">
        <x:f>IF(J317="Рассчитано",N317*(1-O317/100),"н/д")</x:f>
        <x:v>н/д</x:v>
      </x:c>
      <x:c r="V317" s="21" t="str">
        <x:f>IF(J317="Рассчитано",T317*U317,"н/д")</x:f>
        <x:v>н/д</x:v>
      </x:c>
      <x:c r="W317" s="21" t="str">
        <x:f>IF(J317="Рассчитано",T317*M317,"н/д")</x:f>
        <x:v>н/д</x:v>
      </x:c>
      <x:c r="X317" s="21" t="str">
        <x:f>IF(J317="Рассчитано",V317-W317,"н/д")</x:f>
        <x:v>н/д</x:v>
      </x:c>
      <x:c r="Y317" s="27" t="str">
        <x:f>IF(J317="Рассчитано",IF(V317&gt;0,G317/V317,"н/д"),"н/д")</x:f>
        <x:v>н/д</x:v>
      </x:c>
      <x:c r="Z317" s="21" t="str">
        <x:f>IF(J317="Рассчитано",K317*M317,"н/д")</x:f>
        <x:v>н/д</x:v>
      </x:c>
      <x:c r="AA317" s="21" t="str">
        <x:f>IF(J317="Рассчитано",(K317-T317)*M317,"н/д")</x:f>
        <x:v>н/д</x:v>
      </x:c>
      <x:c r="AB317" s="21" t="str">
        <x:f>IF(AND(J317="Рассчитано",ISNUMBER(S317)),K317*(S317-M317),"н/д")</x:f>
        <x:v>н/д</x:v>
      </x:c>
      <x:c r="AC317" s="21" t="str">
        <x:f>IF(AND(J317="Рассчитано",T317&gt;0,R317&lt;100),(W317+P317+Q317)/(T317*(1-R317/100)),"н/д")</x:f>
        <x:v>н/д</x:v>
      </x:c>
      <x:c r="AD317" s="10" t="str">
        <x:f>IF(ISNUMBER(G317),IF(G317&lt;0,"Убыток",IF(G317=0,"Без прибыли","Прибыль &gt; 0")),"Не оценён")</x:f>
        <x:v>Не оценён</x:v>
      </x:c>
      <x:c r="AE317" s="13" t="str">
        <x:f>IF(J317="Рассчитано","Выручка "&amp;TEXT(V317,"0.00")&amp;" - себестоимость "&amp;TEXT(W317,"0.00")&amp;" - комиссия "&amp;TEXT(V317*R317/100,"0.00")&amp;" - доставка "&amp;TEXT(P317,"0.00")&amp;" - прочие "&amp;TEXT(Q317,"0.00")&amp;" = "&amp;TEXT(G317,"0.00")&amp;" "&amp;L317,"Введите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7" s="24" t="n">
        <x:v>18.433215530200748</x:v>
      </x:c>
      <x:c r="AG317" s="37" t="n">
        <x:v>0</x:v>
      </x:c>
      <x:c r="AH317" s="37" t="n">
        <x:v>0</x:v>
      </x:c>
      <x:c r="AI317" s="30" t="n">
        <x:v>46266</x:v>
      </x:c>
      <x:c r="AJ317" s="37" t="n">
        <x:v>10</x:v>
      </x:c>
      <x:c r="AK317" s="10" t="str">
        <x:v>минимум</x:v>
      </x:c>
      <x:c r="AL317" s="32" t="n">
        <x:v>0</x:v>
      </x:c>
      <x:c r="AM317" s="13" t="str">
        <x:v>Остаток на начало сентября; Резервы неизвестны; Детальные и месячные продажи расходятся; Stockout оценён по месячным снимкам; Нет ежедневных данных доступности. Нет запаса</x:v>
      </x:c>
      <x:c r="AN317" s="13" t="str">
        <x:v>Подтвердить наличие, срок и цену закупки</x:v>
      </x:c>
      <x:c r="AO317" s="13" t="str">
        <x:v>Прогноз 30 дней 18.43; остаток 0; поступления в срок 0; нехватка 19; заказ с учётом MOQ 19 шт. Остаток на начало сентября: требуется актуализация.</x:v>
      </x:c>
      <x:c r="AP317" s="13" t="str">
        <x:v>["blank_stock_assumed_zero", "category_missing", "daily_stockout_data_missing", "large_orders_detected", "negative_net_sales_clipped_for_forecast", "new_order_lead_time_unknown", "reservations_unknown", "stale_stock", "stockout_proxy_used", "transaction_month_mismatch"]</x:v>
      </x:c>
      <x:c r="AQ317" s="10" t="str">
        <x:v>IEK:ярп40255</x:v>
      </x:c>
      <x:c r="AR317" s="24" t="n">
        <x:v>1</x:v>
      </x:c>
      <x:c r="AS317" s="24" t="n">
        <x:f>MAX(0,ROUNDUP(MAX(0,AF317-AG317-AH317)/AR317-0.000000001,0)*AR317)</x:f>
        <x:v>19</x:v>
      </x:c>
      <x:c r="AT317" s="24" t="n">
        <x:v>18.433215530200748</x:v>
      </x:c>
    </x:row>
    <x:row r="318" ht="64" customHeight="1">
      <x:c r="A318" s="11" t="str">
        <x:v>IEK</x:v>
      </x:c>
      <x:c r="B318" s="33" t="str">
        <x:v>ярп40256</x:v>
      </x:c>
      <x:c r="C318" s="33" t="str">
        <x:v>ERA22-K03-16-54</x:v>
      </x:c>
      <x:c r="D318" s="12" t="str">
        <x:v>Розетка 2-ая з/к о/у 16А IP54 AQUATIC РСш22-2-А IEK</x:v>
      </x:c>
      <x:c r="E318" s="11" t="str">
        <x:v>шт</x:v>
      </x:c>
      <x:c r="F318" s="35" t="n">
        <x:f>IF(AS318&gt;0,MAX(AS318,AJ318),0)</x:f>
        <x:v>34</x:v>
      </x:c>
      <x:c r="G318" s="20" t="str">
        <x:f>IF(J318="Рассчитано",V318*(1-R318/100)-W318-P318-Q318,"н/д")</x:f>
        <x:v>н/д</x:v>
      </x:c>
      <x:c r="H318" s="12" t="str">
        <x:v>Высокий</x:v>
      </x:c>
      <x:c r="I318" s="12" t="str">
        <x:v>Критический</x:v>
      </x:c>
      <x:c r="J318" s="12" t="str">
        <x:f>IF(L318="","Укажите валюту",IF(NOT(ISNUMBER(K318)),"Укажите объём",IF(K318&lt;=0,"Укажите объём",IF(COUNT(M318:O318)&lt;3,"Нужны цены",IF(COUNT(P318:R318)&lt;3,"Нужны расходы",IF(OR(M318&lt;0,N318&lt;0,O318&lt;0,O318&gt;100,P318&lt;0,Q318&lt;0,R318&lt;0,R318&gt;100),"Проверьте значения","Рассчитано"))))))</x:f>
        <x:v>Нужны цены</x:v>
      </x:c>
      <x:c r="K318" s="36" t="n">
        <x:v>34</x:v>
      </x:c>
      <x:c r="L318" s="19" t="str">
        <x:v>KZT</x:v>
      </x:c>
      <x:c r="M318" s="22"/>
      <x:c r="N318" s="22"/>
      <x:c r="O318" s="28"/>
      <x:c r="P318" s="22"/>
      <x:c r="Q318" s="22"/>
      <x:c r="R318" s="28"/>
      <x:c r="S318" s="22"/>
      <x:c r="T318" s="35" t="n">
        <x:f>MIN(K318,AT318)</x:f>
        <x:v>33.266130260027495</x:v>
      </x:c>
      <x:c r="U318" s="20" t="str">
        <x:f>IF(J318="Рассчитано",N318*(1-O318/100),"н/д")</x:f>
        <x:v>н/д</x:v>
      </x:c>
      <x:c r="V318" s="20" t="str">
        <x:f>IF(J318="Рассчитано",T318*U318,"н/д")</x:f>
        <x:v>н/д</x:v>
      </x:c>
      <x:c r="W318" s="20" t="str">
        <x:f>IF(J318="Рассчитано",T318*M318,"н/д")</x:f>
        <x:v>н/д</x:v>
      </x:c>
      <x:c r="X318" s="20" t="str">
        <x:f>IF(J318="Рассчитано",V318-W318,"н/д")</x:f>
        <x:v>н/д</x:v>
      </x:c>
      <x:c r="Y318" s="26" t="str">
        <x:f>IF(J318="Рассчитано",IF(V318&gt;0,G318/V318,"н/д"),"н/д")</x:f>
        <x:v>н/д</x:v>
      </x:c>
      <x:c r="Z318" s="20" t="str">
        <x:f>IF(J318="Рассчитано",K318*M318,"н/д")</x:f>
        <x:v>н/д</x:v>
      </x:c>
      <x:c r="AA318" s="20" t="str">
        <x:f>IF(J318="Рассчитано",(K318-T318)*M318,"н/д")</x:f>
        <x:v>н/д</x:v>
      </x:c>
      <x:c r="AB318" s="20" t="str">
        <x:f>IF(AND(J318="Рассчитано",ISNUMBER(S318)),K318*(S318-M318),"н/д")</x:f>
        <x:v>н/д</x:v>
      </x:c>
      <x:c r="AC318" s="20" t="str">
        <x:f>IF(AND(J318="Рассчитано",T318&gt;0,R318&lt;100),(W318+P318+Q318)/(T318*(1-R318/100)),"н/д")</x:f>
        <x:v>н/д</x:v>
      </x:c>
      <x:c r="AD318" s="11" t="str">
        <x:f>IF(ISNUMBER(G318),IF(G318&lt;0,"Убыток",IF(G318=0,"Без прибыли","Прибыль &gt; 0")),"Не оценён")</x:f>
        <x:v>Не оценён</x:v>
      </x:c>
      <x:c r="AE318" s="12" t="str">
        <x:f>IF(J318="Рассчитано","Выручка "&amp;TEXT(V318,"0.00")&amp;" - себестоимость "&amp;TEXT(W318,"0.00")&amp;" - комиссия "&amp;TEXT(V318*R318/100,"0.00")&amp;" - доставка "&amp;TEXT(P318,"0.00")&amp;" - прочие "&amp;TEXT(Q318,"0.00")&amp;" = "&amp;TEXT(G318,"0.00")&amp;" "&amp;L318,"Введите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8" s="23" t="n">
        <x:v>33.266130260027495</x:v>
      </x:c>
      <x:c r="AG318" s="35" t="n">
        <x:v>0</x:v>
      </x:c>
      <x:c r="AH318" s="35" t="n">
        <x:v>0</x:v>
      </x:c>
      <x:c r="AI318" s="29" t="n">
        <x:v>46266</x:v>
      </x:c>
      <x:c r="AJ318" s="35" t="n">
        <x:v>5</x:v>
      </x:c>
      <x:c r="AK318" s="11" t="str">
        <x:v>минимум</x:v>
      </x:c>
      <x:c r="AL318" s="31" t="n">
        <x:v>0</x:v>
      </x:c>
      <x:c r="AM318" s="12" t="str">
        <x:v>Остаток на начало сентября; Резервы неизвестны; Детальные и месячные продажи расходятся; Stockout оценён по месячным снимкам; Нет ежедневных данных доступности. Нет запаса</x:v>
      </x:c>
      <x:c r="AN318" s="12" t="str">
        <x:v>Подтвердить наличие, срок и цену закупки</x:v>
      </x:c>
      <x:c r="AO318" s="12" t="str">
        <x:v>Прогноз 30 дней 33.27; остаток 0; поступления в срок 0; нехватка 34; заказ с учётом MOQ 34 шт. Остаток на начало сентября: требуется актуализация.</x:v>
      </x:c>
      <x:c r="AP318" s="12" t="str">
        <x:v>["blank_stock_assumed_zero", "category_missing", "daily_stockout_data_missing", "large_orders_detected", "new_order_lead_time_unknown", "reservations_unknown", "stale_stock", "stockout_proxy_used", "transaction_month_mismatch"]</x:v>
      </x:c>
      <x:c r="AQ318" s="11" t="str">
        <x:v>IEK:ярп40256</x:v>
      </x:c>
      <x:c r="AR318" s="23" t="n">
        <x:v>1</x:v>
      </x:c>
      <x:c r="AS318" s="23" t="n">
        <x:f>MAX(0,ROUNDUP(MAX(0,AF318-AG318-AH318)/AR318-0.000000001,0)*AR318)</x:f>
        <x:v>34</x:v>
      </x:c>
      <x:c r="AT318" s="23" t="n">
        <x:v>33.266130260027495</x:v>
      </x:c>
    </x:row>
    <x:row r="319" ht="64" customHeight="1">
      <x:c r="A319" s="10" t="str">
        <x:v>IEK</x:v>
      </x:c>
      <x:c r="B319" s="34" t="str">
        <x:v>ярп40267</x:v>
      </x:c>
      <x:c r="C319" s="34" t="str">
        <x:v>LSSA1-01-2-220-52-BASE</x:v>
      </x:c>
      <x:c r="D319" s="13" t="str">
        <x:v>LED ДБА ОСНОВАНИЕ без пиктограммы (белый) 220В 301х101х20 IP52 IEK !</x:v>
      </x:c>
      <x:c r="E319" s="10" t="str">
        <x:v>шт</x:v>
      </x:c>
      <x:c r="F319" s="37" t="n">
        <x:f>AS319</x:f>
        <x:v>1</x:v>
      </x:c>
      <x:c r="G319" s="21" t="str">
        <x:f>IF(J319="Рассчитано",V319*(1-R319/100)-W319-P319-Q319,"н/д")</x:f>
        <x:v>н/д</x:v>
      </x:c>
      <x:c r="H319" s="13" t="str">
        <x:v>Высокий</x:v>
      </x:c>
      <x:c r="I319" s="13" t="str">
        <x:v>Критический</x:v>
      </x:c>
      <x:c r="J319" s="13" t="str">
        <x:f>IF(L319="","Укажите валюту",IF(NOT(ISNUMBER(K319)),"Укажите объём",IF(K319&lt;=0,"Укажите объём",IF(COUNT(M319:O319)&lt;3,"Нужны цены",IF(COUNT(P319:R319)&lt;3,"Нужны расходы",IF(OR(M319&lt;0,N319&lt;0,O319&lt;0,O319&gt;100,P319&lt;0,Q319&lt;0,R319&lt;0,R319&gt;100),"Проверьте значения","Рассчитано"))))))</x:f>
        <x:v>Нужны цены</x:v>
      </x:c>
      <x:c r="K319" s="36" t="n">
        <x:v>1</x:v>
      </x:c>
      <x:c r="L319" s="19" t="str">
        <x:v>KZT</x:v>
      </x:c>
      <x:c r="M319" s="22"/>
      <x:c r="N319" s="22"/>
      <x:c r="O319" s="28"/>
      <x:c r="P319" s="22"/>
      <x:c r="Q319" s="22"/>
      <x:c r="R319" s="28"/>
      <x:c r="S319" s="22"/>
      <x:c r="T319" s="37" t="n">
        <x:f>MIN(K319,AT319)</x:f>
        <x:v>0.10257594619438344</x:v>
      </x:c>
      <x:c r="U319" s="21" t="str">
        <x:f>IF(J319="Рассчитано",N319*(1-O319/100),"н/д")</x:f>
        <x:v>н/д</x:v>
      </x:c>
      <x:c r="V319" s="21" t="str">
        <x:f>IF(J319="Рассчитано",T319*U319,"н/д")</x:f>
        <x:v>н/д</x:v>
      </x:c>
      <x:c r="W319" s="21" t="str">
        <x:f>IF(J319="Рассчитано",T319*M319,"н/д")</x:f>
        <x:v>н/д</x:v>
      </x:c>
      <x:c r="X319" s="21" t="str">
        <x:f>IF(J319="Рассчитано",V319-W319,"н/д")</x:f>
        <x:v>н/д</x:v>
      </x:c>
      <x:c r="Y319" s="27" t="str">
        <x:f>IF(J319="Рассчитано",IF(V319&gt;0,G319/V319,"н/д"),"н/д")</x:f>
        <x:v>н/д</x:v>
      </x:c>
      <x:c r="Z319" s="21" t="str">
        <x:f>IF(J319="Рассчитано",K319*M319,"н/д")</x:f>
        <x:v>н/д</x:v>
      </x:c>
      <x:c r="AA319" s="21" t="str">
        <x:f>IF(J319="Рассчитано",(K319-T319)*M319,"н/д")</x:f>
        <x:v>н/д</x:v>
      </x:c>
      <x:c r="AB319" s="21" t="str">
        <x:f>IF(AND(J319="Рассчитано",ISNUMBER(S319)),K319*(S319-M319),"н/д")</x:f>
        <x:v>н/д</x:v>
      </x:c>
      <x:c r="AC319" s="21" t="str">
        <x:f>IF(AND(J319="Рассчитано",T319&gt;0,R319&lt;100),(W319+P319+Q319)/(T319*(1-R319/100)),"н/д")</x:f>
        <x:v>н/д</x:v>
      </x:c>
      <x:c r="AD319" s="10" t="str">
        <x:f>IF(ISNUMBER(G319),IF(G319&lt;0,"Убыток",IF(G319=0,"Без прибыли","Прибыль &gt; 0")),"Не оценён")</x:f>
        <x:v>Не оценён</x:v>
      </x:c>
      <x:c r="AE319" s="13" t="str">
        <x:f>IF(J319="Рассчитано","Выручка "&amp;TEXT(V319,"0.00")&amp;" - себестоимость "&amp;TEXT(W319,"0.00")&amp;" - комиссия "&amp;TEXT(V319*R319/100,"0.00")&amp;" - доставка "&amp;TEXT(P319,"0.00")&amp;" - прочие "&amp;TEXT(Q319,"0.00")&amp;" = "&amp;TEXT(G319,"0.00")&amp;" "&amp;L319,"Введите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19" s="24" t="n">
        <x:v>0.10257594619438344</x:v>
      </x:c>
      <x:c r="AG319" s="37" t="n">
        <x:v>0</x:v>
      </x:c>
      <x:c r="AH319" s="37" t="n">
        <x:v>0</x:v>
      </x:c>
      <x:c r="AI319" s="30" t="n">
        <x:v>46266</x:v>
      </x:c>
      <x:c r="AJ319" s="37"/>
      <x:c r="AK319" s="10" t="str">
        <x:v>неизвестно</x:v>
      </x:c>
      <x:c r="AL319" s="32" t="n">
        <x:v>0</x:v>
      </x:c>
      <x:c r="AM319" s="13" t="str">
        <x:v>Остаток на начало сентября; Резервы неизвестны; Нет ежедневных данных доступности. Нет запаса</x:v>
      </x:c>
      <x:c r="AN319" s="13" t="str">
        <x:v>Подтвердить наличие, срок и цену закупки</x:v>
      </x:c>
      <x:c r="AO319" s="13" t="str">
        <x:v>Прогноз 30 дней 0.10; остаток 0; поступления в срок 0; нехватка 1; заказ с учётом MOQ 1 шт. Остаток на начало сентября: требуется актуализация.</x:v>
      </x:c>
      <x:c r="AP319" s="13" t="str">
        <x:v>["blank_stock_assumed_zero", "category_missing", "daily_stockout_data_missing", "moq_missing", "new_order_lead_time_unknown", "reservations_unknown", "stale_stock"]</x:v>
      </x:c>
      <x:c r="AQ319" s="10" t="str">
        <x:v>IEK:ярп40267</x:v>
      </x:c>
      <x:c r="AR319" s="24" t="n">
        <x:v>1</x:v>
      </x:c>
      <x:c r="AS319" s="24" t="n">
        <x:f>MAX(0,ROUNDUP(MAX(0,AF319-AG319-AH319)/AR319-0.000000001,0)*AR319)</x:f>
        <x:v>1</x:v>
      </x:c>
      <x:c r="AT319" s="24" t="n">
        <x:v>0.10257594619438344</x:v>
      </x:c>
    </x:row>
    <x:row r="320" ht="64" customHeight="1">
      <x:c r="A320" s="11" t="str">
        <x:v>Systeme Electric</x:v>
      </x:c>
      <x:c r="B320" s="33" t="str">
        <x:v>010400433_</x:v>
      </x:c>
      <x:c r="C320" s="33" t="str">
        <x:v>EZ9E108S2SRU</x:v>
      </x:c>
      <x:c r="D320" s="12" t="str">
        <x:v>City 9 ЩРН-П  8 Прозрач./дв. Systeme Electric</x:v>
      </x:c>
      <x:c r="E320" s="11" t="str">
        <x:v>шт</x:v>
      </x:c>
      <x:c r="F320" s="35" t="n">
        <x:f>IF(AS320&gt;0,ROUNDUP(AS320/AJ320-0.000000001,0)*AJ320,0)</x:f>
        <x:v>3</x:v>
      </x:c>
      <x:c r="G320" s="20" t="str">
        <x:f>IF(J320="Рассчитано",V320*(1-R320/100)-W320-P320-Q320,"н/д")</x:f>
        <x:v>н/д</x:v>
      </x:c>
      <x:c r="H320" s="12" t="str">
        <x:v>Средний</x:v>
      </x:c>
      <x:c r="I320" s="12" t="str">
        <x:v>Средний</x:v>
      </x:c>
      <x:c r="J320" s="12" t="str">
        <x:f>IF(L320="","Укажите валюту",IF(NOT(ISNUMBER(K320)),"Укажите объём",IF(K320&lt;=0,"Укажите объём",IF(COUNT(M320:O320)&lt;3,"Нужны цены",IF(COUNT(P320:R320)&lt;3,"Нужны расходы",IF(OR(M320&lt;0,N320&lt;0,O320&lt;0,O320&gt;100,P320&lt;0,Q320&lt;0,R320&lt;0,R320&gt;100),"Проверьте значения","Рассчитано"))))))</x:f>
        <x:v>Нужны цены</x:v>
      </x:c>
      <x:c r="K320" s="36" t="n">
        <x:v>3</x:v>
      </x:c>
      <x:c r="L320" s="19" t="str">
        <x:v>KZT</x:v>
      </x:c>
      <x:c r="M320" s="22"/>
      <x:c r="N320" s="22"/>
      <x:c r="O320" s="28"/>
      <x:c r="P320" s="22"/>
      <x:c r="Q320" s="22"/>
      <x:c r="R320" s="28"/>
      <x:c r="S320" s="22"/>
      <x:c r="T320" s="35" t="n">
        <x:f>MIN(K320,AT320)</x:f>
        <x:v>2.0526595799730813</x:v>
      </x:c>
      <x:c r="U320" s="20" t="str">
        <x:f>IF(J320="Рассчитано",N320*(1-O320/100),"н/д")</x:f>
        <x:v>н/д</x:v>
      </x:c>
      <x:c r="V320" s="20" t="str">
        <x:f>IF(J320="Рассчитано",T320*U320,"н/д")</x:f>
        <x:v>н/д</x:v>
      </x:c>
      <x:c r="W320" s="20" t="str">
        <x:f>IF(J320="Рассчитано",T320*M320,"н/д")</x:f>
        <x:v>н/д</x:v>
      </x:c>
      <x:c r="X320" s="20" t="str">
        <x:f>IF(J320="Рассчитано",V320-W320,"н/д")</x:f>
        <x:v>н/д</x:v>
      </x:c>
      <x:c r="Y320" s="26" t="str">
        <x:f>IF(J320="Рассчитано",IF(V320&gt;0,G320/V320,"н/д"),"н/д")</x:f>
        <x:v>н/д</x:v>
      </x:c>
      <x:c r="Z320" s="20" t="str">
        <x:f>IF(J320="Рассчитано",K320*M320,"н/д")</x:f>
        <x:v>н/д</x:v>
      </x:c>
      <x:c r="AA320" s="20" t="str">
        <x:f>IF(J320="Рассчитано",(K320-T320)*M320,"н/д")</x:f>
        <x:v>н/д</x:v>
      </x:c>
      <x:c r="AB320" s="20" t="str">
        <x:f>IF(AND(J320="Рассчитано",ISNUMBER(S320)),K320*(S320-M320),"н/д")</x:f>
        <x:v>н/д</x:v>
      </x:c>
      <x:c r="AC320" s="20" t="str">
        <x:f>IF(AND(J320="Рассчитано",T320&gt;0,R320&lt;100),(W320+P320+Q320)/(T320*(1-R320/100)),"н/д")</x:f>
        <x:v>н/д</x:v>
      </x:c>
      <x:c r="AD320" s="11" t="str">
        <x:f>IF(ISNUMBER(G320),IF(G320&lt;0,"Убыток",IF(G320=0,"Без прибыли","Прибыль &gt; 0")),"Не оценён")</x:f>
        <x:v>Не оценён</x:v>
      </x:c>
      <x:c r="AE320" s="12" t="str">
        <x:f>IF(J320="Рассчитано","Выручка "&amp;TEXT(V320,"0.00")&amp;" - себестоимость "&amp;TEXT(W320,"0.00")&amp;" - комиссия "&amp;TEXT(V320*R320/100,"0.00")&amp;" - доставка "&amp;TEXT(P320,"0.00")&amp;" - прочие "&amp;TEXT(Q320,"0.00")&amp;" = "&amp;TEXT(G320,"0.00")&amp;" "&amp;L320,"Введите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0" s="23" t="n">
        <x:v>29.05265957997308</x:v>
      </x:c>
      <x:c r="AG320" s="35" t="n">
        <x:v>27</x:v>
      </x:c>
      <x:c r="AH320" s="35" t="n">
        <x:v>0</x:v>
      </x:c>
      <x:c r="AI320" s="29" t="n">
        <x:v>46287</x:v>
      </x:c>
      <x:c r="AJ320" s="35" t="n">
        <x:v>1</x:v>
      </x:c>
      <x:c r="AK320" s="11" t="str">
        <x:v>кратность</x:v>
      </x:c>
      <x:c r="AL320" s="31" t="n">
        <x:v>27.880407911376164</x:v>
      </x:c>
      <x:c r="AM320" s="12" t="str">
        <x:v>Детальные и месячные продажи расходятся; Нет ежедневных данных доступности. Запаса примерно на 27.9 дн. без поступлений</x:v>
      </x:c>
      <x:c r="AN320" s="12" t="str">
        <x:v>Подтвердить наличие, срок и цену закупки</x:v>
      </x:c>
      <x:c r="AO320" s="12" t="str">
        <x:v>Прогноз 30 дней 29.05; остаток 27; поступления в срок 0; нехватка 3; заказ с учётом MOQ 3 шт.</x:v>
      </x:c>
      <x:c r="AP320" s="12" t="str">
        <x:v>["daily_stockout_data_missing", "large_orders_detected", "negative_net_sales_clipped_for_forecast", "new_order_lead_time_unknown", "transaction_month_mismatch"]</x:v>
      </x:c>
      <x:c r="AQ320" s="11" t="str">
        <x:v>SE:010400433_</x:v>
      </x:c>
      <x:c r="AR320" s="23" t="n">
        <x:v>1</x:v>
      </x:c>
      <x:c r="AS320" s="23" t="n">
        <x:f>MAX(0,ROUNDUP(MAX(0,AF320-AG320-AH320)/AR320-0.000000001,0)*AR320)</x:f>
        <x:v>3</x:v>
      </x:c>
      <x:c r="AT320" s="23" t="n">
        <x:v>2.0526595799730813</x:v>
      </x:c>
    </x:row>
    <x:row r="321" ht="64" customHeight="1">
      <x:c r="A321" s="10" t="str">
        <x:v>Systeme Electric</x:v>
      </x:c>
      <x:c r="B321" s="34" t="str">
        <x:v>030200003_</x:v>
      </x:c>
      <x:c r="C321" s="34" t="str">
        <x:v>A56-007-B</x:v>
      </x:c>
      <x:c r="D321" s="13" t="str">
        <x:v>S242 2кл.инд  о/у 6А IP20  "Прима" ВА 56-007-б (130) !!!</x:v>
      </x:c>
      <x:c r="E321" s="10" t="str">
        <x:v>шт</x:v>
      </x:c>
      <x:c r="F321" s="37" t="n">
        <x:f>IF(AS321&gt;0,ROUNDUP(AS321/AJ321-0.000000001,0)*AJ321,0)</x:f>
        <x:v>10</x:v>
      </x:c>
      <x:c r="G321" s="21" t="str">
        <x:f>IF(J321="Рассчитано",V321*(1-R321/100)-W321-P321-Q321,"н/д")</x:f>
        <x:v>н/д</x:v>
      </x:c>
      <x:c r="H321" s="13" t="str">
        <x:v>Высокий</x:v>
      </x:c>
      <x:c r="I321" s="13" t="str">
        <x:v>Высокий</x:v>
      </x:c>
      <x:c r="J321" s="13" t="str">
        <x:f>IF(L321="","Укажите валюту",IF(NOT(ISNUMBER(K321)),"Укажите объём",IF(K321&lt;=0,"Укажите объём",IF(COUNT(M321:O321)&lt;3,"Нужны цены",IF(COUNT(P321:R321)&lt;3,"Нужны расходы",IF(OR(M321&lt;0,N321&lt;0,O321&lt;0,O321&gt;100,P321&lt;0,Q321&lt;0,R321&lt;0,R321&gt;100),"Проверьте значения","Рассчитано"))))))</x:f>
        <x:v>Нужны цены</x:v>
      </x:c>
      <x:c r="K321" s="36" t="n">
        <x:v>10</x:v>
      </x:c>
      <x:c r="L321" s="19" t="str">
        <x:v>KZT</x:v>
      </x:c>
      <x:c r="M321" s="22"/>
      <x:c r="N321" s="22"/>
      <x:c r="O321" s="28"/>
      <x:c r="P321" s="22"/>
      <x:c r="Q321" s="22"/>
      <x:c r="R321" s="28"/>
      <x:c r="S321" s="22"/>
      <x:c r="T321" s="37" t="n">
        <x:f>MIN(K321,AT321)</x:f>
        <x:v>9.657515467860945</x:v>
      </x:c>
      <x:c r="U321" s="21" t="str">
        <x:f>IF(J321="Рассчитано",N321*(1-O321/100),"н/д")</x:f>
        <x:v>н/д</x:v>
      </x:c>
      <x:c r="V321" s="21" t="str">
        <x:f>IF(J321="Рассчитано",T321*U321,"н/д")</x:f>
        <x:v>н/д</x:v>
      </x:c>
      <x:c r="W321" s="21" t="str">
        <x:f>IF(J321="Рассчитано",T321*M321,"н/д")</x:f>
        <x:v>н/д</x:v>
      </x:c>
      <x:c r="X321" s="21" t="str">
        <x:f>IF(J321="Рассчитано",V321-W321,"н/д")</x:f>
        <x:v>н/д</x:v>
      </x:c>
      <x:c r="Y321" s="27" t="str">
        <x:f>IF(J321="Рассчитано",IF(V321&gt;0,G321/V321,"н/д"),"н/д")</x:f>
        <x:v>н/д</x:v>
      </x:c>
      <x:c r="Z321" s="21" t="str">
        <x:f>IF(J321="Рассчитано",K321*M321,"н/д")</x:f>
        <x:v>н/д</x:v>
      </x:c>
      <x:c r="AA321" s="21" t="str">
        <x:f>IF(J321="Рассчитано",(K321-T321)*M321,"н/д")</x:f>
        <x:v>н/д</x:v>
      </x:c>
      <x:c r="AB321" s="21" t="str">
        <x:f>IF(AND(J321="Рассчитано",ISNUMBER(S321)),K321*(S321-M321),"н/д")</x:f>
        <x:v>н/д</x:v>
      </x:c>
      <x:c r="AC321" s="21" t="str">
        <x:f>IF(AND(J321="Рассчитано",T321&gt;0,R321&lt;100),(W321+P321+Q321)/(T321*(1-R321/100)),"н/д")</x:f>
        <x:v>н/д</x:v>
      </x:c>
      <x:c r="AD321" s="10" t="str">
        <x:f>IF(ISNUMBER(G321),IF(G321&lt;0,"Убыток",IF(G321=0,"Без прибыли","Прибыль &gt; 0")),"Не оценён")</x:f>
        <x:v>Не оценён</x:v>
      </x:c>
      <x:c r="AE321" s="13" t="str">
        <x:f>IF(J321="Рассчитано","Выручка "&amp;TEXT(V321,"0.00")&amp;" - себестоимость "&amp;TEXT(W321,"0.00")&amp;" - комиссия "&amp;TEXT(V321*R321/100,"0.00")&amp;" - доставка "&amp;TEXT(P321,"0.00")&amp;" - прочие "&amp;TEXT(Q321,"0.00")&amp;" = "&amp;TEXT(G321,"0.00")&amp;" "&amp;L321,"Введите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1" s="24" t="n">
        <x:v>13.657515467860945</x:v>
      </x:c>
      <x:c r="AG321" s="37" t="n">
        <x:v>4</x:v>
      </x:c>
      <x:c r="AH321" s="37" t="n">
        <x:v>0</x:v>
      </x:c>
      <x:c r="AI321" s="30" t="n">
        <x:v>46266</x:v>
      </x:c>
      <x:c r="AJ321" s="37" t="n">
        <x:v>1</x:v>
      </x:c>
      <x:c r="AK321" s="10" t="str">
        <x:v>кратность</x:v>
      </x:c>
      <x:c r="AL321" s="32" t="n">
        <x:v>8.786371158237797</x:v>
      </x:c>
      <x:c r="AM321" s="13" t="str">
        <x:v>Остаток на начало сентября; Резервы неизвестны; Нет ежедневных данных доступности. Запаса примерно на 8.8 дн. без поступлений</x:v>
      </x:c>
      <x:c r="AN321" s="13" t="str">
        <x:v>Подтвердить наличие, срок и цену закупки</x:v>
      </x:c>
      <x:c r="AO321" s="13" t="str">
        <x:v>Прогноз 30 дней 13.66; остаток 4; поступления в срок 0; нехватка 10; заказ с учётом MOQ 10 шт. Остаток на начало сентября: требуется актуализация.</x:v>
      </x:c>
      <x:c r="AP321" s="13" t="str">
        <x:v>["category_missing", "daily_stockout_data_missing", "large_orders_detected", "monthly_balance_date_assumed", "new_order_lead_time_unknown", "reservations_unknown", "stale_stock"]</x:v>
      </x:c>
      <x:c r="AQ321" s="10" t="str">
        <x:v>SE:030200003_</x:v>
      </x:c>
      <x:c r="AR321" s="24" t="n">
        <x:v>1</x:v>
      </x:c>
      <x:c r="AS321" s="24" t="n">
        <x:f>MAX(0,ROUNDUP(MAX(0,AF321-AG321-AH321)/AR321-0.000000001,0)*AR321)</x:f>
        <x:v>10</x:v>
      </x:c>
      <x:c r="AT321" s="24" t="n">
        <x:v>9.657515467860945</x:v>
      </x:c>
    </x:row>
    <x:row r="322" ht="64" customHeight="1">
      <x:c r="A322" s="11" t="str">
        <x:v>Systeme Electric</x:v>
      </x:c>
      <x:c r="B322" s="33" t="str">
        <x:v>030200006_</x:v>
      </x:c>
      <x:c r="C322" s="33" t="str">
        <x:v>S16-057-B</x:v>
      </x:c>
      <x:c r="D322" s="12" t="str">
        <x:v>S231 1кл с/у. 6А IP20 "Прима" ВС 16-057-б (96) !!!</x:v>
      </x:c>
      <x:c r="E322" s="11" t="str">
        <x:v>шт</x:v>
      </x:c>
      <x:c r="F322" s="35" t="n">
        <x:f>IF(AS322&gt;0,ROUNDUP(AS322/AJ322-0.000000001,0)*AJ322,0)</x:f>
        <x:v>2</x:v>
      </x:c>
      <x:c r="G322" s="20" t="str">
        <x:f>IF(J322="Рассчитано",V322*(1-R322/100)-W322-P322-Q322,"н/д")</x:f>
        <x:v>н/д</x:v>
      </x:c>
      <x:c r="H322" s="12" t="str">
        <x:v>Высокий</x:v>
      </x:c>
      <x:c r="I322" s="12" t="str">
        <x:v>Высокий</x:v>
      </x:c>
      <x:c r="J322" s="12" t="str">
        <x:f>IF(L322="","Укажите валюту",IF(NOT(ISNUMBER(K322)),"Укажите объём",IF(K322&lt;=0,"Укажите объём",IF(COUNT(M322:O322)&lt;3,"Нужны цены",IF(COUNT(P322:R322)&lt;3,"Нужны расходы",IF(OR(M322&lt;0,N322&lt;0,O322&lt;0,O322&gt;100,P322&lt;0,Q322&lt;0,R322&lt;0,R322&gt;100),"Проверьте значения","Рассчитано"))))))</x:f>
        <x:v>Нужны цены</x:v>
      </x:c>
      <x:c r="K322" s="36" t="n">
        <x:v>2</x:v>
      </x:c>
      <x:c r="L322" s="19" t="str">
        <x:v>KZT</x:v>
      </x:c>
      <x:c r="M322" s="22"/>
      <x:c r="N322" s="22"/>
      <x:c r="O322" s="28"/>
      <x:c r="P322" s="22"/>
      <x:c r="Q322" s="22"/>
      <x:c r="R322" s="28"/>
      <x:c r="S322" s="22"/>
      <x:c r="T322" s="35" t="n">
        <x:f>MIN(K322,AT322)</x:f>
        <x:v>1.8683296402022966</x:v>
      </x:c>
      <x:c r="U322" s="20" t="str">
        <x:f>IF(J322="Рассчитано",N322*(1-O322/100),"н/д")</x:f>
        <x:v>н/д</x:v>
      </x:c>
      <x:c r="V322" s="20" t="str">
        <x:f>IF(J322="Рассчитано",T322*U322,"н/д")</x:f>
        <x:v>н/д</x:v>
      </x:c>
      <x:c r="W322" s="20" t="str">
        <x:f>IF(J322="Рассчитано",T322*M322,"н/д")</x:f>
        <x:v>н/д</x:v>
      </x:c>
      <x:c r="X322" s="20" t="str">
        <x:f>IF(J322="Рассчитано",V322-W322,"н/д")</x:f>
        <x:v>н/д</x:v>
      </x:c>
      <x:c r="Y322" s="26" t="str">
        <x:f>IF(J322="Рассчитано",IF(V322&gt;0,G322/V322,"н/д"),"н/д")</x:f>
        <x:v>н/д</x:v>
      </x:c>
      <x:c r="Z322" s="20" t="str">
        <x:f>IF(J322="Рассчитано",K322*M322,"н/д")</x:f>
        <x:v>н/д</x:v>
      </x:c>
      <x:c r="AA322" s="20" t="str">
        <x:f>IF(J322="Рассчитано",(K322-T322)*M322,"н/д")</x:f>
        <x:v>н/д</x:v>
      </x:c>
      <x:c r="AB322" s="20" t="str">
        <x:f>IF(AND(J322="Рассчитано",ISNUMBER(S322)),K322*(S322-M322),"н/д")</x:f>
        <x:v>н/д</x:v>
      </x:c>
      <x:c r="AC322" s="20" t="str">
        <x:f>IF(AND(J322="Рассчитано",T322&gt;0,R322&lt;100),(W322+P322+Q322)/(T322*(1-R322/100)),"н/д")</x:f>
        <x:v>н/д</x:v>
      </x:c>
      <x:c r="AD322" s="11" t="str">
        <x:f>IF(ISNUMBER(G322),IF(G322&lt;0,"Убыток",IF(G322=0,"Без прибыли","Прибыль &gt; 0")),"Не оценён")</x:f>
        <x:v>Не оценён</x:v>
      </x:c>
      <x:c r="AE322" s="12" t="str">
        <x:f>IF(J322="Рассчитано","Выручка "&amp;TEXT(V322,"0.00")&amp;" - себестоимость "&amp;TEXT(W322,"0.00")&amp;" - комиссия "&amp;TEXT(V322*R322/100,"0.00")&amp;" - доставка "&amp;TEXT(P322,"0.00")&amp;" - прочие "&amp;TEXT(Q322,"0.00")&amp;" = "&amp;TEXT(G322,"0.00")&amp;" "&amp;L322,"Введите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2" s="23" t="n">
        <x:v>2.8683296402022966</x:v>
      </x:c>
      <x:c r="AG322" s="35" t="n">
        <x:v>1</x:v>
      </x:c>
      <x:c r="AH322" s="35" t="n">
        <x:v>0</x:v>
      </x:c>
      <x:c r="AI322" s="29" t="n">
        <x:v>46266</x:v>
      </x:c>
      <x:c r="AJ322" s="35" t="n">
        <x:v>1</x:v>
      </x:c>
      <x:c r="AK322" s="11" t="str">
        <x:v>кратность</x:v>
      </x:c>
      <x:c r="AL322" s="31" t="n">
        <x:v>10.459048911088257</x:v>
      </x:c>
      <x:c r="AM322" s="12" t="str">
        <x:v>Остаток на начало сентября; Резервы неизвестны; Stockout оценён по месячным снимкам; Нет ежедневных данных доступности. Запаса примерно на 10.5 дн. без поступлений</x:v>
      </x:c>
      <x:c r="AN322" s="12" t="str">
        <x:v>Подтвердить наличие, срок и цену закупки</x:v>
      </x:c>
      <x:c r="AO322" s="12" t="str">
        <x:v>Прогноз 30 дней 2.87; остаток 1; поступления в срок 0; нехватка 2; заказ с учётом MOQ 2 шт. Остаток на начало сентября: требуется актуализация.</x:v>
      </x:c>
      <x:c r="AP322" s="12" t="str">
        <x:v>["category_missing", "daily_stockout_data_missing", "monthly_balance_date_assumed", "new_order_lead_time_unknown", "reservations_unknown", "stale_stock", "stockout_proxy_used"]</x:v>
      </x:c>
      <x:c r="AQ322" s="11" t="str">
        <x:v>SE:030200006_</x:v>
      </x:c>
      <x:c r="AR322" s="23" t="n">
        <x:v>1</x:v>
      </x:c>
      <x:c r="AS322" s="23" t="n">
        <x:f>MAX(0,ROUNDUP(MAX(0,AF322-AG322-AH322)/AR322-0.000000001,0)*AR322)</x:f>
        <x:v>2</x:v>
      </x:c>
      <x:c r="AT322" s="23" t="n">
        <x:v>1.8683296402022966</x:v>
      </x:c>
    </x:row>
    <x:row r="323" ht="64" customHeight="1">
      <x:c r="A323" s="10" t="str">
        <x:v>Systeme Electric</x:v>
      </x:c>
      <x:c r="B323" s="34" t="str">
        <x:v>030200008_</x:v>
      </x:c>
      <x:c r="C323" s="34" t="str">
        <x:v>S56-043-B</x:v>
      </x:c>
      <x:c r="D323" s="13" t="str">
        <x:v>S232 2кл с/у. 6А IP20 "Прима" ВС 56-043-б (96) !!!</x:v>
      </x:c>
      <x:c r="E323" s="10" t="str">
        <x:v>шт</x:v>
      </x:c>
      <x:c r="F323" s="37" t="n">
        <x:f>IF(AS323&gt;0,ROUNDUP(AS323/AJ323-0.000000001,0)*AJ323,0)</x:f>
        <x:v>33</x:v>
      </x:c>
      <x:c r="G323" s="21" t="str">
        <x:f>IF(J323="Рассчитано",V323*(1-R323/100)-W323-P323-Q323,"н/д")</x:f>
        <x:v>н/д</x:v>
      </x:c>
      <x:c r="H323" s="13" t="str">
        <x:v>Высокий</x:v>
      </x:c>
      <x:c r="I323" s="13" t="str">
        <x:v>Критический</x:v>
      </x:c>
      <x:c r="J323" s="13" t="str">
        <x:f>IF(L323="","Укажите валюту",IF(NOT(ISNUMBER(K323)),"Укажите объём",IF(K323&lt;=0,"Укажите объём",IF(COUNT(M323:O323)&lt;3,"Нужны цены",IF(COUNT(P323:R323)&lt;3,"Нужны расходы",IF(OR(M323&lt;0,N323&lt;0,O323&lt;0,O323&gt;100,P323&lt;0,Q323&lt;0,R323&lt;0,R323&gt;100),"Проверьте значения","Рассчитано"))))))</x:f>
        <x:v>Нужны цены</x:v>
      </x:c>
      <x:c r="K323" s="36" t="n">
        <x:v>33</x:v>
      </x:c>
      <x:c r="L323" s="19" t="str">
        <x:v>KZT</x:v>
      </x:c>
      <x:c r="M323" s="22"/>
      <x:c r="N323" s="22"/>
      <x:c r="O323" s="28"/>
      <x:c r="P323" s="22"/>
      <x:c r="Q323" s="22"/>
      <x:c r="R323" s="28"/>
      <x:c r="S323" s="22"/>
      <x:c r="T323" s="37" t="n">
        <x:f>MIN(K323,AT323)</x:f>
        <x:v>32.429298472009144</x:v>
      </x:c>
      <x:c r="U323" s="21" t="str">
        <x:f>IF(J323="Рассчитано",N323*(1-O323/100),"н/д")</x:f>
        <x:v>н/д</x:v>
      </x:c>
      <x:c r="V323" s="21" t="str">
        <x:f>IF(J323="Рассчитано",T323*U323,"н/д")</x:f>
        <x:v>н/д</x:v>
      </x:c>
      <x:c r="W323" s="21" t="str">
        <x:f>IF(J323="Рассчитано",T323*M323,"н/д")</x:f>
        <x:v>н/д</x:v>
      </x:c>
      <x:c r="X323" s="21" t="str">
        <x:f>IF(J323="Рассчитано",V323-W323,"н/д")</x:f>
        <x:v>н/д</x:v>
      </x:c>
      <x:c r="Y323" s="27" t="str">
        <x:f>IF(J323="Рассчитано",IF(V323&gt;0,G323/V323,"н/д"),"н/д")</x:f>
        <x:v>н/д</x:v>
      </x:c>
      <x:c r="Z323" s="21" t="str">
        <x:f>IF(J323="Рассчитано",K323*M323,"н/д")</x:f>
        <x:v>н/д</x:v>
      </x:c>
      <x:c r="AA323" s="21" t="str">
        <x:f>IF(J323="Рассчитано",(K323-T323)*M323,"н/д")</x:f>
        <x:v>н/д</x:v>
      </x:c>
      <x:c r="AB323" s="21" t="str">
        <x:f>IF(AND(J323="Рассчитано",ISNUMBER(S323)),K323*(S323-M323),"н/д")</x:f>
        <x:v>н/д</x:v>
      </x:c>
      <x:c r="AC323" s="21" t="str">
        <x:f>IF(AND(J323="Рассчитано",T323&gt;0,R323&lt;100),(W323+P323+Q323)/(T323*(1-R323/100)),"н/д")</x:f>
        <x:v>н/д</x:v>
      </x:c>
      <x:c r="AD323" s="10" t="str">
        <x:f>IF(ISNUMBER(G323),IF(G323&lt;0,"Убыток",IF(G323=0,"Без прибыли","Прибыль &gt; 0")),"Не оценён")</x:f>
        <x:v>Не оценён</x:v>
      </x:c>
      <x:c r="AE323" s="13" t="str">
        <x:f>IF(J323="Рассчитано","Выручка "&amp;TEXT(V323,"0.00")&amp;" - себестоимость "&amp;TEXT(W323,"0.00")&amp;" - комиссия "&amp;TEXT(V323*R323/100,"0.00")&amp;" - доставка "&amp;TEXT(P323,"0.00")&amp;" - прочие "&amp;TEXT(Q323,"0.00")&amp;" = "&amp;TEXT(G323,"0.00")&amp;" "&amp;L323,"Введите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3" s="24" t="n">
        <x:v>32.429298472009144</x:v>
      </x:c>
      <x:c r="AG323" s="37" t="n">
        <x:v>0</x:v>
      </x:c>
      <x:c r="AH323" s="37" t="n">
        <x:v>0</x:v>
      </x:c>
      <x:c r="AI323" s="30" t="n">
        <x:v>46266</x:v>
      </x:c>
      <x:c r="AJ323" s="37" t="n">
        <x:v>1</x:v>
      </x:c>
      <x:c r="AK323" s="10" t="str">
        <x:v>кратность</x:v>
      </x:c>
      <x:c r="AL323" s="32" t="n">
        <x:v>0</x:v>
      </x:c>
      <x:c r="AM323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323" s="13" t="str">
        <x:v>Подтвердить наличие, срок и цену закупки</x:v>
      </x:c>
      <x:c r="AO323" s="13" t="str">
        <x:v>Прогноз 30 дней 32.43; остаток 0; поступления в срок 0; нехватка 33; заказ с учётом MOQ 33 шт. Остаток на начало сентября: требуется актуализация.</x:v>
      </x:c>
      <x:c r="AP323" s="13" t="str">
        <x:v>["blank_stock_assumed_zero", "category_missing", "daily_stockout_data_missing", "monthly_balance_date_assumed", "new_order_lead_time_unknown", "reservations_unknown", "stale_stock", "stockout_proxy_used"]</x:v>
      </x:c>
      <x:c r="AQ323" s="10" t="str">
        <x:v>SE:030200008_</x:v>
      </x:c>
      <x:c r="AR323" s="24" t="n">
        <x:v>1</x:v>
      </x:c>
      <x:c r="AS323" s="24" t="n">
        <x:f>MAX(0,ROUNDUP(MAX(0,AF323-AG323-AH323)/AR323-0.000000001,0)*AR323)</x:f>
        <x:v>33</x:v>
      </x:c>
      <x:c r="AT323" s="24" t="n">
        <x:v>32.429298472009144</x:v>
      </x:c>
    </x:row>
    <x:row r="324" ht="64" customHeight="1">
      <x:c r="A324" s="11" t="str">
        <x:v>Systeme Electric</x:v>
      </x:c>
      <x:c r="B324" s="33" t="str">
        <x:v>030200034_</x:v>
      </x:c>
      <x:c r="C324" s="33" t="str">
        <x:v>RA16-133-B</x:v>
      </x:c>
      <x:c r="D324" s="12" t="str">
        <x:v>S257 о/у. з/к 16А IP20  "ХИТ"  РА 16-133-б (132) !!!</x:v>
      </x:c>
      <x:c r="E324" s="11" t="str">
        <x:v>шт</x:v>
      </x:c>
      <x:c r="F324" s="35" t="n">
        <x:f>IF(AS324&gt;0,ROUNDUP(AS324/AJ324-0.000000001,0)*AJ324,0)</x:f>
        <x:v>17</x:v>
      </x:c>
      <x:c r="G324" s="20" t="str">
        <x:f>IF(J324="Рассчитано",V324*(1-R324/100)-W324-P324-Q324,"н/д")</x:f>
        <x:v>н/д</x:v>
      </x:c>
      <x:c r="H324" s="12" t="str">
        <x:v>Высокий</x:v>
      </x:c>
      <x:c r="I324" s="12" t="str">
        <x:v>Критический</x:v>
      </x:c>
      <x:c r="J324" s="12" t="str">
        <x:f>IF(L324="","Укажите валюту",IF(NOT(ISNUMBER(K324)),"Укажите объём",IF(K324&lt;=0,"Укажите объём",IF(COUNT(M324:O324)&lt;3,"Нужны цены",IF(COUNT(P324:R324)&lt;3,"Нужны расходы",IF(OR(M324&lt;0,N324&lt;0,O324&lt;0,O324&gt;100,P324&lt;0,Q324&lt;0,R324&lt;0,R324&gt;100),"Проверьте значения","Рассчитано"))))))</x:f>
        <x:v>Нужны цены</x:v>
      </x:c>
      <x:c r="K324" s="36" t="n">
        <x:v>17</x:v>
      </x:c>
      <x:c r="L324" s="19" t="str">
        <x:v>KZT</x:v>
      </x:c>
      <x:c r="M324" s="22"/>
      <x:c r="N324" s="22"/>
      <x:c r="O324" s="28"/>
      <x:c r="P324" s="22"/>
      <x:c r="Q324" s="22"/>
      <x:c r="R324" s="28"/>
      <x:c r="S324" s="22"/>
      <x:c r="T324" s="35" t="n">
        <x:f>MIN(K324,AT324)</x:f>
        <x:v>2.809122360903655</x:v>
      </x:c>
      <x:c r="U324" s="20" t="str">
        <x:f>IF(J324="Рассчитано",N324*(1-O324/100),"н/д")</x:f>
        <x:v>н/д</x:v>
      </x:c>
      <x:c r="V324" s="20" t="str">
        <x:f>IF(J324="Рассчитано",T324*U324,"н/д")</x:f>
        <x:v>н/д</x:v>
      </x:c>
      <x:c r="W324" s="20" t="str">
        <x:f>IF(J324="Рассчитано",T324*M324,"н/д")</x:f>
        <x:v>н/д</x:v>
      </x:c>
      <x:c r="X324" s="20" t="str">
        <x:f>IF(J324="Рассчитано",V324-W324,"н/д")</x:f>
        <x:v>н/д</x:v>
      </x:c>
      <x:c r="Y324" s="26" t="str">
        <x:f>IF(J324="Рассчитано",IF(V324&gt;0,G324/V324,"н/д"),"н/д")</x:f>
        <x:v>н/д</x:v>
      </x:c>
      <x:c r="Z324" s="20" t="str">
        <x:f>IF(J324="Рассчитано",K324*M324,"н/д")</x:f>
        <x:v>н/д</x:v>
      </x:c>
      <x:c r="AA324" s="20" t="str">
        <x:f>IF(J324="Рассчитано",(K324-T324)*M324,"н/д")</x:f>
        <x:v>н/д</x:v>
      </x:c>
      <x:c r="AB324" s="20" t="str">
        <x:f>IF(AND(J324="Рассчитано",ISNUMBER(S324)),K324*(S324-M324),"н/д")</x:f>
        <x:v>н/д</x:v>
      </x:c>
      <x:c r="AC324" s="20" t="str">
        <x:f>IF(AND(J324="Рассчитано",T324&gt;0,R324&lt;100),(W324+P324+Q324)/(T324*(1-R324/100)),"н/д")</x:f>
        <x:v>н/д</x:v>
      </x:c>
      <x:c r="AD324" s="11" t="str">
        <x:f>IF(ISNUMBER(G324),IF(G324&lt;0,"Убыток",IF(G324=0,"Без прибыли","Прибыль &gt; 0")),"Не оценён")</x:f>
        <x:v>Не оценён</x:v>
      </x:c>
      <x:c r="AE324" s="12" t="str">
        <x:f>IF(J324="Рассчитано","Выручка "&amp;TEXT(V324,"0.00")&amp;" - себестоимость "&amp;TEXT(W324,"0.00")&amp;" - комиссия "&amp;TEXT(V324*R324/100,"0.00")&amp;" - доставка "&amp;TEXT(P324,"0.00")&amp;" - прочие "&amp;TEXT(Q324,"0.00")&amp;" = "&amp;TEXT(G324,"0.00")&amp;" "&amp;L324,"Введите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4" s="23" t="n">
        <x:v>2.809122360903655</x:v>
      </x:c>
      <x:c r="AG324" s="35" t="n">
        <x:v>0</x:v>
      </x:c>
      <x:c r="AH324" s="35" t="n">
        <x:v>0</x:v>
      </x:c>
      <x:c r="AI324" s="29" t="n">
        <x:v>46266</x:v>
      </x:c>
      <x:c r="AJ324" s="35" t="n">
        <x:v>17</x:v>
      </x:c>
      <x:c r="AK324" s="11" t="str">
        <x:v>кратность</x:v>
      </x:c>
      <x:c r="AL324" s="31" t="n">
        <x:v>0</x:v>
      </x:c>
      <x:c r="AM324" s="12" t="str">
        <x:v>Остаток на начало сентября; Резервы неизвестны; Детальные и месячные продажи расходятся; Нет ежедневных данных доступности. Нет запаса</x:v>
      </x:c>
      <x:c r="AN324" s="12" t="str">
        <x:v>Подтвердить наличие, срок и цену закупки</x:v>
      </x:c>
      <x:c r="AO324" s="12" t="str">
        <x:v>Прогноз 30 дней 2.81; остаток 0; поступления в срок 0; нехватка 3; заказ с учётом MOQ 17 шт. Остаток на начало сентября: требуется актуализация.</x:v>
      </x:c>
      <x:c r="AP324" s="12" t="str">
        <x:v>["blank_stock_assumed_zero", "category_missing", "daily_stockout_data_missing", "large_orders_detected", "monthly_balance_date_assumed", "negative_net_sales_clipped_for_forecast", "new_order_lead_time_unknown", "reservations_unknown", "stale_stock", "transaction_month_mismatch"]</x:v>
      </x:c>
      <x:c r="AQ324" s="11" t="str">
        <x:v>SE:030200034_</x:v>
      </x:c>
      <x:c r="AR324" s="23" t="n">
        <x:v>1</x:v>
      </x:c>
      <x:c r="AS324" s="23" t="n">
        <x:f>MAX(0,ROUNDUP(MAX(0,AF324-AG324-AH324)/AR324-0.000000001,0)*AR324)</x:f>
        <x:v>3</x:v>
      </x:c>
      <x:c r="AT324" s="23" t="n">
        <x:v>2.809122360903655</x:v>
      </x:c>
    </x:row>
    <x:row r="325" ht="64" customHeight="1">
      <x:c r="A325" s="10" t="str">
        <x:v>Systeme Electric</x:v>
      </x:c>
      <x:c r="B325" s="34" t="str">
        <x:v>030200037_</x:v>
      </x:c>
      <x:c r="C325" s="34" t="str">
        <x:v>RS16-235-B</x:v>
      </x:c>
      <x:c r="D325" s="13" t="str">
        <x:v>S252 2-я с/у 10А IP20  "ХИТ"  РС 16-235-б / 16-230-б (80) !!!</x:v>
      </x:c>
      <x:c r="E325" s="10" t="str">
        <x:v>шт</x:v>
      </x:c>
      <x:c r="F325" s="37" t="n">
        <x:f>IF(AS325&gt;0,ROUNDUP(AS325/AJ325-0.000000001,0)*AJ325,0)</x:f>
        <x:v>10</x:v>
      </x:c>
      <x:c r="G325" s="21" t="str">
        <x:f>IF(J325="Рассчитано",V325*(1-R325/100)-W325-P325-Q325,"н/д")</x:f>
        <x:v>н/д</x:v>
      </x:c>
      <x:c r="H325" s="13" t="str">
        <x:v>Высокий</x:v>
      </x:c>
      <x:c r="I325" s="13" t="str">
        <x:v>Средний</x:v>
      </x:c>
      <x:c r="J325" s="13" t="str">
        <x:f>IF(L325="","Укажите валюту",IF(NOT(ISNUMBER(K325)),"Укажите объём",IF(K325&lt;=0,"Укажите объём",IF(COUNT(M325:O325)&lt;3,"Нужны цены",IF(COUNT(P325:R325)&lt;3,"Нужны расходы",IF(OR(M325&lt;0,N325&lt;0,O325&lt;0,O325&gt;100,P325&lt;0,Q325&lt;0,R325&lt;0,R325&gt;100),"Проверьте значения","Рассчитано"))))))</x:f>
        <x:v>Нужны цены</x:v>
      </x:c>
      <x:c r="K325" s="36" t="n">
        <x:v>10</x:v>
      </x:c>
      <x:c r="L325" s="19" t="str">
        <x:v>KZT</x:v>
      </x:c>
      <x:c r="M325" s="22"/>
      <x:c r="N325" s="22"/>
      <x:c r="O325" s="28"/>
      <x:c r="P325" s="22"/>
      <x:c r="Q325" s="22"/>
      <x:c r="R325" s="28"/>
      <x:c r="S325" s="22"/>
      <x:c r="T325" s="37" t="n">
        <x:f>MIN(K325,AT325)</x:f>
        <x:v>0.6703763440974795</x:v>
      </x:c>
      <x:c r="U325" s="21" t="str">
        <x:f>IF(J325="Рассчитано",N325*(1-O325/100),"н/д")</x:f>
        <x:v>н/д</x:v>
      </x:c>
      <x:c r="V325" s="21" t="str">
        <x:f>IF(J325="Рассчитано",T325*U325,"н/д")</x:f>
        <x:v>н/д</x:v>
      </x:c>
      <x:c r="W325" s="21" t="str">
        <x:f>IF(J325="Рассчитано",T325*M325,"н/д")</x:f>
        <x:v>н/д</x:v>
      </x:c>
      <x:c r="X325" s="21" t="str">
        <x:f>IF(J325="Рассчитано",V325-W325,"н/д")</x:f>
        <x:v>н/д</x:v>
      </x:c>
      <x:c r="Y325" s="27" t="str">
        <x:f>IF(J325="Рассчитано",IF(V325&gt;0,G325/V325,"н/д"),"н/д")</x:f>
        <x:v>н/д</x:v>
      </x:c>
      <x:c r="Z325" s="21" t="str">
        <x:f>IF(J325="Рассчитано",K325*M325,"н/д")</x:f>
        <x:v>н/д</x:v>
      </x:c>
      <x:c r="AA325" s="21" t="str">
        <x:f>IF(J325="Рассчитано",(K325-T325)*M325,"н/д")</x:f>
        <x:v>н/д</x:v>
      </x:c>
      <x:c r="AB325" s="21" t="str">
        <x:f>IF(AND(J325="Рассчитано",ISNUMBER(S325)),K325*(S325-M325),"н/д")</x:f>
        <x:v>н/д</x:v>
      </x:c>
      <x:c r="AC325" s="21" t="str">
        <x:f>IF(AND(J325="Рассчитано",T325&gt;0,R325&lt;100),(W325+P325+Q325)/(T325*(1-R325/100)),"н/д")</x:f>
        <x:v>н/д</x:v>
      </x:c>
      <x:c r="AD325" s="10" t="str">
        <x:f>IF(ISNUMBER(G325),IF(G325&lt;0,"Убыток",IF(G325=0,"Без прибыли","Прибыль &gt; 0")),"Не оценён")</x:f>
        <x:v>Не оценён</x:v>
      </x:c>
      <x:c r="AE325" s="13" t="str">
        <x:f>IF(J325="Рассчитано","Выручка "&amp;TEXT(V325,"0.00")&amp;" - себестоимость "&amp;TEXT(W325,"0.00")&amp;" - комиссия "&amp;TEXT(V325*R325/100,"0.00")&amp;" - доставка "&amp;TEXT(P325,"0.00")&amp;" - прочие "&amp;TEXT(Q325,"0.00")&amp;" = "&amp;TEXT(G325,"0.00")&amp;" "&amp;L325,"Введите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5" s="24" t="n">
        <x:v>1.6703763440974795</x:v>
      </x:c>
      <x:c r="AG325" s="37" t="n">
        <x:v>1</x:v>
      </x:c>
      <x:c r="AH325" s="37" t="n">
        <x:v>0</x:v>
      </x:c>
      <x:c r="AI325" s="30" t="n">
        <x:v>46266</x:v>
      </x:c>
      <x:c r="AJ325" s="37" t="n">
        <x:v>10</x:v>
      </x:c>
      <x:c r="AK325" s="10" t="str">
        <x:v>кратность</x:v>
      </x:c>
      <x:c r="AL325" s="32" t="n">
        <x:v>17.960024461558866</x:v>
      </x:c>
      <x:c r="AM325" s="13" t="str">
        <x:v>Остаток на начало сентября; Резервы неизвестны; Нет ежедневных данных доступности. Запаса примерно на 18.0 дн. без поступлений</x:v>
      </x:c>
      <x:c r="AN325" s="13" t="str">
        <x:v>Подтвердить наличие, срок и цену закупки</x:v>
      </x:c>
      <x:c r="AO325" s="13" t="str">
        <x:v>Прогноз 30 дней 1.67; остаток 1; поступления в срок 0; нехватка 1; заказ с учётом MOQ 10 шт. Остаток на начало сентября: требуется актуализация.</x:v>
      </x:c>
      <x:c r="AP325" s="13" t="str">
        <x:v>["category_missing", "daily_stockout_data_missing", "monthly_balance_date_assumed", "new_order_lead_time_unknown", "reservations_unknown", "stale_stock"]</x:v>
      </x:c>
      <x:c r="AQ325" s="10" t="str">
        <x:v>SE:030200037_</x:v>
      </x:c>
      <x:c r="AR325" s="24" t="n">
        <x:v>1</x:v>
      </x:c>
      <x:c r="AS325" s="24" t="n">
        <x:f>MAX(0,ROUNDUP(MAX(0,AF325-AG325-AH325)/AR325-0.000000001,0)*AR325)</x:f>
        <x:v>1</x:v>
      </x:c>
      <x:c r="AT325" s="24" t="n">
        <x:v>0.6703763440974795</x:v>
      </x:c>
    </x:row>
    <x:row r="326" ht="64" customHeight="1">
      <x:c r="A326" s="11" t="str">
        <x:v>Systeme Electric</x:v>
      </x:c>
      <x:c r="B326" s="33" t="str">
        <x:v>030200038_</x:v>
      </x:c>
      <x:c r="C326" s="33" t="str">
        <x:v>RS16-134-B</x:v>
      </x:c>
      <x:c r="D326" s="12" t="str">
        <x:v>S251 с/у.з/к 16А  IP20  "ХИТ" РС 16-134-б (81) !!!</x:v>
      </x:c>
      <x:c r="E326" s="11" t="str">
        <x:v>шт</x:v>
      </x:c>
      <x:c r="F326" s="35" t="n">
        <x:f>IF(AS326&gt;0,ROUNDUP(AS326/AJ326-0.000000001,0)*AJ326,0)</x:f>
        <x:v>20</x:v>
      </x:c>
      <x:c r="G326" s="20" t="str">
        <x:f>IF(J326="Рассчитано",V326*(1-R326/100)-W326-P326-Q326,"н/д")</x:f>
        <x:v>н/д</x:v>
      </x:c>
      <x:c r="H326" s="12" t="str">
        <x:v>Высокий</x:v>
      </x:c>
      <x:c r="I326" s="12" t="str">
        <x:v>Критический</x:v>
      </x:c>
      <x:c r="J326" s="12" t="str">
        <x:f>IF(L326="","Укажите валюту",IF(NOT(ISNUMBER(K326)),"Укажите объём",IF(K326&lt;=0,"Укажите объём",IF(COUNT(M326:O326)&lt;3,"Нужны цены",IF(COUNT(P326:R326)&lt;3,"Нужны расходы",IF(OR(M326&lt;0,N326&lt;0,O326&lt;0,O326&gt;100,P326&lt;0,Q326&lt;0,R326&lt;0,R326&gt;100),"Проверьте значения","Рассчитано"))))))</x:f>
        <x:v>Нужны цены</x:v>
      </x:c>
      <x:c r="K326" s="36" t="n">
        <x:v>20</x:v>
      </x:c>
      <x:c r="L326" s="19" t="str">
        <x:v>KZT</x:v>
      </x:c>
      <x:c r="M326" s="22"/>
      <x:c r="N326" s="22"/>
      <x:c r="O326" s="28"/>
      <x:c r="P326" s="22"/>
      <x:c r="Q326" s="22"/>
      <x:c r="R326" s="28"/>
      <x:c r="S326" s="22"/>
      <x:c r="T326" s="35" t="n">
        <x:f>MIN(K326,AT326)</x:f>
        <x:v>0.5930157911730994</x:v>
      </x:c>
      <x:c r="U326" s="20" t="str">
        <x:f>IF(J326="Рассчитано",N326*(1-O326/100),"н/д")</x:f>
        <x:v>н/д</x:v>
      </x:c>
      <x:c r="V326" s="20" t="str">
        <x:f>IF(J326="Рассчитано",T326*U326,"н/д")</x:f>
        <x:v>н/д</x:v>
      </x:c>
      <x:c r="W326" s="20" t="str">
        <x:f>IF(J326="Рассчитано",T326*M326,"н/д")</x:f>
        <x:v>н/д</x:v>
      </x:c>
      <x:c r="X326" s="20" t="str">
        <x:f>IF(J326="Рассчитано",V326-W326,"н/д")</x:f>
        <x:v>н/д</x:v>
      </x:c>
      <x:c r="Y326" s="26" t="str">
        <x:f>IF(J326="Рассчитано",IF(V326&gt;0,G326/V326,"н/д"),"н/д")</x:f>
        <x:v>н/д</x:v>
      </x:c>
      <x:c r="Z326" s="20" t="str">
        <x:f>IF(J326="Рассчитано",K326*M326,"н/д")</x:f>
        <x:v>н/д</x:v>
      </x:c>
      <x:c r="AA326" s="20" t="str">
        <x:f>IF(J326="Рассчитано",(K326-T326)*M326,"н/д")</x:f>
        <x:v>н/д</x:v>
      </x:c>
      <x:c r="AB326" s="20" t="str">
        <x:f>IF(AND(J326="Рассчитано",ISNUMBER(S326)),K326*(S326-M326),"н/д")</x:f>
        <x:v>н/д</x:v>
      </x:c>
      <x:c r="AC326" s="20" t="str">
        <x:f>IF(AND(J326="Рассчитано",T326&gt;0,R326&lt;100),(W326+P326+Q326)/(T326*(1-R326/100)),"н/д")</x:f>
        <x:v>н/д</x:v>
      </x:c>
      <x:c r="AD326" s="11" t="str">
        <x:f>IF(ISNUMBER(G326),IF(G326&lt;0,"Убыток",IF(G326=0,"Без прибыли","Прибыль &gt; 0")),"Не оценён")</x:f>
        <x:v>Не оценён</x:v>
      </x:c>
      <x:c r="AE326" s="12" t="str">
        <x:f>IF(J326="Рассчитано","Выручка "&amp;TEXT(V326,"0.00")&amp;" - себестоимость "&amp;TEXT(W326,"0.00")&amp;" - комиссия "&amp;TEXT(V326*R326/100,"0.00")&amp;" - доставка "&amp;TEXT(P326,"0.00")&amp;" - прочие "&amp;TEXT(Q326,"0.00")&amp;" = "&amp;TEXT(G326,"0.00")&amp;" "&amp;L326,"Введите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6" s="23" t="n">
        <x:v>0.5930157911730994</x:v>
      </x:c>
      <x:c r="AG326" s="35" t="n">
        <x:v>0</x:v>
      </x:c>
      <x:c r="AH326" s="35" t="n">
        <x:v>0</x:v>
      </x:c>
      <x:c r="AI326" s="29" t="n">
        <x:v>46266</x:v>
      </x:c>
      <x:c r="AJ326" s="35" t="n">
        <x:v>20</x:v>
      </x:c>
      <x:c r="AK326" s="11" t="str">
        <x:v>кратность</x:v>
      </x:c>
      <x:c r="AL326" s="31" t="n">
        <x:v>0</x:v>
      </x:c>
      <x:c r="AM326" s="12" t="str">
        <x:v>Остаток на начало сентября; Резервы неизвестны; Нет ежедневных данных доступности. Нет запаса</x:v>
      </x:c>
      <x:c r="AN326" s="12" t="str">
        <x:v>Подтвердить наличие, срок и цену закупки</x:v>
      </x:c>
      <x:c r="AO326" s="12" t="str">
        <x:v>Прогноз 30 дней 0.59; остаток 0; поступления в срок 0; нехватка 1; заказ с учётом MOQ 20 шт. Остаток на начало сентября: требуется актуализация.</x:v>
      </x:c>
      <x:c r="AP326" s="12" t="str">
        <x:v>["blank_stock_assumed_zero", "category_missing", "daily_stockout_data_missing", "monthly_balance_date_assumed", "new_order_lead_time_unknown", "reservations_unknown", "stale_stock"]</x:v>
      </x:c>
      <x:c r="AQ326" s="11" t="str">
        <x:v>SE:030200038_</x:v>
      </x:c>
      <x:c r="AR326" s="23" t="n">
        <x:v>1</x:v>
      </x:c>
      <x:c r="AS326" s="23" t="n">
        <x:f>MAX(0,ROUNDUP(MAX(0,AF326-AG326-AH326)/AR326-0.000000001,0)*AR326)</x:f>
        <x:v>1</x:v>
      </x:c>
      <x:c r="AT326" s="23" t="n">
        <x:v>0.5930157911730994</x:v>
      </x:c>
    </x:row>
    <x:row r="327" ht="64" customHeight="1">
      <x:c r="A327" s="10" t="str">
        <x:v>Systeme Electric</x:v>
      </x:c>
      <x:c r="B327" s="34" t="str">
        <x:v>030200039_</x:v>
      </x:c>
      <x:c r="C327" s="34" t="str">
        <x:v>RS16-236-B</x:v>
      </x:c>
      <x:c r="D327" s="13" t="str">
        <x:v>S253 2-я с/у.з/к 16А IP20 "ХИТ" РС 16-236-б  (68) !!!</x:v>
      </x:c>
      <x:c r="E327" s="10" t="str">
        <x:v>шт</x:v>
      </x:c>
      <x:c r="F327" s="37" t="n">
        <x:f>IF(AS327&gt;0,ROUNDUP(AS327/AJ327-0.000000001,0)*AJ327,0)</x:f>
        <x:v>10</x:v>
      </x:c>
      <x:c r="G327" s="21" t="str">
        <x:f>IF(J327="Рассчитано",V327*(1-R327/100)-W327-P327-Q327,"н/д")</x:f>
        <x:v>н/д</x:v>
      </x:c>
      <x:c r="H327" s="13" t="str">
        <x:v>Высокий</x:v>
      </x:c>
      <x:c r="I327" s="13" t="str">
        <x:v>Критический</x:v>
      </x:c>
      <x:c r="J327" s="13" t="str">
        <x:f>IF(L327="","Укажите валюту",IF(NOT(ISNUMBER(K327)),"Укажите объём",IF(K327&lt;=0,"Укажите объём",IF(COUNT(M327:O327)&lt;3,"Нужны цены",IF(COUNT(P327:R327)&lt;3,"Нужны расходы",IF(OR(M327&lt;0,N327&lt;0,O327&lt;0,O327&gt;100,P327&lt;0,Q327&lt;0,R327&lt;0,R327&gt;100),"Проверьте значения","Рассчитано"))))))</x:f>
        <x:v>Нужны цены</x:v>
      </x:c>
      <x:c r="K327" s="36" t="n">
        <x:v>10</x:v>
      </x:c>
      <x:c r="L327" s="19" t="str">
        <x:v>KZT</x:v>
      </x:c>
      <x:c r="M327" s="22"/>
      <x:c r="N327" s="22"/>
      <x:c r="O327" s="28"/>
      <x:c r="P327" s="22"/>
      <x:c r="Q327" s="22"/>
      <x:c r="R327" s="28"/>
      <x:c r="S327" s="22"/>
      <x:c r="T327" s="37" t="n">
        <x:f>MIN(K327,AT327)</x:f>
        <x:v>0.889466672676197</x:v>
      </x:c>
      <x:c r="U327" s="21" t="str">
        <x:f>IF(J327="Рассчитано",N327*(1-O327/100),"н/д")</x:f>
        <x:v>н/д</x:v>
      </x:c>
      <x:c r="V327" s="21" t="str">
        <x:f>IF(J327="Рассчитано",T327*U327,"н/д")</x:f>
        <x:v>н/д</x:v>
      </x:c>
      <x:c r="W327" s="21" t="str">
        <x:f>IF(J327="Рассчитано",T327*M327,"н/д")</x:f>
        <x:v>н/д</x:v>
      </x:c>
      <x:c r="X327" s="21" t="str">
        <x:f>IF(J327="Рассчитано",V327-W327,"н/д")</x:f>
        <x:v>н/д</x:v>
      </x:c>
      <x:c r="Y327" s="27" t="str">
        <x:f>IF(J327="Рассчитано",IF(V327&gt;0,G327/V327,"н/д"),"н/д")</x:f>
        <x:v>н/д</x:v>
      </x:c>
      <x:c r="Z327" s="21" t="str">
        <x:f>IF(J327="Рассчитано",K327*M327,"н/д")</x:f>
        <x:v>н/д</x:v>
      </x:c>
      <x:c r="AA327" s="21" t="str">
        <x:f>IF(J327="Рассчитано",(K327-T327)*M327,"н/д")</x:f>
        <x:v>н/д</x:v>
      </x:c>
      <x:c r="AB327" s="21" t="str">
        <x:f>IF(AND(J327="Рассчитано",ISNUMBER(S327)),K327*(S327-M327),"н/д")</x:f>
        <x:v>н/д</x:v>
      </x:c>
      <x:c r="AC327" s="21" t="str">
        <x:f>IF(AND(J327="Рассчитано",T327&gt;0,R327&lt;100),(W327+P327+Q327)/(T327*(1-R327/100)),"н/д")</x:f>
        <x:v>н/д</x:v>
      </x:c>
      <x:c r="AD327" s="10" t="str">
        <x:f>IF(ISNUMBER(G327),IF(G327&lt;0,"Убыток",IF(G327=0,"Без прибыли","Прибыль &gt; 0")),"Не оценён")</x:f>
        <x:v>Не оценён</x:v>
      </x:c>
      <x:c r="AE327" s="13" t="str">
        <x:f>IF(J327="Рассчитано","Выручка "&amp;TEXT(V327,"0.00")&amp;" - себестоимость "&amp;TEXT(W327,"0.00")&amp;" - комиссия "&amp;TEXT(V327*R327/100,"0.00")&amp;" - доставка "&amp;TEXT(P327,"0.00")&amp;" - прочие "&amp;TEXT(Q327,"0.00")&amp;" = "&amp;TEXT(G327,"0.00")&amp;" "&amp;L327,"Введите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7" s="24" t="n">
        <x:v>0.889466672676197</x:v>
      </x:c>
      <x:c r="AG327" s="37" t="n">
        <x:v>0</x:v>
      </x:c>
      <x:c r="AH327" s="37" t="n">
        <x:v>0</x:v>
      </x:c>
      <x:c r="AI327" s="30" t="n">
        <x:v>46266</x:v>
      </x:c>
      <x:c r="AJ327" s="37" t="n">
        <x:v>10</x:v>
      </x:c>
      <x:c r="AK327" s="10" t="str">
        <x:v>кратность</x:v>
      </x:c>
      <x:c r="AL327" s="32" t="n">
        <x:v>0</x:v>
      </x:c>
      <x:c r="AM327" s="13" t="str">
        <x:v>Остаток на начало сентября; Резервы неизвестны; Детальные и месячные продажи расходятся; Нет ежедневных данных доступности. Нет запаса</x:v>
      </x:c>
      <x:c r="AN327" s="13" t="str">
        <x:v>Подтвердить наличие, срок и цену закупки</x:v>
      </x:c>
      <x:c r="AO327" s="13" t="str">
        <x:v>Прогноз 30 дней 0.89; остаток 0; поступления в срок 0; нехватка 1; заказ с учётом MOQ 10 шт. Остаток на начало сентября: требуется актуализация.</x:v>
      </x:c>
      <x:c r="AP327" s="13" t="str">
        <x:v>["blank_stock_assumed_zero", "category_missing", "daily_stockout_data_missing", "large_orders_detected", "monthly_balance_date_assumed", "new_order_lead_time_unknown", "reservations_unknown", "stale_stock", "transaction_month_mismatch"]</x:v>
      </x:c>
      <x:c r="AQ327" s="10" t="str">
        <x:v>SE:030200039_</x:v>
      </x:c>
      <x:c r="AR327" s="24" t="n">
        <x:v>1</x:v>
      </x:c>
      <x:c r="AS327" s="24" t="n">
        <x:f>MAX(0,ROUNDUP(MAX(0,AF327-AG327-AH327)/AR327-0.000000001,0)*AR327)</x:f>
        <x:v>1</x:v>
      </x:c>
      <x:c r="AT327" s="24" t="n">
        <x:v>0.889466672676197</x:v>
      </x:c>
    </x:row>
    <x:row r="328" ht="64" customHeight="1">
      <x:c r="A328" s="11" t="str">
        <x:v>Systeme Electric</x:v>
      </x:c>
      <x:c r="B328" s="33" t="str">
        <x:v>030200072_</x:v>
      </x:c>
      <x:c r="C328" s="33" t="str">
        <x:v>RS16-151-18</x:v>
      </x:c>
      <x:c r="D328" s="12" t="str">
        <x:v>S186  с/у. з/ш 16А  "Wessen 59"  РС 16-151-18 (10/60) !!!</x:v>
      </x:c>
      <x:c r="E328" s="11" t="str">
        <x:v>шт</x:v>
      </x:c>
      <x:c r="F328" s="35" t="n">
        <x:f>IF(AS328&gt;0,ROUNDUP(AS328/AJ328-0.000000001,0)*AJ328,0)</x:f>
        <x:v>3</x:v>
      </x:c>
      <x:c r="G328" s="20" t="str">
        <x:f>IF(J328="Рассчитано",V328*(1-R328/100)-W328-P328-Q328,"н/д")</x:f>
        <x:v>н/д</x:v>
      </x:c>
      <x:c r="H328" s="12" t="str">
        <x:v>Высокий</x:v>
      </x:c>
      <x:c r="I328" s="12" t="str">
        <x:v>Средний</x:v>
      </x:c>
      <x:c r="J328" s="12" t="str">
        <x:f>IF(L328="","Укажите валюту",IF(NOT(ISNUMBER(K328)),"Укажите объём",IF(K328&lt;=0,"Укажите объём",IF(COUNT(M328:O328)&lt;3,"Нужны цены",IF(COUNT(P328:R328)&lt;3,"Нужны расходы",IF(OR(M328&lt;0,N328&lt;0,O328&lt;0,O328&gt;100,P328&lt;0,Q328&lt;0,R328&lt;0,R328&gt;100),"Проверьте значения","Рассчитано"))))))</x:f>
        <x:v>Нужны цены</x:v>
      </x:c>
      <x:c r="K328" s="36" t="n">
        <x:v>3</x:v>
      </x:c>
      <x:c r="L328" s="19" t="str">
        <x:v>KZT</x:v>
      </x:c>
      <x:c r="M328" s="22"/>
      <x:c r="N328" s="22"/>
      <x:c r="O328" s="28"/>
      <x:c r="P328" s="22"/>
      <x:c r="Q328" s="22"/>
      <x:c r="R328" s="28"/>
      <x:c r="S328" s="22"/>
      <x:c r="T328" s="35" t="n">
        <x:f>MIN(K328,AT328)</x:f>
        <x:v>2.3498988173569844</x:v>
      </x:c>
      <x:c r="U328" s="20" t="str">
        <x:f>IF(J328="Рассчитано",N328*(1-O328/100),"н/д")</x:f>
        <x:v>н/д</x:v>
      </x:c>
      <x:c r="V328" s="20" t="str">
        <x:f>IF(J328="Рассчитано",T328*U328,"н/д")</x:f>
        <x:v>н/д</x:v>
      </x:c>
      <x:c r="W328" s="20" t="str">
        <x:f>IF(J328="Рассчитано",T328*M328,"н/д")</x:f>
        <x:v>н/д</x:v>
      </x:c>
      <x:c r="X328" s="20" t="str">
        <x:f>IF(J328="Рассчитано",V328-W328,"н/д")</x:f>
        <x:v>н/д</x:v>
      </x:c>
      <x:c r="Y328" s="26" t="str">
        <x:f>IF(J328="Рассчитано",IF(V328&gt;0,G328/V328,"н/д"),"н/д")</x:f>
        <x:v>н/д</x:v>
      </x:c>
      <x:c r="Z328" s="20" t="str">
        <x:f>IF(J328="Рассчитано",K328*M328,"н/д")</x:f>
        <x:v>н/д</x:v>
      </x:c>
      <x:c r="AA328" s="20" t="str">
        <x:f>IF(J328="Рассчитано",(K328-T328)*M328,"н/д")</x:f>
        <x:v>н/д</x:v>
      </x:c>
      <x:c r="AB328" s="20" t="str">
        <x:f>IF(AND(J328="Рассчитано",ISNUMBER(S328)),K328*(S328-M328),"н/д")</x:f>
        <x:v>н/д</x:v>
      </x:c>
      <x:c r="AC328" s="20" t="str">
        <x:f>IF(AND(J328="Рассчитано",T328&gt;0,R328&lt;100),(W328+P328+Q328)/(T328*(1-R328/100)),"н/д")</x:f>
        <x:v>н/д</x:v>
      </x:c>
      <x:c r="AD328" s="11" t="str">
        <x:f>IF(ISNUMBER(G328),IF(G328&lt;0,"Убыток",IF(G328=0,"Без прибыли","Прибыль &gt; 0")),"Не оценён")</x:f>
        <x:v>Не оценён</x:v>
      </x:c>
      <x:c r="AE328" s="12" t="str">
        <x:f>IF(J328="Рассчитано","Выручка "&amp;TEXT(V328,"0.00")&amp;" - себестоимость "&amp;TEXT(W328,"0.00")&amp;" - комиссия "&amp;TEXT(V328*R328/100,"0.00")&amp;" - доставка "&amp;TEXT(P328,"0.00")&amp;" - прочие "&amp;TEXT(Q328,"0.00")&amp;" = "&amp;TEXT(G328,"0.00")&amp;" "&amp;L328,"Введите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8" s="23" t="n">
        <x:v>5.349898817356984</x:v>
      </x:c>
      <x:c r="AG328" s="35" t="n">
        <x:v>3</x:v>
      </x:c>
      <x:c r="AH328" s="35" t="n">
        <x:v>0</x:v>
      </x:c>
      <x:c r="AI328" s="29" t="n">
        <x:v>46266</x:v>
      </x:c>
      <x:c r="AJ328" s="35" t="n">
        <x:v>1</x:v>
      </x:c>
      <x:c r="AK328" s="11" t="str">
        <x:v>кратность</x:v>
      </x:c>
      <x:c r="AL328" s="31" t="n">
        <x:v>16.82274806917989</x:v>
      </x:c>
      <x:c r="AM328" s="12" t="str">
        <x:v>Остаток на начало сентября; Резервы неизвестны; Нет ежедневных данных доступности. Запаса примерно на 16.8 дн. без поступлений</x:v>
      </x:c>
      <x:c r="AN328" s="12" t="str">
        <x:v>Подтвердить наличие, срок и цену закупки</x:v>
      </x:c>
      <x:c r="AO328" s="12" t="str">
        <x:v>Прогноз 30 дней 5.35; остаток 3; поступления в срок 0; нехватка 3; заказ с учётом MOQ 3 шт. Остаток на начало сентября: требуется актуализация.</x:v>
      </x:c>
      <x:c r="AP328" s="12" t="str">
        <x:v>["category_missing", "daily_stockout_data_missing", "monthly_balance_date_assumed", "new_order_lead_time_unknown", "reservations_unknown", "stale_stock"]</x:v>
      </x:c>
      <x:c r="AQ328" s="11" t="str">
        <x:v>SE:030200072_</x:v>
      </x:c>
      <x:c r="AR328" s="23" t="n">
        <x:v>1</x:v>
      </x:c>
      <x:c r="AS328" s="23" t="n">
        <x:f>MAX(0,ROUNDUP(MAX(0,AF328-AG328-AH328)/AR328-0.000000001,0)*AR328)</x:f>
        <x:v>3</x:v>
      </x:c>
      <x:c r="AT328" s="23" t="n">
        <x:v>2.3498988173569844</x:v>
      </x:c>
    </x:row>
    <x:row r="329" ht="64" customHeight="1">
      <x:c r="A329" s="10" t="str">
        <x:v>Systeme Electric</x:v>
      </x:c>
      <x:c r="B329" s="34" t="str">
        <x:v>030200090_</x:v>
      </x:c>
      <x:c r="C329" s="34" t="str">
        <x:v>RSI-152K5E-18</x:v>
      </x:c>
      <x:c r="D329" s="13" t="str">
        <x:v>S192 роз информ. с\у 1А  "Wessen 59" РСИ 152 К5Е-18 (60) !!!</x:v>
      </x:c>
      <x:c r="E329" s="10" t="str">
        <x:v>шт</x:v>
      </x:c>
      <x:c r="F329" s="37" t="n">
        <x:f>IF(AS329&gt;0,ROUNDUP(AS329/AJ329-0.000000001,0)*AJ329,0)</x:f>
        <x:v>1</x:v>
      </x:c>
      <x:c r="G329" s="21" t="str">
        <x:f>IF(J329="Рассчитано",V329*(1-R329/100)-W329-P329-Q329,"н/д")</x:f>
        <x:v>н/д</x:v>
      </x:c>
      <x:c r="H329" s="13" t="str">
        <x:v>Высокий</x:v>
      </x:c>
      <x:c r="I329" s="13" t="str">
        <x:v>Критический</x:v>
      </x:c>
      <x:c r="J329" s="13" t="str">
        <x:f>IF(L329="","Укажите валюту",IF(NOT(ISNUMBER(K329)),"Укажите объём",IF(K329&lt;=0,"Укажите объём",IF(COUNT(M329:O329)&lt;3,"Нужны цены",IF(COUNT(P329:R329)&lt;3,"Нужны расходы",IF(OR(M329&lt;0,N329&lt;0,O329&lt;0,O329&gt;100,P329&lt;0,Q329&lt;0,R329&lt;0,R329&gt;100),"Проверьте значения","Рассчитано"))))))</x:f>
        <x:v>Нужны цены</x:v>
      </x:c>
      <x:c r="K329" s="36" t="n">
        <x:v>1</x:v>
      </x:c>
      <x:c r="L329" s="19" t="str">
        <x:v>KZT</x:v>
      </x:c>
      <x:c r="M329" s="22"/>
      <x:c r="N329" s="22"/>
      <x:c r="O329" s="28"/>
      <x:c r="P329" s="22"/>
      <x:c r="Q329" s="22"/>
      <x:c r="R329" s="28"/>
      <x:c r="S329" s="22"/>
      <x:c r="T329" s="37" t="n">
        <x:f>MIN(K329,AT329)</x:f>
        <x:v>0.03423000602805042</x:v>
      </x:c>
      <x:c r="U329" s="21" t="str">
        <x:f>IF(J329="Рассчитано",N329*(1-O329/100),"н/д")</x:f>
        <x:v>н/д</x:v>
      </x:c>
      <x:c r="V329" s="21" t="str">
        <x:f>IF(J329="Рассчитано",T329*U329,"н/д")</x:f>
        <x:v>н/д</x:v>
      </x:c>
      <x:c r="W329" s="21" t="str">
        <x:f>IF(J329="Рассчитано",T329*M329,"н/д")</x:f>
        <x:v>н/д</x:v>
      </x:c>
      <x:c r="X329" s="21" t="str">
        <x:f>IF(J329="Рассчитано",V329-W329,"н/д")</x:f>
        <x:v>н/д</x:v>
      </x:c>
      <x:c r="Y329" s="27" t="str">
        <x:f>IF(J329="Рассчитано",IF(V329&gt;0,G329/V329,"н/д"),"н/д")</x:f>
        <x:v>н/д</x:v>
      </x:c>
      <x:c r="Z329" s="21" t="str">
        <x:f>IF(J329="Рассчитано",K329*M329,"н/д")</x:f>
        <x:v>н/д</x:v>
      </x:c>
      <x:c r="AA329" s="21" t="str">
        <x:f>IF(J329="Рассчитано",(K329-T329)*M329,"н/д")</x:f>
        <x:v>н/д</x:v>
      </x:c>
      <x:c r="AB329" s="21" t="str">
        <x:f>IF(AND(J329="Рассчитано",ISNUMBER(S329)),K329*(S329-M329),"н/д")</x:f>
        <x:v>н/д</x:v>
      </x:c>
      <x:c r="AC329" s="21" t="str">
        <x:f>IF(AND(J329="Рассчитано",T329&gt;0,R329&lt;100),(W329+P329+Q329)/(T329*(1-R329/100)),"н/д")</x:f>
        <x:v>н/д</x:v>
      </x:c>
      <x:c r="AD329" s="10" t="str">
        <x:f>IF(ISNUMBER(G329),IF(G329&lt;0,"Убыток",IF(G329=0,"Без прибыли","Прибыль &gt; 0")),"Не оценён")</x:f>
        <x:v>Не оценён</x:v>
      </x:c>
      <x:c r="AE329" s="13" t="str">
        <x:f>IF(J329="Рассчитано","Выручка "&amp;TEXT(V329,"0.00")&amp;" - себестоимость "&amp;TEXT(W329,"0.00")&amp;" - комиссия "&amp;TEXT(V329*R329/100,"0.00")&amp;" - доставка "&amp;TEXT(P329,"0.00")&amp;" - прочие "&amp;TEXT(Q329,"0.00")&amp;" = "&amp;TEXT(G329,"0.00")&amp;" "&amp;L329,"Введите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29" s="24" t="n">
        <x:v>0.03423000602805042</x:v>
      </x:c>
      <x:c r="AG329" s="37" t="n">
        <x:v>0</x:v>
      </x:c>
      <x:c r="AH329" s="37" t="n">
        <x:v>0</x:v>
      </x:c>
      <x:c r="AI329" s="30" t="n">
        <x:v>46266</x:v>
      </x:c>
      <x:c r="AJ329" s="37" t="n">
        <x:v>1</x:v>
      </x:c>
      <x:c r="AK329" s="10" t="str">
        <x:v>кратность</x:v>
      </x:c>
      <x:c r="AL329" s="32" t="n">
        <x:v>0</x:v>
      </x:c>
      <x:c r="AM329" s="13" t="str">
        <x:v>Остаток на начало сентября; Резервы неизвестны; Нет ежедневных данных доступности. Нет запаса</x:v>
      </x:c>
      <x:c r="AN329" s="13" t="str">
        <x:v>Подтвердить наличие, срок и цену закупки</x:v>
      </x:c>
      <x:c r="AO329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329" s="13" t="str">
        <x:v>["blank_stock_assumed_zero", "category_missing", "daily_stockout_data_missing", "monthly_balance_date_assumed", "new_order_lead_time_unknown", "reservations_unknown", "stale_stock"]</x:v>
      </x:c>
      <x:c r="AQ329" s="10" t="str">
        <x:v>SE:030200090_</x:v>
      </x:c>
      <x:c r="AR329" s="24" t="n">
        <x:v>1</x:v>
      </x:c>
      <x:c r="AS329" s="24" t="n">
        <x:f>MAX(0,ROUNDUP(MAX(0,AF329-AG329-AH329)/AR329-0.000000001,0)*AR329)</x:f>
        <x:v>1</x:v>
      </x:c>
      <x:c r="AT329" s="24" t="n">
        <x:v>0.03423000602805042</x:v>
      </x:c>
    </x:row>
    <x:row r="330" ht="64" customHeight="1">
      <x:c r="A330" s="11" t="str">
        <x:v>Systeme Electric</x:v>
      </x:c>
      <x:c r="B330" s="33" t="str">
        <x:v>030200093_</x:v>
      </x:c>
      <x:c r="C330" s="33" t="str">
        <x:v>RS16-152-18</x:v>
      </x:c>
      <x:c r="D330" s="12" t="str">
        <x:v>S187 с/у. з/ш. з/к.16А "Wessen 59" РС 16-152-18 (10/60) !!!</x:v>
      </x:c>
      <x:c r="E330" s="11" t="str">
        <x:v>шт</x:v>
      </x:c>
      <x:c r="F330" s="35" t="n">
        <x:f>IF(AS330&gt;0,ROUNDUP(AS330/AJ330-0.000000001,0)*AJ330,0)</x:f>
        <x:v>20</x:v>
      </x:c>
      <x:c r="G330" s="20" t="str">
        <x:f>IF(J330="Рассчитано",V330*(1-R330/100)-W330-P330-Q330,"н/д")</x:f>
        <x:v>н/д</x:v>
      </x:c>
      <x:c r="H330" s="12" t="str">
        <x:v>Высокий</x:v>
      </x:c>
      <x:c r="I330" s="12" t="str">
        <x:v>Критический</x:v>
      </x:c>
      <x:c r="J330" s="12" t="str">
        <x:f>IF(L330="","Укажите валюту",IF(NOT(ISNUMBER(K330)),"Укажите объём",IF(K330&lt;=0,"Укажите объём",IF(COUNT(M330:O330)&lt;3,"Нужны цены",IF(COUNT(P330:R330)&lt;3,"Нужны расходы",IF(OR(M330&lt;0,N330&lt;0,O330&lt;0,O330&gt;100,P330&lt;0,Q330&lt;0,R330&lt;0,R330&gt;100),"Проверьте значения","Рассчитано"))))))</x:f>
        <x:v>Нужны цены</x:v>
      </x:c>
      <x:c r="K330" s="36" t="n">
        <x:v>20</x:v>
      </x:c>
      <x:c r="L330" s="19" t="str">
        <x:v>KZT</x:v>
      </x:c>
      <x:c r="M330" s="22"/>
      <x:c r="N330" s="22"/>
      <x:c r="O330" s="28"/>
      <x:c r="P330" s="22"/>
      <x:c r="Q330" s="22"/>
      <x:c r="R330" s="28"/>
      <x:c r="S330" s="22"/>
      <x:c r="T330" s="35" t="n">
        <x:f>MIN(K330,AT330)</x:f>
        <x:v>16.85363454521055</x:v>
      </x:c>
      <x:c r="U330" s="20" t="str">
        <x:f>IF(J330="Рассчитано",N330*(1-O330/100),"н/д")</x:f>
        <x:v>н/д</x:v>
      </x:c>
      <x:c r="V330" s="20" t="str">
        <x:f>IF(J330="Рассчитано",T330*U330,"н/д")</x:f>
        <x:v>н/д</x:v>
      </x:c>
      <x:c r="W330" s="20" t="str">
        <x:f>IF(J330="Рассчитано",T330*M330,"н/д")</x:f>
        <x:v>н/д</x:v>
      </x:c>
      <x:c r="X330" s="20" t="str">
        <x:f>IF(J330="Рассчитано",V330-W330,"н/д")</x:f>
        <x:v>н/д</x:v>
      </x:c>
      <x:c r="Y330" s="26" t="str">
        <x:f>IF(J330="Рассчитано",IF(V330&gt;0,G330/V330,"н/д"),"н/д")</x:f>
        <x:v>н/д</x:v>
      </x:c>
      <x:c r="Z330" s="20" t="str">
        <x:f>IF(J330="Рассчитано",K330*M330,"н/д")</x:f>
        <x:v>н/д</x:v>
      </x:c>
      <x:c r="AA330" s="20" t="str">
        <x:f>IF(J330="Рассчитано",(K330-T330)*M330,"н/д")</x:f>
        <x:v>н/д</x:v>
      </x:c>
      <x:c r="AB330" s="20" t="str">
        <x:f>IF(AND(J330="Рассчитано",ISNUMBER(S330)),K330*(S330-M330),"н/д")</x:f>
        <x:v>н/д</x:v>
      </x:c>
      <x:c r="AC330" s="20" t="str">
        <x:f>IF(AND(J330="Рассчитано",T330&gt;0,R330&lt;100),(W330+P330+Q330)/(T330*(1-R330/100)),"н/д")</x:f>
        <x:v>н/д</x:v>
      </x:c>
      <x:c r="AD330" s="11" t="str">
        <x:f>IF(ISNUMBER(G330),IF(G330&lt;0,"Убыток",IF(G330=0,"Без прибыли","Прибыль &gt; 0")),"Не оценён")</x:f>
        <x:v>Не оценён</x:v>
      </x:c>
      <x:c r="AE330" s="12" t="str">
        <x:f>IF(J330="Рассчитано","Выручка "&amp;TEXT(V330,"0.00")&amp;" - себестоимость "&amp;TEXT(W330,"0.00")&amp;" - комиссия "&amp;TEXT(V330*R330/100,"0.00")&amp;" - доставка "&amp;TEXT(P330,"0.00")&amp;" - прочие "&amp;TEXT(Q330,"0.00")&amp;" = "&amp;TEXT(G330,"0.00")&amp;" "&amp;L330,"Введите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0" s="23" t="n">
        <x:v>19.85363454521055</x:v>
      </x:c>
      <x:c r="AG330" s="35" t="n">
        <x:v>3</x:v>
      </x:c>
      <x:c r="AH330" s="35" t="n">
        <x:v>0</x:v>
      </x:c>
      <x:c r="AI330" s="29" t="n">
        <x:v>46266</x:v>
      </x:c>
      <x:c r="AJ330" s="35" t="n">
        <x:v>20</x:v>
      </x:c>
      <x:c r="AK330" s="11" t="str">
        <x:v>кратность</x:v>
      </x:c>
      <x:c r="AL330" s="31" t="n">
        <x:v>4.533175011107042</x:v>
      </x:c>
      <x:c r="AM330" s="12" t="str">
        <x:v>Остаток на начало сентября; Резервы неизвестны; Нет ежедневных данных доступности. Запаса примерно на 4.5 дн. без поступлений</x:v>
      </x:c>
      <x:c r="AN330" s="12" t="str">
        <x:v>Подтвердить наличие, срок и цену закупки</x:v>
      </x:c>
      <x:c r="AO330" s="12" t="str">
        <x:v>Прогноз 30 дней 19.85; остаток 3; поступления в срок 0; нехватка 17; заказ с учётом MOQ 20 шт. Остаток на начало сентября: требуется актуализация.</x:v>
      </x:c>
      <x:c r="AP330" s="12" t="str">
        <x:v>["category_missing", "daily_stockout_data_missing", "monthly_balance_date_assumed", "new_order_lead_time_unknown", "reservations_unknown", "stale_stock"]</x:v>
      </x:c>
      <x:c r="AQ330" s="11" t="str">
        <x:v>SE:030200093_</x:v>
      </x:c>
      <x:c r="AR330" s="23" t="n">
        <x:v>1</x:v>
      </x:c>
      <x:c r="AS330" s="23" t="n">
        <x:f>MAX(0,ROUNDUP(MAX(0,AF330-AG330-AH330)/AR330-0.000000001,0)*AR330)</x:f>
        <x:v>17</x:v>
      </x:c>
      <x:c r="AT330" s="23" t="n">
        <x:v>16.85363454521055</x:v>
      </x:c>
    </x:row>
    <x:row r="331" ht="64" customHeight="1">
      <x:c r="A331" s="10" t="str">
        <x:v>Systeme Electric</x:v>
      </x:c>
      <x:c r="B331" s="34" t="str">
        <x:v>030200097_</x:v>
      </x:c>
      <x:c r="C331" s="34" t="str">
        <x:v>VS16-135-B</x:v>
      </x:c>
      <x:c r="D331" s="13" t="str">
        <x:v>ВЫКЛЮЧАТЕЛЬ "ХИТ"СУ 1КЛ. ИБЕЛ. VS16-135-B Shn.Elec. !!!</x:v>
      </x:c>
      <x:c r="E331" s="10" t="str">
        <x:v>шт</x:v>
      </x:c>
      <x:c r="F331" s="37" t="n">
        <x:f>IF(AS331&gt;0,ROUNDUP(AS331/AJ331-0.000000001,0)*AJ331,0)</x:f>
        <x:v>20</x:v>
      </x:c>
      <x:c r="G331" s="21" t="str">
        <x:f>IF(J331="Рассчитано",V331*(1-R331/100)-W331-P331-Q331,"н/д")</x:f>
        <x:v>н/д</x:v>
      </x:c>
      <x:c r="H331" s="13" t="str">
        <x:v>Высокий</x:v>
      </x:c>
      <x:c r="I331" s="13" t="str">
        <x:v>Критический</x:v>
      </x:c>
      <x:c r="J331" s="13" t="str">
        <x:f>IF(L331="","Укажите валюту",IF(NOT(ISNUMBER(K331)),"Укажите объём",IF(K331&lt;=0,"Укажите объём",IF(COUNT(M331:O331)&lt;3,"Нужны цены",IF(COUNT(P331:R331)&lt;3,"Нужны расходы",IF(OR(M331&lt;0,N331&lt;0,O331&lt;0,O331&gt;100,P331&lt;0,Q331&lt;0,R331&lt;0,R331&gt;100),"Проверьте значения","Рассчитано"))))))</x:f>
        <x:v>Нужны цены</x:v>
      </x:c>
      <x:c r="K331" s="36" t="n">
        <x:v>20</x:v>
      </x:c>
      <x:c r="L331" s="19" t="str">
        <x:v>KZT</x:v>
      </x:c>
      <x:c r="M331" s="22"/>
      <x:c r="N331" s="22"/>
      <x:c r="O331" s="28"/>
      <x:c r="P331" s="22"/>
      <x:c r="Q331" s="22"/>
      <x:c r="R331" s="28"/>
      <x:c r="S331" s="22"/>
      <x:c r="T331" s="37" t="n">
        <x:f>MIN(K331,AT331)</x:f>
        <x:v>0.15216476048976146</x:v>
      </x:c>
      <x:c r="U331" s="21" t="str">
        <x:f>IF(J331="Рассчитано",N331*(1-O331/100),"н/д")</x:f>
        <x:v>н/д</x:v>
      </x:c>
      <x:c r="V331" s="21" t="str">
        <x:f>IF(J331="Рассчитано",T331*U331,"н/д")</x:f>
        <x:v>н/д</x:v>
      </x:c>
      <x:c r="W331" s="21" t="str">
        <x:f>IF(J331="Рассчитано",T331*M331,"н/д")</x:f>
        <x:v>н/д</x:v>
      </x:c>
      <x:c r="X331" s="21" t="str">
        <x:f>IF(J331="Рассчитано",V331-W331,"н/д")</x:f>
        <x:v>н/д</x:v>
      </x:c>
      <x:c r="Y331" s="27" t="str">
        <x:f>IF(J331="Рассчитано",IF(V331&gt;0,G331/V331,"н/д"),"н/д")</x:f>
        <x:v>н/д</x:v>
      </x:c>
      <x:c r="Z331" s="21" t="str">
        <x:f>IF(J331="Рассчитано",K331*M331,"н/д")</x:f>
        <x:v>н/д</x:v>
      </x:c>
      <x:c r="AA331" s="21" t="str">
        <x:f>IF(J331="Рассчитано",(K331-T331)*M331,"н/д")</x:f>
        <x:v>н/д</x:v>
      </x:c>
      <x:c r="AB331" s="21" t="str">
        <x:f>IF(AND(J331="Рассчитано",ISNUMBER(S331)),K331*(S331-M331),"н/д")</x:f>
        <x:v>н/д</x:v>
      </x:c>
      <x:c r="AC331" s="21" t="str">
        <x:f>IF(AND(J331="Рассчитано",T331&gt;0,R331&lt;100),(W331+P331+Q331)/(T331*(1-R331/100)),"н/д")</x:f>
        <x:v>н/д</x:v>
      </x:c>
      <x:c r="AD331" s="10" t="str">
        <x:f>IF(ISNUMBER(G331),IF(G331&lt;0,"Убыток",IF(G331=0,"Без прибыли","Прибыль &gt; 0")),"Не оценён")</x:f>
        <x:v>Не оценён</x:v>
      </x:c>
      <x:c r="AE331" s="13" t="str">
        <x:f>IF(J331="Рассчитано","Выручка "&amp;TEXT(V331,"0.00")&amp;" - себестоимость "&amp;TEXT(W331,"0.00")&amp;" - комиссия "&amp;TEXT(V331*R331/100,"0.00")&amp;" - доставка "&amp;TEXT(P331,"0.00")&amp;" - прочие "&amp;TEXT(Q331,"0.00")&amp;" = "&amp;TEXT(G331,"0.00")&amp;" "&amp;L331,"Введите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1" s="24" t="n">
        <x:v>0.15216476048976146</x:v>
      </x:c>
      <x:c r="AG331" s="37" t="n">
        <x:v>0</x:v>
      </x:c>
      <x:c r="AH331" s="37" t="n">
        <x:v>0</x:v>
      </x:c>
      <x:c r="AI331" s="30" t="n">
        <x:v>46266</x:v>
      </x:c>
      <x:c r="AJ331" s="37" t="n">
        <x:v>20</x:v>
      </x:c>
      <x:c r="AK331" s="10" t="str">
        <x:v>кратность</x:v>
      </x:c>
      <x:c r="AL331" s="32" t="n">
        <x:v>0</x:v>
      </x:c>
      <x:c r="AM331" s="13" t="str">
        <x:v>Остаток на начало сентября; Резервы неизвестны; Нет ежедневных данных доступности. Нет запаса</x:v>
      </x:c>
      <x:c r="AN331" s="13" t="str">
        <x:v>Подтвердить наличие, срок и цену закупки</x:v>
      </x:c>
      <x:c r="AO331" s="13" t="str">
        <x:v>Прогноз 30 дней 0.15; остаток 0; поступления в срок 0; нехватка 1; заказ с учётом MOQ 20 шт. Остаток на начало сентября: требуется актуализация.</x:v>
      </x:c>
      <x:c r="AP331" s="13" t="str">
        <x:v>["blank_stock_assumed_zero", "category_missing", "daily_stockout_data_missing", "monthly_balance_date_assumed", "new_order_lead_time_unknown", "reservations_unknown", "stale_stock"]</x:v>
      </x:c>
      <x:c r="AQ331" s="10" t="str">
        <x:v>SE:030200097_</x:v>
      </x:c>
      <x:c r="AR331" s="24" t="n">
        <x:v>1</x:v>
      </x:c>
      <x:c r="AS331" s="24" t="n">
        <x:f>MAX(0,ROUNDUP(MAX(0,AF331-AG331-AH331)/AR331-0.000000001,0)*AR331)</x:f>
        <x:v>1</x:v>
      </x:c>
      <x:c r="AT331" s="24" t="n">
        <x:v>0.15216476048976146</x:v>
      </x:c>
    </x:row>
    <x:row r="332" ht="64" customHeight="1">
      <x:c r="A332" s="11" t="str">
        <x:v>Systeme Electric</x:v>
      </x:c>
      <x:c r="B332" s="33" t="str">
        <x:v>030200127_</x:v>
      </x:c>
      <x:c r="C332" s="33" t="str">
        <x:v>VS616-157-18</x:v>
      </x:c>
      <x:c r="D332" s="12" t="str">
        <x:v>S183  Переключатель 1кл, с инд.,с/у 16А "Wessen 59" ВС 616-157-18 (60) !!!</x:v>
      </x:c>
      <x:c r="E332" s="11" t="str">
        <x:v>шт</x:v>
      </x:c>
      <x:c r="F332" s="35" t="n">
        <x:f>IF(AS332&gt;0,ROUNDUP(AS332/AJ332-0.000000001,0)*AJ332,0)</x:f>
        <x:v>1</x:v>
      </x:c>
      <x:c r="G332" s="20" t="str">
        <x:f>IF(J332="Рассчитано",V332*(1-R332/100)-W332-P332-Q332,"н/д")</x:f>
        <x:v>н/д</x:v>
      </x:c>
      <x:c r="H332" s="12" t="str">
        <x:v>Высокий</x:v>
      </x:c>
      <x:c r="I332" s="12" t="str">
        <x:v>Критический</x:v>
      </x:c>
      <x:c r="J332" s="12" t="str">
        <x:f>IF(L332="","Укажите валюту",IF(NOT(ISNUMBER(K332)),"Укажите объём",IF(K332&lt;=0,"Укажите объём",IF(COUNT(M332:O332)&lt;3,"Нужны цены",IF(COUNT(P332:R332)&lt;3,"Нужны расходы",IF(OR(M332&lt;0,N332&lt;0,O332&lt;0,O332&gt;100,P332&lt;0,Q332&lt;0,R332&lt;0,R332&gt;100),"Проверьте значения","Рассчитано"))))))</x:f>
        <x:v>Нужны цены</x:v>
      </x:c>
      <x:c r="K332" s="36" t="n">
        <x:v>1</x:v>
      </x:c>
      <x:c r="L332" s="19" t="str">
        <x:v>KZT</x:v>
      </x:c>
      <x:c r="M332" s="22"/>
      <x:c r="N332" s="22"/>
      <x:c r="O332" s="28"/>
      <x:c r="P332" s="22"/>
      <x:c r="Q332" s="22"/>
      <x:c r="R332" s="28"/>
      <x:c r="S332" s="22"/>
      <x:c r="T332" s="35" t="n">
        <x:f>MIN(K332,AT332)</x:f>
        <x:v>0.13363010752779847</x:v>
      </x:c>
      <x:c r="U332" s="20" t="str">
        <x:f>IF(J332="Рассчитано",N332*(1-O332/100),"н/д")</x:f>
        <x:v>н/д</x:v>
      </x:c>
      <x:c r="V332" s="20" t="str">
        <x:f>IF(J332="Рассчитано",T332*U332,"н/д")</x:f>
        <x:v>н/д</x:v>
      </x:c>
      <x:c r="W332" s="20" t="str">
        <x:f>IF(J332="Рассчитано",T332*M332,"н/д")</x:f>
        <x:v>н/д</x:v>
      </x:c>
      <x:c r="X332" s="20" t="str">
        <x:f>IF(J332="Рассчитано",V332-W332,"н/д")</x:f>
        <x:v>н/д</x:v>
      </x:c>
      <x:c r="Y332" s="26" t="str">
        <x:f>IF(J332="Рассчитано",IF(V332&gt;0,G332/V332,"н/д"),"н/д")</x:f>
        <x:v>н/д</x:v>
      </x:c>
      <x:c r="Z332" s="20" t="str">
        <x:f>IF(J332="Рассчитано",K332*M332,"н/д")</x:f>
        <x:v>н/д</x:v>
      </x:c>
      <x:c r="AA332" s="20" t="str">
        <x:f>IF(J332="Рассчитано",(K332-T332)*M332,"н/д")</x:f>
        <x:v>н/д</x:v>
      </x:c>
      <x:c r="AB332" s="20" t="str">
        <x:f>IF(AND(J332="Рассчитано",ISNUMBER(S332)),K332*(S332-M332),"н/д")</x:f>
        <x:v>н/д</x:v>
      </x:c>
      <x:c r="AC332" s="20" t="str">
        <x:f>IF(AND(J332="Рассчитано",T332&gt;0,R332&lt;100),(W332+P332+Q332)/(T332*(1-R332/100)),"н/д")</x:f>
        <x:v>н/д</x:v>
      </x:c>
      <x:c r="AD332" s="11" t="str">
        <x:f>IF(ISNUMBER(G332),IF(G332&lt;0,"Убыток",IF(G332=0,"Без прибыли","Прибыль &gt; 0")),"Не оценён")</x:f>
        <x:v>Не оценён</x:v>
      </x:c>
      <x:c r="AE332" s="12" t="str">
        <x:f>IF(J332="Рассчитано","Выручка "&amp;TEXT(V332,"0.00")&amp;" - себестоимость "&amp;TEXT(W332,"0.00")&amp;" - комиссия "&amp;TEXT(V332*R332/100,"0.00")&amp;" - доставка "&amp;TEXT(P332,"0.00")&amp;" - прочие "&amp;TEXT(Q332,"0.00")&amp;" = "&amp;TEXT(G332,"0.00")&amp;" "&amp;L332,"Введите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2" s="23" t="n">
        <x:v>0.13363010752779847</x:v>
      </x:c>
      <x:c r="AG332" s="35" t="n">
        <x:v>0</x:v>
      </x:c>
      <x:c r="AH332" s="35" t="n">
        <x:v>0</x:v>
      </x:c>
      <x:c r="AI332" s="29" t="n">
        <x:v>46266</x:v>
      </x:c>
      <x:c r="AJ332" s="35" t="n">
        <x:v>1</x:v>
      </x:c>
      <x:c r="AK332" s="11" t="str">
        <x:v>кратность</x:v>
      </x:c>
      <x:c r="AL332" s="31" t="n">
        <x:v>0</x:v>
      </x:c>
      <x:c r="AM332" s="12" t="str">
        <x:v>Остаток на начало сентября; Резервы неизвестны; Нет ежедневных данных доступности. Нет запаса</x:v>
      </x:c>
      <x:c r="AN332" s="12" t="str">
        <x:v>Подтвердить наличие, срок и цену закупки</x:v>
      </x:c>
      <x:c r="AO332" s="12" t="str">
        <x:v>Прогноз 30 дней 0.13; остаток 0; поступления в срок 0; нехватка 1; заказ с учётом MOQ 1 шт. Остаток на начало сентября: требуется актуализация.</x:v>
      </x:c>
      <x:c r="AP332" s="12" t="str">
        <x:v>["blank_stock_assumed_zero", "category_missing", "daily_stockout_data_missing", "monthly_balance_date_assumed", "new_order_lead_time_unknown", "reservations_unknown", "stale_stock"]</x:v>
      </x:c>
      <x:c r="AQ332" s="11" t="str">
        <x:v>SE:030200127_</x:v>
      </x:c>
      <x:c r="AR332" s="23" t="n">
        <x:v>1</x:v>
      </x:c>
      <x:c r="AS332" s="23" t="n">
        <x:f>MAX(0,ROUNDUP(MAX(0,AF332-AG332-AH332)/AR332-0.000000001,0)*AR332)</x:f>
        <x:v>1</x:v>
      </x:c>
      <x:c r="AT332" s="23" t="n">
        <x:v>0.13363010752779847</x:v>
      </x:c>
    </x:row>
    <x:row r="333" ht="64" customHeight="1">
      <x:c r="A333" s="10" t="str">
        <x:v>Systeme Electric</x:v>
      </x:c>
      <x:c r="B333" s="34" t="str">
        <x:v>030200128_</x:v>
      </x:c>
      <x:c r="C333" s="34" t="str">
        <x:v>VS616-157B-18</x:v>
      </x:c>
      <x:c r="D333" s="13" t="str">
        <x:v>S174  (1кл, инд с/у 16А, IP44) Переключатель "Wessen 59" ВС 616-157Б-18 (60) !!!</x:v>
      </x:c>
      <x:c r="E333" s="10" t="str">
        <x:v>шт</x:v>
      </x:c>
      <x:c r="F333" s="37" t="n">
        <x:f>IF(AS333&gt;0,ROUNDUP(AS333/AJ333-0.000000001,0)*AJ333,0)</x:f>
        <x:v>1</x:v>
      </x:c>
      <x:c r="G333" s="21" t="str">
        <x:f>IF(J333="Рассчитано",V333*(1-R333/100)-W333-P333-Q333,"н/д")</x:f>
        <x:v>н/д</x:v>
      </x:c>
      <x:c r="H333" s="13" t="str">
        <x:v>Высокий</x:v>
      </x:c>
      <x:c r="I333" s="13" t="str">
        <x:v>Критический</x:v>
      </x:c>
      <x:c r="J333" s="13" t="str">
        <x:f>IF(L333="","Укажите валюту",IF(NOT(ISNUMBER(K333)),"Укажите объём",IF(K333&lt;=0,"Укажите объём",IF(COUNT(M333:O333)&lt;3,"Нужны цены",IF(COUNT(P333:R333)&lt;3,"Нужны расходы",IF(OR(M333&lt;0,N333&lt;0,O333&lt;0,O333&gt;100,P333&lt;0,Q333&lt;0,R333&lt;0,R333&gt;100),"Проверьте значения","Рассчитано"))))))</x:f>
        <x:v>Нужны цены</x:v>
      </x:c>
      <x:c r="K333" s="36" t="n">
        <x:v>1</x:v>
      </x:c>
      <x:c r="L333" s="19" t="str">
        <x:v>KZT</x:v>
      </x:c>
      <x:c r="M333" s="22"/>
      <x:c r="N333" s="22"/>
      <x:c r="O333" s="28"/>
      <x:c r="P333" s="22"/>
      <x:c r="Q333" s="22"/>
      <x:c r="R333" s="28"/>
      <x:c r="S333" s="22"/>
      <x:c r="T333" s="37" t="n">
        <x:f>MIN(K333,AT333)</x:f>
        <x:v>0.06681505376389923</x:v>
      </x:c>
      <x:c r="U333" s="21" t="str">
        <x:f>IF(J333="Рассчитано",N333*(1-O333/100),"н/д")</x:f>
        <x:v>н/д</x:v>
      </x:c>
      <x:c r="V333" s="21" t="str">
        <x:f>IF(J333="Рассчитано",T333*U333,"н/д")</x:f>
        <x:v>н/д</x:v>
      </x:c>
      <x:c r="W333" s="21" t="str">
        <x:f>IF(J333="Рассчитано",T333*M333,"н/д")</x:f>
        <x:v>н/д</x:v>
      </x:c>
      <x:c r="X333" s="21" t="str">
        <x:f>IF(J333="Рассчитано",V333-W333,"н/д")</x:f>
        <x:v>н/д</x:v>
      </x:c>
      <x:c r="Y333" s="27" t="str">
        <x:f>IF(J333="Рассчитано",IF(V333&gt;0,G333/V333,"н/д"),"н/д")</x:f>
        <x:v>н/д</x:v>
      </x:c>
      <x:c r="Z333" s="21" t="str">
        <x:f>IF(J333="Рассчитано",K333*M333,"н/д")</x:f>
        <x:v>н/д</x:v>
      </x:c>
      <x:c r="AA333" s="21" t="str">
        <x:f>IF(J333="Рассчитано",(K333-T333)*M333,"н/д")</x:f>
        <x:v>н/д</x:v>
      </x:c>
      <x:c r="AB333" s="21" t="str">
        <x:f>IF(AND(J333="Рассчитано",ISNUMBER(S333)),K333*(S333-M333),"н/д")</x:f>
        <x:v>н/д</x:v>
      </x:c>
      <x:c r="AC333" s="21" t="str">
        <x:f>IF(AND(J333="Рассчитано",T333&gt;0,R333&lt;100),(W333+P333+Q333)/(T333*(1-R333/100)),"н/д")</x:f>
        <x:v>н/д</x:v>
      </x:c>
      <x:c r="AD333" s="10" t="str">
        <x:f>IF(ISNUMBER(G333),IF(G333&lt;0,"Убыток",IF(G333=0,"Без прибыли","Прибыль &gt; 0")),"Не оценён")</x:f>
        <x:v>Не оценён</x:v>
      </x:c>
      <x:c r="AE333" s="13" t="str">
        <x:f>IF(J333="Рассчитано","Выручка "&amp;TEXT(V333,"0.00")&amp;" - себестоимость "&amp;TEXT(W333,"0.00")&amp;" - комиссия "&amp;TEXT(V333*R333/100,"0.00")&amp;" - доставка "&amp;TEXT(P333,"0.00")&amp;" - прочие "&amp;TEXT(Q333,"0.00")&amp;" = "&amp;TEXT(G333,"0.00")&amp;" "&amp;L333,"Введите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3" s="24" t="n">
        <x:v>0.06681505376389923</x:v>
      </x:c>
      <x:c r="AG333" s="37" t="n">
        <x:v>0</x:v>
      </x:c>
      <x:c r="AH333" s="37" t="n">
        <x:v>0</x:v>
      </x:c>
      <x:c r="AI333" s="30" t="n">
        <x:v>46266</x:v>
      </x:c>
      <x:c r="AJ333" s="37" t="n">
        <x:v>1</x:v>
      </x:c>
      <x:c r="AK333" s="10" t="str">
        <x:v>кратность</x:v>
      </x:c>
      <x:c r="AL333" s="32" t="n">
        <x:v>0</x:v>
      </x:c>
      <x:c r="AM333" s="13" t="str">
        <x:v>Остаток на начало сентября; Резервы неизвестны; Нет ежедневных данных доступности. Нет запаса</x:v>
      </x:c>
      <x:c r="AN333" s="13" t="str">
        <x:v>Подтвердить наличие, срок и цену закупки</x:v>
      </x:c>
      <x:c r="AO333" s="13" t="str">
        <x:v>Прогноз 30 дней 0.07; остаток 0; поступления в срок 0; нехватка 1; заказ с учётом MOQ 1 шт. Остаток на начало сентября: требуется актуализация.</x:v>
      </x:c>
      <x:c r="AP333" s="13" t="str">
        <x:v>["blank_stock_assumed_zero", "category_missing", "daily_stockout_data_missing", "monthly_balance_date_assumed", "new_order_lead_time_unknown", "reservations_unknown", "stale_stock"]</x:v>
      </x:c>
      <x:c r="AQ333" s="10" t="str">
        <x:v>SE:030200128_</x:v>
      </x:c>
      <x:c r="AR333" s="24" t="n">
        <x:v>1</x:v>
      </x:c>
      <x:c r="AS333" s="24" t="n">
        <x:f>MAX(0,ROUNDUP(MAX(0,AF333-AG333-AH333)/AR333-0.000000001,0)*AR333)</x:f>
        <x:v>1</x:v>
      </x:c>
      <x:c r="AT333" s="24" t="n">
        <x:v>0.06681505376389923</x:v>
      </x:c>
    </x:row>
    <x:row r="334" ht="64" customHeight="1">
      <x:c r="A334" s="11" t="str">
        <x:v>Systeme Electric</x:v>
      </x:c>
      <x:c r="B334" s="33" t="str">
        <x:v>030200135_</x:v>
      </x:c>
      <x:c r="C334" s="33" t="str">
        <x:v>RS16-254-18</x:v>
      </x:c>
      <x:c r="D334" s="12" t="str">
        <x:v>S188   с/у. з/ш, 2-я 16А  "Wessen 59" РС 16-254-18 (6/36) !!!</x:v>
      </x:c>
      <x:c r="E334" s="11" t="str">
        <x:v>шт</x:v>
      </x:c>
      <x:c r="F334" s="35" t="n">
        <x:f>IF(AS334&gt;0,ROUNDUP(AS334/AJ334-0.000000001,0)*AJ334,0)</x:f>
        <x:v>48</x:v>
      </x:c>
      <x:c r="G334" s="20" t="str">
        <x:f>IF(J334="Рассчитано",V334*(1-R334/100)-W334-P334-Q334,"н/д")</x:f>
        <x:v>н/д</x:v>
      </x:c>
      <x:c r="H334" s="12" t="str">
        <x:v>Высокий</x:v>
      </x:c>
      <x:c r="I334" s="12" t="str">
        <x:v>Критический</x:v>
      </x:c>
      <x:c r="J334" s="12" t="str">
        <x:f>IF(L334="","Укажите валюту",IF(NOT(ISNUMBER(K334)),"Укажите объём",IF(K334&lt;=0,"Укажите объём",IF(COUNT(M334:O334)&lt;3,"Нужны цены",IF(COUNT(P334:R334)&lt;3,"Нужны расходы",IF(OR(M334&lt;0,N334&lt;0,O334&lt;0,O334&gt;100,P334&lt;0,Q334&lt;0,R334&lt;0,R334&gt;100),"Проверьте значения","Рассчитано"))))))</x:f>
        <x:v>Нужны цены</x:v>
      </x:c>
      <x:c r="K334" s="36" t="n">
        <x:v>48</x:v>
      </x:c>
      <x:c r="L334" s="19" t="str">
        <x:v>KZT</x:v>
      </x:c>
      <x:c r="M334" s="22"/>
      <x:c r="N334" s="22"/>
      <x:c r="O334" s="28"/>
      <x:c r="P334" s="22"/>
      <x:c r="Q334" s="22"/>
      <x:c r="R334" s="28"/>
      <x:c r="S334" s="22"/>
      <x:c r="T334" s="35" t="n">
        <x:f>MIN(K334,AT334)</x:f>
        <x:v>38.149486126575354</x:v>
      </x:c>
      <x:c r="U334" s="20" t="str">
        <x:f>IF(J334="Рассчитано",N334*(1-O334/100),"н/д")</x:f>
        <x:v>н/д</x:v>
      </x:c>
      <x:c r="V334" s="20" t="str">
        <x:f>IF(J334="Рассчитано",T334*U334,"н/д")</x:f>
        <x:v>н/д</x:v>
      </x:c>
      <x:c r="W334" s="20" t="str">
        <x:f>IF(J334="Рассчитано",T334*M334,"н/д")</x:f>
        <x:v>н/д</x:v>
      </x:c>
      <x:c r="X334" s="20" t="str">
        <x:f>IF(J334="Рассчитано",V334-W334,"н/д")</x:f>
        <x:v>н/д</x:v>
      </x:c>
      <x:c r="Y334" s="26" t="str">
        <x:f>IF(J334="Рассчитано",IF(V334&gt;0,G334/V334,"н/д"),"н/д")</x:f>
        <x:v>н/д</x:v>
      </x:c>
      <x:c r="Z334" s="20" t="str">
        <x:f>IF(J334="Рассчитано",K334*M334,"н/д")</x:f>
        <x:v>н/д</x:v>
      </x:c>
      <x:c r="AA334" s="20" t="str">
        <x:f>IF(J334="Рассчитано",(K334-T334)*M334,"н/д")</x:f>
        <x:v>н/д</x:v>
      </x:c>
      <x:c r="AB334" s="20" t="str">
        <x:f>IF(AND(J334="Рассчитано",ISNUMBER(S334)),K334*(S334-M334),"н/д")</x:f>
        <x:v>н/д</x:v>
      </x:c>
      <x:c r="AC334" s="20" t="str">
        <x:f>IF(AND(J334="Рассчитано",T334&gt;0,R334&lt;100),(W334+P334+Q334)/(T334*(1-R334/100)),"н/д")</x:f>
        <x:v>н/д</x:v>
      </x:c>
      <x:c r="AD334" s="11" t="str">
        <x:f>IF(ISNUMBER(G334),IF(G334&lt;0,"Убыток",IF(G334=0,"Без прибыли","Прибыль &gt; 0")),"Не оценён")</x:f>
        <x:v>Не оценён</x:v>
      </x:c>
      <x:c r="AE334" s="12" t="str">
        <x:f>IF(J334="Рассчитано","Выручка "&amp;TEXT(V334,"0.00")&amp;" - себестоимость "&amp;TEXT(W334,"0.00")&amp;" - комиссия "&amp;TEXT(V334*R334/100,"0.00")&amp;" - доставка "&amp;TEXT(P334,"0.00")&amp;" - прочие "&amp;TEXT(Q334,"0.00")&amp;" = "&amp;TEXT(G334,"0.00")&amp;" "&amp;L334,"Введите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4" s="23" t="n">
        <x:v>38.149486126575354</x:v>
      </x:c>
      <x:c r="AG334" s="35" t="n">
        <x:v>0</x:v>
      </x:c>
      <x:c r="AH334" s="35" t="n">
        <x:v>0</x:v>
      </x:c>
      <x:c r="AI334" s="29" t="n">
        <x:v>46266</x:v>
      </x:c>
      <x:c r="AJ334" s="35" t="n">
        <x:v>12</x:v>
      </x:c>
      <x:c r="AK334" s="11" t="str">
        <x:v>кратность</x:v>
      </x:c>
      <x:c r="AL334" s="31" t="n">
        <x:v>0</x:v>
      </x:c>
      <x:c r="AM334" s="12" t="str">
        <x:v>Остаток на начало сентября; Резервы неизвестны; Нет ежедневных данных доступности. Нет запаса</x:v>
      </x:c>
      <x:c r="AN334" s="12" t="str">
        <x:v>Подтвердить наличие, срок и цену закупки</x:v>
      </x:c>
      <x:c r="AO334" s="12" t="str">
        <x:v>Прогноз 30 дней 38.15; остаток 0; поступления в срок 0; нехватка 39; заказ с учётом MOQ 48 шт. Остаток на начало сентября: требуется актуализация.</x:v>
      </x:c>
      <x:c r="AP334" s="12" t="str">
        <x:v>["blank_stock_assumed_zero", "category_missing", "daily_stockout_data_missing", "monthly_balance_date_assumed", "new_order_lead_time_unknown", "reservations_unknown", "stale_stock"]</x:v>
      </x:c>
      <x:c r="AQ334" s="11" t="str">
        <x:v>SE:030200135_</x:v>
      </x:c>
      <x:c r="AR334" s="23" t="n">
        <x:v>1</x:v>
      </x:c>
      <x:c r="AS334" s="23" t="n">
        <x:f>MAX(0,ROUNDUP(MAX(0,AF334-AG334-AH334)/AR334-0.000000001,0)*AR334)</x:f>
        <x:v>39</x:v>
      </x:c>
      <x:c r="AT334" s="23" t="n">
        <x:v>38.149486126575354</x:v>
      </x:c>
    </x:row>
    <x:row r="335" ht="64" customHeight="1">
      <x:c r="A335" s="10" t="str">
        <x:v>Systeme Electric</x:v>
      </x:c>
      <x:c r="B335" s="34" t="str">
        <x:v>030200141_</x:v>
      </x:c>
      <x:c r="C335" s="34" t="str">
        <x:v>SR-5S2-18</x:v>
      </x:c>
      <x:c r="D335" s="13" t="str">
        <x:v>S184  Диммер (с/у 600Вт) "Wessen 59" ВПП-5С2-18(2/16) !!!</x:v>
      </x:c>
      <x:c r="E335" s="10" t="str">
        <x:v>шт</x:v>
      </x:c>
      <x:c r="F335" s="37" t="n">
        <x:f>IF(AS335&gt;0,ROUNDUP(AS335/AJ335-0.000000001,0)*AJ335,0)</x:f>
        <x:v>4</x:v>
      </x:c>
      <x:c r="G335" s="21" t="str">
        <x:f>IF(J335="Рассчитано",V335*(1-R335/100)-W335-P335-Q335,"н/д")</x:f>
        <x:v>н/д</x:v>
      </x:c>
      <x:c r="H335" s="13" t="str">
        <x:v>Высокий</x:v>
      </x:c>
      <x:c r="I335" s="13" t="str">
        <x:v>Критический</x:v>
      </x:c>
      <x:c r="J335" s="13" t="str">
        <x:f>IF(L335="","Укажите валюту",IF(NOT(ISNUMBER(K335)),"Укажите объём",IF(K335&lt;=0,"Укажите объём",IF(COUNT(M335:O335)&lt;3,"Нужны цены",IF(COUNT(P335:R335)&lt;3,"Нужны расходы",IF(OR(M335&lt;0,N335&lt;0,O335&lt;0,O335&gt;100,P335&lt;0,Q335&lt;0,R335&lt;0,R335&gt;100),"Проверьте значения","Рассчитано"))))))</x:f>
        <x:v>Нужны цены</x:v>
      </x:c>
      <x:c r="K335" s="36" t="n">
        <x:v>4</x:v>
      </x:c>
      <x:c r="L335" s="19" t="str">
        <x:v>KZT</x:v>
      </x:c>
      <x:c r="M335" s="22"/>
      <x:c r="N335" s="22"/>
      <x:c r="O335" s="28"/>
      <x:c r="P335" s="22"/>
      <x:c r="Q335" s="22"/>
      <x:c r="R335" s="28"/>
      <x:c r="S335" s="22"/>
      <x:c r="T335" s="37" t="n">
        <x:f>MIN(K335,AT335)</x:f>
        <x:v>3.950593367282948</x:v>
      </x:c>
      <x:c r="U335" s="21" t="str">
        <x:f>IF(J335="Рассчитано",N335*(1-O335/100),"н/д")</x:f>
        <x:v>н/д</x:v>
      </x:c>
      <x:c r="V335" s="21" t="str">
        <x:f>IF(J335="Рассчитано",T335*U335,"н/д")</x:f>
        <x:v>н/д</x:v>
      </x:c>
      <x:c r="W335" s="21" t="str">
        <x:f>IF(J335="Рассчитано",T335*M335,"н/д")</x:f>
        <x:v>н/д</x:v>
      </x:c>
      <x:c r="X335" s="21" t="str">
        <x:f>IF(J335="Рассчитано",V335-W335,"н/д")</x:f>
        <x:v>н/д</x:v>
      </x:c>
      <x:c r="Y335" s="27" t="str">
        <x:f>IF(J335="Рассчитано",IF(V335&gt;0,G335/V335,"н/д"),"н/д")</x:f>
        <x:v>н/д</x:v>
      </x:c>
      <x:c r="Z335" s="21" t="str">
        <x:f>IF(J335="Рассчитано",K335*M335,"н/д")</x:f>
        <x:v>н/д</x:v>
      </x:c>
      <x:c r="AA335" s="21" t="str">
        <x:f>IF(J335="Рассчитано",(K335-T335)*M335,"н/д")</x:f>
        <x:v>н/д</x:v>
      </x:c>
      <x:c r="AB335" s="21" t="str">
        <x:f>IF(AND(J335="Рассчитано",ISNUMBER(S335)),K335*(S335-M335),"н/д")</x:f>
        <x:v>н/д</x:v>
      </x:c>
      <x:c r="AC335" s="21" t="str">
        <x:f>IF(AND(J335="Рассчитано",T335&gt;0,R335&lt;100),(W335+P335+Q335)/(T335*(1-R335/100)),"н/д")</x:f>
        <x:v>н/д</x:v>
      </x:c>
      <x:c r="AD335" s="10" t="str">
        <x:f>IF(ISNUMBER(G335),IF(G335&lt;0,"Убыток",IF(G335=0,"Без прибыли","Прибыль &gt; 0")),"Не оценён")</x:f>
        <x:v>Не оценён</x:v>
      </x:c>
      <x:c r="AE335" s="13" t="str">
        <x:f>IF(J335="Рассчитано","Выручка "&amp;TEXT(V335,"0.00")&amp;" - себестоимость "&amp;TEXT(W335,"0.00")&amp;" - комиссия "&amp;TEXT(V335*R335/100,"0.00")&amp;" - доставка "&amp;TEXT(P335,"0.00")&amp;" - прочие "&amp;TEXT(Q335,"0.00")&amp;" = "&amp;TEXT(G335,"0.00")&amp;" "&amp;L335,"Введите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5" s="24" t="n">
        <x:v>3.950593367282948</x:v>
      </x:c>
      <x:c r="AG335" s="37" t="n">
        <x:v>0</x:v>
      </x:c>
      <x:c r="AH335" s="37" t="n">
        <x:v>0</x:v>
      </x:c>
      <x:c r="AI335" s="30" t="n">
        <x:v>46266</x:v>
      </x:c>
      <x:c r="AJ335" s="37" t="n">
        <x:v>1</x:v>
      </x:c>
      <x:c r="AK335" s="10" t="str">
        <x:v>кратность</x:v>
      </x:c>
      <x:c r="AL335" s="32" t="n">
        <x:v>0</x:v>
      </x:c>
      <x:c r="AM335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335" s="13" t="str">
        <x:v>Подтвердить наличие, срок и цену закупки</x:v>
      </x:c>
      <x:c r="AO335" s="13" t="str">
        <x:v>Прогноз 30 дней 3.95; остаток 0; поступления в срок 0; нехватка 4; заказ с учётом MOQ 4 шт. Остаток на начало сентября: требуется актуализация.</x:v>
      </x:c>
      <x:c r="AP335" s="13" t="str">
        <x:v>["blank_stock_assumed_zero", "category_missing", "daily_stockout_data_missing", "large_orders_detected", "monthly_balance_date_assumed", "new_order_lead_time_unknown", "reservations_unknown", "stale_stock", "stockout_proxy_used"]</x:v>
      </x:c>
      <x:c r="AQ335" s="10" t="str">
        <x:v>SE:030200141_</x:v>
      </x:c>
      <x:c r="AR335" s="24" t="n">
        <x:v>1</x:v>
      </x:c>
      <x:c r="AS335" s="24" t="n">
        <x:f>MAX(0,ROUNDUP(MAX(0,AF335-AG335-AH335)/AR335-0.000000001,0)*AR335)</x:f>
        <x:v>4</x:v>
      </x:c>
      <x:c r="AT335" s="24" t="n">
        <x:v>3.950593367282948</x:v>
      </x:c>
    </x:row>
    <x:row r="336" ht="64" customHeight="1">
      <x:c r="A336" s="11" t="str">
        <x:v>Systeme Electric</x:v>
      </x:c>
      <x:c r="B336" s="33" t="str">
        <x:v>030200176_</x:v>
      </x:c>
      <x:c r="C336" s="33" t="str">
        <x:v>PA16-044B</x:v>
      </x:c>
      <x:c r="D336" s="12" t="str">
        <x:v>S315  Розетка 1-я о/у, з/ш, з/к IP44 Белая ЭТЮД РА16-044В (96)</x:v>
      </x:c>
      <x:c r="E336" s="11" t="str">
        <x:v>шт</x:v>
      </x:c>
      <x:c r="F336" s="35" t="n">
        <x:f>IF(AS336&gt;0,ROUNDUP(AS336/AJ336-0.000000001,0)*AJ336,0)</x:f>
        <x:v>12</x:v>
      </x:c>
      <x:c r="G336" s="20" t="str">
        <x:f>IF(J336="Рассчитано",V336*(1-R336/100)-W336-P336-Q336,"н/д")</x:f>
        <x:v>н/д</x:v>
      </x:c>
      <x:c r="H336" s="12" t="str">
        <x:v>Высокий</x:v>
      </x:c>
      <x:c r="I336" s="12" t="str">
        <x:v>Высокий</x:v>
      </x:c>
      <x:c r="J336" s="12" t="str">
        <x:f>IF(L336="","Укажите валюту",IF(NOT(ISNUMBER(K336)),"Укажите объём",IF(K336&lt;=0,"Укажите объём",IF(COUNT(M336:O336)&lt;3,"Нужны цены",IF(COUNT(P336:R336)&lt;3,"Нужны расходы",IF(OR(M336&lt;0,N336&lt;0,O336&lt;0,O336&gt;100,P336&lt;0,Q336&lt;0,R336&lt;0,R336&gt;100),"Проверьте значения","Рассчитано"))))))</x:f>
        <x:v>Нужны цены</x:v>
      </x:c>
      <x:c r="K336" s="36" t="n">
        <x:v>12</x:v>
      </x:c>
      <x:c r="L336" s="19" t="str">
        <x:v>KZT</x:v>
      </x:c>
      <x:c r="M336" s="22"/>
      <x:c r="N336" s="22"/>
      <x:c r="O336" s="28"/>
      <x:c r="P336" s="22"/>
      <x:c r="Q336" s="22"/>
      <x:c r="R336" s="28"/>
      <x:c r="S336" s="22"/>
      <x:c r="T336" s="35" t="n">
        <x:f>MIN(K336,AT336)</x:f>
        <x:v>1.1866234685740125</x:v>
      </x:c>
      <x:c r="U336" s="20" t="str">
        <x:f>IF(J336="Рассчитано",N336*(1-O336/100),"н/д")</x:f>
        <x:v>н/д</x:v>
      </x:c>
      <x:c r="V336" s="20" t="str">
        <x:f>IF(J336="Рассчитано",T336*U336,"н/д")</x:f>
        <x:v>н/д</x:v>
      </x:c>
      <x:c r="W336" s="20" t="str">
        <x:f>IF(J336="Рассчитано",T336*M336,"н/д")</x:f>
        <x:v>н/д</x:v>
      </x:c>
      <x:c r="X336" s="20" t="str">
        <x:f>IF(J336="Рассчитано",V336-W336,"н/д")</x:f>
        <x:v>н/д</x:v>
      </x:c>
      <x:c r="Y336" s="26" t="str">
        <x:f>IF(J336="Рассчитано",IF(V336&gt;0,G336/V336,"н/д"),"н/д")</x:f>
        <x:v>н/д</x:v>
      </x:c>
      <x:c r="Z336" s="20" t="str">
        <x:f>IF(J336="Рассчитано",K336*M336,"н/д")</x:f>
        <x:v>н/д</x:v>
      </x:c>
      <x:c r="AA336" s="20" t="str">
        <x:f>IF(J336="Рассчитано",(K336-T336)*M336,"н/д")</x:f>
        <x:v>н/д</x:v>
      </x:c>
      <x:c r="AB336" s="20" t="str">
        <x:f>IF(AND(J336="Рассчитано",ISNUMBER(S336)),K336*(S336-M336),"н/д")</x:f>
        <x:v>н/д</x:v>
      </x:c>
      <x:c r="AC336" s="20" t="str">
        <x:f>IF(AND(J336="Рассчитано",T336&gt;0,R336&lt;100),(W336+P336+Q336)/(T336*(1-R336/100)),"н/д")</x:f>
        <x:v>н/д</x:v>
      </x:c>
      <x:c r="AD336" s="11" t="str">
        <x:f>IF(ISNUMBER(G336),IF(G336&lt;0,"Убыток",IF(G336=0,"Без прибыли","Прибыль &gt; 0")),"Не оценён")</x:f>
        <x:v>Не оценён</x:v>
      </x:c>
      <x:c r="AE336" s="12" t="str">
        <x:f>IF(J336="Рассчитано","Выручка "&amp;TEXT(V336,"0.00")&amp;" - себестоимость "&amp;TEXT(W336,"0.00")&amp;" - комиссия "&amp;TEXT(V336*R336/100,"0.00")&amp;" - доставка "&amp;TEXT(P336,"0.00")&amp;" - прочие "&amp;TEXT(Q336,"0.00")&amp;" = "&amp;TEXT(G336,"0.00")&amp;" "&amp;L336,"Введите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6" s="23" t="n">
        <x:v>2.1866234685740125</x:v>
      </x:c>
      <x:c r="AG336" s="35" t="n">
        <x:v>1</x:v>
      </x:c>
      <x:c r="AH336" s="35" t="n">
        <x:v>0</x:v>
      </x:c>
      <x:c r="AI336" s="29" t="n">
        <x:v>46266</x:v>
      </x:c>
      <x:c r="AJ336" s="35" t="n">
        <x:v>12</x:v>
      </x:c>
      <x:c r="AK336" s="11" t="str">
        <x:v>кратность</x:v>
      </x:c>
      <x:c r="AL336" s="31" t="n">
        <x:v>13.719783232530766</x:v>
      </x:c>
      <x:c r="AM336" s="12" t="str">
        <x:v>Остаток на начало сентября; Резервы неизвестны; Нет ежедневных данных доступности. Запаса примерно на 13.7 дн. без поступлений</x:v>
      </x:c>
      <x:c r="AN336" s="12" t="str">
        <x:v>Подтвердить наличие, срок и цену закупки</x:v>
      </x:c>
      <x:c r="AO336" s="12" t="str">
        <x:v>Прогноз 30 дней 2.19; остаток 1; поступления в срок 0; нехватка 2; заказ с учётом MOQ 12 шт. Остаток на начало сентября: требуется актуализация.</x:v>
      </x:c>
      <x:c r="AP336" s="12" t="str">
        <x:v>["category_missing", "daily_stockout_data_missing", "monthly_balance_date_assumed", "new_order_lead_time_unknown", "reservations_unknown", "stale_stock"]</x:v>
      </x:c>
      <x:c r="AQ336" s="11" t="str">
        <x:v>SE:030200176_</x:v>
      </x:c>
      <x:c r="AR336" s="23" t="n">
        <x:v>1</x:v>
      </x:c>
      <x:c r="AS336" s="23" t="n">
        <x:f>MAX(0,ROUNDUP(MAX(0,AF336-AG336-AH336)/AR336-0.000000001,0)*AR336)</x:f>
        <x:v>2</x:v>
      </x:c>
      <x:c r="AT336" s="23" t="n">
        <x:v>1.1866234685740125</x:v>
      </x:c>
    </x:row>
    <x:row r="337" ht="64" customHeight="1">
      <x:c r="A337" s="10" t="str">
        <x:v>Systeme Electric</x:v>
      </x:c>
      <x:c r="B337" s="34" t="str">
        <x:v>030200244_</x:v>
      </x:c>
      <x:c r="C337" s="34" t="str">
        <x:v>GSL000153</x:v>
      </x:c>
      <x:c r="D337" s="13" t="str">
        <x:v>S363 Выкл 2 кл с инд 10А с/у б/рамки "GLOSSA" белый GSL153 (20)</x:v>
      </x:c>
      <x:c r="E337" s="10" t="str">
        <x:v>шт</x:v>
      </x:c>
      <x:c r="F337" s="37" t="n">
        <x:f>IF(AS337&gt;0,ROUNDUP(AS337/AJ337-0.000000001,0)*AJ337,0)</x:f>
        <x:v>20</x:v>
      </x:c>
      <x:c r="G337" s="21" t="str">
        <x:f>IF(J337="Рассчитано",V337*(1-R337/100)-W337-P337-Q337,"н/д")</x:f>
        <x:v>н/д</x:v>
      </x:c>
      <x:c r="H337" s="13" t="str">
        <x:v>Высокий</x:v>
      </x:c>
      <x:c r="I337" s="13" t="str">
        <x:v>Критический</x:v>
      </x:c>
      <x:c r="J337" s="13" t="str">
        <x:f>IF(L337="","Укажите валюту",IF(NOT(ISNUMBER(K337)),"Укажите объём",IF(K337&lt;=0,"Укажите объём",IF(COUNT(M337:O337)&lt;3,"Нужны цены",IF(COUNT(P337:R337)&lt;3,"Нужны расходы",IF(OR(M337&lt;0,N337&lt;0,O337&lt;0,O337&gt;100,P337&lt;0,Q337&lt;0,R337&lt;0,R337&gt;100),"Проверьте значения","Рассчитано"))))))</x:f>
        <x:v>Нужны цены</x:v>
      </x:c>
      <x:c r="K337" s="36" t="n">
        <x:v>20</x:v>
      </x:c>
      <x:c r="L337" s="19" t="str">
        <x:v>KZT</x:v>
      </x:c>
      <x:c r="M337" s="22"/>
      <x:c r="N337" s="22"/>
      <x:c r="O337" s="28"/>
      <x:c r="P337" s="22"/>
      <x:c r="Q337" s="22"/>
      <x:c r="R337" s="28"/>
      <x:c r="S337" s="22"/>
      <x:c r="T337" s="37" t="n">
        <x:f>MIN(K337,AT337)</x:f>
        <x:v>2.0997539864919377</x:v>
      </x:c>
      <x:c r="U337" s="21" t="str">
        <x:f>IF(J337="Рассчитано",N337*(1-O337/100),"н/д")</x:f>
        <x:v>н/д</x:v>
      </x:c>
      <x:c r="V337" s="21" t="str">
        <x:f>IF(J337="Рассчитано",T337*U337,"н/д")</x:f>
        <x:v>н/д</x:v>
      </x:c>
      <x:c r="W337" s="21" t="str">
        <x:f>IF(J337="Рассчитано",T337*M337,"н/д")</x:f>
        <x:v>н/д</x:v>
      </x:c>
      <x:c r="X337" s="21" t="str">
        <x:f>IF(J337="Рассчитано",V337-W337,"н/д")</x:f>
        <x:v>н/д</x:v>
      </x:c>
      <x:c r="Y337" s="27" t="str">
        <x:f>IF(J337="Рассчитано",IF(V337&gt;0,G337/V337,"н/д"),"н/д")</x:f>
        <x:v>н/д</x:v>
      </x:c>
      <x:c r="Z337" s="21" t="str">
        <x:f>IF(J337="Рассчитано",K337*M337,"н/д")</x:f>
        <x:v>н/д</x:v>
      </x:c>
      <x:c r="AA337" s="21" t="str">
        <x:f>IF(J337="Рассчитано",(K337-T337)*M337,"н/д")</x:f>
        <x:v>н/д</x:v>
      </x:c>
      <x:c r="AB337" s="21" t="str">
        <x:f>IF(AND(J337="Рассчитано",ISNUMBER(S337)),K337*(S337-M337),"н/д")</x:f>
        <x:v>н/д</x:v>
      </x:c>
      <x:c r="AC337" s="21" t="str">
        <x:f>IF(AND(J337="Рассчитано",T337&gt;0,R337&lt;100),(W337+P337+Q337)/(T337*(1-R337/100)),"н/д")</x:f>
        <x:v>н/д</x:v>
      </x:c>
      <x:c r="AD337" s="10" t="str">
        <x:f>IF(ISNUMBER(G337),IF(G337&lt;0,"Убыток",IF(G337=0,"Без прибыли","Прибыль &gt; 0")),"Не оценён")</x:f>
        <x:v>Не оценён</x:v>
      </x:c>
      <x:c r="AE337" s="13" t="str">
        <x:f>IF(J337="Рассчитано","Выручка "&amp;TEXT(V337,"0.00")&amp;" - себестоимость "&amp;TEXT(W337,"0.00")&amp;" - комиссия "&amp;TEXT(V337*R337/100,"0.00")&amp;" - доставка "&amp;TEXT(P337,"0.00")&amp;" - прочие "&amp;TEXT(Q337,"0.00")&amp;" = "&amp;TEXT(G337,"0.00")&amp;" "&amp;L337,"Введите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7" s="24" t="n">
        <x:v>2.0997539864919377</x:v>
      </x:c>
      <x:c r="AG337" s="37" t="n">
        <x:v>0</x:v>
      </x:c>
      <x:c r="AH337" s="37" t="n">
        <x:v>0</x:v>
      </x:c>
      <x:c r="AI337" s="30" t="n">
        <x:v>46266</x:v>
      </x:c>
      <x:c r="AJ337" s="37" t="n">
        <x:v>20</x:v>
      </x:c>
      <x:c r="AK337" s="10" t="str">
        <x:v>кратность</x:v>
      </x:c>
      <x:c r="AL337" s="32" t="n">
        <x:v>0</x:v>
      </x:c>
      <x:c r="AM337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337" s="13" t="str">
        <x:v>Подтвердить наличие, срок и цену закупки</x:v>
      </x:c>
      <x:c r="AO337" s="13" t="str">
        <x:v>Прогноз 30 дней 2.10; остаток 0; поступления в срок 0; нехватка 3; заказ с учётом MOQ 20 шт. Остаток на начало сентября: требуется актуализация.</x:v>
      </x:c>
      <x:c r="AP337" s="13" t="str">
        <x:v>["blank_stock_assumed_zero", "category_missing", "daily_stockout_data_missing", "monthly_balance_date_assumed", "negative_net_sales_clipped_for_forecast", "new_order_lead_time_unknown", "reservations_unknown", "stale_stock", "stockout_proxy_used"]</x:v>
      </x:c>
      <x:c r="AQ337" s="10" t="str">
        <x:v>SE:030200244_</x:v>
      </x:c>
      <x:c r="AR337" s="24" t="n">
        <x:v>1</x:v>
      </x:c>
      <x:c r="AS337" s="24" t="n">
        <x:f>MAX(0,ROUNDUP(MAX(0,AF337-AG337-AH337)/AR337-0.000000001,0)*AR337)</x:f>
        <x:v>3</x:v>
      </x:c>
      <x:c r="AT337" s="24" t="n">
        <x:v>2.0997539864919377</x:v>
      </x:c>
    </x:row>
    <x:row r="338" ht="64" customHeight="1">
      <x:c r="A338" s="11" t="str">
        <x:v>Systeme Electric</x:v>
      </x:c>
      <x:c r="B338" s="33" t="str">
        <x:v>030200246_</x:v>
      </x:c>
      <x:c r="C338" s="33" t="str">
        <x:v>GSL000113</x:v>
      </x:c>
      <x:c r="D338" s="12" t="str">
        <x:v>S361 Выкл 1 кл с инд 10А с/у б/рамки " белый GSL113 (20)</x:v>
      </x:c>
      <x:c r="E338" s="11" t="str">
        <x:v>шт</x:v>
      </x:c>
      <x:c r="F338" s="35" t="n">
        <x:f>IF(AS338&gt;0,ROUNDUP(AS338/AJ338-0.000000001,0)*AJ338,0)</x:f>
        <x:v>20</x:v>
      </x:c>
      <x:c r="G338" s="20" t="str">
        <x:f>IF(J338="Рассчитано",V338*(1-R338/100)-W338-P338-Q338,"н/д")</x:f>
        <x:v>н/д</x:v>
      </x:c>
      <x:c r="H338" s="12" t="str">
        <x:v>Высокий</x:v>
      </x:c>
      <x:c r="I338" s="12" t="str">
        <x:v>Критический</x:v>
      </x:c>
      <x:c r="J338" s="12" t="str">
        <x:f>IF(L338="","Укажите валюту",IF(NOT(ISNUMBER(K338)),"Укажите объём",IF(K338&lt;=0,"Укажите объём",IF(COUNT(M338:O338)&lt;3,"Нужны цены",IF(COUNT(P338:R338)&lt;3,"Нужны расходы",IF(OR(M338&lt;0,N338&lt;0,O338&lt;0,O338&gt;100,P338&lt;0,Q338&lt;0,R338&lt;0,R338&gt;100),"Проверьте значения","Рассчитано"))))))</x:f>
        <x:v>Нужны цены</x:v>
      </x:c>
      <x:c r="K338" s="36" t="n">
        <x:v>20</x:v>
      </x:c>
      <x:c r="L338" s="19" t="str">
        <x:v>KZT</x:v>
      </x:c>
      <x:c r="M338" s="22"/>
      <x:c r="N338" s="22"/>
      <x:c r="O338" s="28"/>
      <x:c r="P338" s="22"/>
      <x:c r="Q338" s="22"/>
      <x:c r="R338" s="28"/>
      <x:c r="S338" s="22"/>
      <x:c r="T338" s="35" t="n">
        <x:f>MIN(K338,AT338)</x:f>
        <x:v>2.1031181316794645</x:v>
      </x:c>
      <x:c r="U338" s="20" t="str">
        <x:f>IF(J338="Рассчитано",N338*(1-O338/100),"н/д")</x:f>
        <x:v>н/д</x:v>
      </x:c>
      <x:c r="V338" s="20" t="str">
        <x:f>IF(J338="Рассчитано",T338*U338,"н/д")</x:f>
        <x:v>н/д</x:v>
      </x:c>
      <x:c r="W338" s="20" t="str">
        <x:f>IF(J338="Рассчитано",T338*M338,"н/д")</x:f>
        <x:v>н/д</x:v>
      </x:c>
      <x:c r="X338" s="20" t="str">
        <x:f>IF(J338="Рассчитано",V338-W338,"н/д")</x:f>
        <x:v>н/д</x:v>
      </x:c>
      <x:c r="Y338" s="26" t="str">
        <x:f>IF(J338="Рассчитано",IF(V338&gt;0,G338/V338,"н/д"),"н/д")</x:f>
        <x:v>н/д</x:v>
      </x:c>
      <x:c r="Z338" s="20" t="str">
        <x:f>IF(J338="Рассчитано",K338*M338,"н/д")</x:f>
        <x:v>н/д</x:v>
      </x:c>
      <x:c r="AA338" s="20" t="str">
        <x:f>IF(J338="Рассчитано",(K338-T338)*M338,"н/д")</x:f>
        <x:v>н/д</x:v>
      </x:c>
      <x:c r="AB338" s="20" t="str">
        <x:f>IF(AND(J338="Рассчитано",ISNUMBER(S338)),K338*(S338-M338),"н/д")</x:f>
        <x:v>н/д</x:v>
      </x:c>
      <x:c r="AC338" s="20" t="str">
        <x:f>IF(AND(J338="Рассчитано",T338&gt;0,R338&lt;100),(W338+P338+Q338)/(T338*(1-R338/100)),"н/д")</x:f>
        <x:v>н/д</x:v>
      </x:c>
      <x:c r="AD338" s="11" t="str">
        <x:f>IF(ISNUMBER(G338),IF(G338&lt;0,"Убыток",IF(G338=0,"Без прибыли","Прибыль &gt; 0")),"Не оценён")</x:f>
        <x:v>Не оценён</x:v>
      </x:c>
      <x:c r="AE338" s="12" t="str">
        <x:f>IF(J338="Рассчитано","Выручка "&amp;TEXT(V338,"0.00")&amp;" - себестоимость "&amp;TEXT(W338,"0.00")&amp;" - комиссия "&amp;TEXT(V338*R338/100,"0.00")&amp;" - доставка "&amp;TEXT(P338,"0.00")&amp;" - прочие "&amp;TEXT(Q338,"0.00")&amp;" = "&amp;TEXT(G338,"0.00")&amp;" "&amp;L338,"Введите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8" s="23" t="n">
        <x:v>2.1031181316794645</x:v>
      </x:c>
      <x:c r="AG338" s="35" t="n">
        <x:v>0</x:v>
      </x:c>
      <x:c r="AH338" s="35" t="n">
        <x:v>0</x:v>
      </x:c>
      <x:c r="AI338" s="29" t="n">
        <x:v>46266</x:v>
      </x:c>
      <x:c r="AJ338" s="35" t="n">
        <x:v>20</x:v>
      </x:c>
      <x:c r="AK338" s="11" t="str">
        <x:v>кратность</x:v>
      </x:c>
      <x:c r="AL338" s="31" t="n">
        <x:v>0</x:v>
      </x:c>
      <x:c r="AM338" s="12" t="str">
        <x:v>Остаток на начало сентября; Резервы неизвестны; Нет ежедневных данных доступности. Нет запаса</x:v>
      </x:c>
      <x:c r="AN338" s="12" t="str">
        <x:v>Подтвердить наличие, срок и цену закупки</x:v>
      </x:c>
      <x:c r="AO338" s="12" t="str">
        <x:v>Прогноз 30 дней 2.10; остаток 0; поступления в срок 0; нехватка 3; заказ с учётом MOQ 20 шт. Остаток на начало сентября: требуется актуализация.</x:v>
      </x:c>
      <x:c r="AP338" s="12" t="str">
        <x:v>["blank_stock_assumed_zero", "category_missing", "daily_stockout_data_missing", "monthly_balance_date_assumed", "new_order_lead_time_unknown", "reservations_unknown", "stale_stock"]</x:v>
      </x:c>
      <x:c r="AQ338" s="11" t="str">
        <x:v>SE:030200246_</x:v>
      </x:c>
      <x:c r="AR338" s="23" t="n">
        <x:v>1</x:v>
      </x:c>
      <x:c r="AS338" s="23" t="n">
        <x:f>MAX(0,ROUNDUP(MAX(0,AF338-AG338-AH338)/AR338-0.000000001,0)*AR338)</x:f>
        <x:v>3</x:v>
      </x:c>
      <x:c r="AT338" s="23" t="n">
        <x:v>2.1031181316794645</x:v>
      </x:c>
    </x:row>
    <x:row r="339" ht="64" customHeight="1">
      <x:c r="A339" s="10" t="str">
        <x:v>Systeme Electric</x:v>
      </x:c>
      <x:c r="B339" s="34" t="str">
        <x:v>030200247_</x:v>
      </x:c>
      <x:c r="C339" s="34" t="str">
        <x:v>GSL000112</x:v>
      </x:c>
      <x:c r="D339" s="13" t="str">
        <x:v>S360 Выкл 1 кл 10А с/у "GLOSSA" белый GSL112 (15)</x:v>
      </x:c>
      <x:c r="E339" s="10" t="str">
        <x:v>шт</x:v>
      </x:c>
      <x:c r="F339" s="37" t="n">
        <x:f>IF(AS339&gt;0,ROUNDUP(AS339/AJ339-0.000000001,0)*AJ339,0)</x:f>
        <x:v>15</x:v>
      </x:c>
      <x:c r="G339" s="21" t="str">
        <x:f>IF(J339="Рассчитано",V339*(1-R339/100)-W339-P339-Q339,"н/д")</x:f>
        <x:v>н/д</x:v>
      </x:c>
      <x:c r="H339" s="13" t="str">
        <x:v>Высокий</x:v>
      </x:c>
      <x:c r="I339" s="13" t="str">
        <x:v>Средний</x:v>
      </x:c>
      <x:c r="J339" s="13" t="str">
        <x:f>IF(L339="","Укажите валюту",IF(NOT(ISNUMBER(K339)),"Укажите объём",IF(K339&lt;=0,"Укажите объём",IF(COUNT(M339:O339)&lt;3,"Нужны цены",IF(COUNT(P339:R339)&lt;3,"Нужны расходы",IF(OR(M339&lt;0,N339&lt;0,O339&lt;0,O339&gt;100,P339&lt;0,Q339&lt;0,R339&lt;0,R339&gt;100),"Проверьте значения","Рассчитано"))))))</x:f>
        <x:v>Нужны цены</x:v>
      </x:c>
      <x:c r="K339" s="36" t="n">
        <x:v>15</x:v>
      </x:c>
      <x:c r="L339" s="19" t="str">
        <x:v>KZT</x:v>
      </x:c>
      <x:c r="M339" s="22"/>
      <x:c r="N339" s="22"/>
      <x:c r="O339" s="28"/>
      <x:c r="P339" s="22"/>
      <x:c r="Q339" s="22"/>
      <x:c r="R339" s="28"/>
      <x:c r="S339" s="22"/>
      <x:c r="T339" s="37" t="n">
        <x:f>MIN(K339,AT339)</x:f>
        <x:v>0.4942215695321772</x:v>
      </x:c>
      <x:c r="U339" s="21" t="str">
        <x:f>IF(J339="Рассчитано",N339*(1-O339/100),"н/д")</x:f>
        <x:v>н/д</x:v>
      </x:c>
      <x:c r="V339" s="21" t="str">
        <x:f>IF(J339="Рассчитано",T339*U339,"н/д")</x:f>
        <x:v>н/д</x:v>
      </x:c>
      <x:c r="W339" s="21" t="str">
        <x:f>IF(J339="Рассчитано",T339*M339,"н/д")</x:f>
        <x:v>н/д</x:v>
      </x:c>
      <x:c r="X339" s="21" t="str">
        <x:f>IF(J339="Рассчитано",V339-W339,"н/д")</x:f>
        <x:v>н/д</x:v>
      </x:c>
      <x:c r="Y339" s="27" t="str">
        <x:f>IF(J339="Рассчитано",IF(V339&gt;0,G339/V339,"н/д"),"н/д")</x:f>
        <x:v>н/д</x:v>
      </x:c>
      <x:c r="Z339" s="21" t="str">
        <x:f>IF(J339="Рассчитано",K339*M339,"н/д")</x:f>
        <x:v>н/д</x:v>
      </x:c>
      <x:c r="AA339" s="21" t="str">
        <x:f>IF(J339="Рассчитано",(K339-T339)*M339,"н/д")</x:f>
        <x:v>н/д</x:v>
      </x:c>
      <x:c r="AB339" s="21" t="str">
        <x:f>IF(AND(J339="Рассчитано",ISNUMBER(S339)),K339*(S339-M339),"н/д")</x:f>
        <x:v>н/д</x:v>
      </x:c>
      <x:c r="AC339" s="21" t="str">
        <x:f>IF(AND(J339="Рассчитано",T339&gt;0,R339&lt;100),(W339+P339+Q339)/(T339*(1-R339/100)),"н/д")</x:f>
        <x:v>н/д</x:v>
      </x:c>
      <x:c r="AD339" s="10" t="str">
        <x:f>IF(ISNUMBER(G339),IF(G339&lt;0,"Убыток",IF(G339=0,"Без прибыли","Прибыль &gt; 0")),"Не оценён")</x:f>
        <x:v>Не оценён</x:v>
      </x:c>
      <x:c r="AE339" s="13" t="str">
        <x:f>IF(J339="Рассчитано","Выручка "&amp;TEXT(V339,"0.00")&amp;" - себестоимость "&amp;TEXT(W339,"0.00")&amp;" - комиссия "&amp;TEXT(V339*R339/100,"0.00")&amp;" - доставка "&amp;TEXT(P339,"0.00")&amp;" - прочие "&amp;TEXT(Q339,"0.00")&amp;" = "&amp;TEXT(G339,"0.00")&amp;" "&amp;L339,"Введите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39" s="24" t="n">
        <x:v>1.4942215695321772</x:v>
      </x:c>
      <x:c r="AG339" s="37" t="n">
        <x:v>1</x:v>
      </x:c>
      <x:c r="AH339" s="37" t="n">
        <x:v>0</x:v>
      </x:c>
      <x:c r="AI339" s="30" t="n">
        <x:v>46266</x:v>
      </x:c>
      <x:c r="AJ339" s="37" t="n">
        <x:v>15</x:v>
      </x:c>
      <x:c r="AK339" s="10" t="str">
        <x:v>кратность</x:v>
      </x:c>
      <x:c r="AL339" s="32" t="n">
        <x:v>20.077343689659518</x:v>
      </x:c>
      <x:c r="AM339" s="13" t="str">
        <x:v>Остаток на начало сентября; Резервы неизвестны; Нет ежедневных данных доступности. Запаса примерно на 20.1 дн. без поступлений</x:v>
      </x:c>
      <x:c r="AN339" s="13" t="str">
        <x:v>Подтвердить наличие, срок и цену закупки</x:v>
      </x:c>
      <x:c r="AO339" s="13" t="str">
        <x:v>Прогноз 30 дней 1.49; остаток 1; поступления в срок 0; нехватка 1; заказ с учётом MOQ 15 шт. Остаток на начало сентября: требуется актуализация.</x:v>
      </x:c>
      <x:c r="AP339" s="13" t="str">
        <x:v>["category_missing", "daily_stockout_data_missing", "large_orders_detected", "monthly_balance_date_assumed", "new_order_lead_time_unknown", "reservations_unknown", "stale_stock"]</x:v>
      </x:c>
      <x:c r="AQ339" s="10" t="str">
        <x:v>SE:030200247_</x:v>
      </x:c>
      <x:c r="AR339" s="24" t="n">
        <x:v>1</x:v>
      </x:c>
      <x:c r="AS339" s="24" t="n">
        <x:f>MAX(0,ROUNDUP(MAX(0,AF339-AG339-AH339)/AR339-0.000000001,0)*AR339)</x:f>
        <x:v>1</x:v>
      </x:c>
      <x:c r="AT339" s="24" t="n">
        <x:v>0.4942215695321772</x:v>
      </x:c>
    </x:row>
    <x:row r="340" ht="64" customHeight="1">
      <x:c r="A340" s="11" t="str">
        <x:v>Systeme Electric</x:v>
      </x:c>
      <x:c r="B340" s="33" t="str">
        <x:v>030200248_</x:v>
      </x:c>
      <x:c r="C340" s="33" t="str">
        <x:v>GSL000161</x:v>
      </x:c>
      <x:c r="D340" s="12" t="str">
        <x:v>S365 Переключ. 1 кл 10А с/у б/рамки "GLOSSA" белый GSL161 (20)</x:v>
      </x:c>
      <x:c r="E340" s="11" t="str">
        <x:v>шт</x:v>
      </x:c>
      <x:c r="F340" s="35" t="n">
        <x:f>IF(AS340&gt;0,ROUNDUP(AS340/AJ340-0.000000001,0)*AJ340,0)</x:f>
        <x:v>20</x:v>
      </x:c>
      <x:c r="G340" s="20" t="str">
        <x:f>IF(J340="Рассчитано",V340*(1-R340/100)-W340-P340-Q340,"н/д")</x:f>
        <x:v>н/д</x:v>
      </x:c>
      <x:c r="H340" s="12" t="str">
        <x:v>Высокий</x:v>
      </x:c>
      <x:c r="I340" s="12" t="str">
        <x:v>Критический</x:v>
      </x:c>
      <x:c r="J340" s="12" t="str">
        <x:f>IF(L340="","Укажите валюту",IF(NOT(ISNUMBER(K340)),"Укажите объём",IF(K340&lt;=0,"Укажите объём",IF(COUNT(M340:O340)&lt;3,"Нужны цены",IF(COUNT(P340:R340)&lt;3,"Нужны расходы",IF(OR(M340&lt;0,N340&lt;0,O340&lt;0,O340&gt;100,P340&lt;0,Q340&lt;0,R340&lt;0,R340&gt;100),"Проверьте значения","Рассчитано"))))))</x:f>
        <x:v>Нужны цены</x:v>
      </x:c>
      <x:c r="K340" s="36" t="n">
        <x:v>20</x:v>
      </x:c>
      <x:c r="L340" s="19" t="str">
        <x:v>KZT</x:v>
      </x:c>
      <x:c r="M340" s="22"/>
      <x:c r="N340" s="22"/>
      <x:c r="O340" s="28"/>
      <x:c r="P340" s="22"/>
      <x:c r="Q340" s="22"/>
      <x:c r="R340" s="28"/>
      <x:c r="S340" s="22"/>
      <x:c r="T340" s="35" t="n">
        <x:f>MIN(K340,AT340)</x:f>
        <x:v>7.142388941733769</x:v>
      </x:c>
      <x:c r="U340" s="20" t="str">
        <x:f>IF(J340="Рассчитано",N340*(1-O340/100),"н/д")</x:f>
        <x:v>н/д</x:v>
      </x:c>
      <x:c r="V340" s="20" t="str">
        <x:f>IF(J340="Рассчитано",T340*U340,"н/д")</x:f>
        <x:v>н/д</x:v>
      </x:c>
      <x:c r="W340" s="20" t="str">
        <x:f>IF(J340="Рассчитано",T340*M340,"н/д")</x:f>
        <x:v>н/д</x:v>
      </x:c>
      <x:c r="X340" s="20" t="str">
        <x:f>IF(J340="Рассчитано",V340-W340,"н/д")</x:f>
        <x:v>н/д</x:v>
      </x:c>
      <x:c r="Y340" s="26" t="str">
        <x:f>IF(J340="Рассчитано",IF(V340&gt;0,G340/V340,"н/д"),"н/д")</x:f>
        <x:v>н/д</x:v>
      </x:c>
      <x:c r="Z340" s="20" t="str">
        <x:f>IF(J340="Рассчитано",K340*M340,"н/д")</x:f>
        <x:v>н/д</x:v>
      </x:c>
      <x:c r="AA340" s="20" t="str">
        <x:f>IF(J340="Рассчитано",(K340-T340)*M340,"н/д")</x:f>
        <x:v>н/д</x:v>
      </x:c>
      <x:c r="AB340" s="20" t="str">
        <x:f>IF(AND(J340="Рассчитано",ISNUMBER(S340)),K340*(S340-M340),"н/д")</x:f>
        <x:v>н/д</x:v>
      </x:c>
      <x:c r="AC340" s="20" t="str">
        <x:f>IF(AND(J340="Рассчитано",T340&gt;0,R340&lt;100),(W340+P340+Q340)/(T340*(1-R340/100)),"н/д")</x:f>
        <x:v>н/д</x:v>
      </x:c>
      <x:c r="AD340" s="11" t="str">
        <x:f>IF(ISNUMBER(G340),IF(G340&lt;0,"Убыток",IF(G340=0,"Без прибыли","Прибыль &gt; 0")),"Не оценён")</x:f>
        <x:v>Не оценён</x:v>
      </x:c>
      <x:c r="AE340" s="12" t="str">
        <x:f>IF(J340="Рассчитано","Выручка "&amp;TEXT(V340,"0.00")&amp;" - себестоимость "&amp;TEXT(W340,"0.00")&amp;" - комиссия "&amp;TEXT(V340*R340/100,"0.00")&amp;" - доставка "&amp;TEXT(P340,"0.00")&amp;" - прочие "&amp;TEXT(Q340,"0.00")&amp;" = "&amp;TEXT(G340,"0.00")&amp;" "&amp;L340,"Введите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0" s="23" t="n">
        <x:v>7.142388941733769</x:v>
      </x:c>
      <x:c r="AG340" s="35" t="n">
        <x:v>0</x:v>
      </x:c>
      <x:c r="AH340" s="35" t="n">
        <x:v>0</x:v>
      </x:c>
      <x:c r="AI340" s="29" t="n">
        <x:v>46266</x:v>
      </x:c>
      <x:c r="AJ340" s="35" t="n">
        <x:v>20</x:v>
      </x:c>
      <x:c r="AK340" s="11" t="str">
        <x:v>кратность</x:v>
      </x:c>
      <x:c r="AL340" s="31" t="n">
        <x:v>0</x:v>
      </x:c>
      <x:c r="AM340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340" s="12" t="str">
        <x:v>Подтвердить наличие, срок и цену закупки</x:v>
      </x:c>
      <x:c r="AO340" s="12" t="str">
        <x:v>Прогноз 30 дней 7.14; остаток 0; поступления в срок 0; нехватка 8; заказ с учётом MOQ 20 шт. Остаток на начало сентября: требуется актуализация.</x:v>
      </x:c>
      <x:c r="AP340" s="12" t="str">
        <x:v>["blank_stock_assumed_zero", "category_missing", "daily_stockout_data_missing", "monthly_balance_date_assumed", "new_order_lead_time_unknown", "reservations_unknown", "stale_stock", "stockout_proxy_used"]</x:v>
      </x:c>
      <x:c r="AQ340" s="11" t="str">
        <x:v>SE:030200248_</x:v>
      </x:c>
      <x:c r="AR340" s="23" t="n">
        <x:v>1</x:v>
      </x:c>
      <x:c r="AS340" s="23" t="n">
        <x:f>MAX(0,ROUNDUP(MAX(0,AF340-AG340-AH340)/AR340-0.000000001,0)*AR340)</x:f>
        <x:v>8</x:v>
      </x:c>
      <x:c r="AT340" s="23" t="n">
        <x:v>7.142388941733769</x:v>
      </x:c>
    </x:row>
    <x:row r="341" ht="64" customHeight="1">
      <x:c r="A341" s="10" t="str">
        <x:v>Systeme Electric</x:v>
      </x:c>
      <x:c r="B341" s="34" t="str">
        <x:v>030200249_</x:v>
      </x:c>
      <x:c r="C341" s="34" t="str">
        <x:v>GSL000163</x:v>
      </x:c>
      <x:c r="D341" s="13" t="str">
        <x:v>S366 Переключ. 1 кл с инд 10А с/у б/рамки "GLOSSA" белый GSL163 (20)</x:v>
      </x:c>
      <x:c r="E341" s="10" t="str">
        <x:v>шт</x:v>
      </x:c>
      <x:c r="F341" s="37" t="n">
        <x:f>IF(AS341&gt;0,ROUNDUP(AS341/AJ341-0.000000001,0)*AJ341,0)</x:f>
        <x:v>20</x:v>
      </x:c>
      <x:c r="G341" s="21" t="str">
        <x:f>IF(J341="Рассчитано",V341*(1-R341/100)-W341-P341-Q341,"н/д")</x:f>
        <x:v>н/д</x:v>
      </x:c>
      <x:c r="H341" s="13" t="str">
        <x:v>Высокий</x:v>
      </x:c>
      <x:c r="I341" s="13" t="str">
        <x:v>Критический</x:v>
      </x:c>
      <x:c r="J341" s="13" t="str">
        <x:f>IF(L341="","Укажите валюту",IF(NOT(ISNUMBER(K341)),"Укажите объём",IF(K341&lt;=0,"Укажите объём",IF(COUNT(M341:O341)&lt;3,"Нужны цены",IF(COUNT(P341:R341)&lt;3,"Нужны расходы",IF(OR(M341&lt;0,N341&lt;0,O341&lt;0,O341&gt;100,P341&lt;0,Q341&lt;0,R341&lt;0,R341&gt;100),"Проверьте значения","Рассчитано"))))))</x:f>
        <x:v>Нужны цены</x:v>
      </x:c>
      <x:c r="K341" s="36" t="n">
        <x:v>20</x:v>
      </x:c>
      <x:c r="L341" s="19" t="str">
        <x:v>KZT</x:v>
      </x:c>
      <x:c r="M341" s="22"/>
      <x:c r="N341" s="22"/>
      <x:c r="O341" s="28"/>
      <x:c r="P341" s="22"/>
      <x:c r="Q341" s="22"/>
      <x:c r="R341" s="28"/>
      <x:c r="S341" s="22"/>
      <x:c r="T341" s="37" t="n">
        <x:f>MIN(K341,AT341)</x:f>
        <x:v>8.09530873207191</x:v>
      </x:c>
      <x:c r="U341" s="21" t="str">
        <x:f>IF(J341="Рассчитано",N341*(1-O341/100),"н/д")</x:f>
        <x:v>н/д</x:v>
      </x:c>
      <x:c r="V341" s="21" t="str">
        <x:f>IF(J341="Рассчитано",T341*U341,"н/д")</x:f>
        <x:v>н/д</x:v>
      </x:c>
      <x:c r="W341" s="21" t="str">
        <x:f>IF(J341="Рассчитано",T341*M341,"н/д")</x:f>
        <x:v>н/д</x:v>
      </x:c>
      <x:c r="X341" s="21" t="str">
        <x:f>IF(J341="Рассчитано",V341-W341,"н/д")</x:f>
        <x:v>н/д</x:v>
      </x:c>
      <x:c r="Y341" s="27" t="str">
        <x:f>IF(J341="Рассчитано",IF(V341&gt;0,G341/V341,"н/д"),"н/д")</x:f>
        <x:v>н/д</x:v>
      </x:c>
      <x:c r="Z341" s="21" t="str">
        <x:f>IF(J341="Рассчитано",K341*M341,"н/д")</x:f>
        <x:v>н/д</x:v>
      </x:c>
      <x:c r="AA341" s="21" t="str">
        <x:f>IF(J341="Рассчитано",(K341-T341)*M341,"н/д")</x:f>
        <x:v>н/д</x:v>
      </x:c>
      <x:c r="AB341" s="21" t="str">
        <x:f>IF(AND(J341="Рассчитано",ISNUMBER(S341)),K341*(S341-M341),"н/д")</x:f>
        <x:v>н/д</x:v>
      </x:c>
      <x:c r="AC341" s="21" t="str">
        <x:f>IF(AND(J341="Рассчитано",T341&gt;0,R341&lt;100),(W341+P341+Q341)/(T341*(1-R341/100)),"н/д")</x:f>
        <x:v>н/д</x:v>
      </x:c>
      <x:c r="AD341" s="10" t="str">
        <x:f>IF(ISNUMBER(G341),IF(G341&lt;0,"Убыток",IF(G341=0,"Без прибыли","Прибыль &gt; 0")),"Не оценён")</x:f>
        <x:v>Не оценён</x:v>
      </x:c>
      <x:c r="AE341" s="13" t="str">
        <x:f>IF(J341="Рассчитано","Выручка "&amp;TEXT(V341,"0.00")&amp;" - себестоимость "&amp;TEXT(W341,"0.00")&amp;" - комиссия "&amp;TEXT(V341*R341/100,"0.00")&amp;" - доставка "&amp;TEXT(P341,"0.00")&amp;" - прочие "&amp;TEXT(Q341,"0.00")&amp;" = "&amp;TEXT(G341,"0.00")&amp;" "&amp;L341,"Введите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1" s="24" t="n">
        <x:v>9.09530873207191</x:v>
      </x:c>
      <x:c r="AG341" s="37" t="n">
        <x:v>1</x:v>
      </x:c>
      <x:c r="AH341" s="37" t="n">
        <x:v>0</x:v>
      </x:c>
      <x:c r="AI341" s="30" t="n">
        <x:v>46266</x:v>
      </x:c>
      <x:c r="AJ341" s="37" t="n">
        <x:v>20</x:v>
      </x:c>
      <x:c r="AK341" s="10" t="str">
        <x:v>кратность</x:v>
      </x:c>
      <x:c r="AL341" s="32" t="n">
        <x:v>3.298403702802731</x:v>
      </x:c>
      <x:c r="AM341" s="13" t="str">
        <x:v>Остаток на начало сентября; Резервы неизвестны; Нет ежедневных данных доступности. Запаса примерно на 3.3 дн. без поступлений</x:v>
      </x:c>
      <x:c r="AN341" s="13" t="str">
        <x:v>Подтвердить наличие, срок и цену закупки</x:v>
      </x:c>
      <x:c r="AO341" s="13" t="str">
        <x:v>Прогноз 30 дней 9.10; остаток 1; поступления в срок 0; нехватка 9; заказ с учётом MOQ 20 шт. Остаток на начало сентября: требуется актуализация.</x:v>
      </x:c>
      <x:c r="AP341" s="13" t="str">
        <x:v>["category_missing", "daily_stockout_data_missing", "monthly_balance_date_assumed", "negative_net_sales_clipped_for_forecast", "new_order_lead_time_unknown", "reservations_unknown", "stale_stock"]</x:v>
      </x:c>
      <x:c r="AQ341" s="10" t="str">
        <x:v>SE:030200249_</x:v>
      </x:c>
      <x:c r="AR341" s="24" t="n">
        <x:v>1</x:v>
      </x:c>
      <x:c r="AS341" s="24" t="n">
        <x:f>MAX(0,ROUNDUP(MAX(0,AF341-AG341-AH341)/AR341-0.000000001,0)*AR341)</x:f>
        <x:v>9</x:v>
      </x:c>
      <x:c r="AT341" s="24" t="n">
        <x:v>8.09530873207191</x:v>
      </x:c>
    </x:row>
    <x:row r="342" ht="64" customHeight="1">
      <x:c r="A342" s="11" t="str">
        <x:v>Systeme Electric</x:v>
      </x:c>
      <x:c r="B342" s="33" t="str">
        <x:v>030200256_</x:v>
      </x:c>
      <x:c r="C342" s="33" t="str">
        <x:v>GSL000142</x:v>
      </x:c>
      <x:c r="D342" s="12" t="str">
        <x:v>S369 Роз. с з/к 16А с/у "GLOSSA" белый GSL142 (15)</x:v>
      </x:c>
      <x:c r="E342" s="11" t="str">
        <x:v>шт</x:v>
      </x:c>
      <x:c r="F342" s="35" t="n">
        <x:f>IF(AS342&gt;0,ROUNDUP(AS342/AJ342-0.000000001,0)*AJ342,0)</x:f>
        <x:v>15</x:v>
      </x:c>
      <x:c r="G342" s="20" t="str">
        <x:f>IF(J342="Рассчитано",V342*(1-R342/100)-W342-P342-Q342,"н/д")</x:f>
        <x:v>н/д</x:v>
      </x:c>
      <x:c r="H342" s="12" t="str">
        <x:v>Высокий</x:v>
      </x:c>
      <x:c r="I342" s="12" t="str">
        <x:v>Критический</x:v>
      </x:c>
      <x:c r="J342" s="12" t="str">
        <x:f>IF(L342="","Укажите валюту",IF(NOT(ISNUMBER(K342)),"Укажите объём",IF(K342&lt;=0,"Укажите объём",IF(COUNT(M342:O342)&lt;3,"Нужны цены",IF(COUNT(P342:R342)&lt;3,"Нужны расходы",IF(OR(M342&lt;0,N342&lt;0,O342&lt;0,O342&gt;100,P342&lt;0,Q342&lt;0,R342&lt;0,R342&gt;100),"Проверьте значения","Рассчитано"))))))</x:f>
        <x:v>Нужны цены</x:v>
      </x:c>
      <x:c r="K342" s="36" t="n">
        <x:v>15</x:v>
      </x:c>
      <x:c r="L342" s="19" t="str">
        <x:v>KZT</x:v>
      </x:c>
      <x:c r="M342" s="22"/>
      <x:c r="N342" s="22"/>
      <x:c r="O342" s="28"/>
      <x:c r="P342" s="22"/>
      <x:c r="Q342" s="22"/>
      <x:c r="R342" s="28"/>
      <x:c r="S342" s="22"/>
      <x:c r="T342" s="35" t="n">
        <x:f>MIN(K342,AT342)</x:f>
        <x:v>10.521861377361887</x:v>
      </x:c>
      <x:c r="U342" s="20" t="str">
        <x:f>IF(J342="Рассчитано",N342*(1-O342/100),"н/д")</x:f>
        <x:v>н/д</x:v>
      </x:c>
      <x:c r="V342" s="20" t="str">
        <x:f>IF(J342="Рассчитано",T342*U342,"н/д")</x:f>
        <x:v>н/д</x:v>
      </x:c>
      <x:c r="W342" s="20" t="str">
        <x:f>IF(J342="Рассчитано",T342*M342,"н/д")</x:f>
        <x:v>н/д</x:v>
      </x:c>
      <x:c r="X342" s="20" t="str">
        <x:f>IF(J342="Рассчитано",V342-W342,"н/д")</x:f>
        <x:v>н/д</x:v>
      </x:c>
      <x:c r="Y342" s="26" t="str">
        <x:f>IF(J342="Рассчитано",IF(V342&gt;0,G342/V342,"н/д"),"н/д")</x:f>
        <x:v>н/д</x:v>
      </x:c>
      <x:c r="Z342" s="20" t="str">
        <x:f>IF(J342="Рассчитано",K342*M342,"н/д")</x:f>
        <x:v>н/д</x:v>
      </x:c>
      <x:c r="AA342" s="20" t="str">
        <x:f>IF(J342="Рассчитано",(K342-T342)*M342,"н/д")</x:f>
        <x:v>н/д</x:v>
      </x:c>
      <x:c r="AB342" s="20" t="str">
        <x:f>IF(AND(J342="Рассчитано",ISNUMBER(S342)),K342*(S342-M342),"н/д")</x:f>
        <x:v>н/д</x:v>
      </x:c>
      <x:c r="AC342" s="20" t="str">
        <x:f>IF(AND(J342="Рассчитано",T342&gt;0,R342&lt;100),(W342+P342+Q342)/(T342*(1-R342/100)),"н/д")</x:f>
        <x:v>н/д</x:v>
      </x:c>
      <x:c r="AD342" s="11" t="str">
        <x:f>IF(ISNUMBER(G342),IF(G342&lt;0,"Убыток",IF(G342=0,"Без прибыли","Прибыль &gt; 0")),"Не оценён")</x:f>
        <x:v>Не оценён</x:v>
      </x:c>
      <x:c r="AE342" s="12" t="str">
        <x:f>IF(J342="Рассчитано","Выручка "&amp;TEXT(V342,"0.00")&amp;" - себестоимость "&amp;TEXT(W342,"0.00")&amp;" - комиссия "&amp;TEXT(V342*R342/100,"0.00")&amp;" - доставка "&amp;TEXT(P342,"0.00")&amp;" - прочие "&amp;TEXT(Q342,"0.00")&amp;" = "&amp;TEXT(G342,"0.00")&amp;" "&amp;L342,"Введите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2" s="23" t="n">
        <x:v>13.521861377361887</x:v>
      </x:c>
      <x:c r="AG342" s="35" t="n">
        <x:v>3</x:v>
      </x:c>
      <x:c r="AH342" s="35" t="n">
        <x:v>0</x:v>
      </x:c>
      <x:c r="AI342" s="29" t="n">
        <x:v>46266</x:v>
      </x:c>
      <x:c r="AJ342" s="35" t="n">
        <x:v>15</x:v>
      </x:c>
      <x:c r="AK342" s="11" t="str">
        <x:v>кратность</x:v>
      </x:c>
      <x:c r="AL342" s="31" t="n">
        <x:v>6.655888378701822</x:v>
      </x:c>
      <x:c r="AM342" s="12" t="str">
        <x:v>Остаток на начало сентября; Резервы неизвестны; Нет ежедневных данных доступности. Запаса примерно на 6.7 дн. без поступлений</x:v>
      </x:c>
      <x:c r="AN342" s="12" t="str">
        <x:v>Подтвердить наличие, срок и цену закупки</x:v>
      </x:c>
      <x:c r="AO342" s="12" t="str">
        <x:v>Прогноз 30 дней 13.52; остаток 3; поступления в срок 0; нехватка 11; заказ с учётом MOQ 15 шт. Остаток на начало сентября: требуется актуализация.</x:v>
      </x:c>
      <x:c r="AP342" s="12" t="str">
        <x:v>["category_missing", "daily_stockout_data_missing", "monthly_balance_date_assumed", "new_order_lead_time_unknown", "reservations_unknown", "stale_stock"]</x:v>
      </x:c>
      <x:c r="AQ342" s="11" t="str">
        <x:v>SE:030200256_</x:v>
      </x:c>
      <x:c r="AR342" s="23" t="n">
        <x:v>1</x:v>
      </x:c>
      <x:c r="AS342" s="23" t="n">
        <x:f>MAX(0,ROUNDUP(MAX(0,AF342-AG342-AH342)/AR342-0.000000001,0)*AR342)</x:f>
        <x:v>11</x:v>
      </x:c>
      <x:c r="AT342" s="23" t="n">
        <x:v>10.521861377361887</x:v>
      </x:c>
    </x:row>
    <x:row r="343" ht="64" customHeight="1">
      <x:c r="A343" s="10" t="str">
        <x:v>Systeme Electric</x:v>
      </x:c>
      <x:c r="B343" s="34" t="str">
        <x:v>030200257_</x:v>
      </x:c>
      <x:c r="C343" s="34" t="str">
        <x:v>GSL000144</x:v>
      </x:c>
      <x:c r="D343" s="13" t="str">
        <x:v>S370 Роз. с з/к 16А с/у з/ш "GLOSSA" белый GSL144 (15)</x:v>
      </x:c>
      <x:c r="E343" s="10" t="str">
        <x:v>шт</x:v>
      </x:c>
      <x:c r="F343" s="37" t="n">
        <x:f>IF(AS343&gt;0,ROUNDUP(AS343/AJ343-0.000000001,0)*AJ343,0)</x:f>
        <x:v>30</x:v>
      </x:c>
      <x:c r="G343" s="21" t="str">
        <x:f>IF(J343="Рассчитано",V343*(1-R343/100)-W343-P343-Q343,"н/д")</x:f>
        <x:v>н/д</x:v>
      </x:c>
      <x:c r="H343" s="13" t="str">
        <x:v>Высокий</x:v>
      </x:c>
      <x:c r="I343" s="13" t="str">
        <x:v>Критический</x:v>
      </x:c>
      <x:c r="J343" s="13" t="str">
        <x:f>IF(L343="","Укажите валюту",IF(NOT(ISNUMBER(K343)),"Укажите объём",IF(K343&lt;=0,"Укажите объём",IF(COUNT(M343:O343)&lt;3,"Нужны цены",IF(COUNT(P343:R343)&lt;3,"Нужны расходы",IF(OR(M343&lt;0,N343&lt;0,O343&lt;0,O343&gt;100,P343&lt;0,Q343&lt;0,R343&lt;0,R343&gt;100),"Проверьте значения","Рассчитано"))))))</x:f>
        <x:v>Нужны цены</x:v>
      </x:c>
      <x:c r="K343" s="36" t="n">
        <x:v>30</x:v>
      </x:c>
      <x:c r="L343" s="19" t="str">
        <x:v>KZT</x:v>
      </x:c>
      <x:c r="M343" s="22"/>
      <x:c r="N343" s="22"/>
      <x:c r="O343" s="28"/>
      <x:c r="P343" s="22"/>
      <x:c r="Q343" s="22"/>
      <x:c r="R343" s="28"/>
      <x:c r="S343" s="22"/>
      <x:c r="T343" s="37" t="n">
        <x:f>MIN(K343,AT343)</x:f>
        <x:v>27.790115681076394</x:v>
      </x:c>
      <x:c r="U343" s="21" t="str">
        <x:f>IF(J343="Рассчитано",N343*(1-O343/100),"н/д")</x:f>
        <x:v>н/д</x:v>
      </x:c>
      <x:c r="V343" s="21" t="str">
        <x:f>IF(J343="Рассчитано",T343*U343,"н/д")</x:f>
        <x:v>н/д</x:v>
      </x:c>
      <x:c r="W343" s="21" t="str">
        <x:f>IF(J343="Рассчитано",T343*M343,"н/д")</x:f>
        <x:v>н/д</x:v>
      </x:c>
      <x:c r="X343" s="21" t="str">
        <x:f>IF(J343="Рассчитано",V343-W343,"н/д")</x:f>
        <x:v>н/д</x:v>
      </x:c>
      <x:c r="Y343" s="27" t="str">
        <x:f>IF(J343="Рассчитано",IF(V343&gt;0,G343/V343,"н/д"),"н/д")</x:f>
        <x:v>н/д</x:v>
      </x:c>
      <x:c r="Z343" s="21" t="str">
        <x:f>IF(J343="Рассчитано",K343*M343,"н/д")</x:f>
        <x:v>н/д</x:v>
      </x:c>
      <x:c r="AA343" s="21" t="str">
        <x:f>IF(J343="Рассчитано",(K343-T343)*M343,"н/д")</x:f>
        <x:v>н/д</x:v>
      </x:c>
      <x:c r="AB343" s="21" t="str">
        <x:f>IF(AND(J343="Рассчитано",ISNUMBER(S343)),K343*(S343-M343),"н/д")</x:f>
        <x:v>н/д</x:v>
      </x:c>
      <x:c r="AC343" s="21" t="str">
        <x:f>IF(AND(J343="Рассчитано",T343&gt;0,R343&lt;100),(W343+P343+Q343)/(T343*(1-R343/100)),"н/д")</x:f>
        <x:v>н/д</x:v>
      </x:c>
      <x:c r="AD343" s="10" t="str">
        <x:f>IF(ISNUMBER(G343),IF(G343&lt;0,"Убыток",IF(G343=0,"Без прибыли","Прибыль &gt; 0")),"Не оценён")</x:f>
        <x:v>Не оценён</x:v>
      </x:c>
      <x:c r="AE343" s="13" t="str">
        <x:f>IF(J343="Рассчитано","Выручка "&amp;TEXT(V343,"0.00")&amp;" - себестоимость "&amp;TEXT(W343,"0.00")&amp;" - комиссия "&amp;TEXT(V343*R343/100,"0.00")&amp;" - доставка "&amp;TEXT(P343,"0.00")&amp;" - прочие "&amp;TEXT(Q343,"0.00")&amp;" = "&amp;TEXT(G343,"0.00")&amp;" "&amp;L343,"Введите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3" s="24" t="n">
        <x:v>27.790115681076394</x:v>
      </x:c>
      <x:c r="AG343" s="37" t="n">
        <x:v>0</x:v>
      </x:c>
      <x:c r="AH343" s="37" t="n">
        <x:v>0</x:v>
      </x:c>
      <x:c r="AI343" s="30" t="n">
        <x:v>46266</x:v>
      </x:c>
      <x:c r="AJ343" s="37" t="n">
        <x:v>15</x:v>
      </x:c>
      <x:c r="AK343" s="10" t="str">
        <x:v>кратность</x:v>
      </x:c>
      <x:c r="AL343" s="32" t="n">
        <x:v>0</x:v>
      </x:c>
      <x:c r="AM343" s="13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343" s="13" t="str">
        <x:v>Подтвердить наличие, срок и цену закупки</x:v>
      </x:c>
      <x:c r="AO343" s="13" t="str">
        <x:v>Прогноз 30 дней 27.79; остаток 0; поступления в срок 0; нехватка 28; заказ с учётом MOQ 30 шт. Остаток на начало сентября: требуется актуализация.</x:v>
      </x:c>
      <x:c r="AP343" s="13" t="str">
        <x:v>["blank_stock_assumed_zero", "category_missing", "daily_stockout_data_missing", "monthly_balance_date_assumed", "new_order_lead_time_unknown", "reservations_unknown", "stale_stock", "stockout_proxy_used"]</x:v>
      </x:c>
      <x:c r="AQ343" s="10" t="str">
        <x:v>SE:030200257_</x:v>
      </x:c>
      <x:c r="AR343" s="24" t="n">
        <x:v>1</x:v>
      </x:c>
      <x:c r="AS343" s="24" t="n">
        <x:f>MAX(0,ROUNDUP(MAX(0,AF343-AG343-AH343)/AR343-0.000000001,0)*AR343)</x:f>
        <x:v>28</x:v>
      </x:c>
      <x:c r="AT343" s="24" t="n">
        <x:v>27.790115681076394</x:v>
      </x:c>
    </x:row>
    <x:row r="344" ht="64" customHeight="1">
      <x:c r="A344" s="11" t="str">
        <x:v>Systeme Electric</x:v>
      </x:c>
      <x:c r="B344" s="33" t="str">
        <x:v>030200259_</x:v>
      </x:c>
      <x:c r="C344" s="33" t="str">
        <x:v>GSL000120</x:v>
      </x:c>
      <x:c r="D344" s="12" t="str">
        <x:v>S367 Роз. 2-ная с/у 16А "GLOSSA" белый GSL120 (15)</x:v>
      </x:c>
      <x:c r="E344" s="11" t="str">
        <x:v>шт</x:v>
      </x:c>
      <x:c r="F344" s="35" t="n">
        <x:f>IF(AS344&gt;0,ROUNDUP(AS344/AJ344-0.000000001,0)*AJ344,0)</x:f>
        <x:v>30</x:v>
      </x:c>
      <x:c r="G344" s="20" t="str">
        <x:f>IF(J344="Рассчитано",V344*(1-R344/100)-W344-P344-Q344,"н/д")</x:f>
        <x:v>н/д</x:v>
      </x:c>
      <x:c r="H344" s="12" t="str">
        <x:v>Высокий</x:v>
      </x:c>
      <x:c r="I344" s="12" t="str">
        <x:v>Критический</x:v>
      </x:c>
      <x:c r="J344" s="12" t="str">
        <x:f>IF(L344="","Укажите валюту",IF(NOT(ISNUMBER(K344)),"Укажите объём",IF(K344&lt;=0,"Укажите объём",IF(COUNT(M344:O344)&lt;3,"Нужны цены",IF(COUNT(P344:R344)&lt;3,"Нужны расходы",IF(OR(M344&lt;0,N344&lt;0,O344&lt;0,O344&gt;100,P344&lt;0,Q344&lt;0,R344&lt;0,R344&gt;100),"Проверьте значения","Рассчитано"))))))</x:f>
        <x:v>Нужны цены</x:v>
      </x:c>
      <x:c r="K344" s="36" t="n">
        <x:v>30</x:v>
      </x:c>
      <x:c r="L344" s="19" t="str">
        <x:v>KZT</x:v>
      </x:c>
      <x:c r="M344" s="22"/>
      <x:c r="N344" s="22"/>
      <x:c r="O344" s="28"/>
      <x:c r="P344" s="22"/>
      <x:c r="Q344" s="22"/>
      <x:c r="R344" s="28"/>
      <x:c r="S344" s="22"/>
      <x:c r="T344" s="35" t="n">
        <x:f>MIN(K344,AT344)</x:f>
        <x:v>16.152450817369385</x:v>
      </x:c>
      <x:c r="U344" s="20" t="str">
        <x:f>IF(J344="Рассчитано",N344*(1-O344/100),"н/д")</x:f>
        <x:v>н/д</x:v>
      </x:c>
      <x:c r="V344" s="20" t="str">
        <x:f>IF(J344="Рассчитано",T344*U344,"н/д")</x:f>
        <x:v>н/д</x:v>
      </x:c>
      <x:c r="W344" s="20" t="str">
        <x:f>IF(J344="Рассчитано",T344*M344,"н/д")</x:f>
        <x:v>н/д</x:v>
      </x:c>
      <x:c r="X344" s="20" t="str">
        <x:f>IF(J344="Рассчитано",V344-W344,"н/д")</x:f>
        <x:v>н/д</x:v>
      </x:c>
      <x:c r="Y344" s="26" t="str">
        <x:f>IF(J344="Рассчитано",IF(V344&gt;0,G344/V344,"н/д"),"н/д")</x:f>
        <x:v>н/д</x:v>
      </x:c>
      <x:c r="Z344" s="20" t="str">
        <x:f>IF(J344="Рассчитано",K344*M344,"н/д")</x:f>
        <x:v>н/д</x:v>
      </x:c>
      <x:c r="AA344" s="20" t="str">
        <x:f>IF(J344="Рассчитано",(K344-T344)*M344,"н/д")</x:f>
        <x:v>н/д</x:v>
      </x:c>
      <x:c r="AB344" s="20" t="str">
        <x:f>IF(AND(J344="Рассчитано",ISNUMBER(S344)),K344*(S344-M344),"н/д")</x:f>
        <x:v>н/д</x:v>
      </x:c>
      <x:c r="AC344" s="20" t="str">
        <x:f>IF(AND(J344="Рассчитано",T344&gt;0,R344&lt;100),(W344+P344+Q344)/(T344*(1-R344/100)),"н/д")</x:f>
        <x:v>н/д</x:v>
      </x:c>
      <x:c r="AD344" s="11" t="str">
        <x:f>IF(ISNUMBER(G344),IF(G344&lt;0,"Убыток",IF(G344=0,"Без прибыли","Прибыль &gt; 0")),"Не оценён")</x:f>
        <x:v>Не оценён</x:v>
      </x:c>
      <x:c r="AE344" s="12" t="str">
        <x:f>IF(J344="Рассчитано","Выручка "&amp;TEXT(V344,"0.00")&amp;" - себестоимость "&amp;TEXT(W344,"0.00")&amp;" - комиссия "&amp;TEXT(V344*R344/100,"0.00")&amp;" - доставка "&amp;TEXT(P344,"0.00")&amp;" - прочие "&amp;TEXT(Q344,"0.00")&amp;" = "&amp;TEXT(G344,"0.00")&amp;" "&amp;L344,"Введите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4" s="23" t="n">
        <x:v>16.152450817369385</x:v>
      </x:c>
      <x:c r="AG344" s="35" t="n">
        <x:v>0</x:v>
      </x:c>
      <x:c r="AH344" s="35" t="n">
        <x:v>0</x:v>
      </x:c>
      <x:c r="AI344" s="29" t="n">
        <x:v>46266</x:v>
      </x:c>
      <x:c r="AJ344" s="35" t="n">
        <x:v>15</x:v>
      </x:c>
      <x:c r="AK344" s="11" t="str">
        <x:v>кратность</x:v>
      </x:c>
      <x:c r="AL344" s="31" t="n">
        <x:v>0</x:v>
      </x:c>
      <x:c r="AM344" s="12" t="str">
        <x:v>Остаток на начало сентября; Резервы неизвестны; Stockout оценён по месячным снимкам; Нет ежедневных данных доступности. Нет запаса</x:v>
      </x:c>
      <x:c r="AN344" s="12" t="str">
        <x:v>Подтвердить наличие, срок и цену закупки</x:v>
      </x:c>
      <x:c r="AO344" s="12" t="str">
        <x:v>Прогноз 30 дней 16.15; остаток 0; поступления в срок 0; нехватка 17; заказ с учётом MOQ 30 шт. Остаток на начало сентября: требуется актуализация.</x:v>
      </x:c>
      <x:c r="AP344" s="12" t="str">
        <x:v>["blank_stock_assumed_zero", "category_missing", "daily_stockout_data_missing", "monthly_balance_date_assumed", "new_order_lead_time_unknown", "reservations_unknown", "stale_stock", "stockout_proxy_used"]</x:v>
      </x:c>
      <x:c r="AQ344" s="11" t="str">
        <x:v>SE:030200259_</x:v>
      </x:c>
      <x:c r="AR344" s="23" t="n">
        <x:v>1</x:v>
      </x:c>
      <x:c r="AS344" s="23" t="n">
        <x:f>MAX(0,ROUNDUP(MAX(0,AF344-AG344-AH344)/AR344-0.000000001,0)*AR344)</x:f>
        <x:v>17</x:v>
      </x:c>
      <x:c r="AT344" s="23" t="n">
        <x:v>16.152450817369385</x:v>
      </x:c>
    </x:row>
    <x:row r="345" ht="64" customHeight="1">
      <x:c r="A345" s="10" t="str">
        <x:v>Systeme Electric</x:v>
      </x:c>
      <x:c r="B345" s="34" t="str">
        <x:v>030200260_</x:v>
      </x:c>
      <x:c r="C345" s="34" t="str">
        <x:v>GSL000126</x:v>
      </x:c>
      <x:c r="D345" s="13" t="str">
        <x:v>S368 Роз. 2-ная с/у 16А с з/к з/ш "GLOSSA" белый GSL126 (10)</x:v>
      </x:c>
      <x:c r="E345" s="10" t="str">
        <x:v>шт</x:v>
      </x:c>
      <x:c r="F345" s="37" t="n">
        <x:f>IF(AS345&gt;0,ROUNDUP(AS345/AJ345-0.000000001,0)*AJ345,0)</x:f>
        <x:v>10</x:v>
      </x:c>
      <x:c r="G345" s="21" t="str">
        <x:f>IF(J345="Рассчитано",V345*(1-R345/100)-W345-P345-Q345,"н/д")</x:f>
        <x:v>н/д</x:v>
      </x:c>
      <x:c r="H345" s="13" t="str">
        <x:v>Высокий</x:v>
      </x:c>
      <x:c r="I345" s="13" t="str">
        <x:v>Критический</x:v>
      </x:c>
      <x:c r="J345" s="13" t="str">
        <x:f>IF(L345="","Укажите валюту",IF(NOT(ISNUMBER(K345)),"Укажите объём",IF(K345&lt;=0,"Укажите объём",IF(COUNT(M345:O345)&lt;3,"Нужны цены",IF(COUNT(P345:R345)&lt;3,"Нужны расходы",IF(OR(M345&lt;0,N345&lt;0,O345&lt;0,O345&gt;100,P345&lt;0,Q345&lt;0,R345&lt;0,R345&gt;100),"Проверьте значения","Рассчитано"))))))</x:f>
        <x:v>Нужны цены</x:v>
      </x:c>
      <x:c r="K345" s="36" t="n">
        <x:v>10</x:v>
      </x:c>
      <x:c r="L345" s="19" t="str">
        <x:v>KZT</x:v>
      </x:c>
      <x:c r="M345" s="22"/>
      <x:c r="N345" s="22"/>
      <x:c r="O345" s="28"/>
      <x:c r="P345" s="22"/>
      <x:c r="Q345" s="22"/>
      <x:c r="R345" s="28"/>
      <x:c r="S345" s="22"/>
      <x:c r="T345" s="37" t="n">
        <x:f>MIN(K345,AT345)</x:f>
        <x:v>9.290767710384594</x:v>
      </x:c>
      <x:c r="U345" s="21" t="str">
        <x:f>IF(J345="Рассчитано",N345*(1-O345/100),"н/д")</x:f>
        <x:v>н/д</x:v>
      </x:c>
      <x:c r="V345" s="21" t="str">
        <x:f>IF(J345="Рассчитано",T345*U345,"н/д")</x:f>
        <x:v>н/д</x:v>
      </x:c>
      <x:c r="W345" s="21" t="str">
        <x:f>IF(J345="Рассчитано",T345*M345,"н/д")</x:f>
        <x:v>н/д</x:v>
      </x:c>
      <x:c r="X345" s="21" t="str">
        <x:f>IF(J345="Рассчитано",V345-W345,"н/д")</x:f>
        <x:v>н/д</x:v>
      </x:c>
      <x:c r="Y345" s="27" t="str">
        <x:f>IF(J345="Рассчитано",IF(V345&gt;0,G345/V345,"н/д"),"н/д")</x:f>
        <x:v>н/д</x:v>
      </x:c>
      <x:c r="Z345" s="21" t="str">
        <x:f>IF(J345="Рассчитано",K345*M345,"н/д")</x:f>
        <x:v>н/д</x:v>
      </x:c>
      <x:c r="AA345" s="21" t="str">
        <x:f>IF(J345="Рассчитано",(K345-T345)*M345,"н/д")</x:f>
        <x:v>н/д</x:v>
      </x:c>
      <x:c r="AB345" s="21" t="str">
        <x:f>IF(AND(J345="Рассчитано",ISNUMBER(S345)),K345*(S345-M345),"н/д")</x:f>
        <x:v>н/д</x:v>
      </x:c>
      <x:c r="AC345" s="21" t="str">
        <x:f>IF(AND(J345="Рассчитано",T345&gt;0,R345&lt;100),(W345+P345+Q345)/(T345*(1-R345/100)),"н/д")</x:f>
        <x:v>н/д</x:v>
      </x:c>
      <x:c r="AD345" s="10" t="str">
        <x:f>IF(ISNUMBER(G345),IF(G345&lt;0,"Убыток",IF(G345=0,"Без прибыли","Прибыль &gt; 0")),"Не оценён")</x:f>
        <x:v>Не оценён</x:v>
      </x:c>
      <x:c r="AE345" s="13" t="str">
        <x:f>IF(J345="Рассчитано","Выручка "&amp;TEXT(V345,"0.00")&amp;" - себестоимость "&amp;TEXT(W345,"0.00")&amp;" - комиссия "&amp;TEXT(V345*R345/100,"0.00")&amp;" - доставка "&amp;TEXT(P345,"0.00")&amp;" - прочие "&amp;TEXT(Q345,"0.00")&amp;" = "&amp;TEXT(G345,"0.00")&amp;" "&amp;L345,"Введите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5" s="24" t="n">
        <x:v>9.290767710384594</x:v>
      </x:c>
      <x:c r="AG345" s="37" t="n">
        <x:v>0</x:v>
      </x:c>
      <x:c r="AH345" s="37" t="n">
        <x:v>0</x:v>
      </x:c>
      <x:c r="AI345" s="30" t="n">
        <x:v>46266</x:v>
      </x:c>
      <x:c r="AJ345" s="37" t="n">
        <x:v>10</x:v>
      </x:c>
      <x:c r="AK345" s="10" t="str">
        <x:v>кратность</x:v>
      </x:c>
      <x:c r="AL345" s="32" t="n">
        <x:v>0</x:v>
      </x:c>
      <x:c r="AM345" s="13" t="str">
        <x:v>Остаток на начало сентября; Резервы неизвестны; Нет ежедневных данных доступности. Нет запаса</x:v>
      </x:c>
      <x:c r="AN345" s="13" t="str">
        <x:v>Подтвердить наличие, срок и цену закупки</x:v>
      </x:c>
      <x:c r="AO345" s="13" t="str">
        <x:v>Прогноз 30 дней 9.29; остаток 0; поступления в срок 0; нехватка 10; заказ с учётом MOQ 10 шт. Остаток на начало сентября: требуется актуализация.</x:v>
      </x:c>
      <x:c r="AP345" s="13" t="str">
        <x:v>["blank_stock_assumed_zero", "category_missing", "daily_stockout_data_missing", "monthly_balance_date_assumed", "new_order_lead_time_unknown", "reservations_unknown", "stale_stock"]</x:v>
      </x:c>
      <x:c r="AQ345" s="10" t="str">
        <x:v>SE:030200260_</x:v>
      </x:c>
      <x:c r="AR345" s="24" t="n">
        <x:v>1</x:v>
      </x:c>
      <x:c r="AS345" s="24" t="n">
        <x:f>MAX(0,ROUNDUP(MAX(0,AF345-AG345-AH345)/AR345-0.000000001,0)*AR345)</x:f>
        <x:v>10</x:v>
      </x:c>
      <x:c r="AT345" s="24" t="n">
        <x:v>9.290767710384594</x:v>
      </x:c>
    </x:row>
    <x:row r="346" ht="64" customHeight="1">
      <x:c r="A346" s="11" t="str">
        <x:v>Systeme Electric</x:v>
      </x:c>
      <x:c r="B346" s="33" t="str">
        <x:v>030200265_</x:v>
      </x:c>
      <x:c r="C346" s="33" t="str">
        <x:v>GSL000192</x:v>
      </x:c>
      <x:c r="D346" s="12" t="str">
        <x:v>S376 ТV роз. проход.с/у б/рамки "GLOSSA" белый GSL192 (10)</x:v>
      </x:c>
      <x:c r="E346" s="11" t="str">
        <x:v>шт</x:v>
      </x:c>
      <x:c r="F346" s="35" t="n">
        <x:f>IF(AS346&gt;0,ROUNDUP(AS346/AJ346-0.000000001,0)*AJ346,0)</x:f>
        <x:v>10</x:v>
      </x:c>
      <x:c r="G346" s="20" t="str">
        <x:f>IF(J346="Рассчитано",V346*(1-R346/100)-W346-P346-Q346,"н/д")</x:f>
        <x:v>н/д</x:v>
      </x:c>
      <x:c r="H346" s="12" t="str">
        <x:v>Высокий</x:v>
      </x:c>
      <x:c r="I346" s="12" t="str">
        <x:v>Критический</x:v>
      </x:c>
      <x:c r="J346" s="12" t="str">
        <x:f>IF(L346="","Укажите валюту",IF(NOT(ISNUMBER(K346)),"Укажите объём",IF(K346&lt;=0,"Укажите объём",IF(COUNT(M346:O346)&lt;3,"Нужны цены",IF(COUNT(P346:R346)&lt;3,"Нужны расходы",IF(OR(M346&lt;0,N346&lt;0,O346&lt;0,O346&gt;100,P346&lt;0,Q346&lt;0,R346&lt;0,R346&gt;100),"Проверьте значения","Рассчитано"))))))</x:f>
        <x:v>Нужны цены</x:v>
      </x:c>
      <x:c r="K346" s="36" t="n">
        <x:v>10</x:v>
      </x:c>
      <x:c r="L346" s="19" t="str">
        <x:v>KZT</x:v>
      </x:c>
      <x:c r="M346" s="22"/>
      <x:c r="N346" s="22"/>
      <x:c r="O346" s="28"/>
      <x:c r="P346" s="22"/>
      <x:c r="Q346" s="22"/>
      <x:c r="R346" s="28"/>
      <x:c r="S346" s="22"/>
      <x:c r="T346" s="35" t="n">
        <x:f>MIN(K346,AT346)</x:f>
        <x:v>0.06846001205610085</x:v>
      </x:c>
      <x:c r="U346" s="20" t="str">
        <x:f>IF(J346="Рассчитано",N346*(1-O346/100),"н/д")</x:f>
        <x:v>н/д</x:v>
      </x:c>
      <x:c r="V346" s="20" t="str">
        <x:f>IF(J346="Рассчитано",T346*U346,"н/д")</x:f>
        <x:v>н/д</x:v>
      </x:c>
      <x:c r="W346" s="20" t="str">
        <x:f>IF(J346="Рассчитано",T346*M346,"н/д")</x:f>
        <x:v>н/д</x:v>
      </x:c>
      <x:c r="X346" s="20" t="str">
        <x:f>IF(J346="Рассчитано",V346-W346,"н/д")</x:f>
        <x:v>н/д</x:v>
      </x:c>
      <x:c r="Y346" s="26" t="str">
        <x:f>IF(J346="Рассчитано",IF(V346&gt;0,G346/V346,"н/д"),"н/д")</x:f>
        <x:v>н/д</x:v>
      </x:c>
      <x:c r="Z346" s="20" t="str">
        <x:f>IF(J346="Рассчитано",K346*M346,"н/д")</x:f>
        <x:v>н/д</x:v>
      </x:c>
      <x:c r="AA346" s="20" t="str">
        <x:f>IF(J346="Рассчитано",(K346-T346)*M346,"н/д")</x:f>
        <x:v>н/д</x:v>
      </x:c>
      <x:c r="AB346" s="20" t="str">
        <x:f>IF(AND(J346="Рассчитано",ISNUMBER(S346)),K346*(S346-M346),"н/д")</x:f>
        <x:v>н/д</x:v>
      </x:c>
      <x:c r="AC346" s="20" t="str">
        <x:f>IF(AND(J346="Рассчитано",T346&gt;0,R346&lt;100),(W346+P346+Q346)/(T346*(1-R346/100)),"н/д")</x:f>
        <x:v>н/д</x:v>
      </x:c>
      <x:c r="AD346" s="11" t="str">
        <x:f>IF(ISNUMBER(G346),IF(G346&lt;0,"Убыток",IF(G346=0,"Без прибыли","Прибыль &gt; 0")),"Не оценён")</x:f>
        <x:v>Не оценён</x:v>
      </x:c>
      <x:c r="AE346" s="12" t="str">
        <x:f>IF(J346="Рассчитано","Выручка "&amp;TEXT(V346,"0.00")&amp;" - себестоимость "&amp;TEXT(W346,"0.00")&amp;" - комиссия "&amp;TEXT(V346*R346/100,"0.00")&amp;" - доставка "&amp;TEXT(P346,"0.00")&amp;" - прочие "&amp;TEXT(Q346,"0.00")&amp;" = "&amp;TEXT(G346,"0.00")&amp;" "&amp;L346,"Введите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6" s="23" t="n">
        <x:v>0.06846001205610085</x:v>
      </x:c>
      <x:c r="AG346" s="35" t="n">
        <x:v>0</x:v>
      </x:c>
      <x:c r="AH346" s="35" t="n">
        <x:v>0</x:v>
      </x:c>
      <x:c r="AI346" s="29" t="n">
        <x:v>46266</x:v>
      </x:c>
      <x:c r="AJ346" s="35" t="n">
        <x:v>10</x:v>
      </x:c>
      <x:c r="AK346" s="11" t="str">
        <x:v>кратность</x:v>
      </x:c>
      <x:c r="AL346" s="31" t="n">
        <x:v>0</x:v>
      </x:c>
      <x:c r="AM346" s="12" t="str">
        <x:v>Остаток на начало сентября; Резервы неизвестны; Нет ежедневных данных доступности. Нет запаса</x:v>
      </x:c>
      <x:c r="AN346" s="12" t="str">
        <x:v>Подтвердить наличие, срок и цену закупки</x:v>
      </x:c>
      <x:c r="AO346" s="12" t="str">
        <x:v>Прогноз 30 дней 0.07; остаток 0; поступления в срок 0; нехватка 1; заказ с учётом MOQ 10 шт. Остаток на начало сентября: требуется актуализация.</x:v>
      </x:c>
      <x:c r="AP346" s="12" t="str">
        <x:v>["blank_stock_assumed_zero", "category_missing", "daily_stockout_data_missing", "monthly_balance_date_assumed", "new_order_lead_time_unknown", "reservations_unknown", "stale_stock"]</x:v>
      </x:c>
      <x:c r="AQ346" s="11" t="str">
        <x:v>SE:030200265_</x:v>
      </x:c>
      <x:c r="AR346" s="23" t="n">
        <x:v>1</x:v>
      </x:c>
      <x:c r="AS346" s="23" t="n">
        <x:f>MAX(0,ROUNDUP(MAX(0,AF346-AG346-AH346)/AR346-0.000000001,0)*AR346)</x:f>
        <x:v>1</x:v>
      </x:c>
      <x:c r="AT346" s="23" t="n">
        <x:v>0.06846001205610085</x:v>
      </x:c>
    </x:row>
    <x:row r="347" ht="64" customHeight="1">
      <x:c r="A347" s="10" t="str">
        <x:v>Systeme Electric</x:v>
      </x:c>
      <x:c r="B347" s="34" t="str">
        <x:v>030200379_</x:v>
      </x:c>
      <x:c r="C347" s="34" t="str">
        <x:v>VS110-153-18</x:v>
      </x:c>
      <x:c r="D347" s="13" t="str">
        <x:v>S266 1кл с/у инд 10А "Wessen 59" ВС 110-153-18 (10/60) !!!</x:v>
      </x:c>
      <x:c r="E347" s="10" t="str">
        <x:v>шт</x:v>
      </x:c>
      <x:c r="F347" s="37" t="n">
        <x:f>IF(AS347&gt;0,ROUNDUP(AS347/AJ347-0.000000001,0)*AJ347,0)</x:f>
        <x:v>1</x:v>
      </x:c>
      <x:c r="G347" s="21" t="str">
        <x:f>IF(J347="Рассчитано",V347*(1-R347/100)-W347-P347-Q347,"н/д")</x:f>
        <x:v>н/д</x:v>
      </x:c>
      <x:c r="H347" s="13" t="str">
        <x:v>Высокий</x:v>
      </x:c>
      <x:c r="I347" s="13" t="str">
        <x:v>Критический</x:v>
      </x:c>
      <x:c r="J347" s="13" t="str">
        <x:f>IF(L347="","Укажите валюту",IF(NOT(ISNUMBER(K347)),"Укажите объём",IF(K347&lt;=0,"Укажите объём",IF(COUNT(M347:O347)&lt;3,"Нужны цены",IF(COUNT(P347:R347)&lt;3,"Нужны расходы",IF(OR(M347&lt;0,N347&lt;0,O347&lt;0,O347&gt;100,P347&lt;0,Q347&lt;0,R347&lt;0,R347&gt;100),"Проверьте значения","Рассчитано"))))))</x:f>
        <x:v>Нужны цены</x:v>
      </x:c>
      <x:c r="K347" s="36" t="n">
        <x:v>1</x:v>
      </x:c>
      <x:c r="L347" s="19" t="str">
        <x:v>KZT</x:v>
      </x:c>
      <x:c r="M347" s="22"/>
      <x:c r="N347" s="22"/>
      <x:c r="O347" s="28"/>
      <x:c r="P347" s="22"/>
      <x:c r="Q347" s="22"/>
      <x:c r="R347" s="28"/>
      <x:c r="S347" s="22"/>
      <x:c r="T347" s="37" t="n">
        <x:f>MIN(K347,AT347)</x:f>
        <x:v>0.03340752688194962</x:v>
      </x:c>
      <x:c r="U347" s="21" t="str">
        <x:f>IF(J347="Рассчитано",N347*(1-O347/100),"н/д")</x:f>
        <x:v>н/д</x:v>
      </x:c>
      <x:c r="V347" s="21" t="str">
        <x:f>IF(J347="Рассчитано",T347*U347,"н/д")</x:f>
        <x:v>н/д</x:v>
      </x:c>
      <x:c r="W347" s="21" t="str">
        <x:f>IF(J347="Рассчитано",T347*M347,"н/д")</x:f>
        <x:v>н/д</x:v>
      </x:c>
      <x:c r="X347" s="21" t="str">
        <x:f>IF(J347="Рассчитано",V347-W347,"н/д")</x:f>
        <x:v>н/д</x:v>
      </x:c>
      <x:c r="Y347" s="27" t="str">
        <x:f>IF(J347="Рассчитано",IF(V347&gt;0,G347/V347,"н/д"),"н/д")</x:f>
        <x:v>н/д</x:v>
      </x:c>
      <x:c r="Z347" s="21" t="str">
        <x:f>IF(J347="Рассчитано",K347*M347,"н/д")</x:f>
        <x:v>н/д</x:v>
      </x:c>
      <x:c r="AA347" s="21" t="str">
        <x:f>IF(J347="Рассчитано",(K347-T347)*M347,"н/д")</x:f>
        <x:v>н/д</x:v>
      </x:c>
      <x:c r="AB347" s="21" t="str">
        <x:f>IF(AND(J347="Рассчитано",ISNUMBER(S347)),K347*(S347-M347),"н/д")</x:f>
        <x:v>н/д</x:v>
      </x:c>
      <x:c r="AC347" s="21" t="str">
        <x:f>IF(AND(J347="Рассчитано",T347&gt;0,R347&lt;100),(W347+P347+Q347)/(T347*(1-R347/100)),"н/д")</x:f>
        <x:v>н/д</x:v>
      </x:c>
      <x:c r="AD347" s="10" t="str">
        <x:f>IF(ISNUMBER(G347),IF(G347&lt;0,"Убыток",IF(G347=0,"Без прибыли","Прибыль &gt; 0")),"Не оценён")</x:f>
        <x:v>Не оценён</x:v>
      </x:c>
      <x:c r="AE347" s="13" t="str">
        <x:f>IF(J347="Рассчитано","Выручка "&amp;TEXT(V347,"0.00")&amp;" - себестоимость "&amp;TEXT(W347,"0.00")&amp;" - комиссия "&amp;TEXT(V347*R347/100,"0.00")&amp;" - доставка "&amp;TEXT(P347,"0.00")&amp;" - прочие "&amp;TEXT(Q347,"0.00")&amp;" = "&amp;TEXT(G347,"0.00")&amp;" "&amp;L347,"Введите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7" s="24" t="n">
        <x:v>0.03340752688194962</x:v>
      </x:c>
      <x:c r="AG347" s="37" t="n">
        <x:v>0</x:v>
      </x:c>
      <x:c r="AH347" s="37" t="n">
        <x:v>0</x:v>
      </x:c>
      <x:c r="AI347" s="30" t="n">
        <x:v>46266</x:v>
      </x:c>
      <x:c r="AJ347" s="37" t="n">
        <x:v>1</x:v>
      </x:c>
      <x:c r="AK347" s="10" t="str">
        <x:v>кратность</x:v>
      </x:c>
      <x:c r="AL347" s="32" t="n">
        <x:v>0</x:v>
      </x:c>
      <x:c r="AM347" s="13" t="str">
        <x:v>Остаток на начало сентября; Резервы неизвестны; Нет ежедневных данных доступности. Нет запаса</x:v>
      </x:c>
      <x:c r="AN347" s="13" t="str">
        <x:v>Подтвердить наличие, срок и цену закупки</x:v>
      </x:c>
      <x:c r="AO347" s="13" t="str">
        <x:v>Прогноз 30 дней 0.03; остаток 0; поступления в срок 0; нехватка 1; заказ с учётом MOQ 1 шт. Остаток на начало сентября: требуется актуализация.</x:v>
      </x:c>
      <x:c r="AP347" s="13" t="str">
        <x:v>["blank_stock_assumed_zero", "category_missing", "daily_stockout_data_missing", "monthly_balance_date_assumed", "new_order_lead_time_unknown", "reservations_unknown", "stale_stock"]</x:v>
      </x:c>
      <x:c r="AQ347" s="10" t="str">
        <x:v>SE:030200379_</x:v>
      </x:c>
      <x:c r="AR347" s="24" t="n">
        <x:v>1</x:v>
      </x:c>
      <x:c r="AS347" s="24" t="n">
        <x:f>MAX(0,ROUNDUP(MAX(0,AF347-AG347-AH347)/AR347-0.000000001,0)*AR347)</x:f>
        <x:v>1</x:v>
      </x:c>
      <x:c r="AT347" s="24" t="n">
        <x:v>0.03340752688194962</x:v>
      </x:c>
    </x:row>
    <x:row r="348" ht="64" customHeight="1">
      <x:c r="A348" s="11" t="str">
        <x:v>Systeme Electric</x:v>
      </x:c>
      <x:c r="B348" s="33" t="str">
        <x:v>030300013_</x:v>
      </x:c>
      <x:c r="C348" s="33" t="str">
        <x:v>U195</x:v>
      </x:c>
      <x:c r="D348" s="12" t="str">
        <x:v>Распределительная коробка с/у для твердых стен  75х30 карболит IP30 У-195 Systeme Electric (108)</x:v>
      </x:c>
      <x:c r="E348" s="11" t="str">
        <x:v>шт</x:v>
      </x:c>
      <x:c r="F348" s="35" t="n">
        <x:f>IF(AS348&gt;0,ROUNDUP(AS348/AJ348-0.000000001,0)*AJ348,0)</x:f>
        <x:v>108</x:v>
      </x:c>
      <x:c r="G348" s="20" t="str">
        <x:f>IF(J348="Рассчитано",V348*(1-R348/100)-W348-P348-Q348,"н/д")</x:f>
        <x:v>н/д</x:v>
      </x:c>
      <x:c r="H348" s="12" t="str">
        <x:v>Высокий</x:v>
      </x:c>
      <x:c r="I348" s="12" t="str">
        <x:v>Высокий</x:v>
      </x:c>
      <x:c r="J348" s="12" t="str">
        <x:f>IF(L348="","Укажите валюту",IF(NOT(ISNUMBER(K348)),"Укажите объём",IF(K348&lt;=0,"Укажите объём",IF(COUNT(M348:O348)&lt;3,"Нужны цены",IF(COUNT(P348:R348)&lt;3,"Нужны расходы",IF(OR(M348&lt;0,N348&lt;0,O348&lt;0,O348&gt;100,P348&lt;0,Q348&lt;0,R348&lt;0,R348&gt;100),"Проверьте значения","Рассчитано"))))))</x:f>
        <x:v>Нужны цены</x:v>
      </x:c>
      <x:c r="K348" s="36" t="n">
        <x:v>108</x:v>
      </x:c>
      <x:c r="L348" s="19" t="str">
        <x:v>KZT</x:v>
      </x:c>
      <x:c r="M348" s="22"/>
      <x:c r="N348" s="22"/>
      <x:c r="O348" s="28"/>
      <x:c r="P348" s="22"/>
      <x:c r="Q348" s="22"/>
      <x:c r="R348" s="28"/>
      <x:c r="S348" s="22"/>
      <x:c r="T348" s="35" t="n">
        <x:f>MIN(K348,AT348)</x:f>
        <x:v>2.2556336435216267</x:v>
      </x:c>
      <x:c r="U348" s="20" t="str">
        <x:f>IF(J348="Рассчитано",N348*(1-O348/100),"н/д")</x:f>
        <x:v>н/д</x:v>
      </x:c>
      <x:c r="V348" s="20" t="str">
        <x:f>IF(J348="Рассчитано",T348*U348,"н/д")</x:f>
        <x:v>н/д</x:v>
      </x:c>
      <x:c r="W348" s="20" t="str">
        <x:f>IF(J348="Рассчитано",T348*M348,"н/д")</x:f>
        <x:v>н/д</x:v>
      </x:c>
      <x:c r="X348" s="20" t="str">
        <x:f>IF(J348="Рассчитано",V348-W348,"н/д")</x:f>
        <x:v>н/д</x:v>
      </x:c>
      <x:c r="Y348" s="26" t="str">
        <x:f>IF(J348="Рассчитано",IF(V348&gt;0,G348/V348,"н/д"),"н/д")</x:f>
        <x:v>н/д</x:v>
      </x:c>
      <x:c r="Z348" s="20" t="str">
        <x:f>IF(J348="Рассчитано",K348*M348,"н/д")</x:f>
        <x:v>н/д</x:v>
      </x:c>
      <x:c r="AA348" s="20" t="str">
        <x:f>IF(J348="Рассчитано",(K348-T348)*M348,"н/д")</x:f>
        <x:v>н/д</x:v>
      </x:c>
      <x:c r="AB348" s="20" t="str">
        <x:f>IF(AND(J348="Рассчитано",ISNUMBER(S348)),K348*(S348-M348),"н/д")</x:f>
        <x:v>н/д</x:v>
      </x:c>
      <x:c r="AC348" s="20" t="str">
        <x:f>IF(AND(J348="Рассчитано",T348&gt;0,R348&lt;100),(W348+P348+Q348)/(T348*(1-R348/100)),"н/д")</x:f>
        <x:v>н/д</x:v>
      </x:c>
      <x:c r="AD348" s="11" t="str">
        <x:f>IF(ISNUMBER(G348),IF(G348&lt;0,"Убыток",IF(G348=0,"Без прибыли","Прибыль &gt; 0")),"Не оценён")</x:f>
        <x:v>Не оценён</x:v>
      </x:c>
      <x:c r="AE348" s="12" t="str">
        <x:f>IF(J348="Рассчитано","Выручка "&amp;TEXT(V348,"0.00")&amp;" - себестоимость "&amp;TEXT(W348,"0.00")&amp;" - комиссия "&amp;TEXT(V348*R348/100,"0.00")&amp;" - доставка "&amp;TEXT(P348,"0.00")&amp;" - прочие "&amp;TEXT(Q348,"0.00")&amp;" = "&amp;TEXT(G348,"0.00")&amp;" "&amp;L348,"Введите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8" s="23" t="n">
        <x:v>3.2556336435216267</x:v>
      </x:c>
      <x:c r="AG348" s="35" t="n">
        <x:v>1</x:v>
      </x:c>
      <x:c r="AH348" s="35" t="n">
        <x:v>0</x:v>
      </x:c>
      <x:c r="AI348" s="29" t="n">
        <x:v>46266</x:v>
      </x:c>
      <x:c r="AJ348" s="35" t="n">
        <x:v>108</x:v>
      </x:c>
      <x:c r="AK348" s="11" t="str">
        <x:v>кратность</x:v>
      </x:c>
      <x:c r="AL348" s="31" t="n">
        <x:v>9.214796038152784</x:v>
      </x:c>
      <x:c r="AM348" s="12" t="str">
        <x:v>Остаток на начало сентября; Резервы неизвестны; Нет ежедневных данных доступности. Запаса примерно на 9.2 дн. без поступлений</x:v>
      </x:c>
      <x:c r="AN348" s="12" t="str">
        <x:v>Подтвердить наличие, срок и цену закупки</x:v>
      </x:c>
      <x:c r="AO348" s="12" t="str">
        <x:v>Прогноз 30 дней 3.26; остаток 1; поступления в срок 0; нехватка 3; заказ с учётом MOQ 108 шт. Остаток на начало сентября: требуется актуализация.</x:v>
      </x:c>
      <x:c r="AP348" s="12" t="str">
        <x:v>["category_missing", "daily_stockout_data_missing", "monthly_balance_date_assumed", "new_order_lead_time_unknown", "reservations_unknown", "stale_stock"]</x:v>
      </x:c>
      <x:c r="AQ348" s="11" t="str">
        <x:v>SE:030300013_</x:v>
      </x:c>
      <x:c r="AR348" s="23" t="n">
        <x:v>1</x:v>
      </x:c>
      <x:c r="AS348" s="23" t="n">
        <x:f>MAX(0,ROUNDUP(MAX(0,AF348-AG348-AH348)/AR348-0.000000001,0)*AR348)</x:f>
        <x:v>3</x:v>
      </x:c>
      <x:c r="AT348" s="23" t="n">
        <x:v>2.2556336435216267</x:v>
      </x:c>
    </x:row>
    <x:row r="349" ht="64" customHeight="1">
      <x:c r="A349" s="10" t="str">
        <x:v>Systeme Electric</x:v>
      </x:c>
      <x:c r="B349" s="34" t="str">
        <x:v>130300026_</x:v>
      </x:c>
      <x:c r="C349" s="34" t="str">
        <x:v>U731M</x:v>
      </x:c>
      <x:c r="D349" s="13" t="str">
        <x:v>Сжим У 731М  (4-10/1,5-10) SE (140)</x:v>
      </x:c>
      <x:c r="E349" s="10" t="str">
        <x:v>шт</x:v>
      </x:c>
      <x:c r="F349" s="37" t="n">
        <x:f>IF(AS349&gt;0,ROUNDUP(AS349/AJ349-0.000000001,0)*AJ349,0)</x:f>
        <x:v>280</x:v>
      </x:c>
      <x:c r="G349" s="21" t="str">
        <x:f>IF(J349="Рассчитано",V349*(1-R349/100)-W349-P349-Q349,"н/д")</x:f>
        <x:v>н/д</x:v>
      </x:c>
      <x:c r="H349" s="13" t="str">
        <x:v>Средний</x:v>
      </x:c>
      <x:c r="I349" s="13" t="str">
        <x:v>Средний</x:v>
      </x:c>
      <x:c r="J349" s="13" t="str">
        <x:f>IF(L349="","Укажите валюту",IF(NOT(ISNUMBER(K349)),"Укажите объём",IF(K349&lt;=0,"Укажите объём",IF(COUNT(M349:O349)&lt;3,"Нужны цены",IF(COUNT(P349:R349)&lt;3,"Нужны расходы",IF(OR(M349&lt;0,N349&lt;0,O349&lt;0,O349&gt;100,P349&lt;0,Q349&lt;0,R349&lt;0,R349&gt;100),"Проверьте значения","Рассчитано"))))))</x:f>
        <x:v>Нужны цены</x:v>
      </x:c>
      <x:c r="K349" s="36" t="n">
        <x:v>280</x:v>
      </x:c>
      <x:c r="L349" s="19" t="str">
        <x:v>KZT</x:v>
      </x:c>
      <x:c r="M349" s="22"/>
      <x:c r="N349" s="22"/>
      <x:c r="O349" s="28"/>
      <x:c r="P349" s="22"/>
      <x:c r="Q349" s="22"/>
      <x:c r="R349" s="28"/>
      <x:c r="S349" s="22"/>
      <x:c r="T349" s="37" t="n">
        <x:f>MIN(K349,AT349)</x:f>
        <x:v>235.56763020766687</x:v>
      </x:c>
      <x:c r="U349" s="21" t="str">
        <x:f>IF(J349="Рассчитано",N349*(1-O349/100),"н/д")</x:f>
        <x:v>н/д</x:v>
      </x:c>
      <x:c r="V349" s="21" t="str">
        <x:f>IF(J349="Рассчитано",T349*U349,"н/д")</x:f>
        <x:v>н/д</x:v>
      </x:c>
      <x:c r="W349" s="21" t="str">
        <x:f>IF(J349="Рассчитано",T349*M349,"н/д")</x:f>
        <x:v>н/д</x:v>
      </x:c>
      <x:c r="X349" s="21" t="str">
        <x:f>IF(J349="Рассчитано",V349-W349,"н/д")</x:f>
        <x:v>н/д</x:v>
      </x:c>
      <x:c r="Y349" s="27" t="str">
        <x:f>IF(J349="Рассчитано",IF(V349&gt;0,G349/V349,"н/д"),"н/д")</x:f>
        <x:v>н/д</x:v>
      </x:c>
      <x:c r="Z349" s="21" t="str">
        <x:f>IF(J349="Рассчитано",K349*M349,"н/д")</x:f>
        <x:v>н/д</x:v>
      </x:c>
      <x:c r="AA349" s="21" t="str">
        <x:f>IF(J349="Рассчитано",(K349-T349)*M349,"н/д")</x:f>
        <x:v>н/д</x:v>
      </x:c>
      <x:c r="AB349" s="21" t="str">
        <x:f>IF(AND(J349="Рассчитано",ISNUMBER(S349)),K349*(S349-M349),"н/д")</x:f>
        <x:v>н/д</x:v>
      </x:c>
      <x:c r="AC349" s="21" t="str">
        <x:f>IF(AND(J349="Рассчитано",T349&gt;0,R349&lt;100),(W349+P349+Q349)/(T349*(1-R349/100)),"н/д")</x:f>
        <x:v>н/д</x:v>
      </x:c>
      <x:c r="AD349" s="10" t="str">
        <x:f>IF(ISNUMBER(G349),IF(G349&lt;0,"Убыток",IF(G349=0,"Без прибыли","Прибыль &gt; 0")),"Не оценён")</x:f>
        <x:v>Не оценён</x:v>
      </x:c>
      <x:c r="AE349" s="13" t="str">
        <x:f>IF(J349="Рассчитано","Выручка "&amp;TEXT(V349,"0.00")&amp;" - себестоимость "&amp;TEXT(W349,"0.00")&amp;" - комиссия "&amp;TEXT(V349*R349/100,"0.00")&amp;" - доставка "&amp;TEXT(P349,"0.00")&amp;" - прочие "&amp;TEXT(Q349,"0.00")&amp;" = "&amp;TEXT(G349,"0.00")&amp;" "&amp;L349,"Введите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49" s="24" t="n">
        <x:v>494.56763020766687</x:v>
      </x:c>
      <x:c r="AG349" s="37" t="n">
        <x:v>259</x:v>
      </x:c>
      <x:c r="AH349" s="37" t="n">
        <x:v>0</x:v>
      </x:c>
      <x:c r="AI349" s="30" t="n">
        <x:v>46287</x:v>
      </x:c>
      <x:c r="AJ349" s="37" t="n">
        <x:v>140</x:v>
      </x:c>
      <x:c r="AK349" s="10" t="str">
        <x:v>кратность</x:v>
      </x:c>
      <x:c r="AL349" s="32" t="n">
        <x:v>15.710692583615733</x:v>
      </x:c>
      <x:c r="AM349" s="13" t="str">
        <x:v>Детальные и месячные продажи расходятся; Нет ежедневных данных доступности. Запаса примерно на 15.7 дн. без поступлений</x:v>
      </x:c>
      <x:c r="AN349" s="13" t="str">
        <x:v>Подтвердить наличие, срок и цену закупки</x:v>
      </x:c>
      <x:c r="AO349" s="13" t="str">
        <x:v>Прогноз 30 дней 494.57; остаток 259; поступления в срок 0; нехватка 236; заказ с учётом MOQ 280 шт.</x:v>
      </x:c>
      <x:c r="AP349" s="13" t="str">
        <x:v>["daily_stockout_data_missing", "large_orders_detected", "new_order_lead_time_unknown", "transaction_month_mismatch"]</x:v>
      </x:c>
      <x:c r="AQ349" s="10" t="str">
        <x:v>SE:130300026_</x:v>
      </x:c>
      <x:c r="AR349" s="24" t="n">
        <x:v>1</x:v>
      </x:c>
      <x:c r="AS349" s="24" t="n">
        <x:f>MAX(0,ROUNDUP(MAX(0,AF349-AG349-AH349)/AR349-0.000000001,0)*AR349)</x:f>
        <x:v>236</x:v>
      </x:c>
      <x:c r="AT349" s="24" t="n">
        <x:v>235.56763020766687</x:v>
      </x:c>
    </x:row>
    <x:row r="350" ht="64" customHeight="1">
      <x:c r="A350" s="11" t="str">
        <x:v>Systeme Electric</x:v>
      </x:c>
      <x:c r="B350" s="33" t="str">
        <x:v>130300027_</x:v>
      </x:c>
      <x:c r="C350" s="33" t="str">
        <x:v>U733M</x:v>
      </x:c>
      <x:c r="D350" s="12" t="str">
        <x:v>Сжим У 733M (16-35/1,5-10)  SE (140)</x:v>
      </x:c>
      <x:c r="E350" s="11" t="str">
        <x:v>шт</x:v>
      </x:c>
      <x:c r="F350" s="35" t="n">
        <x:f>IF(AS350&gt;0,ROUNDUP(AS350/AJ350-0.000000001,0)*AJ350,0)</x:f>
        <x:v>980</x:v>
      </x:c>
      <x:c r="G350" s="20" t="str">
        <x:f>IF(J350="Рассчитано",V350*(1-R350/100)-W350-P350-Q350,"н/д")</x:f>
        <x:v>н/д</x:v>
      </x:c>
      <x:c r="H350" s="12" t="str">
        <x:v>Средний</x:v>
      </x:c>
      <x:c r="I350" s="12" t="str">
        <x:v>Критический</x:v>
      </x:c>
      <x:c r="J350" s="12" t="str">
        <x:f>IF(L350="","Укажите валюту",IF(NOT(ISNUMBER(K350)),"Укажите объём",IF(K350&lt;=0,"Укажите объём",IF(COUNT(M350:O350)&lt;3,"Нужны цены",IF(COUNT(P350:R350)&lt;3,"Нужны расходы",IF(OR(M350&lt;0,N350&lt;0,O350&lt;0,O350&gt;100,P350&lt;0,Q350&lt;0,R350&lt;0,R350&gt;100),"Проверьте значения","Рассчитано"))))))</x:f>
        <x:v>Нужны цены</x:v>
      </x:c>
      <x:c r="K350" s="36" t="n">
        <x:v>980</x:v>
      </x:c>
      <x:c r="L350" s="19" t="str">
        <x:v>KZT</x:v>
      </x:c>
      <x:c r="M350" s="22"/>
      <x:c r="N350" s="22"/>
      <x:c r="O350" s="28"/>
      <x:c r="P350" s="22"/>
      <x:c r="Q350" s="22"/>
      <x:c r="R350" s="28"/>
      <x:c r="S350" s="22"/>
      <x:c r="T350" s="35" t="n">
        <x:f>MIN(K350,AT350)</x:f>
        <x:v>847.5151143270791</x:v>
      </x:c>
      <x:c r="U350" s="20" t="str">
        <x:f>IF(J350="Рассчитано",N350*(1-O350/100),"н/д")</x:f>
        <x:v>н/д</x:v>
      </x:c>
      <x:c r="V350" s="20" t="str">
        <x:f>IF(J350="Рассчитано",T350*U350,"н/д")</x:f>
        <x:v>н/д</x:v>
      </x:c>
      <x:c r="W350" s="20" t="str">
        <x:f>IF(J350="Рассчитано",T350*M350,"н/д")</x:f>
        <x:v>н/д</x:v>
      </x:c>
      <x:c r="X350" s="20" t="str">
        <x:f>IF(J350="Рассчитано",V350-W350,"н/д")</x:f>
        <x:v>н/д</x:v>
      </x:c>
      <x:c r="Y350" s="26" t="str">
        <x:f>IF(J350="Рассчитано",IF(V350&gt;0,G350/V350,"н/д"),"н/д")</x:f>
        <x:v>н/д</x:v>
      </x:c>
      <x:c r="Z350" s="20" t="str">
        <x:f>IF(J350="Рассчитано",K350*M350,"н/д")</x:f>
        <x:v>н/д</x:v>
      </x:c>
      <x:c r="AA350" s="20" t="str">
        <x:f>IF(J350="Рассчитано",(K350-T350)*M350,"н/д")</x:f>
        <x:v>н/д</x:v>
      </x:c>
      <x:c r="AB350" s="20" t="str">
        <x:f>IF(AND(J350="Рассчитано",ISNUMBER(S350)),K350*(S350-M350),"н/д")</x:f>
        <x:v>н/д</x:v>
      </x:c>
      <x:c r="AC350" s="20" t="str">
        <x:f>IF(AND(J350="Рассчитано",T350&gt;0,R350&lt;100),(W350+P350+Q350)/(T350*(1-R350/100)),"н/д")</x:f>
        <x:v>н/д</x:v>
      </x:c>
      <x:c r="AD350" s="11" t="str">
        <x:f>IF(ISNUMBER(G350),IF(G350&lt;0,"Убыток",IF(G350=0,"Без прибыли","Прибыль &gt; 0")),"Не оценён")</x:f>
        <x:v>Не оценён</x:v>
      </x:c>
      <x:c r="AE350" s="12" t="str">
        <x:f>IF(J350="Рассчитано","Выручка "&amp;TEXT(V350,"0.00")&amp;" - себестоимость "&amp;TEXT(W350,"0.00")&amp;" - комиссия "&amp;TEXT(V350*R350/100,"0.00")&amp;" - доставка "&amp;TEXT(P350,"0.00")&amp;" - прочие "&amp;TEXT(Q350,"0.00")&amp;" = "&amp;TEXT(G350,"0.00")&amp;" "&amp;L350,"Введите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0" s="23" t="n">
        <x:v>955.5151143270791</x:v>
      </x:c>
      <x:c r="AG350" s="35" t="n">
        <x:v>108</x:v>
      </x:c>
      <x:c r="AH350" s="35" t="n">
        <x:v>0</x:v>
      </x:c>
      <x:c r="AI350" s="29" t="n">
        <x:v>46287</x:v>
      </x:c>
      <x:c r="AJ350" s="35" t="n">
        <x:v>140</x:v>
      </x:c>
      <x:c r="AK350" s="11" t="str">
        <x:v>кратность</x:v>
      </x:c>
      <x:c r="AL350" s="31" t="n">
        <x:v>3.3908411823310276</x:v>
      </x:c>
      <x:c r="AM350" s="12" t="str">
        <x:v>Детальные и месячные продажи расходятся; Нет ежедневных данных доступности. Запаса примерно на 3.4 дн. без поступлений</x:v>
      </x:c>
      <x:c r="AN350" s="12" t="str">
        <x:v>Подтвердить наличие, срок и цену закупки</x:v>
      </x:c>
      <x:c r="AO350" s="12" t="str">
        <x:v>Прогноз 30 дней 955.52; остаток 108; поступления в срок 0; нехватка 848; заказ с учётом MOQ 980 шт.</x:v>
      </x:c>
      <x:c r="AP350" s="12" t="str">
        <x:v>["daily_stockout_data_missing", "large_orders_detected", "new_order_lead_time_unknown", "transaction_month_mismatch"]</x:v>
      </x:c>
      <x:c r="AQ350" s="11" t="str">
        <x:v>SE:130300027_</x:v>
      </x:c>
      <x:c r="AR350" s="23" t="n">
        <x:v>1</x:v>
      </x:c>
      <x:c r="AS350" s="23" t="n">
        <x:f>MAX(0,ROUNDUP(MAX(0,AF350-AG350-AH350)/AR350-0.000000001,0)*AR350)</x:f>
        <x:v>848</x:v>
      </x:c>
      <x:c r="AT350" s="23" t="n">
        <x:v>847.5151143270791</x:v>
      </x:c>
    </x:row>
    <x:row r="351" ht="64" customHeight="1">
      <x:c r="A351" s="10" t="str">
        <x:v>Systeme Electric</x:v>
      </x:c>
      <x:c r="B351" s="34" t="str">
        <x:v>130300028_</x:v>
      </x:c>
      <x:c r="C351" s="34" t="str">
        <x:v>U734M</x:v>
      </x:c>
      <x:c r="D351" s="13" t="str">
        <x:v>Сжим У 734М (16-35/16-25) SE (140)</x:v>
      </x:c>
      <x:c r="E351" s="10" t="str">
        <x:v>шт</x:v>
      </x:c>
      <x:c r="F351" s="37" t="n">
        <x:f>IF(AS351&gt;0,ROUNDUP(AS351/AJ351-0.000000001,0)*AJ351,0)</x:f>
        <x:v>280</x:v>
      </x:c>
      <x:c r="G351" s="21" t="str">
        <x:f>IF(J351="Рассчитано",V351*(1-R351/100)-W351-P351-Q351,"н/д")</x:f>
        <x:v>н/д</x:v>
      </x:c>
      <x:c r="H351" s="13" t="str">
        <x:v>Средний</x:v>
      </x:c>
      <x:c r="I351" s="13" t="str">
        <x:v>Критический</x:v>
      </x:c>
      <x:c r="J351" s="13" t="str">
        <x:f>IF(L351="","Укажите валюту",IF(NOT(ISNUMBER(K351)),"Укажите объём",IF(K351&lt;=0,"Укажите объём",IF(COUNT(M351:O351)&lt;3,"Нужны цены",IF(COUNT(P351:R351)&lt;3,"Нужны расходы",IF(OR(M351&lt;0,N351&lt;0,O351&lt;0,O351&gt;100,P351&lt;0,Q351&lt;0,R351&lt;0,R351&gt;100),"Проверьте значения","Рассчитано"))))))</x:f>
        <x:v>Нужны цены</x:v>
      </x:c>
      <x:c r="K351" s="36" t="n">
        <x:v>280</x:v>
      </x:c>
      <x:c r="L351" s="19" t="str">
        <x:v>KZT</x:v>
      </x:c>
      <x:c r="M351" s="22"/>
      <x:c r="N351" s="22"/>
      <x:c r="O351" s="28"/>
      <x:c r="P351" s="22"/>
      <x:c r="Q351" s="22"/>
      <x:c r="R351" s="28"/>
      <x:c r="S351" s="22"/>
      <x:c r="T351" s="37" t="n">
        <x:f>MIN(K351,AT351)</x:f>
        <x:v>150.36011213823798</x:v>
      </x:c>
      <x:c r="U351" s="21" t="str">
        <x:f>IF(J351="Рассчитано",N351*(1-O351/100),"н/д")</x:f>
        <x:v>н/д</x:v>
      </x:c>
      <x:c r="V351" s="21" t="str">
        <x:f>IF(J351="Рассчитано",T351*U351,"н/д")</x:f>
        <x:v>н/д</x:v>
      </x:c>
      <x:c r="W351" s="21" t="str">
        <x:f>IF(J351="Рассчитано",T351*M351,"н/д")</x:f>
        <x:v>н/д</x:v>
      </x:c>
      <x:c r="X351" s="21" t="str">
        <x:f>IF(J351="Рассчитано",V351-W351,"н/д")</x:f>
        <x:v>н/д</x:v>
      </x:c>
      <x:c r="Y351" s="27" t="str">
        <x:f>IF(J351="Рассчитано",IF(V351&gt;0,G351/V351,"н/д"),"н/д")</x:f>
        <x:v>н/д</x:v>
      </x:c>
      <x:c r="Z351" s="21" t="str">
        <x:f>IF(J351="Рассчитано",K351*M351,"н/д")</x:f>
        <x:v>н/д</x:v>
      </x:c>
      <x:c r="AA351" s="21" t="str">
        <x:f>IF(J351="Рассчитано",(K351-T351)*M351,"н/д")</x:f>
        <x:v>н/д</x:v>
      </x:c>
      <x:c r="AB351" s="21" t="str">
        <x:f>IF(AND(J351="Рассчитано",ISNUMBER(S351)),K351*(S351-M351),"н/д")</x:f>
        <x:v>н/д</x:v>
      </x:c>
      <x:c r="AC351" s="21" t="str">
        <x:f>IF(AND(J351="Рассчитано",T351&gt;0,R351&lt;100),(W351+P351+Q351)/(T351*(1-R351/100)),"н/д")</x:f>
        <x:v>н/д</x:v>
      </x:c>
      <x:c r="AD351" s="10" t="str">
        <x:f>IF(ISNUMBER(G351),IF(G351&lt;0,"Убыток",IF(G351=0,"Без прибыли","Прибыль &gt; 0")),"Не оценён")</x:f>
        <x:v>Не оценён</x:v>
      </x:c>
      <x:c r="AE351" s="13" t="str">
        <x:f>IF(J351="Рассчитано","Выручка "&amp;TEXT(V351,"0.00")&amp;" - себестоимость "&amp;TEXT(W351,"0.00")&amp;" - комиссия "&amp;TEXT(V351*R351/100,"0.00")&amp;" - доставка "&amp;TEXT(P351,"0.00")&amp;" - прочие "&amp;TEXT(Q351,"0.00")&amp;" = "&amp;TEXT(G351,"0.00")&amp;" "&amp;L351,"Введите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1" s="24" t="n">
        <x:v>158.36011213823798</x:v>
      </x:c>
      <x:c r="AG351" s="37" t="n">
        <x:v>8</x:v>
      </x:c>
      <x:c r="AH351" s="37" t="n">
        <x:v>0</x:v>
      </x:c>
      <x:c r="AI351" s="30" t="n">
        <x:v>46287</x:v>
      </x:c>
      <x:c r="AJ351" s="37" t="n">
        <x:v>140</x:v>
      </x:c>
      <x:c r="AK351" s="10" t="str">
        <x:v>кратность</x:v>
      </x:c>
      <x:c r="AL351" s="32" t="n">
        <x:v>1.5155331526318683</x:v>
      </x:c>
      <x:c r="AM351" s="13" t="str">
        <x:v>Детальные и месячные продажи расходятся; Нет ежедневных данных доступности. Запаса примерно на 1.5 дн. без поступлений</x:v>
      </x:c>
      <x:c r="AN351" s="13" t="str">
        <x:v>Подтвердить наличие, срок и цену закупки</x:v>
      </x:c>
      <x:c r="AO351" s="13" t="str">
        <x:v>Прогноз 30 дней 158.36; остаток 8; поступления в срок 0; нехватка 151; заказ с учётом MOQ 280 шт.</x:v>
      </x:c>
      <x:c r="AP351" s="13" t="str">
        <x:v>["daily_stockout_data_missing", "large_orders_detected", "negative_net_sales_clipped_for_forecast", "new_order_lead_time_unknown", "transaction_month_mismatch"]</x:v>
      </x:c>
      <x:c r="AQ351" s="10" t="str">
        <x:v>SE:130300028_</x:v>
      </x:c>
      <x:c r="AR351" s="24" t="n">
        <x:v>1</x:v>
      </x:c>
      <x:c r="AS351" s="24" t="n">
        <x:f>MAX(0,ROUNDUP(MAX(0,AF351-AG351-AH351)/AR351-0.000000001,0)*AR351)</x:f>
        <x:v>151</x:v>
      </x:c>
      <x:c r="AT351" s="24" t="n">
        <x:v>150.36011213823798</x:v>
      </x:c>
    </x:row>
    <x:row r="352" ht="64" customHeight="1">
      <x:c r="A352" s="11" t="str">
        <x:v>Systeme Electric</x:v>
      </x:c>
      <x:c r="B352" s="33" t="str">
        <x:v>300100003_</x:v>
      </x:c>
      <x:c r="C352" s="33" t="str">
        <x:v>KD-3-18</x:v>
      </x:c>
      <x:c r="D352" s="12" t="str">
        <x:v>S199 Рамка 3-ная "Wessen 59" (15/60) !!!</x:v>
      </x:c>
      <x:c r="E352" s="11" t="str">
        <x:v>шт</x:v>
      </x:c>
      <x:c r="F352" s="35" t="n">
        <x:f>IF(AS352&gt;0,ROUNDUP(AS352/AJ352-0.000000001,0)*AJ352,0)</x:f>
        <x:v>15</x:v>
      </x:c>
      <x:c r="G352" s="20" t="str">
        <x:f>IF(J352="Рассчитано",V352*(1-R352/100)-W352-P352-Q352,"н/д")</x:f>
        <x:v>н/д</x:v>
      </x:c>
      <x:c r="H352" s="12" t="str">
        <x:v>Высокий</x:v>
      </x:c>
      <x:c r="I352" s="12" t="str">
        <x:v>Критический</x:v>
      </x:c>
      <x:c r="J352" s="12" t="str">
        <x:f>IF(L352="","Укажите валюту",IF(NOT(ISNUMBER(K352)),"Укажите объём",IF(K352&lt;=0,"Укажите объём",IF(COUNT(M352:O352)&lt;3,"Нужны цены",IF(COUNT(P352:R352)&lt;3,"Нужны расходы",IF(OR(M352&lt;0,N352&lt;0,O352&lt;0,O352&gt;100,P352&lt;0,Q352&lt;0,R352&lt;0,R352&gt;100),"Проверьте значения","Рассчитано"))))))</x:f>
        <x:v>Нужны цены</x:v>
      </x:c>
      <x:c r="K352" s="36" t="n">
        <x:v>15</x:v>
      </x:c>
      <x:c r="L352" s="19" t="str">
        <x:v>KZT</x:v>
      </x:c>
      <x:c r="M352" s="22"/>
      <x:c r="N352" s="22"/>
      <x:c r="O352" s="28"/>
      <x:c r="P352" s="22"/>
      <x:c r="Q352" s="22"/>
      <x:c r="R352" s="28"/>
      <x:c r="S352" s="22"/>
      <x:c r="T352" s="35" t="n">
        <x:f>MIN(K352,AT352)</x:f>
        <x:v>0.06846001205610085</x:v>
      </x:c>
      <x:c r="U352" s="20" t="str">
        <x:f>IF(J352="Рассчитано",N352*(1-O352/100),"н/д")</x:f>
        <x:v>н/д</x:v>
      </x:c>
      <x:c r="V352" s="20" t="str">
        <x:f>IF(J352="Рассчитано",T352*U352,"н/д")</x:f>
        <x:v>н/д</x:v>
      </x:c>
      <x:c r="W352" s="20" t="str">
        <x:f>IF(J352="Рассчитано",T352*M352,"н/д")</x:f>
        <x:v>н/д</x:v>
      </x:c>
      <x:c r="X352" s="20" t="str">
        <x:f>IF(J352="Рассчитано",V352-W352,"н/д")</x:f>
        <x:v>н/д</x:v>
      </x:c>
      <x:c r="Y352" s="26" t="str">
        <x:f>IF(J352="Рассчитано",IF(V352&gt;0,G352/V352,"н/д"),"н/д")</x:f>
        <x:v>н/д</x:v>
      </x:c>
      <x:c r="Z352" s="20" t="str">
        <x:f>IF(J352="Рассчитано",K352*M352,"н/д")</x:f>
        <x:v>н/д</x:v>
      </x:c>
      <x:c r="AA352" s="20" t="str">
        <x:f>IF(J352="Рассчитано",(K352-T352)*M352,"н/д")</x:f>
        <x:v>н/д</x:v>
      </x:c>
      <x:c r="AB352" s="20" t="str">
        <x:f>IF(AND(J352="Рассчитано",ISNUMBER(S352)),K352*(S352-M352),"н/д")</x:f>
        <x:v>н/д</x:v>
      </x:c>
      <x:c r="AC352" s="20" t="str">
        <x:f>IF(AND(J352="Рассчитано",T352&gt;0,R352&lt;100),(W352+P352+Q352)/(T352*(1-R352/100)),"н/д")</x:f>
        <x:v>н/д</x:v>
      </x:c>
      <x:c r="AD352" s="11" t="str">
        <x:f>IF(ISNUMBER(G352),IF(G352&lt;0,"Убыток",IF(G352=0,"Без прибыли","Прибыль &gt; 0")),"Не оценён")</x:f>
        <x:v>Не оценён</x:v>
      </x:c>
      <x:c r="AE352" s="12" t="str">
        <x:f>IF(J352="Рассчитано","Выручка "&amp;TEXT(V352,"0.00")&amp;" - себестоимость "&amp;TEXT(W352,"0.00")&amp;" - комиссия "&amp;TEXT(V352*R352/100,"0.00")&amp;" - доставка "&amp;TEXT(P352,"0.00")&amp;" - прочие "&amp;TEXT(Q352,"0.00")&amp;" = "&amp;TEXT(G352,"0.00")&amp;" "&amp;L352,"Введите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2" s="23" t="n">
        <x:v>0.06846001205610085</x:v>
      </x:c>
      <x:c r="AG352" s="35" t="n">
        <x:v>0</x:v>
      </x:c>
      <x:c r="AH352" s="35" t="n">
        <x:v>0</x:v>
      </x:c>
      <x:c r="AI352" s="29" t="n">
        <x:v>46266</x:v>
      </x:c>
      <x:c r="AJ352" s="35" t="n">
        <x:v>15</x:v>
      </x:c>
      <x:c r="AK352" s="11" t="str">
        <x:v>кратность</x:v>
      </x:c>
      <x:c r="AL352" s="31" t="n">
        <x:v>0</x:v>
      </x:c>
      <x:c r="AM352" s="12" t="str">
        <x:v>Остаток на начало сентября; Резервы неизвестны; Нет ежедневных данных доступности. Нет запаса</x:v>
      </x:c>
      <x:c r="AN352" s="12" t="str">
        <x:v>Подтвердить наличие, срок и цену закупки</x:v>
      </x:c>
      <x:c r="AO352" s="12" t="str">
        <x:v>Прогноз 30 дней 0.07; остаток 0; поступления в срок 0; нехватка 1; заказ с учётом MOQ 15 шт. Остаток на начало сентября: требуется актуализация.</x:v>
      </x:c>
      <x:c r="AP352" s="12" t="str">
        <x:v>["blank_stock_assumed_zero", "category_missing", "daily_stockout_data_missing", "monthly_balance_date_assumed", "new_order_lead_time_unknown", "reservations_unknown", "stale_stock"]</x:v>
      </x:c>
      <x:c r="AQ352" s="11" t="str">
        <x:v>SE:300100003_</x:v>
      </x:c>
      <x:c r="AR352" s="23" t="n">
        <x:v>1</x:v>
      </x:c>
      <x:c r="AS352" s="23" t="n">
        <x:f>MAX(0,ROUNDUP(MAX(0,AF352-AG352-AH352)/AR352-0.000000001,0)*AR352)</x:f>
        <x:v>1</x:v>
      </x:c>
      <x:c r="AT352" s="23" t="n">
        <x:v>0.06846001205610085</x:v>
      </x:c>
    </x:row>
    <x:row r="353" ht="64" customHeight="1">
      <x:c r="A353" s="10" t="str">
        <x:v>Systeme Electric</x:v>
      </x:c>
      <x:c r="B353" s="34" t="str">
        <x:v>300100006_</x:v>
      </x:c>
      <x:c r="C353" s="34" t="str">
        <x:v>KD-2-18</x:v>
      </x:c>
      <x:c r="D353" s="13" t="str">
        <x:v>S198 Рамка 2-ная   "Wessen 59" (60) !!!</x:v>
      </x:c>
      <x:c r="E353" s="10" t="str">
        <x:v>шт</x:v>
      </x:c>
      <x:c r="F353" s="37" t="n">
        <x:f>IF(AS353&gt;0,ROUNDUP(AS353/AJ353-0.000000001,0)*AJ353,0)</x:f>
        <x:v>60</x:v>
      </x:c>
      <x:c r="G353" s="21" t="str">
        <x:f>IF(J353="Рассчитано",V353*(1-R353/100)-W353-P353-Q353,"н/д")</x:f>
        <x:v>н/д</x:v>
      </x:c>
      <x:c r="H353" s="13" t="str">
        <x:v>Высокий</x:v>
      </x:c>
      <x:c r="I353" s="13" t="str">
        <x:v>Критический</x:v>
      </x:c>
      <x:c r="J353" s="13" t="str">
        <x:f>IF(L353="","Укажите валюту",IF(NOT(ISNUMBER(K353)),"Укажите объём",IF(K353&lt;=0,"Укажите объём",IF(COUNT(M353:O353)&lt;3,"Нужны цены",IF(COUNT(P353:R353)&lt;3,"Нужны расходы",IF(OR(M353&lt;0,N353&lt;0,O353&lt;0,O353&gt;100,P353&lt;0,Q353&lt;0,R353&lt;0,R353&gt;100),"Проверьте значения","Рассчитано"))))))</x:f>
        <x:v>Нужны цены</x:v>
      </x:c>
      <x:c r="K353" s="36" t="n">
        <x:v>60</x:v>
      </x:c>
      <x:c r="L353" s="19" t="str">
        <x:v>KZT</x:v>
      </x:c>
      <x:c r="M353" s="22"/>
      <x:c r="N353" s="22"/>
      <x:c r="O353" s="28"/>
      <x:c r="P353" s="22"/>
      <x:c r="Q353" s="22"/>
      <x:c r="R353" s="28"/>
      <x:c r="S353" s="22"/>
      <x:c r="T353" s="37" t="n">
        <x:f>MIN(K353,AT353)</x:f>
        <x:v>0.26890517334779873</x:v>
      </x:c>
      <x:c r="U353" s="21" t="str">
        <x:f>IF(J353="Рассчитано",N353*(1-O353/100),"н/д")</x:f>
        <x:v>н/д</x:v>
      </x:c>
      <x:c r="V353" s="21" t="str">
        <x:f>IF(J353="Рассчитано",T353*U353,"н/д")</x:f>
        <x:v>н/д</x:v>
      </x:c>
      <x:c r="W353" s="21" t="str">
        <x:f>IF(J353="Рассчитано",T353*M353,"н/д")</x:f>
        <x:v>н/д</x:v>
      </x:c>
      <x:c r="X353" s="21" t="str">
        <x:f>IF(J353="Рассчитано",V353-W353,"н/д")</x:f>
        <x:v>н/д</x:v>
      </x:c>
      <x:c r="Y353" s="27" t="str">
        <x:f>IF(J353="Рассчитано",IF(V353&gt;0,G353/V353,"н/д"),"н/д")</x:f>
        <x:v>н/д</x:v>
      </x:c>
      <x:c r="Z353" s="21" t="str">
        <x:f>IF(J353="Рассчитано",K353*M353,"н/д")</x:f>
        <x:v>н/д</x:v>
      </x:c>
      <x:c r="AA353" s="21" t="str">
        <x:f>IF(J353="Рассчитано",(K353-T353)*M353,"н/д")</x:f>
        <x:v>н/д</x:v>
      </x:c>
      <x:c r="AB353" s="21" t="str">
        <x:f>IF(AND(J353="Рассчитано",ISNUMBER(S353)),K353*(S353-M353),"н/д")</x:f>
        <x:v>н/д</x:v>
      </x:c>
      <x:c r="AC353" s="21" t="str">
        <x:f>IF(AND(J353="Рассчитано",T353&gt;0,R353&lt;100),(W353+P353+Q353)/(T353*(1-R353/100)),"н/д")</x:f>
        <x:v>н/д</x:v>
      </x:c>
      <x:c r="AD353" s="10" t="str">
        <x:f>IF(ISNUMBER(G353),IF(G353&lt;0,"Убыток",IF(G353=0,"Без прибыли","Прибыль &gt; 0")),"Не оценён")</x:f>
        <x:v>Не оценён</x:v>
      </x:c>
      <x:c r="AE353" s="13" t="str">
        <x:f>IF(J353="Рассчитано","Выручка "&amp;TEXT(V353,"0.00")&amp;" - себестоимость "&amp;TEXT(W353,"0.00")&amp;" - комиссия "&amp;TEXT(V353*R353/100,"0.00")&amp;" - доставка "&amp;TEXT(P353,"0.00")&amp;" - прочие "&amp;TEXT(Q353,"0.00")&amp;" = "&amp;TEXT(G353,"0.00")&amp;" "&amp;L353,"Введите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3" s="24" t="n">
        <x:v>0.26890517334779873</x:v>
      </x:c>
      <x:c r="AG353" s="37" t="n">
        <x:v>0</x:v>
      </x:c>
      <x:c r="AH353" s="37" t="n">
        <x:v>0</x:v>
      </x:c>
      <x:c r="AI353" s="30" t="n">
        <x:v>46266</x:v>
      </x:c>
      <x:c r="AJ353" s="37" t="n">
        <x:v>60</x:v>
      </x:c>
      <x:c r="AK353" s="10" t="str">
        <x:v>кратность</x:v>
      </x:c>
      <x:c r="AL353" s="32" t="n">
        <x:v>0</x:v>
      </x:c>
      <x:c r="AM353" s="13" t="str">
        <x:v>Остаток на начало сентября; Резервы неизвестны; Нет ежедневных данных доступности. Нет запаса</x:v>
      </x:c>
      <x:c r="AN353" s="13" t="str">
        <x:v>Подтвердить наличие, срок и цену закупки</x:v>
      </x:c>
      <x:c r="AO353" s="13" t="str">
        <x:v>Прогноз 30 дней 0.27; остаток 0; поступления в срок 0; нехватка 1; заказ с учётом MOQ 60 шт. Остаток на начало сентября: требуется актуализация.</x:v>
      </x:c>
      <x:c r="AP353" s="13" t="str">
        <x:v>["blank_stock_assumed_zero", "category_missing", "daily_stockout_data_missing", "monthly_balance_date_assumed", "new_order_lead_time_unknown", "reservations_unknown", "stale_stock"]</x:v>
      </x:c>
      <x:c r="AQ353" s="10" t="str">
        <x:v>SE:300100006_</x:v>
      </x:c>
      <x:c r="AR353" s="24" t="n">
        <x:v>1</x:v>
      </x:c>
      <x:c r="AS353" s="24" t="n">
        <x:f>MAX(0,ROUNDUP(MAX(0,AF353-AG353-AH353)/AR353-0.000000001,0)*AR353)</x:f>
        <x:v>1</x:v>
      </x:c>
      <x:c r="AT353" s="24" t="n">
        <x:v>0.26890517334779873</x:v>
      </x:c>
    </x:row>
    <x:row r="354" ht="64" customHeight="1">
      <x:c r="A354" s="11" t="str">
        <x:v>Systeme Electric</x:v>
      </x:c>
      <x:c r="B354" s="33" t="str">
        <x:v>300100015_</x:v>
      </x:c>
      <x:c r="C354" s="33" t="str">
        <x:v>KD-1-18</x:v>
      </x:c>
      <x:c r="D354" s="12" t="str">
        <x:v>S197 Рамка 1-ная   "Wessen 59" (90) !!!</x:v>
      </x:c>
      <x:c r="E354" s="11" t="str">
        <x:v>шт</x:v>
      </x:c>
      <x:c r="F354" s="35" t="n">
        <x:f>IF(AS354&gt;0,ROUNDUP(AS354/AJ354-0.000000001,0)*AJ354,0)</x:f>
        <x:v>90</x:v>
      </x:c>
      <x:c r="G354" s="20" t="str">
        <x:f>IF(J354="Рассчитано",V354*(1-R354/100)-W354-P354-Q354,"н/д")</x:f>
        <x:v>н/д</x:v>
      </x:c>
      <x:c r="H354" s="12" t="str">
        <x:v>Высокий</x:v>
      </x:c>
      <x:c r="I354" s="12" t="str">
        <x:v>Критический</x:v>
      </x:c>
      <x:c r="J354" s="12" t="str">
        <x:f>IF(L354="","Укажите валюту",IF(NOT(ISNUMBER(K354)),"Укажите объём",IF(K354&lt;=0,"Укажите объём",IF(COUNT(M354:O354)&lt;3,"Нужны цены",IF(COUNT(P354:R354)&lt;3,"Нужны расходы",IF(OR(M354&lt;0,N354&lt;0,O354&lt;0,O354&gt;100,P354&lt;0,Q354&lt;0,R354&lt;0,R354&gt;100),"Проверьте значения","Рассчитано"))))))</x:f>
        <x:v>Нужны цены</x:v>
      </x:c>
      <x:c r="K354" s="36" t="n">
        <x:v>90</x:v>
      </x:c>
      <x:c r="L354" s="19" t="str">
        <x:v>KZT</x:v>
      </x:c>
      <x:c r="M354" s="22"/>
      <x:c r="N354" s="22"/>
      <x:c r="O354" s="28"/>
      <x:c r="P354" s="22"/>
      <x:c r="Q354" s="22"/>
      <x:c r="R354" s="28"/>
      <x:c r="S354" s="22"/>
      <x:c r="T354" s="35" t="n">
        <x:f>MIN(K354,AT354)</x:f>
        <x:v>0.16703763440974798</x:v>
      </x:c>
      <x:c r="U354" s="20" t="str">
        <x:f>IF(J354="Рассчитано",N354*(1-O354/100),"н/д")</x:f>
        <x:v>н/д</x:v>
      </x:c>
      <x:c r="V354" s="20" t="str">
        <x:f>IF(J354="Рассчитано",T354*U354,"н/д")</x:f>
        <x:v>н/д</x:v>
      </x:c>
      <x:c r="W354" s="20" t="str">
        <x:f>IF(J354="Рассчитано",T354*M354,"н/д")</x:f>
        <x:v>н/д</x:v>
      </x:c>
      <x:c r="X354" s="20" t="str">
        <x:f>IF(J354="Рассчитано",V354-W354,"н/д")</x:f>
        <x:v>н/д</x:v>
      </x:c>
      <x:c r="Y354" s="26" t="str">
        <x:f>IF(J354="Рассчитано",IF(V354&gt;0,G354/V354,"н/д"),"н/д")</x:f>
        <x:v>н/д</x:v>
      </x:c>
      <x:c r="Z354" s="20" t="str">
        <x:f>IF(J354="Рассчитано",K354*M354,"н/д")</x:f>
        <x:v>н/д</x:v>
      </x:c>
      <x:c r="AA354" s="20" t="str">
        <x:f>IF(J354="Рассчитано",(K354-T354)*M354,"н/д")</x:f>
        <x:v>н/д</x:v>
      </x:c>
      <x:c r="AB354" s="20" t="str">
        <x:f>IF(AND(J354="Рассчитано",ISNUMBER(S354)),K354*(S354-M354),"н/д")</x:f>
        <x:v>н/д</x:v>
      </x:c>
      <x:c r="AC354" s="20" t="str">
        <x:f>IF(AND(J354="Рассчитано",T354&gt;0,R354&lt;100),(W354+P354+Q354)/(T354*(1-R354/100)),"н/д")</x:f>
        <x:v>н/д</x:v>
      </x:c>
      <x:c r="AD354" s="11" t="str">
        <x:f>IF(ISNUMBER(G354),IF(G354&lt;0,"Убыток",IF(G354=0,"Без прибыли","Прибыль &gt; 0")),"Не оценён")</x:f>
        <x:v>Не оценён</x:v>
      </x:c>
      <x:c r="AE354" s="12" t="str">
        <x:f>IF(J354="Рассчитано","Выручка "&amp;TEXT(V354,"0.00")&amp;" - себестоимость "&amp;TEXT(W354,"0.00")&amp;" - комиссия "&amp;TEXT(V354*R354/100,"0.00")&amp;" - доставка "&amp;TEXT(P354,"0.00")&amp;" - прочие "&amp;TEXT(Q354,"0.00")&amp;" = "&amp;TEXT(G354,"0.00")&amp;" "&amp;L354,"Введите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4" s="23" t="n">
        <x:v>0.16703763440974798</x:v>
      </x:c>
      <x:c r="AG354" s="35" t="n">
        <x:v>0</x:v>
      </x:c>
      <x:c r="AH354" s="35" t="n">
        <x:v>0</x:v>
      </x:c>
      <x:c r="AI354" s="29" t="n">
        <x:v>46266</x:v>
      </x:c>
      <x:c r="AJ354" s="35" t="n">
        <x:v>90</x:v>
      </x:c>
      <x:c r="AK354" s="11" t="str">
        <x:v>кратность</x:v>
      </x:c>
      <x:c r="AL354" s="31" t="n">
        <x:v>0</x:v>
      </x:c>
      <x:c r="AM354" s="12" t="str">
        <x:v>Остаток на начало сентября; Резервы неизвестны; Нет ежедневных данных доступности. Нет запаса</x:v>
      </x:c>
      <x:c r="AN354" s="12" t="str">
        <x:v>Подтвердить наличие, срок и цену закупки</x:v>
      </x:c>
      <x:c r="AO354" s="12" t="str">
        <x:v>Прогноз 30 дней 0.17; остаток 0; поступления в срок 0; нехватка 1; заказ с учётом MOQ 90 шт. Остаток на начало сентября: требуется актуализация.</x:v>
      </x:c>
      <x:c r="AP354" s="12" t="str">
        <x:v>["blank_stock_assumed_zero", "category_missing", "daily_stockout_data_missing", "monthly_balance_date_assumed", "new_order_lead_time_unknown", "reservations_unknown", "stale_stock"]</x:v>
      </x:c>
      <x:c r="AQ354" s="11" t="str">
        <x:v>SE:300100015_</x:v>
      </x:c>
      <x:c r="AR354" s="23" t="n">
        <x:v>1</x:v>
      </x:c>
      <x:c r="AS354" s="23" t="n">
        <x:f>MAX(0,ROUNDUP(MAX(0,AF354-AG354-AH354)/AR354-0.000000001,0)*AR354)</x:f>
        <x:v>1</x:v>
      </x:c>
      <x:c r="AT354" s="23" t="n">
        <x:v>0.16703763440974798</x:v>
      </x:c>
    </x:row>
    <x:row r="355" ht="64" customHeight="1">
      <x:c r="A355" s="10" t="str">
        <x:v>Systeme Electric</x:v>
      </x:c>
      <x:c r="B355" s="34" t="str">
        <x:v>300200291_</x:v>
      </x:c>
      <x:c r="C355" s="34" t="str">
        <x:v>ATN000171</x:v>
      </x:c>
      <x:c r="D355" s="13" t="str">
        <x:v>S393 Перекрест.переключ. 1 кл 10А с/у б/рамки "ATLAS" белый ATN171 (5)</x:v>
      </x:c>
      <x:c r="E355" s="10" t="str">
        <x:v>шт</x:v>
      </x:c>
      <x:c r="F355" s="37" t="n">
        <x:f>IF(AS355&gt;0,ROUNDUP(AS355/AJ355-0.000000001,0)*AJ355,0)</x:f>
        <x:v>5</x:v>
      </x:c>
      <x:c r="G355" s="21" t="str">
        <x:f>IF(J355="Рассчитано",V355*(1-R355/100)-W355-P355-Q355,"н/д")</x:f>
        <x:v>н/д</x:v>
      </x:c>
      <x:c r="H355" s="13" t="str">
        <x:v>Средний</x:v>
      </x:c>
      <x:c r="I355" s="13" t="str">
        <x:v>Средний</x:v>
      </x:c>
      <x:c r="J355" s="13" t="str">
        <x:f>IF(L355="","Укажите валюту",IF(NOT(ISNUMBER(K355)),"Укажите объём",IF(K355&lt;=0,"Укажите объём",IF(COUNT(M355:O355)&lt;3,"Нужны цены",IF(COUNT(P355:R355)&lt;3,"Нужны расходы",IF(OR(M355&lt;0,N355&lt;0,O355&lt;0,O355&gt;100,P355&lt;0,Q355&lt;0,R355&lt;0,R355&gt;100),"Проверьте значения","Рассчитано"))))))</x:f>
        <x:v>Нужны цены</x:v>
      </x:c>
      <x:c r="K355" s="36" t="n">
        <x:v>5</x:v>
      </x:c>
      <x:c r="L355" s="19" t="str">
        <x:v>KZT</x:v>
      </x:c>
      <x:c r="M355" s="22"/>
      <x:c r="N355" s="22"/>
      <x:c r="O355" s="28"/>
      <x:c r="P355" s="22"/>
      <x:c r="Q355" s="22"/>
      <x:c r="R355" s="28"/>
      <x:c r="S355" s="22"/>
      <x:c r="T355" s="37" t="n">
        <x:f>MIN(K355,AT355)</x:f>
        <x:v>4.77469927206517</x:v>
      </x:c>
      <x:c r="U355" s="21" t="str">
        <x:f>IF(J355="Рассчитано",N355*(1-O355/100),"н/д")</x:f>
        <x:v>н/д</x:v>
      </x:c>
      <x:c r="V355" s="21" t="str">
        <x:f>IF(J355="Рассчитано",T355*U355,"н/д")</x:f>
        <x:v>н/д</x:v>
      </x:c>
      <x:c r="W355" s="21" t="str">
        <x:f>IF(J355="Рассчитано",T355*M355,"н/д")</x:f>
        <x:v>н/д</x:v>
      </x:c>
      <x:c r="X355" s="21" t="str">
        <x:f>IF(J355="Рассчитано",V355-W355,"н/д")</x:f>
        <x:v>н/д</x:v>
      </x:c>
      <x:c r="Y355" s="27" t="str">
        <x:f>IF(J355="Рассчитано",IF(V355&gt;0,G355/V355,"н/д"),"н/д")</x:f>
        <x:v>н/д</x:v>
      </x:c>
      <x:c r="Z355" s="21" t="str">
        <x:f>IF(J355="Рассчитано",K355*M355,"н/д")</x:f>
        <x:v>н/д</x:v>
      </x:c>
      <x:c r="AA355" s="21" t="str">
        <x:f>IF(J355="Рассчитано",(K355-T355)*M355,"н/д")</x:f>
        <x:v>н/д</x:v>
      </x:c>
      <x:c r="AB355" s="21" t="str">
        <x:f>IF(AND(J355="Рассчитано",ISNUMBER(S355)),K355*(S355-M355),"н/д")</x:f>
        <x:v>н/д</x:v>
      </x:c>
      <x:c r="AC355" s="21" t="str">
        <x:f>IF(AND(J355="Рассчитано",T355&gt;0,R355&lt;100),(W355+P355+Q355)/(T355*(1-R355/100)),"н/д")</x:f>
        <x:v>н/д</x:v>
      </x:c>
      <x:c r="AD355" s="10" t="str">
        <x:f>IF(ISNUMBER(G355),IF(G355&lt;0,"Убыток",IF(G355=0,"Без прибыли","Прибыль &gt; 0")),"Не оценён")</x:f>
        <x:v>Не оценён</x:v>
      </x:c>
      <x:c r="AE355" s="13" t="str">
        <x:f>IF(J355="Рассчитано","Выручка "&amp;TEXT(V355,"0.00")&amp;" - себестоимость "&amp;TEXT(W355,"0.00")&amp;" - комиссия "&amp;TEXT(V355*R355/100,"0.00")&amp;" - доставка "&amp;TEXT(P355,"0.00")&amp;" - прочие "&amp;TEXT(Q355,"0.00")&amp;" = "&amp;TEXT(G355,"0.00")&amp;" "&amp;L355,"Введите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5" s="24" t="n">
        <x:v>54.77469927206517</x:v>
      </x:c>
      <x:c r="AG355" s="37" t="n">
        <x:v>50</x:v>
      </x:c>
      <x:c r="AH355" s="37" t="n">
        <x:v>0</x:v>
      </x:c>
      <x:c r="AI355" s="30" t="n">
        <x:v>46287</x:v>
      </x:c>
      <x:c r="AJ355" s="37" t="n">
        <x:v>5</x:v>
      </x:c>
      <x:c r="AK355" s="10" t="str">
        <x:v>кратность</x:v>
      </x:c>
      <x:c r="AL355" s="32" t="n">
        <x:v>27.38490616898727</x:v>
      </x:c>
      <x:c r="AM355" s="13" t="str">
        <x:v>Нет ежедневных данных доступности. Запаса примерно на 27.4 дн. без поступлений</x:v>
      </x:c>
      <x:c r="AN355" s="13" t="str">
        <x:v>Подтвердить наличие, срок и цену закупки</x:v>
      </x:c>
      <x:c r="AO355" s="13" t="str">
        <x:v>Прогноз 30 дней 54.77; остаток 50; поступления в срок 0; нехватка 5; заказ с учётом MOQ 5 шт.</x:v>
      </x:c>
      <x:c r="AP355" s="13" t="str">
        <x:v>["daily_stockout_data_missing", "new_order_lead_time_unknown"]</x:v>
      </x:c>
      <x:c r="AQ355" s="10" t="str">
        <x:v>SE:300200291_</x:v>
      </x:c>
      <x:c r="AR355" s="24" t="n">
        <x:v>1</x:v>
      </x:c>
      <x:c r="AS355" s="24" t="n">
        <x:f>MAX(0,ROUNDUP(MAX(0,AF355-AG355-AH355)/AR355-0.000000001,0)*AR355)</x:f>
        <x:v>5</x:v>
      </x:c>
      <x:c r="AT355" s="24" t="n">
        <x:v>4.77469927206517</x:v>
      </x:c>
    </x:row>
    <x:row r="356" ht="64" customHeight="1">
      <x:c r="A356" s="11" t="str">
        <x:v>Systeme Electric</x:v>
      </x:c>
      <x:c r="B356" s="33" t="str">
        <x:v>300200306_</x:v>
      </x:c>
      <x:c r="C356" s="33" t="str">
        <x:v>ATN000104</x:v>
      </x:c>
      <x:c r="D356" s="12" t="str">
        <x:v>S408 Рамка 4-ная "ATLAS" белый (15) ATN104</x:v>
      </x:c>
      <x:c r="E356" s="11" t="str">
        <x:v>шт</x:v>
      </x:c>
      <x:c r="F356" s="35" t="n">
        <x:f>IF(AS356&gt;0,ROUNDUP(AS356/AJ356-0.000000001,0)*AJ356,0)</x:f>
        <x:v>30</x:v>
      </x:c>
      <x:c r="G356" s="20" t="str">
        <x:f>IF(J356="Рассчитано",V356*(1-R356/100)-W356-P356-Q356,"н/д")</x:f>
        <x:v>н/д</x:v>
      </x:c>
      <x:c r="H356" s="12" t="str">
        <x:v>Средний</x:v>
      </x:c>
      <x:c r="I356" s="12" t="str">
        <x:v>Средний</x:v>
      </x:c>
      <x:c r="J356" s="12" t="str">
        <x:f>IF(L356="","Укажите валюту",IF(NOT(ISNUMBER(K356)),"Укажите объём",IF(K356&lt;=0,"Укажите объём",IF(COUNT(M356:O356)&lt;3,"Нужны цены",IF(COUNT(P356:R356)&lt;3,"Нужны расходы",IF(OR(M356&lt;0,N356&lt;0,O356&lt;0,O356&gt;100,P356&lt;0,Q356&lt;0,R356&lt;0,R356&gt;100),"Проверьте значения","Рассчитано"))))))</x:f>
        <x:v>Нужны цены</x:v>
      </x:c>
      <x:c r="K356" s="36" t="n">
        <x:v>30</x:v>
      </x:c>
      <x:c r="L356" s="19" t="str">
        <x:v>KZT</x:v>
      </x:c>
      <x:c r="M356" s="22"/>
      <x:c r="N356" s="22"/>
      <x:c r="O356" s="28"/>
      <x:c r="P356" s="22"/>
      <x:c r="Q356" s="22"/>
      <x:c r="R356" s="28"/>
      <x:c r="S356" s="22"/>
      <x:c r="T356" s="35" t="n">
        <x:f>MIN(K356,AT356)</x:f>
        <x:v>20.115723264121925</x:v>
      </x:c>
      <x:c r="U356" s="20" t="str">
        <x:f>IF(J356="Рассчитано",N356*(1-O356/100),"н/д")</x:f>
        <x:v>н/д</x:v>
      </x:c>
      <x:c r="V356" s="20" t="str">
        <x:f>IF(J356="Рассчитано",T356*U356,"н/д")</x:f>
        <x:v>н/д</x:v>
      </x:c>
      <x:c r="W356" s="20" t="str">
        <x:f>IF(J356="Рассчитано",T356*M356,"н/д")</x:f>
        <x:v>н/д</x:v>
      </x:c>
      <x:c r="X356" s="20" t="str">
        <x:f>IF(J356="Рассчитано",V356-W356,"н/д")</x:f>
        <x:v>н/д</x:v>
      </x:c>
      <x:c r="Y356" s="26" t="str">
        <x:f>IF(J356="Рассчитано",IF(V356&gt;0,G356/V356,"н/д"),"н/д")</x:f>
        <x:v>н/д</x:v>
      </x:c>
      <x:c r="Z356" s="20" t="str">
        <x:f>IF(J356="Рассчитано",K356*M356,"н/д")</x:f>
        <x:v>н/д</x:v>
      </x:c>
      <x:c r="AA356" s="20" t="str">
        <x:f>IF(J356="Рассчитано",(K356-T356)*M356,"н/д")</x:f>
        <x:v>н/д</x:v>
      </x:c>
      <x:c r="AB356" s="20" t="str">
        <x:f>IF(AND(J356="Рассчитано",ISNUMBER(S356)),K356*(S356-M356),"н/д")</x:f>
        <x:v>н/д</x:v>
      </x:c>
      <x:c r="AC356" s="20" t="str">
        <x:f>IF(AND(J356="Рассчитано",T356&gt;0,R356&lt;100),(W356+P356+Q356)/(T356*(1-R356/100)),"н/д")</x:f>
        <x:v>н/д</x:v>
      </x:c>
      <x:c r="AD356" s="11" t="str">
        <x:f>IF(ISNUMBER(G356),IF(G356&lt;0,"Убыток",IF(G356=0,"Без прибыли","Прибыль &gt; 0")),"Не оценён")</x:f>
        <x:v>Не оценён</x:v>
      </x:c>
      <x:c r="AE356" s="12" t="str">
        <x:f>IF(J356="Рассчитано","Выручка "&amp;TEXT(V356,"0.00")&amp;" - себестоимость "&amp;TEXT(W356,"0.00")&amp;" - комиссия "&amp;TEXT(V356*R356/100,"0.00")&amp;" - доставка "&amp;TEXT(P356,"0.00")&amp;" - прочие "&amp;TEXT(Q356,"0.00")&amp;" = "&amp;TEXT(G356,"0.00")&amp;" "&amp;L356,"Введите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6" s="23" t="n">
        <x:v>267.1157232641219</x:v>
      </x:c>
      <x:c r="AG356" s="35" t="n">
        <x:v>247</x:v>
      </x:c>
      <x:c r="AH356" s="35" t="n">
        <x:v>0</x:v>
      </x:c>
      <x:c r="AI356" s="29" t="n">
        <x:v>46287</x:v>
      </x:c>
      <x:c r="AJ356" s="35" t="n">
        <x:v>15</x:v>
      </x:c>
      <x:c r="AK356" s="11" t="str">
        <x:v>кратность</x:v>
      </x:c>
      <x:c r="AL356" s="31" t="n">
        <x:v>27.740785564588613</x:v>
      </x:c>
      <x:c r="AM356" s="12" t="str">
        <x:v>Детальные и месячные продажи расходятся; Нет ежедневных данных доступности. Запаса примерно на 27.7 дн. без поступлений</x:v>
      </x:c>
      <x:c r="AN356" s="12" t="str">
        <x:v>Подтвердить наличие, срок и цену закупки</x:v>
      </x:c>
      <x:c r="AO356" s="12" t="str">
        <x:v>Прогноз 30 дней 267.12; остаток 247; поступления в срок 0; нехватка 21; заказ с учётом MOQ 30 шт.</x:v>
      </x:c>
      <x:c r="AP356" s="12" t="str">
        <x:v>["daily_stockout_data_missing", "large_orders_detected", "new_order_lead_time_unknown", "transaction_month_mismatch"]</x:v>
      </x:c>
      <x:c r="AQ356" s="11" t="str">
        <x:v>SE:300200306_</x:v>
      </x:c>
      <x:c r="AR356" s="23" t="n">
        <x:v>1</x:v>
      </x:c>
      <x:c r="AS356" s="23" t="n">
        <x:f>MAX(0,ROUNDUP(MAX(0,AF356-AG356-AH356)/AR356-0.000000001,0)*AR356)</x:f>
        <x:v>21</x:v>
      </x:c>
      <x:c r="AT356" s="23" t="n">
        <x:v>20.115723264121925</x:v>
      </x:c>
    </x:row>
    <x:row r="357" ht="64" customHeight="1">
      <x:c r="A357" s="10" t="str">
        <x:v>Systeme Electric</x:v>
      </x:c>
      <x:c r="B357" s="34" t="str">
        <x:v>300200311_</x:v>
      </x:c>
      <x:c r="C357" s="34" t="str">
        <x:v>ATN440146</x:v>
      </x:c>
      <x:c r="D357" s="13" t="str">
        <x:v>S411 Роз. AQUA с з/к 16А с/у з/ш c крышкой б/рамки IP 44 "ATLAS" белый ATN0146 (15)</x:v>
      </x:c>
      <x:c r="E357" s="10" t="str">
        <x:v>шт</x:v>
      </x:c>
      <x:c r="F357" s="37" t="n">
        <x:f>IF(AS357&gt;0,ROUNDUP(AS357/AJ357-0.000000001,0)*AJ357,0)</x:f>
        <x:v>45</x:v>
      </x:c>
      <x:c r="G357" s="21" t="str">
        <x:f>IF(J357="Рассчитано",V357*(1-R357/100)-W357-P357-Q357,"н/д")</x:f>
        <x:v>н/д</x:v>
      </x:c>
      <x:c r="H357" s="13" t="str">
        <x:v>Средний</x:v>
      </x:c>
      <x:c r="I357" s="13" t="str">
        <x:v>Средний</x:v>
      </x:c>
      <x:c r="J357" s="13" t="str">
        <x:f>IF(L357="","Укажите валюту",IF(NOT(ISNUMBER(K357)),"Укажите объём",IF(K357&lt;=0,"Укажите объём",IF(COUNT(M357:O357)&lt;3,"Нужны цены",IF(COUNT(P357:R357)&lt;3,"Нужны расходы",IF(OR(M357&lt;0,N357&lt;0,O357&lt;0,O357&gt;100,P357&lt;0,Q357&lt;0,R357&lt;0,R357&gt;100),"Проверьте значения","Рассчитано"))))))</x:f>
        <x:v>Нужны цены</x:v>
      </x:c>
      <x:c r="K357" s="36" t="n">
        <x:v>45</x:v>
      </x:c>
      <x:c r="L357" s="19" t="str">
        <x:v>KZT</x:v>
      </x:c>
      <x:c r="M357" s="22"/>
      <x:c r="N357" s="22"/>
      <x:c r="O357" s="28"/>
      <x:c r="P357" s="22"/>
      <x:c r="Q357" s="22"/>
      <x:c r="R357" s="28"/>
      <x:c r="S357" s="22"/>
      <x:c r="T357" s="37" t="n">
        <x:f>MIN(K357,AT357)</x:f>
        <x:v>43.70521733425369</x:v>
      </x:c>
      <x:c r="U357" s="21" t="str">
        <x:f>IF(J357="Рассчитано",N357*(1-O357/100),"н/д")</x:f>
        <x:v>н/д</x:v>
      </x:c>
      <x:c r="V357" s="21" t="str">
        <x:f>IF(J357="Рассчитано",T357*U357,"н/д")</x:f>
        <x:v>н/д</x:v>
      </x:c>
      <x:c r="W357" s="21" t="str">
        <x:f>IF(J357="Рассчитано",T357*M357,"н/д")</x:f>
        <x:v>н/д</x:v>
      </x:c>
      <x:c r="X357" s="21" t="str">
        <x:f>IF(J357="Рассчитано",V357-W357,"н/д")</x:f>
        <x:v>н/д</x:v>
      </x:c>
      <x:c r="Y357" s="27" t="str">
        <x:f>IF(J357="Рассчитано",IF(V357&gt;0,G357/V357,"н/д"),"н/д")</x:f>
        <x:v>н/д</x:v>
      </x:c>
      <x:c r="Z357" s="21" t="str">
        <x:f>IF(J357="Рассчитано",K357*M357,"н/д")</x:f>
        <x:v>н/д</x:v>
      </x:c>
      <x:c r="AA357" s="21" t="str">
        <x:f>IF(J357="Рассчитано",(K357-T357)*M357,"н/д")</x:f>
        <x:v>н/д</x:v>
      </x:c>
      <x:c r="AB357" s="21" t="str">
        <x:f>IF(AND(J357="Рассчитано",ISNUMBER(S357)),K357*(S357-M357),"н/д")</x:f>
        <x:v>н/д</x:v>
      </x:c>
      <x:c r="AC357" s="21" t="str">
        <x:f>IF(AND(J357="Рассчитано",T357&gt;0,R357&lt;100),(W357+P357+Q357)/(T357*(1-R357/100)),"н/д")</x:f>
        <x:v>н/д</x:v>
      </x:c>
      <x:c r="AD357" s="10" t="str">
        <x:f>IF(ISNUMBER(G357),IF(G357&lt;0,"Убыток",IF(G357=0,"Без прибыли","Прибыль &gt; 0")),"Не оценён")</x:f>
        <x:v>Не оценён</x:v>
      </x:c>
      <x:c r="AE357" s="13" t="str">
        <x:f>IF(J357="Рассчитано","Выручка "&amp;TEXT(V357,"0.00")&amp;" - себестоимость "&amp;TEXT(W357,"0.00")&amp;" - комиссия "&amp;TEXT(V357*R357/100,"0.00")&amp;" - доставка "&amp;TEXT(P357,"0.00")&amp;" - прочие "&amp;TEXT(Q357,"0.00")&amp;" = "&amp;TEXT(G357,"0.00")&amp;" "&amp;L357,"Введите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7" s="24" t="n">
        <x:v>129.7052173342537</x:v>
      </x:c>
      <x:c r="AG357" s="37" t="n">
        <x:v>86</x:v>
      </x:c>
      <x:c r="AH357" s="37" t="n">
        <x:v>0</x:v>
      </x:c>
      <x:c r="AI357" s="30" t="n">
        <x:v>46287</x:v>
      </x:c>
      <x:c r="AJ357" s="37" t="n">
        <x:v>15</x:v>
      </x:c>
      <x:c r="AK357" s="10" t="str">
        <x:v>кратность</x:v>
      </x:c>
      <x:c r="AL357" s="32" t="n">
        <x:v>19.89125844761721</x:v>
      </x:c>
      <x:c r="AM357" s="13" t="str">
        <x:v>Детальные и месячные продажи расходятся; Нет ежедневных данных доступности. Запаса примерно на 19.9 дн. без поступлений</x:v>
      </x:c>
      <x:c r="AN357" s="13" t="str">
        <x:v>Подтвердить наличие, срок и цену закупки</x:v>
      </x:c>
      <x:c r="AO357" s="13" t="str">
        <x:v>Прогноз 30 дней 129.71; остаток 86; поступления в срок 0; нехватка 44; заказ с учётом MOQ 45 шт.</x:v>
      </x:c>
      <x:c r="AP357" s="13" t="str">
        <x:v>["daily_stockout_data_missing", "large_orders_detected", "new_order_lead_time_unknown", "transaction_month_mismatch"]</x:v>
      </x:c>
      <x:c r="AQ357" s="10" t="str">
        <x:v>SE:300200311_</x:v>
      </x:c>
      <x:c r="AR357" s="24" t="n">
        <x:v>1</x:v>
      </x:c>
      <x:c r="AS357" s="24" t="n">
        <x:f>MAX(0,ROUNDUP(MAX(0,AF357-AG357-AH357)/AR357-0.000000001,0)*AR357)</x:f>
        <x:v>44</x:v>
      </x:c>
      <x:c r="AT357" s="24" t="n">
        <x:v>43.70521733425369</x:v>
      </x:c>
    </x:row>
    <x:row r="358" ht="64" customHeight="1">
      <x:c r="A358" s="11" t="str">
        <x:v>Systeme Electric</x:v>
      </x:c>
      <x:c r="B358" s="33" t="str">
        <x:v>300200316_</x:v>
      </x:c>
      <x:c r="C358" s="33" t="str">
        <x:v>BLNRS000021</x:v>
      </x:c>
      <x:c r="D358" s="12" t="str">
        <x:v>S417 Роз  2-ная  с/у без з/к 16А 250В "BLANCA"  белый BLNRS000021 (36)</x:v>
      </x:c>
      <x:c r="E358" s="11" t="str">
        <x:v>шт</x:v>
      </x:c>
      <x:c r="F358" s="35" t="n">
        <x:f>IF(AS358&gt;0,ROUNDUP(AS358/AJ358-0.000000001,0)*AJ358,0)</x:f>
        <x:v>6</x:v>
      </x:c>
      <x:c r="G358" s="20" t="str">
        <x:f>IF(J358="Рассчитано",V358*(1-R358/100)-W358-P358-Q358,"н/д")</x:f>
        <x:v>н/д</x:v>
      </x:c>
      <x:c r="H358" s="12" t="str">
        <x:v>Средний</x:v>
      </x:c>
      <x:c r="I358" s="12" t="str">
        <x:v>Критический</x:v>
      </x:c>
      <x:c r="J358" s="12" t="str">
        <x:f>IF(L358="","Укажите валюту",IF(NOT(ISNUMBER(K358)),"Укажите объём",IF(K358&lt;=0,"Укажите объём",IF(COUNT(M358:O358)&lt;3,"Нужны цены",IF(COUNT(P358:R358)&lt;3,"Нужны расходы",IF(OR(M358&lt;0,N358&lt;0,O358&lt;0,O358&gt;100,P358&lt;0,Q358&lt;0,R358&lt;0,R358&gt;100),"Проверьте значения","Рассчитано"))))))</x:f>
        <x:v>Нужны цены</x:v>
      </x:c>
      <x:c r="K358" s="36" t="n">
        <x:v>6</x:v>
      </x:c>
      <x:c r="L358" s="19" t="str">
        <x:v>KZT</x:v>
      </x:c>
      <x:c r="M358" s="22"/>
      <x:c r="N358" s="22"/>
      <x:c r="O358" s="28"/>
      <x:c r="P358" s="22"/>
      <x:c r="Q358" s="22"/>
      <x:c r="R358" s="28"/>
      <x:c r="S358" s="22"/>
      <x:c r="T358" s="35" t="n">
        <x:f>MIN(K358,AT358)</x:f>
        <x:v>2.4328717291125614</x:v>
      </x:c>
      <x:c r="U358" s="20" t="str">
        <x:f>IF(J358="Рассчитано",N358*(1-O358/100),"н/д")</x:f>
        <x:v>н/д</x:v>
      </x:c>
      <x:c r="V358" s="20" t="str">
        <x:f>IF(J358="Рассчитано",T358*U358,"н/д")</x:f>
        <x:v>н/д</x:v>
      </x:c>
      <x:c r="W358" s="20" t="str">
        <x:f>IF(J358="Рассчитано",T358*M358,"н/д")</x:f>
        <x:v>н/д</x:v>
      </x:c>
      <x:c r="X358" s="20" t="str">
        <x:f>IF(J358="Рассчитано",V358-W358,"н/д")</x:f>
        <x:v>н/д</x:v>
      </x:c>
      <x:c r="Y358" s="26" t="str">
        <x:f>IF(J358="Рассчитано",IF(V358&gt;0,G358/V358,"н/д"),"н/д")</x:f>
        <x:v>н/д</x:v>
      </x:c>
      <x:c r="Z358" s="20" t="str">
        <x:f>IF(J358="Рассчитано",K358*M358,"н/д")</x:f>
        <x:v>н/д</x:v>
      </x:c>
      <x:c r="AA358" s="20" t="str">
        <x:f>IF(J358="Рассчитано",(K358-T358)*M358,"н/д")</x:f>
        <x:v>н/д</x:v>
      </x:c>
      <x:c r="AB358" s="20" t="str">
        <x:f>IF(AND(J358="Рассчитано",ISNUMBER(S358)),K358*(S358-M358),"н/д")</x:f>
        <x:v>н/д</x:v>
      </x:c>
      <x:c r="AC358" s="20" t="str">
        <x:f>IF(AND(J358="Рассчитано",T358&gt;0,R358&lt;100),(W358+P358+Q358)/(T358*(1-R358/100)),"н/д")</x:f>
        <x:v>н/д</x:v>
      </x:c>
      <x:c r="AD358" s="11" t="str">
        <x:f>IF(ISNUMBER(G358),IF(G358&lt;0,"Убыток",IF(G358=0,"Без прибыли","Прибыль &gt; 0")),"Не оценён")</x:f>
        <x:v>Не оценён</x:v>
      </x:c>
      <x:c r="AE358" s="12" t="str">
        <x:f>IF(J358="Рассчитано","Выручка "&amp;TEXT(V358,"0.00")&amp;" - себестоимость "&amp;TEXT(W358,"0.00")&amp;" - комиссия "&amp;TEXT(V358*R358/100,"0.00")&amp;" - доставка "&amp;TEXT(P358,"0.00")&amp;" - прочие "&amp;TEXT(Q358,"0.00")&amp;" = "&amp;TEXT(G358,"0.00")&amp;" "&amp;L358,"Введите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8" s="23" t="n">
        <x:v>2.4328717291125614</x:v>
      </x:c>
      <x:c r="AG358" s="35" t="n">
        <x:v>0</x:v>
      </x:c>
      <x:c r="AH358" s="35" t="n">
        <x:v>0</x:v>
      </x:c>
      <x:c r="AI358" s="29" t="n">
        <x:v>46287</x:v>
      </x:c>
      <x:c r="AJ358" s="35" t="n">
        <x:v>6</x:v>
      </x:c>
      <x:c r="AK358" s="11" t="str">
        <x:v>кратность</x:v>
      </x:c>
      <x:c r="AL358" s="31" t="n">
        <x:v>0</x:v>
      </x:c>
      <x:c r="AM358" s="12" t="str">
        <x:v>Нет ежедневных данных доступности. Нет запаса</x:v>
      </x:c>
      <x:c r="AN358" s="12" t="str">
        <x:v>Подтвердить наличие, срок и цену закупки</x:v>
      </x:c>
      <x:c r="AO358" s="12" t="str">
        <x:v>Прогноз 30 дней 2.43; остаток 0; поступления в срок 0; нехватка 3; заказ с учётом MOQ 6 шт.</x:v>
      </x:c>
      <x:c r="AP358" s="12" t="str">
        <x:v>["daily_stockout_data_missing", "new_order_lead_time_unknown"]</x:v>
      </x:c>
      <x:c r="AQ358" s="11" t="str">
        <x:v>SE:300200316_</x:v>
      </x:c>
      <x:c r="AR358" s="23" t="n">
        <x:v>1</x:v>
      </x:c>
      <x:c r="AS358" s="23" t="n">
        <x:f>MAX(0,ROUNDUP(MAX(0,AF358-AG358-AH358)/AR358-0.000000001,0)*AR358)</x:f>
        <x:v>3</x:v>
      </x:c>
      <x:c r="AT358" s="23" t="n">
        <x:v>2.4328717291125614</x:v>
      </x:c>
    </x:row>
    <x:row r="359" ht="64" customHeight="1">
      <x:c r="A359" s="10" t="str">
        <x:v>Systeme Electric</x:v>
      </x:c>
      <x:c r="B359" s="34" t="str">
        <x:v>300200325_</x:v>
      </x:c>
      <x:c r="C359" s="34" t="str">
        <x:v>BLNRA000311</x:v>
      </x:c>
      <x:c r="D359" s="13" t="str">
        <x:v>S428 Роз 3-ная  о/у без з/к 16А 250В ИЗОЛ.ПЛ. "BLANCA" белый BLNRA000311 (36)</x:v>
      </x:c>
      <x:c r="E359" s="10" t="str">
        <x:v>шт</x:v>
      </x:c>
      <x:c r="F359" s="37" t="n">
        <x:f>IF(AS359&gt;0,ROUNDUP(AS359/AJ359-0.000000001,0)*AJ359,0)</x:f>
        <x:v>18</x:v>
      </x:c>
      <x:c r="G359" s="21" t="str">
        <x:f>IF(J359="Рассчитано",V359*(1-R359/100)-W359-P359-Q359,"н/д")</x:f>
        <x:v>н/д</x:v>
      </x:c>
      <x:c r="H359" s="13" t="str">
        <x:v>Средний</x:v>
      </x:c>
      <x:c r="I359" s="13" t="str">
        <x:v>Средний</x:v>
      </x:c>
      <x:c r="J359" s="13" t="str">
        <x:f>IF(L359="","Укажите валюту",IF(NOT(ISNUMBER(K359)),"Укажите объём",IF(K359&lt;=0,"Укажите объём",IF(COUNT(M359:O359)&lt;3,"Нужны цены",IF(COUNT(P359:R359)&lt;3,"Нужны расходы",IF(OR(M359&lt;0,N359&lt;0,O359&lt;0,O359&gt;100,P359&lt;0,Q359&lt;0,R359&lt;0,R359&gt;100),"Проверьте значения","Рассчитано"))))))</x:f>
        <x:v>Нужны цены</x:v>
      </x:c>
      <x:c r="K359" s="36" t="n">
        <x:v>18</x:v>
      </x:c>
      <x:c r="L359" s="19" t="str">
        <x:v>KZT</x:v>
      </x:c>
      <x:c r="M359" s="22"/>
      <x:c r="N359" s="22"/>
      <x:c r="O359" s="28"/>
      <x:c r="P359" s="22"/>
      <x:c r="Q359" s="22"/>
      <x:c r="R359" s="28"/>
      <x:c r="S359" s="22"/>
      <x:c r="T359" s="37" t="n">
        <x:f>MIN(K359,AT359)</x:f>
        <x:v>15.077633485008931</x:v>
      </x:c>
      <x:c r="U359" s="21" t="str">
        <x:f>IF(J359="Рассчитано",N359*(1-O359/100),"н/д")</x:f>
        <x:v>н/д</x:v>
      </x:c>
      <x:c r="V359" s="21" t="str">
        <x:f>IF(J359="Рассчитано",T359*U359,"н/д")</x:f>
        <x:v>н/д</x:v>
      </x:c>
      <x:c r="W359" s="21" t="str">
        <x:f>IF(J359="Рассчитано",T359*M359,"н/д")</x:f>
        <x:v>н/д</x:v>
      </x:c>
      <x:c r="X359" s="21" t="str">
        <x:f>IF(J359="Рассчитано",V359-W359,"н/д")</x:f>
        <x:v>н/д</x:v>
      </x:c>
      <x:c r="Y359" s="27" t="str">
        <x:f>IF(J359="Рассчитано",IF(V359&gt;0,G359/V359,"н/д"),"н/д")</x:f>
        <x:v>н/д</x:v>
      </x:c>
      <x:c r="Z359" s="21" t="str">
        <x:f>IF(J359="Рассчитано",K359*M359,"н/д")</x:f>
        <x:v>н/д</x:v>
      </x:c>
      <x:c r="AA359" s="21" t="str">
        <x:f>IF(J359="Рассчитано",(K359-T359)*M359,"н/д")</x:f>
        <x:v>н/д</x:v>
      </x:c>
      <x:c r="AB359" s="21" t="str">
        <x:f>IF(AND(J359="Рассчитано",ISNUMBER(S359)),K359*(S359-M359),"н/д")</x:f>
        <x:v>н/д</x:v>
      </x:c>
      <x:c r="AC359" s="21" t="str">
        <x:f>IF(AND(J359="Рассчитано",T359&gt;0,R359&lt;100),(W359+P359+Q359)/(T359*(1-R359/100)),"н/д")</x:f>
        <x:v>н/д</x:v>
      </x:c>
      <x:c r="AD359" s="10" t="str">
        <x:f>IF(ISNUMBER(G359),IF(G359&lt;0,"Убыток",IF(G359=0,"Без прибыли","Прибыль &gt; 0")),"Не оценён")</x:f>
        <x:v>Не оценён</x:v>
      </x:c>
      <x:c r="AE359" s="13" t="str">
        <x:f>IF(J359="Рассчитано","Выручка "&amp;TEXT(V359,"0.00")&amp;" - себестоимость "&amp;TEXT(W359,"0.00")&amp;" - комиссия "&amp;TEXT(V359*R359/100,"0.00")&amp;" - доставка "&amp;TEXT(P359,"0.00")&amp;" - прочие "&amp;TEXT(Q359,"0.00")&amp;" = "&amp;TEXT(G359,"0.00")&amp;" "&amp;L359,"Введите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59" s="24" t="n">
        <x:v>53.07763348500893</x:v>
      </x:c>
      <x:c r="AG359" s="37" t="n">
        <x:v>38</x:v>
      </x:c>
      <x:c r="AH359" s="37" t="n">
        <x:v>0</x:v>
      </x:c>
      <x:c r="AI359" s="30" t="n">
        <x:v>46287</x:v>
      </x:c>
      <x:c r="AJ359" s="37" t="n">
        <x:v>6</x:v>
      </x:c>
      <x:c r="AK359" s="10" t="str">
        <x:v>кратность</x:v>
      </x:c>
      <x:c r="AL359" s="32" t="n">
        <x:v>21.477973397626663</x:v>
      </x:c>
      <x:c r="AM359" s="13" t="str">
        <x:v>Нет ежедневных данных доступности. Запаса примерно на 21.5 дн. без поступлений</x:v>
      </x:c>
      <x:c r="AN359" s="13" t="str">
        <x:v>Подтвердить наличие, срок и цену закупки</x:v>
      </x:c>
      <x:c r="AO359" s="13" t="str">
        <x:v>Прогноз 30 дней 53.08; остаток 38; поступления в срок 0; нехватка 16; заказ с учётом MOQ 18 шт.</x:v>
      </x:c>
      <x:c r="AP359" s="13" t="str">
        <x:v>["daily_stockout_data_missing", "new_order_lead_time_unknown"]</x:v>
      </x:c>
      <x:c r="AQ359" s="10" t="str">
        <x:v>SE:300200325_</x:v>
      </x:c>
      <x:c r="AR359" s="24" t="n">
        <x:v>1</x:v>
      </x:c>
      <x:c r="AS359" s="24" t="n">
        <x:f>MAX(0,ROUNDUP(MAX(0,AF359-AG359-AH359)/AR359-0.000000001,0)*AR359)</x:f>
        <x:v>16</x:v>
      </x:c>
      <x:c r="AT359" s="24" t="n">
        <x:v>15.077633485008931</x:v>
      </x:c>
    </x:row>
    <x:row r="360" ht="64" customHeight="1">
      <x:c r="A360" s="11" t="str">
        <x:v>Systeme Electric</x:v>
      </x:c>
      <x:c r="B360" s="33" t="str">
        <x:v>300200367_</x:v>
      </x:c>
      <x:c r="C360" s="33" t="str">
        <x:v>ATN000461</x:v>
      </x:c>
      <x:c r="D360" s="12" t="str">
        <x:v>G391 Переключ. 1 кл 10А с/у б/рамки "ATLAS" жемчуг ATN461 (10)</x:v>
      </x:c>
      <x:c r="E360" s="11" t="str">
        <x:v>шт</x:v>
      </x:c>
      <x:c r="F360" s="35" t="n">
        <x:f>IF(AS360&gt;0,ROUNDUP(AS360/AJ360-0.000000001,0)*AJ360,0)</x:f>
        <x:v>10</x:v>
      </x:c>
      <x:c r="G360" s="20" t="str">
        <x:f>IF(J360="Рассчитано",V360*(1-R360/100)-W360-P360-Q360,"н/д")</x:f>
        <x:v>н/д</x:v>
      </x:c>
      <x:c r="H360" s="12" t="str">
        <x:v>Средний</x:v>
      </x:c>
      <x:c r="I360" s="12" t="str">
        <x:v>Средний</x:v>
      </x:c>
      <x:c r="J360" s="12" t="str">
        <x:f>IF(L360="","Укажите валюту",IF(NOT(ISNUMBER(K360)),"Укажите объём",IF(K360&lt;=0,"Укажите объём",IF(COUNT(M360:O360)&lt;3,"Нужны цены",IF(COUNT(P360:R360)&lt;3,"Нужны расходы",IF(OR(M360&lt;0,N360&lt;0,O360&lt;0,O360&gt;100,P360&lt;0,Q360&lt;0,R360&lt;0,R360&gt;100),"Проверьте значения","Рассчитано"))))))</x:f>
        <x:v>Нужны цены</x:v>
      </x:c>
      <x:c r="K360" s="36" t="n">
        <x:v>10</x:v>
      </x:c>
      <x:c r="L360" s="19" t="str">
        <x:v>KZT</x:v>
      </x:c>
      <x:c r="M360" s="22"/>
      <x:c r="N360" s="22"/>
      <x:c r="O360" s="28"/>
      <x:c r="P360" s="22"/>
      <x:c r="Q360" s="22"/>
      <x:c r="R360" s="28"/>
      <x:c r="S360" s="22"/>
      <x:c r="T360" s="35" t="n">
        <x:f>MIN(K360,AT360)</x:f>
        <x:v>0.7337969715165111</x:v>
      </x:c>
      <x:c r="U360" s="20" t="str">
        <x:f>IF(J360="Рассчитано",N360*(1-O360/100),"н/д")</x:f>
        <x:v>н/д</x:v>
      </x:c>
      <x:c r="V360" s="20" t="str">
        <x:f>IF(J360="Рассчитано",T360*U360,"н/д")</x:f>
        <x:v>н/д</x:v>
      </x:c>
      <x:c r="W360" s="20" t="str">
        <x:f>IF(J360="Рассчитано",T360*M360,"н/д")</x:f>
        <x:v>н/д</x:v>
      </x:c>
      <x:c r="X360" s="20" t="str">
        <x:f>IF(J360="Рассчитано",V360-W360,"н/д")</x:f>
        <x:v>н/д</x:v>
      </x:c>
      <x:c r="Y360" s="26" t="str">
        <x:f>IF(J360="Рассчитано",IF(V360&gt;0,G360/V360,"н/д"),"н/д")</x:f>
        <x:v>н/д</x:v>
      </x:c>
      <x:c r="Z360" s="20" t="str">
        <x:f>IF(J360="Рассчитано",K360*M360,"н/д")</x:f>
        <x:v>н/д</x:v>
      </x:c>
      <x:c r="AA360" s="20" t="str">
        <x:f>IF(J360="Рассчитано",(K360-T360)*M360,"н/д")</x:f>
        <x:v>н/д</x:v>
      </x:c>
      <x:c r="AB360" s="20" t="str">
        <x:f>IF(AND(J360="Рассчитано",ISNUMBER(S360)),K360*(S360-M360),"н/д")</x:f>
        <x:v>н/д</x:v>
      </x:c>
      <x:c r="AC360" s="20" t="str">
        <x:f>IF(AND(J360="Рассчитано",T360&gt;0,R360&lt;100),(W360+P360+Q360)/(T360*(1-R360/100)),"н/д")</x:f>
        <x:v>н/д</x:v>
      </x:c>
      <x:c r="AD360" s="11" t="str">
        <x:f>IF(ISNUMBER(G360),IF(G360&lt;0,"Убыток",IF(G360=0,"Без прибыли","Прибыль &gt; 0")),"Не оценён")</x:f>
        <x:v>Не оценён</x:v>
      </x:c>
      <x:c r="AE360" s="12" t="str">
        <x:f>IF(J360="Рассчитано","Выручка "&amp;TEXT(V360,"0.00")&amp;" - себестоимость "&amp;TEXT(W360,"0.00")&amp;" - комиссия "&amp;TEXT(V360*R360/100,"0.00")&amp;" - доставка "&amp;TEXT(P360,"0.00")&amp;" - прочие "&amp;TEXT(Q360,"0.00")&amp;" = "&amp;TEXT(G360,"0.00")&amp;" "&amp;L360,"Введите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0" s="23" t="n">
        <x:v>2.733796971516511</x:v>
      </x:c>
      <x:c r="AG360" s="35" t="n">
        <x:v>2</x:v>
      </x:c>
      <x:c r="AH360" s="35" t="n">
        <x:v>0</x:v>
      </x:c>
      <x:c r="AI360" s="29" t="n">
        <x:v>46287</x:v>
      </x:c>
      <x:c r="AJ360" s="35" t="n">
        <x:v>10</x:v>
      </x:c>
      <x:c r="AK360" s="11" t="str">
        <x:v>кратность</x:v>
      </x:c>
      <x:c r="AL360" s="31" t="n">
        <x:v>21.947496696038982</x:v>
      </x:c>
      <x:c r="AM360" s="12" t="str">
        <x:v>Нет ежедневных данных доступности. Запаса примерно на 21.9 дн. без поступлений</x:v>
      </x:c>
      <x:c r="AN360" s="12" t="str">
        <x:v>Подтвердить наличие, срок и цену закупки</x:v>
      </x:c>
      <x:c r="AO360" s="12" t="str">
        <x:v>Прогноз 30 дней 2.73; остаток 2; поступления в срок 0; нехватка 1; заказ с учётом MOQ 10 шт.</x:v>
      </x:c>
      <x:c r="AP360" s="12" t="str">
        <x:v>["daily_stockout_data_missing", "new_order_lead_time_unknown"]</x:v>
      </x:c>
      <x:c r="AQ360" s="11" t="str">
        <x:v>SE:300200367_</x:v>
      </x:c>
      <x:c r="AR360" s="23" t="n">
        <x:v>1</x:v>
      </x:c>
      <x:c r="AS360" s="23" t="n">
        <x:f>MAX(0,ROUNDUP(MAX(0,AF360-AG360-AH360)/AR360-0.000000001,0)*AR360)</x:f>
        <x:v>1</x:v>
      </x:c>
      <x:c r="AT360" s="23" t="n">
        <x:v>0.7337969715165111</x:v>
      </x:c>
    </x:row>
    <x:row r="361" ht="64" customHeight="1">
      <x:c r="A361" s="10" t="str">
        <x:v>Systeme Electric</x:v>
      </x:c>
      <x:c r="B361" s="34" t="str">
        <x:v>300200497_</x:v>
      </x:c>
      <x:c r="C361" s="34" t="str">
        <x:v>BLNMK000001</x:v>
      </x:c>
      <x:c r="D361" s="13" t="str">
        <x:v>КОРОБКА МОНТАЖН.С / У Д / СИЛ.РОЗЕТОК, ЗЕЛЕН</x:v>
      </x:c>
      <x:c r="E361" s="10" t="str">
        <x:v>шт</x:v>
      </x:c>
      <x:c r="F361" s="37" t="n">
        <x:f>IF(AS361&gt;0,ROUNDUP(AS361/AJ361-0.000000001,0)*AJ361,0)</x:f>
        <x:v>2</x:v>
      </x:c>
      <x:c r="G361" s="21" t="str">
        <x:f>IF(J361="Рассчитано",V361*(1-R361/100)-W361-P361-Q361,"н/д")</x:f>
        <x:v>н/д</x:v>
      </x:c>
      <x:c r="H361" s="13" t="str">
        <x:v>Высокий</x:v>
      </x:c>
      <x:c r="I361" s="13" t="str">
        <x:v>Критический</x:v>
      </x:c>
      <x:c r="J361" s="13" t="str">
        <x:f>IF(L361="","Укажите валюту",IF(NOT(ISNUMBER(K361)),"Укажите объём",IF(K361&lt;=0,"Укажите объём",IF(COUNT(M361:O361)&lt;3,"Нужны цены",IF(COUNT(P361:R361)&lt;3,"Нужны расходы",IF(OR(M361&lt;0,N361&lt;0,O361&lt;0,O361&gt;100,P361&lt;0,Q361&lt;0,R361&lt;0,R361&gt;100),"Проверьте значения","Рассчитано"))))))</x:f>
        <x:v>Нужны цены</x:v>
      </x:c>
      <x:c r="K361" s="36" t="n">
        <x:v>2</x:v>
      </x:c>
      <x:c r="L361" s="19" t="str">
        <x:v>KZT</x:v>
      </x:c>
      <x:c r="M361" s="22"/>
      <x:c r="N361" s="22"/>
      <x:c r="O361" s="28"/>
      <x:c r="P361" s="22"/>
      <x:c r="Q361" s="22"/>
      <x:c r="R361" s="28"/>
      <x:c r="S361" s="22"/>
      <x:c r="T361" s="37" t="n">
        <x:f>MIN(K361,AT361)</x:f>
        <x:v>1.2709608920580018</x:v>
      </x:c>
      <x:c r="U361" s="21" t="str">
        <x:f>IF(J361="Рассчитано",N361*(1-O361/100),"н/д")</x:f>
        <x:v>н/д</x:v>
      </x:c>
      <x:c r="V361" s="21" t="str">
        <x:f>IF(J361="Рассчитано",T361*U361,"н/д")</x:f>
        <x:v>н/д</x:v>
      </x:c>
      <x:c r="W361" s="21" t="str">
        <x:f>IF(J361="Рассчитано",T361*M361,"н/д")</x:f>
        <x:v>н/д</x:v>
      </x:c>
      <x:c r="X361" s="21" t="str">
        <x:f>IF(J361="Рассчитано",V361-W361,"н/д")</x:f>
        <x:v>н/д</x:v>
      </x:c>
      <x:c r="Y361" s="27" t="str">
        <x:f>IF(J361="Рассчитано",IF(V361&gt;0,G361/V361,"н/д"),"н/д")</x:f>
        <x:v>н/д</x:v>
      </x:c>
      <x:c r="Z361" s="21" t="str">
        <x:f>IF(J361="Рассчитано",K361*M361,"н/д")</x:f>
        <x:v>н/д</x:v>
      </x:c>
      <x:c r="AA361" s="21" t="str">
        <x:f>IF(J361="Рассчитано",(K361-T361)*M361,"н/д")</x:f>
        <x:v>н/д</x:v>
      </x:c>
      <x:c r="AB361" s="21" t="str">
        <x:f>IF(AND(J361="Рассчитано",ISNUMBER(S361)),K361*(S361-M361),"н/д")</x:f>
        <x:v>н/д</x:v>
      </x:c>
      <x:c r="AC361" s="21" t="str">
        <x:f>IF(AND(J361="Рассчитано",T361&gt;0,R361&lt;100),(W361+P361+Q361)/(T361*(1-R361/100)),"н/д")</x:f>
        <x:v>н/д</x:v>
      </x:c>
      <x:c r="AD361" s="10" t="str">
        <x:f>IF(ISNUMBER(G361),IF(G361&lt;0,"Убыток",IF(G361=0,"Без прибыли","Прибыль &gt; 0")),"Не оценён")</x:f>
        <x:v>Не оценён</x:v>
      </x:c>
      <x:c r="AE361" s="13" t="str">
        <x:f>IF(J361="Рассчитано","Выручка "&amp;TEXT(V361,"0.00")&amp;" - себестоимость "&amp;TEXT(W361,"0.00")&amp;" - комиссия "&amp;TEXT(V361*R361/100,"0.00")&amp;" - доставка "&amp;TEXT(P361,"0.00")&amp;" - прочие "&amp;TEXT(Q361,"0.00")&amp;" = "&amp;TEXT(G361,"0.00")&amp;" "&amp;L361,"Введите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1" s="24" t="n">
        <x:v>1.2709608920580018</x:v>
      </x:c>
      <x:c r="AG361" s="37" t="n">
        <x:v>0</x:v>
      </x:c>
      <x:c r="AH361" s="37" t="n">
        <x:v>0</x:v>
      </x:c>
      <x:c r="AI361" s="30" t="n">
        <x:v>46266</x:v>
      </x:c>
      <x:c r="AJ361" s="37" t="n">
        <x:v>2</x:v>
      </x:c>
      <x:c r="AK361" s="10" t="str">
        <x:v>кратность</x:v>
      </x:c>
      <x:c r="AL361" s="32" t="n">
        <x:v>0</x:v>
      </x:c>
      <x:c r="AM361" s="13" t="str">
        <x:v>Остаток на начало сентября; Резервы неизвестны; Нет ежедневных данных доступности. Нет запаса</x:v>
      </x:c>
      <x:c r="AN361" s="13" t="str">
        <x:v>Подтвердить наличие, срок и цену закупки</x:v>
      </x:c>
      <x:c r="AO361" s="13" t="str">
        <x:v>Прогноз 30 дней 1.27; остаток 0; поступления в срок 0; нехватка 2; заказ с учётом MOQ 2 шт. Остаток на начало сентября: требуется актуализация.</x:v>
      </x:c>
      <x:c r="AP361" s="13" t="str">
        <x:v>["blank_stock_assumed_zero", "category_missing", "daily_stockout_data_missing", "monthly_balance_date_assumed", "new_order_lead_time_unknown", "reservations_unknown", "stale_stock"]</x:v>
      </x:c>
      <x:c r="AQ361" s="10" t="str">
        <x:v>SE:300200497_</x:v>
      </x:c>
      <x:c r="AR361" s="24" t="n">
        <x:v>1</x:v>
      </x:c>
      <x:c r="AS361" s="24" t="n">
        <x:f>MAX(0,ROUNDUP(MAX(0,AF361-AG361-AH361)/AR361-0.000000001,0)*AR361)</x:f>
        <x:v>2</x:v>
      </x:c>
      <x:c r="AT361" s="24" t="n">
        <x:v>1.2709608920580018</x:v>
      </x:c>
    </x:row>
    <x:row r="362" ht="64" customHeight="1">
      <x:c r="A362" s="11" t="str">
        <x:v>Systeme Electric</x:v>
      </x:c>
      <x:c r="B362" s="33" t="str">
        <x:v>300200519_</x:v>
      </x:c>
      <x:c r="C362" s="33" t="str">
        <x:v>ATN001065</x:v>
      </x:c>
      <x:c r="D362" s="12" t="str">
        <x:v>K089 Переключ. 2 кл 10А с/у б/рамки "ATLAS" КАРБОН ATN1065 (5)</x:v>
      </x:c>
      <x:c r="E362" s="11" t="str">
        <x:v>шт</x:v>
      </x:c>
      <x:c r="F362" s="35" t="n">
        <x:f>IF(AS362&gt;0,ROUNDUP(AS362/AJ362-0.000000001,0)*AJ362,0)</x:f>
        <x:v>5</x:v>
      </x:c>
      <x:c r="G362" s="20" t="str">
        <x:f>IF(J362="Рассчитано",V362*(1-R362/100)-W362-P362-Q362,"н/д")</x:f>
        <x:v>н/д</x:v>
      </x:c>
      <x:c r="H362" s="12" t="str">
        <x:v>Средний</x:v>
      </x:c>
      <x:c r="I362" s="12" t="str">
        <x:v>Средний</x:v>
      </x:c>
      <x:c r="J362" s="12" t="str">
        <x:f>IF(L362="","Укажите валюту",IF(NOT(ISNUMBER(K362)),"Укажите объём",IF(K362&lt;=0,"Укажите объём",IF(COUNT(M362:O362)&lt;3,"Нужны цены",IF(COUNT(P362:R362)&lt;3,"Нужны расходы",IF(OR(M362&lt;0,N362&lt;0,O362&lt;0,O362&gt;100,P362&lt;0,Q362&lt;0,R362&lt;0,R362&gt;100),"Проверьте значения","Рассчитано"))))))</x:f>
        <x:v>Нужны цены</x:v>
      </x:c>
      <x:c r="K362" s="36" t="n">
        <x:v>5</x:v>
      </x:c>
      <x:c r="L362" s="19" t="str">
        <x:v>KZT</x:v>
      </x:c>
      <x:c r="M362" s="22"/>
      <x:c r="N362" s="22"/>
      <x:c r="O362" s="28"/>
      <x:c r="P362" s="22"/>
      <x:c r="Q362" s="22"/>
      <x:c r="R362" s="28"/>
      <x:c r="S362" s="22"/>
      <x:c r="T362" s="35" t="n">
        <x:f>MIN(K362,AT362)</x:f>
        <x:v>1.9301824975716855</x:v>
      </x:c>
      <x:c r="U362" s="20" t="str">
        <x:f>IF(J362="Рассчитано",N362*(1-O362/100),"н/д")</x:f>
        <x:v>н/д</x:v>
      </x:c>
      <x:c r="V362" s="20" t="str">
        <x:f>IF(J362="Рассчитано",T362*U362,"н/д")</x:f>
        <x:v>н/д</x:v>
      </x:c>
      <x:c r="W362" s="20" t="str">
        <x:f>IF(J362="Рассчитано",T362*M362,"н/д")</x:f>
        <x:v>н/д</x:v>
      </x:c>
      <x:c r="X362" s="20" t="str">
        <x:f>IF(J362="Рассчитано",V362-W362,"н/д")</x:f>
        <x:v>н/д</x:v>
      </x:c>
      <x:c r="Y362" s="26" t="str">
        <x:f>IF(J362="Рассчитано",IF(V362&gt;0,G362/V362,"н/д"),"н/д")</x:f>
        <x:v>н/д</x:v>
      </x:c>
      <x:c r="Z362" s="20" t="str">
        <x:f>IF(J362="Рассчитано",K362*M362,"н/д")</x:f>
        <x:v>н/д</x:v>
      </x:c>
      <x:c r="AA362" s="20" t="str">
        <x:f>IF(J362="Рассчитано",(K362-T362)*M362,"н/д")</x:f>
        <x:v>н/д</x:v>
      </x:c>
      <x:c r="AB362" s="20" t="str">
        <x:f>IF(AND(J362="Рассчитано",ISNUMBER(S362)),K362*(S362-M362),"н/д")</x:f>
        <x:v>н/д</x:v>
      </x:c>
      <x:c r="AC362" s="20" t="str">
        <x:f>IF(AND(J362="Рассчитано",T362&gt;0,R362&lt;100),(W362+P362+Q362)/(T362*(1-R362/100)),"н/д")</x:f>
        <x:v>н/д</x:v>
      </x:c>
      <x:c r="AD362" s="11" t="str">
        <x:f>IF(ISNUMBER(G362),IF(G362&lt;0,"Убыток",IF(G362=0,"Без прибыли","Прибыль &gt; 0")),"Не оценён")</x:f>
        <x:v>Не оценён</x:v>
      </x:c>
      <x:c r="AE362" s="12" t="str">
        <x:f>IF(J362="Рассчитано","Выручка "&amp;TEXT(V362,"0.00")&amp;" - себестоимость "&amp;TEXT(W362,"0.00")&amp;" - комиссия "&amp;TEXT(V362*R362/100,"0.00")&amp;" - доставка "&amp;TEXT(P362,"0.00")&amp;" - прочие "&amp;TEXT(Q362,"0.00")&amp;" = "&amp;TEXT(G362,"0.00")&amp;" "&amp;L362,"Введите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2" s="23" t="n">
        <x:v>55.930182497571685</x:v>
      </x:c>
      <x:c r="AG362" s="35" t="n">
        <x:v>54</x:v>
      </x:c>
      <x:c r="AH362" s="35" t="n">
        <x:v>0</x:v>
      </x:c>
      <x:c r="AI362" s="29" t="n">
        <x:v>46287</x:v>
      </x:c>
      <x:c r="AJ362" s="35" t="n">
        <x:v>5</x:v>
      </x:c>
      <x:c r="AK362" s="11" t="str">
        <x:v>кратность</x:v>
      </x:c>
      <x:c r="AL362" s="31" t="n">
        <x:v>28.964682889606795</x:v>
      </x:c>
      <x:c r="AM362" s="12" t="str">
        <x:v>Детальные и месячные продажи расходятся; Нет ежедневных данных доступности. Запаса примерно на 29.0 дн. без поступлений</x:v>
      </x:c>
      <x:c r="AN362" s="12" t="str">
        <x:v>Подтвердить наличие, срок и цену закупки</x:v>
      </x:c>
      <x:c r="AO362" s="12" t="str">
        <x:v>Прогноз 30 дней 55.93; остаток 54; поступления в срок 0; нехватка 2; заказ с учётом MOQ 5 шт.</x:v>
      </x:c>
      <x:c r="AP362" s="12" t="str">
        <x:v>["daily_stockout_data_missing", "large_orders_detected", "new_order_lead_time_unknown", "transaction_month_mismatch"]</x:v>
      </x:c>
      <x:c r="AQ362" s="11" t="str">
        <x:v>SE:300200519_</x:v>
      </x:c>
      <x:c r="AR362" s="23" t="n">
        <x:v>1</x:v>
      </x:c>
      <x:c r="AS362" s="23" t="n">
        <x:f>MAX(0,ROUNDUP(MAX(0,AF362-AG362-AH362)/AR362-0.000000001,0)*AR362)</x:f>
        <x:v>2</x:v>
      </x:c>
      <x:c r="AT362" s="23" t="n">
        <x:v>1.9301824975716855</x:v>
      </x:c>
    </x:row>
    <x:row r="363" ht="64" customHeight="1">
      <x:c r="A363" s="10" t="str">
        <x:v>Systeme Electric</x:v>
      </x:c>
      <x:c r="B363" s="34" t="str">
        <x:v>300200544_</x:v>
      </x:c>
      <x:c r="C363" s="34" t="str">
        <x:v>ATN000513</x:v>
      </x:c>
      <x:c r="D363" s="13" t="str">
        <x:v>K025 Выкл 1 кл с инд 10А с/у б/рамки "ATLAS" ШАМПАНЬ ATN513 (10)</x:v>
      </x:c>
      <x:c r="E363" s="10" t="str">
        <x:v>шт</x:v>
      </x:c>
      <x:c r="F363" s="37" t="n">
        <x:f>IF(AS363&gt;0,ROUNDUP(AS363/AJ363-0.000000001,0)*AJ363,0)</x:f>
        <x:v>10</x:v>
      </x:c>
      <x:c r="G363" s="21" t="str">
        <x:f>IF(J363="Рассчитано",V363*(1-R363/100)-W363-P363-Q363,"н/д")</x:f>
        <x:v>н/д</x:v>
      </x:c>
      <x:c r="H363" s="13" t="str">
        <x:v>Средний</x:v>
      </x:c>
      <x:c r="I363" s="13" t="str">
        <x:v>Критический</x:v>
      </x:c>
      <x:c r="J363" s="13" t="str">
        <x:f>IF(L363="","Укажите валюту",IF(NOT(ISNUMBER(K363)),"Укажите объём",IF(K363&lt;=0,"Укажите объём",IF(COUNT(M363:O363)&lt;3,"Нужны цены",IF(COUNT(P363:R363)&lt;3,"Нужны расходы",IF(OR(M363&lt;0,N363&lt;0,O363&lt;0,O363&gt;100,P363&lt;0,Q363&lt;0,R363&lt;0,R363&gt;100),"Проверьте значения","Рассчитано"))))))</x:f>
        <x:v>Нужны цены</x:v>
      </x:c>
      <x:c r="K363" s="36" t="n">
        <x:v>10</x:v>
      </x:c>
      <x:c r="L363" s="19" t="str">
        <x:v>KZT</x:v>
      </x:c>
      <x:c r="M363" s="22"/>
      <x:c r="N363" s="22"/>
      <x:c r="O363" s="28"/>
      <x:c r="P363" s="22"/>
      <x:c r="Q363" s="22"/>
      <x:c r="R363" s="28"/>
      <x:c r="S363" s="22"/>
      <x:c r="T363" s="37" t="n">
        <x:f>MIN(K363,AT363)</x:f>
        <x:v>6.89971281510993</x:v>
      </x:c>
      <x:c r="U363" s="21" t="str">
        <x:f>IF(J363="Рассчитано",N363*(1-O363/100),"н/д")</x:f>
        <x:v>н/д</x:v>
      </x:c>
      <x:c r="V363" s="21" t="str">
        <x:f>IF(J363="Рассчитано",T363*U363,"н/д")</x:f>
        <x:v>н/д</x:v>
      </x:c>
      <x:c r="W363" s="21" t="str">
        <x:f>IF(J363="Рассчитано",T363*M363,"н/д")</x:f>
        <x:v>н/д</x:v>
      </x:c>
      <x:c r="X363" s="21" t="str">
        <x:f>IF(J363="Рассчитано",V363-W363,"н/д")</x:f>
        <x:v>н/д</x:v>
      </x:c>
      <x:c r="Y363" s="27" t="str">
        <x:f>IF(J363="Рассчитано",IF(V363&gt;0,G363/V363,"н/д"),"н/д")</x:f>
        <x:v>н/д</x:v>
      </x:c>
      <x:c r="Z363" s="21" t="str">
        <x:f>IF(J363="Рассчитано",K363*M363,"н/д")</x:f>
        <x:v>н/д</x:v>
      </x:c>
      <x:c r="AA363" s="21" t="str">
        <x:f>IF(J363="Рассчитано",(K363-T363)*M363,"н/д")</x:f>
        <x:v>н/д</x:v>
      </x:c>
      <x:c r="AB363" s="21" t="str">
        <x:f>IF(AND(J363="Рассчитано",ISNUMBER(S363)),K363*(S363-M363),"н/д")</x:f>
        <x:v>н/д</x:v>
      </x:c>
      <x:c r="AC363" s="21" t="str">
        <x:f>IF(AND(J363="Рассчитано",T363&gt;0,R363&lt;100),(W363+P363+Q363)/(T363*(1-R363/100)),"н/д")</x:f>
        <x:v>н/д</x:v>
      </x:c>
      <x:c r="AD363" s="10" t="str">
        <x:f>IF(ISNUMBER(G363),IF(G363&lt;0,"Убыток",IF(G363=0,"Без прибыли","Прибыль &gt; 0")),"Не оценён")</x:f>
        <x:v>Не оценён</x:v>
      </x:c>
      <x:c r="AE363" s="13" t="str">
        <x:f>IF(J363="Рассчитано","Выручка "&amp;TEXT(V363,"0.00")&amp;" - себестоимость "&amp;TEXT(W363,"0.00")&amp;" - комиссия "&amp;TEXT(V363*R363/100,"0.00")&amp;" - доставка "&amp;TEXT(P363,"0.00")&amp;" - прочие "&amp;TEXT(Q363,"0.00")&amp;" = "&amp;TEXT(G363,"0.00")&amp;" "&amp;L363,"Введите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3" s="24" t="n">
        <x:v>6.89971281510993</x:v>
      </x:c>
      <x:c r="AG363" s="37" t="n">
        <x:v>0</x:v>
      </x:c>
      <x:c r="AH363" s="37" t="n">
        <x:v>0</x:v>
      </x:c>
      <x:c r="AI363" s="30" t="n">
        <x:v>46287</x:v>
      </x:c>
      <x:c r="AJ363" s="37" t="n">
        <x:v>10</x:v>
      </x:c>
      <x:c r="AK363" s="10" t="str">
        <x:v>кратность</x:v>
      </x:c>
      <x:c r="AL363" s="32" t="n">
        <x:v>0</x:v>
      </x:c>
      <x:c r="AM363" s="13" t="str">
        <x:v>Нет ежедневных данных доступности. Нет запаса</x:v>
      </x:c>
      <x:c r="AN363" s="13" t="str">
        <x:v>Подтвердить наличие, срок и цену закупки</x:v>
      </x:c>
      <x:c r="AO363" s="13" t="str">
        <x:v>Прогноз 30 дней 6.90; остаток 0; поступления в срок 0; нехватка 7; заказ с учётом MOQ 10 шт.</x:v>
      </x:c>
      <x:c r="AP363" s="13" t="str">
        <x:v>["daily_stockout_data_missing", "negative_net_sales_clipped_for_forecast", "new_order_lead_time_unknown"]</x:v>
      </x:c>
      <x:c r="AQ363" s="10" t="str">
        <x:v>SE:300200544_</x:v>
      </x:c>
      <x:c r="AR363" s="24" t="n">
        <x:v>1</x:v>
      </x:c>
      <x:c r="AS363" s="24" t="n">
        <x:f>MAX(0,ROUNDUP(MAX(0,AF363-AG363-AH363)/AR363-0.000000001,0)*AR363)</x:f>
        <x:v>7</x:v>
      </x:c>
      <x:c r="AT363" s="24" t="n">
        <x:v>6.89971281510993</x:v>
      </x:c>
    </x:row>
    <x:row r="364" ht="64" customHeight="1">
      <x:c r="A364" s="11" t="str">
        <x:v>Systeme Electric</x:v>
      </x:c>
      <x:c r="B364" s="33" t="str">
        <x:v>300200546_</x:v>
      </x:c>
      <x:c r="C364" s="33" t="str">
        <x:v>ATN000553</x:v>
      </x:c>
      <x:c r="D364" s="12" t="str">
        <x:v>K027 Выкл 2 кл с инд 10А с/у б/рамки "ATLAS" ШАМПАНЬ ATN553 (10)</x:v>
      </x:c>
      <x:c r="E364" s="11" t="str">
        <x:v>шт</x:v>
      </x:c>
      <x:c r="F364" s="35" t="n">
        <x:f>IF(AS364&gt;0,ROUNDUP(AS364/AJ364-0.000000001,0)*AJ364,0)</x:f>
        <x:v>10</x:v>
      </x:c>
      <x:c r="G364" s="20" t="str">
        <x:f>IF(J364="Рассчитано",V364*(1-R364/100)-W364-P364-Q364,"н/д")</x:f>
        <x:v>н/д</x:v>
      </x:c>
      <x:c r="H364" s="12" t="str">
        <x:v>Средний</x:v>
      </x:c>
      <x:c r="I364" s="12" t="str">
        <x:v>Критический</x:v>
      </x:c>
      <x:c r="J364" s="12" t="str">
        <x:f>IF(L364="","Укажите валюту",IF(NOT(ISNUMBER(K364)),"Укажите объём",IF(K364&lt;=0,"Укажите объём",IF(COUNT(M364:O364)&lt;3,"Нужны цены",IF(COUNT(P364:R364)&lt;3,"Нужны расходы",IF(OR(M364&lt;0,N364&lt;0,O364&lt;0,O364&gt;100,P364&lt;0,Q364&lt;0,R364&lt;0,R364&gt;100),"Проверьте значения","Рассчитано"))))))</x:f>
        <x:v>Нужны цены</x:v>
      </x:c>
      <x:c r="K364" s="36" t="n">
        <x:v>10</x:v>
      </x:c>
      <x:c r="L364" s="19" t="str">
        <x:v>KZT</x:v>
      </x:c>
      <x:c r="M364" s="22"/>
      <x:c r="N364" s="22"/>
      <x:c r="O364" s="28"/>
      <x:c r="P364" s="22"/>
      <x:c r="Q364" s="22"/>
      <x:c r="R364" s="28"/>
      <x:c r="S364" s="22"/>
      <x:c r="T364" s="35" t="n">
        <x:f>MIN(K364,AT364)</x:f>
        <x:v>2.5184520031103728</x:v>
      </x:c>
      <x:c r="U364" s="20" t="str">
        <x:f>IF(J364="Рассчитано",N364*(1-O364/100),"н/д")</x:f>
        <x:v>н/д</x:v>
      </x:c>
      <x:c r="V364" s="20" t="str">
        <x:f>IF(J364="Рассчитано",T364*U364,"н/д")</x:f>
        <x:v>н/д</x:v>
      </x:c>
      <x:c r="W364" s="20" t="str">
        <x:f>IF(J364="Рассчитано",T364*M364,"н/д")</x:f>
        <x:v>н/д</x:v>
      </x:c>
      <x:c r="X364" s="20" t="str">
        <x:f>IF(J364="Рассчитано",V364-W364,"н/д")</x:f>
        <x:v>н/д</x:v>
      </x:c>
      <x:c r="Y364" s="26" t="str">
        <x:f>IF(J364="Рассчитано",IF(V364&gt;0,G364/V364,"н/д"),"н/д")</x:f>
        <x:v>н/д</x:v>
      </x:c>
      <x:c r="Z364" s="20" t="str">
        <x:f>IF(J364="Рассчитано",K364*M364,"н/д")</x:f>
        <x:v>н/д</x:v>
      </x:c>
      <x:c r="AA364" s="20" t="str">
        <x:f>IF(J364="Рассчитано",(K364-T364)*M364,"н/д")</x:f>
        <x:v>н/д</x:v>
      </x:c>
      <x:c r="AB364" s="20" t="str">
        <x:f>IF(AND(J364="Рассчитано",ISNUMBER(S364)),K364*(S364-M364),"н/д")</x:f>
        <x:v>н/д</x:v>
      </x:c>
      <x:c r="AC364" s="20" t="str">
        <x:f>IF(AND(J364="Рассчитано",T364&gt;0,R364&lt;100),(W364+P364+Q364)/(T364*(1-R364/100)),"н/д")</x:f>
        <x:v>н/д</x:v>
      </x:c>
      <x:c r="AD364" s="11" t="str">
        <x:f>IF(ISNUMBER(G364),IF(G364&lt;0,"Убыток",IF(G364=0,"Без прибыли","Прибыль &gt; 0")),"Не оценён")</x:f>
        <x:v>Не оценён</x:v>
      </x:c>
      <x:c r="AE364" s="12" t="str">
        <x:f>IF(J364="Рассчитано","Выручка "&amp;TEXT(V364,"0.00")&amp;" - себестоимость "&amp;TEXT(W364,"0.00")&amp;" - комиссия "&amp;TEXT(V364*R364/100,"0.00")&amp;" - доставка "&amp;TEXT(P364,"0.00")&amp;" - прочие "&amp;TEXT(Q364,"0.00")&amp;" = "&amp;TEXT(G364,"0.00")&amp;" "&amp;L364,"Введите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4" s="23" t="n">
        <x:v>2.5184520031103728</x:v>
      </x:c>
      <x:c r="AG364" s="35" t="n">
        <x:v>0</x:v>
      </x:c>
      <x:c r="AH364" s="35" t="n">
        <x:v>0</x:v>
      </x:c>
      <x:c r="AI364" s="29" t="n">
        <x:v>46287</x:v>
      </x:c>
      <x:c r="AJ364" s="35" t="n">
        <x:v>10</x:v>
      </x:c>
      <x:c r="AK364" s="11" t="str">
        <x:v>кратность</x:v>
      </x:c>
      <x:c r="AL364" s="31" t="n">
        <x:v>0</x:v>
      </x:c>
      <x:c r="AM364" s="12" t="str">
        <x:v>Нет ежедневных данных доступности. Нет запаса</x:v>
      </x:c>
      <x:c r="AN364" s="12" t="str">
        <x:v>Подтвердить наличие, срок и цену закупки</x:v>
      </x:c>
      <x:c r="AO364" s="12" t="str">
        <x:v>Прогноз 30 дней 2.52; остаток 0; поступления в срок 0; нехватка 3; заказ с учётом MOQ 10 шт.</x:v>
      </x:c>
      <x:c r="AP364" s="12" t="str">
        <x:v>["daily_stockout_data_missing", "new_order_lead_time_unknown"]</x:v>
      </x:c>
      <x:c r="AQ364" s="11" t="str">
        <x:v>SE:300200546_</x:v>
      </x:c>
      <x:c r="AR364" s="23" t="n">
        <x:v>1</x:v>
      </x:c>
      <x:c r="AS364" s="23" t="n">
        <x:f>MAX(0,ROUNDUP(MAX(0,AF364-AG364-AH364)/AR364-0.000000001,0)*AR364)</x:f>
        <x:v>3</x:v>
      </x:c>
      <x:c r="AT364" s="23" t="n">
        <x:v>2.5184520031103728</x:v>
      </x:c>
    </x:row>
    <x:row r="365" ht="64" customHeight="1">
      <x:c r="A365" s="10" t="str">
        <x:v>Systeme Electric</x:v>
      </x:c>
      <x:c r="B365" s="34" t="str">
        <x:v>300200580_</x:v>
      </x:c>
      <x:c r="C365" s="34" t="str">
        <x:v>ATN000702</x:v>
      </x:c>
      <x:c r="D365" s="13" t="str">
        <x:v>K062 Рамка 2-ная "ATLAS" ГРИФЕЛЬ ATN702 (10)</x:v>
      </x:c>
      <x:c r="E365" s="10" t="str">
        <x:v>шт</x:v>
      </x:c>
      <x:c r="F365" s="37" t="n">
        <x:f>IF(AS365&gt;0,ROUNDUP(AS365/AJ365-0.000000001,0)*AJ365,0)</x:f>
        <x:v>30</x:v>
      </x:c>
      <x:c r="G365" s="21" t="str">
        <x:f>IF(J365="Рассчитано",V365*(1-R365/100)-W365-P365-Q365,"н/д")</x:f>
        <x:v>н/д</x:v>
      </x:c>
      <x:c r="H365" s="13" t="str">
        <x:v>Средний</x:v>
      </x:c>
      <x:c r="I365" s="13" t="str">
        <x:v>Критический</x:v>
      </x:c>
      <x:c r="J365" s="13" t="str">
        <x:f>IF(L365="","Укажите валюту",IF(NOT(ISNUMBER(K365)),"Укажите объём",IF(K365&lt;=0,"Укажите объём",IF(COUNT(M365:O365)&lt;3,"Нужны цены",IF(COUNT(P365:R365)&lt;3,"Нужны расходы",IF(OR(M365&lt;0,N365&lt;0,O365&lt;0,O365&gt;100,P365&lt;0,Q365&lt;0,R365&lt;0,R365&gt;100),"Проверьте значения","Рассчитано"))))))</x:f>
        <x:v>Нужны цены</x:v>
      </x:c>
      <x:c r="K365" s="36" t="n">
        <x:v>30</x:v>
      </x:c>
      <x:c r="L365" s="19" t="str">
        <x:v>KZT</x:v>
      </x:c>
      <x:c r="M365" s="22"/>
      <x:c r="N365" s="22"/>
      <x:c r="O365" s="28"/>
      <x:c r="P365" s="22"/>
      <x:c r="Q365" s="22"/>
      <x:c r="R365" s="28"/>
      <x:c r="S365" s="22"/>
      <x:c r="T365" s="37" t="n">
        <x:f>MIN(K365,AT365)</x:f>
        <x:v>21.98602469125447</x:v>
      </x:c>
      <x:c r="U365" s="21" t="str">
        <x:f>IF(J365="Рассчитано",N365*(1-O365/100),"н/д")</x:f>
        <x:v>н/д</x:v>
      </x:c>
      <x:c r="V365" s="21" t="str">
        <x:f>IF(J365="Рассчитано",T365*U365,"н/д")</x:f>
        <x:v>н/д</x:v>
      </x:c>
      <x:c r="W365" s="21" t="str">
        <x:f>IF(J365="Рассчитано",T365*M365,"н/д")</x:f>
        <x:v>н/д</x:v>
      </x:c>
      <x:c r="X365" s="21" t="str">
        <x:f>IF(J365="Рассчитано",V365-W365,"н/д")</x:f>
        <x:v>н/д</x:v>
      </x:c>
      <x:c r="Y365" s="27" t="str">
        <x:f>IF(J365="Рассчитано",IF(V365&gt;0,G365/V365,"н/д"),"н/д")</x:f>
        <x:v>н/д</x:v>
      </x:c>
      <x:c r="Z365" s="21" t="str">
        <x:f>IF(J365="Рассчитано",K365*M365,"н/д")</x:f>
        <x:v>н/д</x:v>
      </x:c>
      <x:c r="AA365" s="21" t="str">
        <x:f>IF(J365="Рассчитано",(K365-T365)*M365,"н/д")</x:f>
        <x:v>н/д</x:v>
      </x:c>
      <x:c r="AB365" s="21" t="str">
        <x:f>IF(AND(J365="Рассчитано",ISNUMBER(S365)),K365*(S365-M365),"н/д")</x:f>
        <x:v>н/д</x:v>
      </x:c>
      <x:c r="AC365" s="21" t="str">
        <x:f>IF(AND(J365="Рассчитано",T365&gt;0,R365&lt;100),(W365+P365+Q365)/(T365*(1-R365/100)),"н/д")</x:f>
        <x:v>н/д</x:v>
      </x:c>
      <x:c r="AD365" s="10" t="str">
        <x:f>IF(ISNUMBER(G365),IF(G365&lt;0,"Убыток",IF(G365=0,"Без прибыли","Прибыль &gt; 0")),"Не оценён")</x:f>
        <x:v>Не оценён</x:v>
      </x:c>
      <x:c r="AE365" s="13" t="str">
        <x:f>IF(J365="Рассчитано","Выручка "&amp;TEXT(V365,"0.00")&amp;" - себестоимость "&amp;TEXT(W365,"0.00")&amp;" - комиссия "&amp;TEXT(V365*R365/100,"0.00")&amp;" - доставка "&amp;TEXT(P365,"0.00")&amp;" - прочие "&amp;TEXT(Q365,"0.00")&amp;" = "&amp;TEXT(G365,"0.00")&amp;" "&amp;L365,"Введите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5" s="24" t="n">
        <x:v>25.98602469125447</x:v>
      </x:c>
      <x:c r="AG365" s="37" t="n">
        <x:v>4</x:v>
      </x:c>
      <x:c r="AH365" s="37" t="n">
        <x:v>0</x:v>
      </x:c>
      <x:c r="AI365" s="30" t="n">
        <x:v>46287</x:v>
      </x:c>
      <x:c r="AJ365" s="37" t="n">
        <x:v>10</x:v>
      </x:c>
      <x:c r="AK365" s="10" t="str">
        <x:v>кратность</x:v>
      </x:c>
      <x:c r="AL365" s="32" t="n">
        <x:v>4.617866773611806</x:v>
      </x:c>
      <x:c r="AM365" s="13" t="str">
        <x:v>Нет ежедневных данных доступности. Запаса примерно на 4.6 дн. без поступлений</x:v>
      </x:c>
      <x:c r="AN365" s="13" t="str">
        <x:v>Подтвердить наличие, срок и цену закупки</x:v>
      </x:c>
      <x:c r="AO365" s="13" t="str">
        <x:v>Прогноз 30 дней 25.99; остаток 4; поступления в срок 0; нехватка 22; заказ с учётом MOQ 30 шт.</x:v>
      </x:c>
      <x:c r="AP365" s="13" t="str">
        <x:v>["daily_stockout_data_missing", "negative_net_sales_clipped_for_forecast", "new_order_lead_time_unknown"]</x:v>
      </x:c>
      <x:c r="AQ365" s="10" t="str">
        <x:v>SE:300200580_</x:v>
      </x:c>
      <x:c r="AR365" s="24" t="n">
        <x:v>1</x:v>
      </x:c>
      <x:c r="AS365" s="24" t="n">
        <x:f>MAX(0,ROUNDUP(MAX(0,AF365-AG365-AH365)/AR365-0.000000001,0)*AR365)</x:f>
        <x:v>22</x:v>
      </x:c>
      <x:c r="AT365" s="24" t="n">
        <x:v>21.98602469125447</x:v>
      </x:c>
    </x:row>
    <x:row r="366" ht="64" customHeight="1">
      <x:c r="A366" s="11" t="str">
        <x:v>Systeme Electric</x:v>
      </x:c>
      <x:c r="B366" s="33" t="str">
        <x:v>300200700_</x:v>
      </x:c>
      <x:c r="C366" s="33" t="str">
        <x:v>ATN000146</x:v>
      </x:c>
      <x:c r="D366" s="12" t="str">
        <x:v>S4000 Роз. с з/к 16А с/у з/ш с крышкой б/рамки"ATLAS" белый  ATN146 (15)</x:v>
      </x:c>
      <x:c r="E366" s="11" t="str">
        <x:v>шт</x:v>
      </x:c>
      <x:c r="F366" s="35" t="n">
        <x:f>IF(AS366&gt;0,ROUNDUP(AS366/AJ366-0.000000001,0)*AJ366,0)</x:f>
        <x:v>60</x:v>
      </x:c>
      <x:c r="G366" s="20" t="str">
        <x:f>IF(J366="Рассчитано",V366*(1-R366/100)-W366-P366-Q366,"н/д")</x:f>
        <x:v>н/д</x:v>
      </x:c>
      <x:c r="H366" s="12" t="str">
        <x:v>Средний</x:v>
      </x:c>
      <x:c r="I366" s="12" t="str">
        <x:v>Средний</x:v>
      </x:c>
      <x:c r="J366" s="12" t="str">
        <x:f>IF(L366="","Укажите валюту",IF(NOT(ISNUMBER(K366)),"Укажите объём",IF(K366&lt;=0,"Укажите объём",IF(COUNT(M366:O366)&lt;3,"Нужны цены",IF(COUNT(P366:R366)&lt;3,"Нужны расходы",IF(OR(M366&lt;0,N366&lt;0,O366&lt;0,O366&gt;100,P366&lt;0,Q366&lt;0,R366&lt;0,R366&gt;100),"Проверьте значения","Рассчитано"))))))</x:f>
        <x:v>Нужны цены</x:v>
      </x:c>
      <x:c r="K366" s="36" t="n">
        <x:v>60</x:v>
      </x:c>
      <x:c r="L366" s="19" t="str">
        <x:v>KZT</x:v>
      </x:c>
      <x:c r="M366" s="22"/>
      <x:c r="N366" s="22"/>
      <x:c r="O366" s="28"/>
      <x:c r="P366" s="22"/>
      <x:c r="Q366" s="22"/>
      <x:c r="R366" s="28"/>
      <x:c r="S366" s="22"/>
      <x:c r="T366" s="35" t="n">
        <x:f>MIN(K366,AT366)</x:f>
        <x:v>47.02007372372529</x:v>
      </x:c>
      <x:c r="U366" s="20" t="str">
        <x:f>IF(J366="Рассчитано",N366*(1-O366/100),"н/д")</x:f>
        <x:v>н/д</x:v>
      </x:c>
      <x:c r="V366" s="20" t="str">
        <x:f>IF(J366="Рассчитано",T366*U366,"н/д")</x:f>
        <x:v>н/д</x:v>
      </x:c>
      <x:c r="W366" s="20" t="str">
        <x:f>IF(J366="Рассчитано",T366*M366,"н/д")</x:f>
        <x:v>н/д</x:v>
      </x:c>
      <x:c r="X366" s="20" t="str">
        <x:f>IF(J366="Рассчитано",V366-W366,"н/д")</x:f>
        <x:v>н/д</x:v>
      </x:c>
      <x:c r="Y366" s="26" t="str">
        <x:f>IF(J366="Рассчитано",IF(V366&gt;0,G366/V366,"н/д"),"н/д")</x:f>
        <x:v>н/д</x:v>
      </x:c>
      <x:c r="Z366" s="20" t="str">
        <x:f>IF(J366="Рассчитано",K366*M366,"н/д")</x:f>
        <x:v>н/д</x:v>
      </x:c>
      <x:c r="AA366" s="20" t="str">
        <x:f>IF(J366="Рассчитано",(K366-T366)*M366,"н/д")</x:f>
        <x:v>н/д</x:v>
      </x:c>
      <x:c r="AB366" s="20" t="str">
        <x:f>IF(AND(J366="Рассчитано",ISNUMBER(S366)),K366*(S366-M366),"н/д")</x:f>
        <x:v>н/д</x:v>
      </x:c>
      <x:c r="AC366" s="20" t="str">
        <x:f>IF(AND(J366="Рассчитано",T366&gt;0,R366&lt;100),(W366+P366+Q366)/(T366*(1-R366/100)),"н/д")</x:f>
        <x:v>н/д</x:v>
      </x:c>
      <x:c r="AD366" s="11" t="str">
        <x:f>IF(ISNUMBER(G366),IF(G366&lt;0,"Убыток",IF(G366=0,"Без прибыли","Прибыль &gt; 0")),"Не оценён")</x:f>
        <x:v>Не оценён</x:v>
      </x:c>
      <x:c r="AE366" s="12" t="str">
        <x:f>IF(J366="Рассчитано","Выручка "&amp;TEXT(V366,"0.00")&amp;" - себестоимость "&amp;TEXT(W366,"0.00")&amp;" - комиссия "&amp;TEXT(V366*R366/100,"0.00")&amp;" - доставка "&amp;TEXT(P366,"0.00")&amp;" - прочие "&amp;TEXT(Q366,"0.00")&amp;" = "&amp;TEXT(G366,"0.00")&amp;" "&amp;L366,"Введите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6" s="23" t="n">
        <x:v>133.0200737237253</x:v>
      </x:c>
      <x:c r="AG366" s="35" t="n">
        <x:v>86</x:v>
      </x:c>
      <x:c r="AH366" s="35" t="n">
        <x:v>0</x:v>
      </x:c>
      <x:c r="AI366" s="29" t="n">
        <x:v>46287</x:v>
      </x:c>
      <x:c r="AJ366" s="35" t="n">
        <x:v>15</x:v>
      </x:c>
      <x:c r="AK366" s="11" t="str">
        <x:v>кратность</x:v>
      </x:c>
      <x:c r="AL366" s="31" t="n">
        <x:v>19.395568862474885</x:v>
      </x:c>
      <x:c r="AM366" s="12" t="str">
        <x:v>Нет ежедневных данных доступности. Запаса примерно на 19.4 дн. без поступлений</x:v>
      </x:c>
      <x:c r="AN366" s="12" t="str">
        <x:v>Подтвердить наличие, срок и цену закупки</x:v>
      </x:c>
      <x:c r="AO366" s="12" t="str">
        <x:v>Прогноз 30 дней 133.02; остаток 86; поступления в срок 0; нехватка 48; заказ с учётом MOQ 60 шт.</x:v>
      </x:c>
      <x:c r="AP366" s="12" t="str">
        <x:v>["daily_stockout_data_missing", "new_order_lead_time_unknown"]</x:v>
      </x:c>
      <x:c r="AQ366" s="11" t="str">
        <x:v>SE:300200700_</x:v>
      </x:c>
      <x:c r="AR366" s="23" t="n">
        <x:v>1</x:v>
      </x:c>
      <x:c r="AS366" s="23" t="n">
        <x:f>MAX(0,ROUNDUP(MAX(0,AF366-AG366-AH366)/AR366-0.000000001,0)*AR366)</x:f>
        <x:v>48</x:v>
      </x:c>
      <x:c r="AT366" s="23" t="n">
        <x:v>47.02007372372529</x:v>
      </x:c>
    </x:row>
    <x:row r="367" ht="64" customHeight="1">
      <x:c r="A367" s="10" t="str">
        <x:v>Systeme Electric</x:v>
      </x:c>
      <x:c r="B367" s="34" t="str">
        <x:v>300200732_</x:v>
      </x:c>
      <x:c r="C367" s="34" t="str">
        <x:v>ATN001244</x:v>
      </x:c>
      <x:c r="D367" s="13" t="str">
        <x:v>К104 Роз. с з/к 16А с/у з/ш ATLAS ПЕСОЧНЫЙ ATN1244 (5)</x:v>
      </x:c>
      <x:c r="E367" s="10" t="str">
        <x:v>шт</x:v>
      </x:c>
      <x:c r="F367" s="37" t="n">
        <x:f>IF(AS367&gt;0,ROUNDUP(AS367/AJ367-0.000000001,0)*AJ367,0)</x:f>
        <x:v>15</x:v>
      </x:c>
      <x:c r="G367" s="21" t="str">
        <x:f>IF(J367="Рассчитано",V367*(1-R367/100)-W367-P367-Q367,"н/д")</x:f>
        <x:v>н/д</x:v>
      </x:c>
      <x:c r="H367" s="13" t="str">
        <x:v>Средний</x:v>
      </x:c>
      <x:c r="I367" s="13" t="str">
        <x:v>Критический</x:v>
      </x:c>
      <x:c r="J367" s="13" t="str">
        <x:f>IF(L367="","Укажите валюту",IF(NOT(ISNUMBER(K367)),"Укажите объём",IF(K367&lt;=0,"Укажите объём",IF(COUNT(M367:O367)&lt;3,"Нужны цены",IF(COUNT(P367:R367)&lt;3,"Нужны расходы",IF(OR(M367&lt;0,N367&lt;0,O367&lt;0,O367&gt;100,P367&lt;0,Q367&lt;0,R367&lt;0,R367&gt;100),"Проверьте значения","Рассчитано"))))))</x:f>
        <x:v>Нужны цены</x:v>
      </x:c>
      <x:c r="K367" s="36" t="n">
        <x:v>15</x:v>
      </x:c>
      <x:c r="L367" s="19" t="str">
        <x:v>KZT</x:v>
      </x:c>
      <x:c r="M367" s="22"/>
      <x:c r="N367" s="22"/>
      <x:c r="O367" s="28"/>
      <x:c r="P367" s="22"/>
      <x:c r="Q367" s="22"/>
      <x:c r="R367" s="28"/>
      <x:c r="S367" s="22"/>
      <x:c r="T367" s="37" t="n">
        <x:f>MIN(K367,AT367)</x:f>
        <x:v>11.27117019339065</x:v>
      </x:c>
      <x:c r="U367" s="21" t="str">
        <x:f>IF(J367="Рассчитано",N367*(1-O367/100),"н/д")</x:f>
        <x:v>н/д</x:v>
      </x:c>
      <x:c r="V367" s="21" t="str">
        <x:f>IF(J367="Рассчитано",T367*U367,"н/д")</x:f>
        <x:v>н/д</x:v>
      </x:c>
      <x:c r="W367" s="21" t="str">
        <x:f>IF(J367="Рассчитано",T367*M367,"н/д")</x:f>
        <x:v>н/д</x:v>
      </x:c>
      <x:c r="X367" s="21" t="str">
        <x:f>IF(J367="Рассчитано",V367-W367,"н/д")</x:f>
        <x:v>н/д</x:v>
      </x:c>
      <x:c r="Y367" s="27" t="str">
        <x:f>IF(J367="Рассчитано",IF(V367&gt;0,G367/V367,"н/д"),"н/д")</x:f>
        <x:v>н/д</x:v>
      </x:c>
      <x:c r="Z367" s="21" t="str">
        <x:f>IF(J367="Рассчитано",K367*M367,"н/д")</x:f>
        <x:v>н/д</x:v>
      </x:c>
      <x:c r="AA367" s="21" t="str">
        <x:f>IF(J367="Рассчитано",(K367-T367)*M367,"н/д")</x:f>
        <x:v>н/д</x:v>
      </x:c>
      <x:c r="AB367" s="21" t="str">
        <x:f>IF(AND(J367="Рассчитано",ISNUMBER(S367)),K367*(S367-M367),"н/д")</x:f>
        <x:v>н/д</x:v>
      </x:c>
      <x:c r="AC367" s="21" t="str">
        <x:f>IF(AND(J367="Рассчитано",T367&gt;0,R367&lt;100),(W367+P367+Q367)/(T367*(1-R367/100)),"н/д")</x:f>
        <x:v>н/д</x:v>
      </x:c>
      <x:c r="AD367" s="10" t="str">
        <x:f>IF(ISNUMBER(G367),IF(G367&lt;0,"Убыток",IF(G367=0,"Без прибыли","Прибыль &gt; 0")),"Не оценён")</x:f>
        <x:v>Не оценён</x:v>
      </x:c>
      <x:c r="AE367" s="13" t="str">
        <x:f>IF(J367="Рассчитано","Выручка "&amp;TEXT(V367,"0.00")&amp;" - себестоимость "&amp;TEXT(W367,"0.00")&amp;" - комиссия "&amp;TEXT(V367*R367/100,"0.00")&amp;" - доставка "&amp;TEXT(P367,"0.00")&amp;" - прочие "&amp;TEXT(Q367,"0.00")&amp;" = "&amp;TEXT(G367,"0.00")&amp;" "&amp;L367,"Введите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7" s="24" t="n">
        <x:v>11.27117019339065</x:v>
      </x:c>
      <x:c r="AG367" s="37" t="n">
        <x:v>0</x:v>
      </x:c>
      <x:c r="AH367" s="37" t="n">
        <x:v>0</x:v>
      </x:c>
      <x:c r="AI367" s="30" t="n">
        <x:v>46287</x:v>
      </x:c>
      <x:c r="AJ367" s="37" t="n">
        <x:v>5</x:v>
      </x:c>
      <x:c r="AK367" s="10" t="str">
        <x:v>кратность</x:v>
      </x:c>
      <x:c r="AL367" s="32" t="n">
        <x:v>0</x:v>
      </x:c>
      <x:c r="AM367" s="13" t="str">
        <x:v>Нет ежедневных данных доступности. Нет запаса</x:v>
      </x:c>
      <x:c r="AN367" s="13" t="str">
        <x:v>Подтвердить наличие, срок и цену закупки</x:v>
      </x:c>
      <x:c r="AO367" s="13" t="str">
        <x:v>Прогноз 30 дней 11.27; остаток 0; поступления в срок 0; нехватка 12; заказ с учётом MOQ 15 шт.</x:v>
      </x:c>
      <x:c r="AP367" s="13" t="str">
        <x:v>["daily_stockout_data_missing", "large_orders_detected", "new_order_lead_time_unknown"]</x:v>
      </x:c>
      <x:c r="AQ367" s="10" t="str">
        <x:v>SE:300200732_</x:v>
      </x:c>
      <x:c r="AR367" s="24" t="n">
        <x:v>1</x:v>
      </x:c>
      <x:c r="AS367" s="24" t="n">
        <x:f>MAX(0,ROUNDUP(MAX(0,AF367-AG367-AH367)/AR367-0.000000001,0)*AR367)</x:f>
        <x:v>12</x:v>
      </x:c>
      <x:c r="AT367" s="24" t="n">
        <x:v>11.27117019339065</x:v>
      </x:c>
    </x:row>
    <x:row r="368" ht="64" customHeight="1">
      <x:c r="A368" s="11" t="str">
        <x:v>Systeme Electric</x:v>
      </x:c>
      <x:c r="B368" s="33" t="str">
        <x:v>300200747_</x:v>
      </x:c>
      <x:c r="C368" s="33" t="str">
        <x:v>ATN540174</x:v>
      </x:c>
      <x:c r="D368" s="12" t="str">
        <x:v>К116 Роз,Выкл.2-кл з/к з/ш о/у IP54 16А Atlas Profi 54 БЕЛЫЙ ATN540174 (6)</x:v>
      </x:c>
      <x:c r="E368" s="11" t="str">
        <x:v>шт</x:v>
      </x:c>
      <x:c r="F368" s="35" t="n">
        <x:f>IF(AS368&gt;0,ROUNDUP(AS368/AJ368-0.000000001,0)*AJ368,0)</x:f>
        <x:v>6</x:v>
      </x:c>
      <x:c r="G368" s="20" t="str">
        <x:f>IF(J368="Рассчитано",V368*(1-R368/100)-W368-P368-Q368,"н/д")</x:f>
        <x:v>н/д</x:v>
      </x:c>
      <x:c r="H368" s="12" t="str">
        <x:v>Средний</x:v>
      </x:c>
      <x:c r="I368" s="12" t="str">
        <x:v>Критический</x:v>
      </x:c>
      <x:c r="J368" s="12" t="str">
        <x:f>IF(L368="","Укажите валюту",IF(NOT(ISNUMBER(K368)),"Укажите объём",IF(K368&lt;=0,"Укажите объём",IF(COUNT(M368:O368)&lt;3,"Нужны цены",IF(COUNT(P368:R368)&lt;3,"Нужны расходы",IF(OR(M368&lt;0,N368&lt;0,O368&lt;0,O368&gt;100,P368&lt;0,Q368&lt;0,R368&lt;0,R368&gt;100),"Проверьте значения","Рассчитано"))))))</x:f>
        <x:v>Нужны цены</x:v>
      </x:c>
      <x:c r="K368" s="36" t="n">
        <x:v>6</x:v>
      </x:c>
      <x:c r="L368" s="19" t="str">
        <x:v>KZT</x:v>
      </x:c>
      <x:c r="M368" s="22"/>
      <x:c r="N368" s="22"/>
      <x:c r="O368" s="28"/>
      <x:c r="P368" s="22"/>
      <x:c r="Q368" s="22"/>
      <x:c r="R368" s="28"/>
      <x:c r="S368" s="22"/>
      <x:c r="T368" s="35" t="n">
        <x:f>MIN(K368,AT368)</x:f>
        <x:v>0.5555103261086028</x:v>
      </x:c>
      <x:c r="U368" s="20" t="str">
        <x:f>IF(J368="Рассчитано",N368*(1-O368/100),"н/д")</x:f>
        <x:v>н/д</x:v>
      </x:c>
      <x:c r="V368" s="20" t="str">
        <x:f>IF(J368="Рассчитано",T368*U368,"н/д")</x:f>
        <x:v>н/д</x:v>
      </x:c>
      <x:c r="W368" s="20" t="str">
        <x:f>IF(J368="Рассчитано",T368*M368,"н/д")</x:f>
        <x:v>н/д</x:v>
      </x:c>
      <x:c r="X368" s="20" t="str">
        <x:f>IF(J368="Рассчитано",V368-W368,"н/д")</x:f>
        <x:v>н/д</x:v>
      </x:c>
      <x:c r="Y368" s="26" t="str">
        <x:f>IF(J368="Рассчитано",IF(V368&gt;0,G368/V368,"н/д"),"н/д")</x:f>
        <x:v>н/д</x:v>
      </x:c>
      <x:c r="Z368" s="20" t="str">
        <x:f>IF(J368="Рассчитано",K368*M368,"н/д")</x:f>
        <x:v>н/д</x:v>
      </x:c>
      <x:c r="AA368" s="20" t="str">
        <x:f>IF(J368="Рассчитано",(K368-T368)*M368,"н/д")</x:f>
        <x:v>н/д</x:v>
      </x:c>
      <x:c r="AB368" s="20" t="str">
        <x:f>IF(AND(J368="Рассчитано",ISNUMBER(S368)),K368*(S368-M368),"н/д")</x:f>
        <x:v>н/д</x:v>
      </x:c>
      <x:c r="AC368" s="20" t="str">
        <x:f>IF(AND(J368="Рассчитано",T368&gt;0,R368&lt;100),(W368+P368+Q368)/(T368*(1-R368/100)),"н/д")</x:f>
        <x:v>н/д</x:v>
      </x:c>
      <x:c r="AD368" s="11" t="str">
        <x:f>IF(ISNUMBER(G368),IF(G368&lt;0,"Убыток",IF(G368=0,"Без прибыли","Прибыль &gt; 0")),"Не оценён")</x:f>
        <x:v>Не оценён</x:v>
      </x:c>
      <x:c r="AE368" s="12" t="str">
        <x:f>IF(J368="Рассчитано","Выручка "&amp;TEXT(V368,"0.00")&amp;" - себестоимость "&amp;TEXT(W368,"0.00")&amp;" - комиссия "&amp;TEXT(V368*R368/100,"0.00")&amp;" - доставка "&amp;TEXT(P368,"0.00")&amp;" - прочие "&amp;TEXT(Q368,"0.00")&amp;" = "&amp;TEXT(G368,"0.00")&amp;" "&amp;L368,"Введите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8" s="23" t="n">
        <x:v>0.5555103261086028</x:v>
      </x:c>
      <x:c r="AG368" s="35" t="n">
        <x:v>0</x:v>
      </x:c>
      <x:c r="AH368" s="35" t="n">
        <x:v>0</x:v>
      </x:c>
      <x:c r="AI368" s="29" t="n">
        <x:v>46287</x:v>
      </x:c>
      <x:c r="AJ368" s="35" t="n">
        <x:v>6</x:v>
      </x:c>
      <x:c r="AK368" s="11" t="str">
        <x:v>кратность</x:v>
      </x:c>
      <x:c r="AL368" s="31" t="n">
        <x:v>0</x:v>
      </x:c>
      <x:c r="AM368" s="12" t="str">
        <x:v>Нет ежедневных данных доступности. Нет запаса</x:v>
      </x:c>
      <x:c r="AN368" s="12" t="str">
        <x:v>Подтвердить наличие, срок и цену закупки</x:v>
      </x:c>
      <x:c r="AO368" s="12" t="str">
        <x:v>Прогноз 30 дней 0.56; остаток 0; поступления в срок 0; нехватка 1; заказ с учётом MOQ 6 шт.</x:v>
      </x:c>
      <x:c r="AP368" s="12" t="str">
        <x:v>["daily_stockout_data_missing", "large_orders_detected", "new_order_lead_time_unknown"]</x:v>
      </x:c>
      <x:c r="AQ368" s="11" t="str">
        <x:v>SE:300200747_</x:v>
      </x:c>
      <x:c r="AR368" s="23" t="n">
        <x:v>1</x:v>
      </x:c>
      <x:c r="AS368" s="23" t="n">
        <x:f>MAX(0,ROUNDUP(MAX(0,AF368-AG368-AH368)/AR368-0.000000001,0)*AR368)</x:f>
        <x:v>1</x:v>
      </x:c>
      <x:c r="AT368" s="23" t="n">
        <x:v>0.5555103261086028</x:v>
      </x:c>
    </x:row>
    <x:row r="369" ht="64" customHeight="1">
      <x:c r="A369" s="10" t="str">
        <x:v>Systeme Electric</x:v>
      </x:c>
      <x:c r="B369" s="34" t="str">
        <x:v>300200851_</x:v>
      </x:c>
      <x:c r="C369" s="34" t="str">
        <x:v>GAL001365</x:v>
      </x:c>
      <x:c r="D369" s="13" t="str">
        <x:v>G068 Переключ. 2 кл механизм "ARTGALLERY" лотос GAL1365 (5)</x:v>
      </x:c>
      <x:c r="E369" s="10" t="str">
        <x:v>шт</x:v>
      </x:c>
      <x:c r="F369" s="37" t="n">
        <x:f>IF(AS369&gt;0,ROUNDUP(AS369/AJ369-0.000000001,0)*AJ369,0)</x:f>
        <x:v>5</x:v>
      </x:c>
      <x:c r="G369" s="21" t="str">
        <x:f>IF(J369="Рассчитано",V369*(1-R369/100)-W369-P369-Q369,"н/д")</x:f>
        <x:v>н/д</x:v>
      </x:c>
      <x:c r="H369" s="13" t="str">
        <x:v>Средний</x:v>
      </x:c>
      <x:c r="I369" s="13" t="str">
        <x:v>Средний</x:v>
      </x:c>
      <x:c r="J369" s="13" t="str">
        <x:f>IF(L369="","Укажите валюту",IF(NOT(ISNUMBER(K369)),"Укажите объём",IF(K369&lt;=0,"Укажите объём",IF(COUNT(M369:O369)&lt;3,"Нужны цены",IF(COUNT(P369:R369)&lt;3,"Нужны расходы",IF(OR(M369&lt;0,N369&lt;0,O369&lt;0,O369&gt;100,P369&lt;0,Q369&lt;0,R369&lt;0,R369&gt;100),"Проверьте значения","Рассчитано"))))))</x:f>
        <x:v>Нужны цены</x:v>
      </x:c>
      <x:c r="K369" s="36" t="n">
        <x:v>5</x:v>
      </x:c>
      <x:c r="L369" s="19" t="str">
        <x:v>KZT</x:v>
      </x:c>
      <x:c r="M369" s="22"/>
      <x:c r="N369" s="22"/>
      <x:c r="O369" s="28"/>
      <x:c r="P369" s="22"/>
      <x:c r="Q369" s="22"/>
      <x:c r="R369" s="28"/>
      <x:c r="S369" s="22"/>
      <x:c r="T369" s="37" t="n">
        <x:f>MIN(K369,AT369)</x:f>
        <x:v>1.3069986211690772</x:v>
      </x:c>
      <x:c r="U369" s="21" t="str">
        <x:f>IF(J369="Рассчитано",N369*(1-O369/100),"н/д")</x:f>
        <x:v>н/д</x:v>
      </x:c>
      <x:c r="V369" s="21" t="str">
        <x:f>IF(J369="Рассчитано",T369*U369,"н/д")</x:f>
        <x:v>н/д</x:v>
      </x:c>
      <x:c r="W369" s="21" t="str">
        <x:f>IF(J369="Рассчитано",T369*M369,"н/д")</x:f>
        <x:v>н/д</x:v>
      </x:c>
      <x:c r="X369" s="21" t="str">
        <x:f>IF(J369="Рассчитано",V369-W369,"н/д")</x:f>
        <x:v>н/д</x:v>
      </x:c>
      <x:c r="Y369" s="27" t="str">
        <x:f>IF(J369="Рассчитано",IF(V369&gt;0,G369/V369,"н/д"),"н/д")</x:f>
        <x:v>н/д</x:v>
      </x:c>
      <x:c r="Z369" s="21" t="str">
        <x:f>IF(J369="Рассчитано",K369*M369,"н/д")</x:f>
        <x:v>н/д</x:v>
      </x:c>
      <x:c r="AA369" s="21" t="str">
        <x:f>IF(J369="Рассчитано",(K369-T369)*M369,"н/д")</x:f>
        <x:v>н/д</x:v>
      </x:c>
      <x:c r="AB369" s="21" t="str">
        <x:f>IF(AND(J369="Рассчитано",ISNUMBER(S369)),K369*(S369-M369),"н/д")</x:f>
        <x:v>н/д</x:v>
      </x:c>
      <x:c r="AC369" s="21" t="str">
        <x:f>IF(AND(J369="Рассчитано",T369&gt;0,R369&lt;100),(W369+P369+Q369)/(T369*(1-R369/100)),"н/д")</x:f>
        <x:v>н/д</x:v>
      </x:c>
      <x:c r="AD369" s="10" t="str">
        <x:f>IF(ISNUMBER(G369),IF(G369&lt;0,"Убыток",IF(G369=0,"Без прибыли","Прибыль &gt; 0")),"Не оценён")</x:f>
        <x:v>Не оценён</x:v>
      </x:c>
      <x:c r="AE369" s="13" t="str">
        <x:f>IF(J369="Рассчитано","Выручка "&amp;TEXT(V369,"0.00")&amp;" - себестоимость "&amp;TEXT(W369,"0.00")&amp;" - комиссия "&amp;TEXT(V369*R369/100,"0.00")&amp;" - доставка "&amp;TEXT(P369,"0.00")&amp;" - прочие "&amp;TEXT(Q369,"0.00")&amp;" = "&amp;TEXT(G369,"0.00")&amp;" "&amp;L369,"Введите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69" s="24" t="n">
        <x:v>10.306998621169077</x:v>
      </x:c>
      <x:c r="AG369" s="37" t="n">
        <x:v>9</x:v>
      </x:c>
      <x:c r="AH369" s="37" t="n">
        <x:v>0</x:v>
      </x:c>
      <x:c r="AI369" s="30" t="n">
        <x:v>46287</x:v>
      </x:c>
      <x:c r="AJ369" s="37" t="n">
        <x:v>5</x:v>
      </x:c>
      <x:c r="AK369" s="10" t="str">
        <x:v>кратность</x:v>
      </x:c>
      <x:c r="AL369" s="32" t="n">
        <x:v>26.195792773801216</x:v>
      </x:c>
      <x:c r="AM369" s="13" t="str">
        <x:v>Нет ежедневных данных доступности. Запаса примерно на 26.2 дн. без поступлений</x:v>
      </x:c>
      <x:c r="AN369" s="13" t="str">
        <x:v>Подтвердить наличие, срок и цену закупки</x:v>
      </x:c>
      <x:c r="AO369" s="13" t="str">
        <x:v>Прогноз 30 дней 10.31; остаток 9; поступления в срок 0; нехватка 2; заказ с учётом MOQ 5 шт.</x:v>
      </x:c>
      <x:c r="AP369" s="13" t="str">
        <x:v>["daily_stockout_data_missing", "negative_net_sales_clipped_for_forecast", "new_order_lead_time_unknown"]</x:v>
      </x:c>
      <x:c r="AQ369" s="10" t="str">
        <x:v>SE:300200851_</x:v>
      </x:c>
      <x:c r="AR369" s="24" t="n">
        <x:v>1</x:v>
      </x:c>
      <x:c r="AS369" s="24" t="n">
        <x:f>MAX(0,ROUNDUP(MAX(0,AF369-AG369-AH369)/AR369-0.000000001,0)*AR369)</x:f>
        <x:v>2</x:v>
      </x:c>
      <x:c r="AT369" s="24" t="n">
        <x:v>1.3069986211690772</x:v>
      </x:c>
    </x:row>
    <x:row r="370" ht="64" customHeight="1">
      <x:c r="A370" s="11" t="str">
        <x:v>Systeme Electric</x:v>
      </x:c>
      <x:c r="B370" s="33" t="str">
        <x:v>300200865_</x:v>
      </x:c>
      <x:c r="C370" s="33" t="str">
        <x:v>GAL001045</x:v>
      </x:c>
      <x:c r="D370" s="12" t="str">
        <x:v>G082 Роз. с з/к с/ш 16А механизм "ARTGALLERY" карбон GAL1045 (5)</x:v>
      </x:c>
      <x:c r="E370" s="11" t="str">
        <x:v>шт</x:v>
      </x:c>
      <x:c r="F370" s="35" t="n">
        <x:f>IF(AS370&gt;0,ROUNDUP(AS370/AJ370-0.000000001,0)*AJ370,0)</x:f>
        <x:v>35</x:v>
      </x:c>
      <x:c r="G370" s="20" t="str">
        <x:f>IF(J370="Рассчитано",V370*(1-R370/100)-W370-P370-Q370,"н/д")</x:f>
        <x:v>н/д</x:v>
      </x:c>
      <x:c r="H370" s="12" t="str">
        <x:v>Средний</x:v>
      </x:c>
      <x:c r="I370" s="12" t="str">
        <x:v>Средний</x:v>
      </x:c>
      <x:c r="J370" s="12" t="str">
        <x:f>IF(L370="","Укажите валюту",IF(NOT(ISNUMBER(K370)),"Укажите объём",IF(K370&lt;=0,"Укажите объём",IF(COUNT(M370:O370)&lt;3,"Нужны цены",IF(COUNT(P370:R370)&lt;3,"Нужны расходы",IF(OR(M370&lt;0,N370&lt;0,O370&lt;0,O370&gt;100,P370&lt;0,Q370&lt;0,R370&lt;0,R370&gt;100),"Проверьте значения","Рассчитано"))))))</x:f>
        <x:v>Нужны цены</x:v>
      </x:c>
      <x:c r="K370" s="36" t="n">
        <x:v>35</x:v>
      </x:c>
      <x:c r="L370" s="19" t="str">
        <x:v>KZT</x:v>
      </x:c>
      <x:c r="M370" s="22"/>
      <x:c r="N370" s="22"/>
      <x:c r="O370" s="28"/>
      <x:c r="P370" s="22"/>
      <x:c r="Q370" s="22"/>
      <x:c r="R370" s="28"/>
      <x:c r="S370" s="22"/>
      <x:c r="T370" s="35" t="n">
        <x:f>MIN(K370,AT370)</x:f>
        <x:v>30.688476070865576</x:v>
      </x:c>
      <x:c r="U370" s="20" t="str">
        <x:f>IF(J370="Рассчитано",N370*(1-O370/100),"н/д")</x:f>
        <x:v>н/д</x:v>
      </x:c>
      <x:c r="V370" s="20" t="str">
        <x:f>IF(J370="Рассчитано",T370*U370,"н/д")</x:f>
        <x:v>н/д</x:v>
      </x:c>
      <x:c r="W370" s="20" t="str">
        <x:f>IF(J370="Рассчитано",T370*M370,"н/д")</x:f>
        <x:v>н/д</x:v>
      </x:c>
      <x:c r="X370" s="20" t="str">
        <x:f>IF(J370="Рассчитано",V370-W370,"н/д")</x:f>
        <x:v>н/д</x:v>
      </x:c>
      <x:c r="Y370" s="26" t="str">
        <x:f>IF(J370="Рассчитано",IF(V370&gt;0,G370/V370,"н/д"),"н/д")</x:f>
        <x:v>н/д</x:v>
      </x:c>
      <x:c r="Z370" s="20" t="str">
        <x:f>IF(J370="Рассчитано",K370*M370,"н/д")</x:f>
        <x:v>н/д</x:v>
      </x:c>
      <x:c r="AA370" s="20" t="str">
        <x:f>IF(J370="Рассчитано",(K370-T370)*M370,"н/д")</x:f>
        <x:v>н/д</x:v>
      </x:c>
      <x:c r="AB370" s="20" t="str">
        <x:f>IF(AND(J370="Рассчитано",ISNUMBER(S370)),K370*(S370-M370),"н/д")</x:f>
        <x:v>н/д</x:v>
      </x:c>
      <x:c r="AC370" s="20" t="str">
        <x:f>IF(AND(J370="Рассчитано",T370&gt;0,R370&lt;100),(W370+P370+Q370)/(T370*(1-R370/100)),"н/д")</x:f>
        <x:v>н/д</x:v>
      </x:c>
      <x:c r="AD370" s="11" t="str">
        <x:f>IF(ISNUMBER(G370),IF(G370&lt;0,"Убыток",IF(G370=0,"Без прибыли","Прибыль &gt; 0")),"Не оценён")</x:f>
        <x:v>Не оценён</x:v>
      </x:c>
      <x:c r="AE370" s="12" t="str">
        <x:f>IF(J370="Рассчитано","Выручка "&amp;TEXT(V370,"0.00")&amp;" - себестоимость "&amp;TEXT(W370,"0.00")&amp;" - комиссия "&amp;TEXT(V370*R370/100,"0.00")&amp;" - доставка "&amp;TEXT(P370,"0.00")&amp;" - прочие "&amp;TEXT(Q370,"0.00")&amp;" = "&amp;TEXT(G370,"0.00")&amp;" "&amp;L370,"Введите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0" s="23" t="n">
        <x:v>78.68847607086558</x:v>
      </x:c>
      <x:c r="AG370" s="35" t="n">
        <x:v>48</x:v>
      </x:c>
      <x:c r="AH370" s="35" t="n">
        <x:v>0</x:v>
      </x:c>
      <x:c r="AI370" s="29" t="n">
        <x:v>46287</x:v>
      </x:c>
      <x:c r="AJ370" s="35" t="n">
        <x:v>5</x:v>
      </x:c>
      <x:c r="AK370" s="11" t="str">
        <x:v>кратность</x:v>
      </x:c>
      <x:c r="AL370" s="31" t="n">
        <x:v>18.300011283776282</x:v>
      </x:c>
      <x:c r="AM370" s="12" t="str">
        <x:v>Нет ежедневных данных доступности. Запаса примерно на 18.3 дн. без поступлений</x:v>
      </x:c>
      <x:c r="AN370" s="12" t="str">
        <x:v>Подтвердить наличие, срок и цену закупки</x:v>
      </x:c>
      <x:c r="AO370" s="12" t="str">
        <x:v>Прогноз 30 дней 78.69; остаток 48; поступления в срок 0; нехватка 31; заказ с учётом MOQ 35 шт.</x:v>
      </x:c>
      <x:c r="AP370" s="12" t="str">
        <x:v>["daily_stockout_data_missing", "negative_net_sales_clipped_for_forecast", "new_order_lead_time_unknown"]</x:v>
      </x:c>
      <x:c r="AQ370" s="11" t="str">
        <x:v>SE:300200865_</x:v>
      </x:c>
      <x:c r="AR370" s="23" t="n">
        <x:v>1</x:v>
      </x:c>
      <x:c r="AS370" s="23" t="n">
        <x:f>MAX(0,ROUNDUP(MAX(0,AF370-AG370-AH370)/AR370-0.000000001,0)*AR370)</x:f>
        <x:v>31</x:v>
      </x:c>
      <x:c r="AT370" s="23" t="n">
        <x:v>30.688476070865576</x:v>
      </x:c>
    </x:row>
    <x:row r="371" ht="64" customHeight="1">
      <x:c r="A371" s="10" t="str">
        <x:v>Systeme Electric</x:v>
      </x:c>
      <x:c r="B371" s="34" t="str">
        <x:v>300200869_</x:v>
      </x:c>
      <x:c r="C371" s="34" t="str">
        <x:v>GAL001002</x:v>
      </x:c>
      <x:c r="D371" s="13" t="str">
        <x:v>G086 Рамка 2-ная "ARTGALLERY" карбон GAL1002 (5)</x:v>
      </x:c>
      <x:c r="E371" s="10" t="str">
        <x:v>шт</x:v>
      </x:c>
      <x:c r="F371" s="37" t="n">
        <x:f>IF(AS371&gt;0,ROUNDUP(AS371/AJ371-0.000000001,0)*AJ371,0)</x:f>
        <x:v>25</x:v>
      </x:c>
      <x:c r="G371" s="21" t="str">
        <x:f>IF(J371="Рассчитано",V371*(1-R371/100)-W371-P371-Q371,"н/д")</x:f>
        <x:v>н/д</x:v>
      </x:c>
      <x:c r="H371" s="13" t="str">
        <x:v>Средний</x:v>
      </x:c>
      <x:c r="I371" s="13" t="str">
        <x:v>Средний</x:v>
      </x:c>
      <x:c r="J371" s="13" t="str">
        <x:f>IF(L371="","Укажите валюту",IF(NOT(ISNUMBER(K371)),"Укажите объём",IF(K371&lt;=0,"Укажите объём",IF(COUNT(M371:O371)&lt;3,"Нужны цены",IF(COUNT(P371:R371)&lt;3,"Нужны расходы",IF(OR(M371&lt;0,N371&lt;0,O371&lt;0,O371&gt;100,P371&lt;0,Q371&lt;0,R371&lt;0,R371&gt;100),"Проверьте значения","Рассчитано"))))))</x:f>
        <x:v>Нужны цены</x:v>
      </x:c>
      <x:c r="K371" s="36" t="n">
        <x:v>25</x:v>
      </x:c>
      <x:c r="L371" s="19" t="str">
        <x:v>KZT</x:v>
      </x:c>
      <x:c r="M371" s="22"/>
      <x:c r="N371" s="22"/>
      <x:c r="O371" s="28"/>
      <x:c r="P371" s="22"/>
      <x:c r="Q371" s="22"/>
      <x:c r="R371" s="28"/>
      <x:c r="S371" s="22"/>
      <x:c r="T371" s="37" t="n">
        <x:f>MIN(K371,AT371)</x:f>
        <x:v>22.480192966423786</x:v>
      </x:c>
      <x:c r="U371" s="21" t="str">
        <x:f>IF(J371="Рассчитано",N371*(1-O371/100),"н/д")</x:f>
        <x:v>н/д</x:v>
      </x:c>
      <x:c r="V371" s="21" t="str">
        <x:f>IF(J371="Рассчитано",T371*U371,"н/д")</x:f>
        <x:v>н/д</x:v>
      </x:c>
      <x:c r="W371" s="21" t="str">
        <x:f>IF(J371="Рассчитано",T371*M371,"н/д")</x:f>
        <x:v>н/д</x:v>
      </x:c>
      <x:c r="X371" s="21" t="str">
        <x:f>IF(J371="Рассчитано",V371-W371,"н/д")</x:f>
        <x:v>н/д</x:v>
      </x:c>
      <x:c r="Y371" s="27" t="str">
        <x:f>IF(J371="Рассчитано",IF(V371&gt;0,G371/V371,"н/д"),"н/д")</x:f>
        <x:v>н/д</x:v>
      </x:c>
      <x:c r="Z371" s="21" t="str">
        <x:f>IF(J371="Рассчитано",K371*M371,"н/д")</x:f>
        <x:v>н/д</x:v>
      </x:c>
      <x:c r="AA371" s="21" t="str">
        <x:f>IF(J371="Рассчитано",(K371-T371)*M371,"н/д")</x:f>
        <x:v>н/д</x:v>
      </x:c>
      <x:c r="AB371" s="21" t="str">
        <x:f>IF(AND(J371="Рассчитано",ISNUMBER(S371)),K371*(S371-M371),"н/д")</x:f>
        <x:v>н/д</x:v>
      </x:c>
      <x:c r="AC371" s="21" t="str">
        <x:f>IF(AND(J371="Рассчитано",T371&gt;0,R371&lt;100),(W371+P371+Q371)/(T371*(1-R371/100)),"н/д")</x:f>
        <x:v>н/д</x:v>
      </x:c>
      <x:c r="AD371" s="10" t="str">
        <x:f>IF(ISNUMBER(G371),IF(G371&lt;0,"Убыток",IF(G371=0,"Без прибыли","Прибыль &gt; 0")),"Не оценён")</x:f>
        <x:v>Не оценён</x:v>
      </x:c>
      <x:c r="AE371" s="13" t="str">
        <x:f>IF(J371="Рассчитано","Выручка "&amp;TEXT(V371,"0.00")&amp;" - себестоимость "&amp;TEXT(W371,"0.00")&amp;" - комиссия "&amp;TEXT(V371*R371/100,"0.00")&amp;" - доставка "&amp;TEXT(P371,"0.00")&amp;" - прочие "&amp;TEXT(Q371,"0.00")&amp;" = "&amp;TEXT(G371,"0.00")&amp;" "&amp;L371,"Введите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1" s="24" t="n">
        <x:v>98.48019296642379</x:v>
      </x:c>
      <x:c r="AG371" s="37" t="n">
        <x:v>76</x:v>
      </x:c>
      <x:c r="AH371" s="37" t="n">
        <x:v>0</x:v>
      </x:c>
      <x:c r="AI371" s="30" t="n">
        <x:v>46287</x:v>
      </x:c>
      <x:c r="AJ371" s="37" t="n">
        <x:v>5</x:v>
      </x:c>
      <x:c r="AK371" s="10" t="str">
        <x:v>кратность</x:v>
      </x:c>
      <x:c r="AL371" s="32" t="n">
        <x:v>23.15186365218996</x:v>
      </x:c>
      <x:c r="AM371" s="13" t="str">
        <x:v>Детальные и месячные продажи расходятся; Нет ежедневных данных доступности. Запаса примерно на 23.2 дн. без поступлений</x:v>
      </x:c>
      <x:c r="AN371" s="13" t="str">
        <x:v>Подтвердить наличие, срок и цену закупки</x:v>
      </x:c>
      <x:c r="AO371" s="13" t="str">
        <x:v>Прогноз 30 дней 98.48; остаток 76; поступления в срок 0; нехватка 23; заказ с учётом MOQ 25 шт.</x:v>
      </x:c>
      <x:c r="AP371" s="13" t="str">
        <x:v>["daily_stockout_data_missing", "large_orders_detected", "negative_net_sales_clipped_for_forecast", "new_order_lead_time_unknown", "transaction_month_mismatch"]</x:v>
      </x:c>
      <x:c r="AQ371" s="10" t="str">
        <x:v>SE:300200869_</x:v>
      </x:c>
      <x:c r="AR371" s="24" t="n">
        <x:v>1</x:v>
      </x:c>
      <x:c r="AS371" s="24" t="n">
        <x:f>MAX(0,ROUNDUP(MAX(0,AF371-AG371-AH371)/AR371-0.000000001,0)*AR371)</x:f>
        <x:v>23</x:v>
      </x:c>
      <x:c r="AT371" s="24" t="n">
        <x:v>22.480192966423786</x:v>
      </x:c>
    </x:row>
    <x:row r="372" ht="64" customHeight="1">
      <x:c r="A372" s="11" t="str">
        <x:v>Systeme Electric</x:v>
      </x:c>
      <x:c r="B372" s="33" t="str">
        <x:v>300200870_</x:v>
      </x:c>
      <x:c r="C372" s="33" t="str">
        <x:v>GAL001003</x:v>
      </x:c>
      <x:c r="D372" s="12" t="str">
        <x:v>G087 Рамка 3-ная "ARTGALLERY" карбон GAL1003 (5)</x:v>
      </x:c>
      <x:c r="E372" s="11" t="str">
        <x:v>шт</x:v>
      </x:c>
      <x:c r="F372" s="35" t="n">
        <x:f>IF(AS372&gt;0,ROUNDUP(AS372/AJ372-0.000000001,0)*AJ372,0)</x:f>
        <x:v>20</x:v>
      </x:c>
      <x:c r="G372" s="20" t="str">
        <x:f>IF(J372="Рассчитано",V372*(1-R372/100)-W372-P372-Q372,"н/д")</x:f>
        <x:v>н/д</x:v>
      </x:c>
      <x:c r="H372" s="12" t="str">
        <x:v>Средний</x:v>
      </x:c>
      <x:c r="I372" s="12" t="str">
        <x:v>Средний</x:v>
      </x:c>
      <x:c r="J372" s="12" t="str">
        <x:f>IF(L372="","Укажите валюту",IF(NOT(ISNUMBER(K372)),"Укажите объём",IF(K372&lt;=0,"Укажите объём",IF(COUNT(M372:O372)&lt;3,"Нужны цены",IF(COUNT(P372:R372)&lt;3,"Нужны расходы",IF(OR(M372&lt;0,N372&lt;0,O372&lt;0,O372&gt;100,P372&lt;0,Q372&lt;0,R372&lt;0,R372&gt;100),"Проверьте значения","Рассчитано"))))))</x:f>
        <x:v>Нужны цены</x:v>
      </x:c>
      <x:c r="K372" s="36" t="n">
        <x:v>20</x:v>
      </x:c>
      <x:c r="L372" s="19" t="str">
        <x:v>KZT</x:v>
      </x:c>
      <x:c r="M372" s="22"/>
      <x:c r="N372" s="22"/>
      <x:c r="O372" s="28"/>
      <x:c r="P372" s="22"/>
      <x:c r="Q372" s="22"/>
      <x:c r="R372" s="28"/>
      <x:c r="S372" s="22"/>
      <x:c r="T372" s="35" t="n">
        <x:f>MIN(K372,AT372)</x:f>
        <x:v>15.973667873264318</x:v>
      </x:c>
      <x:c r="U372" s="20" t="str">
        <x:f>IF(J372="Рассчитано",N372*(1-O372/100),"н/д")</x:f>
        <x:v>н/д</x:v>
      </x:c>
      <x:c r="V372" s="20" t="str">
        <x:f>IF(J372="Рассчитано",T372*U372,"н/д")</x:f>
        <x:v>н/д</x:v>
      </x:c>
      <x:c r="W372" s="20" t="str">
        <x:f>IF(J372="Рассчитано",T372*M372,"н/д")</x:f>
        <x:v>н/д</x:v>
      </x:c>
      <x:c r="X372" s="20" t="str">
        <x:f>IF(J372="Рассчитано",V372-W372,"н/д")</x:f>
        <x:v>н/д</x:v>
      </x:c>
      <x:c r="Y372" s="26" t="str">
        <x:f>IF(J372="Рассчитано",IF(V372&gt;0,G372/V372,"н/д"),"н/д")</x:f>
        <x:v>н/д</x:v>
      </x:c>
      <x:c r="Z372" s="20" t="str">
        <x:f>IF(J372="Рассчитано",K372*M372,"н/д")</x:f>
        <x:v>н/д</x:v>
      </x:c>
      <x:c r="AA372" s="20" t="str">
        <x:f>IF(J372="Рассчитано",(K372-T372)*M372,"н/д")</x:f>
        <x:v>н/д</x:v>
      </x:c>
      <x:c r="AB372" s="20" t="str">
        <x:f>IF(AND(J372="Рассчитано",ISNUMBER(S372)),K372*(S372-M372),"н/д")</x:f>
        <x:v>н/д</x:v>
      </x:c>
      <x:c r="AC372" s="20" t="str">
        <x:f>IF(AND(J372="Рассчитано",T372&gt;0,R372&lt;100),(W372+P372+Q372)/(T372*(1-R372/100)),"н/д")</x:f>
        <x:v>н/д</x:v>
      </x:c>
      <x:c r="AD372" s="11" t="str">
        <x:f>IF(ISNUMBER(G372),IF(G372&lt;0,"Убыток",IF(G372=0,"Без прибыли","Прибыль &gt; 0")),"Не оценён")</x:f>
        <x:v>Не оценён</x:v>
      </x:c>
      <x:c r="AE372" s="12" t="str">
        <x:f>IF(J372="Рассчитано","Выручка "&amp;TEXT(V372,"0.00")&amp;" - себестоимость "&amp;TEXT(W372,"0.00")&amp;" - комиссия "&amp;TEXT(V372*R372/100,"0.00")&amp;" - доставка "&amp;TEXT(P372,"0.00")&amp;" - прочие "&amp;TEXT(Q372,"0.00")&amp;" = "&amp;TEXT(G372,"0.00")&amp;" "&amp;L372,"Введите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2" s="23" t="n">
        <x:v>48.97366787326432</x:v>
      </x:c>
      <x:c r="AG372" s="35" t="n">
        <x:v>33</x:v>
      </x:c>
      <x:c r="AH372" s="35" t="n">
        <x:v>0</x:v>
      </x:c>
      <x:c r="AI372" s="29" t="n">
        <x:v>46287</x:v>
      </x:c>
      <x:c r="AJ372" s="35" t="n">
        <x:v>5</x:v>
      </x:c>
      <x:c r="AK372" s="11" t="str">
        <x:v>кратность</x:v>
      </x:c>
      <x:c r="AL372" s="31" t="n">
        <x:v>20.214944948823412</x:v>
      </x:c>
      <x:c r="AM372" s="12" t="str">
        <x:v>Детальные и месячные продажи расходятся; Нет ежедневных данных доступности. Запаса примерно на 20.2 дн. без поступлений</x:v>
      </x:c>
      <x:c r="AN372" s="12" t="str">
        <x:v>Подтвердить наличие, срок и цену закупки</x:v>
      </x:c>
      <x:c r="AO372" s="12" t="str">
        <x:v>Прогноз 30 дней 48.97; остаток 33; поступления в срок 0; нехватка 16; заказ с учётом MOQ 20 шт.</x:v>
      </x:c>
      <x:c r="AP372" s="12" t="str">
        <x:v>["daily_stockout_data_missing", "large_orders_detected", "negative_net_sales_clipped_for_forecast", "new_order_lead_time_unknown", "transaction_month_mismatch"]</x:v>
      </x:c>
      <x:c r="AQ372" s="11" t="str">
        <x:v>SE:300200870_</x:v>
      </x:c>
      <x:c r="AR372" s="23" t="n">
        <x:v>1</x:v>
      </x:c>
      <x:c r="AS372" s="23" t="n">
        <x:f>MAX(0,ROUNDUP(MAX(0,AF372-AG372-AH372)/AR372-0.000000001,0)*AR372)</x:f>
        <x:v>16</x:v>
      </x:c>
      <x:c r="AT372" s="23" t="n">
        <x:v>15.973667873264318</x:v>
      </x:c>
    </x:row>
    <x:row r="373" ht="64" customHeight="1">
      <x:c r="A373" s="10" t="str">
        <x:v>Systeme Electric</x:v>
      </x:c>
      <x:c r="B373" s="34" t="str">
        <x:v>300200926_</x:v>
      </x:c>
      <x:c r="C373" s="34" t="str">
        <x:v>GAL000665</x:v>
      </x:c>
      <x:c r="D373" s="13" t="str">
        <x:v>G143 Переключ. 2 кл механизм "ARTGALLERY" мокко GAL0665 (10)</x:v>
      </x:c>
      <x:c r="E373" s="10" t="str">
        <x:v>шт</x:v>
      </x:c>
      <x:c r="F373" s="37" t="n">
        <x:f>IF(AS373&gt;0,ROUNDUP(AS373/AJ373-0.000000001,0)*AJ373,0)</x:f>
        <x:v>10</x:v>
      </x:c>
      <x:c r="G373" s="21" t="str">
        <x:f>IF(J373="Рассчитано",V373*(1-R373/100)-W373-P373-Q373,"н/д")</x:f>
        <x:v>н/д</x:v>
      </x:c>
      <x:c r="H373" s="13" t="str">
        <x:v>Средний</x:v>
      </x:c>
      <x:c r="I373" s="13" t="str">
        <x:v>Средний</x:v>
      </x:c>
      <x:c r="J373" s="13" t="str">
        <x:f>IF(L373="","Укажите валюту",IF(NOT(ISNUMBER(K373)),"Укажите объём",IF(K373&lt;=0,"Укажите объём",IF(COUNT(M373:O373)&lt;3,"Нужны цены",IF(COUNT(P373:R373)&lt;3,"Нужны расходы",IF(OR(M373&lt;0,N373&lt;0,O373&lt;0,O373&gt;100,P373&lt;0,Q373&lt;0,R373&lt;0,R373&gt;100),"Проверьте значения","Рассчитано"))))))</x:f>
        <x:v>Нужны цены</x:v>
      </x:c>
      <x:c r="K373" s="36" t="n">
        <x:v>10</x:v>
      </x:c>
      <x:c r="L373" s="19" t="str">
        <x:v>KZT</x:v>
      </x:c>
      <x:c r="M373" s="22"/>
      <x:c r="N373" s="22"/>
      <x:c r="O373" s="28"/>
      <x:c r="P373" s="22"/>
      <x:c r="Q373" s="22"/>
      <x:c r="R373" s="28"/>
      <x:c r="S373" s="22"/>
      <x:c r="T373" s="37" t="n">
        <x:f>MIN(K373,AT373)</x:f>
        <x:v>2.049090735918748</x:v>
      </x:c>
      <x:c r="U373" s="21" t="str">
        <x:f>IF(J373="Рассчитано",N373*(1-O373/100),"н/д")</x:f>
        <x:v>н/д</x:v>
      </x:c>
      <x:c r="V373" s="21" t="str">
        <x:f>IF(J373="Рассчитано",T373*U373,"н/д")</x:f>
        <x:v>н/д</x:v>
      </x:c>
      <x:c r="W373" s="21" t="str">
        <x:f>IF(J373="Рассчитано",T373*M373,"н/д")</x:f>
        <x:v>н/д</x:v>
      </x:c>
      <x:c r="X373" s="21" t="str">
        <x:f>IF(J373="Рассчитано",V373-W373,"н/д")</x:f>
        <x:v>н/д</x:v>
      </x:c>
      <x:c r="Y373" s="27" t="str">
        <x:f>IF(J373="Рассчитано",IF(V373&gt;0,G373/V373,"н/д"),"н/д")</x:f>
        <x:v>н/д</x:v>
      </x:c>
      <x:c r="Z373" s="21" t="str">
        <x:f>IF(J373="Рассчитано",K373*M373,"н/д")</x:f>
        <x:v>н/д</x:v>
      </x:c>
      <x:c r="AA373" s="21" t="str">
        <x:f>IF(J373="Рассчитано",(K373-T373)*M373,"н/д")</x:f>
        <x:v>н/д</x:v>
      </x:c>
      <x:c r="AB373" s="21" t="str">
        <x:f>IF(AND(J373="Рассчитано",ISNUMBER(S373)),K373*(S373-M373),"н/д")</x:f>
        <x:v>н/д</x:v>
      </x:c>
      <x:c r="AC373" s="21" t="str">
        <x:f>IF(AND(J373="Рассчитано",T373&gt;0,R373&lt;100),(W373+P373+Q373)/(T373*(1-R373/100)),"н/д")</x:f>
        <x:v>н/д</x:v>
      </x:c>
      <x:c r="AD373" s="10" t="str">
        <x:f>IF(ISNUMBER(G373),IF(G373&lt;0,"Убыток",IF(G373=0,"Без прибыли","Прибыль &gt; 0")),"Не оценён")</x:f>
        <x:v>Не оценён</x:v>
      </x:c>
      <x:c r="AE373" s="13" t="str">
        <x:f>IF(J373="Рассчитано","Выручка "&amp;TEXT(V373,"0.00")&amp;" - себестоимость "&amp;TEXT(W373,"0.00")&amp;" - комиссия "&amp;TEXT(V373*R373/100,"0.00")&amp;" - доставка "&amp;TEXT(P373,"0.00")&amp;" - прочие "&amp;TEXT(Q373,"0.00")&amp;" = "&amp;TEXT(G373,"0.00")&amp;" "&amp;L373,"Введите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3" s="24" t="n">
        <x:v>10.049090735918748</x:v>
      </x:c>
      <x:c r="AG373" s="37" t="n">
        <x:v>8</x:v>
      </x:c>
      <x:c r="AH373" s="37" t="n">
        <x:v>0</x:v>
      </x:c>
      <x:c r="AI373" s="30" t="n">
        <x:v>46287</x:v>
      </x:c>
      <x:c r="AJ373" s="37" t="n">
        <x:v>10</x:v>
      </x:c>
      <x:c r="AK373" s="10" t="str">
        <x:v>кратность</x:v>
      </x:c>
      <x:c r="AL373" s="32" t="n">
        <x:v>23.88275778445917</x:v>
      </x:c>
      <x:c r="AM373" s="13" t="str">
        <x:v>Нет ежедневных данных доступности. Запаса примерно на 23.9 дн. без поступлений</x:v>
      </x:c>
      <x:c r="AN373" s="13" t="str">
        <x:v>Подтвердить наличие, срок и цену закупки</x:v>
      </x:c>
      <x:c r="AO373" s="13" t="str">
        <x:v>Прогноз 30 дней 10.05; остаток 8; поступления в срок 0; нехватка 3; заказ с учётом MOQ 10 шт.</x:v>
      </x:c>
      <x:c r="AP373" s="13" t="str">
        <x:v>["daily_stockout_data_missing", "negative_net_sales_clipped_for_forecast", "new_order_lead_time_unknown"]</x:v>
      </x:c>
      <x:c r="AQ373" s="10" t="str">
        <x:v>SE:300200926_</x:v>
      </x:c>
      <x:c r="AR373" s="24" t="n">
        <x:v>1</x:v>
      </x:c>
      <x:c r="AS373" s="24" t="n">
        <x:f>MAX(0,ROUNDUP(MAX(0,AF373-AG373-AH373)/AR373-0.000000001,0)*AR373)</x:f>
        <x:v>3</x:v>
      </x:c>
      <x:c r="AT373" s="24" t="n">
        <x:v>2.049090735918748</x:v>
      </x:c>
    </x:row>
    <x:row r="374" ht="64" customHeight="1">
      <x:c r="A374" s="11" t="str">
        <x:v>Systeme Electric</x:v>
      </x:c>
      <x:c r="B374" s="33" t="str">
        <x:v>ATN000108</x:v>
      </x:c>
      <x:c r="C374" s="33" t="str">
        <x:v>ATN000108</x:v>
      </x:c>
      <x:c r="D374" s="12" t="str">
        <x:v>S415 Адаптер 45 "ATLAS" белый ATN108  (15)</x:v>
      </x:c>
      <x:c r="E374" s="11" t="str">
        <x:v>шт</x:v>
      </x:c>
      <x:c r="F374" s="35" t="n">
        <x:f>IF(AS374&gt;0,ROUNDUP(AS374/AJ374-0.000000001,0)*AJ374,0)</x:f>
        <x:v>20</x:v>
      </x:c>
      <x:c r="G374" s="20" t="str">
        <x:f>IF(J374="Рассчитано",V374*(1-R374/100)-W374-P374-Q374,"н/д")</x:f>
        <x:v>н/д</x:v>
      </x:c>
      <x:c r="H374" s="12" t="str">
        <x:v>Средний</x:v>
      </x:c>
      <x:c r="I374" s="12" t="str">
        <x:v>Критический</x:v>
      </x:c>
      <x:c r="J374" s="12" t="str">
        <x:f>IF(L374="","Укажите валюту",IF(NOT(ISNUMBER(K374)),"Укажите объём",IF(K374&lt;=0,"Укажите объём",IF(COUNT(M374:O374)&lt;3,"Нужны цены",IF(COUNT(P374:R374)&lt;3,"Нужны расходы",IF(OR(M374&lt;0,N374&lt;0,O374&lt;0,O374&gt;100,P374&lt;0,Q374&lt;0,R374&lt;0,R374&gt;100),"Проверьте значения","Рассчитано"))))))</x:f>
        <x:v>Нужны цены</x:v>
      </x:c>
      <x:c r="K374" s="36" t="n">
        <x:v>20</x:v>
      </x:c>
      <x:c r="L374" s="19" t="str">
        <x:v>KZT</x:v>
      </x:c>
      <x:c r="M374" s="22"/>
      <x:c r="N374" s="22"/>
      <x:c r="O374" s="28"/>
      <x:c r="P374" s="22"/>
      <x:c r="Q374" s="22"/>
      <x:c r="R374" s="28"/>
      <x:c r="S374" s="22"/>
      <x:c r="T374" s="35" t="n">
        <x:f>MIN(K374,AT374)</x:f>
        <x:v>15.389167418785327</x:v>
      </x:c>
      <x:c r="U374" s="20" t="str">
        <x:f>IF(J374="Рассчитано",N374*(1-O374/100),"н/д")</x:f>
        <x:v>н/д</x:v>
      </x:c>
      <x:c r="V374" s="20" t="str">
        <x:f>IF(J374="Рассчитано",T374*U374,"н/д")</x:f>
        <x:v>н/д</x:v>
      </x:c>
      <x:c r="W374" s="20" t="str">
        <x:f>IF(J374="Рассчитано",T374*M374,"н/д")</x:f>
        <x:v>н/д</x:v>
      </x:c>
      <x:c r="X374" s="20" t="str">
        <x:f>IF(J374="Рассчитано",V374-W374,"н/д")</x:f>
        <x:v>н/д</x:v>
      </x:c>
      <x:c r="Y374" s="26" t="str">
        <x:f>IF(J374="Рассчитано",IF(V374&gt;0,G374/V374,"н/д"),"н/д")</x:f>
        <x:v>н/д</x:v>
      </x:c>
      <x:c r="Z374" s="20" t="str">
        <x:f>IF(J374="Рассчитано",K374*M374,"н/д")</x:f>
        <x:v>н/д</x:v>
      </x:c>
      <x:c r="AA374" s="20" t="str">
        <x:f>IF(J374="Рассчитано",(K374-T374)*M374,"н/д")</x:f>
        <x:v>н/д</x:v>
      </x:c>
      <x:c r="AB374" s="20" t="str">
        <x:f>IF(AND(J374="Рассчитано",ISNUMBER(S374)),K374*(S374-M374),"н/д")</x:f>
        <x:v>н/д</x:v>
      </x:c>
      <x:c r="AC374" s="20" t="str">
        <x:f>IF(AND(J374="Рассчитано",T374&gt;0,R374&lt;100),(W374+P374+Q374)/(T374*(1-R374/100)),"н/д")</x:f>
        <x:v>н/д</x:v>
      </x:c>
      <x:c r="AD374" s="11" t="str">
        <x:f>IF(ISNUMBER(G374),IF(G374&lt;0,"Убыток",IF(G374=0,"Без прибыли","Прибыль &gt; 0")),"Не оценён")</x:f>
        <x:v>Не оценён</x:v>
      </x:c>
      <x:c r="AE374" s="12" t="str">
        <x:f>IF(J374="Рассчитано","Выручка "&amp;TEXT(V374,"0.00")&amp;" - себестоимость "&amp;TEXT(W374,"0.00")&amp;" - комиссия "&amp;TEXT(V374*R374/100,"0.00")&amp;" - доставка "&amp;TEXT(P374,"0.00")&amp;" - прочие "&amp;TEXT(Q374,"0.00")&amp;" = "&amp;TEXT(G374,"0.00")&amp;" "&amp;L374,"Введите цены и расходы. Прибыль = выручка - себестоимость проданного - комиссия - доставка - прочие.")</x:f>
        <x:v>Введите цены и расходы. Прибыль = выручка - себестоимость проданного - комиссия - доставка - прочие.</x:v>
      </x:c>
      <x:c r="AF374" s="23" t="n">
        <x:v>15.389167418785327</x:v>
      </x:c>
      <x:c r="AG374" s="35" t="n">
        <x:v>0</x:v>
      </x:c>
      <x:c r="AH374" s="35" t="n">
        <x:v>0</x:v>
      </x:c>
      <x:c r="AI374" s="29" t="n">
        <x:v>46287</x:v>
      </x:c>
      <x:c r="AJ374" s="35" t="n">
        <x:v>5</x:v>
      </x:c>
      <x:c r="AK374" s="11" t="str">
        <x:v>кратность</x:v>
      </x:c>
      <x:c r="AL374" s="31" t="n">
        <x:v>0</x:v>
      </x:c>
      <x:c r="AM374" s="12" t="str">
        <x:v>Нет ежедневных данных доступности. Нет запаса</x:v>
      </x:c>
      <x:c r="AN374" s="12" t="str">
        <x:v>Подтвердить наличие, срок и цену закупки</x:v>
      </x:c>
      <x:c r="AO374" s="12" t="str">
        <x:v>Прогноз 30 дней 15.39; остаток 0; поступления в срок 0; нехватка 16; заказ с учётом MOQ 20 шт.</x:v>
      </x:c>
      <x:c r="AP374" s="12" t="str">
        <x:v>["daily_stockout_data_missing", "new_order_lead_time_unknown"]</x:v>
      </x:c>
      <x:c r="AQ374" s="11" t="str">
        <x:v>SE:ATN000108</x:v>
      </x:c>
      <x:c r="AR374" s="23" t="n">
        <x:v>1</x:v>
      </x:c>
      <x:c r="AS374" s="23" t="n">
        <x:f>MAX(0,ROUNDUP(MAX(0,AF374-AG374-AH374)/AR374-0.000000001,0)*AR374)</x:f>
        <x:v>16</x:v>
      </x:c>
      <x:c r="AT374" s="23" t="n">
        <x:v>15.389167418785327</x:v>
      </x:c>
    </x:row>
  </x:sheetData>
  <x:conditionalFormatting sqref="H8:H374">
    <x:cfRule type="containsText" dxfId="7" priority="1" operator="containsText" text="Критический"/>
    <x:cfRule type="containsText" dxfId="8" priority="2" operator="containsText" text="Высокий"/>
    <x:cfRule type="containsText" dxfId="9" priority="3" operator="containsText" text="Средний"/>
  </x:conditionalFormatting>
  <x:conditionalFormatting sqref="I8:I374">
    <x:cfRule type="containsText" dxfId="10" priority="4" operator="containsText" text="Критический"/>
    <x:cfRule type="containsText" dxfId="11" priority="5" operator="containsText" text="Высокий"/>
    <x:cfRule type="containsText" dxfId="12" priority="6" operator="containsText" text="Средний"/>
  </x:conditionalFormatting>
  <x:conditionalFormatting sqref="G8:G374">
    <x:cfRule type="cellIs" dxfId="13" priority="7" operator="lessThan">
      <x:formula>0</x:formula>
    </x:cfRule>
  </x:conditionalFormatting>
  <x:dataValidations count="8">
    <x:dataValidation type="decimal" operator="greaterThanOrEqual" sqref="K8:K374">
      <x:formula1>0</x:formula1>
    </x:dataValidation>
    <x:dataValidation type="decimal" operator="greaterThanOrEqual" sqref="M8:M374">
      <x:formula1>0</x:formula1>
    </x:dataValidation>
    <x:dataValidation type="decimal" operator="greaterThanOrEqual" sqref="N8:N374">
      <x:formula1>0</x:formula1>
    </x:dataValidation>
    <x:dataValidation type="decimal" operator="greaterThanOrEqual" sqref="P8:P374">
      <x:formula1>0</x:formula1>
    </x:dataValidation>
    <x:dataValidation type="decimal" operator="greaterThanOrEqual" sqref="Q8:Q374">
      <x:formula1>0</x:formula1>
    </x:dataValidation>
    <x:dataValidation type="decimal" operator="greaterThanOrEqual" sqref="S8:S374">
      <x:formula1>0</x:formula1>
    </x:dataValidation>
    <x:dataValidation type="decimal" operator="between" sqref="O8:O374">
      <x:formula1>0</x:formula1>
      <x:formula2>100</x:formula2>
    </x:dataValidation>
    <x:dataValidation type="decimal" operator="between" sqref="R8:R374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aef713e3c854445"/>
  </x:tableParts>
</x:worksheet>
</file>